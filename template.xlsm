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E809896A-4082-4D10-BA82-0DEAA905DFDA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注文弁当の抽出" sheetId="1" r:id="rId1"/>
    <sheet name="クライアント抽出" sheetId="2" r:id="rId2"/>
    <sheet name="貼り付け用" sheetId="3" r:id="rId3"/>
    <sheet name="数出表_Excel" sheetId="4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r:id="rId9"/>
    <sheet name="札_まとめ（印刷用）" sheetId="10" r:id="rId10"/>
    <sheet name="数出表_Excel【15時】" sheetId="11" r:id="rId11"/>
    <sheet name="札_まとめ（印刷用）【15時】" sheetId="12" r:id="rId12"/>
    <sheet name="商品マスタ一覧" sheetId="13" r:id="rId13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2" i="2" l="1"/>
  <c r="I63" i="2"/>
  <c r="I64" i="2"/>
  <c r="I65" i="2"/>
  <c r="I66" i="2"/>
  <c r="I67" i="2"/>
  <c r="I68" i="2"/>
  <c r="I69" i="2"/>
  <c r="I70" i="2"/>
  <c r="V339" i="13"/>
  <c r="V338" i="13"/>
  <c r="V337" i="13"/>
  <c r="V336" i="13"/>
  <c r="V335" i="13"/>
  <c r="V334" i="13"/>
  <c r="V333" i="13"/>
  <c r="V332" i="13"/>
  <c r="V331" i="13"/>
  <c r="V330" i="13"/>
  <c r="V329" i="13"/>
  <c r="V328" i="13"/>
  <c r="V327" i="13"/>
  <c r="V326" i="13"/>
  <c r="V325" i="13"/>
  <c r="V324" i="13"/>
  <c r="V323" i="13"/>
  <c r="V322" i="13"/>
  <c r="V321" i="13"/>
  <c r="V320" i="13"/>
  <c r="V319" i="13"/>
  <c r="V318" i="13"/>
  <c r="V317" i="13"/>
  <c r="V316" i="13"/>
  <c r="V315" i="13"/>
  <c r="V314" i="13"/>
  <c r="V313" i="13"/>
  <c r="V312" i="13"/>
  <c r="V311" i="13"/>
  <c r="V310" i="13"/>
  <c r="V309" i="13"/>
  <c r="V308" i="13"/>
  <c r="V307" i="13"/>
  <c r="V306" i="13"/>
  <c r="V305" i="13"/>
  <c r="V304" i="13"/>
  <c r="V303" i="13"/>
  <c r="V302" i="13"/>
  <c r="V301" i="13"/>
  <c r="V300" i="13"/>
  <c r="V299" i="13"/>
  <c r="V298" i="13"/>
  <c r="V297" i="13"/>
  <c r="V296" i="13"/>
  <c r="V295" i="13"/>
  <c r="V294" i="13"/>
  <c r="V293" i="13"/>
  <c r="V292" i="13"/>
  <c r="V291" i="13"/>
  <c r="V290" i="13"/>
  <c r="V289" i="13"/>
  <c r="V288" i="13"/>
  <c r="V287" i="13"/>
  <c r="V286" i="13"/>
  <c r="V285" i="13"/>
  <c r="V284" i="13"/>
  <c r="V283" i="13"/>
  <c r="V282" i="13"/>
  <c r="V281" i="13"/>
  <c r="V280" i="13"/>
  <c r="V279" i="13"/>
  <c r="V278" i="13"/>
  <c r="V277" i="13"/>
  <c r="V276" i="13"/>
  <c r="V275" i="13"/>
  <c r="V274" i="13"/>
  <c r="V273" i="13"/>
  <c r="V272" i="13"/>
  <c r="V271" i="13"/>
  <c r="V270" i="13"/>
  <c r="V269" i="13"/>
  <c r="V268" i="13"/>
  <c r="V267" i="13"/>
  <c r="V266" i="13"/>
  <c r="V265" i="13"/>
  <c r="V264" i="13"/>
  <c r="V263" i="13"/>
  <c r="V262" i="13"/>
  <c r="V261" i="13"/>
  <c r="V260" i="13"/>
  <c r="V259" i="13"/>
  <c r="V258" i="13"/>
  <c r="V257" i="13"/>
  <c r="V256" i="13"/>
  <c r="V255" i="13"/>
  <c r="V254" i="13"/>
  <c r="V253" i="13"/>
  <c r="V252" i="13"/>
  <c r="V251" i="13"/>
  <c r="V250" i="13"/>
  <c r="V249" i="13"/>
  <c r="V248" i="13"/>
  <c r="V247" i="13"/>
  <c r="V246" i="13"/>
  <c r="V245" i="13"/>
  <c r="V244" i="13"/>
  <c r="V243" i="13"/>
  <c r="V242" i="13"/>
  <c r="V241" i="13"/>
  <c r="V240" i="13"/>
  <c r="V239" i="13"/>
  <c r="V238" i="13"/>
  <c r="V237" i="13"/>
  <c r="V236" i="13"/>
  <c r="V235" i="13"/>
  <c r="V234" i="13"/>
  <c r="V233" i="13"/>
  <c r="V232" i="13"/>
  <c r="V231" i="13"/>
  <c r="V230" i="13"/>
  <c r="V229" i="13"/>
  <c r="V228" i="13"/>
  <c r="V227" i="13"/>
  <c r="V226" i="13"/>
  <c r="V225" i="13"/>
  <c r="V224" i="13"/>
  <c r="V223" i="13"/>
  <c r="V222" i="13"/>
  <c r="V221" i="13"/>
  <c r="V220" i="13"/>
  <c r="V219" i="13"/>
  <c r="V218" i="13"/>
  <c r="V217" i="13"/>
  <c r="V216" i="13"/>
  <c r="V215" i="13"/>
  <c r="V214" i="13"/>
  <c r="V213" i="13"/>
  <c r="V212" i="13"/>
  <c r="V211" i="13"/>
  <c r="V210" i="13"/>
  <c r="V209" i="13"/>
  <c r="V208" i="13"/>
  <c r="V207" i="13"/>
  <c r="V206" i="13"/>
  <c r="V205" i="13"/>
  <c r="V204" i="13"/>
  <c r="V203" i="13"/>
  <c r="V202" i="13"/>
  <c r="V201" i="13"/>
  <c r="V200" i="13"/>
  <c r="V199" i="13"/>
  <c r="V198" i="13"/>
  <c r="V197" i="13"/>
  <c r="V196" i="13"/>
  <c r="V195" i="13"/>
  <c r="V194" i="13"/>
  <c r="V193" i="13"/>
  <c r="V192" i="13"/>
  <c r="V191" i="13"/>
  <c r="V190" i="13"/>
  <c r="V189" i="13"/>
  <c r="V188" i="13"/>
  <c r="V187" i="13"/>
  <c r="V186" i="13"/>
  <c r="V185" i="13"/>
  <c r="V184" i="13"/>
  <c r="V183" i="13"/>
  <c r="V182" i="13"/>
  <c r="V181" i="13"/>
  <c r="V180" i="13"/>
  <c r="V179" i="13"/>
  <c r="V178" i="13"/>
  <c r="V177" i="13"/>
  <c r="V176" i="13"/>
  <c r="V175" i="13"/>
  <c r="V174" i="13"/>
  <c r="V173" i="13"/>
  <c r="V172" i="13"/>
  <c r="V171" i="13"/>
  <c r="V170" i="13"/>
  <c r="V169" i="13"/>
  <c r="V168" i="13"/>
  <c r="V167" i="13"/>
  <c r="V166" i="13"/>
  <c r="V165" i="13"/>
  <c r="V164" i="13"/>
  <c r="V163" i="13"/>
  <c r="V162" i="13"/>
  <c r="V161" i="13"/>
  <c r="V160" i="13"/>
  <c r="V159" i="13"/>
  <c r="V158" i="13"/>
  <c r="V157" i="13"/>
  <c r="V156" i="13"/>
  <c r="V155" i="13"/>
  <c r="V154" i="13"/>
  <c r="V153" i="13"/>
  <c r="V152" i="13"/>
  <c r="V151" i="13"/>
  <c r="V150" i="13"/>
  <c r="V149" i="13"/>
  <c r="V148" i="13"/>
  <c r="V147" i="13"/>
  <c r="V146" i="13"/>
  <c r="V145" i="13"/>
  <c r="V144" i="13"/>
  <c r="V143" i="13"/>
  <c r="V142" i="13"/>
  <c r="V141" i="13"/>
  <c r="V140" i="13"/>
  <c r="V139" i="13"/>
  <c r="V138" i="13"/>
  <c r="V137" i="13"/>
  <c r="V136" i="13"/>
  <c r="V135" i="13"/>
  <c r="V134" i="13"/>
  <c r="V133" i="13"/>
  <c r="V132" i="13"/>
  <c r="V131" i="13"/>
  <c r="V130" i="13"/>
  <c r="V129" i="13"/>
  <c r="V128" i="13"/>
  <c r="V127" i="13"/>
  <c r="V126" i="13"/>
  <c r="V125" i="13"/>
  <c r="V124" i="13"/>
  <c r="V123" i="13"/>
  <c r="V122" i="13"/>
  <c r="V121" i="13"/>
  <c r="V120" i="13"/>
  <c r="V119" i="13"/>
  <c r="V118" i="13"/>
  <c r="V117" i="13"/>
  <c r="V116" i="13"/>
  <c r="V115" i="13"/>
  <c r="V114" i="13"/>
  <c r="V113" i="13"/>
  <c r="V112" i="13"/>
  <c r="V111" i="13"/>
  <c r="V110" i="13"/>
  <c r="V109" i="13"/>
  <c r="V108" i="13"/>
  <c r="V107" i="13"/>
  <c r="V106" i="13"/>
  <c r="V105" i="13"/>
  <c r="V104" i="13"/>
  <c r="V103" i="13"/>
  <c r="V102" i="13"/>
  <c r="V101" i="13"/>
  <c r="V100" i="13"/>
  <c r="V99" i="13"/>
  <c r="V98" i="13"/>
  <c r="V97" i="13"/>
  <c r="V96" i="13"/>
  <c r="V95" i="13"/>
  <c r="V94" i="13"/>
  <c r="V93" i="13"/>
  <c r="V92" i="13"/>
  <c r="V91" i="13"/>
  <c r="V90" i="13"/>
  <c r="V89" i="13"/>
  <c r="V88" i="13"/>
  <c r="V87" i="13"/>
  <c r="V86" i="13"/>
  <c r="V85" i="13"/>
  <c r="V84" i="13"/>
  <c r="V83" i="13"/>
  <c r="V82" i="13"/>
  <c r="V81" i="13"/>
  <c r="V80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V7" i="13"/>
  <c r="V6" i="13"/>
  <c r="V5" i="13"/>
  <c r="V4" i="13"/>
  <c r="V3" i="13"/>
  <c r="V2" i="13"/>
  <c r="H228" i="9"/>
  <c r="I227" i="9"/>
  <c r="H226" i="9"/>
  <c r="C226" i="9"/>
  <c r="Q226" i="9" s="1"/>
  <c r="P226" i="9" s="1"/>
  <c r="P225" i="9"/>
  <c r="I225" i="9"/>
  <c r="C225" i="9"/>
  <c r="Q225" i="9" s="1"/>
  <c r="O224" i="9"/>
  <c r="L224" i="9"/>
  <c r="K224" i="9"/>
  <c r="J224" i="9"/>
  <c r="H224" i="9"/>
  <c r="G224" i="9"/>
  <c r="F224" i="9"/>
  <c r="O223" i="9"/>
  <c r="L223" i="9"/>
  <c r="K223" i="9"/>
  <c r="J223" i="9"/>
  <c r="H223" i="9"/>
  <c r="G223" i="9"/>
  <c r="F223" i="9"/>
  <c r="O222" i="9"/>
  <c r="L222" i="9"/>
  <c r="K222" i="9"/>
  <c r="J222" i="9"/>
  <c r="H222" i="9"/>
  <c r="G222" i="9"/>
  <c r="F222" i="9"/>
  <c r="O221" i="9"/>
  <c r="L221" i="9"/>
  <c r="K221" i="9"/>
  <c r="J221" i="9"/>
  <c r="H221" i="9"/>
  <c r="G221" i="9"/>
  <c r="F221" i="9"/>
  <c r="O220" i="9"/>
  <c r="L220" i="9"/>
  <c r="K220" i="9"/>
  <c r="J220" i="9"/>
  <c r="H220" i="9"/>
  <c r="G220" i="9"/>
  <c r="F220" i="9"/>
  <c r="O219" i="9"/>
  <c r="L219" i="9"/>
  <c r="K219" i="9"/>
  <c r="J219" i="9"/>
  <c r="H219" i="9"/>
  <c r="G219" i="9"/>
  <c r="F219" i="9"/>
  <c r="O218" i="9"/>
  <c r="L218" i="9"/>
  <c r="K218" i="9"/>
  <c r="J218" i="9"/>
  <c r="H218" i="9"/>
  <c r="G218" i="9"/>
  <c r="F218" i="9"/>
  <c r="O217" i="9"/>
  <c r="L217" i="9"/>
  <c r="K217" i="9"/>
  <c r="J217" i="9"/>
  <c r="H217" i="9"/>
  <c r="G217" i="9"/>
  <c r="F217" i="9"/>
  <c r="E216" i="9"/>
  <c r="E215" i="9"/>
  <c r="E214" i="9"/>
  <c r="E213" i="9"/>
  <c r="E212" i="9"/>
  <c r="E211" i="9"/>
  <c r="E210" i="9"/>
  <c r="E209" i="9"/>
  <c r="E208" i="9"/>
  <c r="E207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1" i="9"/>
  <c r="E190" i="9"/>
  <c r="E189" i="9"/>
  <c r="E188" i="9"/>
  <c r="E187" i="9"/>
  <c r="E186" i="9"/>
  <c r="E185" i="9"/>
  <c r="P184" i="9"/>
  <c r="K184" i="9"/>
  <c r="J184" i="9"/>
  <c r="C184" i="9"/>
  <c r="P183" i="9"/>
  <c r="H183" i="9"/>
  <c r="C183" i="9"/>
  <c r="P182" i="9"/>
  <c r="C182" i="9"/>
  <c r="P181" i="9"/>
  <c r="C181" i="9"/>
  <c r="R121" i="9" a="1"/>
  <c r="R121" i="9" s="1"/>
  <c r="AA120" i="9" a="1"/>
  <c r="AA120" i="9" s="1"/>
  <c r="V120" i="9" a="1"/>
  <c r="V120" i="9" s="1"/>
  <c r="U120" i="9" a="1"/>
  <c r="U120" i="9" s="1"/>
  <c r="R120" i="9" a="1"/>
  <c r="R120" i="9" s="1"/>
  <c r="W120" i="9" s="1" a="1"/>
  <c r="W120" i="9" s="1"/>
  <c r="Z119" i="9" a="1"/>
  <c r="Z119" i="9" s="1"/>
  <c r="U119" i="9" a="1"/>
  <c r="U119" i="9" s="1"/>
  <c r="T119" i="9" a="1"/>
  <c r="T119" i="9" s="1"/>
  <c r="R119" i="9" a="1"/>
  <c r="R119" i="9" s="1"/>
  <c r="Y118" i="9" a="1"/>
  <c r="Y118" i="9" s="1"/>
  <c r="X118" i="9" a="1"/>
  <c r="X118" i="9" s="1"/>
  <c r="S118" i="9" a="1"/>
  <c r="S118" i="9" s="1"/>
  <c r="R118" i="9" a="1"/>
  <c r="R118" i="9"/>
  <c r="AA118" i="9" s="1" a="1"/>
  <c r="AA118" i="9" s="1"/>
  <c r="R117" i="9" a="1"/>
  <c r="R117" i="9" s="1"/>
  <c r="Z117" i="9" s="1" a="1"/>
  <c r="Z117" i="9" s="1"/>
  <c r="Y116" i="9" a="1"/>
  <c r="Y116" i="9" s="1"/>
  <c r="X116" i="9" a="1"/>
  <c r="X116" i="9" s="1"/>
  <c r="U116" i="9" a="1"/>
  <c r="U116" i="9" s="1"/>
  <c r="S116" i="9" a="1"/>
  <c r="S116" i="9" s="1"/>
  <c r="R116" i="9" a="1"/>
  <c r="R116" i="9" s="1"/>
  <c r="X115" i="9" a="1"/>
  <c r="X115" i="9" s="1"/>
  <c r="W115" i="9" a="1"/>
  <c r="W115" i="9" s="1"/>
  <c r="R115" i="9" a="1"/>
  <c r="R115" i="9" s="1"/>
  <c r="Y115" i="9" s="1" a="1"/>
  <c r="Y115" i="9" s="1"/>
  <c r="R114" i="9" a="1"/>
  <c r="R114" i="9" s="1"/>
  <c r="Z113" i="9" a="1"/>
  <c r="Z113" i="9" s="1"/>
  <c r="Y113" i="9" a="1"/>
  <c r="Y113" i="9" s="1"/>
  <c r="X113" i="9" a="1"/>
  <c r="X113" i="9" s="1"/>
  <c r="V113" i="9" a="1"/>
  <c r="V113" i="9" s="1"/>
  <c r="T113" i="9" a="1"/>
  <c r="T113" i="9" s="1"/>
  <c r="S113" i="9" a="1"/>
  <c r="S113" i="9" s="1"/>
  <c r="R113" i="9" a="1"/>
  <c r="R113" i="9" s="1"/>
  <c r="AB113" i="9" s="1" a="1"/>
  <c r="AB113" i="9" s="1"/>
  <c r="X112" i="9" a="1"/>
  <c r="X112" i="9" s="1"/>
  <c r="R112" i="9" a="1"/>
  <c r="R112" i="9" s="1"/>
  <c r="Y112" i="9" s="1" a="1"/>
  <c r="Y112" i="9" s="1"/>
  <c r="Z111" i="9" a="1"/>
  <c r="Z111" i="9" s="1"/>
  <c r="S111" i="9" a="1"/>
  <c r="S111" i="9" s="1"/>
  <c r="R111" i="9" a="1"/>
  <c r="R111" i="9" s="1"/>
  <c r="X110" i="9" a="1"/>
  <c r="X110" i="9" s="1"/>
  <c r="R110" i="9" a="1"/>
  <c r="R110" i="9" s="1"/>
  <c r="AA109" i="9" a="1"/>
  <c r="AA109" i="9" s="1"/>
  <c r="Z109" i="9" a="1"/>
  <c r="Z109" i="9" s="1"/>
  <c r="V109" i="9" a="1"/>
  <c r="V109" i="9" s="1"/>
  <c r="T109" i="9" a="1"/>
  <c r="T109" i="9" s="1"/>
  <c r="S109" i="9" a="1"/>
  <c r="S109" i="9" s="1"/>
  <c r="R109" i="9" a="1"/>
  <c r="R109" i="9" s="1"/>
  <c r="X109" i="9" s="1" a="1"/>
  <c r="X109" i="9" s="1"/>
  <c r="AA108" i="9" a="1"/>
  <c r="AA108" i="9" s="1"/>
  <c r="Z108" i="9" a="1"/>
  <c r="Z108" i="9" s="1"/>
  <c r="Y108" i="9" a="1"/>
  <c r="Y108" i="9" s="1"/>
  <c r="X108" i="9" a="1"/>
  <c r="X108" i="9" s="1"/>
  <c r="V108" i="9" a="1"/>
  <c r="V108" i="9" s="1"/>
  <c r="U108" i="9" a="1"/>
  <c r="U108" i="9" s="1"/>
  <c r="T108" i="9" a="1"/>
  <c r="T108" i="9" s="1"/>
  <c r="S108" i="9" a="1"/>
  <c r="S108" i="9" s="1"/>
  <c r="R108" i="9" a="1"/>
  <c r="R108" i="9" s="1"/>
  <c r="AB108" i="9" s="1" a="1"/>
  <c r="AB108" i="9" s="1"/>
  <c r="AB107" i="9" a="1"/>
  <c r="AB107" i="9" s="1"/>
  <c r="AA107" i="9" a="1"/>
  <c r="AA107" i="9" s="1"/>
  <c r="Y107" i="9" a="1"/>
  <c r="Y107" i="9" s="1"/>
  <c r="V107" i="9" a="1"/>
  <c r="V107" i="9" s="1"/>
  <c r="U107" i="9" a="1"/>
  <c r="U107" i="9" s="1"/>
  <c r="R107" i="9" a="1"/>
  <c r="R107" i="9"/>
  <c r="AB106" i="9" a="1"/>
  <c r="AB106" i="9" s="1"/>
  <c r="AA106" i="9" a="1"/>
  <c r="AA106" i="9" s="1"/>
  <c r="Z106" i="9" a="1"/>
  <c r="Z106" i="9" s="1"/>
  <c r="Y106" i="9" a="1"/>
  <c r="Y106" i="9" s="1"/>
  <c r="W106" i="9" a="1"/>
  <c r="W106" i="9" s="1"/>
  <c r="V106" i="9" a="1"/>
  <c r="V106" i="9" s="1"/>
  <c r="U106" i="9" a="1"/>
  <c r="U106" i="9" s="1"/>
  <c r="T106" i="9" a="1"/>
  <c r="T106" i="9" s="1"/>
  <c r="S106" i="9" a="1"/>
  <c r="S106" i="9" s="1"/>
  <c r="R106" i="9" a="1"/>
  <c r="R106" i="9"/>
  <c r="X106" i="9" s="1" a="1"/>
  <c r="X106" i="9" s="1"/>
  <c r="R105" i="9" a="1"/>
  <c r="R105" i="9" s="1"/>
  <c r="R104" i="9" a="1"/>
  <c r="R104" i="9" s="1"/>
  <c r="R103" i="9" a="1"/>
  <c r="R103" i="9" s="1"/>
  <c r="R102" i="9" a="1"/>
  <c r="R102" i="9" s="1"/>
  <c r="X101" i="9" a="1"/>
  <c r="X101" i="9" s="1"/>
  <c r="W101" i="9" a="1"/>
  <c r="W101" i="9" s="1"/>
  <c r="S101" i="9" a="1"/>
  <c r="S101" i="9" s="1"/>
  <c r="R101" i="9" a="1"/>
  <c r="R101" i="9"/>
  <c r="AA101" i="9" s="1" a="1"/>
  <c r="AA101" i="9" s="1"/>
  <c r="Y100" i="9" a="1"/>
  <c r="Y100" i="9" s="1"/>
  <c r="U100" i="9" a="1"/>
  <c r="U100" i="9" s="1"/>
  <c r="R100" i="9" a="1"/>
  <c r="R100" i="9"/>
  <c r="X100" i="9" s="1" a="1"/>
  <c r="X100" i="9" s="1"/>
  <c r="AA99" i="9" a="1"/>
  <c r="AA99" i="9" s="1"/>
  <c r="R99" i="9" a="1"/>
  <c r="R99" i="9" s="1"/>
  <c r="W99" i="9" s="1" a="1"/>
  <c r="W99" i="9" s="1"/>
  <c r="AB98" i="9" a="1"/>
  <c r="AB98" i="9" s="1"/>
  <c r="Z98" i="9" a="1"/>
  <c r="Z98" i="9" s="1"/>
  <c r="Y98" i="9" a="1"/>
  <c r="Y98" i="9" s="1"/>
  <c r="X98" i="9" a="1"/>
  <c r="X98" i="9" s="1"/>
  <c r="W98" i="9" a="1"/>
  <c r="W98" i="9" s="1"/>
  <c r="T98" i="9" a="1"/>
  <c r="T98" i="9" s="1"/>
  <c r="S98" i="9" a="1"/>
  <c r="S98" i="9" s="1"/>
  <c r="R98" i="9" a="1"/>
  <c r="R98" i="9"/>
  <c r="AA98" i="9" s="1" a="1"/>
  <c r="AA98" i="9" s="1"/>
  <c r="Z97" i="9" a="1"/>
  <c r="Z97" i="9" s="1"/>
  <c r="R97" i="9" a="1"/>
  <c r="R97" i="9"/>
  <c r="V97" i="9" s="1" a="1"/>
  <c r="V97" i="9" s="1"/>
  <c r="AB96" i="9" a="1"/>
  <c r="AB96" i="9" s="1"/>
  <c r="X96" i="9" a="1"/>
  <c r="X96" i="9" s="1"/>
  <c r="S96" i="9" a="1"/>
  <c r="S96" i="9" s="1"/>
  <c r="R96" i="9" a="1"/>
  <c r="R96" i="9" s="1"/>
  <c r="Z95" i="9" a="1"/>
  <c r="Z95" i="9" s="1"/>
  <c r="Y95" i="9" a="1"/>
  <c r="Y95" i="9" s="1"/>
  <c r="U95" i="9" a="1"/>
  <c r="U95" i="9" s="1"/>
  <c r="R95" i="9" a="1"/>
  <c r="R95" i="9" s="1"/>
  <c r="X95" i="9" s="1" a="1"/>
  <c r="X95" i="9" s="1"/>
  <c r="R94" i="9" a="1"/>
  <c r="R94" i="9" s="1"/>
  <c r="AA94" i="9" s="1" a="1"/>
  <c r="AA94" i="9" s="1"/>
  <c r="Y93" i="9" a="1"/>
  <c r="Y93" i="9" s="1"/>
  <c r="T93" i="9" a="1"/>
  <c r="T93" i="9" s="1"/>
  <c r="R93" i="9" a="1"/>
  <c r="R93" i="9" s="1"/>
  <c r="V92" i="9" a="1"/>
  <c r="V92" i="9" s="1"/>
  <c r="R92" i="9" a="1"/>
  <c r="R92" i="9"/>
  <c r="AB91" i="9" a="1"/>
  <c r="AB91" i="9" s="1"/>
  <c r="Y91" i="9" a="1"/>
  <c r="Y91" i="9" s="1"/>
  <c r="X91" i="9" a="1"/>
  <c r="X91" i="9" s="1"/>
  <c r="W91" i="9" a="1"/>
  <c r="W91" i="9" s="1"/>
  <c r="S91" i="9" a="1"/>
  <c r="S91" i="9" s="1"/>
  <c r="R91" i="9" a="1"/>
  <c r="R91" i="9" s="1"/>
  <c r="AA91" i="9" s="1" a="1"/>
  <c r="AA91" i="9" s="1"/>
  <c r="R90" i="9" a="1"/>
  <c r="R90" i="9" s="1"/>
  <c r="Z90" i="9" s="1" a="1"/>
  <c r="Z90" i="9" s="1"/>
  <c r="R89" i="9" a="1"/>
  <c r="R89" i="9" s="1"/>
  <c r="AB89" i="9" s="1" a="1"/>
  <c r="AB89" i="9" s="1"/>
  <c r="Y88" i="9" a="1"/>
  <c r="Y88" i="9" s="1"/>
  <c r="R88" i="9" a="1"/>
  <c r="R88" i="9" s="1"/>
  <c r="Z88" i="9" s="1" a="1"/>
  <c r="Z88" i="9" s="1"/>
  <c r="AB87" i="9" a="1"/>
  <c r="AB87" i="9" s="1"/>
  <c r="R87" i="9" a="1"/>
  <c r="R87" i="9" s="1"/>
  <c r="AA87" i="9" s="1" a="1"/>
  <c r="AA87" i="9" s="1"/>
  <c r="AB86" i="9" a="1"/>
  <c r="AB86" i="9" s="1"/>
  <c r="R86" i="9" a="1"/>
  <c r="R86" i="9" s="1"/>
  <c r="X86" i="9" s="1" a="1"/>
  <c r="X86" i="9" s="1"/>
  <c r="AA85" i="9" a="1"/>
  <c r="AA85" i="9" s="1"/>
  <c r="R85" i="9" a="1"/>
  <c r="R85" i="9" s="1"/>
  <c r="Z85" i="9" s="1" a="1"/>
  <c r="Z85" i="9" s="1"/>
  <c r="AB84" i="9" a="1"/>
  <c r="AB84" i="9" s="1"/>
  <c r="W84" i="9" a="1"/>
  <c r="W84" i="9" s="1"/>
  <c r="R84" i="9" a="1"/>
  <c r="R84" i="9" s="1"/>
  <c r="T84" i="9" s="1" a="1"/>
  <c r="T84" i="9" s="1"/>
  <c r="AB83" i="9" a="1"/>
  <c r="AB83" i="9" s="1"/>
  <c r="Y83" i="9" a="1"/>
  <c r="Y83" i="9" s="1"/>
  <c r="X83" i="9" a="1"/>
  <c r="X83" i="9" s="1"/>
  <c r="W83" i="9" a="1"/>
  <c r="W83" i="9" s="1"/>
  <c r="V83" i="9" a="1"/>
  <c r="V83" i="9" s="1"/>
  <c r="T83" i="9" a="1"/>
  <c r="T83" i="9" s="1"/>
  <c r="S83" i="9" a="1"/>
  <c r="S83" i="9" s="1"/>
  <c r="R83" i="9" a="1"/>
  <c r="R83" i="9" s="1"/>
  <c r="AA83" i="9" s="1" a="1"/>
  <c r="AA83" i="9" s="1"/>
  <c r="V82" i="9" a="1"/>
  <c r="V82" i="9" s="1"/>
  <c r="R82" i="9" a="1"/>
  <c r="R82" i="9"/>
  <c r="AA82" i="9" s="1" a="1"/>
  <c r="AA82" i="9" s="1"/>
  <c r="T81" i="9" a="1"/>
  <c r="T81" i="9" s="1"/>
  <c r="R81" i="9" a="1"/>
  <c r="R81" i="9" s="1"/>
  <c r="R80" i="9" a="1"/>
  <c r="R80" i="9" s="1"/>
  <c r="Z80" i="9" s="1" a="1"/>
  <c r="Z80" i="9" s="1"/>
  <c r="AB79" i="9" a="1"/>
  <c r="AB79" i="9" s="1"/>
  <c r="W79" i="9" a="1"/>
  <c r="W79" i="9" s="1"/>
  <c r="V79" i="9" a="1"/>
  <c r="V79" i="9" s="1"/>
  <c r="T79" i="9" a="1"/>
  <c r="T79" i="9" s="1"/>
  <c r="S79" i="9" a="1"/>
  <c r="S79" i="9" s="1"/>
  <c r="R79" i="9" a="1"/>
  <c r="R79" i="9" s="1"/>
  <c r="Z79" i="9" s="1" a="1"/>
  <c r="Z79" i="9" s="1"/>
  <c r="AB78" i="9" a="1"/>
  <c r="AB78" i="9" s="1"/>
  <c r="Y78" i="9" a="1"/>
  <c r="Y78" i="9" s="1"/>
  <c r="V78" i="9" a="1"/>
  <c r="V78" i="9" s="1"/>
  <c r="T78" i="9" a="1"/>
  <c r="T78" i="9" s="1"/>
  <c r="S78" i="9" a="1"/>
  <c r="S78" i="9" s="1"/>
  <c r="R78" i="9" a="1"/>
  <c r="R78" i="9"/>
  <c r="U77" i="9" a="1"/>
  <c r="U77" i="9" s="1"/>
  <c r="R77" i="9" a="1"/>
  <c r="R77" i="9"/>
  <c r="X76" i="9" a="1"/>
  <c r="X76" i="9" s="1"/>
  <c r="W76" i="9" a="1"/>
  <c r="W76" i="9" s="1"/>
  <c r="T76" i="9" a="1"/>
  <c r="T76" i="9" s="1"/>
  <c r="R76" i="9" a="1"/>
  <c r="R76" i="9" s="1"/>
  <c r="AB75" i="9" a="1"/>
  <c r="AB75" i="9" s="1"/>
  <c r="Z75" i="9" a="1"/>
  <c r="Z75" i="9" s="1"/>
  <c r="Y75" i="9" a="1"/>
  <c r="Y75" i="9" s="1"/>
  <c r="X75" i="9" a="1"/>
  <c r="X75" i="9" s="1"/>
  <c r="W75" i="9" a="1"/>
  <c r="W75" i="9" s="1"/>
  <c r="V75" i="9" a="1"/>
  <c r="V75" i="9" s="1"/>
  <c r="U75" i="9" a="1"/>
  <c r="U75" i="9" s="1"/>
  <c r="T75" i="9" a="1"/>
  <c r="T75" i="9" s="1"/>
  <c r="S75" i="9" a="1"/>
  <c r="S75" i="9" s="1"/>
  <c r="R75" i="9" a="1"/>
  <c r="R75" i="9" s="1"/>
  <c r="AA75" i="9" s="1" a="1"/>
  <c r="AA75" i="9" s="1"/>
  <c r="R74" i="9" a="1"/>
  <c r="R74" i="9"/>
  <c r="W74" i="9" s="1" a="1"/>
  <c r="W74" i="9" s="1"/>
  <c r="Y73" i="9" a="1"/>
  <c r="Y73" i="9" s="1"/>
  <c r="U73" i="9" a="1"/>
  <c r="U73" i="9" s="1"/>
  <c r="S73" i="9" a="1"/>
  <c r="S73" i="9" s="1"/>
  <c r="R73" i="9" a="1"/>
  <c r="R73" i="9"/>
  <c r="W72" i="9" a="1"/>
  <c r="W72" i="9" s="1"/>
  <c r="R72" i="9" a="1"/>
  <c r="R72" i="9"/>
  <c r="V72" i="9" s="1" a="1"/>
  <c r="V72" i="9" s="1"/>
  <c r="AB71" i="9" a="1"/>
  <c r="AB71" i="9" s="1"/>
  <c r="Z71" i="9" a="1"/>
  <c r="Z71" i="9" s="1"/>
  <c r="X71" i="9" a="1"/>
  <c r="X71" i="9" s="1"/>
  <c r="W71" i="9" a="1"/>
  <c r="W71" i="9" s="1"/>
  <c r="V71" i="9" a="1"/>
  <c r="V71" i="9" s="1"/>
  <c r="U71" i="9" a="1"/>
  <c r="U71" i="9" s="1"/>
  <c r="S71" i="9" a="1"/>
  <c r="S71" i="9" s="1"/>
  <c r="R71" i="9" a="1"/>
  <c r="R71" i="9" s="1"/>
  <c r="X70" i="9" a="1"/>
  <c r="X70" i="9" s="1"/>
  <c r="S70" i="9" a="1"/>
  <c r="S70" i="9" s="1"/>
  <c r="R70" i="9" a="1"/>
  <c r="R70" i="9"/>
  <c r="AA70" i="9" s="1" a="1"/>
  <c r="AA70" i="9" s="1"/>
  <c r="R69" i="9" a="1"/>
  <c r="R69" i="9"/>
  <c r="R68" i="9" a="1"/>
  <c r="R68" i="9" s="1"/>
  <c r="AA67" i="9" a="1"/>
  <c r="AA67" i="9" s="1"/>
  <c r="Z67" i="9" a="1"/>
  <c r="Z67" i="9" s="1"/>
  <c r="Y67" i="9" a="1"/>
  <c r="Y67" i="9" s="1"/>
  <c r="X67" i="9" a="1"/>
  <c r="X67" i="9" s="1"/>
  <c r="V67" i="9" a="1"/>
  <c r="V67" i="9" s="1"/>
  <c r="U67" i="9" a="1"/>
  <c r="U67" i="9" s="1"/>
  <c r="T67" i="9" a="1"/>
  <c r="T67" i="9" s="1"/>
  <c r="R67" i="9" a="1"/>
  <c r="R67" i="9" s="1"/>
  <c r="AA66" i="9" a="1"/>
  <c r="AA66" i="9" s="1"/>
  <c r="Z66" i="9" a="1"/>
  <c r="Z66" i="9" s="1"/>
  <c r="Y66" i="9" a="1"/>
  <c r="Y66" i="9" s="1"/>
  <c r="X66" i="9" a="1"/>
  <c r="X66" i="9" s="1"/>
  <c r="V66" i="9" a="1"/>
  <c r="V66" i="9" s="1"/>
  <c r="T66" i="9" a="1"/>
  <c r="T66" i="9" s="1"/>
  <c r="S66" i="9" a="1"/>
  <c r="S66" i="9" s="1"/>
  <c r="R66" i="9" a="1"/>
  <c r="R66" i="9"/>
  <c r="U66" i="9" s="1" a="1"/>
  <c r="U66" i="9" s="1"/>
  <c r="Y65" i="9" a="1"/>
  <c r="Y65" i="9" s="1"/>
  <c r="T65" i="9" a="1"/>
  <c r="T65" i="9" s="1"/>
  <c r="R65" i="9" a="1"/>
  <c r="R65" i="9"/>
  <c r="AA65" i="9" s="1" a="1"/>
  <c r="AA65" i="9" s="1"/>
  <c r="Z64" i="9" a="1"/>
  <c r="Z64" i="9" s="1"/>
  <c r="X64" i="9" a="1"/>
  <c r="X64" i="9" s="1"/>
  <c r="R64" i="9" a="1"/>
  <c r="R64" i="9"/>
  <c r="U64" i="9" s="1" a="1"/>
  <c r="U64" i="9" s="1"/>
  <c r="AB63" i="9" a="1"/>
  <c r="AB63" i="9" s="1"/>
  <c r="Z63" i="9" a="1"/>
  <c r="Z63" i="9" s="1"/>
  <c r="X63" i="9" a="1"/>
  <c r="X63" i="9" s="1"/>
  <c r="U63" i="9" a="1"/>
  <c r="U63" i="9" s="1"/>
  <c r="T63" i="9" a="1"/>
  <c r="T63" i="9" s="1"/>
  <c r="S63" i="9" a="1"/>
  <c r="S63" i="9" s="1"/>
  <c r="R63" i="9" a="1"/>
  <c r="R63" i="9" s="1"/>
  <c r="W63" i="9" s="1" a="1"/>
  <c r="W63" i="9" s="1"/>
  <c r="Z62" i="9" a="1"/>
  <c r="Z62" i="9" s="1"/>
  <c r="W62" i="9" a="1"/>
  <c r="W62" i="9" s="1"/>
  <c r="U62" i="9" a="1"/>
  <c r="U62" i="9" s="1"/>
  <c r="R62" i="9" a="1"/>
  <c r="R62" i="9"/>
  <c r="Y62" i="9" s="1" a="1"/>
  <c r="Y62" i="9" s="1"/>
  <c r="R61" i="9" a="1"/>
  <c r="R61" i="9" s="1"/>
  <c r="AA60" i="9" a="1"/>
  <c r="AA60" i="9" s="1"/>
  <c r="R60" i="9" a="1"/>
  <c r="R60" i="9"/>
  <c r="X59" i="9" a="1"/>
  <c r="X59" i="9" s="1"/>
  <c r="V59" i="9" a="1"/>
  <c r="V59" i="9" s="1"/>
  <c r="R59" i="9" a="1"/>
  <c r="R59" i="9" s="1"/>
  <c r="X58" i="9" a="1"/>
  <c r="X58" i="9" s="1"/>
  <c r="S58" i="9" a="1"/>
  <c r="S58" i="9" s="1"/>
  <c r="R58" i="9" a="1"/>
  <c r="R58" i="9" s="1"/>
  <c r="AB58" i="9" s="1" a="1"/>
  <c r="AB58" i="9" s="1"/>
  <c r="AB57" i="9" a="1"/>
  <c r="AB57" i="9" s="1"/>
  <c r="Z57" i="9" a="1"/>
  <c r="Z57" i="9" s="1"/>
  <c r="W57" i="9" a="1"/>
  <c r="W57" i="9" s="1"/>
  <c r="U57" i="9" a="1"/>
  <c r="U57" i="9" s="1"/>
  <c r="R57" i="9" a="1"/>
  <c r="R57" i="9"/>
  <c r="Y57" i="9" s="1" a="1"/>
  <c r="Y57" i="9" s="1"/>
  <c r="R56" i="9" a="1"/>
  <c r="R56" i="9" s="1"/>
  <c r="AB56" i="9" s="1" a="1"/>
  <c r="AB56" i="9" s="1"/>
  <c r="T55" i="9" a="1"/>
  <c r="T55" i="9" s="1"/>
  <c r="R55" i="9" a="1"/>
  <c r="R55" i="9" s="1"/>
  <c r="AA55" i="9" s="1" a="1"/>
  <c r="AA55" i="9" s="1"/>
  <c r="R54" i="9" a="1"/>
  <c r="R54" i="9" s="1"/>
  <c r="R53" i="9" a="1"/>
  <c r="R53" i="9" s="1"/>
  <c r="AB52" i="9" a="1"/>
  <c r="AB52" i="9" s="1"/>
  <c r="Z52" i="9" a="1"/>
  <c r="Z52" i="9" s="1"/>
  <c r="U52" i="9" a="1"/>
  <c r="U52" i="9" s="1"/>
  <c r="T52" i="9" a="1"/>
  <c r="T52" i="9" s="1"/>
  <c r="S52" i="9" a="1"/>
  <c r="S52" i="9" s="1"/>
  <c r="R52" i="9" a="1"/>
  <c r="R52" i="9"/>
  <c r="Y52" i="9" s="1" a="1"/>
  <c r="Y52" i="9" s="1"/>
  <c r="AB51" i="9" a="1"/>
  <c r="AB51" i="9" s="1"/>
  <c r="Z51" i="9" a="1"/>
  <c r="Z51" i="9" s="1"/>
  <c r="Y51" i="9" a="1"/>
  <c r="Y51" i="9" s="1"/>
  <c r="X51" i="9" a="1"/>
  <c r="X51" i="9" s="1"/>
  <c r="W51" i="9" a="1"/>
  <c r="W51" i="9" s="1"/>
  <c r="V51" i="9" a="1"/>
  <c r="V51" i="9" s="1"/>
  <c r="U51" i="9" a="1"/>
  <c r="U51" i="9" s="1"/>
  <c r="T51" i="9" a="1"/>
  <c r="T51" i="9" s="1"/>
  <c r="S51" i="9" a="1"/>
  <c r="S51" i="9" s="1"/>
  <c r="R51" i="9" a="1"/>
  <c r="R51" i="9" s="1"/>
  <c r="AA51" i="9" s="1" a="1"/>
  <c r="AA51" i="9" s="1"/>
  <c r="R50" i="9" a="1"/>
  <c r="R50" i="9" s="1"/>
  <c r="R49" i="9" a="1"/>
  <c r="R49" i="9"/>
  <c r="R48" i="9" a="1"/>
  <c r="R48" i="9" s="1"/>
  <c r="AB47" i="9" a="1"/>
  <c r="AB47" i="9" s="1"/>
  <c r="Z47" i="9" a="1"/>
  <c r="Z47" i="9" s="1"/>
  <c r="V47" i="9" a="1"/>
  <c r="V47" i="9" s="1"/>
  <c r="U47" i="9" a="1"/>
  <c r="U47" i="9" s="1"/>
  <c r="T47" i="9" a="1"/>
  <c r="T47" i="9" s="1"/>
  <c r="S47" i="9" a="1"/>
  <c r="S47" i="9" s="1"/>
  <c r="R47" i="9" a="1"/>
  <c r="R47" i="9" s="1"/>
  <c r="Y47" i="9" s="1" a="1"/>
  <c r="Y47" i="9" s="1"/>
  <c r="AB46" i="9" a="1"/>
  <c r="AB46" i="9" s="1"/>
  <c r="W46" i="9" a="1"/>
  <c r="W46" i="9" s="1"/>
  <c r="V46" i="9" a="1"/>
  <c r="V46" i="9" s="1"/>
  <c r="U46" i="9" a="1"/>
  <c r="U46" i="9" s="1"/>
  <c r="S46" i="9" a="1"/>
  <c r="S46" i="9" s="1"/>
  <c r="R46" i="9" a="1"/>
  <c r="R46" i="9"/>
  <c r="Y45" i="9" a="1"/>
  <c r="Y45" i="9" s="1"/>
  <c r="R45" i="9" a="1"/>
  <c r="R45" i="9" s="1"/>
  <c r="R44" i="9" a="1"/>
  <c r="R44" i="9"/>
  <c r="Y43" i="9" a="1"/>
  <c r="Y43" i="9" s="1"/>
  <c r="X43" i="9" a="1"/>
  <c r="X43" i="9" s="1"/>
  <c r="W43" i="9" a="1"/>
  <c r="W43" i="9" s="1"/>
  <c r="V43" i="9" a="1"/>
  <c r="V43" i="9" s="1"/>
  <c r="T43" i="9" a="1"/>
  <c r="T43" i="9" s="1"/>
  <c r="R43" i="9" a="1"/>
  <c r="R43" i="9" s="1"/>
  <c r="AB43" i="9" s="1" a="1"/>
  <c r="AB43" i="9" s="1"/>
  <c r="Y42" i="9" a="1"/>
  <c r="Y42" i="9" s="1"/>
  <c r="R42" i="9" a="1"/>
  <c r="R42" i="9"/>
  <c r="AB41" i="9" a="1"/>
  <c r="AB41" i="9" s="1"/>
  <c r="W41" i="9" a="1"/>
  <c r="W41" i="9" s="1"/>
  <c r="V41" i="9" a="1"/>
  <c r="V41" i="9" s="1"/>
  <c r="U41" i="9" a="1"/>
  <c r="U41" i="9" s="1"/>
  <c r="T41" i="9" a="1"/>
  <c r="T41" i="9" s="1"/>
  <c r="S41" i="9" a="1"/>
  <c r="S41" i="9" s="1"/>
  <c r="R41" i="9" a="1"/>
  <c r="R41" i="9"/>
  <c r="X40" i="9" a="1"/>
  <c r="X40" i="9" s="1"/>
  <c r="R40" i="9" a="1"/>
  <c r="R40" i="9" s="1"/>
  <c r="Y40" i="9" s="1" a="1"/>
  <c r="Y40" i="9" s="1"/>
  <c r="AB39" i="9" a="1"/>
  <c r="AB39" i="9" s="1"/>
  <c r="AA39" i="9" a="1"/>
  <c r="AA39" i="9" s="1"/>
  <c r="Z39" i="9" a="1"/>
  <c r="Z39" i="9" s="1"/>
  <c r="U39" i="9" a="1"/>
  <c r="U39" i="9" s="1"/>
  <c r="T39" i="9" a="1"/>
  <c r="T39" i="9" s="1"/>
  <c r="S39" i="9" a="1"/>
  <c r="S39" i="9" s="1"/>
  <c r="R39" i="9" a="1"/>
  <c r="R39" i="9" s="1"/>
  <c r="W39" i="9" s="1" a="1"/>
  <c r="W39" i="9" s="1"/>
  <c r="R38" i="9" a="1"/>
  <c r="R38" i="9"/>
  <c r="V37" i="9" a="1"/>
  <c r="V37" i="9" s="1"/>
  <c r="R37" i="9" a="1"/>
  <c r="R37" i="9"/>
  <c r="AB36" i="9" a="1"/>
  <c r="AB36" i="9" s="1"/>
  <c r="AA36" i="9" a="1"/>
  <c r="AA36" i="9" s="1"/>
  <c r="V36" i="9" a="1"/>
  <c r="V36" i="9" s="1"/>
  <c r="U36" i="9" a="1"/>
  <c r="U36" i="9" s="1"/>
  <c r="R36" i="9" a="1"/>
  <c r="R36" i="9"/>
  <c r="AB35" i="9" a="1"/>
  <c r="AB35" i="9" s="1"/>
  <c r="Z35" i="9" a="1"/>
  <c r="Z35" i="9" s="1"/>
  <c r="Y35" i="9" a="1"/>
  <c r="Y35" i="9" s="1"/>
  <c r="X35" i="9" a="1"/>
  <c r="X35" i="9" s="1"/>
  <c r="W35" i="9" a="1"/>
  <c r="W35" i="9" s="1"/>
  <c r="V35" i="9" a="1"/>
  <c r="V35" i="9" s="1"/>
  <c r="U35" i="9" a="1"/>
  <c r="U35" i="9" s="1"/>
  <c r="S35" i="9" a="1"/>
  <c r="S35" i="9" s="1"/>
  <c r="R35" i="9" a="1"/>
  <c r="R35" i="9" s="1"/>
  <c r="T35" i="9" s="1" a="1"/>
  <c r="T35" i="9" s="1"/>
  <c r="T34" i="9" a="1"/>
  <c r="T34" i="9" s="1"/>
  <c r="R34" i="9" a="1"/>
  <c r="R34" i="9" s="1"/>
  <c r="Y33" i="9" a="1"/>
  <c r="Y33" i="9" s="1"/>
  <c r="R33" i="9" a="1"/>
  <c r="R33" i="9"/>
  <c r="AB33" i="9" s="1" a="1"/>
  <c r="AB33" i="9" s="1"/>
  <c r="X32" i="9" a="1"/>
  <c r="X32" i="9" s="1"/>
  <c r="R32" i="9" a="1"/>
  <c r="R32" i="9"/>
  <c r="T31" i="9" a="1"/>
  <c r="T31" i="9" s="1"/>
  <c r="R31" i="9" a="1"/>
  <c r="R31" i="9" s="1"/>
  <c r="S30" i="9" a="1"/>
  <c r="S30" i="9" s="1"/>
  <c r="R30" i="9" a="1"/>
  <c r="R30" i="9"/>
  <c r="AB30" i="9" s="1" a="1"/>
  <c r="AB30" i="9" s="1"/>
  <c r="AB29" i="9" a="1"/>
  <c r="AB29" i="9" s="1"/>
  <c r="AA29" i="9" a="1"/>
  <c r="AA29" i="9" s="1"/>
  <c r="Z29" i="9" a="1"/>
  <c r="Z29" i="9" s="1"/>
  <c r="Y29" i="9" a="1"/>
  <c r="Y29" i="9" s="1"/>
  <c r="U29" i="9" a="1"/>
  <c r="U29" i="9" s="1"/>
  <c r="S29" i="9" a="1"/>
  <c r="S29" i="9" s="1"/>
  <c r="R29" i="9" a="1"/>
  <c r="R29" i="9" s="1"/>
  <c r="W29" i="9" s="1" a="1"/>
  <c r="W29" i="9" s="1"/>
  <c r="R28" i="9" a="1"/>
  <c r="R28" i="9"/>
  <c r="Y27" i="9" a="1"/>
  <c r="Y27" i="9" s="1"/>
  <c r="W27" i="9" a="1"/>
  <c r="W27" i="9" s="1"/>
  <c r="T27" i="9" a="1"/>
  <c r="T27" i="9" s="1"/>
  <c r="R27" i="9" a="1"/>
  <c r="R27" i="9" s="1"/>
  <c r="V27" i="9" s="1" a="1"/>
  <c r="V27" i="9" s="1"/>
  <c r="AB26" i="9" a="1"/>
  <c r="AB26" i="9" s="1"/>
  <c r="V26" i="9" a="1"/>
  <c r="V26" i="9" s="1"/>
  <c r="R26" i="9" a="1"/>
  <c r="R26" i="9"/>
  <c r="AA26" i="9" s="1" a="1"/>
  <c r="AA26" i="9" s="1"/>
  <c r="Z25" i="9" a="1"/>
  <c r="Z25" i="9" s="1"/>
  <c r="W25" i="9" a="1"/>
  <c r="W25" i="9" s="1"/>
  <c r="V25" i="9" a="1"/>
  <c r="V25" i="9" s="1"/>
  <c r="U25" i="9" a="1"/>
  <c r="U25" i="9" s="1"/>
  <c r="R25" i="9" a="1"/>
  <c r="R25" i="9"/>
  <c r="R24" i="9" a="1"/>
  <c r="R24" i="9" s="1"/>
  <c r="AB24" i="9" s="1" a="1"/>
  <c r="AB24" i="9" s="1"/>
  <c r="AA23" i="9" a="1"/>
  <c r="AA23" i="9" s="1"/>
  <c r="W23" i="9" a="1"/>
  <c r="W23" i="9" s="1"/>
  <c r="U23" i="9" a="1"/>
  <c r="U23" i="9" s="1"/>
  <c r="R23" i="9" a="1"/>
  <c r="R23" i="9" s="1"/>
  <c r="X22" i="9" a="1"/>
  <c r="X22" i="9" s="1"/>
  <c r="V22" i="9" a="1"/>
  <c r="V22" i="9" s="1"/>
  <c r="S22" i="9" a="1"/>
  <c r="S22" i="9" s="1"/>
  <c r="R22" i="9" a="1"/>
  <c r="R22" i="9"/>
  <c r="R21" i="9" a="1"/>
  <c r="R21" i="9"/>
  <c r="R20" i="9" a="1"/>
  <c r="R20" i="9"/>
  <c r="AB19" i="9" a="1"/>
  <c r="AB19" i="9" s="1"/>
  <c r="Z19" i="9" a="1"/>
  <c r="Z19" i="9" s="1"/>
  <c r="Y19" i="9" a="1"/>
  <c r="Y19" i="9" s="1"/>
  <c r="X19" i="9" a="1"/>
  <c r="X19" i="9" s="1"/>
  <c r="W19" i="9" a="1"/>
  <c r="W19" i="9" s="1"/>
  <c r="V19" i="9" a="1"/>
  <c r="V19" i="9" s="1"/>
  <c r="U19" i="9" a="1"/>
  <c r="U19" i="9" s="1"/>
  <c r="T19" i="9" a="1"/>
  <c r="T19" i="9" s="1"/>
  <c r="S19" i="9" a="1"/>
  <c r="S19" i="9" s="1"/>
  <c r="R19" i="9" a="1"/>
  <c r="R19" i="9" s="1"/>
  <c r="AA19" i="9" s="1" a="1"/>
  <c r="AA19" i="9" s="1"/>
  <c r="AA18" i="9" a="1"/>
  <c r="AA18" i="9" s="1"/>
  <c r="Z18" i="9" a="1"/>
  <c r="Z18" i="9" s="1"/>
  <c r="Y18" i="9" a="1"/>
  <c r="Y18" i="9" s="1"/>
  <c r="V18" i="9" a="1"/>
  <c r="V18" i="9" s="1"/>
  <c r="U18" i="9" a="1"/>
  <c r="U18" i="9" s="1"/>
  <c r="T18" i="9" a="1"/>
  <c r="T18" i="9" s="1"/>
  <c r="S18" i="9" a="1"/>
  <c r="S18" i="9" s="1"/>
  <c r="R18" i="9" a="1"/>
  <c r="R18" i="9"/>
  <c r="X18" i="9" s="1" a="1"/>
  <c r="X18" i="9" s="1"/>
  <c r="R17" i="9" a="1"/>
  <c r="R17" i="9"/>
  <c r="R16" i="9" a="1"/>
  <c r="R16" i="9" s="1"/>
  <c r="R15" i="9" a="1"/>
  <c r="R15" i="9" s="1"/>
  <c r="R14" i="9" a="1"/>
  <c r="R14" i="9" s="1"/>
  <c r="R13" i="9" a="1"/>
  <c r="R13" i="9" s="1"/>
  <c r="R12" i="9" a="1"/>
  <c r="R12" i="9" s="1"/>
  <c r="R11" i="9" a="1"/>
  <c r="R11" i="9"/>
  <c r="AA10" i="9" a="1"/>
  <c r="AA10" i="9" s="1"/>
  <c r="U10" i="9" a="1"/>
  <c r="U10" i="9" s="1"/>
  <c r="R10" i="9" a="1"/>
  <c r="R10" i="9"/>
  <c r="AA9" i="9" a="1"/>
  <c r="AA9" i="9" s="1"/>
  <c r="Z9" i="9" a="1"/>
  <c r="Z9" i="9" s="1"/>
  <c r="X9" i="9" a="1"/>
  <c r="X9" i="9" s="1"/>
  <c r="V9" i="9" a="1"/>
  <c r="V9" i="9" s="1"/>
  <c r="T9" i="9" a="1"/>
  <c r="T9" i="9" s="1"/>
  <c r="S9" i="9" a="1"/>
  <c r="S9" i="9" s="1"/>
  <c r="R9" i="9" a="1"/>
  <c r="R9" i="9" s="1"/>
  <c r="Y8" i="9" a="1"/>
  <c r="Y8" i="9" s="1"/>
  <c r="R8" i="9" a="1"/>
  <c r="R8" i="9"/>
  <c r="T7" i="9" a="1"/>
  <c r="T7" i="9" s="1"/>
  <c r="R7" i="9" a="1"/>
  <c r="R7" i="9"/>
  <c r="Y6" i="9" a="1"/>
  <c r="Y6" i="9" s="1"/>
  <c r="T6" i="9" a="1"/>
  <c r="T6" i="9" s="1"/>
  <c r="R6" i="9" a="1"/>
  <c r="R6" i="9"/>
  <c r="AA6" i="9" s="1" a="1"/>
  <c r="AA6" i="9" s="1"/>
  <c r="X5" i="9" a="1"/>
  <c r="X5" i="9" s="1"/>
  <c r="S5" i="9" a="1"/>
  <c r="S5" i="9" s="1"/>
  <c r="R5" i="9" a="1"/>
  <c r="R5" i="9" s="1"/>
  <c r="AA5" i="9" s="1" a="1"/>
  <c r="AA5" i="9" s="1"/>
  <c r="R4" i="9" a="1"/>
  <c r="R4" i="9" s="1"/>
  <c r="T3" i="9" a="1"/>
  <c r="T3" i="9" s="1"/>
  <c r="R3" i="9" a="1"/>
  <c r="R3" i="9" s="1"/>
  <c r="AA3" i="9" s="1" a="1"/>
  <c r="AA3" i="9" s="1"/>
  <c r="A2" i="9"/>
  <c r="B6" i="8"/>
  <c r="E184" i="9" s="1"/>
  <c r="M8" i="6"/>
  <c r="L8" i="6"/>
  <c r="E8" i="6"/>
  <c r="A8" i="6"/>
  <c r="N7" i="6"/>
  <c r="M7" i="6"/>
  <c r="L7" i="6"/>
  <c r="G7" i="6" s="1"/>
  <c r="H7" i="6"/>
  <c r="I7" i="6" s="1"/>
  <c r="E7" i="6"/>
  <c r="A7" i="6"/>
  <c r="M6" i="6"/>
  <c r="L6" i="6"/>
  <c r="E6" i="6"/>
  <c r="D6" i="6"/>
  <c r="A6" i="6"/>
  <c r="N5" i="6"/>
  <c r="H5" i="6" s="1"/>
  <c r="I5" i="6" s="1"/>
  <c r="M5" i="6"/>
  <c r="L5" i="6"/>
  <c r="G5" i="6" s="1"/>
  <c r="E5" i="6"/>
  <c r="A5" i="6"/>
  <c r="M4" i="6"/>
  <c r="L4" i="6"/>
  <c r="E4" i="6"/>
  <c r="A4" i="6"/>
  <c r="N3" i="6"/>
  <c r="M3" i="6"/>
  <c r="L3" i="6"/>
  <c r="G3" i="6" s="1"/>
  <c r="H3" i="6"/>
  <c r="I3" i="6" s="1"/>
  <c r="E3" i="6"/>
  <c r="D3" i="6"/>
  <c r="A3" i="6"/>
  <c r="M2" i="6"/>
  <c r="L2" i="6"/>
  <c r="E2" i="6"/>
  <c r="D2" i="6"/>
  <c r="A2" i="6"/>
  <c r="AK150" i="5"/>
  <c r="AI150" i="5"/>
  <c r="AG150" i="5"/>
  <c r="AE150" i="5"/>
  <c r="AC150" i="5"/>
  <c r="AA150" i="5"/>
  <c r="Y150" i="5"/>
  <c r="W150" i="5"/>
  <c r="U150" i="5"/>
  <c r="D8" i="6" s="1"/>
  <c r="S150" i="5"/>
  <c r="D7" i="6" s="1"/>
  <c r="Q150" i="5"/>
  <c r="O150" i="5"/>
  <c r="D5" i="6" s="1"/>
  <c r="M150" i="5"/>
  <c r="K150" i="5"/>
  <c r="D4" i="6" s="1"/>
  <c r="I150" i="5"/>
  <c r="G150" i="5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L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T145" i="4"/>
  <c r="K145" i="4"/>
  <c r="J145" i="4"/>
  <c r="I145" i="4"/>
  <c r="H145" i="4"/>
  <c r="G145" i="4"/>
  <c r="F145" i="4"/>
  <c r="E145" i="4"/>
  <c r="D145" i="4"/>
  <c r="C145" i="4"/>
  <c r="B145" i="4"/>
  <c r="A145" i="4"/>
  <c r="V145" i="4" s="1"/>
  <c r="AM145" i="5" s="1"/>
  <c r="T144" i="4"/>
  <c r="K144" i="4"/>
  <c r="J144" i="4"/>
  <c r="I144" i="4"/>
  <c r="H144" i="4"/>
  <c r="G144" i="4"/>
  <c r="F144" i="4"/>
  <c r="E144" i="4"/>
  <c r="D144" i="4"/>
  <c r="C144" i="4"/>
  <c r="B144" i="4"/>
  <c r="T143" i="4"/>
  <c r="R143" i="4"/>
  <c r="K143" i="4"/>
  <c r="J143" i="4"/>
  <c r="I143" i="4"/>
  <c r="H143" i="4"/>
  <c r="G143" i="4"/>
  <c r="F143" i="4"/>
  <c r="E143" i="4"/>
  <c r="D143" i="4"/>
  <c r="C143" i="4"/>
  <c r="B143" i="4"/>
  <c r="A143" i="4"/>
  <c r="Q143" i="4" s="1"/>
  <c r="T142" i="4"/>
  <c r="K142" i="4"/>
  <c r="J142" i="4"/>
  <c r="I142" i="4"/>
  <c r="H142" i="4"/>
  <c r="G142" i="4"/>
  <c r="F142" i="4"/>
  <c r="E142" i="4"/>
  <c r="D142" i="4"/>
  <c r="C142" i="4"/>
  <c r="B142" i="4"/>
  <c r="T141" i="4"/>
  <c r="K141" i="4"/>
  <c r="J141" i="4"/>
  <c r="I141" i="4"/>
  <c r="H141" i="4"/>
  <c r="G141" i="4"/>
  <c r="F141" i="4"/>
  <c r="E141" i="4"/>
  <c r="D141" i="4"/>
  <c r="C141" i="4"/>
  <c r="B141" i="4"/>
  <c r="A141" i="4"/>
  <c r="V141" i="4" s="1"/>
  <c r="AM141" i="5" s="1"/>
  <c r="T140" i="4"/>
  <c r="K140" i="4"/>
  <c r="J140" i="4"/>
  <c r="I140" i="4"/>
  <c r="H140" i="4"/>
  <c r="G140" i="4"/>
  <c r="F140" i="4"/>
  <c r="E140" i="4"/>
  <c r="D140" i="4"/>
  <c r="C140" i="4"/>
  <c r="B140" i="4"/>
  <c r="T139" i="4"/>
  <c r="P139" i="4"/>
  <c r="L139" i="4"/>
  <c r="K139" i="4"/>
  <c r="J139" i="4"/>
  <c r="I139" i="4"/>
  <c r="H139" i="4"/>
  <c r="G139" i="4"/>
  <c r="F139" i="4"/>
  <c r="E139" i="4"/>
  <c r="D139" i="4"/>
  <c r="C139" i="4"/>
  <c r="B139" i="4"/>
  <c r="A139" i="4"/>
  <c r="Q139" i="4" s="1"/>
  <c r="T138" i="4"/>
  <c r="K138" i="4"/>
  <c r="J138" i="4"/>
  <c r="I138" i="4"/>
  <c r="H138" i="4"/>
  <c r="G138" i="4"/>
  <c r="F138" i="4"/>
  <c r="E138" i="4"/>
  <c r="D138" i="4"/>
  <c r="C138" i="4"/>
  <c r="B138" i="4"/>
  <c r="W137" i="4"/>
  <c r="AN137" i="5" s="1"/>
  <c r="V137" i="4"/>
  <c r="AM137" i="5" s="1"/>
  <c r="T137" i="4"/>
  <c r="K137" i="4"/>
  <c r="J137" i="4"/>
  <c r="I137" i="4"/>
  <c r="H137" i="4"/>
  <c r="G137" i="4"/>
  <c r="F137" i="4"/>
  <c r="E137" i="4"/>
  <c r="D137" i="4"/>
  <c r="C137" i="4"/>
  <c r="B137" i="4"/>
  <c r="A137" i="4"/>
  <c r="R137" i="4" s="1"/>
  <c r="T136" i="4"/>
  <c r="K136" i="4"/>
  <c r="J136" i="4"/>
  <c r="I136" i="4"/>
  <c r="H136" i="4"/>
  <c r="G136" i="4"/>
  <c r="F136" i="4"/>
  <c r="E136" i="4"/>
  <c r="D136" i="4"/>
  <c r="C136" i="4"/>
  <c r="B136" i="4"/>
  <c r="T135" i="4"/>
  <c r="P135" i="4"/>
  <c r="O135" i="4"/>
  <c r="L135" i="4"/>
  <c r="K135" i="4"/>
  <c r="J135" i="4"/>
  <c r="I135" i="4"/>
  <c r="H135" i="4"/>
  <c r="G135" i="4"/>
  <c r="F135" i="4"/>
  <c r="E135" i="4"/>
  <c r="D135" i="4"/>
  <c r="C135" i="4"/>
  <c r="B135" i="4"/>
  <c r="A135" i="4"/>
  <c r="Q135" i="4" s="1"/>
  <c r="T134" i="4"/>
  <c r="K134" i="4"/>
  <c r="J134" i="4"/>
  <c r="I134" i="4"/>
  <c r="H134" i="4"/>
  <c r="G134" i="4"/>
  <c r="F134" i="4"/>
  <c r="E134" i="4"/>
  <c r="D134" i="4"/>
  <c r="C134" i="4"/>
  <c r="B134" i="4"/>
  <c r="W133" i="4"/>
  <c r="AN133" i="5" s="1"/>
  <c r="V133" i="4"/>
  <c r="AM133" i="5" s="1"/>
  <c r="T133" i="4"/>
  <c r="L133" i="4"/>
  <c r="K133" i="4"/>
  <c r="J133" i="4"/>
  <c r="I133" i="4"/>
  <c r="H133" i="4"/>
  <c r="G133" i="4"/>
  <c r="F133" i="4"/>
  <c r="E133" i="4"/>
  <c r="D133" i="4"/>
  <c r="C133" i="4"/>
  <c r="B133" i="4"/>
  <c r="A133" i="4"/>
  <c r="R133" i="4" s="1"/>
  <c r="T132" i="4"/>
  <c r="K132" i="4"/>
  <c r="J132" i="4"/>
  <c r="I132" i="4"/>
  <c r="H132" i="4"/>
  <c r="G132" i="4"/>
  <c r="F132" i="4"/>
  <c r="E132" i="4"/>
  <c r="D132" i="4"/>
  <c r="C132" i="4"/>
  <c r="B132" i="4"/>
  <c r="T131" i="4"/>
  <c r="R131" i="4"/>
  <c r="P131" i="4"/>
  <c r="O131" i="4"/>
  <c r="K131" i="4"/>
  <c r="J131" i="4"/>
  <c r="I131" i="4"/>
  <c r="H131" i="4"/>
  <c r="G131" i="4"/>
  <c r="F131" i="4"/>
  <c r="E131" i="4"/>
  <c r="D131" i="4"/>
  <c r="C131" i="4"/>
  <c r="B131" i="4"/>
  <c r="A131" i="4"/>
  <c r="Q131" i="4" s="1"/>
  <c r="T130" i="4"/>
  <c r="K130" i="4"/>
  <c r="J130" i="4"/>
  <c r="I130" i="4"/>
  <c r="H130" i="4"/>
  <c r="G130" i="4"/>
  <c r="F130" i="4"/>
  <c r="E130" i="4"/>
  <c r="D130" i="4"/>
  <c r="C130" i="4"/>
  <c r="B130" i="4"/>
  <c r="W129" i="4"/>
  <c r="AN129" i="5" s="1"/>
  <c r="T129" i="4"/>
  <c r="N129" i="4"/>
  <c r="L129" i="4"/>
  <c r="K129" i="4"/>
  <c r="J129" i="4"/>
  <c r="I129" i="4"/>
  <c r="H129" i="4"/>
  <c r="G129" i="4"/>
  <c r="F129" i="4"/>
  <c r="E129" i="4"/>
  <c r="D129" i="4"/>
  <c r="C129" i="4"/>
  <c r="B129" i="4"/>
  <c r="A129" i="4"/>
  <c r="V129" i="4" s="1"/>
  <c r="AM129" i="5" s="1"/>
  <c r="T128" i="4"/>
  <c r="K128" i="4"/>
  <c r="J128" i="4"/>
  <c r="I128" i="4"/>
  <c r="H128" i="4"/>
  <c r="G128" i="4"/>
  <c r="F128" i="4"/>
  <c r="E128" i="4"/>
  <c r="D128" i="4"/>
  <c r="C128" i="4"/>
  <c r="B128" i="4"/>
  <c r="T127" i="4"/>
  <c r="S127" i="4"/>
  <c r="R127" i="4"/>
  <c r="K127" i="4"/>
  <c r="J127" i="4"/>
  <c r="I127" i="4"/>
  <c r="H127" i="4"/>
  <c r="G127" i="4"/>
  <c r="F127" i="4"/>
  <c r="E127" i="4"/>
  <c r="D127" i="4"/>
  <c r="C127" i="4"/>
  <c r="B127" i="4"/>
  <c r="A127" i="4"/>
  <c r="Q127" i="4" s="1"/>
  <c r="T126" i="4"/>
  <c r="R126" i="4"/>
  <c r="K126" i="4"/>
  <c r="J126" i="4"/>
  <c r="I126" i="4"/>
  <c r="H126" i="4"/>
  <c r="G126" i="4"/>
  <c r="F126" i="4"/>
  <c r="E126" i="4"/>
  <c r="D126" i="4"/>
  <c r="C126" i="4"/>
  <c r="B126" i="4"/>
  <c r="A126" i="4"/>
  <c r="P126" i="4" s="1"/>
  <c r="T125" i="4"/>
  <c r="K125" i="4"/>
  <c r="J125" i="4"/>
  <c r="I125" i="4"/>
  <c r="H125" i="4"/>
  <c r="G125" i="4"/>
  <c r="F125" i="4"/>
  <c r="E125" i="4"/>
  <c r="D125" i="4"/>
  <c r="C125" i="4"/>
  <c r="B125" i="4"/>
  <c r="A125" i="4"/>
  <c r="W125" i="4" s="1"/>
  <c r="AN125" i="5" s="1"/>
  <c r="T124" i="4"/>
  <c r="K124" i="4"/>
  <c r="J124" i="4"/>
  <c r="I124" i="4"/>
  <c r="H124" i="4"/>
  <c r="G124" i="4"/>
  <c r="F124" i="4"/>
  <c r="E124" i="4"/>
  <c r="D124" i="4"/>
  <c r="C124" i="4"/>
  <c r="B124" i="4"/>
  <c r="A124" i="4"/>
  <c r="L124" i="4" s="1"/>
  <c r="T123" i="4"/>
  <c r="P123" i="4"/>
  <c r="O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A123" i="4"/>
  <c r="Q123" i="4" s="1"/>
  <c r="T122" i="4"/>
  <c r="K122" i="4"/>
  <c r="J122" i="4"/>
  <c r="I122" i="4"/>
  <c r="H122" i="4"/>
  <c r="G122" i="4"/>
  <c r="F122" i="4"/>
  <c r="E122" i="4"/>
  <c r="D122" i="4"/>
  <c r="C122" i="4"/>
  <c r="B122" i="4"/>
  <c r="A122" i="4"/>
  <c r="P122" i="4" s="1"/>
  <c r="T121" i="4"/>
  <c r="K121" i="4"/>
  <c r="J121" i="4"/>
  <c r="I121" i="4"/>
  <c r="H121" i="4"/>
  <c r="G121" i="4"/>
  <c r="F121" i="4"/>
  <c r="E121" i="4"/>
  <c r="D121" i="4"/>
  <c r="C121" i="4"/>
  <c r="B121" i="4"/>
  <c r="A121" i="4"/>
  <c r="W121" i="4" s="1"/>
  <c r="AN121" i="5" s="1"/>
  <c r="T120" i="4"/>
  <c r="K120" i="4"/>
  <c r="J120" i="4"/>
  <c r="I120" i="4"/>
  <c r="H120" i="4"/>
  <c r="G120" i="4"/>
  <c r="F120" i="4"/>
  <c r="E120" i="4"/>
  <c r="D120" i="4"/>
  <c r="C120" i="4"/>
  <c r="B120" i="4"/>
  <c r="A120" i="4"/>
  <c r="S120" i="4" s="1"/>
  <c r="T119" i="4"/>
  <c r="P119" i="4"/>
  <c r="O119" i="4"/>
  <c r="N119" i="4"/>
  <c r="K119" i="4"/>
  <c r="J119" i="4"/>
  <c r="I119" i="4"/>
  <c r="H119" i="4"/>
  <c r="G119" i="4"/>
  <c r="F119" i="4"/>
  <c r="E119" i="4"/>
  <c r="D119" i="4"/>
  <c r="C119" i="4"/>
  <c r="B119" i="4"/>
  <c r="A119" i="4"/>
  <c r="Q119" i="4" s="1"/>
  <c r="T118" i="4"/>
  <c r="R118" i="4"/>
  <c r="P118" i="4"/>
  <c r="K118" i="4"/>
  <c r="J118" i="4"/>
  <c r="I118" i="4"/>
  <c r="H118" i="4"/>
  <c r="G118" i="4"/>
  <c r="F118" i="4"/>
  <c r="E118" i="4"/>
  <c r="D118" i="4"/>
  <c r="C118" i="4"/>
  <c r="B118" i="4"/>
  <c r="A118" i="4"/>
  <c r="O118" i="4" s="1"/>
  <c r="T117" i="4"/>
  <c r="P117" i="4"/>
  <c r="O117" i="4"/>
  <c r="N117" i="4"/>
  <c r="K117" i="4"/>
  <c r="J117" i="4"/>
  <c r="I117" i="4"/>
  <c r="H117" i="4"/>
  <c r="G117" i="4"/>
  <c r="F117" i="4"/>
  <c r="E117" i="4"/>
  <c r="D117" i="4"/>
  <c r="C117" i="4"/>
  <c r="B117" i="4"/>
  <c r="A117" i="4"/>
  <c r="V117" i="4" s="1"/>
  <c r="AM117" i="5" s="1"/>
  <c r="V116" i="4"/>
  <c r="AM116" i="5" s="1"/>
  <c r="T116" i="4"/>
  <c r="N116" i="4"/>
  <c r="M116" i="4"/>
  <c r="K116" i="4"/>
  <c r="J116" i="4"/>
  <c r="I116" i="4"/>
  <c r="H116" i="4"/>
  <c r="G116" i="4"/>
  <c r="F116" i="4"/>
  <c r="E116" i="4"/>
  <c r="D116" i="4"/>
  <c r="C116" i="4"/>
  <c r="B116" i="4"/>
  <c r="A116" i="4"/>
  <c r="S116" i="4" s="1"/>
  <c r="W115" i="4"/>
  <c r="AN115" i="5" s="1"/>
  <c r="V115" i="4"/>
  <c r="AM115" i="5" s="1"/>
  <c r="T115" i="4"/>
  <c r="S115" i="4"/>
  <c r="P115" i="4"/>
  <c r="O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Q115" i="4" s="1"/>
  <c r="T114" i="4"/>
  <c r="K114" i="4"/>
  <c r="J114" i="4"/>
  <c r="I114" i="4"/>
  <c r="H114" i="4"/>
  <c r="G114" i="4"/>
  <c r="F114" i="4"/>
  <c r="E114" i="4"/>
  <c r="D114" i="4"/>
  <c r="C114" i="4"/>
  <c r="B114" i="4"/>
  <c r="A114" i="4"/>
  <c r="O114" i="4" s="1"/>
  <c r="T113" i="4"/>
  <c r="K113" i="4"/>
  <c r="J113" i="4"/>
  <c r="I113" i="4"/>
  <c r="H113" i="4"/>
  <c r="G113" i="4"/>
  <c r="F113" i="4"/>
  <c r="E113" i="4"/>
  <c r="D113" i="4"/>
  <c r="C113" i="4"/>
  <c r="B113" i="4"/>
  <c r="A113" i="4"/>
  <c r="V113" i="4" s="1"/>
  <c r="AM113" i="5" s="1"/>
  <c r="T112" i="4"/>
  <c r="N112" i="4"/>
  <c r="K112" i="4"/>
  <c r="J112" i="4"/>
  <c r="I112" i="4"/>
  <c r="H112" i="4"/>
  <c r="G112" i="4"/>
  <c r="F112" i="4"/>
  <c r="E112" i="4"/>
  <c r="D112" i="4"/>
  <c r="C112" i="4"/>
  <c r="B112" i="4"/>
  <c r="A112" i="4"/>
  <c r="S112" i="4" s="1"/>
  <c r="T111" i="4"/>
  <c r="P111" i="4"/>
  <c r="O111" i="4"/>
  <c r="K111" i="4"/>
  <c r="J111" i="4"/>
  <c r="I111" i="4"/>
  <c r="H111" i="4"/>
  <c r="G111" i="4"/>
  <c r="F111" i="4"/>
  <c r="E111" i="4"/>
  <c r="D111" i="4"/>
  <c r="C111" i="4"/>
  <c r="B111" i="4"/>
  <c r="A111" i="4"/>
  <c r="Q111" i="4" s="1"/>
  <c r="T110" i="4"/>
  <c r="R110" i="4"/>
  <c r="K110" i="4"/>
  <c r="J110" i="4"/>
  <c r="I110" i="4"/>
  <c r="H110" i="4"/>
  <c r="G110" i="4"/>
  <c r="F110" i="4"/>
  <c r="E110" i="4"/>
  <c r="D110" i="4"/>
  <c r="C110" i="4"/>
  <c r="B110" i="4"/>
  <c r="A110" i="4"/>
  <c r="O110" i="4" s="1"/>
  <c r="T109" i="4"/>
  <c r="P109" i="4"/>
  <c r="O109" i="4"/>
  <c r="K109" i="4"/>
  <c r="J109" i="4"/>
  <c r="I109" i="4"/>
  <c r="H109" i="4"/>
  <c r="G109" i="4"/>
  <c r="F109" i="4"/>
  <c r="E109" i="4"/>
  <c r="D109" i="4"/>
  <c r="C109" i="4"/>
  <c r="B109" i="4"/>
  <c r="A109" i="4"/>
  <c r="V109" i="4" s="1"/>
  <c r="AM109" i="5" s="1"/>
  <c r="T108" i="4"/>
  <c r="R108" i="4"/>
  <c r="K108" i="4"/>
  <c r="J108" i="4"/>
  <c r="I108" i="4"/>
  <c r="H108" i="4"/>
  <c r="G108" i="4"/>
  <c r="F108" i="4"/>
  <c r="E108" i="4"/>
  <c r="D108" i="4"/>
  <c r="C108" i="4"/>
  <c r="B108" i="4"/>
  <c r="A108" i="4"/>
  <c r="S108" i="4" s="1"/>
  <c r="W107" i="4"/>
  <c r="AN107" i="5" s="1"/>
  <c r="T107" i="4"/>
  <c r="N107" i="4"/>
  <c r="M107" i="4"/>
  <c r="K107" i="4"/>
  <c r="J107" i="4"/>
  <c r="I107" i="4"/>
  <c r="H107" i="4"/>
  <c r="G107" i="4"/>
  <c r="F107" i="4"/>
  <c r="E107" i="4"/>
  <c r="D107" i="4"/>
  <c r="C107" i="4"/>
  <c r="B107" i="4"/>
  <c r="A107" i="4"/>
  <c r="Q107" i="4" s="1"/>
  <c r="T106" i="4"/>
  <c r="R106" i="4"/>
  <c r="P106" i="4"/>
  <c r="K106" i="4"/>
  <c r="J106" i="4"/>
  <c r="I106" i="4"/>
  <c r="H106" i="4"/>
  <c r="G106" i="4"/>
  <c r="F106" i="4"/>
  <c r="E106" i="4"/>
  <c r="D106" i="4"/>
  <c r="C106" i="4"/>
  <c r="B106" i="4"/>
  <c r="A106" i="4"/>
  <c r="O106" i="4" s="1"/>
  <c r="T105" i="4"/>
  <c r="P105" i="4"/>
  <c r="O105" i="4"/>
  <c r="N105" i="4"/>
  <c r="L105" i="4"/>
  <c r="K105" i="4"/>
  <c r="J105" i="4"/>
  <c r="I105" i="4"/>
  <c r="H105" i="4"/>
  <c r="G105" i="4"/>
  <c r="F105" i="4"/>
  <c r="E105" i="4"/>
  <c r="D105" i="4"/>
  <c r="C105" i="4"/>
  <c r="B105" i="4"/>
  <c r="A105" i="4"/>
  <c r="V105" i="4" s="1"/>
  <c r="AM105" i="5" s="1"/>
  <c r="T104" i="4"/>
  <c r="K104" i="4"/>
  <c r="J104" i="4"/>
  <c r="I104" i="4"/>
  <c r="H104" i="4"/>
  <c r="G104" i="4"/>
  <c r="F104" i="4"/>
  <c r="E104" i="4"/>
  <c r="D104" i="4"/>
  <c r="C104" i="4"/>
  <c r="B104" i="4"/>
  <c r="A104" i="4"/>
  <c r="S104" i="4" s="1"/>
  <c r="T103" i="4"/>
  <c r="S103" i="4"/>
  <c r="P103" i="4"/>
  <c r="O103" i="4"/>
  <c r="N103" i="4"/>
  <c r="K103" i="4"/>
  <c r="J103" i="4"/>
  <c r="I103" i="4"/>
  <c r="H103" i="4"/>
  <c r="G103" i="4"/>
  <c r="F103" i="4"/>
  <c r="E103" i="4"/>
  <c r="D103" i="4"/>
  <c r="C103" i="4"/>
  <c r="B103" i="4"/>
  <c r="A103" i="4"/>
  <c r="Q103" i="4" s="1"/>
  <c r="T102" i="4"/>
  <c r="R102" i="4"/>
  <c r="P102" i="4"/>
  <c r="K102" i="4"/>
  <c r="J102" i="4"/>
  <c r="I102" i="4"/>
  <c r="H102" i="4"/>
  <c r="G102" i="4"/>
  <c r="F102" i="4"/>
  <c r="E102" i="4"/>
  <c r="D102" i="4"/>
  <c r="C102" i="4"/>
  <c r="B102" i="4"/>
  <c r="A102" i="4"/>
  <c r="O102" i="4" s="1"/>
  <c r="T101" i="4"/>
  <c r="O101" i="4"/>
  <c r="N101" i="4"/>
  <c r="K101" i="4"/>
  <c r="J101" i="4"/>
  <c r="I101" i="4"/>
  <c r="H101" i="4"/>
  <c r="G101" i="4"/>
  <c r="F101" i="4"/>
  <c r="E101" i="4"/>
  <c r="D101" i="4"/>
  <c r="C101" i="4"/>
  <c r="B101" i="4"/>
  <c r="A101" i="4"/>
  <c r="V101" i="4" s="1"/>
  <c r="AM101" i="5" s="1"/>
  <c r="T100" i="4"/>
  <c r="R100" i="4"/>
  <c r="K100" i="4"/>
  <c r="J100" i="4"/>
  <c r="I100" i="4"/>
  <c r="H100" i="4"/>
  <c r="G100" i="4"/>
  <c r="F100" i="4"/>
  <c r="E100" i="4"/>
  <c r="D100" i="4"/>
  <c r="C100" i="4"/>
  <c r="B100" i="4"/>
  <c r="A100" i="4"/>
  <c r="S100" i="4" s="1"/>
  <c r="W99" i="4"/>
  <c r="AN99" i="5" s="1"/>
  <c r="T99" i="4"/>
  <c r="N99" i="4"/>
  <c r="M99" i="4"/>
  <c r="K99" i="4"/>
  <c r="J99" i="4"/>
  <c r="I99" i="4"/>
  <c r="H99" i="4"/>
  <c r="G99" i="4"/>
  <c r="F99" i="4"/>
  <c r="E99" i="4"/>
  <c r="D99" i="4"/>
  <c r="C99" i="4"/>
  <c r="B99" i="4"/>
  <c r="A99" i="4"/>
  <c r="Q99" i="4" s="1"/>
  <c r="T98" i="4"/>
  <c r="R98" i="4"/>
  <c r="K98" i="4"/>
  <c r="J98" i="4"/>
  <c r="I98" i="4"/>
  <c r="H98" i="4"/>
  <c r="G98" i="4"/>
  <c r="F98" i="4"/>
  <c r="E98" i="4"/>
  <c r="D98" i="4"/>
  <c r="C98" i="4"/>
  <c r="B98" i="4"/>
  <c r="A98" i="4"/>
  <c r="P98" i="4" s="1"/>
  <c r="T97" i="4"/>
  <c r="K97" i="4"/>
  <c r="J97" i="4"/>
  <c r="I97" i="4"/>
  <c r="H97" i="4"/>
  <c r="G97" i="4"/>
  <c r="F97" i="4"/>
  <c r="E97" i="4"/>
  <c r="D97" i="4"/>
  <c r="C97" i="4"/>
  <c r="B97" i="4"/>
  <c r="A97" i="4"/>
  <c r="W97" i="4" s="1"/>
  <c r="AN97" i="5" s="1"/>
  <c r="T96" i="4"/>
  <c r="K96" i="4"/>
  <c r="J96" i="4"/>
  <c r="I96" i="4"/>
  <c r="H96" i="4"/>
  <c r="G96" i="4"/>
  <c r="F96" i="4"/>
  <c r="E96" i="4"/>
  <c r="D96" i="4"/>
  <c r="C96" i="4"/>
  <c r="B96" i="4"/>
  <c r="A96" i="4"/>
  <c r="S96" i="4" s="1"/>
  <c r="T95" i="4"/>
  <c r="S95" i="4"/>
  <c r="O95" i="4"/>
  <c r="N95" i="4"/>
  <c r="K95" i="4"/>
  <c r="J95" i="4"/>
  <c r="I95" i="4"/>
  <c r="H95" i="4"/>
  <c r="G95" i="4"/>
  <c r="F95" i="4"/>
  <c r="E95" i="4"/>
  <c r="D95" i="4"/>
  <c r="C95" i="4"/>
  <c r="B95" i="4"/>
  <c r="A95" i="4"/>
  <c r="Q95" i="4" s="1"/>
  <c r="T94" i="4"/>
  <c r="R94" i="4"/>
  <c r="K94" i="4"/>
  <c r="J94" i="4"/>
  <c r="I94" i="4"/>
  <c r="H94" i="4"/>
  <c r="G94" i="4"/>
  <c r="F94" i="4"/>
  <c r="E94" i="4"/>
  <c r="D94" i="4"/>
  <c r="C94" i="4"/>
  <c r="B94" i="4"/>
  <c r="A94" i="4"/>
  <c r="P94" i="4" s="1"/>
  <c r="T93" i="4"/>
  <c r="K93" i="4"/>
  <c r="J93" i="4"/>
  <c r="I93" i="4"/>
  <c r="H93" i="4"/>
  <c r="G93" i="4"/>
  <c r="F93" i="4"/>
  <c r="E93" i="4"/>
  <c r="D93" i="4"/>
  <c r="C93" i="4"/>
  <c r="B93" i="4"/>
  <c r="A93" i="4"/>
  <c r="W93" i="4" s="1"/>
  <c r="AN93" i="5" s="1"/>
  <c r="W92" i="4"/>
  <c r="AN92" i="5" s="1"/>
  <c r="T92" i="4"/>
  <c r="R92" i="4"/>
  <c r="O92" i="4"/>
  <c r="L92" i="4"/>
  <c r="K92" i="4"/>
  <c r="J92" i="4"/>
  <c r="I92" i="4"/>
  <c r="H92" i="4"/>
  <c r="G92" i="4"/>
  <c r="F92" i="4"/>
  <c r="E92" i="4"/>
  <c r="D92" i="4"/>
  <c r="C92" i="4"/>
  <c r="B92" i="4"/>
  <c r="A92" i="4"/>
  <c r="S92" i="4" s="1"/>
  <c r="T91" i="4"/>
  <c r="P91" i="4"/>
  <c r="K91" i="4"/>
  <c r="J91" i="4"/>
  <c r="I91" i="4"/>
  <c r="H91" i="4"/>
  <c r="G91" i="4"/>
  <c r="F91" i="4"/>
  <c r="E91" i="4"/>
  <c r="D91" i="4"/>
  <c r="C91" i="4"/>
  <c r="B91" i="4"/>
  <c r="A91" i="4"/>
  <c r="Q91" i="4" s="1"/>
  <c r="T90" i="4"/>
  <c r="K90" i="4"/>
  <c r="J90" i="4"/>
  <c r="I90" i="4"/>
  <c r="H90" i="4"/>
  <c r="G90" i="4"/>
  <c r="F90" i="4"/>
  <c r="E90" i="4"/>
  <c r="D90" i="4"/>
  <c r="C90" i="4"/>
  <c r="B90" i="4"/>
  <c r="A90" i="4"/>
  <c r="P90" i="4" s="1"/>
  <c r="T89" i="4"/>
  <c r="P89" i="4"/>
  <c r="K89" i="4"/>
  <c r="J89" i="4"/>
  <c r="I89" i="4"/>
  <c r="H89" i="4"/>
  <c r="G89" i="4"/>
  <c r="F89" i="4"/>
  <c r="E89" i="4"/>
  <c r="D89" i="4"/>
  <c r="C89" i="4"/>
  <c r="B89" i="4"/>
  <c r="A89" i="4"/>
  <c r="W89" i="4" s="1"/>
  <c r="AN89" i="5" s="1"/>
  <c r="T88" i="4"/>
  <c r="N88" i="4"/>
  <c r="M88" i="4"/>
  <c r="K88" i="4"/>
  <c r="J88" i="4"/>
  <c r="I88" i="4"/>
  <c r="H88" i="4"/>
  <c r="G88" i="4"/>
  <c r="F88" i="4"/>
  <c r="E88" i="4"/>
  <c r="D88" i="4"/>
  <c r="C88" i="4"/>
  <c r="B88" i="4"/>
  <c r="A88" i="4"/>
  <c r="S88" i="4" s="1"/>
  <c r="T87" i="4"/>
  <c r="S87" i="4"/>
  <c r="O87" i="4"/>
  <c r="N87" i="4"/>
  <c r="K87" i="4"/>
  <c r="J87" i="4"/>
  <c r="I87" i="4"/>
  <c r="H87" i="4"/>
  <c r="G87" i="4"/>
  <c r="F87" i="4"/>
  <c r="E87" i="4"/>
  <c r="D87" i="4"/>
  <c r="C87" i="4"/>
  <c r="B87" i="4"/>
  <c r="A87" i="4"/>
  <c r="Q87" i="4" s="1"/>
  <c r="T86" i="4"/>
  <c r="K86" i="4"/>
  <c r="J86" i="4"/>
  <c r="I86" i="4"/>
  <c r="H86" i="4"/>
  <c r="G86" i="4"/>
  <c r="F86" i="4"/>
  <c r="E86" i="4"/>
  <c r="D86" i="4"/>
  <c r="C86" i="4"/>
  <c r="B86" i="4"/>
  <c r="A86" i="4"/>
  <c r="P86" i="4" s="1"/>
  <c r="T85" i="4"/>
  <c r="K85" i="4"/>
  <c r="J85" i="4"/>
  <c r="I85" i="4"/>
  <c r="H85" i="4"/>
  <c r="G85" i="4"/>
  <c r="F85" i="4"/>
  <c r="E85" i="4"/>
  <c r="D85" i="4"/>
  <c r="C85" i="4"/>
  <c r="B85" i="4"/>
  <c r="A85" i="4"/>
  <c r="W85" i="4" s="1"/>
  <c r="AN85" i="5" s="1"/>
  <c r="W84" i="4"/>
  <c r="AN84" i="5" s="1"/>
  <c r="T84" i="4"/>
  <c r="R84" i="4"/>
  <c r="O84" i="4"/>
  <c r="L84" i="4"/>
  <c r="K84" i="4"/>
  <c r="J84" i="4"/>
  <c r="I84" i="4"/>
  <c r="H84" i="4"/>
  <c r="G84" i="4"/>
  <c r="F84" i="4"/>
  <c r="E84" i="4"/>
  <c r="D84" i="4"/>
  <c r="C84" i="4"/>
  <c r="B84" i="4"/>
  <c r="A84" i="4"/>
  <c r="S84" i="4" s="1"/>
  <c r="W83" i="4"/>
  <c r="AN83" i="5" s="1"/>
  <c r="V83" i="4"/>
  <c r="AM83" i="5" s="1"/>
  <c r="T83" i="4"/>
  <c r="P83" i="4"/>
  <c r="M83" i="4"/>
  <c r="L83" i="4"/>
  <c r="K83" i="4"/>
  <c r="J83" i="4"/>
  <c r="I83" i="4"/>
  <c r="H83" i="4"/>
  <c r="G83" i="4"/>
  <c r="F83" i="4"/>
  <c r="E83" i="4"/>
  <c r="D83" i="4"/>
  <c r="C83" i="4"/>
  <c r="B83" i="4"/>
  <c r="A83" i="4"/>
  <c r="Q83" i="4" s="1"/>
  <c r="T82" i="4"/>
  <c r="K82" i="4"/>
  <c r="J82" i="4"/>
  <c r="I82" i="4"/>
  <c r="H82" i="4"/>
  <c r="G82" i="4"/>
  <c r="F82" i="4"/>
  <c r="E82" i="4"/>
  <c r="D82" i="4"/>
  <c r="C82" i="4"/>
  <c r="B82" i="4"/>
  <c r="A82" i="4"/>
  <c r="P82" i="4" s="1"/>
  <c r="T81" i="4"/>
  <c r="K81" i="4"/>
  <c r="J81" i="4"/>
  <c r="I81" i="4"/>
  <c r="H81" i="4"/>
  <c r="G81" i="4"/>
  <c r="F81" i="4"/>
  <c r="E81" i="4"/>
  <c r="D81" i="4"/>
  <c r="C81" i="4"/>
  <c r="B81" i="4"/>
  <c r="A81" i="4"/>
  <c r="W81" i="4" s="1"/>
  <c r="AN81" i="5" s="1"/>
  <c r="T80" i="4"/>
  <c r="K80" i="4"/>
  <c r="J80" i="4"/>
  <c r="I80" i="4"/>
  <c r="H80" i="4"/>
  <c r="G80" i="4"/>
  <c r="F80" i="4"/>
  <c r="E80" i="4"/>
  <c r="D80" i="4"/>
  <c r="C80" i="4"/>
  <c r="B80" i="4"/>
  <c r="A80" i="4"/>
  <c r="S80" i="4" s="1"/>
  <c r="T79" i="4"/>
  <c r="R79" i="4"/>
  <c r="M79" i="4"/>
  <c r="L79" i="4"/>
  <c r="K79" i="4"/>
  <c r="J79" i="4"/>
  <c r="I79" i="4"/>
  <c r="H79" i="4"/>
  <c r="G79" i="4"/>
  <c r="F79" i="4"/>
  <c r="E79" i="4"/>
  <c r="D79" i="4"/>
  <c r="C79" i="4"/>
  <c r="B79" i="4"/>
  <c r="A79" i="4"/>
  <c r="Q79" i="4" s="1"/>
  <c r="T78" i="4"/>
  <c r="K78" i="4"/>
  <c r="J78" i="4"/>
  <c r="I78" i="4"/>
  <c r="H78" i="4"/>
  <c r="G78" i="4"/>
  <c r="F78" i="4"/>
  <c r="E78" i="4"/>
  <c r="D78" i="4"/>
  <c r="C78" i="4"/>
  <c r="B78" i="4"/>
  <c r="A78" i="4"/>
  <c r="P78" i="4" s="1"/>
  <c r="T77" i="4"/>
  <c r="K77" i="4"/>
  <c r="J77" i="4"/>
  <c r="I77" i="4"/>
  <c r="H77" i="4"/>
  <c r="G77" i="4"/>
  <c r="F77" i="4"/>
  <c r="E77" i="4"/>
  <c r="D77" i="4"/>
  <c r="C77" i="4"/>
  <c r="B77" i="4"/>
  <c r="A77" i="4"/>
  <c r="W77" i="4" s="1"/>
  <c r="AN77" i="5" s="1"/>
  <c r="T76" i="4"/>
  <c r="R76" i="4"/>
  <c r="K76" i="4"/>
  <c r="J76" i="4"/>
  <c r="I76" i="4"/>
  <c r="H76" i="4"/>
  <c r="G76" i="4"/>
  <c r="F76" i="4"/>
  <c r="E76" i="4"/>
  <c r="D76" i="4"/>
  <c r="C76" i="4"/>
  <c r="B76" i="4"/>
  <c r="A76" i="4"/>
  <c r="S76" i="4" s="1"/>
  <c r="V75" i="4"/>
  <c r="AM75" i="5" s="1"/>
  <c r="T75" i="4"/>
  <c r="R75" i="4"/>
  <c r="P75" i="4"/>
  <c r="O75" i="4"/>
  <c r="L75" i="4"/>
  <c r="K75" i="4"/>
  <c r="J75" i="4"/>
  <c r="I75" i="4"/>
  <c r="H75" i="4"/>
  <c r="G75" i="4"/>
  <c r="F75" i="4"/>
  <c r="E75" i="4"/>
  <c r="D75" i="4"/>
  <c r="C75" i="4"/>
  <c r="B75" i="4"/>
  <c r="A75" i="4"/>
  <c r="Q75" i="4" s="1"/>
  <c r="T74" i="4"/>
  <c r="K74" i="4"/>
  <c r="J74" i="4"/>
  <c r="I74" i="4"/>
  <c r="H74" i="4"/>
  <c r="G74" i="4"/>
  <c r="F74" i="4"/>
  <c r="E74" i="4"/>
  <c r="D74" i="4"/>
  <c r="C74" i="4"/>
  <c r="B74" i="4"/>
  <c r="A74" i="4"/>
  <c r="P74" i="4" s="1"/>
  <c r="T73" i="4"/>
  <c r="K73" i="4"/>
  <c r="J73" i="4"/>
  <c r="I73" i="4"/>
  <c r="H73" i="4"/>
  <c r="G73" i="4"/>
  <c r="F73" i="4"/>
  <c r="E73" i="4"/>
  <c r="D73" i="4"/>
  <c r="C73" i="4"/>
  <c r="B73" i="4"/>
  <c r="A73" i="4"/>
  <c r="W73" i="4" s="1"/>
  <c r="AN73" i="5" s="1"/>
  <c r="W72" i="4"/>
  <c r="AN72" i="5" s="1"/>
  <c r="V72" i="4"/>
  <c r="AM72" i="5" s="1"/>
  <c r="T72" i="4"/>
  <c r="R72" i="4"/>
  <c r="O72" i="4"/>
  <c r="L72" i="4"/>
  <c r="K72" i="4"/>
  <c r="J72" i="4"/>
  <c r="I72" i="4"/>
  <c r="H72" i="4"/>
  <c r="G72" i="4"/>
  <c r="F72" i="4"/>
  <c r="E72" i="4"/>
  <c r="D72" i="4"/>
  <c r="C72" i="4"/>
  <c r="B72" i="4"/>
  <c r="A72" i="4"/>
  <c r="S72" i="4" s="1"/>
  <c r="V71" i="4"/>
  <c r="AM71" i="5" s="1"/>
  <c r="T71" i="4"/>
  <c r="P71" i="4"/>
  <c r="O71" i="4"/>
  <c r="M71" i="4"/>
  <c r="K71" i="4"/>
  <c r="J71" i="4"/>
  <c r="I71" i="4"/>
  <c r="H71" i="4"/>
  <c r="G71" i="4"/>
  <c r="F71" i="4"/>
  <c r="E71" i="4"/>
  <c r="D71" i="4"/>
  <c r="C71" i="4"/>
  <c r="B71" i="4"/>
  <c r="A71" i="4"/>
  <c r="Q71" i="4" s="1"/>
  <c r="T70" i="4"/>
  <c r="S70" i="4"/>
  <c r="K70" i="4"/>
  <c r="J70" i="4"/>
  <c r="I70" i="4"/>
  <c r="H70" i="4"/>
  <c r="G70" i="4"/>
  <c r="F70" i="4"/>
  <c r="E70" i="4"/>
  <c r="D70" i="4"/>
  <c r="C70" i="4"/>
  <c r="B70" i="4"/>
  <c r="A70" i="4"/>
  <c r="P70" i="4" s="1"/>
  <c r="T69" i="4"/>
  <c r="K69" i="4"/>
  <c r="J69" i="4"/>
  <c r="I69" i="4"/>
  <c r="H69" i="4"/>
  <c r="G69" i="4"/>
  <c r="F69" i="4"/>
  <c r="E69" i="4"/>
  <c r="D69" i="4"/>
  <c r="C69" i="4"/>
  <c r="B69" i="4"/>
  <c r="A69" i="4"/>
  <c r="W69" i="4" s="1"/>
  <c r="AN69" i="5" s="1"/>
  <c r="V68" i="4"/>
  <c r="AM68" i="5" s="1"/>
  <c r="T68" i="4"/>
  <c r="O68" i="4"/>
  <c r="N68" i="4"/>
  <c r="K68" i="4"/>
  <c r="J68" i="4"/>
  <c r="I68" i="4"/>
  <c r="H68" i="4"/>
  <c r="G68" i="4"/>
  <c r="F68" i="4"/>
  <c r="E68" i="4"/>
  <c r="D68" i="4"/>
  <c r="C68" i="4"/>
  <c r="B68" i="4"/>
  <c r="A68" i="4"/>
  <c r="S68" i="4" s="1"/>
  <c r="T67" i="4"/>
  <c r="K67" i="4"/>
  <c r="J67" i="4"/>
  <c r="I67" i="4"/>
  <c r="H67" i="4"/>
  <c r="G67" i="4"/>
  <c r="F67" i="4"/>
  <c r="E67" i="4"/>
  <c r="D67" i="4"/>
  <c r="C67" i="4"/>
  <c r="B67" i="4"/>
  <c r="A67" i="4"/>
  <c r="Q67" i="4" s="1"/>
  <c r="T66" i="4"/>
  <c r="R66" i="4"/>
  <c r="K66" i="4"/>
  <c r="J66" i="4"/>
  <c r="I66" i="4"/>
  <c r="H66" i="4"/>
  <c r="G66" i="4"/>
  <c r="F66" i="4"/>
  <c r="E66" i="4"/>
  <c r="D66" i="4"/>
  <c r="C66" i="4"/>
  <c r="B66" i="4"/>
  <c r="A66" i="4"/>
  <c r="P66" i="4" s="1"/>
  <c r="T65" i="4"/>
  <c r="P65" i="4"/>
  <c r="K65" i="4"/>
  <c r="J65" i="4"/>
  <c r="I65" i="4"/>
  <c r="H65" i="4"/>
  <c r="G65" i="4"/>
  <c r="F65" i="4"/>
  <c r="E65" i="4"/>
  <c r="D65" i="4"/>
  <c r="C65" i="4"/>
  <c r="B65" i="4"/>
  <c r="A65" i="4"/>
  <c r="W65" i="4" s="1"/>
  <c r="AN65" i="5" s="1"/>
  <c r="W64" i="4"/>
  <c r="AN64" i="5" s="1"/>
  <c r="V64" i="4"/>
  <c r="AM64" i="5" s="1"/>
  <c r="T64" i="4"/>
  <c r="R64" i="4"/>
  <c r="O64" i="4"/>
  <c r="N64" i="4"/>
  <c r="L64" i="4"/>
  <c r="K64" i="4"/>
  <c r="J64" i="4"/>
  <c r="I64" i="4"/>
  <c r="H64" i="4"/>
  <c r="G64" i="4"/>
  <c r="F64" i="4"/>
  <c r="E64" i="4"/>
  <c r="D64" i="4"/>
  <c r="C64" i="4"/>
  <c r="B64" i="4"/>
  <c r="A64" i="4"/>
  <c r="S64" i="4" s="1"/>
  <c r="V63" i="4"/>
  <c r="AM63" i="5" s="1"/>
  <c r="T63" i="4"/>
  <c r="P63" i="4"/>
  <c r="O63" i="4"/>
  <c r="K63" i="4"/>
  <c r="J63" i="4"/>
  <c r="I63" i="4"/>
  <c r="H63" i="4"/>
  <c r="G63" i="4"/>
  <c r="F63" i="4"/>
  <c r="E63" i="4"/>
  <c r="D63" i="4"/>
  <c r="C63" i="4"/>
  <c r="B63" i="4"/>
  <c r="A63" i="4"/>
  <c r="Q63" i="4" s="1"/>
  <c r="T62" i="4"/>
  <c r="K62" i="4"/>
  <c r="J62" i="4"/>
  <c r="I62" i="4"/>
  <c r="H62" i="4"/>
  <c r="G62" i="4"/>
  <c r="F62" i="4"/>
  <c r="E62" i="4"/>
  <c r="D62" i="4"/>
  <c r="C62" i="4"/>
  <c r="B62" i="4"/>
  <c r="A62" i="4"/>
  <c r="P62" i="4" s="1"/>
  <c r="T61" i="4"/>
  <c r="K61" i="4"/>
  <c r="J61" i="4"/>
  <c r="I61" i="4"/>
  <c r="H61" i="4"/>
  <c r="G61" i="4"/>
  <c r="F61" i="4"/>
  <c r="E61" i="4"/>
  <c r="D61" i="4"/>
  <c r="C61" i="4"/>
  <c r="B61" i="4"/>
  <c r="A61" i="4"/>
  <c r="W61" i="4" s="1"/>
  <c r="AN61" i="5" s="1"/>
  <c r="T60" i="4"/>
  <c r="R60" i="4"/>
  <c r="K60" i="4"/>
  <c r="J60" i="4"/>
  <c r="I60" i="4"/>
  <c r="H60" i="4"/>
  <c r="G60" i="4"/>
  <c r="F60" i="4"/>
  <c r="E60" i="4"/>
  <c r="D60" i="4"/>
  <c r="C60" i="4"/>
  <c r="B60" i="4"/>
  <c r="A60" i="4"/>
  <c r="S60" i="4" s="1"/>
  <c r="V59" i="4"/>
  <c r="AM59" i="5" s="1"/>
  <c r="T59" i="4"/>
  <c r="R59" i="4"/>
  <c r="P59" i="4"/>
  <c r="O59" i="4"/>
  <c r="L59" i="4"/>
  <c r="K59" i="4"/>
  <c r="J59" i="4"/>
  <c r="I59" i="4"/>
  <c r="H59" i="4"/>
  <c r="G59" i="4"/>
  <c r="F59" i="4"/>
  <c r="E59" i="4"/>
  <c r="D59" i="4"/>
  <c r="C59" i="4"/>
  <c r="B59" i="4"/>
  <c r="A59" i="4"/>
  <c r="Q59" i="4" s="1"/>
  <c r="T58" i="4"/>
  <c r="K58" i="4"/>
  <c r="J58" i="4"/>
  <c r="I58" i="4"/>
  <c r="H58" i="4"/>
  <c r="G58" i="4"/>
  <c r="F58" i="4"/>
  <c r="E58" i="4"/>
  <c r="D58" i="4"/>
  <c r="C58" i="4"/>
  <c r="B58" i="4"/>
  <c r="A58" i="4"/>
  <c r="P58" i="4" s="1"/>
  <c r="T57" i="4"/>
  <c r="K57" i="4"/>
  <c r="J57" i="4"/>
  <c r="I57" i="4"/>
  <c r="H57" i="4"/>
  <c r="G57" i="4"/>
  <c r="F57" i="4"/>
  <c r="E57" i="4"/>
  <c r="D57" i="4"/>
  <c r="C57" i="4"/>
  <c r="B57" i="4"/>
  <c r="A57" i="4"/>
  <c r="W57" i="4" s="1"/>
  <c r="AN57" i="5" s="1"/>
  <c r="T56" i="4"/>
  <c r="K56" i="4"/>
  <c r="J56" i="4"/>
  <c r="I56" i="4"/>
  <c r="H56" i="4"/>
  <c r="G56" i="4"/>
  <c r="F56" i="4"/>
  <c r="E56" i="4"/>
  <c r="D56" i="4"/>
  <c r="C56" i="4"/>
  <c r="B56" i="4"/>
  <c r="A56" i="4"/>
  <c r="S56" i="4" s="1"/>
  <c r="T55" i="4"/>
  <c r="M55" i="4"/>
  <c r="L55" i="4"/>
  <c r="K55" i="4"/>
  <c r="J55" i="4"/>
  <c r="I55" i="4"/>
  <c r="H55" i="4"/>
  <c r="G55" i="4"/>
  <c r="F55" i="4"/>
  <c r="E55" i="4"/>
  <c r="D55" i="4"/>
  <c r="C55" i="4"/>
  <c r="B55" i="4"/>
  <c r="A55" i="4"/>
  <c r="Q55" i="4" s="1"/>
  <c r="T54" i="4"/>
  <c r="K54" i="4"/>
  <c r="J54" i="4"/>
  <c r="I54" i="4"/>
  <c r="H54" i="4"/>
  <c r="G54" i="4"/>
  <c r="F54" i="4"/>
  <c r="E54" i="4"/>
  <c r="D54" i="4"/>
  <c r="C54" i="4"/>
  <c r="B54" i="4"/>
  <c r="A54" i="4"/>
  <c r="P54" i="4" s="1"/>
  <c r="T53" i="4"/>
  <c r="P53" i="4"/>
  <c r="K53" i="4"/>
  <c r="J53" i="4"/>
  <c r="I53" i="4"/>
  <c r="H53" i="4"/>
  <c r="G53" i="4"/>
  <c r="F53" i="4"/>
  <c r="E53" i="4"/>
  <c r="D53" i="4"/>
  <c r="C53" i="4"/>
  <c r="B53" i="4"/>
  <c r="A53" i="4"/>
  <c r="W53" i="4" s="1"/>
  <c r="AN53" i="5" s="1"/>
  <c r="W52" i="4"/>
  <c r="AN52" i="5" s="1"/>
  <c r="V52" i="4"/>
  <c r="AM52" i="5" s="1"/>
  <c r="T52" i="4"/>
  <c r="R52" i="4"/>
  <c r="O52" i="4"/>
  <c r="N52" i="4"/>
  <c r="L52" i="4"/>
  <c r="K52" i="4"/>
  <c r="J52" i="4"/>
  <c r="I52" i="4"/>
  <c r="H52" i="4"/>
  <c r="G52" i="4"/>
  <c r="F52" i="4"/>
  <c r="E52" i="4"/>
  <c r="D52" i="4"/>
  <c r="C52" i="4"/>
  <c r="B52" i="4"/>
  <c r="A52" i="4"/>
  <c r="S52" i="4" s="1"/>
  <c r="V51" i="4"/>
  <c r="AM51" i="5" s="1"/>
  <c r="T51" i="4"/>
  <c r="M51" i="4"/>
  <c r="L51" i="4"/>
  <c r="K51" i="4"/>
  <c r="J51" i="4"/>
  <c r="I51" i="4"/>
  <c r="H51" i="4"/>
  <c r="G51" i="4"/>
  <c r="F51" i="4"/>
  <c r="E51" i="4"/>
  <c r="D51" i="4"/>
  <c r="C51" i="4"/>
  <c r="B51" i="4"/>
  <c r="A51" i="4"/>
  <c r="Q51" i="4" s="1"/>
  <c r="T50" i="4"/>
  <c r="K50" i="4"/>
  <c r="J50" i="4"/>
  <c r="I50" i="4"/>
  <c r="H50" i="4"/>
  <c r="G50" i="4"/>
  <c r="F50" i="4"/>
  <c r="E50" i="4"/>
  <c r="D50" i="4"/>
  <c r="C50" i="4"/>
  <c r="B50" i="4"/>
  <c r="A50" i="4"/>
  <c r="R50" i="4" s="1"/>
  <c r="T49" i="4"/>
  <c r="O49" i="4"/>
  <c r="K49" i="4"/>
  <c r="J49" i="4"/>
  <c r="I49" i="4"/>
  <c r="H49" i="4"/>
  <c r="G49" i="4"/>
  <c r="F49" i="4"/>
  <c r="E49" i="4"/>
  <c r="D49" i="4"/>
  <c r="C49" i="4"/>
  <c r="B49" i="4"/>
  <c r="A49" i="4"/>
  <c r="W49" i="4" s="1"/>
  <c r="AN49" i="5" s="1"/>
  <c r="T48" i="4"/>
  <c r="K48" i="4"/>
  <c r="J48" i="4"/>
  <c r="I48" i="4"/>
  <c r="H48" i="4"/>
  <c r="G48" i="4"/>
  <c r="F48" i="4"/>
  <c r="E48" i="4"/>
  <c r="D48" i="4"/>
  <c r="C48" i="4"/>
  <c r="B48" i="4"/>
  <c r="A48" i="4"/>
  <c r="S48" i="4" s="1"/>
  <c r="T47" i="4"/>
  <c r="K47" i="4"/>
  <c r="J47" i="4"/>
  <c r="I47" i="4"/>
  <c r="H47" i="4"/>
  <c r="G47" i="4"/>
  <c r="F47" i="4"/>
  <c r="E47" i="4"/>
  <c r="D47" i="4"/>
  <c r="C47" i="4"/>
  <c r="B47" i="4"/>
  <c r="A47" i="4"/>
  <c r="Q47" i="4" s="1"/>
  <c r="T46" i="4"/>
  <c r="K46" i="4"/>
  <c r="J46" i="4"/>
  <c r="I46" i="4"/>
  <c r="H46" i="4"/>
  <c r="G46" i="4"/>
  <c r="F46" i="4"/>
  <c r="E46" i="4"/>
  <c r="D46" i="4"/>
  <c r="C46" i="4"/>
  <c r="B46" i="4"/>
  <c r="A46" i="4"/>
  <c r="R46" i="4" s="1"/>
  <c r="T45" i="4"/>
  <c r="P45" i="4"/>
  <c r="L45" i="4"/>
  <c r="K45" i="4"/>
  <c r="J45" i="4"/>
  <c r="I45" i="4"/>
  <c r="H45" i="4"/>
  <c r="G45" i="4"/>
  <c r="F45" i="4"/>
  <c r="E45" i="4"/>
  <c r="D45" i="4"/>
  <c r="C45" i="4"/>
  <c r="B45" i="4"/>
  <c r="A45" i="4"/>
  <c r="W45" i="4" s="1"/>
  <c r="AN45" i="5" s="1"/>
  <c r="T44" i="4"/>
  <c r="K44" i="4"/>
  <c r="J44" i="4"/>
  <c r="I44" i="4"/>
  <c r="H44" i="4"/>
  <c r="G44" i="4"/>
  <c r="F44" i="4"/>
  <c r="E44" i="4"/>
  <c r="D44" i="4"/>
  <c r="C44" i="4"/>
  <c r="B44" i="4"/>
  <c r="A44" i="4"/>
  <c r="S44" i="4" s="1"/>
  <c r="T43" i="4"/>
  <c r="S43" i="4"/>
  <c r="P43" i="4"/>
  <c r="M43" i="4"/>
  <c r="L43" i="4"/>
  <c r="K43" i="4"/>
  <c r="J43" i="4"/>
  <c r="I43" i="4"/>
  <c r="H43" i="4"/>
  <c r="G43" i="4"/>
  <c r="F43" i="4"/>
  <c r="E43" i="4"/>
  <c r="D43" i="4"/>
  <c r="C43" i="4"/>
  <c r="B43" i="4"/>
  <c r="A43" i="4"/>
  <c r="R43" i="4" s="1"/>
  <c r="T42" i="4"/>
  <c r="K42" i="4"/>
  <c r="J42" i="4"/>
  <c r="I42" i="4"/>
  <c r="H42" i="4"/>
  <c r="G42" i="4"/>
  <c r="F42" i="4"/>
  <c r="E42" i="4"/>
  <c r="D42" i="4"/>
  <c r="C42" i="4"/>
  <c r="B42" i="4"/>
  <c r="A42" i="4"/>
  <c r="W42" i="4" s="1"/>
  <c r="AN42" i="5" s="1"/>
  <c r="T41" i="4"/>
  <c r="O41" i="4"/>
  <c r="K41" i="4"/>
  <c r="J41" i="4"/>
  <c r="I41" i="4"/>
  <c r="H41" i="4"/>
  <c r="G41" i="4"/>
  <c r="F41" i="4"/>
  <c r="E41" i="4"/>
  <c r="D41" i="4"/>
  <c r="C41" i="4"/>
  <c r="B41" i="4"/>
  <c r="A41" i="4"/>
  <c r="W41" i="4" s="1"/>
  <c r="AN41" i="5" s="1"/>
  <c r="W40" i="4"/>
  <c r="AN40" i="5" s="1"/>
  <c r="V40" i="4"/>
  <c r="AM40" i="5" s="1"/>
  <c r="T40" i="4"/>
  <c r="R40" i="4"/>
  <c r="O40" i="4"/>
  <c r="N40" i="4"/>
  <c r="L40" i="4"/>
  <c r="K40" i="4"/>
  <c r="J40" i="4"/>
  <c r="I40" i="4"/>
  <c r="H40" i="4"/>
  <c r="G40" i="4"/>
  <c r="F40" i="4"/>
  <c r="E40" i="4"/>
  <c r="D40" i="4"/>
  <c r="C40" i="4"/>
  <c r="B40" i="4"/>
  <c r="A40" i="4"/>
  <c r="S40" i="4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3" i="5" s="1"/>
  <c r="V2" i="4"/>
  <c r="A2" i="4"/>
  <c r="S1" i="4" a="1"/>
  <c r="S1" i="4"/>
  <c r="R1" i="4" a="1"/>
  <c r="R1" i="4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C215" i="9" a="1"/>
  <c r="C209" i="9" a="1"/>
  <c r="C207" i="9" a="1"/>
  <c r="C205" i="9" a="1"/>
  <c r="C201" i="9" a="1"/>
  <c r="C199" i="9" a="1"/>
  <c r="C197" i="9" a="1"/>
  <c r="C193" i="9" a="1"/>
  <c r="C191" i="9" a="1"/>
  <c r="C189" i="9" a="1"/>
  <c r="C185" i="9" a="1"/>
  <c r="H215" i="9" a="1"/>
  <c r="H214" i="9" a="1"/>
  <c r="C208" i="9" a="1"/>
  <c r="H199" i="9" a="1"/>
  <c r="H198" i="9" a="1"/>
  <c r="C192" i="9" a="1"/>
  <c r="H216" i="9" a="1"/>
  <c r="H200" i="9" a="1"/>
  <c r="C214" i="9" a="1"/>
  <c r="C198" i="9" a="1"/>
  <c r="C216" i="9" a="1"/>
  <c r="H207" i="9" a="1"/>
  <c r="H206" i="9" a="1"/>
  <c r="C200" i="9" a="1"/>
  <c r="H191" i="9" a="1"/>
  <c r="H190" i="9" a="1"/>
  <c r="H208" i="9" a="1"/>
  <c r="H192" i="9" a="1"/>
  <c r="C206" i="9" a="1"/>
  <c r="C190" i="9" a="1"/>
  <c r="H213" i="9" a="1"/>
  <c r="B1" i="7" a="1"/>
  <c r="A6" i="5" a="1"/>
  <c r="A7" i="5" a="1"/>
  <c r="A6" i="4" a="1"/>
  <c r="A7" i="4" a="1"/>
  <c r="S67" i="4" l="1"/>
  <c r="L47" i="4"/>
  <c r="V56" i="4"/>
  <c r="AM56" i="5" s="1"/>
  <c r="V80" i="4"/>
  <c r="AM80" i="5" s="1"/>
  <c r="R91" i="4"/>
  <c r="V96" i="4"/>
  <c r="AM96" i="5" s="1"/>
  <c r="V104" i="4"/>
  <c r="AM104" i="5" s="1"/>
  <c r="S143" i="4"/>
  <c r="W44" i="4"/>
  <c r="AN44" i="5" s="1"/>
  <c r="M47" i="4"/>
  <c r="W48" i="4"/>
  <c r="AN48" i="5" s="1"/>
  <c r="P51" i="4"/>
  <c r="O55" i="4"/>
  <c r="W56" i="4"/>
  <c r="AN56" i="5" s="1"/>
  <c r="M59" i="4"/>
  <c r="V60" i="4"/>
  <c r="AM60" i="5" s="1"/>
  <c r="L63" i="4"/>
  <c r="V67" i="4"/>
  <c r="AM67" i="5" s="1"/>
  <c r="R68" i="4"/>
  <c r="L71" i="4"/>
  <c r="M75" i="4"/>
  <c r="V76" i="4"/>
  <c r="AM76" i="5" s="1"/>
  <c r="O79" i="4"/>
  <c r="W80" i="4"/>
  <c r="AN80" i="5" s="1"/>
  <c r="R82" i="4"/>
  <c r="N83" i="4"/>
  <c r="L87" i="4"/>
  <c r="V87" i="4"/>
  <c r="AM87" i="5" s="1"/>
  <c r="O88" i="4"/>
  <c r="S91" i="4"/>
  <c r="M92" i="4"/>
  <c r="P95" i="4"/>
  <c r="W96" i="4"/>
  <c r="AN96" i="5" s="1"/>
  <c r="O99" i="4"/>
  <c r="V100" i="4"/>
  <c r="AM100" i="5" s="1"/>
  <c r="P101" i="4"/>
  <c r="W104" i="4"/>
  <c r="AN104" i="5" s="1"/>
  <c r="O107" i="4"/>
  <c r="V108" i="4"/>
  <c r="AM108" i="5" s="1"/>
  <c r="R111" i="4"/>
  <c r="L112" i="4"/>
  <c r="R119" i="4"/>
  <c r="L120" i="4"/>
  <c r="R122" i="4"/>
  <c r="M124" i="4"/>
  <c r="O125" i="4"/>
  <c r="M133" i="4"/>
  <c r="R135" i="4"/>
  <c r="L137" i="4"/>
  <c r="R139" i="4"/>
  <c r="N141" i="4"/>
  <c r="M40" i="4"/>
  <c r="L44" i="4"/>
  <c r="P47" i="4"/>
  <c r="L48" i="4"/>
  <c r="R51" i="4"/>
  <c r="M52" i="4"/>
  <c r="R54" i="4"/>
  <c r="P55" i="4"/>
  <c r="L56" i="4"/>
  <c r="W60" i="4"/>
  <c r="AN60" i="5" s="1"/>
  <c r="M63" i="4"/>
  <c r="L67" i="4"/>
  <c r="W76" i="4"/>
  <c r="AN76" i="5" s="1"/>
  <c r="S78" i="4"/>
  <c r="P79" i="4"/>
  <c r="L80" i="4"/>
  <c r="S82" i="4"/>
  <c r="O83" i="4"/>
  <c r="V84" i="4"/>
  <c r="AM84" i="5" s="1"/>
  <c r="M87" i="4"/>
  <c r="W87" i="4"/>
  <c r="AN87" i="5" s="1"/>
  <c r="R88" i="4"/>
  <c r="N92" i="4"/>
  <c r="R95" i="4"/>
  <c r="L96" i="4"/>
  <c r="P99" i="4"/>
  <c r="W100" i="4"/>
  <c r="AN100" i="5" s="1"/>
  <c r="R103" i="4"/>
  <c r="L104" i="4"/>
  <c r="W105" i="4"/>
  <c r="AN105" i="5" s="1"/>
  <c r="W106" i="4"/>
  <c r="AN106" i="5" s="1"/>
  <c r="P107" i="4"/>
  <c r="W108" i="4"/>
  <c r="AN108" i="5" s="1"/>
  <c r="W109" i="4"/>
  <c r="AN109" i="5" s="1"/>
  <c r="S111" i="4"/>
  <c r="M112" i="4"/>
  <c r="N113" i="4"/>
  <c r="P114" i="4"/>
  <c r="N115" i="4"/>
  <c r="W116" i="4"/>
  <c r="AN116" i="5" s="1"/>
  <c r="W117" i="4"/>
  <c r="AN117" i="5" s="1"/>
  <c r="S119" i="4"/>
  <c r="M120" i="4"/>
  <c r="L121" i="4"/>
  <c r="R123" i="4"/>
  <c r="N124" i="4"/>
  <c r="P125" i="4"/>
  <c r="O129" i="4"/>
  <c r="N133" i="4"/>
  <c r="M137" i="4"/>
  <c r="P141" i="4"/>
  <c r="V143" i="4"/>
  <c r="AM143" i="5" s="1"/>
  <c r="N145" i="4"/>
  <c r="V44" i="4"/>
  <c r="AM44" i="5" s="1"/>
  <c r="V48" i="4"/>
  <c r="AM48" i="5" s="1"/>
  <c r="N42" i="4"/>
  <c r="M44" i="4"/>
  <c r="R47" i="4"/>
  <c r="M48" i="4"/>
  <c r="S51" i="4"/>
  <c r="R55" i="4"/>
  <c r="M56" i="4"/>
  <c r="R58" i="4"/>
  <c r="L60" i="4"/>
  <c r="R62" i="4"/>
  <c r="M67" i="4"/>
  <c r="S74" i="4"/>
  <c r="L76" i="4"/>
  <c r="M80" i="4"/>
  <c r="R86" i="4"/>
  <c r="L91" i="4"/>
  <c r="V91" i="4"/>
  <c r="AM91" i="5" s="1"/>
  <c r="P93" i="4"/>
  <c r="M96" i="4"/>
  <c r="R99" i="4"/>
  <c r="L100" i="4"/>
  <c r="W101" i="4"/>
  <c r="AN101" i="5" s="1"/>
  <c r="M104" i="4"/>
  <c r="R107" i="4"/>
  <c r="L108" i="4"/>
  <c r="O113" i="4"/>
  <c r="R114" i="4"/>
  <c r="N120" i="4"/>
  <c r="O121" i="4"/>
  <c r="S123" i="4"/>
  <c r="P129" i="4"/>
  <c r="P133" i="4"/>
  <c r="N137" i="4"/>
  <c r="L143" i="4"/>
  <c r="W143" i="4"/>
  <c r="AN143" i="5" s="1"/>
  <c r="P145" i="4"/>
  <c r="L41" i="4"/>
  <c r="Q42" i="4"/>
  <c r="N44" i="4"/>
  <c r="S47" i="4"/>
  <c r="N48" i="4"/>
  <c r="O53" i="4"/>
  <c r="S55" i="4"/>
  <c r="N56" i="4"/>
  <c r="M60" i="4"/>
  <c r="S62" i="4"/>
  <c r="O67" i="4"/>
  <c r="W68" i="4"/>
  <c r="AN68" i="5" s="1"/>
  <c r="M76" i="4"/>
  <c r="S79" i="4"/>
  <c r="N80" i="4"/>
  <c r="R83" i="4"/>
  <c r="S86" i="4"/>
  <c r="V88" i="4"/>
  <c r="AM88" i="5" s="1"/>
  <c r="M91" i="4"/>
  <c r="W91" i="4"/>
  <c r="AN91" i="5" s="1"/>
  <c r="N96" i="4"/>
  <c r="S99" i="4"/>
  <c r="M100" i="4"/>
  <c r="N104" i="4"/>
  <c r="S107" i="4"/>
  <c r="M108" i="4"/>
  <c r="L111" i="4"/>
  <c r="V111" i="4"/>
  <c r="AM111" i="5" s="1"/>
  <c r="P113" i="4"/>
  <c r="L119" i="4"/>
  <c r="V119" i="4"/>
  <c r="AM119" i="5" s="1"/>
  <c r="P121" i="4"/>
  <c r="V124" i="4"/>
  <c r="AM124" i="5" s="1"/>
  <c r="L127" i="4"/>
  <c r="S129" i="4"/>
  <c r="S133" i="4"/>
  <c r="P137" i="4"/>
  <c r="W141" i="4"/>
  <c r="AN141" i="5" s="1"/>
  <c r="M143" i="4"/>
  <c r="O56" i="4"/>
  <c r="O57" i="4"/>
  <c r="S59" i="4"/>
  <c r="N60" i="4"/>
  <c r="R63" i="4"/>
  <c r="M64" i="4"/>
  <c r="S66" i="4"/>
  <c r="P67" i="4"/>
  <c r="L68" i="4"/>
  <c r="R71" i="4"/>
  <c r="M72" i="4"/>
  <c r="S75" i="4"/>
  <c r="N76" i="4"/>
  <c r="O80" i="4"/>
  <c r="S83" i="4"/>
  <c r="M84" i="4"/>
  <c r="P87" i="4"/>
  <c r="W88" i="4"/>
  <c r="AN88" i="5" s="1"/>
  <c r="N91" i="4"/>
  <c r="L95" i="4"/>
  <c r="V95" i="4"/>
  <c r="AM95" i="5" s="1"/>
  <c r="O96" i="4"/>
  <c r="N100" i="4"/>
  <c r="L103" i="4"/>
  <c r="V103" i="4"/>
  <c r="AM103" i="5" s="1"/>
  <c r="O104" i="4"/>
  <c r="N108" i="4"/>
  <c r="M111" i="4"/>
  <c r="W111" i="4"/>
  <c r="AN111" i="5" s="1"/>
  <c r="V112" i="4"/>
  <c r="AM112" i="5" s="1"/>
  <c r="R115" i="4"/>
  <c r="L116" i="4"/>
  <c r="M119" i="4"/>
  <c r="W119" i="4"/>
  <c r="AN119" i="5" s="1"/>
  <c r="V120" i="4"/>
  <c r="AM120" i="5" s="1"/>
  <c r="V123" i="4"/>
  <c r="AM123" i="5" s="1"/>
  <c r="W124" i="4"/>
  <c r="AN124" i="5" s="1"/>
  <c r="O127" i="4"/>
  <c r="L131" i="4"/>
  <c r="S137" i="4"/>
  <c r="N143" i="4"/>
  <c r="W145" i="4"/>
  <c r="AN145" i="5" s="1"/>
  <c r="O44" i="4"/>
  <c r="O48" i="4"/>
  <c r="P41" i="4"/>
  <c r="V43" i="4"/>
  <c r="AM43" i="5" s="1"/>
  <c r="R44" i="4"/>
  <c r="O45" i="4"/>
  <c r="V47" i="4"/>
  <c r="AM47" i="5" s="1"/>
  <c r="R48" i="4"/>
  <c r="P49" i="4"/>
  <c r="V55" i="4"/>
  <c r="AM55" i="5" s="1"/>
  <c r="R56" i="4"/>
  <c r="P57" i="4"/>
  <c r="O60" i="4"/>
  <c r="P61" i="4"/>
  <c r="S63" i="4"/>
  <c r="R67" i="4"/>
  <c r="M68" i="4"/>
  <c r="S71" i="4"/>
  <c r="N72" i="4"/>
  <c r="O76" i="4"/>
  <c r="V79" i="4"/>
  <c r="AM79" i="5" s="1"/>
  <c r="R80" i="4"/>
  <c r="N84" i="4"/>
  <c r="R87" i="4"/>
  <c r="L88" i="4"/>
  <c r="R90" i="4"/>
  <c r="O91" i="4"/>
  <c r="V92" i="4"/>
  <c r="AM92" i="5" s="1"/>
  <c r="M95" i="4"/>
  <c r="W95" i="4"/>
  <c r="AN95" i="5" s="1"/>
  <c r="R96" i="4"/>
  <c r="L99" i="4"/>
  <c r="V99" i="4"/>
  <c r="AM99" i="5" s="1"/>
  <c r="O100" i="4"/>
  <c r="L101" i="4"/>
  <c r="M103" i="4"/>
  <c r="W103" i="4"/>
  <c r="AN103" i="5" s="1"/>
  <c r="R104" i="4"/>
  <c r="N106" i="4"/>
  <c r="L107" i="4"/>
  <c r="V107" i="4"/>
  <c r="AM107" i="5" s="1"/>
  <c r="O108" i="4"/>
  <c r="N109" i="4"/>
  <c r="P110" i="4"/>
  <c r="N111" i="4"/>
  <c r="W112" i="4"/>
  <c r="AN112" i="5" s="1"/>
  <c r="W113" i="4"/>
  <c r="AN113" i="5" s="1"/>
  <c r="W120" i="4"/>
  <c r="AN120" i="5" s="1"/>
  <c r="P127" i="4"/>
  <c r="P143" i="4"/>
  <c r="M3" i="4"/>
  <c r="X3" i="5" s="1"/>
  <c r="Y3" i="5" s="1"/>
  <c r="A7" i="4"/>
  <c r="A6" i="4"/>
  <c r="A7" i="5"/>
  <c r="A6" i="5"/>
  <c r="B1" i="7"/>
  <c r="H213" i="9"/>
  <c r="C190" i="9"/>
  <c r="C206" i="9"/>
  <c r="H192" i="9"/>
  <c r="H208" i="9"/>
  <c r="H190" i="9"/>
  <c r="H191" i="9"/>
  <c r="C200" i="9"/>
  <c r="H206" i="9"/>
  <c r="H207" i="9"/>
  <c r="C216" i="9"/>
  <c r="C198" i="9"/>
  <c r="C214" i="9"/>
  <c r="H200" i="9"/>
  <c r="H216" i="9"/>
  <c r="C192" i="9"/>
  <c r="H198" i="9"/>
  <c r="H199" i="9"/>
  <c r="C208" i="9"/>
  <c r="H214" i="9"/>
  <c r="H215" i="9"/>
  <c r="C185" i="9"/>
  <c r="C189" i="9"/>
  <c r="C191" i="9"/>
  <c r="C193" i="9"/>
  <c r="C197" i="9"/>
  <c r="C199" i="9"/>
  <c r="C201" i="9"/>
  <c r="C205" i="9"/>
  <c r="C207" i="9"/>
  <c r="C209" i="9"/>
  <c r="C215" i="9"/>
  <c r="W3" i="5"/>
  <c r="X4" i="5"/>
  <c r="R42" i="4"/>
  <c r="Q46" i="4"/>
  <c r="P42" i="4"/>
  <c r="O42" i="4"/>
  <c r="V42" i="4"/>
  <c r="AM42" i="5" s="1"/>
  <c r="M42" i="4"/>
  <c r="L42" i="4"/>
  <c r="S42" i="4"/>
  <c r="P46" i="4"/>
  <c r="O46" i="4"/>
  <c r="W46" i="4"/>
  <c r="AN46" i="5" s="1"/>
  <c r="N46" i="4"/>
  <c r="V46" i="4"/>
  <c r="AM46" i="5" s="1"/>
  <c r="M46" i="4"/>
  <c r="L46" i="4"/>
  <c r="S46" i="4"/>
  <c r="P50" i="4"/>
  <c r="O50" i="4"/>
  <c r="W50" i="4"/>
  <c r="AN50" i="5" s="1"/>
  <c r="N50" i="4"/>
  <c r="V50" i="4"/>
  <c r="AM50" i="5" s="1"/>
  <c r="M50" i="4"/>
  <c r="L50" i="4"/>
  <c r="S50" i="4"/>
  <c r="Q50" i="4"/>
  <c r="Q54" i="4"/>
  <c r="Q58" i="4"/>
  <c r="O61" i="4"/>
  <c r="Q62" i="4"/>
  <c r="O65" i="4"/>
  <c r="Q66" i="4"/>
  <c r="O69" i="4"/>
  <c r="Q70" i="4"/>
  <c r="O73" i="4"/>
  <c r="Q74" i="4"/>
  <c r="O77" i="4"/>
  <c r="Q78" i="4"/>
  <c r="O81" i="4"/>
  <c r="Q82" i="4"/>
  <c r="O85" i="4"/>
  <c r="Q86" i="4"/>
  <c r="O89" i="4"/>
  <c r="Q90" i="4"/>
  <c r="O93" i="4"/>
  <c r="Q94" i="4"/>
  <c r="O97" i="4"/>
  <c r="Q98" i="4"/>
  <c r="Q102" i="4"/>
  <c r="Q106" i="4"/>
  <c r="Q110" i="4"/>
  <c r="Q114" i="4"/>
  <c r="Q118" i="4"/>
  <c r="Q122" i="4"/>
  <c r="Q126" i="4"/>
  <c r="S131" i="4"/>
  <c r="O133" i="4"/>
  <c r="S135" i="4"/>
  <c r="O137" i="4"/>
  <c r="S139" i="4"/>
  <c r="O141" i="4"/>
  <c r="O145" i="4"/>
  <c r="P69" i="4"/>
  <c r="R70" i="4"/>
  <c r="P73" i="4"/>
  <c r="R74" i="4"/>
  <c r="P77" i="4"/>
  <c r="R78" i="4"/>
  <c r="P81" i="4"/>
  <c r="P85" i="4"/>
  <c r="P97" i="4"/>
  <c r="Q41" i="4"/>
  <c r="Q61" i="4"/>
  <c r="Q65" i="4"/>
  <c r="Q69" i="4"/>
  <c r="Q73" i="4"/>
  <c r="Q77" i="4"/>
  <c r="Q81" i="4"/>
  <c r="Q85" i="4"/>
  <c r="Q89" i="4"/>
  <c r="S90" i="4"/>
  <c r="Q93" i="4"/>
  <c r="S94" i="4"/>
  <c r="Q97" i="4"/>
  <c r="S98" i="4"/>
  <c r="Q101" i="4"/>
  <c r="S102" i="4"/>
  <c r="Q105" i="4"/>
  <c r="S106" i="4"/>
  <c r="Q109" i="4"/>
  <c r="S110" i="4"/>
  <c r="O112" i="4"/>
  <c r="Q113" i="4"/>
  <c r="S114" i="4"/>
  <c r="O116" i="4"/>
  <c r="Q117" i="4"/>
  <c r="S118" i="4"/>
  <c r="O120" i="4"/>
  <c r="Q121" i="4"/>
  <c r="S122" i="4"/>
  <c r="O124" i="4"/>
  <c r="Q125" i="4"/>
  <c r="S126" i="4"/>
  <c r="M127" i="4"/>
  <c r="V127" i="4"/>
  <c r="AM127" i="5" s="1"/>
  <c r="Q129" i="4"/>
  <c r="M131" i="4"/>
  <c r="V131" i="4"/>
  <c r="AM131" i="5" s="1"/>
  <c r="Q133" i="4"/>
  <c r="M135" i="4"/>
  <c r="V135" i="4"/>
  <c r="AM135" i="5" s="1"/>
  <c r="Q137" i="4"/>
  <c r="M139" i="4"/>
  <c r="V139" i="4"/>
  <c r="AM139" i="5" s="1"/>
  <c r="Q141" i="4"/>
  <c r="Q145" i="4"/>
  <c r="Q45" i="4"/>
  <c r="Q49" i="4"/>
  <c r="Q53" i="4"/>
  <c r="S54" i="4"/>
  <c r="Q57" i="4"/>
  <c r="S58" i="4"/>
  <c r="P40" i="4"/>
  <c r="R41" i="4"/>
  <c r="N43" i="4"/>
  <c r="W43" i="4"/>
  <c r="AN43" i="5" s="1"/>
  <c r="P44" i="4"/>
  <c r="R45" i="4"/>
  <c r="N47" i="4"/>
  <c r="W47" i="4"/>
  <c r="AN47" i="5" s="1"/>
  <c r="P48" i="4"/>
  <c r="R49" i="4"/>
  <c r="N51" i="4"/>
  <c r="W51" i="4"/>
  <c r="AN51" i="5" s="1"/>
  <c r="P52" i="4"/>
  <c r="R53" i="4"/>
  <c r="L54" i="4"/>
  <c r="N55" i="4"/>
  <c r="W55" i="4"/>
  <c r="AN55" i="5" s="1"/>
  <c r="P56" i="4"/>
  <c r="R57" i="4"/>
  <c r="L58" i="4"/>
  <c r="N59" i="4"/>
  <c r="W59" i="4"/>
  <c r="AN59" i="5" s="1"/>
  <c r="P60" i="4"/>
  <c r="R61" i="4"/>
  <c r="L62" i="4"/>
  <c r="N63" i="4"/>
  <c r="W63" i="4"/>
  <c r="AN63" i="5" s="1"/>
  <c r="P64" i="4"/>
  <c r="R65" i="4"/>
  <c r="L66" i="4"/>
  <c r="N67" i="4"/>
  <c r="W67" i="4"/>
  <c r="AN67" i="5" s="1"/>
  <c r="P68" i="4"/>
  <c r="R69" i="4"/>
  <c r="L70" i="4"/>
  <c r="N71" i="4"/>
  <c r="W71" i="4"/>
  <c r="AN71" i="5" s="1"/>
  <c r="P72" i="4"/>
  <c r="R73" i="4"/>
  <c r="L74" i="4"/>
  <c r="N75" i="4"/>
  <c r="W75" i="4"/>
  <c r="AN75" i="5" s="1"/>
  <c r="P76" i="4"/>
  <c r="R77" i="4"/>
  <c r="L78" i="4"/>
  <c r="N79" i="4"/>
  <c r="W79" i="4"/>
  <c r="AN79" i="5" s="1"/>
  <c r="P80" i="4"/>
  <c r="R81" i="4"/>
  <c r="L82" i="4"/>
  <c r="P84" i="4"/>
  <c r="R85" i="4"/>
  <c r="L86" i="4"/>
  <c r="P88" i="4"/>
  <c r="R89" i="4"/>
  <c r="L90" i="4"/>
  <c r="P92" i="4"/>
  <c r="R93" i="4"/>
  <c r="L94" i="4"/>
  <c r="P96" i="4"/>
  <c r="R97" i="4"/>
  <c r="L98" i="4"/>
  <c r="P100" i="4"/>
  <c r="R101" i="4"/>
  <c r="L102" i="4"/>
  <c r="P104" i="4"/>
  <c r="R105" i="4"/>
  <c r="L106" i="4"/>
  <c r="P108" i="4"/>
  <c r="R109" i="4"/>
  <c r="L110" i="4"/>
  <c r="P112" i="4"/>
  <c r="R113" i="4"/>
  <c r="L114" i="4"/>
  <c r="P116" i="4"/>
  <c r="R117" i="4"/>
  <c r="L118" i="4"/>
  <c r="P120" i="4"/>
  <c r="R121" i="4"/>
  <c r="L122" i="4"/>
  <c r="N123" i="4"/>
  <c r="W123" i="4"/>
  <c r="AN123" i="5" s="1"/>
  <c r="P124" i="4"/>
  <c r="R125" i="4"/>
  <c r="L126" i="4"/>
  <c r="N127" i="4"/>
  <c r="W127" i="4"/>
  <c r="AN127" i="5" s="1"/>
  <c r="R129" i="4"/>
  <c r="N131" i="4"/>
  <c r="W131" i="4"/>
  <c r="AN131" i="5" s="1"/>
  <c r="N135" i="4"/>
  <c r="W135" i="4"/>
  <c r="AN135" i="5" s="1"/>
  <c r="N139" i="4"/>
  <c r="W139" i="4"/>
  <c r="AN139" i="5" s="1"/>
  <c r="R141" i="4"/>
  <c r="R145" i="4"/>
  <c r="Q40" i="4"/>
  <c r="S41" i="4"/>
  <c r="O43" i="4"/>
  <c r="Q44" i="4"/>
  <c r="S45" i="4"/>
  <c r="O47" i="4"/>
  <c r="Q48" i="4"/>
  <c r="S49" i="4"/>
  <c r="O51" i="4"/>
  <c r="Q52" i="4"/>
  <c r="S53" i="4"/>
  <c r="M54" i="4"/>
  <c r="V54" i="4"/>
  <c r="AM54" i="5" s="1"/>
  <c r="Q56" i="4"/>
  <c r="S57" i="4"/>
  <c r="M58" i="4"/>
  <c r="V58" i="4"/>
  <c r="AM58" i="5" s="1"/>
  <c r="Q60" i="4"/>
  <c r="S61" i="4"/>
  <c r="M62" i="4"/>
  <c r="V62" i="4"/>
  <c r="AM62" i="5" s="1"/>
  <c r="Q64" i="4"/>
  <c r="S65" i="4"/>
  <c r="M66" i="4"/>
  <c r="V66" i="4"/>
  <c r="AM66" i="5" s="1"/>
  <c r="Q68" i="4"/>
  <c r="S69" i="4"/>
  <c r="M70" i="4"/>
  <c r="V70" i="4"/>
  <c r="AM70" i="5" s="1"/>
  <c r="Q72" i="4"/>
  <c r="S73" i="4"/>
  <c r="M74" i="4"/>
  <c r="V74" i="4"/>
  <c r="AM74" i="5" s="1"/>
  <c r="Q76" i="4"/>
  <c r="S77" i="4"/>
  <c r="M78" i="4"/>
  <c r="V78" i="4"/>
  <c r="AM78" i="5" s="1"/>
  <c r="Q80" i="4"/>
  <c r="S81" i="4"/>
  <c r="M82" i="4"/>
  <c r="V82" i="4"/>
  <c r="AM82" i="5" s="1"/>
  <c r="Q84" i="4"/>
  <c r="S85" i="4"/>
  <c r="M86" i="4"/>
  <c r="V86" i="4"/>
  <c r="AM86" i="5" s="1"/>
  <c r="Q88" i="4"/>
  <c r="S89" i="4"/>
  <c r="M90" i="4"/>
  <c r="V90" i="4"/>
  <c r="AM90" i="5" s="1"/>
  <c r="Q92" i="4"/>
  <c r="S93" i="4"/>
  <c r="M94" i="4"/>
  <c r="V94" i="4"/>
  <c r="AM94" i="5" s="1"/>
  <c r="Q96" i="4"/>
  <c r="S97" i="4"/>
  <c r="M98" i="4"/>
  <c r="V98" i="4"/>
  <c r="AM98" i="5" s="1"/>
  <c r="Q100" i="4"/>
  <c r="S101" i="4"/>
  <c r="M102" i="4"/>
  <c r="V102" i="4"/>
  <c r="AM102" i="5" s="1"/>
  <c r="Q104" i="4"/>
  <c r="S105" i="4"/>
  <c r="M106" i="4"/>
  <c r="V106" i="4"/>
  <c r="AM106" i="5" s="1"/>
  <c r="Q108" i="4"/>
  <c r="S109" i="4"/>
  <c r="M110" i="4"/>
  <c r="V110" i="4"/>
  <c r="AM110" i="5" s="1"/>
  <c r="Q112" i="4"/>
  <c r="S113" i="4"/>
  <c r="M114" i="4"/>
  <c r="V114" i="4"/>
  <c r="AM114" i="5" s="1"/>
  <c r="Q116" i="4"/>
  <c r="S117" i="4"/>
  <c r="M118" i="4"/>
  <c r="V118" i="4"/>
  <c r="AM118" i="5" s="1"/>
  <c r="Q120" i="4"/>
  <c r="S121" i="4"/>
  <c r="M122" i="4"/>
  <c r="V122" i="4"/>
  <c r="AM122" i="5" s="1"/>
  <c r="Q124" i="4"/>
  <c r="S125" i="4"/>
  <c r="M126" i="4"/>
  <c r="V126" i="4"/>
  <c r="AM126" i="5" s="1"/>
  <c r="A128" i="4"/>
  <c r="O139" i="4"/>
  <c r="S141" i="4"/>
  <c r="O143" i="4"/>
  <c r="S145" i="4"/>
  <c r="L49" i="4"/>
  <c r="L53" i="4"/>
  <c r="N54" i="4"/>
  <c r="W54" i="4"/>
  <c r="AN54" i="5" s="1"/>
  <c r="L57" i="4"/>
  <c r="N58" i="4"/>
  <c r="W58" i="4"/>
  <c r="AN58" i="5" s="1"/>
  <c r="L61" i="4"/>
  <c r="N62" i="4"/>
  <c r="W62" i="4"/>
  <c r="AN62" i="5" s="1"/>
  <c r="L65" i="4"/>
  <c r="N66" i="4"/>
  <c r="W66" i="4"/>
  <c r="AN66" i="5" s="1"/>
  <c r="L69" i="4"/>
  <c r="N70" i="4"/>
  <c r="W70" i="4"/>
  <c r="AN70" i="5" s="1"/>
  <c r="L73" i="4"/>
  <c r="N74" i="4"/>
  <c r="W74" i="4"/>
  <c r="AN74" i="5" s="1"/>
  <c r="L77" i="4"/>
  <c r="N78" i="4"/>
  <c r="W78" i="4"/>
  <c r="AN78" i="5" s="1"/>
  <c r="L81" i="4"/>
  <c r="N82" i="4"/>
  <c r="W82" i="4"/>
  <c r="AN82" i="5" s="1"/>
  <c r="L85" i="4"/>
  <c r="N86" i="4"/>
  <c r="W86" i="4"/>
  <c r="AN86" i="5" s="1"/>
  <c r="L89" i="4"/>
  <c r="N90" i="4"/>
  <c r="W90" i="4"/>
  <c r="AN90" i="5" s="1"/>
  <c r="L93" i="4"/>
  <c r="N94" i="4"/>
  <c r="W94" i="4"/>
  <c r="AN94" i="5" s="1"/>
  <c r="L97" i="4"/>
  <c r="N98" i="4"/>
  <c r="W98" i="4"/>
  <c r="AN98" i="5" s="1"/>
  <c r="N102" i="4"/>
  <c r="W102" i="4"/>
  <c r="AN102" i="5" s="1"/>
  <c r="L109" i="4"/>
  <c r="N110" i="4"/>
  <c r="W110" i="4"/>
  <c r="AN110" i="5" s="1"/>
  <c r="R112" i="4"/>
  <c r="L113" i="4"/>
  <c r="N114" i="4"/>
  <c r="W114" i="4"/>
  <c r="AN114" i="5" s="1"/>
  <c r="R116" i="4"/>
  <c r="L117" i="4"/>
  <c r="N118" i="4"/>
  <c r="W118" i="4"/>
  <c r="AN118" i="5" s="1"/>
  <c r="R120" i="4"/>
  <c r="N122" i="4"/>
  <c r="W122" i="4"/>
  <c r="AN122" i="5" s="1"/>
  <c r="R124" i="4"/>
  <c r="L125" i="4"/>
  <c r="N126" i="4"/>
  <c r="W126" i="4"/>
  <c r="AN126" i="5" s="1"/>
  <c r="L141" i="4"/>
  <c r="L145" i="4"/>
  <c r="M41" i="4"/>
  <c r="V41" i="4"/>
  <c r="AM41" i="5" s="1"/>
  <c r="Q43" i="4"/>
  <c r="M45" i="4"/>
  <c r="V45" i="4"/>
  <c r="AM45" i="5" s="1"/>
  <c r="M49" i="4"/>
  <c r="V49" i="4"/>
  <c r="AM49" i="5" s="1"/>
  <c r="M53" i="4"/>
  <c r="V53" i="4"/>
  <c r="AM53" i="5" s="1"/>
  <c r="O54" i="4"/>
  <c r="M57" i="4"/>
  <c r="V57" i="4"/>
  <c r="AM57" i="5" s="1"/>
  <c r="O58" i="4"/>
  <c r="M61" i="4"/>
  <c r="V61" i="4"/>
  <c r="AM61" i="5" s="1"/>
  <c r="O62" i="4"/>
  <c r="M65" i="4"/>
  <c r="V65" i="4"/>
  <c r="AM65" i="5" s="1"/>
  <c r="O66" i="4"/>
  <c r="M69" i="4"/>
  <c r="V69" i="4"/>
  <c r="AM69" i="5" s="1"/>
  <c r="O70" i="4"/>
  <c r="M73" i="4"/>
  <c r="V73" i="4"/>
  <c r="AM73" i="5" s="1"/>
  <c r="O74" i="4"/>
  <c r="M77" i="4"/>
  <c r="V77" i="4"/>
  <c r="AM77" i="5" s="1"/>
  <c r="O78" i="4"/>
  <c r="M81" i="4"/>
  <c r="V81" i="4"/>
  <c r="AM81" i="5" s="1"/>
  <c r="O82" i="4"/>
  <c r="M85" i="4"/>
  <c r="V85" i="4"/>
  <c r="AM85" i="5" s="1"/>
  <c r="O86" i="4"/>
  <c r="M89" i="4"/>
  <c r="V89" i="4"/>
  <c r="AM89" i="5" s="1"/>
  <c r="O90" i="4"/>
  <c r="M93" i="4"/>
  <c r="V93" i="4"/>
  <c r="AM93" i="5" s="1"/>
  <c r="O94" i="4"/>
  <c r="M97" i="4"/>
  <c r="V97" i="4"/>
  <c r="AM97" i="5" s="1"/>
  <c r="O98" i="4"/>
  <c r="M101" i="4"/>
  <c r="M105" i="4"/>
  <c r="M109" i="4"/>
  <c r="M113" i="4"/>
  <c r="M117" i="4"/>
  <c r="M121" i="4"/>
  <c r="V121" i="4"/>
  <c r="AM121" i="5" s="1"/>
  <c r="O122" i="4"/>
  <c r="S124" i="4"/>
  <c r="M125" i="4"/>
  <c r="V125" i="4"/>
  <c r="AM125" i="5" s="1"/>
  <c r="O126" i="4"/>
  <c r="M129" i="4"/>
  <c r="M141" i="4"/>
  <c r="M145" i="4"/>
  <c r="N41" i="4"/>
  <c r="N45" i="4"/>
  <c r="N49" i="4"/>
  <c r="N53" i="4"/>
  <c r="N57" i="4"/>
  <c r="N61" i="4"/>
  <c r="N65" i="4"/>
  <c r="N69" i="4"/>
  <c r="N73" i="4"/>
  <c r="N77" i="4"/>
  <c r="N81" i="4"/>
  <c r="N85" i="4"/>
  <c r="N89" i="4"/>
  <c r="N93" i="4"/>
  <c r="N97" i="4"/>
  <c r="N121" i="4"/>
  <c r="N125" i="4"/>
  <c r="AA11" i="9" a="1"/>
  <c r="AA11" i="9" s="1"/>
  <c r="W11" i="9" a="1"/>
  <c r="W11" i="9" s="1"/>
  <c r="S11" i="9" a="1"/>
  <c r="S11" i="9" s="1"/>
  <c r="Y11" i="9" a="1"/>
  <c r="Y11" i="9" s="1"/>
  <c r="T11" i="9" a="1"/>
  <c r="T11" i="9" s="1"/>
  <c r="X11" i="9" a="1"/>
  <c r="X11" i="9" s="1"/>
  <c r="AB11" i="9" a="1"/>
  <c r="AB11" i="9" s="1"/>
  <c r="V11" i="9" a="1"/>
  <c r="V11" i="9" s="1"/>
  <c r="U11" i="9" a="1"/>
  <c r="U11" i="9" s="1"/>
  <c r="Z11" i="9" a="1"/>
  <c r="Z11" i="9" s="1"/>
  <c r="Z17" i="9" a="1"/>
  <c r="Z17" i="9" s="1"/>
  <c r="S17" i="9" a="1"/>
  <c r="S17" i="9" s="1"/>
  <c r="X17" i="9" a="1"/>
  <c r="X17" i="9" s="1"/>
  <c r="W17" i="9" a="1"/>
  <c r="W17" i="9" s="1"/>
  <c r="Y17" i="9" a="1"/>
  <c r="Y17" i="9" s="1"/>
  <c r="V17" i="9" a="1"/>
  <c r="V17" i="9" s="1"/>
  <c r="U17" i="9" a="1"/>
  <c r="U17" i="9" s="1"/>
  <c r="AA17" i="9" a="1"/>
  <c r="AA17" i="9" s="1"/>
  <c r="T17" i="9" a="1"/>
  <c r="T17" i="9" s="1"/>
  <c r="AB17" i="9" a="1"/>
  <c r="AB17" i="9" s="1"/>
  <c r="Z12" i="9" a="1"/>
  <c r="Z12" i="9" s="1"/>
  <c r="U12" i="9" a="1"/>
  <c r="U12" i="9" s="1"/>
  <c r="Y12" i="9" a="1"/>
  <c r="Y12" i="9" s="1"/>
  <c r="AB12" i="9" a="1"/>
  <c r="AB12" i="9" s="1"/>
  <c r="AA12" i="9" a="1"/>
  <c r="AA12" i="9" s="1"/>
  <c r="T12" i="9" a="1"/>
  <c r="T12" i="9" s="1"/>
  <c r="S12" i="9" a="1"/>
  <c r="S12" i="9" s="1"/>
  <c r="X12" i="9" a="1"/>
  <c r="X12" i="9" s="1"/>
  <c r="W12" i="9" a="1"/>
  <c r="W12" i="9" s="1"/>
  <c r="V12" i="9" a="1"/>
  <c r="V12" i="9" s="1"/>
  <c r="AB21" i="9" a="1"/>
  <c r="AB21" i="9" s="1"/>
  <c r="W21" i="9" a="1"/>
  <c r="W21" i="9" s="1"/>
  <c r="X21" i="9" a="1"/>
  <c r="X21" i="9" s="1"/>
  <c r="Z21" i="9" a="1"/>
  <c r="Z21" i="9" s="1"/>
  <c r="U21" i="9" a="1"/>
  <c r="U21" i="9" s="1"/>
  <c r="V21" i="9" a="1"/>
  <c r="V21" i="9" s="1"/>
  <c r="T21" i="9" a="1"/>
  <c r="T21" i="9" s="1"/>
  <c r="S21" i="9" a="1"/>
  <c r="S21" i="9" s="1"/>
  <c r="Y21" i="9" a="1"/>
  <c r="Y21" i="9" s="1"/>
  <c r="AA21" i="9" a="1"/>
  <c r="AA21" i="9" s="1"/>
  <c r="Z4" i="9" a="1"/>
  <c r="Z4" i="9" s="1"/>
  <c r="Y4" i="9" a="1"/>
  <c r="Y4" i="9" s="1"/>
  <c r="T4" i="9" a="1"/>
  <c r="T4" i="9" s="1"/>
  <c r="X4" i="9" a="1"/>
  <c r="X4" i="9" s="1"/>
  <c r="AB4" i="9" a="1"/>
  <c r="AB4" i="9" s="1"/>
  <c r="S4" i="9" a="1"/>
  <c r="S4" i="9" s="1"/>
  <c r="W4" i="9" a="1"/>
  <c r="W4" i="9" s="1"/>
  <c r="V4" i="9" a="1"/>
  <c r="V4" i="9" s="1"/>
  <c r="U4" i="9" a="1"/>
  <c r="U4" i="9" s="1"/>
  <c r="AA4" i="9" a="1"/>
  <c r="AA4" i="9" s="1"/>
  <c r="Y15" i="9" a="1"/>
  <c r="Y15" i="9" s="1"/>
  <c r="Z15" i="9" a="1"/>
  <c r="Z15" i="9" s="1"/>
  <c r="T15" i="9" a="1"/>
  <c r="T15" i="9" s="1"/>
  <c r="AA15" i="9" a="1"/>
  <c r="AA15" i="9" s="1"/>
  <c r="S15" i="9" a="1"/>
  <c r="S15" i="9" s="1"/>
  <c r="X15" i="9" a="1"/>
  <c r="X15" i="9" s="1"/>
  <c r="W15" i="9" a="1"/>
  <c r="W15" i="9" s="1"/>
  <c r="U15" i="9" a="1"/>
  <c r="U15" i="9" s="1"/>
  <c r="V15" i="9" a="1"/>
  <c r="V15" i="9" s="1"/>
  <c r="AB15" i="9" a="1"/>
  <c r="AB15" i="9" s="1"/>
  <c r="AB8" i="9" a="1"/>
  <c r="AB8" i="9" s="1"/>
  <c r="X8" i="9" a="1"/>
  <c r="X8" i="9" s="1"/>
  <c r="T8" i="9" a="1"/>
  <c r="T8" i="9" s="1"/>
  <c r="W8" i="9" a="1"/>
  <c r="W8" i="9" s="1"/>
  <c r="AA8" i="9" a="1"/>
  <c r="AA8" i="9" s="1"/>
  <c r="V8" i="9" a="1"/>
  <c r="V8" i="9" s="1"/>
  <c r="Z8" i="9" a="1"/>
  <c r="Z8" i="9" s="1"/>
  <c r="U8" i="9" a="1"/>
  <c r="U8" i="9" s="1"/>
  <c r="V14" i="9" a="1"/>
  <c r="V14" i="9" s="1"/>
  <c r="Z14" i="9" a="1"/>
  <c r="Z14" i="9" s="1"/>
  <c r="W14" i="9" a="1"/>
  <c r="W14" i="9" s="1"/>
  <c r="AB14" i="9" a="1"/>
  <c r="AB14" i="9" s="1"/>
  <c r="U14" i="9" a="1"/>
  <c r="U14" i="9" s="1"/>
  <c r="AA14" i="9" a="1"/>
  <c r="AA14" i="9" s="1"/>
  <c r="Y14" i="9" a="1"/>
  <c r="Y14" i="9" s="1"/>
  <c r="S14" i="9" a="1"/>
  <c r="S14" i="9" s="1"/>
  <c r="Y20" i="9" a="1"/>
  <c r="Y20" i="9" s="1"/>
  <c r="V20" i="9" a="1"/>
  <c r="V20" i="9" s="1"/>
  <c r="AA20" i="9" a="1"/>
  <c r="AA20" i="9" s="1"/>
  <c r="Z20" i="9" a="1"/>
  <c r="Z20" i="9" s="1"/>
  <c r="U20" i="9" a="1"/>
  <c r="U20" i="9" s="1"/>
  <c r="X20" i="9" a="1"/>
  <c r="X20" i="9" s="1"/>
  <c r="W20" i="9" a="1"/>
  <c r="W20" i="9" s="1"/>
  <c r="T20" i="9" a="1"/>
  <c r="T20" i="9" s="1"/>
  <c r="AB20" i="9" a="1"/>
  <c r="AB20" i="9" s="1"/>
  <c r="S20" i="9" a="1"/>
  <c r="S20" i="9" s="1"/>
  <c r="T14" i="9" a="1"/>
  <c r="T14" i="9" s="1"/>
  <c r="AB16" i="9" a="1"/>
  <c r="AB16" i="9" s="1"/>
  <c r="S16" i="9" a="1"/>
  <c r="S16" i="9" s="1"/>
  <c r="Y16" i="9" a="1"/>
  <c r="Y16" i="9" s="1"/>
  <c r="T16" i="9" a="1"/>
  <c r="T16" i="9" s="1"/>
  <c r="V16" i="9" a="1"/>
  <c r="V16" i="9" s="1"/>
  <c r="U16" i="9" a="1"/>
  <c r="U16" i="9" s="1"/>
  <c r="AA16" i="9" a="1"/>
  <c r="AA16" i="9" s="1"/>
  <c r="Z16" i="9" a="1"/>
  <c r="Z16" i="9" s="1"/>
  <c r="W16" i="9" a="1"/>
  <c r="W16" i="9" s="1"/>
  <c r="H4" i="6"/>
  <c r="G4" i="6"/>
  <c r="N4" i="6"/>
  <c r="H8" i="6"/>
  <c r="G8" i="6"/>
  <c r="N8" i="6"/>
  <c r="S8" i="9" a="1"/>
  <c r="S8" i="9" s="1"/>
  <c r="X14" i="9" a="1"/>
  <c r="X14" i="9" s="1"/>
  <c r="X50" i="9" a="1"/>
  <c r="X50" i="9" s="1"/>
  <c r="AB50" i="9" a="1"/>
  <c r="AB50" i="9" s="1"/>
  <c r="S50" i="9" a="1"/>
  <c r="S50" i="9" s="1"/>
  <c r="W50" i="9" a="1"/>
  <c r="W50" i="9" s="1"/>
  <c r="V50" i="9" a="1"/>
  <c r="V50" i="9" s="1"/>
  <c r="Z50" i="9" a="1"/>
  <c r="Z50" i="9" s="1"/>
  <c r="AA50" i="9" a="1"/>
  <c r="AA50" i="9" s="1"/>
  <c r="Y50" i="9" a="1"/>
  <c r="Y50" i="9" s="1"/>
  <c r="U50" i="9" a="1"/>
  <c r="U50" i="9" s="1"/>
  <c r="T50" i="9" a="1"/>
  <c r="T50" i="9" s="1"/>
  <c r="Z54" i="9" a="1"/>
  <c r="Z54" i="9" s="1"/>
  <c r="U54" i="9" a="1"/>
  <c r="U54" i="9" s="1"/>
  <c r="Y54" i="9" a="1"/>
  <c r="Y54" i="9" s="1"/>
  <c r="T54" i="9" a="1"/>
  <c r="T54" i="9" s="1"/>
  <c r="AB54" i="9" a="1"/>
  <c r="AB54" i="9" s="1"/>
  <c r="S54" i="9" a="1"/>
  <c r="S54" i="9" s="1"/>
  <c r="W54" i="9" a="1"/>
  <c r="W54" i="9" s="1"/>
  <c r="AA54" i="9" a="1"/>
  <c r="AA54" i="9" s="1"/>
  <c r="X54" i="9" a="1"/>
  <c r="X54" i="9" s="1"/>
  <c r="V54" i="9" a="1"/>
  <c r="V54" i="9" s="1"/>
  <c r="AA7" i="9" a="1"/>
  <c r="AA7" i="9" s="1"/>
  <c r="W7" i="9" a="1"/>
  <c r="W7" i="9" s="1"/>
  <c r="S7" i="9" a="1"/>
  <c r="S7" i="9" s="1"/>
  <c r="X7" i="9" a="1"/>
  <c r="X7" i="9" s="1"/>
  <c r="AB7" i="9" a="1"/>
  <c r="AB7" i="9" s="1"/>
  <c r="V7" i="9" a="1"/>
  <c r="V7" i="9" s="1"/>
  <c r="Z7" i="9" a="1"/>
  <c r="Z7" i="9" s="1"/>
  <c r="U7" i="9" a="1"/>
  <c r="U7" i="9" s="1"/>
  <c r="X16" i="9" a="1"/>
  <c r="X16" i="9" s="1"/>
  <c r="G2" i="6"/>
  <c r="N2" i="6"/>
  <c r="H2" i="6" s="1"/>
  <c r="X13" i="9" a="1"/>
  <c r="X13" i="9" s="1"/>
  <c r="AB13" i="9" a="1"/>
  <c r="AB13" i="9" s="1"/>
  <c r="S13" i="9" a="1"/>
  <c r="S13" i="9" s="1"/>
  <c r="W13" i="9" a="1"/>
  <c r="W13" i="9" s="1"/>
  <c r="AA13" i="9" a="1"/>
  <c r="AA13" i="9" s="1"/>
  <c r="U13" i="9" a="1"/>
  <c r="U13" i="9" s="1"/>
  <c r="Z13" i="9" a="1"/>
  <c r="Z13" i="9" s="1"/>
  <c r="T13" i="9" a="1"/>
  <c r="T13" i="9" s="1"/>
  <c r="H6" i="6"/>
  <c r="G6" i="6"/>
  <c r="N6" i="6"/>
  <c r="V13" i="9" a="1"/>
  <c r="V13" i="9" s="1"/>
  <c r="AB3" i="9" a="1"/>
  <c r="AB3" i="9" s="1"/>
  <c r="W3" i="9" a="1"/>
  <c r="W3" i="9" s="1"/>
  <c r="V3" i="9" a="1"/>
  <c r="V3" i="9" s="1"/>
  <c r="Z3" i="9" a="1"/>
  <c r="Z3" i="9" s="1"/>
  <c r="U3" i="9" a="1"/>
  <c r="U3" i="9" s="1"/>
  <c r="Y3" i="9" a="1"/>
  <c r="Y3" i="9" s="1"/>
  <c r="X3" i="9" a="1"/>
  <c r="X3" i="9" s="1"/>
  <c r="S3" i="9" a="1"/>
  <c r="S3" i="9" s="1"/>
  <c r="Y7" i="9" a="1"/>
  <c r="Y7" i="9" s="1"/>
  <c r="Y13" i="9" a="1"/>
  <c r="Y13" i="9" s="1"/>
  <c r="T5" i="9" a="1"/>
  <c r="T5" i="9" s="1"/>
  <c r="Z5" i="9" a="1"/>
  <c r="Z5" i="9" s="1"/>
  <c r="Z10" i="9" a="1"/>
  <c r="Z10" i="9" s="1"/>
  <c r="V10" i="9" a="1"/>
  <c r="V10" i="9" s="1"/>
  <c r="W10" i="9" a="1"/>
  <c r="W10" i="9" s="1"/>
  <c r="AB10" i="9" a="1"/>
  <c r="AB10" i="9" s="1"/>
  <c r="W24" i="9" a="1"/>
  <c r="W24" i="9" s="1"/>
  <c r="Z44" i="9" a="1"/>
  <c r="Z44" i="9" s="1"/>
  <c r="Y44" i="9" a="1"/>
  <c r="Y44" i="9" s="1"/>
  <c r="X44" i="9" a="1"/>
  <c r="X44" i="9" s="1"/>
  <c r="AB44" i="9" a="1"/>
  <c r="AB44" i="9" s="1"/>
  <c r="S44" i="9" a="1"/>
  <c r="S44" i="9" s="1"/>
  <c r="W44" i="9" a="1"/>
  <c r="W44" i="9" s="1"/>
  <c r="V44" i="9" a="1"/>
  <c r="V44" i="9" s="1"/>
  <c r="U44" i="9" a="1"/>
  <c r="U44" i="9" s="1"/>
  <c r="T44" i="9" a="1"/>
  <c r="T44" i="9" s="1"/>
  <c r="V5" i="9" a="1"/>
  <c r="V5" i="9" s="1"/>
  <c r="S10" i="9" a="1"/>
  <c r="S10" i="9" s="1"/>
  <c r="X10" i="9" a="1"/>
  <c r="X10" i="9" s="1"/>
  <c r="Z22" i="9" a="1"/>
  <c r="Z22" i="9" s="1"/>
  <c r="AB22" i="9" a="1"/>
  <c r="AB22" i="9" s="1"/>
  <c r="W22" i="9" a="1"/>
  <c r="W22" i="9" s="1"/>
  <c r="U22" i="9" a="1"/>
  <c r="U22" i="9" s="1"/>
  <c r="T22" i="9" a="1"/>
  <c r="T22" i="9" s="1"/>
  <c r="Y22" i="9" a="1"/>
  <c r="Y22" i="9" s="1"/>
  <c r="AA22" i="9" a="1"/>
  <c r="AA22" i="9" s="1"/>
  <c r="AA44" i="9" a="1"/>
  <c r="AA44" i="9" s="1"/>
  <c r="U6" i="9" a="1"/>
  <c r="U6" i="9" s="1"/>
  <c r="Z24" i="9" a="1"/>
  <c r="Z24" i="9" s="1"/>
  <c r="X28" i="9" a="1"/>
  <c r="X28" i="9" s="1"/>
  <c r="Z28" i="9" a="1"/>
  <c r="Z28" i="9" s="1"/>
  <c r="Y28" i="9" a="1"/>
  <c r="Y28" i="9" s="1"/>
  <c r="S28" i="9" a="1"/>
  <c r="S28" i="9" s="1"/>
  <c r="W28" i="9" a="1"/>
  <c r="W28" i="9" s="1"/>
  <c r="AB28" i="9" a="1"/>
  <c r="AB28" i="9" s="1"/>
  <c r="V28" i="9" a="1"/>
  <c r="V28" i="9" s="1"/>
  <c r="U28" i="9" a="1"/>
  <c r="U28" i="9" s="1"/>
  <c r="AA28" i="9" a="1"/>
  <c r="AA28" i="9" s="1"/>
  <c r="U32" i="9" a="1"/>
  <c r="U32" i="9" s="1"/>
  <c r="AB32" i="9" a="1"/>
  <c r="AB32" i="9" s="1"/>
  <c r="S32" i="9" a="1"/>
  <c r="S32" i="9" s="1"/>
  <c r="W32" i="9" a="1"/>
  <c r="W32" i="9" s="1"/>
  <c r="V32" i="9" a="1"/>
  <c r="V32" i="9" s="1"/>
  <c r="AA32" i="9" a="1"/>
  <c r="AA32" i="9" s="1"/>
  <c r="Z32" i="9" a="1"/>
  <c r="Z32" i="9" s="1"/>
  <c r="T32" i="9" a="1"/>
  <c r="T32" i="9" s="1"/>
  <c r="Y32" i="9" a="1"/>
  <c r="Y32" i="9" s="1"/>
  <c r="Z68" i="9" a="1"/>
  <c r="Z68" i="9" s="1"/>
  <c r="AB68" i="9" a="1"/>
  <c r="AB68" i="9" s="1"/>
  <c r="W68" i="9" a="1"/>
  <c r="W68" i="9" s="1"/>
  <c r="V68" i="9" a="1"/>
  <c r="V68" i="9" s="1"/>
  <c r="AA68" i="9" a="1"/>
  <c r="AA68" i="9" s="1"/>
  <c r="U68" i="9" a="1"/>
  <c r="U68" i="9" s="1"/>
  <c r="Y68" i="9" a="1"/>
  <c r="Y68" i="9" s="1"/>
  <c r="T68" i="9" a="1"/>
  <c r="T68" i="9" s="1"/>
  <c r="X68" i="9" a="1"/>
  <c r="X68" i="9" s="1"/>
  <c r="S68" i="9" a="1"/>
  <c r="S68" i="9" s="1"/>
  <c r="Y5" i="9" a="1"/>
  <c r="Y5" i="9" s="1"/>
  <c r="U5" i="9" a="1"/>
  <c r="U5" i="9" s="1"/>
  <c r="W5" i="9" a="1"/>
  <c r="W5" i="9" s="1"/>
  <c r="AB5" i="9" a="1"/>
  <c r="AB5" i="9" s="1"/>
  <c r="T10" i="9" a="1"/>
  <c r="T10" i="9" s="1"/>
  <c r="Y10" i="9" a="1"/>
  <c r="Y10" i="9" s="1"/>
  <c r="X23" i="9" a="1"/>
  <c r="X23" i="9" s="1"/>
  <c r="Z23" i="9" a="1"/>
  <c r="Z23" i="9" s="1"/>
  <c r="Y23" i="9" a="1"/>
  <c r="Y23" i="9" s="1"/>
  <c r="T23" i="9" a="1"/>
  <c r="T23" i="9" s="1"/>
  <c r="S23" i="9" a="1"/>
  <c r="S23" i="9" s="1"/>
  <c r="AB23" i="9" a="1"/>
  <c r="AB23" i="9" s="1"/>
  <c r="Z49" i="9" a="1"/>
  <c r="Z49" i="9" s="1"/>
  <c r="U49" i="9" a="1"/>
  <c r="U49" i="9" s="1"/>
  <c r="Y49" i="9" a="1"/>
  <c r="Y49" i="9" s="1"/>
  <c r="X49" i="9" a="1"/>
  <c r="X49" i="9" s="1"/>
  <c r="S49" i="9" a="1"/>
  <c r="S49" i="9" s="1"/>
  <c r="AB49" i="9" a="1"/>
  <c r="AB49" i="9" s="1"/>
  <c r="W49" i="9" a="1"/>
  <c r="W49" i="9" s="1"/>
  <c r="AA49" i="9" a="1"/>
  <c r="AA49" i="9" s="1"/>
  <c r="V49" i="9" a="1"/>
  <c r="V49" i="9" s="1"/>
  <c r="T49" i="9" a="1"/>
  <c r="T49" i="9" s="1"/>
  <c r="Z6" i="9" a="1"/>
  <c r="Z6" i="9" s="1"/>
  <c r="V6" i="9" a="1"/>
  <c r="V6" i="9" s="1"/>
  <c r="W6" i="9" a="1"/>
  <c r="W6" i="9" s="1"/>
  <c r="AB6" i="9" a="1"/>
  <c r="AB6" i="9" s="1"/>
  <c r="AA24" i="9" a="1"/>
  <c r="AA24" i="9" s="1"/>
  <c r="V24" i="9" a="1"/>
  <c r="V24" i="9" s="1"/>
  <c r="Y24" i="9" a="1"/>
  <c r="Y24" i="9" s="1"/>
  <c r="T24" i="9" a="1"/>
  <c r="T24" i="9" s="1"/>
  <c r="X24" i="9" a="1"/>
  <c r="X24" i="9" s="1"/>
  <c r="S24" i="9" a="1"/>
  <c r="S24" i="9" s="1"/>
  <c r="Y25" i="9" a="1"/>
  <c r="Y25" i="9" s="1"/>
  <c r="AA25" i="9" a="1"/>
  <c r="AA25" i="9" s="1"/>
  <c r="AB25" i="9" a="1"/>
  <c r="AB25" i="9" s="1"/>
  <c r="S25" i="9" a="1"/>
  <c r="S25" i="9" s="1"/>
  <c r="X25" i="9" a="1"/>
  <c r="X25" i="9" s="1"/>
  <c r="W26" i="9" a="1"/>
  <c r="W26" i="9" s="1"/>
  <c r="U26" i="9" a="1"/>
  <c r="U26" i="9" s="1"/>
  <c r="T26" i="9" a="1"/>
  <c r="T26" i="9" s="1"/>
  <c r="Z26" i="9" a="1"/>
  <c r="Z26" i="9" s="1"/>
  <c r="Y26" i="9" a="1"/>
  <c r="Y26" i="9" s="1"/>
  <c r="S26" i="9" a="1"/>
  <c r="S26" i="9" s="1"/>
  <c r="X26" i="9" a="1"/>
  <c r="X26" i="9" s="1"/>
  <c r="T28" i="9" a="1"/>
  <c r="T28" i="9" s="1"/>
  <c r="V34" i="9" a="1"/>
  <c r="V34" i="9" s="1"/>
  <c r="X34" i="9" a="1"/>
  <c r="X34" i="9" s="1"/>
  <c r="S34" i="9" a="1"/>
  <c r="S34" i="9" s="1"/>
  <c r="Y34" i="9" a="1"/>
  <c r="Y34" i="9" s="1"/>
  <c r="W34" i="9" a="1"/>
  <c r="W34" i="9" s="1"/>
  <c r="AB34" i="9" a="1"/>
  <c r="AB34" i="9" s="1"/>
  <c r="AA34" i="9" a="1"/>
  <c r="AA34" i="9" s="1"/>
  <c r="U34" i="9" a="1"/>
  <c r="U34" i="9" s="1"/>
  <c r="AB38" i="9" a="1"/>
  <c r="AB38" i="9" s="1"/>
  <c r="S38" i="9" a="1"/>
  <c r="S38" i="9" s="1"/>
  <c r="AA38" i="9" a="1"/>
  <c r="AA38" i="9" s="1"/>
  <c r="Z38" i="9" a="1"/>
  <c r="Z38" i="9" s="1"/>
  <c r="W38" i="9" a="1"/>
  <c r="W38" i="9" s="1"/>
  <c r="V38" i="9" a="1"/>
  <c r="V38" i="9" s="1"/>
  <c r="U38" i="9" a="1"/>
  <c r="U38" i="9" s="1"/>
  <c r="T38" i="9" a="1"/>
  <c r="T38" i="9" s="1"/>
  <c r="Y38" i="9" a="1"/>
  <c r="Y38" i="9" s="1"/>
  <c r="AB53" i="9" a="1"/>
  <c r="AB53" i="9" s="1"/>
  <c r="W53" i="9" a="1"/>
  <c r="W53" i="9" s="1"/>
  <c r="AA53" i="9" a="1"/>
  <c r="AA53" i="9" s="1"/>
  <c r="V53" i="9" a="1"/>
  <c r="V53" i="9" s="1"/>
  <c r="U53" i="9" a="1"/>
  <c r="U53" i="9" s="1"/>
  <c r="Y53" i="9" a="1"/>
  <c r="Y53" i="9" s="1"/>
  <c r="Z53" i="9" a="1"/>
  <c r="Z53" i="9" s="1"/>
  <c r="X53" i="9" a="1"/>
  <c r="X53" i="9" s="1"/>
  <c r="T53" i="9" a="1"/>
  <c r="T53" i="9" s="1"/>
  <c r="S53" i="9" a="1"/>
  <c r="S53" i="9" s="1"/>
  <c r="S6" i="9" a="1"/>
  <c r="S6" i="9" s="1"/>
  <c r="X6" i="9" a="1"/>
  <c r="X6" i="9" s="1"/>
  <c r="Y9" i="9" a="1"/>
  <c r="Y9" i="9" s="1"/>
  <c r="U9" i="9" a="1"/>
  <c r="U9" i="9" s="1"/>
  <c r="W9" i="9" a="1"/>
  <c r="W9" i="9" s="1"/>
  <c r="AB9" i="9" a="1"/>
  <c r="AB9" i="9" s="1"/>
  <c r="V23" i="9" a="1"/>
  <c r="V23" i="9" s="1"/>
  <c r="U24" i="9" a="1"/>
  <c r="U24" i="9" s="1"/>
  <c r="T25" i="9" a="1"/>
  <c r="T25" i="9" s="1"/>
  <c r="Z34" i="9" a="1"/>
  <c r="Z34" i="9" s="1"/>
  <c r="X38" i="9" a="1"/>
  <c r="X38" i="9" s="1"/>
  <c r="V30" i="9" a="1"/>
  <c r="V30" i="9" s="1"/>
  <c r="T33" i="9" a="1"/>
  <c r="T33" i="9" s="1"/>
  <c r="AB48" i="9" a="1"/>
  <c r="AB48" i="9" s="1"/>
  <c r="S48" i="9" a="1"/>
  <c r="S48" i="9" s="1"/>
  <c r="W48" i="9" a="1"/>
  <c r="W48" i="9" s="1"/>
  <c r="AA48" i="9" a="1"/>
  <c r="AA48" i="9" s="1"/>
  <c r="V48" i="9" a="1"/>
  <c r="V48" i="9" s="1"/>
  <c r="U48" i="9" a="1"/>
  <c r="U48" i="9" s="1"/>
  <c r="Y48" i="9" a="1"/>
  <c r="Y48" i="9" s="1"/>
  <c r="W56" i="9" a="1"/>
  <c r="W56" i="9" s="1"/>
  <c r="Y30" i="9" a="1"/>
  <c r="Y30" i="9" s="1"/>
  <c r="T30" i="9" a="1"/>
  <c r="T30" i="9" s="1"/>
  <c r="AA30" i="9" a="1"/>
  <c r="AA30" i="9" s="1"/>
  <c r="W30" i="9" a="1"/>
  <c r="W30" i="9" s="1"/>
  <c r="W31" i="9" a="1"/>
  <c r="W31" i="9" s="1"/>
  <c r="Y31" i="9" a="1"/>
  <c r="Y31" i="9" s="1"/>
  <c r="X31" i="9" a="1"/>
  <c r="X31" i="9" s="1"/>
  <c r="U37" i="9" a="1"/>
  <c r="U37" i="9" s="1"/>
  <c r="AB37" i="9" a="1"/>
  <c r="AB37" i="9" s="1"/>
  <c r="W37" i="9" a="1"/>
  <c r="W37" i="9" s="1"/>
  <c r="X37" i="9" a="1"/>
  <c r="X37" i="9" s="1"/>
  <c r="T40" i="9" a="1"/>
  <c r="T40" i="9" s="1"/>
  <c r="AB40" i="9" a="1"/>
  <c r="AB40" i="9" s="1"/>
  <c r="S40" i="9" a="1"/>
  <c r="S40" i="9" s="1"/>
  <c r="AA40" i="9" a="1"/>
  <c r="AA40" i="9" s="1"/>
  <c r="V40" i="9" a="1"/>
  <c r="V40" i="9" s="1"/>
  <c r="U42" i="9" a="1"/>
  <c r="U42" i="9" s="1"/>
  <c r="X42" i="9" a="1"/>
  <c r="X42" i="9" s="1"/>
  <c r="W42" i="9" a="1"/>
  <c r="W42" i="9" s="1"/>
  <c r="AA42" i="9" a="1"/>
  <c r="AA42" i="9" s="1"/>
  <c r="Z42" i="9" a="1"/>
  <c r="Z42" i="9" s="1"/>
  <c r="T45" i="9" a="1"/>
  <c r="T45" i="9" s="1"/>
  <c r="AB45" i="9" a="1"/>
  <c r="AB45" i="9" s="1"/>
  <c r="W45" i="9" a="1"/>
  <c r="W45" i="9" s="1"/>
  <c r="V45" i="9" a="1"/>
  <c r="V45" i="9" s="1"/>
  <c r="Z45" i="9" a="1"/>
  <c r="Z45" i="9" s="1"/>
  <c r="AA45" i="9" a="1"/>
  <c r="AA45" i="9" s="1"/>
  <c r="V61" i="9" a="1"/>
  <c r="V61" i="9" s="1"/>
  <c r="Z61" i="9" a="1"/>
  <c r="Z61" i="9" s="1"/>
  <c r="U61" i="9" a="1"/>
  <c r="U61" i="9" s="1"/>
  <c r="T61" i="9" a="1"/>
  <c r="T61" i="9" s="1"/>
  <c r="X61" i="9" a="1"/>
  <c r="X61" i="9" s="1"/>
  <c r="S61" i="9" a="1"/>
  <c r="S61" i="9" s="1"/>
  <c r="AB61" i="9" a="1"/>
  <c r="AB61" i="9" s="1"/>
  <c r="W61" i="9" a="1"/>
  <c r="W61" i="9" s="1"/>
  <c r="T69" i="9" a="1"/>
  <c r="T69" i="9" s="1"/>
  <c r="AA69" i="9" a="1"/>
  <c r="AA69" i="9" s="1"/>
  <c r="V69" i="9" a="1"/>
  <c r="V69" i="9" s="1"/>
  <c r="Z69" i="9" a="1"/>
  <c r="Z69" i="9" s="1"/>
  <c r="U69" i="9" a="1"/>
  <c r="U69" i="9" s="1"/>
  <c r="Y69" i="9" a="1"/>
  <c r="Y69" i="9" s="1"/>
  <c r="S69" i="9" a="1"/>
  <c r="S69" i="9" s="1"/>
  <c r="X69" i="9" a="1"/>
  <c r="X69" i="9" s="1"/>
  <c r="W69" i="9" a="1"/>
  <c r="W69" i="9" s="1"/>
  <c r="W18" i="9" a="1"/>
  <c r="W18" i="9" s="1"/>
  <c r="AB18" i="9" a="1"/>
  <c r="AB18" i="9" s="1"/>
  <c r="AA27" i="9" a="1"/>
  <c r="AA27" i="9" s="1"/>
  <c r="S31" i="9" a="1"/>
  <c r="S31" i="9" s="1"/>
  <c r="U33" i="9" a="1"/>
  <c r="U33" i="9" s="1"/>
  <c r="AA33" i="9" a="1"/>
  <c r="AA33" i="9" s="1"/>
  <c r="W36" i="9" a="1"/>
  <c r="W36" i="9" s="1"/>
  <c r="Y36" i="9" a="1"/>
  <c r="Y36" i="9" s="1"/>
  <c r="Z40" i="9" a="1"/>
  <c r="Z40" i="9" s="1"/>
  <c r="S45" i="9" a="1"/>
  <c r="S45" i="9" s="1"/>
  <c r="AA46" i="9" a="1"/>
  <c r="AA46" i="9" s="1"/>
  <c r="Z46" i="9" a="1"/>
  <c r="Z46" i="9" s="1"/>
  <c r="Y46" i="9" a="1"/>
  <c r="Y46" i="9" s="1"/>
  <c r="T46" i="9" a="1"/>
  <c r="T46" i="9" s="1"/>
  <c r="X46" i="9" a="1"/>
  <c r="X46" i="9" s="1"/>
  <c r="T48" i="9" a="1"/>
  <c r="T48" i="9" s="1"/>
  <c r="Y56" i="9" a="1"/>
  <c r="Y56" i="9" s="1"/>
  <c r="V29" i="9" a="1"/>
  <c r="V29" i="9" s="1"/>
  <c r="T29" i="9" a="1"/>
  <c r="T29" i="9" s="1"/>
  <c r="X29" i="9" a="1"/>
  <c r="X29" i="9" s="1"/>
  <c r="X30" i="9" a="1"/>
  <c r="X30" i="9" s="1"/>
  <c r="Z31" i="9" a="1"/>
  <c r="Z31" i="9" s="1"/>
  <c r="V33" i="9" a="1"/>
  <c r="V33" i="9" s="1"/>
  <c r="X36" i="9" a="1"/>
  <c r="X36" i="9" s="1"/>
  <c r="S37" i="9" a="1"/>
  <c r="S37" i="9" s="1"/>
  <c r="Y37" i="9" a="1"/>
  <c r="Y37" i="9" s="1"/>
  <c r="S42" i="9" a="1"/>
  <c r="S42" i="9" s="1"/>
  <c r="AB42" i="9" a="1"/>
  <c r="AB42" i="9" s="1"/>
  <c r="Y55" i="9" a="1"/>
  <c r="Y55" i="9" s="1"/>
  <c r="X60" i="9" a="1"/>
  <c r="X60" i="9" s="1"/>
  <c r="AB60" i="9" a="1"/>
  <c r="AB60" i="9" s="1"/>
  <c r="S60" i="9" a="1"/>
  <c r="S60" i="9" s="1"/>
  <c r="W60" i="9" a="1"/>
  <c r="W60" i="9" s="1"/>
  <c r="Z60" i="9" a="1"/>
  <c r="Z60" i="9" s="1"/>
  <c r="U60" i="9" a="1"/>
  <c r="U60" i="9" s="1"/>
  <c r="Y60" i="9" a="1"/>
  <c r="Y60" i="9" s="1"/>
  <c r="S36" i="9" a="1"/>
  <c r="S36" i="9" s="1"/>
  <c r="T37" i="9" a="1"/>
  <c r="T37" i="9" s="1"/>
  <c r="Z37" i="9" a="1"/>
  <c r="Z37" i="9" s="1"/>
  <c r="V39" i="9" a="1"/>
  <c r="V39" i="9" s="1"/>
  <c r="Y39" i="9" a="1"/>
  <c r="Y39" i="9" s="1"/>
  <c r="X39" i="9" a="1"/>
  <c r="X39" i="9" s="1"/>
  <c r="U40" i="9" a="1"/>
  <c r="U40" i="9" s="1"/>
  <c r="AA41" i="9" a="1"/>
  <c r="AA41" i="9" s="1"/>
  <c r="Z41" i="9" a="1"/>
  <c r="Z41" i="9" s="1"/>
  <c r="Y41" i="9" a="1"/>
  <c r="Y41" i="9" s="1"/>
  <c r="X41" i="9" a="1"/>
  <c r="X41" i="9" s="1"/>
  <c r="T42" i="9" a="1"/>
  <c r="T42" i="9" s="1"/>
  <c r="U45" i="9" a="1"/>
  <c r="U45" i="9" s="1"/>
  <c r="X48" i="9" a="1"/>
  <c r="X48" i="9" s="1"/>
  <c r="Z58" i="9" a="1"/>
  <c r="Z58" i="9" s="1"/>
  <c r="Y61" i="9" a="1"/>
  <c r="Y61" i="9" s="1"/>
  <c r="AB69" i="9" a="1"/>
  <c r="AB69" i="9" s="1"/>
  <c r="Y104" i="9" a="1"/>
  <c r="Y104" i="9" s="1"/>
  <c r="U104" i="9" a="1"/>
  <c r="U104" i="9" s="1"/>
  <c r="AA104" i="9" a="1"/>
  <c r="AA104" i="9" s="1"/>
  <c r="Z104" i="9" a="1"/>
  <c r="Z104" i="9" s="1"/>
  <c r="T104" i="9" a="1"/>
  <c r="T104" i="9" s="1"/>
  <c r="X104" i="9" a="1"/>
  <c r="X104" i="9" s="1"/>
  <c r="S104" i="9" a="1"/>
  <c r="S104" i="9" s="1"/>
  <c r="V104" i="9" a="1"/>
  <c r="V104" i="9" s="1"/>
  <c r="AB104" i="9" a="1"/>
  <c r="AB104" i="9" s="1"/>
  <c r="W104" i="9" a="1"/>
  <c r="W104" i="9" s="1"/>
  <c r="Z30" i="9" a="1"/>
  <c r="Z30" i="9" s="1"/>
  <c r="U31" i="9" a="1"/>
  <c r="U31" i="9" s="1"/>
  <c r="AA31" i="9" a="1"/>
  <c r="AA31" i="9" s="1"/>
  <c r="X33" i="9" a="1"/>
  <c r="X33" i="9" s="1"/>
  <c r="S33" i="9" a="1"/>
  <c r="S33" i="9" s="1"/>
  <c r="Z33" i="9" a="1"/>
  <c r="Z33" i="9" s="1"/>
  <c r="W33" i="9" a="1"/>
  <c r="W33" i="9" s="1"/>
  <c r="AA56" i="9" a="1"/>
  <c r="AA56" i="9" s="1"/>
  <c r="V56" i="9" a="1"/>
  <c r="V56" i="9" s="1"/>
  <c r="Z56" i="9" a="1"/>
  <c r="Z56" i="9" s="1"/>
  <c r="U56" i="9" a="1"/>
  <c r="U56" i="9" s="1"/>
  <c r="T56" i="9" a="1"/>
  <c r="T56" i="9" s="1"/>
  <c r="X56" i="9" a="1"/>
  <c r="X56" i="9" s="1"/>
  <c r="T60" i="9" a="1"/>
  <c r="T60" i="9" s="1"/>
  <c r="AA61" i="9" a="1"/>
  <c r="AA61" i="9" s="1"/>
  <c r="Z27" i="9" a="1"/>
  <c r="Z27" i="9" s="1"/>
  <c r="U27" i="9" a="1"/>
  <c r="U27" i="9" s="1"/>
  <c r="AB27" i="9" a="1"/>
  <c r="AB27" i="9" s="1"/>
  <c r="S27" i="9" a="1"/>
  <c r="S27" i="9" s="1"/>
  <c r="X27" i="9" a="1"/>
  <c r="X27" i="9" s="1"/>
  <c r="U30" i="9" a="1"/>
  <c r="U30" i="9" s="1"/>
  <c r="V31" i="9" a="1"/>
  <c r="V31" i="9" s="1"/>
  <c r="AB31" i="9" a="1"/>
  <c r="AB31" i="9" s="1"/>
  <c r="T36" i="9" a="1"/>
  <c r="T36" i="9" s="1"/>
  <c r="Z36" i="9" a="1"/>
  <c r="Z36" i="9" s="1"/>
  <c r="AA37" i="9" a="1"/>
  <c r="AA37" i="9" s="1"/>
  <c r="W40" i="9" a="1"/>
  <c r="W40" i="9" s="1"/>
  <c r="V42" i="9" a="1"/>
  <c r="V42" i="9" s="1"/>
  <c r="X45" i="9" a="1"/>
  <c r="X45" i="9" s="1"/>
  <c r="Z48" i="9" a="1"/>
  <c r="Z48" i="9" s="1"/>
  <c r="X55" i="9" a="1"/>
  <c r="X55" i="9" s="1"/>
  <c r="AB55" i="9" a="1"/>
  <c r="AB55" i="9" s="1"/>
  <c r="S55" i="9" a="1"/>
  <c r="S55" i="9" s="1"/>
  <c r="W55" i="9" a="1"/>
  <c r="W55" i="9" s="1"/>
  <c r="V55" i="9" a="1"/>
  <c r="V55" i="9" s="1"/>
  <c r="Z55" i="9" a="1"/>
  <c r="Z55" i="9" s="1"/>
  <c r="U55" i="9" a="1"/>
  <c r="U55" i="9" s="1"/>
  <c r="S56" i="9" a="1"/>
  <c r="S56" i="9" s="1"/>
  <c r="W58" i="9" a="1"/>
  <c r="W58" i="9" s="1"/>
  <c r="AA58" i="9" a="1"/>
  <c r="AA58" i="9" s="1"/>
  <c r="V58" i="9" a="1"/>
  <c r="V58" i="9" s="1"/>
  <c r="U58" i="9" a="1"/>
  <c r="U58" i="9" s="1"/>
  <c r="Y58" i="9" a="1"/>
  <c r="Y58" i="9" s="1"/>
  <c r="T58" i="9" a="1"/>
  <c r="T58" i="9" s="1"/>
  <c r="Z59" i="9" a="1"/>
  <c r="Z59" i="9" s="1"/>
  <c r="U59" i="9" a="1"/>
  <c r="U59" i="9" s="1"/>
  <c r="Y59" i="9" a="1"/>
  <c r="Y59" i="9" s="1"/>
  <c r="T59" i="9" a="1"/>
  <c r="T59" i="9" s="1"/>
  <c r="AB59" i="9" a="1"/>
  <c r="AB59" i="9" s="1"/>
  <c r="S59" i="9" a="1"/>
  <c r="S59" i="9" s="1"/>
  <c r="W59" i="9" a="1"/>
  <c r="W59" i="9" s="1"/>
  <c r="AA59" i="9" a="1"/>
  <c r="AA59" i="9" s="1"/>
  <c r="V60" i="9" a="1"/>
  <c r="V60" i="9" s="1"/>
  <c r="AB73" i="9" a="1"/>
  <c r="AB73" i="9" s="1"/>
  <c r="W73" i="9" a="1"/>
  <c r="W73" i="9" s="1"/>
  <c r="AA73" i="9" a="1"/>
  <c r="AA73" i="9" s="1"/>
  <c r="Z73" i="9" a="1"/>
  <c r="Z73" i="9" s="1"/>
  <c r="T74" i="9" a="1"/>
  <c r="T74" i="9" s="1"/>
  <c r="AA76" i="9" a="1"/>
  <c r="AA76" i="9" s="1"/>
  <c r="V76" i="9" a="1"/>
  <c r="V76" i="9" s="1"/>
  <c r="Z76" i="9" a="1"/>
  <c r="Z76" i="9" s="1"/>
  <c r="Y76" i="9" a="1"/>
  <c r="Y76" i="9" s="1"/>
  <c r="AB76" i="9" a="1"/>
  <c r="AB76" i="9" s="1"/>
  <c r="S76" i="9" a="1"/>
  <c r="S76" i="9" s="1"/>
  <c r="U86" i="9" a="1"/>
  <c r="U86" i="9" s="1"/>
  <c r="W89" i="9" a="1"/>
  <c r="W89" i="9" s="1"/>
  <c r="AA102" i="9" a="1"/>
  <c r="AA102" i="9" s="1"/>
  <c r="W102" i="9" a="1"/>
  <c r="W102" i="9" s="1"/>
  <c r="S102" i="9" a="1"/>
  <c r="S102" i="9" s="1"/>
  <c r="V102" i="9" a="1"/>
  <c r="V102" i="9" s="1"/>
  <c r="Z102" i="9" a="1"/>
  <c r="Z102" i="9" s="1"/>
  <c r="U102" i="9" a="1"/>
  <c r="U102" i="9" s="1"/>
  <c r="T102" i="9" a="1"/>
  <c r="T102" i="9" s="1"/>
  <c r="Y102" i="9" a="1"/>
  <c r="Y102" i="9" s="1"/>
  <c r="AB102" i="9" a="1"/>
  <c r="AB102" i="9" s="1"/>
  <c r="V64" i="9" a="1"/>
  <c r="V64" i="9" s="1"/>
  <c r="AA64" i="9" a="1"/>
  <c r="AA64" i="9" s="1"/>
  <c r="V70" i="9" a="1"/>
  <c r="V70" i="9" s="1"/>
  <c r="V74" i="9" a="1"/>
  <c r="V74" i="9" s="1"/>
  <c r="AB74" i="9" a="1"/>
  <c r="AB74" i="9" s="1"/>
  <c r="Y77" i="9" a="1"/>
  <c r="Y77" i="9" s="1"/>
  <c r="T77" i="9" a="1"/>
  <c r="T77" i="9" s="1"/>
  <c r="AB77" i="9" a="1"/>
  <c r="AB77" i="9" s="1"/>
  <c r="W77" i="9" a="1"/>
  <c r="W77" i="9" s="1"/>
  <c r="Z77" i="9" a="1"/>
  <c r="Z77" i="9" s="1"/>
  <c r="X80" i="9" a="1"/>
  <c r="X80" i="9" s="1"/>
  <c r="AB80" i="9" a="1"/>
  <c r="AB80" i="9" s="1"/>
  <c r="S80" i="9" a="1"/>
  <c r="S80" i="9" s="1"/>
  <c r="AA80" i="9" a="1"/>
  <c r="AA80" i="9" s="1"/>
  <c r="V80" i="9" a="1"/>
  <c r="V80" i="9" s="1"/>
  <c r="Y80" i="9" a="1"/>
  <c r="Y80" i="9" s="1"/>
  <c r="U82" i="9" a="1"/>
  <c r="U82" i="9" s="1"/>
  <c r="Y82" i="9" a="1"/>
  <c r="Y82" i="9" s="1"/>
  <c r="T82" i="9" a="1"/>
  <c r="T82" i="9" s="1"/>
  <c r="X82" i="9" a="1"/>
  <c r="X82" i="9" s="1"/>
  <c r="W82" i="9" a="1"/>
  <c r="W82" i="9" s="1"/>
  <c r="Z82" i="9" a="1"/>
  <c r="Z82" i="9" s="1"/>
  <c r="AB82" i="9" a="1"/>
  <c r="AB82" i="9" s="1"/>
  <c r="Y92" i="9" a="1"/>
  <c r="Y92" i="9" s="1"/>
  <c r="T92" i="9" a="1"/>
  <c r="T92" i="9" s="1"/>
  <c r="X92" i="9" a="1"/>
  <c r="X92" i="9" s="1"/>
  <c r="AB92" i="9" a="1"/>
  <c r="AB92" i="9" s="1"/>
  <c r="S92" i="9" a="1"/>
  <c r="S92" i="9" s="1"/>
  <c r="W92" i="9" a="1"/>
  <c r="W92" i="9" s="1"/>
  <c r="U92" i="9" a="1"/>
  <c r="U92" i="9" s="1"/>
  <c r="X111" i="9" a="1"/>
  <c r="X111" i="9" s="1"/>
  <c r="AA111" i="9" a="1"/>
  <c r="AA111" i="9" s="1"/>
  <c r="V111" i="9" a="1"/>
  <c r="V111" i="9" s="1"/>
  <c r="Y111" i="9" a="1"/>
  <c r="Y111" i="9" s="1"/>
  <c r="W111" i="9" a="1"/>
  <c r="W111" i="9" s="1"/>
  <c r="AB111" i="9" a="1"/>
  <c r="AB111" i="9" s="1"/>
  <c r="U111" i="9" a="1"/>
  <c r="U111" i="9" s="1"/>
  <c r="AA47" i="9" a="1"/>
  <c r="AA47" i="9" s="1"/>
  <c r="V52" i="9" a="1"/>
  <c r="V52" i="9" s="1"/>
  <c r="AA52" i="9" a="1"/>
  <c r="AA52" i="9" s="1"/>
  <c r="V57" i="9" a="1"/>
  <c r="V57" i="9" s="1"/>
  <c r="V62" i="9" a="1"/>
  <c r="V62" i="9" s="1"/>
  <c r="W64" i="9" a="1"/>
  <c r="W64" i="9" s="1"/>
  <c r="U65" i="9" a="1"/>
  <c r="U65" i="9" s="1"/>
  <c r="Z65" i="9" a="1"/>
  <c r="Z65" i="9" s="1"/>
  <c r="W70" i="9" a="1"/>
  <c r="W70" i="9" s="1"/>
  <c r="AB70" i="9" a="1"/>
  <c r="AB70" i="9" s="1"/>
  <c r="Y72" i="9" a="1"/>
  <c r="Y72" i="9" s="1"/>
  <c r="AB72" i="9" a="1"/>
  <c r="AB72" i="9" s="1"/>
  <c r="S72" i="9" a="1"/>
  <c r="S72" i="9" s="1"/>
  <c r="X72" i="9" a="1"/>
  <c r="X72" i="9" s="1"/>
  <c r="AA77" i="9" a="1"/>
  <c r="AA77" i="9" s="1"/>
  <c r="T80" i="9" a="1"/>
  <c r="T80" i="9" s="1"/>
  <c r="AA81" i="9" a="1"/>
  <c r="AA81" i="9" s="1"/>
  <c r="V81" i="9" a="1"/>
  <c r="V81" i="9" s="1"/>
  <c r="Z81" i="9" a="1"/>
  <c r="Z81" i="9" s="1"/>
  <c r="Y81" i="9" a="1"/>
  <c r="Y81" i="9" s="1"/>
  <c r="AB81" i="9" a="1"/>
  <c r="AB81" i="9" s="1"/>
  <c r="W81" i="9" a="1"/>
  <c r="W81" i="9" s="1"/>
  <c r="AA89" i="9" a="1"/>
  <c r="AA89" i="9" s="1"/>
  <c r="W114" i="9" a="1"/>
  <c r="W114" i="9" s="1"/>
  <c r="AB114" i="9" a="1"/>
  <c r="AB114" i="9" s="1"/>
  <c r="V114" i="9" a="1"/>
  <c r="V114" i="9" s="1"/>
  <c r="Z114" i="9" a="1"/>
  <c r="Z114" i="9" s="1"/>
  <c r="U114" i="9" a="1"/>
  <c r="U114" i="9" s="1"/>
  <c r="X114" i="9" a="1"/>
  <c r="X114" i="9" s="1"/>
  <c r="T114" i="9" a="1"/>
  <c r="T114" i="9" s="1"/>
  <c r="AA114" i="9" a="1"/>
  <c r="AA114" i="9" s="1"/>
  <c r="S114" i="9" a="1"/>
  <c r="S114" i="9" s="1"/>
  <c r="AA35" i="9" a="1"/>
  <c r="AA35" i="9" s="1"/>
  <c r="U43" i="9" a="1"/>
  <c r="U43" i="9" s="1"/>
  <c r="Z43" i="9" a="1"/>
  <c r="Z43" i="9" s="1"/>
  <c r="W47" i="9" a="1"/>
  <c r="W47" i="9" s="1"/>
  <c r="W52" i="9" a="1"/>
  <c r="W52" i="9" s="1"/>
  <c r="AA57" i="9" a="1"/>
  <c r="AA57" i="9" s="1"/>
  <c r="AA62" i="9" a="1"/>
  <c r="AA62" i="9" s="1"/>
  <c r="Y63" i="9" a="1"/>
  <c r="Y63" i="9" s="1"/>
  <c r="S64" i="9" a="1"/>
  <c r="S64" i="9" s="1"/>
  <c r="AB64" i="9" a="1"/>
  <c r="AB64" i="9" s="1"/>
  <c r="AA71" i="9" a="1"/>
  <c r="AA71" i="9" s="1"/>
  <c r="Y71" i="9" a="1"/>
  <c r="Y71" i="9" s="1"/>
  <c r="T73" i="9" a="1"/>
  <c r="T73" i="9" s="1"/>
  <c r="U76" i="9" a="1"/>
  <c r="U76" i="9" s="1"/>
  <c r="S77" i="9" a="1"/>
  <c r="S77" i="9" s="1"/>
  <c r="W78" i="9" a="1"/>
  <c r="W78" i="9" s="1"/>
  <c r="AA78" i="9" a="1"/>
  <c r="AA78" i="9" s="1"/>
  <c r="Z78" i="9" a="1"/>
  <c r="Z78" i="9" s="1"/>
  <c r="X78" i="9" a="1"/>
  <c r="X78" i="9" s="1"/>
  <c r="U80" i="9" a="1"/>
  <c r="U80" i="9" s="1"/>
  <c r="S81" i="9" a="1"/>
  <c r="S81" i="9" s="1"/>
  <c r="S82" i="9" a="1"/>
  <c r="S82" i="9" s="1"/>
  <c r="X102" i="9" a="1"/>
  <c r="X102" i="9" s="1"/>
  <c r="T111" i="9" a="1"/>
  <c r="T111" i="9" s="1"/>
  <c r="Y114" i="9" a="1"/>
  <c r="Y114" i="9" s="1"/>
  <c r="V65" i="9" a="1"/>
  <c r="V65" i="9" s="1"/>
  <c r="AB65" i="9" a="1"/>
  <c r="AB65" i="9" s="1"/>
  <c r="Z74" i="9" a="1"/>
  <c r="Z74" i="9" s="1"/>
  <c r="U74" i="9" a="1"/>
  <c r="U74" i="9" s="1"/>
  <c r="X74" i="9" a="1"/>
  <c r="X74" i="9" s="1"/>
  <c r="Z89" i="9" a="1"/>
  <c r="Z89" i="9" s="1"/>
  <c r="U89" i="9" a="1"/>
  <c r="U89" i="9" s="1"/>
  <c r="Y89" i="9" a="1"/>
  <c r="Y89" i="9" s="1"/>
  <c r="X89" i="9" a="1"/>
  <c r="X89" i="9" s="1"/>
  <c r="S89" i="9" a="1"/>
  <c r="S89" i="9" s="1"/>
  <c r="V89" i="9" a="1"/>
  <c r="V89" i="9" s="1"/>
  <c r="X90" i="9" a="1"/>
  <c r="X90" i="9" s="1"/>
  <c r="AB90" i="9" a="1"/>
  <c r="AB90" i="9" s="1"/>
  <c r="S90" i="9" a="1"/>
  <c r="S90" i="9" s="1"/>
  <c r="W90" i="9" a="1"/>
  <c r="W90" i="9" s="1"/>
  <c r="AA90" i="9" a="1"/>
  <c r="AA90" i="9" s="1"/>
  <c r="V90" i="9" a="1"/>
  <c r="V90" i="9" s="1"/>
  <c r="Y90" i="9" a="1"/>
  <c r="Y90" i="9" s="1"/>
  <c r="T90" i="9" a="1"/>
  <c r="T90" i="9" s="1"/>
  <c r="Z94" i="9" a="1"/>
  <c r="Z94" i="9" s="1"/>
  <c r="U94" i="9" a="1"/>
  <c r="U94" i="9" s="1"/>
  <c r="Y94" i="9" a="1"/>
  <c r="Y94" i="9" s="1"/>
  <c r="T94" i="9" a="1"/>
  <c r="T94" i="9" s="1"/>
  <c r="X94" i="9" a="1"/>
  <c r="X94" i="9" s="1"/>
  <c r="AB94" i="9" a="1"/>
  <c r="AB94" i="9" s="1"/>
  <c r="S94" i="9" a="1"/>
  <c r="S94" i="9" s="1"/>
  <c r="V94" i="9" a="1"/>
  <c r="V94" i="9" s="1"/>
  <c r="AB103" i="9" a="1"/>
  <c r="AB103" i="9" s="1"/>
  <c r="X103" i="9" a="1"/>
  <c r="X103" i="9" s="1"/>
  <c r="T103" i="9" a="1"/>
  <c r="T103" i="9" s="1"/>
  <c r="AA103" i="9" a="1"/>
  <c r="AA103" i="9" s="1"/>
  <c r="V103" i="9" a="1"/>
  <c r="V103" i="9" s="1"/>
  <c r="U103" i="9" a="1"/>
  <c r="U103" i="9" s="1"/>
  <c r="Z103" i="9" a="1"/>
  <c r="Z103" i="9" s="1"/>
  <c r="Y103" i="9" a="1"/>
  <c r="Y103" i="9" s="1"/>
  <c r="S103" i="9" a="1"/>
  <c r="S103" i="9" s="1"/>
  <c r="AA43" i="9" a="1"/>
  <c r="AA43" i="9" s="1"/>
  <c r="X47" i="9" a="1"/>
  <c r="X47" i="9" s="1"/>
  <c r="X52" i="9" a="1"/>
  <c r="X52" i="9" s="1"/>
  <c r="S57" i="9" a="1"/>
  <c r="S57" i="9" s="1"/>
  <c r="X57" i="9" a="1"/>
  <c r="X57" i="9" s="1"/>
  <c r="S62" i="9" a="1"/>
  <c r="S62" i="9" s="1"/>
  <c r="AB62" i="9" a="1"/>
  <c r="AB62" i="9" s="1"/>
  <c r="V63" i="9" a="1"/>
  <c r="V63" i="9" s="1"/>
  <c r="T64" i="9" a="1"/>
  <c r="T64" i="9" s="1"/>
  <c r="W65" i="9" a="1"/>
  <c r="W65" i="9" s="1"/>
  <c r="Y70" i="9" a="1"/>
  <c r="Y70" i="9" s="1"/>
  <c r="T72" i="9" a="1"/>
  <c r="T72" i="9" s="1"/>
  <c r="Z72" i="9" a="1"/>
  <c r="Z72" i="9" s="1"/>
  <c r="Y74" i="9" a="1"/>
  <c r="Y74" i="9" s="1"/>
  <c r="V77" i="9" a="1"/>
  <c r="V77" i="9" s="1"/>
  <c r="W80" i="9" a="1"/>
  <c r="W80" i="9" s="1"/>
  <c r="U81" i="9" a="1"/>
  <c r="U81" i="9" s="1"/>
  <c r="AA86" i="9" a="1"/>
  <c r="AA86" i="9" s="1"/>
  <c r="V86" i="9" a="1"/>
  <c r="V86" i="9" s="1"/>
  <c r="Z86" i="9" a="1"/>
  <c r="Z86" i="9" s="1"/>
  <c r="Y86" i="9" a="1"/>
  <c r="Y86" i="9" s="1"/>
  <c r="T86" i="9" a="1"/>
  <c r="T86" i="9" s="1"/>
  <c r="W86" i="9" a="1"/>
  <c r="W86" i="9" s="1"/>
  <c r="Y87" i="9" a="1"/>
  <c r="Y87" i="9" s="1"/>
  <c r="T87" i="9" a="1"/>
  <c r="T87" i="9" s="1"/>
  <c r="X87" i="9" a="1"/>
  <c r="X87" i="9" s="1"/>
  <c r="W87" i="9" a="1"/>
  <c r="W87" i="9" s="1"/>
  <c r="Z87" i="9" a="1"/>
  <c r="Z87" i="9" s="1"/>
  <c r="U87" i="9" a="1"/>
  <c r="U87" i="9" s="1"/>
  <c r="AB88" i="9" a="1"/>
  <c r="AB88" i="9" s="1"/>
  <c r="S88" i="9" a="1"/>
  <c r="S88" i="9" s="1"/>
  <c r="W88" i="9" a="1"/>
  <c r="W88" i="9" s="1"/>
  <c r="AA88" i="9" a="1"/>
  <c r="AA88" i="9" s="1"/>
  <c r="V88" i="9" a="1"/>
  <c r="V88" i="9" s="1"/>
  <c r="U88" i="9" a="1"/>
  <c r="U88" i="9" s="1"/>
  <c r="X88" i="9" a="1"/>
  <c r="X88" i="9" s="1"/>
  <c r="U90" i="9" a="1"/>
  <c r="U90" i="9" s="1"/>
  <c r="Z92" i="9" a="1"/>
  <c r="Z92" i="9" s="1"/>
  <c r="Y97" i="9" a="1"/>
  <c r="Y97" i="9" s="1"/>
  <c r="T97" i="9" a="1"/>
  <c r="T97" i="9" s="1"/>
  <c r="X97" i="9" a="1"/>
  <c r="X97" i="9" s="1"/>
  <c r="S97" i="9" a="1"/>
  <c r="S97" i="9" s="1"/>
  <c r="AB97" i="9" a="1"/>
  <c r="AB97" i="9" s="1"/>
  <c r="W97" i="9" a="1"/>
  <c r="W97" i="9" s="1"/>
  <c r="AA97" i="9" a="1"/>
  <c r="AA97" i="9" s="1"/>
  <c r="U97" i="9" a="1"/>
  <c r="U97" i="9" s="1"/>
  <c r="Z99" i="9" a="1"/>
  <c r="Z99" i="9" s="1"/>
  <c r="U99" i="9" a="1"/>
  <c r="U99" i="9" s="1"/>
  <c r="Y99" i="9" a="1"/>
  <c r="Y99" i="9" s="1"/>
  <c r="T99" i="9" a="1"/>
  <c r="T99" i="9" s="1"/>
  <c r="X99" i="9" a="1"/>
  <c r="X99" i="9" s="1"/>
  <c r="AB99" i="9" a="1"/>
  <c r="AB99" i="9" s="1"/>
  <c r="S99" i="9" a="1"/>
  <c r="S99" i="9" s="1"/>
  <c r="V99" i="9" a="1"/>
  <c r="V99" i="9" s="1"/>
  <c r="Z105" i="9" a="1"/>
  <c r="Z105" i="9" s="1"/>
  <c r="X105" i="9" a="1"/>
  <c r="X105" i="9" s="1"/>
  <c r="S105" i="9" a="1"/>
  <c r="S105" i="9" s="1"/>
  <c r="W105" i="9" a="1"/>
  <c r="W105" i="9" s="1"/>
  <c r="V105" i="9" a="1"/>
  <c r="V105" i="9" s="1"/>
  <c r="AB105" i="9" a="1"/>
  <c r="AB105" i="9" s="1"/>
  <c r="U105" i="9" a="1"/>
  <c r="U105" i="9" s="1"/>
  <c r="T105" i="9" a="1"/>
  <c r="T105" i="9" s="1"/>
  <c r="AA105" i="9" a="1"/>
  <c r="AA105" i="9" s="1"/>
  <c r="T57" i="9" a="1"/>
  <c r="T57" i="9" s="1"/>
  <c r="X62" i="9" a="1"/>
  <c r="X62" i="9" s="1"/>
  <c r="AA63" i="9" a="1"/>
  <c r="AA63" i="9" s="1"/>
  <c r="Y64" i="9" a="1"/>
  <c r="Y64" i="9" s="1"/>
  <c r="X65" i="9" a="1"/>
  <c r="X65" i="9" s="1"/>
  <c r="W66" i="9" a="1"/>
  <c r="W66" i="9" s="1"/>
  <c r="AB66" i="9" a="1"/>
  <c r="AB66" i="9" s="1"/>
  <c r="T70" i="9" a="1"/>
  <c r="T70" i="9" s="1"/>
  <c r="U72" i="9" a="1"/>
  <c r="U72" i="9" s="1"/>
  <c r="AA72" i="9" a="1"/>
  <c r="AA72" i="9" s="1"/>
  <c r="V73" i="9" a="1"/>
  <c r="V73" i="9" s="1"/>
  <c r="X81" i="9" a="1"/>
  <c r="X81" i="9" s="1"/>
  <c r="Z84" i="9" a="1"/>
  <c r="Z84" i="9" s="1"/>
  <c r="U84" i="9" a="1"/>
  <c r="U84" i="9" s="1"/>
  <c r="Y84" i="9" a="1"/>
  <c r="Y84" i="9" s="1"/>
  <c r="X84" i="9" a="1"/>
  <c r="X84" i="9" s="1"/>
  <c r="AA84" i="9" a="1"/>
  <c r="AA84" i="9" s="1"/>
  <c r="V84" i="9" a="1"/>
  <c r="V84" i="9" s="1"/>
  <c r="T85" i="9" a="1"/>
  <c r="T85" i="9" s="1"/>
  <c r="X85" i="9" a="1"/>
  <c r="X85" i="9" s="1"/>
  <c r="S85" i="9" a="1"/>
  <c r="S85" i="9" s="1"/>
  <c r="AB85" i="9" a="1"/>
  <c r="AB85" i="9" s="1"/>
  <c r="W85" i="9" a="1"/>
  <c r="W85" i="9" s="1"/>
  <c r="V85" i="9" a="1"/>
  <c r="V85" i="9" s="1"/>
  <c r="Y85" i="9" a="1"/>
  <c r="Y85" i="9" s="1"/>
  <c r="S86" i="9" a="1"/>
  <c r="S86" i="9" s="1"/>
  <c r="S87" i="9" a="1"/>
  <c r="S87" i="9" s="1"/>
  <c r="T88" i="9" a="1"/>
  <c r="T88" i="9" s="1"/>
  <c r="T89" i="9" a="1"/>
  <c r="T89" i="9" s="1"/>
  <c r="AA92" i="9" a="1"/>
  <c r="AA92" i="9" s="1"/>
  <c r="W103" i="9" a="1"/>
  <c r="W103" i="9" s="1"/>
  <c r="S110" i="9" a="1"/>
  <c r="S110" i="9" s="1"/>
  <c r="AB110" i="9" a="1"/>
  <c r="AB110" i="9" s="1"/>
  <c r="V110" i="9" a="1"/>
  <c r="V110" i="9" s="1"/>
  <c r="U110" i="9" a="1"/>
  <c r="U110" i="9" s="1"/>
  <c r="AA110" i="9" a="1"/>
  <c r="AA110" i="9" s="1"/>
  <c r="Z110" i="9" a="1"/>
  <c r="Z110" i="9" s="1"/>
  <c r="T110" i="9" a="1"/>
  <c r="T110" i="9" s="1"/>
  <c r="Y110" i="9" a="1"/>
  <c r="Y110" i="9" s="1"/>
  <c r="S43" i="9" a="1"/>
  <c r="S43" i="9" s="1"/>
  <c r="T62" i="9" a="1"/>
  <c r="T62" i="9" s="1"/>
  <c r="S65" i="9" a="1"/>
  <c r="S65" i="9" s="1"/>
  <c r="AB67" i="9" a="1"/>
  <c r="AB67" i="9" s="1"/>
  <c r="S67" i="9" a="1"/>
  <c r="S67" i="9" s="1"/>
  <c r="W67" i="9" a="1"/>
  <c r="W67" i="9" s="1"/>
  <c r="U70" i="9" a="1"/>
  <c r="U70" i="9" s="1"/>
  <c r="Z70" i="9" a="1"/>
  <c r="Z70" i="9" s="1"/>
  <c r="T71" i="9" a="1"/>
  <c r="T71" i="9" s="1"/>
  <c r="X73" i="9" a="1"/>
  <c r="X73" i="9" s="1"/>
  <c r="S74" i="9" a="1"/>
  <c r="S74" i="9" s="1"/>
  <c r="AA74" i="9" a="1"/>
  <c r="AA74" i="9" s="1"/>
  <c r="X77" i="9" a="1"/>
  <c r="X77" i="9" s="1"/>
  <c r="U78" i="9" a="1"/>
  <c r="U78" i="9" s="1"/>
  <c r="S84" i="9" a="1"/>
  <c r="S84" i="9" s="1"/>
  <c r="U85" i="9" a="1"/>
  <c r="U85" i="9" s="1"/>
  <c r="V87" i="9" a="1"/>
  <c r="V87" i="9" s="1"/>
  <c r="AB93" i="9" a="1"/>
  <c r="AB93" i="9" s="1"/>
  <c r="W93" i="9" a="1"/>
  <c r="W93" i="9" s="1"/>
  <c r="AA93" i="9" a="1"/>
  <c r="AA93" i="9" s="1"/>
  <c r="V93" i="9" a="1"/>
  <c r="V93" i="9" s="1"/>
  <c r="Z93" i="9" a="1"/>
  <c r="Z93" i="9" s="1"/>
  <c r="U93" i="9" a="1"/>
  <c r="U93" i="9" s="1"/>
  <c r="X93" i="9" a="1"/>
  <c r="X93" i="9" s="1"/>
  <c r="S93" i="9" a="1"/>
  <c r="S93" i="9" s="1"/>
  <c r="W94" i="9" a="1"/>
  <c r="W94" i="9" s="1"/>
  <c r="AA96" i="9" a="1"/>
  <c r="AA96" i="9" s="1"/>
  <c r="V96" i="9" a="1"/>
  <c r="V96" i="9" s="1"/>
  <c r="Z96" i="9" a="1"/>
  <c r="Z96" i="9" s="1"/>
  <c r="U96" i="9" a="1"/>
  <c r="U96" i="9" s="1"/>
  <c r="Y96" i="9" a="1"/>
  <c r="Y96" i="9" s="1"/>
  <c r="T96" i="9" a="1"/>
  <c r="T96" i="9" s="1"/>
  <c r="W96" i="9" a="1"/>
  <c r="W96" i="9" s="1"/>
  <c r="Y105" i="9" a="1"/>
  <c r="Y105" i="9" s="1"/>
  <c r="W110" i="9" a="1"/>
  <c r="W110" i="9" s="1"/>
  <c r="AA79" i="9" a="1"/>
  <c r="AA79" i="9" s="1"/>
  <c r="T95" i="9" a="1"/>
  <c r="T95" i="9" s="1"/>
  <c r="T100" i="9" a="1"/>
  <c r="T100" i="9" s="1"/>
  <c r="U112" i="9" a="1"/>
  <c r="U112" i="9" s="1"/>
  <c r="S117" i="9" a="1"/>
  <c r="S117" i="9" s="1"/>
  <c r="X79" i="9" a="1"/>
  <c r="X79" i="9" s="1"/>
  <c r="U83" i="9" a="1"/>
  <c r="U83" i="9" s="1"/>
  <c r="Z83" i="9" a="1"/>
  <c r="Z83" i="9" s="1"/>
  <c r="T91" i="9" a="1"/>
  <c r="T91" i="9" s="1"/>
  <c r="V95" i="9" a="1"/>
  <c r="V95" i="9" s="1"/>
  <c r="U98" i="9" a="1"/>
  <c r="U98" i="9" s="1"/>
  <c r="Z100" i="9" a="1"/>
  <c r="Z100" i="9" s="1"/>
  <c r="T101" i="9" a="1"/>
  <c r="T101" i="9" s="1"/>
  <c r="Y101" i="9" a="1"/>
  <c r="Y101" i="9" s="1"/>
  <c r="T107" i="9" a="1"/>
  <c r="T107" i="9" s="1"/>
  <c r="W107" i="9" a="1"/>
  <c r="W107" i="9" s="1"/>
  <c r="X107" i="9" a="1"/>
  <c r="X107" i="9" s="1"/>
  <c r="U109" i="9" a="1"/>
  <c r="U109" i="9" s="1"/>
  <c r="AA95" i="9" a="1"/>
  <c r="AA95" i="9" s="1"/>
  <c r="V100" i="9" a="1"/>
  <c r="V100" i="9" s="1"/>
  <c r="AA100" i="9" a="1"/>
  <c r="AA100" i="9" s="1"/>
  <c r="AB112" i="9" a="1"/>
  <c r="AB112" i="9" s="1"/>
  <c r="W112" i="9" a="1"/>
  <c r="W112" i="9" s="1"/>
  <c r="AA112" i="9" a="1"/>
  <c r="AA112" i="9" s="1"/>
  <c r="V112" i="9" a="1"/>
  <c r="V112" i="9" s="1"/>
  <c r="Z112" i="9" a="1"/>
  <c r="Z112" i="9" s="1"/>
  <c r="AB115" i="9" a="1"/>
  <c r="AB115" i="9" s="1"/>
  <c r="AA115" i="9" a="1"/>
  <c r="AA115" i="9" s="1"/>
  <c r="V115" i="9" a="1"/>
  <c r="V115" i="9" s="1"/>
  <c r="Z115" i="9" a="1"/>
  <c r="Z115" i="9" s="1"/>
  <c r="U115" i="9" a="1"/>
  <c r="U115" i="9" s="1"/>
  <c r="X117" i="9" a="1"/>
  <c r="X117" i="9" s="1"/>
  <c r="W121" i="9" a="1"/>
  <c r="W121" i="9" s="1"/>
  <c r="S121" i="9" a="1"/>
  <c r="S121" i="9" s="1"/>
  <c r="Y79" i="9" a="1"/>
  <c r="Y79" i="9" s="1"/>
  <c r="U91" i="9" a="1"/>
  <c r="U91" i="9" s="1"/>
  <c r="Z91" i="9" a="1"/>
  <c r="Z91" i="9" s="1"/>
  <c r="W95" i="9" a="1"/>
  <c r="W95" i="9" s="1"/>
  <c r="V98" i="9" a="1"/>
  <c r="V98" i="9" s="1"/>
  <c r="W100" i="9" a="1"/>
  <c r="W100" i="9" s="1"/>
  <c r="U101" i="9" a="1"/>
  <c r="U101" i="9" s="1"/>
  <c r="Z107" i="9" a="1"/>
  <c r="Z107" i="9" s="1"/>
  <c r="S112" i="9" a="1"/>
  <c r="S112" i="9" s="1"/>
  <c r="U79" i="9" a="1"/>
  <c r="U79" i="9" s="1"/>
  <c r="V91" i="9" a="1"/>
  <c r="V91" i="9" s="1"/>
  <c r="S95" i="9" a="1"/>
  <c r="S95" i="9" s="1"/>
  <c r="AB95" i="9" a="1"/>
  <c r="AB95" i="9" s="1"/>
  <c r="S100" i="9" a="1"/>
  <c r="S100" i="9" s="1"/>
  <c r="AB100" i="9" a="1"/>
  <c r="AB100" i="9" s="1"/>
  <c r="S107" i="9" a="1"/>
  <c r="S107" i="9" s="1"/>
  <c r="S115" i="9" a="1"/>
  <c r="S115" i="9" s="1"/>
  <c r="AB116" i="9" a="1"/>
  <c r="AB116" i="9" s="1"/>
  <c r="W116" i="9" a="1"/>
  <c r="W116" i="9" s="1"/>
  <c r="AA116" i="9" a="1"/>
  <c r="AA116" i="9" s="1"/>
  <c r="V116" i="9" a="1"/>
  <c r="V116" i="9" s="1"/>
  <c r="Z116" i="9" a="1"/>
  <c r="Z116" i="9" s="1"/>
  <c r="T116" i="9" a="1"/>
  <c r="T116" i="9" s="1"/>
  <c r="Z101" i="9" a="1"/>
  <c r="Z101" i="9" s="1"/>
  <c r="V101" i="9" a="1"/>
  <c r="V101" i="9" s="1"/>
  <c r="AB101" i="9" a="1"/>
  <c r="AB101" i="9" s="1"/>
  <c r="AB109" i="9" a="1"/>
  <c r="AB109" i="9" s="1"/>
  <c r="W109" i="9" a="1"/>
  <c r="W109" i="9" s="1"/>
  <c r="Y109" i="9" a="1"/>
  <c r="Y109" i="9" s="1"/>
  <c r="T112" i="9" a="1"/>
  <c r="T112" i="9" s="1"/>
  <c r="T115" i="9" a="1"/>
  <c r="T115" i="9" s="1"/>
  <c r="AB117" i="9" a="1"/>
  <c r="AB117" i="9" s="1"/>
  <c r="W117" i="9" a="1"/>
  <c r="W117" i="9" s="1"/>
  <c r="V117" i="9" a="1"/>
  <c r="V117" i="9" s="1"/>
  <c r="AA117" i="9" a="1"/>
  <c r="AA117" i="9" s="1"/>
  <c r="U117" i="9" a="1"/>
  <c r="U117" i="9" s="1"/>
  <c r="Y117" i="9" a="1"/>
  <c r="Y117" i="9" s="1"/>
  <c r="T117" i="9" a="1"/>
  <c r="T117" i="9" s="1"/>
  <c r="Z118" i="9" a="1"/>
  <c r="Z118" i="9" s="1"/>
  <c r="V118" i="9" a="1"/>
  <c r="V118" i="9" s="1"/>
  <c r="W118" i="9" a="1"/>
  <c r="W118" i="9" s="1"/>
  <c r="AB118" i="9" a="1"/>
  <c r="AB118" i="9" s="1"/>
  <c r="U118" i="9" a="1"/>
  <c r="U118" i="9" s="1"/>
  <c r="T118" i="9" a="1"/>
  <c r="T118" i="9" s="1"/>
  <c r="AA119" i="9" a="1"/>
  <c r="AA119" i="9" s="1"/>
  <c r="W119" i="9" a="1"/>
  <c r="W119" i="9" s="1"/>
  <c r="S119" i="9" a="1"/>
  <c r="S119" i="9" s="1"/>
  <c r="Y119" i="9" a="1"/>
  <c r="Y119" i="9" s="1"/>
  <c r="X119" i="9" a="1"/>
  <c r="X119" i="9" s="1"/>
  <c r="V119" i="9" a="1"/>
  <c r="V119" i="9" s="1"/>
  <c r="AB119" i="9" a="1"/>
  <c r="AB119" i="9" s="1"/>
  <c r="W108" i="9" a="1"/>
  <c r="W108" i="9" s="1"/>
  <c r="U113" i="9" a="1"/>
  <c r="U113" i="9" s="1"/>
  <c r="AA113" i="9" a="1"/>
  <c r="AA113" i="9" s="1"/>
  <c r="AB120" i="9" a="1"/>
  <c r="AB120" i="9" s="1"/>
  <c r="X120" i="9" a="1"/>
  <c r="X120" i="9" s="1"/>
  <c r="T120" i="9" a="1"/>
  <c r="T120" i="9" s="1"/>
  <c r="W113" i="9" a="1"/>
  <c r="W113" i="9" s="1"/>
  <c r="Y120" i="9" a="1"/>
  <c r="Y120" i="9" s="1"/>
  <c r="S120" i="9" a="1"/>
  <c r="S120" i="9" s="1"/>
  <c r="Z120" i="9" a="1"/>
  <c r="Z120" i="9" s="1"/>
  <c r="B2" i="7" a="1"/>
  <c r="C1" i="9" a="1"/>
  <c r="C186" i="9" a="1"/>
  <c r="H186" i="9" a="1"/>
  <c r="H195" i="9" a="1"/>
  <c r="C195" i="9" a="1"/>
  <c r="H203" i="9" a="1"/>
  <c r="C203" i="9" a="1"/>
  <c r="H194" i="9" a="1"/>
  <c r="C194" i="9" a="1"/>
  <c r="C202" i="9" a="1"/>
  <c r="H202" i="9" a="1"/>
  <c r="H211" i="9" a="1"/>
  <c r="C211" i="9" a="1"/>
  <c r="H210" i="9" a="1"/>
  <c r="C210" i="9" a="1"/>
  <c r="H187" i="9" a="1"/>
  <c r="C187" i="9" a="1"/>
  <c r="B2" i="7" l="1"/>
  <c r="N3" i="4"/>
  <c r="Z3" i="5" s="1"/>
  <c r="Z4" i="5"/>
  <c r="I1" i="2"/>
  <c r="C187" i="9"/>
  <c r="H187" i="9"/>
  <c r="C210" i="9"/>
  <c r="H210" i="9"/>
  <c r="C211" i="9"/>
  <c r="H211" i="9"/>
  <c r="H202" i="9"/>
  <c r="C202" i="9"/>
  <c r="C194" i="9"/>
  <c r="H194" i="9"/>
  <c r="C203" i="9"/>
  <c r="H203" i="9"/>
  <c r="C195" i="9"/>
  <c r="H195" i="9"/>
  <c r="H186" i="9"/>
  <c r="C186" i="9"/>
  <c r="C1" i="9"/>
  <c r="I2" i="6"/>
  <c r="J197" i="9"/>
  <c r="Q199" i="9"/>
  <c r="P199" i="9" s="1"/>
  <c r="K199" i="9"/>
  <c r="L199" i="9" s="1"/>
  <c r="Q207" i="9"/>
  <c r="P207" i="9" s="1"/>
  <c r="K207" i="9"/>
  <c r="L207" i="9" s="1"/>
  <c r="J190" i="9"/>
  <c r="F190" i="9"/>
  <c r="G190" i="9" s="1"/>
  <c r="I8" i="6"/>
  <c r="J193" i="9"/>
  <c r="Q198" i="9"/>
  <c r="P198" i="9" s="1"/>
  <c r="K198" i="9"/>
  <c r="L198" i="9" s="1"/>
  <c r="Q206" i="9"/>
  <c r="P206" i="9" s="1"/>
  <c r="K206" i="9"/>
  <c r="L206" i="9" s="1"/>
  <c r="Q213" i="9"/>
  <c r="P213" i="9" s="1"/>
  <c r="K213" i="9"/>
  <c r="L213" i="9" s="1"/>
  <c r="F215" i="9"/>
  <c r="G215" i="9" s="1"/>
  <c r="J215" i="9"/>
  <c r="F191" i="9"/>
  <c r="G191" i="9" s="1"/>
  <c r="J191" i="9"/>
  <c r="J192" i="9"/>
  <c r="F192" i="9"/>
  <c r="G192" i="9" s="1"/>
  <c r="J200" i="9"/>
  <c r="F200" i="9"/>
  <c r="G200" i="9" s="1"/>
  <c r="O3" i="4"/>
  <c r="J209" i="9"/>
  <c r="J189" i="9"/>
  <c r="K216" i="9"/>
  <c r="L216" i="9" s="1"/>
  <c r="Q216" i="9"/>
  <c r="P216" i="9" s="1"/>
  <c r="Q191" i="9"/>
  <c r="P191" i="9" s="1"/>
  <c r="K191" i="9"/>
  <c r="L191" i="9" s="1"/>
  <c r="I6" i="6"/>
  <c r="I4" i="6"/>
  <c r="F207" i="9"/>
  <c r="G207" i="9" s="1"/>
  <c r="J207" i="9"/>
  <c r="J185" i="9"/>
  <c r="K200" i="9"/>
  <c r="L200" i="9" s="1"/>
  <c r="Q200" i="9"/>
  <c r="P200" i="9" s="1"/>
  <c r="Q190" i="9"/>
  <c r="P190" i="9" s="1"/>
  <c r="K190" i="9"/>
  <c r="L190" i="9" s="1"/>
  <c r="AL6" i="5"/>
  <c r="A8" i="5" a="1"/>
  <c r="A8" i="5" s="1"/>
  <c r="J205" i="9"/>
  <c r="Q215" i="9"/>
  <c r="P215" i="9" s="1"/>
  <c r="K215" i="9"/>
  <c r="L215" i="9" s="1"/>
  <c r="J214" i="9"/>
  <c r="F214" i="9"/>
  <c r="G214" i="9" s="1"/>
  <c r="Q208" i="9"/>
  <c r="P208" i="9" s="1"/>
  <c r="K208" i="9"/>
  <c r="L208" i="9" s="1"/>
  <c r="AL7" i="5"/>
  <c r="A9" i="5" a="1"/>
  <c r="A9" i="5" s="1"/>
  <c r="J201" i="9"/>
  <c r="Q214" i="9"/>
  <c r="P214" i="9" s="1"/>
  <c r="K214" i="9"/>
  <c r="L214" i="9" s="1"/>
  <c r="J198" i="9"/>
  <c r="F198" i="9"/>
  <c r="G198" i="9" s="1"/>
  <c r="Q192" i="9"/>
  <c r="P192" i="9" s="1"/>
  <c r="K192" i="9"/>
  <c r="L192" i="9" s="1"/>
  <c r="P6" i="4"/>
  <c r="AD6" i="5" s="1"/>
  <c r="H6" i="4"/>
  <c r="N6" i="5" s="1"/>
  <c r="W6" i="4"/>
  <c r="AN6" i="5" s="1"/>
  <c r="O6" i="4"/>
  <c r="AB6" i="5" s="1"/>
  <c r="G6" i="4"/>
  <c r="L6" i="5" s="1"/>
  <c r="N6" i="4"/>
  <c r="Z6" i="5" s="1"/>
  <c r="K6" i="4"/>
  <c r="T6" i="5" s="1"/>
  <c r="S6" i="4"/>
  <c r="AJ6" i="5" s="1"/>
  <c r="I6" i="4"/>
  <c r="P6" i="5" s="1"/>
  <c r="R6" i="4"/>
  <c r="AH6" i="5" s="1"/>
  <c r="J6" i="4"/>
  <c r="U6" i="4" s="1"/>
  <c r="F6" i="4"/>
  <c r="J6" i="5" s="1"/>
  <c r="M6" i="4"/>
  <c r="X6" i="5" s="1"/>
  <c r="D6" i="4"/>
  <c r="F6" i="5" s="1"/>
  <c r="A8" i="4" a="1"/>
  <c r="A8" i="4" s="1"/>
  <c r="Q6" i="4"/>
  <c r="AF6" i="5" s="1"/>
  <c r="E6" i="4"/>
  <c r="H6" i="5" s="1"/>
  <c r="C6" i="4"/>
  <c r="D6" i="5" s="1"/>
  <c r="V6" i="4"/>
  <c r="AM6" i="5" s="1"/>
  <c r="L6" i="4"/>
  <c r="V6" i="5" s="1"/>
  <c r="B6" i="4"/>
  <c r="L128" i="4"/>
  <c r="S128" i="4"/>
  <c r="R128" i="4"/>
  <c r="Q128" i="4"/>
  <c r="P128" i="4"/>
  <c r="O128" i="4"/>
  <c r="W128" i="4"/>
  <c r="AN128" i="5" s="1"/>
  <c r="N128" i="4"/>
  <c r="A130" i="4"/>
  <c r="V128" i="4"/>
  <c r="AM128" i="5" s="1"/>
  <c r="M128" i="4"/>
  <c r="F199" i="9"/>
  <c r="G199" i="9" s="1"/>
  <c r="J199" i="9"/>
  <c r="J208" i="9"/>
  <c r="F208" i="9"/>
  <c r="G208" i="9" s="1"/>
  <c r="J216" i="9"/>
  <c r="F216" i="9"/>
  <c r="G216" i="9" s="1"/>
  <c r="J206" i="9"/>
  <c r="F206" i="9"/>
  <c r="G206" i="9" s="1"/>
  <c r="A9" i="4" a="1"/>
  <c r="A9" i="4" s="1"/>
  <c r="P7" i="4"/>
  <c r="AD7" i="5" s="1"/>
  <c r="H7" i="4"/>
  <c r="N7" i="5" s="1"/>
  <c r="W7" i="4"/>
  <c r="AN7" i="5" s="1"/>
  <c r="O7" i="4"/>
  <c r="AB7" i="5" s="1"/>
  <c r="G7" i="4"/>
  <c r="L7" i="5" s="1"/>
  <c r="V7" i="4"/>
  <c r="AM7" i="5" s="1"/>
  <c r="S7" i="4"/>
  <c r="AJ7" i="5" s="1"/>
  <c r="I7" i="4"/>
  <c r="P7" i="5" s="1"/>
  <c r="Q7" i="4"/>
  <c r="AF7" i="5" s="1"/>
  <c r="E7" i="4"/>
  <c r="H7" i="5" s="1"/>
  <c r="R7" i="4"/>
  <c r="AH7" i="5" s="1"/>
  <c r="F7" i="4"/>
  <c r="J7" i="5" s="1"/>
  <c r="N7" i="4"/>
  <c r="Z7" i="5" s="1"/>
  <c r="D7" i="4"/>
  <c r="F7" i="5" s="1"/>
  <c r="L7" i="4"/>
  <c r="V7" i="5" s="1"/>
  <c r="B7" i="4"/>
  <c r="B7" i="5" s="1"/>
  <c r="M7" i="4"/>
  <c r="X7" i="5" s="1"/>
  <c r="C7" i="4"/>
  <c r="D7" i="5" s="1"/>
  <c r="K7" i="4"/>
  <c r="T7" i="5" s="1"/>
  <c r="J7" i="4"/>
  <c r="U7" i="4" s="1"/>
  <c r="M1" i="2" a="1"/>
  <c r="J1" i="2" a="1"/>
  <c r="D1" i="9" a="1"/>
  <c r="C188" i="9" a="1"/>
  <c r="H188" i="9" a="1"/>
  <c r="C204" i="9" a="1"/>
  <c r="H204" i="9" a="1"/>
  <c r="H196" i="9" a="1"/>
  <c r="C196" i="9" a="1"/>
  <c r="C2" i="9" a="1"/>
  <c r="H212" i="9" a="1"/>
  <c r="C212" i="9" a="1"/>
  <c r="I1" i="9" a="1"/>
  <c r="H1" i="9" a="1"/>
  <c r="B3" i="7" a="1"/>
  <c r="I2" i="2" l="1"/>
  <c r="M1" i="2"/>
  <c r="J1" i="2"/>
  <c r="D1" i="9"/>
  <c r="B3" i="7"/>
  <c r="H1" i="9"/>
  <c r="I1" i="9"/>
  <c r="C212" i="9"/>
  <c r="H212" i="9"/>
  <c r="C2" i="9"/>
  <c r="C196" i="9"/>
  <c r="H196" i="9"/>
  <c r="H204" i="9"/>
  <c r="C204" i="9"/>
  <c r="H188" i="9"/>
  <c r="C188" i="9"/>
  <c r="P130" i="4"/>
  <c r="O130" i="4"/>
  <c r="W130" i="4"/>
  <c r="AN130" i="5" s="1"/>
  <c r="N130" i="4"/>
  <c r="A132" i="4"/>
  <c r="V130" i="4"/>
  <c r="AM130" i="5" s="1"/>
  <c r="M130" i="4"/>
  <c r="L130" i="4"/>
  <c r="S130" i="4"/>
  <c r="R130" i="4"/>
  <c r="Q130" i="4"/>
  <c r="AB4" i="5"/>
  <c r="AA3" i="5"/>
  <c r="J186" i="9"/>
  <c r="F186" i="9"/>
  <c r="G186" i="9" s="1"/>
  <c r="J202" i="9"/>
  <c r="F202" i="9"/>
  <c r="G202" i="9" s="1"/>
  <c r="B6" i="5"/>
  <c r="K186" i="9"/>
  <c r="L186" i="9" s="1"/>
  <c r="Q186" i="9"/>
  <c r="P186" i="9" s="1"/>
  <c r="K202" i="9"/>
  <c r="L202" i="9" s="1"/>
  <c r="Q202" i="9"/>
  <c r="P202" i="9" s="1"/>
  <c r="R7" i="5"/>
  <c r="R6" i="5"/>
  <c r="Q195" i="9"/>
  <c r="P195" i="9" s="1"/>
  <c r="K195" i="9"/>
  <c r="L195" i="9" s="1"/>
  <c r="Q211" i="9"/>
  <c r="P211" i="9" s="1"/>
  <c r="K211" i="9"/>
  <c r="L211" i="9" s="1"/>
  <c r="F195" i="9"/>
  <c r="G195" i="9" s="1"/>
  <c r="J195" i="9"/>
  <c r="F211" i="9"/>
  <c r="G211" i="9" s="1"/>
  <c r="J211" i="9"/>
  <c r="Q9" i="4"/>
  <c r="AF9" i="5" s="1"/>
  <c r="I9" i="4"/>
  <c r="P9" i="5" s="1"/>
  <c r="P9" i="4"/>
  <c r="AD9" i="5" s="1"/>
  <c r="H9" i="4"/>
  <c r="N9" i="5" s="1"/>
  <c r="N9" i="4"/>
  <c r="Z9" i="5" s="1"/>
  <c r="D9" i="4"/>
  <c r="F9" i="5" s="1"/>
  <c r="W9" i="4"/>
  <c r="AN9" i="5" s="1"/>
  <c r="L9" i="4"/>
  <c r="V9" i="5" s="1"/>
  <c r="B9" i="4"/>
  <c r="B9" i="5" s="1"/>
  <c r="S9" i="4"/>
  <c r="AJ9" i="5" s="1"/>
  <c r="A11" i="4" a="1"/>
  <c r="A11" i="4" s="1"/>
  <c r="M9" i="4"/>
  <c r="X9" i="5" s="1"/>
  <c r="C9" i="4"/>
  <c r="D9" i="5" s="1"/>
  <c r="V9" i="4"/>
  <c r="AM9" i="5" s="1"/>
  <c r="K9" i="4"/>
  <c r="T9" i="5" s="1"/>
  <c r="G9" i="4"/>
  <c r="L9" i="5" s="1"/>
  <c r="R9" i="4"/>
  <c r="AH9" i="5" s="1"/>
  <c r="J9" i="4"/>
  <c r="R9" i="5" s="1"/>
  <c r="F9" i="4"/>
  <c r="J9" i="5" s="1"/>
  <c r="O9" i="4"/>
  <c r="AB9" i="5" s="1"/>
  <c r="E9" i="4"/>
  <c r="H9" i="5" s="1"/>
  <c r="A11" i="5" a="1"/>
  <c r="A11" i="5" s="1"/>
  <c r="AL9" i="5"/>
  <c r="AL8" i="5"/>
  <c r="A10" i="5" a="1"/>
  <c r="A10" i="5" s="1"/>
  <c r="Q203" i="9"/>
  <c r="P203" i="9" s="1"/>
  <c r="K203" i="9"/>
  <c r="L203" i="9" s="1"/>
  <c r="Q210" i="9"/>
  <c r="P210" i="9" s="1"/>
  <c r="K210" i="9"/>
  <c r="L210" i="9" s="1"/>
  <c r="F203" i="9"/>
  <c r="G203" i="9" s="1"/>
  <c r="J203" i="9"/>
  <c r="J210" i="9"/>
  <c r="F210" i="9"/>
  <c r="G210" i="9" s="1"/>
  <c r="Q194" i="9"/>
  <c r="P194" i="9" s="1"/>
  <c r="K194" i="9"/>
  <c r="L194" i="9" s="1"/>
  <c r="Q187" i="9"/>
  <c r="P187" i="9" s="1"/>
  <c r="K187" i="9"/>
  <c r="L187" i="9" s="1"/>
  <c r="P8" i="4"/>
  <c r="AD8" i="5" s="1"/>
  <c r="H8" i="4"/>
  <c r="N8" i="5" s="1"/>
  <c r="A10" i="4" a="1"/>
  <c r="A10" i="4" s="1"/>
  <c r="O8" i="4"/>
  <c r="AB8" i="5" s="1"/>
  <c r="G8" i="4"/>
  <c r="L8" i="5" s="1"/>
  <c r="Q8" i="4"/>
  <c r="AF8" i="5" s="1"/>
  <c r="E8" i="4"/>
  <c r="H8" i="5" s="1"/>
  <c r="M8" i="4"/>
  <c r="X8" i="5" s="1"/>
  <c r="C8" i="4"/>
  <c r="D8" i="5" s="1"/>
  <c r="N8" i="4"/>
  <c r="Z8" i="5" s="1"/>
  <c r="D8" i="4"/>
  <c r="F8" i="5" s="1"/>
  <c r="W8" i="4"/>
  <c r="AN8" i="5" s="1"/>
  <c r="L8" i="4"/>
  <c r="V8" i="5" s="1"/>
  <c r="B8" i="4"/>
  <c r="B8" i="5" s="1"/>
  <c r="R8" i="4"/>
  <c r="AH8" i="5" s="1"/>
  <c r="S8" i="4"/>
  <c r="AJ8" i="5" s="1"/>
  <c r="J8" i="4"/>
  <c r="R8" i="5" s="1"/>
  <c r="V8" i="4"/>
  <c r="AM8" i="5" s="1"/>
  <c r="K8" i="4"/>
  <c r="T8" i="5" s="1"/>
  <c r="I8" i="4"/>
  <c r="P8" i="5" s="1"/>
  <c r="F8" i="4"/>
  <c r="J8" i="5" s="1"/>
  <c r="AB3" i="5"/>
  <c r="P3" i="4"/>
  <c r="Q1" i="9"/>
  <c r="P1" i="9" s="1"/>
  <c r="J194" i="9"/>
  <c r="F194" i="9"/>
  <c r="G194" i="9" s="1"/>
  <c r="F187" i="9"/>
  <c r="G187" i="9" s="1"/>
  <c r="J187" i="9"/>
  <c r="N1" i="2" a="1"/>
  <c r="O1" i="2" a="1"/>
  <c r="K1" i="2" a="1"/>
  <c r="L1" i="2" a="1"/>
  <c r="D2" i="9" a="1"/>
  <c r="I2" i="9" a="1"/>
  <c r="H2" i="9" a="1"/>
  <c r="B4" i="7" a="1"/>
  <c r="M1" i="9" a="1"/>
  <c r="B1" i="9" a="1"/>
  <c r="I3" i="2" l="1"/>
  <c r="O1" i="2"/>
  <c r="N1" i="2"/>
  <c r="L1" i="2"/>
  <c r="K1" i="2"/>
  <c r="B1" i="9"/>
  <c r="N1" i="9" s="1" a="1"/>
  <c r="N1" i="9" s="1"/>
  <c r="M1" i="9"/>
  <c r="B4" i="7"/>
  <c r="H2" i="9"/>
  <c r="I2" i="9"/>
  <c r="D2" i="9"/>
  <c r="J196" i="9"/>
  <c r="F196" i="9"/>
  <c r="G196" i="9" s="1"/>
  <c r="Q2" i="9"/>
  <c r="P2" i="9" s="1"/>
  <c r="R2" i="9" s="1" a="1"/>
  <c r="R2" i="9" s="1"/>
  <c r="Q212" i="9"/>
  <c r="P212" i="9" s="1"/>
  <c r="K212" i="9"/>
  <c r="L212" i="9" s="1"/>
  <c r="R10" i="4"/>
  <c r="AH10" i="5" s="1"/>
  <c r="J10" i="4"/>
  <c r="R10" i="5" s="1"/>
  <c r="B10" i="4"/>
  <c r="Q10" i="4"/>
  <c r="AF10" i="5" s="1"/>
  <c r="I10" i="4"/>
  <c r="P10" i="5" s="1"/>
  <c r="M10" i="4"/>
  <c r="X10" i="5" s="1"/>
  <c r="C10" i="4"/>
  <c r="D10" i="5" s="1"/>
  <c r="V10" i="4"/>
  <c r="AM10" i="5" s="1"/>
  <c r="K10" i="4"/>
  <c r="T10" i="5" s="1"/>
  <c r="F10" i="4"/>
  <c r="J10" i="5" s="1"/>
  <c r="A12" i="4" a="1"/>
  <c r="A12" i="4" s="1"/>
  <c r="W10" i="4"/>
  <c r="AN10" i="5" s="1"/>
  <c r="L10" i="4"/>
  <c r="V10" i="5" s="1"/>
  <c r="H10" i="4"/>
  <c r="N10" i="5" s="1"/>
  <c r="P10" i="4"/>
  <c r="AD10" i="5" s="1"/>
  <c r="D10" i="4"/>
  <c r="F10" i="5" s="1"/>
  <c r="O10" i="4"/>
  <c r="AB10" i="5" s="1"/>
  <c r="S10" i="4"/>
  <c r="AJ10" i="5" s="1"/>
  <c r="G10" i="4"/>
  <c r="L10" i="5" s="1"/>
  <c r="E10" i="4"/>
  <c r="H10" i="5" s="1"/>
  <c r="N10" i="4"/>
  <c r="Z10" i="5" s="1"/>
  <c r="J188" i="9"/>
  <c r="F188" i="9"/>
  <c r="G188" i="9" s="1"/>
  <c r="J212" i="9"/>
  <c r="F212" i="9"/>
  <c r="G212" i="9" s="1"/>
  <c r="S11" i="4"/>
  <c r="AJ11" i="5" s="1"/>
  <c r="K11" i="4"/>
  <c r="T11" i="5" s="1"/>
  <c r="C11" i="4"/>
  <c r="D11" i="5" s="1"/>
  <c r="R11" i="4"/>
  <c r="AH11" i="5" s="1"/>
  <c r="J11" i="4"/>
  <c r="R11" i="5" s="1"/>
  <c r="B11" i="4"/>
  <c r="B11" i="5" s="1"/>
  <c r="E11" i="4"/>
  <c r="H11" i="5" s="1"/>
  <c r="W11" i="4"/>
  <c r="AN11" i="5" s="1"/>
  <c r="L11" i="4"/>
  <c r="V11" i="5" s="1"/>
  <c r="H11" i="4"/>
  <c r="N11" i="5" s="1"/>
  <c r="O11" i="4"/>
  <c r="AB11" i="5" s="1"/>
  <c r="V11" i="4"/>
  <c r="AM11" i="5" s="1"/>
  <c r="I11" i="4"/>
  <c r="P11" i="5" s="1"/>
  <c r="M11" i="4"/>
  <c r="X11" i="5" s="1"/>
  <c r="N11" i="4"/>
  <c r="Z11" i="5" s="1"/>
  <c r="Q11" i="4"/>
  <c r="AF11" i="5" s="1"/>
  <c r="G11" i="4"/>
  <c r="L11" i="5" s="1"/>
  <c r="A13" i="4" a="1"/>
  <c r="A13" i="4" s="1"/>
  <c r="P11" i="4"/>
  <c r="AD11" i="5" s="1"/>
  <c r="F11" i="4"/>
  <c r="J11" i="5" s="1"/>
  <c r="D11" i="4"/>
  <c r="F11" i="5" s="1"/>
  <c r="AD3" i="5"/>
  <c r="Q3" i="4"/>
  <c r="K188" i="9"/>
  <c r="L188" i="9" s="1"/>
  <c r="Q188" i="9"/>
  <c r="P188" i="9" s="1"/>
  <c r="A12" i="5" a="1"/>
  <c r="A12" i="5" s="1"/>
  <c r="AL10" i="5"/>
  <c r="AD4" i="5"/>
  <c r="AC3" i="5"/>
  <c r="J204" i="9"/>
  <c r="F204" i="9"/>
  <c r="G204" i="9" s="1"/>
  <c r="J1" i="9"/>
  <c r="K1" i="9" s="1"/>
  <c r="K204" i="9"/>
  <c r="L204" i="9" s="1"/>
  <c r="Q204" i="9"/>
  <c r="P204" i="9" s="1"/>
  <c r="A13" i="5" a="1"/>
  <c r="A13" i="5" s="1"/>
  <c r="AL11" i="5"/>
  <c r="L132" i="4"/>
  <c r="S132" i="4"/>
  <c r="R132" i="4"/>
  <c r="Q132" i="4"/>
  <c r="P132" i="4"/>
  <c r="O132" i="4"/>
  <c r="W132" i="4"/>
  <c r="AN132" i="5" s="1"/>
  <c r="N132" i="4"/>
  <c r="A134" i="4"/>
  <c r="V132" i="4"/>
  <c r="AM132" i="5" s="1"/>
  <c r="M132" i="4"/>
  <c r="Q196" i="9"/>
  <c r="P196" i="9" s="1"/>
  <c r="K196" i="9"/>
  <c r="L196" i="9" s="1"/>
  <c r="J2" i="2" a="1"/>
  <c r="N2" i="2" a="1"/>
  <c r="K2" i="2" a="1"/>
  <c r="O2" i="2" a="1"/>
  <c r="L2" i="2" a="1"/>
  <c r="M2" i="2" a="1"/>
  <c r="M2" i="9" a="1"/>
  <c r="B5" i="7" a="1"/>
  <c r="B2" i="9" a="1"/>
  <c r="E1" i="9" a="1"/>
  <c r="I4" i="2" l="1"/>
  <c r="M2" i="2"/>
  <c r="L2" i="2"/>
  <c r="O2" i="2"/>
  <c r="K2" i="2"/>
  <c r="N2" i="2"/>
  <c r="J2" i="2"/>
  <c r="B10" i="5"/>
  <c r="L1" i="9"/>
  <c r="O1" i="9"/>
  <c r="F1" i="9" s="1" a="1"/>
  <c r="F1" i="9" s="1"/>
  <c r="G1" i="9" s="1"/>
  <c r="E1" i="9"/>
  <c r="B2" i="9"/>
  <c r="N2" i="9" s="1" a="1"/>
  <c r="N2" i="9" s="1"/>
  <c r="B5" i="7"/>
  <c r="M2" i="9"/>
  <c r="V13" i="4"/>
  <c r="AM13" i="5" s="1"/>
  <c r="M13" i="4"/>
  <c r="X13" i="5" s="1"/>
  <c r="E13" i="4"/>
  <c r="H13" i="5" s="1"/>
  <c r="L13" i="4"/>
  <c r="V13" i="5" s="1"/>
  <c r="D13" i="4"/>
  <c r="F13" i="5" s="1"/>
  <c r="Q13" i="4"/>
  <c r="AF13" i="5" s="1"/>
  <c r="G13" i="4"/>
  <c r="L13" i="5" s="1"/>
  <c r="S13" i="4"/>
  <c r="AJ13" i="5" s="1"/>
  <c r="A15" i="4" a="1"/>
  <c r="A15" i="4" s="1"/>
  <c r="P13" i="4"/>
  <c r="AD13" i="5" s="1"/>
  <c r="F13" i="4"/>
  <c r="J13" i="5" s="1"/>
  <c r="O13" i="4"/>
  <c r="AB13" i="5" s="1"/>
  <c r="C13" i="4"/>
  <c r="D13" i="5" s="1"/>
  <c r="J13" i="4"/>
  <c r="R13" i="5" s="1"/>
  <c r="H13" i="4"/>
  <c r="N13" i="5" s="1"/>
  <c r="N13" i="4"/>
  <c r="Z13" i="5" s="1"/>
  <c r="B13" i="4"/>
  <c r="B13" i="5" s="1"/>
  <c r="W13" i="4"/>
  <c r="AN13" i="5" s="1"/>
  <c r="K13" i="4"/>
  <c r="T13" i="5" s="1"/>
  <c r="I13" i="4"/>
  <c r="P13" i="5" s="1"/>
  <c r="R13" i="4"/>
  <c r="AH13" i="5" s="1"/>
  <c r="L12" i="4"/>
  <c r="V12" i="5" s="1"/>
  <c r="D12" i="4"/>
  <c r="F12" i="5" s="1"/>
  <c r="S12" i="4"/>
  <c r="AJ12" i="5" s="1"/>
  <c r="K12" i="4"/>
  <c r="T12" i="5" s="1"/>
  <c r="C12" i="4"/>
  <c r="D12" i="5" s="1"/>
  <c r="I12" i="4"/>
  <c r="P12" i="5" s="1"/>
  <c r="A14" i="4" a="1"/>
  <c r="A14" i="4" s="1"/>
  <c r="N12" i="4"/>
  <c r="Z12" i="5" s="1"/>
  <c r="M12" i="4"/>
  <c r="X12" i="5" s="1"/>
  <c r="R12" i="4"/>
  <c r="AH12" i="5" s="1"/>
  <c r="H12" i="4"/>
  <c r="N12" i="5" s="1"/>
  <c r="Q12" i="4"/>
  <c r="AF12" i="5" s="1"/>
  <c r="G12" i="4"/>
  <c r="L12" i="5" s="1"/>
  <c r="B12" i="4"/>
  <c r="B12" i="5" s="1"/>
  <c r="J12" i="4"/>
  <c r="R12" i="5" s="1"/>
  <c r="W12" i="4"/>
  <c r="AN12" i="5" s="1"/>
  <c r="P12" i="4"/>
  <c r="AD12" i="5" s="1"/>
  <c r="F12" i="4"/>
  <c r="J12" i="5" s="1"/>
  <c r="O12" i="4"/>
  <c r="AB12" i="5" s="1"/>
  <c r="E12" i="4"/>
  <c r="H12" i="5" s="1"/>
  <c r="V12" i="4"/>
  <c r="AM12" i="5" s="1"/>
  <c r="J2" i="9"/>
  <c r="K2" i="9" s="1"/>
  <c r="AF3" i="5"/>
  <c r="R3" i="4"/>
  <c r="AL13" i="5"/>
  <c r="A15" i="5" a="1"/>
  <c r="A15" i="5" s="1"/>
  <c r="AE3" i="5"/>
  <c r="AF4" i="5"/>
  <c r="R1" i="9" a="1"/>
  <c r="R1" i="9" s="1"/>
  <c r="P134" i="4"/>
  <c r="O134" i="4"/>
  <c r="W134" i="4"/>
  <c r="AN134" i="5" s="1"/>
  <c r="N134" i="4"/>
  <c r="A136" i="4"/>
  <c r="V134" i="4"/>
  <c r="AM134" i="5" s="1"/>
  <c r="M134" i="4"/>
  <c r="L134" i="4"/>
  <c r="S134" i="4"/>
  <c r="R134" i="4"/>
  <c r="Q134" i="4"/>
  <c r="AL12" i="5"/>
  <c r="A14" i="5" a="1"/>
  <c r="A14" i="5" s="1"/>
  <c r="J3" i="2" a="1"/>
  <c r="N3" i="2" a="1"/>
  <c r="K3" i="2" a="1"/>
  <c r="O3" i="2" a="1"/>
  <c r="M3" i="2" a="1"/>
  <c r="L3" i="2" a="1"/>
  <c r="W2" i="9" a="1"/>
  <c r="E2" i="9" a="1"/>
  <c r="B6" i="7" a="1"/>
  <c r="Y2" i="9" a="1"/>
  <c r="Z2" i="9" a="1"/>
  <c r="X2" i="9" a="1"/>
  <c r="T2" i="9" a="1"/>
  <c r="S2" i="9" a="1"/>
  <c r="I5" i="2" l="1"/>
  <c r="L3" i="2"/>
  <c r="M3" i="2"/>
  <c r="O3" i="2"/>
  <c r="K3" i="2"/>
  <c r="N3" i="2"/>
  <c r="J3" i="2"/>
  <c r="O2" i="9"/>
  <c r="L2" i="9"/>
  <c r="S2" i="9"/>
  <c r="T2" i="9"/>
  <c r="X2" i="9"/>
  <c r="Z2" i="9"/>
  <c r="Y2" i="9"/>
  <c r="B6" i="7"/>
  <c r="E2" i="9"/>
  <c r="W2" i="9"/>
  <c r="L136" i="4"/>
  <c r="S136" i="4"/>
  <c r="R136" i="4"/>
  <c r="Q136" i="4"/>
  <c r="P136" i="4"/>
  <c r="O136" i="4"/>
  <c r="W136" i="4"/>
  <c r="AN136" i="5" s="1"/>
  <c r="N136" i="4"/>
  <c r="A138" i="4"/>
  <c r="V136" i="4"/>
  <c r="AM136" i="5" s="1"/>
  <c r="M136" i="4"/>
  <c r="A17" i="4" a="1"/>
  <c r="A17" i="4" s="1"/>
  <c r="O15" i="4"/>
  <c r="AB15" i="5" s="1"/>
  <c r="G15" i="4"/>
  <c r="L15" i="5" s="1"/>
  <c r="W15" i="4"/>
  <c r="AN15" i="5" s="1"/>
  <c r="N15" i="4"/>
  <c r="Z15" i="5" s="1"/>
  <c r="F15" i="4"/>
  <c r="J15" i="5" s="1"/>
  <c r="L15" i="4"/>
  <c r="V15" i="5" s="1"/>
  <c r="B15" i="4"/>
  <c r="B15" i="5" s="1"/>
  <c r="J15" i="4"/>
  <c r="R15" i="5" s="1"/>
  <c r="S15" i="4"/>
  <c r="AJ15" i="5" s="1"/>
  <c r="E15" i="4"/>
  <c r="H15" i="5" s="1"/>
  <c r="D15" i="4"/>
  <c r="F15" i="5" s="1"/>
  <c r="V15" i="4"/>
  <c r="AM15" i="5" s="1"/>
  <c r="K15" i="4"/>
  <c r="T15" i="5" s="1"/>
  <c r="Q15" i="4"/>
  <c r="AF15" i="5" s="1"/>
  <c r="M15" i="4"/>
  <c r="X15" i="5" s="1"/>
  <c r="P15" i="4"/>
  <c r="AD15" i="5" s="1"/>
  <c r="I15" i="4"/>
  <c r="P15" i="5" s="1"/>
  <c r="R15" i="4"/>
  <c r="AH15" i="5" s="1"/>
  <c r="H15" i="4"/>
  <c r="N15" i="5" s="1"/>
  <c r="C15" i="4"/>
  <c r="D15" i="5" s="1"/>
  <c r="A17" i="5" a="1"/>
  <c r="A17" i="5" s="1"/>
  <c r="AL15" i="5"/>
  <c r="S3" i="4"/>
  <c r="AJ3" i="5" s="1"/>
  <c r="AH3" i="5"/>
  <c r="A16" i="5" a="1"/>
  <c r="A16" i="5" s="1"/>
  <c r="AL14" i="5"/>
  <c r="AG3" i="5"/>
  <c r="AH4" i="5"/>
  <c r="W14" i="4"/>
  <c r="AN14" i="5" s="1"/>
  <c r="N14" i="4"/>
  <c r="Z14" i="5" s="1"/>
  <c r="F14" i="4"/>
  <c r="J14" i="5" s="1"/>
  <c r="V14" i="4"/>
  <c r="AM14" i="5" s="1"/>
  <c r="M14" i="4"/>
  <c r="X14" i="5" s="1"/>
  <c r="E14" i="4"/>
  <c r="H14" i="5" s="1"/>
  <c r="A16" i="4" a="1"/>
  <c r="A16" i="4" s="1"/>
  <c r="O14" i="4"/>
  <c r="AB14" i="5" s="1"/>
  <c r="C14" i="4"/>
  <c r="D14" i="5" s="1"/>
  <c r="K14" i="4"/>
  <c r="T14" i="5" s="1"/>
  <c r="H14" i="4"/>
  <c r="N14" i="5" s="1"/>
  <c r="Q14" i="4"/>
  <c r="AF14" i="5" s="1"/>
  <c r="L14" i="4"/>
  <c r="V14" i="5" s="1"/>
  <c r="B14" i="4"/>
  <c r="B14" i="5" s="1"/>
  <c r="R14" i="4"/>
  <c r="AH14" i="5" s="1"/>
  <c r="P14" i="4"/>
  <c r="AD14" i="5" s="1"/>
  <c r="D14" i="4"/>
  <c r="F14" i="5" s="1"/>
  <c r="G14" i="4"/>
  <c r="L14" i="5" s="1"/>
  <c r="J14" i="4"/>
  <c r="R14" i="5" s="1"/>
  <c r="S14" i="4"/>
  <c r="AJ14" i="5" s="1"/>
  <c r="I14" i="4"/>
  <c r="P14" i="5" s="1"/>
  <c r="AB2" i="9" a="1"/>
  <c r="AA2" i="9" a="1"/>
  <c r="B2" i="10"/>
  <c r="U2" i="9" a="1"/>
  <c r="AA1" i="9" a="1"/>
  <c r="U1" i="9" a="1"/>
  <c r="B8" i="7" a="1"/>
  <c r="Z1" i="9" a="1"/>
  <c r="B7" i="7" a="1"/>
  <c r="Y1" i="9" a="1"/>
  <c r="W1" i="9" a="1"/>
  <c r="T1" i="9" a="1"/>
  <c r="X1" i="9" a="1"/>
  <c r="AB1" i="9" a="1"/>
  <c r="S1" i="9" a="1"/>
  <c r="I6" i="2" l="1"/>
  <c r="AB2" i="9"/>
  <c r="F2" i="9" a="1"/>
  <c r="F2" i="9" s="1"/>
  <c r="G2" i="9" s="1"/>
  <c r="AA2" i="9"/>
  <c r="S1" i="9"/>
  <c r="AB1" i="9"/>
  <c r="X1" i="9"/>
  <c r="T1" i="9"/>
  <c r="W1" i="9"/>
  <c r="Y1" i="9"/>
  <c r="B7" i="7"/>
  <c r="Z1" i="9"/>
  <c r="B8" i="7"/>
  <c r="U1" i="9"/>
  <c r="V1" i="9" s="1" a="1"/>
  <c r="V1" i="9" s="1"/>
  <c r="AA1" i="9"/>
  <c r="U2" i="9"/>
  <c r="V2" i="9" s="1" a="1"/>
  <c r="V2" i="9" s="1"/>
  <c r="H1" i="10"/>
  <c r="Q17" i="4"/>
  <c r="AF17" i="5" s="1"/>
  <c r="I17" i="4"/>
  <c r="P17" i="5" s="1"/>
  <c r="P17" i="4"/>
  <c r="AD17" i="5" s="1"/>
  <c r="H17" i="4"/>
  <c r="N17" i="5" s="1"/>
  <c r="C17" i="4"/>
  <c r="D17" i="5" s="1"/>
  <c r="J17" i="4"/>
  <c r="R17" i="5" s="1"/>
  <c r="W17" i="4"/>
  <c r="AN17" i="5" s="1"/>
  <c r="B17" i="4"/>
  <c r="B17" i="5" s="1"/>
  <c r="S17" i="4"/>
  <c r="AJ17" i="5" s="1"/>
  <c r="G17" i="4"/>
  <c r="L17" i="5" s="1"/>
  <c r="R17" i="4"/>
  <c r="AH17" i="5" s="1"/>
  <c r="F17" i="4"/>
  <c r="J17" i="5" s="1"/>
  <c r="A19" i="4" a="1"/>
  <c r="A19" i="4" s="1"/>
  <c r="M17" i="4"/>
  <c r="X17" i="5" s="1"/>
  <c r="V17" i="4"/>
  <c r="AM17" i="5" s="1"/>
  <c r="L17" i="4"/>
  <c r="V17" i="5" s="1"/>
  <c r="O17" i="4"/>
  <c r="AB17" i="5" s="1"/>
  <c r="E17" i="4"/>
  <c r="H17" i="5" s="1"/>
  <c r="N17" i="4"/>
  <c r="Z17" i="5" s="1"/>
  <c r="D17" i="4"/>
  <c r="F17" i="5" s="1"/>
  <c r="K17" i="4"/>
  <c r="T17" i="5" s="1"/>
  <c r="P138" i="4"/>
  <c r="O138" i="4"/>
  <c r="W138" i="4"/>
  <c r="AN138" i="5" s="1"/>
  <c r="N138" i="4"/>
  <c r="A140" i="4"/>
  <c r="V138" i="4"/>
  <c r="AM138" i="5" s="1"/>
  <c r="M138" i="4"/>
  <c r="L138" i="4"/>
  <c r="S138" i="4"/>
  <c r="R138" i="4"/>
  <c r="Q138" i="4"/>
  <c r="A19" i="5" a="1"/>
  <c r="A19" i="5" s="1"/>
  <c r="AL17" i="5"/>
  <c r="AJ4" i="5"/>
  <c r="AI3" i="5"/>
  <c r="AL16" i="5"/>
  <c r="A18" i="5" a="1"/>
  <c r="A18" i="5" s="1"/>
  <c r="AK3" i="5"/>
  <c r="P16" i="4"/>
  <c r="AD16" i="5" s="1"/>
  <c r="H16" i="4"/>
  <c r="N16" i="5" s="1"/>
  <c r="A18" i="4" a="1"/>
  <c r="A18" i="4" s="1"/>
  <c r="O16" i="4"/>
  <c r="AB16" i="5" s="1"/>
  <c r="G16" i="4"/>
  <c r="L16" i="5" s="1"/>
  <c r="V16" i="4"/>
  <c r="AM16" i="5" s="1"/>
  <c r="K16" i="4"/>
  <c r="T16" i="5" s="1"/>
  <c r="R16" i="4"/>
  <c r="AH16" i="5" s="1"/>
  <c r="D16" i="4"/>
  <c r="F16" i="5" s="1"/>
  <c r="C16" i="4"/>
  <c r="D16" i="5" s="1"/>
  <c r="J16" i="4"/>
  <c r="R16" i="5" s="1"/>
  <c r="S16" i="4"/>
  <c r="AJ16" i="5" s="1"/>
  <c r="I16" i="4"/>
  <c r="P16" i="5" s="1"/>
  <c r="W16" i="4"/>
  <c r="AN16" i="5" s="1"/>
  <c r="L16" i="4"/>
  <c r="V16" i="5" s="1"/>
  <c r="B16" i="4"/>
  <c r="B16" i="5" s="1"/>
  <c r="M16" i="4"/>
  <c r="X16" i="5" s="1"/>
  <c r="F16" i="4"/>
  <c r="J16" i="5" s="1"/>
  <c r="N16" i="4"/>
  <c r="Z16" i="5" s="1"/>
  <c r="Q16" i="4"/>
  <c r="AF16" i="5" s="1"/>
  <c r="E16" i="4"/>
  <c r="H16" i="5" s="1"/>
  <c r="L5" i="2" a="1"/>
  <c r="M5" i="2" a="1"/>
  <c r="J5" i="2" a="1"/>
  <c r="N5" i="2" a="1"/>
  <c r="K5" i="2" a="1"/>
  <c r="O5" i="2" a="1"/>
  <c r="C2" i="10" a="1"/>
  <c r="C4" i="10" a="1"/>
  <c r="C1" i="10" a="1"/>
  <c r="O5" i="2" l="1"/>
  <c r="K5" i="2"/>
  <c r="N5" i="2"/>
  <c r="J5" i="2"/>
  <c r="M5" i="2"/>
  <c r="L5" i="2"/>
  <c r="C1" i="10"/>
  <c r="C4" i="10"/>
  <c r="C2" i="10"/>
  <c r="R18" i="4"/>
  <c r="AH18" i="5" s="1"/>
  <c r="J18" i="4"/>
  <c r="R18" i="5" s="1"/>
  <c r="B18" i="4"/>
  <c r="B18" i="5" s="1"/>
  <c r="Q18" i="4"/>
  <c r="AF18" i="5" s="1"/>
  <c r="I18" i="4"/>
  <c r="P18" i="5" s="1"/>
  <c r="S18" i="4"/>
  <c r="AJ18" i="5" s="1"/>
  <c r="G18" i="4"/>
  <c r="L18" i="5" s="1"/>
  <c r="L18" i="4"/>
  <c r="V18" i="5" s="1"/>
  <c r="V18" i="4"/>
  <c r="AM18" i="5" s="1"/>
  <c r="P18" i="4"/>
  <c r="AD18" i="5" s="1"/>
  <c r="F18" i="4"/>
  <c r="J18" i="5" s="1"/>
  <c r="A20" i="4" a="1"/>
  <c r="A20" i="4" s="1"/>
  <c r="O18" i="4"/>
  <c r="AB18" i="5" s="1"/>
  <c r="E18" i="4"/>
  <c r="H18" i="5" s="1"/>
  <c r="W18" i="4"/>
  <c r="AN18" i="5" s="1"/>
  <c r="H18" i="4"/>
  <c r="N18" i="5" s="1"/>
  <c r="K18" i="4"/>
  <c r="T18" i="5" s="1"/>
  <c r="N18" i="4"/>
  <c r="Z18" i="5" s="1"/>
  <c r="D18" i="4"/>
  <c r="F18" i="5" s="1"/>
  <c r="M18" i="4"/>
  <c r="X18" i="5" s="1"/>
  <c r="C18" i="4"/>
  <c r="D18" i="5" s="1"/>
  <c r="S19" i="4"/>
  <c r="AJ19" i="5" s="1"/>
  <c r="K19" i="4"/>
  <c r="T19" i="5" s="1"/>
  <c r="C19" i="4"/>
  <c r="D19" i="5" s="1"/>
  <c r="R19" i="4"/>
  <c r="AH19" i="5" s="1"/>
  <c r="J19" i="4"/>
  <c r="R19" i="5" s="1"/>
  <c r="B19" i="4"/>
  <c r="B19" i="5" s="1"/>
  <c r="A21" i="4" a="1"/>
  <c r="A21" i="4" s="1"/>
  <c r="P19" i="4"/>
  <c r="AD19" i="5" s="1"/>
  <c r="F19" i="4"/>
  <c r="J19" i="5" s="1"/>
  <c r="V19" i="4"/>
  <c r="AM19" i="5" s="1"/>
  <c r="Q19" i="4"/>
  <c r="AF19" i="5" s="1"/>
  <c r="G19" i="4"/>
  <c r="L19" i="5" s="1"/>
  <c r="O19" i="4"/>
  <c r="AB19" i="5" s="1"/>
  <c r="E19" i="4"/>
  <c r="H19" i="5" s="1"/>
  <c r="N19" i="4"/>
  <c r="Z19" i="5" s="1"/>
  <c r="D19" i="4"/>
  <c r="F19" i="5" s="1"/>
  <c r="I19" i="4"/>
  <c r="P19" i="5" s="1"/>
  <c r="H19" i="4"/>
  <c r="N19" i="5" s="1"/>
  <c r="M19" i="4"/>
  <c r="X19" i="5" s="1"/>
  <c r="W19" i="4"/>
  <c r="AN19" i="5" s="1"/>
  <c r="L19" i="4"/>
  <c r="V19" i="5" s="1"/>
  <c r="A21" i="5" a="1"/>
  <c r="A21" i="5" s="1"/>
  <c r="AL19" i="5"/>
  <c r="AL18" i="5"/>
  <c r="A20" i="5" a="1"/>
  <c r="A20" i="5" s="1"/>
  <c r="L140" i="4"/>
  <c r="S140" i="4"/>
  <c r="R140" i="4"/>
  <c r="Q140" i="4"/>
  <c r="P140" i="4"/>
  <c r="O140" i="4"/>
  <c r="W140" i="4"/>
  <c r="AN140" i="5" s="1"/>
  <c r="N140" i="4"/>
  <c r="A142" i="4"/>
  <c r="V140" i="4"/>
  <c r="AM140" i="5" s="1"/>
  <c r="M140" i="4"/>
  <c r="I2" i="10"/>
  <c r="J2" i="10" a="1"/>
  <c r="J2" i="10" l="1"/>
  <c r="A9" i="10"/>
  <c r="L20" i="4"/>
  <c r="V20" i="5" s="1"/>
  <c r="D20" i="4"/>
  <c r="F20" i="5" s="1"/>
  <c r="S20" i="4"/>
  <c r="AJ20" i="5" s="1"/>
  <c r="K20" i="4"/>
  <c r="T20" i="5" s="1"/>
  <c r="C20" i="4"/>
  <c r="D20" i="5" s="1"/>
  <c r="O20" i="4"/>
  <c r="AB20" i="5" s="1"/>
  <c r="E20" i="4"/>
  <c r="R20" i="4"/>
  <c r="AH20" i="5" s="1"/>
  <c r="A22" i="4" a="1"/>
  <c r="A22" i="4" s="1"/>
  <c r="G20" i="4"/>
  <c r="L20" i="5" s="1"/>
  <c r="P20" i="4"/>
  <c r="AD20" i="5" s="1"/>
  <c r="F20" i="4"/>
  <c r="J20" i="5" s="1"/>
  <c r="N20" i="4"/>
  <c r="Z20" i="5" s="1"/>
  <c r="B20" i="4"/>
  <c r="B20" i="5" s="1"/>
  <c r="W20" i="4"/>
  <c r="AN20" i="5" s="1"/>
  <c r="M20" i="4"/>
  <c r="X20" i="5" s="1"/>
  <c r="H20" i="4"/>
  <c r="N20" i="5" s="1"/>
  <c r="Q20" i="4"/>
  <c r="AF20" i="5" s="1"/>
  <c r="V20" i="4"/>
  <c r="AM20" i="5" s="1"/>
  <c r="J20" i="4"/>
  <c r="R20" i="5" s="1"/>
  <c r="I20" i="4"/>
  <c r="P20" i="5" s="1"/>
  <c r="V21" i="4"/>
  <c r="AM21" i="5" s="1"/>
  <c r="M21" i="4"/>
  <c r="X21" i="5" s="1"/>
  <c r="E21" i="4"/>
  <c r="H21" i="5" s="1"/>
  <c r="L21" i="4"/>
  <c r="V21" i="5" s="1"/>
  <c r="D21" i="4"/>
  <c r="F21" i="5" s="1"/>
  <c r="W21" i="4"/>
  <c r="AN21" i="5" s="1"/>
  <c r="K21" i="4"/>
  <c r="T21" i="5" s="1"/>
  <c r="P21" i="4"/>
  <c r="AD21" i="5" s="1"/>
  <c r="N21" i="4"/>
  <c r="Z21" i="5" s="1"/>
  <c r="B21" i="4"/>
  <c r="B21" i="5" s="1"/>
  <c r="J21" i="4"/>
  <c r="R21" i="5" s="1"/>
  <c r="S21" i="4"/>
  <c r="AJ21" i="5" s="1"/>
  <c r="I21" i="4"/>
  <c r="P21" i="5" s="1"/>
  <c r="F21" i="4"/>
  <c r="J21" i="5" s="1"/>
  <c r="O21" i="4"/>
  <c r="AB21" i="5" s="1"/>
  <c r="C21" i="4"/>
  <c r="D21" i="5" s="1"/>
  <c r="R21" i="4"/>
  <c r="AH21" i="5" s="1"/>
  <c r="H21" i="4"/>
  <c r="N21" i="5" s="1"/>
  <c r="Q21" i="4"/>
  <c r="AF21" i="5" s="1"/>
  <c r="G21" i="4"/>
  <c r="L21" i="5" s="1"/>
  <c r="A23" i="4" a="1"/>
  <c r="A23" i="4" s="1"/>
  <c r="P142" i="4"/>
  <c r="O142" i="4"/>
  <c r="W142" i="4"/>
  <c r="AN142" i="5" s="1"/>
  <c r="N142" i="4"/>
  <c r="A144" i="4"/>
  <c r="V142" i="4"/>
  <c r="AM142" i="5" s="1"/>
  <c r="M142" i="4"/>
  <c r="L142" i="4"/>
  <c r="S142" i="4"/>
  <c r="R142" i="4"/>
  <c r="Q142" i="4"/>
  <c r="A22" i="5" a="1"/>
  <c r="A22" i="5" s="1"/>
  <c r="H20" i="5"/>
  <c r="AL20" i="5"/>
  <c r="A23" i="5" a="1"/>
  <c r="A23" i="5" s="1"/>
  <c r="AL21" i="5"/>
  <c r="B1" i="10"/>
  <c r="F4" i="10" a="1"/>
  <c r="D7" i="10" a="1"/>
  <c r="F6" i="10" a="1"/>
  <c r="J4" i="10" a="1"/>
  <c r="J1" i="10" a="1"/>
  <c r="B7" i="10" a="1"/>
  <c r="D6" i="10" a="1"/>
  <c r="B6" i="10" a="1"/>
  <c r="G1" i="10" a="1"/>
  <c r="F7" i="10" a="1"/>
  <c r="C3" i="10" a="1"/>
  <c r="F2" i="10" a="1"/>
  <c r="F3" i="10" a="1"/>
  <c r="C6" i="10" a="1"/>
  <c r="C6" i="10" l="1"/>
  <c r="F3" i="10"/>
  <c r="F2" i="10"/>
  <c r="C3" i="10"/>
  <c r="F7" i="10"/>
  <c r="G1" i="10"/>
  <c r="B6" i="10"/>
  <c r="D6" i="10"/>
  <c r="B7" i="10"/>
  <c r="J1" i="10"/>
  <c r="J4" i="10"/>
  <c r="F6" i="10"/>
  <c r="D7" i="10"/>
  <c r="F4" i="10"/>
  <c r="A25" i="4" a="1"/>
  <c r="A25" i="4" s="1"/>
  <c r="O23" i="4"/>
  <c r="AB23" i="5" s="1"/>
  <c r="G23" i="4"/>
  <c r="L23" i="5" s="1"/>
  <c r="W23" i="4"/>
  <c r="AN23" i="5" s="1"/>
  <c r="N23" i="4"/>
  <c r="Z23" i="5" s="1"/>
  <c r="F23" i="4"/>
  <c r="J23" i="5" s="1"/>
  <c r="V23" i="4"/>
  <c r="AM23" i="5" s="1"/>
  <c r="M23" i="4"/>
  <c r="X23" i="5" s="1"/>
  <c r="E23" i="4"/>
  <c r="H23" i="5" s="1"/>
  <c r="J23" i="4"/>
  <c r="R23" i="5" s="1"/>
  <c r="B23" i="4"/>
  <c r="B23" i="5" s="1"/>
  <c r="L23" i="4"/>
  <c r="K23" i="4"/>
  <c r="T23" i="5" s="1"/>
  <c r="I23" i="4"/>
  <c r="P23" i="5" s="1"/>
  <c r="S23" i="4"/>
  <c r="AJ23" i="5" s="1"/>
  <c r="H23" i="4"/>
  <c r="N23" i="5" s="1"/>
  <c r="R23" i="4"/>
  <c r="AH23" i="5" s="1"/>
  <c r="P23" i="4"/>
  <c r="AD23" i="5" s="1"/>
  <c r="D23" i="4"/>
  <c r="F23" i="5" s="1"/>
  <c r="Q23" i="4"/>
  <c r="AF23" i="5" s="1"/>
  <c r="C23" i="4"/>
  <c r="D23" i="5" s="1"/>
  <c r="W22" i="4"/>
  <c r="AN22" i="5" s="1"/>
  <c r="N22" i="4"/>
  <c r="Z22" i="5" s="1"/>
  <c r="F22" i="4"/>
  <c r="J22" i="5" s="1"/>
  <c r="V22" i="4"/>
  <c r="AM22" i="5" s="1"/>
  <c r="M22" i="4"/>
  <c r="X22" i="5" s="1"/>
  <c r="E22" i="4"/>
  <c r="H22" i="5" s="1"/>
  <c r="L22" i="4"/>
  <c r="V22" i="5" s="1"/>
  <c r="A24" i="4" a="1"/>
  <c r="A24" i="4" s="1"/>
  <c r="I22" i="4"/>
  <c r="P22" i="5" s="1"/>
  <c r="K22" i="4"/>
  <c r="T22" i="5" s="1"/>
  <c r="J22" i="4"/>
  <c r="R22" i="5" s="1"/>
  <c r="S22" i="4"/>
  <c r="AJ22" i="5" s="1"/>
  <c r="H22" i="4"/>
  <c r="N22" i="5" s="1"/>
  <c r="R22" i="4"/>
  <c r="AH22" i="5" s="1"/>
  <c r="G22" i="4"/>
  <c r="L22" i="5" s="1"/>
  <c r="O22" i="4"/>
  <c r="AB22" i="5" s="1"/>
  <c r="B22" i="4"/>
  <c r="B22" i="5" s="1"/>
  <c r="Q22" i="4"/>
  <c r="AF22" i="5" s="1"/>
  <c r="D22" i="4"/>
  <c r="F22" i="5" s="1"/>
  <c r="P22" i="4"/>
  <c r="AD22" i="5" s="1"/>
  <c r="C22" i="4"/>
  <c r="D22" i="5" s="1"/>
  <c r="A24" i="5" a="1"/>
  <c r="A24" i="5" s="1"/>
  <c r="AL22" i="5"/>
  <c r="L144" i="4"/>
  <c r="S144" i="4"/>
  <c r="R144" i="4"/>
  <c r="Q144" i="4"/>
  <c r="P144" i="4"/>
  <c r="O144" i="4"/>
  <c r="W144" i="4"/>
  <c r="AN144" i="5" s="1"/>
  <c r="N144" i="4"/>
  <c r="V144" i="4"/>
  <c r="AM144" i="5" s="1"/>
  <c r="M144" i="4"/>
  <c r="V23" i="5"/>
  <c r="A25" i="5" a="1"/>
  <c r="A25" i="5" s="1"/>
  <c r="AL23" i="5"/>
  <c r="B10" i="10"/>
  <c r="C10" i="10" a="1"/>
  <c r="C10" i="10" l="1"/>
  <c r="H9" i="10"/>
  <c r="Q25" i="4"/>
  <c r="AF25" i="5" s="1"/>
  <c r="I25" i="4"/>
  <c r="P25" i="5" s="1"/>
  <c r="P25" i="4"/>
  <c r="AD25" i="5" s="1"/>
  <c r="H25" i="4"/>
  <c r="N25" i="5" s="1"/>
  <c r="A27" i="4" a="1"/>
  <c r="A27" i="4" s="1"/>
  <c r="O25" i="4"/>
  <c r="AB25" i="5" s="1"/>
  <c r="G25" i="4"/>
  <c r="L25" i="5" s="1"/>
  <c r="N25" i="4"/>
  <c r="Z25" i="5" s="1"/>
  <c r="C25" i="4"/>
  <c r="D25" i="5" s="1"/>
  <c r="S25" i="4"/>
  <c r="AJ25" i="5" s="1"/>
  <c r="R25" i="4"/>
  <c r="AH25" i="5" s="1"/>
  <c r="D25" i="4"/>
  <c r="F25" i="5" s="1"/>
  <c r="M25" i="4"/>
  <c r="X25" i="5" s="1"/>
  <c r="B25" i="4"/>
  <c r="B25" i="5" s="1"/>
  <c r="L25" i="4"/>
  <c r="V25" i="5" s="1"/>
  <c r="F25" i="4"/>
  <c r="J25" i="5" s="1"/>
  <c r="W25" i="4"/>
  <c r="AN25" i="5" s="1"/>
  <c r="K25" i="4"/>
  <c r="T25" i="5" s="1"/>
  <c r="V25" i="4"/>
  <c r="AM25" i="5" s="1"/>
  <c r="J25" i="4"/>
  <c r="R25" i="5" s="1"/>
  <c r="E25" i="4"/>
  <c r="H25" i="5" s="1"/>
  <c r="A27" i="5" a="1"/>
  <c r="A27" i="5" s="1"/>
  <c r="AL25" i="5"/>
  <c r="P24" i="4"/>
  <c r="AD24" i="5" s="1"/>
  <c r="H24" i="4"/>
  <c r="N24" i="5" s="1"/>
  <c r="A26" i="4" a="1"/>
  <c r="A26" i="4" s="1"/>
  <c r="O24" i="4"/>
  <c r="AB24" i="5" s="1"/>
  <c r="G24" i="4"/>
  <c r="L24" i="5" s="1"/>
  <c r="W24" i="4"/>
  <c r="AN24" i="5" s="1"/>
  <c r="N24" i="4"/>
  <c r="Z24" i="5" s="1"/>
  <c r="F24" i="4"/>
  <c r="J24" i="5" s="1"/>
  <c r="L24" i="4"/>
  <c r="V24" i="5" s="1"/>
  <c r="R24" i="4"/>
  <c r="AH24" i="5" s="1"/>
  <c r="Q24" i="4"/>
  <c r="AF24" i="5" s="1"/>
  <c r="C24" i="4"/>
  <c r="D24" i="5" s="1"/>
  <c r="M24" i="4"/>
  <c r="X24" i="5" s="1"/>
  <c r="B24" i="4"/>
  <c r="B24" i="5" s="1"/>
  <c r="K24" i="4"/>
  <c r="T24" i="5" s="1"/>
  <c r="V24" i="4"/>
  <c r="AM24" i="5" s="1"/>
  <c r="J24" i="4"/>
  <c r="R24" i="5" s="1"/>
  <c r="D24" i="4"/>
  <c r="F24" i="5" s="1"/>
  <c r="I24" i="4"/>
  <c r="P24" i="5" s="1"/>
  <c r="S24" i="4"/>
  <c r="AJ24" i="5" s="1"/>
  <c r="E24" i="4"/>
  <c r="H24" i="5" s="1"/>
  <c r="J6" i="10" a="1"/>
  <c r="J6" i="10" s="1"/>
  <c r="K7" i="10" s="1"/>
  <c r="M7" i="10" a="1"/>
  <c r="M7" i="10" s="1"/>
  <c r="I6" i="10" a="1"/>
  <c r="I6" i="10" s="1"/>
  <c r="M2" i="10" a="1"/>
  <c r="M2" i="10" s="1"/>
  <c r="N1" i="10" a="1"/>
  <c r="N1" i="10" s="1"/>
  <c r="K6" i="10" a="1"/>
  <c r="K6" i="10" s="1"/>
  <c r="M3" i="10" a="1"/>
  <c r="M3" i="10" s="1"/>
  <c r="I1" i="10"/>
  <c r="M6" i="10" a="1"/>
  <c r="M6" i="10" s="1"/>
  <c r="J3" i="10" a="1"/>
  <c r="J3" i="10" s="1"/>
  <c r="M4" i="10" a="1"/>
  <c r="M4" i="10" s="1"/>
  <c r="A26" i="5" a="1"/>
  <c r="A26" i="5" s="1"/>
  <c r="AL24" i="5"/>
  <c r="C12" i="10" a="1"/>
  <c r="C9" i="10" a="1"/>
  <c r="I7" i="10" l="1"/>
  <c r="C9" i="10"/>
  <c r="C12" i="10"/>
  <c r="A28" i="5" a="1"/>
  <c r="A28" i="5" s="1"/>
  <c r="AL26" i="5"/>
  <c r="R26" i="4"/>
  <c r="AH26" i="5" s="1"/>
  <c r="J26" i="4"/>
  <c r="R26" i="5" s="1"/>
  <c r="B26" i="4"/>
  <c r="B26" i="5" s="1"/>
  <c r="Q26" i="4"/>
  <c r="AF26" i="5" s="1"/>
  <c r="I26" i="4"/>
  <c r="P26" i="5" s="1"/>
  <c r="P26" i="4"/>
  <c r="AD26" i="5" s="1"/>
  <c r="H26" i="4"/>
  <c r="N26" i="5" s="1"/>
  <c r="A28" i="4" a="1"/>
  <c r="A28" i="4" s="1"/>
  <c r="W26" i="4"/>
  <c r="AN26" i="5" s="1"/>
  <c r="K26" i="4"/>
  <c r="T26" i="5" s="1"/>
  <c r="S26" i="4"/>
  <c r="AJ26" i="5" s="1"/>
  <c r="E26" i="4"/>
  <c r="H26" i="5" s="1"/>
  <c r="V26" i="4"/>
  <c r="AM26" i="5" s="1"/>
  <c r="G26" i="4"/>
  <c r="L26" i="5" s="1"/>
  <c r="F26" i="4"/>
  <c r="J26" i="5" s="1"/>
  <c r="O26" i="4"/>
  <c r="AB26" i="5" s="1"/>
  <c r="D26" i="4"/>
  <c r="F26" i="5" s="1"/>
  <c r="N26" i="4"/>
  <c r="Z26" i="5" s="1"/>
  <c r="C26" i="4"/>
  <c r="D26" i="5" s="1"/>
  <c r="M26" i="4"/>
  <c r="X26" i="5" s="1"/>
  <c r="L26" i="4"/>
  <c r="V26" i="5" s="1"/>
  <c r="AL27" i="5"/>
  <c r="A29" i="5" a="1"/>
  <c r="A29" i="5" s="1"/>
  <c r="S27" i="4"/>
  <c r="AJ27" i="5" s="1"/>
  <c r="K27" i="4"/>
  <c r="T27" i="5" s="1"/>
  <c r="C27" i="4"/>
  <c r="D27" i="5" s="1"/>
  <c r="R27" i="4"/>
  <c r="AH27" i="5" s="1"/>
  <c r="J27" i="4"/>
  <c r="R27" i="5" s="1"/>
  <c r="B27" i="4"/>
  <c r="B27" i="5" s="1"/>
  <c r="Q27" i="4"/>
  <c r="AF27" i="5" s="1"/>
  <c r="I27" i="4"/>
  <c r="P27" i="5" s="1"/>
  <c r="M27" i="4"/>
  <c r="X27" i="5" s="1"/>
  <c r="V27" i="4"/>
  <c r="AM27" i="5" s="1"/>
  <c r="G27" i="4"/>
  <c r="L27" i="5" s="1"/>
  <c r="A29" i="4" a="1"/>
  <c r="A29" i="4" s="1"/>
  <c r="L27" i="4"/>
  <c r="V27" i="5" s="1"/>
  <c r="W27" i="4"/>
  <c r="AN27" i="5" s="1"/>
  <c r="H27" i="4"/>
  <c r="N27" i="5" s="1"/>
  <c r="F27" i="4"/>
  <c r="J27" i="5" s="1"/>
  <c r="P27" i="4"/>
  <c r="AD27" i="5" s="1"/>
  <c r="E27" i="4"/>
  <c r="H27" i="5" s="1"/>
  <c r="O27" i="4"/>
  <c r="AB27" i="5" s="1"/>
  <c r="D27" i="4"/>
  <c r="F27" i="5" s="1"/>
  <c r="N27" i="4"/>
  <c r="Z27" i="5" s="1"/>
  <c r="I10" i="10"/>
  <c r="J10" i="10" a="1"/>
  <c r="J10" i="10" l="1"/>
  <c r="A17" i="10"/>
  <c r="A31" i="5" a="1"/>
  <c r="A31" i="5" s="1"/>
  <c r="AL29" i="5"/>
  <c r="L28" i="4"/>
  <c r="V28" i="5" s="1"/>
  <c r="D28" i="4"/>
  <c r="F28" i="5" s="1"/>
  <c r="S28" i="4"/>
  <c r="AJ28" i="5" s="1"/>
  <c r="K28" i="4"/>
  <c r="T28" i="5" s="1"/>
  <c r="C28" i="4"/>
  <c r="D28" i="5" s="1"/>
  <c r="R28" i="4"/>
  <c r="AH28" i="5" s="1"/>
  <c r="J28" i="4"/>
  <c r="R28" i="5" s="1"/>
  <c r="B28" i="4"/>
  <c r="O28" i="4"/>
  <c r="AB28" i="5" s="1"/>
  <c r="W28" i="4"/>
  <c r="AN28" i="5" s="1"/>
  <c r="I28" i="4"/>
  <c r="P28" i="5" s="1"/>
  <c r="M28" i="4"/>
  <c r="X28" i="5" s="1"/>
  <c r="V28" i="4"/>
  <c r="AM28" i="5" s="1"/>
  <c r="H28" i="4"/>
  <c r="G28" i="4"/>
  <c r="L28" i="5" s="1"/>
  <c r="A30" i="4" a="1"/>
  <c r="A30" i="4" s="1"/>
  <c r="Q28" i="4"/>
  <c r="AF28" i="5" s="1"/>
  <c r="F28" i="4"/>
  <c r="J28" i="5" s="1"/>
  <c r="P28" i="4"/>
  <c r="AD28" i="5" s="1"/>
  <c r="E28" i="4"/>
  <c r="H28" i="5" s="1"/>
  <c r="N28" i="4"/>
  <c r="Z28" i="5" s="1"/>
  <c r="V29" i="4"/>
  <c r="AM29" i="5" s="1"/>
  <c r="M29" i="4"/>
  <c r="X29" i="5" s="1"/>
  <c r="E29" i="4"/>
  <c r="H29" i="5" s="1"/>
  <c r="L29" i="4"/>
  <c r="V29" i="5" s="1"/>
  <c r="D29" i="4"/>
  <c r="F29" i="5" s="1"/>
  <c r="S29" i="4"/>
  <c r="AJ29" i="5" s="1"/>
  <c r="K29" i="4"/>
  <c r="T29" i="5" s="1"/>
  <c r="C29" i="4"/>
  <c r="D29" i="5" s="1"/>
  <c r="P29" i="4"/>
  <c r="AD29" i="5" s="1"/>
  <c r="B29" i="4"/>
  <c r="B29" i="5" s="1"/>
  <c r="A31" i="4" a="1"/>
  <c r="A31" i="4" s="1"/>
  <c r="J29" i="4"/>
  <c r="R29" i="5" s="1"/>
  <c r="O29" i="4"/>
  <c r="AB29" i="5" s="1"/>
  <c r="N29" i="4"/>
  <c r="Z29" i="5" s="1"/>
  <c r="W29" i="4"/>
  <c r="AN29" i="5" s="1"/>
  <c r="I29" i="4"/>
  <c r="P29" i="5" s="1"/>
  <c r="H29" i="4"/>
  <c r="N29" i="5" s="1"/>
  <c r="R29" i="4"/>
  <c r="AH29" i="5" s="1"/>
  <c r="G29" i="4"/>
  <c r="L29" i="5" s="1"/>
  <c r="Q29" i="4"/>
  <c r="AF29" i="5" s="1"/>
  <c r="F29" i="4"/>
  <c r="J29" i="5" s="1"/>
  <c r="AL28" i="5"/>
  <c r="B28" i="5"/>
  <c r="A30" i="5" a="1"/>
  <c r="A30" i="5" s="1"/>
  <c r="N28" i="5"/>
  <c r="F10" i="10" a="1"/>
  <c r="F10" i="10" s="1"/>
  <c r="F14" i="10" a="1"/>
  <c r="F14" i="10" s="1"/>
  <c r="F15" i="10" a="1"/>
  <c r="F15" i="10" s="1"/>
  <c r="D14" i="10" a="1"/>
  <c r="D14" i="10" s="1"/>
  <c r="C14" i="10" a="1"/>
  <c r="C14" i="10" s="1"/>
  <c r="D15" i="10" s="1"/>
  <c r="B14" i="10" a="1"/>
  <c r="B14" i="10" s="1"/>
  <c r="C11" i="10" a="1"/>
  <c r="C11" i="10" s="1"/>
  <c r="G9" i="10" a="1"/>
  <c r="G9" i="10" s="1"/>
  <c r="F11" i="10" a="1"/>
  <c r="F11" i="10" s="1"/>
  <c r="B9" i="10"/>
  <c r="F12" i="10" a="1"/>
  <c r="F12" i="10" s="1"/>
  <c r="J12" i="10" a="1"/>
  <c r="J9" i="10" a="1"/>
  <c r="B15" i="10" l="1"/>
  <c r="J9" i="10"/>
  <c r="J12" i="10"/>
  <c r="A32" i="5" a="1"/>
  <c r="A32" i="5" s="1"/>
  <c r="AL30" i="5"/>
  <c r="A33" i="4" a="1"/>
  <c r="A33" i="4" s="1"/>
  <c r="O31" i="4"/>
  <c r="AB31" i="5" s="1"/>
  <c r="G31" i="4"/>
  <c r="L31" i="5" s="1"/>
  <c r="W31" i="4"/>
  <c r="AN31" i="5" s="1"/>
  <c r="N31" i="4"/>
  <c r="Z31" i="5" s="1"/>
  <c r="F31" i="4"/>
  <c r="V31" i="4"/>
  <c r="AM31" i="5" s="1"/>
  <c r="M31" i="4"/>
  <c r="X31" i="5" s="1"/>
  <c r="E31" i="4"/>
  <c r="H31" i="5" s="1"/>
  <c r="R31" i="4"/>
  <c r="AH31" i="5" s="1"/>
  <c r="D31" i="4"/>
  <c r="F31" i="5" s="1"/>
  <c r="L31" i="4"/>
  <c r="V31" i="5" s="1"/>
  <c r="Q31" i="4"/>
  <c r="C31" i="4"/>
  <c r="P31" i="4"/>
  <c r="K31" i="4"/>
  <c r="T31" i="5" s="1"/>
  <c r="J31" i="4"/>
  <c r="R31" i="5" s="1"/>
  <c r="B31" i="4"/>
  <c r="B31" i="5" s="1"/>
  <c r="I31" i="4"/>
  <c r="P31" i="5" s="1"/>
  <c r="S31" i="4"/>
  <c r="H31" i="4"/>
  <c r="N31" i="5" s="1"/>
  <c r="W30" i="4"/>
  <c r="AN30" i="5" s="1"/>
  <c r="N30" i="4"/>
  <c r="Z30" i="5" s="1"/>
  <c r="F30" i="4"/>
  <c r="J30" i="5" s="1"/>
  <c r="V30" i="4"/>
  <c r="AM30" i="5" s="1"/>
  <c r="M30" i="4"/>
  <c r="X30" i="5" s="1"/>
  <c r="E30" i="4"/>
  <c r="H30" i="5" s="1"/>
  <c r="L30" i="4"/>
  <c r="V30" i="5" s="1"/>
  <c r="D30" i="4"/>
  <c r="F30" i="5" s="1"/>
  <c r="Q30" i="4"/>
  <c r="AF30" i="5" s="1"/>
  <c r="C30" i="4"/>
  <c r="D30" i="5" s="1"/>
  <c r="K30" i="4"/>
  <c r="T30" i="5" s="1"/>
  <c r="P30" i="4"/>
  <c r="AD30" i="5" s="1"/>
  <c r="B30" i="4"/>
  <c r="B30" i="5" s="1"/>
  <c r="O30" i="4"/>
  <c r="AB30" i="5" s="1"/>
  <c r="J30" i="4"/>
  <c r="R30" i="5" s="1"/>
  <c r="A32" i="4" a="1"/>
  <c r="A32" i="4" s="1"/>
  <c r="I30" i="4"/>
  <c r="P30" i="5" s="1"/>
  <c r="S30" i="4"/>
  <c r="AJ30" i="5" s="1"/>
  <c r="H30" i="4"/>
  <c r="N30" i="5" s="1"/>
  <c r="R30" i="4"/>
  <c r="AH30" i="5" s="1"/>
  <c r="G30" i="4"/>
  <c r="L30" i="5" s="1"/>
  <c r="AD31" i="5"/>
  <c r="AJ31" i="5"/>
  <c r="AF31" i="5"/>
  <c r="J31" i="5"/>
  <c r="AL31" i="5"/>
  <c r="A33" i="5" a="1"/>
  <c r="A33" i="5" s="1"/>
  <c r="D31" i="5"/>
  <c r="B18" i="10"/>
  <c r="C18" i="10" a="1"/>
  <c r="C18" i="10" l="1"/>
  <c r="H17" i="10"/>
  <c r="AL32" i="5"/>
  <c r="A34" i="5" a="1"/>
  <c r="A34" i="5" s="1"/>
  <c r="A35" i="5" a="1"/>
  <c r="A35" i="5" s="1"/>
  <c r="AL33" i="5"/>
  <c r="P32" i="4"/>
  <c r="AD32" i="5" s="1"/>
  <c r="H32" i="4"/>
  <c r="N32" i="5" s="1"/>
  <c r="A34" i="4" a="1"/>
  <c r="A34" i="4" s="1"/>
  <c r="O32" i="4"/>
  <c r="AB32" i="5" s="1"/>
  <c r="G32" i="4"/>
  <c r="L32" i="5" s="1"/>
  <c r="W32" i="4"/>
  <c r="AN32" i="5" s="1"/>
  <c r="N32" i="4"/>
  <c r="Z32" i="5" s="1"/>
  <c r="F32" i="4"/>
  <c r="J32" i="5" s="1"/>
  <c r="I32" i="4"/>
  <c r="P32" i="5" s="1"/>
  <c r="Q32" i="4"/>
  <c r="AF32" i="5" s="1"/>
  <c r="C32" i="4"/>
  <c r="D32" i="5" s="1"/>
  <c r="S32" i="4"/>
  <c r="AJ32" i="5" s="1"/>
  <c r="E32" i="4"/>
  <c r="H32" i="5" s="1"/>
  <c r="R32" i="4"/>
  <c r="AH32" i="5" s="1"/>
  <c r="M32" i="4"/>
  <c r="X32" i="5" s="1"/>
  <c r="B32" i="4"/>
  <c r="B32" i="5" s="1"/>
  <c r="L32" i="4"/>
  <c r="V32" i="5" s="1"/>
  <c r="D32" i="4"/>
  <c r="F32" i="5" s="1"/>
  <c r="K32" i="4"/>
  <c r="T32" i="5" s="1"/>
  <c r="V32" i="4"/>
  <c r="AM32" i="5" s="1"/>
  <c r="J32" i="4"/>
  <c r="R32" i="5" s="1"/>
  <c r="Q33" i="4"/>
  <c r="AF33" i="5" s="1"/>
  <c r="I33" i="4"/>
  <c r="P33" i="5" s="1"/>
  <c r="P33" i="4"/>
  <c r="AD33" i="5" s="1"/>
  <c r="H33" i="4"/>
  <c r="N33" i="5" s="1"/>
  <c r="A35" i="4" a="1"/>
  <c r="A35" i="4" s="1"/>
  <c r="O33" i="4"/>
  <c r="AB33" i="5" s="1"/>
  <c r="G33" i="4"/>
  <c r="L33" i="5" s="1"/>
  <c r="W33" i="4"/>
  <c r="AN33" i="5" s="1"/>
  <c r="K33" i="4"/>
  <c r="T33" i="5" s="1"/>
  <c r="S33" i="4"/>
  <c r="AJ33" i="5" s="1"/>
  <c r="E33" i="4"/>
  <c r="H33" i="5" s="1"/>
  <c r="V33" i="4"/>
  <c r="AM33" i="5" s="1"/>
  <c r="J33" i="4"/>
  <c r="R33" i="5" s="1"/>
  <c r="R33" i="4"/>
  <c r="AH33" i="5" s="1"/>
  <c r="D33" i="4"/>
  <c r="F33" i="5" s="1"/>
  <c r="N33" i="4"/>
  <c r="Z33" i="5" s="1"/>
  <c r="C33" i="4"/>
  <c r="D33" i="5" s="1"/>
  <c r="F33" i="4"/>
  <c r="J33" i="5" s="1"/>
  <c r="M33" i="4"/>
  <c r="X33" i="5" s="1"/>
  <c r="B33" i="4"/>
  <c r="B33" i="5" s="1"/>
  <c r="L33" i="4"/>
  <c r="V33" i="5" s="1"/>
  <c r="M14" i="10" a="1"/>
  <c r="M14" i="10" s="1"/>
  <c r="M12" i="10" a="1"/>
  <c r="M12" i="10" s="1"/>
  <c r="I9" i="10"/>
  <c r="K14" i="10" a="1"/>
  <c r="K14" i="10" s="1"/>
  <c r="M10" i="10" a="1"/>
  <c r="M10" i="10" s="1"/>
  <c r="J14" i="10" a="1"/>
  <c r="J14" i="10" s="1"/>
  <c r="I15" i="10" s="1"/>
  <c r="I14" i="10" a="1"/>
  <c r="I14" i="10" s="1"/>
  <c r="M11" i="10" a="1"/>
  <c r="M11" i="10" s="1"/>
  <c r="M15" i="10" a="1"/>
  <c r="M15" i="10" s="1"/>
  <c r="N9" i="10" a="1"/>
  <c r="N9" i="10" s="1"/>
  <c r="J11" i="10" a="1"/>
  <c r="J11" i="10" s="1"/>
  <c r="C20" i="10" a="1"/>
  <c r="C17" i="10" a="1"/>
  <c r="K15" i="10" l="1"/>
  <c r="C17" i="10"/>
  <c r="C20" i="10"/>
  <c r="AL35" i="5"/>
  <c r="A37" i="5" a="1"/>
  <c r="A37" i="5" s="1"/>
  <c r="R34" i="4"/>
  <c r="AH34" i="5" s="1"/>
  <c r="J34" i="4"/>
  <c r="R34" i="5" s="1"/>
  <c r="B34" i="4"/>
  <c r="B34" i="5" s="1"/>
  <c r="Q34" i="4"/>
  <c r="I34" i="4"/>
  <c r="P34" i="4"/>
  <c r="AD34" i="5" s="1"/>
  <c r="H34" i="4"/>
  <c r="N34" i="5" s="1"/>
  <c r="M34" i="4"/>
  <c r="X34" i="5" s="1"/>
  <c r="V34" i="4"/>
  <c r="AM34" i="5" s="1"/>
  <c r="G34" i="4"/>
  <c r="L34" i="5" s="1"/>
  <c r="L34" i="4"/>
  <c r="V34" i="5" s="1"/>
  <c r="F34" i="4"/>
  <c r="S34" i="4"/>
  <c r="AJ34" i="5" s="1"/>
  <c r="E34" i="4"/>
  <c r="H34" i="5" s="1"/>
  <c r="O34" i="4"/>
  <c r="D34" i="4"/>
  <c r="F34" i="5" s="1"/>
  <c r="N34" i="4"/>
  <c r="Z34" i="5" s="1"/>
  <c r="C34" i="4"/>
  <c r="D34" i="5" s="1"/>
  <c r="A36" i="4" a="1"/>
  <c r="A36" i="4" s="1"/>
  <c r="W34" i="4"/>
  <c r="AN34" i="5" s="1"/>
  <c r="K34" i="4"/>
  <c r="T34" i="5" s="1"/>
  <c r="S35" i="4"/>
  <c r="AJ35" i="5" s="1"/>
  <c r="K35" i="4"/>
  <c r="T35" i="5" s="1"/>
  <c r="C35" i="4"/>
  <c r="D35" i="5" s="1"/>
  <c r="R35" i="4"/>
  <c r="AH35" i="5" s="1"/>
  <c r="J35" i="4"/>
  <c r="R35" i="5" s="1"/>
  <c r="B35" i="4"/>
  <c r="B35" i="5" s="1"/>
  <c r="Q35" i="4"/>
  <c r="AF35" i="5" s="1"/>
  <c r="I35" i="4"/>
  <c r="P35" i="5" s="1"/>
  <c r="O35" i="4"/>
  <c r="AB35" i="5" s="1"/>
  <c r="D35" i="4"/>
  <c r="F35" i="5" s="1"/>
  <c r="A37" i="4" a="1"/>
  <c r="A37" i="4" s="1"/>
  <c r="L35" i="4"/>
  <c r="V35" i="5" s="1"/>
  <c r="N35" i="4"/>
  <c r="Z35" i="5" s="1"/>
  <c r="W35" i="4"/>
  <c r="AN35" i="5" s="1"/>
  <c r="H35" i="4"/>
  <c r="N35" i="5" s="1"/>
  <c r="V35" i="4"/>
  <c r="AM35" i="5" s="1"/>
  <c r="G35" i="4"/>
  <c r="L35" i="5" s="1"/>
  <c r="F35" i="4"/>
  <c r="J35" i="5" s="1"/>
  <c r="P35" i="4"/>
  <c r="AD35" i="5" s="1"/>
  <c r="E35" i="4"/>
  <c r="H35" i="5" s="1"/>
  <c r="M35" i="4"/>
  <c r="X35" i="5" s="1"/>
  <c r="AF34" i="5"/>
  <c r="J34" i="5"/>
  <c r="A36" i="5" a="1"/>
  <c r="A36" i="5" s="1"/>
  <c r="AB34" i="5"/>
  <c r="AL34" i="5"/>
  <c r="P34" i="5"/>
  <c r="I18" i="10"/>
  <c r="J18" i="10" a="1"/>
  <c r="J18" i="10" l="1"/>
  <c r="A25" i="10"/>
  <c r="AL36" i="5"/>
  <c r="A38" i="5" a="1"/>
  <c r="A38" i="5" s="1"/>
  <c r="L36" i="4"/>
  <c r="V36" i="5" s="1"/>
  <c r="D36" i="4"/>
  <c r="F36" i="5" s="1"/>
  <c r="S36" i="4"/>
  <c r="AJ36" i="5" s="1"/>
  <c r="K36" i="4"/>
  <c r="T36" i="5" s="1"/>
  <c r="C36" i="4"/>
  <c r="D36" i="5" s="1"/>
  <c r="R36" i="4"/>
  <c r="AH36" i="5" s="1"/>
  <c r="J36" i="4"/>
  <c r="R36" i="5" s="1"/>
  <c r="B36" i="4"/>
  <c r="B36" i="5" s="1"/>
  <c r="Q36" i="4"/>
  <c r="AF36" i="5" s="1"/>
  <c r="F36" i="4"/>
  <c r="J36" i="5" s="1"/>
  <c r="N36" i="4"/>
  <c r="Z36" i="5" s="1"/>
  <c r="P36" i="4"/>
  <c r="AD36" i="5" s="1"/>
  <c r="E36" i="4"/>
  <c r="H36" i="5" s="1"/>
  <c r="A38" i="4" a="1"/>
  <c r="A38" i="4" s="1"/>
  <c r="M36" i="4"/>
  <c r="X36" i="5" s="1"/>
  <c r="W36" i="4"/>
  <c r="AN36" i="5" s="1"/>
  <c r="I36" i="4"/>
  <c r="P36" i="5" s="1"/>
  <c r="V36" i="4"/>
  <c r="AM36" i="5" s="1"/>
  <c r="H36" i="4"/>
  <c r="N36" i="5" s="1"/>
  <c r="G36" i="4"/>
  <c r="L36" i="5" s="1"/>
  <c r="O36" i="4"/>
  <c r="AB36" i="5" s="1"/>
  <c r="V37" i="4"/>
  <c r="AM37" i="5" s="1"/>
  <c r="M37" i="4"/>
  <c r="X37" i="5" s="1"/>
  <c r="E37" i="4"/>
  <c r="H37" i="5" s="1"/>
  <c r="L37" i="4"/>
  <c r="V37" i="5" s="1"/>
  <c r="D37" i="4"/>
  <c r="F37" i="5" s="1"/>
  <c r="S37" i="4"/>
  <c r="AJ37" i="5" s="1"/>
  <c r="K37" i="4"/>
  <c r="T37" i="5" s="1"/>
  <c r="C37" i="4"/>
  <c r="D37" i="5" s="1"/>
  <c r="R37" i="4"/>
  <c r="AH37" i="5" s="1"/>
  <c r="G37" i="4"/>
  <c r="L37" i="5" s="1"/>
  <c r="O37" i="4"/>
  <c r="AB37" i="5" s="1"/>
  <c r="Q37" i="4"/>
  <c r="AF37" i="5" s="1"/>
  <c r="F37" i="4"/>
  <c r="J37" i="5" s="1"/>
  <c r="N37" i="4"/>
  <c r="Z37" i="5" s="1"/>
  <c r="A39" i="4" a="1"/>
  <c r="A39" i="4" s="1"/>
  <c r="J37" i="4"/>
  <c r="R37" i="5" s="1"/>
  <c r="W37" i="4"/>
  <c r="AN37" i="5" s="1"/>
  <c r="I37" i="4"/>
  <c r="P37" i="5" s="1"/>
  <c r="H37" i="4"/>
  <c r="N37" i="5" s="1"/>
  <c r="P37" i="4"/>
  <c r="AD37" i="5" s="1"/>
  <c r="B37" i="4"/>
  <c r="B37" i="5" s="1"/>
  <c r="AL37" i="5"/>
  <c r="A39" i="5" a="1"/>
  <c r="A39" i="5" s="1"/>
  <c r="D22" i="10" a="1"/>
  <c r="D22" i="10" s="1"/>
  <c r="F22" i="10" a="1"/>
  <c r="F22" i="10" s="1"/>
  <c r="F19" i="10" a="1"/>
  <c r="F19" i="10" s="1"/>
  <c r="F18" i="10" a="1"/>
  <c r="F18" i="10" s="1"/>
  <c r="C19" i="10" a="1"/>
  <c r="C19" i="10" s="1"/>
  <c r="B17" i="10"/>
  <c r="C22" i="10" a="1"/>
  <c r="C22" i="10" s="1"/>
  <c r="D23" i="10" s="1"/>
  <c r="F23" i="10" a="1"/>
  <c r="F23" i="10" s="1"/>
  <c r="F20" i="10" a="1"/>
  <c r="F20" i="10" s="1"/>
  <c r="G17" i="10" a="1"/>
  <c r="G17" i="10" s="1"/>
  <c r="B22" i="10" a="1"/>
  <c r="B22" i="10" s="1"/>
  <c r="J20" i="10" a="1"/>
  <c r="J17" i="10" a="1"/>
  <c r="H2" i="8" a="1"/>
  <c r="I58" i="2" l="1"/>
  <c r="I46" i="2"/>
  <c r="I12" i="2"/>
  <c r="I7" i="2"/>
  <c r="I23" i="2"/>
  <c r="I30" i="2"/>
  <c r="I41" i="2"/>
  <c r="I11" i="2"/>
  <c r="I13" i="2"/>
  <c r="I14" i="2"/>
  <c r="I21" i="2"/>
  <c r="I60" i="2"/>
  <c r="I56" i="2"/>
  <c r="I18" i="2"/>
  <c r="I22" i="2"/>
  <c r="I20" i="2"/>
  <c r="I29" i="2"/>
  <c r="I31" i="2"/>
  <c r="I53" i="2"/>
  <c r="I10" i="2"/>
  <c r="I19" i="2"/>
  <c r="I28" i="2"/>
  <c r="I37" i="2"/>
  <c r="I33" i="2"/>
  <c r="I25" i="2"/>
  <c r="I17" i="2"/>
  <c r="I26" i="2"/>
  <c r="I27" i="2"/>
  <c r="I36" i="2"/>
  <c r="I49" i="2"/>
  <c r="I48" i="2"/>
  <c r="I57" i="2"/>
  <c r="I54" i="2"/>
  <c r="I51" i="2"/>
  <c r="I34" i="2"/>
  <c r="I35" i="2"/>
  <c r="I44" i="2"/>
  <c r="I59" i="2"/>
  <c r="I61" i="2"/>
  <c r="I8" i="2"/>
  <c r="I9" i="2"/>
  <c r="I52" i="2"/>
  <c r="I42" i="2"/>
  <c r="I43" i="2"/>
  <c r="I55" i="2"/>
  <c r="I50" i="2"/>
  <c r="I32" i="2"/>
  <c r="I47" i="2"/>
  <c r="I40" i="2"/>
  <c r="I16" i="2"/>
  <c r="I45" i="2"/>
  <c r="I15" i="2"/>
  <c r="I39" i="2"/>
  <c r="I38" i="2"/>
  <c r="I24" i="2"/>
  <c r="B23" i="10"/>
  <c r="H2" i="8"/>
  <c r="J17" i="10"/>
  <c r="J20" i="10"/>
  <c r="W38" i="4"/>
  <c r="AN38" i="5" s="1"/>
  <c r="N38" i="4"/>
  <c r="Z38" i="5" s="1"/>
  <c r="F38" i="4"/>
  <c r="J38" i="5" s="1"/>
  <c r="V38" i="4"/>
  <c r="AM38" i="5" s="1"/>
  <c r="M38" i="4"/>
  <c r="X38" i="5" s="1"/>
  <c r="E38" i="4"/>
  <c r="L38" i="4"/>
  <c r="V38" i="5" s="1"/>
  <c r="D38" i="4"/>
  <c r="S38" i="4"/>
  <c r="AJ38" i="5" s="1"/>
  <c r="H38" i="4"/>
  <c r="N38" i="5" s="1"/>
  <c r="P38" i="4"/>
  <c r="AD38" i="5" s="1"/>
  <c r="B38" i="4"/>
  <c r="B38" i="5" s="1"/>
  <c r="R38" i="4"/>
  <c r="AH38" i="5" s="1"/>
  <c r="G38" i="4"/>
  <c r="O38" i="4"/>
  <c r="AB38" i="5" s="1"/>
  <c r="K38" i="4"/>
  <c r="T38" i="5" s="1"/>
  <c r="J38" i="4"/>
  <c r="R38" i="5" s="1"/>
  <c r="I38" i="4"/>
  <c r="P38" i="5" s="1"/>
  <c r="Q38" i="4"/>
  <c r="AF38" i="5" s="1"/>
  <c r="C38" i="4"/>
  <c r="D38" i="5" s="1"/>
  <c r="O39" i="4"/>
  <c r="AB39" i="5" s="1"/>
  <c r="G39" i="4"/>
  <c r="W39" i="4"/>
  <c r="AN39" i="5" s="1"/>
  <c r="N39" i="4"/>
  <c r="Z39" i="5" s="1"/>
  <c r="F39" i="4"/>
  <c r="J39" i="5" s="1"/>
  <c r="V39" i="4"/>
  <c r="AM39" i="5" s="1"/>
  <c r="M39" i="4"/>
  <c r="X39" i="5" s="1"/>
  <c r="E39" i="4"/>
  <c r="H39" i="5" s="1"/>
  <c r="I39" i="4"/>
  <c r="P39" i="5" s="1"/>
  <c r="Q39" i="4"/>
  <c r="AF39" i="5" s="1"/>
  <c r="C39" i="4"/>
  <c r="D39" i="5" s="1"/>
  <c r="S39" i="4"/>
  <c r="AJ39" i="5" s="1"/>
  <c r="H39" i="4"/>
  <c r="N39" i="5" s="1"/>
  <c r="P39" i="4"/>
  <c r="AD39" i="5" s="1"/>
  <c r="B39" i="4"/>
  <c r="B39" i="5" s="1"/>
  <c r="L39" i="4"/>
  <c r="V39" i="5" s="1"/>
  <c r="K39" i="4"/>
  <c r="T39" i="5" s="1"/>
  <c r="J39" i="4"/>
  <c r="R39" i="5" s="1"/>
  <c r="R39" i="4"/>
  <c r="AH39" i="5" s="1"/>
  <c r="D39" i="4"/>
  <c r="F39" i="5" s="1"/>
  <c r="L39" i="5"/>
  <c r="A41" i="5" a="1"/>
  <c r="A41" i="5" s="1"/>
  <c r="AL39" i="5"/>
  <c r="A40" i="5" a="1"/>
  <c r="A40" i="5" s="1"/>
  <c r="L38" i="5"/>
  <c r="AL38" i="5"/>
  <c r="F38" i="5"/>
  <c r="H38" i="5"/>
  <c r="H1" i="8" a="1"/>
  <c r="F8" i="8" a="1"/>
  <c r="E1" i="8" a="1"/>
  <c r="F2" i="8" a="1"/>
  <c r="B3" i="8" a="1"/>
  <c r="B26" i="10"/>
  <c r="E7" i="8" a="1"/>
  <c r="C26" i="10" a="1"/>
  <c r="C26" i="10" l="1"/>
  <c r="E7" i="8"/>
  <c r="H25" i="10"/>
  <c r="B3" i="8"/>
  <c r="F2" i="8"/>
  <c r="I226" i="9" s="1"/>
  <c r="E1" i="8"/>
  <c r="F8" i="8"/>
  <c r="H1" i="8"/>
  <c r="AF40" i="5"/>
  <c r="P40" i="5"/>
  <c r="Z40" i="5"/>
  <c r="J40" i="5"/>
  <c r="AH40" i="5"/>
  <c r="L40" i="5"/>
  <c r="AD40" i="5"/>
  <c r="H40" i="5"/>
  <c r="A42" i="5" a="1"/>
  <c r="A42" i="5" s="1"/>
  <c r="AB40" i="5"/>
  <c r="F40" i="5"/>
  <c r="X40" i="5"/>
  <c r="D40" i="5"/>
  <c r="V40" i="5"/>
  <c r="B40" i="5"/>
  <c r="T40" i="5"/>
  <c r="AL40" i="5"/>
  <c r="AJ40" i="5"/>
  <c r="R40" i="5"/>
  <c r="N40" i="5"/>
  <c r="AH41" i="5"/>
  <c r="R41" i="5"/>
  <c r="B41" i="5"/>
  <c r="A43" i="5" a="1"/>
  <c r="A43" i="5" s="1"/>
  <c r="AB41" i="5"/>
  <c r="L41" i="5"/>
  <c r="AD41" i="5"/>
  <c r="H41" i="5"/>
  <c r="Z41" i="5"/>
  <c r="F41" i="5"/>
  <c r="X41" i="5"/>
  <c r="D41" i="5"/>
  <c r="V41" i="5"/>
  <c r="T41" i="5"/>
  <c r="AL41" i="5"/>
  <c r="P41" i="5"/>
  <c r="AJ41" i="5"/>
  <c r="AF41" i="5"/>
  <c r="N41" i="5"/>
  <c r="J41" i="5"/>
  <c r="K22" i="10" a="1"/>
  <c r="K22" i="10" s="1"/>
  <c r="J19" i="10" a="1"/>
  <c r="J19" i="10" s="1"/>
  <c r="I22" i="10" a="1"/>
  <c r="I22" i="10" s="1"/>
  <c r="M19" i="10" a="1"/>
  <c r="M19" i="10" s="1"/>
  <c r="N17" i="10" a="1"/>
  <c r="N17" i="10" s="1"/>
  <c r="M23" i="10" a="1"/>
  <c r="M23" i="10" s="1"/>
  <c r="I17" i="10"/>
  <c r="J22" i="10" a="1"/>
  <c r="J22" i="10" s="1"/>
  <c r="I23" i="10" s="1"/>
  <c r="M18" i="10" a="1"/>
  <c r="M18" i="10" s="1"/>
  <c r="M20" i="10" a="1"/>
  <c r="M20" i="10" s="1"/>
  <c r="M22" i="10" a="1"/>
  <c r="M22" i="10" s="1"/>
  <c r="D226" i="9"/>
  <c r="G2" i="8"/>
  <c r="J47" i="2" a="1"/>
  <c r="M44" i="2" a="1"/>
  <c r="O59" i="2" a="1"/>
  <c r="O43" i="2" a="1"/>
  <c r="K48" i="2" a="1"/>
  <c r="N35" i="2" a="1"/>
  <c r="J6" i="2" a="1"/>
  <c r="L33" i="2" a="1"/>
  <c r="J38" i="2" a="1"/>
  <c r="J61" i="2" a="1"/>
  <c r="M70" i="2" a="1"/>
  <c r="M67" i="2" a="1"/>
  <c r="J69" i="2" a="1"/>
  <c r="K14" i="2" a="1"/>
  <c r="M53" i="2" a="1"/>
  <c r="L57" i="2" a="1"/>
  <c r="J11" i="2" a="1"/>
  <c r="O21" i="2" a="1"/>
  <c r="N41" i="2" a="1"/>
  <c r="M64" i="2" a="1"/>
  <c r="K56" i="2" a="1"/>
  <c r="L68" i="2" a="1"/>
  <c r="K8" i="2" a="1"/>
  <c r="K13" i="2" a="1"/>
  <c r="J10" i="2" a="1"/>
  <c r="O66" i="2" a="1"/>
  <c r="M32" i="2" a="1"/>
  <c r="J16" i="2" a="1"/>
  <c r="M34" i="2" a="1"/>
  <c r="O65" i="2" a="1"/>
  <c r="J63" i="2" a="1"/>
  <c r="K45" i="2" a="1"/>
  <c r="K19" i="2" a="1"/>
  <c r="L36" i="2" a="1"/>
  <c r="K23" i="2" a="1"/>
  <c r="N31" i="2" a="1"/>
  <c r="L15" i="2" a="1"/>
  <c r="J7" i="2" a="1"/>
  <c r="O50" i="2" a="1"/>
  <c r="L58" i="2" a="1"/>
  <c r="O24" i="2" a="1"/>
  <c r="L42" i="2" a="1"/>
  <c r="M39" i="2" a="1"/>
  <c r="K62" i="2" a="1"/>
  <c r="K55" i="2" a="1"/>
  <c r="J30" i="2" a="1"/>
  <c r="M49" i="2" a="1"/>
  <c r="M52" i="2" a="1"/>
  <c r="N25" i="2" a="1"/>
  <c r="K4" i="2" a="1"/>
  <c r="K47" i="2" a="1"/>
  <c r="K44" i="2" a="1"/>
  <c r="L59" i="2" a="1"/>
  <c r="J43" i="2" a="1"/>
  <c r="L48" i="2" a="1"/>
  <c r="O35" i="2" a="1"/>
  <c r="N6" i="2" a="1"/>
  <c r="M33" i="2" a="1"/>
  <c r="L38" i="2" a="1"/>
  <c r="N61" i="2" a="1"/>
  <c r="O70" i="2" a="1"/>
  <c r="L67" i="2" a="1"/>
  <c r="N69" i="2" a="1"/>
  <c r="O14" i="2" a="1"/>
  <c r="N53" i="2" a="1"/>
  <c r="M57" i="2" a="1"/>
  <c r="N11" i="2" a="1"/>
  <c r="J21" i="2" a="1"/>
  <c r="L41" i="2" a="1"/>
  <c r="J64" i="2" a="1"/>
  <c r="L56" i="2" a="1"/>
  <c r="K68" i="2" a="1"/>
  <c r="O8" i="2" a="1"/>
  <c r="O13" i="2" a="1"/>
  <c r="N10" i="2" a="1"/>
  <c r="J66" i="2" a="1"/>
  <c r="N32" i="2" a="1"/>
  <c r="N16" i="2" a="1"/>
  <c r="N34" i="2" a="1"/>
  <c r="L65" i="2" a="1"/>
  <c r="N63" i="2" a="1"/>
  <c r="L45" i="2" a="1"/>
  <c r="N19" i="2" a="1"/>
  <c r="M36" i="2" a="1"/>
  <c r="O23" i="2" a="1"/>
  <c r="O31" i="2" a="1"/>
  <c r="M15" i="2" a="1"/>
  <c r="N7" i="2" a="1"/>
  <c r="J50" i="2" a="1"/>
  <c r="M58" i="2" a="1"/>
  <c r="J24" i="2" a="1"/>
  <c r="M42" i="2" a="1"/>
  <c r="N39" i="2" a="1"/>
  <c r="J62" i="2" a="1"/>
  <c r="M55" i="2" a="1"/>
  <c r="K30" i="2" a="1"/>
  <c r="O49" i="2" a="1"/>
  <c r="O52" i="2" a="1"/>
  <c r="L25" i="2" a="1"/>
  <c r="O4" i="2" a="1"/>
  <c r="L47" i="2" a="1"/>
  <c r="L44" i="2" a="1"/>
  <c r="K51" i="2" a="1"/>
  <c r="K43" i="2" a="1"/>
  <c r="M48" i="2" a="1"/>
  <c r="J12" i="2" a="1"/>
  <c r="K6" i="2" a="1"/>
  <c r="N33" i="2" a="1"/>
  <c r="L9" i="2" a="1"/>
  <c r="K61" i="2" a="1"/>
  <c r="J70" i="2" a="1"/>
  <c r="J46" i="2" a="1"/>
  <c r="K69" i="2" a="1"/>
  <c r="L14" i="2" a="1"/>
  <c r="M27" i="2" a="1"/>
  <c r="K57" i="2" a="1"/>
  <c r="K11" i="2" a="1"/>
  <c r="L17" i="2" a="1"/>
  <c r="O41" i="2" a="1"/>
  <c r="N64" i="2" a="1"/>
  <c r="M40" i="2" a="1"/>
  <c r="M68" i="2" a="1"/>
  <c r="L8" i="2" a="1"/>
  <c r="J18" i="2" a="1"/>
  <c r="K10" i="2" a="1"/>
  <c r="N66" i="2" a="1"/>
  <c r="N54" i="2" a="1"/>
  <c r="K16" i="2" a="1"/>
  <c r="O34" i="2" a="1"/>
  <c r="N26" i="2" a="1"/>
  <c r="K63" i="2" a="1"/>
  <c r="M45" i="2" a="1"/>
  <c r="O29" i="2" a="1"/>
  <c r="N36" i="2" a="1"/>
  <c r="J23" i="2" a="1"/>
  <c r="J22" i="2" a="1"/>
  <c r="J15" i="2" a="1"/>
  <c r="O7" i="2" a="1"/>
  <c r="L60" i="2" a="1"/>
  <c r="J58" i="2" a="1"/>
  <c r="K24" i="2" a="1"/>
  <c r="O28" i="2" a="1"/>
  <c r="K39" i="2" a="1"/>
  <c r="N62" i="2" a="1"/>
  <c r="J20" i="2" a="1"/>
  <c r="N30" i="2" a="1"/>
  <c r="N49" i="2" a="1"/>
  <c r="L37" i="2" a="1"/>
  <c r="O25" i="2" a="1"/>
  <c r="L4" i="2" a="1"/>
  <c r="M47" i="2" a="1"/>
  <c r="N44" i="2" a="1"/>
  <c r="L51" i="2" a="1"/>
  <c r="M43" i="2" a="1"/>
  <c r="N48" i="2" a="1"/>
  <c r="N12" i="2" a="1"/>
  <c r="O6" i="2" a="1"/>
  <c r="J33" i="2" a="1"/>
  <c r="M9" i="2" a="1"/>
  <c r="O61" i="2" a="1"/>
  <c r="N70" i="2" a="1"/>
  <c r="K46" i="2" a="1"/>
  <c r="O69" i="2" a="1"/>
  <c r="M14" i="2" a="1"/>
  <c r="O27" i="2" a="1"/>
  <c r="N57" i="2" a="1"/>
  <c r="O11" i="2" a="1"/>
  <c r="K17" i="2" a="1"/>
  <c r="J41" i="2" a="1"/>
  <c r="K64" i="2" a="1"/>
  <c r="N40" i="2" a="1"/>
  <c r="J68" i="2" a="1"/>
  <c r="M8" i="2" a="1"/>
  <c r="N18" i="2" a="1"/>
  <c r="O10" i="2" a="1"/>
  <c r="K66" i="2" a="1"/>
  <c r="M54" i="2" a="1"/>
  <c r="O16" i="2" a="1"/>
  <c r="J34" i="2" a="1"/>
  <c r="O26" i="2" a="1"/>
  <c r="O63" i="2" a="1"/>
  <c r="N45" i="2" a="1"/>
  <c r="J29" i="2" a="1"/>
  <c r="O36" i="2" a="1"/>
  <c r="L23" i="2" a="1"/>
  <c r="M22" i="2" a="1"/>
  <c r="N15" i="2" a="1"/>
  <c r="K7" i="2" a="1"/>
  <c r="O60" i="2" a="1"/>
  <c r="O58" i="2" a="1"/>
  <c r="L24" i="2" a="1"/>
  <c r="J28" i="2" a="1"/>
  <c r="O39" i="2" a="1"/>
  <c r="O62" i="2" a="1"/>
  <c r="N20" i="2" a="1"/>
  <c r="L30" i="2" a="1"/>
  <c r="J49" i="2" a="1"/>
  <c r="M37" i="2" a="1"/>
  <c r="J25" i="2" a="1"/>
  <c r="M4" i="2" a="1"/>
  <c r="N47" i="2" a="1"/>
  <c r="J59" i="2" a="1"/>
  <c r="O51" i="2" a="1"/>
  <c r="L43" i="2" a="1"/>
  <c r="K35" i="2" a="1"/>
  <c r="K12" i="2" a="1"/>
  <c r="L6" i="2" a="1"/>
  <c r="M38" i="2" a="1"/>
  <c r="J9" i="2" a="1"/>
  <c r="L61" i="2" a="1"/>
  <c r="J67" i="2" a="1"/>
  <c r="L46" i="2" a="1"/>
  <c r="L69" i="2" a="1"/>
  <c r="J53" i="2" a="1"/>
  <c r="J27" i="2" a="1"/>
  <c r="J57" i="2" a="1"/>
  <c r="L21" i="2" a="1"/>
  <c r="M17" i="2" a="1"/>
  <c r="K41" i="2" a="1"/>
  <c r="M56" i="2" a="1"/>
  <c r="O40" i="2" a="1"/>
  <c r="N68" i="2" a="1"/>
  <c r="L13" i="2" a="1"/>
  <c r="M18" i="2" a="1"/>
  <c r="L10" i="2" a="1"/>
  <c r="J32" i="2" a="1"/>
  <c r="O54" i="2" a="1"/>
  <c r="L16" i="2" a="1"/>
  <c r="J65" i="2" a="1"/>
  <c r="J26" i="2" a="1"/>
  <c r="M63" i="2" a="1"/>
  <c r="L19" i="2" a="1"/>
  <c r="K29" i="2" a="1"/>
  <c r="K36" i="2" a="1"/>
  <c r="J31" i="2" a="1"/>
  <c r="N22" i="2" a="1"/>
  <c r="O15" i="2" a="1"/>
  <c r="K50" i="2" a="1"/>
  <c r="M60" i="2" a="1"/>
  <c r="N58" i="2" a="1"/>
  <c r="N42" i="2" a="1"/>
  <c r="K28" i="2" a="1"/>
  <c r="J39" i="2" a="1"/>
  <c r="N55" i="2" a="1"/>
  <c r="O20" i="2" a="1"/>
  <c r="M30" i="2" a="1"/>
  <c r="J52" i="2" a="1"/>
  <c r="N37" i="2" a="1"/>
  <c r="K25" i="2" a="1"/>
  <c r="O47" i="2" a="1"/>
  <c r="N59" i="2" a="1"/>
  <c r="M51" i="2" a="1"/>
  <c r="N43" i="2" a="1"/>
  <c r="J35" i="2" a="1"/>
  <c r="O12" i="2" a="1"/>
  <c r="M6" i="2" a="1"/>
  <c r="N38" i="2" a="1"/>
  <c r="N9" i="2" a="1"/>
  <c r="M61" i="2" a="1"/>
  <c r="N67" i="2" a="1"/>
  <c r="M46" i="2" a="1"/>
  <c r="M69" i="2" a="1"/>
  <c r="O53" i="2" a="1"/>
  <c r="K27" i="2" a="1"/>
  <c r="O57" i="2" a="1"/>
  <c r="K21" i="2" a="1"/>
  <c r="N17" i="2" a="1"/>
  <c r="M41" i="2" a="1"/>
  <c r="N56" i="2" a="1"/>
  <c r="L40" i="2" a="1"/>
  <c r="O68" i="2" a="1"/>
  <c r="M13" i="2" a="1"/>
  <c r="O18" i="2" a="1"/>
  <c r="M10" i="2" a="1"/>
  <c r="K32" i="2" a="1"/>
  <c r="J54" i="2" a="1"/>
  <c r="M16" i="2" a="1"/>
  <c r="N65" i="2" a="1"/>
  <c r="K26" i="2" a="1"/>
  <c r="L63" i="2" a="1"/>
  <c r="O19" i="2" a="1"/>
  <c r="L29" i="2" a="1"/>
  <c r="J36" i="2" a="1"/>
  <c r="K31" i="2" a="1"/>
  <c r="O22" i="2" a="1"/>
  <c r="K15" i="2" a="1"/>
  <c r="L50" i="2" a="1"/>
  <c r="J60" i="2" a="1"/>
  <c r="K58" i="2" a="1"/>
  <c r="O42" i="2" a="1"/>
  <c r="M28" i="2" a="1"/>
  <c r="L39" i="2" a="1"/>
  <c r="J55" i="2" a="1"/>
  <c r="K20" i="2" a="1"/>
  <c r="O30" i="2" a="1"/>
  <c r="K52" i="2" a="1"/>
  <c r="O37" i="2" a="1"/>
  <c r="M25" i="2" a="1"/>
  <c r="O44" i="2" a="1"/>
  <c r="M59" i="2" a="1"/>
  <c r="N51" i="2" a="1"/>
  <c r="J48" i="2" a="1"/>
  <c r="L35" i="2" a="1"/>
  <c r="L12" i="2" a="1"/>
  <c r="K33" i="2" a="1"/>
  <c r="K38" i="2" a="1"/>
  <c r="K9" i="2" a="1"/>
  <c r="L70" i="2" a="1"/>
  <c r="K67" i="2" a="1"/>
  <c r="O46" i="2" a="1"/>
  <c r="J14" i="2" a="1"/>
  <c r="K53" i="2" a="1"/>
  <c r="L27" i="2" a="1"/>
  <c r="L11" i="2" a="1"/>
  <c r="M21" i="2" a="1"/>
  <c r="O17" i="2" a="1"/>
  <c r="L64" i="2" a="1"/>
  <c r="O56" i="2" a="1"/>
  <c r="J40" i="2" a="1"/>
  <c r="J8" i="2" a="1"/>
  <c r="J13" i="2" a="1"/>
  <c r="L18" i="2" a="1"/>
  <c r="L66" i="2" a="1"/>
  <c r="L32" i="2" a="1"/>
  <c r="K54" i="2" a="1"/>
  <c r="K34" i="2" a="1"/>
  <c r="M65" i="2" a="1"/>
  <c r="L26" i="2" a="1"/>
  <c r="O45" i="2" a="1"/>
  <c r="M19" i="2" a="1"/>
  <c r="M29" i="2" a="1"/>
  <c r="M23" i="2" a="1"/>
  <c r="L31" i="2" a="1"/>
  <c r="K22" i="2" a="1"/>
  <c r="L7" i="2" a="1"/>
  <c r="M50" i="2" a="1"/>
  <c r="N60" i="2" a="1"/>
  <c r="M24" i="2" a="1"/>
  <c r="J42" i="2" a="1"/>
  <c r="L28" i="2" a="1"/>
  <c r="L62" i="2" a="1"/>
  <c r="O55" i="2" a="1"/>
  <c r="L20" i="2" a="1"/>
  <c r="K49" i="2" a="1"/>
  <c r="N52" i="2" a="1"/>
  <c r="J37" i="2" a="1"/>
  <c r="J4" i="2" a="1"/>
  <c r="J44" i="2" a="1"/>
  <c r="K59" i="2" a="1"/>
  <c r="J51" i="2" a="1"/>
  <c r="O48" i="2" a="1"/>
  <c r="M35" i="2" a="1"/>
  <c r="M12" i="2" a="1"/>
  <c r="O33" i="2" a="1"/>
  <c r="O38" i="2" a="1"/>
  <c r="O9" i="2" a="1"/>
  <c r="K70" i="2" a="1"/>
  <c r="O67" i="2" a="1"/>
  <c r="N46" i="2" a="1"/>
  <c r="N14" i="2" a="1"/>
  <c r="L53" i="2" a="1"/>
  <c r="N27" i="2" a="1"/>
  <c r="M11" i="2" a="1"/>
  <c r="N21" i="2" a="1"/>
  <c r="J17" i="2" a="1"/>
  <c r="O64" i="2" a="1"/>
  <c r="J56" i="2" a="1"/>
  <c r="K40" i="2" a="1"/>
  <c r="N8" i="2" a="1"/>
  <c r="N13" i="2" a="1"/>
  <c r="K18" i="2" a="1"/>
  <c r="M66" i="2" a="1"/>
  <c r="O32" i="2" a="1"/>
  <c r="L54" i="2" a="1"/>
  <c r="L34" i="2" a="1"/>
  <c r="K65" i="2" a="1"/>
  <c r="M26" i="2" a="1"/>
  <c r="J45" i="2" a="1"/>
  <c r="J19" i="2" a="1"/>
  <c r="N29" i="2" a="1"/>
  <c r="N23" i="2" a="1"/>
  <c r="M31" i="2" a="1"/>
  <c r="L22" i="2" a="1"/>
  <c r="M7" i="2" a="1"/>
  <c r="N50" i="2" a="1"/>
  <c r="K60" i="2" a="1"/>
  <c r="N24" i="2" a="1"/>
  <c r="K42" i="2" a="1"/>
  <c r="N28" i="2" a="1"/>
  <c r="M62" i="2" a="1"/>
  <c r="L55" i="2" a="1"/>
  <c r="M20" i="2" a="1"/>
  <c r="L49" i="2" a="1"/>
  <c r="L52" i="2" a="1"/>
  <c r="K37" i="2" a="1"/>
  <c r="N4" i="2" a="1"/>
  <c r="C28" i="10" a="1"/>
  <c r="C25" i="10" a="1"/>
  <c r="N4" i="2" l="1"/>
  <c r="K37" i="2"/>
  <c r="L52" i="2"/>
  <c r="L49" i="2"/>
  <c r="M20" i="2"/>
  <c r="L55" i="2"/>
  <c r="M62" i="2"/>
  <c r="N28" i="2"/>
  <c r="K42" i="2"/>
  <c r="N24" i="2"/>
  <c r="K60" i="2"/>
  <c r="N50" i="2"/>
  <c r="M7" i="2"/>
  <c r="L22" i="2"/>
  <c r="M31" i="2"/>
  <c r="N23" i="2"/>
  <c r="N29" i="2"/>
  <c r="J19" i="2"/>
  <c r="J45" i="2"/>
  <c r="M26" i="2"/>
  <c r="K65" i="2"/>
  <c r="L34" i="2"/>
  <c r="L54" i="2"/>
  <c r="O32" i="2"/>
  <c r="M66" i="2"/>
  <c r="K18" i="2"/>
  <c r="N13" i="2"/>
  <c r="N8" i="2"/>
  <c r="K40" i="2"/>
  <c r="J56" i="2"/>
  <c r="O64" i="2"/>
  <c r="J17" i="2"/>
  <c r="N21" i="2"/>
  <c r="M11" i="2"/>
  <c r="N27" i="2"/>
  <c r="L53" i="2"/>
  <c r="N14" i="2"/>
  <c r="N46" i="2"/>
  <c r="O67" i="2"/>
  <c r="K70" i="2"/>
  <c r="O9" i="2"/>
  <c r="O38" i="2"/>
  <c r="O33" i="2"/>
  <c r="M12" i="2"/>
  <c r="M35" i="2"/>
  <c r="O48" i="2"/>
  <c r="J51" i="2"/>
  <c r="K59" i="2"/>
  <c r="J44" i="2"/>
  <c r="J4" i="2"/>
  <c r="J37" i="2"/>
  <c r="N52" i="2"/>
  <c r="K49" i="2"/>
  <c r="L20" i="2"/>
  <c r="O55" i="2"/>
  <c r="L62" i="2"/>
  <c r="L28" i="2"/>
  <c r="J42" i="2"/>
  <c r="M24" i="2"/>
  <c r="N60" i="2"/>
  <c r="M50" i="2"/>
  <c r="L7" i="2"/>
  <c r="K22" i="2"/>
  <c r="L31" i="2"/>
  <c r="M23" i="2"/>
  <c r="M29" i="2"/>
  <c r="M19" i="2"/>
  <c r="O45" i="2"/>
  <c r="L26" i="2"/>
  <c r="M65" i="2"/>
  <c r="K34" i="2"/>
  <c r="K54" i="2"/>
  <c r="L32" i="2"/>
  <c r="L66" i="2"/>
  <c r="L18" i="2"/>
  <c r="J13" i="2"/>
  <c r="J8" i="2"/>
  <c r="J40" i="2"/>
  <c r="O56" i="2"/>
  <c r="L64" i="2"/>
  <c r="O17" i="2"/>
  <c r="M21" i="2"/>
  <c r="L11" i="2"/>
  <c r="L27" i="2"/>
  <c r="K53" i="2"/>
  <c r="J14" i="2"/>
  <c r="O46" i="2"/>
  <c r="K67" i="2"/>
  <c r="L70" i="2"/>
  <c r="K9" i="2"/>
  <c r="K38" i="2"/>
  <c r="K33" i="2"/>
  <c r="L12" i="2"/>
  <c r="L35" i="2"/>
  <c r="J48" i="2"/>
  <c r="N51" i="2"/>
  <c r="M59" i="2"/>
  <c r="O44" i="2"/>
  <c r="M25" i="2"/>
  <c r="O37" i="2"/>
  <c r="K52" i="2"/>
  <c r="O30" i="2"/>
  <c r="K20" i="2"/>
  <c r="J55" i="2"/>
  <c r="L39" i="2"/>
  <c r="M28" i="2"/>
  <c r="O42" i="2"/>
  <c r="K58" i="2"/>
  <c r="J60" i="2"/>
  <c r="L50" i="2"/>
  <c r="K15" i="2"/>
  <c r="O22" i="2"/>
  <c r="K31" i="2"/>
  <c r="J36" i="2"/>
  <c r="L29" i="2"/>
  <c r="O19" i="2"/>
  <c r="L63" i="2"/>
  <c r="K26" i="2"/>
  <c r="N65" i="2"/>
  <c r="M16" i="2"/>
  <c r="J54" i="2"/>
  <c r="K32" i="2"/>
  <c r="M10" i="2"/>
  <c r="O18" i="2"/>
  <c r="M13" i="2"/>
  <c r="O68" i="2"/>
  <c r="L40" i="2"/>
  <c r="N56" i="2"/>
  <c r="M41" i="2"/>
  <c r="N17" i="2"/>
  <c r="K21" i="2"/>
  <c r="O57" i="2"/>
  <c r="K27" i="2"/>
  <c r="O53" i="2"/>
  <c r="M69" i="2"/>
  <c r="M46" i="2"/>
  <c r="N67" i="2"/>
  <c r="M61" i="2"/>
  <c r="N9" i="2"/>
  <c r="N38" i="2"/>
  <c r="M6" i="2"/>
  <c r="O12" i="2"/>
  <c r="J35" i="2"/>
  <c r="N43" i="2"/>
  <c r="M51" i="2"/>
  <c r="N59" i="2"/>
  <c r="O47" i="2"/>
  <c r="K25" i="2"/>
  <c r="N37" i="2"/>
  <c r="J52" i="2"/>
  <c r="M30" i="2"/>
  <c r="O20" i="2"/>
  <c r="N55" i="2"/>
  <c r="J39" i="2"/>
  <c r="K28" i="2"/>
  <c r="N42" i="2"/>
  <c r="N58" i="2"/>
  <c r="M60" i="2"/>
  <c r="K50" i="2"/>
  <c r="O15" i="2"/>
  <c r="N22" i="2"/>
  <c r="J31" i="2"/>
  <c r="K36" i="2"/>
  <c r="K29" i="2"/>
  <c r="L19" i="2"/>
  <c r="M63" i="2"/>
  <c r="J26" i="2"/>
  <c r="J65" i="2"/>
  <c r="L16" i="2"/>
  <c r="O54" i="2"/>
  <c r="J32" i="2"/>
  <c r="L10" i="2"/>
  <c r="M18" i="2"/>
  <c r="L13" i="2"/>
  <c r="N68" i="2"/>
  <c r="O40" i="2"/>
  <c r="M56" i="2"/>
  <c r="K41" i="2"/>
  <c r="M17" i="2"/>
  <c r="L21" i="2"/>
  <c r="J57" i="2"/>
  <c r="J27" i="2"/>
  <c r="J53" i="2"/>
  <c r="L69" i="2"/>
  <c r="L46" i="2"/>
  <c r="J67" i="2"/>
  <c r="L61" i="2"/>
  <c r="J9" i="2"/>
  <c r="M38" i="2"/>
  <c r="L6" i="2"/>
  <c r="K12" i="2"/>
  <c r="K35" i="2"/>
  <c r="L43" i="2"/>
  <c r="O51" i="2"/>
  <c r="J59" i="2"/>
  <c r="N47" i="2"/>
  <c r="M4" i="2"/>
  <c r="J25" i="2"/>
  <c r="M37" i="2"/>
  <c r="J49" i="2"/>
  <c r="L30" i="2"/>
  <c r="N20" i="2"/>
  <c r="O62" i="2"/>
  <c r="O39" i="2"/>
  <c r="J28" i="2"/>
  <c r="L24" i="2"/>
  <c r="O58" i="2"/>
  <c r="O60" i="2"/>
  <c r="K7" i="2"/>
  <c r="N15" i="2"/>
  <c r="M22" i="2"/>
  <c r="L23" i="2"/>
  <c r="O36" i="2"/>
  <c r="J29" i="2"/>
  <c r="N45" i="2"/>
  <c r="O63" i="2"/>
  <c r="O26" i="2"/>
  <c r="J34" i="2"/>
  <c r="O16" i="2"/>
  <c r="M54" i="2"/>
  <c r="K66" i="2"/>
  <c r="O10" i="2"/>
  <c r="N18" i="2"/>
  <c r="M8" i="2"/>
  <c r="J68" i="2"/>
  <c r="N40" i="2"/>
  <c r="K64" i="2"/>
  <c r="J41" i="2"/>
  <c r="K17" i="2"/>
  <c r="O11" i="2"/>
  <c r="N57" i="2"/>
  <c r="O27" i="2"/>
  <c r="M14" i="2"/>
  <c r="O69" i="2"/>
  <c r="K46" i="2"/>
  <c r="N70" i="2"/>
  <c r="O61" i="2"/>
  <c r="M9" i="2"/>
  <c r="J33" i="2"/>
  <c r="O6" i="2"/>
  <c r="N12" i="2"/>
  <c r="N48" i="2"/>
  <c r="M43" i="2"/>
  <c r="L51" i="2"/>
  <c r="N44" i="2"/>
  <c r="M47" i="2"/>
  <c r="L4" i="2"/>
  <c r="O25" i="2"/>
  <c r="L37" i="2"/>
  <c r="N49" i="2"/>
  <c r="N30" i="2"/>
  <c r="J20" i="2"/>
  <c r="N62" i="2"/>
  <c r="K39" i="2"/>
  <c r="O28" i="2"/>
  <c r="K24" i="2"/>
  <c r="J58" i="2"/>
  <c r="L60" i="2"/>
  <c r="O7" i="2"/>
  <c r="J15" i="2"/>
  <c r="J22" i="2"/>
  <c r="J23" i="2"/>
  <c r="N36" i="2"/>
  <c r="O29" i="2"/>
  <c r="M45" i="2"/>
  <c r="K63" i="2"/>
  <c r="N26" i="2"/>
  <c r="O34" i="2"/>
  <c r="K16" i="2"/>
  <c r="N54" i="2"/>
  <c r="N66" i="2"/>
  <c r="K10" i="2"/>
  <c r="J18" i="2"/>
  <c r="L8" i="2"/>
  <c r="M68" i="2"/>
  <c r="M40" i="2"/>
  <c r="N64" i="2"/>
  <c r="O41" i="2"/>
  <c r="L17" i="2"/>
  <c r="K11" i="2"/>
  <c r="K57" i="2"/>
  <c r="M27" i="2"/>
  <c r="L14" i="2"/>
  <c r="K69" i="2"/>
  <c r="J46" i="2"/>
  <c r="J70" i="2"/>
  <c r="K61" i="2"/>
  <c r="L9" i="2"/>
  <c r="N33" i="2"/>
  <c r="K6" i="2"/>
  <c r="J12" i="2"/>
  <c r="M48" i="2"/>
  <c r="K43" i="2"/>
  <c r="K51" i="2"/>
  <c r="L44" i="2"/>
  <c r="L47" i="2"/>
  <c r="O4" i="2"/>
  <c r="L25" i="2"/>
  <c r="O52" i="2"/>
  <c r="O49" i="2"/>
  <c r="K30" i="2"/>
  <c r="M55" i="2"/>
  <c r="J62" i="2"/>
  <c r="N39" i="2"/>
  <c r="M42" i="2"/>
  <c r="J24" i="2"/>
  <c r="M58" i="2"/>
  <c r="J50" i="2"/>
  <c r="N7" i="2"/>
  <c r="M15" i="2"/>
  <c r="O31" i="2"/>
  <c r="O23" i="2"/>
  <c r="M36" i="2"/>
  <c r="N19" i="2"/>
  <c r="L45" i="2"/>
  <c r="N63" i="2"/>
  <c r="L65" i="2"/>
  <c r="N34" i="2"/>
  <c r="N16" i="2"/>
  <c r="N32" i="2"/>
  <c r="J66" i="2"/>
  <c r="N10" i="2"/>
  <c r="O13" i="2"/>
  <c r="O8" i="2"/>
  <c r="K68" i="2"/>
  <c r="L56" i="2"/>
  <c r="J64" i="2"/>
  <c r="L41" i="2"/>
  <c r="J21" i="2"/>
  <c r="N11" i="2"/>
  <c r="M57" i="2"/>
  <c r="N53" i="2"/>
  <c r="O14" i="2"/>
  <c r="N69" i="2"/>
  <c r="L67" i="2"/>
  <c r="O70" i="2"/>
  <c r="N61" i="2"/>
  <c r="L38" i="2"/>
  <c r="M33" i="2"/>
  <c r="N6" i="2"/>
  <c r="O35" i="2"/>
  <c r="L48" i="2"/>
  <c r="J43" i="2"/>
  <c r="L59" i="2"/>
  <c r="K44" i="2"/>
  <c r="K47" i="2"/>
  <c r="K4" i="2"/>
  <c r="N25" i="2"/>
  <c r="M52" i="2"/>
  <c r="M49" i="2"/>
  <c r="J30" i="2"/>
  <c r="K55" i="2"/>
  <c r="K62" i="2"/>
  <c r="M39" i="2"/>
  <c r="L42" i="2"/>
  <c r="O24" i="2"/>
  <c r="L58" i="2"/>
  <c r="O50" i="2"/>
  <c r="J7" i="2"/>
  <c r="L15" i="2"/>
  <c r="N31" i="2"/>
  <c r="K23" i="2"/>
  <c r="L36" i="2"/>
  <c r="K19" i="2"/>
  <c r="K45" i="2"/>
  <c r="J63" i="2"/>
  <c r="O65" i="2"/>
  <c r="M34" i="2"/>
  <c r="J16" i="2"/>
  <c r="M32" i="2"/>
  <c r="O66" i="2"/>
  <c r="J10" i="2"/>
  <c r="K13" i="2"/>
  <c r="K8" i="2"/>
  <c r="L68" i="2"/>
  <c r="K56" i="2"/>
  <c r="M64" i="2"/>
  <c r="N41" i="2"/>
  <c r="O21" i="2"/>
  <c r="J11" i="2"/>
  <c r="L57" i="2"/>
  <c r="M53" i="2"/>
  <c r="K14" i="2"/>
  <c r="J69" i="2"/>
  <c r="M67" i="2"/>
  <c r="M70" i="2"/>
  <c r="J61" i="2"/>
  <c r="J38" i="2"/>
  <c r="L33" i="2"/>
  <c r="J6" i="2"/>
  <c r="N35" i="2"/>
  <c r="K48" i="2"/>
  <c r="O43" i="2"/>
  <c r="O59" i="2"/>
  <c r="M44" i="2"/>
  <c r="J47" i="2"/>
  <c r="C25" i="10"/>
  <c r="C28" i="10"/>
  <c r="E3" i="8"/>
  <c r="H181" i="9" s="1"/>
  <c r="E4" i="8"/>
  <c r="H182" i="9" s="1"/>
  <c r="AJ42" i="5"/>
  <c r="T42" i="5"/>
  <c r="D42" i="5"/>
  <c r="AD42" i="5"/>
  <c r="N42" i="5"/>
  <c r="Z42" i="5"/>
  <c r="F42" i="5"/>
  <c r="X42" i="5"/>
  <c r="B42" i="5"/>
  <c r="V42" i="5"/>
  <c r="R42" i="5"/>
  <c r="AL42" i="5"/>
  <c r="P42" i="5"/>
  <c r="AH42" i="5"/>
  <c r="L42" i="5"/>
  <c r="AF42" i="5"/>
  <c r="AB42" i="5"/>
  <c r="J42" i="5"/>
  <c r="A44" i="5" a="1"/>
  <c r="A44" i="5" s="1"/>
  <c r="H42" i="5"/>
  <c r="K23" i="10"/>
  <c r="AL43" i="5"/>
  <c r="V43" i="5"/>
  <c r="F43" i="5"/>
  <c r="AF43" i="5"/>
  <c r="P43" i="5"/>
  <c r="X43" i="5"/>
  <c r="B43" i="5"/>
  <c r="T43" i="5"/>
  <c r="R43" i="5"/>
  <c r="AJ43" i="5"/>
  <c r="N43" i="5"/>
  <c r="AH43" i="5"/>
  <c r="L43" i="5"/>
  <c r="AD43" i="5"/>
  <c r="J43" i="5"/>
  <c r="AB43" i="5"/>
  <c r="Z43" i="5"/>
  <c r="A45" i="5" a="1"/>
  <c r="A45" i="5" s="1"/>
  <c r="H43" i="5"/>
  <c r="D43" i="5"/>
  <c r="D225" i="9"/>
  <c r="G1" i="8"/>
  <c r="J225" i="9" s="1"/>
  <c r="H227" i="9"/>
  <c r="A7" i="8"/>
  <c r="H225" i="9"/>
  <c r="C9" i="6"/>
  <c r="J226" i="9"/>
  <c r="J2" i="8"/>
  <c r="L226" i="9" s="1"/>
  <c r="I228" i="9"/>
  <c r="A8" i="8"/>
  <c r="I26" i="10"/>
  <c r="J26" i="10" a="1"/>
  <c r="J1" i="8" l="1"/>
  <c r="L225" i="9" s="1"/>
  <c r="J26" i="10"/>
  <c r="A33" i="10"/>
  <c r="C227" i="9"/>
  <c r="Q227" i="9" s="1"/>
  <c r="P227" i="9" s="1"/>
  <c r="H7" i="8" a="1"/>
  <c r="H7" i="8" s="1"/>
  <c r="D227" i="9" s="1"/>
  <c r="G7" i="8"/>
  <c r="C228" i="9"/>
  <c r="Q228" i="9" s="1"/>
  <c r="P228" i="9" s="1"/>
  <c r="H8" i="8" a="1"/>
  <c r="H8" i="8" s="1"/>
  <c r="D228" i="9" s="1"/>
  <c r="G8" i="8"/>
  <c r="Z45" i="5"/>
  <c r="J45" i="5"/>
  <c r="AJ45" i="5"/>
  <c r="T45" i="5"/>
  <c r="D45" i="5"/>
  <c r="AL45" i="5"/>
  <c r="P45" i="5"/>
  <c r="AH45" i="5"/>
  <c r="N45" i="5"/>
  <c r="AF45" i="5"/>
  <c r="L45" i="5"/>
  <c r="AD45" i="5"/>
  <c r="H45" i="5"/>
  <c r="A47" i="5" a="1"/>
  <c r="A47" i="5" s="1"/>
  <c r="AB45" i="5"/>
  <c r="F45" i="5"/>
  <c r="X45" i="5"/>
  <c r="B45" i="5"/>
  <c r="V45" i="5"/>
  <c r="R45" i="5"/>
  <c r="X44" i="5"/>
  <c r="H44" i="5"/>
  <c r="AH44" i="5"/>
  <c r="R44" i="5"/>
  <c r="B44" i="5"/>
  <c r="T44" i="5"/>
  <c r="AL44" i="5"/>
  <c r="P44" i="5"/>
  <c r="AJ44" i="5"/>
  <c r="N44" i="5"/>
  <c r="AF44" i="5"/>
  <c r="L44" i="5"/>
  <c r="AD44" i="5"/>
  <c r="J44" i="5"/>
  <c r="A46" i="5" a="1"/>
  <c r="A46" i="5" s="1"/>
  <c r="AB44" i="5"/>
  <c r="F44" i="5"/>
  <c r="Z44" i="5"/>
  <c r="V44" i="5"/>
  <c r="D44" i="5"/>
  <c r="B30" i="10" a="1"/>
  <c r="B30" i="10" s="1"/>
  <c r="F27" i="10" a="1"/>
  <c r="F27" i="10" s="1"/>
  <c r="G25" i="10" a="1"/>
  <c r="G25" i="10" s="1"/>
  <c r="C30" i="10" a="1"/>
  <c r="C30" i="10" s="1"/>
  <c r="D31" i="10" s="1"/>
  <c r="F28" i="10" a="1"/>
  <c r="F28" i="10" s="1"/>
  <c r="C27" i="10" a="1"/>
  <c r="C27" i="10" s="1"/>
  <c r="F31" i="10" a="1"/>
  <c r="F31" i="10" s="1"/>
  <c r="F30" i="10" a="1"/>
  <c r="F30" i="10" s="1"/>
  <c r="B25" i="10"/>
  <c r="D30" i="10" a="1"/>
  <c r="D30" i="10" s="1"/>
  <c r="F26" i="10" a="1"/>
  <c r="F26" i="10" s="1"/>
  <c r="J28" i="10" a="1"/>
  <c r="J25" i="10" a="1"/>
  <c r="J25" i="10" l="1"/>
  <c r="J28" i="10"/>
  <c r="J227" i="9"/>
  <c r="J7" i="8"/>
  <c r="L227" i="9" s="1"/>
  <c r="A48" i="5" a="1"/>
  <c r="A48" i="5" s="1"/>
  <c r="AB46" i="5"/>
  <c r="L46" i="5"/>
  <c r="AL46" i="5"/>
  <c r="V46" i="5"/>
  <c r="F46" i="5"/>
  <c r="AH46" i="5"/>
  <c r="N46" i="5"/>
  <c r="AF46" i="5"/>
  <c r="J46" i="5"/>
  <c r="AD46" i="5"/>
  <c r="H46" i="5"/>
  <c r="Z46" i="5"/>
  <c r="D46" i="5"/>
  <c r="X46" i="5"/>
  <c r="B46" i="5"/>
  <c r="T46" i="5"/>
  <c r="R46" i="5"/>
  <c r="P46" i="5"/>
  <c r="AJ46" i="5"/>
  <c r="B31" i="10"/>
  <c r="AD47" i="5"/>
  <c r="N47" i="5"/>
  <c r="X47" i="5"/>
  <c r="H47" i="5"/>
  <c r="AF47" i="5"/>
  <c r="J47" i="5"/>
  <c r="A49" i="5" a="1"/>
  <c r="A49" i="5" s="1"/>
  <c r="AB47" i="5"/>
  <c r="F47" i="5"/>
  <c r="Z47" i="5"/>
  <c r="D47" i="5"/>
  <c r="V47" i="5"/>
  <c r="B47" i="5"/>
  <c r="T47" i="5"/>
  <c r="AL47" i="5"/>
  <c r="R47" i="5"/>
  <c r="AJ47" i="5"/>
  <c r="AH47" i="5"/>
  <c r="P47" i="5"/>
  <c r="L47" i="5"/>
  <c r="J228" i="9"/>
  <c r="J8" i="8"/>
  <c r="L228" i="9" s="1"/>
  <c r="B34" i="10"/>
  <c r="C34" i="10" a="1"/>
  <c r="C34" i="10" l="1"/>
  <c r="H33" i="10"/>
  <c r="AF48" i="5"/>
  <c r="P48" i="5"/>
  <c r="Z48" i="5"/>
  <c r="J48" i="5"/>
  <c r="A50" i="5" a="1"/>
  <c r="A50" i="5" s="1"/>
  <c r="AB48" i="5"/>
  <c r="F48" i="5"/>
  <c r="X48" i="5"/>
  <c r="D48" i="5"/>
  <c r="V48" i="5"/>
  <c r="B48" i="5"/>
  <c r="T48" i="5"/>
  <c r="AL48" i="5"/>
  <c r="R48" i="5"/>
  <c r="AJ48" i="5"/>
  <c r="N48" i="5"/>
  <c r="L48" i="5"/>
  <c r="H48" i="5"/>
  <c r="AH48" i="5"/>
  <c r="AD48" i="5"/>
  <c r="AH49" i="5"/>
  <c r="R49" i="5"/>
  <c r="B49" i="5"/>
  <c r="A51" i="5" a="1"/>
  <c r="A51" i="5" s="1"/>
  <c r="AB49" i="5"/>
  <c r="L49" i="5"/>
  <c r="X49" i="5"/>
  <c r="D49" i="5"/>
  <c r="V49" i="5"/>
  <c r="T49" i="5"/>
  <c r="AL49" i="5"/>
  <c r="P49" i="5"/>
  <c r="AJ49" i="5"/>
  <c r="N49" i="5"/>
  <c r="AF49" i="5"/>
  <c r="J49" i="5"/>
  <c r="AD49" i="5"/>
  <c r="Z49" i="5"/>
  <c r="H49" i="5"/>
  <c r="F49" i="5"/>
  <c r="I30" i="10" a="1"/>
  <c r="I30" i="10" s="1"/>
  <c r="M31" i="10" a="1"/>
  <c r="M31" i="10" s="1"/>
  <c r="M26" i="10" a="1"/>
  <c r="M26" i="10" s="1"/>
  <c r="M30" i="10" a="1"/>
  <c r="M30" i="10" s="1"/>
  <c r="K30" i="10" a="1"/>
  <c r="K30" i="10" s="1"/>
  <c r="M28" i="10" a="1"/>
  <c r="M28" i="10" s="1"/>
  <c r="I25" i="10"/>
  <c r="J30" i="10" a="1"/>
  <c r="J30" i="10" s="1"/>
  <c r="K31" i="10" s="1"/>
  <c r="M27" i="10" a="1"/>
  <c r="M27" i="10" s="1"/>
  <c r="J27" i="10" a="1"/>
  <c r="J27" i="10" s="1"/>
  <c r="N25" i="10" a="1"/>
  <c r="N25" i="10" s="1"/>
  <c r="C36" i="10" a="1"/>
  <c r="C33" i="10" a="1"/>
  <c r="C33" i="10" l="1"/>
  <c r="C36" i="10"/>
  <c r="I31" i="10"/>
  <c r="AL51" i="5"/>
  <c r="V51" i="5"/>
  <c r="F51" i="5"/>
  <c r="AF51" i="5"/>
  <c r="P51" i="5"/>
  <c r="R51" i="5"/>
  <c r="AJ51" i="5"/>
  <c r="N51" i="5"/>
  <c r="AH51" i="5"/>
  <c r="L51" i="5"/>
  <c r="AD51" i="5"/>
  <c r="J51" i="5"/>
  <c r="A53" i="5" a="1"/>
  <c r="A53" i="5" s="1"/>
  <c r="AB51" i="5"/>
  <c r="H51" i="5"/>
  <c r="Z51" i="5"/>
  <c r="D51" i="5"/>
  <c r="X51" i="5"/>
  <c r="T51" i="5"/>
  <c r="B51" i="5"/>
  <c r="AJ50" i="5"/>
  <c r="T50" i="5"/>
  <c r="D50" i="5"/>
  <c r="AD50" i="5"/>
  <c r="N50" i="5"/>
  <c r="V50" i="5"/>
  <c r="R50" i="5"/>
  <c r="AL50" i="5"/>
  <c r="P50" i="5"/>
  <c r="AH50" i="5"/>
  <c r="L50" i="5"/>
  <c r="AF50" i="5"/>
  <c r="J50" i="5"/>
  <c r="A52" i="5" a="1"/>
  <c r="A52" i="5" s="1"/>
  <c r="AB50" i="5"/>
  <c r="H50" i="5"/>
  <c r="F50" i="5"/>
  <c r="B50" i="5"/>
  <c r="Z50" i="5"/>
  <c r="X50" i="5"/>
  <c r="I34" i="10"/>
  <c r="J34" i="10" a="1"/>
  <c r="J34" i="10" l="1"/>
  <c r="A41" i="10"/>
  <c r="X52" i="5"/>
  <c r="H52" i="5"/>
  <c r="AH52" i="5"/>
  <c r="R52" i="5"/>
  <c r="B52" i="5"/>
  <c r="AJ52" i="5"/>
  <c r="N52" i="5"/>
  <c r="AF52" i="5"/>
  <c r="L52" i="5"/>
  <c r="AD52" i="5"/>
  <c r="J52" i="5"/>
  <c r="A54" i="5" a="1"/>
  <c r="A54" i="5" s="1"/>
  <c r="AB52" i="5"/>
  <c r="F52" i="5"/>
  <c r="Z52" i="5"/>
  <c r="D52" i="5"/>
  <c r="V52" i="5"/>
  <c r="AL52" i="5"/>
  <c r="T52" i="5"/>
  <c r="P52" i="5"/>
  <c r="Z53" i="5"/>
  <c r="J53" i="5"/>
  <c r="AJ53" i="5"/>
  <c r="T53" i="5"/>
  <c r="D53" i="5"/>
  <c r="AF53" i="5"/>
  <c r="L53" i="5"/>
  <c r="AD53" i="5"/>
  <c r="H53" i="5"/>
  <c r="A55" i="5" a="1"/>
  <c r="A55" i="5" s="1"/>
  <c r="AB53" i="5"/>
  <c r="F53" i="5"/>
  <c r="X53" i="5"/>
  <c r="B53" i="5"/>
  <c r="V53" i="5"/>
  <c r="R53" i="5"/>
  <c r="AL53" i="5"/>
  <c r="AH53" i="5"/>
  <c r="P53" i="5"/>
  <c r="N53" i="5"/>
  <c r="F38" i="10" a="1"/>
  <c r="F38" i="10" s="1"/>
  <c r="F35" i="10" a="1"/>
  <c r="F35" i="10" s="1"/>
  <c r="G33" i="10" a="1"/>
  <c r="G33" i="10" s="1"/>
  <c r="D38" i="10" a="1"/>
  <c r="D38" i="10" s="1"/>
  <c r="F39" i="10" a="1"/>
  <c r="F39" i="10" s="1"/>
  <c r="F36" i="10" a="1"/>
  <c r="F36" i="10" s="1"/>
  <c r="C35" i="10" a="1"/>
  <c r="C35" i="10" s="1"/>
  <c r="F34" i="10" a="1"/>
  <c r="F34" i="10" s="1"/>
  <c r="B33" i="10"/>
  <c r="C38" i="10" a="1"/>
  <c r="C38" i="10" s="1"/>
  <c r="B39" i="10" s="1"/>
  <c r="B38" i="10" a="1"/>
  <c r="B38" i="10" s="1"/>
  <c r="J36" i="10" a="1"/>
  <c r="J33" i="10" a="1"/>
  <c r="D39" i="10" l="1"/>
  <c r="J33" i="10"/>
  <c r="J36" i="10"/>
  <c r="A56" i="5" a="1"/>
  <c r="A56" i="5" s="1"/>
  <c r="AB54" i="5"/>
  <c r="L54" i="5"/>
  <c r="AL54" i="5"/>
  <c r="V54" i="5"/>
  <c r="F54" i="5"/>
  <c r="AD54" i="5"/>
  <c r="H54" i="5"/>
  <c r="Z54" i="5"/>
  <c r="D54" i="5"/>
  <c r="X54" i="5"/>
  <c r="B54" i="5"/>
  <c r="T54" i="5"/>
  <c r="R54" i="5"/>
  <c r="AJ54" i="5"/>
  <c r="P54" i="5"/>
  <c r="AH54" i="5"/>
  <c r="AF54" i="5"/>
  <c r="N54" i="5"/>
  <c r="J54" i="5"/>
  <c r="AD55" i="5"/>
  <c r="N55" i="5"/>
  <c r="X55" i="5"/>
  <c r="H55" i="5"/>
  <c r="Z55" i="5"/>
  <c r="D55" i="5"/>
  <c r="V55" i="5"/>
  <c r="B55" i="5"/>
  <c r="T55" i="5"/>
  <c r="AL55" i="5"/>
  <c r="R55" i="5"/>
  <c r="AJ55" i="5"/>
  <c r="P55" i="5"/>
  <c r="AH55" i="5"/>
  <c r="L55" i="5"/>
  <c r="AF55" i="5"/>
  <c r="AB55" i="5"/>
  <c r="J55" i="5"/>
  <c r="A57" i="5" a="1"/>
  <c r="A57" i="5" s="1"/>
  <c r="F55" i="5"/>
  <c r="B42" i="10"/>
  <c r="C42" i="10" a="1"/>
  <c r="C42" i="10" l="1"/>
  <c r="H41" i="10"/>
  <c r="AF56" i="5"/>
  <c r="P56" i="5"/>
  <c r="Z56" i="5"/>
  <c r="J56" i="5"/>
  <c r="V56" i="5"/>
  <c r="B56" i="5"/>
  <c r="T56" i="5"/>
  <c r="AL56" i="5"/>
  <c r="R56" i="5"/>
  <c r="AJ56" i="5"/>
  <c r="N56" i="5"/>
  <c r="AH56" i="5"/>
  <c r="L56" i="5"/>
  <c r="AD56" i="5"/>
  <c r="H56" i="5"/>
  <c r="AB56" i="5"/>
  <c r="X56" i="5"/>
  <c r="A58" i="5" a="1"/>
  <c r="A58" i="5" s="1"/>
  <c r="F56" i="5"/>
  <c r="D56" i="5"/>
  <c r="AH57" i="5"/>
  <c r="R57" i="5"/>
  <c r="B57" i="5"/>
  <c r="A59" i="5" a="1"/>
  <c r="A59" i="5" s="1"/>
  <c r="AB57" i="5"/>
  <c r="L57" i="5"/>
  <c r="T57" i="5"/>
  <c r="AL57" i="5"/>
  <c r="P57" i="5"/>
  <c r="AJ57" i="5"/>
  <c r="N57" i="5"/>
  <c r="AF57" i="5"/>
  <c r="J57" i="5"/>
  <c r="AD57" i="5"/>
  <c r="H57" i="5"/>
  <c r="Z57" i="5"/>
  <c r="F57" i="5"/>
  <c r="X57" i="5"/>
  <c r="V57" i="5"/>
  <c r="D57" i="5"/>
  <c r="M39" i="10" a="1"/>
  <c r="M39" i="10" s="1"/>
  <c r="M38" i="10" a="1"/>
  <c r="M38" i="10" s="1"/>
  <c r="M36" i="10" a="1"/>
  <c r="M36" i="10" s="1"/>
  <c r="M34" i="10" a="1"/>
  <c r="M34" i="10" s="1"/>
  <c r="K38" i="10" a="1"/>
  <c r="K38" i="10" s="1"/>
  <c r="I33" i="10"/>
  <c r="J38" i="10" a="1"/>
  <c r="J38" i="10" s="1"/>
  <c r="I39" i="10" s="1"/>
  <c r="I38" i="10" a="1"/>
  <c r="I38" i="10" s="1"/>
  <c r="M35" i="10" a="1"/>
  <c r="M35" i="10" s="1"/>
  <c r="J35" i="10" a="1"/>
  <c r="J35" i="10" s="1"/>
  <c r="N33" i="10" a="1"/>
  <c r="N33" i="10" s="1"/>
  <c r="C41" i="10" a="1"/>
  <c r="C44" i="10" a="1"/>
  <c r="C44" i="10" l="1"/>
  <c r="C41" i="10"/>
  <c r="AL59" i="5"/>
  <c r="V59" i="5"/>
  <c r="F59" i="5"/>
  <c r="AF59" i="5"/>
  <c r="P59" i="5"/>
  <c r="AH59" i="5"/>
  <c r="L59" i="5"/>
  <c r="AD59" i="5"/>
  <c r="J59" i="5"/>
  <c r="A61" i="5" a="1"/>
  <c r="A61" i="5" s="1"/>
  <c r="AB59" i="5"/>
  <c r="H59" i="5"/>
  <c r="Z59" i="5"/>
  <c r="D59" i="5"/>
  <c r="X59" i="5"/>
  <c r="B59" i="5"/>
  <c r="T59" i="5"/>
  <c r="R59" i="5"/>
  <c r="N59" i="5"/>
  <c r="AJ59" i="5"/>
  <c r="AJ58" i="5"/>
  <c r="T58" i="5"/>
  <c r="D58" i="5"/>
  <c r="AD58" i="5"/>
  <c r="N58" i="5"/>
  <c r="AL58" i="5"/>
  <c r="P58" i="5"/>
  <c r="AH58" i="5"/>
  <c r="L58" i="5"/>
  <c r="AF58" i="5"/>
  <c r="J58" i="5"/>
  <c r="A60" i="5" a="1"/>
  <c r="A60" i="5" s="1"/>
  <c r="AB58" i="5"/>
  <c r="H58" i="5"/>
  <c r="Z58" i="5"/>
  <c r="F58" i="5"/>
  <c r="X58" i="5"/>
  <c r="B58" i="5"/>
  <c r="V58" i="5"/>
  <c r="R58" i="5"/>
  <c r="K39" i="10"/>
  <c r="I42" i="10"/>
  <c r="J42" i="10" a="1"/>
  <c r="J42" i="10" l="1"/>
  <c r="P1" i="10"/>
  <c r="Z61" i="5"/>
  <c r="J61" i="5"/>
  <c r="AJ61" i="5"/>
  <c r="T61" i="5"/>
  <c r="D61" i="5"/>
  <c r="A63" i="5" a="1"/>
  <c r="A63" i="5" s="1"/>
  <c r="AB61" i="5"/>
  <c r="F61" i="5"/>
  <c r="X61" i="5"/>
  <c r="B61" i="5"/>
  <c r="V61" i="5"/>
  <c r="R61" i="5"/>
  <c r="AL61" i="5"/>
  <c r="P61" i="5"/>
  <c r="AH61" i="5"/>
  <c r="N61" i="5"/>
  <c r="L61" i="5"/>
  <c r="H61" i="5"/>
  <c r="AF61" i="5"/>
  <c r="AD61" i="5"/>
  <c r="X60" i="5"/>
  <c r="H60" i="5"/>
  <c r="AH60" i="5"/>
  <c r="R60" i="5"/>
  <c r="B60" i="5"/>
  <c r="AD60" i="5"/>
  <c r="J60" i="5"/>
  <c r="A62" i="5" a="1"/>
  <c r="A62" i="5" s="1"/>
  <c r="AB60" i="5"/>
  <c r="F60" i="5"/>
  <c r="Z60" i="5"/>
  <c r="D60" i="5"/>
  <c r="V60" i="5"/>
  <c r="T60" i="5"/>
  <c r="AL60" i="5"/>
  <c r="P60" i="5"/>
  <c r="AJ60" i="5"/>
  <c r="AF60" i="5"/>
  <c r="N60" i="5"/>
  <c r="L60" i="5"/>
  <c r="F46" i="10" a="1"/>
  <c r="F46" i="10" s="1"/>
  <c r="F42" i="10" a="1"/>
  <c r="F42" i="10" s="1"/>
  <c r="F47" i="10" a="1"/>
  <c r="F47" i="10" s="1"/>
  <c r="B46" i="10" a="1"/>
  <c r="B46" i="10" s="1"/>
  <c r="C43" i="10" a="1"/>
  <c r="C43" i="10" s="1"/>
  <c r="G41" i="10" a="1"/>
  <c r="G41" i="10" s="1"/>
  <c r="F44" i="10" a="1"/>
  <c r="F44" i="10" s="1"/>
  <c r="C46" i="10" a="1"/>
  <c r="C46" i="10" s="1"/>
  <c r="D47" i="10" s="1"/>
  <c r="D46" i="10" a="1"/>
  <c r="D46" i="10" s="1"/>
  <c r="B41" i="10"/>
  <c r="F43" i="10" a="1"/>
  <c r="F43" i="10" s="1"/>
  <c r="J44" i="10" a="1"/>
  <c r="J41" i="10" a="1"/>
  <c r="J41" i="10" l="1"/>
  <c r="J44" i="10"/>
  <c r="B47" i="10"/>
  <c r="A64" i="5" a="1"/>
  <c r="A64" i="5" s="1"/>
  <c r="AB62" i="5"/>
  <c r="L62" i="5"/>
  <c r="AL62" i="5"/>
  <c r="V62" i="5"/>
  <c r="F62" i="5"/>
  <c r="X62" i="5"/>
  <c r="B62" i="5"/>
  <c r="T62" i="5"/>
  <c r="R62" i="5"/>
  <c r="AJ62" i="5"/>
  <c r="P62" i="5"/>
  <c r="AH62" i="5"/>
  <c r="N62" i="5"/>
  <c r="AF62" i="5"/>
  <c r="J62" i="5"/>
  <c r="AD62" i="5"/>
  <c r="Z62" i="5"/>
  <c r="H62" i="5"/>
  <c r="D62" i="5"/>
  <c r="AD63" i="5"/>
  <c r="N63" i="5"/>
  <c r="X63" i="5"/>
  <c r="H63" i="5"/>
  <c r="T63" i="5"/>
  <c r="AL63" i="5"/>
  <c r="R63" i="5"/>
  <c r="AJ63" i="5"/>
  <c r="P63" i="5"/>
  <c r="AH63" i="5"/>
  <c r="L63" i="5"/>
  <c r="AF63" i="5"/>
  <c r="J63" i="5"/>
  <c r="A65" i="5" a="1"/>
  <c r="A65" i="5" s="1"/>
  <c r="AB63" i="5"/>
  <c r="F63" i="5"/>
  <c r="D63" i="5"/>
  <c r="B63" i="5"/>
  <c r="Z63" i="5"/>
  <c r="V63" i="5"/>
  <c r="Q2" i="10"/>
  <c r="R2" i="10" a="1"/>
  <c r="R2" i="10" l="1"/>
  <c r="W1" i="10"/>
  <c r="AH65" i="5"/>
  <c r="R65" i="5"/>
  <c r="B65" i="5"/>
  <c r="A67" i="5" a="1"/>
  <c r="A67" i="5" s="1"/>
  <c r="AB65" i="5"/>
  <c r="L65" i="5"/>
  <c r="AJ65" i="5"/>
  <c r="N65" i="5"/>
  <c r="AF65" i="5"/>
  <c r="J65" i="5"/>
  <c r="AD65" i="5"/>
  <c r="H65" i="5"/>
  <c r="Z65" i="5"/>
  <c r="F65" i="5"/>
  <c r="X65" i="5"/>
  <c r="D65" i="5"/>
  <c r="V65" i="5"/>
  <c r="AL65" i="5"/>
  <c r="T65" i="5"/>
  <c r="P65" i="5"/>
  <c r="AF64" i="5"/>
  <c r="P64" i="5"/>
  <c r="Z64" i="5"/>
  <c r="J64" i="5"/>
  <c r="AL64" i="5"/>
  <c r="R64" i="5"/>
  <c r="AJ64" i="5"/>
  <c r="N64" i="5"/>
  <c r="AH64" i="5"/>
  <c r="L64" i="5"/>
  <c r="AD64" i="5"/>
  <c r="H64" i="5"/>
  <c r="A66" i="5" a="1"/>
  <c r="A66" i="5" s="1"/>
  <c r="AB64" i="5"/>
  <c r="F64" i="5"/>
  <c r="X64" i="5"/>
  <c r="D64" i="5"/>
  <c r="V64" i="5"/>
  <c r="T64" i="5"/>
  <c r="B64" i="5"/>
  <c r="M47" i="10" a="1"/>
  <c r="M47" i="10" s="1"/>
  <c r="M46" i="10" a="1"/>
  <c r="M46" i="10" s="1"/>
  <c r="M44" i="10" a="1"/>
  <c r="M44" i="10" s="1"/>
  <c r="K46" i="10" a="1"/>
  <c r="K46" i="10" s="1"/>
  <c r="J46" i="10" a="1"/>
  <c r="J46" i="10" s="1"/>
  <c r="K47" i="10" s="1"/>
  <c r="N41" i="10" a="1"/>
  <c r="N41" i="10" s="1"/>
  <c r="M43" i="10" a="1"/>
  <c r="M43" i="10" s="1"/>
  <c r="I41" i="10"/>
  <c r="I46" i="10" a="1"/>
  <c r="I46" i="10" s="1"/>
  <c r="J43" i="10" a="1"/>
  <c r="J43" i="10" s="1"/>
  <c r="M42" i="10" a="1"/>
  <c r="M42" i="10" s="1"/>
  <c r="R4" i="10" a="1"/>
  <c r="R1" i="10" a="1"/>
  <c r="I47" i="10" l="1"/>
  <c r="R1" i="10"/>
  <c r="R4" i="10"/>
  <c r="AL67" i="5"/>
  <c r="V67" i="5"/>
  <c r="F67" i="5"/>
  <c r="AF67" i="5"/>
  <c r="P67" i="5"/>
  <c r="AJ67" i="5"/>
  <c r="N67" i="5"/>
  <c r="AH67" i="5"/>
  <c r="L67" i="5"/>
  <c r="A69" i="5" a="1"/>
  <c r="A69" i="5" s="1"/>
  <c r="H67" i="5"/>
  <c r="AD67" i="5"/>
  <c r="D67" i="5"/>
  <c r="AB67" i="5"/>
  <c r="B67" i="5"/>
  <c r="Z67" i="5"/>
  <c r="X67" i="5"/>
  <c r="T67" i="5"/>
  <c r="R67" i="5"/>
  <c r="J67" i="5"/>
  <c r="AJ66" i="5"/>
  <c r="T66" i="5"/>
  <c r="D66" i="5"/>
  <c r="AD66" i="5"/>
  <c r="N66" i="5"/>
  <c r="AF66" i="5"/>
  <c r="J66" i="5"/>
  <c r="AB66" i="5"/>
  <c r="H66" i="5"/>
  <c r="Z66" i="5"/>
  <c r="F66" i="5"/>
  <c r="X66" i="5"/>
  <c r="B66" i="5"/>
  <c r="V66" i="5"/>
  <c r="A68" i="5" a="1"/>
  <c r="A68" i="5" s="1"/>
  <c r="R66" i="5"/>
  <c r="AL66" i="5"/>
  <c r="AH66" i="5"/>
  <c r="P66" i="5"/>
  <c r="L66" i="5"/>
  <c r="X2" i="10"/>
  <c r="Y2" i="10" a="1"/>
  <c r="Y2" i="10" l="1"/>
  <c r="P9" i="10"/>
  <c r="X68" i="5"/>
  <c r="H68" i="5"/>
  <c r="AH68" i="5"/>
  <c r="R68" i="5"/>
  <c r="B68" i="5"/>
  <c r="AF68" i="5"/>
  <c r="L68" i="5"/>
  <c r="AD68" i="5"/>
  <c r="J68" i="5"/>
  <c r="T68" i="5"/>
  <c r="P68" i="5"/>
  <c r="N68" i="5"/>
  <c r="A70" i="5" a="1"/>
  <c r="A70" i="5" s="1"/>
  <c r="AL68" i="5"/>
  <c r="F68" i="5"/>
  <c r="AJ68" i="5"/>
  <c r="D68" i="5"/>
  <c r="AB68" i="5"/>
  <c r="Z68" i="5"/>
  <c r="V68" i="5"/>
  <c r="Z69" i="5"/>
  <c r="J69" i="5"/>
  <c r="AJ69" i="5"/>
  <c r="T69" i="5"/>
  <c r="D69" i="5"/>
  <c r="AD69" i="5"/>
  <c r="H69" i="5"/>
  <c r="A71" i="5" a="1"/>
  <c r="A71" i="5" s="1"/>
  <c r="AB69" i="5"/>
  <c r="F69" i="5"/>
  <c r="AF69" i="5"/>
  <c r="X69" i="5"/>
  <c r="V69" i="5"/>
  <c r="R69" i="5"/>
  <c r="P69" i="5"/>
  <c r="N69" i="5"/>
  <c r="L69" i="5"/>
  <c r="B69" i="5"/>
  <c r="AL69" i="5"/>
  <c r="AH69" i="5"/>
  <c r="R6" i="10" a="1"/>
  <c r="R6" i="10" s="1"/>
  <c r="S7" i="10" s="1"/>
  <c r="U4" i="10" a="1"/>
  <c r="U4" i="10" s="1"/>
  <c r="Q6" i="10" a="1"/>
  <c r="Q6" i="10" s="1"/>
  <c r="U3" i="10" a="1"/>
  <c r="U3" i="10" s="1"/>
  <c r="U2" i="10" a="1"/>
  <c r="U2" i="10" s="1"/>
  <c r="S6" i="10" a="1"/>
  <c r="S6" i="10" s="1"/>
  <c r="Q1" i="10"/>
  <c r="R3" i="10" a="1"/>
  <c r="R3" i="10" s="1"/>
  <c r="U6" i="10" a="1"/>
  <c r="U6" i="10" s="1"/>
  <c r="U7" i="10" a="1"/>
  <c r="U7" i="10" s="1"/>
  <c r="V1" i="10" a="1"/>
  <c r="V1" i="10" s="1"/>
  <c r="Y4" i="10" a="1"/>
  <c r="Y1" i="10" a="1"/>
  <c r="Y1" i="10" l="1"/>
  <c r="Y4" i="10"/>
  <c r="AD71" i="5"/>
  <c r="N71" i="5"/>
  <c r="X71" i="5"/>
  <c r="H71" i="5"/>
  <c r="V71" i="5"/>
  <c r="B71" i="5"/>
  <c r="T71" i="5"/>
  <c r="Z71" i="5"/>
  <c r="R71" i="5"/>
  <c r="P71" i="5"/>
  <c r="AL71" i="5"/>
  <c r="L71" i="5"/>
  <c r="AJ71" i="5"/>
  <c r="J71" i="5"/>
  <c r="A73" i="5" a="1"/>
  <c r="A73" i="5" s="1"/>
  <c r="AH71" i="5"/>
  <c r="F71" i="5"/>
  <c r="AF71" i="5"/>
  <c r="AB71" i="5"/>
  <c r="D71" i="5"/>
  <c r="Q7" i="10"/>
  <c r="A72" i="5" a="1"/>
  <c r="A72" i="5" s="1"/>
  <c r="AB70" i="5"/>
  <c r="L70" i="5"/>
  <c r="AL70" i="5"/>
  <c r="V70" i="5"/>
  <c r="F70" i="5"/>
  <c r="Z70" i="5"/>
  <c r="D70" i="5"/>
  <c r="X70" i="5"/>
  <c r="B70" i="5"/>
  <c r="N70" i="5"/>
  <c r="AJ70" i="5"/>
  <c r="J70" i="5"/>
  <c r="AH70" i="5"/>
  <c r="H70" i="5"/>
  <c r="AF70" i="5"/>
  <c r="AD70" i="5"/>
  <c r="T70" i="5"/>
  <c r="R70" i="5"/>
  <c r="P70" i="5"/>
  <c r="Q10" i="10"/>
  <c r="R10" i="10" a="1"/>
  <c r="R10" i="10" l="1"/>
  <c r="W9" i="10"/>
  <c r="AF72" i="5"/>
  <c r="P72" i="5"/>
  <c r="Z72" i="5"/>
  <c r="J72" i="5"/>
  <c r="T72" i="5"/>
  <c r="AL72" i="5"/>
  <c r="R72" i="5"/>
  <c r="A74" i="5" a="1"/>
  <c r="A74" i="5" s="1"/>
  <c r="AH72" i="5"/>
  <c r="F72" i="5"/>
  <c r="AD72" i="5"/>
  <c r="D72" i="5"/>
  <c r="AB72" i="5"/>
  <c r="B72" i="5"/>
  <c r="X72" i="5"/>
  <c r="V72" i="5"/>
  <c r="N72" i="5"/>
  <c r="AJ72" i="5"/>
  <c r="L72" i="5"/>
  <c r="H72" i="5"/>
  <c r="AH73" i="5"/>
  <c r="R73" i="5"/>
  <c r="B73" i="5"/>
  <c r="A75" i="5" a="1"/>
  <c r="A75" i="5" s="1"/>
  <c r="AB73" i="5"/>
  <c r="L73" i="5"/>
  <c r="AL73" i="5"/>
  <c r="P73" i="5"/>
  <c r="AJ73" i="5"/>
  <c r="N73" i="5"/>
  <c r="T73" i="5"/>
  <c r="J73" i="5"/>
  <c r="H73" i="5"/>
  <c r="AF73" i="5"/>
  <c r="F73" i="5"/>
  <c r="AD73" i="5"/>
  <c r="D73" i="5"/>
  <c r="Z73" i="5"/>
  <c r="X73" i="5"/>
  <c r="V73" i="5"/>
  <c r="Y6" i="10" a="1"/>
  <c r="Y6" i="10" s="1"/>
  <c r="Z7" i="10" s="1"/>
  <c r="AB7" i="10" a="1"/>
  <c r="AB7" i="10" s="1"/>
  <c r="X6" i="10" a="1"/>
  <c r="X6" i="10" s="1"/>
  <c r="X1" i="10"/>
  <c r="AC1" i="10" a="1"/>
  <c r="AC1" i="10" s="1"/>
  <c r="Y3" i="10" a="1"/>
  <c r="Y3" i="10" s="1"/>
  <c r="AB4" i="10" a="1"/>
  <c r="AB4" i="10" s="1"/>
  <c r="AB6" i="10" a="1"/>
  <c r="AB6" i="10" s="1"/>
  <c r="Z6" i="10" a="1"/>
  <c r="Z6" i="10" s="1"/>
  <c r="AB2" i="10" a="1"/>
  <c r="AB2" i="10" s="1"/>
  <c r="AB3" i="10" a="1"/>
  <c r="AB3" i="10" s="1"/>
  <c r="R9" i="10" a="1"/>
  <c r="R12" i="10" a="1"/>
  <c r="R12" i="10" l="1"/>
  <c r="R9" i="10"/>
  <c r="AL75" i="5"/>
  <c r="V75" i="5"/>
  <c r="F75" i="5"/>
  <c r="AF75" i="5"/>
  <c r="P75" i="5"/>
  <c r="AD75" i="5"/>
  <c r="J75" i="5"/>
  <c r="A77" i="5" a="1"/>
  <c r="A77" i="5" s="1"/>
  <c r="AB75" i="5"/>
  <c r="H75" i="5"/>
  <c r="L75" i="5"/>
  <c r="AJ75" i="5"/>
  <c r="D75" i="5"/>
  <c r="AH75" i="5"/>
  <c r="B75" i="5"/>
  <c r="Z75" i="5"/>
  <c r="X75" i="5"/>
  <c r="T75" i="5"/>
  <c r="R75" i="5"/>
  <c r="N75" i="5"/>
  <c r="AJ74" i="5"/>
  <c r="T74" i="5"/>
  <c r="D74" i="5"/>
  <c r="AD74" i="5"/>
  <c r="N74" i="5"/>
  <c r="AH74" i="5"/>
  <c r="L74" i="5"/>
  <c r="AF74" i="5"/>
  <c r="J74" i="5"/>
  <c r="Z74" i="5"/>
  <c r="X74" i="5"/>
  <c r="V74" i="5"/>
  <c r="R74" i="5"/>
  <c r="P74" i="5"/>
  <c r="A76" i="5" a="1"/>
  <c r="A76" i="5" s="1"/>
  <c r="H74" i="5"/>
  <c r="F74" i="5"/>
  <c r="B74" i="5"/>
  <c r="AL74" i="5"/>
  <c r="AB74" i="5"/>
  <c r="X7" i="10"/>
  <c r="X10" i="10"/>
  <c r="Y10" i="10" a="1"/>
  <c r="Y10" i="10" l="1"/>
  <c r="P17" i="10"/>
  <c r="X76" i="5"/>
  <c r="H76" i="5"/>
  <c r="AH76" i="5"/>
  <c r="R76" i="5"/>
  <c r="B76" i="5"/>
  <c r="A78" i="5" a="1"/>
  <c r="A78" i="5" s="1"/>
  <c r="AB76" i="5"/>
  <c r="F76" i="5"/>
  <c r="Z76" i="5"/>
  <c r="D76" i="5"/>
  <c r="AJ76" i="5"/>
  <c r="T76" i="5"/>
  <c r="P76" i="5"/>
  <c r="N76" i="5"/>
  <c r="L76" i="5"/>
  <c r="AL76" i="5"/>
  <c r="J76" i="5"/>
  <c r="AF76" i="5"/>
  <c r="AD76" i="5"/>
  <c r="V76" i="5"/>
  <c r="Z77" i="5"/>
  <c r="J77" i="5"/>
  <c r="AJ77" i="5"/>
  <c r="T77" i="5"/>
  <c r="D77" i="5"/>
  <c r="X77" i="5"/>
  <c r="B77" i="5"/>
  <c r="V77" i="5"/>
  <c r="AF77" i="5"/>
  <c r="L77" i="5"/>
  <c r="H77" i="5"/>
  <c r="AL77" i="5"/>
  <c r="F77" i="5"/>
  <c r="AH77" i="5"/>
  <c r="AD77" i="5"/>
  <c r="AB77" i="5"/>
  <c r="A79" i="5" a="1"/>
  <c r="A79" i="5" s="1"/>
  <c r="R77" i="5"/>
  <c r="P77" i="5"/>
  <c r="N77" i="5"/>
  <c r="R11" i="10" a="1"/>
  <c r="R11" i="10" s="1"/>
  <c r="U10" i="10" a="1"/>
  <c r="U10" i="10" s="1"/>
  <c r="U15" i="10" a="1"/>
  <c r="U15" i="10" s="1"/>
  <c r="S14" i="10" a="1"/>
  <c r="S14" i="10" s="1"/>
  <c r="Q14" i="10" a="1"/>
  <c r="Q14" i="10" s="1"/>
  <c r="U12" i="10" a="1"/>
  <c r="U12" i="10" s="1"/>
  <c r="V9" i="10" a="1"/>
  <c r="V9" i="10" s="1"/>
  <c r="U11" i="10" a="1"/>
  <c r="U11" i="10" s="1"/>
  <c r="U14" i="10" a="1"/>
  <c r="U14" i="10" s="1"/>
  <c r="Q9" i="10"/>
  <c r="R14" i="10" a="1"/>
  <c r="R14" i="10" s="1"/>
  <c r="Q15" i="10" s="1"/>
  <c r="Y12" i="10" a="1"/>
  <c r="Y9" i="10" a="1"/>
  <c r="Y9" i="10" l="1"/>
  <c r="Y12" i="10"/>
  <c r="S15" i="10"/>
  <c r="A80" i="5" a="1"/>
  <c r="A80" i="5" s="1"/>
  <c r="AB78" i="5"/>
  <c r="L78" i="5"/>
  <c r="AL78" i="5"/>
  <c r="V78" i="5"/>
  <c r="F78" i="5"/>
  <c r="T78" i="5"/>
  <c r="R78" i="5"/>
  <c r="AD78" i="5"/>
  <c r="H78" i="5"/>
  <c r="AF78" i="5"/>
  <c r="Z78" i="5"/>
  <c r="X78" i="5"/>
  <c r="P78" i="5"/>
  <c r="N78" i="5"/>
  <c r="J78" i="5"/>
  <c r="AJ78" i="5"/>
  <c r="AH78" i="5"/>
  <c r="D78" i="5"/>
  <c r="B78" i="5"/>
  <c r="AD79" i="5"/>
  <c r="N79" i="5"/>
  <c r="X79" i="5"/>
  <c r="H79" i="5"/>
  <c r="AL79" i="5"/>
  <c r="V79" i="5"/>
  <c r="F79" i="5"/>
  <c r="T79" i="5"/>
  <c r="R79" i="5"/>
  <c r="AF79" i="5"/>
  <c r="D79" i="5"/>
  <c r="Z79" i="5"/>
  <c r="P79" i="5"/>
  <c r="A81" i="5" a="1"/>
  <c r="A81" i="5" s="1"/>
  <c r="L79" i="5"/>
  <c r="J79" i="5"/>
  <c r="B79" i="5"/>
  <c r="AJ79" i="5"/>
  <c r="AH79" i="5"/>
  <c r="AB79" i="5"/>
  <c r="Q18" i="10"/>
  <c r="R18" i="10" a="1"/>
  <c r="R18" i="10" l="1"/>
  <c r="W17" i="10"/>
  <c r="AF80" i="5"/>
  <c r="P80" i="5"/>
  <c r="Z80" i="5"/>
  <c r="J80" i="5"/>
  <c r="X80" i="5"/>
  <c r="H80" i="5"/>
  <c r="AB80" i="5"/>
  <c r="B80" i="5"/>
  <c r="V80" i="5"/>
  <c r="AJ80" i="5"/>
  <c r="L80" i="5"/>
  <c r="R80" i="5"/>
  <c r="N80" i="5"/>
  <c r="A82" i="5" a="1"/>
  <c r="A82" i="5" s="1"/>
  <c r="F80" i="5"/>
  <c r="D80" i="5"/>
  <c r="AL80" i="5"/>
  <c r="AH80" i="5"/>
  <c r="AD80" i="5"/>
  <c r="T80" i="5"/>
  <c r="AH81" i="5"/>
  <c r="R81" i="5"/>
  <c r="B81" i="5"/>
  <c r="A83" i="5" a="1"/>
  <c r="A83" i="5" s="1"/>
  <c r="AB81" i="5"/>
  <c r="L81" i="5"/>
  <c r="Z81" i="5"/>
  <c r="J81" i="5"/>
  <c r="AF81" i="5"/>
  <c r="F81" i="5"/>
  <c r="AD81" i="5"/>
  <c r="D81" i="5"/>
  <c r="P81" i="5"/>
  <c r="N81" i="5"/>
  <c r="H81" i="5"/>
  <c r="AL81" i="5"/>
  <c r="AJ81" i="5"/>
  <c r="X81" i="5"/>
  <c r="V81" i="5"/>
  <c r="T81" i="5"/>
  <c r="X14" i="10" a="1"/>
  <c r="X14" i="10" s="1"/>
  <c r="AC9" i="10" a="1"/>
  <c r="AC9" i="10" s="1"/>
  <c r="AB14" i="10" a="1"/>
  <c r="AB14" i="10" s="1"/>
  <c r="Z14" i="10" a="1"/>
  <c r="Z14" i="10" s="1"/>
  <c r="Y11" i="10" a="1"/>
  <c r="Y11" i="10" s="1"/>
  <c r="Y14" i="10" a="1"/>
  <c r="Y14" i="10" s="1"/>
  <c r="Z15" i="10" s="1"/>
  <c r="AB10" i="10" a="1"/>
  <c r="AB10" i="10" s="1"/>
  <c r="AB15" i="10" a="1"/>
  <c r="AB15" i="10" s="1"/>
  <c r="AB12" i="10" a="1"/>
  <c r="AB12" i="10" s="1"/>
  <c r="X9" i="10"/>
  <c r="AB11" i="10" a="1"/>
  <c r="AB11" i="10" s="1"/>
  <c r="R20" i="10" a="1"/>
  <c r="R17" i="10" a="1"/>
  <c r="X15" i="10" l="1"/>
  <c r="R17" i="10"/>
  <c r="R20" i="10"/>
  <c r="AL83" i="5"/>
  <c r="V83" i="5"/>
  <c r="F83" i="5"/>
  <c r="AF83" i="5"/>
  <c r="P83" i="5"/>
  <c r="AD83" i="5"/>
  <c r="N83" i="5"/>
  <c r="R83" i="5"/>
  <c r="L83" i="5"/>
  <c r="Z83" i="5"/>
  <c r="B83" i="5"/>
  <c r="A85" i="5" a="1"/>
  <c r="A85" i="5" s="1"/>
  <c r="D83" i="5"/>
  <c r="AJ83" i="5"/>
  <c r="AH83" i="5"/>
  <c r="AB83" i="5"/>
  <c r="X83" i="5"/>
  <c r="T83" i="5"/>
  <c r="J83" i="5"/>
  <c r="H83" i="5"/>
  <c r="AJ82" i="5"/>
  <c r="T82" i="5"/>
  <c r="D82" i="5"/>
  <c r="AD82" i="5"/>
  <c r="N82" i="5"/>
  <c r="A84" i="5" a="1"/>
  <c r="A84" i="5" s="1"/>
  <c r="AB82" i="5"/>
  <c r="L82" i="5"/>
  <c r="AL82" i="5"/>
  <c r="J82" i="5"/>
  <c r="AH82" i="5"/>
  <c r="H82" i="5"/>
  <c r="V82" i="5"/>
  <c r="F82" i="5"/>
  <c r="B82" i="5"/>
  <c r="AF82" i="5"/>
  <c r="Z82" i="5"/>
  <c r="X82" i="5"/>
  <c r="R82" i="5"/>
  <c r="P82" i="5"/>
  <c r="X18" i="10"/>
  <c r="Y18" i="10" a="1"/>
  <c r="Y18" i="10" l="1"/>
  <c r="P25" i="10"/>
  <c r="Z84" i="5"/>
  <c r="J84" i="5"/>
  <c r="X84" i="5"/>
  <c r="H84" i="5"/>
  <c r="AH84" i="5"/>
  <c r="R84" i="5"/>
  <c r="B84" i="5"/>
  <c r="AF84" i="5"/>
  <c r="P84" i="5"/>
  <c r="A86" i="5" a="1"/>
  <c r="A86" i="5" s="1"/>
  <c r="AB84" i="5"/>
  <c r="V84" i="5"/>
  <c r="AL84" i="5"/>
  <c r="F84" i="5"/>
  <c r="AJ84" i="5"/>
  <c r="AD84" i="5"/>
  <c r="T84" i="5"/>
  <c r="N84" i="5"/>
  <c r="L84" i="5"/>
  <c r="D84" i="5"/>
  <c r="A87" i="5" a="1"/>
  <c r="A87" i="5" s="1"/>
  <c r="AB85" i="5"/>
  <c r="L85" i="5"/>
  <c r="Z85" i="5"/>
  <c r="J85" i="5"/>
  <c r="AJ85" i="5"/>
  <c r="T85" i="5"/>
  <c r="D85" i="5"/>
  <c r="AH85" i="5"/>
  <c r="R85" i="5"/>
  <c r="B85" i="5"/>
  <c r="N85" i="5"/>
  <c r="H85" i="5"/>
  <c r="X85" i="5"/>
  <c r="AL85" i="5"/>
  <c r="AF85" i="5"/>
  <c r="AD85" i="5"/>
  <c r="V85" i="5"/>
  <c r="P85" i="5"/>
  <c r="F85" i="5"/>
  <c r="S22" i="10" a="1"/>
  <c r="S22" i="10" s="1"/>
  <c r="U22" i="10" a="1"/>
  <c r="U22" i="10" s="1"/>
  <c r="Q17" i="10"/>
  <c r="U23" i="10" a="1"/>
  <c r="U23" i="10" s="1"/>
  <c r="R22" i="10" a="1"/>
  <c r="R22" i="10" s="1"/>
  <c r="S23" i="10" s="1"/>
  <c r="U20" i="10" a="1"/>
  <c r="U20" i="10" s="1"/>
  <c r="U18" i="10" a="1"/>
  <c r="U18" i="10" s="1"/>
  <c r="Q22" i="10" a="1"/>
  <c r="Q22" i="10" s="1"/>
  <c r="U19" i="10" a="1"/>
  <c r="U19" i="10" s="1"/>
  <c r="R19" i="10" a="1"/>
  <c r="R19" i="10" s="1"/>
  <c r="V17" i="10" a="1"/>
  <c r="V17" i="10" s="1"/>
  <c r="Y20" i="10" a="1"/>
  <c r="Y17" i="10" a="1"/>
  <c r="Q23" i="10" l="1"/>
  <c r="Y17" i="10"/>
  <c r="Y20" i="10"/>
  <c r="AD86" i="5"/>
  <c r="N86" i="5"/>
  <c r="A88" i="5" a="1"/>
  <c r="A88" i="5" s="1"/>
  <c r="AB86" i="5"/>
  <c r="L86" i="5"/>
  <c r="AL86" i="5"/>
  <c r="V86" i="5"/>
  <c r="F86" i="5"/>
  <c r="AJ86" i="5"/>
  <c r="T86" i="5"/>
  <c r="D86" i="5"/>
  <c r="AF86" i="5"/>
  <c r="Z86" i="5"/>
  <c r="J86" i="5"/>
  <c r="H86" i="5"/>
  <c r="B86" i="5"/>
  <c r="AH86" i="5"/>
  <c r="X86" i="5"/>
  <c r="R86" i="5"/>
  <c r="P86" i="5"/>
  <c r="AF87" i="5"/>
  <c r="P87" i="5"/>
  <c r="AD87" i="5"/>
  <c r="N87" i="5"/>
  <c r="X87" i="5"/>
  <c r="H87" i="5"/>
  <c r="AL87" i="5"/>
  <c r="V87" i="5"/>
  <c r="F87" i="5"/>
  <c r="R87" i="5"/>
  <c r="L87" i="5"/>
  <c r="A89" i="5" a="1"/>
  <c r="A89" i="5" s="1"/>
  <c r="AB87" i="5"/>
  <c r="J87" i="5"/>
  <c r="D87" i="5"/>
  <c r="B87" i="5"/>
  <c r="AJ87" i="5"/>
  <c r="AH87" i="5"/>
  <c r="Z87" i="5"/>
  <c r="T87" i="5"/>
  <c r="Q26" i="10"/>
  <c r="R26" i="10" a="1"/>
  <c r="R26" i="10" l="1"/>
  <c r="W25" i="10"/>
  <c r="AH88" i="5"/>
  <c r="R88" i="5"/>
  <c r="B88" i="5"/>
  <c r="AF88" i="5"/>
  <c r="P88" i="5"/>
  <c r="Z88" i="5"/>
  <c r="J88" i="5"/>
  <c r="X88" i="5"/>
  <c r="H88" i="5"/>
  <c r="AJ88" i="5"/>
  <c r="D88" i="5"/>
  <c r="AD88" i="5"/>
  <c r="N88" i="5"/>
  <c r="T88" i="5"/>
  <c r="L88" i="5"/>
  <c r="F88" i="5"/>
  <c r="A90" i="5" a="1"/>
  <c r="A90" i="5" s="1"/>
  <c r="AL88" i="5"/>
  <c r="AB88" i="5"/>
  <c r="V88" i="5"/>
  <c r="AJ89" i="5"/>
  <c r="T89" i="5"/>
  <c r="D89" i="5"/>
  <c r="AH89" i="5"/>
  <c r="R89" i="5"/>
  <c r="B89" i="5"/>
  <c r="A91" i="5" a="1"/>
  <c r="A91" i="5" s="1"/>
  <c r="AB89" i="5"/>
  <c r="L89" i="5"/>
  <c r="Z89" i="5"/>
  <c r="J89" i="5"/>
  <c r="V89" i="5"/>
  <c r="P89" i="5"/>
  <c r="AF89" i="5"/>
  <c r="X89" i="5"/>
  <c r="N89" i="5"/>
  <c r="H89" i="5"/>
  <c r="F89" i="5"/>
  <c r="AL89" i="5"/>
  <c r="AD89" i="5"/>
  <c r="Z22" i="10" a="1"/>
  <c r="Z22" i="10" s="1"/>
  <c r="Y19" i="10" a="1"/>
  <c r="Y19" i="10" s="1"/>
  <c r="AB18" i="10" a="1"/>
  <c r="AB18" i="10" s="1"/>
  <c r="AB20" i="10" a="1"/>
  <c r="AB20" i="10" s="1"/>
  <c r="AC17" i="10" a="1"/>
  <c r="AC17" i="10" s="1"/>
  <c r="AB22" i="10" a="1"/>
  <c r="AB22" i="10" s="1"/>
  <c r="AB19" i="10" a="1"/>
  <c r="AB19" i="10" s="1"/>
  <c r="X17" i="10"/>
  <c r="Y22" i="10" a="1"/>
  <c r="Y22" i="10" s="1"/>
  <c r="X23" i="10" s="1"/>
  <c r="X22" i="10" a="1"/>
  <c r="X22" i="10" s="1"/>
  <c r="AB23" i="10" a="1"/>
  <c r="AB23" i="10" s="1"/>
  <c r="R28" i="10" a="1"/>
  <c r="R25" i="10" a="1"/>
  <c r="R25" i="10" l="1"/>
  <c r="R28" i="10"/>
  <c r="AL90" i="5"/>
  <c r="V90" i="5"/>
  <c r="F90" i="5"/>
  <c r="AJ90" i="5"/>
  <c r="T90" i="5"/>
  <c r="D90" i="5"/>
  <c r="AD90" i="5"/>
  <c r="N90" i="5"/>
  <c r="A92" i="5" a="1"/>
  <c r="A92" i="5" s="1"/>
  <c r="AB90" i="5"/>
  <c r="L90" i="5"/>
  <c r="H90" i="5"/>
  <c r="AH90" i="5"/>
  <c r="B90" i="5"/>
  <c r="R90" i="5"/>
  <c r="Z90" i="5"/>
  <c r="X90" i="5"/>
  <c r="P90" i="5"/>
  <c r="J90" i="5"/>
  <c r="AF90" i="5"/>
  <c r="Z23" i="10"/>
  <c r="X91" i="5"/>
  <c r="H91" i="5"/>
  <c r="AL91" i="5"/>
  <c r="V91" i="5"/>
  <c r="F91" i="5"/>
  <c r="AF91" i="5"/>
  <c r="P91" i="5"/>
  <c r="AD91" i="5"/>
  <c r="N91" i="5"/>
  <c r="Z91" i="5"/>
  <c r="T91" i="5"/>
  <c r="AJ91" i="5"/>
  <c r="D91" i="5"/>
  <c r="AH91" i="5"/>
  <c r="AB91" i="5"/>
  <c r="R91" i="5"/>
  <c r="L91" i="5"/>
  <c r="J91" i="5"/>
  <c r="B91" i="5"/>
  <c r="A93" i="5" a="1"/>
  <c r="A93" i="5" s="1"/>
  <c r="X26" i="10"/>
  <c r="Y26" i="10" a="1"/>
  <c r="Y26" i="10" l="1"/>
  <c r="P33" i="10"/>
  <c r="A95" i="5" a="1"/>
  <c r="A95" i="5" s="1"/>
  <c r="AB93" i="5"/>
  <c r="L93" i="5"/>
  <c r="Z93" i="5"/>
  <c r="J93" i="5"/>
  <c r="AJ93" i="5"/>
  <c r="T93" i="5"/>
  <c r="D93" i="5"/>
  <c r="AH93" i="5"/>
  <c r="R93" i="5"/>
  <c r="B93" i="5"/>
  <c r="AD93" i="5"/>
  <c r="X93" i="5"/>
  <c r="H93" i="5"/>
  <c r="AL93" i="5"/>
  <c r="AF93" i="5"/>
  <c r="V93" i="5"/>
  <c r="P93" i="5"/>
  <c r="N93" i="5"/>
  <c r="F93" i="5"/>
  <c r="Z92" i="5"/>
  <c r="J92" i="5"/>
  <c r="X92" i="5"/>
  <c r="H92" i="5"/>
  <c r="AH92" i="5"/>
  <c r="R92" i="5"/>
  <c r="B92" i="5"/>
  <c r="AF92" i="5"/>
  <c r="P92" i="5"/>
  <c r="L92" i="5"/>
  <c r="AL92" i="5"/>
  <c r="F92" i="5"/>
  <c r="V92" i="5"/>
  <c r="A94" i="5" a="1"/>
  <c r="A94" i="5" s="1"/>
  <c r="AJ92" i="5"/>
  <c r="AD92" i="5"/>
  <c r="AB92" i="5"/>
  <c r="T92" i="5"/>
  <c r="N92" i="5"/>
  <c r="D92" i="5"/>
  <c r="Q30" i="10" a="1"/>
  <c r="Q30" i="10" s="1"/>
  <c r="U27" i="10" a="1"/>
  <c r="U27" i="10" s="1"/>
  <c r="Q25" i="10"/>
  <c r="R27" i="10" a="1"/>
  <c r="R27" i="10" s="1"/>
  <c r="U28" i="10" a="1"/>
  <c r="U28" i="10" s="1"/>
  <c r="U26" i="10" a="1"/>
  <c r="U26" i="10" s="1"/>
  <c r="R30" i="10" a="1"/>
  <c r="R30" i="10" s="1"/>
  <c r="S31" i="10" s="1"/>
  <c r="V25" i="10" a="1"/>
  <c r="V25" i="10" s="1"/>
  <c r="U30" i="10" a="1"/>
  <c r="U30" i="10" s="1"/>
  <c r="S30" i="10" a="1"/>
  <c r="S30" i="10" s="1"/>
  <c r="U31" i="10" a="1"/>
  <c r="U31" i="10" s="1"/>
  <c r="Y25" i="10" a="1"/>
  <c r="Y28" i="10" a="1"/>
  <c r="Q31" i="10" l="1"/>
  <c r="Y28" i="10"/>
  <c r="Y25" i="10"/>
  <c r="AD94" i="5"/>
  <c r="N94" i="5"/>
  <c r="A96" i="5" a="1"/>
  <c r="A96" i="5" s="1"/>
  <c r="AB94" i="5"/>
  <c r="L94" i="5"/>
  <c r="AL94" i="5"/>
  <c r="V94" i="5"/>
  <c r="F94" i="5"/>
  <c r="AJ94" i="5"/>
  <c r="T94" i="5"/>
  <c r="D94" i="5"/>
  <c r="P94" i="5"/>
  <c r="J94" i="5"/>
  <c r="Z94" i="5"/>
  <c r="AH94" i="5"/>
  <c r="AF94" i="5"/>
  <c r="X94" i="5"/>
  <c r="R94" i="5"/>
  <c r="H94" i="5"/>
  <c r="B94" i="5"/>
  <c r="AF95" i="5"/>
  <c r="P95" i="5"/>
  <c r="AD95" i="5"/>
  <c r="N95" i="5"/>
  <c r="X95" i="5"/>
  <c r="H95" i="5"/>
  <c r="AL95" i="5"/>
  <c r="V95" i="5"/>
  <c r="F95" i="5"/>
  <c r="AH95" i="5"/>
  <c r="B95" i="5"/>
  <c r="A97" i="5" a="1"/>
  <c r="A97" i="5" s="1"/>
  <c r="AB95" i="5"/>
  <c r="L95" i="5"/>
  <c r="D95" i="5"/>
  <c r="AJ95" i="5"/>
  <c r="Z95" i="5"/>
  <c r="T95" i="5"/>
  <c r="R95" i="5"/>
  <c r="J95" i="5"/>
  <c r="Q34" i="10"/>
  <c r="R34" i="10" a="1"/>
  <c r="R34" i="10" l="1"/>
  <c r="W33" i="10"/>
  <c r="AH96" i="5"/>
  <c r="R96" i="5"/>
  <c r="B96" i="5"/>
  <c r="AF96" i="5"/>
  <c r="P96" i="5"/>
  <c r="Z96" i="5"/>
  <c r="J96" i="5"/>
  <c r="X96" i="5"/>
  <c r="H96" i="5"/>
  <c r="T96" i="5"/>
  <c r="N96" i="5"/>
  <c r="AD96" i="5"/>
  <c r="F96" i="5"/>
  <c r="D96" i="5"/>
  <c r="A98" i="5" a="1"/>
  <c r="A98" i="5" s="1"/>
  <c r="AL96" i="5"/>
  <c r="AJ96" i="5"/>
  <c r="AB96" i="5"/>
  <c r="V96" i="5"/>
  <c r="L96" i="5"/>
  <c r="AJ97" i="5"/>
  <c r="T97" i="5"/>
  <c r="D97" i="5"/>
  <c r="AH97" i="5"/>
  <c r="R97" i="5"/>
  <c r="B97" i="5"/>
  <c r="A99" i="5" a="1"/>
  <c r="A99" i="5" s="1"/>
  <c r="AB97" i="5"/>
  <c r="L97" i="5"/>
  <c r="Z97" i="5"/>
  <c r="J97" i="5"/>
  <c r="AL97" i="5"/>
  <c r="F97" i="5"/>
  <c r="AF97" i="5"/>
  <c r="P97" i="5"/>
  <c r="N97" i="5"/>
  <c r="H97" i="5"/>
  <c r="AD97" i="5"/>
  <c r="X97" i="5"/>
  <c r="V97" i="5"/>
  <c r="X30" i="10" a="1"/>
  <c r="X30" i="10" s="1"/>
  <c r="AB31" i="10" a="1"/>
  <c r="AB31" i="10" s="1"/>
  <c r="Z30" i="10" a="1"/>
  <c r="Z30" i="10" s="1"/>
  <c r="AB28" i="10" a="1"/>
  <c r="AB28" i="10" s="1"/>
  <c r="Y30" i="10" a="1"/>
  <c r="Y30" i="10" s="1"/>
  <c r="X31" i="10" s="1"/>
  <c r="X25" i="10"/>
  <c r="Y27" i="10" a="1"/>
  <c r="Y27" i="10" s="1"/>
  <c r="AB26" i="10" a="1"/>
  <c r="AB26" i="10" s="1"/>
  <c r="AC25" i="10" a="1"/>
  <c r="AC25" i="10" s="1"/>
  <c r="AB30" i="10" a="1"/>
  <c r="AB30" i="10" s="1"/>
  <c r="AB27" i="10" a="1"/>
  <c r="AB27" i="10" s="1"/>
  <c r="R33" i="10" a="1"/>
  <c r="R36" i="10" a="1"/>
  <c r="Z31" i="10" l="1"/>
  <c r="R36" i="10"/>
  <c r="R33" i="10"/>
  <c r="AL98" i="5"/>
  <c r="V98" i="5"/>
  <c r="F98" i="5"/>
  <c r="AJ98" i="5"/>
  <c r="T98" i="5"/>
  <c r="D98" i="5"/>
  <c r="AD98" i="5"/>
  <c r="N98" i="5"/>
  <c r="A100" i="5" a="1"/>
  <c r="A100" i="5" s="1"/>
  <c r="AB98" i="5"/>
  <c r="L98" i="5"/>
  <c r="X98" i="5"/>
  <c r="R98" i="5"/>
  <c r="AH98" i="5"/>
  <c r="B98" i="5"/>
  <c r="P98" i="5"/>
  <c r="J98" i="5"/>
  <c r="H98" i="5"/>
  <c r="AF98" i="5"/>
  <c r="Z98" i="5"/>
  <c r="X99" i="5"/>
  <c r="H99" i="5"/>
  <c r="AL99" i="5"/>
  <c r="V99" i="5"/>
  <c r="F99" i="5"/>
  <c r="AF99" i="5"/>
  <c r="P99" i="5"/>
  <c r="AD99" i="5"/>
  <c r="N99" i="5"/>
  <c r="J99" i="5"/>
  <c r="AJ99" i="5"/>
  <c r="D99" i="5"/>
  <c r="A101" i="5" a="1"/>
  <c r="A101" i="5" s="1"/>
  <c r="AB99" i="5"/>
  <c r="T99" i="5"/>
  <c r="AH99" i="5"/>
  <c r="Z99" i="5"/>
  <c r="R99" i="5"/>
  <c r="L99" i="5"/>
  <c r="B99" i="5"/>
  <c r="X34" i="10"/>
  <c r="Y34" i="10" a="1"/>
  <c r="Y34" i="10" l="1"/>
  <c r="P41" i="10"/>
  <c r="A103" i="5" a="1"/>
  <c r="A103" i="5" s="1"/>
  <c r="AB101" i="5"/>
  <c r="L101" i="5"/>
  <c r="Z101" i="5"/>
  <c r="J101" i="5"/>
  <c r="AJ101" i="5"/>
  <c r="T101" i="5"/>
  <c r="D101" i="5"/>
  <c r="AH101" i="5"/>
  <c r="R101" i="5"/>
  <c r="B101" i="5"/>
  <c r="N101" i="5"/>
  <c r="H101" i="5"/>
  <c r="AF101" i="5"/>
  <c r="X101" i="5"/>
  <c r="F101" i="5"/>
  <c r="AL101" i="5"/>
  <c r="AD101" i="5"/>
  <c r="V101" i="5"/>
  <c r="P101" i="5"/>
  <c r="Z100" i="5"/>
  <c r="J100" i="5"/>
  <c r="X100" i="5"/>
  <c r="H100" i="5"/>
  <c r="AH100" i="5"/>
  <c r="R100" i="5"/>
  <c r="B100" i="5"/>
  <c r="AF100" i="5"/>
  <c r="P100" i="5"/>
  <c r="A102" i="5" a="1"/>
  <c r="A102" i="5" s="1"/>
  <c r="AB100" i="5"/>
  <c r="V100" i="5"/>
  <c r="N100" i="5"/>
  <c r="AL100" i="5"/>
  <c r="F100" i="5"/>
  <c r="AJ100" i="5"/>
  <c r="AD100" i="5"/>
  <c r="T100" i="5"/>
  <c r="L100" i="5"/>
  <c r="D100" i="5"/>
  <c r="U35" i="10" a="1"/>
  <c r="U35" i="10" s="1"/>
  <c r="Q33" i="10"/>
  <c r="U38" i="10" a="1"/>
  <c r="U38" i="10" s="1"/>
  <c r="V33" i="10" a="1"/>
  <c r="V33" i="10" s="1"/>
  <c r="R35" i="10" a="1"/>
  <c r="R35" i="10" s="1"/>
  <c r="U36" i="10" a="1"/>
  <c r="U36" i="10" s="1"/>
  <c r="U34" i="10" a="1"/>
  <c r="U34" i="10" s="1"/>
  <c r="Q38" i="10" a="1"/>
  <c r="Q38" i="10" s="1"/>
  <c r="R38" i="10" a="1"/>
  <c r="R38" i="10" s="1"/>
  <c r="S39" i="10" s="1"/>
  <c r="U39" i="10" a="1"/>
  <c r="U39" i="10" s="1"/>
  <c r="S38" i="10" a="1"/>
  <c r="S38" i="10" s="1"/>
  <c r="Y33" i="10" a="1"/>
  <c r="Y36" i="10" a="1"/>
  <c r="Q39" i="10" l="1"/>
  <c r="Y36" i="10"/>
  <c r="Y33" i="10"/>
  <c r="AF103" i="5"/>
  <c r="P103" i="5"/>
  <c r="AD103" i="5"/>
  <c r="N103" i="5"/>
  <c r="X103" i="5"/>
  <c r="H103" i="5"/>
  <c r="A105" i="5" a="1"/>
  <c r="A105" i="5" s="1"/>
  <c r="AL103" i="5"/>
  <c r="V103" i="5"/>
  <c r="F103" i="5"/>
  <c r="R103" i="5"/>
  <c r="L103" i="5"/>
  <c r="AJ103" i="5"/>
  <c r="D103" i="5"/>
  <c r="AB103" i="5"/>
  <c r="AH103" i="5"/>
  <c r="Z103" i="5"/>
  <c r="T103" i="5"/>
  <c r="J103" i="5"/>
  <c r="B103" i="5"/>
  <c r="A104" i="5" a="1"/>
  <c r="A104" i="5" s="1"/>
  <c r="AD102" i="5"/>
  <c r="N102" i="5"/>
  <c r="AB102" i="5"/>
  <c r="L102" i="5"/>
  <c r="AL102" i="5"/>
  <c r="V102" i="5"/>
  <c r="F102" i="5"/>
  <c r="AJ102" i="5"/>
  <c r="T102" i="5"/>
  <c r="D102" i="5"/>
  <c r="AF102" i="5"/>
  <c r="Z102" i="5"/>
  <c r="R102" i="5"/>
  <c r="J102" i="5"/>
  <c r="X102" i="5"/>
  <c r="P102" i="5"/>
  <c r="H102" i="5"/>
  <c r="B102" i="5"/>
  <c r="AH102" i="5"/>
  <c r="Q42" i="10"/>
  <c r="R42" i="10" a="1"/>
  <c r="R42" i="10" l="1"/>
  <c r="W41" i="10"/>
  <c r="X38" i="10" a="1"/>
  <c r="X38" i="10" s="1"/>
  <c r="Z38" i="10" a="1"/>
  <c r="Z38" i="10" s="1"/>
  <c r="Y35" i="10" a="1"/>
  <c r="Y35" i="10" s="1"/>
  <c r="AB34" i="10" a="1"/>
  <c r="AB34" i="10" s="1"/>
  <c r="AB39" i="10" a="1"/>
  <c r="AB39" i="10" s="1"/>
  <c r="Y38" i="10" a="1"/>
  <c r="Y38" i="10" s="1"/>
  <c r="Z39" i="10" s="1"/>
  <c r="AB36" i="10" a="1"/>
  <c r="AB36" i="10" s="1"/>
  <c r="AC33" i="10" a="1"/>
  <c r="AC33" i="10" s="1"/>
  <c r="AB38" i="10" a="1"/>
  <c r="AB38" i="10" s="1"/>
  <c r="AB35" i="10" a="1"/>
  <c r="AB35" i="10" s="1"/>
  <c r="X33" i="10"/>
  <c r="AF104" i="5"/>
  <c r="P104" i="5"/>
  <c r="V104" i="5"/>
  <c r="D104" i="5"/>
  <c r="A106" i="5" a="1"/>
  <c r="A106" i="5" s="1"/>
  <c r="AL104" i="5"/>
  <c r="T104" i="5"/>
  <c r="B104" i="5"/>
  <c r="AD104" i="5"/>
  <c r="L104" i="5"/>
  <c r="AB104" i="5"/>
  <c r="J104" i="5"/>
  <c r="F104" i="5"/>
  <c r="AJ104" i="5"/>
  <c r="Z104" i="5"/>
  <c r="R104" i="5"/>
  <c r="AH104" i="5"/>
  <c r="X104" i="5"/>
  <c r="N104" i="5"/>
  <c r="H104" i="5"/>
  <c r="AH105" i="5"/>
  <c r="R105" i="5"/>
  <c r="B105" i="5"/>
  <c r="AD105" i="5"/>
  <c r="L105" i="5"/>
  <c r="AB105" i="5"/>
  <c r="J105" i="5"/>
  <c r="V105" i="5"/>
  <c r="D105" i="5"/>
  <c r="A107" i="5" a="1"/>
  <c r="A107" i="5" s="1"/>
  <c r="AL105" i="5"/>
  <c r="T105" i="5"/>
  <c r="AF105" i="5"/>
  <c r="Z105" i="5"/>
  <c r="P105" i="5"/>
  <c r="H105" i="5"/>
  <c r="X105" i="5"/>
  <c r="N105" i="5"/>
  <c r="F105" i="5"/>
  <c r="AJ105" i="5"/>
  <c r="R41" i="10" a="1"/>
  <c r="R44" i="10" a="1"/>
  <c r="X39" i="10" l="1"/>
  <c r="R44" i="10"/>
  <c r="R41" i="10"/>
  <c r="AL107" i="5"/>
  <c r="V107" i="5"/>
  <c r="F107" i="5"/>
  <c r="AH107" i="5"/>
  <c r="R107" i="5"/>
  <c r="B107" i="5"/>
  <c r="AJ107" i="5"/>
  <c r="N107" i="5"/>
  <c r="AF107" i="5"/>
  <c r="L107" i="5"/>
  <c r="Z107" i="5"/>
  <c r="D107" i="5"/>
  <c r="X107" i="5"/>
  <c r="P107" i="5"/>
  <c r="J107" i="5"/>
  <c r="AD107" i="5"/>
  <c r="A109" i="5" a="1"/>
  <c r="A109" i="5" s="1"/>
  <c r="H107" i="5"/>
  <c r="AB107" i="5"/>
  <c r="T107" i="5"/>
  <c r="AJ106" i="5"/>
  <c r="T106" i="5"/>
  <c r="D106" i="5"/>
  <c r="V106" i="5"/>
  <c r="B106" i="5"/>
  <c r="AL106" i="5"/>
  <c r="R106" i="5"/>
  <c r="A108" i="5" a="1"/>
  <c r="A108" i="5" s="1"/>
  <c r="AD106" i="5"/>
  <c r="L106" i="5"/>
  <c r="AB106" i="5"/>
  <c r="J106" i="5"/>
  <c r="X106" i="5"/>
  <c r="P106" i="5"/>
  <c r="H106" i="5"/>
  <c r="AH106" i="5"/>
  <c r="AF106" i="5"/>
  <c r="Z106" i="5"/>
  <c r="N106" i="5"/>
  <c r="F106" i="5"/>
  <c r="X42" i="10"/>
  <c r="Y42" i="10" a="1"/>
  <c r="Y42" i="10" l="1"/>
  <c r="AE1" i="10"/>
  <c r="X108" i="5"/>
  <c r="H108" i="5"/>
  <c r="AJ108" i="5"/>
  <c r="T108" i="5"/>
  <c r="D108" i="5"/>
  <c r="AF108" i="5"/>
  <c r="L108" i="5"/>
  <c r="AD108" i="5"/>
  <c r="J108" i="5"/>
  <c r="V108" i="5"/>
  <c r="R108" i="5"/>
  <c r="N108" i="5"/>
  <c r="A110" i="5" a="1"/>
  <c r="A110" i="5" s="1"/>
  <c r="F108" i="5"/>
  <c r="AL108" i="5"/>
  <c r="AB108" i="5"/>
  <c r="AH108" i="5"/>
  <c r="Z108" i="5"/>
  <c r="P108" i="5"/>
  <c r="B108" i="5"/>
  <c r="Z109" i="5"/>
  <c r="J109" i="5"/>
  <c r="AL109" i="5"/>
  <c r="V109" i="5"/>
  <c r="F109" i="5"/>
  <c r="AD109" i="5"/>
  <c r="H109" i="5"/>
  <c r="A111" i="5" a="1"/>
  <c r="A111" i="5" s="1"/>
  <c r="AB109" i="5"/>
  <c r="D109" i="5"/>
  <c r="R109" i="5"/>
  <c r="AJ109" i="5"/>
  <c r="P109" i="5"/>
  <c r="L109" i="5"/>
  <c r="B109" i="5"/>
  <c r="AH109" i="5"/>
  <c r="X109" i="5"/>
  <c r="AF109" i="5"/>
  <c r="T109" i="5"/>
  <c r="N109" i="5"/>
  <c r="U42" i="10" a="1"/>
  <c r="U42" i="10" s="1"/>
  <c r="U46" i="10" a="1"/>
  <c r="U46" i="10" s="1"/>
  <c r="V41" i="10" a="1"/>
  <c r="V41" i="10" s="1"/>
  <c r="U43" i="10" a="1"/>
  <c r="U43" i="10" s="1"/>
  <c r="S46" i="10" a="1"/>
  <c r="S46" i="10" s="1"/>
  <c r="Q41" i="10"/>
  <c r="U47" i="10" a="1"/>
  <c r="U47" i="10" s="1"/>
  <c r="R46" i="10" a="1"/>
  <c r="R46" i="10" s="1"/>
  <c r="Q47" i="10" s="1"/>
  <c r="R43" i="10" a="1"/>
  <c r="R43" i="10" s="1"/>
  <c r="U44" i="10" a="1"/>
  <c r="U44" i="10" s="1"/>
  <c r="Q46" i="10" a="1"/>
  <c r="Q46" i="10" s="1"/>
  <c r="Y44" i="10" a="1"/>
  <c r="Y41" i="10" a="1"/>
  <c r="S47" i="10" l="1"/>
  <c r="Y41" i="10"/>
  <c r="Y44" i="10"/>
  <c r="AD111" i="5"/>
  <c r="N111" i="5"/>
  <c r="Z111" i="5"/>
  <c r="J111" i="5"/>
  <c r="V111" i="5"/>
  <c r="B111" i="5"/>
  <c r="T111" i="5"/>
  <c r="AH111" i="5"/>
  <c r="L111" i="5"/>
  <c r="AF111" i="5"/>
  <c r="H111" i="5"/>
  <c r="A113" i="5" a="1"/>
  <c r="A113" i="5" s="1"/>
  <c r="D111" i="5"/>
  <c r="AL111" i="5"/>
  <c r="AB111" i="5"/>
  <c r="R111" i="5"/>
  <c r="AJ111" i="5"/>
  <c r="X111" i="5"/>
  <c r="P111" i="5"/>
  <c r="F111" i="5"/>
  <c r="A112" i="5" a="1"/>
  <c r="A112" i="5" s="1"/>
  <c r="AB110" i="5"/>
  <c r="L110" i="5"/>
  <c r="X110" i="5"/>
  <c r="H110" i="5"/>
  <c r="Z110" i="5"/>
  <c r="D110" i="5"/>
  <c r="V110" i="5"/>
  <c r="B110" i="5"/>
  <c r="AJ110" i="5"/>
  <c r="P110" i="5"/>
  <c r="AH110" i="5"/>
  <c r="N110" i="5"/>
  <c r="F110" i="5"/>
  <c r="AF110" i="5"/>
  <c r="T110" i="5"/>
  <c r="AL110" i="5"/>
  <c r="AD110" i="5"/>
  <c r="R110" i="5"/>
  <c r="J110" i="5"/>
  <c r="AF2" i="10"/>
  <c r="AG2" i="10" a="1"/>
  <c r="AG2" i="10" l="1"/>
  <c r="AL1" i="10"/>
  <c r="AH113" i="5"/>
  <c r="R113" i="5"/>
  <c r="B113" i="5"/>
  <c r="AD113" i="5"/>
  <c r="N113" i="5"/>
  <c r="AL113" i="5"/>
  <c r="P113" i="5"/>
  <c r="AJ113" i="5"/>
  <c r="L113" i="5"/>
  <c r="Z113" i="5"/>
  <c r="F113" i="5"/>
  <c r="X113" i="5"/>
  <c r="D113" i="5"/>
  <c r="AF113" i="5"/>
  <c r="V113" i="5"/>
  <c r="J113" i="5"/>
  <c r="A115" i="5" a="1"/>
  <c r="A115" i="5" s="1"/>
  <c r="AB113" i="5"/>
  <c r="T113" i="5"/>
  <c r="H113" i="5"/>
  <c r="AF112" i="5"/>
  <c r="P112" i="5"/>
  <c r="A114" i="5" a="1"/>
  <c r="A114" i="5" s="1"/>
  <c r="AB112" i="5"/>
  <c r="L112" i="5"/>
  <c r="T112" i="5"/>
  <c r="AL112" i="5"/>
  <c r="R112" i="5"/>
  <c r="AD112" i="5"/>
  <c r="H112" i="5"/>
  <c r="Z112" i="5"/>
  <c r="F112" i="5"/>
  <c r="B112" i="5"/>
  <c r="AJ112" i="5"/>
  <c r="X112" i="5"/>
  <c r="N112" i="5"/>
  <c r="AH112" i="5"/>
  <c r="V112" i="5"/>
  <c r="J112" i="5"/>
  <c r="D112" i="5"/>
  <c r="AB47" i="10" a="1"/>
  <c r="AB47" i="10" s="1"/>
  <c r="AB46" i="10" a="1"/>
  <c r="AB46" i="10" s="1"/>
  <c r="AB44" i="10" a="1"/>
  <c r="AB44" i="10" s="1"/>
  <c r="Y46" i="10" a="1"/>
  <c r="Y46" i="10" s="1"/>
  <c r="Z47" i="10" s="1"/>
  <c r="X46" i="10" a="1"/>
  <c r="X46" i="10" s="1"/>
  <c r="AB43" i="10" a="1"/>
  <c r="AB43" i="10" s="1"/>
  <c r="Y43" i="10" a="1"/>
  <c r="Y43" i="10" s="1"/>
  <c r="AC41" i="10" a="1"/>
  <c r="AC41" i="10" s="1"/>
  <c r="X41" i="10"/>
  <c r="Z46" i="10" a="1"/>
  <c r="Z46" i="10" s="1"/>
  <c r="AB42" i="10" a="1"/>
  <c r="AB42" i="10" s="1"/>
  <c r="AG4" i="10" a="1"/>
  <c r="AG1" i="10" a="1"/>
  <c r="AG1" i="10" l="1"/>
  <c r="AG4" i="10"/>
  <c r="AJ114" i="5"/>
  <c r="T114" i="5"/>
  <c r="D114" i="5"/>
  <c r="AF114" i="5"/>
  <c r="P114" i="5"/>
  <c r="AH114" i="5"/>
  <c r="L114" i="5"/>
  <c r="AD114" i="5"/>
  <c r="J114" i="5"/>
  <c r="X114" i="5"/>
  <c r="B114" i="5"/>
  <c r="V114" i="5"/>
  <c r="AL114" i="5"/>
  <c r="AB114" i="5"/>
  <c r="R114" i="5"/>
  <c r="A116" i="5" a="1"/>
  <c r="A116" i="5" s="1"/>
  <c r="H114" i="5"/>
  <c r="Z114" i="5"/>
  <c r="N114" i="5"/>
  <c r="F114" i="5"/>
  <c r="AL115" i="5"/>
  <c r="V115" i="5"/>
  <c r="F115" i="5"/>
  <c r="AH115" i="5"/>
  <c r="R115" i="5"/>
  <c r="B115" i="5"/>
  <c r="AD115" i="5"/>
  <c r="J115" i="5"/>
  <c r="A117" i="5" a="1"/>
  <c r="A117" i="5" s="1"/>
  <c r="AB115" i="5"/>
  <c r="H115" i="5"/>
  <c r="T115" i="5"/>
  <c r="P115" i="5"/>
  <c r="AJ115" i="5"/>
  <c r="AF115" i="5"/>
  <c r="Z115" i="5"/>
  <c r="N115" i="5"/>
  <c r="D115" i="5"/>
  <c r="L115" i="5"/>
  <c r="X115" i="5"/>
  <c r="X47" i="10"/>
  <c r="AM2" i="10"/>
  <c r="AN2" i="10" a="1"/>
  <c r="AN2" i="10" l="1"/>
  <c r="AE9" i="10"/>
  <c r="Z117" i="5"/>
  <c r="J117" i="5"/>
  <c r="AL117" i="5"/>
  <c r="V117" i="5"/>
  <c r="F117" i="5"/>
  <c r="AH117" i="5"/>
  <c r="R117" i="5"/>
  <c r="B117" i="5"/>
  <c r="AD117" i="5"/>
  <c r="D117" i="5"/>
  <c r="AB117" i="5"/>
  <c r="P117" i="5"/>
  <c r="A119" i="5" a="1"/>
  <c r="A119" i="5" s="1"/>
  <c r="N117" i="5"/>
  <c r="AJ117" i="5"/>
  <c r="AF117" i="5"/>
  <c r="X117" i="5"/>
  <c r="L117" i="5"/>
  <c r="T117" i="5"/>
  <c r="H117" i="5"/>
  <c r="X116" i="5"/>
  <c r="H116" i="5"/>
  <c r="AJ116" i="5"/>
  <c r="T116" i="5"/>
  <c r="D116" i="5"/>
  <c r="AB116" i="5"/>
  <c r="F116" i="5"/>
  <c r="Z116" i="5"/>
  <c r="B116" i="5"/>
  <c r="AL116" i="5"/>
  <c r="P116" i="5"/>
  <c r="AH116" i="5"/>
  <c r="N116" i="5"/>
  <c r="AF116" i="5"/>
  <c r="AD116" i="5"/>
  <c r="V116" i="5"/>
  <c r="L116" i="5"/>
  <c r="A118" i="5" a="1"/>
  <c r="A118" i="5" s="1"/>
  <c r="R116" i="5"/>
  <c r="J116" i="5"/>
  <c r="AG6" i="10" a="1"/>
  <c r="AG6" i="10" s="1"/>
  <c r="AH7" i="10" s="1"/>
  <c r="AJ4" i="10" a="1"/>
  <c r="AJ4" i="10" s="1"/>
  <c r="AJ2" i="10" a="1"/>
  <c r="AJ2" i="10" s="1"/>
  <c r="AF6" i="10" a="1"/>
  <c r="AF6" i="10" s="1"/>
  <c r="AJ6" i="10" a="1"/>
  <c r="AJ6" i="10" s="1"/>
  <c r="AJ7" i="10" a="1"/>
  <c r="AJ7" i="10" s="1"/>
  <c r="AG3" i="10" a="1"/>
  <c r="AG3" i="10" s="1"/>
  <c r="AK1" i="10" a="1"/>
  <c r="AK1" i="10" s="1"/>
  <c r="AH6" i="10" a="1"/>
  <c r="AH6" i="10" s="1"/>
  <c r="AF1" i="10"/>
  <c r="AJ3" i="10" a="1"/>
  <c r="AJ3" i="10" s="1"/>
  <c r="AN4" i="10" a="1"/>
  <c r="AN1" i="10" a="1"/>
  <c r="AN1" i="10" l="1"/>
  <c r="AN4" i="10"/>
  <c r="AF7" i="10"/>
  <c r="A120" i="5" a="1"/>
  <c r="A120" i="5" s="1"/>
  <c r="AB118" i="5"/>
  <c r="L118" i="5"/>
  <c r="X118" i="5"/>
  <c r="H118" i="5"/>
  <c r="AJ118" i="5"/>
  <c r="T118" i="5"/>
  <c r="D118" i="5"/>
  <c r="AH118" i="5"/>
  <c r="J118" i="5"/>
  <c r="AF118" i="5"/>
  <c r="F118" i="5"/>
  <c r="V118" i="5"/>
  <c r="R118" i="5"/>
  <c r="AL118" i="5"/>
  <c r="AD118" i="5"/>
  <c r="P118" i="5"/>
  <c r="B118" i="5"/>
  <c r="Z118" i="5"/>
  <c r="N118" i="5"/>
  <c r="AD119" i="5"/>
  <c r="N119" i="5"/>
  <c r="Z119" i="5"/>
  <c r="J119" i="5"/>
  <c r="AL119" i="5"/>
  <c r="V119" i="5"/>
  <c r="F119" i="5"/>
  <c r="A121" i="5" a="1"/>
  <c r="A121" i="5" s="1"/>
  <c r="P119" i="5"/>
  <c r="AJ119" i="5"/>
  <c r="L119" i="5"/>
  <c r="AB119" i="5"/>
  <c r="B119" i="5"/>
  <c r="X119" i="5"/>
  <c r="AH119" i="5"/>
  <c r="AF119" i="5"/>
  <c r="T119" i="5"/>
  <c r="H119" i="5"/>
  <c r="R119" i="5"/>
  <c r="D119" i="5"/>
  <c r="AF10" i="10"/>
  <c r="AG10" i="10" a="1"/>
  <c r="AG10" i="10" l="1"/>
  <c r="AL9" i="10"/>
  <c r="AF120" i="5"/>
  <c r="P120" i="5"/>
  <c r="A122" i="5" a="1"/>
  <c r="A122" i="5" s="1"/>
  <c r="AB120" i="5"/>
  <c r="L120" i="5"/>
  <c r="X120" i="5"/>
  <c r="H120" i="5"/>
  <c r="T120" i="5"/>
  <c r="R120" i="5"/>
  <c r="AH120" i="5"/>
  <c r="F120" i="5"/>
  <c r="AD120" i="5"/>
  <c r="D120" i="5"/>
  <c r="B120" i="5"/>
  <c r="AL120" i="5"/>
  <c r="AJ120" i="5"/>
  <c r="Z120" i="5"/>
  <c r="N120" i="5"/>
  <c r="V120" i="5"/>
  <c r="J120" i="5"/>
  <c r="AH121" i="5"/>
  <c r="R121" i="5"/>
  <c r="B121" i="5"/>
  <c r="AD121" i="5"/>
  <c r="N121" i="5"/>
  <c r="Z121" i="5"/>
  <c r="J121" i="5"/>
  <c r="X121" i="5"/>
  <c r="V121" i="5"/>
  <c r="AL121" i="5"/>
  <c r="L121" i="5"/>
  <c r="AJ121" i="5"/>
  <c r="H121" i="5"/>
  <c r="F121" i="5"/>
  <c r="D121" i="5"/>
  <c r="A123" i="5" a="1"/>
  <c r="A123" i="5" s="1"/>
  <c r="AF121" i="5"/>
  <c r="T121" i="5"/>
  <c r="AB121" i="5"/>
  <c r="P121" i="5"/>
  <c r="AN6" i="10" a="1"/>
  <c r="AN6" i="10" s="1"/>
  <c r="AO7" i="10" s="1"/>
  <c r="AQ7" i="10" a="1"/>
  <c r="AQ7" i="10" s="1"/>
  <c r="AM6" i="10" a="1"/>
  <c r="AM6" i="10" s="1"/>
  <c r="AN3" i="10" a="1"/>
  <c r="AN3" i="10" s="1"/>
  <c r="AR1" i="10" a="1"/>
  <c r="AR1" i="10" s="1"/>
  <c r="AQ6" i="10" a="1"/>
  <c r="AQ6" i="10" s="1"/>
  <c r="AM1" i="10"/>
  <c r="AQ2" i="10" a="1"/>
  <c r="AQ2" i="10" s="1"/>
  <c r="AQ3" i="10" a="1"/>
  <c r="AQ3" i="10" s="1"/>
  <c r="AO6" i="10" a="1"/>
  <c r="AO6" i="10" s="1"/>
  <c r="AQ4" i="10" a="1"/>
  <c r="AQ4" i="10" s="1"/>
  <c r="AG12" i="10" a="1"/>
  <c r="AG9" i="10" a="1"/>
  <c r="AG9" i="10" l="1"/>
  <c r="AG12" i="10"/>
  <c r="AJ122" i="5"/>
  <c r="T122" i="5"/>
  <c r="D122" i="5"/>
  <c r="AF122" i="5"/>
  <c r="P122" i="5"/>
  <c r="A124" i="5" a="1"/>
  <c r="A124" i="5" s="1"/>
  <c r="AB122" i="5"/>
  <c r="L122" i="5"/>
  <c r="AD122" i="5"/>
  <c r="F122" i="5"/>
  <c r="Z122" i="5"/>
  <c r="B122" i="5"/>
  <c r="R122" i="5"/>
  <c r="N122" i="5"/>
  <c r="J122" i="5"/>
  <c r="H122" i="5"/>
  <c r="AL122" i="5"/>
  <c r="X122" i="5"/>
  <c r="AH122" i="5"/>
  <c r="V122" i="5"/>
  <c r="AL123" i="5"/>
  <c r="V123" i="5"/>
  <c r="F123" i="5"/>
  <c r="AH123" i="5"/>
  <c r="R123" i="5"/>
  <c r="B123" i="5"/>
  <c r="AD123" i="5"/>
  <c r="N123" i="5"/>
  <c r="AJ123" i="5"/>
  <c r="J123" i="5"/>
  <c r="AF123" i="5"/>
  <c r="H123" i="5"/>
  <c r="X123" i="5"/>
  <c r="T123" i="5"/>
  <c r="P123" i="5"/>
  <c r="L123" i="5"/>
  <c r="D123" i="5"/>
  <c r="A125" i="5" a="1"/>
  <c r="A125" i="5" s="1"/>
  <c r="AB123" i="5"/>
  <c r="Z123" i="5"/>
  <c r="AM7" i="10"/>
  <c r="AM10" i="10"/>
  <c r="AN10" i="10" a="1"/>
  <c r="AN10" i="10" l="1"/>
  <c r="AE17" i="10"/>
  <c r="X124" i="5"/>
  <c r="H124" i="5"/>
  <c r="AJ124" i="5"/>
  <c r="T124" i="5"/>
  <c r="D124" i="5"/>
  <c r="AF124" i="5"/>
  <c r="P124" i="5"/>
  <c r="A126" i="5" a="1"/>
  <c r="A126" i="5" s="1"/>
  <c r="N124" i="5"/>
  <c r="AL124" i="5"/>
  <c r="L124" i="5"/>
  <c r="AB124" i="5"/>
  <c r="B124" i="5"/>
  <c r="Z124" i="5"/>
  <c r="V124" i="5"/>
  <c r="R124" i="5"/>
  <c r="J124" i="5"/>
  <c r="F124" i="5"/>
  <c r="AH124" i="5"/>
  <c r="AD124" i="5"/>
  <c r="Z125" i="5"/>
  <c r="J125" i="5"/>
  <c r="AL125" i="5"/>
  <c r="V125" i="5"/>
  <c r="F125" i="5"/>
  <c r="AH125" i="5"/>
  <c r="R125" i="5"/>
  <c r="B125" i="5"/>
  <c r="T125" i="5"/>
  <c r="P125" i="5"/>
  <c r="AF125" i="5"/>
  <c r="H125" i="5"/>
  <c r="AD125" i="5"/>
  <c r="D125" i="5"/>
  <c r="AB125" i="5"/>
  <c r="X125" i="5"/>
  <c r="N125" i="5"/>
  <c r="L125" i="5"/>
  <c r="A127" i="5" a="1"/>
  <c r="A127" i="5" s="1"/>
  <c r="AJ125" i="5"/>
  <c r="AJ10" i="10" a="1"/>
  <c r="AJ10" i="10" s="1"/>
  <c r="AF14" i="10" a="1"/>
  <c r="AF14" i="10" s="1"/>
  <c r="AG11" i="10" a="1"/>
  <c r="AG11" i="10" s="1"/>
  <c r="AJ15" i="10" a="1"/>
  <c r="AJ15" i="10" s="1"/>
  <c r="AJ14" i="10" a="1"/>
  <c r="AJ14" i="10" s="1"/>
  <c r="AH14" i="10" a="1"/>
  <c r="AH14" i="10" s="1"/>
  <c r="AG14" i="10" a="1"/>
  <c r="AG14" i="10" s="1"/>
  <c r="AH15" i="10" s="1"/>
  <c r="AJ11" i="10" a="1"/>
  <c r="AJ11" i="10" s="1"/>
  <c r="AK9" i="10" a="1"/>
  <c r="AK9" i="10" s="1"/>
  <c r="AF9" i="10"/>
  <c r="AJ12" i="10" a="1"/>
  <c r="AJ12" i="10" s="1"/>
  <c r="AN12" i="10" a="1"/>
  <c r="AN9" i="10" a="1"/>
  <c r="AF15" i="10" l="1"/>
  <c r="AN9" i="10"/>
  <c r="AN12" i="10"/>
  <c r="A128" i="5" a="1"/>
  <c r="A128" i="5" s="1"/>
  <c r="AB126" i="5"/>
  <c r="L126" i="5"/>
  <c r="X126" i="5"/>
  <c r="H126" i="5"/>
  <c r="AJ126" i="5"/>
  <c r="T126" i="5"/>
  <c r="D126" i="5"/>
  <c r="Z126" i="5"/>
  <c r="V126" i="5"/>
  <c r="AL126" i="5"/>
  <c r="N126" i="5"/>
  <c r="AH126" i="5"/>
  <c r="J126" i="5"/>
  <c r="AF126" i="5"/>
  <c r="AD126" i="5"/>
  <c r="R126" i="5"/>
  <c r="P126" i="5"/>
  <c r="F126" i="5"/>
  <c r="B126" i="5"/>
  <c r="AD127" i="5"/>
  <c r="N127" i="5"/>
  <c r="Z127" i="5"/>
  <c r="J127" i="5"/>
  <c r="AL127" i="5"/>
  <c r="V127" i="5"/>
  <c r="F127" i="5"/>
  <c r="AF127" i="5"/>
  <c r="D127" i="5"/>
  <c r="AB127" i="5"/>
  <c r="B127" i="5"/>
  <c r="R127" i="5"/>
  <c r="A129" i="5" a="1"/>
  <c r="A129" i="5" s="1"/>
  <c r="P127" i="5"/>
  <c r="AJ127" i="5"/>
  <c r="AH127" i="5"/>
  <c r="X127" i="5"/>
  <c r="T127" i="5"/>
  <c r="L127" i="5"/>
  <c r="H127" i="5"/>
  <c r="AF18" i="10"/>
  <c r="AG18" i="10" a="1"/>
  <c r="AG18" i="10" l="1"/>
  <c r="AL17" i="10"/>
  <c r="AH129" i="5"/>
  <c r="R129" i="5"/>
  <c r="B129" i="5"/>
  <c r="AD129" i="5"/>
  <c r="N129" i="5"/>
  <c r="Z129" i="5"/>
  <c r="J129" i="5"/>
  <c r="A131" i="5" a="1"/>
  <c r="A131" i="5" s="1"/>
  <c r="P129" i="5"/>
  <c r="AL129" i="5"/>
  <c r="L129" i="5"/>
  <c r="AB129" i="5"/>
  <c r="D129" i="5"/>
  <c r="X129" i="5"/>
  <c r="AJ129" i="5"/>
  <c r="AF129" i="5"/>
  <c r="V129" i="5"/>
  <c r="H129" i="5"/>
  <c r="T129" i="5"/>
  <c r="F129" i="5"/>
  <c r="AF128" i="5"/>
  <c r="P128" i="5"/>
  <c r="A130" i="5" a="1"/>
  <c r="A130" i="5" s="1"/>
  <c r="AB128" i="5"/>
  <c r="L128" i="5"/>
  <c r="X128" i="5"/>
  <c r="H128" i="5"/>
  <c r="AJ128" i="5"/>
  <c r="J128" i="5"/>
  <c r="AH128" i="5"/>
  <c r="F128" i="5"/>
  <c r="V128" i="5"/>
  <c r="T128" i="5"/>
  <c r="AL128" i="5"/>
  <c r="AD128" i="5"/>
  <c r="Z128" i="5"/>
  <c r="R128" i="5"/>
  <c r="D128" i="5"/>
  <c r="N128" i="5"/>
  <c r="B128" i="5"/>
  <c r="AQ15" i="10" a="1"/>
  <c r="AQ15" i="10" s="1"/>
  <c r="AN14" i="10" a="1"/>
  <c r="AN14" i="10" s="1"/>
  <c r="AO15" i="10" s="1"/>
  <c r="AM9" i="10"/>
  <c r="AQ12" i="10" a="1"/>
  <c r="AQ12" i="10" s="1"/>
  <c r="AO14" i="10" a="1"/>
  <c r="AO14" i="10" s="1"/>
  <c r="AM14" i="10" a="1"/>
  <c r="AM14" i="10" s="1"/>
  <c r="AQ11" i="10" a="1"/>
  <c r="AQ11" i="10" s="1"/>
  <c r="AN11" i="10" a="1"/>
  <c r="AN11" i="10" s="1"/>
  <c r="AQ10" i="10" a="1"/>
  <c r="AQ10" i="10" s="1"/>
  <c r="AR9" i="10" a="1"/>
  <c r="AR9" i="10" s="1"/>
  <c r="AQ14" i="10" a="1"/>
  <c r="AQ14" i="10" s="1"/>
  <c r="AG17" i="10" a="1"/>
  <c r="AG20" i="10" a="1"/>
  <c r="AM15" i="10" l="1"/>
  <c r="AG20" i="10"/>
  <c r="AG17" i="10"/>
  <c r="AL131" i="5"/>
  <c r="V131" i="5"/>
  <c r="F131" i="5"/>
  <c r="AH131" i="5"/>
  <c r="R131" i="5"/>
  <c r="B131" i="5"/>
  <c r="AD131" i="5"/>
  <c r="N131" i="5"/>
  <c r="Z131" i="5"/>
  <c r="X131" i="5"/>
  <c r="L131" i="5"/>
  <c r="AJ131" i="5"/>
  <c r="J131" i="5"/>
  <c r="H131" i="5"/>
  <c r="D131" i="5"/>
  <c r="A133" i="5" a="1"/>
  <c r="A133" i="5" s="1"/>
  <c r="AF131" i="5"/>
  <c r="T131" i="5"/>
  <c r="AB131" i="5"/>
  <c r="P131" i="5"/>
  <c r="AJ130" i="5"/>
  <c r="T130" i="5"/>
  <c r="D130" i="5"/>
  <c r="AF130" i="5"/>
  <c r="P130" i="5"/>
  <c r="A132" i="5" a="1"/>
  <c r="A132" i="5" s="1"/>
  <c r="AB130" i="5"/>
  <c r="L130" i="5"/>
  <c r="V130" i="5"/>
  <c r="R130" i="5"/>
  <c r="AH130" i="5"/>
  <c r="H130" i="5"/>
  <c r="AD130" i="5"/>
  <c r="F130" i="5"/>
  <c r="B130" i="5"/>
  <c r="AL130" i="5"/>
  <c r="Z130" i="5"/>
  <c r="N130" i="5"/>
  <c r="X130" i="5"/>
  <c r="J130" i="5"/>
  <c r="AM18" i="10"/>
  <c r="AN18" i="10" a="1"/>
  <c r="AN18" i="10" l="1"/>
  <c r="AE25" i="10"/>
  <c r="X132" i="5"/>
  <c r="H132" i="5"/>
  <c r="AJ132" i="5"/>
  <c r="T132" i="5"/>
  <c r="D132" i="5"/>
  <c r="AF132" i="5"/>
  <c r="P132" i="5"/>
  <c r="AD132" i="5"/>
  <c r="F132" i="5"/>
  <c r="AB132" i="5"/>
  <c r="B132" i="5"/>
  <c r="R132" i="5"/>
  <c r="A134" i="5" a="1"/>
  <c r="A134" i="5" s="1"/>
  <c r="N132" i="5"/>
  <c r="L132" i="5"/>
  <c r="J132" i="5"/>
  <c r="AL132" i="5"/>
  <c r="Z132" i="5"/>
  <c r="AH132" i="5"/>
  <c r="V132" i="5"/>
  <c r="Z133" i="5"/>
  <c r="J133" i="5"/>
  <c r="AL133" i="5"/>
  <c r="V133" i="5"/>
  <c r="F133" i="5"/>
  <c r="AH133" i="5"/>
  <c r="R133" i="5"/>
  <c r="B133" i="5"/>
  <c r="AJ133" i="5"/>
  <c r="L133" i="5"/>
  <c r="AF133" i="5"/>
  <c r="H133" i="5"/>
  <c r="X133" i="5"/>
  <c r="T133" i="5"/>
  <c r="P133" i="5"/>
  <c r="N133" i="5"/>
  <c r="D133" i="5"/>
  <c r="AD133" i="5"/>
  <c r="A135" i="5" a="1"/>
  <c r="A135" i="5" s="1"/>
  <c r="AB133" i="5"/>
  <c r="AH22" i="10" a="1"/>
  <c r="AH22" i="10" s="1"/>
  <c r="AG22" i="10" a="1"/>
  <c r="AG22" i="10" s="1"/>
  <c r="AF23" i="10" s="1"/>
  <c r="AJ19" i="10" a="1"/>
  <c r="AJ19" i="10" s="1"/>
  <c r="AF22" i="10" a="1"/>
  <c r="AF22" i="10" s="1"/>
  <c r="AG19" i="10" a="1"/>
  <c r="AG19" i="10" s="1"/>
  <c r="AJ18" i="10" a="1"/>
  <c r="AJ18" i="10" s="1"/>
  <c r="AK17" i="10" a="1"/>
  <c r="AK17" i="10" s="1"/>
  <c r="AJ23" i="10" a="1"/>
  <c r="AJ23" i="10" s="1"/>
  <c r="AJ22" i="10" a="1"/>
  <c r="AJ22" i="10" s="1"/>
  <c r="AF17" i="10"/>
  <c r="AJ20" i="10" a="1"/>
  <c r="AJ20" i="10" s="1"/>
  <c r="AN20" i="10" a="1"/>
  <c r="AN17" i="10" a="1"/>
  <c r="AN17" i="10" l="1"/>
  <c r="AN20" i="10"/>
  <c r="AH23" i="10"/>
  <c r="AD135" i="5"/>
  <c r="N135" i="5"/>
  <c r="Z135" i="5"/>
  <c r="J135" i="5"/>
  <c r="AL135" i="5"/>
  <c r="V135" i="5"/>
  <c r="F135" i="5"/>
  <c r="T135" i="5"/>
  <c r="R135" i="5"/>
  <c r="AH135" i="5"/>
  <c r="H135" i="5"/>
  <c r="AF135" i="5"/>
  <c r="D135" i="5"/>
  <c r="AB135" i="5"/>
  <c r="X135" i="5"/>
  <c r="P135" i="5"/>
  <c r="L135" i="5"/>
  <c r="B135" i="5"/>
  <c r="A137" i="5" a="1"/>
  <c r="A137" i="5" s="1"/>
  <c r="AJ135" i="5"/>
  <c r="A136" i="5" a="1"/>
  <c r="A136" i="5" s="1"/>
  <c r="AB134" i="5"/>
  <c r="L134" i="5"/>
  <c r="X134" i="5"/>
  <c r="H134" i="5"/>
  <c r="AJ134" i="5"/>
  <c r="T134" i="5"/>
  <c r="D134" i="5"/>
  <c r="P134" i="5"/>
  <c r="AL134" i="5"/>
  <c r="N134" i="5"/>
  <c r="AD134" i="5"/>
  <c r="B134" i="5"/>
  <c r="Z134" i="5"/>
  <c r="V134" i="5"/>
  <c r="R134" i="5"/>
  <c r="J134" i="5"/>
  <c r="F134" i="5"/>
  <c r="AH134" i="5"/>
  <c r="AF134" i="5"/>
  <c r="AF26" i="10"/>
  <c r="AG26" i="10" a="1"/>
  <c r="AG26" i="10" l="1"/>
  <c r="AL25" i="10"/>
  <c r="AH137" i="5"/>
  <c r="R137" i="5"/>
  <c r="B137" i="5"/>
  <c r="AD137" i="5"/>
  <c r="N137" i="5"/>
  <c r="A139" i="5" a="1"/>
  <c r="A139" i="5" s="1"/>
  <c r="Z137" i="5"/>
  <c r="J137" i="5"/>
  <c r="AF137" i="5"/>
  <c r="F137" i="5"/>
  <c r="AB137" i="5"/>
  <c r="D137" i="5"/>
  <c r="T137" i="5"/>
  <c r="P137" i="5"/>
  <c r="AL137" i="5"/>
  <c r="AJ137" i="5"/>
  <c r="X137" i="5"/>
  <c r="V137" i="5"/>
  <c r="L137" i="5"/>
  <c r="H137" i="5"/>
  <c r="AF136" i="5"/>
  <c r="P136" i="5"/>
  <c r="A138" i="5" a="1"/>
  <c r="A138" i="5" s="1"/>
  <c r="AB136" i="5"/>
  <c r="L136" i="5"/>
  <c r="X136" i="5"/>
  <c r="H136" i="5"/>
  <c r="Z136" i="5"/>
  <c r="B136" i="5"/>
  <c r="V136" i="5"/>
  <c r="AL136" i="5"/>
  <c r="N136" i="5"/>
  <c r="AJ136" i="5"/>
  <c r="J136" i="5"/>
  <c r="AH136" i="5"/>
  <c r="AD136" i="5"/>
  <c r="T136" i="5"/>
  <c r="R136" i="5"/>
  <c r="F136" i="5"/>
  <c r="D136" i="5"/>
  <c r="AO22" i="10" a="1"/>
  <c r="AO22" i="10" s="1"/>
  <c r="AN19" i="10" a="1"/>
  <c r="AN19" i="10" s="1"/>
  <c r="AQ22" i="10" a="1"/>
  <c r="AQ22" i="10" s="1"/>
  <c r="AM17" i="10"/>
  <c r="AQ23" i="10" a="1"/>
  <c r="AQ23" i="10" s="1"/>
  <c r="AN22" i="10" a="1"/>
  <c r="AN22" i="10" s="1"/>
  <c r="AO23" i="10" s="1"/>
  <c r="AQ20" i="10" a="1"/>
  <c r="AQ20" i="10" s="1"/>
  <c r="AM22" i="10" a="1"/>
  <c r="AM22" i="10" s="1"/>
  <c r="AQ19" i="10" a="1"/>
  <c r="AQ19" i="10" s="1"/>
  <c r="AQ18" i="10" a="1"/>
  <c r="AQ18" i="10" s="1"/>
  <c r="AR17" i="10" a="1"/>
  <c r="AR17" i="10" s="1"/>
  <c r="AG28" i="10" a="1"/>
  <c r="AG25" i="10" a="1"/>
  <c r="AM23" i="10" l="1"/>
  <c r="AG25" i="10"/>
  <c r="AG28" i="10"/>
  <c r="AJ138" i="5"/>
  <c r="T138" i="5"/>
  <c r="D138" i="5"/>
  <c r="AF138" i="5"/>
  <c r="P138" i="5"/>
  <c r="A140" i="5" a="1"/>
  <c r="A140" i="5" s="1"/>
  <c r="AB138" i="5"/>
  <c r="L138" i="5"/>
  <c r="AL138" i="5"/>
  <c r="J138" i="5"/>
  <c r="AH138" i="5"/>
  <c r="H138" i="5"/>
  <c r="X138" i="5"/>
  <c r="V138" i="5"/>
  <c r="AD138" i="5"/>
  <c r="Z138" i="5"/>
  <c r="R138" i="5"/>
  <c r="F138" i="5"/>
  <c r="N138" i="5"/>
  <c r="B138" i="5"/>
  <c r="AL139" i="5"/>
  <c r="V139" i="5"/>
  <c r="F139" i="5"/>
  <c r="AH139" i="5"/>
  <c r="R139" i="5"/>
  <c r="B139" i="5"/>
  <c r="AF139" i="5"/>
  <c r="P139" i="5"/>
  <c r="AD139" i="5"/>
  <c r="N139" i="5"/>
  <c r="X139" i="5"/>
  <c r="T139" i="5"/>
  <c r="H139" i="5"/>
  <c r="AJ139" i="5"/>
  <c r="D139" i="5"/>
  <c r="A141" i="5" a="1"/>
  <c r="A141" i="5" s="1"/>
  <c r="AB139" i="5"/>
  <c r="L139" i="5"/>
  <c r="Z139" i="5"/>
  <c r="J139" i="5"/>
  <c r="AM26" i="10"/>
  <c r="AN26" i="10" a="1"/>
  <c r="AN26" i="10" l="1"/>
  <c r="AE33" i="10"/>
  <c r="Z141" i="5"/>
  <c r="J141" i="5"/>
  <c r="AL141" i="5"/>
  <c r="V141" i="5"/>
  <c r="F141" i="5"/>
  <c r="AJ141" i="5"/>
  <c r="T141" i="5"/>
  <c r="D141" i="5"/>
  <c r="AH141" i="5"/>
  <c r="R141" i="5"/>
  <c r="B141" i="5"/>
  <c r="A143" i="5" a="1"/>
  <c r="A143" i="5" s="1"/>
  <c r="AB141" i="5"/>
  <c r="X141" i="5"/>
  <c r="L141" i="5"/>
  <c r="H141" i="5"/>
  <c r="AF141" i="5"/>
  <c r="AD141" i="5"/>
  <c r="P141" i="5"/>
  <c r="N141" i="5"/>
  <c r="X140" i="5"/>
  <c r="H140" i="5"/>
  <c r="AJ140" i="5"/>
  <c r="T140" i="5"/>
  <c r="D140" i="5"/>
  <c r="AH140" i="5"/>
  <c r="R140" i="5"/>
  <c r="B140" i="5"/>
  <c r="AF140" i="5"/>
  <c r="P140" i="5"/>
  <c r="J140" i="5"/>
  <c r="AL140" i="5"/>
  <c r="F140" i="5"/>
  <c r="Z140" i="5"/>
  <c r="V140" i="5"/>
  <c r="N140" i="5"/>
  <c r="L140" i="5"/>
  <c r="AD140" i="5"/>
  <c r="A142" i="5" a="1"/>
  <c r="A142" i="5" s="1"/>
  <c r="AB140" i="5"/>
  <c r="AF30" i="10" a="1"/>
  <c r="AF30" i="10" s="1"/>
  <c r="AJ27" i="10" a="1"/>
  <c r="AJ27" i="10" s="1"/>
  <c r="AK25" i="10" a="1"/>
  <c r="AK25" i="10" s="1"/>
  <c r="AJ26" i="10" a="1"/>
  <c r="AJ26" i="10" s="1"/>
  <c r="AJ30" i="10" a="1"/>
  <c r="AJ30" i="10" s="1"/>
  <c r="AG27" i="10" a="1"/>
  <c r="AG27" i="10" s="1"/>
  <c r="AJ31" i="10" a="1"/>
  <c r="AJ31" i="10" s="1"/>
  <c r="AH30" i="10" a="1"/>
  <c r="AH30" i="10" s="1"/>
  <c r="AG30" i="10" a="1"/>
  <c r="AG30" i="10" s="1"/>
  <c r="AF31" i="10" s="1"/>
  <c r="AJ28" i="10" a="1"/>
  <c r="AJ28" i="10" s="1"/>
  <c r="AF25" i="10"/>
  <c r="AN28" i="10" a="1"/>
  <c r="AN25" i="10" a="1"/>
  <c r="AN25" i="10" l="1"/>
  <c r="AN28" i="10"/>
  <c r="AD143" i="5"/>
  <c r="N143" i="5"/>
  <c r="Z143" i="5"/>
  <c r="J143" i="5"/>
  <c r="X143" i="5"/>
  <c r="H143" i="5"/>
  <c r="AL143" i="5"/>
  <c r="V143" i="5"/>
  <c r="F143" i="5"/>
  <c r="AJ143" i="5"/>
  <c r="T143" i="5"/>
  <c r="D143" i="5"/>
  <c r="AH143" i="5"/>
  <c r="R143" i="5"/>
  <c r="P143" i="5"/>
  <c r="A145" i="5" a="1"/>
  <c r="A145" i="5" s="1"/>
  <c r="L143" i="5"/>
  <c r="B143" i="5"/>
  <c r="AF143" i="5"/>
  <c r="AB143" i="5"/>
  <c r="AH31" i="10"/>
  <c r="A144" i="5" a="1"/>
  <c r="A144" i="5" s="1"/>
  <c r="AB142" i="5"/>
  <c r="L142" i="5"/>
  <c r="X142" i="5"/>
  <c r="H142" i="5"/>
  <c r="AL142" i="5"/>
  <c r="V142" i="5"/>
  <c r="F142" i="5"/>
  <c r="AJ142" i="5"/>
  <c r="T142" i="5"/>
  <c r="D142" i="5"/>
  <c r="N142" i="5"/>
  <c r="J142" i="5"/>
  <c r="AD142" i="5"/>
  <c r="Z142" i="5"/>
  <c r="AH142" i="5"/>
  <c r="AF142" i="5"/>
  <c r="R142" i="5"/>
  <c r="B142" i="5"/>
  <c r="P142" i="5"/>
  <c r="AF34" i="10"/>
  <c r="AG34" i="10" a="1"/>
  <c r="AG34" i="10" l="1"/>
  <c r="AL33" i="10"/>
  <c r="AF144" i="5"/>
  <c r="P144" i="5"/>
  <c r="AB144" i="5"/>
  <c r="L144" i="5"/>
  <c r="Z144" i="5"/>
  <c r="J144" i="5"/>
  <c r="X144" i="5"/>
  <c r="H144" i="5"/>
  <c r="AL144" i="5"/>
  <c r="V144" i="5"/>
  <c r="F144" i="5"/>
  <c r="AJ144" i="5"/>
  <c r="AH144" i="5"/>
  <c r="R144" i="5"/>
  <c r="N144" i="5"/>
  <c r="AD144" i="5"/>
  <c r="T144" i="5"/>
  <c r="D144" i="5"/>
  <c r="B144" i="5"/>
  <c r="AH145" i="5"/>
  <c r="R145" i="5"/>
  <c r="B145" i="5"/>
  <c r="AD145" i="5"/>
  <c r="N145" i="5"/>
  <c r="AB145" i="5"/>
  <c r="L145" i="5"/>
  <c r="Z145" i="5"/>
  <c r="J145" i="5"/>
  <c r="X145" i="5"/>
  <c r="H145" i="5"/>
  <c r="AJ145" i="5"/>
  <c r="AF145" i="5"/>
  <c r="P145" i="5"/>
  <c r="F145" i="5"/>
  <c r="AL145" i="5"/>
  <c r="T145" i="5"/>
  <c r="D145" i="5"/>
  <c r="V145" i="5"/>
  <c r="AM30" i="10" a="1"/>
  <c r="AM30" i="10" s="1"/>
  <c r="AQ31" i="10" a="1"/>
  <c r="AQ31" i="10" s="1"/>
  <c r="AN30" i="10" a="1"/>
  <c r="AN30" i="10" s="1"/>
  <c r="AO31" i="10" s="1"/>
  <c r="AQ28" i="10" a="1"/>
  <c r="AQ28" i="10" s="1"/>
  <c r="AR25" i="10" a="1"/>
  <c r="AR25" i="10" s="1"/>
  <c r="AO30" i="10" a="1"/>
  <c r="AO30" i="10" s="1"/>
  <c r="AQ27" i="10" a="1"/>
  <c r="AQ27" i="10" s="1"/>
  <c r="AQ26" i="10" a="1"/>
  <c r="AQ26" i="10" s="1"/>
  <c r="AN27" i="10" a="1"/>
  <c r="AN27" i="10" s="1"/>
  <c r="AM25" i="10"/>
  <c r="AQ30" i="10" a="1"/>
  <c r="AQ30" i="10" s="1"/>
  <c r="AG36" i="10" a="1"/>
  <c r="I1" i="8"/>
  <c r="AG33" i="10" a="1"/>
  <c r="I2" i="8"/>
  <c r="AM31" i="10" l="1"/>
  <c r="E226" i="9"/>
  <c r="AG33" i="10"/>
  <c r="E225" i="9"/>
  <c r="A9" i="6"/>
  <c r="AG36" i="10"/>
  <c r="L147" i="5" a="1"/>
  <c r="L147" i="5" s="1"/>
  <c r="L146" i="5" a="1"/>
  <c r="L146" i="5" s="1"/>
  <c r="T147" i="5" a="1"/>
  <c r="T147" i="5" s="1"/>
  <c r="T146" i="5" a="1"/>
  <c r="T146" i="5" s="1"/>
  <c r="C8" i="6" s="1"/>
  <c r="K8" i="6" s="1"/>
  <c r="F8" i="6" s="1"/>
  <c r="J147" i="5" a="1"/>
  <c r="J147" i="5" s="1"/>
  <c r="J146" i="5" a="1"/>
  <c r="J146" i="5" s="1"/>
  <c r="C4" i="6" s="1"/>
  <c r="K4" i="6" s="1"/>
  <c r="F4" i="6" s="1"/>
  <c r="AH146" i="5" a="1"/>
  <c r="AH146" i="5" s="1"/>
  <c r="AH147" i="5" a="1"/>
  <c r="AH147" i="5" s="1"/>
  <c r="F146" i="5" a="1"/>
  <c r="F146" i="5" s="1"/>
  <c r="C2" i="6" s="1"/>
  <c r="K2" i="6" s="1"/>
  <c r="F2" i="6" s="1"/>
  <c r="F147" i="5" a="1"/>
  <c r="F147" i="5" s="1"/>
  <c r="P147" i="5" a="1"/>
  <c r="P147" i="5" s="1"/>
  <c r="P146" i="5" a="1"/>
  <c r="P146" i="5" s="1"/>
  <c r="C6" i="6" s="1"/>
  <c r="K6" i="6" s="1"/>
  <c r="F6" i="6" s="1"/>
  <c r="AB147" i="5" a="1"/>
  <c r="AB147" i="5" s="1"/>
  <c r="AB146" i="5" a="1"/>
  <c r="AB146" i="5" s="1"/>
  <c r="AF146" i="5" a="1"/>
  <c r="AF146" i="5" s="1"/>
  <c r="AF147" i="5" a="1"/>
  <c r="AF147" i="5" s="1"/>
  <c r="N147" i="5" a="1"/>
  <c r="N147" i="5" s="1"/>
  <c r="N146" i="5" a="1"/>
  <c r="N146" i="5" s="1"/>
  <c r="AJ147" i="5" a="1"/>
  <c r="AJ147" i="5" s="1"/>
  <c r="AJ146" i="5" a="1"/>
  <c r="AJ146" i="5" s="1"/>
  <c r="AD147" i="5" a="1"/>
  <c r="AD147" i="5" s="1"/>
  <c r="AD146" i="5" a="1"/>
  <c r="AD146" i="5" s="1"/>
  <c r="Z147" i="5" a="1"/>
  <c r="Z147" i="5" s="1"/>
  <c r="Z146" i="5" a="1"/>
  <c r="Z146" i="5" s="1"/>
  <c r="V147" i="5" a="1"/>
  <c r="V147" i="5" s="1"/>
  <c r="V146" i="5" a="1"/>
  <c r="V146" i="5" s="1"/>
  <c r="H147" i="5" a="1"/>
  <c r="H147" i="5" s="1"/>
  <c r="H146" i="5" a="1"/>
  <c r="H146" i="5" s="1"/>
  <c r="C3" i="6" s="1"/>
  <c r="K3" i="6" s="1"/>
  <c r="F3" i="6" s="1"/>
  <c r="B146" i="5" a="1"/>
  <c r="B146" i="5" s="1"/>
  <c r="B147" i="5" a="1"/>
  <c r="B147" i="5" s="1"/>
  <c r="D147" i="5" a="1"/>
  <c r="D147" i="5" s="1"/>
  <c r="D146" i="5" a="1"/>
  <c r="D146" i="5" s="1"/>
  <c r="X147" i="5" a="1"/>
  <c r="X147" i="5" s="1"/>
  <c r="X146" i="5" a="1"/>
  <c r="X146" i="5" s="1"/>
  <c r="R147" i="5" a="1"/>
  <c r="R147" i="5" s="1"/>
  <c r="R146" i="5" a="1"/>
  <c r="R146" i="5" s="1"/>
  <c r="C7" i="6" s="1"/>
  <c r="K7" i="6" s="1"/>
  <c r="F7" i="6" s="1"/>
  <c r="H209" i="9" a="1"/>
  <c r="H201" i="9" a="1"/>
  <c r="H189" i="9" a="1"/>
  <c r="H193" i="9" a="1"/>
  <c r="H205" i="9" a="1"/>
  <c r="C213" i="9" a="1"/>
  <c r="AM34" i="10"/>
  <c r="AN34" i="10" a="1"/>
  <c r="H185" i="9" a="1"/>
  <c r="H185" i="9" l="1"/>
  <c r="AN34" i="10"/>
  <c r="AE41" i="10"/>
  <c r="C213" i="9"/>
  <c r="H205" i="9"/>
  <c r="H193" i="9"/>
  <c r="H189" i="9"/>
  <c r="H201" i="9"/>
  <c r="H209" i="9"/>
  <c r="C5" i="6"/>
  <c r="K5" i="6" s="1"/>
  <c r="F5" i="6" s="1"/>
  <c r="E6" i="8"/>
  <c r="AJ39" i="10" a="1"/>
  <c r="AJ39" i="10" s="1"/>
  <c r="AG38" i="10" a="1"/>
  <c r="AG38" i="10" s="1"/>
  <c r="AH39" i="10" s="1"/>
  <c r="AJ35" i="10" a="1"/>
  <c r="AJ35" i="10" s="1"/>
  <c r="AK33" i="10" a="1"/>
  <c r="AK33" i="10" s="1"/>
  <c r="AF38" i="10" a="1"/>
  <c r="AF38" i="10" s="1"/>
  <c r="AF33" i="10"/>
  <c r="AJ38" i="10" a="1"/>
  <c r="AJ38" i="10" s="1"/>
  <c r="AJ34" i="10" a="1"/>
  <c r="AJ34" i="10" s="1"/>
  <c r="AG35" i="10" a="1"/>
  <c r="AG35" i="10" s="1"/>
  <c r="AH38" i="10" a="1"/>
  <c r="AH38" i="10" s="1"/>
  <c r="AJ36" i="10" a="1"/>
  <c r="AJ36" i="10" s="1"/>
  <c r="AN33" i="10" a="1"/>
  <c r="H197" i="9" a="1"/>
  <c r="AN36" i="10" a="1"/>
  <c r="AF39" i="10" l="1"/>
  <c r="AN36" i="10"/>
  <c r="H197" i="9"/>
  <c r="AN33" i="10"/>
  <c r="Q205" i="9"/>
  <c r="P205" i="9" s="1"/>
  <c r="K205" i="9"/>
  <c r="L205" i="9" s="1"/>
  <c r="F205" i="9"/>
  <c r="G205" i="9" s="1"/>
  <c r="F213" i="9"/>
  <c r="G213" i="9" s="1"/>
  <c r="J213" i="9"/>
  <c r="Q193" i="9"/>
  <c r="P193" i="9" s="1"/>
  <c r="K193" i="9"/>
  <c r="L193" i="9" s="1"/>
  <c r="F193" i="9"/>
  <c r="G193" i="9" s="1"/>
  <c r="H184" i="9"/>
  <c r="C6" i="8"/>
  <c r="F184" i="9" s="1"/>
  <c r="Q209" i="9"/>
  <c r="P209" i="9" s="1"/>
  <c r="K209" i="9"/>
  <c r="L209" i="9" s="1"/>
  <c r="F209" i="9"/>
  <c r="G209" i="9" s="1"/>
  <c r="Q201" i="9"/>
  <c r="P201" i="9" s="1"/>
  <c r="K201" i="9"/>
  <c r="L201" i="9" s="1"/>
  <c r="F201" i="9"/>
  <c r="G201" i="9" s="1"/>
  <c r="Q189" i="9"/>
  <c r="P189" i="9" s="1"/>
  <c r="K189" i="9"/>
  <c r="L189" i="9" s="1"/>
  <c r="F189" i="9"/>
  <c r="G189" i="9" s="1"/>
  <c r="Q185" i="9"/>
  <c r="P185" i="9" s="1"/>
  <c r="K185" i="9"/>
  <c r="L185" i="9" s="1"/>
  <c r="F185" i="9"/>
  <c r="G185" i="9" s="1"/>
  <c r="AF42" i="10"/>
  <c r="AG42" i="10" a="1"/>
  <c r="D6" i="8" l="1"/>
  <c r="G184" i="9" s="1"/>
  <c r="AG42" i="10"/>
  <c r="AL41" i="10"/>
  <c r="AO38" i="10" a="1"/>
  <c r="AO38" i="10" s="1"/>
  <c r="AQ38" i="10" a="1"/>
  <c r="AQ38" i="10" s="1"/>
  <c r="AQ35" i="10" a="1"/>
  <c r="AQ35" i="10" s="1"/>
  <c r="AQ34" i="10" a="1"/>
  <c r="AQ34" i="10" s="1"/>
  <c r="AN38" i="10" a="1"/>
  <c r="AN38" i="10" s="1"/>
  <c r="AM39" i="10" s="1"/>
  <c r="AM38" i="10" a="1"/>
  <c r="AM38" i="10" s="1"/>
  <c r="AQ36" i="10" a="1"/>
  <c r="AQ36" i="10" s="1"/>
  <c r="AN35" i="10" a="1"/>
  <c r="AN35" i="10" s="1"/>
  <c r="AR33" i="10" a="1"/>
  <c r="AR33" i="10" s="1"/>
  <c r="AQ39" i="10" a="1"/>
  <c r="AQ39" i="10" s="1"/>
  <c r="AM33" i="10"/>
  <c r="Q197" i="9"/>
  <c r="P197" i="9" s="1"/>
  <c r="K197" i="9"/>
  <c r="L197" i="9" s="1"/>
  <c r="F197" i="9"/>
  <c r="G197" i="9" s="1"/>
  <c r="AG41" i="10" a="1"/>
  <c r="AG44" i="10" a="1"/>
  <c r="AO39" i="10" l="1"/>
  <c r="AG44" i="10"/>
  <c r="AG41" i="10"/>
  <c r="AM42" i="10"/>
  <c r="AN42" i="10" a="1"/>
  <c r="AN42" i="10" l="1"/>
  <c r="AT1" i="10"/>
  <c r="AJ46" i="10" a="1"/>
  <c r="AJ46" i="10" s="1"/>
  <c r="AJ44" i="10" a="1"/>
  <c r="AJ44" i="10" s="1"/>
  <c r="AH46" i="10" a="1"/>
  <c r="AH46" i="10" s="1"/>
  <c r="AF41" i="10"/>
  <c r="AK41" i="10" a="1"/>
  <c r="AK41" i="10" s="1"/>
  <c r="AG46" i="10" a="1"/>
  <c r="AG46" i="10" s="1"/>
  <c r="AH47" i="10" s="1"/>
  <c r="AJ47" i="10" a="1"/>
  <c r="AJ47" i="10" s="1"/>
  <c r="AJ42" i="10" a="1"/>
  <c r="AJ42" i="10" s="1"/>
  <c r="AF46" i="10" a="1"/>
  <c r="AF46" i="10" s="1"/>
  <c r="AJ43" i="10" a="1"/>
  <c r="AJ43" i="10" s="1"/>
  <c r="AG43" i="10" a="1"/>
  <c r="AG43" i="10" s="1"/>
  <c r="AN44" i="10" a="1"/>
  <c r="AN41" i="10" a="1"/>
  <c r="AF47" i="10" l="1"/>
  <c r="AN41" i="10"/>
  <c r="AN44" i="10"/>
  <c r="AU2" i="10"/>
  <c r="AV2" i="10" a="1"/>
  <c r="AV2" i="10" l="1"/>
  <c r="BA1" i="10"/>
  <c r="AQ47" i="10" a="1"/>
  <c r="AQ47" i="10" s="1"/>
  <c r="AQ46" i="10" a="1"/>
  <c r="AQ46" i="10" s="1"/>
  <c r="AQ44" i="10" a="1"/>
  <c r="AQ44" i="10" s="1"/>
  <c r="AQ43" i="10" a="1"/>
  <c r="AQ43" i="10" s="1"/>
  <c r="AM46" i="10" a="1"/>
  <c r="AM46" i="10" s="1"/>
  <c r="AQ42" i="10" a="1"/>
  <c r="AQ42" i="10" s="1"/>
  <c r="AN43" i="10" a="1"/>
  <c r="AN43" i="10" s="1"/>
  <c r="AM41" i="10"/>
  <c r="AN46" i="10" a="1"/>
  <c r="AN46" i="10" s="1"/>
  <c r="AO47" i="10" s="1"/>
  <c r="AO46" i="10" a="1"/>
  <c r="AO46" i="10" s="1"/>
  <c r="AR41" i="10" a="1"/>
  <c r="AR41" i="10" s="1"/>
  <c r="AV1" i="10" a="1"/>
  <c r="AV4" i="10" a="1"/>
  <c r="AV4" i="10" l="1"/>
  <c r="AV1" i="10"/>
  <c r="AM47" i="10"/>
  <c r="BB2" i="10"/>
  <c r="BC2" i="10" a="1"/>
  <c r="BC2" i="10" l="1"/>
  <c r="AT9" i="10"/>
  <c r="AV6" i="10" a="1"/>
  <c r="AV6" i="10" s="1"/>
  <c r="AU7" i="10" s="1"/>
  <c r="AY4" i="10" a="1"/>
  <c r="AY4" i="10" s="1"/>
  <c r="AU6" i="10" a="1"/>
  <c r="AU6" i="10" s="1"/>
  <c r="AW6" i="10" a="1"/>
  <c r="AW6" i="10" s="1"/>
  <c r="AY3" i="10" a="1"/>
  <c r="AY3" i="10" s="1"/>
  <c r="AV3" i="10" a="1"/>
  <c r="AV3" i="10" s="1"/>
  <c r="AZ1" i="10" a="1"/>
  <c r="AZ1" i="10" s="1"/>
  <c r="AY7" i="10" a="1"/>
  <c r="AY7" i="10" s="1"/>
  <c r="AY6" i="10" a="1"/>
  <c r="AY6" i="10" s="1"/>
  <c r="AU1" i="10"/>
  <c r="AY2" i="10" a="1"/>
  <c r="AY2" i="10" s="1"/>
  <c r="BC1" i="10" a="1"/>
  <c r="BC4" i="10" a="1"/>
  <c r="BC4" i="10" l="1"/>
  <c r="BC1" i="10"/>
  <c r="AW7" i="10"/>
  <c r="AU10" i="10"/>
  <c r="AV10" i="10" a="1"/>
  <c r="AV10" i="10" l="1"/>
  <c r="BA9" i="10"/>
  <c r="BC6" i="10" a="1"/>
  <c r="BC6" i="10" s="1"/>
  <c r="BB7" i="10" s="1"/>
  <c r="BF7" i="10" a="1"/>
  <c r="BF7" i="10" s="1"/>
  <c r="BB6" i="10" a="1"/>
  <c r="BB6" i="10" s="1"/>
  <c r="BF4" i="10" a="1"/>
  <c r="BF4" i="10" s="1"/>
  <c r="BB1" i="10"/>
  <c r="BF6" i="10" a="1"/>
  <c r="BF6" i="10" s="1"/>
  <c r="BC3" i="10" a="1"/>
  <c r="BC3" i="10" s="1"/>
  <c r="BD6" i="10" a="1"/>
  <c r="BD6" i="10" s="1"/>
  <c r="BG1" i="10" a="1"/>
  <c r="BG1" i="10" s="1"/>
  <c r="BF3" i="10" a="1"/>
  <c r="BF3" i="10" s="1"/>
  <c r="BF2" i="10" a="1"/>
  <c r="BF2" i="10" s="1"/>
  <c r="AV12" i="10" a="1"/>
  <c r="AV9" i="10" a="1"/>
  <c r="BD7" i="10" l="1"/>
  <c r="AV9" i="10"/>
  <c r="AV12" i="10"/>
  <c r="BB10" i="10"/>
  <c r="BC10" i="10" a="1"/>
  <c r="BC10" i="10" l="1"/>
  <c r="AT17" i="10"/>
  <c r="AY11" i="10" a="1"/>
  <c r="AY11" i="10" s="1"/>
  <c r="AV14" i="10" a="1"/>
  <c r="AV14" i="10" s="1"/>
  <c r="AU15" i="10" s="1"/>
  <c r="AU14" i="10" a="1"/>
  <c r="AU14" i="10" s="1"/>
  <c r="AV11" i="10" a="1"/>
  <c r="AV11" i="10" s="1"/>
  <c r="AY12" i="10" a="1"/>
  <c r="AY12" i="10" s="1"/>
  <c r="AY10" i="10" a="1"/>
  <c r="AY10" i="10" s="1"/>
  <c r="AU9" i="10"/>
  <c r="AY14" i="10" a="1"/>
  <c r="AY14" i="10" s="1"/>
  <c r="AW14" i="10" a="1"/>
  <c r="AW14" i="10" s="1"/>
  <c r="AY15" i="10" a="1"/>
  <c r="AY15" i="10" s="1"/>
  <c r="AZ9" i="10" a="1"/>
  <c r="AZ9" i="10" s="1"/>
  <c r="BC9" i="10" a="1"/>
  <c r="BC12" i="10" a="1"/>
  <c r="BC12" i="10" l="1"/>
  <c r="BC9" i="10"/>
  <c r="AW15" i="10"/>
  <c r="AU18" i="10"/>
  <c r="AV18" i="10" a="1"/>
  <c r="AV18" i="10" l="1"/>
  <c r="BA17" i="10"/>
  <c r="BD14" i="10" a="1"/>
  <c r="BD14" i="10" s="1"/>
  <c r="BF15" i="10" a="1"/>
  <c r="BF15" i="10" s="1"/>
  <c r="BG9" i="10" a="1"/>
  <c r="BG9" i="10" s="1"/>
  <c r="BC14" i="10" a="1"/>
  <c r="BC14" i="10" s="1"/>
  <c r="BB15" i="10" s="1"/>
  <c r="BF14" i="10" a="1"/>
  <c r="BF14" i="10" s="1"/>
  <c r="BB14" i="10" a="1"/>
  <c r="BB14" i="10" s="1"/>
  <c r="BF11" i="10" a="1"/>
  <c r="BF11" i="10" s="1"/>
  <c r="BB9" i="10"/>
  <c r="BC11" i="10" a="1"/>
  <c r="BC11" i="10" s="1"/>
  <c r="BF10" i="10" a="1"/>
  <c r="BF10" i="10" s="1"/>
  <c r="BF12" i="10" a="1"/>
  <c r="BF12" i="10" s="1"/>
  <c r="AV20" i="10" a="1"/>
  <c r="AV17" i="10" a="1"/>
  <c r="AV17" i="10" l="1"/>
  <c r="AV20" i="10"/>
  <c r="BD15" i="10"/>
  <c r="BB18" i="10"/>
  <c r="BC18" i="10" a="1"/>
  <c r="BC18" i="10" l="1"/>
  <c r="AT25" i="10"/>
  <c r="AW22" i="10" a="1"/>
  <c r="AW22" i="10" s="1"/>
  <c r="AY18" i="10" a="1"/>
  <c r="AY18" i="10" s="1"/>
  <c r="AY20" i="10" a="1"/>
  <c r="AY20" i="10" s="1"/>
  <c r="AZ17" i="10" a="1"/>
  <c r="AZ17" i="10" s="1"/>
  <c r="AY19" i="10" a="1"/>
  <c r="AY19" i="10" s="1"/>
  <c r="AU17" i="10"/>
  <c r="AY22" i="10" a="1"/>
  <c r="AY22" i="10" s="1"/>
  <c r="AV19" i="10" a="1"/>
  <c r="AV19" i="10" s="1"/>
  <c r="AU22" i="10" a="1"/>
  <c r="AU22" i="10" s="1"/>
  <c r="AY23" i="10" a="1"/>
  <c r="AY23" i="10" s="1"/>
  <c r="AV22" i="10" a="1"/>
  <c r="AV22" i="10" s="1"/>
  <c r="AW23" i="10" s="1"/>
  <c r="BC20" i="10" a="1"/>
  <c r="BC17" i="10" a="1"/>
  <c r="AU23" i="10" l="1"/>
  <c r="BC17" i="10"/>
  <c r="BC20" i="10"/>
  <c r="AU26" i="10"/>
  <c r="AV26" i="10" a="1"/>
  <c r="AV26" i="10" l="1"/>
  <c r="BA25" i="10"/>
  <c r="BD22" i="10" a="1"/>
  <c r="BD22" i="10" s="1"/>
  <c r="BC19" i="10" a="1"/>
  <c r="BC19" i="10" s="1"/>
  <c r="BC22" i="10" a="1"/>
  <c r="BC22" i="10" s="1"/>
  <c r="BD23" i="10" s="1"/>
  <c r="BF19" i="10" a="1"/>
  <c r="BF19" i="10" s="1"/>
  <c r="BB22" i="10" a="1"/>
  <c r="BB22" i="10" s="1"/>
  <c r="BG17" i="10" a="1"/>
  <c r="BG17" i="10" s="1"/>
  <c r="BF23" i="10" a="1"/>
  <c r="BF23" i="10" s="1"/>
  <c r="BF20" i="10" a="1"/>
  <c r="BF20" i="10" s="1"/>
  <c r="BB17" i="10"/>
  <c r="BF18" i="10" a="1"/>
  <c r="BF18" i="10" s="1"/>
  <c r="BF22" i="10" a="1"/>
  <c r="BF22" i="10" s="1"/>
  <c r="AV28" i="10" a="1"/>
  <c r="AV25" i="10" a="1"/>
  <c r="BB23" i="10" l="1"/>
  <c r="AV25" i="10"/>
  <c r="AV28" i="10"/>
  <c r="BB26" i="10"/>
  <c r="BC26" i="10" a="1"/>
  <c r="BC26" i="10" l="1"/>
  <c r="AT33" i="10"/>
  <c r="AU30" i="10" a="1"/>
  <c r="AU30" i="10" s="1"/>
  <c r="AY30" i="10" a="1"/>
  <c r="AY30" i="10" s="1"/>
  <c r="AY27" i="10" a="1"/>
  <c r="AY27" i="10" s="1"/>
  <c r="AU25" i="10"/>
  <c r="AW30" i="10" a="1"/>
  <c r="AW30" i="10" s="1"/>
  <c r="AV27" i="10" a="1"/>
  <c r="AV27" i="10" s="1"/>
  <c r="AV30" i="10" a="1"/>
  <c r="AV30" i="10" s="1"/>
  <c r="AU31" i="10" s="1"/>
  <c r="AY31" i="10" a="1"/>
  <c r="AY31" i="10" s="1"/>
  <c r="AY28" i="10" a="1"/>
  <c r="AY28" i="10" s="1"/>
  <c r="AY26" i="10" a="1"/>
  <c r="AY26" i="10" s="1"/>
  <c r="AZ25" i="10" a="1"/>
  <c r="AZ25" i="10" s="1"/>
  <c r="BC28" i="10" a="1"/>
  <c r="BC25" i="10" a="1"/>
  <c r="BC25" i="10" l="1"/>
  <c r="BC28" i="10"/>
  <c r="AW31" i="10"/>
  <c r="AU34" i="10"/>
  <c r="AV34" i="10" a="1"/>
  <c r="AV34" i="10" l="1"/>
  <c r="BA33" i="10"/>
  <c r="BB30" i="10" a="1"/>
  <c r="BB30" i="10" s="1"/>
  <c r="BF30" i="10" a="1"/>
  <c r="BF30" i="10" s="1"/>
  <c r="BF31" i="10" a="1"/>
  <c r="BF31" i="10" s="1"/>
  <c r="BF26" i="10" a="1"/>
  <c r="BF26" i="10" s="1"/>
  <c r="BB25" i="10"/>
  <c r="BC27" i="10" a="1"/>
  <c r="BC27" i="10" s="1"/>
  <c r="BD30" i="10" a="1"/>
  <c r="BD30" i="10" s="1"/>
  <c r="BG25" i="10" a="1"/>
  <c r="BG25" i="10" s="1"/>
  <c r="BF27" i="10" a="1"/>
  <c r="BF27" i="10" s="1"/>
  <c r="BF28" i="10" a="1"/>
  <c r="BF28" i="10" s="1"/>
  <c r="BC30" i="10" a="1"/>
  <c r="BC30" i="10" s="1"/>
  <c r="BB31" i="10" s="1"/>
  <c r="AV36" i="10" a="1"/>
  <c r="AV33" i="10" a="1"/>
  <c r="BD31" i="10" l="1"/>
  <c r="AV33" i="10"/>
  <c r="AV36" i="10"/>
  <c r="BB34" i="10"/>
  <c r="BC34" i="10" a="1"/>
  <c r="BC34" i="10" l="1"/>
  <c r="AT41" i="10"/>
  <c r="AY36" i="10" a="1"/>
  <c r="AY36" i="10" s="1"/>
  <c r="AY34" i="10" a="1"/>
  <c r="AY34" i="10" s="1"/>
  <c r="AY38" i="10" a="1"/>
  <c r="AY38" i="10" s="1"/>
  <c r="AY35" i="10" a="1"/>
  <c r="AY35" i="10" s="1"/>
  <c r="AU33" i="10"/>
  <c r="AU38" i="10" a="1"/>
  <c r="AU38" i="10" s="1"/>
  <c r="AY39" i="10" a="1"/>
  <c r="AY39" i="10" s="1"/>
  <c r="AZ33" i="10" a="1"/>
  <c r="AZ33" i="10" s="1"/>
  <c r="AV35" i="10" a="1"/>
  <c r="AV35" i="10" s="1"/>
  <c r="AW38" i="10" a="1"/>
  <c r="AW38" i="10" s="1"/>
  <c r="AV38" i="10" a="1"/>
  <c r="AV38" i="10" s="1"/>
  <c r="AU39" i="10" s="1"/>
  <c r="BC33" i="10" a="1"/>
  <c r="BC36" i="10" a="1"/>
  <c r="AW39" i="10" l="1"/>
  <c r="BC36" i="10"/>
  <c r="BC33" i="10"/>
  <c r="AU42" i="10"/>
  <c r="AV42" i="10" a="1"/>
  <c r="AV42" i="10" l="1"/>
  <c r="BA41" i="10"/>
  <c r="BB38" i="10" a="1"/>
  <c r="BB38" i="10" s="1"/>
  <c r="BF34" i="10" a="1"/>
  <c r="BF34" i="10" s="1"/>
  <c r="BD38" i="10" a="1"/>
  <c r="BD38" i="10" s="1"/>
  <c r="BF35" i="10" a="1"/>
  <c r="BF35" i="10" s="1"/>
  <c r="BG33" i="10" a="1"/>
  <c r="BG33" i="10" s="1"/>
  <c r="BF39" i="10" a="1"/>
  <c r="BF39" i="10" s="1"/>
  <c r="BC38" i="10" a="1"/>
  <c r="BC38" i="10" s="1"/>
  <c r="BB39" i="10" s="1"/>
  <c r="BB33" i="10"/>
  <c r="BF36" i="10" a="1"/>
  <c r="BF36" i="10" s="1"/>
  <c r="BF38" i="10" a="1"/>
  <c r="BF38" i="10" s="1"/>
  <c r="BC35" i="10" a="1"/>
  <c r="BC35" i="10" s="1"/>
  <c r="AV44" i="10" a="1"/>
  <c r="AV41" i="10" a="1"/>
  <c r="BD39" i="10" l="1"/>
  <c r="AV41" i="10"/>
  <c r="AV44" i="10"/>
  <c r="BB42" i="10"/>
  <c r="BC42" i="10" a="1"/>
  <c r="BC42" i="10" l="1"/>
  <c r="BI1" i="10"/>
  <c r="AY46" i="10" a="1"/>
  <c r="AY46" i="10" s="1"/>
  <c r="AV43" i="10" a="1"/>
  <c r="AV43" i="10" s="1"/>
  <c r="AV46" i="10" a="1"/>
  <c r="AV46" i="10" s="1"/>
  <c r="AU47" i="10" s="1"/>
  <c r="AU41" i="10"/>
  <c r="AY47" i="10" a="1"/>
  <c r="AY47" i="10" s="1"/>
  <c r="AY43" i="10" a="1"/>
  <c r="AY43" i="10" s="1"/>
  <c r="AY42" i="10" a="1"/>
  <c r="AY42" i="10" s="1"/>
  <c r="AZ41" i="10" a="1"/>
  <c r="AZ41" i="10" s="1"/>
  <c r="AY44" i="10" a="1"/>
  <c r="AY44" i="10" s="1"/>
  <c r="AW46" i="10" a="1"/>
  <c r="AW46" i="10" s="1"/>
  <c r="AU46" i="10" a="1"/>
  <c r="AU46" i="10" s="1"/>
  <c r="BC44" i="10" a="1"/>
  <c r="BC41" i="10" a="1"/>
  <c r="AW47" i="10" l="1"/>
  <c r="BC41" i="10"/>
  <c r="BC44" i="10"/>
  <c r="BJ2" i="10"/>
  <c r="BK2" i="10" a="1"/>
  <c r="BK2" i="10" l="1"/>
  <c r="BP1" i="10"/>
  <c r="BF47" i="10" a="1"/>
  <c r="BF47" i="10" s="1"/>
  <c r="BF46" i="10" a="1"/>
  <c r="BF46" i="10" s="1"/>
  <c r="BF44" i="10" a="1"/>
  <c r="BF44" i="10" s="1"/>
  <c r="BF43" i="10" a="1"/>
  <c r="BF43" i="10" s="1"/>
  <c r="BF42" i="10" a="1"/>
  <c r="BF42" i="10" s="1"/>
  <c r="BG41" i="10" a="1"/>
  <c r="BG41" i="10" s="1"/>
  <c r="BD46" i="10" a="1"/>
  <c r="BD46" i="10" s="1"/>
  <c r="BC43" i="10" a="1"/>
  <c r="BC43" i="10" s="1"/>
  <c r="BC46" i="10" a="1"/>
  <c r="BC46" i="10" s="1"/>
  <c r="BD47" i="10" s="1"/>
  <c r="BB41" i="10"/>
  <c r="BB46" i="10" a="1"/>
  <c r="BB46" i="10" s="1"/>
  <c r="BK4" i="10" a="1"/>
  <c r="BK1" i="10" a="1"/>
  <c r="BK1" i="10" l="1"/>
  <c r="BK4" i="10"/>
  <c r="BB47" i="10"/>
  <c r="BQ2" i="10"/>
  <c r="BR2" i="10" a="1"/>
  <c r="BR2" i="10" l="1"/>
  <c r="BI9" i="10"/>
  <c r="BK6" i="10" a="1"/>
  <c r="BK6" i="10" s="1"/>
  <c r="BL7" i="10" s="1"/>
  <c r="BN4" i="10" a="1"/>
  <c r="BN4" i="10" s="1"/>
  <c r="BJ6" i="10" a="1"/>
  <c r="BJ6" i="10" s="1"/>
  <c r="BK3" i="10" a="1"/>
  <c r="BK3" i="10" s="1"/>
  <c r="BN7" i="10" a="1"/>
  <c r="BN7" i="10" s="1"/>
  <c r="BN2" i="10" a="1"/>
  <c r="BN2" i="10" s="1"/>
  <c r="BN6" i="10" a="1"/>
  <c r="BN6" i="10" s="1"/>
  <c r="BL6" i="10" a="1"/>
  <c r="BL6" i="10" s="1"/>
  <c r="BO1" i="10" a="1"/>
  <c r="BO1" i="10" s="1"/>
  <c r="BJ1" i="10"/>
  <c r="BN3" i="10" a="1"/>
  <c r="BN3" i="10" s="1"/>
  <c r="BR4" i="10" a="1"/>
  <c r="BR1" i="10" a="1"/>
  <c r="BR1" i="10" l="1"/>
  <c r="BR4" i="10"/>
  <c r="BJ7" i="10"/>
  <c r="BJ10" i="10"/>
  <c r="BK10" i="10" a="1"/>
  <c r="BK10" i="10" l="1"/>
  <c r="BP9" i="10"/>
  <c r="BR6" i="10" a="1"/>
  <c r="BR6" i="10" s="1"/>
  <c r="BS7" i="10" s="1"/>
  <c r="BU7" i="10" a="1"/>
  <c r="BU7" i="10" s="1"/>
  <c r="BQ6" i="10" a="1"/>
  <c r="BQ6" i="10" s="1"/>
  <c r="BV1" i="10" a="1"/>
  <c r="BV1" i="10" s="1"/>
  <c r="BS6" i="10" a="1"/>
  <c r="BS6" i="10" s="1"/>
  <c r="BU3" i="10" a="1"/>
  <c r="BU3" i="10" s="1"/>
  <c r="BU4" i="10" a="1"/>
  <c r="BU4" i="10" s="1"/>
  <c r="BR3" i="10" a="1"/>
  <c r="BR3" i="10" s="1"/>
  <c r="BQ1" i="10"/>
  <c r="BU6" i="10" a="1"/>
  <c r="BU6" i="10" s="1"/>
  <c r="BU2" i="10" a="1"/>
  <c r="BU2" i="10" s="1"/>
  <c r="BK9" i="10" a="1"/>
  <c r="BK12" i="10" a="1"/>
  <c r="BK12" i="10" l="1"/>
  <c r="BK9" i="10"/>
  <c r="BQ7" i="10"/>
  <c r="BQ10" i="10"/>
  <c r="BR10" i="10" a="1"/>
  <c r="BR10" i="10" l="1"/>
  <c r="BI17" i="10"/>
  <c r="BN10" i="10" a="1"/>
  <c r="BN10" i="10" s="1"/>
  <c r="BN14" i="10" a="1"/>
  <c r="BN14" i="10" s="1"/>
  <c r="BN12" i="10" a="1"/>
  <c r="BN12" i="10" s="1"/>
  <c r="BL14" i="10" a="1"/>
  <c r="BL14" i="10" s="1"/>
  <c r="BN11" i="10" a="1"/>
  <c r="BN11" i="10" s="1"/>
  <c r="BK14" i="10" a="1"/>
  <c r="BK14" i="10" s="1"/>
  <c r="BL15" i="10" s="1"/>
  <c r="BK11" i="10" a="1"/>
  <c r="BK11" i="10" s="1"/>
  <c r="BJ9" i="10"/>
  <c r="BN15" i="10" a="1"/>
  <c r="BN15" i="10" s="1"/>
  <c r="BJ14" i="10" a="1"/>
  <c r="BJ14" i="10" s="1"/>
  <c r="BO9" i="10" a="1"/>
  <c r="BO9" i="10" s="1"/>
  <c r="BR12" i="10" a="1"/>
  <c r="BR9" i="10" a="1"/>
  <c r="BR9" i="10" l="1"/>
  <c r="BR12" i="10"/>
  <c r="BJ15" i="10"/>
  <c r="BJ18" i="10"/>
  <c r="BK18" i="10" a="1"/>
  <c r="BK18" i="10" l="1"/>
  <c r="BP17" i="10"/>
  <c r="BU14" i="10" a="1"/>
  <c r="BU14" i="10" s="1"/>
  <c r="BQ9" i="10"/>
  <c r="BU15" i="10" a="1"/>
  <c r="BU15" i="10" s="1"/>
  <c r="BS14" i="10" a="1"/>
  <c r="BS14" i="10" s="1"/>
  <c r="BR14" i="10" a="1"/>
  <c r="BR14" i="10" s="1"/>
  <c r="BS15" i="10" s="1"/>
  <c r="BU11" i="10" a="1"/>
  <c r="BU11" i="10" s="1"/>
  <c r="BV9" i="10" a="1"/>
  <c r="BV9" i="10" s="1"/>
  <c r="BU12" i="10" a="1"/>
  <c r="BU12" i="10" s="1"/>
  <c r="BR11" i="10" a="1"/>
  <c r="BR11" i="10" s="1"/>
  <c r="BQ14" i="10" a="1"/>
  <c r="BQ14" i="10" s="1"/>
  <c r="BU10" i="10" a="1"/>
  <c r="BU10" i="10" s="1"/>
  <c r="BK20" i="10" a="1"/>
  <c r="BK17" i="10" a="1"/>
  <c r="BQ15" i="10" l="1"/>
  <c r="BK17" i="10"/>
  <c r="BK20" i="10"/>
  <c r="BQ18" i="10"/>
  <c r="BR18" i="10" a="1"/>
  <c r="BR18" i="10" l="1"/>
  <c r="BI25" i="10"/>
  <c r="BL22" i="10" a="1"/>
  <c r="BL22" i="10" s="1"/>
  <c r="BJ17" i="10"/>
  <c r="BN23" i="10" a="1"/>
  <c r="BN23" i="10" s="1"/>
  <c r="BN22" i="10" a="1"/>
  <c r="BN22" i="10" s="1"/>
  <c r="BN20" i="10" a="1"/>
  <c r="BN20" i="10" s="1"/>
  <c r="BK22" i="10" a="1"/>
  <c r="BK22" i="10" s="1"/>
  <c r="BJ23" i="10" s="1"/>
  <c r="BO17" i="10" a="1"/>
  <c r="BO17" i="10" s="1"/>
  <c r="BJ22" i="10" a="1"/>
  <c r="BJ22" i="10" s="1"/>
  <c r="BN18" i="10" a="1"/>
  <c r="BN18" i="10" s="1"/>
  <c r="BN19" i="10" a="1"/>
  <c r="BN19" i="10" s="1"/>
  <c r="BK19" i="10" a="1"/>
  <c r="BK19" i="10" s="1"/>
  <c r="BR20" i="10" a="1"/>
  <c r="BR17" i="10" a="1"/>
  <c r="BL23" i="10" l="1"/>
  <c r="BR17" i="10"/>
  <c r="BR20" i="10"/>
  <c r="BJ26" i="10"/>
  <c r="BK26" i="10" a="1"/>
  <c r="BK26" i="10" l="1"/>
  <c r="BP25" i="10"/>
  <c r="BS22" i="10" a="1"/>
  <c r="BS22" i="10" s="1"/>
  <c r="BR19" i="10" a="1"/>
  <c r="BR19" i="10" s="1"/>
  <c r="BU23" i="10" a="1"/>
  <c r="BU23" i="10" s="1"/>
  <c r="BQ22" i="10" a="1"/>
  <c r="BQ22" i="10" s="1"/>
  <c r="BV17" i="10" a="1"/>
  <c r="BV17" i="10" s="1"/>
  <c r="BU20" i="10" a="1"/>
  <c r="BU20" i="10" s="1"/>
  <c r="BU18" i="10" a="1"/>
  <c r="BU18" i="10" s="1"/>
  <c r="BU19" i="10" a="1"/>
  <c r="BU19" i="10" s="1"/>
  <c r="BQ17" i="10"/>
  <c r="BU22" i="10" a="1"/>
  <c r="BU22" i="10" s="1"/>
  <c r="BR22" i="10" a="1"/>
  <c r="BR22" i="10" s="1"/>
  <c r="BS23" i="10" s="1"/>
  <c r="BK28" i="10" a="1"/>
  <c r="BK25" i="10" a="1"/>
  <c r="BQ23" i="10" l="1"/>
  <c r="BK25" i="10"/>
  <c r="BK28" i="10"/>
  <c r="BQ26" i="10"/>
  <c r="BR26" i="10" a="1"/>
  <c r="BR26" i="10" l="1"/>
  <c r="BI33" i="10"/>
  <c r="BJ30" i="10" a="1"/>
  <c r="BJ30" i="10" s="1"/>
  <c r="BN30" i="10" a="1"/>
  <c r="BN30" i="10" s="1"/>
  <c r="BN27" i="10" a="1"/>
  <c r="BN27" i="10" s="1"/>
  <c r="BO25" i="10" a="1"/>
  <c r="BO25" i="10" s="1"/>
  <c r="BL30" i="10" a="1"/>
  <c r="BL30" i="10" s="1"/>
  <c r="BN28" i="10" a="1"/>
  <c r="BN28" i="10" s="1"/>
  <c r="BK27" i="10" a="1"/>
  <c r="BK27" i="10" s="1"/>
  <c r="BK30" i="10" a="1"/>
  <c r="BK30" i="10" s="1"/>
  <c r="BL31" i="10" s="1"/>
  <c r="BJ25" i="10"/>
  <c r="BN26" i="10" a="1"/>
  <c r="BN26" i="10" s="1"/>
  <c r="BN31" i="10" a="1"/>
  <c r="BN31" i="10" s="1"/>
  <c r="BR28" i="10" a="1"/>
  <c r="BR25" i="10" a="1"/>
  <c r="BR25" i="10" l="1"/>
  <c r="BR28" i="10"/>
  <c r="BJ31" i="10"/>
  <c r="BJ34" i="10"/>
  <c r="BK34" i="10" a="1"/>
  <c r="BK34" i="10" l="1"/>
  <c r="BP33" i="10"/>
  <c r="BQ30" i="10" a="1"/>
  <c r="BQ30" i="10" s="1"/>
  <c r="BU30" i="10" a="1"/>
  <c r="BU30" i="10" s="1"/>
  <c r="BU26" i="10" a="1"/>
  <c r="BU26" i="10" s="1"/>
  <c r="BU31" i="10" a="1"/>
  <c r="BU31" i="10" s="1"/>
  <c r="BV25" i="10" a="1"/>
  <c r="BV25" i="10" s="1"/>
  <c r="BQ25" i="10"/>
  <c r="BR30" i="10" a="1"/>
  <c r="BR30" i="10" s="1"/>
  <c r="BS31" i="10" s="1"/>
  <c r="BU27" i="10" a="1"/>
  <c r="BU27" i="10" s="1"/>
  <c r="BU28" i="10" a="1"/>
  <c r="BU28" i="10" s="1"/>
  <c r="BR27" i="10" a="1"/>
  <c r="BR27" i="10" s="1"/>
  <c r="BS30" i="10" a="1"/>
  <c r="BS30" i="10" s="1"/>
  <c r="BK36" i="10" a="1"/>
  <c r="BK33" i="10" a="1"/>
  <c r="BQ31" i="10" l="1"/>
  <c r="BK33" i="10"/>
  <c r="BK36" i="10"/>
  <c r="BQ34" i="10"/>
  <c r="BR34" i="10" a="1"/>
  <c r="BR34" i="10" l="1"/>
  <c r="BI41" i="10"/>
  <c r="BK38" i="10" a="1"/>
  <c r="BK38" i="10" s="1"/>
  <c r="BJ39" i="10" s="1"/>
  <c r="BN36" i="10" a="1"/>
  <c r="BN36" i="10" s="1"/>
  <c r="BO33" i="10" a="1"/>
  <c r="BO33" i="10" s="1"/>
  <c r="BJ38" i="10" a="1"/>
  <c r="BJ38" i="10" s="1"/>
  <c r="BK35" i="10" a="1"/>
  <c r="BK35" i="10" s="1"/>
  <c r="BJ33" i="10"/>
  <c r="BN39" i="10" a="1"/>
  <c r="BN39" i="10" s="1"/>
  <c r="BN38" i="10" a="1"/>
  <c r="BN38" i="10" s="1"/>
  <c r="BN34" i="10" a="1"/>
  <c r="BN34" i="10" s="1"/>
  <c r="BL38" i="10" a="1"/>
  <c r="BL38" i="10" s="1"/>
  <c r="BN35" i="10" a="1"/>
  <c r="BN35" i="10" s="1"/>
  <c r="BR33" i="10" a="1"/>
  <c r="BR36" i="10" a="1"/>
  <c r="BR36" i="10" l="1"/>
  <c r="BR33" i="10"/>
  <c r="BL39" i="10"/>
  <c r="BJ42" i="10"/>
  <c r="BK42" i="10" a="1"/>
  <c r="BK42" i="10" l="1"/>
  <c r="BP41" i="10"/>
  <c r="BR35" i="10" a="1"/>
  <c r="BR35" i="10" s="1"/>
  <c r="BU39" i="10" a="1"/>
  <c r="BU39" i="10" s="1"/>
  <c r="BS38" i="10" a="1"/>
  <c r="BS38" i="10" s="1"/>
  <c r="BU34" i="10" a="1"/>
  <c r="BU34" i="10" s="1"/>
  <c r="BV33" i="10" a="1"/>
  <c r="BV33" i="10" s="1"/>
  <c r="BU38" i="10" a="1"/>
  <c r="BU38" i="10" s="1"/>
  <c r="BU36" i="10" a="1"/>
  <c r="BU36" i="10" s="1"/>
  <c r="BR38" i="10" a="1"/>
  <c r="BR38" i="10" s="1"/>
  <c r="BS39" i="10" s="1"/>
  <c r="BQ38" i="10" a="1"/>
  <c r="BQ38" i="10" s="1"/>
  <c r="BU35" i="10" a="1"/>
  <c r="BU35" i="10" s="1"/>
  <c r="BQ33" i="10"/>
  <c r="BK44" i="10" a="1"/>
  <c r="BK41" i="10" a="1"/>
  <c r="BK41" i="10" l="1"/>
  <c r="BK44" i="10"/>
  <c r="BQ39" i="10"/>
  <c r="BQ42" i="10"/>
  <c r="BR42" i="10" a="1"/>
  <c r="BR42" i="10" l="1"/>
  <c r="BX1" i="10"/>
  <c r="BN46" i="10" a="1"/>
  <c r="BN46" i="10" s="1"/>
  <c r="BN42" i="10" a="1"/>
  <c r="BN42" i="10" s="1"/>
  <c r="BJ41" i="10"/>
  <c r="BJ46" i="10" a="1"/>
  <c r="BJ46" i="10" s="1"/>
  <c r="BN43" i="10" a="1"/>
  <c r="BN43" i="10" s="1"/>
  <c r="BN47" i="10" a="1"/>
  <c r="BN47" i="10" s="1"/>
  <c r="BK46" i="10" a="1"/>
  <c r="BK46" i="10" s="1"/>
  <c r="BJ47" i="10" s="1"/>
  <c r="BK43" i="10" a="1"/>
  <c r="BK43" i="10" s="1"/>
  <c r="BN44" i="10" a="1"/>
  <c r="BN44" i="10" s="1"/>
  <c r="BL46" i="10" a="1"/>
  <c r="BL46" i="10" s="1"/>
  <c r="BO41" i="10" a="1"/>
  <c r="BO41" i="10" s="1"/>
  <c r="BR41" i="10" a="1"/>
  <c r="BR44" i="10" a="1"/>
  <c r="BR44" i="10" l="1"/>
  <c r="BR41" i="10"/>
  <c r="BL47" i="10"/>
  <c r="BY2" i="10"/>
  <c r="BZ2" i="10" a="1"/>
  <c r="BZ2" i="10" l="1"/>
  <c r="CE1" i="10"/>
  <c r="BU47" i="10" a="1"/>
  <c r="BU47" i="10" s="1"/>
  <c r="BU46" i="10" a="1"/>
  <c r="BU46" i="10" s="1"/>
  <c r="BU44" i="10" a="1"/>
  <c r="BU44" i="10" s="1"/>
  <c r="BU43" i="10" a="1"/>
  <c r="BU43" i="10" s="1"/>
  <c r="BS46" i="10" a="1"/>
  <c r="BS46" i="10" s="1"/>
  <c r="BU42" i="10" a="1"/>
  <c r="BU42" i="10" s="1"/>
  <c r="BV41" i="10" a="1"/>
  <c r="BV41" i="10" s="1"/>
  <c r="BR46" i="10" a="1"/>
  <c r="BR46" i="10" s="1"/>
  <c r="BQ47" i="10" s="1"/>
  <c r="BR43" i="10" a="1"/>
  <c r="BR43" i="10" s="1"/>
  <c r="BQ46" i="10" a="1"/>
  <c r="BQ46" i="10" s="1"/>
  <c r="BQ41" i="10"/>
  <c r="BZ4" i="10" a="1"/>
  <c r="BZ1" i="10" a="1"/>
  <c r="BS47" i="10" l="1"/>
  <c r="BZ1" i="10"/>
  <c r="BZ4" i="10"/>
  <c r="CF2" i="10"/>
  <c r="CG2" i="10" a="1"/>
  <c r="CG2" i="10" l="1"/>
  <c r="BX9" i="10"/>
  <c r="BZ6" i="10" a="1"/>
  <c r="BZ6" i="10" s="1"/>
  <c r="CA7" i="10" s="1"/>
  <c r="CC4" i="10" a="1"/>
  <c r="CC4" i="10" s="1"/>
  <c r="BY6" i="10" a="1"/>
  <c r="BY6" i="10" s="1"/>
  <c r="BZ3" i="10" a="1"/>
  <c r="BZ3" i="10" s="1"/>
  <c r="CC2" i="10" a="1"/>
  <c r="CC2" i="10" s="1"/>
  <c r="CA6" i="10" a="1"/>
  <c r="CA6" i="10" s="1"/>
  <c r="CC7" i="10" a="1"/>
  <c r="CC7" i="10" s="1"/>
  <c r="BY1" i="10"/>
  <c r="CC6" i="10" a="1"/>
  <c r="CC6" i="10" s="1"/>
  <c r="CC3" i="10" a="1"/>
  <c r="CC3" i="10" s="1"/>
  <c r="CD1" i="10" a="1"/>
  <c r="CD1" i="10" s="1"/>
  <c r="CG4" i="10" a="1"/>
  <c r="CG1" i="10" a="1"/>
  <c r="CG1" i="10" l="1"/>
  <c r="CG4" i="10"/>
  <c r="BY7" i="10"/>
  <c r="BY10" i="10"/>
  <c r="BZ10" i="10" a="1"/>
  <c r="BZ10" i="10" l="1"/>
  <c r="CE9" i="10"/>
  <c r="CJ7" i="10" a="1"/>
  <c r="CJ7" i="10" s="1"/>
  <c r="CG6" i="10" a="1"/>
  <c r="CG6" i="10" s="1"/>
  <c r="CF7" i="10" s="1"/>
  <c r="CF6" i="10" a="1"/>
  <c r="CF6" i="10" s="1"/>
  <c r="CF1" i="10"/>
  <c r="CJ3" i="10" a="1"/>
  <c r="CJ3" i="10" s="1"/>
  <c r="CJ2" i="10" a="1"/>
  <c r="CJ2" i="10" s="1"/>
  <c r="CK1" i="10" a="1"/>
  <c r="CK1" i="10" s="1"/>
  <c r="CJ4" i="10" a="1"/>
  <c r="CJ4" i="10" s="1"/>
  <c r="CH6" i="10" a="1"/>
  <c r="CH6" i="10" s="1"/>
  <c r="CG3" i="10" a="1"/>
  <c r="CG3" i="10" s="1"/>
  <c r="CJ6" i="10" a="1"/>
  <c r="CJ6" i="10" s="1"/>
  <c r="BZ9" i="10" a="1"/>
  <c r="BZ12" i="10" a="1"/>
  <c r="BZ12" i="10" l="1"/>
  <c r="BZ9" i="10"/>
  <c r="CH7" i="10"/>
  <c r="CF10" i="10"/>
  <c r="CG10" i="10" a="1"/>
  <c r="CG10" i="10" l="1"/>
  <c r="BX17" i="10"/>
  <c r="CC12" i="10" a="1"/>
  <c r="CC12" i="10" s="1"/>
  <c r="CC14" i="10" a="1"/>
  <c r="CC14" i="10" s="1"/>
  <c r="CA14" i="10" a="1"/>
  <c r="CA14" i="10" s="1"/>
  <c r="BY14" i="10" a="1"/>
  <c r="BY14" i="10" s="1"/>
  <c r="CC10" i="10" a="1"/>
  <c r="CC10" i="10" s="1"/>
  <c r="BZ14" i="10" a="1"/>
  <c r="BZ14" i="10" s="1"/>
  <c r="BY15" i="10" s="1"/>
  <c r="CD9" i="10" a="1"/>
  <c r="CD9" i="10" s="1"/>
  <c r="CC11" i="10" a="1"/>
  <c r="CC11" i="10" s="1"/>
  <c r="BZ11" i="10" a="1"/>
  <c r="BZ11" i="10" s="1"/>
  <c r="BY9" i="10"/>
  <c r="CC15" i="10" a="1"/>
  <c r="CC15" i="10" s="1"/>
  <c r="CG9" i="10" a="1"/>
  <c r="CG12" i="10" a="1"/>
  <c r="CA15" i="10" l="1"/>
  <c r="CG12" i="10"/>
  <c r="CG9" i="10"/>
  <c r="BY18" i="10"/>
  <c r="BZ18" i="10" a="1"/>
  <c r="BZ18" i="10" l="1"/>
  <c r="CE17" i="10"/>
  <c r="CF14" i="10" a="1"/>
  <c r="CF14" i="10" s="1"/>
  <c r="CG11" i="10" a="1"/>
  <c r="CG11" i="10" s="1"/>
  <c r="CJ10" i="10" a="1"/>
  <c r="CJ10" i="10" s="1"/>
  <c r="CK9" i="10" a="1"/>
  <c r="CK9" i="10" s="1"/>
  <c r="CJ15" i="10" a="1"/>
  <c r="CJ15" i="10" s="1"/>
  <c r="CJ14" i="10" a="1"/>
  <c r="CJ14" i="10" s="1"/>
  <c r="CH14" i="10" a="1"/>
  <c r="CH14" i="10" s="1"/>
  <c r="CG14" i="10" a="1"/>
  <c r="CG14" i="10" s="1"/>
  <c r="CF15" i="10" s="1"/>
  <c r="CF9" i="10"/>
  <c r="CJ12" i="10" a="1"/>
  <c r="CJ12" i="10" s="1"/>
  <c r="CJ11" i="10" a="1"/>
  <c r="CJ11" i="10" s="1"/>
  <c r="BZ20" i="10" a="1"/>
  <c r="BZ17" i="10" a="1"/>
  <c r="CH15" i="10" l="1"/>
  <c r="BZ17" i="10"/>
  <c r="BZ20" i="10"/>
  <c r="CF18" i="10"/>
  <c r="CG18" i="10" a="1"/>
  <c r="CG18" i="10" l="1"/>
  <c r="BX25" i="10"/>
  <c r="CA22" i="10" a="1"/>
  <c r="CA22" i="10" s="1"/>
  <c r="CC22" i="10" a="1"/>
  <c r="CC22" i="10" s="1"/>
  <c r="CC19" i="10" a="1"/>
  <c r="CC19" i="10" s="1"/>
  <c r="BZ22" i="10" a="1"/>
  <c r="BZ22" i="10" s="1"/>
  <c r="CA23" i="10" s="1"/>
  <c r="BZ19" i="10" a="1"/>
  <c r="BZ19" i="10" s="1"/>
  <c r="BY22" i="10" a="1"/>
  <c r="BY22" i="10" s="1"/>
  <c r="CD17" i="10" a="1"/>
  <c r="CD17" i="10" s="1"/>
  <c r="CC18" i="10" a="1"/>
  <c r="CC18" i="10" s="1"/>
  <c r="CC20" i="10" a="1"/>
  <c r="CC20" i="10" s="1"/>
  <c r="BY17" i="10"/>
  <c r="CC23" i="10" a="1"/>
  <c r="CC23" i="10" s="1"/>
  <c r="CG17" i="10" a="1"/>
  <c r="CG20" i="10" a="1"/>
  <c r="BY23" i="10" l="1"/>
  <c r="CG20" i="10"/>
  <c r="CG17" i="10"/>
  <c r="BY26" i="10"/>
  <c r="BZ26" i="10" a="1"/>
  <c r="BZ26" i="10" l="1"/>
  <c r="CE25" i="10"/>
  <c r="CH22" i="10" a="1"/>
  <c r="CH22" i="10" s="1"/>
  <c r="CG19" i="10" a="1"/>
  <c r="CG19" i="10" s="1"/>
  <c r="CJ18" i="10" a="1"/>
  <c r="CJ18" i="10" s="1"/>
  <c r="CK17" i="10" a="1"/>
  <c r="CK17" i="10" s="1"/>
  <c r="CF17" i="10"/>
  <c r="CJ23" i="10" a="1"/>
  <c r="CJ23" i="10" s="1"/>
  <c r="CJ22" i="10" a="1"/>
  <c r="CJ22" i="10" s="1"/>
  <c r="CJ20" i="10" a="1"/>
  <c r="CJ20" i="10" s="1"/>
  <c r="CJ19" i="10" a="1"/>
  <c r="CJ19" i="10" s="1"/>
  <c r="CF22" i="10" a="1"/>
  <c r="CF22" i="10" s="1"/>
  <c r="CG22" i="10" a="1"/>
  <c r="CG22" i="10" s="1"/>
  <c r="CF23" i="10" s="1"/>
  <c r="BZ28" i="10" a="1"/>
  <c r="BZ25" i="10" a="1"/>
  <c r="CH23" i="10" l="1"/>
  <c r="BZ25" i="10"/>
  <c r="BZ28" i="10"/>
  <c r="CF26" i="10"/>
  <c r="CG26" i="10" a="1"/>
  <c r="CG26" i="10" l="1"/>
  <c r="BX33" i="10"/>
  <c r="CC31" i="10" a="1"/>
  <c r="CC31" i="10" s="1"/>
  <c r="BY30" i="10" a="1"/>
  <c r="BY30" i="10" s="1"/>
  <c r="CC30" i="10" a="1"/>
  <c r="CC30" i="10" s="1"/>
  <c r="CC27" i="10" a="1"/>
  <c r="CC27" i="10" s="1"/>
  <c r="BY25" i="10"/>
  <c r="CA30" i="10" a="1"/>
  <c r="CA30" i="10" s="1"/>
  <c r="BZ27" i="10" a="1"/>
  <c r="BZ27" i="10" s="1"/>
  <c r="BZ30" i="10" a="1"/>
  <c r="BZ30" i="10" s="1"/>
  <c r="CA31" i="10" s="1"/>
  <c r="CC28" i="10" a="1"/>
  <c r="CC28" i="10" s="1"/>
  <c r="CC26" i="10" a="1"/>
  <c r="CC26" i="10" s="1"/>
  <c r="CD25" i="10" a="1"/>
  <c r="CD25" i="10" s="1"/>
  <c r="CG25" i="10" a="1"/>
  <c r="CG28" i="10" a="1"/>
  <c r="CG28" i="10" l="1"/>
  <c r="CG25" i="10"/>
  <c r="BY31" i="10"/>
  <c r="BY34" i="10"/>
  <c r="BZ34" i="10" a="1"/>
  <c r="BZ34" i="10" l="1"/>
  <c r="CE33" i="10"/>
  <c r="CF30" i="10" a="1"/>
  <c r="CF30" i="10" s="1"/>
  <c r="CJ30" i="10" a="1"/>
  <c r="CJ30" i="10" s="1"/>
  <c r="CJ28" i="10" a="1"/>
  <c r="CJ28" i="10" s="1"/>
  <c r="CF25" i="10"/>
  <c r="CG27" i="10" a="1"/>
  <c r="CG27" i="10" s="1"/>
  <c r="CK25" i="10" a="1"/>
  <c r="CK25" i="10" s="1"/>
  <c r="CH30" i="10" a="1"/>
  <c r="CH30" i="10" s="1"/>
  <c r="CJ31" i="10" a="1"/>
  <c r="CJ31" i="10" s="1"/>
  <c r="CJ26" i="10" a="1"/>
  <c r="CJ26" i="10" s="1"/>
  <c r="CG30" i="10" a="1"/>
  <c r="CG30" i="10" s="1"/>
  <c r="CH31" i="10" s="1"/>
  <c r="CJ27" i="10" a="1"/>
  <c r="CJ27" i="10" s="1"/>
  <c r="BZ36" i="10" a="1"/>
  <c r="BZ33" i="10" a="1"/>
  <c r="CF31" i="10" l="1"/>
  <c r="BZ33" i="10"/>
  <c r="BZ36" i="10"/>
  <c r="CF34" i="10"/>
  <c r="CG34" i="10" a="1"/>
  <c r="CG34" i="10" l="1"/>
  <c r="BX41" i="10"/>
  <c r="CC38" i="10" a="1"/>
  <c r="CC38" i="10" s="1"/>
  <c r="BY33" i="10"/>
  <c r="CC36" i="10" a="1"/>
  <c r="CC36" i="10" s="1"/>
  <c r="BY38" i="10" a="1"/>
  <c r="BY38" i="10" s="1"/>
  <c r="CC35" i="10" a="1"/>
  <c r="CC35" i="10" s="1"/>
  <c r="BZ35" i="10" a="1"/>
  <c r="BZ35" i="10" s="1"/>
  <c r="BZ38" i="10" a="1"/>
  <c r="BZ38" i="10" s="1"/>
  <c r="BY39" i="10" s="1"/>
  <c r="CD33" i="10" a="1"/>
  <c r="CD33" i="10" s="1"/>
  <c r="CA38" i="10" a="1"/>
  <c r="CA38" i="10" s="1"/>
  <c r="CC34" i="10" a="1"/>
  <c r="CC34" i="10" s="1"/>
  <c r="CC39" i="10" a="1"/>
  <c r="CC39" i="10" s="1"/>
  <c r="CG36" i="10" a="1"/>
  <c r="CG33" i="10" a="1"/>
  <c r="CA39" i="10" l="1"/>
  <c r="CG33" i="10"/>
  <c r="CG36" i="10"/>
  <c r="BY42" i="10"/>
  <c r="BZ42" i="10" a="1"/>
  <c r="BZ42" i="10" l="1"/>
  <c r="CE41" i="10"/>
  <c r="CF38" i="10" a="1"/>
  <c r="CF38" i="10" s="1"/>
  <c r="CG35" i="10" a="1"/>
  <c r="CG35" i="10" s="1"/>
  <c r="CJ38" i="10" a="1"/>
  <c r="CJ38" i="10" s="1"/>
  <c r="CJ35" i="10" a="1"/>
  <c r="CJ35" i="10" s="1"/>
  <c r="CK33" i="10" a="1"/>
  <c r="CK33" i="10" s="1"/>
  <c r="CJ39" i="10" a="1"/>
  <c r="CJ39" i="10" s="1"/>
  <c r="CH38" i="10" a="1"/>
  <c r="CH38" i="10" s="1"/>
  <c r="CJ34" i="10" a="1"/>
  <c r="CJ34" i="10" s="1"/>
  <c r="CF33" i="10"/>
  <c r="CJ36" i="10" a="1"/>
  <c r="CJ36" i="10" s="1"/>
  <c r="CG38" i="10" a="1"/>
  <c r="CG38" i="10" s="1"/>
  <c r="CH39" i="10" s="1"/>
  <c r="BZ41" i="10" a="1"/>
  <c r="BZ44" i="10" a="1"/>
  <c r="CF39" i="10" l="1"/>
  <c r="BZ44" i="10"/>
  <c r="BZ41" i="10"/>
  <c r="CF42" i="10"/>
  <c r="CG42" i="10" a="1"/>
  <c r="CG42" i="10" l="1"/>
  <c r="CM1" i="10"/>
  <c r="CC42" i="10" a="1"/>
  <c r="CC42" i="10" s="1"/>
  <c r="CC46" i="10" a="1"/>
  <c r="CC46" i="10" s="1"/>
  <c r="CC47" i="10" a="1"/>
  <c r="CC47" i="10" s="1"/>
  <c r="CC44" i="10" a="1"/>
  <c r="CC44" i="10" s="1"/>
  <c r="CD41" i="10" a="1"/>
  <c r="CD41" i="10" s="1"/>
  <c r="BZ46" i="10" a="1"/>
  <c r="BZ46" i="10" s="1"/>
  <c r="CA47" i="10" s="1"/>
  <c r="BY46" i="10" a="1"/>
  <c r="BY46" i="10" s="1"/>
  <c r="BY41" i="10"/>
  <c r="CA46" i="10" a="1"/>
  <c r="CA46" i="10" s="1"/>
  <c r="BZ43" i="10" a="1"/>
  <c r="BZ43" i="10" s="1"/>
  <c r="CC43" i="10" a="1"/>
  <c r="CC43" i="10" s="1"/>
  <c r="CG41" i="10" a="1"/>
  <c r="CG44" i="10" a="1"/>
  <c r="BY47" i="10" l="1"/>
  <c r="CG44" i="10"/>
  <c r="CG41" i="10"/>
  <c r="CN2" i="10"/>
  <c r="CO2" i="10" a="1"/>
  <c r="CO2" i="10" l="1"/>
  <c r="CT1" i="10"/>
  <c r="CJ47" i="10" a="1"/>
  <c r="CJ47" i="10" s="1"/>
  <c r="CJ46" i="10" a="1"/>
  <c r="CJ46" i="10" s="1"/>
  <c r="CJ44" i="10" a="1"/>
  <c r="CJ44" i="10" s="1"/>
  <c r="CJ43" i="10" a="1"/>
  <c r="CJ43" i="10" s="1"/>
  <c r="CG46" i="10" a="1"/>
  <c r="CG46" i="10" s="1"/>
  <c r="CH47" i="10" s="1"/>
  <c r="CJ42" i="10" a="1"/>
  <c r="CJ42" i="10" s="1"/>
  <c r="CF46" i="10" a="1"/>
  <c r="CF46" i="10" s="1"/>
  <c r="CG43" i="10" a="1"/>
  <c r="CG43" i="10" s="1"/>
  <c r="CK41" i="10" a="1"/>
  <c r="CK41" i="10" s="1"/>
  <c r="CH46" i="10" a="1"/>
  <c r="CH46" i="10" s="1"/>
  <c r="CF41" i="10"/>
  <c r="CO4" i="10" a="1"/>
  <c r="CO1" i="10" a="1"/>
  <c r="CF47" i="10" l="1"/>
  <c r="CO1" i="10"/>
  <c r="CO4" i="10"/>
  <c r="CU2" i="10"/>
  <c r="CV2" i="10" a="1"/>
  <c r="CV2" i="10" l="1"/>
  <c r="CM9" i="10"/>
  <c r="CO6" i="10" a="1"/>
  <c r="CO6" i="10" s="1"/>
  <c r="CP7" i="10" s="1"/>
  <c r="CR4" i="10" a="1"/>
  <c r="CR4" i="10" s="1"/>
  <c r="CR7" i="10" a="1"/>
  <c r="CR7" i="10" s="1"/>
  <c r="CR2" i="10" a="1"/>
  <c r="CR2" i="10" s="1"/>
  <c r="CN6" i="10" a="1"/>
  <c r="CN6" i="10" s="1"/>
  <c r="CO3" i="10" a="1"/>
  <c r="CO3" i="10" s="1"/>
  <c r="CR6" i="10" a="1"/>
  <c r="CR6" i="10" s="1"/>
  <c r="CR3" i="10" a="1"/>
  <c r="CR3" i="10" s="1"/>
  <c r="CS1" i="10" a="1"/>
  <c r="CS1" i="10" s="1"/>
  <c r="CN1" i="10"/>
  <c r="CP6" i="10" a="1"/>
  <c r="CP6" i="10" s="1"/>
  <c r="CV4" i="10" a="1"/>
  <c r="CV1" i="10" a="1"/>
  <c r="CV1" i="10" l="1"/>
  <c r="CV4" i="10"/>
  <c r="CN7" i="10"/>
  <c r="CN10" i="10"/>
  <c r="CO10" i="10" a="1"/>
  <c r="CO10" i="10" l="1"/>
  <c r="CT9" i="10"/>
  <c r="CY7" i="10" a="1"/>
  <c r="CY7" i="10" s="1"/>
  <c r="CV6" i="10" a="1"/>
  <c r="CV6" i="10" s="1"/>
  <c r="CW7" i="10" s="1"/>
  <c r="CU6" i="10" a="1"/>
  <c r="CU6" i="10" s="1"/>
  <c r="CY6" i="10" a="1"/>
  <c r="CY6" i="10" s="1"/>
  <c r="CZ1" i="10" a="1"/>
  <c r="CZ1" i="10" s="1"/>
  <c r="CY4" i="10" a="1"/>
  <c r="CY4" i="10" s="1"/>
  <c r="CY2" i="10" a="1"/>
  <c r="CY2" i="10" s="1"/>
  <c r="CU1" i="10"/>
  <c r="CV3" i="10" a="1"/>
  <c r="CV3" i="10" s="1"/>
  <c r="CW6" i="10" a="1"/>
  <c r="CW6" i="10" s="1"/>
  <c r="CY3" i="10" a="1"/>
  <c r="CY3" i="10" s="1"/>
  <c r="CO9" i="10" a="1"/>
  <c r="CO12" i="10" a="1"/>
  <c r="CO12" i="10" l="1"/>
  <c r="CO9" i="10"/>
  <c r="CU7" i="10"/>
  <c r="CU10" i="10"/>
  <c r="CV10" i="10" a="1"/>
  <c r="CV10" i="10" l="1"/>
  <c r="CM17" i="10"/>
  <c r="CR15" i="10" a="1"/>
  <c r="CR15" i="10" s="1"/>
  <c r="CN14" i="10" a="1"/>
  <c r="CN14" i="10" s="1"/>
  <c r="CR11" i="10" a="1"/>
  <c r="CR11" i="10" s="1"/>
  <c r="CO14" i="10" a="1"/>
  <c r="CO14" i="10" s="1"/>
  <c r="CN15" i="10" s="1"/>
  <c r="CR12" i="10" a="1"/>
  <c r="CR12" i="10" s="1"/>
  <c r="CO11" i="10" a="1"/>
  <c r="CO11" i="10" s="1"/>
  <c r="CR10" i="10" a="1"/>
  <c r="CR10" i="10" s="1"/>
  <c r="CS9" i="10" a="1"/>
  <c r="CS9" i="10" s="1"/>
  <c r="CR14" i="10" a="1"/>
  <c r="CR14" i="10" s="1"/>
  <c r="CN9" i="10"/>
  <c r="CP14" i="10" a="1"/>
  <c r="CP14" i="10" s="1"/>
  <c r="CV12" i="10" a="1"/>
  <c r="CV9" i="10" a="1"/>
  <c r="CV9" i="10" l="1"/>
  <c r="CV12" i="10"/>
  <c r="CP15" i="10"/>
  <c r="CN18" i="10"/>
  <c r="CO18" i="10" a="1"/>
  <c r="CO18" i="10" l="1"/>
  <c r="CT17" i="10"/>
  <c r="CV14" i="10" a="1"/>
  <c r="CV14" i="10" s="1"/>
  <c r="CW15" i="10" s="1"/>
  <c r="CY11" i="10" a="1"/>
  <c r="CY11" i="10" s="1"/>
  <c r="CV11" i="10" a="1"/>
  <c r="CV11" i="10" s="1"/>
  <c r="CY10" i="10" a="1"/>
  <c r="CY10" i="10" s="1"/>
  <c r="CU9" i="10"/>
  <c r="CU14" i="10" a="1"/>
  <c r="CU14" i="10" s="1"/>
  <c r="CZ9" i="10" a="1"/>
  <c r="CZ9" i="10" s="1"/>
  <c r="CY15" i="10" a="1"/>
  <c r="CY15" i="10" s="1"/>
  <c r="CY14" i="10" a="1"/>
  <c r="CY14" i="10" s="1"/>
  <c r="CY12" i="10" a="1"/>
  <c r="CY12" i="10" s="1"/>
  <c r="CW14" i="10" a="1"/>
  <c r="CW14" i="10" s="1"/>
  <c r="CO17" i="10" a="1"/>
  <c r="CO20" i="10" a="1"/>
  <c r="CO20" i="10" l="1"/>
  <c r="CO17" i="10"/>
  <c r="CU15" i="10"/>
  <c r="CU18" i="10"/>
  <c r="CV18" i="10" a="1"/>
  <c r="CV18" i="10" l="1"/>
  <c r="CM25" i="10"/>
  <c r="CP22" i="10" a="1"/>
  <c r="CP22" i="10" s="1"/>
  <c r="CR18" i="10" a="1"/>
  <c r="CR18" i="10" s="1"/>
  <c r="CR23" i="10" a="1"/>
  <c r="CR23" i="10" s="1"/>
  <c r="CO22" i="10" a="1"/>
  <c r="CO22" i="10" s="1"/>
  <c r="CN23" i="10" s="1"/>
  <c r="CN22" i="10" a="1"/>
  <c r="CN22" i="10" s="1"/>
  <c r="CR20" i="10" a="1"/>
  <c r="CR20" i="10" s="1"/>
  <c r="CS17" i="10" a="1"/>
  <c r="CS17" i="10" s="1"/>
  <c r="CR19" i="10" a="1"/>
  <c r="CR19" i="10" s="1"/>
  <c r="CO19" i="10" a="1"/>
  <c r="CO19" i="10" s="1"/>
  <c r="CN17" i="10"/>
  <c r="CR22" i="10" a="1"/>
  <c r="CR22" i="10" s="1"/>
  <c r="CV20" i="10" a="1"/>
  <c r="CV17" i="10" a="1"/>
  <c r="CV17" i="10" l="1"/>
  <c r="CV20" i="10"/>
  <c r="CP23" i="10"/>
  <c r="CN26" i="10"/>
  <c r="CO26" i="10" a="1"/>
  <c r="CO26" i="10" l="1"/>
  <c r="CT25" i="10"/>
  <c r="CW22" i="10" a="1"/>
  <c r="CW22" i="10" s="1"/>
  <c r="CV19" i="10" a="1"/>
  <c r="CV19" i="10" s="1"/>
  <c r="CU17" i="10"/>
  <c r="CY22" i="10" a="1"/>
  <c r="CY22" i="10" s="1"/>
  <c r="CY19" i="10" a="1"/>
  <c r="CY19" i="10" s="1"/>
  <c r="CV22" i="10" a="1"/>
  <c r="CV22" i="10" s="1"/>
  <c r="CW23" i="10" s="1"/>
  <c r="CU22" i="10" a="1"/>
  <c r="CU22" i="10" s="1"/>
  <c r="CY23" i="10" a="1"/>
  <c r="CY23" i="10" s="1"/>
  <c r="CY20" i="10" a="1"/>
  <c r="CY20" i="10" s="1"/>
  <c r="CY18" i="10" a="1"/>
  <c r="CY18" i="10" s="1"/>
  <c r="CZ17" i="10" a="1"/>
  <c r="CZ17" i="10" s="1"/>
  <c r="CO28" i="10" a="1"/>
  <c r="CO25" i="10" a="1"/>
  <c r="CU23" i="10" l="1"/>
  <c r="CO25" i="10"/>
  <c r="CO28" i="10"/>
  <c r="CU26" i="10"/>
  <c r="CV26" i="10" a="1"/>
  <c r="CV26" i="10" l="1"/>
  <c r="CM33" i="10"/>
  <c r="CN30" i="10" a="1"/>
  <c r="CN30" i="10" s="1"/>
  <c r="CR31" i="10" a="1"/>
  <c r="CR31" i="10" s="1"/>
  <c r="CR30" i="10" a="1"/>
  <c r="CR30" i="10" s="1"/>
  <c r="CR27" i="10" a="1"/>
  <c r="CR27" i="10" s="1"/>
  <c r="CS25" i="10" a="1"/>
  <c r="CS25" i="10" s="1"/>
  <c r="CP30" i="10" a="1"/>
  <c r="CP30" i="10" s="1"/>
  <c r="CR26" i="10" a="1"/>
  <c r="CR26" i="10" s="1"/>
  <c r="CO27" i="10" a="1"/>
  <c r="CO27" i="10" s="1"/>
  <c r="CO30" i="10" a="1"/>
  <c r="CO30" i="10" s="1"/>
  <c r="CN31" i="10" s="1"/>
  <c r="CR28" i="10" a="1"/>
  <c r="CR28" i="10" s="1"/>
  <c r="CN25" i="10"/>
  <c r="CV25" i="10" a="1"/>
  <c r="CV28" i="10" a="1"/>
  <c r="CV28" i="10" l="1"/>
  <c r="CV25" i="10"/>
  <c r="CP31" i="10"/>
  <c r="CN34" i="10"/>
  <c r="CO34" i="10" a="1"/>
  <c r="CO34" i="10" l="1"/>
  <c r="CT33" i="10"/>
  <c r="CU30" i="10" a="1"/>
  <c r="CU30" i="10" s="1"/>
  <c r="CY30" i="10" a="1"/>
  <c r="CY30" i="10" s="1"/>
  <c r="CZ25" i="10" a="1"/>
  <c r="CZ25" i="10" s="1"/>
  <c r="CY31" i="10" a="1"/>
  <c r="CY31" i="10" s="1"/>
  <c r="CY28" i="10" a="1"/>
  <c r="CY28" i="10" s="1"/>
  <c r="CV30" i="10" a="1"/>
  <c r="CV30" i="10" s="1"/>
  <c r="CW31" i="10" s="1"/>
  <c r="CY27" i="10" a="1"/>
  <c r="CY27" i="10" s="1"/>
  <c r="CV27" i="10" a="1"/>
  <c r="CV27" i="10" s="1"/>
  <c r="CU25" i="10"/>
  <c r="CW30" i="10" a="1"/>
  <c r="CW30" i="10" s="1"/>
  <c r="CY26" i="10" a="1"/>
  <c r="CY26" i="10" s="1"/>
  <c r="CO36" i="10" a="1"/>
  <c r="CO33" i="10" a="1"/>
  <c r="CU31" i="10" l="1"/>
  <c r="CO33" i="10"/>
  <c r="CO36" i="10"/>
  <c r="CU34" i="10"/>
  <c r="CV34" i="10" a="1"/>
  <c r="CV34" i="10" l="1"/>
  <c r="CM41" i="10"/>
  <c r="CR39" i="10" a="1"/>
  <c r="CR39" i="10" s="1"/>
  <c r="CO38" i="10" a="1"/>
  <c r="CO38" i="10" s="1"/>
  <c r="CN39" i="10" s="1"/>
  <c r="CS33" i="10" a="1"/>
  <c r="CS33" i="10" s="1"/>
  <c r="CN38" i="10" a="1"/>
  <c r="CN38" i="10" s="1"/>
  <c r="CR36" i="10" a="1"/>
  <c r="CR36" i="10" s="1"/>
  <c r="CR38" i="10" a="1"/>
  <c r="CR38" i="10" s="1"/>
  <c r="CR34" i="10" a="1"/>
  <c r="CR34" i="10" s="1"/>
  <c r="CR35" i="10" a="1"/>
  <c r="CR35" i="10" s="1"/>
  <c r="CP38" i="10" a="1"/>
  <c r="CP38" i="10" s="1"/>
  <c r="CO35" i="10" a="1"/>
  <c r="CO35" i="10" s="1"/>
  <c r="CN33" i="10"/>
  <c r="CV36" i="10" a="1"/>
  <c r="CV33" i="10" a="1"/>
  <c r="CV33" i="10" l="1"/>
  <c r="CV36" i="10"/>
  <c r="CP39" i="10"/>
  <c r="CN42" i="10"/>
  <c r="CO42" i="10" a="1"/>
  <c r="CO42" i="10" l="1"/>
  <c r="CT41" i="10"/>
  <c r="CY35" i="10" a="1"/>
  <c r="CY35" i="10" s="1"/>
  <c r="CW38" i="10" a="1"/>
  <c r="CW38" i="10" s="1"/>
  <c r="CY36" i="10" a="1"/>
  <c r="CY36" i="10" s="1"/>
  <c r="CY38" i="10" a="1"/>
  <c r="CY38" i="10" s="1"/>
  <c r="CY34" i="10" a="1"/>
  <c r="CY34" i="10" s="1"/>
  <c r="CU33" i="10"/>
  <c r="CV38" i="10" a="1"/>
  <c r="CV38" i="10" s="1"/>
  <c r="CU39" i="10" s="1"/>
  <c r="CV35" i="10" a="1"/>
  <c r="CV35" i="10" s="1"/>
  <c r="CU38" i="10" a="1"/>
  <c r="CU38" i="10" s="1"/>
  <c r="CZ33" i="10" a="1"/>
  <c r="CZ33" i="10" s="1"/>
  <c r="CY39" i="10" a="1"/>
  <c r="CY39" i="10" s="1"/>
  <c r="CO41" i="10" a="1"/>
  <c r="CO44" i="10" a="1"/>
  <c r="CW39" i="10" l="1"/>
  <c r="CO44" i="10"/>
  <c r="CO41" i="10"/>
  <c r="CU42" i="10"/>
  <c r="CV42" i="10" a="1"/>
  <c r="CV42" i="10" l="1"/>
  <c r="CR46" i="10" a="1"/>
  <c r="CR46" i="10" s="1"/>
  <c r="CP46" i="10" a="1"/>
  <c r="CP46" i="10" s="1"/>
  <c r="CO43" i="10" a="1"/>
  <c r="CO43" i="10" s="1"/>
  <c r="CR47" i="10" a="1"/>
  <c r="CR47" i="10" s="1"/>
  <c r="CO46" i="10" a="1"/>
  <c r="CO46" i="10" s="1"/>
  <c r="CN47" i="10" s="1"/>
  <c r="CR43" i="10" a="1"/>
  <c r="CR43" i="10" s="1"/>
  <c r="CR42" i="10" a="1"/>
  <c r="CR42" i="10" s="1"/>
  <c r="CS41" i="10" a="1"/>
  <c r="CS41" i="10" s="1"/>
  <c r="CR44" i="10" a="1"/>
  <c r="CR44" i="10" s="1"/>
  <c r="CN41" i="10"/>
  <c r="CN46" i="10" a="1"/>
  <c r="CN46" i="10" s="1"/>
  <c r="CV41" i="10" a="1"/>
  <c r="CV44" i="10" a="1"/>
  <c r="CP47" i="10" l="1"/>
  <c r="CV44" i="10"/>
  <c r="CV41" i="10"/>
  <c r="CY47" i="10" l="1" a="1"/>
  <c r="CY47" i="10" s="1"/>
  <c r="CY46" i="10" a="1"/>
  <c r="CY46" i="10" s="1"/>
  <c r="CY44" i="10" a="1"/>
  <c r="CY44" i="10" s="1"/>
  <c r="CY43" i="10" a="1"/>
  <c r="CY43" i="10" s="1"/>
  <c r="CU46" i="10" a="1"/>
  <c r="CU46" i="10" s="1"/>
  <c r="CU41" i="10"/>
  <c r="CY42" i="10" a="1"/>
  <c r="CY42" i="10" s="1"/>
  <c r="CV46" i="10" a="1"/>
  <c r="CV46" i="10" s="1"/>
  <c r="CU47" i="10" s="1"/>
  <c r="CV43" i="10" a="1"/>
  <c r="CV43" i="10" s="1"/>
  <c r="CZ41" i="10" a="1"/>
  <c r="CZ41" i="10" s="1"/>
  <c r="CW46" i="10" a="1"/>
  <c r="CW46" i="10" s="1"/>
  <c r="CW47" i="10" l="1"/>
  <c r="O6" i="7" a="1"/>
  <c r="O6" i="7"/>
  <c r="F6" i="7" a="1"/>
  <c r="O14" i="7" a="1"/>
  <c r="O7" i="7" a="1"/>
  <c r="F6" i="7" l="1"/>
  <c r="O14" i="7"/>
  <c r="O7" i="7"/>
  <c r="A6" i="7" a="1"/>
  <c r="O22" i="7" a="1"/>
  <c r="O5" i="7" a="1"/>
  <c r="A6" i="7" l="1"/>
  <c r="O15" i="7" a="1"/>
  <c r="O15" i="7" s="1"/>
  <c r="O23" i="7" s="1" a="1"/>
  <c r="O23" i="7" s="1"/>
  <c r="O22" i="7"/>
  <c r="O5" i="7"/>
  <c r="O13" i="7" s="1" a="1"/>
  <c r="O13" i="7" s="1"/>
  <c r="O21" i="7" s="1" a="1"/>
  <c r="O21" i="7" s="1"/>
  <c r="F7" i="7" a="1"/>
  <c r="O4" i="7" a="1"/>
  <c r="F7" i="7" l="1"/>
  <c r="A7" i="7" s="1" a="1"/>
  <c r="A7" i="7" s="1"/>
  <c r="O4" i="7"/>
  <c r="F4" i="7" a="1"/>
  <c r="O12" i="7" a="1"/>
  <c r="O3" i="7" a="1"/>
  <c r="F4" i="7" l="1"/>
  <c r="O12" i="7"/>
  <c r="O3" i="7"/>
  <c r="A4" i="7" a="1"/>
  <c r="O20" i="7" a="1"/>
  <c r="O11" i="7" a="1"/>
  <c r="O2" i="7" a="1"/>
  <c r="A4" i="7" l="1"/>
  <c r="O11" i="7"/>
  <c r="O19" i="7" s="1" a="1"/>
  <c r="O19" i="7" s="1"/>
  <c r="O20" i="7"/>
  <c r="O2" i="7"/>
  <c r="O10" i="7" a="1"/>
  <c r="O1" i="7" a="1"/>
  <c r="O10" i="7" l="1"/>
  <c r="O18" i="7" s="1" a="1"/>
  <c r="O18" i="7" s="1"/>
  <c r="O1" i="7"/>
  <c r="O9" i="7" s="1" a="1"/>
  <c r="O9" i="7" s="1"/>
  <c r="O17" i="7" s="1" a="1"/>
  <c r="O17" i="7" s="1"/>
  <c r="O8" i="7" a="1"/>
  <c r="O8" i="7"/>
  <c r="B10" i="7" a="1"/>
  <c r="B10" i="7" s="1"/>
  <c r="B9" i="7" a="1"/>
  <c r="B9" i="7" s="1"/>
  <c r="B11" i="7" a="1"/>
  <c r="B11" i="7" s="1"/>
  <c r="B13" i="7" a="1"/>
  <c r="B13" i="7" s="1"/>
  <c r="B15" i="7" a="1"/>
  <c r="B15" i="7" s="1"/>
  <c r="B12" i="7" a="1"/>
  <c r="B14" i="7" a="1"/>
  <c r="F2" i="7" a="1"/>
  <c r="F1" i="7" a="1"/>
  <c r="F5" i="7" a="1"/>
  <c r="F3" i="7" a="1"/>
  <c r="B14" i="7" l="1"/>
  <c r="B12" i="7"/>
  <c r="O16" i="7" a="1"/>
  <c r="O16" i="7" s="1"/>
  <c r="O24" i="7" s="1" a="1"/>
  <c r="O24" i="7" s="1"/>
  <c r="B16" i="7" a="1"/>
  <c r="B16" i="7" s="1"/>
  <c r="F16" i="7" s="1" a="1"/>
  <c r="F16" i="7" s="1"/>
  <c r="A16" i="7" s="1" a="1"/>
  <c r="A16" i="7" s="1"/>
  <c r="F3" i="7"/>
  <c r="F5" i="7"/>
  <c r="A5" i="7" s="1" a="1"/>
  <c r="A5" i="7" s="1"/>
  <c r="F1" i="7"/>
  <c r="A1" i="7" s="1" a="1"/>
  <c r="A1" i="7" s="1"/>
  <c r="F2" i="7"/>
  <c r="F11" i="7" a="1"/>
  <c r="F11" i="7" s="1"/>
  <c r="A11" i="7" s="1" a="1"/>
  <c r="A11" i="7" s="1"/>
  <c r="B19" i="7" a="1"/>
  <c r="B19" i="7" s="1"/>
  <c r="F19" i="7" s="1" a="1"/>
  <c r="F19" i="7" s="1"/>
  <c r="A19" i="7" s="1" a="1"/>
  <c r="A19" i="7" s="1"/>
  <c r="B17" i="7" a="1"/>
  <c r="B17" i="7" s="1"/>
  <c r="F17" i="7" s="1" a="1"/>
  <c r="F17" i="7" s="1"/>
  <c r="A17" i="7" s="1" a="1"/>
  <c r="A17" i="7" s="1"/>
  <c r="F9" i="7" a="1"/>
  <c r="F9" i="7" s="1"/>
  <c r="A9" i="7" s="1" a="1"/>
  <c r="A9" i="7" s="1"/>
  <c r="B18" i="7" a="1"/>
  <c r="B18" i="7" s="1"/>
  <c r="F18" i="7" s="1" a="1"/>
  <c r="F18" i="7" s="1"/>
  <c r="A18" i="7" s="1" a="1"/>
  <c r="A18" i="7" s="1"/>
  <c r="F10" i="7" a="1"/>
  <c r="F10" i="7" s="1"/>
  <c r="A10" i="7" s="1" a="1"/>
  <c r="A10" i="7" s="1"/>
  <c r="B23" i="7" a="1"/>
  <c r="B23" i="7" s="1"/>
  <c r="F23" i="7" s="1" a="1"/>
  <c r="F23" i="7" s="1"/>
  <c r="A23" i="7" s="1" a="1"/>
  <c r="A23" i="7" s="1"/>
  <c r="F15" i="7" a="1"/>
  <c r="F15" i="7" s="1"/>
  <c r="A15" i="7" s="1" a="1"/>
  <c r="A15" i="7" s="1"/>
  <c r="F13" i="7" a="1"/>
  <c r="F13" i="7" s="1"/>
  <c r="A13" i="7" s="1" a="1"/>
  <c r="A13" i="7" s="1"/>
  <c r="B21" i="7" a="1"/>
  <c r="B21" i="7" s="1"/>
  <c r="F21" i="7" s="1" a="1"/>
  <c r="F21" i="7" s="1"/>
  <c r="A21" i="7" s="1" a="1"/>
  <c r="A21" i="7" s="1"/>
  <c r="F12" i="7" a="1"/>
  <c r="F14" i="7" a="1"/>
  <c r="F8" i="7" a="1"/>
  <c r="A3" i="7" a="1"/>
  <c r="A2" i="7" a="1"/>
  <c r="F8" i="7" l="1"/>
  <c r="A8" i="7" s="1" a="1"/>
  <c r="A8" i="7" s="1"/>
  <c r="F14" i="7"/>
  <c r="F12" i="7"/>
  <c r="B24" i="7" a="1"/>
  <c r="B24" i="7" s="1"/>
  <c r="F24" i="7" s="1" a="1"/>
  <c r="F24" i="7" s="1"/>
  <c r="A24" i="7" s="1" a="1"/>
  <c r="A24" i="7" s="1"/>
  <c r="A2" i="7"/>
  <c r="A3" i="7"/>
  <c r="B22" i="7" a="1"/>
  <c r="B20" i="7" a="1"/>
  <c r="B20" i="7" l="1"/>
  <c r="B22" i="7"/>
  <c r="D222" i="9" a="1"/>
  <c r="D222" i="9" s="1"/>
  <c r="C219" i="9" a="1"/>
  <c r="C219" i="9" s="1"/>
  <c r="I220" i="9" a="1"/>
  <c r="I220" i="9" s="1"/>
  <c r="Q220" i="9" s="1"/>
  <c r="P220" i="9" s="1"/>
  <c r="R5" i="7" a="1"/>
  <c r="R5" i="7" s="1"/>
  <c r="C221" i="9" a="1"/>
  <c r="C221" i="9" s="1"/>
  <c r="I224" i="9" a="1"/>
  <c r="I224" i="9" s="1"/>
  <c r="Q224" i="9" s="1"/>
  <c r="P224" i="9" s="1"/>
  <c r="D223" i="9" a="1"/>
  <c r="D223" i="9" s="1"/>
  <c r="R9" i="7" a="1"/>
  <c r="R9" i="7" s="1"/>
  <c r="C222" i="9" a="1"/>
  <c r="C222" i="9" s="1"/>
  <c r="C217" i="9" a="1"/>
  <c r="C217" i="9" s="1"/>
  <c r="C224" i="9" a="1"/>
  <c r="C224" i="9" s="1"/>
  <c r="R6" i="7" a="1"/>
  <c r="R6" i="7" s="1"/>
  <c r="D221" i="9" a="1"/>
  <c r="D221" i="9" s="1"/>
  <c r="R8" i="7" a="1"/>
  <c r="R8" i="7" s="1"/>
  <c r="I217" i="9" a="1"/>
  <c r="I217" i="9" s="1"/>
  <c r="Q217" i="9" s="1"/>
  <c r="P217" i="9" s="1"/>
  <c r="I219" i="9" a="1"/>
  <c r="I219" i="9" s="1"/>
  <c r="Q219" i="9" s="1"/>
  <c r="P219" i="9" s="1"/>
  <c r="C220" i="9" a="1"/>
  <c r="C220" i="9" s="1"/>
  <c r="I221" i="9" a="1"/>
  <c r="I221" i="9" s="1"/>
  <c r="Q221" i="9" s="1"/>
  <c r="P221" i="9" s="1"/>
  <c r="D219" i="9" a="1"/>
  <c r="D219" i="9" s="1"/>
  <c r="D220" i="9" a="1"/>
  <c r="D220" i="9" s="1"/>
  <c r="D217" i="9" a="1"/>
  <c r="D217" i="9" s="1"/>
  <c r="I223" i="9" a="1"/>
  <c r="I223" i="9" s="1"/>
  <c r="Q223" i="9" s="1"/>
  <c r="P223" i="9" s="1"/>
  <c r="I222" i="9" a="1"/>
  <c r="I222" i="9" s="1"/>
  <c r="Q222" i="9" s="1"/>
  <c r="P222" i="9" s="1"/>
  <c r="I218" i="9" a="1"/>
  <c r="I218" i="9" s="1"/>
  <c r="Q218" i="9" s="1"/>
  <c r="P218" i="9" s="1"/>
  <c r="R7" i="7" a="1"/>
  <c r="R7" i="7" s="1"/>
  <c r="D224" i="9" a="1"/>
  <c r="D224" i="9" s="1"/>
  <c r="D218" i="9" a="1"/>
  <c r="D218" i="9" s="1"/>
  <c r="C223" i="9" a="1"/>
  <c r="C223" i="9" s="1"/>
  <c r="C218" i="9" a="1"/>
  <c r="C218" i="9" s="1"/>
  <c r="F20" i="7" a="1"/>
  <c r="F22" i="7" a="1"/>
  <c r="A12" i="7" a="1"/>
  <c r="A14" i="7" a="1"/>
  <c r="A14" i="7" l="1"/>
  <c r="A12" i="7"/>
  <c r="F22" i="7"/>
  <c r="F20" i="7"/>
  <c r="A22" i="7" a="1"/>
  <c r="A20" i="7" a="1"/>
  <c r="A20" i="7" l="1"/>
  <c r="A2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<sst xmlns="http://schemas.openxmlformats.org/spreadsheetml/2006/main" count="1212" uniqueCount="462">
  <si>
    <t>赤</t>
  </si>
  <si>
    <t>キャラ弁（学食）</t>
  </si>
  <si>
    <t>キャラ弁当</t>
  </si>
  <si>
    <t>カレー</t>
  </si>
  <si>
    <t>パック弁当</t>
  </si>
  <si>
    <t>配膳スマ</t>
  </si>
  <si>
    <t>おやつ</t>
  </si>
  <si>
    <t>社食</t>
  </si>
  <si>
    <t>＊＊＊</t>
  </si>
  <si>
    <t>数出表</t>
  </si>
  <si>
    <t>上段：園児、下段：先生</t>
  </si>
  <si>
    <t>作成日</t>
  </si>
  <si>
    <t>オレンジ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</si>
  <si>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</si>
  <si>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</si>
  <si>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</si>
  <si>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</si>
  <si>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</si>
  <si>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</si>
  <si>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</si>
  <si>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</si>
  <si>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</si>
  <si>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</si>
  <si>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</si>
  <si>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</si>
  <si>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</si>
  <si>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</si>
  <si>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</si>
  <si>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</si>
  <si>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</si>
  <si>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</si>
  <si>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</si>
  <si>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</si>
  <si>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</si>
  <si>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</si>
  <si>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</si>
  <si>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</si>
  <si>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</si>
  <si>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.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</si>
  <si>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</si>
  <si>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</si>
  <si>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</si>
  <si>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</si>
  <si>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</si>
  <si>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</si>
  <si>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</si>
  <si>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</si>
  <si>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</si>
  <si>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</si>
  <si>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</si>
  <si>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</si>
  <si>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</si>
  <si>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</si>
  <si>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</si>
  <si>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</si>
  <si>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</si>
  <si>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</si>
  <si>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</si>
  <si>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</si>
  <si>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</si>
  <si>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</si>
  <si>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</si>
  <si>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</si>
  <si>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</si>
  <si>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</si>
  <si>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</si>
  <si>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</si>
  <si>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キャラ</t>
  </si>
  <si>
    <t>ごはん</t>
  </si>
  <si>
    <t>キャラ　先生</t>
  </si>
  <si>
    <t>弁当　生徒</t>
  </si>
  <si>
    <t>キャラ（ふたば）</t>
  </si>
  <si>
    <t>ごはん用保温箱</t>
  </si>
  <si>
    <t>キャラ（ふたば）　先生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</si>
  <si>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</si>
  <si>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</si>
  <si>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</si>
  <si>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</si>
  <si>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</si>
  <si>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</si>
  <si>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</si>
  <si>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</si>
  <si>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</si>
  <si>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</si>
  <si>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</si>
  <si>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</si>
  <si>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</si>
  <si>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</si>
  <si>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</si>
  <si>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キャラ　パン　</t>
  </si>
  <si>
    <t>キャラ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</si>
  <si>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</si>
  <si>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</si>
  <si>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</si>
  <si>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</si>
  <si>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</si>
  <si>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</si>
  <si>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</si>
  <si>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</si>
  <si>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</si>
  <si>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</si>
  <si>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</si>
  <si>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</si>
  <si>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</si>
  <si>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</si>
  <si>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</si>
  <si>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</si>
  <si>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</si>
  <si>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カレー　園児</t>
  </si>
  <si>
    <t>ルウ</t>
  </si>
  <si>
    <t>カレー　先生</t>
  </si>
  <si>
    <t>ハヤシ　園児</t>
  </si>
  <si>
    <t>ハヤシ</t>
  </si>
  <si>
    <t>ハヤシ　先生</t>
  </si>
  <si>
    <t>シチュー　園児</t>
  </si>
  <si>
    <t>シチュー</t>
  </si>
  <si>
    <t>シチュー　先生</t>
  </si>
  <si>
    <t>カップ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</si>
  <si>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</si>
  <si>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</si>
  <si>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</si>
  <si>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</si>
  <si>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</si>
  <si>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</si>
  <si>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</si>
  <si>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</si>
  <si>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</si>
  <si>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</si>
  <si>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</si>
  <si>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</si>
  <si>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</si>
  <si>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</si>
  <si>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</si>
  <si>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</si>
  <si>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</si>
  <si>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</si>
  <si>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</si>
  <si>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</si>
  <si>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</si>
  <si>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</si>
  <si>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寿司飯　園児</t>
  </si>
  <si>
    <t>寿司飯</t>
  </si>
  <si>
    <t>寿司飯　先生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</si>
  <si>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</si>
  <si>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</si>
  <si>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</si>
  <si>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</si>
  <si>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</si>
  <si>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</si>
  <si>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</si>
  <si>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</si>
  <si>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</si>
  <si>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</si>
  <si>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</si>
  <si>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</si>
  <si>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</si>
  <si>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</si>
  <si>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</si>
  <si>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</si>
  <si>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</t>
  </si>
  <si>
    <t>デザート　先生</t>
  </si>
  <si>
    <t>ケーキ　園児</t>
  </si>
  <si>
    <t>ケーキ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</si>
  <si>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</si>
  <si>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</si>
  <si>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</si>
  <si>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</si>
  <si>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</si>
  <si>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</si>
  <si>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</si>
  <si>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</si>
  <si>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</si>
  <si>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</si>
  <si>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</si>
  <si>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</si>
  <si>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</si>
  <si>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</si>
  <si>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</si>
  <si>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</si>
  <si>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もち米</t>
  </si>
  <si>
    <t>砂糖</t>
  </si>
  <si>
    <t>そうめん</t>
  </si>
  <si>
    <t>ごはんとスープ</t>
  </si>
  <si>
    <t>おちゃわん</t>
  </si>
  <si>
    <t>お弁当</t>
  </si>
  <si>
    <t>消費税</t>
  </si>
  <si>
    <t>チーズ</t>
  </si>
  <si>
    <t>さつま芋</t>
  </si>
  <si>
    <t>すいか</t>
  </si>
  <si>
    <t>サンドイッチ</t>
  </si>
  <si>
    <t>ジャム</t>
  </si>
  <si>
    <t>パン</t>
  </si>
  <si>
    <t>ピーナッツバター</t>
  </si>
  <si>
    <t>マヨネーズ</t>
  </si>
  <si>
    <t>レタス</t>
  </si>
  <si>
    <t>チェリー缶</t>
  </si>
  <si>
    <t>パイン缶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</si>
  <si>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</si>
  <si>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</si>
  <si>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</si>
  <si>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</si>
  <si>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</si>
  <si>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</si>
  <si>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</si>
  <si>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</si>
  <si>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</si>
  <si>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</si>
  <si>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</si>
  <si>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</si>
  <si>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</si>
  <si>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</si>
  <si>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</si>
  <si>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</si>
  <si>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</si>
  <si>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</si>
  <si>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</si>
  <si>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</si>
  <si>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</si>
  <si>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</si>
  <si>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</si>
  <si>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</si>
  <si>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</si>
  <si>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</si>
  <si>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</si>
  <si>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</si>
  <si>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</si>
  <si>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</si>
  <si>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</si>
  <si>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</si>
  <si>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</si>
  <si>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</si>
  <si>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</si>
  <si>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</si>
  <si>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</si>
  <si>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</si>
  <si>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</si>
  <si>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</si>
  <si>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</si>
  <si>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</si>
  <si>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管理職</t>
  </si>
  <si>
    <t>実習生</t>
  </si>
  <si>
    <t>保護者様用</t>
  </si>
  <si>
    <t>消毒液</t>
  </si>
  <si>
    <t>フルーツ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</si>
  <si>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</si>
  <si>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</si>
  <si>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</si>
  <si>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</si>
  <si>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</si>
  <si>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</si>
  <si>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</si>
  <si>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</si>
  <si>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</si>
  <si>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</si>
  <si>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</si>
  <si>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</si>
  <si>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</si>
  <si>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</si>
  <si>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</si>
  <si>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</si>
  <si>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</si>
  <si>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</si>
  <si>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</si>
  <si>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</si>
  <si>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</si>
  <si>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</si>
  <si>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</si>
  <si>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福神漬け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</si>
  <si>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</si>
  <si>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</si>
  <si>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</si>
  <si>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</si>
  <si>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</si>
  <si>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</si>
  <si>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</si>
  <si>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牛丼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</si>
  <si>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</si>
  <si>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</si>
  <si>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</si>
  <si>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</si>
  <si>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</si>
  <si>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</si>
  <si>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</si>
  <si>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</si>
  <si>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</si>
  <si>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</si>
  <si>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</si>
  <si>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</si>
  <si>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</si>
  <si>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</si>
  <si>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</si>
  <si>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</si>
  <si>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</si>
  <si>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</si>
  <si>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</si>
  <si>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</si>
  <si>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</si>
  <si>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</si>
  <si>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</si>
  <si>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</si>
  <si>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</si>
  <si>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</si>
  <si>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</si>
  <si>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</si>
  <si>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</si>
  <si>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</si>
  <si>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</si>
  <si>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</si>
  <si>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</si>
  <si>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</si>
  <si>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</si>
  <si>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</si>
  <si>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</si>
  <si>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</si>
  <si>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</si>
  <si>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</si>
  <si>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</si>
  <si>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</si>
  <si>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</si>
  <si>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</si>
  <si>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</si>
  <si>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</si>
  <si>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</si>
  <si>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</si>
  <si>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</si>
  <si>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</si>
  <si>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</si>
  <si>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</si>
  <si>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</si>
  <si>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</si>
  <si>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</si>
  <si>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</si>
  <si>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</si>
  <si>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</si>
  <si>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</si>
  <si>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パンランチ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</si>
  <si>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</si>
  <si>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</si>
  <si>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</si>
  <si>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</si>
  <si>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</si>
  <si>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</si>
  <si>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</si>
  <si>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</si>
  <si>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</si>
  <si>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</si>
  <si>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</si>
  <si>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</si>
  <si>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</si>
  <si>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</si>
  <si>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</si>
  <si>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</si>
  <si>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</si>
  <si>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</si>
  <si>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</si>
  <si>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</si>
  <si>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</si>
  <si>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</si>
  <si>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</si>
  <si>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</si>
  <si>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</si>
  <si>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</si>
  <si>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</si>
  <si>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</si>
  <si>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</si>
  <si>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</si>
  <si>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</si>
  <si>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</si>
  <si>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</si>
  <si>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</si>
  <si>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</si>
  <si>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パック弁当　　園児</t>
  </si>
  <si>
    <t>パック弁当　　先生</t>
  </si>
  <si>
    <t>ハム</t>
  </si>
  <si>
    <t>ガトーショコラ</t>
  </si>
  <si>
    <t>桜もち</t>
  </si>
  <si>
    <t>お弁当用袋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</si>
  <si>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</si>
  <si>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</si>
  <si>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</si>
  <si>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</si>
  <si>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</si>
  <si>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</si>
  <si>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</si>
  <si>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</si>
  <si>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</si>
  <si>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</si>
  <si>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</si>
  <si>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</si>
  <si>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</si>
  <si>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</si>
  <si>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</si>
  <si>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</si>
  <si>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</si>
  <si>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</si>
  <si>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おかしセット　園児用</t>
  </si>
  <si>
    <t>おかしセット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</si>
  <si>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</si>
  <si>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</si>
  <si>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</si>
  <si>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</si>
  <si>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</si>
  <si>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</si>
  <si>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</si>
  <si>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</si>
  <si>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</si>
  <si>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</t>
  </si>
  <si>
    <t>お別れ会　先生</t>
  </si>
  <si>
    <t>弁当　園児（満3歳児）</t>
  </si>
  <si>
    <t>弁当園児（満3歳児）</t>
  </si>
  <si>
    <t>とうもろこし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</si>
  <si>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</si>
  <si>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</si>
  <si>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</si>
  <si>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</si>
  <si>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</si>
  <si>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</si>
  <si>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</si>
  <si>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</si>
  <si>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　</t>
  </si>
  <si>
    <t>クリスマス クッキー　園児</t>
  </si>
  <si>
    <t>クリスマス　クッキー</t>
  </si>
  <si>
    <t>クリスマス クッキー　先生</t>
  </si>
  <si>
    <t>めん給食　園児</t>
  </si>
  <si>
    <t>めん給食</t>
  </si>
  <si>
    <t>めん給食　先生</t>
  </si>
  <si>
    <t>ミルクロールパン</t>
  </si>
  <si>
    <t>どんぶり給食　園児</t>
  </si>
  <si>
    <t>どんぶり給食</t>
  </si>
  <si>
    <t>具材</t>
  </si>
  <si>
    <t>汁もの</t>
  </si>
  <si>
    <t>どんぶり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</si>
  <si>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</si>
  <si>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</si>
  <si>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</si>
  <si>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</si>
  <si>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</si>
  <si>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</si>
  <si>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</si>
  <si>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</si>
  <si>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</si>
  <si>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</si>
  <si>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</si>
  <si>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</si>
  <si>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</si>
  <si>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</si>
  <si>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</si>
  <si>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</si>
  <si>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</si>
  <si>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</si>
  <si>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</si>
  <si>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</si>
  <si>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</si>
  <si>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</si>
  <si>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</si>
  <si>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</si>
  <si>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</si>
  <si>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</si>
  <si>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</si>
  <si>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</si>
  <si>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</si>
  <si>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キャラ弁（学食）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</si>
</sst>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b/>
      <sz val="14"/>
      <name val="Arial Black"/>
      <family val="2"/>
    </font>
    <font>
      <sz val="11"/>
      <color rgb="FF000000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49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6" borderId="0" xfId="0" applyFont="1" applyFill="1">
      <alignment vertical="center"/>
    </xf>
    <xf numFmtId="176" fontId="20" fillId="6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7" borderId="0" xfId="0" applyFont="1" applyFill="1">
      <alignment vertical="center"/>
    </xf>
    <xf numFmtId="0" fontId="21" fillId="7" borderId="0" xfId="0" applyFont="1" applyFill="1" applyAlignment="1"/>
    <xf numFmtId="0" fontId="21" fillId="7" borderId="0" xfId="0" applyFont="1" applyFill="1" applyAlignment="1">
      <alignment horizontal="right"/>
    </xf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9" borderId="0" xfId="0" applyFill="1">
      <alignment vertical="center"/>
    </xf>
    <xf numFmtId="0" fontId="21" fillId="10" borderId="0" xfId="0" applyFont="1" applyFill="1">
      <alignment vertical="center"/>
    </xf>
    <xf numFmtId="0" fontId="21" fillId="10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6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9" borderId="0" xfId="0" applyFont="1" applyFill="1" applyAlignment="1">
      <alignment horizontal="center" vertical="center"/>
    </xf>
    <xf numFmtId="0" fontId="25" fillId="9" borderId="16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9" borderId="22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0" fontId="26" fillId="6" borderId="2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/>
    </xf>
    <xf numFmtId="0" fontId="26" fillId="6" borderId="2" xfId="0" applyFont="1" applyFill="1" applyBorder="1" applyAlignment="1">
      <alignment horizontal="center"/>
    </xf>
    <xf numFmtId="0" fontId="26" fillId="6" borderId="28" xfId="0" applyFont="1" applyFill="1" applyBorder="1" applyAlignment="1">
      <alignment horizontal="center"/>
    </xf>
    <xf numFmtId="0" fontId="27" fillId="8" borderId="1" xfId="0" applyFont="1" applyFill="1" applyBorder="1" applyAlignment="1">
      <alignment horizontal="center" vertical="center"/>
    </xf>
    <xf numFmtId="0" fontId="28" fillId="6" borderId="18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8" fillId="6" borderId="2" xfId="0" applyFont="1" applyFill="1" applyBorder="1" applyAlignment="1">
      <alignment horizontal="center" vertical="center"/>
    </xf>
    <xf numFmtId="0" fontId="28" fillId="6" borderId="18" xfId="0" applyFont="1" applyFill="1" applyBorder="1" applyAlignment="1">
      <alignment horizontal="center"/>
    </xf>
    <xf numFmtId="0" fontId="28" fillId="6" borderId="2" xfId="0" applyFont="1" applyFill="1" applyBorder="1" applyAlignment="1">
      <alignment horizontal="center"/>
    </xf>
    <xf numFmtId="0" fontId="28" fillId="6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6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6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9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5" borderId="13" xfId="0" applyFont="1" applyFill="1" applyBorder="1" applyAlignment="1">
      <alignment horizontal="center" vertical="center"/>
    </xf>
    <xf numFmtId="0" fontId="37" fillId="6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11" borderId="4" xfId="0" applyFill="1" applyBorder="1">
      <alignment vertical="center"/>
    </xf>
    <xf numFmtId="0" fontId="0" fillId="11" borderId="11" xfId="0" applyFill="1" applyBorder="1">
      <alignment vertical="center"/>
    </xf>
    <xf numFmtId="0" fontId="0" fillId="11" borderId="12" xfId="0" applyFill="1" applyBorder="1">
      <alignment vertical="center"/>
    </xf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176" fontId="20" fillId="0" borderId="0" xfId="0" applyNumberFormat="1" applyFont="1">
      <alignment vertical="center"/>
    </xf>
    <xf numFmtId="0" fontId="20" fillId="6" borderId="0" xfId="0" applyFont="1" applyFill="1" applyAlignment="1">
      <alignment vertical="center" wrapText="1"/>
    </xf>
    <xf numFmtId="0" fontId="20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 wrapText="1"/>
    </xf>
    <xf numFmtId="0" fontId="20" fillId="0" borderId="0" xfId="0" applyFont="1" applyAlignment="1"/>
    <xf numFmtId="0" fontId="20" fillId="6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6F203419-AD66-5E68-9634-292048F37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activeCell="B8" sqref="A1:B8"/>
    </sheetView>
  </sheetViews>
  <sheetFormatPr defaultRowHeight="18"/>
  <cols>
    <col min="1" max="1" width="16.69921875" style="52" customWidth="1"/>
  </cols>
  <sheetData>
    <row r="1" spans="1:6">
      <c r="A1"/>
      <c r="E1" t="s">
        <v>1</v>
      </c>
      <c r="F1">
        <v>24</v>
      </c>
    </row>
    <row r="2" spans="1:6">
      <c r="A2"/>
      <c r="E2" t="s">
        <v>2</v>
      </c>
      <c r="F2">
        <v>24</v>
      </c>
    </row>
    <row r="3" spans="1:6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>
      <c r="A4"/>
      <c r="E4" t="str">
        <f t="shared" si="0"/>
        <v/>
      </c>
      <c r="F4" t="str">
        <f t="shared" si="1"/>
        <v/>
      </c>
    </row>
    <row r="5" spans="1:6">
      <c r="A5"/>
      <c r="E5" t="str">
        <f t="shared" si="0"/>
        <v/>
      </c>
      <c r="F5" t="str">
        <f t="shared" si="1"/>
        <v/>
      </c>
    </row>
    <row r="6" spans="1:6">
      <c r="A6"/>
      <c r="E6" t="str">
        <f t="shared" si="0"/>
        <v/>
      </c>
      <c r="F6" t="str">
        <f t="shared" si="1"/>
        <v/>
      </c>
    </row>
    <row r="7" spans="1:6">
      <c r="A7"/>
      <c r="E7" t="str">
        <f t="shared" si="0"/>
        <v/>
      </c>
      <c r="F7" t="str">
        <f t="shared" si="1"/>
        <v/>
      </c>
    </row>
    <row r="8" spans="1:6">
      <c r="A8"/>
      <c r="E8" t="str">
        <f t="shared" si="0"/>
        <v/>
      </c>
      <c r="F8" t="str">
        <f t="shared" si="1"/>
        <v/>
      </c>
    </row>
    <row r="9" spans="1:6">
      <c r="E9" t="str">
        <f t="shared" si="0"/>
        <v/>
      </c>
      <c r="F9" t="str">
        <f t="shared" si="1"/>
        <v/>
      </c>
    </row>
    <row r="10" spans="1:6">
      <c r="E10" t="str">
        <f t="shared" si="0"/>
        <v/>
      </c>
      <c r="F10" t="str">
        <f t="shared" si="1"/>
        <v/>
      </c>
    </row>
    <row r="11" spans="1:6">
      <c r="E11" t="str">
        <f t="shared" si="0"/>
        <v/>
      </c>
      <c r="F11" t="str">
        <f t="shared" si="1"/>
        <v/>
      </c>
    </row>
    <row r="12" spans="1:6">
      <c r="E12" t="str">
        <f t="shared" si="0"/>
        <v/>
      </c>
      <c r="F12" t="str">
        <f t="shared" si="1"/>
        <v/>
      </c>
    </row>
    <row r="13" spans="1:6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H1:O70"/>
  <sheetViews>
    <sheetView workbookViewId="0">
      <selection sqref="A1:G1048576"/>
    </sheetView>
  </sheetViews>
  <sheetFormatPr defaultRowHeight="18"/>
  <cols>
    <col min="1" max="1" width="28.59765625" customWidth="1"/>
    <col min="8" max="8" width="3.19921875" style="154" customWidth="1"/>
    <col min="9" max="9" width="5.59765625" customWidth="1"/>
    <col min="10" max="15" width="17.59765625" customWidth="1"/>
  </cols>
  <sheetData>
    <row r="1" spans="9:15">
      <c r="I1" t="str">
        <f>IF(A1&lt;&gt;"",MATCH(A1,数出表_Excel!A:A,0),"")</f>
        <v/>
      </c>
      <c r="J1" t="str" cm="1">
        <f t="array" aca="1" ref="J1" ca="1">IFERROR(IF(OR(COUNTIF(INDIRECT("数出表_Excel!"&amp;
IFERROR(
SUBSTITUTE(ADDRESS(1,
IFERROR(COLUMN(INDEX(INDIRECT("数出表_Excel!B"&amp;$I1-1&amp;":T"&amp;$I1-1&amp;""),1,MATCH(TEXT(B1,0),INDIRECT("数出表_Excel!B"&amp;$I1-1&amp;":T"&amp;$I1-1&amp;""),0))),""),4),"1",""),
"")
&amp;"3"),"*キャラ*"),
COUNTIF(INDIRECT("数出表_Excel!"&amp;
IFERROR(
SUBSTITUTE(ADDRESS(1,
IFERROR(COLUMN(INDEX(INDIRECT("数出表_Excel!B"&amp;$I1-1&amp;":T"&amp;$I1-1&amp;""),1,MATCH(TEXT(B1,0),INDIRECT("数出表_Excel!B"&amp;$I1-1&amp;":T"&amp;$I1-1&amp;""),0))),""),4),"1",""),
"")
&amp;"3"),"*赤*")),
INDIRECT("数出表_Excel!"&amp;
IFERROR(
SUBSTITUTE(ADDRESS(1,
IFERROR(COLUMN(INDEX(INDIRECT("数出表_Excel!B"&amp;$I1-1&amp;":T"&amp;$I1-1&amp;""),1,MATCH(TEXT(B1,0),INDIRECT("数出表_Excel!B"&amp;$I1-1&amp;":T"&amp;$I1-1&amp;""),0))),""),4),"1",""),
"")
&amp;"3")
&amp;"　"&amp;INDIRECT("数出表_Excel!"&amp;
IFERROR(
SUBSTITUTE(ADDRESS(1,
IFERROR(COLUMN(INDEX(INDIRECT("数出表_Excel!B"&amp;$I1-1&amp;":T"&amp;$I1-1&amp;""),1,MATCH(TEXT(B1,0),INDIRECT("数出表_Excel!B"&amp;$I1-1&amp;":T"&amp;$I1-1&amp;""),0))),""),4),"1",""),
"")
&amp;"4")
&amp;INDIRECT("数出表_Excel!"&amp;
IFERROR(
SUBSTITUTE(ADDRESS(1,
IFERROR(COLUMN(INDEX(INDIRECT("数出表_Excel!B"&amp;$I1-1&amp;":T"&amp;$I1-1&amp;""),1,MATCH(TEXT(B1,0),INDIRECT("数出表_Excel!B"&amp;$I1-1&amp;":T"&amp;$I1-1&amp;""),0))),""),4),"1",""),
"")
&amp;"5"),
INDIRECT("数出表_Excel!"&amp;
IFERROR(
SUBSTITUTE(ADDRESS(1,
IFERROR(COLUMN(INDEX(INDIRECT("数出表_Excel!B"&amp;$I1-1&amp;":T"&amp;$I1-1&amp;""),1,MATCH(TEXT(B1,0),INDIRECT("数出表_Excel!B"&amp;$I1-1&amp;":T"&amp;$I1-1&amp;""),0))),""),4),"1",""),
"")
&amp;"3")),"")</f>
        <v/>
      </c>
      <c r="K1" t="str" cm="1">
        <f t="array" aca="1" ref="K1" ca="1">IFERROR(IF(OR(COUNTIF(INDIRECT("数出表_Excel!"&amp;
IFERROR(
SUBSTITUTE(ADDRESS(1,
IFERROR(COLUMN(INDEX(INDIRECT("数出表_Excel!B"&amp;$I1-1&amp;":T"&amp;$I1-1&amp;""),1,MATCH(TEXT(C1,0),INDIRECT("数出表_Excel!B"&amp;$I1-1&amp;":T"&amp;$I1-1&amp;""),0))),""),4),"1",""),
"")
&amp;"3"),"*キャラ*"),
COUNTIF(INDIRECT("数出表_Excel!"&amp;
IFERROR(
SUBSTITUTE(ADDRESS(1,
IFERROR(COLUMN(INDEX(INDIRECT("数出表_Excel!B"&amp;$I1-1&amp;":T"&amp;$I1-1&amp;""),1,MATCH(TEXT(C1,0),INDIRECT("数出表_Excel!B"&amp;$I1-1&amp;":T"&amp;$I1-1&amp;""),0))),""),4),"1",""),
"")
&amp;"3"),"*赤*")),
INDIRECT("数出表_Excel!"&amp;
IFERROR(
SUBSTITUTE(ADDRESS(1,
IFERROR(COLUMN(INDEX(INDIRECT("数出表_Excel!B"&amp;$I1-1&amp;":T"&amp;$I1-1&amp;""),1,MATCH(TEXT(C1,0),INDIRECT("数出表_Excel!B"&amp;$I1-1&amp;":T"&amp;$I1-1&amp;""),0))),""),4),"1",""),
"")
&amp;"3")
&amp;"　"&amp;INDIRECT("数出表_Excel!"&amp;
IFERROR(
SUBSTITUTE(ADDRESS(1,
IFERROR(COLUMN(INDEX(INDIRECT("数出表_Excel!B"&amp;$I1-1&amp;":T"&amp;$I1-1&amp;""),1,MATCH(TEXT(C1,0),INDIRECT("数出表_Excel!B"&amp;$I1-1&amp;":T"&amp;$I1-1&amp;""),0))),""),4),"1",""),
"")
&amp;"4")
&amp;INDIRECT("数出表_Excel!"&amp;
IFERROR(
SUBSTITUTE(ADDRESS(1,
IFERROR(COLUMN(INDEX(INDIRECT("数出表_Excel!B"&amp;$I1-1&amp;":T"&amp;$I1-1&amp;""),1,MATCH(TEXT(C1,0),INDIRECT("数出表_Excel!B"&amp;$I1-1&amp;":T"&amp;$I1-1&amp;""),0))),""),4),"1",""),
"")
&amp;"5"),
INDIRECT("数出表_Excel!"&amp;
IFERROR(
SUBSTITUTE(ADDRESS(1,
IFERROR(COLUMN(INDEX(INDIRECT("数出表_Excel!B"&amp;$I1-1&amp;":T"&amp;$I1-1&amp;""),1,MATCH(TEXT(C1,0),INDIRECT("数出表_Excel!B"&amp;$I1-1&amp;":T"&amp;$I1-1&amp;""),0))),""),4),"1",""),
"")
&amp;"3")),"")</f>
        <v/>
      </c>
      <c r="L1" t="str" cm="1">
        <f t="array" aca="1" ref="L1" ca="1">IFERROR(IF(OR(COUNTIF(INDIRECT("数出表_Excel!"&amp;
IFERROR(
SUBSTITUTE(ADDRESS(1,
IFERROR(COLUMN(INDEX(INDIRECT("数出表_Excel!B"&amp;$I1-1&amp;":T"&amp;$I1-1&amp;""),1,MATCH(TEXT(D1,0),INDIRECT("数出表_Excel!B"&amp;$I1-1&amp;":T"&amp;$I1-1&amp;""),0))),""),4),"1",""),
"")
&amp;"3"),"*キャラ*"),
COUNTIF(INDIRECT("数出表_Excel!"&amp;
IFERROR(
SUBSTITUTE(ADDRESS(1,
IFERROR(COLUMN(INDEX(INDIRECT("数出表_Excel!B"&amp;$I1-1&amp;":T"&amp;$I1-1&amp;""),1,MATCH(TEXT(D1,0),INDIRECT("数出表_Excel!B"&amp;$I1-1&amp;":T"&amp;$I1-1&amp;""),0))),""),4),"1",""),
"")
&amp;"3"),"*赤*")),
INDIRECT("数出表_Excel!"&amp;
IFERROR(
SUBSTITUTE(ADDRESS(1,
IFERROR(COLUMN(INDEX(INDIRECT("数出表_Excel!B"&amp;$I1-1&amp;":T"&amp;$I1-1&amp;""),1,MATCH(TEXT(D1,0),INDIRECT("数出表_Excel!B"&amp;$I1-1&amp;":T"&amp;$I1-1&amp;""),0))),""),4),"1",""),
"")
&amp;"3")
&amp;"　"&amp;INDIRECT("数出表_Excel!"&amp;
IFERROR(
SUBSTITUTE(ADDRESS(1,
IFERROR(COLUMN(INDEX(INDIRECT("数出表_Excel!B"&amp;$I1-1&amp;":T"&amp;$I1-1&amp;""),1,MATCH(TEXT(D1,0),INDIRECT("数出表_Excel!B"&amp;$I1-1&amp;":T"&amp;$I1-1&amp;""),0))),""),4),"1",""),
"")
&amp;"4")
&amp;INDIRECT("数出表_Excel!"&amp;
IFERROR(
SUBSTITUTE(ADDRESS(1,
IFERROR(COLUMN(INDEX(INDIRECT("数出表_Excel!B"&amp;$I1-1&amp;":T"&amp;$I1-1&amp;""),1,MATCH(TEXT(D1,0),INDIRECT("数出表_Excel!B"&amp;$I1-1&amp;":T"&amp;$I1-1&amp;""),0))),""),4),"1",""),
"")
&amp;"5"),
INDIRECT("数出表_Excel!"&amp;
IFERROR(
SUBSTITUTE(ADDRESS(1,
IFERROR(COLUMN(INDEX(INDIRECT("数出表_Excel!B"&amp;$I1-1&amp;":T"&amp;$I1-1&amp;""),1,MATCH(TEXT(D1,0),INDIRECT("数出表_Excel!B"&amp;$I1-1&amp;":T"&amp;$I1-1&amp;""),0))),""),4),"1",""),
"")
&amp;"3")),"")</f>
        <v/>
      </c>
      <c r="M1" t="str" cm="1">
        <f t="array" aca="1" ref="M1" ca="1">IFERROR(IF(OR(COUNTIF(INDIRECT("数出表_Excel!"&amp;
IFERROR(
SUBSTITUTE(ADDRESS(1,
IFERROR(COLUMN(INDEX(INDIRECT("数出表_Excel!B"&amp;$I1&amp;":T"&amp;$I1&amp;""),1,MATCH(TEXT(E1,0),INDIRECT("数出表_Excel!B"&amp;$I1&amp;":T"&amp;$I1&amp;""),0))),""),4),"1",""),
"")
&amp;"3"),"*キャラ*"),
COUNTIF(INDIRECT("数出表_Excel!"&amp;
IFERROR(
SUBSTITUTE(ADDRESS(1,
IFERROR(COLUMN(INDEX(INDIRECT("数出表_Excel!B"&amp;$I1&amp;":T"&amp;$I1&amp;""),1,MATCH(TEXT(E1,0),INDIRECT("数出表_Excel!B"&amp;$I1&amp;":T"&amp;$I1&amp;""),0))),""),4),"1",""),
"")
&amp;"3"),"*赤*")),
INDIRECT("数出表_Excel!"&amp;
IFERROR(
SUBSTITUTE(ADDRESS(1,
IFERROR(COLUMN(INDEX(INDIRECT("数出表_Excel!B"&amp;$I1&amp;":T"&amp;$I1&amp;""),1,MATCH(TEXT(E1,0),INDIRECT("数出表_Excel!B"&amp;$I1&amp;":T"&amp;$I1&amp;""),0))),""),4),"1",""),
"")
&amp;"3")
&amp;"　"&amp;INDIRECT("数出表_Excel!"&amp;
IFERROR(
SUBSTITUTE(ADDRESS(1,
IFERROR(COLUMN(INDEX(INDIRECT("数出表_Excel!B"&amp;$I1&amp;":T"&amp;$I1&amp;""),1,MATCH(TEXT(E1,0),INDIRECT("数出表_Excel!B"&amp;$I1&amp;":T"&amp;$I1&amp;""),0))),""),4),"1",""),
"")
&amp;"4")
&amp;INDIRECT("数出表_Excel!"&amp;
IFERROR(
SUBSTITUTE(ADDRESS(1,
IFERROR(COLUMN(INDEX(INDIRECT("数出表_Excel!B"&amp;$I1&amp;":T"&amp;$I1&amp;""),1,MATCH(TEXT(E1,0),INDIRECT("数出表_Excel!B"&amp;$I1&amp;":T"&amp;$I1&amp;""),0))),""),4),"1",""),
"")
&amp;"5"),
INDIRECT("数出表_Excel!"&amp;
IFERROR(
SUBSTITUTE(ADDRESS(1,
IFERROR(COLUMN(INDEX(INDIRECT("数出表_Excel!B"&amp;$I1&amp;":T"&amp;$I1&amp;""),1,MATCH(TEXT(E1,0),INDIRECT("数出表_Excel!B"&amp;$I1&amp;":T"&amp;$I1&amp;""),0))),""),4),"1",""),
"")
&amp;"3")),"")</f>
        <v/>
      </c>
      <c r="N1" t="str" cm="1">
        <f t="array" aca="1" ref="N1" ca="1">IFERROR(IF(OR(COUNTIF(INDIRECT("数出表_Excel!"&amp;
IFERROR(
SUBSTITUTE(ADDRESS(1,
IFERROR(COLUMN(INDEX(INDIRECT("数出表_Excel!B"&amp;$I1&amp;":T"&amp;$I1&amp;""),1,MATCH(TEXT(F1,0),INDIRECT("数出表_Excel!B"&amp;$I1&amp;":T"&amp;$I1&amp;""),0))),""),4),"1",""),
"")
&amp;"3"),"*キャラ*"),
COUNTIF(INDIRECT("数出表_Excel!"&amp;
IFERROR(
SUBSTITUTE(ADDRESS(1,
IFERROR(COLUMN(INDEX(INDIRECT("数出表_Excel!B"&amp;$I1&amp;":T"&amp;$I1&amp;""),1,MATCH(TEXT(F1,0),INDIRECT("数出表_Excel!B"&amp;$I1&amp;":T"&amp;$I1&amp;""),0))),""),4),"1",""),
"")
&amp;"3"),"*赤*")),
INDIRECT("数出表_Excel!"&amp;
IFERROR(
SUBSTITUTE(ADDRESS(1,
IFERROR(COLUMN(INDEX(INDIRECT("数出表_Excel!B"&amp;$I1&amp;":T"&amp;$I1&amp;""),1,MATCH(TEXT(F1,0),INDIRECT("数出表_Excel!B"&amp;$I1&amp;":T"&amp;$I1&amp;""),0))),""),4),"1",""),
"")
&amp;"3")
&amp;"　"&amp;INDIRECT("数出表_Excel!"&amp;
IFERROR(
SUBSTITUTE(ADDRESS(1,
IFERROR(COLUMN(INDEX(INDIRECT("数出表_Excel!B"&amp;$I1&amp;":T"&amp;$I1&amp;""),1,MATCH(TEXT(F1,0),INDIRECT("数出表_Excel!B"&amp;$I1&amp;":T"&amp;$I1&amp;""),0))),""),4),"1",""),
"")
&amp;"4")
&amp;INDIRECT("数出表_Excel!"&amp;
IFERROR(
SUBSTITUTE(ADDRESS(1,
IFERROR(COLUMN(INDEX(INDIRECT("数出表_Excel!B"&amp;$I1&amp;":T"&amp;$I1&amp;""),1,MATCH(TEXT(F1,0),INDIRECT("数出表_Excel!B"&amp;$I1&amp;":T"&amp;$I1&amp;""),0))),""),4),"1",""),
"")
&amp;"5"),
INDIRECT("数出表_Excel!"&amp;
IFERROR(
SUBSTITUTE(ADDRESS(1,
IFERROR(COLUMN(INDEX(INDIRECT("数出表_Excel!B"&amp;$I1&amp;":T"&amp;$I1&amp;""),1,MATCH(TEXT(F1,0),INDIRECT("数出表_Excel!B"&amp;$I1&amp;":T"&amp;$I1&amp;""),0))),""),4),"1",""),
"")
&amp;"3")),"")</f>
        <v/>
      </c>
      <c r="O1" t="str" cm="1">
        <f t="array" aca="1" ref="O1" ca="1">IFERROR(IF(OR(COUNTIF(INDIRECT("数出表_Excel!"&amp;
IFERROR(
SUBSTITUTE(ADDRESS(1,
IFERROR(COLUMN(INDEX(INDIRECT("数出表_Excel!B"&amp;$I1&amp;":T"&amp;$I1&amp;""),1,MATCH(TEXT(G1,0),INDIRECT("数出表_Excel!B"&amp;$I1&amp;":T"&amp;$I1&amp;""),0))),""),4),"1",""),
"")
&amp;"3"),"*キャラ*"),
COUNTIF(INDIRECT("数出表_Excel!"&amp;
IFERROR(
SUBSTITUTE(ADDRESS(1,
IFERROR(COLUMN(INDEX(INDIRECT("数出表_Excel!B"&amp;$I1&amp;":T"&amp;$I1&amp;""),1,MATCH(TEXT(G1,0),INDIRECT("数出表_Excel!B"&amp;$I1&amp;":T"&amp;$I1&amp;""),0))),""),4),"1",""),
"")
&amp;"3"),"*赤*")),
INDIRECT("数出表_Excel!"&amp;
IFERROR(
SUBSTITUTE(ADDRESS(1,
IFERROR(COLUMN(INDEX(INDIRECT("数出表_Excel!B"&amp;$I1&amp;":T"&amp;$I1&amp;""),1,MATCH(TEXT(G1,0),INDIRECT("数出表_Excel!B"&amp;$I1&amp;":T"&amp;$I1&amp;""),0))),""),4),"1",""),
"")
&amp;"3")
&amp;"　"&amp;INDIRECT("数出表_Excel!"&amp;
IFERROR(
SUBSTITUTE(ADDRESS(1,
IFERROR(COLUMN(INDEX(INDIRECT("数出表_Excel!B"&amp;$I1&amp;":T"&amp;$I1&amp;""),1,MATCH(TEXT(G1,0),INDIRECT("数出表_Excel!B"&amp;$I1&amp;":T"&amp;$I1&amp;""),0))),""),4),"1",""),
"")
&amp;"4")
&amp;INDIRECT("数出表_Excel!"&amp;
IFERROR(
SUBSTITUTE(ADDRESS(1,
IFERROR(COLUMN(INDEX(INDIRECT("数出表_Excel!B"&amp;$I1&amp;":T"&amp;$I1&amp;""),1,MATCH(TEXT(G1,0),INDIRECT("数出表_Excel!B"&amp;$I1&amp;":T"&amp;$I1&amp;""),0))),""),4),"1",""),
"")
&amp;"5"),
INDIRECT("数出表_Excel!"&amp;
IFERROR(
SUBSTITUTE(ADDRESS(1,
IFERROR(COLUMN(INDEX(INDIRECT("数出表_Excel!B"&amp;$I1&amp;":T"&amp;$I1&amp;""),1,MATCH(TEXT(G1,0),INDIRECT("数出表_Excel!B"&amp;$I1&amp;":T"&amp;$I1&amp;""),0))),""),4),"1",""),
"")
&amp;"3")),"")</f>
        <v/>
      </c>
    </row>
    <row r="2" spans="9:15">
      <c r="I2" t="str">
        <f>IF(A2&lt;&gt;"",MATCH(A2,数出表_Excel!A:A,0),"")</f>
        <v/>
      </c>
      <c r="J2" t="str" cm="1">
        <f t="array" aca="1" ref="J2" ca="1">IFERROR(IF(OR(COUNTIF(INDIRECT("数出表_Excel!"&amp;
IFERROR(
SUBSTITUTE(ADDRESS(1,
IFERROR(COLUMN(INDEX(INDIRECT("数出表_Excel!B"&amp;$I2-1&amp;":T"&amp;$I2-1&amp;""),1,MATCH(TEXT(B2,0),INDIRECT("数出表_Excel!B"&amp;$I2-1&amp;":T"&amp;$I2-1&amp;""),0))),""),4),"1",""),
"")
&amp;"3"),"*キャラ*"),
COUNTIF(INDIRECT("数出表_Excel!"&amp;
IFERROR(
SUBSTITUTE(ADDRESS(1,
IFERROR(COLUMN(INDEX(INDIRECT("数出表_Excel!B"&amp;$I2-1&amp;":T"&amp;$I2-1&amp;""),1,MATCH(TEXT(B2,0),INDIRECT("数出表_Excel!B"&amp;$I2-1&amp;":T"&amp;$I2-1&amp;""),0))),""),4),"1",""),
"")
&amp;"3"),"*赤*")),
INDIRECT("数出表_Excel!"&amp;
IFERROR(
SUBSTITUTE(ADDRESS(1,
IFERROR(COLUMN(INDEX(INDIRECT("数出表_Excel!B"&amp;$I2-1&amp;":T"&amp;$I2-1&amp;""),1,MATCH(TEXT(B2,0),INDIRECT("数出表_Excel!B"&amp;$I2-1&amp;":T"&amp;$I2-1&amp;""),0))),""),4),"1",""),
"")
&amp;"3")
&amp;"　"&amp;INDIRECT("数出表_Excel!"&amp;
IFERROR(
SUBSTITUTE(ADDRESS(1,
IFERROR(COLUMN(INDEX(INDIRECT("数出表_Excel!B"&amp;$I2-1&amp;":T"&amp;$I2-1&amp;""),1,MATCH(TEXT(B2,0),INDIRECT("数出表_Excel!B"&amp;$I2-1&amp;":T"&amp;$I2-1&amp;""),0))),""),4),"1",""),
"")
&amp;"4")
&amp;INDIRECT("数出表_Excel!"&amp;
IFERROR(
SUBSTITUTE(ADDRESS(1,
IFERROR(COLUMN(INDEX(INDIRECT("数出表_Excel!B"&amp;$I2-1&amp;":T"&amp;$I2-1&amp;""),1,MATCH(TEXT(B2,0),INDIRECT("数出表_Excel!B"&amp;$I2-1&amp;":T"&amp;$I2-1&amp;""),0))),""),4),"1",""),
"")
&amp;"5"),
INDIRECT("数出表_Excel!"&amp;
IFERROR(
SUBSTITUTE(ADDRESS(1,
IFERROR(COLUMN(INDEX(INDIRECT("数出表_Excel!B"&amp;$I2-1&amp;":T"&amp;$I2-1&amp;""),1,MATCH(TEXT(B2,0),INDIRECT("数出表_Excel!B"&amp;$I2-1&amp;":T"&amp;$I2-1&amp;""),0))),""),4),"1",""),
"")
&amp;"3")),"")</f>
        <v/>
      </c>
      <c r="K2" t="str" cm="1">
        <f t="array" aca="1" ref="K2" ca="1">IFERROR(IF(OR(COUNTIF(INDIRECT("数出表_Excel!"&amp;
IFERROR(
SUBSTITUTE(ADDRESS(1,
IFERROR(COLUMN(INDEX(INDIRECT("数出表_Excel!B"&amp;$I2-1&amp;":T"&amp;$I2-1&amp;""),1,MATCH(TEXT(C2,0),INDIRECT("数出表_Excel!B"&amp;$I2-1&amp;":T"&amp;$I2-1&amp;""),0))),""),4),"1",""),
"")
&amp;"3"),"*キャラ*"),
COUNTIF(INDIRECT("数出表_Excel!"&amp;
IFERROR(
SUBSTITUTE(ADDRESS(1,
IFERROR(COLUMN(INDEX(INDIRECT("数出表_Excel!B"&amp;$I2-1&amp;":T"&amp;$I2-1&amp;""),1,MATCH(TEXT(C2,0),INDIRECT("数出表_Excel!B"&amp;$I2-1&amp;":T"&amp;$I2-1&amp;""),0))),""),4),"1",""),
"")
&amp;"3"),"*赤*")),
INDIRECT("数出表_Excel!"&amp;
IFERROR(
SUBSTITUTE(ADDRESS(1,
IFERROR(COLUMN(INDEX(INDIRECT("数出表_Excel!B"&amp;$I2-1&amp;":T"&amp;$I2-1&amp;""),1,MATCH(TEXT(C2,0),INDIRECT("数出表_Excel!B"&amp;$I2-1&amp;":T"&amp;$I2-1&amp;""),0))),""),4),"1",""),
"")
&amp;"3")
&amp;"　"&amp;INDIRECT("数出表_Excel!"&amp;
IFERROR(
SUBSTITUTE(ADDRESS(1,
IFERROR(COLUMN(INDEX(INDIRECT("数出表_Excel!B"&amp;$I2-1&amp;":T"&amp;$I2-1&amp;""),1,MATCH(TEXT(C2,0),INDIRECT("数出表_Excel!B"&amp;$I2-1&amp;":T"&amp;$I2-1&amp;""),0))),""),4),"1",""),
"")
&amp;"4")
&amp;INDIRECT("数出表_Excel!"&amp;
IFERROR(
SUBSTITUTE(ADDRESS(1,
IFERROR(COLUMN(INDEX(INDIRECT("数出表_Excel!B"&amp;$I2-1&amp;":T"&amp;$I2-1&amp;""),1,MATCH(TEXT(C2,0),INDIRECT("数出表_Excel!B"&amp;$I2-1&amp;":T"&amp;$I2-1&amp;""),0))),""),4),"1",""),
"")
&amp;"5"),
INDIRECT("数出表_Excel!"&amp;
IFERROR(
SUBSTITUTE(ADDRESS(1,
IFERROR(COLUMN(INDEX(INDIRECT("数出表_Excel!B"&amp;$I2-1&amp;":T"&amp;$I2-1&amp;""),1,MATCH(TEXT(C2,0),INDIRECT("数出表_Excel!B"&amp;$I2-1&amp;":T"&amp;$I2-1&amp;""),0))),""),4),"1",""),
"")
&amp;"3")),"")</f>
        <v/>
      </c>
      <c r="L2" t="str" cm="1">
        <f t="array" aca="1" ref="L2" ca="1">IFERROR(IF(OR(COUNTIF(INDIRECT("数出表_Excel!"&amp;
IFERROR(
SUBSTITUTE(ADDRESS(1,
IFERROR(COLUMN(INDEX(INDIRECT("数出表_Excel!B"&amp;$I2-1&amp;":T"&amp;$I2-1&amp;""),1,MATCH(TEXT(D2,0),INDIRECT("数出表_Excel!B"&amp;$I2-1&amp;":T"&amp;$I2-1&amp;""),0))),""),4),"1",""),
"")
&amp;"3"),"*キャラ*"),
COUNTIF(INDIRECT("数出表_Excel!"&amp;
IFERROR(
SUBSTITUTE(ADDRESS(1,
IFERROR(COLUMN(INDEX(INDIRECT("数出表_Excel!B"&amp;$I2-1&amp;":T"&amp;$I2-1&amp;""),1,MATCH(TEXT(D2,0),INDIRECT("数出表_Excel!B"&amp;$I2-1&amp;":T"&amp;$I2-1&amp;""),0))),""),4),"1",""),
"")
&amp;"3"),"*赤*")),
INDIRECT("数出表_Excel!"&amp;
IFERROR(
SUBSTITUTE(ADDRESS(1,
IFERROR(COLUMN(INDEX(INDIRECT("数出表_Excel!B"&amp;$I2-1&amp;":T"&amp;$I2-1&amp;""),1,MATCH(TEXT(D2,0),INDIRECT("数出表_Excel!B"&amp;$I2-1&amp;":T"&amp;$I2-1&amp;""),0))),""),4),"1",""),
"")
&amp;"3")
&amp;"　"&amp;INDIRECT("数出表_Excel!"&amp;
IFERROR(
SUBSTITUTE(ADDRESS(1,
IFERROR(COLUMN(INDEX(INDIRECT("数出表_Excel!B"&amp;$I2-1&amp;":T"&amp;$I2-1&amp;""),1,MATCH(TEXT(D2,0),INDIRECT("数出表_Excel!B"&amp;$I2-1&amp;":T"&amp;$I2-1&amp;""),0))),""),4),"1",""),
"")
&amp;"4")
&amp;INDIRECT("数出表_Excel!"&amp;
IFERROR(
SUBSTITUTE(ADDRESS(1,
IFERROR(COLUMN(INDEX(INDIRECT("数出表_Excel!B"&amp;$I2-1&amp;":T"&amp;$I2-1&amp;""),1,MATCH(TEXT(D2,0),INDIRECT("数出表_Excel!B"&amp;$I2-1&amp;":T"&amp;$I2-1&amp;""),0))),""),4),"1",""),
"")
&amp;"5"),
INDIRECT("数出表_Excel!"&amp;
IFERROR(
SUBSTITUTE(ADDRESS(1,
IFERROR(COLUMN(INDEX(INDIRECT("数出表_Excel!B"&amp;$I2-1&amp;":T"&amp;$I2-1&amp;""),1,MATCH(TEXT(D2,0),INDIRECT("数出表_Excel!B"&amp;$I2-1&amp;":T"&amp;$I2-1&amp;""),0))),""),4),"1",""),
"")
&amp;"3")),"")</f>
        <v/>
      </c>
      <c r="M2" t="str" cm="1">
        <f t="array" aca="1" ref="M2" ca="1">IFERROR(IF(OR(COUNTIF(INDIRECT("数出表_Excel!"&amp;
IFERROR(
SUBSTITUTE(ADDRESS(1,
IFERROR(COLUMN(INDEX(INDIRECT("数出表_Excel!B"&amp;$I2&amp;":T"&amp;$I2&amp;""),1,MATCH(TEXT(E2,0),INDIRECT("数出表_Excel!B"&amp;$I2&amp;":T"&amp;$I2&amp;""),0))),""),4),"1",""),
"")
&amp;"3"),"*キャラ*"),
COUNTIF(INDIRECT("数出表_Excel!"&amp;
IFERROR(
SUBSTITUTE(ADDRESS(1,
IFERROR(COLUMN(INDEX(INDIRECT("数出表_Excel!B"&amp;$I2&amp;":T"&amp;$I2&amp;""),1,MATCH(TEXT(E2,0),INDIRECT("数出表_Excel!B"&amp;$I2&amp;":T"&amp;$I2&amp;""),0))),""),4),"1",""),
"")
&amp;"3"),"*赤*")),
INDIRECT("数出表_Excel!"&amp;
IFERROR(
SUBSTITUTE(ADDRESS(1,
IFERROR(COLUMN(INDEX(INDIRECT("数出表_Excel!B"&amp;$I2&amp;":T"&amp;$I2&amp;""),1,MATCH(TEXT(E2,0),INDIRECT("数出表_Excel!B"&amp;$I2&amp;":T"&amp;$I2&amp;""),0))),""),4),"1",""),
"")
&amp;"3")
&amp;"　"&amp;INDIRECT("数出表_Excel!"&amp;
IFERROR(
SUBSTITUTE(ADDRESS(1,
IFERROR(COLUMN(INDEX(INDIRECT("数出表_Excel!B"&amp;$I2&amp;":T"&amp;$I2&amp;""),1,MATCH(TEXT(E2,0),INDIRECT("数出表_Excel!B"&amp;$I2&amp;":T"&amp;$I2&amp;""),0))),""),4),"1",""),
"")
&amp;"4")
&amp;INDIRECT("数出表_Excel!"&amp;
IFERROR(
SUBSTITUTE(ADDRESS(1,
IFERROR(COLUMN(INDEX(INDIRECT("数出表_Excel!B"&amp;$I2&amp;":T"&amp;$I2&amp;""),1,MATCH(TEXT(E2,0),INDIRECT("数出表_Excel!B"&amp;$I2&amp;":T"&amp;$I2&amp;""),0))),""),4),"1",""),
"")
&amp;"5"),
INDIRECT("数出表_Excel!"&amp;
IFERROR(
SUBSTITUTE(ADDRESS(1,
IFERROR(COLUMN(INDEX(INDIRECT("数出表_Excel!B"&amp;$I2&amp;":T"&amp;$I2&amp;""),1,MATCH(TEXT(E2,0),INDIRECT("数出表_Excel!B"&amp;$I2&amp;":T"&amp;$I2&amp;""),0))),""),4),"1",""),
"")
&amp;"3")),"")</f>
        <v/>
      </c>
      <c r="N2" t="str" cm="1">
        <f t="array" aca="1" ref="N2" ca="1">IFERROR(IF(OR(COUNTIF(INDIRECT("数出表_Excel!"&amp;
IFERROR(
SUBSTITUTE(ADDRESS(1,
IFERROR(COLUMN(INDEX(INDIRECT("数出表_Excel!B"&amp;$I2&amp;":T"&amp;$I2&amp;""),1,MATCH(TEXT(F2,0),INDIRECT("数出表_Excel!B"&amp;$I2&amp;":T"&amp;$I2&amp;""),0))),""),4),"1",""),
"")
&amp;"3"),"*キャラ*"),
COUNTIF(INDIRECT("数出表_Excel!"&amp;
IFERROR(
SUBSTITUTE(ADDRESS(1,
IFERROR(COLUMN(INDEX(INDIRECT("数出表_Excel!B"&amp;$I2&amp;":T"&amp;$I2&amp;""),1,MATCH(TEXT(F2,0),INDIRECT("数出表_Excel!B"&amp;$I2&amp;":T"&amp;$I2&amp;""),0))),""),4),"1",""),
"")
&amp;"3"),"*赤*")),
INDIRECT("数出表_Excel!"&amp;
IFERROR(
SUBSTITUTE(ADDRESS(1,
IFERROR(COLUMN(INDEX(INDIRECT("数出表_Excel!B"&amp;$I2&amp;":T"&amp;$I2&amp;""),1,MATCH(TEXT(F2,0),INDIRECT("数出表_Excel!B"&amp;$I2&amp;":T"&amp;$I2&amp;""),0))),""),4),"1",""),
"")
&amp;"3")
&amp;"　"&amp;INDIRECT("数出表_Excel!"&amp;
IFERROR(
SUBSTITUTE(ADDRESS(1,
IFERROR(COLUMN(INDEX(INDIRECT("数出表_Excel!B"&amp;$I2&amp;":T"&amp;$I2&amp;""),1,MATCH(TEXT(F2,0),INDIRECT("数出表_Excel!B"&amp;$I2&amp;":T"&amp;$I2&amp;""),0))),""),4),"1",""),
"")
&amp;"4")
&amp;INDIRECT("数出表_Excel!"&amp;
IFERROR(
SUBSTITUTE(ADDRESS(1,
IFERROR(COLUMN(INDEX(INDIRECT("数出表_Excel!B"&amp;$I2&amp;":T"&amp;$I2&amp;""),1,MATCH(TEXT(F2,0),INDIRECT("数出表_Excel!B"&amp;$I2&amp;":T"&amp;$I2&amp;""),0))),""),4),"1",""),
"")
&amp;"5"),
INDIRECT("数出表_Excel!"&amp;
IFERROR(
SUBSTITUTE(ADDRESS(1,
IFERROR(COLUMN(INDEX(INDIRECT("数出表_Excel!B"&amp;$I2&amp;":T"&amp;$I2&amp;""),1,MATCH(TEXT(F2,0),INDIRECT("数出表_Excel!B"&amp;$I2&amp;":T"&amp;$I2&amp;""),0))),""),4),"1",""),
"")
&amp;"3")),"")</f>
        <v/>
      </c>
      <c r="O2" t="str" cm="1">
        <f t="array" aca="1" ref="O2" ca="1">IFERROR(IF(OR(COUNTIF(INDIRECT("数出表_Excel!"&amp;
IFERROR(
SUBSTITUTE(ADDRESS(1,
IFERROR(COLUMN(INDEX(INDIRECT("数出表_Excel!B"&amp;$I2&amp;":T"&amp;$I2&amp;""),1,MATCH(TEXT(G2,0),INDIRECT("数出表_Excel!B"&amp;$I2&amp;":T"&amp;$I2&amp;""),0))),""),4),"1",""),
"")
&amp;"3"),"*キャラ*"),
COUNTIF(INDIRECT("数出表_Excel!"&amp;
IFERROR(
SUBSTITUTE(ADDRESS(1,
IFERROR(COLUMN(INDEX(INDIRECT("数出表_Excel!B"&amp;$I2&amp;":T"&amp;$I2&amp;""),1,MATCH(TEXT(G2,0),INDIRECT("数出表_Excel!B"&amp;$I2&amp;":T"&amp;$I2&amp;""),0))),""),4),"1",""),
"")
&amp;"3"),"*赤*")),
INDIRECT("数出表_Excel!"&amp;
IFERROR(
SUBSTITUTE(ADDRESS(1,
IFERROR(COLUMN(INDEX(INDIRECT("数出表_Excel!B"&amp;$I2&amp;":T"&amp;$I2&amp;""),1,MATCH(TEXT(G2,0),INDIRECT("数出表_Excel!B"&amp;$I2&amp;":T"&amp;$I2&amp;""),0))),""),4),"1",""),
"")
&amp;"3")
&amp;"　"&amp;INDIRECT("数出表_Excel!"&amp;
IFERROR(
SUBSTITUTE(ADDRESS(1,
IFERROR(COLUMN(INDEX(INDIRECT("数出表_Excel!B"&amp;$I2&amp;":T"&amp;$I2&amp;""),1,MATCH(TEXT(G2,0),INDIRECT("数出表_Excel!B"&amp;$I2&amp;":T"&amp;$I2&amp;""),0))),""),4),"1",""),
"")
&amp;"4")
&amp;INDIRECT("数出表_Excel!"&amp;
IFERROR(
SUBSTITUTE(ADDRESS(1,
IFERROR(COLUMN(INDEX(INDIRECT("数出表_Excel!B"&amp;$I2&amp;":T"&amp;$I2&amp;""),1,MATCH(TEXT(G2,0),INDIRECT("数出表_Excel!B"&amp;$I2&amp;":T"&amp;$I2&amp;""),0))),""),4),"1",""),
"")
&amp;"5"),
INDIRECT("数出表_Excel!"&amp;
IFERROR(
SUBSTITUTE(ADDRESS(1,
IFERROR(COLUMN(INDEX(INDIRECT("数出表_Excel!B"&amp;$I2&amp;":T"&amp;$I2&amp;""),1,MATCH(TEXT(G2,0),INDIRECT("数出表_Excel!B"&amp;$I2&amp;":T"&amp;$I2&amp;""),0))),""),4),"1",""),
"")
&amp;"3")),"")</f>
        <v/>
      </c>
    </row>
    <row r="3" spans="9:15">
      <c r="I3" t="str">
        <f>IF(A3&lt;&gt;"",MATCH(A3,数出表_Excel!A:A,0),"")</f>
        <v/>
      </c>
      <c r="J3" t="str" cm="1">
        <f t="array" aca="1" ref="J3" ca="1">IFERROR(IF(OR(COUNTIF(INDIRECT("数出表_Excel!"&amp;
IFERROR(
SUBSTITUTE(ADDRESS(1,
IFERROR(COLUMN(INDEX(INDIRECT("数出表_Excel!B"&amp;$I3-1&amp;":T"&amp;$I3-1&amp;""),1,MATCH(TEXT(B3,0),INDIRECT("数出表_Excel!B"&amp;$I3-1&amp;":T"&amp;$I3-1&amp;""),0))),""),4),"1",""),
"")
&amp;"3"),"*キャラ*"),
COUNTIF(INDIRECT("数出表_Excel!"&amp;
IFERROR(
SUBSTITUTE(ADDRESS(1,
IFERROR(COLUMN(INDEX(INDIRECT("数出表_Excel!B"&amp;$I3-1&amp;":T"&amp;$I3-1&amp;""),1,MATCH(TEXT(B3,0),INDIRECT("数出表_Excel!B"&amp;$I3-1&amp;":T"&amp;$I3-1&amp;""),0))),""),4),"1",""),
"")
&amp;"3"),"*赤*")),
INDIRECT("数出表_Excel!"&amp;
IFERROR(
SUBSTITUTE(ADDRESS(1,
IFERROR(COLUMN(INDEX(INDIRECT("数出表_Excel!B"&amp;$I3-1&amp;":T"&amp;$I3-1&amp;""),1,MATCH(TEXT(B3,0),INDIRECT("数出表_Excel!B"&amp;$I3-1&amp;":T"&amp;$I3-1&amp;""),0))),""),4),"1",""),
"")
&amp;"3")
&amp;"　"&amp;INDIRECT("数出表_Excel!"&amp;
IFERROR(
SUBSTITUTE(ADDRESS(1,
IFERROR(COLUMN(INDEX(INDIRECT("数出表_Excel!B"&amp;$I3-1&amp;":T"&amp;$I3-1&amp;""),1,MATCH(TEXT(B3,0),INDIRECT("数出表_Excel!B"&amp;$I3-1&amp;":T"&amp;$I3-1&amp;""),0))),""),4),"1",""),
"")
&amp;"4")
&amp;INDIRECT("数出表_Excel!"&amp;
IFERROR(
SUBSTITUTE(ADDRESS(1,
IFERROR(COLUMN(INDEX(INDIRECT("数出表_Excel!B"&amp;$I3-1&amp;":T"&amp;$I3-1&amp;""),1,MATCH(TEXT(B3,0),INDIRECT("数出表_Excel!B"&amp;$I3-1&amp;":T"&amp;$I3-1&amp;""),0))),""),4),"1",""),
"")
&amp;"5"),
INDIRECT("数出表_Excel!"&amp;
IFERROR(
SUBSTITUTE(ADDRESS(1,
IFERROR(COLUMN(INDEX(INDIRECT("数出表_Excel!B"&amp;$I3-1&amp;":T"&amp;$I3-1&amp;""),1,MATCH(TEXT(B3,0),INDIRECT("数出表_Excel!B"&amp;$I3-1&amp;":T"&amp;$I3-1&amp;""),0))),""),4),"1",""),
"")
&amp;"3")),"")</f>
        <v/>
      </c>
      <c r="K3" t="str" cm="1">
        <f t="array" aca="1" ref="K3" ca="1">IFERROR(IF(OR(COUNTIF(INDIRECT("数出表_Excel!"&amp;
IFERROR(
SUBSTITUTE(ADDRESS(1,
IFERROR(COLUMN(INDEX(INDIRECT("数出表_Excel!B"&amp;$I3-1&amp;":T"&amp;$I3-1&amp;""),1,MATCH(TEXT(C3,0),INDIRECT("数出表_Excel!B"&amp;$I3-1&amp;":T"&amp;$I3-1&amp;""),0))),""),4),"1",""),
"")
&amp;"3"),"*キャラ*"),
COUNTIF(INDIRECT("数出表_Excel!"&amp;
IFERROR(
SUBSTITUTE(ADDRESS(1,
IFERROR(COLUMN(INDEX(INDIRECT("数出表_Excel!B"&amp;$I3-1&amp;":T"&amp;$I3-1&amp;""),1,MATCH(TEXT(C3,0),INDIRECT("数出表_Excel!B"&amp;$I3-1&amp;":T"&amp;$I3-1&amp;""),0))),""),4),"1",""),
"")
&amp;"3"),"*赤*")),
INDIRECT("数出表_Excel!"&amp;
IFERROR(
SUBSTITUTE(ADDRESS(1,
IFERROR(COLUMN(INDEX(INDIRECT("数出表_Excel!B"&amp;$I3-1&amp;":T"&amp;$I3-1&amp;""),1,MATCH(TEXT(C3,0),INDIRECT("数出表_Excel!B"&amp;$I3-1&amp;":T"&amp;$I3-1&amp;""),0))),""),4),"1",""),
"")
&amp;"3")
&amp;"　"&amp;INDIRECT("数出表_Excel!"&amp;
IFERROR(
SUBSTITUTE(ADDRESS(1,
IFERROR(COLUMN(INDEX(INDIRECT("数出表_Excel!B"&amp;$I3-1&amp;":T"&amp;$I3-1&amp;""),1,MATCH(TEXT(C3,0),INDIRECT("数出表_Excel!B"&amp;$I3-1&amp;":T"&amp;$I3-1&amp;""),0))),""),4),"1",""),
"")
&amp;"4")
&amp;INDIRECT("数出表_Excel!"&amp;
IFERROR(
SUBSTITUTE(ADDRESS(1,
IFERROR(COLUMN(INDEX(INDIRECT("数出表_Excel!B"&amp;$I3-1&amp;":T"&amp;$I3-1&amp;""),1,MATCH(TEXT(C3,0),INDIRECT("数出表_Excel!B"&amp;$I3-1&amp;":T"&amp;$I3-1&amp;""),0))),""),4),"1",""),
"")
&amp;"5"),
INDIRECT("数出表_Excel!"&amp;
IFERROR(
SUBSTITUTE(ADDRESS(1,
IFERROR(COLUMN(INDEX(INDIRECT("数出表_Excel!B"&amp;$I3-1&amp;":T"&amp;$I3-1&amp;""),1,MATCH(TEXT(C3,0),INDIRECT("数出表_Excel!B"&amp;$I3-1&amp;":T"&amp;$I3-1&amp;""),0))),""),4),"1",""),
"")
&amp;"3")),"")</f>
        <v/>
      </c>
      <c r="L3" t="str" cm="1">
        <f t="array" aca="1" ref="L3" ca="1">IFERROR(IF(OR(COUNTIF(INDIRECT("数出表_Excel!"&amp;
IFERROR(
SUBSTITUTE(ADDRESS(1,
IFERROR(COLUMN(INDEX(INDIRECT("数出表_Excel!B"&amp;$I3-1&amp;":T"&amp;$I3-1&amp;""),1,MATCH(TEXT(D3,0),INDIRECT("数出表_Excel!B"&amp;$I3-1&amp;":T"&amp;$I3-1&amp;""),0))),""),4),"1",""),
"")
&amp;"3"),"*キャラ*"),
COUNTIF(INDIRECT("数出表_Excel!"&amp;
IFERROR(
SUBSTITUTE(ADDRESS(1,
IFERROR(COLUMN(INDEX(INDIRECT("数出表_Excel!B"&amp;$I3-1&amp;":T"&amp;$I3-1&amp;""),1,MATCH(TEXT(D3,0),INDIRECT("数出表_Excel!B"&amp;$I3-1&amp;":T"&amp;$I3-1&amp;""),0))),""),4),"1",""),
"")
&amp;"3"),"*赤*")),
INDIRECT("数出表_Excel!"&amp;
IFERROR(
SUBSTITUTE(ADDRESS(1,
IFERROR(COLUMN(INDEX(INDIRECT("数出表_Excel!B"&amp;$I3-1&amp;":T"&amp;$I3-1&amp;""),1,MATCH(TEXT(D3,0),INDIRECT("数出表_Excel!B"&amp;$I3-1&amp;":T"&amp;$I3-1&amp;""),0))),""),4),"1",""),
"")
&amp;"3")
&amp;"　"&amp;INDIRECT("数出表_Excel!"&amp;
IFERROR(
SUBSTITUTE(ADDRESS(1,
IFERROR(COLUMN(INDEX(INDIRECT("数出表_Excel!B"&amp;$I3-1&amp;":T"&amp;$I3-1&amp;""),1,MATCH(TEXT(D3,0),INDIRECT("数出表_Excel!B"&amp;$I3-1&amp;":T"&amp;$I3-1&amp;""),0))),""),4),"1",""),
"")
&amp;"4")
&amp;INDIRECT("数出表_Excel!"&amp;
IFERROR(
SUBSTITUTE(ADDRESS(1,
IFERROR(COLUMN(INDEX(INDIRECT("数出表_Excel!B"&amp;$I3-1&amp;":T"&amp;$I3-1&amp;""),1,MATCH(TEXT(D3,0),INDIRECT("数出表_Excel!B"&amp;$I3-1&amp;":T"&amp;$I3-1&amp;""),0))),""),4),"1",""),
"")
&amp;"5"),
INDIRECT("数出表_Excel!"&amp;
IFERROR(
SUBSTITUTE(ADDRESS(1,
IFERROR(COLUMN(INDEX(INDIRECT("数出表_Excel!B"&amp;$I3-1&amp;":T"&amp;$I3-1&amp;""),1,MATCH(TEXT(D3,0),INDIRECT("数出表_Excel!B"&amp;$I3-1&amp;":T"&amp;$I3-1&amp;""),0))),""),4),"1",""),
"")
&amp;"3")),"")</f>
        <v/>
      </c>
      <c r="M3" t="str" cm="1">
        <f t="array" aca="1" ref="M3" ca="1">IFERROR(IF(OR(COUNTIF(INDIRECT("数出表_Excel!"&amp;
IFERROR(
SUBSTITUTE(ADDRESS(1,
IFERROR(COLUMN(INDEX(INDIRECT("数出表_Excel!B"&amp;$I3&amp;":T"&amp;$I3&amp;""),1,MATCH(TEXT(E3,0),INDIRECT("数出表_Excel!B"&amp;$I3&amp;":T"&amp;$I3&amp;""),0))),""),4),"1",""),
"")
&amp;"3"),"*キャラ*"),
COUNTIF(INDIRECT("数出表_Excel!"&amp;
IFERROR(
SUBSTITUTE(ADDRESS(1,
IFERROR(COLUMN(INDEX(INDIRECT("数出表_Excel!B"&amp;$I3&amp;":T"&amp;$I3&amp;""),1,MATCH(TEXT(E3,0),INDIRECT("数出表_Excel!B"&amp;$I3&amp;":T"&amp;$I3&amp;""),0))),""),4),"1",""),
"")
&amp;"3"),"*赤*")),
INDIRECT("数出表_Excel!"&amp;
IFERROR(
SUBSTITUTE(ADDRESS(1,
IFERROR(COLUMN(INDEX(INDIRECT("数出表_Excel!B"&amp;$I3&amp;":T"&amp;$I3&amp;""),1,MATCH(TEXT(E3,0),INDIRECT("数出表_Excel!B"&amp;$I3&amp;":T"&amp;$I3&amp;""),0))),""),4),"1",""),
"")
&amp;"3")
&amp;"　"&amp;INDIRECT("数出表_Excel!"&amp;
IFERROR(
SUBSTITUTE(ADDRESS(1,
IFERROR(COLUMN(INDEX(INDIRECT("数出表_Excel!B"&amp;$I3&amp;":T"&amp;$I3&amp;""),1,MATCH(TEXT(E3,0),INDIRECT("数出表_Excel!B"&amp;$I3&amp;":T"&amp;$I3&amp;""),0))),""),4),"1",""),
"")
&amp;"4")
&amp;INDIRECT("数出表_Excel!"&amp;
IFERROR(
SUBSTITUTE(ADDRESS(1,
IFERROR(COLUMN(INDEX(INDIRECT("数出表_Excel!B"&amp;$I3&amp;":T"&amp;$I3&amp;""),1,MATCH(TEXT(E3,0),INDIRECT("数出表_Excel!B"&amp;$I3&amp;":T"&amp;$I3&amp;""),0))),""),4),"1",""),
"")
&amp;"5"),
INDIRECT("数出表_Excel!"&amp;
IFERROR(
SUBSTITUTE(ADDRESS(1,
IFERROR(COLUMN(INDEX(INDIRECT("数出表_Excel!B"&amp;$I3&amp;":T"&amp;$I3&amp;""),1,MATCH(TEXT(E3,0),INDIRECT("数出表_Excel!B"&amp;$I3&amp;":T"&amp;$I3&amp;""),0))),""),4),"1",""),
"")
&amp;"3")),"")</f>
        <v/>
      </c>
      <c r="N3" t="str" cm="1">
        <f t="array" aca="1" ref="N3" ca="1">IFERROR(IF(OR(COUNTIF(INDIRECT("数出表_Excel!"&amp;
IFERROR(
SUBSTITUTE(ADDRESS(1,
IFERROR(COLUMN(INDEX(INDIRECT("数出表_Excel!B"&amp;$I3&amp;":T"&amp;$I3&amp;""),1,MATCH(TEXT(F3,0),INDIRECT("数出表_Excel!B"&amp;$I3&amp;":T"&amp;$I3&amp;""),0))),""),4),"1",""),
"")
&amp;"3"),"*キャラ*"),
COUNTIF(INDIRECT("数出表_Excel!"&amp;
IFERROR(
SUBSTITUTE(ADDRESS(1,
IFERROR(COLUMN(INDEX(INDIRECT("数出表_Excel!B"&amp;$I3&amp;":T"&amp;$I3&amp;""),1,MATCH(TEXT(F3,0),INDIRECT("数出表_Excel!B"&amp;$I3&amp;":T"&amp;$I3&amp;""),0))),""),4),"1",""),
"")
&amp;"3"),"*赤*")),
INDIRECT("数出表_Excel!"&amp;
IFERROR(
SUBSTITUTE(ADDRESS(1,
IFERROR(COLUMN(INDEX(INDIRECT("数出表_Excel!B"&amp;$I3&amp;":T"&amp;$I3&amp;""),1,MATCH(TEXT(F3,0),INDIRECT("数出表_Excel!B"&amp;$I3&amp;":T"&amp;$I3&amp;""),0))),""),4),"1",""),
"")
&amp;"3")
&amp;"　"&amp;INDIRECT("数出表_Excel!"&amp;
IFERROR(
SUBSTITUTE(ADDRESS(1,
IFERROR(COLUMN(INDEX(INDIRECT("数出表_Excel!B"&amp;$I3&amp;":T"&amp;$I3&amp;""),1,MATCH(TEXT(F3,0),INDIRECT("数出表_Excel!B"&amp;$I3&amp;":T"&amp;$I3&amp;""),0))),""),4),"1",""),
"")
&amp;"4")
&amp;INDIRECT("数出表_Excel!"&amp;
IFERROR(
SUBSTITUTE(ADDRESS(1,
IFERROR(COLUMN(INDEX(INDIRECT("数出表_Excel!B"&amp;$I3&amp;":T"&amp;$I3&amp;""),1,MATCH(TEXT(F3,0),INDIRECT("数出表_Excel!B"&amp;$I3&amp;":T"&amp;$I3&amp;""),0))),""),4),"1",""),
"")
&amp;"5"),
INDIRECT("数出表_Excel!"&amp;
IFERROR(
SUBSTITUTE(ADDRESS(1,
IFERROR(COLUMN(INDEX(INDIRECT("数出表_Excel!B"&amp;$I3&amp;":T"&amp;$I3&amp;""),1,MATCH(TEXT(F3,0),INDIRECT("数出表_Excel!B"&amp;$I3&amp;":T"&amp;$I3&amp;""),0))),""),4),"1",""),
"")
&amp;"3")),"")</f>
        <v/>
      </c>
      <c r="O3" t="str" cm="1">
        <f t="array" aca="1" ref="O3" ca="1">IFERROR(IF(OR(COUNTIF(INDIRECT("数出表_Excel!"&amp;
IFERROR(
SUBSTITUTE(ADDRESS(1,
IFERROR(COLUMN(INDEX(INDIRECT("数出表_Excel!B"&amp;$I3&amp;":T"&amp;$I3&amp;""),1,MATCH(TEXT(G3,0),INDIRECT("数出表_Excel!B"&amp;$I3&amp;":T"&amp;$I3&amp;""),0))),""),4),"1",""),
"")
&amp;"3"),"*キャラ*"),
COUNTIF(INDIRECT("数出表_Excel!"&amp;
IFERROR(
SUBSTITUTE(ADDRESS(1,
IFERROR(COLUMN(INDEX(INDIRECT("数出表_Excel!B"&amp;$I3&amp;":T"&amp;$I3&amp;""),1,MATCH(TEXT(G3,0),INDIRECT("数出表_Excel!B"&amp;$I3&amp;":T"&amp;$I3&amp;""),0))),""),4),"1",""),
"")
&amp;"3"),"*赤*")),
INDIRECT("数出表_Excel!"&amp;
IFERROR(
SUBSTITUTE(ADDRESS(1,
IFERROR(COLUMN(INDEX(INDIRECT("数出表_Excel!B"&amp;$I3&amp;":T"&amp;$I3&amp;""),1,MATCH(TEXT(G3,0),INDIRECT("数出表_Excel!B"&amp;$I3&amp;":T"&amp;$I3&amp;""),0))),""),4),"1",""),
"")
&amp;"3")
&amp;"　"&amp;INDIRECT("数出表_Excel!"&amp;
IFERROR(
SUBSTITUTE(ADDRESS(1,
IFERROR(COLUMN(INDEX(INDIRECT("数出表_Excel!B"&amp;$I3&amp;":T"&amp;$I3&amp;""),1,MATCH(TEXT(G3,0),INDIRECT("数出表_Excel!B"&amp;$I3&amp;":T"&amp;$I3&amp;""),0))),""),4),"1",""),
"")
&amp;"4")
&amp;INDIRECT("数出表_Excel!"&amp;
IFERROR(
SUBSTITUTE(ADDRESS(1,
IFERROR(COLUMN(INDEX(INDIRECT("数出表_Excel!B"&amp;$I3&amp;":T"&amp;$I3&amp;""),1,MATCH(TEXT(G3,0),INDIRECT("数出表_Excel!B"&amp;$I3&amp;":T"&amp;$I3&amp;""),0))),""),4),"1",""),
"")
&amp;"5"),
INDIRECT("数出表_Excel!"&amp;
IFERROR(
SUBSTITUTE(ADDRESS(1,
IFERROR(COLUMN(INDEX(INDIRECT("数出表_Excel!B"&amp;$I3&amp;":T"&amp;$I3&amp;""),1,MATCH(TEXT(G3,0),INDIRECT("数出表_Excel!B"&amp;$I3&amp;":T"&amp;$I3&amp;""),0))),""),4),"1",""),
"")
&amp;"3")),"")</f>
        <v/>
      </c>
    </row>
    <row r="4" spans="9:15">
      <c r="I4" t="str">
        <f>IF(A4&lt;&gt;"",MATCH(A4,数出表_Excel!A:A,0),"")</f>
        <v/>
      </c>
      <c r="J4" t="str" cm="1">
        <f t="array" aca="1" ref="J4" ca="1">IFERROR(IF(OR(COUNTIF(INDIRECT("数出表_Excel!"&amp;
IFERROR(
SUBSTITUTE(ADDRESS(1,
IFERROR(COLUMN(INDEX(INDIRECT("数出表_Excel!B"&amp;$I4-1&amp;":T"&amp;$I4-1&amp;""),1,MATCH(TEXT(B4,0),INDIRECT("数出表_Excel!B"&amp;$I4-1&amp;":T"&amp;$I4-1&amp;""),0))),""),4),"1",""),
"")
&amp;"3"),"*キャラ*"),
COUNTIF(INDIRECT("数出表_Excel!"&amp;
IFERROR(
SUBSTITUTE(ADDRESS(1,
IFERROR(COLUMN(INDEX(INDIRECT("数出表_Excel!B"&amp;$I4-1&amp;":T"&amp;$I4-1&amp;""),1,MATCH(TEXT(B4,0),INDIRECT("数出表_Excel!B"&amp;$I4-1&amp;":T"&amp;$I4-1&amp;""),0))),""),4),"1",""),
"")
&amp;"3"),"*赤*")),
INDIRECT("数出表_Excel!"&amp;
IFERROR(
SUBSTITUTE(ADDRESS(1,
IFERROR(COLUMN(INDEX(INDIRECT("数出表_Excel!B"&amp;$I4-1&amp;":T"&amp;$I4-1&amp;""),1,MATCH(TEXT(B4,0),INDIRECT("数出表_Excel!B"&amp;$I4-1&amp;":T"&amp;$I4-1&amp;""),0))),""),4),"1",""),
"")
&amp;"3")
&amp;"　"&amp;INDIRECT("数出表_Excel!"&amp;
IFERROR(
SUBSTITUTE(ADDRESS(1,
IFERROR(COLUMN(INDEX(INDIRECT("数出表_Excel!B"&amp;$I4-1&amp;":T"&amp;$I4-1&amp;""),1,MATCH(TEXT(B4,0),INDIRECT("数出表_Excel!B"&amp;$I4-1&amp;":T"&amp;$I4-1&amp;""),0))),""),4),"1",""),
"")
&amp;"4")
&amp;INDIRECT("数出表_Excel!"&amp;
IFERROR(
SUBSTITUTE(ADDRESS(1,
IFERROR(COLUMN(INDEX(INDIRECT("数出表_Excel!B"&amp;$I4-1&amp;":T"&amp;$I4-1&amp;""),1,MATCH(TEXT(B4,0),INDIRECT("数出表_Excel!B"&amp;$I4-1&amp;":T"&amp;$I4-1&amp;""),0))),""),4),"1",""),
"")
&amp;"5"),
INDIRECT("数出表_Excel!"&amp;
IFERROR(
SUBSTITUTE(ADDRESS(1,
IFERROR(COLUMN(INDEX(INDIRECT("数出表_Excel!B"&amp;$I4-1&amp;":T"&amp;$I4-1&amp;""),1,MATCH(TEXT(B4,0),INDIRECT("数出表_Excel!B"&amp;$I4-1&amp;":T"&amp;$I4-1&amp;""),0))),""),4),"1",""),
"")
&amp;"3")),"")</f>
        <v/>
      </c>
      <c r="K4" t="str" cm="1">
        <f t="array" aca="1" ref="K4" ca="1">IFERROR(IF(OR(COUNTIF(INDIRECT("数出表_Excel!"&amp;
IFERROR(
SUBSTITUTE(ADDRESS(1,
IFERROR(COLUMN(INDEX(INDIRECT("数出表_Excel!B"&amp;$I4-1&amp;":T"&amp;$I4-1&amp;""),1,MATCH(TEXT(C4,0),INDIRECT("数出表_Excel!B"&amp;$I4-1&amp;":T"&amp;$I4-1&amp;""),0))),""),4),"1",""),
"")
&amp;"3"),"*キャラ*"),
COUNTIF(INDIRECT("数出表_Excel!"&amp;
IFERROR(
SUBSTITUTE(ADDRESS(1,
IFERROR(COLUMN(INDEX(INDIRECT("数出表_Excel!B"&amp;$I4-1&amp;":T"&amp;$I4-1&amp;""),1,MATCH(TEXT(C4,0),INDIRECT("数出表_Excel!B"&amp;$I4-1&amp;":T"&amp;$I4-1&amp;""),0))),""),4),"1",""),
"")
&amp;"3"),"*赤*")),
INDIRECT("数出表_Excel!"&amp;
IFERROR(
SUBSTITUTE(ADDRESS(1,
IFERROR(COLUMN(INDEX(INDIRECT("数出表_Excel!B"&amp;$I4-1&amp;":T"&amp;$I4-1&amp;""),1,MATCH(TEXT(C4,0),INDIRECT("数出表_Excel!B"&amp;$I4-1&amp;":T"&amp;$I4-1&amp;""),0))),""),4),"1",""),
"")
&amp;"3")
&amp;"　"&amp;INDIRECT("数出表_Excel!"&amp;
IFERROR(
SUBSTITUTE(ADDRESS(1,
IFERROR(COLUMN(INDEX(INDIRECT("数出表_Excel!B"&amp;$I4-1&amp;":T"&amp;$I4-1&amp;""),1,MATCH(TEXT(C4,0),INDIRECT("数出表_Excel!B"&amp;$I4-1&amp;":T"&amp;$I4-1&amp;""),0))),""),4),"1",""),
"")
&amp;"4")
&amp;INDIRECT("数出表_Excel!"&amp;
IFERROR(
SUBSTITUTE(ADDRESS(1,
IFERROR(COLUMN(INDEX(INDIRECT("数出表_Excel!B"&amp;$I4-1&amp;":T"&amp;$I4-1&amp;""),1,MATCH(TEXT(C4,0),INDIRECT("数出表_Excel!B"&amp;$I4-1&amp;":T"&amp;$I4-1&amp;""),0))),""),4),"1",""),
"")
&amp;"5"),
INDIRECT("数出表_Excel!"&amp;
IFERROR(
SUBSTITUTE(ADDRESS(1,
IFERROR(COLUMN(INDEX(INDIRECT("数出表_Excel!B"&amp;$I4-1&amp;":T"&amp;$I4-1&amp;""),1,MATCH(TEXT(C4,0),INDIRECT("数出表_Excel!B"&amp;$I4-1&amp;":T"&amp;$I4-1&amp;""),0))),""),4),"1",""),
"")
&amp;"3")),"")</f>
        <v/>
      </c>
      <c r="L4" t="str" cm="1">
        <f t="array" aca="1" ref="L4" ca="1">IFERROR(IF(OR(COUNTIF(INDIRECT("数出表_Excel!"&amp;
IFERROR(
SUBSTITUTE(ADDRESS(1,
IFERROR(COLUMN(INDEX(INDIRECT("数出表_Excel!B"&amp;$I4-1&amp;":T"&amp;$I4-1&amp;""),1,MATCH(TEXT(D4,0),INDIRECT("数出表_Excel!B"&amp;$I4-1&amp;":T"&amp;$I4-1&amp;""),0))),""),4),"1",""),
"")
&amp;"3"),"*キャラ*"),
COUNTIF(INDIRECT("数出表_Excel!"&amp;
IFERROR(
SUBSTITUTE(ADDRESS(1,
IFERROR(COLUMN(INDEX(INDIRECT("数出表_Excel!B"&amp;$I4-1&amp;":T"&amp;$I4-1&amp;""),1,MATCH(TEXT(D4,0),INDIRECT("数出表_Excel!B"&amp;$I4-1&amp;":T"&amp;$I4-1&amp;""),0))),""),4),"1",""),
"")
&amp;"3"),"*赤*")),
INDIRECT("数出表_Excel!"&amp;
IFERROR(
SUBSTITUTE(ADDRESS(1,
IFERROR(COLUMN(INDEX(INDIRECT("数出表_Excel!B"&amp;$I4-1&amp;":T"&amp;$I4-1&amp;""),1,MATCH(TEXT(D4,0),INDIRECT("数出表_Excel!B"&amp;$I4-1&amp;":T"&amp;$I4-1&amp;""),0))),""),4),"1",""),
"")
&amp;"3")
&amp;"　"&amp;INDIRECT("数出表_Excel!"&amp;
IFERROR(
SUBSTITUTE(ADDRESS(1,
IFERROR(COLUMN(INDEX(INDIRECT("数出表_Excel!B"&amp;$I4-1&amp;":T"&amp;$I4-1&amp;""),1,MATCH(TEXT(D4,0),INDIRECT("数出表_Excel!B"&amp;$I4-1&amp;":T"&amp;$I4-1&amp;""),0))),""),4),"1",""),
"")
&amp;"4")
&amp;INDIRECT("数出表_Excel!"&amp;
IFERROR(
SUBSTITUTE(ADDRESS(1,
IFERROR(COLUMN(INDEX(INDIRECT("数出表_Excel!B"&amp;$I4-1&amp;":T"&amp;$I4-1&amp;""),1,MATCH(TEXT(D4,0),INDIRECT("数出表_Excel!B"&amp;$I4-1&amp;":T"&amp;$I4-1&amp;""),0))),""),4),"1",""),
"")
&amp;"5"),
INDIRECT("数出表_Excel!"&amp;
IFERROR(
SUBSTITUTE(ADDRESS(1,
IFERROR(COLUMN(INDEX(INDIRECT("数出表_Excel!B"&amp;$I4-1&amp;":T"&amp;$I4-1&amp;""),1,MATCH(TEXT(D4,0),INDIRECT("数出表_Excel!B"&amp;$I4-1&amp;":T"&amp;$I4-1&amp;""),0))),""),4),"1",""),
"")
&amp;"3")),"")</f>
        <v/>
      </c>
      <c r="M4" t="str" cm="1">
        <f t="array" aca="1" ref="M4" ca="1">IFERROR(IF(OR(COUNTIF(INDIRECT("数出表_Excel!"&amp;
IFERROR(
SUBSTITUTE(ADDRESS(1,
IFERROR(COLUMN(INDEX(INDIRECT("数出表_Excel!B"&amp;$I4&amp;":T"&amp;$I4&amp;""),1,MATCH(TEXT(E4,0),INDIRECT("数出表_Excel!B"&amp;$I4&amp;":T"&amp;$I4&amp;""),0))),""),4),"1",""),
"")
&amp;"3"),"*キャラ*"),
COUNTIF(INDIRECT("数出表_Excel!"&amp;
IFERROR(
SUBSTITUTE(ADDRESS(1,
IFERROR(COLUMN(INDEX(INDIRECT("数出表_Excel!B"&amp;$I4&amp;":T"&amp;$I4&amp;""),1,MATCH(TEXT(E4,0),INDIRECT("数出表_Excel!B"&amp;$I4&amp;":T"&amp;$I4&amp;""),0))),""),4),"1",""),
"")
&amp;"3"),"*赤*")),
INDIRECT("数出表_Excel!"&amp;
IFERROR(
SUBSTITUTE(ADDRESS(1,
IFERROR(COLUMN(INDEX(INDIRECT("数出表_Excel!B"&amp;$I4&amp;":T"&amp;$I4&amp;""),1,MATCH(TEXT(E4,0),INDIRECT("数出表_Excel!B"&amp;$I4&amp;":T"&amp;$I4&amp;""),0))),""),4),"1",""),
"")
&amp;"3")
&amp;"　"&amp;INDIRECT("数出表_Excel!"&amp;
IFERROR(
SUBSTITUTE(ADDRESS(1,
IFERROR(COLUMN(INDEX(INDIRECT("数出表_Excel!B"&amp;$I4&amp;":T"&amp;$I4&amp;""),1,MATCH(TEXT(E4,0),INDIRECT("数出表_Excel!B"&amp;$I4&amp;":T"&amp;$I4&amp;""),0))),""),4),"1",""),
"")
&amp;"4")
&amp;INDIRECT("数出表_Excel!"&amp;
IFERROR(
SUBSTITUTE(ADDRESS(1,
IFERROR(COLUMN(INDEX(INDIRECT("数出表_Excel!B"&amp;$I4&amp;":T"&amp;$I4&amp;""),1,MATCH(TEXT(E4,0),INDIRECT("数出表_Excel!B"&amp;$I4&amp;":T"&amp;$I4&amp;""),0))),""),4),"1",""),
"")
&amp;"5"),
INDIRECT("数出表_Excel!"&amp;
IFERROR(
SUBSTITUTE(ADDRESS(1,
IFERROR(COLUMN(INDEX(INDIRECT("数出表_Excel!B"&amp;$I4&amp;":T"&amp;$I4&amp;""),1,MATCH(TEXT(E4,0),INDIRECT("数出表_Excel!B"&amp;$I4&amp;":T"&amp;$I4&amp;""),0))),""),4),"1",""),
"")
&amp;"3")),"")</f>
        <v/>
      </c>
      <c r="N4" t="str" cm="1">
        <f t="array" aca="1" ref="N4" ca="1">IFERROR(IF(OR(COUNTIF(INDIRECT("数出表_Excel!"&amp;
IFERROR(
SUBSTITUTE(ADDRESS(1,
IFERROR(COLUMN(INDEX(INDIRECT("数出表_Excel!B"&amp;$I4&amp;":T"&amp;$I4&amp;""),1,MATCH(TEXT(F4,0),INDIRECT("数出表_Excel!B"&amp;$I4&amp;":T"&amp;$I4&amp;""),0))),""),4),"1",""),
"")
&amp;"3"),"*キャラ*"),
COUNTIF(INDIRECT("数出表_Excel!"&amp;
IFERROR(
SUBSTITUTE(ADDRESS(1,
IFERROR(COLUMN(INDEX(INDIRECT("数出表_Excel!B"&amp;$I4&amp;":T"&amp;$I4&amp;""),1,MATCH(TEXT(F4,0),INDIRECT("数出表_Excel!B"&amp;$I4&amp;":T"&amp;$I4&amp;""),0))),""),4),"1",""),
"")
&amp;"3"),"*赤*")),
INDIRECT("数出表_Excel!"&amp;
IFERROR(
SUBSTITUTE(ADDRESS(1,
IFERROR(COLUMN(INDEX(INDIRECT("数出表_Excel!B"&amp;$I4&amp;":T"&amp;$I4&amp;""),1,MATCH(TEXT(F4,0),INDIRECT("数出表_Excel!B"&amp;$I4&amp;":T"&amp;$I4&amp;""),0))),""),4),"1",""),
"")
&amp;"3")
&amp;"　"&amp;INDIRECT("数出表_Excel!"&amp;
IFERROR(
SUBSTITUTE(ADDRESS(1,
IFERROR(COLUMN(INDEX(INDIRECT("数出表_Excel!B"&amp;$I4&amp;":T"&amp;$I4&amp;""),1,MATCH(TEXT(F4,0),INDIRECT("数出表_Excel!B"&amp;$I4&amp;":T"&amp;$I4&amp;""),0))),""),4),"1",""),
"")
&amp;"4")
&amp;INDIRECT("数出表_Excel!"&amp;
IFERROR(
SUBSTITUTE(ADDRESS(1,
IFERROR(COLUMN(INDEX(INDIRECT("数出表_Excel!B"&amp;$I4&amp;":T"&amp;$I4&amp;""),1,MATCH(TEXT(F4,0),INDIRECT("数出表_Excel!B"&amp;$I4&amp;":T"&amp;$I4&amp;""),0))),""),4),"1",""),
"")
&amp;"5"),
INDIRECT("数出表_Excel!"&amp;
IFERROR(
SUBSTITUTE(ADDRESS(1,
IFERROR(COLUMN(INDEX(INDIRECT("数出表_Excel!B"&amp;$I4&amp;":T"&amp;$I4&amp;""),1,MATCH(TEXT(F4,0),INDIRECT("数出表_Excel!B"&amp;$I4&amp;":T"&amp;$I4&amp;""),0))),""),4),"1",""),
"")
&amp;"3")),"")</f>
        <v/>
      </c>
      <c r="O4" t="str" cm="1">
        <f t="array" aca="1" ref="O4" ca="1">IFERROR(IF(OR(COUNTIF(INDIRECT("数出表_Excel!"&amp;
IFERROR(
SUBSTITUTE(ADDRESS(1,
IFERROR(COLUMN(INDEX(INDIRECT("数出表_Excel!B"&amp;$I4&amp;":T"&amp;$I4&amp;""),1,MATCH(TEXT(G4,0),INDIRECT("数出表_Excel!B"&amp;$I4&amp;":T"&amp;$I4&amp;""),0))),""),4),"1",""),
"")
&amp;"3"),"*キャラ*"),
COUNTIF(INDIRECT("数出表_Excel!"&amp;
IFERROR(
SUBSTITUTE(ADDRESS(1,
IFERROR(COLUMN(INDEX(INDIRECT("数出表_Excel!B"&amp;$I4&amp;":T"&amp;$I4&amp;""),1,MATCH(TEXT(G4,0),INDIRECT("数出表_Excel!B"&amp;$I4&amp;":T"&amp;$I4&amp;""),0))),""),4),"1",""),
"")
&amp;"3"),"*赤*")),
INDIRECT("数出表_Excel!"&amp;
IFERROR(
SUBSTITUTE(ADDRESS(1,
IFERROR(COLUMN(INDEX(INDIRECT("数出表_Excel!B"&amp;$I4&amp;":T"&amp;$I4&amp;""),1,MATCH(TEXT(G4,0),INDIRECT("数出表_Excel!B"&amp;$I4&amp;":T"&amp;$I4&amp;""),0))),""),4),"1",""),
"")
&amp;"3")
&amp;"　"&amp;INDIRECT("数出表_Excel!"&amp;
IFERROR(
SUBSTITUTE(ADDRESS(1,
IFERROR(COLUMN(INDEX(INDIRECT("数出表_Excel!B"&amp;$I4&amp;":T"&amp;$I4&amp;""),1,MATCH(TEXT(G4,0),INDIRECT("数出表_Excel!B"&amp;$I4&amp;":T"&amp;$I4&amp;""),0))),""),4),"1",""),
"")
&amp;"4")
&amp;INDIRECT("数出表_Excel!"&amp;
IFERROR(
SUBSTITUTE(ADDRESS(1,
IFERROR(COLUMN(INDEX(INDIRECT("数出表_Excel!B"&amp;$I4&amp;":T"&amp;$I4&amp;""),1,MATCH(TEXT(G4,0),INDIRECT("数出表_Excel!B"&amp;$I4&amp;":T"&amp;$I4&amp;""),0))),""),4),"1",""),
"")
&amp;"5"),
INDIRECT("数出表_Excel!"&amp;
IFERROR(
SUBSTITUTE(ADDRESS(1,
IFERROR(COLUMN(INDEX(INDIRECT("数出表_Excel!B"&amp;$I4&amp;":T"&amp;$I4&amp;""),1,MATCH(TEXT(G4,0),INDIRECT("数出表_Excel!B"&amp;$I4&amp;":T"&amp;$I4&amp;""),0))),""),4),"1",""),
"")
&amp;"3")),"")</f>
        <v/>
      </c>
    </row>
    <row r="5" spans="9:15">
      <c r="I5" t="str">
        <f>IF(A5&lt;&gt;"",MATCH(A5,数出表_Excel!A:A,0),"")</f>
        <v/>
      </c>
      <c r="J5" t="str" cm="1">
        <f t="array" aca="1" ref="J5" ca="1">IFERROR(IF(OR(COUNTIF(INDIRECT("数出表_Excel!"&amp;
IFERROR(
SUBSTITUTE(ADDRESS(1,
IFERROR(COLUMN(INDEX(INDIRECT("数出表_Excel!B"&amp;$I5-1&amp;":T"&amp;$I5-1&amp;""),1,MATCH(TEXT(B5,0),INDIRECT("数出表_Excel!B"&amp;$I5-1&amp;":T"&amp;$I5-1&amp;""),0))),""),4),"1",""),
"")
&amp;"3"),"*キャラ*"),
COUNTIF(INDIRECT("数出表_Excel!"&amp;
IFERROR(
SUBSTITUTE(ADDRESS(1,
IFERROR(COLUMN(INDEX(INDIRECT("数出表_Excel!B"&amp;$I5-1&amp;":T"&amp;$I5-1&amp;""),1,MATCH(TEXT(B5,0),INDIRECT("数出表_Excel!B"&amp;$I5-1&amp;":T"&amp;$I5-1&amp;""),0))),""),4),"1",""),
"")
&amp;"3"),"*赤*")),
INDIRECT("数出表_Excel!"&amp;
IFERROR(
SUBSTITUTE(ADDRESS(1,
IFERROR(COLUMN(INDEX(INDIRECT("数出表_Excel!B"&amp;$I5-1&amp;":T"&amp;$I5-1&amp;""),1,MATCH(TEXT(B5,0),INDIRECT("数出表_Excel!B"&amp;$I5-1&amp;":T"&amp;$I5-1&amp;""),0))),""),4),"1",""),
"")
&amp;"3")
&amp;"　"&amp;INDIRECT("数出表_Excel!"&amp;
IFERROR(
SUBSTITUTE(ADDRESS(1,
IFERROR(COLUMN(INDEX(INDIRECT("数出表_Excel!B"&amp;$I5-1&amp;":T"&amp;$I5-1&amp;""),1,MATCH(TEXT(B5,0),INDIRECT("数出表_Excel!B"&amp;$I5-1&amp;":T"&amp;$I5-1&amp;""),0))),""),4),"1",""),
"")
&amp;"4")
&amp;INDIRECT("数出表_Excel!"&amp;
IFERROR(
SUBSTITUTE(ADDRESS(1,
IFERROR(COLUMN(INDEX(INDIRECT("数出表_Excel!B"&amp;$I5-1&amp;":T"&amp;$I5-1&amp;""),1,MATCH(TEXT(B5,0),INDIRECT("数出表_Excel!B"&amp;$I5-1&amp;":T"&amp;$I5-1&amp;""),0))),""),4),"1",""),
"")
&amp;"5"),
INDIRECT("数出表_Excel!"&amp;
IFERROR(
SUBSTITUTE(ADDRESS(1,
IFERROR(COLUMN(INDEX(INDIRECT("数出表_Excel!B"&amp;$I5-1&amp;":T"&amp;$I5-1&amp;""),1,MATCH(TEXT(B5,0),INDIRECT("数出表_Excel!B"&amp;$I5-1&amp;":T"&amp;$I5-1&amp;""),0))),""),4),"1",""),
"")
&amp;"3")),"")</f>
        <v/>
      </c>
      <c r="K5" t="str" cm="1">
        <f t="array" aca="1" ref="K5" ca="1">IFERROR(IF(OR(COUNTIF(INDIRECT("数出表_Excel!"&amp;
IFERROR(
SUBSTITUTE(ADDRESS(1,
IFERROR(COLUMN(INDEX(INDIRECT("数出表_Excel!B"&amp;$I5-1&amp;":T"&amp;$I5-1&amp;""),1,MATCH(TEXT(C5,0),INDIRECT("数出表_Excel!B"&amp;$I5-1&amp;":T"&amp;$I5-1&amp;""),0))),""),4),"1",""),
"")
&amp;"3"),"*キャラ*"),
COUNTIF(INDIRECT("数出表_Excel!"&amp;
IFERROR(
SUBSTITUTE(ADDRESS(1,
IFERROR(COLUMN(INDEX(INDIRECT("数出表_Excel!B"&amp;$I5-1&amp;":T"&amp;$I5-1&amp;""),1,MATCH(TEXT(C5,0),INDIRECT("数出表_Excel!B"&amp;$I5-1&amp;":T"&amp;$I5-1&amp;""),0))),""),4),"1",""),
"")
&amp;"3"),"*赤*")),
INDIRECT("数出表_Excel!"&amp;
IFERROR(
SUBSTITUTE(ADDRESS(1,
IFERROR(COLUMN(INDEX(INDIRECT("数出表_Excel!B"&amp;$I5-1&amp;":T"&amp;$I5-1&amp;""),1,MATCH(TEXT(C5,0),INDIRECT("数出表_Excel!B"&amp;$I5-1&amp;":T"&amp;$I5-1&amp;""),0))),""),4),"1",""),
"")
&amp;"3")
&amp;"　"&amp;INDIRECT("数出表_Excel!"&amp;
IFERROR(
SUBSTITUTE(ADDRESS(1,
IFERROR(COLUMN(INDEX(INDIRECT("数出表_Excel!B"&amp;$I5-1&amp;":T"&amp;$I5-1&amp;""),1,MATCH(TEXT(C5,0),INDIRECT("数出表_Excel!B"&amp;$I5-1&amp;":T"&amp;$I5-1&amp;""),0))),""),4),"1",""),
"")
&amp;"4")
&amp;INDIRECT("数出表_Excel!"&amp;
IFERROR(
SUBSTITUTE(ADDRESS(1,
IFERROR(COLUMN(INDEX(INDIRECT("数出表_Excel!B"&amp;$I5-1&amp;":T"&amp;$I5-1&amp;""),1,MATCH(TEXT(C5,0),INDIRECT("数出表_Excel!B"&amp;$I5-1&amp;":T"&amp;$I5-1&amp;""),0))),""),4),"1",""),
"")
&amp;"5"),
INDIRECT("数出表_Excel!"&amp;
IFERROR(
SUBSTITUTE(ADDRESS(1,
IFERROR(COLUMN(INDEX(INDIRECT("数出表_Excel!B"&amp;$I5-1&amp;":T"&amp;$I5-1&amp;""),1,MATCH(TEXT(C5,0),INDIRECT("数出表_Excel!B"&amp;$I5-1&amp;":T"&amp;$I5-1&amp;""),0))),""),4),"1",""),
"")
&amp;"3")),"")</f>
        <v/>
      </c>
      <c r="L5" t="str" cm="1">
        <f t="array" aca="1" ref="L5" ca="1">IFERROR(IF(OR(COUNTIF(INDIRECT("数出表_Excel!"&amp;
IFERROR(
SUBSTITUTE(ADDRESS(1,
IFERROR(COLUMN(INDEX(INDIRECT("数出表_Excel!B"&amp;$I5-1&amp;":T"&amp;$I5-1&amp;""),1,MATCH(TEXT(D5,0),INDIRECT("数出表_Excel!B"&amp;$I5-1&amp;":T"&amp;$I5-1&amp;""),0))),""),4),"1",""),
"")
&amp;"3"),"*キャラ*"),
COUNTIF(INDIRECT("数出表_Excel!"&amp;
IFERROR(
SUBSTITUTE(ADDRESS(1,
IFERROR(COLUMN(INDEX(INDIRECT("数出表_Excel!B"&amp;$I5-1&amp;":T"&amp;$I5-1&amp;""),1,MATCH(TEXT(D5,0),INDIRECT("数出表_Excel!B"&amp;$I5-1&amp;":T"&amp;$I5-1&amp;""),0))),""),4),"1",""),
"")
&amp;"3"),"*赤*")),
INDIRECT("数出表_Excel!"&amp;
IFERROR(
SUBSTITUTE(ADDRESS(1,
IFERROR(COLUMN(INDEX(INDIRECT("数出表_Excel!B"&amp;$I5-1&amp;":T"&amp;$I5-1&amp;""),1,MATCH(TEXT(D5,0),INDIRECT("数出表_Excel!B"&amp;$I5-1&amp;":T"&amp;$I5-1&amp;""),0))),""),4),"1",""),
"")
&amp;"3")
&amp;"　"&amp;INDIRECT("数出表_Excel!"&amp;
IFERROR(
SUBSTITUTE(ADDRESS(1,
IFERROR(COLUMN(INDEX(INDIRECT("数出表_Excel!B"&amp;$I5-1&amp;":T"&amp;$I5-1&amp;""),1,MATCH(TEXT(D5,0),INDIRECT("数出表_Excel!B"&amp;$I5-1&amp;":T"&amp;$I5-1&amp;""),0))),""),4),"1",""),
"")
&amp;"4")
&amp;INDIRECT("数出表_Excel!"&amp;
IFERROR(
SUBSTITUTE(ADDRESS(1,
IFERROR(COLUMN(INDEX(INDIRECT("数出表_Excel!B"&amp;$I5-1&amp;":T"&amp;$I5-1&amp;""),1,MATCH(TEXT(D5,0),INDIRECT("数出表_Excel!B"&amp;$I5-1&amp;":T"&amp;$I5-1&amp;""),0))),""),4),"1",""),
"")
&amp;"5"),
INDIRECT("数出表_Excel!"&amp;
IFERROR(
SUBSTITUTE(ADDRESS(1,
IFERROR(COLUMN(INDEX(INDIRECT("数出表_Excel!B"&amp;$I5-1&amp;":T"&amp;$I5-1&amp;""),1,MATCH(TEXT(D5,0),INDIRECT("数出表_Excel!B"&amp;$I5-1&amp;":T"&amp;$I5-1&amp;""),0))),""),4),"1",""),
"")
&amp;"3")),"")</f>
        <v/>
      </c>
      <c r="M5" t="str" cm="1">
        <f t="array" aca="1" ref="M5" ca="1">IFERROR(IF(OR(COUNTIF(INDIRECT("数出表_Excel!"&amp;
IFERROR(
SUBSTITUTE(ADDRESS(1,
IFERROR(COLUMN(INDEX(INDIRECT("数出表_Excel!B"&amp;$I5&amp;":T"&amp;$I5&amp;""),1,MATCH(TEXT(E5,0),INDIRECT("数出表_Excel!B"&amp;$I5&amp;":T"&amp;$I5&amp;""),0))),""),4),"1",""),
"")
&amp;"3"),"*キャラ*"),
COUNTIF(INDIRECT("数出表_Excel!"&amp;
IFERROR(
SUBSTITUTE(ADDRESS(1,
IFERROR(COLUMN(INDEX(INDIRECT("数出表_Excel!B"&amp;$I5&amp;":T"&amp;$I5&amp;""),1,MATCH(TEXT(E5,0),INDIRECT("数出表_Excel!B"&amp;$I5&amp;":T"&amp;$I5&amp;""),0))),""),4),"1",""),
"")
&amp;"3"),"*赤*")),
INDIRECT("数出表_Excel!"&amp;
IFERROR(
SUBSTITUTE(ADDRESS(1,
IFERROR(COLUMN(INDEX(INDIRECT("数出表_Excel!B"&amp;$I5&amp;":T"&amp;$I5&amp;""),1,MATCH(TEXT(E5,0),INDIRECT("数出表_Excel!B"&amp;$I5&amp;":T"&amp;$I5&amp;""),0))),""),4),"1",""),
"")
&amp;"3")
&amp;"　"&amp;INDIRECT("数出表_Excel!"&amp;
IFERROR(
SUBSTITUTE(ADDRESS(1,
IFERROR(COLUMN(INDEX(INDIRECT("数出表_Excel!B"&amp;$I5&amp;":T"&amp;$I5&amp;""),1,MATCH(TEXT(E5,0),INDIRECT("数出表_Excel!B"&amp;$I5&amp;":T"&amp;$I5&amp;""),0))),""),4),"1",""),
"")
&amp;"4")
&amp;INDIRECT("数出表_Excel!"&amp;
IFERROR(
SUBSTITUTE(ADDRESS(1,
IFERROR(COLUMN(INDEX(INDIRECT("数出表_Excel!B"&amp;$I5&amp;":T"&amp;$I5&amp;""),1,MATCH(TEXT(E5,0),INDIRECT("数出表_Excel!B"&amp;$I5&amp;":T"&amp;$I5&amp;""),0))),""),4),"1",""),
"")
&amp;"5"),
INDIRECT("数出表_Excel!"&amp;
IFERROR(
SUBSTITUTE(ADDRESS(1,
IFERROR(COLUMN(INDEX(INDIRECT("数出表_Excel!B"&amp;$I5&amp;":T"&amp;$I5&amp;""),1,MATCH(TEXT(E5,0),INDIRECT("数出表_Excel!B"&amp;$I5&amp;":T"&amp;$I5&amp;""),0))),""),4),"1",""),
"")
&amp;"3")),"")</f>
        <v/>
      </c>
      <c r="N5" t="str" cm="1">
        <f t="array" aca="1" ref="N5" ca="1">IFERROR(IF(OR(COUNTIF(INDIRECT("数出表_Excel!"&amp;
IFERROR(
SUBSTITUTE(ADDRESS(1,
IFERROR(COLUMN(INDEX(INDIRECT("数出表_Excel!B"&amp;$I5&amp;":T"&amp;$I5&amp;""),1,MATCH(TEXT(F5,0),INDIRECT("数出表_Excel!B"&amp;$I5&amp;":T"&amp;$I5&amp;""),0))),""),4),"1",""),
"")
&amp;"3"),"*キャラ*"),
COUNTIF(INDIRECT("数出表_Excel!"&amp;
IFERROR(
SUBSTITUTE(ADDRESS(1,
IFERROR(COLUMN(INDEX(INDIRECT("数出表_Excel!B"&amp;$I5&amp;":T"&amp;$I5&amp;""),1,MATCH(TEXT(F5,0),INDIRECT("数出表_Excel!B"&amp;$I5&amp;":T"&amp;$I5&amp;""),0))),""),4),"1",""),
"")
&amp;"3"),"*赤*")),
INDIRECT("数出表_Excel!"&amp;
IFERROR(
SUBSTITUTE(ADDRESS(1,
IFERROR(COLUMN(INDEX(INDIRECT("数出表_Excel!B"&amp;$I5&amp;":T"&amp;$I5&amp;""),1,MATCH(TEXT(F5,0),INDIRECT("数出表_Excel!B"&amp;$I5&amp;":T"&amp;$I5&amp;""),0))),""),4),"1",""),
"")
&amp;"3")
&amp;"　"&amp;INDIRECT("数出表_Excel!"&amp;
IFERROR(
SUBSTITUTE(ADDRESS(1,
IFERROR(COLUMN(INDEX(INDIRECT("数出表_Excel!B"&amp;$I5&amp;":T"&amp;$I5&amp;""),1,MATCH(TEXT(F5,0),INDIRECT("数出表_Excel!B"&amp;$I5&amp;":T"&amp;$I5&amp;""),0))),""),4),"1",""),
"")
&amp;"4")
&amp;INDIRECT("数出表_Excel!"&amp;
IFERROR(
SUBSTITUTE(ADDRESS(1,
IFERROR(COLUMN(INDEX(INDIRECT("数出表_Excel!B"&amp;$I5&amp;":T"&amp;$I5&amp;""),1,MATCH(TEXT(F5,0),INDIRECT("数出表_Excel!B"&amp;$I5&amp;":T"&amp;$I5&amp;""),0))),""),4),"1",""),
"")
&amp;"5"),
INDIRECT("数出表_Excel!"&amp;
IFERROR(
SUBSTITUTE(ADDRESS(1,
IFERROR(COLUMN(INDEX(INDIRECT("数出表_Excel!B"&amp;$I5&amp;":T"&amp;$I5&amp;""),1,MATCH(TEXT(F5,0),INDIRECT("数出表_Excel!B"&amp;$I5&amp;":T"&amp;$I5&amp;""),0))),""),4),"1",""),
"")
&amp;"3")),"")</f>
        <v/>
      </c>
      <c r="O5" t="str" cm="1">
        <f t="array" aca="1" ref="O5" ca="1">IFERROR(IF(OR(COUNTIF(INDIRECT("数出表_Excel!"&amp;
IFERROR(
SUBSTITUTE(ADDRESS(1,
IFERROR(COLUMN(INDEX(INDIRECT("数出表_Excel!B"&amp;$I5&amp;":T"&amp;$I5&amp;""),1,MATCH(TEXT(G5,0),INDIRECT("数出表_Excel!B"&amp;$I5&amp;":T"&amp;$I5&amp;""),0))),""),4),"1",""),
"")
&amp;"3"),"*キャラ*"),
COUNTIF(INDIRECT("数出表_Excel!"&amp;
IFERROR(
SUBSTITUTE(ADDRESS(1,
IFERROR(COLUMN(INDEX(INDIRECT("数出表_Excel!B"&amp;$I5&amp;":T"&amp;$I5&amp;""),1,MATCH(TEXT(G5,0),INDIRECT("数出表_Excel!B"&amp;$I5&amp;":T"&amp;$I5&amp;""),0))),""),4),"1",""),
"")
&amp;"3"),"*赤*")),
INDIRECT("数出表_Excel!"&amp;
IFERROR(
SUBSTITUTE(ADDRESS(1,
IFERROR(COLUMN(INDEX(INDIRECT("数出表_Excel!B"&amp;$I5&amp;":T"&amp;$I5&amp;""),1,MATCH(TEXT(G5,0),INDIRECT("数出表_Excel!B"&amp;$I5&amp;":T"&amp;$I5&amp;""),0))),""),4),"1",""),
"")
&amp;"3")
&amp;"　"&amp;INDIRECT("数出表_Excel!"&amp;
IFERROR(
SUBSTITUTE(ADDRESS(1,
IFERROR(COLUMN(INDEX(INDIRECT("数出表_Excel!B"&amp;$I5&amp;":T"&amp;$I5&amp;""),1,MATCH(TEXT(G5,0),INDIRECT("数出表_Excel!B"&amp;$I5&amp;":T"&amp;$I5&amp;""),0))),""),4),"1",""),
"")
&amp;"4")
&amp;INDIRECT("数出表_Excel!"&amp;
IFERROR(
SUBSTITUTE(ADDRESS(1,
IFERROR(COLUMN(INDEX(INDIRECT("数出表_Excel!B"&amp;$I5&amp;":T"&amp;$I5&amp;""),1,MATCH(TEXT(G5,0),INDIRECT("数出表_Excel!B"&amp;$I5&amp;":T"&amp;$I5&amp;""),0))),""),4),"1",""),
"")
&amp;"5"),
INDIRECT("数出表_Excel!"&amp;
IFERROR(
SUBSTITUTE(ADDRESS(1,
IFERROR(COLUMN(INDEX(INDIRECT("数出表_Excel!B"&amp;$I5&amp;":T"&amp;$I5&amp;""),1,MATCH(TEXT(G5,0),INDIRECT("数出表_Excel!B"&amp;$I5&amp;":T"&amp;$I5&amp;""),0))),""),4),"1",""),
"")
&amp;"3")),"")</f>
        <v/>
      </c>
    </row>
    <row r="6" spans="9:15">
      <c r="I6" t="str">
        <f>IF(A6&lt;&gt;"",MATCH(A6,数出表_Excel!A:A,0),"")</f>
        <v/>
      </c>
      <c r="J6" t="str" cm="1">
        <f t="array" aca="1" ref="J6" ca="1">IFERROR(IF(OR(COUNTIF(INDIRECT("数出表_Excel!"&amp;
IFERROR(
SUBSTITUTE(ADDRESS(1,
IFERROR(COLUMN(INDEX(INDIRECT("数出表_Excel!B"&amp;$I6-1&amp;":T"&amp;$I6-1&amp;""),1,MATCH(TEXT(B6,0),INDIRECT("数出表_Excel!B"&amp;$I6-1&amp;":T"&amp;$I6-1&amp;""),0))),""),4),"1",""),
"")
&amp;"3"),"*キャラ*"),
COUNTIF(INDIRECT("数出表_Excel!"&amp;
IFERROR(
SUBSTITUTE(ADDRESS(1,
IFERROR(COLUMN(INDEX(INDIRECT("数出表_Excel!B"&amp;$I6-1&amp;":T"&amp;$I6-1&amp;""),1,MATCH(TEXT(B6,0),INDIRECT("数出表_Excel!B"&amp;$I6-1&amp;":T"&amp;$I6-1&amp;""),0))),""),4),"1",""),
"")
&amp;"3"),"*赤*")),
INDIRECT("数出表_Excel!"&amp;
IFERROR(
SUBSTITUTE(ADDRESS(1,
IFERROR(COLUMN(INDEX(INDIRECT("数出表_Excel!B"&amp;$I6-1&amp;":T"&amp;$I6-1&amp;""),1,MATCH(TEXT(B6,0),INDIRECT("数出表_Excel!B"&amp;$I6-1&amp;":T"&amp;$I6-1&amp;""),0))),""),4),"1",""),
"")
&amp;"3")
&amp;"　"&amp;INDIRECT("数出表_Excel!"&amp;
IFERROR(
SUBSTITUTE(ADDRESS(1,
IFERROR(COLUMN(INDEX(INDIRECT("数出表_Excel!B"&amp;$I6-1&amp;":T"&amp;$I6-1&amp;""),1,MATCH(TEXT(B6,0),INDIRECT("数出表_Excel!B"&amp;$I6-1&amp;":T"&amp;$I6-1&amp;""),0))),""),4),"1",""),
"")
&amp;"4")
&amp;INDIRECT("数出表_Excel!"&amp;
IFERROR(
SUBSTITUTE(ADDRESS(1,
IFERROR(COLUMN(INDEX(INDIRECT("数出表_Excel!B"&amp;$I6-1&amp;":T"&amp;$I6-1&amp;""),1,MATCH(TEXT(B6,0),INDIRECT("数出表_Excel!B"&amp;$I6-1&amp;":T"&amp;$I6-1&amp;""),0))),""),4),"1",""),
"")
&amp;"5"),
INDIRECT("数出表_Excel!"&amp;
IFERROR(
SUBSTITUTE(ADDRESS(1,
IFERROR(COLUMN(INDEX(INDIRECT("数出表_Excel!B"&amp;$I6-1&amp;":T"&amp;$I6-1&amp;""),1,MATCH(TEXT(B6,0),INDIRECT("数出表_Excel!B"&amp;$I6-1&amp;":T"&amp;$I6-1&amp;""),0))),""),4),"1",""),
"")
&amp;"3")),"")</f>
        <v/>
      </c>
      <c r="K6" t="str" cm="1">
        <f t="array" aca="1" ref="K6" ca="1">IFERROR(IF(OR(COUNTIF(INDIRECT("数出表_Excel!"&amp;
IFERROR(
SUBSTITUTE(ADDRESS(1,
IFERROR(COLUMN(INDEX(INDIRECT("数出表_Excel!B"&amp;$I6-1&amp;":T"&amp;$I6-1&amp;""),1,MATCH(TEXT(C6,0),INDIRECT("数出表_Excel!B"&amp;$I6-1&amp;":T"&amp;$I6-1&amp;""),0))),""),4),"1",""),
"")
&amp;"3"),"*キャラ*"),
COUNTIF(INDIRECT("数出表_Excel!"&amp;
IFERROR(
SUBSTITUTE(ADDRESS(1,
IFERROR(COLUMN(INDEX(INDIRECT("数出表_Excel!B"&amp;$I6-1&amp;":T"&amp;$I6-1&amp;""),1,MATCH(TEXT(C6,0),INDIRECT("数出表_Excel!B"&amp;$I6-1&amp;":T"&amp;$I6-1&amp;""),0))),""),4),"1",""),
"")
&amp;"3"),"*赤*")),
INDIRECT("数出表_Excel!"&amp;
IFERROR(
SUBSTITUTE(ADDRESS(1,
IFERROR(COLUMN(INDEX(INDIRECT("数出表_Excel!B"&amp;$I6-1&amp;":T"&amp;$I6-1&amp;""),1,MATCH(TEXT(C6,0),INDIRECT("数出表_Excel!B"&amp;$I6-1&amp;":T"&amp;$I6-1&amp;""),0))),""),4),"1",""),
"")
&amp;"3")
&amp;"　"&amp;INDIRECT("数出表_Excel!"&amp;
IFERROR(
SUBSTITUTE(ADDRESS(1,
IFERROR(COLUMN(INDEX(INDIRECT("数出表_Excel!B"&amp;$I6-1&amp;":T"&amp;$I6-1&amp;""),1,MATCH(TEXT(C6,0),INDIRECT("数出表_Excel!B"&amp;$I6-1&amp;":T"&amp;$I6-1&amp;""),0))),""),4),"1",""),
"")
&amp;"4")
&amp;INDIRECT("数出表_Excel!"&amp;
IFERROR(
SUBSTITUTE(ADDRESS(1,
IFERROR(COLUMN(INDEX(INDIRECT("数出表_Excel!B"&amp;$I6-1&amp;":T"&amp;$I6-1&amp;""),1,MATCH(TEXT(C6,0),INDIRECT("数出表_Excel!B"&amp;$I6-1&amp;":T"&amp;$I6-1&amp;""),0))),""),4),"1",""),
"")
&amp;"5"),
INDIRECT("数出表_Excel!"&amp;
IFERROR(
SUBSTITUTE(ADDRESS(1,
IFERROR(COLUMN(INDEX(INDIRECT("数出表_Excel!B"&amp;$I6-1&amp;":T"&amp;$I6-1&amp;""),1,MATCH(TEXT(C6,0),INDIRECT("数出表_Excel!B"&amp;$I6-1&amp;":T"&amp;$I6-1&amp;""),0))),""),4),"1",""),
"")
&amp;"3")),"")</f>
        <v/>
      </c>
      <c r="L6" t="str" cm="1">
        <f t="array" aca="1" ref="L6" ca="1">IFERROR(IF(OR(COUNTIF(INDIRECT("数出表_Excel!"&amp;
IFERROR(
SUBSTITUTE(ADDRESS(1,
IFERROR(COLUMN(INDEX(INDIRECT("数出表_Excel!B"&amp;$I6-1&amp;":T"&amp;$I6-1&amp;""),1,MATCH(TEXT(D6,0),INDIRECT("数出表_Excel!B"&amp;$I6-1&amp;":T"&amp;$I6-1&amp;""),0))),""),4),"1",""),
"")
&amp;"3"),"*キャラ*"),
COUNTIF(INDIRECT("数出表_Excel!"&amp;
IFERROR(
SUBSTITUTE(ADDRESS(1,
IFERROR(COLUMN(INDEX(INDIRECT("数出表_Excel!B"&amp;$I6-1&amp;":T"&amp;$I6-1&amp;""),1,MATCH(TEXT(D6,0),INDIRECT("数出表_Excel!B"&amp;$I6-1&amp;":T"&amp;$I6-1&amp;""),0))),""),4),"1",""),
"")
&amp;"3"),"*赤*")),
INDIRECT("数出表_Excel!"&amp;
IFERROR(
SUBSTITUTE(ADDRESS(1,
IFERROR(COLUMN(INDEX(INDIRECT("数出表_Excel!B"&amp;$I6-1&amp;":T"&amp;$I6-1&amp;""),1,MATCH(TEXT(D6,0),INDIRECT("数出表_Excel!B"&amp;$I6-1&amp;":T"&amp;$I6-1&amp;""),0))),""),4),"1",""),
"")
&amp;"3")
&amp;"　"&amp;INDIRECT("数出表_Excel!"&amp;
IFERROR(
SUBSTITUTE(ADDRESS(1,
IFERROR(COLUMN(INDEX(INDIRECT("数出表_Excel!B"&amp;$I6-1&amp;":T"&amp;$I6-1&amp;""),1,MATCH(TEXT(D6,0),INDIRECT("数出表_Excel!B"&amp;$I6-1&amp;":T"&amp;$I6-1&amp;""),0))),""),4),"1",""),
"")
&amp;"4")
&amp;INDIRECT("数出表_Excel!"&amp;
IFERROR(
SUBSTITUTE(ADDRESS(1,
IFERROR(COLUMN(INDEX(INDIRECT("数出表_Excel!B"&amp;$I6-1&amp;":T"&amp;$I6-1&amp;""),1,MATCH(TEXT(D6,0),INDIRECT("数出表_Excel!B"&amp;$I6-1&amp;":T"&amp;$I6-1&amp;""),0))),""),4),"1",""),
"")
&amp;"5"),
INDIRECT("数出表_Excel!"&amp;
IFERROR(
SUBSTITUTE(ADDRESS(1,
IFERROR(COLUMN(INDEX(INDIRECT("数出表_Excel!B"&amp;$I6-1&amp;":T"&amp;$I6-1&amp;""),1,MATCH(TEXT(D6,0),INDIRECT("数出表_Excel!B"&amp;$I6-1&amp;":T"&amp;$I6-1&amp;""),0))),""),4),"1",""),
"")
&amp;"3")),"")</f>
        <v/>
      </c>
      <c r="M6" t="str" cm="1">
        <f t="array" aca="1" ref="M6" ca="1">IFERROR(IF(OR(COUNTIF(INDIRECT("数出表_Excel!"&amp;
IFERROR(
SUBSTITUTE(ADDRESS(1,
IFERROR(COLUMN(INDEX(INDIRECT("数出表_Excel!B"&amp;$I6&amp;":T"&amp;$I6&amp;""),1,MATCH(TEXT(E6,0),INDIRECT("数出表_Excel!B"&amp;$I6&amp;":T"&amp;$I6&amp;""),0))),""),4),"1",""),
"")
&amp;"3"),"*キャラ*"),
COUNTIF(INDIRECT("数出表_Excel!"&amp;
IFERROR(
SUBSTITUTE(ADDRESS(1,
IFERROR(COLUMN(INDEX(INDIRECT("数出表_Excel!B"&amp;$I6&amp;":T"&amp;$I6&amp;""),1,MATCH(TEXT(E6,0),INDIRECT("数出表_Excel!B"&amp;$I6&amp;":T"&amp;$I6&amp;""),0))),""),4),"1",""),
"")
&amp;"3"),"*赤*")),
INDIRECT("数出表_Excel!"&amp;
IFERROR(
SUBSTITUTE(ADDRESS(1,
IFERROR(COLUMN(INDEX(INDIRECT("数出表_Excel!B"&amp;$I6&amp;":T"&amp;$I6&amp;""),1,MATCH(TEXT(E6,0),INDIRECT("数出表_Excel!B"&amp;$I6&amp;":T"&amp;$I6&amp;""),0))),""),4),"1",""),
"")
&amp;"3")
&amp;"　"&amp;INDIRECT("数出表_Excel!"&amp;
IFERROR(
SUBSTITUTE(ADDRESS(1,
IFERROR(COLUMN(INDEX(INDIRECT("数出表_Excel!B"&amp;$I6&amp;":T"&amp;$I6&amp;""),1,MATCH(TEXT(E6,0),INDIRECT("数出表_Excel!B"&amp;$I6&amp;":T"&amp;$I6&amp;""),0))),""),4),"1",""),
"")
&amp;"4")
&amp;INDIRECT("数出表_Excel!"&amp;
IFERROR(
SUBSTITUTE(ADDRESS(1,
IFERROR(COLUMN(INDEX(INDIRECT("数出表_Excel!B"&amp;$I6&amp;":T"&amp;$I6&amp;""),1,MATCH(TEXT(E6,0),INDIRECT("数出表_Excel!B"&amp;$I6&amp;":T"&amp;$I6&amp;""),0))),""),4),"1",""),
"")
&amp;"5"),
INDIRECT("数出表_Excel!"&amp;
IFERROR(
SUBSTITUTE(ADDRESS(1,
IFERROR(COLUMN(INDEX(INDIRECT("数出表_Excel!B"&amp;$I6&amp;":T"&amp;$I6&amp;""),1,MATCH(TEXT(E6,0),INDIRECT("数出表_Excel!B"&amp;$I6&amp;":T"&amp;$I6&amp;""),0))),""),4),"1",""),
"")
&amp;"3")),"")</f>
        <v/>
      </c>
      <c r="N6" t="str" cm="1">
        <f t="array" aca="1" ref="N6" ca="1">IFERROR(IF(OR(COUNTIF(INDIRECT("数出表_Excel!"&amp;
IFERROR(
SUBSTITUTE(ADDRESS(1,
IFERROR(COLUMN(INDEX(INDIRECT("数出表_Excel!B"&amp;$I6&amp;":T"&amp;$I6&amp;""),1,MATCH(TEXT(F6,0),INDIRECT("数出表_Excel!B"&amp;$I6&amp;":T"&amp;$I6&amp;""),0))),""),4),"1",""),
"")
&amp;"3"),"*キャラ*"),
COUNTIF(INDIRECT("数出表_Excel!"&amp;
IFERROR(
SUBSTITUTE(ADDRESS(1,
IFERROR(COLUMN(INDEX(INDIRECT("数出表_Excel!B"&amp;$I6&amp;":T"&amp;$I6&amp;""),1,MATCH(TEXT(F6,0),INDIRECT("数出表_Excel!B"&amp;$I6&amp;":T"&amp;$I6&amp;""),0))),""),4),"1",""),
"")
&amp;"3"),"*赤*")),
INDIRECT("数出表_Excel!"&amp;
IFERROR(
SUBSTITUTE(ADDRESS(1,
IFERROR(COLUMN(INDEX(INDIRECT("数出表_Excel!B"&amp;$I6&amp;":T"&amp;$I6&amp;""),1,MATCH(TEXT(F6,0),INDIRECT("数出表_Excel!B"&amp;$I6&amp;":T"&amp;$I6&amp;""),0))),""),4),"1",""),
"")
&amp;"3")
&amp;"　"&amp;INDIRECT("数出表_Excel!"&amp;
IFERROR(
SUBSTITUTE(ADDRESS(1,
IFERROR(COLUMN(INDEX(INDIRECT("数出表_Excel!B"&amp;$I6&amp;":T"&amp;$I6&amp;""),1,MATCH(TEXT(F6,0),INDIRECT("数出表_Excel!B"&amp;$I6&amp;":T"&amp;$I6&amp;""),0))),""),4),"1",""),
"")
&amp;"4")
&amp;INDIRECT("数出表_Excel!"&amp;
IFERROR(
SUBSTITUTE(ADDRESS(1,
IFERROR(COLUMN(INDEX(INDIRECT("数出表_Excel!B"&amp;$I6&amp;":T"&amp;$I6&amp;""),1,MATCH(TEXT(F6,0),INDIRECT("数出表_Excel!B"&amp;$I6&amp;":T"&amp;$I6&amp;""),0))),""),4),"1",""),
"")
&amp;"5"),
INDIRECT("数出表_Excel!"&amp;
IFERROR(
SUBSTITUTE(ADDRESS(1,
IFERROR(COLUMN(INDEX(INDIRECT("数出表_Excel!B"&amp;$I6&amp;":T"&amp;$I6&amp;""),1,MATCH(TEXT(F6,0),INDIRECT("数出表_Excel!B"&amp;$I6&amp;":T"&amp;$I6&amp;""),0))),""),4),"1",""),
"")
&amp;"3")),"")</f>
        <v/>
      </c>
      <c r="O6" t="str" cm="1">
        <f t="array" aca="1" ref="O6" ca="1">IFERROR(IF(OR(COUNTIF(INDIRECT("数出表_Excel!"&amp;
IFERROR(
SUBSTITUTE(ADDRESS(1,
IFERROR(COLUMN(INDEX(INDIRECT("数出表_Excel!B"&amp;$I6&amp;":T"&amp;$I6&amp;""),1,MATCH(TEXT(G6,0),INDIRECT("数出表_Excel!B"&amp;$I6&amp;":T"&amp;$I6&amp;""),0))),""),4),"1",""),
"")
&amp;"3"),"*キャラ*"),
COUNTIF(INDIRECT("数出表_Excel!"&amp;
IFERROR(
SUBSTITUTE(ADDRESS(1,
IFERROR(COLUMN(INDEX(INDIRECT("数出表_Excel!B"&amp;$I6&amp;":T"&amp;$I6&amp;""),1,MATCH(TEXT(G6,0),INDIRECT("数出表_Excel!B"&amp;$I6&amp;":T"&amp;$I6&amp;""),0))),""),4),"1",""),
"")
&amp;"3"),"*赤*")),
INDIRECT("数出表_Excel!"&amp;
IFERROR(
SUBSTITUTE(ADDRESS(1,
IFERROR(COLUMN(INDEX(INDIRECT("数出表_Excel!B"&amp;$I6&amp;":T"&amp;$I6&amp;""),1,MATCH(TEXT(G6,0),INDIRECT("数出表_Excel!B"&amp;$I6&amp;":T"&amp;$I6&amp;""),0))),""),4),"1",""),
"")
&amp;"3")
&amp;"　"&amp;INDIRECT("数出表_Excel!"&amp;
IFERROR(
SUBSTITUTE(ADDRESS(1,
IFERROR(COLUMN(INDEX(INDIRECT("数出表_Excel!B"&amp;$I6&amp;":T"&amp;$I6&amp;""),1,MATCH(TEXT(G6,0),INDIRECT("数出表_Excel!B"&amp;$I6&amp;":T"&amp;$I6&amp;""),0))),""),4),"1",""),
"")
&amp;"4")
&amp;INDIRECT("数出表_Excel!"&amp;
IFERROR(
SUBSTITUTE(ADDRESS(1,
IFERROR(COLUMN(INDEX(INDIRECT("数出表_Excel!B"&amp;$I6&amp;":T"&amp;$I6&amp;""),1,MATCH(TEXT(G6,0),INDIRECT("数出表_Excel!B"&amp;$I6&amp;":T"&amp;$I6&amp;""),0))),""),4),"1",""),
"")
&amp;"5"),
INDIRECT("数出表_Excel!"&amp;
IFERROR(
SUBSTITUTE(ADDRESS(1,
IFERROR(COLUMN(INDEX(INDIRECT("数出表_Excel!B"&amp;$I6&amp;":T"&amp;$I6&amp;""),1,MATCH(TEXT(G6,0),INDIRECT("数出表_Excel!B"&amp;$I6&amp;":T"&amp;$I6&amp;""),0))),""),4),"1",""),
"")
&amp;"3")),"")</f>
        <v/>
      </c>
    </row>
    <row r="7" spans="9:15">
      <c r="I7" t="str">
        <f>IF(A7&lt;&gt;"",MATCH(A7,数出表_Excel!A:A,0),"")</f>
        <v/>
      </c>
      <c r="J7" t="str" cm="1">
        <f t="array" aca="1" ref="J7" ca="1">IFERROR(IF(OR(COUNTIF(INDIRECT("数出表_Excel!"&amp;
IFERROR(
SUBSTITUTE(ADDRESS(1,
IFERROR(COLUMN(INDEX(INDIRECT("数出表_Excel!B"&amp;$I7-1&amp;":T"&amp;$I7-1&amp;""),1,MATCH(TEXT(B7,0),INDIRECT("数出表_Excel!B"&amp;$I7-1&amp;":T"&amp;$I7-1&amp;""),0))),""),4),"1",""),
"")
&amp;"3"),"*キャラ*"),
COUNTIF(INDIRECT("数出表_Excel!"&amp;
IFERROR(
SUBSTITUTE(ADDRESS(1,
IFERROR(COLUMN(INDEX(INDIRECT("数出表_Excel!B"&amp;$I7-1&amp;":T"&amp;$I7-1&amp;""),1,MATCH(TEXT(B7,0),INDIRECT("数出表_Excel!B"&amp;$I7-1&amp;":T"&amp;$I7-1&amp;""),0))),""),4),"1",""),
"")
&amp;"3"),"*赤*")),
INDIRECT("数出表_Excel!"&amp;
IFERROR(
SUBSTITUTE(ADDRESS(1,
IFERROR(COLUMN(INDEX(INDIRECT("数出表_Excel!B"&amp;$I7-1&amp;":T"&amp;$I7-1&amp;""),1,MATCH(TEXT(B7,0),INDIRECT("数出表_Excel!B"&amp;$I7-1&amp;":T"&amp;$I7-1&amp;""),0))),""),4),"1",""),
"")
&amp;"3")
&amp;"　"&amp;INDIRECT("数出表_Excel!"&amp;
IFERROR(
SUBSTITUTE(ADDRESS(1,
IFERROR(COLUMN(INDEX(INDIRECT("数出表_Excel!B"&amp;$I7-1&amp;":T"&amp;$I7-1&amp;""),1,MATCH(TEXT(B7,0),INDIRECT("数出表_Excel!B"&amp;$I7-1&amp;":T"&amp;$I7-1&amp;""),0))),""),4),"1",""),
"")
&amp;"4")
&amp;INDIRECT("数出表_Excel!"&amp;
IFERROR(
SUBSTITUTE(ADDRESS(1,
IFERROR(COLUMN(INDEX(INDIRECT("数出表_Excel!B"&amp;$I7-1&amp;":T"&amp;$I7-1&amp;""),1,MATCH(TEXT(B7,0),INDIRECT("数出表_Excel!B"&amp;$I7-1&amp;":T"&amp;$I7-1&amp;""),0))),""),4),"1",""),
"")
&amp;"5"),
INDIRECT("数出表_Excel!"&amp;
IFERROR(
SUBSTITUTE(ADDRESS(1,
IFERROR(COLUMN(INDEX(INDIRECT("数出表_Excel!B"&amp;$I7-1&amp;":T"&amp;$I7-1&amp;""),1,MATCH(TEXT(B7,0),INDIRECT("数出表_Excel!B"&amp;$I7-1&amp;":T"&amp;$I7-1&amp;""),0))),""),4),"1",""),
"")
&amp;"3")),"")</f>
        <v/>
      </c>
      <c r="K7" t="str" cm="1">
        <f t="array" aca="1" ref="K7" ca="1">IFERROR(IF(OR(COUNTIF(INDIRECT("数出表_Excel!"&amp;
IFERROR(
SUBSTITUTE(ADDRESS(1,
IFERROR(COLUMN(INDEX(INDIRECT("数出表_Excel!B"&amp;$I7-1&amp;":T"&amp;$I7-1&amp;""),1,MATCH(TEXT(C7,0),INDIRECT("数出表_Excel!B"&amp;$I7-1&amp;":T"&amp;$I7-1&amp;""),0))),""),4),"1",""),
"")
&amp;"3"),"*キャラ*"),
COUNTIF(INDIRECT("数出表_Excel!"&amp;
IFERROR(
SUBSTITUTE(ADDRESS(1,
IFERROR(COLUMN(INDEX(INDIRECT("数出表_Excel!B"&amp;$I7-1&amp;":T"&amp;$I7-1&amp;""),1,MATCH(TEXT(C7,0),INDIRECT("数出表_Excel!B"&amp;$I7-1&amp;":T"&amp;$I7-1&amp;""),0))),""),4),"1",""),
"")
&amp;"3"),"*赤*")),
INDIRECT("数出表_Excel!"&amp;
IFERROR(
SUBSTITUTE(ADDRESS(1,
IFERROR(COLUMN(INDEX(INDIRECT("数出表_Excel!B"&amp;$I7-1&amp;":T"&amp;$I7-1&amp;""),1,MATCH(TEXT(C7,0),INDIRECT("数出表_Excel!B"&amp;$I7-1&amp;":T"&amp;$I7-1&amp;""),0))),""),4),"1",""),
"")
&amp;"3")
&amp;"　"&amp;INDIRECT("数出表_Excel!"&amp;
IFERROR(
SUBSTITUTE(ADDRESS(1,
IFERROR(COLUMN(INDEX(INDIRECT("数出表_Excel!B"&amp;$I7-1&amp;":T"&amp;$I7-1&amp;""),1,MATCH(TEXT(C7,0),INDIRECT("数出表_Excel!B"&amp;$I7-1&amp;":T"&amp;$I7-1&amp;""),0))),""),4),"1",""),
"")
&amp;"4")
&amp;INDIRECT("数出表_Excel!"&amp;
IFERROR(
SUBSTITUTE(ADDRESS(1,
IFERROR(COLUMN(INDEX(INDIRECT("数出表_Excel!B"&amp;$I7-1&amp;":T"&amp;$I7-1&amp;""),1,MATCH(TEXT(C7,0),INDIRECT("数出表_Excel!B"&amp;$I7-1&amp;":T"&amp;$I7-1&amp;""),0))),""),4),"1",""),
"")
&amp;"5"),
INDIRECT("数出表_Excel!"&amp;
IFERROR(
SUBSTITUTE(ADDRESS(1,
IFERROR(COLUMN(INDEX(INDIRECT("数出表_Excel!B"&amp;$I7-1&amp;":T"&amp;$I7-1&amp;""),1,MATCH(TEXT(C7,0),INDIRECT("数出表_Excel!B"&amp;$I7-1&amp;":T"&amp;$I7-1&amp;""),0))),""),4),"1",""),
"")
&amp;"3")),"")</f>
        <v/>
      </c>
      <c r="L7" t="str" cm="1">
        <f t="array" aca="1" ref="L7" ca="1">IFERROR(IF(OR(COUNTIF(INDIRECT("数出表_Excel!"&amp;
IFERROR(
SUBSTITUTE(ADDRESS(1,
IFERROR(COLUMN(INDEX(INDIRECT("数出表_Excel!B"&amp;$I7-1&amp;":T"&amp;$I7-1&amp;""),1,MATCH(TEXT(D7,0),INDIRECT("数出表_Excel!B"&amp;$I7-1&amp;":T"&amp;$I7-1&amp;""),0))),""),4),"1",""),
"")
&amp;"3"),"*キャラ*"),
COUNTIF(INDIRECT("数出表_Excel!"&amp;
IFERROR(
SUBSTITUTE(ADDRESS(1,
IFERROR(COLUMN(INDEX(INDIRECT("数出表_Excel!B"&amp;$I7-1&amp;":T"&amp;$I7-1&amp;""),1,MATCH(TEXT(D7,0),INDIRECT("数出表_Excel!B"&amp;$I7-1&amp;":T"&amp;$I7-1&amp;""),0))),""),4),"1",""),
"")
&amp;"3"),"*赤*")),
INDIRECT("数出表_Excel!"&amp;
IFERROR(
SUBSTITUTE(ADDRESS(1,
IFERROR(COLUMN(INDEX(INDIRECT("数出表_Excel!B"&amp;$I7-1&amp;":T"&amp;$I7-1&amp;""),1,MATCH(TEXT(D7,0),INDIRECT("数出表_Excel!B"&amp;$I7-1&amp;":T"&amp;$I7-1&amp;""),0))),""),4),"1",""),
"")
&amp;"3")
&amp;"　"&amp;INDIRECT("数出表_Excel!"&amp;
IFERROR(
SUBSTITUTE(ADDRESS(1,
IFERROR(COLUMN(INDEX(INDIRECT("数出表_Excel!B"&amp;$I7-1&amp;":T"&amp;$I7-1&amp;""),1,MATCH(TEXT(D7,0),INDIRECT("数出表_Excel!B"&amp;$I7-1&amp;":T"&amp;$I7-1&amp;""),0))),""),4),"1",""),
"")
&amp;"4")
&amp;INDIRECT("数出表_Excel!"&amp;
IFERROR(
SUBSTITUTE(ADDRESS(1,
IFERROR(COLUMN(INDEX(INDIRECT("数出表_Excel!B"&amp;$I7-1&amp;":T"&amp;$I7-1&amp;""),1,MATCH(TEXT(D7,0),INDIRECT("数出表_Excel!B"&amp;$I7-1&amp;":T"&amp;$I7-1&amp;""),0))),""),4),"1",""),
"")
&amp;"5"),
INDIRECT("数出表_Excel!"&amp;
IFERROR(
SUBSTITUTE(ADDRESS(1,
IFERROR(COLUMN(INDEX(INDIRECT("数出表_Excel!B"&amp;$I7-1&amp;":T"&amp;$I7-1&amp;""),1,MATCH(TEXT(D7,0),INDIRECT("数出表_Excel!B"&amp;$I7-1&amp;":T"&amp;$I7-1&amp;""),0))),""),4),"1",""),
"")
&amp;"3")),"")</f>
        <v/>
      </c>
      <c r="M7" t="str" cm="1">
        <f t="array" aca="1" ref="M7" ca="1">IFERROR(IF(OR(COUNTIF(INDIRECT("数出表_Excel!"&amp;
IFERROR(
SUBSTITUTE(ADDRESS(1,
IFERROR(COLUMN(INDEX(INDIRECT("数出表_Excel!B"&amp;$I7&amp;":T"&amp;$I7&amp;""),1,MATCH(TEXT(E7,0),INDIRECT("数出表_Excel!B"&amp;$I7&amp;":T"&amp;$I7&amp;""),0))),""),4),"1",""),
"")
&amp;"3"),"*キャラ*"),
COUNTIF(INDIRECT("数出表_Excel!"&amp;
IFERROR(
SUBSTITUTE(ADDRESS(1,
IFERROR(COLUMN(INDEX(INDIRECT("数出表_Excel!B"&amp;$I7&amp;":T"&amp;$I7&amp;""),1,MATCH(TEXT(E7,0),INDIRECT("数出表_Excel!B"&amp;$I7&amp;":T"&amp;$I7&amp;""),0))),""),4),"1",""),
"")
&amp;"3"),"*赤*")),
INDIRECT("数出表_Excel!"&amp;
IFERROR(
SUBSTITUTE(ADDRESS(1,
IFERROR(COLUMN(INDEX(INDIRECT("数出表_Excel!B"&amp;$I7&amp;":T"&amp;$I7&amp;""),1,MATCH(TEXT(E7,0),INDIRECT("数出表_Excel!B"&amp;$I7&amp;":T"&amp;$I7&amp;""),0))),""),4),"1",""),
"")
&amp;"3")
&amp;"　"&amp;INDIRECT("数出表_Excel!"&amp;
IFERROR(
SUBSTITUTE(ADDRESS(1,
IFERROR(COLUMN(INDEX(INDIRECT("数出表_Excel!B"&amp;$I7&amp;":T"&amp;$I7&amp;""),1,MATCH(TEXT(E7,0),INDIRECT("数出表_Excel!B"&amp;$I7&amp;":T"&amp;$I7&amp;""),0))),""),4),"1",""),
"")
&amp;"4")
&amp;INDIRECT("数出表_Excel!"&amp;
IFERROR(
SUBSTITUTE(ADDRESS(1,
IFERROR(COLUMN(INDEX(INDIRECT("数出表_Excel!B"&amp;$I7&amp;":T"&amp;$I7&amp;""),1,MATCH(TEXT(E7,0),INDIRECT("数出表_Excel!B"&amp;$I7&amp;":T"&amp;$I7&amp;""),0))),""),4),"1",""),
"")
&amp;"5"),
INDIRECT("数出表_Excel!"&amp;
IFERROR(
SUBSTITUTE(ADDRESS(1,
IFERROR(COLUMN(INDEX(INDIRECT("数出表_Excel!B"&amp;$I7&amp;":T"&amp;$I7&amp;""),1,MATCH(TEXT(E7,0),INDIRECT("数出表_Excel!B"&amp;$I7&amp;":T"&amp;$I7&amp;""),0))),""),4),"1",""),
"")
&amp;"3")),"")</f>
        <v/>
      </c>
      <c r="N7" t="str" cm="1">
        <f t="array" aca="1" ref="N7" ca="1">IFERROR(IF(OR(COUNTIF(INDIRECT("数出表_Excel!"&amp;
IFERROR(
SUBSTITUTE(ADDRESS(1,
IFERROR(COLUMN(INDEX(INDIRECT("数出表_Excel!B"&amp;$I7&amp;":T"&amp;$I7&amp;""),1,MATCH(TEXT(F7,0),INDIRECT("数出表_Excel!B"&amp;$I7&amp;":T"&amp;$I7&amp;""),0))),""),4),"1",""),
"")
&amp;"3"),"*キャラ*"),
COUNTIF(INDIRECT("数出表_Excel!"&amp;
IFERROR(
SUBSTITUTE(ADDRESS(1,
IFERROR(COLUMN(INDEX(INDIRECT("数出表_Excel!B"&amp;$I7&amp;":T"&amp;$I7&amp;""),1,MATCH(TEXT(F7,0),INDIRECT("数出表_Excel!B"&amp;$I7&amp;":T"&amp;$I7&amp;""),0))),""),4),"1",""),
"")
&amp;"3"),"*赤*")),
INDIRECT("数出表_Excel!"&amp;
IFERROR(
SUBSTITUTE(ADDRESS(1,
IFERROR(COLUMN(INDEX(INDIRECT("数出表_Excel!B"&amp;$I7&amp;":T"&amp;$I7&amp;""),1,MATCH(TEXT(F7,0),INDIRECT("数出表_Excel!B"&amp;$I7&amp;":T"&amp;$I7&amp;""),0))),""),4),"1",""),
"")
&amp;"3")
&amp;"　"&amp;INDIRECT("数出表_Excel!"&amp;
IFERROR(
SUBSTITUTE(ADDRESS(1,
IFERROR(COLUMN(INDEX(INDIRECT("数出表_Excel!B"&amp;$I7&amp;":T"&amp;$I7&amp;""),1,MATCH(TEXT(F7,0),INDIRECT("数出表_Excel!B"&amp;$I7&amp;":T"&amp;$I7&amp;""),0))),""),4),"1",""),
"")
&amp;"4")
&amp;INDIRECT("数出表_Excel!"&amp;
IFERROR(
SUBSTITUTE(ADDRESS(1,
IFERROR(COLUMN(INDEX(INDIRECT("数出表_Excel!B"&amp;$I7&amp;":T"&amp;$I7&amp;""),1,MATCH(TEXT(F7,0),INDIRECT("数出表_Excel!B"&amp;$I7&amp;":T"&amp;$I7&amp;""),0))),""),4),"1",""),
"")
&amp;"5"),
INDIRECT("数出表_Excel!"&amp;
IFERROR(
SUBSTITUTE(ADDRESS(1,
IFERROR(COLUMN(INDEX(INDIRECT("数出表_Excel!B"&amp;$I7&amp;":T"&amp;$I7&amp;""),1,MATCH(TEXT(F7,0),INDIRECT("数出表_Excel!B"&amp;$I7&amp;":T"&amp;$I7&amp;""),0))),""),4),"1",""),
"")
&amp;"3")),"")</f>
        <v/>
      </c>
      <c r="O7" t="str" cm="1">
        <f t="array" aca="1" ref="O7" ca="1">IFERROR(IF(OR(COUNTIF(INDIRECT("数出表_Excel!"&amp;
IFERROR(
SUBSTITUTE(ADDRESS(1,
IFERROR(COLUMN(INDEX(INDIRECT("数出表_Excel!B"&amp;$I7&amp;":T"&amp;$I7&amp;""),1,MATCH(TEXT(G7,0),INDIRECT("数出表_Excel!B"&amp;$I7&amp;":T"&amp;$I7&amp;""),0))),""),4),"1",""),
"")
&amp;"3"),"*キャラ*"),
COUNTIF(INDIRECT("数出表_Excel!"&amp;
IFERROR(
SUBSTITUTE(ADDRESS(1,
IFERROR(COLUMN(INDEX(INDIRECT("数出表_Excel!B"&amp;$I7&amp;":T"&amp;$I7&amp;""),1,MATCH(TEXT(G7,0),INDIRECT("数出表_Excel!B"&amp;$I7&amp;":T"&amp;$I7&amp;""),0))),""),4),"1",""),
"")
&amp;"3"),"*赤*")),
INDIRECT("数出表_Excel!"&amp;
IFERROR(
SUBSTITUTE(ADDRESS(1,
IFERROR(COLUMN(INDEX(INDIRECT("数出表_Excel!B"&amp;$I7&amp;":T"&amp;$I7&amp;""),1,MATCH(TEXT(G7,0),INDIRECT("数出表_Excel!B"&amp;$I7&amp;":T"&amp;$I7&amp;""),0))),""),4),"1",""),
"")
&amp;"3")
&amp;"　"&amp;INDIRECT("数出表_Excel!"&amp;
IFERROR(
SUBSTITUTE(ADDRESS(1,
IFERROR(COLUMN(INDEX(INDIRECT("数出表_Excel!B"&amp;$I7&amp;":T"&amp;$I7&amp;""),1,MATCH(TEXT(G7,0),INDIRECT("数出表_Excel!B"&amp;$I7&amp;":T"&amp;$I7&amp;""),0))),""),4),"1",""),
"")
&amp;"4")
&amp;INDIRECT("数出表_Excel!"&amp;
IFERROR(
SUBSTITUTE(ADDRESS(1,
IFERROR(COLUMN(INDEX(INDIRECT("数出表_Excel!B"&amp;$I7&amp;":T"&amp;$I7&amp;""),1,MATCH(TEXT(G7,0),INDIRECT("数出表_Excel!B"&amp;$I7&amp;":T"&amp;$I7&amp;""),0))),""),4),"1",""),
"")
&amp;"5"),
INDIRECT("数出表_Excel!"&amp;
IFERROR(
SUBSTITUTE(ADDRESS(1,
IFERROR(COLUMN(INDEX(INDIRECT("数出表_Excel!B"&amp;$I7&amp;":T"&amp;$I7&amp;""),1,MATCH(TEXT(G7,0),INDIRECT("数出表_Excel!B"&amp;$I7&amp;":T"&amp;$I7&amp;""),0))),""),4),"1",""),
"")
&amp;"3")),"")</f>
        <v/>
      </c>
    </row>
    <row r="8" spans="9:15">
      <c r="I8" t="str">
        <f>IF(A8&lt;&gt;"",MATCH(A8,数出表_Excel!A:A,0),"")</f>
        <v/>
      </c>
      <c r="J8" t="str" cm="1">
        <f t="array" aca="1" ref="J8" ca="1">IFERROR(IF(OR(COUNTIF(INDIRECT("数出表_Excel!"&amp;
IFERROR(
SUBSTITUTE(ADDRESS(1,
IFERROR(COLUMN(INDEX(INDIRECT("数出表_Excel!B"&amp;$I8-1&amp;":T"&amp;$I8-1&amp;""),1,MATCH(TEXT(B8,0),INDIRECT("数出表_Excel!B"&amp;$I8-1&amp;":T"&amp;$I8-1&amp;""),0))),""),4),"1",""),
"")
&amp;"3"),"*キャラ*"),
COUNTIF(INDIRECT("数出表_Excel!"&amp;
IFERROR(
SUBSTITUTE(ADDRESS(1,
IFERROR(COLUMN(INDEX(INDIRECT("数出表_Excel!B"&amp;$I8-1&amp;":T"&amp;$I8-1&amp;""),1,MATCH(TEXT(B8,0),INDIRECT("数出表_Excel!B"&amp;$I8-1&amp;":T"&amp;$I8-1&amp;""),0))),""),4),"1",""),
"")
&amp;"3"),"*赤*")),
INDIRECT("数出表_Excel!"&amp;
IFERROR(
SUBSTITUTE(ADDRESS(1,
IFERROR(COLUMN(INDEX(INDIRECT("数出表_Excel!B"&amp;$I8-1&amp;":T"&amp;$I8-1&amp;""),1,MATCH(TEXT(B8,0),INDIRECT("数出表_Excel!B"&amp;$I8-1&amp;":T"&amp;$I8-1&amp;""),0))),""),4),"1",""),
"")
&amp;"3")
&amp;"　"&amp;INDIRECT("数出表_Excel!"&amp;
IFERROR(
SUBSTITUTE(ADDRESS(1,
IFERROR(COLUMN(INDEX(INDIRECT("数出表_Excel!B"&amp;$I8-1&amp;":T"&amp;$I8-1&amp;""),1,MATCH(TEXT(B8,0),INDIRECT("数出表_Excel!B"&amp;$I8-1&amp;":T"&amp;$I8-1&amp;""),0))),""),4),"1",""),
"")
&amp;"4")
&amp;INDIRECT("数出表_Excel!"&amp;
IFERROR(
SUBSTITUTE(ADDRESS(1,
IFERROR(COLUMN(INDEX(INDIRECT("数出表_Excel!B"&amp;$I8-1&amp;":T"&amp;$I8-1&amp;""),1,MATCH(TEXT(B8,0),INDIRECT("数出表_Excel!B"&amp;$I8-1&amp;":T"&amp;$I8-1&amp;""),0))),""),4),"1",""),
"")
&amp;"5"),
INDIRECT("数出表_Excel!"&amp;
IFERROR(
SUBSTITUTE(ADDRESS(1,
IFERROR(COLUMN(INDEX(INDIRECT("数出表_Excel!B"&amp;$I8-1&amp;":T"&amp;$I8-1&amp;""),1,MATCH(TEXT(B8,0),INDIRECT("数出表_Excel!B"&amp;$I8-1&amp;":T"&amp;$I8-1&amp;""),0))),""),4),"1",""),
"")
&amp;"3")),"")</f>
        <v/>
      </c>
      <c r="K8" t="str" cm="1">
        <f t="array" aca="1" ref="K8" ca="1">IFERROR(IF(OR(COUNTIF(INDIRECT("数出表_Excel!"&amp;
IFERROR(
SUBSTITUTE(ADDRESS(1,
IFERROR(COLUMN(INDEX(INDIRECT("数出表_Excel!B"&amp;$I8-1&amp;":T"&amp;$I8-1&amp;""),1,MATCH(TEXT(C8,0),INDIRECT("数出表_Excel!B"&amp;$I8-1&amp;":T"&amp;$I8-1&amp;""),0))),""),4),"1",""),
"")
&amp;"3"),"*キャラ*"),
COUNTIF(INDIRECT("数出表_Excel!"&amp;
IFERROR(
SUBSTITUTE(ADDRESS(1,
IFERROR(COLUMN(INDEX(INDIRECT("数出表_Excel!B"&amp;$I8-1&amp;":T"&amp;$I8-1&amp;""),1,MATCH(TEXT(C8,0),INDIRECT("数出表_Excel!B"&amp;$I8-1&amp;":T"&amp;$I8-1&amp;""),0))),""),4),"1",""),
"")
&amp;"3"),"*赤*")),
INDIRECT("数出表_Excel!"&amp;
IFERROR(
SUBSTITUTE(ADDRESS(1,
IFERROR(COLUMN(INDEX(INDIRECT("数出表_Excel!B"&amp;$I8-1&amp;":T"&amp;$I8-1&amp;""),1,MATCH(TEXT(C8,0),INDIRECT("数出表_Excel!B"&amp;$I8-1&amp;":T"&amp;$I8-1&amp;""),0))),""),4),"1",""),
"")
&amp;"3")
&amp;"　"&amp;INDIRECT("数出表_Excel!"&amp;
IFERROR(
SUBSTITUTE(ADDRESS(1,
IFERROR(COLUMN(INDEX(INDIRECT("数出表_Excel!B"&amp;$I8-1&amp;":T"&amp;$I8-1&amp;""),1,MATCH(TEXT(C8,0),INDIRECT("数出表_Excel!B"&amp;$I8-1&amp;":T"&amp;$I8-1&amp;""),0))),""),4),"1",""),
"")
&amp;"4")
&amp;INDIRECT("数出表_Excel!"&amp;
IFERROR(
SUBSTITUTE(ADDRESS(1,
IFERROR(COLUMN(INDEX(INDIRECT("数出表_Excel!B"&amp;$I8-1&amp;":T"&amp;$I8-1&amp;""),1,MATCH(TEXT(C8,0),INDIRECT("数出表_Excel!B"&amp;$I8-1&amp;":T"&amp;$I8-1&amp;""),0))),""),4),"1",""),
"")
&amp;"5"),
INDIRECT("数出表_Excel!"&amp;
IFERROR(
SUBSTITUTE(ADDRESS(1,
IFERROR(COLUMN(INDEX(INDIRECT("数出表_Excel!B"&amp;$I8-1&amp;":T"&amp;$I8-1&amp;""),1,MATCH(TEXT(C8,0),INDIRECT("数出表_Excel!B"&amp;$I8-1&amp;":T"&amp;$I8-1&amp;""),0))),""),4),"1",""),
"")
&amp;"3")),"")</f>
        <v/>
      </c>
      <c r="L8" t="str" cm="1">
        <f t="array" aca="1" ref="L8" ca="1">IFERROR(IF(OR(COUNTIF(INDIRECT("数出表_Excel!"&amp;
IFERROR(
SUBSTITUTE(ADDRESS(1,
IFERROR(COLUMN(INDEX(INDIRECT("数出表_Excel!B"&amp;$I8-1&amp;":T"&amp;$I8-1&amp;""),1,MATCH(TEXT(D8,0),INDIRECT("数出表_Excel!B"&amp;$I8-1&amp;":T"&amp;$I8-1&amp;""),0))),""),4),"1",""),
"")
&amp;"3"),"*キャラ*"),
COUNTIF(INDIRECT("数出表_Excel!"&amp;
IFERROR(
SUBSTITUTE(ADDRESS(1,
IFERROR(COLUMN(INDEX(INDIRECT("数出表_Excel!B"&amp;$I8-1&amp;":T"&amp;$I8-1&amp;""),1,MATCH(TEXT(D8,0),INDIRECT("数出表_Excel!B"&amp;$I8-1&amp;":T"&amp;$I8-1&amp;""),0))),""),4),"1",""),
"")
&amp;"3"),"*赤*")),
INDIRECT("数出表_Excel!"&amp;
IFERROR(
SUBSTITUTE(ADDRESS(1,
IFERROR(COLUMN(INDEX(INDIRECT("数出表_Excel!B"&amp;$I8-1&amp;":T"&amp;$I8-1&amp;""),1,MATCH(TEXT(D8,0),INDIRECT("数出表_Excel!B"&amp;$I8-1&amp;":T"&amp;$I8-1&amp;""),0))),""),4),"1",""),
"")
&amp;"3")
&amp;"　"&amp;INDIRECT("数出表_Excel!"&amp;
IFERROR(
SUBSTITUTE(ADDRESS(1,
IFERROR(COLUMN(INDEX(INDIRECT("数出表_Excel!B"&amp;$I8-1&amp;":T"&amp;$I8-1&amp;""),1,MATCH(TEXT(D8,0),INDIRECT("数出表_Excel!B"&amp;$I8-1&amp;":T"&amp;$I8-1&amp;""),0))),""),4),"1",""),
"")
&amp;"4")
&amp;INDIRECT("数出表_Excel!"&amp;
IFERROR(
SUBSTITUTE(ADDRESS(1,
IFERROR(COLUMN(INDEX(INDIRECT("数出表_Excel!B"&amp;$I8-1&amp;":T"&amp;$I8-1&amp;""),1,MATCH(TEXT(D8,0),INDIRECT("数出表_Excel!B"&amp;$I8-1&amp;":T"&amp;$I8-1&amp;""),0))),""),4),"1",""),
"")
&amp;"5"),
INDIRECT("数出表_Excel!"&amp;
IFERROR(
SUBSTITUTE(ADDRESS(1,
IFERROR(COLUMN(INDEX(INDIRECT("数出表_Excel!B"&amp;$I8-1&amp;":T"&amp;$I8-1&amp;""),1,MATCH(TEXT(D8,0),INDIRECT("数出表_Excel!B"&amp;$I8-1&amp;":T"&amp;$I8-1&amp;""),0))),""),4),"1",""),
"")
&amp;"3")),"")</f>
        <v/>
      </c>
      <c r="M8" t="str" cm="1">
        <f t="array" aca="1" ref="M8" ca="1">IFERROR(IF(OR(COUNTIF(INDIRECT("数出表_Excel!"&amp;
IFERROR(
SUBSTITUTE(ADDRESS(1,
IFERROR(COLUMN(INDEX(INDIRECT("数出表_Excel!B"&amp;$I8&amp;":T"&amp;$I8&amp;""),1,MATCH(TEXT(E8,0),INDIRECT("数出表_Excel!B"&amp;$I8&amp;":T"&amp;$I8&amp;""),0))),""),4),"1",""),
"")
&amp;"3"),"*キャラ*"),
COUNTIF(INDIRECT("数出表_Excel!"&amp;
IFERROR(
SUBSTITUTE(ADDRESS(1,
IFERROR(COLUMN(INDEX(INDIRECT("数出表_Excel!B"&amp;$I8&amp;":T"&amp;$I8&amp;""),1,MATCH(TEXT(E8,0),INDIRECT("数出表_Excel!B"&amp;$I8&amp;":T"&amp;$I8&amp;""),0))),""),4),"1",""),
"")
&amp;"3"),"*赤*")),
INDIRECT("数出表_Excel!"&amp;
IFERROR(
SUBSTITUTE(ADDRESS(1,
IFERROR(COLUMN(INDEX(INDIRECT("数出表_Excel!B"&amp;$I8&amp;":T"&amp;$I8&amp;""),1,MATCH(TEXT(E8,0),INDIRECT("数出表_Excel!B"&amp;$I8&amp;":T"&amp;$I8&amp;""),0))),""),4),"1",""),
"")
&amp;"3")
&amp;"　"&amp;INDIRECT("数出表_Excel!"&amp;
IFERROR(
SUBSTITUTE(ADDRESS(1,
IFERROR(COLUMN(INDEX(INDIRECT("数出表_Excel!B"&amp;$I8&amp;":T"&amp;$I8&amp;""),1,MATCH(TEXT(E8,0),INDIRECT("数出表_Excel!B"&amp;$I8&amp;":T"&amp;$I8&amp;""),0))),""),4),"1",""),
"")
&amp;"4")
&amp;INDIRECT("数出表_Excel!"&amp;
IFERROR(
SUBSTITUTE(ADDRESS(1,
IFERROR(COLUMN(INDEX(INDIRECT("数出表_Excel!B"&amp;$I8&amp;":T"&amp;$I8&amp;""),1,MATCH(TEXT(E8,0),INDIRECT("数出表_Excel!B"&amp;$I8&amp;":T"&amp;$I8&amp;""),0))),""),4),"1",""),
"")
&amp;"5"),
INDIRECT("数出表_Excel!"&amp;
IFERROR(
SUBSTITUTE(ADDRESS(1,
IFERROR(COLUMN(INDEX(INDIRECT("数出表_Excel!B"&amp;$I8&amp;":T"&amp;$I8&amp;""),1,MATCH(TEXT(E8,0),INDIRECT("数出表_Excel!B"&amp;$I8&amp;":T"&amp;$I8&amp;""),0))),""),4),"1",""),
"")
&amp;"3")),"")</f>
        <v/>
      </c>
      <c r="N8" t="str" cm="1">
        <f t="array" aca="1" ref="N8" ca="1">IFERROR(IF(OR(COUNTIF(INDIRECT("数出表_Excel!"&amp;
IFERROR(
SUBSTITUTE(ADDRESS(1,
IFERROR(COLUMN(INDEX(INDIRECT("数出表_Excel!B"&amp;$I8&amp;":T"&amp;$I8&amp;""),1,MATCH(TEXT(F8,0),INDIRECT("数出表_Excel!B"&amp;$I8&amp;":T"&amp;$I8&amp;""),0))),""),4),"1",""),
"")
&amp;"3"),"*キャラ*"),
COUNTIF(INDIRECT("数出表_Excel!"&amp;
IFERROR(
SUBSTITUTE(ADDRESS(1,
IFERROR(COLUMN(INDEX(INDIRECT("数出表_Excel!B"&amp;$I8&amp;":T"&amp;$I8&amp;""),1,MATCH(TEXT(F8,0),INDIRECT("数出表_Excel!B"&amp;$I8&amp;":T"&amp;$I8&amp;""),0))),""),4),"1",""),
"")
&amp;"3"),"*赤*")),
INDIRECT("数出表_Excel!"&amp;
IFERROR(
SUBSTITUTE(ADDRESS(1,
IFERROR(COLUMN(INDEX(INDIRECT("数出表_Excel!B"&amp;$I8&amp;":T"&amp;$I8&amp;""),1,MATCH(TEXT(F8,0),INDIRECT("数出表_Excel!B"&amp;$I8&amp;":T"&amp;$I8&amp;""),0))),""),4),"1",""),
"")
&amp;"3")
&amp;"　"&amp;INDIRECT("数出表_Excel!"&amp;
IFERROR(
SUBSTITUTE(ADDRESS(1,
IFERROR(COLUMN(INDEX(INDIRECT("数出表_Excel!B"&amp;$I8&amp;":T"&amp;$I8&amp;""),1,MATCH(TEXT(F8,0),INDIRECT("数出表_Excel!B"&amp;$I8&amp;":T"&amp;$I8&amp;""),0))),""),4),"1",""),
"")
&amp;"4")
&amp;INDIRECT("数出表_Excel!"&amp;
IFERROR(
SUBSTITUTE(ADDRESS(1,
IFERROR(COLUMN(INDEX(INDIRECT("数出表_Excel!B"&amp;$I8&amp;":T"&amp;$I8&amp;""),1,MATCH(TEXT(F8,0),INDIRECT("数出表_Excel!B"&amp;$I8&amp;":T"&amp;$I8&amp;""),0))),""),4),"1",""),
"")
&amp;"5"),
INDIRECT("数出表_Excel!"&amp;
IFERROR(
SUBSTITUTE(ADDRESS(1,
IFERROR(COLUMN(INDEX(INDIRECT("数出表_Excel!B"&amp;$I8&amp;":T"&amp;$I8&amp;""),1,MATCH(TEXT(F8,0),INDIRECT("数出表_Excel!B"&amp;$I8&amp;":T"&amp;$I8&amp;""),0))),""),4),"1",""),
"")
&amp;"3")),"")</f>
        <v/>
      </c>
      <c r="O8" t="str" cm="1">
        <f t="array" aca="1" ref="O8" ca="1">IFERROR(IF(OR(COUNTIF(INDIRECT("数出表_Excel!"&amp;
IFERROR(
SUBSTITUTE(ADDRESS(1,
IFERROR(COLUMN(INDEX(INDIRECT("数出表_Excel!B"&amp;$I8&amp;":T"&amp;$I8&amp;""),1,MATCH(TEXT(G8,0),INDIRECT("数出表_Excel!B"&amp;$I8&amp;":T"&amp;$I8&amp;""),0))),""),4),"1",""),
"")
&amp;"3"),"*キャラ*"),
COUNTIF(INDIRECT("数出表_Excel!"&amp;
IFERROR(
SUBSTITUTE(ADDRESS(1,
IFERROR(COLUMN(INDEX(INDIRECT("数出表_Excel!B"&amp;$I8&amp;":T"&amp;$I8&amp;""),1,MATCH(TEXT(G8,0),INDIRECT("数出表_Excel!B"&amp;$I8&amp;":T"&amp;$I8&amp;""),0))),""),4),"1",""),
"")
&amp;"3"),"*赤*")),
INDIRECT("数出表_Excel!"&amp;
IFERROR(
SUBSTITUTE(ADDRESS(1,
IFERROR(COLUMN(INDEX(INDIRECT("数出表_Excel!B"&amp;$I8&amp;":T"&amp;$I8&amp;""),1,MATCH(TEXT(G8,0),INDIRECT("数出表_Excel!B"&amp;$I8&amp;":T"&amp;$I8&amp;""),0))),""),4),"1",""),
"")
&amp;"3")
&amp;"　"&amp;INDIRECT("数出表_Excel!"&amp;
IFERROR(
SUBSTITUTE(ADDRESS(1,
IFERROR(COLUMN(INDEX(INDIRECT("数出表_Excel!B"&amp;$I8&amp;":T"&amp;$I8&amp;""),1,MATCH(TEXT(G8,0),INDIRECT("数出表_Excel!B"&amp;$I8&amp;":T"&amp;$I8&amp;""),0))),""),4),"1",""),
"")
&amp;"4")
&amp;INDIRECT("数出表_Excel!"&amp;
IFERROR(
SUBSTITUTE(ADDRESS(1,
IFERROR(COLUMN(INDEX(INDIRECT("数出表_Excel!B"&amp;$I8&amp;":T"&amp;$I8&amp;""),1,MATCH(TEXT(G8,0),INDIRECT("数出表_Excel!B"&amp;$I8&amp;":T"&amp;$I8&amp;""),0))),""),4),"1",""),
"")
&amp;"5"),
INDIRECT("数出表_Excel!"&amp;
IFERROR(
SUBSTITUTE(ADDRESS(1,
IFERROR(COLUMN(INDEX(INDIRECT("数出表_Excel!B"&amp;$I8&amp;":T"&amp;$I8&amp;""),1,MATCH(TEXT(G8,0),INDIRECT("数出表_Excel!B"&amp;$I8&amp;":T"&amp;$I8&amp;""),0))),""),4),"1",""),
"")
&amp;"3")),"")</f>
        <v/>
      </c>
    </row>
    <row r="9" spans="9:15">
      <c r="I9" t="str">
        <f>IF(A9&lt;&gt;"",MATCH(A9,数出表_Excel!A:A,0),"")</f>
        <v/>
      </c>
      <c r="J9" t="str" cm="1">
        <f t="array" aca="1" ref="J9" ca="1">IFERROR(IF(OR(COUNTIF(INDIRECT("数出表_Excel!"&amp;
IFERROR(
SUBSTITUTE(ADDRESS(1,
IFERROR(COLUMN(INDEX(INDIRECT("数出表_Excel!B"&amp;$I9-1&amp;":T"&amp;$I9-1&amp;""),1,MATCH(TEXT(B9,0),INDIRECT("数出表_Excel!B"&amp;$I9-1&amp;":T"&amp;$I9-1&amp;""),0))),""),4),"1",""),
"")
&amp;"3"),"*キャラ*"),
COUNTIF(INDIRECT("数出表_Excel!"&amp;
IFERROR(
SUBSTITUTE(ADDRESS(1,
IFERROR(COLUMN(INDEX(INDIRECT("数出表_Excel!B"&amp;$I9-1&amp;":T"&amp;$I9-1&amp;""),1,MATCH(TEXT(B9,0),INDIRECT("数出表_Excel!B"&amp;$I9-1&amp;":T"&amp;$I9-1&amp;""),0))),""),4),"1",""),
"")
&amp;"3"),"*赤*")),
INDIRECT("数出表_Excel!"&amp;
IFERROR(
SUBSTITUTE(ADDRESS(1,
IFERROR(COLUMN(INDEX(INDIRECT("数出表_Excel!B"&amp;$I9-1&amp;":T"&amp;$I9-1&amp;""),1,MATCH(TEXT(B9,0),INDIRECT("数出表_Excel!B"&amp;$I9-1&amp;":T"&amp;$I9-1&amp;""),0))),""),4),"1",""),
"")
&amp;"3")
&amp;"　"&amp;INDIRECT("数出表_Excel!"&amp;
IFERROR(
SUBSTITUTE(ADDRESS(1,
IFERROR(COLUMN(INDEX(INDIRECT("数出表_Excel!B"&amp;$I9-1&amp;":T"&amp;$I9-1&amp;""),1,MATCH(TEXT(B9,0),INDIRECT("数出表_Excel!B"&amp;$I9-1&amp;":T"&amp;$I9-1&amp;""),0))),""),4),"1",""),
"")
&amp;"4")
&amp;INDIRECT("数出表_Excel!"&amp;
IFERROR(
SUBSTITUTE(ADDRESS(1,
IFERROR(COLUMN(INDEX(INDIRECT("数出表_Excel!B"&amp;$I9-1&amp;":T"&amp;$I9-1&amp;""),1,MATCH(TEXT(B9,0),INDIRECT("数出表_Excel!B"&amp;$I9-1&amp;":T"&amp;$I9-1&amp;""),0))),""),4),"1",""),
"")
&amp;"5"),
INDIRECT("数出表_Excel!"&amp;
IFERROR(
SUBSTITUTE(ADDRESS(1,
IFERROR(COLUMN(INDEX(INDIRECT("数出表_Excel!B"&amp;$I9-1&amp;":T"&amp;$I9-1&amp;""),1,MATCH(TEXT(B9,0),INDIRECT("数出表_Excel!B"&amp;$I9-1&amp;":T"&amp;$I9-1&amp;""),0))),""),4),"1",""),
"")
&amp;"3")),"")</f>
        <v/>
      </c>
      <c r="K9" t="str" cm="1">
        <f t="array" aca="1" ref="K9" ca="1">IFERROR(IF(OR(COUNTIF(INDIRECT("数出表_Excel!"&amp;
IFERROR(
SUBSTITUTE(ADDRESS(1,
IFERROR(COLUMN(INDEX(INDIRECT("数出表_Excel!B"&amp;$I9-1&amp;":T"&amp;$I9-1&amp;""),1,MATCH(TEXT(C9,0),INDIRECT("数出表_Excel!B"&amp;$I9-1&amp;":T"&amp;$I9-1&amp;""),0))),""),4),"1",""),
"")
&amp;"3"),"*キャラ*"),
COUNTIF(INDIRECT("数出表_Excel!"&amp;
IFERROR(
SUBSTITUTE(ADDRESS(1,
IFERROR(COLUMN(INDEX(INDIRECT("数出表_Excel!B"&amp;$I9-1&amp;":T"&amp;$I9-1&amp;""),1,MATCH(TEXT(C9,0),INDIRECT("数出表_Excel!B"&amp;$I9-1&amp;":T"&amp;$I9-1&amp;""),0))),""),4),"1",""),
"")
&amp;"3"),"*赤*")),
INDIRECT("数出表_Excel!"&amp;
IFERROR(
SUBSTITUTE(ADDRESS(1,
IFERROR(COLUMN(INDEX(INDIRECT("数出表_Excel!B"&amp;$I9-1&amp;":T"&amp;$I9-1&amp;""),1,MATCH(TEXT(C9,0),INDIRECT("数出表_Excel!B"&amp;$I9-1&amp;":T"&amp;$I9-1&amp;""),0))),""),4),"1",""),
"")
&amp;"3")
&amp;"　"&amp;INDIRECT("数出表_Excel!"&amp;
IFERROR(
SUBSTITUTE(ADDRESS(1,
IFERROR(COLUMN(INDEX(INDIRECT("数出表_Excel!B"&amp;$I9-1&amp;":T"&amp;$I9-1&amp;""),1,MATCH(TEXT(C9,0),INDIRECT("数出表_Excel!B"&amp;$I9-1&amp;":T"&amp;$I9-1&amp;""),0))),""),4),"1",""),
"")
&amp;"4")
&amp;INDIRECT("数出表_Excel!"&amp;
IFERROR(
SUBSTITUTE(ADDRESS(1,
IFERROR(COLUMN(INDEX(INDIRECT("数出表_Excel!B"&amp;$I9-1&amp;":T"&amp;$I9-1&amp;""),1,MATCH(TEXT(C9,0),INDIRECT("数出表_Excel!B"&amp;$I9-1&amp;":T"&amp;$I9-1&amp;""),0))),""),4),"1",""),
"")
&amp;"5"),
INDIRECT("数出表_Excel!"&amp;
IFERROR(
SUBSTITUTE(ADDRESS(1,
IFERROR(COLUMN(INDEX(INDIRECT("数出表_Excel!B"&amp;$I9-1&amp;":T"&amp;$I9-1&amp;""),1,MATCH(TEXT(C9,0),INDIRECT("数出表_Excel!B"&amp;$I9-1&amp;":T"&amp;$I9-1&amp;""),0))),""),4),"1",""),
"")
&amp;"3")),"")</f>
        <v/>
      </c>
      <c r="L9" t="str" cm="1">
        <f t="array" aca="1" ref="L9" ca="1">IFERROR(IF(OR(COUNTIF(INDIRECT("数出表_Excel!"&amp;
IFERROR(
SUBSTITUTE(ADDRESS(1,
IFERROR(COLUMN(INDEX(INDIRECT("数出表_Excel!B"&amp;$I9-1&amp;":T"&amp;$I9-1&amp;""),1,MATCH(TEXT(D9,0),INDIRECT("数出表_Excel!B"&amp;$I9-1&amp;":T"&amp;$I9-1&amp;""),0))),""),4),"1",""),
"")
&amp;"3"),"*キャラ*"),
COUNTIF(INDIRECT("数出表_Excel!"&amp;
IFERROR(
SUBSTITUTE(ADDRESS(1,
IFERROR(COLUMN(INDEX(INDIRECT("数出表_Excel!B"&amp;$I9-1&amp;":T"&amp;$I9-1&amp;""),1,MATCH(TEXT(D9,0),INDIRECT("数出表_Excel!B"&amp;$I9-1&amp;":T"&amp;$I9-1&amp;""),0))),""),4),"1",""),
"")
&amp;"3"),"*赤*")),
INDIRECT("数出表_Excel!"&amp;
IFERROR(
SUBSTITUTE(ADDRESS(1,
IFERROR(COLUMN(INDEX(INDIRECT("数出表_Excel!B"&amp;$I9-1&amp;":T"&amp;$I9-1&amp;""),1,MATCH(TEXT(D9,0),INDIRECT("数出表_Excel!B"&amp;$I9-1&amp;":T"&amp;$I9-1&amp;""),0))),""),4),"1",""),
"")
&amp;"3")
&amp;"　"&amp;INDIRECT("数出表_Excel!"&amp;
IFERROR(
SUBSTITUTE(ADDRESS(1,
IFERROR(COLUMN(INDEX(INDIRECT("数出表_Excel!B"&amp;$I9-1&amp;":T"&amp;$I9-1&amp;""),1,MATCH(TEXT(D9,0),INDIRECT("数出表_Excel!B"&amp;$I9-1&amp;":T"&amp;$I9-1&amp;""),0))),""),4),"1",""),
"")
&amp;"4")
&amp;INDIRECT("数出表_Excel!"&amp;
IFERROR(
SUBSTITUTE(ADDRESS(1,
IFERROR(COLUMN(INDEX(INDIRECT("数出表_Excel!B"&amp;$I9-1&amp;":T"&amp;$I9-1&amp;""),1,MATCH(TEXT(D9,0),INDIRECT("数出表_Excel!B"&amp;$I9-1&amp;":T"&amp;$I9-1&amp;""),0))),""),4),"1",""),
"")
&amp;"5"),
INDIRECT("数出表_Excel!"&amp;
IFERROR(
SUBSTITUTE(ADDRESS(1,
IFERROR(COLUMN(INDEX(INDIRECT("数出表_Excel!B"&amp;$I9-1&amp;":T"&amp;$I9-1&amp;""),1,MATCH(TEXT(D9,0),INDIRECT("数出表_Excel!B"&amp;$I9-1&amp;":T"&amp;$I9-1&amp;""),0))),""),4),"1",""),
"")
&amp;"3")),"")</f>
        <v/>
      </c>
      <c r="M9" t="str" cm="1">
        <f t="array" aca="1" ref="M9" ca="1">IFERROR(IF(OR(COUNTIF(INDIRECT("数出表_Excel!"&amp;
IFERROR(
SUBSTITUTE(ADDRESS(1,
IFERROR(COLUMN(INDEX(INDIRECT("数出表_Excel!B"&amp;$I9&amp;":T"&amp;$I9&amp;""),1,MATCH(TEXT(E9,0),INDIRECT("数出表_Excel!B"&amp;$I9&amp;":T"&amp;$I9&amp;""),0))),""),4),"1",""),
"")
&amp;"3"),"*キャラ*"),
COUNTIF(INDIRECT("数出表_Excel!"&amp;
IFERROR(
SUBSTITUTE(ADDRESS(1,
IFERROR(COLUMN(INDEX(INDIRECT("数出表_Excel!B"&amp;$I9&amp;":T"&amp;$I9&amp;""),1,MATCH(TEXT(E9,0),INDIRECT("数出表_Excel!B"&amp;$I9&amp;":T"&amp;$I9&amp;""),0))),""),4),"1",""),
"")
&amp;"3"),"*赤*")),
INDIRECT("数出表_Excel!"&amp;
IFERROR(
SUBSTITUTE(ADDRESS(1,
IFERROR(COLUMN(INDEX(INDIRECT("数出表_Excel!B"&amp;$I9&amp;":T"&amp;$I9&amp;""),1,MATCH(TEXT(E9,0),INDIRECT("数出表_Excel!B"&amp;$I9&amp;":T"&amp;$I9&amp;""),0))),""),4),"1",""),
"")
&amp;"3")
&amp;"　"&amp;INDIRECT("数出表_Excel!"&amp;
IFERROR(
SUBSTITUTE(ADDRESS(1,
IFERROR(COLUMN(INDEX(INDIRECT("数出表_Excel!B"&amp;$I9&amp;":T"&amp;$I9&amp;""),1,MATCH(TEXT(E9,0),INDIRECT("数出表_Excel!B"&amp;$I9&amp;":T"&amp;$I9&amp;""),0))),""),4),"1",""),
"")
&amp;"4")
&amp;INDIRECT("数出表_Excel!"&amp;
IFERROR(
SUBSTITUTE(ADDRESS(1,
IFERROR(COLUMN(INDEX(INDIRECT("数出表_Excel!B"&amp;$I9&amp;":T"&amp;$I9&amp;""),1,MATCH(TEXT(E9,0),INDIRECT("数出表_Excel!B"&amp;$I9&amp;":T"&amp;$I9&amp;""),0))),""),4),"1",""),
"")
&amp;"5"),
INDIRECT("数出表_Excel!"&amp;
IFERROR(
SUBSTITUTE(ADDRESS(1,
IFERROR(COLUMN(INDEX(INDIRECT("数出表_Excel!B"&amp;$I9&amp;":T"&amp;$I9&amp;""),1,MATCH(TEXT(E9,0),INDIRECT("数出表_Excel!B"&amp;$I9&amp;":T"&amp;$I9&amp;""),0))),""),4),"1",""),
"")
&amp;"3")),"")</f>
        <v/>
      </c>
      <c r="N9" t="str" cm="1">
        <f t="array" aca="1" ref="N9" ca="1">IFERROR(IF(OR(COUNTIF(INDIRECT("数出表_Excel!"&amp;
IFERROR(
SUBSTITUTE(ADDRESS(1,
IFERROR(COLUMN(INDEX(INDIRECT("数出表_Excel!B"&amp;$I9&amp;":T"&amp;$I9&amp;""),1,MATCH(TEXT(F9,0),INDIRECT("数出表_Excel!B"&amp;$I9&amp;":T"&amp;$I9&amp;""),0))),""),4),"1",""),
"")
&amp;"3"),"*キャラ*"),
COUNTIF(INDIRECT("数出表_Excel!"&amp;
IFERROR(
SUBSTITUTE(ADDRESS(1,
IFERROR(COLUMN(INDEX(INDIRECT("数出表_Excel!B"&amp;$I9&amp;":T"&amp;$I9&amp;""),1,MATCH(TEXT(F9,0),INDIRECT("数出表_Excel!B"&amp;$I9&amp;":T"&amp;$I9&amp;""),0))),""),4),"1",""),
"")
&amp;"3"),"*赤*")),
INDIRECT("数出表_Excel!"&amp;
IFERROR(
SUBSTITUTE(ADDRESS(1,
IFERROR(COLUMN(INDEX(INDIRECT("数出表_Excel!B"&amp;$I9&amp;":T"&amp;$I9&amp;""),1,MATCH(TEXT(F9,0),INDIRECT("数出表_Excel!B"&amp;$I9&amp;":T"&amp;$I9&amp;""),0))),""),4),"1",""),
"")
&amp;"3")
&amp;"　"&amp;INDIRECT("数出表_Excel!"&amp;
IFERROR(
SUBSTITUTE(ADDRESS(1,
IFERROR(COLUMN(INDEX(INDIRECT("数出表_Excel!B"&amp;$I9&amp;":T"&amp;$I9&amp;""),1,MATCH(TEXT(F9,0),INDIRECT("数出表_Excel!B"&amp;$I9&amp;":T"&amp;$I9&amp;""),0))),""),4),"1",""),
"")
&amp;"4")
&amp;INDIRECT("数出表_Excel!"&amp;
IFERROR(
SUBSTITUTE(ADDRESS(1,
IFERROR(COLUMN(INDEX(INDIRECT("数出表_Excel!B"&amp;$I9&amp;":T"&amp;$I9&amp;""),1,MATCH(TEXT(F9,0),INDIRECT("数出表_Excel!B"&amp;$I9&amp;":T"&amp;$I9&amp;""),0))),""),4),"1",""),
"")
&amp;"5"),
INDIRECT("数出表_Excel!"&amp;
IFERROR(
SUBSTITUTE(ADDRESS(1,
IFERROR(COLUMN(INDEX(INDIRECT("数出表_Excel!B"&amp;$I9&amp;":T"&amp;$I9&amp;""),1,MATCH(TEXT(F9,0),INDIRECT("数出表_Excel!B"&amp;$I9&amp;":T"&amp;$I9&amp;""),0))),""),4),"1",""),
"")
&amp;"3")),"")</f>
        <v/>
      </c>
      <c r="O9" t="str" cm="1">
        <f t="array" aca="1" ref="O9" ca="1">IFERROR(IF(OR(COUNTIF(INDIRECT("数出表_Excel!"&amp;
IFERROR(
SUBSTITUTE(ADDRESS(1,
IFERROR(COLUMN(INDEX(INDIRECT("数出表_Excel!B"&amp;$I9&amp;":T"&amp;$I9&amp;""),1,MATCH(TEXT(G9,0),INDIRECT("数出表_Excel!B"&amp;$I9&amp;":T"&amp;$I9&amp;""),0))),""),4),"1",""),
"")
&amp;"3"),"*キャラ*"),
COUNTIF(INDIRECT("数出表_Excel!"&amp;
IFERROR(
SUBSTITUTE(ADDRESS(1,
IFERROR(COLUMN(INDEX(INDIRECT("数出表_Excel!B"&amp;$I9&amp;":T"&amp;$I9&amp;""),1,MATCH(TEXT(G9,0),INDIRECT("数出表_Excel!B"&amp;$I9&amp;":T"&amp;$I9&amp;""),0))),""),4),"1",""),
"")
&amp;"3"),"*赤*")),
INDIRECT("数出表_Excel!"&amp;
IFERROR(
SUBSTITUTE(ADDRESS(1,
IFERROR(COLUMN(INDEX(INDIRECT("数出表_Excel!B"&amp;$I9&amp;":T"&amp;$I9&amp;""),1,MATCH(TEXT(G9,0),INDIRECT("数出表_Excel!B"&amp;$I9&amp;":T"&amp;$I9&amp;""),0))),""),4),"1",""),
"")
&amp;"3")
&amp;"　"&amp;INDIRECT("数出表_Excel!"&amp;
IFERROR(
SUBSTITUTE(ADDRESS(1,
IFERROR(COLUMN(INDEX(INDIRECT("数出表_Excel!B"&amp;$I9&amp;":T"&amp;$I9&amp;""),1,MATCH(TEXT(G9,0),INDIRECT("数出表_Excel!B"&amp;$I9&amp;":T"&amp;$I9&amp;""),0))),""),4),"1",""),
"")
&amp;"4")
&amp;INDIRECT("数出表_Excel!"&amp;
IFERROR(
SUBSTITUTE(ADDRESS(1,
IFERROR(COLUMN(INDEX(INDIRECT("数出表_Excel!B"&amp;$I9&amp;":T"&amp;$I9&amp;""),1,MATCH(TEXT(G9,0),INDIRECT("数出表_Excel!B"&amp;$I9&amp;":T"&amp;$I9&amp;""),0))),""),4),"1",""),
"")
&amp;"5"),
INDIRECT("数出表_Excel!"&amp;
IFERROR(
SUBSTITUTE(ADDRESS(1,
IFERROR(COLUMN(INDEX(INDIRECT("数出表_Excel!B"&amp;$I9&amp;":T"&amp;$I9&amp;""),1,MATCH(TEXT(G9,0),INDIRECT("数出表_Excel!B"&amp;$I9&amp;":T"&amp;$I9&amp;""),0))),""),4),"1",""),
"")
&amp;"3")),"")</f>
        <v/>
      </c>
    </row>
    <row r="10" spans="9:15">
      <c r="I10" t="str">
        <f>IF(A10&lt;&gt;"",MATCH(A10,数出表_Excel!A:A,0),"")</f>
        <v/>
      </c>
      <c r="J10" t="str" cm="1">
        <f t="array" aca="1" ref="J10" ca="1">IFERROR(IF(OR(COUNTIF(INDIRECT("数出表_Excel!"&amp;
IFERROR(
SUBSTITUTE(ADDRESS(1,
IFERROR(COLUMN(INDEX(INDIRECT("数出表_Excel!B"&amp;$I10-1&amp;":T"&amp;$I10-1&amp;""),1,MATCH(TEXT(B10,0),INDIRECT("数出表_Excel!B"&amp;$I10-1&amp;":T"&amp;$I10-1&amp;""),0))),""),4),"1",""),
"")
&amp;"3"),"*キャラ*"),
COUNTIF(INDIRECT("数出表_Excel!"&amp;
IFERROR(
SUBSTITUTE(ADDRESS(1,
IFERROR(COLUMN(INDEX(INDIRECT("数出表_Excel!B"&amp;$I10-1&amp;":T"&amp;$I10-1&amp;""),1,MATCH(TEXT(B10,0),INDIRECT("数出表_Excel!B"&amp;$I10-1&amp;":T"&amp;$I10-1&amp;""),0))),""),4),"1",""),
"")
&amp;"3"),"*赤*")),
INDIRECT("数出表_Excel!"&amp;
IFERROR(
SUBSTITUTE(ADDRESS(1,
IFERROR(COLUMN(INDEX(INDIRECT("数出表_Excel!B"&amp;$I10-1&amp;":T"&amp;$I10-1&amp;""),1,MATCH(TEXT(B10,0),INDIRECT("数出表_Excel!B"&amp;$I10-1&amp;":T"&amp;$I10-1&amp;""),0))),""),4),"1",""),
"")
&amp;"3")
&amp;"　"&amp;INDIRECT("数出表_Excel!"&amp;
IFERROR(
SUBSTITUTE(ADDRESS(1,
IFERROR(COLUMN(INDEX(INDIRECT("数出表_Excel!B"&amp;$I10-1&amp;":T"&amp;$I10-1&amp;""),1,MATCH(TEXT(B10,0),INDIRECT("数出表_Excel!B"&amp;$I10-1&amp;":T"&amp;$I10-1&amp;""),0))),""),4),"1",""),
"")
&amp;"4")
&amp;INDIRECT("数出表_Excel!"&amp;
IFERROR(
SUBSTITUTE(ADDRESS(1,
IFERROR(COLUMN(INDEX(INDIRECT("数出表_Excel!B"&amp;$I10-1&amp;":T"&amp;$I10-1&amp;""),1,MATCH(TEXT(B10,0),INDIRECT("数出表_Excel!B"&amp;$I10-1&amp;":T"&amp;$I10-1&amp;""),0))),""),4),"1",""),
"")
&amp;"5"),
INDIRECT("数出表_Excel!"&amp;
IFERROR(
SUBSTITUTE(ADDRESS(1,
IFERROR(COLUMN(INDEX(INDIRECT("数出表_Excel!B"&amp;$I10-1&amp;":T"&amp;$I10-1&amp;""),1,MATCH(TEXT(B10,0),INDIRECT("数出表_Excel!B"&amp;$I10-1&amp;":T"&amp;$I10-1&amp;""),0))),""),4),"1",""),
"")
&amp;"3")),"")</f>
        <v/>
      </c>
      <c r="K10" t="str" cm="1">
        <f t="array" aca="1" ref="K10" ca="1">IFERROR(IF(OR(COUNTIF(INDIRECT("数出表_Excel!"&amp;
IFERROR(
SUBSTITUTE(ADDRESS(1,
IFERROR(COLUMN(INDEX(INDIRECT("数出表_Excel!B"&amp;$I10-1&amp;":T"&amp;$I10-1&amp;""),1,MATCH(TEXT(C10,0),INDIRECT("数出表_Excel!B"&amp;$I10-1&amp;":T"&amp;$I10-1&amp;""),0))),""),4),"1",""),
"")
&amp;"3"),"*キャラ*"),
COUNTIF(INDIRECT("数出表_Excel!"&amp;
IFERROR(
SUBSTITUTE(ADDRESS(1,
IFERROR(COLUMN(INDEX(INDIRECT("数出表_Excel!B"&amp;$I10-1&amp;":T"&amp;$I10-1&amp;""),1,MATCH(TEXT(C10,0),INDIRECT("数出表_Excel!B"&amp;$I10-1&amp;":T"&amp;$I10-1&amp;""),0))),""),4),"1",""),
"")
&amp;"3"),"*赤*")),
INDIRECT("数出表_Excel!"&amp;
IFERROR(
SUBSTITUTE(ADDRESS(1,
IFERROR(COLUMN(INDEX(INDIRECT("数出表_Excel!B"&amp;$I10-1&amp;":T"&amp;$I10-1&amp;""),1,MATCH(TEXT(C10,0),INDIRECT("数出表_Excel!B"&amp;$I10-1&amp;":T"&amp;$I10-1&amp;""),0))),""),4),"1",""),
"")
&amp;"3")
&amp;"　"&amp;INDIRECT("数出表_Excel!"&amp;
IFERROR(
SUBSTITUTE(ADDRESS(1,
IFERROR(COLUMN(INDEX(INDIRECT("数出表_Excel!B"&amp;$I10-1&amp;":T"&amp;$I10-1&amp;""),1,MATCH(TEXT(C10,0),INDIRECT("数出表_Excel!B"&amp;$I10-1&amp;":T"&amp;$I10-1&amp;""),0))),""),4),"1",""),
"")
&amp;"4")
&amp;INDIRECT("数出表_Excel!"&amp;
IFERROR(
SUBSTITUTE(ADDRESS(1,
IFERROR(COLUMN(INDEX(INDIRECT("数出表_Excel!B"&amp;$I10-1&amp;":T"&amp;$I10-1&amp;""),1,MATCH(TEXT(C10,0),INDIRECT("数出表_Excel!B"&amp;$I10-1&amp;":T"&amp;$I10-1&amp;""),0))),""),4),"1",""),
"")
&amp;"5"),
INDIRECT("数出表_Excel!"&amp;
IFERROR(
SUBSTITUTE(ADDRESS(1,
IFERROR(COLUMN(INDEX(INDIRECT("数出表_Excel!B"&amp;$I10-1&amp;":T"&amp;$I10-1&amp;""),1,MATCH(TEXT(C10,0),INDIRECT("数出表_Excel!B"&amp;$I10-1&amp;":T"&amp;$I10-1&amp;""),0))),""),4),"1",""),
"")
&amp;"3")),"")</f>
        <v/>
      </c>
      <c r="L10" t="str" cm="1">
        <f t="array" aca="1" ref="L10" ca="1">IFERROR(IF(OR(COUNTIF(INDIRECT("数出表_Excel!"&amp;
IFERROR(
SUBSTITUTE(ADDRESS(1,
IFERROR(COLUMN(INDEX(INDIRECT("数出表_Excel!B"&amp;$I10-1&amp;":T"&amp;$I10-1&amp;""),1,MATCH(TEXT(D10,0),INDIRECT("数出表_Excel!B"&amp;$I10-1&amp;":T"&amp;$I10-1&amp;""),0))),""),4),"1",""),
"")
&amp;"3"),"*キャラ*"),
COUNTIF(INDIRECT("数出表_Excel!"&amp;
IFERROR(
SUBSTITUTE(ADDRESS(1,
IFERROR(COLUMN(INDEX(INDIRECT("数出表_Excel!B"&amp;$I10-1&amp;":T"&amp;$I10-1&amp;""),1,MATCH(TEXT(D10,0),INDIRECT("数出表_Excel!B"&amp;$I10-1&amp;":T"&amp;$I10-1&amp;""),0))),""),4),"1",""),
"")
&amp;"3"),"*赤*")),
INDIRECT("数出表_Excel!"&amp;
IFERROR(
SUBSTITUTE(ADDRESS(1,
IFERROR(COLUMN(INDEX(INDIRECT("数出表_Excel!B"&amp;$I10-1&amp;":T"&amp;$I10-1&amp;""),1,MATCH(TEXT(D10,0),INDIRECT("数出表_Excel!B"&amp;$I10-1&amp;":T"&amp;$I10-1&amp;""),0))),""),4),"1",""),
"")
&amp;"3")
&amp;"　"&amp;INDIRECT("数出表_Excel!"&amp;
IFERROR(
SUBSTITUTE(ADDRESS(1,
IFERROR(COLUMN(INDEX(INDIRECT("数出表_Excel!B"&amp;$I10-1&amp;":T"&amp;$I10-1&amp;""),1,MATCH(TEXT(D10,0),INDIRECT("数出表_Excel!B"&amp;$I10-1&amp;":T"&amp;$I10-1&amp;""),0))),""),4),"1",""),
"")
&amp;"4")
&amp;INDIRECT("数出表_Excel!"&amp;
IFERROR(
SUBSTITUTE(ADDRESS(1,
IFERROR(COLUMN(INDEX(INDIRECT("数出表_Excel!B"&amp;$I10-1&amp;":T"&amp;$I10-1&amp;""),1,MATCH(TEXT(D10,0),INDIRECT("数出表_Excel!B"&amp;$I10-1&amp;":T"&amp;$I10-1&amp;""),0))),""),4),"1",""),
"")
&amp;"5"),
INDIRECT("数出表_Excel!"&amp;
IFERROR(
SUBSTITUTE(ADDRESS(1,
IFERROR(COLUMN(INDEX(INDIRECT("数出表_Excel!B"&amp;$I10-1&amp;":T"&amp;$I10-1&amp;""),1,MATCH(TEXT(D10,0),INDIRECT("数出表_Excel!B"&amp;$I10-1&amp;":T"&amp;$I10-1&amp;""),0))),""),4),"1",""),
"")
&amp;"3")),"")</f>
        <v/>
      </c>
      <c r="M10" t="str" cm="1">
        <f t="array" aca="1" ref="M10" ca="1">IFERROR(IF(OR(COUNTIF(INDIRECT("数出表_Excel!"&amp;
IFERROR(
SUBSTITUTE(ADDRESS(1,
IFERROR(COLUMN(INDEX(INDIRECT("数出表_Excel!B"&amp;$I10&amp;":T"&amp;$I10&amp;""),1,MATCH(TEXT(E10,0),INDIRECT("数出表_Excel!B"&amp;$I10&amp;":T"&amp;$I10&amp;""),0))),""),4),"1",""),
"")
&amp;"3"),"*キャラ*"),
COUNTIF(INDIRECT("数出表_Excel!"&amp;
IFERROR(
SUBSTITUTE(ADDRESS(1,
IFERROR(COLUMN(INDEX(INDIRECT("数出表_Excel!B"&amp;$I10&amp;":T"&amp;$I10&amp;""),1,MATCH(TEXT(E10,0),INDIRECT("数出表_Excel!B"&amp;$I10&amp;":T"&amp;$I10&amp;""),0))),""),4),"1",""),
"")
&amp;"3"),"*赤*")),
INDIRECT("数出表_Excel!"&amp;
IFERROR(
SUBSTITUTE(ADDRESS(1,
IFERROR(COLUMN(INDEX(INDIRECT("数出表_Excel!B"&amp;$I10&amp;":T"&amp;$I10&amp;""),1,MATCH(TEXT(E10,0),INDIRECT("数出表_Excel!B"&amp;$I10&amp;":T"&amp;$I10&amp;""),0))),""),4),"1",""),
"")
&amp;"3")
&amp;"　"&amp;INDIRECT("数出表_Excel!"&amp;
IFERROR(
SUBSTITUTE(ADDRESS(1,
IFERROR(COLUMN(INDEX(INDIRECT("数出表_Excel!B"&amp;$I10&amp;":T"&amp;$I10&amp;""),1,MATCH(TEXT(E10,0),INDIRECT("数出表_Excel!B"&amp;$I10&amp;":T"&amp;$I10&amp;""),0))),""),4),"1",""),
"")
&amp;"4")
&amp;INDIRECT("数出表_Excel!"&amp;
IFERROR(
SUBSTITUTE(ADDRESS(1,
IFERROR(COLUMN(INDEX(INDIRECT("数出表_Excel!B"&amp;$I10&amp;":T"&amp;$I10&amp;""),1,MATCH(TEXT(E10,0),INDIRECT("数出表_Excel!B"&amp;$I10&amp;":T"&amp;$I10&amp;""),0))),""),4),"1",""),
"")
&amp;"5"),
INDIRECT("数出表_Excel!"&amp;
IFERROR(
SUBSTITUTE(ADDRESS(1,
IFERROR(COLUMN(INDEX(INDIRECT("数出表_Excel!B"&amp;$I10&amp;":T"&amp;$I10&amp;""),1,MATCH(TEXT(E10,0),INDIRECT("数出表_Excel!B"&amp;$I10&amp;":T"&amp;$I10&amp;""),0))),""),4),"1",""),
"")
&amp;"3")),"")</f>
        <v/>
      </c>
      <c r="N10" t="str" cm="1">
        <f t="array" aca="1" ref="N10" ca="1">IFERROR(IF(OR(COUNTIF(INDIRECT("数出表_Excel!"&amp;
IFERROR(
SUBSTITUTE(ADDRESS(1,
IFERROR(COLUMN(INDEX(INDIRECT("数出表_Excel!B"&amp;$I10&amp;":T"&amp;$I10&amp;""),1,MATCH(TEXT(F10,0),INDIRECT("数出表_Excel!B"&amp;$I10&amp;":T"&amp;$I10&amp;""),0))),""),4),"1",""),
"")
&amp;"3"),"*キャラ*"),
COUNTIF(INDIRECT("数出表_Excel!"&amp;
IFERROR(
SUBSTITUTE(ADDRESS(1,
IFERROR(COLUMN(INDEX(INDIRECT("数出表_Excel!B"&amp;$I10&amp;":T"&amp;$I10&amp;""),1,MATCH(TEXT(F10,0),INDIRECT("数出表_Excel!B"&amp;$I10&amp;":T"&amp;$I10&amp;""),0))),""),4),"1",""),
"")
&amp;"3"),"*赤*")),
INDIRECT("数出表_Excel!"&amp;
IFERROR(
SUBSTITUTE(ADDRESS(1,
IFERROR(COLUMN(INDEX(INDIRECT("数出表_Excel!B"&amp;$I10&amp;":T"&amp;$I10&amp;""),1,MATCH(TEXT(F10,0),INDIRECT("数出表_Excel!B"&amp;$I10&amp;":T"&amp;$I10&amp;""),0))),""),4),"1",""),
"")
&amp;"3")
&amp;"　"&amp;INDIRECT("数出表_Excel!"&amp;
IFERROR(
SUBSTITUTE(ADDRESS(1,
IFERROR(COLUMN(INDEX(INDIRECT("数出表_Excel!B"&amp;$I10&amp;":T"&amp;$I10&amp;""),1,MATCH(TEXT(F10,0),INDIRECT("数出表_Excel!B"&amp;$I10&amp;":T"&amp;$I10&amp;""),0))),""),4),"1",""),
"")
&amp;"4")
&amp;INDIRECT("数出表_Excel!"&amp;
IFERROR(
SUBSTITUTE(ADDRESS(1,
IFERROR(COLUMN(INDEX(INDIRECT("数出表_Excel!B"&amp;$I10&amp;":T"&amp;$I10&amp;""),1,MATCH(TEXT(F10,0),INDIRECT("数出表_Excel!B"&amp;$I10&amp;":T"&amp;$I10&amp;""),0))),""),4),"1",""),
"")
&amp;"5"),
INDIRECT("数出表_Excel!"&amp;
IFERROR(
SUBSTITUTE(ADDRESS(1,
IFERROR(COLUMN(INDEX(INDIRECT("数出表_Excel!B"&amp;$I10&amp;":T"&amp;$I10&amp;""),1,MATCH(TEXT(F10,0),INDIRECT("数出表_Excel!B"&amp;$I10&amp;":T"&amp;$I10&amp;""),0))),""),4),"1",""),
"")
&amp;"3")),"")</f>
        <v/>
      </c>
      <c r="O10" t="str" cm="1">
        <f t="array" aca="1" ref="O10" ca="1">IFERROR(IF(OR(COUNTIF(INDIRECT("数出表_Excel!"&amp;
IFERROR(
SUBSTITUTE(ADDRESS(1,
IFERROR(COLUMN(INDEX(INDIRECT("数出表_Excel!B"&amp;$I10&amp;":T"&amp;$I10&amp;""),1,MATCH(TEXT(G10,0),INDIRECT("数出表_Excel!B"&amp;$I10&amp;":T"&amp;$I10&amp;""),0))),""),4),"1",""),
"")
&amp;"3"),"*キャラ*"),
COUNTIF(INDIRECT("数出表_Excel!"&amp;
IFERROR(
SUBSTITUTE(ADDRESS(1,
IFERROR(COLUMN(INDEX(INDIRECT("数出表_Excel!B"&amp;$I10&amp;":T"&amp;$I10&amp;""),1,MATCH(TEXT(G10,0),INDIRECT("数出表_Excel!B"&amp;$I10&amp;":T"&amp;$I10&amp;""),0))),""),4),"1",""),
"")
&amp;"3"),"*赤*")),
INDIRECT("数出表_Excel!"&amp;
IFERROR(
SUBSTITUTE(ADDRESS(1,
IFERROR(COLUMN(INDEX(INDIRECT("数出表_Excel!B"&amp;$I10&amp;":T"&amp;$I10&amp;""),1,MATCH(TEXT(G10,0),INDIRECT("数出表_Excel!B"&amp;$I10&amp;":T"&amp;$I10&amp;""),0))),""),4),"1",""),
"")
&amp;"3")
&amp;"　"&amp;INDIRECT("数出表_Excel!"&amp;
IFERROR(
SUBSTITUTE(ADDRESS(1,
IFERROR(COLUMN(INDEX(INDIRECT("数出表_Excel!B"&amp;$I10&amp;":T"&amp;$I10&amp;""),1,MATCH(TEXT(G10,0),INDIRECT("数出表_Excel!B"&amp;$I10&amp;":T"&amp;$I10&amp;""),0))),""),4),"1",""),
"")
&amp;"4")
&amp;INDIRECT("数出表_Excel!"&amp;
IFERROR(
SUBSTITUTE(ADDRESS(1,
IFERROR(COLUMN(INDEX(INDIRECT("数出表_Excel!B"&amp;$I10&amp;":T"&amp;$I10&amp;""),1,MATCH(TEXT(G10,0),INDIRECT("数出表_Excel!B"&amp;$I10&amp;":T"&amp;$I10&amp;""),0))),""),4),"1",""),
"")
&amp;"5"),
INDIRECT("数出表_Excel!"&amp;
IFERROR(
SUBSTITUTE(ADDRESS(1,
IFERROR(COLUMN(INDEX(INDIRECT("数出表_Excel!B"&amp;$I10&amp;":T"&amp;$I10&amp;""),1,MATCH(TEXT(G10,0),INDIRECT("数出表_Excel!B"&amp;$I10&amp;":T"&amp;$I10&amp;""),0))),""),4),"1",""),
"")
&amp;"3")),"")</f>
        <v/>
      </c>
    </row>
    <row r="11" spans="9:15">
      <c r="I11" t="str">
        <f>IF(A11&lt;&gt;"",MATCH(A11,数出表_Excel!A:A,0),"")</f>
        <v/>
      </c>
      <c r="J11" t="str" cm="1">
        <f t="array" aca="1" ref="J11" ca="1">IFERROR(IF(OR(COUNTIF(INDIRECT("数出表_Excel!"&amp;
IFERROR(
SUBSTITUTE(ADDRESS(1,
IFERROR(COLUMN(INDEX(INDIRECT("数出表_Excel!B"&amp;$I11-1&amp;":T"&amp;$I11-1&amp;""),1,MATCH(TEXT(B11,0),INDIRECT("数出表_Excel!B"&amp;$I11-1&amp;":T"&amp;$I11-1&amp;""),0))),""),4),"1",""),
"")
&amp;"3"),"*キャラ*"),
COUNTIF(INDIRECT("数出表_Excel!"&amp;
IFERROR(
SUBSTITUTE(ADDRESS(1,
IFERROR(COLUMN(INDEX(INDIRECT("数出表_Excel!B"&amp;$I11-1&amp;":T"&amp;$I11-1&amp;""),1,MATCH(TEXT(B11,0),INDIRECT("数出表_Excel!B"&amp;$I11-1&amp;":T"&amp;$I11-1&amp;""),0))),""),4),"1",""),
"")
&amp;"3"),"*赤*")),
INDIRECT("数出表_Excel!"&amp;
IFERROR(
SUBSTITUTE(ADDRESS(1,
IFERROR(COLUMN(INDEX(INDIRECT("数出表_Excel!B"&amp;$I11-1&amp;":T"&amp;$I11-1&amp;""),1,MATCH(TEXT(B11,0),INDIRECT("数出表_Excel!B"&amp;$I11-1&amp;":T"&amp;$I11-1&amp;""),0))),""),4),"1",""),
"")
&amp;"3")
&amp;"　"&amp;INDIRECT("数出表_Excel!"&amp;
IFERROR(
SUBSTITUTE(ADDRESS(1,
IFERROR(COLUMN(INDEX(INDIRECT("数出表_Excel!B"&amp;$I11-1&amp;":T"&amp;$I11-1&amp;""),1,MATCH(TEXT(B11,0),INDIRECT("数出表_Excel!B"&amp;$I11-1&amp;":T"&amp;$I11-1&amp;""),0))),""),4),"1",""),
"")
&amp;"4")
&amp;INDIRECT("数出表_Excel!"&amp;
IFERROR(
SUBSTITUTE(ADDRESS(1,
IFERROR(COLUMN(INDEX(INDIRECT("数出表_Excel!B"&amp;$I11-1&amp;":T"&amp;$I11-1&amp;""),1,MATCH(TEXT(B11,0),INDIRECT("数出表_Excel!B"&amp;$I11-1&amp;":T"&amp;$I11-1&amp;""),0))),""),4),"1",""),
"")
&amp;"5"),
INDIRECT("数出表_Excel!"&amp;
IFERROR(
SUBSTITUTE(ADDRESS(1,
IFERROR(COLUMN(INDEX(INDIRECT("数出表_Excel!B"&amp;$I11-1&amp;":T"&amp;$I11-1&amp;""),1,MATCH(TEXT(B11,0),INDIRECT("数出表_Excel!B"&amp;$I11-1&amp;":T"&amp;$I11-1&amp;""),0))),""),4),"1",""),
"")
&amp;"3")),"")</f>
        <v/>
      </c>
      <c r="K11" t="str" cm="1">
        <f t="array" aca="1" ref="K11" ca="1">IFERROR(IF(OR(COUNTIF(INDIRECT("数出表_Excel!"&amp;
IFERROR(
SUBSTITUTE(ADDRESS(1,
IFERROR(COLUMN(INDEX(INDIRECT("数出表_Excel!B"&amp;$I11-1&amp;":T"&amp;$I11-1&amp;""),1,MATCH(TEXT(C11,0),INDIRECT("数出表_Excel!B"&amp;$I11-1&amp;":T"&amp;$I11-1&amp;""),0))),""),4),"1",""),
"")
&amp;"3"),"*キャラ*"),
COUNTIF(INDIRECT("数出表_Excel!"&amp;
IFERROR(
SUBSTITUTE(ADDRESS(1,
IFERROR(COLUMN(INDEX(INDIRECT("数出表_Excel!B"&amp;$I11-1&amp;":T"&amp;$I11-1&amp;""),1,MATCH(TEXT(C11,0),INDIRECT("数出表_Excel!B"&amp;$I11-1&amp;":T"&amp;$I11-1&amp;""),0))),""),4),"1",""),
"")
&amp;"3"),"*赤*")),
INDIRECT("数出表_Excel!"&amp;
IFERROR(
SUBSTITUTE(ADDRESS(1,
IFERROR(COLUMN(INDEX(INDIRECT("数出表_Excel!B"&amp;$I11-1&amp;":T"&amp;$I11-1&amp;""),1,MATCH(TEXT(C11,0),INDIRECT("数出表_Excel!B"&amp;$I11-1&amp;":T"&amp;$I11-1&amp;""),0))),""),4),"1",""),
"")
&amp;"3")
&amp;"　"&amp;INDIRECT("数出表_Excel!"&amp;
IFERROR(
SUBSTITUTE(ADDRESS(1,
IFERROR(COLUMN(INDEX(INDIRECT("数出表_Excel!B"&amp;$I11-1&amp;":T"&amp;$I11-1&amp;""),1,MATCH(TEXT(C11,0),INDIRECT("数出表_Excel!B"&amp;$I11-1&amp;":T"&amp;$I11-1&amp;""),0))),""),4),"1",""),
"")
&amp;"4")
&amp;INDIRECT("数出表_Excel!"&amp;
IFERROR(
SUBSTITUTE(ADDRESS(1,
IFERROR(COLUMN(INDEX(INDIRECT("数出表_Excel!B"&amp;$I11-1&amp;":T"&amp;$I11-1&amp;""),1,MATCH(TEXT(C11,0),INDIRECT("数出表_Excel!B"&amp;$I11-1&amp;":T"&amp;$I11-1&amp;""),0))),""),4),"1",""),
"")
&amp;"5"),
INDIRECT("数出表_Excel!"&amp;
IFERROR(
SUBSTITUTE(ADDRESS(1,
IFERROR(COLUMN(INDEX(INDIRECT("数出表_Excel!B"&amp;$I11-1&amp;":T"&amp;$I11-1&amp;""),1,MATCH(TEXT(C11,0),INDIRECT("数出表_Excel!B"&amp;$I11-1&amp;":T"&amp;$I11-1&amp;""),0))),""),4),"1",""),
"")
&amp;"3")),"")</f>
        <v/>
      </c>
      <c r="L11" t="str" cm="1">
        <f t="array" aca="1" ref="L11" ca="1">IFERROR(IF(OR(COUNTIF(INDIRECT("数出表_Excel!"&amp;
IFERROR(
SUBSTITUTE(ADDRESS(1,
IFERROR(COLUMN(INDEX(INDIRECT("数出表_Excel!B"&amp;$I11-1&amp;":T"&amp;$I11-1&amp;""),1,MATCH(TEXT(D11,0),INDIRECT("数出表_Excel!B"&amp;$I11-1&amp;":T"&amp;$I11-1&amp;""),0))),""),4),"1",""),
"")
&amp;"3"),"*キャラ*"),
COUNTIF(INDIRECT("数出表_Excel!"&amp;
IFERROR(
SUBSTITUTE(ADDRESS(1,
IFERROR(COLUMN(INDEX(INDIRECT("数出表_Excel!B"&amp;$I11-1&amp;":T"&amp;$I11-1&amp;""),1,MATCH(TEXT(D11,0),INDIRECT("数出表_Excel!B"&amp;$I11-1&amp;":T"&amp;$I11-1&amp;""),0))),""),4),"1",""),
"")
&amp;"3"),"*赤*")),
INDIRECT("数出表_Excel!"&amp;
IFERROR(
SUBSTITUTE(ADDRESS(1,
IFERROR(COLUMN(INDEX(INDIRECT("数出表_Excel!B"&amp;$I11-1&amp;":T"&amp;$I11-1&amp;""),1,MATCH(TEXT(D11,0),INDIRECT("数出表_Excel!B"&amp;$I11-1&amp;":T"&amp;$I11-1&amp;""),0))),""),4),"1",""),
"")
&amp;"3")
&amp;"　"&amp;INDIRECT("数出表_Excel!"&amp;
IFERROR(
SUBSTITUTE(ADDRESS(1,
IFERROR(COLUMN(INDEX(INDIRECT("数出表_Excel!B"&amp;$I11-1&amp;":T"&amp;$I11-1&amp;""),1,MATCH(TEXT(D11,0),INDIRECT("数出表_Excel!B"&amp;$I11-1&amp;":T"&amp;$I11-1&amp;""),0))),""),4),"1",""),
"")
&amp;"4")
&amp;INDIRECT("数出表_Excel!"&amp;
IFERROR(
SUBSTITUTE(ADDRESS(1,
IFERROR(COLUMN(INDEX(INDIRECT("数出表_Excel!B"&amp;$I11-1&amp;":T"&amp;$I11-1&amp;""),1,MATCH(TEXT(D11,0),INDIRECT("数出表_Excel!B"&amp;$I11-1&amp;":T"&amp;$I11-1&amp;""),0))),""),4),"1",""),
"")
&amp;"5"),
INDIRECT("数出表_Excel!"&amp;
IFERROR(
SUBSTITUTE(ADDRESS(1,
IFERROR(COLUMN(INDEX(INDIRECT("数出表_Excel!B"&amp;$I11-1&amp;":T"&amp;$I11-1&amp;""),1,MATCH(TEXT(D11,0),INDIRECT("数出表_Excel!B"&amp;$I11-1&amp;":T"&amp;$I11-1&amp;""),0))),""),4),"1",""),
"")
&amp;"3")),"")</f>
        <v/>
      </c>
      <c r="M11" t="str" cm="1">
        <f t="array" aca="1" ref="M11" ca="1">IFERROR(IF(OR(COUNTIF(INDIRECT("数出表_Excel!"&amp;
IFERROR(
SUBSTITUTE(ADDRESS(1,
IFERROR(COLUMN(INDEX(INDIRECT("数出表_Excel!B"&amp;$I11&amp;":T"&amp;$I11&amp;""),1,MATCH(TEXT(E11,0),INDIRECT("数出表_Excel!B"&amp;$I11&amp;":T"&amp;$I11&amp;""),0))),""),4),"1",""),
"")
&amp;"3"),"*キャラ*"),
COUNTIF(INDIRECT("数出表_Excel!"&amp;
IFERROR(
SUBSTITUTE(ADDRESS(1,
IFERROR(COLUMN(INDEX(INDIRECT("数出表_Excel!B"&amp;$I11&amp;":T"&amp;$I11&amp;""),1,MATCH(TEXT(E11,0),INDIRECT("数出表_Excel!B"&amp;$I11&amp;":T"&amp;$I11&amp;""),0))),""),4),"1",""),
"")
&amp;"3"),"*赤*")),
INDIRECT("数出表_Excel!"&amp;
IFERROR(
SUBSTITUTE(ADDRESS(1,
IFERROR(COLUMN(INDEX(INDIRECT("数出表_Excel!B"&amp;$I11&amp;":T"&amp;$I11&amp;""),1,MATCH(TEXT(E11,0),INDIRECT("数出表_Excel!B"&amp;$I11&amp;":T"&amp;$I11&amp;""),0))),""),4),"1",""),
"")
&amp;"3")
&amp;"　"&amp;INDIRECT("数出表_Excel!"&amp;
IFERROR(
SUBSTITUTE(ADDRESS(1,
IFERROR(COLUMN(INDEX(INDIRECT("数出表_Excel!B"&amp;$I11&amp;":T"&amp;$I11&amp;""),1,MATCH(TEXT(E11,0),INDIRECT("数出表_Excel!B"&amp;$I11&amp;":T"&amp;$I11&amp;""),0))),""),4),"1",""),
"")
&amp;"4")
&amp;INDIRECT("数出表_Excel!"&amp;
IFERROR(
SUBSTITUTE(ADDRESS(1,
IFERROR(COLUMN(INDEX(INDIRECT("数出表_Excel!B"&amp;$I11&amp;":T"&amp;$I11&amp;""),1,MATCH(TEXT(E11,0),INDIRECT("数出表_Excel!B"&amp;$I11&amp;":T"&amp;$I11&amp;""),0))),""),4),"1",""),
"")
&amp;"5"),
INDIRECT("数出表_Excel!"&amp;
IFERROR(
SUBSTITUTE(ADDRESS(1,
IFERROR(COLUMN(INDEX(INDIRECT("数出表_Excel!B"&amp;$I11&amp;":T"&amp;$I11&amp;""),1,MATCH(TEXT(E11,0),INDIRECT("数出表_Excel!B"&amp;$I11&amp;":T"&amp;$I11&amp;""),0))),""),4),"1",""),
"")
&amp;"3")),"")</f>
        <v/>
      </c>
      <c r="N11" t="str" cm="1">
        <f t="array" aca="1" ref="N11" ca="1">IFERROR(IF(OR(COUNTIF(INDIRECT("数出表_Excel!"&amp;
IFERROR(
SUBSTITUTE(ADDRESS(1,
IFERROR(COLUMN(INDEX(INDIRECT("数出表_Excel!B"&amp;$I11&amp;":T"&amp;$I11&amp;""),1,MATCH(TEXT(F11,0),INDIRECT("数出表_Excel!B"&amp;$I11&amp;":T"&amp;$I11&amp;""),0))),""),4),"1",""),
"")
&amp;"3"),"*キャラ*"),
COUNTIF(INDIRECT("数出表_Excel!"&amp;
IFERROR(
SUBSTITUTE(ADDRESS(1,
IFERROR(COLUMN(INDEX(INDIRECT("数出表_Excel!B"&amp;$I11&amp;":T"&amp;$I11&amp;""),1,MATCH(TEXT(F11,0),INDIRECT("数出表_Excel!B"&amp;$I11&amp;":T"&amp;$I11&amp;""),0))),""),4),"1",""),
"")
&amp;"3"),"*赤*")),
INDIRECT("数出表_Excel!"&amp;
IFERROR(
SUBSTITUTE(ADDRESS(1,
IFERROR(COLUMN(INDEX(INDIRECT("数出表_Excel!B"&amp;$I11&amp;":T"&amp;$I11&amp;""),1,MATCH(TEXT(F11,0),INDIRECT("数出表_Excel!B"&amp;$I11&amp;":T"&amp;$I11&amp;""),0))),""),4),"1",""),
"")
&amp;"3")
&amp;"　"&amp;INDIRECT("数出表_Excel!"&amp;
IFERROR(
SUBSTITUTE(ADDRESS(1,
IFERROR(COLUMN(INDEX(INDIRECT("数出表_Excel!B"&amp;$I11&amp;":T"&amp;$I11&amp;""),1,MATCH(TEXT(F11,0),INDIRECT("数出表_Excel!B"&amp;$I11&amp;":T"&amp;$I11&amp;""),0))),""),4),"1",""),
"")
&amp;"4")
&amp;INDIRECT("数出表_Excel!"&amp;
IFERROR(
SUBSTITUTE(ADDRESS(1,
IFERROR(COLUMN(INDEX(INDIRECT("数出表_Excel!B"&amp;$I11&amp;":T"&amp;$I11&amp;""),1,MATCH(TEXT(F11,0),INDIRECT("数出表_Excel!B"&amp;$I11&amp;":T"&amp;$I11&amp;""),0))),""),4),"1",""),
"")
&amp;"5"),
INDIRECT("数出表_Excel!"&amp;
IFERROR(
SUBSTITUTE(ADDRESS(1,
IFERROR(COLUMN(INDEX(INDIRECT("数出表_Excel!B"&amp;$I11&amp;":T"&amp;$I11&amp;""),1,MATCH(TEXT(F11,0),INDIRECT("数出表_Excel!B"&amp;$I11&amp;":T"&amp;$I11&amp;""),0))),""),4),"1",""),
"")
&amp;"3")),"")</f>
        <v/>
      </c>
      <c r="O11" t="str" cm="1">
        <f t="array" aca="1" ref="O11" ca="1">IFERROR(IF(OR(COUNTIF(INDIRECT("数出表_Excel!"&amp;
IFERROR(
SUBSTITUTE(ADDRESS(1,
IFERROR(COLUMN(INDEX(INDIRECT("数出表_Excel!B"&amp;$I11&amp;":T"&amp;$I11&amp;""),1,MATCH(TEXT(G11,0),INDIRECT("数出表_Excel!B"&amp;$I11&amp;":T"&amp;$I11&amp;""),0))),""),4),"1",""),
"")
&amp;"3"),"*キャラ*"),
COUNTIF(INDIRECT("数出表_Excel!"&amp;
IFERROR(
SUBSTITUTE(ADDRESS(1,
IFERROR(COLUMN(INDEX(INDIRECT("数出表_Excel!B"&amp;$I11&amp;":T"&amp;$I11&amp;""),1,MATCH(TEXT(G11,0),INDIRECT("数出表_Excel!B"&amp;$I11&amp;":T"&amp;$I11&amp;""),0))),""),4),"1",""),
"")
&amp;"3"),"*赤*")),
INDIRECT("数出表_Excel!"&amp;
IFERROR(
SUBSTITUTE(ADDRESS(1,
IFERROR(COLUMN(INDEX(INDIRECT("数出表_Excel!B"&amp;$I11&amp;":T"&amp;$I11&amp;""),1,MATCH(TEXT(G11,0),INDIRECT("数出表_Excel!B"&amp;$I11&amp;":T"&amp;$I11&amp;""),0))),""),4),"1",""),
"")
&amp;"3")
&amp;"　"&amp;INDIRECT("数出表_Excel!"&amp;
IFERROR(
SUBSTITUTE(ADDRESS(1,
IFERROR(COLUMN(INDEX(INDIRECT("数出表_Excel!B"&amp;$I11&amp;":T"&amp;$I11&amp;""),1,MATCH(TEXT(G11,0),INDIRECT("数出表_Excel!B"&amp;$I11&amp;":T"&amp;$I11&amp;""),0))),""),4),"1",""),
"")
&amp;"4")
&amp;INDIRECT("数出表_Excel!"&amp;
IFERROR(
SUBSTITUTE(ADDRESS(1,
IFERROR(COLUMN(INDEX(INDIRECT("数出表_Excel!B"&amp;$I11&amp;":T"&amp;$I11&amp;""),1,MATCH(TEXT(G11,0),INDIRECT("数出表_Excel!B"&amp;$I11&amp;":T"&amp;$I11&amp;""),0))),""),4),"1",""),
"")
&amp;"5"),
INDIRECT("数出表_Excel!"&amp;
IFERROR(
SUBSTITUTE(ADDRESS(1,
IFERROR(COLUMN(INDEX(INDIRECT("数出表_Excel!B"&amp;$I11&amp;":T"&amp;$I11&amp;""),1,MATCH(TEXT(G11,0),INDIRECT("数出表_Excel!B"&amp;$I11&amp;":T"&amp;$I11&amp;""),0))),""),4),"1",""),
"")
&amp;"3")),"")</f>
        <v/>
      </c>
    </row>
    <row r="12" spans="9:15">
      <c r="I12" t="str">
        <f>IF(A12&lt;&gt;"",MATCH(A12,数出表_Excel!A:A,0),"")</f>
        <v/>
      </c>
      <c r="J12" t="str" cm="1">
        <f t="array" aca="1" ref="J12" ca="1">IFERROR(IF(OR(COUNTIF(INDIRECT("数出表_Excel!"&amp;
IFERROR(
SUBSTITUTE(ADDRESS(1,
IFERROR(COLUMN(INDEX(INDIRECT("数出表_Excel!B"&amp;$I12-1&amp;":T"&amp;$I12-1&amp;""),1,MATCH(TEXT(B12,0),INDIRECT("数出表_Excel!B"&amp;$I12-1&amp;":T"&amp;$I12-1&amp;""),0))),""),4),"1",""),
"")
&amp;"3"),"*キャラ*"),
COUNTIF(INDIRECT("数出表_Excel!"&amp;
IFERROR(
SUBSTITUTE(ADDRESS(1,
IFERROR(COLUMN(INDEX(INDIRECT("数出表_Excel!B"&amp;$I12-1&amp;":T"&amp;$I12-1&amp;""),1,MATCH(TEXT(B12,0),INDIRECT("数出表_Excel!B"&amp;$I12-1&amp;":T"&amp;$I12-1&amp;""),0))),""),4),"1",""),
"")
&amp;"3"),"*赤*")),
INDIRECT("数出表_Excel!"&amp;
IFERROR(
SUBSTITUTE(ADDRESS(1,
IFERROR(COLUMN(INDEX(INDIRECT("数出表_Excel!B"&amp;$I12-1&amp;":T"&amp;$I12-1&amp;""),1,MATCH(TEXT(B12,0),INDIRECT("数出表_Excel!B"&amp;$I12-1&amp;":T"&amp;$I12-1&amp;""),0))),""),4),"1",""),
"")
&amp;"3")
&amp;"　"&amp;INDIRECT("数出表_Excel!"&amp;
IFERROR(
SUBSTITUTE(ADDRESS(1,
IFERROR(COLUMN(INDEX(INDIRECT("数出表_Excel!B"&amp;$I12-1&amp;":T"&amp;$I12-1&amp;""),1,MATCH(TEXT(B12,0),INDIRECT("数出表_Excel!B"&amp;$I12-1&amp;":T"&amp;$I12-1&amp;""),0))),""),4),"1",""),
"")
&amp;"4")
&amp;INDIRECT("数出表_Excel!"&amp;
IFERROR(
SUBSTITUTE(ADDRESS(1,
IFERROR(COLUMN(INDEX(INDIRECT("数出表_Excel!B"&amp;$I12-1&amp;":T"&amp;$I12-1&amp;""),1,MATCH(TEXT(B12,0),INDIRECT("数出表_Excel!B"&amp;$I12-1&amp;":T"&amp;$I12-1&amp;""),0))),""),4),"1",""),
"")
&amp;"5"),
INDIRECT("数出表_Excel!"&amp;
IFERROR(
SUBSTITUTE(ADDRESS(1,
IFERROR(COLUMN(INDEX(INDIRECT("数出表_Excel!B"&amp;$I12-1&amp;":T"&amp;$I12-1&amp;""),1,MATCH(TEXT(B12,0),INDIRECT("数出表_Excel!B"&amp;$I12-1&amp;":T"&amp;$I12-1&amp;""),0))),""),4),"1",""),
"")
&amp;"3")),"")</f>
        <v/>
      </c>
      <c r="K12" t="str" cm="1">
        <f t="array" aca="1" ref="K12" ca="1">IFERROR(IF(OR(COUNTIF(INDIRECT("数出表_Excel!"&amp;
IFERROR(
SUBSTITUTE(ADDRESS(1,
IFERROR(COLUMN(INDEX(INDIRECT("数出表_Excel!B"&amp;$I12-1&amp;":T"&amp;$I12-1&amp;""),1,MATCH(TEXT(C12,0),INDIRECT("数出表_Excel!B"&amp;$I12-1&amp;":T"&amp;$I12-1&amp;""),0))),""),4),"1",""),
"")
&amp;"3"),"*キャラ*"),
COUNTIF(INDIRECT("数出表_Excel!"&amp;
IFERROR(
SUBSTITUTE(ADDRESS(1,
IFERROR(COLUMN(INDEX(INDIRECT("数出表_Excel!B"&amp;$I12-1&amp;":T"&amp;$I12-1&amp;""),1,MATCH(TEXT(C12,0),INDIRECT("数出表_Excel!B"&amp;$I12-1&amp;":T"&amp;$I12-1&amp;""),0))),""),4),"1",""),
"")
&amp;"3"),"*赤*")),
INDIRECT("数出表_Excel!"&amp;
IFERROR(
SUBSTITUTE(ADDRESS(1,
IFERROR(COLUMN(INDEX(INDIRECT("数出表_Excel!B"&amp;$I12-1&amp;":T"&amp;$I12-1&amp;""),1,MATCH(TEXT(C12,0),INDIRECT("数出表_Excel!B"&amp;$I12-1&amp;":T"&amp;$I12-1&amp;""),0))),""),4),"1",""),
"")
&amp;"3")
&amp;"　"&amp;INDIRECT("数出表_Excel!"&amp;
IFERROR(
SUBSTITUTE(ADDRESS(1,
IFERROR(COLUMN(INDEX(INDIRECT("数出表_Excel!B"&amp;$I12-1&amp;":T"&amp;$I12-1&amp;""),1,MATCH(TEXT(C12,0),INDIRECT("数出表_Excel!B"&amp;$I12-1&amp;":T"&amp;$I12-1&amp;""),0))),""),4),"1",""),
"")
&amp;"4")
&amp;INDIRECT("数出表_Excel!"&amp;
IFERROR(
SUBSTITUTE(ADDRESS(1,
IFERROR(COLUMN(INDEX(INDIRECT("数出表_Excel!B"&amp;$I12-1&amp;":T"&amp;$I12-1&amp;""),1,MATCH(TEXT(C12,0),INDIRECT("数出表_Excel!B"&amp;$I12-1&amp;":T"&amp;$I12-1&amp;""),0))),""),4),"1",""),
"")
&amp;"5"),
INDIRECT("数出表_Excel!"&amp;
IFERROR(
SUBSTITUTE(ADDRESS(1,
IFERROR(COLUMN(INDEX(INDIRECT("数出表_Excel!B"&amp;$I12-1&amp;":T"&amp;$I12-1&amp;""),1,MATCH(TEXT(C12,0),INDIRECT("数出表_Excel!B"&amp;$I12-1&amp;":T"&amp;$I12-1&amp;""),0))),""),4),"1",""),
"")
&amp;"3")),"")</f>
        <v/>
      </c>
      <c r="L12" t="str" cm="1">
        <f t="array" aca="1" ref="L12" ca="1">IFERROR(IF(OR(COUNTIF(INDIRECT("数出表_Excel!"&amp;
IFERROR(
SUBSTITUTE(ADDRESS(1,
IFERROR(COLUMN(INDEX(INDIRECT("数出表_Excel!B"&amp;$I12-1&amp;":T"&amp;$I12-1&amp;""),1,MATCH(TEXT(D12,0),INDIRECT("数出表_Excel!B"&amp;$I12-1&amp;":T"&amp;$I12-1&amp;""),0))),""),4),"1",""),
"")
&amp;"3"),"*キャラ*"),
COUNTIF(INDIRECT("数出表_Excel!"&amp;
IFERROR(
SUBSTITUTE(ADDRESS(1,
IFERROR(COLUMN(INDEX(INDIRECT("数出表_Excel!B"&amp;$I12-1&amp;":T"&amp;$I12-1&amp;""),1,MATCH(TEXT(D12,0),INDIRECT("数出表_Excel!B"&amp;$I12-1&amp;":T"&amp;$I12-1&amp;""),0))),""),4),"1",""),
"")
&amp;"3"),"*赤*")),
INDIRECT("数出表_Excel!"&amp;
IFERROR(
SUBSTITUTE(ADDRESS(1,
IFERROR(COLUMN(INDEX(INDIRECT("数出表_Excel!B"&amp;$I12-1&amp;":T"&amp;$I12-1&amp;""),1,MATCH(TEXT(D12,0),INDIRECT("数出表_Excel!B"&amp;$I12-1&amp;":T"&amp;$I12-1&amp;""),0))),""),4),"1",""),
"")
&amp;"3")
&amp;"　"&amp;INDIRECT("数出表_Excel!"&amp;
IFERROR(
SUBSTITUTE(ADDRESS(1,
IFERROR(COLUMN(INDEX(INDIRECT("数出表_Excel!B"&amp;$I12-1&amp;":T"&amp;$I12-1&amp;""),1,MATCH(TEXT(D12,0),INDIRECT("数出表_Excel!B"&amp;$I12-1&amp;":T"&amp;$I12-1&amp;""),0))),""),4),"1",""),
"")
&amp;"4")
&amp;INDIRECT("数出表_Excel!"&amp;
IFERROR(
SUBSTITUTE(ADDRESS(1,
IFERROR(COLUMN(INDEX(INDIRECT("数出表_Excel!B"&amp;$I12-1&amp;":T"&amp;$I12-1&amp;""),1,MATCH(TEXT(D12,0),INDIRECT("数出表_Excel!B"&amp;$I12-1&amp;":T"&amp;$I12-1&amp;""),0))),""),4),"1",""),
"")
&amp;"5"),
INDIRECT("数出表_Excel!"&amp;
IFERROR(
SUBSTITUTE(ADDRESS(1,
IFERROR(COLUMN(INDEX(INDIRECT("数出表_Excel!B"&amp;$I12-1&amp;":T"&amp;$I12-1&amp;""),1,MATCH(TEXT(D12,0),INDIRECT("数出表_Excel!B"&amp;$I12-1&amp;":T"&amp;$I12-1&amp;""),0))),""),4),"1",""),
"")
&amp;"3")),"")</f>
        <v/>
      </c>
      <c r="M12" t="str" cm="1">
        <f t="array" aca="1" ref="M12" ca="1">IFERROR(IF(OR(COUNTIF(INDIRECT("数出表_Excel!"&amp;
IFERROR(
SUBSTITUTE(ADDRESS(1,
IFERROR(COLUMN(INDEX(INDIRECT("数出表_Excel!B"&amp;$I12&amp;":T"&amp;$I12&amp;""),1,MATCH(TEXT(E12,0),INDIRECT("数出表_Excel!B"&amp;$I12&amp;":T"&amp;$I12&amp;""),0))),""),4),"1",""),
"")
&amp;"3"),"*キャラ*"),
COUNTIF(INDIRECT("数出表_Excel!"&amp;
IFERROR(
SUBSTITUTE(ADDRESS(1,
IFERROR(COLUMN(INDEX(INDIRECT("数出表_Excel!B"&amp;$I12&amp;":T"&amp;$I12&amp;""),1,MATCH(TEXT(E12,0),INDIRECT("数出表_Excel!B"&amp;$I12&amp;":T"&amp;$I12&amp;""),0))),""),4),"1",""),
"")
&amp;"3"),"*赤*")),
INDIRECT("数出表_Excel!"&amp;
IFERROR(
SUBSTITUTE(ADDRESS(1,
IFERROR(COLUMN(INDEX(INDIRECT("数出表_Excel!B"&amp;$I12&amp;":T"&amp;$I12&amp;""),1,MATCH(TEXT(E12,0),INDIRECT("数出表_Excel!B"&amp;$I12&amp;":T"&amp;$I12&amp;""),0))),""),4),"1",""),
"")
&amp;"3")
&amp;"　"&amp;INDIRECT("数出表_Excel!"&amp;
IFERROR(
SUBSTITUTE(ADDRESS(1,
IFERROR(COLUMN(INDEX(INDIRECT("数出表_Excel!B"&amp;$I12&amp;":T"&amp;$I12&amp;""),1,MATCH(TEXT(E12,0),INDIRECT("数出表_Excel!B"&amp;$I12&amp;":T"&amp;$I12&amp;""),0))),""),4),"1",""),
"")
&amp;"4")
&amp;INDIRECT("数出表_Excel!"&amp;
IFERROR(
SUBSTITUTE(ADDRESS(1,
IFERROR(COLUMN(INDEX(INDIRECT("数出表_Excel!B"&amp;$I12&amp;":T"&amp;$I12&amp;""),1,MATCH(TEXT(E12,0),INDIRECT("数出表_Excel!B"&amp;$I12&amp;":T"&amp;$I12&amp;""),0))),""),4),"1",""),
"")
&amp;"5"),
INDIRECT("数出表_Excel!"&amp;
IFERROR(
SUBSTITUTE(ADDRESS(1,
IFERROR(COLUMN(INDEX(INDIRECT("数出表_Excel!B"&amp;$I12&amp;":T"&amp;$I12&amp;""),1,MATCH(TEXT(E12,0),INDIRECT("数出表_Excel!B"&amp;$I12&amp;":T"&amp;$I12&amp;""),0))),""),4),"1",""),
"")
&amp;"3")),"")</f>
        <v/>
      </c>
      <c r="N12" t="str" cm="1">
        <f t="array" aca="1" ref="N12" ca="1">IFERROR(IF(OR(COUNTIF(INDIRECT("数出表_Excel!"&amp;
IFERROR(
SUBSTITUTE(ADDRESS(1,
IFERROR(COLUMN(INDEX(INDIRECT("数出表_Excel!B"&amp;$I12&amp;":T"&amp;$I12&amp;""),1,MATCH(TEXT(F12,0),INDIRECT("数出表_Excel!B"&amp;$I12&amp;":T"&amp;$I12&amp;""),0))),""),4),"1",""),
"")
&amp;"3"),"*キャラ*"),
COUNTIF(INDIRECT("数出表_Excel!"&amp;
IFERROR(
SUBSTITUTE(ADDRESS(1,
IFERROR(COLUMN(INDEX(INDIRECT("数出表_Excel!B"&amp;$I12&amp;":T"&amp;$I12&amp;""),1,MATCH(TEXT(F12,0),INDIRECT("数出表_Excel!B"&amp;$I12&amp;":T"&amp;$I12&amp;""),0))),""),4),"1",""),
"")
&amp;"3"),"*赤*")),
INDIRECT("数出表_Excel!"&amp;
IFERROR(
SUBSTITUTE(ADDRESS(1,
IFERROR(COLUMN(INDEX(INDIRECT("数出表_Excel!B"&amp;$I12&amp;":T"&amp;$I12&amp;""),1,MATCH(TEXT(F12,0),INDIRECT("数出表_Excel!B"&amp;$I12&amp;":T"&amp;$I12&amp;""),0))),""),4),"1",""),
"")
&amp;"3")
&amp;"　"&amp;INDIRECT("数出表_Excel!"&amp;
IFERROR(
SUBSTITUTE(ADDRESS(1,
IFERROR(COLUMN(INDEX(INDIRECT("数出表_Excel!B"&amp;$I12&amp;":T"&amp;$I12&amp;""),1,MATCH(TEXT(F12,0),INDIRECT("数出表_Excel!B"&amp;$I12&amp;":T"&amp;$I12&amp;""),0))),""),4),"1",""),
"")
&amp;"4")
&amp;INDIRECT("数出表_Excel!"&amp;
IFERROR(
SUBSTITUTE(ADDRESS(1,
IFERROR(COLUMN(INDEX(INDIRECT("数出表_Excel!B"&amp;$I12&amp;":T"&amp;$I12&amp;""),1,MATCH(TEXT(F12,0),INDIRECT("数出表_Excel!B"&amp;$I12&amp;":T"&amp;$I12&amp;""),0))),""),4),"1",""),
"")
&amp;"5"),
INDIRECT("数出表_Excel!"&amp;
IFERROR(
SUBSTITUTE(ADDRESS(1,
IFERROR(COLUMN(INDEX(INDIRECT("数出表_Excel!B"&amp;$I12&amp;":T"&amp;$I12&amp;""),1,MATCH(TEXT(F12,0),INDIRECT("数出表_Excel!B"&amp;$I12&amp;":T"&amp;$I12&amp;""),0))),""),4),"1",""),
"")
&amp;"3")),"")</f>
        <v/>
      </c>
      <c r="O12" t="str" cm="1">
        <f t="array" aca="1" ref="O12" ca="1">IFERROR(IF(OR(COUNTIF(INDIRECT("数出表_Excel!"&amp;
IFERROR(
SUBSTITUTE(ADDRESS(1,
IFERROR(COLUMN(INDEX(INDIRECT("数出表_Excel!B"&amp;$I12&amp;":T"&amp;$I12&amp;""),1,MATCH(TEXT(G12,0),INDIRECT("数出表_Excel!B"&amp;$I12&amp;":T"&amp;$I12&amp;""),0))),""),4),"1",""),
"")
&amp;"3"),"*キャラ*"),
COUNTIF(INDIRECT("数出表_Excel!"&amp;
IFERROR(
SUBSTITUTE(ADDRESS(1,
IFERROR(COLUMN(INDEX(INDIRECT("数出表_Excel!B"&amp;$I12&amp;":T"&amp;$I12&amp;""),1,MATCH(TEXT(G12,0),INDIRECT("数出表_Excel!B"&amp;$I12&amp;":T"&amp;$I12&amp;""),0))),""),4),"1",""),
"")
&amp;"3"),"*赤*")),
INDIRECT("数出表_Excel!"&amp;
IFERROR(
SUBSTITUTE(ADDRESS(1,
IFERROR(COLUMN(INDEX(INDIRECT("数出表_Excel!B"&amp;$I12&amp;":T"&amp;$I12&amp;""),1,MATCH(TEXT(G12,0),INDIRECT("数出表_Excel!B"&amp;$I12&amp;":T"&amp;$I12&amp;""),0))),""),4),"1",""),
"")
&amp;"3")
&amp;"　"&amp;INDIRECT("数出表_Excel!"&amp;
IFERROR(
SUBSTITUTE(ADDRESS(1,
IFERROR(COLUMN(INDEX(INDIRECT("数出表_Excel!B"&amp;$I12&amp;":T"&amp;$I12&amp;""),1,MATCH(TEXT(G12,0),INDIRECT("数出表_Excel!B"&amp;$I12&amp;":T"&amp;$I12&amp;""),0))),""),4),"1",""),
"")
&amp;"4")
&amp;INDIRECT("数出表_Excel!"&amp;
IFERROR(
SUBSTITUTE(ADDRESS(1,
IFERROR(COLUMN(INDEX(INDIRECT("数出表_Excel!B"&amp;$I12&amp;":T"&amp;$I12&amp;""),1,MATCH(TEXT(G12,0),INDIRECT("数出表_Excel!B"&amp;$I12&amp;":T"&amp;$I12&amp;""),0))),""),4),"1",""),
"")
&amp;"5"),
INDIRECT("数出表_Excel!"&amp;
IFERROR(
SUBSTITUTE(ADDRESS(1,
IFERROR(COLUMN(INDEX(INDIRECT("数出表_Excel!B"&amp;$I12&amp;":T"&amp;$I12&amp;""),1,MATCH(TEXT(G12,0),INDIRECT("数出表_Excel!B"&amp;$I12&amp;":T"&amp;$I12&amp;""),0))),""),4),"1",""),
"")
&amp;"3")),"")</f>
        <v/>
      </c>
    </row>
    <row r="13" spans="9:15">
      <c r="I13" t="str">
        <f>IF(A13&lt;&gt;"",MATCH(A13,数出表_Excel!A:A,0),"")</f>
        <v/>
      </c>
      <c r="J13" t="str" cm="1">
        <f t="array" aca="1" ref="J13" ca="1">IFERROR(IF(OR(COUNTIF(INDIRECT("数出表_Excel!"&amp;
IFERROR(
SUBSTITUTE(ADDRESS(1,
IFERROR(COLUMN(INDEX(INDIRECT("数出表_Excel!B"&amp;$I13-1&amp;":T"&amp;$I13-1&amp;""),1,MATCH(TEXT(B13,0),INDIRECT("数出表_Excel!B"&amp;$I13-1&amp;":T"&amp;$I13-1&amp;""),0))),""),4),"1",""),
"")
&amp;"3"),"*キャラ*"),
COUNTIF(INDIRECT("数出表_Excel!"&amp;
IFERROR(
SUBSTITUTE(ADDRESS(1,
IFERROR(COLUMN(INDEX(INDIRECT("数出表_Excel!B"&amp;$I13-1&amp;":T"&amp;$I13-1&amp;""),1,MATCH(TEXT(B13,0),INDIRECT("数出表_Excel!B"&amp;$I13-1&amp;":T"&amp;$I13-1&amp;""),0))),""),4),"1",""),
"")
&amp;"3"),"*赤*")),
INDIRECT("数出表_Excel!"&amp;
IFERROR(
SUBSTITUTE(ADDRESS(1,
IFERROR(COLUMN(INDEX(INDIRECT("数出表_Excel!B"&amp;$I13-1&amp;":T"&amp;$I13-1&amp;""),1,MATCH(TEXT(B13,0),INDIRECT("数出表_Excel!B"&amp;$I13-1&amp;":T"&amp;$I13-1&amp;""),0))),""),4),"1",""),
"")
&amp;"3")
&amp;"　"&amp;INDIRECT("数出表_Excel!"&amp;
IFERROR(
SUBSTITUTE(ADDRESS(1,
IFERROR(COLUMN(INDEX(INDIRECT("数出表_Excel!B"&amp;$I13-1&amp;":T"&amp;$I13-1&amp;""),1,MATCH(TEXT(B13,0),INDIRECT("数出表_Excel!B"&amp;$I13-1&amp;":T"&amp;$I13-1&amp;""),0))),""),4),"1",""),
"")
&amp;"4")
&amp;INDIRECT("数出表_Excel!"&amp;
IFERROR(
SUBSTITUTE(ADDRESS(1,
IFERROR(COLUMN(INDEX(INDIRECT("数出表_Excel!B"&amp;$I13-1&amp;":T"&amp;$I13-1&amp;""),1,MATCH(TEXT(B13,0),INDIRECT("数出表_Excel!B"&amp;$I13-1&amp;":T"&amp;$I13-1&amp;""),0))),""),4),"1",""),
"")
&amp;"5"),
INDIRECT("数出表_Excel!"&amp;
IFERROR(
SUBSTITUTE(ADDRESS(1,
IFERROR(COLUMN(INDEX(INDIRECT("数出表_Excel!B"&amp;$I13-1&amp;":T"&amp;$I13-1&amp;""),1,MATCH(TEXT(B13,0),INDIRECT("数出表_Excel!B"&amp;$I13-1&amp;":T"&amp;$I13-1&amp;""),0))),""),4),"1",""),
"")
&amp;"3")),"")</f>
        <v/>
      </c>
      <c r="K13" t="str" cm="1">
        <f t="array" aca="1" ref="K13" ca="1">IFERROR(IF(OR(COUNTIF(INDIRECT("数出表_Excel!"&amp;
IFERROR(
SUBSTITUTE(ADDRESS(1,
IFERROR(COLUMN(INDEX(INDIRECT("数出表_Excel!B"&amp;$I13-1&amp;":T"&amp;$I13-1&amp;""),1,MATCH(TEXT(C13,0),INDIRECT("数出表_Excel!B"&amp;$I13-1&amp;":T"&amp;$I13-1&amp;""),0))),""),4),"1",""),
"")
&amp;"3"),"*キャラ*"),
COUNTIF(INDIRECT("数出表_Excel!"&amp;
IFERROR(
SUBSTITUTE(ADDRESS(1,
IFERROR(COLUMN(INDEX(INDIRECT("数出表_Excel!B"&amp;$I13-1&amp;":T"&amp;$I13-1&amp;""),1,MATCH(TEXT(C13,0),INDIRECT("数出表_Excel!B"&amp;$I13-1&amp;":T"&amp;$I13-1&amp;""),0))),""),4),"1",""),
"")
&amp;"3"),"*赤*")),
INDIRECT("数出表_Excel!"&amp;
IFERROR(
SUBSTITUTE(ADDRESS(1,
IFERROR(COLUMN(INDEX(INDIRECT("数出表_Excel!B"&amp;$I13-1&amp;":T"&amp;$I13-1&amp;""),1,MATCH(TEXT(C13,0),INDIRECT("数出表_Excel!B"&amp;$I13-1&amp;":T"&amp;$I13-1&amp;""),0))),""),4),"1",""),
"")
&amp;"3")
&amp;"　"&amp;INDIRECT("数出表_Excel!"&amp;
IFERROR(
SUBSTITUTE(ADDRESS(1,
IFERROR(COLUMN(INDEX(INDIRECT("数出表_Excel!B"&amp;$I13-1&amp;":T"&amp;$I13-1&amp;""),1,MATCH(TEXT(C13,0),INDIRECT("数出表_Excel!B"&amp;$I13-1&amp;":T"&amp;$I13-1&amp;""),0))),""),4),"1",""),
"")
&amp;"4")
&amp;INDIRECT("数出表_Excel!"&amp;
IFERROR(
SUBSTITUTE(ADDRESS(1,
IFERROR(COLUMN(INDEX(INDIRECT("数出表_Excel!B"&amp;$I13-1&amp;":T"&amp;$I13-1&amp;""),1,MATCH(TEXT(C13,0),INDIRECT("数出表_Excel!B"&amp;$I13-1&amp;":T"&amp;$I13-1&amp;""),0))),""),4),"1",""),
"")
&amp;"5"),
INDIRECT("数出表_Excel!"&amp;
IFERROR(
SUBSTITUTE(ADDRESS(1,
IFERROR(COLUMN(INDEX(INDIRECT("数出表_Excel!B"&amp;$I13-1&amp;":T"&amp;$I13-1&amp;""),1,MATCH(TEXT(C13,0),INDIRECT("数出表_Excel!B"&amp;$I13-1&amp;":T"&amp;$I13-1&amp;""),0))),""),4),"1",""),
"")
&amp;"3")),"")</f>
        <v/>
      </c>
      <c r="L13" t="str" cm="1">
        <f t="array" aca="1" ref="L13" ca="1">IFERROR(IF(OR(COUNTIF(INDIRECT("数出表_Excel!"&amp;
IFERROR(
SUBSTITUTE(ADDRESS(1,
IFERROR(COLUMN(INDEX(INDIRECT("数出表_Excel!B"&amp;$I13-1&amp;":T"&amp;$I13-1&amp;""),1,MATCH(TEXT(D13,0),INDIRECT("数出表_Excel!B"&amp;$I13-1&amp;":T"&amp;$I13-1&amp;""),0))),""),4),"1",""),
"")
&amp;"3"),"*キャラ*"),
COUNTIF(INDIRECT("数出表_Excel!"&amp;
IFERROR(
SUBSTITUTE(ADDRESS(1,
IFERROR(COLUMN(INDEX(INDIRECT("数出表_Excel!B"&amp;$I13-1&amp;":T"&amp;$I13-1&amp;""),1,MATCH(TEXT(D13,0),INDIRECT("数出表_Excel!B"&amp;$I13-1&amp;":T"&amp;$I13-1&amp;""),0))),""),4),"1",""),
"")
&amp;"3"),"*赤*")),
INDIRECT("数出表_Excel!"&amp;
IFERROR(
SUBSTITUTE(ADDRESS(1,
IFERROR(COLUMN(INDEX(INDIRECT("数出表_Excel!B"&amp;$I13-1&amp;":T"&amp;$I13-1&amp;""),1,MATCH(TEXT(D13,0),INDIRECT("数出表_Excel!B"&amp;$I13-1&amp;":T"&amp;$I13-1&amp;""),0))),""),4),"1",""),
"")
&amp;"3")
&amp;"　"&amp;INDIRECT("数出表_Excel!"&amp;
IFERROR(
SUBSTITUTE(ADDRESS(1,
IFERROR(COLUMN(INDEX(INDIRECT("数出表_Excel!B"&amp;$I13-1&amp;":T"&amp;$I13-1&amp;""),1,MATCH(TEXT(D13,0),INDIRECT("数出表_Excel!B"&amp;$I13-1&amp;":T"&amp;$I13-1&amp;""),0))),""),4),"1",""),
"")
&amp;"4")
&amp;INDIRECT("数出表_Excel!"&amp;
IFERROR(
SUBSTITUTE(ADDRESS(1,
IFERROR(COLUMN(INDEX(INDIRECT("数出表_Excel!B"&amp;$I13-1&amp;":T"&amp;$I13-1&amp;""),1,MATCH(TEXT(D13,0),INDIRECT("数出表_Excel!B"&amp;$I13-1&amp;":T"&amp;$I13-1&amp;""),0))),""),4),"1",""),
"")
&amp;"5"),
INDIRECT("数出表_Excel!"&amp;
IFERROR(
SUBSTITUTE(ADDRESS(1,
IFERROR(COLUMN(INDEX(INDIRECT("数出表_Excel!B"&amp;$I13-1&amp;":T"&amp;$I13-1&amp;""),1,MATCH(TEXT(D13,0),INDIRECT("数出表_Excel!B"&amp;$I13-1&amp;":T"&amp;$I13-1&amp;""),0))),""),4),"1",""),
"")
&amp;"3")),"")</f>
        <v/>
      </c>
      <c r="M13" t="str" cm="1">
        <f t="array" aca="1" ref="M13" ca="1">IFERROR(IF(OR(COUNTIF(INDIRECT("数出表_Excel!"&amp;
IFERROR(
SUBSTITUTE(ADDRESS(1,
IFERROR(COLUMN(INDEX(INDIRECT("数出表_Excel!B"&amp;$I13&amp;":T"&amp;$I13&amp;""),1,MATCH(TEXT(E13,0),INDIRECT("数出表_Excel!B"&amp;$I13&amp;":T"&amp;$I13&amp;""),0))),""),4),"1",""),
"")
&amp;"3"),"*キャラ*"),
COUNTIF(INDIRECT("数出表_Excel!"&amp;
IFERROR(
SUBSTITUTE(ADDRESS(1,
IFERROR(COLUMN(INDEX(INDIRECT("数出表_Excel!B"&amp;$I13&amp;":T"&amp;$I13&amp;""),1,MATCH(TEXT(E13,0),INDIRECT("数出表_Excel!B"&amp;$I13&amp;":T"&amp;$I13&amp;""),0))),""),4),"1",""),
"")
&amp;"3"),"*赤*")),
INDIRECT("数出表_Excel!"&amp;
IFERROR(
SUBSTITUTE(ADDRESS(1,
IFERROR(COLUMN(INDEX(INDIRECT("数出表_Excel!B"&amp;$I13&amp;":T"&amp;$I13&amp;""),1,MATCH(TEXT(E13,0),INDIRECT("数出表_Excel!B"&amp;$I13&amp;":T"&amp;$I13&amp;""),0))),""),4),"1",""),
"")
&amp;"3")
&amp;"　"&amp;INDIRECT("数出表_Excel!"&amp;
IFERROR(
SUBSTITUTE(ADDRESS(1,
IFERROR(COLUMN(INDEX(INDIRECT("数出表_Excel!B"&amp;$I13&amp;":T"&amp;$I13&amp;""),1,MATCH(TEXT(E13,0),INDIRECT("数出表_Excel!B"&amp;$I13&amp;":T"&amp;$I13&amp;""),0))),""),4),"1",""),
"")
&amp;"4")
&amp;INDIRECT("数出表_Excel!"&amp;
IFERROR(
SUBSTITUTE(ADDRESS(1,
IFERROR(COLUMN(INDEX(INDIRECT("数出表_Excel!B"&amp;$I13&amp;":T"&amp;$I13&amp;""),1,MATCH(TEXT(E13,0),INDIRECT("数出表_Excel!B"&amp;$I13&amp;":T"&amp;$I13&amp;""),0))),""),4),"1",""),
"")
&amp;"5"),
INDIRECT("数出表_Excel!"&amp;
IFERROR(
SUBSTITUTE(ADDRESS(1,
IFERROR(COLUMN(INDEX(INDIRECT("数出表_Excel!B"&amp;$I13&amp;":T"&amp;$I13&amp;""),1,MATCH(TEXT(E13,0),INDIRECT("数出表_Excel!B"&amp;$I13&amp;":T"&amp;$I13&amp;""),0))),""),4),"1",""),
"")
&amp;"3")),"")</f>
        <v/>
      </c>
      <c r="N13" t="str" cm="1">
        <f t="array" aca="1" ref="N13" ca="1">IFERROR(IF(OR(COUNTIF(INDIRECT("数出表_Excel!"&amp;
IFERROR(
SUBSTITUTE(ADDRESS(1,
IFERROR(COLUMN(INDEX(INDIRECT("数出表_Excel!B"&amp;$I13&amp;":T"&amp;$I13&amp;""),1,MATCH(TEXT(F13,0),INDIRECT("数出表_Excel!B"&amp;$I13&amp;":T"&amp;$I13&amp;""),0))),""),4),"1",""),
"")
&amp;"3"),"*キャラ*"),
COUNTIF(INDIRECT("数出表_Excel!"&amp;
IFERROR(
SUBSTITUTE(ADDRESS(1,
IFERROR(COLUMN(INDEX(INDIRECT("数出表_Excel!B"&amp;$I13&amp;":T"&amp;$I13&amp;""),1,MATCH(TEXT(F13,0),INDIRECT("数出表_Excel!B"&amp;$I13&amp;":T"&amp;$I13&amp;""),0))),""),4),"1",""),
"")
&amp;"3"),"*赤*")),
INDIRECT("数出表_Excel!"&amp;
IFERROR(
SUBSTITUTE(ADDRESS(1,
IFERROR(COLUMN(INDEX(INDIRECT("数出表_Excel!B"&amp;$I13&amp;":T"&amp;$I13&amp;""),1,MATCH(TEXT(F13,0),INDIRECT("数出表_Excel!B"&amp;$I13&amp;":T"&amp;$I13&amp;""),0))),""),4),"1",""),
"")
&amp;"3")
&amp;"　"&amp;INDIRECT("数出表_Excel!"&amp;
IFERROR(
SUBSTITUTE(ADDRESS(1,
IFERROR(COLUMN(INDEX(INDIRECT("数出表_Excel!B"&amp;$I13&amp;":T"&amp;$I13&amp;""),1,MATCH(TEXT(F13,0),INDIRECT("数出表_Excel!B"&amp;$I13&amp;":T"&amp;$I13&amp;""),0))),""),4),"1",""),
"")
&amp;"4")
&amp;INDIRECT("数出表_Excel!"&amp;
IFERROR(
SUBSTITUTE(ADDRESS(1,
IFERROR(COLUMN(INDEX(INDIRECT("数出表_Excel!B"&amp;$I13&amp;":T"&amp;$I13&amp;""),1,MATCH(TEXT(F13,0),INDIRECT("数出表_Excel!B"&amp;$I13&amp;":T"&amp;$I13&amp;""),0))),""),4),"1",""),
"")
&amp;"5"),
INDIRECT("数出表_Excel!"&amp;
IFERROR(
SUBSTITUTE(ADDRESS(1,
IFERROR(COLUMN(INDEX(INDIRECT("数出表_Excel!B"&amp;$I13&amp;":T"&amp;$I13&amp;""),1,MATCH(TEXT(F13,0),INDIRECT("数出表_Excel!B"&amp;$I13&amp;":T"&amp;$I13&amp;""),0))),""),4),"1",""),
"")
&amp;"3")),"")</f>
        <v/>
      </c>
      <c r="O13" t="str" cm="1">
        <f t="array" aca="1" ref="O13" ca="1">IFERROR(IF(OR(COUNTIF(INDIRECT("数出表_Excel!"&amp;
IFERROR(
SUBSTITUTE(ADDRESS(1,
IFERROR(COLUMN(INDEX(INDIRECT("数出表_Excel!B"&amp;$I13&amp;":T"&amp;$I13&amp;""),1,MATCH(TEXT(G13,0),INDIRECT("数出表_Excel!B"&amp;$I13&amp;":T"&amp;$I13&amp;""),0))),""),4),"1",""),
"")
&amp;"3"),"*キャラ*"),
COUNTIF(INDIRECT("数出表_Excel!"&amp;
IFERROR(
SUBSTITUTE(ADDRESS(1,
IFERROR(COLUMN(INDEX(INDIRECT("数出表_Excel!B"&amp;$I13&amp;":T"&amp;$I13&amp;""),1,MATCH(TEXT(G13,0),INDIRECT("数出表_Excel!B"&amp;$I13&amp;":T"&amp;$I13&amp;""),0))),""),4),"1",""),
"")
&amp;"3"),"*赤*")),
INDIRECT("数出表_Excel!"&amp;
IFERROR(
SUBSTITUTE(ADDRESS(1,
IFERROR(COLUMN(INDEX(INDIRECT("数出表_Excel!B"&amp;$I13&amp;":T"&amp;$I13&amp;""),1,MATCH(TEXT(G13,0),INDIRECT("数出表_Excel!B"&amp;$I13&amp;":T"&amp;$I13&amp;""),0))),""),4),"1",""),
"")
&amp;"3")
&amp;"　"&amp;INDIRECT("数出表_Excel!"&amp;
IFERROR(
SUBSTITUTE(ADDRESS(1,
IFERROR(COLUMN(INDEX(INDIRECT("数出表_Excel!B"&amp;$I13&amp;":T"&amp;$I13&amp;""),1,MATCH(TEXT(G13,0),INDIRECT("数出表_Excel!B"&amp;$I13&amp;":T"&amp;$I13&amp;""),0))),""),4),"1",""),
"")
&amp;"4")
&amp;INDIRECT("数出表_Excel!"&amp;
IFERROR(
SUBSTITUTE(ADDRESS(1,
IFERROR(COLUMN(INDEX(INDIRECT("数出表_Excel!B"&amp;$I13&amp;":T"&amp;$I13&amp;""),1,MATCH(TEXT(G13,0),INDIRECT("数出表_Excel!B"&amp;$I13&amp;":T"&amp;$I13&amp;""),0))),""),4),"1",""),
"")
&amp;"5"),
INDIRECT("数出表_Excel!"&amp;
IFERROR(
SUBSTITUTE(ADDRESS(1,
IFERROR(COLUMN(INDEX(INDIRECT("数出表_Excel!B"&amp;$I13&amp;":T"&amp;$I13&amp;""),1,MATCH(TEXT(G13,0),INDIRECT("数出表_Excel!B"&amp;$I13&amp;":T"&amp;$I13&amp;""),0))),""),4),"1",""),
"")
&amp;"3")),"")</f>
        <v/>
      </c>
    </row>
    <row r="14" spans="9:15">
      <c r="I14" t="str">
        <f>IF(A14&lt;&gt;"",MATCH(A14,数出表_Excel!A:A,0),"")</f>
        <v/>
      </c>
      <c r="J14" t="str" cm="1">
        <f t="array" aca="1" ref="J14" ca="1">IFERROR(IF(OR(COUNTIF(INDIRECT("数出表_Excel!"&amp;
IFERROR(
SUBSTITUTE(ADDRESS(1,
IFERROR(COLUMN(INDEX(INDIRECT("数出表_Excel!B"&amp;$I14-1&amp;":T"&amp;$I14-1&amp;""),1,MATCH(TEXT(B14,0),INDIRECT("数出表_Excel!B"&amp;$I14-1&amp;":T"&amp;$I14-1&amp;""),0))),""),4),"1",""),
"")
&amp;"3"),"*キャラ*"),
COUNTIF(INDIRECT("数出表_Excel!"&amp;
IFERROR(
SUBSTITUTE(ADDRESS(1,
IFERROR(COLUMN(INDEX(INDIRECT("数出表_Excel!B"&amp;$I14-1&amp;":T"&amp;$I14-1&amp;""),1,MATCH(TEXT(B14,0),INDIRECT("数出表_Excel!B"&amp;$I14-1&amp;":T"&amp;$I14-1&amp;""),0))),""),4),"1",""),
"")
&amp;"3"),"*赤*")),
INDIRECT("数出表_Excel!"&amp;
IFERROR(
SUBSTITUTE(ADDRESS(1,
IFERROR(COLUMN(INDEX(INDIRECT("数出表_Excel!B"&amp;$I14-1&amp;":T"&amp;$I14-1&amp;""),1,MATCH(TEXT(B14,0),INDIRECT("数出表_Excel!B"&amp;$I14-1&amp;":T"&amp;$I14-1&amp;""),0))),""),4),"1",""),
"")
&amp;"3")
&amp;"　"&amp;INDIRECT("数出表_Excel!"&amp;
IFERROR(
SUBSTITUTE(ADDRESS(1,
IFERROR(COLUMN(INDEX(INDIRECT("数出表_Excel!B"&amp;$I14-1&amp;":T"&amp;$I14-1&amp;""),1,MATCH(TEXT(B14,0),INDIRECT("数出表_Excel!B"&amp;$I14-1&amp;":T"&amp;$I14-1&amp;""),0))),""),4),"1",""),
"")
&amp;"4")
&amp;INDIRECT("数出表_Excel!"&amp;
IFERROR(
SUBSTITUTE(ADDRESS(1,
IFERROR(COLUMN(INDEX(INDIRECT("数出表_Excel!B"&amp;$I14-1&amp;":T"&amp;$I14-1&amp;""),1,MATCH(TEXT(B14,0),INDIRECT("数出表_Excel!B"&amp;$I14-1&amp;":T"&amp;$I14-1&amp;""),0))),""),4),"1",""),
"")
&amp;"5"),
INDIRECT("数出表_Excel!"&amp;
IFERROR(
SUBSTITUTE(ADDRESS(1,
IFERROR(COLUMN(INDEX(INDIRECT("数出表_Excel!B"&amp;$I14-1&amp;":T"&amp;$I14-1&amp;""),1,MATCH(TEXT(B14,0),INDIRECT("数出表_Excel!B"&amp;$I14-1&amp;":T"&amp;$I14-1&amp;""),0))),""),4),"1",""),
"")
&amp;"3")),"")</f>
        <v/>
      </c>
      <c r="K14" t="str" cm="1">
        <f t="array" aca="1" ref="K14" ca="1">IFERROR(IF(OR(COUNTIF(INDIRECT("数出表_Excel!"&amp;
IFERROR(
SUBSTITUTE(ADDRESS(1,
IFERROR(COLUMN(INDEX(INDIRECT("数出表_Excel!B"&amp;$I14-1&amp;":T"&amp;$I14-1&amp;""),1,MATCH(TEXT(C14,0),INDIRECT("数出表_Excel!B"&amp;$I14-1&amp;":T"&amp;$I14-1&amp;""),0))),""),4),"1",""),
"")
&amp;"3"),"*キャラ*"),
COUNTIF(INDIRECT("数出表_Excel!"&amp;
IFERROR(
SUBSTITUTE(ADDRESS(1,
IFERROR(COLUMN(INDEX(INDIRECT("数出表_Excel!B"&amp;$I14-1&amp;":T"&amp;$I14-1&amp;""),1,MATCH(TEXT(C14,0),INDIRECT("数出表_Excel!B"&amp;$I14-1&amp;":T"&amp;$I14-1&amp;""),0))),""),4),"1",""),
"")
&amp;"3"),"*赤*")),
INDIRECT("数出表_Excel!"&amp;
IFERROR(
SUBSTITUTE(ADDRESS(1,
IFERROR(COLUMN(INDEX(INDIRECT("数出表_Excel!B"&amp;$I14-1&amp;":T"&amp;$I14-1&amp;""),1,MATCH(TEXT(C14,0),INDIRECT("数出表_Excel!B"&amp;$I14-1&amp;":T"&amp;$I14-1&amp;""),0))),""),4),"1",""),
"")
&amp;"3")
&amp;"　"&amp;INDIRECT("数出表_Excel!"&amp;
IFERROR(
SUBSTITUTE(ADDRESS(1,
IFERROR(COLUMN(INDEX(INDIRECT("数出表_Excel!B"&amp;$I14-1&amp;":T"&amp;$I14-1&amp;""),1,MATCH(TEXT(C14,0),INDIRECT("数出表_Excel!B"&amp;$I14-1&amp;":T"&amp;$I14-1&amp;""),0))),""),4),"1",""),
"")
&amp;"4")
&amp;INDIRECT("数出表_Excel!"&amp;
IFERROR(
SUBSTITUTE(ADDRESS(1,
IFERROR(COLUMN(INDEX(INDIRECT("数出表_Excel!B"&amp;$I14-1&amp;":T"&amp;$I14-1&amp;""),1,MATCH(TEXT(C14,0),INDIRECT("数出表_Excel!B"&amp;$I14-1&amp;":T"&amp;$I14-1&amp;""),0))),""),4),"1",""),
"")
&amp;"5"),
INDIRECT("数出表_Excel!"&amp;
IFERROR(
SUBSTITUTE(ADDRESS(1,
IFERROR(COLUMN(INDEX(INDIRECT("数出表_Excel!B"&amp;$I14-1&amp;":T"&amp;$I14-1&amp;""),1,MATCH(TEXT(C14,0),INDIRECT("数出表_Excel!B"&amp;$I14-1&amp;":T"&amp;$I14-1&amp;""),0))),""),4),"1",""),
"")
&amp;"3")),"")</f>
        <v/>
      </c>
      <c r="L14" t="str" cm="1">
        <f t="array" aca="1" ref="L14" ca="1">IFERROR(IF(OR(COUNTIF(INDIRECT("数出表_Excel!"&amp;
IFERROR(
SUBSTITUTE(ADDRESS(1,
IFERROR(COLUMN(INDEX(INDIRECT("数出表_Excel!B"&amp;$I14-1&amp;":T"&amp;$I14-1&amp;""),1,MATCH(TEXT(D14,0),INDIRECT("数出表_Excel!B"&amp;$I14-1&amp;":T"&amp;$I14-1&amp;""),0))),""),4),"1",""),
"")
&amp;"3"),"*キャラ*"),
COUNTIF(INDIRECT("数出表_Excel!"&amp;
IFERROR(
SUBSTITUTE(ADDRESS(1,
IFERROR(COLUMN(INDEX(INDIRECT("数出表_Excel!B"&amp;$I14-1&amp;":T"&amp;$I14-1&amp;""),1,MATCH(TEXT(D14,0),INDIRECT("数出表_Excel!B"&amp;$I14-1&amp;":T"&amp;$I14-1&amp;""),0))),""),4),"1",""),
"")
&amp;"3"),"*赤*")),
INDIRECT("数出表_Excel!"&amp;
IFERROR(
SUBSTITUTE(ADDRESS(1,
IFERROR(COLUMN(INDEX(INDIRECT("数出表_Excel!B"&amp;$I14-1&amp;":T"&amp;$I14-1&amp;""),1,MATCH(TEXT(D14,0),INDIRECT("数出表_Excel!B"&amp;$I14-1&amp;":T"&amp;$I14-1&amp;""),0))),""),4),"1",""),
"")
&amp;"3")
&amp;"　"&amp;INDIRECT("数出表_Excel!"&amp;
IFERROR(
SUBSTITUTE(ADDRESS(1,
IFERROR(COLUMN(INDEX(INDIRECT("数出表_Excel!B"&amp;$I14-1&amp;":T"&amp;$I14-1&amp;""),1,MATCH(TEXT(D14,0),INDIRECT("数出表_Excel!B"&amp;$I14-1&amp;":T"&amp;$I14-1&amp;""),0))),""),4),"1",""),
"")
&amp;"4")
&amp;INDIRECT("数出表_Excel!"&amp;
IFERROR(
SUBSTITUTE(ADDRESS(1,
IFERROR(COLUMN(INDEX(INDIRECT("数出表_Excel!B"&amp;$I14-1&amp;":T"&amp;$I14-1&amp;""),1,MATCH(TEXT(D14,0),INDIRECT("数出表_Excel!B"&amp;$I14-1&amp;":T"&amp;$I14-1&amp;""),0))),""),4),"1",""),
"")
&amp;"5"),
INDIRECT("数出表_Excel!"&amp;
IFERROR(
SUBSTITUTE(ADDRESS(1,
IFERROR(COLUMN(INDEX(INDIRECT("数出表_Excel!B"&amp;$I14-1&amp;":T"&amp;$I14-1&amp;""),1,MATCH(TEXT(D14,0),INDIRECT("数出表_Excel!B"&amp;$I14-1&amp;":T"&amp;$I14-1&amp;""),0))),""),4),"1",""),
"")
&amp;"3")),"")</f>
        <v/>
      </c>
      <c r="M14" t="str" cm="1">
        <f t="array" aca="1" ref="M14" ca="1">IFERROR(IF(OR(COUNTIF(INDIRECT("数出表_Excel!"&amp;
IFERROR(
SUBSTITUTE(ADDRESS(1,
IFERROR(COLUMN(INDEX(INDIRECT("数出表_Excel!B"&amp;$I14&amp;":T"&amp;$I14&amp;""),1,MATCH(TEXT(E14,0),INDIRECT("数出表_Excel!B"&amp;$I14&amp;":T"&amp;$I14&amp;""),0))),""),4),"1",""),
"")
&amp;"3"),"*キャラ*"),
COUNTIF(INDIRECT("数出表_Excel!"&amp;
IFERROR(
SUBSTITUTE(ADDRESS(1,
IFERROR(COLUMN(INDEX(INDIRECT("数出表_Excel!B"&amp;$I14&amp;":T"&amp;$I14&amp;""),1,MATCH(TEXT(E14,0),INDIRECT("数出表_Excel!B"&amp;$I14&amp;":T"&amp;$I14&amp;""),0))),""),4),"1",""),
"")
&amp;"3"),"*赤*")),
INDIRECT("数出表_Excel!"&amp;
IFERROR(
SUBSTITUTE(ADDRESS(1,
IFERROR(COLUMN(INDEX(INDIRECT("数出表_Excel!B"&amp;$I14&amp;":T"&amp;$I14&amp;""),1,MATCH(TEXT(E14,0),INDIRECT("数出表_Excel!B"&amp;$I14&amp;":T"&amp;$I14&amp;""),0))),""),4),"1",""),
"")
&amp;"3")
&amp;"　"&amp;INDIRECT("数出表_Excel!"&amp;
IFERROR(
SUBSTITUTE(ADDRESS(1,
IFERROR(COLUMN(INDEX(INDIRECT("数出表_Excel!B"&amp;$I14&amp;":T"&amp;$I14&amp;""),1,MATCH(TEXT(E14,0),INDIRECT("数出表_Excel!B"&amp;$I14&amp;":T"&amp;$I14&amp;""),0))),""),4),"1",""),
"")
&amp;"4")
&amp;INDIRECT("数出表_Excel!"&amp;
IFERROR(
SUBSTITUTE(ADDRESS(1,
IFERROR(COLUMN(INDEX(INDIRECT("数出表_Excel!B"&amp;$I14&amp;":T"&amp;$I14&amp;""),1,MATCH(TEXT(E14,0),INDIRECT("数出表_Excel!B"&amp;$I14&amp;":T"&amp;$I14&amp;""),0))),""),4),"1",""),
"")
&amp;"5"),
INDIRECT("数出表_Excel!"&amp;
IFERROR(
SUBSTITUTE(ADDRESS(1,
IFERROR(COLUMN(INDEX(INDIRECT("数出表_Excel!B"&amp;$I14&amp;":T"&amp;$I14&amp;""),1,MATCH(TEXT(E14,0),INDIRECT("数出表_Excel!B"&amp;$I14&amp;":T"&amp;$I14&amp;""),0))),""),4),"1",""),
"")
&amp;"3")),"")</f>
        <v/>
      </c>
      <c r="N14" t="str" cm="1">
        <f t="array" aca="1" ref="N14" ca="1">IFERROR(IF(OR(COUNTIF(INDIRECT("数出表_Excel!"&amp;
IFERROR(
SUBSTITUTE(ADDRESS(1,
IFERROR(COLUMN(INDEX(INDIRECT("数出表_Excel!B"&amp;$I14&amp;":T"&amp;$I14&amp;""),1,MATCH(TEXT(F14,0),INDIRECT("数出表_Excel!B"&amp;$I14&amp;":T"&amp;$I14&amp;""),0))),""),4),"1",""),
"")
&amp;"3"),"*キャラ*"),
COUNTIF(INDIRECT("数出表_Excel!"&amp;
IFERROR(
SUBSTITUTE(ADDRESS(1,
IFERROR(COLUMN(INDEX(INDIRECT("数出表_Excel!B"&amp;$I14&amp;":T"&amp;$I14&amp;""),1,MATCH(TEXT(F14,0),INDIRECT("数出表_Excel!B"&amp;$I14&amp;":T"&amp;$I14&amp;""),0))),""),4),"1",""),
"")
&amp;"3"),"*赤*")),
INDIRECT("数出表_Excel!"&amp;
IFERROR(
SUBSTITUTE(ADDRESS(1,
IFERROR(COLUMN(INDEX(INDIRECT("数出表_Excel!B"&amp;$I14&amp;":T"&amp;$I14&amp;""),1,MATCH(TEXT(F14,0),INDIRECT("数出表_Excel!B"&amp;$I14&amp;":T"&amp;$I14&amp;""),0))),""),4),"1",""),
"")
&amp;"3")
&amp;"　"&amp;INDIRECT("数出表_Excel!"&amp;
IFERROR(
SUBSTITUTE(ADDRESS(1,
IFERROR(COLUMN(INDEX(INDIRECT("数出表_Excel!B"&amp;$I14&amp;":T"&amp;$I14&amp;""),1,MATCH(TEXT(F14,0),INDIRECT("数出表_Excel!B"&amp;$I14&amp;":T"&amp;$I14&amp;""),0))),""),4),"1",""),
"")
&amp;"4")
&amp;INDIRECT("数出表_Excel!"&amp;
IFERROR(
SUBSTITUTE(ADDRESS(1,
IFERROR(COLUMN(INDEX(INDIRECT("数出表_Excel!B"&amp;$I14&amp;":T"&amp;$I14&amp;""),1,MATCH(TEXT(F14,0),INDIRECT("数出表_Excel!B"&amp;$I14&amp;":T"&amp;$I14&amp;""),0))),""),4),"1",""),
"")
&amp;"5"),
INDIRECT("数出表_Excel!"&amp;
IFERROR(
SUBSTITUTE(ADDRESS(1,
IFERROR(COLUMN(INDEX(INDIRECT("数出表_Excel!B"&amp;$I14&amp;":T"&amp;$I14&amp;""),1,MATCH(TEXT(F14,0),INDIRECT("数出表_Excel!B"&amp;$I14&amp;":T"&amp;$I14&amp;""),0))),""),4),"1",""),
"")
&amp;"3")),"")</f>
        <v/>
      </c>
      <c r="O14" t="str" cm="1">
        <f t="array" aca="1" ref="O14" ca="1">IFERROR(IF(OR(COUNTIF(INDIRECT("数出表_Excel!"&amp;
IFERROR(
SUBSTITUTE(ADDRESS(1,
IFERROR(COLUMN(INDEX(INDIRECT("数出表_Excel!B"&amp;$I14&amp;":T"&amp;$I14&amp;""),1,MATCH(TEXT(G14,0),INDIRECT("数出表_Excel!B"&amp;$I14&amp;":T"&amp;$I14&amp;""),0))),""),4),"1",""),
"")
&amp;"3"),"*キャラ*"),
COUNTIF(INDIRECT("数出表_Excel!"&amp;
IFERROR(
SUBSTITUTE(ADDRESS(1,
IFERROR(COLUMN(INDEX(INDIRECT("数出表_Excel!B"&amp;$I14&amp;":T"&amp;$I14&amp;""),1,MATCH(TEXT(G14,0),INDIRECT("数出表_Excel!B"&amp;$I14&amp;":T"&amp;$I14&amp;""),0))),""),4),"1",""),
"")
&amp;"3"),"*赤*")),
INDIRECT("数出表_Excel!"&amp;
IFERROR(
SUBSTITUTE(ADDRESS(1,
IFERROR(COLUMN(INDEX(INDIRECT("数出表_Excel!B"&amp;$I14&amp;":T"&amp;$I14&amp;""),1,MATCH(TEXT(G14,0),INDIRECT("数出表_Excel!B"&amp;$I14&amp;":T"&amp;$I14&amp;""),0))),""),4),"1",""),
"")
&amp;"3")
&amp;"　"&amp;INDIRECT("数出表_Excel!"&amp;
IFERROR(
SUBSTITUTE(ADDRESS(1,
IFERROR(COLUMN(INDEX(INDIRECT("数出表_Excel!B"&amp;$I14&amp;":T"&amp;$I14&amp;""),1,MATCH(TEXT(G14,0),INDIRECT("数出表_Excel!B"&amp;$I14&amp;":T"&amp;$I14&amp;""),0))),""),4),"1",""),
"")
&amp;"4")
&amp;INDIRECT("数出表_Excel!"&amp;
IFERROR(
SUBSTITUTE(ADDRESS(1,
IFERROR(COLUMN(INDEX(INDIRECT("数出表_Excel!B"&amp;$I14&amp;":T"&amp;$I14&amp;""),1,MATCH(TEXT(G14,0),INDIRECT("数出表_Excel!B"&amp;$I14&amp;":T"&amp;$I14&amp;""),0))),""),4),"1",""),
"")
&amp;"5"),
INDIRECT("数出表_Excel!"&amp;
IFERROR(
SUBSTITUTE(ADDRESS(1,
IFERROR(COLUMN(INDEX(INDIRECT("数出表_Excel!B"&amp;$I14&amp;":T"&amp;$I14&amp;""),1,MATCH(TEXT(G14,0),INDIRECT("数出表_Excel!B"&amp;$I14&amp;":T"&amp;$I14&amp;""),0))),""),4),"1",""),
"")
&amp;"3")),"")</f>
        <v/>
      </c>
    </row>
    <row r="15" spans="9:15">
      <c r="I15" t="str">
        <f>IF(A15&lt;&gt;"",MATCH(A15,数出表_Excel!A:A,0),"")</f>
        <v/>
      </c>
      <c r="J15" t="str" cm="1">
        <f t="array" aca="1" ref="J15" ca="1">IFERROR(IF(OR(COUNTIF(INDIRECT("数出表_Excel!"&amp;
IFERROR(
SUBSTITUTE(ADDRESS(1,
IFERROR(COLUMN(INDEX(INDIRECT("数出表_Excel!B"&amp;$I15-1&amp;":T"&amp;$I15-1&amp;""),1,MATCH(TEXT(B15,0),INDIRECT("数出表_Excel!B"&amp;$I15-1&amp;":T"&amp;$I15-1&amp;""),0))),""),4),"1",""),
"")
&amp;"3"),"*キャラ*"),
COUNTIF(INDIRECT("数出表_Excel!"&amp;
IFERROR(
SUBSTITUTE(ADDRESS(1,
IFERROR(COLUMN(INDEX(INDIRECT("数出表_Excel!B"&amp;$I15-1&amp;":T"&amp;$I15-1&amp;""),1,MATCH(TEXT(B15,0),INDIRECT("数出表_Excel!B"&amp;$I15-1&amp;":T"&amp;$I15-1&amp;""),0))),""),4),"1",""),
"")
&amp;"3"),"*赤*")),
INDIRECT("数出表_Excel!"&amp;
IFERROR(
SUBSTITUTE(ADDRESS(1,
IFERROR(COLUMN(INDEX(INDIRECT("数出表_Excel!B"&amp;$I15-1&amp;":T"&amp;$I15-1&amp;""),1,MATCH(TEXT(B15,0),INDIRECT("数出表_Excel!B"&amp;$I15-1&amp;":T"&amp;$I15-1&amp;""),0))),""),4),"1",""),
"")
&amp;"3")
&amp;"　"&amp;INDIRECT("数出表_Excel!"&amp;
IFERROR(
SUBSTITUTE(ADDRESS(1,
IFERROR(COLUMN(INDEX(INDIRECT("数出表_Excel!B"&amp;$I15-1&amp;":T"&amp;$I15-1&amp;""),1,MATCH(TEXT(B15,0),INDIRECT("数出表_Excel!B"&amp;$I15-1&amp;":T"&amp;$I15-1&amp;""),0))),""),4),"1",""),
"")
&amp;"4")
&amp;INDIRECT("数出表_Excel!"&amp;
IFERROR(
SUBSTITUTE(ADDRESS(1,
IFERROR(COLUMN(INDEX(INDIRECT("数出表_Excel!B"&amp;$I15-1&amp;":T"&amp;$I15-1&amp;""),1,MATCH(TEXT(B15,0),INDIRECT("数出表_Excel!B"&amp;$I15-1&amp;":T"&amp;$I15-1&amp;""),0))),""),4),"1",""),
"")
&amp;"5"),
INDIRECT("数出表_Excel!"&amp;
IFERROR(
SUBSTITUTE(ADDRESS(1,
IFERROR(COLUMN(INDEX(INDIRECT("数出表_Excel!B"&amp;$I15-1&amp;":T"&amp;$I15-1&amp;""),1,MATCH(TEXT(B15,0),INDIRECT("数出表_Excel!B"&amp;$I15-1&amp;":T"&amp;$I15-1&amp;""),0))),""),4),"1",""),
"")
&amp;"3")),"")</f>
        <v/>
      </c>
      <c r="K15" t="str" cm="1">
        <f t="array" aca="1" ref="K15" ca="1">IFERROR(IF(OR(COUNTIF(INDIRECT("数出表_Excel!"&amp;
IFERROR(
SUBSTITUTE(ADDRESS(1,
IFERROR(COLUMN(INDEX(INDIRECT("数出表_Excel!B"&amp;$I15-1&amp;":T"&amp;$I15-1&amp;""),1,MATCH(TEXT(C15,0),INDIRECT("数出表_Excel!B"&amp;$I15-1&amp;":T"&amp;$I15-1&amp;""),0))),""),4),"1",""),
"")
&amp;"3"),"*キャラ*"),
COUNTIF(INDIRECT("数出表_Excel!"&amp;
IFERROR(
SUBSTITUTE(ADDRESS(1,
IFERROR(COLUMN(INDEX(INDIRECT("数出表_Excel!B"&amp;$I15-1&amp;":T"&amp;$I15-1&amp;""),1,MATCH(TEXT(C15,0),INDIRECT("数出表_Excel!B"&amp;$I15-1&amp;":T"&amp;$I15-1&amp;""),0))),""),4),"1",""),
"")
&amp;"3"),"*赤*")),
INDIRECT("数出表_Excel!"&amp;
IFERROR(
SUBSTITUTE(ADDRESS(1,
IFERROR(COLUMN(INDEX(INDIRECT("数出表_Excel!B"&amp;$I15-1&amp;":T"&amp;$I15-1&amp;""),1,MATCH(TEXT(C15,0),INDIRECT("数出表_Excel!B"&amp;$I15-1&amp;":T"&amp;$I15-1&amp;""),0))),""),4),"1",""),
"")
&amp;"3")
&amp;"　"&amp;INDIRECT("数出表_Excel!"&amp;
IFERROR(
SUBSTITUTE(ADDRESS(1,
IFERROR(COLUMN(INDEX(INDIRECT("数出表_Excel!B"&amp;$I15-1&amp;":T"&amp;$I15-1&amp;""),1,MATCH(TEXT(C15,0),INDIRECT("数出表_Excel!B"&amp;$I15-1&amp;":T"&amp;$I15-1&amp;""),0))),""),4),"1",""),
"")
&amp;"4")
&amp;INDIRECT("数出表_Excel!"&amp;
IFERROR(
SUBSTITUTE(ADDRESS(1,
IFERROR(COLUMN(INDEX(INDIRECT("数出表_Excel!B"&amp;$I15-1&amp;":T"&amp;$I15-1&amp;""),1,MATCH(TEXT(C15,0),INDIRECT("数出表_Excel!B"&amp;$I15-1&amp;":T"&amp;$I15-1&amp;""),0))),""),4),"1",""),
"")
&amp;"5"),
INDIRECT("数出表_Excel!"&amp;
IFERROR(
SUBSTITUTE(ADDRESS(1,
IFERROR(COLUMN(INDEX(INDIRECT("数出表_Excel!B"&amp;$I15-1&amp;":T"&amp;$I15-1&amp;""),1,MATCH(TEXT(C15,0),INDIRECT("数出表_Excel!B"&amp;$I15-1&amp;":T"&amp;$I15-1&amp;""),0))),""),4),"1",""),
"")
&amp;"3")),"")</f>
        <v/>
      </c>
      <c r="L15" t="str" cm="1">
        <f t="array" aca="1" ref="L15" ca="1">IFERROR(IF(OR(COUNTIF(INDIRECT("数出表_Excel!"&amp;
IFERROR(
SUBSTITUTE(ADDRESS(1,
IFERROR(COLUMN(INDEX(INDIRECT("数出表_Excel!B"&amp;$I15-1&amp;":T"&amp;$I15-1&amp;""),1,MATCH(TEXT(D15,0),INDIRECT("数出表_Excel!B"&amp;$I15-1&amp;":T"&amp;$I15-1&amp;""),0))),""),4),"1",""),
"")
&amp;"3"),"*キャラ*"),
COUNTIF(INDIRECT("数出表_Excel!"&amp;
IFERROR(
SUBSTITUTE(ADDRESS(1,
IFERROR(COLUMN(INDEX(INDIRECT("数出表_Excel!B"&amp;$I15-1&amp;":T"&amp;$I15-1&amp;""),1,MATCH(TEXT(D15,0),INDIRECT("数出表_Excel!B"&amp;$I15-1&amp;":T"&amp;$I15-1&amp;""),0))),""),4),"1",""),
"")
&amp;"3"),"*赤*")),
INDIRECT("数出表_Excel!"&amp;
IFERROR(
SUBSTITUTE(ADDRESS(1,
IFERROR(COLUMN(INDEX(INDIRECT("数出表_Excel!B"&amp;$I15-1&amp;":T"&amp;$I15-1&amp;""),1,MATCH(TEXT(D15,0),INDIRECT("数出表_Excel!B"&amp;$I15-1&amp;":T"&amp;$I15-1&amp;""),0))),""),4),"1",""),
"")
&amp;"3")
&amp;"　"&amp;INDIRECT("数出表_Excel!"&amp;
IFERROR(
SUBSTITUTE(ADDRESS(1,
IFERROR(COLUMN(INDEX(INDIRECT("数出表_Excel!B"&amp;$I15-1&amp;":T"&amp;$I15-1&amp;""),1,MATCH(TEXT(D15,0),INDIRECT("数出表_Excel!B"&amp;$I15-1&amp;":T"&amp;$I15-1&amp;""),0))),""),4),"1",""),
"")
&amp;"4")
&amp;INDIRECT("数出表_Excel!"&amp;
IFERROR(
SUBSTITUTE(ADDRESS(1,
IFERROR(COLUMN(INDEX(INDIRECT("数出表_Excel!B"&amp;$I15-1&amp;":T"&amp;$I15-1&amp;""),1,MATCH(TEXT(D15,0),INDIRECT("数出表_Excel!B"&amp;$I15-1&amp;":T"&amp;$I15-1&amp;""),0))),""),4),"1",""),
"")
&amp;"5"),
INDIRECT("数出表_Excel!"&amp;
IFERROR(
SUBSTITUTE(ADDRESS(1,
IFERROR(COLUMN(INDEX(INDIRECT("数出表_Excel!B"&amp;$I15-1&amp;":T"&amp;$I15-1&amp;""),1,MATCH(TEXT(D15,0),INDIRECT("数出表_Excel!B"&amp;$I15-1&amp;":T"&amp;$I15-1&amp;""),0))),""),4),"1",""),
"")
&amp;"3")),"")</f>
        <v/>
      </c>
      <c r="M15" t="str" cm="1">
        <f t="array" aca="1" ref="M15" ca="1">IFERROR(IF(OR(COUNTIF(INDIRECT("数出表_Excel!"&amp;
IFERROR(
SUBSTITUTE(ADDRESS(1,
IFERROR(COLUMN(INDEX(INDIRECT("数出表_Excel!B"&amp;$I15&amp;":T"&amp;$I15&amp;""),1,MATCH(TEXT(E15,0),INDIRECT("数出表_Excel!B"&amp;$I15&amp;":T"&amp;$I15&amp;""),0))),""),4),"1",""),
"")
&amp;"3"),"*キャラ*"),
COUNTIF(INDIRECT("数出表_Excel!"&amp;
IFERROR(
SUBSTITUTE(ADDRESS(1,
IFERROR(COLUMN(INDEX(INDIRECT("数出表_Excel!B"&amp;$I15&amp;":T"&amp;$I15&amp;""),1,MATCH(TEXT(E15,0),INDIRECT("数出表_Excel!B"&amp;$I15&amp;":T"&amp;$I15&amp;""),0))),""),4),"1",""),
"")
&amp;"3"),"*赤*")),
INDIRECT("数出表_Excel!"&amp;
IFERROR(
SUBSTITUTE(ADDRESS(1,
IFERROR(COLUMN(INDEX(INDIRECT("数出表_Excel!B"&amp;$I15&amp;":T"&amp;$I15&amp;""),1,MATCH(TEXT(E15,0),INDIRECT("数出表_Excel!B"&amp;$I15&amp;":T"&amp;$I15&amp;""),0))),""),4),"1",""),
"")
&amp;"3")
&amp;"　"&amp;INDIRECT("数出表_Excel!"&amp;
IFERROR(
SUBSTITUTE(ADDRESS(1,
IFERROR(COLUMN(INDEX(INDIRECT("数出表_Excel!B"&amp;$I15&amp;":T"&amp;$I15&amp;""),1,MATCH(TEXT(E15,0),INDIRECT("数出表_Excel!B"&amp;$I15&amp;":T"&amp;$I15&amp;""),0))),""),4),"1",""),
"")
&amp;"4")
&amp;INDIRECT("数出表_Excel!"&amp;
IFERROR(
SUBSTITUTE(ADDRESS(1,
IFERROR(COLUMN(INDEX(INDIRECT("数出表_Excel!B"&amp;$I15&amp;":T"&amp;$I15&amp;""),1,MATCH(TEXT(E15,0),INDIRECT("数出表_Excel!B"&amp;$I15&amp;":T"&amp;$I15&amp;""),0))),""),4),"1",""),
"")
&amp;"5"),
INDIRECT("数出表_Excel!"&amp;
IFERROR(
SUBSTITUTE(ADDRESS(1,
IFERROR(COLUMN(INDEX(INDIRECT("数出表_Excel!B"&amp;$I15&amp;":T"&amp;$I15&amp;""),1,MATCH(TEXT(E15,0),INDIRECT("数出表_Excel!B"&amp;$I15&amp;":T"&amp;$I15&amp;""),0))),""),4),"1",""),
"")
&amp;"3")),"")</f>
        <v/>
      </c>
      <c r="N15" t="str" cm="1">
        <f t="array" aca="1" ref="N15" ca="1">IFERROR(IF(OR(COUNTIF(INDIRECT("数出表_Excel!"&amp;
IFERROR(
SUBSTITUTE(ADDRESS(1,
IFERROR(COLUMN(INDEX(INDIRECT("数出表_Excel!B"&amp;$I15&amp;":T"&amp;$I15&amp;""),1,MATCH(TEXT(F15,0),INDIRECT("数出表_Excel!B"&amp;$I15&amp;":T"&amp;$I15&amp;""),0))),""),4),"1",""),
"")
&amp;"3"),"*キャラ*"),
COUNTIF(INDIRECT("数出表_Excel!"&amp;
IFERROR(
SUBSTITUTE(ADDRESS(1,
IFERROR(COLUMN(INDEX(INDIRECT("数出表_Excel!B"&amp;$I15&amp;":T"&amp;$I15&amp;""),1,MATCH(TEXT(F15,0),INDIRECT("数出表_Excel!B"&amp;$I15&amp;":T"&amp;$I15&amp;""),0))),""),4),"1",""),
"")
&amp;"3"),"*赤*")),
INDIRECT("数出表_Excel!"&amp;
IFERROR(
SUBSTITUTE(ADDRESS(1,
IFERROR(COLUMN(INDEX(INDIRECT("数出表_Excel!B"&amp;$I15&amp;":T"&amp;$I15&amp;""),1,MATCH(TEXT(F15,0),INDIRECT("数出表_Excel!B"&amp;$I15&amp;":T"&amp;$I15&amp;""),0))),""),4),"1",""),
"")
&amp;"3")
&amp;"　"&amp;INDIRECT("数出表_Excel!"&amp;
IFERROR(
SUBSTITUTE(ADDRESS(1,
IFERROR(COLUMN(INDEX(INDIRECT("数出表_Excel!B"&amp;$I15&amp;":T"&amp;$I15&amp;""),1,MATCH(TEXT(F15,0),INDIRECT("数出表_Excel!B"&amp;$I15&amp;":T"&amp;$I15&amp;""),0))),""),4),"1",""),
"")
&amp;"4")
&amp;INDIRECT("数出表_Excel!"&amp;
IFERROR(
SUBSTITUTE(ADDRESS(1,
IFERROR(COLUMN(INDEX(INDIRECT("数出表_Excel!B"&amp;$I15&amp;":T"&amp;$I15&amp;""),1,MATCH(TEXT(F15,0),INDIRECT("数出表_Excel!B"&amp;$I15&amp;":T"&amp;$I15&amp;""),0))),""),4),"1",""),
"")
&amp;"5"),
INDIRECT("数出表_Excel!"&amp;
IFERROR(
SUBSTITUTE(ADDRESS(1,
IFERROR(COLUMN(INDEX(INDIRECT("数出表_Excel!B"&amp;$I15&amp;":T"&amp;$I15&amp;""),1,MATCH(TEXT(F15,0),INDIRECT("数出表_Excel!B"&amp;$I15&amp;":T"&amp;$I15&amp;""),0))),""),4),"1",""),
"")
&amp;"3")),"")</f>
        <v/>
      </c>
      <c r="O15" t="str" cm="1">
        <f t="array" aca="1" ref="O15" ca="1">IFERROR(IF(OR(COUNTIF(INDIRECT("数出表_Excel!"&amp;
IFERROR(
SUBSTITUTE(ADDRESS(1,
IFERROR(COLUMN(INDEX(INDIRECT("数出表_Excel!B"&amp;$I15&amp;":T"&amp;$I15&amp;""),1,MATCH(TEXT(G15,0),INDIRECT("数出表_Excel!B"&amp;$I15&amp;":T"&amp;$I15&amp;""),0))),""),4),"1",""),
"")
&amp;"3"),"*キャラ*"),
COUNTIF(INDIRECT("数出表_Excel!"&amp;
IFERROR(
SUBSTITUTE(ADDRESS(1,
IFERROR(COLUMN(INDEX(INDIRECT("数出表_Excel!B"&amp;$I15&amp;":T"&amp;$I15&amp;""),1,MATCH(TEXT(G15,0),INDIRECT("数出表_Excel!B"&amp;$I15&amp;":T"&amp;$I15&amp;""),0))),""),4),"1",""),
"")
&amp;"3"),"*赤*")),
INDIRECT("数出表_Excel!"&amp;
IFERROR(
SUBSTITUTE(ADDRESS(1,
IFERROR(COLUMN(INDEX(INDIRECT("数出表_Excel!B"&amp;$I15&amp;":T"&amp;$I15&amp;""),1,MATCH(TEXT(G15,0),INDIRECT("数出表_Excel!B"&amp;$I15&amp;":T"&amp;$I15&amp;""),0))),""),4),"1",""),
"")
&amp;"3")
&amp;"　"&amp;INDIRECT("数出表_Excel!"&amp;
IFERROR(
SUBSTITUTE(ADDRESS(1,
IFERROR(COLUMN(INDEX(INDIRECT("数出表_Excel!B"&amp;$I15&amp;":T"&amp;$I15&amp;""),1,MATCH(TEXT(G15,0),INDIRECT("数出表_Excel!B"&amp;$I15&amp;":T"&amp;$I15&amp;""),0))),""),4),"1",""),
"")
&amp;"4")
&amp;INDIRECT("数出表_Excel!"&amp;
IFERROR(
SUBSTITUTE(ADDRESS(1,
IFERROR(COLUMN(INDEX(INDIRECT("数出表_Excel!B"&amp;$I15&amp;":T"&amp;$I15&amp;""),1,MATCH(TEXT(G15,0),INDIRECT("数出表_Excel!B"&amp;$I15&amp;":T"&amp;$I15&amp;""),0))),""),4),"1",""),
"")
&amp;"5"),
INDIRECT("数出表_Excel!"&amp;
IFERROR(
SUBSTITUTE(ADDRESS(1,
IFERROR(COLUMN(INDEX(INDIRECT("数出表_Excel!B"&amp;$I15&amp;":T"&amp;$I15&amp;""),1,MATCH(TEXT(G15,0),INDIRECT("数出表_Excel!B"&amp;$I15&amp;":T"&amp;$I15&amp;""),0))),""),4),"1",""),
"")
&amp;"3")),"")</f>
        <v/>
      </c>
    </row>
    <row r="16" spans="9:15">
      <c r="I16" t="str">
        <f>IF(A16&lt;&gt;"",MATCH(A16,数出表_Excel!A:A,0),"")</f>
        <v/>
      </c>
      <c r="J16" t="str" cm="1">
        <f t="array" aca="1" ref="J16" ca="1">IFERROR(IF(OR(COUNTIF(INDIRECT("数出表_Excel!"&amp;
IFERROR(
SUBSTITUTE(ADDRESS(1,
IFERROR(COLUMN(INDEX(INDIRECT("数出表_Excel!B"&amp;$I16-1&amp;":T"&amp;$I16-1&amp;""),1,MATCH(TEXT(B16,0),INDIRECT("数出表_Excel!B"&amp;$I16-1&amp;":T"&amp;$I16-1&amp;""),0))),""),4),"1",""),
"")
&amp;"3"),"*キャラ*"),
COUNTIF(INDIRECT("数出表_Excel!"&amp;
IFERROR(
SUBSTITUTE(ADDRESS(1,
IFERROR(COLUMN(INDEX(INDIRECT("数出表_Excel!B"&amp;$I16-1&amp;":T"&amp;$I16-1&amp;""),1,MATCH(TEXT(B16,0),INDIRECT("数出表_Excel!B"&amp;$I16-1&amp;":T"&amp;$I16-1&amp;""),0))),""),4),"1",""),
"")
&amp;"3"),"*赤*")),
INDIRECT("数出表_Excel!"&amp;
IFERROR(
SUBSTITUTE(ADDRESS(1,
IFERROR(COLUMN(INDEX(INDIRECT("数出表_Excel!B"&amp;$I16-1&amp;":T"&amp;$I16-1&amp;""),1,MATCH(TEXT(B16,0),INDIRECT("数出表_Excel!B"&amp;$I16-1&amp;":T"&amp;$I16-1&amp;""),0))),""),4),"1",""),
"")
&amp;"3")
&amp;"　"&amp;INDIRECT("数出表_Excel!"&amp;
IFERROR(
SUBSTITUTE(ADDRESS(1,
IFERROR(COLUMN(INDEX(INDIRECT("数出表_Excel!B"&amp;$I16-1&amp;":T"&amp;$I16-1&amp;""),1,MATCH(TEXT(B16,0),INDIRECT("数出表_Excel!B"&amp;$I16-1&amp;":T"&amp;$I16-1&amp;""),0))),""),4),"1",""),
"")
&amp;"4")
&amp;INDIRECT("数出表_Excel!"&amp;
IFERROR(
SUBSTITUTE(ADDRESS(1,
IFERROR(COLUMN(INDEX(INDIRECT("数出表_Excel!B"&amp;$I16-1&amp;":T"&amp;$I16-1&amp;""),1,MATCH(TEXT(B16,0),INDIRECT("数出表_Excel!B"&amp;$I16-1&amp;":T"&amp;$I16-1&amp;""),0))),""),4),"1",""),
"")
&amp;"5"),
INDIRECT("数出表_Excel!"&amp;
IFERROR(
SUBSTITUTE(ADDRESS(1,
IFERROR(COLUMN(INDEX(INDIRECT("数出表_Excel!B"&amp;$I16-1&amp;":T"&amp;$I16-1&amp;""),1,MATCH(TEXT(B16,0),INDIRECT("数出表_Excel!B"&amp;$I16-1&amp;":T"&amp;$I16-1&amp;""),0))),""),4),"1",""),
"")
&amp;"3")),"")</f>
        <v/>
      </c>
      <c r="K16" t="str" cm="1">
        <f t="array" aca="1" ref="K16" ca="1">IFERROR(IF(OR(COUNTIF(INDIRECT("数出表_Excel!"&amp;
IFERROR(
SUBSTITUTE(ADDRESS(1,
IFERROR(COLUMN(INDEX(INDIRECT("数出表_Excel!B"&amp;$I16-1&amp;":T"&amp;$I16-1&amp;""),1,MATCH(TEXT(C16,0),INDIRECT("数出表_Excel!B"&amp;$I16-1&amp;":T"&amp;$I16-1&amp;""),0))),""),4),"1",""),
"")
&amp;"3"),"*キャラ*"),
COUNTIF(INDIRECT("数出表_Excel!"&amp;
IFERROR(
SUBSTITUTE(ADDRESS(1,
IFERROR(COLUMN(INDEX(INDIRECT("数出表_Excel!B"&amp;$I16-1&amp;":T"&amp;$I16-1&amp;""),1,MATCH(TEXT(C16,0),INDIRECT("数出表_Excel!B"&amp;$I16-1&amp;":T"&amp;$I16-1&amp;""),0))),""),4),"1",""),
"")
&amp;"3"),"*赤*")),
INDIRECT("数出表_Excel!"&amp;
IFERROR(
SUBSTITUTE(ADDRESS(1,
IFERROR(COLUMN(INDEX(INDIRECT("数出表_Excel!B"&amp;$I16-1&amp;":T"&amp;$I16-1&amp;""),1,MATCH(TEXT(C16,0),INDIRECT("数出表_Excel!B"&amp;$I16-1&amp;":T"&amp;$I16-1&amp;""),0))),""),4),"1",""),
"")
&amp;"3")
&amp;"　"&amp;INDIRECT("数出表_Excel!"&amp;
IFERROR(
SUBSTITUTE(ADDRESS(1,
IFERROR(COLUMN(INDEX(INDIRECT("数出表_Excel!B"&amp;$I16-1&amp;":T"&amp;$I16-1&amp;""),1,MATCH(TEXT(C16,0),INDIRECT("数出表_Excel!B"&amp;$I16-1&amp;":T"&amp;$I16-1&amp;""),0))),""),4),"1",""),
"")
&amp;"4")
&amp;INDIRECT("数出表_Excel!"&amp;
IFERROR(
SUBSTITUTE(ADDRESS(1,
IFERROR(COLUMN(INDEX(INDIRECT("数出表_Excel!B"&amp;$I16-1&amp;":T"&amp;$I16-1&amp;""),1,MATCH(TEXT(C16,0),INDIRECT("数出表_Excel!B"&amp;$I16-1&amp;":T"&amp;$I16-1&amp;""),0))),""),4),"1",""),
"")
&amp;"5"),
INDIRECT("数出表_Excel!"&amp;
IFERROR(
SUBSTITUTE(ADDRESS(1,
IFERROR(COLUMN(INDEX(INDIRECT("数出表_Excel!B"&amp;$I16-1&amp;":T"&amp;$I16-1&amp;""),1,MATCH(TEXT(C16,0),INDIRECT("数出表_Excel!B"&amp;$I16-1&amp;":T"&amp;$I16-1&amp;""),0))),""),4),"1",""),
"")
&amp;"3")),"")</f>
        <v/>
      </c>
      <c r="L16" t="str" cm="1">
        <f t="array" aca="1" ref="L16" ca="1">IFERROR(IF(OR(COUNTIF(INDIRECT("数出表_Excel!"&amp;
IFERROR(
SUBSTITUTE(ADDRESS(1,
IFERROR(COLUMN(INDEX(INDIRECT("数出表_Excel!B"&amp;$I16-1&amp;":T"&amp;$I16-1&amp;""),1,MATCH(TEXT(D16,0),INDIRECT("数出表_Excel!B"&amp;$I16-1&amp;":T"&amp;$I16-1&amp;""),0))),""),4),"1",""),
"")
&amp;"3"),"*キャラ*"),
COUNTIF(INDIRECT("数出表_Excel!"&amp;
IFERROR(
SUBSTITUTE(ADDRESS(1,
IFERROR(COLUMN(INDEX(INDIRECT("数出表_Excel!B"&amp;$I16-1&amp;":T"&amp;$I16-1&amp;""),1,MATCH(TEXT(D16,0),INDIRECT("数出表_Excel!B"&amp;$I16-1&amp;":T"&amp;$I16-1&amp;""),0))),""),4),"1",""),
"")
&amp;"3"),"*赤*")),
INDIRECT("数出表_Excel!"&amp;
IFERROR(
SUBSTITUTE(ADDRESS(1,
IFERROR(COLUMN(INDEX(INDIRECT("数出表_Excel!B"&amp;$I16-1&amp;":T"&amp;$I16-1&amp;""),1,MATCH(TEXT(D16,0),INDIRECT("数出表_Excel!B"&amp;$I16-1&amp;":T"&amp;$I16-1&amp;""),0))),""),4),"1",""),
"")
&amp;"3")
&amp;"　"&amp;INDIRECT("数出表_Excel!"&amp;
IFERROR(
SUBSTITUTE(ADDRESS(1,
IFERROR(COLUMN(INDEX(INDIRECT("数出表_Excel!B"&amp;$I16-1&amp;":T"&amp;$I16-1&amp;""),1,MATCH(TEXT(D16,0),INDIRECT("数出表_Excel!B"&amp;$I16-1&amp;":T"&amp;$I16-1&amp;""),0))),""),4),"1",""),
"")
&amp;"4")
&amp;INDIRECT("数出表_Excel!"&amp;
IFERROR(
SUBSTITUTE(ADDRESS(1,
IFERROR(COLUMN(INDEX(INDIRECT("数出表_Excel!B"&amp;$I16-1&amp;":T"&amp;$I16-1&amp;""),1,MATCH(TEXT(D16,0),INDIRECT("数出表_Excel!B"&amp;$I16-1&amp;":T"&amp;$I16-1&amp;""),0))),""),4),"1",""),
"")
&amp;"5"),
INDIRECT("数出表_Excel!"&amp;
IFERROR(
SUBSTITUTE(ADDRESS(1,
IFERROR(COLUMN(INDEX(INDIRECT("数出表_Excel!B"&amp;$I16-1&amp;":T"&amp;$I16-1&amp;""),1,MATCH(TEXT(D16,0),INDIRECT("数出表_Excel!B"&amp;$I16-1&amp;":T"&amp;$I16-1&amp;""),0))),""),4),"1",""),
"")
&amp;"3")),"")</f>
        <v/>
      </c>
      <c r="M16" t="str" cm="1">
        <f t="array" aca="1" ref="M16" ca="1">IFERROR(IF(OR(COUNTIF(INDIRECT("数出表_Excel!"&amp;
IFERROR(
SUBSTITUTE(ADDRESS(1,
IFERROR(COLUMN(INDEX(INDIRECT("数出表_Excel!B"&amp;$I16&amp;":T"&amp;$I16&amp;""),1,MATCH(TEXT(E16,0),INDIRECT("数出表_Excel!B"&amp;$I16&amp;":T"&amp;$I16&amp;""),0))),""),4),"1",""),
"")
&amp;"3"),"*キャラ*"),
COUNTIF(INDIRECT("数出表_Excel!"&amp;
IFERROR(
SUBSTITUTE(ADDRESS(1,
IFERROR(COLUMN(INDEX(INDIRECT("数出表_Excel!B"&amp;$I16&amp;":T"&amp;$I16&amp;""),1,MATCH(TEXT(E16,0),INDIRECT("数出表_Excel!B"&amp;$I16&amp;":T"&amp;$I16&amp;""),0))),""),4),"1",""),
"")
&amp;"3"),"*赤*")),
INDIRECT("数出表_Excel!"&amp;
IFERROR(
SUBSTITUTE(ADDRESS(1,
IFERROR(COLUMN(INDEX(INDIRECT("数出表_Excel!B"&amp;$I16&amp;":T"&amp;$I16&amp;""),1,MATCH(TEXT(E16,0),INDIRECT("数出表_Excel!B"&amp;$I16&amp;":T"&amp;$I16&amp;""),0))),""),4),"1",""),
"")
&amp;"3")
&amp;"　"&amp;INDIRECT("数出表_Excel!"&amp;
IFERROR(
SUBSTITUTE(ADDRESS(1,
IFERROR(COLUMN(INDEX(INDIRECT("数出表_Excel!B"&amp;$I16&amp;":T"&amp;$I16&amp;""),1,MATCH(TEXT(E16,0),INDIRECT("数出表_Excel!B"&amp;$I16&amp;":T"&amp;$I16&amp;""),0))),""),4),"1",""),
"")
&amp;"4")
&amp;INDIRECT("数出表_Excel!"&amp;
IFERROR(
SUBSTITUTE(ADDRESS(1,
IFERROR(COLUMN(INDEX(INDIRECT("数出表_Excel!B"&amp;$I16&amp;":T"&amp;$I16&amp;""),1,MATCH(TEXT(E16,0),INDIRECT("数出表_Excel!B"&amp;$I16&amp;":T"&amp;$I16&amp;""),0))),""),4),"1",""),
"")
&amp;"5"),
INDIRECT("数出表_Excel!"&amp;
IFERROR(
SUBSTITUTE(ADDRESS(1,
IFERROR(COLUMN(INDEX(INDIRECT("数出表_Excel!B"&amp;$I16&amp;":T"&amp;$I16&amp;""),1,MATCH(TEXT(E16,0),INDIRECT("数出表_Excel!B"&amp;$I16&amp;":T"&amp;$I16&amp;""),0))),""),4),"1",""),
"")
&amp;"3")),"")</f>
        <v/>
      </c>
      <c r="N16" t="str" cm="1">
        <f t="array" aca="1" ref="N16" ca="1">IFERROR(IF(OR(COUNTIF(INDIRECT("数出表_Excel!"&amp;
IFERROR(
SUBSTITUTE(ADDRESS(1,
IFERROR(COLUMN(INDEX(INDIRECT("数出表_Excel!B"&amp;$I16&amp;":T"&amp;$I16&amp;""),1,MATCH(TEXT(F16,0),INDIRECT("数出表_Excel!B"&amp;$I16&amp;":T"&amp;$I16&amp;""),0))),""),4),"1",""),
"")
&amp;"3"),"*キャラ*"),
COUNTIF(INDIRECT("数出表_Excel!"&amp;
IFERROR(
SUBSTITUTE(ADDRESS(1,
IFERROR(COLUMN(INDEX(INDIRECT("数出表_Excel!B"&amp;$I16&amp;":T"&amp;$I16&amp;""),1,MATCH(TEXT(F16,0),INDIRECT("数出表_Excel!B"&amp;$I16&amp;":T"&amp;$I16&amp;""),0))),""),4),"1",""),
"")
&amp;"3"),"*赤*")),
INDIRECT("数出表_Excel!"&amp;
IFERROR(
SUBSTITUTE(ADDRESS(1,
IFERROR(COLUMN(INDEX(INDIRECT("数出表_Excel!B"&amp;$I16&amp;":T"&amp;$I16&amp;""),1,MATCH(TEXT(F16,0),INDIRECT("数出表_Excel!B"&amp;$I16&amp;":T"&amp;$I16&amp;""),0))),""),4),"1",""),
"")
&amp;"3")
&amp;"　"&amp;INDIRECT("数出表_Excel!"&amp;
IFERROR(
SUBSTITUTE(ADDRESS(1,
IFERROR(COLUMN(INDEX(INDIRECT("数出表_Excel!B"&amp;$I16&amp;":T"&amp;$I16&amp;""),1,MATCH(TEXT(F16,0),INDIRECT("数出表_Excel!B"&amp;$I16&amp;":T"&amp;$I16&amp;""),0))),""),4),"1",""),
"")
&amp;"4")
&amp;INDIRECT("数出表_Excel!"&amp;
IFERROR(
SUBSTITUTE(ADDRESS(1,
IFERROR(COLUMN(INDEX(INDIRECT("数出表_Excel!B"&amp;$I16&amp;":T"&amp;$I16&amp;""),1,MATCH(TEXT(F16,0),INDIRECT("数出表_Excel!B"&amp;$I16&amp;":T"&amp;$I16&amp;""),0))),""),4),"1",""),
"")
&amp;"5"),
INDIRECT("数出表_Excel!"&amp;
IFERROR(
SUBSTITUTE(ADDRESS(1,
IFERROR(COLUMN(INDEX(INDIRECT("数出表_Excel!B"&amp;$I16&amp;":T"&amp;$I16&amp;""),1,MATCH(TEXT(F16,0),INDIRECT("数出表_Excel!B"&amp;$I16&amp;":T"&amp;$I16&amp;""),0))),""),4),"1",""),
"")
&amp;"3")),"")</f>
        <v/>
      </c>
      <c r="O16" t="str" cm="1">
        <f t="array" aca="1" ref="O16" ca="1">IFERROR(IF(OR(COUNTIF(INDIRECT("数出表_Excel!"&amp;
IFERROR(
SUBSTITUTE(ADDRESS(1,
IFERROR(COLUMN(INDEX(INDIRECT("数出表_Excel!B"&amp;$I16&amp;":T"&amp;$I16&amp;""),1,MATCH(TEXT(G16,0),INDIRECT("数出表_Excel!B"&amp;$I16&amp;":T"&amp;$I16&amp;""),0))),""),4),"1",""),
"")
&amp;"3"),"*キャラ*"),
COUNTIF(INDIRECT("数出表_Excel!"&amp;
IFERROR(
SUBSTITUTE(ADDRESS(1,
IFERROR(COLUMN(INDEX(INDIRECT("数出表_Excel!B"&amp;$I16&amp;":T"&amp;$I16&amp;""),1,MATCH(TEXT(G16,0),INDIRECT("数出表_Excel!B"&amp;$I16&amp;":T"&amp;$I16&amp;""),0))),""),4),"1",""),
"")
&amp;"3"),"*赤*")),
INDIRECT("数出表_Excel!"&amp;
IFERROR(
SUBSTITUTE(ADDRESS(1,
IFERROR(COLUMN(INDEX(INDIRECT("数出表_Excel!B"&amp;$I16&amp;":T"&amp;$I16&amp;""),1,MATCH(TEXT(G16,0),INDIRECT("数出表_Excel!B"&amp;$I16&amp;":T"&amp;$I16&amp;""),0))),""),4),"1",""),
"")
&amp;"3")
&amp;"　"&amp;INDIRECT("数出表_Excel!"&amp;
IFERROR(
SUBSTITUTE(ADDRESS(1,
IFERROR(COLUMN(INDEX(INDIRECT("数出表_Excel!B"&amp;$I16&amp;":T"&amp;$I16&amp;""),1,MATCH(TEXT(G16,0),INDIRECT("数出表_Excel!B"&amp;$I16&amp;":T"&amp;$I16&amp;""),0))),""),4),"1",""),
"")
&amp;"4")
&amp;INDIRECT("数出表_Excel!"&amp;
IFERROR(
SUBSTITUTE(ADDRESS(1,
IFERROR(COLUMN(INDEX(INDIRECT("数出表_Excel!B"&amp;$I16&amp;":T"&amp;$I16&amp;""),1,MATCH(TEXT(G16,0),INDIRECT("数出表_Excel!B"&amp;$I16&amp;":T"&amp;$I16&amp;""),0))),""),4),"1",""),
"")
&amp;"5"),
INDIRECT("数出表_Excel!"&amp;
IFERROR(
SUBSTITUTE(ADDRESS(1,
IFERROR(COLUMN(INDEX(INDIRECT("数出表_Excel!B"&amp;$I16&amp;":T"&amp;$I16&amp;""),1,MATCH(TEXT(G16,0),INDIRECT("数出表_Excel!B"&amp;$I16&amp;":T"&amp;$I16&amp;""),0))),""),4),"1",""),
"")
&amp;"3")),"")</f>
        <v/>
      </c>
    </row>
    <row r="17" spans="9:15">
      <c r="I17" t="str">
        <f>IF(A17&lt;&gt;"",MATCH(A17,数出表_Excel!A:A,0),"")</f>
        <v/>
      </c>
      <c r="J17" t="str" cm="1">
        <f t="array" aca="1" ref="J17" ca="1">IFERROR(IF(OR(COUNTIF(INDIRECT("数出表_Excel!"&amp;
IFERROR(
SUBSTITUTE(ADDRESS(1,
IFERROR(COLUMN(INDEX(INDIRECT("数出表_Excel!B"&amp;$I17-1&amp;":T"&amp;$I17-1&amp;""),1,MATCH(TEXT(B17,0),INDIRECT("数出表_Excel!B"&amp;$I17-1&amp;":T"&amp;$I17-1&amp;""),0))),""),4),"1",""),
"")
&amp;"3"),"*キャラ*"),
COUNTIF(INDIRECT("数出表_Excel!"&amp;
IFERROR(
SUBSTITUTE(ADDRESS(1,
IFERROR(COLUMN(INDEX(INDIRECT("数出表_Excel!B"&amp;$I17-1&amp;":T"&amp;$I17-1&amp;""),1,MATCH(TEXT(B17,0),INDIRECT("数出表_Excel!B"&amp;$I17-1&amp;":T"&amp;$I17-1&amp;""),0))),""),4),"1",""),
"")
&amp;"3"),"*赤*")),
INDIRECT("数出表_Excel!"&amp;
IFERROR(
SUBSTITUTE(ADDRESS(1,
IFERROR(COLUMN(INDEX(INDIRECT("数出表_Excel!B"&amp;$I17-1&amp;":T"&amp;$I17-1&amp;""),1,MATCH(TEXT(B17,0),INDIRECT("数出表_Excel!B"&amp;$I17-1&amp;":T"&amp;$I17-1&amp;""),0))),""),4),"1",""),
"")
&amp;"3")
&amp;"　"&amp;INDIRECT("数出表_Excel!"&amp;
IFERROR(
SUBSTITUTE(ADDRESS(1,
IFERROR(COLUMN(INDEX(INDIRECT("数出表_Excel!B"&amp;$I17-1&amp;":T"&amp;$I17-1&amp;""),1,MATCH(TEXT(B17,0),INDIRECT("数出表_Excel!B"&amp;$I17-1&amp;":T"&amp;$I17-1&amp;""),0))),""),4),"1",""),
"")
&amp;"4")
&amp;INDIRECT("数出表_Excel!"&amp;
IFERROR(
SUBSTITUTE(ADDRESS(1,
IFERROR(COLUMN(INDEX(INDIRECT("数出表_Excel!B"&amp;$I17-1&amp;":T"&amp;$I17-1&amp;""),1,MATCH(TEXT(B17,0),INDIRECT("数出表_Excel!B"&amp;$I17-1&amp;":T"&amp;$I17-1&amp;""),0))),""),4),"1",""),
"")
&amp;"5"),
INDIRECT("数出表_Excel!"&amp;
IFERROR(
SUBSTITUTE(ADDRESS(1,
IFERROR(COLUMN(INDEX(INDIRECT("数出表_Excel!B"&amp;$I17-1&amp;":T"&amp;$I17-1&amp;""),1,MATCH(TEXT(B17,0),INDIRECT("数出表_Excel!B"&amp;$I17-1&amp;":T"&amp;$I17-1&amp;""),0))),""),4),"1",""),
"")
&amp;"3")),"")</f>
        <v/>
      </c>
      <c r="K17" t="str" cm="1">
        <f t="array" aca="1" ref="K17" ca="1">IFERROR(IF(OR(COUNTIF(INDIRECT("数出表_Excel!"&amp;
IFERROR(
SUBSTITUTE(ADDRESS(1,
IFERROR(COLUMN(INDEX(INDIRECT("数出表_Excel!B"&amp;$I17-1&amp;":T"&amp;$I17-1&amp;""),1,MATCH(TEXT(C17,0),INDIRECT("数出表_Excel!B"&amp;$I17-1&amp;":T"&amp;$I17-1&amp;""),0))),""),4),"1",""),
"")
&amp;"3"),"*キャラ*"),
COUNTIF(INDIRECT("数出表_Excel!"&amp;
IFERROR(
SUBSTITUTE(ADDRESS(1,
IFERROR(COLUMN(INDEX(INDIRECT("数出表_Excel!B"&amp;$I17-1&amp;":T"&amp;$I17-1&amp;""),1,MATCH(TEXT(C17,0),INDIRECT("数出表_Excel!B"&amp;$I17-1&amp;":T"&amp;$I17-1&amp;""),0))),""),4),"1",""),
"")
&amp;"3"),"*赤*")),
INDIRECT("数出表_Excel!"&amp;
IFERROR(
SUBSTITUTE(ADDRESS(1,
IFERROR(COLUMN(INDEX(INDIRECT("数出表_Excel!B"&amp;$I17-1&amp;":T"&amp;$I17-1&amp;""),1,MATCH(TEXT(C17,0),INDIRECT("数出表_Excel!B"&amp;$I17-1&amp;":T"&amp;$I17-1&amp;""),0))),""),4),"1",""),
"")
&amp;"3")
&amp;"　"&amp;INDIRECT("数出表_Excel!"&amp;
IFERROR(
SUBSTITUTE(ADDRESS(1,
IFERROR(COLUMN(INDEX(INDIRECT("数出表_Excel!B"&amp;$I17-1&amp;":T"&amp;$I17-1&amp;""),1,MATCH(TEXT(C17,0),INDIRECT("数出表_Excel!B"&amp;$I17-1&amp;":T"&amp;$I17-1&amp;""),0))),""),4),"1",""),
"")
&amp;"4")
&amp;INDIRECT("数出表_Excel!"&amp;
IFERROR(
SUBSTITUTE(ADDRESS(1,
IFERROR(COLUMN(INDEX(INDIRECT("数出表_Excel!B"&amp;$I17-1&amp;":T"&amp;$I17-1&amp;""),1,MATCH(TEXT(C17,0),INDIRECT("数出表_Excel!B"&amp;$I17-1&amp;":T"&amp;$I17-1&amp;""),0))),""),4),"1",""),
"")
&amp;"5"),
INDIRECT("数出表_Excel!"&amp;
IFERROR(
SUBSTITUTE(ADDRESS(1,
IFERROR(COLUMN(INDEX(INDIRECT("数出表_Excel!B"&amp;$I17-1&amp;":T"&amp;$I17-1&amp;""),1,MATCH(TEXT(C17,0),INDIRECT("数出表_Excel!B"&amp;$I17-1&amp;":T"&amp;$I17-1&amp;""),0))),""),4),"1",""),
"")
&amp;"3")),"")</f>
        <v/>
      </c>
      <c r="L17" t="str" cm="1">
        <f t="array" aca="1" ref="L17" ca="1">IFERROR(IF(OR(COUNTIF(INDIRECT("数出表_Excel!"&amp;
IFERROR(
SUBSTITUTE(ADDRESS(1,
IFERROR(COLUMN(INDEX(INDIRECT("数出表_Excel!B"&amp;$I17-1&amp;":T"&amp;$I17-1&amp;""),1,MATCH(TEXT(D17,0),INDIRECT("数出表_Excel!B"&amp;$I17-1&amp;":T"&amp;$I17-1&amp;""),0))),""),4),"1",""),
"")
&amp;"3"),"*キャラ*"),
COUNTIF(INDIRECT("数出表_Excel!"&amp;
IFERROR(
SUBSTITUTE(ADDRESS(1,
IFERROR(COLUMN(INDEX(INDIRECT("数出表_Excel!B"&amp;$I17-1&amp;":T"&amp;$I17-1&amp;""),1,MATCH(TEXT(D17,0),INDIRECT("数出表_Excel!B"&amp;$I17-1&amp;":T"&amp;$I17-1&amp;""),0))),""),4),"1",""),
"")
&amp;"3"),"*赤*")),
INDIRECT("数出表_Excel!"&amp;
IFERROR(
SUBSTITUTE(ADDRESS(1,
IFERROR(COLUMN(INDEX(INDIRECT("数出表_Excel!B"&amp;$I17-1&amp;":T"&amp;$I17-1&amp;""),1,MATCH(TEXT(D17,0),INDIRECT("数出表_Excel!B"&amp;$I17-1&amp;":T"&amp;$I17-1&amp;""),0))),""),4),"1",""),
"")
&amp;"3")
&amp;"　"&amp;INDIRECT("数出表_Excel!"&amp;
IFERROR(
SUBSTITUTE(ADDRESS(1,
IFERROR(COLUMN(INDEX(INDIRECT("数出表_Excel!B"&amp;$I17-1&amp;":T"&amp;$I17-1&amp;""),1,MATCH(TEXT(D17,0),INDIRECT("数出表_Excel!B"&amp;$I17-1&amp;":T"&amp;$I17-1&amp;""),0))),""),4),"1",""),
"")
&amp;"4")
&amp;INDIRECT("数出表_Excel!"&amp;
IFERROR(
SUBSTITUTE(ADDRESS(1,
IFERROR(COLUMN(INDEX(INDIRECT("数出表_Excel!B"&amp;$I17-1&amp;":T"&amp;$I17-1&amp;""),1,MATCH(TEXT(D17,0),INDIRECT("数出表_Excel!B"&amp;$I17-1&amp;":T"&amp;$I17-1&amp;""),0))),""),4),"1",""),
"")
&amp;"5"),
INDIRECT("数出表_Excel!"&amp;
IFERROR(
SUBSTITUTE(ADDRESS(1,
IFERROR(COLUMN(INDEX(INDIRECT("数出表_Excel!B"&amp;$I17-1&amp;":T"&amp;$I17-1&amp;""),1,MATCH(TEXT(D17,0),INDIRECT("数出表_Excel!B"&amp;$I17-1&amp;":T"&amp;$I17-1&amp;""),0))),""),4),"1",""),
"")
&amp;"3")),"")</f>
        <v/>
      </c>
      <c r="M17" t="str" cm="1">
        <f t="array" aca="1" ref="M17" ca="1">IFERROR(IF(OR(COUNTIF(INDIRECT("数出表_Excel!"&amp;
IFERROR(
SUBSTITUTE(ADDRESS(1,
IFERROR(COLUMN(INDEX(INDIRECT("数出表_Excel!B"&amp;$I17&amp;":T"&amp;$I17&amp;""),1,MATCH(TEXT(E17,0),INDIRECT("数出表_Excel!B"&amp;$I17&amp;":T"&amp;$I17&amp;""),0))),""),4),"1",""),
"")
&amp;"3"),"*キャラ*"),
COUNTIF(INDIRECT("数出表_Excel!"&amp;
IFERROR(
SUBSTITUTE(ADDRESS(1,
IFERROR(COLUMN(INDEX(INDIRECT("数出表_Excel!B"&amp;$I17&amp;":T"&amp;$I17&amp;""),1,MATCH(TEXT(E17,0),INDIRECT("数出表_Excel!B"&amp;$I17&amp;":T"&amp;$I17&amp;""),0))),""),4),"1",""),
"")
&amp;"3"),"*赤*")),
INDIRECT("数出表_Excel!"&amp;
IFERROR(
SUBSTITUTE(ADDRESS(1,
IFERROR(COLUMN(INDEX(INDIRECT("数出表_Excel!B"&amp;$I17&amp;":T"&amp;$I17&amp;""),1,MATCH(TEXT(E17,0),INDIRECT("数出表_Excel!B"&amp;$I17&amp;":T"&amp;$I17&amp;""),0))),""),4),"1",""),
"")
&amp;"3")
&amp;"　"&amp;INDIRECT("数出表_Excel!"&amp;
IFERROR(
SUBSTITUTE(ADDRESS(1,
IFERROR(COLUMN(INDEX(INDIRECT("数出表_Excel!B"&amp;$I17&amp;":T"&amp;$I17&amp;""),1,MATCH(TEXT(E17,0),INDIRECT("数出表_Excel!B"&amp;$I17&amp;":T"&amp;$I17&amp;""),0))),""),4),"1",""),
"")
&amp;"4")
&amp;INDIRECT("数出表_Excel!"&amp;
IFERROR(
SUBSTITUTE(ADDRESS(1,
IFERROR(COLUMN(INDEX(INDIRECT("数出表_Excel!B"&amp;$I17&amp;":T"&amp;$I17&amp;""),1,MATCH(TEXT(E17,0),INDIRECT("数出表_Excel!B"&amp;$I17&amp;":T"&amp;$I17&amp;""),0))),""),4),"1",""),
"")
&amp;"5"),
INDIRECT("数出表_Excel!"&amp;
IFERROR(
SUBSTITUTE(ADDRESS(1,
IFERROR(COLUMN(INDEX(INDIRECT("数出表_Excel!B"&amp;$I17&amp;":T"&amp;$I17&amp;""),1,MATCH(TEXT(E17,0),INDIRECT("数出表_Excel!B"&amp;$I17&amp;":T"&amp;$I17&amp;""),0))),""),4),"1",""),
"")
&amp;"3")),"")</f>
        <v/>
      </c>
      <c r="N17" t="str" cm="1">
        <f t="array" aca="1" ref="N17" ca="1">IFERROR(IF(OR(COUNTIF(INDIRECT("数出表_Excel!"&amp;
IFERROR(
SUBSTITUTE(ADDRESS(1,
IFERROR(COLUMN(INDEX(INDIRECT("数出表_Excel!B"&amp;$I17&amp;":T"&amp;$I17&amp;""),1,MATCH(TEXT(F17,0),INDIRECT("数出表_Excel!B"&amp;$I17&amp;":T"&amp;$I17&amp;""),0))),""),4),"1",""),
"")
&amp;"3"),"*キャラ*"),
COUNTIF(INDIRECT("数出表_Excel!"&amp;
IFERROR(
SUBSTITUTE(ADDRESS(1,
IFERROR(COLUMN(INDEX(INDIRECT("数出表_Excel!B"&amp;$I17&amp;":T"&amp;$I17&amp;""),1,MATCH(TEXT(F17,0),INDIRECT("数出表_Excel!B"&amp;$I17&amp;":T"&amp;$I17&amp;""),0))),""),4),"1",""),
"")
&amp;"3"),"*赤*")),
INDIRECT("数出表_Excel!"&amp;
IFERROR(
SUBSTITUTE(ADDRESS(1,
IFERROR(COLUMN(INDEX(INDIRECT("数出表_Excel!B"&amp;$I17&amp;":T"&amp;$I17&amp;""),1,MATCH(TEXT(F17,0),INDIRECT("数出表_Excel!B"&amp;$I17&amp;":T"&amp;$I17&amp;""),0))),""),4),"1",""),
"")
&amp;"3")
&amp;"　"&amp;INDIRECT("数出表_Excel!"&amp;
IFERROR(
SUBSTITUTE(ADDRESS(1,
IFERROR(COLUMN(INDEX(INDIRECT("数出表_Excel!B"&amp;$I17&amp;":T"&amp;$I17&amp;""),1,MATCH(TEXT(F17,0),INDIRECT("数出表_Excel!B"&amp;$I17&amp;":T"&amp;$I17&amp;""),0))),""),4),"1",""),
"")
&amp;"4")
&amp;INDIRECT("数出表_Excel!"&amp;
IFERROR(
SUBSTITUTE(ADDRESS(1,
IFERROR(COLUMN(INDEX(INDIRECT("数出表_Excel!B"&amp;$I17&amp;":T"&amp;$I17&amp;""),1,MATCH(TEXT(F17,0),INDIRECT("数出表_Excel!B"&amp;$I17&amp;":T"&amp;$I17&amp;""),0))),""),4),"1",""),
"")
&amp;"5"),
INDIRECT("数出表_Excel!"&amp;
IFERROR(
SUBSTITUTE(ADDRESS(1,
IFERROR(COLUMN(INDEX(INDIRECT("数出表_Excel!B"&amp;$I17&amp;":T"&amp;$I17&amp;""),1,MATCH(TEXT(F17,0),INDIRECT("数出表_Excel!B"&amp;$I17&amp;":T"&amp;$I17&amp;""),0))),""),4),"1",""),
"")
&amp;"3")),"")</f>
        <v/>
      </c>
      <c r="O17" t="str" cm="1">
        <f t="array" aca="1" ref="O17" ca="1">IFERROR(IF(OR(COUNTIF(INDIRECT("数出表_Excel!"&amp;
IFERROR(
SUBSTITUTE(ADDRESS(1,
IFERROR(COLUMN(INDEX(INDIRECT("数出表_Excel!B"&amp;$I17&amp;":T"&amp;$I17&amp;""),1,MATCH(TEXT(G17,0),INDIRECT("数出表_Excel!B"&amp;$I17&amp;":T"&amp;$I17&amp;""),0))),""),4),"1",""),
"")
&amp;"3"),"*キャラ*"),
COUNTIF(INDIRECT("数出表_Excel!"&amp;
IFERROR(
SUBSTITUTE(ADDRESS(1,
IFERROR(COLUMN(INDEX(INDIRECT("数出表_Excel!B"&amp;$I17&amp;":T"&amp;$I17&amp;""),1,MATCH(TEXT(G17,0),INDIRECT("数出表_Excel!B"&amp;$I17&amp;":T"&amp;$I17&amp;""),0))),""),4),"1",""),
"")
&amp;"3"),"*赤*")),
INDIRECT("数出表_Excel!"&amp;
IFERROR(
SUBSTITUTE(ADDRESS(1,
IFERROR(COLUMN(INDEX(INDIRECT("数出表_Excel!B"&amp;$I17&amp;":T"&amp;$I17&amp;""),1,MATCH(TEXT(G17,0),INDIRECT("数出表_Excel!B"&amp;$I17&amp;":T"&amp;$I17&amp;""),0))),""),4),"1",""),
"")
&amp;"3")
&amp;"　"&amp;INDIRECT("数出表_Excel!"&amp;
IFERROR(
SUBSTITUTE(ADDRESS(1,
IFERROR(COLUMN(INDEX(INDIRECT("数出表_Excel!B"&amp;$I17&amp;":T"&amp;$I17&amp;""),1,MATCH(TEXT(G17,0),INDIRECT("数出表_Excel!B"&amp;$I17&amp;":T"&amp;$I17&amp;""),0))),""),4),"1",""),
"")
&amp;"4")
&amp;INDIRECT("数出表_Excel!"&amp;
IFERROR(
SUBSTITUTE(ADDRESS(1,
IFERROR(COLUMN(INDEX(INDIRECT("数出表_Excel!B"&amp;$I17&amp;":T"&amp;$I17&amp;""),1,MATCH(TEXT(G17,0),INDIRECT("数出表_Excel!B"&amp;$I17&amp;":T"&amp;$I17&amp;""),0))),""),4),"1",""),
"")
&amp;"5"),
INDIRECT("数出表_Excel!"&amp;
IFERROR(
SUBSTITUTE(ADDRESS(1,
IFERROR(COLUMN(INDEX(INDIRECT("数出表_Excel!B"&amp;$I17&amp;":T"&amp;$I17&amp;""),1,MATCH(TEXT(G17,0),INDIRECT("数出表_Excel!B"&amp;$I17&amp;":T"&amp;$I17&amp;""),0))),""),4),"1",""),
"")
&amp;"3")),"")</f>
        <v/>
      </c>
    </row>
    <row r="18" spans="9:15">
      <c r="I18" t="str">
        <f>IF(A18&lt;&gt;"",MATCH(A18,数出表_Excel!A:A,0),"")</f>
        <v/>
      </c>
      <c r="J18" t="str" cm="1">
        <f t="array" aca="1" ref="J18" ca="1">IFERROR(IF(OR(COUNTIF(INDIRECT("数出表_Excel!"&amp;
IFERROR(
SUBSTITUTE(ADDRESS(1,
IFERROR(COLUMN(INDEX(INDIRECT("数出表_Excel!B"&amp;$I18-1&amp;":T"&amp;$I18-1&amp;""),1,MATCH(TEXT(B18,0),INDIRECT("数出表_Excel!B"&amp;$I18-1&amp;":T"&amp;$I18-1&amp;""),0))),""),4),"1",""),
"")
&amp;"3"),"*キャラ*"),
COUNTIF(INDIRECT("数出表_Excel!"&amp;
IFERROR(
SUBSTITUTE(ADDRESS(1,
IFERROR(COLUMN(INDEX(INDIRECT("数出表_Excel!B"&amp;$I18-1&amp;":T"&amp;$I18-1&amp;""),1,MATCH(TEXT(B18,0),INDIRECT("数出表_Excel!B"&amp;$I18-1&amp;":T"&amp;$I18-1&amp;""),0))),""),4),"1",""),
"")
&amp;"3"),"*赤*")),
INDIRECT("数出表_Excel!"&amp;
IFERROR(
SUBSTITUTE(ADDRESS(1,
IFERROR(COLUMN(INDEX(INDIRECT("数出表_Excel!B"&amp;$I18-1&amp;":T"&amp;$I18-1&amp;""),1,MATCH(TEXT(B18,0),INDIRECT("数出表_Excel!B"&amp;$I18-1&amp;":T"&amp;$I18-1&amp;""),0))),""),4),"1",""),
"")
&amp;"3")
&amp;"　"&amp;INDIRECT("数出表_Excel!"&amp;
IFERROR(
SUBSTITUTE(ADDRESS(1,
IFERROR(COLUMN(INDEX(INDIRECT("数出表_Excel!B"&amp;$I18-1&amp;":T"&amp;$I18-1&amp;""),1,MATCH(TEXT(B18,0),INDIRECT("数出表_Excel!B"&amp;$I18-1&amp;":T"&amp;$I18-1&amp;""),0))),""),4),"1",""),
"")
&amp;"4")
&amp;INDIRECT("数出表_Excel!"&amp;
IFERROR(
SUBSTITUTE(ADDRESS(1,
IFERROR(COLUMN(INDEX(INDIRECT("数出表_Excel!B"&amp;$I18-1&amp;":T"&amp;$I18-1&amp;""),1,MATCH(TEXT(B18,0),INDIRECT("数出表_Excel!B"&amp;$I18-1&amp;":T"&amp;$I18-1&amp;""),0))),""),4),"1",""),
"")
&amp;"5"),
INDIRECT("数出表_Excel!"&amp;
IFERROR(
SUBSTITUTE(ADDRESS(1,
IFERROR(COLUMN(INDEX(INDIRECT("数出表_Excel!B"&amp;$I18-1&amp;":T"&amp;$I18-1&amp;""),1,MATCH(TEXT(B18,0),INDIRECT("数出表_Excel!B"&amp;$I18-1&amp;":T"&amp;$I18-1&amp;""),0))),""),4),"1",""),
"")
&amp;"3")),"")</f>
        <v/>
      </c>
      <c r="K18" t="str" cm="1">
        <f t="array" aca="1" ref="K18" ca="1">IFERROR(IF(OR(COUNTIF(INDIRECT("数出表_Excel!"&amp;
IFERROR(
SUBSTITUTE(ADDRESS(1,
IFERROR(COLUMN(INDEX(INDIRECT("数出表_Excel!B"&amp;$I18-1&amp;":T"&amp;$I18-1&amp;""),1,MATCH(TEXT(C18,0),INDIRECT("数出表_Excel!B"&amp;$I18-1&amp;":T"&amp;$I18-1&amp;""),0))),""),4),"1",""),
"")
&amp;"3"),"*キャラ*"),
COUNTIF(INDIRECT("数出表_Excel!"&amp;
IFERROR(
SUBSTITUTE(ADDRESS(1,
IFERROR(COLUMN(INDEX(INDIRECT("数出表_Excel!B"&amp;$I18-1&amp;":T"&amp;$I18-1&amp;""),1,MATCH(TEXT(C18,0),INDIRECT("数出表_Excel!B"&amp;$I18-1&amp;":T"&amp;$I18-1&amp;""),0))),""),4),"1",""),
"")
&amp;"3"),"*赤*")),
INDIRECT("数出表_Excel!"&amp;
IFERROR(
SUBSTITUTE(ADDRESS(1,
IFERROR(COLUMN(INDEX(INDIRECT("数出表_Excel!B"&amp;$I18-1&amp;":T"&amp;$I18-1&amp;""),1,MATCH(TEXT(C18,0),INDIRECT("数出表_Excel!B"&amp;$I18-1&amp;":T"&amp;$I18-1&amp;""),0))),""),4),"1",""),
"")
&amp;"3")
&amp;"　"&amp;INDIRECT("数出表_Excel!"&amp;
IFERROR(
SUBSTITUTE(ADDRESS(1,
IFERROR(COLUMN(INDEX(INDIRECT("数出表_Excel!B"&amp;$I18-1&amp;":T"&amp;$I18-1&amp;""),1,MATCH(TEXT(C18,0),INDIRECT("数出表_Excel!B"&amp;$I18-1&amp;":T"&amp;$I18-1&amp;""),0))),""),4),"1",""),
"")
&amp;"4")
&amp;INDIRECT("数出表_Excel!"&amp;
IFERROR(
SUBSTITUTE(ADDRESS(1,
IFERROR(COLUMN(INDEX(INDIRECT("数出表_Excel!B"&amp;$I18-1&amp;":T"&amp;$I18-1&amp;""),1,MATCH(TEXT(C18,0),INDIRECT("数出表_Excel!B"&amp;$I18-1&amp;":T"&amp;$I18-1&amp;""),0))),""),4),"1",""),
"")
&amp;"5"),
INDIRECT("数出表_Excel!"&amp;
IFERROR(
SUBSTITUTE(ADDRESS(1,
IFERROR(COLUMN(INDEX(INDIRECT("数出表_Excel!B"&amp;$I18-1&amp;":T"&amp;$I18-1&amp;""),1,MATCH(TEXT(C18,0),INDIRECT("数出表_Excel!B"&amp;$I18-1&amp;":T"&amp;$I18-1&amp;""),0))),""),4),"1",""),
"")
&amp;"3")),"")</f>
        <v/>
      </c>
      <c r="L18" t="str" cm="1">
        <f t="array" aca="1" ref="L18" ca="1">IFERROR(IF(OR(COUNTIF(INDIRECT("数出表_Excel!"&amp;
IFERROR(
SUBSTITUTE(ADDRESS(1,
IFERROR(COLUMN(INDEX(INDIRECT("数出表_Excel!B"&amp;$I18-1&amp;":T"&amp;$I18-1&amp;""),1,MATCH(TEXT(D18,0),INDIRECT("数出表_Excel!B"&amp;$I18-1&amp;":T"&amp;$I18-1&amp;""),0))),""),4),"1",""),
"")
&amp;"3"),"*キャラ*"),
COUNTIF(INDIRECT("数出表_Excel!"&amp;
IFERROR(
SUBSTITUTE(ADDRESS(1,
IFERROR(COLUMN(INDEX(INDIRECT("数出表_Excel!B"&amp;$I18-1&amp;":T"&amp;$I18-1&amp;""),1,MATCH(TEXT(D18,0),INDIRECT("数出表_Excel!B"&amp;$I18-1&amp;":T"&amp;$I18-1&amp;""),0))),""),4),"1",""),
"")
&amp;"3"),"*赤*")),
INDIRECT("数出表_Excel!"&amp;
IFERROR(
SUBSTITUTE(ADDRESS(1,
IFERROR(COLUMN(INDEX(INDIRECT("数出表_Excel!B"&amp;$I18-1&amp;":T"&amp;$I18-1&amp;""),1,MATCH(TEXT(D18,0),INDIRECT("数出表_Excel!B"&amp;$I18-1&amp;":T"&amp;$I18-1&amp;""),0))),""),4),"1",""),
"")
&amp;"3")
&amp;"　"&amp;INDIRECT("数出表_Excel!"&amp;
IFERROR(
SUBSTITUTE(ADDRESS(1,
IFERROR(COLUMN(INDEX(INDIRECT("数出表_Excel!B"&amp;$I18-1&amp;":T"&amp;$I18-1&amp;""),1,MATCH(TEXT(D18,0),INDIRECT("数出表_Excel!B"&amp;$I18-1&amp;":T"&amp;$I18-1&amp;""),0))),""),4),"1",""),
"")
&amp;"4")
&amp;INDIRECT("数出表_Excel!"&amp;
IFERROR(
SUBSTITUTE(ADDRESS(1,
IFERROR(COLUMN(INDEX(INDIRECT("数出表_Excel!B"&amp;$I18-1&amp;":T"&amp;$I18-1&amp;""),1,MATCH(TEXT(D18,0),INDIRECT("数出表_Excel!B"&amp;$I18-1&amp;":T"&amp;$I18-1&amp;""),0))),""),4),"1",""),
"")
&amp;"5"),
INDIRECT("数出表_Excel!"&amp;
IFERROR(
SUBSTITUTE(ADDRESS(1,
IFERROR(COLUMN(INDEX(INDIRECT("数出表_Excel!B"&amp;$I18-1&amp;":T"&amp;$I18-1&amp;""),1,MATCH(TEXT(D18,0),INDIRECT("数出表_Excel!B"&amp;$I18-1&amp;":T"&amp;$I18-1&amp;""),0))),""),4),"1",""),
"")
&amp;"3")),"")</f>
        <v/>
      </c>
      <c r="M18" t="str" cm="1">
        <f t="array" aca="1" ref="M18" ca="1">IFERROR(IF(OR(COUNTIF(INDIRECT("数出表_Excel!"&amp;
IFERROR(
SUBSTITUTE(ADDRESS(1,
IFERROR(COLUMN(INDEX(INDIRECT("数出表_Excel!B"&amp;$I18&amp;":T"&amp;$I18&amp;""),1,MATCH(TEXT(E18,0),INDIRECT("数出表_Excel!B"&amp;$I18&amp;":T"&amp;$I18&amp;""),0))),""),4),"1",""),
"")
&amp;"3"),"*キャラ*"),
COUNTIF(INDIRECT("数出表_Excel!"&amp;
IFERROR(
SUBSTITUTE(ADDRESS(1,
IFERROR(COLUMN(INDEX(INDIRECT("数出表_Excel!B"&amp;$I18&amp;":T"&amp;$I18&amp;""),1,MATCH(TEXT(E18,0),INDIRECT("数出表_Excel!B"&amp;$I18&amp;":T"&amp;$I18&amp;""),0))),""),4),"1",""),
"")
&amp;"3"),"*赤*")),
INDIRECT("数出表_Excel!"&amp;
IFERROR(
SUBSTITUTE(ADDRESS(1,
IFERROR(COLUMN(INDEX(INDIRECT("数出表_Excel!B"&amp;$I18&amp;":T"&amp;$I18&amp;""),1,MATCH(TEXT(E18,0),INDIRECT("数出表_Excel!B"&amp;$I18&amp;":T"&amp;$I18&amp;""),0))),""),4),"1",""),
"")
&amp;"3")
&amp;"　"&amp;INDIRECT("数出表_Excel!"&amp;
IFERROR(
SUBSTITUTE(ADDRESS(1,
IFERROR(COLUMN(INDEX(INDIRECT("数出表_Excel!B"&amp;$I18&amp;":T"&amp;$I18&amp;""),1,MATCH(TEXT(E18,0),INDIRECT("数出表_Excel!B"&amp;$I18&amp;":T"&amp;$I18&amp;""),0))),""),4),"1",""),
"")
&amp;"4")
&amp;INDIRECT("数出表_Excel!"&amp;
IFERROR(
SUBSTITUTE(ADDRESS(1,
IFERROR(COLUMN(INDEX(INDIRECT("数出表_Excel!B"&amp;$I18&amp;":T"&amp;$I18&amp;""),1,MATCH(TEXT(E18,0),INDIRECT("数出表_Excel!B"&amp;$I18&amp;":T"&amp;$I18&amp;""),0))),""),4),"1",""),
"")
&amp;"5"),
INDIRECT("数出表_Excel!"&amp;
IFERROR(
SUBSTITUTE(ADDRESS(1,
IFERROR(COLUMN(INDEX(INDIRECT("数出表_Excel!B"&amp;$I18&amp;":T"&amp;$I18&amp;""),1,MATCH(TEXT(E18,0),INDIRECT("数出表_Excel!B"&amp;$I18&amp;":T"&amp;$I18&amp;""),0))),""),4),"1",""),
"")
&amp;"3")),"")</f>
        <v/>
      </c>
      <c r="N18" t="str" cm="1">
        <f t="array" aca="1" ref="N18" ca="1">IFERROR(IF(OR(COUNTIF(INDIRECT("数出表_Excel!"&amp;
IFERROR(
SUBSTITUTE(ADDRESS(1,
IFERROR(COLUMN(INDEX(INDIRECT("数出表_Excel!B"&amp;$I18&amp;":T"&amp;$I18&amp;""),1,MATCH(TEXT(F18,0),INDIRECT("数出表_Excel!B"&amp;$I18&amp;":T"&amp;$I18&amp;""),0))),""),4),"1",""),
"")
&amp;"3"),"*キャラ*"),
COUNTIF(INDIRECT("数出表_Excel!"&amp;
IFERROR(
SUBSTITUTE(ADDRESS(1,
IFERROR(COLUMN(INDEX(INDIRECT("数出表_Excel!B"&amp;$I18&amp;":T"&amp;$I18&amp;""),1,MATCH(TEXT(F18,0),INDIRECT("数出表_Excel!B"&amp;$I18&amp;":T"&amp;$I18&amp;""),0))),""),4),"1",""),
"")
&amp;"3"),"*赤*")),
INDIRECT("数出表_Excel!"&amp;
IFERROR(
SUBSTITUTE(ADDRESS(1,
IFERROR(COLUMN(INDEX(INDIRECT("数出表_Excel!B"&amp;$I18&amp;":T"&amp;$I18&amp;""),1,MATCH(TEXT(F18,0),INDIRECT("数出表_Excel!B"&amp;$I18&amp;":T"&amp;$I18&amp;""),0))),""),4),"1",""),
"")
&amp;"3")
&amp;"　"&amp;INDIRECT("数出表_Excel!"&amp;
IFERROR(
SUBSTITUTE(ADDRESS(1,
IFERROR(COLUMN(INDEX(INDIRECT("数出表_Excel!B"&amp;$I18&amp;":T"&amp;$I18&amp;""),1,MATCH(TEXT(F18,0),INDIRECT("数出表_Excel!B"&amp;$I18&amp;":T"&amp;$I18&amp;""),0))),""),4),"1",""),
"")
&amp;"4")
&amp;INDIRECT("数出表_Excel!"&amp;
IFERROR(
SUBSTITUTE(ADDRESS(1,
IFERROR(COLUMN(INDEX(INDIRECT("数出表_Excel!B"&amp;$I18&amp;":T"&amp;$I18&amp;""),1,MATCH(TEXT(F18,0),INDIRECT("数出表_Excel!B"&amp;$I18&amp;":T"&amp;$I18&amp;""),0))),""),4),"1",""),
"")
&amp;"5"),
INDIRECT("数出表_Excel!"&amp;
IFERROR(
SUBSTITUTE(ADDRESS(1,
IFERROR(COLUMN(INDEX(INDIRECT("数出表_Excel!B"&amp;$I18&amp;":T"&amp;$I18&amp;""),1,MATCH(TEXT(F18,0),INDIRECT("数出表_Excel!B"&amp;$I18&amp;":T"&amp;$I18&amp;""),0))),""),4),"1",""),
"")
&amp;"3")),"")</f>
        <v/>
      </c>
      <c r="O18" t="str" cm="1">
        <f t="array" aca="1" ref="O18" ca="1">IFERROR(IF(OR(COUNTIF(INDIRECT("数出表_Excel!"&amp;
IFERROR(
SUBSTITUTE(ADDRESS(1,
IFERROR(COLUMN(INDEX(INDIRECT("数出表_Excel!B"&amp;$I18&amp;":T"&amp;$I18&amp;""),1,MATCH(TEXT(G18,0),INDIRECT("数出表_Excel!B"&amp;$I18&amp;":T"&amp;$I18&amp;""),0))),""),4),"1",""),
"")
&amp;"3"),"*キャラ*"),
COUNTIF(INDIRECT("数出表_Excel!"&amp;
IFERROR(
SUBSTITUTE(ADDRESS(1,
IFERROR(COLUMN(INDEX(INDIRECT("数出表_Excel!B"&amp;$I18&amp;":T"&amp;$I18&amp;""),1,MATCH(TEXT(G18,0),INDIRECT("数出表_Excel!B"&amp;$I18&amp;":T"&amp;$I18&amp;""),0))),""),4),"1",""),
"")
&amp;"3"),"*赤*")),
INDIRECT("数出表_Excel!"&amp;
IFERROR(
SUBSTITUTE(ADDRESS(1,
IFERROR(COLUMN(INDEX(INDIRECT("数出表_Excel!B"&amp;$I18&amp;":T"&amp;$I18&amp;""),1,MATCH(TEXT(G18,0),INDIRECT("数出表_Excel!B"&amp;$I18&amp;":T"&amp;$I18&amp;""),0))),""),4),"1",""),
"")
&amp;"3")
&amp;"　"&amp;INDIRECT("数出表_Excel!"&amp;
IFERROR(
SUBSTITUTE(ADDRESS(1,
IFERROR(COLUMN(INDEX(INDIRECT("数出表_Excel!B"&amp;$I18&amp;":T"&amp;$I18&amp;""),1,MATCH(TEXT(G18,0),INDIRECT("数出表_Excel!B"&amp;$I18&amp;":T"&amp;$I18&amp;""),0))),""),4),"1",""),
"")
&amp;"4")
&amp;INDIRECT("数出表_Excel!"&amp;
IFERROR(
SUBSTITUTE(ADDRESS(1,
IFERROR(COLUMN(INDEX(INDIRECT("数出表_Excel!B"&amp;$I18&amp;":T"&amp;$I18&amp;""),1,MATCH(TEXT(G18,0),INDIRECT("数出表_Excel!B"&amp;$I18&amp;":T"&amp;$I18&amp;""),0))),""),4),"1",""),
"")
&amp;"5"),
INDIRECT("数出表_Excel!"&amp;
IFERROR(
SUBSTITUTE(ADDRESS(1,
IFERROR(COLUMN(INDEX(INDIRECT("数出表_Excel!B"&amp;$I18&amp;":T"&amp;$I18&amp;""),1,MATCH(TEXT(G18,0),INDIRECT("数出表_Excel!B"&amp;$I18&amp;":T"&amp;$I18&amp;""),0))),""),4),"1",""),
"")
&amp;"3")),"")</f>
        <v/>
      </c>
    </row>
    <row r="19" spans="9:15">
      <c r="I19" t="str">
        <f>IF(A19&lt;&gt;"",MATCH(A19,数出表_Excel!A:A,0),"")</f>
        <v/>
      </c>
      <c r="J19" t="str" cm="1">
        <f t="array" aca="1" ref="J19" ca="1">IFERROR(IF(OR(COUNTIF(INDIRECT("数出表_Excel!"&amp;
IFERROR(
SUBSTITUTE(ADDRESS(1,
IFERROR(COLUMN(INDEX(INDIRECT("数出表_Excel!B"&amp;$I19-1&amp;":T"&amp;$I19-1&amp;""),1,MATCH(TEXT(B19,0),INDIRECT("数出表_Excel!B"&amp;$I19-1&amp;":T"&amp;$I19-1&amp;""),0))),""),4),"1",""),
"")
&amp;"3"),"*キャラ*"),
COUNTIF(INDIRECT("数出表_Excel!"&amp;
IFERROR(
SUBSTITUTE(ADDRESS(1,
IFERROR(COLUMN(INDEX(INDIRECT("数出表_Excel!B"&amp;$I19-1&amp;":T"&amp;$I19-1&amp;""),1,MATCH(TEXT(B19,0),INDIRECT("数出表_Excel!B"&amp;$I19-1&amp;":T"&amp;$I19-1&amp;""),0))),""),4),"1",""),
"")
&amp;"3"),"*赤*")),
INDIRECT("数出表_Excel!"&amp;
IFERROR(
SUBSTITUTE(ADDRESS(1,
IFERROR(COLUMN(INDEX(INDIRECT("数出表_Excel!B"&amp;$I19-1&amp;":T"&amp;$I19-1&amp;""),1,MATCH(TEXT(B19,0),INDIRECT("数出表_Excel!B"&amp;$I19-1&amp;":T"&amp;$I19-1&amp;""),0))),""),4),"1",""),
"")
&amp;"3")
&amp;"　"&amp;INDIRECT("数出表_Excel!"&amp;
IFERROR(
SUBSTITUTE(ADDRESS(1,
IFERROR(COLUMN(INDEX(INDIRECT("数出表_Excel!B"&amp;$I19-1&amp;":T"&amp;$I19-1&amp;""),1,MATCH(TEXT(B19,0),INDIRECT("数出表_Excel!B"&amp;$I19-1&amp;":T"&amp;$I19-1&amp;""),0))),""),4),"1",""),
"")
&amp;"4")
&amp;INDIRECT("数出表_Excel!"&amp;
IFERROR(
SUBSTITUTE(ADDRESS(1,
IFERROR(COLUMN(INDEX(INDIRECT("数出表_Excel!B"&amp;$I19-1&amp;":T"&amp;$I19-1&amp;""),1,MATCH(TEXT(B19,0),INDIRECT("数出表_Excel!B"&amp;$I19-1&amp;":T"&amp;$I19-1&amp;""),0))),""),4),"1",""),
"")
&amp;"5"),
INDIRECT("数出表_Excel!"&amp;
IFERROR(
SUBSTITUTE(ADDRESS(1,
IFERROR(COLUMN(INDEX(INDIRECT("数出表_Excel!B"&amp;$I19-1&amp;":T"&amp;$I19-1&amp;""),1,MATCH(TEXT(B19,0),INDIRECT("数出表_Excel!B"&amp;$I19-1&amp;":T"&amp;$I19-1&amp;""),0))),""),4),"1",""),
"")
&amp;"3")),"")</f>
        <v/>
      </c>
      <c r="K19" t="str" cm="1">
        <f t="array" aca="1" ref="K19" ca="1">IFERROR(IF(OR(COUNTIF(INDIRECT("数出表_Excel!"&amp;
IFERROR(
SUBSTITUTE(ADDRESS(1,
IFERROR(COLUMN(INDEX(INDIRECT("数出表_Excel!B"&amp;$I19-1&amp;":T"&amp;$I19-1&amp;""),1,MATCH(TEXT(C19,0),INDIRECT("数出表_Excel!B"&amp;$I19-1&amp;":T"&amp;$I19-1&amp;""),0))),""),4),"1",""),
"")
&amp;"3"),"*キャラ*"),
COUNTIF(INDIRECT("数出表_Excel!"&amp;
IFERROR(
SUBSTITUTE(ADDRESS(1,
IFERROR(COLUMN(INDEX(INDIRECT("数出表_Excel!B"&amp;$I19-1&amp;":T"&amp;$I19-1&amp;""),1,MATCH(TEXT(C19,0),INDIRECT("数出表_Excel!B"&amp;$I19-1&amp;":T"&amp;$I19-1&amp;""),0))),""),4),"1",""),
"")
&amp;"3"),"*赤*")),
INDIRECT("数出表_Excel!"&amp;
IFERROR(
SUBSTITUTE(ADDRESS(1,
IFERROR(COLUMN(INDEX(INDIRECT("数出表_Excel!B"&amp;$I19-1&amp;":T"&amp;$I19-1&amp;""),1,MATCH(TEXT(C19,0),INDIRECT("数出表_Excel!B"&amp;$I19-1&amp;":T"&amp;$I19-1&amp;""),0))),""),4),"1",""),
"")
&amp;"3")
&amp;"　"&amp;INDIRECT("数出表_Excel!"&amp;
IFERROR(
SUBSTITUTE(ADDRESS(1,
IFERROR(COLUMN(INDEX(INDIRECT("数出表_Excel!B"&amp;$I19-1&amp;":T"&amp;$I19-1&amp;""),1,MATCH(TEXT(C19,0),INDIRECT("数出表_Excel!B"&amp;$I19-1&amp;":T"&amp;$I19-1&amp;""),0))),""),4),"1",""),
"")
&amp;"4")
&amp;INDIRECT("数出表_Excel!"&amp;
IFERROR(
SUBSTITUTE(ADDRESS(1,
IFERROR(COLUMN(INDEX(INDIRECT("数出表_Excel!B"&amp;$I19-1&amp;":T"&amp;$I19-1&amp;""),1,MATCH(TEXT(C19,0),INDIRECT("数出表_Excel!B"&amp;$I19-1&amp;":T"&amp;$I19-1&amp;""),0))),""),4),"1",""),
"")
&amp;"5"),
INDIRECT("数出表_Excel!"&amp;
IFERROR(
SUBSTITUTE(ADDRESS(1,
IFERROR(COLUMN(INDEX(INDIRECT("数出表_Excel!B"&amp;$I19-1&amp;":T"&amp;$I19-1&amp;""),1,MATCH(TEXT(C19,0),INDIRECT("数出表_Excel!B"&amp;$I19-1&amp;":T"&amp;$I19-1&amp;""),0))),""),4),"1",""),
"")
&amp;"3")),"")</f>
        <v/>
      </c>
      <c r="L19" t="str" cm="1">
        <f t="array" aca="1" ref="L19" ca="1">IFERROR(IF(OR(COUNTIF(INDIRECT("数出表_Excel!"&amp;
IFERROR(
SUBSTITUTE(ADDRESS(1,
IFERROR(COLUMN(INDEX(INDIRECT("数出表_Excel!B"&amp;$I19-1&amp;":T"&amp;$I19-1&amp;""),1,MATCH(TEXT(D19,0),INDIRECT("数出表_Excel!B"&amp;$I19-1&amp;":T"&amp;$I19-1&amp;""),0))),""),4),"1",""),
"")
&amp;"3"),"*キャラ*"),
COUNTIF(INDIRECT("数出表_Excel!"&amp;
IFERROR(
SUBSTITUTE(ADDRESS(1,
IFERROR(COLUMN(INDEX(INDIRECT("数出表_Excel!B"&amp;$I19-1&amp;":T"&amp;$I19-1&amp;""),1,MATCH(TEXT(D19,0),INDIRECT("数出表_Excel!B"&amp;$I19-1&amp;":T"&amp;$I19-1&amp;""),0))),""),4),"1",""),
"")
&amp;"3"),"*赤*")),
INDIRECT("数出表_Excel!"&amp;
IFERROR(
SUBSTITUTE(ADDRESS(1,
IFERROR(COLUMN(INDEX(INDIRECT("数出表_Excel!B"&amp;$I19-1&amp;":T"&amp;$I19-1&amp;""),1,MATCH(TEXT(D19,0),INDIRECT("数出表_Excel!B"&amp;$I19-1&amp;":T"&amp;$I19-1&amp;""),0))),""),4),"1",""),
"")
&amp;"3")
&amp;"　"&amp;INDIRECT("数出表_Excel!"&amp;
IFERROR(
SUBSTITUTE(ADDRESS(1,
IFERROR(COLUMN(INDEX(INDIRECT("数出表_Excel!B"&amp;$I19-1&amp;":T"&amp;$I19-1&amp;""),1,MATCH(TEXT(D19,0),INDIRECT("数出表_Excel!B"&amp;$I19-1&amp;":T"&amp;$I19-1&amp;""),0))),""),4),"1",""),
"")
&amp;"4")
&amp;INDIRECT("数出表_Excel!"&amp;
IFERROR(
SUBSTITUTE(ADDRESS(1,
IFERROR(COLUMN(INDEX(INDIRECT("数出表_Excel!B"&amp;$I19-1&amp;":T"&amp;$I19-1&amp;""),1,MATCH(TEXT(D19,0),INDIRECT("数出表_Excel!B"&amp;$I19-1&amp;":T"&amp;$I19-1&amp;""),0))),""),4),"1",""),
"")
&amp;"5"),
INDIRECT("数出表_Excel!"&amp;
IFERROR(
SUBSTITUTE(ADDRESS(1,
IFERROR(COLUMN(INDEX(INDIRECT("数出表_Excel!B"&amp;$I19-1&amp;":T"&amp;$I19-1&amp;""),1,MATCH(TEXT(D19,0),INDIRECT("数出表_Excel!B"&amp;$I19-1&amp;":T"&amp;$I19-1&amp;""),0))),""),4),"1",""),
"")
&amp;"3")),"")</f>
        <v/>
      </c>
      <c r="M19" t="str" cm="1">
        <f t="array" aca="1" ref="M19" ca="1">IFERROR(IF(OR(COUNTIF(INDIRECT("数出表_Excel!"&amp;
IFERROR(
SUBSTITUTE(ADDRESS(1,
IFERROR(COLUMN(INDEX(INDIRECT("数出表_Excel!B"&amp;$I19&amp;":T"&amp;$I19&amp;""),1,MATCH(TEXT(E19,0),INDIRECT("数出表_Excel!B"&amp;$I19&amp;":T"&amp;$I19&amp;""),0))),""),4),"1",""),
"")
&amp;"3"),"*キャラ*"),
COUNTIF(INDIRECT("数出表_Excel!"&amp;
IFERROR(
SUBSTITUTE(ADDRESS(1,
IFERROR(COLUMN(INDEX(INDIRECT("数出表_Excel!B"&amp;$I19&amp;":T"&amp;$I19&amp;""),1,MATCH(TEXT(E19,0),INDIRECT("数出表_Excel!B"&amp;$I19&amp;":T"&amp;$I19&amp;""),0))),""),4),"1",""),
"")
&amp;"3"),"*赤*")),
INDIRECT("数出表_Excel!"&amp;
IFERROR(
SUBSTITUTE(ADDRESS(1,
IFERROR(COLUMN(INDEX(INDIRECT("数出表_Excel!B"&amp;$I19&amp;":T"&amp;$I19&amp;""),1,MATCH(TEXT(E19,0),INDIRECT("数出表_Excel!B"&amp;$I19&amp;":T"&amp;$I19&amp;""),0))),""),4),"1",""),
"")
&amp;"3")
&amp;"　"&amp;INDIRECT("数出表_Excel!"&amp;
IFERROR(
SUBSTITUTE(ADDRESS(1,
IFERROR(COLUMN(INDEX(INDIRECT("数出表_Excel!B"&amp;$I19&amp;":T"&amp;$I19&amp;""),1,MATCH(TEXT(E19,0),INDIRECT("数出表_Excel!B"&amp;$I19&amp;":T"&amp;$I19&amp;""),0))),""),4),"1",""),
"")
&amp;"4")
&amp;INDIRECT("数出表_Excel!"&amp;
IFERROR(
SUBSTITUTE(ADDRESS(1,
IFERROR(COLUMN(INDEX(INDIRECT("数出表_Excel!B"&amp;$I19&amp;":T"&amp;$I19&amp;""),1,MATCH(TEXT(E19,0),INDIRECT("数出表_Excel!B"&amp;$I19&amp;":T"&amp;$I19&amp;""),0))),""),4),"1",""),
"")
&amp;"5"),
INDIRECT("数出表_Excel!"&amp;
IFERROR(
SUBSTITUTE(ADDRESS(1,
IFERROR(COLUMN(INDEX(INDIRECT("数出表_Excel!B"&amp;$I19&amp;":T"&amp;$I19&amp;""),1,MATCH(TEXT(E19,0),INDIRECT("数出表_Excel!B"&amp;$I19&amp;":T"&amp;$I19&amp;""),0))),""),4),"1",""),
"")
&amp;"3")),"")</f>
        <v/>
      </c>
      <c r="N19" t="str" cm="1">
        <f t="array" aca="1" ref="N19" ca="1">IFERROR(IF(OR(COUNTIF(INDIRECT("数出表_Excel!"&amp;
IFERROR(
SUBSTITUTE(ADDRESS(1,
IFERROR(COLUMN(INDEX(INDIRECT("数出表_Excel!B"&amp;$I19&amp;":T"&amp;$I19&amp;""),1,MATCH(TEXT(F19,0),INDIRECT("数出表_Excel!B"&amp;$I19&amp;":T"&amp;$I19&amp;""),0))),""),4),"1",""),
"")
&amp;"3"),"*キャラ*"),
COUNTIF(INDIRECT("数出表_Excel!"&amp;
IFERROR(
SUBSTITUTE(ADDRESS(1,
IFERROR(COLUMN(INDEX(INDIRECT("数出表_Excel!B"&amp;$I19&amp;":T"&amp;$I19&amp;""),1,MATCH(TEXT(F19,0),INDIRECT("数出表_Excel!B"&amp;$I19&amp;":T"&amp;$I19&amp;""),0))),""),4),"1",""),
"")
&amp;"3"),"*赤*")),
INDIRECT("数出表_Excel!"&amp;
IFERROR(
SUBSTITUTE(ADDRESS(1,
IFERROR(COLUMN(INDEX(INDIRECT("数出表_Excel!B"&amp;$I19&amp;":T"&amp;$I19&amp;""),1,MATCH(TEXT(F19,0),INDIRECT("数出表_Excel!B"&amp;$I19&amp;":T"&amp;$I19&amp;""),0))),""),4),"1",""),
"")
&amp;"3")
&amp;"　"&amp;INDIRECT("数出表_Excel!"&amp;
IFERROR(
SUBSTITUTE(ADDRESS(1,
IFERROR(COLUMN(INDEX(INDIRECT("数出表_Excel!B"&amp;$I19&amp;":T"&amp;$I19&amp;""),1,MATCH(TEXT(F19,0),INDIRECT("数出表_Excel!B"&amp;$I19&amp;":T"&amp;$I19&amp;""),0))),""),4),"1",""),
"")
&amp;"4")
&amp;INDIRECT("数出表_Excel!"&amp;
IFERROR(
SUBSTITUTE(ADDRESS(1,
IFERROR(COLUMN(INDEX(INDIRECT("数出表_Excel!B"&amp;$I19&amp;":T"&amp;$I19&amp;""),1,MATCH(TEXT(F19,0),INDIRECT("数出表_Excel!B"&amp;$I19&amp;":T"&amp;$I19&amp;""),0))),""),4),"1",""),
"")
&amp;"5"),
INDIRECT("数出表_Excel!"&amp;
IFERROR(
SUBSTITUTE(ADDRESS(1,
IFERROR(COLUMN(INDEX(INDIRECT("数出表_Excel!B"&amp;$I19&amp;":T"&amp;$I19&amp;""),1,MATCH(TEXT(F19,0),INDIRECT("数出表_Excel!B"&amp;$I19&amp;":T"&amp;$I19&amp;""),0))),""),4),"1",""),
"")
&amp;"3")),"")</f>
        <v/>
      </c>
      <c r="O19" t="str" cm="1">
        <f t="array" aca="1" ref="O19" ca="1">IFERROR(IF(OR(COUNTIF(INDIRECT("数出表_Excel!"&amp;
IFERROR(
SUBSTITUTE(ADDRESS(1,
IFERROR(COLUMN(INDEX(INDIRECT("数出表_Excel!B"&amp;$I19&amp;":T"&amp;$I19&amp;""),1,MATCH(TEXT(G19,0),INDIRECT("数出表_Excel!B"&amp;$I19&amp;":T"&amp;$I19&amp;""),0))),""),4),"1",""),
"")
&amp;"3"),"*キャラ*"),
COUNTIF(INDIRECT("数出表_Excel!"&amp;
IFERROR(
SUBSTITUTE(ADDRESS(1,
IFERROR(COLUMN(INDEX(INDIRECT("数出表_Excel!B"&amp;$I19&amp;":T"&amp;$I19&amp;""),1,MATCH(TEXT(G19,0),INDIRECT("数出表_Excel!B"&amp;$I19&amp;":T"&amp;$I19&amp;""),0))),""),4),"1",""),
"")
&amp;"3"),"*赤*")),
INDIRECT("数出表_Excel!"&amp;
IFERROR(
SUBSTITUTE(ADDRESS(1,
IFERROR(COLUMN(INDEX(INDIRECT("数出表_Excel!B"&amp;$I19&amp;":T"&amp;$I19&amp;""),1,MATCH(TEXT(G19,0),INDIRECT("数出表_Excel!B"&amp;$I19&amp;":T"&amp;$I19&amp;""),0))),""),4),"1",""),
"")
&amp;"3")
&amp;"　"&amp;INDIRECT("数出表_Excel!"&amp;
IFERROR(
SUBSTITUTE(ADDRESS(1,
IFERROR(COLUMN(INDEX(INDIRECT("数出表_Excel!B"&amp;$I19&amp;":T"&amp;$I19&amp;""),1,MATCH(TEXT(G19,0),INDIRECT("数出表_Excel!B"&amp;$I19&amp;":T"&amp;$I19&amp;""),0))),""),4),"1",""),
"")
&amp;"4")
&amp;INDIRECT("数出表_Excel!"&amp;
IFERROR(
SUBSTITUTE(ADDRESS(1,
IFERROR(COLUMN(INDEX(INDIRECT("数出表_Excel!B"&amp;$I19&amp;":T"&amp;$I19&amp;""),1,MATCH(TEXT(G19,0),INDIRECT("数出表_Excel!B"&amp;$I19&amp;":T"&amp;$I19&amp;""),0))),""),4),"1",""),
"")
&amp;"5"),
INDIRECT("数出表_Excel!"&amp;
IFERROR(
SUBSTITUTE(ADDRESS(1,
IFERROR(COLUMN(INDEX(INDIRECT("数出表_Excel!B"&amp;$I19&amp;":T"&amp;$I19&amp;""),1,MATCH(TEXT(G19,0),INDIRECT("数出表_Excel!B"&amp;$I19&amp;":T"&amp;$I19&amp;""),0))),""),4),"1",""),
"")
&amp;"3")),"")</f>
        <v/>
      </c>
    </row>
    <row r="20" spans="9:15">
      <c r="I20" t="str">
        <f>IF(A20&lt;&gt;"",MATCH(A20,数出表_Excel!A:A,0),"")</f>
        <v/>
      </c>
      <c r="J20" t="str" cm="1">
        <f t="array" aca="1" ref="J20" ca="1">IFERROR(IF(OR(COUNTIF(INDIRECT("数出表_Excel!"&amp;
IFERROR(
SUBSTITUTE(ADDRESS(1,
IFERROR(COLUMN(INDEX(INDIRECT("数出表_Excel!B"&amp;$I20-1&amp;":T"&amp;$I20-1&amp;""),1,MATCH(TEXT(B20,0),INDIRECT("数出表_Excel!B"&amp;$I20-1&amp;":T"&amp;$I20-1&amp;""),0))),""),4),"1",""),
"")
&amp;"3"),"*キャラ*"),
COUNTIF(INDIRECT("数出表_Excel!"&amp;
IFERROR(
SUBSTITUTE(ADDRESS(1,
IFERROR(COLUMN(INDEX(INDIRECT("数出表_Excel!B"&amp;$I20-1&amp;":T"&amp;$I20-1&amp;""),1,MATCH(TEXT(B20,0),INDIRECT("数出表_Excel!B"&amp;$I20-1&amp;":T"&amp;$I20-1&amp;""),0))),""),4),"1",""),
"")
&amp;"3"),"*赤*")),
INDIRECT("数出表_Excel!"&amp;
IFERROR(
SUBSTITUTE(ADDRESS(1,
IFERROR(COLUMN(INDEX(INDIRECT("数出表_Excel!B"&amp;$I20-1&amp;":T"&amp;$I20-1&amp;""),1,MATCH(TEXT(B20,0),INDIRECT("数出表_Excel!B"&amp;$I20-1&amp;":T"&amp;$I20-1&amp;""),0))),""),4),"1",""),
"")
&amp;"3")
&amp;"　"&amp;INDIRECT("数出表_Excel!"&amp;
IFERROR(
SUBSTITUTE(ADDRESS(1,
IFERROR(COLUMN(INDEX(INDIRECT("数出表_Excel!B"&amp;$I20-1&amp;":T"&amp;$I20-1&amp;""),1,MATCH(TEXT(B20,0),INDIRECT("数出表_Excel!B"&amp;$I20-1&amp;":T"&amp;$I20-1&amp;""),0))),""),4),"1",""),
"")
&amp;"4")
&amp;INDIRECT("数出表_Excel!"&amp;
IFERROR(
SUBSTITUTE(ADDRESS(1,
IFERROR(COLUMN(INDEX(INDIRECT("数出表_Excel!B"&amp;$I20-1&amp;":T"&amp;$I20-1&amp;""),1,MATCH(TEXT(B20,0),INDIRECT("数出表_Excel!B"&amp;$I20-1&amp;":T"&amp;$I20-1&amp;""),0))),""),4),"1",""),
"")
&amp;"5"),
INDIRECT("数出表_Excel!"&amp;
IFERROR(
SUBSTITUTE(ADDRESS(1,
IFERROR(COLUMN(INDEX(INDIRECT("数出表_Excel!B"&amp;$I20-1&amp;":T"&amp;$I20-1&amp;""),1,MATCH(TEXT(B20,0),INDIRECT("数出表_Excel!B"&amp;$I20-1&amp;":T"&amp;$I20-1&amp;""),0))),""),4),"1",""),
"")
&amp;"3")),"")</f>
        <v/>
      </c>
      <c r="K20" t="str" cm="1">
        <f t="array" aca="1" ref="K20" ca="1">IFERROR(IF(OR(COUNTIF(INDIRECT("数出表_Excel!"&amp;
IFERROR(
SUBSTITUTE(ADDRESS(1,
IFERROR(COLUMN(INDEX(INDIRECT("数出表_Excel!B"&amp;$I20-1&amp;":T"&amp;$I20-1&amp;""),1,MATCH(TEXT(C20,0),INDIRECT("数出表_Excel!B"&amp;$I20-1&amp;":T"&amp;$I20-1&amp;""),0))),""),4),"1",""),
"")
&amp;"3"),"*キャラ*"),
COUNTIF(INDIRECT("数出表_Excel!"&amp;
IFERROR(
SUBSTITUTE(ADDRESS(1,
IFERROR(COLUMN(INDEX(INDIRECT("数出表_Excel!B"&amp;$I20-1&amp;":T"&amp;$I20-1&amp;""),1,MATCH(TEXT(C20,0),INDIRECT("数出表_Excel!B"&amp;$I20-1&amp;":T"&amp;$I20-1&amp;""),0))),""),4),"1",""),
"")
&amp;"3"),"*赤*")),
INDIRECT("数出表_Excel!"&amp;
IFERROR(
SUBSTITUTE(ADDRESS(1,
IFERROR(COLUMN(INDEX(INDIRECT("数出表_Excel!B"&amp;$I20-1&amp;":T"&amp;$I20-1&amp;""),1,MATCH(TEXT(C20,0),INDIRECT("数出表_Excel!B"&amp;$I20-1&amp;":T"&amp;$I20-1&amp;""),0))),""),4),"1",""),
"")
&amp;"3")
&amp;"　"&amp;INDIRECT("数出表_Excel!"&amp;
IFERROR(
SUBSTITUTE(ADDRESS(1,
IFERROR(COLUMN(INDEX(INDIRECT("数出表_Excel!B"&amp;$I20-1&amp;":T"&amp;$I20-1&amp;""),1,MATCH(TEXT(C20,0),INDIRECT("数出表_Excel!B"&amp;$I20-1&amp;":T"&amp;$I20-1&amp;""),0))),""),4),"1",""),
"")
&amp;"4")
&amp;INDIRECT("数出表_Excel!"&amp;
IFERROR(
SUBSTITUTE(ADDRESS(1,
IFERROR(COLUMN(INDEX(INDIRECT("数出表_Excel!B"&amp;$I20-1&amp;":T"&amp;$I20-1&amp;""),1,MATCH(TEXT(C20,0),INDIRECT("数出表_Excel!B"&amp;$I20-1&amp;":T"&amp;$I20-1&amp;""),0))),""),4),"1",""),
"")
&amp;"5"),
INDIRECT("数出表_Excel!"&amp;
IFERROR(
SUBSTITUTE(ADDRESS(1,
IFERROR(COLUMN(INDEX(INDIRECT("数出表_Excel!B"&amp;$I20-1&amp;":T"&amp;$I20-1&amp;""),1,MATCH(TEXT(C20,0),INDIRECT("数出表_Excel!B"&amp;$I20-1&amp;":T"&amp;$I20-1&amp;""),0))),""),4),"1",""),
"")
&amp;"3")),"")</f>
        <v/>
      </c>
      <c r="L20" t="str" cm="1">
        <f t="array" aca="1" ref="L20" ca="1">IFERROR(IF(OR(COUNTIF(INDIRECT("数出表_Excel!"&amp;
IFERROR(
SUBSTITUTE(ADDRESS(1,
IFERROR(COLUMN(INDEX(INDIRECT("数出表_Excel!B"&amp;$I20-1&amp;":T"&amp;$I20-1&amp;""),1,MATCH(TEXT(D20,0),INDIRECT("数出表_Excel!B"&amp;$I20-1&amp;":T"&amp;$I20-1&amp;""),0))),""),4),"1",""),
"")
&amp;"3"),"*キャラ*"),
COUNTIF(INDIRECT("数出表_Excel!"&amp;
IFERROR(
SUBSTITUTE(ADDRESS(1,
IFERROR(COLUMN(INDEX(INDIRECT("数出表_Excel!B"&amp;$I20-1&amp;":T"&amp;$I20-1&amp;""),1,MATCH(TEXT(D20,0),INDIRECT("数出表_Excel!B"&amp;$I20-1&amp;":T"&amp;$I20-1&amp;""),0))),""),4),"1",""),
"")
&amp;"3"),"*赤*")),
INDIRECT("数出表_Excel!"&amp;
IFERROR(
SUBSTITUTE(ADDRESS(1,
IFERROR(COLUMN(INDEX(INDIRECT("数出表_Excel!B"&amp;$I20-1&amp;":T"&amp;$I20-1&amp;""),1,MATCH(TEXT(D20,0),INDIRECT("数出表_Excel!B"&amp;$I20-1&amp;":T"&amp;$I20-1&amp;""),0))),""),4),"1",""),
"")
&amp;"3")
&amp;"　"&amp;INDIRECT("数出表_Excel!"&amp;
IFERROR(
SUBSTITUTE(ADDRESS(1,
IFERROR(COLUMN(INDEX(INDIRECT("数出表_Excel!B"&amp;$I20-1&amp;":T"&amp;$I20-1&amp;""),1,MATCH(TEXT(D20,0),INDIRECT("数出表_Excel!B"&amp;$I20-1&amp;":T"&amp;$I20-1&amp;""),0))),""),4),"1",""),
"")
&amp;"4")
&amp;INDIRECT("数出表_Excel!"&amp;
IFERROR(
SUBSTITUTE(ADDRESS(1,
IFERROR(COLUMN(INDEX(INDIRECT("数出表_Excel!B"&amp;$I20-1&amp;":T"&amp;$I20-1&amp;""),1,MATCH(TEXT(D20,0),INDIRECT("数出表_Excel!B"&amp;$I20-1&amp;":T"&amp;$I20-1&amp;""),0))),""),4),"1",""),
"")
&amp;"5"),
INDIRECT("数出表_Excel!"&amp;
IFERROR(
SUBSTITUTE(ADDRESS(1,
IFERROR(COLUMN(INDEX(INDIRECT("数出表_Excel!B"&amp;$I20-1&amp;":T"&amp;$I20-1&amp;""),1,MATCH(TEXT(D20,0),INDIRECT("数出表_Excel!B"&amp;$I20-1&amp;":T"&amp;$I20-1&amp;""),0))),""),4),"1",""),
"")
&amp;"3")),"")</f>
        <v/>
      </c>
      <c r="M20" t="str" cm="1">
        <f t="array" aca="1" ref="M20" ca="1">IFERROR(IF(OR(COUNTIF(INDIRECT("数出表_Excel!"&amp;
IFERROR(
SUBSTITUTE(ADDRESS(1,
IFERROR(COLUMN(INDEX(INDIRECT("数出表_Excel!B"&amp;$I20&amp;":T"&amp;$I20&amp;""),1,MATCH(TEXT(E20,0),INDIRECT("数出表_Excel!B"&amp;$I20&amp;":T"&amp;$I20&amp;""),0))),""),4),"1",""),
"")
&amp;"3"),"*キャラ*"),
COUNTIF(INDIRECT("数出表_Excel!"&amp;
IFERROR(
SUBSTITUTE(ADDRESS(1,
IFERROR(COLUMN(INDEX(INDIRECT("数出表_Excel!B"&amp;$I20&amp;":T"&amp;$I20&amp;""),1,MATCH(TEXT(E20,0),INDIRECT("数出表_Excel!B"&amp;$I20&amp;":T"&amp;$I20&amp;""),0))),""),4),"1",""),
"")
&amp;"3"),"*赤*")),
INDIRECT("数出表_Excel!"&amp;
IFERROR(
SUBSTITUTE(ADDRESS(1,
IFERROR(COLUMN(INDEX(INDIRECT("数出表_Excel!B"&amp;$I20&amp;":T"&amp;$I20&amp;""),1,MATCH(TEXT(E20,0),INDIRECT("数出表_Excel!B"&amp;$I20&amp;":T"&amp;$I20&amp;""),0))),""),4),"1",""),
"")
&amp;"3")
&amp;"　"&amp;INDIRECT("数出表_Excel!"&amp;
IFERROR(
SUBSTITUTE(ADDRESS(1,
IFERROR(COLUMN(INDEX(INDIRECT("数出表_Excel!B"&amp;$I20&amp;":T"&amp;$I20&amp;""),1,MATCH(TEXT(E20,0),INDIRECT("数出表_Excel!B"&amp;$I20&amp;":T"&amp;$I20&amp;""),0))),""),4),"1",""),
"")
&amp;"4")
&amp;INDIRECT("数出表_Excel!"&amp;
IFERROR(
SUBSTITUTE(ADDRESS(1,
IFERROR(COLUMN(INDEX(INDIRECT("数出表_Excel!B"&amp;$I20&amp;":T"&amp;$I20&amp;""),1,MATCH(TEXT(E20,0),INDIRECT("数出表_Excel!B"&amp;$I20&amp;":T"&amp;$I20&amp;""),0))),""),4),"1",""),
"")
&amp;"5"),
INDIRECT("数出表_Excel!"&amp;
IFERROR(
SUBSTITUTE(ADDRESS(1,
IFERROR(COLUMN(INDEX(INDIRECT("数出表_Excel!B"&amp;$I20&amp;":T"&amp;$I20&amp;""),1,MATCH(TEXT(E20,0),INDIRECT("数出表_Excel!B"&amp;$I20&amp;":T"&amp;$I20&amp;""),0))),""),4),"1",""),
"")
&amp;"3")),"")</f>
        <v/>
      </c>
      <c r="N20" t="str" cm="1">
        <f t="array" aca="1" ref="N20" ca="1">IFERROR(IF(OR(COUNTIF(INDIRECT("数出表_Excel!"&amp;
IFERROR(
SUBSTITUTE(ADDRESS(1,
IFERROR(COLUMN(INDEX(INDIRECT("数出表_Excel!B"&amp;$I20&amp;":T"&amp;$I20&amp;""),1,MATCH(TEXT(F20,0),INDIRECT("数出表_Excel!B"&amp;$I20&amp;":T"&amp;$I20&amp;""),0))),""),4),"1",""),
"")
&amp;"3"),"*キャラ*"),
COUNTIF(INDIRECT("数出表_Excel!"&amp;
IFERROR(
SUBSTITUTE(ADDRESS(1,
IFERROR(COLUMN(INDEX(INDIRECT("数出表_Excel!B"&amp;$I20&amp;":T"&amp;$I20&amp;""),1,MATCH(TEXT(F20,0),INDIRECT("数出表_Excel!B"&amp;$I20&amp;":T"&amp;$I20&amp;""),0))),""),4),"1",""),
"")
&amp;"3"),"*赤*")),
INDIRECT("数出表_Excel!"&amp;
IFERROR(
SUBSTITUTE(ADDRESS(1,
IFERROR(COLUMN(INDEX(INDIRECT("数出表_Excel!B"&amp;$I20&amp;":T"&amp;$I20&amp;""),1,MATCH(TEXT(F20,0),INDIRECT("数出表_Excel!B"&amp;$I20&amp;":T"&amp;$I20&amp;""),0))),""),4),"1",""),
"")
&amp;"3")
&amp;"　"&amp;INDIRECT("数出表_Excel!"&amp;
IFERROR(
SUBSTITUTE(ADDRESS(1,
IFERROR(COLUMN(INDEX(INDIRECT("数出表_Excel!B"&amp;$I20&amp;":T"&amp;$I20&amp;""),1,MATCH(TEXT(F20,0),INDIRECT("数出表_Excel!B"&amp;$I20&amp;":T"&amp;$I20&amp;""),0))),""),4),"1",""),
"")
&amp;"4")
&amp;INDIRECT("数出表_Excel!"&amp;
IFERROR(
SUBSTITUTE(ADDRESS(1,
IFERROR(COLUMN(INDEX(INDIRECT("数出表_Excel!B"&amp;$I20&amp;":T"&amp;$I20&amp;""),1,MATCH(TEXT(F20,0),INDIRECT("数出表_Excel!B"&amp;$I20&amp;":T"&amp;$I20&amp;""),0))),""),4),"1",""),
"")
&amp;"5"),
INDIRECT("数出表_Excel!"&amp;
IFERROR(
SUBSTITUTE(ADDRESS(1,
IFERROR(COLUMN(INDEX(INDIRECT("数出表_Excel!B"&amp;$I20&amp;":T"&amp;$I20&amp;""),1,MATCH(TEXT(F20,0),INDIRECT("数出表_Excel!B"&amp;$I20&amp;":T"&amp;$I20&amp;""),0))),""),4),"1",""),
"")
&amp;"3")),"")</f>
        <v/>
      </c>
      <c r="O20" t="str" cm="1">
        <f t="array" aca="1" ref="O20" ca="1">IFERROR(IF(OR(COUNTIF(INDIRECT("数出表_Excel!"&amp;
IFERROR(
SUBSTITUTE(ADDRESS(1,
IFERROR(COLUMN(INDEX(INDIRECT("数出表_Excel!B"&amp;$I20&amp;":T"&amp;$I20&amp;""),1,MATCH(TEXT(G20,0),INDIRECT("数出表_Excel!B"&amp;$I20&amp;":T"&amp;$I20&amp;""),0))),""),4),"1",""),
"")
&amp;"3"),"*キャラ*"),
COUNTIF(INDIRECT("数出表_Excel!"&amp;
IFERROR(
SUBSTITUTE(ADDRESS(1,
IFERROR(COLUMN(INDEX(INDIRECT("数出表_Excel!B"&amp;$I20&amp;":T"&amp;$I20&amp;""),1,MATCH(TEXT(G20,0),INDIRECT("数出表_Excel!B"&amp;$I20&amp;":T"&amp;$I20&amp;""),0))),""),4),"1",""),
"")
&amp;"3"),"*赤*")),
INDIRECT("数出表_Excel!"&amp;
IFERROR(
SUBSTITUTE(ADDRESS(1,
IFERROR(COLUMN(INDEX(INDIRECT("数出表_Excel!B"&amp;$I20&amp;":T"&amp;$I20&amp;""),1,MATCH(TEXT(G20,0),INDIRECT("数出表_Excel!B"&amp;$I20&amp;":T"&amp;$I20&amp;""),0))),""),4),"1",""),
"")
&amp;"3")
&amp;"　"&amp;INDIRECT("数出表_Excel!"&amp;
IFERROR(
SUBSTITUTE(ADDRESS(1,
IFERROR(COLUMN(INDEX(INDIRECT("数出表_Excel!B"&amp;$I20&amp;":T"&amp;$I20&amp;""),1,MATCH(TEXT(G20,0),INDIRECT("数出表_Excel!B"&amp;$I20&amp;":T"&amp;$I20&amp;""),0))),""),4),"1",""),
"")
&amp;"4")
&amp;INDIRECT("数出表_Excel!"&amp;
IFERROR(
SUBSTITUTE(ADDRESS(1,
IFERROR(COLUMN(INDEX(INDIRECT("数出表_Excel!B"&amp;$I20&amp;":T"&amp;$I20&amp;""),1,MATCH(TEXT(G20,0),INDIRECT("数出表_Excel!B"&amp;$I20&amp;":T"&amp;$I20&amp;""),0))),""),4),"1",""),
"")
&amp;"5"),
INDIRECT("数出表_Excel!"&amp;
IFERROR(
SUBSTITUTE(ADDRESS(1,
IFERROR(COLUMN(INDEX(INDIRECT("数出表_Excel!B"&amp;$I20&amp;":T"&amp;$I20&amp;""),1,MATCH(TEXT(G20,0),INDIRECT("数出表_Excel!B"&amp;$I20&amp;":T"&amp;$I20&amp;""),0))),""),4),"1",""),
"")
&amp;"3")),"")</f>
        <v/>
      </c>
    </row>
    <row r="21" spans="9:15">
      <c r="I21" t="str">
        <f>IF(A21&lt;&gt;"",MATCH(A21,数出表_Excel!A:A,0),"")</f>
        <v/>
      </c>
      <c r="J21" t="str" cm="1">
        <f t="array" aca="1" ref="J21" ca="1">IFERROR(IF(OR(COUNTIF(INDIRECT("数出表_Excel!"&amp;
IFERROR(
SUBSTITUTE(ADDRESS(1,
IFERROR(COLUMN(INDEX(INDIRECT("数出表_Excel!B"&amp;$I21-1&amp;":T"&amp;$I21-1&amp;""),1,MATCH(TEXT(B21,0),INDIRECT("数出表_Excel!B"&amp;$I21-1&amp;":T"&amp;$I21-1&amp;""),0))),""),4),"1",""),
"")
&amp;"3"),"*キャラ*"),
COUNTIF(INDIRECT("数出表_Excel!"&amp;
IFERROR(
SUBSTITUTE(ADDRESS(1,
IFERROR(COLUMN(INDEX(INDIRECT("数出表_Excel!B"&amp;$I21-1&amp;":T"&amp;$I21-1&amp;""),1,MATCH(TEXT(B21,0),INDIRECT("数出表_Excel!B"&amp;$I21-1&amp;":T"&amp;$I21-1&amp;""),0))),""),4),"1",""),
"")
&amp;"3"),"*赤*")),
INDIRECT("数出表_Excel!"&amp;
IFERROR(
SUBSTITUTE(ADDRESS(1,
IFERROR(COLUMN(INDEX(INDIRECT("数出表_Excel!B"&amp;$I21-1&amp;":T"&amp;$I21-1&amp;""),1,MATCH(TEXT(B21,0),INDIRECT("数出表_Excel!B"&amp;$I21-1&amp;":T"&amp;$I21-1&amp;""),0))),""),4),"1",""),
"")
&amp;"3")
&amp;"　"&amp;INDIRECT("数出表_Excel!"&amp;
IFERROR(
SUBSTITUTE(ADDRESS(1,
IFERROR(COLUMN(INDEX(INDIRECT("数出表_Excel!B"&amp;$I21-1&amp;":T"&amp;$I21-1&amp;""),1,MATCH(TEXT(B21,0),INDIRECT("数出表_Excel!B"&amp;$I21-1&amp;":T"&amp;$I21-1&amp;""),0))),""),4),"1",""),
"")
&amp;"4")
&amp;INDIRECT("数出表_Excel!"&amp;
IFERROR(
SUBSTITUTE(ADDRESS(1,
IFERROR(COLUMN(INDEX(INDIRECT("数出表_Excel!B"&amp;$I21-1&amp;":T"&amp;$I21-1&amp;""),1,MATCH(TEXT(B21,0),INDIRECT("数出表_Excel!B"&amp;$I21-1&amp;":T"&amp;$I21-1&amp;""),0))),""),4),"1",""),
"")
&amp;"5"),
INDIRECT("数出表_Excel!"&amp;
IFERROR(
SUBSTITUTE(ADDRESS(1,
IFERROR(COLUMN(INDEX(INDIRECT("数出表_Excel!B"&amp;$I21-1&amp;":T"&amp;$I21-1&amp;""),1,MATCH(TEXT(B21,0),INDIRECT("数出表_Excel!B"&amp;$I21-1&amp;":T"&amp;$I21-1&amp;""),0))),""),4),"1",""),
"")
&amp;"3")),"")</f>
        <v/>
      </c>
      <c r="K21" t="str" cm="1">
        <f t="array" aca="1" ref="K21" ca="1">IFERROR(IF(OR(COUNTIF(INDIRECT("数出表_Excel!"&amp;
IFERROR(
SUBSTITUTE(ADDRESS(1,
IFERROR(COLUMN(INDEX(INDIRECT("数出表_Excel!B"&amp;$I21-1&amp;":T"&amp;$I21-1&amp;""),1,MATCH(TEXT(C21,0),INDIRECT("数出表_Excel!B"&amp;$I21-1&amp;":T"&amp;$I21-1&amp;""),0))),""),4),"1",""),
"")
&amp;"3"),"*キャラ*"),
COUNTIF(INDIRECT("数出表_Excel!"&amp;
IFERROR(
SUBSTITUTE(ADDRESS(1,
IFERROR(COLUMN(INDEX(INDIRECT("数出表_Excel!B"&amp;$I21-1&amp;":T"&amp;$I21-1&amp;""),1,MATCH(TEXT(C21,0),INDIRECT("数出表_Excel!B"&amp;$I21-1&amp;":T"&amp;$I21-1&amp;""),0))),""),4),"1",""),
"")
&amp;"3"),"*赤*")),
INDIRECT("数出表_Excel!"&amp;
IFERROR(
SUBSTITUTE(ADDRESS(1,
IFERROR(COLUMN(INDEX(INDIRECT("数出表_Excel!B"&amp;$I21-1&amp;":T"&amp;$I21-1&amp;""),1,MATCH(TEXT(C21,0),INDIRECT("数出表_Excel!B"&amp;$I21-1&amp;":T"&amp;$I21-1&amp;""),0))),""),4),"1",""),
"")
&amp;"3")
&amp;"　"&amp;INDIRECT("数出表_Excel!"&amp;
IFERROR(
SUBSTITUTE(ADDRESS(1,
IFERROR(COLUMN(INDEX(INDIRECT("数出表_Excel!B"&amp;$I21-1&amp;":T"&amp;$I21-1&amp;""),1,MATCH(TEXT(C21,0),INDIRECT("数出表_Excel!B"&amp;$I21-1&amp;":T"&amp;$I21-1&amp;""),0))),""),4),"1",""),
"")
&amp;"4")
&amp;INDIRECT("数出表_Excel!"&amp;
IFERROR(
SUBSTITUTE(ADDRESS(1,
IFERROR(COLUMN(INDEX(INDIRECT("数出表_Excel!B"&amp;$I21-1&amp;":T"&amp;$I21-1&amp;""),1,MATCH(TEXT(C21,0),INDIRECT("数出表_Excel!B"&amp;$I21-1&amp;":T"&amp;$I21-1&amp;""),0))),""),4),"1",""),
"")
&amp;"5"),
INDIRECT("数出表_Excel!"&amp;
IFERROR(
SUBSTITUTE(ADDRESS(1,
IFERROR(COLUMN(INDEX(INDIRECT("数出表_Excel!B"&amp;$I21-1&amp;":T"&amp;$I21-1&amp;""),1,MATCH(TEXT(C21,0),INDIRECT("数出表_Excel!B"&amp;$I21-1&amp;":T"&amp;$I21-1&amp;""),0))),""),4),"1",""),
"")
&amp;"3")),"")</f>
        <v/>
      </c>
      <c r="L21" t="str" cm="1">
        <f t="array" aca="1" ref="L21" ca="1">IFERROR(IF(OR(COUNTIF(INDIRECT("数出表_Excel!"&amp;
IFERROR(
SUBSTITUTE(ADDRESS(1,
IFERROR(COLUMN(INDEX(INDIRECT("数出表_Excel!B"&amp;$I21-1&amp;":T"&amp;$I21-1&amp;""),1,MATCH(TEXT(D21,0),INDIRECT("数出表_Excel!B"&amp;$I21-1&amp;":T"&amp;$I21-1&amp;""),0))),""),4),"1",""),
"")
&amp;"3"),"*キャラ*"),
COUNTIF(INDIRECT("数出表_Excel!"&amp;
IFERROR(
SUBSTITUTE(ADDRESS(1,
IFERROR(COLUMN(INDEX(INDIRECT("数出表_Excel!B"&amp;$I21-1&amp;":T"&amp;$I21-1&amp;""),1,MATCH(TEXT(D21,0),INDIRECT("数出表_Excel!B"&amp;$I21-1&amp;":T"&amp;$I21-1&amp;""),0))),""),4),"1",""),
"")
&amp;"3"),"*赤*")),
INDIRECT("数出表_Excel!"&amp;
IFERROR(
SUBSTITUTE(ADDRESS(1,
IFERROR(COLUMN(INDEX(INDIRECT("数出表_Excel!B"&amp;$I21-1&amp;":T"&amp;$I21-1&amp;""),1,MATCH(TEXT(D21,0),INDIRECT("数出表_Excel!B"&amp;$I21-1&amp;":T"&amp;$I21-1&amp;""),0))),""),4),"1",""),
"")
&amp;"3")
&amp;"　"&amp;INDIRECT("数出表_Excel!"&amp;
IFERROR(
SUBSTITUTE(ADDRESS(1,
IFERROR(COLUMN(INDEX(INDIRECT("数出表_Excel!B"&amp;$I21-1&amp;":T"&amp;$I21-1&amp;""),1,MATCH(TEXT(D21,0),INDIRECT("数出表_Excel!B"&amp;$I21-1&amp;":T"&amp;$I21-1&amp;""),0))),""),4),"1",""),
"")
&amp;"4")
&amp;INDIRECT("数出表_Excel!"&amp;
IFERROR(
SUBSTITUTE(ADDRESS(1,
IFERROR(COLUMN(INDEX(INDIRECT("数出表_Excel!B"&amp;$I21-1&amp;":T"&amp;$I21-1&amp;""),1,MATCH(TEXT(D21,0),INDIRECT("数出表_Excel!B"&amp;$I21-1&amp;":T"&amp;$I21-1&amp;""),0))),""),4),"1",""),
"")
&amp;"5"),
INDIRECT("数出表_Excel!"&amp;
IFERROR(
SUBSTITUTE(ADDRESS(1,
IFERROR(COLUMN(INDEX(INDIRECT("数出表_Excel!B"&amp;$I21-1&amp;":T"&amp;$I21-1&amp;""),1,MATCH(TEXT(D21,0),INDIRECT("数出表_Excel!B"&amp;$I21-1&amp;":T"&amp;$I21-1&amp;""),0))),""),4),"1",""),
"")
&amp;"3")),"")</f>
        <v/>
      </c>
      <c r="M21" t="str" cm="1">
        <f t="array" aca="1" ref="M21" ca="1">IFERROR(IF(OR(COUNTIF(INDIRECT("数出表_Excel!"&amp;
IFERROR(
SUBSTITUTE(ADDRESS(1,
IFERROR(COLUMN(INDEX(INDIRECT("数出表_Excel!B"&amp;$I21&amp;":T"&amp;$I21&amp;""),1,MATCH(TEXT(E21,0),INDIRECT("数出表_Excel!B"&amp;$I21&amp;":T"&amp;$I21&amp;""),0))),""),4),"1",""),
"")
&amp;"3"),"*キャラ*"),
COUNTIF(INDIRECT("数出表_Excel!"&amp;
IFERROR(
SUBSTITUTE(ADDRESS(1,
IFERROR(COLUMN(INDEX(INDIRECT("数出表_Excel!B"&amp;$I21&amp;":T"&amp;$I21&amp;""),1,MATCH(TEXT(E21,0),INDIRECT("数出表_Excel!B"&amp;$I21&amp;":T"&amp;$I21&amp;""),0))),""),4),"1",""),
"")
&amp;"3"),"*赤*")),
INDIRECT("数出表_Excel!"&amp;
IFERROR(
SUBSTITUTE(ADDRESS(1,
IFERROR(COLUMN(INDEX(INDIRECT("数出表_Excel!B"&amp;$I21&amp;":T"&amp;$I21&amp;""),1,MATCH(TEXT(E21,0),INDIRECT("数出表_Excel!B"&amp;$I21&amp;":T"&amp;$I21&amp;""),0))),""),4),"1",""),
"")
&amp;"3")
&amp;"　"&amp;INDIRECT("数出表_Excel!"&amp;
IFERROR(
SUBSTITUTE(ADDRESS(1,
IFERROR(COLUMN(INDEX(INDIRECT("数出表_Excel!B"&amp;$I21&amp;":T"&amp;$I21&amp;""),1,MATCH(TEXT(E21,0),INDIRECT("数出表_Excel!B"&amp;$I21&amp;":T"&amp;$I21&amp;""),0))),""),4),"1",""),
"")
&amp;"4")
&amp;INDIRECT("数出表_Excel!"&amp;
IFERROR(
SUBSTITUTE(ADDRESS(1,
IFERROR(COLUMN(INDEX(INDIRECT("数出表_Excel!B"&amp;$I21&amp;":T"&amp;$I21&amp;""),1,MATCH(TEXT(E21,0),INDIRECT("数出表_Excel!B"&amp;$I21&amp;":T"&amp;$I21&amp;""),0))),""),4),"1",""),
"")
&amp;"5"),
INDIRECT("数出表_Excel!"&amp;
IFERROR(
SUBSTITUTE(ADDRESS(1,
IFERROR(COLUMN(INDEX(INDIRECT("数出表_Excel!B"&amp;$I21&amp;":T"&amp;$I21&amp;""),1,MATCH(TEXT(E21,0),INDIRECT("数出表_Excel!B"&amp;$I21&amp;":T"&amp;$I21&amp;""),0))),""),4),"1",""),
"")
&amp;"3")),"")</f>
        <v/>
      </c>
      <c r="N21" t="str" cm="1">
        <f t="array" aca="1" ref="N21" ca="1">IFERROR(IF(OR(COUNTIF(INDIRECT("数出表_Excel!"&amp;
IFERROR(
SUBSTITUTE(ADDRESS(1,
IFERROR(COLUMN(INDEX(INDIRECT("数出表_Excel!B"&amp;$I21&amp;":T"&amp;$I21&amp;""),1,MATCH(TEXT(F21,0),INDIRECT("数出表_Excel!B"&amp;$I21&amp;":T"&amp;$I21&amp;""),0))),""),4),"1",""),
"")
&amp;"3"),"*キャラ*"),
COUNTIF(INDIRECT("数出表_Excel!"&amp;
IFERROR(
SUBSTITUTE(ADDRESS(1,
IFERROR(COLUMN(INDEX(INDIRECT("数出表_Excel!B"&amp;$I21&amp;":T"&amp;$I21&amp;""),1,MATCH(TEXT(F21,0),INDIRECT("数出表_Excel!B"&amp;$I21&amp;":T"&amp;$I21&amp;""),0))),""),4),"1",""),
"")
&amp;"3"),"*赤*")),
INDIRECT("数出表_Excel!"&amp;
IFERROR(
SUBSTITUTE(ADDRESS(1,
IFERROR(COLUMN(INDEX(INDIRECT("数出表_Excel!B"&amp;$I21&amp;":T"&amp;$I21&amp;""),1,MATCH(TEXT(F21,0),INDIRECT("数出表_Excel!B"&amp;$I21&amp;":T"&amp;$I21&amp;""),0))),""),4),"1",""),
"")
&amp;"3")
&amp;"　"&amp;INDIRECT("数出表_Excel!"&amp;
IFERROR(
SUBSTITUTE(ADDRESS(1,
IFERROR(COLUMN(INDEX(INDIRECT("数出表_Excel!B"&amp;$I21&amp;":T"&amp;$I21&amp;""),1,MATCH(TEXT(F21,0),INDIRECT("数出表_Excel!B"&amp;$I21&amp;":T"&amp;$I21&amp;""),0))),""),4),"1",""),
"")
&amp;"4")
&amp;INDIRECT("数出表_Excel!"&amp;
IFERROR(
SUBSTITUTE(ADDRESS(1,
IFERROR(COLUMN(INDEX(INDIRECT("数出表_Excel!B"&amp;$I21&amp;":T"&amp;$I21&amp;""),1,MATCH(TEXT(F21,0),INDIRECT("数出表_Excel!B"&amp;$I21&amp;":T"&amp;$I21&amp;""),0))),""),4),"1",""),
"")
&amp;"5"),
INDIRECT("数出表_Excel!"&amp;
IFERROR(
SUBSTITUTE(ADDRESS(1,
IFERROR(COLUMN(INDEX(INDIRECT("数出表_Excel!B"&amp;$I21&amp;":T"&amp;$I21&amp;""),1,MATCH(TEXT(F21,0),INDIRECT("数出表_Excel!B"&amp;$I21&amp;":T"&amp;$I21&amp;""),0))),""),4),"1",""),
"")
&amp;"3")),"")</f>
        <v/>
      </c>
      <c r="O21" t="str" cm="1">
        <f t="array" aca="1" ref="O21" ca="1">IFERROR(IF(OR(COUNTIF(INDIRECT("数出表_Excel!"&amp;
IFERROR(
SUBSTITUTE(ADDRESS(1,
IFERROR(COLUMN(INDEX(INDIRECT("数出表_Excel!B"&amp;$I21&amp;":T"&amp;$I21&amp;""),1,MATCH(TEXT(G21,0),INDIRECT("数出表_Excel!B"&amp;$I21&amp;":T"&amp;$I21&amp;""),0))),""),4),"1",""),
"")
&amp;"3"),"*キャラ*"),
COUNTIF(INDIRECT("数出表_Excel!"&amp;
IFERROR(
SUBSTITUTE(ADDRESS(1,
IFERROR(COLUMN(INDEX(INDIRECT("数出表_Excel!B"&amp;$I21&amp;":T"&amp;$I21&amp;""),1,MATCH(TEXT(G21,0),INDIRECT("数出表_Excel!B"&amp;$I21&amp;":T"&amp;$I21&amp;""),0))),""),4),"1",""),
"")
&amp;"3"),"*赤*")),
INDIRECT("数出表_Excel!"&amp;
IFERROR(
SUBSTITUTE(ADDRESS(1,
IFERROR(COLUMN(INDEX(INDIRECT("数出表_Excel!B"&amp;$I21&amp;":T"&amp;$I21&amp;""),1,MATCH(TEXT(G21,0),INDIRECT("数出表_Excel!B"&amp;$I21&amp;":T"&amp;$I21&amp;""),0))),""),4),"1",""),
"")
&amp;"3")
&amp;"　"&amp;INDIRECT("数出表_Excel!"&amp;
IFERROR(
SUBSTITUTE(ADDRESS(1,
IFERROR(COLUMN(INDEX(INDIRECT("数出表_Excel!B"&amp;$I21&amp;":T"&amp;$I21&amp;""),1,MATCH(TEXT(G21,0),INDIRECT("数出表_Excel!B"&amp;$I21&amp;":T"&amp;$I21&amp;""),0))),""),4),"1",""),
"")
&amp;"4")
&amp;INDIRECT("数出表_Excel!"&amp;
IFERROR(
SUBSTITUTE(ADDRESS(1,
IFERROR(COLUMN(INDEX(INDIRECT("数出表_Excel!B"&amp;$I21&amp;":T"&amp;$I21&amp;""),1,MATCH(TEXT(G21,0),INDIRECT("数出表_Excel!B"&amp;$I21&amp;":T"&amp;$I21&amp;""),0))),""),4),"1",""),
"")
&amp;"5"),
INDIRECT("数出表_Excel!"&amp;
IFERROR(
SUBSTITUTE(ADDRESS(1,
IFERROR(COLUMN(INDEX(INDIRECT("数出表_Excel!B"&amp;$I21&amp;":T"&amp;$I21&amp;""),1,MATCH(TEXT(G21,0),INDIRECT("数出表_Excel!B"&amp;$I21&amp;":T"&amp;$I21&amp;""),0))),""),4),"1",""),
"")
&amp;"3")),"")</f>
        <v/>
      </c>
    </row>
    <row r="22" spans="9:15">
      <c r="I22" t="str">
        <f>IF(A22&lt;&gt;"",MATCH(A22,数出表_Excel!A:A,0),"")</f>
        <v/>
      </c>
      <c r="J22" t="str" cm="1">
        <f t="array" aca="1" ref="J22" ca="1">IFERROR(IF(OR(COUNTIF(INDIRECT("数出表_Excel!"&amp;
IFERROR(
SUBSTITUTE(ADDRESS(1,
IFERROR(COLUMN(INDEX(INDIRECT("数出表_Excel!B"&amp;$I22-1&amp;":T"&amp;$I22-1&amp;""),1,MATCH(TEXT(B22,0),INDIRECT("数出表_Excel!B"&amp;$I22-1&amp;":T"&amp;$I22-1&amp;""),0))),""),4),"1",""),
"")
&amp;"3"),"*キャラ*"),
COUNTIF(INDIRECT("数出表_Excel!"&amp;
IFERROR(
SUBSTITUTE(ADDRESS(1,
IFERROR(COLUMN(INDEX(INDIRECT("数出表_Excel!B"&amp;$I22-1&amp;":T"&amp;$I22-1&amp;""),1,MATCH(TEXT(B22,0),INDIRECT("数出表_Excel!B"&amp;$I22-1&amp;":T"&amp;$I22-1&amp;""),0))),""),4),"1",""),
"")
&amp;"3"),"*赤*")),
INDIRECT("数出表_Excel!"&amp;
IFERROR(
SUBSTITUTE(ADDRESS(1,
IFERROR(COLUMN(INDEX(INDIRECT("数出表_Excel!B"&amp;$I22-1&amp;":T"&amp;$I22-1&amp;""),1,MATCH(TEXT(B22,0),INDIRECT("数出表_Excel!B"&amp;$I22-1&amp;":T"&amp;$I22-1&amp;""),0))),""),4),"1",""),
"")
&amp;"3")
&amp;"　"&amp;INDIRECT("数出表_Excel!"&amp;
IFERROR(
SUBSTITUTE(ADDRESS(1,
IFERROR(COLUMN(INDEX(INDIRECT("数出表_Excel!B"&amp;$I22-1&amp;":T"&amp;$I22-1&amp;""),1,MATCH(TEXT(B22,0),INDIRECT("数出表_Excel!B"&amp;$I22-1&amp;":T"&amp;$I22-1&amp;""),0))),""),4),"1",""),
"")
&amp;"4")
&amp;INDIRECT("数出表_Excel!"&amp;
IFERROR(
SUBSTITUTE(ADDRESS(1,
IFERROR(COLUMN(INDEX(INDIRECT("数出表_Excel!B"&amp;$I22-1&amp;":T"&amp;$I22-1&amp;""),1,MATCH(TEXT(B22,0),INDIRECT("数出表_Excel!B"&amp;$I22-1&amp;":T"&amp;$I22-1&amp;""),0))),""),4),"1",""),
"")
&amp;"5"),
INDIRECT("数出表_Excel!"&amp;
IFERROR(
SUBSTITUTE(ADDRESS(1,
IFERROR(COLUMN(INDEX(INDIRECT("数出表_Excel!B"&amp;$I22-1&amp;":T"&amp;$I22-1&amp;""),1,MATCH(TEXT(B22,0),INDIRECT("数出表_Excel!B"&amp;$I22-1&amp;":T"&amp;$I22-1&amp;""),0))),""),4),"1",""),
"")
&amp;"3")),"")</f>
        <v/>
      </c>
      <c r="K22" t="str" cm="1">
        <f t="array" aca="1" ref="K22" ca="1">IFERROR(IF(OR(COUNTIF(INDIRECT("数出表_Excel!"&amp;
IFERROR(
SUBSTITUTE(ADDRESS(1,
IFERROR(COLUMN(INDEX(INDIRECT("数出表_Excel!B"&amp;$I22-1&amp;":T"&amp;$I22-1&amp;""),1,MATCH(TEXT(C22,0),INDIRECT("数出表_Excel!B"&amp;$I22-1&amp;":T"&amp;$I22-1&amp;""),0))),""),4),"1",""),
"")
&amp;"3"),"*キャラ*"),
COUNTIF(INDIRECT("数出表_Excel!"&amp;
IFERROR(
SUBSTITUTE(ADDRESS(1,
IFERROR(COLUMN(INDEX(INDIRECT("数出表_Excel!B"&amp;$I22-1&amp;":T"&amp;$I22-1&amp;""),1,MATCH(TEXT(C22,0),INDIRECT("数出表_Excel!B"&amp;$I22-1&amp;":T"&amp;$I22-1&amp;""),0))),""),4),"1",""),
"")
&amp;"3"),"*赤*")),
INDIRECT("数出表_Excel!"&amp;
IFERROR(
SUBSTITUTE(ADDRESS(1,
IFERROR(COLUMN(INDEX(INDIRECT("数出表_Excel!B"&amp;$I22-1&amp;":T"&amp;$I22-1&amp;""),1,MATCH(TEXT(C22,0),INDIRECT("数出表_Excel!B"&amp;$I22-1&amp;":T"&amp;$I22-1&amp;""),0))),""),4),"1",""),
"")
&amp;"3")
&amp;"　"&amp;INDIRECT("数出表_Excel!"&amp;
IFERROR(
SUBSTITUTE(ADDRESS(1,
IFERROR(COLUMN(INDEX(INDIRECT("数出表_Excel!B"&amp;$I22-1&amp;":T"&amp;$I22-1&amp;""),1,MATCH(TEXT(C22,0),INDIRECT("数出表_Excel!B"&amp;$I22-1&amp;":T"&amp;$I22-1&amp;""),0))),""),4),"1",""),
"")
&amp;"4")
&amp;INDIRECT("数出表_Excel!"&amp;
IFERROR(
SUBSTITUTE(ADDRESS(1,
IFERROR(COLUMN(INDEX(INDIRECT("数出表_Excel!B"&amp;$I22-1&amp;":T"&amp;$I22-1&amp;""),1,MATCH(TEXT(C22,0),INDIRECT("数出表_Excel!B"&amp;$I22-1&amp;":T"&amp;$I22-1&amp;""),0))),""),4),"1",""),
"")
&amp;"5"),
INDIRECT("数出表_Excel!"&amp;
IFERROR(
SUBSTITUTE(ADDRESS(1,
IFERROR(COLUMN(INDEX(INDIRECT("数出表_Excel!B"&amp;$I22-1&amp;":T"&amp;$I22-1&amp;""),1,MATCH(TEXT(C22,0),INDIRECT("数出表_Excel!B"&amp;$I22-1&amp;":T"&amp;$I22-1&amp;""),0))),""),4),"1",""),
"")
&amp;"3")),"")</f>
        <v/>
      </c>
      <c r="L22" t="str" cm="1">
        <f t="array" aca="1" ref="L22" ca="1">IFERROR(IF(OR(COUNTIF(INDIRECT("数出表_Excel!"&amp;
IFERROR(
SUBSTITUTE(ADDRESS(1,
IFERROR(COLUMN(INDEX(INDIRECT("数出表_Excel!B"&amp;$I22-1&amp;":T"&amp;$I22-1&amp;""),1,MATCH(TEXT(D22,0),INDIRECT("数出表_Excel!B"&amp;$I22-1&amp;":T"&amp;$I22-1&amp;""),0))),""),4),"1",""),
"")
&amp;"3"),"*キャラ*"),
COUNTIF(INDIRECT("数出表_Excel!"&amp;
IFERROR(
SUBSTITUTE(ADDRESS(1,
IFERROR(COLUMN(INDEX(INDIRECT("数出表_Excel!B"&amp;$I22-1&amp;":T"&amp;$I22-1&amp;""),1,MATCH(TEXT(D22,0),INDIRECT("数出表_Excel!B"&amp;$I22-1&amp;":T"&amp;$I22-1&amp;""),0))),""),4),"1",""),
"")
&amp;"3"),"*赤*")),
INDIRECT("数出表_Excel!"&amp;
IFERROR(
SUBSTITUTE(ADDRESS(1,
IFERROR(COLUMN(INDEX(INDIRECT("数出表_Excel!B"&amp;$I22-1&amp;":T"&amp;$I22-1&amp;""),1,MATCH(TEXT(D22,0),INDIRECT("数出表_Excel!B"&amp;$I22-1&amp;":T"&amp;$I22-1&amp;""),0))),""),4),"1",""),
"")
&amp;"3")
&amp;"　"&amp;INDIRECT("数出表_Excel!"&amp;
IFERROR(
SUBSTITUTE(ADDRESS(1,
IFERROR(COLUMN(INDEX(INDIRECT("数出表_Excel!B"&amp;$I22-1&amp;":T"&amp;$I22-1&amp;""),1,MATCH(TEXT(D22,0),INDIRECT("数出表_Excel!B"&amp;$I22-1&amp;":T"&amp;$I22-1&amp;""),0))),""),4),"1",""),
"")
&amp;"4")
&amp;INDIRECT("数出表_Excel!"&amp;
IFERROR(
SUBSTITUTE(ADDRESS(1,
IFERROR(COLUMN(INDEX(INDIRECT("数出表_Excel!B"&amp;$I22-1&amp;":T"&amp;$I22-1&amp;""),1,MATCH(TEXT(D22,0),INDIRECT("数出表_Excel!B"&amp;$I22-1&amp;":T"&amp;$I22-1&amp;""),0))),""),4),"1",""),
"")
&amp;"5"),
INDIRECT("数出表_Excel!"&amp;
IFERROR(
SUBSTITUTE(ADDRESS(1,
IFERROR(COLUMN(INDEX(INDIRECT("数出表_Excel!B"&amp;$I22-1&amp;":T"&amp;$I22-1&amp;""),1,MATCH(TEXT(D22,0),INDIRECT("数出表_Excel!B"&amp;$I22-1&amp;":T"&amp;$I22-1&amp;""),0))),""),4),"1",""),
"")
&amp;"3")),"")</f>
        <v/>
      </c>
      <c r="M22" t="str" cm="1">
        <f t="array" aca="1" ref="M22" ca="1">IFERROR(IF(OR(COUNTIF(INDIRECT("数出表_Excel!"&amp;
IFERROR(
SUBSTITUTE(ADDRESS(1,
IFERROR(COLUMN(INDEX(INDIRECT("数出表_Excel!B"&amp;$I22&amp;":T"&amp;$I22&amp;""),1,MATCH(TEXT(E22,0),INDIRECT("数出表_Excel!B"&amp;$I22&amp;":T"&amp;$I22&amp;""),0))),""),4),"1",""),
"")
&amp;"3"),"*キャラ*"),
COUNTIF(INDIRECT("数出表_Excel!"&amp;
IFERROR(
SUBSTITUTE(ADDRESS(1,
IFERROR(COLUMN(INDEX(INDIRECT("数出表_Excel!B"&amp;$I22&amp;":T"&amp;$I22&amp;""),1,MATCH(TEXT(E22,0),INDIRECT("数出表_Excel!B"&amp;$I22&amp;":T"&amp;$I22&amp;""),0))),""),4),"1",""),
"")
&amp;"3"),"*赤*")),
INDIRECT("数出表_Excel!"&amp;
IFERROR(
SUBSTITUTE(ADDRESS(1,
IFERROR(COLUMN(INDEX(INDIRECT("数出表_Excel!B"&amp;$I22&amp;":T"&amp;$I22&amp;""),1,MATCH(TEXT(E22,0),INDIRECT("数出表_Excel!B"&amp;$I22&amp;":T"&amp;$I22&amp;""),0))),""),4),"1",""),
"")
&amp;"3")
&amp;"　"&amp;INDIRECT("数出表_Excel!"&amp;
IFERROR(
SUBSTITUTE(ADDRESS(1,
IFERROR(COLUMN(INDEX(INDIRECT("数出表_Excel!B"&amp;$I22&amp;":T"&amp;$I22&amp;""),1,MATCH(TEXT(E22,0),INDIRECT("数出表_Excel!B"&amp;$I22&amp;":T"&amp;$I22&amp;""),0))),""),4),"1",""),
"")
&amp;"4")
&amp;INDIRECT("数出表_Excel!"&amp;
IFERROR(
SUBSTITUTE(ADDRESS(1,
IFERROR(COLUMN(INDEX(INDIRECT("数出表_Excel!B"&amp;$I22&amp;":T"&amp;$I22&amp;""),1,MATCH(TEXT(E22,0),INDIRECT("数出表_Excel!B"&amp;$I22&amp;":T"&amp;$I22&amp;""),0))),""),4),"1",""),
"")
&amp;"5"),
INDIRECT("数出表_Excel!"&amp;
IFERROR(
SUBSTITUTE(ADDRESS(1,
IFERROR(COLUMN(INDEX(INDIRECT("数出表_Excel!B"&amp;$I22&amp;":T"&amp;$I22&amp;""),1,MATCH(TEXT(E22,0),INDIRECT("数出表_Excel!B"&amp;$I22&amp;":T"&amp;$I22&amp;""),0))),""),4),"1",""),
"")
&amp;"3")),"")</f>
        <v/>
      </c>
      <c r="N22" t="str" cm="1">
        <f t="array" aca="1" ref="N22" ca="1">IFERROR(IF(OR(COUNTIF(INDIRECT("数出表_Excel!"&amp;
IFERROR(
SUBSTITUTE(ADDRESS(1,
IFERROR(COLUMN(INDEX(INDIRECT("数出表_Excel!B"&amp;$I22&amp;":T"&amp;$I22&amp;""),1,MATCH(TEXT(F22,0),INDIRECT("数出表_Excel!B"&amp;$I22&amp;":T"&amp;$I22&amp;""),0))),""),4),"1",""),
"")
&amp;"3"),"*キャラ*"),
COUNTIF(INDIRECT("数出表_Excel!"&amp;
IFERROR(
SUBSTITUTE(ADDRESS(1,
IFERROR(COLUMN(INDEX(INDIRECT("数出表_Excel!B"&amp;$I22&amp;":T"&amp;$I22&amp;""),1,MATCH(TEXT(F22,0),INDIRECT("数出表_Excel!B"&amp;$I22&amp;":T"&amp;$I22&amp;""),0))),""),4),"1",""),
"")
&amp;"3"),"*赤*")),
INDIRECT("数出表_Excel!"&amp;
IFERROR(
SUBSTITUTE(ADDRESS(1,
IFERROR(COLUMN(INDEX(INDIRECT("数出表_Excel!B"&amp;$I22&amp;":T"&amp;$I22&amp;""),1,MATCH(TEXT(F22,0),INDIRECT("数出表_Excel!B"&amp;$I22&amp;":T"&amp;$I22&amp;""),0))),""),4),"1",""),
"")
&amp;"3")
&amp;"　"&amp;INDIRECT("数出表_Excel!"&amp;
IFERROR(
SUBSTITUTE(ADDRESS(1,
IFERROR(COLUMN(INDEX(INDIRECT("数出表_Excel!B"&amp;$I22&amp;":T"&amp;$I22&amp;""),1,MATCH(TEXT(F22,0),INDIRECT("数出表_Excel!B"&amp;$I22&amp;":T"&amp;$I22&amp;""),0))),""),4),"1",""),
"")
&amp;"4")
&amp;INDIRECT("数出表_Excel!"&amp;
IFERROR(
SUBSTITUTE(ADDRESS(1,
IFERROR(COLUMN(INDEX(INDIRECT("数出表_Excel!B"&amp;$I22&amp;":T"&amp;$I22&amp;""),1,MATCH(TEXT(F22,0),INDIRECT("数出表_Excel!B"&amp;$I22&amp;":T"&amp;$I22&amp;""),0))),""),4),"1",""),
"")
&amp;"5"),
INDIRECT("数出表_Excel!"&amp;
IFERROR(
SUBSTITUTE(ADDRESS(1,
IFERROR(COLUMN(INDEX(INDIRECT("数出表_Excel!B"&amp;$I22&amp;":T"&amp;$I22&amp;""),1,MATCH(TEXT(F22,0),INDIRECT("数出表_Excel!B"&amp;$I22&amp;":T"&amp;$I22&amp;""),0))),""),4),"1",""),
"")
&amp;"3")),"")</f>
        <v/>
      </c>
      <c r="O22" t="str" cm="1">
        <f t="array" aca="1" ref="O22" ca="1">IFERROR(IF(OR(COUNTIF(INDIRECT("数出表_Excel!"&amp;
IFERROR(
SUBSTITUTE(ADDRESS(1,
IFERROR(COLUMN(INDEX(INDIRECT("数出表_Excel!B"&amp;$I22&amp;":T"&amp;$I22&amp;""),1,MATCH(TEXT(G22,0),INDIRECT("数出表_Excel!B"&amp;$I22&amp;":T"&amp;$I22&amp;""),0))),""),4),"1",""),
"")
&amp;"3"),"*キャラ*"),
COUNTIF(INDIRECT("数出表_Excel!"&amp;
IFERROR(
SUBSTITUTE(ADDRESS(1,
IFERROR(COLUMN(INDEX(INDIRECT("数出表_Excel!B"&amp;$I22&amp;":T"&amp;$I22&amp;""),1,MATCH(TEXT(G22,0),INDIRECT("数出表_Excel!B"&amp;$I22&amp;":T"&amp;$I22&amp;""),0))),""),4),"1",""),
"")
&amp;"3"),"*赤*")),
INDIRECT("数出表_Excel!"&amp;
IFERROR(
SUBSTITUTE(ADDRESS(1,
IFERROR(COLUMN(INDEX(INDIRECT("数出表_Excel!B"&amp;$I22&amp;":T"&amp;$I22&amp;""),1,MATCH(TEXT(G22,0),INDIRECT("数出表_Excel!B"&amp;$I22&amp;":T"&amp;$I22&amp;""),0))),""),4),"1",""),
"")
&amp;"3")
&amp;"　"&amp;INDIRECT("数出表_Excel!"&amp;
IFERROR(
SUBSTITUTE(ADDRESS(1,
IFERROR(COLUMN(INDEX(INDIRECT("数出表_Excel!B"&amp;$I22&amp;":T"&amp;$I22&amp;""),1,MATCH(TEXT(G22,0),INDIRECT("数出表_Excel!B"&amp;$I22&amp;":T"&amp;$I22&amp;""),0))),""),4),"1",""),
"")
&amp;"4")
&amp;INDIRECT("数出表_Excel!"&amp;
IFERROR(
SUBSTITUTE(ADDRESS(1,
IFERROR(COLUMN(INDEX(INDIRECT("数出表_Excel!B"&amp;$I22&amp;":T"&amp;$I22&amp;""),1,MATCH(TEXT(G22,0),INDIRECT("数出表_Excel!B"&amp;$I22&amp;":T"&amp;$I22&amp;""),0))),""),4),"1",""),
"")
&amp;"5"),
INDIRECT("数出表_Excel!"&amp;
IFERROR(
SUBSTITUTE(ADDRESS(1,
IFERROR(COLUMN(INDEX(INDIRECT("数出表_Excel!B"&amp;$I22&amp;":T"&amp;$I22&amp;""),1,MATCH(TEXT(G22,0),INDIRECT("数出表_Excel!B"&amp;$I22&amp;":T"&amp;$I22&amp;""),0))),""),4),"1",""),
"")
&amp;"3")),"")</f>
        <v/>
      </c>
    </row>
    <row r="23" spans="9:15">
      <c r="I23" t="str">
        <f>IF(A23&lt;&gt;"",MATCH(A23,数出表_Excel!A:A,0),"")</f>
        <v/>
      </c>
      <c r="J23" t="str" cm="1">
        <f t="array" aca="1" ref="J23" ca="1">IFERROR(IF(OR(COUNTIF(INDIRECT("数出表_Excel!"&amp;
IFERROR(
SUBSTITUTE(ADDRESS(1,
IFERROR(COLUMN(INDEX(INDIRECT("数出表_Excel!B"&amp;$I23-1&amp;":T"&amp;$I23-1&amp;""),1,MATCH(TEXT(B23,0),INDIRECT("数出表_Excel!B"&amp;$I23-1&amp;":T"&amp;$I23-1&amp;""),0))),""),4),"1",""),
"")
&amp;"3"),"*キャラ*"),
COUNTIF(INDIRECT("数出表_Excel!"&amp;
IFERROR(
SUBSTITUTE(ADDRESS(1,
IFERROR(COLUMN(INDEX(INDIRECT("数出表_Excel!B"&amp;$I23-1&amp;":T"&amp;$I23-1&amp;""),1,MATCH(TEXT(B23,0),INDIRECT("数出表_Excel!B"&amp;$I23-1&amp;":T"&amp;$I23-1&amp;""),0))),""),4),"1",""),
"")
&amp;"3"),"*赤*")),
INDIRECT("数出表_Excel!"&amp;
IFERROR(
SUBSTITUTE(ADDRESS(1,
IFERROR(COLUMN(INDEX(INDIRECT("数出表_Excel!B"&amp;$I23-1&amp;":T"&amp;$I23-1&amp;""),1,MATCH(TEXT(B23,0),INDIRECT("数出表_Excel!B"&amp;$I23-1&amp;":T"&amp;$I23-1&amp;""),0))),""),4),"1",""),
"")
&amp;"3")
&amp;"　"&amp;INDIRECT("数出表_Excel!"&amp;
IFERROR(
SUBSTITUTE(ADDRESS(1,
IFERROR(COLUMN(INDEX(INDIRECT("数出表_Excel!B"&amp;$I23-1&amp;":T"&amp;$I23-1&amp;""),1,MATCH(TEXT(B23,0),INDIRECT("数出表_Excel!B"&amp;$I23-1&amp;":T"&amp;$I23-1&amp;""),0))),""),4),"1",""),
"")
&amp;"4")
&amp;INDIRECT("数出表_Excel!"&amp;
IFERROR(
SUBSTITUTE(ADDRESS(1,
IFERROR(COLUMN(INDEX(INDIRECT("数出表_Excel!B"&amp;$I23-1&amp;":T"&amp;$I23-1&amp;""),1,MATCH(TEXT(B23,0),INDIRECT("数出表_Excel!B"&amp;$I23-1&amp;":T"&amp;$I23-1&amp;""),0))),""),4),"1",""),
"")
&amp;"5"),
INDIRECT("数出表_Excel!"&amp;
IFERROR(
SUBSTITUTE(ADDRESS(1,
IFERROR(COLUMN(INDEX(INDIRECT("数出表_Excel!B"&amp;$I23-1&amp;":T"&amp;$I23-1&amp;""),1,MATCH(TEXT(B23,0),INDIRECT("数出表_Excel!B"&amp;$I23-1&amp;":T"&amp;$I23-1&amp;""),0))),""),4),"1",""),
"")
&amp;"3")),"")</f>
        <v/>
      </c>
      <c r="K23" t="str" cm="1">
        <f t="array" aca="1" ref="K23" ca="1">IFERROR(IF(OR(COUNTIF(INDIRECT("数出表_Excel!"&amp;
IFERROR(
SUBSTITUTE(ADDRESS(1,
IFERROR(COLUMN(INDEX(INDIRECT("数出表_Excel!B"&amp;$I23-1&amp;":T"&amp;$I23-1&amp;""),1,MATCH(TEXT(C23,0),INDIRECT("数出表_Excel!B"&amp;$I23-1&amp;":T"&amp;$I23-1&amp;""),0))),""),4),"1",""),
"")
&amp;"3"),"*キャラ*"),
COUNTIF(INDIRECT("数出表_Excel!"&amp;
IFERROR(
SUBSTITUTE(ADDRESS(1,
IFERROR(COLUMN(INDEX(INDIRECT("数出表_Excel!B"&amp;$I23-1&amp;":T"&amp;$I23-1&amp;""),1,MATCH(TEXT(C23,0),INDIRECT("数出表_Excel!B"&amp;$I23-1&amp;":T"&amp;$I23-1&amp;""),0))),""),4),"1",""),
"")
&amp;"3"),"*赤*")),
INDIRECT("数出表_Excel!"&amp;
IFERROR(
SUBSTITUTE(ADDRESS(1,
IFERROR(COLUMN(INDEX(INDIRECT("数出表_Excel!B"&amp;$I23-1&amp;":T"&amp;$I23-1&amp;""),1,MATCH(TEXT(C23,0),INDIRECT("数出表_Excel!B"&amp;$I23-1&amp;":T"&amp;$I23-1&amp;""),0))),""),4),"1",""),
"")
&amp;"3")
&amp;"　"&amp;INDIRECT("数出表_Excel!"&amp;
IFERROR(
SUBSTITUTE(ADDRESS(1,
IFERROR(COLUMN(INDEX(INDIRECT("数出表_Excel!B"&amp;$I23-1&amp;":T"&amp;$I23-1&amp;""),1,MATCH(TEXT(C23,0),INDIRECT("数出表_Excel!B"&amp;$I23-1&amp;":T"&amp;$I23-1&amp;""),0))),""),4),"1",""),
"")
&amp;"4")
&amp;INDIRECT("数出表_Excel!"&amp;
IFERROR(
SUBSTITUTE(ADDRESS(1,
IFERROR(COLUMN(INDEX(INDIRECT("数出表_Excel!B"&amp;$I23-1&amp;":T"&amp;$I23-1&amp;""),1,MATCH(TEXT(C23,0),INDIRECT("数出表_Excel!B"&amp;$I23-1&amp;":T"&amp;$I23-1&amp;""),0))),""),4),"1",""),
"")
&amp;"5"),
INDIRECT("数出表_Excel!"&amp;
IFERROR(
SUBSTITUTE(ADDRESS(1,
IFERROR(COLUMN(INDEX(INDIRECT("数出表_Excel!B"&amp;$I23-1&amp;":T"&amp;$I23-1&amp;""),1,MATCH(TEXT(C23,0),INDIRECT("数出表_Excel!B"&amp;$I23-1&amp;":T"&amp;$I23-1&amp;""),0))),""),4),"1",""),
"")
&amp;"3")),"")</f>
        <v/>
      </c>
      <c r="L23" t="str" cm="1">
        <f t="array" aca="1" ref="L23" ca="1">IFERROR(IF(OR(COUNTIF(INDIRECT("数出表_Excel!"&amp;
IFERROR(
SUBSTITUTE(ADDRESS(1,
IFERROR(COLUMN(INDEX(INDIRECT("数出表_Excel!B"&amp;$I23-1&amp;":T"&amp;$I23-1&amp;""),1,MATCH(TEXT(D23,0),INDIRECT("数出表_Excel!B"&amp;$I23-1&amp;":T"&amp;$I23-1&amp;""),0))),""),4),"1",""),
"")
&amp;"3"),"*キャラ*"),
COUNTIF(INDIRECT("数出表_Excel!"&amp;
IFERROR(
SUBSTITUTE(ADDRESS(1,
IFERROR(COLUMN(INDEX(INDIRECT("数出表_Excel!B"&amp;$I23-1&amp;":T"&amp;$I23-1&amp;""),1,MATCH(TEXT(D23,0),INDIRECT("数出表_Excel!B"&amp;$I23-1&amp;":T"&amp;$I23-1&amp;""),0))),""),4),"1",""),
"")
&amp;"3"),"*赤*")),
INDIRECT("数出表_Excel!"&amp;
IFERROR(
SUBSTITUTE(ADDRESS(1,
IFERROR(COLUMN(INDEX(INDIRECT("数出表_Excel!B"&amp;$I23-1&amp;":T"&amp;$I23-1&amp;""),1,MATCH(TEXT(D23,0),INDIRECT("数出表_Excel!B"&amp;$I23-1&amp;":T"&amp;$I23-1&amp;""),0))),""),4),"1",""),
"")
&amp;"3")
&amp;"　"&amp;INDIRECT("数出表_Excel!"&amp;
IFERROR(
SUBSTITUTE(ADDRESS(1,
IFERROR(COLUMN(INDEX(INDIRECT("数出表_Excel!B"&amp;$I23-1&amp;":T"&amp;$I23-1&amp;""),1,MATCH(TEXT(D23,0),INDIRECT("数出表_Excel!B"&amp;$I23-1&amp;":T"&amp;$I23-1&amp;""),0))),""),4),"1",""),
"")
&amp;"4")
&amp;INDIRECT("数出表_Excel!"&amp;
IFERROR(
SUBSTITUTE(ADDRESS(1,
IFERROR(COLUMN(INDEX(INDIRECT("数出表_Excel!B"&amp;$I23-1&amp;":T"&amp;$I23-1&amp;""),1,MATCH(TEXT(D23,0),INDIRECT("数出表_Excel!B"&amp;$I23-1&amp;":T"&amp;$I23-1&amp;""),0))),""),4),"1",""),
"")
&amp;"5"),
INDIRECT("数出表_Excel!"&amp;
IFERROR(
SUBSTITUTE(ADDRESS(1,
IFERROR(COLUMN(INDEX(INDIRECT("数出表_Excel!B"&amp;$I23-1&amp;":T"&amp;$I23-1&amp;""),1,MATCH(TEXT(D23,0),INDIRECT("数出表_Excel!B"&amp;$I23-1&amp;":T"&amp;$I23-1&amp;""),0))),""),4),"1",""),
"")
&amp;"3")),"")</f>
        <v/>
      </c>
      <c r="M23" t="str" cm="1">
        <f t="array" aca="1" ref="M23" ca="1">IFERROR(IF(OR(COUNTIF(INDIRECT("数出表_Excel!"&amp;
IFERROR(
SUBSTITUTE(ADDRESS(1,
IFERROR(COLUMN(INDEX(INDIRECT("数出表_Excel!B"&amp;$I23&amp;":T"&amp;$I23&amp;""),1,MATCH(TEXT(E23,0),INDIRECT("数出表_Excel!B"&amp;$I23&amp;":T"&amp;$I23&amp;""),0))),""),4),"1",""),
"")
&amp;"3"),"*キャラ*"),
COUNTIF(INDIRECT("数出表_Excel!"&amp;
IFERROR(
SUBSTITUTE(ADDRESS(1,
IFERROR(COLUMN(INDEX(INDIRECT("数出表_Excel!B"&amp;$I23&amp;":T"&amp;$I23&amp;""),1,MATCH(TEXT(E23,0),INDIRECT("数出表_Excel!B"&amp;$I23&amp;":T"&amp;$I23&amp;""),0))),""),4),"1",""),
"")
&amp;"3"),"*赤*")),
INDIRECT("数出表_Excel!"&amp;
IFERROR(
SUBSTITUTE(ADDRESS(1,
IFERROR(COLUMN(INDEX(INDIRECT("数出表_Excel!B"&amp;$I23&amp;":T"&amp;$I23&amp;""),1,MATCH(TEXT(E23,0),INDIRECT("数出表_Excel!B"&amp;$I23&amp;":T"&amp;$I23&amp;""),0))),""),4),"1",""),
"")
&amp;"3")
&amp;"　"&amp;INDIRECT("数出表_Excel!"&amp;
IFERROR(
SUBSTITUTE(ADDRESS(1,
IFERROR(COLUMN(INDEX(INDIRECT("数出表_Excel!B"&amp;$I23&amp;":T"&amp;$I23&amp;""),1,MATCH(TEXT(E23,0),INDIRECT("数出表_Excel!B"&amp;$I23&amp;":T"&amp;$I23&amp;""),0))),""),4),"1",""),
"")
&amp;"4")
&amp;INDIRECT("数出表_Excel!"&amp;
IFERROR(
SUBSTITUTE(ADDRESS(1,
IFERROR(COLUMN(INDEX(INDIRECT("数出表_Excel!B"&amp;$I23&amp;":T"&amp;$I23&amp;""),1,MATCH(TEXT(E23,0),INDIRECT("数出表_Excel!B"&amp;$I23&amp;":T"&amp;$I23&amp;""),0))),""),4),"1",""),
"")
&amp;"5"),
INDIRECT("数出表_Excel!"&amp;
IFERROR(
SUBSTITUTE(ADDRESS(1,
IFERROR(COLUMN(INDEX(INDIRECT("数出表_Excel!B"&amp;$I23&amp;":T"&amp;$I23&amp;""),1,MATCH(TEXT(E23,0),INDIRECT("数出表_Excel!B"&amp;$I23&amp;":T"&amp;$I23&amp;""),0))),""),4),"1",""),
"")
&amp;"3")),"")</f>
        <v/>
      </c>
      <c r="N23" t="str" cm="1">
        <f t="array" aca="1" ref="N23" ca="1">IFERROR(IF(OR(COUNTIF(INDIRECT("数出表_Excel!"&amp;
IFERROR(
SUBSTITUTE(ADDRESS(1,
IFERROR(COLUMN(INDEX(INDIRECT("数出表_Excel!B"&amp;$I23&amp;":T"&amp;$I23&amp;""),1,MATCH(TEXT(F23,0),INDIRECT("数出表_Excel!B"&amp;$I23&amp;":T"&amp;$I23&amp;""),0))),""),4),"1",""),
"")
&amp;"3"),"*キャラ*"),
COUNTIF(INDIRECT("数出表_Excel!"&amp;
IFERROR(
SUBSTITUTE(ADDRESS(1,
IFERROR(COLUMN(INDEX(INDIRECT("数出表_Excel!B"&amp;$I23&amp;":T"&amp;$I23&amp;""),1,MATCH(TEXT(F23,0),INDIRECT("数出表_Excel!B"&amp;$I23&amp;":T"&amp;$I23&amp;""),0))),""),4),"1",""),
"")
&amp;"3"),"*赤*")),
INDIRECT("数出表_Excel!"&amp;
IFERROR(
SUBSTITUTE(ADDRESS(1,
IFERROR(COLUMN(INDEX(INDIRECT("数出表_Excel!B"&amp;$I23&amp;":T"&amp;$I23&amp;""),1,MATCH(TEXT(F23,0),INDIRECT("数出表_Excel!B"&amp;$I23&amp;":T"&amp;$I23&amp;""),0))),""),4),"1",""),
"")
&amp;"3")
&amp;"　"&amp;INDIRECT("数出表_Excel!"&amp;
IFERROR(
SUBSTITUTE(ADDRESS(1,
IFERROR(COLUMN(INDEX(INDIRECT("数出表_Excel!B"&amp;$I23&amp;":T"&amp;$I23&amp;""),1,MATCH(TEXT(F23,0),INDIRECT("数出表_Excel!B"&amp;$I23&amp;":T"&amp;$I23&amp;""),0))),""),4),"1",""),
"")
&amp;"4")
&amp;INDIRECT("数出表_Excel!"&amp;
IFERROR(
SUBSTITUTE(ADDRESS(1,
IFERROR(COLUMN(INDEX(INDIRECT("数出表_Excel!B"&amp;$I23&amp;":T"&amp;$I23&amp;""),1,MATCH(TEXT(F23,0),INDIRECT("数出表_Excel!B"&amp;$I23&amp;":T"&amp;$I23&amp;""),0))),""),4),"1",""),
"")
&amp;"5"),
INDIRECT("数出表_Excel!"&amp;
IFERROR(
SUBSTITUTE(ADDRESS(1,
IFERROR(COLUMN(INDEX(INDIRECT("数出表_Excel!B"&amp;$I23&amp;":T"&amp;$I23&amp;""),1,MATCH(TEXT(F23,0),INDIRECT("数出表_Excel!B"&amp;$I23&amp;":T"&amp;$I23&amp;""),0))),""),4),"1",""),
"")
&amp;"3")),"")</f>
        <v/>
      </c>
      <c r="O23" t="str" cm="1">
        <f t="array" aca="1" ref="O23" ca="1">IFERROR(IF(OR(COUNTIF(INDIRECT("数出表_Excel!"&amp;
IFERROR(
SUBSTITUTE(ADDRESS(1,
IFERROR(COLUMN(INDEX(INDIRECT("数出表_Excel!B"&amp;$I23&amp;":T"&amp;$I23&amp;""),1,MATCH(TEXT(G23,0),INDIRECT("数出表_Excel!B"&amp;$I23&amp;":T"&amp;$I23&amp;""),0))),""),4),"1",""),
"")
&amp;"3"),"*キャラ*"),
COUNTIF(INDIRECT("数出表_Excel!"&amp;
IFERROR(
SUBSTITUTE(ADDRESS(1,
IFERROR(COLUMN(INDEX(INDIRECT("数出表_Excel!B"&amp;$I23&amp;":T"&amp;$I23&amp;""),1,MATCH(TEXT(G23,0),INDIRECT("数出表_Excel!B"&amp;$I23&amp;":T"&amp;$I23&amp;""),0))),""),4),"1",""),
"")
&amp;"3"),"*赤*")),
INDIRECT("数出表_Excel!"&amp;
IFERROR(
SUBSTITUTE(ADDRESS(1,
IFERROR(COLUMN(INDEX(INDIRECT("数出表_Excel!B"&amp;$I23&amp;":T"&amp;$I23&amp;""),1,MATCH(TEXT(G23,0),INDIRECT("数出表_Excel!B"&amp;$I23&amp;":T"&amp;$I23&amp;""),0))),""),4),"1",""),
"")
&amp;"3")
&amp;"　"&amp;INDIRECT("数出表_Excel!"&amp;
IFERROR(
SUBSTITUTE(ADDRESS(1,
IFERROR(COLUMN(INDEX(INDIRECT("数出表_Excel!B"&amp;$I23&amp;":T"&amp;$I23&amp;""),1,MATCH(TEXT(G23,0),INDIRECT("数出表_Excel!B"&amp;$I23&amp;":T"&amp;$I23&amp;""),0))),""),4),"1",""),
"")
&amp;"4")
&amp;INDIRECT("数出表_Excel!"&amp;
IFERROR(
SUBSTITUTE(ADDRESS(1,
IFERROR(COLUMN(INDEX(INDIRECT("数出表_Excel!B"&amp;$I23&amp;":T"&amp;$I23&amp;""),1,MATCH(TEXT(G23,0),INDIRECT("数出表_Excel!B"&amp;$I23&amp;":T"&amp;$I23&amp;""),0))),""),4),"1",""),
"")
&amp;"5"),
INDIRECT("数出表_Excel!"&amp;
IFERROR(
SUBSTITUTE(ADDRESS(1,
IFERROR(COLUMN(INDEX(INDIRECT("数出表_Excel!B"&amp;$I23&amp;":T"&amp;$I23&amp;""),1,MATCH(TEXT(G23,0),INDIRECT("数出表_Excel!B"&amp;$I23&amp;":T"&amp;$I23&amp;""),0))),""),4),"1",""),
"")
&amp;"3")),"")</f>
        <v/>
      </c>
    </row>
    <row r="24" spans="9:15">
      <c r="I24" t="str">
        <f>IF(A24&lt;&gt;"",MATCH(A24,数出表_Excel!A:A,0),"")</f>
        <v/>
      </c>
      <c r="J24" t="str" cm="1">
        <f t="array" aca="1" ref="J24" ca="1">IFERROR(IF(OR(COUNTIF(INDIRECT("数出表_Excel!"&amp;
IFERROR(
SUBSTITUTE(ADDRESS(1,
IFERROR(COLUMN(INDEX(INDIRECT("数出表_Excel!B"&amp;$I24-1&amp;":T"&amp;$I24-1&amp;""),1,MATCH(TEXT(B24,0),INDIRECT("数出表_Excel!B"&amp;$I24-1&amp;":T"&amp;$I24-1&amp;""),0))),""),4),"1",""),
"")
&amp;"3"),"*キャラ*"),
COUNTIF(INDIRECT("数出表_Excel!"&amp;
IFERROR(
SUBSTITUTE(ADDRESS(1,
IFERROR(COLUMN(INDEX(INDIRECT("数出表_Excel!B"&amp;$I24-1&amp;":T"&amp;$I24-1&amp;""),1,MATCH(TEXT(B24,0),INDIRECT("数出表_Excel!B"&amp;$I24-1&amp;":T"&amp;$I24-1&amp;""),0))),""),4),"1",""),
"")
&amp;"3"),"*赤*")),
INDIRECT("数出表_Excel!"&amp;
IFERROR(
SUBSTITUTE(ADDRESS(1,
IFERROR(COLUMN(INDEX(INDIRECT("数出表_Excel!B"&amp;$I24-1&amp;":T"&amp;$I24-1&amp;""),1,MATCH(TEXT(B24,0),INDIRECT("数出表_Excel!B"&amp;$I24-1&amp;":T"&amp;$I24-1&amp;""),0))),""),4),"1",""),
"")
&amp;"3")
&amp;"　"&amp;INDIRECT("数出表_Excel!"&amp;
IFERROR(
SUBSTITUTE(ADDRESS(1,
IFERROR(COLUMN(INDEX(INDIRECT("数出表_Excel!B"&amp;$I24-1&amp;":T"&amp;$I24-1&amp;""),1,MATCH(TEXT(B24,0),INDIRECT("数出表_Excel!B"&amp;$I24-1&amp;":T"&amp;$I24-1&amp;""),0))),""),4),"1",""),
"")
&amp;"4")
&amp;INDIRECT("数出表_Excel!"&amp;
IFERROR(
SUBSTITUTE(ADDRESS(1,
IFERROR(COLUMN(INDEX(INDIRECT("数出表_Excel!B"&amp;$I24-1&amp;":T"&amp;$I24-1&amp;""),1,MATCH(TEXT(B24,0),INDIRECT("数出表_Excel!B"&amp;$I24-1&amp;":T"&amp;$I24-1&amp;""),0))),""),4),"1",""),
"")
&amp;"5"),
INDIRECT("数出表_Excel!"&amp;
IFERROR(
SUBSTITUTE(ADDRESS(1,
IFERROR(COLUMN(INDEX(INDIRECT("数出表_Excel!B"&amp;$I24-1&amp;":T"&amp;$I24-1&amp;""),1,MATCH(TEXT(B24,0),INDIRECT("数出表_Excel!B"&amp;$I24-1&amp;":T"&amp;$I24-1&amp;""),0))),""),4),"1",""),
"")
&amp;"3")),"")</f>
        <v/>
      </c>
      <c r="K24" t="str" cm="1">
        <f t="array" aca="1" ref="K24" ca="1">IFERROR(IF(OR(COUNTIF(INDIRECT("数出表_Excel!"&amp;
IFERROR(
SUBSTITUTE(ADDRESS(1,
IFERROR(COLUMN(INDEX(INDIRECT("数出表_Excel!B"&amp;$I24-1&amp;":T"&amp;$I24-1&amp;""),1,MATCH(TEXT(C24,0),INDIRECT("数出表_Excel!B"&amp;$I24-1&amp;":T"&amp;$I24-1&amp;""),0))),""),4),"1",""),
"")
&amp;"3"),"*キャラ*"),
COUNTIF(INDIRECT("数出表_Excel!"&amp;
IFERROR(
SUBSTITUTE(ADDRESS(1,
IFERROR(COLUMN(INDEX(INDIRECT("数出表_Excel!B"&amp;$I24-1&amp;":T"&amp;$I24-1&amp;""),1,MATCH(TEXT(C24,0),INDIRECT("数出表_Excel!B"&amp;$I24-1&amp;":T"&amp;$I24-1&amp;""),0))),""),4),"1",""),
"")
&amp;"3"),"*赤*")),
INDIRECT("数出表_Excel!"&amp;
IFERROR(
SUBSTITUTE(ADDRESS(1,
IFERROR(COLUMN(INDEX(INDIRECT("数出表_Excel!B"&amp;$I24-1&amp;":T"&amp;$I24-1&amp;""),1,MATCH(TEXT(C24,0),INDIRECT("数出表_Excel!B"&amp;$I24-1&amp;":T"&amp;$I24-1&amp;""),0))),""),4),"1",""),
"")
&amp;"3")
&amp;"　"&amp;INDIRECT("数出表_Excel!"&amp;
IFERROR(
SUBSTITUTE(ADDRESS(1,
IFERROR(COLUMN(INDEX(INDIRECT("数出表_Excel!B"&amp;$I24-1&amp;":T"&amp;$I24-1&amp;""),1,MATCH(TEXT(C24,0),INDIRECT("数出表_Excel!B"&amp;$I24-1&amp;":T"&amp;$I24-1&amp;""),0))),""),4),"1",""),
"")
&amp;"4")
&amp;INDIRECT("数出表_Excel!"&amp;
IFERROR(
SUBSTITUTE(ADDRESS(1,
IFERROR(COLUMN(INDEX(INDIRECT("数出表_Excel!B"&amp;$I24-1&amp;":T"&amp;$I24-1&amp;""),1,MATCH(TEXT(C24,0),INDIRECT("数出表_Excel!B"&amp;$I24-1&amp;":T"&amp;$I24-1&amp;""),0))),""),4),"1",""),
"")
&amp;"5"),
INDIRECT("数出表_Excel!"&amp;
IFERROR(
SUBSTITUTE(ADDRESS(1,
IFERROR(COLUMN(INDEX(INDIRECT("数出表_Excel!B"&amp;$I24-1&amp;":T"&amp;$I24-1&amp;""),1,MATCH(TEXT(C24,0),INDIRECT("数出表_Excel!B"&amp;$I24-1&amp;":T"&amp;$I24-1&amp;""),0))),""),4),"1",""),
"")
&amp;"3")),"")</f>
        <v/>
      </c>
      <c r="L24" t="str" cm="1">
        <f t="array" aca="1" ref="L24" ca="1">IFERROR(IF(OR(COUNTIF(INDIRECT("数出表_Excel!"&amp;
IFERROR(
SUBSTITUTE(ADDRESS(1,
IFERROR(COLUMN(INDEX(INDIRECT("数出表_Excel!B"&amp;$I24-1&amp;":T"&amp;$I24-1&amp;""),1,MATCH(TEXT(D24,0),INDIRECT("数出表_Excel!B"&amp;$I24-1&amp;":T"&amp;$I24-1&amp;""),0))),""),4),"1",""),
"")
&amp;"3"),"*キャラ*"),
COUNTIF(INDIRECT("数出表_Excel!"&amp;
IFERROR(
SUBSTITUTE(ADDRESS(1,
IFERROR(COLUMN(INDEX(INDIRECT("数出表_Excel!B"&amp;$I24-1&amp;":T"&amp;$I24-1&amp;""),1,MATCH(TEXT(D24,0),INDIRECT("数出表_Excel!B"&amp;$I24-1&amp;":T"&amp;$I24-1&amp;""),0))),""),4),"1",""),
"")
&amp;"3"),"*赤*")),
INDIRECT("数出表_Excel!"&amp;
IFERROR(
SUBSTITUTE(ADDRESS(1,
IFERROR(COLUMN(INDEX(INDIRECT("数出表_Excel!B"&amp;$I24-1&amp;":T"&amp;$I24-1&amp;""),1,MATCH(TEXT(D24,0),INDIRECT("数出表_Excel!B"&amp;$I24-1&amp;":T"&amp;$I24-1&amp;""),0))),""),4),"1",""),
"")
&amp;"3")
&amp;"　"&amp;INDIRECT("数出表_Excel!"&amp;
IFERROR(
SUBSTITUTE(ADDRESS(1,
IFERROR(COLUMN(INDEX(INDIRECT("数出表_Excel!B"&amp;$I24-1&amp;":T"&amp;$I24-1&amp;""),1,MATCH(TEXT(D24,0),INDIRECT("数出表_Excel!B"&amp;$I24-1&amp;":T"&amp;$I24-1&amp;""),0))),""),4),"1",""),
"")
&amp;"4")
&amp;INDIRECT("数出表_Excel!"&amp;
IFERROR(
SUBSTITUTE(ADDRESS(1,
IFERROR(COLUMN(INDEX(INDIRECT("数出表_Excel!B"&amp;$I24-1&amp;":T"&amp;$I24-1&amp;""),1,MATCH(TEXT(D24,0),INDIRECT("数出表_Excel!B"&amp;$I24-1&amp;":T"&amp;$I24-1&amp;""),0))),""),4),"1",""),
"")
&amp;"5"),
INDIRECT("数出表_Excel!"&amp;
IFERROR(
SUBSTITUTE(ADDRESS(1,
IFERROR(COLUMN(INDEX(INDIRECT("数出表_Excel!B"&amp;$I24-1&amp;":T"&amp;$I24-1&amp;""),1,MATCH(TEXT(D24,0),INDIRECT("数出表_Excel!B"&amp;$I24-1&amp;":T"&amp;$I24-1&amp;""),0))),""),4),"1",""),
"")
&amp;"3")),"")</f>
        <v/>
      </c>
      <c r="M24" t="str" cm="1">
        <f t="array" aca="1" ref="M24" ca="1">IFERROR(IF(OR(COUNTIF(INDIRECT("数出表_Excel!"&amp;
IFERROR(
SUBSTITUTE(ADDRESS(1,
IFERROR(COLUMN(INDEX(INDIRECT("数出表_Excel!B"&amp;$I24&amp;":T"&amp;$I24&amp;""),1,MATCH(TEXT(E24,0),INDIRECT("数出表_Excel!B"&amp;$I24&amp;":T"&amp;$I24&amp;""),0))),""),4),"1",""),
"")
&amp;"3"),"*キャラ*"),
COUNTIF(INDIRECT("数出表_Excel!"&amp;
IFERROR(
SUBSTITUTE(ADDRESS(1,
IFERROR(COLUMN(INDEX(INDIRECT("数出表_Excel!B"&amp;$I24&amp;":T"&amp;$I24&amp;""),1,MATCH(TEXT(E24,0),INDIRECT("数出表_Excel!B"&amp;$I24&amp;":T"&amp;$I24&amp;""),0))),""),4),"1",""),
"")
&amp;"3"),"*赤*")),
INDIRECT("数出表_Excel!"&amp;
IFERROR(
SUBSTITUTE(ADDRESS(1,
IFERROR(COLUMN(INDEX(INDIRECT("数出表_Excel!B"&amp;$I24&amp;":T"&amp;$I24&amp;""),1,MATCH(TEXT(E24,0),INDIRECT("数出表_Excel!B"&amp;$I24&amp;":T"&amp;$I24&amp;""),0))),""),4),"1",""),
"")
&amp;"3")
&amp;"　"&amp;INDIRECT("数出表_Excel!"&amp;
IFERROR(
SUBSTITUTE(ADDRESS(1,
IFERROR(COLUMN(INDEX(INDIRECT("数出表_Excel!B"&amp;$I24&amp;":T"&amp;$I24&amp;""),1,MATCH(TEXT(E24,0),INDIRECT("数出表_Excel!B"&amp;$I24&amp;":T"&amp;$I24&amp;""),0))),""),4),"1",""),
"")
&amp;"4")
&amp;INDIRECT("数出表_Excel!"&amp;
IFERROR(
SUBSTITUTE(ADDRESS(1,
IFERROR(COLUMN(INDEX(INDIRECT("数出表_Excel!B"&amp;$I24&amp;":T"&amp;$I24&amp;""),1,MATCH(TEXT(E24,0),INDIRECT("数出表_Excel!B"&amp;$I24&amp;":T"&amp;$I24&amp;""),0))),""),4),"1",""),
"")
&amp;"5"),
INDIRECT("数出表_Excel!"&amp;
IFERROR(
SUBSTITUTE(ADDRESS(1,
IFERROR(COLUMN(INDEX(INDIRECT("数出表_Excel!B"&amp;$I24&amp;":T"&amp;$I24&amp;""),1,MATCH(TEXT(E24,0),INDIRECT("数出表_Excel!B"&amp;$I24&amp;":T"&amp;$I24&amp;""),0))),""),4),"1",""),
"")
&amp;"3")),"")</f>
        <v/>
      </c>
      <c r="N24" t="str" cm="1">
        <f t="array" aca="1" ref="N24" ca="1">IFERROR(IF(OR(COUNTIF(INDIRECT("数出表_Excel!"&amp;
IFERROR(
SUBSTITUTE(ADDRESS(1,
IFERROR(COLUMN(INDEX(INDIRECT("数出表_Excel!B"&amp;$I24&amp;":T"&amp;$I24&amp;""),1,MATCH(TEXT(F24,0),INDIRECT("数出表_Excel!B"&amp;$I24&amp;":T"&amp;$I24&amp;""),0))),""),4),"1",""),
"")
&amp;"3"),"*キャラ*"),
COUNTIF(INDIRECT("数出表_Excel!"&amp;
IFERROR(
SUBSTITUTE(ADDRESS(1,
IFERROR(COLUMN(INDEX(INDIRECT("数出表_Excel!B"&amp;$I24&amp;":T"&amp;$I24&amp;""),1,MATCH(TEXT(F24,0),INDIRECT("数出表_Excel!B"&amp;$I24&amp;":T"&amp;$I24&amp;""),0))),""),4),"1",""),
"")
&amp;"3"),"*赤*")),
INDIRECT("数出表_Excel!"&amp;
IFERROR(
SUBSTITUTE(ADDRESS(1,
IFERROR(COLUMN(INDEX(INDIRECT("数出表_Excel!B"&amp;$I24&amp;":T"&amp;$I24&amp;""),1,MATCH(TEXT(F24,0),INDIRECT("数出表_Excel!B"&amp;$I24&amp;":T"&amp;$I24&amp;""),0))),""),4),"1",""),
"")
&amp;"3")
&amp;"　"&amp;INDIRECT("数出表_Excel!"&amp;
IFERROR(
SUBSTITUTE(ADDRESS(1,
IFERROR(COLUMN(INDEX(INDIRECT("数出表_Excel!B"&amp;$I24&amp;":T"&amp;$I24&amp;""),1,MATCH(TEXT(F24,0),INDIRECT("数出表_Excel!B"&amp;$I24&amp;":T"&amp;$I24&amp;""),0))),""),4),"1",""),
"")
&amp;"4")
&amp;INDIRECT("数出表_Excel!"&amp;
IFERROR(
SUBSTITUTE(ADDRESS(1,
IFERROR(COLUMN(INDEX(INDIRECT("数出表_Excel!B"&amp;$I24&amp;":T"&amp;$I24&amp;""),1,MATCH(TEXT(F24,0),INDIRECT("数出表_Excel!B"&amp;$I24&amp;":T"&amp;$I24&amp;""),0))),""),4),"1",""),
"")
&amp;"5"),
INDIRECT("数出表_Excel!"&amp;
IFERROR(
SUBSTITUTE(ADDRESS(1,
IFERROR(COLUMN(INDEX(INDIRECT("数出表_Excel!B"&amp;$I24&amp;":T"&amp;$I24&amp;""),1,MATCH(TEXT(F24,0),INDIRECT("数出表_Excel!B"&amp;$I24&amp;":T"&amp;$I24&amp;""),0))),""),4),"1",""),
"")
&amp;"3")),"")</f>
        <v/>
      </c>
      <c r="O24" t="str" cm="1">
        <f t="array" aca="1" ref="O24" ca="1">IFERROR(IF(OR(COUNTIF(INDIRECT("数出表_Excel!"&amp;
IFERROR(
SUBSTITUTE(ADDRESS(1,
IFERROR(COLUMN(INDEX(INDIRECT("数出表_Excel!B"&amp;$I24&amp;":T"&amp;$I24&amp;""),1,MATCH(TEXT(G24,0),INDIRECT("数出表_Excel!B"&amp;$I24&amp;":T"&amp;$I24&amp;""),0))),""),4),"1",""),
"")
&amp;"3"),"*キャラ*"),
COUNTIF(INDIRECT("数出表_Excel!"&amp;
IFERROR(
SUBSTITUTE(ADDRESS(1,
IFERROR(COLUMN(INDEX(INDIRECT("数出表_Excel!B"&amp;$I24&amp;":T"&amp;$I24&amp;""),1,MATCH(TEXT(G24,0),INDIRECT("数出表_Excel!B"&amp;$I24&amp;":T"&amp;$I24&amp;""),0))),""),4),"1",""),
"")
&amp;"3"),"*赤*")),
INDIRECT("数出表_Excel!"&amp;
IFERROR(
SUBSTITUTE(ADDRESS(1,
IFERROR(COLUMN(INDEX(INDIRECT("数出表_Excel!B"&amp;$I24&amp;":T"&amp;$I24&amp;""),1,MATCH(TEXT(G24,0),INDIRECT("数出表_Excel!B"&amp;$I24&amp;":T"&amp;$I24&amp;""),0))),""),4),"1",""),
"")
&amp;"3")
&amp;"　"&amp;INDIRECT("数出表_Excel!"&amp;
IFERROR(
SUBSTITUTE(ADDRESS(1,
IFERROR(COLUMN(INDEX(INDIRECT("数出表_Excel!B"&amp;$I24&amp;":T"&amp;$I24&amp;""),1,MATCH(TEXT(G24,0),INDIRECT("数出表_Excel!B"&amp;$I24&amp;":T"&amp;$I24&amp;""),0))),""),4),"1",""),
"")
&amp;"4")
&amp;INDIRECT("数出表_Excel!"&amp;
IFERROR(
SUBSTITUTE(ADDRESS(1,
IFERROR(COLUMN(INDEX(INDIRECT("数出表_Excel!B"&amp;$I24&amp;":T"&amp;$I24&amp;""),1,MATCH(TEXT(G24,0),INDIRECT("数出表_Excel!B"&amp;$I24&amp;":T"&amp;$I24&amp;""),0))),""),4),"1",""),
"")
&amp;"5"),
INDIRECT("数出表_Excel!"&amp;
IFERROR(
SUBSTITUTE(ADDRESS(1,
IFERROR(COLUMN(INDEX(INDIRECT("数出表_Excel!B"&amp;$I24&amp;":T"&amp;$I24&amp;""),1,MATCH(TEXT(G24,0),INDIRECT("数出表_Excel!B"&amp;$I24&amp;":T"&amp;$I24&amp;""),0))),""),4),"1",""),
"")
&amp;"3")),"")</f>
        <v/>
      </c>
    </row>
    <row r="25" spans="9:15">
      <c r="I25" t="str">
        <f>IF(A25&lt;&gt;"",MATCH(A25,数出表_Excel!A:A,0),"")</f>
        <v/>
      </c>
      <c r="J25" t="str" cm="1">
        <f t="array" aca="1" ref="J25" ca="1">IFERROR(IF(OR(COUNTIF(INDIRECT("数出表_Excel!"&amp;
IFERROR(
SUBSTITUTE(ADDRESS(1,
IFERROR(COLUMN(INDEX(INDIRECT("数出表_Excel!B"&amp;$I25-1&amp;":T"&amp;$I25-1&amp;""),1,MATCH(TEXT(B25,0),INDIRECT("数出表_Excel!B"&amp;$I25-1&amp;":T"&amp;$I25-1&amp;""),0))),""),4),"1",""),
"")
&amp;"3"),"*キャラ*"),
COUNTIF(INDIRECT("数出表_Excel!"&amp;
IFERROR(
SUBSTITUTE(ADDRESS(1,
IFERROR(COLUMN(INDEX(INDIRECT("数出表_Excel!B"&amp;$I25-1&amp;":T"&amp;$I25-1&amp;""),1,MATCH(TEXT(B25,0),INDIRECT("数出表_Excel!B"&amp;$I25-1&amp;":T"&amp;$I25-1&amp;""),0))),""),4),"1",""),
"")
&amp;"3"),"*赤*")),
INDIRECT("数出表_Excel!"&amp;
IFERROR(
SUBSTITUTE(ADDRESS(1,
IFERROR(COLUMN(INDEX(INDIRECT("数出表_Excel!B"&amp;$I25-1&amp;":T"&amp;$I25-1&amp;""),1,MATCH(TEXT(B25,0),INDIRECT("数出表_Excel!B"&amp;$I25-1&amp;":T"&amp;$I25-1&amp;""),0))),""),4),"1",""),
"")
&amp;"3")
&amp;"　"&amp;INDIRECT("数出表_Excel!"&amp;
IFERROR(
SUBSTITUTE(ADDRESS(1,
IFERROR(COLUMN(INDEX(INDIRECT("数出表_Excel!B"&amp;$I25-1&amp;":T"&amp;$I25-1&amp;""),1,MATCH(TEXT(B25,0),INDIRECT("数出表_Excel!B"&amp;$I25-1&amp;":T"&amp;$I25-1&amp;""),0))),""),4),"1",""),
"")
&amp;"4")
&amp;INDIRECT("数出表_Excel!"&amp;
IFERROR(
SUBSTITUTE(ADDRESS(1,
IFERROR(COLUMN(INDEX(INDIRECT("数出表_Excel!B"&amp;$I25-1&amp;":T"&amp;$I25-1&amp;""),1,MATCH(TEXT(B25,0),INDIRECT("数出表_Excel!B"&amp;$I25-1&amp;":T"&amp;$I25-1&amp;""),0))),""),4),"1",""),
"")
&amp;"5"),
INDIRECT("数出表_Excel!"&amp;
IFERROR(
SUBSTITUTE(ADDRESS(1,
IFERROR(COLUMN(INDEX(INDIRECT("数出表_Excel!B"&amp;$I25-1&amp;":T"&amp;$I25-1&amp;""),1,MATCH(TEXT(B25,0),INDIRECT("数出表_Excel!B"&amp;$I25-1&amp;":T"&amp;$I25-1&amp;""),0))),""),4),"1",""),
"")
&amp;"3")),"")</f>
        <v/>
      </c>
      <c r="K25" t="str" cm="1">
        <f t="array" aca="1" ref="K25" ca="1">IFERROR(IF(OR(COUNTIF(INDIRECT("数出表_Excel!"&amp;
IFERROR(
SUBSTITUTE(ADDRESS(1,
IFERROR(COLUMN(INDEX(INDIRECT("数出表_Excel!B"&amp;$I25-1&amp;":T"&amp;$I25-1&amp;""),1,MATCH(TEXT(C25,0),INDIRECT("数出表_Excel!B"&amp;$I25-1&amp;":T"&amp;$I25-1&amp;""),0))),""),4),"1",""),
"")
&amp;"3"),"*キャラ*"),
COUNTIF(INDIRECT("数出表_Excel!"&amp;
IFERROR(
SUBSTITUTE(ADDRESS(1,
IFERROR(COLUMN(INDEX(INDIRECT("数出表_Excel!B"&amp;$I25-1&amp;":T"&amp;$I25-1&amp;""),1,MATCH(TEXT(C25,0),INDIRECT("数出表_Excel!B"&amp;$I25-1&amp;":T"&amp;$I25-1&amp;""),0))),""),4),"1",""),
"")
&amp;"3"),"*赤*")),
INDIRECT("数出表_Excel!"&amp;
IFERROR(
SUBSTITUTE(ADDRESS(1,
IFERROR(COLUMN(INDEX(INDIRECT("数出表_Excel!B"&amp;$I25-1&amp;":T"&amp;$I25-1&amp;""),1,MATCH(TEXT(C25,0),INDIRECT("数出表_Excel!B"&amp;$I25-1&amp;":T"&amp;$I25-1&amp;""),0))),""),4),"1",""),
"")
&amp;"3")
&amp;"　"&amp;INDIRECT("数出表_Excel!"&amp;
IFERROR(
SUBSTITUTE(ADDRESS(1,
IFERROR(COLUMN(INDEX(INDIRECT("数出表_Excel!B"&amp;$I25-1&amp;":T"&amp;$I25-1&amp;""),1,MATCH(TEXT(C25,0),INDIRECT("数出表_Excel!B"&amp;$I25-1&amp;":T"&amp;$I25-1&amp;""),0))),""),4),"1",""),
"")
&amp;"4")
&amp;INDIRECT("数出表_Excel!"&amp;
IFERROR(
SUBSTITUTE(ADDRESS(1,
IFERROR(COLUMN(INDEX(INDIRECT("数出表_Excel!B"&amp;$I25-1&amp;":T"&amp;$I25-1&amp;""),1,MATCH(TEXT(C25,0),INDIRECT("数出表_Excel!B"&amp;$I25-1&amp;":T"&amp;$I25-1&amp;""),0))),""),4),"1",""),
"")
&amp;"5"),
INDIRECT("数出表_Excel!"&amp;
IFERROR(
SUBSTITUTE(ADDRESS(1,
IFERROR(COLUMN(INDEX(INDIRECT("数出表_Excel!B"&amp;$I25-1&amp;":T"&amp;$I25-1&amp;""),1,MATCH(TEXT(C25,0),INDIRECT("数出表_Excel!B"&amp;$I25-1&amp;":T"&amp;$I25-1&amp;""),0))),""),4),"1",""),
"")
&amp;"3")),"")</f>
        <v/>
      </c>
      <c r="L25" t="str" cm="1">
        <f t="array" aca="1" ref="L25" ca="1">IFERROR(IF(OR(COUNTIF(INDIRECT("数出表_Excel!"&amp;
IFERROR(
SUBSTITUTE(ADDRESS(1,
IFERROR(COLUMN(INDEX(INDIRECT("数出表_Excel!B"&amp;$I25-1&amp;":T"&amp;$I25-1&amp;""),1,MATCH(TEXT(D25,0),INDIRECT("数出表_Excel!B"&amp;$I25-1&amp;":T"&amp;$I25-1&amp;""),0))),""),4),"1",""),
"")
&amp;"3"),"*キャラ*"),
COUNTIF(INDIRECT("数出表_Excel!"&amp;
IFERROR(
SUBSTITUTE(ADDRESS(1,
IFERROR(COLUMN(INDEX(INDIRECT("数出表_Excel!B"&amp;$I25-1&amp;":T"&amp;$I25-1&amp;""),1,MATCH(TEXT(D25,0),INDIRECT("数出表_Excel!B"&amp;$I25-1&amp;":T"&amp;$I25-1&amp;""),0))),""),4),"1",""),
"")
&amp;"3"),"*赤*")),
INDIRECT("数出表_Excel!"&amp;
IFERROR(
SUBSTITUTE(ADDRESS(1,
IFERROR(COLUMN(INDEX(INDIRECT("数出表_Excel!B"&amp;$I25-1&amp;":T"&amp;$I25-1&amp;""),1,MATCH(TEXT(D25,0),INDIRECT("数出表_Excel!B"&amp;$I25-1&amp;":T"&amp;$I25-1&amp;""),0))),""),4),"1",""),
"")
&amp;"3")
&amp;"　"&amp;INDIRECT("数出表_Excel!"&amp;
IFERROR(
SUBSTITUTE(ADDRESS(1,
IFERROR(COLUMN(INDEX(INDIRECT("数出表_Excel!B"&amp;$I25-1&amp;":T"&amp;$I25-1&amp;""),1,MATCH(TEXT(D25,0),INDIRECT("数出表_Excel!B"&amp;$I25-1&amp;":T"&amp;$I25-1&amp;""),0))),""),4),"1",""),
"")
&amp;"4")
&amp;INDIRECT("数出表_Excel!"&amp;
IFERROR(
SUBSTITUTE(ADDRESS(1,
IFERROR(COLUMN(INDEX(INDIRECT("数出表_Excel!B"&amp;$I25-1&amp;":T"&amp;$I25-1&amp;""),1,MATCH(TEXT(D25,0),INDIRECT("数出表_Excel!B"&amp;$I25-1&amp;":T"&amp;$I25-1&amp;""),0))),""),4),"1",""),
"")
&amp;"5"),
INDIRECT("数出表_Excel!"&amp;
IFERROR(
SUBSTITUTE(ADDRESS(1,
IFERROR(COLUMN(INDEX(INDIRECT("数出表_Excel!B"&amp;$I25-1&amp;":T"&amp;$I25-1&amp;""),1,MATCH(TEXT(D25,0),INDIRECT("数出表_Excel!B"&amp;$I25-1&amp;":T"&amp;$I25-1&amp;""),0))),""),4),"1",""),
"")
&amp;"3")),"")</f>
        <v/>
      </c>
      <c r="M25" t="str" cm="1">
        <f t="array" aca="1" ref="M25" ca="1">IFERROR(IF(OR(COUNTIF(INDIRECT("数出表_Excel!"&amp;
IFERROR(
SUBSTITUTE(ADDRESS(1,
IFERROR(COLUMN(INDEX(INDIRECT("数出表_Excel!B"&amp;$I25&amp;":T"&amp;$I25&amp;""),1,MATCH(TEXT(E25,0),INDIRECT("数出表_Excel!B"&amp;$I25&amp;":T"&amp;$I25&amp;""),0))),""),4),"1",""),
"")
&amp;"3"),"*キャラ*"),
COUNTIF(INDIRECT("数出表_Excel!"&amp;
IFERROR(
SUBSTITUTE(ADDRESS(1,
IFERROR(COLUMN(INDEX(INDIRECT("数出表_Excel!B"&amp;$I25&amp;":T"&amp;$I25&amp;""),1,MATCH(TEXT(E25,0),INDIRECT("数出表_Excel!B"&amp;$I25&amp;":T"&amp;$I25&amp;""),0))),""),4),"1",""),
"")
&amp;"3"),"*赤*")),
INDIRECT("数出表_Excel!"&amp;
IFERROR(
SUBSTITUTE(ADDRESS(1,
IFERROR(COLUMN(INDEX(INDIRECT("数出表_Excel!B"&amp;$I25&amp;":T"&amp;$I25&amp;""),1,MATCH(TEXT(E25,0),INDIRECT("数出表_Excel!B"&amp;$I25&amp;":T"&amp;$I25&amp;""),0))),""),4),"1",""),
"")
&amp;"3")
&amp;"　"&amp;INDIRECT("数出表_Excel!"&amp;
IFERROR(
SUBSTITUTE(ADDRESS(1,
IFERROR(COLUMN(INDEX(INDIRECT("数出表_Excel!B"&amp;$I25&amp;":T"&amp;$I25&amp;""),1,MATCH(TEXT(E25,0),INDIRECT("数出表_Excel!B"&amp;$I25&amp;":T"&amp;$I25&amp;""),0))),""),4),"1",""),
"")
&amp;"4")
&amp;INDIRECT("数出表_Excel!"&amp;
IFERROR(
SUBSTITUTE(ADDRESS(1,
IFERROR(COLUMN(INDEX(INDIRECT("数出表_Excel!B"&amp;$I25&amp;":T"&amp;$I25&amp;""),1,MATCH(TEXT(E25,0),INDIRECT("数出表_Excel!B"&amp;$I25&amp;":T"&amp;$I25&amp;""),0))),""),4),"1",""),
"")
&amp;"5"),
INDIRECT("数出表_Excel!"&amp;
IFERROR(
SUBSTITUTE(ADDRESS(1,
IFERROR(COLUMN(INDEX(INDIRECT("数出表_Excel!B"&amp;$I25&amp;":T"&amp;$I25&amp;""),1,MATCH(TEXT(E25,0),INDIRECT("数出表_Excel!B"&amp;$I25&amp;":T"&amp;$I25&amp;""),0))),""),4),"1",""),
"")
&amp;"3")),"")</f>
        <v/>
      </c>
      <c r="N25" t="str" cm="1">
        <f t="array" aca="1" ref="N25" ca="1">IFERROR(IF(OR(COUNTIF(INDIRECT("数出表_Excel!"&amp;
IFERROR(
SUBSTITUTE(ADDRESS(1,
IFERROR(COLUMN(INDEX(INDIRECT("数出表_Excel!B"&amp;$I25&amp;":T"&amp;$I25&amp;""),1,MATCH(TEXT(F25,0),INDIRECT("数出表_Excel!B"&amp;$I25&amp;":T"&amp;$I25&amp;""),0))),""),4),"1",""),
"")
&amp;"3"),"*キャラ*"),
COUNTIF(INDIRECT("数出表_Excel!"&amp;
IFERROR(
SUBSTITUTE(ADDRESS(1,
IFERROR(COLUMN(INDEX(INDIRECT("数出表_Excel!B"&amp;$I25&amp;":T"&amp;$I25&amp;""),1,MATCH(TEXT(F25,0),INDIRECT("数出表_Excel!B"&amp;$I25&amp;":T"&amp;$I25&amp;""),0))),""),4),"1",""),
"")
&amp;"3"),"*赤*")),
INDIRECT("数出表_Excel!"&amp;
IFERROR(
SUBSTITUTE(ADDRESS(1,
IFERROR(COLUMN(INDEX(INDIRECT("数出表_Excel!B"&amp;$I25&amp;":T"&amp;$I25&amp;""),1,MATCH(TEXT(F25,0),INDIRECT("数出表_Excel!B"&amp;$I25&amp;":T"&amp;$I25&amp;""),0))),""),4),"1",""),
"")
&amp;"3")
&amp;"　"&amp;INDIRECT("数出表_Excel!"&amp;
IFERROR(
SUBSTITUTE(ADDRESS(1,
IFERROR(COLUMN(INDEX(INDIRECT("数出表_Excel!B"&amp;$I25&amp;":T"&amp;$I25&amp;""),1,MATCH(TEXT(F25,0),INDIRECT("数出表_Excel!B"&amp;$I25&amp;":T"&amp;$I25&amp;""),0))),""),4),"1",""),
"")
&amp;"4")
&amp;INDIRECT("数出表_Excel!"&amp;
IFERROR(
SUBSTITUTE(ADDRESS(1,
IFERROR(COLUMN(INDEX(INDIRECT("数出表_Excel!B"&amp;$I25&amp;":T"&amp;$I25&amp;""),1,MATCH(TEXT(F25,0),INDIRECT("数出表_Excel!B"&amp;$I25&amp;":T"&amp;$I25&amp;""),0))),""),4),"1",""),
"")
&amp;"5"),
INDIRECT("数出表_Excel!"&amp;
IFERROR(
SUBSTITUTE(ADDRESS(1,
IFERROR(COLUMN(INDEX(INDIRECT("数出表_Excel!B"&amp;$I25&amp;":T"&amp;$I25&amp;""),1,MATCH(TEXT(F25,0),INDIRECT("数出表_Excel!B"&amp;$I25&amp;":T"&amp;$I25&amp;""),0))),""),4),"1",""),
"")
&amp;"3")),"")</f>
        <v/>
      </c>
      <c r="O25" t="str" cm="1">
        <f t="array" aca="1" ref="O25" ca="1">IFERROR(IF(OR(COUNTIF(INDIRECT("数出表_Excel!"&amp;
IFERROR(
SUBSTITUTE(ADDRESS(1,
IFERROR(COLUMN(INDEX(INDIRECT("数出表_Excel!B"&amp;$I25&amp;":T"&amp;$I25&amp;""),1,MATCH(TEXT(G25,0),INDIRECT("数出表_Excel!B"&amp;$I25&amp;":T"&amp;$I25&amp;""),0))),""),4),"1",""),
"")
&amp;"3"),"*キャラ*"),
COUNTIF(INDIRECT("数出表_Excel!"&amp;
IFERROR(
SUBSTITUTE(ADDRESS(1,
IFERROR(COLUMN(INDEX(INDIRECT("数出表_Excel!B"&amp;$I25&amp;":T"&amp;$I25&amp;""),1,MATCH(TEXT(G25,0),INDIRECT("数出表_Excel!B"&amp;$I25&amp;":T"&amp;$I25&amp;""),0))),""),4),"1",""),
"")
&amp;"3"),"*赤*")),
INDIRECT("数出表_Excel!"&amp;
IFERROR(
SUBSTITUTE(ADDRESS(1,
IFERROR(COLUMN(INDEX(INDIRECT("数出表_Excel!B"&amp;$I25&amp;":T"&amp;$I25&amp;""),1,MATCH(TEXT(G25,0),INDIRECT("数出表_Excel!B"&amp;$I25&amp;":T"&amp;$I25&amp;""),0))),""),4),"1",""),
"")
&amp;"3")
&amp;"　"&amp;INDIRECT("数出表_Excel!"&amp;
IFERROR(
SUBSTITUTE(ADDRESS(1,
IFERROR(COLUMN(INDEX(INDIRECT("数出表_Excel!B"&amp;$I25&amp;":T"&amp;$I25&amp;""),1,MATCH(TEXT(G25,0),INDIRECT("数出表_Excel!B"&amp;$I25&amp;":T"&amp;$I25&amp;""),0))),""),4),"1",""),
"")
&amp;"4")
&amp;INDIRECT("数出表_Excel!"&amp;
IFERROR(
SUBSTITUTE(ADDRESS(1,
IFERROR(COLUMN(INDEX(INDIRECT("数出表_Excel!B"&amp;$I25&amp;":T"&amp;$I25&amp;""),1,MATCH(TEXT(G25,0),INDIRECT("数出表_Excel!B"&amp;$I25&amp;":T"&amp;$I25&amp;""),0))),""),4),"1",""),
"")
&amp;"5"),
INDIRECT("数出表_Excel!"&amp;
IFERROR(
SUBSTITUTE(ADDRESS(1,
IFERROR(COLUMN(INDEX(INDIRECT("数出表_Excel!B"&amp;$I25&amp;":T"&amp;$I25&amp;""),1,MATCH(TEXT(G25,0),INDIRECT("数出表_Excel!B"&amp;$I25&amp;":T"&amp;$I25&amp;""),0))),""),4),"1",""),
"")
&amp;"3")),"")</f>
        <v/>
      </c>
    </row>
    <row r="26" spans="9:15">
      <c r="I26" t="str">
        <f>IF(A26&lt;&gt;"",MATCH(A26,数出表_Excel!A:A,0),"")</f>
        <v/>
      </c>
      <c r="J26" t="str" cm="1">
        <f t="array" aca="1" ref="J26" ca="1">IFERROR(IF(OR(COUNTIF(INDIRECT("数出表_Excel!"&amp;
IFERROR(
SUBSTITUTE(ADDRESS(1,
IFERROR(COLUMN(INDEX(INDIRECT("数出表_Excel!B"&amp;$I26-1&amp;":T"&amp;$I26-1&amp;""),1,MATCH(TEXT(B26,0),INDIRECT("数出表_Excel!B"&amp;$I26-1&amp;":T"&amp;$I26-1&amp;""),0))),""),4),"1",""),
"")
&amp;"3"),"*キャラ*"),
COUNTIF(INDIRECT("数出表_Excel!"&amp;
IFERROR(
SUBSTITUTE(ADDRESS(1,
IFERROR(COLUMN(INDEX(INDIRECT("数出表_Excel!B"&amp;$I26-1&amp;":T"&amp;$I26-1&amp;""),1,MATCH(TEXT(B26,0),INDIRECT("数出表_Excel!B"&amp;$I26-1&amp;":T"&amp;$I26-1&amp;""),0))),""),4),"1",""),
"")
&amp;"3"),"*赤*")),
INDIRECT("数出表_Excel!"&amp;
IFERROR(
SUBSTITUTE(ADDRESS(1,
IFERROR(COLUMN(INDEX(INDIRECT("数出表_Excel!B"&amp;$I26-1&amp;":T"&amp;$I26-1&amp;""),1,MATCH(TEXT(B26,0),INDIRECT("数出表_Excel!B"&amp;$I26-1&amp;":T"&amp;$I26-1&amp;""),0))),""),4),"1",""),
"")
&amp;"3")
&amp;"　"&amp;INDIRECT("数出表_Excel!"&amp;
IFERROR(
SUBSTITUTE(ADDRESS(1,
IFERROR(COLUMN(INDEX(INDIRECT("数出表_Excel!B"&amp;$I26-1&amp;":T"&amp;$I26-1&amp;""),1,MATCH(TEXT(B26,0),INDIRECT("数出表_Excel!B"&amp;$I26-1&amp;":T"&amp;$I26-1&amp;""),0))),""),4),"1",""),
"")
&amp;"4")
&amp;INDIRECT("数出表_Excel!"&amp;
IFERROR(
SUBSTITUTE(ADDRESS(1,
IFERROR(COLUMN(INDEX(INDIRECT("数出表_Excel!B"&amp;$I26-1&amp;":T"&amp;$I26-1&amp;""),1,MATCH(TEXT(B26,0),INDIRECT("数出表_Excel!B"&amp;$I26-1&amp;":T"&amp;$I26-1&amp;""),0))),""),4),"1",""),
"")
&amp;"5"),
INDIRECT("数出表_Excel!"&amp;
IFERROR(
SUBSTITUTE(ADDRESS(1,
IFERROR(COLUMN(INDEX(INDIRECT("数出表_Excel!B"&amp;$I26-1&amp;":T"&amp;$I26-1&amp;""),1,MATCH(TEXT(B26,0),INDIRECT("数出表_Excel!B"&amp;$I26-1&amp;":T"&amp;$I26-1&amp;""),0))),""),4),"1",""),
"")
&amp;"3")),"")</f>
        <v/>
      </c>
      <c r="K26" t="str" cm="1">
        <f t="array" aca="1" ref="K26" ca="1">IFERROR(IF(OR(COUNTIF(INDIRECT("数出表_Excel!"&amp;
IFERROR(
SUBSTITUTE(ADDRESS(1,
IFERROR(COLUMN(INDEX(INDIRECT("数出表_Excel!B"&amp;$I26-1&amp;":T"&amp;$I26-1&amp;""),1,MATCH(TEXT(C26,0),INDIRECT("数出表_Excel!B"&amp;$I26-1&amp;":T"&amp;$I26-1&amp;""),0))),""),4),"1",""),
"")
&amp;"3"),"*キャラ*"),
COUNTIF(INDIRECT("数出表_Excel!"&amp;
IFERROR(
SUBSTITUTE(ADDRESS(1,
IFERROR(COLUMN(INDEX(INDIRECT("数出表_Excel!B"&amp;$I26-1&amp;":T"&amp;$I26-1&amp;""),1,MATCH(TEXT(C26,0),INDIRECT("数出表_Excel!B"&amp;$I26-1&amp;":T"&amp;$I26-1&amp;""),0))),""),4),"1",""),
"")
&amp;"3"),"*赤*")),
INDIRECT("数出表_Excel!"&amp;
IFERROR(
SUBSTITUTE(ADDRESS(1,
IFERROR(COLUMN(INDEX(INDIRECT("数出表_Excel!B"&amp;$I26-1&amp;":T"&amp;$I26-1&amp;""),1,MATCH(TEXT(C26,0),INDIRECT("数出表_Excel!B"&amp;$I26-1&amp;":T"&amp;$I26-1&amp;""),0))),""),4),"1",""),
"")
&amp;"3")
&amp;"　"&amp;INDIRECT("数出表_Excel!"&amp;
IFERROR(
SUBSTITUTE(ADDRESS(1,
IFERROR(COLUMN(INDEX(INDIRECT("数出表_Excel!B"&amp;$I26-1&amp;":T"&amp;$I26-1&amp;""),1,MATCH(TEXT(C26,0),INDIRECT("数出表_Excel!B"&amp;$I26-1&amp;":T"&amp;$I26-1&amp;""),0))),""),4),"1",""),
"")
&amp;"4")
&amp;INDIRECT("数出表_Excel!"&amp;
IFERROR(
SUBSTITUTE(ADDRESS(1,
IFERROR(COLUMN(INDEX(INDIRECT("数出表_Excel!B"&amp;$I26-1&amp;":T"&amp;$I26-1&amp;""),1,MATCH(TEXT(C26,0),INDIRECT("数出表_Excel!B"&amp;$I26-1&amp;":T"&amp;$I26-1&amp;""),0))),""),4),"1",""),
"")
&amp;"5"),
INDIRECT("数出表_Excel!"&amp;
IFERROR(
SUBSTITUTE(ADDRESS(1,
IFERROR(COLUMN(INDEX(INDIRECT("数出表_Excel!B"&amp;$I26-1&amp;":T"&amp;$I26-1&amp;""),1,MATCH(TEXT(C26,0),INDIRECT("数出表_Excel!B"&amp;$I26-1&amp;":T"&amp;$I26-1&amp;""),0))),""),4),"1",""),
"")
&amp;"3")),"")</f>
        <v/>
      </c>
      <c r="L26" t="str" cm="1">
        <f t="array" aca="1" ref="L26" ca="1">IFERROR(IF(OR(COUNTIF(INDIRECT("数出表_Excel!"&amp;
IFERROR(
SUBSTITUTE(ADDRESS(1,
IFERROR(COLUMN(INDEX(INDIRECT("数出表_Excel!B"&amp;$I26-1&amp;":T"&amp;$I26-1&amp;""),1,MATCH(TEXT(D26,0),INDIRECT("数出表_Excel!B"&amp;$I26-1&amp;":T"&amp;$I26-1&amp;""),0))),""),4),"1",""),
"")
&amp;"3"),"*キャラ*"),
COUNTIF(INDIRECT("数出表_Excel!"&amp;
IFERROR(
SUBSTITUTE(ADDRESS(1,
IFERROR(COLUMN(INDEX(INDIRECT("数出表_Excel!B"&amp;$I26-1&amp;":T"&amp;$I26-1&amp;""),1,MATCH(TEXT(D26,0),INDIRECT("数出表_Excel!B"&amp;$I26-1&amp;":T"&amp;$I26-1&amp;""),0))),""),4),"1",""),
"")
&amp;"3"),"*赤*")),
INDIRECT("数出表_Excel!"&amp;
IFERROR(
SUBSTITUTE(ADDRESS(1,
IFERROR(COLUMN(INDEX(INDIRECT("数出表_Excel!B"&amp;$I26-1&amp;":T"&amp;$I26-1&amp;""),1,MATCH(TEXT(D26,0),INDIRECT("数出表_Excel!B"&amp;$I26-1&amp;":T"&amp;$I26-1&amp;""),0))),""),4),"1",""),
"")
&amp;"3")
&amp;"　"&amp;INDIRECT("数出表_Excel!"&amp;
IFERROR(
SUBSTITUTE(ADDRESS(1,
IFERROR(COLUMN(INDEX(INDIRECT("数出表_Excel!B"&amp;$I26-1&amp;":T"&amp;$I26-1&amp;""),1,MATCH(TEXT(D26,0),INDIRECT("数出表_Excel!B"&amp;$I26-1&amp;":T"&amp;$I26-1&amp;""),0))),""),4),"1",""),
"")
&amp;"4")
&amp;INDIRECT("数出表_Excel!"&amp;
IFERROR(
SUBSTITUTE(ADDRESS(1,
IFERROR(COLUMN(INDEX(INDIRECT("数出表_Excel!B"&amp;$I26-1&amp;":T"&amp;$I26-1&amp;""),1,MATCH(TEXT(D26,0),INDIRECT("数出表_Excel!B"&amp;$I26-1&amp;":T"&amp;$I26-1&amp;""),0))),""),4),"1",""),
"")
&amp;"5"),
INDIRECT("数出表_Excel!"&amp;
IFERROR(
SUBSTITUTE(ADDRESS(1,
IFERROR(COLUMN(INDEX(INDIRECT("数出表_Excel!B"&amp;$I26-1&amp;":T"&amp;$I26-1&amp;""),1,MATCH(TEXT(D26,0),INDIRECT("数出表_Excel!B"&amp;$I26-1&amp;":T"&amp;$I26-1&amp;""),0))),""),4),"1",""),
"")
&amp;"3")),"")</f>
        <v/>
      </c>
      <c r="M26" t="str" cm="1">
        <f t="array" aca="1" ref="M26" ca="1">IFERROR(IF(OR(COUNTIF(INDIRECT("数出表_Excel!"&amp;
IFERROR(
SUBSTITUTE(ADDRESS(1,
IFERROR(COLUMN(INDEX(INDIRECT("数出表_Excel!B"&amp;$I26&amp;":T"&amp;$I26&amp;""),1,MATCH(TEXT(E26,0),INDIRECT("数出表_Excel!B"&amp;$I26&amp;":T"&amp;$I26&amp;""),0))),""),4),"1",""),
"")
&amp;"3"),"*キャラ*"),
COUNTIF(INDIRECT("数出表_Excel!"&amp;
IFERROR(
SUBSTITUTE(ADDRESS(1,
IFERROR(COLUMN(INDEX(INDIRECT("数出表_Excel!B"&amp;$I26&amp;":T"&amp;$I26&amp;""),1,MATCH(TEXT(E26,0),INDIRECT("数出表_Excel!B"&amp;$I26&amp;":T"&amp;$I26&amp;""),0))),""),4),"1",""),
"")
&amp;"3"),"*赤*")),
INDIRECT("数出表_Excel!"&amp;
IFERROR(
SUBSTITUTE(ADDRESS(1,
IFERROR(COLUMN(INDEX(INDIRECT("数出表_Excel!B"&amp;$I26&amp;":T"&amp;$I26&amp;""),1,MATCH(TEXT(E26,0),INDIRECT("数出表_Excel!B"&amp;$I26&amp;":T"&amp;$I26&amp;""),0))),""),4),"1",""),
"")
&amp;"3")
&amp;"　"&amp;INDIRECT("数出表_Excel!"&amp;
IFERROR(
SUBSTITUTE(ADDRESS(1,
IFERROR(COLUMN(INDEX(INDIRECT("数出表_Excel!B"&amp;$I26&amp;":T"&amp;$I26&amp;""),1,MATCH(TEXT(E26,0),INDIRECT("数出表_Excel!B"&amp;$I26&amp;":T"&amp;$I26&amp;""),0))),""),4),"1",""),
"")
&amp;"4")
&amp;INDIRECT("数出表_Excel!"&amp;
IFERROR(
SUBSTITUTE(ADDRESS(1,
IFERROR(COLUMN(INDEX(INDIRECT("数出表_Excel!B"&amp;$I26&amp;":T"&amp;$I26&amp;""),1,MATCH(TEXT(E26,0),INDIRECT("数出表_Excel!B"&amp;$I26&amp;":T"&amp;$I26&amp;""),0))),""),4),"1",""),
"")
&amp;"5"),
INDIRECT("数出表_Excel!"&amp;
IFERROR(
SUBSTITUTE(ADDRESS(1,
IFERROR(COLUMN(INDEX(INDIRECT("数出表_Excel!B"&amp;$I26&amp;":T"&amp;$I26&amp;""),1,MATCH(TEXT(E26,0),INDIRECT("数出表_Excel!B"&amp;$I26&amp;":T"&amp;$I26&amp;""),0))),""),4),"1",""),
"")
&amp;"3")),"")</f>
        <v/>
      </c>
      <c r="N26" t="str" cm="1">
        <f t="array" aca="1" ref="N26" ca="1">IFERROR(IF(OR(COUNTIF(INDIRECT("数出表_Excel!"&amp;
IFERROR(
SUBSTITUTE(ADDRESS(1,
IFERROR(COLUMN(INDEX(INDIRECT("数出表_Excel!B"&amp;$I26&amp;":T"&amp;$I26&amp;""),1,MATCH(TEXT(F26,0),INDIRECT("数出表_Excel!B"&amp;$I26&amp;":T"&amp;$I26&amp;""),0))),""),4),"1",""),
"")
&amp;"3"),"*キャラ*"),
COUNTIF(INDIRECT("数出表_Excel!"&amp;
IFERROR(
SUBSTITUTE(ADDRESS(1,
IFERROR(COLUMN(INDEX(INDIRECT("数出表_Excel!B"&amp;$I26&amp;":T"&amp;$I26&amp;""),1,MATCH(TEXT(F26,0),INDIRECT("数出表_Excel!B"&amp;$I26&amp;":T"&amp;$I26&amp;""),0))),""),4),"1",""),
"")
&amp;"3"),"*赤*")),
INDIRECT("数出表_Excel!"&amp;
IFERROR(
SUBSTITUTE(ADDRESS(1,
IFERROR(COLUMN(INDEX(INDIRECT("数出表_Excel!B"&amp;$I26&amp;":T"&amp;$I26&amp;""),1,MATCH(TEXT(F26,0),INDIRECT("数出表_Excel!B"&amp;$I26&amp;":T"&amp;$I26&amp;""),0))),""),4),"1",""),
"")
&amp;"3")
&amp;"　"&amp;INDIRECT("数出表_Excel!"&amp;
IFERROR(
SUBSTITUTE(ADDRESS(1,
IFERROR(COLUMN(INDEX(INDIRECT("数出表_Excel!B"&amp;$I26&amp;":T"&amp;$I26&amp;""),1,MATCH(TEXT(F26,0),INDIRECT("数出表_Excel!B"&amp;$I26&amp;":T"&amp;$I26&amp;""),0))),""),4),"1",""),
"")
&amp;"4")
&amp;INDIRECT("数出表_Excel!"&amp;
IFERROR(
SUBSTITUTE(ADDRESS(1,
IFERROR(COLUMN(INDEX(INDIRECT("数出表_Excel!B"&amp;$I26&amp;":T"&amp;$I26&amp;""),1,MATCH(TEXT(F26,0),INDIRECT("数出表_Excel!B"&amp;$I26&amp;":T"&amp;$I26&amp;""),0))),""),4),"1",""),
"")
&amp;"5"),
INDIRECT("数出表_Excel!"&amp;
IFERROR(
SUBSTITUTE(ADDRESS(1,
IFERROR(COLUMN(INDEX(INDIRECT("数出表_Excel!B"&amp;$I26&amp;":T"&amp;$I26&amp;""),1,MATCH(TEXT(F26,0),INDIRECT("数出表_Excel!B"&amp;$I26&amp;":T"&amp;$I26&amp;""),0))),""),4),"1",""),
"")
&amp;"3")),"")</f>
        <v/>
      </c>
      <c r="O26" t="str" cm="1">
        <f t="array" aca="1" ref="O26" ca="1">IFERROR(IF(OR(COUNTIF(INDIRECT("数出表_Excel!"&amp;
IFERROR(
SUBSTITUTE(ADDRESS(1,
IFERROR(COLUMN(INDEX(INDIRECT("数出表_Excel!B"&amp;$I26&amp;":T"&amp;$I26&amp;""),1,MATCH(TEXT(G26,0),INDIRECT("数出表_Excel!B"&amp;$I26&amp;":T"&amp;$I26&amp;""),0))),""),4),"1",""),
"")
&amp;"3"),"*キャラ*"),
COUNTIF(INDIRECT("数出表_Excel!"&amp;
IFERROR(
SUBSTITUTE(ADDRESS(1,
IFERROR(COLUMN(INDEX(INDIRECT("数出表_Excel!B"&amp;$I26&amp;":T"&amp;$I26&amp;""),1,MATCH(TEXT(G26,0),INDIRECT("数出表_Excel!B"&amp;$I26&amp;":T"&amp;$I26&amp;""),0))),""),4),"1",""),
"")
&amp;"3"),"*赤*")),
INDIRECT("数出表_Excel!"&amp;
IFERROR(
SUBSTITUTE(ADDRESS(1,
IFERROR(COLUMN(INDEX(INDIRECT("数出表_Excel!B"&amp;$I26&amp;":T"&amp;$I26&amp;""),1,MATCH(TEXT(G26,0),INDIRECT("数出表_Excel!B"&amp;$I26&amp;":T"&amp;$I26&amp;""),0))),""),4),"1",""),
"")
&amp;"3")
&amp;"　"&amp;INDIRECT("数出表_Excel!"&amp;
IFERROR(
SUBSTITUTE(ADDRESS(1,
IFERROR(COLUMN(INDEX(INDIRECT("数出表_Excel!B"&amp;$I26&amp;":T"&amp;$I26&amp;""),1,MATCH(TEXT(G26,0),INDIRECT("数出表_Excel!B"&amp;$I26&amp;":T"&amp;$I26&amp;""),0))),""),4),"1",""),
"")
&amp;"4")
&amp;INDIRECT("数出表_Excel!"&amp;
IFERROR(
SUBSTITUTE(ADDRESS(1,
IFERROR(COLUMN(INDEX(INDIRECT("数出表_Excel!B"&amp;$I26&amp;":T"&amp;$I26&amp;""),1,MATCH(TEXT(G26,0),INDIRECT("数出表_Excel!B"&amp;$I26&amp;":T"&amp;$I26&amp;""),0))),""),4),"1",""),
"")
&amp;"5"),
INDIRECT("数出表_Excel!"&amp;
IFERROR(
SUBSTITUTE(ADDRESS(1,
IFERROR(COLUMN(INDEX(INDIRECT("数出表_Excel!B"&amp;$I26&amp;":T"&amp;$I26&amp;""),1,MATCH(TEXT(G26,0),INDIRECT("数出表_Excel!B"&amp;$I26&amp;":T"&amp;$I26&amp;""),0))),""),4),"1",""),
"")
&amp;"3")),"")</f>
        <v/>
      </c>
    </row>
    <row r="27" spans="9:15">
      <c r="I27" t="str">
        <f>IF(A27&lt;&gt;"",MATCH(A27,数出表_Excel!A:A,0),"")</f>
        <v/>
      </c>
      <c r="J27" t="str" cm="1">
        <f t="array" aca="1" ref="J27" ca="1">IFERROR(IF(OR(COUNTIF(INDIRECT("数出表_Excel!"&amp;
IFERROR(
SUBSTITUTE(ADDRESS(1,
IFERROR(COLUMN(INDEX(INDIRECT("数出表_Excel!B"&amp;$I27-1&amp;":T"&amp;$I27-1&amp;""),1,MATCH(TEXT(B27,0),INDIRECT("数出表_Excel!B"&amp;$I27-1&amp;":T"&amp;$I27-1&amp;""),0))),""),4),"1",""),
"")
&amp;"3"),"*キャラ*"),
COUNTIF(INDIRECT("数出表_Excel!"&amp;
IFERROR(
SUBSTITUTE(ADDRESS(1,
IFERROR(COLUMN(INDEX(INDIRECT("数出表_Excel!B"&amp;$I27-1&amp;":T"&amp;$I27-1&amp;""),1,MATCH(TEXT(B27,0),INDIRECT("数出表_Excel!B"&amp;$I27-1&amp;":T"&amp;$I27-1&amp;""),0))),""),4),"1",""),
"")
&amp;"3"),"*赤*")),
INDIRECT("数出表_Excel!"&amp;
IFERROR(
SUBSTITUTE(ADDRESS(1,
IFERROR(COLUMN(INDEX(INDIRECT("数出表_Excel!B"&amp;$I27-1&amp;":T"&amp;$I27-1&amp;""),1,MATCH(TEXT(B27,0),INDIRECT("数出表_Excel!B"&amp;$I27-1&amp;":T"&amp;$I27-1&amp;""),0))),""),4),"1",""),
"")
&amp;"3")
&amp;"　"&amp;INDIRECT("数出表_Excel!"&amp;
IFERROR(
SUBSTITUTE(ADDRESS(1,
IFERROR(COLUMN(INDEX(INDIRECT("数出表_Excel!B"&amp;$I27-1&amp;":T"&amp;$I27-1&amp;""),1,MATCH(TEXT(B27,0),INDIRECT("数出表_Excel!B"&amp;$I27-1&amp;":T"&amp;$I27-1&amp;""),0))),""),4),"1",""),
"")
&amp;"4")
&amp;INDIRECT("数出表_Excel!"&amp;
IFERROR(
SUBSTITUTE(ADDRESS(1,
IFERROR(COLUMN(INDEX(INDIRECT("数出表_Excel!B"&amp;$I27-1&amp;":T"&amp;$I27-1&amp;""),1,MATCH(TEXT(B27,0),INDIRECT("数出表_Excel!B"&amp;$I27-1&amp;":T"&amp;$I27-1&amp;""),0))),""),4),"1",""),
"")
&amp;"5"),
INDIRECT("数出表_Excel!"&amp;
IFERROR(
SUBSTITUTE(ADDRESS(1,
IFERROR(COLUMN(INDEX(INDIRECT("数出表_Excel!B"&amp;$I27-1&amp;":T"&amp;$I27-1&amp;""),1,MATCH(TEXT(B27,0),INDIRECT("数出表_Excel!B"&amp;$I27-1&amp;":T"&amp;$I27-1&amp;""),0))),""),4),"1",""),
"")
&amp;"3")),"")</f>
        <v/>
      </c>
      <c r="K27" t="str" cm="1">
        <f t="array" aca="1" ref="K27" ca="1">IFERROR(IF(OR(COUNTIF(INDIRECT("数出表_Excel!"&amp;
IFERROR(
SUBSTITUTE(ADDRESS(1,
IFERROR(COLUMN(INDEX(INDIRECT("数出表_Excel!B"&amp;$I27-1&amp;":T"&amp;$I27-1&amp;""),1,MATCH(TEXT(C27,0),INDIRECT("数出表_Excel!B"&amp;$I27-1&amp;":T"&amp;$I27-1&amp;""),0))),""),4),"1",""),
"")
&amp;"3"),"*キャラ*"),
COUNTIF(INDIRECT("数出表_Excel!"&amp;
IFERROR(
SUBSTITUTE(ADDRESS(1,
IFERROR(COLUMN(INDEX(INDIRECT("数出表_Excel!B"&amp;$I27-1&amp;":T"&amp;$I27-1&amp;""),1,MATCH(TEXT(C27,0),INDIRECT("数出表_Excel!B"&amp;$I27-1&amp;":T"&amp;$I27-1&amp;""),0))),""),4),"1",""),
"")
&amp;"3"),"*赤*")),
INDIRECT("数出表_Excel!"&amp;
IFERROR(
SUBSTITUTE(ADDRESS(1,
IFERROR(COLUMN(INDEX(INDIRECT("数出表_Excel!B"&amp;$I27-1&amp;":T"&amp;$I27-1&amp;""),1,MATCH(TEXT(C27,0),INDIRECT("数出表_Excel!B"&amp;$I27-1&amp;":T"&amp;$I27-1&amp;""),0))),""),4),"1",""),
"")
&amp;"3")
&amp;"　"&amp;INDIRECT("数出表_Excel!"&amp;
IFERROR(
SUBSTITUTE(ADDRESS(1,
IFERROR(COLUMN(INDEX(INDIRECT("数出表_Excel!B"&amp;$I27-1&amp;":T"&amp;$I27-1&amp;""),1,MATCH(TEXT(C27,0),INDIRECT("数出表_Excel!B"&amp;$I27-1&amp;":T"&amp;$I27-1&amp;""),0))),""),4),"1",""),
"")
&amp;"4")
&amp;INDIRECT("数出表_Excel!"&amp;
IFERROR(
SUBSTITUTE(ADDRESS(1,
IFERROR(COLUMN(INDEX(INDIRECT("数出表_Excel!B"&amp;$I27-1&amp;":T"&amp;$I27-1&amp;""),1,MATCH(TEXT(C27,0),INDIRECT("数出表_Excel!B"&amp;$I27-1&amp;":T"&amp;$I27-1&amp;""),0))),""),4),"1",""),
"")
&amp;"5"),
INDIRECT("数出表_Excel!"&amp;
IFERROR(
SUBSTITUTE(ADDRESS(1,
IFERROR(COLUMN(INDEX(INDIRECT("数出表_Excel!B"&amp;$I27-1&amp;":T"&amp;$I27-1&amp;""),1,MATCH(TEXT(C27,0),INDIRECT("数出表_Excel!B"&amp;$I27-1&amp;":T"&amp;$I27-1&amp;""),0))),""),4),"1",""),
"")
&amp;"3")),"")</f>
        <v/>
      </c>
      <c r="L27" t="str" cm="1">
        <f t="array" aca="1" ref="L27" ca="1">IFERROR(IF(OR(COUNTIF(INDIRECT("数出表_Excel!"&amp;
IFERROR(
SUBSTITUTE(ADDRESS(1,
IFERROR(COLUMN(INDEX(INDIRECT("数出表_Excel!B"&amp;$I27-1&amp;":T"&amp;$I27-1&amp;""),1,MATCH(TEXT(D27,0),INDIRECT("数出表_Excel!B"&amp;$I27-1&amp;":T"&amp;$I27-1&amp;""),0))),""),4),"1",""),
"")
&amp;"3"),"*キャラ*"),
COUNTIF(INDIRECT("数出表_Excel!"&amp;
IFERROR(
SUBSTITUTE(ADDRESS(1,
IFERROR(COLUMN(INDEX(INDIRECT("数出表_Excel!B"&amp;$I27-1&amp;":T"&amp;$I27-1&amp;""),1,MATCH(TEXT(D27,0),INDIRECT("数出表_Excel!B"&amp;$I27-1&amp;":T"&amp;$I27-1&amp;""),0))),""),4),"1",""),
"")
&amp;"3"),"*赤*")),
INDIRECT("数出表_Excel!"&amp;
IFERROR(
SUBSTITUTE(ADDRESS(1,
IFERROR(COLUMN(INDEX(INDIRECT("数出表_Excel!B"&amp;$I27-1&amp;":T"&amp;$I27-1&amp;""),1,MATCH(TEXT(D27,0),INDIRECT("数出表_Excel!B"&amp;$I27-1&amp;":T"&amp;$I27-1&amp;""),0))),""),4),"1",""),
"")
&amp;"3")
&amp;"　"&amp;INDIRECT("数出表_Excel!"&amp;
IFERROR(
SUBSTITUTE(ADDRESS(1,
IFERROR(COLUMN(INDEX(INDIRECT("数出表_Excel!B"&amp;$I27-1&amp;":T"&amp;$I27-1&amp;""),1,MATCH(TEXT(D27,0),INDIRECT("数出表_Excel!B"&amp;$I27-1&amp;":T"&amp;$I27-1&amp;""),0))),""),4),"1",""),
"")
&amp;"4")
&amp;INDIRECT("数出表_Excel!"&amp;
IFERROR(
SUBSTITUTE(ADDRESS(1,
IFERROR(COLUMN(INDEX(INDIRECT("数出表_Excel!B"&amp;$I27-1&amp;":T"&amp;$I27-1&amp;""),1,MATCH(TEXT(D27,0),INDIRECT("数出表_Excel!B"&amp;$I27-1&amp;":T"&amp;$I27-1&amp;""),0))),""),4),"1",""),
"")
&amp;"5"),
INDIRECT("数出表_Excel!"&amp;
IFERROR(
SUBSTITUTE(ADDRESS(1,
IFERROR(COLUMN(INDEX(INDIRECT("数出表_Excel!B"&amp;$I27-1&amp;":T"&amp;$I27-1&amp;""),1,MATCH(TEXT(D27,0),INDIRECT("数出表_Excel!B"&amp;$I27-1&amp;":T"&amp;$I27-1&amp;""),0))),""),4),"1",""),
"")
&amp;"3")),"")</f>
        <v/>
      </c>
      <c r="M27" t="str" cm="1">
        <f t="array" aca="1" ref="M27" ca="1">IFERROR(IF(OR(COUNTIF(INDIRECT("数出表_Excel!"&amp;
IFERROR(
SUBSTITUTE(ADDRESS(1,
IFERROR(COLUMN(INDEX(INDIRECT("数出表_Excel!B"&amp;$I27&amp;":T"&amp;$I27&amp;""),1,MATCH(TEXT(E27,0),INDIRECT("数出表_Excel!B"&amp;$I27&amp;":T"&amp;$I27&amp;""),0))),""),4),"1",""),
"")
&amp;"3"),"*キャラ*"),
COUNTIF(INDIRECT("数出表_Excel!"&amp;
IFERROR(
SUBSTITUTE(ADDRESS(1,
IFERROR(COLUMN(INDEX(INDIRECT("数出表_Excel!B"&amp;$I27&amp;":T"&amp;$I27&amp;""),1,MATCH(TEXT(E27,0),INDIRECT("数出表_Excel!B"&amp;$I27&amp;":T"&amp;$I27&amp;""),0))),""),4),"1",""),
"")
&amp;"3"),"*赤*")),
INDIRECT("数出表_Excel!"&amp;
IFERROR(
SUBSTITUTE(ADDRESS(1,
IFERROR(COLUMN(INDEX(INDIRECT("数出表_Excel!B"&amp;$I27&amp;":T"&amp;$I27&amp;""),1,MATCH(TEXT(E27,0),INDIRECT("数出表_Excel!B"&amp;$I27&amp;":T"&amp;$I27&amp;""),0))),""),4),"1",""),
"")
&amp;"3")
&amp;"　"&amp;INDIRECT("数出表_Excel!"&amp;
IFERROR(
SUBSTITUTE(ADDRESS(1,
IFERROR(COLUMN(INDEX(INDIRECT("数出表_Excel!B"&amp;$I27&amp;":T"&amp;$I27&amp;""),1,MATCH(TEXT(E27,0),INDIRECT("数出表_Excel!B"&amp;$I27&amp;":T"&amp;$I27&amp;""),0))),""),4),"1",""),
"")
&amp;"4")
&amp;INDIRECT("数出表_Excel!"&amp;
IFERROR(
SUBSTITUTE(ADDRESS(1,
IFERROR(COLUMN(INDEX(INDIRECT("数出表_Excel!B"&amp;$I27&amp;":T"&amp;$I27&amp;""),1,MATCH(TEXT(E27,0),INDIRECT("数出表_Excel!B"&amp;$I27&amp;":T"&amp;$I27&amp;""),0))),""),4),"1",""),
"")
&amp;"5"),
INDIRECT("数出表_Excel!"&amp;
IFERROR(
SUBSTITUTE(ADDRESS(1,
IFERROR(COLUMN(INDEX(INDIRECT("数出表_Excel!B"&amp;$I27&amp;":T"&amp;$I27&amp;""),1,MATCH(TEXT(E27,0),INDIRECT("数出表_Excel!B"&amp;$I27&amp;":T"&amp;$I27&amp;""),0))),""),4),"1",""),
"")
&amp;"3")),"")</f>
        <v/>
      </c>
      <c r="N27" t="str" cm="1">
        <f t="array" aca="1" ref="N27" ca="1">IFERROR(IF(OR(COUNTIF(INDIRECT("数出表_Excel!"&amp;
IFERROR(
SUBSTITUTE(ADDRESS(1,
IFERROR(COLUMN(INDEX(INDIRECT("数出表_Excel!B"&amp;$I27&amp;":T"&amp;$I27&amp;""),1,MATCH(TEXT(F27,0),INDIRECT("数出表_Excel!B"&amp;$I27&amp;":T"&amp;$I27&amp;""),0))),""),4),"1",""),
"")
&amp;"3"),"*キャラ*"),
COUNTIF(INDIRECT("数出表_Excel!"&amp;
IFERROR(
SUBSTITUTE(ADDRESS(1,
IFERROR(COLUMN(INDEX(INDIRECT("数出表_Excel!B"&amp;$I27&amp;":T"&amp;$I27&amp;""),1,MATCH(TEXT(F27,0),INDIRECT("数出表_Excel!B"&amp;$I27&amp;":T"&amp;$I27&amp;""),0))),""),4),"1",""),
"")
&amp;"3"),"*赤*")),
INDIRECT("数出表_Excel!"&amp;
IFERROR(
SUBSTITUTE(ADDRESS(1,
IFERROR(COLUMN(INDEX(INDIRECT("数出表_Excel!B"&amp;$I27&amp;":T"&amp;$I27&amp;""),1,MATCH(TEXT(F27,0),INDIRECT("数出表_Excel!B"&amp;$I27&amp;":T"&amp;$I27&amp;""),0))),""),4),"1",""),
"")
&amp;"3")
&amp;"　"&amp;INDIRECT("数出表_Excel!"&amp;
IFERROR(
SUBSTITUTE(ADDRESS(1,
IFERROR(COLUMN(INDEX(INDIRECT("数出表_Excel!B"&amp;$I27&amp;":T"&amp;$I27&amp;""),1,MATCH(TEXT(F27,0),INDIRECT("数出表_Excel!B"&amp;$I27&amp;":T"&amp;$I27&amp;""),0))),""),4),"1",""),
"")
&amp;"4")
&amp;INDIRECT("数出表_Excel!"&amp;
IFERROR(
SUBSTITUTE(ADDRESS(1,
IFERROR(COLUMN(INDEX(INDIRECT("数出表_Excel!B"&amp;$I27&amp;":T"&amp;$I27&amp;""),1,MATCH(TEXT(F27,0),INDIRECT("数出表_Excel!B"&amp;$I27&amp;":T"&amp;$I27&amp;""),0))),""),4),"1",""),
"")
&amp;"5"),
INDIRECT("数出表_Excel!"&amp;
IFERROR(
SUBSTITUTE(ADDRESS(1,
IFERROR(COLUMN(INDEX(INDIRECT("数出表_Excel!B"&amp;$I27&amp;":T"&amp;$I27&amp;""),1,MATCH(TEXT(F27,0),INDIRECT("数出表_Excel!B"&amp;$I27&amp;":T"&amp;$I27&amp;""),0))),""),4),"1",""),
"")
&amp;"3")),"")</f>
        <v/>
      </c>
      <c r="O27" t="str" cm="1">
        <f t="array" aca="1" ref="O27" ca="1">IFERROR(IF(OR(COUNTIF(INDIRECT("数出表_Excel!"&amp;
IFERROR(
SUBSTITUTE(ADDRESS(1,
IFERROR(COLUMN(INDEX(INDIRECT("数出表_Excel!B"&amp;$I27&amp;":T"&amp;$I27&amp;""),1,MATCH(TEXT(G27,0),INDIRECT("数出表_Excel!B"&amp;$I27&amp;":T"&amp;$I27&amp;""),0))),""),4),"1",""),
"")
&amp;"3"),"*キャラ*"),
COUNTIF(INDIRECT("数出表_Excel!"&amp;
IFERROR(
SUBSTITUTE(ADDRESS(1,
IFERROR(COLUMN(INDEX(INDIRECT("数出表_Excel!B"&amp;$I27&amp;":T"&amp;$I27&amp;""),1,MATCH(TEXT(G27,0),INDIRECT("数出表_Excel!B"&amp;$I27&amp;":T"&amp;$I27&amp;""),0))),""),4),"1",""),
"")
&amp;"3"),"*赤*")),
INDIRECT("数出表_Excel!"&amp;
IFERROR(
SUBSTITUTE(ADDRESS(1,
IFERROR(COLUMN(INDEX(INDIRECT("数出表_Excel!B"&amp;$I27&amp;":T"&amp;$I27&amp;""),1,MATCH(TEXT(G27,0),INDIRECT("数出表_Excel!B"&amp;$I27&amp;":T"&amp;$I27&amp;""),0))),""),4),"1",""),
"")
&amp;"3")
&amp;"　"&amp;INDIRECT("数出表_Excel!"&amp;
IFERROR(
SUBSTITUTE(ADDRESS(1,
IFERROR(COLUMN(INDEX(INDIRECT("数出表_Excel!B"&amp;$I27&amp;":T"&amp;$I27&amp;""),1,MATCH(TEXT(G27,0),INDIRECT("数出表_Excel!B"&amp;$I27&amp;":T"&amp;$I27&amp;""),0))),""),4),"1",""),
"")
&amp;"4")
&amp;INDIRECT("数出表_Excel!"&amp;
IFERROR(
SUBSTITUTE(ADDRESS(1,
IFERROR(COLUMN(INDEX(INDIRECT("数出表_Excel!B"&amp;$I27&amp;":T"&amp;$I27&amp;""),1,MATCH(TEXT(G27,0),INDIRECT("数出表_Excel!B"&amp;$I27&amp;":T"&amp;$I27&amp;""),0))),""),4),"1",""),
"")
&amp;"5"),
INDIRECT("数出表_Excel!"&amp;
IFERROR(
SUBSTITUTE(ADDRESS(1,
IFERROR(COLUMN(INDEX(INDIRECT("数出表_Excel!B"&amp;$I27&amp;":T"&amp;$I27&amp;""),1,MATCH(TEXT(G27,0),INDIRECT("数出表_Excel!B"&amp;$I27&amp;":T"&amp;$I27&amp;""),0))),""),4),"1",""),
"")
&amp;"3")),"")</f>
        <v/>
      </c>
    </row>
    <row r="28" spans="9:15">
      <c r="I28" t="str">
        <f>IF(A28&lt;&gt;"",MATCH(A28,数出表_Excel!A:A,0),"")</f>
        <v/>
      </c>
      <c r="J28" t="str" cm="1">
        <f t="array" aca="1" ref="J28" ca="1">IFERROR(IF(OR(COUNTIF(INDIRECT("数出表_Excel!"&amp;
IFERROR(
SUBSTITUTE(ADDRESS(1,
IFERROR(COLUMN(INDEX(INDIRECT("数出表_Excel!B"&amp;$I28-1&amp;":T"&amp;$I28-1&amp;""),1,MATCH(TEXT(B28,0),INDIRECT("数出表_Excel!B"&amp;$I28-1&amp;":T"&amp;$I28-1&amp;""),0))),""),4),"1",""),
"")
&amp;"3"),"*キャラ*"),
COUNTIF(INDIRECT("数出表_Excel!"&amp;
IFERROR(
SUBSTITUTE(ADDRESS(1,
IFERROR(COLUMN(INDEX(INDIRECT("数出表_Excel!B"&amp;$I28-1&amp;":T"&amp;$I28-1&amp;""),1,MATCH(TEXT(B28,0),INDIRECT("数出表_Excel!B"&amp;$I28-1&amp;":T"&amp;$I28-1&amp;""),0))),""),4),"1",""),
"")
&amp;"3"),"*赤*")),
INDIRECT("数出表_Excel!"&amp;
IFERROR(
SUBSTITUTE(ADDRESS(1,
IFERROR(COLUMN(INDEX(INDIRECT("数出表_Excel!B"&amp;$I28-1&amp;":T"&amp;$I28-1&amp;""),1,MATCH(TEXT(B28,0),INDIRECT("数出表_Excel!B"&amp;$I28-1&amp;":T"&amp;$I28-1&amp;""),0))),""),4),"1",""),
"")
&amp;"3")
&amp;"　"&amp;INDIRECT("数出表_Excel!"&amp;
IFERROR(
SUBSTITUTE(ADDRESS(1,
IFERROR(COLUMN(INDEX(INDIRECT("数出表_Excel!B"&amp;$I28-1&amp;":T"&amp;$I28-1&amp;""),1,MATCH(TEXT(B28,0),INDIRECT("数出表_Excel!B"&amp;$I28-1&amp;":T"&amp;$I28-1&amp;""),0))),""),4),"1",""),
"")
&amp;"4")
&amp;INDIRECT("数出表_Excel!"&amp;
IFERROR(
SUBSTITUTE(ADDRESS(1,
IFERROR(COLUMN(INDEX(INDIRECT("数出表_Excel!B"&amp;$I28-1&amp;":T"&amp;$I28-1&amp;""),1,MATCH(TEXT(B28,0),INDIRECT("数出表_Excel!B"&amp;$I28-1&amp;":T"&amp;$I28-1&amp;""),0))),""),4),"1",""),
"")
&amp;"5"),
INDIRECT("数出表_Excel!"&amp;
IFERROR(
SUBSTITUTE(ADDRESS(1,
IFERROR(COLUMN(INDEX(INDIRECT("数出表_Excel!B"&amp;$I28-1&amp;":T"&amp;$I28-1&amp;""),1,MATCH(TEXT(B28,0),INDIRECT("数出表_Excel!B"&amp;$I28-1&amp;":T"&amp;$I28-1&amp;""),0))),""),4),"1",""),
"")
&amp;"3")),"")</f>
        <v/>
      </c>
      <c r="K28" t="str" cm="1">
        <f t="array" aca="1" ref="K28" ca="1">IFERROR(IF(OR(COUNTIF(INDIRECT("数出表_Excel!"&amp;
IFERROR(
SUBSTITUTE(ADDRESS(1,
IFERROR(COLUMN(INDEX(INDIRECT("数出表_Excel!B"&amp;$I28-1&amp;":T"&amp;$I28-1&amp;""),1,MATCH(TEXT(C28,0),INDIRECT("数出表_Excel!B"&amp;$I28-1&amp;":T"&amp;$I28-1&amp;""),0))),""),4),"1",""),
"")
&amp;"3"),"*キャラ*"),
COUNTIF(INDIRECT("数出表_Excel!"&amp;
IFERROR(
SUBSTITUTE(ADDRESS(1,
IFERROR(COLUMN(INDEX(INDIRECT("数出表_Excel!B"&amp;$I28-1&amp;":T"&amp;$I28-1&amp;""),1,MATCH(TEXT(C28,0),INDIRECT("数出表_Excel!B"&amp;$I28-1&amp;":T"&amp;$I28-1&amp;""),0))),""),4),"1",""),
"")
&amp;"3"),"*赤*")),
INDIRECT("数出表_Excel!"&amp;
IFERROR(
SUBSTITUTE(ADDRESS(1,
IFERROR(COLUMN(INDEX(INDIRECT("数出表_Excel!B"&amp;$I28-1&amp;":T"&amp;$I28-1&amp;""),1,MATCH(TEXT(C28,0),INDIRECT("数出表_Excel!B"&amp;$I28-1&amp;":T"&amp;$I28-1&amp;""),0))),""),4),"1",""),
"")
&amp;"3")
&amp;"　"&amp;INDIRECT("数出表_Excel!"&amp;
IFERROR(
SUBSTITUTE(ADDRESS(1,
IFERROR(COLUMN(INDEX(INDIRECT("数出表_Excel!B"&amp;$I28-1&amp;":T"&amp;$I28-1&amp;""),1,MATCH(TEXT(C28,0),INDIRECT("数出表_Excel!B"&amp;$I28-1&amp;":T"&amp;$I28-1&amp;""),0))),""),4),"1",""),
"")
&amp;"4")
&amp;INDIRECT("数出表_Excel!"&amp;
IFERROR(
SUBSTITUTE(ADDRESS(1,
IFERROR(COLUMN(INDEX(INDIRECT("数出表_Excel!B"&amp;$I28-1&amp;":T"&amp;$I28-1&amp;""),1,MATCH(TEXT(C28,0),INDIRECT("数出表_Excel!B"&amp;$I28-1&amp;":T"&amp;$I28-1&amp;""),0))),""),4),"1",""),
"")
&amp;"5"),
INDIRECT("数出表_Excel!"&amp;
IFERROR(
SUBSTITUTE(ADDRESS(1,
IFERROR(COLUMN(INDEX(INDIRECT("数出表_Excel!B"&amp;$I28-1&amp;":T"&amp;$I28-1&amp;""),1,MATCH(TEXT(C28,0),INDIRECT("数出表_Excel!B"&amp;$I28-1&amp;":T"&amp;$I28-1&amp;""),0))),""),4),"1",""),
"")
&amp;"3")),"")</f>
        <v/>
      </c>
      <c r="L28" t="str" cm="1">
        <f t="array" aca="1" ref="L28" ca="1">IFERROR(IF(OR(COUNTIF(INDIRECT("数出表_Excel!"&amp;
IFERROR(
SUBSTITUTE(ADDRESS(1,
IFERROR(COLUMN(INDEX(INDIRECT("数出表_Excel!B"&amp;$I28-1&amp;":T"&amp;$I28-1&amp;""),1,MATCH(TEXT(D28,0),INDIRECT("数出表_Excel!B"&amp;$I28-1&amp;":T"&amp;$I28-1&amp;""),0))),""),4),"1",""),
"")
&amp;"3"),"*キャラ*"),
COUNTIF(INDIRECT("数出表_Excel!"&amp;
IFERROR(
SUBSTITUTE(ADDRESS(1,
IFERROR(COLUMN(INDEX(INDIRECT("数出表_Excel!B"&amp;$I28-1&amp;":T"&amp;$I28-1&amp;""),1,MATCH(TEXT(D28,0),INDIRECT("数出表_Excel!B"&amp;$I28-1&amp;":T"&amp;$I28-1&amp;""),0))),""),4),"1",""),
"")
&amp;"3"),"*赤*")),
INDIRECT("数出表_Excel!"&amp;
IFERROR(
SUBSTITUTE(ADDRESS(1,
IFERROR(COLUMN(INDEX(INDIRECT("数出表_Excel!B"&amp;$I28-1&amp;":T"&amp;$I28-1&amp;""),1,MATCH(TEXT(D28,0),INDIRECT("数出表_Excel!B"&amp;$I28-1&amp;":T"&amp;$I28-1&amp;""),0))),""),4),"1",""),
"")
&amp;"3")
&amp;"　"&amp;INDIRECT("数出表_Excel!"&amp;
IFERROR(
SUBSTITUTE(ADDRESS(1,
IFERROR(COLUMN(INDEX(INDIRECT("数出表_Excel!B"&amp;$I28-1&amp;":T"&amp;$I28-1&amp;""),1,MATCH(TEXT(D28,0),INDIRECT("数出表_Excel!B"&amp;$I28-1&amp;":T"&amp;$I28-1&amp;""),0))),""),4),"1",""),
"")
&amp;"4")
&amp;INDIRECT("数出表_Excel!"&amp;
IFERROR(
SUBSTITUTE(ADDRESS(1,
IFERROR(COLUMN(INDEX(INDIRECT("数出表_Excel!B"&amp;$I28-1&amp;":T"&amp;$I28-1&amp;""),1,MATCH(TEXT(D28,0),INDIRECT("数出表_Excel!B"&amp;$I28-1&amp;":T"&amp;$I28-1&amp;""),0))),""),4),"1",""),
"")
&amp;"5"),
INDIRECT("数出表_Excel!"&amp;
IFERROR(
SUBSTITUTE(ADDRESS(1,
IFERROR(COLUMN(INDEX(INDIRECT("数出表_Excel!B"&amp;$I28-1&amp;":T"&amp;$I28-1&amp;""),1,MATCH(TEXT(D28,0),INDIRECT("数出表_Excel!B"&amp;$I28-1&amp;":T"&amp;$I28-1&amp;""),0))),""),4),"1",""),
"")
&amp;"3")),"")</f>
        <v/>
      </c>
      <c r="M28" t="str" cm="1">
        <f t="array" aca="1" ref="M28" ca="1">IFERROR(IF(OR(COUNTIF(INDIRECT("数出表_Excel!"&amp;
IFERROR(
SUBSTITUTE(ADDRESS(1,
IFERROR(COLUMN(INDEX(INDIRECT("数出表_Excel!B"&amp;$I28&amp;":T"&amp;$I28&amp;""),1,MATCH(TEXT(E28,0),INDIRECT("数出表_Excel!B"&amp;$I28&amp;":T"&amp;$I28&amp;""),0))),""),4),"1",""),
"")
&amp;"3"),"*キャラ*"),
COUNTIF(INDIRECT("数出表_Excel!"&amp;
IFERROR(
SUBSTITUTE(ADDRESS(1,
IFERROR(COLUMN(INDEX(INDIRECT("数出表_Excel!B"&amp;$I28&amp;":T"&amp;$I28&amp;""),1,MATCH(TEXT(E28,0),INDIRECT("数出表_Excel!B"&amp;$I28&amp;":T"&amp;$I28&amp;""),0))),""),4),"1",""),
"")
&amp;"3"),"*赤*")),
INDIRECT("数出表_Excel!"&amp;
IFERROR(
SUBSTITUTE(ADDRESS(1,
IFERROR(COLUMN(INDEX(INDIRECT("数出表_Excel!B"&amp;$I28&amp;":T"&amp;$I28&amp;""),1,MATCH(TEXT(E28,0),INDIRECT("数出表_Excel!B"&amp;$I28&amp;":T"&amp;$I28&amp;""),0))),""),4),"1",""),
"")
&amp;"3")
&amp;"　"&amp;INDIRECT("数出表_Excel!"&amp;
IFERROR(
SUBSTITUTE(ADDRESS(1,
IFERROR(COLUMN(INDEX(INDIRECT("数出表_Excel!B"&amp;$I28&amp;":T"&amp;$I28&amp;""),1,MATCH(TEXT(E28,0),INDIRECT("数出表_Excel!B"&amp;$I28&amp;":T"&amp;$I28&amp;""),0))),""),4),"1",""),
"")
&amp;"4")
&amp;INDIRECT("数出表_Excel!"&amp;
IFERROR(
SUBSTITUTE(ADDRESS(1,
IFERROR(COLUMN(INDEX(INDIRECT("数出表_Excel!B"&amp;$I28&amp;":T"&amp;$I28&amp;""),1,MATCH(TEXT(E28,0),INDIRECT("数出表_Excel!B"&amp;$I28&amp;":T"&amp;$I28&amp;""),0))),""),4),"1",""),
"")
&amp;"5"),
INDIRECT("数出表_Excel!"&amp;
IFERROR(
SUBSTITUTE(ADDRESS(1,
IFERROR(COLUMN(INDEX(INDIRECT("数出表_Excel!B"&amp;$I28&amp;":T"&amp;$I28&amp;""),1,MATCH(TEXT(E28,0),INDIRECT("数出表_Excel!B"&amp;$I28&amp;":T"&amp;$I28&amp;""),0))),""),4),"1",""),
"")
&amp;"3")),"")</f>
        <v/>
      </c>
      <c r="N28" t="str" cm="1">
        <f t="array" aca="1" ref="N28" ca="1">IFERROR(IF(OR(COUNTIF(INDIRECT("数出表_Excel!"&amp;
IFERROR(
SUBSTITUTE(ADDRESS(1,
IFERROR(COLUMN(INDEX(INDIRECT("数出表_Excel!B"&amp;$I28&amp;":T"&amp;$I28&amp;""),1,MATCH(TEXT(F28,0),INDIRECT("数出表_Excel!B"&amp;$I28&amp;":T"&amp;$I28&amp;""),0))),""),4),"1",""),
"")
&amp;"3"),"*キャラ*"),
COUNTIF(INDIRECT("数出表_Excel!"&amp;
IFERROR(
SUBSTITUTE(ADDRESS(1,
IFERROR(COLUMN(INDEX(INDIRECT("数出表_Excel!B"&amp;$I28&amp;":T"&amp;$I28&amp;""),1,MATCH(TEXT(F28,0),INDIRECT("数出表_Excel!B"&amp;$I28&amp;":T"&amp;$I28&amp;""),0))),""),4),"1",""),
"")
&amp;"3"),"*赤*")),
INDIRECT("数出表_Excel!"&amp;
IFERROR(
SUBSTITUTE(ADDRESS(1,
IFERROR(COLUMN(INDEX(INDIRECT("数出表_Excel!B"&amp;$I28&amp;":T"&amp;$I28&amp;""),1,MATCH(TEXT(F28,0),INDIRECT("数出表_Excel!B"&amp;$I28&amp;":T"&amp;$I28&amp;""),0))),""),4),"1",""),
"")
&amp;"3")
&amp;"　"&amp;INDIRECT("数出表_Excel!"&amp;
IFERROR(
SUBSTITUTE(ADDRESS(1,
IFERROR(COLUMN(INDEX(INDIRECT("数出表_Excel!B"&amp;$I28&amp;":T"&amp;$I28&amp;""),1,MATCH(TEXT(F28,0),INDIRECT("数出表_Excel!B"&amp;$I28&amp;":T"&amp;$I28&amp;""),0))),""),4),"1",""),
"")
&amp;"4")
&amp;INDIRECT("数出表_Excel!"&amp;
IFERROR(
SUBSTITUTE(ADDRESS(1,
IFERROR(COLUMN(INDEX(INDIRECT("数出表_Excel!B"&amp;$I28&amp;":T"&amp;$I28&amp;""),1,MATCH(TEXT(F28,0),INDIRECT("数出表_Excel!B"&amp;$I28&amp;":T"&amp;$I28&amp;""),0))),""),4),"1",""),
"")
&amp;"5"),
INDIRECT("数出表_Excel!"&amp;
IFERROR(
SUBSTITUTE(ADDRESS(1,
IFERROR(COLUMN(INDEX(INDIRECT("数出表_Excel!B"&amp;$I28&amp;":T"&amp;$I28&amp;""),1,MATCH(TEXT(F28,0),INDIRECT("数出表_Excel!B"&amp;$I28&amp;":T"&amp;$I28&amp;""),0))),""),4),"1",""),
"")
&amp;"3")),"")</f>
        <v/>
      </c>
      <c r="O28" t="str" cm="1">
        <f t="array" aca="1" ref="O28" ca="1">IFERROR(IF(OR(COUNTIF(INDIRECT("数出表_Excel!"&amp;
IFERROR(
SUBSTITUTE(ADDRESS(1,
IFERROR(COLUMN(INDEX(INDIRECT("数出表_Excel!B"&amp;$I28&amp;":T"&amp;$I28&amp;""),1,MATCH(TEXT(G28,0),INDIRECT("数出表_Excel!B"&amp;$I28&amp;":T"&amp;$I28&amp;""),0))),""),4),"1",""),
"")
&amp;"3"),"*キャラ*"),
COUNTIF(INDIRECT("数出表_Excel!"&amp;
IFERROR(
SUBSTITUTE(ADDRESS(1,
IFERROR(COLUMN(INDEX(INDIRECT("数出表_Excel!B"&amp;$I28&amp;":T"&amp;$I28&amp;""),1,MATCH(TEXT(G28,0),INDIRECT("数出表_Excel!B"&amp;$I28&amp;":T"&amp;$I28&amp;""),0))),""),4),"1",""),
"")
&amp;"3"),"*赤*")),
INDIRECT("数出表_Excel!"&amp;
IFERROR(
SUBSTITUTE(ADDRESS(1,
IFERROR(COLUMN(INDEX(INDIRECT("数出表_Excel!B"&amp;$I28&amp;":T"&amp;$I28&amp;""),1,MATCH(TEXT(G28,0),INDIRECT("数出表_Excel!B"&amp;$I28&amp;":T"&amp;$I28&amp;""),0))),""),4),"1",""),
"")
&amp;"3")
&amp;"　"&amp;INDIRECT("数出表_Excel!"&amp;
IFERROR(
SUBSTITUTE(ADDRESS(1,
IFERROR(COLUMN(INDEX(INDIRECT("数出表_Excel!B"&amp;$I28&amp;":T"&amp;$I28&amp;""),1,MATCH(TEXT(G28,0),INDIRECT("数出表_Excel!B"&amp;$I28&amp;":T"&amp;$I28&amp;""),0))),""),4),"1",""),
"")
&amp;"4")
&amp;INDIRECT("数出表_Excel!"&amp;
IFERROR(
SUBSTITUTE(ADDRESS(1,
IFERROR(COLUMN(INDEX(INDIRECT("数出表_Excel!B"&amp;$I28&amp;":T"&amp;$I28&amp;""),1,MATCH(TEXT(G28,0),INDIRECT("数出表_Excel!B"&amp;$I28&amp;":T"&amp;$I28&amp;""),0))),""),4),"1",""),
"")
&amp;"5"),
INDIRECT("数出表_Excel!"&amp;
IFERROR(
SUBSTITUTE(ADDRESS(1,
IFERROR(COLUMN(INDEX(INDIRECT("数出表_Excel!B"&amp;$I28&amp;":T"&amp;$I28&amp;""),1,MATCH(TEXT(G28,0),INDIRECT("数出表_Excel!B"&amp;$I28&amp;":T"&amp;$I28&amp;""),0))),""),4),"1",""),
"")
&amp;"3")),"")</f>
        <v/>
      </c>
    </row>
    <row r="29" spans="9:15">
      <c r="I29" t="str">
        <f>IF(A29&lt;&gt;"",MATCH(A29,数出表_Excel!A:A,0),"")</f>
        <v/>
      </c>
      <c r="J29" t="str" cm="1">
        <f t="array" aca="1" ref="J29" ca="1">IFERROR(IF(OR(COUNTIF(INDIRECT("数出表_Excel!"&amp;
IFERROR(
SUBSTITUTE(ADDRESS(1,
IFERROR(COLUMN(INDEX(INDIRECT("数出表_Excel!B"&amp;$I29-1&amp;":T"&amp;$I29-1&amp;""),1,MATCH(TEXT(B29,0),INDIRECT("数出表_Excel!B"&amp;$I29-1&amp;":T"&amp;$I29-1&amp;""),0))),""),4),"1",""),
"")
&amp;"3"),"*キャラ*"),
COUNTIF(INDIRECT("数出表_Excel!"&amp;
IFERROR(
SUBSTITUTE(ADDRESS(1,
IFERROR(COLUMN(INDEX(INDIRECT("数出表_Excel!B"&amp;$I29-1&amp;":T"&amp;$I29-1&amp;""),1,MATCH(TEXT(B29,0),INDIRECT("数出表_Excel!B"&amp;$I29-1&amp;":T"&amp;$I29-1&amp;""),0))),""),4),"1",""),
"")
&amp;"3"),"*赤*")),
INDIRECT("数出表_Excel!"&amp;
IFERROR(
SUBSTITUTE(ADDRESS(1,
IFERROR(COLUMN(INDEX(INDIRECT("数出表_Excel!B"&amp;$I29-1&amp;":T"&amp;$I29-1&amp;""),1,MATCH(TEXT(B29,0),INDIRECT("数出表_Excel!B"&amp;$I29-1&amp;":T"&amp;$I29-1&amp;""),0))),""),4),"1",""),
"")
&amp;"3")
&amp;"　"&amp;INDIRECT("数出表_Excel!"&amp;
IFERROR(
SUBSTITUTE(ADDRESS(1,
IFERROR(COLUMN(INDEX(INDIRECT("数出表_Excel!B"&amp;$I29-1&amp;":T"&amp;$I29-1&amp;""),1,MATCH(TEXT(B29,0),INDIRECT("数出表_Excel!B"&amp;$I29-1&amp;":T"&amp;$I29-1&amp;""),0))),""),4),"1",""),
"")
&amp;"4")
&amp;INDIRECT("数出表_Excel!"&amp;
IFERROR(
SUBSTITUTE(ADDRESS(1,
IFERROR(COLUMN(INDEX(INDIRECT("数出表_Excel!B"&amp;$I29-1&amp;":T"&amp;$I29-1&amp;""),1,MATCH(TEXT(B29,0),INDIRECT("数出表_Excel!B"&amp;$I29-1&amp;":T"&amp;$I29-1&amp;""),0))),""),4),"1",""),
"")
&amp;"5"),
INDIRECT("数出表_Excel!"&amp;
IFERROR(
SUBSTITUTE(ADDRESS(1,
IFERROR(COLUMN(INDEX(INDIRECT("数出表_Excel!B"&amp;$I29-1&amp;":T"&amp;$I29-1&amp;""),1,MATCH(TEXT(B29,0),INDIRECT("数出表_Excel!B"&amp;$I29-1&amp;":T"&amp;$I29-1&amp;""),0))),""),4),"1",""),
"")
&amp;"3")),"")</f>
        <v/>
      </c>
      <c r="K29" t="str" cm="1">
        <f t="array" aca="1" ref="K29" ca="1">IFERROR(IF(OR(COUNTIF(INDIRECT("数出表_Excel!"&amp;
IFERROR(
SUBSTITUTE(ADDRESS(1,
IFERROR(COLUMN(INDEX(INDIRECT("数出表_Excel!B"&amp;$I29-1&amp;":T"&amp;$I29-1&amp;""),1,MATCH(TEXT(C29,0),INDIRECT("数出表_Excel!B"&amp;$I29-1&amp;":T"&amp;$I29-1&amp;""),0))),""),4),"1",""),
"")
&amp;"3"),"*キャラ*"),
COUNTIF(INDIRECT("数出表_Excel!"&amp;
IFERROR(
SUBSTITUTE(ADDRESS(1,
IFERROR(COLUMN(INDEX(INDIRECT("数出表_Excel!B"&amp;$I29-1&amp;":T"&amp;$I29-1&amp;""),1,MATCH(TEXT(C29,0),INDIRECT("数出表_Excel!B"&amp;$I29-1&amp;":T"&amp;$I29-1&amp;""),0))),""),4),"1",""),
"")
&amp;"3"),"*赤*")),
INDIRECT("数出表_Excel!"&amp;
IFERROR(
SUBSTITUTE(ADDRESS(1,
IFERROR(COLUMN(INDEX(INDIRECT("数出表_Excel!B"&amp;$I29-1&amp;":T"&amp;$I29-1&amp;""),1,MATCH(TEXT(C29,0),INDIRECT("数出表_Excel!B"&amp;$I29-1&amp;":T"&amp;$I29-1&amp;""),0))),""),4),"1",""),
"")
&amp;"3")
&amp;"　"&amp;INDIRECT("数出表_Excel!"&amp;
IFERROR(
SUBSTITUTE(ADDRESS(1,
IFERROR(COLUMN(INDEX(INDIRECT("数出表_Excel!B"&amp;$I29-1&amp;":T"&amp;$I29-1&amp;""),1,MATCH(TEXT(C29,0),INDIRECT("数出表_Excel!B"&amp;$I29-1&amp;":T"&amp;$I29-1&amp;""),0))),""),4),"1",""),
"")
&amp;"4")
&amp;INDIRECT("数出表_Excel!"&amp;
IFERROR(
SUBSTITUTE(ADDRESS(1,
IFERROR(COLUMN(INDEX(INDIRECT("数出表_Excel!B"&amp;$I29-1&amp;":T"&amp;$I29-1&amp;""),1,MATCH(TEXT(C29,0),INDIRECT("数出表_Excel!B"&amp;$I29-1&amp;":T"&amp;$I29-1&amp;""),0))),""),4),"1",""),
"")
&amp;"5"),
INDIRECT("数出表_Excel!"&amp;
IFERROR(
SUBSTITUTE(ADDRESS(1,
IFERROR(COLUMN(INDEX(INDIRECT("数出表_Excel!B"&amp;$I29-1&amp;":T"&amp;$I29-1&amp;""),1,MATCH(TEXT(C29,0),INDIRECT("数出表_Excel!B"&amp;$I29-1&amp;":T"&amp;$I29-1&amp;""),0))),""),4),"1",""),
"")
&amp;"3")),"")</f>
        <v/>
      </c>
      <c r="L29" t="str" cm="1">
        <f t="array" aca="1" ref="L29" ca="1">IFERROR(IF(OR(COUNTIF(INDIRECT("数出表_Excel!"&amp;
IFERROR(
SUBSTITUTE(ADDRESS(1,
IFERROR(COLUMN(INDEX(INDIRECT("数出表_Excel!B"&amp;$I29-1&amp;":T"&amp;$I29-1&amp;""),1,MATCH(TEXT(D29,0),INDIRECT("数出表_Excel!B"&amp;$I29-1&amp;":T"&amp;$I29-1&amp;""),0))),""),4),"1",""),
"")
&amp;"3"),"*キャラ*"),
COUNTIF(INDIRECT("数出表_Excel!"&amp;
IFERROR(
SUBSTITUTE(ADDRESS(1,
IFERROR(COLUMN(INDEX(INDIRECT("数出表_Excel!B"&amp;$I29-1&amp;":T"&amp;$I29-1&amp;""),1,MATCH(TEXT(D29,0),INDIRECT("数出表_Excel!B"&amp;$I29-1&amp;":T"&amp;$I29-1&amp;""),0))),""),4),"1",""),
"")
&amp;"3"),"*赤*")),
INDIRECT("数出表_Excel!"&amp;
IFERROR(
SUBSTITUTE(ADDRESS(1,
IFERROR(COLUMN(INDEX(INDIRECT("数出表_Excel!B"&amp;$I29-1&amp;":T"&amp;$I29-1&amp;""),1,MATCH(TEXT(D29,0),INDIRECT("数出表_Excel!B"&amp;$I29-1&amp;":T"&amp;$I29-1&amp;""),0))),""),4),"1",""),
"")
&amp;"3")
&amp;"　"&amp;INDIRECT("数出表_Excel!"&amp;
IFERROR(
SUBSTITUTE(ADDRESS(1,
IFERROR(COLUMN(INDEX(INDIRECT("数出表_Excel!B"&amp;$I29-1&amp;":T"&amp;$I29-1&amp;""),1,MATCH(TEXT(D29,0),INDIRECT("数出表_Excel!B"&amp;$I29-1&amp;":T"&amp;$I29-1&amp;""),0))),""),4),"1",""),
"")
&amp;"4")
&amp;INDIRECT("数出表_Excel!"&amp;
IFERROR(
SUBSTITUTE(ADDRESS(1,
IFERROR(COLUMN(INDEX(INDIRECT("数出表_Excel!B"&amp;$I29-1&amp;":T"&amp;$I29-1&amp;""),1,MATCH(TEXT(D29,0),INDIRECT("数出表_Excel!B"&amp;$I29-1&amp;":T"&amp;$I29-1&amp;""),0))),""),4),"1",""),
"")
&amp;"5"),
INDIRECT("数出表_Excel!"&amp;
IFERROR(
SUBSTITUTE(ADDRESS(1,
IFERROR(COLUMN(INDEX(INDIRECT("数出表_Excel!B"&amp;$I29-1&amp;":T"&amp;$I29-1&amp;""),1,MATCH(TEXT(D29,0),INDIRECT("数出表_Excel!B"&amp;$I29-1&amp;":T"&amp;$I29-1&amp;""),0))),""),4),"1",""),
"")
&amp;"3")),"")</f>
        <v/>
      </c>
      <c r="M29" t="str" cm="1">
        <f t="array" aca="1" ref="M29" ca="1">IFERROR(IF(OR(COUNTIF(INDIRECT("数出表_Excel!"&amp;
IFERROR(
SUBSTITUTE(ADDRESS(1,
IFERROR(COLUMN(INDEX(INDIRECT("数出表_Excel!B"&amp;$I29&amp;":T"&amp;$I29&amp;""),1,MATCH(TEXT(E29,0),INDIRECT("数出表_Excel!B"&amp;$I29&amp;":T"&amp;$I29&amp;""),0))),""),4),"1",""),
"")
&amp;"3"),"*キャラ*"),
COUNTIF(INDIRECT("数出表_Excel!"&amp;
IFERROR(
SUBSTITUTE(ADDRESS(1,
IFERROR(COLUMN(INDEX(INDIRECT("数出表_Excel!B"&amp;$I29&amp;":T"&amp;$I29&amp;""),1,MATCH(TEXT(E29,0),INDIRECT("数出表_Excel!B"&amp;$I29&amp;":T"&amp;$I29&amp;""),0))),""),4),"1",""),
"")
&amp;"3"),"*赤*")),
INDIRECT("数出表_Excel!"&amp;
IFERROR(
SUBSTITUTE(ADDRESS(1,
IFERROR(COLUMN(INDEX(INDIRECT("数出表_Excel!B"&amp;$I29&amp;":T"&amp;$I29&amp;""),1,MATCH(TEXT(E29,0),INDIRECT("数出表_Excel!B"&amp;$I29&amp;":T"&amp;$I29&amp;""),0))),""),4),"1",""),
"")
&amp;"3")
&amp;"　"&amp;INDIRECT("数出表_Excel!"&amp;
IFERROR(
SUBSTITUTE(ADDRESS(1,
IFERROR(COLUMN(INDEX(INDIRECT("数出表_Excel!B"&amp;$I29&amp;":T"&amp;$I29&amp;""),1,MATCH(TEXT(E29,0),INDIRECT("数出表_Excel!B"&amp;$I29&amp;":T"&amp;$I29&amp;""),0))),""),4),"1",""),
"")
&amp;"4")
&amp;INDIRECT("数出表_Excel!"&amp;
IFERROR(
SUBSTITUTE(ADDRESS(1,
IFERROR(COLUMN(INDEX(INDIRECT("数出表_Excel!B"&amp;$I29&amp;":T"&amp;$I29&amp;""),1,MATCH(TEXT(E29,0),INDIRECT("数出表_Excel!B"&amp;$I29&amp;":T"&amp;$I29&amp;""),0))),""),4),"1",""),
"")
&amp;"5"),
INDIRECT("数出表_Excel!"&amp;
IFERROR(
SUBSTITUTE(ADDRESS(1,
IFERROR(COLUMN(INDEX(INDIRECT("数出表_Excel!B"&amp;$I29&amp;":T"&amp;$I29&amp;""),1,MATCH(TEXT(E29,0),INDIRECT("数出表_Excel!B"&amp;$I29&amp;":T"&amp;$I29&amp;""),0))),""),4),"1",""),
"")
&amp;"3")),"")</f>
        <v/>
      </c>
      <c r="N29" t="str" cm="1">
        <f t="array" aca="1" ref="N29" ca="1">IFERROR(IF(OR(COUNTIF(INDIRECT("数出表_Excel!"&amp;
IFERROR(
SUBSTITUTE(ADDRESS(1,
IFERROR(COLUMN(INDEX(INDIRECT("数出表_Excel!B"&amp;$I29&amp;":T"&amp;$I29&amp;""),1,MATCH(TEXT(F29,0),INDIRECT("数出表_Excel!B"&amp;$I29&amp;":T"&amp;$I29&amp;""),0))),""),4),"1",""),
"")
&amp;"3"),"*キャラ*"),
COUNTIF(INDIRECT("数出表_Excel!"&amp;
IFERROR(
SUBSTITUTE(ADDRESS(1,
IFERROR(COLUMN(INDEX(INDIRECT("数出表_Excel!B"&amp;$I29&amp;":T"&amp;$I29&amp;""),1,MATCH(TEXT(F29,0),INDIRECT("数出表_Excel!B"&amp;$I29&amp;":T"&amp;$I29&amp;""),0))),""),4),"1",""),
"")
&amp;"3"),"*赤*")),
INDIRECT("数出表_Excel!"&amp;
IFERROR(
SUBSTITUTE(ADDRESS(1,
IFERROR(COLUMN(INDEX(INDIRECT("数出表_Excel!B"&amp;$I29&amp;":T"&amp;$I29&amp;""),1,MATCH(TEXT(F29,0),INDIRECT("数出表_Excel!B"&amp;$I29&amp;":T"&amp;$I29&amp;""),0))),""),4),"1",""),
"")
&amp;"3")
&amp;"　"&amp;INDIRECT("数出表_Excel!"&amp;
IFERROR(
SUBSTITUTE(ADDRESS(1,
IFERROR(COLUMN(INDEX(INDIRECT("数出表_Excel!B"&amp;$I29&amp;":T"&amp;$I29&amp;""),1,MATCH(TEXT(F29,0),INDIRECT("数出表_Excel!B"&amp;$I29&amp;":T"&amp;$I29&amp;""),0))),""),4),"1",""),
"")
&amp;"4")
&amp;INDIRECT("数出表_Excel!"&amp;
IFERROR(
SUBSTITUTE(ADDRESS(1,
IFERROR(COLUMN(INDEX(INDIRECT("数出表_Excel!B"&amp;$I29&amp;":T"&amp;$I29&amp;""),1,MATCH(TEXT(F29,0),INDIRECT("数出表_Excel!B"&amp;$I29&amp;":T"&amp;$I29&amp;""),0))),""),4),"1",""),
"")
&amp;"5"),
INDIRECT("数出表_Excel!"&amp;
IFERROR(
SUBSTITUTE(ADDRESS(1,
IFERROR(COLUMN(INDEX(INDIRECT("数出表_Excel!B"&amp;$I29&amp;":T"&amp;$I29&amp;""),1,MATCH(TEXT(F29,0),INDIRECT("数出表_Excel!B"&amp;$I29&amp;":T"&amp;$I29&amp;""),0))),""),4),"1",""),
"")
&amp;"3")),"")</f>
        <v/>
      </c>
      <c r="O29" t="str" cm="1">
        <f t="array" aca="1" ref="O29" ca="1">IFERROR(IF(OR(COUNTIF(INDIRECT("数出表_Excel!"&amp;
IFERROR(
SUBSTITUTE(ADDRESS(1,
IFERROR(COLUMN(INDEX(INDIRECT("数出表_Excel!B"&amp;$I29&amp;":T"&amp;$I29&amp;""),1,MATCH(TEXT(G29,0),INDIRECT("数出表_Excel!B"&amp;$I29&amp;":T"&amp;$I29&amp;""),0))),""),4),"1",""),
"")
&amp;"3"),"*キャラ*"),
COUNTIF(INDIRECT("数出表_Excel!"&amp;
IFERROR(
SUBSTITUTE(ADDRESS(1,
IFERROR(COLUMN(INDEX(INDIRECT("数出表_Excel!B"&amp;$I29&amp;":T"&amp;$I29&amp;""),1,MATCH(TEXT(G29,0),INDIRECT("数出表_Excel!B"&amp;$I29&amp;":T"&amp;$I29&amp;""),0))),""),4),"1",""),
"")
&amp;"3"),"*赤*")),
INDIRECT("数出表_Excel!"&amp;
IFERROR(
SUBSTITUTE(ADDRESS(1,
IFERROR(COLUMN(INDEX(INDIRECT("数出表_Excel!B"&amp;$I29&amp;":T"&amp;$I29&amp;""),1,MATCH(TEXT(G29,0),INDIRECT("数出表_Excel!B"&amp;$I29&amp;":T"&amp;$I29&amp;""),0))),""),4),"1",""),
"")
&amp;"3")
&amp;"　"&amp;INDIRECT("数出表_Excel!"&amp;
IFERROR(
SUBSTITUTE(ADDRESS(1,
IFERROR(COLUMN(INDEX(INDIRECT("数出表_Excel!B"&amp;$I29&amp;":T"&amp;$I29&amp;""),1,MATCH(TEXT(G29,0),INDIRECT("数出表_Excel!B"&amp;$I29&amp;":T"&amp;$I29&amp;""),0))),""),4),"1",""),
"")
&amp;"4")
&amp;INDIRECT("数出表_Excel!"&amp;
IFERROR(
SUBSTITUTE(ADDRESS(1,
IFERROR(COLUMN(INDEX(INDIRECT("数出表_Excel!B"&amp;$I29&amp;":T"&amp;$I29&amp;""),1,MATCH(TEXT(G29,0),INDIRECT("数出表_Excel!B"&amp;$I29&amp;":T"&amp;$I29&amp;""),0))),""),4),"1",""),
"")
&amp;"5"),
INDIRECT("数出表_Excel!"&amp;
IFERROR(
SUBSTITUTE(ADDRESS(1,
IFERROR(COLUMN(INDEX(INDIRECT("数出表_Excel!B"&amp;$I29&amp;":T"&amp;$I29&amp;""),1,MATCH(TEXT(G29,0),INDIRECT("数出表_Excel!B"&amp;$I29&amp;":T"&amp;$I29&amp;""),0))),""),4),"1",""),
"")
&amp;"3")),"")</f>
        <v/>
      </c>
    </row>
    <row r="30" spans="9:15">
      <c r="I30" t="str">
        <f>IF(A30&lt;&gt;"",MATCH(A30,数出表_Excel!A:A,0),"")</f>
        <v/>
      </c>
      <c r="J30" t="str" cm="1">
        <f t="array" aca="1" ref="J30" ca="1">IFERROR(IF(OR(COUNTIF(INDIRECT("数出表_Excel!"&amp;
IFERROR(
SUBSTITUTE(ADDRESS(1,
IFERROR(COLUMN(INDEX(INDIRECT("数出表_Excel!B"&amp;$I30-1&amp;":T"&amp;$I30-1&amp;""),1,MATCH(TEXT(B30,0),INDIRECT("数出表_Excel!B"&amp;$I30-1&amp;":T"&amp;$I30-1&amp;""),0))),""),4),"1",""),
"")
&amp;"3"),"*キャラ*"),
COUNTIF(INDIRECT("数出表_Excel!"&amp;
IFERROR(
SUBSTITUTE(ADDRESS(1,
IFERROR(COLUMN(INDEX(INDIRECT("数出表_Excel!B"&amp;$I30-1&amp;":T"&amp;$I30-1&amp;""),1,MATCH(TEXT(B30,0),INDIRECT("数出表_Excel!B"&amp;$I30-1&amp;":T"&amp;$I30-1&amp;""),0))),""),4),"1",""),
"")
&amp;"3"),"*赤*")),
INDIRECT("数出表_Excel!"&amp;
IFERROR(
SUBSTITUTE(ADDRESS(1,
IFERROR(COLUMN(INDEX(INDIRECT("数出表_Excel!B"&amp;$I30-1&amp;":T"&amp;$I30-1&amp;""),1,MATCH(TEXT(B30,0),INDIRECT("数出表_Excel!B"&amp;$I30-1&amp;":T"&amp;$I30-1&amp;""),0))),""),4),"1",""),
"")
&amp;"3")
&amp;"　"&amp;INDIRECT("数出表_Excel!"&amp;
IFERROR(
SUBSTITUTE(ADDRESS(1,
IFERROR(COLUMN(INDEX(INDIRECT("数出表_Excel!B"&amp;$I30-1&amp;":T"&amp;$I30-1&amp;""),1,MATCH(TEXT(B30,0),INDIRECT("数出表_Excel!B"&amp;$I30-1&amp;":T"&amp;$I30-1&amp;""),0))),""),4),"1",""),
"")
&amp;"4")
&amp;INDIRECT("数出表_Excel!"&amp;
IFERROR(
SUBSTITUTE(ADDRESS(1,
IFERROR(COLUMN(INDEX(INDIRECT("数出表_Excel!B"&amp;$I30-1&amp;":T"&amp;$I30-1&amp;""),1,MATCH(TEXT(B30,0),INDIRECT("数出表_Excel!B"&amp;$I30-1&amp;":T"&amp;$I30-1&amp;""),0))),""),4),"1",""),
"")
&amp;"5"),
INDIRECT("数出表_Excel!"&amp;
IFERROR(
SUBSTITUTE(ADDRESS(1,
IFERROR(COLUMN(INDEX(INDIRECT("数出表_Excel!B"&amp;$I30-1&amp;":T"&amp;$I30-1&amp;""),1,MATCH(TEXT(B30,0),INDIRECT("数出表_Excel!B"&amp;$I30-1&amp;":T"&amp;$I30-1&amp;""),0))),""),4),"1",""),
"")
&amp;"3")),"")</f>
        <v/>
      </c>
      <c r="K30" t="str" cm="1">
        <f t="array" aca="1" ref="K30" ca="1">IFERROR(IF(OR(COUNTIF(INDIRECT("数出表_Excel!"&amp;
IFERROR(
SUBSTITUTE(ADDRESS(1,
IFERROR(COLUMN(INDEX(INDIRECT("数出表_Excel!B"&amp;$I30-1&amp;":T"&amp;$I30-1&amp;""),1,MATCH(TEXT(C30,0),INDIRECT("数出表_Excel!B"&amp;$I30-1&amp;":T"&amp;$I30-1&amp;""),0))),""),4),"1",""),
"")
&amp;"3"),"*キャラ*"),
COUNTIF(INDIRECT("数出表_Excel!"&amp;
IFERROR(
SUBSTITUTE(ADDRESS(1,
IFERROR(COLUMN(INDEX(INDIRECT("数出表_Excel!B"&amp;$I30-1&amp;":T"&amp;$I30-1&amp;""),1,MATCH(TEXT(C30,0),INDIRECT("数出表_Excel!B"&amp;$I30-1&amp;":T"&amp;$I30-1&amp;""),0))),""),4),"1",""),
"")
&amp;"3"),"*赤*")),
INDIRECT("数出表_Excel!"&amp;
IFERROR(
SUBSTITUTE(ADDRESS(1,
IFERROR(COLUMN(INDEX(INDIRECT("数出表_Excel!B"&amp;$I30-1&amp;":T"&amp;$I30-1&amp;""),1,MATCH(TEXT(C30,0),INDIRECT("数出表_Excel!B"&amp;$I30-1&amp;":T"&amp;$I30-1&amp;""),0))),""),4),"1",""),
"")
&amp;"3")
&amp;"　"&amp;INDIRECT("数出表_Excel!"&amp;
IFERROR(
SUBSTITUTE(ADDRESS(1,
IFERROR(COLUMN(INDEX(INDIRECT("数出表_Excel!B"&amp;$I30-1&amp;":T"&amp;$I30-1&amp;""),1,MATCH(TEXT(C30,0),INDIRECT("数出表_Excel!B"&amp;$I30-1&amp;":T"&amp;$I30-1&amp;""),0))),""),4),"1",""),
"")
&amp;"4")
&amp;INDIRECT("数出表_Excel!"&amp;
IFERROR(
SUBSTITUTE(ADDRESS(1,
IFERROR(COLUMN(INDEX(INDIRECT("数出表_Excel!B"&amp;$I30-1&amp;":T"&amp;$I30-1&amp;""),1,MATCH(TEXT(C30,0),INDIRECT("数出表_Excel!B"&amp;$I30-1&amp;":T"&amp;$I30-1&amp;""),0))),""),4),"1",""),
"")
&amp;"5"),
INDIRECT("数出表_Excel!"&amp;
IFERROR(
SUBSTITUTE(ADDRESS(1,
IFERROR(COLUMN(INDEX(INDIRECT("数出表_Excel!B"&amp;$I30-1&amp;":T"&amp;$I30-1&amp;""),1,MATCH(TEXT(C30,0),INDIRECT("数出表_Excel!B"&amp;$I30-1&amp;":T"&amp;$I30-1&amp;""),0))),""),4),"1",""),
"")
&amp;"3")),"")</f>
        <v/>
      </c>
      <c r="L30" t="str" cm="1">
        <f t="array" aca="1" ref="L30" ca="1">IFERROR(IF(OR(COUNTIF(INDIRECT("数出表_Excel!"&amp;
IFERROR(
SUBSTITUTE(ADDRESS(1,
IFERROR(COLUMN(INDEX(INDIRECT("数出表_Excel!B"&amp;$I30-1&amp;":T"&amp;$I30-1&amp;""),1,MATCH(TEXT(D30,0),INDIRECT("数出表_Excel!B"&amp;$I30-1&amp;":T"&amp;$I30-1&amp;""),0))),""),4),"1",""),
"")
&amp;"3"),"*キャラ*"),
COUNTIF(INDIRECT("数出表_Excel!"&amp;
IFERROR(
SUBSTITUTE(ADDRESS(1,
IFERROR(COLUMN(INDEX(INDIRECT("数出表_Excel!B"&amp;$I30-1&amp;":T"&amp;$I30-1&amp;""),1,MATCH(TEXT(D30,0),INDIRECT("数出表_Excel!B"&amp;$I30-1&amp;":T"&amp;$I30-1&amp;""),0))),""),4),"1",""),
"")
&amp;"3"),"*赤*")),
INDIRECT("数出表_Excel!"&amp;
IFERROR(
SUBSTITUTE(ADDRESS(1,
IFERROR(COLUMN(INDEX(INDIRECT("数出表_Excel!B"&amp;$I30-1&amp;":T"&amp;$I30-1&amp;""),1,MATCH(TEXT(D30,0),INDIRECT("数出表_Excel!B"&amp;$I30-1&amp;":T"&amp;$I30-1&amp;""),0))),""),4),"1",""),
"")
&amp;"3")
&amp;"　"&amp;INDIRECT("数出表_Excel!"&amp;
IFERROR(
SUBSTITUTE(ADDRESS(1,
IFERROR(COLUMN(INDEX(INDIRECT("数出表_Excel!B"&amp;$I30-1&amp;":T"&amp;$I30-1&amp;""),1,MATCH(TEXT(D30,0),INDIRECT("数出表_Excel!B"&amp;$I30-1&amp;":T"&amp;$I30-1&amp;""),0))),""),4),"1",""),
"")
&amp;"4")
&amp;INDIRECT("数出表_Excel!"&amp;
IFERROR(
SUBSTITUTE(ADDRESS(1,
IFERROR(COLUMN(INDEX(INDIRECT("数出表_Excel!B"&amp;$I30-1&amp;":T"&amp;$I30-1&amp;""),1,MATCH(TEXT(D30,0),INDIRECT("数出表_Excel!B"&amp;$I30-1&amp;":T"&amp;$I30-1&amp;""),0))),""),4),"1",""),
"")
&amp;"5"),
INDIRECT("数出表_Excel!"&amp;
IFERROR(
SUBSTITUTE(ADDRESS(1,
IFERROR(COLUMN(INDEX(INDIRECT("数出表_Excel!B"&amp;$I30-1&amp;":T"&amp;$I30-1&amp;""),1,MATCH(TEXT(D30,0),INDIRECT("数出表_Excel!B"&amp;$I30-1&amp;":T"&amp;$I30-1&amp;""),0))),""),4),"1",""),
"")
&amp;"3")),"")</f>
        <v/>
      </c>
      <c r="M30" t="str" cm="1">
        <f t="array" aca="1" ref="M30" ca="1">IFERROR(IF(OR(COUNTIF(INDIRECT("数出表_Excel!"&amp;
IFERROR(
SUBSTITUTE(ADDRESS(1,
IFERROR(COLUMN(INDEX(INDIRECT("数出表_Excel!B"&amp;$I30&amp;":T"&amp;$I30&amp;""),1,MATCH(TEXT(E30,0),INDIRECT("数出表_Excel!B"&amp;$I30&amp;":T"&amp;$I30&amp;""),0))),""),4),"1",""),
"")
&amp;"3"),"*キャラ*"),
COUNTIF(INDIRECT("数出表_Excel!"&amp;
IFERROR(
SUBSTITUTE(ADDRESS(1,
IFERROR(COLUMN(INDEX(INDIRECT("数出表_Excel!B"&amp;$I30&amp;":T"&amp;$I30&amp;""),1,MATCH(TEXT(E30,0),INDIRECT("数出表_Excel!B"&amp;$I30&amp;":T"&amp;$I30&amp;""),0))),""),4),"1",""),
"")
&amp;"3"),"*赤*")),
INDIRECT("数出表_Excel!"&amp;
IFERROR(
SUBSTITUTE(ADDRESS(1,
IFERROR(COLUMN(INDEX(INDIRECT("数出表_Excel!B"&amp;$I30&amp;":T"&amp;$I30&amp;""),1,MATCH(TEXT(E30,0),INDIRECT("数出表_Excel!B"&amp;$I30&amp;":T"&amp;$I30&amp;""),0))),""),4),"1",""),
"")
&amp;"3")
&amp;"　"&amp;INDIRECT("数出表_Excel!"&amp;
IFERROR(
SUBSTITUTE(ADDRESS(1,
IFERROR(COLUMN(INDEX(INDIRECT("数出表_Excel!B"&amp;$I30&amp;":T"&amp;$I30&amp;""),1,MATCH(TEXT(E30,0),INDIRECT("数出表_Excel!B"&amp;$I30&amp;":T"&amp;$I30&amp;""),0))),""),4),"1",""),
"")
&amp;"4")
&amp;INDIRECT("数出表_Excel!"&amp;
IFERROR(
SUBSTITUTE(ADDRESS(1,
IFERROR(COLUMN(INDEX(INDIRECT("数出表_Excel!B"&amp;$I30&amp;":T"&amp;$I30&amp;""),1,MATCH(TEXT(E30,0),INDIRECT("数出表_Excel!B"&amp;$I30&amp;":T"&amp;$I30&amp;""),0))),""),4),"1",""),
"")
&amp;"5"),
INDIRECT("数出表_Excel!"&amp;
IFERROR(
SUBSTITUTE(ADDRESS(1,
IFERROR(COLUMN(INDEX(INDIRECT("数出表_Excel!B"&amp;$I30&amp;":T"&amp;$I30&amp;""),1,MATCH(TEXT(E30,0),INDIRECT("数出表_Excel!B"&amp;$I30&amp;":T"&amp;$I30&amp;""),0))),""),4),"1",""),
"")
&amp;"3")),"")</f>
        <v/>
      </c>
      <c r="N30" t="str" cm="1">
        <f t="array" aca="1" ref="N30" ca="1">IFERROR(IF(OR(COUNTIF(INDIRECT("数出表_Excel!"&amp;
IFERROR(
SUBSTITUTE(ADDRESS(1,
IFERROR(COLUMN(INDEX(INDIRECT("数出表_Excel!B"&amp;$I30&amp;":T"&amp;$I30&amp;""),1,MATCH(TEXT(F30,0),INDIRECT("数出表_Excel!B"&amp;$I30&amp;":T"&amp;$I30&amp;""),0))),""),4),"1",""),
"")
&amp;"3"),"*キャラ*"),
COUNTIF(INDIRECT("数出表_Excel!"&amp;
IFERROR(
SUBSTITUTE(ADDRESS(1,
IFERROR(COLUMN(INDEX(INDIRECT("数出表_Excel!B"&amp;$I30&amp;":T"&amp;$I30&amp;""),1,MATCH(TEXT(F30,0),INDIRECT("数出表_Excel!B"&amp;$I30&amp;":T"&amp;$I30&amp;""),0))),""),4),"1",""),
"")
&amp;"3"),"*赤*")),
INDIRECT("数出表_Excel!"&amp;
IFERROR(
SUBSTITUTE(ADDRESS(1,
IFERROR(COLUMN(INDEX(INDIRECT("数出表_Excel!B"&amp;$I30&amp;":T"&amp;$I30&amp;""),1,MATCH(TEXT(F30,0),INDIRECT("数出表_Excel!B"&amp;$I30&amp;":T"&amp;$I30&amp;""),0))),""),4),"1",""),
"")
&amp;"3")
&amp;"　"&amp;INDIRECT("数出表_Excel!"&amp;
IFERROR(
SUBSTITUTE(ADDRESS(1,
IFERROR(COLUMN(INDEX(INDIRECT("数出表_Excel!B"&amp;$I30&amp;":T"&amp;$I30&amp;""),1,MATCH(TEXT(F30,0),INDIRECT("数出表_Excel!B"&amp;$I30&amp;":T"&amp;$I30&amp;""),0))),""),4),"1",""),
"")
&amp;"4")
&amp;INDIRECT("数出表_Excel!"&amp;
IFERROR(
SUBSTITUTE(ADDRESS(1,
IFERROR(COLUMN(INDEX(INDIRECT("数出表_Excel!B"&amp;$I30&amp;":T"&amp;$I30&amp;""),1,MATCH(TEXT(F30,0),INDIRECT("数出表_Excel!B"&amp;$I30&amp;":T"&amp;$I30&amp;""),0))),""),4),"1",""),
"")
&amp;"5"),
INDIRECT("数出表_Excel!"&amp;
IFERROR(
SUBSTITUTE(ADDRESS(1,
IFERROR(COLUMN(INDEX(INDIRECT("数出表_Excel!B"&amp;$I30&amp;":T"&amp;$I30&amp;""),1,MATCH(TEXT(F30,0),INDIRECT("数出表_Excel!B"&amp;$I30&amp;":T"&amp;$I30&amp;""),0))),""),4),"1",""),
"")
&amp;"3")),"")</f>
        <v/>
      </c>
      <c r="O30" t="str" cm="1">
        <f t="array" aca="1" ref="O30" ca="1">IFERROR(IF(OR(COUNTIF(INDIRECT("数出表_Excel!"&amp;
IFERROR(
SUBSTITUTE(ADDRESS(1,
IFERROR(COLUMN(INDEX(INDIRECT("数出表_Excel!B"&amp;$I30&amp;":T"&amp;$I30&amp;""),1,MATCH(TEXT(G30,0),INDIRECT("数出表_Excel!B"&amp;$I30&amp;":T"&amp;$I30&amp;""),0))),""),4),"1",""),
"")
&amp;"3"),"*キャラ*"),
COUNTIF(INDIRECT("数出表_Excel!"&amp;
IFERROR(
SUBSTITUTE(ADDRESS(1,
IFERROR(COLUMN(INDEX(INDIRECT("数出表_Excel!B"&amp;$I30&amp;":T"&amp;$I30&amp;""),1,MATCH(TEXT(G30,0),INDIRECT("数出表_Excel!B"&amp;$I30&amp;":T"&amp;$I30&amp;""),0))),""),4),"1",""),
"")
&amp;"3"),"*赤*")),
INDIRECT("数出表_Excel!"&amp;
IFERROR(
SUBSTITUTE(ADDRESS(1,
IFERROR(COLUMN(INDEX(INDIRECT("数出表_Excel!B"&amp;$I30&amp;":T"&amp;$I30&amp;""),1,MATCH(TEXT(G30,0),INDIRECT("数出表_Excel!B"&amp;$I30&amp;":T"&amp;$I30&amp;""),0))),""),4),"1",""),
"")
&amp;"3")
&amp;"　"&amp;INDIRECT("数出表_Excel!"&amp;
IFERROR(
SUBSTITUTE(ADDRESS(1,
IFERROR(COLUMN(INDEX(INDIRECT("数出表_Excel!B"&amp;$I30&amp;":T"&amp;$I30&amp;""),1,MATCH(TEXT(G30,0),INDIRECT("数出表_Excel!B"&amp;$I30&amp;":T"&amp;$I30&amp;""),0))),""),4),"1",""),
"")
&amp;"4")
&amp;INDIRECT("数出表_Excel!"&amp;
IFERROR(
SUBSTITUTE(ADDRESS(1,
IFERROR(COLUMN(INDEX(INDIRECT("数出表_Excel!B"&amp;$I30&amp;":T"&amp;$I30&amp;""),1,MATCH(TEXT(G30,0),INDIRECT("数出表_Excel!B"&amp;$I30&amp;":T"&amp;$I30&amp;""),0))),""),4),"1",""),
"")
&amp;"5"),
INDIRECT("数出表_Excel!"&amp;
IFERROR(
SUBSTITUTE(ADDRESS(1,
IFERROR(COLUMN(INDEX(INDIRECT("数出表_Excel!B"&amp;$I30&amp;":T"&amp;$I30&amp;""),1,MATCH(TEXT(G30,0),INDIRECT("数出表_Excel!B"&amp;$I30&amp;":T"&amp;$I30&amp;""),0))),""),4),"1",""),
"")
&amp;"3")),"")</f>
        <v/>
      </c>
    </row>
    <row r="31" spans="9:15">
      <c r="I31" t="str">
        <f>IF(A31&lt;&gt;"",MATCH(A31,数出表_Excel!A:A,0),"")</f>
        <v/>
      </c>
      <c r="J31" t="str" cm="1">
        <f t="array" aca="1" ref="J31" ca="1">IFERROR(IF(OR(COUNTIF(INDIRECT("数出表_Excel!"&amp;
IFERROR(
SUBSTITUTE(ADDRESS(1,
IFERROR(COLUMN(INDEX(INDIRECT("数出表_Excel!B"&amp;$I31-1&amp;":T"&amp;$I31-1&amp;""),1,MATCH(TEXT(B31,0),INDIRECT("数出表_Excel!B"&amp;$I31-1&amp;":T"&amp;$I31-1&amp;""),0))),""),4),"1",""),
"")
&amp;"3"),"*キャラ*"),
COUNTIF(INDIRECT("数出表_Excel!"&amp;
IFERROR(
SUBSTITUTE(ADDRESS(1,
IFERROR(COLUMN(INDEX(INDIRECT("数出表_Excel!B"&amp;$I31-1&amp;":T"&amp;$I31-1&amp;""),1,MATCH(TEXT(B31,0),INDIRECT("数出表_Excel!B"&amp;$I31-1&amp;":T"&amp;$I31-1&amp;""),0))),""),4),"1",""),
"")
&amp;"3"),"*赤*")),
INDIRECT("数出表_Excel!"&amp;
IFERROR(
SUBSTITUTE(ADDRESS(1,
IFERROR(COLUMN(INDEX(INDIRECT("数出表_Excel!B"&amp;$I31-1&amp;":T"&amp;$I31-1&amp;""),1,MATCH(TEXT(B31,0),INDIRECT("数出表_Excel!B"&amp;$I31-1&amp;":T"&amp;$I31-1&amp;""),0))),""),4),"1",""),
"")
&amp;"3")
&amp;"　"&amp;INDIRECT("数出表_Excel!"&amp;
IFERROR(
SUBSTITUTE(ADDRESS(1,
IFERROR(COLUMN(INDEX(INDIRECT("数出表_Excel!B"&amp;$I31-1&amp;":T"&amp;$I31-1&amp;""),1,MATCH(TEXT(B31,0),INDIRECT("数出表_Excel!B"&amp;$I31-1&amp;":T"&amp;$I31-1&amp;""),0))),""),4),"1",""),
"")
&amp;"4")
&amp;INDIRECT("数出表_Excel!"&amp;
IFERROR(
SUBSTITUTE(ADDRESS(1,
IFERROR(COLUMN(INDEX(INDIRECT("数出表_Excel!B"&amp;$I31-1&amp;":T"&amp;$I31-1&amp;""),1,MATCH(TEXT(B31,0),INDIRECT("数出表_Excel!B"&amp;$I31-1&amp;":T"&amp;$I31-1&amp;""),0))),""),4),"1",""),
"")
&amp;"5"),
INDIRECT("数出表_Excel!"&amp;
IFERROR(
SUBSTITUTE(ADDRESS(1,
IFERROR(COLUMN(INDEX(INDIRECT("数出表_Excel!B"&amp;$I31-1&amp;":T"&amp;$I31-1&amp;""),1,MATCH(TEXT(B31,0),INDIRECT("数出表_Excel!B"&amp;$I31-1&amp;":T"&amp;$I31-1&amp;""),0))),""),4),"1",""),
"")
&amp;"3")),"")</f>
        <v/>
      </c>
      <c r="K31" t="str" cm="1">
        <f t="array" aca="1" ref="K31" ca="1">IFERROR(IF(OR(COUNTIF(INDIRECT("数出表_Excel!"&amp;
IFERROR(
SUBSTITUTE(ADDRESS(1,
IFERROR(COLUMN(INDEX(INDIRECT("数出表_Excel!B"&amp;$I31-1&amp;":T"&amp;$I31-1&amp;""),1,MATCH(TEXT(C31,0),INDIRECT("数出表_Excel!B"&amp;$I31-1&amp;":T"&amp;$I31-1&amp;""),0))),""),4),"1",""),
"")
&amp;"3"),"*キャラ*"),
COUNTIF(INDIRECT("数出表_Excel!"&amp;
IFERROR(
SUBSTITUTE(ADDRESS(1,
IFERROR(COLUMN(INDEX(INDIRECT("数出表_Excel!B"&amp;$I31-1&amp;":T"&amp;$I31-1&amp;""),1,MATCH(TEXT(C31,0),INDIRECT("数出表_Excel!B"&amp;$I31-1&amp;":T"&amp;$I31-1&amp;""),0))),""),4),"1",""),
"")
&amp;"3"),"*赤*")),
INDIRECT("数出表_Excel!"&amp;
IFERROR(
SUBSTITUTE(ADDRESS(1,
IFERROR(COLUMN(INDEX(INDIRECT("数出表_Excel!B"&amp;$I31-1&amp;":T"&amp;$I31-1&amp;""),1,MATCH(TEXT(C31,0),INDIRECT("数出表_Excel!B"&amp;$I31-1&amp;":T"&amp;$I31-1&amp;""),0))),""),4),"1",""),
"")
&amp;"3")
&amp;"　"&amp;INDIRECT("数出表_Excel!"&amp;
IFERROR(
SUBSTITUTE(ADDRESS(1,
IFERROR(COLUMN(INDEX(INDIRECT("数出表_Excel!B"&amp;$I31-1&amp;":T"&amp;$I31-1&amp;""),1,MATCH(TEXT(C31,0),INDIRECT("数出表_Excel!B"&amp;$I31-1&amp;":T"&amp;$I31-1&amp;""),0))),""),4),"1",""),
"")
&amp;"4")
&amp;INDIRECT("数出表_Excel!"&amp;
IFERROR(
SUBSTITUTE(ADDRESS(1,
IFERROR(COLUMN(INDEX(INDIRECT("数出表_Excel!B"&amp;$I31-1&amp;":T"&amp;$I31-1&amp;""),1,MATCH(TEXT(C31,0),INDIRECT("数出表_Excel!B"&amp;$I31-1&amp;":T"&amp;$I31-1&amp;""),0))),""),4),"1",""),
"")
&amp;"5"),
INDIRECT("数出表_Excel!"&amp;
IFERROR(
SUBSTITUTE(ADDRESS(1,
IFERROR(COLUMN(INDEX(INDIRECT("数出表_Excel!B"&amp;$I31-1&amp;":T"&amp;$I31-1&amp;""),1,MATCH(TEXT(C31,0),INDIRECT("数出表_Excel!B"&amp;$I31-1&amp;":T"&amp;$I31-1&amp;""),0))),""),4),"1",""),
"")
&amp;"3")),"")</f>
        <v/>
      </c>
      <c r="L31" t="str" cm="1">
        <f t="array" aca="1" ref="L31" ca="1">IFERROR(IF(OR(COUNTIF(INDIRECT("数出表_Excel!"&amp;
IFERROR(
SUBSTITUTE(ADDRESS(1,
IFERROR(COLUMN(INDEX(INDIRECT("数出表_Excel!B"&amp;$I31-1&amp;":T"&amp;$I31-1&amp;""),1,MATCH(TEXT(D31,0),INDIRECT("数出表_Excel!B"&amp;$I31-1&amp;":T"&amp;$I31-1&amp;""),0))),""),4),"1",""),
"")
&amp;"3"),"*キャラ*"),
COUNTIF(INDIRECT("数出表_Excel!"&amp;
IFERROR(
SUBSTITUTE(ADDRESS(1,
IFERROR(COLUMN(INDEX(INDIRECT("数出表_Excel!B"&amp;$I31-1&amp;":T"&amp;$I31-1&amp;""),1,MATCH(TEXT(D31,0),INDIRECT("数出表_Excel!B"&amp;$I31-1&amp;":T"&amp;$I31-1&amp;""),0))),""),4),"1",""),
"")
&amp;"3"),"*赤*")),
INDIRECT("数出表_Excel!"&amp;
IFERROR(
SUBSTITUTE(ADDRESS(1,
IFERROR(COLUMN(INDEX(INDIRECT("数出表_Excel!B"&amp;$I31-1&amp;":T"&amp;$I31-1&amp;""),1,MATCH(TEXT(D31,0),INDIRECT("数出表_Excel!B"&amp;$I31-1&amp;":T"&amp;$I31-1&amp;""),0))),""),4),"1",""),
"")
&amp;"3")
&amp;"　"&amp;INDIRECT("数出表_Excel!"&amp;
IFERROR(
SUBSTITUTE(ADDRESS(1,
IFERROR(COLUMN(INDEX(INDIRECT("数出表_Excel!B"&amp;$I31-1&amp;":T"&amp;$I31-1&amp;""),1,MATCH(TEXT(D31,0),INDIRECT("数出表_Excel!B"&amp;$I31-1&amp;":T"&amp;$I31-1&amp;""),0))),""),4),"1",""),
"")
&amp;"4")
&amp;INDIRECT("数出表_Excel!"&amp;
IFERROR(
SUBSTITUTE(ADDRESS(1,
IFERROR(COLUMN(INDEX(INDIRECT("数出表_Excel!B"&amp;$I31-1&amp;":T"&amp;$I31-1&amp;""),1,MATCH(TEXT(D31,0),INDIRECT("数出表_Excel!B"&amp;$I31-1&amp;":T"&amp;$I31-1&amp;""),0))),""),4),"1",""),
"")
&amp;"5"),
INDIRECT("数出表_Excel!"&amp;
IFERROR(
SUBSTITUTE(ADDRESS(1,
IFERROR(COLUMN(INDEX(INDIRECT("数出表_Excel!B"&amp;$I31-1&amp;":T"&amp;$I31-1&amp;""),1,MATCH(TEXT(D31,0),INDIRECT("数出表_Excel!B"&amp;$I31-1&amp;":T"&amp;$I31-1&amp;""),0))),""),4),"1",""),
"")
&amp;"3")),"")</f>
        <v/>
      </c>
      <c r="M31" t="str" cm="1">
        <f t="array" aca="1" ref="M31" ca="1">IFERROR(IF(OR(COUNTIF(INDIRECT("数出表_Excel!"&amp;
IFERROR(
SUBSTITUTE(ADDRESS(1,
IFERROR(COLUMN(INDEX(INDIRECT("数出表_Excel!B"&amp;$I31&amp;":T"&amp;$I31&amp;""),1,MATCH(TEXT(E31,0),INDIRECT("数出表_Excel!B"&amp;$I31&amp;":T"&amp;$I31&amp;""),0))),""),4),"1",""),
"")
&amp;"3"),"*キャラ*"),
COUNTIF(INDIRECT("数出表_Excel!"&amp;
IFERROR(
SUBSTITUTE(ADDRESS(1,
IFERROR(COLUMN(INDEX(INDIRECT("数出表_Excel!B"&amp;$I31&amp;":T"&amp;$I31&amp;""),1,MATCH(TEXT(E31,0),INDIRECT("数出表_Excel!B"&amp;$I31&amp;":T"&amp;$I31&amp;""),0))),""),4),"1",""),
"")
&amp;"3"),"*赤*")),
INDIRECT("数出表_Excel!"&amp;
IFERROR(
SUBSTITUTE(ADDRESS(1,
IFERROR(COLUMN(INDEX(INDIRECT("数出表_Excel!B"&amp;$I31&amp;":T"&amp;$I31&amp;""),1,MATCH(TEXT(E31,0),INDIRECT("数出表_Excel!B"&amp;$I31&amp;":T"&amp;$I31&amp;""),0))),""),4),"1",""),
"")
&amp;"3")
&amp;"　"&amp;INDIRECT("数出表_Excel!"&amp;
IFERROR(
SUBSTITUTE(ADDRESS(1,
IFERROR(COLUMN(INDEX(INDIRECT("数出表_Excel!B"&amp;$I31&amp;":T"&amp;$I31&amp;""),1,MATCH(TEXT(E31,0),INDIRECT("数出表_Excel!B"&amp;$I31&amp;":T"&amp;$I31&amp;""),0))),""),4),"1",""),
"")
&amp;"4")
&amp;INDIRECT("数出表_Excel!"&amp;
IFERROR(
SUBSTITUTE(ADDRESS(1,
IFERROR(COLUMN(INDEX(INDIRECT("数出表_Excel!B"&amp;$I31&amp;":T"&amp;$I31&amp;""),1,MATCH(TEXT(E31,0),INDIRECT("数出表_Excel!B"&amp;$I31&amp;":T"&amp;$I31&amp;""),0))),""),4),"1",""),
"")
&amp;"5"),
INDIRECT("数出表_Excel!"&amp;
IFERROR(
SUBSTITUTE(ADDRESS(1,
IFERROR(COLUMN(INDEX(INDIRECT("数出表_Excel!B"&amp;$I31&amp;":T"&amp;$I31&amp;""),1,MATCH(TEXT(E31,0),INDIRECT("数出表_Excel!B"&amp;$I31&amp;":T"&amp;$I31&amp;""),0))),""),4),"1",""),
"")
&amp;"3")),"")</f>
        <v/>
      </c>
      <c r="N31" t="str" cm="1">
        <f t="array" aca="1" ref="N31" ca="1">IFERROR(IF(OR(COUNTIF(INDIRECT("数出表_Excel!"&amp;
IFERROR(
SUBSTITUTE(ADDRESS(1,
IFERROR(COLUMN(INDEX(INDIRECT("数出表_Excel!B"&amp;$I31&amp;":T"&amp;$I31&amp;""),1,MATCH(TEXT(F31,0),INDIRECT("数出表_Excel!B"&amp;$I31&amp;":T"&amp;$I31&amp;""),0))),""),4),"1",""),
"")
&amp;"3"),"*キャラ*"),
COUNTIF(INDIRECT("数出表_Excel!"&amp;
IFERROR(
SUBSTITUTE(ADDRESS(1,
IFERROR(COLUMN(INDEX(INDIRECT("数出表_Excel!B"&amp;$I31&amp;":T"&amp;$I31&amp;""),1,MATCH(TEXT(F31,0),INDIRECT("数出表_Excel!B"&amp;$I31&amp;":T"&amp;$I31&amp;""),0))),""),4),"1",""),
"")
&amp;"3"),"*赤*")),
INDIRECT("数出表_Excel!"&amp;
IFERROR(
SUBSTITUTE(ADDRESS(1,
IFERROR(COLUMN(INDEX(INDIRECT("数出表_Excel!B"&amp;$I31&amp;":T"&amp;$I31&amp;""),1,MATCH(TEXT(F31,0),INDIRECT("数出表_Excel!B"&amp;$I31&amp;":T"&amp;$I31&amp;""),0))),""),4),"1",""),
"")
&amp;"3")
&amp;"　"&amp;INDIRECT("数出表_Excel!"&amp;
IFERROR(
SUBSTITUTE(ADDRESS(1,
IFERROR(COLUMN(INDEX(INDIRECT("数出表_Excel!B"&amp;$I31&amp;":T"&amp;$I31&amp;""),1,MATCH(TEXT(F31,0),INDIRECT("数出表_Excel!B"&amp;$I31&amp;":T"&amp;$I31&amp;""),0))),""),4),"1",""),
"")
&amp;"4")
&amp;INDIRECT("数出表_Excel!"&amp;
IFERROR(
SUBSTITUTE(ADDRESS(1,
IFERROR(COLUMN(INDEX(INDIRECT("数出表_Excel!B"&amp;$I31&amp;":T"&amp;$I31&amp;""),1,MATCH(TEXT(F31,0),INDIRECT("数出表_Excel!B"&amp;$I31&amp;":T"&amp;$I31&amp;""),0))),""),4),"1",""),
"")
&amp;"5"),
INDIRECT("数出表_Excel!"&amp;
IFERROR(
SUBSTITUTE(ADDRESS(1,
IFERROR(COLUMN(INDEX(INDIRECT("数出表_Excel!B"&amp;$I31&amp;":T"&amp;$I31&amp;""),1,MATCH(TEXT(F31,0),INDIRECT("数出表_Excel!B"&amp;$I31&amp;":T"&amp;$I31&amp;""),0))),""),4),"1",""),
"")
&amp;"3")),"")</f>
        <v/>
      </c>
      <c r="O31" t="str" cm="1">
        <f t="array" aca="1" ref="O31" ca="1">IFERROR(IF(OR(COUNTIF(INDIRECT("数出表_Excel!"&amp;
IFERROR(
SUBSTITUTE(ADDRESS(1,
IFERROR(COLUMN(INDEX(INDIRECT("数出表_Excel!B"&amp;$I31&amp;":T"&amp;$I31&amp;""),1,MATCH(TEXT(G31,0),INDIRECT("数出表_Excel!B"&amp;$I31&amp;":T"&amp;$I31&amp;""),0))),""),4),"1",""),
"")
&amp;"3"),"*キャラ*"),
COUNTIF(INDIRECT("数出表_Excel!"&amp;
IFERROR(
SUBSTITUTE(ADDRESS(1,
IFERROR(COLUMN(INDEX(INDIRECT("数出表_Excel!B"&amp;$I31&amp;":T"&amp;$I31&amp;""),1,MATCH(TEXT(G31,0),INDIRECT("数出表_Excel!B"&amp;$I31&amp;":T"&amp;$I31&amp;""),0))),""),4),"1",""),
"")
&amp;"3"),"*赤*")),
INDIRECT("数出表_Excel!"&amp;
IFERROR(
SUBSTITUTE(ADDRESS(1,
IFERROR(COLUMN(INDEX(INDIRECT("数出表_Excel!B"&amp;$I31&amp;":T"&amp;$I31&amp;""),1,MATCH(TEXT(G31,0),INDIRECT("数出表_Excel!B"&amp;$I31&amp;":T"&amp;$I31&amp;""),0))),""),4),"1",""),
"")
&amp;"3")
&amp;"　"&amp;INDIRECT("数出表_Excel!"&amp;
IFERROR(
SUBSTITUTE(ADDRESS(1,
IFERROR(COLUMN(INDEX(INDIRECT("数出表_Excel!B"&amp;$I31&amp;":T"&amp;$I31&amp;""),1,MATCH(TEXT(G31,0),INDIRECT("数出表_Excel!B"&amp;$I31&amp;":T"&amp;$I31&amp;""),0))),""),4),"1",""),
"")
&amp;"4")
&amp;INDIRECT("数出表_Excel!"&amp;
IFERROR(
SUBSTITUTE(ADDRESS(1,
IFERROR(COLUMN(INDEX(INDIRECT("数出表_Excel!B"&amp;$I31&amp;":T"&amp;$I31&amp;""),1,MATCH(TEXT(G31,0),INDIRECT("数出表_Excel!B"&amp;$I31&amp;":T"&amp;$I31&amp;""),0))),""),4),"1",""),
"")
&amp;"5"),
INDIRECT("数出表_Excel!"&amp;
IFERROR(
SUBSTITUTE(ADDRESS(1,
IFERROR(COLUMN(INDEX(INDIRECT("数出表_Excel!B"&amp;$I31&amp;":T"&amp;$I31&amp;""),1,MATCH(TEXT(G31,0),INDIRECT("数出表_Excel!B"&amp;$I31&amp;":T"&amp;$I31&amp;""),0))),""),4),"1",""),
"")
&amp;"3")),"")</f>
        <v/>
      </c>
    </row>
    <row r="32" spans="9:15">
      <c r="I32" t="str">
        <f>IF(A32&lt;&gt;"",MATCH(A32,数出表_Excel!A:A,0),"")</f>
        <v/>
      </c>
      <c r="J32" t="str" cm="1">
        <f t="array" aca="1" ref="J32" ca="1">IFERROR(IF(OR(COUNTIF(INDIRECT("数出表_Excel!"&amp;
IFERROR(
SUBSTITUTE(ADDRESS(1,
IFERROR(COLUMN(INDEX(INDIRECT("数出表_Excel!B"&amp;$I32-1&amp;":T"&amp;$I32-1&amp;""),1,MATCH(TEXT(B32,0),INDIRECT("数出表_Excel!B"&amp;$I32-1&amp;":T"&amp;$I32-1&amp;""),0))),""),4),"1",""),
"")
&amp;"3"),"*キャラ*"),
COUNTIF(INDIRECT("数出表_Excel!"&amp;
IFERROR(
SUBSTITUTE(ADDRESS(1,
IFERROR(COLUMN(INDEX(INDIRECT("数出表_Excel!B"&amp;$I32-1&amp;":T"&amp;$I32-1&amp;""),1,MATCH(TEXT(B32,0),INDIRECT("数出表_Excel!B"&amp;$I32-1&amp;":T"&amp;$I32-1&amp;""),0))),""),4),"1",""),
"")
&amp;"3"),"*赤*")),
INDIRECT("数出表_Excel!"&amp;
IFERROR(
SUBSTITUTE(ADDRESS(1,
IFERROR(COLUMN(INDEX(INDIRECT("数出表_Excel!B"&amp;$I32-1&amp;":T"&amp;$I32-1&amp;""),1,MATCH(TEXT(B32,0),INDIRECT("数出表_Excel!B"&amp;$I32-1&amp;":T"&amp;$I32-1&amp;""),0))),""),4),"1",""),
"")
&amp;"3")
&amp;"　"&amp;INDIRECT("数出表_Excel!"&amp;
IFERROR(
SUBSTITUTE(ADDRESS(1,
IFERROR(COLUMN(INDEX(INDIRECT("数出表_Excel!B"&amp;$I32-1&amp;":T"&amp;$I32-1&amp;""),1,MATCH(TEXT(B32,0),INDIRECT("数出表_Excel!B"&amp;$I32-1&amp;":T"&amp;$I32-1&amp;""),0))),""),4),"1",""),
"")
&amp;"4")
&amp;INDIRECT("数出表_Excel!"&amp;
IFERROR(
SUBSTITUTE(ADDRESS(1,
IFERROR(COLUMN(INDEX(INDIRECT("数出表_Excel!B"&amp;$I32-1&amp;":T"&amp;$I32-1&amp;""),1,MATCH(TEXT(B32,0),INDIRECT("数出表_Excel!B"&amp;$I32-1&amp;":T"&amp;$I32-1&amp;""),0))),""),4),"1",""),
"")
&amp;"5"),
INDIRECT("数出表_Excel!"&amp;
IFERROR(
SUBSTITUTE(ADDRESS(1,
IFERROR(COLUMN(INDEX(INDIRECT("数出表_Excel!B"&amp;$I32-1&amp;":T"&amp;$I32-1&amp;""),1,MATCH(TEXT(B32,0),INDIRECT("数出表_Excel!B"&amp;$I32-1&amp;":T"&amp;$I32-1&amp;""),0))),""),4),"1",""),
"")
&amp;"3")),"")</f>
        <v/>
      </c>
      <c r="K32" t="str" cm="1">
        <f t="array" aca="1" ref="K32" ca="1">IFERROR(IF(OR(COUNTIF(INDIRECT("数出表_Excel!"&amp;
IFERROR(
SUBSTITUTE(ADDRESS(1,
IFERROR(COLUMN(INDEX(INDIRECT("数出表_Excel!B"&amp;$I32-1&amp;":T"&amp;$I32-1&amp;""),1,MATCH(TEXT(C32,0),INDIRECT("数出表_Excel!B"&amp;$I32-1&amp;":T"&amp;$I32-1&amp;""),0))),""),4),"1",""),
"")
&amp;"3"),"*キャラ*"),
COUNTIF(INDIRECT("数出表_Excel!"&amp;
IFERROR(
SUBSTITUTE(ADDRESS(1,
IFERROR(COLUMN(INDEX(INDIRECT("数出表_Excel!B"&amp;$I32-1&amp;":T"&amp;$I32-1&amp;""),1,MATCH(TEXT(C32,0),INDIRECT("数出表_Excel!B"&amp;$I32-1&amp;":T"&amp;$I32-1&amp;""),0))),""),4),"1",""),
"")
&amp;"3"),"*赤*")),
INDIRECT("数出表_Excel!"&amp;
IFERROR(
SUBSTITUTE(ADDRESS(1,
IFERROR(COLUMN(INDEX(INDIRECT("数出表_Excel!B"&amp;$I32-1&amp;":T"&amp;$I32-1&amp;""),1,MATCH(TEXT(C32,0),INDIRECT("数出表_Excel!B"&amp;$I32-1&amp;":T"&amp;$I32-1&amp;""),0))),""),4),"1",""),
"")
&amp;"3")
&amp;"　"&amp;INDIRECT("数出表_Excel!"&amp;
IFERROR(
SUBSTITUTE(ADDRESS(1,
IFERROR(COLUMN(INDEX(INDIRECT("数出表_Excel!B"&amp;$I32-1&amp;":T"&amp;$I32-1&amp;""),1,MATCH(TEXT(C32,0),INDIRECT("数出表_Excel!B"&amp;$I32-1&amp;":T"&amp;$I32-1&amp;""),0))),""),4),"1",""),
"")
&amp;"4")
&amp;INDIRECT("数出表_Excel!"&amp;
IFERROR(
SUBSTITUTE(ADDRESS(1,
IFERROR(COLUMN(INDEX(INDIRECT("数出表_Excel!B"&amp;$I32-1&amp;":T"&amp;$I32-1&amp;""),1,MATCH(TEXT(C32,0),INDIRECT("数出表_Excel!B"&amp;$I32-1&amp;":T"&amp;$I32-1&amp;""),0))),""),4),"1",""),
"")
&amp;"5"),
INDIRECT("数出表_Excel!"&amp;
IFERROR(
SUBSTITUTE(ADDRESS(1,
IFERROR(COLUMN(INDEX(INDIRECT("数出表_Excel!B"&amp;$I32-1&amp;":T"&amp;$I32-1&amp;""),1,MATCH(TEXT(C32,0),INDIRECT("数出表_Excel!B"&amp;$I32-1&amp;":T"&amp;$I32-1&amp;""),0))),""),4),"1",""),
"")
&amp;"3")),"")</f>
        <v/>
      </c>
      <c r="L32" t="str" cm="1">
        <f t="array" aca="1" ref="L32" ca="1">IFERROR(IF(OR(COUNTIF(INDIRECT("数出表_Excel!"&amp;
IFERROR(
SUBSTITUTE(ADDRESS(1,
IFERROR(COLUMN(INDEX(INDIRECT("数出表_Excel!B"&amp;$I32-1&amp;":T"&amp;$I32-1&amp;""),1,MATCH(TEXT(D32,0),INDIRECT("数出表_Excel!B"&amp;$I32-1&amp;":T"&amp;$I32-1&amp;""),0))),""),4),"1",""),
"")
&amp;"3"),"*キャラ*"),
COUNTIF(INDIRECT("数出表_Excel!"&amp;
IFERROR(
SUBSTITUTE(ADDRESS(1,
IFERROR(COLUMN(INDEX(INDIRECT("数出表_Excel!B"&amp;$I32-1&amp;":T"&amp;$I32-1&amp;""),1,MATCH(TEXT(D32,0),INDIRECT("数出表_Excel!B"&amp;$I32-1&amp;":T"&amp;$I32-1&amp;""),0))),""),4),"1",""),
"")
&amp;"3"),"*赤*")),
INDIRECT("数出表_Excel!"&amp;
IFERROR(
SUBSTITUTE(ADDRESS(1,
IFERROR(COLUMN(INDEX(INDIRECT("数出表_Excel!B"&amp;$I32-1&amp;":T"&amp;$I32-1&amp;""),1,MATCH(TEXT(D32,0),INDIRECT("数出表_Excel!B"&amp;$I32-1&amp;":T"&amp;$I32-1&amp;""),0))),""),4),"1",""),
"")
&amp;"3")
&amp;"　"&amp;INDIRECT("数出表_Excel!"&amp;
IFERROR(
SUBSTITUTE(ADDRESS(1,
IFERROR(COLUMN(INDEX(INDIRECT("数出表_Excel!B"&amp;$I32-1&amp;":T"&amp;$I32-1&amp;""),1,MATCH(TEXT(D32,0),INDIRECT("数出表_Excel!B"&amp;$I32-1&amp;":T"&amp;$I32-1&amp;""),0))),""),4),"1",""),
"")
&amp;"4")
&amp;INDIRECT("数出表_Excel!"&amp;
IFERROR(
SUBSTITUTE(ADDRESS(1,
IFERROR(COLUMN(INDEX(INDIRECT("数出表_Excel!B"&amp;$I32-1&amp;":T"&amp;$I32-1&amp;""),1,MATCH(TEXT(D32,0),INDIRECT("数出表_Excel!B"&amp;$I32-1&amp;":T"&amp;$I32-1&amp;""),0))),""),4),"1",""),
"")
&amp;"5"),
INDIRECT("数出表_Excel!"&amp;
IFERROR(
SUBSTITUTE(ADDRESS(1,
IFERROR(COLUMN(INDEX(INDIRECT("数出表_Excel!B"&amp;$I32-1&amp;":T"&amp;$I32-1&amp;""),1,MATCH(TEXT(D32,0),INDIRECT("数出表_Excel!B"&amp;$I32-1&amp;":T"&amp;$I32-1&amp;""),0))),""),4),"1",""),
"")
&amp;"3")),"")</f>
        <v/>
      </c>
      <c r="M32" t="str" cm="1">
        <f t="array" aca="1" ref="M32" ca="1">IFERROR(IF(OR(COUNTIF(INDIRECT("数出表_Excel!"&amp;
IFERROR(
SUBSTITUTE(ADDRESS(1,
IFERROR(COLUMN(INDEX(INDIRECT("数出表_Excel!B"&amp;$I32&amp;":T"&amp;$I32&amp;""),1,MATCH(TEXT(E32,0),INDIRECT("数出表_Excel!B"&amp;$I32&amp;":T"&amp;$I32&amp;""),0))),""),4),"1",""),
"")
&amp;"3"),"*キャラ*"),
COUNTIF(INDIRECT("数出表_Excel!"&amp;
IFERROR(
SUBSTITUTE(ADDRESS(1,
IFERROR(COLUMN(INDEX(INDIRECT("数出表_Excel!B"&amp;$I32&amp;":T"&amp;$I32&amp;""),1,MATCH(TEXT(E32,0),INDIRECT("数出表_Excel!B"&amp;$I32&amp;":T"&amp;$I32&amp;""),0))),""),4),"1",""),
"")
&amp;"3"),"*赤*")),
INDIRECT("数出表_Excel!"&amp;
IFERROR(
SUBSTITUTE(ADDRESS(1,
IFERROR(COLUMN(INDEX(INDIRECT("数出表_Excel!B"&amp;$I32&amp;":T"&amp;$I32&amp;""),1,MATCH(TEXT(E32,0),INDIRECT("数出表_Excel!B"&amp;$I32&amp;":T"&amp;$I32&amp;""),0))),""),4),"1",""),
"")
&amp;"3")
&amp;"　"&amp;INDIRECT("数出表_Excel!"&amp;
IFERROR(
SUBSTITUTE(ADDRESS(1,
IFERROR(COLUMN(INDEX(INDIRECT("数出表_Excel!B"&amp;$I32&amp;":T"&amp;$I32&amp;""),1,MATCH(TEXT(E32,0),INDIRECT("数出表_Excel!B"&amp;$I32&amp;":T"&amp;$I32&amp;""),0))),""),4),"1",""),
"")
&amp;"4")
&amp;INDIRECT("数出表_Excel!"&amp;
IFERROR(
SUBSTITUTE(ADDRESS(1,
IFERROR(COLUMN(INDEX(INDIRECT("数出表_Excel!B"&amp;$I32&amp;":T"&amp;$I32&amp;""),1,MATCH(TEXT(E32,0),INDIRECT("数出表_Excel!B"&amp;$I32&amp;":T"&amp;$I32&amp;""),0))),""),4),"1",""),
"")
&amp;"5"),
INDIRECT("数出表_Excel!"&amp;
IFERROR(
SUBSTITUTE(ADDRESS(1,
IFERROR(COLUMN(INDEX(INDIRECT("数出表_Excel!B"&amp;$I32&amp;":T"&amp;$I32&amp;""),1,MATCH(TEXT(E32,0),INDIRECT("数出表_Excel!B"&amp;$I32&amp;":T"&amp;$I32&amp;""),0))),""),4),"1",""),
"")
&amp;"3")),"")</f>
        <v/>
      </c>
      <c r="N32" t="str" cm="1">
        <f t="array" aca="1" ref="N32" ca="1">IFERROR(IF(OR(COUNTIF(INDIRECT("数出表_Excel!"&amp;
IFERROR(
SUBSTITUTE(ADDRESS(1,
IFERROR(COLUMN(INDEX(INDIRECT("数出表_Excel!B"&amp;$I32&amp;":T"&amp;$I32&amp;""),1,MATCH(TEXT(F32,0),INDIRECT("数出表_Excel!B"&amp;$I32&amp;":T"&amp;$I32&amp;""),0))),""),4),"1",""),
"")
&amp;"3"),"*キャラ*"),
COUNTIF(INDIRECT("数出表_Excel!"&amp;
IFERROR(
SUBSTITUTE(ADDRESS(1,
IFERROR(COLUMN(INDEX(INDIRECT("数出表_Excel!B"&amp;$I32&amp;":T"&amp;$I32&amp;""),1,MATCH(TEXT(F32,0),INDIRECT("数出表_Excel!B"&amp;$I32&amp;":T"&amp;$I32&amp;""),0))),""),4),"1",""),
"")
&amp;"3"),"*赤*")),
INDIRECT("数出表_Excel!"&amp;
IFERROR(
SUBSTITUTE(ADDRESS(1,
IFERROR(COLUMN(INDEX(INDIRECT("数出表_Excel!B"&amp;$I32&amp;":T"&amp;$I32&amp;""),1,MATCH(TEXT(F32,0),INDIRECT("数出表_Excel!B"&amp;$I32&amp;":T"&amp;$I32&amp;""),0))),""),4),"1",""),
"")
&amp;"3")
&amp;"　"&amp;INDIRECT("数出表_Excel!"&amp;
IFERROR(
SUBSTITUTE(ADDRESS(1,
IFERROR(COLUMN(INDEX(INDIRECT("数出表_Excel!B"&amp;$I32&amp;":T"&amp;$I32&amp;""),1,MATCH(TEXT(F32,0),INDIRECT("数出表_Excel!B"&amp;$I32&amp;":T"&amp;$I32&amp;""),0))),""),4),"1",""),
"")
&amp;"4")
&amp;INDIRECT("数出表_Excel!"&amp;
IFERROR(
SUBSTITUTE(ADDRESS(1,
IFERROR(COLUMN(INDEX(INDIRECT("数出表_Excel!B"&amp;$I32&amp;":T"&amp;$I32&amp;""),1,MATCH(TEXT(F32,0),INDIRECT("数出表_Excel!B"&amp;$I32&amp;":T"&amp;$I32&amp;""),0))),""),4),"1",""),
"")
&amp;"5"),
INDIRECT("数出表_Excel!"&amp;
IFERROR(
SUBSTITUTE(ADDRESS(1,
IFERROR(COLUMN(INDEX(INDIRECT("数出表_Excel!B"&amp;$I32&amp;":T"&amp;$I32&amp;""),1,MATCH(TEXT(F32,0),INDIRECT("数出表_Excel!B"&amp;$I32&amp;":T"&amp;$I32&amp;""),0))),""),4),"1",""),
"")
&amp;"3")),"")</f>
        <v/>
      </c>
      <c r="O32" t="str" cm="1">
        <f t="array" aca="1" ref="O32" ca="1">IFERROR(IF(OR(COUNTIF(INDIRECT("数出表_Excel!"&amp;
IFERROR(
SUBSTITUTE(ADDRESS(1,
IFERROR(COLUMN(INDEX(INDIRECT("数出表_Excel!B"&amp;$I32&amp;":T"&amp;$I32&amp;""),1,MATCH(TEXT(G32,0),INDIRECT("数出表_Excel!B"&amp;$I32&amp;":T"&amp;$I32&amp;""),0))),""),4),"1",""),
"")
&amp;"3"),"*キャラ*"),
COUNTIF(INDIRECT("数出表_Excel!"&amp;
IFERROR(
SUBSTITUTE(ADDRESS(1,
IFERROR(COLUMN(INDEX(INDIRECT("数出表_Excel!B"&amp;$I32&amp;":T"&amp;$I32&amp;""),1,MATCH(TEXT(G32,0),INDIRECT("数出表_Excel!B"&amp;$I32&amp;":T"&amp;$I32&amp;""),0))),""),4),"1",""),
"")
&amp;"3"),"*赤*")),
INDIRECT("数出表_Excel!"&amp;
IFERROR(
SUBSTITUTE(ADDRESS(1,
IFERROR(COLUMN(INDEX(INDIRECT("数出表_Excel!B"&amp;$I32&amp;":T"&amp;$I32&amp;""),1,MATCH(TEXT(G32,0),INDIRECT("数出表_Excel!B"&amp;$I32&amp;":T"&amp;$I32&amp;""),0))),""),4),"1",""),
"")
&amp;"3")
&amp;"　"&amp;INDIRECT("数出表_Excel!"&amp;
IFERROR(
SUBSTITUTE(ADDRESS(1,
IFERROR(COLUMN(INDEX(INDIRECT("数出表_Excel!B"&amp;$I32&amp;":T"&amp;$I32&amp;""),1,MATCH(TEXT(G32,0),INDIRECT("数出表_Excel!B"&amp;$I32&amp;":T"&amp;$I32&amp;""),0))),""),4),"1",""),
"")
&amp;"4")
&amp;INDIRECT("数出表_Excel!"&amp;
IFERROR(
SUBSTITUTE(ADDRESS(1,
IFERROR(COLUMN(INDEX(INDIRECT("数出表_Excel!B"&amp;$I32&amp;":T"&amp;$I32&amp;""),1,MATCH(TEXT(G32,0),INDIRECT("数出表_Excel!B"&amp;$I32&amp;":T"&amp;$I32&amp;""),0))),""),4),"1",""),
"")
&amp;"5"),
INDIRECT("数出表_Excel!"&amp;
IFERROR(
SUBSTITUTE(ADDRESS(1,
IFERROR(COLUMN(INDEX(INDIRECT("数出表_Excel!B"&amp;$I32&amp;":T"&amp;$I32&amp;""),1,MATCH(TEXT(G32,0),INDIRECT("数出表_Excel!B"&amp;$I32&amp;":T"&amp;$I32&amp;""),0))),""),4),"1",""),
"")
&amp;"3")),"")</f>
        <v/>
      </c>
    </row>
    <row r="33" spans="9:15">
      <c r="I33" t="str">
        <f>IF(A33&lt;&gt;"",MATCH(A33,数出表_Excel!A:A,0),"")</f>
        <v/>
      </c>
      <c r="J33" t="str" cm="1">
        <f t="array" aca="1" ref="J33" ca="1">IFERROR(IF(OR(COUNTIF(INDIRECT("数出表_Excel!"&amp;
IFERROR(
SUBSTITUTE(ADDRESS(1,
IFERROR(COLUMN(INDEX(INDIRECT("数出表_Excel!B"&amp;$I33-1&amp;":T"&amp;$I33-1&amp;""),1,MATCH(TEXT(B33,0),INDIRECT("数出表_Excel!B"&amp;$I33-1&amp;":T"&amp;$I33-1&amp;""),0))),""),4),"1",""),
"")
&amp;"3"),"*キャラ*"),
COUNTIF(INDIRECT("数出表_Excel!"&amp;
IFERROR(
SUBSTITUTE(ADDRESS(1,
IFERROR(COLUMN(INDEX(INDIRECT("数出表_Excel!B"&amp;$I33-1&amp;":T"&amp;$I33-1&amp;""),1,MATCH(TEXT(B33,0),INDIRECT("数出表_Excel!B"&amp;$I33-1&amp;":T"&amp;$I33-1&amp;""),0))),""),4),"1",""),
"")
&amp;"3"),"*赤*")),
INDIRECT("数出表_Excel!"&amp;
IFERROR(
SUBSTITUTE(ADDRESS(1,
IFERROR(COLUMN(INDEX(INDIRECT("数出表_Excel!B"&amp;$I33-1&amp;":T"&amp;$I33-1&amp;""),1,MATCH(TEXT(B33,0),INDIRECT("数出表_Excel!B"&amp;$I33-1&amp;":T"&amp;$I33-1&amp;""),0))),""),4),"1",""),
"")
&amp;"3")
&amp;"　"&amp;INDIRECT("数出表_Excel!"&amp;
IFERROR(
SUBSTITUTE(ADDRESS(1,
IFERROR(COLUMN(INDEX(INDIRECT("数出表_Excel!B"&amp;$I33-1&amp;":T"&amp;$I33-1&amp;""),1,MATCH(TEXT(B33,0),INDIRECT("数出表_Excel!B"&amp;$I33-1&amp;":T"&amp;$I33-1&amp;""),0))),""),4),"1",""),
"")
&amp;"4")
&amp;INDIRECT("数出表_Excel!"&amp;
IFERROR(
SUBSTITUTE(ADDRESS(1,
IFERROR(COLUMN(INDEX(INDIRECT("数出表_Excel!B"&amp;$I33-1&amp;":T"&amp;$I33-1&amp;""),1,MATCH(TEXT(B33,0),INDIRECT("数出表_Excel!B"&amp;$I33-1&amp;":T"&amp;$I33-1&amp;""),0))),""),4),"1",""),
"")
&amp;"5"),
INDIRECT("数出表_Excel!"&amp;
IFERROR(
SUBSTITUTE(ADDRESS(1,
IFERROR(COLUMN(INDEX(INDIRECT("数出表_Excel!B"&amp;$I33-1&amp;":T"&amp;$I33-1&amp;""),1,MATCH(TEXT(B33,0),INDIRECT("数出表_Excel!B"&amp;$I33-1&amp;":T"&amp;$I33-1&amp;""),0))),""),4),"1",""),
"")
&amp;"3")),"")</f>
        <v/>
      </c>
      <c r="K33" t="str" cm="1">
        <f t="array" aca="1" ref="K33" ca="1">IFERROR(IF(OR(COUNTIF(INDIRECT("数出表_Excel!"&amp;
IFERROR(
SUBSTITUTE(ADDRESS(1,
IFERROR(COLUMN(INDEX(INDIRECT("数出表_Excel!B"&amp;$I33-1&amp;":T"&amp;$I33-1&amp;""),1,MATCH(TEXT(C33,0),INDIRECT("数出表_Excel!B"&amp;$I33-1&amp;":T"&amp;$I33-1&amp;""),0))),""),4),"1",""),
"")
&amp;"3"),"*キャラ*"),
COUNTIF(INDIRECT("数出表_Excel!"&amp;
IFERROR(
SUBSTITUTE(ADDRESS(1,
IFERROR(COLUMN(INDEX(INDIRECT("数出表_Excel!B"&amp;$I33-1&amp;":T"&amp;$I33-1&amp;""),1,MATCH(TEXT(C33,0),INDIRECT("数出表_Excel!B"&amp;$I33-1&amp;":T"&amp;$I33-1&amp;""),0))),""),4),"1",""),
"")
&amp;"3"),"*赤*")),
INDIRECT("数出表_Excel!"&amp;
IFERROR(
SUBSTITUTE(ADDRESS(1,
IFERROR(COLUMN(INDEX(INDIRECT("数出表_Excel!B"&amp;$I33-1&amp;":T"&amp;$I33-1&amp;""),1,MATCH(TEXT(C33,0),INDIRECT("数出表_Excel!B"&amp;$I33-1&amp;":T"&amp;$I33-1&amp;""),0))),""),4),"1",""),
"")
&amp;"3")
&amp;"　"&amp;INDIRECT("数出表_Excel!"&amp;
IFERROR(
SUBSTITUTE(ADDRESS(1,
IFERROR(COLUMN(INDEX(INDIRECT("数出表_Excel!B"&amp;$I33-1&amp;":T"&amp;$I33-1&amp;""),1,MATCH(TEXT(C33,0),INDIRECT("数出表_Excel!B"&amp;$I33-1&amp;":T"&amp;$I33-1&amp;""),0))),""),4),"1",""),
"")
&amp;"4")
&amp;INDIRECT("数出表_Excel!"&amp;
IFERROR(
SUBSTITUTE(ADDRESS(1,
IFERROR(COLUMN(INDEX(INDIRECT("数出表_Excel!B"&amp;$I33-1&amp;":T"&amp;$I33-1&amp;""),1,MATCH(TEXT(C33,0),INDIRECT("数出表_Excel!B"&amp;$I33-1&amp;":T"&amp;$I33-1&amp;""),0))),""),4),"1",""),
"")
&amp;"5"),
INDIRECT("数出表_Excel!"&amp;
IFERROR(
SUBSTITUTE(ADDRESS(1,
IFERROR(COLUMN(INDEX(INDIRECT("数出表_Excel!B"&amp;$I33-1&amp;":T"&amp;$I33-1&amp;""),1,MATCH(TEXT(C33,0),INDIRECT("数出表_Excel!B"&amp;$I33-1&amp;":T"&amp;$I33-1&amp;""),0))),""),4),"1",""),
"")
&amp;"3")),"")</f>
        <v/>
      </c>
      <c r="L33" t="str" cm="1">
        <f t="array" aca="1" ref="L33" ca="1">IFERROR(IF(OR(COUNTIF(INDIRECT("数出表_Excel!"&amp;
IFERROR(
SUBSTITUTE(ADDRESS(1,
IFERROR(COLUMN(INDEX(INDIRECT("数出表_Excel!B"&amp;$I33-1&amp;":T"&amp;$I33-1&amp;""),1,MATCH(TEXT(D33,0),INDIRECT("数出表_Excel!B"&amp;$I33-1&amp;":T"&amp;$I33-1&amp;""),0))),""),4),"1",""),
"")
&amp;"3"),"*キャラ*"),
COUNTIF(INDIRECT("数出表_Excel!"&amp;
IFERROR(
SUBSTITUTE(ADDRESS(1,
IFERROR(COLUMN(INDEX(INDIRECT("数出表_Excel!B"&amp;$I33-1&amp;":T"&amp;$I33-1&amp;""),1,MATCH(TEXT(D33,0),INDIRECT("数出表_Excel!B"&amp;$I33-1&amp;":T"&amp;$I33-1&amp;""),0))),""),4),"1",""),
"")
&amp;"3"),"*赤*")),
INDIRECT("数出表_Excel!"&amp;
IFERROR(
SUBSTITUTE(ADDRESS(1,
IFERROR(COLUMN(INDEX(INDIRECT("数出表_Excel!B"&amp;$I33-1&amp;":T"&amp;$I33-1&amp;""),1,MATCH(TEXT(D33,0),INDIRECT("数出表_Excel!B"&amp;$I33-1&amp;":T"&amp;$I33-1&amp;""),0))),""),4),"1",""),
"")
&amp;"3")
&amp;"　"&amp;INDIRECT("数出表_Excel!"&amp;
IFERROR(
SUBSTITUTE(ADDRESS(1,
IFERROR(COLUMN(INDEX(INDIRECT("数出表_Excel!B"&amp;$I33-1&amp;":T"&amp;$I33-1&amp;""),1,MATCH(TEXT(D33,0),INDIRECT("数出表_Excel!B"&amp;$I33-1&amp;":T"&amp;$I33-1&amp;""),0))),""),4),"1",""),
"")
&amp;"4")
&amp;INDIRECT("数出表_Excel!"&amp;
IFERROR(
SUBSTITUTE(ADDRESS(1,
IFERROR(COLUMN(INDEX(INDIRECT("数出表_Excel!B"&amp;$I33-1&amp;":T"&amp;$I33-1&amp;""),1,MATCH(TEXT(D33,0),INDIRECT("数出表_Excel!B"&amp;$I33-1&amp;":T"&amp;$I33-1&amp;""),0))),""),4),"1",""),
"")
&amp;"5"),
INDIRECT("数出表_Excel!"&amp;
IFERROR(
SUBSTITUTE(ADDRESS(1,
IFERROR(COLUMN(INDEX(INDIRECT("数出表_Excel!B"&amp;$I33-1&amp;":T"&amp;$I33-1&amp;""),1,MATCH(TEXT(D33,0),INDIRECT("数出表_Excel!B"&amp;$I33-1&amp;":T"&amp;$I33-1&amp;""),0))),""),4),"1",""),
"")
&amp;"3")),"")</f>
        <v/>
      </c>
      <c r="M33" t="str" cm="1">
        <f t="array" aca="1" ref="M33" ca="1">IFERROR(IF(OR(COUNTIF(INDIRECT("数出表_Excel!"&amp;
IFERROR(
SUBSTITUTE(ADDRESS(1,
IFERROR(COLUMN(INDEX(INDIRECT("数出表_Excel!B"&amp;$I33&amp;":T"&amp;$I33&amp;""),1,MATCH(TEXT(E33,0),INDIRECT("数出表_Excel!B"&amp;$I33&amp;":T"&amp;$I33&amp;""),0))),""),4),"1",""),
"")
&amp;"3"),"*キャラ*"),
COUNTIF(INDIRECT("数出表_Excel!"&amp;
IFERROR(
SUBSTITUTE(ADDRESS(1,
IFERROR(COLUMN(INDEX(INDIRECT("数出表_Excel!B"&amp;$I33&amp;":T"&amp;$I33&amp;""),1,MATCH(TEXT(E33,0),INDIRECT("数出表_Excel!B"&amp;$I33&amp;":T"&amp;$I33&amp;""),0))),""),4),"1",""),
"")
&amp;"3"),"*赤*")),
INDIRECT("数出表_Excel!"&amp;
IFERROR(
SUBSTITUTE(ADDRESS(1,
IFERROR(COLUMN(INDEX(INDIRECT("数出表_Excel!B"&amp;$I33&amp;":T"&amp;$I33&amp;""),1,MATCH(TEXT(E33,0),INDIRECT("数出表_Excel!B"&amp;$I33&amp;":T"&amp;$I33&amp;""),0))),""),4),"1",""),
"")
&amp;"3")
&amp;"　"&amp;INDIRECT("数出表_Excel!"&amp;
IFERROR(
SUBSTITUTE(ADDRESS(1,
IFERROR(COLUMN(INDEX(INDIRECT("数出表_Excel!B"&amp;$I33&amp;":T"&amp;$I33&amp;""),1,MATCH(TEXT(E33,0),INDIRECT("数出表_Excel!B"&amp;$I33&amp;":T"&amp;$I33&amp;""),0))),""),4),"1",""),
"")
&amp;"4")
&amp;INDIRECT("数出表_Excel!"&amp;
IFERROR(
SUBSTITUTE(ADDRESS(1,
IFERROR(COLUMN(INDEX(INDIRECT("数出表_Excel!B"&amp;$I33&amp;":T"&amp;$I33&amp;""),1,MATCH(TEXT(E33,0),INDIRECT("数出表_Excel!B"&amp;$I33&amp;":T"&amp;$I33&amp;""),0))),""),4),"1",""),
"")
&amp;"5"),
INDIRECT("数出表_Excel!"&amp;
IFERROR(
SUBSTITUTE(ADDRESS(1,
IFERROR(COLUMN(INDEX(INDIRECT("数出表_Excel!B"&amp;$I33&amp;":T"&amp;$I33&amp;""),1,MATCH(TEXT(E33,0),INDIRECT("数出表_Excel!B"&amp;$I33&amp;":T"&amp;$I33&amp;""),0))),""),4),"1",""),
"")
&amp;"3")),"")</f>
        <v/>
      </c>
      <c r="N33" t="str" cm="1">
        <f t="array" aca="1" ref="N33" ca="1">IFERROR(IF(OR(COUNTIF(INDIRECT("数出表_Excel!"&amp;
IFERROR(
SUBSTITUTE(ADDRESS(1,
IFERROR(COLUMN(INDEX(INDIRECT("数出表_Excel!B"&amp;$I33&amp;":T"&amp;$I33&amp;""),1,MATCH(TEXT(F33,0),INDIRECT("数出表_Excel!B"&amp;$I33&amp;":T"&amp;$I33&amp;""),0))),""),4),"1",""),
"")
&amp;"3"),"*キャラ*"),
COUNTIF(INDIRECT("数出表_Excel!"&amp;
IFERROR(
SUBSTITUTE(ADDRESS(1,
IFERROR(COLUMN(INDEX(INDIRECT("数出表_Excel!B"&amp;$I33&amp;":T"&amp;$I33&amp;""),1,MATCH(TEXT(F33,0),INDIRECT("数出表_Excel!B"&amp;$I33&amp;":T"&amp;$I33&amp;""),0))),""),4),"1",""),
"")
&amp;"3"),"*赤*")),
INDIRECT("数出表_Excel!"&amp;
IFERROR(
SUBSTITUTE(ADDRESS(1,
IFERROR(COLUMN(INDEX(INDIRECT("数出表_Excel!B"&amp;$I33&amp;":T"&amp;$I33&amp;""),1,MATCH(TEXT(F33,0),INDIRECT("数出表_Excel!B"&amp;$I33&amp;":T"&amp;$I33&amp;""),0))),""),4),"1",""),
"")
&amp;"3")
&amp;"　"&amp;INDIRECT("数出表_Excel!"&amp;
IFERROR(
SUBSTITUTE(ADDRESS(1,
IFERROR(COLUMN(INDEX(INDIRECT("数出表_Excel!B"&amp;$I33&amp;":T"&amp;$I33&amp;""),1,MATCH(TEXT(F33,0),INDIRECT("数出表_Excel!B"&amp;$I33&amp;":T"&amp;$I33&amp;""),0))),""),4),"1",""),
"")
&amp;"4")
&amp;INDIRECT("数出表_Excel!"&amp;
IFERROR(
SUBSTITUTE(ADDRESS(1,
IFERROR(COLUMN(INDEX(INDIRECT("数出表_Excel!B"&amp;$I33&amp;":T"&amp;$I33&amp;""),1,MATCH(TEXT(F33,0),INDIRECT("数出表_Excel!B"&amp;$I33&amp;":T"&amp;$I33&amp;""),0))),""),4),"1",""),
"")
&amp;"5"),
INDIRECT("数出表_Excel!"&amp;
IFERROR(
SUBSTITUTE(ADDRESS(1,
IFERROR(COLUMN(INDEX(INDIRECT("数出表_Excel!B"&amp;$I33&amp;":T"&amp;$I33&amp;""),1,MATCH(TEXT(F33,0),INDIRECT("数出表_Excel!B"&amp;$I33&amp;":T"&amp;$I33&amp;""),0))),""),4),"1",""),
"")
&amp;"3")),"")</f>
        <v/>
      </c>
      <c r="O33" t="str" cm="1">
        <f t="array" aca="1" ref="O33" ca="1">IFERROR(IF(OR(COUNTIF(INDIRECT("数出表_Excel!"&amp;
IFERROR(
SUBSTITUTE(ADDRESS(1,
IFERROR(COLUMN(INDEX(INDIRECT("数出表_Excel!B"&amp;$I33&amp;":T"&amp;$I33&amp;""),1,MATCH(TEXT(G33,0),INDIRECT("数出表_Excel!B"&amp;$I33&amp;":T"&amp;$I33&amp;""),0))),""),4),"1",""),
"")
&amp;"3"),"*キャラ*"),
COUNTIF(INDIRECT("数出表_Excel!"&amp;
IFERROR(
SUBSTITUTE(ADDRESS(1,
IFERROR(COLUMN(INDEX(INDIRECT("数出表_Excel!B"&amp;$I33&amp;":T"&amp;$I33&amp;""),1,MATCH(TEXT(G33,0),INDIRECT("数出表_Excel!B"&amp;$I33&amp;":T"&amp;$I33&amp;""),0))),""),4),"1",""),
"")
&amp;"3"),"*赤*")),
INDIRECT("数出表_Excel!"&amp;
IFERROR(
SUBSTITUTE(ADDRESS(1,
IFERROR(COLUMN(INDEX(INDIRECT("数出表_Excel!B"&amp;$I33&amp;":T"&amp;$I33&amp;""),1,MATCH(TEXT(G33,0),INDIRECT("数出表_Excel!B"&amp;$I33&amp;":T"&amp;$I33&amp;""),0))),""),4),"1",""),
"")
&amp;"3")
&amp;"　"&amp;INDIRECT("数出表_Excel!"&amp;
IFERROR(
SUBSTITUTE(ADDRESS(1,
IFERROR(COLUMN(INDEX(INDIRECT("数出表_Excel!B"&amp;$I33&amp;":T"&amp;$I33&amp;""),1,MATCH(TEXT(G33,0),INDIRECT("数出表_Excel!B"&amp;$I33&amp;":T"&amp;$I33&amp;""),0))),""),4),"1",""),
"")
&amp;"4")
&amp;INDIRECT("数出表_Excel!"&amp;
IFERROR(
SUBSTITUTE(ADDRESS(1,
IFERROR(COLUMN(INDEX(INDIRECT("数出表_Excel!B"&amp;$I33&amp;":T"&amp;$I33&amp;""),1,MATCH(TEXT(G33,0),INDIRECT("数出表_Excel!B"&amp;$I33&amp;":T"&amp;$I33&amp;""),0))),""),4),"1",""),
"")
&amp;"5"),
INDIRECT("数出表_Excel!"&amp;
IFERROR(
SUBSTITUTE(ADDRESS(1,
IFERROR(COLUMN(INDEX(INDIRECT("数出表_Excel!B"&amp;$I33&amp;":T"&amp;$I33&amp;""),1,MATCH(TEXT(G33,0),INDIRECT("数出表_Excel!B"&amp;$I33&amp;":T"&amp;$I33&amp;""),0))),""),4),"1",""),
"")
&amp;"3")),"")</f>
        <v/>
      </c>
    </row>
    <row r="34" spans="9:15">
      <c r="I34" t="str">
        <f>IF(A34&lt;&gt;"",MATCH(A34,数出表_Excel!A:A,0),"")</f>
        <v/>
      </c>
      <c r="J34" t="str" cm="1">
        <f t="array" aca="1" ref="J34" ca="1">IFERROR(IF(OR(COUNTIF(INDIRECT("数出表_Excel!"&amp;
IFERROR(
SUBSTITUTE(ADDRESS(1,
IFERROR(COLUMN(INDEX(INDIRECT("数出表_Excel!B"&amp;$I34-1&amp;":T"&amp;$I34-1&amp;""),1,MATCH(TEXT(B34,0),INDIRECT("数出表_Excel!B"&amp;$I34-1&amp;":T"&amp;$I34-1&amp;""),0))),""),4),"1",""),
"")
&amp;"3"),"*キャラ*"),
COUNTIF(INDIRECT("数出表_Excel!"&amp;
IFERROR(
SUBSTITUTE(ADDRESS(1,
IFERROR(COLUMN(INDEX(INDIRECT("数出表_Excel!B"&amp;$I34-1&amp;":T"&amp;$I34-1&amp;""),1,MATCH(TEXT(B34,0),INDIRECT("数出表_Excel!B"&amp;$I34-1&amp;":T"&amp;$I34-1&amp;""),0))),""),4),"1",""),
"")
&amp;"3"),"*赤*")),
INDIRECT("数出表_Excel!"&amp;
IFERROR(
SUBSTITUTE(ADDRESS(1,
IFERROR(COLUMN(INDEX(INDIRECT("数出表_Excel!B"&amp;$I34-1&amp;":T"&amp;$I34-1&amp;""),1,MATCH(TEXT(B34,0),INDIRECT("数出表_Excel!B"&amp;$I34-1&amp;":T"&amp;$I34-1&amp;""),0))),""),4),"1",""),
"")
&amp;"3")
&amp;"　"&amp;INDIRECT("数出表_Excel!"&amp;
IFERROR(
SUBSTITUTE(ADDRESS(1,
IFERROR(COLUMN(INDEX(INDIRECT("数出表_Excel!B"&amp;$I34-1&amp;":T"&amp;$I34-1&amp;""),1,MATCH(TEXT(B34,0),INDIRECT("数出表_Excel!B"&amp;$I34-1&amp;":T"&amp;$I34-1&amp;""),0))),""),4),"1",""),
"")
&amp;"4")
&amp;INDIRECT("数出表_Excel!"&amp;
IFERROR(
SUBSTITUTE(ADDRESS(1,
IFERROR(COLUMN(INDEX(INDIRECT("数出表_Excel!B"&amp;$I34-1&amp;":T"&amp;$I34-1&amp;""),1,MATCH(TEXT(B34,0),INDIRECT("数出表_Excel!B"&amp;$I34-1&amp;":T"&amp;$I34-1&amp;""),0))),""),4),"1",""),
"")
&amp;"5"),
INDIRECT("数出表_Excel!"&amp;
IFERROR(
SUBSTITUTE(ADDRESS(1,
IFERROR(COLUMN(INDEX(INDIRECT("数出表_Excel!B"&amp;$I34-1&amp;":T"&amp;$I34-1&amp;""),1,MATCH(TEXT(B34,0),INDIRECT("数出表_Excel!B"&amp;$I34-1&amp;":T"&amp;$I34-1&amp;""),0))),""),4),"1",""),
"")
&amp;"3")),"")</f>
        <v/>
      </c>
      <c r="K34" t="str" cm="1">
        <f t="array" aca="1" ref="K34" ca="1">IFERROR(IF(OR(COUNTIF(INDIRECT("数出表_Excel!"&amp;
IFERROR(
SUBSTITUTE(ADDRESS(1,
IFERROR(COLUMN(INDEX(INDIRECT("数出表_Excel!B"&amp;$I34-1&amp;":T"&amp;$I34-1&amp;""),1,MATCH(TEXT(C34,0),INDIRECT("数出表_Excel!B"&amp;$I34-1&amp;":T"&amp;$I34-1&amp;""),0))),""),4),"1",""),
"")
&amp;"3"),"*キャラ*"),
COUNTIF(INDIRECT("数出表_Excel!"&amp;
IFERROR(
SUBSTITUTE(ADDRESS(1,
IFERROR(COLUMN(INDEX(INDIRECT("数出表_Excel!B"&amp;$I34-1&amp;":T"&amp;$I34-1&amp;""),1,MATCH(TEXT(C34,0),INDIRECT("数出表_Excel!B"&amp;$I34-1&amp;":T"&amp;$I34-1&amp;""),0))),""),4),"1",""),
"")
&amp;"3"),"*赤*")),
INDIRECT("数出表_Excel!"&amp;
IFERROR(
SUBSTITUTE(ADDRESS(1,
IFERROR(COLUMN(INDEX(INDIRECT("数出表_Excel!B"&amp;$I34-1&amp;":T"&amp;$I34-1&amp;""),1,MATCH(TEXT(C34,0),INDIRECT("数出表_Excel!B"&amp;$I34-1&amp;":T"&amp;$I34-1&amp;""),0))),""),4),"1",""),
"")
&amp;"3")
&amp;"　"&amp;INDIRECT("数出表_Excel!"&amp;
IFERROR(
SUBSTITUTE(ADDRESS(1,
IFERROR(COLUMN(INDEX(INDIRECT("数出表_Excel!B"&amp;$I34-1&amp;":T"&amp;$I34-1&amp;""),1,MATCH(TEXT(C34,0),INDIRECT("数出表_Excel!B"&amp;$I34-1&amp;":T"&amp;$I34-1&amp;""),0))),""),4),"1",""),
"")
&amp;"4")
&amp;INDIRECT("数出表_Excel!"&amp;
IFERROR(
SUBSTITUTE(ADDRESS(1,
IFERROR(COLUMN(INDEX(INDIRECT("数出表_Excel!B"&amp;$I34-1&amp;":T"&amp;$I34-1&amp;""),1,MATCH(TEXT(C34,0),INDIRECT("数出表_Excel!B"&amp;$I34-1&amp;":T"&amp;$I34-1&amp;""),0))),""),4),"1",""),
"")
&amp;"5"),
INDIRECT("数出表_Excel!"&amp;
IFERROR(
SUBSTITUTE(ADDRESS(1,
IFERROR(COLUMN(INDEX(INDIRECT("数出表_Excel!B"&amp;$I34-1&amp;":T"&amp;$I34-1&amp;""),1,MATCH(TEXT(C34,0),INDIRECT("数出表_Excel!B"&amp;$I34-1&amp;":T"&amp;$I34-1&amp;""),0))),""),4),"1",""),
"")
&amp;"3")),"")</f>
        <v/>
      </c>
      <c r="L34" t="str" cm="1">
        <f t="array" aca="1" ref="L34" ca="1">IFERROR(IF(OR(COUNTIF(INDIRECT("数出表_Excel!"&amp;
IFERROR(
SUBSTITUTE(ADDRESS(1,
IFERROR(COLUMN(INDEX(INDIRECT("数出表_Excel!B"&amp;$I34-1&amp;":T"&amp;$I34-1&amp;""),1,MATCH(TEXT(D34,0),INDIRECT("数出表_Excel!B"&amp;$I34-1&amp;":T"&amp;$I34-1&amp;""),0))),""),4),"1",""),
"")
&amp;"3"),"*キャラ*"),
COUNTIF(INDIRECT("数出表_Excel!"&amp;
IFERROR(
SUBSTITUTE(ADDRESS(1,
IFERROR(COLUMN(INDEX(INDIRECT("数出表_Excel!B"&amp;$I34-1&amp;":T"&amp;$I34-1&amp;""),1,MATCH(TEXT(D34,0),INDIRECT("数出表_Excel!B"&amp;$I34-1&amp;":T"&amp;$I34-1&amp;""),0))),""),4),"1",""),
"")
&amp;"3"),"*赤*")),
INDIRECT("数出表_Excel!"&amp;
IFERROR(
SUBSTITUTE(ADDRESS(1,
IFERROR(COLUMN(INDEX(INDIRECT("数出表_Excel!B"&amp;$I34-1&amp;":T"&amp;$I34-1&amp;""),1,MATCH(TEXT(D34,0),INDIRECT("数出表_Excel!B"&amp;$I34-1&amp;":T"&amp;$I34-1&amp;""),0))),""),4),"1",""),
"")
&amp;"3")
&amp;"　"&amp;INDIRECT("数出表_Excel!"&amp;
IFERROR(
SUBSTITUTE(ADDRESS(1,
IFERROR(COLUMN(INDEX(INDIRECT("数出表_Excel!B"&amp;$I34-1&amp;":T"&amp;$I34-1&amp;""),1,MATCH(TEXT(D34,0),INDIRECT("数出表_Excel!B"&amp;$I34-1&amp;":T"&amp;$I34-1&amp;""),0))),""),4),"1",""),
"")
&amp;"4")
&amp;INDIRECT("数出表_Excel!"&amp;
IFERROR(
SUBSTITUTE(ADDRESS(1,
IFERROR(COLUMN(INDEX(INDIRECT("数出表_Excel!B"&amp;$I34-1&amp;":T"&amp;$I34-1&amp;""),1,MATCH(TEXT(D34,0),INDIRECT("数出表_Excel!B"&amp;$I34-1&amp;":T"&amp;$I34-1&amp;""),0))),""),4),"1",""),
"")
&amp;"5"),
INDIRECT("数出表_Excel!"&amp;
IFERROR(
SUBSTITUTE(ADDRESS(1,
IFERROR(COLUMN(INDEX(INDIRECT("数出表_Excel!B"&amp;$I34-1&amp;":T"&amp;$I34-1&amp;""),1,MATCH(TEXT(D34,0),INDIRECT("数出表_Excel!B"&amp;$I34-1&amp;":T"&amp;$I34-1&amp;""),0))),""),4),"1",""),
"")
&amp;"3")),"")</f>
        <v/>
      </c>
      <c r="M34" t="str" cm="1">
        <f t="array" aca="1" ref="M34" ca="1">IFERROR(IF(OR(COUNTIF(INDIRECT("数出表_Excel!"&amp;
IFERROR(
SUBSTITUTE(ADDRESS(1,
IFERROR(COLUMN(INDEX(INDIRECT("数出表_Excel!B"&amp;$I34&amp;":T"&amp;$I34&amp;""),1,MATCH(TEXT(E34,0),INDIRECT("数出表_Excel!B"&amp;$I34&amp;":T"&amp;$I34&amp;""),0))),""),4),"1",""),
"")
&amp;"3"),"*キャラ*"),
COUNTIF(INDIRECT("数出表_Excel!"&amp;
IFERROR(
SUBSTITUTE(ADDRESS(1,
IFERROR(COLUMN(INDEX(INDIRECT("数出表_Excel!B"&amp;$I34&amp;":T"&amp;$I34&amp;""),1,MATCH(TEXT(E34,0),INDIRECT("数出表_Excel!B"&amp;$I34&amp;":T"&amp;$I34&amp;""),0))),""),4),"1",""),
"")
&amp;"3"),"*赤*")),
INDIRECT("数出表_Excel!"&amp;
IFERROR(
SUBSTITUTE(ADDRESS(1,
IFERROR(COLUMN(INDEX(INDIRECT("数出表_Excel!B"&amp;$I34&amp;":T"&amp;$I34&amp;""),1,MATCH(TEXT(E34,0),INDIRECT("数出表_Excel!B"&amp;$I34&amp;":T"&amp;$I34&amp;""),0))),""),4),"1",""),
"")
&amp;"3")
&amp;"　"&amp;INDIRECT("数出表_Excel!"&amp;
IFERROR(
SUBSTITUTE(ADDRESS(1,
IFERROR(COLUMN(INDEX(INDIRECT("数出表_Excel!B"&amp;$I34&amp;":T"&amp;$I34&amp;""),1,MATCH(TEXT(E34,0),INDIRECT("数出表_Excel!B"&amp;$I34&amp;":T"&amp;$I34&amp;""),0))),""),4),"1",""),
"")
&amp;"4")
&amp;INDIRECT("数出表_Excel!"&amp;
IFERROR(
SUBSTITUTE(ADDRESS(1,
IFERROR(COLUMN(INDEX(INDIRECT("数出表_Excel!B"&amp;$I34&amp;":T"&amp;$I34&amp;""),1,MATCH(TEXT(E34,0),INDIRECT("数出表_Excel!B"&amp;$I34&amp;":T"&amp;$I34&amp;""),0))),""),4),"1",""),
"")
&amp;"5"),
INDIRECT("数出表_Excel!"&amp;
IFERROR(
SUBSTITUTE(ADDRESS(1,
IFERROR(COLUMN(INDEX(INDIRECT("数出表_Excel!B"&amp;$I34&amp;":T"&amp;$I34&amp;""),1,MATCH(TEXT(E34,0),INDIRECT("数出表_Excel!B"&amp;$I34&amp;":T"&amp;$I34&amp;""),0))),""),4),"1",""),
"")
&amp;"3")),"")</f>
        <v/>
      </c>
      <c r="N34" t="str" cm="1">
        <f t="array" aca="1" ref="N34" ca="1">IFERROR(IF(OR(COUNTIF(INDIRECT("数出表_Excel!"&amp;
IFERROR(
SUBSTITUTE(ADDRESS(1,
IFERROR(COLUMN(INDEX(INDIRECT("数出表_Excel!B"&amp;$I34&amp;":T"&amp;$I34&amp;""),1,MATCH(TEXT(F34,0),INDIRECT("数出表_Excel!B"&amp;$I34&amp;":T"&amp;$I34&amp;""),0))),""),4),"1",""),
"")
&amp;"3"),"*キャラ*"),
COUNTIF(INDIRECT("数出表_Excel!"&amp;
IFERROR(
SUBSTITUTE(ADDRESS(1,
IFERROR(COLUMN(INDEX(INDIRECT("数出表_Excel!B"&amp;$I34&amp;":T"&amp;$I34&amp;""),1,MATCH(TEXT(F34,0),INDIRECT("数出表_Excel!B"&amp;$I34&amp;":T"&amp;$I34&amp;""),0))),""),4),"1",""),
"")
&amp;"3"),"*赤*")),
INDIRECT("数出表_Excel!"&amp;
IFERROR(
SUBSTITUTE(ADDRESS(1,
IFERROR(COLUMN(INDEX(INDIRECT("数出表_Excel!B"&amp;$I34&amp;":T"&amp;$I34&amp;""),1,MATCH(TEXT(F34,0),INDIRECT("数出表_Excel!B"&amp;$I34&amp;":T"&amp;$I34&amp;""),0))),""),4),"1",""),
"")
&amp;"3")
&amp;"　"&amp;INDIRECT("数出表_Excel!"&amp;
IFERROR(
SUBSTITUTE(ADDRESS(1,
IFERROR(COLUMN(INDEX(INDIRECT("数出表_Excel!B"&amp;$I34&amp;":T"&amp;$I34&amp;""),1,MATCH(TEXT(F34,0),INDIRECT("数出表_Excel!B"&amp;$I34&amp;":T"&amp;$I34&amp;""),0))),""),4),"1",""),
"")
&amp;"4")
&amp;INDIRECT("数出表_Excel!"&amp;
IFERROR(
SUBSTITUTE(ADDRESS(1,
IFERROR(COLUMN(INDEX(INDIRECT("数出表_Excel!B"&amp;$I34&amp;":T"&amp;$I34&amp;""),1,MATCH(TEXT(F34,0),INDIRECT("数出表_Excel!B"&amp;$I34&amp;":T"&amp;$I34&amp;""),0))),""),4),"1",""),
"")
&amp;"5"),
INDIRECT("数出表_Excel!"&amp;
IFERROR(
SUBSTITUTE(ADDRESS(1,
IFERROR(COLUMN(INDEX(INDIRECT("数出表_Excel!B"&amp;$I34&amp;":T"&amp;$I34&amp;""),1,MATCH(TEXT(F34,0),INDIRECT("数出表_Excel!B"&amp;$I34&amp;":T"&amp;$I34&amp;""),0))),""),4),"1",""),
"")
&amp;"3")),"")</f>
        <v/>
      </c>
      <c r="O34" t="str" cm="1">
        <f t="array" aca="1" ref="O34" ca="1">IFERROR(IF(OR(COUNTIF(INDIRECT("数出表_Excel!"&amp;
IFERROR(
SUBSTITUTE(ADDRESS(1,
IFERROR(COLUMN(INDEX(INDIRECT("数出表_Excel!B"&amp;$I34&amp;":T"&amp;$I34&amp;""),1,MATCH(TEXT(G34,0),INDIRECT("数出表_Excel!B"&amp;$I34&amp;":T"&amp;$I34&amp;""),0))),""),4),"1",""),
"")
&amp;"3"),"*キャラ*"),
COUNTIF(INDIRECT("数出表_Excel!"&amp;
IFERROR(
SUBSTITUTE(ADDRESS(1,
IFERROR(COLUMN(INDEX(INDIRECT("数出表_Excel!B"&amp;$I34&amp;":T"&amp;$I34&amp;""),1,MATCH(TEXT(G34,0),INDIRECT("数出表_Excel!B"&amp;$I34&amp;":T"&amp;$I34&amp;""),0))),""),4),"1",""),
"")
&amp;"3"),"*赤*")),
INDIRECT("数出表_Excel!"&amp;
IFERROR(
SUBSTITUTE(ADDRESS(1,
IFERROR(COLUMN(INDEX(INDIRECT("数出表_Excel!B"&amp;$I34&amp;":T"&amp;$I34&amp;""),1,MATCH(TEXT(G34,0),INDIRECT("数出表_Excel!B"&amp;$I34&amp;":T"&amp;$I34&amp;""),0))),""),4),"1",""),
"")
&amp;"3")
&amp;"　"&amp;INDIRECT("数出表_Excel!"&amp;
IFERROR(
SUBSTITUTE(ADDRESS(1,
IFERROR(COLUMN(INDEX(INDIRECT("数出表_Excel!B"&amp;$I34&amp;":T"&amp;$I34&amp;""),1,MATCH(TEXT(G34,0),INDIRECT("数出表_Excel!B"&amp;$I34&amp;":T"&amp;$I34&amp;""),0))),""),4),"1",""),
"")
&amp;"4")
&amp;INDIRECT("数出表_Excel!"&amp;
IFERROR(
SUBSTITUTE(ADDRESS(1,
IFERROR(COLUMN(INDEX(INDIRECT("数出表_Excel!B"&amp;$I34&amp;":T"&amp;$I34&amp;""),1,MATCH(TEXT(G34,0),INDIRECT("数出表_Excel!B"&amp;$I34&amp;":T"&amp;$I34&amp;""),0))),""),4),"1",""),
"")
&amp;"5"),
INDIRECT("数出表_Excel!"&amp;
IFERROR(
SUBSTITUTE(ADDRESS(1,
IFERROR(COLUMN(INDEX(INDIRECT("数出表_Excel!B"&amp;$I34&amp;":T"&amp;$I34&amp;""),1,MATCH(TEXT(G34,0),INDIRECT("数出表_Excel!B"&amp;$I34&amp;":T"&amp;$I34&amp;""),0))),""),4),"1",""),
"")
&amp;"3")),"")</f>
        <v/>
      </c>
    </row>
    <row r="35" spans="9:15">
      <c r="I35" t="str">
        <f>IF(A35&lt;&gt;"",MATCH(A35,数出表_Excel!A:A,0),"")</f>
        <v/>
      </c>
      <c r="J35" t="str" cm="1">
        <f t="array" aca="1" ref="J35" ca="1">IFERROR(IF(OR(COUNTIF(INDIRECT("数出表_Excel!"&amp;
IFERROR(
SUBSTITUTE(ADDRESS(1,
IFERROR(COLUMN(INDEX(INDIRECT("数出表_Excel!B"&amp;$I35-1&amp;":T"&amp;$I35-1&amp;""),1,MATCH(TEXT(B35,0),INDIRECT("数出表_Excel!B"&amp;$I35-1&amp;":T"&amp;$I35-1&amp;""),0))),""),4),"1",""),
"")
&amp;"3"),"*キャラ*"),
COUNTIF(INDIRECT("数出表_Excel!"&amp;
IFERROR(
SUBSTITUTE(ADDRESS(1,
IFERROR(COLUMN(INDEX(INDIRECT("数出表_Excel!B"&amp;$I35-1&amp;":T"&amp;$I35-1&amp;""),1,MATCH(TEXT(B35,0),INDIRECT("数出表_Excel!B"&amp;$I35-1&amp;":T"&amp;$I35-1&amp;""),0))),""),4),"1",""),
"")
&amp;"3"),"*赤*")),
INDIRECT("数出表_Excel!"&amp;
IFERROR(
SUBSTITUTE(ADDRESS(1,
IFERROR(COLUMN(INDEX(INDIRECT("数出表_Excel!B"&amp;$I35-1&amp;":T"&amp;$I35-1&amp;""),1,MATCH(TEXT(B35,0),INDIRECT("数出表_Excel!B"&amp;$I35-1&amp;":T"&amp;$I35-1&amp;""),0))),""),4),"1",""),
"")
&amp;"3")
&amp;"　"&amp;INDIRECT("数出表_Excel!"&amp;
IFERROR(
SUBSTITUTE(ADDRESS(1,
IFERROR(COLUMN(INDEX(INDIRECT("数出表_Excel!B"&amp;$I35-1&amp;":T"&amp;$I35-1&amp;""),1,MATCH(TEXT(B35,0),INDIRECT("数出表_Excel!B"&amp;$I35-1&amp;":T"&amp;$I35-1&amp;""),0))),""),4),"1",""),
"")
&amp;"4")
&amp;INDIRECT("数出表_Excel!"&amp;
IFERROR(
SUBSTITUTE(ADDRESS(1,
IFERROR(COLUMN(INDEX(INDIRECT("数出表_Excel!B"&amp;$I35-1&amp;":T"&amp;$I35-1&amp;""),1,MATCH(TEXT(B35,0),INDIRECT("数出表_Excel!B"&amp;$I35-1&amp;":T"&amp;$I35-1&amp;""),0))),""),4),"1",""),
"")
&amp;"5"),
INDIRECT("数出表_Excel!"&amp;
IFERROR(
SUBSTITUTE(ADDRESS(1,
IFERROR(COLUMN(INDEX(INDIRECT("数出表_Excel!B"&amp;$I35-1&amp;":T"&amp;$I35-1&amp;""),1,MATCH(TEXT(B35,0),INDIRECT("数出表_Excel!B"&amp;$I35-1&amp;":T"&amp;$I35-1&amp;""),0))),""),4),"1",""),
"")
&amp;"3")),"")</f>
        <v/>
      </c>
      <c r="K35" t="str" cm="1">
        <f t="array" aca="1" ref="K35" ca="1">IFERROR(IF(OR(COUNTIF(INDIRECT("数出表_Excel!"&amp;
IFERROR(
SUBSTITUTE(ADDRESS(1,
IFERROR(COLUMN(INDEX(INDIRECT("数出表_Excel!B"&amp;$I35-1&amp;":T"&amp;$I35-1&amp;""),1,MATCH(TEXT(C35,0),INDIRECT("数出表_Excel!B"&amp;$I35-1&amp;":T"&amp;$I35-1&amp;""),0))),""),4),"1",""),
"")
&amp;"3"),"*キャラ*"),
COUNTIF(INDIRECT("数出表_Excel!"&amp;
IFERROR(
SUBSTITUTE(ADDRESS(1,
IFERROR(COLUMN(INDEX(INDIRECT("数出表_Excel!B"&amp;$I35-1&amp;":T"&amp;$I35-1&amp;""),1,MATCH(TEXT(C35,0),INDIRECT("数出表_Excel!B"&amp;$I35-1&amp;":T"&amp;$I35-1&amp;""),0))),""),4),"1",""),
"")
&amp;"3"),"*赤*")),
INDIRECT("数出表_Excel!"&amp;
IFERROR(
SUBSTITUTE(ADDRESS(1,
IFERROR(COLUMN(INDEX(INDIRECT("数出表_Excel!B"&amp;$I35-1&amp;":T"&amp;$I35-1&amp;""),1,MATCH(TEXT(C35,0),INDIRECT("数出表_Excel!B"&amp;$I35-1&amp;":T"&amp;$I35-1&amp;""),0))),""),4),"1",""),
"")
&amp;"3")
&amp;"　"&amp;INDIRECT("数出表_Excel!"&amp;
IFERROR(
SUBSTITUTE(ADDRESS(1,
IFERROR(COLUMN(INDEX(INDIRECT("数出表_Excel!B"&amp;$I35-1&amp;":T"&amp;$I35-1&amp;""),1,MATCH(TEXT(C35,0),INDIRECT("数出表_Excel!B"&amp;$I35-1&amp;":T"&amp;$I35-1&amp;""),0))),""),4),"1",""),
"")
&amp;"4")
&amp;INDIRECT("数出表_Excel!"&amp;
IFERROR(
SUBSTITUTE(ADDRESS(1,
IFERROR(COLUMN(INDEX(INDIRECT("数出表_Excel!B"&amp;$I35-1&amp;":T"&amp;$I35-1&amp;""),1,MATCH(TEXT(C35,0),INDIRECT("数出表_Excel!B"&amp;$I35-1&amp;":T"&amp;$I35-1&amp;""),0))),""),4),"1",""),
"")
&amp;"5"),
INDIRECT("数出表_Excel!"&amp;
IFERROR(
SUBSTITUTE(ADDRESS(1,
IFERROR(COLUMN(INDEX(INDIRECT("数出表_Excel!B"&amp;$I35-1&amp;":T"&amp;$I35-1&amp;""),1,MATCH(TEXT(C35,0),INDIRECT("数出表_Excel!B"&amp;$I35-1&amp;":T"&amp;$I35-1&amp;""),0))),""),4),"1",""),
"")
&amp;"3")),"")</f>
        <v/>
      </c>
      <c r="L35" t="str" cm="1">
        <f t="array" aca="1" ref="L35" ca="1">IFERROR(IF(OR(COUNTIF(INDIRECT("数出表_Excel!"&amp;
IFERROR(
SUBSTITUTE(ADDRESS(1,
IFERROR(COLUMN(INDEX(INDIRECT("数出表_Excel!B"&amp;$I35-1&amp;":T"&amp;$I35-1&amp;""),1,MATCH(TEXT(D35,0),INDIRECT("数出表_Excel!B"&amp;$I35-1&amp;":T"&amp;$I35-1&amp;""),0))),""),4),"1",""),
"")
&amp;"3"),"*キャラ*"),
COUNTIF(INDIRECT("数出表_Excel!"&amp;
IFERROR(
SUBSTITUTE(ADDRESS(1,
IFERROR(COLUMN(INDEX(INDIRECT("数出表_Excel!B"&amp;$I35-1&amp;":T"&amp;$I35-1&amp;""),1,MATCH(TEXT(D35,0),INDIRECT("数出表_Excel!B"&amp;$I35-1&amp;":T"&amp;$I35-1&amp;""),0))),""),4),"1",""),
"")
&amp;"3"),"*赤*")),
INDIRECT("数出表_Excel!"&amp;
IFERROR(
SUBSTITUTE(ADDRESS(1,
IFERROR(COLUMN(INDEX(INDIRECT("数出表_Excel!B"&amp;$I35-1&amp;":T"&amp;$I35-1&amp;""),1,MATCH(TEXT(D35,0),INDIRECT("数出表_Excel!B"&amp;$I35-1&amp;":T"&amp;$I35-1&amp;""),0))),""),4),"1",""),
"")
&amp;"3")
&amp;"　"&amp;INDIRECT("数出表_Excel!"&amp;
IFERROR(
SUBSTITUTE(ADDRESS(1,
IFERROR(COLUMN(INDEX(INDIRECT("数出表_Excel!B"&amp;$I35-1&amp;":T"&amp;$I35-1&amp;""),1,MATCH(TEXT(D35,0),INDIRECT("数出表_Excel!B"&amp;$I35-1&amp;":T"&amp;$I35-1&amp;""),0))),""),4),"1",""),
"")
&amp;"4")
&amp;INDIRECT("数出表_Excel!"&amp;
IFERROR(
SUBSTITUTE(ADDRESS(1,
IFERROR(COLUMN(INDEX(INDIRECT("数出表_Excel!B"&amp;$I35-1&amp;":T"&amp;$I35-1&amp;""),1,MATCH(TEXT(D35,0),INDIRECT("数出表_Excel!B"&amp;$I35-1&amp;":T"&amp;$I35-1&amp;""),0))),""),4),"1",""),
"")
&amp;"5"),
INDIRECT("数出表_Excel!"&amp;
IFERROR(
SUBSTITUTE(ADDRESS(1,
IFERROR(COLUMN(INDEX(INDIRECT("数出表_Excel!B"&amp;$I35-1&amp;":T"&amp;$I35-1&amp;""),1,MATCH(TEXT(D35,0),INDIRECT("数出表_Excel!B"&amp;$I35-1&amp;":T"&amp;$I35-1&amp;""),0))),""),4),"1",""),
"")
&amp;"3")),"")</f>
        <v/>
      </c>
      <c r="M35" t="str" cm="1">
        <f t="array" aca="1" ref="M35" ca="1">IFERROR(IF(OR(COUNTIF(INDIRECT("数出表_Excel!"&amp;
IFERROR(
SUBSTITUTE(ADDRESS(1,
IFERROR(COLUMN(INDEX(INDIRECT("数出表_Excel!B"&amp;$I35&amp;":T"&amp;$I35&amp;""),1,MATCH(TEXT(E35,0),INDIRECT("数出表_Excel!B"&amp;$I35&amp;":T"&amp;$I35&amp;""),0))),""),4),"1",""),
"")
&amp;"3"),"*キャラ*"),
COUNTIF(INDIRECT("数出表_Excel!"&amp;
IFERROR(
SUBSTITUTE(ADDRESS(1,
IFERROR(COLUMN(INDEX(INDIRECT("数出表_Excel!B"&amp;$I35&amp;":T"&amp;$I35&amp;""),1,MATCH(TEXT(E35,0),INDIRECT("数出表_Excel!B"&amp;$I35&amp;":T"&amp;$I35&amp;""),0))),""),4),"1",""),
"")
&amp;"3"),"*赤*")),
INDIRECT("数出表_Excel!"&amp;
IFERROR(
SUBSTITUTE(ADDRESS(1,
IFERROR(COLUMN(INDEX(INDIRECT("数出表_Excel!B"&amp;$I35&amp;":T"&amp;$I35&amp;""),1,MATCH(TEXT(E35,0),INDIRECT("数出表_Excel!B"&amp;$I35&amp;":T"&amp;$I35&amp;""),0))),""),4),"1",""),
"")
&amp;"3")
&amp;"　"&amp;INDIRECT("数出表_Excel!"&amp;
IFERROR(
SUBSTITUTE(ADDRESS(1,
IFERROR(COLUMN(INDEX(INDIRECT("数出表_Excel!B"&amp;$I35&amp;":T"&amp;$I35&amp;""),1,MATCH(TEXT(E35,0),INDIRECT("数出表_Excel!B"&amp;$I35&amp;":T"&amp;$I35&amp;""),0))),""),4),"1",""),
"")
&amp;"4")
&amp;INDIRECT("数出表_Excel!"&amp;
IFERROR(
SUBSTITUTE(ADDRESS(1,
IFERROR(COLUMN(INDEX(INDIRECT("数出表_Excel!B"&amp;$I35&amp;":T"&amp;$I35&amp;""),1,MATCH(TEXT(E35,0),INDIRECT("数出表_Excel!B"&amp;$I35&amp;":T"&amp;$I35&amp;""),0))),""),4),"1",""),
"")
&amp;"5"),
INDIRECT("数出表_Excel!"&amp;
IFERROR(
SUBSTITUTE(ADDRESS(1,
IFERROR(COLUMN(INDEX(INDIRECT("数出表_Excel!B"&amp;$I35&amp;":T"&amp;$I35&amp;""),1,MATCH(TEXT(E35,0),INDIRECT("数出表_Excel!B"&amp;$I35&amp;":T"&amp;$I35&amp;""),0))),""),4),"1",""),
"")
&amp;"3")),"")</f>
        <v/>
      </c>
      <c r="N35" t="str" cm="1">
        <f t="array" aca="1" ref="N35" ca="1">IFERROR(IF(OR(COUNTIF(INDIRECT("数出表_Excel!"&amp;
IFERROR(
SUBSTITUTE(ADDRESS(1,
IFERROR(COLUMN(INDEX(INDIRECT("数出表_Excel!B"&amp;$I35&amp;":T"&amp;$I35&amp;""),1,MATCH(TEXT(F35,0),INDIRECT("数出表_Excel!B"&amp;$I35&amp;":T"&amp;$I35&amp;""),0))),""),4),"1",""),
"")
&amp;"3"),"*キャラ*"),
COUNTIF(INDIRECT("数出表_Excel!"&amp;
IFERROR(
SUBSTITUTE(ADDRESS(1,
IFERROR(COLUMN(INDEX(INDIRECT("数出表_Excel!B"&amp;$I35&amp;":T"&amp;$I35&amp;""),1,MATCH(TEXT(F35,0),INDIRECT("数出表_Excel!B"&amp;$I35&amp;":T"&amp;$I35&amp;""),0))),""),4),"1",""),
"")
&amp;"3"),"*赤*")),
INDIRECT("数出表_Excel!"&amp;
IFERROR(
SUBSTITUTE(ADDRESS(1,
IFERROR(COLUMN(INDEX(INDIRECT("数出表_Excel!B"&amp;$I35&amp;":T"&amp;$I35&amp;""),1,MATCH(TEXT(F35,0),INDIRECT("数出表_Excel!B"&amp;$I35&amp;":T"&amp;$I35&amp;""),0))),""),4),"1",""),
"")
&amp;"3")
&amp;"　"&amp;INDIRECT("数出表_Excel!"&amp;
IFERROR(
SUBSTITUTE(ADDRESS(1,
IFERROR(COLUMN(INDEX(INDIRECT("数出表_Excel!B"&amp;$I35&amp;":T"&amp;$I35&amp;""),1,MATCH(TEXT(F35,0),INDIRECT("数出表_Excel!B"&amp;$I35&amp;":T"&amp;$I35&amp;""),0))),""),4),"1",""),
"")
&amp;"4")
&amp;INDIRECT("数出表_Excel!"&amp;
IFERROR(
SUBSTITUTE(ADDRESS(1,
IFERROR(COLUMN(INDEX(INDIRECT("数出表_Excel!B"&amp;$I35&amp;":T"&amp;$I35&amp;""),1,MATCH(TEXT(F35,0),INDIRECT("数出表_Excel!B"&amp;$I35&amp;":T"&amp;$I35&amp;""),0))),""),4),"1",""),
"")
&amp;"5"),
INDIRECT("数出表_Excel!"&amp;
IFERROR(
SUBSTITUTE(ADDRESS(1,
IFERROR(COLUMN(INDEX(INDIRECT("数出表_Excel!B"&amp;$I35&amp;":T"&amp;$I35&amp;""),1,MATCH(TEXT(F35,0),INDIRECT("数出表_Excel!B"&amp;$I35&amp;":T"&amp;$I35&amp;""),0))),""),4),"1",""),
"")
&amp;"3")),"")</f>
        <v/>
      </c>
      <c r="O35" t="str" cm="1">
        <f t="array" aca="1" ref="O35" ca="1">IFERROR(IF(OR(COUNTIF(INDIRECT("数出表_Excel!"&amp;
IFERROR(
SUBSTITUTE(ADDRESS(1,
IFERROR(COLUMN(INDEX(INDIRECT("数出表_Excel!B"&amp;$I35&amp;":T"&amp;$I35&amp;""),1,MATCH(TEXT(G35,0),INDIRECT("数出表_Excel!B"&amp;$I35&amp;":T"&amp;$I35&amp;""),0))),""),4),"1",""),
"")
&amp;"3"),"*キャラ*"),
COUNTIF(INDIRECT("数出表_Excel!"&amp;
IFERROR(
SUBSTITUTE(ADDRESS(1,
IFERROR(COLUMN(INDEX(INDIRECT("数出表_Excel!B"&amp;$I35&amp;":T"&amp;$I35&amp;""),1,MATCH(TEXT(G35,0),INDIRECT("数出表_Excel!B"&amp;$I35&amp;":T"&amp;$I35&amp;""),0))),""),4),"1",""),
"")
&amp;"3"),"*赤*")),
INDIRECT("数出表_Excel!"&amp;
IFERROR(
SUBSTITUTE(ADDRESS(1,
IFERROR(COLUMN(INDEX(INDIRECT("数出表_Excel!B"&amp;$I35&amp;":T"&amp;$I35&amp;""),1,MATCH(TEXT(G35,0),INDIRECT("数出表_Excel!B"&amp;$I35&amp;":T"&amp;$I35&amp;""),0))),""),4),"1",""),
"")
&amp;"3")
&amp;"　"&amp;INDIRECT("数出表_Excel!"&amp;
IFERROR(
SUBSTITUTE(ADDRESS(1,
IFERROR(COLUMN(INDEX(INDIRECT("数出表_Excel!B"&amp;$I35&amp;":T"&amp;$I35&amp;""),1,MATCH(TEXT(G35,0),INDIRECT("数出表_Excel!B"&amp;$I35&amp;":T"&amp;$I35&amp;""),0))),""),4),"1",""),
"")
&amp;"4")
&amp;INDIRECT("数出表_Excel!"&amp;
IFERROR(
SUBSTITUTE(ADDRESS(1,
IFERROR(COLUMN(INDEX(INDIRECT("数出表_Excel!B"&amp;$I35&amp;":T"&amp;$I35&amp;""),1,MATCH(TEXT(G35,0),INDIRECT("数出表_Excel!B"&amp;$I35&amp;":T"&amp;$I35&amp;""),0))),""),4),"1",""),
"")
&amp;"5"),
INDIRECT("数出表_Excel!"&amp;
IFERROR(
SUBSTITUTE(ADDRESS(1,
IFERROR(COLUMN(INDEX(INDIRECT("数出表_Excel!B"&amp;$I35&amp;":T"&amp;$I35&amp;""),1,MATCH(TEXT(G35,0),INDIRECT("数出表_Excel!B"&amp;$I35&amp;":T"&amp;$I35&amp;""),0))),""),4),"1",""),
"")
&amp;"3")),"")</f>
        <v/>
      </c>
    </row>
    <row r="36" spans="9:15">
      <c r="I36" t="str">
        <f>IF(A36&lt;&gt;"",MATCH(A36,数出表_Excel!A:A,0),"")</f>
        <v/>
      </c>
      <c r="J36" t="str" cm="1">
        <f t="array" aca="1" ref="J36" ca="1">IFERROR(IF(OR(COUNTIF(INDIRECT("数出表_Excel!"&amp;
IFERROR(
SUBSTITUTE(ADDRESS(1,
IFERROR(COLUMN(INDEX(INDIRECT("数出表_Excel!B"&amp;$I36-1&amp;":T"&amp;$I36-1&amp;""),1,MATCH(TEXT(B36,0),INDIRECT("数出表_Excel!B"&amp;$I36-1&amp;":T"&amp;$I36-1&amp;""),0))),""),4),"1",""),
"")
&amp;"3"),"*キャラ*"),
COUNTIF(INDIRECT("数出表_Excel!"&amp;
IFERROR(
SUBSTITUTE(ADDRESS(1,
IFERROR(COLUMN(INDEX(INDIRECT("数出表_Excel!B"&amp;$I36-1&amp;":T"&amp;$I36-1&amp;""),1,MATCH(TEXT(B36,0),INDIRECT("数出表_Excel!B"&amp;$I36-1&amp;":T"&amp;$I36-1&amp;""),0))),""),4),"1",""),
"")
&amp;"3"),"*赤*")),
INDIRECT("数出表_Excel!"&amp;
IFERROR(
SUBSTITUTE(ADDRESS(1,
IFERROR(COLUMN(INDEX(INDIRECT("数出表_Excel!B"&amp;$I36-1&amp;":T"&amp;$I36-1&amp;""),1,MATCH(TEXT(B36,0),INDIRECT("数出表_Excel!B"&amp;$I36-1&amp;":T"&amp;$I36-1&amp;""),0))),""),4),"1",""),
"")
&amp;"3")
&amp;"　"&amp;INDIRECT("数出表_Excel!"&amp;
IFERROR(
SUBSTITUTE(ADDRESS(1,
IFERROR(COLUMN(INDEX(INDIRECT("数出表_Excel!B"&amp;$I36-1&amp;":T"&amp;$I36-1&amp;""),1,MATCH(TEXT(B36,0),INDIRECT("数出表_Excel!B"&amp;$I36-1&amp;":T"&amp;$I36-1&amp;""),0))),""),4),"1",""),
"")
&amp;"4")
&amp;INDIRECT("数出表_Excel!"&amp;
IFERROR(
SUBSTITUTE(ADDRESS(1,
IFERROR(COLUMN(INDEX(INDIRECT("数出表_Excel!B"&amp;$I36-1&amp;":T"&amp;$I36-1&amp;""),1,MATCH(TEXT(B36,0),INDIRECT("数出表_Excel!B"&amp;$I36-1&amp;":T"&amp;$I36-1&amp;""),0))),""),4),"1",""),
"")
&amp;"5"),
INDIRECT("数出表_Excel!"&amp;
IFERROR(
SUBSTITUTE(ADDRESS(1,
IFERROR(COLUMN(INDEX(INDIRECT("数出表_Excel!B"&amp;$I36-1&amp;":T"&amp;$I36-1&amp;""),1,MATCH(TEXT(B36,0),INDIRECT("数出表_Excel!B"&amp;$I36-1&amp;":T"&amp;$I36-1&amp;""),0))),""),4),"1",""),
"")
&amp;"3")),"")</f>
        <v/>
      </c>
      <c r="K36" t="str" cm="1">
        <f t="array" aca="1" ref="K36" ca="1">IFERROR(IF(OR(COUNTIF(INDIRECT("数出表_Excel!"&amp;
IFERROR(
SUBSTITUTE(ADDRESS(1,
IFERROR(COLUMN(INDEX(INDIRECT("数出表_Excel!B"&amp;$I36-1&amp;":T"&amp;$I36-1&amp;""),1,MATCH(TEXT(C36,0),INDIRECT("数出表_Excel!B"&amp;$I36-1&amp;":T"&amp;$I36-1&amp;""),0))),""),4),"1",""),
"")
&amp;"3"),"*キャラ*"),
COUNTIF(INDIRECT("数出表_Excel!"&amp;
IFERROR(
SUBSTITUTE(ADDRESS(1,
IFERROR(COLUMN(INDEX(INDIRECT("数出表_Excel!B"&amp;$I36-1&amp;":T"&amp;$I36-1&amp;""),1,MATCH(TEXT(C36,0),INDIRECT("数出表_Excel!B"&amp;$I36-1&amp;":T"&amp;$I36-1&amp;""),0))),""),4),"1",""),
"")
&amp;"3"),"*赤*")),
INDIRECT("数出表_Excel!"&amp;
IFERROR(
SUBSTITUTE(ADDRESS(1,
IFERROR(COLUMN(INDEX(INDIRECT("数出表_Excel!B"&amp;$I36-1&amp;":T"&amp;$I36-1&amp;""),1,MATCH(TEXT(C36,0),INDIRECT("数出表_Excel!B"&amp;$I36-1&amp;":T"&amp;$I36-1&amp;""),0))),""),4),"1",""),
"")
&amp;"3")
&amp;"　"&amp;INDIRECT("数出表_Excel!"&amp;
IFERROR(
SUBSTITUTE(ADDRESS(1,
IFERROR(COLUMN(INDEX(INDIRECT("数出表_Excel!B"&amp;$I36-1&amp;":T"&amp;$I36-1&amp;""),1,MATCH(TEXT(C36,0),INDIRECT("数出表_Excel!B"&amp;$I36-1&amp;":T"&amp;$I36-1&amp;""),0))),""),4),"1",""),
"")
&amp;"4")
&amp;INDIRECT("数出表_Excel!"&amp;
IFERROR(
SUBSTITUTE(ADDRESS(1,
IFERROR(COLUMN(INDEX(INDIRECT("数出表_Excel!B"&amp;$I36-1&amp;":T"&amp;$I36-1&amp;""),1,MATCH(TEXT(C36,0),INDIRECT("数出表_Excel!B"&amp;$I36-1&amp;":T"&amp;$I36-1&amp;""),0))),""),4),"1",""),
"")
&amp;"5"),
INDIRECT("数出表_Excel!"&amp;
IFERROR(
SUBSTITUTE(ADDRESS(1,
IFERROR(COLUMN(INDEX(INDIRECT("数出表_Excel!B"&amp;$I36-1&amp;":T"&amp;$I36-1&amp;""),1,MATCH(TEXT(C36,0),INDIRECT("数出表_Excel!B"&amp;$I36-1&amp;":T"&amp;$I36-1&amp;""),0))),""),4),"1",""),
"")
&amp;"3")),"")</f>
        <v/>
      </c>
      <c r="L36" t="str" cm="1">
        <f t="array" aca="1" ref="L36" ca="1">IFERROR(IF(OR(COUNTIF(INDIRECT("数出表_Excel!"&amp;
IFERROR(
SUBSTITUTE(ADDRESS(1,
IFERROR(COLUMN(INDEX(INDIRECT("数出表_Excel!B"&amp;$I36-1&amp;":T"&amp;$I36-1&amp;""),1,MATCH(TEXT(D36,0),INDIRECT("数出表_Excel!B"&amp;$I36-1&amp;":T"&amp;$I36-1&amp;""),0))),""),4),"1",""),
"")
&amp;"3"),"*キャラ*"),
COUNTIF(INDIRECT("数出表_Excel!"&amp;
IFERROR(
SUBSTITUTE(ADDRESS(1,
IFERROR(COLUMN(INDEX(INDIRECT("数出表_Excel!B"&amp;$I36-1&amp;":T"&amp;$I36-1&amp;""),1,MATCH(TEXT(D36,0),INDIRECT("数出表_Excel!B"&amp;$I36-1&amp;":T"&amp;$I36-1&amp;""),0))),""),4),"1",""),
"")
&amp;"3"),"*赤*")),
INDIRECT("数出表_Excel!"&amp;
IFERROR(
SUBSTITUTE(ADDRESS(1,
IFERROR(COLUMN(INDEX(INDIRECT("数出表_Excel!B"&amp;$I36-1&amp;":T"&amp;$I36-1&amp;""),1,MATCH(TEXT(D36,0),INDIRECT("数出表_Excel!B"&amp;$I36-1&amp;":T"&amp;$I36-1&amp;""),0))),""),4),"1",""),
"")
&amp;"3")
&amp;"　"&amp;INDIRECT("数出表_Excel!"&amp;
IFERROR(
SUBSTITUTE(ADDRESS(1,
IFERROR(COLUMN(INDEX(INDIRECT("数出表_Excel!B"&amp;$I36-1&amp;":T"&amp;$I36-1&amp;""),1,MATCH(TEXT(D36,0),INDIRECT("数出表_Excel!B"&amp;$I36-1&amp;":T"&amp;$I36-1&amp;""),0))),""),4),"1",""),
"")
&amp;"4")
&amp;INDIRECT("数出表_Excel!"&amp;
IFERROR(
SUBSTITUTE(ADDRESS(1,
IFERROR(COLUMN(INDEX(INDIRECT("数出表_Excel!B"&amp;$I36-1&amp;":T"&amp;$I36-1&amp;""),1,MATCH(TEXT(D36,0),INDIRECT("数出表_Excel!B"&amp;$I36-1&amp;":T"&amp;$I36-1&amp;""),0))),""),4),"1",""),
"")
&amp;"5"),
INDIRECT("数出表_Excel!"&amp;
IFERROR(
SUBSTITUTE(ADDRESS(1,
IFERROR(COLUMN(INDEX(INDIRECT("数出表_Excel!B"&amp;$I36-1&amp;":T"&amp;$I36-1&amp;""),1,MATCH(TEXT(D36,0),INDIRECT("数出表_Excel!B"&amp;$I36-1&amp;":T"&amp;$I36-1&amp;""),0))),""),4),"1",""),
"")
&amp;"3")),"")</f>
        <v/>
      </c>
      <c r="M36" t="str" cm="1">
        <f t="array" aca="1" ref="M36" ca="1">IFERROR(IF(OR(COUNTIF(INDIRECT("数出表_Excel!"&amp;
IFERROR(
SUBSTITUTE(ADDRESS(1,
IFERROR(COLUMN(INDEX(INDIRECT("数出表_Excel!B"&amp;$I36&amp;":T"&amp;$I36&amp;""),1,MATCH(TEXT(E36,0),INDIRECT("数出表_Excel!B"&amp;$I36&amp;":T"&amp;$I36&amp;""),0))),""),4),"1",""),
"")
&amp;"3"),"*キャラ*"),
COUNTIF(INDIRECT("数出表_Excel!"&amp;
IFERROR(
SUBSTITUTE(ADDRESS(1,
IFERROR(COLUMN(INDEX(INDIRECT("数出表_Excel!B"&amp;$I36&amp;":T"&amp;$I36&amp;""),1,MATCH(TEXT(E36,0),INDIRECT("数出表_Excel!B"&amp;$I36&amp;":T"&amp;$I36&amp;""),0))),""),4),"1",""),
"")
&amp;"3"),"*赤*")),
INDIRECT("数出表_Excel!"&amp;
IFERROR(
SUBSTITUTE(ADDRESS(1,
IFERROR(COLUMN(INDEX(INDIRECT("数出表_Excel!B"&amp;$I36&amp;":T"&amp;$I36&amp;""),1,MATCH(TEXT(E36,0),INDIRECT("数出表_Excel!B"&amp;$I36&amp;":T"&amp;$I36&amp;""),0))),""),4),"1",""),
"")
&amp;"3")
&amp;"　"&amp;INDIRECT("数出表_Excel!"&amp;
IFERROR(
SUBSTITUTE(ADDRESS(1,
IFERROR(COLUMN(INDEX(INDIRECT("数出表_Excel!B"&amp;$I36&amp;":T"&amp;$I36&amp;""),1,MATCH(TEXT(E36,0),INDIRECT("数出表_Excel!B"&amp;$I36&amp;":T"&amp;$I36&amp;""),0))),""),4),"1",""),
"")
&amp;"4")
&amp;INDIRECT("数出表_Excel!"&amp;
IFERROR(
SUBSTITUTE(ADDRESS(1,
IFERROR(COLUMN(INDEX(INDIRECT("数出表_Excel!B"&amp;$I36&amp;":T"&amp;$I36&amp;""),1,MATCH(TEXT(E36,0),INDIRECT("数出表_Excel!B"&amp;$I36&amp;":T"&amp;$I36&amp;""),0))),""),4),"1",""),
"")
&amp;"5"),
INDIRECT("数出表_Excel!"&amp;
IFERROR(
SUBSTITUTE(ADDRESS(1,
IFERROR(COLUMN(INDEX(INDIRECT("数出表_Excel!B"&amp;$I36&amp;":T"&amp;$I36&amp;""),1,MATCH(TEXT(E36,0),INDIRECT("数出表_Excel!B"&amp;$I36&amp;":T"&amp;$I36&amp;""),0))),""),4),"1",""),
"")
&amp;"3")),"")</f>
        <v/>
      </c>
      <c r="N36" t="str" cm="1">
        <f t="array" aca="1" ref="N36" ca="1">IFERROR(IF(OR(COUNTIF(INDIRECT("数出表_Excel!"&amp;
IFERROR(
SUBSTITUTE(ADDRESS(1,
IFERROR(COLUMN(INDEX(INDIRECT("数出表_Excel!B"&amp;$I36&amp;":T"&amp;$I36&amp;""),1,MATCH(TEXT(F36,0),INDIRECT("数出表_Excel!B"&amp;$I36&amp;":T"&amp;$I36&amp;""),0))),""),4),"1",""),
"")
&amp;"3"),"*キャラ*"),
COUNTIF(INDIRECT("数出表_Excel!"&amp;
IFERROR(
SUBSTITUTE(ADDRESS(1,
IFERROR(COLUMN(INDEX(INDIRECT("数出表_Excel!B"&amp;$I36&amp;":T"&amp;$I36&amp;""),1,MATCH(TEXT(F36,0),INDIRECT("数出表_Excel!B"&amp;$I36&amp;":T"&amp;$I36&amp;""),0))),""),4),"1",""),
"")
&amp;"3"),"*赤*")),
INDIRECT("数出表_Excel!"&amp;
IFERROR(
SUBSTITUTE(ADDRESS(1,
IFERROR(COLUMN(INDEX(INDIRECT("数出表_Excel!B"&amp;$I36&amp;":T"&amp;$I36&amp;""),1,MATCH(TEXT(F36,0),INDIRECT("数出表_Excel!B"&amp;$I36&amp;":T"&amp;$I36&amp;""),0))),""),4),"1",""),
"")
&amp;"3")
&amp;"　"&amp;INDIRECT("数出表_Excel!"&amp;
IFERROR(
SUBSTITUTE(ADDRESS(1,
IFERROR(COLUMN(INDEX(INDIRECT("数出表_Excel!B"&amp;$I36&amp;":T"&amp;$I36&amp;""),1,MATCH(TEXT(F36,0),INDIRECT("数出表_Excel!B"&amp;$I36&amp;":T"&amp;$I36&amp;""),0))),""),4),"1",""),
"")
&amp;"4")
&amp;INDIRECT("数出表_Excel!"&amp;
IFERROR(
SUBSTITUTE(ADDRESS(1,
IFERROR(COLUMN(INDEX(INDIRECT("数出表_Excel!B"&amp;$I36&amp;":T"&amp;$I36&amp;""),1,MATCH(TEXT(F36,0),INDIRECT("数出表_Excel!B"&amp;$I36&amp;":T"&amp;$I36&amp;""),0))),""),4),"1",""),
"")
&amp;"5"),
INDIRECT("数出表_Excel!"&amp;
IFERROR(
SUBSTITUTE(ADDRESS(1,
IFERROR(COLUMN(INDEX(INDIRECT("数出表_Excel!B"&amp;$I36&amp;":T"&amp;$I36&amp;""),1,MATCH(TEXT(F36,0),INDIRECT("数出表_Excel!B"&amp;$I36&amp;":T"&amp;$I36&amp;""),0))),""),4),"1",""),
"")
&amp;"3")),"")</f>
        <v/>
      </c>
      <c r="O36" t="str" cm="1">
        <f t="array" aca="1" ref="O36" ca="1">IFERROR(IF(OR(COUNTIF(INDIRECT("数出表_Excel!"&amp;
IFERROR(
SUBSTITUTE(ADDRESS(1,
IFERROR(COLUMN(INDEX(INDIRECT("数出表_Excel!B"&amp;$I36&amp;":T"&amp;$I36&amp;""),1,MATCH(TEXT(G36,0),INDIRECT("数出表_Excel!B"&amp;$I36&amp;":T"&amp;$I36&amp;""),0))),""),4),"1",""),
"")
&amp;"3"),"*キャラ*"),
COUNTIF(INDIRECT("数出表_Excel!"&amp;
IFERROR(
SUBSTITUTE(ADDRESS(1,
IFERROR(COLUMN(INDEX(INDIRECT("数出表_Excel!B"&amp;$I36&amp;":T"&amp;$I36&amp;""),1,MATCH(TEXT(G36,0),INDIRECT("数出表_Excel!B"&amp;$I36&amp;":T"&amp;$I36&amp;""),0))),""),4),"1",""),
"")
&amp;"3"),"*赤*")),
INDIRECT("数出表_Excel!"&amp;
IFERROR(
SUBSTITUTE(ADDRESS(1,
IFERROR(COLUMN(INDEX(INDIRECT("数出表_Excel!B"&amp;$I36&amp;":T"&amp;$I36&amp;""),1,MATCH(TEXT(G36,0),INDIRECT("数出表_Excel!B"&amp;$I36&amp;":T"&amp;$I36&amp;""),0))),""),4),"1",""),
"")
&amp;"3")
&amp;"　"&amp;INDIRECT("数出表_Excel!"&amp;
IFERROR(
SUBSTITUTE(ADDRESS(1,
IFERROR(COLUMN(INDEX(INDIRECT("数出表_Excel!B"&amp;$I36&amp;":T"&amp;$I36&amp;""),1,MATCH(TEXT(G36,0),INDIRECT("数出表_Excel!B"&amp;$I36&amp;":T"&amp;$I36&amp;""),0))),""),4),"1",""),
"")
&amp;"4")
&amp;INDIRECT("数出表_Excel!"&amp;
IFERROR(
SUBSTITUTE(ADDRESS(1,
IFERROR(COLUMN(INDEX(INDIRECT("数出表_Excel!B"&amp;$I36&amp;":T"&amp;$I36&amp;""),1,MATCH(TEXT(G36,0),INDIRECT("数出表_Excel!B"&amp;$I36&amp;":T"&amp;$I36&amp;""),0))),""),4),"1",""),
"")
&amp;"5"),
INDIRECT("数出表_Excel!"&amp;
IFERROR(
SUBSTITUTE(ADDRESS(1,
IFERROR(COLUMN(INDEX(INDIRECT("数出表_Excel!B"&amp;$I36&amp;":T"&amp;$I36&amp;""),1,MATCH(TEXT(G36,0),INDIRECT("数出表_Excel!B"&amp;$I36&amp;":T"&amp;$I36&amp;""),0))),""),4),"1",""),
"")
&amp;"3")),"")</f>
        <v/>
      </c>
    </row>
    <row r="37" spans="9:15">
      <c r="I37" t="str">
        <f>IF(A37&lt;&gt;"",MATCH(A37,数出表_Excel!A:A,0),"")</f>
        <v/>
      </c>
      <c r="J37" t="str" cm="1">
        <f t="array" aca="1" ref="J37" ca="1">IFERROR(IF(OR(COUNTIF(INDIRECT("数出表_Excel!"&amp;
IFERROR(
SUBSTITUTE(ADDRESS(1,
IFERROR(COLUMN(INDEX(INDIRECT("数出表_Excel!B"&amp;$I37-1&amp;":T"&amp;$I37-1&amp;""),1,MATCH(TEXT(B37,0),INDIRECT("数出表_Excel!B"&amp;$I37-1&amp;":T"&amp;$I37-1&amp;""),0))),""),4),"1",""),
"")
&amp;"3"),"*キャラ*"),
COUNTIF(INDIRECT("数出表_Excel!"&amp;
IFERROR(
SUBSTITUTE(ADDRESS(1,
IFERROR(COLUMN(INDEX(INDIRECT("数出表_Excel!B"&amp;$I37-1&amp;":T"&amp;$I37-1&amp;""),1,MATCH(TEXT(B37,0),INDIRECT("数出表_Excel!B"&amp;$I37-1&amp;":T"&amp;$I37-1&amp;""),0))),""),4),"1",""),
"")
&amp;"3"),"*赤*")),
INDIRECT("数出表_Excel!"&amp;
IFERROR(
SUBSTITUTE(ADDRESS(1,
IFERROR(COLUMN(INDEX(INDIRECT("数出表_Excel!B"&amp;$I37-1&amp;":T"&amp;$I37-1&amp;""),1,MATCH(TEXT(B37,0),INDIRECT("数出表_Excel!B"&amp;$I37-1&amp;":T"&amp;$I37-1&amp;""),0))),""),4),"1",""),
"")
&amp;"3")
&amp;"　"&amp;INDIRECT("数出表_Excel!"&amp;
IFERROR(
SUBSTITUTE(ADDRESS(1,
IFERROR(COLUMN(INDEX(INDIRECT("数出表_Excel!B"&amp;$I37-1&amp;":T"&amp;$I37-1&amp;""),1,MATCH(TEXT(B37,0),INDIRECT("数出表_Excel!B"&amp;$I37-1&amp;":T"&amp;$I37-1&amp;""),0))),""),4),"1",""),
"")
&amp;"4")
&amp;INDIRECT("数出表_Excel!"&amp;
IFERROR(
SUBSTITUTE(ADDRESS(1,
IFERROR(COLUMN(INDEX(INDIRECT("数出表_Excel!B"&amp;$I37-1&amp;":T"&amp;$I37-1&amp;""),1,MATCH(TEXT(B37,0),INDIRECT("数出表_Excel!B"&amp;$I37-1&amp;":T"&amp;$I37-1&amp;""),0))),""),4),"1",""),
"")
&amp;"5"),
INDIRECT("数出表_Excel!"&amp;
IFERROR(
SUBSTITUTE(ADDRESS(1,
IFERROR(COLUMN(INDEX(INDIRECT("数出表_Excel!B"&amp;$I37-1&amp;":T"&amp;$I37-1&amp;""),1,MATCH(TEXT(B37,0),INDIRECT("数出表_Excel!B"&amp;$I37-1&amp;":T"&amp;$I37-1&amp;""),0))),""),4),"1",""),
"")
&amp;"3")),"")</f>
        <v/>
      </c>
      <c r="K37" t="str" cm="1">
        <f t="array" aca="1" ref="K37" ca="1">IFERROR(IF(OR(COUNTIF(INDIRECT("数出表_Excel!"&amp;
IFERROR(
SUBSTITUTE(ADDRESS(1,
IFERROR(COLUMN(INDEX(INDIRECT("数出表_Excel!B"&amp;$I37-1&amp;":T"&amp;$I37-1&amp;""),1,MATCH(TEXT(C37,0),INDIRECT("数出表_Excel!B"&amp;$I37-1&amp;":T"&amp;$I37-1&amp;""),0))),""),4),"1",""),
"")
&amp;"3"),"*キャラ*"),
COUNTIF(INDIRECT("数出表_Excel!"&amp;
IFERROR(
SUBSTITUTE(ADDRESS(1,
IFERROR(COLUMN(INDEX(INDIRECT("数出表_Excel!B"&amp;$I37-1&amp;":T"&amp;$I37-1&amp;""),1,MATCH(TEXT(C37,0),INDIRECT("数出表_Excel!B"&amp;$I37-1&amp;":T"&amp;$I37-1&amp;""),0))),""),4),"1",""),
"")
&amp;"3"),"*赤*")),
INDIRECT("数出表_Excel!"&amp;
IFERROR(
SUBSTITUTE(ADDRESS(1,
IFERROR(COLUMN(INDEX(INDIRECT("数出表_Excel!B"&amp;$I37-1&amp;":T"&amp;$I37-1&amp;""),1,MATCH(TEXT(C37,0),INDIRECT("数出表_Excel!B"&amp;$I37-1&amp;":T"&amp;$I37-1&amp;""),0))),""),4),"1",""),
"")
&amp;"3")
&amp;"　"&amp;INDIRECT("数出表_Excel!"&amp;
IFERROR(
SUBSTITUTE(ADDRESS(1,
IFERROR(COLUMN(INDEX(INDIRECT("数出表_Excel!B"&amp;$I37-1&amp;":T"&amp;$I37-1&amp;""),1,MATCH(TEXT(C37,0),INDIRECT("数出表_Excel!B"&amp;$I37-1&amp;":T"&amp;$I37-1&amp;""),0))),""),4),"1",""),
"")
&amp;"4")
&amp;INDIRECT("数出表_Excel!"&amp;
IFERROR(
SUBSTITUTE(ADDRESS(1,
IFERROR(COLUMN(INDEX(INDIRECT("数出表_Excel!B"&amp;$I37-1&amp;":T"&amp;$I37-1&amp;""),1,MATCH(TEXT(C37,0),INDIRECT("数出表_Excel!B"&amp;$I37-1&amp;":T"&amp;$I37-1&amp;""),0))),""),4),"1",""),
"")
&amp;"5"),
INDIRECT("数出表_Excel!"&amp;
IFERROR(
SUBSTITUTE(ADDRESS(1,
IFERROR(COLUMN(INDEX(INDIRECT("数出表_Excel!B"&amp;$I37-1&amp;":T"&amp;$I37-1&amp;""),1,MATCH(TEXT(C37,0),INDIRECT("数出表_Excel!B"&amp;$I37-1&amp;":T"&amp;$I37-1&amp;""),0))),""),4),"1",""),
"")
&amp;"3")),"")</f>
        <v/>
      </c>
      <c r="L37" t="str" cm="1">
        <f t="array" aca="1" ref="L37" ca="1">IFERROR(IF(OR(COUNTIF(INDIRECT("数出表_Excel!"&amp;
IFERROR(
SUBSTITUTE(ADDRESS(1,
IFERROR(COLUMN(INDEX(INDIRECT("数出表_Excel!B"&amp;$I37-1&amp;":T"&amp;$I37-1&amp;""),1,MATCH(TEXT(D37,0),INDIRECT("数出表_Excel!B"&amp;$I37-1&amp;":T"&amp;$I37-1&amp;""),0))),""),4),"1",""),
"")
&amp;"3"),"*キャラ*"),
COUNTIF(INDIRECT("数出表_Excel!"&amp;
IFERROR(
SUBSTITUTE(ADDRESS(1,
IFERROR(COLUMN(INDEX(INDIRECT("数出表_Excel!B"&amp;$I37-1&amp;":T"&amp;$I37-1&amp;""),1,MATCH(TEXT(D37,0),INDIRECT("数出表_Excel!B"&amp;$I37-1&amp;":T"&amp;$I37-1&amp;""),0))),""),4),"1",""),
"")
&amp;"3"),"*赤*")),
INDIRECT("数出表_Excel!"&amp;
IFERROR(
SUBSTITUTE(ADDRESS(1,
IFERROR(COLUMN(INDEX(INDIRECT("数出表_Excel!B"&amp;$I37-1&amp;":T"&amp;$I37-1&amp;""),1,MATCH(TEXT(D37,0),INDIRECT("数出表_Excel!B"&amp;$I37-1&amp;":T"&amp;$I37-1&amp;""),0))),""),4),"1",""),
"")
&amp;"3")
&amp;"　"&amp;INDIRECT("数出表_Excel!"&amp;
IFERROR(
SUBSTITUTE(ADDRESS(1,
IFERROR(COLUMN(INDEX(INDIRECT("数出表_Excel!B"&amp;$I37-1&amp;":T"&amp;$I37-1&amp;""),1,MATCH(TEXT(D37,0),INDIRECT("数出表_Excel!B"&amp;$I37-1&amp;":T"&amp;$I37-1&amp;""),0))),""),4),"1",""),
"")
&amp;"4")
&amp;INDIRECT("数出表_Excel!"&amp;
IFERROR(
SUBSTITUTE(ADDRESS(1,
IFERROR(COLUMN(INDEX(INDIRECT("数出表_Excel!B"&amp;$I37-1&amp;":T"&amp;$I37-1&amp;""),1,MATCH(TEXT(D37,0),INDIRECT("数出表_Excel!B"&amp;$I37-1&amp;":T"&amp;$I37-1&amp;""),0))),""),4),"1",""),
"")
&amp;"5"),
INDIRECT("数出表_Excel!"&amp;
IFERROR(
SUBSTITUTE(ADDRESS(1,
IFERROR(COLUMN(INDEX(INDIRECT("数出表_Excel!B"&amp;$I37-1&amp;":T"&amp;$I37-1&amp;""),1,MATCH(TEXT(D37,0),INDIRECT("数出表_Excel!B"&amp;$I37-1&amp;":T"&amp;$I37-1&amp;""),0))),""),4),"1",""),
"")
&amp;"3")),"")</f>
        <v/>
      </c>
      <c r="M37" t="str" cm="1">
        <f t="array" aca="1" ref="M37" ca="1">IFERROR(IF(OR(COUNTIF(INDIRECT("数出表_Excel!"&amp;
IFERROR(
SUBSTITUTE(ADDRESS(1,
IFERROR(COLUMN(INDEX(INDIRECT("数出表_Excel!B"&amp;$I37&amp;":T"&amp;$I37&amp;""),1,MATCH(TEXT(E37,0),INDIRECT("数出表_Excel!B"&amp;$I37&amp;":T"&amp;$I37&amp;""),0))),""),4),"1",""),
"")
&amp;"3"),"*キャラ*"),
COUNTIF(INDIRECT("数出表_Excel!"&amp;
IFERROR(
SUBSTITUTE(ADDRESS(1,
IFERROR(COLUMN(INDEX(INDIRECT("数出表_Excel!B"&amp;$I37&amp;":T"&amp;$I37&amp;""),1,MATCH(TEXT(E37,0),INDIRECT("数出表_Excel!B"&amp;$I37&amp;":T"&amp;$I37&amp;""),0))),""),4),"1",""),
"")
&amp;"3"),"*赤*")),
INDIRECT("数出表_Excel!"&amp;
IFERROR(
SUBSTITUTE(ADDRESS(1,
IFERROR(COLUMN(INDEX(INDIRECT("数出表_Excel!B"&amp;$I37&amp;":T"&amp;$I37&amp;""),1,MATCH(TEXT(E37,0),INDIRECT("数出表_Excel!B"&amp;$I37&amp;":T"&amp;$I37&amp;""),0))),""),4),"1",""),
"")
&amp;"3")
&amp;"　"&amp;INDIRECT("数出表_Excel!"&amp;
IFERROR(
SUBSTITUTE(ADDRESS(1,
IFERROR(COLUMN(INDEX(INDIRECT("数出表_Excel!B"&amp;$I37&amp;":T"&amp;$I37&amp;""),1,MATCH(TEXT(E37,0),INDIRECT("数出表_Excel!B"&amp;$I37&amp;":T"&amp;$I37&amp;""),0))),""),4),"1",""),
"")
&amp;"4")
&amp;INDIRECT("数出表_Excel!"&amp;
IFERROR(
SUBSTITUTE(ADDRESS(1,
IFERROR(COLUMN(INDEX(INDIRECT("数出表_Excel!B"&amp;$I37&amp;":T"&amp;$I37&amp;""),1,MATCH(TEXT(E37,0),INDIRECT("数出表_Excel!B"&amp;$I37&amp;":T"&amp;$I37&amp;""),0))),""),4),"1",""),
"")
&amp;"5"),
INDIRECT("数出表_Excel!"&amp;
IFERROR(
SUBSTITUTE(ADDRESS(1,
IFERROR(COLUMN(INDEX(INDIRECT("数出表_Excel!B"&amp;$I37&amp;":T"&amp;$I37&amp;""),1,MATCH(TEXT(E37,0),INDIRECT("数出表_Excel!B"&amp;$I37&amp;":T"&amp;$I37&amp;""),0))),""),4),"1",""),
"")
&amp;"3")),"")</f>
        <v/>
      </c>
      <c r="N37" t="str" cm="1">
        <f t="array" aca="1" ref="N37" ca="1">IFERROR(IF(OR(COUNTIF(INDIRECT("数出表_Excel!"&amp;
IFERROR(
SUBSTITUTE(ADDRESS(1,
IFERROR(COLUMN(INDEX(INDIRECT("数出表_Excel!B"&amp;$I37&amp;":T"&amp;$I37&amp;""),1,MATCH(TEXT(F37,0),INDIRECT("数出表_Excel!B"&amp;$I37&amp;":T"&amp;$I37&amp;""),0))),""),4),"1",""),
"")
&amp;"3"),"*キャラ*"),
COUNTIF(INDIRECT("数出表_Excel!"&amp;
IFERROR(
SUBSTITUTE(ADDRESS(1,
IFERROR(COLUMN(INDEX(INDIRECT("数出表_Excel!B"&amp;$I37&amp;":T"&amp;$I37&amp;""),1,MATCH(TEXT(F37,0),INDIRECT("数出表_Excel!B"&amp;$I37&amp;":T"&amp;$I37&amp;""),0))),""),4),"1",""),
"")
&amp;"3"),"*赤*")),
INDIRECT("数出表_Excel!"&amp;
IFERROR(
SUBSTITUTE(ADDRESS(1,
IFERROR(COLUMN(INDEX(INDIRECT("数出表_Excel!B"&amp;$I37&amp;":T"&amp;$I37&amp;""),1,MATCH(TEXT(F37,0),INDIRECT("数出表_Excel!B"&amp;$I37&amp;":T"&amp;$I37&amp;""),0))),""),4),"1",""),
"")
&amp;"3")
&amp;"　"&amp;INDIRECT("数出表_Excel!"&amp;
IFERROR(
SUBSTITUTE(ADDRESS(1,
IFERROR(COLUMN(INDEX(INDIRECT("数出表_Excel!B"&amp;$I37&amp;":T"&amp;$I37&amp;""),1,MATCH(TEXT(F37,0),INDIRECT("数出表_Excel!B"&amp;$I37&amp;":T"&amp;$I37&amp;""),0))),""),4),"1",""),
"")
&amp;"4")
&amp;INDIRECT("数出表_Excel!"&amp;
IFERROR(
SUBSTITUTE(ADDRESS(1,
IFERROR(COLUMN(INDEX(INDIRECT("数出表_Excel!B"&amp;$I37&amp;":T"&amp;$I37&amp;""),1,MATCH(TEXT(F37,0),INDIRECT("数出表_Excel!B"&amp;$I37&amp;":T"&amp;$I37&amp;""),0))),""),4),"1",""),
"")
&amp;"5"),
INDIRECT("数出表_Excel!"&amp;
IFERROR(
SUBSTITUTE(ADDRESS(1,
IFERROR(COLUMN(INDEX(INDIRECT("数出表_Excel!B"&amp;$I37&amp;":T"&amp;$I37&amp;""),1,MATCH(TEXT(F37,0),INDIRECT("数出表_Excel!B"&amp;$I37&amp;":T"&amp;$I37&amp;""),0))),""),4),"1",""),
"")
&amp;"3")),"")</f>
        <v/>
      </c>
      <c r="O37" t="str" cm="1">
        <f t="array" aca="1" ref="O37" ca="1">IFERROR(IF(OR(COUNTIF(INDIRECT("数出表_Excel!"&amp;
IFERROR(
SUBSTITUTE(ADDRESS(1,
IFERROR(COLUMN(INDEX(INDIRECT("数出表_Excel!B"&amp;$I37&amp;":T"&amp;$I37&amp;""),1,MATCH(TEXT(G37,0),INDIRECT("数出表_Excel!B"&amp;$I37&amp;":T"&amp;$I37&amp;""),0))),""),4),"1",""),
"")
&amp;"3"),"*キャラ*"),
COUNTIF(INDIRECT("数出表_Excel!"&amp;
IFERROR(
SUBSTITUTE(ADDRESS(1,
IFERROR(COLUMN(INDEX(INDIRECT("数出表_Excel!B"&amp;$I37&amp;":T"&amp;$I37&amp;""),1,MATCH(TEXT(G37,0),INDIRECT("数出表_Excel!B"&amp;$I37&amp;":T"&amp;$I37&amp;""),0))),""),4),"1",""),
"")
&amp;"3"),"*赤*")),
INDIRECT("数出表_Excel!"&amp;
IFERROR(
SUBSTITUTE(ADDRESS(1,
IFERROR(COLUMN(INDEX(INDIRECT("数出表_Excel!B"&amp;$I37&amp;":T"&amp;$I37&amp;""),1,MATCH(TEXT(G37,0),INDIRECT("数出表_Excel!B"&amp;$I37&amp;":T"&amp;$I37&amp;""),0))),""),4),"1",""),
"")
&amp;"3")
&amp;"　"&amp;INDIRECT("数出表_Excel!"&amp;
IFERROR(
SUBSTITUTE(ADDRESS(1,
IFERROR(COLUMN(INDEX(INDIRECT("数出表_Excel!B"&amp;$I37&amp;":T"&amp;$I37&amp;""),1,MATCH(TEXT(G37,0),INDIRECT("数出表_Excel!B"&amp;$I37&amp;":T"&amp;$I37&amp;""),0))),""),4),"1",""),
"")
&amp;"4")
&amp;INDIRECT("数出表_Excel!"&amp;
IFERROR(
SUBSTITUTE(ADDRESS(1,
IFERROR(COLUMN(INDEX(INDIRECT("数出表_Excel!B"&amp;$I37&amp;":T"&amp;$I37&amp;""),1,MATCH(TEXT(G37,0),INDIRECT("数出表_Excel!B"&amp;$I37&amp;":T"&amp;$I37&amp;""),0))),""),4),"1",""),
"")
&amp;"5"),
INDIRECT("数出表_Excel!"&amp;
IFERROR(
SUBSTITUTE(ADDRESS(1,
IFERROR(COLUMN(INDEX(INDIRECT("数出表_Excel!B"&amp;$I37&amp;":T"&amp;$I37&amp;""),1,MATCH(TEXT(G37,0),INDIRECT("数出表_Excel!B"&amp;$I37&amp;":T"&amp;$I37&amp;""),0))),""),4),"1",""),
"")
&amp;"3")),"")</f>
        <v/>
      </c>
    </row>
    <row r="38" spans="9:15">
      <c r="I38" t="str">
        <f>IF(A38&lt;&gt;"",MATCH(A38,数出表_Excel!A:A,0),"")</f>
        <v/>
      </c>
      <c r="J38" t="str" cm="1">
        <f t="array" aca="1" ref="J38" ca="1">IFERROR(IF(OR(COUNTIF(INDIRECT("数出表_Excel!"&amp;
IFERROR(
SUBSTITUTE(ADDRESS(1,
IFERROR(COLUMN(INDEX(INDIRECT("数出表_Excel!B"&amp;$I38-1&amp;":T"&amp;$I38-1&amp;""),1,MATCH(TEXT(B38,0),INDIRECT("数出表_Excel!B"&amp;$I38-1&amp;":T"&amp;$I38-1&amp;""),0))),""),4),"1",""),
"")
&amp;"3"),"*キャラ*"),
COUNTIF(INDIRECT("数出表_Excel!"&amp;
IFERROR(
SUBSTITUTE(ADDRESS(1,
IFERROR(COLUMN(INDEX(INDIRECT("数出表_Excel!B"&amp;$I38-1&amp;":T"&amp;$I38-1&amp;""),1,MATCH(TEXT(B38,0),INDIRECT("数出表_Excel!B"&amp;$I38-1&amp;":T"&amp;$I38-1&amp;""),0))),""),4),"1",""),
"")
&amp;"3"),"*赤*")),
INDIRECT("数出表_Excel!"&amp;
IFERROR(
SUBSTITUTE(ADDRESS(1,
IFERROR(COLUMN(INDEX(INDIRECT("数出表_Excel!B"&amp;$I38-1&amp;":T"&amp;$I38-1&amp;""),1,MATCH(TEXT(B38,0),INDIRECT("数出表_Excel!B"&amp;$I38-1&amp;":T"&amp;$I38-1&amp;""),0))),""),4),"1",""),
"")
&amp;"3")
&amp;"　"&amp;INDIRECT("数出表_Excel!"&amp;
IFERROR(
SUBSTITUTE(ADDRESS(1,
IFERROR(COLUMN(INDEX(INDIRECT("数出表_Excel!B"&amp;$I38-1&amp;":T"&amp;$I38-1&amp;""),1,MATCH(TEXT(B38,0),INDIRECT("数出表_Excel!B"&amp;$I38-1&amp;":T"&amp;$I38-1&amp;""),0))),""),4),"1",""),
"")
&amp;"4")
&amp;INDIRECT("数出表_Excel!"&amp;
IFERROR(
SUBSTITUTE(ADDRESS(1,
IFERROR(COLUMN(INDEX(INDIRECT("数出表_Excel!B"&amp;$I38-1&amp;":T"&amp;$I38-1&amp;""),1,MATCH(TEXT(B38,0),INDIRECT("数出表_Excel!B"&amp;$I38-1&amp;":T"&amp;$I38-1&amp;""),0))),""),4),"1",""),
"")
&amp;"5"),
INDIRECT("数出表_Excel!"&amp;
IFERROR(
SUBSTITUTE(ADDRESS(1,
IFERROR(COLUMN(INDEX(INDIRECT("数出表_Excel!B"&amp;$I38-1&amp;":T"&amp;$I38-1&amp;""),1,MATCH(TEXT(B38,0),INDIRECT("数出表_Excel!B"&amp;$I38-1&amp;":T"&amp;$I38-1&amp;""),0))),""),4),"1",""),
"")
&amp;"3")),"")</f>
        <v/>
      </c>
      <c r="K38" t="str" cm="1">
        <f t="array" aca="1" ref="K38" ca="1">IFERROR(IF(OR(COUNTIF(INDIRECT("数出表_Excel!"&amp;
IFERROR(
SUBSTITUTE(ADDRESS(1,
IFERROR(COLUMN(INDEX(INDIRECT("数出表_Excel!B"&amp;$I38-1&amp;":T"&amp;$I38-1&amp;""),1,MATCH(TEXT(C38,0),INDIRECT("数出表_Excel!B"&amp;$I38-1&amp;":T"&amp;$I38-1&amp;""),0))),""),4),"1",""),
"")
&amp;"3"),"*キャラ*"),
COUNTIF(INDIRECT("数出表_Excel!"&amp;
IFERROR(
SUBSTITUTE(ADDRESS(1,
IFERROR(COLUMN(INDEX(INDIRECT("数出表_Excel!B"&amp;$I38-1&amp;":T"&amp;$I38-1&amp;""),1,MATCH(TEXT(C38,0),INDIRECT("数出表_Excel!B"&amp;$I38-1&amp;":T"&amp;$I38-1&amp;""),0))),""),4),"1",""),
"")
&amp;"3"),"*赤*")),
INDIRECT("数出表_Excel!"&amp;
IFERROR(
SUBSTITUTE(ADDRESS(1,
IFERROR(COLUMN(INDEX(INDIRECT("数出表_Excel!B"&amp;$I38-1&amp;":T"&amp;$I38-1&amp;""),1,MATCH(TEXT(C38,0),INDIRECT("数出表_Excel!B"&amp;$I38-1&amp;":T"&amp;$I38-1&amp;""),0))),""),4),"1",""),
"")
&amp;"3")
&amp;"　"&amp;INDIRECT("数出表_Excel!"&amp;
IFERROR(
SUBSTITUTE(ADDRESS(1,
IFERROR(COLUMN(INDEX(INDIRECT("数出表_Excel!B"&amp;$I38-1&amp;":T"&amp;$I38-1&amp;""),1,MATCH(TEXT(C38,0),INDIRECT("数出表_Excel!B"&amp;$I38-1&amp;":T"&amp;$I38-1&amp;""),0))),""),4),"1",""),
"")
&amp;"4")
&amp;INDIRECT("数出表_Excel!"&amp;
IFERROR(
SUBSTITUTE(ADDRESS(1,
IFERROR(COLUMN(INDEX(INDIRECT("数出表_Excel!B"&amp;$I38-1&amp;":T"&amp;$I38-1&amp;""),1,MATCH(TEXT(C38,0),INDIRECT("数出表_Excel!B"&amp;$I38-1&amp;":T"&amp;$I38-1&amp;""),0))),""),4),"1",""),
"")
&amp;"5"),
INDIRECT("数出表_Excel!"&amp;
IFERROR(
SUBSTITUTE(ADDRESS(1,
IFERROR(COLUMN(INDEX(INDIRECT("数出表_Excel!B"&amp;$I38-1&amp;":T"&amp;$I38-1&amp;""),1,MATCH(TEXT(C38,0),INDIRECT("数出表_Excel!B"&amp;$I38-1&amp;":T"&amp;$I38-1&amp;""),0))),""),4),"1",""),
"")
&amp;"3")),"")</f>
        <v/>
      </c>
      <c r="L38" t="str" cm="1">
        <f t="array" aca="1" ref="L38" ca="1">IFERROR(IF(OR(COUNTIF(INDIRECT("数出表_Excel!"&amp;
IFERROR(
SUBSTITUTE(ADDRESS(1,
IFERROR(COLUMN(INDEX(INDIRECT("数出表_Excel!B"&amp;$I38-1&amp;":T"&amp;$I38-1&amp;""),1,MATCH(TEXT(D38,0),INDIRECT("数出表_Excel!B"&amp;$I38-1&amp;":T"&amp;$I38-1&amp;""),0))),""),4),"1",""),
"")
&amp;"3"),"*キャラ*"),
COUNTIF(INDIRECT("数出表_Excel!"&amp;
IFERROR(
SUBSTITUTE(ADDRESS(1,
IFERROR(COLUMN(INDEX(INDIRECT("数出表_Excel!B"&amp;$I38-1&amp;":T"&amp;$I38-1&amp;""),1,MATCH(TEXT(D38,0),INDIRECT("数出表_Excel!B"&amp;$I38-1&amp;":T"&amp;$I38-1&amp;""),0))),""),4),"1",""),
"")
&amp;"3"),"*赤*")),
INDIRECT("数出表_Excel!"&amp;
IFERROR(
SUBSTITUTE(ADDRESS(1,
IFERROR(COLUMN(INDEX(INDIRECT("数出表_Excel!B"&amp;$I38-1&amp;":T"&amp;$I38-1&amp;""),1,MATCH(TEXT(D38,0),INDIRECT("数出表_Excel!B"&amp;$I38-1&amp;":T"&amp;$I38-1&amp;""),0))),""),4),"1",""),
"")
&amp;"3")
&amp;"　"&amp;INDIRECT("数出表_Excel!"&amp;
IFERROR(
SUBSTITUTE(ADDRESS(1,
IFERROR(COLUMN(INDEX(INDIRECT("数出表_Excel!B"&amp;$I38-1&amp;":T"&amp;$I38-1&amp;""),1,MATCH(TEXT(D38,0),INDIRECT("数出表_Excel!B"&amp;$I38-1&amp;":T"&amp;$I38-1&amp;""),0))),""),4),"1",""),
"")
&amp;"4")
&amp;INDIRECT("数出表_Excel!"&amp;
IFERROR(
SUBSTITUTE(ADDRESS(1,
IFERROR(COLUMN(INDEX(INDIRECT("数出表_Excel!B"&amp;$I38-1&amp;":T"&amp;$I38-1&amp;""),1,MATCH(TEXT(D38,0),INDIRECT("数出表_Excel!B"&amp;$I38-1&amp;":T"&amp;$I38-1&amp;""),0))),""),4),"1",""),
"")
&amp;"5"),
INDIRECT("数出表_Excel!"&amp;
IFERROR(
SUBSTITUTE(ADDRESS(1,
IFERROR(COLUMN(INDEX(INDIRECT("数出表_Excel!B"&amp;$I38-1&amp;":T"&amp;$I38-1&amp;""),1,MATCH(TEXT(D38,0),INDIRECT("数出表_Excel!B"&amp;$I38-1&amp;":T"&amp;$I38-1&amp;""),0))),""),4),"1",""),
"")
&amp;"3")),"")</f>
        <v/>
      </c>
      <c r="M38" t="str" cm="1">
        <f t="array" aca="1" ref="M38" ca="1">IFERROR(IF(OR(COUNTIF(INDIRECT("数出表_Excel!"&amp;
IFERROR(
SUBSTITUTE(ADDRESS(1,
IFERROR(COLUMN(INDEX(INDIRECT("数出表_Excel!B"&amp;$I38&amp;":T"&amp;$I38&amp;""),1,MATCH(TEXT(E38,0),INDIRECT("数出表_Excel!B"&amp;$I38&amp;":T"&amp;$I38&amp;""),0))),""),4),"1",""),
"")
&amp;"3"),"*キャラ*"),
COUNTIF(INDIRECT("数出表_Excel!"&amp;
IFERROR(
SUBSTITUTE(ADDRESS(1,
IFERROR(COLUMN(INDEX(INDIRECT("数出表_Excel!B"&amp;$I38&amp;":T"&amp;$I38&amp;""),1,MATCH(TEXT(E38,0),INDIRECT("数出表_Excel!B"&amp;$I38&amp;":T"&amp;$I38&amp;""),0))),""),4),"1",""),
"")
&amp;"3"),"*赤*")),
INDIRECT("数出表_Excel!"&amp;
IFERROR(
SUBSTITUTE(ADDRESS(1,
IFERROR(COLUMN(INDEX(INDIRECT("数出表_Excel!B"&amp;$I38&amp;":T"&amp;$I38&amp;""),1,MATCH(TEXT(E38,0),INDIRECT("数出表_Excel!B"&amp;$I38&amp;":T"&amp;$I38&amp;""),0))),""),4),"1",""),
"")
&amp;"3")
&amp;"　"&amp;INDIRECT("数出表_Excel!"&amp;
IFERROR(
SUBSTITUTE(ADDRESS(1,
IFERROR(COLUMN(INDEX(INDIRECT("数出表_Excel!B"&amp;$I38&amp;":T"&amp;$I38&amp;""),1,MATCH(TEXT(E38,0),INDIRECT("数出表_Excel!B"&amp;$I38&amp;":T"&amp;$I38&amp;""),0))),""),4),"1",""),
"")
&amp;"4")
&amp;INDIRECT("数出表_Excel!"&amp;
IFERROR(
SUBSTITUTE(ADDRESS(1,
IFERROR(COLUMN(INDEX(INDIRECT("数出表_Excel!B"&amp;$I38&amp;":T"&amp;$I38&amp;""),1,MATCH(TEXT(E38,0),INDIRECT("数出表_Excel!B"&amp;$I38&amp;":T"&amp;$I38&amp;""),0))),""),4),"1",""),
"")
&amp;"5"),
INDIRECT("数出表_Excel!"&amp;
IFERROR(
SUBSTITUTE(ADDRESS(1,
IFERROR(COLUMN(INDEX(INDIRECT("数出表_Excel!B"&amp;$I38&amp;":T"&amp;$I38&amp;""),1,MATCH(TEXT(E38,0),INDIRECT("数出表_Excel!B"&amp;$I38&amp;":T"&amp;$I38&amp;""),0))),""),4),"1",""),
"")
&amp;"3")),"")</f>
        <v/>
      </c>
      <c r="N38" t="str" cm="1">
        <f t="array" aca="1" ref="N38" ca="1">IFERROR(IF(OR(COUNTIF(INDIRECT("数出表_Excel!"&amp;
IFERROR(
SUBSTITUTE(ADDRESS(1,
IFERROR(COLUMN(INDEX(INDIRECT("数出表_Excel!B"&amp;$I38&amp;":T"&amp;$I38&amp;""),1,MATCH(TEXT(F38,0),INDIRECT("数出表_Excel!B"&amp;$I38&amp;":T"&amp;$I38&amp;""),0))),""),4),"1",""),
"")
&amp;"3"),"*キャラ*"),
COUNTIF(INDIRECT("数出表_Excel!"&amp;
IFERROR(
SUBSTITUTE(ADDRESS(1,
IFERROR(COLUMN(INDEX(INDIRECT("数出表_Excel!B"&amp;$I38&amp;":T"&amp;$I38&amp;""),1,MATCH(TEXT(F38,0),INDIRECT("数出表_Excel!B"&amp;$I38&amp;":T"&amp;$I38&amp;""),0))),""),4),"1",""),
"")
&amp;"3"),"*赤*")),
INDIRECT("数出表_Excel!"&amp;
IFERROR(
SUBSTITUTE(ADDRESS(1,
IFERROR(COLUMN(INDEX(INDIRECT("数出表_Excel!B"&amp;$I38&amp;":T"&amp;$I38&amp;""),1,MATCH(TEXT(F38,0),INDIRECT("数出表_Excel!B"&amp;$I38&amp;":T"&amp;$I38&amp;""),0))),""),4),"1",""),
"")
&amp;"3")
&amp;"　"&amp;INDIRECT("数出表_Excel!"&amp;
IFERROR(
SUBSTITUTE(ADDRESS(1,
IFERROR(COLUMN(INDEX(INDIRECT("数出表_Excel!B"&amp;$I38&amp;":T"&amp;$I38&amp;""),1,MATCH(TEXT(F38,0),INDIRECT("数出表_Excel!B"&amp;$I38&amp;":T"&amp;$I38&amp;""),0))),""),4),"1",""),
"")
&amp;"4")
&amp;INDIRECT("数出表_Excel!"&amp;
IFERROR(
SUBSTITUTE(ADDRESS(1,
IFERROR(COLUMN(INDEX(INDIRECT("数出表_Excel!B"&amp;$I38&amp;":T"&amp;$I38&amp;""),1,MATCH(TEXT(F38,0),INDIRECT("数出表_Excel!B"&amp;$I38&amp;":T"&amp;$I38&amp;""),0))),""),4),"1",""),
"")
&amp;"5"),
INDIRECT("数出表_Excel!"&amp;
IFERROR(
SUBSTITUTE(ADDRESS(1,
IFERROR(COLUMN(INDEX(INDIRECT("数出表_Excel!B"&amp;$I38&amp;":T"&amp;$I38&amp;""),1,MATCH(TEXT(F38,0),INDIRECT("数出表_Excel!B"&amp;$I38&amp;":T"&amp;$I38&amp;""),0))),""),4),"1",""),
"")
&amp;"3")),"")</f>
        <v/>
      </c>
      <c r="O38" t="str" cm="1">
        <f t="array" aca="1" ref="O38" ca="1">IFERROR(IF(OR(COUNTIF(INDIRECT("数出表_Excel!"&amp;
IFERROR(
SUBSTITUTE(ADDRESS(1,
IFERROR(COLUMN(INDEX(INDIRECT("数出表_Excel!B"&amp;$I38&amp;":T"&amp;$I38&amp;""),1,MATCH(TEXT(G38,0),INDIRECT("数出表_Excel!B"&amp;$I38&amp;":T"&amp;$I38&amp;""),0))),""),4),"1",""),
"")
&amp;"3"),"*キャラ*"),
COUNTIF(INDIRECT("数出表_Excel!"&amp;
IFERROR(
SUBSTITUTE(ADDRESS(1,
IFERROR(COLUMN(INDEX(INDIRECT("数出表_Excel!B"&amp;$I38&amp;":T"&amp;$I38&amp;""),1,MATCH(TEXT(G38,0),INDIRECT("数出表_Excel!B"&amp;$I38&amp;":T"&amp;$I38&amp;""),0))),""),4),"1",""),
"")
&amp;"3"),"*赤*")),
INDIRECT("数出表_Excel!"&amp;
IFERROR(
SUBSTITUTE(ADDRESS(1,
IFERROR(COLUMN(INDEX(INDIRECT("数出表_Excel!B"&amp;$I38&amp;":T"&amp;$I38&amp;""),1,MATCH(TEXT(G38,0),INDIRECT("数出表_Excel!B"&amp;$I38&amp;":T"&amp;$I38&amp;""),0))),""),4),"1",""),
"")
&amp;"3")
&amp;"　"&amp;INDIRECT("数出表_Excel!"&amp;
IFERROR(
SUBSTITUTE(ADDRESS(1,
IFERROR(COLUMN(INDEX(INDIRECT("数出表_Excel!B"&amp;$I38&amp;":T"&amp;$I38&amp;""),1,MATCH(TEXT(G38,0),INDIRECT("数出表_Excel!B"&amp;$I38&amp;":T"&amp;$I38&amp;""),0))),""),4),"1",""),
"")
&amp;"4")
&amp;INDIRECT("数出表_Excel!"&amp;
IFERROR(
SUBSTITUTE(ADDRESS(1,
IFERROR(COLUMN(INDEX(INDIRECT("数出表_Excel!B"&amp;$I38&amp;":T"&amp;$I38&amp;""),1,MATCH(TEXT(G38,0),INDIRECT("数出表_Excel!B"&amp;$I38&amp;":T"&amp;$I38&amp;""),0))),""),4),"1",""),
"")
&amp;"5"),
INDIRECT("数出表_Excel!"&amp;
IFERROR(
SUBSTITUTE(ADDRESS(1,
IFERROR(COLUMN(INDEX(INDIRECT("数出表_Excel!B"&amp;$I38&amp;":T"&amp;$I38&amp;""),1,MATCH(TEXT(G38,0),INDIRECT("数出表_Excel!B"&amp;$I38&amp;":T"&amp;$I38&amp;""),0))),""),4),"1",""),
"")
&amp;"3")),"")</f>
        <v/>
      </c>
    </row>
    <row r="39" spans="9:15">
      <c r="I39" t="str">
        <f>IF(A39&lt;&gt;"",MATCH(A39,数出表_Excel!A:A,0),"")</f>
        <v/>
      </c>
      <c r="J39" t="str" cm="1">
        <f t="array" aca="1" ref="J39" ca="1">IFERROR(IF(OR(COUNTIF(INDIRECT("数出表_Excel!"&amp;
IFERROR(
SUBSTITUTE(ADDRESS(1,
IFERROR(COLUMN(INDEX(INDIRECT("数出表_Excel!B"&amp;$I39-1&amp;":T"&amp;$I39-1&amp;""),1,MATCH(TEXT(B39,0),INDIRECT("数出表_Excel!B"&amp;$I39-1&amp;":T"&amp;$I39-1&amp;""),0))),""),4),"1",""),
"")
&amp;"3"),"*キャラ*"),
COUNTIF(INDIRECT("数出表_Excel!"&amp;
IFERROR(
SUBSTITUTE(ADDRESS(1,
IFERROR(COLUMN(INDEX(INDIRECT("数出表_Excel!B"&amp;$I39-1&amp;":T"&amp;$I39-1&amp;""),1,MATCH(TEXT(B39,0),INDIRECT("数出表_Excel!B"&amp;$I39-1&amp;":T"&amp;$I39-1&amp;""),0))),""),4),"1",""),
"")
&amp;"3"),"*赤*")),
INDIRECT("数出表_Excel!"&amp;
IFERROR(
SUBSTITUTE(ADDRESS(1,
IFERROR(COLUMN(INDEX(INDIRECT("数出表_Excel!B"&amp;$I39-1&amp;":T"&amp;$I39-1&amp;""),1,MATCH(TEXT(B39,0),INDIRECT("数出表_Excel!B"&amp;$I39-1&amp;":T"&amp;$I39-1&amp;""),0))),""),4),"1",""),
"")
&amp;"3")
&amp;"　"&amp;INDIRECT("数出表_Excel!"&amp;
IFERROR(
SUBSTITUTE(ADDRESS(1,
IFERROR(COLUMN(INDEX(INDIRECT("数出表_Excel!B"&amp;$I39-1&amp;":T"&amp;$I39-1&amp;""),1,MATCH(TEXT(B39,0),INDIRECT("数出表_Excel!B"&amp;$I39-1&amp;":T"&amp;$I39-1&amp;""),0))),""),4),"1",""),
"")
&amp;"4")
&amp;INDIRECT("数出表_Excel!"&amp;
IFERROR(
SUBSTITUTE(ADDRESS(1,
IFERROR(COLUMN(INDEX(INDIRECT("数出表_Excel!B"&amp;$I39-1&amp;":T"&amp;$I39-1&amp;""),1,MATCH(TEXT(B39,0),INDIRECT("数出表_Excel!B"&amp;$I39-1&amp;":T"&amp;$I39-1&amp;""),0))),""),4),"1",""),
"")
&amp;"5"),
INDIRECT("数出表_Excel!"&amp;
IFERROR(
SUBSTITUTE(ADDRESS(1,
IFERROR(COLUMN(INDEX(INDIRECT("数出表_Excel!B"&amp;$I39-1&amp;":T"&amp;$I39-1&amp;""),1,MATCH(TEXT(B39,0),INDIRECT("数出表_Excel!B"&amp;$I39-1&amp;":T"&amp;$I39-1&amp;""),0))),""),4),"1",""),
"")
&amp;"3")),"")</f>
        <v/>
      </c>
      <c r="K39" t="str" cm="1">
        <f t="array" aca="1" ref="K39" ca="1">IFERROR(IF(OR(COUNTIF(INDIRECT("数出表_Excel!"&amp;
IFERROR(
SUBSTITUTE(ADDRESS(1,
IFERROR(COLUMN(INDEX(INDIRECT("数出表_Excel!B"&amp;$I39-1&amp;":T"&amp;$I39-1&amp;""),1,MATCH(TEXT(C39,0),INDIRECT("数出表_Excel!B"&amp;$I39-1&amp;":T"&amp;$I39-1&amp;""),0))),""),4),"1",""),
"")
&amp;"3"),"*キャラ*"),
COUNTIF(INDIRECT("数出表_Excel!"&amp;
IFERROR(
SUBSTITUTE(ADDRESS(1,
IFERROR(COLUMN(INDEX(INDIRECT("数出表_Excel!B"&amp;$I39-1&amp;":T"&amp;$I39-1&amp;""),1,MATCH(TEXT(C39,0),INDIRECT("数出表_Excel!B"&amp;$I39-1&amp;":T"&amp;$I39-1&amp;""),0))),""),4),"1",""),
"")
&amp;"3"),"*赤*")),
INDIRECT("数出表_Excel!"&amp;
IFERROR(
SUBSTITUTE(ADDRESS(1,
IFERROR(COLUMN(INDEX(INDIRECT("数出表_Excel!B"&amp;$I39-1&amp;":T"&amp;$I39-1&amp;""),1,MATCH(TEXT(C39,0),INDIRECT("数出表_Excel!B"&amp;$I39-1&amp;":T"&amp;$I39-1&amp;""),0))),""),4),"1",""),
"")
&amp;"3")
&amp;"　"&amp;INDIRECT("数出表_Excel!"&amp;
IFERROR(
SUBSTITUTE(ADDRESS(1,
IFERROR(COLUMN(INDEX(INDIRECT("数出表_Excel!B"&amp;$I39-1&amp;":T"&amp;$I39-1&amp;""),1,MATCH(TEXT(C39,0),INDIRECT("数出表_Excel!B"&amp;$I39-1&amp;":T"&amp;$I39-1&amp;""),0))),""),4),"1",""),
"")
&amp;"4")
&amp;INDIRECT("数出表_Excel!"&amp;
IFERROR(
SUBSTITUTE(ADDRESS(1,
IFERROR(COLUMN(INDEX(INDIRECT("数出表_Excel!B"&amp;$I39-1&amp;":T"&amp;$I39-1&amp;""),1,MATCH(TEXT(C39,0),INDIRECT("数出表_Excel!B"&amp;$I39-1&amp;":T"&amp;$I39-1&amp;""),0))),""),4),"1",""),
"")
&amp;"5"),
INDIRECT("数出表_Excel!"&amp;
IFERROR(
SUBSTITUTE(ADDRESS(1,
IFERROR(COLUMN(INDEX(INDIRECT("数出表_Excel!B"&amp;$I39-1&amp;":T"&amp;$I39-1&amp;""),1,MATCH(TEXT(C39,0),INDIRECT("数出表_Excel!B"&amp;$I39-1&amp;":T"&amp;$I39-1&amp;""),0))),""),4),"1",""),
"")
&amp;"3")),"")</f>
        <v/>
      </c>
      <c r="L39" t="str" cm="1">
        <f t="array" aca="1" ref="L39" ca="1">IFERROR(IF(OR(COUNTIF(INDIRECT("数出表_Excel!"&amp;
IFERROR(
SUBSTITUTE(ADDRESS(1,
IFERROR(COLUMN(INDEX(INDIRECT("数出表_Excel!B"&amp;$I39-1&amp;":T"&amp;$I39-1&amp;""),1,MATCH(TEXT(D39,0),INDIRECT("数出表_Excel!B"&amp;$I39-1&amp;":T"&amp;$I39-1&amp;""),0))),""),4),"1",""),
"")
&amp;"3"),"*キャラ*"),
COUNTIF(INDIRECT("数出表_Excel!"&amp;
IFERROR(
SUBSTITUTE(ADDRESS(1,
IFERROR(COLUMN(INDEX(INDIRECT("数出表_Excel!B"&amp;$I39-1&amp;":T"&amp;$I39-1&amp;""),1,MATCH(TEXT(D39,0),INDIRECT("数出表_Excel!B"&amp;$I39-1&amp;":T"&amp;$I39-1&amp;""),0))),""),4),"1",""),
"")
&amp;"3"),"*赤*")),
INDIRECT("数出表_Excel!"&amp;
IFERROR(
SUBSTITUTE(ADDRESS(1,
IFERROR(COLUMN(INDEX(INDIRECT("数出表_Excel!B"&amp;$I39-1&amp;":T"&amp;$I39-1&amp;""),1,MATCH(TEXT(D39,0),INDIRECT("数出表_Excel!B"&amp;$I39-1&amp;":T"&amp;$I39-1&amp;""),0))),""),4),"1",""),
"")
&amp;"3")
&amp;"　"&amp;INDIRECT("数出表_Excel!"&amp;
IFERROR(
SUBSTITUTE(ADDRESS(1,
IFERROR(COLUMN(INDEX(INDIRECT("数出表_Excel!B"&amp;$I39-1&amp;":T"&amp;$I39-1&amp;""),1,MATCH(TEXT(D39,0),INDIRECT("数出表_Excel!B"&amp;$I39-1&amp;":T"&amp;$I39-1&amp;""),0))),""),4),"1",""),
"")
&amp;"4")
&amp;INDIRECT("数出表_Excel!"&amp;
IFERROR(
SUBSTITUTE(ADDRESS(1,
IFERROR(COLUMN(INDEX(INDIRECT("数出表_Excel!B"&amp;$I39-1&amp;":T"&amp;$I39-1&amp;""),1,MATCH(TEXT(D39,0),INDIRECT("数出表_Excel!B"&amp;$I39-1&amp;":T"&amp;$I39-1&amp;""),0))),""),4),"1",""),
"")
&amp;"5"),
INDIRECT("数出表_Excel!"&amp;
IFERROR(
SUBSTITUTE(ADDRESS(1,
IFERROR(COLUMN(INDEX(INDIRECT("数出表_Excel!B"&amp;$I39-1&amp;":T"&amp;$I39-1&amp;""),1,MATCH(TEXT(D39,0),INDIRECT("数出表_Excel!B"&amp;$I39-1&amp;":T"&amp;$I39-1&amp;""),0))),""),4),"1",""),
"")
&amp;"3")),"")</f>
        <v/>
      </c>
      <c r="M39" t="str" cm="1">
        <f t="array" aca="1" ref="M39" ca="1">IFERROR(IF(OR(COUNTIF(INDIRECT("数出表_Excel!"&amp;
IFERROR(
SUBSTITUTE(ADDRESS(1,
IFERROR(COLUMN(INDEX(INDIRECT("数出表_Excel!B"&amp;$I39&amp;":T"&amp;$I39&amp;""),1,MATCH(TEXT(E39,0),INDIRECT("数出表_Excel!B"&amp;$I39&amp;":T"&amp;$I39&amp;""),0))),""),4),"1",""),
"")
&amp;"3"),"*キャラ*"),
COUNTIF(INDIRECT("数出表_Excel!"&amp;
IFERROR(
SUBSTITUTE(ADDRESS(1,
IFERROR(COLUMN(INDEX(INDIRECT("数出表_Excel!B"&amp;$I39&amp;":T"&amp;$I39&amp;""),1,MATCH(TEXT(E39,0),INDIRECT("数出表_Excel!B"&amp;$I39&amp;":T"&amp;$I39&amp;""),0))),""),4),"1",""),
"")
&amp;"3"),"*赤*")),
INDIRECT("数出表_Excel!"&amp;
IFERROR(
SUBSTITUTE(ADDRESS(1,
IFERROR(COLUMN(INDEX(INDIRECT("数出表_Excel!B"&amp;$I39&amp;":T"&amp;$I39&amp;""),1,MATCH(TEXT(E39,0),INDIRECT("数出表_Excel!B"&amp;$I39&amp;":T"&amp;$I39&amp;""),0))),""),4),"1",""),
"")
&amp;"3")
&amp;"　"&amp;INDIRECT("数出表_Excel!"&amp;
IFERROR(
SUBSTITUTE(ADDRESS(1,
IFERROR(COLUMN(INDEX(INDIRECT("数出表_Excel!B"&amp;$I39&amp;":T"&amp;$I39&amp;""),1,MATCH(TEXT(E39,0),INDIRECT("数出表_Excel!B"&amp;$I39&amp;":T"&amp;$I39&amp;""),0))),""),4),"1",""),
"")
&amp;"4")
&amp;INDIRECT("数出表_Excel!"&amp;
IFERROR(
SUBSTITUTE(ADDRESS(1,
IFERROR(COLUMN(INDEX(INDIRECT("数出表_Excel!B"&amp;$I39&amp;":T"&amp;$I39&amp;""),1,MATCH(TEXT(E39,0),INDIRECT("数出表_Excel!B"&amp;$I39&amp;":T"&amp;$I39&amp;""),0))),""),4),"1",""),
"")
&amp;"5"),
INDIRECT("数出表_Excel!"&amp;
IFERROR(
SUBSTITUTE(ADDRESS(1,
IFERROR(COLUMN(INDEX(INDIRECT("数出表_Excel!B"&amp;$I39&amp;":T"&amp;$I39&amp;""),1,MATCH(TEXT(E39,0),INDIRECT("数出表_Excel!B"&amp;$I39&amp;":T"&amp;$I39&amp;""),0))),""),4),"1",""),
"")
&amp;"3")),"")</f>
        <v/>
      </c>
      <c r="N39" t="str" cm="1">
        <f t="array" aca="1" ref="N39" ca="1">IFERROR(IF(OR(COUNTIF(INDIRECT("数出表_Excel!"&amp;
IFERROR(
SUBSTITUTE(ADDRESS(1,
IFERROR(COLUMN(INDEX(INDIRECT("数出表_Excel!B"&amp;$I39&amp;":T"&amp;$I39&amp;""),1,MATCH(TEXT(F39,0),INDIRECT("数出表_Excel!B"&amp;$I39&amp;":T"&amp;$I39&amp;""),0))),""),4),"1",""),
"")
&amp;"3"),"*キャラ*"),
COUNTIF(INDIRECT("数出表_Excel!"&amp;
IFERROR(
SUBSTITUTE(ADDRESS(1,
IFERROR(COLUMN(INDEX(INDIRECT("数出表_Excel!B"&amp;$I39&amp;":T"&amp;$I39&amp;""),1,MATCH(TEXT(F39,0),INDIRECT("数出表_Excel!B"&amp;$I39&amp;":T"&amp;$I39&amp;""),0))),""),4),"1",""),
"")
&amp;"3"),"*赤*")),
INDIRECT("数出表_Excel!"&amp;
IFERROR(
SUBSTITUTE(ADDRESS(1,
IFERROR(COLUMN(INDEX(INDIRECT("数出表_Excel!B"&amp;$I39&amp;":T"&amp;$I39&amp;""),1,MATCH(TEXT(F39,0),INDIRECT("数出表_Excel!B"&amp;$I39&amp;":T"&amp;$I39&amp;""),0))),""),4),"1",""),
"")
&amp;"3")
&amp;"　"&amp;INDIRECT("数出表_Excel!"&amp;
IFERROR(
SUBSTITUTE(ADDRESS(1,
IFERROR(COLUMN(INDEX(INDIRECT("数出表_Excel!B"&amp;$I39&amp;":T"&amp;$I39&amp;""),1,MATCH(TEXT(F39,0),INDIRECT("数出表_Excel!B"&amp;$I39&amp;":T"&amp;$I39&amp;""),0))),""),4),"1",""),
"")
&amp;"4")
&amp;INDIRECT("数出表_Excel!"&amp;
IFERROR(
SUBSTITUTE(ADDRESS(1,
IFERROR(COLUMN(INDEX(INDIRECT("数出表_Excel!B"&amp;$I39&amp;":T"&amp;$I39&amp;""),1,MATCH(TEXT(F39,0),INDIRECT("数出表_Excel!B"&amp;$I39&amp;":T"&amp;$I39&amp;""),0))),""),4),"1",""),
"")
&amp;"5"),
INDIRECT("数出表_Excel!"&amp;
IFERROR(
SUBSTITUTE(ADDRESS(1,
IFERROR(COLUMN(INDEX(INDIRECT("数出表_Excel!B"&amp;$I39&amp;":T"&amp;$I39&amp;""),1,MATCH(TEXT(F39,0),INDIRECT("数出表_Excel!B"&amp;$I39&amp;":T"&amp;$I39&amp;""),0))),""),4),"1",""),
"")
&amp;"3")),"")</f>
        <v/>
      </c>
      <c r="O39" t="str" cm="1">
        <f t="array" aca="1" ref="O39" ca="1">IFERROR(IF(OR(COUNTIF(INDIRECT("数出表_Excel!"&amp;
IFERROR(
SUBSTITUTE(ADDRESS(1,
IFERROR(COLUMN(INDEX(INDIRECT("数出表_Excel!B"&amp;$I39&amp;":T"&amp;$I39&amp;""),1,MATCH(TEXT(G39,0),INDIRECT("数出表_Excel!B"&amp;$I39&amp;":T"&amp;$I39&amp;""),0))),""),4),"1",""),
"")
&amp;"3"),"*キャラ*"),
COUNTIF(INDIRECT("数出表_Excel!"&amp;
IFERROR(
SUBSTITUTE(ADDRESS(1,
IFERROR(COLUMN(INDEX(INDIRECT("数出表_Excel!B"&amp;$I39&amp;":T"&amp;$I39&amp;""),1,MATCH(TEXT(G39,0),INDIRECT("数出表_Excel!B"&amp;$I39&amp;":T"&amp;$I39&amp;""),0))),""),4),"1",""),
"")
&amp;"3"),"*赤*")),
INDIRECT("数出表_Excel!"&amp;
IFERROR(
SUBSTITUTE(ADDRESS(1,
IFERROR(COLUMN(INDEX(INDIRECT("数出表_Excel!B"&amp;$I39&amp;":T"&amp;$I39&amp;""),1,MATCH(TEXT(G39,0),INDIRECT("数出表_Excel!B"&amp;$I39&amp;":T"&amp;$I39&amp;""),0))),""),4),"1",""),
"")
&amp;"3")
&amp;"　"&amp;INDIRECT("数出表_Excel!"&amp;
IFERROR(
SUBSTITUTE(ADDRESS(1,
IFERROR(COLUMN(INDEX(INDIRECT("数出表_Excel!B"&amp;$I39&amp;":T"&amp;$I39&amp;""),1,MATCH(TEXT(G39,0),INDIRECT("数出表_Excel!B"&amp;$I39&amp;":T"&amp;$I39&amp;""),0))),""),4),"1",""),
"")
&amp;"4")
&amp;INDIRECT("数出表_Excel!"&amp;
IFERROR(
SUBSTITUTE(ADDRESS(1,
IFERROR(COLUMN(INDEX(INDIRECT("数出表_Excel!B"&amp;$I39&amp;":T"&amp;$I39&amp;""),1,MATCH(TEXT(G39,0),INDIRECT("数出表_Excel!B"&amp;$I39&amp;":T"&amp;$I39&amp;""),0))),""),4),"1",""),
"")
&amp;"5"),
INDIRECT("数出表_Excel!"&amp;
IFERROR(
SUBSTITUTE(ADDRESS(1,
IFERROR(COLUMN(INDEX(INDIRECT("数出表_Excel!B"&amp;$I39&amp;":T"&amp;$I39&amp;""),1,MATCH(TEXT(G39,0),INDIRECT("数出表_Excel!B"&amp;$I39&amp;":T"&amp;$I39&amp;""),0))),""),4),"1",""),
"")
&amp;"3")),"")</f>
        <v/>
      </c>
    </row>
    <row r="40" spans="9:15">
      <c r="I40" t="str">
        <f>IF(A40&lt;&gt;"",MATCH(A40,数出表_Excel!A:A,0),"")</f>
        <v/>
      </c>
      <c r="J40" t="str" cm="1">
        <f t="array" aca="1" ref="J40" ca="1">IFERROR(IF(OR(COUNTIF(INDIRECT("数出表_Excel!"&amp;
IFERROR(
SUBSTITUTE(ADDRESS(1,
IFERROR(COLUMN(INDEX(INDIRECT("数出表_Excel!B"&amp;$I40-1&amp;":T"&amp;$I40-1&amp;""),1,MATCH(TEXT(B40,0),INDIRECT("数出表_Excel!B"&amp;$I40-1&amp;":T"&amp;$I40-1&amp;""),0))),""),4),"1",""),
"")
&amp;"3"),"*キャラ*"),
COUNTIF(INDIRECT("数出表_Excel!"&amp;
IFERROR(
SUBSTITUTE(ADDRESS(1,
IFERROR(COLUMN(INDEX(INDIRECT("数出表_Excel!B"&amp;$I40-1&amp;":T"&amp;$I40-1&amp;""),1,MATCH(TEXT(B40,0),INDIRECT("数出表_Excel!B"&amp;$I40-1&amp;":T"&amp;$I40-1&amp;""),0))),""),4),"1",""),
"")
&amp;"3"),"*赤*")),
INDIRECT("数出表_Excel!"&amp;
IFERROR(
SUBSTITUTE(ADDRESS(1,
IFERROR(COLUMN(INDEX(INDIRECT("数出表_Excel!B"&amp;$I40-1&amp;":T"&amp;$I40-1&amp;""),1,MATCH(TEXT(B40,0),INDIRECT("数出表_Excel!B"&amp;$I40-1&amp;":T"&amp;$I40-1&amp;""),0))),""),4),"1",""),
"")
&amp;"3")
&amp;"　"&amp;INDIRECT("数出表_Excel!"&amp;
IFERROR(
SUBSTITUTE(ADDRESS(1,
IFERROR(COLUMN(INDEX(INDIRECT("数出表_Excel!B"&amp;$I40-1&amp;":T"&amp;$I40-1&amp;""),1,MATCH(TEXT(B40,0),INDIRECT("数出表_Excel!B"&amp;$I40-1&amp;":T"&amp;$I40-1&amp;""),0))),""),4),"1",""),
"")
&amp;"4")
&amp;INDIRECT("数出表_Excel!"&amp;
IFERROR(
SUBSTITUTE(ADDRESS(1,
IFERROR(COLUMN(INDEX(INDIRECT("数出表_Excel!B"&amp;$I40-1&amp;":T"&amp;$I40-1&amp;""),1,MATCH(TEXT(B40,0),INDIRECT("数出表_Excel!B"&amp;$I40-1&amp;":T"&amp;$I40-1&amp;""),0))),""),4),"1",""),
"")
&amp;"5"),
INDIRECT("数出表_Excel!"&amp;
IFERROR(
SUBSTITUTE(ADDRESS(1,
IFERROR(COLUMN(INDEX(INDIRECT("数出表_Excel!B"&amp;$I40-1&amp;":T"&amp;$I40-1&amp;""),1,MATCH(TEXT(B40,0),INDIRECT("数出表_Excel!B"&amp;$I40-1&amp;":T"&amp;$I40-1&amp;""),0))),""),4),"1",""),
"")
&amp;"3")),"")</f>
        <v/>
      </c>
      <c r="K40" t="str" cm="1">
        <f t="array" aca="1" ref="K40" ca="1">IFERROR(IF(OR(COUNTIF(INDIRECT("数出表_Excel!"&amp;
IFERROR(
SUBSTITUTE(ADDRESS(1,
IFERROR(COLUMN(INDEX(INDIRECT("数出表_Excel!B"&amp;$I40-1&amp;":T"&amp;$I40-1&amp;""),1,MATCH(TEXT(C40,0),INDIRECT("数出表_Excel!B"&amp;$I40-1&amp;":T"&amp;$I40-1&amp;""),0))),""),4),"1",""),
"")
&amp;"3"),"*キャラ*"),
COUNTIF(INDIRECT("数出表_Excel!"&amp;
IFERROR(
SUBSTITUTE(ADDRESS(1,
IFERROR(COLUMN(INDEX(INDIRECT("数出表_Excel!B"&amp;$I40-1&amp;":T"&amp;$I40-1&amp;""),1,MATCH(TEXT(C40,0),INDIRECT("数出表_Excel!B"&amp;$I40-1&amp;":T"&amp;$I40-1&amp;""),0))),""),4),"1",""),
"")
&amp;"3"),"*赤*")),
INDIRECT("数出表_Excel!"&amp;
IFERROR(
SUBSTITUTE(ADDRESS(1,
IFERROR(COLUMN(INDEX(INDIRECT("数出表_Excel!B"&amp;$I40-1&amp;":T"&amp;$I40-1&amp;""),1,MATCH(TEXT(C40,0),INDIRECT("数出表_Excel!B"&amp;$I40-1&amp;":T"&amp;$I40-1&amp;""),0))),""),4),"1",""),
"")
&amp;"3")
&amp;"　"&amp;INDIRECT("数出表_Excel!"&amp;
IFERROR(
SUBSTITUTE(ADDRESS(1,
IFERROR(COLUMN(INDEX(INDIRECT("数出表_Excel!B"&amp;$I40-1&amp;":T"&amp;$I40-1&amp;""),1,MATCH(TEXT(C40,0),INDIRECT("数出表_Excel!B"&amp;$I40-1&amp;":T"&amp;$I40-1&amp;""),0))),""),4),"1",""),
"")
&amp;"4")
&amp;INDIRECT("数出表_Excel!"&amp;
IFERROR(
SUBSTITUTE(ADDRESS(1,
IFERROR(COLUMN(INDEX(INDIRECT("数出表_Excel!B"&amp;$I40-1&amp;":T"&amp;$I40-1&amp;""),1,MATCH(TEXT(C40,0),INDIRECT("数出表_Excel!B"&amp;$I40-1&amp;":T"&amp;$I40-1&amp;""),0))),""),4),"1",""),
"")
&amp;"5"),
INDIRECT("数出表_Excel!"&amp;
IFERROR(
SUBSTITUTE(ADDRESS(1,
IFERROR(COLUMN(INDEX(INDIRECT("数出表_Excel!B"&amp;$I40-1&amp;":T"&amp;$I40-1&amp;""),1,MATCH(TEXT(C40,0),INDIRECT("数出表_Excel!B"&amp;$I40-1&amp;":T"&amp;$I40-1&amp;""),0))),""),4),"1",""),
"")
&amp;"3")),"")</f>
        <v/>
      </c>
      <c r="L40" t="str" cm="1">
        <f t="array" aca="1" ref="L40" ca="1">IFERROR(IF(OR(COUNTIF(INDIRECT("数出表_Excel!"&amp;
IFERROR(
SUBSTITUTE(ADDRESS(1,
IFERROR(COLUMN(INDEX(INDIRECT("数出表_Excel!B"&amp;$I40-1&amp;":T"&amp;$I40-1&amp;""),1,MATCH(TEXT(D40,0),INDIRECT("数出表_Excel!B"&amp;$I40-1&amp;":T"&amp;$I40-1&amp;""),0))),""),4),"1",""),
"")
&amp;"3"),"*キャラ*"),
COUNTIF(INDIRECT("数出表_Excel!"&amp;
IFERROR(
SUBSTITUTE(ADDRESS(1,
IFERROR(COLUMN(INDEX(INDIRECT("数出表_Excel!B"&amp;$I40-1&amp;":T"&amp;$I40-1&amp;""),1,MATCH(TEXT(D40,0),INDIRECT("数出表_Excel!B"&amp;$I40-1&amp;":T"&amp;$I40-1&amp;""),0))),""),4),"1",""),
"")
&amp;"3"),"*赤*")),
INDIRECT("数出表_Excel!"&amp;
IFERROR(
SUBSTITUTE(ADDRESS(1,
IFERROR(COLUMN(INDEX(INDIRECT("数出表_Excel!B"&amp;$I40-1&amp;":T"&amp;$I40-1&amp;""),1,MATCH(TEXT(D40,0),INDIRECT("数出表_Excel!B"&amp;$I40-1&amp;":T"&amp;$I40-1&amp;""),0))),""),4),"1",""),
"")
&amp;"3")
&amp;"　"&amp;INDIRECT("数出表_Excel!"&amp;
IFERROR(
SUBSTITUTE(ADDRESS(1,
IFERROR(COLUMN(INDEX(INDIRECT("数出表_Excel!B"&amp;$I40-1&amp;":T"&amp;$I40-1&amp;""),1,MATCH(TEXT(D40,0),INDIRECT("数出表_Excel!B"&amp;$I40-1&amp;":T"&amp;$I40-1&amp;""),0))),""),4),"1",""),
"")
&amp;"4")
&amp;INDIRECT("数出表_Excel!"&amp;
IFERROR(
SUBSTITUTE(ADDRESS(1,
IFERROR(COLUMN(INDEX(INDIRECT("数出表_Excel!B"&amp;$I40-1&amp;":T"&amp;$I40-1&amp;""),1,MATCH(TEXT(D40,0),INDIRECT("数出表_Excel!B"&amp;$I40-1&amp;":T"&amp;$I40-1&amp;""),0))),""),4),"1",""),
"")
&amp;"5"),
INDIRECT("数出表_Excel!"&amp;
IFERROR(
SUBSTITUTE(ADDRESS(1,
IFERROR(COLUMN(INDEX(INDIRECT("数出表_Excel!B"&amp;$I40-1&amp;":T"&amp;$I40-1&amp;""),1,MATCH(TEXT(D40,0),INDIRECT("数出表_Excel!B"&amp;$I40-1&amp;":T"&amp;$I40-1&amp;""),0))),""),4),"1",""),
"")
&amp;"3")),"")</f>
        <v/>
      </c>
      <c r="M40" t="str" cm="1">
        <f t="array" aca="1" ref="M40" ca="1">IFERROR(IF(OR(COUNTIF(INDIRECT("数出表_Excel!"&amp;
IFERROR(
SUBSTITUTE(ADDRESS(1,
IFERROR(COLUMN(INDEX(INDIRECT("数出表_Excel!B"&amp;$I40&amp;":T"&amp;$I40&amp;""),1,MATCH(TEXT(E40,0),INDIRECT("数出表_Excel!B"&amp;$I40&amp;":T"&amp;$I40&amp;""),0))),""),4),"1",""),
"")
&amp;"3"),"*キャラ*"),
COUNTIF(INDIRECT("数出表_Excel!"&amp;
IFERROR(
SUBSTITUTE(ADDRESS(1,
IFERROR(COLUMN(INDEX(INDIRECT("数出表_Excel!B"&amp;$I40&amp;":T"&amp;$I40&amp;""),1,MATCH(TEXT(E40,0),INDIRECT("数出表_Excel!B"&amp;$I40&amp;":T"&amp;$I40&amp;""),0))),""),4),"1",""),
"")
&amp;"3"),"*赤*")),
INDIRECT("数出表_Excel!"&amp;
IFERROR(
SUBSTITUTE(ADDRESS(1,
IFERROR(COLUMN(INDEX(INDIRECT("数出表_Excel!B"&amp;$I40&amp;":T"&amp;$I40&amp;""),1,MATCH(TEXT(E40,0),INDIRECT("数出表_Excel!B"&amp;$I40&amp;":T"&amp;$I40&amp;""),0))),""),4),"1",""),
"")
&amp;"3")
&amp;"　"&amp;INDIRECT("数出表_Excel!"&amp;
IFERROR(
SUBSTITUTE(ADDRESS(1,
IFERROR(COLUMN(INDEX(INDIRECT("数出表_Excel!B"&amp;$I40&amp;":T"&amp;$I40&amp;""),1,MATCH(TEXT(E40,0),INDIRECT("数出表_Excel!B"&amp;$I40&amp;":T"&amp;$I40&amp;""),0))),""),4),"1",""),
"")
&amp;"4")
&amp;INDIRECT("数出表_Excel!"&amp;
IFERROR(
SUBSTITUTE(ADDRESS(1,
IFERROR(COLUMN(INDEX(INDIRECT("数出表_Excel!B"&amp;$I40&amp;":T"&amp;$I40&amp;""),1,MATCH(TEXT(E40,0),INDIRECT("数出表_Excel!B"&amp;$I40&amp;":T"&amp;$I40&amp;""),0))),""),4),"1",""),
"")
&amp;"5"),
INDIRECT("数出表_Excel!"&amp;
IFERROR(
SUBSTITUTE(ADDRESS(1,
IFERROR(COLUMN(INDEX(INDIRECT("数出表_Excel!B"&amp;$I40&amp;":T"&amp;$I40&amp;""),1,MATCH(TEXT(E40,0),INDIRECT("数出表_Excel!B"&amp;$I40&amp;":T"&amp;$I40&amp;""),0))),""),4),"1",""),
"")
&amp;"3")),"")</f>
        <v/>
      </c>
      <c r="N40" t="str" cm="1">
        <f t="array" aca="1" ref="N40" ca="1">IFERROR(IF(OR(COUNTIF(INDIRECT("数出表_Excel!"&amp;
IFERROR(
SUBSTITUTE(ADDRESS(1,
IFERROR(COLUMN(INDEX(INDIRECT("数出表_Excel!B"&amp;$I40&amp;":T"&amp;$I40&amp;""),1,MATCH(TEXT(F40,0),INDIRECT("数出表_Excel!B"&amp;$I40&amp;":T"&amp;$I40&amp;""),0))),""),4),"1",""),
"")
&amp;"3"),"*キャラ*"),
COUNTIF(INDIRECT("数出表_Excel!"&amp;
IFERROR(
SUBSTITUTE(ADDRESS(1,
IFERROR(COLUMN(INDEX(INDIRECT("数出表_Excel!B"&amp;$I40&amp;":T"&amp;$I40&amp;""),1,MATCH(TEXT(F40,0),INDIRECT("数出表_Excel!B"&amp;$I40&amp;":T"&amp;$I40&amp;""),0))),""),4),"1",""),
"")
&amp;"3"),"*赤*")),
INDIRECT("数出表_Excel!"&amp;
IFERROR(
SUBSTITUTE(ADDRESS(1,
IFERROR(COLUMN(INDEX(INDIRECT("数出表_Excel!B"&amp;$I40&amp;":T"&amp;$I40&amp;""),1,MATCH(TEXT(F40,0),INDIRECT("数出表_Excel!B"&amp;$I40&amp;":T"&amp;$I40&amp;""),0))),""),4),"1",""),
"")
&amp;"3")
&amp;"　"&amp;INDIRECT("数出表_Excel!"&amp;
IFERROR(
SUBSTITUTE(ADDRESS(1,
IFERROR(COLUMN(INDEX(INDIRECT("数出表_Excel!B"&amp;$I40&amp;":T"&amp;$I40&amp;""),1,MATCH(TEXT(F40,0),INDIRECT("数出表_Excel!B"&amp;$I40&amp;":T"&amp;$I40&amp;""),0))),""),4),"1",""),
"")
&amp;"4")
&amp;INDIRECT("数出表_Excel!"&amp;
IFERROR(
SUBSTITUTE(ADDRESS(1,
IFERROR(COLUMN(INDEX(INDIRECT("数出表_Excel!B"&amp;$I40&amp;":T"&amp;$I40&amp;""),1,MATCH(TEXT(F40,0),INDIRECT("数出表_Excel!B"&amp;$I40&amp;":T"&amp;$I40&amp;""),0))),""),4),"1",""),
"")
&amp;"5"),
INDIRECT("数出表_Excel!"&amp;
IFERROR(
SUBSTITUTE(ADDRESS(1,
IFERROR(COLUMN(INDEX(INDIRECT("数出表_Excel!B"&amp;$I40&amp;":T"&amp;$I40&amp;""),1,MATCH(TEXT(F40,0),INDIRECT("数出表_Excel!B"&amp;$I40&amp;":T"&amp;$I40&amp;""),0))),""),4),"1",""),
"")
&amp;"3")),"")</f>
        <v/>
      </c>
      <c r="O40" t="str" cm="1">
        <f t="array" aca="1" ref="O40" ca="1">IFERROR(IF(OR(COUNTIF(INDIRECT("数出表_Excel!"&amp;
IFERROR(
SUBSTITUTE(ADDRESS(1,
IFERROR(COLUMN(INDEX(INDIRECT("数出表_Excel!B"&amp;$I40&amp;":T"&amp;$I40&amp;""),1,MATCH(TEXT(G40,0),INDIRECT("数出表_Excel!B"&amp;$I40&amp;":T"&amp;$I40&amp;""),0))),""),4),"1",""),
"")
&amp;"3"),"*キャラ*"),
COUNTIF(INDIRECT("数出表_Excel!"&amp;
IFERROR(
SUBSTITUTE(ADDRESS(1,
IFERROR(COLUMN(INDEX(INDIRECT("数出表_Excel!B"&amp;$I40&amp;":T"&amp;$I40&amp;""),1,MATCH(TEXT(G40,0),INDIRECT("数出表_Excel!B"&amp;$I40&amp;":T"&amp;$I40&amp;""),0))),""),4),"1",""),
"")
&amp;"3"),"*赤*")),
INDIRECT("数出表_Excel!"&amp;
IFERROR(
SUBSTITUTE(ADDRESS(1,
IFERROR(COLUMN(INDEX(INDIRECT("数出表_Excel!B"&amp;$I40&amp;":T"&amp;$I40&amp;""),1,MATCH(TEXT(G40,0),INDIRECT("数出表_Excel!B"&amp;$I40&amp;":T"&amp;$I40&amp;""),0))),""),4),"1",""),
"")
&amp;"3")
&amp;"　"&amp;INDIRECT("数出表_Excel!"&amp;
IFERROR(
SUBSTITUTE(ADDRESS(1,
IFERROR(COLUMN(INDEX(INDIRECT("数出表_Excel!B"&amp;$I40&amp;":T"&amp;$I40&amp;""),1,MATCH(TEXT(G40,0),INDIRECT("数出表_Excel!B"&amp;$I40&amp;":T"&amp;$I40&amp;""),0))),""),4),"1",""),
"")
&amp;"4")
&amp;INDIRECT("数出表_Excel!"&amp;
IFERROR(
SUBSTITUTE(ADDRESS(1,
IFERROR(COLUMN(INDEX(INDIRECT("数出表_Excel!B"&amp;$I40&amp;":T"&amp;$I40&amp;""),1,MATCH(TEXT(G40,0),INDIRECT("数出表_Excel!B"&amp;$I40&amp;":T"&amp;$I40&amp;""),0))),""),4),"1",""),
"")
&amp;"5"),
INDIRECT("数出表_Excel!"&amp;
IFERROR(
SUBSTITUTE(ADDRESS(1,
IFERROR(COLUMN(INDEX(INDIRECT("数出表_Excel!B"&amp;$I40&amp;":T"&amp;$I40&amp;""),1,MATCH(TEXT(G40,0),INDIRECT("数出表_Excel!B"&amp;$I40&amp;":T"&amp;$I40&amp;""),0))),""),4),"1",""),
"")
&amp;"3")),"")</f>
        <v/>
      </c>
    </row>
    <row r="41" spans="9:15">
      <c r="I41" t="str">
        <f>IF(A41&lt;&gt;"",MATCH(A41,数出表_Excel!A:A,0),"")</f>
        <v/>
      </c>
      <c r="J41" t="str" cm="1">
        <f t="array" aca="1" ref="J41" ca="1">IFERROR(IF(OR(COUNTIF(INDIRECT("数出表_Excel!"&amp;
IFERROR(
SUBSTITUTE(ADDRESS(1,
IFERROR(COLUMN(INDEX(INDIRECT("数出表_Excel!B"&amp;$I41-1&amp;":T"&amp;$I41-1&amp;""),1,MATCH(TEXT(B41,0),INDIRECT("数出表_Excel!B"&amp;$I41-1&amp;":T"&amp;$I41-1&amp;""),0))),""),4),"1",""),
"")
&amp;"3"),"*キャラ*"),
COUNTIF(INDIRECT("数出表_Excel!"&amp;
IFERROR(
SUBSTITUTE(ADDRESS(1,
IFERROR(COLUMN(INDEX(INDIRECT("数出表_Excel!B"&amp;$I41-1&amp;":T"&amp;$I41-1&amp;""),1,MATCH(TEXT(B41,0),INDIRECT("数出表_Excel!B"&amp;$I41-1&amp;":T"&amp;$I41-1&amp;""),0))),""),4),"1",""),
"")
&amp;"3"),"*赤*")),
INDIRECT("数出表_Excel!"&amp;
IFERROR(
SUBSTITUTE(ADDRESS(1,
IFERROR(COLUMN(INDEX(INDIRECT("数出表_Excel!B"&amp;$I41-1&amp;":T"&amp;$I41-1&amp;""),1,MATCH(TEXT(B41,0),INDIRECT("数出表_Excel!B"&amp;$I41-1&amp;":T"&amp;$I41-1&amp;""),0))),""),4),"1",""),
"")
&amp;"3")
&amp;"　"&amp;INDIRECT("数出表_Excel!"&amp;
IFERROR(
SUBSTITUTE(ADDRESS(1,
IFERROR(COLUMN(INDEX(INDIRECT("数出表_Excel!B"&amp;$I41-1&amp;":T"&amp;$I41-1&amp;""),1,MATCH(TEXT(B41,0),INDIRECT("数出表_Excel!B"&amp;$I41-1&amp;":T"&amp;$I41-1&amp;""),0))),""),4),"1",""),
"")
&amp;"4")
&amp;INDIRECT("数出表_Excel!"&amp;
IFERROR(
SUBSTITUTE(ADDRESS(1,
IFERROR(COLUMN(INDEX(INDIRECT("数出表_Excel!B"&amp;$I41-1&amp;":T"&amp;$I41-1&amp;""),1,MATCH(TEXT(B41,0),INDIRECT("数出表_Excel!B"&amp;$I41-1&amp;":T"&amp;$I41-1&amp;""),0))),""),4),"1",""),
"")
&amp;"5"),
INDIRECT("数出表_Excel!"&amp;
IFERROR(
SUBSTITUTE(ADDRESS(1,
IFERROR(COLUMN(INDEX(INDIRECT("数出表_Excel!B"&amp;$I41-1&amp;":T"&amp;$I41-1&amp;""),1,MATCH(TEXT(B41,0),INDIRECT("数出表_Excel!B"&amp;$I41-1&amp;":T"&amp;$I41-1&amp;""),0))),""),4),"1",""),
"")
&amp;"3")),"")</f>
        <v/>
      </c>
      <c r="K41" t="str" cm="1">
        <f t="array" aca="1" ref="K41" ca="1">IFERROR(IF(OR(COUNTIF(INDIRECT("数出表_Excel!"&amp;
IFERROR(
SUBSTITUTE(ADDRESS(1,
IFERROR(COLUMN(INDEX(INDIRECT("数出表_Excel!B"&amp;$I41-1&amp;":T"&amp;$I41-1&amp;""),1,MATCH(TEXT(C41,0),INDIRECT("数出表_Excel!B"&amp;$I41-1&amp;":T"&amp;$I41-1&amp;""),0))),""),4),"1",""),
"")
&amp;"3"),"*キャラ*"),
COUNTIF(INDIRECT("数出表_Excel!"&amp;
IFERROR(
SUBSTITUTE(ADDRESS(1,
IFERROR(COLUMN(INDEX(INDIRECT("数出表_Excel!B"&amp;$I41-1&amp;":T"&amp;$I41-1&amp;""),1,MATCH(TEXT(C41,0),INDIRECT("数出表_Excel!B"&amp;$I41-1&amp;":T"&amp;$I41-1&amp;""),0))),""),4),"1",""),
"")
&amp;"3"),"*赤*")),
INDIRECT("数出表_Excel!"&amp;
IFERROR(
SUBSTITUTE(ADDRESS(1,
IFERROR(COLUMN(INDEX(INDIRECT("数出表_Excel!B"&amp;$I41-1&amp;":T"&amp;$I41-1&amp;""),1,MATCH(TEXT(C41,0),INDIRECT("数出表_Excel!B"&amp;$I41-1&amp;":T"&amp;$I41-1&amp;""),0))),""),4),"1",""),
"")
&amp;"3")
&amp;"　"&amp;INDIRECT("数出表_Excel!"&amp;
IFERROR(
SUBSTITUTE(ADDRESS(1,
IFERROR(COLUMN(INDEX(INDIRECT("数出表_Excel!B"&amp;$I41-1&amp;":T"&amp;$I41-1&amp;""),1,MATCH(TEXT(C41,0),INDIRECT("数出表_Excel!B"&amp;$I41-1&amp;":T"&amp;$I41-1&amp;""),0))),""),4),"1",""),
"")
&amp;"4")
&amp;INDIRECT("数出表_Excel!"&amp;
IFERROR(
SUBSTITUTE(ADDRESS(1,
IFERROR(COLUMN(INDEX(INDIRECT("数出表_Excel!B"&amp;$I41-1&amp;":T"&amp;$I41-1&amp;""),1,MATCH(TEXT(C41,0),INDIRECT("数出表_Excel!B"&amp;$I41-1&amp;":T"&amp;$I41-1&amp;""),0))),""),4),"1",""),
"")
&amp;"5"),
INDIRECT("数出表_Excel!"&amp;
IFERROR(
SUBSTITUTE(ADDRESS(1,
IFERROR(COLUMN(INDEX(INDIRECT("数出表_Excel!B"&amp;$I41-1&amp;":T"&amp;$I41-1&amp;""),1,MATCH(TEXT(C41,0),INDIRECT("数出表_Excel!B"&amp;$I41-1&amp;":T"&amp;$I41-1&amp;""),0))),""),4),"1",""),
"")
&amp;"3")),"")</f>
        <v/>
      </c>
      <c r="L41" t="str" cm="1">
        <f t="array" aca="1" ref="L41" ca="1">IFERROR(IF(OR(COUNTIF(INDIRECT("数出表_Excel!"&amp;
IFERROR(
SUBSTITUTE(ADDRESS(1,
IFERROR(COLUMN(INDEX(INDIRECT("数出表_Excel!B"&amp;$I41-1&amp;":T"&amp;$I41-1&amp;""),1,MATCH(TEXT(D41,0),INDIRECT("数出表_Excel!B"&amp;$I41-1&amp;":T"&amp;$I41-1&amp;""),0))),""),4),"1",""),
"")
&amp;"3"),"*キャラ*"),
COUNTIF(INDIRECT("数出表_Excel!"&amp;
IFERROR(
SUBSTITUTE(ADDRESS(1,
IFERROR(COLUMN(INDEX(INDIRECT("数出表_Excel!B"&amp;$I41-1&amp;":T"&amp;$I41-1&amp;""),1,MATCH(TEXT(D41,0),INDIRECT("数出表_Excel!B"&amp;$I41-1&amp;":T"&amp;$I41-1&amp;""),0))),""),4),"1",""),
"")
&amp;"3"),"*赤*")),
INDIRECT("数出表_Excel!"&amp;
IFERROR(
SUBSTITUTE(ADDRESS(1,
IFERROR(COLUMN(INDEX(INDIRECT("数出表_Excel!B"&amp;$I41-1&amp;":T"&amp;$I41-1&amp;""),1,MATCH(TEXT(D41,0),INDIRECT("数出表_Excel!B"&amp;$I41-1&amp;":T"&amp;$I41-1&amp;""),0))),""),4),"1",""),
"")
&amp;"3")
&amp;"　"&amp;INDIRECT("数出表_Excel!"&amp;
IFERROR(
SUBSTITUTE(ADDRESS(1,
IFERROR(COLUMN(INDEX(INDIRECT("数出表_Excel!B"&amp;$I41-1&amp;":T"&amp;$I41-1&amp;""),1,MATCH(TEXT(D41,0),INDIRECT("数出表_Excel!B"&amp;$I41-1&amp;":T"&amp;$I41-1&amp;""),0))),""),4),"1",""),
"")
&amp;"4")
&amp;INDIRECT("数出表_Excel!"&amp;
IFERROR(
SUBSTITUTE(ADDRESS(1,
IFERROR(COLUMN(INDEX(INDIRECT("数出表_Excel!B"&amp;$I41-1&amp;":T"&amp;$I41-1&amp;""),1,MATCH(TEXT(D41,0),INDIRECT("数出表_Excel!B"&amp;$I41-1&amp;":T"&amp;$I41-1&amp;""),0))),""),4),"1",""),
"")
&amp;"5"),
INDIRECT("数出表_Excel!"&amp;
IFERROR(
SUBSTITUTE(ADDRESS(1,
IFERROR(COLUMN(INDEX(INDIRECT("数出表_Excel!B"&amp;$I41-1&amp;":T"&amp;$I41-1&amp;""),1,MATCH(TEXT(D41,0),INDIRECT("数出表_Excel!B"&amp;$I41-1&amp;":T"&amp;$I41-1&amp;""),0))),""),4),"1",""),
"")
&amp;"3")),"")</f>
        <v/>
      </c>
      <c r="M41" t="str" cm="1">
        <f t="array" aca="1" ref="M41" ca="1">IFERROR(IF(OR(COUNTIF(INDIRECT("数出表_Excel!"&amp;
IFERROR(
SUBSTITUTE(ADDRESS(1,
IFERROR(COLUMN(INDEX(INDIRECT("数出表_Excel!B"&amp;$I41&amp;":T"&amp;$I41&amp;""),1,MATCH(TEXT(E41,0),INDIRECT("数出表_Excel!B"&amp;$I41&amp;":T"&amp;$I41&amp;""),0))),""),4),"1",""),
"")
&amp;"3"),"*キャラ*"),
COUNTIF(INDIRECT("数出表_Excel!"&amp;
IFERROR(
SUBSTITUTE(ADDRESS(1,
IFERROR(COLUMN(INDEX(INDIRECT("数出表_Excel!B"&amp;$I41&amp;":T"&amp;$I41&amp;""),1,MATCH(TEXT(E41,0),INDIRECT("数出表_Excel!B"&amp;$I41&amp;":T"&amp;$I41&amp;""),0))),""),4),"1",""),
"")
&amp;"3"),"*赤*")),
INDIRECT("数出表_Excel!"&amp;
IFERROR(
SUBSTITUTE(ADDRESS(1,
IFERROR(COLUMN(INDEX(INDIRECT("数出表_Excel!B"&amp;$I41&amp;":T"&amp;$I41&amp;""),1,MATCH(TEXT(E41,0),INDIRECT("数出表_Excel!B"&amp;$I41&amp;":T"&amp;$I41&amp;""),0))),""),4),"1",""),
"")
&amp;"3")
&amp;"　"&amp;INDIRECT("数出表_Excel!"&amp;
IFERROR(
SUBSTITUTE(ADDRESS(1,
IFERROR(COLUMN(INDEX(INDIRECT("数出表_Excel!B"&amp;$I41&amp;":T"&amp;$I41&amp;""),1,MATCH(TEXT(E41,0),INDIRECT("数出表_Excel!B"&amp;$I41&amp;":T"&amp;$I41&amp;""),0))),""),4),"1",""),
"")
&amp;"4")
&amp;INDIRECT("数出表_Excel!"&amp;
IFERROR(
SUBSTITUTE(ADDRESS(1,
IFERROR(COLUMN(INDEX(INDIRECT("数出表_Excel!B"&amp;$I41&amp;":T"&amp;$I41&amp;""),1,MATCH(TEXT(E41,0),INDIRECT("数出表_Excel!B"&amp;$I41&amp;":T"&amp;$I41&amp;""),0))),""),4),"1",""),
"")
&amp;"5"),
INDIRECT("数出表_Excel!"&amp;
IFERROR(
SUBSTITUTE(ADDRESS(1,
IFERROR(COLUMN(INDEX(INDIRECT("数出表_Excel!B"&amp;$I41&amp;":T"&amp;$I41&amp;""),1,MATCH(TEXT(E41,0),INDIRECT("数出表_Excel!B"&amp;$I41&amp;":T"&amp;$I41&amp;""),0))),""),4),"1",""),
"")
&amp;"3")),"")</f>
        <v/>
      </c>
      <c r="N41" t="str" cm="1">
        <f t="array" aca="1" ref="N41" ca="1">IFERROR(IF(OR(COUNTIF(INDIRECT("数出表_Excel!"&amp;
IFERROR(
SUBSTITUTE(ADDRESS(1,
IFERROR(COLUMN(INDEX(INDIRECT("数出表_Excel!B"&amp;$I41&amp;":T"&amp;$I41&amp;""),1,MATCH(TEXT(F41,0),INDIRECT("数出表_Excel!B"&amp;$I41&amp;":T"&amp;$I41&amp;""),0))),""),4),"1",""),
"")
&amp;"3"),"*キャラ*"),
COUNTIF(INDIRECT("数出表_Excel!"&amp;
IFERROR(
SUBSTITUTE(ADDRESS(1,
IFERROR(COLUMN(INDEX(INDIRECT("数出表_Excel!B"&amp;$I41&amp;":T"&amp;$I41&amp;""),1,MATCH(TEXT(F41,0),INDIRECT("数出表_Excel!B"&amp;$I41&amp;":T"&amp;$I41&amp;""),0))),""),4),"1",""),
"")
&amp;"3"),"*赤*")),
INDIRECT("数出表_Excel!"&amp;
IFERROR(
SUBSTITUTE(ADDRESS(1,
IFERROR(COLUMN(INDEX(INDIRECT("数出表_Excel!B"&amp;$I41&amp;":T"&amp;$I41&amp;""),1,MATCH(TEXT(F41,0),INDIRECT("数出表_Excel!B"&amp;$I41&amp;":T"&amp;$I41&amp;""),0))),""),4),"1",""),
"")
&amp;"3")
&amp;"　"&amp;INDIRECT("数出表_Excel!"&amp;
IFERROR(
SUBSTITUTE(ADDRESS(1,
IFERROR(COLUMN(INDEX(INDIRECT("数出表_Excel!B"&amp;$I41&amp;":T"&amp;$I41&amp;""),1,MATCH(TEXT(F41,0),INDIRECT("数出表_Excel!B"&amp;$I41&amp;":T"&amp;$I41&amp;""),0))),""),4),"1",""),
"")
&amp;"4")
&amp;INDIRECT("数出表_Excel!"&amp;
IFERROR(
SUBSTITUTE(ADDRESS(1,
IFERROR(COLUMN(INDEX(INDIRECT("数出表_Excel!B"&amp;$I41&amp;":T"&amp;$I41&amp;""),1,MATCH(TEXT(F41,0),INDIRECT("数出表_Excel!B"&amp;$I41&amp;":T"&amp;$I41&amp;""),0))),""),4),"1",""),
"")
&amp;"5"),
INDIRECT("数出表_Excel!"&amp;
IFERROR(
SUBSTITUTE(ADDRESS(1,
IFERROR(COLUMN(INDEX(INDIRECT("数出表_Excel!B"&amp;$I41&amp;":T"&amp;$I41&amp;""),1,MATCH(TEXT(F41,0),INDIRECT("数出表_Excel!B"&amp;$I41&amp;":T"&amp;$I41&amp;""),0))),""),4),"1",""),
"")
&amp;"3")),"")</f>
        <v/>
      </c>
      <c r="O41" t="str" cm="1">
        <f t="array" aca="1" ref="O41" ca="1">IFERROR(IF(OR(COUNTIF(INDIRECT("数出表_Excel!"&amp;
IFERROR(
SUBSTITUTE(ADDRESS(1,
IFERROR(COLUMN(INDEX(INDIRECT("数出表_Excel!B"&amp;$I41&amp;":T"&amp;$I41&amp;""),1,MATCH(TEXT(G41,0),INDIRECT("数出表_Excel!B"&amp;$I41&amp;":T"&amp;$I41&amp;""),0))),""),4),"1",""),
"")
&amp;"3"),"*キャラ*"),
COUNTIF(INDIRECT("数出表_Excel!"&amp;
IFERROR(
SUBSTITUTE(ADDRESS(1,
IFERROR(COLUMN(INDEX(INDIRECT("数出表_Excel!B"&amp;$I41&amp;":T"&amp;$I41&amp;""),1,MATCH(TEXT(G41,0),INDIRECT("数出表_Excel!B"&amp;$I41&amp;":T"&amp;$I41&amp;""),0))),""),4),"1",""),
"")
&amp;"3"),"*赤*")),
INDIRECT("数出表_Excel!"&amp;
IFERROR(
SUBSTITUTE(ADDRESS(1,
IFERROR(COLUMN(INDEX(INDIRECT("数出表_Excel!B"&amp;$I41&amp;":T"&amp;$I41&amp;""),1,MATCH(TEXT(G41,0),INDIRECT("数出表_Excel!B"&amp;$I41&amp;":T"&amp;$I41&amp;""),0))),""),4),"1",""),
"")
&amp;"3")
&amp;"　"&amp;INDIRECT("数出表_Excel!"&amp;
IFERROR(
SUBSTITUTE(ADDRESS(1,
IFERROR(COLUMN(INDEX(INDIRECT("数出表_Excel!B"&amp;$I41&amp;":T"&amp;$I41&amp;""),1,MATCH(TEXT(G41,0),INDIRECT("数出表_Excel!B"&amp;$I41&amp;":T"&amp;$I41&amp;""),0))),""),4),"1",""),
"")
&amp;"4")
&amp;INDIRECT("数出表_Excel!"&amp;
IFERROR(
SUBSTITUTE(ADDRESS(1,
IFERROR(COLUMN(INDEX(INDIRECT("数出表_Excel!B"&amp;$I41&amp;":T"&amp;$I41&amp;""),1,MATCH(TEXT(G41,0),INDIRECT("数出表_Excel!B"&amp;$I41&amp;":T"&amp;$I41&amp;""),0))),""),4),"1",""),
"")
&amp;"5"),
INDIRECT("数出表_Excel!"&amp;
IFERROR(
SUBSTITUTE(ADDRESS(1,
IFERROR(COLUMN(INDEX(INDIRECT("数出表_Excel!B"&amp;$I41&amp;":T"&amp;$I41&amp;""),1,MATCH(TEXT(G41,0),INDIRECT("数出表_Excel!B"&amp;$I41&amp;":T"&amp;$I41&amp;""),0))),""),4),"1",""),
"")
&amp;"3")),"")</f>
        <v/>
      </c>
    </row>
    <row r="42" spans="9:15">
      <c r="I42" t="str">
        <f>IF(A42&lt;&gt;"",MATCH(A42,数出表_Excel!A:A,0),"")</f>
        <v/>
      </c>
      <c r="J42" t="str" cm="1">
        <f t="array" aca="1" ref="J42" ca="1">IFERROR(IF(OR(COUNTIF(INDIRECT("数出表_Excel!"&amp;
IFERROR(
SUBSTITUTE(ADDRESS(1,
IFERROR(COLUMN(INDEX(INDIRECT("数出表_Excel!B"&amp;$I42-1&amp;":T"&amp;$I42-1&amp;""),1,MATCH(TEXT(B42,0),INDIRECT("数出表_Excel!B"&amp;$I42-1&amp;":T"&amp;$I42-1&amp;""),0))),""),4),"1",""),
"")
&amp;"3"),"*キャラ*"),
COUNTIF(INDIRECT("数出表_Excel!"&amp;
IFERROR(
SUBSTITUTE(ADDRESS(1,
IFERROR(COLUMN(INDEX(INDIRECT("数出表_Excel!B"&amp;$I42-1&amp;":T"&amp;$I42-1&amp;""),1,MATCH(TEXT(B42,0),INDIRECT("数出表_Excel!B"&amp;$I42-1&amp;":T"&amp;$I42-1&amp;""),0))),""),4),"1",""),
"")
&amp;"3"),"*赤*")),
INDIRECT("数出表_Excel!"&amp;
IFERROR(
SUBSTITUTE(ADDRESS(1,
IFERROR(COLUMN(INDEX(INDIRECT("数出表_Excel!B"&amp;$I42-1&amp;":T"&amp;$I42-1&amp;""),1,MATCH(TEXT(B42,0),INDIRECT("数出表_Excel!B"&amp;$I42-1&amp;":T"&amp;$I42-1&amp;""),0))),""),4),"1",""),
"")
&amp;"3")
&amp;"　"&amp;INDIRECT("数出表_Excel!"&amp;
IFERROR(
SUBSTITUTE(ADDRESS(1,
IFERROR(COLUMN(INDEX(INDIRECT("数出表_Excel!B"&amp;$I42-1&amp;":T"&amp;$I42-1&amp;""),1,MATCH(TEXT(B42,0),INDIRECT("数出表_Excel!B"&amp;$I42-1&amp;":T"&amp;$I42-1&amp;""),0))),""),4),"1",""),
"")
&amp;"4")
&amp;INDIRECT("数出表_Excel!"&amp;
IFERROR(
SUBSTITUTE(ADDRESS(1,
IFERROR(COLUMN(INDEX(INDIRECT("数出表_Excel!B"&amp;$I42-1&amp;":T"&amp;$I42-1&amp;""),1,MATCH(TEXT(B42,0),INDIRECT("数出表_Excel!B"&amp;$I42-1&amp;":T"&amp;$I42-1&amp;""),0))),""),4),"1",""),
"")
&amp;"5"),
INDIRECT("数出表_Excel!"&amp;
IFERROR(
SUBSTITUTE(ADDRESS(1,
IFERROR(COLUMN(INDEX(INDIRECT("数出表_Excel!B"&amp;$I42-1&amp;":T"&amp;$I42-1&amp;""),1,MATCH(TEXT(B42,0),INDIRECT("数出表_Excel!B"&amp;$I42-1&amp;":T"&amp;$I42-1&amp;""),0))),""),4),"1",""),
"")
&amp;"3")),"")</f>
        <v/>
      </c>
      <c r="K42" t="str" cm="1">
        <f t="array" aca="1" ref="K42" ca="1">IFERROR(IF(OR(COUNTIF(INDIRECT("数出表_Excel!"&amp;
IFERROR(
SUBSTITUTE(ADDRESS(1,
IFERROR(COLUMN(INDEX(INDIRECT("数出表_Excel!B"&amp;$I42-1&amp;":T"&amp;$I42-1&amp;""),1,MATCH(TEXT(C42,0),INDIRECT("数出表_Excel!B"&amp;$I42-1&amp;":T"&amp;$I42-1&amp;""),0))),""),4),"1",""),
"")
&amp;"3"),"*キャラ*"),
COUNTIF(INDIRECT("数出表_Excel!"&amp;
IFERROR(
SUBSTITUTE(ADDRESS(1,
IFERROR(COLUMN(INDEX(INDIRECT("数出表_Excel!B"&amp;$I42-1&amp;":T"&amp;$I42-1&amp;""),1,MATCH(TEXT(C42,0),INDIRECT("数出表_Excel!B"&amp;$I42-1&amp;":T"&amp;$I42-1&amp;""),0))),""),4),"1",""),
"")
&amp;"3"),"*赤*")),
INDIRECT("数出表_Excel!"&amp;
IFERROR(
SUBSTITUTE(ADDRESS(1,
IFERROR(COLUMN(INDEX(INDIRECT("数出表_Excel!B"&amp;$I42-1&amp;":T"&amp;$I42-1&amp;""),1,MATCH(TEXT(C42,0),INDIRECT("数出表_Excel!B"&amp;$I42-1&amp;":T"&amp;$I42-1&amp;""),0))),""),4),"1",""),
"")
&amp;"3")
&amp;"　"&amp;INDIRECT("数出表_Excel!"&amp;
IFERROR(
SUBSTITUTE(ADDRESS(1,
IFERROR(COLUMN(INDEX(INDIRECT("数出表_Excel!B"&amp;$I42-1&amp;":T"&amp;$I42-1&amp;""),1,MATCH(TEXT(C42,0),INDIRECT("数出表_Excel!B"&amp;$I42-1&amp;":T"&amp;$I42-1&amp;""),0))),""),4),"1",""),
"")
&amp;"4")
&amp;INDIRECT("数出表_Excel!"&amp;
IFERROR(
SUBSTITUTE(ADDRESS(1,
IFERROR(COLUMN(INDEX(INDIRECT("数出表_Excel!B"&amp;$I42-1&amp;":T"&amp;$I42-1&amp;""),1,MATCH(TEXT(C42,0),INDIRECT("数出表_Excel!B"&amp;$I42-1&amp;":T"&amp;$I42-1&amp;""),0))),""),4),"1",""),
"")
&amp;"5"),
INDIRECT("数出表_Excel!"&amp;
IFERROR(
SUBSTITUTE(ADDRESS(1,
IFERROR(COLUMN(INDEX(INDIRECT("数出表_Excel!B"&amp;$I42-1&amp;":T"&amp;$I42-1&amp;""),1,MATCH(TEXT(C42,0),INDIRECT("数出表_Excel!B"&amp;$I42-1&amp;":T"&amp;$I42-1&amp;""),0))),""),4),"1",""),
"")
&amp;"3")),"")</f>
        <v/>
      </c>
      <c r="L42" t="str" cm="1">
        <f t="array" aca="1" ref="L42" ca="1">IFERROR(IF(OR(COUNTIF(INDIRECT("数出表_Excel!"&amp;
IFERROR(
SUBSTITUTE(ADDRESS(1,
IFERROR(COLUMN(INDEX(INDIRECT("数出表_Excel!B"&amp;$I42-1&amp;":T"&amp;$I42-1&amp;""),1,MATCH(TEXT(D42,0),INDIRECT("数出表_Excel!B"&amp;$I42-1&amp;":T"&amp;$I42-1&amp;""),0))),""),4),"1",""),
"")
&amp;"3"),"*キャラ*"),
COUNTIF(INDIRECT("数出表_Excel!"&amp;
IFERROR(
SUBSTITUTE(ADDRESS(1,
IFERROR(COLUMN(INDEX(INDIRECT("数出表_Excel!B"&amp;$I42-1&amp;":T"&amp;$I42-1&amp;""),1,MATCH(TEXT(D42,0),INDIRECT("数出表_Excel!B"&amp;$I42-1&amp;":T"&amp;$I42-1&amp;""),0))),""),4),"1",""),
"")
&amp;"3"),"*赤*")),
INDIRECT("数出表_Excel!"&amp;
IFERROR(
SUBSTITUTE(ADDRESS(1,
IFERROR(COLUMN(INDEX(INDIRECT("数出表_Excel!B"&amp;$I42-1&amp;":T"&amp;$I42-1&amp;""),1,MATCH(TEXT(D42,0),INDIRECT("数出表_Excel!B"&amp;$I42-1&amp;":T"&amp;$I42-1&amp;""),0))),""),4),"1",""),
"")
&amp;"3")
&amp;"　"&amp;INDIRECT("数出表_Excel!"&amp;
IFERROR(
SUBSTITUTE(ADDRESS(1,
IFERROR(COLUMN(INDEX(INDIRECT("数出表_Excel!B"&amp;$I42-1&amp;":T"&amp;$I42-1&amp;""),1,MATCH(TEXT(D42,0),INDIRECT("数出表_Excel!B"&amp;$I42-1&amp;":T"&amp;$I42-1&amp;""),0))),""),4),"1",""),
"")
&amp;"4")
&amp;INDIRECT("数出表_Excel!"&amp;
IFERROR(
SUBSTITUTE(ADDRESS(1,
IFERROR(COLUMN(INDEX(INDIRECT("数出表_Excel!B"&amp;$I42-1&amp;":T"&amp;$I42-1&amp;""),1,MATCH(TEXT(D42,0),INDIRECT("数出表_Excel!B"&amp;$I42-1&amp;":T"&amp;$I42-1&amp;""),0))),""),4),"1",""),
"")
&amp;"5"),
INDIRECT("数出表_Excel!"&amp;
IFERROR(
SUBSTITUTE(ADDRESS(1,
IFERROR(COLUMN(INDEX(INDIRECT("数出表_Excel!B"&amp;$I42-1&amp;":T"&amp;$I42-1&amp;""),1,MATCH(TEXT(D42,0),INDIRECT("数出表_Excel!B"&amp;$I42-1&amp;":T"&amp;$I42-1&amp;""),0))),""),4),"1",""),
"")
&amp;"3")),"")</f>
        <v/>
      </c>
      <c r="M42" t="str" cm="1">
        <f t="array" aca="1" ref="M42" ca="1">IFERROR(IF(OR(COUNTIF(INDIRECT("数出表_Excel!"&amp;
IFERROR(
SUBSTITUTE(ADDRESS(1,
IFERROR(COLUMN(INDEX(INDIRECT("数出表_Excel!B"&amp;$I42&amp;":T"&amp;$I42&amp;""),1,MATCH(TEXT(E42,0),INDIRECT("数出表_Excel!B"&amp;$I42&amp;":T"&amp;$I42&amp;""),0))),""),4),"1",""),
"")
&amp;"3"),"*キャラ*"),
COUNTIF(INDIRECT("数出表_Excel!"&amp;
IFERROR(
SUBSTITUTE(ADDRESS(1,
IFERROR(COLUMN(INDEX(INDIRECT("数出表_Excel!B"&amp;$I42&amp;":T"&amp;$I42&amp;""),1,MATCH(TEXT(E42,0),INDIRECT("数出表_Excel!B"&amp;$I42&amp;":T"&amp;$I42&amp;""),0))),""),4),"1",""),
"")
&amp;"3"),"*赤*")),
INDIRECT("数出表_Excel!"&amp;
IFERROR(
SUBSTITUTE(ADDRESS(1,
IFERROR(COLUMN(INDEX(INDIRECT("数出表_Excel!B"&amp;$I42&amp;":T"&amp;$I42&amp;""),1,MATCH(TEXT(E42,0),INDIRECT("数出表_Excel!B"&amp;$I42&amp;":T"&amp;$I42&amp;""),0))),""),4),"1",""),
"")
&amp;"3")
&amp;"　"&amp;INDIRECT("数出表_Excel!"&amp;
IFERROR(
SUBSTITUTE(ADDRESS(1,
IFERROR(COLUMN(INDEX(INDIRECT("数出表_Excel!B"&amp;$I42&amp;":T"&amp;$I42&amp;""),1,MATCH(TEXT(E42,0),INDIRECT("数出表_Excel!B"&amp;$I42&amp;":T"&amp;$I42&amp;""),0))),""),4),"1",""),
"")
&amp;"4")
&amp;INDIRECT("数出表_Excel!"&amp;
IFERROR(
SUBSTITUTE(ADDRESS(1,
IFERROR(COLUMN(INDEX(INDIRECT("数出表_Excel!B"&amp;$I42&amp;":T"&amp;$I42&amp;""),1,MATCH(TEXT(E42,0),INDIRECT("数出表_Excel!B"&amp;$I42&amp;":T"&amp;$I42&amp;""),0))),""),4),"1",""),
"")
&amp;"5"),
INDIRECT("数出表_Excel!"&amp;
IFERROR(
SUBSTITUTE(ADDRESS(1,
IFERROR(COLUMN(INDEX(INDIRECT("数出表_Excel!B"&amp;$I42&amp;":T"&amp;$I42&amp;""),1,MATCH(TEXT(E42,0),INDIRECT("数出表_Excel!B"&amp;$I42&amp;":T"&amp;$I42&amp;""),0))),""),4),"1",""),
"")
&amp;"3")),"")</f>
        <v/>
      </c>
      <c r="N42" t="str" cm="1">
        <f t="array" aca="1" ref="N42" ca="1">IFERROR(IF(OR(COUNTIF(INDIRECT("数出表_Excel!"&amp;
IFERROR(
SUBSTITUTE(ADDRESS(1,
IFERROR(COLUMN(INDEX(INDIRECT("数出表_Excel!B"&amp;$I42&amp;":T"&amp;$I42&amp;""),1,MATCH(TEXT(F42,0),INDIRECT("数出表_Excel!B"&amp;$I42&amp;":T"&amp;$I42&amp;""),0))),""),4),"1",""),
"")
&amp;"3"),"*キャラ*"),
COUNTIF(INDIRECT("数出表_Excel!"&amp;
IFERROR(
SUBSTITUTE(ADDRESS(1,
IFERROR(COLUMN(INDEX(INDIRECT("数出表_Excel!B"&amp;$I42&amp;":T"&amp;$I42&amp;""),1,MATCH(TEXT(F42,0),INDIRECT("数出表_Excel!B"&amp;$I42&amp;":T"&amp;$I42&amp;""),0))),""),4),"1",""),
"")
&amp;"3"),"*赤*")),
INDIRECT("数出表_Excel!"&amp;
IFERROR(
SUBSTITUTE(ADDRESS(1,
IFERROR(COLUMN(INDEX(INDIRECT("数出表_Excel!B"&amp;$I42&amp;":T"&amp;$I42&amp;""),1,MATCH(TEXT(F42,0),INDIRECT("数出表_Excel!B"&amp;$I42&amp;":T"&amp;$I42&amp;""),0))),""),4),"1",""),
"")
&amp;"3")
&amp;"　"&amp;INDIRECT("数出表_Excel!"&amp;
IFERROR(
SUBSTITUTE(ADDRESS(1,
IFERROR(COLUMN(INDEX(INDIRECT("数出表_Excel!B"&amp;$I42&amp;":T"&amp;$I42&amp;""),1,MATCH(TEXT(F42,0),INDIRECT("数出表_Excel!B"&amp;$I42&amp;":T"&amp;$I42&amp;""),0))),""),4),"1",""),
"")
&amp;"4")
&amp;INDIRECT("数出表_Excel!"&amp;
IFERROR(
SUBSTITUTE(ADDRESS(1,
IFERROR(COLUMN(INDEX(INDIRECT("数出表_Excel!B"&amp;$I42&amp;":T"&amp;$I42&amp;""),1,MATCH(TEXT(F42,0),INDIRECT("数出表_Excel!B"&amp;$I42&amp;":T"&amp;$I42&amp;""),0))),""),4),"1",""),
"")
&amp;"5"),
INDIRECT("数出表_Excel!"&amp;
IFERROR(
SUBSTITUTE(ADDRESS(1,
IFERROR(COLUMN(INDEX(INDIRECT("数出表_Excel!B"&amp;$I42&amp;":T"&amp;$I42&amp;""),1,MATCH(TEXT(F42,0),INDIRECT("数出表_Excel!B"&amp;$I42&amp;":T"&amp;$I42&amp;""),0))),""),4),"1",""),
"")
&amp;"3")),"")</f>
        <v/>
      </c>
      <c r="O42" t="str" cm="1">
        <f t="array" aca="1" ref="O42" ca="1">IFERROR(IF(OR(COUNTIF(INDIRECT("数出表_Excel!"&amp;
IFERROR(
SUBSTITUTE(ADDRESS(1,
IFERROR(COLUMN(INDEX(INDIRECT("数出表_Excel!B"&amp;$I42&amp;":T"&amp;$I42&amp;""),1,MATCH(TEXT(G42,0),INDIRECT("数出表_Excel!B"&amp;$I42&amp;":T"&amp;$I42&amp;""),0))),""),4),"1",""),
"")
&amp;"3"),"*キャラ*"),
COUNTIF(INDIRECT("数出表_Excel!"&amp;
IFERROR(
SUBSTITUTE(ADDRESS(1,
IFERROR(COLUMN(INDEX(INDIRECT("数出表_Excel!B"&amp;$I42&amp;":T"&amp;$I42&amp;""),1,MATCH(TEXT(G42,0),INDIRECT("数出表_Excel!B"&amp;$I42&amp;":T"&amp;$I42&amp;""),0))),""),4),"1",""),
"")
&amp;"3"),"*赤*")),
INDIRECT("数出表_Excel!"&amp;
IFERROR(
SUBSTITUTE(ADDRESS(1,
IFERROR(COLUMN(INDEX(INDIRECT("数出表_Excel!B"&amp;$I42&amp;":T"&amp;$I42&amp;""),1,MATCH(TEXT(G42,0),INDIRECT("数出表_Excel!B"&amp;$I42&amp;":T"&amp;$I42&amp;""),0))),""),4),"1",""),
"")
&amp;"3")
&amp;"　"&amp;INDIRECT("数出表_Excel!"&amp;
IFERROR(
SUBSTITUTE(ADDRESS(1,
IFERROR(COLUMN(INDEX(INDIRECT("数出表_Excel!B"&amp;$I42&amp;":T"&amp;$I42&amp;""),1,MATCH(TEXT(G42,0),INDIRECT("数出表_Excel!B"&amp;$I42&amp;":T"&amp;$I42&amp;""),0))),""),4),"1",""),
"")
&amp;"4")
&amp;INDIRECT("数出表_Excel!"&amp;
IFERROR(
SUBSTITUTE(ADDRESS(1,
IFERROR(COLUMN(INDEX(INDIRECT("数出表_Excel!B"&amp;$I42&amp;":T"&amp;$I42&amp;""),1,MATCH(TEXT(G42,0),INDIRECT("数出表_Excel!B"&amp;$I42&amp;":T"&amp;$I42&amp;""),0))),""),4),"1",""),
"")
&amp;"5"),
INDIRECT("数出表_Excel!"&amp;
IFERROR(
SUBSTITUTE(ADDRESS(1,
IFERROR(COLUMN(INDEX(INDIRECT("数出表_Excel!B"&amp;$I42&amp;":T"&amp;$I42&amp;""),1,MATCH(TEXT(G42,0),INDIRECT("数出表_Excel!B"&amp;$I42&amp;":T"&amp;$I42&amp;""),0))),""),4),"1",""),
"")
&amp;"3")),"")</f>
        <v/>
      </c>
    </row>
    <row r="43" spans="9:15">
      <c r="I43" t="str">
        <f>IF(A43&lt;&gt;"",MATCH(A43,数出表_Excel!A:A,0),"")</f>
        <v/>
      </c>
      <c r="J43" t="str" cm="1">
        <f t="array" aca="1" ref="J43" ca="1">IFERROR(IF(OR(COUNTIF(INDIRECT("数出表_Excel!"&amp;
IFERROR(
SUBSTITUTE(ADDRESS(1,
IFERROR(COLUMN(INDEX(INDIRECT("数出表_Excel!B"&amp;$I43-1&amp;":T"&amp;$I43-1&amp;""),1,MATCH(TEXT(B43,0),INDIRECT("数出表_Excel!B"&amp;$I43-1&amp;":T"&amp;$I43-1&amp;""),0))),""),4),"1",""),
"")
&amp;"3"),"*キャラ*"),
COUNTIF(INDIRECT("数出表_Excel!"&amp;
IFERROR(
SUBSTITUTE(ADDRESS(1,
IFERROR(COLUMN(INDEX(INDIRECT("数出表_Excel!B"&amp;$I43-1&amp;":T"&amp;$I43-1&amp;""),1,MATCH(TEXT(B43,0),INDIRECT("数出表_Excel!B"&amp;$I43-1&amp;":T"&amp;$I43-1&amp;""),0))),""),4),"1",""),
"")
&amp;"3"),"*赤*")),
INDIRECT("数出表_Excel!"&amp;
IFERROR(
SUBSTITUTE(ADDRESS(1,
IFERROR(COLUMN(INDEX(INDIRECT("数出表_Excel!B"&amp;$I43-1&amp;":T"&amp;$I43-1&amp;""),1,MATCH(TEXT(B43,0),INDIRECT("数出表_Excel!B"&amp;$I43-1&amp;":T"&amp;$I43-1&amp;""),0))),""),4),"1",""),
"")
&amp;"3")
&amp;"　"&amp;INDIRECT("数出表_Excel!"&amp;
IFERROR(
SUBSTITUTE(ADDRESS(1,
IFERROR(COLUMN(INDEX(INDIRECT("数出表_Excel!B"&amp;$I43-1&amp;":T"&amp;$I43-1&amp;""),1,MATCH(TEXT(B43,0),INDIRECT("数出表_Excel!B"&amp;$I43-1&amp;":T"&amp;$I43-1&amp;""),0))),""),4),"1",""),
"")
&amp;"4")
&amp;INDIRECT("数出表_Excel!"&amp;
IFERROR(
SUBSTITUTE(ADDRESS(1,
IFERROR(COLUMN(INDEX(INDIRECT("数出表_Excel!B"&amp;$I43-1&amp;":T"&amp;$I43-1&amp;""),1,MATCH(TEXT(B43,0),INDIRECT("数出表_Excel!B"&amp;$I43-1&amp;":T"&amp;$I43-1&amp;""),0))),""),4),"1",""),
"")
&amp;"5"),
INDIRECT("数出表_Excel!"&amp;
IFERROR(
SUBSTITUTE(ADDRESS(1,
IFERROR(COLUMN(INDEX(INDIRECT("数出表_Excel!B"&amp;$I43-1&amp;":T"&amp;$I43-1&amp;""),1,MATCH(TEXT(B43,0),INDIRECT("数出表_Excel!B"&amp;$I43-1&amp;":T"&amp;$I43-1&amp;""),0))),""),4),"1",""),
"")
&amp;"3")),"")</f>
        <v/>
      </c>
      <c r="K43" t="str" cm="1">
        <f t="array" aca="1" ref="K43" ca="1">IFERROR(IF(OR(COUNTIF(INDIRECT("数出表_Excel!"&amp;
IFERROR(
SUBSTITUTE(ADDRESS(1,
IFERROR(COLUMN(INDEX(INDIRECT("数出表_Excel!B"&amp;$I43-1&amp;":T"&amp;$I43-1&amp;""),1,MATCH(TEXT(C43,0),INDIRECT("数出表_Excel!B"&amp;$I43-1&amp;":T"&amp;$I43-1&amp;""),0))),""),4),"1",""),
"")
&amp;"3"),"*キャラ*"),
COUNTIF(INDIRECT("数出表_Excel!"&amp;
IFERROR(
SUBSTITUTE(ADDRESS(1,
IFERROR(COLUMN(INDEX(INDIRECT("数出表_Excel!B"&amp;$I43-1&amp;":T"&amp;$I43-1&amp;""),1,MATCH(TEXT(C43,0),INDIRECT("数出表_Excel!B"&amp;$I43-1&amp;":T"&amp;$I43-1&amp;""),0))),""),4),"1",""),
"")
&amp;"3"),"*赤*")),
INDIRECT("数出表_Excel!"&amp;
IFERROR(
SUBSTITUTE(ADDRESS(1,
IFERROR(COLUMN(INDEX(INDIRECT("数出表_Excel!B"&amp;$I43-1&amp;":T"&amp;$I43-1&amp;""),1,MATCH(TEXT(C43,0),INDIRECT("数出表_Excel!B"&amp;$I43-1&amp;":T"&amp;$I43-1&amp;""),0))),""),4),"1",""),
"")
&amp;"3")
&amp;"　"&amp;INDIRECT("数出表_Excel!"&amp;
IFERROR(
SUBSTITUTE(ADDRESS(1,
IFERROR(COLUMN(INDEX(INDIRECT("数出表_Excel!B"&amp;$I43-1&amp;":T"&amp;$I43-1&amp;""),1,MATCH(TEXT(C43,0),INDIRECT("数出表_Excel!B"&amp;$I43-1&amp;":T"&amp;$I43-1&amp;""),0))),""),4),"1",""),
"")
&amp;"4")
&amp;INDIRECT("数出表_Excel!"&amp;
IFERROR(
SUBSTITUTE(ADDRESS(1,
IFERROR(COLUMN(INDEX(INDIRECT("数出表_Excel!B"&amp;$I43-1&amp;":T"&amp;$I43-1&amp;""),1,MATCH(TEXT(C43,0),INDIRECT("数出表_Excel!B"&amp;$I43-1&amp;":T"&amp;$I43-1&amp;""),0))),""),4),"1",""),
"")
&amp;"5"),
INDIRECT("数出表_Excel!"&amp;
IFERROR(
SUBSTITUTE(ADDRESS(1,
IFERROR(COLUMN(INDEX(INDIRECT("数出表_Excel!B"&amp;$I43-1&amp;":T"&amp;$I43-1&amp;""),1,MATCH(TEXT(C43,0),INDIRECT("数出表_Excel!B"&amp;$I43-1&amp;":T"&amp;$I43-1&amp;""),0))),""),4),"1",""),
"")
&amp;"3")),"")</f>
        <v/>
      </c>
      <c r="L43" t="str" cm="1">
        <f t="array" aca="1" ref="L43" ca="1">IFERROR(IF(OR(COUNTIF(INDIRECT("数出表_Excel!"&amp;
IFERROR(
SUBSTITUTE(ADDRESS(1,
IFERROR(COLUMN(INDEX(INDIRECT("数出表_Excel!B"&amp;$I43-1&amp;":T"&amp;$I43-1&amp;""),1,MATCH(TEXT(D43,0),INDIRECT("数出表_Excel!B"&amp;$I43-1&amp;":T"&amp;$I43-1&amp;""),0))),""),4),"1",""),
"")
&amp;"3"),"*キャラ*"),
COUNTIF(INDIRECT("数出表_Excel!"&amp;
IFERROR(
SUBSTITUTE(ADDRESS(1,
IFERROR(COLUMN(INDEX(INDIRECT("数出表_Excel!B"&amp;$I43-1&amp;":T"&amp;$I43-1&amp;""),1,MATCH(TEXT(D43,0),INDIRECT("数出表_Excel!B"&amp;$I43-1&amp;":T"&amp;$I43-1&amp;""),0))),""),4),"1",""),
"")
&amp;"3"),"*赤*")),
INDIRECT("数出表_Excel!"&amp;
IFERROR(
SUBSTITUTE(ADDRESS(1,
IFERROR(COLUMN(INDEX(INDIRECT("数出表_Excel!B"&amp;$I43-1&amp;":T"&amp;$I43-1&amp;""),1,MATCH(TEXT(D43,0),INDIRECT("数出表_Excel!B"&amp;$I43-1&amp;":T"&amp;$I43-1&amp;""),0))),""),4),"1",""),
"")
&amp;"3")
&amp;"　"&amp;INDIRECT("数出表_Excel!"&amp;
IFERROR(
SUBSTITUTE(ADDRESS(1,
IFERROR(COLUMN(INDEX(INDIRECT("数出表_Excel!B"&amp;$I43-1&amp;":T"&amp;$I43-1&amp;""),1,MATCH(TEXT(D43,0),INDIRECT("数出表_Excel!B"&amp;$I43-1&amp;":T"&amp;$I43-1&amp;""),0))),""),4),"1",""),
"")
&amp;"4")
&amp;INDIRECT("数出表_Excel!"&amp;
IFERROR(
SUBSTITUTE(ADDRESS(1,
IFERROR(COLUMN(INDEX(INDIRECT("数出表_Excel!B"&amp;$I43-1&amp;":T"&amp;$I43-1&amp;""),1,MATCH(TEXT(D43,0),INDIRECT("数出表_Excel!B"&amp;$I43-1&amp;":T"&amp;$I43-1&amp;""),0))),""),4),"1",""),
"")
&amp;"5"),
INDIRECT("数出表_Excel!"&amp;
IFERROR(
SUBSTITUTE(ADDRESS(1,
IFERROR(COLUMN(INDEX(INDIRECT("数出表_Excel!B"&amp;$I43-1&amp;":T"&amp;$I43-1&amp;""),1,MATCH(TEXT(D43,0),INDIRECT("数出表_Excel!B"&amp;$I43-1&amp;":T"&amp;$I43-1&amp;""),0))),""),4),"1",""),
"")
&amp;"3")),"")</f>
        <v/>
      </c>
      <c r="M43" t="str" cm="1">
        <f t="array" aca="1" ref="M43" ca="1">IFERROR(IF(OR(COUNTIF(INDIRECT("数出表_Excel!"&amp;
IFERROR(
SUBSTITUTE(ADDRESS(1,
IFERROR(COLUMN(INDEX(INDIRECT("数出表_Excel!B"&amp;$I43&amp;":T"&amp;$I43&amp;""),1,MATCH(TEXT(E43,0),INDIRECT("数出表_Excel!B"&amp;$I43&amp;":T"&amp;$I43&amp;""),0))),""),4),"1",""),
"")
&amp;"3"),"*キャラ*"),
COUNTIF(INDIRECT("数出表_Excel!"&amp;
IFERROR(
SUBSTITUTE(ADDRESS(1,
IFERROR(COLUMN(INDEX(INDIRECT("数出表_Excel!B"&amp;$I43&amp;":T"&amp;$I43&amp;""),1,MATCH(TEXT(E43,0),INDIRECT("数出表_Excel!B"&amp;$I43&amp;":T"&amp;$I43&amp;""),0))),""),4),"1",""),
"")
&amp;"3"),"*赤*")),
INDIRECT("数出表_Excel!"&amp;
IFERROR(
SUBSTITUTE(ADDRESS(1,
IFERROR(COLUMN(INDEX(INDIRECT("数出表_Excel!B"&amp;$I43&amp;":T"&amp;$I43&amp;""),1,MATCH(TEXT(E43,0),INDIRECT("数出表_Excel!B"&amp;$I43&amp;":T"&amp;$I43&amp;""),0))),""),4),"1",""),
"")
&amp;"3")
&amp;"　"&amp;INDIRECT("数出表_Excel!"&amp;
IFERROR(
SUBSTITUTE(ADDRESS(1,
IFERROR(COLUMN(INDEX(INDIRECT("数出表_Excel!B"&amp;$I43&amp;":T"&amp;$I43&amp;""),1,MATCH(TEXT(E43,0),INDIRECT("数出表_Excel!B"&amp;$I43&amp;":T"&amp;$I43&amp;""),0))),""),4),"1",""),
"")
&amp;"4")
&amp;INDIRECT("数出表_Excel!"&amp;
IFERROR(
SUBSTITUTE(ADDRESS(1,
IFERROR(COLUMN(INDEX(INDIRECT("数出表_Excel!B"&amp;$I43&amp;":T"&amp;$I43&amp;""),1,MATCH(TEXT(E43,0),INDIRECT("数出表_Excel!B"&amp;$I43&amp;":T"&amp;$I43&amp;""),0))),""),4),"1",""),
"")
&amp;"5"),
INDIRECT("数出表_Excel!"&amp;
IFERROR(
SUBSTITUTE(ADDRESS(1,
IFERROR(COLUMN(INDEX(INDIRECT("数出表_Excel!B"&amp;$I43&amp;":T"&amp;$I43&amp;""),1,MATCH(TEXT(E43,0),INDIRECT("数出表_Excel!B"&amp;$I43&amp;":T"&amp;$I43&amp;""),0))),""),4),"1",""),
"")
&amp;"3")),"")</f>
        <v/>
      </c>
      <c r="N43" t="str" cm="1">
        <f t="array" aca="1" ref="N43" ca="1">IFERROR(IF(OR(COUNTIF(INDIRECT("数出表_Excel!"&amp;
IFERROR(
SUBSTITUTE(ADDRESS(1,
IFERROR(COLUMN(INDEX(INDIRECT("数出表_Excel!B"&amp;$I43&amp;":T"&amp;$I43&amp;""),1,MATCH(TEXT(F43,0),INDIRECT("数出表_Excel!B"&amp;$I43&amp;":T"&amp;$I43&amp;""),0))),""),4),"1",""),
"")
&amp;"3"),"*キャラ*"),
COUNTIF(INDIRECT("数出表_Excel!"&amp;
IFERROR(
SUBSTITUTE(ADDRESS(1,
IFERROR(COLUMN(INDEX(INDIRECT("数出表_Excel!B"&amp;$I43&amp;":T"&amp;$I43&amp;""),1,MATCH(TEXT(F43,0),INDIRECT("数出表_Excel!B"&amp;$I43&amp;":T"&amp;$I43&amp;""),0))),""),4),"1",""),
"")
&amp;"3"),"*赤*")),
INDIRECT("数出表_Excel!"&amp;
IFERROR(
SUBSTITUTE(ADDRESS(1,
IFERROR(COLUMN(INDEX(INDIRECT("数出表_Excel!B"&amp;$I43&amp;":T"&amp;$I43&amp;""),1,MATCH(TEXT(F43,0),INDIRECT("数出表_Excel!B"&amp;$I43&amp;":T"&amp;$I43&amp;""),0))),""),4),"1",""),
"")
&amp;"3")
&amp;"　"&amp;INDIRECT("数出表_Excel!"&amp;
IFERROR(
SUBSTITUTE(ADDRESS(1,
IFERROR(COLUMN(INDEX(INDIRECT("数出表_Excel!B"&amp;$I43&amp;":T"&amp;$I43&amp;""),1,MATCH(TEXT(F43,0),INDIRECT("数出表_Excel!B"&amp;$I43&amp;":T"&amp;$I43&amp;""),0))),""),4),"1",""),
"")
&amp;"4")
&amp;INDIRECT("数出表_Excel!"&amp;
IFERROR(
SUBSTITUTE(ADDRESS(1,
IFERROR(COLUMN(INDEX(INDIRECT("数出表_Excel!B"&amp;$I43&amp;":T"&amp;$I43&amp;""),1,MATCH(TEXT(F43,0),INDIRECT("数出表_Excel!B"&amp;$I43&amp;":T"&amp;$I43&amp;""),0))),""),4),"1",""),
"")
&amp;"5"),
INDIRECT("数出表_Excel!"&amp;
IFERROR(
SUBSTITUTE(ADDRESS(1,
IFERROR(COLUMN(INDEX(INDIRECT("数出表_Excel!B"&amp;$I43&amp;":T"&amp;$I43&amp;""),1,MATCH(TEXT(F43,0),INDIRECT("数出表_Excel!B"&amp;$I43&amp;":T"&amp;$I43&amp;""),0))),""),4),"1",""),
"")
&amp;"3")),"")</f>
        <v/>
      </c>
      <c r="O43" t="str" cm="1">
        <f t="array" aca="1" ref="O43" ca="1">IFERROR(IF(OR(COUNTIF(INDIRECT("数出表_Excel!"&amp;
IFERROR(
SUBSTITUTE(ADDRESS(1,
IFERROR(COLUMN(INDEX(INDIRECT("数出表_Excel!B"&amp;$I43&amp;":T"&amp;$I43&amp;""),1,MATCH(TEXT(G43,0),INDIRECT("数出表_Excel!B"&amp;$I43&amp;":T"&amp;$I43&amp;""),0))),""),4),"1",""),
"")
&amp;"3"),"*キャラ*"),
COUNTIF(INDIRECT("数出表_Excel!"&amp;
IFERROR(
SUBSTITUTE(ADDRESS(1,
IFERROR(COLUMN(INDEX(INDIRECT("数出表_Excel!B"&amp;$I43&amp;":T"&amp;$I43&amp;""),1,MATCH(TEXT(G43,0),INDIRECT("数出表_Excel!B"&amp;$I43&amp;":T"&amp;$I43&amp;""),0))),""),4),"1",""),
"")
&amp;"3"),"*赤*")),
INDIRECT("数出表_Excel!"&amp;
IFERROR(
SUBSTITUTE(ADDRESS(1,
IFERROR(COLUMN(INDEX(INDIRECT("数出表_Excel!B"&amp;$I43&amp;":T"&amp;$I43&amp;""),1,MATCH(TEXT(G43,0),INDIRECT("数出表_Excel!B"&amp;$I43&amp;":T"&amp;$I43&amp;""),0))),""),4),"1",""),
"")
&amp;"3")
&amp;"　"&amp;INDIRECT("数出表_Excel!"&amp;
IFERROR(
SUBSTITUTE(ADDRESS(1,
IFERROR(COLUMN(INDEX(INDIRECT("数出表_Excel!B"&amp;$I43&amp;":T"&amp;$I43&amp;""),1,MATCH(TEXT(G43,0),INDIRECT("数出表_Excel!B"&amp;$I43&amp;":T"&amp;$I43&amp;""),0))),""),4),"1",""),
"")
&amp;"4")
&amp;INDIRECT("数出表_Excel!"&amp;
IFERROR(
SUBSTITUTE(ADDRESS(1,
IFERROR(COLUMN(INDEX(INDIRECT("数出表_Excel!B"&amp;$I43&amp;":T"&amp;$I43&amp;""),1,MATCH(TEXT(G43,0),INDIRECT("数出表_Excel!B"&amp;$I43&amp;":T"&amp;$I43&amp;""),0))),""),4),"1",""),
"")
&amp;"5"),
INDIRECT("数出表_Excel!"&amp;
IFERROR(
SUBSTITUTE(ADDRESS(1,
IFERROR(COLUMN(INDEX(INDIRECT("数出表_Excel!B"&amp;$I43&amp;":T"&amp;$I43&amp;""),1,MATCH(TEXT(G43,0),INDIRECT("数出表_Excel!B"&amp;$I43&amp;":T"&amp;$I43&amp;""),0))),""),4),"1",""),
"")
&amp;"3")),"")</f>
        <v/>
      </c>
    </row>
    <row r="44" spans="9:15">
      <c r="I44" t="str">
        <f>IF(A44&lt;&gt;"",MATCH(A44,数出表_Excel!A:A,0),"")</f>
        <v/>
      </c>
      <c r="J44" t="str" cm="1">
        <f t="array" aca="1" ref="J44" ca="1">IFERROR(IF(OR(COUNTIF(INDIRECT("数出表_Excel!"&amp;
IFERROR(
SUBSTITUTE(ADDRESS(1,
IFERROR(COLUMN(INDEX(INDIRECT("数出表_Excel!B"&amp;$I44-1&amp;":T"&amp;$I44-1&amp;""),1,MATCH(TEXT(B44,0),INDIRECT("数出表_Excel!B"&amp;$I44-1&amp;":T"&amp;$I44-1&amp;""),0))),""),4),"1",""),
"")
&amp;"3"),"*キャラ*"),
COUNTIF(INDIRECT("数出表_Excel!"&amp;
IFERROR(
SUBSTITUTE(ADDRESS(1,
IFERROR(COLUMN(INDEX(INDIRECT("数出表_Excel!B"&amp;$I44-1&amp;":T"&amp;$I44-1&amp;""),1,MATCH(TEXT(B44,0),INDIRECT("数出表_Excel!B"&amp;$I44-1&amp;":T"&amp;$I44-1&amp;""),0))),""),4),"1",""),
"")
&amp;"3"),"*赤*")),
INDIRECT("数出表_Excel!"&amp;
IFERROR(
SUBSTITUTE(ADDRESS(1,
IFERROR(COLUMN(INDEX(INDIRECT("数出表_Excel!B"&amp;$I44-1&amp;":T"&amp;$I44-1&amp;""),1,MATCH(TEXT(B44,0),INDIRECT("数出表_Excel!B"&amp;$I44-1&amp;":T"&amp;$I44-1&amp;""),0))),""),4),"1",""),
"")
&amp;"3")
&amp;"　"&amp;INDIRECT("数出表_Excel!"&amp;
IFERROR(
SUBSTITUTE(ADDRESS(1,
IFERROR(COLUMN(INDEX(INDIRECT("数出表_Excel!B"&amp;$I44-1&amp;":T"&amp;$I44-1&amp;""),1,MATCH(TEXT(B44,0),INDIRECT("数出表_Excel!B"&amp;$I44-1&amp;":T"&amp;$I44-1&amp;""),0))),""),4),"1",""),
"")
&amp;"4")
&amp;INDIRECT("数出表_Excel!"&amp;
IFERROR(
SUBSTITUTE(ADDRESS(1,
IFERROR(COLUMN(INDEX(INDIRECT("数出表_Excel!B"&amp;$I44-1&amp;":T"&amp;$I44-1&amp;""),1,MATCH(TEXT(B44,0),INDIRECT("数出表_Excel!B"&amp;$I44-1&amp;":T"&amp;$I44-1&amp;""),0))),""),4),"1",""),
"")
&amp;"5"),
INDIRECT("数出表_Excel!"&amp;
IFERROR(
SUBSTITUTE(ADDRESS(1,
IFERROR(COLUMN(INDEX(INDIRECT("数出表_Excel!B"&amp;$I44-1&amp;":T"&amp;$I44-1&amp;""),1,MATCH(TEXT(B44,0),INDIRECT("数出表_Excel!B"&amp;$I44-1&amp;":T"&amp;$I44-1&amp;""),0))),""),4),"1",""),
"")
&amp;"3")),"")</f>
        <v/>
      </c>
      <c r="K44" t="str" cm="1">
        <f t="array" aca="1" ref="K44" ca="1">IFERROR(IF(OR(COUNTIF(INDIRECT("数出表_Excel!"&amp;
IFERROR(
SUBSTITUTE(ADDRESS(1,
IFERROR(COLUMN(INDEX(INDIRECT("数出表_Excel!B"&amp;$I44-1&amp;":T"&amp;$I44-1&amp;""),1,MATCH(TEXT(C44,0),INDIRECT("数出表_Excel!B"&amp;$I44-1&amp;":T"&amp;$I44-1&amp;""),0))),""),4),"1",""),
"")
&amp;"3"),"*キャラ*"),
COUNTIF(INDIRECT("数出表_Excel!"&amp;
IFERROR(
SUBSTITUTE(ADDRESS(1,
IFERROR(COLUMN(INDEX(INDIRECT("数出表_Excel!B"&amp;$I44-1&amp;":T"&amp;$I44-1&amp;""),1,MATCH(TEXT(C44,0),INDIRECT("数出表_Excel!B"&amp;$I44-1&amp;":T"&amp;$I44-1&amp;""),0))),""),4),"1",""),
"")
&amp;"3"),"*赤*")),
INDIRECT("数出表_Excel!"&amp;
IFERROR(
SUBSTITUTE(ADDRESS(1,
IFERROR(COLUMN(INDEX(INDIRECT("数出表_Excel!B"&amp;$I44-1&amp;":T"&amp;$I44-1&amp;""),1,MATCH(TEXT(C44,0),INDIRECT("数出表_Excel!B"&amp;$I44-1&amp;":T"&amp;$I44-1&amp;""),0))),""),4),"1",""),
"")
&amp;"3")
&amp;"　"&amp;INDIRECT("数出表_Excel!"&amp;
IFERROR(
SUBSTITUTE(ADDRESS(1,
IFERROR(COLUMN(INDEX(INDIRECT("数出表_Excel!B"&amp;$I44-1&amp;":T"&amp;$I44-1&amp;""),1,MATCH(TEXT(C44,0),INDIRECT("数出表_Excel!B"&amp;$I44-1&amp;":T"&amp;$I44-1&amp;""),0))),""),4),"1",""),
"")
&amp;"4")
&amp;INDIRECT("数出表_Excel!"&amp;
IFERROR(
SUBSTITUTE(ADDRESS(1,
IFERROR(COLUMN(INDEX(INDIRECT("数出表_Excel!B"&amp;$I44-1&amp;":T"&amp;$I44-1&amp;""),1,MATCH(TEXT(C44,0),INDIRECT("数出表_Excel!B"&amp;$I44-1&amp;":T"&amp;$I44-1&amp;""),0))),""),4),"1",""),
"")
&amp;"5"),
INDIRECT("数出表_Excel!"&amp;
IFERROR(
SUBSTITUTE(ADDRESS(1,
IFERROR(COLUMN(INDEX(INDIRECT("数出表_Excel!B"&amp;$I44-1&amp;":T"&amp;$I44-1&amp;""),1,MATCH(TEXT(C44,0),INDIRECT("数出表_Excel!B"&amp;$I44-1&amp;":T"&amp;$I44-1&amp;""),0))),""),4),"1",""),
"")
&amp;"3")),"")</f>
        <v/>
      </c>
      <c r="L44" t="str" cm="1">
        <f t="array" aca="1" ref="L44" ca="1">IFERROR(IF(OR(COUNTIF(INDIRECT("数出表_Excel!"&amp;
IFERROR(
SUBSTITUTE(ADDRESS(1,
IFERROR(COLUMN(INDEX(INDIRECT("数出表_Excel!B"&amp;$I44-1&amp;":T"&amp;$I44-1&amp;""),1,MATCH(TEXT(D44,0),INDIRECT("数出表_Excel!B"&amp;$I44-1&amp;":T"&amp;$I44-1&amp;""),0))),""),4),"1",""),
"")
&amp;"3"),"*キャラ*"),
COUNTIF(INDIRECT("数出表_Excel!"&amp;
IFERROR(
SUBSTITUTE(ADDRESS(1,
IFERROR(COLUMN(INDEX(INDIRECT("数出表_Excel!B"&amp;$I44-1&amp;":T"&amp;$I44-1&amp;""),1,MATCH(TEXT(D44,0),INDIRECT("数出表_Excel!B"&amp;$I44-1&amp;":T"&amp;$I44-1&amp;""),0))),""),4),"1",""),
"")
&amp;"3"),"*赤*")),
INDIRECT("数出表_Excel!"&amp;
IFERROR(
SUBSTITUTE(ADDRESS(1,
IFERROR(COLUMN(INDEX(INDIRECT("数出表_Excel!B"&amp;$I44-1&amp;":T"&amp;$I44-1&amp;""),1,MATCH(TEXT(D44,0),INDIRECT("数出表_Excel!B"&amp;$I44-1&amp;":T"&amp;$I44-1&amp;""),0))),""),4),"1",""),
"")
&amp;"3")
&amp;"　"&amp;INDIRECT("数出表_Excel!"&amp;
IFERROR(
SUBSTITUTE(ADDRESS(1,
IFERROR(COLUMN(INDEX(INDIRECT("数出表_Excel!B"&amp;$I44-1&amp;":T"&amp;$I44-1&amp;""),1,MATCH(TEXT(D44,0),INDIRECT("数出表_Excel!B"&amp;$I44-1&amp;":T"&amp;$I44-1&amp;""),0))),""),4),"1",""),
"")
&amp;"4")
&amp;INDIRECT("数出表_Excel!"&amp;
IFERROR(
SUBSTITUTE(ADDRESS(1,
IFERROR(COLUMN(INDEX(INDIRECT("数出表_Excel!B"&amp;$I44-1&amp;":T"&amp;$I44-1&amp;""),1,MATCH(TEXT(D44,0),INDIRECT("数出表_Excel!B"&amp;$I44-1&amp;":T"&amp;$I44-1&amp;""),0))),""),4),"1",""),
"")
&amp;"5"),
INDIRECT("数出表_Excel!"&amp;
IFERROR(
SUBSTITUTE(ADDRESS(1,
IFERROR(COLUMN(INDEX(INDIRECT("数出表_Excel!B"&amp;$I44-1&amp;":T"&amp;$I44-1&amp;""),1,MATCH(TEXT(D44,0),INDIRECT("数出表_Excel!B"&amp;$I44-1&amp;":T"&amp;$I44-1&amp;""),0))),""),4),"1",""),
"")
&amp;"3")),"")</f>
        <v/>
      </c>
      <c r="M44" t="str" cm="1">
        <f t="array" aca="1" ref="M44" ca="1">IFERROR(IF(OR(COUNTIF(INDIRECT("数出表_Excel!"&amp;
IFERROR(
SUBSTITUTE(ADDRESS(1,
IFERROR(COLUMN(INDEX(INDIRECT("数出表_Excel!B"&amp;$I44&amp;":T"&amp;$I44&amp;""),1,MATCH(TEXT(E44,0),INDIRECT("数出表_Excel!B"&amp;$I44&amp;":T"&amp;$I44&amp;""),0))),""),4),"1",""),
"")
&amp;"3"),"*キャラ*"),
COUNTIF(INDIRECT("数出表_Excel!"&amp;
IFERROR(
SUBSTITUTE(ADDRESS(1,
IFERROR(COLUMN(INDEX(INDIRECT("数出表_Excel!B"&amp;$I44&amp;":T"&amp;$I44&amp;""),1,MATCH(TEXT(E44,0),INDIRECT("数出表_Excel!B"&amp;$I44&amp;":T"&amp;$I44&amp;""),0))),""),4),"1",""),
"")
&amp;"3"),"*赤*")),
INDIRECT("数出表_Excel!"&amp;
IFERROR(
SUBSTITUTE(ADDRESS(1,
IFERROR(COLUMN(INDEX(INDIRECT("数出表_Excel!B"&amp;$I44&amp;":T"&amp;$I44&amp;""),1,MATCH(TEXT(E44,0),INDIRECT("数出表_Excel!B"&amp;$I44&amp;":T"&amp;$I44&amp;""),0))),""),4),"1",""),
"")
&amp;"3")
&amp;"　"&amp;INDIRECT("数出表_Excel!"&amp;
IFERROR(
SUBSTITUTE(ADDRESS(1,
IFERROR(COLUMN(INDEX(INDIRECT("数出表_Excel!B"&amp;$I44&amp;":T"&amp;$I44&amp;""),1,MATCH(TEXT(E44,0),INDIRECT("数出表_Excel!B"&amp;$I44&amp;":T"&amp;$I44&amp;""),0))),""),4),"1",""),
"")
&amp;"4")
&amp;INDIRECT("数出表_Excel!"&amp;
IFERROR(
SUBSTITUTE(ADDRESS(1,
IFERROR(COLUMN(INDEX(INDIRECT("数出表_Excel!B"&amp;$I44&amp;":T"&amp;$I44&amp;""),1,MATCH(TEXT(E44,0),INDIRECT("数出表_Excel!B"&amp;$I44&amp;":T"&amp;$I44&amp;""),0))),""),4),"1",""),
"")
&amp;"5"),
INDIRECT("数出表_Excel!"&amp;
IFERROR(
SUBSTITUTE(ADDRESS(1,
IFERROR(COLUMN(INDEX(INDIRECT("数出表_Excel!B"&amp;$I44&amp;":T"&amp;$I44&amp;""),1,MATCH(TEXT(E44,0),INDIRECT("数出表_Excel!B"&amp;$I44&amp;":T"&amp;$I44&amp;""),0))),""),4),"1",""),
"")
&amp;"3")),"")</f>
        <v/>
      </c>
      <c r="N44" t="str" cm="1">
        <f t="array" aca="1" ref="N44" ca="1">IFERROR(IF(OR(COUNTIF(INDIRECT("数出表_Excel!"&amp;
IFERROR(
SUBSTITUTE(ADDRESS(1,
IFERROR(COLUMN(INDEX(INDIRECT("数出表_Excel!B"&amp;$I44&amp;":T"&amp;$I44&amp;""),1,MATCH(TEXT(F44,0),INDIRECT("数出表_Excel!B"&amp;$I44&amp;":T"&amp;$I44&amp;""),0))),""),4),"1",""),
"")
&amp;"3"),"*キャラ*"),
COUNTIF(INDIRECT("数出表_Excel!"&amp;
IFERROR(
SUBSTITUTE(ADDRESS(1,
IFERROR(COLUMN(INDEX(INDIRECT("数出表_Excel!B"&amp;$I44&amp;":T"&amp;$I44&amp;""),1,MATCH(TEXT(F44,0),INDIRECT("数出表_Excel!B"&amp;$I44&amp;":T"&amp;$I44&amp;""),0))),""),4),"1",""),
"")
&amp;"3"),"*赤*")),
INDIRECT("数出表_Excel!"&amp;
IFERROR(
SUBSTITUTE(ADDRESS(1,
IFERROR(COLUMN(INDEX(INDIRECT("数出表_Excel!B"&amp;$I44&amp;":T"&amp;$I44&amp;""),1,MATCH(TEXT(F44,0),INDIRECT("数出表_Excel!B"&amp;$I44&amp;":T"&amp;$I44&amp;""),0))),""),4),"1",""),
"")
&amp;"3")
&amp;"　"&amp;INDIRECT("数出表_Excel!"&amp;
IFERROR(
SUBSTITUTE(ADDRESS(1,
IFERROR(COLUMN(INDEX(INDIRECT("数出表_Excel!B"&amp;$I44&amp;":T"&amp;$I44&amp;""),1,MATCH(TEXT(F44,0),INDIRECT("数出表_Excel!B"&amp;$I44&amp;":T"&amp;$I44&amp;""),0))),""),4),"1",""),
"")
&amp;"4")
&amp;INDIRECT("数出表_Excel!"&amp;
IFERROR(
SUBSTITUTE(ADDRESS(1,
IFERROR(COLUMN(INDEX(INDIRECT("数出表_Excel!B"&amp;$I44&amp;":T"&amp;$I44&amp;""),1,MATCH(TEXT(F44,0),INDIRECT("数出表_Excel!B"&amp;$I44&amp;":T"&amp;$I44&amp;""),0))),""),4),"1",""),
"")
&amp;"5"),
INDIRECT("数出表_Excel!"&amp;
IFERROR(
SUBSTITUTE(ADDRESS(1,
IFERROR(COLUMN(INDEX(INDIRECT("数出表_Excel!B"&amp;$I44&amp;":T"&amp;$I44&amp;""),1,MATCH(TEXT(F44,0),INDIRECT("数出表_Excel!B"&amp;$I44&amp;":T"&amp;$I44&amp;""),0))),""),4),"1",""),
"")
&amp;"3")),"")</f>
        <v/>
      </c>
      <c r="O44" t="str" cm="1">
        <f t="array" aca="1" ref="O44" ca="1">IFERROR(IF(OR(COUNTIF(INDIRECT("数出表_Excel!"&amp;
IFERROR(
SUBSTITUTE(ADDRESS(1,
IFERROR(COLUMN(INDEX(INDIRECT("数出表_Excel!B"&amp;$I44&amp;":T"&amp;$I44&amp;""),1,MATCH(TEXT(G44,0),INDIRECT("数出表_Excel!B"&amp;$I44&amp;":T"&amp;$I44&amp;""),0))),""),4),"1",""),
"")
&amp;"3"),"*キャラ*"),
COUNTIF(INDIRECT("数出表_Excel!"&amp;
IFERROR(
SUBSTITUTE(ADDRESS(1,
IFERROR(COLUMN(INDEX(INDIRECT("数出表_Excel!B"&amp;$I44&amp;":T"&amp;$I44&amp;""),1,MATCH(TEXT(G44,0),INDIRECT("数出表_Excel!B"&amp;$I44&amp;":T"&amp;$I44&amp;""),0))),""),4),"1",""),
"")
&amp;"3"),"*赤*")),
INDIRECT("数出表_Excel!"&amp;
IFERROR(
SUBSTITUTE(ADDRESS(1,
IFERROR(COLUMN(INDEX(INDIRECT("数出表_Excel!B"&amp;$I44&amp;":T"&amp;$I44&amp;""),1,MATCH(TEXT(G44,0),INDIRECT("数出表_Excel!B"&amp;$I44&amp;":T"&amp;$I44&amp;""),0))),""),4),"1",""),
"")
&amp;"3")
&amp;"　"&amp;INDIRECT("数出表_Excel!"&amp;
IFERROR(
SUBSTITUTE(ADDRESS(1,
IFERROR(COLUMN(INDEX(INDIRECT("数出表_Excel!B"&amp;$I44&amp;":T"&amp;$I44&amp;""),1,MATCH(TEXT(G44,0),INDIRECT("数出表_Excel!B"&amp;$I44&amp;":T"&amp;$I44&amp;""),0))),""),4),"1",""),
"")
&amp;"4")
&amp;INDIRECT("数出表_Excel!"&amp;
IFERROR(
SUBSTITUTE(ADDRESS(1,
IFERROR(COLUMN(INDEX(INDIRECT("数出表_Excel!B"&amp;$I44&amp;":T"&amp;$I44&amp;""),1,MATCH(TEXT(G44,0),INDIRECT("数出表_Excel!B"&amp;$I44&amp;":T"&amp;$I44&amp;""),0))),""),4),"1",""),
"")
&amp;"5"),
INDIRECT("数出表_Excel!"&amp;
IFERROR(
SUBSTITUTE(ADDRESS(1,
IFERROR(COLUMN(INDEX(INDIRECT("数出表_Excel!B"&amp;$I44&amp;":T"&amp;$I44&amp;""),1,MATCH(TEXT(G44,0),INDIRECT("数出表_Excel!B"&amp;$I44&amp;":T"&amp;$I44&amp;""),0))),""),4),"1",""),
"")
&amp;"3")),"")</f>
        <v/>
      </c>
    </row>
    <row r="45" spans="9:15">
      <c r="I45" t="str">
        <f>IF(A45&lt;&gt;"",MATCH(A45,数出表_Excel!A:A,0),"")</f>
        <v/>
      </c>
      <c r="J45" t="str" cm="1">
        <f t="array" aca="1" ref="J45" ca="1">IFERROR(IF(OR(COUNTIF(INDIRECT("数出表_Excel!"&amp;
IFERROR(
SUBSTITUTE(ADDRESS(1,
IFERROR(COLUMN(INDEX(INDIRECT("数出表_Excel!B"&amp;$I45-1&amp;":T"&amp;$I45-1&amp;""),1,MATCH(TEXT(B45,0),INDIRECT("数出表_Excel!B"&amp;$I45-1&amp;":T"&amp;$I45-1&amp;""),0))),""),4),"1",""),
"")
&amp;"3"),"*キャラ*"),
COUNTIF(INDIRECT("数出表_Excel!"&amp;
IFERROR(
SUBSTITUTE(ADDRESS(1,
IFERROR(COLUMN(INDEX(INDIRECT("数出表_Excel!B"&amp;$I45-1&amp;":T"&amp;$I45-1&amp;""),1,MATCH(TEXT(B45,0),INDIRECT("数出表_Excel!B"&amp;$I45-1&amp;":T"&amp;$I45-1&amp;""),0))),""),4),"1",""),
"")
&amp;"3"),"*赤*")),
INDIRECT("数出表_Excel!"&amp;
IFERROR(
SUBSTITUTE(ADDRESS(1,
IFERROR(COLUMN(INDEX(INDIRECT("数出表_Excel!B"&amp;$I45-1&amp;":T"&amp;$I45-1&amp;""),1,MATCH(TEXT(B45,0),INDIRECT("数出表_Excel!B"&amp;$I45-1&amp;":T"&amp;$I45-1&amp;""),0))),""),4),"1",""),
"")
&amp;"3")
&amp;"　"&amp;INDIRECT("数出表_Excel!"&amp;
IFERROR(
SUBSTITUTE(ADDRESS(1,
IFERROR(COLUMN(INDEX(INDIRECT("数出表_Excel!B"&amp;$I45-1&amp;":T"&amp;$I45-1&amp;""),1,MATCH(TEXT(B45,0),INDIRECT("数出表_Excel!B"&amp;$I45-1&amp;":T"&amp;$I45-1&amp;""),0))),""),4),"1",""),
"")
&amp;"4")
&amp;INDIRECT("数出表_Excel!"&amp;
IFERROR(
SUBSTITUTE(ADDRESS(1,
IFERROR(COLUMN(INDEX(INDIRECT("数出表_Excel!B"&amp;$I45-1&amp;":T"&amp;$I45-1&amp;""),1,MATCH(TEXT(B45,0),INDIRECT("数出表_Excel!B"&amp;$I45-1&amp;":T"&amp;$I45-1&amp;""),0))),""),4),"1",""),
"")
&amp;"5"),
INDIRECT("数出表_Excel!"&amp;
IFERROR(
SUBSTITUTE(ADDRESS(1,
IFERROR(COLUMN(INDEX(INDIRECT("数出表_Excel!B"&amp;$I45-1&amp;":T"&amp;$I45-1&amp;""),1,MATCH(TEXT(B45,0),INDIRECT("数出表_Excel!B"&amp;$I45-1&amp;":T"&amp;$I45-1&amp;""),0))),""),4),"1",""),
"")
&amp;"3")),"")</f>
        <v/>
      </c>
      <c r="K45" t="str" cm="1">
        <f t="array" aca="1" ref="K45" ca="1">IFERROR(IF(OR(COUNTIF(INDIRECT("数出表_Excel!"&amp;
IFERROR(
SUBSTITUTE(ADDRESS(1,
IFERROR(COLUMN(INDEX(INDIRECT("数出表_Excel!B"&amp;$I45-1&amp;":T"&amp;$I45-1&amp;""),1,MATCH(TEXT(C45,0),INDIRECT("数出表_Excel!B"&amp;$I45-1&amp;":T"&amp;$I45-1&amp;""),0))),""),4),"1",""),
"")
&amp;"3"),"*キャラ*"),
COUNTIF(INDIRECT("数出表_Excel!"&amp;
IFERROR(
SUBSTITUTE(ADDRESS(1,
IFERROR(COLUMN(INDEX(INDIRECT("数出表_Excel!B"&amp;$I45-1&amp;":T"&amp;$I45-1&amp;""),1,MATCH(TEXT(C45,0),INDIRECT("数出表_Excel!B"&amp;$I45-1&amp;":T"&amp;$I45-1&amp;""),0))),""),4),"1",""),
"")
&amp;"3"),"*赤*")),
INDIRECT("数出表_Excel!"&amp;
IFERROR(
SUBSTITUTE(ADDRESS(1,
IFERROR(COLUMN(INDEX(INDIRECT("数出表_Excel!B"&amp;$I45-1&amp;":T"&amp;$I45-1&amp;""),1,MATCH(TEXT(C45,0),INDIRECT("数出表_Excel!B"&amp;$I45-1&amp;":T"&amp;$I45-1&amp;""),0))),""),4),"1",""),
"")
&amp;"3")
&amp;"　"&amp;INDIRECT("数出表_Excel!"&amp;
IFERROR(
SUBSTITUTE(ADDRESS(1,
IFERROR(COLUMN(INDEX(INDIRECT("数出表_Excel!B"&amp;$I45-1&amp;":T"&amp;$I45-1&amp;""),1,MATCH(TEXT(C45,0),INDIRECT("数出表_Excel!B"&amp;$I45-1&amp;":T"&amp;$I45-1&amp;""),0))),""),4),"1",""),
"")
&amp;"4")
&amp;INDIRECT("数出表_Excel!"&amp;
IFERROR(
SUBSTITUTE(ADDRESS(1,
IFERROR(COLUMN(INDEX(INDIRECT("数出表_Excel!B"&amp;$I45-1&amp;":T"&amp;$I45-1&amp;""),1,MATCH(TEXT(C45,0),INDIRECT("数出表_Excel!B"&amp;$I45-1&amp;":T"&amp;$I45-1&amp;""),0))),""),4),"1",""),
"")
&amp;"5"),
INDIRECT("数出表_Excel!"&amp;
IFERROR(
SUBSTITUTE(ADDRESS(1,
IFERROR(COLUMN(INDEX(INDIRECT("数出表_Excel!B"&amp;$I45-1&amp;":T"&amp;$I45-1&amp;""),1,MATCH(TEXT(C45,0),INDIRECT("数出表_Excel!B"&amp;$I45-1&amp;":T"&amp;$I45-1&amp;""),0))),""),4),"1",""),
"")
&amp;"3")),"")</f>
        <v/>
      </c>
      <c r="L45" t="str" cm="1">
        <f t="array" aca="1" ref="L45" ca="1">IFERROR(IF(OR(COUNTIF(INDIRECT("数出表_Excel!"&amp;
IFERROR(
SUBSTITUTE(ADDRESS(1,
IFERROR(COLUMN(INDEX(INDIRECT("数出表_Excel!B"&amp;$I45-1&amp;":T"&amp;$I45-1&amp;""),1,MATCH(TEXT(D45,0),INDIRECT("数出表_Excel!B"&amp;$I45-1&amp;":T"&amp;$I45-1&amp;""),0))),""),4),"1",""),
"")
&amp;"3"),"*キャラ*"),
COUNTIF(INDIRECT("数出表_Excel!"&amp;
IFERROR(
SUBSTITUTE(ADDRESS(1,
IFERROR(COLUMN(INDEX(INDIRECT("数出表_Excel!B"&amp;$I45-1&amp;":T"&amp;$I45-1&amp;""),1,MATCH(TEXT(D45,0),INDIRECT("数出表_Excel!B"&amp;$I45-1&amp;":T"&amp;$I45-1&amp;""),0))),""),4),"1",""),
"")
&amp;"3"),"*赤*")),
INDIRECT("数出表_Excel!"&amp;
IFERROR(
SUBSTITUTE(ADDRESS(1,
IFERROR(COLUMN(INDEX(INDIRECT("数出表_Excel!B"&amp;$I45-1&amp;":T"&amp;$I45-1&amp;""),1,MATCH(TEXT(D45,0),INDIRECT("数出表_Excel!B"&amp;$I45-1&amp;":T"&amp;$I45-1&amp;""),0))),""),4),"1",""),
"")
&amp;"3")
&amp;"　"&amp;INDIRECT("数出表_Excel!"&amp;
IFERROR(
SUBSTITUTE(ADDRESS(1,
IFERROR(COLUMN(INDEX(INDIRECT("数出表_Excel!B"&amp;$I45-1&amp;":T"&amp;$I45-1&amp;""),1,MATCH(TEXT(D45,0),INDIRECT("数出表_Excel!B"&amp;$I45-1&amp;":T"&amp;$I45-1&amp;""),0))),""),4),"1",""),
"")
&amp;"4")
&amp;INDIRECT("数出表_Excel!"&amp;
IFERROR(
SUBSTITUTE(ADDRESS(1,
IFERROR(COLUMN(INDEX(INDIRECT("数出表_Excel!B"&amp;$I45-1&amp;":T"&amp;$I45-1&amp;""),1,MATCH(TEXT(D45,0),INDIRECT("数出表_Excel!B"&amp;$I45-1&amp;":T"&amp;$I45-1&amp;""),0))),""),4),"1",""),
"")
&amp;"5"),
INDIRECT("数出表_Excel!"&amp;
IFERROR(
SUBSTITUTE(ADDRESS(1,
IFERROR(COLUMN(INDEX(INDIRECT("数出表_Excel!B"&amp;$I45-1&amp;":T"&amp;$I45-1&amp;""),1,MATCH(TEXT(D45,0),INDIRECT("数出表_Excel!B"&amp;$I45-1&amp;":T"&amp;$I45-1&amp;""),0))),""),4),"1",""),
"")
&amp;"3")),"")</f>
        <v/>
      </c>
      <c r="M45" t="str" cm="1">
        <f t="array" aca="1" ref="M45" ca="1">IFERROR(IF(OR(COUNTIF(INDIRECT("数出表_Excel!"&amp;
IFERROR(
SUBSTITUTE(ADDRESS(1,
IFERROR(COLUMN(INDEX(INDIRECT("数出表_Excel!B"&amp;$I45&amp;":T"&amp;$I45&amp;""),1,MATCH(TEXT(E45,0),INDIRECT("数出表_Excel!B"&amp;$I45&amp;":T"&amp;$I45&amp;""),0))),""),4),"1",""),
"")
&amp;"3"),"*キャラ*"),
COUNTIF(INDIRECT("数出表_Excel!"&amp;
IFERROR(
SUBSTITUTE(ADDRESS(1,
IFERROR(COLUMN(INDEX(INDIRECT("数出表_Excel!B"&amp;$I45&amp;":T"&amp;$I45&amp;""),1,MATCH(TEXT(E45,0),INDIRECT("数出表_Excel!B"&amp;$I45&amp;":T"&amp;$I45&amp;""),0))),""),4),"1",""),
"")
&amp;"3"),"*赤*")),
INDIRECT("数出表_Excel!"&amp;
IFERROR(
SUBSTITUTE(ADDRESS(1,
IFERROR(COLUMN(INDEX(INDIRECT("数出表_Excel!B"&amp;$I45&amp;":T"&amp;$I45&amp;""),1,MATCH(TEXT(E45,0),INDIRECT("数出表_Excel!B"&amp;$I45&amp;":T"&amp;$I45&amp;""),0))),""),4),"1",""),
"")
&amp;"3")
&amp;"　"&amp;INDIRECT("数出表_Excel!"&amp;
IFERROR(
SUBSTITUTE(ADDRESS(1,
IFERROR(COLUMN(INDEX(INDIRECT("数出表_Excel!B"&amp;$I45&amp;":T"&amp;$I45&amp;""),1,MATCH(TEXT(E45,0),INDIRECT("数出表_Excel!B"&amp;$I45&amp;":T"&amp;$I45&amp;""),0))),""),4),"1",""),
"")
&amp;"4")
&amp;INDIRECT("数出表_Excel!"&amp;
IFERROR(
SUBSTITUTE(ADDRESS(1,
IFERROR(COLUMN(INDEX(INDIRECT("数出表_Excel!B"&amp;$I45&amp;":T"&amp;$I45&amp;""),1,MATCH(TEXT(E45,0),INDIRECT("数出表_Excel!B"&amp;$I45&amp;":T"&amp;$I45&amp;""),0))),""),4),"1",""),
"")
&amp;"5"),
INDIRECT("数出表_Excel!"&amp;
IFERROR(
SUBSTITUTE(ADDRESS(1,
IFERROR(COLUMN(INDEX(INDIRECT("数出表_Excel!B"&amp;$I45&amp;":T"&amp;$I45&amp;""),1,MATCH(TEXT(E45,0),INDIRECT("数出表_Excel!B"&amp;$I45&amp;":T"&amp;$I45&amp;""),0))),""),4),"1",""),
"")
&amp;"3")),"")</f>
        <v/>
      </c>
      <c r="N45" t="str" cm="1">
        <f t="array" aca="1" ref="N45" ca="1">IFERROR(IF(OR(COUNTIF(INDIRECT("数出表_Excel!"&amp;
IFERROR(
SUBSTITUTE(ADDRESS(1,
IFERROR(COLUMN(INDEX(INDIRECT("数出表_Excel!B"&amp;$I45&amp;":T"&amp;$I45&amp;""),1,MATCH(TEXT(F45,0),INDIRECT("数出表_Excel!B"&amp;$I45&amp;":T"&amp;$I45&amp;""),0))),""),4),"1",""),
"")
&amp;"3"),"*キャラ*"),
COUNTIF(INDIRECT("数出表_Excel!"&amp;
IFERROR(
SUBSTITUTE(ADDRESS(1,
IFERROR(COLUMN(INDEX(INDIRECT("数出表_Excel!B"&amp;$I45&amp;":T"&amp;$I45&amp;""),1,MATCH(TEXT(F45,0),INDIRECT("数出表_Excel!B"&amp;$I45&amp;":T"&amp;$I45&amp;""),0))),""),4),"1",""),
"")
&amp;"3"),"*赤*")),
INDIRECT("数出表_Excel!"&amp;
IFERROR(
SUBSTITUTE(ADDRESS(1,
IFERROR(COLUMN(INDEX(INDIRECT("数出表_Excel!B"&amp;$I45&amp;":T"&amp;$I45&amp;""),1,MATCH(TEXT(F45,0),INDIRECT("数出表_Excel!B"&amp;$I45&amp;":T"&amp;$I45&amp;""),0))),""),4),"1",""),
"")
&amp;"3")
&amp;"　"&amp;INDIRECT("数出表_Excel!"&amp;
IFERROR(
SUBSTITUTE(ADDRESS(1,
IFERROR(COLUMN(INDEX(INDIRECT("数出表_Excel!B"&amp;$I45&amp;":T"&amp;$I45&amp;""),1,MATCH(TEXT(F45,0),INDIRECT("数出表_Excel!B"&amp;$I45&amp;":T"&amp;$I45&amp;""),0))),""),4),"1",""),
"")
&amp;"4")
&amp;INDIRECT("数出表_Excel!"&amp;
IFERROR(
SUBSTITUTE(ADDRESS(1,
IFERROR(COLUMN(INDEX(INDIRECT("数出表_Excel!B"&amp;$I45&amp;":T"&amp;$I45&amp;""),1,MATCH(TEXT(F45,0),INDIRECT("数出表_Excel!B"&amp;$I45&amp;":T"&amp;$I45&amp;""),0))),""),4),"1",""),
"")
&amp;"5"),
INDIRECT("数出表_Excel!"&amp;
IFERROR(
SUBSTITUTE(ADDRESS(1,
IFERROR(COLUMN(INDEX(INDIRECT("数出表_Excel!B"&amp;$I45&amp;":T"&amp;$I45&amp;""),1,MATCH(TEXT(F45,0),INDIRECT("数出表_Excel!B"&amp;$I45&amp;":T"&amp;$I45&amp;""),0))),""),4),"1",""),
"")
&amp;"3")),"")</f>
        <v/>
      </c>
      <c r="O45" t="str" cm="1">
        <f t="array" aca="1" ref="O45" ca="1">IFERROR(IF(OR(COUNTIF(INDIRECT("数出表_Excel!"&amp;
IFERROR(
SUBSTITUTE(ADDRESS(1,
IFERROR(COLUMN(INDEX(INDIRECT("数出表_Excel!B"&amp;$I45&amp;":T"&amp;$I45&amp;""),1,MATCH(TEXT(G45,0),INDIRECT("数出表_Excel!B"&amp;$I45&amp;":T"&amp;$I45&amp;""),0))),""),4),"1",""),
"")
&amp;"3"),"*キャラ*"),
COUNTIF(INDIRECT("数出表_Excel!"&amp;
IFERROR(
SUBSTITUTE(ADDRESS(1,
IFERROR(COLUMN(INDEX(INDIRECT("数出表_Excel!B"&amp;$I45&amp;":T"&amp;$I45&amp;""),1,MATCH(TEXT(G45,0),INDIRECT("数出表_Excel!B"&amp;$I45&amp;":T"&amp;$I45&amp;""),0))),""),4),"1",""),
"")
&amp;"3"),"*赤*")),
INDIRECT("数出表_Excel!"&amp;
IFERROR(
SUBSTITUTE(ADDRESS(1,
IFERROR(COLUMN(INDEX(INDIRECT("数出表_Excel!B"&amp;$I45&amp;":T"&amp;$I45&amp;""),1,MATCH(TEXT(G45,0),INDIRECT("数出表_Excel!B"&amp;$I45&amp;":T"&amp;$I45&amp;""),0))),""),4),"1",""),
"")
&amp;"3")
&amp;"　"&amp;INDIRECT("数出表_Excel!"&amp;
IFERROR(
SUBSTITUTE(ADDRESS(1,
IFERROR(COLUMN(INDEX(INDIRECT("数出表_Excel!B"&amp;$I45&amp;":T"&amp;$I45&amp;""),1,MATCH(TEXT(G45,0),INDIRECT("数出表_Excel!B"&amp;$I45&amp;":T"&amp;$I45&amp;""),0))),""),4),"1",""),
"")
&amp;"4")
&amp;INDIRECT("数出表_Excel!"&amp;
IFERROR(
SUBSTITUTE(ADDRESS(1,
IFERROR(COLUMN(INDEX(INDIRECT("数出表_Excel!B"&amp;$I45&amp;":T"&amp;$I45&amp;""),1,MATCH(TEXT(G45,0),INDIRECT("数出表_Excel!B"&amp;$I45&amp;":T"&amp;$I45&amp;""),0))),""),4),"1",""),
"")
&amp;"5"),
INDIRECT("数出表_Excel!"&amp;
IFERROR(
SUBSTITUTE(ADDRESS(1,
IFERROR(COLUMN(INDEX(INDIRECT("数出表_Excel!B"&amp;$I45&amp;":T"&amp;$I45&amp;""),1,MATCH(TEXT(G45,0),INDIRECT("数出表_Excel!B"&amp;$I45&amp;":T"&amp;$I45&amp;""),0))),""),4),"1",""),
"")
&amp;"3")),"")</f>
        <v/>
      </c>
    </row>
    <row r="46" spans="9:15">
      <c r="I46" t="str">
        <f>IF(A46&lt;&gt;"",MATCH(A46,数出表_Excel!A:A,0),"")</f>
        <v/>
      </c>
      <c r="J46" t="str" cm="1">
        <f t="array" aca="1" ref="J46" ca="1">IFERROR(IF(OR(COUNTIF(INDIRECT("数出表_Excel!"&amp;
IFERROR(
SUBSTITUTE(ADDRESS(1,
IFERROR(COLUMN(INDEX(INDIRECT("数出表_Excel!B"&amp;$I46-1&amp;":T"&amp;$I46-1&amp;""),1,MATCH(TEXT(B46,0),INDIRECT("数出表_Excel!B"&amp;$I46-1&amp;":T"&amp;$I46-1&amp;""),0))),""),4),"1",""),
"")
&amp;"3"),"*キャラ*"),
COUNTIF(INDIRECT("数出表_Excel!"&amp;
IFERROR(
SUBSTITUTE(ADDRESS(1,
IFERROR(COLUMN(INDEX(INDIRECT("数出表_Excel!B"&amp;$I46-1&amp;":T"&amp;$I46-1&amp;""),1,MATCH(TEXT(B46,0),INDIRECT("数出表_Excel!B"&amp;$I46-1&amp;":T"&amp;$I46-1&amp;""),0))),""),4),"1",""),
"")
&amp;"3"),"*赤*")),
INDIRECT("数出表_Excel!"&amp;
IFERROR(
SUBSTITUTE(ADDRESS(1,
IFERROR(COLUMN(INDEX(INDIRECT("数出表_Excel!B"&amp;$I46-1&amp;":T"&amp;$I46-1&amp;""),1,MATCH(TEXT(B46,0),INDIRECT("数出表_Excel!B"&amp;$I46-1&amp;":T"&amp;$I46-1&amp;""),0))),""),4),"1",""),
"")
&amp;"3")
&amp;"　"&amp;INDIRECT("数出表_Excel!"&amp;
IFERROR(
SUBSTITUTE(ADDRESS(1,
IFERROR(COLUMN(INDEX(INDIRECT("数出表_Excel!B"&amp;$I46-1&amp;":T"&amp;$I46-1&amp;""),1,MATCH(TEXT(B46,0),INDIRECT("数出表_Excel!B"&amp;$I46-1&amp;":T"&amp;$I46-1&amp;""),0))),""),4),"1",""),
"")
&amp;"4")
&amp;INDIRECT("数出表_Excel!"&amp;
IFERROR(
SUBSTITUTE(ADDRESS(1,
IFERROR(COLUMN(INDEX(INDIRECT("数出表_Excel!B"&amp;$I46-1&amp;":T"&amp;$I46-1&amp;""),1,MATCH(TEXT(B46,0),INDIRECT("数出表_Excel!B"&amp;$I46-1&amp;":T"&amp;$I46-1&amp;""),0))),""),4),"1",""),
"")
&amp;"5"),
INDIRECT("数出表_Excel!"&amp;
IFERROR(
SUBSTITUTE(ADDRESS(1,
IFERROR(COLUMN(INDEX(INDIRECT("数出表_Excel!B"&amp;$I46-1&amp;":T"&amp;$I46-1&amp;""),1,MATCH(TEXT(B46,0),INDIRECT("数出表_Excel!B"&amp;$I46-1&amp;":T"&amp;$I46-1&amp;""),0))),""),4),"1",""),
"")
&amp;"3")),"")</f>
        <v/>
      </c>
      <c r="K46" t="str" cm="1">
        <f t="array" aca="1" ref="K46" ca="1">IFERROR(IF(OR(COUNTIF(INDIRECT("数出表_Excel!"&amp;
IFERROR(
SUBSTITUTE(ADDRESS(1,
IFERROR(COLUMN(INDEX(INDIRECT("数出表_Excel!B"&amp;$I46-1&amp;":T"&amp;$I46-1&amp;""),1,MATCH(TEXT(C46,0),INDIRECT("数出表_Excel!B"&amp;$I46-1&amp;":T"&amp;$I46-1&amp;""),0))),""),4),"1",""),
"")
&amp;"3"),"*キャラ*"),
COUNTIF(INDIRECT("数出表_Excel!"&amp;
IFERROR(
SUBSTITUTE(ADDRESS(1,
IFERROR(COLUMN(INDEX(INDIRECT("数出表_Excel!B"&amp;$I46-1&amp;":T"&amp;$I46-1&amp;""),1,MATCH(TEXT(C46,0),INDIRECT("数出表_Excel!B"&amp;$I46-1&amp;":T"&amp;$I46-1&amp;""),0))),""),4),"1",""),
"")
&amp;"3"),"*赤*")),
INDIRECT("数出表_Excel!"&amp;
IFERROR(
SUBSTITUTE(ADDRESS(1,
IFERROR(COLUMN(INDEX(INDIRECT("数出表_Excel!B"&amp;$I46-1&amp;":T"&amp;$I46-1&amp;""),1,MATCH(TEXT(C46,0),INDIRECT("数出表_Excel!B"&amp;$I46-1&amp;":T"&amp;$I46-1&amp;""),0))),""),4),"1",""),
"")
&amp;"3")
&amp;"　"&amp;INDIRECT("数出表_Excel!"&amp;
IFERROR(
SUBSTITUTE(ADDRESS(1,
IFERROR(COLUMN(INDEX(INDIRECT("数出表_Excel!B"&amp;$I46-1&amp;":T"&amp;$I46-1&amp;""),1,MATCH(TEXT(C46,0),INDIRECT("数出表_Excel!B"&amp;$I46-1&amp;":T"&amp;$I46-1&amp;""),0))),""),4),"1",""),
"")
&amp;"4")
&amp;INDIRECT("数出表_Excel!"&amp;
IFERROR(
SUBSTITUTE(ADDRESS(1,
IFERROR(COLUMN(INDEX(INDIRECT("数出表_Excel!B"&amp;$I46-1&amp;":T"&amp;$I46-1&amp;""),1,MATCH(TEXT(C46,0),INDIRECT("数出表_Excel!B"&amp;$I46-1&amp;":T"&amp;$I46-1&amp;""),0))),""),4),"1",""),
"")
&amp;"5"),
INDIRECT("数出表_Excel!"&amp;
IFERROR(
SUBSTITUTE(ADDRESS(1,
IFERROR(COLUMN(INDEX(INDIRECT("数出表_Excel!B"&amp;$I46-1&amp;":T"&amp;$I46-1&amp;""),1,MATCH(TEXT(C46,0),INDIRECT("数出表_Excel!B"&amp;$I46-1&amp;":T"&amp;$I46-1&amp;""),0))),""),4),"1",""),
"")
&amp;"3")),"")</f>
        <v/>
      </c>
      <c r="L46" t="str" cm="1">
        <f t="array" aca="1" ref="L46" ca="1">IFERROR(IF(OR(COUNTIF(INDIRECT("数出表_Excel!"&amp;
IFERROR(
SUBSTITUTE(ADDRESS(1,
IFERROR(COLUMN(INDEX(INDIRECT("数出表_Excel!B"&amp;$I46-1&amp;":T"&amp;$I46-1&amp;""),1,MATCH(TEXT(D46,0),INDIRECT("数出表_Excel!B"&amp;$I46-1&amp;":T"&amp;$I46-1&amp;""),0))),""),4),"1",""),
"")
&amp;"3"),"*キャラ*"),
COUNTIF(INDIRECT("数出表_Excel!"&amp;
IFERROR(
SUBSTITUTE(ADDRESS(1,
IFERROR(COLUMN(INDEX(INDIRECT("数出表_Excel!B"&amp;$I46-1&amp;":T"&amp;$I46-1&amp;""),1,MATCH(TEXT(D46,0),INDIRECT("数出表_Excel!B"&amp;$I46-1&amp;":T"&amp;$I46-1&amp;""),0))),""),4),"1",""),
"")
&amp;"3"),"*赤*")),
INDIRECT("数出表_Excel!"&amp;
IFERROR(
SUBSTITUTE(ADDRESS(1,
IFERROR(COLUMN(INDEX(INDIRECT("数出表_Excel!B"&amp;$I46-1&amp;":T"&amp;$I46-1&amp;""),1,MATCH(TEXT(D46,0),INDIRECT("数出表_Excel!B"&amp;$I46-1&amp;":T"&amp;$I46-1&amp;""),0))),""),4),"1",""),
"")
&amp;"3")
&amp;"　"&amp;INDIRECT("数出表_Excel!"&amp;
IFERROR(
SUBSTITUTE(ADDRESS(1,
IFERROR(COLUMN(INDEX(INDIRECT("数出表_Excel!B"&amp;$I46-1&amp;":T"&amp;$I46-1&amp;""),1,MATCH(TEXT(D46,0),INDIRECT("数出表_Excel!B"&amp;$I46-1&amp;":T"&amp;$I46-1&amp;""),0))),""),4),"1",""),
"")
&amp;"4")
&amp;INDIRECT("数出表_Excel!"&amp;
IFERROR(
SUBSTITUTE(ADDRESS(1,
IFERROR(COLUMN(INDEX(INDIRECT("数出表_Excel!B"&amp;$I46-1&amp;":T"&amp;$I46-1&amp;""),1,MATCH(TEXT(D46,0),INDIRECT("数出表_Excel!B"&amp;$I46-1&amp;":T"&amp;$I46-1&amp;""),0))),""),4),"1",""),
"")
&amp;"5"),
INDIRECT("数出表_Excel!"&amp;
IFERROR(
SUBSTITUTE(ADDRESS(1,
IFERROR(COLUMN(INDEX(INDIRECT("数出表_Excel!B"&amp;$I46-1&amp;":T"&amp;$I46-1&amp;""),1,MATCH(TEXT(D46,0),INDIRECT("数出表_Excel!B"&amp;$I46-1&amp;":T"&amp;$I46-1&amp;""),0))),""),4),"1",""),
"")
&amp;"3")),"")</f>
        <v/>
      </c>
      <c r="M46" t="str" cm="1">
        <f t="array" aca="1" ref="M46" ca="1">IFERROR(IF(OR(COUNTIF(INDIRECT("数出表_Excel!"&amp;
IFERROR(
SUBSTITUTE(ADDRESS(1,
IFERROR(COLUMN(INDEX(INDIRECT("数出表_Excel!B"&amp;$I46&amp;":T"&amp;$I46&amp;""),1,MATCH(TEXT(E46,0),INDIRECT("数出表_Excel!B"&amp;$I46&amp;":T"&amp;$I46&amp;""),0))),""),4),"1",""),
"")
&amp;"3"),"*キャラ*"),
COUNTIF(INDIRECT("数出表_Excel!"&amp;
IFERROR(
SUBSTITUTE(ADDRESS(1,
IFERROR(COLUMN(INDEX(INDIRECT("数出表_Excel!B"&amp;$I46&amp;":T"&amp;$I46&amp;""),1,MATCH(TEXT(E46,0),INDIRECT("数出表_Excel!B"&amp;$I46&amp;":T"&amp;$I46&amp;""),0))),""),4),"1",""),
"")
&amp;"3"),"*赤*")),
INDIRECT("数出表_Excel!"&amp;
IFERROR(
SUBSTITUTE(ADDRESS(1,
IFERROR(COLUMN(INDEX(INDIRECT("数出表_Excel!B"&amp;$I46&amp;":T"&amp;$I46&amp;""),1,MATCH(TEXT(E46,0),INDIRECT("数出表_Excel!B"&amp;$I46&amp;":T"&amp;$I46&amp;""),0))),""),4),"1",""),
"")
&amp;"3")
&amp;"　"&amp;INDIRECT("数出表_Excel!"&amp;
IFERROR(
SUBSTITUTE(ADDRESS(1,
IFERROR(COLUMN(INDEX(INDIRECT("数出表_Excel!B"&amp;$I46&amp;":T"&amp;$I46&amp;""),1,MATCH(TEXT(E46,0),INDIRECT("数出表_Excel!B"&amp;$I46&amp;":T"&amp;$I46&amp;""),0))),""),4),"1",""),
"")
&amp;"4")
&amp;INDIRECT("数出表_Excel!"&amp;
IFERROR(
SUBSTITUTE(ADDRESS(1,
IFERROR(COLUMN(INDEX(INDIRECT("数出表_Excel!B"&amp;$I46&amp;":T"&amp;$I46&amp;""),1,MATCH(TEXT(E46,0),INDIRECT("数出表_Excel!B"&amp;$I46&amp;":T"&amp;$I46&amp;""),0))),""),4),"1",""),
"")
&amp;"5"),
INDIRECT("数出表_Excel!"&amp;
IFERROR(
SUBSTITUTE(ADDRESS(1,
IFERROR(COLUMN(INDEX(INDIRECT("数出表_Excel!B"&amp;$I46&amp;":T"&amp;$I46&amp;""),1,MATCH(TEXT(E46,0),INDIRECT("数出表_Excel!B"&amp;$I46&amp;":T"&amp;$I46&amp;""),0))),""),4),"1",""),
"")
&amp;"3")),"")</f>
        <v/>
      </c>
      <c r="N46" t="str" cm="1">
        <f t="array" aca="1" ref="N46" ca="1">IFERROR(IF(OR(COUNTIF(INDIRECT("数出表_Excel!"&amp;
IFERROR(
SUBSTITUTE(ADDRESS(1,
IFERROR(COLUMN(INDEX(INDIRECT("数出表_Excel!B"&amp;$I46&amp;":T"&amp;$I46&amp;""),1,MATCH(TEXT(F46,0),INDIRECT("数出表_Excel!B"&amp;$I46&amp;":T"&amp;$I46&amp;""),0))),""),4),"1",""),
"")
&amp;"3"),"*キャラ*"),
COUNTIF(INDIRECT("数出表_Excel!"&amp;
IFERROR(
SUBSTITUTE(ADDRESS(1,
IFERROR(COLUMN(INDEX(INDIRECT("数出表_Excel!B"&amp;$I46&amp;":T"&amp;$I46&amp;""),1,MATCH(TEXT(F46,0),INDIRECT("数出表_Excel!B"&amp;$I46&amp;":T"&amp;$I46&amp;""),0))),""),4),"1",""),
"")
&amp;"3"),"*赤*")),
INDIRECT("数出表_Excel!"&amp;
IFERROR(
SUBSTITUTE(ADDRESS(1,
IFERROR(COLUMN(INDEX(INDIRECT("数出表_Excel!B"&amp;$I46&amp;":T"&amp;$I46&amp;""),1,MATCH(TEXT(F46,0),INDIRECT("数出表_Excel!B"&amp;$I46&amp;":T"&amp;$I46&amp;""),0))),""),4),"1",""),
"")
&amp;"3")
&amp;"　"&amp;INDIRECT("数出表_Excel!"&amp;
IFERROR(
SUBSTITUTE(ADDRESS(1,
IFERROR(COLUMN(INDEX(INDIRECT("数出表_Excel!B"&amp;$I46&amp;":T"&amp;$I46&amp;""),1,MATCH(TEXT(F46,0),INDIRECT("数出表_Excel!B"&amp;$I46&amp;":T"&amp;$I46&amp;""),0))),""),4),"1",""),
"")
&amp;"4")
&amp;INDIRECT("数出表_Excel!"&amp;
IFERROR(
SUBSTITUTE(ADDRESS(1,
IFERROR(COLUMN(INDEX(INDIRECT("数出表_Excel!B"&amp;$I46&amp;":T"&amp;$I46&amp;""),1,MATCH(TEXT(F46,0),INDIRECT("数出表_Excel!B"&amp;$I46&amp;":T"&amp;$I46&amp;""),0))),""),4),"1",""),
"")
&amp;"5"),
INDIRECT("数出表_Excel!"&amp;
IFERROR(
SUBSTITUTE(ADDRESS(1,
IFERROR(COLUMN(INDEX(INDIRECT("数出表_Excel!B"&amp;$I46&amp;":T"&amp;$I46&amp;""),1,MATCH(TEXT(F46,0),INDIRECT("数出表_Excel!B"&amp;$I46&amp;":T"&amp;$I46&amp;""),0))),""),4),"1",""),
"")
&amp;"3")),"")</f>
        <v/>
      </c>
      <c r="O46" t="str" cm="1">
        <f t="array" aca="1" ref="O46" ca="1">IFERROR(IF(OR(COUNTIF(INDIRECT("数出表_Excel!"&amp;
IFERROR(
SUBSTITUTE(ADDRESS(1,
IFERROR(COLUMN(INDEX(INDIRECT("数出表_Excel!B"&amp;$I46&amp;":T"&amp;$I46&amp;""),1,MATCH(TEXT(G46,0),INDIRECT("数出表_Excel!B"&amp;$I46&amp;":T"&amp;$I46&amp;""),0))),""),4),"1",""),
"")
&amp;"3"),"*キャラ*"),
COUNTIF(INDIRECT("数出表_Excel!"&amp;
IFERROR(
SUBSTITUTE(ADDRESS(1,
IFERROR(COLUMN(INDEX(INDIRECT("数出表_Excel!B"&amp;$I46&amp;":T"&amp;$I46&amp;""),1,MATCH(TEXT(G46,0),INDIRECT("数出表_Excel!B"&amp;$I46&amp;":T"&amp;$I46&amp;""),0))),""),4),"1",""),
"")
&amp;"3"),"*赤*")),
INDIRECT("数出表_Excel!"&amp;
IFERROR(
SUBSTITUTE(ADDRESS(1,
IFERROR(COLUMN(INDEX(INDIRECT("数出表_Excel!B"&amp;$I46&amp;":T"&amp;$I46&amp;""),1,MATCH(TEXT(G46,0),INDIRECT("数出表_Excel!B"&amp;$I46&amp;":T"&amp;$I46&amp;""),0))),""),4),"1",""),
"")
&amp;"3")
&amp;"　"&amp;INDIRECT("数出表_Excel!"&amp;
IFERROR(
SUBSTITUTE(ADDRESS(1,
IFERROR(COLUMN(INDEX(INDIRECT("数出表_Excel!B"&amp;$I46&amp;":T"&amp;$I46&amp;""),1,MATCH(TEXT(G46,0),INDIRECT("数出表_Excel!B"&amp;$I46&amp;":T"&amp;$I46&amp;""),0))),""),4),"1",""),
"")
&amp;"4")
&amp;INDIRECT("数出表_Excel!"&amp;
IFERROR(
SUBSTITUTE(ADDRESS(1,
IFERROR(COLUMN(INDEX(INDIRECT("数出表_Excel!B"&amp;$I46&amp;":T"&amp;$I46&amp;""),1,MATCH(TEXT(G46,0),INDIRECT("数出表_Excel!B"&amp;$I46&amp;":T"&amp;$I46&amp;""),0))),""),4),"1",""),
"")
&amp;"5"),
INDIRECT("数出表_Excel!"&amp;
IFERROR(
SUBSTITUTE(ADDRESS(1,
IFERROR(COLUMN(INDEX(INDIRECT("数出表_Excel!B"&amp;$I46&amp;":T"&amp;$I46&amp;""),1,MATCH(TEXT(G46,0),INDIRECT("数出表_Excel!B"&amp;$I46&amp;":T"&amp;$I46&amp;""),0))),""),4),"1",""),
"")
&amp;"3")),"")</f>
        <v/>
      </c>
    </row>
    <row r="47" spans="9:15">
      <c r="I47" t="str">
        <f>IF(A47&lt;&gt;"",MATCH(A47,数出表_Excel!A:A,0),"")</f>
        <v/>
      </c>
      <c r="J47" t="str" cm="1">
        <f t="array" aca="1" ref="J47" ca="1">IFERROR(IF(OR(COUNTIF(INDIRECT("数出表_Excel!"&amp;
IFERROR(
SUBSTITUTE(ADDRESS(1,
IFERROR(COLUMN(INDEX(INDIRECT("数出表_Excel!B"&amp;$I47-1&amp;":T"&amp;$I47-1&amp;""),1,MATCH(TEXT(B47,0),INDIRECT("数出表_Excel!B"&amp;$I47-1&amp;":T"&amp;$I47-1&amp;""),0))),""),4),"1",""),
"")
&amp;"3"),"*キャラ*"),
COUNTIF(INDIRECT("数出表_Excel!"&amp;
IFERROR(
SUBSTITUTE(ADDRESS(1,
IFERROR(COLUMN(INDEX(INDIRECT("数出表_Excel!B"&amp;$I47-1&amp;":T"&amp;$I47-1&amp;""),1,MATCH(TEXT(B47,0),INDIRECT("数出表_Excel!B"&amp;$I47-1&amp;":T"&amp;$I47-1&amp;""),0))),""),4),"1",""),
"")
&amp;"3"),"*赤*")),
INDIRECT("数出表_Excel!"&amp;
IFERROR(
SUBSTITUTE(ADDRESS(1,
IFERROR(COLUMN(INDEX(INDIRECT("数出表_Excel!B"&amp;$I47-1&amp;":T"&amp;$I47-1&amp;""),1,MATCH(TEXT(B47,0),INDIRECT("数出表_Excel!B"&amp;$I47-1&amp;":T"&amp;$I47-1&amp;""),0))),""),4),"1",""),
"")
&amp;"3")
&amp;"　"&amp;INDIRECT("数出表_Excel!"&amp;
IFERROR(
SUBSTITUTE(ADDRESS(1,
IFERROR(COLUMN(INDEX(INDIRECT("数出表_Excel!B"&amp;$I47-1&amp;":T"&amp;$I47-1&amp;""),1,MATCH(TEXT(B47,0),INDIRECT("数出表_Excel!B"&amp;$I47-1&amp;":T"&amp;$I47-1&amp;""),0))),""),4),"1",""),
"")
&amp;"4")
&amp;INDIRECT("数出表_Excel!"&amp;
IFERROR(
SUBSTITUTE(ADDRESS(1,
IFERROR(COLUMN(INDEX(INDIRECT("数出表_Excel!B"&amp;$I47-1&amp;":T"&amp;$I47-1&amp;""),1,MATCH(TEXT(B47,0),INDIRECT("数出表_Excel!B"&amp;$I47-1&amp;":T"&amp;$I47-1&amp;""),0))),""),4),"1",""),
"")
&amp;"5"),
INDIRECT("数出表_Excel!"&amp;
IFERROR(
SUBSTITUTE(ADDRESS(1,
IFERROR(COLUMN(INDEX(INDIRECT("数出表_Excel!B"&amp;$I47-1&amp;":T"&amp;$I47-1&amp;""),1,MATCH(TEXT(B47,0),INDIRECT("数出表_Excel!B"&amp;$I47-1&amp;":T"&amp;$I47-1&amp;""),0))),""),4),"1",""),
"")
&amp;"3")),"")</f>
        <v/>
      </c>
      <c r="K47" t="str" cm="1">
        <f t="array" aca="1" ref="K47" ca="1">IFERROR(IF(OR(COUNTIF(INDIRECT("数出表_Excel!"&amp;
IFERROR(
SUBSTITUTE(ADDRESS(1,
IFERROR(COLUMN(INDEX(INDIRECT("数出表_Excel!B"&amp;$I47-1&amp;":T"&amp;$I47-1&amp;""),1,MATCH(TEXT(C47,0),INDIRECT("数出表_Excel!B"&amp;$I47-1&amp;":T"&amp;$I47-1&amp;""),0))),""),4),"1",""),
"")
&amp;"3"),"*キャラ*"),
COUNTIF(INDIRECT("数出表_Excel!"&amp;
IFERROR(
SUBSTITUTE(ADDRESS(1,
IFERROR(COLUMN(INDEX(INDIRECT("数出表_Excel!B"&amp;$I47-1&amp;":T"&amp;$I47-1&amp;""),1,MATCH(TEXT(C47,0),INDIRECT("数出表_Excel!B"&amp;$I47-1&amp;":T"&amp;$I47-1&amp;""),0))),""),4),"1",""),
"")
&amp;"3"),"*赤*")),
INDIRECT("数出表_Excel!"&amp;
IFERROR(
SUBSTITUTE(ADDRESS(1,
IFERROR(COLUMN(INDEX(INDIRECT("数出表_Excel!B"&amp;$I47-1&amp;":T"&amp;$I47-1&amp;""),1,MATCH(TEXT(C47,0),INDIRECT("数出表_Excel!B"&amp;$I47-1&amp;":T"&amp;$I47-1&amp;""),0))),""),4),"1",""),
"")
&amp;"3")
&amp;"　"&amp;INDIRECT("数出表_Excel!"&amp;
IFERROR(
SUBSTITUTE(ADDRESS(1,
IFERROR(COLUMN(INDEX(INDIRECT("数出表_Excel!B"&amp;$I47-1&amp;":T"&amp;$I47-1&amp;""),1,MATCH(TEXT(C47,0),INDIRECT("数出表_Excel!B"&amp;$I47-1&amp;":T"&amp;$I47-1&amp;""),0))),""),4),"1",""),
"")
&amp;"4")
&amp;INDIRECT("数出表_Excel!"&amp;
IFERROR(
SUBSTITUTE(ADDRESS(1,
IFERROR(COLUMN(INDEX(INDIRECT("数出表_Excel!B"&amp;$I47-1&amp;":T"&amp;$I47-1&amp;""),1,MATCH(TEXT(C47,0),INDIRECT("数出表_Excel!B"&amp;$I47-1&amp;":T"&amp;$I47-1&amp;""),0))),""),4),"1",""),
"")
&amp;"5"),
INDIRECT("数出表_Excel!"&amp;
IFERROR(
SUBSTITUTE(ADDRESS(1,
IFERROR(COLUMN(INDEX(INDIRECT("数出表_Excel!B"&amp;$I47-1&amp;":T"&amp;$I47-1&amp;""),1,MATCH(TEXT(C47,0),INDIRECT("数出表_Excel!B"&amp;$I47-1&amp;":T"&amp;$I47-1&amp;""),0))),""),4),"1",""),
"")
&amp;"3")),"")</f>
        <v/>
      </c>
      <c r="L47" t="str" cm="1">
        <f t="array" aca="1" ref="L47" ca="1">IFERROR(IF(OR(COUNTIF(INDIRECT("数出表_Excel!"&amp;
IFERROR(
SUBSTITUTE(ADDRESS(1,
IFERROR(COLUMN(INDEX(INDIRECT("数出表_Excel!B"&amp;$I47-1&amp;":T"&amp;$I47-1&amp;""),1,MATCH(TEXT(D47,0),INDIRECT("数出表_Excel!B"&amp;$I47-1&amp;":T"&amp;$I47-1&amp;""),0))),""),4),"1",""),
"")
&amp;"3"),"*キャラ*"),
COUNTIF(INDIRECT("数出表_Excel!"&amp;
IFERROR(
SUBSTITUTE(ADDRESS(1,
IFERROR(COLUMN(INDEX(INDIRECT("数出表_Excel!B"&amp;$I47-1&amp;":T"&amp;$I47-1&amp;""),1,MATCH(TEXT(D47,0),INDIRECT("数出表_Excel!B"&amp;$I47-1&amp;":T"&amp;$I47-1&amp;""),0))),""),4),"1",""),
"")
&amp;"3"),"*赤*")),
INDIRECT("数出表_Excel!"&amp;
IFERROR(
SUBSTITUTE(ADDRESS(1,
IFERROR(COLUMN(INDEX(INDIRECT("数出表_Excel!B"&amp;$I47-1&amp;":T"&amp;$I47-1&amp;""),1,MATCH(TEXT(D47,0),INDIRECT("数出表_Excel!B"&amp;$I47-1&amp;":T"&amp;$I47-1&amp;""),0))),""),4),"1",""),
"")
&amp;"3")
&amp;"　"&amp;INDIRECT("数出表_Excel!"&amp;
IFERROR(
SUBSTITUTE(ADDRESS(1,
IFERROR(COLUMN(INDEX(INDIRECT("数出表_Excel!B"&amp;$I47-1&amp;":T"&amp;$I47-1&amp;""),1,MATCH(TEXT(D47,0),INDIRECT("数出表_Excel!B"&amp;$I47-1&amp;":T"&amp;$I47-1&amp;""),0))),""),4),"1",""),
"")
&amp;"4")
&amp;INDIRECT("数出表_Excel!"&amp;
IFERROR(
SUBSTITUTE(ADDRESS(1,
IFERROR(COLUMN(INDEX(INDIRECT("数出表_Excel!B"&amp;$I47-1&amp;":T"&amp;$I47-1&amp;""),1,MATCH(TEXT(D47,0),INDIRECT("数出表_Excel!B"&amp;$I47-1&amp;":T"&amp;$I47-1&amp;""),0))),""),4),"1",""),
"")
&amp;"5"),
INDIRECT("数出表_Excel!"&amp;
IFERROR(
SUBSTITUTE(ADDRESS(1,
IFERROR(COLUMN(INDEX(INDIRECT("数出表_Excel!B"&amp;$I47-1&amp;":T"&amp;$I47-1&amp;""),1,MATCH(TEXT(D47,0),INDIRECT("数出表_Excel!B"&amp;$I47-1&amp;":T"&amp;$I47-1&amp;""),0))),""),4),"1",""),
"")
&amp;"3")),"")</f>
        <v/>
      </c>
      <c r="M47" t="str" cm="1">
        <f t="array" aca="1" ref="M47" ca="1">IFERROR(IF(OR(COUNTIF(INDIRECT("数出表_Excel!"&amp;
IFERROR(
SUBSTITUTE(ADDRESS(1,
IFERROR(COLUMN(INDEX(INDIRECT("数出表_Excel!B"&amp;$I47&amp;":T"&amp;$I47&amp;""),1,MATCH(TEXT(E47,0),INDIRECT("数出表_Excel!B"&amp;$I47&amp;":T"&amp;$I47&amp;""),0))),""),4),"1",""),
"")
&amp;"3"),"*キャラ*"),
COUNTIF(INDIRECT("数出表_Excel!"&amp;
IFERROR(
SUBSTITUTE(ADDRESS(1,
IFERROR(COLUMN(INDEX(INDIRECT("数出表_Excel!B"&amp;$I47&amp;":T"&amp;$I47&amp;""),1,MATCH(TEXT(E47,0),INDIRECT("数出表_Excel!B"&amp;$I47&amp;":T"&amp;$I47&amp;""),0))),""),4),"1",""),
"")
&amp;"3"),"*赤*")),
INDIRECT("数出表_Excel!"&amp;
IFERROR(
SUBSTITUTE(ADDRESS(1,
IFERROR(COLUMN(INDEX(INDIRECT("数出表_Excel!B"&amp;$I47&amp;":T"&amp;$I47&amp;""),1,MATCH(TEXT(E47,0),INDIRECT("数出表_Excel!B"&amp;$I47&amp;":T"&amp;$I47&amp;""),0))),""),4),"1",""),
"")
&amp;"3")
&amp;"　"&amp;INDIRECT("数出表_Excel!"&amp;
IFERROR(
SUBSTITUTE(ADDRESS(1,
IFERROR(COLUMN(INDEX(INDIRECT("数出表_Excel!B"&amp;$I47&amp;":T"&amp;$I47&amp;""),1,MATCH(TEXT(E47,0),INDIRECT("数出表_Excel!B"&amp;$I47&amp;":T"&amp;$I47&amp;""),0))),""),4),"1",""),
"")
&amp;"4")
&amp;INDIRECT("数出表_Excel!"&amp;
IFERROR(
SUBSTITUTE(ADDRESS(1,
IFERROR(COLUMN(INDEX(INDIRECT("数出表_Excel!B"&amp;$I47&amp;":T"&amp;$I47&amp;""),1,MATCH(TEXT(E47,0),INDIRECT("数出表_Excel!B"&amp;$I47&amp;":T"&amp;$I47&amp;""),0))),""),4),"1",""),
"")
&amp;"5"),
INDIRECT("数出表_Excel!"&amp;
IFERROR(
SUBSTITUTE(ADDRESS(1,
IFERROR(COLUMN(INDEX(INDIRECT("数出表_Excel!B"&amp;$I47&amp;":T"&amp;$I47&amp;""),1,MATCH(TEXT(E47,0),INDIRECT("数出表_Excel!B"&amp;$I47&amp;":T"&amp;$I47&amp;""),0))),""),4),"1",""),
"")
&amp;"3")),"")</f>
        <v/>
      </c>
      <c r="N47" t="str" cm="1">
        <f t="array" aca="1" ref="N47" ca="1">IFERROR(IF(OR(COUNTIF(INDIRECT("数出表_Excel!"&amp;
IFERROR(
SUBSTITUTE(ADDRESS(1,
IFERROR(COLUMN(INDEX(INDIRECT("数出表_Excel!B"&amp;$I47&amp;":T"&amp;$I47&amp;""),1,MATCH(TEXT(F47,0),INDIRECT("数出表_Excel!B"&amp;$I47&amp;":T"&amp;$I47&amp;""),0))),""),4),"1",""),
"")
&amp;"3"),"*キャラ*"),
COUNTIF(INDIRECT("数出表_Excel!"&amp;
IFERROR(
SUBSTITUTE(ADDRESS(1,
IFERROR(COLUMN(INDEX(INDIRECT("数出表_Excel!B"&amp;$I47&amp;":T"&amp;$I47&amp;""),1,MATCH(TEXT(F47,0),INDIRECT("数出表_Excel!B"&amp;$I47&amp;":T"&amp;$I47&amp;""),0))),""),4),"1",""),
"")
&amp;"3"),"*赤*")),
INDIRECT("数出表_Excel!"&amp;
IFERROR(
SUBSTITUTE(ADDRESS(1,
IFERROR(COLUMN(INDEX(INDIRECT("数出表_Excel!B"&amp;$I47&amp;":T"&amp;$I47&amp;""),1,MATCH(TEXT(F47,0),INDIRECT("数出表_Excel!B"&amp;$I47&amp;":T"&amp;$I47&amp;""),0))),""),4),"1",""),
"")
&amp;"3")
&amp;"　"&amp;INDIRECT("数出表_Excel!"&amp;
IFERROR(
SUBSTITUTE(ADDRESS(1,
IFERROR(COLUMN(INDEX(INDIRECT("数出表_Excel!B"&amp;$I47&amp;":T"&amp;$I47&amp;""),1,MATCH(TEXT(F47,0),INDIRECT("数出表_Excel!B"&amp;$I47&amp;":T"&amp;$I47&amp;""),0))),""),4),"1",""),
"")
&amp;"4")
&amp;INDIRECT("数出表_Excel!"&amp;
IFERROR(
SUBSTITUTE(ADDRESS(1,
IFERROR(COLUMN(INDEX(INDIRECT("数出表_Excel!B"&amp;$I47&amp;":T"&amp;$I47&amp;""),1,MATCH(TEXT(F47,0),INDIRECT("数出表_Excel!B"&amp;$I47&amp;":T"&amp;$I47&amp;""),0))),""),4),"1",""),
"")
&amp;"5"),
INDIRECT("数出表_Excel!"&amp;
IFERROR(
SUBSTITUTE(ADDRESS(1,
IFERROR(COLUMN(INDEX(INDIRECT("数出表_Excel!B"&amp;$I47&amp;":T"&amp;$I47&amp;""),1,MATCH(TEXT(F47,0),INDIRECT("数出表_Excel!B"&amp;$I47&amp;":T"&amp;$I47&amp;""),0))),""),4),"1",""),
"")
&amp;"3")),"")</f>
        <v/>
      </c>
      <c r="O47" t="str" cm="1">
        <f t="array" aca="1" ref="O47" ca="1">IFERROR(IF(OR(COUNTIF(INDIRECT("数出表_Excel!"&amp;
IFERROR(
SUBSTITUTE(ADDRESS(1,
IFERROR(COLUMN(INDEX(INDIRECT("数出表_Excel!B"&amp;$I47&amp;":T"&amp;$I47&amp;""),1,MATCH(TEXT(G47,0),INDIRECT("数出表_Excel!B"&amp;$I47&amp;":T"&amp;$I47&amp;""),0))),""),4),"1",""),
"")
&amp;"3"),"*キャラ*"),
COUNTIF(INDIRECT("数出表_Excel!"&amp;
IFERROR(
SUBSTITUTE(ADDRESS(1,
IFERROR(COLUMN(INDEX(INDIRECT("数出表_Excel!B"&amp;$I47&amp;":T"&amp;$I47&amp;""),1,MATCH(TEXT(G47,0),INDIRECT("数出表_Excel!B"&amp;$I47&amp;":T"&amp;$I47&amp;""),0))),""),4),"1",""),
"")
&amp;"3"),"*赤*")),
INDIRECT("数出表_Excel!"&amp;
IFERROR(
SUBSTITUTE(ADDRESS(1,
IFERROR(COLUMN(INDEX(INDIRECT("数出表_Excel!B"&amp;$I47&amp;":T"&amp;$I47&amp;""),1,MATCH(TEXT(G47,0),INDIRECT("数出表_Excel!B"&amp;$I47&amp;":T"&amp;$I47&amp;""),0))),""),4),"1",""),
"")
&amp;"3")
&amp;"　"&amp;INDIRECT("数出表_Excel!"&amp;
IFERROR(
SUBSTITUTE(ADDRESS(1,
IFERROR(COLUMN(INDEX(INDIRECT("数出表_Excel!B"&amp;$I47&amp;":T"&amp;$I47&amp;""),1,MATCH(TEXT(G47,0),INDIRECT("数出表_Excel!B"&amp;$I47&amp;":T"&amp;$I47&amp;""),0))),""),4),"1",""),
"")
&amp;"4")
&amp;INDIRECT("数出表_Excel!"&amp;
IFERROR(
SUBSTITUTE(ADDRESS(1,
IFERROR(COLUMN(INDEX(INDIRECT("数出表_Excel!B"&amp;$I47&amp;":T"&amp;$I47&amp;""),1,MATCH(TEXT(G47,0),INDIRECT("数出表_Excel!B"&amp;$I47&amp;":T"&amp;$I47&amp;""),0))),""),4),"1",""),
"")
&amp;"5"),
INDIRECT("数出表_Excel!"&amp;
IFERROR(
SUBSTITUTE(ADDRESS(1,
IFERROR(COLUMN(INDEX(INDIRECT("数出表_Excel!B"&amp;$I47&amp;":T"&amp;$I47&amp;""),1,MATCH(TEXT(G47,0),INDIRECT("数出表_Excel!B"&amp;$I47&amp;":T"&amp;$I47&amp;""),0))),""),4),"1",""),
"")
&amp;"3")),"")</f>
        <v/>
      </c>
    </row>
    <row r="48" spans="9:15">
      <c r="I48" t="str">
        <f>IF(A48&lt;&gt;"",MATCH(A48,数出表_Excel!A:A,0),"")</f>
        <v/>
      </c>
      <c r="J48" t="str" cm="1">
        <f t="array" aca="1" ref="J48" ca="1">IFERROR(IF(OR(COUNTIF(INDIRECT("数出表_Excel!"&amp;
IFERROR(
SUBSTITUTE(ADDRESS(1,
IFERROR(COLUMN(INDEX(INDIRECT("数出表_Excel!B"&amp;$I48-1&amp;":T"&amp;$I48-1&amp;""),1,MATCH(TEXT(B48,0),INDIRECT("数出表_Excel!B"&amp;$I48-1&amp;":T"&amp;$I48-1&amp;""),0))),""),4),"1",""),
"")
&amp;"3"),"*キャラ*"),
COUNTIF(INDIRECT("数出表_Excel!"&amp;
IFERROR(
SUBSTITUTE(ADDRESS(1,
IFERROR(COLUMN(INDEX(INDIRECT("数出表_Excel!B"&amp;$I48-1&amp;":T"&amp;$I48-1&amp;""),1,MATCH(TEXT(B48,0),INDIRECT("数出表_Excel!B"&amp;$I48-1&amp;":T"&amp;$I48-1&amp;""),0))),""),4),"1",""),
"")
&amp;"3"),"*赤*")),
INDIRECT("数出表_Excel!"&amp;
IFERROR(
SUBSTITUTE(ADDRESS(1,
IFERROR(COLUMN(INDEX(INDIRECT("数出表_Excel!B"&amp;$I48-1&amp;":T"&amp;$I48-1&amp;""),1,MATCH(TEXT(B48,0),INDIRECT("数出表_Excel!B"&amp;$I48-1&amp;":T"&amp;$I48-1&amp;""),0))),""),4),"1",""),
"")
&amp;"3")
&amp;"　"&amp;INDIRECT("数出表_Excel!"&amp;
IFERROR(
SUBSTITUTE(ADDRESS(1,
IFERROR(COLUMN(INDEX(INDIRECT("数出表_Excel!B"&amp;$I48-1&amp;":T"&amp;$I48-1&amp;""),1,MATCH(TEXT(B48,0),INDIRECT("数出表_Excel!B"&amp;$I48-1&amp;":T"&amp;$I48-1&amp;""),0))),""),4),"1",""),
"")
&amp;"4")
&amp;INDIRECT("数出表_Excel!"&amp;
IFERROR(
SUBSTITUTE(ADDRESS(1,
IFERROR(COLUMN(INDEX(INDIRECT("数出表_Excel!B"&amp;$I48-1&amp;":T"&amp;$I48-1&amp;""),1,MATCH(TEXT(B48,0),INDIRECT("数出表_Excel!B"&amp;$I48-1&amp;":T"&amp;$I48-1&amp;""),0))),""),4),"1",""),
"")
&amp;"5"),
INDIRECT("数出表_Excel!"&amp;
IFERROR(
SUBSTITUTE(ADDRESS(1,
IFERROR(COLUMN(INDEX(INDIRECT("数出表_Excel!B"&amp;$I48-1&amp;":T"&amp;$I48-1&amp;""),1,MATCH(TEXT(B48,0),INDIRECT("数出表_Excel!B"&amp;$I48-1&amp;":T"&amp;$I48-1&amp;""),0))),""),4),"1",""),
"")
&amp;"3")),"")</f>
        <v/>
      </c>
      <c r="K48" t="str" cm="1">
        <f t="array" aca="1" ref="K48" ca="1">IFERROR(IF(OR(COUNTIF(INDIRECT("数出表_Excel!"&amp;
IFERROR(
SUBSTITUTE(ADDRESS(1,
IFERROR(COLUMN(INDEX(INDIRECT("数出表_Excel!B"&amp;$I48-1&amp;":T"&amp;$I48-1&amp;""),1,MATCH(TEXT(C48,0),INDIRECT("数出表_Excel!B"&amp;$I48-1&amp;":T"&amp;$I48-1&amp;""),0))),""),4),"1",""),
"")
&amp;"3"),"*キャラ*"),
COUNTIF(INDIRECT("数出表_Excel!"&amp;
IFERROR(
SUBSTITUTE(ADDRESS(1,
IFERROR(COLUMN(INDEX(INDIRECT("数出表_Excel!B"&amp;$I48-1&amp;":T"&amp;$I48-1&amp;""),1,MATCH(TEXT(C48,0),INDIRECT("数出表_Excel!B"&amp;$I48-1&amp;":T"&amp;$I48-1&amp;""),0))),""),4),"1",""),
"")
&amp;"3"),"*赤*")),
INDIRECT("数出表_Excel!"&amp;
IFERROR(
SUBSTITUTE(ADDRESS(1,
IFERROR(COLUMN(INDEX(INDIRECT("数出表_Excel!B"&amp;$I48-1&amp;":T"&amp;$I48-1&amp;""),1,MATCH(TEXT(C48,0),INDIRECT("数出表_Excel!B"&amp;$I48-1&amp;":T"&amp;$I48-1&amp;""),0))),""),4),"1",""),
"")
&amp;"3")
&amp;"　"&amp;INDIRECT("数出表_Excel!"&amp;
IFERROR(
SUBSTITUTE(ADDRESS(1,
IFERROR(COLUMN(INDEX(INDIRECT("数出表_Excel!B"&amp;$I48-1&amp;":T"&amp;$I48-1&amp;""),1,MATCH(TEXT(C48,0),INDIRECT("数出表_Excel!B"&amp;$I48-1&amp;":T"&amp;$I48-1&amp;""),0))),""),4),"1",""),
"")
&amp;"4")
&amp;INDIRECT("数出表_Excel!"&amp;
IFERROR(
SUBSTITUTE(ADDRESS(1,
IFERROR(COLUMN(INDEX(INDIRECT("数出表_Excel!B"&amp;$I48-1&amp;":T"&amp;$I48-1&amp;""),1,MATCH(TEXT(C48,0),INDIRECT("数出表_Excel!B"&amp;$I48-1&amp;":T"&amp;$I48-1&amp;""),0))),""),4),"1",""),
"")
&amp;"5"),
INDIRECT("数出表_Excel!"&amp;
IFERROR(
SUBSTITUTE(ADDRESS(1,
IFERROR(COLUMN(INDEX(INDIRECT("数出表_Excel!B"&amp;$I48-1&amp;":T"&amp;$I48-1&amp;""),1,MATCH(TEXT(C48,0),INDIRECT("数出表_Excel!B"&amp;$I48-1&amp;":T"&amp;$I48-1&amp;""),0))),""),4),"1",""),
"")
&amp;"3")),"")</f>
        <v/>
      </c>
      <c r="L48" t="str" cm="1">
        <f t="array" aca="1" ref="L48" ca="1">IFERROR(IF(OR(COUNTIF(INDIRECT("数出表_Excel!"&amp;
IFERROR(
SUBSTITUTE(ADDRESS(1,
IFERROR(COLUMN(INDEX(INDIRECT("数出表_Excel!B"&amp;$I48-1&amp;":T"&amp;$I48-1&amp;""),1,MATCH(TEXT(D48,0),INDIRECT("数出表_Excel!B"&amp;$I48-1&amp;":T"&amp;$I48-1&amp;""),0))),""),4),"1",""),
"")
&amp;"3"),"*キャラ*"),
COUNTIF(INDIRECT("数出表_Excel!"&amp;
IFERROR(
SUBSTITUTE(ADDRESS(1,
IFERROR(COLUMN(INDEX(INDIRECT("数出表_Excel!B"&amp;$I48-1&amp;":T"&amp;$I48-1&amp;""),1,MATCH(TEXT(D48,0),INDIRECT("数出表_Excel!B"&amp;$I48-1&amp;":T"&amp;$I48-1&amp;""),0))),""),4),"1",""),
"")
&amp;"3"),"*赤*")),
INDIRECT("数出表_Excel!"&amp;
IFERROR(
SUBSTITUTE(ADDRESS(1,
IFERROR(COLUMN(INDEX(INDIRECT("数出表_Excel!B"&amp;$I48-1&amp;":T"&amp;$I48-1&amp;""),1,MATCH(TEXT(D48,0),INDIRECT("数出表_Excel!B"&amp;$I48-1&amp;":T"&amp;$I48-1&amp;""),0))),""),4),"1",""),
"")
&amp;"3")
&amp;"　"&amp;INDIRECT("数出表_Excel!"&amp;
IFERROR(
SUBSTITUTE(ADDRESS(1,
IFERROR(COLUMN(INDEX(INDIRECT("数出表_Excel!B"&amp;$I48-1&amp;":T"&amp;$I48-1&amp;""),1,MATCH(TEXT(D48,0),INDIRECT("数出表_Excel!B"&amp;$I48-1&amp;":T"&amp;$I48-1&amp;""),0))),""),4),"1",""),
"")
&amp;"4")
&amp;INDIRECT("数出表_Excel!"&amp;
IFERROR(
SUBSTITUTE(ADDRESS(1,
IFERROR(COLUMN(INDEX(INDIRECT("数出表_Excel!B"&amp;$I48-1&amp;":T"&amp;$I48-1&amp;""),1,MATCH(TEXT(D48,0),INDIRECT("数出表_Excel!B"&amp;$I48-1&amp;":T"&amp;$I48-1&amp;""),0))),""),4),"1",""),
"")
&amp;"5"),
INDIRECT("数出表_Excel!"&amp;
IFERROR(
SUBSTITUTE(ADDRESS(1,
IFERROR(COLUMN(INDEX(INDIRECT("数出表_Excel!B"&amp;$I48-1&amp;":T"&amp;$I48-1&amp;""),1,MATCH(TEXT(D48,0),INDIRECT("数出表_Excel!B"&amp;$I48-1&amp;":T"&amp;$I48-1&amp;""),0))),""),4),"1",""),
"")
&amp;"3")),"")</f>
        <v/>
      </c>
      <c r="M48" t="str" cm="1">
        <f t="array" aca="1" ref="M48" ca="1">IFERROR(IF(OR(COUNTIF(INDIRECT("数出表_Excel!"&amp;
IFERROR(
SUBSTITUTE(ADDRESS(1,
IFERROR(COLUMN(INDEX(INDIRECT("数出表_Excel!B"&amp;$I48&amp;":T"&amp;$I48&amp;""),1,MATCH(TEXT(E48,0),INDIRECT("数出表_Excel!B"&amp;$I48&amp;":T"&amp;$I48&amp;""),0))),""),4),"1",""),
"")
&amp;"3"),"*キャラ*"),
COUNTIF(INDIRECT("数出表_Excel!"&amp;
IFERROR(
SUBSTITUTE(ADDRESS(1,
IFERROR(COLUMN(INDEX(INDIRECT("数出表_Excel!B"&amp;$I48&amp;":T"&amp;$I48&amp;""),1,MATCH(TEXT(E48,0),INDIRECT("数出表_Excel!B"&amp;$I48&amp;":T"&amp;$I48&amp;""),0))),""),4),"1",""),
"")
&amp;"3"),"*赤*")),
INDIRECT("数出表_Excel!"&amp;
IFERROR(
SUBSTITUTE(ADDRESS(1,
IFERROR(COLUMN(INDEX(INDIRECT("数出表_Excel!B"&amp;$I48&amp;":T"&amp;$I48&amp;""),1,MATCH(TEXT(E48,0),INDIRECT("数出表_Excel!B"&amp;$I48&amp;":T"&amp;$I48&amp;""),0))),""),4),"1",""),
"")
&amp;"3")
&amp;"　"&amp;INDIRECT("数出表_Excel!"&amp;
IFERROR(
SUBSTITUTE(ADDRESS(1,
IFERROR(COLUMN(INDEX(INDIRECT("数出表_Excel!B"&amp;$I48&amp;":T"&amp;$I48&amp;""),1,MATCH(TEXT(E48,0),INDIRECT("数出表_Excel!B"&amp;$I48&amp;":T"&amp;$I48&amp;""),0))),""),4),"1",""),
"")
&amp;"4")
&amp;INDIRECT("数出表_Excel!"&amp;
IFERROR(
SUBSTITUTE(ADDRESS(1,
IFERROR(COLUMN(INDEX(INDIRECT("数出表_Excel!B"&amp;$I48&amp;":T"&amp;$I48&amp;""),1,MATCH(TEXT(E48,0),INDIRECT("数出表_Excel!B"&amp;$I48&amp;":T"&amp;$I48&amp;""),0))),""),4),"1",""),
"")
&amp;"5"),
INDIRECT("数出表_Excel!"&amp;
IFERROR(
SUBSTITUTE(ADDRESS(1,
IFERROR(COLUMN(INDEX(INDIRECT("数出表_Excel!B"&amp;$I48&amp;":T"&amp;$I48&amp;""),1,MATCH(TEXT(E48,0),INDIRECT("数出表_Excel!B"&amp;$I48&amp;":T"&amp;$I48&amp;""),0))),""),4),"1",""),
"")
&amp;"3")),"")</f>
        <v/>
      </c>
      <c r="N48" t="str" cm="1">
        <f t="array" aca="1" ref="N48" ca="1">IFERROR(IF(OR(COUNTIF(INDIRECT("数出表_Excel!"&amp;
IFERROR(
SUBSTITUTE(ADDRESS(1,
IFERROR(COLUMN(INDEX(INDIRECT("数出表_Excel!B"&amp;$I48&amp;":T"&amp;$I48&amp;""),1,MATCH(TEXT(F48,0),INDIRECT("数出表_Excel!B"&amp;$I48&amp;":T"&amp;$I48&amp;""),0))),""),4),"1",""),
"")
&amp;"3"),"*キャラ*"),
COUNTIF(INDIRECT("数出表_Excel!"&amp;
IFERROR(
SUBSTITUTE(ADDRESS(1,
IFERROR(COLUMN(INDEX(INDIRECT("数出表_Excel!B"&amp;$I48&amp;":T"&amp;$I48&amp;""),1,MATCH(TEXT(F48,0),INDIRECT("数出表_Excel!B"&amp;$I48&amp;":T"&amp;$I48&amp;""),0))),""),4),"1",""),
"")
&amp;"3"),"*赤*")),
INDIRECT("数出表_Excel!"&amp;
IFERROR(
SUBSTITUTE(ADDRESS(1,
IFERROR(COLUMN(INDEX(INDIRECT("数出表_Excel!B"&amp;$I48&amp;":T"&amp;$I48&amp;""),1,MATCH(TEXT(F48,0),INDIRECT("数出表_Excel!B"&amp;$I48&amp;":T"&amp;$I48&amp;""),0))),""),4),"1",""),
"")
&amp;"3")
&amp;"　"&amp;INDIRECT("数出表_Excel!"&amp;
IFERROR(
SUBSTITUTE(ADDRESS(1,
IFERROR(COLUMN(INDEX(INDIRECT("数出表_Excel!B"&amp;$I48&amp;":T"&amp;$I48&amp;""),1,MATCH(TEXT(F48,0),INDIRECT("数出表_Excel!B"&amp;$I48&amp;":T"&amp;$I48&amp;""),0))),""),4),"1",""),
"")
&amp;"4")
&amp;INDIRECT("数出表_Excel!"&amp;
IFERROR(
SUBSTITUTE(ADDRESS(1,
IFERROR(COLUMN(INDEX(INDIRECT("数出表_Excel!B"&amp;$I48&amp;":T"&amp;$I48&amp;""),1,MATCH(TEXT(F48,0),INDIRECT("数出表_Excel!B"&amp;$I48&amp;":T"&amp;$I48&amp;""),0))),""),4),"1",""),
"")
&amp;"5"),
INDIRECT("数出表_Excel!"&amp;
IFERROR(
SUBSTITUTE(ADDRESS(1,
IFERROR(COLUMN(INDEX(INDIRECT("数出表_Excel!B"&amp;$I48&amp;":T"&amp;$I48&amp;""),1,MATCH(TEXT(F48,0),INDIRECT("数出表_Excel!B"&amp;$I48&amp;":T"&amp;$I48&amp;""),0))),""),4),"1",""),
"")
&amp;"3")),"")</f>
        <v/>
      </c>
      <c r="O48" t="str" cm="1">
        <f t="array" aca="1" ref="O48" ca="1">IFERROR(IF(OR(COUNTIF(INDIRECT("数出表_Excel!"&amp;
IFERROR(
SUBSTITUTE(ADDRESS(1,
IFERROR(COLUMN(INDEX(INDIRECT("数出表_Excel!B"&amp;$I48&amp;":T"&amp;$I48&amp;""),1,MATCH(TEXT(G48,0),INDIRECT("数出表_Excel!B"&amp;$I48&amp;":T"&amp;$I48&amp;""),0))),""),4),"1",""),
"")
&amp;"3"),"*キャラ*"),
COUNTIF(INDIRECT("数出表_Excel!"&amp;
IFERROR(
SUBSTITUTE(ADDRESS(1,
IFERROR(COLUMN(INDEX(INDIRECT("数出表_Excel!B"&amp;$I48&amp;":T"&amp;$I48&amp;""),1,MATCH(TEXT(G48,0),INDIRECT("数出表_Excel!B"&amp;$I48&amp;":T"&amp;$I48&amp;""),0))),""),4),"1",""),
"")
&amp;"3"),"*赤*")),
INDIRECT("数出表_Excel!"&amp;
IFERROR(
SUBSTITUTE(ADDRESS(1,
IFERROR(COLUMN(INDEX(INDIRECT("数出表_Excel!B"&amp;$I48&amp;":T"&amp;$I48&amp;""),1,MATCH(TEXT(G48,0),INDIRECT("数出表_Excel!B"&amp;$I48&amp;":T"&amp;$I48&amp;""),0))),""),4),"1",""),
"")
&amp;"3")
&amp;"　"&amp;INDIRECT("数出表_Excel!"&amp;
IFERROR(
SUBSTITUTE(ADDRESS(1,
IFERROR(COLUMN(INDEX(INDIRECT("数出表_Excel!B"&amp;$I48&amp;":T"&amp;$I48&amp;""),1,MATCH(TEXT(G48,0),INDIRECT("数出表_Excel!B"&amp;$I48&amp;":T"&amp;$I48&amp;""),0))),""),4),"1",""),
"")
&amp;"4")
&amp;INDIRECT("数出表_Excel!"&amp;
IFERROR(
SUBSTITUTE(ADDRESS(1,
IFERROR(COLUMN(INDEX(INDIRECT("数出表_Excel!B"&amp;$I48&amp;":T"&amp;$I48&amp;""),1,MATCH(TEXT(G48,0),INDIRECT("数出表_Excel!B"&amp;$I48&amp;":T"&amp;$I48&amp;""),0))),""),4),"1",""),
"")
&amp;"5"),
INDIRECT("数出表_Excel!"&amp;
IFERROR(
SUBSTITUTE(ADDRESS(1,
IFERROR(COLUMN(INDEX(INDIRECT("数出表_Excel!B"&amp;$I48&amp;":T"&amp;$I48&amp;""),1,MATCH(TEXT(G48,0),INDIRECT("数出表_Excel!B"&amp;$I48&amp;":T"&amp;$I48&amp;""),0))),""),4),"1",""),
"")
&amp;"3")),"")</f>
        <v/>
      </c>
    </row>
    <row r="49" spans="9:15">
      <c r="I49" t="str">
        <f>IF(A49&lt;&gt;"",MATCH(A49,数出表_Excel!A:A,0),"")</f>
        <v/>
      </c>
      <c r="J49" t="str" cm="1">
        <f t="array" aca="1" ref="J49" ca="1">IFERROR(IF(OR(COUNTIF(INDIRECT("数出表_Excel!"&amp;
IFERROR(
SUBSTITUTE(ADDRESS(1,
IFERROR(COLUMN(INDEX(INDIRECT("数出表_Excel!B"&amp;$I49-1&amp;":T"&amp;$I49-1&amp;""),1,MATCH(TEXT(B49,0),INDIRECT("数出表_Excel!B"&amp;$I49-1&amp;":T"&amp;$I49-1&amp;""),0))),""),4),"1",""),
"")
&amp;"3"),"*キャラ*"),
COUNTIF(INDIRECT("数出表_Excel!"&amp;
IFERROR(
SUBSTITUTE(ADDRESS(1,
IFERROR(COLUMN(INDEX(INDIRECT("数出表_Excel!B"&amp;$I49-1&amp;":T"&amp;$I49-1&amp;""),1,MATCH(TEXT(B49,0),INDIRECT("数出表_Excel!B"&amp;$I49-1&amp;":T"&amp;$I49-1&amp;""),0))),""),4),"1",""),
"")
&amp;"3"),"*赤*")),
INDIRECT("数出表_Excel!"&amp;
IFERROR(
SUBSTITUTE(ADDRESS(1,
IFERROR(COLUMN(INDEX(INDIRECT("数出表_Excel!B"&amp;$I49-1&amp;":T"&amp;$I49-1&amp;""),1,MATCH(TEXT(B49,0),INDIRECT("数出表_Excel!B"&amp;$I49-1&amp;":T"&amp;$I49-1&amp;""),0))),""),4),"1",""),
"")
&amp;"3")
&amp;"　"&amp;INDIRECT("数出表_Excel!"&amp;
IFERROR(
SUBSTITUTE(ADDRESS(1,
IFERROR(COLUMN(INDEX(INDIRECT("数出表_Excel!B"&amp;$I49-1&amp;":T"&amp;$I49-1&amp;""),1,MATCH(TEXT(B49,0),INDIRECT("数出表_Excel!B"&amp;$I49-1&amp;":T"&amp;$I49-1&amp;""),0))),""),4),"1",""),
"")
&amp;"4")
&amp;INDIRECT("数出表_Excel!"&amp;
IFERROR(
SUBSTITUTE(ADDRESS(1,
IFERROR(COLUMN(INDEX(INDIRECT("数出表_Excel!B"&amp;$I49-1&amp;":T"&amp;$I49-1&amp;""),1,MATCH(TEXT(B49,0),INDIRECT("数出表_Excel!B"&amp;$I49-1&amp;":T"&amp;$I49-1&amp;""),0))),""),4),"1",""),
"")
&amp;"5"),
INDIRECT("数出表_Excel!"&amp;
IFERROR(
SUBSTITUTE(ADDRESS(1,
IFERROR(COLUMN(INDEX(INDIRECT("数出表_Excel!B"&amp;$I49-1&amp;":T"&amp;$I49-1&amp;""),1,MATCH(TEXT(B49,0),INDIRECT("数出表_Excel!B"&amp;$I49-1&amp;":T"&amp;$I49-1&amp;""),0))),""),4),"1",""),
"")
&amp;"3")),"")</f>
        <v/>
      </c>
      <c r="K49" t="str" cm="1">
        <f t="array" aca="1" ref="K49" ca="1">IFERROR(IF(OR(COUNTIF(INDIRECT("数出表_Excel!"&amp;
IFERROR(
SUBSTITUTE(ADDRESS(1,
IFERROR(COLUMN(INDEX(INDIRECT("数出表_Excel!B"&amp;$I49-1&amp;":T"&amp;$I49-1&amp;""),1,MATCH(TEXT(C49,0),INDIRECT("数出表_Excel!B"&amp;$I49-1&amp;":T"&amp;$I49-1&amp;""),0))),""),4),"1",""),
"")
&amp;"3"),"*キャラ*"),
COUNTIF(INDIRECT("数出表_Excel!"&amp;
IFERROR(
SUBSTITUTE(ADDRESS(1,
IFERROR(COLUMN(INDEX(INDIRECT("数出表_Excel!B"&amp;$I49-1&amp;":T"&amp;$I49-1&amp;""),1,MATCH(TEXT(C49,0),INDIRECT("数出表_Excel!B"&amp;$I49-1&amp;":T"&amp;$I49-1&amp;""),0))),""),4),"1",""),
"")
&amp;"3"),"*赤*")),
INDIRECT("数出表_Excel!"&amp;
IFERROR(
SUBSTITUTE(ADDRESS(1,
IFERROR(COLUMN(INDEX(INDIRECT("数出表_Excel!B"&amp;$I49-1&amp;":T"&amp;$I49-1&amp;""),1,MATCH(TEXT(C49,0),INDIRECT("数出表_Excel!B"&amp;$I49-1&amp;":T"&amp;$I49-1&amp;""),0))),""),4),"1",""),
"")
&amp;"3")
&amp;"　"&amp;INDIRECT("数出表_Excel!"&amp;
IFERROR(
SUBSTITUTE(ADDRESS(1,
IFERROR(COLUMN(INDEX(INDIRECT("数出表_Excel!B"&amp;$I49-1&amp;":T"&amp;$I49-1&amp;""),1,MATCH(TEXT(C49,0),INDIRECT("数出表_Excel!B"&amp;$I49-1&amp;":T"&amp;$I49-1&amp;""),0))),""),4),"1",""),
"")
&amp;"4")
&amp;INDIRECT("数出表_Excel!"&amp;
IFERROR(
SUBSTITUTE(ADDRESS(1,
IFERROR(COLUMN(INDEX(INDIRECT("数出表_Excel!B"&amp;$I49-1&amp;":T"&amp;$I49-1&amp;""),1,MATCH(TEXT(C49,0),INDIRECT("数出表_Excel!B"&amp;$I49-1&amp;":T"&amp;$I49-1&amp;""),0))),""),4),"1",""),
"")
&amp;"5"),
INDIRECT("数出表_Excel!"&amp;
IFERROR(
SUBSTITUTE(ADDRESS(1,
IFERROR(COLUMN(INDEX(INDIRECT("数出表_Excel!B"&amp;$I49-1&amp;":T"&amp;$I49-1&amp;""),1,MATCH(TEXT(C49,0),INDIRECT("数出表_Excel!B"&amp;$I49-1&amp;":T"&amp;$I49-1&amp;""),0))),""),4),"1",""),
"")
&amp;"3")),"")</f>
        <v/>
      </c>
      <c r="L49" t="str" cm="1">
        <f t="array" aca="1" ref="L49" ca="1">IFERROR(IF(OR(COUNTIF(INDIRECT("数出表_Excel!"&amp;
IFERROR(
SUBSTITUTE(ADDRESS(1,
IFERROR(COLUMN(INDEX(INDIRECT("数出表_Excel!B"&amp;$I49-1&amp;":T"&amp;$I49-1&amp;""),1,MATCH(TEXT(D49,0),INDIRECT("数出表_Excel!B"&amp;$I49-1&amp;":T"&amp;$I49-1&amp;""),0))),""),4),"1",""),
"")
&amp;"3"),"*キャラ*"),
COUNTIF(INDIRECT("数出表_Excel!"&amp;
IFERROR(
SUBSTITUTE(ADDRESS(1,
IFERROR(COLUMN(INDEX(INDIRECT("数出表_Excel!B"&amp;$I49-1&amp;":T"&amp;$I49-1&amp;""),1,MATCH(TEXT(D49,0),INDIRECT("数出表_Excel!B"&amp;$I49-1&amp;":T"&amp;$I49-1&amp;""),0))),""),4),"1",""),
"")
&amp;"3"),"*赤*")),
INDIRECT("数出表_Excel!"&amp;
IFERROR(
SUBSTITUTE(ADDRESS(1,
IFERROR(COLUMN(INDEX(INDIRECT("数出表_Excel!B"&amp;$I49-1&amp;":T"&amp;$I49-1&amp;""),1,MATCH(TEXT(D49,0),INDIRECT("数出表_Excel!B"&amp;$I49-1&amp;":T"&amp;$I49-1&amp;""),0))),""),4),"1",""),
"")
&amp;"3")
&amp;"　"&amp;INDIRECT("数出表_Excel!"&amp;
IFERROR(
SUBSTITUTE(ADDRESS(1,
IFERROR(COLUMN(INDEX(INDIRECT("数出表_Excel!B"&amp;$I49-1&amp;":T"&amp;$I49-1&amp;""),1,MATCH(TEXT(D49,0),INDIRECT("数出表_Excel!B"&amp;$I49-1&amp;":T"&amp;$I49-1&amp;""),0))),""),4),"1",""),
"")
&amp;"4")
&amp;INDIRECT("数出表_Excel!"&amp;
IFERROR(
SUBSTITUTE(ADDRESS(1,
IFERROR(COLUMN(INDEX(INDIRECT("数出表_Excel!B"&amp;$I49-1&amp;":T"&amp;$I49-1&amp;""),1,MATCH(TEXT(D49,0),INDIRECT("数出表_Excel!B"&amp;$I49-1&amp;":T"&amp;$I49-1&amp;""),0))),""),4),"1",""),
"")
&amp;"5"),
INDIRECT("数出表_Excel!"&amp;
IFERROR(
SUBSTITUTE(ADDRESS(1,
IFERROR(COLUMN(INDEX(INDIRECT("数出表_Excel!B"&amp;$I49-1&amp;":T"&amp;$I49-1&amp;""),1,MATCH(TEXT(D49,0),INDIRECT("数出表_Excel!B"&amp;$I49-1&amp;":T"&amp;$I49-1&amp;""),0))),""),4),"1",""),
"")
&amp;"3")),"")</f>
        <v/>
      </c>
      <c r="M49" t="str" cm="1">
        <f t="array" aca="1" ref="M49" ca="1">IFERROR(IF(OR(COUNTIF(INDIRECT("数出表_Excel!"&amp;
IFERROR(
SUBSTITUTE(ADDRESS(1,
IFERROR(COLUMN(INDEX(INDIRECT("数出表_Excel!B"&amp;$I49&amp;":T"&amp;$I49&amp;""),1,MATCH(TEXT(E49,0),INDIRECT("数出表_Excel!B"&amp;$I49&amp;":T"&amp;$I49&amp;""),0))),""),4),"1",""),
"")
&amp;"3"),"*キャラ*"),
COUNTIF(INDIRECT("数出表_Excel!"&amp;
IFERROR(
SUBSTITUTE(ADDRESS(1,
IFERROR(COLUMN(INDEX(INDIRECT("数出表_Excel!B"&amp;$I49&amp;":T"&amp;$I49&amp;""),1,MATCH(TEXT(E49,0),INDIRECT("数出表_Excel!B"&amp;$I49&amp;":T"&amp;$I49&amp;""),0))),""),4),"1",""),
"")
&amp;"3"),"*赤*")),
INDIRECT("数出表_Excel!"&amp;
IFERROR(
SUBSTITUTE(ADDRESS(1,
IFERROR(COLUMN(INDEX(INDIRECT("数出表_Excel!B"&amp;$I49&amp;":T"&amp;$I49&amp;""),1,MATCH(TEXT(E49,0),INDIRECT("数出表_Excel!B"&amp;$I49&amp;":T"&amp;$I49&amp;""),0))),""),4),"1",""),
"")
&amp;"3")
&amp;"　"&amp;INDIRECT("数出表_Excel!"&amp;
IFERROR(
SUBSTITUTE(ADDRESS(1,
IFERROR(COLUMN(INDEX(INDIRECT("数出表_Excel!B"&amp;$I49&amp;":T"&amp;$I49&amp;""),1,MATCH(TEXT(E49,0),INDIRECT("数出表_Excel!B"&amp;$I49&amp;":T"&amp;$I49&amp;""),0))),""),4),"1",""),
"")
&amp;"4")
&amp;INDIRECT("数出表_Excel!"&amp;
IFERROR(
SUBSTITUTE(ADDRESS(1,
IFERROR(COLUMN(INDEX(INDIRECT("数出表_Excel!B"&amp;$I49&amp;":T"&amp;$I49&amp;""),1,MATCH(TEXT(E49,0),INDIRECT("数出表_Excel!B"&amp;$I49&amp;":T"&amp;$I49&amp;""),0))),""),4),"1",""),
"")
&amp;"5"),
INDIRECT("数出表_Excel!"&amp;
IFERROR(
SUBSTITUTE(ADDRESS(1,
IFERROR(COLUMN(INDEX(INDIRECT("数出表_Excel!B"&amp;$I49&amp;":T"&amp;$I49&amp;""),1,MATCH(TEXT(E49,0),INDIRECT("数出表_Excel!B"&amp;$I49&amp;":T"&amp;$I49&amp;""),0))),""),4),"1",""),
"")
&amp;"3")),"")</f>
        <v/>
      </c>
      <c r="N49" t="str" cm="1">
        <f t="array" aca="1" ref="N49" ca="1">IFERROR(IF(OR(COUNTIF(INDIRECT("数出表_Excel!"&amp;
IFERROR(
SUBSTITUTE(ADDRESS(1,
IFERROR(COLUMN(INDEX(INDIRECT("数出表_Excel!B"&amp;$I49&amp;":T"&amp;$I49&amp;""),1,MATCH(TEXT(F49,0),INDIRECT("数出表_Excel!B"&amp;$I49&amp;":T"&amp;$I49&amp;""),0))),""),4),"1",""),
"")
&amp;"3"),"*キャラ*"),
COUNTIF(INDIRECT("数出表_Excel!"&amp;
IFERROR(
SUBSTITUTE(ADDRESS(1,
IFERROR(COLUMN(INDEX(INDIRECT("数出表_Excel!B"&amp;$I49&amp;":T"&amp;$I49&amp;""),1,MATCH(TEXT(F49,0),INDIRECT("数出表_Excel!B"&amp;$I49&amp;":T"&amp;$I49&amp;""),0))),""),4),"1",""),
"")
&amp;"3"),"*赤*")),
INDIRECT("数出表_Excel!"&amp;
IFERROR(
SUBSTITUTE(ADDRESS(1,
IFERROR(COLUMN(INDEX(INDIRECT("数出表_Excel!B"&amp;$I49&amp;":T"&amp;$I49&amp;""),1,MATCH(TEXT(F49,0),INDIRECT("数出表_Excel!B"&amp;$I49&amp;":T"&amp;$I49&amp;""),0))),""),4),"1",""),
"")
&amp;"3")
&amp;"　"&amp;INDIRECT("数出表_Excel!"&amp;
IFERROR(
SUBSTITUTE(ADDRESS(1,
IFERROR(COLUMN(INDEX(INDIRECT("数出表_Excel!B"&amp;$I49&amp;":T"&amp;$I49&amp;""),1,MATCH(TEXT(F49,0),INDIRECT("数出表_Excel!B"&amp;$I49&amp;":T"&amp;$I49&amp;""),0))),""),4),"1",""),
"")
&amp;"4")
&amp;INDIRECT("数出表_Excel!"&amp;
IFERROR(
SUBSTITUTE(ADDRESS(1,
IFERROR(COLUMN(INDEX(INDIRECT("数出表_Excel!B"&amp;$I49&amp;":T"&amp;$I49&amp;""),1,MATCH(TEXT(F49,0),INDIRECT("数出表_Excel!B"&amp;$I49&amp;":T"&amp;$I49&amp;""),0))),""),4),"1",""),
"")
&amp;"5"),
INDIRECT("数出表_Excel!"&amp;
IFERROR(
SUBSTITUTE(ADDRESS(1,
IFERROR(COLUMN(INDEX(INDIRECT("数出表_Excel!B"&amp;$I49&amp;":T"&amp;$I49&amp;""),1,MATCH(TEXT(F49,0),INDIRECT("数出表_Excel!B"&amp;$I49&amp;":T"&amp;$I49&amp;""),0))),""),4),"1",""),
"")
&amp;"3")),"")</f>
        <v/>
      </c>
      <c r="O49" t="str" cm="1">
        <f t="array" aca="1" ref="O49" ca="1">IFERROR(IF(OR(COUNTIF(INDIRECT("数出表_Excel!"&amp;
IFERROR(
SUBSTITUTE(ADDRESS(1,
IFERROR(COLUMN(INDEX(INDIRECT("数出表_Excel!B"&amp;$I49&amp;":T"&amp;$I49&amp;""),1,MATCH(TEXT(G49,0),INDIRECT("数出表_Excel!B"&amp;$I49&amp;":T"&amp;$I49&amp;""),0))),""),4),"1",""),
"")
&amp;"3"),"*キャラ*"),
COUNTIF(INDIRECT("数出表_Excel!"&amp;
IFERROR(
SUBSTITUTE(ADDRESS(1,
IFERROR(COLUMN(INDEX(INDIRECT("数出表_Excel!B"&amp;$I49&amp;":T"&amp;$I49&amp;""),1,MATCH(TEXT(G49,0),INDIRECT("数出表_Excel!B"&amp;$I49&amp;":T"&amp;$I49&amp;""),0))),""),4),"1",""),
"")
&amp;"3"),"*赤*")),
INDIRECT("数出表_Excel!"&amp;
IFERROR(
SUBSTITUTE(ADDRESS(1,
IFERROR(COLUMN(INDEX(INDIRECT("数出表_Excel!B"&amp;$I49&amp;":T"&amp;$I49&amp;""),1,MATCH(TEXT(G49,0),INDIRECT("数出表_Excel!B"&amp;$I49&amp;":T"&amp;$I49&amp;""),0))),""),4),"1",""),
"")
&amp;"3")
&amp;"　"&amp;INDIRECT("数出表_Excel!"&amp;
IFERROR(
SUBSTITUTE(ADDRESS(1,
IFERROR(COLUMN(INDEX(INDIRECT("数出表_Excel!B"&amp;$I49&amp;":T"&amp;$I49&amp;""),1,MATCH(TEXT(G49,0),INDIRECT("数出表_Excel!B"&amp;$I49&amp;":T"&amp;$I49&amp;""),0))),""),4),"1",""),
"")
&amp;"4")
&amp;INDIRECT("数出表_Excel!"&amp;
IFERROR(
SUBSTITUTE(ADDRESS(1,
IFERROR(COLUMN(INDEX(INDIRECT("数出表_Excel!B"&amp;$I49&amp;":T"&amp;$I49&amp;""),1,MATCH(TEXT(G49,0),INDIRECT("数出表_Excel!B"&amp;$I49&amp;":T"&amp;$I49&amp;""),0))),""),4),"1",""),
"")
&amp;"5"),
INDIRECT("数出表_Excel!"&amp;
IFERROR(
SUBSTITUTE(ADDRESS(1,
IFERROR(COLUMN(INDEX(INDIRECT("数出表_Excel!B"&amp;$I49&amp;":T"&amp;$I49&amp;""),1,MATCH(TEXT(G49,0),INDIRECT("数出表_Excel!B"&amp;$I49&amp;":T"&amp;$I49&amp;""),0))),""),4),"1",""),
"")
&amp;"3")),"")</f>
        <v/>
      </c>
    </row>
    <row r="50" spans="9:15">
      <c r="I50" t="str">
        <f>IF(A50&lt;&gt;"",MATCH(A50,数出表_Excel!A:A,0),"")</f>
        <v/>
      </c>
      <c r="J50" t="str" cm="1">
        <f t="array" aca="1" ref="J50" ca="1">IFERROR(IF(OR(COUNTIF(INDIRECT("数出表_Excel!"&amp;
IFERROR(
SUBSTITUTE(ADDRESS(1,
IFERROR(COLUMN(INDEX(INDIRECT("数出表_Excel!B"&amp;$I50-1&amp;":T"&amp;$I50-1&amp;""),1,MATCH(TEXT(B50,0),INDIRECT("数出表_Excel!B"&amp;$I50-1&amp;":T"&amp;$I50-1&amp;""),0))),""),4),"1",""),
"")
&amp;"3"),"*キャラ*"),
COUNTIF(INDIRECT("数出表_Excel!"&amp;
IFERROR(
SUBSTITUTE(ADDRESS(1,
IFERROR(COLUMN(INDEX(INDIRECT("数出表_Excel!B"&amp;$I50-1&amp;":T"&amp;$I50-1&amp;""),1,MATCH(TEXT(B50,0),INDIRECT("数出表_Excel!B"&amp;$I50-1&amp;":T"&amp;$I50-1&amp;""),0))),""),4),"1",""),
"")
&amp;"3"),"*赤*")),
INDIRECT("数出表_Excel!"&amp;
IFERROR(
SUBSTITUTE(ADDRESS(1,
IFERROR(COLUMN(INDEX(INDIRECT("数出表_Excel!B"&amp;$I50-1&amp;":T"&amp;$I50-1&amp;""),1,MATCH(TEXT(B50,0),INDIRECT("数出表_Excel!B"&amp;$I50-1&amp;":T"&amp;$I50-1&amp;""),0))),""),4),"1",""),
"")
&amp;"3")
&amp;"　"&amp;INDIRECT("数出表_Excel!"&amp;
IFERROR(
SUBSTITUTE(ADDRESS(1,
IFERROR(COLUMN(INDEX(INDIRECT("数出表_Excel!B"&amp;$I50-1&amp;":T"&amp;$I50-1&amp;""),1,MATCH(TEXT(B50,0),INDIRECT("数出表_Excel!B"&amp;$I50-1&amp;":T"&amp;$I50-1&amp;""),0))),""),4),"1",""),
"")
&amp;"4")
&amp;INDIRECT("数出表_Excel!"&amp;
IFERROR(
SUBSTITUTE(ADDRESS(1,
IFERROR(COLUMN(INDEX(INDIRECT("数出表_Excel!B"&amp;$I50-1&amp;":T"&amp;$I50-1&amp;""),1,MATCH(TEXT(B50,0),INDIRECT("数出表_Excel!B"&amp;$I50-1&amp;":T"&amp;$I50-1&amp;""),0))),""),4),"1",""),
"")
&amp;"5"),
INDIRECT("数出表_Excel!"&amp;
IFERROR(
SUBSTITUTE(ADDRESS(1,
IFERROR(COLUMN(INDEX(INDIRECT("数出表_Excel!B"&amp;$I50-1&amp;":T"&amp;$I50-1&amp;""),1,MATCH(TEXT(B50,0),INDIRECT("数出表_Excel!B"&amp;$I50-1&amp;":T"&amp;$I50-1&amp;""),0))),""),4),"1",""),
"")
&amp;"3")),"")</f>
        <v/>
      </c>
      <c r="K50" t="str" cm="1">
        <f t="array" aca="1" ref="K50" ca="1">IFERROR(IF(OR(COUNTIF(INDIRECT("数出表_Excel!"&amp;
IFERROR(
SUBSTITUTE(ADDRESS(1,
IFERROR(COLUMN(INDEX(INDIRECT("数出表_Excel!B"&amp;$I50-1&amp;":T"&amp;$I50-1&amp;""),1,MATCH(TEXT(C50,0),INDIRECT("数出表_Excel!B"&amp;$I50-1&amp;":T"&amp;$I50-1&amp;""),0))),""),4),"1",""),
"")
&amp;"3"),"*キャラ*"),
COUNTIF(INDIRECT("数出表_Excel!"&amp;
IFERROR(
SUBSTITUTE(ADDRESS(1,
IFERROR(COLUMN(INDEX(INDIRECT("数出表_Excel!B"&amp;$I50-1&amp;":T"&amp;$I50-1&amp;""),1,MATCH(TEXT(C50,0),INDIRECT("数出表_Excel!B"&amp;$I50-1&amp;":T"&amp;$I50-1&amp;""),0))),""),4),"1",""),
"")
&amp;"3"),"*赤*")),
INDIRECT("数出表_Excel!"&amp;
IFERROR(
SUBSTITUTE(ADDRESS(1,
IFERROR(COLUMN(INDEX(INDIRECT("数出表_Excel!B"&amp;$I50-1&amp;":T"&amp;$I50-1&amp;""),1,MATCH(TEXT(C50,0),INDIRECT("数出表_Excel!B"&amp;$I50-1&amp;":T"&amp;$I50-1&amp;""),0))),""),4),"1",""),
"")
&amp;"3")
&amp;"　"&amp;INDIRECT("数出表_Excel!"&amp;
IFERROR(
SUBSTITUTE(ADDRESS(1,
IFERROR(COLUMN(INDEX(INDIRECT("数出表_Excel!B"&amp;$I50-1&amp;":T"&amp;$I50-1&amp;""),1,MATCH(TEXT(C50,0),INDIRECT("数出表_Excel!B"&amp;$I50-1&amp;":T"&amp;$I50-1&amp;""),0))),""),4),"1",""),
"")
&amp;"4")
&amp;INDIRECT("数出表_Excel!"&amp;
IFERROR(
SUBSTITUTE(ADDRESS(1,
IFERROR(COLUMN(INDEX(INDIRECT("数出表_Excel!B"&amp;$I50-1&amp;":T"&amp;$I50-1&amp;""),1,MATCH(TEXT(C50,0),INDIRECT("数出表_Excel!B"&amp;$I50-1&amp;":T"&amp;$I50-1&amp;""),0))),""),4),"1",""),
"")
&amp;"5"),
INDIRECT("数出表_Excel!"&amp;
IFERROR(
SUBSTITUTE(ADDRESS(1,
IFERROR(COLUMN(INDEX(INDIRECT("数出表_Excel!B"&amp;$I50-1&amp;":T"&amp;$I50-1&amp;""),1,MATCH(TEXT(C50,0),INDIRECT("数出表_Excel!B"&amp;$I50-1&amp;":T"&amp;$I50-1&amp;""),0))),""),4),"1",""),
"")
&amp;"3")),"")</f>
        <v/>
      </c>
      <c r="L50" t="str" cm="1">
        <f t="array" aca="1" ref="L50" ca="1">IFERROR(IF(OR(COUNTIF(INDIRECT("数出表_Excel!"&amp;
IFERROR(
SUBSTITUTE(ADDRESS(1,
IFERROR(COLUMN(INDEX(INDIRECT("数出表_Excel!B"&amp;$I50-1&amp;":T"&amp;$I50-1&amp;""),1,MATCH(TEXT(D50,0),INDIRECT("数出表_Excel!B"&amp;$I50-1&amp;":T"&amp;$I50-1&amp;""),0))),""),4),"1",""),
"")
&amp;"3"),"*キャラ*"),
COUNTIF(INDIRECT("数出表_Excel!"&amp;
IFERROR(
SUBSTITUTE(ADDRESS(1,
IFERROR(COLUMN(INDEX(INDIRECT("数出表_Excel!B"&amp;$I50-1&amp;":T"&amp;$I50-1&amp;""),1,MATCH(TEXT(D50,0),INDIRECT("数出表_Excel!B"&amp;$I50-1&amp;":T"&amp;$I50-1&amp;""),0))),""),4),"1",""),
"")
&amp;"3"),"*赤*")),
INDIRECT("数出表_Excel!"&amp;
IFERROR(
SUBSTITUTE(ADDRESS(1,
IFERROR(COLUMN(INDEX(INDIRECT("数出表_Excel!B"&amp;$I50-1&amp;":T"&amp;$I50-1&amp;""),1,MATCH(TEXT(D50,0),INDIRECT("数出表_Excel!B"&amp;$I50-1&amp;":T"&amp;$I50-1&amp;""),0))),""),4),"1",""),
"")
&amp;"3")
&amp;"　"&amp;INDIRECT("数出表_Excel!"&amp;
IFERROR(
SUBSTITUTE(ADDRESS(1,
IFERROR(COLUMN(INDEX(INDIRECT("数出表_Excel!B"&amp;$I50-1&amp;":T"&amp;$I50-1&amp;""),1,MATCH(TEXT(D50,0),INDIRECT("数出表_Excel!B"&amp;$I50-1&amp;":T"&amp;$I50-1&amp;""),0))),""),4),"1",""),
"")
&amp;"4")
&amp;INDIRECT("数出表_Excel!"&amp;
IFERROR(
SUBSTITUTE(ADDRESS(1,
IFERROR(COLUMN(INDEX(INDIRECT("数出表_Excel!B"&amp;$I50-1&amp;":T"&amp;$I50-1&amp;""),1,MATCH(TEXT(D50,0),INDIRECT("数出表_Excel!B"&amp;$I50-1&amp;":T"&amp;$I50-1&amp;""),0))),""),4),"1",""),
"")
&amp;"5"),
INDIRECT("数出表_Excel!"&amp;
IFERROR(
SUBSTITUTE(ADDRESS(1,
IFERROR(COLUMN(INDEX(INDIRECT("数出表_Excel!B"&amp;$I50-1&amp;":T"&amp;$I50-1&amp;""),1,MATCH(TEXT(D50,0),INDIRECT("数出表_Excel!B"&amp;$I50-1&amp;":T"&amp;$I50-1&amp;""),0))),""),4),"1",""),
"")
&amp;"3")),"")</f>
        <v/>
      </c>
      <c r="M50" t="str" cm="1">
        <f t="array" aca="1" ref="M50" ca="1">IFERROR(IF(OR(COUNTIF(INDIRECT("数出表_Excel!"&amp;
IFERROR(
SUBSTITUTE(ADDRESS(1,
IFERROR(COLUMN(INDEX(INDIRECT("数出表_Excel!B"&amp;$I50&amp;":T"&amp;$I50&amp;""),1,MATCH(TEXT(E50,0),INDIRECT("数出表_Excel!B"&amp;$I50&amp;":T"&amp;$I50&amp;""),0))),""),4),"1",""),
"")
&amp;"3"),"*キャラ*"),
COUNTIF(INDIRECT("数出表_Excel!"&amp;
IFERROR(
SUBSTITUTE(ADDRESS(1,
IFERROR(COLUMN(INDEX(INDIRECT("数出表_Excel!B"&amp;$I50&amp;":T"&amp;$I50&amp;""),1,MATCH(TEXT(E50,0),INDIRECT("数出表_Excel!B"&amp;$I50&amp;":T"&amp;$I50&amp;""),0))),""),4),"1",""),
"")
&amp;"3"),"*赤*")),
INDIRECT("数出表_Excel!"&amp;
IFERROR(
SUBSTITUTE(ADDRESS(1,
IFERROR(COLUMN(INDEX(INDIRECT("数出表_Excel!B"&amp;$I50&amp;":T"&amp;$I50&amp;""),1,MATCH(TEXT(E50,0),INDIRECT("数出表_Excel!B"&amp;$I50&amp;":T"&amp;$I50&amp;""),0))),""),4),"1",""),
"")
&amp;"3")
&amp;"　"&amp;INDIRECT("数出表_Excel!"&amp;
IFERROR(
SUBSTITUTE(ADDRESS(1,
IFERROR(COLUMN(INDEX(INDIRECT("数出表_Excel!B"&amp;$I50&amp;":T"&amp;$I50&amp;""),1,MATCH(TEXT(E50,0),INDIRECT("数出表_Excel!B"&amp;$I50&amp;":T"&amp;$I50&amp;""),0))),""),4),"1",""),
"")
&amp;"4")
&amp;INDIRECT("数出表_Excel!"&amp;
IFERROR(
SUBSTITUTE(ADDRESS(1,
IFERROR(COLUMN(INDEX(INDIRECT("数出表_Excel!B"&amp;$I50&amp;":T"&amp;$I50&amp;""),1,MATCH(TEXT(E50,0),INDIRECT("数出表_Excel!B"&amp;$I50&amp;":T"&amp;$I50&amp;""),0))),""),4),"1",""),
"")
&amp;"5"),
INDIRECT("数出表_Excel!"&amp;
IFERROR(
SUBSTITUTE(ADDRESS(1,
IFERROR(COLUMN(INDEX(INDIRECT("数出表_Excel!B"&amp;$I50&amp;":T"&amp;$I50&amp;""),1,MATCH(TEXT(E50,0),INDIRECT("数出表_Excel!B"&amp;$I50&amp;":T"&amp;$I50&amp;""),0))),""),4),"1",""),
"")
&amp;"3")),"")</f>
        <v/>
      </c>
      <c r="N50" t="str" cm="1">
        <f t="array" aca="1" ref="N50" ca="1">IFERROR(IF(OR(COUNTIF(INDIRECT("数出表_Excel!"&amp;
IFERROR(
SUBSTITUTE(ADDRESS(1,
IFERROR(COLUMN(INDEX(INDIRECT("数出表_Excel!B"&amp;$I50&amp;":T"&amp;$I50&amp;""),1,MATCH(TEXT(F50,0),INDIRECT("数出表_Excel!B"&amp;$I50&amp;":T"&amp;$I50&amp;""),0))),""),4),"1",""),
"")
&amp;"3"),"*キャラ*"),
COUNTIF(INDIRECT("数出表_Excel!"&amp;
IFERROR(
SUBSTITUTE(ADDRESS(1,
IFERROR(COLUMN(INDEX(INDIRECT("数出表_Excel!B"&amp;$I50&amp;":T"&amp;$I50&amp;""),1,MATCH(TEXT(F50,0),INDIRECT("数出表_Excel!B"&amp;$I50&amp;":T"&amp;$I50&amp;""),0))),""),4),"1",""),
"")
&amp;"3"),"*赤*")),
INDIRECT("数出表_Excel!"&amp;
IFERROR(
SUBSTITUTE(ADDRESS(1,
IFERROR(COLUMN(INDEX(INDIRECT("数出表_Excel!B"&amp;$I50&amp;":T"&amp;$I50&amp;""),1,MATCH(TEXT(F50,0),INDIRECT("数出表_Excel!B"&amp;$I50&amp;":T"&amp;$I50&amp;""),0))),""),4),"1",""),
"")
&amp;"3")
&amp;"　"&amp;INDIRECT("数出表_Excel!"&amp;
IFERROR(
SUBSTITUTE(ADDRESS(1,
IFERROR(COLUMN(INDEX(INDIRECT("数出表_Excel!B"&amp;$I50&amp;":T"&amp;$I50&amp;""),1,MATCH(TEXT(F50,0),INDIRECT("数出表_Excel!B"&amp;$I50&amp;":T"&amp;$I50&amp;""),0))),""),4),"1",""),
"")
&amp;"4")
&amp;INDIRECT("数出表_Excel!"&amp;
IFERROR(
SUBSTITUTE(ADDRESS(1,
IFERROR(COLUMN(INDEX(INDIRECT("数出表_Excel!B"&amp;$I50&amp;":T"&amp;$I50&amp;""),1,MATCH(TEXT(F50,0),INDIRECT("数出表_Excel!B"&amp;$I50&amp;":T"&amp;$I50&amp;""),0))),""),4),"1",""),
"")
&amp;"5"),
INDIRECT("数出表_Excel!"&amp;
IFERROR(
SUBSTITUTE(ADDRESS(1,
IFERROR(COLUMN(INDEX(INDIRECT("数出表_Excel!B"&amp;$I50&amp;":T"&amp;$I50&amp;""),1,MATCH(TEXT(F50,0),INDIRECT("数出表_Excel!B"&amp;$I50&amp;":T"&amp;$I50&amp;""),0))),""),4),"1",""),
"")
&amp;"3")),"")</f>
        <v/>
      </c>
      <c r="O50" t="str" cm="1">
        <f t="array" aca="1" ref="O50" ca="1">IFERROR(IF(OR(COUNTIF(INDIRECT("数出表_Excel!"&amp;
IFERROR(
SUBSTITUTE(ADDRESS(1,
IFERROR(COLUMN(INDEX(INDIRECT("数出表_Excel!B"&amp;$I50&amp;":T"&amp;$I50&amp;""),1,MATCH(TEXT(G50,0),INDIRECT("数出表_Excel!B"&amp;$I50&amp;":T"&amp;$I50&amp;""),0))),""),4),"1",""),
"")
&amp;"3"),"*キャラ*"),
COUNTIF(INDIRECT("数出表_Excel!"&amp;
IFERROR(
SUBSTITUTE(ADDRESS(1,
IFERROR(COLUMN(INDEX(INDIRECT("数出表_Excel!B"&amp;$I50&amp;":T"&amp;$I50&amp;""),1,MATCH(TEXT(G50,0),INDIRECT("数出表_Excel!B"&amp;$I50&amp;":T"&amp;$I50&amp;""),0))),""),4),"1",""),
"")
&amp;"3"),"*赤*")),
INDIRECT("数出表_Excel!"&amp;
IFERROR(
SUBSTITUTE(ADDRESS(1,
IFERROR(COLUMN(INDEX(INDIRECT("数出表_Excel!B"&amp;$I50&amp;":T"&amp;$I50&amp;""),1,MATCH(TEXT(G50,0),INDIRECT("数出表_Excel!B"&amp;$I50&amp;":T"&amp;$I50&amp;""),0))),""),4),"1",""),
"")
&amp;"3")
&amp;"　"&amp;INDIRECT("数出表_Excel!"&amp;
IFERROR(
SUBSTITUTE(ADDRESS(1,
IFERROR(COLUMN(INDEX(INDIRECT("数出表_Excel!B"&amp;$I50&amp;":T"&amp;$I50&amp;""),1,MATCH(TEXT(G50,0),INDIRECT("数出表_Excel!B"&amp;$I50&amp;":T"&amp;$I50&amp;""),0))),""),4),"1",""),
"")
&amp;"4")
&amp;INDIRECT("数出表_Excel!"&amp;
IFERROR(
SUBSTITUTE(ADDRESS(1,
IFERROR(COLUMN(INDEX(INDIRECT("数出表_Excel!B"&amp;$I50&amp;":T"&amp;$I50&amp;""),1,MATCH(TEXT(G50,0),INDIRECT("数出表_Excel!B"&amp;$I50&amp;":T"&amp;$I50&amp;""),0))),""),4),"1",""),
"")
&amp;"5"),
INDIRECT("数出表_Excel!"&amp;
IFERROR(
SUBSTITUTE(ADDRESS(1,
IFERROR(COLUMN(INDEX(INDIRECT("数出表_Excel!B"&amp;$I50&amp;":T"&amp;$I50&amp;""),1,MATCH(TEXT(G50,0),INDIRECT("数出表_Excel!B"&amp;$I50&amp;":T"&amp;$I50&amp;""),0))),""),4),"1",""),
"")
&amp;"3")),"")</f>
        <v/>
      </c>
    </row>
    <row r="51" spans="9:15">
      <c r="I51" t="str">
        <f>IF(A51&lt;&gt;"",MATCH(A51,数出表_Excel!A:A,0),"")</f>
        <v/>
      </c>
      <c r="J51" t="str" cm="1">
        <f t="array" aca="1" ref="J51" ca="1">IFERROR(IF(OR(COUNTIF(INDIRECT("数出表_Excel!"&amp;
IFERROR(
SUBSTITUTE(ADDRESS(1,
IFERROR(COLUMN(INDEX(INDIRECT("数出表_Excel!B"&amp;$I51-1&amp;":T"&amp;$I51-1&amp;""),1,MATCH(TEXT(B51,0),INDIRECT("数出表_Excel!B"&amp;$I51-1&amp;":T"&amp;$I51-1&amp;""),0))),""),4),"1",""),
"")
&amp;"3"),"*キャラ*"),
COUNTIF(INDIRECT("数出表_Excel!"&amp;
IFERROR(
SUBSTITUTE(ADDRESS(1,
IFERROR(COLUMN(INDEX(INDIRECT("数出表_Excel!B"&amp;$I51-1&amp;":T"&amp;$I51-1&amp;""),1,MATCH(TEXT(B51,0),INDIRECT("数出表_Excel!B"&amp;$I51-1&amp;":T"&amp;$I51-1&amp;""),0))),""),4),"1",""),
"")
&amp;"3"),"*赤*")),
INDIRECT("数出表_Excel!"&amp;
IFERROR(
SUBSTITUTE(ADDRESS(1,
IFERROR(COLUMN(INDEX(INDIRECT("数出表_Excel!B"&amp;$I51-1&amp;":T"&amp;$I51-1&amp;""),1,MATCH(TEXT(B51,0),INDIRECT("数出表_Excel!B"&amp;$I51-1&amp;":T"&amp;$I51-1&amp;""),0))),""),4),"1",""),
"")
&amp;"3")
&amp;"　"&amp;INDIRECT("数出表_Excel!"&amp;
IFERROR(
SUBSTITUTE(ADDRESS(1,
IFERROR(COLUMN(INDEX(INDIRECT("数出表_Excel!B"&amp;$I51-1&amp;":T"&amp;$I51-1&amp;""),1,MATCH(TEXT(B51,0),INDIRECT("数出表_Excel!B"&amp;$I51-1&amp;":T"&amp;$I51-1&amp;""),0))),""),4),"1",""),
"")
&amp;"4")
&amp;INDIRECT("数出表_Excel!"&amp;
IFERROR(
SUBSTITUTE(ADDRESS(1,
IFERROR(COLUMN(INDEX(INDIRECT("数出表_Excel!B"&amp;$I51-1&amp;":T"&amp;$I51-1&amp;""),1,MATCH(TEXT(B51,0),INDIRECT("数出表_Excel!B"&amp;$I51-1&amp;":T"&amp;$I51-1&amp;""),0))),""),4),"1",""),
"")
&amp;"5"),
INDIRECT("数出表_Excel!"&amp;
IFERROR(
SUBSTITUTE(ADDRESS(1,
IFERROR(COLUMN(INDEX(INDIRECT("数出表_Excel!B"&amp;$I51-1&amp;":T"&amp;$I51-1&amp;""),1,MATCH(TEXT(B51,0),INDIRECT("数出表_Excel!B"&amp;$I51-1&amp;":T"&amp;$I51-1&amp;""),0))),""),4),"1",""),
"")
&amp;"3")),"")</f>
        <v/>
      </c>
      <c r="K51" t="str" cm="1">
        <f t="array" aca="1" ref="K51" ca="1">IFERROR(IF(OR(COUNTIF(INDIRECT("数出表_Excel!"&amp;
IFERROR(
SUBSTITUTE(ADDRESS(1,
IFERROR(COLUMN(INDEX(INDIRECT("数出表_Excel!B"&amp;$I51-1&amp;":T"&amp;$I51-1&amp;""),1,MATCH(TEXT(C51,0),INDIRECT("数出表_Excel!B"&amp;$I51-1&amp;":T"&amp;$I51-1&amp;""),0))),""),4),"1",""),
"")
&amp;"3"),"*キャラ*"),
COUNTIF(INDIRECT("数出表_Excel!"&amp;
IFERROR(
SUBSTITUTE(ADDRESS(1,
IFERROR(COLUMN(INDEX(INDIRECT("数出表_Excel!B"&amp;$I51-1&amp;":T"&amp;$I51-1&amp;""),1,MATCH(TEXT(C51,0),INDIRECT("数出表_Excel!B"&amp;$I51-1&amp;":T"&amp;$I51-1&amp;""),0))),""),4),"1",""),
"")
&amp;"3"),"*赤*")),
INDIRECT("数出表_Excel!"&amp;
IFERROR(
SUBSTITUTE(ADDRESS(1,
IFERROR(COLUMN(INDEX(INDIRECT("数出表_Excel!B"&amp;$I51-1&amp;":T"&amp;$I51-1&amp;""),1,MATCH(TEXT(C51,0),INDIRECT("数出表_Excel!B"&amp;$I51-1&amp;":T"&amp;$I51-1&amp;""),0))),""),4),"1",""),
"")
&amp;"3")
&amp;"　"&amp;INDIRECT("数出表_Excel!"&amp;
IFERROR(
SUBSTITUTE(ADDRESS(1,
IFERROR(COLUMN(INDEX(INDIRECT("数出表_Excel!B"&amp;$I51-1&amp;":T"&amp;$I51-1&amp;""),1,MATCH(TEXT(C51,0),INDIRECT("数出表_Excel!B"&amp;$I51-1&amp;":T"&amp;$I51-1&amp;""),0))),""),4),"1",""),
"")
&amp;"4")
&amp;INDIRECT("数出表_Excel!"&amp;
IFERROR(
SUBSTITUTE(ADDRESS(1,
IFERROR(COLUMN(INDEX(INDIRECT("数出表_Excel!B"&amp;$I51-1&amp;":T"&amp;$I51-1&amp;""),1,MATCH(TEXT(C51,0),INDIRECT("数出表_Excel!B"&amp;$I51-1&amp;":T"&amp;$I51-1&amp;""),0))),""),4),"1",""),
"")
&amp;"5"),
INDIRECT("数出表_Excel!"&amp;
IFERROR(
SUBSTITUTE(ADDRESS(1,
IFERROR(COLUMN(INDEX(INDIRECT("数出表_Excel!B"&amp;$I51-1&amp;":T"&amp;$I51-1&amp;""),1,MATCH(TEXT(C51,0),INDIRECT("数出表_Excel!B"&amp;$I51-1&amp;":T"&amp;$I51-1&amp;""),0))),""),4),"1",""),
"")
&amp;"3")),"")</f>
        <v/>
      </c>
      <c r="L51" t="str" cm="1">
        <f t="array" aca="1" ref="L51" ca="1">IFERROR(IF(OR(COUNTIF(INDIRECT("数出表_Excel!"&amp;
IFERROR(
SUBSTITUTE(ADDRESS(1,
IFERROR(COLUMN(INDEX(INDIRECT("数出表_Excel!B"&amp;$I51-1&amp;":T"&amp;$I51-1&amp;""),1,MATCH(TEXT(D51,0),INDIRECT("数出表_Excel!B"&amp;$I51-1&amp;":T"&amp;$I51-1&amp;""),0))),""),4),"1",""),
"")
&amp;"3"),"*キャラ*"),
COUNTIF(INDIRECT("数出表_Excel!"&amp;
IFERROR(
SUBSTITUTE(ADDRESS(1,
IFERROR(COLUMN(INDEX(INDIRECT("数出表_Excel!B"&amp;$I51-1&amp;":T"&amp;$I51-1&amp;""),1,MATCH(TEXT(D51,0),INDIRECT("数出表_Excel!B"&amp;$I51-1&amp;":T"&amp;$I51-1&amp;""),0))),""),4),"1",""),
"")
&amp;"3"),"*赤*")),
INDIRECT("数出表_Excel!"&amp;
IFERROR(
SUBSTITUTE(ADDRESS(1,
IFERROR(COLUMN(INDEX(INDIRECT("数出表_Excel!B"&amp;$I51-1&amp;":T"&amp;$I51-1&amp;""),1,MATCH(TEXT(D51,0),INDIRECT("数出表_Excel!B"&amp;$I51-1&amp;":T"&amp;$I51-1&amp;""),0))),""),4),"1",""),
"")
&amp;"3")
&amp;"　"&amp;INDIRECT("数出表_Excel!"&amp;
IFERROR(
SUBSTITUTE(ADDRESS(1,
IFERROR(COLUMN(INDEX(INDIRECT("数出表_Excel!B"&amp;$I51-1&amp;":T"&amp;$I51-1&amp;""),1,MATCH(TEXT(D51,0),INDIRECT("数出表_Excel!B"&amp;$I51-1&amp;":T"&amp;$I51-1&amp;""),0))),""),4),"1",""),
"")
&amp;"4")
&amp;INDIRECT("数出表_Excel!"&amp;
IFERROR(
SUBSTITUTE(ADDRESS(1,
IFERROR(COLUMN(INDEX(INDIRECT("数出表_Excel!B"&amp;$I51-1&amp;":T"&amp;$I51-1&amp;""),1,MATCH(TEXT(D51,0),INDIRECT("数出表_Excel!B"&amp;$I51-1&amp;":T"&amp;$I51-1&amp;""),0))),""),4),"1",""),
"")
&amp;"5"),
INDIRECT("数出表_Excel!"&amp;
IFERROR(
SUBSTITUTE(ADDRESS(1,
IFERROR(COLUMN(INDEX(INDIRECT("数出表_Excel!B"&amp;$I51-1&amp;":T"&amp;$I51-1&amp;""),1,MATCH(TEXT(D51,0),INDIRECT("数出表_Excel!B"&amp;$I51-1&amp;":T"&amp;$I51-1&amp;""),0))),""),4),"1",""),
"")
&amp;"3")),"")</f>
        <v/>
      </c>
      <c r="M51" t="str" cm="1">
        <f t="array" aca="1" ref="M51" ca="1">IFERROR(IF(OR(COUNTIF(INDIRECT("数出表_Excel!"&amp;
IFERROR(
SUBSTITUTE(ADDRESS(1,
IFERROR(COLUMN(INDEX(INDIRECT("数出表_Excel!B"&amp;$I51&amp;":T"&amp;$I51&amp;""),1,MATCH(TEXT(E51,0),INDIRECT("数出表_Excel!B"&amp;$I51&amp;":T"&amp;$I51&amp;""),0))),""),4),"1",""),
"")
&amp;"3"),"*キャラ*"),
COUNTIF(INDIRECT("数出表_Excel!"&amp;
IFERROR(
SUBSTITUTE(ADDRESS(1,
IFERROR(COLUMN(INDEX(INDIRECT("数出表_Excel!B"&amp;$I51&amp;":T"&amp;$I51&amp;""),1,MATCH(TEXT(E51,0),INDIRECT("数出表_Excel!B"&amp;$I51&amp;":T"&amp;$I51&amp;""),0))),""),4),"1",""),
"")
&amp;"3"),"*赤*")),
INDIRECT("数出表_Excel!"&amp;
IFERROR(
SUBSTITUTE(ADDRESS(1,
IFERROR(COLUMN(INDEX(INDIRECT("数出表_Excel!B"&amp;$I51&amp;":T"&amp;$I51&amp;""),1,MATCH(TEXT(E51,0),INDIRECT("数出表_Excel!B"&amp;$I51&amp;":T"&amp;$I51&amp;""),0))),""),4),"1",""),
"")
&amp;"3")
&amp;"　"&amp;INDIRECT("数出表_Excel!"&amp;
IFERROR(
SUBSTITUTE(ADDRESS(1,
IFERROR(COLUMN(INDEX(INDIRECT("数出表_Excel!B"&amp;$I51&amp;":T"&amp;$I51&amp;""),1,MATCH(TEXT(E51,0),INDIRECT("数出表_Excel!B"&amp;$I51&amp;":T"&amp;$I51&amp;""),0))),""),4),"1",""),
"")
&amp;"4")
&amp;INDIRECT("数出表_Excel!"&amp;
IFERROR(
SUBSTITUTE(ADDRESS(1,
IFERROR(COLUMN(INDEX(INDIRECT("数出表_Excel!B"&amp;$I51&amp;":T"&amp;$I51&amp;""),1,MATCH(TEXT(E51,0),INDIRECT("数出表_Excel!B"&amp;$I51&amp;":T"&amp;$I51&amp;""),0))),""),4),"1",""),
"")
&amp;"5"),
INDIRECT("数出表_Excel!"&amp;
IFERROR(
SUBSTITUTE(ADDRESS(1,
IFERROR(COLUMN(INDEX(INDIRECT("数出表_Excel!B"&amp;$I51&amp;":T"&amp;$I51&amp;""),1,MATCH(TEXT(E51,0),INDIRECT("数出表_Excel!B"&amp;$I51&amp;":T"&amp;$I51&amp;""),0))),""),4),"1",""),
"")
&amp;"3")),"")</f>
        <v/>
      </c>
      <c r="N51" t="str" cm="1">
        <f t="array" aca="1" ref="N51" ca="1">IFERROR(IF(OR(COUNTIF(INDIRECT("数出表_Excel!"&amp;
IFERROR(
SUBSTITUTE(ADDRESS(1,
IFERROR(COLUMN(INDEX(INDIRECT("数出表_Excel!B"&amp;$I51&amp;":T"&amp;$I51&amp;""),1,MATCH(TEXT(F51,0),INDIRECT("数出表_Excel!B"&amp;$I51&amp;":T"&amp;$I51&amp;""),0))),""),4),"1",""),
"")
&amp;"3"),"*キャラ*"),
COUNTIF(INDIRECT("数出表_Excel!"&amp;
IFERROR(
SUBSTITUTE(ADDRESS(1,
IFERROR(COLUMN(INDEX(INDIRECT("数出表_Excel!B"&amp;$I51&amp;":T"&amp;$I51&amp;""),1,MATCH(TEXT(F51,0),INDIRECT("数出表_Excel!B"&amp;$I51&amp;":T"&amp;$I51&amp;""),0))),""),4),"1",""),
"")
&amp;"3"),"*赤*")),
INDIRECT("数出表_Excel!"&amp;
IFERROR(
SUBSTITUTE(ADDRESS(1,
IFERROR(COLUMN(INDEX(INDIRECT("数出表_Excel!B"&amp;$I51&amp;":T"&amp;$I51&amp;""),1,MATCH(TEXT(F51,0),INDIRECT("数出表_Excel!B"&amp;$I51&amp;":T"&amp;$I51&amp;""),0))),""),4),"1",""),
"")
&amp;"3")
&amp;"　"&amp;INDIRECT("数出表_Excel!"&amp;
IFERROR(
SUBSTITUTE(ADDRESS(1,
IFERROR(COLUMN(INDEX(INDIRECT("数出表_Excel!B"&amp;$I51&amp;":T"&amp;$I51&amp;""),1,MATCH(TEXT(F51,0),INDIRECT("数出表_Excel!B"&amp;$I51&amp;":T"&amp;$I51&amp;""),0))),""),4),"1",""),
"")
&amp;"4")
&amp;INDIRECT("数出表_Excel!"&amp;
IFERROR(
SUBSTITUTE(ADDRESS(1,
IFERROR(COLUMN(INDEX(INDIRECT("数出表_Excel!B"&amp;$I51&amp;":T"&amp;$I51&amp;""),1,MATCH(TEXT(F51,0),INDIRECT("数出表_Excel!B"&amp;$I51&amp;":T"&amp;$I51&amp;""),0))),""),4),"1",""),
"")
&amp;"5"),
INDIRECT("数出表_Excel!"&amp;
IFERROR(
SUBSTITUTE(ADDRESS(1,
IFERROR(COLUMN(INDEX(INDIRECT("数出表_Excel!B"&amp;$I51&amp;":T"&amp;$I51&amp;""),1,MATCH(TEXT(F51,0),INDIRECT("数出表_Excel!B"&amp;$I51&amp;":T"&amp;$I51&amp;""),0))),""),4),"1",""),
"")
&amp;"3")),"")</f>
        <v/>
      </c>
      <c r="O51" t="str" cm="1">
        <f t="array" aca="1" ref="O51" ca="1">IFERROR(IF(OR(COUNTIF(INDIRECT("数出表_Excel!"&amp;
IFERROR(
SUBSTITUTE(ADDRESS(1,
IFERROR(COLUMN(INDEX(INDIRECT("数出表_Excel!B"&amp;$I51&amp;":T"&amp;$I51&amp;""),1,MATCH(TEXT(G51,0),INDIRECT("数出表_Excel!B"&amp;$I51&amp;":T"&amp;$I51&amp;""),0))),""),4),"1",""),
"")
&amp;"3"),"*キャラ*"),
COUNTIF(INDIRECT("数出表_Excel!"&amp;
IFERROR(
SUBSTITUTE(ADDRESS(1,
IFERROR(COLUMN(INDEX(INDIRECT("数出表_Excel!B"&amp;$I51&amp;":T"&amp;$I51&amp;""),1,MATCH(TEXT(G51,0),INDIRECT("数出表_Excel!B"&amp;$I51&amp;":T"&amp;$I51&amp;""),0))),""),4),"1",""),
"")
&amp;"3"),"*赤*")),
INDIRECT("数出表_Excel!"&amp;
IFERROR(
SUBSTITUTE(ADDRESS(1,
IFERROR(COLUMN(INDEX(INDIRECT("数出表_Excel!B"&amp;$I51&amp;":T"&amp;$I51&amp;""),1,MATCH(TEXT(G51,0),INDIRECT("数出表_Excel!B"&amp;$I51&amp;":T"&amp;$I51&amp;""),0))),""),4),"1",""),
"")
&amp;"3")
&amp;"　"&amp;INDIRECT("数出表_Excel!"&amp;
IFERROR(
SUBSTITUTE(ADDRESS(1,
IFERROR(COLUMN(INDEX(INDIRECT("数出表_Excel!B"&amp;$I51&amp;":T"&amp;$I51&amp;""),1,MATCH(TEXT(G51,0),INDIRECT("数出表_Excel!B"&amp;$I51&amp;":T"&amp;$I51&amp;""),0))),""),4),"1",""),
"")
&amp;"4")
&amp;INDIRECT("数出表_Excel!"&amp;
IFERROR(
SUBSTITUTE(ADDRESS(1,
IFERROR(COLUMN(INDEX(INDIRECT("数出表_Excel!B"&amp;$I51&amp;":T"&amp;$I51&amp;""),1,MATCH(TEXT(G51,0),INDIRECT("数出表_Excel!B"&amp;$I51&amp;":T"&amp;$I51&amp;""),0))),""),4),"1",""),
"")
&amp;"5"),
INDIRECT("数出表_Excel!"&amp;
IFERROR(
SUBSTITUTE(ADDRESS(1,
IFERROR(COLUMN(INDEX(INDIRECT("数出表_Excel!B"&amp;$I51&amp;":T"&amp;$I51&amp;""),1,MATCH(TEXT(G51,0),INDIRECT("数出表_Excel!B"&amp;$I51&amp;":T"&amp;$I51&amp;""),0))),""),4),"1",""),
"")
&amp;"3")),"")</f>
        <v/>
      </c>
    </row>
    <row r="52" spans="9:15">
      <c r="I52" t="str">
        <f>IF(A52&lt;&gt;"",MATCH(A52,数出表_Excel!A:A,0),"")</f>
        <v/>
      </c>
      <c r="J52" t="str" cm="1">
        <f t="array" aca="1" ref="J52" ca="1">IFERROR(IF(OR(COUNTIF(INDIRECT("数出表_Excel!"&amp;
IFERROR(
SUBSTITUTE(ADDRESS(1,
IFERROR(COLUMN(INDEX(INDIRECT("数出表_Excel!B"&amp;$I52-1&amp;":T"&amp;$I52-1&amp;""),1,MATCH(TEXT(B52,0),INDIRECT("数出表_Excel!B"&amp;$I52-1&amp;":T"&amp;$I52-1&amp;""),0))),""),4),"1",""),
"")
&amp;"3"),"*キャラ*"),
COUNTIF(INDIRECT("数出表_Excel!"&amp;
IFERROR(
SUBSTITUTE(ADDRESS(1,
IFERROR(COLUMN(INDEX(INDIRECT("数出表_Excel!B"&amp;$I52-1&amp;":T"&amp;$I52-1&amp;""),1,MATCH(TEXT(B52,0),INDIRECT("数出表_Excel!B"&amp;$I52-1&amp;":T"&amp;$I52-1&amp;""),0))),""),4),"1",""),
"")
&amp;"3"),"*赤*")),
INDIRECT("数出表_Excel!"&amp;
IFERROR(
SUBSTITUTE(ADDRESS(1,
IFERROR(COLUMN(INDEX(INDIRECT("数出表_Excel!B"&amp;$I52-1&amp;":T"&amp;$I52-1&amp;""),1,MATCH(TEXT(B52,0),INDIRECT("数出表_Excel!B"&amp;$I52-1&amp;":T"&amp;$I52-1&amp;""),0))),""),4),"1",""),
"")
&amp;"3")
&amp;"　"&amp;INDIRECT("数出表_Excel!"&amp;
IFERROR(
SUBSTITUTE(ADDRESS(1,
IFERROR(COLUMN(INDEX(INDIRECT("数出表_Excel!B"&amp;$I52-1&amp;":T"&amp;$I52-1&amp;""),1,MATCH(TEXT(B52,0),INDIRECT("数出表_Excel!B"&amp;$I52-1&amp;":T"&amp;$I52-1&amp;""),0))),""),4),"1",""),
"")
&amp;"4")
&amp;INDIRECT("数出表_Excel!"&amp;
IFERROR(
SUBSTITUTE(ADDRESS(1,
IFERROR(COLUMN(INDEX(INDIRECT("数出表_Excel!B"&amp;$I52-1&amp;":T"&amp;$I52-1&amp;""),1,MATCH(TEXT(B52,0),INDIRECT("数出表_Excel!B"&amp;$I52-1&amp;":T"&amp;$I52-1&amp;""),0))),""),4),"1",""),
"")
&amp;"5"),
INDIRECT("数出表_Excel!"&amp;
IFERROR(
SUBSTITUTE(ADDRESS(1,
IFERROR(COLUMN(INDEX(INDIRECT("数出表_Excel!B"&amp;$I52-1&amp;":T"&amp;$I52-1&amp;""),1,MATCH(TEXT(B52,0),INDIRECT("数出表_Excel!B"&amp;$I52-1&amp;":T"&amp;$I52-1&amp;""),0))),""),4),"1",""),
"")
&amp;"3")),"")</f>
        <v/>
      </c>
      <c r="K52" t="str" cm="1">
        <f t="array" aca="1" ref="K52" ca="1">IFERROR(IF(OR(COUNTIF(INDIRECT("数出表_Excel!"&amp;
IFERROR(
SUBSTITUTE(ADDRESS(1,
IFERROR(COLUMN(INDEX(INDIRECT("数出表_Excel!B"&amp;$I52-1&amp;":T"&amp;$I52-1&amp;""),1,MATCH(TEXT(C52,0),INDIRECT("数出表_Excel!B"&amp;$I52-1&amp;":T"&amp;$I52-1&amp;""),0))),""),4),"1",""),
"")
&amp;"3"),"*キャラ*"),
COUNTIF(INDIRECT("数出表_Excel!"&amp;
IFERROR(
SUBSTITUTE(ADDRESS(1,
IFERROR(COLUMN(INDEX(INDIRECT("数出表_Excel!B"&amp;$I52-1&amp;":T"&amp;$I52-1&amp;""),1,MATCH(TEXT(C52,0),INDIRECT("数出表_Excel!B"&amp;$I52-1&amp;":T"&amp;$I52-1&amp;""),0))),""),4),"1",""),
"")
&amp;"3"),"*赤*")),
INDIRECT("数出表_Excel!"&amp;
IFERROR(
SUBSTITUTE(ADDRESS(1,
IFERROR(COLUMN(INDEX(INDIRECT("数出表_Excel!B"&amp;$I52-1&amp;":T"&amp;$I52-1&amp;""),1,MATCH(TEXT(C52,0),INDIRECT("数出表_Excel!B"&amp;$I52-1&amp;":T"&amp;$I52-1&amp;""),0))),""),4),"1",""),
"")
&amp;"3")
&amp;"　"&amp;INDIRECT("数出表_Excel!"&amp;
IFERROR(
SUBSTITUTE(ADDRESS(1,
IFERROR(COLUMN(INDEX(INDIRECT("数出表_Excel!B"&amp;$I52-1&amp;":T"&amp;$I52-1&amp;""),1,MATCH(TEXT(C52,0),INDIRECT("数出表_Excel!B"&amp;$I52-1&amp;":T"&amp;$I52-1&amp;""),0))),""),4),"1",""),
"")
&amp;"4")
&amp;INDIRECT("数出表_Excel!"&amp;
IFERROR(
SUBSTITUTE(ADDRESS(1,
IFERROR(COLUMN(INDEX(INDIRECT("数出表_Excel!B"&amp;$I52-1&amp;":T"&amp;$I52-1&amp;""),1,MATCH(TEXT(C52,0),INDIRECT("数出表_Excel!B"&amp;$I52-1&amp;":T"&amp;$I52-1&amp;""),0))),""),4),"1",""),
"")
&amp;"5"),
INDIRECT("数出表_Excel!"&amp;
IFERROR(
SUBSTITUTE(ADDRESS(1,
IFERROR(COLUMN(INDEX(INDIRECT("数出表_Excel!B"&amp;$I52-1&amp;":T"&amp;$I52-1&amp;""),1,MATCH(TEXT(C52,0),INDIRECT("数出表_Excel!B"&amp;$I52-1&amp;":T"&amp;$I52-1&amp;""),0))),""),4),"1",""),
"")
&amp;"3")),"")</f>
        <v/>
      </c>
      <c r="L52" t="str" cm="1">
        <f t="array" aca="1" ref="L52" ca="1">IFERROR(IF(OR(COUNTIF(INDIRECT("数出表_Excel!"&amp;
IFERROR(
SUBSTITUTE(ADDRESS(1,
IFERROR(COLUMN(INDEX(INDIRECT("数出表_Excel!B"&amp;$I52-1&amp;":T"&amp;$I52-1&amp;""),1,MATCH(TEXT(D52,0),INDIRECT("数出表_Excel!B"&amp;$I52-1&amp;":T"&amp;$I52-1&amp;""),0))),""),4),"1",""),
"")
&amp;"3"),"*キャラ*"),
COUNTIF(INDIRECT("数出表_Excel!"&amp;
IFERROR(
SUBSTITUTE(ADDRESS(1,
IFERROR(COLUMN(INDEX(INDIRECT("数出表_Excel!B"&amp;$I52-1&amp;":T"&amp;$I52-1&amp;""),1,MATCH(TEXT(D52,0),INDIRECT("数出表_Excel!B"&amp;$I52-1&amp;":T"&amp;$I52-1&amp;""),0))),""),4),"1",""),
"")
&amp;"3"),"*赤*")),
INDIRECT("数出表_Excel!"&amp;
IFERROR(
SUBSTITUTE(ADDRESS(1,
IFERROR(COLUMN(INDEX(INDIRECT("数出表_Excel!B"&amp;$I52-1&amp;":T"&amp;$I52-1&amp;""),1,MATCH(TEXT(D52,0),INDIRECT("数出表_Excel!B"&amp;$I52-1&amp;":T"&amp;$I52-1&amp;""),0))),""),4),"1",""),
"")
&amp;"3")
&amp;"　"&amp;INDIRECT("数出表_Excel!"&amp;
IFERROR(
SUBSTITUTE(ADDRESS(1,
IFERROR(COLUMN(INDEX(INDIRECT("数出表_Excel!B"&amp;$I52-1&amp;":T"&amp;$I52-1&amp;""),1,MATCH(TEXT(D52,0),INDIRECT("数出表_Excel!B"&amp;$I52-1&amp;":T"&amp;$I52-1&amp;""),0))),""),4),"1",""),
"")
&amp;"4")
&amp;INDIRECT("数出表_Excel!"&amp;
IFERROR(
SUBSTITUTE(ADDRESS(1,
IFERROR(COLUMN(INDEX(INDIRECT("数出表_Excel!B"&amp;$I52-1&amp;":T"&amp;$I52-1&amp;""),1,MATCH(TEXT(D52,0),INDIRECT("数出表_Excel!B"&amp;$I52-1&amp;":T"&amp;$I52-1&amp;""),0))),""),4),"1",""),
"")
&amp;"5"),
INDIRECT("数出表_Excel!"&amp;
IFERROR(
SUBSTITUTE(ADDRESS(1,
IFERROR(COLUMN(INDEX(INDIRECT("数出表_Excel!B"&amp;$I52-1&amp;":T"&amp;$I52-1&amp;""),1,MATCH(TEXT(D52,0),INDIRECT("数出表_Excel!B"&amp;$I52-1&amp;":T"&amp;$I52-1&amp;""),0))),""),4),"1",""),
"")
&amp;"3")),"")</f>
        <v/>
      </c>
      <c r="M52" t="str" cm="1">
        <f t="array" aca="1" ref="M52" ca="1">IFERROR(IF(OR(COUNTIF(INDIRECT("数出表_Excel!"&amp;
IFERROR(
SUBSTITUTE(ADDRESS(1,
IFERROR(COLUMN(INDEX(INDIRECT("数出表_Excel!B"&amp;$I52&amp;":T"&amp;$I52&amp;""),1,MATCH(TEXT(E52,0),INDIRECT("数出表_Excel!B"&amp;$I52&amp;":T"&amp;$I52&amp;""),0))),""),4),"1",""),
"")
&amp;"3"),"*キャラ*"),
COUNTIF(INDIRECT("数出表_Excel!"&amp;
IFERROR(
SUBSTITUTE(ADDRESS(1,
IFERROR(COLUMN(INDEX(INDIRECT("数出表_Excel!B"&amp;$I52&amp;":T"&amp;$I52&amp;""),1,MATCH(TEXT(E52,0),INDIRECT("数出表_Excel!B"&amp;$I52&amp;":T"&amp;$I52&amp;""),0))),""),4),"1",""),
"")
&amp;"3"),"*赤*")),
INDIRECT("数出表_Excel!"&amp;
IFERROR(
SUBSTITUTE(ADDRESS(1,
IFERROR(COLUMN(INDEX(INDIRECT("数出表_Excel!B"&amp;$I52&amp;":T"&amp;$I52&amp;""),1,MATCH(TEXT(E52,0),INDIRECT("数出表_Excel!B"&amp;$I52&amp;":T"&amp;$I52&amp;""),0))),""),4),"1",""),
"")
&amp;"3")
&amp;"　"&amp;INDIRECT("数出表_Excel!"&amp;
IFERROR(
SUBSTITUTE(ADDRESS(1,
IFERROR(COLUMN(INDEX(INDIRECT("数出表_Excel!B"&amp;$I52&amp;":T"&amp;$I52&amp;""),1,MATCH(TEXT(E52,0),INDIRECT("数出表_Excel!B"&amp;$I52&amp;":T"&amp;$I52&amp;""),0))),""),4),"1",""),
"")
&amp;"4")
&amp;INDIRECT("数出表_Excel!"&amp;
IFERROR(
SUBSTITUTE(ADDRESS(1,
IFERROR(COLUMN(INDEX(INDIRECT("数出表_Excel!B"&amp;$I52&amp;":T"&amp;$I52&amp;""),1,MATCH(TEXT(E52,0),INDIRECT("数出表_Excel!B"&amp;$I52&amp;":T"&amp;$I52&amp;""),0))),""),4),"1",""),
"")
&amp;"5"),
INDIRECT("数出表_Excel!"&amp;
IFERROR(
SUBSTITUTE(ADDRESS(1,
IFERROR(COLUMN(INDEX(INDIRECT("数出表_Excel!B"&amp;$I52&amp;":T"&amp;$I52&amp;""),1,MATCH(TEXT(E52,0),INDIRECT("数出表_Excel!B"&amp;$I52&amp;":T"&amp;$I52&amp;""),0))),""),4),"1",""),
"")
&amp;"3")),"")</f>
        <v/>
      </c>
      <c r="N52" t="str" cm="1">
        <f t="array" aca="1" ref="N52" ca="1">IFERROR(IF(OR(COUNTIF(INDIRECT("数出表_Excel!"&amp;
IFERROR(
SUBSTITUTE(ADDRESS(1,
IFERROR(COLUMN(INDEX(INDIRECT("数出表_Excel!B"&amp;$I52&amp;":T"&amp;$I52&amp;""),1,MATCH(TEXT(F52,0),INDIRECT("数出表_Excel!B"&amp;$I52&amp;":T"&amp;$I52&amp;""),0))),""),4),"1",""),
"")
&amp;"3"),"*キャラ*"),
COUNTIF(INDIRECT("数出表_Excel!"&amp;
IFERROR(
SUBSTITUTE(ADDRESS(1,
IFERROR(COLUMN(INDEX(INDIRECT("数出表_Excel!B"&amp;$I52&amp;":T"&amp;$I52&amp;""),1,MATCH(TEXT(F52,0),INDIRECT("数出表_Excel!B"&amp;$I52&amp;":T"&amp;$I52&amp;""),0))),""),4),"1",""),
"")
&amp;"3"),"*赤*")),
INDIRECT("数出表_Excel!"&amp;
IFERROR(
SUBSTITUTE(ADDRESS(1,
IFERROR(COLUMN(INDEX(INDIRECT("数出表_Excel!B"&amp;$I52&amp;":T"&amp;$I52&amp;""),1,MATCH(TEXT(F52,0),INDIRECT("数出表_Excel!B"&amp;$I52&amp;":T"&amp;$I52&amp;""),0))),""),4),"1",""),
"")
&amp;"3")
&amp;"　"&amp;INDIRECT("数出表_Excel!"&amp;
IFERROR(
SUBSTITUTE(ADDRESS(1,
IFERROR(COLUMN(INDEX(INDIRECT("数出表_Excel!B"&amp;$I52&amp;":T"&amp;$I52&amp;""),1,MATCH(TEXT(F52,0),INDIRECT("数出表_Excel!B"&amp;$I52&amp;":T"&amp;$I52&amp;""),0))),""),4),"1",""),
"")
&amp;"4")
&amp;INDIRECT("数出表_Excel!"&amp;
IFERROR(
SUBSTITUTE(ADDRESS(1,
IFERROR(COLUMN(INDEX(INDIRECT("数出表_Excel!B"&amp;$I52&amp;":T"&amp;$I52&amp;""),1,MATCH(TEXT(F52,0),INDIRECT("数出表_Excel!B"&amp;$I52&amp;":T"&amp;$I52&amp;""),0))),""),4),"1",""),
"")
&amp;"5"),
INDIRECT("数出表_Excel!"&amp;
IFERROR(
SUBSTITUTE(ADDRESS(1,
IFERROR(COLUMN(INDEX(INDIRECT("数出表_Excel!B"&amp;$I52&amp;":T"&amp;$I52&amp;""),1,MATCH(TEXT(F52,0),INDIRECT("数出表_Excel!B"&amp;$I52&amp;":T"&amp;$I52&amp;""),0))),""),4),"1",""),
"")
&amp;"3")),"")</f>
        <v/>
      </c>
      <c r="O52" t="str" cm="1">
        <f t="array" aca="1" ref="O52" ca="1">IFERROR(IF(OR(COUNTIF(INDIRECT("数出表_Excel!"&amp;
IFERROR(
SUBSTITUTE(ADDRESS(1,
IFERROR(COLUMN(INDEX(INDIRECT("数出表_Excel!B"&amp;$I52&amp;":T"&amp;$I52&amp;""),1,MATCH(TEXT(G52,0),INDIRECT("数出表_Excel!B"&amp;$I52&amp;":T"&amp;$I52&amp;""),0))),""),4),"1",""),
"")
&amp;"3"),"*キャラ*"),
COUNTIF(INDIRECT("数出表_Excel!"&amp;
IFERROR(
SUBSTITUTE(ADDRESS(1,
IFERROR(COLUMN(INDEX(INDIRECT("数出表_Excel!B"&amp;$I52&amp;":T"&amp;$I52&amp;""),1,MATCH(TEXT(G52,0),INDIRECT("数出表_Excel!B"&amp;$I52&amp;":T"&amp;$I52&amp;""),0))),""),4),"1",""),
"")
&amp;"3"),"*赤*")),
INDIRECT("数出表_Excel!"&amp;
IFERROR(
SUBSTITUTE(ADDRESS(1,
IFERROR(COLUMN(INDEX(INDIRECT("数出表_Excel!B"&amp;$I52&amp;":T"&amp;$I52&amp;""),1,MATCH(TEXT(G52,0),INDIRECT("数出表_Excel!B"&amp;$I52&amp;":T"&amp;$I52&amp;""),0))),""),4),"1",""),
"")
&amp;"3")
&amp;"　"&amp;INDIRECT("数出表_Excel!"&amp;
IFERROR(
SUBSTITUTE(ADDRESS(1,
IFERROR(COLUMN(INDEX(INDIRECT("数出表_Excel!B"&amp;$I52&amp;":T"&amp;$I52&amp;""),1,MATCH(TEXT(G52,0),INDIRECT("数出表_Excel!B"&amp;$I52&amp;":T"&amp;$I52&amp;""),0))),""),4),"1",""),
"")
&amp;"4")
&amp;INDIRECT("数出表_Excel!"&amp;
IFERROR(
SUBSTITUTE(ADDRESS(1,
IFERROR(COLUMN(INDEX(INDIRECT("数出表_Excel!B"&amp;$I52&amp;":T"&amp;$I52&amp;""),1,MATCH(TEXT(G52,0),INDIRECT("数出表_Excel!B"&amp;$I52&amp;":T"&amp;$I52&amp;""),0))),""),4),"1",""),
"")
&amp;"5"),
INDIRECT("数出表_Excel!"&amp;
IFERROR(
SUBSTITUTE(ADDRESS(1,
IFERROR(COLUMN(INDEX(INDIRECT("数出表_Excel!B"&amp;$I52&amp;":T"&amp;$I52&amp;""),1,MATCH(TEXT(G52,0),INDIRECT("数出表_Excel!B"&amp;$I52&amp;":T"&amp;$I52&amp;""),0))),""),4),"1",""),
"")
&amp;"3")),"")</f>
        <v/>
      </c>
    </row>
    <row r="53" spans="9:15">
      <c r="I53" t="str">
        <f>IF(A53&lt;&gt;"",MATCH(A53,数出表_Excel!A:A,0),"")</f>
        <v/>
      </c>
      <c r="J53" t="str" cm="1">
        <f t="array" aca="1" ref="J53" ca="1">IFERROR(IF(OR(COUNTIF(INDIRECT("数出表_Excel!"&amp;
IFERROR(
SUBSTITUTE(ADDRESS(1,
IFERROR(COLUMN(INDEX(INDIRECT("数出表_Excel!B"&amp;$I53-1&amp;":T"&amp;$I53-1&amp;""),1,MATCH(TEXT(B53,0),INDIRECT("数出表_Excel!B"&amp;$I53-1&amp;":T"&amp;$I53-1&amp;""),0))),""),4),"1",""),
"")
&amp;"3"),"*キャラ*"),
COUNTIF(INDIRECT("数出表_Excel!"&amp;
IFERROR(
SUBSTITUTE(ADDRESS(1,
IFERROR(COLUMN(INDEX(INDIRECT("数出表_Excel!B"&amp;$I53-1&amp;":T"&amp;$I53-1&amp;""),1,MATCH(TEXT(B53,0),INDIRECT("数出表_Excel!B"&amp;$I53-1&amp;":T"&amp;$I53-1&amp;""),0))),""),4),"1",""),
"")
&amp;"3"),"*赤*")),
INDIRECT("数出表_Excel!"&amp;
IFERROR(
SUBSTITUTE(ADDRESS(1,
IFERROR(COLUMN(INDEX(INDIRECT("数出表_Excel!B"&amp;$I53-1&amp;":T"&amp;$I53-1&amp;""),1,MATCH(TEXT(B53,0),INDIRECT("数出表_Excel!B"&amp;$I53-1&amp;":T"&amp;$I53-1&amp;""),0))),""),4),"1",""),
"")
&amp;"3")
&amp;"　"&amp;INDIRECT("数出表_Excel!"&amp;
IFERROR(
SUBSTITUTE(ADDRESS(1,
IFERROR(COLUMN(INDEX(INDIRECT("数出表_Excel!B"&amp;$I53-1&amp;":T"&amp;$I53-1&amp;""),1,MATCH(TEXT(B53,0),INDIRECT("数出表_Excel!B"&amp;$I53-1&amp;":T"&amp;$I53-1&amp;""),0))),""),4),"1",""),
"")
&amp;"4")
&amp;INDIRECT("数出表_Excel!"&amp;
IFERROR(
SUBSTITUTE(ADDRESS(1,
IFERROR(COLUMN(INDEX(INDIRECT("数出表_Excel!B"&amp;$I53-1&amp;":T"&amp;$I53-1&amp;""),1,MATCH(TEXT(B53,0),INDIRECT("数出表_Excel!B"&amp;$I53-1&amp;":T"&amp;$I53-1&amp;""),0))),""),4),"1",""),
"")
&amp;"5"),
INDIRECT("数出表_Excel!"&amp;
IFERROR(
SUBSTITUTE(ADDRESS(1,
IFERROR(COLUMN(INDEX(INDIRECT("数出表_Excel!B"&amp;$I53-1&amp;":T"&amp;$I53-1&amp;""),1,MATCH(TEXT(B53,0),INDIRECT("数出表_Excel!B"&amp;$I53-1&amp;":T"&amp;$I53-1&amp;""),0))),""),4),"1",""),
"")
&amp;"3")),"")</f>
        <v/>
      </c>
      <c r="K53" t="str" cm="1">
        <f t="array" aca="1" ref="K53" ca="1">IFERROR(IF(OR(COUNTIF(INDIRECT("数出表_Excel!"&amp;
IFERROR(
SUBSTITUTE(ADDRESS(1,
IFERROR(COLUMN(INDEX(INDIRECT("数出表_Excel!B"&amp;$I53-1&amp;":T"&amp;$I53-1&amp;""),1,MATCH(TEXT(C53,0),INDIRECT("数出表_Excel!B"&amp;$I53-1&amp;":T"&amp;$I53-1&amp;""),0))),""),4),"1",""),
"")
&amp;"3"),"*キャラ*"),
COUNTIF(INDIRECT("数出表_Excel!"&amp;
IFERROR(
SUBSTITUTE(ADDRESS(1,
IFERROR(COLUMN(INDEX(INDIRECT("数出表_Excel!B"&amp;$I53-1&amp;":T"&amp;$I53-1&amp;""),1,MATCH(TEXT(C53,0),INDIRECT("数出表_Excel!B"&amp;$I53-1&amp;":T"&amp;$I53-1&amp;""),0))),""),4),"1",""),
"")
&amp;"3"),"*赤*")),
INDIRECT("数出表_Excel!"&amp;
IFERROR(
SUBSTITUTE(ADDRESS(1,
IFERROR(COLUMN(INDEX(INDIRECT("数出表_Excel!B"&amp;$I53-1&amp;":T"&amp;$I53-1&amp;""),1,MATCH(TEXT(C53,0),INDIRECT("数出表_Excel!B"&amp;$I53-1&amp;":T"&amp;$I53-1&amp;""),0))),""),4),"1",""),
"")
&amp;"3")
&amp;"　"&amp;INDIRECT("数出表_Excel!"&amp;
IFERROR(
SUBSTITUTE(ADDRESS(1,
IFERROR(COLUMN(INDEX(INDIRECT("数出表_Excel!B"&amp;$I53-1&amp;":T"&amp;$I53-1&amp;""),1,MATCH(TEXT(C53,0),INDIRECT("数出表_Excel!B"&amp;$I53-1&amp;":T"&amp;$I53-1&amp;""),0))),""),4),"1",""),
"")
&amp;"4")
&amp;INDIRECT("数出表_Excel!"&amp;
IFERROR(
SUBSTITUTE(ADDRESS(1,
IFERROR(COLUMN(INDEX(INDIRECT("数出表_Excel!B"&amp;$I53-1&amp;":T"&amp;$I53-1&amp;""),1,MATCH(TEXT(C53,0),INDIRECT("数出表_Excel!B"&amp;$I53-1&amp;":T"&amp;$I53-1&amp;""),0))),""),4),"1",""),
"")
&amp;"5"),
INDIRECT("数出表_Excel!"&amp;
IFERROR(
SUBSTITUTE(ADDRESS(1,
IFERROR(COLUMN(INDEX(INDIRECT("数出表_Excel!B"&amp;$I53-1&amp;":T"&amp;$I53-1&amp;""),1,MATCH(TEXT(C53,0),INDIRECT("数出表_Excel!B"&amp;$I53-1&amp;":T"&amp;$I53-1&amp;""),0))),""),4),"1",""),
"")
&amp;"3")),"")</f>
        <v/>
      </c>
      <c r="L53" t="str" cm="1">
        <f t="array" aca="1" ref="L53" ca="1">IFERROR(IF(OR(COUNTIF(INDIRECT("数出表_Excel!"&amp;
IFERROR(
SUBSTITUTE(ADDRESS(1,
IFERROR(COLUMN(INDEX(INDIRECT("数出表_Excel!B"&amp;$I53-1&amp;":T"&amp;$I53-1&amp;""),1,MATCH(TEXT(D53,0),INDIRECT("数出表_Excel!B"&amp;$I53-1&amp;":T"&amp;$I53-1&amp;""),0))),""),4),"1",""),
"")
&amp;"3"),"*キャラ*"),
COUNTIF(INDIRECT("数出表_Excel!"&amp;
IFERROR(
SUBSTITUTE(ADDRESS(1,
IFERROR(COLUMN(INDEX(INDIRECT("数出表_Excel!B"&amp;$I53-1&amp;":T"&amp;$I53-1&amp;""),1,MATCH(TEXT(D53,0),INDIRECT("数出表_Excel!B"&amp;$I53-1&amp;":T"&amp;$I53-1&amp;""),0))),""),4),"1",""),
"")
&amp;"3"),"*赤*")),
INDIRECT("数出表_Excel!"&amp;
IFERROR(
SUBSTITUTE(ADDRESS(1,
IFERROR(COLUMN(INDEX(INDIRECT("数出表_Excel!B"&amp;$I53-1&amp;":T"&amp;$I53-1&amp;""),1,MATCH(TEXT(D53,0),INDIRECT("数出表_Excel!B"&amp;$I53-1&amp;":T"&amp;$I53-1&amp;""),0))),""),4),"1",""),
"")
&amp;"3")
&amp;"　"&amp;INDIRECT("数出表_Excel!"&amp;
IFERROR(
SUBSTITUTE(ADDRESS(1,
IFERROR(COLUMN(INDEX(INDIRECT("数出表_Excel!B"&amp;$I53-1&amp;":T"&amp;$I53-1&amp;""),1,MATCH(TEXT(D53,0),INDIRECT("数出表_Excel!B"&amp;$I53-1&amp;":T"&amp;$I53-1&amp;""),0))),""),4),"1",""),
"")
&amp;"4")
&amp;INDIRECT("数出表_Excel!"&amp;
IFERROR(
SUBSTITUTE(ADDRESS(1,
IFERROR(COLUMN(INDEX(INDIRECT("数出表_Excel!B"&amp;$I53-1&amp;":T"&amp;$I53-1&amp;""),1,MATCH(TEXT(D53,0),INDIRECT("数出表_Excel!B"&amp;$I53-1&amp;":T"&amp;$I53-1&amp;""),0))),""),4),"1",""),
"")
&amp;"5"),
INDIRECT("数出表_Excel!"&amp;
IFERROR(
SUBSTITUTE(ADDRESS(1,
IFERROR(COLUMN(INDEX(INDIRECT("数出表_Excel!B"&amp;$I53-1&amp;":T"&amp;$I53-1&amp;""),1,MATCH(TEXT(D53,0),INDIRECT("数出表_Excel!B"&amp;$I53-1&amp;":T"&amp;$I53-1&amp;""),0))),""),4),"1",""),
"")
&amp;"3")),"")</f>
        <v/>
      </c>
      <c r="M53" t="str" cm="1">
        <f t="array" aca="1" ref="M53" ca="1">IFERROR(IF(OR(COUNTIF(INDIRECT("数出表_Excel!"&amp;
IFERROR(
SUBSTITUTE(ADDRESS(1,
IFERROR(COLUMN(INDEX(INDIRECT("数出表_Excel!B"&amp;$I53&amp;":T"&amp;$I53&amp;""),1,MATCH(TEXT(E53,0),INDIRECT("数出表_Excel!B"&amp;$I53&amp;":T"&amp;$I53&amp;""),0))),""),4),"1",""),
"")
&amp;"3"),"*キャラ*"),
COUNTIF(INDIRECT("数出表_Excel!"&amp;
IFERROR(
SUBSTITUTE(ADDRESS(1,
IFERROR(COLUMN(INDEX(INDIRECT("数出表_Excel!B"&amp;$I53&amp;":T"&amp;$I53&amp;""),1,MATCH(TEXT(E53,0),INDIRECT("数出表_Excel!B"&amp;$I53&amp;":T"&amp;$I53&amp;""),0))),""),4),"1",""),
"")
&amp;"3"),"*赤*")),
INDIRECT("数出表_Excel!"&amp;
IFERROR(
SUBSTITUTE(ADDRESS(1,
IFERROR(COLUMN(INDEX(INDIRECT("数出表_Excel!B"&amp;$I53&amp;":T"&amp;$I53&amp;""),1,MATCH(TEXT(E53,0),INDIRECT("数出表_Excel!B"&amp;$I53&amp;":T"&amp;$I53&amp;""),0))),""),4),"1",""),
"")
&amp;"3")
&amp;"　"&amp;INDIRECT("数出表_Excel!"&amp;
IFERROR(
SUBSTITUTE(ADDRESS(1,
IFERROR(COLUMN(INDEX(INDIRECT("数出表_Excel!B"&amp;$I53&amp;":T"&amp;$I53&amp;""),1,MATCH(TEXT(E53,0),INDIRECT("数出表_Excel!B"&amp;$I53&amp;":T"&amp;$I53&amp;""),0))),""),4),"1",""),
"")
&amp;"4")
&amp;INDIRECT("数出表_Excel!"&amp;
IFERROR(
SUBSTITUTE(ADDRESS(1,
IFERROR(COLUMN(INDEX(INDIRECT("数出表_Excel!B"&amp;$I53&amp;":T"&amp;$I53&amp;""),1,MATCH(TEXT(E53,0),INDIRECT("数出表_Excel!B"&amp;$I53&amp;":T"&amp;$I53&amp;""),0))),""),4),"1",""),
"")
&amp;"5"),
INDIRECT("数出表_Excel!"&amp;
IFERROR(
SUBSTITUTE(ADDRESS(1,
IFERROR(COLUMN(INDEX(INDIRECT("数出表_Excel!B"&amp;$I53&amp;":T"&amp;$I53&amp;""),1,MATCH(TEXT(E53,0),INDIRECT("数出表_Excel!B"&amp;$I53&amp;":T"&amp;$I53&amp;""),0))),""),4),"1",""),
"")
&amp;"3")),"")</f>
        <v/>
      </c>
      <c r="N53" t="str" cm="1">
        <f t="array" aca="1" ref="N53" ca="1">IFERROR(IF(OR(COUNTIF(INDIRECT("数出表_Excel!"&amp;
IFERROR(
SUBSTITUTE(ADDRESS(1,
IFERROR(COLUMN(INDEX(INDIRECT("数出表_Excel!B"&amp;$I53&amp;":T"&amp;$I53&amp;""),1,MATCH(TEXT(F53,0),INDIRECT("数出表_Excel!B"&amp;$I53&amp;":T"&amp;$I53&amp;""),0))),""),4),"1",""),
"")
&amp;"3"),"*キャラ*"),
COUNTIF(INDIRECT("数出表_Excel!"&amp;
IFERROR(
SUBSTITUTE(ADDRESS(1,
IFERROR(COLUMN(INDEX(INDIRECT("数出表_Excel!B"&amp;$I53&amp;":T"&amp;$I53&amp;""),1,MATCH(TEXT(F53,0),INDIRECT("数出表_Excel!B"&amp;$I53&amp;":T"&amp;$I53&amp;""),0))),""),4),"1",""),
"")
&amp;"3"),"*赤*")),
INDIRECT("数出表_Excel!"&amp;
IFERROR(
SUBSTITUTE(ADDRESS(1,
IFERROR(COLUMN(INDEX(INDIRECT("数出表_Excel!B"&amp;$I53&amp;":T"&amp;$I53&amp;""),1,MATCH(TEXT(F53,0),INDIRECT("数出表_Excel!B"&amp;$I53&amp;":T"&amp;$I53&amp;""),0))),""),4),"1",""),
"")
&amp;"3")
&amp;"　"&amp;INDIRECT("数出表_Excel!"&amp;
IFERROR(
SUBSTITUTE(ADDRESS(1,
IFERROR(COLUMN(INDEX(INDIRECT("数出表_Excel!B"&amp;$I53&amp;":T"&amp;$I53&amp;""),1,MATCH(TEXT(F53,0),INDIRECT("数出表_Excel!B"&amp;$I53&amp;":T"&amp;$I53&amp;""),0))),""),4),"1",""),
"")
&amp;"4")
&amp;INDIRECT("数出表_Excel!"&amp;
IFERROR(
SUBSTITUTE(ADDRESS(1,
IFERROR(COLUMN(INDEX(INDIRECT("数出表_Excel!B"&amp;$I53&amp;":T"&amp;$I53&amp;""),1,MATCH(TEXT(F53,0),INDIRECT("数出表_Excel!B"&amp;$I53&amp;":T"&amp;$I53&amp;""),0))),""),4),"1",""),
"")
&amp;"5"),
INDIRECT("数出表_Excel!"&amp;
IFERROR(
SUBSTITUTE(ADDRESS(1,
IFERROR(COLUMN(INDEX(INDIRECT("数出表_Excel!B"&amp;$I53&amp;":T"&amp;$I53&amp;""),1,MATCH(TEXT(F53,0),INDIRECT("数出表_Excel!B"&amp;$I53&amp;":T"&amp;$I53&amp;""),0))),""),4),"1",""),
"")
&amp;"3")),"")</f>
        <v/>
      </c>
      <c r="O53" t="str" cm="1">
        <f t="array" aca="1" ref="O53" ca="1">IFERROR(IF(OR(COUNTIF(INDIRECT("数出表_Excel!"&amp;
IFERROR(
SUBSTITUTE(ADDRESS(1,
IFERROR(COLUMN(INDEX(INDIRECT("数出表_Excel!B"&amp;$I53&amp;":T"&amp;$I53&amp;""),1,MATCH(TEXT(G53,0),INDIRECT("数出表_Excel!B"&amp;$I53&amp;":T"&amp;$I53&amp;""),0))),""),4),"1",""),
"")
&amp;"3"),"*キャラ*"),
COUNTIF(INDIRECT("数出表_Excel!"&amp;
IFERROR(
SUBSTITUTE(ADDRESS(1,
IFERROR(COLUMN(INDEX(INDIRECT("数出表_Excel!B"&amp;$I53&amp;":T"&amp;$I53&amp;""),1,MATCH(TEXT(G53,0),INDIRECT("数出表_Excel!B"&amp;$I53&amp;":T"&amp;$I53&amp;""),0))),""),4),"1",""),
"")
&amp;"3"),"*赤*")),
INDIRECT("数出表_Excel!"&amp;
IFERROR(
SUBSTITUTE(ADDRESS(1,
IFERROR(COLUMN(INDEX(INDIRECT("数出表_Excel!B"&amp;$I53&amp;":T"&amp;$I53&amp;""),1,MATCH(TEXT(G53,0),INDIRECT("数出表_Excel!B"&amp;$I53&amp;":T"&amp;$I53&amp;""),0))),""),4),"1",""),
"")
&amp;"3")
&amp;"　"&amp;INDIRECT("数出表_Excel!"&amp;
IFERROR(
SUBSTITUTE(ADDRESS(1,
IFERROR(COLUMN(INDEX(INDIRECT("数出表_Excel!B"&amp;$I53&amp;":T"&amp;$I53&amp;""),1,MATCH(TEXT(G53,0),INDIRECT("数出表_Excel!B"&amp;$I53&amp;":T"&amp;$I53&amp;""),0))),""),4),"1",""),
"")
&amp;"4")
&amp;INDIRECT("数出表_Excel!"&amp;
IFERROR(
SUBSTITUTE(ADDRESS(1,
IFERROR(COLUMN(INDEX(INDIRECT("数出表_Excel!B"&amp;$I53&amp;":T"&amp;$I53&amp;""),1,MATCH(TEXT(G53,0),INDIRECT("数出表_Excel!B"&amp;$I53&amp;":T"&amp;$I53&amp;""),0))),""),4),"1",""),
"")
&amp;"5"),
INDIRECT("数出表_Excel!"&amp;
IFERROR(
SUBSTITUTE(ADDRESS(1,
IFERROR(COLUMN(INDEX(INDIRECT("数出表_Excel!B"&amp;$I53&amp;":T"&amp;$I53&amp;""),1,MATCH(TEXT(G53,0),INDIRECT("数出表_Excel!B"&amp;$I53&amp;":T"&amp;$I53&amp;""),0))),""),4),"1",""),
"")
&amp;"3")),"")</f>
        <v/>
      </c>
    </row>
    <row r="54" spans="9:15">
      <c r="I54" t="str">
        <f>IF(A54&lt;&gt;"",MATCH(A54,数出表_Excel!A:A,0),"")</f>
        <v/>
      </c>
      <c r="J54" t="str" cm="1">
        <f t="array" aca="1" ref="J54" ca="1">IFERROR(IF(OR(COUNTIF(INDIRECT("数出表_Excel!"&amp;
IFERROR(
SUBSTITUTE(ADDRESS(1,
IFERROR(COLUMN(INDEX(INDIRECT("数出表_Excel!B"&amp;$I54-1&amp;":T"&amp;$I54-1&amp;""),1,MATCH(TEXT(B54,0),INDIRECT("数出表_Excel!B"&amp;$I54-1&amp;":T"&amp;$I54-1&amp;""),0))),""),4),"1",""),
"")
&amp;"3"),"*キャラ*"),
COUNTIF(INDIRECT("数出表_Excel!"&amp;
IFERROR(
SUBSTITUTE(ADDRESS(1,
IFERROR(COLUMN(INDEX(INDIRECT("数出表_Excel!B"&amp;$I54-1&amp;":T"&amp;$I54-1&amp;""),1,MATCH(TEXT(B54,0),INDIRECT("数出表_Excel!B"&amp;$I54-1&amp;":T"&amp;$I54-1&amp;""),0))),""),4),"1",""),
"")
&amp;"3"),"*赤*")),
INDIRECT("数出表_Excel!"&amp;
IFERROR(
SUBSTITUTE(ADDRESS(1,
IFERROR(COLUMN(INDEX(INDIRECT("数出表_Excel!B"&amp;$I54-1&amp;":T"&amp;$I54-1&amp;""),1,MATCH(TEXT(B54,0),INDIRECT("数出表_Excel!B"&amp;$I54-1&amp;":T"&amp;$I54-1&amp;""),0))),""),4),"1",""),
"")
&amp;"3")
&amp;"　"&amp;INDIRECT("数出表_Excel!"&amp;
IFERROR(
SUBSTITUTE(ADDRESS(1,
IFERROR(COLUMN(INDEX(INDIRECT("数出表_Excel!B"&amp;$I54-1&amp;":T"&amp;$I54-1&amp;""),1,MATCH(TEXT(B54,0),INDIRECT("数出表_Excel!B"&amp;$I54-1&amp;":T"&amp;$I54-1&amp;""),0))),""),4),"1",""),
"")
&amp;"4")
&amp;INDIRECT("数出表_Excel!"&amp;
IFERROR(
SUBSTITUTE(ADDRESS(1,
IFERROR(COLUMN(INDEX(INDIRECT("数出表_Excel!B"&amp;$I54-1&amp;":T"&amp;$I54-1&amp;""),1,MATCH(TEXT(B54,0),INDIRECT("数出表_Excel!B"&amp;$I54-1&amp;":T"&amp;$I54-1&amp;""),0))),""),4),"1",""),
"")
&amp;"5"),
INDIRECT("数出表_Excel!"&amp;
IFERROR(
SUBSTITUTE(ADDRESS(1,
IFERROR(COLUMN(INDEX(INDIRECT("数出表_Excel!B"&amp;$I54-1&amp;":T"&amp;$I54-1&amp;""),1,MATCH(TEXT(B54,0),INDIRECT("数出表_Excel!B"&amp;$I54-1&amp;":T"&amp;$I54-1&amp;""),0))),""),4),"1",""),
"")
&amp;"3")),"")</f>
        <v/>
      </c>
      <c r="K54" t="str" cm="1">
        <f t="array" aca="1" ref="K54" ca="1">IFERROR(IF(OR(COUNTIF(INDIRECT("数出表_Excel!"&amp;
IFERROR(
SUBSTITUTE(ADDRESS(1,
IFERROR(COLUMN(INDEX(INDIRECT("数出表_Excel!B"&amp;$I54-1&amp;":T"&amp;$I54-1&amp;""),1,MATCH(TEXT(C54,0),INDIRECT("数出表_Excel!B"&amp;$I54-1&amp;":T"&amp;$I54-1&amp;""),0))),""),4),"1",""),
"")
&amp;"3"),"*キャラ*"),
COUNTIF(INDIRECT("数出表_Excel!"&amp;
IFERROR(
SUBSTITUTE(ADDRESS(1,
IFERROR(COLUMN(INDEX(INDIRECT("数出表_Excel!B"&amp;$I54-1&amp;":T"&amp;$I54-1&amp;""),1,MATCH(TEXT(C54,0),INDIRECT("数出表_Excel!B"&amp;$I54-1&amp;":T"&amp;$I54-1&amp;""),0))),""),4),"1",""),
"")
&amp;"3"),"*赤*")),
INDIRECT("数出表_Excel!"&amp;
IFERROR(
SUBSTITUTE(ADDRESS(1,
IFERROR(COLUMN(INDEX(INDIRECT("数出表_Excel!B"&amp;$I54-1&amp;":T"&amp;$I54-1&amp;""),1,MATCH(TEXT(C54,0),INDIRECT("数出表_Excel!B"&amp;$I54-1&amp;":T"&amp;$I54-1&amp;""),0))),""),4),"1",""),
"")
&amp;"3")
&amp;"　"&amp;INDIRECT("数出表_Excel!"&amp;
IFERROR(
SUBSTITUTE(ADDRESS(1,
IFERROR(COLUMN(INDEX(INDIRECT("数出表_Excel!B"&amp;$I54-1&amp;":T"&amp;$I54-1&amp;""),1,MATCH(TEXT(C54,0),INDIRECT("数出表_Excel!B"&amp;$I54-1&amp;":T"&amp;$I54-1&amp;""),0))),""),4),"1",""),
"")
&amp;"4")
&amp;INDIRECT("数出表_Excel!"&amp;
IFERROR(
SUBSTITUTE(ADDRESS(1,
IFERROR(COLUMN(INDEX(INDIRECT("数出表_Excel!B"&amp;$I54-1&amp;":T"&amp;$I54-1&amp;""),1,MATCH(TEXT(C54,0),INDIRECT("数出表_Excel!B"&amp;$I54-1&amp;":T"&amp;$I54-1&amp;""),0))),""),4),"1",""),
"")
&amp;"5"),
INDIRECT("数出表_Excel!"&amp;
IFERROR(
SUBSTITUTE(ADDRESS(1,
IFERROR(COLUMN(INDEX(INDIRECT("数出表_Excel!B"&amp;$I54-1&amp;":T"&amp;$I54-1&amp;""),1,MATCH(TEXT(C54,0),INDIRECT("数出表_Excel!B"&amp;$I54-1&amp;":T"&amp;$I54-1&amp;""),0))),""),4),"1",""),
"")
&amp;"3")),"")</f>
        <v/>
      </c>
      <c r="L54" t="str" cm="1">
        <f t="array" aca="1" ref="L54" ca="1">IFERROR(IF(OR(COUNTIF(INDIRECT("数出表_Excel!"&amp;
IFERROR(
SUBSTITUTE(ADDRESS(1,
IFERROR(COLUMN(INDEX(INDIRECT("数出表_Excel!B"&amp;$I54-1&amp;":T"&amp;$I54-1&amp;""),1,MATCH(TEXT(D54,0),INDIRECT("数出表_Excel!B"&amp;$I54-1&amp;":T"&amp;$I54-1&amp;""),0))),""),4),"1",""),
"")
&amp;"3"),"*キャラ*"),
COUNTIF(INDIRECT("数出表_Excel!"&amp;
IFERROR(
SUBSTITUTE(ADDRESS(1,
IFERROR(COLUMN(INDEX(INDIRECT("数出表_Excel!B"&amp;$I54-1&amp;":T"&amp;$I54-1&amp;""),1,MATCH(TEXT(D54,0),INDIRECT("数出表_Excel!B"&amp;$I54-1&amp;":T"&amp;$I54-1&amp;""),0))),""),4),"1",""),
"")
&amp;"3"),"*赤*")),
INDIRECT("数出表_Excel!"&amp;
IFERROR(
SUBSTITUTE(ADDRESS(1,
IFERROR(COLUMN(INDEX(INDIRECT("数出表_Excel!B"&amp;$I54-1&amp;":T"&amp;$I54-1&amp;""),1,MATCH(TEXT(D54,0),INDIRECT("数出表_Excel!B"&amp;$I54-1&amp;":T"&amp;$I54-1&amp;""),0))),""),4),"1",""),
"")
&amp;"3")
&amp;"　"&amp;INDIRECT("数出表_Excel!"&amp;
IFERROR(
SUBSTITUTE(ADDRESS(1,
IFERROR(COLUMN(INDEX(INDIRECT("数出表_Excel!B"&amp;$I54-1&amp;":T"&amp;$I54-1&amp;""),1,MATCH(TEXT(D54,0),INDIRECT("数出表_Excel!B"&amp;$I54-1&amp;":T"&amp;$I54-1&amp;""),0))),""),4),"1",""),
"")
&amp;"4")
&amp;INDIRECT("数出表_Excel!"&amp;
IFERROR(
SUBSTITUTE(ADDRESS(1,
IFERROR(COLUMN(INDEX(INDIRECT("数出表_Excel!B"&amp;$I54-1&amp;":T"&amp;$I54-1&amp;""),1,MATCH(TEXT(D54,0),INDIRECT("数出表_Excel!B"&amp;$I54-1&amp;":T"&amp;$I54-1&amp;""),0))),""),4),"1",""),
"")
&amp;"5"),
INDIRECT("数出表_Excel!"&amp;
IFERROR(
SUBSTITUTE(ADDRESS(1,
IFERROR(COLUMN(INDEX(INDIRECT("数出表_Excel!B"&amp;$I54-1&amp;":T"&amp;$I54-1&amp;""),1,MATCH(TEXT(D54,0),INDIRECT("数出表_Excel!B"&amp;$I54-1&amp;":T"&amp;$I54-1&amp;""),0))),""),4),"1",""),
"")
&amp;"3")),"")</f>
        <v/>
      </c>
      <c r="M54" t="str" cm="1">
        <f t="array" aca="1" ref="M54" ca="1">IFERROR(IF(OR(COUNTIF(INDIRECT("数出表_Excel!"&amp;
IFERROR(
SUBSTITUTE(ADDRESS(1,
IFERROR(COLUMN(INDEX(INDIRECT("数出表_Excel!B"&amp;$I54&amp;":T"&amp;$I54&amp;""),1,MATCH(TEXT(E54,0),INDIRECT("数出表_Excel!B"&amp;$I54&amp;":T"&amp;$I54&amp;""),0))),""),4),"1",""),
"")
&amp;"3"),"*キャラ*"),
COUNTIF(INDIRECT("数出表_Excel!"&amp;
IFERROR(
SUBSTITUTE(ADDRESS(1,
IFERROR(COLUMN(INDEX(INDIRECT("数出表_Excel!B"&amp;$I54&amp;":T"&amp;$I54&amp;""),1,MATCH(TEXT(E54,0),INDIRECT("数出表_Excel!B"&amp;$I54&amp;":T"&amp;$I54&amp;""),0))),""),4),"1",""),
"")
&amp;"3"),"*赤*")),
INDIRECT("数出表_Excel!"&amp;
IFERROR(
SUBSTITUTE(ADDRESS(1,
IFERROR(COLUMN(INDEX(INDIRECT("数出表_Excel!B"&amp;$I54&amp;":T"&amp;$I54&amp;""),1,MATCH(TEXT(E54,0),INDIRECT("数出表_Excel!B"&amp;$I54&amp;":T"&amp;$I54&amp;""),0))),""),4),"1",""),
"")
&amp;"3")
&amp;"　"&amp;INDIRECT("数出表_Excel!"&amp;
IFERROR(
SUBSTITUTE(ADDRESS(1,
IFERROR(COLUMN(INDEX(INDIRECT("数出表_Excel!B"&amp;$I54&amp;":T"&amp;$I54&amp;""),1,MATCH(TEXT(E54,0),INDIRECT("数出表_Excel!B"&amp;$I54&amp;":T"&amp;$I54&amp;""),0))),""),4),"1",""),
"")
&amp;"4")
&amp;INDIRECT("数出表_Excel!"&amp;
IFERROR(
SUBSTITUTE(ADDRESS(1,
IFERROR(COLUMN(INDEX(INDIRECT("数出表_Excel!B"&amp;$I54&amp;":T"&amp;$I54&amp;""),1,MATCH(TEXT(E54,0),INDIRECT("数出表_Excel!B"&amp;$I54&amp;":T"&amp;$I54&amp;""),0))),""),4),"1",""),
"")
&amp;"5"),
INDIRECT("数出表_Excel!"&amp;
IFERROR(
SUBSTITUTE(ADDRESS(1,
IFERROR(COLUMN(INDEX(INDIRECT("数出表_Excel!B"&amp;$I54&amp;":T"&amp;$I54&amp;""),1,MATCH(TEXT(E54,0),INDIRECT("数出表_Excel!B"&amp;$I54&amp;":T"&amp;$I54&amp;""),0))),""),4),"1",""),
"")
&amp;"3")),"")</f>
        <v/>
      </c>
      <c r="N54" t="str" cm="1">
        <f t="array" aca="1" ref="N54" ca="1">IFERROR(IF(OR(COUNTIF(INDIRECT("数出表_Excel!"&amp;
IFERROR(
SUBSTITUTE(ADDRESS(1,
IFERROR(COLUMN(INDEX(INDIRECT("数出表_Excel!B"&amp;$I54&amp;":T"&amp;$I54&amp;""),1,MATCH(TEXT(F54,0),INDIRECT("数出表_Excel!B"&amp;$I54&amp;":T"&amp;$I54&amp;""),0))),""),4),"1",""),
"")
&amp;"3"),"*キャラ*"),
COUNTIF(INDIRECT("数出表_Excel!"&amp;
IFERROR(
SUBSTITUTE(ADDRESS(1,
IFERROR(COLUMN(INDEX(INDIRECT("数出表_Excel!B"&amp;$I54&amp;":T"&amp;$I54&amp;""),1,MATCH(TEXT(F54,0),INDIRECT("数出表_Excel!B"&amp;$I54&amp;":T"&amp;$I54&amp;""),0))),""),4),"1",""),
"")
&amp;"3"),"*赤*")),
INDIRECT("数出表_Excel!"&amp;
IFERROR(
SUBSTITUTE(ADDRESS(1,
IFERROR(COLUMN(INDEX(INDIRECT("数出表_Excel!B"&amp;$I54&amp;":T"&amp;$I54&amp;""),1,MATCH(TEXT(F54,0),INDIRECT("数出表_Excel!B"&amp;$I54&amp;":T"&amp;$I54&amp;""),0))),""),4),"1",""),
"")
&amp;"3")
&amp;"　"&amp;INDIRECT("数出表_Excel!"&amp;
IFERROR(
SUBSTITUTE(ADDRESS(1,
IFERROR(COLUMN(INDEX(INDIRECT("数出表_Excel!B"&amp;$I54&amp;":T"&amp;$I54&amp;""),1,MATCH(TEXT(F54,0),INDIRECT("数出表_Excel!B"&amp;$I54&amp;":T"&amp;$I54&amp;""),0))),""),4),"1",""),
"")
&amp;"4")
&amp;INDIRECT("数出表_Excel!"&amp;
IFERROR(
SUBSTITUTE(ADDRESS(1,
IFERROR(COLUMN(INDEX(INDIRECT("数出表_Excel!B"&amp;$I54&amp;":T"&amp;$I54&amp;""),1,MATCH(TEXT(F54,0),INDIRECT("数出表_Excel!B"&amp;$I54&amp;":T"&amp;$I54&amp;""),0))),""),4),"1",""),
"")
&amp;"5"),
INDIRECT("数出表_Excel!"&amp;
IFERROR(
SUBSTITUTE(ADDRESS(1,
IFERROR(COLUMN(INDEX(INDIRECT("数出表_Excel!B"&amp;$I54&amp;":T"&amp;$I54&amp;""),1,MATCH(TEXT(F54,0),INDIRECT("数出表_Excel!B"&amp;$I54&amp;":T"&amp;$I54&amp;""),0))),""),4),"1",""),
"")
&amp;"3")),"")</f>
        <v/>
      </c>
      <c r="O54" t="str" cm="1">
        <f t="array" aca="1" ref="O54" ca="1">IFERROR(IF(OR(COUNTIF(INDIRECT("数出表_Excel!"&amp;
IFERROR(
SUBSTITUTE(ADDRESS(1,
IFERROR(COLUMN(INDEX(INDIRECT("数出表_Excel!B"&amp;$I54&amp;":T"&amp;$I54&amp;""),1,MATCH(TEXT(G54,0),INDIRECT("数出表_Excel!B"&amp;$I54&amp;":T"&amp;$I54&amp;""),0))),""),4),"1",""),
"")
&amp;"3"),"*キャラ*"),
COUNTIF(INDIRECT("数出表_Excel!"&amp;
IFERROR(
SUBSTITUTE(ADDRESS(1,
IFERROR(COLUMN(INDEX(INDIRECT("数出表_Excel!B"&amp;$I54&amp;":T"&amp;$I54&amp;""),1,MATCH(TEXT(G54,0),INDIRECT("数出表_Excel!B"&amp;$I54&amp;":T"&amp;$I54&amp;""),0))),""),4),"1",""),
"")
&amp;"3"),"*赤*")),
INDIRECT("数出表_Excel!"&amp;
IFERROR(
SUBSTITUTE(ADDRESS(1,
IFERROR(COLUMN(INDEX(INDIRECT("数出表_Excel!B"&amp;$I54&amp;":T"&amp;$I54&amp;""),1,MATCH(TEXT(G54,0),INDIRECT("数出表_Excel!B"&amp;$I54&amp;":T"&amp;$I54&amp;""),0))),""),4),"1",""),
"")
&amp;"3")
&amp;"　"&amp;INDIRECT("数出表_Excel!"&amp;
IFERROR(
SUBSTITUTE(ADDRESS(1,
IFERROR(COLUMN(INDEX(INDIRECT("数出表_Excel!B"&amp;$I54&amp;":T"&amp;$I54&amp;""),1,MATCH(TEXT(G54,0),INDIRECT("数出表_Excel!B"&amp;$I54&amp;":T"&amp;$I54&amp;""),0))),""),4),"1",""),
"")
&amp;"4")
&amp;INDIRECT("数出表_Excel!"&amp;
IFERROR(
SUBSTITUTE(ADDRESS(1,
IFERROR(COLUMN(INDEX(INDIRECT("数出表_Excel!B"&amp;$I54&amp;":T"&amp;$I54&amp;""),1,MATCH(TEXT(G54,0),INDIRECT("数出表_Excel!B"&amp;$I54&amp;":T"&amp;$I54&amp;""),0))),""),4),"1",""),
"")
&amp;"5"),
INDIRECT("数出表_Excel!"&amp;
IFERROR(
SUBSTITUTE(ADDRESS(1,
IFERROR(COLUMN(INDEX(INDIRECT("数出表_Excel!B"&amp;$I54&amp;":T"&amp;$I54&amp;""),1,MATCH(TEXT(G54,0),INDIRECT("数出表_Excel!B"&amp;$I54&amp;":T"&amp;$I54&amp;""),0))),""),4),"1",""),
"")
&amp;"3")),"")</f>
        <v/>
      </c>
    </row>
    <row r="55" spans="9:15">
      <c r="I55" t="str">
        <f>IF(A55&lt;&gt;"",MATCH(A55,数出表_Excel!A:A,0),"")</f>
        <v/>
      </c>
      <c r="J55" t="str" cm="1">
        <f t="array" aca="1" ref="J55" ca="1">IFERROR(IF(OR(COUNTIF(INDIRECT("数出表_Excel!"&amp;
IFERROR(
SUBSTITUTE(ADDRESS(1,
IFERROR(COLUMN(INDEX(INDIRECT("数出表_Excel!B"&amp;$I55-1&amp;":T"&amp;$I55-1&amp;""),1,MATCH(TEXT(B55,0),INDIRECT("数出表_Excel!B"&amp;$I55-1&amp;":T"&amp;$I55-1&amp;""),0))),""),4),"1",""),
"")
&amp;"3"),"*キャラ*"),
COUNTIF(INDIRECT("数出表_Excel!"&amp;
IFERROR(
SUBSTITUTE(ADDRESS(1,
IFERROR(COLUMN(INDEX(INDIRECT("数出表_Excel!B"&amp;$I55-1&amp;":T"&amp;$I55-1&amp;""),1,MATCH(TEXT(B55,0),INDIRECT("数出表_Excel!B"&amp;$I55-1&amp;":T"&amp;$I55-1&amp;""),0))),""),4),"1",""),
"")
&amp;"3"),"*赤*")),
INDIRECT("数出表_Excel!"&amp;
IFERROR(
SUBSTITUTE(ADDRESS(1,
IFERROR(COLUMN(INDEX(INDIRECT("数出表_Excel!B"&amp;$I55-1&amp;":T"&amp;$I55-1&amp;""),1,MATCH(TEXT(B55,0),INDIRECT("数出表_Excel!B"&amp;$I55-1&amp;":T"&amp;$I55-1&amp;""),0))),""),4),"1",""),
"")
&amp;"3")
&amp;"　"&amp;INDIRECT("数出表_Excel!"&amp;
IFERROR(
SUBSTITUTE(ADDRESS(1,
IFERROR(COLUMN(INDEX(INDIRECT("数出表_Excel!B"&amp;$I55-1&amp;":T"&amp;$I55-1&amp;""),1,MATCH(TEXT(B55,0),INDIRECT("数出表_Excel!B"&amp;$I55-1&amp;":T"&amp;$I55-1&amp;""),0))),""),4),"1",""),
"")
&amp;"4")
&amp;INDIRECT("数出表_Excel!"&amp;
IFERROR(
SUBSTITUTE(ADDRESS(1,
IFERROR(COLUMN(INDEX(INDIRECT("数出表_Excel!B"&amp;$I55-1&amp;":T"&amp;$I55-1&amp;""),1,MATCH(TEXT(B55,0),INDIRECT("数出表_Excel!B"&amp;$I55-1&amp;":T"&amp;$I55-1&amp;""),0))),""),4),"1",""),
"")
&amp;"5"),
INDIRECT("数出表_Excel!"&amp;
IFERROR(
SUBSTITUTE(ADDRESS(1,
IFERROR(COLUMN(INDEX(INDIRECT("数出表_Excel!B"&amp;$I55-1&amp;":T"&amp;$I55-1&amp;""),1,MATCH(TEXT(B55,0),INDIRECT("数出表_Excel!B"&amp;$I55-1&amp;":T"&amp;$I55-1&amp;""),0))),""),4),"1",""),
"")
&amp;"3")),"")</f>
        <v/>
      </c>
      <c r="K55" t="str" cm="1">
        <f t="array" aca="1" ref="K55" ca="1">IFERROR(IF(OR(COUNTIF(INDIRECT("数出表_Excel!"&amp;
IFERROR(
SUBSTITUTE(ADDRESS(1,
IFERROR(COLUMN(INDEX(INDIRECT("数出表_Excel!B"&amp;$I55-1&amp;":T"&amp;$I55-1&amp;""),1,MATCH(TEXT(C55,0),INDIRECT("数出表_Excel!B"&amp;$I55-1&amp;":T"&amp;$I55-1&amp;""),0))),""),4),"1",""),
"")
&amp;"3"),"*キャラ*"),
COUNTIF(INDIRECT("数出表_Excel!"&amp;
IFERROR(
SUBSTITUTE(ADDRESS(1,
IFERROR(COLUMN(INDEX(INDIRECT("数出表_Excel!B"&amp;$I55-1&amp;":T"&amp;$I55-1&amp;""),1,MATCH(TEXT(C55,0),INDIRECT("数出表_Excel!B"&amp;$I55-1&amp;":T"&amp;$I55-1&amp;""),0))),""),4),"1",""),
"")
&amp;"3"),"*赤*")),
INDIRECT("数出表_Excel!"&amp;
IFERROR(
SUBSTITUTE(ADDRESS(1,
IFERROR(COLUMN(INDEX(INDIRECT("数出表_Excel!B"&amp;$I55-1&amp;":T"&amp;$I55-1&amp;""),1,MATCH(TEXT(C55,0),INDIRECT("数出表_Excel!B"&amp;$I55-1&amp;":T"&amp;$I55-1&amp;""),0))),""),4),"1",""),
"")
&amp;"3")
&amp;"　"&amp;INDIRECT("数出表_Excel!"&amp;
IFERROR(
SUBSTITUTE(ADDRESS(1,
IFERROR(COLUMN(INDEX(INDIRECT("数出表_Excel!B"&amp;$I55-1&amp;":T"&amp;$I55-1&amp;""),1,MATCH(TEXT(C55,0),INDIRECT("数出表_Excel!B"&amp;$I55-1&amp;":T"&amp;$I55-1&amp;""),0))),""),4),"1",""),
"")
&amp;"4")
&amp;INDIRECT("数出表_Excel!"&amp;
IFERROR(
SUBSTITUTE(ADDRESS(1,
IFERROR(COLUMN(INDEX(INDIRECT("数出表_Excel!B"&amp;$I55-1&amp;":T"&amp;$I55-1&amp;""),1,MATCH(TEXT(C55,0),INDIRECT("数出表_Excel!B"&amp;$I55-1&amp;":T"&amp;$I55-1&amp;""),0))),""),4),"1",""),
"")
&amp;"5"),
INDIRECT("数出表_Excel!"&amp;
IFERROR(
SUBSTITUTE(ADDRESS(1,
IFERROR(COLUMN(INDEX(INDIRECT("数出表_Excel!B"&amp;$I55-1&amp;":T"&amp;$I55-1&amp;""),1,MATCH(TEXT(C55,0),INDIRECT("数出表_Excel!B"&amp;$I55-1&amp;":T"&amp;$I55-1&amp;""),0))),""),4),"1",""),
"")
&amp;"3")),"")</f>
        <v/>
      </c>
      <c r="L55" t="str" cm="1">
        <f t="array" aca="1" ref="L55" ca="1">IFERROR(IF(OR(COUNTIF(INDIRECT("数出表_Excel!"&amp;
IFERROR(
SUBSTITUTE(ADDRESS(1,
IFERROR(COLUMN(INDEX(INDIRECT("数出表_Excel!B"&amp;$I55-1&amp;":T"&amp;$I55-1&amp;""),1,MATCH(TEXT(D55,0),INDIRECT("数出表_Excel!B"&amp;$I55-1&amp;":T"&amp;$I55-1&amp;""),0))),""),4),"1",""),
"")
&amp;"3"),"*キャラ*"),
COUNTIF(INDIRECT("数出表_Excel!"&amp;
IFERROR(
SUBSTITUTE(ADDRESS(1,
IFERROR(COLUMN(INDEX(INDIRECT("数出表_Excel!B"&amp;$I55-1&amp;":T"&amp;$I55-1&amp;""),1,MATCH(TEXT(D55,0),INDIRECT("数出表_Excel!B"&amp;$I55-1&amp;":T"&amp;$I55-1&amp;""),0))),""),4),"1",""),
"")
&amp;"3"),"*赤*")),
INDIRECT("数出表_Excel!"&amp;
IFERROR(
SUBSTITUTE(ADDRESS(1,
IFERROR(COLUMN(INDEX(INDIRECT("数出表_Excel!B"&amp;$I55-1&amp;":T"&amp;$I55-1&amp;""),1,MATCH(TEXT(D55,0),INDIRECT("数出表_Excel!B"&amp;$I55-1&amp;":T"&amp;$I55-1&amp;""),0))),""),4),"1",""),
"")
&amp;"3")
&amp;"　"&amp;INDIRECT("数出表_Excel!"&amp;
IFERROR(
SUBSTITUTE(ADDRESS(1,
IFERROR(COLUMN(INDEX(INDIRECT("数出表_Excel!B"&amp;$I55-1&amp;":T"&amp;$I55-1&amp;""),1,MATCH(TEXT(D55,0),INDIRECT("数出表_Excel!B"&amp;$I55-1&amp;":T"&amp;$I55-1&amp;""),0))),""),4),"1",""),
"")
&amp;"4")
&amp;INDIRECT("数出表_Excel!"&amp;
IFERROR(
SUBSTITUTE(ADDRESS(1,
IFERROR(COLUMN(INDEX(INDIRECT("数出表_Excel!B"&amp;$I55-1&amp;":T"&amp;$I55-1&amp;""),1,MATCH(TEXT(D55,0),INDIRECT("数出表_Excel!B"&amp;$I55-1&amp;":T"&amp;$I55-1&amp;""),0))),""),4),"1",""),
"")
&amp;"5"),
INDIRECT("数出表_Excel!"&amp;
IFERROR(
SUBSTITUTE(ADDRESS(1,
IFERROR(COLUMN(INDEX(INDIRECT("数出表_Excel!B"&amp;$I55-1&amp;":T"&amp;$I55-1&amp;""),1,MATCH(TEXT(D55,0),INDIRECT("数出表_Excel!B"&amp;$I55-1&amp;":T"&amp;$I55-1&amp;""),0))),""),4),"1",""),
"")
&amp;"3")),"")</f>
        <v/>
      </c>
      <c r="M55" t="str" cm="1">
        <f t="array" aca="1" ref="M55" ca="1">IFERROR(IF(OR(COUNTIF(INDIRECT("数出表_Excel!"&amp;
IFERROR(
SUBSTITUTE(ADDRESS(1,
IFERROR(COLUMN(INDEX(INDIRECT("数出表_Excel!B"&amp;$I55&amp;":T"&amp;$I55&amp;""),1,MATCH(TEXT(E55,0),INDIRECT("数出表_Excel!B"&amp;$I55&amp;":T"&amp;$I55&amp;""),0))),""),4),"1",""),
"")
&amp;"3"),"*キャラ*"),
COUNTIF(INDIRECT("数出表_Excel!"&amp;
IFERROR(
SUBSTITUTE(ADDRESS(1,
IFERROR(COLUMN(INDEX(INDIRECT("数出表_Excel!B"&amp;$I55&amp;":T"&amp;$I55&amp;""),1,MATCH(TEXT(E55,0),INDIRECT("数出表_Excel!B"&amp;$I55&amp;":T"&amp;$I55&amp;""),0))),""),4),"1",""),
"")
&amp;"3"),"*赤*")),
INDIRECT("数出表_Excel!"&amp;
IFERROR(
SUBSTITUTE(ADDRESS(1,
IFERROR(COLUMN(INDEX(INDIRECT("数出表_Excel!B"&amp;$I55&amp;":T"&amp;$I55&amp;""),1,MATCH(TEXT(E55,0),INDIRECT("数出表_Excel!B"&amp;$I55&amp;":T"&amp;$I55&amp;""),0))),""),4),"1",""),
"")
&amp;"3")
&amp;"　"&amp;INDIRECT("数出表_Excel!"&amp;
IFERROR(
SUBSTITUTE(ADDRESS(1,
IFERROR(COLUMN(INDEX(INDIRECT("数出表_Excel!B"&amp;$I55&amp;":T"&amp;$I55&amp;""),1,MATCH(TEXT(E55,0),INDIRECT("数出表_Excel!B"&amp;$I55&amp;":T"&amp;$I55&amp;""),0))),""),4),"1",""),
"")
&amp;"4")
&amp;INDIRECT("数出表_Excel!"&amp;
IFERROR(
SUBSTITUTE(ADDRESS(1,
IFERROR(COLUMN(INDEX(INDIRECT("数出表_Excel!B"&amp;$I55&amp;":T"&amp;$I55&amp;""),1,MATCH(TEXT(E55,0),INDIRECT("数出表_Excel!B"&amp;$I55&amp;":T"&amp;$I55&amp;""),0))),""),4),"1",""),
"")
&amp;"5"),
INDIRECT("数出表_Excel!"&amp;
IFERROR(
SUBSTITUTE(ADDRESS(1,
IFERROR(COLUMN(INDEX(INDIRECT("数出表_Excel!B"&amp;$I55&amp;":T"&amp;$I55&amp;""),1,MATCH(TEXT(E55,0),INDIRECT("数出表_Excel!B"&amp;$I55&amp;":T"&amp;$I55&amp;""),0))),""),4),"1",""),
"")
&amp;"3")),"")</f>
        <v/>
      </c>
      <c r="N55" t="str" cm="1">
        <f t="array" aca="1" ref="N55" ca="1">IFERROR(IF(OR(COUNTIF(INDIRECT("数出表_Excel!"&amp;
IFERROR(
SUBSTITUTE(ADDRESS(1,
IFERROR(COLUMN(INDEX(INDIRECT("数出表_Excel!B"&amp;$I55&amp;":T"&amp;$I55&amp;""),1,MATCH(TEXT(F55,0),INDIRECT("数出表_Excel!B"&amp;$I55&amp;":T"&amp;$I55&amp;""),0))),""),4),"1",""),
"")
&amp;"3"),"*キャラ*"),
COUNTIF(INDIRECT("数出表_Excel!"&amp;
IFERROR(
SUBSTITUTE(ADDRESS(1,
IFERROR(COLUMN(INDEX(INDIRECT("数出表_Excel!B"&amp;$I55&amp;":T"&amp;$I55&amp;""),1,MATCH(TEXT(F55,0),INDIRECT("数出表_Excel!B"&amp;$I55&amp;":T"&amp;$I55&amp;""),0))),""),4),"1",""),
"")
&amp;"3"),"*赤*")),
INDIRECT("数出表_Excel!"&amp;
IFERROR(
SUBSTITUTE(ADDRESS(1,
IFERROR(COLUMN(INDEX(INDIRECT("数出表_Excel!B"&amp;$I55&amp;":T"&amp;$I55&amp;""),1,MATCH(TEXT(F55,0),INDIRECT("数出表_Excel!B"&amp;$I55&amp;":T"&amp;$I55&amp;""),0))),""),4),"1",""),
"")
&amp;"3")
&amp;"　"&amp;INDIRECT("数出表_Excel!"&amp;
IFERROR(
SUBSTITUTE(ADDRESS(1,
IFERROR(COLUMN(INDEX(INDIRECT("数出表_Excel!B"&amp;$I55&amp;":T"&amp;$I55&amp;""),1,MATCH(TEXT(F55,0),INDIRECT("数出表_Excel!B"&amp;$I55&amp;":T"&amp;$I55&amp;""),0))),""),4),"1",""),
"")
&amp;"4")
&amp;INDIRECT("数出表_Excel!"&amp;
IFERROR(
SUBSTITUTE(ADDRESS(1,
IFERROR(COLUMN(INDEX(INDIRECT("数出表_Excel!B"&amp;$I55&amp;":T"&amp;$I55&amp;""),1,MATCH(TEXT(F55,0),INDIRECT("数出表_Excel!B"&amp;$I55&amp;":T"&amp;$I55&amp;""),0))),""),4),"1",""),
"")
&amp;"5"),
INDIRECT("数出表_Excel!"&amp;
IFERROR(
SUBSTITUTE(ADDRESS(1,
IFERROR(COLUMN(INDEX(INDIRECT("数出表_Excel!B"&amp;$I55&amp;":T"&amp;$I55&amp;""),1,MATCH(TEXT(F55,0),INDIRECT("数出表_Excel!B"&amp;$I55&amp;":T"&amp;$I55&amp;""),0))),""),4),"1",""),
"")
&amp;"3")),"")</f>
        <v/>
      </c>
      <c r="O55" t="str" cm="1">
        <f t="array" aca="1" ref="O55" ca="1">IFERROR(IF(OR(COUNTIF(INDIRECT("数出表_Excel!"&amp;
IFERROR(
SUBSTITUTE(ADDRESS(1,
IFERROR(COLUMN(INDEX(INDIRECT("数出表_Excel!B"&amp;$I55&amp;":T"&amp;$I55&amp;""),1,MATCH(TEXT(G55,0),INDIRECT("数出表_Excel!B"&amp;$I55&amp;":T"&amp;$I55&amp;""),0))),""),4),"1",""),
"")
&amp;"3"),"*キャラ*"),
COUNTIF(INDIRECT("数出表_Excel!"&amp;
IFERROR(
SUBSTITUTE(ADDRESS(1,
IFERROR(COLUMN(INDEX(INDIRECT("数出表_Excel!B"&amp;$I55&amp;":T"&amp;$I55&amp;""),1,MATCH(TEXT(G55,0),INDIRECT("数出表_Excel!B"&amp;$I55&amp;":T"&amp;$I55&amp;""),0))),""),4),"1",""),
"")
&amp;"3"),"*赤*")),
INDIRECT("数出表_Excel!"&amp;
IFERROR(
SUBSTITUTE(ADDRESS(1,
IFERROR(COLUMN(INDEX(INDIRECT("数出表_Excel!B"&amp;$I55&amp;":T"&amp;$I55&amp;""),1,MATCH(TEXT(G55,0),INDIRECT("数出表_Excel!B"&amp;$I55&amp;":T"&amp;$I55&amp;""),0))),""),4),"1",""),
"")
&amp;"3")
&amp;"　"&amp;INDIRECT("数出表_Excel!"&amp;
IFERROR(
SUBSTITUTE(ADDRESS(1,
IFERROR(COLUMN(INDEX(INDIRECT("数出表_Excel!B"&amp;$I55&amp;":T"&amp;$I55&amp;""),1,MATCH(TEXT(G55,0),INDIRECT("数出表_Excel!B"&amp;$I55&amp;":T"&amp;$I55&amp;""),0))),""),4),"1",""),
"")
&amp;"4")
&amp;INDIRECT("数出表_Excel!"&amp;
IFERROR(
SUBSTITUTE(ADDRESS(1,
IFERROR(COLUMN(INDEX(INDIRECT("数出表_Excel!B"&amp;$I55&amp;":T"&amp;$I55&amp;""),1,MATCH(TEXT(G55,0),INDIRECT("数出表_Excel!B"&amp;$I55&amp;":T"&amp;$I55&amp;""),0))),""),4),"1",""),
"")
&amp;"5"),
INDIRECT("数出表_Excel!"&amp;
IFERROR(
SUBSTITUTE(ADDRESS(1,
IFERROR(COLUMN(INDEX(INDIRECT("数出表_Excel!B"&amp;$I55&amp;":T"&amp;$I55&amp;""),1,MATCH(TEXT(G55,0),INDIRECT("数出表_Excel!B"&amp;$I55&amp;":T"&amp;$I55&amp;""),0))),""),4),"1",""),
"")
&amp;"3")),"")</f>
        <v/>
      </c>
    </row>
    <row r="56" spans="9:15">
      <c r="I56" t="str">
        <f>IF(A56&lt;&gt;"",MATCH(A56,数出表_Excel!A:A,0),"")</f>
        <v/>
      </c>
      <c r="J56" t="str" cm="1">
        <f t="array" aca="1" ref="J56" ca="1">IFERROR(IF(OR(COUNTIF(INDIRECT("数出表_Excel!"&amp;
IFERROR(
SUBSTITUTE(ADDRESS(1,
IFERROR(COLUMN(INDEX(INDIRECT("数出表_Excel!B"&amp;$I56-1&amp;":T"&amp;$I56-1&amp;""),1,MATCH(TEXT(B56,0),INDIRECT("数出表_Excel!B"&amp;$I56-1&amp;":T"&amp;$I56-1&amp;""),0))),""),4),"1",""),
"")
&amp;"3"),"*キャラ*"),
COUNTIF(INDIRECT("数出表_Excel!"&amp;
IFERROR(
SUBSTITUTE(ADDRESS(1,
IFERROR(COLUMN(INDEX(INDIRECT("数出表_Excel!B"&amp;$I56-1&amp;":T"&amp;$I56-1&amp;""),1,MATCH(TEXT(B56,0),INDIRECT("数出表_Excel!B"&amp;$I56-1&amp;":T"&amp;$I56-1&amp;""),0))),""),4),"1",""),
"")
&amp;"3"),"*赤*")),
INDIRECT("数出表_Excel!"&amp;
IFERROR(
SUBSTITUTE(ADDRESS(1,
IFERROR(COLUMN(INDEX(INDIRECT("数出表_Excel!B"&amp;$I56-1&amp;":T"&amp;$I56-1&amp;""),1,MATCH(TEXT(B56,0),INDIRECT("数出表_Excel!B"&amp;$I56-1&amp;":T"&amp;$I56-1&amp;""),0))),""),4),"1",""),
"")
&amp;"3")
&amp;"　"&amp;INDIRECT("数出表_Excel!"&amp;
IFERROR(
SUBSTITUTE(ADDRESS(1,
IFERROR(COLUMN(INDEX(INDIRECT("数出表_Excel!B"&amp;$I56-1&amp;":T"&amp;$I56-1&amp;""),1,MATCH(TEXT(B56,0),INDIRECT("数出表_Excel!B"&amp;$I56-1&amp;":T"&amp;$I56-1&amp;""),0))),""),4),"1",""),
"")
&amp;"4")
&amp;INDIRECT("数出表_Excel!"&amp;
IFERROR(
SUBSTITUTE(ADDRESS(1,
IFERROR(COLUMN(INDEX(INDIRECT("数出表_Excel!B"&amp;$I56-1&amp;":T"&amp;$I56-1&amp;""),1,MATCH(TEXT(B56,0),INDIRECT("数出表_Excel!B"&amp;$I56-1&amp;":T"&amp;$I56-1&amp;""),0))),""),4),"1",""),
"")
&amp;"5"),
INDIRECT("数出表_Excel!"&amp;
IFERROR(
SUBSTITUTE(ADDRESS(1,
IFERROR(COLUMN(INDEX(INDIRECT("数出表_Excel!B"&amp;$I56-1&amp;":T"&amp;$I56-1&amp;""),1,MATCH(TEXT(B56,0),INDIRECT("数出表_Excel!B"&amp;$I56-1&amp;":T"&amp;$I56-1&amp;""),0))),""),4),"1",""),
"")
&amp;"3")),"")</f>
        <v/>
      </c>
      <c r="K56" t="str" cm="1">
        <f t="array" aca="1" ref="K56" ca="1">IFERROR(IF(OR(COUNTIF(INDIRECT("数出表_Excel!"&amp;
IFERROR(
SUBSTITUTE(ADDRESS(1,
IFERROR(COLUMN(INDEX(INDIRECT("数出表_Excel!B"&amp;$I56-1&amp;":T"&amp;$I56-1&amp;""),1,MATCH(TEXT(C56,0),INDIRECT("数出表_Excel!B"&amp;$I56-1&amp;":T"&amp;$I56-1&amp;""),0))),""),4),"1",""),
"")
&amp;"3"),"*キャラ*"),
COUNTIF(INDIRECT("数出表_Excel!"&amp;
IFERROR(
SUBSTITUTE(ADDRESS(1,
IFERROR(COLUMN(INDEX(INDIRECT("数出表_Excel!B"&amp;$I56-1&amp;":T"&amp;$I56-1&amp;""),1,MATCH(TEXT(C56,0),INDIRECT("数出表_Excel!B"&amp;$I56-1&amp;":T"&amp;$I56-1&amp;""),0))),""),4),"1",""),
"")
&amp;"3"),"*赤*")),
INDIRECT("数出表_Excel!"&amp;
IFERROR(
SUBSTITUTE(ADDRESS(1,
IFERROR(COLUMN(INDEX(INDIRECT("数出表_Excel!B"&amp;$I56-1&amp;":T"&amp;$I56-1&amp;""),1,MATCH(TEXT(C56,0),INDIRECT("数出表_Excel!B"&amp;$I56-1&amp;":T"&amp;$I56-1&amp;""),0))),""),4),"1",""),
"")
&amp;"3")
&amp;"　"&amp;INDIRECT("数出表_Excel!"&amp;
IFERROR(
SUBSTITUTE(ADDRESS(1,
IFERROR(COLUMN(INDEX(INDIRECT("数出表_Excel!B"&amp;$I56-1&amp;":T"&amp;$I56-1&amp;""),1,MATCH(TEXT(C56,0),INDIRECT("数出表_Excel!B"&amp;$I56-1&amp;":T"&amp;$I56-1&amp;""),0))),""),4),"1",""),
"")
&amp;"4")
&amp;INDIRECT("数出表_Excel!"&amp;
IFERROR(
SUBSTITUTE(ADDRESS(1,
IFERROR(COLUMN(INDEX(INDIRECT("数出表_Excel!B"&amp;$I56-1&amp;":T"&amp;$I56-1&amp;""),1,MATCH(TEXT(C56,0),INDIRECT("数出表_Excel!B"&amp;$I56-1&amp;":T"&amp;$I56-1&amp;""),0))),""),4),"1",""),
"")
&amp;"5"),
INDIRECT("数出表_Excel!"&amp;
IFERROR(
SUBSTITUTE(ADDRESS(1,
IFERROR(COLUMN(INDEX(INDIRECT("数出表_Excel!B"&amp;$I56-1&amp;":T"&amp;$I56-1&amp;""),1,MATCH(TEXT(C56,0),INDIRECT("数出表_Excel!B"&amp;$I56-1&amp;":T"&amp;$I56-1&amp;""),0))),""),4),"1",""),
"")
&amp;"3")),"")</f>
        <v/>
      </c>
      <c r="L56" t="str" cm="1">
        <f t="array" aca="1" ref="L56" ca="1">IFERROR(IF(OR(COUNTIF(INDIRECT("数出表_Excel!"&amp;
IFERROR(
SUBSTITUTE(ADDRESS(1,
IFERROR(COLUMN(INDEX(INDIRECT("数出表_Excel!B"&amp;$I56-1&amp;":T"&amp;$I56-1&amp;""),1,MATCH(TEXT(D56,0),INDIRECT("数出表_Excel!B"&amp;$I56-1&amp;":T"&amp;$I56-1&amp;""),0))),""),4),"1",""),
"")
&amp;"3"),"*キャラ*"),
COUNTIF(INDIRECT("数出表_Excel!"&amp;
IFERROR(
SUBSTITUTE(ADDRESS(1,
IFERROR(COLUMN(INDEX(INDIRECT("数出表_Excel!B"&amp;$I56-1&amp;":T"&amp;$I56-1&amp;""),1,MATCH(TEXT(D56,0),INDIRECT("数出表_Excel!B"&amp;$I56-1&amp;":T"&amp;$I56-1&amp;""),0))),""),4),"1",""),
"")
&amp;"3"),"*赤*")),
INDIRECT("数出表_Excel!"&amp;
IFERROR(
SUBSTITUTE(ADDRESS(1,
IFERROR(COLUMN(INDEX(INDIRECT("数出表_Excel!B"&amp;$I56-1&amp;":T"&amp;$I56-1&amp;""),1,MATCH(TEXT(D56,0),INDIRECT("数出表_Excel!B"&amp;$I56-1&amp;":T"&amp;$I56-1&amp;""),0))),""),4),"1",""),
"")
&amp;"3")
&amp;"　"&amp;INDIRECT("数出表_Excel!"&amp;
IFERROR(
SUBSTITUTE(ADDRESS(1,
IFERROR(COLUMN(INDEX(INDIRECT("数出表_Excel!B"&amp;$I56-1&amp;":T"&amp;$I56-1&amp;""),1,MATCH(TEXT(D56,0),INDIRECT("数出表_Excel!B"&amp;$I56-1&amp;":T"&amp;$I56-1&amp;""),0))),""),4),"1",""),
"")
&amp;"4")
&amp;INDIRECT("数出表_Excel!"&amp;
IFERROR(
SUBSTITUTE(ADDRESS(1,
IFERROR(COLUMN(INDEX(INDIRECT("数出表_Excel!B"&amp;$I56-1&amp;":T"&amp;$I56-1&amp;""),1,MATCH(TEXT(D56,0),INDIRECT("数出表_Excel!B"&amp;$I56-1&amp;":T"&amp;$I56-1&amp;""),0))),""),4),"1",""),
"")
&amp;"5"),
INDIRECT("数出表_Excel!"&amp;
IFERROR(
SUBSTITUTE(ADDRESS(1,
IFERROR(COLUMN(INDEX(INDIRECT("数出表_Excel!B"&amp;$I56-1&amp;":T"&amp;$I56-1&amp;""),1,MATCH(TEXT(D56,0),INDIRECT("数出表_Excel!B"&amp;$I56-1&amp;":T"&amp;$I56-1&amp;""),0))),""),4),"1",""),
"")
&amp;"3")),"")</f>
        <v/>
      </c>
      <c r="M56" t="str" cm="1">
        <f t="array" aca="1" ref="M56" ca="1">IFERROR(IF(OR(COUNTIF(INDIRECT("数出表_Excel!"&amp;
IFERROR(
SUBSTITUTE(ADDRESS(1,
IFERROR(COLUMN(INDEX(INDIRECT("数出表_Excel!B"&amp;$I56&amp;":T"&amp;$I56&amp;""),1,MATCH(TEXT(E56,0),INDIRECT("数出表_Excel!B"&amp;$I56&amp;":T"&amp;$I56&amp;""),0))),""),4),"1",""),
"")
&amp;"3"),"*キャラ*"),
COUNTIF(INDIRECT("数出表_Excel!"&amp;
IFERROR(
SUBSTITUTE(ADDRESS(1,
IFERROR(COLUMN(INDEX(INDIRECT("数出表_Excel!B"&amp;$I56&amp;":T"&amp;$I56&amp;""),1,MATCH(TEXT(E56,0),INDIRECT("数出表_Excel!B"&amp;$I56&amp;":T"&amp;$I56&amp;""),0))),""),4),"1",""),
"")
&amp;"3"),"*赤*")),
INDIRECT("数出表_Excel!"&amp;
IFERROR(
SUBSTITUTE(ADDRESS(1,
IFERROR(COLUMN(INDEX(INDIRECT("数出表_Excel!B"&amp;$I56&amp;":T"&amp;$I56&amp;""),1,MATCH(TEXT(E56,0),INDIRECT("数出表_Excel!B"&amp;$I56&amp;":T"&amp;$I56&amp;""),0))),""),4),"1",""),
"")
&amp;"3")
&amp;"　"&amp;INDIRECT("数出表_Excel!"&amp;
IFERROR(
SUBSTITUTE(ADDRESS(1,
IFERROR(COLUMN(INDEX(INDIRECT("数出表_Excel!B"&amp;$I56&amp;":T"&amp;$I56&amp;""),1,MATCH(TEXT(E56,0),INDIRECT("数出表_Excel!B"&amp;$I56&amp;":T"&amp;$I56&amp;""),0))),""),4),"1",""),
"")
&amp;"4")
&amp;INDIRECT("数出表_Excel!"&amp;
IFERROR(
SUBSTITUTE(ADDRESS(1,
IFERROR(COLUMN(INDEX(INDIRECT("数出表_Excel!B"&amp;$I56&amp;":T"&amp;$I56&amp;""),1,MATCH(TEXT(E56,0),INDIRECT("数出表_Excel!B"&amp;$I56&amp;":T"&amp;$I56&amp;""),0))),""),4),"1",""),
"")
&amp;"5"),
INDIRECT("数出表_Excel!"&amp;
IFERROR(
SUBSTITUTE(ADDRESS(1,
IFERROR(COLUMN(INDEX(INDIRECT("数出表_Excel!B"&amp;$I56&amp;":T"&amp;$I56&amp;""),1,MATCH(TEXT(E56,0),INDIRECT("数出表_Excel!B"&amp;$I56&amp;":T"&amp;$I56&amp;""),0))),""),4),"1",""),
"")
&amp;"3")),"")</f>
        <v/>
      </c>
      <c r="N56" t="str" cm="1">
        <f t="array" aca="1" ref="N56" ca="1">IFERROR(IF(OR(COUNTIF(INDIRECT("数出表_Excel!"&amp;
IFERROR(
SUBSTITUTE(ADDRESS(1,
IFERROR(COLUMN(INDEX(INDIRECT("数出表_Excel!B"&amp;$I56&amp;":T"&amp;$I56&amp;""),1,MATCH(TEXT(F56,0),INDIRECT("数出表_Excel!B"&amp;$I56&amp;":T"&amp;$I56&amp;""),0))),""),4),"1",""),
"")
&amp;"3"),"*キャラ*"),
COUNTIF(INDIRECT("数出表_Excel!"&amp;
IFERROR(
SUBSTITUTE(ADDRESS(1,
IFERROR(COLUMN(INDEX(INDIRECT("数出表_Excel!B"&amp;$I56&amp;":T"&amp;$I56&amp;""),1,MATCH(TEXT(F56,0),INDIRECT("数出表_Excel!B"&amp;$I56&amp;":T"&amp;$I56&amp;""),0))),""),4),"1",""),
"")
&amp;"3"),"*赤*")),
INDIRECT("数出表_Excel!"&amp;
IFERROR(
SUBSTITUTE(ADDRESS(1,
IFERROR(COLUMN(INDEX(INDIRECT("数出表_Excel!B"&amp;$I56&amp;":T"&amp;$I56&amp;""),1,MATCH(TEXT(F56,0),INDIRECT("数出表_Excel!B"&amp;$I56&amp;":T"&amp;$I56&amp;""),0))),""),4),"1",""),
"")
&amp;"3")
&amp;"　"&amp;INDIRECT("数出表_Excel!"&amp;
IFERROR(
SUBSTITUTE(ADDRESS(1,
IFERROR(COLUMN(INDEX(INDIRECT("数出表_Excel!B"&amp;$I56&amp;":T"&amp;$I56&amp;""),1,MATCH(TEXT(F56,0),INDIRECT("数出表_Excel!B"&amp;$I56&amp;":T"&amp;$I56&amp;""),0))),""),4),"1",""),
"")
&amp;"4")
&amp;INDIRECT("数出表_Excel!"&amp;
IFERROR(
SUBSTITUTE(ADDRESS(1,
IFERROR(COLUMN(INDEX(INDIRECT("数出表_Excel!B"&amp;$I56&amp;":T"&amp;$I56&amp;""),1,MATCH(TEXT(F56,0),INDIRECT("数出表_Excel!B"&amp;$I56&amp;":T"&amp;$I56&amp;""),0))),""),4),"1",""),
"")
&amp;"5"),
INDIRECT("数出表_Excel!"&amp;
IFERROR(
SUBSTITUTE(ADDRESS(1,
IFERROR(COLUMN(INDEX(INDIRECT("数出表_Excel!B"&amp;$I56&amp;":T"&amp;$I56&amp;""),1,MATCH(TEXT(F56,0),INDIRECT("数出表_Excel!B"&amp;$I56&amp;":T"&amp;$I56&amp;""),0))),""),4),"1",""),
"")
&amp;"3")),"")</f>
        <v/>
      </c>
      <c r="O56" t="str" cm="1">
        <f t="array" aca="1" ref="O56" ca="1">IFERROR(IF(OR(COUNTIF(INDIRECT("数出表_Excel!"&amp;
IFERROR(
SUBSTITUTE(ADDRESS(1,
IFERROR(COLUMN(INDEX(INDIRECT("数出表_Excel!B"&amp;$I56&amp;":T"&amp;$I56&amp;""),1,MATCH(TEXT(G56,0),INDIRECT("数出表_Excel!B"&amp;$I56&amp;":T"&amp;$I56&amp;""),0))),""),4),"1",""),
"")
&amp;"3"),"*キャラ*"),
COUNTIF(INDIRECT("数出表_Excel!"&amp;
IFERROR(
SUBSTITUTE(ADDRESS(1,
IFERROR(COLUMN(INDEX(INDIRECT("数出表_Excel!B"&amp;$I56&amp;":T"&amp;$I56&amp;""),1,MATCH(TEXT(G56,0),INDIRECT("数出表_Excel!B"&amp;$I56&amp;":T"&amp;$I56&amp;""),0))),""),4),"1",""),
"")
&amp;"3"),"*赤*")),
INDIRECT("数出表_Excel!"&amp;
IFERROR(
SUBSTITUTE(ADDRESS(1,
IFERROR(COLUMN(INDEX(INDIRECT("数出表_Excel!B"&amp;$I56&amp;":T"&amp;$I56&amp;""),1,MATCH(TEXT(G56,0),INDIRECT("数出表_Excel!B"&amp;$I56&amp;":T"&amp;$I56&amp;""),0))),""),4),"1",""),
"")
&amp;"3")
&amp;"　"&amp;INDIRECT("数出表_Excel!"&amp;
IFERROR(
SUBSTITUTE(ADDRESS(1,
IFERROR(COLUMN(INDEX(INDIRECT("数出表_Excel!B"&amp;$I56&amp;":T"&amp;$I56&amp;""),1,MATCH(TEXT(G56,0),INDIRECT("数出表_Excel!B"&amp;$I56&amp;":T"&amp;$I56&amp;""),0))),""),4),"1",""),
"")
&amp;"4")
&amp;INDIRECT("数出表_Excel!"&amp;
IFERROR(
SUBSTITUTE(ADDRESS(1,
IFERROR(COLUMN(INDEX(INDIRECT("数出表_Excel!B"&amp;$I56&amp;":T"&amp;$I56&amp;""),1,MATCH(TEXT(G56,0),INDIRECT("数出表_Excel!B"&amp;$I56&amp;":T"&amp;$I56&amp;""),0))),""),4),"1",""),
"")
&amp;"5"),
INDIRECT("数出表_Excel!"&amp;
IFERROR(
SUBSTITUTE(ADDRESS(1,
IFERROR(COLUMN(INDEX(INDIRECT("数出表_Excel!B"&amp;$I56&amp;":T"&amp;$I56&amp;""),1,MATCH(TEXT(G56,0),INDIRECT("数出表_Excel!B"&amp;$I56&amp;":T"&amp;$I56&amp;""),0))),""),4),"1",""),
"")
&amp;"3")),"")</f>
        <v/>
      </c>
    </row>
    <row r="57" spans="9:15">
      <c r="I57" t="str">
        <f>IF(A57&lt;&gt;"",MATCH(A57,数出表_Excel!A:A,0),"")</f>
        <v/>
      </c>
      <c r="J57" t="str" cm="1">
        <f t="array" aca="1" ref="J57" ca="1">IFERROR(IF(OR(COUNTIF(INDIRECT("数出表_Excel!"&amp;
IFERROR(
SUBSTITUTE(ADDRESS(1,
IFERROR(COLUMN(INDEX(INDIRECT("数出表_Excel!B"&amp;$I57-1&amp;":T"&amp;$I57-1&amp;""),1,MATCH(TEXT(B57,0),INDIRECT("数出表_Excel!B"&amp;$I57-1&amp;":T"&amp;$I57-1&amp;""),0))),""),4),"1",""),
"")
&amp;"3"),"*キャラ*"),
COUNTIF(INDIRECT("数出表_Excel!"&amp;
IFERROR(
SUBSTITUTE(ADDRESS(1,
IFERROR(COLUMN(INDEX(INDIRECT("数出表_Excel!B"&amp;$I57-1&amp;":T"&amp;$I57-1&amp;""),1,MATCH(TEXT(B57,0),INDIRECT("数出表_Excel!B"&amp;$I57-1&amp;":T"&amp;$I57-1&amp;""),0))),""),4),"1",""),
"")
&amp;"3"),"*赤*")),
INDIRECT("数出表_Excel!"&amp;
IFERROR(
SUBSTITUTE(ADDRESS(1,
IFERROR(COLUMN(INDEX(INDIRECT("数出表_Excel!B"&amp;$I57-1&amp;":T"&amp;$I57-1&amp;""),1,MATCH(TEXT(B57,0),INDIRECT("数出表_Excel!B"&amp;$I57-1&amp;":T"&amp;$I57-1&amp;""),0))),""),4),"1",""),
"")
&amp;"3")
&amp;"　"&amp;INDIRECT("数出表_Excel!"&amp;
IFERROR(
SUBSTITUTE(ADDRESS(1,
IFERROR(COLUMN(INDEX(INDIRECT("数出表_Excel!B"&amp;$I57-1&amp;":T"&amp;$I57-1&amp;""),1,MATCH(TEXT(B57,0),INDIRECT("数出表_Excel!B"&amp;$I57-1&amp;":T"&amp;$I57-1&amp;""),0))),""),4),"1",""),
"")
&amp;"4")
&amp;INDIRECT("数出表_Excel!"&amp;
IFERROR(
SUBSTITUTE(ADDRESS(1,
IFERROR(COLUMN(INDEX(INDIRECT("数出表_Excel!B"&amp;$I57-1&amp;":T"&amp;$I57-1&amp;""),1,MATCH(TEXT(B57,0),INDIRECT("数出表_Excel!B"&amp;$I57-1&amp;":T"&amp;$I57-1&amp;""),0))),""),4),"1",""),
"")
&amp;"5"),
INDIRECT("数出表_Excel!"&amp;
IFERROR(
SUBSTITUTE(ADDRESS(1,
IFERROR(COLUMN(INDEX(INDIRECT("数出表_Excel!B"&amp;$I57-1&amp;":T"&amp;$I57-1&amp;""),1,MATCH(TEXT(B57,0),INDIRECT("数出表_Excel!B"&amp;$I57-1&amp;":T"&amp;$I57-1&amp;""),0))),""),4),"1",""),
"")
&amp;"3")),"")</f>
        <v/>
      </c>
      <c r="K57" t="str" cm="1">
        <f t="array" aca="1" ref="K57" ca="1">IFERROR(IF(OR(COUNTIF(INDIRECT("数出表_Excel!"&amp;
IFERROR(
SUBSTITUTE(ADDRESS(1,
IFERROR(COLUMN(INDEX(INDIRECT("数出表_Excel!B"&amp;$I57-1&amp;":T"&amp;$I57-1&amp;""),1,MATCH(TEXT(C57,0),INDIRECT("数出表_Excel!B"&amp;$I57-1&amp;":T"&amp;$I57-1&amp;""),0))),""),4),"1",""),
"")
&amp;"3"),"*キャラ*"),
COUNTIF(INDIRECT("数出表_Excel!"&amp;
IFERROR(
SUBSTITUTE(ADDRESS(1,
IFERROR(COLUMN(INDEX(INDIRECT("数出表_Excel!B"&amp;$I57-1&amp;":T"&amp;$I57-1&amp;""),1,MATCH(TEXT(C57,0),INDIRECT("数出表_Excel!B"&amp;$I57-1&amp;":T"&amp;$I57-1&amp;""),0))),""),4),"1",""),
"")
&amp;"3"),"*赤*")),
INDIRECT("数出表_Excel!"&amp;
IFERROR(
SUBSTITUTE(ADDRESS(1,
IFERROR(COLUMN(INDEX(INDIRECT("数出表_Excel!B"&amp;$I57-1&amp;":T"&amp;$I57-1&amp;""),1,MATCH(TEXT(C57,0),INDIRECT("数出表_Excel!B"&amp;$I57-1&amp;":T"&amp;$I57-1&amp;""),0))),""),4),"1",""),
"")
&amp;"3")
&amp;"　"&amp;INDIRECT("数出表_Excel!"&amp;
IFERROR(
SUBSTITUTE(ADDRESS(1,
IFERROR(COLUMN(INDEX(INDIRECT("数出表_Excel!B"&amp;$I57-1&amp;":T"&amp;$I57-1&amp;""),1,MATCH(TEXT(C57,0),INDIRECT("数出表_Excel!B"&amp;$I57-1&amp;":T"&amp;$I57-1&amp;""),0))),""),4),"1",""),
"")
&amp;"4")
&amp;INDIRECT("数出表_Excel!"&amp;
IFERROR(
SUBSTITUTE(ADDRESS(1,
IFERROR(COLUMN(INDEX(INDIRECT("数出表_Excel!B"&amp;$I57-1&amp;":T"&amp;$I57-1&amp;""),1,MATCH(TEXT(C57,0),INDIRECT("数出表_Excel!B"&amp;$I57-1&amp;":T"&amp;$I57-1&amp;""),0))),""),4),"1",""),
"")
&amp;"5"),
INDIRECT("数出表_Excel!"&amp;
IFERROR(
SUBSTITUTE(ADDRESS(1,
IFERROR(COLUMN(INDEX(INDIRECT("数出表_Excel!B"&amp;$I57-1&amp;":T"&amp;$I57-1&amp;""),1,MATCH(TEXT(C57,0),INDIRECT("数出表_Excel!B"&amp;$I57-1&amp;":T"&amp;$I57-1&amp;""),0))),""),4),"1",""),
"")
&amp;"3")),"")</f>
        <v/>
      </c>
      <c r="L57" t="str" cm="1">
        <f t="array" aca="1" ref="L57" ca="1">IFERROR(IF(OR(COUNTIF(INDIRECT("数出表_Excel!"&amp;
IFERROR(
SUBSTITUTE(ADDRESS(1,
IFERROR(COLUMN(INDEX(INDIRECT("数出表_Excel!B"&amp;$I57-1&amp;":T"&amp;$I57-1&amp;""),1,MATCH(TEXT(D57,0),INDIRECT("数出表_Excel!B"&amp;$I57-1&amp;":T"&amp;$I57-1&amp;""),0))),""),4),"1",""),
"")
&amp;"3"),"*キャラ*"),
COUNTIF(INDIRECT("数出表_Excel!"&amp;
IFERROR(
SUBSTITUTE(ADDRESS(1,
IFERROR(COLUMN(INDEX(INDIRECT("数出表_Excel!B"&amp;$I57-1&amp;":T"&amp;$I57-1&amp;""),1,MATCH(TEXT(D57,0),INDIRECT("数出表_Excel!B"&amp;$I57-1&amp;":T"&amp;$I57-1&amp;""),0))),""),4),"1",""),
"")
&amp;"3"),"*赤*")),
INDIRECT("数出表_Excel!"&amp;
IFERROR(
SUBSTITUTE(ADDRESS(1,
IFERROR(COLUMN(INDEX(INDIRECT("数出表_Excel!B"&amp;$I57-1&amp;":T"&amp;$I57-1&amp;""),1,MATCH(TEXT(D57,0),INDIRECT("数出表_Excel!B"&amp;$I57-1&amp;":T"&amp;$I57-1&amp;""),0))),""),4),"1",""),
"")
&amp;"3")
&amp;"　"&amp;INDIRECT("数出表_Excel!"&amp;
IFERROR(
SUBSTITUTE(ADDRESS(1,
IFERROR(COLUMN(INDEX(INDIRECT("数出表_Excel!B"&amp;$I57-1&amp;":T"&amp;$I57-1&amp;""),1,MATCH(TEXT(D57,0),INDIRECT("数出表_Excel!B"&amp;$I57-1&amp;":T"&amp;$I57-1&amp;""),0))),""),4),"1",""),
"")
&amp;"4")
&amp;INDIRECT("数出表_Excel!"&amp;
IFERROR(
SUBSTITUTE(ADDRESS(1,
IFERROR(COLUMN(INDEX(INDIRECT("数出表_Excel!B"&amp;$I57-1&amp;":T"&amp;$I57-1&amp;""),1,MATCH(TEXT(D57,0),INDIRECT("数出表_Excel!B"&amp;$I57-1&amp;":T"&amp;$I57-1&amp;""),0))),""),4),"1",""),
"")
&amp;"5"),
INDIRECT("数出表_Excel!"&amp;
IFERROR(
SUBSTITUTE(ADDRESS(1,
IFERROR(COLUMN(INDEX(INDIRECT("数出表_Excel!B"&amp;$I57-1&amp;":T"&amp;$I57-1&amp;""),1,MATCH(TEXT(D57,0),INDIRECT("数出表_Excel!B"&amp;$I57-1&amp;":T"&amp;$I57-1&amp;""),0))),""),4),"1",""),
"")
&amp;"3")),"")</f>
        <v/>
      </c>
      <c r="M57" t="str" cm="1">
        <f t="array" aca="1" ref="M57" ca="1">IFERROR(IF(OR(COUNTIF(INDIRECT("数出表_Excel!"&amp;
IFERROR(
SUBSTITUTE(ADDRESS(1,
IFERROR(COLUMN(INDEX(INDIRECT("数出表_Excel!B"&amp;$I57&amp;":T"&amp;$I57&amp;""),1,MATCH(TEXT(E57,0),INDIRECT("数出表_Excel!B"&amp;$I57&amp;":T"&amp;$I57&amp;""),0))),""),4),"1",""),
"")
&amp;"3"),"*キャラ*"),
COUNTIF(INDIRECT("数出表_Excel!"&amp;
IFERROR(
SUBSTITUTE(ADDRESS(1,
IFERROR(COLUMN(INDEX(INDIRECT("数出表_Excel!B"&amp;$I57&amp;":T"&amp;$I57&amp;""),1,MATCH(TEXT(E57,0),INDIRECT("数出表_Excel!B"&amp;$I57&amp;":T"&amp;$I57&amp;""),0))),""),4),"1",""),
"")
&amp;"3"),"*赤*")),
INDIRECT("数出表_Excel!"&amp;
IFERROR(
SUBSTITUTE(ADDRESS(1,
IFERROR(COLUMN(INDEX(INDIRECT("数出表_Excel!B"&amp;$I57&amp;":T"&amp;$I57&amp;""),1,MATCH(TEXT(E57,0),INDIRECT("数出表_Excel!B"&amp;$I57&amp;":T"&amp;$I57&amp;""),0))),""),4),"1",""),
"")
&amp;"3")
&amp;"　"&amp;INDIRECT("数出表_Excel!"&amp;
IFERROR(
SUBSTITUTE(ADDRESS(1,
IFERROR(COLUMN(INDEX(INDIRECT("数出表_Excel!B"&amp;$I57&amp;":T"&amp;$I57&amp;""),1,MATCH(TEXT(E57,0),INDIRECT("数出表_Excel!B"&amp;$I57&amp;":T"&amp;$I57&amp;""),0))),""),4),"1",""),
"")
&amp;"4")
&amp;INDIRECT("数出表_Excel!"&amp;
IFERROR(
SUBSTITUTE(ADDRESS(1,
IFERROR(COLUMN(INDEX(INDIRECT("数出表_Excel!B"&amp;$I57&amp;":T"&amp;$I57&amp;""),1,MATCH(TEXT(E57,0),INDIRECT("数出表_Excel!B"&amp;$I57&amp;":T"&amp;$I57&amp;""),0))),""),4),"1",""),
"")
&amp;"5"),
INDIRECT("数出表_Excel!"&amp;
IFERROR(
SUBSTITUTE(ADDRESS(1,
IFERROR(COLUMN(INDEX(INDIRECT("数出表_Excel!B"&amp;$I57&amp;":T"&amp;$I57&amp;""),1,MATCH(TEXT(E57,0),INDIRECT("数出表_Excel!B"&amp;$I57&amp;":T"&amp;$I57&amp;""),0))),""),4),"1",""),
"")
&amp;"3")),"")</f>
        <v/>
      </c>
      <c r="N57" t="str" cm="1">
        <f t="array" aca="1" ref="N57" ca="1">IFERROR(IF(OR(COUNTIF(INDIRECT("数出表_Excel!"&amp;
IFERROR(
SUBSTITUTE(ADDRESS(1,
IFERROR(COLUMN(INDEX(INDIRECT("数出表_Excel!B"&amp;$I57&amp;":T"&amp;$I57&amp;""),1,MATCH(TEXT(F57,0),INDIRECT("数出表_Excel!B"&amp;$I57&amp;":T"&amp;$I57&amp;""),0))),""),4),"1",""),
"")
&amp;"3"),"*キャラ*"),
COUNTIF(INDIRECT("数出表_Excel!"&amp;
IFERROR(
SUBSTITUTE(ADDRESS(1,
IFERROR(COLUMN(INDEX(INDIRECT("数出表_Excel!B"&amp;$I57&amp;":T"&amp;$I57&amp;""),1,MATCH(TEXT(F57,0),INDIRECT("数出表_Excel!B"&amp;$I57&amp;":T"&amp;$I57&amp;""),0))),""),4),"1",""),
"")
&amp;"3"),"*赤*")),
INDIRECT("数出表_Excel!"&amp;
IFERROR(
SUBSTITUTE(ADDRESS(1,
IFERROR(COLUMN(INDEX(INDIRECT("数出表_Excel!B"&amp;$I57&amp;":T"&amp;$I57&amp;""),1,MATCH(TEXT(F57,0),INDIRECT("数出表_Excel!B"&amp;$I57&amp;":T"&amp;$I57&amp;""),0))),""),4),"1",""),
"")
&amp;"3")
&amp;"　"&amp;INDIRECT("数出表_Excel!"&amp;
IFERROR(
SUBSTITUTE(ADDRESS(1,
IFERROR(COLUMN(INDEX(INDIRECT("数出表_Excel!B"&amp;$I57&amp;":T"&amp;$I57&amp;""),1,MATCH(TEXT(F57,0),INDIRECT("数出表_Excel!B"&amp;$I57&amp;":T"&amp;$I57&amp;""),0))),""),4),"1",""),
"")
&amp;"4")
&amp;INDIRECT("数出表_Excel!"&amp;
IFERROR(
SUBSTITUTE(ADDRESS(1,
IFERROR(COLUMN(INDEX(INDIRECT("数出表_Excel!B"&amp;$I57&amp;":T"&amp;$I57&amp;""),1,MATCH(TEXT(F57,0),INDIRECT("数出表_Excel!B"&amp;$I57&amp;":T"&amp;$I57&amp;""),0))),""),4),"1",""),
"")
&amp;"5"),
INDIRECT("数出表_Excel!"&amp;
IFERROR(
SUBSTITUTE(ADDRESS(1,
IFERROR(COLUMN(INDEX(INDIRECT("数出表_Excel!B"&amp;$I57&amp;":T"&amp;$I57&amp;""),1,MATCH(TEXT(F57,0),INDIRECT("数出表_Excel!B"&amp;$I57&amp;":T"&amp;$I57&amp;""),0))),""),4),"1",""),
"")
&amp;"3")),"")</f>
        <v/>
      </c>
      <c r="O57" t="str" cm="1">
        <f t="array" aca="1" ref="O57" ca="1">IFERROR(IF(OR(COUNTIF(INDIRECT("数出表_Excel!"&amp;
IFERROR(
SUBSTITUTE(ADDRESS(1,
IFERROR(COLUMN(INDEX(INDIRECT("数出表_Excel!B"&amp;$I57&amp;":T"&amp;$I57&amp;""),1,MATCH(TEXT(G57,0),INDIRECT("数出表_Excel!B"&amp;$I57&amp;":T"&amp;$I57&amp;""),0))),""),4),"1",""),
"")
&amp;"3"),"*キャラ*"),
COUNTIF(INDIRECT("数出表_Excel!"&amp;
IFERROR(
SUBSTITUTE(ADDRESS(1,
IFERROR(COLUMN(INDEX(INDIRECT("数出表_Excel!B"&amp;$I57&amp;":T"&amp;$I57&amp;""),1,MATCH(TEXT(G57,0),INDIRECT("数出表_Excel!B"&amp;$I57&amp;":T"&amp;$I57&amp;""),0))),""),4),"1",""),
"")
&amp;"3"),"*赤*")),
INDIRECT("数出表_Excel!"&amp;
IFERROR(
SUBSTITUTE(ADDRESS(1,
IFERROR(COLUMN(INDEX(INDIRECT("数出表_Excel!B"&amp;$I57&amp;":T"&amp;$I57&amp;""),1,MATCH(TEXT(G57,0),INDIRECT("数出表_Excel!B"&amp;$I57&amp;":T"&amp;$I57&amp;""),0))),""),4),"1",""),
"")
&amp;"3")
&amp;"　"&amp;INDIRECT("数出表_Excel!"&amp;
IFERROR(
SUBSTITUTE(ADDRESS(1,
IFERROR(COLUMN(INDEX(INDIRECT("数出表_Excel!B"&amp;$I57&amp;":T"&amp;$I57&amp;""),1,MATCH(TEXT(G57,0),INDIRECT("数出表_Excel!B"&amp;$I57&amp;":T"&amp;$I57&amp;""),0))),""),4),"1",""),
"")
&amp;"4")
&amp;INDIRECT("数出表_Excel!"&amp;
IFERROR(
SUBSTITUTE(ADDRESS(1,
IFERROR(COLUMN(INDEX(INDIRECT("数出表_Excel!B"&amp;$I57&amp;":T"&amp;$I57&amp;""),1,MATCH(TEXT(G57,0),INDIRECT("数出表_Excel!B"&amp;$I57&amp;":T"&amp;$I57&amp;""),0))),""),4),"1",""),
"")
&amp;"5"),
INDIRECT("数出表_Excel!"&amp;
IFERROR(
SUBSTITUTE(ADDRESS(1,
IFERROR(COLUMN(INDEX(INDIRECT("数出表_Excel!B"&amp;$I57&amp;":T"&amp;$I57&amp;""),1,MATCH(TEXT(G57,0),INDIRECT("数出表_Excel!B"&amp;$I57&amp;":T"&amp;$I57&amp;""),0))),""),4),"1",""),
"")
&amp;"3")),"")</f>
        <v/>
      </c>
    </row>
    <row r="58" spans="9:15">
      <c r="I58" t="str">
        <f>IF(A58&lt;&gt;"",MATCH(A58,数出表_Excel!A:A,0),"")</f>
        <v/>
      </c>
      <c r="J58" t="str" cm="1">
        <f t="array" aca="1" ref="J58" ca="1">IFERROR(IF(OR(COUNTIF(INDIRECT("数出表_Excel!"&amp;
IFERROR(
SUBSTITUTE(ADDRESS(1,
IFERROR(COLUMN(INDEX(INDIRECT("数出表_Excel!B"&amp;$I58-1&amp;":T"&amp;$I58-1&amp;""),1,MATCH(TEXT(B58,0),INDIRECT("数出表_Excel!B"&amp;$I58-1&amp;":T"&amp;$I58-1&amp;""),0))),""),4),"1",""),
"")
&amp;"3"),"*キャラ*"),
COUNTIF(INDIRECT("数出表_Excel!"&amp;
IFERROR(
SUBSTITUTE(ADDRESS(1,
IFERROR(COLUMN(INDEX(INDIRECT("数出表_Excel!B"&amp;$I58-1&amp;":T"&amp;$I58-1&amp;""),1,MATCH(TEXT(B58,0),INDIRECT("数出表_Excel!B"&amp;$I58-1&amp;":T"&amp;$I58-1&amp;""),0))),""),4),"1",""),
"")
&amp;"3"),"*赤*")),
INDIRECT("数出表_Excel!"&amp;
IFERROR(
SUBSTITUTE(ADDRESS(1,
IFERROR(COLUMN(INDEX(INDIRECT("数出表_Excel!B"&amp;$I58-1&amp;":T"&amp;$I58-1&amp;""),1,MATCH(TEXT(B58,0),INDIRECT("数出表_Excel!B"&amp;$I58-1&amp;":T"&amp;$I58-1&amp;""),0))),""),4),"1",""),
"")
&amp;"3")
&amp;"　"&amp;INDIRECT("数出表_Excel!"&amp;
IFERROR(
SUBSTITUTE(ADDRESS(1,
IFERROR(COLUMN(INDEX(INDIRECT("数出表_Excel!B"&amp;$I58-1&amp;":T"&amp;$I58-1&amp;""),1,MATCH(TEXT(B58,0),INDIRECT("数出表_Excel!B"&amp;$I58-1&amp;":T"&amp;$I58-1&amp;""),0))),""),4),"1",""),
"")
&amp;"4")
&amp;INDIRECT("数出表_Excel!"&amp;
IFERROR(
SUBSTITUTE(ADDRESS(1,
IFERROR(COLUMN(INDEX(INDIRECT("数出表_Excel!B"&amp;$I58-1&amp;":T"&amp;$I58-1&amp;""),1,MATCH(TEXT(B58,0),INDIRECT("数出表_Excel!B"&amp;$I58-1&amp;":T"&amp;$I58-1&amp;""),0))),""),4),"1",""),
"")
&amp;"5"),
INDIRECT("数出表_Excel!"&amp;
IFERROR(
SUBSTITUTE(ADDRESS(1,
IFERROR(COLUMN(INDEX(INDIRECT("数出表_Excel!B"&amp;$I58-1&amp;":T"&amp;$I58-1&amp;""),1,MATCH(TEXT(B58,0),INDIRECT("数出表_Excel!B"&amp;$I58-1&amp;":T"&amp;$I58-1&amp;""),0))),""),4),"1",""),
"")
&amp;"3")),"")</f>
        <v/>
      </c>
      <c r="K58" t="str" cm="1">
        <f t="array" aca="1" ref="K58" ca="1">IFERROR(IF(OR(COUNTIF(INDIRECT("数出表_Excel!"&amp;
IFERROR(
SUBSTITUTE(ADDRESS(1,
IFERROR(COLUMN(INDEX(INDIRECT("数出表_Excel!B"&amp;$I58-1&amp;":T"&amp;$I58-1&amp;""),1,MATCH(TEXT(C58,0),INDIRECT("数出表_Excel!B"&amp;$I58-1&amp;":T"&amp;$I58-1&amp;""),0))),""),4),"1",""),
"")
&amp;"3"),"*キャラ*"),
COUNTIF(INDIRECT("数出表_Excel!"&amp;
IFERROR(
SUBSTITUTE(ADDRESS(1,
IFERROR(COLUMN(INDEX(INDIRECT("数出表_Excel!B"&amp;$I58-1&amp;":T"&amp;$I58-1&amp;""),1,MATCH(TEXT(C58,0),INDIRECT("数出表_Excel!B"&amp;$I58-1&amp;":T"&amp;$I58-1&amp;""),0))),""),4),"1",""),
"")
&amp;"3"),"*赤*")),
INDIRECT("数出表_Excel!"&amp;
IFERROR(
SUBSTITUTE(ADDRESS(1,
IFERROR(COLUMN(INDEX(INDIRECT("数出表_Excel!B"&amp;$I58-1&amp;":T"&amp;$I58-1&amp;""),1,MATCH(TEXT(C58,0),INDIRECT("数出表_Excel!B"&amp;$I58-1&amp;":T"&amp;$I58-1&amp;""),0))),""),4),"1",""),
"")
&amp;"3")
&amp;"　"&amp;INDIRECT("数出表_Excel!"&amp;
IFERROR(
SUBSTITUTE(ADDRESS(1,
IFERROR(COLUMN(INDEX(INDIRECT("数出表_Excel!B"&amp;$I58-1&amp;":T"&amp;$I58-1&amp;""),1,MATCH(TEXT(C58,0),INDIRECT("数出表_Excel!B"&amp;$I58-1&amp;":T"&amp;$I58-1&amp;""),0))),""),4),"1",""),
"")
&amp;"4")
&amp;INDIRECT("数出表_Excel!"&amp;
IFERROR(
SUBSTITUTE(ADDRESS(1,
IFERROR(COLUMN(INDEX(INDIRECT("数出表_Excel!B"&amp;$I58-1&amp;":T"&amp;$I58-1&amp;""),1,MATCH(TEXT(C58,0),INDIRECT("数出表_Excel!B"&amp;$I58-1&amp;":T"&amp;$I58-1&amp;""),0))),""),4),"1",""),
"")
&amp;"5"),
INDIRECT("数出表_Excel!"&amp;
IFERROR(
SUBSTITUTE(ADDRESS(1,
IFERROR(COLUMN(INDEX(INDIRECT("数出表_Excel!B"&amp;$I58-1&amp;":T"&amp;$I58-1&amp;""),1,MATCH(TEXT(C58,0),INDIRECT("数出表_Excel!B"&amp;$I58-1&amp;":T"&amp;$I58-1&amp;""),0))),""),4),"1",""),
"")
&amp;"3")),"")</f>
        <v/>
      </c>
      <c r="L58" t="str" cm="1">
        <f t="array" aca="1" ref="L58" ca="1">IFERROR(IF(OR(COUNTIF(INDIRECT("数出表_Excel!"&amp;
IFERROR(
SUBSTITUTE(ADDRESS(1,
IFERROR(COLUMN(INDEX(INDIRECT("数出表_Excel!B"&amp;$I58-1&amp;":T"&amp;$I58-1&amp;""),1,MATCH(TEXT(D58,0),INDIRECT("数出表_Excel!B"&amp;$I58-1&amp;":T"&amp;$I58-1&amp;""),0))),""),4),"1",""),
"")
&amp;"3"),"*キャラ*"),
COUNTIF(INDIRECT("数出表_Excel!"&amp;
IFERROR(
SUBSTITUTE(ADDRESS(1,
IFERROR(COLUMN(INDEX(INDIRECT("数出表_Excel!B"&amp;$I58-1&amp;":T"&amp;$I58-1&amp;""),1,MATCH(TEXT(D58,0),INDIRECT("数出表_Excel!B"&amp;$I58-1&amp;":T"&amp;$I58-1&amp;""),0))),""),4),"1",""),
"")
&amp;"3"),"*赤*")),
INDIRECT("数出表_Excel!"&amp;
IFERROR(
SUBSTITUTE(ADDRESS(1,
IFERROR(COLUMN(INDEX(INDIRECT("数出表_Excel!B"&amp;$I58-1&amp;":T"&amp;$I58-1&amp;""),1,MATCH(TEXT(D58,0),INDIRECT("数出表_Excel!B"&amp;$I58-1&amp;":T"&amp;$I58-1&amp;""),0))),""),4),"1",""),
"")
&amp;"3")
&amp;"　"&amp;INDIRECT("数出表_Excel!"&amp;
IFERROR(
SUBSTITUTE(ADDRESS(1,
IFERROR(COLUMN(INDEX(INDIRECT("数出表_Excel!B"&amp;$I58-1&amp;":T"&amp;$I58-1&amp;""),1,MATCH(TEXT(D58,0),INDIRECT("数出表_Excel!B"&amp;$I58-1&amp;":T"&amp;$I58-1&amp;""),0))),""),4),"1",""),
"")
&amp;"4")
&amp;INDIRECT("数出表_Excel!"&amp;
IFERROR(
SUBSTITUTE(ADDRESS(1,
IFERROR(COLUMN(INDEX(INDIRECT("数出表_Excel!B"&amp;$I58-1&amp;":T"&amp;$I58-1&amp;""),1,MATCH(TEXT(D58,0),INDIRECT("数出表_Excel!B"&amp;$I58-1&amp;":T"&amp;$I58-1&amp;""),0))),""),4),"1",""),
"")
&amp;"5"),
INDIRECT("数出表_Excel!"&amp;
IFERROR(
SUBSTITUTE(ADDRESS(1,
IFERROR(COLUMN(INDEX(INDIRECT("数出表_Excel!B"&amp;$I58-1&amp;":T"&amp;$I58-1&amp;""),1,MATCH(TEXT(D58,0),INDIRECT("数出表_Excel!B"&amp;$I58-1&amp;":T"&amp;$I58-1&amp;""),0))),""),4),"1",""),
"")
&amp;"3")),"")</f>
        <v/>
      </c>
      <c r="M58" t="str" cm="1">
        <f t="array" aca="1" ref="M58" ca="1">IFERROR(IF(OR(COUNTIF(INDIRECT("数出表_Excel!"&amp;
IFERROR(
SUBSTITUTE(ADDRESS(1,
IFERROR(COLUMN(INDEX(INDIRECT("数出表_Excel!B"&amp;$I58&amp;":T"&amp;$I58&amp;""),1,MATCH(TEXT(E58,0),INDIRECT("数出表_Excel!B"&amp;$I58&amp;":T"&amp;$I58&amp;""),0))),""),4),"1",""),
"")
&amp;"3"),"*キャラ*"),
COUNTIF(INDIRECT("数出表_Excel!"&amp;
IFERROR(
SUBSTITUTE(ADDRESS(1,
IFERROR(COLUMN(INDEX(INDIRECT("数出表_Excel!B"&amp;$I58&amp;":T"&amp;$I58&amp;""),1,MATCH(TEXT(E58,0),INDIRECT("数出表_Excel!B"&amp;$I58&amp;":T"&amp;$I58&amp;""),0))),""),4),"1",""),
"")
&amp;"3"),"*赤*")),
INDIRECT("数出表_Excel!"&amp;
IFERROR(
SUBSTITUTE(ADDRESS(1,
IFERROR(COLUMN(INDEX(INDIRECT("数出表_Excel!B"&amp;$I58&amp;":T"&amp;$I58&amp;""),1,MATCH(TEXT(E58,0),INDIRECT("数出表_Excel!B"&amp;$I58&amp;":T"&amp;$I58&amp;""),0))),""),4),"1",""),
"")
&amp;"3")
&amp;"　"&amp;INDIRECT("数出表_Excel!"&amp;
IFERROR(
SUBSTITUTE(ADDRESS(1,
IFERROR(COLUMN(INDEX(INDIRECT("数出表_Excel!B"&amp;$I58&amp;":T"&amp;$I58&amp;""),1,MATCH(TEXT(E58,0),INDIRECT("数出表_Excel!B"&amp;$I58&amp;":T"&amp;$I58&amp;""),0))),""),4),"1",""),
"")
&amp;"4")
&amp;INDIRECT("数出表_Excel!"&amp;
IFERROR(
SUBSTITUTE(ADDRESS(1,
IFERROR(COLUMN(INDEX(INDIRECT("数出表_Excel!B"&amp;$I58&amp;":T"&amp;$I58&amp;""),1,MATCH(TEXT(E58,0),INDIRECT("数出表_Excel!B"&amp;$I58&amp;":T"&amp;$I58&amp;""),0))),""),4),"1",""),
"")
&amp;"5"),
INDIRECT("数出表_Excel!"&amp;
IFERROR(
SUBSTITUTE(ADDRESS(1,
IFERROR(COLUMN(INDEX(INDIRECT("数出表_Excel!B"&amp;$I58&amp;":T"&amp;$I58&amp;""),1,MATCH(TEXT(E58,0),INDIRECT("数出表_Excel!B"&amp;$I58&amp;":T"&amp;$I58&amp;""),0))),""),4),"1",""),
"")
&amp;"3")),"")</f>
        <v/>
      </c>
      <c r="N58" t="str" cm="1">
        <f t="array" aca="1" ref="N58" ca="1">IFERROR(IF(OR(COUNTIF(INDIRECT("数出表_Excel!"&amp;
IFERROR(
SUBSTITUTE(ADDRESS(1,
IFERROR(COLUMN(INDEX(INDIRECT("数出表_Excel!B"&amp;$I58&amp;":T"&amp;$I58&amp;""),1,MATCH(TEXT(F58,0),INDIRECT("数出表_Excel!B"&amp;$I58&amp;":T"&amp;$I58&amp;""),0))),""),4),"1",""),
"")
&amp;"3"),"*キャラ*"),
COUNTIF(INDIRECT("数出表_Excel!"&amp;
IFERROR(
SUBSTITUTE(ADDRESS(1,
IFERROR(COLUMN(INDEX(INDIRECT("数出表_Excel!B"&amp;$I58&amp;":T"&amp;$I58&amp;""),1,MATCH(TEXT(F58,0),INDIRECT("数出表_Excel!B"&amp;$I58&amp;":T"&amp;$I58&amp;""),0))),""),4),"1",""),
"")
&amp;"3"),"*赤*")),
INDIRECT("数出表_Excel!"&amp;
IFERROR(
SUBSTITUTE(ADDRESS(1,
IFERROR(COLUMN(INDEX(INDIRECT("数出表_Excel!B"&amp;$I58&amp;":T"&amp;$I58&amp;""),1,MATCH(TEXT(F58,0),INDIRECT("数出表_Excel!B"&amp;$I58&amp;":T"&amp;$I58&amp;""),0))),""),4),"1",""),
"")
&amp;"3")
&amp;"　"&amp;INDIRECT("数出表_Excel!"&amp;
IFERROR(
SUBSTITUTE(ADDRESS(1,
IFERROR(COLUMN(INDEX(INDIRECT("数出表_Excel!B"&amp;$I58&amp;":T"&amp;$I58&amp;""),1,MATCH(TEXT(F58,0),INDIRECT("数出表_Excel!B"&amp;$I58&amp;":T"&amp;$I58&amp;""),0))),""),4),"1",""),
"")
&amp;"4")
&amp;INDIRECT("数出表_Excel!"&amp;
IFERROR(
SUBSTITUTE(ADDRESS(1,
IFERROR(COLUMN(INDEX(INDIRECT("数出表_Excel!B"&amp;$I58&amp;":T"&amp;$I58&amp;""),1,MATCH(TEXT(F58,0),INDIRECT("数出表_Excel!B"&amp;$I58&amp;":T"&amp;$I58&amp;""),0))),""),4),"1",""),
"")
&amp;"5"),
INDIRECT("数出表_Excel!"&amp;
IFERROR(
SUBSTITUTE(ADDRESS(1,
IFERROR(COLUMN(INDEX(INDIRECT("数出表_Excel!B"&amp;$I58&amp;":T"&amp;$I58&amp;""),1,MATCH(TEXT(F58,0),INDIRECT("数出表_Excel!B"&amp;$I58&amp;":T"&amp;$I58&amp;""),0))),""),4),"1",""),
"")
&amp;"3")),"")</f>
        <v/>
      </c>
      <c r="O58" t="str" cm="1">
        <f t="array" aca="1" ref="O58" ca="1">IFERROR(IF(OR(COUNTIF(INDIRECT("数出表_Excel!"&amp;
IFERROR(
SUBSTITUTE(ADDRESS(1,
IFERROR(COLUMN(INDEX(INDIRECT("数出表_Excel!B"&amp;$I58&amp;":T"&amp;$I58&amp;""),1,MATCH(TEXT(G58,0),INDIRECT("数出表_Excel!B"&amp;$I58&amp;":T"&amp;$I58&amp;""),0))),""),4),"1",""),
"")
&amp;"3"),"*キャラ*"),
COUNTIF(INDIRECT("数出表_Excel!"&amp;
IFERROR(
SUBSTITUTE(ADDRESS(1,
IFERROR(COLUMN(INDEX(INDIRECT("数出表_Excel!B"&amp;$I58&amp;":T"&amp;$I58&amp;""),1,MATCH(TEXT(G58,0),INDIRECT("数出表_Excel!B"&amp;$I58&amp;":T"&amp;$I58&amp;""),0))),""),4),"1",""),
"")
&amp;"3"),"*赤*")),
INDIRECT("数出表_Excel!"&amp;
IFERROR(
SUBSTITUTE(ADDRESS(1,
IFERROR(COLUMN(INDEX(INDIRECT("数出表_Excel!B"&amp;$I58&amp;":T"&amp;$I58&amp;""),1,MATCH(TEXT(G58,0),INDIRECT("数出表_Excel!B"&amp;$I58&amp;":T"&amp;$I58&amp;""),0))),""),4),"1",""),
"")
&amp;"3")
&amp;"　"&amp;INDIRECT("数出表_Excel!"&amp;
IFERROR(
SUBSTITUTE(ADDRESS(1,
IFERROR(COLUMN(INDEX(INDIRECT("数出表_Excel!B"&amp;$I58&amp;":T"&amp;$I58&amp;""),1,MATCH(TEXT(G58,0),INDIRECT("数出表_Excel!B"&amp;$I58&amp;":T"&amp;$I58&amp;""),0))),""),4),"1",""),
"")
&amp;"4")
&amp;INDIRECT("数出表_Excel!"&amp;
IFERROR(
SUBSTITUTE(ADDRESS(1,
IFERROR(COLUMN(INDEX(INDIRECT("数出表_Excel!B"&amp;$I58&amp;":T"&amp;$I58&amp;""),1,MATCH(TEXT(G58,0),INDIRECT("数出表_Excel!B"&amp;$I58&amp;":T"&amp;$I58&amp;""),0))),""),4),"1",""),
"")
&amp;"5"),
INDIRECT("数出表_Excel!"&amp;
IFERROR(
SUBSTITUTE(ADDRESS(1,
IFERROR(COLUMN(INDEX(INDIRECT("数出表_Excel!B"&amp;$I58&amp;":T"&amp;$I58&amp;""),1,MATCH(TEXT(G58,0),INDIRECT("数出表_Excel!B"&amp;$I58&amp;":T"&amp;$I58&amp;""),0))),""),4),"1",""),
"")
&amp;"3")),"")</f>
        <v/>
      </c>
    </row>
    <row r="59" spans="9:15">
      <c r="I59" t="str">
        <f>IF(A59&lt;&gt;"",MATCH(A59,数出表_Excel!A:A,0),"")</f>
        <v/>
      </c>
      <c r="J59" t="str" cm="1">
        <f t="array" aca="1" ref="J59" ca="1">IFERROR(IF(OR(COUNTIF(INDIRECT("数出表_Excel!"&amp;
IFERROR(
SUBSTITUTE(ADDRESS(1,
IFERROR(COLUMN(INDEX(INDIRECT("数出表_Excel!B"&amp;$I59-1&amp;":T"&amp;$I59-1&amp;""),1,MATCH(TEXT(B59,0),INDIRECT("数出表_Excel!B"&amp;$I59-1&amp;":T"&amp;$I59-1&amp;""),0))),""),4),"1",""),
"")
&amp;"3"),"*キャラ*"),
COUNTIF(INDIRECT("数出表_Excel!"&amp;
IFERROR(
SUBSTITUTE(ADDRESS(1,
IFERROR(COLUMN(INDEX(INDIRECT("数出表_Excel!B"&amp;$I59-1&amp;":T"&amp;$I59-1&amp;""),1,MATCH(TEXT(B59,0),INDIRECT("数出表_Excel!B"&amp;$I59-1&amp;":T"&amp;$I59-1&amp;""),0))),""),4),"1",""),
"")
&amp;"3"),"*赤*")),
INDIRECT("数出表_Excel!"&amp;
IFERROR(
SUBSTITUTE(ADDRESS(1,
IFERROR(COLUMN(INDEX(INDIRECT("数出表_Excel!B"&amp;$I59-1&amp;":T"&amp;$I59-1&amp;""),1,MATCH(TEXT(B59,0),INDIRECT("数出表_Excel!B"&amp;$I59-1&amp;":T"&amp;$I59-1&amp;""),0))),""),4),"1",""),
"")
&amp;"3")
&amp;"　"&amp;INDIRECT("数出表_Excel!"&amp;
IFERROR(
SUBSTITUTE(ADDRESS(1,
IFERROR(COLUMN(INDEX(INDIRECT("数出表_Excel!B"&amp;$I59-1&amp;":T"&amp;$I59-1&amp;""),1,MATCH(TEXT(B59,0),INDIRECT("数出表_Excel!B"&amp;$I59-1&amp;":T"&amp;$I59-1&amp;""),0))),""),4),"1",""),
"")
&amp;"4")
&amp;INDIRECT("数出表_Excel!"&amp;
IFERROR(
SUBSTITUTE(ADDRESS(1,
IFERROR(COLUMN(INDEX(INDIRECT("数出表_Excel!B"&amp;$I59-1&amp;":T"&amp;$I59-1&amp;""),1,MATCH(TEXT(B59,0),INDIRECT("数出表_Excel!B"&amp;$I59-1&amp;":T"&amp;$I59-1&amp;""),0))),""),4),"1",""),
"")
&amp;"5"),
INDIRECT("数出表_Excel!"&amp;
IFERROR(
SUBSTITUTE(ADDRESS(1,
IFERROR(COLUMN(INDEX(INDIRECT("数出表_Excel!B"&amp;$I59-1&amp;":T"&amp;$I59-1&amp;""),1,MATCH(TEXT(B59,0),INDIRECT("数出表_Excel!B"&amp;$I59-1&amp;":T"&amp;$I59-1&amp;""),0))),""),4),"1",""),
"")
&amp;"3")),"")</f>
        <v/>
      </c>
      <c r="K59" t="str" cm="1">
        <f t="array" aca="1" ref="K59" ca="1">IFERROR(IF(OR(COUNTIF(INDIRECT("数出表_Excel!"&amp;
IFERROR(
SUBSTITUTE(ADDRESS(1,
IFERROR(COLUMN(INDEX(INDIRECT("数出表_Excel!B"&amp;$I59-1&amp;":T"&amp;$I59-1&amp;""),1,MATCH(TEXT(C59,0),INDIRECT("数出表_Excel!B"&amp;$I59-1&amp;":T"&amp;$I59-1&amp;""),0))),""),4),"1",""),
"")
&amp;"3"),"*キャラ*"),
COUNTIF(INDIRECT("数出表_Excel!"&amp;
IFERROR(
SUBSTITUTE(ADDRESS(1,
IFERROR(COLUMN(INDEX(INDIRECT("数出表_Excel!B"&amp;$I59-1&amp;":T"&amp;$I59-1&amp;""),1,MATCH(TEXT(C59,0),INDIRECT("数出表_Excel!B"&amp;$I59-1&amp;":T"&amp;$I59-1&amp;""),0))),""),4),"1",""),
"")
&amp;"3"),"*赤*")),
INDIRECT("数出表_Excel!"&amp;
IFERROR(
SUBSTITUTE(ADDRESS(1,
IFERROR(COLUMN(INDEX(INDIRECT("数出表_Excel!B"&amp;$I59-1&amp;":T"&amp;$I59-1&amp;""),1,MATCH(TEXT(C59,0),INDIRECT("数出表_Excel!B"&amp;$I59-1&amp;":T"&amp;$I59-1&amp;""),0))),""),4),"1",""),
"")
&amp;"3")
&amp;"　"&amp;INDIRECT("数出表_Excel!"&amp;
IFERROR(
SUBSTITUTE(ADDRESS(1,
IFERROR(COLUMN(INDEX(INDIRECT("数出表_Excel!B"&amp;$I59-1&amp;":T"&amp;$I59-1&amp;""),1,MATCH(TEXT(C59,0),INDIRECT("数出表_Excel!B"&amp;$I59-1&amp;":T"&amp;$I59-1&amp;""),0))),""),4),"1",""),
"")
&amp;"4")
&amp;INDIRECT("数出表_Excel!"&amp;
IFERROR(
SUBSTITUTE(ADDRESS(1,
IFERROR(COLUMN(INDEX(INDIRECT("数出表_Excel!B"&amp;$I59-1&amp;":T"&amp;$I59-1&amp;""),1,MATCH(TEXT(C59,0),INDIRECT("数出表_Excel!B"&amp;$I59-1&amp;":T"&amp;$I59-1&amp;""),0))),""),4),"1",""),
"")
&amp;"5"),
INDIRECT("数出表_Excel!"&amp;
IFERROR(
SUBSTITUTE(ADDRESS(1,
IFERROR(COLUMN(INDEX(INDIRECT("数出表_Excel!B"&amp;$I59-1&amp;":T"&amp;$I59-1&amp;""),1,MATCH(TEXT(C59,0),INDIRECT("数出表_Excel!B"&amp;$I59-1&amp;":T"&amp;$I59-1&amp;""),0))),""),4),"1",""),
"")
&amp;"3")),"")</f>
        <v/>
      </c>
      <c r="L59" t="str" cm="1">
        <f t="array" aca="1" ref="L59" ca="1">IFERROR(IF(OR(COUNTIF(INDIRECT("数出表_Excel!"&amp;
IFERROR(
SUBSTITUTE(ADDRESS(1,
IFERROR(COLUMN(INDEX(INDIRECT("数出表_Excel!B"&amp;$I59-1&amp;":T"&amp;$I59-1&amp;""),1,MATCH(TEXT(D59,0),INDIRECT("数出表_Excel!B"&amp;$I59-1&amp;":T"&amp;$I59-1&amp;""),0))),""),4),"1",""),
"")
&amp;"3"),"*キャラ*"),
COUNTIF(INDIRECT("数出表_Excel!"&amp;
IFERROR(
SUBSTITUTE(ADDRESS(1,
IFERROR(COLUMN(INDEX(INDIRECT("数出表_Excel!B"&amp;$I59-1&amp;":T"&amp;$I59-1&amp;""),1,MATCH(TEXT(D59,0),INDIRECT("数出表_Excel!B"&amp;$I59-1&amp;":T"&amp;$I59-1&amp;""),0))),""),4),"1",""),
"")
&amp;"3"),"*赤*")),
INDIRECT("数出表_Excel!"&amp;
IFERROR(
SUBSTITUTE(ADDRESS(1,
IFERROR(COLUMN(INDEX(INDIRECT("数出表_Excel!B"&amp;$I59-1&amp;":T"&amp;$I59-1&amp;""),1,MATCH(TEXT(D59,0),INDIRECT("数出表_Excel!B"&amp;$I59-1&amp;":T"&amp;$I59-1&amp;""),0))),""),4),"1",""),
"")
&amp;"3")
&amp;"　"&amp;INDIRECT("数出表_Excel!"&amp;
IFERROR(
SUBSTITUTE(ADDRESS(1,
IFERROR(COLUMN(INDEX(INDIRECT("数出表_Excel!B"&amp;$I59-1&amp;":T"&amp;$I59-1&amp;""),1,MATCH(TEXT(D59,0),INDIRECT("数出表_Excel!B"&amp;$I59-1&amp;":T"&amp;$I59-1&amp;""),0))),""),4),"1",""),
"")
&amp;"4")
&amp;INDIRECT("数出表_Excel!"&amp;
IFERROR(
SUBSTITUTE(ADDRESS(1,
IFERROR(COLUMN(INDEX(INDIRECT("数出表_Excel!B"&amp;$I59-1&amp;":T"&amp;$I59-1&amp;""),1,MATCH(TEXT(D59,0),INDIRECT("数出表_Excel!B"&amp;$I59-1&amp;":T"&amp;$I59-1&amp;""),0))),""),4),"1",""),
"")
&amp;"5"),
INDIRECT("数出表_Excel!"&amp;
IFERROR(
SUBSTITUTE(ADDRESS(1,
IFERROR(COLUMN(INDEX(INDIRECT("数出表_Excel!B"&amp;$I59-1&amp;":T"&amp;$I59-1&amp;""),1,MATCH(TEXT(D59,0),INDIRECT("数出表_Excel!B"&amp;$I59-1&amp;":T"&amp;$I59-1&amp;""),0))),""),4),"1",""),
"")
&amp;"3")),"")</f>
        <v/>
      </c>
      <c r="M59" t="str" cm="1">
        <f t="array" aca="1" ref="M59" ca="1">IFERROR(IF(OR(COUNTIF(INDIRECT("数出表_Excel!"&amp;
IFERROR(
SUBSTITUTE(ADDRESS(1,
IFERROR(COLUMN(INDEX(INDIRECT("数出表_Excel!B"&amp;$I59&amp;":T"&amp;$I59&amp;""),1,MATCH(TEXT(E59,0),INDIRECT("数出表_Excel!B"&amp;$I59&amp;":T"&amp;$I59&amp;""),0))),""),4),"1",""),
"")
&amp;"3"),"*キャラ*"),
COUNTIF(INDIRECT("数出表_Excel!"&amp;
IFERROR(
SUBSTITUTE(ADDRESS(1,
IFERROR(COLUMN(INDEX(INDIRECT("数出表_Excel!B"&amp;$I59&amp;":T"&amp;$I59&amp;""),1,MATCH(TEXT(E59,0),INDIRECT("数出表_Excel!B"&amp;$I59&amp;":T"&amp;$I59&amp;""),0))),""),4),"1",""),
"")
&amp;"3"),"*赤*")),
INDIRECT("数出表_Excel!"&amp;
IFERROR(
SUBSTITUTE(ADDRESS(1,
IFERROR(COLUMN(INDEX(INDIRECT("数出表_Excel!B"&amp;$I59&amp;":T"&amp;$I59&amp;""),1,MATCH(TEXT(E59,0),INDIRECT("数出表_Excel!B"&amp;$I59&amp;":T"&amp;$I59&amp;""),0))),""),4),"1",""),
"")
&amp;"3")
&amp;"　"&amp;INDIRECT("数出表_Excel!"&amp;
IFERROR(
SUBSTITUTE(ADDRESS(1,
IFERROR(COLUMN(INDEX(INDIRECT("数出表_Excel!B"&amp;$I59&amp;":T"&amp;$I59&amp;""),1,MATCH(TEXT(E59,0),INDIRECT("数出表_Excel!B"&amp;$I59&amp;":T"&amp;$I59&amp;""),0))),""),4),"1",""),
"")
&amp;"4")
&amp;INDIRECT("数出表_Excel!"&amp;
IFERROR(
SUBSTITUTE(ADDRESS(1,
IFERROR(COLUMN(INDEX(INDIRECT("数出表_Excel!B"&amp;$I59&amp;":T"&amp;$I59&amp;""),1,MATCH(TEXT(E59,0),INDIRECT("数出表_Excel!B"&amp;$I59&amp;":T"&amp;$I59&amp;""),0))),""),4),"1",""),
"")
&amp;"5"),
INDIRECT("数出表_Excel!"&amp;
IFERROR(
SUBSTITUTE(ADDRESS(1,
IFERROR(COLUMN(INDEX(INDIRECT("数出表_Excel!B"&amp;$I59&amp;":T"&amp;$I59&amp;""),1,MATCH(TEXT(E59,0),INDIRECT("数出表_Excel!B"&amp;$I59&amp;":T"&amp;$I59&amp;""),0))),""),4),"1",""),
"")
&amp;"3")),"")</f>
        <v/>
      </c>
      <c r="N59" t="str" cm="1">
        <f t="array" aca="1" ref="N59" ca="1">IFERROR(IF(OR(COUNTIF(INDIRECT("数出表_Excel!"&amp;
IFERROR(
SUBSTITUTE(ADDRESS(1,
IFERROR(COLUMN(INDEX(INDIRECT("数出表_Excel!B"&amp;$I59&amp;":T"&amp;$I59&amp;""),1,MATCH(TEXT(F59,0),INDIRECT("数出表_Excel!B"&amp;$I59&amp;":T"&amp;$I59&amp;""),0))),""),4),"1",""),
"")
&amp;"3"),"*キャラ*"),
COUNTIF(INDIRECT("数出表_Excel!"&amp;
IFERROR(
SUBSTITUTE(ADDRESS(1,
IFERROR(COLUMN(INDEX(INDIRECT("数出表_Excel!B"&amp;$I59&amp;":T"&amp;$I59&amp;""),1,MATCH(TEXT(F59,0),INDIRECT("数出表_Excel!B"&amp;$I59&amp;":T"&amp;$I59&amp;""),0))),""),4),"1",""),
"")
&amp;"3"),"*赤*")),
INDIRECT("数出表_Excel!"&amp;
IFERROR(
SUBSTITUTE(ADDRESS(1,
IFERROR(COLUMN(INDEX(INDIRECT("数出表_Excel!B"&amp;$I59&amp;":T"&amp;$I59&amp;""),1,MATCH(TEXT(F59,0),INDIRECT("数出表_Excel!B"&amp;$I59&amp;":T"&amp;$I59&amp;""),0))),""),4),"1",""),
"")
&amp;"3")
&amp;"　"&amp;INDIRECT("数出表_Excel!"&amp;
IFERROR(
SUBSTITUTE(ADDRESS(1,
IFERROR(COLUMN(INDEX(INDIRECT("数出表_Excel!B"&amp;$I59&amp;":T"&amp;$I59&amp;""),1,MATCH(TEXT(F59,0),INDIRECT("数出表_Excel!B"&amp;$I59&amp;":T"&amp;$I59&amp;""),0))),""),4),"1",""),
"")
&amp;"4")
&amp;INDIRECT("数出表_Excel!"&amp;
IFERROR(
SUBSTITUTE(ADDRESS(1,
IFERROR(COLUMN(INDEX(INDIRECT("数出表_Excel!B"&amp;$I59&amp;":T"&amp;$I59&amp;""),1,MATCH(TEXT(F59,0),INDIRECT("数出表_Excel!B"&amp;$I59&amp;":T"&amp;$I59&amp;""),0))),""),4),"1",""),
"")
&amp;"5"),
INDIRECT("数出表_Excel!"&amp;
IFERROR(
SUBSTITUTE(ADDRESS(1,
IFERROR(COLUMN(INDEX(INDIRECT("数出表_Excel!B"&amp;$I59&amp;":T"&amp;$I59&amp;""),1,MATCH(TEXT(F59,0),INDIRECT("数出表_Excel!B"&amp;$I59&amp;":T"&amp;$I59&amp;""),0))),""),4),"1",""),
"")
&amp;"3")),"")</f>
        <v/>
      </c>
      <c r="O59" t="str" cm="1">
        <f t="array" aca="1" ref="O59" ca="1">IFERROR(IF(OR(COUNTIF(INDIRECT("数出表_Excel!"&amp;
IFERROR(
SUBSTITUTE(ADDRESS(1,
IFERROR(COLUMN(INDEX(INDIRECT("数出表_Excel!B"&amp;$I59&amp;":T"&amp;$I59&amp;""),1,MATCH(TEXT(G59,0),INDIRECT("数出表_Excel!B"&amp;$I59&amp;":T"&amp;$I59&amp;""),0))),""),4),"1",""),
"")
&amp;"3"),"*キャラ*"),
COUNTIF(INDIRECT("数出表_Excel!"&amp;
IFERROR(
SUBSTITUTE(ADDRESS(1,
IFERROR(COLUMN(INDEX(INDIRECT("数出表_Excel!B"&amp;$I59&amp;":T"&amp;$I59&amp;""),1,MATCH(TEXT(G59,0),INDIRECT("数出表_Excel!B"&amp;$I59&amp;":T"&amp;$I59&amp;""),0))),""),4),"1",""),
"")
&amp;"3"),"*赤*")),
INDIRECT("数出表_Excel!"&amp;
IFERROR(
SUBSTITUTE(ADDRESS(1,
IFERROR(COLUMN(INDEX(INDIRECT("数出表_Excel!B"&amp;$I59&amp;":T"&amp;$I59&amp;""),1,MATCH(TEXT(G59,0),INDIRECT("数出表_Excel!B"&amp;$I59&amp;":T"&amp;$I59&amp;""),0))),""),4),"1",""),
"")
&amp;"3")
&amp;"　"&amp;INDIRECT("数出表_Excel!"&amp;
IFERROR(
SUBSTITUTE(ADDRESS(1,
IFERROR(COLUMN(INDEX(INDIRECT("数出表_Excel!B"&amp;$I59&amp;":T"&amp;$I59&amp;""),1,MATCH(TEXT(G59,0),INDIRECT("数出表_Excel!B"&amp;$I59&amp;":T"&amp;$I59&amp;""),0))),""),4),"1",""),
"")
&amp;"4")
&amp;INDIRECT("数出表_Excel!"&amp;
IFERROR(
SUBSTITUTE(ADDRESS(1,
IFERROR(COLUMN(INDEX(INDIRECT("数出表_Excel!B"&amp;$I59&amp;":T"&amp;$I59&amp;""),1,MATCH(TEXT(G59,0),INDIRECT("数出表_Excel!B"&amp;$I59&amp;":T"&amp;$I59&amp;""),0))),""),4),"1",""),
"")
&amp;"5"),
INDIRECT("数出表_Excel!"&amp;
IFERROR(
SUBSTITUTE(ADDRESS(1,
IFERROR(COLUMN(INDEX(INDIRECT("数出表_Excel!B"&amp;$I59&amp;":T"&amp;$I59&amp;""),1,MATCH(TEXT(G59,0),INDIRECT("数出表_Excel!B"&amp;$I59&amp;":T"&amp;$I59&amp;""),0))),""),4),"1",""),
"")
&amp;"3")),"")</f>
        <v/>
      </c>
    </row>
    <row r="60" spans="9:15">
      <c r="I60" t="str">
        <f>IF(A60&lt;&gt;"",MATCH(A60,数出表_Excel!A:A,0),"")</f>
        <v/>
      </c>
      <c r="J60" t="str" cm="1">
        <f t="array" aca="1" ref="J60" ca="1">IFERROR(IF(OR(COUNTIF(INDIRECT("数出表_Excel!"&amp;
IFERROR(
SUBSTITUTE(ADDRESS(1,
IFERROR(COLUMN(INDEX(INDIRECT("数出表_Excel!B"&amp;$I60-1&amp;":T"&amp;$I60-1&amp;""),1,MATCH(TEXT(B60,0),INDIRECT("数出表_Excel!B"&amp;$I60-1&amp;":T"&amp;$I60-1&amp;""),0))),""),4),"1",""),
"")
&amp;"3"),"*キャラ*"),
COUNTIF(INDIRECT("数出表_Excel!"&amp;
IFERROR(
SUBSTITUTE(ADDRESS(1,
IFERROR(COLUMN(INDEX(INDIRECT("数出表_Excel!B"&amp;$I60-1&amp;":T"&amp;$I60-1&amp;""),1,MATCH(TEXT(B60,0),INDIRECT("数出表_Excel!B"&amp;$I60-1&amp;":T"&amp;$I60-1&amp;""),0))),""),4),"1",""),
"")
&amp;"3"),"*赤*")),
INDIRECT("数出表_Excel!"&amp;
IFERROR(
SUBSTITUTE(ADDRESS(1,
IFERROR(COLUMN(INDEX(INDIRECT("数出表_Excel!B"&amp;$I60-1&amp;":T"&amp;$I60-1&amp;""),1,MATCH(TEXT(B60,0),INDIRECT("数出表_Excel!B"&amp;$I60-1&amp;":T"&amp;$I60-1&amp;""),0))),""),4),"1",""),
"")
&amp;"3")
&amp;"　"&amp;INDIRECT("数出表_Excel!"&amp;
IFERROR(
SUBSTITUTE(ADDRESS(1,
IFERROR(COLUMN(INDEX(INDIRECT("数出表_Excel!B"&amp;$I60-1&amp;":T"&amp;$I60-1&amp;""),1,MATCH(TEXT(B60,0),INDIRECT("数出表_Excel!B"&amp;$I60-1&amp;":T"&amp;$I60-1&amp;""),0))),""),4),"1",""),
"")
&amp;"4")
&amp;INDIRECT("数出表_Excel!"&amp;
IFERROR(
SUBSTITUTE(ADDRESS(1,
IFERROR(COLUMN(INDEX(INDIRECT("数出表_Excel!B"&amp;$I60-1&amp;":T"&amp;$I60-1&amp;""),1,MATCH(TEXT(B60,0),INDIRECT("数出表_Excel!B"&amp;$I60-1&amp;":T"&amp;$I60-1&amp;""),0))),""),4),"1",""),
"")
&amp;"5"),
INDIRECT("数出表_Excel!"&amp;
IFERROR(
SUBSTITUTE(ADDRESS(1,
IFERROR(COLUMN(INDEX(INDIRECT("数出表_Excel!B"&amp;$I60-1&amp;":T"&amp;$I60-1&amp;""),1,MATCH(TEXT(B60,0),INDIRECT("数出表_Excel!B"&amp;$I60-1&amp;":T"&amp;$I60-1&amp;""),0))),""),4),"1",""),
"")
&amp;"3")),"")</f>
        <v/>
      </c>
      <c r="K60" t="str" cm="1">
        <f t="array" aca="1" ref="K60" ca="1">IFERROR(IF(OR(COUNTIF(INDIRECT("数出表_Excel!"&amp;
IFERROR(
SUBSTITUTE(ADDRESS(1,
IFERROR(COLUMN(INDEX(INDIRECT("数出表_Excel!B"&amp;$I60-1&amp;":T"&amp;$I60-1&amp;""),1,MATCH(TEXT(C60,0),INDIRECT("数出表_Excel!B"&amp;$I60-1&amp;":T"&amp;$I60-1&amp;""),0))),""),4),"1",""),
"")
&amp;"3"),"*キャラ*"),
COUNTIF(INDIRECT("数出表_Excel!"&amp;
IFERROR(
SUBSTITUTE(ADDRESS(1,
IFERROR(COLUMN(INDEX(INDIRECT("数出表_Excel!B"&amp;$I60-1&amp;":T"&amp;$I60-1&amp;""),1,MATCH(TEXT(C60,0),INDIRECT("数出表_Excel!B"&amp;$I60-1&amp;":T"&amp;$I60-1&amp;""),0))),""),4),"1",""),
"")
&amp;"3"),"*赤*")),
INDIRECT("数出表_Excel!"&amp;
IFERROR(
SUBSTITUTE(ADDRESS(1,
IFERROR(COLUMN(INDEX(INDIRECT("数出表_Excel!B"&amp;$I60-1&amp;":T"&amp;$I60-1&amp;""),1,MATCH(TEXT(C60,0),INDIRECT("数出表_Excel!B"&amp;$I60-1&amp;":T"&amp;$I60-1&amp;""),0))),""),4),"1",""),
"")
&amp;"3")
&amp;"　"&amp;INDIRECT("数出表_Excel!"&amp;
IFERROR(
SUBSTITUTE(ADDRESS(1,
IFERROR(COLUMN(INDEX(INDIRECT("数出表_Excel!B"&amp;$I60-1&amp;":T"&amp;$I60-1&amp;""),1,MATCH(TEXT(C60,0),INDIRECT("数出表_Excel!B"&amp;$I60-1&amp;":T"&amp;$I60-1&amp;""),0))),""),4),"1",""),
"")
&amp;"4")
&amp;INDIRECT("数出表_Excel!"&amp;
IFERROR(
SUBSTITUTE(ADDRESS(1,
IFERROR(COLUMN(INDEX(INDIRECT("数出表_Excel!B"&amp;$I60-1&amp;":T"&amp;$I60-1&amp;""),1,MATCH(TEXT(C60,0),INDIRECT("数出表_Excel!B"&amp;$I60-1&amp;":T"&amp;$I60-1&amp;""),0))),""),4),"1",""),
"")
&amp;"5"),
INDIRECT("数出表_Excel!"&amp;
IFERROR(
SUBSTITUTE(ADDRESS(1,
IFERROR(COLUMN(INDEX(INDIRECT("数出表_Excel!B"&amp;$I60-1&amp;":T"&amp;$I60-1&amp;""),1,MATCH(TEXT(C60,0),INDIRECT("数出表_Excel!B"&amp;$I60-1&amp;":T"&amp;$I60-1&amp;""),0))),""),4),"1",""),
"")
&amp;"3")),"")</f>
        <v/>
      </c>
      <c r="L60" t="str" cm="1">
        <f t="array" aca="1" ref="L60" ca="1">IFERROR(IF(OR(COUNTIF(INDIRECT("数出表_Excel!"&amp;
IFERROR(
SUBSTITUTE(ADDRESS(1,
IFERROR(COLUMN(INDEX(INDIRECT("数出表_Excel!B"&amp;$I60-1&amp;":T"&amp;$I60-1&amp;""),1,MATCH(TEXT(D60,0),INDIRECT("数出表_Excel!B"&amp;$I60-1&amp;":T"&amp;$I60-1&amp;""),0))),""),4),"1",""),
"")
&amp;"3"),"*キャラ*"),
COUNTIF(INDIRECT("数出表_Excel!"&amp;
IFERROR(
SUBSTITUTE(ADDRESS(1,
IFERROR(COLUMN(INDEX(INDIRECT("数出表_Excel!B"&amp;$I60-1&amp;":T"&amp;$I60-1&amp;""),1,MATCH(TEXT(D60,0),INDIRECT("数出表_Excel!B"&amp;$I60-1&amp;":T"&amp;$I60-1&amp;""),0))),""),4),"1",""),
"")
&amp;"3"),"*赤*")),
INDIRECT("数出表_Excel!"&amp;
IFERROR(
SUBSTITUTE(ADDRESS(1,
IFERROR(COLUMN(INDEX(INDIRECT("数出表_Excel!B"&amp;$I60-1&amp;":T"&amp;$I60-1&amp;""),1,MATCH(TEXT(D60,0),INDIRECT("数出表_Excel!B"&amp;$I60-1&amp;":T"&amp;$I60-1&amp;""),0))),""),4),"1",""),
"")
&amp;"3")
&amp;"　"&amp;INDIRECT("数出表_Excel!"&amp;
IFERROR(
SUBSTITUTE(ADDRESS(1,
IFERROR(COLUMN(INDEX(INDIRECT("数出表_Excel!B"&amp;$I60-1&amp;":T"&amp;$I60-1&amp;""),1,MATCH(TEXT(D60,0),INDIRECT("数出表_Excel!B"&amp;$I60-1&amp;":T"&amp;$I60-1&amp;""),0))),""),4),"1",""),
"")
&amp;"4")
&amp;INDIRECT("数出表_Excel!"&amp;
IFERROR(
SUBSTITUTE(ADDRESS(1,
IFERROR(COLUMN(INDEX(INDIRECT("数出表_Excel!B"&amp;$I60-1&amp;":T"&amp;$I60-1&amp;""),1,MATCH(TEXT(D60,0),INDIRECT("数出表_Excel!B"&amp;$I60-1&amp;":T"&amp;$I60-1&amp;""),0))),""),4),"1",""),
"")
&amp;"5"),
INDIRECT("数出表_Excel!"&amp;
IFERROR(
SUBSTITUTE(ADDRESS(1,
IFERROR(COLUMN(INDEX(INDIRECT("数出表_Excel!B"&amp;$I60-1&amp;":T"&amp;$I60-1&amp;""),1,MATCH(TEXT(D60,0),INDIRECT("数出表_Excel!B"&amp;$I60-1&amp;":T"&amp;$I60-1&amp;""),0))),""),4),"1",""),
"")
&amp;"3")),"")</f>
        <v/>
      </c>
      <c r="M60" t="str" cm="1">
        <f t="array" aca="1" ref="M60" ca="1">IFERROR(IF(OR(COUNTIF(INDIRECT("数出表_Excel!"&amp;
IFERROR(
SUBSTITUTE(ADDRESS(1,
IFERROR(COLUMN(INDEX(INDIRECT("数出表_Excel!B"&amp;$I60&amp;":T"&amp;$I60&amp;""),1,MATCH(TEXT(E60,0),INDIRECT("数出表_Excel!B"&amp;$I60&amp;":T"&amp;$I60&amp;""),0))),""),4),"1",""),
"")
&amp;"3"),"*キャラ*"),
COUNTIF(INDIRECT("数出表_Excel!"&amp;
IFERROR(
SUBSTITUTE(ADDRESS(1,
IFERROR(COLUMN(INDEX(INDIRECT("数出表_Excel!B"&amp;$I60&amp;":T"&amp;$I60&amp;""),1,MATCH(TEXT(E60,0),INDIRECT("数出表_Excel!B"&amp;$I60&amp;":T"&amp;$I60&amp;""),0))),""),4),"1",""),
"")
&amp;"3"),"*赤*")),
INDIRECT("数出表_Excel!"&amp;
IFERROR(
SUBSTITUTE(ADDRESS(1,
IFERROR(COLUMN(INDEX(INDIRECT("数出表_Excel!B"&amp;$I60&amp;":T"&amp;$I60&amp;""),1,MATCH(TEXT(E60,0),INDIRECT("数出表_Excel!B"&amp;$I60&amp;":T"&amp;$I60&amp;""),0))),""),4),"1",""),
"")
&amp;"3")
&amp;"　"&amp;INDIRECT("数出表_Excel!"&amp;
IFERROR(
SUBSTITUTE(ADDRESS(1,
IFERROR(COLUMN(INDEX(INDIRECT("数出表_Excel!B"&amp;$I60&amp;":T"&amp;$I60&amp;""),1,MATCH(TEXT(E60,0),INDIRECT("数出表_Excel!B"&amp;$I60&amp;":T"&amp;$I60&amp;""),0))),""),4),"1",""),
"")
&amp;"4")
&amp;INDIRECT("数出表_Excel!"&amp;
IFERROR(
SUBSTITUTE(ADDRESS(1,
IFERROR(COLUMN(INDEX(INDIRECT("数出表_Excel!B"&amp;$I60&amp;":T"&amp;$I60&amp;""),1,MATCH(TEXT(E60,0),INDIRECT("数出表_Excel!B"&amp;$I60&amp;":T"&amp;$I60&amp;""),0))),""),4),"1",""),
"")
&amp;"5"),
INDIRECT("数出表_Excel!"&amp;
IFERROR(
SUBSTITUTE(ADDRESS(1,
IFERROR(COLUMN(INDEX(INDIRECT("数出表_Excel!B"&amp;$I60&amp;":T"&amp;$I60&amp;""),1,MATCH(TEXT(E60,0),INDIRECT("数出表_Excel!B"&amp;$I60&amp;":T"&amp;$I60&amp;""),0))),""),4),"1",""),
"")
&amp;"3")),"")</f>
        <v/>
      </c>
      <c r="N60" t="str" cm="1">
        <f t="array" aca="1" ref="N60" ca="1">IFERROR(IF(OR(COUNTIF(INDIRECT("数出表_Excel!"&amp;
IFERROR(
SUBSTITUTE(ADDRESS(1,
IFERROR(COLUMN(INDEX(INDIRECT("数出表_Excel!B"&amp;$I60&amp;":T"&amp;$I60&amp;""),1,MATCH(TEXT(F60,0),INDIRECT("数出表_Excel!B"&amp;$I60&amp;":T"&amp;$I60&amp;""),0))),""),4),"1",""),
"")
&amp;"3"),"*キャラ*"),
COUNTIF(INDIRECT("数出表_Excel!"&amp;
IFERROR(
SUBSTITUTE(ADDRESS(1,
IFERROR(COLUMN(INDEX(INDIRECT("数出表_Excel!B"&amp;$I60&amp;":T"&amp;$I60&amp;""),1,MATCH(TEXT(F60,0),INDIRECT("数出表_Excel!B"&amp;$I60&amp;":T"&amp;$I60&amp;""),0))),""),4),"1",""),
"")
&amp;"3"),"*赤*")),
INDIRECT("数出表_Excel!"&amp;
IFERROR(
SUBSTITUTE(ADDRESS(1,
IFERROR(COLUMN(INDEX(INDIRECT("数出表_Excel!B"&amp;$I60&amp;":T"&amp;$I60&amp;""),1,MATCH(TEXT(F60,0),INDIRECT("数出表_Excel!B"&amp;$I60&amp;":T"&amp;$I60&amp;""),0))),""),4),"1",""),
"")
&amp;"3")
&amp;"　"&amp;INDIRECT("数出表_Excel!"&amp;
IFERROR(
SUBSTITUTE(ADDRESS(1,
IFERROR(COLUMN(INDEX(INDIRECT("数出表_Excel!B"&amp;$I60&amp;":T"&amp;$I60&amp;""),1,MATCH(TEXT(F60,0),INDIRECT("数出表_Excel!B"&amp;$I60&amp;":T"&amp;$I60&amp;""),0))),""),4),"1",""),
"")
&amp;"4")
&amp;INDIRECT("数出表_Excel!"&amp;
IFERROR(
SUBSTITUTE(ADDRESS(1,
IFERROR(COLUMN(INDEX(INDIRECT("数出表_Excel!B"&amp;$I60&amp;":T"&amp;$I60&amp;""),1,MATCH(TEXT(F60,0),INDIRECT("数出表_Excel!B"&amp;$I60&amp;":T"&amp;$I60&amp;""),0))),""),4),"1",""),
"")
&amp;"5"),
INDIRECT("数出表_Excel!"&amp;
IFERROR(
SUBSTITUTE(ADDRESS(1,
IFERROR(COLUMN(INDEX(INDIRECT("数出表_Excel!B"&amp;$I60&amp;":T"&amp;$I60&amp;""),1,MATCH(TEXT(F60,0),INDIRECT("数出表_Excel!B"&amp;$I60&amp;":T"&amp;$I60&amp;""),0))),""),4),"1",""),
"")
&amp;"3")),"")</f>
        <v/>
      </c>
      <c r="O60" t="str" cm="1">
        <f t="array" aca="1" ref="O60" ca="1">IFERROR(IF(OR(COUNTIF(INDIRECT("数出表_Excel!"&amp;
IFERROR(
SUBSTITUTE(ADDRESS(1,
IFERROR(COLUMN(INDEX(INDIRECT("数出表_Excel!B"&amp;$I60&amp;":T"&amp;$I60&amp;""),1,MATCH(TEXT(G60,0),INDIRECT("数出表_Excel!B"&amp;$I60&amp;":T"&amp;$I60&amp;""),0))),""),4),"1",""),
"")
&amp;"3"),"*キャラ*"),
COUNTIF(INDIRECT("数出表_Excel!"&amp;
IFERROR(
SUBSTITUTE(ADDRESS(1,
IFERROR(COLUMN(INDEX(INDIRECT("数出表_Excel!B"&amp;$I60&amp;":T"&amp;$I60&amp;""),1,MATCH(TEXT(G60,0),INDIRECT("数出表_Excel!B"&amp;$I60&amp;":T"&amp;$I60&amp;""),0))),""),4),"1",""),
"")
&amp;"3"),"*赤*")),
INDIRECT("数出表_Excel!"&amp;
IFERROR(
SUBSTITUTE(ADDRESS(1,
IFERROR(COLUMN(INDEX(INDIRECT("数出表_Excel!B"&amp;$I60&amp;":T"&amp;$I60&amp;""),1,MATCH(TEXT(G60,0),INDIRECT("数出表_Excel!B"&amp;$I60&amp;":T"&amp;$I60&amp;""),0))),""),4),"1",""),
"")
&amp;"3")
&amp;"　"&amp;INDIRECT("数出表_Excel!"&amp;
IFERROR(
SUBSTITUTE(ADDRESS(1,
IFERROR(COLUMN(INDEX(INDIRECT("数出表_Excel!B"&amp;$I60&amp;":T"&amp;$I60&amp;""),1,MATCH(TEXT(G60,0),INDIRECT("数出表_Excel!B"&amp;$I60&amp;":T"&amp;$I60&amp;""),0))),""),4),"1",""),
"")
&amp;"4")
&amp;INDIRECT("数出表_Excel!"&amp;
IFERROR(
SUBSTITUTE(ADDRESS(1,
IFERROR(COLUMN(INDEX(INDIRECT("数出表_Excel!B"&amp;$I60&amp;":T"&amp;$I60&amp;""),1,MATCH(TEXT(G60,0),INDIRECT("数出表_Excel!B"&amp;$I60&amp;":T"&amp;$I60&amp;""),0))),""),4),"1",""),
"")
&amp;"5"),
INDIRECT("数出表_Excel!"&amp;
IFERROR(
SUBSTITUTE(ADDRESS(1,
IFERROR(COLUMN(INDEX(INDIRECT("数出表_Excel!B"&amp;$I60&amp;":T"&amp;$I60&amp;""),1,MATCH(TEXT(G60,0),INDIRECT("数出表_Excel!B"&amp;$I60&amp;":T"&amp;$I60&amp;""),0))),""),4),"1",""),
"")
&amp;"3")),"")</f>
        <v/>
      </c>
    </row>
    <row r="61" spans="9:15">
      <c r="I61" t="str">
        <f>IF(A61&lt;&gt;"",MATCH(A61,数出表_Excel!A:A,0),"")</f>
        <v/>
      </c>
      <c r="J61" t="str" cm="1">
        <f t="array" aca="1" ref="J61" ca="1">IFERROR(IF(OR(COUNTIF(INDIRECT("数出表_Excel!"&amp;
IFERROR(
SUBSTITUTE(ADDRESS(1,
IFERROR(COLUMN(INDEX(INDIRECT("数出表_Excel!B"&amp;$I61-1&amp;":T"&amp;$I61-1&amp;""),1,MATCH(TEXT(B61,0),INDIRECT("数出表_Excel!B"&amp;$I61-1&amp;":T"&amp;$I61-1&amp;""),0))),""),4),"1",""),
"")
&amp;"3"),"*キャラ*"),
COUNTIF(INDIRECT("数出表_Excel!"&amp;
IFERROR(
SUBSTITUTE(ADDRESS(1,
IFERROR(COLUMN(INDEX(INDIRECT("数出表_Excel!B"&amp;$I61-1&amp;":T"&amp;$I61-1&amp;""),1,MATCH(TEXT(B61,0),INDIRECT("数出表_Excel!B"&amp;$I61-1&amp;":T"&amp;$I61-1&amp;""),0))),""),4),"1",""),
"")
&amp;"3"),"*赤*")),
INDIRECT("数出表_Excel!"&amp;
IFERROR(
SUBSTITUTE(ADDRESS(1,
IFERROR(COLUMN(INDEX(INDIRECT("数出表_Excel!B"&amp;$I61-1&amp;":T"&amp;$I61-1&amp;""),1,MATCH(TEXT(B61,0),INDIRECT("数出表_Excel!B"&amp;$I61-1&amp;":T"&amp;$I61-1&amp;""),0))),""),4),"1",""),
"")
&amp;"3")
&amp;"　"&amp;INDIRECT("数出表_Excel!"&amp;
IFERROR(
SUBSTITUTE(ADDRESS(1,
IFERROR(COLUMN(INDEX(INDIRECT("数出表_Excel!B"&amp;$I61-1&amp;":T"&amp;$I61-1&amp;""),1,MATCH(TEXT(B61,0),INDIRECT("数出表_Excel!B"&amp;$I61-1&amp;":T"&amp;$I61-1&amp;""),0))),""),4),"1",""),
"")
&amp;"4")
&amp;INDIRECT("数出表_Excel!"&amp;
IFERROR(
SUBSTITUTE(ADDRESS(1,
IFERROR(COLUMN(INDEX(INDIRECT("数出表_Excel!B"&amp;$I61-1&amp;":T"&amp;$I61-1&amp;""),1,MATCH(TEXT(B61,0),INDIRECT("数出表_Excel!B"&amp;$I61-1&amp;":T"&amp;$I61-1&amp;""),0))),""),4),"1",""),
"")
&amp;"5"),
INDIRECT("数出表_Excel!"&amp;
IFERROR(
SUBSTITUTE(ADDRESS(1,
IFERROR(COLUMN(INDEX(INDIRECT("数出表_Excel!B"&amp;$I61-1&amp;":T"&amp;$I61-1&amp;""),1,MATCH(TEXT(B61,0),INDIRECT("数出表_Excel!B"&amp;$I61-1&amp;":T"&amp;$I61-1&amp;""),0))),""),4),"1",""),
"")
&amp;"3")),"")</f>
        <v/>
      </c>
      <c r="K61" t="str" cm="1">
        <f t="array" aca="1" ref="K61" ca="1">IFERROR(IF(OR(COUNTIF(INDIRECT("数出表_Excel!"&amp;
IFERROR(
SUBSTITUTE(ADDRESS(1,
IFERROR(COLUMN(INDEX(INDIRECT("数出表_Excel!B"&amp;$I61-1&amp;":T"&amp;$I61-1&amp;""),1,MATCH(TEXT(C61,0),INDIRECT("数出表_Excel!B"&amp;$I61-1&amp;":T"&amp;$I61-1&amp;""),0))),""),4),"1",""),
"")
&amp;"3"),"*キャラ*"),
COUNTIF(INDIRECT("数出表_Excel!"&amp;
IFERROR(
SUBSTITUTE(ADDRESS(1,
IFERROR(COLUMN(INDEX(INDIRECT("数出表_Excel!B"&amp;$I61-1&amp;":T"&amp;$I61-1&amp;""),1,MATCH(TEXT(C61,0),INDIRECT("数出表_Excel!B"&amp;$I61-1&amp;":T"&amp;$I61-1&amp;""),0))),""),4),"1",""),
"")
&amp;"3"),"*赤*")),
INDIRECT("数出表_Excel!"&amp;
IFERROR(
SUBSTITUTE(ADDRESS(1,
IFERROR(COLUMN(INDEX(INDIRECT("数出表_Excel!B"&amp;$I61-1&amp;":T"&amp;$I61-1&amp;""),1,MATCH(TEXT(C61,0),INDIRECT("数出表_Excel!B"&amp;$I61-1&amp;":T"&amp;$I61-1&amp;""),0))),""),4),"1",""),
"")
&amp;"3")
&amp;"　"&amp;INDIRECT("数出表_Excel!"&amp;
IFERROR(
SUBSTITUTE(ADDRESS(1,
IFERROR(COLUMN(INDEX(INDIRECT("数出表_Excel!B"&amp;$I61-1&amp;":T"&amp;$I61-1&amp;""),1,MATCH(TEXT(C61,0),INDIRECT("数出表_Excel!B"&amp;$I61-1&amp;":T"&amp;$I61-1&amp;""),0))),""),4),"1",""),
"")
&amp;"4")
&amp;INDIRECT("数出表_Excel!"&amp;
IFERROR(
SUBSTITUTE(ADDRESS(1,
IFERROR(COLUMN(INDEX(INDIRECT("数出表_Excel!B"&amp;$I61-1&amp;":T"&amp;$I61-1&amp;""),1,MATCH(TEXT(C61,0),INDIRECT("数出表_Excel!B"&amp;$I61-1&amp;":T"&amp;$I61-1&amp;""),0))),""),4),"1",""),
"")
&amp;"5"),
INDIRECT("数出表_Excel!"&amp;
IFERROR(
SUBSTITUTE(ADDRESS(1,
IFERROR(COLUMN(INDEX(INDIRECT("数出表_Excel!B"&amp;$I61-1&amp;":T"&amp;$I61-1&amp;""),1,MATCH(TEXT(C61,0),INDIRECT("数出表_Excel!B"&amp;$I61-1&amp;":T"&amp;$I61-1&amp;""),0))),""),4),"1",""),
"")
&amp;"3")),"")</f>
        <v/>
      </c>
      <c r="L61" t="str" cm="1">
        <f t="array" aca="1" ref="L61" ca="1">IFERROR(IF(OR(COUNTIF(INDIRECT("数出表_Excel!"&amp;
IFERROR(
SUBSTITUTE(ADDRESS(1,
IFERROR(COLUMN(INDEX(INDIRECT("数出表_Excel!B"&amp;$I61-1&amp;":T"&amp;$I61-1&amp;""),1,MATCH(TEXT(D61,0),INDIRECT("数出表_Excel!B"&amp;$I61-1&amp;":T"&amp;$I61-1&amp;""),0))),""),4),"1",""),
"")
&amp;"3"),"*キャラ*"),
COUNTIF(INDIRECT("数出表_Excel!"&amp;
IFERROR(
SUBSTITUTE(ADDRESS(1,
IFERROR(COLUMN(INDEX(INDIRECT("数出表_Excel!B"&amp;$I61-1&amp;":T"&amp;$I61-1&amp;""),1,MATCH(TEXT(D61,0),INDIRECT("数出表_Excel!B"&amp;$I61-1&amp;":T"&amp;$I61-1&amp;""),0))),""),4),"1",""),
"")
&amp;"3"),"*赤*")),
INDIRECT("数出表_Excel!"&amp;
IFERROR(
SUBSTITUTE(ADDRESS(1,
IFERROR(COLUMN(INDEX(INDIRECT("数出表_Excel!B"&amp;$I61-1&amp;":T"&amp;$I61-1&amp;""),1,MATCH(TEXT(D61,0),INDIRECT("数出表_Excel!B"&amp;$I61-1&amp;":T"&amp;$I61-1&amp;""),0))),""),4),"1",""),
"")
&amp;"3")
&amp;"　"&amp;INDIRECT("数出表_Excel!"&amp;
IFERROR(
SUBSTITUTE(ADDRESS(1,
IFERROR(COLUMN(INDEX(INDIRECT("数出表_Excel!B"&amp;$I61-1&amp;":T"&amp;$I61-1&amp;""),1,MATCH(TEXT(D61,0),INDIRECT("数出表_Excel!B"&amp;$I61-1&amp;":T"&amp;$I61-1&amp;""),0))),""),4),"1",""),
"")
&amp;"4")
&amp;INDIRECT("数出表_Excel!"&amp;
IFERROR(
SUBSTITUTE(ADDRESS(1,
IFERROR(COLUMN(INDEX(INDIRECT("数出表_Excel!B"&amp;$I61-1&amp;":T"&amp;$I61-1&amp;""),1,MATCH(TEXT(D61,0),INDIRECT("数出表_Excel!B"&amp;$I61-1&amp;":T"&amp;$I61-1&amp;""),0))),""),4),"1",""),
"")
&amp;"5"),
INDIRECT("数出表_Excel!"&amp;
IFERROR(
SUBSTITUTE(ADDRESS(1,
IFERROR(COLUMN(INDEX(INDIRECT("数出表_Excel!B"&amp;$I61-1&amp;":T"&amp;$I61-1&amp;""),1,MATCH(TEXT(D61,0),INDIRECT("数出表_Excel!B"&amp;$I61-1&amp;":T"&amp;$I61-1&amp;""),0))),""),4),"1",""),
"")
&amp;"3")),"")</f>
        <v/>
      </c>
      <c r="M61" t="str" cm="1">
        <f t="array" aca="1" ref="M61" ca="1">IFERROR(IF(OR(COUNTIF(INDIRECT("数出表_Excel!"&amp;
IFERROR(
SUBSTITUTE(ADDRESS(1,
IFERROR(COLUMN(INDEX(INDIRECT("数出表_Excel!B"&amp;$I61&amp;":T"&amp;$I61&amp;""),1,MATCH(TEXT(E61,0),INDIRECT("数出表_Excel!B"&amp;$I61&amp;":T"&amp;$I61&amp;""),0))),""),4),"1",""),
"")
&amp;"3"),"*キャラ*"),
COUNTIF(INDIRECT("数出表_Excel!"&amp;
IFERROR(
SUBSTITUTE(ADDRESS(1,
IFERROR(COLUMN(INDEX(INDIRECT("数出表_Excel!B"&amp;$I61&amp;":T"&amp;$I61&amp;""),1,MATCH(TEXT(E61,0),INDIRECT("数出表_Excel!B"&amp;$I61&amp;":T"&amp;$I61&amp;""),0))),""),4),"1",""),
"")
&amp;"3"),"*赤*")),
INDIRECT("数出表_Excel!"&amp;
IFERROR(
SUBSTITUTE(ADDRESS(1,
IFERROR(COLUMN(INDEX(INDIRECT("数出表_Excel!B"&amp;$I61&amp;":T"&amp;$I61&amp;""),1,MATCH(TEXT(E61,0),INDIRECT("数出表_Excel!B"&amp;$I61&amp;":T"&amp;$I61&amp;""),0))),""),4),"1",""),
"")
&amp;"3")
&amp;"　"&amp;INDIRECT("数出表_Excel!"&amp;
IFERROR(
SUBSTITUTE(ADDRESS(1,
IFERROR(COLUMN(INDEX(INDIRECT("数出表_Excel!B"&amp;$I61&amp;":T"&amp;$I61&amp;""),1,MATCH(TEXT(E61,0),INDIRECT("数出表_Excel!B"&amp;$I61&amp;":T"&amp;$I61&amp;""),0))),""),4),"1",""),
"")
&amp;"4")
&amp;INDIRECT("数出表_Excel!"&amp;
IFERROR(
SUBSTITUTE(ADDRESS(1,
IFERROR(COLUMN(INDEX(INDIRECT("数出表_Excel!B"&amp;$I61&amp;":T"&amp;$I61&amp;""),1,MATCH(TEXT(E61,0),INDIRECT("数出表_Excel!B"&amp;$I61&amp;":T"&amp;$I61&amp;""),0))),""),4),"1",""),
"")
&amp;"5"),
INDIRECT("数出表_Excel!"&amp;
IFERROR(
SUBSTITUTE(ADDRESS(1,
IFERROR(COLUMN(INDEX(INDIRECT("数出表_Excel!B"&amp;$I61&amp;":T"&amp;$I61&amp;""),1,MATCH(TEXT(E61,0),INDIRECT("数出表_Excel!B"&amp;$I61&amp;":T"&amp;$I61&amp;""),0))),""),4),"1",""),
"")
&amp;"3")),"")</f>
        <v/>
      </c>
      <c r="N61" t="str" cm="1">
        <f t="array" aca="1" ref="N61" ca="1">IFERROR(IF(OR(COUNTIF(INDIRECT("数出表_Excel!"&amp;
IFERROR(
SUBSTITUTE(ADDRESS(1,
IFERROR(COLUMN(INDEX(INDIRECT("数出表_Excel!B"&amp;$I61&amp;":T"&amp;$I61&amp;""),1,MATCH(TEXT(F61,0),INDIRECT("数出表_Excel!B"&amp;$I61&amp;":T"&amp;$I61&amp;""),0))),""),4),"1",""),
"")
&amp;"3"),"*キャラ*"),
COUNTIF(INDIRECT("数出表_Excel!"&amp;
IFERROR(
SUBSTITUTE(ADDRESS(1,
IFERROR(COLUMN(INDEX(INDIRECT("数出表_Excel!B"&amp;$I61&amp;":T"&amp;$I61&amp;""),1,MATCH(TEXT(F61,0),INDIRECT("数出表_Excel!B"&amp;$I61&amp;":T"&amp;$I61&amp;""),0))),""),4),"1",""),
"")
&amp;"3"),"*赤*")),
INDIRECT("数出表_Excel!"&amp;
IFERROR(
SUBSTITUTE(ADDRESS(1,
IFERROR(COLUMN(INDEX(INDIRECT("数出表_Excel!B"&amp;$I61&amp;":T"&amp;$I61&amp;""),1,MATCH(TEXT(F61,0),INDIRECT("数出表_Excel!B"&amp;$I61&amp;":T"&amp;$I61&amp;""),0))),""),4),"1",""),
"")
&amp;"3")
&amp;"　"&amp;INDIRECT("数出表_Excel!"&amp;
IFERROR(
SUBSTITUTE(ADDRESS(1,
IFERROR(COLUMN(INDEX(INDIRECT("数出表_Excel!B"&amp;$I61&amp;":T"&amp;$I61&amp;""),1,MATCH(TEXT(F61,0),INDIRECT("数出表_Excel!B"&amp;$I61&amp;":T"&amp;$I61&amp;""),0))),""),4),"1",""),
"")
&amp;"4")
&amp;INDIRECT("数出表_Excel!"&amp;
IFERROR(
SUBSTITUTE(ADDRESS(1,
IFERROR(COLUMN(INDEX(INDIRECT("数出表_Excel!B"&amp;$I61&amp;":T"&amp;$I61&amp;""),1,MATCH(TEXT(F61,0),INDIRECT("数出表_Excel!B"&amp;$I61&amp;":T"&amp;$I61&amp;""),0))),""),4),"1",""),
"")
&amp;"5"),
INDIRECT("数出表_Excel!"&amp;
IFERROR(
SUBSTITUTE(ADDRESS(1,
IFERROR(COLUMN(INDEX(INDIRECT("数出表_Excel!B"&amp;$I61&amp;":T"&amp;$I61&amp;""),1,MATCH(TEXT(F61,0),INDIRECT("数出表_Excel!B"&amp;$I61&amp;":T"&amp;$I61&amp;""),0))),""),4),"1",""),
"")
&amp;"3")),"")</f>
        <v/>
      </c>
      <c r="O61" t="str" cm="1">
        <f t="array" aca="1" ref="O61" ca="1">IFERROR(IF(OR(COUNTIF(INDIRECT("数出表_Excel!"&amp;
IFERROR(
SUBSTITUTE(ADDRESS(1,
IFERROR(COLUMN(INDEX(INDIRECT("数出表_Excel!B"&amp;$I61&amp;":T"&amp;$I61&amp;""),1,MATCH(TEXT(G61,0),INDIRECT("数出表_Excel!B"&amp;$I61&amp;":T"&amp;$I61&amp;""),0))),""),4),"1",""),
"")
&amp;"3"),"*キャラ*"),
COUNTIF(INDIRECT("数出表_Excel!"&amp;
IFERROR(
SUBSTITUTE(ADDRESS(1,
IFERROR(COLUMN(INDEX(INDIRECT("数出表_Excel!B"&amp;$I61&amp;":T"&amp;$I61&amp;""),1,MATCH(TEXT(G61,0),INDIRECT("数出表_Excel!B"&amp;$I61&amp;":T"&amp;$I61&amp;""),0))),""),4),"1",""),
"")
&amp;"3"),"*赤*")),
INDIRECT("数出表_Excel!"&amp;
IFERROR(
SUBSTITUTE(ADDRESS(1,
IFERROR(COLUMN(INDEX(INDIRECT("数出表_Excel!B"&amp;$I61&amp;":T"&amp;$I61&amp;""),1,MATCH(TEXT(G61,0),INDIRECT("数出表_Excel!B"&amp;$I61&amp;":T"&amp;$I61&amp;""),0))),""),4),"1",""),
"")
&amp;"3")
&amp;"　"&amp;INDIRECT("数出表_Excel!"&amp;
IFERROR(
SUBSTITUTE(ADDRESS(1,
IFERROR(COLUMN(INDEX(INDIRECT("数出表_Excel!B"&amp;$I61&amp;":T"&amp;$I61&amp;""),1,MATCH(TEXT(G61,0),INDIRECT("数出表_Excel!B"&amp;$I61&amp;":T"&amp;$I61&amp;""),0))),""),4),"1",""),
"")
&amp;"4")
&amp;INDIRECT("数出表_Excel!"&amp;
IFERROR(
SUBSTITUTE(ADDRESS(1,
IFERROR(COLUMN(INDEX(INDIRECT("数出表_Excel!B"&amp;$I61&amp;":T"&amp;$I61&amp;""),1,MATCH(TEXT(G61,0),INDIRECT("数出表_Excel!B"&amp;$I61&amp;":T"&amp;$I61&amp;""),0))),""),4),"1",""),
"")
&amp;"5"),
INDIRECT("数出表_Excel!"&amp;
IFERROR(
SUBSTITUTE(ADDRESS(1,
IFERROR(COLUMN(INDEX(INDIRECT("数出表_Excel!B"&amp;$I61&amp;":T"&amp;$I61&amp;""),1,MATCH(TEXT(G61,0),INDIRECT("数出表_Excel!B"&amp;$I61&amp;":T"&amp;$I61&amp;""),0))),""),4),"1",""),
"")
&amp;"3")),"")</f>
        <v/>
      </c>
    </row>
    <row r="62" spans="9:15">
      <c r="I62" t="str">
        <f>IF(A62&lt;&gt;"",MATCH(A62,数出表_Excel!A:A,0),"")</f>
        <v/>
      </c>
      <c r="J62" t="str" cm="1">
        <f t="array" aca="1" ref="J62" ca="1">IFERROR(IF(OR(COUNTIF(INDIRECT("数出表_Excel!"&amp;
IFERROR(
SUBSTITUTE(ADDRESS(1,
IFERROR(COLUMN(INDEX(INDIRECT("数出表_Excel!B"&amp;$I62-1&amp;":T"&amp;$I62-1&amp;""),1,MATCH(TEXT(B62,0),INDIRECT("数出表_Excel!B"&amp;$I62-1&amp;":T"&amp;$I62-1&amp;""),0))),""),4),"1",""),
"")
&amp;"3"),"*キャラ*"),
COUNTIF(INDIRECT("数出表_Excel!"&amp;
IFERROR(
SUBSTITUTE(ADDRESS(1,
IFERROR(COLUMN(INDEX(INDIRECT("数出表_Excel!B"&amp;$I62-1&amp;":T"&amp;$I62-1&amp;""),1,MATCH(TEXT(B62,0),INDIRECT("数出表_Excel!B"&amp;$I62-1&amp;":T"&amp;$I62-1&amp;""),0))),""),4),"1",""),
"")
&amp;"3"),"*赤*")),
INDIRECT("数出表_Excel!"&amp;
IFERROR(
SUBSTITUTE(ADDRESS(1,
IFERROR(COLUMN(INDEX(INDIRECT("数出表_Excel!B"&amp;$I62-1&amp;":T"&amp;$I62-1&amp;""),1,MATCH(TEXT(B62,0),INDIRECT("数出表_Excel!B"&amp;$I62-1&amp;":T"&amp;$I62-1&amp;""),0))),""),4),"1",""),
"")
&amp;"3")
&amp;"　"&amp;INDIRECT("数出表_Excel!"&amp;
IFERROR(
SUBSTITUTE(ADDRESS(1,
IFERROR(COLUMN(INDEX(INDIRECT("数出表_Excel!B"&amp;$I62-1&amp;":T"&amp;$I62-1&amp;""),1,MATCH(TEXT(B62,0),INDIRECT("数出表_Excel!B"&amp;$I62-1&amp;":T"&amp;$I62-1&amp;""),0))),""),4),"1",""),
"")
&amp;"4")
&amp;INDIRECT("数出表_Excel!"&amp;
IFERROR(
SUBSTITUTE(ADDRESS(1,
IFERROR(COLUMN(INDEX(INDIRECT("数出表_Excel!B"&amp;$I62-1&amp;":T"&amp;$I62-1&amp;""),1,MATCH(TEXT(B62,0),INDIRECT("数出表_Excel!B"&amp;$I62-1&amp;":T"&amp;$I62-1&amp;""),0))),""),4),"1",""),
"")
&amp;"5"),
INDIRECT("数出表_Excel!"&amp;
IFERROR(
SUBSTITUTE(ADDRESS(1,
IFERROR(COLUMN(INDEX(INDIRECT("数出表_Excel!B"&amp;$I62-1&amp;":T"&amp;$I62-1&amp;""),1,MATCH(TEXT(B62,0),INDIRECT("数出表_Excel!B"&amp;$I62-1&amp;":T"&amp;$I62-1&amp;""),0))),""),4),"1",""),
"")
&amp;"3")),"")</f>
        <v/>
      </c>
      <c r="K62" t="str" cm="1">
        <f t="array" aca="1" ref="K62" ca="1">IFERROR(IF(OR(COUNTIF(INDIRECT("数出表_Excel!"&amp;
IFERROR(
SUBSTITUTE(ADDRESS(1,
IFERROR(COLUMN(INDEX(INDIRECT("数出表_Excel!B"&amp;$I62-1&amp;":T"&amp;$I62-1&amp;""),1,MATCH(TEXT(C62,0),INDIRECT("数出表_Excel!B"&amp;$I62-1&amp;":T"&amp;$I62-1&amp;""),0))),""),4),"1",""),
"")
&amp;"3"),"*キャラ*"),
COUNTIF(INDIRECT("数出表_Excel!"&amp;
IFERROR(
SUBSTITUTE(ADDRESS(1,
IFERROR(COLUMN(INDEX(INDIRECT("数出表_Excel!B"&amp;$I62-1&amp;":T"&amp;$I62-1&amp;""),1,MATCH(TEXT(C62,0),INDIRECT("数出表_Excel!B"&amp;$I62-1&amp;":T"&amp;$I62-1&amp;""),0))),""),4),"1",""),
"")
&amp;"3"),"*赤*")),
INDIRECT("数出表_Excel!"&amp;
IFERROR(
SUBSTITUTE(ADDRESS(1,
IFERROR(COLUMN(INDEX(INDIRECT("数出表_Excel!B"&amp;$I62-1&amp;":T"&amp;$I62-1&amp;""),1,MATCH(TEXT(C62,0),INDIRECT("数出表_Excel!B"&amp;$I62-1&amp;":T"&amp;$I62-1&amp;""),0))),""),4),"1",""),
"")
&amp;"3")
&amp;"　"&amp;INDIRECT("数出表_Excel!"&amp;
IFERROR(
SUBSTITUTE(ADDRESS(1,
IFERROR(COLUMN(INDEX(INDIRECT("数出表_Excel!B"&amp;$I62-1&amp;":T"&amp;$I62-1&amp;""),1,MATCH(TEXT(C62,0),INDIRECT("数出表_Excel!B"&amp;$I62-1&amp;":T"&amp;$I62-1&amp;""),0))),""),4),"1",""),
"")
&amp;"4")
&amp;INDIRECT("数出表_Excel!"&amp;
IFERROR(
SUBSTITUTE(ADDRESS(1,
IFERROR(COLUMN(INDEX(INDIRECT("数出表_Excel!B"&amp;$I62-1&amp;":T"&amp;$I62-1&amp;""),1,MATCH(TEXT(C62,0),INDIRECT("数出表_Excel!B"&amp;$I62-1&amp;":T"&amp;$I62-1&amp;""),0))),""),4),"1",""),
"")
&amp;"5"),
INDIRECT("数出表_Excel!"&amp;
IFERROR(
SUBSTITUTE(ADDRESS(1,
IFERROR(COLUMN(INDEX(INDIRECT("数出表_Excel!B"&amp;$I62-1&amp;":T"&amp;$I62-1&amp;""),1,MATCH(TEXT(C62,0),INDIRECT("数出表_Excel!B"&amp;$I62-1&amp;":T"&amp;$I62-1&amp;""),0))),""),4),"1",""),
"")
&amp;"3")),"")</f>
        <v/>
      </c>
      <c r="L62" t="str" cm="1">
        <f t="array" aca="1" ref="L62" ca="1">IFERROR(IF(OR(COUNTIF(INDIRECT("数出表_Excel!"&amp;
IFERROR(
SUBSTITUTE(ADDRESS(1,
IFERROR(COLUMN(INDEX(INDIRECT("数出表_Excel!B"&amp;$I62-1&amp;":T"&amp;$I62-1&amp;""),1,MATCH(TEXT(D62,0),INDIRECT("数出表_Excel!B"&amp;$I62-1&amp;":T"&amp;$I62-1&amp;""),0))),""),4),"1",""),
"")
&amp;"3"),"*キャラ*"),
COUNTIF(INDIRECT("数出表_Excel!"&amp;
IFERROR(
SUBSTITUTE(ADDRESS(1,
IFERROR(COLUMN(INDEX(INDIRECT("数出表_Excel!B"&amp;$I62-1&amp;":T"&amp;$I62-1&amp;""),1,MATCH(TEXT(D62,0),INDIRECT("数出表_Excel!B"&amp;$I62-1&amp;":T"&amp;$I62-1&amp;""),0))),""),4),"1",""),
"")
&amp;"3"),"*赤*")),
INDIRECT("数出表_Excel!"&amp;
IFERROR(
SUBSTITUTE(ADDRESS(1,
IFERROR(COLUMN(INDEX(INDIRECT("数出表_Excel!B"&amp;$I62-1&amp;":T"&amp;$I62-1&amp;""),1,MATCH(TEXT(D62,0),INDIRECT("数出表_Excel!B"&amp;$I62-1&amp;":T"&amp;$I62-1&amp;""),0))),""),4),"1",""),
"")
&amp;"3")
&amp;"　"&amp;INDIRECT("数出表_Excel!"&amp;
IFERROR(
SUBSTITUTE(ADDRESS(1,
IFERROR(COLUMN(INDEX(INDIRECT("数出表_Excel!B"&amp;$I62-1&amp;":T"&amp;$I62-1&amp;""),1,MATCH(TEXT(D62,0),INDIRECT("数出表_Excel!B"&amp;$I62-1&amp;":T"&amp;$I62-1&amp;""),0))),""),4),"1",""),
"")
&amp;"4")
&amp;INDIRECT("数出表_Excel!"&amp;
IFERROR(
SUBSTITUTE(ADDRESS(1,
IFERROR(COLUMN(INDEX(INDIRECT("数出表_Excel!B"&amp;$I62-1&amp;":T"&amp;$I62-1&amp;""),1,MATCH(TEXT(D62,0),INDIRECT("数出表_Excel!B"&amp;$I62-1&amp;":T"&amp;$I62-1&amp;""),0))),""),4),"1",""),
"")
&amp;"5"),
INDIRECT("数出表_Excel!"&amp;
IFERROR(
SUBSTITUTE(ADDRESS(1,
IFERROR(COLUMN(INDEX(INDIRECT("数出表_Excel!B"&amp;$I62-1&amp;":T"&amp;$I62-1&amp;""),1,MATCH(TEXT(D62,0),INDIRECT("数出表_Excel!B"&amp;$I62-1&amp;":T"&amp;$I62-1&amp;""),0))),""),4),"1",""),
"")
&amp;"3")),"")</f>
        <v/>
      </c>
      <c r="M62" t="str" cm="1">
        <f t="array" aca="1" ref="M62" ca="1">IFERROR(IF(OR(COUNTIF(INDIRECT("数出表_Excel!"&amp;
IFERROR(
SUBSTITUTE(ADDRESS(1,
IFERROR(COLUMN(INDEX(INDIRECT("数出表_Excel!B"&amp;$I62&amp;":T"&amp;$I62&amp;""),1,MATCH(TEXT(E62,0),INDIRECT("数出表_Excel!B"&amp;$I62&amp;":T"&amp;$I62&amp;""),0))),""),4),"1",""),
"")
&amp;"3"),"*キャラ*"),
COUNTIF(INDIRECT("数出表_Excel!"&amp;
IFERROR(
SUBSTITUTE(ADDRESS(1,
IFERROR(COLUMN(INDEX(INDIRECT("数出表_Excel!B"&amp;$I62&amp;":T"&amp;$I62&amp;""),1,MATCH(TEXT(E62,0),INDIRECT("数出表_Excel!B"&amp;$I62&amp;":T"&amp;$I62&amp;""),0))),""),4),"1",""),
"")
&amp;"3"),"*赤*")),
INDIRECT("数出表_Excel!"&amp;
IFERROR(
SUBSTITUTE(ADDRESS(1,
IFERROR(COLUMN(INDEX(INDIRECT("数出表_Excel!B"&amp;$I62&amp;":T"&amp;$I62&amp;""),1,MATCH(TEXT(E62,0),INDIRECT("数出表_Excel!B"&amp;$I62&amp;":T"&amp;$I62&amp;""),0))),""),4),"1",""),
"")
&amp;"3")
&amp;"　"&amp;INDIRECT("数出表_Excel!"&amp;
IFERROR(
SUBSTITUTE(ADDRESS(1,
IFERROR(COLUMN(INDEX(INDIRECT("数出表_Excel!B"&amp;$I62&amp;":T"&amp;$I62&amp;""),1,MATCH(TEXT(E62,0),INDIRECT("数出表_Excel!B"&amp;$I62&amp;":T"&amp;$I62&amp;""),0))),""),4),"1",""),
"")
&amp;"4")
&amp;INDIRECT("数出表_Excel!"&amp;
IFERROR(
SUBSTITUTE(ADDRESS(1,
IFERROR(COLUMN(INDEX(INDIRECT("数出表_Excel!B"&amp;$I62&amp;":T"&amp;$I62&amp;""),1,MATCH(TEXT(E62,0),INDIRECT("数出表_Excel!B"&amp;$I62&amp;":T"&amp;$I62&amp;""),0))),""),4),"1",""),
"")
&amp;"5"),
INDIRECT("数出表_Excel!"&amp;
IFERROR(
SUBSTITUTE(ADDRESS(1,
IFERROR(COLUMN(INDEX(INDIRECT("数出表_Excel!B"&amp;$I62&amp;":T"&amp;$I62&amp;""),1,MATCH(TEXT(E62,0),INDIRECT("数出表_Excel!B"&amp;$I62&amp;":T"&amp;$I62&amp;""),0))),""),4),"1",""),
"")
&amp;"3")),"")</f>
        <v/>
      </c>
      <c r="N62" t="str" cm="1">
        <f t="array" aca="1" ref="N62" ca="1">IFERROR(IF(OR(COUNTIF(INDIRECT("数出表_Excel!"&amp;
IFERROR(
SUBSTITUTE(ADDRESS(1,
IFERROR(COLUMN(INDEX(INDIRECT("数出表_Excel!B"&amp;$I62&amp;":T"&amp;$I62&amp;""),1,MATCH(TEXT(F62,0),INDIRECT("数出表_Excel!B"&amp;$I62&amp;":T"&amp;$I62&amp;""),0))),""),4),"1",""),
"")
&amp;"3"),"*キャラ*"),
COUNTIF(INDIRECT("数出表_Excel!"&amp;
IFERROR(
SUBSTITUTE(ADDRESS(1,
IFERROR(COLUMN(INDEX(INDIRECT("数出表_Excel!B"&amp;$I62&amp;":T"&amp;$I62&amp;""),1,MATCH(TEXT(F62,0),INDIRECT("数出表_Excel!B"&amp;$I62&amp;":T"&amp;$I62&amp;""),0))),""),4),"1",""),
"")
&amp;"3"),"*赤*")),
INDIRECT("数出表_Excel!"&amp;
IFERROR(
SUBSTITUTE(ADDRESS(1,
IFERROR(COLUMN(INDEX(INDIRECT("数出表_Excel!B"&amp;$I62&amp;":T"&amp;$I62&amp;""),1,MATCH(TEXT(F62,0),INDIRECT("数出表_Excel!B"&amp;$I62&amp;":T"&amp;$I62&amp;""),0))),""),4),"1",""),
"")
&amp;"3")
&amp;"　"&amp;INDIRECT("数出表_Excel!"&amp;
IFERROR(
SUBSTITUTE(ADDRESS(1,
IFERROR(COLUMN(INDEX(INDIRECT("数出表_Excel!B"&amp;$I62&amp;":T"&amp;$I62&amp;""),1,MATCH(TEXT(F62,0),INDIRECT("数出表_Excel!B"&amp;$I62&amp;":T"&amp;$I62&amp;""),0))),""),4),"1",""),
"")
&amp;"4")
&amp;INDIRECT("数出表_Excel!"&amp;
IFERROR(
SUBSTITUTE(ADDRESS(1,
IFERROR(COLUMN(INDEX(INDIRECT("数出表_Excel!B"&amp;$I62&amp;":T"&amp;$I62&amp;""),1,MATCH(TEXT(F62,0),INDIRECT("数出表_Excel!B"&amp;$I62&amp;":T"&amp;$I62&amp;""),0))),""),4),"1",""),
"")
&amp;"5"),
INDIRECT("数出表_Excel!"&amp;
IFERROR(
SUBSTITUTE(ADDRESS(1,
IFERROR(COLUMN(INDEX(INDIRECT("数出表_Excel!B"&amp;$I62&amp;":T"&amp;$I62&amp;""),1,MATCH(TEXT(F62,0),INDIRECT("数出表_Excel!B"&amp;$I62&amp;":T"&amp;$I62&amp;""),0))),""),4),"1",""),
"")
&amp;"3")),"")</f>
        <v/>
      </c>
      <c r="O62" t="str" cm="1">
        <f t="array" aca="1" ref="O62" ca="1">IFERROR(IF(OR(COUNTIF(INDIRECT("数出表_Excel!"&amp;
IFERROR(
SUBSTITUTE(ADDRESS(1,
IFERROR(COLUMN(INDEX(INDIRECT("数出表_Excel!B"&amp;$I62&amp;":T"&amp;$I62&amp;""),1,MATCH(TEXT(G62,0),INDIRECT("数出表_Excel!B"&amp;$I62&amp;":T"&amp;$I62&amp;""),0))),""),4),"1",""),
"")
&amp;"3"),"*キャラ*"),
COUNTIF(INDIRECT("数出表_Excel!"&amp;
IFERROR(
SUBSTITUTE(ADDRESS(1,
IFERROR(COLUMN(INDEX(INDIRECT("数出表_Excel!B"&amp;$I62&amp;":T"&amp;$I62&amp;""),1,MATCH(TEXT(G62,0),INDIRECT("数出表_Excel!B"&amp;$I62&amp;":T"&amp;$I62&amp;""),0))),""),4),"1",""),
"")
&amp;"3"),"*赤*")),
INDIRECT("数出表_Excel!"&amp;
IFERROR(
SUBSTITUTE(ADDRESS(1,
IFERROR(COLUMN(INDEX(INDIRECT("数出表_Excel!B"&amp;$I62&amp;":T"&amp;$I62&amp;""),1,MATCH(TEXT(G62,0),INDIRECT("数出表_Excel!B"&amp;$I62&amp;":T"&amp;$I62&amp;""),0))),""),4),"1",""),
"")
&amp;"3")
&amp;"　"&amp;INDIRECT("数出表_Excel!"&amp;
IFERROR(
SUBSTITUTE(ADDRESS(1,
IFERROR(COLUMN(INDEX(INDIRECT("数出表_Excel!B"&amp;$I62&amp;":T"&amp;$I62&amp;""),1,MATCH(TEXT(G62,0),INDIRECT("数出表_Excel!B"&amp;$I62&amp;":T"&amp;$I62&amp;""),0))),""),4),"1",""),
"")
&amp;"4")
&amp;INDIRECT("数出表_Excel!"&amp;
IFERROR(
SUBSTITUTE(ADDRESS(1,
IFERROR(COLUMN(INDEX(INDIRECT("数出表_Excel!B"&amp;$I62&amp;":T"&amp;$I62&amp;""),1,MATCH(TEXT(G62,0),INDIRECT("数出表_Excel!B"&amp;$I62&amp;":T"&amp;$I62&amp;""),0))),""),4),"1",""),
"")
&amp;"5"),
INDIRECT("数出表_Excel!"&amp;
IFERROR(
SUBSTITUTE(ADDRESS(1,
IFERROR(COLUMN(INDEX(INDIRECT("数出表_Excel!B"&amp;$I62&amp;":T"&amp;$I62&amp;""),1,MATCH(TEXT(G62,0),INDIRECT("数出表_Excel!B"&amp;$I62&amp;":T"&amp;$I62&amp;""),0))),""),4),"1",""),
"")
&amp;"3")),"")</f>
        <v/>
      </c>
    </row>
    <row r="63" spans="9:15">
      <c r="I63" t="str">
        <f>IF(A63&lt;&gt;"",MATCH(A63,数出表_Excel!A:A,0),"")</f>
        <v/>
      </c>
      <c r="J63" t="str" cm="1">
        <f t="array" aca="1" ref="J63" ca="1">IFERROR(IF(OR(COUNTIF(INDIRECT("数出表_Excel!"&amp;
IFERROR(
SUBSTITUTE(ADDRESS(1,
IFERROR(COLUMN(INDEX(INDIRECT("数出表_Excel!B"&amp;$I63-1&amp;":T"&amp;$I63-1&amp;""),1,MATCH(TEXT(B63,0),INDIRECT("数出表_Excel!B"&amp;$I63-1&amp;":T"&amp;$I63-1&amp;""),0))),""),4),"1",""),
"")
&amp;"3"),"*キャラ*"),
COUNTIF(INDIRECT("数出表_Excel!"&amp;
IFERROR(
SUBSTITUTE(ADDRESS(1,
IFERROR(COLUMN(INDEX(INDIRECT("数出表_Excel!B"&amp;$I63-1&amp;":T"&amp;$I63-1&amp;""),1,MATCH(TEXT(B63,0),INDIRECT("数出表_Excel!B"&amp;$I63-1&amp;":T"&amp;$I63-1&amp;""),0))),""),4),"1",""),
"")
&amp;"3"),"*赤*")),
INDIRECT("数出表_Excel!"&amp;
IFERROR(
SUBSTITUTE(ADDRESS(1,
IFERROR(COLUMN(INDEX(INDIRECT("数出表_Excel!B"&amp;$I63-1&amp;":T"&amp;$I63-1&amp;""),1,MATCH(TEXT(B63,0),INDIRECT("数出表_Excel!B"&amp;$I63-1&amp;":T"&amp;$I63-1&amp;""),0))),""),4),"1",""),
"")
&amp;"3")
&amp;"　"&amp;INDIRECT("数出表_Excel!"&amp;
IFERROR(
SUBSTITUTE(ADDRESS(1,
IFERROR(COLUMN(INDEX(INDIRECT("数出表_Excel!B"&amp;$I63-1&amp;":T"&amp;$I63-1&amp;""),1,MATCH(TEXT(B63,0),INDIRECT("数出表_Excel!B"&amp;$I63-1&amp;":T"&amp;$I63-1&amp;""),0))),""),4),"1",""),
"")
&amp;"4")
&amp;INDIRECT("数出表_Excel!"&amp;
IFERROR(
SUBSTITUTE(ADDRESS(1,
IFERROR(COLUMN(INDEX(INDIRECT("数出表_Excel!B"&amp;$I63-1&amp;":T"&amp;$I63-1&amp;""),1,MATCH(TEXT(B63,0),INDIRECT("数出表_Excel!B"&amp;$I63-1&amp;":T"&amp;$I63-1&amp;""),0))),""),4),"1",""),
"")
&amp;"5"),
INDIRECT("数出表_Excel!"&amp;
IFERROR(
SUBSTITUTE(ADDRESS(1,
IFERROR(COLUMN(INDEX(INDIRECT("数出表_Excel!B"&amp;$I63-1&amp;":T"&amp;$I63-1&amp;""),1,MATCH(TEXT(B63,0),INDIRECT("数出表_Excel!B"&amp;$I63-1&amp;":T"&amp;$I63-1&amp;""),0))),""),4),"1",""),
"")
&amp;"3")),"")</f>
        <v/>
      </c>
      <c r="K63" t="str" cm="1">
        <f t="array" aca="1" ref="K63" ca="1">IFERROR(IF(OR(COUNTIF(INDIRECT("数出表_Excel!"&amp;
IFERROR(
SUBSTITUTE(ADDRESS(1,
IFERROR(COLUMN(INDEX(INDIRECT("数出表_Excel!B"&amp;$I63-1&amp;":T"&amp;$I63-1&amp;""),1,MATCH(TEXT(C63,0),INDIRECT("数出表_Excel!B"&amp;$I63-1&amp;":T"&amp;$I63-1&amp;""),0))),""),4),"1",""),
"")
&amp;"3"),"*キャラ*"),
COUNTIF(INDIRECT("数出表_Excel!"&amp;
IFERROR(
SUBSTITUTE(ADDRESS(1,
IFERROR(COLUMN(INDEX(INDIRECT("数出表_Excel!B"&amp;$I63-1&amp;":T"&amp;$I63-1&amp;""),1,MATCH(TEXT(C63,0),INDIRECT("数出表_Excel!B"&amp;$I63-1&amp;":T"&amp;$I63-1&amp;""),0))),""),4),"1",""),
"")
&amp;"3"),"*赤*")),
INDIRECT("数出表_Excel!"&amp;
IFERROR(
SUBSTITUTE(ADDRESS(1,
IFERROR(COLUMN(INDEX(INDIRECT("数出表_Excel!B"&amp;$I63-1&amp;":T"&amp;$I63-1&amp;""),1,MATCH(TEXT(C63,0),INDIRECT("数出表_Excel!B"&amp;$I63-1&amp;":T"&amp;$I63-1&amp;""),0))),""),4),"1",""),
"")
&amp;"3")
&amp;"　"&amp;INDIRECT("数出表_Excel!"&amp;
IFERROR(
SUBSTITUTE(ADDRESS(1,
IFERROR(COLUMN(INDEX(INDIRECT("数出表_Excel!B"&amp;$I63-1&amp;":T"&amp;$I63-1&amp;""),1,MATCH(TEXT(C63,0),INDIRECT("数出表_Excel!B"&amp;$I63-1&amp;":T"&amp;$I63-1&amp;""),0))),""),4),"1",""),
"")
&amp;"4")
&amp;INDIRECT("数出表_Excel!"&amp;
IFERROR(
SUBSTITUTE(ADDRESS(1,
IFERROR(COLUMN(INDEX(INDIRECT("数出表_Excel!B"&amp;$I63-1&amp;":T"&amp;$I63-1&amp;""),1,MATCH(TEXT(C63,0),INDIRECT("数出表_Excel!B"&amp;$I63-1&amp;":T"&amp;$I63-1&amp;""),0))),""),4),"1",""),
"")
&amp;"5"),
INDIRECT("数出表_Excel!"&amp;
IFERROR(
SUBSTITUTE(ADDRESS(1,
IFERROR(COLUMN(INDEX(INDIRECT("数出表_Excel!B"&amp;$I63-1&amp;":T"&amp;$I63-1&amp;""),1,MATCH(TEXT(C63,0),INDIRECT("数出表_Excel!B"&amp;$I63-1&amp;":T"&amp;$I63-1&amp;""),0))),""),4),"1",""),
"")
&amp;"3")),"")</f>
        <v/>
      </c>
      <c r="L63" t="str" cm="1">
        <f t="array" aca="1" ref="L63" ca="1">IFERROR(IF(OR(COUNTIF(INDIRECT("数出表_Excel!"&amp;
IFERROR(
SUBSTITUTE(ADDRESS(1,
IFERROR(COLUMN(INDEX(INDIRECT("数出表_Excel!B"&amp;$I63-1&amp;":T"&amp;$I63-1&amp;""),1,MATCH(TEXT(D63,0),INDIRECT("数出表_Excel!B"&amp;$I63-1&amp;":T"&amp;$I63-1&amp;""),0))),""),4),"1",""),
"")
&amp;"3"),"*キャラ*"),
COUNTIF(INDIRECT("数出表_Excel!"&amp;
IFERROR(
SUBSTITUTE(ADDRESS(1,
IFERROR(COLUMN(INDEX(INDIRECT("数出表_Excel!B"&amp;$I63-1&amp;":T"&amp;$I63-1&amp;""),1,MATCH(TEXT(D63,0),INDIRECT("数出表_Excel!B"&amp;$I63-1&amp;":T"&amp;$I63-1&amp;""),0))),""),4),"1",""),
"")
&amp;"3"),"*赤*")),
INDIRECT("数出表_Excel!"&amp;
IFERROR(
SUBSTITUTE(ADDRESS(1,
IFERROR(COLUMN(INDEX(INDIRECT("数出表_Excel!B"&amp;$I63-1&amp;":T"&amp;$I63-1&amp;""),1,MATCH(TEXT(D63,0),INDIRECT("数出表_Excel!B"&amp;$I63-1&amp;":T"&amp;$I63-1&amp;""),0))),""),4),"1",""),
"")
&amp;"3")
&amp;"　"&amp;INDIRECT("数出表_Excel!"&amp;
IFERROR(
SUBSTITUTE(ADDRESS(1,
IFERROR(COLUMN(INDEX(INDIRECT("数出表_Excel!B"&amp;$I63-1&amp;":T"&amp;$I63-1&amp;""),1,MATCH(TEXT(D63,0),INDIRECT("数出表_Excel!B"&amp;$I63-1&amp;":T"&amp;$I63-1&amp;""),0))),""),4),"1",""),
"")
&amp;"4")
&amp;INDIRECT("数出表_Excel!"&amp;
IFERROR(
SUBSTITUTE(ADDRESS(1,
IFERROR(COLUMN(INDEX(INDIRECT("数出表_Excel!B"&amp;$I63-1&amp;":T"&amp;$I63-1&amp;""),1,MATCH(TEXT(D63,0),INDIRECT("数出表_Excel!B"&amp;$I63-1&amp;":T"&amp;$I63-1&amp;""),0))),""),4),"1",""),
"")
&amp;"5"),
INDIRECT("数出表_Excel!"&amp;
IFERROR(
SUBSTITUTE(ADDRESS(1,
IFERROR(COLUMN(INDEX(INDIRECT("数出表_Excel!B"&amp;$I63-1&amp;":T"&amp;$I63-1&amp;""),1,MATCH(TEXT(D63,0),INDIRECT("数出表_Excel!B"&amp;$I63-1&amp;":T"&amp;$I63-1&amp;""),0))),""),4),"1",""),
"")
&amp;"3")),"")</f>
        <v/>
      </c>
      <c r="M63" t="str" cm="1">
        <f t="array" aca="1" ref="M63" ca="1">IFERROR(IF(OR(COUNTIF(INDIRECT("数出表_Excel!"&amp;
IFERROR(
SUBSTITUTE(ADDRESS(1,
IFERROR(COLUMN(INDEX(INDIRECT("数出表_Excel!B"&amp;$I63&amp;":T"&amp;$I63&amp;""),1,MATCH(TEXT(E63,0),INDIRECT("数出表_Excel!B"&amp;$I63&amp;":T"&amp;$I63&amp;""),0))),""),4),"1",""),
"")
&amp;"3"),"*キャラ*"),
COUNTIF(INDIRECT("数出表_Excel!"&amp;
IFERROR(
SUBSTITUTE(ADDRESS(1,
IFERROR(COLUMN(INDEX(INDIRECT("数出表_Excel!B"&amp;$I63&amp;":T"&amp;$I63&amp;""),1,MATCH(TEXT(E63,0),INDIRECT("数出表_Excel!B"&amp;$I63&amp;":T"&amp;$I63&amp;""),0))),""),4),"1",""),
"")
&amp;"3"),"*赤*")),
INDIRECT("数出表_Excel!"&amp;
IFERROR(
SUBSTITUTE(ADDRESS(1,
IFERROR(COLUMN(INDEX(INDIRECT("数出表_Excel!B"&amp;$I63&amp;":T"&amp;$I63&amp;""),1,MATCH(TEXT(E63,0),INDIRECT("数出表_Excel!B"&amp;$I63&amp;":T"&amp;$I63&amp;""),0))),""),4),"1",""),
"")
&amp;"3")
&amp;"　"&amp;INDIRECT("数出表_Excel!"&amp;
IFERROR(
SUBSTITUTE(ADDRESS(1,
IFERROR(COLUMN(INDEX(INDIRECT("数出表_Excel!B"&amp;$I63&amp;":T"&amp;$I63&amp;""),1,MATCH(TEXT(E63,0),INDIRECT("数出表_Excel!B"&amp;$I63&amp;":T"&amp;$I63&amp;""),0))),""),4),"1",""),
"")
&amp;"4")
&amp;INDIRECT("数出表_Excel!"&amp;
IFERROR(
SUBSTITUTE(ADDRESS(1,
IFERROR(COLUMN(INDEX(INDIRECT("数出表_Excel!B"&amp;$I63&amp;":T"&amp;$I63&amp;""),1,MATCH(TEXT(E63,0),INDIRECT("数出表_Excel!B"&amp;$I63&amp;":T"&amp;$I63&amp;""),0))),""),4),"1",""),
"")
&amp;"5"),
INDIRECT("数出表_Excel!"&amp;
IFERROR(
SUBSTITUTE(ADDRESS(1,
IFERROR(COLUMN(INDEX(INDIRECT("数出表_Excel!B"&amp;$I63&amp;":T"&amp;$I63&amp;""),1,MATCH(TEXT(E63,0),INDIRECT("数出表_Excel!B"&amp;$I63&amp;":T"&amp;$I63&amp;""),0))),""),4),"1",""),
"")
&amp;"3")),"")</f>
        <v/>
      </c>
      <c r="N63" t="str" cm="1">
        <f t="array" aca="1" ref="N63" ca="1">IFERROR(IF(OR(COUNTIF(INDIRECT("数出表_Excel!"&amp;
IFERROR(
SUBSTITUTE(ADDRESS(1,
IFERROR(COLUMN(INDEX(INDIRECT("数出表_Excel!B"&amp;$I63&amp;":T"&amp;$I63&amp;""),1,MATCH(TEXT(F63,0),INDIRECT("数出表_Excel!B"&amp;$I63&amp;":T"&amp;$I63&amp;""),0))),""),4),"1",""),
"")
&amp;"3"),"*キャラ*"),
COUNTIF(INDIRECT("数出表_Excel!"&amp;
IFERROR(
SUBSTITUTE(ADDRESS(1,
IFERROR(COLUMN(INDEX(INDIRECT("数出表_Excel!B"&amp;$I63&amp;":T"&amp;$I63&amp;""),1,MATCH(TEXT(F63,0),INDIRECT("数出表_Excel!B"&amp;$I63&amp;":T"&amp;$I63&amp;""),0))),""),4),"1",""),
"")
&amp;"3"),"*赤*")),
INDIRECT("数出表_Excel!"&amp;
IFERROR(
SUBSTITUTE(ADDRESS(1,
IFERROR(COLUMN(INDEX(INDIRECT("数出表_Excel!B"&amp;$I63&amp;":T"&amp;$I63&amp;""),1,MATCH(TEXT(F63,0),INDIRECT("数出表_Excel!B"&amp;$I63&amp;":T"&amp;$I63&amp;""),0))),""),4),"1",""),
"")
&amp;"3")
&amp;"　"&amp;INDIRECT("数出表_Excel!"&amp;
IFERROR(
SUBSTITUTE(ADDRESS(1,
IFERROR(COLUMN(INDEX(INDIRECT("数出表_Excel!B"&amp;$I63&amp;":T"&amp;$I63&amp;""),1,MATCH(TEXT(F63,0),INDIRECT("数出表_Excel!B"&amp;$I63&amp;":T"&amp;$I63&amp;""),0))),""),4),"1",""),
"")
&amp;"4")
&amp;INDIRECT("数出表_Excel!"&amp;
IFERROR(
SUBSTITUTE(ADDRESS(1,
IFERROR(COLUMN(INDEX(INDIRECT("数出表_Excel!B"&amp;$I63&amp;":T"&amp;$I63&amp;""),1,MATCH(TEXT(F63,0),INDIRECT("数出表_Excel!B"&amp;$I63&amp;":T"&amp;$I63&amp;""),0))),""),4),"1",""),
"")
&amp;"5"),
INDIRECT("数出表_Excel!"&amp;
IFERROR(
SUBSTITUTE(ADDRESS(1,
IFERROR(COLUMN(INDEX(INDIRECT("数出表_Excel!B"&amp;$I63&amp;":T"&amp;$I63&amp;""),1,MATCH(TEXT(F63,0),INDIRECT("数出表_Excel!B"&amp;$I63&amp;":T"&amp;$I63&amp;""),0))),""),4),"1",""),
"")
&amp;"3")),"")</f>
        <v/>
      </c>
      <c r="O63" t="str" cm="1">
        <f t="array" aca="1" ref="O63" ca="1">IFERROR(IF(OR(COUNTIF(INDIRECT("数出表_Excel!"&amp;
IFERROR(
SUBSTITUTE(ADDRESS(1,
IFERROR(COLUMN(INDEX(INDIRECT("数出表_Excel!B"&amp;$I63&amp;":T"&amp;$I63&amp;""),1,MATCH(TEXT(G63,0),INDIRECT("数出表_Excel!B"&amp;$I63&amp;":T"&amp;$I63&amp;""),0))),""),4),"1",""),
"")
&amp;"3"),"*キャラ*"),
COUNTIF(INDIRECT("数出表_Excel!"&amp;
IFERROR(
SUBSTITUTE(ADDRESS(1,
IFERROR(COLUMN(INDEX(INDIRECT("数出表_Excel!B"&amp;$I63&amp;":T"&amp;$I63&amp;""),1,MATCH(TEXT(G63,0),INDIRECT("数出表_Excel!B"&amp;$I63&amp;":T"&amp;$I63&amp;""),0))),""),4),"1",""),
"")
&amp;"3"),"*赤*")),
INDIRECT("数出表_Excel!"&amp;
IFERROR(
SUBSTITUTE(ADDRESS(1,
IFERROR(COLUMN(INDEX(INDIRECT("数出表_Excel!B"&amp;$I63&amp;":T"&amp;$I63&amp;""),1,MATCH(TEXT(G63,0),INDIRECT("数出表_Excel!B"&amp;$I63&amp;":T"&amp;$I63&amp;""),0))),""),4),"1",""),
"")
&amp;"3")
&amp;"　"&amp;INDIRECT("数出表_Excel!"&amp;
IFERROR(
SUBSTITUTE(ADDRESS(1,
IFERROR(COLUMN(INDEX(INDIRECT("数出表_Excel!B"&amp;$I63&amp;":T"&amp;$I63&amp;""),1,MATCH(TEXT(G63,0),INDIRECT("数出表_Excel!B"&amp;$I63&amp;":T"&amp;$I63&amp;""),0))),""),4),"1",""),
"")
&amp;"4")
&amp;INDIRECT("数出表_Excel!"&amp;
IFERROR(
SUBSTITUTE(ADDRESS(1,
IFERROR(COLUMN(INDEX(INDIRECT("数出表_Excel!B"&amp;$I63&amp;":T"&amp;$I63&amp;""),1,MATCH(TEXT(G63,0),INDIRECT("数出表_Excel!B"&amp;$I63&amp;":T"&amp;$I63&amp;""),0))),""),4),"1",""),
"")
&amp;"5"),
INDIRECT("数出表_Excel!"&amp;
IFERROR(
SUBSTITUTE(ADDRESS(1,
IFERROR(COLUMN(INDEX(INDIRECT("数出表_Excel!B"&amp;$I63&amp;":T"&amp;$I63&amp;""),1,MATCH(TEXT(G63,0),INDIRECT("数出表_Excel!B"&amp;$I63&amp;":T"&amp;$I63&amp;""),0))),""),4),"1",""),
"")
&amp;"3")),"")</f>
        <v/>
      </c>
    </row>
    <row r="64" spans="9:15">
      <c r="I64" t="str">
        <f>IF(A64&lt;&gt;"",MATCH(A64,数出表_Excel!A:A,0),"")</f>
        <v/>
      </c>
      <c r="J64" t="str" cm="1">
        <f t="array" aca="1" ref="J64" ca="1">IFERROR(IF(OR(COUNTIF(INDIRECT("数出表_Excel!"&amp;
IFERROR(
SUBSTITUTE(ADDRESS(1,
IFERROR(COLUMN(INDEX(INDIRECT("数出表_Excel!B"&amp;$I64-1&amp;":T"&amp;$I64-1&amp;""),1,MATCH(TEXT(B64,0),INDIRECT("数出表_Excel!B"&amp;$I64-1&amp;":T"&amp;$I64-1&amp;""),0))),""),4),"1",""),
"")
&amp;"3"),"*キャラ*"),
COUNTIF(INDIRECT("数出表_Excel!"&amp;
IFERROR(
SUBSTITUTE(ADDRESS(1,
IFERROR(COLUMN(INDEX(INDIRECT("数出表_Excel!B"&amp;$I64-1&amp;":T"&amp;$I64-1&amp;""),1,MATCH(TEXT(B64,0),INDIRECT("数出表_Excel!B"&amp;$I64-1&amp;":T"&amp;$I64-1&amp;""),0))),""),4),"1",""),
"")
&amp;"3"),"*赤*")),
INDIRECT("数出表_Excel!"&amp;
IFERROR(
SUBSTITUTE(ADDRESS(1,
IFERROR(COLUMN(INDEX(INDIRECT("数出表_Excel!B"&amp;$I64-1&amp;":T"&amp;$I64-1&amp;""),1,MATCH(TEXT(B64,0),INDIRECT("数出表_Excel!B"&amp;$I64-1&amp;":T"&amp;$I64-1&amp;""),0))),""),4),"1",""),
"")
&amp;"3")
&amp;"　"&amp;INDIRECT("数出表_Excel!"&amp;
IFERROR(
SUBSTITUTE(ADDRESS(1,
IFERROR(COLUMN(INDEX(INDIRECT("数出表_Excel!B"&amp;$I64-1&amp;":T"&amp;$I64-1&amp;""),1,MATCH(TEXT(B64,0),INDIRECT("数出表_Excel!B"&amp;$I64-1&amp;":T"&amp;$I64-1&amp;""),0))),""),4),"1",""),
"")
&amp;"4")
&amp;INDIRECT("数出表_Excel!"&amp;
IFERROR(
SUBSTITUTE(ADDRESS(1,
IFERROR(COLUMN(INDEX(INDIRECT("数出表_Excel!B"&amp;$I64-1&amp;":T"&amp;$I64-1&amp;""),1,MATCH(TEXT(B64,0),INDIRECT("数出表_Excel!B"&amp;$I64-1&amp;":T"&amp;$I64-1&amp;""),0))),""),4),"1",""),
"")
&amp;"5"),
INDIRECT("数出表_Excel!"&amp;
IFERROR(
SUBSTITUTE(ADDRESS(1,
IFERROR(COLUMN(INDEX(INDIRECT("数出表_Excel!B"&amp;$I64-1&amp;":T"&amp;$I64-1&amp;""),1,MATCH(TEXT(B64,0),INDIRECT("数出表_Excel!B"&amp;$I64-1&amp;":T"&amp;$I64-1&amp;""),0))),""),4),"1",""),
"")
&amp;"3")),"")</f>
        <v/>
      </c>
      <c r="K64" t="str" cm="1">
        <f t="array" aca="1" ref="K64" ca="1">IFERROR(IF(OR(COUNTIF(INDIRECT("数出表_Excel!"&amp;
IFERROR(
SUBSTITUTE(ADDRESS(1,
IFERROR(COLUMN(INDEX(INDIRECT("数出表_Excel!B"&amp;$I64-1&amp;":T"&amp;$I64-1&amp;""),1,MATCH(TEXT(C64,0),INDIRECT("数出表_Excel!B"&amp;$I64-1&amp;":T"&amp;$I64-1&amp;""),0))),""),4),"1",""),
"")
&amp;"3"),"*キャラ*"),
COUNTIF(INDIRECT("数出表_Excel!"&amp;
IFERROR(
SUBSTITUTE(ADDRESS(1,
IFERROR(COLUMN(INDEX(INDIRECT("数出表_Excel!B"&amp;$I64-1&amp;":T"&amp;$I64-1&amp;""),1,MATCH(TEXT(C64,0),INDIRECT("数出表_Excel!B"&amp;$I64-1&amp;":T"&amp;$I64-1&amp;""),0))),""),4),"1",""),
"")
&amp;"3"),"*赤*")),
INDIRECT("数出表_Excel!"&amp;
IFERROR(
SUBSTITUTE(ADDRESS(1,
IFERROR(COLUMN(INDEX(INDIRECT("数出表_Excel!B"&amp;$I64-1&amp;":T"&amp;$I64-1&amp;""),1,MATCH(TEXT(C64,0),INDIRECT("数出表_Excel!B"&amp;$I64-1&amp;":T"&amp;$I64-1&amp;""),0))),""),4),"1",""),
"")
&amp;"3")
&amp;"　"&amp;INDIRECT("数出表_Excel!"&amp;
IFERROR(
SUBSTITUTE(ADDRESS(1,
IFERROR(COLUMN(INDEX(INDIRECT("数出表_Excel!B"&amp;$I64-1&amp;":T"&amp;$I64-1&amp;""),1,MATCH(TEXT(C64,0),INDIRECT("数出表_Excel!B"&amp;$I64-1&amp;":T"&amp;$I64-1&amp;""),0))),""),4),"1",""),
"")
&amp;"4")
&amp;INDIRECT("数出表_Excel!"&amp;
IFERROR(
SUBSTITUTE(ADDRESS(1,
IFERROR(COLUMN(INDEX(INDIRECT("数出表_Excel!B"&amp;$I64-1&amp;":T"&amp;$I64-1&amp;""),1,MATCH(TEXT(C64,0),INDIRECT("数出表_Excel!B"&amp;$I64-1&amp;":T"&amp;$I64-1&amp;""),0))),""),4),"1",""),
"")
&amp;"5"),
INDIRECT("数出表_Excel!"&amp;
IFERROR(
SUBSTITUTE(ADDRESS(1,
IFERROR(COLUMN(INDEX(INDIRECT("数出表_Excel!B"&amp;$I64-1&amp;":T"&amp;$I64-1&amp;""),1,MATCH(TEXT(C64,0),INDIRECT("数出表_Excel!B"&amp;$I64-1&amp;":T"&amp;$I64-1&amp;""),0))),""),4),"1",""),
"")
&amp;"3")),"")</f>
        <v/>
      </c>
      <c r="L64" t="str" cm="1">
        <f t="array" aca="1" ref="L64" ca="1">IFERROR(IF(OR(COUNTIF(INDIRECT("数出表_Excel!"&amp;
IFERROR(
SUBSTITUTE(ADDRESS(1,
IFERROR(COLUMN(INDEX(INDIRECT("数出表_Excel!B"&amp;$I64-1&amp;":T"&amp;$I64-1&amp;""),1,MATCH(TEXT(D64,0),INDIRECT("数出表_Excel!B"&amp;$I64-1&amp;":T"&amp;$I64-1&amp;""),0))),""),4),"1",""),
"")
&amp;"3"),"*キャラ*"),
COUNTIF(INDIRECT("数出表_Excel!"&amp;
IFERROR(
SUBSTITUTE(ADDRESS(1,
IFERROR(COLUMN(INDEX(INDIRECT("数出表_Excel!B"&amp;$I64-1&amp;":T"&amp;$I64-1&amp;""),1,MATCH(TEXT(D64,0),INDIRECT("数出表_Excel!B"&amp;$I64-1&amp;":T"&amp;$I64-1&amp;""),0))),""),4),"1",""),
"")
&amp;"3"),"*赤*")),
INDIRECT("数出表_Excel!"&amp;
IFERROR(
SUBSTITUTE(ADDRESS(1,
IFERROR(COLUMN(INDEX(INDIRECT("数出表_Excel!B"&amp;$I64-1&amp;":T"&amp;$I64-1&amp;""),1,MATCH(TEXT(D64,0),INDIRECT("数出表_Excel!B"&amp;$I64-1&amp;":T"&amp;$I64-1&amp;""),0))),""),4),"1",""),
"")
&amp;"3")
&amp;"　"&amp;INDIRECT("数出表_Excel!"&amp;
IFERROR(
SUBSTITUTE(ADDRESS(1,
IFERROR(COLUMN(INDEX(INDIRECT("数出表_Excel!B"&amp;$I64-1&amp;":T"&amp;$I64-1&amp;""),1,MATCH(TEXT(D64,0),INDIRECT("数出表_Excel!B"&amp;$I64-1&amp;":T"&amp;$I64-1&amp;""),0))),""),4),"1",""),
"")
&amp;"4")
&amp;INDIRECT("数出表_Excel!"&amp;
IFERROR(
SUBSTITUTE(ADDRESS(1,
IFERROR(COLUMN(INDEX(INDIRECT("数出表_Excel!B"&amp;$I64-1&amp;":T"&amp;$I64-1&amp;""),1,MATCH(TEXT(D64,0),INDIRECT("数出表_Excel!B"&amp;$I64-1&amp;":T"&amp;$I64-1&amp;""),0))),""),4),"1",""),
"")
&amp;"5"),
INDIRECT("数出表_Excel!"&amp;
IFERROR(
SUBSTITUTE(ADDRESS(1,
IFERROR(COLUMN(INDEX(INDIRECT("数出表_Excel!B"&amp;$I64-1&amp;":T"&amp;$I64-1&amp;""),1,MATCH(TEXT(D64,0),INDIRECT("数出表_Excel!B"&amp;$I64-1&amp;":T"&amp;$I64-1&amp;""),0))),""),4),"1",""),
"")
&amp;"3")),"")</f>
        <v/>
      </c>
      <c r="M64" t="str" cm="1">
        <f t="array" aca="1" ref="M64" ca="1">IFERROR(IF(OR(COUNTIF(INDIRECT("数出表_Excel!"&amp;
IFERROR(
SUBSTITUTE(ADDRESS(1,
IFERROR(COLUMN(INDEX(INDIRECT("数出表_Excel!B"&amp;$I64&amp;":T"&amp;$I64&amp;""),1,MATCH(TEXT(E64,0),INDIRECT("数出表_Excel!B"&amp;$I64&amp;":T"&amp;$I64&amp;""),0))),""),4),"1",""),
"")
&amp;"3"),"*キャラ*"),
COUNTIF(INDIRECT("数出表_Excel!"&amp;
IFERROR(
SUBSTITUTE(ADDRESS(1,
IFERROR(COLUMN(INDEX(INDIRECT("数出表_Excel!B"&amp;$I64&amp;":T"&amp;$I64&amp;""),1,MATCH(TEXT(E64,0),INDIRECT("数出表_Excel!B"&amp;$I64&amp;":T"&amp;$I64&amp;""),0))),""),4),"1",""),
"")
&amp;"3"),"*赤*")),
INDIRECT("数出表_Excel!"&amp;
IFERROR(
SUBSTITUTE(ADDRESS(1,
IFERROR(COLUMN(INDEX(INDIRECT("数出表_Excel!B"&amp;$I64&amp;":T"&amp;$I64&amp;""),1,MATCH(TEXT(E64,0),INDIRECT("数出表_Excel!B"&amp;$I64&amp;":T"&amp;$I64&amp;""),0))),""),4),"1",""),
"")
&amp;"3")
&amp;"　"&amp;INDIRECT("数出表_Excel!"&amp;
IFERROR(
SUBSTITUTE(ADDRESS(1,
IFERROR(COLUMN(INDEX(INDIRECT("数出表_Excel!B"&amp;$I64&amp;":T"&amp;$I64&amp;""),1,MATCH(TEXT(E64,0),INDIRECT("数出表_Excel!B"&amp;$I64&amp;":T"&amp;$I64&amp;""),0))),""),4),"1",""),
"")
&amp;"4")
&amp;INDIRECT("数出表_Excel!"&amp;
IFERROR(
SUBSTITUTE(ADDRESS(1,
IFERROR(COLUMN(INDEX(INDIRECT("数出表_Excel!B"&amp;$I64&amp;":T"&amp;$I64&amp;""),1,MATCH(TEXT(E64,0),INDIRECT("数出表_Excel!B"&amp;$I64&amp;":T"&amp;$I64&amp;""),0))),""),4),"1",""),
"")
&amp;"5"),
INDIRECT("数出表_Excel!"&amp;
IFERROR(
SUBSTITUTE(ADDRESS(1,
IFERROR(COLUMN(INDEX(INDIRECT("数出表_Excel!B"&amp;$I64&amp;":T"&amp;$I64&amp;""),1,MATCH(TEXT(E64,0),INDIRECT("数出表_Excel!B"&amp;$I64&amp;":T"&amp;$I64&amp;""),0))),""),4),"1",""),
"")
&amp;"3")),"")</f>
        <v/>
      </c>
      <c r="N64" t="str" cm="1">
        <f t="array" aca="1" ref="N64" ca="1">IFERROR(IF(OR(COUNTIF(INDIRECT("数出表_Excel!"&amp;
IFERROR(
SUBSTITUTE(ADDRESS(1,
IFERROR(COLUMN(INDEX(INDIRECT("数出表_Excel!B"&amp;$I64&amp;":T"&amp;$I64&amp;""),1,MATCH(TEXT(F64,0),INDIRECT("数出表_Excel!B"&amp;$I64&amp;":T"&amp;$I64&amp;""),0))),""),4),"1",""),
"")
&amp;"3"),"*キャラ*"),
COUNTIF(INDIRECT("数出表_Excel!"&amp;
IFERROR(
SUBSTITUTE(ADDRESS(1,
IFERROR(COLUMN(INDEX(INDIRECT("数出表_Excel!B"&amp;$I64&amp;":T"&amp;$I64&amp;""),1,MATCH(TEXT(F64,0),INDIRECT("数出表_Excel!B"&amp;$I64&amp;":T"&amp;$I64&amp;""),0))),""),4),"1",""),
"")
&amp;"3"),"*赤*")),
INDIRECT("数出表_Excel!"&amp;
IFERROR(
SUBSTITUTE(ADDRESS(1,
IFERROR(COLUMN(INDEX(INDIRECT("数出表_Excel!B"&amp;$I64&amp;":T"&amp;$I64&amp;""),1,MATCH(TEXT(F64,0),INDIRECT("数出表_Excel!B"&amp;$I64&amp;":T"&amp;$I64&amp;""),0))),""),4),"1",""),
"")
&amp;"3")
&amp;"　"&amp;INDIRECT("数出表_Excel!"&amp;
IFERROR(
SUBSTITUTE(ADDRESS(1,
IFERROR(COLUMN(INDEX(INDIRECT("数出表_Excel!B"&amp;$I64&amp;":T"&amp;$I64&amp;""),1,MATCH(TEXT(F64,0),INDIRECT("数出表_Excel!B"&amp;$I64&amp;":T"&amp;$I64&amp;""),0))),""),4),"1",""),
"")
&amp;"4")
&amp;INDIRECT("数出表_Excel!"&amp;
IFERROR(
SUBSTITUTE(ADDRESS(1,
IFERROR(COLUMN(INDEX(INDIRECT("数出表_Excel!B"&amp;$I64&amp;":T"&amp;$I64&amp;""),1,MATCH(TEXT(F64,0),INDIRECT("数出表_Excel!B"&amp;$I64&amp;":T"&amp;$I64&amp;""),0))),""),4),"1",""),
"")
&amp;"5"),
INDIRECT("数出表_Excel!"&amp;
IFERROR(
SUBSTITUTE(ADDRESS(1,
IFERROR(COLUMN(INDEX(INDIRECT("数出表_Excel!B"&amp;$I64&amp;":T"&amp;$I64&amp;""),1,MATCH(TEXT(F64,0),INDIRECT("数出表_Excel!B"&amp;$I64&amp;":T"&amp;$I64&amp;""),0))),""),4),"1",""),
"")
&amp;"3")),"")</f>
        <v/>
      </c>
      <c r="O64" t="str" cm="1">
        <f t="array" aca="1" ref="O64" ca="1">IFERROR(IF(OR(COUNTIF(INDIRECT("数出表_Excel!"&amp;
IFERROR(
SUBSTITUTE(ADDRESS(1,
IFERROR(COLUMN(INDEX(INDIRECT("数出表_Excel!B"&amp;$I64&amp;":T"&amp;$I64&amp;""),1,MATCH(TEXT(G64,0),INDIRECT("数出表_Excel!B"&amp;$I64&amp;":T"&amp;$I64&amp;""),0))),""),4),"1",""),
"")
&amp;"3"),"*キャラ*"),
COUNTIF(INDIRECT("数出表_Excel!"&amp;
IFERROR(
SUBSTITUTE(ADDRESS(1,
IFERROR(COLUMN(INDEX(INDIRECT("数出表_Excel!B"&amp;$I64&amp;":T"&amp;$I64&amp;""),1,MATCH(TEXT(G64,0),INDIRECT("数出表_Excel!B"&amp;$I64&amp;":T"&amp;$I64&amp;""),0))),""),4),"1",""),
"")
&amp;"3"),"*赤*")),
INDIRECT("数出表_Excel!"&amp;
IFERROR(
SUBSTITUTE(ADDRESS(1,
IFERROR(COLUMN(INDEX(INDIRECT("数出表_Excel!B"&amp;$I64&amp;":T"&amp;$I64&amp;""),1,MATCH(TEXT(G64,0),INDIRECT("数出表_Excel!B"&amp;$I64&amp;":T"&amp;$I64&amp;""),0))),""),4),"1",""),
"")
&amp;"3")
&amp;"　"&amp;INDIRECT("数出表_Excel!"&amp;
IFERROR(
SUBSTITUTE(ADDRESS(1,
IFERROR(COLUMN(INDEX(INDIRECT("数出表_Excel!B"&amp;$I64&amp;":T"&amp;$I64&amp;""),1,MATCH(TEXT(G64,0),INDIRECT("数出表_Excel!B"&amp;$I64&amp;":T"&amp;$I64&amp;""),0))),""),4),"1",""),
"")
&amp;"4")
&amp;INDIRECT("数出表_Excel!"&amp;
IFERROR(
SUBSTITUTE(ADDRESS(1,
IFERROR(COLUMN(INDEX(INDIRECT("数出表_Excel!B"&amp;$I64&amp;":T"&amp;$I64&amp;""),1,MATCH(TEXT(G64,0),INDIRECT("数出表_Excel!B"&amp;$I64&amp;":T"&amp;$I64&amp;""),0))),""),4),"1",""),
"")
&amp;"5"),
INDIRECT("数出表_Excel!"&amp;
IFERROR(
SUBSTITUTE(ADDRESS(1,
IFERROR(COLUMN(INDEX(INDIRECT("数出表_Excel!B"&amp;$I64&amp;":T"&amp;$I64&amp;""),1,MATCH(TEXT(G64,0),INDIRECT("数出表_Excel!B"&amp;$I64&amp;":T"&amp;$I64&amp;""),0))),""),4),"1",""),
"")
&amp;"3")),"")</f>
        <v/>
      </c>
    </row>
    <row r="65" spans="8:15">
      <c r="I65" t="str">
        <f>IF(A65&lt;&gt;"",MATCH(A65,数出表_Excel!A:A,0),"")</f>
        <v/>
      </c>
      <c r="J65" t="str" cm="1">
        <f t="array" aca="1" ref="J65" ca="1">IFERROR(IF(OR(COUNTIF(INDIRECT("数出表_Excel!"&amp;
IFERROR(
SUBSTITUTE(ADDRESS(1,
IFERROR(COLUMN(INDEX(INDIRECT("数出表_Excel!B"&amp;$I65-1&amp;":T"&amp;$I65-1&amp;""),1,MATCH(TEXT(B65,0),INDIRECT("数出表_Excel!B"&amp;$I65-1&amp;":T"&amp;$I65-1&amp;""),0))),""),4),"1",""),
"")
&amp;"3"),"*キャラ*"),
COUNTIF(INDIRECT("数出表_Excel!"&amp;
IFERROR(
SUBSTITUTE(ADDRESS(1,
IFERROR(COLUMN(INDEX(INDIRECT("数出表_Excel!B"&amp;$I65-1&amp;":T"&amp;$I65-1&amp;""),1,MATCH(TEXT(B65,0),INDIRECT("数出表_Excel!B"&amp;$I65-1&amp;":T"&amp;$I65-1&amp;""),0))),""),4),"1",""),
"")
&amp;"3"),"*赤*")),
INDIRECT("数出表_Excel!"&amp;
IFERROR(
SUBSTITUTE(ADDRESS(1,
IFERROR(COLUMN(INDEX(INDIRECT("数出表_Excel!B"&amp;$I65-1&amp;":T"&amp;$I65-1&amp;""),1,MATCH(TEXT(B65,0),INDIRECT("数出表_Excel!B"&amp;$I65-1&amp;":T"&amp;$I65-1&amp;""),0))),""),4),"1",""),
"")
&amp;"3")
&amp;"　"&amp;INDIRECT("数出表_Excel!"&amp;
IFERROR(
SUBSTITUTE(ADDRESS(1,
IFERROR(COLUMN(INDEX(INDIRECT("数出表_Excel!B"&amp;$I65-1&amp;":T"&amp;$I65-1&amp;""),1,MATCH(TEXT(B65,0),INDIRECT("数出表_Excel!B"&amp;$I65-1&amp;":T"&amp;$I65-1&amp;""),0))),""),4),"1",""),
"")
&amp;"4")
&amp;INDIRECT("数出表_Excel!"&amp;
IFERROR(
SUBSTITUTE(ADDRESS(1,
IFERROR(COLUMN(INDEX(INDIRECT("数出表_Excel!B"&amp;$I65-1&amp;":T"&amp;$I65-1&amp;""),1,MATCH(TEXT(B65,0),INDIRECT("数出表_Excel!B"&amp;$I65-1&amp;":T"&amp;$I65-1&amp;""),0))),""),4),"1",""),
"")
&amp;"5"),
INDIRECT("数出表_Excel!"&amp;
IFERROR(
SUBSTITUTE(ADDRESS(1,
IFERROR(COLUMN(INDEX(INDIRECT("数出表_Excel!B"&amp;$I65-1&amp;":T"&amp;$I65-1&amp;""),1,MATCH(TEXT(B65,0),INDIRECT("数出表_Excel!B"&amp;$I65-1&amp;":T"&amp;$I65-1&amp;""),0))),""),4),"1",""),
"")
&amp;"3")),"")</f>
        <v/>
      </c>
      <c r="K65" t="str" cm="1">
        <f t="array" aca="1" ref="K65" ca="1">IFERROR(IF(OR(COUNTIF(INDIRECT("数出表_Excel!"&amp;
IFERROR(
SUBSTITUTE(ADDRESS(1,
IFERROR(COLUMN(INDEX(INDIRECT("数出表_Excel!B"&amp;$I65-1&amp;":T"&amp;$I65-1&amp;""),1,MATCH(TEXT(C65,0),INDIRECT("数出表_Excel!B"&amp;$I65-1&amp;":T"&amp;$I65-1&amp;""),0))),""),4),"1",""),
"")
&amp;"3"),"*キャラ*"),
COUNTIF(INDIRECT("数出表_Excel!"&amp;
IFERROR(
SUBSTITUTE(ADDRESS(1,
IFERROR(COLUMN(INDEX(INDIRECT("数出表_Excel!B"&amp;$I65-1&amp;":T"&amp;$I65-1&amp;""),1,MATCH(TEXT(C65,0),INDIRECT("数出表_Excel!B"&amp;$I65-1&amp;":T"&amp;$I65-1&amp;""),0))),""),4),"1",""),
"")
&amp;"3"),"*赤*")),
INDIRECT("数出表_Excel!"&amp;
IFERROR(
SUBSTITUTE(ADDRESS(1,
IFERROR(COLUMN(INDEX(INDIRECT("数出表_Excel!B"&amp;$I65-1&amp;":T"&amp;$I65-1&amp;""),1,MATCH(TEXT(C65,0),INDIRECT("数出表_Excel!B"&amp;$I65-1&amp;":T"&amp;$I65-1&amp;""),0))),""),4),"1",""),
"")
&amp;"3")
&amp;"　"&amp;INDIRECT("数出表_Excel!"&amp;
IFERROR(
SUBSTITUTE(ADDRESS(1,
IFERROR(COLUMN(INDEX(INDIRECT("数出表_Excel!B"&amp;$I65-1&amp;":T"&amp;$I65-1&amp;""),1,MATCH(TEXT(C65,0),INDIRECT("数出表_Excel!B"&amp;$I65-1&amp;":T"&amp;$I65-1&amp;""),0))),""),4),"1",""),
"")
&amp;"4")
&amp;INDIRECT("数出表_Excel!"&amp;
IFERROR(
SUBSTITUTE(ADDRESS(1,
IFERROR(COLUMN(INDEX(INDIRECT("数出表_Excel!B"&amp;$I65-1&amp;":T"&amp;$I65-1&amp;""),1,MATCH(TEXT(C65,0),INDIRECT("数出表_Excel!B"&amp;$I65-1&amp;":T"&amp;$I65-1&amp;""),0))),""),4),"1",""),
"")
&amp;"5"),
INDIRECT("数出表_Excel!"&amp;
IFERROR(
SUBSTITUTE(ADDRESS(1,
IFERROR(COLUMN(INDEX(INDIRECT("数出表_Excel!B"&amp;$I65-1&amp;":T"&amp;$I65-1&amp;""),1,MATCH(TEXT(C65,0),INDIRECT("数出表_Excel!B"&amp;$I65-1&amp;":T"&amp;$I65-1&amp;""),0))),""),4),"1",""),
"")
&amp;"3")),"")</f>
        <v/>
      </c>
      <c r="L65" t="str" cm="1">
        <f t="array" aca="1" ref="L65" ca="1">IFERROR(IF(OR(COUNTIF(INDIRECT("数出表_Excel!"&amp;
IFERROR(
SUBSTITUTE(ADDRESS(1,
IFERROR(COLUMN(INDEX(INDIRECT("数出表_Excel!B"&amp;$I65-1&amp;":T"&amp;$I65-1&amp;""),1,MATCH(TEXT(D65,0),INDIRECT("数出表_Excel!B"&amp;$I65-1&amp;":T"&amp;$I65-1&amp;""),0))),""),4),"1",""),
"")
&amp;"3"),"*キャラ*"),
COUNTIF(INDIRECT("数出表_Excel!"&amp;
IFERROR(
SUBSTITUTE(ADDRESS(1,
IFERROR(COLUMN(INDEX(INDIRECT("数出表_Excel!B"&amp;$I65-1&amp;":T"&amp;$I65-1&amp;""),1,MATCH(TEXT(D65,0),INDIRECT("数出表_Excel!B"&amp;$I65-1&amp;":T"&amp;$I65-1&amp;""),0))),""),4),"1",""),
"")
&amp;"3"),"*赤*")),
INDIRECT("数出表_Excel!"&amp;
IFERROR(
SUBSTITUTE(ADDRESS(1,
IFERROR(COLUMN(INDEX(INDIRECT("数出表_Excel!B"&amp;$I65-1&amp;":T"&amp;$I65-1&amp;""),1,MATCH(TEXT(D65,0),INDIRECT("数出表_Excel!B"&amp;$I65-1&amp;":T"&amp;$I65-1&amp;""),0))),""),4),"1",""),
"")
&amp;"3")
&amp;"　"&amp;INDIRECT("数出表_Excel!"&amp;
IFERROR(
SUBSTITUTE(ADDRESS(1,
IFERROR(COLUMN(INDEX(INDIRECT("数出表_Excel!B"&amp;$I65-1&amp;":T"&amp;$I65-1&amp;""),1,MATCH(TEXT(D65,0),INDIRECT("数出表_Excel!B"&amp;$I65-1&amp;":T"&amp;$I65-1&amp;""),0))),""),4),"1",""),
"")
&amp;"4")
&amp;INDIRECT("数出表_Excel!"&amp;
IFERROR(
SUBSTITUTE(ADDRESS(1,
IFERROR(COLUMN(INDEX(INDIRECT("数出表_Excel!B"&amp;$I65-1&amp;":T"&amp;$I65-1&amp;""),1,MATCH(TEXT(D65,0),INDIRECT("数出表_Excel!B"&amp;$I65-1&amp;":T"&amp;$I65-1&amp;""),0))),""),4),"1",""),
"")
&amp;"5"),
INDIRECT("数出表_Excel!"&amp;
IFERROR(
SUBSTITUTE(ADDRESS(1,
IFERROR(COLUMN(INDEX(INDIRECT("数出表_Excel!B"&amp;$I65-1&amp;":T"&amp;$I65-1&amp;""),1,MATCH(TEXT(D65,0),INDIRECT("数出表_Excel!B"&amp;$I65-1&amp;":T"&amp;$I65-1&amp;""),0))),""),4),"1",""),
"")
&amp;"3")),"")</f>
        <v/>
      </c>
      <c r="M65" t="str" cm="1">
        <f t="array" aca="1" ref="M65" ca="1">IFERROR(IF(OR(COUNTIF(INDIRECT("数出表_Excel!"&amp;
IFERROR(
SUBSTITUTE(ADDRESS(1,
IFERROR(COLUMN(INDEX(INDIRECT("数出表_Excel!B"&amp;$I65&amp;":T"&amp;$I65&amp;""),1,MATCH(TEXT(E65,0),INDIRECT("数出表_Excel!B"&amp;$I65&amp;":T"&amp;$I65&amp;""),0))),""),4),"1",""),
"")
&amp;"3"),"*キャラ*"),
COUNTIF(INDIRECT("数出表_Excel!"&amp;
IFERROR(
SUBSTITUTE(ADDRESS(1,
IFERROR(COLUMN(INDEX(INDIRECT("数出表_Excel!B"&amp;$I65&amp;":T"&amp;$I65&amp;""),1,MATCH(TEXT(E65,0),INDIRECT("数出表_Excel!B"&amp;$I65&amp;":T"&amp;$I65&amp;""),0))),""),4),"1",""),
"")
&amp;"3"),"*赤*")),
INDIRECT("数出表_Excel!"&amp;
IFERROR(
SUBSTITUTE(ADDRESS(1,
IFERROR(COLUMN(INDEX(INDIRECT("数出表_Excel!B"&amp;$I65&amp;":T"&amp;$I65&amp;""),1,MATCH(TEXT(E65,0),INDIRECT("数出表_Excel!B"&amp;$I65&amp;":T"&amp;$I65&amp;""),0))),""),4),"1",""),
"")
&amp;"3")
&amp;"　"&amp;INDIRECT("数出表_Excel!"&amp;
IFERROR(
SUBSTITUTE(ADDRESS(1,
IFERROR(COLUMN(INDEX(INDIRECT("数出表_Excel!B"&amp;$I65&amp;":T"&amp;$I65&amp;""),1,MATCH(TEXT(E65,0),INDIRECT("数出表_Excel!B"&amp;$I65&amp;":T"&amp;$I65&amp;""),0))),""),4),"1",""),
"")
&amp;"4")
&amp;INDIRECT("数出表_Excel!"&amp;
IFERROR(
SUBSTITUTE(ADDRESS(1,
IFERROR(COLUMN(INDEX(INDIRECT("数出表_Excel!B"&amp;$I65&amp;":T"&amp;$I65&amp;""),1,MATCH(TEXT(E65,0),INDIRECT("数出表_Excel!B"&amp;$I65&amp;":T"&amp;$I65&amp;""),0))),""),4),"1",""),
"")
&amp;"5"),
INDIRECT("数出表_Excel!"&amp;
IFERROR(
SUBSTITUTE(ADDRESS(1,
IFERROR(COLUMN(INDEX(INDIRECT("数出表_Excel!B"&amp;$I65&amp;":T"&amp;$I65&amp;""),1,MATCH(TEXT(E65,0),INDIRECT("数出表_Excel!B"&amp;$I65&amp;":T"&amp;$I65&amp;""),0))),""),4),"1",""),
"")
&amp;"3")),"")</f>
        <v/>
      </c>
      <c r="N65" t="str" cm="1">
        <f t="array" aca="1" ref="N65" ca="1">IFERROR(IF(OR(COUNTIF(INDIRECT("数出表_Excel!"&amp;
IFERROR(
SUBSTITUTE(ADDRESS(1,
IFERROR(COLUMN(INDEX(INDIRECT("数出表_Excel!B"&amp;$I65&amp;":T"&amp;$I65&amp;""),1,MATCH(TEXT(F65,0),INDIRECT("数出表_Excel!B"&amp;$I65&amp;":T"&amp;$I65&amp;""),0))),""),4),"1",""),
"")
&amp;"3"),"*キャラ*"),
COUNTIF(INDIRECT("数出表_Excel!"&amp;
IFERROR(
SUBSTITUTE(ADDRESS(1,
IFERROR(COLUMN(INDEX(INDIRECT("数出表_Excel!B"&amp;$I65&amp;":T"&amp;$I65&amp;""),1,MATCH(TEXT(F65,0),INDIRECT("数出表_Excel!B"&amp;$I65&amp;":T"&amp;$I65&amp;""),0))),""),4),"1",""),
"")
&amp;"3"),"*赤*")),
INDIRECT("数出表_Excel!"&amp;
IFERROR(
SUBSTITUTE(ADDRESS(1,
IFERROR(COLUMN(INDEX(INDIRECT("数出表_Excel!B"&amp;$I65&amp;":T"&amp;$I65&amp;""),1,MATCH(TEXT(F65,0),INDIRECT("数出表_Excel!B"&amp;$I65&amp;":T"&amp;$I65&amp;""),0))),""),4),"1",""),
"")
&amp;"3")
&amp;"　"&amp;INDIRECT("数出表_Excel!"&amp;
IFERROR(
SUBSTITUTE(ADDRESS(1,
IFERROR(COLUMN(INDEX(INDIRECT("数出表_Excel!B"&amp;$I65&amp;":T"&amp;$I65&amp;""),1,MATCH(TEXT(F65,0),INDIRECT("数出表_Excel!B"&amp;$I65&amp;":T"&amp;$I65&amp;""),0))),""),4),"1",""),
"")
&amp;"4")
&amp;INDIRECT("数出表_Excel!"&amp;
IFERROR(
SUBSTITUTE(ADDRESS(1,
IFERROR(COLUMN(INDEX(INDIRECT("数出表_Excel!B"&amp;$I65&amp;":T"&amp;$I65&amp;""),1,MATCH(TEXT(F65,0),INDIRECT("数出表_Excel!B"&amp;$I65&amp;":T"&amp;$I65&amp;""),0))),""),4),"1",""),
"")
&amp;"5"),
INDIRECT("数出表_Excel!"&amp;
IFERROR(
SUBSTITUTE(ADDRESS(1,
IFERROR(COLUMN(INDEX(INDIRECT("数出表_Excel!B"&amp;$I65&amp;":T"&amp;$I65&amp;""),1,MATCH(TEXT(F65,0),INDIRECT("数出表_Excel!B"&amp;$I65&amp;":T"&amp;$I65&amp;""),0))),""),4),"1",""),
"")
&amp;"3")),"")</f>
        <v/>
      </c>
      <c r="O65" t="str" cm="1">
        <f t="array" aca="1" ref="O65" ca="1">IFERROR(IF(OR(COUNTIF(INDIRECT("数出表_Excel!"&amp;
IFERROR(
SUBSTITUTE(ADDRESS(1,
IFERROR(COLUMN(INDEX(INDIRECT("数出表_Excel!B"&amp;$I65&amp;":T"&amp;$I65&amp;""),1,MATCH(TEXT(G65,0),INDIRECT("数出表_Excel!B"&amp;$I65&amp;":T"&amp;$I65&amp;""),0))),""),4),"1",""),
"")
&amp;"3"),"*キャラ*"),
COUNTIF(INDIRECT("数出表_Excel!"&amp;
IFERROR(
SUBSTITUTE(ADDRESS(1,
IFERROR(COLUMN(INDEX(INDIRECT("数出表_Excel!B"&amp;$I65&amp;":T"&amp;$I65&amp;""),1,MATCH(TEXT(G65,0),INDIRECT("数出表_Excel!B"&amp;$I65&amp;":T"&amp;$I65&amp;""),0))),""),4),"1",""),
"")
&amp;"3"),"*赤*")),
INDIRECT("数出表_Excel!"&amp;
IFERROR(
SUBSTITUTE(ADDRESS(1,
IFERROR(COLUMN(INDEX(INDIRECT("数出表_Excel!B"&amp;$I65&amp;":T"&amp;$I65&amp;""),1,MATCH(TEXT(G65,0),INDIRECT("数出表_Excel!B"&amp;$I65&amp;":T"&amp;$I65&amp;""),0))),""),4),"1",""),
"")
&amp;"3")
&amp;"　"&amp;INDIRECT("数出表_Excel!"&amp;
IFERROR(
SUBSTITUTE(ADDRESS(1,
IFERROR(COLUMN(INDEX(INDIRECT("数出表_Excel!B"&amp;$I65&amp;":T"&amp;$I65&amp;""),1,MATCH(TEXT(G65,0),INDIRECT("数出表_Excel!B"&amp;$I65&amp;":T"&amp;$I65&amp;""),0))),""),4),"1",""),
"")
&amp;"4")
&amp;INDIRECT("数出表_Excel!"&amp;
IFERROR(
SUBSTITUTE(ADDRESS(1,
IFERROR(COLUMN(INDEX(INDIRECT("数出表_Excel!B"&amp;$I65&amp;":T"&amp;$I65&amp;""),1,MATCH(TEXT(G65,0),INDIRECT("数出表_Excel!B"&amp;$I65&amp;":T"&amp;$I65&amp;""),0))),""),4),"1",""),
"")
&amp;"5"),
INDIRECT("数出表_Excel!"&amp;
IFERROR(
SUBSTITUTE(ADDRESS(1,
IFERROR(COLUMN(INDEX(INDIRECT("数出表_Excel!B"&amp;$I65&amp;":T"&amp;$I65&amp;""),1,MATCH(TEXT(G65,0),INDIRECT("数出表_Excel!B"&amp;$I65&amp;":T"&amp;$I65&amp;""),0))),""),4),"1",""),
"")
&amp;"3")),"")</f>
        <v/>
      </c>
    </row>
    <row r="66" spans="8:15">
      <c r="I66" t="str">
        <f>IF(A66&lt;&gt;"",MATCH(A66,数出表_Excel!A:A,0),"")</f>
        <v/>
      </c>
      <c r="J66" t="str" cm="1">
        <f t="array" aca="1" ref="J66" ca="1">IFERROR(IF(OR(COUNTIF(INDIRECT("数出表_Excel!"&amp;
IFERROR(
SUBSTITUTE(ADDRESS(1,
IFERROR(COLUMN(INDEX(INDIRECT("数出表_Excel!B"&amp;$I66-1&amp;":T"&amp;$I66-1&amp;""),1,MATCH(TEXT(B66,0),INDIRECT("数出表_Excel!B"&amp;$I66-1&amp;":T"&amp;$I66-1&amp;""),0))),""),4),"1",""),
"")
&amp;"3"),"*キャラ*"),
COUNTIF(INDIRECT("数出表_Excel!"&amp;
IFERROR(
SUBSTITUTE(ADDRESS(1,
IFERROR(COLUMN(INDEX(INDIRECT("数出表_Excel!B"&amp;$I66-1&amp;":T"&amp;$I66-1&amp;""),1,MATCH(TEXT(B66,0),INDIRECT("数出表_Excel!B"&amp;$I66-1&amp;":T"&amp;$I66-1&amp;""),0))),""),4),"1",""),
"")
&amp;"3"),"*赤*")),
INDIRECT("数出表_Excel!"&amp;
IFERROR(
SUBSTITUTE(ADDRESS(1,
IFERROR(COLUMN(INDEX(INDIRECT("数出表_Excel!B"&amp;$I66-1&amp;":T"&amp;$I66-1&amp;""),1,MATCH(TEXT(B66,0),INDIRECT("数出表_Excel!B"&amp;$I66-1&amp;":T"&amp;$I66-1&amp;""),0))),""),4),"1",""),
"")
&amp;"3")
&amp;"　"&amp;INDIRECT("数出表_Excel!"&amp;
IFERROR(
SUBSTITUTE(ADDRESS(1,
IFERROR(COLUMN(INDEX(INDIRECT("数出表_Excel!B"&amp;$I66-1&amp;":T"&amp;$I66-1&amp;""),1,MATCH(TEXT(B66,0),INDIRECT("数出表_Excel!B"&amp;$I66-1&amp;":T"&amp;$I66-1&amp;""),0))),""),4),"1",""),
"")
&amp;"4")
&amp;INDIRECT("数出表_Excel!"&amp;
IFERROR(
SUBSTITUTE(ADDRESS(1,
IFERROR(COLUMN(INDEX(INDIRECT("数出表_Excel!B"&amp;$I66-1&amp;":T"&amp;$I66-1&amp;""),1,MATCH(TEXT(B66,0),INDIRECT("数出表_Excel!B"&amp;$I66-1&amp;":T"&amp;$I66-1&amp;""),0))),""),4),"1",""),
"")
&amp;"5"),
INDIRECT("数出表_Excel!"&amp;
IFERROR(
SUBSTITUTE(ADDRESS(1,
IFERROR(COLUMN(INDEX(INDIRECT("数出表_Excel!B"&amp;$I66-1&amp;":T"&amp;$I66-1&amp;""),1,MATCH(TEXT(B66,0),INDIRECT("数出表_Excel!B"&amp;$I66-1&amp;":T"&amp;$I66-1&amp;""),0))),""),4),"1",""),
"")
&amp;"3")),"")</f>
        <v/>
      </c>
      <c r="K66" t="str" cm="1">
        <f t="array" aca="1" ref="K66" ca="1">IFERROR(IF(OR(COUNTIF(INDIRECT("数出表_Excel!"&amp;
IFERROR(
SUBSTITUTE(ADDRESS(1,
IFERROR(COLUMN(INDEX(INDIRECT("数出表_Excel!B"&amp;$I66-1&amp;":T"&amp;$I66-1&amp;""),1,MATCH(TEXT(C66,0),INDIRECT("数出表_Excel!B"&amp;$I66-1&amp;":T"&amp;$I66-1&amp;""),0))),""),4),"1",""),
"")
&amp;"3"),"*キャラ*"),
COUNTIF(INDIRECT("数出表_Excel!"&amp;
IFERROR(
SUBSTITUTE(ADDRESS(1,
IFERROR(COLUMN(INDEX(INDIRECT("数出表_Excel!B"&amp;$I66-1&amp;":T"&amp;$I66-1&amp;""),1,MATCH(TEXT(C66,0),INDIRECT("数出表_Excel!B"&amp;$I66-1&amp;":T"&amp;$I66-1&amp;""),0))),""),4),"1",""),
"")
&amp;"3"),"*赤*")),
INDIRECT("数出表_Excel!"&amp;
IFERROR(
SUBSTITUTE(ADDRESS(1,
IFERROR(COLUMN(INDEX(INDIRECT("数出表_Excel!B"&amp;$I66-1&amp;":T"&amp;$I66-1&amp;""),1,MATCH(TEXT(C66,0),INDIRECT("数出表_Excel!B"&amp;$I66-1&amp;":T"&amp;$I66-1&amp;""),0))),""),4),"1",""),
"")
&amp;"3")
&amp;"　"&amp;INDIRECT("数出表_Excel!"&amp;
IFERROR(
SUBSTITUTE(ADDRESS(1,
IFERROR(COLUMN(INDEX(INDIRECT("数出表_Excel!B"&amp;$I66-1&amp;":T"&amp;$I66-1&amp;""),1,MATCH(TEXT(C66,0),INDIRECT("数出表_Excel!B"&amp;$I66-1&amp;":T"&amp;$I66-1&amp;""),0))),""),4),"1",""),
"")
&amp;"4")
&amp;INDIRECT("数出表_Excel!"&amp;
IFERROR(
SUBSTITUTE(ADDRESS(1,
IFERROR(COLUMN(INDEX(INDIRECT("数出表_Excel!B"&amp;$I66-1&amp;":T"&amp;$I66-1&amp;""),1,MATCH(TEXT(C66,0),INDIRECT("数出表_Excel!B"&amp;$I66-1&amp;":T"&amp;$I66-1&amp;""),0))),""),4),"1",""),
"")
&amp;"5"),
INDIRECT("数出表_Excel!"&amp;
IFERROR(
SUBSTITUTE(ADDRESS(1,
IFERROR(COLUMN(INDEX(INDIRECT("数出表_Excel!B"&amp;$I66-1&amp;":T"&amp;$I66-1&amp;""),1,MATCH(TEXT(C66,0),INDIRECT("数出表_Excel!B"&amp;$I66-1&amp;":T"&amp;$I66-1&amp;""),0))),""),4),"1",""),
"")
&amp;"3")),"")</f>
        <v/>
      </c>
      <c r="L66" t="str" cm="1">
        <f t="array" aca="1" ref="L66" ca="1">IFERROR(IF(OR(COUNTIF(INDIRECT("数出表_Excel!"&amp;
IFERROR(
SUBSTITUTE(ADDRESS(1,
IFERROR(COLUMN(INDEX(INDIRECT("数出表_Excel!B"&amp;$I66-1&amp;":T"&amp;$I66-1&amp;""),1,MATCH(TEXT(D66,0),INDIRECT("数出表_Excel!B"&amp;$I66-1&amp;":T"&amp;$I66-1&amp;""),0))),""),4),"1",""),
"")
&amp;"3"),"*キャラ*"),
COUNTIF(INDIRECT("数出表_Excel!"&amp;
IFERROR(
SUBSTITUTE(ADDRESS(1,
IFERROR(COLUMN(INDEX(INDIRECT("数出表_Excel!B"&amp;$I66-1&amp;":T"&amp;$I66-1&amp;""),1,MATCH(TEXT(D66,0),INDIRECT("数出表_Excel!B"&amp;$I66-1&amp;":T"&amp;$I66-1&amp;""),0))),""),4),"1",""),
"")
&amp;"3"),"*赤*")),
INDIRECT("数出表_Excel!"&amp;
IFERROR(
SUBSTITUTE(ADDRESS(1,
IFERROR(COLUMN(INDEX(INDIRECT("数出表_Excel!B"&amp;$I66-1&amp;":T"&amp;$I66-1&amp;""),1,MATCH(TEXT(D66,0),INDIRECT("数出表_Excel!B"&amp;$I66-1&amp;":T"&amp;$I66-1&amp;""),0))),""),4),"1",""),
"")
&amp;"3")
&amp;"　"&amp;INDIRECT("数出表_Excel!"&amp;
IFERROR(
SUBSTITUTE(ADDRESS(1,
IFERROR(COLUMN(INDEX(INDIRECT("数出表_Excel!B"&amp;$I66-1&amp;":T"&amp;$I66-1&amp;""),1,MATCH(TEXT(D66,0),INDIRECT("数出表_Excel!B"&amp;$I66-1&amp;":T"&amp;$I66-1&amp;""),0))),""),4),"1",""),
"")
&amp;"4")
&amp;INDIRECT("数出表_Excel!"&amp;
IFERROR(
SUBSTITUTE(ADDRESS(1,
IFERROR(COLUMN(INDEX(INDIRECT("数出表_Excel!B"&amp;$I66-1&amp;":T"&amp;$I66-1&amp;""),1,MATCH(TEXT(D66,0),INDIRECT("数出表_Excel!B"&amp;$I66-1&amp;":T"&amp;$I66-1&amp;""),0))),""),4),"1",""),
"")
&amp;"5"),
INDIRECT("数出表_Excel!"&amp;
IFERROR(
SUBSTITUTE(ADDRESS(1,
IFERROR(COLUMN(INDEX(INDIRECT("数出表_Excel!B"&amp;$I66-1&amp;":T"&amp;$I66-1&amp;""),1,MATCH(TEXT(D66,0),INDIRECT("数出表_Excel!B"&amp;$I66-1&amp;":T"&amp;$I66-1&amp;""),0))),""),4),"1",""),
"")
&amp;"3")),"")</f>
        <v/>
      </c>
      <c r="M66" t="str" cm="1">
        <f t="array" aca="1" ref="M66" ca="1">IFERROR(IF(OR(COUNTIF(INDIRECT("数出表_Excel!"&amp;
IFERROR(
SUBSTITUTE(ADDRESS(1,
IFERROR(COLUMN(INDEX(INDIRECT("数出表_Excel!B"&amp;$I66&amp;":T"&amp;$I66&amp;""),1,MATCH(TEXT(E66,0),INDIRECT("数出表_Excel!B"&amp;$I66&amp;":T"&amp;$I66&amp;""),0))),""),4),"1",""),
"")
&amp;"3"),"*キャラ*"),
COUNTIF(INDIRECT("数出表_Excel!"&amp;
IFERROR(
SUBSTITUTE(ADDRESS(1,
IFERROR(COLUMN(INDEX(INDIRECT("数出表_Excel!B"&amp;$I66&amp;":T"&amp;$I66&amp;""),1,MATCH(TEXT(E66,0),INDIRECT("数出表_Excel!B"&amp;$I66&amp;":T"&amp;$I66&amp;""),0))),""),4),"1",""),
"")
&amp;"3"),"*赤*")),
INDIRECT("数出表_Excel!"&amp;
IFERROR(
SUBSTITUTE(ADDRESS(1,
IFERROR(COLUMN(INDEX(INDIRECT("数出表_Excel!B"&amp;$I66&amp;":T"&amp;$I66&amp;""),1,MATCH(TEXT(E66,0),INDIRECT("数出表_Excel!B"&amp;$I66&amp;":T"&amp;$I66&amp;""),0))),""),4),"1",""),
"")
&amp;"3")
&amp;"　"&amp;INDIRECT("数出表_Excel!"&amp;
IFERROR(
SUBSTITUTE(ADDRESS(1,
IFERROR(COLUMN(INDEX(INDIRECT("数出表_Excel!B"&amp;$I66&amp;":T"&amp;$I66&amp;""),1,MATCH(TEXT(E66,0),INDIRECT("数出表_Excel!B"&amp;$I66&amp;":T"&amp;$I66&amp;""),0))),""),4),"1",""),
"")
&amp;"4")
&amp;INDIRECT("数出表_Excel!"&amp;
IFERROR(
SUBSTITUTE(ADDRESS(1,
IFERROR(COLUMN(INDEX(INDIRECT("数出表_Excel!B"&amp;$I66&amp;":T"&amp;$I66&amp;""),1,MATCH(TEXT(E66,0),INDIRECT("数出表_Excel!B"&amp;$I66&amp;":T"&amp;$I66&amp;""),0))),""),4),"1",""),
"")
&amp;"5"),
INDIRECT("数出表_Excel!"&amp;
IFERROR(
SUBSTITUTE(ADDRESS(1,
IFERROR(COLUMN(INDEX(INDIRECT("数出表_Excel!B"&amp;$I66&amp;":T"&amp;$I66&amp;""),1,MATCH(TEXT(E66,0),INDIRECT("数出表_Excel!B"&amp;$I66&amp;":T"&amp;$I66&amp;""),0))),""),4),"1",""),
"")
&amp;"3")),"")</f>
        <v/>
      </c>
      <c r="N66" t="str" cm="1">
        <f t="array" aca="1" ref="N66" ca="1">IFERROR(IF(OR(COUNTIF(INDIRECT("数出表_Excel!"&amp;
IFERROR(
SUBSTITUTE(ADDRESS(1,
IFERROR(COLUMN(INDEX(INDIRECT("数出表_Excel!B"&amp;$I66&amp;":T"&amp;$I66&amp;""),1,MATCH(TEXT(F66,0),INDIRECT("数出表_Excel!B"&amp;$I66&amp;":T"&amp;$I66&amp;""),0))),""),4),"1",""),
"")
&amp;"3"),"*キャラ*"),
COUNTIF(INDIRECT("数出表_Excel!"&amp;
IFERROR(
SUBSTITUTE(ADDRESS(1,
IFERROR(COLUMN(INDEX(INDIRECT("数出表_Excel!B"&amp;$I66&amp;":T"&amp;$I66&amp;""),1,MATCH(TEXT(F66,0),INDIRECT("数出表_Excel!B"&amp;$I66&amp;":T"&amp;$I66&amp;""),0))),""),4),"1",""),
"")
&amp;"3"),"*赤*")),
INDIRECT("数出表_Excel!"&amp;
IFERROR(
SUBSTITUTE(ADDRESS(1,
IFERROR(COLUMN(INDEX(INDIRECT("数出表_Excel!B"&amp;$I66&amp;":T"&amp;$I66&amp;""),1,MATCH(TEXT(F66,0),INDIRECT("数出表_Excel!B"&amp;$I66&amp;":T"&amp;$I66&amp;""),0))),""),4),"1",""),
"")
&amp;"3")
&amp;"　"&amp;INDIRECT("数出表_Excel!"&amp;
IFERROR(
SUBSTITUTE(ADDRESS(1,
IFERROR(COLUMN(INDEX(INDIRECT("数出表_Excel!B"&amp;$I66&amp;":T"&amp;$I66&amp;""),1,MATCH(TEXT(F66,0),INDIRECT("数出表_Excel!B"&amp;$I66&amp;":T"&amp;$I66&amp;""),0))),""),4),"1",""),
"")
&amp;"4")
&amp;INDIRECT("数出表_Excel!"&amp;
IFERROR(
SUBSTITUTE(ADDRESS(1,
IFERROR(COLUMN(INDEX(INDIRECT("数出表_Excel!B"&amp;$I66&amp;":T"&amp;$I66&amp;""),1,MATCH(TEXT(F66,0),INDIRECT("数出表_Excel!B"&amp;$I66&amp;":T"&amp;$I66&amp;""),0))),""),4),"1",""),
"")
&amp;"5"),
INDIRECT("数出表_Excel!"&amp;
IFERROR(
SUBSTITUTE(ADDRESS(1,
IFERROR(COLUMN(INDEX(INDIRECT("数出表_Excel!B"&amp;$I66&amp;":T"&amp;$I66&amp;""),1,MATCH(TEXT(F66,0),INDIRECT("数出表_Excel!B"&amp;$I66&amp;":T"&amp;$I66&amp;""),0))),""),4),"1",""),
"")
&amp;"3")),"")</f>
        <v/>
      </c>
      <c r="O66" t="str" cm="1">
        <f t="array" aca="1" ref="O66" ca="1">IFERROR(IF(OR(COUNTIF(INDIRECT("数出表_Excel!"&amp;
IFERROR(
SUBSTITUTE(ADDRESS(1,
IFERROR(COLUMN(INDEX(INDIRECT("数出表_Excel!B"&amp;$I66&amp;":T"&amp;$I66&amp;""),1,MATCH(TEXT(G66,0),INDIRECT("数出表_Excel!B"&amp;$I66&amp;":T"&amp;$I66&amp;""),0))),""),4),"1",""),
"")
&amp;"3"),"*キャラ*"),
COUNTIF(INDIRECT("数出表_Excel!"&amp;
IFERROR(
SUBSTITUTE(ADDRESS(1,
IFERROR(COLUMN(INDEX(INDIRECT("数出表_Excel!B"&amp;$I66&amp;":T"&amp;$I66&amp;""),1,MATCH(TEXT(G66,0),INDIRECT("数出表_Excel!B"&amp;$I66&amp;":T"&amp;$I66&amp;""),0))),""),4),"1",""),
"")
&amp;"3"),"*赤*")),
INDIRECT("数出表_Excel!"&amp;
IFERROR(
SUBSTITUTE(ADDRESS(1,
IFERROR(COLUMN(INDEX(INDIRECT("数出表_Excel!B"&amp;$I66&amp;":T"&amp;$I66&amp;""),1,MATCH(TEXT(G66,0),INDIRECT("数出表_Excel!B"&amp;$I66&amp;":T"&amp;$I66&amp;""),0))),""),4),"1",""),
"")
&amp;"3")
&amp;"　"&amp;INDIRECT("数出表_Excel!"&amp;
IFERROR(
SUBSTITUTE(ADDRESS(1,
IFERROR(COLUMN(INDEX(INDIRECT("数出表_Excel!B"&amp;$I66&amp;":T"&amp;$I66&amp;""),1,MATCH(TEXT(G66,0),INDIRECT("数出表_Excel!B"&amp;$I66&amp;":T"&amp;$I66&amp;""),0))),""),4),"1",""),
"")
&amp;"4")
&amp;INDIRECT("数出表_Excel!"&amp;
IFERROR(
SUBSTITUTE(ADDRESS(1,
IFERROR(COLUMN(INDEX(INDIRECT("数出表_Excel!B"&amp;$I66&amp;":T"&amp;$I66&amp;""),1,MATCH(TEXT(G66,0),INDIRECT("数出表_Excel!B"&amp;$I66&amp;":T"&amp;$I66&amp;""),0))),""),4),"1",""),
"")
&amp;"5"),
INDIRECT("数出表_Excel!"&amp;
IFERROR(
SUBSTITUTE(ADDRESS(1,
IFERROR(COLUMN(INDEX(INDIRECT("数出表_Excel!B"&amp;$I66&amp;":T"&amp;$I66&amp;""),1,MATCH(TEXT(G66,0),INDIRECT("数出表_Excel!B"&amp;$I66&amp;":T"&amp;$I66&amp;""),0))),""),4),"1",""),
"")
&amp;"3")),"")</f>
        <v/>
      </c>
    </row>
    <row r="67" spans="8:15">
      <c r="I67" t="str">
        <f>IF(A67&lt;&gt;"",MATCH(A67,数出表_Excel!A:A,0),"")</f>
        <v/>
      </c>
      <c r="J67" t="str" cm="1">
        <f t="array" aca="1" ref="J67" ca="1">IFERROR(IF(OR(COUNTIF(INDIRECT("数出表_Excel!"&amp;
IFERROR(
SUBSTITUTE(ADDRESS(1,
IFERROR(COLUMN(INDEX(INDIRECT("数出表_Excel!B"&amp;$I67-1&amp;":T"&amp;$I67-1&amp;""),1,MATCH(TEXT(B67,0),INDIRECT("数出表_Excel!B"&amp;$I67-1&amp;":T"&amp;$I67-1&amp;""),0))),""),4),"1",""),
"")
&amp;"3"),"*キャラ*"),
COUNTIF(INDIRECT("数出表_Excel!"&amp;
IFERROR(
SUBSTITUTE(ADDRESS(1,
IFERROR(COLUMN(INDEX(INDIRECT("数出表_Excel!B"&amp;$I67-1&amp;":T"&amp;$I67-1&amp;""),1,MATCH(TEXT(B67,0),INDIRECT("数出表_Excel!B"&amp;$I67-1&amp;":T"&amp;$I67-1&amp;""),0))),""),4),"1",""),
"")
&amp;"3"),"*赤*")),
INDIRECT("数出表_Excel!"&amp;
IFERROR(
SUBSTITUTE(ADDRESS(1,
IFERROR(COLUMN(INDEX(INDIRECT("数出表_Excel!B"&amp;$I67-1&amp;":T"&amp;$I67-1&amp;""),1,MATCH(TEXT(B67,0),INDIRECT("数出表_Excel!B"&amp;$I67-1&amp;":T"&amp;$I67-1&amp;""),0))),""),4),"1",""),
"")
&amp;"3")
&amp;"　"&amp;INDIRECT("数出表_Excel!"&amp;
IFERROR(
SUBSTITUTE(ADDRESS(1,
IFERROR(COLUMN(INDEX(INDIRECT("数出表_Excel!B"&amp;$I67-1&amp;":T"&amp;$I67-1&amp;""),1,MATCH(TEXT(B67,0),INDIRECT("数出表_Excel!B"&amp;$I67-1&amp;":T"&amp;$I67-1&amp;""),0))),""),4),"1",""),
"")
&amp;"4")
&amp;INDIRECT("数出表_Excel!"&amp;
IFERROR(
SUBSTITUTE(ADDRESS(1,
IFERROR(COLUMN(INDEX(INDIRECT("数出表_Excel!B"&amp;$I67-1&amp;":T"&amp;$I67-1&amp;""),1,MATCH(TEXT(B67,0),INDIRECT("数出表_Excel!B"&amp;$I67-1&amp;":T"&amp;$I67-1&amp;""),0))),""),4),"1",""),
"")
&amp;"5"),
INDIRECT("数出表_Excel!"&amp;
IFERROR(
SUBSTITUTE(ADDRESS(1,
IFERROR(COLUMN(INDEX(INDIRECT("数出表_Excel!B"&amp;$I67-1&amp;":T"&amp;$I67-1&amp;""),1,MATCH(TEXT(B67,0),INDIRECT("数出表_Excel!B"&amp;$I67-1&amp;":T"&amp;$I67-1&amp;""),0))),""),4),"1",""),
"")
&amp;"3")),"")</f>
        <v/>
      </c>
      <c r="K67" t="str" cm="1">
        <f t="array" aca="1" ref="K67" ca="1">IFERROR(IF(OR(COUNTIF(INDIRECT("数出表_Excel!"&amp;
IFERROR(
SUBSTITUTE(ADDRESS(1,
IFERROR(COLUMN(INDEX(INDIRECT("数出表_Excel!B"&amp;$I67-1&amp;":T"&amp;$I67-1&amp;""),1,MATCH(TEXT(C67,0),INDIRECT("数出表_Excel!B"&amp;$I67-1&amp;":T"&amp;$I67-1&amp;""),0))),""),4),"1",""),
"")
&amp;"3"),"*キャラ*"),
COUNTIF(INDIRECT("数出表_Excel!"&amp;
IFERROR(
SUBSTITUTE(ADDRESS(1,
IFERROR(COLUMN(INDEX(INDIRECT("数出表_Excel!B"&amp;$I67-1&amp;":T"&amp;$I67-1&amp;""),1,MATCH(TEXT(C67,0),INDIRECT("数出表_Excel!B"&amp;$I67-1&amp;":T"&amp;$I67-1&amp;""),0))),""),4),"1",""),
"")
&amp;"3"),"*赤*")),
INDIRECT("数出表_Excel!"&amp;
IFERROR(
SUBSTITUTE(ADDRESS(1,
IFERROR(COLUMN(INDEX(INDIRECT("数出表_Excel!B"&amp;$I67-1&amp;":T"&amp;$I67-1&amp;""),1,MATCH(TEXT(C67,0),INDIRECT("数出表_Excel!B"&amp;$I67-1&amp;":T"&amp;$I67-1&amp;""),0))),""),4),"1",""),
"")
&amp;"3")
&amp;"　"&amp;INDIRECT("数出表_Excel!"&amp;
IFERROR(
SUBSTITUTE(ADDRESS(1,
IFERROR(COLUMN(INDEX(INDIRECT("数出表_Excel!B"&amp;$I67-1&amp;":T"&amp;$I67-1&amp;""),1,MATCH(TEXT(C67,0),INDIRECT("数出表_Excel!B"&amp;$I67-1&amp;":T"&amp;$I67-1&amp;""),0))),""),4),"1",""),
"")
&amp;"4")
&amp;INDIRECT("数出表_Excel!"&amp;
IFERROR(
SUBSTITUTE(ADDRESS(1,
IFERROR(COLUMN(INDEX(INDIRECT("数出表_Excel!B"&amp;$I67-1&amp;":T"&amp;$I67-1&amp;""),1,MATCH(TEXT(C67,0),INDIRECT("数出表_Excel!B"&amp;$I67-1&amp;":T"&amp;$I67-1&amp;""),0))),""),4),"1",""),
"")
&amp;"5"),
INDIRECT("数出表_Excel!"&amp;
IFERROR(
SUBSTITUTE(ADDRESS(1,
IFERROR(COLUMN(INDEX(INDIRECT("数出表_Excel!B"&amp;$I67-1&amp;":T"&amp;$I67-1&amp;""),1,MATCH(TEXT(C67,0),INDIRECT("数出表_Excel!B"&amp;$I67-1&amp;":T"&amp;$I67-1&amp;""),0))),""),4),"1",""),
"")
&amp;"3")),"")</f>
        <v/>
      </c>
      <c r="L67" t="str" cm="1">
        <f t="array" aca="1" ref="L67" ca="1">IFERROR(IF(OR(COUNTIF(INDIRECT("数出表_Excel!"&amp;
IFERROR(
SUBSTITUTE(ADDRESS(1,
IFERROR(COLUMN(INDEX(INDIRECT("数出表_Excel!B"&amp;$I67-1&amp;":T"&amp;$I67-1&amp;""),1,MATCH(TEXT(D67,0),INDIRECT("数出表_Excel!B"&amp;$I67-1&amp;":T"&amp;$I67-1&amp;""),0))),""),4),"1",""),
"")
&amp;"3"),"*キャラ*"),
COUNTIF(INDIRECT("数出表_Excel!"&amp;
IFERROR(
SUBSTITUTE(ADDRESS(1,
IFERROR(COLUMN(INDEX(INDIRECT("数出表_Excel!B"&amp;$I67-1&amp;":T"&amp;$I67-1&amp;""),1,MATCH(TEXT(D67,0),INDIRECT("数出表_Excel!B"&amp;$I67-1&amp;":T"&amp;$I67-1&amp;""),0))),""),4),"1",""),
"")
&amp;"3"),"*赤*")),
INDIRECT("数出表_Excel!"&amp;
IFERROR(
SUBSTITUTE(ADDRESS(1,
IFERROR(COLUMN(INDEX(INDIRECT("数出表_Excel!B"&amp;$I67-1&amp;":T"&amp;$I67-1&amp;""),1,MATCH(TEXT(D67,0),INDIRECT("数出表_Excel!B"&amp;$I67-1&amp;":T"&amp;$I67-1&amp;""),0))),""),4),"1",""),
"")
&amp;"3")
&amp;"　"&amp;INDIRECT("数出表_Excel!"&amp;
IFERROR(
SUBSTITUTE(ADDRESS(1,
IFERROR(COLUMN(INDEX(INDIRECT("数出表_Excel!B"&amp;$I67-1&amp;":T"&amp;$I67-1&amp;""),1,MATCH(TEXT(D67,0),INDIRECT("数出表_Excel!B"&amp;$I67-1&amp;":T"&amp;$I67-1&amp;""),0))),""),4),"1",""),
"")
&amp;"4")
&amp;INDIRECT("数出表_Excel!"&amp;
IFERROR(
SUBSTITUTE(ADDRESS(1,
IFERROR(COLUMN(INDEX(INDIRECT("数出表_Excel!B"&amp;$I67-1&amp;":T"&amp;$I67-1&amp;""),1,MATCH(TEXT(D67,0),INDIRECT("数出表_Excel!B"&amp;$I67-1&amp;":T"&amp;$I67-1&amp;""),0))),""),4),"1",""),
"")
&amp;"5"),
INDIRECT("数出表_Excel!"&amp;
IFERROR(
SUBSTITUTE(ADDRESS(1,
IFERROR(COLUMN(INDEX(INDIRECT("数出表_Excel!B"&amp;$I67-1&amp;":T"&amp;$I67-1&amp;""),1,MATCH(TEXT(D67,0),INDIRECT("数出表_Excel!B"&amp;$I67-1&amp;":T"&amp;$I67-1&amp;""),0))),""),4),"1",""),
"")
&amp;"3")),"")</f>
        <v/>
      </c>
      <c r="M67" t="str" cm="1">
        <f t="array" aca="1" ref="M67" ca="1">IFERROR(IF(OR(COUNTIF(INDIRECT("数出表_Excel!"&amp;
IFERROR(
SUBSTITUTE(ADDRESS(1,
IFERROR(COLUMN(INDEX(INDIRECT("数出表_Excel!B"&amp;$I67&amp;":T"&amp;$I67&amp;""),1,MATCH(TEXT(E67,0),INDIRECT("数出表_Excel!B"&amp;$I67&amp;":T"&amp;$I67&amp;""),0))),""),4),"1",""),
"")
&amp;"3"),"*キャラ*"),
COUNTIF(INDIRECT("数出表_Excel!"&amp;
IFERROR(
SUBSTITUTE(ADDRESS(1,
IFERROR(COLUMN(INDEX(INDIRECT("数出表_Excel!B"&amp;$I67&amp;":T"&amp;$I67&amp;""),1,MATCH(TEXT(E67,0),INDIRECT("数出表_Excel!B"&amp;$I67&amp;":T"&amp;$I67&amp;""),0))),""),4),"1",""),
"")
&amp;"3"),"*赤*")),
INDIRECT("数出表_Excel!"&amp;
IFERROR(
SUBSTITUTE(ADDRESS(1,
IFERROR(COLUMN(INDEX(INDIRECT("数出表_Excel!B"&amp;$I67&amp;":T"&amp;$I67&amp;""),1,MATCH(TEXT(E67,0),INDIRECT("数出表_Excel!B"&amp;$I67&amp;":T"&amp;$I67&amp;""),0))),""),4),"1",""),
"")
&amp;"3")
&amp;"　"&amp;INDIRECT("数出表_Excel!"&amp;
IFERROR(
SUBSTITUTE(ADDRESS(1,
IFERROR(COLUMN(INDEX(INDIRECT("数出表_Excel!B"&amp;$I67&amp;":T"&amp;$I67&amp;""),1,MATCH(TEXT(E67,0),INDIRECT("数出表_Excel!B"&amp;$I67&amp;":T"&amp;$I67&amp;""),0))),""),4),"1",""),
"")
&amp;"4")
&amp;INDIRECT("数出表_Excel!"&amp;
IFERROR(
SUBSTITUTE(ADDRESS(1,
IFERROR(COLUMN(INDEX(INDIRECT("数出表_Excel!B"&amp;$I67&amp;":T"&amp;$I67&amp;""),1,MATCH(TEXT(E67,0),INDIRECT("数出表_Excel!B"&amp;$I67&amp;":T"&amp;$I67&amp;""),0))),""),4),"1",""),
"")
&amp;"5"),
INDIRECT("数出表_Excel!"&amp;
IFERROR(
SUBSTITUTE(ADDRESS(1,
IFERROR(COLUMN(INDEX(INDIRECT("数出表_Excel!B"&amp;$I67&amp;":T"&amp;$I67&amp;""),1,MATCH(TEXT(E67,0),INDIRECT("数出表_Excel!B"&amp;$I67&amp;":T"&amp;$I67&amp;""),0))),""),4),"1",""),
"")
&amp;"3")),"")</f>
        <v/>
      </c>
      <c r="N67" t="str" cm="1">
        <f t="array" aca="1" ref="N67" ca="1">IFERROR(IF(OR(COUNTIF(INDIRECT("数出表_Excel!"&amp;
IFERROR(
SUBSTITUTE(ADDRESS(1,
IFERROR(COLUMN(INDEX(INDIRECT("数出表_Excel!B"&amp;$I67&amp;":T"&amp;$I67&amp;""),1,MATCH(TEXT(F67,0),INDIRECT("数出表_Excel!B"&amp;$I67&amp;":T"&amp;$I67&amp;""),0))),""),4),"1",""),
"")
&amp;"3"),"*キャラ*"),
COUNTIF(INDIRECT("数出表_Excel!"&amp;
IFERROR(
SUBSTITUTE(ADDRESS(1,
IFERROR(COLUMN(INDEX(INDIRECT("数出表_Excel!B"&amp;$I67&amp;":T"&amp;$I67&amp;""),1,MATCH(TEXT(F67,0),INDIRECT("数出表_Excel!B"&amp;$I67&amp;":T"&amp;$I67&amp;""),0))),""),4),"1",""),
"")
&amp;"3"),"*赤*")),
INDIRECT("数出表_Excel!"&amp;
IFERROR(
SUBSTITUTE(ADDRESS(1,
IFERROR(COLUMN(INDEX(INDIRECT("数出表_Excel!B"&amp;$I67&amp;":T"&amp;$I67&amp;""),1,MATCH(TEXT(F67,0),INDIRECT("数出表_Excel!B"&amp;$I67&amp;":T"&amp;$I67&amp;""),0))),""),4),"1",""),
"")
&amp;"3")
&amp;"　"&amp;INDIRECT("数出表_Excel!"&amp;
IFERROR(
SUBSTITUTE(ADDRESS(1,
IFERROR(COLUMN(INDEX(INDIRECT("数出表_Excel!B"&amp;$I67&amp;":T"&amp;$I67&amp;""),1,MATCH(TEXT(F67,0),INDIRECT("数出表_Excel!B"&amp;$I67&amp;":T"&amp;$I67&amp;""),0))),""),4),"1",""),
"")
&amp;"4")
&amp;INDIRECT("数出表_Excel!"&amp;
IFERROR(
SUBSTITUTE(ADDRESS(1,
IFERROR(COLUMN(INDEX(INDIRECT("数出表_Excel!B"&amp;$I67&amp;":T"&amp;$I67&amp;""),1,MATCH(TEXT(F67,0),INDIRECT("数出表_Excel!B"&amp;$I67&amp;":T"&amp;$I67&amp;""),0))),""),4),"1",""),
"")
&amp;"5"),
INDIRECT("数出表_Excel!"&amp;
IFERROR(
SUBSTITUTE(ADDRESS(1,
IFERROR(COLUMN(INDEX(INDIRECT("数出表_Excel!B"&amp;$I67&amp;":T"&amp;$I67&amp;""),1,MATCH(TEXT(F67,0),INDIRECT("数出表_Excel!B"&amp;$I67&amp;":T"&amp;$I67&amp;""),0))),""),4),"1",""),
"")
&amp;"3")),"")</f>
        <v/>
      </c>
      <c r="O67" t="str" cm="1">
        <f t="array" aca="1" ref="O67" ca="1">IFERROR(IF(OR(COUNTIF(INDIRECT("数出表_Excel!"&amp;
IFERROR(
SUBSTITUTE(ADDRESS(1,
IFERROR(COLUMN(INDEX(INDIRECT("数出表_Excel!B"&amp;$I67&amp;":T"&amp;$I67&amp;""),1,MATCH(TEXT(G67,0),INDIRECT("数出表_Excel!B"&amp;$I67&amp;":T"&amp;$I67&amp;""),0))),""),4),"1",""),
"")
&amp;"3"),"*キャラ*"),
COUNTIF(INDIRECT("数出表_Excel!"&amp;
IFERROR(
SUBSTITUTE(ADDRESS(1,
IFERROR(COLUMN(INDEX(INDIRECT("数出表_Excel!B"&amp;$I67&amp;":T"&amp;$I67&amp;""),1,MATCH(TEXT(G67,0),INDIRECT("数出表_Excel!B"&amp;$I67&amp;":T"&amp;$I67&amp;""),0))),""),4),"1",""),
"")
&amp;"3"),"*赤*")),
INDIRECT("数出表_Excel!"&amp;
IFERROR(
SUBSTITUTE(ADDRESS(1,
IFERROR(COLUMN(INDEX(INDIRECT("数出表_Excel!B"&amp;$I67&amp;":T"&amp;$I67&amp;""),1,MATCH(TEXT(G67,0),INDIRECT("数出表_Excel!B"&amp;$I67&amp;":T"&amp;$I67&amp;""),0))),""),4),"1",""),
"")
&amp;"3")
&amp;"　"&amp;INDIRECT("数出表_Excel!"&amp;
IFERROR(
SUBSTITUTE(ADDRESS(1,
IFERROR(COLUMN(INDEX(INDIRECT("数出表_Excel!B"&amp;$I67&amp;":T"&amp;$I67&amp;""),1,MATCH(TEXT(G67,0),INDIRECT("数出表_Excel!B"&amp;$I67&amp;":T"&amp;$I67&amp;""),0))),""),4),"1",""),
"")
&amp;"4")
&amp;INDIRECT("数出表_Excel!"&amp;
IFERROR(
SUBSTITUTE(ADDRESS(1,
IFERROR(COLUMN(INDEX(INDIRECT("数出表_Excel!B"&amp;$I67&amp;":T"&amp;$I67&amp;""),1,MATCH(TEXT(G67,0),INDIRECT("数出表_Excel!B"&amp;$I67&amp;":T"&amp;$I67&amp;""),0))),""),4),"1",""),
"")
&amp;"5"),
INDIRECT("数出表_Excel!"&amp;
IFERROR(
SUBSTITUTE(ADDRESS(1,
IFERROR(COLUMN(INDEX(INDIRECT("数出表_Excel!B"&amp;$I67&amp;":T"&amp;$I67&amp;""),1,MATCH(TEXT(G67,0),INDIRECT("数出表_Excel!B"&amp;$I67&amp;":T"&amp;$I67&amp;""),0))),""),4),"1",""),
"")
&amp;"3")),"")</f>
        <v/>
      </c>
    </row>
    <row r="68" spans="8:15">
      <c r="I68" t="str">
        <f>IF(A68&lt;&gt;"",MATCH(A68,数出表_Excel!A:A,0),"")</f>
        <v/>
      </c>
      <c r="J68" t="str" cm="1">
        <f t="array" aca="1" ref="J68" ca="1">IFERROR(IF(OR(COUNTIF(INDIRECT("数出表_Excel!"&amp;
IFERROR(
SUBSTITUTE(ADDRESS(1,
IFERROR(COLUMN(INDEX(INDIRECT("数出表_Excel!B"&amp;$I68-1&amp;":T"&amp;$I68-1&amp;""),1,MATCH(TEXT(B68,0),INDIRECT("数出表_Excel!B"&amp;$I68-1&amp;":T"&amp;$I68-1&amp;""),0))),""),4),"1",""),
"")
&amp;"3"),"*キャラ*"),
COUNTIF(INDIRECT("数出表_Excel!"&amp;
IFERROR(
SUBSTITUTE(ADDRESS(1,
IFERROR(COLUMN(INDEX(INDIRECT("数出表_Excel!B"&amp;$I68-1&amp;":T"&amp;$I68-1&amp;""),1,MATCH(TEXT(B68,0),INDIRECT("数出表_Excel!B"&amp;$I68-1&amp;":T"&amp;$I68-1&amp;""),0))),""),4),"1",""),
"")
&amp;"3"),"*赤*")),
INDIRECT("数出表_Excel!"&amp;
IFERROR(
SUBSTITUTE(ADDRESS(1,
IFERROR(COLUMN(INDEX(INDIRECT("数出表_Excel!B"&amp;$I68-1&amp;":T"&amp;$I68-1&amp;""),1,MATCH(TEXT(B68,0),INDIRECT("数出表_Excel!B"&amp;$I68-1&amp;":T"&amp;$I68-1&amp;""),0))),""),4),"1",""),
"")
&amp;"3")
&amp;"　"&amp;INDIRECT("数出表_Excel!"&amp;
IFERROR(
SUBSTITUTE(ADDRESS(1,
IFERROR(COLUMN(INDEX(INDIRECT("数出表_Excel!B"&amp;$I68-1&amp;":T"&amp;$I68-1&amp;""),1,MATCH(TEXT(B68,0),INDIRECT("数出表_Excel!B"&amp;$I68-1&amp;":T"&amp;$I68-1&amp;""),0))),""),4),"1",""),
"")
&amp;"4")
&amp;INDIRECT("数出表_Excel!"&amp;
IFERROR(
SUBSTITUTE(ADDRESS(1,
IFERROR(COLUMN(INDEX(INDIRECT("数出表_Excel!B"&amp;$I68-1&amp;":T"&amp;$I68-1&amp;""),1,MATCH(TEXT(B68,0),INDIRECT("数出表_Excel!B"&amp;$I68-1&amp;":T"&amp;$I68-1&amp;""),0))),""),4),"1",""),
"")
&amp;"5"),
INDIRECT("数出表_Excel!"&amp;
IFERROR(
SUBSTITUTE(ADDRESS(1,
IFERROR(COLUMN(INDEX(INDIRECT("数出表_Excel!B"&amp;$I68-1&amp;":T"&amp;$I68-1&amp;""),1,MATCH(TEXT(B68,0),INDIRECT("数出表_Excel!B"&amp;$I68-1&amp;":T"&amp;$I68-1&amp;""),0))),""),4),"1",""),
"")
&amp;"3")),"")</f>
        <v/>
      </c>
      <c r="K68" t="str" cm="1">
        <f t="array" aca="1" ref="K68" ca="1">IFERROR(IF(OR(COUNTIF(INDIRECT("数出表_Excel!"&amp;
IFERROR(
SUBSTITUTE(ADDRESS(1,
IFERROR(COLUMN(INDEX(INDIRECT("数出表_Excel!B"&amp;$I68-1&amp;":T"&amp;$I68-1&amp;""),1,MATCH(TEXT(C68,0),INDIRECT("数出表_Excel!B"&amp;$I68-1&amp;":T"&amp;$I68-1&amp;""),0))),""),4),"1",""),
"")
&amp;"3"),"*キャラ*"),
COUNTIF(INDIRECT("数出表_Excel!"&amp;
IFERROR(
SUBSTITUTE(ADDRESS(1,
IFERROR(COLUMN(INDEX(INDIRECT("数出表_Excel!B"&amp;$I68-1&amp;":T"&amp;$I68-1&amp;""),1,MATCH(TEXT(C68,0),INDIRECT("数出表_Excel!B"&amp;$I68-1&amp;":T"&amp;$I68-1&amp;""),0))),""),4),"1",""),
"")
&amp;"3"),"*赤*")),
INDIRECT("数出表_Excel!"&amp;
IFERROR(
SUBSTITUTE(ADDRESS(1,
IFERROR(COLUMN(INDEX(INDIRECT("数出表_Excel!B"&amp;$I68-1&amp;":T"&amp;$I68-1&amp;""),1,MATCH(TEXT(C68,0),INDIRECT("数出表_Excel!B"&amp;$I68-1&amp;":T"&amp;$I68-1&amp;""),0))),""),4),"1",""),
"")
&amp;"3")
&amp;"　"&amp;INDIRECT("数出表_Excel!"&amp;
IFERROR(
SUBSTITUTE(ADDRESS(1,
IFERROR(COLUMN(INDEX(INDIRECT("数出表_Excel!B"&amp;$I68-1&amp;":T"&amp;$I68-1&amp;""),1,MATCH(TEXT(C68,0),INDIRECT("数出表_Excel!B"&amp;$I68-1&amp;":T"&amp;$I68-1&amp;""),0))),""),4),"1",""),
"")
&amp;"4")
&amp;INDIRECT("数出表_Excel!"&amp;
IFERROR(
SUBSTITUTE(ADDRESS(1,
IFERROR(COLUMN(INDEX(INDIRECT("数出表_Excel!B"&amp;$I68-1&amp;":T"&amp;$I68-1&amp;""),1,MATCH(TEXT(C68,0),INDIRECT("数出表_Excel!B"&amp;$I68-1&amp;":T"&amp;$I68-1&amp;""),0))),""),4),"1",""),
"")
&amp;"5"),
INDIRECT("数出表_Excel!"&amp;
IFERROR(
SUBSTITUTE(ADDRESS(1,
IFERROR(COLUMN(INDEX(INDIRECT("数出表_Excel!B"&amp;$I68-1&amp;":T"&amp;$I68-1&amp;""),1,MATCH(TEXT(C68,0),INDIRECT("数出表_Excel!B"&amp;$I68-1&amp;":T"&amp;$I68-1&amp;""),0))),""),4),"1",""),
"")
&amp;"3")),"")</f>
        <v/>
      </c>
      <c r="L68" t="str" cm="1">
        <f t="array" aca="1" ref="L68" ca="1">IFERROR(IF(OR(COUNTIF(INDIRECT("数出表_Excel!"&amp;
IFERROR(
SUBSTITUTE(ADDRESS(1,
IFERROR(COLUMN(INDEX(INDIRECT("数出表_Excel!B"&amp;$I68-1&amp;":T"&amp;$I68-1&amp;""),1,MATCH(TEXT(D68,0),INDIRECT("数出表_Excel!B"&amp;$I68-1&amp;":T"&amp;$I68-1&amp;""),0))),""),4),"1",""),
"")
&amp;"3"),"*キャラ*"),
COUNTIF(INDIRECT("数出表_Excel!"&amp;
IFERROR(
SUBSTITUTE(ADDRESS(1,
IFERROR(COLUMN(INDEX(INDIRECT("数出表_Excel!B"&amp;$I68-1&amp;":T"&amp;$I68-1&amp;""),1,MATCH(TEXT(D68,0),INDIRECT("数出表_Excel!B"&amp;$I68-1&amp;":T"&amp;$I68-1&amp;""),0))),""),4),"1",""),
"")
&amp;"3"),"*赤*")),
INDIRECT("数出表_Excel!"&amp;
IFERROR(
SUBSTITUTE(ADDRESS(1,
IFERROR(COLUMN(INDEX(INDIRECT("数出表_Excel!B"&amp;$I68-1&amp;":T"&amp;$I68-1&amp;""),1,MATCH(TEXT(D68,0),INDIRECT("数出表_Excel!B"&amp;$I68-1&amp;":T"&amp;$I68-1&amp;""),0))),""),4),"1",""),
"")
&amp;"3")
&amp;"　"&amp;INDIRECT("数出表_Excel!"&amp;
IFERROR(
SUBSTITUTE(ADDRESS(1,
IFERROR(COLUMN(INDEX(INDIRECT("数出表_Excel!B"&amp;$I68-1&amp;":T"&amp;$I68-1&amp;""),1,MATCH(TEXT(D68,0),INDIRECT("数出表_Excel!B"&amp;$I68-1&amp;":T"&amp;$I68-1&amp;""),0))),""),4),"1",""),
"")
&amp;"4")
&amp;INDIRECT("数出表_Excel!"&amp;
IFERROR(
SUBSTITUTE(ADDRESS(1,
IFERROR(COLUMN(INDEX(INDIRECT("数出表_Excel!B"&amp;$I68-1&amp;":T"&amp;$I68-1&amp;""),1,MATCH(TEXT(D68,0),INDIRECT("数出表_Excel!B"&amp;$I68-1&amp;":T"&amp;$I68-1&amp;""),0))),""),4),"1",""),
"")
&amp;"5"),
INDIRECT("数出表_Excel!"&amp;
IFERROR(
SUBSTITUTE(ADDRESS(1,
IFERROR(COLUMN(INDEX(INDIRECT("数出表_Excel!B"&amp;$I68-1&amp;":T"&amp;$I68-1&amp;""),1,MATCH(TEXT(D68,0),INDIRECT("数出表_Excel!B"&amp;$I68-1&amp;":T"&amp;$I68-1&amp;""),0))),""),4),"1",""),
"")
&amp;"3")),"")</f>
        <v/>
      </c>
      <c r="M68" t="str" cm="1">
        <f t="array" aca="1" ref="M68" ca="1">IFERROR(IF(OR(COUNTIF(INDIRECT("数出表_Excel!"&amp;
IFERROR(
SUBSTITUTE(ADDRESS(1,
IFERROR(COLUMN(INDEX(INDIRECT("数出表_Excel!B"&amp;$I68&amp;":T"&amp;$I68&amp;""),1,MATCH(TEXT(E68,0),INDIRECT("数出表_Excel!B"&amp;$I68&amp;":T"&amp;$I68&amp;""),0))),""),4),"1",""),
"")
&amp;"3"),"*キャラ*"),
COUNTIF(INDIRECT("数出表_Excel!"&amp;
IFERROR(
SUBSTITUTE(ADDRESS(1,
IFERROR(COLUMN(INDEX(INDIRECT("数出表_Excel!B"&amp;$I68&amp;":T"&amp;$I68&amp;""),1,MATCH(TEXT(E68,0),INDIRECT("数出表_Excel!B"&amp;$I68&amp;":T"&amp;$I68&amp;""),0))),""),4),"1",""),
"")
&amp;"3"),"*赤*")),
INDIRECT("数出表_Excel!"&amp;
IFERROR(
SUBSTITUTE(ADDRESS(1,
IFERROR(COLUMN(INDEX(INDIRECT("数出表_Excel!B"&amp;$I68&amp;":T"&amp;$I68&amp;""),1,MATCH(TEXT(E68,0),INDIRECT("数出表_Excel!B"&amp;$I68&amp;":T"&amp;$I68&amp;""),0))),""),4),"1",""),
"")
&amp;"3")
&amp;"　"&amp;INDIRECT("数出表_Excel!"&amp;
IFERROR(
SUBSTITUTE(ADDRESS(1,
IFERROR(COLUMN(INDEX(INDIRECT("数出表_Excel!B"&amp;$I68&amp;":T"&amp;$I68&amp;""),1,MATCH(TEXT(E68,0),INDIRECT("数出表_Excel!B"&amp;$I68&amp;":T"&amp;$I68&amp;""),0))),""),4),"1",""),
"")
&amp;"4")
&amp;INDIRECT("数出表_Excel!"&amp;
IFERROR(
SUBSTITUTE(ADDRESS(1,
IFERROR(COLUMN(INDEX(INDIRECT("数出表_Excel!B"&amp;$I68&amp;":T"&amp;$I68&amp;""),1,MATCH(TEXT(E68,0),INDIRECT("数出表_Excel!B"&amp;$I68&amp;":T"&amp;$I68&amp;""),0))),""),4),"1",""),
"")
&amp;"5"),
INDIRECT("数出表_Excel!"&amp;
IFERROR(
SUBSTITUTE(ADDRESS(1,
IFERROR(COLUMN(INDEX(INDIRECT("数出表_Excel!B"&amp;$I68&amp;":T"&amp;$I68&amp;""),1,MATCH(TEXT(E68,0),INDIRECT("数出表_Excel!B"&amp;$I68&amp;":T"&amp;$I68&amp;""),0))),""),4),"1",""),
"")
&amp;"3")),"")</f>
        <v/>
      </c>
      <c r="N68" t="str" cm="1">
        <f t="array" aca="1" ref="N68" ca="1">IFERROR(IF(OR(COUNTIF(INDIRECT("数出表_Excel!"&amp;
IFERROR(
SUBSTITUTE(ADDRESS(1,
IFERROR(COLUMN(INDEX(INDIRECT("数出表_Excel!B"&amp;$I68&amp;":T"&amp;$I68&amp;""),1,MATCH(TEXT(F68,0),INDIRECT("数出表_Excel!B"&amp;$I68&amp;":T"&amp;$I68&amp;""),0))),""),4),"1",""),
"")
&amp;"3"),"*キャラ*"),
COUNTIF(INDIRECT("数出表_Excel!"&amp;
IFERROR(
SUBSTITUTE(ADDRESS(1,
IFERROR(COLUMN(INDEX(INDIRECT("数出表_Excel!B"&amp;$I68&amp;":T"&amp;$I68&amp;""),1,MATCH(TEXT(F68,0),INDIRECT("数出表_Excel!B"&amp;$I68&amp;":T"&amp;$I68&amp;""),0))),""),4),"1",""),
"")
&amp;"3"),"*赤*")),
INDIRECT("数出表_Excel!"&amp;
IFERROR(
SUBSTITUTE(ADDRESS(1,
IFERROR(COLUMN(INDEX(INDIRECT("数出表_Excel!B"&amp;$I68&amp;":T"&amp;$I68&amp;""),1,MATCH(TEXT(F68,0),INDIRECT("数出表_Excel!B"&amp;$I68&amp;":T"&amp;$I68&amp;""),0))),""),4),"1",""),
"")
&amp;"3")
&amp;"　"&amp;INDIRECT("数出表_Excel!"&amp;
IFERROR(
SUBSTITUTE(ADDRESS(1,
IFERROR(COLUMN(INDEX(INDIRECT("数出表_Excel!B"&amp;$I68&amp;":T"&amp;$I68&amp;""),1,MATCH(TEXT(F68,0),INDIRECT("数出表_Excel!B"&amp;$I68&amp;":T"&amp;$I68&amp;""),0))),""),4),"1",""),
"")
&amp;"4")
&amp;INDIRECT("数出表_Excel!"&amp;
IFERROR(
SUBSTITUTE(ADDRESS(1,
IFERROR(COLUMN(INDEX(INDIRECT("数出表_Excel!B"&amp;$I68&amp;":T"&amp;$I68&amp;""),1,MATCH(TEXT(F68,0),INDIRECT("数出表_Excel!B"&amp;$I68&amp;":T"&amp;$I68&amp;""),0))),""),4),"1",""),
"")
&amp;"5"),
INDIRECT("数出表_Excel!"&amp;
IFERROR(
SUBSTITUTE(ADDRESS(1,
IFERROR(COLUMN(INDEX(INDIRECT("数出表_Excel!B"&amp;$I68&amp;":T"&amp;$I68&amp;""),1,MATCH(TEXT(F68,0),INDIRECT("数出表_Excel!B"&amp;$I68&amp;":T"&amp;$I68&amp;""),0))),""),4),"1",""),
"")
&amp;"3")),"")</f>
        <v/>
      </c>
      <c r="O68" t="str" cm="1">
        <f t="array" aca="1" ref="O68" ca="1">IFERROR(IF(OR(COUNTIF(INDIRECT("数出表_Excel!"&amp;
IFERROR(
SUBSTITUTE(ADDRESS(1,
IFERROR(COLUMN(INDEX(INDIRECT("数出表_Excel!B"&amp;$I68&amp;":T"&amp;$I68&amp;""),1,MATCH(TEXT(G68,0),INDIRECT("数出表_Excel!B"&amp;$I68&amp;":T"&amp;$I68&amp;""),0))),""),4),"1",""),
"")
&amp;"3"),"*キャラ*"),
COUNTIF(INDIRECT("数出表_Excel!"&amp;
IFERROR(
SUBSTITUTE(ADDRESS(1,
IFERROR(COLUMN(INDEX(INDIRECT("数出表_Excel!B"&amp;$I68&amp;":T"&amp;$I68&amp;""),1,MATCH(TEXT(G68,0),INDIRECT("数出表_Excel!B"&amp;$I68&amp;":T"&amp;$I68&amp;""),0))),""),4),"1",""),
"")
&amp;"3"),"*赤*")),
INDIRECT("数出表_Excel!"&amp;
IFERROR(
SUBSTITUTE(ADDRESS(1,
IFERROR(COLUMN(INDEX(INDIRECT("数出表_Excel!B"&amp;$I68&amp;":T"&amp;$I68&amp;""),1,MATCH(TEXT(G68,0),INDIRECT("数出表_Excel!B"&amp;$I68&amp;":T"&amp;$I68&amp;""),0))),""),4),"1",""),
"")
&amp;"3")
&amp;"　"&amp;INDIRECT("数出表_Excel!"&amp;
IFERROR(
SUBSTITUTE(ADDRESS(1,
IFERROR(COLUMN(INDEX(INDIRECT("数出表_Excel!B"&amp;$I68&amp;":T"&amp;$I68&amp;""),1,MATCH(TEXT(G68,0),INDIRECT("数出表_Excel!B"&amp;$I68&amp;":T"&amp;$I68&amp;""),0))),""),4),"1",""),
"")
&amp;"4")
&amp;INDIRECT("数出表_Excel!"&amp;
IFERROR(
SUBSTITUTE(ADDRESS(1,
IFERROR(COLUMN(INDEX(INDIRECT("数出表_Excel!B"&amp;$I68&amp;":T"&amp;$I68&amp;""),1,MATCH(TEXT(G68,0),INDIRECT("数出表_Excel!B"&amp;$I68&amp;":T"&amp;$I68&amp;""),0))),""),4),"1",""),
"")
&amp;"5"),
INDIRECT("数出表_Excel!"&amp;
IFERROR(
SUBSTITUTE(ADDRESS(1,
IFERROR(COLUMN(INDEX(INDIRECT("数出表_Excel!B"&amp;$I68&amp;":T"&amp;$I68&amp;""),1,MATCH(TEXT(G68,0),INDIRECT("数出表_Excel!B"&amp;$I68&amp;":T"&amp;$I68&amp;""),0))),""),4),"1",""),
"")
&amp;"3")),"")</f>
        <v/>
      </c>
    </row>
    <row r="69" spans="8:15">
      <c r="I69" t="str">
        <f>IF(A69&lt;&gt;"",MATCH(A69,数出表_Excel!A:A,0),"")</f>
        <v/>
      </c>
      <c r="J69" t="str" cm="1">
        <f t="array" aca="1" ref="J69" ca="1">IFERROR(IF(OR(COUNTIF(INDIRECT("数出表_Excel!"&amp;
IFERROR(
SUBSTITUTE(ADDRESS(1,
IFERROR(COLUMN(INDEX(INDIRECT("数出表_Excel!B"&amp;$I69-1&amp;":T"&amp;$I69-1&amp;""),1,MATCH(TEXT(B69,0),INDIRECT("数出表_Excel!B"&amp;$I69-1&amp;":T"&amp;$I69-1&amp;""),0))),""),4),"1",""),
"")
&amp;"3"),"*キャラ*"),
COUNTIF(INDIRECT("数出表_Excel!"&amp;
IFERROR(
SUBSTITUTE(ADDRESS(1,
IFERROR(COLUMN(INDEX(INDIRECT("数出表_Excel!B"&amp;$I69-1&amp;":T"&amp;$I69-1&amp;""),1,MATCH(TEXT(B69,0),INDIRECT("数出表_Excel!B"&amp;$I69-1&amp;":T"&amp;$I69-1&amp;""),0))),""),4),"1",""),
"")
&amp;"3"),"*赤*")),
INDIRECT("数出表_Excel!"&amp;
IFERROR(
SUBSTITUTE(ADDRESS(1,
IFERROR(COLUMN(INDEX(INDIRECT("数出表_Excel!B"&amp;$I69-1&amp;":T"&amp;$I69-1&amp;""),1,MATCH(TEXT(B69,0),INDIRECT("数出表_Excel!B"&amp;$I69-1&amp;":T"&amp;$I69-1&amp;""),0))),""),4),"1",""),
"")
&amp;"3")
&amp;"　"&amp;INDIRECT("数出表_Excel!"&amp;
IFERROR(
SUBSTITUTE(ADDRESS(1,
IFERROR(COLUMN(INDEX(INDIRECT("数出表_Excel!B"&amp;$I69-1&amp;":T"&amp;$I69-1&amp;""),1,MATCH(TEXT(B69,0),INDIRECT("数出表_Excel!B"&amp;$I69-1&amp;":T"&amp;$I69-1&amp;""),0))),""),4),"1",""),
"")
&amp;"4")
&amp;INDIRECT("数出表_Excel!"&amp;
IFERROR(
SUBSTITUTE(ADDRESS(1,
IFERROR(COLUMN(INDEX(INDIRECT("数出表_Excel!B"&amp;$I69-1&amp;":T"&amp;$I69-1&amp;""),1,MATCH(TEXT(B69,0),INDIRECT("数出表_Excel!B"&amp;$I69-1&amp;":T"&amp;$I69-1&amp;""),0))),""),4),"1",""),
"")
&amp;"5"),
INDIRECT("数出表_Excel!"&amp;
IFERROR(
SUBSTITUTE(ADDRESS(1,
IFERROR(COLUMN(INDEX(INDIRECT("数出表_Excel!B"&amp;$I69-1&amp;":T"&amp;$I69-1&amp;""),1,MATCH(TEXT(B69,0),INDIRECT("数出表_Excel!B"&amp;$I69-1&amp;":T"&amp;$I69-1&amp;""),0))),""),4),"1",""),
"")
&amp;"3")),"")</f>
        <v/>
      </c>
      <c r="K69" t="str" cm="1">
        <f t="array" aca="1" ref="K69" ca="1">IFERROR(IF(OR(COUNTIF(INDIRECT("数出表_Excel!"&amp;
IFERROR(
SUBSTITUTE(ADDRESS(1,
IFERROR(COLUMN(INDEX(INDIRECT("数出表_Excel!B"&amp;$I69-1&amp;":T"&amp;$I69-1&amp;""),1,MATCH(TEXT(C69,0),INDIRECT("数出表_Excel!B"&amp;$I69-1&amp;":T"&amp;$I69-1&amp;""),0))),""),4),"1",""),
"")
&amp;"3"),"*キャラ*"),
COUNTIF(INDIRECT("数出表_Excel!"&amp;
IFERROR(
SUBSTITUTE(ADDRESS(1,
IFERROR(COLUMN(INDEX(INDIRECT("数出表_Excel!B"&amp;$I69-1&amp;":T"&amp;$I69-1&amp;""),1,MATCH(TEXT(C69,0),INDIRECT("数出表_Excel!B"&amp;$I69-1&amp;":T"&amp;$I69-1&amp;""),0))),""),4),"1",""),
"")
&amp;"3"),"*赤*")),
INDIRECT("数出表_Excel!"&amp;
IFERROR(
SUBSTITUTE(ADDRESS(1,
IFERROR(COLUMN(INDEX(INDIRECT("数出表_Excel!B"&amp;$I69-1&amp;":T"&amp;$I69-1&amp;""),1,MATCH(TEXT(C69,0),INDIRECT("数出表_Excel!B"&amp;$I69-1&amp;":T"&amp;$I69-1&amp;""),0))),""),4),"1",""),
"")
&amp;"3")
&amp;"　"&amp;INDIRECT("数出表_Excel!"&amp;
IFERROR(
SUBSTITUTE(ADDRESS(1,
IFERROR(COLUMN(INDEX(INDIRECT("数出表_Excel!B"&amp;$I69-1&amp;":T"&amp;$I69-1&amp;""),1,MATCH(TEXT(C69,0),INDIRECT("数出表_Excel!B"&amp;$I69-1&amp;":T"&amp;$I69-1&amp;""),0))),""),4),"1",""),
"")
&amp;"4")
&amp;INDIRECT("数出表_Excel!"&amp;
IFERROR(
SUBSTITUTE(ADDRESS(1,
IFERROR(COLUMN(INDEX(INDIRECT("数出表_Excel!B"&amp;$I69-1&amp;":T"&amp;$I69-1&amp;""),1,MATCH(TEXT(C69,0),INDIRECT("数出表_Excel!B"&amp;$I69-1&amp;":T"&amp;$I69-1&amp;""),0))),""),4),"1",""),
"")
&amp;"5"),
INDIRECT("数出表_Excel!"&amp;
IFERROR(
SUBSTITUTE(ADDRESS(1,
IFERROR(COLUMN(INDEX(INDIRECT("数出表_Excel!B"&amp;$I69-1&amp;":T"&amp;$I69-1&amp;""),1,MATCH(TEXT(C69,0),INDIRECT("数出表_Excel!B"&amp;$I69-1&amp;":T"&amp;$I69-1&amp;""),0))),""),4),"1",""),
"")
&amp;"3")),"")</f>
        <v/>
      </c>
      <c r="L69" t="str" cm="1">
        <f t="array" aca="1" ref="L69" ca="1">IFERROR(IF(OR(COUNTIF(INDIRECT("数出表_Excel!"&amp;
IFERROR(
SUBSTITUTE(ADDRESS(1,
IFERROR(COLUMN(INDEX(INDIRECT("数出表_Excel!B"&amp;$I69-1&amp;":T"&amp;$I69-1&amp;""),1,MATCH(TEXT(D69,0),INDIRECT("数出表_Excel!B"&amp;$I69-1&amp;":T"&amp;$I69-1&amp;""),0))),""),4),"1",""),
"")
&amp;"3"),"*キャラ*"),
COUNTIF(INDIRECT("数出表_Excel!"&amp;
IFERROR(
SUBSTITUTE(ADDRESS(1,
IFERROR(COLUMN(INDEX(INDIRECT("数出表_Excel!B"&amp;$I69-1&amp;":T"&amp;$I69-1&amp;""),1,MATCH(TEXT(D69,0),INDIRECT("数出表_Excel!B"&amp;$I69-1&amp;":T"&amp;$I69-1&amp;""),0))),""),4),"1",""),
"")
&amp;"3"),"*赤*")),
INDIRECT("数出表_Excel!"&amp;
IFERROR(
SUBSTITUTE(ADDRESS(1,
IFERROR(COLUMN(INDEX(INDIRECT("数出表_Excel!B"&amp;$I69-1&amp;":T"&amp;$I69-1&amp;""),1,MATCH(TEXT(D69,0),INDIRECT("数出表_Excel!B"&amp;$I69-1&amp;":T"&amp;$I69-1&amp;""),0))),""),4),"1",""),
"")
&amp;"3")
&amp;"　"&amp;INDIRECT("数出表_Excel!"&amp;
IFERROR(
SUBSTITUTE(ADDRESS(1,
IFERROR(COLUMN(INDEX(INDIRECT("数出表_Excel!B"&amp;$I69-1&amp;":T"&amp;$I69-1&amp;""),1,MATCH(TEXT(D69,0),INDIRECT("数出表_Excel!B"&amp;$I69-1&amp;":T"&amp;$I69-1&amp;""),0))),""),4),"1",""),
"")
&amp;"4")
&amp;INDIRECT("数出表_Excel!"&amp;
IFERROR(
SUBSTITUTE(ADDRESS(1,
IFERROR(COLUMN(INDEX(INDIRECT("数出表_Excel!B"&amp;$I69-1&amp;":T"&amp;$I69-1&amp;""),1,MATCH(TEXT(D69,0),INDIRECT("数出表_Excel!B"&amp;$I69-1&amp;":T"&amp;$I69-1&amp;""),0))),""),4),"1",""),
"")
&amp;"5"),
INDIRECT("数出表_Excel!"&amp;
IFERROR(
SUBSTITUTE(ADDRESS(1,
IFERROR(COLUMN(INDEX(INDIRECT("数出表_Excel!B"&amp;$I69-1&amp;":T"&amp;$I69-1&amp;""),1,MATCH(TEXT(D69,0),INDIRECT("数出表_Excel!B"&amp;$I69-1&amp;":T"&amp;$I69-1&amp;""),0))),""),4),"1",""),
"")
&amp;"3")),"")</f>
        <v/>
      </c>
      <c r="M69" t="str" cm="1">
        <f t="array" aca="1" ref="M69" ca="1">IFERROR(IF(OR(COUNTIF(INDIRECT("数出表_Excel!"&amp;
IFERROR(
SUBSTITUTE(ADDRESS(1,
IFERROR(COLUMN(INDEX(INDIRECT("数出表_Excel!B"&amp;$I69&amp;":T"&amp;$I69&amp;""),1,MATCH(TEXT(E69,0),INDIRECT("数出表_Excel!B"&amp;$I69&amp;":T"&amp;$I69&amp;""),0))),""),4),"1",""),
"")
&amp;"3"),"*キャラ*"),
COUNTIF(INDIRECT("数出表_Excel!"&amp;
IFERROR(
SUBSTITUTE(ADDRESS(1,
IFERROR(COLUMN(INDEX(INDIRECT("数出表_Excel!B"&amp;$I69&amp;":T"&amp;$I69&amp;""),1,MATCH(TEXT(E69,0),INDIRECT("数出表_Excel!B"&amp;$I69&amp;":T"&amp;$I69&amp;""),0))),""),4),"1",""),
"")
&amp;"3"),"*赤*")),
INDIRECT("数出表_Excel!"&amp;
IFERROR(
SUBSTITUTE(ADDRESS(1,
IFERROR(COLUMN(INDEX(INDIRECT("数出表_Excel!B"&amp;$I69&amp;":T"&amp;$I69&amp;""),1,MATCH(TEXT(E69,0),INDIRECT("数出表_Excel!B"&amp;$I69&amp;":T"&amp;$I69&amp;""),0))),""),4),"1",""),
"")
&amp;"3")
&amp;"　"&amp;INDIRECT("数出表_Excel!"&amp;
IFERROR(
SUBSTITUTE(ADDRESS(1,
IFERROR(COLUMN(INDEX(INDIRECT("数出表_Excel!B"&amp;$I69&amp;":T"&amp;$I69&amp;""),1,MATCH(TEXT(E69,0),INDIRECT("数出表_Excel!B"&amp;$I69&amp;":T"&amp;$I69&amp;""),0))),""),4),"1",""),
"")
&amp;"4")
&amp;INDIRECT("数出表_Excel!"&amp;
IFERROR(
SUBSTITUTE(ADDRESS(1,
IFERROR(COLUMN(INDEX(INDIRECT("数出表_Excel!B"&amp;$I69&amp;":T"&amp;$I69&amp;""),1,MATCH(TEXT(E69,0),INDIRECT("数出表_Excel!B"&amp;$I69&amp;":T"&amp;$I69&amp;""),0))),""),4),"1",""),
"")
&amp;"5"),
INDIRECT("数出表_Excel!"&amp;
IFERROR(
SUBSTITUTE(ADDRESS(1,
IFERROR(COLUMN(INDEX(INDIRECT("数出表_Excel!B"&amp;$I69&amp;":T"&amp;$I69&amp;""),1,MATCH(TEXT(E69,0),INDIRECT("数出表_Excel!B"&amp;$I69&amp;":T"&amp;$I69&amp;""),0))),""),4),"1",""),
"")
&amp;"3")),"")</f>
        <v/>
      </c>
      <c r="N69" t="str" cm="1">
        <f t="array" aca="1" ref="N69" ca="1">IFERROR(IF(OR(COUNTIF(INDIRECT("数出表_Excel!"&amp;
IFERROR(
SUBSTITUTE(ADDRESS(1,
IFERROR(COLUMN(INDEX(INDIRECT("数出表_Excel!B"&amp;$I69&amp;":T"&amp;$I69&amp;""),1,MATCH(TEXT(F69,0),INDIRECT("数出表_Excel!B"&amp;$I69&amp;":T"&amp;$I69&amp;""),0))),""),4),"1",""),
"")
&amp;"3"),"*キャラ*"),
COUNTIF(INDIRECT("数出表_Excel!"&amp;
IFERROR(
SUBSTITUTE(ADDRESS(1,
IFERROR(COLUMN(INDEX(INDIRECT("数出表_Excel!B"&amp;$I69&amp;":T"&amp;$I69&amp;""),1,MATCH(TEXT(F69,0),INDIRECT("数出表_Excel!B"&amp;$I69&amp;":T"&amp;$I69&amp;""),0))),""),4),"1",""),
"")
&amp;"3"),"*赤*")),
INDIRECT("数出表_Excel!"&amp;
IFERROR(
SUBSTITUTE(ADDRESS(1,
IFERROR(COLUMN(INDEX(INDIRECT("数出表_Excel!B"&amp;$I69&amp;":T"&amp;$I69&amp;""),1,MATCH(TEXT(F69,0),INDIRECT("数出表_Excel!B"&amp;$I69&amp;":T"&amp;$I69&amp;""),0))),""),4),"1",""),
"")
&amp;"3")
&amp;"　"&amp;INDIRECT("数出表_Excel!"&amp;
IFERROR(
SUBSTITUTE(ADDRESS(1,
IFERROR(COLUMN(INDEX(INDIRECT("数出表_Excel!B"&amp;$I69&amp;":T"&amp;$I69&amp;""),1,MATCH(TEXT(F69,0),INDIRECT("数出表_Excel!B"&amp;$I69&amp;":T"&amp;$I69&amp;""),0))),""),4),"1",""),
"")
&amp;"4")
&amp;INDIRECT("数出表_Excel!"&amp;
IFERROR(
SUBSTITUTE(ADDRESS(1,
IFERROR(COLUMN(INDEX(INDIRECT("数出表_Excel!B"&amp;$I69&amp;":T"&amp;$I69&amp;""),1,MATCH(TEXT(F69,0),INDIRECT("数出表_Excel!B"&amp;$I69&amp;":T"&amp;$I69&amp;""),0))),""),4),"1",""),
"")
&amp;"5"),
INDIRECT("数出表_Excel!"&amp;
IFERROR(
SUBSTITUTE(ADDRESS(1,
IFERROR(COLUMN(INDEX(INDIRECT("数出表_Excel!B"&amp;$I69&amp;":T"&amp;$I69&amp;""),1,MATCH(TEXT(F69,0),INDIRECT("数出表_Excel!B"&amp;$I69&amp;":T"&amp;$I69&amp;""),0))),""),4),"1",""),
"")
&amp;"3")),"")</f>
        <v/>
      </c>
      <c r="O69" t="str" cm="1">
        <f t="array" aca="1" ref="O69" ca="1">IFERROR(IF(OR(COUNTIF(INDIRECT("数出表_Excel!"&amp;
IFERROR(
SUBSTITUTE(ADDRESS(1,
IFERROR(COLUMN(INDEX(INDIRECT("数出表_Excel!B"&amp;$I69&amp;":T"&amp;$I69&amp;""),1,MATCH(TEXT(G69,0),INDIRECT("数出表_Excel!B"&amp;$I69&amp;":T"&amp;$I69&amp;""),0))),""),4),"1",""),
"")
&amp;"3"),"*キャラ*"),
COUNTIF(INDIRECT("数出表_Excel!"&amp;
IFERROR(
SUBSTITUTE(ADDRESS(1,
IFERROR(COLUMN(INDEX(INDIRECT("数出表_Excel!B"&amp;$I69&amp;":T"&amp;$I69&amp;""),1,MATCH(TEXT(G69,0),INDIRECT("数出表_Excel!B"&amp;$I69&amp;":T"&amp;$I69&amp;""),0))),""),4),"1",""),
"")
&amp;"3"),"*赤*")),
INDIRECT("数出表_Excel!"&amp;
IFERROR(
SUBSTITUTE(ADDRESS(1,
IFERROR(COLUMN(INDEX(INDIRECT("数出表_Excel!B"&amp;$I69&amp;":T"&amp;$I69&amp;""),1,MATCH(TEXT(G69,0),INDIRECT("数出表_Excel!B"&amp;$I69&amp;":T"&amp;$I69&amp;""),0))),""),4),"1",""),
"")
&amp;"3")
&amp;"　"&amp;INDIRECT("数出表_Excel!"&amp;
IFERROR(
SUBSTITUTE(ADDRESS(1,
IFERROR(COLUMN(INDEX(INDIRECT("数出表_Excel!B"&amp;$I69&amp;":T"&amp;$I69&amp;""),1,MATCH(TEXT(G69,0),INDIRECT("数出表_Excel!B"&amp;$I69&amp;":T"&amp;$I69&amp;""),0))),""),4),"1",""),
"")
&amp;"4")
&amp;INDIRECT("数出表_Excel!"&amp;
IFERROR(
SUBSTITUTE(ADDRESS(1,
IFERROR(COLUMN(INDEX(INDIRECT("数出表_Excel!B"&amp;$I69&amp;":T"&amp;$I69&amp;""),1,MATCH(TEXT(G69,0),INDIRECT("数出表_Excel!B"&amp;$I69&amp;":T"&amp;$I69&amp;""),0))),""),4),"1",""),
"")
&amp;"5"),
INDIRECT("数出表_Excel!"&amp;
IFERROR(
SUBSTITUTE(ADDRESS(1,
IFERROR(COLUMN(INDEX(INDIRECT("数出表_Excel!B"&amp;$I69&amp;":T"&amp;$I69&amp;""),1,MATCH(TEXT(G69,0),INDIRECT("数出表_Excel!B"&amp;$I69&amp;":T"&amp;$I69&amp;""),0))),""),4),"1",""),
"")
&amp;"3")),"")</f>
        <v/>
      </c>
    </row>
    <row r="70" spans="8:15" s="155" customFormat="1">
      <c r="H70" s="154"/>
      <c r="I70" s="155" t="str">
        <f>IF(A70&lt;&gt;"",MATCH(A70,数出表_Excel!A:A,0),"")</f>
        <v/>
      </c>
      <c r="J70" s="155" t="str" cm="1">
        <f t="array" aca="1" ref="J70" ca="1">IFERROR(IF(OR(COUNTIF(INDIRECT("数出表_Excel!"&amp;
IFERROR(
SUBSTITUTE(ADDRESS(1,
IFERROR(COLUMN(INDEX(INDIRECT("数出表_Excel!B"&amp;$I70-1&amp;":T"&amp;$I70-1&amp;""),1,MATCH(TEXT(B70,0),INDIRECT("数出表_Excel!B"&amp;$I70-1&amp;":T"&amp;$I70-1&amp;""),0))),""),4),"1",""),
"")
&amp;"3"),"*キャラ*"),
COUNTIF(INDIRECT("数出表_Excel!"&amp;
IFERROR(
SUBSTITUTE(ADDRESS(1,
IFERROR(COLUMN(INDEX(INDIRECT("数出表_Excel!B"&amp;$I70-1&amp;":T"&amp;$I70-1&amp;""),1,MATCH(TEXT(B70,0),INDIRECT("数出表_Excel!B"&amp;$I70-1&amp;":T"&amp;$I70-1&amp;""),0))),""),4),"1",""),
"")
&amp;"3"),"*赤*")),
INDIRECT("数出表_Excel!"&amp;
IFERROR(
SUBSTITUTE(ADDRESS(1,
IFERROR(COLUMN(INDEX(INDIRECT("数出表_Excel!B"&amp;$I70-1&amp;":T"&amp;$I70-1&amp;""),1,MATCH(TEXT(B70,0),INDIRECT("数出表_Excel!B"&amp;$I70-1&amp;":T"&amp;$I70-1&amp;""),0))),""),4),"1",""),
"")
&amp;"3")
&amp;"　"&amp;INDIRECT("数出表_Excel!"&amp;
IFERROR(
SUBSTITUTE(ADDRESS(1,
IFERROR(COLUMN(INDEX(INDIRECT("数出表_Excel!B"&amp;$I70-1&amp;":T"&amp;$I70-1&amp;""),1,MATCH(TEXT(B70,0),INDIRECT("数出表_Excel!B"&amp;$I70-1&amp;":T"&amp;$I70-1&amp;""),0))),""),4),"1",""),
"")
&amp;"4")
&amp;INDIRECT("数出表_Excel!"&amp;
IFERROR(
SUBSTITUTE(ADDRESS(1,
IFERROR(COLUMN(INDEX(INDIRECT("数出表_Excel!B"&amp;$I70-1&amp;":T"&amp;$I70-1&amp;""),1,MATCH(TEXT(B70,0),INDIRECT("数出表_Excel!B"&amp;$I70-1&amp;":T"&amp;$I70-1&amp;""),0))),""),4),"1",""),
"")
&amp;"5"),
INDIRECT("数出表_Excel!"&amp;
IFERROR(
SUBSTITUTE(ADDRESS(1,
IFERROR(COLUMN(INDEX(INDIRECT("数出表_Excel!B"&amp;$I70-1&amp;":T"&amp;$I70-1&amp;""),1,MATCH(TEXT(B70,0),INDIRECT("数出表_Excel!B"&amp;$I70-1&amp;":T"&amp;$I70-1&amp;""),0))),""),4),"1",""),
"")
&amp;"3")),"")</f>
        <v/>
      </c>
      <c r="K70" s="155" t="str" cm="1">
        <f t="array" aca="1" ref="K70" ca="1">IFERROR(IF(OR(COUNTIF(INDIRECT("数出表_Excel!"&amp;
IFERROR(
SUBSTITUTE(ADDRESS(1,
IFERROR(COLUMN(INDEX(INDIRECT("数出表_Excel!B"&amp;$I70-1&amp;":T"&amp;$I70-1&amp;""),1,MATCH(TEXT(C70,0),INDIRECT("数出表_Excel!B"&amp;$I70-1&amp;":T"&amp;$I70-1&amp;""),0))),""),4),"1",""),
"")
&amp;"3"),"*キャラ*"),
COUNTIF(INDIRECT("数出表_Excel!"&amp;
IFERROR(
SUBSTITUTE(ADDRESS(1,
IFERROR(COLUMN(INDEX(INDIRECT("数出表_Excel!B"&amp;$I70-1&amp;":T"&amp;$I70-1&amp;""),1,MATCH(TEXT(C70,0),INDIRECT("数出表_Excel!B"&amp;$I70-1&amp;":T"&amp;$I70-1&amp;""),0))),""),4),"1",""),
"")
&amp;"3"),"*赤*")),
INDIRECT("数出表_Excel!"&amp;
IFERROR(
SUBSTITUTE(ADDRESS(1,
IFERROR(COLUMN(INDEX(INDIRECT("数出表_Excel!B"&amp;$I70-1&amp;":T"&amp;$I70-1&amp;""),1,MATCH(TEXT(C70,0),INDIRECT("数出表_Excel!B"&amp;$I70-1&amp;":T"&amp;$I70-1&amp;""),0))),""),4),"1",""),
"")
&amp;"3")
&amp;"　"&amp;INDIRECT("数出表_Excel!"&amp;
IFERROR(
SUBSTITUTE(ADDRESS(1,
IFERROR(COLUMN(INDEX(INDIRECT("数出表_Excel!B"&amp;$I70-1&amp;":T"&amp;$I70-1&amp;""),1,MATCH(TEXT(C70,0),INDIRECT("数出表_Excel!B"&amp;$I70-1&amp;":T"&amp;$I70-1&amp;""),0))),""),4),"1",""),
"")
&amp;"4")
&amp;INDIRECT("数出表_Excel!"&amp;
IFERROR(
SUBSTITUTE(ADDRESS(1,
IFERROR(COLUMN(INDEX(INDIRECT("数出表_Excel!B"&amp;$I70-1&amp;":T"&amp;$I70-1&amp;""),1,MATCH(TEXT(C70,0),INDIRECT("数出表_Excel!B"&amp;$I70-1&amp;":T"&amp;$I70-1&amp;""),0))),""),4),"1",""),
"")
&amp;"5"),
INDIRECT("数出表_Excel!"&amp;
IFERROR(
SUBSTITUTE(ADDRESS(1,
IFERROR(COLUMN(INDEX(INDIRECT("数出表_Excel!B"&amp;$I70-1&amp;":T"&amp;$I70-1&amp;""),1,MATCH(TEXT(C70,0),INDIRECT("数出表_Excel!B"&amp;$I70-1&amp;":T"&amp;$I70-1&amp;""),0))),""),4),"1",""),
"")
&amp;"3")),"")</f>
        <v/>
      </c>
      <c r="L70" s="155" t="str" cm="1">
        <f t="array" aca="1" ref="L70" ca="1">IFERROR(IF(OR(COUNTIF(INDIRECT("数出表_Excel!"&amp;
IFERROR(
SUBSTITUTE(ADDRESS(1,
IFERROR(COLUMN(INDEX(INDIRECT("数出表_Excel!B"&amp;$I70-1&amp;":T"&amp;$I70-1&amp;""),1,MATCH(TEXT(D70,0),INDIRECT("数出表_Excel!B"&amp;$I70-1&amp;":T"&amp;$I70-1&amp;""),0))),""),4),"1",""),
"")
&amp;"3"),"*キャラ*"),
COUNTIF(INDIRECT("数出表_Excel!"&amp;
IFERROR(
SUBSTITUTE(ADDRESS(1,
IFERROR(COLUMN(INDEX(INDIRECT("数出表_Excel!B"&amp;$I70-1&amp;":T"&amp;$I70-1&amp;""),1,MATCH(TEXT(D70,0),INDIRECT("数出表_Excel!B"&amp;$I70-1&amp;":T"&amp;$I70-1&amp;""),0))),""),4),"1",""),
"")
&amp;"3"),"*赤*")),
INDIRECT("数出表_Excel!"&amp;
IFERROR(
SUBSTITUTE(ADDRESS(1,
IFERROR(COLUMN(INDEX(INDIRECT("数出表_Excel!B"&amp;$I70-1&amp;":T"&amp;$I70-1&amp;""),1,MATCH(TEXT(D70,0),INDIRECT("数出表_Excel!B"&amp;$I70-1&amp;":T"&amp;$I70-1&amp;""),0))),""),4),"1",""),
"")
&amp;"3")
&amp;"　"&amp;INDIRECT("数出表_Excel!"&amp;
IFERROR(
SUBSTITUTE(ADDRESS(1,
IFERROR(COLUMN(INDEX(INDIRECT("数出表_Excel!B"&amp;$I70-1&amp;":T"&amp;$I70-1&amp;""),1,MATCH(TEXT(D70,0),INDIRECT("数出表_Excel!B"&amp;$I70-1&amp;":T"&amp;$I70-1&amp;""),0))),""),4),"1",""),
"")
&amp;"4")
&amp;INDIRECT("数出表_Excel!"&amp;
IFERROR(
SUBSTITUTE(ADDRESS(1,
IFERROR(COLUMN(INDEX(INDIRECT("数出表_Excel!B"&amp;$I70-1&amp;":T"&amp;$I70-1&amp;""),1,MATCH(TEXT(D70,0),INDIRECT("数出表_Excel!B"&amp;$I70-1&amp;":T"&amp;$I70-1&amp;""),0))),""),4),"1",""),
"")
&amp;"5"),
INDIRECT("数出表_Excel!"&amp;
IFERROR(
SUBSTITUTE(ADDRESS(1,
IFERROR(COLUMN(INDEX(INDIRECT("数出表_Excel!B"&amp;$I70-1&amp;":T"&amp;$I70-1&amp;""),1,MATCH(TEXT(D70,0),INDIRECT("数出表_Excel!B"&amp;$I70-1&amp;":T"&amp;$I70-1&amp;""),0))),""),4),"1",""),
"")
&amp;"3")),"")</f>
        <v/>
      </c>
      <c r="M70" s="155" t="str" cm="1">
        <f t="array" aca="1" ref="M70" ca="1">IFERROR(IF(OR(COUNTIF(INDIRECT("数出表_Excel!"&amp;
IFERROR(
SUBSTITUTE(ADDRESS(1,
IFERROR(COLUMN(INDEX(INDIRECT("数出表_Excel!B"&amp;$I70&amp;":T"&amp;$I70&amp;""),1,MATCH(TEXT(E70,0),INDIRECT("数出表_Excel!B"&amp;$I70&amp;":T"&amp;$I70&amp;""),0))),""),4),"1",""),
"")
&amp;"3"),"*キャラ*"),
COUNTIF(INDIRECT("数出表_Excel!"&amp;
IFERROR(
SUBSTITUTE(ADDRESS(1,
IFERROR(COLUMN(INDEX(INDIRECT("数出表_Excel!B"&amp;$I70&amp;":T"&amp;$I70&amp;""),1,MATCH(TEXT(E70,0),INDIRECT("数出表_Excel!B"&amp;$I70&amp;":T"&amp;$I70&amp;""),0))),""),4),"1",""),
"")
&amp;"3"),"*赤*")),
INDIRECT("数出表_Excel!"&amp;
IFERROR(
SUBSTITUTE(ADDRESS(1,
IFERROR(COLUMN(INDEX(INDIRECT("数出表_Excel!B"&amp;$I70&amp;":T"&amp;$I70&amp;""),1,MATCH(TEXT(E70,0),INDIRECT("数出表_Excel!B"&amp;$I70&amp;":T"&amp;$I70&amp;""),0))),""),4),"1",""),
"")
&amp;"3")
&amp;"　"&amp;INDIRECT("数出表_Excel!"&amp;
IFERROR(
SUBSTITUTE(ADDRESS(1,
IFERROR(COLUMN(INDEX(INDIRECT("数出表_Excel!B"&amp;$I70&amp;":T"&amp;$I70&amp;""),1,MATCH(TEXT(E70,0),INDIRECT("数出表_Excel!B"&amp;$I70&amp;":T"&amp;$I70&amp;""),0))),""),4),"1",""),
"")
&amp;"4")
&amp;INDIRECT("数出表_Excel!"&amp;
IFERROR(
SUBSTITUTE(ADDRESS(1,
IFERROR(COLUMN(INDEX(INDIRECT("数出表_Excel!B"&amp;$I70&amp;":T"&amp;$I70&amp;""),1,MATCH(TEXT(E70,0),INDIRECT("数出表_Excel!B"&amp;$I70&amp;":T"&amp;$I70&amp;""),0))),""),4),"1",""),
"")
&amp;"5"),
INDIRECT("数出表_Excel!"&amp;
IFERROR(
SUBSTITUTE(ADDRESS(1,
IFERROR(COLUMN(INDEX(INDIRECT("数出表_Excel!B"&amp;$I70&amp;":T"&amp;$I70&amp;""),1,MATCH(TEXT(E70,0),INDIRECT("数出表_Excel!B"&amp;$I70&amp;":T"&amp;$I70&amp;""),0))),""),4),"1",""),
"")
&amp;"3")),"")</f>
        <v/>
      </c>
      <c r="N70" s="155" t="str" cm="1">
        <f t="array" aca="1" ref="N70" ca="1">IFERROR(IF(OR(COUNTIF(INDIRECT("数出表_Excel!"&amp;
IFERROR(
SUBSTITUTE(ADDRESS(1,
IFERROR(COLUMN(INDEX(INDIRECT("数出表_Excel!B"&amp;$I70&amp;":T"&amp;$I70&amp;""),1,MATCH(TEXT(F70,0),INDIRECT("数出表_Excel!B"&amp;$I70&amp;":T"&amp;$I70&amp;""),0))),""),4),"1",""),
"")
&amp;"3"),"*キャラ*"),
COUNTIF(INDIRECT("数出表_Excel!"&amp;
IFERROR(
SUBSTITUTE(ADDRESS(1,
IFERROR(COLUMN(INDEX(INDIRECT("数出表_Excel!B"&amp;$I70&amp;":T"&amp;$I70&amp;""),1,MATCH(TEXT(F70,0),INDIRECT("数出表_Excel!B"&amp;$I70&amp;":T"&amp;$I70&amp;""),0))),""),4),"1",""),
"")
&amp;"3"),"*赤*")),
INDIRECT("数出表_Excel!"&amp;
IFERROR(
SUBSTITUTE(ADDRESS(1,
IFERROR(COLUMN(INDEX(INDIRECT("数出表_Excel!B"&amp;$I70&amp;":T"&amp;$I70&amp;""),1,MATCH(TEXT(F70,0),INDIRECT("数出表_Excel!B"&amp;$I70&amp;":T"&amp;$I70&amp;""),0))),""),4),"1",""),
"")
&amp;"3")
&amp;"　"&amp;INDIRECT("数出表_Excel!"&amp;
IFERROR(
SUBSTITUTE(ADDRESS(1,
IFERROR(COLUMN(INDEX(INDIRECT("数出表_Excel!B"&amp;$I70&amp;":T"&amp;$I70&amp;""),1,MATCH(TEXT(F70,0),INDIRECT("数出表_Excel!B"&amp;$I70&amp;":T"&amp;$I70&amp;""),0))),""),4),"1",""),
"")
&amp;"4")
&amp;INDIRECT("数出表_Excel!"&amp;
IFERROR(
SUBSTITUTE(ADDRESS(1,
IFERROR(COLUMN(INDEX(INDIRECT("数出表_Excel!B"&amp;$I70&amp;":T"&amp;$I70&amp;""),1,MATCH(TEXT(F70,0),INDIRECT("数出表_Excel!B"&amp;$I70&amp;":T"&amp;$I70&amp;""),0))),""),4),"1",""),
"")
&amp;"5"),
INDIRECT("数出表_Excel!"&amp;
IFERROR(
SUBSTITUTE(ADDRESS(1,
IFERROR(COLUMN(INDEX(INDIRECT("数出表_Excel!B"&amp;$I70&amp;":T"&amp;$I70&amp;""),1,MATCH(TEXT(F70,0),INDIRECT("数出表_Excel!B"&amp;$I70&amp;":T"&amp;$I70&amp;""),0))),""),4),"1",""),
"")
&amp;"3")),"")</f>
        <v/>
      </c>
      <c r="O70" s="155" t="str" cm="1">
        <f t="array" aca="1" ref="O70" ca="1">IFERROR(IF(OR(COUNTIF(INDIRECT("数出表_Excel!"&amp;
IFERROR(
SUBSTITUTE(ADDRESS(1,
IFERROR(COLUMN(INDEX(INDIRECT("数出表_Excel!B"&amp;$I70&amp;":T"&amp;$I70&amp;""),1,MATCH(TEXT(G70,0),INDIRECT("数出表_Excel!B"&amp;$I70&amp;":T"&amp;$I70&amp;""),0))),""),4),"1",""),
"")
&amp;"3"),"*キャラ*"),
COUNTIF(INDIRECT("数出表_Excel!"&amp;
IFERROR(
SUBSTITUTE(ADDRESS(1,
IFERROR(COLUMN(INDEX(INDIRECT("数出表_Excel!B"&amp;$I70&amp;":T"&amp;$I70&amp;""),1,MATCH(TEXT(G70,0),INDIRECT("数出表_Excel!B"&amp;$I70&amp;":T"&amp;$I70&amp;""),0))),""),4),"1",""),
"")
&amp;"3"),"*赤*")),
INDIRECT("数出表_Excel!"&amp;
IFERROR(
SUBSTITUTE(ADDRESS(1,
IFERROR(COLUMN(INDEX(INDIRECT("数出表_Excel!B"&amp;$I70&amp;":T"&amp;$I70&amp;""),1,MATCH(TEXT(G70,0),INDIRECT("数出表_Excel!B"&amp;$I70&amp;":T"&amp;$I70&amp;""),0))),""),4),"1",""),
"")
&amp;"3")
&amp;"　"&amp;INDIRECT("数出表_Excel!"&amp;
IFERROR(
SUBSTITUTE(ADDRESS(1,
IFERROR(COLUMN(INDEX(INDIRECT("数出表_Excel!B"&amp;$I70&amp;":T"&amp;$I70&amp;""),1,MATCH(TEXT(G70,0),INDIRECT("数出表_Excel!B"&amp;$I70&amp;":T"&amp;$I70&amp;""),0))),""),4),"1",""),
"")
&amp;"4")
&amp;INDIRECT("数出表_Excel!"&amp;
IFERROR(
SUBSTITUTE(ADDRESS(1,
IFERROR(COLUMN(INDEX(INDIRECT("数出表_Excel!B"&amp;$I70&amp;":T"&amp;$I70&amp;""),1,MATCH(TEXT(G70,0),INDIRECT("数出表_Excel!B"&amp;$I70&amp;":T"&amp;$I70&amp;""),0))),""),4),"1",""),
"")
&amp;"5"),
INDIRECT("数出表_Excel!"&amp;
IFERROR(
SUBSTITUTE(ADDRESS(1,
IFERROR(COLUMN(INDEX(INDIRECT("数出表_Excel!B"&amp;$I70&amp;":T"&amp;$I70&amp;""),1,MATCH(TEXT(G70,0),INDIRECT("数出表_Excel!B"&amp;$I70&amp;":T"&amp;$I70&amp;""),0))),""),4),"1",""),
"")
&amp;"3")),"")</f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tabSelected="1"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B3" sqref="B3"/>
    </sheetView>
  </sheetViews>
  <sheetFormatPr defaultRowHeight="18"/>
  <cols>
    <col min="1" max="1" width="26.69921875" style="52" customWidth="1"/>
    <col min="2" max="11" width="8.796875" style="51" customWidth="1"/>
    <col min="12" max="20" width="11.3984375" style="53" customWidth="1"/>
    <col min="21" max="21" width="11.3984375" style="53" hidden="1" customWidth="1"/>
    <col min="22" max="22" width="32.796875" style="96" customWidth="1"/>
    <col min="23" max="23" width="27.69921875" style="52" customWidth="1"/>
  </cols>
  <sheetData>
    <row r="1" spans="1:23">
      <c r="A1"/>
      <c r="L1" s="51"/>
      <c r="M1" s="51"/>
      <c r="N1" s="51"/>
      <c r="O1" s="51"/>
      <c r="P1" s="51"/>
      <c r="Q1" s="51"/>
      <c r="R1" s="51" t="str">
        <f t="array" ref="R1">IF(R5&lt;&gt;"",
IF(AND(SUMPRODUCT(--ISNUMBER(SEARCH(LEFT(R5,LEN(R5)-2),SUBSTITUTE(SUBSTITUTE(貼り付け用!$L$3:$Z$3,"　","")," ",""))))&gt;0,
LEN(LEFT(R5,LEN(R5)-2))&gt;2),1,0),"")</f>
        <v/>
      </c>
      <c r="S1" s="51" t="str">
        <f t="array" ref="S1">IF(S5&lt;&gt;"",
IF(AND(SUMPRODUCT(--ISNUMBER(SEARCH(LEFT(S5,LEN(S5)-2),SUBSTITUTE(SUBSTITUTE(貼り付け用!$L$3:$Z$3,"　","")," ",""))))&gt;0,
LEN(LEFT(S5,LEN(S5)-2))&gt;2),1,0),"")</f>
        <v/>
      </c>
      <c r="T1" s="51"/>
      <c r="U1" s="51"/>
      <c r="V1" s="91"/>
      <c r="W1"/>
    </row>
    <row r="2" spans="1:23" s="13" customFormat="1" ht="26.4" customHeight="1">
      <c r="A2" s="13" t="str">
        <f>貼り付け用!A2&amp;"　"&amp;貼り付け用!B2&amp;"　"&amp;貼り付け用!C2</f>
        <v>　　</v>
      </c>
      <c r="B2" s="14"/>
      <c r="C2" s="14"/>
      <c r="D2" s="14"/>
      <c r="E2" s="14"/>
      <c r="F2" s="14"/>
      <c r="G2" s="14"/>
      <c r="H2" s="14"/>
      <c r="I2" s="39" t="s">
        <v>8</v>
      </c>
      <c r="J2" s="39"/>
      <c r="K2" s="39" t="s">
        <v>9</v>
      </c>
      <c r="L2" s="39"/>
      <c r="M2" s="39" t="s">
        <v>8</v>
      </c>
      <c r="N2" s="14"/>
      <c r="O2"/>
      <c r="P2"/>
      <c r="Q2"/>
      <c r="R2" t="s">
        <v>10</v>
      </c>
      <c r="S2"/>
      <c r="T2" t="s">
        <v>11</v>
      </c>
      <c r="U2" t="s">
        <v>11</v>
      </c>
      <c r="V2" s="92" t="str">
        <f>貼り付け用!T2&amp;"　"&amp;貼り付け用!U2&amp;"　"&amp;貼り付け用!V2&amp;"　"&amp;貼り付け用!W2</f>
        <v>　　　</v>
      </c>
    </row>
    <row r="3" spans="1:23">
      <c r="A3" s="4"/>
      <c r="B3" s="217" t="s">
        <v>461</v>
      </c>
      <c r="C3" s="46" t="s">
        <v>461</v>
      </c>
      <c r="D3" s="217" t="s">
        <v>2</v>
      </c>
      <c r="E3" s="47" t="s">
        <v>2</v>
      </c>
      <c r="F3" s="46" t="s">
        <v>2</v>
      </c>
      <c r="G3" s="217" t="s">
        <v>0</v>
      </c>
      <c r="H3" s="47" t="s">
        <v>0</v>
      </c>
      <c r="I3" s="47" t="s">
        <v>0</v>
      </c>
      <c r="J3" s="47" t="s">
        <v>0</v>
      </c>
      <c r="K3" s="46" t="s">
        <v>0</v>
      </c>
      <c r="L3" s="88">
        <f>IF(COUNTIF(注文弁当の抽出!A2,"*おやつ*"),"",注文弁当の抽出!A2)</f>
        <v>0</v>
      </c>
      <c r="M3" s="88">
        <f>IF(L3&lt;&gt;"",IF(COUNTIF(注文弁当の抽出!A3,"*おやつ*"),"",注文弁当の抽出!A3),"")</f>
        <v>0</v>
      </c>
      <c r="N3" s="88">
        <f>IF(M3&lt;&gt;"",IF(COUNTIF(注文弁当の抽出!A4,"*おやつ*"),"",注文弁当の抽出!A4),"")</f>
        <v>0</v>
      </c>
      <c r="O3" s="88">
        <f>IF(N3&lt;&gt;"",IF(COUNTIF(注文弁当の抽出!A5,"*おやつ*"),"",注文弁当の抽出!A5),"")</f>
        <v>0</v>
      </c>
      <c r="P3" s="88">
        <f>IF(O3&lt;&gt;"",IF(COUNTIF(注文弁当の抽出!A6,"*おやつ*"),"",注文弁当の抽出!A6),"")</f>
        <v>0</v>
      </c>
      <c r="Q3" s="88">
        <f>IF(P3&lt;&gt;"",IF(COUNTIF(注文弁当の抽出!A7,"*おやつ*"),"",注文弁当の抽出!A7),"")</f>
        <v>0</v>
      </c>
      <c r="R3" s="88">
        <f>IF(Q3&lt;&gt;"",IF(COUNTIF(注文弁当の抽出!A8,"*おやつ*"),"",注文弁当の抽出!A8),"")</f>
        <v>0</v>
      </c>
      <c r="S3" s="88">
        <f>IF(R3&lt;&gt;"",IF(COUNTIF(注文弁当の抽出!A9,"*おやつ*"),"",注文弁当の抽出!A9),"")</f>
        <v>0</v>
      </c>
      <c r="T3" s="85" t="s">
        <v>6</v>
      </c>
      <c r="U3" s="19"/>
      <c r="V3" s="93"/>
      <c r="W3" s="6"/>
    </row>
    <row r="4" spans="1:23">
      <c r="A4" s="2" t="s">
        <v>13</v>
      </c>
      <c r="B4" s="17" t="s">
        <v>14</v>
      </c>
      <c r="C4" s="17" t="s">
        <v>14</v>
      </c>
      <c r="D4" s="17" t="s">
        <v>14</v>
      </c>
      <c r="E4" s="17" t="s">
        <v>15</v>
      </c>
      <c r="F4" s="17" t="s">
        <v>16</v>
      </c>
      <c r="G4" s="17" t="s">
        <v>14</v>
      </c>
      <c r="H4" s="17" t="s">
        <v>14</v>
      </c>
      <c r="I4" s="17" t="s">
        <v>15</v>
      </c>
      <c r="J4" s="17" t="s">
        <v>15</v>
      </c>
      <c r="K4" s="17" t="s">
        <v>16</v>
      </c>
      <c r="L4" s="85"/>
      <c r="M4" s="85"/>
      <c r="N4" s="85"/>
      <c r="O4" s="85"/>
      <c r="P4" s="85"/>
      <c r="Q4" s="85"/>
      <c r="R4" s="85"/>
      <c r="S4" s="85"/>
      <c r="T4" s="85"/>
      <c r="U4" s="42"/>
      <c r="V4" s="94"/>
      <c r="W4" s="1"/>
    </row>
    <row r="5" spans="1:23">
      <c r="A5" s="3"/>
      <c r="B5" s="17">
        <v>100</v>
      </c>
      <c r="C5" s="17">
        <v>150</v>
      </c>
      <c r="D5" s="17">
        <v>120</v>
      </c>
      <c r="E5" s="17" t="s">
        <v>17</v>
      </c>
      <c r="F5" s="17"/>
      <c r="G5" s="17">
        <v>120</v>
      </c>
      <c r="H5" s="17">
        <v>100</v>
      </c>
      <c r="I5" s="17" t="s">
        <v>17</v>
      </c>
      <c r="J5" s="17" t="s">
        <v>18</v>
      </c>
      <c r="K5" s="17"/>
      <c r="L5" s="85"/>
      <c r="M5" s="85"/>
      <c r="N5" s="85"/>
      <c r="O5" s="85"/>
      <c r="P5" s="85"/>
      <c r="Q5" s="85"/>
      <c r="R5" s="85"/>
      <c r="S5" s="85"/>
      <c r="T5" s="85"/>
      <c r="U5" s="43"/>
      <c r="V5" s="9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8" t="e">
        <f ca="1">IF(VLOOKUP($A6,貼り付け用!$A$1:$BA$300,COLUMN(),FALSE)=0,"",VLOOKUP($A6,貼り付け用!$A$1:$BA$300,COLUMN(),FALSE))</f>
        <v>#N/A</v>
      </c>
      <c r="C6" s="18" t="e">
        <f ca="1">IF(VLOOKUP($A6,貼り付け用!$A$1:$BA$300,COLUMN(),FALSE)=0,"",VLOOKUP($A6,貼り付け用!$A$1:$BA$300,COLUMN(),FALSE))</f>
        <v>#N/A</v>
      </c>
      <c r="D6" s="18" t="e">
        <f ca="1">IF(VLOOKUP($A6,貼り付け用!$A$1:$BA$300,COLUMN(),FALSE)=0,"",VLOOKUP($A6,貼り付け用!$A$1:$BA$300,COLUMN(),FALSE))</f>
        <v>#N/A</v>
      </c>
      <c r="E6" s="18" t="e">
        <f ca="1">IF(VLOOKUP($A6,貼り付け用!$A$1:$BA$300,COLUMN(),FALSE)=0,"",VLOOKUP($A6,貼り付け用!$A$1:$BA$300,COLUMN(),FALSE))</f>
        <v>#N/A</v>
      </c>
      <c r="F6" s="18" t="e">
        <f ca="1">IF(VLOOKUP($A6,貼り付け用!$A$1:$BA$300,COLUMN(),FALSE)=0,"",VLOOKUP($A6,貼り付け用!$A$1:$BA$300,COLUMN(),FALSE))</f>
        <v>#N/A</v>
      </c>
      <c r="G6" s="18" t="e">
        <f ca="1">IF(VLOOKUP($A6,貼り付け用!$A$1:$BA$300,COLUMN(),FALSE)=0,"",VLOOKUP($A6,貼り付け用!$A$1:$BA$300,COLUMN(),FALSE))</f>
        <v>#N/A</v>
      </c>
      <c r="H6" s="18" t="e">
        <f ca="1">IF(VLOOKUP($A6,貼り付け用!$A$1:$BA$300,COLUMN(),FALSE)=0,"",VLOOKUP($A6,貼り付け用!$A$1:$BA$300,COLUMN(),FALSE))</f>
        <v>#N/A</v>
      </c>
      <c r="I6" s="18" t="e">
        <f ca="1">IF(VLOOKUP($A6,貼り付け用!$A$1:$BA$300,COLUMN(),FALSE)=0,"",VLOOKUP($A6,貼り付け用!$A$1:$BA$300,COLUMN(),FALSE))</f>
        <v>#N/A</v>
      </c>
      <c r="J6" s="18" t="e">
        <f ca="1">IF(VLOOKUP($A6,貼り付け用!$A$1:$BA$300,COLUMN(),FALSE)=0,"",VLOOKUP($A6,貼り付け用!$A$1:$BA$300,COLUMN(),FALSE))</f>
        <v>#N/A</v>
      </c>
      <c r="K6" s="18" t="e">
        <f ca="1">IF(VLOOKUP($A6,貼り付け用!$A$1:$BA$300,COLUMN(),FALSE)=0,"",VLOOKUP($A6,貼り付け用!$A$1:$BA$300,COLUMN(),FALSE))</f>
        <v>#N/A</v>
      </c>
      <c r="L6" s="18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8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8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8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8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8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8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8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8" t="e">
        <f>IF(COLUMN(貼り付け用!T6)&gt;MATCH("おやつ",貼り付け用!$3:$3,0),"",
IF(VLOOKUP($A6,貼り付け用!$A$1:$BA$300,COLUMN(),FALSE)=0,"",VLOOKUP($A6,貼り付け用!$A$1:$BA$300,COLUMN(),FALSE)))</f>
        <v>#N/A</v>
      </c>
      <c r="U6" s="18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9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8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9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9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8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8" t="e">
        <f ca="1">IF(VLOOKUP($A8,貼り付け用!$A$1:$BA$300,COLUMN(),FALSE)=0,"",VLOOKUP($A8,貼り付け用!$A$1:$BA$300,COLUMN(),FALSE))</f>
        <v>#N/A</v>
      </c>
      <c r="C8" s="18" t="e">
        <f ca="1">IF(VLOOKUP($A8,貼り付け用!$A$1:$BA$300,COLUMN(),FALSE)=0,"",VLOOKUP($A8,貼り付け用!$A$1:$BA$300,COLUMN(),FALSE))</f>
        <v>#N/A</v>
      </c>
      <c r="D8" s="18" t="e">
        <f ca="1">IF(VLOOKUP($A8,貼り付け用!$A$1:$BA$300,COLUMN(),FALSE)=0,"",VLOOKUP($A8,貼り付け用!$A$1:$BA$300,COLUMN(),FALSE))</f>
        <v>#N/A</v>
      </c>
      <c r="E8" s="18" t="e">
        <f ca="1">IF(VLOOKUP($A8,貼り付け用!$A$1:$BA$300,COLUMN(),FALSE)=0,"",VLOOKUP($A8,貼り付け用!$A$1:$BA$300,COLUMN(),FALSE))</f>
        <v>#N/A</v>
      </c>
      <c r="F8" s="18" t="e">
        <f ca="1">IF(VLOOKUP($A8,貼り付け用!$A$1:$BA$300,COLUMN(),FALSE)=0,"",VLOOKUP($A8,貼り付け用!$A$1:$BA$300,COLUMN(),FALSE))</f>
        <v>#N/A</v>
      </c>
      <c r="G8" s="18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8" t="e">
        <f ca="1">IF(VLOOKUP($A8,貼り付け用!$A$1:$BA$300,COLUMN(),FALSE)=0,"",VLOOKUP($A8,貼り付け用!$A$1:$BA$300,COLUMN(),FALSE))</f>
        <v>#N/A</v>
      </c>
      <c r="I8" s="18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8" t="e">
        <f ca="1">IF(VLOOKUP($A8,貼り付け用!$A$1:$BA$300,COLUMN(),FALSE)=0,"",VLOOKUP($A8,貼り付け用!$A$1:$BA$300,COLUMN(),FALSE))</f>
        <v>#N/A</v>
      </c>
      <c r="K8" s="18" t="e">
        <f ca="1">IF(VLOOKUP($A8,貼り付け用!$A$1:$BA$300,COLUMN(),FALSE)=0,"",VLOOKUP($A8,貼り付け用!$A$1:$BA$300,COLUMN(),FALSE))</f>
        <v>#N/A</v>
      </c>
      <c r="L8" s="18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8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8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8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8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8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8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8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8" t="e">
        <f>IF(COLUMN(貼り付け用!T8)&gt;MATCH("おやつ",貼り付け用!$3:$3,0),"",
IF(VLOOKUP($A8,貼り付け用!$A$1:$BA$300,COLUMN(),FALSE)=0,"",VLOOKUP($A8,貼り付け用!$A$1:$BA$300,COLUMN(),FALSE)))</f>
        <v>#N/A</v>
      </c>
      <c r="U8" s="15"/>
      <c r="V8" s="9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8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9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4"/>
      <c r="V9" s="9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8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8" t="e">
        <f ca="1">IF(VLOOKUP($A10,貼り付け用!$A$1:$BA$300,COLUMN(),FALSE)=0,"",VLOOKUP($A10,貼り付け用!$A$1:$BA$300,COLUMN(),FALSE))</f>
        <v>#N/A</v>
      </c>
      <c r="C10" s="18" t="e">
        <f ca="1">IF(VLOOKUP($A10,貼り付け用!$A$1:$BA$300,COLUMN(),FALSE)=0,"",VLOOKUP($A10,貼り付け用!$A$1:$BA$300,COLUMN(),FALSE))</f>
        <v>#N/A</v>
      </c>
      <c r="D10" s="18" t="e">
        <f ca="1">IF(VLOOKUP($A10,貼り付け用!$A$1:$BA$300,COLUMN(),FALSE)=0,"",VLOOKUP($A10,貼り付け用!$A$1:$BA$300,COLUMN(),FALSE))</f>
        <v>#N/A</v>
      </c>
      <c r="E10" s="18" t="e">
        <f ca="1">IF(VLOOKUP($A10,貼り付け用!$A$1:$BA$300,COLUMN(),FALSE)=0,"",VLOOKUP($A10,貼り付け用!$A$1:$BA$300,COLUMN(),FALSE))</f>
        <v>#N/A</v>
      </c>
      <c r="F10" s="18" t="e">
        <f ca="1">IF(VLOOKUP($A10,貼り付け用!$A$1:$BA$300,COLUMN(),FALSE)=0,"",VLOOKUP($A10,貼り付け用!$A$1:$BA$300,COLUMN(),FALSE))</f>
        <v>#N/A</v>
      </c>
      <c r="G10" s="18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8" t="e">
        <f ca="1">IF(VLOOKUP($A10,貼り付け用!$A$1:$BA$300,COLUMN(),FALSE)=0,"",VLOOKUP($A10,貼り付け用!$A$1:$BA$300,COLUMN(),FALSE))</f>
        <v>#N/A</v>
      </c>
      <c r="I10" s="18" t="e">
        <f ca="1">IF(VLOOKUP($A10,貼り付け用!$A$1:$BA$300,COLUMN(),FALSE)=0,"",VLOOKUP($A10,貼り付け用!$A$1:$BA$300,COLUMN(),FALSE))</f>
        <v>#N/A</v>
      </c>
      <c r="J10" s="18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8" t="e">
        <f ca="1">IF(VLOOKUP($A10,貼り付け用!$A$1:$BA$300,COLUMN(),FALSE)=0,"",VLOOKUP($A10,貼り付け用!$A$1:$BA$300,COLUMN(),FALSE))</f>
        <v>#N/A</v>
      </c>
      <c r="L10" s="18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8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8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8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8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8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8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8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8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5"/>
      <c r="V10" s="9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8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9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4"/>
      <c r="V11" s="9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8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8" t="e">
        <f ca="1">IF(VLOOKUP($A12,貼り付け用!$A$1:$BA$300,COLUMN(),FALSE)=0,"",VLOOKUP($A12,貼り付け用!$A$1:$BA$300,COLUMN(),FALSE))</f>
        <v>#N/A</v>
      </c>
      <c r="C12" s="18" t="e">
        <f ca="1">IF(VLOOKUP($A12,貼り付け用!$A$1:$BA$300,COLUMN(),FALSE)=0,"",VLOOKUP($A12,貼り付け用!$A$1:$BA$300,COLUMN(),FALSE))</f>
        <v>#N/A</v>
      </c>
      <c r="D12" s="18" t="e">
        <f ca="1">IF(VLOOKUP($A12,貼り付け用!$A$1:$BA$300,COLUMN(),FALSE)=0,"",VLOOKUP($A12,貼り付け用!$A$1:$BA$300,COLUMN(),FALSE))</f>
        <v>#N/A</v>
      </c>
      <c r="E12" s="18" t="e">
        <f ca="1">IF(VLOOKUP($A12,貼り付け用!$A$1:$BA$300,COLUMN(),FALSE)=0,"",VLOOKUP($A12,貼り付け用!$A$1:$BA$300,COLUMN(),FALSE))</f>
        <v>#N/A</v>
      </c>
      <c r="F12" s="18" t="e">
        <f ca="1">IF(VLOOKUP($A12,貼り付け用!$A$1:$BA$300,COLUMN(),FALSE)=0,"",VLOOKUP($A12,貼り付け用!$A$1:$BA$300,COLUMN(),FALSE))</f>
        <v>#N/A</v>
      </c>
      <c r="G12" s="18" t="e">
        <f ca="1">IF(VLOOKUP($A12,貼り付け用!$A$1:$BA$300,COLUMN(),FALSE)=0,"",VLOOKUP($A12,貼り付け用!$A$1:$BA$300,COLUMN(),FALSE))</f>
        <v>#N/A</v>
      </c>
      <c r="H12" s="18" t="e">
        <f ca="1">IF(VLOOKUP($A12,貼り付け用!$A$1:$BA$300,COLUMN(),FALSE)=0,"",VLOOKUP($A12,貼り付け用!$A$1:$BA$300,COLUMN(),FALSE))</f>
        <v>#N/A</v>
      </c>
      <c r="I12" s="18" t="e">
        <f ca="1">IF(VLOOKUP($A12,貼り付け用!$A$1:$BA$300,COLUMN(),FALSE)=0,"",VLOOKUP($A12,貼り付け用!$A$1:$BA$300,COLUMN(),FALSE))</f>
        <v>#N/A</v>
      </c>
      <c r="J12" s="18" t="e">
        <f ca="1">IF(VLOOKUP($A12,貼り付け用!$A$1:$BA$300,COLUMN(),FALSE)=0,"",VLOOKUP($A12,貼り付け用!$A$1:$BA$300,COLUMN(),FALSE))</f>
        <v>#N/A</v>
      </c>
      <c r="K12" s="18" t="e">
        <f ca="1">IF(VLOOKUP($A12,貼り付け用!$A$1:$BA$300,COLUMN(),FALSE)=0,"",VLOOKUP($A12,貼り付け用!$A$1:$BA$300,COLUMN(),FALSE))</f>
        <v>#N/A</v>
      </c>
      <c r="L12" s="18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8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8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8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8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8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8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8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8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5"/>
      <c r="V12" s="9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8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9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4"/>
      <c r="V13" s="9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8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8" t="e">
        <f ca="1">IF(VLOOKUP($A14,貼り付け用!$A$1:$BA$300,COLUMN(),FALSE)=0,"",VLOOKUP($A14,貼り付け用!$A$1:$BA$300,COLUMN(),FALSE))</f>
        <v>#N/A</v>
      </c>
      <c r="C14" s="18" t="e">
        <f ca="1">IF(VLOOKUP($A14,貼り付け用!$A$1:$BA$300,COLUMN(),FALSE)=0,"",VLOOKUP($A14,貼り付け用!$A$1:$BA$300,COLUMN(),FALSE))</f>
        <v>#N/A</v>
      </c>
      <c r="D14" s="18" t="e">
        <f ca="1">IF(VLOOKUP($A14,貼り付け用!$A$1:$BA$300,COLUMN(),FALSE)=0,"",VLOOKUP($A14,貼り付け用!$A$1:$BA$300,COLUMN(),FALSE))</f>
        <v>#N/A</v>
      </c>
      <c r="E14" s="18" t="e">
        <f ca="1">IF(VLOOKUP($A14,貼り付け用!$A$1:$BA$300,COLUMN(),FALSE)=0,"",VLOOKUP($A14,貼り付け用!$A$1:$BA$300,COLUMN(),FALSE))</f>
        <v>#N/A</v>
      </c>
      <c r="F14" s="18" t="e">
        <f ca="1">IF(VLOOKUP($A14,貼り付け用!$A$1:$BA$300,COLUMN(),FALSE)=0,"",VLOOKUP($A14,貼り付け用!$A$1:$BA$300,COLUMN(),FALSE))</f>
        <v>#N/A</v>
      </c>
      <c r="G14" s="18" t="e">
        <f ca="1">IF(VLOOKUP($A14,貼り付け用!$A$1:$BA$300,COLUMN(),FALSE)=0,"",VLOOKUP($A14,貼り付け用!$A$1:$BA$300,COLUMN(),FALSE))</f>
        <v>#N/A</v>
      </c>
      <c r="H14" s="18" t="e">
        <f ca="1">IF(VLOOKUP($A14,貼り付け用!$A$1:$BA$300,COLUMN(),FALSE)=0,"",VLOOKUP($A14,貼り付け用!$A$1:$BA$300,COLUMN(),FALSE))</f>
        <v>#N/A</v>
      </c>
      <c r="I14" s="18" t="e">
        <f ca="1">IF(VLOOKUP($A14,貼り付け用!$A$1:$BA$300,COLUMN(),FALSE)=0,"",VLOOKUP($A14,貼り付け用!$A$1:$BA$300,COLUMN(),FALSE))</f>
        <v>#N/A</v>
      </c>
      <c r="J14" s="18" t="e">
        <f ca="1">IF(VLOOKUP($A14,貼り付け用!$A$1:$BA$300,COLUMN(),FALSE)=0,"",VLOOKUP($A14,貼り付け用!$A$1:$BA$300,COLUMN(),FALSE))</f>
        <v>#N/A</v>
      </c>
      <c r="K14" s="18" t="e">
        <f ca="1">IF(VLOOKUP($A14,貼り付け用!$A$1:$BA$300,COLUMN(),FALSE)=0,"",VLOOKUP($A14,貼り付け用!$A$1:$BA$300,COLUMN(),FALSE))</f>
        <v>#N/A</v>
      </c>
      <c r="L14" s="18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8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8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8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8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8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8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8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8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5"/>
      <c r="V14" s="9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8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9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4"/>
      <c r="V15" s="9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8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8" t="e">
        <f ca="1">IF(VLOOKUP($A16,貼り付け用!$A$1:$BA$300,COLUMN(),FALSE)=0,"",VLOOKUP($A16,貼り付け用!$A$1:$BA$300,COLUMN(),FALSE))</f>
        <v>#N/A</v>
      </c>
      <c r="C16" s="18" t="e">
        <f ca="1">IF(VLOOKUP($A16,貼り付け用!$A$1:$BA$300,COLUMN(),FALSE)=0,"",VLOOKUP($A16,貼り付け用!$A$1:$BA$300,COLUMN(),FALSE))</f>
        <v>#N/A</v>
      </c>
      <c r="D16" s="18" t="e">
        <f ca="1">IF(VLOOKUP($A16,貼り付け用!$A$1:$BA$300,COLUMN(),FALSE)=0,"",VLOOKUP($A16,貼り付け用!$A$1:$BA$300,COLUMN(),FALSE))</f>
        <v>#N/A</v>
      </c>
      <c r="E16" s="18" t="e">
        <f ca="1">IF(VLOOKUP($A16,貼り付け用!$A$1:$BA$300,COLUMN(),FALSE)=0,"",VLOOKUP($A16,貼り付け用!$A$1:$BA$300,COLUMN(),FALSE))</f>
        <v>#N/A</v>
      </c>
      <c r="F16" s="18" t="e">
        <f ca="1">IF(VLOOKUP($A16,貼り付け用!$A$1:$BA$300,COLUMN(),FALSE)=0,"",VLOOKUP($A16,貼り付け用!$A$1:$BA$300,COLUMN(),FALSE))</f>
        <v>#N/A</v>
      </c>
      <c r="G16" s="18" t="e">
        <f ca="1">IF(VLOOKUP($A16,貼り付け用!$A$1:$BA$300,COLUMN(),FALSE)=0,"",VLOOKUP($A16,貼り付け用!$A$1:$BA$300,COLUMN(),FALSE))</f>
        <v>#N/A</v>
      </c>
      <c r="H16" s="18" t="e">
        <f ca="1">IF(VLOOKUP($A16,貼り付け用!$A$1:$BA$300,COLUMN(),FALSE)=0,"",VLOOKUP($A16,貼り付け用!$A$1:$BA$300,COLUMN(),FALSE))</f>
        <v>#N/A</v>
      </c>
      <c r="I16" s="18" t="e">
        <f ca="1">IF(VLOOKUP($A16,貼り付け用!$A$1:$BA$300,COLUMN(),FALSE)=0,"",VLOOKUP($A16,貼り付け用!$A$1:$BA$300,COLUMN(),FALSE))</f>
        <v>#N/A</v>
      </c>
      <c r="J16" s="18" t="e">
        <f ca="1">IF(VLOOKUP($A16,貼り付け用!$A$1:$BA$300,COLUMN(),FALSE)=0,"",VLOOKUP($A16,貼り付け用!$A$1:$BA$300,COLUMN(),FALSE))</f>
        <v>#N/A</v>
      </c>
      <c r="K16" s="18" t="e">
        <f ca="1">IF(VLOOKUP($A16,貼り付け用!$A$1:$BA$300,COLUMN(),FALSE)=0,"",VLOOKUP($A16,貼り付け用!$A$1:$BA$300,COLUMN(),FALSE))</f>
        <v>#N/A</v>
      </c>
      <c r="L16" s="18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8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8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8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8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8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8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8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8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5"/>
      <c r="V16" s="9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8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9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4"/>
      <c r="V17" s="9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8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8" t="e">
        <f ca="1">IF(VLOOKUP($A18,貼り付け用!$A$1:$BA$300,COLUMN(),FALSE)=0,"",VLOOKUP($A18,貼り付け用!$A$1:$BA$300,COLUMN(),FALSE))</f>
        <v>#N/A</v>
      </c>
      <c r="C18" s="18" t="e">
        <f ca="1">IF(VLOOKUP($A18,貼り付け用!$A$1:$BA$300,COLUMN(),FALSE)=0,"",VLOOKUP($A18,貼り付け用!$A$1:$BA$300,COLUMN(),FALSE))</f>
        <v>#N/A</v>
      </c>
      <c r="D18" s="18" t="e">
        <f ca="1">IF(VLOOKUP($A18,貼り付け用!$A$1:$BA$300,COLUMN(),FALSE)=0,"",VLOOKUP($A18,貼り付け用!$A$1:$BA$300,COLUMN(),FALSE))</f>
        <v>#N/A</v>
      </c>
      <c r="E18" s="18" t="e">
        <f ca="1">IF(VLOOKUP($A18,貼り付け用!$A$1:$BA$300,COLUMN(),FALSE)=0,"",VLOOKUP($A18,貼り付け用!$A$1:$BA$300,COLUMN(),FALSE))</f>
        <v>#N/A</v>
      </c>
      <c r="F18" s="18" t="e">
        <f ca="1">IF(VLOOKUP($A18,貼り付け用!$A$1:$BA$300,COLUMN(),FALSE)=0,"",VLOOKUP($A18,貼り付け用!$A$1:$BA$300,COLUMN(),FALSE))</f>
        <v>#N/A</v>
      </c>
      <c r="G18" s="18" t="e">
        <f ca="1">IF(VLOOKUP($A18,貼り付け用!$A$1:$BA$300,COLUMN(),FALSE)=0,"",VLOOKUP($A18,貼り付け用!$A$1:$BA$300,COLUMN(),FALSE))</f>
        <v>#N/A</v>
      </c>
      <c r="H18" s="18" t="e">
        <f ca="1">IF(VLOOKUP($A18,貼り付け用!$A$1:$BA$300,COLUMN(),FALSE)=0,"",VLOOKUP($A18,貼り付け用!$A$1:$BA$300,COLUMN(),FALSE))</f>
        <v>#N/A</v>
      </c>
      <c r="I18" s="18" t="e">
        <f ca="1">IF(VLOOKUP($A18,貼り付け用!$A$1:$BA$300,COLUMN(),FALSE)=0,"",VLOOKUP($A18,貼り付け用!$A$1:$BA$300,COLUMN(),FALSE))</f>
        <v>#N/A</v>
      </c>
      <c r="J18" s="18" t="e">
        <f ca="1">IF(VLOOKUP($A18,貼り付け用!$A$1:$BA$300,COLUMN(),FALSE)=0,"",VLOOKUP($A18,貼り付け用!$A$1:$BA$300,COLUMN(),FALSE))</f>
        <v>#N/A</v>
      </c>
      <c r="K18" s="18" t="e">
        <f ca="1">IF(VLOOKUP($A18,貼り付け用!$A$1:$BA$300,COLUMN(),FALSE)=0,"",VLOOKUP($A18,貼り付け用!$A$1:$BA$300,COLUMN(),FALSE))</f>
        <v>#N/A</v>
      </c>
      <c r="L18" s="18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8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8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8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8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8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8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8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8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5"/>
      <c r="V18" s="9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8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9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4"/>
      <c r="V19" s="9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8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8" t="e">
        <f ca="1">IF(VLOOKUP($A20,貼り付け用!$A$1:$BA$300,COLUMN(),FALSE)=0,"",VLOOKUP($A20,貼り付け用!$A$1:$BA$300,COLUMN(),FALSE))</f>
        <v>#N/A</v>
      </c>
      <c r="C20" s="18" t="e">
        <f ca="1">IF(VLOOKUP($A20,貼り付け用!$A$1:$BA$300,COLUMN(),FALSE)=0,"",VLOOKUP($A20,貼り付け用!$A$1:$BA$300,COLUMN(),FALSE))</f>
        <v>#N/A</v>
      </c>
      <c r="D20" s="18" t="e">
        <f ca="1">IF(VLOOKUP($A20,貼り付け用!$A$1:$BA$300,COLUMN(),FALSE)=0,"",VLOOKUP($A20,貼り付け用!$A$1:$BA$300,COLUMN(),FALSE))</f>
        <v>#N/A</v>
      </c>
      <c r="E20" s="18" t="e">
        <f ca="1">IF(VLOOKUP($A20,貼り付け用!$A$1:$BA$300,COLUMN(),FALSE)=0,"",VLOOKUP($A20,貼り付け用!$A$1:$BA$300,COLUMN(),FALSE))</f>
        <v>#N/A</v>
      </c>
      <c r="F20" s="18" t="e">
        <f ca="1">IF(VLOOKUP($A20,貼り付け用!$A$1:$BA$300,COLUMN(),FALSE)=0,"",VLOOKUP($A20,貼り付け用!$A$1:$BA$300,COLUMN(),FALSE))</f>
        <v>#N/A</v>
      </c>
      <c r="G20" s="18" t="e">
        <f ca="1">IF(VLOOKUP($A20,貼り付け用!$A$1:$BA$300,COLUMN(),FALSE)=0,"",VLOOKUP($A20,貼り付け用!$A$1:$BA$300,COLUMN(),FALSE))</f>
        <v>#N/A</v>
      </c>
      <c r="H20" s="18" t="e">
        <f ca="1">IF(VLOOKUP($A20,貼り付け用!$A$1:$BA$300,COLUMN(),FALSE)=0,"",VLOOKUP($A20,貼り付け用!$A$1:$BA$300,COLUMN(),FALSE))</f>
        <v>#N/A</v>
      </c>
      <c r="I20" s="18" t="e">
        <f ca="1">IF(VLOOKUP($A20,貼り付け用!$A$1:$BA$300,COLUMN(),FALSE)=0,"",VLOOKUP($A20,貼り付け用!$A$1:$BA$300,COLUMN(),FALSE))</f>
        <v>#N/A</v>
      </c>
      <c r="J20" s="18" t="e">
        <f ca="1">IF(VLOOKUP($A20,貼り付け用!$A$1:$BA$300,COLUMN(),FALSE)=0,"",VLOOKUP($A20,貼り付け用!$A$1:$BA$300,COLUMN(),FALSE))</f>
        <v>#N/A</v>
      </c>
      <c r="K20" s="18" t="e">
        <f ca="1">IF(VLOOKUP($A20,貼り付け用!$A$1:$BA$300,COLUMN(),FALSE)=0,"",VLOOKUP($A20,貼り付け用!$A$1:$BA$300,COLUMN(),FALSE))</f>
        <v>#N/A</v>
      </c>
      <c r="L20" s="18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8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8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8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8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8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8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8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8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5"/>
      <c r="V20" s="9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8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9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4"/>
      <c r="V21" s="9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8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8" t="e">
        <f ca="1">IF(VLOOKUP($A22,貼り付け用!$A$1:$BA$300,COLUMN(),FALSE)=0,"",VLOOKUP($A22,貼り付け用!$A$1:$BA$300,COLUMN(),FALSE))</f>
        <v>#N/A</v>
      </c>
      <c r="C22" s="18" t="e">
        <f ca="1">IF(VLOOKUP($A22,貼り付け用!$A$1:$BA$300,COLUMN(),FALSE)=0,"",VLOOKUP($A22,貼り付け用!$A$1:$BA$300,COLUMN(),FALSE))</f>
        <v>#N/A</v>
      </c>
      <c r="D22" s="18" t="e">
        <f ca="1">IF(VLOOKUP($A22,貼り付け用!$A$1:$BA$300,COLUMN(),FALSE)=0,"",VLOOKUP($A22,貼り付け用!$A$1:$BA$300,COLUMN(),FALSE))</f>
        <v>#N/A</v>
      </c>
      <c r="E22" s="18" t="e">
        <f ca="1">IF(VLOOKUP($A22,貼り付け用!$A$1:$BA$300,COLUMN(),FALSE)=0,"",VLOOKUP($A22,貼り付け用!$A$1:$BA$300,COLUMN(),FALSE))</f>
        <v>#N/A</v>
      </c>
      <c r="F22" s="18" t="e">
        <f ca="1">IF(VLOOKUP($A22,貼り付け用!$A$1:$BA$300,COLUMN(),FALSE)=0,"",VLOOKUP($A22,貼り付け用!$A$1:$BA$300,COLUMN(),FALSE))</f>
        <v>#N/A</v>
      </c>
      <c r="G22" s="18" t="e">
        <f ca="1">IF(VLOOKUP($A22,貼り付け用!$A$1:$BA$300,COLUMN(),FALSE)=0,"",VLOOKUP($A22,貼り付け用!$A$1:$BA$300,COLUMN(),FALSE))</f>
        <v>#N/A</v>
      </c>
      <c r="H22" s="18" t="e">
        <f ca="1">IF(VLOOKUP($A22,貼り付け用!$A$1:$BA$300,COLUMN(),FALSE)=0,"",VLOOKUP($A22,貼り付け用!$A$1:$BA$300,COLUMN(),FALSE))</f>
        <v>#N/A</v>
      </c>
      <c r="I22" s="18" t="e">
        <f ca="1">IF(VLOOKUP($A22,貼り付け用!$A$1:$BA$300,COLUMN(),FALSE)=0,"",VLOOKUP($A22,貼り付け用!$A$1:$BA$300,COLUMN(),FALSE))</f>
        <v>#N/A</v>
      </c>
      <c r="J22" s="18" t="e">
        <f ca="1">IF(VLOOKUP($A22,貼り付け用!$A$1:$BA$300,COLUMN(),FALSE)=0,"",VLOOKUP($A22,貼り付け用!$A$1:$BA$300,COLUMN(),FALSE))</f>
        <v>#N/A</v>
      </c>
      <c r="K22" s="18" t="e">
        <f ca="1">IF(VLOOKUP($A22,貼り付け用!$A$1:$BA$300,COLUMN(),FALSE)=0,"",VLOOKUP($A22,貼り付け用!$A$1:$BA$300,COLUMN(),FALSE))</f>
        <v>#N/A</v>
      </c>
      <c r="L22" s="18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8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8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8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8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8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8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8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8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5"/>
      <c r="V22" s="9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8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9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4"/>
      <c r="V23" s="9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8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8" t="e">
        <f ca="1">IF(VLOOKUP($A24,貼り付け用!$A$1:$BA$300,COLUMN(),FALSE)=0,"",VLOOKUP($A24,貼り付け用!$A$1:$BA$300,COLUMN(),FALSE))</f>
        <v>#N/A</v>
      </c>
      <c r="C24" s="18" t="e">
        <f ca="1">IF(VLOOKUP($A24,貼り付け用!$A$1:$BA$300,COLUMN(),FALSE)=0,"",VLOOKUP($A24,貼り付け用!$A$1:$BA$300,COLUMN(),FALSE))</f>
        <v>#N/A</v>
      </c>
      <c r="D24" s="18" t="e">
        <f ca="1">IF(VLOOKUP($A24,貼り付け用!$A$1:$BA$300,COLUMN(),FALSE)=0,"",VLOOKUP($A24,貼り付け用!$A$1:$BA$300,COLUMN(),FALSE))</f>
        <v>#N/A</v>
      </c>
      <c r="E24" s="18" t="e">
        <f ca="1">IF(VLOOKUP($A24,貼り付け用!$A$1:$BA$300,COLUMN(),FALSE)=0,"",VLOOKUP($A24,貼り付け用!$A$1:$BA$300,COLUMN(),FALSE))</f>
        <v>#N/A</v>
      </c>
      <c r="F24" s="18" t="e">
        <f ca="1">IF(VLOOKUP($A24,貼り付け用!$A$1:$BA$300,COLUMN(),FALSE)=0,"",VLOOKUP($A24,貼り付け用!$A$1:$BA$300,COLUMN(),FALSE))</f>
        <v>#N/A</v>
      </c>
      <c r="G24" s="18" t="e">
        <f ca="1">IF(VLOOKUP($A24,貼り付け用!$A$1:$BA$300,COLUMN(),FALSE)=0,"",VLOOKUP($A24,貼り付け用!$A$1:$BA$300,COLUMN(),FALSE))</f>
        <v>#N/A</v>
      </c>
      <c r="H24" s="18" t="e">
        <f ca="1">IF(VLOOKUP($A24,貼り付け用!$A$1:$BA$300,COLUMN(),FALSE)=0,"",VLOOKUP($A24,貼り付け用!$A$1:$BA$300,COLUMN(),FALSE))</f>
        <v>#N/A</v>
      </c>
      <c r="I24" s="18" t="e">
        <f ca="1">IF(VLOOKUP($A24,貼り付け用!$A$1:$BA$300,COLUMN(),FALSE)=0,"",VLOOKUP($A24,貼り付け用!$A$1:$BA$300,COLUMN(),FALSE))</f>
        <v>#N/A</v>
      </c>
      <c r="J24" s="18" t="e">
        <f ca="1">IF(VLOOKUP($A24,貼り付け用!$A$1:$BA$300,COLUMN(),FALSE)=0,"",VLOOKUP($A24,貼り付け用!$A$1:$BA$300,COLUMN(),FALSE))</f>
        <v>#N/A</v>
      </c>
      <c r="K24" s="18" t="e">
        <f ca="1">IF(VLOOKUP($A24,貼り付け用!$A$1:$BA$300,COLUMN(),FALSE)=0,"",VLOOKUP($A24,貼り付け用!$A$1:$BA$300,COLUMN(),FALSE))</f>
        <v>#N/A</v>
      </c>
      <c r="L24" s="18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8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8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8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8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8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8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8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8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5"/>
      <c r="V24" s="9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8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9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4"/>
      <c r="V25" s="9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8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8" t="e">
        <f ca="1">IF(VLOOKUP($A26,貼り付け用!$A$1:$BA$300,COLUMN(),FALSE)=0,"",VLOOKUP($A26,貼り付け用!$A$1:$BA$300,COLUMN(),FALSE))</f>
        <v>#N/A</v>
      </c>
      <c r="C26" s="18" t="e">
        <f ca="1">IF(VLOOKUP($A26,貼り付け用!$A$1:$BA$300,COLUMN(),FALSE)=0,"",VLOOKUP($A26,貼り付け用!$A$1:$BA$300,COLUMN(),FALSE))</f>
        <v>#N/A</v>
      </c>
      <c r="D26" s="18" t="e">
        <f ca="1">IF(VLOOKUP($A26,貼り付け用!$A$1:$BA$300,COLUMN(),FALSE)=0,"",VLOOKUP($A26,貼り付け用!$A$1:$BA$300,COLUMN(),FALSE))</f>
        <v>#N/A</v>
      </c>
      <c r="E26" s="18" t="e">
        <f ca="1">IF(VLOOKUP($A26,貼り付け用!$A$1:$BA$300,COLUMN(),FALSE)=0,"",VLOOKUP($A26,貼り付け用!$A$1:$BA$300,COLUMN(),FALSE))</f>
        <v>#N/A</v>
      </c>
      <c r="F26" s="18" t="e">
        <f ca="1">IF(VLOOKUP($A26,貼り付け用!$A$1:$BA$300,COLUMN(),FALSE)=0,"",VLOOKUP($A26,貼り付け用!$A$1:$BA$300,COLUMN(),FALSE))</f>
        <v>#N/A</v>
      </c>
      <c r="G26" s="18" t="e">
        <f ca="1">IF(VLOOKUP($A26,貼り付け用!$A$1:$BA$300,COLUMN(),FALSE)=0,"",VLOOKUP($A26,貼り付け用!$A$1:$BA$300,COLUMN(),FALSE))</f>
        <v>#N/A</v>
      </c>
      <c r="H26" s="18" t="e">
        <f ca="1">IF(VLOOKUP($A26,貼り付け用!$A$1:$BA$300,COLUMN(),FALSE)=0,"",VLOOKUP($A26,貼り付け用!$A$1:$BA$300,COLUMN(),FALSE))</f>
        <v>#N/A</v>
      </c>
      <c r="I26" s="18" t="e">
        <f ca="1">IF(VLOOKUP($A26,貼り付け用!$A$1:$BA$300,COLUMN(),FALSE)=0,"",VLOOKUP($A26,貼り付け用!$A$1:$BA$300,COLUMN(),FALSE))</f>
        <v>#N/A</v>
      </c>
      <c r="J26" s="18" t="e">
        <f ca="1">IF(VLOOKUP($A26,貼り付け用!$A$1:$BA$300,COLUMN(),FALSE)=0,"",VLOOKUP($A26,貼り付け用!$A$1:$BA$300,COLUMN(),FALSE))</f>
        <v>#N/A</v>
      </c>
      <c r="K26" s="18" t="e">
        <f ca="1">IF(VLOOKUP($A26,貼り付け用!$A$1:$BA$300,COLUMN(),FALSE)=0,"",VLOOKUP($A26,貼り付け用!$A$1:$BA$300,COLUMN(),FALSE))</f>
        <v>#N/A</v>
      </c>
      <c r="L26" s="18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8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8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8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8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8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8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8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8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5"/>
      <c r="V26" s="9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8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9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4"/>
      <c r="V27" s="9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8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8" t="e">
        <f ca="1">IF(VLOOKUP($A28,貼り付け用!$A$1:$BA$300,COLUMN(),FALSE)=0,"",VLOOKUP($A28,貼り付け用!$A$1:$BA$300,COLUMN(),FALSE))</f>
        <v>#N/A</v>
      </c>
      <c r="C28" s="18" t="e">
        <f ca="1">IF(VLOOKUP($A28,貼り付け用!$A$1:$BA$300,COLUMN(),FALSE)=0,"",VLOOKUP($A28,貼り付け用!$A$1:$BA$300,COLUMN(),FALSE))</f>
        <v>#N/A</v>
      </c>
      <c r="D28" s="18" t="e">
        <f ca="1">IF(VLOOKUP($A28,貼り付け用!$A$1:$BA$300,COLUMN(),FALSE)=0,"",VLOOKUP($A28,貼り付け用!$A$1:$BA$300,COLUMN(),FALSE))</f>
        <v>#N/A</v>
      </c>
      <c r="E28" s="18" t="e">
        <f ca="1">IF(VLOOKUP($A28,貼り付け用!$A$1:$BA$300,COLUMN(),FALSE)=0,"",VLOOKUP($A28,貼り付け用!$A$1:$BA$300,COLUMN(),FALSE))</f>
        <v>#N/A</v>
      </c>
      <c r="F28" s="18" t="e">
        <f ca="1">IF(VLOOKUP($A28,貼り付け用!$A$1:$BA$300,COLUMN(),FALSE)=0,"",VLOOKUP($A28,貼り付け用!$A$1:$BA$300,COLUMN(),FALSE))</f>
        <v>#N/A</v>
      </c>
      <c r="G28" s="18" t="e">
        <f ca="1">IF(VLOOKUP($A28,貼り付け用!$A$1:$BA$300,COLUMN(),FALSE)=0,"",VLOOKUP($A28,貼り付け用!$A$1:$BA$300,COLUMN(),FALSE))</f>
        <v>#N/A</v>
      </c>
      <c r="H28" s="18" t="e">
        <f ca="1">IF(VLOOKUP($A28,貼り付け用!$A$1:$BA$300,COLUMN(),FALSE)=0,"",VLOOKUP($A28,貼り付け用!$A$1:$BA$300,COLUMN(),FALSE))</f>
        <v>#N/A</v>
      </c>
      <c r="I28" s="18" t="e">
        <f ca="1">IF(VLOOKUP($A28,貼り付け用!$A$1:$BA$300,COLUMN(),FALSE)=0,"",VLOOKUP($A28,貼り付け用!$A$1:$BA$300,COLUMN(),FALSE))</f>
        <v>#N/A</v>
      </c>
      <c r="J28" s="18" t="e">
        <f ca="1">IF(VLOOKUP($A28,貼り付け用!$A$1:$BA$300,COLUMN(),FALSE)=0,"",VLOOKUP($A28,貼り付け用!$A$1:$BA$300,COLUMN(),FALSE))</f>
        <v>#N/A</v>
      </c>
      <c r="K28" s="18" t="e">
        <f ca="1">IF(VLOOKUP($A28,貼り付け用!$A$1:$BA$300,COLUMN(),FALSE)=0,"",VLOOKUP($A28,貼り付け用!$A$1:$BA$300,COLUMN(),FALSE))</f>
        <v>#N/A</v>
      </c>
      <c r="L28" s="18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8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8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8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8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8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8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8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8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5"/>
      <c r="V28" s="9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8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9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4"/>
      <c r="V29" s="9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8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8" t="e">
        <f ca="1">IF(VLOOKUP($A30,貼り付け用!$A$1:$BA$300,COLUMN(),FALSE)=0,"",VLOOKUP($A30,貼り付け用!$A$1:$BA$300,COLUMN(),FALSE))</f>
        <v>#N/A</v>
      </c>
      <c r="C30" s="18" t="e">
        <f ca="1">IF(VLOOKUP($A30,貼り付け用!$A$1:$BA$300,COLUMN(),FALSE)=0,"",VLOOKUP($A30,貼り付け用!$A$1:$BA$300,COLUMN(),FALSE))</f>
        <v>#N/A</v>
      </c>
      <c r="D30" s="18" t="e">
        <f ca="1">IF(VLOOKUP($A30,貼り付け用!$A$1:$BA$300,COLUMN(),FALSE)=0,"",VLOOKUP($A30,貼り付け用!$A$1:$BA$300,COLUMN(),FALSE))</f>
        <v>#N/A</v>
      </c>
      <c r="E30" s="18" t="e">
        <f ca="1">IF(VLOOKUP($A30,貼り付け用!$A$1:$BA$300,COLUMN(),FALSE)=0,"",VLOOKUP($A30,貼り付け用!$A$1:$BA$300,COLUMN(),FALSE))</f>
        <v>#N/A</v>
      </c>
      <c r="F30" s="18" t="e">
        <f ca="1">IF(VLOOKUP($A30,貼り付け用!$A$1:$BA$300,COLUMN(),FALSE)=0,"",VLOOKUP($A30,貼り付け用!$A$1:$BA$300,COLUMN(),FALSE))</f>
        <v>#N/A</v>
      </c>
      <c r="G30" s="18" t="e">
        <f ca="1">IF(VLOOKUP($A30,貼り付け用!$A$1:$BA$300,COLUMN(),FALSE)=0,"",VLOOKUP($A30,貼り付け用!$A$1:$BA$300,COLUMN(),FALSE))</f>
        <v>#N/A</v>
      </c>
      <c r="H30" s="18" t="e">
        <f ca="1">IF(VLOOKUP($A30,貼り付け用!$A$1:$BA$300,COLUMN(),FALSE)=0,"",VLOOKUP($A30,貼り付け用!$A$1:$BA$300,COLUMN(),FALSE))</f>
        <v>#N/A</v>
      </c>
      <c r="I30" s="18" t="e">
        <f ca="1">IF(VLOOKUP($A30,貼り付け用!$A$1:$BA$300,COLUMN(),FALSE)=0,"",VLOOKUP($A30,貼り付け用!$A$1:$BA$300,COLUMN(),FALSE))</f>
        <v>#N/A</v>
      </c>
      <c r="J30" s="18" t="e">
        <f ca="1">IF(VLOOKUP($A30,貼り付け用!$A$1:$BA$300,COLUMN(),FALSE)=0,"",VLOOKUP($A30,貼り付け用!$A$1:$BA$300,COLUMN(),FALSE))</f>
        <v>#N/A</v>
      </c>
      <c r="K30" s="18" t="e">
        <f ca="1">IF(VLOOKUP($A30,貼り付け用!$A$1:$BA$300,COLUMN(),FALSE)=0,"",VLOOKUP($A30,貼り付け用!$A$1:$BA$300,COLUMN(),FALSE))</f>
        <v>#N/A</v>
      </c>
      <c r="L30" s="18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8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8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8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8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8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8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8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8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5"/>
      <c r="V30" s="9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8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9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4"/>
      <c r="V31" s="9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8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8" t="e">
        <f ca="1">IF(VLOOKUP($A32,貼り付け用!$A$1:$BA$300,COLUMN(),FALSE)=0,"",VLOOKUP($A32,貼り付け用!$A$1:$BA$300,COLUMN(),FALSE))</f>
        <v>#N/A</v>
      </c>
      <c r="C32" s="18" t="e">
        <f ca="1">IF(VLOOKUP($A32,貼り付け用!$A$1:$BA$300,COLUMN(),FALSE)=0,"",VLOOKUP($A32,貼り付け用!$A$1:$BA$300,COLUMN(),FALSE))</f>
        <v>#N/A</v>
      </c>
      <c r="D32" s="18" t="e">
        <f ca="1">IF(VLOOKUP($A32,貼り付け用!$A$1:$BA$300,COLUMN(),FALSE)=0,"",VLOOKUP($A32,貼り付け用!$A$1:$BA$300,COLUMN(),FALSE))</f>
        <v>#N/A</v>
      </c>
      <c r="E32" s="18" t="e">
        <f ca="1">IF(VLOOKUP($A32,貼り付け用!$A$1:$BA$300,COLUMN(),FALSE)=0,"",VLOOKUP($A32,貼り付け用!$A$1:$BA$300,COLUMN(),FALSE))</f>
        <v>#N/A</v>
      </c>
      <c r="F32" s="18" t="e">
        <f ca="1">IF(VLOOKUP($A32,貼り付け用!$A$1:$BA$300,COLUMN(),FALSE)=0,"",VLOOKUP($A32,貼り付け用!$A$1:$BA$300,COLUMN(),FALSE))</f>
        <v>#N/A</v>
      </c>
      <c r="G32" s="18" t="e">
        <f ca="1">IF(VLOOKUP($A32,貼り付け用!$A$1:$BA$300,COLUMN(),FALSE)=0,"",VLOOKUP($A32,貼り付け用!$A$1:$BA$300,COLUMN(),FALSE))</f>
        <v>#N/A</v>
      </c>
      <c r="H32" s="18" t="e">
        <f ca="1">IF(VLOOKUP($A32,貼り付け用!$A$1:$BA$300,COLUMN(),FALSE)=0,"",VLOOKUP($A32,貼り付け用!$A$1:$BA$300,COLUMN(),FALSE))</f>
        <v>#N/A</v>
      </c>
      <c r="I32" s="18" t="e">
        <f ca="1">IF(VLOOKUP($A32,貼り付け用!$A$1:$BA$300,COLUMN(),FALSE)=0,"",VLOOKUP($A32,貼り付け用!$A$1:$BA$300,COLUMN(),FALSE))</f>
        <v>#N/A</v>
      </c>
      <c r="J32" s="18" t="e">
        <f ca="1">IF(VLOOKUP($A32,貼り付け用!$A$1:$BA$300,COLUMN(),FALSE)=0,"",VLOOKUP($A32,貼り付け用!$A$1:$BA$300,COLUMN(),FALSE))</f>
        <v>#N/A</v>
      </c>
      <c r="K32" s="18" t="e">
        <f ca="1">IF(VLOOKUP($A32,貼り付け用!$A$1:$BA$300,COLUMN(),FALSE)=0,"",VLOOKUP($A32,貼り付け用!$A$1:$BA$300,COLUMN(),FALSE))</f>
        <v>#N/A</v>
      </c>
      <c r="L32" s="18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8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8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8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8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8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8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8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8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5"/>
      <c r="V32" s="9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8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9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4"/>
      <c r="V33" s="9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8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8" t="e">
        <f ca="1">IF(VLOOKUP($A34,貼り付け用!$A$1:$BA$300,COLUMN(),FALSE)=0,"",VLOOKUP($A34,貼り付け用!$A$1:$BA$300,COLUMN(),FALSE))</f>
        <v>#N/A</v>
      </c>
      <c r="C34" s="18" t="e">
        <f ca="1">IF(VLOOKUP($A34,貼り付け用!$A$1:$BA$300,COLUMN(),FALSE)=0,"",VLOOKUP($A34,貼り付け用!$A$1:$BA$300,COLUMN(),FALSE))</f>
        <v>#N/A</v>
      </c>
      <c r="D34" s="18" t="e">
        <f ca="1">IF(VLOOKUP($A34,貼り付け用!$A$1:$BA$300,COLUMN(),FALSE)=0,"",VLOOKUP($A34,貼り付け用!$A$1:$BA$300,COLUMN(),FALSE))</f>
        <v>#N/A</v>
      </c>
      <c r="E34" s="18" t="e">
        <f ca="1">IF(VLOOKUP($A34,貼り付け用!$A$1:$BA$300,COLUMN(),FALSE)=0,"",VLOOKUP($A34,貼り付け用!$A$1:$BA$300,COLUMN(),FALSE))</f>
        <v>#N/A</v>
      </c>
      <c r="F34" s="18" t="e">
        <f ca="1">IF(VLOOKUP($A34,貼り付け用!$A$1:$BA$300,COLUMN(),FALSE)=0,"",VLOOKUP($A34,貼り付け用!$A$1:$BA$300,COLUMN(),FALSE))</f>
        <v>#N/A</v>
      </c>
      <c r="G34" s="18" t="e">
        <f ca="1">IF(VLOOKUP($A34,貼り付け用!$A$1:$BA$300,COLUMN(),FALSE)=0,"",VLOOKUP($A34,貼り付け用!$A$1:$BA$300,COLUMN(),FALSE))</f>
        <v>#N/A</v>
      </c>
      <c r="H34" s="18" t="e">
        <f ca="1">IF(VLOOKUP($A34,貼り付け用!$A$1:$BA$300,COLUMN(),FALSE)=0,"",VLOOKUP($A34,貼り付け用!$A$1:$BA$300,COLUMN(),FALSE))</f>
        <v>#N/A</v>
      </c>
      <c r="I34" s="18" t="e">
        <f ca="1">IF(VLOOKUP($A34,貼り付け用!$A$1:$BA$300,COLUMN(),FALSE)=0,"",VLOOKUP($A34,貼り付け用!$A$1:$BA$300,COLUMN(),FALSE))</f>
        <v>#N/A</v>
      </c>
      <c r="J34" s="18" t="e">
        <f ca="1">IF(VLOOKUP($A34,貼り付け用!$A$1:$BA$300,COLUMN(),FALSE)=0,"",VLOOKUP($A34,貼り付け用!$A$1:$BA$300,COLUMN(),FALSE))</f>
        <v>#N/A</v>
      </c>
      <c r="K34" s="18" t="e">
        <f ca="1">IF(VLOOKUP($A34,貼り付け用!$A$1:$BA$300,COLUMN(),FALSE)=0,"",VLOOKUP($A34,貼り付け用!$A$1:$BA$300,COLUMN(),FALSE))</f>
        <v>#N/A</v>
      </c>
      <c r="L34" s="18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8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8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8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8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8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8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8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8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5"/>
      <c r="V34" s="9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8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9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4"/>
      <c r="V35" s="9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8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8" t="e">
        <f ca="1">IF(VLOOKUP($A36,貼り付け用!$A$1:$BA$300,COLUMN(),FALSE)=0,"",VLOOKUP($A36,貼り付け用!$A$1:$BA$300,COLUMN(),FALSE))</f>
        <v>#N/A</v>
      </c>
      <c r="C36" s="18" t="e">
        <f ca="1">IF(VLOOKUP($A36,貼り付け用!$A$1:$BA$300,COLUMN(),FALSE)=0,"",VLOOKUP($A36,貼り付け用!$A$1:$BA$300,COLUMN(),FALSE))</f>
        <v>#N/A</v>
      </c>
      <c r="D36" s="18" t="e">
        <f ca="1">IF(VLOOKUP($A36,貼り付け用!$A$1:$BA$300,COLUMN(),FALSE)=0,"",VLOOKUP($A36,貼り付け用!$A$1:$BA$300,COLUMN(),FALSE))</f>
        <v>#N/A</v>
      </c>
      <c r="E36" s="18" t="e">
        <f ca="1">IF(VLOOKUP($A36,貼り付け用!$A$1:$BA$300,COLUMN(),FALSE)=0,"",VLOOKUP($A36,貼り付け用!$A$1:$BA$300,COLUMN(),FALSE))</f>
        <v>#N/A</v>
      </c>
      <c r="F36" s="18" t="e">
        <f ca="1">IF(VLOOKUP($A36,貼り付け用!$A$1:$BA$300,COLUMN(),FALSE)=0,"",VLOOKUP($A36,貼り付け用!$A$1:$BA$300,COLUMN(),FALSE))</f>
        <v>#N/A</v>
      </c>
      <c r="G36" s="18" t="e">
        <f ca="1">IF(VLOOKUP($A36,貼り付け用!$A$1:$BA$300,COLUMN(),FALSE)=0,"",VLOOKUP($A36,貼り付け用!$A$1:$BA$300,COLUMN(),FALSE))</f>
        <v>#N/A</v>
      </c>
      <c r="H36" s="18" t="e">
        <f ca="1">IF(VLOOKUP($A36,貼り付け用!$A$1:$BA$300,COLUMN(),FALSE)=0,"",VLOOKUP($A36,貼り付け用!$A$1:$BA$300,COLUMN(),FALSE))</f>
        <v>#N/A</v>
      </c>
      <c r="I36" s="18" t="e">
        <f ca="1">IF(VLOOKUP($A36,貼り付け用!$A$1:$BA$300,COLUMN(),FALSE)=0,"",VLOOKUP($A36,貼り付け用!$A$1:$BA$300,COLUMN(),FALSE))</f>
        <v>#N/A</v>
      </c>
      <c r="J36" s="18" t="e">
        <f ca="1">IF(VLOOKUP($A36,貼り付け用!$A$1:$BA$300,COLUMN(),FALSE)=0,"",VLOOKUP($A36,貼り付け用!$A$1:$BA$300,COLUMN(),FALSE))</f>
        <v>#N/A</v>
      </c>
      <c r="K36" s="18" t="e">
        <f ca="1">IF(VLOOKUP($A36,貼り付け用!$A$1:$BA$300,COLUMN(),FALSE)=0,"",VLOOKUP($A36,貼り付け用!$A$1:$BA$300,COLUMN(),FALSE))</f>
        <v>#N/A</v>
      </c>
      <c r="L36" s="18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8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8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8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8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8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8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8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8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5"/>
      <c r="V36" s="9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8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9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4"/>
      <c r="V37" s="9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8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8" t="e">
        <f ca="1">IF(VLOOKUP($A38,貼り付け用!$A$1:$BA$300,COLUMN(),FALSE)=0,"",VLOOKUP($A38,貼り付け用!$A$1:$BA$300,COLUMN(),FALSE))</f>
        <v>#N/A</v>
      </c>
      <c r="C38" s="18" t="e">
        <f ca="1">IF(VLOOKUP($A38,貼り付け用!$A$1:$BA$300,COLUMN(),FALSE)=0,"",VLOOKUP($A38,貼り付け用!$A$1:$BA$300,COLUMN(),FALSE))</f>
        <v>#N/A</v>
      </c>
      <c r="D38" s="18" t="e">
        <f ca="1">IF(VLOOKUP($A38,貼り付け用!$A$1:$BA$300,COLUMN(),FALSE)=0,"",VLOOKUP($A38,貼り付け用!$A$1:$BA$300,COLUMN(),FALSE))</f>
        <v>#N/A</v>
      </c>
      <c r="E38" s="18" t="e">
        <f ca="1">IF(VLOOKUP($A38,貼り付け用!$A$1:$BA$300,COLUMN(),FALSE)=0,"",VLOOKUP($A38,貼り付け用!$A$1:$BA$300,COLUMN(),FALSE))</f>
        <v>#N/A</v>
      </c>
      <c r="F38" s="18" t="e">
        <f ca="1">IF(VLOOKUP($A38,貼り付け用!$A$1:$BA$300,COLUMN(),FALSE)=0,"",VLOOKUP($A38,貼り付け用!$A$1:$BA$300,COLUMN(),FALSE))</f>
        <v>#N/A</v>
      </c>
      <c r="G38" s="18" t="e">
        <f ca="1">IF(VLOOKUP($A38,貼り付け用!$A$1:$BA$300,COLUMN(),FALSE)=0,"",VLOOKUP($A38,貼り付け用!$A$1:$BA$300,COLUMN(),FALSE))</f>
        <v>#N/A</v>
      </c>
      <c r="H38" s="18" t="e">
        <f ca="1">IF(VLOOKUP($A38,貼り付け用!$A$1:$BA$300,COLUMN(),FALSE)=0,"",VLOOKUP($A38,貼り付け用!$A$1:$BA$300,COLUMN(),FALSE))</f>
        <v>#N/A</v>
      </c>
      <c r="I38" s="18" t="e">
        <f ca="1">IF(VLOOKUP($A38,貼り付け用!$A$1:$BA$300,COLUMN(),FALSE)=0,"",VLOOKUP($A38,貼り付け用!$A$1:$BA$300,COLUMN(),FALSE))</f>
        <v>#N/A</v>
      </c>
      <c r="J38" s="18" t="e">
        <f ca="1">IF(VLOOKUP($A38,貼り付け用!$A$1:$BA$300,COLUMN(),FALSE)=0,"",VLOOKUP($A38,貼り付け用!$A$1:$BA$300,COLUMN(),FALSE))</f>
        <v>#N/A</v>
      </c>
      <c r="K38" s="18" t="e">
        <f ca="1">IF(VLOOKUP($A38,貼り付け用!$A$1:$BA$300,COLUMN(),FALSE)=0,"",VLOOKUP($A38,貼り付け用!$A$1:$BA$300,COLUMN(),FALSE))</f>
        <v>#N/A</v>
      </c>
      <c r="L38" s="18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8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8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8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8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8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8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8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8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5"/>
      <c r="V38" s="9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8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9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4"/>
      <c r="V39" s="9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8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8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8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8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8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8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8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8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8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8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8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8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8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8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8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8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8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8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8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8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5"/>
      <c r="V40" s="9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8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9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4"/>
      <c r="V41" s="9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8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8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8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8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8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8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8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8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8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8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8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8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8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8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8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8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8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8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8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8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5"/>
      <c r="V42" s="9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8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9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4"/>
      <c r="V43" s="9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8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8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8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8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8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8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8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8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8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8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8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8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8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8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8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8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8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8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8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8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5"/>
      <c r="V44" s="9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8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9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4"/>
      <c r="V45" s="9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8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8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8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8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8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8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8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8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8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8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8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8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8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8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8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8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8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8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8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8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5"/>
      <c r="V46" s="9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8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9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4"/>
      <c r="V47" s="9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8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8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8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8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8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8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8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8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8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8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8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8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8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8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8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8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8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8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8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8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5"/>
      <c r="V48" s="9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8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9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4"/>
      <c r="V49" s="9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8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8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8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8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8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8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8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8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8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8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8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8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8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8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8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8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8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8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8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8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5"/>
      <c r="V50" s="9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8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9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4"/>
      <c r="V51" s="9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8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8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8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8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8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8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8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8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8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8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8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8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8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8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8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8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8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8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8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8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5"/>
      <c r="V52" s="9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8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9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4"/>
      <c r="V53" s="9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8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8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8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8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8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8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8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8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8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8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8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8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8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8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8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8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8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8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8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8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5"/>
      <c r="V54" s="9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8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9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4"/>
      <c r="V55" s="9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8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8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8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8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8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8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8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8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8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8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8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8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8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8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8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8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8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8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8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8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5"/>
      <c r="V56" s="9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8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9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4"/>
      <c r="V57" s="9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8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8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8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8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8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8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8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8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8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8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8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8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8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8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8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8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8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8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8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8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5"/>
      <c r="V58" s="9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8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9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4"/>
      <c r="V59" s="9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8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8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8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8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8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8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8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8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8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8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8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8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8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8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8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8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8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8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8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8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5"/>
      <c r="V60" s="9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8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9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4"/>
      <c r="V61" s="9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8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8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8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8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8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8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8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8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8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8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8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8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8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8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8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8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8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8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8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8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5"/>
      <c r="V62" s="9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8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9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4"/>
      <c r="V63" s="9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8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8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8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8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8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8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8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8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8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8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8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8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8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8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8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8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8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8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8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8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5"/>
      <c r="V64" s="9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8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9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4"/>
      <c r="V65" s="9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8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8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8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8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8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8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8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8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8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8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8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8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8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8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8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8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8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8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8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8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5"/>
      <c r="V66" s="9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8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9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4"/>
      <c r="V67" s="9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8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8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8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8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8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8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8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8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8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8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8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8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8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8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8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8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8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8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8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8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5"/>
      <c r="V68" s="9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8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9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4"/>
      <c r="V69" s="9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8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8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8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8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8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8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8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8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8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8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8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8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8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8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8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8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8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8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8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8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5"/>
      <c r="V70" s="9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8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9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4"/>
      <c r="V71" s="9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8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8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8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8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8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8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8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8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8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8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8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8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8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8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8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8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8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8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8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8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5"/>
      <c r="V72" s="9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8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9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4"/>
      <c r="V73" s="9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8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8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8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8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8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8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8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8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8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8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8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8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8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8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8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8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8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8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8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8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5"/>
      <c r="V74" s="9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8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9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4"/>
      <c r="V75" s="9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8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8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8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8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8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8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8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8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8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8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8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8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8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8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8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8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8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8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8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8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5"/>
      <c r="V76" s="9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8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9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4"/>
      <c r="V77" s="9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8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8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8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8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8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8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8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8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8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8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8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8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8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8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8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8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8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8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8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8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5"/>
      <c r="V78" s="9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8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9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4"/>
      <c r="V79" s="9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8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8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8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8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8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8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8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8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8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8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8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8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8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8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8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8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8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8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8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8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5"/>
      <c r="V80" s="9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8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9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4"/>
      <c r="V81" s="9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8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8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8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8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8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8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8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8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8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8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8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8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8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8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8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8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8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8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8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8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5"/>
      <c r="V82" s="9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8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9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4"/>
      <c r="V83" s="9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8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8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8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8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8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8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8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8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8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8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8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8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8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8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8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8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8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8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8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8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5"/>
      <c r="V84" s="9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8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9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4"/>
      <c r="V85" s="9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8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8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8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8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8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8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8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8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8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8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8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8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8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8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8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8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8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8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8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8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5"/>
      <c r="V86" s="9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8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9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4"/>
      <c r="V87" s="9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8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8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8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8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8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8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8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8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8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8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8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8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8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8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8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8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8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8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8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8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5"/>
      <c r="V88" s="9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8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9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4"/>
      <c r="V89" s="9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8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8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8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8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8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8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8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8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8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8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8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8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8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8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8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8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8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8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8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8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5"/>
      <c r="V90" s="9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8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9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4"/>
      <c r="V91" s="9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8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8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8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8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8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8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8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8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8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8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8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8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8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8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8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8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8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8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8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8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5"/>
      <c r="V92" s="9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8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9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4"/>
      <c r="V93" s="9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8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8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8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8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8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8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8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8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8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8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8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8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8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8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8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8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8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8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8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8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5"/>
      <c r="V94" s="9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8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9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4"/>
      <c r="V95" s="9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8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8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8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8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8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8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8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8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8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8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8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8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8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8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8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8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8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8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8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8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5"/>
      <c r="V96" s="9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8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9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4"/>
      <c r="V97" s="9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8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8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8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8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8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8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8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8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8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8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8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8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8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8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8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8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8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8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8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8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5"/>
      <c r="V98" s="9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8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9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4"/>
      <c r="V99" s="9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8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8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8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8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8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8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8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8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8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8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8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8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8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8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8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8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8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8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8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8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5"/>
      <c r="V100" s="9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8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9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4"/>
      <c r="V101" s="9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8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8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8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8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8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8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8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8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8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8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8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8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8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8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8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8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8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8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8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8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5"/>
      <c r="V102" s="9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8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9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4"/>
      <c r="V103" s="9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8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8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8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8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8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8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8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8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8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8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8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8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8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8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8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8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8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8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8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8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5"/>
      <c r="V104" s="9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8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9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4"/>
      <c r="V105" s="9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8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8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8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8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8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8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8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8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8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8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8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8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8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8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8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8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8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8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8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8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5"/>
      <c r="V106" s="9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8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9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4"/>
      <c r="V107" s="9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8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8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8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8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8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8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8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8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8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8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8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8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8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8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8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8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8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8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8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8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5"/>
      <c r="V108" s="9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8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9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4"/>
      <c r="V109" s="9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8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8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8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8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8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8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8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8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8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8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8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8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8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8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8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8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8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8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8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8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5"/>
      <c r="V110" s="9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8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9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4"/>
      <c r="V111" s="9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8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8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8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8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8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8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8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8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8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8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8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8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8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8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8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8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8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8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8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8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5"/>
      <c r="V112" s="9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8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9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4"/>
      <c r="V113" s="9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8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8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8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8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8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8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8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8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8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8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8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8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8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8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8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8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8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8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8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8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5"/>
      <c r="V114" s="9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8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9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4"/>
      <c r="V115" s="9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8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8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8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8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8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8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8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8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8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8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8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8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8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8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8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8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8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8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8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8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5"/>
      <c r="V116" s="9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8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9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4"/>
      <c r="V117" s="9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8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8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8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8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8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8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8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8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8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8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8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8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8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8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8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8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8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8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8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8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5"/>
      <c r="V118" s="9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8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9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4"/>
      <c r="V119" s="9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8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8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8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8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8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8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8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8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8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8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8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8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8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8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8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8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8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8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8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8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5"/>
      <c r="V120" s="9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8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9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4"/>
      <c r="V121" s="9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8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8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8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8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8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8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8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8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8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8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8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8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8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8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8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8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8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8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8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8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5"/>
      <c r="V122" s="9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8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9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4"/>
      <c r="V123" s="9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8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8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8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8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8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8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8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8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8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8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8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8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8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8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8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8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8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8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8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8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5"/>
      <c r="V124" s="9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8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9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4"/>
      <c r="V125" s="9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8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8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8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8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8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8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8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8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8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8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8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8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8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8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8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8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8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8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8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8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5"/>
      <c r="V126" s="9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8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9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4"/>
      <c r="V127" s="9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8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8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8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8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8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8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8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8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8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8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8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8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8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8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8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8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8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8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8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8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5"/>
      <c r="V128" s="9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8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9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4"/>
      <c r="V129" s="9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8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8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8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8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8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8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8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8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8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8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8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8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8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8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8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8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8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8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8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8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5"/>
      <c r="V130" s="9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8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9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4"/>
      <c r="V131" s="9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8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8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8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8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8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8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8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8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8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8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8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8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8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8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8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8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8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8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8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8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5"/>
      <c r="V132" s="9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8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9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4"/>
      <c r="V133" s="9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8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8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8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8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8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8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8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8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8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8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8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8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8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8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8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8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8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8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8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8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5"/>
      <c r="V134" s="9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8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9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4"/>
      <c r="V135" s="9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8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8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8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8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8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8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8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8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8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8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8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8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8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8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8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8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8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8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8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8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5"/>
      <c r="V136" s="9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8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9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4"/>
      <c r="V137" s="9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8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8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8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8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8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8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8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8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8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8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8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8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8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8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8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8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8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8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8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8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5"/>
      <c r="V138" s="9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8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9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4"/>
      <c r="V139" s="9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8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8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8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8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8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8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8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8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8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8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8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8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8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8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8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8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8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8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8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8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5"/>
      <c r="V140" s="9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8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9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4"/>
      <c r="V141" s="9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8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8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8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8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8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8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8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8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8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8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8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8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8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8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8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8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8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8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8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8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5"/>
      <c r="V142" s="9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8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9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4"/>
      <c r="V143" s="9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8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8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8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8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8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8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8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8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8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8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8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8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8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8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8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8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8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8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8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8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5"/>
      <c r="V144" s="9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8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9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4"/>
      <c r="V145" s="9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8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8" t="e">
        <f t="array" ref="B146">IF(INDEX(貼り付け用!B:B, MATCH("*【合計】*", 貼り付け用!$A:$A, 0)-1)&lt;&gt;0,
INDEX(貼り付け用!B:B, MATCH("*【合計】*", 貼り付け用!$A:$A, 0)-1),"")</f>
        <v>#N/A</v>
      </c>
      <c r="C146" s="18" t="e">
        <f t="array" ref="C146">IF(INDEX(貼り付け用!C:C, MATCH("*【合計】*", 貼り付け用!$A:$A, 0)-1)&lt;&gt;0,
INDEX(貼り付け用!C:C, MATCH("*【合計】*", 貼り付け用!$A:$A, 0)-1),"")</f>
        <v>#N/A</v>
      </c>
      <c r="D146" s="18" t="e">
        <f t="array" ref="D146">IF(INDEX(貼り付け用!D:D, MATCH("*【合計】*", 貼り付け用!$A:$A, 0)-1)&lt;&gt;0,
INDEX(貼り付け用!D:D, MATCH("*【合計】*", 貼り付け用!$A:$A, 0)-1),"")</f>
        <v>#N/A</v>
      </c>
      <c r="E146" s="18" t="e">
        <f t="array" ref="E146">IF(INDEX(貼り付け用!E:E, MATCH("*【合計】*", 貼り付け用!$A:$A, 0)-1)&lt;&gt;0,
INDEX(貼り付け用!E:E, MATCH("*【合計】*", 貼り付け用!$A:$A, 0)-1),"")</f>
        <v>#N/A</v>
      </c>
      <c r="F146" s="18" t="e">
        <f t="array" ref="F146">IF(INDEX(貼り付け用!F:F, MATCH("*【合計】*", 貼り付け用!$A:$A, 0)-1)&lt;&gt;0,
INDEX(貼り付け用!F:F, MATCH("*【合計】*", 貼り付け用!$A:$A, 0)-1),"")</f>
        <v>#N/A</v>
      </c>
      <c r="G146" s="18" t="e">
        <f t="array" ref="G146">IF(INDEX(貼り付け用!G:G, MATCH("*【合計】*", 貼り付け用!$A:$A, 0)-1)&lt;&gt;0,
INDEX(貼り付け用!G:G, MATCH("*【合計】*", 貼り付け用!$A:$A, 0)-1),"")</f>
        <v>#N/A</v>
      </c>
      <c r="H146" s="18" t="e">
        <f t="array" ref="H146">IF(INDEX(貼り付け用!H:H, MATCH("*【合計】*", 貼り付け用!$A:$A, 0)-1)&lt;&gt;0,
INDEX(貼り付け用!H:H, MATCH("*【合計】*", 貼り付け用!$A:$A, 0)-1),"")</f>
        <v>#N/A</v>
      </c>
      <c r="I146" s="18" t="e">
        <f t="array" ref="I146">IF(INDEX(貼り付け用!I:I, MATCH("*【合計】*", 貼り付け用!$A:$A, 0)-1)&lt;&gt;0,
INDEX(貼り付け用!I:I, MATCH("*【合計】*", 貼り付け用!$A:$A, 0)-1),"")</f>
        <v>#N/A</v>
      </c>
      <c r="J146" s="18" t="e">
        <f t="array" ref="J146">IF(INDEX(貼り付け用!J:J, MATCH("*【合計】*", 貼り付け用!$A:$A, 0)-1)&lt;&gt;0,
INDEX(貼り付け用!J:J, MATCH("*【合計】*", 貼り付け用!$A:$A, 0)-1),"")</f>
        <v>#N/A</v>
      </c>
      <c r="K146" s="18" t="e">
        <f t="array" ref="K146">IF(INDEX(貼り付け用!K:K, MATCH("*【合計】*", 貼り付け用!$A:$A, 0)-1)&lt;&gt;0,
INDEX(貼り付け用!K:K, MATCH("*【合計】*", 貼り付け用!$A:$A, 0)-1),"")</f>
        <v>#N/A</v>
      </c>
      <c r="L146" s="18" t="e">
        <f t="array" ref="L146">IF(INDEX(貼り付け用!L:L, MATCH("*【合計】*", 貼り付け用!$A:$A, 0)-1)&lt;&gt;0,
INDEX(貼り付け用!L:L, MATCH("*【合計】*", 貼り付け用!$A:$A, 0)-1),"")</f>
        <v>#N/A</v>
      </c>
      <c r="M146" s="18" t="e">
        <f t="array" ref="M146">IF(INDEX(貼り付け用!M:M, MATCH("*【合計】*", 貼り付け用!$A:$A, 0)-1)&lt;&gt;0,
INDEX(貼り付け用!M:M, MATCH("*【合計】*", 貼り付け用!$A:$A, 0)-1),"")</f>
        <v>#N/A</v>
      </c>
      <c r="N146" s="18" t="e">
        <f t="array" ref="N146">IF(INDEX(貼り付け用!N:N, MATCH("*【合計】*", 貼り付け用!$A:$A, 0)-1)&lt;&gt;0,
INDEX(貼り付け用!N:N, MATCH("*【合計】*", 貼り付け用!$A:$A, 0)-1),"")</f>
        <v>#N/A</v>
      </c>
      <c r="O146" s="18" t="e">
        <f t="array" ref="O146">IF(INDEX(貼り付け用!O:O, MATCH("*【合計】*", 貼り付け用!$A:$A, 0)-1)&lt;&gt;0,
INDEX(貼り付け用!O:O, MATCH("*【合計】*", 貼り付け用!$A:$A, 0)-1),"")</f>
        <v>#N/A</v>
      </c>
      <c r="P146" s="18" t="e">
        <f t="array" ref="P146">IF(INDEX(貼り付け用!P:P, MATCH("*【合計】*", 貼り付け用!$A:$A, 0)-1)&lt;&gt;0,
INDEX(貼り付け用!P:P, MATCH("*【合計】*", 貼り付け用!$A:$A, 0)-1),"")</f>
        <v>#N/A</v>
      </c>
      <c r="Q146" s="18" t="e">
        <f t="array" ref="Q146">IF(INDEX(貼り付け用!Q:Q, MATCH("*【合計】*", 貼り付け用!$A:$A, 0)-1)&lt;&gt;0,
INDEX(貼り付け用!Q:Q, MATCH("*【合計】*", 貼り付け用!$A:$A, 0)-1),"")</f>
        <v>#N/A</v>
      </c>
      <c r="R146" s="18" t="e">
        <f t="array" ref="R146">IF(INDEX(貼り付け用!R:R, MATCH("*【合計】*", 貼り付け用!$A:$A, 0)-1)&lt;&gt;0,
INDEX(貼り付け用!R:R, MATCH("*【合計】*", 貼り付け用!$A:$A, 0)-1),"")</f>
        <v>#N/A</v>
      </c>
      <c r="S146" s="18" t="e">
        <f t="array" ref="S146">IF(INDEX(貼り付け用!S:S, MATCH("*【合計】*", 貼り付け用!$A:$A, 0)-1)&lt;&gt;0,
INDEX(貼り付け用!S:S, MATCH("*【合計】*", 貼り付け用!$A:$A, 0)-1),"")</f>
        <v>#N/A</v>
      </c>
      <c r="T146" s="18" t="e">
        <f t="array" ref="T146">IF(INDEX(貼り付け用!T:T, MATCH("*【合計】*", 貼り付け用!$A:$A, 0)-1)&lt;&gt;0,
INDEX(貼り付け用!T:T, MATCH("*【合計】*", 貼り付け用!$A:$A, 0)-1),"")</f>
        <v>#N/A</v>
      </c>
      <c r="U146" s="15"/>
      <c r="V146" s="86" t="e">
        <f t="array" ref="V146">IF(INDEX(貼り付け用!U:U, MATCH("*【合計】*", 貼り付け用!$A:$A, 0)-1)&lt;&gt;0,
INDEX(貼り付け用!U:U, MATCH("*【合計】*", 貼り付け用!$A:$A, 0)-1),"")</f>
        <v>#N/A</v>
      </c>
      <c r="W146" s="16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0"/>
      <c r="V147" s="87" t="e">
        <f>IF(INDEX(貼り付け用!U:U, MATCH("*【合計】*", 貼り付け用!$A:$A, 0))&lt;&gt;0,
INDEX(貼り付け用!U:U, MATCH("*【合計】*", 貼り付け用!$A:$A, 0)),"")</f>
        <v>#N/A</v>
      </c>
      <c r="W147" s="41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N154"/>
  <sheetViews>
    <sheetView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G6" sqref="G6"/>
    </sheetView>
  </sheetViews>
  <sheetFormatPr defaultRowHeight="16.2" customHeight="1"/>
  <cols>
    <col min="1" max="1" width="26.69921875" style="162" customWidth="1"/>
    <col min="2" max="2" width="10.59765625" style="101" customWidth="1"/>
    <col min="3" max="3" width="5.09765625" style="101" customWidth="1"/>
    <col min="4" max="4" width="10.59765625" style="101" customWidth="1"/>
    <col min="5" max="5" width="5.09765625" style="101" customWidth="1"/>
    <col min="6" max="6" width="10.8984375" style="102" customWidth="1"/>
    <col min="7" max="7" width="5.09765625" style="101" customWidth="1"/>
    <col min="8" max="8" width="10.59765625" style="101" customWidth="1"/>
    <col min="9" max="9" width="5.09765625" style="101" customWidth="1"/>
    <col min="10" max="10" width="10.59765625" style="101" customWidth="1"/>
    <col min="11" max="11" width="5.09765625" style="101" customWidth="1"/>
    <col min="12" max="12" width="10.59765625" style="102" customWidth="1"/>
    <col min="13" max="13" width="5.09765625" style="101" customWidth="1"/>
    <col min="14" max="14" width="10.59765625" style="101" customWidth="1"/>
    <col min="15" max="15" width="5.09765625" style="101" customWidth="1"/>
    <col min="16" max="16" width="10.59765625" style="101" customWidth="1"/>
    <col min="17" max="17" width="5.09765625" style="101" customWidth="1"/>
    <col min="18" max="18" width="10.59765625" style="101" customWidth="1"/>
    <col min="19" max="19" width="5.09765625" style="101" customWidth="1"/>
    <col min="20" max="20" width="10.59765625" style="101" customWidth="1"/>
    <col min="21" max="21" width="5.09765625" style="101" customWidth="1"/>
    <col min="22" max="22" width="10.59765625" style="105" customWidth="1"/>
    <col min="23" max="23" width="5.09765625" style="103" customWidth="1"/>
    <col min="24" max="24" width="10.59765625" style="145" customWidth="1"/>
    <col min="25" max="25" width="5.09765625" style="101" customWidth="1"/>
    <col min="26" max="26" width="10.59765625" style="105" customWidth="1"/>
    <col min="27" max="27" width="5.09765625" style="103" customWidth="1"/>
    <col min="28" max="28" width="10.59765625" style="145" customWidth="1"/>
    <col min="29" max="29" width="5.09765625" style="101" customWidth="1"/>
    <col min="30" max="30" width="10.59765625" style="105" customWidth="1"/>
    <col min="31" max="31" width="5.09765625" style="103" customWidth="1"/>
    <col min="32" max="32" width="10.59765625" style="145" customWidth="1"/>
    <col min="33" max="33" width="5.09765625" style="101" customWidth="1"/>
    <col min="34" max="34" width="10.59765625" style="105" customWidth="1"/>
    <col min="35" max="35" width="5.09765625" style="103" customWidth="1"/>
    <col min="36" max="36" width="10.59765625" style="145" customWidth="1"/>
    <col min="37" max="37" width="5.09765625" style="101" customWidth="1"/>
    <col min="38" max="38" width="11.3984375" style="106" customWidth="1"/>
    <col min="39" max="39" width="32.796875" style="162" customWidth="1"/>
    <col min="40" max="40" width="27.69921875" style="162" customWidth="1"/>
    <col min="41" max="48" width="8.796875" style="100" customWidth="1"/>
    <col min="49" max="16384" width="8.796875" style="100"/>
  </cols>
  <sheetData>
    <row r="1" spans="1:40" s="156" customFormat="1" ht="16.2" customHeight="1">
      <c r="B1" s="190"/>
      <c r="C1" s="190"/>
      <c r="D1" s="190"/>
      <c r="E1" s="190"/>
      <c r="F1" s="191"/>
      <c r="G1" s="190"/>
      <c r="H1" s="190"/>
      <c r="I1" s="190"/>
      <c r="J1" s="190"/>
      <c r="K1" s="190"/>
      <c r="L1" s="191"/>
      <c r="M1" s="190"/>
      <c r="N1" s="190"/>
      <c r="O1" s="190"/>
      <c r="P1" s="190"/>
      <c r="Q1" s="190"/>
      <c r="R1" s="190"/>
      <c r="S1" s="190"/>
      <c r="T1" s="190"/>
      <c r="U1" s="190"/>
      <c r="V1" s="191"/>
      <c r="W1" s="192"/>
      <c r="X1" s="190"/>
      <c r="Y1" s="190"/>
      <c r="Z1" s="191"/>
      <c r="AA1" s="192"/>
      <c r="AB1" s="190"/>
      <c r="AC1" s="190"/>
      <c r="AD1" s="191"/>
      <c r="AE1" s="192"/>
      <c r="AF1" s="190"/>
      <c r="AG1" s="190"/>
      <c r="AH1" s="191"/>
      <c r="AI1" s="192"/>
      <c r="AJ1" s="190"/>
      <c r="AK1" s="193"/>
      <c r="AL1" s="194"/>
      <c r="AM1" s="195" t="s">
        <v>19</v>
      </c>
    </row>
    <row r="2" spans="1:40" s="156" customFormat="1" ht="16.2" customHeight="1">
      <c r="A2" s="156" t="str">
        <f>貼り付け用!A2&amp;"　"&amp;貼り付け用!B2&amp;"　"&amp;貼り付け用!C2</f>
        <v>　　</v>
      </c>
      <c r="B2" s="190"/>
      <c r="C2" s="190"/>
      <c r="D2" s="190"/>
      <c r="E2" s="190"/>
      <c r="F2" s="191"/>
      <c r="G2" s="190"/>
      <c r="H2" s="190"/>
      <c r="I2" s="190"/>
      <c r="J2" s="190"/>
      <c r="K2" s="190"/>
      <c r="L2" s="191"/>
      <c r="M2" s="190"/>
      <c r="N2" s="190"/>
      <c r="O2" s="190"/>
      <c r="P2" s="190" t="s">
        <v>8</v>
      </c>
      <c r="Q2" s="190"/>
      <c r="R2" s="190"/>
      <c r="S2" s="190"/>
      <c r="T2" s="190" t="s">
        <v>9</v>
      </c>
      <c r="U2" s="190"/>
      <c r="V2" s="191"/>
      <c r="W2" s="192"/>
      <c r="X2" s="190" t="s">
        <v>8</v>
      </c>
      <c r="Y2" s="190"/>
      <c r="Z2" s="191"/>
      <c r="AA2" s="192"/>
      <c r="AB2" s="190" t="s">
        <v>10</v>
      </c>
      <c r="AC2" s="190"/>
      <c r="AD2" s="191"/>
      <c r="AE2" s="192"/>
      <c r="AF2" s="190"/>
      <c r="AG2" s="190"/>
      <c r="AH2" s="196"/>
      <c r="AI2" s="192"/>
      <c r="AJ2" s="190"/>
      <c r="AK2" s="190"/>
      <c r="AL2" s="197" t="s">
        <v>11</v>
      </c>
      <c r="AM2" s="156" t="str">
        <f>貼り付け用!T2&amp;"　"&amp;貼り付け用!U2&amp;"　"&amp;貼り付け用!V2&amp;"　"&amp;貼り付け用!W2</f>
        <v>　　　</v>
      </c>
    </row>
    <row r="3" spans="1:40" s="156" customFormat="1" ht="16.2" customHeight="1">
      <c r="A3" s="157"/>
      <c r="B3" s="167" t="s">
        <v>1</v>
      </c>
      <c r="C3" s="168"/>
      <c r="D3" s="169" t="s">
        <v>1</v>
      </c>
      <c r="E3" s="170"/>
      <c r="F3" s="171" t="s">
        <v>2</v>
      </c>
      <c r="G3" s="172"/>
      <c r="H3" s="172" t="s">
        <v>2</v>
      </c>
      <c r="I3" s="172"/>
      <c r="J3" s="172" t="s">
        <v>2</v>
      </c>
      <c r="K3" s="172"/>
      <c r="L3" s="216" t="s">
        <v>0</v>
      </c>
      <c r="M3" s="172"/>
      <c r="N3" s="172" t="s">
        <v>0</v>
      </c>
      <c r="O3" s="172"/>
      <c r="P3" s="172" t="s">
        <v>0</v>
      </c>
      <c r="Q3" s="172"/>
      <c r="R3" s="172" t="s">
        <v>0</v>
      </c>
      <c r="S3" s="172"/>
      <c r="T3" s="172" t="s">
        <v>0</v>
      </c>
      <c r="U3" s="172"/>
      <c r="V3" s="174">
        <f>数出表_Excel!L3</f>
        <v>0</v>
      </c>
      <c r="W3" s="173">
        <f>IF(V3&lt;&gt;"",0,"")</f>
        <v>0</v>
      </c>
      <c r="X3" s="175">
        <f>数出表_Excel!M3</f>
        <v>0</v>
      </c>
      <c r="Y3" s="173">
        <f>IF(X3&lt;&gt;"",0,"")</f>
        <v>0</v>
      </c>
      <c r="Z3" s="174">
        <f>数出表_Excel!N3</f>
        <v>0</v>
      </c>
      <c r="AA3" s="173">
        <f>IF(Z3&lt;&gt;"",0,"")</f>
        <v>0</v>
      </c>
      <c r="AB3" s="175">
        <f>数出表_Excel!O3</f>
        <v>0</v>
      </c>
      <c r="AC3" s="173">
        <f>IF(AB3&lt;&gt;"",0,"")</f>
        <v>0</v>
      </c>
      <c r="AD3" s="174">
        <f>数出表_Excel!P3</f>
        <v>0</v>
      </c>
      <c r="AE3" s="173">
        <f>IF(AD3&lt;&gt;"",0,"")</f>
        <v>0</v>
      </c>
      <c r="AF3" s="176">
        <f>数出表_Excel!Q3</f>
        <v>0</v>
      </c>
      <c r="AG3" s="177">
        <f>IF(AF3&lt;&gt;"",0,"")</f>
        <v>0</v>
      </c>
      <c r="AH3" s="174">
        <f>数出表_Excel!R3</f>
        <v>0</v>
      </c>
      <c r="AI3" s="173">
        <f>IF(AH3&lt;&gt;"",0,"")</f>
        <v>0</v>
      </c>
      <c r="AJ3" s="176">
        <f>数出表_Excel!S3</f>
        <v>0</v>
      </c>
      <c r="AK3" s="177">
        <f>IF(AJ3&lt;&gt;"",0,"")</f>
        <v>0</v>
      </c>
      <c r="AL3" s="178" t="s">
        <v>6</v>
      </c>
      <c r="AM3" s="179"/>
      <c r="AN3" s="180"/>
    </row>
    <row r="4" spans="1:40" s="156" customFormat="1" ht="16.2" customHeight="1">
      <c r="A4" s="158" t="s">
        <v>13</v>
      </c>
      <c r="B4" s="181" t="s">
        <v>14</v>
      </c>
      <c r="C4" s="181"/>
      <c r="D4" s="181" t="s">
        <v>14</v>
      </c>
      <c r="E4" s="176"/>
      <c r="F4" s="182" t="s">
        <v>14</v>
      </c>
      <c r="G4" s="181"/>
      <c r="H4" s="181" t="s">
        <v>15</v>
      </c>
      <c r="I4" s="181"/>
      <c r="J4" s="181" t="s">
        <v>16</v>
      </c>
      <c r="K4" s="176"/>
      <c r="L4" s="182" t="s">
        <v>14</v>
      </c>
      <c r="M4" s="181"/>
      <c r="N4" s="181" t="s">
        <v>14</v>
      </c>
      <c r="O4" s="181"/>
      <c r="P4" s="181" t="s">
        <v>15</v>
      </c>
      <c r="Q4" s="181"/>
      <c r="R4" s="181" t="s">
        <v>15</v>
      </c>
      <c r="S4" s="181"/>
      <c r="T4" s="181" t="s">
        <v>16</v>
      </c>
      <c r="U4" s="176"/>
      <c r="V4" s="184"/>
      <c r="W4" s="183"/>
      <c r="X4" s="185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76"/>
      <c r="Z4" s="186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83"/>
      <c r="AB4" s="185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76"/>
      <c r="AD4" s="186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83"/>
      <c r="AF4" s="185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76"/>
      <c r="AH4" s="186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83"/>
      <c r="AJ4" s="185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76"/>
      <c r="AL4" s="187"/>
      <c r="AM4" s="188"/>
      <c r="AN4" s="189"/>
    </row>
    <row r="5" spans="1:40" ht="16.2" customHeight="1">
      <c r="A5" s="159"/>
      <c r="B5" s="107">
        <v>100</v>
      </c>
      <c r="C5" s="107"/>
      <c r="D5" s="107">
        <v>150</v>
      </c>
      <c r="E5" s="108"/>
      <c r="F5" s="109">
        <v>120</v>
      </c>
      <c r="G5" s="107"/>
      <c r="H5" s="107" t="s">
        <v>17</v>
      </c>
      <c r="I5" s="107"/>
      <c r="J5" s="107"/>
      <c r="K5" s="108"/>
      <c r="L5" s="109">
        <v>120</v>
      </c>
      <c r="M5" s="107"/>
      <c r="N5" s="107">
        <v>100</v>
      </c>
      <c r="O5" s="107"/>
      <c r="P5" s="107" t="s">
        <v>17</v>
      </c>
      <c r="Q5" s="107"/>
      <c r="R5" s="107" t="s">
        <v>18</v>
      </c>
      <c r="S5" s="107"/>
      <c r="T5" s="107"/>
      <c r="U5" s="108"/>
      <c r="V5" s="109"/>
      <c r="W5" s="110"/>
      <c r="X5" s="107"/>
      <c r="Y5" s="108"/>
      <c r="Z5" s="109"/>
      <c r="AA5" s="110"/>
      <c r="AB5" s="107"/>
      <c r="AC5" s="108"/>
      <c r="AD5" s="109"/>
      <c r="AE5" s="110"/>
      <c r="AF5" s="107"/>
      <c r="AG5" s="108"/>
      <c r="AH5" s="109"/>
      <c r="AI5" s="110"/>
      <c r="AJ5" s="107"/>
      <c r="AK5" s="108"/>
      <c r="AL5" s="111"/>
      <c r="AM5" s="188"/>
      <c r="AN5" s="189"/>
    </row>
    <row r="6" spans="1:40" ht="16.2" customHeight="1">
      <c r="A6" s="160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8" t="str">
        <f ca="1">IFERROR(VALUE(IF(VLOOKUP($A6,数出表_Excel!$A$6:$T$150,COLUMN()/2+1,FALSE)=0,"",VLOOKUP($A6,数出表_Excel!$A$6:$T$150,COLUMN()/2+1,FALSE))),"")</f>
        <v/>
      </c>
      <c r="C6" s="113"/>
      <c r="D6" s="148" t="str">
        <f ca="1">IFERROR(VALUE(IF(VLOOKUP($A6,数出表_Excel!$A$6:$T$150,COLUMN()/2+1,FALSE)=0,"",VLOOKUP($A6,数出表_Excel!$A$6:$T$150,COLUMN()/2+1,FALSE))),"")</f>
        <v/>
      </c>
      <c r="E6" s="113"/>
      <c r="F6" s="150" t="str">
        <f ca="1">IFERROR(VALUE(IF(VLOOKUP($A6,数出表_Excel!$A$6:$T$150,COLUMN()/2+1,FALSE)=0,"",VLOOKUP($A6,数出表_Excel!$A$6:$T$150,COLUMN()/2+1,FALSE))),"")</f>
        <v/>
      </c>
      <c r="G6" s="113"/>
      <c r="H6" s="148" t="str">
        <f ca="1">IFERROR(VALUE(IF(VLOOKUP($A6,数出表_Excel!$A$6:$T$150,COLUMN()/2+1,FALSE)=0,"",VLOOKUP($A6,数出表_Excel!$A$6:$T$150,COLUMN()/2+1,FALSE))),"")</f>
        <v/>
      </c>
      <c r="I6" s="113"/>
      <c r="J6" s="148" t="str">
        <f ca="1">IFERROR(VALUE(IF(VLOOKUP($A6,数出表_Excel!$A$6:$T$150,COLUMN()/2+1,FALSE)=0,"",VLOOKUP($A6,数出表_Excel!$A$6:$T$150,COLUMN()/2+1,FALSE))),"")</f>
        <v/>
      </c>
      <c r="K6" s="113"/>
      <c r="L6" s="150" t="str">
        <f ca="1">IFERROR(VALUE(IF(VLOOKUP($A6,数出表_Excel!$A$6:$T$150,COLUMN()/2+1,FALSE)=0,"",VLOOKUP($A6,数出表_Excel!$A$6:$T$150,COLUMN()/2+1,FALSE))),"")</f>
        <v/>
      </c>
      <c r="M6" s="113"/>
      <c r="N6" s="148" t="str">
        <f ca="1">IFERROR(VALUE(IF(VLOOKUP($A6,数出表_Excel!$A$6:$T$150,COLUMN()/2+1,FALSE)=0,"",VLOOKUP($A6,数出表_Excel!$A$6:$T$150,COLUMN()/2+1,FALSE))),"")</f>
        <v/>
      </c>
      <c r="O6" s="113"/>
      <c r="P6" s="148" t="str">
        <f ca="1">IFERROR(VALUE(IF(VLOOKUP($A6,数出表_Excel!$A$6:$T$150,COLUMN()/2+1,FALSE)=0,"",VLOOKUP($A6,数出表_Excel!$A$6:$T$150,COLUMN()/2+1,FALSE))),"")</f>
        <v/>
      </c>
      <c r="Q6" s="113"/>
      <c r="R6" s="148" t="str">
        <f ca="1">IFERROR(VALUE(IF(VLOOKUP($A6,数出表_Excel!$A$6:$T$150,COLUMN()/2+1,FALSE)=0,"",VLOOKUP($A6,数出表_Excel!$A$6:$T$150,COLUMN()/2+1,FALSE))),"")</f>
        <v/>
      </c>
      <c r="S6" s="113"/>
      <c r="T6" s="148" t="str">
        <f ca="1">IFERROR(VALUE(IF(VLOOKUP($A6,数出表_Excel!$A$6:$T$150,COLUMN()/2+1,FALSE)=0,"",VLOOKUP($A6,数出表_Excel!$A$6:$T$150,COLUMN()/2+1,FALSE))),"")</f>
        <v/>
      </c>
      <c r="U6" s="113"/>
      <c r="V6" s="150" t="str">
        <f ca="1">IFERROR(VALUE(IF(VLOOKUP($A6,数出表_Excel!$A$6:$T$150,COLUMN()/2+1,FALSE)=0,"",VLOOKUP($A6,数出表_Excel!$A$6:$T$150,COLUMN()/2+1,FALSE))),"")</f>
        <v/>
      </c>
      <c r="W6" s="113"/>
      <c r="X6" s="150" t="str">
        <f ca="1">IFERROR(VALUE(IF(VLOOKUP($A6,数出表_Excel!$A$6:$T$150,COLUMN()/2+1,FALSE)=0,"",VLOOKUP($A6,数出表_Excel!$A$6:$T$150,COLUMN()/2+1,FALSE))),"")</f>
        <v/>
      </c>
      <c r="Y6" s="113"/>
      <c r="Z6" s="150" t="str">
        <f ca="1">IFERROR(VALUE(IF(VLOOKUP($A6,数出表_Excel!$A$6:$T$150,COLUMN()/2+1,FALSE)=0,"",VLOOKUP($A6,数出表_Excel!$A$6:$T$150,COLUMN()/2+1,FALSE))),"")</f>
        <v/>
      </c>
      <c r="AA6" s="151"/>
      <c r="AB6" s="149" t="str">
        <f ca="1">IFERROR(VALUE(IF(VLOOKUP($A6,数出表_Excel!$A$6:$T$150,COLUMN()/2+1,FALSE)=0,"",VLOOKUP($A6,数出表_Excel!$A$6:$T$150,COLUMN()/2+1,FALSE))),"")</f>
        <v/>
      </c>
      <c r="AC6" s="113"/>
      <c r="AD6" s="150" t="str">
        <f ca="1">IFERROR(VALUE(IF(VLOOKUP($A6,数出表_Excel!$A$6:$T$150,COLUMN()/2+1,FALSE)=0,"",VLOOKUP($A6,数出表_Excel!$A$6:$T$150,COLUMN()/2+1,FALSE))),"")</f>
        <v/>
      </c>
      <c r="AE6" s="113"/>
      <c r="AF6" s="150" t="str">
        <f ca="1">IFERROR(VALUE(IF(VLOOKUP($A6,数出表_Excel!$A$6:$T$150,COLUMN()/2+1,FALSE)=0,"",VLOOKUP($A6,数出表_Excel!$A$6:$T$150,COLUMN()/2+1,FALSE))),"")</f>
        <v/>
      </c>
      <c r="AG6" s="113"/>
      <c r="AH6" s="150" t="str">
        <f ca="1">IFERROR(VALUE(IF(VLOOKUP($A6,数出表_Excel!$A$6:$T$150,COLUMN()/2+1,FALSE)=0,"",VLOOKUP($A6,数出表_Excel!$A$6:$T$150,COLUMN()/2+1,FALSE))),"")</f>
        <v/>
      </c>
      <c r="AI6" s="151"/>
      <c r="AJ6" s="149" t="str">
        <f ca="1">IFERROR(VALUE(IF(VLOOKUP($A6,数出表_Excel!$A$6:$T$150,COLUMN()/2+1,FALSE)=0,"",VLOOKUP($A6,数出表_Excel!$A$6:$T$150,COLUMN()/2+1,FALSE))),"")</f>
        <v/>
      </c>
      <c r="AK6" s="113"/>
      <c r="AL6" s="117" t="e">
        <f ca="1">IF(A6&lt;&gt;"",
IF(VLOOKUP($A6,数出表_Excel!$A$6:$T$150,COLUMN()/2+1,FALSE)=0,"",VLOOKUP($A6,数出表_Excel!$A$6:$T$150,COLUMN()/2+1,FALSE)),"")</f>
        <v>#N/A</v>
      </c>
      <c r="AM6" s="198" t="e">
        <f ca="1">数出表_Excel!V6</f>
        <v>#N/A</v>
      </c>
      <c r="AN6" s="199" t="e">
        <f ca="1">数出表_Excel!W6</f>
        <v>#N/A</v>
      </c>
    </row>
    <row r="7" spans="1:40" ht="16.2" customHeight="1">
      <c r="A7" s="161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14" t="str">
        <f ca="1">IFERROR(VALUE(IF(VLOOKUP($A7,数出表_Excel!$A$6:$T$150,COLUMN()/2+1,FALSE)=0,"",VLOOKUP($A7,数出表_Excel!$A$6:$T$150,COLUMN()/2+1,FALSE))),"")</f>
        <v/>
      </c>
      <c r="C7" s="114"/>
      <c r="D7" s="114" t="str">
        <f ca="1">IFERROR(VALUE(IF(VLOOKUP($A7,数出表_Excel!$A$6:$T$150,COLUMN()/2+1,FALSE)=0,"",VLOOKUP($A7,数出表_Excel!$A$6:$T$150,COLUMN()/2+1,FALSE))),"")</f>
        <v/>
      </c>
      <c r="E7" s="114"/>
      <c r="F7" s="118" t="str">
        <f ca="1">IFERROR(VALUE(IF(VLOOKUP($A7,数出表_Excel!$A$6:$T$150,COLUMN()/2+1,FALSE)=0,"",VLOOKUP($A7,数出表_Excel!$A$6:$T$150,COLUMN()/2+1,FALSE))),"")</f>
        <v/>
      </c>
      <c r="G7" s="114"/>
      <c r="H7" s="114" t="str">
        <f ca="1">IFERROR(VALUE(IF(VLOOKUP($A7,数出表_Excel!$A$6:$T$150,COLUMN()/2+1,FALSE)=0,"",VLOOKUP($A7,数出表_Excel!$A$6:$T$150,COLUMN()/2+1,FALSE))),"")</f>
        <v/>
      </c>
      <c r="I7" s="114"/>
      <c r="J7" s="114" t="str">
        <f ca="1">IFERROR(VALUE(IF(VLOOKUP($A7,数出表_Excel!$A$6:$T$150,COLUMN()/2+1,FALSE)=0,"",VLOOKUP($A7,数出表_Excel!$A$6:$T$150,COLUMN()/2+1,FALSE))),"")</f>
        <v/>
      </c>
      <c r="K7" s="114"/>
      <c r="L7" s="118" t="str">
        <f ca="1">IFERROR(VALUE(IF(VLOOKUP($A7,数出表_Excel!$A$6:$T$150,COLUMN()/2+1,FALSE)=0,"",VLOOKUP($A7,数出表_Excel!$A$6:$T$150,COLUMN()/2+1,FALSE))),"")</f>
        <v/>
      </c>
      <c r="M7" s="114"/>
      <c r="N7" s="114" t="str">
        <f ca="1">IFERROR(VALUE(IF(VLOOKUP($A7,数出表_Excel!$A$6:$T$150,COLUMN()/2+1,FALSE)=0,"",VLOOKUP($A7,数出表_Excel!$A$6:$T$150,COLUMN()/2+1,FALSE))),"")</f>
        <v/>
      </c>
      <c r="O7" s="114"/>
      <c r="P7" s="114" t="str">
        <f ca="1">IFERROR(VALUE(IF(VLOOKUP($A7,数出表_Excel!$A$6:$T$150,COLUMN()/2+1,FALSE)=0,"",VLOOKUP($A7,数出表_Excel!$A$6:$T$150,COLUMN()/2+1,FALSE))),"")</f>
        <v/>
      </c>
      <c r="Q7" s="114"/>
      <c r="R7" s="114" t="str">
        <f ca="1">IFERROR(VALUE(IF(VLOOKUP($A7,数出表_Excel!$A$6:$T$150,COLUMN()/2+1,FALSE)=0,"",VLOOKUP($A7,数出表_Excel!$A$6:$T$150,COLUMN()/2+1,FALSE))),"")</f>
        <v/>
      </c>
      <c r="S7" s="114"/>
      <c r="T7" s="114" t="str">
        <f ca="1">IFERROR(VALUE(IF(VLOOKUP($A7,数出表_Excel!$A$6:$T$150,COLUMN()/2+1,FALSE)=0,"",VLOOKUP($A7,数出表_Excel!$A$6:$T$150,COLUMN()/2+1,FALSE))),"")</f>
        <v/>
      </c>
      <c r="U7" s="114"/>
      <c r="V7" s="118" t="str">
        <f ca="1">IFERROR(VALUE(IF(VLOOKUP($A7,数出表_Excel!$A$6:$T$150,COLUMN()/2+1,FALSE)=0,"",VLOOKUP($A7,数出表_Excel!$A$6:$T$150,COLUMN()/2+1,FALSE))),"")</f>
        <v/>
      </c>
      <c r="W7" s="114"/>
      <c r="X7" s="118" t="str">
        <f ca="1">IFERROR(VALUE(IF(VLOOKUP($A7,数出表_Excel!$A$6:$T$150,COLUMN()/2+1,FALSE)=0,"",VLOOKUP($A7,数出表_Excel!$A$6:$T$150,COLUMN()/2+1,FALSE))),"")</f>
        <v/>
      </c>
      <c r="Y7" s="114"/>
      <c r="Z7" s="118" t="str">
        <f ca="1">IFERROR(VALUE(IF(VLOOKUP($A7,数出表_Excel!$A$6:$T$150,COLUMN()/2+1,FALSE)=0,"",VLOOKUP($A7,数出表_Excel!$A$6:$T$150,COLUMN()/2+1,FALSE))),"")</f>
        <v/>
      </c>
      <c r="AA7" s="152"/>
      <c r="AB7" s="119" t="str">
        <f ca="1">IFERROR(VALUE(IF(VLOOKUP($A7,数出表_Excel!$A$6:$T$150,COLUMN()/2+1,FALSE)=0,"",VLOOKUP($A7,数出表_Excel!$A$6:$T$150,COLUMN()/2+1,FALSE))),"")</f>
        <v/>
      </c>
      <c r="AC7" s="114"/>
      <c r="AD7" s="118" t="str">
        <f ca="1">IFERROR(VALUE(IF(VLOOKUP($A7,数出表_Excel!$A$6:$T$150,COLUMN()/2+1,FALSE)=0,"",VLOOKUP($A7,数出表_Excel!$A$6:$T$150,COLUMN()/2+1,FALSE))),"")</f>
        <v/>
      </c>
      <c r="AE7" s="114"/>
      <c r="AF7" s="118" t="str">
        <f ca="1">IFERROR(VALUE(IF(VLOOKUP($A7,数出表_Excel!$A$6:$T$150,COLUMN()/2+1,FALSE)=0,"",VLOOKUP($A7,数出表_Excel!$A$6:$T$150,COLUMN()/2+1,FALSE))),"")</f>
        <v/>
      </c>
      <c r="AG7" s="114"/>
      <c r="AH7" s="118" t="str">
        <f ca="1">IFERROR(VALUE(IF(VLOOKUP($A7,数出表_Excel!$A$6:$T$150,COLUMN()/2+1,FALSE)=0,"",VLOOKUP($A7,数出表_Excel!$A$6:$T$150,COLUMN()/2+1,FALSE))),"")</f>
        <v/>
      </c>
      <c r="AI7" s="152"/>
      <c r="AJ7" s="119" t="str">
        <f ca="1">IFERROR(VALUE(IF(VLOOKUP($A7,数出表_Excel!$A$6:$T$150,COLUMN()/2+1,FALSE)=0,"",VLOOKUP($A7,数出表_Excel!$A$6:$T$150,COLUMN()/2+1,FALSE))),"")</f>
        <v/>
      </c>
      <c r="AK7" s="114"/>
      <c r="AL7" s="120" t="e">
        <f ca="1">IF(A7&lt;&gt;"",
IF(VLOOKUP($A7,数出表_Excel!$A$6:$T$150,COLUMN()/2+1,FALSE)=0,"",VLOOKUP($A7,数出表_Excel!$A$6:$T$150,COLUMN()/2+1,FALSE)),"")</f>
        <v>#N/A</v>
      </c>
      <c r="AM7" s="200" t="e">
        <f ca="1">数出表_Excel!V7</f>
        <v>#N/A</v>
      </c>
      <c r="AN7" s="201" t="e">
        <f ca="1">数出表_Excel!W7</f>
        <v>#N/A</v>
      </c>
    </row>
    <row r="8" spans="1:40" ht="16.2" customHeight="1">
      <c r="A8" s="160" t="e">
        <f t="array" aca="1" ref="A8" ca="1">IF(OR(COUNTIF(A6,"*10002*"),COUNTIF(A6,"")),"",INDEX(貼り付け用!$A1:$A200,MATCH(A6,貼り付け用!$A1:$A200,0)+2,0))</f>
        <v>#N/A</v>
      </c>
      <c r="B8" s="148" t="str">
        <f ca="1">IFERROR(VALUE(IF(VLOOKUP($A8,数出表_Excel!$A$6:$T$150,COLUMN()/2+1,FALSE)=0,"",VLOOKUP($A8,数出表_Excel!$A$6:$T$150,COLUMN()/2+1,FALSE))),"")</f>
        <v/>
      </c>
      <c r="C8" s="113"/>
      <c r="D8" s="148" t="str">
        <f ca="1">IFERROR(VALUE(IF(VLOOKUP($A8,数出表_Excel!$A$6:$T$150,COLUMN()/2+1,FALSE)=0,"",VLOOKUP($A8,数出表_Excel!$A$6:$T$150,COLUMN()/2+1,FALSE))),"")</f>
        <v/>
      </c>
      <c r="E8" s="113"/>
      <c r="F8" s="150" t="str">
        <f ca="1">IFERROR(VALUE(IF(VLOOKUP($A8,数出表_Excel!$A$6:$T$150,COLUMN()/2+1,FALSE)=0,"",VLOOKUP($A8,数出表_Excel!$A$6:$T$150,COLUMN()/2+1,FALSE))),"")</f>
        <v/>
      </c>
      <c r="G8" s="113"/>
      <c r="H8" s="148" t="str">
        <f ca="1">IFERROR(VALUE(IF(VLOOKUP($A8,数出表_Excel!$A$6:$T$150,COLUMN()/2+1,FALSE)=0,"",VLOOKUP($A8,数出表_Excel!$A$6:$T$150,COLUMN()/2+1,FALSE))),"")</f>
        <v/>
      </c>
      <c r="I8" s="113"/>
      <c r="J8" s="148" t="str">
        <f ca="1">IFERROR(VALUE(IF(VLOOKUP($A8,数出表_Excel!$A$6:$T$150,COLUMN()/2+1,FALSE)=0,"",VLOOKUP($A8,数出表_Excel!$A$6:$T$150,COLUMN()/2+1,FALSE))),"")</f>
        <v/>
      </c>
      <c r="K8" s="113"/>
      <c r="L8" s="150" t="str">
        <f ca="1">IFERROR(VALUE(IF(VLOOKUP($A8,数出表_Excel!$A$6:$T$150,COLUMN()/2+1,FALSE)=0,"",VLOOKUP($A8,数出表_Excel!$A$6:$T$150,COLUMN()/2+1,FALSE))),"")</f>
        <v/>
      </c>
      <c r="M8" s="113"/>
      <c r="N8" s="148" t="str">
        <f ca="1">IFERROR(VALUE(IF(VLOOKUP($A8,数出表_Excel!$A$6:$T$150,COLUMN()/2+1,FALSE)=0,"",VLOOKUP($A8,数出表_Excel!$A$6:$T$150,COLUMN()/2+1,FALSE))),"")</f>
        <v/>
      </c>
      <c r="O8" s="113"/>
      <c r="P8" s="148" t="str">
        <f ca="1">IFERROR(VALUE(IF(VLOOKUP($A8,数出表_Excel!$A$6:$T$150,COLUMN()/2+1,FALSE)=0,"",VLOOKUP($A8,数出表_Excel!$A$6:$T$150,COLUMN()/2+1,FALSE))),"")</f>
        <v/>
      </c>
      <c r="Q8" s="113"/>
      <c r="R8" s="148" t="str">
        <f ca="1">IFERROR(VALUE(IF(VLOOKUP($A8,数出表_Excel!$A$6:$T$150,COLUMN()/2+1,FALSE)=0,"",VLOOKUP($A8,数出表_Excel!$A$6:$T$150,COLUMN()/2+1,FALSE))),"")</f>
        <v/>
      </c>
      <c r="S8" s="113"/>
      <c r="T8" s="148" t="str">
        <f ca="1">IFERROR(VALUE(IF(VLOOKUP($A8,数出表_Excel!$A$6:$T$150,COLUMN()/2+1,FALSE)=0,"",VLOOKUP($A8,数出表_Excel!$A$6:$T$150,COLUMN()/2+1,FALSE))),"")</f>
        <v/>
      </c>
      <c r="U8" s="113"/>
      <c r="V8" s="150" t="str">
        <f ca="1">IFERROR(VALUE(IF(VLOOKUP($A8,数出表_Excel!$A$6:$T$150,COLUMN()/2+1,FALSE)=0,"",VLOOKUP($A8,数出表_Excel!$A$6:$T$150,COLUMN()/2+1,FALSE))),"")</f>
        <v/>
      </c>
      <c r="W8" s="113"/>
      <c r="X8" s="150" t="str">
        <f ca="1">IFERROR(VALUE(IF(VLOOKUP($A8,数出表_Excel!$A$6:$T$150,COLUMN()/2+1,FALSE)=0,"",VLOOKUP($A8,数出表_Excel!$A$6:$T$150,COLUMN()/2+1,FALSE))),"")</f>
        <v/>
      </c>
      <c r="Y8" s="113"/>
      <c r="Z8" s="150" t="str">
        <f ca="1">IFERROR(VALUE(IF(VLOOKUP($A8,数出表_Excel!$A$6:$T$150,COLUMN()/2+1,FALSE)=0,"",VLOOKUP($A8,数出表_Excel!$A$6:$T$150,COLUMN()/2+1,FALSE))),"")</f>
        <v/>
      </c>
      <c r="AA8" s="151"/>
      <c r="AB8" s="149" t="str">
        <f ca="1">IFERROR(VALUE(IF(VLOOKUP($A8,数出表_Excel!$A$6:$T$150,COLUMN()/2+1,FALSE)=0,"",VLOOKUP($A8,数出表_Excel!$A$6:$T$150,COLUMN()/2+1,FALSE))),"")</f>
        <v/>
      </c>
      <c r="AC8" s="113"/>
      <c r="AD8" s="150" t="str">
        <f ca="1">IFERROR(VALUE(IF(VLOOKUP($A8,数出表_Excel!$A$6:$T$150,COLUMN()/2+1,FALSE)=0,"",VLOOKUP($A8,数出表_Excel!$A$6:$T$150,COLUMN()/2+1,FALSE))),"")</f>
        <v/>
      </c>
      <c r="AE8" s="113"/>
      <c r="AF8" s="150" t="str">
        <f ca="1">IFERROR(VALUE(IF(VLOOKUP($A8,数出表_Excel!$A$6:$T$150,COLUMN()/2+1,FALSE)=0,"",VLOOKUP($A8,数出表_Excel!$A$6:$T$150,COLUMN()/2+1,FALSE))),"")</f>
        <v/>
      </c>
      <c r="AG8" s="113"/>
      <c r="AH8" s="150" t="str">
        <f ca="1">IFERROR(VALUE(IF(VLOOKUP($A8,数出表_Excel!$A$6:$T$150,COLUMN()/2+1,FALSE)=0,"",VLOOKUP($A8,数出表_Excel!$A$6:$T$150,COLUMN()/2+1,FALSE))),"")</f>
        <v/>
      </c>
      <c r="AI8" s="151"/>
      <c r="AJ8" s="149" t="str">
        <f ca="1">IFERROR(VALUE(IF(VLOOKUP($A8,数出表_Excel!$A$6:$T$150,COLUMN()/2+1,FALSE)=0,"",VLOOKUP($A8,数出表_Excel!$A$6:$T$150,COLUMN()/2+1,FALSE))),"")</f>
        <v/>
      </c>
      <c r="AK8" s="113"/>
      <c r="AL8" s="117" t="e">
        <f ca="1">IF(A8&lt;&gt;"",
IF(VLOOKUP($A8,数出表_Excel!$A$6:$T$150,COLUMN()/2+1,FALSE)=0,"",VLOOKUP($A8,数出表_Excel!$A$6:$T$150,COLUMN()/2+1,FALSE)),"")</f>
        <v>#N/A</v>
      </c>
      <c r="AM8" s="198" t="e">
        <f ca="1">数出表_Excel!V8</f>
        <v>#N/A</v>
      </c>
      <c r="AN8" s="199" t="e">
        <f ca="1">数出表_Excel!W8</f>
        <v>#N/A</v>
      </c>
    </row>
    <row r="9" spans="1:40" ht="16.2" customHeight="1">
      <c r="A9" s="161" t="e">
        <f t="array" aca="1" ref="A9" ca="1">IF(OR(COUNTIF(A7,"*1000*"),COUNTIF(A7,"")),"",INDEX(貼り付け用!$A1:$A200,MATCH(A7,貼り付け用!$A1:$A200,0)+2,0))</f>
        <v>#N/A</v>
      </c>
      <c r="B9" s="114" t="str">
        <f ca="1">IFERROR(VALUE(IF(VLOOKUP($A9,数出表_Excel!$A$6:$T$150,COLUMN()/2+1,FALSE)=0,"",VLOOKUP($A9,数出表_Excel!$A$6:$T$150,COLUMN()/2+1,FALSE))),"")</f>
        <v/>
      </c>
      <c r="C9" s="114"/>
      <c r="D9" s="114" t="str">
        <f ca="1">IFERROR(VALUE(IF(VLOOKUP($A9,数出表_Excel!$A$6:$T$150,COLUMN()/2+1,FALSE)=0,"",VLOOKUP($A9,数出表_Excel!$A$6:$T$150,COLUMN()/2+1,FALSE))),"")</f>
        <v/>
      </c>
      <c r="E9" s="114"/>
      <c r="F9" s="118" t="str">
        <f ca="1">IFERROR(VALUE(IF(VLOOKUP($A9,数出表_Excel!$A$6:$T$150,COLUMN()/2+1,FALSE)=0,"",VLOOKUP($A9,数出表_Excel!$A$6:$T$150,COLUMN()/2+1,FALSE))),"")</f>
        <v/>
      </c>
      <c r="G9" s="114"/>
      <c r="H9" s="114" t="str">
        <f ca="1">IFERROR(VALUE(IF(VLOOKUP($A9,数出表_Excel!$A$6:$T$150,COLUMN()/2+1,FALSE)=0,"",VLOOKUP($A9,数出表_Excel!$A$6:$T$150,COLUMN()/2+1,FALSE))),"")</f>
        <v/>
      </c>
      <c r="I9" s="114"/>
      <c r="J9" s="114" t="str">
        <f ca="1">IFERROR(VALUE(IF(VLOOKUP($A9,数出表_Excel!$A$6:$T$150,COLUMN()/2+1,FALSE)=0,"",VLOOKUP($A9,数出表_Excel!$A$6:$T$150,COLUMN()/2+1,FALSE))),"")</f>
        <v/>
      </c>
      <c r="K9" s="114"/>
      <c r="L9" s="118" t="str">
        <f ca="1">IFERROR(VALUE(IF(VLOOKUP($A9,数出表_Excel!$A$6:$T$150,COLUMN()/2+1,FALSE)=0,"",VLOOKUP($A9,数出表_Excel!$A$6:$T$150,COLUMN()/2+1,FALSE))),"")</f>
        <v/>
      </c>
      <c r="M9" s="114"/>
      <c r="N9" s="114" t="str">
        <f ca="1">IFERROR(VALUE(IF(VLOOKUP($A9,数出表_Excel!$A$6:$T$150,COLUMN()/2+1,FALSE)=0,"",VLOOKUP($A9,数出表_Excel!$A$6:$T$150,COLUMN()/2+1,FALSE))),"")</f>
        <v/>
      </c>
      <c r="O9" s="114"/>
      <c r="P9" s="114" t="str">
        <f ca="1">IFERROR(VALUE(IF(VLOOKUP($A9,数出表_Excel!$A$6:$T$150,COLUMN()/2+1,FALSE)=0,"",VLOOKUP($A9,数出表_Excel!$A$6:$T$150,COLUMN()/2+1,FALSE))),"")</f>
        <v/>
      </c>
      <c r="Q9" s="114"/>
      <c r="R9" s="114" t="str">
        <f ca="1">IFERROR(VALUE(IF(VLOOKUP($A9,数出表_Excel!$A$6:$T$150,COLUMN()/2+1,FALSE)=0,"",VLOOKUP($A9,数出表_Excel!$A$6:$T$150,COLUMN()/2+1,FALSE))),"")</f>
        <v/>
      </c>
      <c r="S9" s="114"/>
      <c r="T9" s="114" t="str">
        <f ca="1">IFERROR(VALUE(IF(VLOOKUP($A9,数出表_Excel!$A$6:$T$150,COLUMN()/2+1,FALSE)=0,"",VLOOKUP($A9,数出表_Excel!$A$6:$T$150,COLUMN()/2+1,FALSE))),"")</f>
        <v/>
      </c>
      <c r="U9" s="114"/>
      <c r="V9" s="118" t="str">
        <f ca="1">IFERROR(VALUE(IF(VLOOKUP($A9,数出表_Excel!$A$6:$T$150,COLUMN()/2+1,FALSE)=0,"",VLOOKUP($A9,数出表_Excel!$A$6:$T$150,COLUMN()/2+1,FALSE))),"")</f>
        <v/>
      </c>
      <c r="W9" s="114"/>
      <c r="X9" s="118" t="str">
        <f ca="1">IFERROR(VALUE(IF(VLOOKUP($A9,数出表_Excel!$A$6:$T$150,COLUMN()/2+1,FALSE)=0,"",VLOOKUP($A9,数出表_Excel!$A$6:$T$150,COLUMN()/2+1,FALSE))),"")</f>
        <v/>
      </c>
      <c r="Y9" s="114"/>
      <c r="Z9" s="118" t="str">
        <f ca="1">IFERROR(VALUE(IF(VLOOKUP($A9,数出表_Excel!$A$6:$T$150,COLUMN()/2+1,FALSE)=0,"",VLOOKUP($A9,数出表_Excel!$A$6:$T$150,COLUMN()/2+1,FALSE))),"")</f>
        <v/>
      </c>
      <c r="AA9" s="152"/>
      <c r="AB9" s="119" t="str">
        <f ca="1">IFERROR(VALUE(IF(VLOOKUP($A9,数出表_Excel!$A$6:$T$150,COLUMN()/2+1,FALSE)=0,"",VLOOKUP($A9,数出表_Excel!$A$6:$T$150,COLUMN()/2+1,FALSE))),"")</f>
        <v/>
      </c>
      <c r="AC9" s="114"/>
      <c r="AD9" s="118" t="str">
        <f ca="1">IFERROR(VALUE(IF(VLOOKUP($A9,数出表_Excel!$A$6:$T$150,COLUMN()/2+1,FALSE)=0,"",VLOOKUP($A9,数出表_Excel!$A$6:$T$150,COLUMN()/2+1,FALSE))),"")</f>
        <v/>
      </c>
      <c r="AE9" s="114"/>
      <c r="AF9" s="118" t="str">
        <f ca="1">IFERROR(VALUE(IF(VLOOKUP($A9,数出表_Excel!$A$6:$T$150,COLUMN()/2+1,FALSE)=0,"",VLOOKUP($A9,数出表_Excel!$A$6:$T$150,COLUMN()/2+1,FALSE))),"")</f>
        <v/>
      </c>
      <c r="AG9" s="114"/>
      <c r="AH9" s="118" t="str">
        <f ca="1">IFERROR(VALUE(IF(VLOOKUP($A9,数出表_Excel!$A$6:$T$150,COLUMN()/2+1,FALSE)=0,"",VLOOKUP($A9,数出表_Excel!$A$6:$T$150,COLUMN()/2+1,FALSE))),"")</f>
        <v/>
      </c>
      <c r="AI9" s="152"/>
      <c r="AJ9" s="119" t="str">
        <f ca="1">IFERROR(VALUE(IF(VLOOKUP($A9,数出表_Excel!$A$6:$T$150,COLUMN()/2+1,FALSE)=0,"",VLOOKUP($A9,数出表_Excel!$A$6:$T$150,COLUMN()/2+1,FALSE))),"")</f>
        <v/>
      </c>
      <c r="AK9" s="114"/>
      <c r="AL9" s="120" t="e">
        <f ca="1">IF(A9&lt;&gt;"",
IF(VLOOKUP($A9,数出表_Excel!$A$6:$T$150,COLUMN()/2+1,FALSE)=0,"",VLOOKUP($A9,数出表_Excel!$A$6:$T$150,COLUMN()/2+1,FALSE)),"")</f>
        <v>#N/A</v>
      </c>
      <c r="AM9" s="200" t="e">
        <f ca="1">数出表_Excel!V9</f>
        <v>#N/A</v>
      </c>
      <c r="AN9" s="201" t="e">
        <f ca="1">数出表_Excel!W9</f>
        <v>#N/A</v>
      </c>
    </row>
    <row r="10" spans="1:40" ht="16.2" customHeight="1">
      <c r="A10" s="160" t="e">
        <f t="array" aca="1" ref="A10" ca="1">IF(OR(COUNTIF(A8,"*10002*"),COUNTIF(A8,"")),"",INDEX(貼り付け用!$A1:$A200,MATCH(A8,貼り付け用!$A1:$A200,0)+2,0))</f>
        <v>#N/A</v>
      </c>
      <c r="B10" s="148" t="str">
        <f ca="1">IFERROR(VALUE(IF(VLOOKUP($A10,数出表_Excel!$A$6:$T$150,COLUMN()/2+1,FALSE)=0,"",VLOOKUP($A10,数出表_Excel!$A$6:$T$150,COLUMN()/2+1,FALSE))),"")</f>
        <v/>
      </c>
      <c r="C10" s="113"/>
      <c r="D10" s="148" t="str">
        <f ca="1">IFERROR(VALUE(IF(VLOOKUP($A10,数出表_Excel!$A$6:$T$150,COLUMN()/2+1,FALSE)=0,"",VLOOKUP($A10,数出表_Excel!$A$6:$T$150,COLUMN()/2+1,FALSE))),"")</f>
        <v/>
      </c>
      <c r="E10" s="113"/>
      <c r="F10" s="150" t="str">
        <f ca="1">IFERROR(VALUE(IF(VLOOKUP($A10,数出表_Excel!$A$6:$T$150,COLUMN()/2+1,FALSE)=0,"",VLOOKUP($A10,数出表_Excel!$A$6:$T$150,COLUMN()/2+1,FALSE))),"")</f>
        <v/>
      </c>
      <c r="G10" s="113"/>
      <c r="H10" s="148" t="str">
        <f ca="1">IFERROR(VALUE(IF(VLOOKUP($A10,数出表_Excel!$A$6:$T$150,COLUMN()/2+1,FALSE)=0,"",VLOOKUP($A10,数出表_Excel!$A$6:$T$150,COLUMN()/2+1,FALSE))),"")</f>
        <v/>
      </c>
      <c r="I10" s="113"/>
      <c r="J10" s="148" t="str">
        <f ca="1">IFERROR(VALUE(IF(VLOOKUP($A10,数出表_Excel!$A$6:$T$150,COLUMN()/2+1,FALSE)=0,"",VLOOKUP($A10,数出表_Excel!$A$6:$T$150,COLUMN()/2+1,FALSE))),"")</f>
        <v/>
      </c>
      <c r="K10" s="113"/>
      <c r="L10" s="150" t="str">
        <f ca="1">IFERROR(VALUE(IF(VLOOKUP($A10,数出表_Excel!$A$6:$T$150,COLUMN()/2+1,FALSE)=0,"",VLOOKUP($A10,数出表_Excel!$A$6:$T$150,COLUMN()/2+1,FALSE))),"")</f>
        <v/>
      </c>
      <c r="M10" s="113"/>
      <c r="N10" s="148" t="str">
        <f ca="1">IFERROR(VALUE(IF(VLOOKUP($A10,数出表_Excel!$A$6:$T$150,COLUMN()/2+1,FALSE)=0,"",VLOOKUP($A10,数出表_Excel!$A$6:$T$150,COLUMN()/2+1,FALSE))),"")</f>
        <v/>
      </c>
      <c r="O10" s="113"/>
      <c r="P10" s="148" t="str">
        <f ca="1">IFERROR(VALUE(IF(VLOOKUP($A10,数出表_Excel!$A$6:$T$150,COLUMN()/2+1,FALSE)=0,"",VLOOKUP($A10,数出表_Excel!$A$6:$T$150,COLUMN()/2+1,FALSE))),"")</f>
        <v/>
      </c>
      <c r="Q10" s="113"/>
      <c r="R10" s="148" t="str">
        <f ca="1">IFERROR(VALUE(IF(VLOOKUP($A10,数出表_Excel!$A$6:$T$150,COLUMN()/2+1,FALSE)=0,"",VLOOKUP($A10,数出表_Excel!$A$6:$T$150,COLUMN()/2+1,FALSE))),"")</f>
        <v/>
      </c>
      <c r="S10" s="113"/>
      <c r="T10" s="148" t="str">
        <f ca="1">IFERROR(VALUE(IF(VLOOKUP($A10,数出表_Excel!$A$6:$T$150,COLUMN()/2+1,FALSE)=0,"",VLOOKUP($A10,数出表_Excel!$A$6:$T$150,COLUMN()/2+1,FALSE))),"")</f>
        <v/>
      </c>
      <c r="U10" s="113"/>
      <c r="V10" s="150" t="str">
        <f ca="1">IFERROR(VALUE(IF(VLOOKUP($A10,数出表_Excel!$A$6:$T$150,COLUMN()/2+1,FALSE)=0,"",VLOOKUP($A10,数出表_Excel!$A$6:$T$150,COLUMN()/2+1,FALSE))),"")</f>
        <v/>
      </c>
      <c r="W10" s="113"/>
      <c r="X10" s="150" t="str">
        <f ca="1">IFERROR(VALUE(IF(VLOOKUP($A10,数出表_Excel!$A$6:$T$150,COLUMN()/2+1,FALSE)=0,"",VLOOKUP($A10,数出表_Excel!$A$6:$T$150,COLUMN()/2+1,FALSE))),"")</f>
        <v/>
      </c>
      <c r="Y10" s="113"/>
      <c r="Z10" s="150" t="str">
        <f ca="1">IFERROR(VALUE(IF(VLOOKUP($A10,数出表_Excel!$A$6:$T$150,COLUMN()/2+1,FALSE)=0,"",VLOOKUP($A10,数出表_Excel!$A$6:$T$150,COLUMN()/2+1,FALSE))),"")</f>
        <v/>
      </c>
      <c r="AA10" s="151"/>
      <c r="AB10" s="149" t="str">
        <f ca="1">IFERROR(VALUE(IF(VLOOKUP($A10,数出表_Excel!$A$6:$T$150,COLUMN()/2+1,FALSE)=0,"",VLOOKUP($A10,数出表_Excel!$A$6:$T$150,COLUMN()/2+1,FALSE))),"")</f>
        <v/>
      </c>
      <c r="AC10" s="113"/>
      <c r="AD10" s="150" t="str">
        <f ca="1">IFERROR(VALUE(IF(VLOOKUP($A10,数出表_Excel!$A$6:$T$150,COLUMN()/2+1,FALSE)=0,"",VLOOKUP($A10,数出表_Excel!$A$6:$T$150,COLUMN()/2+1,FALSE))),"")</f>
        <v/>
      </c>
      <c r="AE10" s="113"/>
      <c r="AF10" s="150" t="str">
        <f ca="1">IFERROR(VALUE(IF(VLOOKUP($A10,数出表_Excel!$A$6:$T$150,COLUMN()/2+1,FALSE)=0,"",VLOOKUP($A10,数出表_Excel!$A$6:$T$150,COLUMN()/2+1,FALSE))),"")</f>
        <v/>
      </c>
      <c r="AG10" s="113"/>
      <c r="AH10" s="150" t="str">
        <f ca="1">IFERROR(VALUE(IF(VLOOKUP($A10,数出表_Excel!$A$6:$T$150,COLUMN()/2+1,FALSE)=0,"",VLOOKUP($A10,数出表_Excel!$A$6:$T$150,COLUMN()/2+1,FALSE))),"")</f>
        <v/>
      </c>
      <c r="AI10" s="151"/>
      <c r="AJ10" s="149" t="str">
        <f ca="1">IFERROR(VALUE(IF(VLOOKUP($A10,数出表_Excel!$A$6:$T$150,COLUMN()/2+1,FALSE)=0,"",VLOOKUP($A10,数出表_Excel!$A$6:$T$150,COLUMN()/2+1,FALSE))),"")</f>
        <v/>
      </c>
      <c r="AK10" s="113"/>
      <c r="AL10" s="117" t="e">
        <f ca="1">IF(A10&lt;&gt;"",
IF(VLOOKUP($A10,数出表_Excel!$A$6:$T$150,COLUMN()/2+1,FALSE)=0,"",VLOOKUP($A10,数出表_Excel!$A$6:$T$150,COLUMN()/2+1,FALSE)),"")</f>
        <v>#N/A</v>
      </c>
      <c r="AM10" s="198" t="e">
        <f ca="1">数出表_Excel!V10</f>
        <v>#N/A</v>
      </c>
      <c r="AN10" s="199" t="e">
        <f ca="1">数出表_Excel!W10</f>
        <v>#N/A</v>
      </c>
    </row>
    <row r="11" spans="1:40" ht="16.2" customHeight="1">
      <c r="A11" s="161" t="e">
        <f t="array" aca="1" ref="A11" ca="1">IF(OR(COUNTIF(A9,"*1000*"),COUNTIF(A9,"")),"",INDEX(貼り付け用!$A1:$A200,MATCH(A9,貼り付け用!$A1:$A200,0)+2,0))</f>
        <v>#N/A</v>
      </c>
      <c r="B11" s="114" t="str">
        <f ca="1">IFERROR(VALUE(IF(VLOOKUP($A11,数出表_Excel!$A$6:$T$150,COLUMN()/2+1,FALSE)=0,"",VLOOKUP($A11,数出表_Excel!$A$6:$T$150,COLUMN()/2+1,FALSE))),"")</f>
        <v/>
      </c>
      <c r="C11" s="114"/>
      <c r="D11" s="114" t="str">
        <f ca="1">IFERROR(VALUE(IF(VLOOKUP($A11,数出表_Excel!$A$6:$T$150,COLUMN()/2+1,FALSE)=0,"",VLOOKUP($A11,数出表_Excel!$A$6:$T$150,COLUMN()/2+1,FALSE))),"")</f>
        <v/>
      </c>
      <c r="E11" s="114"/>
      <c r="F11" s="118" t="str">
        <f ca="1">IFERROR(VALUE(IF(VLOOKUP($A11,数出表_Excel!$A$6:$T$150,COLUMN()/2+1,FALSE)=0,"",VLOOKUP($A11,数出表_Excel!$A$6:$T$150,COLUMN()/2+1,FALSE))),"")</f>
        <v/>
      </c>
      <c r="G11" s="114"/>
      <c r="H11" s="114" t="str">
        <f ca="1">IFERROR(VALUE(IF(VLOOKUP($A11,数出表_Excel!$A$6:$T$150,COLUMN()/2+1,FALSE)=0,"",VLOOKUP($A11,数出表_Excel!$A$6:$T$150,COLUMN()/2+1,FALSE))),"")</f>
        <v/>
      </c>
      <c r="I11" s="114"/>
      <c r="J11" s="114" t="str">
        <f ca="1">IFERROR(VALUE(IF(VLOOKUP($A11,数出表_Excel!$A$6:$T$150,COLUMN()/2+1,FALSE)=0,"",VLOOKUP($A11,数出表_Excel!$A$6:$T$150,COLUMN()/2+1,FALSE))),"")</f>
        <v/>
      </c>
      <c r="K11" s="114"/>
      <c r="L11" s="118" t="str">
        <f ca="1">IFERROR(VALUE(IF(VLOOKUP($A11,数出表_Excel!$A$6:$T$150,COLUMN()/2+1,FALSE)=0,"",VLOOKUP($A11,数出表_Excel!$A$6:$T$150,COLUMN()/2+1,FALSE))),"")</f>
        <v/>
      </c>
      <c r="M11" s="114"/>
      <c r="N11" s="114" t="str">
        <f ca="1">IFERROR(VALUE(IF(VLOOKUP($A11,数出表_Excel!$A$6:$T$150,COLUMN()/2+1,FALSE)=0,"",VLOOKUP($A11,数出表_Excel!$A$6:$T$150,COLUMN()/2+1,FALSE))),"")</f>
        <v/>
      </c>
      <c r="O11" s="114"/>
      <c r="P11" s="114" t="str">
        <f ca="1">IFERROR(VALUE(IF(VLOOKUP($A11,数出表_Excel!$A$6:$T$150,COLUMN()/2+1,FALSE)=0,"",VLOOKUP($A11,数出表_Excel!$A$6:$T$150,COLUMN()/2+1,FALSE))),"")</f>
        <v/>
      </c>
      <c r="Q11" s="114"/>
      <c r="R11" s="114" t="str">
        <f ca="1">IFERROR(VALUE(IF(VLOOKUP($A11,数出表_Excel!$A$6:$T$150,COLUMN()/2+1,FALSE)=0,"",VLOOKUP($A11,数出表_Excel!$A$6:$T$150,COLUMN()/2+1,FALSE))),"")</f>
        <v/>
      </c>
      <c r="S11" s="114"/>
      <c r="T11" s="114" t="str">
        <f ca="1">IFERROR(VALUE(IF(VLOOKUP($A11,数出表_Excel!$A$6:$T$150,COLUMN()/2+1,FALSE)=0,"",VLOOKUP($A11,数出表_Excel!$A$6:$T$150,COLUMN()/2+1,FALSE))),"")</f>
        <v/>
      </c>
      <c r="U11" s="114"/>
      <c r="V11" s="118" t="str">
        <f ca="1">IFERROR(VALUE(IF(VLOOKUP($A11,数出表_Excel!$A$6:$T$150,COLUMN()/2+1,FALSE)=0,"",VLOOKUP($A11,数出表_Excel!$A$6:$T$150,COLUMN()/2+1,FALSE))),"")</f>
        <v/>
      </c>
      <c r="W11" s="114"/>
      <c r="X11" s="118" t="str">
        <f ca="1">IFERROR(VALUE(IF(VLOOKUP($A11,数出表_Excel!$A$6:$T$150,COLUMN()/2+1,FALSE)=0,"",VLOOKUP($A11,数出表_Excel!$A$6:$T$150,COLUMN()/2+1,FALSE))),"")</f>
        <v/>
      </c>
      <c r="Y11" s="114"/>
      <c r="Z11" s="118" t="str">
        <f ca="1">IFERROR(VALUE(IF(VLOOKUP($A11,数出表_Excel!$A$6:$T$150,COLUMN()/2+1,FALSE)=0,"",VLOOKUP($A11,数出表_Excel!$A$6:$T$150,COLUMN()/2+1,FALSE))),"")</f>
        <v/>
      </c>
      <c r="AA11" s="152"/>
      <c r="AB11" s="119" t="str">
        <f ca="1">IFERROR(VALUE(IF(VLOOKUP($A11,数出表_Excel!$A$6:$T$150,COLUMN()/2+1,FALSE)=0,"",VLOOKUP($A11,数出表_Excel!$A$6:$T$150,COLUMN()/2+1,FALSE))),"")</f>
        <v/>
      </c>
      <c r="AC11" s="114"/>
      <c r="AD11" s="118" t="str">
        <f ca="1">IFERROR(VALUE(IF(VLOOKUP($A11,数出表_Excel!$A$6:$T$150,COLUMN()/2+1,FALSE)=0,"",VLOOKUP($A11,数出表_Excel!$A$6:$T$150,COLUMN()/2+1,FALSE))),"")</f>
        <v/>
      </c>
      <c r="AE11" s="114"/>
      <c r="AF11" s="118" t="str">
        <f ca="1">IFERROR(VALUE(IF(VLOOKUP($A11,数出表_Excel!$A$6:$T$150,COLUMN()/2+1,FALSE)=0,"",VLOOKUP($A11,数出表_Excel!$A$6:$T$150,COLUMN()/2+1,FALSE))),"")</f>
        <v/>
      </c>
      <c r="AG11" s="114"/>
      <c r="AH11" s="118" t="str">
        <f ca="1">IFERROR(VALUE(IF(VLOOKUP($A11,数出表_Excel!$A$6:$T$150,COLUMN()/2+1,FALSE)=0,"",VLOOKUP($A11,数出表_Excel!$A$6:$T$150,COLUMN()/2+1,FALSE))),"")</f>
        <v/>
      </c>
      <c r="AI11" s="152"/>
      <c r="AJ11" s="119" t="str">
        <f ca="1">IFERROR(VALUE(IF(VLOOKUP($A11,数出表_Excel!$A$6:$T$150,COLUMN()/2+1,FALSE)=0,"",VLOOKUP($A11,数出表_Excel!$A$6:$T$150,COLUMN()/2+1,FALSE))),"")</f>
        <v/>
      </c>
      <c r="AK11" s="114"/>
      <c r="AL11" s="120" t="e">
        <f ca="1">IF(A11&lt;&gt;"",
IF(VLOOKUP($A11,数出表_Excel!$A$6:$T$150,COLUMN()/2+1,FALSE)=0,"",VLOOKUP($A11,数出表_Excel!$A$6:$T$150,COLUMN()/2+1,FALSE)),"")</f>
        <v>#N/A</v>
      </c>
      <c r="AM11" s="200" t="e">
        <f ca="1">数出表_Excel!V11</f>
        <v>#N/A</v>
      </c>
      <c r="AN11" s="201" t="e">
        <f ca="1">数出表_Excel!W11</f>
        <v>#N/A</v>
      </c>
    </row>
    <row r="12" spans="1:40" ht="16.2" customHeight="1">
      <c r="A12" s="160" t="e">
        <f t="array" aca="1" ref="A12" ca="1">IF(OR(COUNTIF(A10,"*10002*"),COUNTIF(A10,"")),"",INDEX(貼り付け用!$A1:$A200,MATCH(A10,貼り付け用!$A1:$A200,0)+2,0))</f>
        <v>#N/A</v>
      </c>
      <c r="B12" s="148" t="str">
        <f ca="1">IFERROR(VALUE(IF(VLOOKUP($A12,数出表_Excel!$A$6:$T$150,COLUMN()/2+1,FALSE)=0,"",VLOOKUP($A12,数出表_Excel!$A$6:$T$150,COLUMN()/2+1,FALSE))),"")</f>
        <v/>
      </c>
      <c r="C12" s="113"/>
      <c r="D12" s="148" t="str">
        <f ca="1">IFERROR(VALUE(IF(VLOOKUP($A12,数出表_Excel!$A$6:$T$150,COLUMN()/2+1,FALSE)=0,"",VLOOKUP($A12,数出表_Excel!$A$6:$T$150,COLUMN()/2+1,FALSE))),"")</f>
        <v/>
      </c>
      <c r="E12" s="113"/>
      <c r="F12" s="150" t="str">
        <f ca="1">IFERROR(VALUE(IF(VLOOKUP($A12,数出表_Excel!$A$6:$T$150,COLUMN()/2+1,FALSE)=0,"",VLOOKUP($A12,数出表_Excel!$A$6:$T$150,COLUMN()/2+1,FALSE))),"")</f>
        <v/>
      </c>
      <c r="G12" s="113"/>
      <c r="H12" s="148" t="str">
        <f ca="1">IFERROR(VALUE(IF(VLOOKUP($A12,数出表_Excel!$A$6:$T$150,COLUMN()/2+1,FALSE)=0,"",VLOOKUP($A12,数出表_Excel!$A$6:$T$150,COLUMN()/2+1,FALSE))),"")</f>
        <v/>
      </c>
      <c r="I12" s="113"/>
      <c r="J12" s="148" t="str">
        <f ca="1">IFERROR(VALUE(IF(VLOOKUP($A12,数出表_Excel!$A$6:$T$150,COLUMN()/2+1,FALSE)=0,"",VLOOKUP($A12,数出表_Excel!$A$6:$T$150,COLUMN()/2+1,FALSE))),"")</f>
        <v/>
      </c>
      <c r="K12" s="113"/>
      <c r="L12" s="150" t="str">
        <f ca="1">IFERROR(VALUE(IF(VLOOKUP($A12,数出表_Excel!$A$6:$T$150,COLUMN()/2+1,FALSE)=0,"",VLOOKUP($A12,数出表_Excel!$A$6:$T$150,COLUMN()/2+1,FALSE))),"")</f>
        <v/>
      </c>
      <c r="M12" s="113"/>
      <c r="N12" s="148" t="str">
        <f ca="1">IFERROR(VALUE(IF(VLOOKUP($A12,数出表_Excel!$A$6:$T$150,COLUMN()/2+1,FALSE)=0,"",VLOOKUP($A12,数出表_Excel!$A$6:$T$150,COLUMN()/2+1,FALSE))),"")</f>
        <v/>
      </c>
      <c r="O12" s="113"/>
      <c r="P12" s="148" t="str">
        <f ca="1">IFERROR(VALUE(IF(VLOOKUP($A12,数出表_Excel!$A$6:$T$150,COLUMN()/2+1,FALSE)=0,"",VLOOKUP($A12,数出表_Excel!$A$6:$T$150,COLUMN()/2+1,FALSE))),"")</f>
        <v/>
      </c>
      <c r="Q12" s="113"/>
      <c r="R12" s="148" t="str">
        <f ca="1">IFERROR(VALUE(IF(VLOOKUP($A12,数出表_Excel!$A$6:$T$150,COLUMN()/2+1,FALSE)=0,"",VLOOKUP($A12,数出表_Excel!$A$6:$T$150,COLUMN()/2+1,FALSE))),"")</f>
        <v/>
      </c>
      <c r="S12" s="113"/>
      <c r="T12" s="148" t="str">
        <f ca="1">IFERROR(VALUE(IF(VLOOKUP($A12,数出表_Excel!$A$6:$T$150,COLUMN()/2+1,FALSE)=0,"",VLOOKUP($A12,数出表_Excel!$A$6:$T$150,COLUMN()/2+1,FALSE))),"")</f>
        <v/>
      </c>
      <c r="U12" s="113"/>
      <c r="V12" s="150" t="str">
        <f ca="1">IFERROR(VALUE(IF(VLOOKUP($A12,数出表_Excel!$A$6:$T$150,COLUMN()/2+1,FALSE)=0,"",VLOOKUP($A12,数出表_Excel!$A$6:$T$150,COLUMN()/2+1,FALSE))),"")</f>
        <v/>
      </c>
      <c r="W12" s="113"/>
      <c r="X12" s="150" t="str">
        <f ca="1">IFERROR(VALUE(IF(VLOOKUP($A12,数出表_Excel!$A$6:$T$150,COLUMN()/2+1,FALSE)=0,"",VLOOKUP($A12,数出表_Excel!$A$6:$T$150,COLUMN()/2+1,FALSE))),"")</f>
        <v/>
      </c>
      <c r="Y12" s="113"/>
      <c r="Z12" s="150" t="str">
        <f ca="1">IFERROR(VALUE(IF(VLOOKUP($A12,数出表_Excel!$A$6:$T$150,COLUMN()/2+1,FALSE)=0,"",VLOOKUP($A12,数出表_Excel!$A$6:$T$150,COLUMN()/2+1,FALSE))),"")</f>
        <v/>
      </c>
      <c r="AA12" s="151"/>
      <c r="AB12" s="149" t="str">
        <f ca="1">IFERROR(VALUE(IF(VLOOKUP($A12,数出表_Excel!$A$6:$T$150,COLUMN()/2+1,FALSE)=0,"",VLOOKUP($A12,数出表_Excel!$A$6:$T$150,COLUMN()/2+1,FALSE))),"")</f>
        <v/>
      </c>
      <c r="AC12" s="113"/>
      <c r="AD12" s="150" t="str">
        <f ca="1">IFERROR(VALUE(IF(VLOOKUP($A12,数出表_Excel!$A$6:$T$150,COLUMN()/2+1,FALSE)=0,"",VLOOKUP($A12,数出表_Excel!$A$6:$T$150,COLUMN()/2+1,FALSE))),"")</f>
        <v/>
      </c>
      <c r="AE12" s="113"/>
      <c r="AF12" s="150" t="str">
        <f ca="1">IFERROR(VALUE(IF(VLOOKUP($A12,数出表_Excel!$A$6:$T$150,COLUMN()/2+1,FALSE)=0,"",VLOOKUP($A12,数出表_Excel!$A$6:$T$150,COLUMN()/2+1,FALSE))),"")</f>
        <v/>
      </c>
      <c r="AG12" s="113"/>
      <c r="AH12" s="150" t="str">
        <f ca="1">IFERROR(VALUE(IF(VLOOKUP($A12,数出表_Excel!$A$6:$T$150,COLUMN()/2+1,FALSE)=0,"",VLOOKUP($A12,数出表_Excel!$A$6:$T$150,COLUMN()/2+1,FALSE))),"")</f>
        <v/>
      </c>
      <c r="AI12" s="151"/>
      <c r="AJ12" s="149" t="str">
        <f ca="1">IFERROR(VALUE(IF(VLOOKUP($A12,数出表_Excel!$A$6:$T$150,COLUMN()/2+1,FALSE)=0,"",VLOOKUP($A12,数出表_Excel!$A$6:$T$150,COLUMN()/2+1,FALSE))),"")</f>
        <v/>
      </c>
      <c r="AK12" s="113"/>
      <c r="AL12" s="117" t="e">
        <f ca="1">IF(A12&lt;&gt;"",
IF(VLOOKUP($A12,数出表_Excel!$A$6:$T$150,COLUMN()/2+1,FALSE)=0,"",VLOOKUP($A12,数出表_Excel!$A$6:$T$150,COLUMN()/2+1,FALSE)),"")</f>
        <v>#N/A</v>
      </c>
      <c r="AM12" s="198" t="e">
        <f ca="1">数出表_Excel!V12</f>
        <v>#N/A</v>
      </c>
      <c r="AN12" s="199" t="e">
        <f ca="1">数出表_Excel!W12</f>
        <v>#N/A</v>
      </c>
    </row>
    <row r="13" spans="1:40" ht="16.2" customHeight="1">
      <c r="A13" s="161" t="e">
        <f t="array" aca="1" ref="A13" ca="1">IF(OR(COUNTIF(A11,"*1000*"),COUNTIF(A11,"")),"",INDEX(貼り付け用!$A1:$A200,MATCH(A11,貼り付け用!$A1:$A200,0)+2,0))</f>
        <v>#N/A</v>
      </c>
      <c r="B13" s="114" t="str">
        <f ca="1">IFERROR(VALUE(IF(VLOOKUP($A13,数出表_Excel!$A$6:$T$150,COLUMN()/2+1,FALSE)=0,"",VLOOKUP($A13,数出表_Excel!$A$6:$T$150,COLUMN()/2+1,FALSE))),"")</f>
        <v/>
      </c>
      <c r="C13" s="114"/>
      <c r="D13" s="114" t="str">
        <f ca="1">IFERROR(VALUE(IF(VLOOKUP($A13,数出表_Excel!$A$6:$T$150,COLUMN()/2+1,FALSE)=0,"",VLOOKUP($A13,数出表_Excel!$A$6:$T$150,COLUMN()/2+1,FALSE))),"")</f>
        <v/>
      </c>
      <c r="E13" s="114"/>
      <c r="F13" s="118" t="str">
        <f ca="1">IFERROR(VALUE(IF(VLOOKUP($A13,数出表_Excel!$A$6:$T$150,COLUMN()/2+1,FALSE)=0,"",VLOOKUP($A13,数出表_Excel!$A$6:$T$150,COLUMN()/2+1,FALSE))),"")</f>
        <v/>
      </c>
      <c r="G13" s="114"/>
      <c r="H13" s="114" t="str">
        <f ca="1">IFERROR(VALUE(IF(VLOOKUP($A13,数出表_Excel!$A$6:$T$150,COLUMN()/2+1,FALSE)=0,"",VLOOKUP($A13,数出表_Excel!$A$6:$T$150,COLUMN()/2+1,FALSE))),"")</f>
        <v/>
      </c>
      <c r="I13" s="114"/>
      <c r="J13" s="114" t="str">
        <f ca="1">IFERROR(VALUE(IF(VLOOKUP($A13,数出表_Excel!$A$6:$T$150,COLUMN()/2+1,FALSE)=0,"",VLOOKUP($A13,数出表_Excel!$A$6:$T$150,COLUMN()/2+1,FALSE))),"")</f>
        <v/>
      </c>
      <c r="K13" s="114"/>
      <c r="L13" s="118" t="str">
        <f ca="1">IFERROR(VALUE(IF(VLOOKUP($A13,数出表_Excel!$A$6:$T$150,COLUMN()/2+1,FALSE)=0,"",VLOOKUP($A13,数出表_Excel!$A$6:$T$150,COLUMN()/2+1,FALSE))),"")</f>
        <v/>
      </c>
      <c r="M13" s="114"/>
      <c r="N13" s="114" t="str">
        <f ca="1">IFERROR(VALUE(IF(VLOOKUP($A13,数出表_Excel!$A$6:$T$150,COLUMN()/2+1,FALSE)=0,"",VLOOKUP($A13,数出表_Excel!$A$6:$T$150,COLUMN()/2+1,FALSE))),"")</f>
        <v/>
      </c>
      <c r="O13" s="114"/>
      <c r="P13" s="114" t="str">
        <f ca="1">IFERROR(VALUE(IF(VLOOKUP($A13,数出表_Excel!$A$6:$T$150,COLUMN()/2+1,FALSE)=0,"",VLOOKUP($A13,数出表_Excel!$A$6:$T$150,COLUMN()/2+1,FALSE))),"")</f>
        <v/>
      </c>
      <c r="Q13" s="114"/>
      <c r="R13" s="114" t="str">
        <f ca="1">IFERROR(VALUE(IF(VLOOKUP($A13,数出表_Excel!$A$6:$T$150,COLUMN()/2+1,FALSE)=0,"",VLOOKUP($A13,数出表_Excel!$A$6:$T$150,COLUMN()/2+1,FALSE))),"")</f>
        <v/>
      </c>
      <c r="S13" s="114"/>
      <c r="T13" s="114" t="str">
        <f ca="1">IFERROR(VALUE(IF(VLOOKUP($A13,数出表_Excel!$A$6:$T$150,COLUMN()/2+1,FALSE)=0,"",VLOOKUP($A13,数出表_Excel!$A$6:$T$150,COLUMN()/2+1,FALSE))),"")</f>
        <v/>
      </c>
      <c r="U13" s="114"/>
      <c r="V13" s="118" t="str">
        <f ca="1">IFERROR(VALUE(IF(VLOOKUP($A13,数出表_Excel!$A$6:$T$150,COLUMN()/2+1,FALSE)=0,"",VLOOKUP($A13,数出表_Excel!$A$6:$T$150,COLUMN()/2+1,FALSE))),"")</f>
        <v/>
      </c>
      <c r="W13" s="114"/>
      <c r="X13" s="118" t="str">
        <f ca="1">IFERROR(VALUE(IF(VLOOKUP($A13,数出表_Excel!$A$6:$T$150,COLUMN()/2+1,FALSE)=0,"",VLOOKUP($A13,数出表_Excel!$A$6:$T$150,COLUMN()/2+1,FALSE))),"")</f>
        <v/>
      </c>
      <c r="Y13" s="114"/>
      <c r="Z13" s="118" t="str">
        <f ca="1">IFERROR(VALUE(IF(VLOOKUP($A13,数出表_Excel!$A$6:$T$150,COLUMN()/2+1,FALSE)=0,"",VLOOKUP($A13,数出表_Excel!$A$6:$T$150,COLUMN()/2+1,FALSE))),"")</f>
        <v/>
      </c>
      <c r="AA13" s="152"/>
      <c r="AB13" s="119" t="str">
        <f ca="1">IFERROR(VALUE(IF(VLOOKUP($A13,数出表_Excel!$A$6:$T$150,COLUMN()/2+1,FALSE)=0,"",VLOOKUP($A13,数出表_Excel!$A$6:$T$150,COLUMN()/2+1,FALSE))),"")</f>
        <v/>
      </c>
      <c r="AC13" s="114"/>
      <c r="AD13" s="118" t="str">
        <f ca="1">IFERROR(VALUE(IF(VLOOKUP($A13,数出表_Excel!$A$6:$T$150,COLUMN()/2+1,FALSE)=0,"",VLOOKUP($A13,数出表_Excel!$A$6:$T$150,COLUMN()/2+1,FALSE))),"")</f>
        <v/>
      </c>
      <c r="AE13" s="114"/>
      <c r="AF13" s="118" t="str">
        <f ca="1">IFERROR(VALUE(IF(VLOOKUP($A13,数出表_Excel!$A$6:$T$150,COLUMN()/2+1,FALSE)=0,"",VLOOKUP($A13,数出表_Excel!$A$6:$T$150,COLUMN()/2+1,FALSE))),"")</f>
        <v/>
      </c>
      <c r="AG13" s="114"/>
      <c r="AH13" s="118" t="str">
        <f ca="1">IFERROR(VALUE(IF(VLOOKUP($A13,数出表_Excel!$A$6:$T$150,COLUMN()/2+1,FALSE)=0,"",VLOOKUP($A13,数出表_Excel!$A$6:$T$150,COLUMN()/2+1,FALSE))),"")</f>
        <v/>
      </c>
      <c r="AI13" s="152"/>
      <c r="AJ13" s="119" t="str">
        <f ca="1">IFERROR(VALUE(IF(VLOOKUP($A13,数出表_Excel!$A$6:$T$150,COLUMN()/2+1,FALSE)=0,"",VLOOKUP($A13,数出表_Excel!$A$6:$T$150,COLUMN()/2+1,FALSE))),"")</f>
        <v/>
      </c>
      <c r="AK13" s="114"/>
      <c r="AL13" s="120" t="e">
        <f ca="1">IF(A13&lt;&gt;"",
IF(VLOOKUP($A13,数出表_Excel!$A$6:$T$150,COLUMN()/2+1,FALSE)=0,"",VLOOKUP($A13,数出表_Excel!$A$6:$T$150,COLUMN()/2+1,FALSE)),"")</f>
        <v>#N/A</v>
      </c>
      <c r="AM13" s="200" t="e">
        <f ca="1">数出表_Excel!V13</f>
        <v>#N/A</v>
      </c>
      <c r="AN13" s="201" t="e">
        <f ca="1">数出表_Excel!W13</f>
        <v>#N/A</v>
      </c>
    </row>
    <row r="14" spans="1:40" ht="16.2" customHeight="1">
      <c r="A14" s="160" t="e">
        <f t="array" aca="1" ref="A14" ca="1">IF(OR(COUNTIF(A12,"*10002*"),COUNTIF(A12,"")),"",INDEX(貼り付け用!$A1:$A200,MATCH(A12,貼り付け用!$A1:$A200,0)+2,0))</f>
        <v>#N/A</v>
      </c>
      <c r="B14" s="148" t="str">
        <f ca="1">IFERROR(VALUE(IF(VLOOKUP($A14,数出表_Excel!$A$6:$T$150,COLUMN()/2+1,FALSE)=0,"",VLOOKUP($A14,数出表_Excel!$A$6:$T$150,COLUMN()/2+1,FALSE))),"")</f>
        <v/>
      </c>
      <c r="C14" s="113"/>
      <c r="D14" s="148" t="str">
        <f ca="1">IFERROR(VALUE(IF(VLOOKUP($A14,数出表_Excel!$A$6:$T$150,COLUMN()/2+1,FALSE)=0,"",VLOOKUP($A14,数出表_Excel!$A$6:$T$150,COLUMN()/2+1,FALSE))),"")</f>
        <v/>
      </c>
      <c r="E14" s="113"/>
      <c r="F14" s="150" t="str">
        <f ca="1">IFERROR(VALUE(IF(VLOOKUP($A14,数出表_Excel!$A$6:$T$150,COLUMN()/2+1,FALSE)=0,"",VLOOKUP($A14,数出表_Excel!$A$6:$T$150,COLUMN()/2+1,FALSE))),"")</f>
        <v/>
      </c>
      <c r="G14" s="113"/>
      <c r="H14" s="148" t="str">
        <f ca="1">IFERROR(VALUE(IF(VLOOKUP($A14,数出表_Excel!$A$6:$T$150,COLUMN()/2+1,FALSE)=0,"",VLOOKUP($A14,数出表_Excel!$A$6:$T$150,COLUMN()/2+1,FALSE))),"")</f>
        <v/>
      </c>
      <c r="I14" s="113"/>
      <c r="J14" s="148" t="str">
        <f ca="1">IFERROR(VALUE(IF(VLOOKUP($A14,数出表_Excel!$A$6:$T$150,COLUMN()/2+1,FALSE)=0,"",VLOOKUP($A14,数出表_Excel!$A$6:$T$150,COLUMN()/2+1,FALSE))),"")</f>
        <v/>
      </c>
      <c r="K14" s="113"/>
      <c r="L14" s="150" t="str">
        <f ca="1">IFERROR(VALUE(IF(VLOOKUP($A14,数出表_Excel!$A$6:$T$150,COLUMN()/2+1,FALSE)=0,"",VLOOKUP($A14,数出表_Excel!$A$6:$T$150,COLUMN()/2+1,FALSE))),"")</f>
        <v/>
      </c>
      <c r="M14" s="113"/>
      <c r="N14" s="148" t="str">
        <f ca="1">IFERROR(VALUE(IF(VLOOKUP($A14,数出表_Excel!$A$6:$T$150,COLUMN()/2+1,FALSE)=0,"",VLOOKUP($A14,数出表_Excel!$A$6:$T$150,COLUMN()/2+1,FALSE))),"")</f>
        <v/>
      </c>
      <c r="O14" s="113"/>
      <c r="P14" s="148" t="str">
        <f ca="1">IFERROR(VALUE(IF(VLOOKUP($A14,数出表_Excel!$A$6:$T$150,COLUMN()/2+1,FALSE)=0,"",VLOOKUP($A14,数出表_Excel!$A$6:$T$150,COLUMN()/2+1,FALSE))),"")</f>
        <v/>
      </c>
      <c r="Q14" s="113"/>
      <c r="R14" s="148" t="str">
        <f ca="1">IFERROR(VALUE(IF(VLOOKUP($A14,数出表_Excel!$A$6:$T$150,COLUMN()/2+1,FALSE)=0,"",VLOOKUP($A14,数出表_Excel!$A$6:$T$150,COLUMN()/2+1,FALSE))),"")</f>
        <v/>
      </c>
      <c r="S14" s="113"/>
      <c r="T14" s="148" t="str">
        <f ca="1">IFERROR(VALUE(IF(VLOOKUP($A14,数出表_Excel!$A$6:$T$150,COLUMN()/2+1,FALSE)=0,"",VLOOKUP($A14,数出表_Excel!$A$6:$T$150,COLUMN()/2+1,FALSE))),"")</f>
        <v/>
      </c>
      <c r="U14" s="113"/>
      <c r="V14" s="150" t="str">
        <f ca="1">IFERROR(VALUE(IF(VLOOKUP($A14,数出表_Excel!$A$6:$T$150,COLUMN()/2+1,FALSE)=0,"",VLOOKUP($A14,数出表_Excel!$A$6:$T$150,COLUMN()/2+1,FALSE))),"")</f>
        <v/>
      </c>
      <c r="W14" s="113"/>
      <c r="X14" s="150" t="str">
        <f ca="1">IFERROR(VALUE(IF(VLOOKUP($A14,数出表_Excel!$A$6:$T$150,COLUMN()/2+1,FALSE)=0,"",VLOOKUP($A14,数出表_Excel!$A$6:$T$150,COLUMN()/2+1,FALSE))),"")</f>
        <v/>
      </c>
      <c r="Y14" s="113"/>
      <c r="Z14" s="150" t="str">
        <f ca="1">IFERROR(VALUE(IF(VLOOKUP($A14,数出表_Excel!$A$6:$T$150,COLUMN()/2+1,FALSE)=0,"",VLOOKUP($A14,数出表_Excel!$A$6:$T$150,COLUMN()/2+1,FALSE))),"")</f>
        <v/>
      </c>
      <c r="AA14" s="151"/>
      <c r="AB14" s="149" t="str">
        <f ca="1">IFERROR(VALUE(IF(VLOOKUP($A14,数出表_Excel!$A$6:$T$150,COLUMN()/2+1,FALSE)=0,"",VLOOKUP($A14,数出表_Excel!$A$6:$T$150,COLUMN()/2+1,FALSE))),"")</f>
        <v/>
      </c>
      <c r="AC14" s="113"/>
      <c r="AD14" s="150" t="str">
        <f ca="1">IFERROR(VALUE(IF(VLOOKUP($A14,数出表_Excel!$A$6:$T$150,COLUMN()/2+1,FALSE)=0,"",VLOOKUP($A14,数出表_Excel!$A$6:$T$150,COLUMN()/2+1,FALSE))),"")</f>
        <v/>
      </c>
      <c r="AE14" s="113"/>
      <c r="AF14" s="150" t="str">
        <f ca="1">IFERROR(VALUE(IF(VLOOKUP($A14,数出表_Excel!$A$6:$T$150,COLUMN()/2+1,FALSE)=0,"",VLOOKUP($A14,数出表_Excel!$A$6:$T$150,COLUMN()/2+1,FALSE))),"")</f>
        <v/>
      </c>
      <c r="AG14" s="113"/>
      <c r="AH14" s="150" t="str">
        <f ca="1">IFERROR(VALUE(IF(VLOOKUP($A14,数出表_Excel!$A$6:$T$150,COLUMN()/2+1,FALSE)=0,"",VLOOKUP($A14,数出表_Excel!$A$6:$T$150,COLUMN()/2+1,FALSE))),"")</f>
        <v/>
      </c>
      <c r="AI14" s="151"/>
      <c r="AJ14" s="149" t="str">
        <f ca="1">IFERROR(VALUE(IF(VLOOKUP($A14,数出表_Excel!$A$6:$T$150,COLUMN()/2+1,FALSE)=0,"",VLOOKUP($A14,数出表_Excel!$A$6:$T$150,COLUMN()/2+1,FALSE))),"")</f>
        <v/>
      </c>
      <c r="AK14" s="113"/>
      <c r="AL14" s="117" t="e">
        <f ca="1">IF(A14&lt;&gt;"",
IF(VLOOKUP($A14,数出表_Excel!$A$6:$T$150,COLUMN()/2+1,FALSE)=0,"",VLOOKUP($A14,数出表_Excel!$A$6:$T$150,COLUMN()/2+1,FALSE)),"")</f>
        <v>#N/A</v>
      </c>
      <c r="AM14" s="198" t="e">
        <f ca="1">数出表_Excel!V14</f>
        <v>#N/A</v>
      </c>
      <c r="AN14" s="199" t="e">
        <f ca="1">数出表_Excel!W14</f>
        <v>#N/A</v>
      </c>
    </row>
    <row r="15" spans="1:40" ht="16.2" customHeight="1">
      <c r="A15" s="161" t="e">
        <f t="array" aca="1" ref="A15" ca="1">IF(OR(COUNTIF(A13,"*1000*"),COUNTIF(A13,"")),"",INDEX(貼り付け用!$A1:$A200,MATCH(A13,貼り付け用!$A1:$A200,0)+2,0))</f>
        <v>#N/A</v>
      </c>
      <c r="B15" s="114" t="str">
        <f ca="1">IFERROR(VALUE(IF(VLOOKUP($A15,数出表_Excel!$A$6:$T$150,COLUMN()/2+1,FALSE)=0,"",VLOOKUP($A15,数出表_Excel!$A$6:$T$150,COLUMN()/2+1,FALSE))),"")</f>
        <v/>
      </c>
      <c r="C15" s="114"/>
      <c r="D15" s="114" t="str">
        <f ca="1">IFERROR(VALUE(IF(VLOOKUP($A15,数出表_Excel!$A$6:$T$150,COLUMN()/2+1,FALSE)=0,"",VLOOKUP($A15,数出表_Excel!$A$6:$T$150,COLUMN()/2+1,FALSE))),"")</f>
        <v/>
      </c>
      <c r="E15" s="114"/>
      <c r="F15" s="118" t="str">
        <f ca="1">IFERROR(VALUE(IF(VLOOKUP($A15,数出表_Excel!$A$6:$T$150,COLUMN()/2+1,FALSE)=0,"",VLOOKUP($A15,数出表_Excel!$A$6:$T$150,COLUMN()/2+1,FALSE))),"")</f>
        <v/>
      </c>
      <c r="G15" s="114"/>
      <c r="H15" s="114" t="str">
        <f ca="1">IFERROR(VALUE(IF(VLOOKUP($A15,数出表_Excel!$A$6:$T$150,COLUMN()/2+1,FALSE)=0,"",VLOOKUP($A15,数出表_Excel!$A$6:$T$150,COLUMN()/2+1,FALSE))),"")</f>
        <v/>
      </c>
      <c r="I15" s="114"/>
      <c r="J15" s="114" t="str">
        <f ca="1">IFERROR(VALUE(IF(VLOOKUP($A15,数出表_Excel!$A$6:$T$150,COLUMN()/2+1,FALSE)=0,"",VLOOKUP($A15,数出表_Excel!$A$6:$T$150,COLUMN()/2+1,FALSE))),"")</f>
        <v/>
      </c>
      <c r="K15" s="114"/>
      <c r="L15" s="118" t="str">
        <f ca="1">IFERROR(VALUE(IF(VLOOKUP($A15,数出表_Excel!$A$6:$T$150,COLUMN()/2+1,FALSE)=0,"",VLOOKUP($A15,数出表_Excel!$A$6:$T$150,COLUMN()/2+1,FALSE))),"")</f>
        <v/>
      </c>
      <c r="M15" s="114"/>
      <c r="N15" s="114" t="str">
        <f ca="1">IFERROR(VALUE(IF(VLOOKUP($A15,数出表_Excel!$A$6:$T$150,COLUMN()/2+1,FALSE)=0,"",VLOOKUP($A15,数出表_Excel!$A$6:$T$150,COLUMN()/2+1,FALSE))),"")</f>
        <v/>
      </c>
      <c r="O15" s="114"/>
      <c r="P15" s="114" t="str">
        <f ca="1">IFERROR(VALUE(IF(VLOOKUP($A15,数出表_Excel!$A$6:$T$150,COLUMN()/2+1,FALSE)=0,"",VLOOKUP($A15,数出表_Excel!$A$6:$T$150,COLUMN()/2+1,FALSE))),"")</f>
        <v/>
      </c>
      <c r="Q15" s="114"/>
      <c r="R15" s="114" t="str">
        <f ca="1">IFERROR(VALUE(IF(VLOOKUP($A15,数出表_Excel!$A$6:$T$150,COLUMN()/2+1,FALSE)=0,"",VLOOKUP($A15,数出表_Excel!$A$6:$T$150,COLUMN()/2+1,FALSE))),"")</f>
        <v/>
      </c>
      <c r="S15" s="114"/>
      <c r="T15" s="114" t="str">
        <f ca="1">IFERROR(VALUE(IF(VLOOKUP($A15,数出表_Excel!$A$6:$T$150,COLUMN()/2+1,FALSE)=0,"",VLOOKUP($A15,数出表_Excel!$A$6:$T$150,COLUMN()/2+1,FALSE))),"")</f>
        <v/>
      </c>
      <c r="U15" s="114"/>
      <c r="V15" s="118" t="str">
        <f ca="1">IFERROR(VALUE(IF(VLOOKUP($A15,数出表_Excel!$A$6:$T$150,COLUMN()/2+1,FALSE)=0,"",VLOOKUP($A15,数出表_Excel!$A$6:$T$150,COLUMN()/2+1,FALSE))),"")</f>
        <v/>
      </c>
      <c r="W15" s="114"/>
      <c r="X15" s="118" t="str">
        <f ca="1">IFERROR(VALUE(IF(VLOOKUP($A15,数出表_Excel!$A$6:$T$150,COLUMN()/2+1,FALSE)=0,"",VLOOKUP($A15,数出表_Excel!$A$6:$T$150,COLUMN()/2+1,FALSE))),"")</f>
        <v/>
      </c>
      <c r="Y15" s="114"/>
      <c r="Z15" s="118" t="str">
        <f ca="1">IFERROR(VALUE(IF(VLOOKUP($A15,数出表_Excel!$A$6:$T$150,COLUMN()/2+1,FALSE)=0,"",VLOOKUP($A15,数出表_Excel!$A$6:$T$150,COLUMN()/2+1,FALSE))),"")</f>
        <v/>
      </c>
      <c r="AA15" s="152"/>
      <c r="AB15" s="119" t="str">
        <f ca="1">IFERROR(VALUE(IF(VLOOKUP($A15,数出表_Excel!$A$6:$T$150,COLUMN()/2+1,FALSE)=0,"",VLOOKUP($A15,数出表_Excel!$A$6:$T$150,COLUMN()/2+1,FALSE))),"")</f>
        <v/>
      </c>
      <c r="AC15" s="114"/>
      <c r="AD15" s="118" t="str">
        <f ca="1">IFERROR(VALUE(IF(VLOOKUP($A15,数出表_Excel!$A$6:$T$150,COLUMN()/2+1,FALSE)=0,"",VLOOKUP($A15,数出表_Excel!$A$6:$T$150,COLUMN()/2+1,FALSE))),"")</f>
        <v/>
      </c>
      <c r="AE15" s="114"/>
      <c r="AF15" s="118" t="str">
        <f ca="1">IFERROR(VALUE(IF(VLOOKUP($A15,数出表_Excel!$A$6:$T$150,COLUMN()/2+1,FALSE)=0,"",VLOOKUP($A15,数出表_Excel!$A$6:$T$150,COLUMN()/2+1,FALSE))),"")</f>
        <v/>
      </c>
      <c r="AG15" s="114"/>
      <c r="AH15" s="118" t="str">
        <f ca="1">IFERROR(VALUE(IF(VLOOKUP($A15,数出表_Excel!$A$6:$T$150,COLUMN()/2+1,FALSE)=0,"",VLOOKUP($A15,数出表_Excel!$A$6:$T$150,COLUMN()/2+1,FALSE))),"")</f>
        <v/>
      </c>
      <c r="AI15" s="152"/>
      <c r="AJ15" s="119" t="str">
        <f ca="1">IFERROR(VALUE(IF(VLOOKUP($A15,数出表_Excel!$A$6:$T$150,COLUMN()/2+1,FALSE)=0,"",VLOOKUP($A15,数出表_Excel!$A$6:$T$150,COLUMN()/2+1,FALSE))),"")</f>
        <v/>
      </c>
      <c r="AK15" s="114"/>
      <c r="AL15" s="120" t="e">
        <f ca="1">IF(A15&lt;&gt;"",
IF(VLOOKUP($A15,数出表_Excel!$A$6:$T$150,COLUMN()/2+1,FALSE)=0,"",VLOOKUP($A15,数出表_Excel!$A$6:$T$150,COLUMN()/2+1,FALSE)),"")</f>
        <v>#N/A</v>
      </c>
      <c r="AM15" s="200" t="e">
        <f ca="1">数出表_Excel!V15</f>
        <v>#N/A</v>
      </c>
      <c r="AN15" s="201" t="e">
        <f ca="1">数出表_Excel!W15</f>
        <v>#N/A</v>
      </c>
    </row>
    <row r="16" spans="1:40" ht="16.2" customHeight="1">
      <c r="A16" s="160" t="e">
        <f t="array" aca="1" ref="A16" ca="1">IF(OR(COUNTIF(A14,"*10002*"),COUNTIF(A14,"")),"",INDEX(貼り付け用!$A1:$A200,MATCH(A14,貼り付け用!$A1:$A200,0)+2,0))</f>
        <v>#N/A</v>
      </c>
      <c r="B16" s="148" t="str">
        <f ca="1">IFERROR(VALUE(IF(VLOOKUP($A16,数出表_Excel!$A$6:$T$150,COLUMN()/2+1,FALSE)=0,"",VLOOKUP($A16,数出表_Excel!$A$6:$T$150,COLUMN()/2+1,FALSE))),"")</f>
        <v/>
      </c>
      <c r="C16" s="113"/>
      <c r="D16" s="148" t="str">
        <f ca="1">IFERROR(VALUE(IF(VLOOKUP($A16,数出表_Excel!$A$6:$T$150,COLUMN()/2+1,FALSE)=0,"",VLOOKUP($A16,数出表_Excel!$A$6:$T$150,COLUMN()/2+1,FALSE))),"")</f>
        <v/>
      </c>
      <c r="E16" s="113"/>
      <c r="F16" s="150" t="str">
        <f ca="1">IFERROR(VALUE(IF(VLOOKUP($A16,数出表_Excel!$A$6:$T$150,COLUMN()/2+1,FALSE)=0,"",VLOOKUP($A16,数出表_Excel!$A$6:$T$150,COLUMN()/2+1,FALSE))),"")</f>
        <v/>
      </c>
      <c r="G16" s="113"/>
      <c r="H16" s="148" t="str">
        <f ca="1">IFERROR(VALUE(IF(VLOOKUP($A16,数出表_Excel!$A$6:$T$150,COLUMN()/2+1,FALSE)=0,"",VLOOKUP($A16,数出表_Excel!$A$6:$T$150,COLUMN()/2+1,FALSE))),"")</f>
        <v/>
      </c>
      <c r="I16" s="113"/>
      <c r="J16" s="148" t="str">
        <f ca="1">IFERROR(VALUE(IF(VLOOKUP($A16,数出表_Excel!$A$6:$T$150,COLUMN()/2+1,FALSE)=0,"",VLOOKUP($A16,数出表_Excel!$A$6:$T$150,COLUMN()/2+1,FALSE))),"")</f>
        <v/>
      </c>
      <c r="K16" s="113"/>
      <c r="L16" s="150" t="str">
        <f ca="1">IFERROR(VALUE(IF(VLOOKUP($A16,数出表_Excel!$A$6:$T$150,COLUMN()/2+1,FALSE)=0,"",VLOOKUP($A16,数出表_Excel!$A$6:$T$150,COLUMN()/2+1,FALSE))),"")</f>
        <v/>
      </c>
      <c r="M16" s="113"/>
      <c r="N16" s="148" t="str">
        <f ca="1">IFERROR(VALUE(IF(VLOOKUP($A16,数出表_Excel!$A$6:$T$150,COLUMN()/2+1,FALSE)=0,"",VLOOKUP($A16,数出表_Excel!$A$6:$T$150,COLUMN()/2+1,FALSE))),"")</f>
        <v/>
      </c>
      <c r="O16" s="113"/>
      <c r="P16" s="148" t="str">
        <f ca="1">IFERROR(VALUE(IF(VLOOKUP($A16,数出表_Excel!$A$6:$T$150,COLUMN()/2+1,FALSE)=0,"",VLOOKUP($A16,数出表_Excel!$A$6:$T$150,COLUMN()/2+1,FALSE))),"")</f>
        <v/>
      </c>
      <c r="Q16" s="113"/>
      <c r="R16" s="148" t="str">
        <f ca="1">IFERROR(VALUE(IF(VLOOKUP($A16,数出表_Excel!$A$6:$T$150,COLUMN()/2+1,FALSE)=0,"",VLOOKUP($A16,数出表_Excel!$A$6:$T$150,COLUMN()/2+1,FALSE))),"")</f>
        <v/>
      </c>
      <c r="S16" s="113"/>
      <c r="T16" s="148" t="str">
        <f ca="1">IFERROR(VALUE(IF(VLOOKUP($A16,数出表_Excel!$A$6:$T$150,COLUMN()/2+1,FALSE)=0,"",VLOOKUP($A16,数出表_Excel!$A$6:$T$150,COLUMN()/2+1,FALSE))),"")</f>
        <v/>
      </c>
      <c r="U16" s="113"/>
      <c r="V16" s="150" t="str">
        <f ca="1">IFERROR(VALUE(IF(VLOOKUP($A16,数出表_Excel!$A$6:$T$150,COLUMN()/2+1,FALSE)=0,"",VLOOKUP($A16,数出表_Excel!$A$6:$T$150,COLUMN()/2+1,FALSE))),"")</f>
        <v/>
      </c>
      <c r="W16" s="113"/>
      <c r="X16" s="150" t="str">
        <f ca="1">IFERROR(VALUE(IF(VLOOKUP($A16,数出表_Excel!$A$6:$T$150,COLUMN()/2+1,FALSE)=0,"",VLOOKUP($A16,数出表_Excel!$A$6:$T$150,COLUMN()/2+1,FALSE))),"")</f>
        <v/>
      </c>
      <c r="Y16" s="113"/>
      <c r="Z16" s="150" t="str">
        <f ca="1">IFERROR(VALUE(IF(VLOOKUP($A16,数出表_Excel!$A$6:$T$150,COLUMN()/2+1,FALSE)=0,"",VLOOKUP($A16,数出表_Excel!$A$6:$T$150,COLUMN()/2+1,FALSE))),"")</f>
        <v/>
      </c>
      <c r="AA16" s="151"/>
      <c r="AB16" s="149" t="str">
        <f ca="1">IFERROR(VALUE(IF(VLOOKUP($A16,数出表_Excel!$A$6:$T$150,COLUMN()/2+1,FALSE)=0,"",VLOOKUP($A16,数出表_Excel!$A$6:$T$150,COLUMN()/2+1,FALSE))),"")</f>
        <v/>
      </c>
      <c r="AC16" s="113"/>
      <c r="AD16" s="150" t="str">
        <f ca="1">IFERROR(VALUE(IF(VLOOKUP($A16,数出表_Excel!$A$6:$T$150,COLUMN()/2+1,FALSE)=0,"",VLOOKUP($A16,数出表_Excel!$A$6:$T$150,COLUMN()/2+1,FALSE))),"")</f>
        <v/>
      </c>
      <c r="AE16" s="113"/>
      <c r="AF16" s="150" t="str">
        <f ca="1">IFERROR(VALUE(IF(VLOOKUP($A16,数出表_Excel!$A$6:$T$150,COLUMN()/2+1,FALSE)=0,"",VLOOKUP($A16,数出表_Excel!$A$6:$T$150,COLUMN()/2+1,FALSE))),"")</f>
        <v/>
      </c>
      <c r="AG16" s="113"/>
      <c r="AH16" s="150" t="str">
        <f ca="1">IFERROR(VALUE(IF(VLOOKUP($A16,数出表_Excel!$A$6:$T$150,COLUMN()/2+1,FALSE)=0,"",VLOOKUP($A16,数出表_Excel!$A$6:$T$150,COLUMN()/2+1,FALSE))),"")</f>
        <v/>
      </c>
      <c r="AI16" s="151"/>
      <c r="AJ16" s="149" t="str">
        <f ca="1">IFERROR(VALUE(IF(VLOOKUP($A16,数出表_Excel!$A$6:$T$150,COLUMN()/2+1,FALSE)=0,"",VLOOKUP($A16,数出表_Excel!$A$6:$T$150,COLUMN()/2+1,FALSE))),"")</f>
        <v/>
      </c>
      <c r="AK16" s="113"/>
      <c r="AL16" s="117" t="e">
        <f ca="1">IF(A16&lt;&gt;"",
IF(VLOOKUP($A16,数出表_Excel!$A$6:$T$150,COLUMN()/2+1,FALSE)=0,"",VLOOKUP($A16,数出表_Excel!$A$6:$T$150,COLUMN()/2+1,FALSE)),"")</f>
        <v>#N/A</v>
      </c>
      <c r="AM16" s="198" t="e">
        <f ca="1">数出表_Excel!V16</f>
        <v>#N/A</v>
      </c>
      <c r="AN16" s="199" t="e">
        <f ca="1">数出表_Excel!W16</f>
        <v>#N/A</v>
      </c>
    </row>
    <row r="17" spans="1:40" ht="16.2" customHeight="1">
      <c r="A17" s="161" t="e">
        <f t="array" aca="1" ref="A17" ca="1">IF(OR(COUNTIF(A15,"*1000*"),COUNTIF(A15,"")),"",INDEX(貼り付け用!$A1:$A200,MATCH(A15,貼り付け用!$A1:$A200,0)+2,0))</f>
        <v>#N/A</v>
      </c>
      <c r="B17" s="114" t="str">
        <f ca="1">IFERROR(VALUE(IF(VLOOKUP($A17,数出表_Excel!$A$6:$T$150,COLUMN()/2+1,FALSE)=0,"",VLOOKUP($A17,数出表_Excel!$A$6:$T$150,COLUMN()/2+1,FALSE))),"")</f>
        <v/>
      </c>
      <c r="C17" s="114"/>
      <c r="D17" s="114" t="str">
        <f ca="1">IFERROR(VALUE(IF(VLOOKUP($A17,数出表_Excel!$A$6:$T$150,COLUMN()/2+1,FALSE)=0,"",VLOOKUP($A17,数出表_Excel!$A$6:$T$150,COLUMN()/2+1,FALSE))),"")</f>
        <v/>
      </c>
      <c r="E17" s="114"/>
      <c r="F17" s="118" t="str">
        <f ca="1">IFERROR(VALUE(IF(VLOOKUP($A17,数出表_Excel!$A$6:$T$150,COLUMN()/2+1,FALSE)=0,"",VLOOKUP($A17,数出表_Excel!$A$6:$T$150,COLUMN()/2+1,FALSE))),"")</f>
        <v/>
      </c>
      <c r="G17" s="114"/>
      <c r="H17" s="114" t="str">
        <f ca="1">IFERROR(VALUE(IF(VLOOKUP($A17,数出表_Excel!$A$6:$T$150,COLUMN()/2+1,FALSE)=0,"",VLOOKUP($A17,数出表_Excel!$A$6:$T$150,COLUMN()/2+1,FALSE))),"")</f>
        <v/>
      </c>
      <c r="I17" s="114"/>
      <c r="J17" s="114" t="str">
        <f ca="1">IFERROR(VALUE(IF(VLOOKUP($A17,数出表_Excel!$A$6:$T$150,COLUMN()/2+1,FALSE)=0,"",VLOOKUP($A17,数出表_Excel!$A$6:$T$150,COLUMN()/2+1,FALSE))),"")</f>
        <v/>
      </c>
      <c r="K17" s="114"/>
      <c r="L17" s="118" t="str">
        <f ca="1">IFERROR(VALUE(IF(VLOOKUP($A17,数出表_Excel!$A$6:$T$150,COLUMN()/2+1,FALSE)=0,"",VLOOKUP($A17,数出表_Excel!$A$6:$T$150,COLUMN()/2+1,FALSE))),"")</f>
        <v/>
      </c>
      <c r="M17" s="114"/>
      <c r="N17" s="114" t="str">
        <f ca="1">IFERROR(VALUE(IF(VLOOKUP($A17,数出表_Excel!$A$6:$T$150,COLUMN()/2+1,FALSE)=0,"",VLOOKUP($A17,数出表_Excel!$A$6:$T$150,COLUMN()/2+1,FALSE))),"")</f>
        <v/>
      </c>
      <c r="O17" s="114"/>
      <c r="P17" s="114" t="str">
        <f ca="1">IFERROR(VALUE(IF(VLOOKUP($A17,数出表_Excel!$A$6:$T$150,COLUMN()/2+1,FALSE)=0,"",VLOOKUP($A17,数出表_Excel!$A$6:$T$150,COLUMN()/2+1,FALSE))),"")</f>
        <v/>
      </c>
      <c r="Q17" s="114"/>
      <c r="R17" s="114" t="str">
        <f ca="1">IFERROR(VALUE(IF(VLOOKUP($A17,数出表_Excel!$A$6:$T$150,COLUMN()/2+1,FALSE)=0,"",VLOOKUP($A17,数出表_Excel!$A$6:$T$150,COLUMN()/2+1,FALSE))),"")</f>
        <v/>
      </c>
      <c r="S17" s="114"/>
      <c r="T17" s="114" t="str">
        <f ca="1">IFERROR(VALUE(IF(VLOOKUP($A17,数出表_Excel!$A$6:$T$150,COLUMN()/2+1,FALSE)=0,"",VLOOKUP($A17,数出表_Excel!$A$6:$T$150,COLUMN()/2+1,FALSE))),"")</f>
        <v/>
      </c>
      <c r="U17" s="114"/>
      <c r="V17" s="118" t="str">
        <f ca="1">IFERROR(VALUE(IF(VLOOKUP($A17,数出表_Excel!$A$6:$T$150,COLUMN()/2+1,FALSE)=0,"",VLOOKUP($A17,数出表_Excel!$A$6:$T$150,COLUMN()/2+1,FALSE))),"")</f>
        <v/>
      </c>
      <c r="W17" s="114"/>
      <c r="X17" s="118" t="str">
        <f ca="1">IFERROR(VALUE(IF(VLOOKUP($A17,数出表_Excel!$A$6:$T$150,COLUMN()/2+1,FALSE)=0,"",VLOOKUP($A17,数出表_Excel!$A$6:$T$150,COLUMN()/2+1,FALSE))),"")</f>
        <v/>
      </c>
      <c r="Y17" s="114"/>
      <c r="Z17" s="118" t="str">
        <f ca="1">IFERROR(VALUE(IF(VLOOKUP($A17,数出表_Excel!$A$6:$T$150,COLUMN()/2+1,FALSE)=0,"",VLOOKUP($A17,数出表_Excel!$A$6:$T$150,COLUMN()/2+1,FALSE))),"")</f>
        <v/>
      </c>
      <c r="AA17" s="152"/>
      <c r="AB17" s="119" t="str">
        <f ca="1">IFERROR(VALUE(IF(VLOOKUP($A17,数出表_Excel!$A$6:$T$150,COLUMN()/2+1,FALSE)=0,"",VLOOKUP($A17,数出表_Excel!$A$6:$T$150,COLUMN()/2+1,FALSE))),"")</f>
        <v/>
      </c>
      <c r="AC17" s="114"/>
      <c r="AD17" s="118" t="str">
        <f ca="1">IFERROR(VALUE(IF(VLOOKUP($A17,数出表_Excel!$A$6:$T$150,COLUMN()/2+1,FALSE)=0,"",VLOOKUP($A17,数出表_Excel!$A$6:$T$150,COLUMN()/2+1,FALSE))),"")</f>
        <v/>
      </c>
      <c r="AE17" s="114"/>
      <c r="AF17" s="118" t="str">
        <f ca="1">IFERROR(VALUE(IF(VLOOKUP($A17,数出表_Excel!$A$6:$T$150,COLUMN()/2+1,FALSE)=0,"",VLOOKUP($A17,数出表_Excel!$A$6:$T$150,COLUMN()/2+1,FALSE))),"")</f>
        <v/>
      </c>
      <c r="AG17" s="114"/>
      <c r="AH17" s="118" t="str">
        <f ca="1">IFERROR(VALUE(IF(VLOOKUP($A17,数出表_Excel!$A$6:$T$150,COLUMN()/2+1,FALSE)=0,"",VLOOKUP($A17,数出表_Excel!$A$6:$T$150,COLUMN()/2+1,FALSE))),"")</f>
        <v/>
      </c>
      <c r="AI17" s="152"/>
      <c r="AJ17" s="119" t="str">
        <f ca="1">IFERROR(VALUE(IF(VLOOKUP($A17,数出表_Excel!$A$6:$T$150,COLUMN()/2+1,FALSE)=0,"",VLOOKUP($A17,数出表_Excel!$A$6:$T$150,COLUMN()/2+1,FALSE))),"")</f>
        <v/>
      </c>
      <c r="AK17" s="114"/>
      <c r="AL17" s="120" t="e">
        <f ca="1">IF(A17&lt;&gt;"",
IF(VLOOKUP($A17,数出表_Excel!$A$6:$T$150,COLUMN()/2+1,FALSE)=0,"",VLOOKUP($A17,数出表_Excel!$A$6:$T$150,COLUMN()/2+1,FALSE)),"")</f>
        <v>#N/A</v>
      </c>
      <c r="AM17" s="200" t="e">
        <f ca="1">数出表_Excel!V17</f>
        <v>#N/A</v>
      </c>
      <c r="AN17" s="201" t="e">
        <f ca="1">数出表_Excel!W17</f>
        <v>#N/A</v>
      </c>
    </row>
    <row r="18" spans="1:40" ht="16.2" customHeight="1">
      <c r="A18" s="160" t="e">
        <f t="array" aca="1" ref="A18" ca="1">IF(OR(COUNTIF(A16,"*10002*"),COUNTIF(A16,"")),"",INDEX(貼り付け用!$A1:$A200,MATCH(A16,貼り付け用!$A1:$A200,0)+2,0))</f>
        <v>#N/A</v>
      </c>
      <c r="B18" s="148" t="str">
        <f ca="1">IFERROR(VALUE(IF(VLOOKUP($A18,数出表_Excel!$A$6:$T$150,COLUMN()/2+1,FALSE)=0,"",VLOOKUP($A18,数出表_Excel!$A$6:$T$150,COLUMN()/2+1,FALSE))),"")</f>
        <v/>
      </c>
      <c r="C18" s="113"/>
      <c r="D18" s="148" t="str">
        <f ca="1">IFERROR(VALUE(IF(VLOOKUP($A18,数出表_Excel!$A$6:$T$150,COLUMN()/2+1,FALSE)=0,"",VLOOKUP($A18,数出表_Excel!$A$6:$T$150,COLUMN()/2+1,FALSE))),"")</f>
        <v/>
      </c>
      <c r="E18" s="113"/>
      <c r="F18" s="150" t="str">
        <f ca="1">IFERROR(VALUE(IF(VLOOKUP($A18,数出表_Excel!$A$6:$T$150,COLUMN()/2+1,FALSE)=0,"",VLOOKUP($A18,数出表_Excel!$A$6:$T$150,COLUMN()/2+1,FALSE))),"")</f>
        <v/>
      </c>
      <c r="G18" s="113"/>
      <c r="H18" s="148" t="str">
        <f ca="1">IFERROR(VALUE(IF(VLOOKUP($A18,数出表_Excel!$A$6:$T$150,COLUMN()/2+1,FALSE)=0,"",VLOOKUP($A18,数出表_Excel!$A$6:$T$150,COLUMN()/2+1,FALSE))),"")</f>
        <v/>
      </c>
      <c r="I18" s="113"/>
      <c r="J18" s="148" t="str">
        <f ca="1">IFERROR(VALUE(IF(VLOOKUP($A18,数出表_Excel!$A$6:$T$150,COLUMN()/2+1,FALSE)=0,"",VLOOKUP($A18,数出表_Excel!$A$6:$T$150,COLUMN()/2+1,FALSE))),"")</f>
        <v/>
      </c>
      <c r="K18" s="113"/>
      <c r="L18" s="150" t="str">
        <f ca="1">IFERROR(VALUE(IF(VLOOKUP($A18,数出表_Excel!$A$6:$T$150,COLUMN()/2+1,FALSE)=0,"",VLOOKUP($A18,数出表_Excel!$A$6:$T$150,COLUMN()/2+1,FALSE))),"")</f>
        <v/>
      </c>
      <c r="M18" s="113"/>
      <c r="N18" s="148" t="str">
        <f ca="1">IFERROR(VALUE(IF(VLOOKUP($A18,数出表_Excel!$A$6:$T$150,COLUMN()/2+1,FALSE)=0,"",VLOOKUP($A18,数出表_Excel!$A$6:$T$150,COLUMN()/2+1,FALSE))),"")</f>
        <v/>
      </c>
      <c r="O18" s="113"/>
      <c r="P18" s="148" t="str">
        <f ca="1">IFERROR(VALUE(IF(VLOOKUP($A18,数出表_Excel!$A$6:$T$150,COLUMN()/2+1,FALSE)=0,"",VLOOKUP($A18,数出表_Excel!$A$6:$T$150,COLUMN()/2+1,FALSE))),"")</f>
        <v/>
      </c>
      <c r="Q18" s="113"/>
      <c r="R18" s="148" t="str">
        <f ca="1">IFERROR(VALUE(IF(VLOOKUP($A18,数出表_Excel!$A$6:$T$150,COLUMN()/2+1,FALSE)=0,"",VLOOKUP($A18,数出表_Excel!$A$6:$T$150,COLUMN()/2+1,FALSE))),"")</f>
        <v/>
      </c>
      <c r="S18" s="113"/>
      <c r="T18" s="148" t="str">
        <f ca="1">IFERROR(VALUE(IF(VLOOKUP($A18,数出表_Excel!$A$6:$T$150,COLUMN()/2+1,FALSE)=0,"",VLOOKUP($A18,数出表_Excel!$A$6:$T$150,COLUMN()/2+1,FALSE))),"")</f>
        <v/>
      </c>
      <c r="U18" s="113"/>
      <c r="V18" s="150" t="str">
        <f ca="1">IFERROR(VALUE(IF(VLOOKUP($A18,数出表_Excel!$A$6:$T$150,COLUMN()/2+1,FALSE)=0,"",VLOOKUP($A18,数出表_Excel!$A$6:$T$150,COLUMN()/2+1,FALSE))),"")</f>
        <v/>
      </c>
      <c r="W18" s="113"/>
      <c r="X18" s="150" t="str">
        <f ca="1">IFERROR(VALUE(IF(VLOOKUP($A18,数出表_Excel!$A$6:$T$150,COLUMN()/2+1,FALSE)=0,"",VLOOKUP($A18,数出表_Excel!$A$6:$T$150,COLUMN()/2+1,FALSE))),"")</f>
        <v/>
      </c>
      <c r="Y18" s="113"/>
      <c r="Z18" s="150" t="str">
        <f ca="1">IFERROR(VALUE(IF(VLOOKUP($A18,数出表_Excel!$A$6:$T$150,COLUMN()/2+1,FALSE)=0,"",VLOOKUP($A18,数出表_Excel!$A$6:$T$150,COLUMN()/2+1,FALSE))),"")</f>
        <v/>
      </c>
      <c r="AA18" s="151"/>
      <c r="AB18" s="149" t="str">
        <f ca="1">IFERROR(VALUE(IF(VLOOKUP($A18,数出表_Excel!$A$6:$T$150,COLUMN()/2+1,FALSE)=0,"",VLOOKUP($A18,数出表_Excel!$A$6:$T$150,COLUMN()/2+1,FALSE))),"")</f>
        <v/>
      </c>
      <c r="AC18" s="113"/>
      <c r="AD18" s="150" t="str">
        <f ca="1">IFERROR(VALUE(IF(VLOOKUP($A18,数出表_Excel!$A$6:$T$150,COLUMN()/2+1,FALSE)=0,"",VLOOKUP($A18,数出表_Excel!$A$6:$T$150,COLUMN()/2+1,FALSE))),"")</f>
        <v/>
      </c>
      <c r="AE18" s="113"/>
      <c r="AF18" s="150" t="str">
        <f ca="1">IFERROR(VALUE(IF(VLOOKUP($A18,数出表_Excel!$A$6:$T$150,COLUMN()/2+1,FALSE)=0,"",VLOOKUP($A18,数出表_Excel!$A$6:$T$150,COLUMN()/2+1,FALSE))),"")</f>
        <v/>
      </c>
      <c r="AG18" s="113"/>
      <c r="AH18" s="150" t="str">
        <f ca="1">IFERROR(VALUE(IF(VLOOKUP($A18,数出表_Excel!$A$6:$T$150,COLUMN()/2+1,FALSE)=0,"",VLOOKUP($A18,数出表_Excel!$A$6:$T$150,COLUMN()/2+1,FALSE))),"")</f>
        <v/>
      </c>
      <c r="AI18" s="151"/>
      <c r="AJ18" s="149" t="str">
        <f ca="1">IFERROR(VALUE(IF(VLOOKUP($A18,数出表_Excel!$A$6:$T$150,COLUMN()/2+1,FALSE)=0,"",VLOOKUP($A18,数出表_Excel!$A$6:$T$150,COLUMN()/2+1,FALSE))),"")</f>
        <v/>
      </c>
      <c r="AK18" s="113"/>
      <c r="AL18" s="117" t="e">
        <f ca="1">IF(A18&lt;&gt;"",
IF(VLOOKUP($A18,数出表_Excel!$A$6:$T$150,COLUMN()/2+1,FALSE)=0,"",VLOOKUP($A18,数出表_Excel!$A$6:$T$150,COLUMN()/2+1,FALSE)),"")</f>
        <v>#N/A</v>
      </c>
      <c r="AM18" s="198" t="e">
        <f ca="1">数出表_Excel!V18</f>
        <v>#N/A</v>
      </c>
      <c r="AN18" s="199" t="e">
        <f ca="1">数出表_Excel!W18</f>
        <v>#N/A</v>
      </c>
    </row>
    <row r="19" spans="1:40" ht="16.2" customHeight="1">
      <c r="A19" s="161" t="e">
        <f t="array" aca="1" ref="A19" ca="1">IF(OR(COUNTIF(A17,"*1000*"),COUNTIF(A17,"")),"",INDEX(貼り付け用!$A1:$A200,MATCH(A17,貼り付け用!$A1:$A200,0)+2,0))</f>
        <v>#N/A</v>
      </c>
      <c r="B19" s="114" t="str">
        <f ca="1">IFERROR(VALUE(IF(VLOOKUP($A19,数出表_Excel!$A$6:$T$150,COLUMN()/2+1,FALSE)=0,"",VLOOKUP($A19,数出表_Excel!$A$6:$T$150,COLUMN()/2+1,FALSE))),"")</f>
        <v/>
      </c>
      <c r="C19" s="114"/>
      <c r="D19" s="114" t="str">
        <f ca="1">IFERROR(VALUE(IF(VLOOKUP($A19,数出表_Excel!$A$6:$T$150,COLUMN()/2+1,FALSE)=0,"",VLOOKUP($A19,数出表_Excel!$A$6:$T$150,COLUMN()/2+1,FALSE))),"")</f>
        <v/>
      </c>
      <c r="E19" s="114"/>
      <c r="F19" s="118" t="str">
        <f ca="1">IFERROR(VALUE(IF(VLOOKUP($A19,数出表_Excel!$A$6:$T$150,COLUMN()/2+1,FALSE)=0,"",VLOOKUP($A19,数出表_Excel!$A$6:$T$150,COLUMN()/2+1,FALSE))),"")</f>
        <v/>
      </c>
      <c r="G19" s="114"/>
      <c r="H19" s="114" t="str">
        <f ca="1">IFERROR(VALUE(IF(VLOOKUP($A19,数出表_Excel!$A$6:$T$150,COLUMN()/2+1,FALSE)=0,"",VLOOKUP($A19,数出表_Excel!$A$6:$T$150,COLUMN()/2+1,FALSE))),"")</f>
        <v/>
      </c>
      <c r="I19" s="114"/>
      <c r="J19" s="114" t="str">
        <f ca="1">IFERROR(VALUE(IF(VLOOKUP($A19,数出表_Excel!$A$6:$T$150,COLUMN()/2+1,FALSE)=0,"",VLOOKUP($A19,数出表_Excel!$A$6:$T$150,COLUMN()/2+1,FALSE))),"")</f>
        <v/>
      </c>
      <c r="K19" s="114"/>
      <c r="L19" s="118" t="str">
        <f ca="1">IFERROR(VALUE(IF(VLOOKUP($A19,数出表_Excel!$A$6:$T$150,COLUMN()/2+1,FALSE)=0,"",VLOOKUP($A19,数出表_Excel!$A$6:$T$150,COLUMN()/2+1,FALSE))),"")</f>
        <v/>
      </c>
      <c r="M19" s="114"/>
      <c r="N19" s="114" t="str">
        <f ca="1">IFERROR(VALUE(IF(VLOOKUP($A19,数出表_Excel!$A$6:$T$150,COLUMN()/2+1,FALSE)=0,"",VLOOKUP($A19,数出表_Excel!$A$6:$T$150,COLUMN()/2+1,FALSE))),"")</f>
        <v/>
      </c>
      <c r="O19" s="114"/>
      <c r="P19" s="114" t="str">
        <f ca="1">IFERROR(VALUE(IF(VLOOKUP($A19,数出表_Excel!$A$6:$T$150,COLUMN()/2+1,FALSE)=0,"",VLOOKUP($A19,数出表_Excel!$A$6:$T$150,COLUMN()/2+1,FALSE))),"")</f>
        <v/>
      </c>
      <c r="Q19" s="114"/>
      <c r="R19" s="114" t="str">
        <f ca="1">IFERROR(VALUE(IF(VLOOKUP($A19,数出表_Excel!$A$6:$T$150,COLUMN()/2+1,FALSE)=0,"",VLOOKUP($A19,数出表_Excel!$A$6:$T$150,COLUMN()/2+1,FALSE))),"")</f>
        <v/>
      </c>
      <c r="S19" s="114"/>
      <c r="T19" s="114" t="str">
        <f ca="1">IFERROR(VALUE(IF(VLOOKUP($A19,数出表_Excel!$A$6:$T$150,COLUMN()/2+1,FALSE)=0,"",VLOOKUP($A19,数出表_Excel!$A$6:$T$150,COLUMN()/2+1,FALSE))),"")</f>
        <v/>
      </c>
      <c r="U19" s="114"/>
      <c r="V19" s="118" t="str">
        <f ca="1">IFERROR(VALUE(IF(VLOOKUP($A19,数出表_Excel!$A$6:$T$150,COLUMN()/2+1,FALSE)=0,"",VLOOKUP($A19,数出表_Excel!$A$6:$T$150,COLUMN()/2+1,FALSE))),"")</f>
        <v/>
      </c>
      <c r="W19" s="114"/>
      <c r="X19" s="118" t="str">
        <f ca="1">IFERROR(VALUE(IF(VLOOKUP($A19,数出表_Excel!$A$6:$T$150,COLUMN()/2+1,FALSE)=0,"",VLOOKUP($A19,数出表_Excel!$A$6:$T$150,COLUMN()/2+1,FALSE))),"")</f>
        <v/>
      </c>
      <c r="Y19" s="114"/>
      <c r="Z19" s="118" t="str">
        <f ca="1">IFERROR(VALUE(IF(VLOOKUP($A19,数出表_Excel!$A$6:$T$150,COLUMN()/2+1,FALSE)=0,"",VLOOKUP($A19,数出表_Excel!$A$6:$T$150,COLUMN()/2+1,FALSE))),"")</f>
        <v/>
      </c>
      <c r="AA19" s="152"/>
      <c r="AB19" s="119" t="str">
        <f ca="1">IFERROR(VALUE(IF(VLOOKUP($A19,数出表_Excel!$A$6:$T$150,COLUMN()/2+1,FALSE)=0,"",VLOOKUP($A19,数出表_Excel!$A$6:$T$150,COLUMN()/2+1,FALSE))),"")</f>
        <v/>
      </c>
      <c r="AC19" s="114"/>
      <c r="AD19" s="118" t="str">
        <f ca="1">IFERROR(VALUE(IF(VLOOKUP($A19,数出表_Excel!$A$6:$T$150,COLUMN()/2+1,FALSE)=0,"",VLOOKUP($A19,数出表_Excel!$A$6:$T$150,COLUMN()/2+1,FALSE))),"")</f>
        <v/>
      </c>
      <c r="AE19" s="114"/>
      <c r="AF19" s="118" t="str">
        <f ca="1">IFERROR(VALUE(IF(VLOOKUP($A19,数出表_Excel!$A$6:$T$150,COLUMN()/2+1,FALSE)=0,"",VLOOKUP($A19,数出表_Excel!$A$6:$T$150,COLUMN()/2+1,FALSE))),"")</f>
        <v/>
      </c>
      <c r="AG19" s="114"/>
      <c r="AH19" s="118" t="str">
        <f ca="1">IFERROR(VALUE(IF(VLOOKUP($A19,数出表_Excel!$A$6:$T$150,COLUMN()/2+1,FALSE)=0,"",VLOOKUP($A19,数出表_Excel!$A$6:$T$150,COLUMN()/2+1,FALSE))),"")</f>
        <v/>
      </c>
      <c r="AI19" s="152"/>
      <c r="AJ19" s="119" t="str">
        <f ca="1">IFERROR(VALUE(IF(VLOOKUP($A19,数出表_Excel!$A$6:$T$150,COLUMN()/2+1,FALSE)=0,"",VLOOKUP($A19,数出表_Excel!$A$6:$T$150,COLUMN()/2+1,FALSE))),"")</f>
        <v/>
      </c>
      <c r="AK19" s="114"/>
      <c r="AL19" s="120" t="e">
        <f ca="1">IF(A19&lt;&gt;"",
IF(VLOOKUP($A19,数出表_Excel!$A$6:$T$150,COLUMN()/2+1,FALSE)=0,"",VLOOKUP($A19,数出表_Excel!$A$6:$T$150,COLUMN()/2+1,FALSE)),"")</f>
        <v>#N/A</v>
      </c>
      <c r="AM19" s="200" t="e">
        <f ca="1">数出表_Excel!V19</f>
        <v>#N/A</v>
      </c>
      <c r="AN19" s="201" t="e">
        <f ca="1">数出表_Excel!W19</f>
        <v>#N/A</v>
      </c>
    </row>
    <row r="20" spans="1:40" ht="16.2" customHeight="1">
      <c r="A20" s="160" t="e">
        <f t="array" aca="1" ref="A20" ca="1">IF(OR(COUNTIF(A18,"*10002*"),COUNTIF(A18,"")),"",INDEX(貼り付け用!$A1:$A200,MATCH(A18,貼り付け用!$A1:$A200,0)+2,0))</f>
        <v>#N/A</v>
      </c>
      <c r="B20" s="148" t="str">
        <f ca="1">IFERROR(VALUE(IF(VLOOKUP($A20,数出表_Excel!$A$6:$T$150,COLUMN()/2+1,FALSE)=0,"",VLOOKUP($A20,数出表_Excel!$A$6:$T$150,COLUMN()/2+1,FALSE))),"")</f>
        <v/>
      </c>
      <c r="C20" s="113"/>
      <c r="D20" s="148" t="str">
        <f ca="1">IFERROR(VALUE(IF(VLOOKUP($A20,数出表_Excel!$A$6:$T$150,COLUMN()/2+1,FALSE)=0,"",VLOOKUP($A20,数出表_Excel!$A$6:$T$150,COLUMN()/2+1,FALSE))),"")</f>
        <v/>
      </c>
      <c r="E20" s="113"/>
      <c r="F20" s="150" t="str">
        <f ca="1">IFERROR(VALUE(IF(VLOOKUP($A20,数出表_Excel!$A$6:$T$150,COLUMN()/2+1,FALSE)=0,"",VLOOKUP($A20,数出表_Excel!$A$6:$T$150,COLUMN()/2+1,FALSE))),"")</f>
        <v/>
      </c>
      <c r="G20" s="113"/>
      <c r="H20" s="148" t="str">
        <f ca="1">IFERROR(VALUE(IF(VLOOKUP($A20,数出表_Excel!$A$6:$T$150,COLUMN()/2+1,FALSE)=0,"",VLOOKUP($A20,数出表_Excel!$A$6:$T$150,COLUMN()/2+1,FALSE))),"")</f>
        <v/>
      </c>
      <c r="I20" s="113"/>
      <c r="J20" s="148" t="str">
        <f ca="1">IFERROR(VALUE(IF(VLOOKUP($A20,数出表_Excel!$A$6:$T$150,COLUMN()/2+1,FALSE)=0,"",VLOOKUP($A20,数出表_Excel!$A$6:$T$150,COLUMN()/2+1,FALSE))),"")</f>
        <v/>
      </c>
      <c r="K20" s="113"/>
      <c r="L20" s="150" t="str">
        <f ca="1">IFERROR(VALUE(IF(VLOOKUP($A20,数出表_Excel!$A$6:$T$150,COLUMN()/2+1,FALSE)=0,"",VLOOKUP($A20,数出表_Excel!$A$6:$T$150,COLUMN()/2+1,FALSE))),"")</f>
        <v/>
      </c>
      <c r="M20" s="113"/>
      <c r="N20" s="148" t="str">
        <f ca="1">IFERROR(VALUE(IF(VLOOKUP($A20,数出表_Excel!$A$6:$T$150,COLUMN()/2+1,FALSE)=0,"",VLOOKUP($A20,数出表_Excel!$A$6:$T$150,COLUMN()/2+1,FALSE))),"")</f>
        <v/>
      </c>
      <c r="O20" s="113"/>
      <c r="P20" s="148" t="str">
        <f ca="1">IFERROR(VALUE(IF(VLOOKUP($A20,数出表_Excel!$A$6:$T$150,COLUMN()/2+1,FALSE)=0,"",VLOOKUP($A20,数出表_Excel!$A$6:$T$150,COLUMN()/2+1,FALSE))),"")</f>
        <v/>
      </c>
      <c r="Q20" s="113"/>
      <c r="R20" s="148" t="str">
        <f ca="1">IFERROR(VALUE(IF(VLOOKUP($A20,数出表_Excel!$A$6:$T$150,COLUMN()/2+1,FALSE)=0,"",VLOOKUP($A20,数出表_Excel!$A$6:$T$150,COLUMN()/2+1,FALSE))),"")</f>
        <v/>
      </c>
      <c r="S20" s="113"/>
      <c r="T20" s="148" t="str">
        <f ca="1">IFERROR(VALUE(IF(VLOOKUP($A20,数出表_Excel!$A$6:$T$150,COLUMN()/2+1,FALSE)=0,"",VLOOKUP($A20,数出表_Excel!$A$6:$T$150,COLUMN()/2+1,FALSE))),"")</f>
        <v/>
      </c>
      <c r="U20" s="113"/>
      <c r="V20" s="150" t="str">
        <f ca="1">IFERROR(VALUE(IF(VLOOKUP($A20,数出表_Excel!$A$6:$T$150,COLUMN()/2+1,FALSE)=0,"",VLOOKUP($A20,数出表_Excel!$A$6:$T$150,COLUMN()/2+1,FALSE))),"")</f>
        <v/>
      </c>
      <c r="W20" s="113"/>
      <c r="X20" s="150" t="str">
        <f ca="1">IFERROR(VALUE(IF(VLOOKUP($A20,数出表_Excel!$A$6:$T$150,COLUMN()/2+1,FALSE)=0,"",VLOOKUP($A20,数出表_Excel!$A$6:$T$150,COLUMN()/2+1,FALSE))),"")</f>
        <v/>
      </c>
      <c r="Y20" s="113"/>
      <c r="Z20" s="150" t="str">
        <f ca="1">IFERROR(VALUE(IF(VLOOKUP($A20,数出表_Excel!$A$6:$T$150,COLUMN()/2+1,FALSE)=0,"",VLOOKUP($A20,数出表_Excel!$A$6:$T$150,COLUMN()/2+1,FALSE))),"")</f>
        <v/>
      </c>
      <c r="AA20" s="151"/>
      <c r="AB20" s="149" t="str">
        <f ca="1">IFERROR(VALUE(IF(VLOOKUP($A20,数出表_Excel!$A$6:$T$150,COLUMN()/2+1,FALSE)=0,"",VLOOKUP($A20,数出表_Excel!$A$6:$T$150,COLUMN()/2+1,FALSE))),"")</f>
        <v/>
      </c>
      <c r="AC20" s="113"/>
      <c r="AD20" s="150" t="str">
        <f ca="1">IFERROR(VALUE(IF(VLOOKUP($A20,数出表_Excel!$A$6:$T$150,COLUMN()/2+1,FALSE)=0,"",VLOOKUP($A20,数出表_Excel!$A$6:$T$150,COLUMN()/2+1,FALSE))),"")</f>
        <v/>
      </c>
      <c r="AE20" s="113"/>
      <c r="AF20" s="150" t="str">
        <f ca="1">IFERROR(VALUE(IF(VLOOKUP($A20,数出表_Excel!$A$6:$T$150,COLUMN()/2+1,FALSE)=0,"",VLOOKUP($A20,数出表_Excel!$A$6:$T$150,COLUMN()/2+1,FALSE))),"")</f>
        <v/>
      </c>
      <c r="AG20" s="113"/>
      <c r="AH20" s="150" t="str">
        <f ca="1">IFERROR(VALUE(IF(VLOOKUP($A20,数出表_Excel!$A$6:$T$150,COLUMN()/2+1,FALSE)=0,"",VLOOKUP($A20,数出表_Excel!$A$6:$T$150,COLUMN()/2+1,FALSE))),"")</f>
        <v/>
      </c>
      <c r="AI20" s="151"/>
      <c r="AJ20" s="149" t="str">
        <f ca="1">IFERROR(VALUE(IF(VLOOKUP($A20,数出表_Excel!$A$6:$T$150,COLUMN()/2+1,FALSE)=0,"",VLOOKUP($A20,数出表_Excel!$A$6:$T$150,COLUMN()/2+1,FALSE))),"")</f>
        <v/>
      </c>
      <c r="AK20" s="113"/>
      <c r="AL20" s="117" t="e">
        <f ca="1">IF(A20&lt;&gt;"",
IF(VLOOKUP($A20,数出表_Excel!$A$6:$T$150,COLUMN()/2+1,FALSE)=0,"",VLOOKUP($A20,数出表_Excel!$A$6:$T$150,COLUMN()/2+1,FALSE)),"")</f>
        <v>#N/A</v>
      </c>
      <c r="AM20" s="198" t="e">
        <f ca="1">数出表_Excel!V20</f>
        <v>#N/A</v>
      </c>
      <c r="AN20" s="199" t="e">
        <f ca="1">数出表_Excel!W20</f>
        <v>#N/A</v>
      </c>
    </row>
    <row r="21" spans="1:40" ht="16.2" customHeight="1">
      <c r="A21" s="161" t="e">
        <f t="array" aca="1" ref="A21" ca="1">IF(OR(COUNTIF(A19,"*1000*"),COUNTIF(A19,"")),"",INDEX(貼り付け用!$A1:$A200,MATCH(A19,貼り付け用!$A1:$A200,0)+2,0))</f>
        <v>#N/A</v>
      </c>
      <c r="B21" s="114" t="str">
        <f ca="1">IFERROR(VALUE(IF(VLOOKUP($A21,数出表_Excel!$A$6:$T$150,COLUMN()/2+1,FALSE)=0,"",VLOOKUP($A21,数出表_Excel!$A$6:$T$150,COLUMN()/2+1,FALSE))),"")</f>
        <v/>
      </c>
      <c r="C21" s="114"/>
      <c r="D21" s="114" t="str">
        <f ca="1">IFERROR(VALUE(IF(VLOOKUP($A21,数出表_Excel!$A$6:$T$150,COLUMN()/2+1,FALSE)=0,"",VLOOKUP($A21,数出表_Excel!$A$6:$T$150,COLUMN()/2+1,FALSE))),"")</f>
        <v/>
      </c>
      <c r="E21" s="114"/>
      <c r="F21" s="118" t="str">
        <f ca="1">IFERROR(VALUE(IF(VLOOKUP($A21,数出表_Excel!$A$6:$T$150,COLUMN()/2+1,FALSE)=0,"",VLOOKUP($A21,数出表_Excel!$A$6:$T$150,COLUMN()/2+1,FALSE))),"")</f>
        <v/>
      </c>
      <c r="G21" s="114"/>
      <c r="H21" s="114" t="str">
        <f ca="1">IFERROR(VALUE(IF(VLOOKUP($A21,数出表_Excel!$A$6:$T$150,COLUMN()/2+1,FALSE)=0,"",VLOOKUP($A21,数出表_Excel!$A$6:$T$150,COLUMN()/2+1,FALSE))),"")</f>
        <v/>
      </c>
      <c r="I21" s="114"/>
      <c r="J21" s="114" t="str">
        <f ca="1">IFERROR(VALUE(IF(VLOOKUP($A21,数出表_Excel!$A$6:$T$150,COLUMN()/2+1,FALSE)=0,"",VLOOKUP($A21,数出表_Excel!$A$6:$T$150,COLUMN()/2+1,FALSE))),"")</f>
        <v/>
      </c>
      <c r="K21" s="114"/>
      <c r="L21" s="118" t="str">
        <f ca="1">IFERROR(VALUE(IF(VLOOKUP($A21,数出表_Excel!$A$6:$T$150,COLUMN()/2+1,FALSE)=0,"",VLOOKUP($A21,数出表_Excel!$A$6:$T$150,COLUMN()/2+1,FALSE))),"")</f>
        <v/>
      </c>
      <c r="M21" s="114"/>
      <c r="N21" s="114" t="str">
        <f ca="1">IFERROR(VALUE(IF(VLOOKUP($A21,数出表_Excel!$A$6:$T$150,COLUMN()/2+1,FALSE)=0,"",VLOOKUP($A21,数出表_Excel!$A$6:$T$150,COLUMN()/2+1,FALSE))),"")</f>
        <v/>
      </c>
      <c r="O21" s="114"/>
      <c r="P21" s="114" t="str">
        <f ca="1">IFERROR(VALUE(IF(VLOOKUP($A21,数出表_Excel!$A$6:$T$150,COLUMN()/2+1,FALSE)=0,"",VLOOKUP($A21,数出表_Excel!$A$6:$T$150,COLUMN()/2+1,FALSE))),"")</f>
        <v/>
      </c>
      <c r="Q21" s="114"/>
      <c r="R21" s="114" t="str">
        <f ca="1">IFERROR(VALUE(IF(VLOOKUP($A21,数出表_Excel!$A$6:$T$150,COLUMN()/2+1,FALSE)=0,"",VLOOKUP($A21,数出表_Excel!$A$6:$T$150,COLUMN()/2+1,FALSE))),"")</f>
        <v/>
      </c>
      <c r="S21" s="114"/>
      <c r="T21" s="114" t="str">
        <f ca="1">IFERROR(VALUE(IF(VLOOKUP($A21,数出表_Excel!$A$6:$T$150,COLUMN()/2+1,FALSE)=0,"",VLOOKUP($A21,数出表_Excel!$A$6:$T$150,COLUMN()/2+1,FALSE))),"")</f>
        <v/>
      </c>
      <c r="U21" s="114"/>
      <c r="V21" s="118" t="str">
        <f ca="1">IFERROR(VALUE(IF(VLOOKUP($A21,数出表_Excel!$A$6:$T$150,COLUMN()/2+1,FALSE)=0,"",VLOOKUP($A21,数出表_Excel!$A$6:$T$150,COLUMN()/2+1,FALSE))),"")</f>
        <v/>
      </c>
      <c r="W21" s="114"/>
      <c r="X21" s="118" t="str">
        <f ca="1">IFERROR(VALUE(IF(VLOOKUP($A21,数出表_Excel!$A$6:$T$150,COLUMN()/2+1,FALSE)=0,"",VLOOKUP($A21,数出表_Excel!$A$6:$T$150,COLUMN()/2+1,FALSE))),"")</f>
        <v/>
      </c>
      <c r="Y21" s="114"/>
      <c r="Z21" s="118" t="str">
        <f ca="1">IFERROR(VALUE(IF(VLOOKUP($A21,数出表_Excel!$A$6:$T$150,COLUMN()/2+1,FALSE)=0,"",VLOOKUP($A21,数出表_Excel!$A$6:$T$150,COLUMN()/2+1,FALSE))),"")</f>
        <v/>
      </c>
      <c r="AA21" s="152"/>
      <c r="AB21" s="119" t="str">
        <f ca="1">IFERROR(VALUE(IF(VLOOKUP($A21,数出表_Excel!$A$6:$T$150,COLUMN()/2+1,FALSE)=0,"",VLOOKUP($A21,数出表_Excel!$A$6:$T$150,COLUMN()/2+1,FALSE))),"")</f>
        <v/>
      </c>
      <c r="AC21" s="114"/>
      <c r="AD21" s="118" t="str">
        <f ca="1">IFERROR(VALUE(IF(VLOOKUP($A21,数出表_Excel!$A$6:$T$150,COLUMN()/2+1,FALSE)=0,"",VLOOKUP($A21,数出表_Excel!$A$6:$T$150,COLUMN()/2+1,FALSE))),"")</f>
        <v/>
      </c>
      <c r="AE21" s="114"/>
      <c r="AF21" s="118" t="str">
        <f ca="1">IFERROR(VALUE(IF(VLOOKUP($A21,数出表_Excel!$A$6:$T$150,COLUMN()/2+1,FALSE)=0,"",VLOOKUP($A21,数出表_Excel!$A$6:$T$150,COLUMN()/2+1,FALSE))),"")</f>
        <v/>
      </c>
      <c r="AG21" s="114"/>
      <c r="AH21" s="118" t="str">
        <f ca="1">IFERROR(VALUE(IF(VLOOKUP($A21,数出表_Excel!$A$6:$T$150,COLUMN()/2+1,FALSE)=0,"",VLOOKUP($A21,数出表_Excel!$A$6:$T$150,COLUMN()/2+1,FALSE))),"")</f>
        <v/>
      </c>
      <c r="AI21" s="152"/>
      <c r="AJ21" s="119" t="str">
        <f ca="1">IFERROR(VALUE(IF(VLOOKUP($A21,数出表_Excel!$A$6:$T$150,COLUMN()/2+1,FALSE)=0,"",VLOOKUP($A21,数出表_Excel!$A$6:$T$150,COLUMN()/2+1,FALSE))),"")</f>
        <v/>
      </c>
      <c r="AK21" s="114"/>
      <c r="AL21" s="120" t="e">
        <f ca="1">IF(A21&lt;&gt;"",
IF(VLOOKUP($A21,数出表_Excel!$A$6:$T$150,COLUMN()/2+1,FALSE)=0,"",VLOOKUP($A21,数出表_Excel!$A$6:$T$150,COLUMN()/2+1,FALSE)),"")</f>
        <v>#N/A</v>
      </c>
      <c r="AM21" s="200" t="e">
        <f ca="1">数出表_Excel!V21</f>
        <v>#N/A</v>
      </c>
      <c r="AN21" s="201" t="e">
        <f ca="1">数出表_Excel!W21</f>
        <v>#N/A</v>
      </c>
    </row>
    <row r="22" spans="1:40" ht="16.2" customHeight="1">
      <c r="A22" s="160" t="e">
        <f t="array" aca="1" ref="A22" ca="1">IF(OR(COUNTIF(A20,"*10002*"),COUNTIF(A20,"")),"",INDEX(貼り付け用!$A1:$A200,MATCH(A20,貼り付け用!$A1:$A200,0)+2,0))</f>
        <v>#N/A</v>
      </c>
      <c r="B22" s="148" t="str">
        <f ca="1">IFERROR(VALUE(IF(VLOOKUP($A22,数出表_Excel!$A$6:$T$150,COLUMN()/2+1,FALSE)=0,"",VLOOKUP($A22,数出表_Excel!$A$6:$T$150,COLUMN()/2+1,FALSE))),"")</f>
        <v/>
      </c>
      <c r="C22" s="113"/>
      <c r="D22" s="148" t="str">
        <f ca="1">IFERROR(VALUE(IF(VLOOKUP($A22,数出表_Excel!$A$6:$T$150,COLUMN()/2+1,FALSE)=0,"",VLOOKUP($A22,数出表_Excel!$A$6:$T$150,COLUMN()/2+1,FALSE))),"")</f>
        <v/>
      </c>
      <c r="E22" s="113"/>
      <c r="F22" s="150" t="str">
        <f ca="1">IFERROR(VALUE(IF(VLOOKUP($A22,数出表_Excel!$A$6:$T$150,COLUMN()/2+1,FALSE)=0,"",VLOOKUP($A22,数出表_Excel!$A$6:$T$150,COLUMN()/2+1,FALSE))),"")</f>
        <v/>
      </c>
      <c r="G22" s="113"/>
      <c r="H22" s="148" t="str">
        <f ca="1">IFERROR(VALUE(IF(VLOOKUP($A22,数出表_Excel!$A$6:$T$150,COLUMN()/2+1,FALSE)=0,"",VLOOKUP($A22,数出表_Excel!$A$6:$T$150,COLUMN()/2+1,FALSE))),"")</f>
        <v/>
      </c>
      <c r="I22" s="113"/>
      <c r="J22" s="148" t="str">
        <f ca="1">IFERROR(VALUE(IF(VLOOKUP($A22,数出表_Excel!$A$6:$T$150,COLUMN()/2+1,FALSE)=0,"",VLOOKUP($A22,数出表_Excel!$A$6:$T$150,COLUMN()/2+1,FALSE))),"")</f>
        <v/>
      </c>
      <c r="K22" s="113"/>
      <c r="L22" s="150" t="str">
        <f ca="1">IFERROR(VALUE(IF(VLOOKUP($A22,数出表_Excel!$A$6:$T$150,COLUMN()/2+1,FALSE)=0,"",VLOOKUP($A22,数出表_Excel!$A$6:$T$150,COLUMN()/2+1,FALSE))),"")</f>
        <v/>
      </c>
      <c r="M22" s="113"/>
      <c r="N22" s="148" t="str">
        <f ca="1">IFERROR(VALUE(IF(VLOOKUP($A22,数出表_Excel!$A$6:$T$150,COLUMN()/2+1,FALSE)=0,"",VLOOKUP($A22,数出表_Excel!$A$6:$T$150,COLUMN()/2+1,FALSE))),"")</f>
        <v/>
      </c>
      <c r="O22" s="113"/>
      <c r="P22" s="148" t="str">
        <f ca="1">IFERROR(VALUE(IF(VLOOKUP($A22,数出表_Excel!$A$6:$T$150,COLUMN()/2+1,FALSE)=0,"",VLOOKUP($A22,数出表_Excel!$A$6:$T$150,COLUMN()/2+1,FALSE))),"")</f>
        <v/>
      </c>
      <c r="Q22" s="113"/>
      <c r="R22" s="148" t="str">
        <f ca="1">IFERROR(VALUE(IF(VLOOKUP($A22,数出表_Excel!$A$6:$T$150,COLUMN()/2+1,FALSE)=0,"",VLOOKUP($A22,数出表_Excel!$A$6:$T$150,COLUMN()/2+1,FALSE))),"")</f>
        <v/>
      </c>
      <c r="S22" s="113"/>
      <c r="T22" s="148" t="str">
        <f ca="1">IFERROR(VALUE(IF(VLOOKUP($A22,数出表_Excel!$A$6:$T$150,COLUMN()/2+1,FALSE)=0,"",VLOOKUP($A22,数出表_Excel!$A$6:$T$150,COLUMN()/2+1,FALSE))),"")</f>
        <v/>
      </c>
      <c r="U22" s="113"/>
      <c r="V22" s="150" t="str">
        <f ca="1">IFERROR(VALUE(IF(VLOOKUP($A22,数出表_Excel!$A$6:$T$150,COLUMN()/2+1,FALSE)=0,"",VLOOKUP($A22,数出表_Excel!$A$6:$T$150,COLUMN()/2+1,FALSE))),"")</f>
        <v/>
      </c>
      <c r="W22" s="113"/>
      <c r="X22" s="150" t="str">
        <f ca="1">IFERROR(VALUE(IF(VLOOKUP($A22,数出表_Excel!$A$6:$T$150,COLUMN()/2+1,FALSE)=0,"",VLOOKUP($A22,数出表_Excel!$A$6:$T$150,COLUMN()/2+1,FALSE))),"")</f>
        <v/>
      </c>
      <c r="Y22" s="113"/>
      <c r="Z22" s="150" t="str">
        <f ca="1">IFERROR(VALUE(IF(VLOOKUP($A22,数出表_Excel!$A$6:$T$150,COLUMN()/2+1,FALSE)=0,"",VLOOKUP($A22,数出表_Excel!$A$6:$T$150,COLUMN()/2+1,FALSE))),"")</f>
        <v/>
      </c>
      <c r="AA22" s="151"/>
      <c r="AB22" s="149" t="str">
        <f ca="1">IFERROR(VALUE(IF(VLOOKUP($A22,数出表_Excel!$A$6:$T$150,COLUMN()/2+1,FALSE)=0,"",VLOOKUP($A22,数出表_Excel!$A$6:$T$150,COLUMN()/2+1,FALSE))),"")</f>
        <v/>
      </c>
      <c r="AC22" s="113"/>
      <c r="AD22" s="150" t="str">
        <f ca="1">IFERROR(VALUE(IF(VLOOKUP($A22,数出表_Excel!$A$6:$T$150,COLUMN()/2+1,FALSE)=0,"",VLOOKUP($A22,数出表_Excel!$A$6:$T$150,COLUMN()/2+1,FALSE))),"")</f>
        <v/>
      </c>
      <c r="AE22" s="113"/>
      <c r="AF22" s="150" t="str">
        <f ca="1">IFERROR(VALUE(IF(VLOOKUP($A22,数出表_Excel!$A$6:$T$150,COLUMN()/2+1,FALSE)=0,"",VLOOKUP($A22,数出表_Excel!$A$6:$T$150,COLUMN()/2+1,FALSE))),"")</f>
        <v/>
      </c>
      <c r="AG22" s="113"/>
      <c r="AH22" s="150" t="str">
        <f ca="1">IFERROR(VALUE(IF(VLOOKUP($A22,数出表_Excel!$A$6:$T$150,COLUMN()/2+1,FALSE)=0,"",VLOOKUP($A22,数出表_Excel!$A$6:$T$150,COLUMN()/2+1,FALSE))),"")</f>
        <v/>
      </c>
      <c r="AI22" s="151"/>
      <c r="AJ22" s="149" t="str">
        <f ca="1">IFERROR(VALUE(IF(VLOOKUP($A22,数出表_Excel!$A$6:$T$150,COLUMN()/2+1,FALSE)=0,"",VLOOKUP($A22,数出表_Excel!$A$6:$T$150,COLUMN()/2+1,FALSE))),"")</f>
        <v/>
      </c>
      <c r="AK22" s="113"/>
      <c r="AL22" s="117" t="e">
        <f ca="1">IF(A22&lt;&gt;"",
IF(VLOOKUP($A22,数出表_Excel!$A$6:$T$150,COLUMN()/2+1,FALSE)=0,"",VLOOKUP($A22,数出表_Excel!$A$6:$T$150,COLUMN()/2+1,FALSE)),"")</f>
        <v>#N/A</v>
      </c>
      <c r="AM22" s="198" t="e">
        <f ca="1">数出表_Excel!V22</f>
        <v>#N/A</v>
      </c>
      <c r="AN22" s="199" t="e">
        <f ca="1">数出表_Excel!W22</f>
        <v>#N/A</v>
      </c>
    </row>
    <row r="23" spans="1:40" ht="16.2" customHeight="1">
      <c r="A23" s="161" t="e">
        <f t="array" aca="1" ref="A23" ca="1">IF(OR(COUNTIF(A21,"*1000*"),COUNTIF(A21,"")),"",INDEX(貼り付け用!$A1:$A200,MATCH(A21,貼り付け用!$A1:$A200,0)+2,0))</f>
        <v>#N/A</v>
      </c>
      <c r="B23" s="114" t="str">
        <f ca="1">IFERROR(VALUE(IF(VLOOKUP($A23,数出表_Excel!$A$6:$T$150,COLUMN()/2+1,FALSE)=0,"",VLOOKUP($A23,数出表_Excel!$A$6:$T$150,COLUMN()/2+1,FALSE))),"")</f>
        <v/>
      </c>
      <c r="C23" s="114"/>
      <c r="D23" s="114" t="str">
        <f ca="1">IFERROR(VALUE(IF(VLOOKUP($A23,数出表_Excel!$A$6:$T$150,COLUMN()/2+1,FALSE)=0,"",VLOOKUP($A23,数出表_Excel!$A$6:$T$150,COLUMN()/2+1,FALSE))),"")</f>
        <v/>
      </c>
      <c r="E23" s="114"/>
      <c r="F23" s="118" t="str">
        <f ca="1">IFERROR(VALUE(IF(VLOOKUP($A23,数出表_Excel!$A$6:$T$150,COLUMN()/2+1,FALSE)=0,"",VLOOKUP($A23,数出表_Excel!$A$6:$T$150,COLUMN()/2+1,FALSE))),"")</f>
        <v/>
      </c>
      <c r="G23" s="114"/>
      <c r="H23" s="114" t="str">
        <f ca="1">IFERROR(VALUE(IF(VLOOKUP($A23,数出表_Excel!$A$6:$T$150,COLUMN()/2+1,FALSE)=0,"",VLOOKUP($A23,数出表_Excel!$A$6:$T$150,COLUMN()/2+1,FALSE))),"")</f>
        <v/>
      </c>
      <c r="I23" s="114"/>
      <c r="J23" s="114" t="str">
        <f ca="1">IFERROR(VALUE(IF(VLOOKUP($A23,数出表_Excel!$A$6:$T$150,COLUMN()/2+1,FALSE)=0,"",VLOOKUP($A23,数出表_Excel!$A$6:$T$150,COLUMN()/2+1,FALSE))),"")</f>
        <v/>
      </c>
      <c r="K23" s="114"/>
      <c r="L23" s="118" t="str">
        <f ca="1">IFERROR(VALUE(IF(VLOOKUP($A23,数出表_Excel!$A$6:$T$150,COLUMN()/2+1,FALSE)=0,"",VLOOKUP($A23,数出表_Excel!$A$6:$T$150,COLUMN()/2+1,FALSE))),"")</f>
        <v/>
      </c>
      <c r="M23" s="114"/>
      <c r="N23" s="114" t="str">
        <f ca="1">IFERROR(VALUE(IF(VLOOKUP($A23,数出表_Excel!$A$6:$T$150,COLUMN()/2+1,FALSE)=0,"",VLOOKUP($A23,数出表_Excel!$A$6:$T$150,COLUMN()/2+1,FALSE))),"")</f>
        <v/>
      </c>
      <c r="O23" s="114"/>
      <c r="P23" s="114" t="str">
        <f ca="1">IFERROR(VALUE(IF(VLOOKUP($A23,数出表_Excel!$A$6:$T$150,COLUMN()/2+1,FALSE)=0,"",VLOOKUP($A23,数出表_Excel!$A$6:$T$150,COLUMN()/2+1,FALSE))),"")</f>
        <v/>
      </c>
      <c r="Q23" s="114"/>
      <c r="R23" s="114" t="str">
        <f ca="1">IFERROR(VALUE(IF(VLOOKUP($A23,数出表_Excel!$A$6:$T$150,COLUMN()/2+1,FALSE)=0,"",VLOOKUP($A23,数出表_Excel!$A$6:$T$150,COLUMN()/2+1,FALSE))),"")</f>
        <v/>
      </c>
      <c r="S23" s="114"/>
      <c r="T23" s="114" t="str">
        <f ca="1">IFERROR(VALUE(IF(VLOOKUP($A23,数出表_Excel!$A$6:$T$150,COLUMN()/2+1,FALSE)=0,"",VLOOKUP($A23,数出表_Excel!$A$6:$T$150,COLUMN()/2+1,FALSE))),"")</f>
        <v/>
      </c>
      <c r="U23" s="114"/>
      <c r="V23" s="118" t="str">
        <f ca="1">IFERROR(VALUE(IF(VLOOKUP($A23,数出表_Excel!$A$6:$T$150,COLUMN()/2+1,FALSE)=0,"",VLOOKUP($A23,数出表_Excel!$A$6:$T$150,COLUMN()/2+1,FALSE))),"")</f>
        <v/>
      </c>
      <c r="W23" s="114"/>
      <c r="X23" s="118" t="str">
        <f ca="1">IFERROR(VALUE(IF(VLOOKUP($A23,数出表_Excel!$A$6:$T$150,COLUMN()/2+1,FALSE)=0,"",VLOOKUP($A23,数出表_Excel!$A$6:$T$150,COLUMN()/2+1,FALSE))),"")</f>
        <v/>
      </c>
      <c r="Y23" s="114"/>
      <c r="Z23" s="118" t="str">
        <f ca="1">IFERROR(VALUE(IF(VLOOKUP($A23,数出表_Excel!$A$6:$T$150,COLUMN()/2+1,FALSE)=0,"",VLOOKUP($A23,数出表_Excel!$A$6:$T$150,COLUMN()/2+1,FALSE))),"")</f>
        <v/>
      </c>
      <c r="AA23" s="152"/>
      <c r="AB23" s="119" t="str">
        <f ca="1">IFERROR(VALUE(IF(VLOOKUP($A23,数出表_Excel!$A$6:$T$150,COLUMN()/2+1,FALSE)=0,"",VLOOKUP($A23,数出表_Excel!$A$6:$T$150,COLUMN()/2+1,FALSE))),"")</f>
        <v/>
      </c>
      <c r="AC23" s="114"/>
      <c r="AD23" s="118" t="str">
        <f ca="1">IFERROR(VALUE(IF(VLOOKUP($A23,数出表_Excel!$A$6:$T$150,COLUMN()/2+1,FALSE)=0,"",VLOOKUP($A23,数出表_Excel!$A$6:$T$150,COLUMN()/2+1,FALSE))),"")</f>
        <v/>
      </c>
      <c r="AE23" s="114"/>
      <c r="AF23" s="118" t="str">
        <f ca="1">IFERROR(VALUE(IF(VLOOKUP($A23,数出表_Excel!$A$6:$T$150,COLUMN()/2+1,FALSE)=0,"",VLOOKUP($A23,数出表_Excel!$A$6:$T$150,COLUMN()/2+1,FALSE))),"")</f>
        <v/>
      </c>
      <c r="AG23" s="114"/>
      <c r="AH23" s="118" t="str">
        <f ca="1">IFERROR(VALUE(IF(VLOOKUP($A23,数出表_Excel!$A$6:$T$150,COLUMN()/2+1,FALSE)=0,"",VLOOKUP($A23,数出表_Excel!$A$6:$T$150,COLUMN()/2+1,FALSE))),"")</f>
        <v/>
      </c>
      <c r="AI23" s="152"/>
      <c r="AJ23" s="119" t="str">
        <f ca="1">IFERROR(VALUE(IF(VLOOKUP($A23,数出表_Excel!$A$6:$T$150,COLUMN()/2+1,FALSE)=0,"",VLOOKUP($A23,数出表_Excel!$A$6:$T$150,COLUMN()/2+1,FALSE))),"")</f>
        <v/>
      </c>
      <c r="AK23" s="114"/>
      <c r="AL23" s="120" t="e">
        <f ca="1">IF(A23&lt;&gt;"",
IF(VLOOKUP($A23,数出表_Excel!$A$6:$T$150,COLUMN()/2+1,FALSE)=0,"",VLOOKUP($A23,数出表_Excel!$A$6:$T$150,COLUMN()/2+1,FALSE)),"")</f>
        <v>#N/A</v>
      </c>
      <c r="AM23" s="200" t="e">
        <f ca="1">数出表_Excel!V23</f>
        <v>#N/A</v>
      </c>
      <c r="AN23" s="201" t="e">
        <f ca="1">数出表_Excel!W23</f>
        <v>#N/A</v>
      </c>
    </row>
    <row r="24" spans="1:40" ht="16.2" customHeight="1">
      <c r="A24" s="160" t="e">
        <f t="array" aca="1" ref="A24" ca="1">IF(OR(COUNTIF(A22,"*10002*"),COUNTIF(A22,"")),"",INDEX(貼り付け用!$A1:$A200,MATCH(A22,貼り付け用!$A1:$A200,0)+2,0))</f>
        <v>#N/A</v>
      </c>
      <c r="B24" s="148" t="str">
        <f ca="1">IFERROR(VALUE(IF(VLOOKUP($A24,数出表_Excel!$A$6:$T$150,COLUMN()/2+1,FALSE)=0,"",VLOOKUP($A24,数出表_Excel!$A$6:$T$150,COLUMN()/2+1,FALSE))),"")</f>
        <v/>
      </c>
      <c r="C24" s="113"/>
      <c r="D24" s="148" t="str">
        <f ca="1">IFERROR(VALUE(IF(VLOOKUP($A24,数出表_Excel!$A$6:$T$150,COLUMN()/2+1,FALSE)=0,"",VLOOKUP($A24,数出表_Excel!$A$6:$T$150,COLUMN()/2+1,FALSE))),"")</f>
        <v/>
      </c>
      <c r="E24" s="113"/>
      <c r="F24" s="150" t="str">
        <f ca="1">IFERROR(VALUE(IF(VLOOKUP($A24,数出表_Excel!$A$6:$T$150,COLUMN()/2+1,FALSE)=0,"",VLOOKUP($A24,数出表_Excel!$A$6:$T$150,COLUMN()/2+1,FALSE))),"")</f>
        <v/>
      </c>
      <c r="G24" s="113"/>
      <c r="H24" s="148" t="str">
        <f ca="1">IFERROR(VALUE(IF(VLOOKUP($A24,数出表_Excel!$A$6:$T$150,COLUMN()/2+1,FALSE)=0,"",VLOOKUP($A24,数出表_Excel!$A$6:$T$150,COLUMN()/2+1,FALSE))),"")</f>
        <v/>
      </c>
      <c r="I24" s="113"/>
      <c r="J24" s="148" t="str">
        <f ca="1">IFERROR(VALUE(IF(VLOOKUP($A24,数出表_Excel!$A$6:$T$150,COLUMN()/2+1,FALSE)=0,"",VLOOKUP($A24,数出表_Excel!$A$6:$T$150,COLUMN()/2+1,FALSE))),"")</f>
        <v/>
      </c>
      <c r="K24" s="113"/>
      <c r="L24" s="150" t="str">
        <f ca="1">IFERROR(VALUE(IF(VLOOKUP($A24,数出表_Excel!$A$6:$T$150,COLUMN()/2+1,FALSE)=0,"",VLOOKUP($A24,数出表_Excel!$A$6:$T$150,COLUMN()/2+1,FALSE))),"")</f>
        <v/>
      </c>
      <c r="M24" s="113"/>
      <c r="N24" s="148" t="str">
        <f ca="1">IFERROR(VALUE(IF(VLOOKUP($A24,数出表_Excel!$A$6:$T$150,COLUMN()/2+1,FALSE)=0,"",VLOOKUP($A24,数出表_Excel!$A$6:$T$150,COLUMN()/2+1,FALSE))),"")</f>
        <v/>
      </c>
      <c r="O24" s="113"/>
      <c r="P24" s="148" t="str">
        <f ca="1">IFERROR(VALUE(IF(VLOOKUP($A24,数出表_Excel!$A$6:$T$150,COLUMN()/2+1,FALSE)=0,"",VLOOKUP($A24,数出表_Excel!$A$6:$T$150,COLUMN()/2+1,FALSE))),"")</f>
        <v/>
      </c>
      <c r="Q24" s="113"/>
      <c r="R24" s="148" t="str">
        <f ca="1">IFERROR(VALUE(IF(VLOOKUP($A24,数出表_Excel!$A$6:$T$150,COLUMN()/2+1,FALSE)=0,"",VLOOKUP($A24,数出表_Excel!$A$6:$T$150,COLUMN()/2+1,FALSE))),"")</f>
        <v/>
      </c>
      <c r="S24" s="113"/>
      <c r="T24" s="148" t="str">
        <f ca="1">IFERROR(VALUE(IF(VLOOKUP($A24,数出表_Excel!$A$6:$T$150,COLUMN()/2+1,FALSE)=0,"",VLOOKUP($A24,数出表_Excel!$A$6:$T$150,COLUMN()/2+1,FALSE))),"")</f>
        <v/>
      </c>
      <c r="U24" s="113"/>
      <c r="V24" s="150" t="str">
        <f ca="1">IFERROR(VALUE(IF(VLOOKUP($A24,数出表_Excel!$A$6:$T$150,COLUMN()/2+1,FALSE)=0,"",VLOOKUP($A24,数出表_Excel!$A$6:$T$150,COLUMN()/2+1,FALSE))),"")</f>
        <v/>
      </c>
      <c r="W24" s="113"/>
      <c r="X24" s="150" t="str">
        <f ca="1">IFERROR(VALUE(IF(VLOOKUP($A24,数出表_Excel!$A$6:$T$150,COLUMN()/2+1,FALSE)=0,"",VLOOKUP($A24,数出表_Excel!$A$6:$T$150,COLUMN()/2+1,FALSE))),"")</f>
        <v/>
      </c>
      <c r="Y24" s="113"/>
      <c r="Z24" s="150" t="str">
        <f ca="1">IFERROR(VALUE(IF(VLOOKUP($A24,数出表_Excel!$A$6:$T$150,COLUMN()/2+1,FALSE)=0,"",VLOOKUP($A24,数出表_Excel!$A$6:$T$150,COLUMN()/2+1,FALSE))),"")</f>
        <v/>
      </c>
      <c r="AA24" s="151"/>
      <c r="AB24" s="149" t="str">
        <f ca="1">IFERROR(VALUE(IF(VLOOKUP($A24,数出表_Excel!$A$6:$T$150,COLUMN()/2+1,FALSE)=0,"",VLOOKUP($A24,数出表_Excel!$A$6:$T$150,COLUMN()/2+1,FALSE))),"")</f>
        <v/>
      </c>
      <c r="AC24" s="113"/>
      <c r="AD24" s="150" t="str">
        <f ca="1">IFERROR(VALUE(IF(VLOOKUP($A24,数出表_Excel!$A$6:$T$150,COLUMN()/2+1,FALSE)=0,"",VLOOKUP($A24,数出表_Excel!$A$6:$T$150,COLUMN()/2+1,FALSE))),"")</f>
        <v/>
      </c>
      <c r="AE24" s="113"/>
      <c r="AF24" s="150" t="str">
        <f ca="1">IFERROR(VALUE(IF(VLOOKUP($A24,数出表_Excel!$A$6:$T$150,COLUMN()/2+1,FALSE)=0,"",VLOOKUP($A24,数出表_Excel!$A$6:$T$150,COLUMN()/2+1,FALSE))),"")</f>
        <v/>
      </c>
      <c r="AG24" s="113"/>
      <c r="AH24" s="150" t="str">
        <f ca="1">IFERROR(VALUE(IF(VLOOKUP($A24,数出表_Excel!$A$6:$T$150,COLUMN()/2+1,FALSE)=0,"",VLOOKUP($A24,数出表_Excel!$A$6:$T$150,COLUMN()/2+1,FALSE))),"")</f>
        <v/>
      </c>
      <c r="AI24" s="151"/>
      <c r="AJ24" s="149" t="str">
        <f ca="1">IFERROR(VALUE(IF(VLOOKUP($A24,数出表_Excel!$A$6:$T$150,COLUMN()/2+1,FALSE)=0,"",VLOOKUP($A24,数出表_Excel!$A$6:$T$150,COLUMN()/2+1,FALSE))),"")</f>
        <v/>
      </c>
      <c r="AK24" s="113"/>
      <c r="AL24" s="117" t="e">
        <f ca="1">IF(A24&lt;&gt;"",
IF(VLOOKUP($A24,数出表_Excel!$A$6:$T$150,COLUMN()/2+1,FALSE)=0,"",VLOOKUP($A24,数出表_Excel!$A$6:$T$150,COLUMN()/2+1,FALSE)),"")</f>
        <v>#N/A</v>
      </c>
      <c r="AM24" s="198" t="e">
        <f ca="1">数出表_Excel!V24</f>
        <v>#N/A</v>
      </c>
      <c r="AN24" s="199" t="e">
        <f ca="1">数出表_Excel!W24</f>
        <v>#N/A</v>
      </c>
    </row>
    <row r="25" spans="1:40" ht="16.2" customHeight="1">
      <c r="A25" s="161" t="e">
        <f t="array" aca="1" ref="A25" ca="1">IF(OR(COUNTIF(A23,"*1000*"),COUNTIF(A23,"")),"",INDEX(貼り付け用!$A1:$A200,MATCH(A23,貼り付け用!$A1:$A200,0)+2,0))</f>
        <v>#N/A</v>
      </c>
      <c r="B25" s="114" t="str">
        <f ca="1">IFERROR(VALUE(IF(VLOOKUP($A25,数出表_Excel!$A$6:$T$150,COLUMN()/2+1,FALSE)=0,"",VLOOKUP($A25,数出表_Excel!$A$6:$T$150,COLUMN()/2+1,FALSE))),"")</f>
        <v/>
      </c>
      <c r="C25" s="114"/>
      <c r="D25" s="114" t="str">
        <f ca="1">IFERROR(VALUE(IF(VLOOKUP($A25,数出表_Excel!$A$6:$T$150,COLUMN()/2+1,FALSE)=0,"",VLOOKUP($A25,数出表_Excel!$A$6:$T$150,COLUMN()/2+1,FALSE))),"")</f>
        <v/>
      </c>
      <c r="E25" s="114"/>
      <c r="F25" s="118" t="str">
        <f ca="1">IFERROR(VALUE(IF(VLOOKUP($A25,数出表_Excel!$A$6:$T$150,COLUMN()/2+1,FALSE)=0,"",VLOOKUP($A25,数出表_Excel!$A$6:$T$150,COLUMN()/2+1,FALSE))),"")</f>
        <v/>
      </c>
      <c r="G25" s="114"/>
      <c r="H25" s="114" t="str">
        <f ca="1">IFERROR(VALUE(IF(VLOOKUP($A25,数出表_Excel!$A$6:$T$150,COLUMN()/2+1,FALSE)=0,"",VLOOKUP($A25,数出表_Excel!$A$6:$T$150,COLUMN()/2+1,FALSE))),"")</f>
        <v/>
      </c>
      <c r="I25" s="114"/>
      <c r="J25" s="114" t="str">
        <f ca="1">IFERROR(VALUE(IF(VLOOKUP($A25,数出表_Excel!$A$6:$T$150,COLUMN()/2+1,FALSE)=0,"",VLOOKUP($A25,数出表_Excel!$A$6:$T$150,COLUMN()/2+1,FALSE))),"")</f>
        <v/>
      </c>
      <c r="K25" s="114"/>
      <c r="L25" s="118" t="str">
        <f ca="1">IFERROR(VALUE(IF(VLOOKUP($A25,数出表_Excel!$A$6:$T$150,COLUMN()/2+1,FALSE)=0,"",VLOOKUP($A25,数出表_Excel!$A$6:$T$150,COLUMN()/2+1,FALSE))),"")</f>
        <v/>
      </c>
      <c r="M25" s="114"/>
      <c r="N25" s="114" t="str">
        <f ca="1">IFERROR(VALUE(IF(VLOOKUP($A25,数出表_Excel!$A$6:$T$150,COLUMN()/2+1,FALSE)=0,"",VLOOKUP($A25,数出表_Excel!$A$6:$T$150,COLUMN()/2+1,FALSE))),"")</f>
        <v/>
      </c>
      <c r="O25" s="114"/>
      <c r="P25" s="114" t="str">
        <f ca="1">IFERROR(VALUE(IF(VLOOKUP($A25,数出表_Excel!$A$6:$T$150,COLUMN()/2+1,FALSE)=0,"",VLOOKUP($A25,数出表_Excel!$A$6:$T$150,COLUMN()/2+1,FALSE))),"")</f>
        <v/>
      </c>
      <c r="Q25" s="114"/>
      <c r="R25" s="114" t="str">
        <f ca="1">IFERROR(VALUE(IF(VLOOKUP($A25,数出表_Excel!$A$6:$T$150,COLUMN()/2+1,FALSE)=0,"",VLOOKUP($A25,数出表_Excel!$A$6:$T$150,COLUMN()/2+1,FALSE))),"")</f>
        <v/>
      </c>
      <c r="S25" s="114"/>
      <c r="T25" s="114" t="str">
        <f ca="1">IFERROR(VALUE(IF(VLOOKUP($A25,数出表_Excel!$A$6:$T$150,COLUMN()/2+1,FALSE)=0,"",VLOOKUP($A25,数出表_Excel!$A$6:$T$150,COLUMN()/2+1,FALSE))),"")</f>
        <v/>
      </c>
      <c r="U25" s="114"/>
      <c r="V25" s="118" t="str">
        <f ca="1">IFERROR(VALUE(IF(VLOOKUP($A25,数出表_Excel!$A$6:$T$150,COLUMN()/2+1,FALSE)=0,"",VLOOKUP($A25,数出表_Excel!$A$6:$T$150,COLUMN()/2+1,FALSE))),"")</f>
        <v/>
      </c>
      <c r="W25" s="114"/>
      <c r="X25" s="118" t="str">
        <f ca="1">IFERROR(VALUE(IF(VLOOKUP($A25,数出表_Excel!$A$6:$T$150,COLUMN()/2+1,FALSE)=0,"",VLOOKUP($A25,数出表_Excel!$A$6:$T$150,COLUMN()/2+1,FALSE))),"")</f>
        <v/>
      </c>
      <c r="Y25" s="114"/>
      <c r="Z25" s="118" t="str">
        <f ca="1">IFERROR(VALUE(IF(VLOOKUP($A25,数出表_Excel!$A$6:$T$150,COLUMN()/2+1,FALSE)=0,"",VLOOKUP($A25,数出表_Excel!$A$6:$T$150,COLUMN()/2+1,FALSE))),"")</f>
        <v/>
      </c>
      <c r="AA25" s="152"/>
      <c r="AB25" s="119" t="str">
        <f ca="1">IFERROR(VALUE(IF(VLOOKUP($A25,数出表_Excel!$A$6:$T$150,COLUMN()/2+1,FALSE)=0,"",VLOOKUP($A25,数出表_Excel!$A$6:$T$150,COLUMN()/2+1,FALSE))),"")</f>
        <v/>
      </c>
      <c r="AC25" s="114"/>
      <c r="AD25" s="118" t="str">
        <f ca="1">IFERROR(VALUE(IF(VLOOKUP($A25,数出表_Excel!$A$6:$T$150,COLUMN()/2+1,FALSE)=0,"",VLOOKUP($A25,数出表_Excel!$A$6:$T$150,COLUMN()/2+1,FALSE))),"")</f>
        <v/>
      </c>
      <c r="AE25" s="114"/>
      <c r="AF25" s="118" t="str">
        <f ca="1">IFERROR(VALUE(IF(VLOOKUP($A25,数出表_Excel!$A$6:$T$150,COLUMN()/2+1,FALSE)=0,"",VLOOKUP($A25,数出表_Excel!$A$6:$T$150,COLUMN()/2+1,FALSE))),"")</f>
        <v/>
      </c>
      <c r="AG25" s="114"/>
      <c r="AH25" s="118" t="str">
        <f ca="1">IFERROR(VALUE(IF(VLOOKUP($A25,数出表_Excel!$A$6:$T$150,COLUMN()/2+1,FALSE)=0,"",VLOOKUP($A25,数出表_Excel!$A$6:$T$150,COLUMN()/2+1,FALSE))),"")</f>
        <v/>
      </c>
      <c r="AI25" s="152"/>
      <c r="AJ25" s="119" t="str">
        <f ca="1">IFERROR(VALUE(IF(VLOOKUP($A25,数出表_Excel!$A$6:$T$150,COLUMN()/2+1,FALSE)=0,"",VLOOKUP($A25,数出表_Excel!$A$6:$T$150,COLUMN()/2+1,FALSE))),"")</f>
        <v/>
      </c>
      <c r="AK25" s="114"/>
      <c r="AL25" s="120" t="e">
        <f ca="1">IF(A25&lt;&gt;"",
IF(VLOOKUP($A25,数出表_Excel!$A$6:$T$150,COLUMN()/2+1,FALSE)=0,"",VLOOKUP($A25,数出表_Excel!$A$6:$T$150,COLUMN()/2+1,FALSE)),"")</f>
        <v>#N/A</v>
      </c>
      <c r="AM25" s="200" t="e">
        <f ca="1">数出表_Excel!V25</f>
        <v>#N/A</v>
      </c>
      <c r="AN25" s="201" t="e">
        <f ca="1">数出表_Excel!W25</f>
        <v>#N/A</v>
      </c>
    </row>
    <row r="26" spans="1:40" ht="16.2" customHeight="1">
      <c r="A26" s="160" t="e">
        <f t="array" aca="1" ref="A26" ca="1">IF(OR(COUNTIF(A24,"*10002*"),COUNTIF(A24,"")),"",INDEX(貼り付け用!$A1:$A200,MATCH(A24,貼り付け用!$A1:$A200,0)+2,0))</f>
        <v>#N/A</v>
      </c>
      <c r="B26" s="148" t="str">
        <f ca="1">IFERROR(VALUE(IF(VLOOKUP($A26,数出表_Excel!$A$6:$T$150,COLUMN()/2+1,FALSE)=0,"",VLOOKUP($A26,数出表_Excel!$A$6:$T$150,COLUMN()/2+1,FALSE))),"")</f>
        <v/>
      </c>
      <c r="C26" s="113"/>
      <c r="D26" s="148" t="str">
        <f ca="1">IFERROR(VALUE(IF(VLOOKUP($A26,数出表_Excel!$A$6:$T$150,COLUMN()/2+1,FALSE)=0,"",VLOOKUP($A26,数出表_Excel!$A$6:$T$150,COLUMN()/2+1,FALSE))),"")</f>
        <v/>
      </c>
      <c r="E26" s="113"/>
      <c r="F26" s="150" t="str">
        <f ca="1">IFERROR(VALUE(IF(VLOOKUP($A26,数出表_Excel!$A$6:$T$150,COLUMN()/2+1,FALSE)=0,"",VLOOKUP($A26,数出表_Excel!$A$6:$T$150,COLUMN()/2+1,FALSE))),"")</f>
        <v/>
      </c>
      <c r="G26" s="113"/>
      <c r="H26" s="148" t="str">
        <f ca="1">IFERROR(VALUE(IF(VLOOKUP($A26,数出表_Excel!$A$6:$T$150,COLUMN()/2+1,FALSE)=0,"",VLOOKUP($A26,数出表_Excel!$A$6:$T$150,COLUMN()/2+1,FALSE))),"")</f>
        <v/>
      </c>
      <c r="I26" s="113"/>
      <c r="J26" s="148" t="str">
        <f ca="1">IFERROR(VALUE(IF(VLOOKUP($A26,数出表_Excel!$A$6:$T$150,COLUMN()/2+1,FALSE)=0,"",VLOOKUP($A26,数出表_Excel!$A$6:$T$150,COLUMN()/2+1,FALSE))),"")</f>
        <v/>
      </c>
      <c r="K26" s="113"/>
      <c r="L26" s="150" t="str">
        <f ca="1">IFERROR(VALUE(IF(VLOOKUP($A26,数出表_Excel!$A$6:$T$150,COLUMN()/2+1,FALSE)=0,"",VLOOKUP($A26,数出表_Excel!$A$6:$T$150,COLUMN()/2+1,FALSE))),"")</f>
        <v/>
      </c>
      <c r="M26" s="113"/>
      <c r="N26" s="148" t="str">
        <f ca="1">IFERROR(VALUE(IF(VLOOKUP($A26,数出表_Excel!$A$6:$T$150,COLUMN()/2+1,FALSE)=0,"",VLOOKUP($A26,数出表_Excel!$A$6:$T$150,COLUMN()/2+1,FALSE))),"")</f>
        <v/>
      </c>
      <c r="O26" s="113"/>
      <c r="P26" s="148" t="str">
        <f ca="1">IFERROR(VALUE(IF(VLOOKUP($A26,数出表_Excel!$A$6:$T$150,COLUMN()/2+1,FALSE)=0,"",VLOOKUP($A26,数出表_Excel!$A$6:$T$150,COLUMN()/2+1,FALSE))),"")</f>
        <v/>
      </c>
      <c r="Q26" s="113"/>
      <c r="R26" s="148" t="str">
        <f ca="1">IFERROR(VALUE(IF(VLOOKUP($A26,数出表_Excel!$A$6:$T$150,COLUMN()/2+1,FALSE)=0,"",VLOOKUP($A26,数出表_Excel!$A$6:$T$150,COLUMN()/2+1,FALSE))),"")</f>
        <v/>
      </c>
      <c r="S26" s="113"/>
      <c r="T26" s="148" t="str">
        <f ca="1">IFERROR(VALUE(IF(VLOOKUP($A26,数出表_Excel!$A$6:$T$150,COLUMN()/2+1,FALSE)=0,"",VLOOKUP($A26,数出表_Excel!$A$6:$T$150,COLUMN()/2+1,FALSE))),"")</f>
        <v/>
      </c>
      <c r="U26" s="113"/>
      <c r="V26" s="150" t="str">
        <f ca="1">IFERROR(VALUE(IF(VLOOKUP($A26,数出表_Excel!$A$6:$T$150,COLUMN()/2+1,FALSE)=0,"",VLOOKUP($A26,数出表_Excel!$A$6:$T$150,COLUMN()/2+1,FALSE))),"")</f>
        <v/>
      </c>
      <c r="W26" s="113"/>
      <c r="X26" s="150" t="str">
        <f ca="1">IFERROR(VALUE(IF(VLOOKUP($A26,数出表_Excel!$A$6:$T$150,COLUMN()/2+1,FALSE)=0,"",VLOOKUP($A26,数出表_Excel!$A$6:$T$150,COLUMN()/2+1,FALSE))),"")</f>
        <v/>
      </c>
      <c r="Y26" s="113"/>
      <c r="Z26" s="150" t="str">
        <f ca="1">IFERROR(VALUE(IF(VLOOKUP($A26,数出表_Excel!$A$6:$T$150,COLUMN()/2+1,FALSE)=0,"",VLOOKUP($A26,数出表_Excel!$A$6:$T$150,COLUMN()/2+1,FALSE))),"")</f>
        <v/>
      </c>
      <c r="AA26" s="151"/>
      <c r="AB26" s="149" t="str">
        <f ca="1">IFERROR(VALUE(IF(VLOOKUP($A26,数出表_Excel!$A$6:$T$150,COLUMN()/2+1,FALSE)=0,"",VLOOKUP($A26,数出表_Excel!$A$6:$T$150,COLUMN()/2+1,FALSE))),"")</f>
        <v/>
      </c>
      <c r="AC26" s="113"/>
      <c r="AD26" s="150" t="str">
        <f ca="1">IFERROR(VALUE(IF(VLOOKUP($A26,数出表_Excel!$A$6:$T$150,COLUMN()/2+1,FALSE)=0,"",VLOOKUP($A26,数出表_Excel!$A$6:$T$150,COLUMN()/2+1,FALSE))),"")</f>
        <v/>
      </c>
      <c r="AE26" s="113"/>
      <c r="AF26" s="150" t="str">
        <f ca="1">IFERROR(VALUE(IF(VLOOKUP($A26,数出表_Excel!$A$6:$T$150,COLUMN()/2+1,FALSE)=0,"",VLOOKUP($A26,数出表_Excel!$A$6:$T$150,COLUMN()/2+1,FALSE))),"")</f>
        <v/>
      </c>
      <c r="AG26" s="113"/>
      <c r="AH26" s="150" t="str">
        <f ca="1">IFERROR(VALUE(IF(VLOOKUP($A26,数出表_Excel!$A$6:$T$150,COLUMN()/2+1,FALSE)=0,"",VLOOKUP($A26,数出表_Excel!$A$6:$T$150,COLUMN()/2+1,FALSE))),"")</f>
        <v/>
      </c>
      <c r="AI26" s="151"/>
      <c r="AJ26" s="149" t="str">
        <f ca="1">IFERROR(VALUE(IF(VLOOKUP($A26,数出表_Excel!$A$6:$T$150,COLUMN()/2+1,FALSE)=0,"",VLOOKUP($A26,数出表_Excel!$A$6:$T$150,COLUMN()/2+1,FALSE))),"")</f>
        <v/>
      </c>
      <c r="AK26" s="113"/>
      <c r="AL26" s="117" t="e">
        <f ca="1">IF(A26&lt;&gt;"",
IF(VLOOKUP($A26,数出表_Excel!$A$6:$T$150,COLUMN()/2+1,FALSE)=0,"",VLOOKUP($A26,数出表_Excel!$A$6:$T$150,COLUMN()/2+1,FALSE)),"")</f>
        <v>#N/A</v>
      </c>
      <c r="AM26" s="198" t="e">
        <f ca="1">数出表_Excel!V26</f>
        <v>#N/A</v>
      </c>
      <c r="AN26" s="199" t="e">
        <f ca="1">数出表_Excel!W26</f>
        <v>#N/A</v>
      </c>
    </row>
    <row r="27" spans="1:40" ht="16.2" customHeight="1">
      <c r="A27" s="161" t="e">
        <f t="array" aca="1" ref="A27" ca="1">IF(OR(COUNTIF(A25,"*1000*"),COUNTIF(A25,"")),"",INDEX(貼り付け用!$A1:$A200,MATCH(A25,貼り付け用!$A1:$A200,0)+2,0))</f>
        <v>#N/A</v>
      </c>
      <c r="B27" s="114" t="str">
        <f ca="1">IFERROR(VALUE(IF(VLOOKUP($A27,数出表_Excel!$A$6:$T$150,COLUMN()/2+1,FALSE)=0,"",VLOOKUP($A27,数出表_Excel!$A$6:$T$150,COLUMN()/2+1,FALSE))),"")</f>
        <v/>
      </c>
      <c r="C27" s="114"/>
      <c r="D27" s="114" t="str">
        <f ca="1">IFERROR(VALUE(IF(VLOOKUP($A27,数出表_Excel!$A$6:$T$150,COLUMN()/2+1,FALSE)=0,"",VLOOKUP($A27,数出表_Excel!$A$6:$T$150,COLUMN()/2+1,FALSE))),"")</f>
        <v/>
      </c>
      <c r="E27" s="114"/>
      <c r="F27" s="118" t="str">
        <f ca="1">IFERROR(VALUE(IF(VLOOKUP($A27,数出表_Excel!$A$6:$T$150,COLUMN()/2+1,FALSE)=0,"",VLOOKUP($A27,数出表_Excel!$A$6:$T$150,COLUMN()/2+1,FALSE))),"")</f>
        <v/>
      </c>
      <c r="G27" s="114"/>
      <c r="H27" s="114" t="str">
        <f ca="1">IFERROR(VALUE(IF(VLOOKUP($A27,数出表_Excel!$A$6:$T$150,COLUMN()/2+1,FALSE)=0,"",VLOOKUP($A27,数出表_Excel!$A$6:$T$150,COLUMN()/2+1,FALSE))),"")</f>
        <v/>
      </c>
      <c r="I27" s="114"/>
      <c r="J27" s="114" t="str">
        <f ca="1">IFERROR(VALUE(IF(VLOOKUP($A27,数出表_Excel!$A$6:$T$150,COLUMN()/2+1,FALSE)=0,"",VLOOKUP($A27,数出表_Excel!$A$6:$T$150,COLUMN()/2+1,FALSE))),"")</f>
        <v/>
      </c>
      <c r="K27" s="114"/>
      <c r="L27" s="118" t="str">
        <f ca="1">IFERROR(VALUE(IF(VLOOKUP($A27,数出表_Excel!$A$6:$T$150,COLUMN()/2+1,FALSE)=0,"",VLOOKUP($A27,数出表_Excel!$A$6:$T$150,COLUMN()/2+1,FALSE))),"")</f>
        <v/>
      </c>
      <c r="M27" s="114"/>
      <c r="N27" s="114" t="str">
        <f ca="1">IFERROR(VALUE(IF(VLOOKUP($A27,数出表_Excel!$A$6:$T$150,COLUMN()/2+1,FALSE)=0,"",VLOOKUP($A27,数出表_Excel!$A$6:$T$150,COLUMN()/2+1,FALSE))),"")</f>
        <v/>
      </c>
      <c r="O27" s="114"/>
      <c r="P27" s="114" t="str">
        <f ca="1">IFERROR(VALUE(IF(VLOOKUP($A27,数出表_Excel!$A$6:$T$150,COLUMN()/2+1,FALSE)=0,"",VLOOKUP($A27,数出表_Excel!$A$6:$T$150,COLUMN()/2+1,FALSE))),"")</f>
        <v/>
      </c>
      <c r="Q27" s="114"/>
      <c r="R27" s="114" t="str">
        <f ca="1">IFERROR(VALUE(IF(VLOOKUP($A27,数出表_Excel!$A$6:$T$150,COLUMN()/2+1,FALSE)=0,"",VLOOKUP($A27,数出表_Excel!$A$6:$T$150,COLUMN()/2+1,FALSE))),"")</f>
        <v/>
      </c>
      <c r="S27" s="114"/>
      <c r="T27" s="114" t="str">
        <f ca="1">IFERROR(VALUE(IF(VLOOKUP($A27,数出表_Excel!$A$6:$T$150,COLUMN()/2+1,FALSE)=0,"",VLOOKUP($A27,数出表_Excel!$A$6:$T$150,COLUMN()/2+1,FALSE))),"")</f>
        <v/>
      </c>
      <c r="U27" s="114"/>
      <c r="V27" s="118" t="str">
        <f ca="1">IFERROR(VALUE(IF(VLOOKUP($A27,数出表_Excel!$A$6:$T$150,COLUMN()/2+1,FALSE)=0,"",VLOOKUP($A27,数出表_Excel!$A$6:$T$150,COLUMN()/2+1,FALSE))),"")</f>
        <v/>
      </c>
      <c r="W27" s="114"/>
      <c r="X27" s="118" t="str">
        <f ca="1">IFERROR(VALUE(IF(VLOOKUP($A27,数出表_Excel!$A$6:$T$150,COLUMN()/2+1,FALSE)=0,"",VLOOKUP($A27,数出表_Excel!$A$6:$T$150,COLUMN()/2+1,FALSE))),"")</f>
        <v/>
      </c>
      <c r="Y27" s="114"/>
      <c r="Z27" s="118" t="str">
        <f ca="1">IFERROR(VALUE(IF(VLOOKUP($A27,数出表_Excel!$A$6:$T$150,COLUMN()/2+1,FALSE)=0,"",VLOOKUP($A27,数出表_Excel!$A$6:$T$150,COLUMN()/2+1,FALSE))),"")</f>
        <v/>
      </c>
      <c r="AA27" s="152"/>
      <c r="AB27" s="119" t="str">
        <f ca="1">IFERROR(VALUE(IF(VLOOKUP($A27,数出表_Excel!$A$6:$T$150,COLUMN()/2+1,FALSE)=0,"",VLOOKUP($A27,数出表_Excel!$A$6:$T$150,COLUMN()/2+1,FALSE))),"")</f>
        <v/>
      </c>
      <c r="AC27" s="114"/>
      <c r="AD27" s="118" t="str">
        <f ca="1">IFERROR(VALUE(IF(VLOOKUP($A27,数出表_Excel!$A$6:$T$150,COLUMN()/2+1,FALSE)=0,"",VLOOKUP($A27,数出表_Excel!$A$6:$T$150,COLUMN()/2+1,FALSE))),"")</f>
        <v/>
      </c>
      <c r="AE27" s="114"/>
      <c r="AF27" s="118" t="str">
        <f ca="1">IFERROR(VALUE(IF(VLOOKUP($A27,数出表_Excel!$A$6:$T$150,COLUMN()/2+1,FALSE)=0,"",VLOOKUP($A27,数出表_Excel!$A$6:$T$150,COLUMN()/2+1,FALSE))),"")</f>
        <v/>
      </c>
      <c r="AG27" s="114"/>
      <c r="AH27" s="118" t="str">
        <f ca="1">IFERROR(VALUE(IF(VLOOKUP($A27,数出表_Excel!$A$6:$T$150,COLUMN()/2+1,FALSE)=0,"",VLOOKUP($A27,数出表_Excel!$A$6:$T$150,COLUMN()/2+1,FALSE))),"")</f>
        <v/>
      </c>
      <c r="AI27" s="152"/>
      <c r="AJ27" s="119" t="str">
        <f ca="1">IFERROR(VALUE(IF(VLOOKUP($A27,数出表_Excel!$A$6:$T$150,COLUMN()/2+1,FALSE)=0,"",VLOOKUP($A27,数出表_Excel!$A$6:$T$150,COLUMN()/2+1,FALSE))),"")</f>
        <v/>
      </c>
      <c r="AK27" s="114"/>
      <c r="AL27" s="120" t="e">
        <f ca="1">IF(A27&lt;&gt;"",
IF(VLOOKUP($A27,数出表_Excel!$A$6:$T$150,COLUMN()/2+1,FALSE)=0,"",VLOOKUP($A27,数出表_Excel!$A$6:$T$150,COLUMN()/2+1,FALSE)),"")</f>
        <v>#N/A</v>
      </c>
      <c r="AM27" s="200" t="e">
        <f ca="1">数出表_Excel!V27</f>
        <v>#N/A</v>
      </c>
      <c r="AN27" s="201" t="e">
        <f ca="1">数出表_Excel!W27</f>
        <v>#N/A</v>
      </c>
    </row>
    <row r="28" spans="1:40" ht="16.2" customHeight="1">
      <c r="A28" s="160" t="e">
        <f t="array" aca="1" ref="A28" ca="1">IF(OR(COUNTIF(A26,"*10002*"),COUNTIF(A26,"")),"",INDEX(貼り付け用!$A1:$A200,MATCH(A26,貼り付け用!$A1:$A200,0)+2,0))</f>
        <v>#N/A</v>
      </c>
      <c r="B28" s="148" t="str">
        <f ca="1">IFERROR(VALUE(IF(VLOOKUP($A28,数出表_Excel!$A$6:$T$150,COLUMN()/2+1,FALSE)=0,"",VLOOKUP($A28,数出表_Excel!$A$6:$T$150,COLUMN()/2+1,FALSE))),"")</f>
        <v/>
      </c>
      <c r="C28" s="113"/>
      <c r="D28" s="148" t="str">
        <f ca="1">IFERROR(VALUE(IF(VLOOKUP($A28,数出表_Excel!$A$6:$T$150,COLUMN()/2+1,FALSE)=0,"",VLOOKUP($A28,数出表_Excel!$A$6:$T$150,COLUMN()/2+1,FALSE))),"")</f>
        <v/>
      </c>
      <c r="E28" s="113"/>
      <c r="F28" s="150" t="str">
        <f ca="1">IFERROR(VALUE(IF(VLOOKUP($A28,数出表_Excel!$A$6:$T$150,COLUMN()/2+1,FALSE)=0,"",VLOOKUP($A28,数出表_Excel!$A$6:$T$150,COLUMN()/2+1,FALSE))),"")</f>
        <v/>
      </c>
      <c r="G28" s="113"/>
      <c r="H28" s="148" t="str">
        <f ca="1">IFERROR(VALUE(IF(VLOOKUP($A28,数出表_Excel!$A$6:$T$150,COLUMN()/2+1,FALSE)=0,"",VLOOKUP($A28,数出表_Excel!$A$6:$T$150,COLUMN()/2+1,FALSE))),"")</f>
        <v/>
      </c>
      <c r="I28" s="113"/>
      <c r="J28" s="148" t="str">
        <f ca="1">IFERROR(VALUE(IF(VLOOKUP($A28,数出表_Excel!$A$6:$T$150,COLUMN()/2+1,FALSE)=0,"",VLOOKUP($A28,数出表_Excel!$A$6:$T$150,COLUMN()/2+1,FALSE))),"")</f>
        <v/>
      </c>
      <c r="K28" s="113"/>
      <c r="L28" s="150" t="str">
        <f ca="1">IFERROR(VALUE(IF(VLOOKUP($A28,数出表_Excel!$A$6:$T$150,COLUMN()/2+1,FALSE)=0,"",VLOOKUP($A28,数出表_Excel!$A$6:$T$150,COLUMN()/2+1,FALSE))),"")</f>
        <v/>
      </c>
      <c r="M28" s="113"/>
      <c r="N28" s="148" t="str">
        <f ca="1">IFERROR(VALUE(IF(VLOOKUP($A28,数出表_Excel!$A$6:$T$150,COLUMN()/2+1,FALSE)=0,"",VLOOKUP($A28,数出表_Excel!$A$6:$T$150,COLUMN()/2+1,FALSE))),"")</f>
        <v/>
      </c>
      <c r="O28" s="113"/>
      <c r="P28" s="148" t="str">
        <f ca="1">IFERROR(VALUE(IF(VLOOKUP($A28,数出表_Excel!$A$6:$T$150,COLUMN()/2+1,FALSE)=0,"",VLOOKUP($A28,数出表_Excel!$A$6:$T$150,COLUMN()/2+1,FALSE))),"")</f>
        <v/>
      </c>
      <c r="Q28" s="113"/>
      <c r="R28" s="148" t="str">
        <f ca="1">IFERROR(VALUE(IF(VLOOKUP($A28,数出表_Excel!$A$6:$T$150,COLUMN()/2+1,FALSE)=0,"",VLOOKUP($A28,数出表_Excel!$A$6:$T$150,COLUMN()/2+1,FALSE))),"")</f>
        <v/>
      </c>
      <c r="S28" s="113"/>
      <c r="T28" s="148" t="str">
        <f ca="1">IFERROR(VALUE(IF(VLOOKUP($A28,数出表_Excel!$A$6:$T$150,COLUMN()/2+1,FALSE)=0,"",VLOOKUP($A28,数出表_Excel!$A$6:$T$150,COLUMN()/2+1,FALSE))),"")</f>
        <v/>
      </c>
      <c r="U28" s="113"/>
      <c r="V28" s="150" t="str">
        <f ca="1">IFERROR(VALUE(IF(VLOOKUP($A28,数出表_Excel!$A$6:$T$150,COLUMN()/2+1,FALSE)=0,"",VLOOKUP($A28,数出表_Excel!$A$6:$T$150,COLUMN()/2+1,FALSE))),"")</f>
        <v/>
      </c>
      <c r="W28" s="113"/>
      <c r="X28" s="150" t="str">
        <f ca="1">IFERROR(VALUE(IF(VLOOKUP($A28,数出表_Excel!$A$6:$T$150,COLUMN()/2+1,FALSE)=0,"",VLOOKUP($A28,数出表_Excel!$A$6:$T$150,COLUMN()/2+1,FALSE))),"")</f>
        <v/>
      </c>
      <c r="Y28" s="113"/>
      <c r="Z28" s="150" t="str">
        <f ca="1">IFERROR(VALUE(IF(VLOOKUP($A28,数出表_Excel!$A$6:$T$150,COLUMN()/2+1,FALSE)=0,"",VLOOKUP($A28,数出表_Excel!$A$6:$T$150,COLUMN()/2+1,FALSE))),"")</f>
        <v/>
      </c>
      <c r="AA28" s="151"/>
      <c r="AB28" s="149" t="str">
        <f ca="1">IFERROR(VALUE(IF(VLOOKUP($A28,数出表_Excel!$A$6:$T$150,COLUMN()/2+1,FALSE)=0,"",VLOOKUP($A28,数出表_Excel!$A$6:$T$150,COLUMN()/2+1,FALSE))),"")</f>
        <v/>
      </c>
      <c r="AC28" s="113"/>
      <c r="AD28" s="150" t="str">
        <f ca="1">IFERROR(VALUE(IF(VLOOKUP($A28,数出表_Excel!$A$6:$T$150,COLUMN()/2+1,FALSE)=0,"",VLOOKUP($A28,数出表_Excel!$A$6:$T$150,COLUMN()/2+1,FALSE))),"")</f>
        <v/>
      </c>
      <c r="AE28" s="113"/>
      <c r="AF28" s="150" t="str">
        <f ca="1">IFERROR(VALUE(IF(VLOOKUP($A28,数出表_Excel!$A$6:$T$150,COLUMN()/2+1,FALSE)=0,"",VLOOKUP($A28,数出表_Excel!$A$6:$T$150,COLUMN()/2+1,FALSE))),"")</f>
        <v/>
      </c>
      <c r="AG28" s="113"/>
      <c r="AH28" s="150" t="str">
        <f ca="1">IFERROR(VALUE(IF(VLOOKUP($A28,数出表_Excel!$A$6:$T$150,COLUMN()/2+1,FALSE)=0,"",VLOOKUP($A28,数出表_Excel!$A$6:$T$150,COLUMN()/2+1,FALSE))),"")</f>
        <v/>
      </c>
      <c r="AI28" s="151"/>
      <c r="AJ28" s="149" t="str">
        <f ca="1">IFERROR(VALUE(IF(VLOOKUP($A28,数出表_Excel!$A$6:$T$150,COLUMN()/2+1,FALSE)=0,"",VLOOKUP($A28,数出表_Excel!$A$6:$T$150,COLUMN()/2+1,FALSE))),"")</f>
        <v/>
      </c>
      <c r="AK28" s="113"/>
      <c r="AL28" s="117" t="e">
        <f ca="1">IF(A28&lt;&gt;"",
IF(VLOOKUP($A28,数出表_Excel!$A$6:$T$150,COLUMN()/2+1,FALSE)=0,"",VLOOKUP($A28,数出表_Excel!$A$6:$T$150,COLUMN()/2+1,FALSE)),"")</f>
        <v>#N/A</v>
      </c>
      <c r="AM28" s="198" t="e">
        <f ca="1">数出表_Excel!V28</f>
        <v>#N/A</v>
      </c>
      <c r="AN28" s="199" t="e">
        <f ca="1">数出表_Excel!W28</f>
        <v>#N/A</v>
      </c>
    </row>
    <row r="29" spans="1:40" ht="16.2" customHeight="1">
      <c r="A29" s="161" t="e">
        <f t="array" aca="1" ref="A29" ca="1">IF(OR(COUNTIF(A27,"*1000*"),COUNTIF(A27,"")),"",INDEX(貼り付け用!$A1:$A200,MATCH(A27,貼り付け用!$A1:$A200,0)+2,0))</f>
        <v>#N/A</v>
      </c>
      <c r="B29" s="114" t="str">
        <f ca="1">IFERROR(VALUE(IF(VLOOKUP($A29,数出表_Excel!$A$6:$T$150,COLUMN()/2+1,FALSE)=0,"",VLOOKUP($A29,数出表_Excel!$A$6:$T$150,COLUMN()/2+1,FALSE))),"")</f>
        <v/>
      </c>
      <c r="C29" s="114"/>
      <c r="D29" s="114" t="str">
        <f ca="1">IFERROR(VALUE(IF(VLOOKUP($A29,数出表_Excel!$A$6:$T$150,COLUMN()/2+1,FALSE)=0,"",VLOOKUP($A29,数出表_Excel!$A$6:$T$150,COLUMN()/2+1,FALSE))),"")</f>
        <v/>
      </c>
      <c r="E29" s="114"/>
      <c r="F29" s="118" t="str">
        <f ca="1">IFERROR(VALUE(IF(VLOOKUP($A29,数出表_Excel!$A$6:$T$150,COLUMN()/2+1,FALSE)=0,"",VLOOKUP($A29,数出表_Excel!$A$6:$T$150,COLUMN()/2+1,FALSE))),"")</f>
        <v/>
      </c>
      <c r="G29" s="114"/>
      <c r="H29" s="114" t="str">
        <f ca="1">IFERROR(VALUE(IF(VLOOKUP($A29,数出表_Excel!$A$6:$T$150,COLUMN()/2+1,FALSE)=0,"",VLOOKUP($A29,数出表_Excel!$A$6:$T$150,COLUMN()/2+1,FALSE))),"")</f>
        <v/>
      </c>
      <c r="I29" s="114"/>
      <c r="J29" s="114" t="str">
        <f ca="1">IFERROR(VALUE(IF(VLOOKUP($A29,数出表_Excel!$A$6:$T$150,COLUMN()/2+1,FALSE)=0,"",VLOOKUP($A29,数出表_Excel!$A$6:$T$150,COLUMN()/2+1,FALSE))),"")</f>
        <v/>
      </c>
      <c r="K29" s="114"/>
      <c r="L29" s="118" t="str">
        <f ca="1">IFERROR(VALUE(IF(VLOOKUP($A29,数出表_Excel!$A$6:$T$150,COLUMN()/2+1,FALSE)=0,"",VLOOKUP($A29,数出表_Excel!$A$6:$T$150,COLUMN()/2+1,FALSE))),"")</f>
        <v/>
      </c>
      <c r="M29" s="114"/>
      <c r="N29" s="114" t="str">
        <f ca="1">IFERROR(VALUE(IF(VLOOKUP($A29,数出表_Excel!$A$6:$T$150,COLUMN()/2+1,FALSE)=0,"",VLOOKUP($A29,数出表_Excel!$A$6:$T$150,COLUMN()/2+1,FALSE))),"")</f>
        <v/>
      </c>
      <c r="O29" s="114"/>
      <c r="P29" s="114" t="str">
        <f ca="1">IFERROR(VALUE(IF(VLOOKUP($A29,数出表_Excel!$A$6:$T$150,COLUMN()/2+1,FALSE)=0,"",VLOOKUP($A29,数出表_Excel!$A$6:$T$150,COLUMN()/2+1,FALSE))),"")</f>
        <v/>
      </c>
      <c r="Q29" s="114"/>
      <c r="R29" s="114" t="str">
        <f ca="1">IFERROR(VALUE(IF(VLOOKUP($A29,数出表_Excel!$A$6:$T$150,COLUMN()/2+1,FALSE)=0,"",VLOOKUP($A29,数出表_Excel!$A$6:$T$150,COLUMN()/2+1,FALSE))),"")</f>
        <v/>
      </c>
      <c r="S29" s="114"/>
      <c r="T29" s="114" t="str">
        <f ca="1">IFERROR(VALUE(IF(VLOOKUP($A29,数出表_Excel!$A$6:$T$150,COLUMN()/2+1,FALSE)=0,"",VLOOKUP($A29,数出表_Excel!$A$6:$T$150,COLUMN()/2+1,FALSE))),"")</f>
        <v/>
      </c>
      <c r="U29" s="114"/>
      <c r="V29" s="118" t="str">
        <f ca="1">IFERROR(VALUE(IF(VLOOKUP($A29,数出表_Excel!$A$6:$T$150,COLUMN()/2+1,FALSE)=0,"",VLOOKUP($A29,数出表_Excel!$A$6:$T$150,COLUMN()/2+1,FALSE))),"")</f>
        <v/>
      </c>
      <c r="W29" s="114"/>
      <c r="X29" s="118" t="str">
        <f ca="1">IFERROR(VALUE(IF(VLOOKUP($A29,数出表_Excel!$A$6:$T$150,COLUMN()/2+1,FALSE)=0,"",VLOOKUP($A29,数出表_Excel!$A$6:$T$150,COLUMN()/2+1,FALSE))),"")</f>
        <v/>
      </c>
      <c r="Y29" s="114"/>
      <c r="Z29" s="118" t="str">
        <f ca="1">IFERROR(VALUE(IF(VLOOKUP($A29,数出表_Excel!$A$6:$T$150,COLUMN()/2+1,FALSE)=0,"",VLOOKUP($A29,数出表_Excel!$A$6:$T$150,COLUMN()/2+1,FALSE))),"")</f>
        <v/>
      </c>
      <c r="AA29" s="152"/>
      <c r="AB29" s="119" t="str">
        <f ca="1">IFERROR(VALUE(IF(VLOOKUP($A29,数出表_Excel!$A$6:$T$150,COLUMN()/2+1,FALSE)=0,"",VLOOKUP($A29,数出表_Excel!$A$6:$T$150,COLUMN()/2+1,FALSE))),"")</f>
        <v/>
      </c>
      <c r="AC29" s="114"/>
      <c r="AD29" s="118" t="str">
        <f ca="1">IFERROR(VALUE(IF(VLOOKUP($A29,数出表_Excel!$A$6:$T$150,COLUMN()/2+1,FALSE)=0,"",VLOOKUP($A29,数出表_Excel!$A$6:$T$150,COLUMN()/2+1,FALSE))),"")</f>
        <v/>
      </c>
      <c r="AE29" s="114"/>
      <c r="AF29" s="118" t="str">
        <f ca="1">IFERROR(VALUE(IF(VLOOKUP($A29,数出表_Excel!$A$6:$T$150,COLUMN()/2+1,FALSE)=0,"",VLOOKUP($A29,数出表_Excel!$A$6:$T$150,COLUMN()/2+1,FALSE))),"")</f>
        <v/>
      </c>
      <c r="AG29" s="114"/>
      <c r="AH29" s="118" t="str">
        <f ca="1">IFERROR(VALUE(IF(VLOOKUP($A29,数出表_Excel!$A$6:$T$150,COLUMN()/2+1,FALSE)=0,"",VLOOKUP($A29,数出表_Excel!$A$6:$T$150,COLUMN()/2+1,FALSE))),"")</f>
        <v/>
      </c>
      <c r="AI29" s="152"/>
      <c r="AJ29" s="119" t="str">
        <f ca="1">IFERROR(VALUE(IF(VLOOKUP($A29,数出表_Excel!$A$6:$T$150,COLUMN()/2+1,FALSE)=0,"",VLOOKUP($A29,数出表_Excel!$A$6:$T$150,COLUMN()/2+1,FALSE))),"")</f>
        <v/>
      </c>
      <c r="AK29" s="114"/>
      <c r="AL29" s="120" t="e">
        <f ca="1">IF(A29&lt;&gt;"",
IF(VLOOKUP($A29,数出表_Excel!$A$6:$T$150,COLUMN()/2+1,FALSE)=0,"",VLOOKUP($A29,数出表_Excel!$A$6:$T$150,COLUMN()/2+1,FALSE)),"")</f>
        <v>#N/A</v>
      </c>
      <c r="AM29" s="200" t="e">
        <f ca="1">数出表_Excel!V29</f>
        <v>#N/A</v>
      </c>
      <c r="AN29" s="201" t="e">
        <f ca="1">数出表_Excel!W29</f>
        <v>#N/A</v>
      </c>
    </row>
    <row r="30" spans="1:40" ht="16.2" customHeight="1">
      <c r="A30" s="160" t="e">
        <f t="array" aca="1" ref="A30" ca="1">IF(OR(COUNTIF(A28,"*10002*"),COUNTIF(A28,"")),"",INDEX(貼り付け用!$A1:$A200,MATCH(A28,貼り付け用!$A1:$A200,0)+2,0))</f>
        <v>#N/A</v>
      </c>
      <c r="B30" s="148" t="str">
        <f ca="1">IFERROR(VALUE(IF(VLOOKUP($A30,数出表_Excel!$A$6:$T$150,COLUMN()/2+1,FALSE)=0,"",VLOOKUP($A30,数出表_Excel!$A$6:$T$150,COLUMN()/2+1,FALSE))),"")</f>
        <v/>
      </c>
      <c r="C30" s="113"/>
      <c r="D30" s="148" t="str">
        <f ca="1">IFERROR(VALUE(IF(VLOOKUP($A30,数出表_Excel!$A$6:$T$150,COLUMN()/2+1,FALSE)=0,"",VLOOKUP($A30,数出表_Excel!$A$6:$T$150,COLUMN()/2+1,FALSE))),"")</f>
        <v/>
      </c>
      <c r="E30" s="113"/>
      <c r="F30" s="150" t="str">
        <f ca="1">IFERROR(VALUE(IF(VLOOKUP($A30,数出表_Excel!$A$6:$T$150,COLUMN()/2+1,FALSE)=0,"",VLOOKUP($A30,数出表_Excel!$A$6:$T$150,COLUMN()/2+1,FALSE))),"")</f>
        <v/>
      </c>
      <c r="G30" s="113"/>
      <c r="H30" s="148" t="str">
        <f ca="1">IFERROR(VALUE(IF(VLOOKUP($A30,数出表_Excel!$A$6:$T$150,COLUMN()/2+1,FALSE)=0,"",VLOOKUP($A30,数出表_Excel!$A$6:$T$150,COLUMN()/2+1,FALSE))),"")</f>
        <v/>
      </c>
      <c r="I30" s="113"/>
      <c r="J30" s="148" t="str">
        <f ca="1">IFERROR(VALUE(IF(VLOOKUP($A30,数出表_Excel!$A$6:$T$150,COLUMN()/2+1,FALSE)=0,"",VLOOKUP($A30,数出表_Excel!$A$6:$T$150,COLUMN()/2+1,FALSE))),"")</f>
        <v/>
      </c>
      <c r="K30" s="113"/>
      <c r="L30" s="150" t="str">
        <f ca="1">IFERROR(VALUE(IF(VLOOKUP($A30,数出表_Excel!$A$6:$T$150,COLUMN()/2+1,FALSE)=0,"",VLOOKUP($A30,数出表_Excel!$A$6:$T$150,COLUMN()/2+1,FALSE))),"")</f>
        <v/>
      </c>
      <c r="M30" s="113"/>
      <c r="N30" s="148" t="str">
        <f ca="1">IFERROR(VALUE(IF(VLOOKUP($A30,数出表_Excel!$A$6:$T$150,COLUMN()/2+1,FALSE)=0,"",VLOOKUP($A30,数出表_Excel!$A$6:$T$150,COLUMN()/2+1,FALSE))),"")</f>
        <v/>
      </c>
      <c r="O30" s="113"/>
      <c r="P30" s="148" t="str">
        <f ca="1">IFERROR(VALUE(IF(VLOOKUP($A30,数出表_Excel!$A$6:$T$150,COLUMN()/2+1,FALSE)=0,"",VLOOKUP($A30,数出表_Excel!$A$6:$T$150,COLUMN()/2+1,FALSE))),"")</f>
        <v/>
      </c>
      <c r="Q30" s="113"/>
      <c r="R30" s="148" t="str">
        <f ca="1">IFERROR(VALUE(IF(VLOOKUP($A30,数出表_Excel!$A$6:$T$150,COLUMN()/2+1,FALSE)=0,"",VLOOKUP($A30,数出表_Excel!$A$6:$T$150,COLUMN()/2+1,FALSE))),"")</f>
        <v/>
      </c>
      <c r="S30" s="113"/>
      <c r="T30" s="148" t="str">
        <f ca="1">IFERROR(VALUE(IF(VLOOKUP($A30,数出表_Excel!$A$6:$T$150,COLUMN()/2+1,FALSE)=0,"",VLOOKUP($A30,数出表_Excel!$A$6:$T$150,COLUMN()/2+1,FALSE))),"")</f>
        <v/>
      </c>
      <c r="U30" s="113"/>
      <c r="V30" s="150" t="str">
        <f ca="1">IFERROR(VALUE(IF(VLOOKUP($A30,数出表_Excel!$A$6:$T$150,COLUMN()/2+1,FALSE)=0,"",VLOOKUP($A30,数出表_Excel!$A$6:$T$150,COLUMN()/2+1,FALSE))),"")</f>
        <v/>
      </c>
      <c r="W30" s="113"/>
      <c r="X30" s="150" t="str">
        <f ca="1">IFERROR(VALUE(IF(VLOOKUP($A30,数出表_Excel!$A$6:$T$150,COLUMN()/2+1,FALSE)=0,"",VLOOKUP($A30,数出表_Excel!$A$6:$T$150,COLUMN()/2+1,FALSE))),"")</f>
        <v/>
      </c>
      <c r="Y30" s="113"/>
      <c r="Z30" s="150" t="str">
        <f ca="1">IFERROR(VALUE(IF(VLOOKUP($A30,数出表_Excel!$A$6:$T$150,COLUMN()/2+1,FALSE)=0,"",VLOOKUP($A30,数出表_Excel!$A$6:$T$150,COLUMN()/2+1,FALSE))),"")</f>
        <v/>
      </c>
      <c r="AA30" s="151"/>
      <c r="AB30" s="149" t="str">
        <f ca="1">IFERROR(VALUE(IF(VLOOKUP($A30,数出表_Excel!$A$6:$T$150,COLUMN()/2+1,FALSE)=0,"",VLOOKUP($A30,数出表_Excel!$A$6:$T$150,COLUMN()/2+1,FALSE))),"")</f>
        <v/>
      </c>
      <c r="AC30" s="113"/>
      <c r="AD30" s="150" t="str">
        <f ca="1">IFERROR(VALUE(IF(VLOOKUP($A30,数出表_Excel!$A$6:$T$150,COLUMN()/2+1,FALSE)=0,"",VLOOKUP($A30,数出表_Excel!$A$6:$T$150,COLUMN()/2+1,FALSE))),"")</f>
        <v/>
      </c>
      <c r="AE30" s="113"/>
      <c r="AF30" s="150" t="str">
        <f ca="1">IFERROR(VALUE(IF(VLOOKUP($A30,数出表_Excel!$A$6:$T$150,COLUMN()/2+1,FALSE)=0,"",VLOOKUP($A30,数出表_Excel!$A$6:$T$150,COLUMN()/2+1,FALSE))),"")</f>
        <v/>
      </c>
      <c r="AG30" s="113"/>
      <c r="AH30" s="150" t="str">
        <f ca="1">IFERROR(VALUE(IF(VLOOKUP($A30,数出表_Excel!$A$6:$T$150,COLUMN()/2+1,FALSE)=0,"",VLOOKUP($A30,数出表_Excel!$A$6:$T$150,COLUMN()/2+1,FALSE))),"")</f>
        <v/>
      </c>
      <c r="AI30" s="151"/>
      <c r="AJ30" s="149" t="str">
        <f ca="1">IFERROR(VALUE(IF(VLOOKUP($A30,数出表_Excel!$A$6:$T$150,COLUMN()/2+1,FALSE)=0,"",VLOOKUP($A30,数出表_Excel!$A$6:$T$150,COLUMN()/2+1,FALSE))),"")</f>
        <v/>
      </c>
      <c r="AK30" s="113"/>
      <c r="AL30" s="117" t="e">
        <f ca="1">IF(A30&lt;&gt;"",
IF(VLOOKUP($A30,数出表_Excel!$A$6:$T$150,COLUMN()/2+1,FALSE)=0,"",VLOOKUP($A30,数出表_Excel!$A$6:$T$150,COLUMN()/2+1,FALSE)),"")</f>
        <v>#N/A</v>
      </c>
      <c r="AM30" s="198" t="e">
        <f ca="1">数出表_Excel!V30</f>
        <v>#N/A</v>
      </c>
      <c r="AN30" s="199" t="e">
        <f ca="1">数出表_Excel!W30</f>
        <v>#N/A</v>
      </c>
    </row>
    <row r="31" spans="1:40" ht="16.2" customHeight="1">
      <c r="A31" s="161" t="e">
        <f t="array" aca="1" ref="A31" ca="1">IF(OR(COUNTIF(A29,"*1000*"),COUNTIF(A29,"")),"",INDEX(貼り付け用!$A1:$A200,MATCH(A29,貼り付け用!$A1:$A200,0)+2,0))</f>
        <v>#N/A</v>
      </c>
      <c r="B31" s="114" t="str">
        <f ca="1">IFERROR(VALUE(IF(VLOOKUP($A31,数出表_Excel!$A$6:$T$150,COLUMN()/2+1,FALSE)=0,"",VLOOKUP($A31,数出表_Excel!$A$6:$T$150,COLUMN()/2+1,FALSE))),"")</f>
        <v/>
      </c>
      <c r="C31" s="114"/>
      <c r="D31" s="114" t="str">
        <f ca="1">IFERROR(VALUE(IF(VLOOKUP($A31,数出表_Excel!$A$6:$T$150,COLUMN()/2+1,FALSE)=0,"",VLOOKUP($A31,数出表_Excel!$A$6:$T$150,COLUMN()/2+1,FALSE))),"")</f>
        <v/>
      </c>
      <c r="E31" s="114"/>
      <c r="F31" s="118" t="str">
        <f ca="1">IFERROR(VALUE(IF(VLOOKUP($A31,数出表_Excel!$A$6:$T$150,COLUMN()/2+1,FALSE)=0,"",VLOOKUP($A31,数出表_Excel!$A$6:$T$150,COLUMN()/2+1,FALSE))),"")</f>
        <v/>
      </c>
      <c r="G31" s="114"/>
      <c r="H31" s="114" t="str">
        <f ca="1">IFERROR(VALUE(IF(VLOOKUP($A31,数出表_Excel!$A$6:$T$150,COLUMN()/2+1,FALSE)=0,"",VLOOKUP($A31,数出表_Excel!$A$6:$T$150,COLUMN()/2+1,FALSE))),"")</f>
        <v/>
      </c>
      <c r="I31" s="114"/>
      <c r="J31" s="114" t="str">
        <f ca="1">IFERROR(VALUE(IF(VLOOKUP($A31,数出表_Excel!$A$6:$T$150,COLUMN()/2+1,FALSE)=0,"",VLOOKUP($A31,数出表_Excel!$A$6:$T$150,COLUMN()/2+1,FALSE))),"")</f>
        <v/>
      </c>
      <c r="K31" s="114"/>
      <c r="L31" s="118" t="str">
        <f ca="1">IFERROR(VALUE(IF(VLOOKUP($A31,数出表_Excel!$A$6:$T$150,COLUMN()/2+1,FALSE)=0,"",VLOOKUP($A31,数出表_Excel!$A$6:$T$150,COLUMN()/2+1,FALSE))),"")</f>
        <v/>
      </c>
      <c r="M31" s="114"/>
      <c r="N31" s="114" t="str">
        <f ca="1">IFERROR(VALUE(IF(VLOOKUP($A31,数出表_Excel!$A$6:$T$150,COLUMN()/2+1,FALSE)=0,"",VLOOKUP($A31,数出表_Excel!$A$6:$T$150,COLUMN()/2+1,FALSE))),"")</f>
        <v/>
      </c>
      <c r="O31" s="114"/>
      <c r="P31" s="114" t="str">
        <f ca="1">IFERROR(VALUE(IF(VLOOKUP($A31,数出表_Excel!$A$6:$T$150,COLUMN()/2+1,FALSE)=0,"",VLOOKUP($A31,数出表_Excel!$A$6:$T$150,COLUMN()/2+1,FALSE))),"")</f>
        <v/>
      </c>
      <c r="Q31" s="114"/>
      <c r="R31" s="114" t="str">
        <f ca="1">IFERROR(VALUE(IF(VLOOKUP($A31,数出表_Excel!$A$6:$T$150,COLUMN()/2+1,FALSE)=0,"",VLOOKUP($A31,数出表_Excel!$A$6:$T$150,COLUMN()/2+1,FALSE))),"")</f>
        <v/>
      </c>
      <c r="S31" s="114"/>
      <c r="T31" s="114" t="str">
        <f ca="1">IFERROR(VALUE(IF(VLOOKUP($A31,数出表_Excel!$A$6:$T$150,COLUMN()/2+1,FALSE)=0,"",VLOOKUP($A31,数出表_Excel!$A$6:$T$150,COLUMN()/2+1,FALSE))),"")</f>
        <v/>
      </c>
      <c r="U31" s="114"/>
      <c r="V31" s="118" t="str">
        <f ca="1">IFERROR(VALUE(IF(VLOOKUP($A31,数出表_Excel!$A$6:$T$150,COLUMN()/2+1,FALSE)=0,"",VLOOKUP($A31,数出表_Excel!$A$6:$T$150,COLUMN()/2+1,FALSE))),"")</f>
        <v/>
      </c>
      <c r="W31" s="114"/>
      <c r="X31" s="118" t="str">
        <f ca="1">IFERROR(VALUE(IF(VLOOKUP($A31,数出表_Excel!$A$6:$T$150,COLUMN()/2+1,FALSE)=0,"",VLOOKUP($A31,数出表_Excel!$A$6:$T$150,COLUMN()/2+1,FALSE))),"")</f>
        <v/>
      </c>
      <c r="Y31" s="114"/>
      <c r="Z31" s="118" t="str">
        <f ca="1">IFERROR(VALUE(IF(VLOOKUP($A31,数出表_Excel!$A$6:$T$150,COLUMN()/2+1,FALSE)=0,"",VLOOKUP($A31,数出表_Excel!$A$6:$T$150,COLUMN()/2+1,FALSE))),"")</f>
        <v/>
      </c>
      <c r="AA31" s="152"/>
      <c r="AB31" s="119" t="str">
        <f ca="1">IFERROR(VALUE(IF(VLOOKUP($A31,数出表_Excel!$A$6:$T$150,COLUMN()/2+1,FALSE)=0,"",VLOOKUP($A31,数出表_Excel!$A$6:$T$150,COLUMN()/2+1,FALSE))),"")</f>
        <v/>
      </c>
      <c r="AC31" s="114"/>
      <c r="AD31" s="118" t="str">
        <f ca="1">IFERROR(VALUE(IF(VLOOKUP($A31,数出表_Excel!$A$6:$T$150,COLUMN()/2+1,FALSE)=0,"",VLOOKUP($A31,数出表_Excel!$A$6:$T$150,COLUMN()/2+1,FALSE))),"")</f>
        <v/>
      </c>
      <c r="AE31" s="114"/>
      <c r="AF31" s="118" t="str">
        <f ca="1">IFERROR(VALUE(IF(VLOOKUP($A31,数出表_Excel!$A$6:$T$150,COLUMN()/2+1,FALSE)=0,"",VLOOKUP($A31,数出表_Excel!$A$6:$T$150,COLUMN()/2+1,FALSE))),"")</f>
        <v/>
      </c>
      <c r="AG31" s="114"/>
      <c r="AH31" s="118" t="str">
        <f ca="1">IFERROR(VALUE(IF(VLOOKUP($A31,数出表_Excel!$A$6:$T$150,COLUMN()/2+1,FALSE)=0,"",VLOOKUP($A31,数出表_Excel!$A$6:$T$150,COLUMN()/2+1,FALSE))),"")</f>
        <v/>
      </c>
      <c r="AI31" s="152"/>
      <c r="AJ31" s="119" t="str">
        <f ca="1">IFERROR(VALUE(IF(VLOOKUP($A31,数出表_Excel!$A$6:$T$150,COLUMN()/2+1,FALSE)=0,"",VLOOKUP($A31,数出表_Excel!$A$6:$T$150,COLUMN()/2+1,FALSE))),"")</f>
        <v/>
      </c>
      <c r="AK31" s="114"/>
      <c r="AL31" s="120" t="e">
        <f ca="1">IF(A31&lt;&gt;"",
IF(VLOOKUP($A31,数出表_Excel!$A$6:$T$150,COLUMN()/2+1,FALSE)=0,"",VLOOKUP($A31,数出表_Excel!$A$6:$T$150,COLUMN()/2+1,FALSE)),"")</f>
        <v>#N/A</v>
      </c>
      <c r="AM31" s="200" t="e">
        <f ca="1">数出表_Excel!V31</f>
        <v>#N/A</v>
      </c>
      <c r="AN31" s="201" t="e">
        <f ca="1">数出表_Excel!W31</f>
        <v>#N/A</v>
      </c>
    </row>
    <row r="32" spans="1:40" ht="16.2" customHeight="1">
      <c r="A32" s="160" t="e">
        <f t="array" aca="1" ref="A32" ca="1">IF(OR(COUNTIF(A30,"*10002*"),COUNTIF(A30,"")),"",INDEX(貼り付け用!$A1:$A200,MATCH(A30,貼り付け用!$A1:$A200,0)+2,0))</f>
        <v>#N/A</v>
      </c>
      <c r="B32" s="148" t="str">
        <f ca="1">IFERROR(VALUE(IF(VLOOKUP($A32,数出表_Excel!$A$6:$T$150,COLUMN()/2+1,FALSE)=0,"",VLOOKUP($A32,数出表_Excel!$A$6:$T$150,COLUMN()/2+1,FALSE))),"")</f>
        <v/>
      </c>
      <c r="C32" s="113"/>
      <c r="D32" s="148" t="str">
        <f ca="1">IFERROR(VALUE(IF(VLOOKUP($A32,数出表_Excel!$A$6:$T$150,COLUMN()/2+1,FALSE)=0,"",VLOOKUP($A32,数出表_Excel!$A$6:$T$150,COLUMN()/2+1,FALSE))),"")</f>
        <v/>
      </c>
      <c r="E32" s="113"/>
      <c r="F32" s="150" t="str">
        <f ca="1">IFERROR(VALUE(IF(VLOOKUP($A32,数出表_Excel!$A$6:$T$150,COLUMN()/2+1,FALSE)=0,"",VLOOKUP($A32,数出表_Excel!$A$6:$T$150,COLUMN()/2+1,FALSE))),"")</f>
        <v/>
      </c>
      <c r="G32" s="113"/>
      <c r="H32" s="148" t="str">
        <f ca="1">IFERROR(VALUE(IF(VLOOKUP($A32,数出表_Excel!$A$6:$T$150,COLUMN()/2+1,FALSE)=0,"",VLOOKUP($A32,数出表_Excel!$A$6:$T$150,COLUMN()/2+1,FALSE))),"")</f>
        <v/>
      </c>
      <c r="I32" s="113"/>
      <c r="J32" s="148" t="str">
        <f ca="1">IFERROR(VALUE(IF(VLOOKUP($A32,数出表_Excel!$A$6:$T$150,COLUMN()/2+1,FALSE)=0,"",VLOOKUP($A32,数出表_Excel!$A$6:$T$150,COLUMN()/2+1,FALSE))),"")</f>
        <v/>
      </c>
      <c r="K32" s="113"/>
      <c r="L32" s="150" t="str">
        <f ca="1">IFERROR(VALUE(IF(VLOOKUP($A32,数出表_Excel!$A$6:$T$150,COLUMN()/2+1,FALSE)=0,"",VLOOKUP($A32,数出表_Excel!$A$6:$T$150,COLUMN()/2+1,FALSE))),"")</f>
        <v/>
      </c>
      <c r="M32" s="113"/>
      <c r="N32" s="148" t="str">
        <f ca="1">IFERROR(VALUE(IF(VLOOKUP($A32,数出表_Excel!$A$6:$T$150,COLUMN()/2+1,FALSE)=0,"",VLOOKUP($A32,数出表_Excel!$A$6:$T$150,COLUMN()/2+1,FALSE))),"")</f>
        <v/>
      </c>
      <c r="O32" s="113"/>
      <c r="P32" s="148" t="str">
        <f ca="1">IFERROR(VALUE(IF(VLOOKUP($A32,数出表_Excel!$A$6:$T$150,COLUMN()/2+1,FALSE)=0,"",VLOOKUP($A32,数出表_Excel!$A$6:$T$150,COLUMN()/2+1,FALSE))),"")</f>
        <v/>
      </c>
      <c r="Q32" s="113"/>
      <c r="R32" s="148" t="str">
        <f ca="1">IFERROR(VALUE(IF(VLOOKUP($A32,数出表_Excel!$A$6:$T$150,COLUMN()/2+1,FALSE)=0,"",VLOOKUP($A32,数出表_Excel!$A$6:$T$150,COLUMN()/2+1,FALSE))),"")</f>
        <v/>
      </c>
      <c r="S32" s="113"/>
      <c r="T32" s="148" t="str">
        <f ca="1">IFERROR(VALUE(IF(VLOOKUP($A32,数出表_Excel!$A$6:$T$150,COLUMN()/2+1,FALSE)=0,"",VLOOKUP($A32,数出表_Excel!$A$6:$T$150,COLUMN()/2+1,FALSE))),"")</f>
        <v/>
      </c>
      <c r="U32" s="113"/>
      <c r="V32" s="150" t="str">
        <f ca="1">IFERROR(VALUE(IF(VLOOKUP($A32,数出表_Excel!$A$6:$T$150,COLUMN()/2+1,FALSE)=0,"",VLOOKUP($A32,数出表_Excel!$A$6:$T$150,COLUMN()/2+1,FALSE))),"")</f>
        <v/>
      </c>
      <c r="W32" s="113"/>
      <c r="X32" s="150" t="str">
        <f ca="1">IFERROR(VALUE(IF(VLOOKUP($A32,数出表_Excel!$A$6:$T$150,COLUMN()/2+1,FALSE)=0,"",VLOOKUP($A32,数出表_Excel!$A$6:$T$150,COLUMN()/2+1,FALSE))),"")</f>
        <v/>
      </c>
      <c r="Y32" s="113"/>
      <c r="Z32" s="150" t="str">
        <f ca="1">IFERROR(VALUE(IF(VLOOKUP($A32,数出表_Excel!$A$6:$T$150,COLUMN()/2+1,FALSE)=0,"",VLOOKUP($A32,数出表_Excel!$A$6:$T$150,COLUMN()/2+1,FALSE))),"")</f>
        <v/>
      </c>
      <c r="AA32" s="151"/>
      <c r="AB32" s="149" t="str">
        <f ca="1">IFERROR(VALUE(IF(VLOOKUP($A32,数出表_Excel!$A$6:$T$150,COLUMN()/2+1,FALSE)=0,"",VLOOKUP($A32,数出表_Excel!$A$6:$T$150,COLUMN()/2+1,FALSE))),"")</f>
        <v/>
      </c>
      <c r="AC32" s="113"/>
      <c r="AD32" s="150" t="str">
        <f ca="1">IFERROR(VALUE(IF(VLOOKUP($A32,数出表_Excel!$A$6:$T$150,COLUMN()/2+1,FALSE)=0,"",VLOOKUP($A32,数出表_Excel!$A$6:$T$150,COLUMN()/2+1,FALSE))),"")</f>
        <v/>
      </c>
      <c r="AE32" s="113"/>
      <c r="AF32" s="150" t="str">
        <f ca="1">IFERROR(VALUE(IF(VLOOKUP($A32,数出表_Excel!$A$6:$T$150,COLUMN()/2+1,FALSE)=0,"",VLOOKUP($A32,数出表_Excel!$A$6:$T$150,COLUMN()/2+1,FALSE))),"")</f>
        <v/>
      </c>
      <c r="AG32" s="113"/>
      <c r="AH32" s="150" t="str">
        <f ca="1">IFERROR(VALUE(IF(VLOOKUP($A32,数出表_Excel!$A$6:$T$150,COLUMN()/2+1,FALSE)=0,"",VLOOKUP($A32,数出表_Excel!$A$6:$T$150,COLUMN()/2+1,FALSE))),"")</f>
        <v/>
      </c>
      <c r="AI32" s="151"/>
      <c r="AJ32" s="149" t="str">
        <f ca="1">IFERROR(VALUE(IF(VLOOKUP($A32,数出表_Excel!$A$6:$T$150,COLUMN()/2+1,FALSE)=0,"",VLOOKUP($A32,数出表_Excel!$A$6:$T$150,COLUMN()/2+1,FALSE))),"")</f>
        <v/>
      </c>
      <c r="AK32" s="113"/>
      <c r="AL32" s="117" t="e">
        <f ca="1">IF(A32&lt;&gt;"",
IF(VLOOKUP($A32,数出表_Excel!$A$6:$T$150,COLUMN()/2+1,FALSE)=0,"",VLOOKUP($A32,数出表_Excel!$A$6:$T$150,COLUMN()/2+1,FALSE)),"")</f>
        <v>#N/A</v>
      </c>
      <c r="AM32" s="198" t="e">
        <f ca="1">数出表_Excel!V32</f>
        <v>#N/A</v>
      </c>
      <c r="AN32" s="199" t="e">
        <f ca="1">数出表_Excel!W32</f>
        <v>#N/A</v>
      </c>
    </row>
    <row r="33" spans="1:40" ht="16.2" customHeight="1">
      <c r="A33" s="161" t="e">
        <f t="array" aca="1" ref="A33" ca="1">IF(OR(COUNTIF(A31,"*1000*"),COUNTIF(A31,"")),"",INDEX(貼り付け用!$A1:$A200,MATCH(A31,貼り付け用!$A1:$A200,0)+2,0))</f>
        <v>#N/A</v>
      </c>
      <c r="B33" s="114" t="str">
        <f ca="1">IFERROR(VALUE(IF(VLOOKUP($A33,数出表_Excel!$A$6:$T$150,COLUMN()/2+1,FALSE)=0,"",VLOOKUP($A33,数出表_Excel!$A$6:$T$150,COLUMN()/2+1,FALSE))),"")</f>
        <v/>
      </c>
      <c r="C33" s="114"/>
      <c r="D33" s="114" t="str">
        <f ca="1">IFERROR(VALUE(IF(VLOOKUP($A33,数出表_Excel!$A$6:$T$150,COLUMN()/2+1,FALSE)=0,"",VLOOKUP($A33,数出表_Excel!$A$6:$T$150,COLUMN()/2+1,FALSE))),"")</f>
        <v/>
      </c>
      <c r="E33" s="114"/>
      <c r="F33" s="118" t="str">
        <f ca="1">IFERROR(VALUE(IF(VLOOKUP($A33,数出表_Excel!$A$6:$T$150,COLUMN()/2+1,FALSE)=0,"",VLOOKUP($A33,数出表_Excel!$A$6:$T$150,COLUMN()/2+1,FALSE))),"")</f>
        <v/>
      </c>
      <c r="G33" s="114"/>
      <c r="H33" s="114" t="str">
        <f ca="1">IFERROR(VALUE(IF(VLOOKUP($A33,数出表_Excel!$A$6:$T$150,COLUMN()/2+1,FALSE)=0,"",VLOOKUP($A33,数出表_Excel!$A$6:$T$150,COLUMN()/2+1,FALSE))),"")</f>
        <v/>
      </c>
      <c r="I33" s="114"/>
      <c r="J33" s="114" t="str">
        <f ca="1">IFERROR(VALUE(IF(VLOOKUP($A33,数出表_Excel!$A$6:$T$150,COLUMN()/2+1,FALSE)=0,"",VLOOKUP($A33,数出表_Excel!$A$6:$T$150,COLUMN()/2+1,FALSE))),"")</f>
        <v/>
      </c>
      <c r="K33" s="114"/>
      <c r="L33" s="118" t="str">
        <f ca="1">IFERROR(VALUE(IF(VLOOKUP($A33,数出表_Excel!$A$6:$T$150,COLUMN()/2+1,FALSE)=0,"",VLOOKUP($A33,数出表_Excel!$A$6:$T$150,COLUMN()/2+1,FALSE))),"")</f>
        <v/>
      </c>
      <c r="M33" s="114"/>
      <c r="N33" s="114" t="str">
        <f ca="1">IFERROR(VALUE(IF(VLOOKUP($A33,数出表_Excel!$A$6:$T$150,COLUMN()/2+1,FALSE)=0,"",VLOOKUP($A33,数出表_Excel!$A$6:$T$150,COLUMN()/2+1,FALSE))),"")</f>
        <v/>
      </c>
      <c r="O33" s="114"/>
      <c r="P33" s="114" t="str">
        <f ca="1">IFERROR(VALUE(IF(VLOOKUP($A33,数出表_Excel!$A$6:$T$150,COLUMN()/2+1,FALSE)=0,"",VLOOKUP($A33,数出表_Excel!$A$6:$T$150,COLUMN()/2+1,FALSE))),"")</f>
        <v/>
      </c>
      <c r="Q33" s="114"/>
      <c r="R33" s="114" t="str">
        <f ca="1">IFERROR(VALUE(IF(VLOOKUP($A33,数出表_Excel!$A$6:$T$150,COLUMN()/2+1,FALSE)=0,"",VLOOKUP($A33,数出表_Excel!$A$6:$T$150,COLUMN()/2+1,FALSE))),"")</f>
        <v/>
      </c>
      <c r="S33" s="114"/>
      <c r="T33" s="114" t="str">
        <f ca="1">IFERROR(VALUE(IF(VLOOKUP($A33,数出表_Excel!$A$6:$T$150,COLUMN()/2+1,FALSE)=0,"",VLOOKUP($A33,数出表_Excel!$A$6:$T$150,COLUMN()/2+1,FALSE))),"")</f>
        <v/>
      </c>
      <c r="U33" s="114"/>
      <c r="V33" s="118" t="str">
        <f ca="1">IFERROR(VALUE(IF(VLOOKUP($A33,数出表_Excel!$A$6:$T$150,COLUMN()/2+1,FALSE)=0,"",VLOOKUP($A33,数出表_Excel!$A$6:$T$150,COLUMN()/2+1,FALSE))),"")</f>
        <v/>
      </c>
      <c r="W33" s="114"/>
      <c r="X33" s="118" t="str">
        <f ca="1">IFERROR(VALUE(IF(VLOOKUP($A33,数出表_Excel!$A$6:$T$150,COLUMN()/2+1,FALSE)=0,"",VLOOKUP($A33,数出表_Excel!$A$6:$T$150,COLUMN()/2+1,FALSE))),"")</f>
        <v/>
      </c>
      <c r="Y33" s="114"/>
      <c r="Z33" s="118" t="str">
        <f ca="1">IFERROR(VALUE(IF(VLOOKUP($A33,数出表_Excel!$A$6:$T$150,COLUMN()/2+1,FALSE)=0,"",VLOOKUP($A33,数出表_Excel!$A$6:$T$150,COLUMN()/2+1,FALSE))),"")</f>
        <v/>
      </c>
      <c r="AA33" s="152"/>
      <c r="AB33" s="119" t="str">
        <f ca="1">IFERROR(VALUE(IF(VLOOKUP($A33,数出表_Excel!$A$6:$T$150,COLUMN()/2+1,FALSE)=0,"",VLOOKUP($A33,数出表_Excel!$A$6:$T$150,COLUMN()/2+1,FALSE))),"")</f>
        <v/>
      </c>
      <c r="AC33" s="114"/>
      <c r="AD33" s="118" t="str">
        <f ca="1">IFERROR(VALUE(IF(VLOOKUP($A33,数出表_Excel!$A$6:$T$150,COLUMN()/2+1,FALSE)=0,"",VLOOKUP($A33,数出表_Excel!$A$6:$T$150,COLUMN()/2+1,FALSE))),"")</f>
        <v/>
      </c>
      <c r="AE33" s="114"/>
      <c r="AF33" s="118" t="str">
        <f ca="1">IFERROR(VALUE(IF(VLOOKUP($A33,数出表_Excel!$A$6:$T$150,COLUMN()/2+1,FALSE)=0,"",VLOOKUP($A33,数出表_Excel!$A$6:$T$150,COLUMN()/2+1,FALSE))),"")</f>
        <v/>
      </c>
      <c r="AG33" s="114"/>
      <c r="AH33" s="118" t="str">
        <f ca="1">IFERROR(VALUE(IF(VLOOKUP($A33,数出表_Excel!$A$6:$T$150,COLUMN()/2+1,FALSE)=0,"",VLOOKUP($A33,数出表_Excel!$A$6:$T$150,COLUMN()/2+1,FALSE))),"")</f>
        <v/>
      </c>
      <c r="AI33" s="152"/>
      <c r="AJ33" s="119" t="str">
        <f ca="1">IFERROR(VALUE(IF(VLOOKUP($A33,数出表_Excel!$A$6:$T$150,COLUMN()/2+1,FALSE)=0,"",VLOOKUP($A33,数出表_Excel!$A$6:$T$150,COLUMN()/2+1,FALSE))),"")</f>
        <v/>
      </c>
      <c r="AK33" s="114"/>
      <c r="AL33" s="120" t="e">
        <f ca="1">IF(A33&lt;&gt;"",
IF(VLOOKUP($A33,数出表_Excel!$A$6:$T$150,COLUMN()/2+1,FALSE)=0,"",VLOOKUP($A33,数出表_Excel!$A$6:$T$150,COLUMN()/2+1,FALSE)),"")</f>
        <v>#N/A</v>
      </c>
      <c r="AM33" s="200" t="e">
        <f ca="1">数出表_Excel!V33</f>
        <v>#N/A</v>
      </c>
      <c r="AN33" s="201" t="e">
        <f ca="1">数出表_Excel!W33</f>
        <v>#N/A</v>
      </c>
    </row>
    <row r="34" spans="1:40" ht="16.2" customHeight="1">
      <c r="A34" s="160" t="e">
        <f t="array" aca="1" ref="A34" ca="1">IF(OR(COUNTIF(A32,"*10002*"),COUNTIF(A32,"")),"",INDEX(貼り付け用!$A1:$A200,MATCH(A32,貼り付け用!$A1:$A200,0)+2,0))</f>
        <v>#N/A</v>
      </c>
      <c r="B34" s="148" t="str">
        <f ca="1">IFERROR(VALUE(IF(VLOOKUP($A34,数出表_Excel!$A$6:$T$150,COLUMN()/2+1,FALSE)=0,"",VLOOKUP($A34,数出表_Excel!$A$6:$T$150,COLUMN()/2+1,FALSE))),"")</f>
        <v/>
      </c>
      <c r="C34" s="113"/>
      <c r="D34" s="148" t="str">
        <f ca="1">IFERROR(VALUE(IF(VLOOKUP($A34,数出表_Excel!$A$6:$T$150,COLUMN()/2+1,FALSE)=0,"",VLOOKUP($A34,数出表_Excel!$A$6:$T$150,COLUMN()/2+1,FALSE))),"")</f>
        <v/>
      </c>
      <c r="E34" s="113"/>
      <c r="F34" s="150" t="str">
        <f ca="1">IFERROR(VALUE(IF(VLOOKUP($A34,数出表_Excel!$A$6:$T$150,COLUMN()/2+1,FALSE)=0,"",VLOOKUP($A34,数出表_Excel!$A$6:$T$150,COLUMN()/2+1,FALSE))),"")</f>
        <v/>
      </c>
      <c r="G34" s="113"/>
      <c r="H34" s="148" t="str">
        <f ca="1">IFERROR(VALUE(IF(VLOOKUP($A34,数出表_Excel!$A$6:$T$150,COLUMN()/2+1,FALSE)=0,"",VLOOKUP($A34,数出表_Excel!$A$6:$T$150,COLUMN()/2+1,FALSE))),"")</f>
        <v/>
      </c>
      <c r="I34" s="113"/>
      <c r="J34" s="148" t="str">
        <f ca="1">IFERROR(VALUE(IF(VLOOKUP($A34,数出表_Excel!$A$6:$T$150,COLUMN()/2+1,FALSE)=0,"",VLOOKUP($A34,数出表_Excel!$A$6:$T$150,COLUMN()/2+1,FALSE))),"")</f>
        <v/>
      </c>
      <c r="K34" s="113"/>
      <c r="L34" s="150" t="str">
        <f ca="1">IFERROR(VALUE(IF(VLOOKUP($A34,数出表_Excel!$A$6:$T$150,COLUMN()/2+1,FALSE)=0,"",VLOOKUP($A34,数出表_Excel!$A$6:$T$150,COLUMN()/2+1,FALSE))),"")</f>
        <v/>
      </c>
      <c r="M34" s="113"/>
      <c r="N34" s="148" t="str">
        <f ca="1">IFERROR(VALUE(IF(VLOOKUP($A34,数出表_Excel!$A$6:$T$150,COLUMN()/2+1,FALSE)=0,"",VLOOKUP($A34,数出表_Excel!$A$6:$T$150,COLUMN()/2+1,FALSE))),"")</f>
        <v/>
      </c>
      <c r="O34" s="113"/>
      <c r="P34" s="148" t="str">
        <f ca="1">IFERROR(VALUE(IF(VLOOKUP($A34,数出表_Excel!$A$6:$T$150,COLUMN()/2+1,FALSE)=0,"",VLOOKUP($A34,数出表_Excel!$A$6:$T$150,COLUMN()/2+1,FALSE))),"")</f>
        <v/>
      </c>
      <c r="Q34" s="113"/>
      <c r="R34" s="148" t="str">
        <f ca="1">IFERROR(VALUE(IF(VLOOKUP($A34,数出表_Excel!$A$6:$T$150,COLUMN()/2+1,FALSE)=0,"",VLOOKUP($A34,数出表_Excel!$A$6:$T$150,COLUMN()/2+1,FALSE))),"")</f>
        <v/>
      </c>
      <c r="S34" s="113"/>
      <c r="T34" s="148" t="str">
        <f ca="1">IFERROR(VALUE(IF(VLOOKUP($A34,数出表_Excel!$A$6:$T$150,COLUMN()/2+1,FALSE)=0,"",VLOOKUP($A34,数出表_Excel!$A$6:$T$150,COLUMN()/2+1,FALSE))),"")</f>
        <v/>
      </c>
      <c r="U34" s="113"/>
      <c r="V34" s="150" t="str">
        <f ca="1">IFERROR(VALUE(IF(VLOOKUP($A34,数出表_Excel!$A$6:$T$150,COLUMN()/2+1,FALSE)=0,"",VLOOKUP($A34,数出表_Excel!$A$6:$T$150,COLUMN()/2+1,FALSE))),"")</f>
        <v/>
      </c>
      <c r="W34" s="113"/>
      <c r="X34" s="150" t="str">
        <f ca="1">IFERROR(VALUE(IF(VLOOKUP($A34,数出表_Excel!$A$6:$T$150,COLUMN()/2+1,FALSE)=0,"",VLOOKUP($A34,数出表_Excel!$A$6:$T$150,COLUMN()/2+1,FALSE))),"")</f>
        <v/>
      </c>
      <c r="Y34" s="113"/>
      <c r="Z34" s="150" t="str">
        <f ca="1">IFERROR(VALUE(IF(VLOOKUP($A34,数出表_Excel!$A$6:$T$150,COLUMN()/2+1,FALSE)=0,"",VLOOKUP($A34,数出表_Excel!$A$6:$T$150,COLUMN()/2+1,FALSE))),"")</f>
        <v/>
      </c>
      <c r="AA34" s="151"/>
      <c r="AB34" s="149" t="str">
        <f ca="1">IFERROR(VALUE(IF(VLOOKUP($A34,数出表_Excel!$A$6:$T$150,COLUMN()/2+1,FALSE)=0,"",VLOOKUP($A34,数出表_Excel!$A$6:$T$150,COLUMN()/2+1,FALSE))),"")</f>
        <v/>
      </c>
      <c r="AC34" s="113"/>
      <c r="AD34" s="150" t="str">
        <f ca="1">IFERROR(VALUE(IF(VLOOKUP($A34,数出表_Excel!$A$6:$T$150,COLUMN()/2+1,FALSE)=0,"",VLOOKUP($A34,数出表_Excel!$A$6:$T$150,COLUMN()/2+1,FALSE))),"")</f>
        <v/>
      </c>
      <c r="AE34" s="113"/>
      <c r="AF34" s="150" t="str">
        <f ca="1">IFERROR(VALUE(IF(VLOOKUP($A34,数出表_Excel!$A$6:$T$150,COLUMN()/2+1,FALSE)=0,"",VLOOKUP($A34,数出表_Excel!$A$6:$T$150,COLUMN()/2+1,FALSE))),"")</f>
        <v/>
      </c>
      <c r="AG34" s="113"/>
      <c r="AH34" s="150" t="str">
        <f ca="1">IFERROR(VALUE(IF(VLOOKUP($A34,数出表_Excel!$A$6:$T$150,COLUMN()/2+1,FALSE)=0,"",VLOOKUP($A34,数出表_Excel!$A$6:$T$150,COLUMN()/2+1,FALSE))),"")</f>
        <v/>
      </c>
      <c r="AI34" s="151"/>
      <c r="AJ34" s="149" t="str">
        <f ca="1">IFERROR(VALUE(IF(VLOOKUP($A34,数出表_Excel!$A$6:$T$150,COLUMN()/2+1,FALSE)=0,"",VLOOKUP($A34,数出表_Excel!$A$6:$T$150,COLUMN()/2+1,FALSE))),"")</f>
        <v/>
      </c>
      <c r="AK34" s="113"/>
      <c r="AL34" s="117" t="e">
        <f ca="1">IF(A34&lt;&gt;"",
IF(VLOOKUP($A34,数出表_Excel!$A$6:$T$150,COLUMN()/2+1,FALSE)=0,"",VLOOKUP($A34,数出表_Excel!$A$6:$T$150,COLUMN()/2+1,FALSE)),"")</f>
        <v>#N/A</v>
      </c>
      <c r="AM34" s="198" t="e">
        <f ca="1">数出表_Excel!V34</f>
        <v>#N/A</v>
      </c>
      <c r="AN34" s="199" t="e">
        <f ca="1">数出表_Excel!W34</f>
        <v>#N/A</v>
      </c>
    </row>
    <row r="35" spans="1:40" ht="16.2" customHeight="1">
      <c r="A35" s="161" t="e">
        <f t="array" aca="1" ref="A35" ca="1">IF(OR(COUNTIF(A33,"*1000*"),COUNTIF(A33,"")),"",INDEX(貼り付け用!$A1:$A200,MATCH(A33,貼り付け用!$A1:$A200,0)+2,0))</f>
        <v>#N/A</v>
      </c>
      <c r="B35" s="114" t="str">
        <f ca="1">IFERROR(VALUE(IF(VLOOKUP($A35,数出表_Excel!$A$6:$T$150,COLUMN()/2+1,FALSE)=0,"",VLOOKUP($A35,数出表_Excel!$A$6:$T$150,COLUMN()/2+1,FALSE))),"")</f>
        <v/>
      </c>
      <c r="C35" s="114"/>
      <c r="D35" s="114" t="str">
        <f ca="1">IFERROR(VALUE(IF(VLOOKUP($A35,数出表_Excel!$A$6:$T$150,COLUMN()/2+1,FALSE)=0,"",VLOOKUP($A35,数出表_Excel!$A$6:$T$150,COLUMN()/2+1,FALSE))),"")</f>
        <v/>
      </c>
      <c r="E35" s="114"/>
      <c r="F35" s="118" t="str">
        <f ca="1">IFERROR(VALUE(IF(VLOOKUP($A35,数出表_Excel!$A$6:$T$150,COLUMN()/2+1,FALSE)=0,"",VLOOKUP($A35,数出表_Excel!$A$6:$T$150,COLUMN()/2+1,FALSE))),"")</f>
        <v/>
      </c>
      <c r="G35" s="114"/>
      <c r="H35" s="114" t="str">
        <f ca="1">IFERROR(VALUE(IF(VLOOKUP($A35,数出表_Excel!$A$6:$T$150,COLUMN()/2+1,FALSE)=0,"",VLOOKUP($A35,数出表_Excel!$A$6:$T$150,COLUMN()/2+1,FALSE))),"")</f>
        <v/>
      </c>
      <c r="I35" s="114"/>
      <c r="J35" s="114" t="str">
        <f ca="1">IFERROR(VALUE(IF(VLOOKUP($A35,数出表_Excel!$A$6:$T$150,COLUMN()/2+1,FALSE)=0,"",VLOOKUP($A35,数出表_Excel!$A$6:$T$150,COLUMN()/2+1,FALSE))),"")</f>
        <v/>
      </c>
      <c r="K35" s="114"/>
      <c r="L35" s="118" t="str">
        <f ca="1">IFERROR(VALUE(IF(VLOOKUP($A35,数出表_Excel!$A$6:$T$150,COLUMN()/2+1,FALSE)=0,"",VLOOKUP($A35,数出表_Excel!$A$6:$T$150,COLUMN()/2+1,FALSE))),"")</f>
        <v/>
      </c>
      <c r="M35" s="114"/>
      <c r="N35" s="114" t="str">
        <f ca="1">IFERROR(VALUE(IF(VLOOKUP($A35,数出表_Excel!$A$6:$T$150,COLUMN()/2+1,FALSE)=0,"",VLOOKUP($A35,数出表_Excel!$A$6:$T$150,COLUMN()/2+1,FALSE))),"")</f>
        <v/>
      </c>
      <c r="O35" s="114"/>
      <c r="P35" s="114" t="str">
        <f ca="1">IFERROR(VALUE(IF(VLOOKUP($A35,数出表_Excel!$A$6:$T$150,COLUMN()/2+1,FALSE)=0,"",VLOOKUP($A35,数出表_Excel!$A$6:$T$150,COLUMN()/2+1,FALSE))),"")</f>
        <v/>
      </c>
      <c r="Q35" s="114"/>
      <c r="R35" s="114" t="str">
        <f ca="1">IFERROR(VALUE(IF(VLOOKUP($A35,数出表_Excel!$A$6:$T$150,COLUMN()/2+1,FALSE)=0,"",VLOOKUP($A35,数出表_Excel!$A$6:$T$150,COLUMN()/2+1,FALSE))),"")</f>
        <v/>
      </c>
      <c r="S35" s="114"/>
      <c r="T35" s="114" t="str">
        <f ca="1">IFERROR(VALUE(IF(VLOOKUP($A35,数出表_Excel!$A$6:$T$150,COLUMN()/2+1,FALSE)=0,"",VLOOKUP($A35,数出表_Excel!$A$6:$T$150,COLUMN()/2+1,FALSE))),"")</f>
        <v/>
      </c>
      <c r="U35" s="114"/>
      <c r="V35" s="118" t="str">
        <f ca="1">IFERROR(VALUE(IF(VLOOKUP($A35,数出表_Excel!$A$6:$T$150,COLUMN()/2+1,FALSE)=0,"",VLOOKUP($A35,数出表_Excel!$A$6:$T$150,COLUMN()/2+1,FALSE))),"")</f>
        <v/>
      </c>
      <c r="W35" s="114"/>
      <c r="X35" s="118" t="str">
        <f ca="1">IFERROR(VALUE(IF(VLOOKUP($A35,数出表_Excel!$A$6:$T$150,COLUMN()/2+1,FALSE)=0,"",VLOOKUP($A35,数出表_Excel!$A$6:$T$150,COLUMN()/2+1,FALSE))),"")</f>
        <v/>
      </c>
      <c r="Y35" s="114"/>
      <c r="Z35" s="118" t="str">
        <f ca="1">IFERROR(VALUE(IF(VLOOKUP($A35,数出表_Excel!$A$6:$T$150,COLUMN()/2+1,FALSE)=0,"",VLOOKUP($A35,数出表_Excel!$A$6:$T$150,COLUMN()/2+1,FALSE))),"")</f>
        <v/>
      </c>
      <c r="AA35" s="152"/>
      <c r="AB35" s="119" t="str">
        <f ca="1">IFERROR(VALUE(IF(VLOOKUP($A35,数出表_Excel!$A$6:$T$150,COLUMN()/2+1,FALSE)=0,"",VLOOKUP($A35,数出表_Excel!$A$6:$T$150,COLUMN()/2+1,FALSE))),"")</f>
        <v/>
      </c>
      <c r="AC35" s="114"/>
      <c r="AD35" s="118" t="str">
        <f ca="1">IFERROR(VALUE(IF(VLOOKUP($A35,数出表_Excel!$A$6:$T$150,COLUMN()/2+1,FALSE)=0,"",VLOOKUP($A35,数出表_Excel!$A$6:$T$150,COLUMN()/2+1,FALSE))),"")</f>
        <v/>
      </c>
      <c r="AE35" s="114"/>
      <c r="AF35" s="118" t="str">
        <f ca="1">IFERROR(VALUE(IF(VLOOKUP($A35,数出表_Excel!$A$6:$T$150,COLUMN()/2+1,FALSE)=0,"",VLOOKUP($A35,数出表_Excel!$A$6:$T$150,COLUMN()/2+1,FALSE))),"")</f>
        <v/>
      </c>
      <c r="AG35" s="114"/>
      <c r="AH35" s="118" t="str">
        <f ca="1">IFERROR(VALUE(IF(VLOOKUP($A35,数出表_Excel!$A$6:$T$150,COLUMN()/2+1,FALSE)=0,"",VLOOKUP($A35,数出表_Excel!$A$6:$T$150,COLUMN()/2+1,FALSE))),"")</f>
        <v/>
      </c>
      <c r="AI35" s="152"/>
      <c r="AJ35" s="119" t="str">
        <f ca="1">IFERROR(VALUE(IF(VLOOKUP($A35,数出表_Excel!$A$6:$T$150,COLUMN()/2+1,FALSE)=0,"",VLOOKUP($A35,数出表_Excel!$A$6:$T$150,COLUMN()/2+1,FALSE))),"")</f>
        <v/>
      </c>
      <c r="AK35" s="114"/>
      <c r="AL35" s="120" t="e">
        <f ca="1">IF(A35&lt;&gt;"",
IF(VLOOKUP($A35,数出表_Excel!$A$6:$T$150,COLUMN()/2+1,FALSE)=0,"",VLOOKUP($A35,数出表_Excel!$A$6:$T$150,COLUMN()/2+1,FALSE)),"")</f>
        <v>#N/A</v>
      </c>
      <c r="AM35" s="200" t="e">
        <f ca="1">数出表_Excel!V35</f>
        <v>#N/A</v>
      </c>
      <c r="AN35" s="201" t="e">
        <f ca="1">数出表_Excel!W35</f>
        <v>#N/A</v>
      </c>
    </row>
    <row r="36" spans="1:40" ht="16.2" customHeight="1">
      <c r="A36" s="160" t="e">
        <f t="array" aca="1" ref="A36" ca="1">IF(OR(COUNTIF(A34,"*10002*"),COUNTIF(A34,"")),"",INDEX(貼り付け用!$A1:$A200,MATCH(A34,貼り付け用!$A1:$A200,0)+2,0))</f>
        <v>#N/A</v>
      </c>
      <c r="B36" s="148" t="str">
        <f ca="1">IFERROR(VALUE(IF(VLOOKUP($A36,数出表_Excel!$A$6:$T$150,COLUMN()/2+1,FALSE)=0,"",VLOOKUP($A36,数出表_Excel!$A$6:$T$150,COLUMN()/2+1,FALSE))),"")</f>
        <v/>
      </c>
      <c r="C36" s="113"/>
      <c r="D36" s="148" t="str">
        <f ca="1">IFERROR(VALUE(IF(VLOOKUP($A36,数出表_Excel!$A$6:$T$150,COLUMN()/2+1,FALSE)=0,"",VLOOKUP($A36,数出表_Excel!$A$6:$T$150,COLUMN()/2+1,FALSE))),"")</f>
        <v/>
      </c>
      <c r="E36" s="113"/>
      <c r="F36" s="150" t="str">
        <f ca="1">IFERROR(VALUE(IF(VLOOKUP($A36,数出表_Excel!$A$6:$T$150,COLUMN()/2+1,FALSE)=0,"",VLOOKUP($A36,数出表_Excel!$A$6:$T$150,COLUMN()/2+1,FALSE))),"")</f>
        <v/>
      </c>
      <c r="G36" s="113"/>
      <c r="H36" s="148" t="str">
        <f ca="1">IFERROR(VALUE(IF(VLOOKUP($A36,数出表_Excel!$A$6:$T$150,COLUMN()/2+1,FALSE)=0,"",VLOOKUP($A36,数出表_Excel!$A$6:$T$150,COLUMN()/2+1,FALSE))),"")</f>
        <v/>
      </c>
      <c r="I36" s="113"/>
      <c r="J36" s="148" t="str">
        <f ca="1">IFERROR(VALUE(IF(VLOOKUP($A36,数出表_Excel!$A$6:$T$150,COLUMN()/2+1,FALSE)=0,"",VLOOKUP($A36,数出表_Excel!$A$6:$T$150,COLUMN()/2+1,FALSE))),"")</f>
        <v/>
      </c>
      <c r="K36" s="113"/>
      <c r="L36" s="150" t="str">
        <f ca="1">IFERROR(VALUE(IF(VLOOKUP($A36,数出表_Excel!$A$6:$T$150,COLUMN()/2+1,FALSE)=0,"",VLOOKUP($A36,数出表_Excel!$A$6:$T$150,COLUMN()/2+1,FALSE))),"")</f>
        <v/>
      </c>
      <c r="M36" s="113"/>
      <c r="N36" s="148" t="str">
        <f ca="1">IFERROR(VALUE(IF(VLOOKUP($A36,数出表_Excel!$A$6:$T$150,COLUMN()/2+1,FALSE)=0,"",VLOOKUP($A36,数出表_Excel!$A$6:$T$150,COLUMN()/2+1,FALSE))),"")</f>
        <v/>
      </c>
      <c r="O36" s="113"/>
      <c r="P36" s="148" t="str">
        <f ca="1">IFERROR(VALUE(IF(VLOOKUP($A36,数出表_Excel!$A$6:$T$150,COLUMN()/2+1,FALSE)=0,"",VLOOKUP($A36,数出表_Excel!$A$6:$T$150,COLUMN()/2+1,FALSE))),"")</f>
        <v/>
      </c>
      <c r="Q36" s="113"/>
      <c r="R36" s="148" t="str">
        <f ca="1">IFERROR(VALUE(IF(VLOOKUP($A36,数出表_Excel!$A$6:$T$150,COLUMN()/2+1,FALSE)=0,"",VLOOKUP($A36,数出表_Excel!$A$6:$T$150,COLUMN()/2+1,FALSE))),"")</f>
        <v/>
      </c>
      <c r="S36" s="113"/>
      <c r="T36" s="148" t="str">
        <f ca="1">IFERROR(VALUE(IF(VLOOKUP($A36,数出表_Excel!$A$6:$T$150,COLUMN()/2+1,FALSE)=0,"",VLOOKUP($A36,数出表_Excel!$A$6:$T$150,COLUMN()/2+1,FALSE))),"")</f>
        <v/>
      </c>
      <c r="U36" s="113"/>
      <c r="V36" s="150" t="str">
        <f ca="1">IFERROR(VALUE(IF(VLOOKUP($A36,数出表_Excel!$A$6:$T$150,COLUMN()/2+1,FALSE)=0,"",VLOOKUP($A36,数出表_Excel!$A$6:$T$150,COLUMN()/2+1,FALSE))),"")</f>
        <v/>
      </c>
      <c r="W36" s="113"/>
      <c r="X36" s="150" t="str">
        <f ca="1">IFERROR(VALUE(IF(VLOOKUP($A36,数出表_Excel!$A$6:$T$150,COLUMN()/2+1,FALSE)=0,"",VLOOKUP($A36,数出表_Excel!$A$6:$T$150,COLUMN()/2+1,FALSE))),"")</f>
        <v/>
      </c>
      <c r="Y36" s="113"/>
      <c r="Z36" s="150" t="str">
        <f ca="1">IFERROR(VALUE(IF(VLOOKUP($A36,数出表_Excel!$A$6:$T$150,COLUMN()/2+1,FALSE)=0,"",VLOOKUP($A36,数出表_Excel!$A$6:$T$150,COLUMN()/2+1,FALSE))),"")</f>
        <v/>
      </c>
      <c r="AA36" s="151"/>
      <c r="AB36" s="149" t="str">
        <f ca="1">IFERROR(VALUE(IF(VLOOKUP($A36,数出表_Excel!$A$6:$T$150,COLUMN()/2+1,FALSE)=0,"",VLOOKUP($A36,数出表_Excel!$A$6:$T$150,COLUMN()/2+1,FALSE))),"")</f>
        <v/>
      </c>
      <c r="AC36" s="113"/>
      <c r="AD36" s="150" t="str">
        <f ca="1">IFERROR(VALUE(IF(VLOOKUP($A36,数出表_Excel!$A$6:$T$150,COLUMN()/2+1,FALSE)=0,"",VLOOKUP($A36,数出表_Excel!$A$6:$T$150,COLUMN()/2+1,FALSE))),"")</f>
        <v/>
      </c>
      <c r="AE36" s="113"/>
      <c r="AF36" s="150" t="str">
        <f ca="1">IFERROR(VALUE(IF(VLOOKUP($A36,数出表_Excel!$A$6:$T$150,COLUMN()/2+1,FALSE)=0,"",VLOOKUP($A36,数出表_Excel!$A$6:$T$150,COLUMN()/2+1,FALSE))),"")</f>
        <v/>
      </c>
      <c r="AG36" s="113"/>
      <c r="AH36" s="150" t="str">
        <f ca="1">IFERROR(VALUE(IF(VLOOKUP($A36,数出表_Excel!$A$6:$T$150,COLUMN()/2+1,FALSE)=0,"",VLOOKUP($A36,数出表_Excel!$A$6:$T$150,COLUMN()/2+1,FALSE))),"")</f>
        <v/>
      </c>
      <c r="AI36" s="151"/>
      <c r="AJ36" s="149" t="str">
        <f ca="1">IFERROR(VALUE(IF(VLOOKUP($A36,数出表_Excel!$A$6:$T$150,COLUMN()/2+1,FALSE)=0,"",VLOOKUP($A36,数出表_Excel!$A$6:$T$150,COLUMN()/2+1,FALSE))),"")</f>
        <v/>
      </c>
      <c r="AK36" s="113"/>
      <c r="AL36" s="117" t="e">
        <f ca="1">IF(A36&lt;&gt;"",
IF(VLOOKUP($A36,数出表_Excel!$A$6:$T$150,COLUMN()/2+1,FALSE)=0,"",VLOOKUP($A36,数出表_Excel!$A$6:$T$150,COLUMN()/2+1,FALSE)),"")</f>
        <v>#N/A</v>
      </c>
      <c r="AM36" s="198" t="e">
        <f ca="1">数出表_Excel!V36</f>
        <v>#N/A</v>
      </c>
      <c r="AN36" s="199" t="e">
        <f ca="1">数出表_Excel!W36</f>
        <v>#N/A</v>
      </c>
    </row>
    <row r="37" spans="1:40" ht="16.2" customHeight="1">
      <c r="A37" s="161" t="e">
        <f t="array" aca="1" ref="A37" ca="1">IF(OR(COUNTIF(A35,"*1000*"),COUNTIF(A35,"")),"",INDEX(貼り付け用!$A1:$A200,MATCH(A35,貼り付け用!$A1:$A200,0)+2,0))</f>
        <v>#N/A</v>
      </c>
      <c r="B37" s="114" t="str">
        <f ca="1">IFERROR(VALUE(IF(VLOOKUP($A37,数出表_Excel!$A$6:$T$150,COLUMN()/2+1,FALSE)=0,"",VLOOKUP($A37,数出表_Excel!$A$6:$T$150,COLUMN()/2+1,FALSE))),"")</f>
        <v/>
      </c>
      <c r="C37" s="114"/>
      <c r="D37" s="114" t="str">
        <f ca="1">IFERROR(VALUE(IF(VLOOKUP($A37,数出表_Excel!$A$6:$T$150,COLUMN()/2+1,FALSE)=0,"",VLOOKUP($A37,数出表_Excel!$A$6:$T$150,COLUMN()/2+1,FALSE))),"")</f>
        <v/>
      </c>
      <c r="E37" s="114"/>
      <c r="F37" s="118" t="str">
        <f ca="1">IFERROR(VALUE(IF(VLOOKUP($A37,数出表_Excel!$A$6:$T$150,COLUMN()/2+1,FALSE)=0,"",VLOOKUP($A37,数出表_Excel!$A$6:$T$150,COLUMN()/2+1,FALSE))),"")</f>
        <v/>
      </c>
      <c r="G37" s="114"/>
      <c r="H37" s="114" t="str">
        <f ca="1">IFERROR(VALUE(IF(VLOOKUP($A37,数出表_Excel!$A$6:$T$150,COLUMN()/2+1,FALSE)=0,"",VLOOKUP($A37,数出表_Excel!$A$6:$T$150,COLUMN()/2+1,FALSE))),"")</f>
        <v/>
      </c>
      <c r="I37" s="114"/>
      <c r="J37" s="114" t="str">
        <f ca="1">IFERROR(VALUE(IF(VLOOKUP($A37,数出表_Excel!$A$6:$T$150,COLUMN()/2+1,FALSE)=0,"",VLOOKUP($A37,数出表_Excel!$A$6:$T$150,COLUMN()/2+1,FALSE))),"")</f>
        <v/>
      </c>
      <c r="K37" s="114"/>
      <c r="L37" s="118" t="str">
        <f ca="1">IFERROR(VALUE(IF(VLOOKUP($A37,数出表_Excel!$A$6:$T$150,COLUMN()/2+1,FALSE)=0,"",VLOOKUP($A37,数出表_Excel!$A$6:$T$150,COLUMN()/2+1,FALSE))),"")</f>
        <v/>
      </c>
      <c r="M37" s="114"/>
      <c r="N37" s="114" t="str">
        <f ca="1">IFERROR(VALUE(IF(VLOOKUP($A37,数出表_Excel!$A$6:$T$150,COLUMN()/2+1,FALSE)=0,"",VLOOKUP($A37,数出表_Excel!$A$6:$T$150,COLUMN()/2+1,FALSE))),"")</f>
        <v/>
      </c>
      <c r="O37" s="114"/>
      <c r="P37" s="114" t="str">
        <f ca="1">IFERROR(VALUE(IF(VLOOKUP($A37,数出表_Excel!$A$6:$T$150,COLUMN()/2+1,FALSE)=0,"",VLOOKUP($A37,数出表_Excel!$A$6:$T$150,COLUMN()/2+1,FALSE))),"")</f>
        <v/>
      </c>
      <c r="Q37" s="114"/>
      <c r="R37" s="114" t="str">
        <f ca="1">IFERROR(VALUE(IF(VLOOKUP($A37,数出表_Excel!$A$6:$T$150,COLUMN()/2+1,FALSE)=0,"",VLOOKUP($A37,数出表_Excel!$A$6:$T$150,COLUMN()/2+1,FALSE))),"")</f>
        <v/>
      </c>
      <c r="S37" s="114"/>
      <c r="T37" s="114" t="str">
        <f ca="1">IFERROR(VALUE(IF(VLOOKUP($A37,数出表_Excel!$A$6:$T$150,COLUMN()/2+1,FALSE)=0,"",VLOOKUP($A37,数出表_Excel!$A$6:$T$150,COLUMN()/2+1,FALSE))),"")</f>
        <v/>
      </c>
      <c r="U37" s="114"/>
      <c r="V37" s="118" t="str">
        <f ca="1">IFERROR(VALUE(IF(VLOOKUP($A37,数出表_Excel!$A$6:$T$150,COLUMN()/2+1,FALSE)=0,"",VLOOKUP($A37,数出表_Excel!$A$6:$T$150,COLUMN()/2+1,FALSE))),"")</f>
        <v/>
      </c>
      <c r="W37" s="114"/>
      <c r="X37" s="118" t="str">
        <f ca="1">IFERROR(VALUE(IF(VLOOKUP($A37,数出表_Excel!$A$6:$T$150,COLUMN()/2+1,FALSE)=0,"",VLOOKUP($A37,数出表_Excel!$A$6:$T$150,COLUMN()/2+1,FALSE))),"")</f>
        <v/>
      </c>
      <c r="Y37" s="114"/>
      <c r="Z37" s="118" t="str">
        <f ca="1">IFERROR(VALUE(IF(VLOOKUP($A37,数出表_Excel!$A$6:$T$150,COLUMN()/2+1,FALSE)=0,"",VLOOKUP($A37,数出表_Excel!$A$6:$T$150,COLUMN()/2+1,FALSE))),"")</f>
        <v/>
      </c>
      <c r="AA37" s="152"/>
      <c r="AB37" s="119" t="str">
        <f ca="1">IFERROR(VALUE(IF(VLOOKUP($A37,数出表_Excel!$A$6:$T$150,COLUMN()/2+1,FALSE)=0,"",VLOOKUP($A37,数出表_Excel!$A$6:$T$150,COLUMN()/2+1,FALSE))),"")</f>
        <v/>
      </c>
      <c r="AC37" s="114"/>
      <c r="AD37" s="118" t="str">
        <f ca="1">IFERROR(VALUE(IF(VLOOKUP($A37,数出表_Excel!$A$6:$T$150,COLUMN()/2+1,FALSE)=0,"",VLOOKUP($A37,数出表_Excel!$A$6:$T$150,COLUMN()/2+1,FALSE))),"")</f>
        <v/>
      </c>
      <c r="AE37" s="114"/>
      <c r="AF37" s="118" t="str">
        <f ca="1">IFERROR(VALUE(IF(VLOOKUP($A37,数出表_Excel!$A$6:$T$150,COLUMN()/2+1,FALSE)=0,"",VLOOKUP($A37,数出表_Excel!$A$6:$T$150,COLUMN()/2+1,FALSE))),"")</f>
        <v/>
      </c>
      <c r="AG37" s="114"/>
      <c r="AH37" s="118" t="str">
        <f ca="1">IFERROR(VALUE(IF(VLOOKUP($A37,数出表_Excel!$A$6:$T$150,COLUMN()/2+1,FALSE)=0,"",VLOOKUP($A37,数出表_Excel!$A$6:$T$150,COLUMN()/2+1,FALSE))),"")</f>
        <v/>
      </c>
      <c r="AI37" s="152"/>
      <c r="AJ37" s="119" t="str">
        <f ca="1">IFERROR(VALUE(IF(VLOOKUP($A37,数出表_Excel!$A$6:$T$150,COLUMN()/2+1,FALSE)=0,"",VLOOKUP($A37,数出表_Excel!$A$6:$T$150,COLUMN()/2+1,FALSE))),"")</f>
        <v/>
      </c>
      <c r="AK37" s="114"/>
      <c r="AL37" s="120" t="e">
        <f ca="1">IF(A37&lt;&gt;"",
IF(VLOOKUP($A37,数出表_Excel!$A$6:$T$150,COLUMN()/2+1,FALSE)=0,"",VLOOKUP($A37,数出表_Excel!$A$6:$T$150,COLUMN()/2+1,FALSE)),"")</f>
        <v>#N/A</v>
      </c>
      <c r="AM37" s="200" t="e">
        <f ca="1">数出表_Excel!V37</f>
        <v>#N/A</v>
      </c>
      <c r="AN37" s="201" t="e">
        <f ca="1">数出表_Excel!W37</f>
        <v>#N/A</v>
      </c>
    </row>
    <row r="38" spans="1:40" ht="16.2" customHeight="1">
      <c r="A38" s="160" t="e">
        <f t="array" aca="1" ref="A38" ca="1">IF(OR(COUNTIF(A36,"*10002*"),COUNTIF(A36,"")),"",INDEX(貼り付け用!$A1:$A200,MATCH(A36,貼り付け用!$A1:$A200,0)+2,0))</f>
        <v>#N/A</v>
      </c>
      <c r="B38" s="148" t="str">
        <f ca="1">IFERROR(VALUE(IF(VLOOKUP($A38,数出表_Excel!$A$6:$T$150,COLUMN()/2+1,FALSE)=0,"",VLOOKUP($A38,数出表_Excel!$A$6:$T$150,COLUMN()/2+1,FALSE))),"")</f>
        <v/>
      </c>
      <c r="C38" s="113"/>
      <c r="D38" s="148" t="str">
        <f ca="1">IFERROR(VALUE(IF(VLOOKUP($A38,数出表_Excel!$A$6:$T$150,COLUMN()/2+1,FALSE)=0,"",VLOOKUP($A38,数出表_Excel!$A$6:$T$150,COLUMN()/2+1,FALSE))),"")</f>
        <v/>
      </c>
      <c r="E38" s="113"/>
      <c r="F38" s="150" t="str">
        <f ca="1">IFERROR(VALUE(IF(VLOOKUP($A38,数出表_Excel!$A$6:$T$150,COLUMN()/2+1,FALSE)=0,"",VLOOKUP($A38,数出表_Excel!$A$6:$T$150,COLUMN()/2+1,FALSE))),"")</f>
        <v/>
      </c>
      <c r="G38" s="113"/>
      <c r="H38" s="148" t="str">
        <f ca="1">IFERROR(VALUE(IF(VLOOKUP($A38,数出表_Excel!$A$6:$T$150,COLUMN()/2+1,FALSE)=0,"",VLOOKUP($A38,数出表_Excel!$A$6:$T$150,COLUMN()/2+1,FALSE))),"")</f>
        <v/>
      </c>
      <c r="I38" s="113"/>
      <c r="J38" s="148" t="str">
        <f ca="1">IFERROR(VALUE(IF(VLOOKUP($A38,数出表_Excel!$A$6:$T$150,COLUMN()/2+1,FALSE)=0,"",VLOOKUP($A38,数出表_Excel!$A$6:$T$150,COLUMN()/2+1,FALSE))),"")</f>
        <v/>
      </c>
      <c r="K38" s="113"/>
      <c r="L38" s="150" t="str">
        <f ca="1">IFERROR(VALUE(IF(VLOOKUP($A38,数出表_Excel!$A$6:$T$150,COLUMN()/2+1,FALSE)=0,"",VLOOKUP($A38,数出表_Excel!$A$6:$T$150,COLUMN()/2+1,FALSE))),"")</f>
        <v/>
      </c>
      <c r="M38" s="113"/>
      <c r="N38" s="148" t="str">
        <f ca="1">IFERROR(VALUE(IF(VLOOKUP($A38,数出表_Excel!$A$6:$T$150,COLUMN()/2+1,FALSE)=0,"",VLOOKUP($A38,数出表_Excel!$A$6:$T$150,COLUMN()/2+1,FALSE))),"")</f>
        <v/>
      </c>
      <c r="O38" s="113"/>
      <c r="P38" s="148" t="str">
        <f ca="1">IFERROR(VALUE(IF(VLOOKUP($A38,数出表_Excel!$A$6:$T$150,COLUMN()/2+1,FALSE)=0,"",VLOOKUP($A38,数出表_Excel!$A$6:$T$150,COLUMN()/2+1,FALSE))),"")</f>
        <v/>
      </c>
      <c r="Q38" s="113"/>
      <c r="R38" s="148" t="str">
        <f ca="1">IFERROR(VALUE(IF(VLOOKUP($A38,数出表_Excel!$A$6:$T$150,COLUMN()/2+1,FALSE)=0,"",VLOOKUP($A38,数出表_Excel!$A$6:$T$150,COLUMN()/2+1,FALSE))),"")</f>
        <v/>
      </c>
      <c r="S38" s="113"/>
      <c r="T38" s="148" t="str">
        <f ca="1">IFERROR(VALUE(IF(VLOOKUP($A38,数出表_Excel!$A$6:$T$150,COLUMN()/2+1,FALSE)=0,"",VLOOKUP($A38,数出表_Excel!$A$6:$T$150,COLUMN()/2+1,FALSE))),"")</f>
        <v/>
      </c>
      <c r="U38" s="113"/>
      <c r="V38" s="150" t="str">
        <f ca="1">IFERROR(VALUE(IF(VLOOKUP($A38,数出表_Excel!$A$6:$T$150,COLUMN()/2+1,FALSE)=0,"",VLOOKUP($A38,数出表_Excel!$A$6:$T$150,COLUMN()/2+1,FALSE))),"")</f>
        <v/>
      </c>
      <c r="W38" s="113"/>
      <c r="X38" s="150" t="str">
        <f ca="1">IFERROR(VALUE(IF(VLOOKUP($A38,数出表_Excel!$A$6:$T$150,COLUMN()/2+1,FALSE)=0,"",VLOOKUP($A38,数出表_Excel!$A$6:$T$150,COLUMN()/2+1,FALSE))),"")</f>
        <v/>
      </c>
      <c r="Y38" s="113"/>
      <c r="Z38" s="150" t="str">
        <f ca="1">IFERROR(VALUE(IF(VLOOKUP($A38,数出表_Excel!$A$6:$T$150,COLUMN()/2+1,FALSE)=0,"",VLOOKUP($A38,数出表_Excel!$A$6:$T$150,COLUMN()/2+1,FALSE))),"")</f>
        <v/>
      </c>
      <c r="AA38" s="151"/>
      <c r="AB38" s="149" t="str">
        <f ca="1">IFERROR(VALUE(IF(VLOOKUP($A38,数出表_Excel!$A$6:$T$150,COLUMN()/2+1,FALSE)=0,"",VLOOKUP($A38,数出表_Excel!$A$6:$T$150,COLUMN()/2+1,FALSE))),"")</f>
        <v/>
      </c>
      <c r="AC38" s="113"/>
      <c r="AD38" s="150" t="str">
        <f ca="1">IFERROR(VALUE(IF(VLOOKUP($A38,数出表_Excel!$A$6:$T$150,COLUMN()/2+1,FALSE)=0,"",VLOOKUP($A38,数出表_Excel!$A$6:$T$150,COLUMN()/2+1,FALSE))),"")</f>
        <v/>
      </c>
      <c r="AE38" s="113"/>
      <c r="AF38" s="150" t="str">
        <f ca="1">IFERROR(VALUE(IF(VLOOKUP($A38,数出表_Excel!$A$6:$T$150,COLUMN()/2+1,FALSE)=0,"",VLOOKUP($A38,数出表_Excel!$A$6:$T$150,COLUMN()/2+1,FALSE))),"")</f>
        <v/>
      </c>
      <c r="AG38" s="113"/>
      <c r="AH38" s="150" t="str">
        <f ca="1">IFERROR(VALUE(IF(VLOOKUP($A38,数出表_Excel!$A$6:$T$150,COLUMN()/2+1,FALSE)=0,"",VLOOKUP($A38,数出表_Excel!$A$6:$T$150,COLUMN()/2+1,FALSE))),"")</f>
        <v/>
      </c>
      <c r="AI38" s="151"/>
      <c r="AJ38" s="149" t="str">
        <f ca="1">IFERROR(VALUE(IF(VLOOKUP($A38,数出表_Excel!$A$6:$T$150,COLUMN()/2+1,FALSE)=0,"",VLOOKUP($A38,数出表_Excel!$A$6:$T$150,COLUMN()/2+1,FALSE))),"")</f>
        <v/>
      </c>
      <c r="AK38" s="113"/>
      <c r="AL38" s="117" t="e">
        <f ca="1">IF(A38&lt;&gt;"",
IF(VLOOKUP($A38,数出表_Excel!$A$6:$T$150,COLUMN()/2+1,FALSE)=0,"",VLOOKUP($A38,数出表_Excel!$A$6:$T$150,COLUMN()/2+1,FALSE)),"")</f>
        <v>#N/A</v>
      </c>
      <c r="AM38" s="198" t="e">
        <f ca="1">数出表_Excel!V38</f>
        <v>#N/A</v>
      </c>
      <c r="AN38" s="199" t="e">
        <f ca="1">数出表_Excel!W38</f>
        <v>#N/A</v>
      </c>
    </row>
    <row r="39" spans="1:40" ht="16.2" customHeight="1">
      <c r="A39" s="161" t="e">
        <f t="array" aca="1" ref="A39" ca="1">IF(OR(COUNTIF(A37,"*1000*"),COUNTIF(A37,"")),"",INDEX(貼り付け用!$A1:$A200,MATCH(A37,貼り付け用!$A1:$A200,0)+2,0))</f>
        <v>#N/A</v>
      </c>
      <c r="B39" s="114" t="str">
        <f ca="1">IFERROR(VALUE(IF(VLOOKUP($A39,数出表_Excel!$A$6:$T$150,COLUMN()/2+1,FALSE)=0,"",VLOOKUP($A39,数出表_Excel!$A$6:$T$150,COLUMN()/2+1,FALSE))),"")</f>
        <v/>
      </c>
      <c r="C39" s="114"/>
      <c r="D39" s="114" t="str">
        <f ca="1">IFERROR(VALUE(IF(VLOOKUP($A39,数出表_Excel!$A$6:$T$150,COLUMN()/2+1,FALSE)=0,"",VLOOKUP($A39,数出表_Excel!$A$6:$T$150,COLUMN()/2+1,FALSE))),"")</f>
        <v/>
      </c>
      <c r="E39" s="114"/>
      <c r="F39" s="118" t="str">
        <f ca="1">IFERROR(VALUE(IF(VLOOKUP($A39,数出表_Excel!$A$6:$T$150,COLUMN()/2+1,FALSE)=0,"",VLOOKUP($A39,数出表_Excel!$A$6:$T$150,COLUMN()/2+1,FALSE))),"")</f>
        <v/>
      </c>
      <c r="G39" s="114"/>
      <c r="H39" s="114" t="str">
        <f ca="1">IFERROR(VALUE(IF(VLOOKUP($A39,数出表_Excel!$A$6:$T$150,COLUMN()/2+1,FALSE)=0,"",VLOOKUP($A39,数出表_Excel!$A$6:$T$150,COLUMN()/2+1,FALSE))),"")</f>
        <v/>
      </c>
      <c r="I39" s="114"/>
      <c r="J39" s="114" t="str">
        <f ca="1">IFERROR(VALUE(IF(VLOOKUP($A39,数出表_Excel!$A$6:$T$150,COLUMN()/2+1,FALSE)=0,"",VLOOKUP($A39,数出表_Excel!$A$6:$T$150,COLUMN()/2+1,FALSE))),"")</f>
        <v/>
      </c>
      <c r="K39" s="114"/>
      <c r="L39" s="118" t="str">
        <f ca="1">IFERROR(VALUE(IF(VLOOKUP($A39,数出表_Excel!$A$6:$T$150,COLUMN()/2+1,FALSE)=0,"",VLOOKUP($A39,数出表_Excel!$A$6:$T$150,COLUMN()/2+1,FALSE))),"")</f>
        <v/>
      </c>
      <c r="M39" s="114"/>
      <c r="N39" s="114" t="str">
        <f ca="1">IFERROR(VALUE(IF(VLOOKUP($A39,数出表_Excel!$A$6:$T$150,COLUMN()/2+1,FALSE)=0,"",VLOOKUP($A39,数出表_Excel!$A$6:$T$150,COLUMN()/2+1,FALSE))),"")</f>
        <v/>
      </c>
      <c r="O39" s="114"/>
      <c r="P39" s="114" t="str">
        <f ca="1">IFERROR(VALUE(IF(VLOOKUP($A39,数出表_Excel!$A$6:$T$150,COLUMN()/2+1,FALSE)=0,"",VLOOKUP($A39,数出表_Excel!$A$6:$T$150,COLUMN()/2+1,FALSE))),"")</f>
        <v/>
      </c>
      <c r="Q39" s="114"/>
      <c r="R39" s="114" t="str">
        <f ca="1">IFERROR(VALUE(IF(VLOOKUP($A39,数出表_Excel!$A$6:$T$150,COLUMN()/2+1,FALSE)=0,"",VLOOKUP($A39,数出表_Excel!$A$6:$T$150,COLUMN()/2+1,FALSE))),"")</f>
        <v/>
      </c>
      <c r="S39" s="114"/>
      <c r="T39" s="114" t="str">
        <f ca="1">IFERROR(VALUE(IF(VLOOKUP($A39,数出表_Excel!$A$6:$T$150,COLUMN()/2+1,FALSE)=0,"",VLOOKUP($A39,数出表_Excel!$A$6:$T$150,COLUMN()/2+1,FALSE))),"")</f>
        <v/>
      </c>
      <c r="U39" s="114"/>
      <c r="V39" s="118" t="str">
        <f ca="1">IFERROR(VALUE(IF(VLOOKUP($A39,数出表_Excel!$A$6:$T$150,COLUMN()/2+1,FALSE)=0,"",VLOOKUP($A39,数出表_Excel!$A$6:$T$150,COLUMN()/2+1,FALSE))),"")</f>
        <v/>
      </c>
      <c r="W39" s="114"/>
      <c r="X39" s="118" t="str">
        <f ca="1">IFERROR(VALUE(IF(VLOOKUP($A39,数出表_Excel!$A$6:$T$150,COLUMN()/2+1,FALSE)=0,"",VLOOKUP($A39,数出表_Excel!$A$6:$T$150,COLUMN()/2+1,FALSE))),"")</f>
        <v/>
      </c>
      <c r="Y39" s="114"/>
      <c r="Z39" s="118" t="str">
        <f ca="1">IFERROR(VALUE(IF(VLOOKUP($A39,数出表_Excel!$A$6:$T$150,COLUMN()/2+1,FALSE)=0,"",VLOOKUP($A39,数出表_Excel!$A$6:$T$150,COLUMN()/2+1,FALSE))),"")</f>
        <v/>
      </c>
      <c r="AA39" s="152"/>
      <c r="AB39" s="119" t="str">
        <f ca="1">IFERROR(VALUE(IF(VLOOKUP($A39,数出表_Excel!$A$6:$T$150,COLUMN()/2+1,FALSE)=0,"",VLOOKUP($A39,数出表_Excel!$A$6:$T$150,COLUMN()/2+1,FALSE))),"")</f>
        <v/>
      </c>
      <c r="AC39" s="114"/>
      <c r="AD39" s="118" t="str">
        <f ca="1">IFERROR(VALUE(IF(VLOOKUP($A39,数出表_Excel!$A$6:$T$150,COLUMN()/2+1,FALSE)=0,"",VLOOKUP($A39,数出表_Excel!$A$6:$T$150,COLUMN()/2+1,FALSE))),"")</f>
        <v/>
      </c>
      <c r="AE39" s="114"/>
      <c r="AF39" s="118" t="str">
        <f ca="1">IFERROR(VALUE(IF(VLOOKUP($A39,数出表_Excel!$A$6:$T$150,COLUMN()/2+1,FALSE)=0,"",VLOOKUP($A39,数出表_Excel!$A$6:$T$150,COLUMN()/2+1,FALSE))),"")</f>
        <v/>
      </c>
      <c r="AG39" s="114"/>
      <c r="AH39" s="118" t="str">
        <f ca="1">IFERROR(VALUE(IF(VLOOKUP($A39,数出表_Excel!$A$6:$T$150,COLUMN()/2+1,FALSE)=0,"",VLOOKUP($A39,数出表_Excel!$A$6:$T$150,COLUMN()/2+1,FALSE))),"")</f>
        <v/>
      </c>
      <c r="AI39" s="152"/>
      <c r="AJ39" s="119" t="str">
        <f ca="1">IFERROR(VALUE(IF(VLOOKUP($A39,数出表_Excel!$A$6:$T$150,COLUMN()/2+1,FALSE)=0,"",VLOOKUP($A39,数出表_Excel!$A$6:$T$150,COLUMN()/2+1,FALSE))),"")</f>
        <v/>
      </c>
      <c r="AK39" s="114"/>
      <c r="AL39" s="120" t="e">
        <f ca="1">IF(A39&lt;&gt;"",
IF(VLOOKUP($A39,数出表_Excel!$A$6:$T$150,COLUMN()/2+1,FALSE)=0,"",VLOOKUP($A39,数出表_Excel!$A$6:$T$150,COLUMN()/2+1,FALSE)),"")</f>
        <v>#N/A</v>
      </c>
      <c r="AM39" s="200" t="e">
        <f ca="1">数出表_Excel!V39</f>
        <v>#N/A</v>
      </c>
      <c r="AN39" s="201" t="e">
        <f ca="1">数出表_Excel!W39</f>
        <v>#N/A</v>
      </c>
    </row>
    <row r="40" spans="1:40" ht="16.2" customHeight="1">
      <c r="A40" s="160" t="e">
        <f t="array" aca="1" ref="A40" ca="1">IF(OR(COUNTIF(A38,"*10002*"),COUNTIF(A38,"")),"",INDEX(貼り付け用!$A1:$A200,MATCH(A38,貼り付け用!$A1:$A200,0)+2,0))</f>
        <v>#N/A</v>
      </c>
      <c r="B40" s="148" t="str">
        <f ca="1">IFERROR(VALUE(IF(VLOOKUP($A40,数出表_Excel!$A$6:$T$150,COLUMN()/2+1,FALSE)=0,"",VLOOKUP($A40,数出表_Excel!$A$6:$T$150,COLUMN()/2+1,FALSE))),"")</f>
        <v/>
      </c>
      <c r="C40" s="113"/>
      <c r="D40" s="148" t="str">
        <f ca="1">IFERROR(VALUE(IF(VLOOKUP($A40,数出表_Excel!$A$6:$T$150,COLUMN()/2+1,FALSE)=0,"",VLOOKUP($A40,数出表_Excel!$A$6:$T$150,COLUMN()/2+1,FALSE))),"")</f>
        <v/>
      </c>
      <c r="E40" s="113"/>
      <c r="F40" s="150" t="str">
        <f ca="1">IFERROR(VALUE(IF(VLOOKUP($A40,数出表_Excel!$A$6:$T$150,COLUMN()/2+1,FALSE)=0,"",VLOOKUP($A40,数出表_Excel!$A$6:$T$150,COLUMN()/2+1,FALSE))),"")</f>
        <v/>
      </c>
      <c r="G40" s="113"/>
      <c r="H40" s="148" t="str">
        <f ca="1">IFERROR(VALUE(IF(VLOOKUP($A40,数出表_Excel!$A$6:$T$150,COLUMN()/2+1,FALSE)=0,"",VLOOKUP($A40,数出表_Excel!$A$6:$T$150,COLUMN()/2+1,FALSE))),"")</f>
        <v/>
      </c>
      <c r="I40" s="113"/>
      <c r="J40" s="148" t="str">
        <f ca="1">IFERROR(VALUE(IF(VLOOKUP($A40,数出表_Excel!$A$6:$T$150,COLUMN()/2+1,FALSE)=0,"",VLOOKUP($A40,数出表_Excel!$A$6:$T$150,COLUMN()/2+1,FALSE))),"")</f>
        <v/>
      </c>
      <c r="K40" s="113"/>
      <c r="L40" s="150" t="str">
        <f ca="1">IFERROR(VALUE(IF(VLOOKUP($A40,数出表_Excel!$A$6:$T$150,COLUMN()/2+1,FALSE)=0,"",VLOOKUP($A40,数出表_Excel!$A$6:$T$150,COLUMN()/2+1,FALSE))),"")</f>
        <v/>
      </c>
      <c r="M40" s="113"/>
      <c r="N40" s="148" t="str">
        <f ca="1">IFERROR(VALUE(IF(VLOOKUP($A40,数出表_Excel!$A$6:$T$150,COLUMN()/2+1,FALSE)=0,"",VLOOKUP($A40,数出表_Excel!$A$6:$T$150,COLUMN()/2+1,FALSE))),"")</f>
        <v/>
      </c>
      <c r="O40" s="113"/>
      <c r="P40" s="148" t="str">
        <f ca="1">IFERROR(VALUE(IF(VLOOKUP($A40,数出表_Excel!$A$6:$T$150,COLUMN()/2+1,FALSE)=0,"",VLOOKUP($A40,数出表_Excel!$A$6:$T$150,COLUMN()/2+1,FALSE))),"")</f>
        <v/>
      </c>
      <c r="Q40" s="113"/>
      <c r="R40" s="148" t="str">
        <f ca="1">IFERROR(VALUE(IF(VLOOKUP($A40,数出表_Excel!$A$6:$T$150,COLUMN()/2+1,FALSE)=0,"",VLOOKUP($A40,数出表_Excel!$A$6:$T$150,COLUMN()/2+1,FALSE))),"")</f>
        <v/>
      </c>
      <c r="S40" s="113"/>
      <c r="T40" s="148" t="str">
        <f ca="1">IFERROR(VALUE(IF(VLOOKUP($A40,数出表_Excel!$A$6:$T$150,COLUMN()/2+1,FALSE)=0,"",VLOOKUP($A40,数出表_Excel!$A$6:$T$150,COLUMN()/2+1,FALSE))),"")</f>
        <v/>
      </c>
      <c r="U40" s="113"/>
      <c r="V40" s="150" t="str">
        <f ca="1">IFERROR(VALUE(IF(VLOOKUP($A40,数出表_Excel!$A$6:$T$150,COLUMN()/2+1,FALSE)=0,"",VLOOKUP($A40,数出表_Excel!$A$6:$T$150,COLUMN()/2+1,FALSE))),"")</f>
        <v/>
      </c>
      <c r="W40" s="113"/>
      <c r="X40" s="150" t="str">
        <f ca="1">IFERROR(VALUE(IF(VLOOKUP($A40,数出表_Excel!$A$6:$T$150,COLUMN()/2+1,FALSE)=0,"",VLOOKUP($A40,数出表_Excel!$A$6:$T$150,COLUMN()/2+1,FALSE))),"")</f>
        <v/>
      </c>
      <c r="Y40" s="113"/>
      <c r="Z40" s="150" t="str">
        <f ca="1">IFERROR(VALUE(IF(VLOOKUP($A40,数出表_Excel!$A$6:$T$150,COLUMN()/2+1,FALSE)=0,"",VLOOKUP($A40,数出表_Excel!$A$6:$T$150,COLUMN()/2+1,FALSE))),"")</f>
        <v/>
      </c>
      <c r="AA40" s="151"/>
      <c r="AB40" s="149" t="str">
        <f ca="1">IFERROR(VALUE(IF(VLOOKUP($A40,数出表_Excel!$A$6:$T$150,COLUMN()/2+1,FALSE)=0,"",VLOOKUP($A40,数出表_Excel!$A$6:$T$150,COLUMN()/2+1,FALSE))),"")</f>
        <v/>
      </c>
      <c r="AC40" s="113"/>
      <c r="AD40" s="150" t="str">
        <f ca="1">IFERROR(VALUE(IF(VLOOKUP($A40,数出表_Excel!$A$6:$T$150,COLUMN()/2+1,FALSE)=0,"",VLOOKUP($A40,数出表_Excel!$A$6:$T$150,COLUMN()/2+1,FALSE))),"")</f>
        <v/>
      </c>
      <c r="AE40" s="113"/>
      <c r="AF40" s="150" t="str">
        <f ca="1">IFERROR(VALUE(IF(VLOOKUP($A40,数出表_Excel!$A$6:$T$150,COLUMN()/2+1,FALSE)=0,"",VLOOKUP($A40,数出表_Excel!$A$6:$T$150,COLUMN()/2+1,FALSE))),"")</f>
        <v/>
      </c>
      <c r="AG40" s="113"/>
      <c r="AH40" s="150" t="str">
        <f ca="1">IFERROR(VALUE(IF(VLOOKUP($A40,数出表_Excel!$A$6:$T$150,COLUMN()/2+1,FALSE)=0,"",VLOOKUP($A40,数出表_Excel!$A$6:$T$150,COLUMN()/2+1,FALSE))),"")</f>
        <v/>
      </c>
      <c r="AI40" s="151"/>
      <c r="AJ40" s="149" t="str">
        <f ca="1">IFERROR(VALUE(IF(VLOOKUP($A40,数出表_Excel!$A$6:$T$150,COLUMN()/2+1,FALSE)=0,"",VLOOKUP($A40,数出表_Excel!$A$6:$T$150,COLUMN()/2+1,FALSE))),"")</f>
        <v/>
      </c>
      <c r="AK40" s="113"/>
      <c r="AL40" s="117" t="e">
        <f ca="1">IF(A40&lt;&gt;"",
IF(VLOOKUP($A40,数出表_Excel!$A$6:$T$150,COLUMN()/2+1,FALSE)=0,"",VLOOKUP($A40,数出表_Excel!$A$6:$T$150,COLUMN()/2+1,FALSE)),"")</f>
        <v>#N/A</v>
      </c>
      <c r="AM40" s="198" t="e">
        <f>数出表_Excel!V40</f>
        <v>#N/A</v>
      </c>
      <c r="AN40" s="199" t="e">
        <f>数出表_Excel!W40</f>
        <v>#N/A</v>
      </c>
    </row>
    <row r="41" spans="1:40" ht="16.2" customHeight="1">
      <c r="A41" s="161" t="e">
        <f t="array" aca="1" ref="A41" ca="1">IF(OR(COUNTIF(A39,"*1000*"),COUNTIF(A39,"")),"",INDEX(貼り付け用!$A1:$A200,MATCH(A39,貼り付け用!$A1:$A200,0)+2,0))</f>
        <v>#N/A</v>
      </c>
      <c r="B41" s="114" t="str">
        <f ca="1">IFERROR(VALUE(IF(VLOOKUP($A41,数出表_Excel!$A$6:$T$150,COLUMN()/2+1,FALSE)=0,"",VLOOKUP($A41,数出表_Excel!$A$6:$T$150,COLUMN()/2+1,FALSE))),"")</f>
        <v/>
      </c>
      <c r="C41" s="114"/>
      <c r="D41" s="114" t="str">
        <f ca="1">IFERROR(VALUE(IF(VLOOKUP($A41,数出表_Excel!$A$6:$T$150,COLUMN()/2+1,FALSE)=0,"",VLOOKUP($A41,数出表_Excel!$A$6:$T$150,COLUMN()/2+1,FALSE))),"")</f>
        <v/>
      </c>
      <c r="E41" s="114"/>
      <c r="F41" s="118" t="str">
        <f ca="1">IFERROR(VALUE(IF(VLOOKUP($A41,数出表_Excel!$A$6:$T$150,COLUMN()/2+1,FALSE)=0,"",VLOOKUP($A41,数出表_Excel!$A$6:$T$150,COLUMN()/2+1,FALSE))),"")</f>
        <v/>
      </c>
      <c r="G41" s="114"/>
      <c r="H41" s="114" t="str">
        <f ca="1">IFERROR(VALUE(IF(VLOOKUP($A41,数出表_Excel!$A$6:$T$150,COLUMN()/2+1,FALSE)=0,"",VLOOKUP($A41,数出表_Excel!$A$6:$T$150,COLUMN()/2+1,FALSE))),"")</f>
        <v/>
      </c>
      <c r="I41" s="114"/>
      <c r="J41" s="114" t="str">
        <f ca="1">IFERROR(VALUE(IF(VLOOKUP($A41,数出表_Excel!$A$6:$T$150,COLUMN()/2+1,FALSE)=0,"",VLOOKUP($A41,数出表_Excel!$A$6:$T$150,COLUMN()/2+1,FALSE))),"")</f>
        <v/>
      </c>
      <c r="K41" s="114"/>
      <c r="L41" s="118" t="str">
        <f ca="1">IFERROR(VALUE(IF(VLOOKUP($A41,数出表_Excel!$A$6:$T$150,COLUMN()/2+1,FALSE)=0,"",VLOOKUP($A41,数出表_Excel!$A$6:$T$150,COLUMN()/2+1,FALSE))),"")</f>
        <v/>
      </c>
      <c r="M41" s="114"/>
      <c r="N41" s="114" t="str">
        <f ca="1">IFERROR(VALUE(IF(VLOOKUP($A41,数出表_Excel!$A$6:$T$150,COLUMN()/2+1,FALSE)=0,"",VLOOKUP($A41,数出表_Excel!$A$6:$T$150,COLUMN()/2+1,FALSE))),"")</f>
        <v/>
      </c>
      <c r="O41" s="114"/>
      <c r="P41" s="114" t="str">
        <f ca="1">IFERROR(VALUE(IF(VLOOKUP($A41,数出表_Excel!$A$6:$T$150,COLUMN()/2+1,FALSE)=0,"",VLOOKUP($A41,数出表_Excel!$A$6:$T$150,COLUMN()/2+1,FALSE))),"")</f>
        <v/>
      </c>
      <c r="Q41" s="114"/>
      <c r="R41" s="114" t="str">
        <f ca="1">IFERROR(VALUE(IF(VLOOKUP($A41,数出表_Excel!$A$6:$T$150,COLUMN()/2+1,FALSE)=0,"",VLOOKUP($A41,数出表_Excel!$A$6:$T$150,COLUMN()/2+1,FALSE))),"")</f>
        <v/>
      </c>
      <c r="S41" s="114"/>
      <c r="T41" s="114" t="str">
        <f ca="1">IFERROR(VALUE(IF(VLOOKUP($A41,数出表_Excel!$A$6:$T$150,COLUMN()/2+1,FALSE)=0,"",VLOOKUP($A41,数出表_Excel!$A$6:$T$150,COLUMN()/2+1,FALSE))),"")</f>
        <v/>
      </c>
      <c r="U41" s="114"/>
      <c r="V41" s="118" t="str">
        <f ca="1">IFERROR(VALUE(IF(VLOOKUP($A41,数出表_Excel!$A$6:$T$150,COLUMN()/2+1,FALSE)=0,"",VLOOKUP($A41,数出表_Excel!$A$6:$T$150,COLUMN()/2+1,FALSE))),"")</f>
        <v/>
      </c>
      <c r="W41" s="114"/>
      <c r="X41" s="118" t="str">
        <f ca="1">IFERROR(VALUE(IF(VLOOKUP($A41,数出表_Excel!$A$6:$T$150,COLUMN()/2+1,FALSE)=0,"",VLOOKUP($A41,数出表_Excel!$A$6:$T$150,COLUMN()/2+1,FALSE))),"")</f>
        <v/>
      </c>
      <c r="Y41" s="114"/>
      <c r="Z41" s="118" t="str">
        <f ca="1">IFERROR(VALUE(IF(VLOOKUP($A41,数出表_Excel!$A$6:$T$150,COLUMN()/2+1,FALSE)=0,"",VLOOKUP($A41,数出表_Excel!$A$6:$T$150,COLUMN()/2+1,FALSE))),"")</f>
        <v/>
      </c>
      <c r="AA41" s="152"/>
      <c r="AB41" s="119" t="str">
        <f ca="1">IFERROR(VALUE(IF(VLOOKUP($A41,数出表_Excel!$A$6:$T$150,COLUMN()/2+1,FALSE)=0,"",VLOOKUP($A41,数出表_Excel!$A$6:$T$150,COLUMN()/2+1,FALSE))),"")</f>
        <v/>
      </c>
      <c r="AC41" s="114"/>
      <c r="AD41" s="118" t="str">
        <f ca="1">IFERROR(VALUE(IF(VLOOKUP($A41,数出表_Excel!$A$6:$T$150,COLUMN()/2+1,FALSE)=0,"",VLOOKUP($A41,数出表_Excel!$A$6:$T$150,COLUMN()/2+1,FALSE))),"")</f>
        <v/>
      </c>
      <c r="AE41" s="114"/>
      <c r="AF41" s="118" t="str">
        <f ca="1">IFERROR(VALUE(IF(VLOOKUP($A41,数出表_Excel!$A$6:$T$150,COLUMN()/2+1,FALSE)=0,"",VLOOKUP($A41,数出表_Excel!$A$6:$T$150,COLUMN()/2+1,FALSE))),"")</f>
        <v/>
      </c>
      <c r="AG41" s="114"/>
      <c r="AH41" s="118" t="str">
        <f ca="1">IFERROR(VALUE(IF(VLOOKUP($A41,数出表_Excel!$A$6:$T$150,COLUMN()/2+1,FALSE)=0,"",VLOOKUP($A41,数出表_Excel!$A$6:$T$150,COLUMN()/2+1,FALSE))),"")</f>
        <v/>
      </c>
      <c r="AI41" s="152"/>
      <c r="AJ41" s="119" t="str">
        <f ca="1">IFERROR(VALUE(IF(VLOOKUP($A41,数出表_Excel!$A$6:$T$150,COLUMN()/2+1,FALSE)=0,"",VLOOKUP($A41,数出表_Excel!$A$6:$T$150,COLUMN()/2+1,FALSE))),"")</f>
        <v/>
      </c>
      <c r="AK41" s="114"/>
      <c r="AL41" s="120" t="e">
        <f ca="1">IF(A41&lt;&gt;"",
IF(VLOOKUP($A41,数出表_Excel!$A$6:$T$150,COLUMN()/2+1,FALSE)=0,"",VLOOKUP($A41,数出表_Excel!$A$6:$T$150,COLUMN()/2+1,FALSE)),"")</f>
        <v>#N/A</v>
      </c>
      <c r="AM41" s="200" t="e">
        <f>数出表_Excel!V41</f>
        <v>#N/A</v>
      </c>
      <c r="AN41" s="201" t="e">
        <f>数出表_Excel!W41</f>
        <v>#N/A</v>
      </c>
    </row>
    <row r="42" spans="1:40" ht="16.2" customHeight="1">
      <c r="A42" s="160" t="e">
        <f t="array" aca="1" ref="A42" ca="1">IF(OR(COUNTIF(A40,"*10002*"),COUNTIF(A40,"")),"",INDEX(貼り付け用!$A1:$A200,MATCH(A40,貼り付け用!$A1:$A200,0)+2,0))</f>
        <v>#N/A</v>
      </c>
      <c r="B42" s="148" t="str">
        <f ca="1">IFERROR(VALUE(IF(VLOOKUP($A42,数出表_Excel!$A$6:$T$150,COLUMN()/2+1,FALSE)=0,"",VLOOKUP($A42,数出表_Excel!$A$6:$T$150,COLUMN()/2+1,FALSE))),"")</f>
        <v/>
      </c>
      <c r="C42" s="113"/>
      <c r="D42" s="148" t="str">
        <f ca="1">IFERROR(VALUE(IF(VLOOKUP($A42,数出表_Excel!$A$6:$T$150,COLUMN()/2+1,FALSE)=0,"",VLOOKUP($A42,数出表_Excel!$A$6:$T$150,COLUMN()/2+1,FALSE))),"")</f>
        <v/>
      </c>
      <c r="E42" s="113"/>
      <c r="F42" s="150" t="str">
        <f ca="1">IFERROR(VALUE(IF(VLOOKUP($A42,数出表_Excel!$A$6:$T$150,COLUMN()/2+1,FALSE)=0,"",VLOOKUP($A42,数出表_Excel!$A$6:$T$150,COLUMN()/2+1,FALSE))),"")</f>
        <v/>
      </c>
      <c r="G42" s="113"/>
      <c r="H42" s="148" t="str">
        <f ca="1">IFERROR(VALUE(IF(VLOOKUP($A42,数出表_Excel!$A$6:$T$150,COLUMN()/2+1,FALSE)=0,"",VLOOKUP($A42,数出表_Excel!$A$6:$T$150,COLUMN()/2+1,FALSE))),"")</f>
        <v/>
      </c>
      <c r="I42" s="113"/>
      <c r="J42" s="148" t="str">
        <f ca="1">IFERROR(VALUE(IF(VLOOKUP($A42,数出表_Excel!$A$6:$T$150,COLUMN()/2+1,FALSE)=0,"",VLOOKUP($A42,数出表_Excel!$A$6:$T$150,COLUMN()/2+1,FALSE))),"")</f>
        <v/>
      </c>
      <c r="K42" s="113"/>
      <c r="L42" s="150" t="str">
        <f ca="1">IFERROR(VALUE(IF(VLOOKUP($A42,数出表_Excel!$A$6:$T$150,COLUMN()/2+1,FALSE)=0,"",VLOOKUP($A42,数出表_Excel!$A$6:$T$150,COLUMN()/2+1,FALSE))),"")</f>
        <v/>
      </c>
      <c r="M42" s="113"/>
      <c r="N42" s="148" t="str">
        <f ca="1">IFERROR(VALUE(IF(VLOOKUP($A42,数出表_Excel!$A$6:$T$150,COLUMN()/2+1,FALSE)=0,"",VLOOKUP($A42,数出表_Excel!$A$6:$T$150,COLUMN()/2+1,FALSE))),"")</f>
        <v/>
      </c>
      <c r="O42" s="113"/>
      <c r="P42" s="148" t="str">
        <f ca="1">IFERROR(VALUE(IF(VLOOKUP($A42,数出表_Excel!$A$6:$T$150,COLUMN()/2+1,FALSE)=0,"",VLOOKUP($A42,数出表_Excel!$A$6:$T$150,COLUMN()/2+1,FALSE))),"")</f>
        <v/>
      </c>
      <c r="Q42" s="113"/>
      <c r="R42" s="148" t="str">
        <f ca="1">IFERROR(VALUE(IF(VLOOKUP($A42,数出表_Excel!$A$6:$T$150,COLUMN()/2+1,FALSE)=0,"",VLOOKUP($A42,数出表_Excel!$A$6:$T$150,COLUMN()/2+1,FALSE))),"")</f>
        <v/>
      </c>
      <c r="S42" s="113"/>
      <c r="T42" s="148" t="str">
        <f ca="1">IFERROR(VALUE(IF(VLOOKUP($A42,数出表_Excel!$A$6:$T$150,COLUMN()/2+1,FALSE)=0,"",VLOOKUP($A42,数出表_Excel!$A$6:$T$150,COLUMN()/2+1,FALSE))),"")</f>
        <v/>
      </c>
      <c r="U42" s="113"/>
      <c r="V42" s="150" t="str">
        <f ca="1">IFERROR(VALUE(IF(VLOOKUP($A42,数出表_Excel!$A$6:$T$150,COLUMN()/2+1,FALSE)=0,"",VLOOKUP($A42,数出表_Excel!$A$6:$T$150,COLUMN()/2+1,FALSE))),"")</f>
        <v/>
      </c>
      <c r="W42" s="113"/>
      <c r="X42" s="150" t="str">
        <f ca="1">IFERROR(VALUE(IF(VLOOKUP($A42,数出表_Excel!$A$6:$T$150,COLUMN()/2+1,FALSE)=0,"",VLOOKUP($A42,数出表_Excel!$A$6:$T$150,COLUMN()/2+1,FALSE))),"")</f>
        <v/>
      </c>
      <c r="Y42" s="113"/>
      <c r="Z42" s="150" t="str">
        <f ca="1">IFERROR(VALUE(IF(VLOOKUP($A42,数出表_Excel!$A$6:$T$150,COLUMN()/2+1,FALSE)=0,"",VLOOKUP($A42,数出表_Excel!$A$6:$T$150,COLUMN()/2+1,FALSE))),"")</f>
        <v/>
      </c>
      <c r="AA42" s="151"/>
      <c r="AB42" s="149" t="str">
        <f ca="1">IFERROR(VALUE(IF(VLOOKUP($A42,数出表_Excel!$A$6:$T$150,COLUMN()/2+1,FALSE)=0,"",VLOOKUP($A42,数出表_Excel!$A$6:$T$150,COLUMN()/2+1,FALSE))),"")</f>
        <v/>
      </c>
      <c r="AC42" s="113"/>
      <c r="AD42" s="150" t="str">
        <f ca="1">IFERROR(VALUE(IF(VLOOKUP($A42,数出表_Excel!$A$6:$T$150,COLUMN()/2+1,FALSE)=0,"",VLOOKUP($A42,数出表_Excel!$A$6:$T$150,COLUMN()/2+1,FALSE))),"")</f>
        <v/>
      </c>
      <c r="AE42" s="113"/>
      <c r="AF42" s="150" t="str">
        <f ca="1">IFERROR(VALUE(IF(VLOOKUP($A42,数出表_Excel!$A$6:$T$150,COLUMN()/2+1,FALSE)=0,"",VLOOKUP($A42,数出表_Excel!$A$6:$T$150,COLUMN()/2+1,FALSE))),"")</f>
        <v/>
      </c>
      <c r="AG42" s="113"/>
      <c r="AH42" s="150" t="str">
        <f ca="1">IFERROR(VALUE(IF(VLOOKUP($A42,数出表_Excel!$A$6:$T$150,COLUMN()/2+1,FALSE)=0,"",VLOOKUP($A42,数出表_Excel!$A$6:$T$150,COLUMN()/2+1,FALSE))),"")</f>
        <v/>
      </c>
      <c r="AI42" s="151"/>
      <c r="AJ42" s="149" t="str">
        <f ca="1">IFERROR(VALUE(IF(VLOOKUP($A42,数出表_Excel!$A$6:$T$150,COLUMN()/2+1,FALSE)=0,"",VLOOKUP($A42,数出表_Excel!$A$6:$T$150,COLUMN()/2+1,FALSE))),"")</f>
        <v/>
      </c>
      <c r="AK42" s="113"/>
      <c r="AL42" s="117" t="e">
        <f ca="1">IF(A42&lt;&gt;"",
IF(VLOOKUP($A42,数出表_Excel!$A$6:$T$150,COLUMN()/2+1,FALSE)=0,"",VLOOKUP($A42,数出表_Excel!$A$6:$T$150,COLUMN()/2+1,FALSE)),"")</f>
        <v>#N/A</v>
      </c>
      <c r="AM42" s="198" t="e">
        <f>数出表_Excel!V42</f>
        <v>#N/A</v>
      </c>
      <c r="AN42" s="199" t="e">
        <f>数出表_Excel!W42</f>
        <v>#N/A</v>
      </c>
    </row>
    <row r="43" spans="1:40" ht="16.2" customHeight="1">
      <c r="A43" s="161" t="e">
        <f t="array" aca="1" ref="A43" ca="1">IF(OR(COUNTIF(A41,"*1000*"),COUNTIF(A41,"")),"",INDEX(貼り付け用!$A1:$A200,MATCH(A41,貼り付け用!$A1:$A200,0)+2,0))</f>
        <v>#N/A</v>
      </c>
      <c r="B43" s="114" t="str">
        <f ca="1">IFERROR(VALUE(IF(VLOOKUP($A43,数出表_Excel!$A$6:$T$150,COLUMN()/2+1,FALSE)=0,"",VLOOKUP($A43,数出表_Excel!$A$6:$T$150,COLUMN()/2+1,FALSE))),"")</f>
        <v/>
      </c>
      <c r="C43" s="114"/>
      <c r="D43" s="114" t="str">
        <f ca="1">IFERROR(VALUE(IF(VLOOKUP($A43,数出表_Excel!$A$6:$T$150,COLUMN()/2+1,FALSE)=0,"",VLOOKUP($A43,数出表_Excel!$A$6:$T$150,COLUMN()/2+1,FALSE))),"")</f>
        <v/>
      </c>
      <c r="E43" s="114"/>
      <c r="F43" s="118" t="str">
        <f ca="1">IFERROR(VALUE(IF(VLOOKUP($A43,数出表_Excel!$A$6:$T$150,COLUMN()/2+1,FALSE)=0,"",VLOOKUP($A43,数出表_Excel!$A$6:$T$150,COLUMN()/2+1,FALSE))),"")</f>
        <v/>
      </c>
      <c r="G43" s="114"/>
      <c r="H43" s="114" t="str">
        <f ca="1">IFERROR(VALUE(IF(VLOOKUP($A43,数出表_Excel!$A$6:$T$150,COLUMN()/2+1,FALSE)=0,"",VLOOKUP($A43,数出表_Excel!$A$6:$T$150,COLUMN()/2+1,FALSE))),"")</f>
        <v/>
      </c>
      <c r="I43" s="114"/>
      <c r="J43" s="114" t="str">
        <f ca="1">IFERROR(VALUE(IF(VLOOKUP($A43,数出表_Excel!$A$6:$T$150,COLUMN()/2+1,FALSE)=0,"",VLOOKUP($A43,数出表_Excel!$A$6:$T$150,COLUMN()/2+1,FALSE))),"")</f>
        <v/>
      </c>
      <c r="K43" s="114"/>
      <c r="L43" s="118" t="str">
        <f ca="1">IFERROR(VALUE(IF(VLOOKUP($A43,数出表_Excel!$A$6:$T$150,COLUMN()/2+1,FALSE)=0,"",VLOOKUP($A43,数出表_Excel!$A$6:$T$150,COLUMN()/2+1,FALSE))),"")</f>
        <v/>
      </c>
      <c r="M43" s="114"/>
      <c r="N43" s="114" t="str">
        <f ca="1">IFERROR(VALUE(IF(VLOOKUP($A43,数出表_Excel!$A$6:$T$150,COLUMN()/2+1,FALSE)=0,"",VLOOKUP($A43,数出表_Excel!$A$6:$T$150,COLUMN()/2+1,FALSE))),"")</f>
        <v/>
      </c>
      <c r="O43" s="114"/>
      <c r="P43" s="114" t="str">
        <f ca="1">IFERROR(VALUE(IF(VLOOKUP($A43,数出表_Excel!$A$6:$T$150,COLUMN()/2+1,FALSE)=0,"",VLOOKUP($A43,数出表_Excel!$A$6:$T$150,COLUMN()/2+1,FALSE))),"")</f>
        <v/>
      </c>
      <c r="Q43" s="114"/>
      <c r="R43" s="114" t="str">
        <f ca="1">IFERROR(VALUE(IF(VLOOKUP($A43,数出表_Excel!$A$6:$T$150,COLUMN()/2+1,FALSE)=0,"",VLOOKUP($A43,数出表_Excel!$A$6:$T$150,COLUMN()/2+1,FALSE))),"")</f>
        <v/>
      </c>
      <c r="S43" s="114"/>
      <c r="T43" s="114" t="str">
        <f ca="1">IFERROR(VALUE(IF(VLOOKUP($A43,数出表_Excel!$A$6:$T$150,COLUMN()/2+1,FALSE)=0,"",VLOOKUP($A43,数出表_Excel!$A$6:$T$150,COLUMN()/2+1,FALSE))),"")</f>
        <v/>
      </c>
      <c r="U43" s="114"/>
      <c r="V43" s="118" t="str">
        <f ca="1">IFERROR(VALUE(IF(VLOOKUP($A43,数出表_Excel!$A$6:$T$150,COLUMN()/2+1,FALSE)=0,"",VLOOKUP($A43,数出表_Excel!$A$6:$T$150,COLUMN()/2+1,FALSE))),"")</f>
        <v/>
      </c>
      <c r="W43" s="114"/>
      <c r="X43" s="118" t="str">
        <f ca="1">IFERROR(VALUE(IF(VLOOKUP($A43,数出表_Excel!$A$6:$T$150,COLUMN()/2+1,FALSE)=0,"",VLOOKUP($A43,数出表_Excel!$A$6:$T$150,COLUMN()/2+1,FALSE))),"")</f>
        <v/>
      </c>
      <c r="Y43" s="114"/>
      <c r="Z43" s="118" t="str">
        <f ca="1">IFERROR(VALUE(IF(VLOOKUP($A43,数出表_Excel!$A$6:$T$150,COLUMN()/2+1,FALSE)=0,"",VLOOKUP($A43,数出表_Excel!$A$6:$T$150,COLUMN()/2+1,FALSE))),"")</f>
        <v/>
      </c>
      <c r="AA43" s="152"/>
      <c r="AB43" s="119" t="str">
        <f ca="1">IFERROR(VALUE(IF(VLOOKUP($A43,数出表_Excel!$A$6:$T$150,COLUMN()/2+1,FALSE)=0,"",VLOOKUP($A43,数出表_Excel!$A$6:$T$150,COLUMN()/2+1,FALSE))),"")</f>
        <v/>
      </c>
      <c r="AC43" s="114"/>
      <c r="AD43" s="118" t="str">
        <f ca="1">IFERROR(VALUE(IF(VLOOKUP($A43,数出表_Excel!$A$6:$T$150,COLUMN()/2+1,FALSE)=0,"",VLOOKUP($A43,数出表_Excel!$A$6:$T$150,COLUMN()/2+1,FALSE))),"")</f>
        <v/>
      </c>
      <c r="AE43" s="114"/>
      <c r="AF43" s="118" t="str">
        <f ca="1">IFERROR(VALUE(IF(VLOOKUP($A43,数出表_Excel!$A$6:$T$150,COLUMN()/2+1,FALSE)=0,"",VLOOKUP($A43,数出表_Excel!$A$6:$T$150,COLUMN()/2+1,FALSE))),"")</f>
        <v/>
      </c>
      <c r="AG43" s="114"/>
      <c r="AH43" s="118" t="str">
        <f ca="1">IFERROR(VALUE(IF(VLOOKUP($A43,数出表_Excel!$A$6:$T$150,COLUMN()/2+1,FALSE)=0,"",VLOOKUP($A43,数出表_Excel!$A$6:$T$150,COLUMN()/2+1,FALSE))),"")</f>
        <v/>
      </c>
      <c r="AI43" s="152"/>
      <c r="AJ43" s="119" t="str">
        <f ca="1">IFERROR(VALUE(IF(VLOOKUP($A43,数出表_Excel!$A$6:$T$150,COLUMN()/2+1,FALSE)=0,"",VLOOKUP($A43,数出表_Excel!$A$6:$T$150,COLUMN()/2+1,FALSE))),"")</f>
        <v/>
      </c>
      <c r="AK43" s="114"/>
      <c r="AL43" s="120" t="e">
        <f ca="1">IF(A43&lt;&gt;"",
IF(VLOOKUP($A43,数出表_Excel!$A$6:$T$150,COLUMN()/2+1,FALSE)=0,"",VLOOKUP($A43,数出表_Excel!$A$6:$T$150,COLUMN()/2+1,FALSE)),"")</f>
        <v>#N/A</v>
      </c>
      <c r="AM43" s="200" t="e">
        <f>数出表_Excel!V43</f>
        <v>#N/A</v>
      </c>
      <c r="AN43" s="201" t="e">
        <f>数出表_Excel!W43</f>
        <v>#N/A</v>
      </c>
    </row>
    <row r="44" spans="1:40" ht="16.2" customHeight="1">
      <c r="A44" s="160" t="e">
        <f t="array" aca="1" ref="A44" ca="1">IF(OR(COUNTIF(A42,"*10002*"),COUNTIF(A42,"")),"",INDEX(貼り付け用!$A1:$A200,MATCH(A42,貼り付け用!$A1:$A200,0)+2,0))</f>
        <v>#N/A</v>
      </c>
      <c r="B44" s="148" t="str">
        <f ca="1">IFERROR(VALUE(IF(VLOOKUP($A44,数出表_Excel!$A$6:$T$150,COLUMN()/2+1,FALSE)=0,"",VLOOKUP($A44,数出表_Excel!$A$6:$T$150,COLUMN()/2+1,FALSE))),"")</f>
        <v/>
      </c>
      <c r="C44" s="113"/>
      <c r="D44" s="148" t="str">
        <f ca="1">IFERROR(VALUE(IF(VLOOKUP($A44,数出表_Excel!$A$6:$T$150,COLUMN()/2+1,FALSE)=0,"",VLOOKUP($A44,数出表_Excel!$A$6:$T$150,COLUMN()/2+1,FALSE))),"")</f>
        <v/>
      </c>
      <c r="E44" s="113"/>
      <c r="F44" s="150" t="str">
        <f ca="1">IFERROR(VALUE(IF(VLOOKUP($A44,数出表_Excel!$A$6:$T$150,COLUMN()/2+1,FALSE)=0,"",VLOOKUP($A44,数出表_Excel!$A$6:$T$150,COLUMN()/2+1,FALSE))),"")</f>
        <v/>
      </c>
      <c r="G44" s="113"/>
      <c r="H44" s="148" t="str">
        <f ca="1">IFERROR(VALUE(IF(VLOOKUP($A44,数出表_Excel!$A$6:$T$150,COLUMN()/2+1,FALSE)=0,"",VLOOKUP($A44,数出表_Excel!$A$6:$T$150,COLUMN()/2+1,FALSE))),"")</f>
        <v/>
      </c>
      <c r="I44" s="113"/>
      <c r="J44" s="148" t="str">
        <f ca="1">IFERROR(VALUE(IF(VLOOKUP($A44,数出表_Excel!$A$6:$T$150,COLUMN()/2+1,FALSE)=0,"",VLOOKUP($A44,数出表_Excel!$A$6:$T$150,COLUMN()/2+1,FALSE))),"")</f>
        <v/>
      </c>
      <c r="K44" s="113"/>
      <c r="L44" s="150" t="str">
        <f ca="1">IFERROR(VALUE(IF(VLOOKUP($A44,数出表_Excel!$A$6:$T$150,COLUMN()/2+1,FALSE)=0,"",VLOOKUP($A44,数出表_Excel!$A$6:$T$150,COLUMN()/2+1,FALSE))),"")</f>
        <v/>
      </c>
      <c r="M44" s="113"/>
      <c r="N44" s="148" t="str">
        <f ca="1">IFERROR(VALUE(IF(VLOOKUP($A44,数出表_Excel!$A$6:$T$150,COLUMN()/2+1,FALSE)=0,"",VLOOKUP($A44,数出表_Excel!$A$6:$T$150,COLUMN()/2+1,FALSE))),"")</f>
        <v/>
      </c>
      <c r="O44" s="113"/>
      <c r="P44" s="148" t="str">
        <f ca="1">IFERROR(VALUE(IF(VLOOKUP($A44,数出表_Excel!$A$6:$T$150,COLUMN()/2+1,FALSE)=0,"",VLOOKUP($A44,数出表_Excel!$A$6:$T$150,COLUMN()/2+1,FALSE))),"")</f>
        <v/>
      </c>
      <c r="Q44" s="113"/>
      <c r="R44" s="148" t="str">
        <f ca="1">IFERROR(VALUE(IF(VLOOKUP($A44,数出表_Excel!$A$6:$T$150,COLUMN()/2+1,FALSE)=0,"",VLOOKUP($A44,数出表_Excel!$A$6:$T$150,COLUMN()/2+1,FALSE))),"")</f>
        <v/>
      </c>
      <c r="S44" s="113"/>
      <c r="T44" s="148" t="str">
        <f ca="1">IFERROR(VALUE(IF(VLOOKUP($A44,数出表_Excel!$A$6:$T$150,COLUMN()/2+1,FALSE)=0,"",VLOOKUP($A44,数出表_Excel!$A$6:$T$150,COLUMN()/2+1,FALSE))),"")</f>
        <v/>
      </c>
      <c r="U44" s="113"/>
      <c r="V44" s="150" t="str">
        <f ca="1">IFERROR(VALUE(IF(VLOOKUP($A44,数出表_Excel!$A$6:$T$150,COLUMN()/2+1,FALSE)=0,"",VLOOKUP($A44,数出表_Excel!$A$6:$T$150,COLUMN()/2+1,FALSE))),"")</f>
        <v/>
      </c>
      <c r="W44" s="113"/>
      <c r="X44" s="150" t="str">
        <f ca="1">IFERROR(VALUE(IF(VLOOKUP($A44,数出表_Excel!$A$6:$T$150,COLUMN()/2+1,FALSE)=0,"",VLOOKUP($A44,数出表_Excel!$A$6:$T$150,COLUMN()/2+1,FALSE))),"")</f>
        <v/>
      </c>
      <c r="Y44" s="113"/>
      <c r="Z44" s="150" t="str">
        <f ca="1">IFERROR(VALUE(IF(VLOOKUP($A44,数出表_Excel!$A$6:$T$150,COLUMN()/2+1,FALSE)=0,"",VLOOKUP($A44,数出表_Excel!$A$6:$T$150,COLUMN()/2+1,FALSE))),"")</f>
        <v/>
      </c>
      <c r="AA44" s="151"/>
      <c r="AB44" s="149" t="str">
        <f ca="1">IFERROR(VALUE(IF(VLOOKUP($A44,数出表_Excel!$A$6:$T$150,COLUMN()/2+1,FALSE)=0,"",VLOOKUP($A44,数出表_Excel!$A$6:$T$150,COLUMN()/2+1,FALSE))),"")</f>
        <v/>
      </c>
      <c r="AC44" s="113"/>
      <c r="AD44" s="150" t="str">
        <f ca="1">IFERROR(VALUE(IF(VLOOKUP($A44,数出表_Excel!$A$6:$T$150,COLUMN()/2+1,FALSE)=0,"",VLOOKUP($A44,数出表_Excel!$A$6:$T$150,COLUMN()/2+1,FALSE))),"")</f>
        <v/>
      </c>
      <c r="AE44" s="113"/>
      <c r="AF44" s="150" t="str">
        <f ca="1">IFERROR(VALUE(IF(VLOOKUP($A44,数出表_Excel!$A$6:$T$150,COLUMN()/2+1,FALSE)=0,"",VLOOKUP($A44,数出表_Excel!$A$6:$T$150,COLUMN()/2+1,FALSE))),"")</f>
        <v/>
      </c>
      <c r="AG44" s="113"/>
      <c r="AH44" s="150" t="str">
        <f ca="1">IFERROR(VALUE(IF(VLOOKUP($A44,数出表_Excel!$A$6:$T$150,COLUMN()/2+1,FALSE)=0,"",VLOOKUP($A44,数出表_Excel!$A$6:$T$150,COLUMN()/2+1,FALSE))),"")</f>
        <v/>
      </c>
      <c r="AI44" s="151"/>
      <c r="AJ44" s="149" t="str">
        <f ca="1">IFERROR(VALUE(IF(VLOOKUP($A44,数出表_Excel!$A$6:$T$150,COLUMN()/2+1,FALSE)=0,"",VLOOKUP($A44,数出表_Excel!$A$6:$T$150,COLUMN()/2+1,FALSE))),"")</f>
        <v/>
      </c>
      <c r="AK44" s="113"/>
      <c r="AL44" s="117" t="e">
        <f ca="1">IF(A44&lt;&gt;"",
IF(VLOOKUP($A44,数出表_Excel!$A$6:$T$150,COLUMN()/2+1,FALSE)=0,"",VLOOKUP($A44,数出表_Excel!$A$6:$T$150,COLUMN()/2+1,FALSE)),"")</f>
        <v>#N/A</v>
      </c>
      <c r="AM44" s="198" t="e">
        <f>数出表_Excel!V44</f>
        <v>#N/A</v>
      </c>
      <c r="AN44" s="199" t="e">
        <f>数出表_Excel!W44</f>
        <v>#N/A</v>
      </c>
    </row>
    <row r="45" spans="1:40" ht="16.2" customHeight="1">
      <c r="A45" s="161" t="e">
        <f t="array" aca="1" ref="A45" ca="1">IF(OR(COUNTIF(A43,"*1000*"),COUNTIF(A43,"")),"",INDEX(貼り付け用!$A1:$A200,MATCH(A43,貼り付け用!$A1:$A200,0)+2,0))</f>
        <v>#N/A</v>
      </c>
      <c r="B45" s="114" t="str">
        <f ca="1">IFERROR(VALUE(IF(VLOOKUP($A45,数出表_Excel!$A$6:$T$150,COLUMN()/2+1,FALSE)=0,"",VLOOKUP($A45,数出表_Excel!$A$6:$T$150,COLUMN()/2+1,FALSE))),"")</f>
        <v/>
      </c>
      <c r="C45" s="114"/>
      <c r="D45" s="114" t="str">
        <f ca="1">IFERROR(VALUE(IF(VLOOKUP($A45,数出表_Excel!$A$6:$T$150,COLUMN()/2+1,FALSE)=0,"",VLOOKUP($A45,数出表_Excel!$A$6:$T$150,COLUMN()/2+1,FALSE))),"")</f>
        <v/>
      </c>
      <c r="E45" s="114"/>
      <c r="F45" s="118" t="str">
        <f ca="1">IFERROR(VALUE(IF(VLOOKUP($A45,数出表_Excel!$A$6:$T$150,COLUMN()/2+1,FALSE)=0,"",VLOOKUP($A45,数出表_Excel!$A$6:$T$150,COLUMN()/2+1,FALSE))),"")</f>
        <v/>
      </c>
      <c r="G45" s="114"/>
      <c r="H45" s="114" t="str">
        <f ca="1">IFERROR(VALUE(IF(VLOOKUP($A45,数出表_Excel!$A$6:$T$150,COLUMN()/2+1,FALSE)=0,"",VLOOKUP($A45,数出表_Excel!$A$6:$T$150,COLUMN()/2+1,FALSE))),"")</f>
        <v/>
      </c>
      <c r="I45" s="114"/>
      <c r="J45" s="114" t="str">
        <f ca="1">IFERROR(VALUE(IF(VLOOKUP($A45,数出表_Excel!$A$6:$T$150,COLUMN()/2+1,FALSE)=0,"",VLOOKUP($A45,数出表_Excel!$A$6:$T$150,COLUMN()/2+1,FALSE))),"")</f>
        <v/>
      </c>
      <c r="K45" s="114"/>
      <c r="L45" s="118" t="str">
        <f ca="1">IFERROR(VALUE(IF(VLOOKUP($A45,数出表_Excel!$A$6:$T$150,COLUMN()/2+1,FALSE)=0,"",VLOOKUP($A45,数出表_Excel!$A$6:$T$150,COLUMN()/2+1,FALSE))),"")</f>
        <v/>
      </c>
      <c r="M45" s="114"/>
      <c r="N45" s="114" t="str">
        <f ca="1">IFERROR(VALUE(IF(VLOOKUP($A45,数出表_Excel!$A$6:$T$150,COLUMN()/2+1,FALSE)=0,"",VLOOKUP($A45,数出表_Excel!$A$6:$T$150,COLUMN()/2+1,FALSE))),"")</f>
        <v/>
      </c>
      <c r="O45" s="114"/>
      <c r="P45" s="114" t="str">
        <f ca="1">IFERROR(VALUE(IF(VLOOKUP($A45,数出表_Excel!$A$6:$T$150,COLUMN()/2+1,FALSE)=0,"",VLOOKUP($A45,数出表_Excel!$A$6:$T$150,COLUMN()/2+1,FALSE))),"")</f>
        <v/>
      </c>
      <c r="Q45" s="114"/>
      <c r="R45" s="114" t="str">
        <f ca="1">IFERROR(VALUE(IF(VLOOKUP($A45,数出表_Excel!$A$6:$T$150,COLUMN()/2+1,FALSE)=0,"",VLOOKUP($A45,数出表_Excel!$A$6:$T$150,COLUMN()/2+1,FALSE))),"")</f>
        <v/>
      </c>
      <c r="S45" s="114"/>
      <c r="T45" s="114" t="str">
        <f ca="1">IFERROR(VALUE(IF(VLOOKUP($A45,数出表_Excel!$A$6:$T$150,COLUMN()/2+1,FALSE)=0,"",VLOOKUP($A45,数出表_Excel!$A$6:$T$150,COLUMN()/2+1,FALSE))),"")</f>
        <v/>
      </c>
      <c r="U45" s="114"/>
      <c r="V45" s="118" t="str">
        <f ca="1">IFERROR(VALUE(IF(VLOOKUP($A45,数出表_Excel!$A$6:$T$150,COLUMN()/2+1,FALSE)=0,"",VLOOKUP($A45,数出表_Excel!$A$6:$T$150,COLUMN()/2+1,FALSE))),"")</f>
        <v/>
      </c>
      <c r="W45" s="114"/>
      <c r="X45" s="118" t="str">
        <f ca="1">IFERROR(VALUE(IF(VLOOKUP($A45,数出表_Excel!$A$6:$T$150,COLUMN()/2+1,FALSE)=0,"",VLOOKUP($A45,数出表_Excel!$A$6:$T$150,COLUMN()/2+1,FALSE))),"")</f>
        <v/>
      </c>
      <c r="Y45" s="114"/>
      <c r="Z45" s="118" t="str">
        <f ca="1">IFERROR(VALUE(IF(VLOOKUP($A45,数出表_Excel!$A$6:$T$150,COLUMN()/2+1,FALSE)=0,"",VLOOKUP($A45,数出表_Excel!$A$6:$T$150,COLUMN()/2+1,FALSE))),"")</f>
        <v/>
      </c>
      <c r="AA45" s="152"/>
      <c r="AB45" s="119" t="str">
        <f ca="1">IFERROR(VALUE(IF(VLOOKUP($A45,数出表_Excel!$A$6:$T$150,COLUMN()/2+1,FALSE)=0,"",VLOOKUP($A45,数出表_Excel!$A$6:$T$150,COLUMN()/2+1,FALSE))),"")</f>
        <v/>
      </c>
      <c r="AC45" s="114"/>
      <c r="AD45" s="118" t="str">
        <f ca="1">IFERROR(VALUE(IF(VLOOKUP($A45,数出表_Excel!$A$6:$T$150,COLUMN()/2+1,FALSE)=0,"",VLOOKUP($A45,数出表_Excel!$A$6:$T$150,COLUMN()/2+1,FALSE))),"")</f>
        <v/>
      </c>
      <c r="AE45" s="114"/>
      <c r="AF45" s="118" t="str">
        <f ca="1">IFERROR(VALUE(IF(VLOOKUP($A45,数出表_Excel!$A$6:$T$150,COLUMN()/2+1,FALSE)=0,"",VLOOKUP($A45,数出表_Excel!$A$6:$T$150,COLUMN()/2+1,FALSE))),"")</f>
        <v/>
      </c>
      <c r="AG45" s="114"/>
      <c r="AH45" s="118" t="str">
        <f ca="1">IFERROR(VALUE(IF(VLOOKUP($A45,数出表_Excel!$A$6:$T$150,COLUMN()/2+1,FALSE)=0,"",VLOOKUP($A45,数出表_Excel!$A$6:$T$150,COLUMN()/2+1,FALSE))),"")</f>
        <v/>
      </c>
      <c r="AI45" s="152"/>
      <c r="AJ45" s="119" t="str">
        <f ca="1">IFERROR(VALUE(IF(VLOOKUP($A45,数出表_Excel!$A$6:$T$150,COLUMN()/2+1,FALSE)=0,"",VLOOKUP($A45,数出表_Excel!$A$6:$T$150,COLUMN()/2+1,FALSE))),"")</f>
        <v/>
      </c>
      <c r="AK45" s="114"/>
      <c r="AL45" s="120" t="e">
        <f ca="1">IF(A45&lt;&gt;"",
IF(VLOOKUP($A45,数出表_Excel!$A$6:$T$150,COLUMN()/2+1,FALSE)=0,"",VLOOKUP($A45,数出表_Excel!$A$6:$T$150,COLUMN()/2+1,FALSE)),"")</f>
        <v>#N/A</v>
      </c>
      <c r="AM45" s="200" t="e">
        <f>数出表_Excel!V45</f>
        <v>#N/A</v>
      </c>
      <c r="AN45" s="201" t="e">
        <f>数出表_Excel!W45</f>
        <v>#N/A</v>
      </c>
    </row>
    <row r="46" spans="1:40" ht="16.2" customHeight="1">
      <c r="A46" s="160" t="e">
        <f t="array" aca="1" ref="A46" ca="1">IF(OR(COUNTIF(A44,"*10002*"),COUNTIF(A44,"")),"",INDEX(貼り付け用!$A1:$A200,MATCH(A44,貼り付け用!$A1:$A200,0)+2,0))</f>
        <v>#N/A</v>
      </c>
      <c r="B46" s="148" t="str">
        <f ca="1">IFERROR(VALUE(IF(VLOOKUP($A46,数出表_Excel!$A$6:$T$150,COLUMN()/2+1,FALSE)=0,"",VLOOKUP($A46,数出表_Excel!$A$6:$T$150,COLUMN()/2+1,FALSE))),"")</f>
        <v/>
      </c>
      <c r="C46" s="113"/>
      <c r="D46" s="148" t="str">
        <f ca="1">IFERROR(VALUE(IF(VLOOKUP($A46,数出表_Excel!$A$6:$T$150,COLUMN()/2+1,FALSE)=0,"",VLOOKUP($A46,数出表_Excel!$A$6:$T$150,COLUMN()/2+1,FALSE))),"")</f>
        <v/>
      </c>
      <c r="E46" s="113"/>
      <c r="F46" s="150" t="str">
        <f ca="1">IFERROR(VALUE(IF(VLOOKUP($A46,数出表_Excel!$A$6:$T$150,COLUMN()/2+1,FALSE)=0,"",VLOOKUP($A46,数出表_Excel!$A$6:$T$150,COLUMN()/2+1,FALSE))),"")</f>
        <v/>
      </c>
      <c r="G46" s="113"/>
      <c r="H46" s="148" t="str">
        <f ca="1">IFERROR(VALUE(IF(VLOOKUP($A46,数出表_Excel!$A$6:$T$150,COLUMN()/2+1,FALSE)=0,"",VLOOKUP($A46,数出表_Excel!$A$6:$T$150,COLUMN()/2+1,FALSE))),"")</f>
        <v/>
      </c>
      <c r="I46" s="113"/>
      <c r="J46" s="148" t="str">
        <f ca="1">IFERROR(VALUE(IF(VLOOKUP($A46,数出表_Excel!$A$6:$T$150,COLUMN()/2+1,FALSE)=0,"",VLOOKUP($A46,数出表_Excel!$A$6:$T$150,COLUMN()/2+1,FALSE))),"")</f>
        <v/>
      </c>
      <c r="K46" s="113"/>
      <c r="L46" s="150" t="str">
        <f ca="1">IFERROR(VALUE(IF(VLOOKUP($A46,数出表_Excel!$A$6:$T$150,COLUMN()/2+1,FALSE)=0,"",VLOOKUP($A46,数出表_Excel!$A$6:$T$150,COLUMN()/2+1,FALSE))),"")</f>
        <v/>
      </c>
      <c r="M46" s="113"/>
      <c r="N46" s="148" t="str">
        <f ca="1">IFERROR(VALUE(IF(VLOOKUP($A46,数出表_Excel!$A$6:$T$150,COLUMN()/2+1,FALSE)=0,"",VLOOKUP($A46,数出表_Excel!$A$6:$T$150,COLUMN()/2+1,FALSE))),"")</f>
        <v/>
      </c>
      <c r="O46" s="113"/>
      <c r="P46" s="148" t="str">
        <f ca="1">IFERROR(VALUE(IF(VLOOKUP($A46,数出表_Excel!$A$6:$T$150,COLUMN()/2+1,FALSE)=0,"",VLOOKUP($A46,数出表_Excel!$A$6:$T$150,COLUMN()/2+1,FALSE))),"")</f>
        <v/>
      </c>
      <c r="Q46" s="113"/>
      <c r="R46" s="148" t="str">
        <f ca="1">IFERROR(VALUE(IF(VLOOKUP($A46,数出表_Excel!$A$6:$T$150,COLUMN()/2+1,FALSE)=0,"",VLOOKUP($A46,数出表_Excel!$A$6:$T$150,COLUMN()/2+1,FALSE))),"")</f>
        <v/>
      </c>
      <c r="S46" s="113"/>
      <c r="T46" s="148" t="str">
        <f ca="1">IFERROR(VALUE(IF(VLOOKUP($A46,数出表_Excel!$A$6:$T$150,COLUMN()/2+1,FALSE)=0,"",VLOOKUP($A46,数出表_Excel!$A$6:$T$150,COLUMN()/2+1,FALSE))),"")</f>
        <v/>
      </c>
      <c r="U46" s="113"/>
      <c r="V46" s="150" t="str">
        <f ca="1">IFERROR(VALUE(IF(VLOOKUP($A46,数出表_Excel!$A$6:$T$150,COLUMN()/2+1,FALSE)=0,"",VLOOKUP($A46,数出表_Excel!$A$6:$T$150,COLUMN()/2+1,FALSE))),"")</f>
        <v/>
      </c>
      <c r="W46" s="113"/>
      <c r="X46" s="150" t="str">
        <f ca="1">IFERROR(VALUE(IF(VLOOKUP($A46,数出表_Excel!$A$6:$T$150,COLUMN()/2+1,FALSE)=0,"",VLOOKUP($A46,数出表_Excel!$A$6:$T$150,COLUMN()/2+1,FALSE))),"")</f>
        <v/>
      </c>
      <c r="Y46" s="113"/>
      <c r="Z46" s="150" t="str">
        <f ca="1">IFERROR(VALUE(IF(VLOOKUP($A46,数出表_Excel!$A$6:$T$150,COLUMN()/2+1,FALSE)=0,"",VLOOKUP($A46,数出表_Excel!$A$6:$T$150,COLUMN()/2+1,FALSE))),"")</f>
        <v/>
      </c>
      <c r="AA46" s="151"/>
      <c r="AB46" s="149" t="str">
        <f ca="1">IFERROR(VALUE(IF(VLOOKUP($A46,数出表_Excel!$A$6:$T$150,COLUMN()/2+1,FALSE)=0,"",VLOOKUP($A46,数出表_Excel!$A$6:$T$150,COLUMN()/2+1,FALSE))),"")</f>
        <v/>
      </c>
      <c r="AC46" s="113"/>
      <c r="AD46" s="150" t="str">
        <f ca="1">IFERROR(VALUE(IF(VLOOKUP($A46,数出表_Excel!$A$6:$T$150,COLUMN()/2+1,FALSE)=0,"",VLOOKUP($A46,数出表_Excel!$A$6:$T$150,COLUMN()/2+1,FALSE))),"")</f>
        <v/>
      </c>
      <c r="AE46" s="113"/>
      <c r="AF46" s="150" t="str">
        <f ca="1">IFERROR(VALUE(IF(VLOOKUP($A46,数出表_Excel!$A$6:$T$150,COLUMN()/2+1,FALSE)=0,"",VLOOKUP($A46,数出表_Excel!$A$6:$T$150,COLUMN()/2+1,FALSE))),"")</f>
        <v/>
      </c>
      <c r="AG46" s="113"/>
      <c r="AH46" s="150" t="str">
        <f ca="1">IFERROR(VALUE(IF(VLOOKUP($A46,数出表_Excel!$A$6:$T$150,COLUMN()/2+1,FALSE)=0,"",VLOOKUP($A46,数出表_Excel!$A$6:$T$150,COLUMN()/2+1,FALSE))),"")</f>
        <v/>
      </c>
      <c r="AI46" s="151"/>
      <c r="AJ46" s="149" t="str">
        <f ca="1">IFERROR(VALUE(IF(VLOOKUP($A46,数出表_Excel!$A$6:$T$150,COLUMN()/2+1,FALSE)=0,"",VLOOKUP($A46,数出表_Excel!$A$6:$T$150,COLUMN()/2+1,FALSE))),"")</f>
        <v/>
      </c>
      <c r="AK46" s="113"/>
      <c r="AL46" s="117" t="e">
        <f ca="1">IF(A46&lt;&gt;"",
IF(VLOOKUP($A46,数出表_Excel!$A$6:$T$150,COLUMN()/2+1,FALSE)=0,"",VLOOKUP($A46,数出表_Excel!$A$6:$T$150,COLUMN()/2+1,FALSE)),"")</f>
        <v>#N/A</v>
      </c>
      <c r="AM46" s="198" t="e">
        <f>数出表_Excel!V46</f>
        <v>#N/A</v>
      </c>
      <c r="AN46" s="199" t="e">
        <f>数出表_Excel!W46</f>
        <v>#N/A</v>
      </c>
    </row>
    <row r="47" spans="1:40" ht="16.2" customHeight="1">
      <c r="A47" s="161" t="e">
        <f t="array" aca="1" ref="A47" ca="1">IF(OR(COUNTIF(A45,"*1000*"),COUNTIF(A45,"")),"",INDEX(貼り付け用!$A1:$A200,MATCH(A45,貼り付け用!$A1:$A200,0)+2,0))</f>
        <v>#N/A</v>
      </c>
      <c r="B47" s="114" t="str">
        <f ca="1">IFERROR(VALUE(IF(VLOOKUP($A47,数出表_Excel!$A$6:$T$150,COLUMN()/2+1,FALSE)=0,"",VLOOKUP($A47,数出表_Excel!$A$6:$T$150,COLUMN()/2+1,FALSE))),"")</f>
        <v/>
      </c>
      <c r="C47" s="114"/>
      <c r="D47" s="114" t="str">
        <f ca="1">IFERROR(VALUE(IF(VLOOKUP($A47,数出表_Excel!$A$6:$T$150,COLUMN()/2+1,FALSE)=0,"",VLOOKUP($A47,数出表_Excel!$A$6:$T$150,COLUMN()/2+1,FALSE))),"")</f>
        <v/>
      </c>
      <c r="E47" s="114"/>
      <c r="F47" s="118" t="str">
        <f ca="1">IFERROR(VALUE(IF(VLOOKUP($A47,数出表_Excel!$A$6:$T$150,COLUMN()/2+1,FALSE)=0,"",VLOOKUP($A47,数出表_Excel!$A$6:$T$150,COLUMN()/2+1,FALSE))),"")</f>
        <v/>
      </c>
      <c r="G47" s="114"/>
      <c r="H47" s="114" t="str">
        <f ca="1">IFERROR(VALUE(IF(VLOOKUP($A47,数出表_Excel!$A$6:$T$150,COLUMN()/2+1,FALSE)=0,"",VLOOKUP($A47,数出表_Excel!$A$6:$T$150,COLUMN()/2+1,FALSE))),"")</f>
        <v/>
      </c>
      <c r="I47" s="114"/>
      <c r="J47" s="114" t="str">
        <f ca="1">IFERROR(VALUE(IF(VLOOKUP($A47,数出表_Excel!$A$6:$T$150,COLUMN()/2+1,FALSE)=0,"",VLOOKUP($A47,数出表_Excel!$A$6:$T$150,COLUMN()/2+1,FALSE))),"")</f>
        <v/>
      </c>
      <c r="K47" s="114"/>
      <c r="L47" s="118" t="str">
        <f ca="1">IFERROR(VALUE(IF(VLOOKUP($A47,数出表_Excel!$A$6:$T$150,COLUMN()/2+1,FALSE)=0,"",VLOOKUP($A47,数出表_Excel!$A$6:$T$150,COLUMN()/2+1,FALSE))),"")</f>
        <v/>
      </c>
      <c r="M47" s="114"/>
      <c r="N47" s="114" t="str">
        <f ca="1">IFERROR(VALUE(IF(VLOOKUP($A47,数出表_Excel!$A$6:$T$150,COLUMN()/2+1,FALSE)=0,"",VLOOKUP($A47,数出表_Excel!$A$6:$T$150,COLUMN()/2+1,FALSE))),"")</f>
        <v/>
      </c>
      <c r="O47" s="114"/>
      <c r="P47" s="114" t="str">
        <f ca="1">IFERROR(VALUE(IF(VLOOKUP($A47,数出表_Excel!$A$6:$T$150,COLUMN()/2+1,FALSE)=0,"",VLOOKUP($A47,数出表_Excel!$A$6:$T$150,COLUMN()/2+1,FALSE))),"")</f>
        <v/>
      </c>
      <c r="Q47" s="114"/>
      <c r="R47" s="114" t="str">
        <f ca="1">IFERROR(VALUE(IF(VLOOKUP($A47,数出表_Excel!$A$6:$T$150,COLUMN()/2+1,FALSE)=0,"",VLOOKUP($A47,数出表_Excel!$A$6:$T$150,COLUMN()/2+1,FALSE))),"")</f>
        <v/>
      </c>
      <c r="S47" s="114"/>
      <c r="T47" s="114" t="str">
        <f ca="1">IFERROR(VALUE(IF(VLOOKUP($A47,数出表_Excel!$A$6:$T$150,COLUMN()/2+1,FALSE)=0,"",VLOOKUP($A47,数出表_Excel!$A$6:$T$150,COLUMN()/2+1,FALSE))),"")</f>
        <v/>
      </c>
      <c r="U47" s="114"/>
      <c r="V47" s="118" t="str">
        <f ca="1">IFERROR(VALUE(IF(VLOOKUP($A47,数出表_Excel!$A$6:$T$150,COLUMN()/2+1,FALSE)=0,"",VLOOKUP($A47,数出表_Excel!$A$6:$T$150,COLUMN()/2+1,FALSE))),"")</f>
        <v/>
      </c>
      <c r="W47" s="114"/>
      <c r="X47" s="118" t="str">
        <f ca="1">IFERROR(VALUE(IF(VLOOKUP($A47,数出表_Excel!$A$6:$T$150,COLUMN()/2+1,FALSE)=0,"",VLOOKUP($A47,数出表_Excel!$A$6:$T$150,COLUMN()/2+1,FALSE))),"")</f>
        <v/>
      </c>
      <c r="Y47" s="114"/>
      <c r="Z47" s="118" t="str">
        <f ca="1">IFERROR(VALUE(IF(VLOOKUP($A47,数出表_Excel!$A$6:$T$150,COLUMN()/2+1,FALSE)=0,"",VLOOKUP($A47,数出表_Excel!$A$6:$T$150,COLUMN()/2+1,FALSE))),"")</f>
        <v/>
      </c>
      <c r="AA47" s="152"/>
      <c r="AB47" s="119" t="str">
        <f ca="1">IFERROR(VALUE(IF(VLOOKUP($A47,数出表_Excel!$A$6:$T$150,COLUMN()/2+1,FALSE)=0,"",VLOOKUP($A47,数出表_Excel!$A$6:$T$150,COLUMN()/2+1,FALSE))),"")</f>
        <v/>
      </c>
      <c r="AC47" s="114"/>
      <c r="AD47" s="118" t="str">
        <f ca="1">IFERROR(VALUE(IF(VLOOKUP($A47,数出表_Excel!$A$6:$T$150,COLUMN()/2+1,FALSE)=0,"",VLOOKUP($A47,数出表_Excel!$A$6:$T$150,COLUMN()/2+1,FALSE))),"")</f>
        <v/>
      </c>
      <c r="AE47" s="114"/>
      <c r="AF47" s="118" t="str">
        <f ca="1">IFERROR(VALUE(IF(VLOOKUP($A47,数出表_Excel!$A$6:$T$150,COLUMN()/2+1,FALSE)=0,"",VLOOKUP($A47,数出表_Excel!$A$6:$T$150,COLUMN()/2+1,FALSE))),"")</f>
        <v/>
      </c>
      <c r="AG47" s="114"/>
      <c r="AH47" s="118" t="str">
        <f ca="1">IFERROR(VALUE(IF(VLOOKUP($A47,数出表_Excel!$A$6:$T$150,COLUMN()/2+1,FALSE)=0,"",VLOOKUP($A47,数出表_Excel!$A$6:$T$150,COLUMN()/2+1,FALSE))),"")</f>
        <v/>
      </c>
      <c r="AI47" s="152"/>
      <c r="AJ47" s="119" t="str">
        <f ca="1">IFERROR(VALUE(IF(VLOOKUP($A47,数出表_Excel!$A$6:$T$150,COLUMN()/2+1,FALSE)=0,"",VLOOKUP($A47,数出表_Excel!$A$6:$T$150,COLUMN()/2+1,FALSE))),"")</f>
        <v/>
      </c>
      <c r="AK47" s="114"/>
      <c r="AL47" s="120" t="e">
        <f ca="1">IF(A47&lt;&gt;"",
IF(VLOOKUP($A47,数出表_Excel!$A$6:$T$150,COLUMN()/2+1,FALSE)=0,"",VLOOKUP($A47,数出表_Excel!$A$6:$T$150,COLUMN()/2+1,FALSE)),"")</f>
        <v>#N/A</v>
      </c>
      <c r="AM47" s="200" t="e">
        <f>数出表_Excel!V47</f>
        <v>#N/A</v>
      </c>
      <c r="AN47" s="201" t="e">
        <f>数出表_Excel!W47</f>
        <v>#N/A</v>
      </c>
    </row>
    <row r="48" spans="1:40" ht="16.2" customHeight="1">
      <c r="A48" s="160" t="e">
        <f t="array" aca="1" ref="A48" ca="1">IF(OR(COUNTIF(A46,"*10002*"),COUNTIF(A46,"")),"",INDEX(貼り付け用!$A1:$A200,MATCH(A46,貼り付け用!$A1:$A200,0)+2,0))</f>
        <v>#N/A</v>
      </c>
      <c r="B48" s="148" t="str">
        <f ca="1">IFERROR(VALUE(IF(VLOOKUP($A48,数出表_Excel!$A$6:$T$150,COLUMN()/2+1,FALSE)=0,"",VLOOKUP($A48,数出表_Excel!$A$6:$T$150,COLUMN()/2+1,FALSE))),"")</f>
        <v/>
      </c>
      <c r="C48" s="113"/>
      <c r="D48" s="148" t="str">
        <f ca="1">IFERROR(VALUE(IF(VLOOKUP($A48,数出表_Excel!$A$6:$T$150,COLUMN()/2+1,FALSE)=0,"",VLOOKUP($A48,数出表_Excel!$A$6:$T$150,COLUMN()/2+1,FALSE))),"")</f>
        <v/>
      </c>
      <c r="E48" s="113"/>
      <c r="F48" s="150" t="str">
        <f ca="1">IFERROR(VALUE(IF(VLOOKUP($A48,数出表_Excel!$A$6:$T$150,COLUMN()/2+1,FALSE)=0,"",VLOOKUP($A48,数出表_Excel!$A$6:$T$150,COLUMN()/2+1,FALSE))),"")</f>
        <v/>
      </c>
      <c r="G48" s="113"/>
      <c r="H48" s="148" t="str">
        <f ca="1">IFERROR(VALUE(IF(VLOOKUP($A48,数出表_Excel!$A$6:$T$150,COLUMN()/2+1,FALSE)=0,"",VLOOKUP($A48,数出表_Excel!$A$6:$T$150,COLUMN()/2+1,FALSE))),"")</f>
        <v/>
      </c>
      <c r="I48" s="113"/>
      <c r="J48" s="148" t="str">
        <f ca="1">IFERROR(VALUE(IF(VLOOKUP($A48,数出表_Excel!$A$6:$T$150,COLUMN()/2+1,FALSE)=0,"",VLOOKUP($A48,数出表_Excel!$A$6:$T$150,COLUMN()/2+1,FALSE))),"")</f>
        <v/>
      </c>
      <c r="K48" s="113"/>
      <c r="L48" s="150" t="str">
        <f ca="1">IFERROR(VALUE(IF(VLOOKUP($A48,数出表_Excel!$A$6:$T$150,COLUMN()/2+1,FALSE)=0,"",VLOOKUP($A48,数出表_Excel!$A$6:$T$150,COLUMN()/2+1,FALSE))),"")</f>
        <v/>
      </c>
      <c r="M48" s="113"/>
      <c r="N48" s="148" t="str">
        <f ca="1">IFERROR(VALUE(IF(VLOOKUP($A48,数出表_Excel!$A$6:$T$150,COLUMN()/2+1,FALSE)=0,"",VLOOKUP($A48,数出表_Excel!$A$6:$T$150,COLUMN()/2+1,FALSE))),"")</f>
        <v/>
      </c>
      <c r="O48" s="113"/>
      <c r="P48" s="148" t="str">
        <f ca="1">IFERROR(VALUE(IF(VLOOKUP($A48,数出表_Excel!$A$6:$T$150,COLUMN()/2+1,FALSE)=0,"",VLOOKUP($A48,数出表_Excel!$A$6:$T$150,COLUMN()/2+1,FALSE))),"")</f>
        <v/>
      </c>
      <c r="Q48" s="113"/>
      <c r="R48" s="148" t="str">
        <f ca="1">IFERROR(VALUE(IF(VLOOKUP($A48,数出表_Excel!$A$6:$T$150,COLUMN()/2+1,FALSE)=0,"",VLOOKUP($A48,数出表_Excel!$A$6:$T$150,COLUMN()/2+1,FALSE))),"")</f>
        <v/>
      </c>
      <c r="S48" s="113"/>
      <c r="T48" s="148" t="str">
        <f ca="1">IFERROR(VALUE(IF(VLOOKUP($A48,数出表_Excel!$A$6:$T$150,COLUMN()/2+1,FALSE)=0,"",VLOOKUP($A48,数出表_Excel!$A$6:$T$150,COLUMN()/2+1,FALSE))),"")</f>
        <v/>
      </c>
      <c r="U48" s="113"/>
      <c r="V48" s="150" t="str">
        <f ca="1">IFERROR(VALUE(IF(VLOOKUP($A48,数出表_Excel!$A$6:$T$150,COLUMN()/2+1,FALSE)=0,"",VLOOKUP($A48,数出表_Excel!$A$6:$T$150,COLUMN()/2+1,FALSE))),"")</f>
        <v/>
      </c>
      <c r="W48" s="113"/>
      <c r="X48" s="150" t="str">
        <f ca="1">IFERROR(VALUE(IF(VLOOKUP($A48,数出表_Excel!$A$6:$T$150,COLUMN()/2+1,FALSE)=0,"",VLOOKUP($A48,数出表_Excel!$A$6:$T$150,COLUMN()/2+1,FALSE))),"")</f>
        <v/>
      </c>
      <c r="Y48" s="113"/>
      <c r="Z48" s="150" t="str">
        <f ca="1">IFERROR(VALUE(IF(VLOOKUP($A48,数出表_Excel!$A$6:$T$150,COLUMN()/2+1,FALSE)=0,"",VLOOKUP($A48,数出表_Excel!$A$6:$T$150,COLUMN()/2+1,FALSE))),"")</f>
        <v/>
      </c>
      <c r="AA48" s="151"/>
      <c r="AB48" s="149" t="str">
        <f ca="1">IFERROR(VALUE(IF(VLOOKUP($A48,数出表_Excel!$A$6:$T$150,COLUMN()/2+1,FALSE)=0,"",VLOOKUP($A48,数出表_Excel!$A$6:$T$150,COLUMN()/2+1,FALSE))),"")</f>
        <v/>
      </c>
      <c r="AC48" s="113"/>
      <c r="AD48" s="150" t="str">
        <f ca="1">IFERROR(VALUE(IF(VLOOKUP($A48,数出表_Excel!$A$6:$T$150,COLUMN()/2+1,FALSE)=0,"",VLOOKUP($A48,数出表_Excel!$A$6:$T$150,COLUMN()/2+1,FALSE))),"")</f>
        <v/>
      </c>
      <c r="AE48" s="113"/>
      <c r="AF48" s="150" t="str">
        <f ca="1">IFERROR(VALUE(IF(VLOOKUP($A48,数出表_Excel!$A$6:$T$150,COLUMN()/2+1,FALSE)=0,"",VLOOKUP($A48,数出表_Excel!$A$6:$T$150,COLUMN()/2+1,FALSE))),"")</f>
        <v/>
      </c>
      <c r="AG48" s="113"/>
      <c r="AH48" s="150" t="str">
        <f ca="1">IFERROR(VALUE(IF(VLOOKUP($A48,数出表_Excel!$A$6:$T$150,COLUMN()/2+1,FALSE)=0,"",VLOOKUP($A48,数出表_Excel!$A$6:$T$150,COLUMN()/2+1,FALSE))),"")</f>
        <v/>
      </c>
      <c r="AI48" s="151"/>
      <c r="AJ48" s="149" t="str">
        <f ca="1">IFERROR(VALUE(IF(VLOOKUP($A48,数出表_Excel!$A$6:$T$150,COLUMN()/2+1,FALSE)=0,"",VLOOKUP($A48,数出表_Excel!$A$6:$T$150,COLUMN()/2+1,FALSE))),"")</f>
        <v/>
      </c>
      <c r="AK48" s="113"/>
      <c r="AL48" s="117" t="e">
        <f ca="1">IF(A48&lt;&gt;"",
IF(VLOOKUP($A48,数出表_Excel!$A$6:$T$150,COLUMN()/2+1,FALSE)=0,"",VLOOKUP($A48,数出表_Excel!$A$6:$T$150,COLUMN()/2+1,FALSE)),"")</f>
        <v>#N/A</v>
      </c>
      <c r="AM48" s="198" t="e">
        <f>数出表_Excel!V48</f>
        <v>#N/A</v>
      </c>
      <c r="AN48" s="199" t="e">
        <f>数出表_Excel!W48</f>
        <v>#N/A</v>
      </c>
    </row>
    <row r="49" spans="1:40" ht="16.2" customHeight="1">
      <c r="A49" s="161" t="e">
        <f t="array" aca="1" ref="A49" ca="1">IF(OR(COUNTIF(A47,"*1000*"),COUNTIF(A47,"")),"",INDEX(貼り付け用!$A1:$A200,MATCH(A47,貼り付け用!$A1:$A200,0)+2,0))</f>
        <v>#N/A</v>
      </c>
      <c r="B49" s="114" t="str">
        <f ca="1">IFERROR(VALUE(IF(VLOOKUP($A49,数出表_Excel!$A$6:$T$150,COLUMN()/2+1,FALSE)=0,"",VLOOKUP($A49,数出表_Excel!$A$6:$T$150,COLUMN()/2+1,FALSE))),"")</f>
        <v/>
      </c>
      <c r="C49" s="114"/>
      <c r="D49" s="114" t="str">
        <f ca="1">IFERROR(VALUE(IF(VLOOKUP($A49,数出表_Excel!$A$6:$T$150,COLUMN()/2+1,FALSE)=0,"",VLOOKUP($A49,数出表_Excel!$A$6:$T$150,COLUMN()/2+1,FALSE))),"")</f>
        <v/>
      </c>
      <c r="E49" s="114"/>
      <c r="F49" s="118" t="str">
        <f ca="1">IFERROR(VALUE(IF(VLOOKUP($A49,数出表_Excel!$A$6:$T$150,COLUMN()/2+1,FALSE)=0,"",VLOOKUP($A49,数出表_Excel!$A$6:$T$150,COLUMN()/2+1,FALSE))),"")</f>
        <v/>
      </c>
      <c r="G49" s="114"/>
      <c r="H49" s="114" t="str">
        <f ca="1">IFERROR(VALUE(IF(VLOOKUP($A49,数出表_Excel!$A$6:$T$150,COLUMN()/2+1,FALSE)=0,"",VLOOKUP($A49,数出表_Excel!$A$6:$T$150,COLUMN()/2+1,FALSE))),"")</f>
        <v/>
      </c>
      <c r="I49" s="114"/>
      <c r="J49" s="114" t="str">
        <f ca="1">IFERROR(VALUE(IF(VLOOKUP($A49,数出表_Excel!$A$6:$T$150,COLUMN()/2+1,FALSE)=0,"",VLOOKUP($A49,数出表_Excel!$A$6:$T$150,COLUMN()/2+1,FALSE))),"")</f>
        <v/>
      </c>
      <c r="K49" s="114"/>
      <c r="L49" s="118" t="str">
        <f ca="1">IFERROR(VALUE(IF(VLOOKUP($A49,数出表_Excel!$A$6:$T$150,COLUMN()/2+1,FALSE)=0,"",VLOOKUP($A49,数出表_Excel!$A$6:$T$150,COLUMN()/2+1,FALSE))),"")</f>
        <v/>
      </c>
      <c r="M49" s="114"/>
      <c r="N49" s="114" t="str">
        <f ca="1">IFERROR(VALUE(IF(VLOOKUP($A49,数出表_Excel!$A$6:$T$150,COLUMN()/2+1,FALSE)=0,"",VLOOKUP($A49,数出表_Excel!$A$6:$T$150,COLUMN()/2+1,FALSE))),"")</f>
        <v/>
      </c>
      <c r="O49" s="114"/>
      <c r="P49" s="114" t="str">
        <f ca="1">IFERROR(VALUE(IF(VLOOKUP($A49,数出表_Excel!$A$6:$T$150,COLUMN()/2+1,FALSE)=0,"",VLOOKUP($A49,数出表_Excel!$A$6:$T$150,COLUMN()/2+1,FALSE))),"")</f>
        <v/>
      </c>
      <c r="Q49" s="114"/>
      <c r="R49" s="114" t="str">
        <f ca="1">IFERROR(VALUE(IF(VLOOKUP($A49,数出表_Excel!$A$6:$T$150,COLUMN()/2+1,FALSE)=0,"",VLOOKUP($A49,数出表_Excel!$A$6:$T$150,COLUMN()/2+1,FALSE))),"")</f>
        <v/>
      </c>
      <c r="S49" s="114"/>
      <c r="T49" s="114" t="str">
        <f ca="1">IFERROR(VALUE(IF(VLOOKUP($A49,数出表_Excel!$A$6:$T$150,COLUMN()/2+1,FALSE)=0,"",VLOOKUP($A49,数出表_Excel!$A$6:$T$150,COLUMN()/2+1,FALSE))),"")</f>
        <v/>
      </c>
      <c r="U49" s="114"/>
      <c r="V49" s="118" t="str">
        <f ca="1">IFERROR(VALUE(IF(VLOOKUP($A49,数出表_Excel!$A$6:$T$150,COLUMN()/2+1,FALSE)=0,"",VLOOKUP($A49,数出表_Excel!$A$6:$T$150,COLUMN()/2+1,FALSE))),"")</f>
        <v/>
      </c>
      <c r="W49" s="114"/>
      <c r="X49" s="118" t="str">
        <f ca="1">IFERROR(VALUE(IF(VLOOKUP($A49,数出表_Excel!$A$6:$T$150,COLUMN()/2+1,FALSE)=0,"",VLOOKUP($A49,数出表_Excel!$A$6:$T$150,COLUMN()/2+1,FALSE))),"")</f>
        <v/>
      </c>
      <c r="Y49" s="114"/>
      <c r="Z49" s="118" t="str">
        <f ca="1">IFERROR(VALUE(IF(VLOOKUP($A49,数出表_Excel!$A$6:$T$150,COLUMN()/2+1,FALSE)=0,"",VLOOKUP($A49,数出表_Excel!$A$6:$T$150,COLUMN()/2+1,FALSE))),"")</f>
        <v/>
      </c>
      <c r="AA49" s="152"/>
      <c r="AB49" s="119" t="str">
        <f ca="1">IFERROR(VALUE(IF(VLOOKUP($A49,数出表_Excel!$A$6:$T$150,COLUMN()/2+1,FALSE)=0,"",VLOOKUP($A49,数出表_Excel!$A$6:$T$150,COLUMN()/2+1,FALSE))),"")</f>
        <v/>
      </c>
      <c r="AC49" s="114"/>
      <c r="AD49" s="118" t="str">
        <f ca="1">IFERROR(VALUE(IF(VLOOKUP($A49,数出表_Excel!$A$6:$T$150,COLUMN()/2+1,FALSE)=0,"",VLOOKUP($A49,数出表_Excel!$A$6:$T$150,COLUMN()/2+1,FALSE))),"")</f>
        <v/>
      </c>
      <c r="AE49" s="114"/>
      <c r="AF49" s="118" t="str">
        <f ca="1">IFERROR(VALUE(IF(VLOOKUP($A49,数出表_Excel!$A$6:$T$150,COLUMN()/2+1,FALSE)=0,"",VLOOKUP($A49,数出表_Excel!$A$6:$T$150,COLUMN()/2+1,FALSE))),"")</f>
        <v/>
      </c>
      <c r="AG49" s="114"/>
      <c r="AH49" s="118" t="str">
        <f ca="1">IFERROR(VALUE(IF(VLOOKUP($A49,数出表_Excel!$A$6:$T$150,COLUMN()/2+1,FALSE)=0,"",VLOOKUP($A49,数出表_Excel!$A$6:$T$150,COLUMN()/2+1,FALSE))),"")</f>
        <v/>
      </c>
      <c r="AI49" s="152"/>
      <c r="AJ49" s="119" t="str">
        <f ca="1">IFERROR(VALUE(IF(VLOOKUP($A49,数出表_Excel!$A$6:$T$150,COLUMN()/2+1,FALSE)=0,"",VLOOKUP($A49,数出表_Excel!$A$6:$T$150,COLUMN()/2+1,FALSE))),"")</f>
        <v/>
      </c>
      <c r="AK49" s="114"/>
      <c r="AL49" s="120" t="e">
        <f ca="1">IF(A49&lt;&gt;"",
IF(VLOOKUP($A49,数出表_Excel!$A$6:$T$150,COLUMN()/2+1,FALSE)=0,"",VLOOKUP($A49,数出表_Excel!$A$6:$T$150,COLUMN()/2+1,FALSE)),"")</f>
        <v>#N/A</v>
      </c>
      <c r="AM49" s="200" t="e">
        <f>数出表_Excel!V49</f>
        <v>#N/A</v>
      </c>
      <c r="AN49" s="201" t="e">
        <f>数出表_Excel!W49</f>
        <v>#N/A</v>
      </c>
    </row>
    <row r="50" spans="1:40" ht="16.2" customHeight="1">
      <c r="A50" s="160" t="e">
        <f t="array" aca="1" ref="A50" ca="1">IF(OR(COUNTIF(A48,"*10002*"),COUNTIF(A48,"")),"",INDEX(貼り付け用!$A1:$A200,MATCH(A48,貼り付け用!$A1:$A200,0)+2,0))</f>
        <v>#N/A</v>
      </c>
      <c r="B50" s="148" t="str">
        <f ca="1">IFERROR(VALUE(IF(VLOOKUP($A50,数出表_Excel!$A$6:$T$150,COLUMN()/2+1,FALSE)=0,"",VLOOKUP($A50,数出表_Excel!$A$6:$T$150,COLUMN()/2+1,FALSE))),"")</f>
        <v/>
      </c>
      <c r="C50" s="113"/>
      <c r="D50" s="148" t="str">
        <f ca="1">IFERROR(VALUE(IF(VLOOKUP($A50,数出表_Excel!$A$6:$T$150,COLUMN()/2+1,FALSE)=0,"",VLOOKUP($A50,数出表_Excel!$A$6:$T$150,COLUMN()/2+1,FALSE))),"")</f>
        <v/>
      </c>
      <c r="E50" s="113"/>
      <c r="F50" s="150" t="str">
        <f ca="1">IFERROR(VALUE(IF(VLOOKUP($A50,数出表_Excel!$A$6:$T$150,COLUMN()/2+1,FALSE)=0,"",VLOOKUP($A50,数出表_Excel!$A$6:$T$150,COLUMN()/2+1,FALSE))),"")</f>
        <v/>
      </c>
      <c r="G50" s="113"/>
      <c r="H50" s="148" t="str">
        <f ca="1">IFERROR(VALUE(IF(VLOOKUP($A50,数出表_Excel!$A$6:$T$150,COLUMN()/2+1,FALSE)=0,"",VLOOKUP($A50,数出表_Excel!$A$6:$T$150,COLUMN()/2+1,FALSE))),"")</f>
        <v/>
      </c>
      <c r="I50" s="113"/>
      <c r="J50" s="148" t="str">
        <f ca="1">IFERROR(VALUE(IF(VLOOKUP($A50,数出表_Excel!$A$6:$T$150,COLUMN()/2+1,FALSE)=0,"",VLOOKUP($A50,数出表_Excel!$A$6:$T$150,COLUMN()/2+1,FALSE))),"")</f>
        <v/>
      </c>
      <c r="K50" s="113"/>
      <c r="L50" s="150" t="str">
        <f ca="1">IFERROR(VALUE(IF(VLOOKUP($A50,数出表_Excel!$A$6:$T$150,COLUMN()/2+1,FALSE)=0,"",VLOOKUP($A50,数出表_Excel!$A$6:$T$150,COLUMN()/2+1,FALSE))),"")</f>
        <v/>
      </c>
      <c r="M50" s="113"/>
      <c r="N50" s="148" t="str">
        <f ca="1">IFERROR(VALUE(IF(VLOOKUP($A50,数出表_Excel!$A$6:$T$150,COLUMN()/2+1,FALSE)=0,"",VLOOKUP($A50,数出表_Excel!$A$6:$T$150,COLUMN()/2+1,FALSE))),"")</f>
        <v/>
      </c>
      <c r="O50" s="113"/>
      <c r="P50" s="148" t="str">
        <f ca="1">IFERROR(VALUE(IF(VLOOKUP($A50,数出表_Excel!$A$6:$T$150,COLUMN()/2+1,FALSE)=0,"",VLOOKUP($A50,数出表_Excel!$A$6:$T$150,COLUMN()/2+1,FALSE))),"")</f>
        <v/>
      </c>
      <c r="Q50" s="113"/>
      <c r="R50" s="148" t="str">
        <f ca="1">IFERROR(VALUE(IF(VLOOKUP($A50,数出表_Excel!$A$6:$T$150,COLUMN()/2+1,FALSE)=0,"",VLOOKUP($A50,数出表_Excel!$A$6:$T$150,COLUMN()/2+1,FALSE))),"")</f>
        <v/>
      </c>
      <c r="S50" s="113"/>
      <c r="T50" s="148" t="str">
        <f ca="1">IFERROR(VALUE(IF(VLOOKUP($A50,数出表_Excel!$A$6:$T$150,COLUMN()/2+1,FALSE)=0,"",VLOOKUP($A50,数出表_Excel!$A$6:$T$150,COLUMN()/2+1,FALSE))),"")</f>
        <v/>
      </c>
      <c r="U50" s="113"/>
      <c r="V50" s="150" t="str">
        <f ca="1">IFERROR(VALUE(IF(VLOOKUP($A50,数出表_Excel!$A$6:$T$150,COLUMN()/2+1,FALSE)=0,"",VLOOKUP($A50,数出表_Excel!$A$6:$T$150,COLUMN()/2+1,FALSE))),"")</f>
        <v/>
      </c>
      <c r="W50" s="113"/>
      <c r="X50" s="150" t="str">
        <f ca="1">IFERROR(VALUE(IF(VLOOKUP($A50,数出表_Excel!$A$6:$T$150,COLUMN()/2+1,FALSE)=0,"",VLOOKUP($A50,数出表_Excel!$A$6:$T$150,COLUMN()/2+1,FALSE))),"")</f>
        <v/>
      </c>
      <c r="Y50" s="113"/>
      <c r="Z50" s="150" t="str">
        <f ca="1">IFERROR(VALUE(IF(VLOOKUP($A50,数出表_Excel!$A$6:$T$150,COLUMN()/2+1,FALSE)=0,"",VLOOKUP($A50,数出表_Excel!$A$6:$T$150,COLUMN()/2+1,FALSE))),"")</f>
        <v/>
      </c>
      <c r="AA50" s="151"/>
      <c r="AB50" s="149" t="str">
        <f ca="1">IFERROR(VALUE(IF(VLOOKUP($A50,数出表_Excel!$A$6:$T$150,COLUMN()/2+1,FALSE)=0,"",VLOOKUP($A50,数出表_Excel!$A$6:$T$150,COLUMN()/2+1,FALSE))),"")</f>
        <v/>
      </c>
      <c r="AC50" s="113"/>
      <c r="AD50" s="150" t="str">
        <f ca="1">IFERROR(VALUE(IF(VLOOKUP($A50,数出表_Excel!$A$6:$T$150,COLUMN()/2+1,FALSE)=0,"",VLOOKUP($A50,数出表_Excel!$A$6:$T$150,COLUMN()/2+1,FALSE))),"")</f>
        <v/>
      </c>
      <c r="AE50" s="113"/>
      <c r="AF50" s="150" t="str">
        <f ca="1">IFERROR(VALUE(IF(VLOOKUP($A50,数出表_Excel!$A$6:$T$150,COLUMN()/2+1,FALSE)=0,"",VLOOKUP($A50,数出表_Excel!$A$6:$T$150,COLUMN()/2+1,FALSE))),"")</f>
        <v/>
      </c>
      <c r="AG50" s="113"/>
      <c r="AH50" s="150" t="str">
        <f ca="1">IFERROR(VALUE(IF(VLOOKUP($A50,数出表_Excel!$A$6:$T$150,COLUMN()/2+1,FALSE)=0,"",VLOOKUP($A50,数出表_Excel!$A$6:$T$150,COLUMN()/2+1,FALSE))),"")</f>
        <v/>
      </c>
      <c r="AI50" s="151"/>
      <c r="AJ50" s="149" t="str">
        <f ca="1">IFERROR(VALUE(IF(VLOOKUP($A50,数出表_Excel!$A$6:$T$150,COLUMN()/2+1,FALSE)=0,"",VLOOKUP($A50,数出表_Excel!$A$6:$T$150,COLUMN()/2+1,FALSE))),"")</f>
        <v/>
      </c>
      <c r="AK50" s="113"/>
      <c r="AL50" s="117" t="e">
        <f ca="1">IF(A50&lt;&gt;"",
IF(VLOOKUP($A50,数出表_Excel!$A$6:$T$150,COLUMN()/2+1,FALSE)=0,"",VLOOKUP($A50,数出表_Excel!$A$6:$T$150,COLUMN()/2+1,FALSE)),"")</f>
        <v>#N/A</v>
      </c>
      <c r="AM50" s="198" t="e">
        <f>数出表_Excel!V50</f>
        <v>#N/A</v>
      </c>
      <c r="AN50" s="199" t="e">
        <f>数出表_Excel!W50</f>
        <v>#N/A</v>
      </c>
    </row>
    <row r="51" spans="1:40" ht="16.2" customHeight="1">
      <c r="A51" s="161" t="e">
        <f t="array" aca="1" ref="A51" ca="1">IF(OR(COUNTIF(A49,"*1000*"),COUNTIF(A49,"")),"",INDEX(貼り付け用!$A1:$A200,MATCH(A49,貼り付け用!$A1:$A200,0)+2,0))</f>
        <v>#N/A</v>
      </c>
      <c r="B51" s="114" t="str">
        <f ca="1">IFERROR(VALUE(IF(VLOOKUP($A51,数出表_Excel!$A$6:$T$150,COLUMN()/2+1,FALSE)=0,"",VLOOKUP($A51,数出表_Excel!$A$6:$T$150,COLUMN()/2+1,FALSE))),"")</f>
        <v/>
      </c>
      <c r="C51" s="114"/>
      <c r="D51" s="114" t="str">
        <f ca="1">IFERROR(VALUE(IF(VLOOKUP($A51,数出表_Excel!$A$6:$T$150,COLUMN()/2+1,FALSE)=0,"",VLOOKUP($A51,数出表_Excel!$A$6:$T$150,COLUMN()/2+1,FALSE))),"")</f>
        <v/>
      </c>
      <c r="E51" s="114"/>
      <c r="F51" s="118" t="str">
        <f ca="1">IFERROR(VALUE(IF(VLOOKUP($A51,数出表_Excel!$A$6:$T$150,COLUMN()/2+1,FALSE)=0,"",VLOOKUP($A51,数出表_Excel!$A$6:$T$150,COLUMN()/2+1,FALSE))),"")</f>
        <v/>
      </c>
      <c r="G51" s="114"/>
      <c r="H51" s="114" t="str">
        <f ca="1">IFERROR(VALUE(IF(VLOOKUP($A51,数出表_Excel!$A$6:$T$150,COLUMN()/2+1,FALSE)=0,"",VLOOKUP($A51,数出表_Excel!$A$6:$T$150,COLUMN()/2+1,FALSE))),"")</f>
        <v/>
      </c>
      <c r="I51" s="114"/>
      <c r="J51" s="114" t="str">
        <f ca="1">IFERROR(VALUE(IF(VLOOKUP($A51,数出表_Excel!$A$6:$T$150,COLUMN()/2+1,FALSE)=0,"",VLOOKUP($A51,数出表_Excel!$A$6:$T$150,COLUMN()/2+1,FALSE))),"")</f>
        <v/>
      </c>
      <c r="K51" s="114"/>
      <c r="L51" s="118" t="str">
        <f ca="1">IFERROR(VALUE(IF(VLOOKUP($A51,数出表_Excel!$A$6:$T$150,COLUMN()/2+1,FALSE)=0,"",VLOOKUP($A51,数出表_Excel!$A$6:$T$150,COLUMN()/2+1,FALSE))),"")</f>
        <v/>
      </c>
      <c r="M51" s="114"/>
      <c r="N51" s="114" t="str">
        <f ca="1">IFERROR(VALUE(IF(VLOOKUP($A51,数出表_Excel!$A$6:$T$150,COLUMN()/2+1,FALSE)=0,"",VLOOKUP($A51,数出表_Excel!$A$6:$T$150,COLUMN()/2+1,FALSE))),"")</f>
        <v/>
      </c>
      <c r="O51" s="114"/>
      <c r="P51" s="114" t="str">
        <f ca="1">IFERROR(VALUE(IF(VLOOKUP($A51,数出表_Excel!$A$6:$T$150,COLUMN()/2+1,FALSE)=0,"",VLOOKUP($A51,数出表_Excel!$A$6:$T$150,COLUMN()/2+1,FALSE))),"")</f>
        <v/>
      </c>
      <c r="Q51" s="114"/>
      <c r="R51" s="114" t="str">
        <f ca="1">IFERROR(VALUE(IF(VLOOKUP($A51,数出表_Excel!$A$6:$T$150,COLUMN()/2+1,FALSE)=0,"",VLOOKUP($A51,数出表_Excel!$A$6:$T$150,COLUMN()/2+1,FALSE))),"")</f>
        <v/>
      </c>
      <c r="S51" s="114"/>
      <c r="T51" s="114" t="str">
        <f ca="1">IFERROR(VALUE(IF(VLOOKUP($A51,数出表_Excel!$A$6:$T$150,COLUMN()/2+1,FALSE)=0,"",VLOOKUP($A51,数出表_Excel!$A$6:$T$150,COLUMN()/2+1,FALSE))),"")</f>
        <v/>
      </c>
      <c r="U51" s="114"/>
      <c r="V51" s="118" t="str">
        <f ca="1">IFERROR(VALUE(IF(VLOOKUP($A51,数出表_Excel!$A$6:$T$150,COLUMN()/2+1,FALSE)=0,"",VLOOKUP($A51,数出表_Excel!$A$6:$T$150,COLUMN()/2+1,FALSE))),"")</f>
        <v/>
      </c>
      <c r="W51" s="114"/>
      <c r="X51" s="118" t="str">
        <f ca="1">IFERROR(VALUE(IF(VLOOKUP($A51,数出表_Excel!$A$6:$T$150,COLUMN()/2+1,FALSE)=0,"",VLOOKUP($A51,数出表_Excel!$A$6:$T$150,COLUMN()/2+1,FALSE))),"")</f>
        <v/>
      </c>
      <c r="Y51" s="114"/>
      <c r="Z51" s="118" t="str">
        <f ca="1">IFERROR(VALUE(IF(VLOOKUP($A51,数出表_Excel!$A$6:$T$150,COLUMN()/2+1,FALSE)=0,"",VLOOKUP($A51,数出表_Excel!$A$6:$T$150,COLUMN()/2+1,FALSE))),"")</f>
        <v/>
      </c>
      <c r="AA51" s="152"/>
      <c r="AB51" s="119" t="str">
        <f ca="1">IFERROR(VALUE(IF(VLOOKUP($A51,数出表_Excel!$A$6:$T$150,COLUMN()/2+1,FALSE)=0,"",VLOOKUP($A51,数出表_Excel!$A$6:$T$150,COLUMN()/2+1,FALSE))),"")</f>
        <v/>
      </c>
      <c r="AC51" s="114"/>
      <c r="AD51" s="118" t="str">
        <f ca="1">IFERROR(VALUE(IF(VLOOKUP($A51,数出表_Excel!$A$6:$T$150,COLUMN()/2+1,FALSE)=0,"",VLOOKUP($A51,数出表_Excel!$A$6:$T$150,COLUMN()/2+1,FALSE))),"")</f>
        <v/>
      </c>
      <c r="AE51" s="114"/>
      <c r="AF51" s="118" t="str">
        <f ca="1">IFERROR(VALUE(IF(VLOOKUP($A51,数出表_Excel!$A$6:$T$150,COLUMN()/2+1,FALSE)=0,"",VLOOKUP($A51,数出表_Excel!$A$6:$T$150,COLUMN()/2+1,FALSE))),"")</f>
        <v/>
      </c>
      <c r="AG51" s="114"/>
      <c r="AH51" s="118" t="str">
        <f ca="1">IFERROR(VALUE(IF(VLOOKUP($A51,数出表_Excel!$A$6:$T$150,COLUMN()/2+1,FALSE)=0,"",VLOOKUP($A51,数出表_Excel!$A$6:$T$150,COLUMN()/2+1,FALSE))),"")</f>
        <v/>
      </c>
      <c r="AI51" s="152"/>
      <c r="AJ51" s="119" t="str">
        <f ca="1">IFERROR(VALUE(IF(VLOOKUP($A51,数出表_Excel!$A$6:$T$150,COLUMN()/2+1,FALSE)=0,"",VLOOKUP($A51,数出表_Excel!$A$6:$T$150,COLUMN()/2+1,FALSE))),"")</f>
        <v/>
      </c>
      <c r="AK51" s="114"/>
      <c r="AL51" s="120" t="e">
        <f ca="1">IF(A51&lt;&gt;"",
IF(VLOOKUP($A51,数出表_Excel!$A$6:$T$150,COLUMN()/2+1,FALSE)=0,"",VLOOKUP($A51,数出表_Excel!$A$6:$T$150,COLUMN()/2+1,FALSE)),"")</f>
        <v>#N/A</v>
      </c>
      <c r="AM51" s="200" t="e">
        <f>数出表_Excel!V51</f>
        <v>#N/A</v>
      </c>
      <c r="AN51" s="201" t="e">
        <f>数出表_Excel!W51</f>
        <v>#N/A</v>
      </c>
    </row>
    <row r="52" spans="1:40" ht="16.2" customHeight="1">
      <c r="A52" s="160" t="e">
        <f t="array" aca="1" ref="A52" ca="1">IF(OR(COUNTIF(A50,"*10002*"),COUNTIF(A50,"")),"",INDEX(貼り付け用!$A1:$A200,MATCH(A50,貼り付け用!$A1:$A200,0)+2,0))</f>
        <v>#N/A</v>
      </c>
      <c r="B52" s="148" t="str">
        <f ca="1">IFERROR(VALUE(IF(VLOOKUP($A52,数出表_Excel!$A$6:$T$150,COLUMN()/2+1,FALSE)=0,"",VLOOKUP($A52,数出表_Excel!$A$6:$T$150,COLUMN()/2+1,FALSE))),"")</f>
        <v/>
      </c>
      <c r="C52" s="113"/>
      <c r="D52" s="148" t="str">
        <f ca="1">IFERROR(VALUE(IF(VLOOKUP($A52,数出表_Excel!$A$6:$T$150,COLUMN()/2+1,FALSE)=0,"",VLOOKUP($A52,数出表_Excel!$A$6:$T$150,COLUMN()/2+1,FALSE))),"")</f>
        <v/>
      </c>
      <c r="E52" s="113"/>
      <c r="F52" s="150" t="str">
        <f ca="1">IFERROR(VALUE(IF(VLOOKUP($A52,数出表_Excel!$A$6:$T$150,COLUMN()/2+1,FALSE)=0,"",VLOOKUP($A52,数出表_Excel!$A$6:$T$150,COLUMN()/2+1,FALSE))),"")</f>
        <v/>
      </c>
      <c r="G52" s="113"/>
      <c r="H52" s="148" t="str">
        <f ca="1">IFERROR(VALUE(IF(VLOOKUP($A52,数出表_Excel!$A$6:$T$150,COLUMN()/2+1,FALSE)=0,"",VLOOKUP($A52,数出表_Excel!$A$6:$T$150,COLUMN()/2+1,FALSE))),"")</f>
        <v/>
      </c>
      <c r="I52" s="113"/>
      <c r="J52" s="148" t="str">
        <f ca="1">IFERROR(VALUE(IF(VLOOKUP($A52,数出表_Excel!$A$6:$T$150,COLUMN()/2+1,FALSE)=0,"",VLOOKUP($A52,数出表_Excel!$A$6:$T$150,COLUMN()/2+1,FALSE))),"")</f>
        <v/>
      </c>
      <c r="K52" s="113"/>
      <c r="L52" s="150" t="str">
        <f ca="1">IFERROR(VALUE(IF(VLOOKUP($A52,数出表_Excel!$A$6:$T$150,COLUMN()/2+1,FALSE)=0,"",VLOOKUP($A52,数出表_Excel!$A$6:$T$150,COLUMN()/2+1,FALSE))),"")</f>
        <v/>
      </c>
      <c r="M52" s="113"/>
      <c r="N52" s="148" t="str">
        <f ca="1">IFERROR(VALUE(IF(VLOOKUP($A52,数出表_Excel!$A$6:$T$150,COLUMN()/2+1,FALSE)=0,"",VLOOKUP($A52,数出表_Excel!$A$6:$T$150,COLUMN()/2+1,FALSE))),"")</f>
        <v/>
      </c>
      <c r="O52" s="113"/>
      <c r="P52" s="148" t="str">
        <f ca="1">IFERROR(VALUE(IF(VLOOKUP($A52,数出表_Excel!$A$6:$T$150,COLUMN()/2+1,FALSE)=0,"",VLOOKUP($A52,数出表_Excel!$A$6:$T$150,COLUMN()/2+1,FALSE))),"")</f>
        <v/>
      </c>
      <c r="Q52" s="113"/>
      <c r="R52" s="148" t="str">
        <f ca="1">IFERROR(VALUE(IF(VLOOKUP($A52,数出表_Excel!$A$6:$T$150,COLUMN()/2+1,FALSE)=0,"",VLOOKUP($A52,数出表_Excel!$A$6:$T$150,COLUMN()/2+1,FALSE))),"")</f>
        <v/>
      </c>
      <c r="S52" s="113"/>
      <c r="T52" s="148" t="str">
        <f ca="1">IFERROR(VALUE(IF(VLOOKUP($A52,数出表_Excel!$A$6:$T$150,COLUMN()/2+1,FALSE)=0,"",VLOOKUP($A52,数出表_Excel!$A$6:$T$150,COLUMN()/2+1,FALSE))),"")</f>
        <v/>
      </c>
      <c r="U52" s="113"/>
      <c r="V52" s="150" t="str">
        <f ca="1">IFERROR(VALUE(IF(VLOOKUP($A52,数出表_Excel!$A$6:$T$150,COLUMN()/2+1,FALSE)=0,"",VLOOKUP($A52,数出表_Excel!$A$6:$T$150,COLUMN()/2+1,FALSE))),"")</f>
        <v/>
      </c>
      <c r="W52" s="113"/>
      <c r="X52" s="150" t="str">
        <f ca="1">IFERROR(VALUE(IF(VLOOKUP($A52,数出表_Excel!$A$6:$T$150,COLUMN()/2+1,FALSE)=0,"",VLOOKUP($A52,数出表_Excel!$A$6:$T$150,COLUMN()/2+1,FALSE))),"")</f>
        <v/>
      </c>
      <c r="Y52" s="113"/>
      <c r="Z52" s="150" t="str">
        <f ca="1">IFERROR(VALUE(IF(VLOOKUP($A52,数出表_Excel!$A$6:$T$150,COLUMN()/2+1,FALSE)=0,"",VLOOKUP($A52,数出表_Excel!$A$6:$T$150,COLUMN()/2+1,FALSE))),"")</f>
        <v/>
      </c>
      <c r="AA52" s="151"/>
      <c r="AB52" s="149" t="str">
        <f ca="1">IFERROR(VALUE(IF(VLOOKUP($A52,数出表_Excel!$A$6:$T$150,COLUMN()/2+1,FALSE)=0,"",VLOOKUP($A52,数出表_Excel!$A$6:$T$150,COLUMN()/2+1,FALSE))),"")</f>
        <v/>
      </c>
      <c r="AC52" s="113"/>
      <c r="AD52" s="150" t="str">
        <f ca="1">IFERROR(VALUE(IF(VLOOKUP($A52,数出表_Excel!$A$6:$T$150,COLUMN()/2+1,FALSE)=0,"",VLOOKUP($A52,数出表_Excel!$A$6:$T$150,COLUMN()/2+1,FALSE))),"")</f>
        <v/>
      </c>
      <c r="AE52" s="113"/>
      <c r="AF52" s="150" t="str">
        <f ca="1">IFERROR(VALUE(IF(VLOOKUP($A52,数出表_Excel!$A$6:$T$150,COLUMN()/2+1,FALSE)=0,"",VLOOKUP($A52,数出表_Excel!$A$6:$T$150,COLUMN()/2+1,FALSE))),"")</f>
        <v/>
      </c>
      <c r="AG52" s="113"/>
      <c r="AH52" s="150" t="str">
        <f ca="1">IFERROR(VALUE(IF(VLOOKUP($A52,数出表_Excel!$A$6:$T$150,COLUMN()/2+1,FALSE)=0,"",VLOOKUP($A52,数出表_Excel!$A$6:$T$150,COLUMN()/2+1,FALSE))),"")</f>
        <v/>
      </c>
      <c r="AI52" s="151"/>
      <c r="AJ52" s="149" t="str">
        <f ca="1">IFERROR(VALUE(IF(VLOOKUP($A52,数出表_Excel!$A$6:$T$150,COLUMN()/2+1,FALSE)=0,"",VLOOKUP($A52,数出表_Excel!$A$6:$T$150,COLUMN()/2+1,FALSE))),"")</f>
        <v/>
      </c>
      <c r="AK52" s="113"/>
      <c r="AL52" s="117" t="e">
        <f ca="1">IF(A52&lt;&gt;"",
IF(VLOOKUP($A52,数出表_Excel!$A$6:$T$150,COLUMN()/2+1,FALSE)=0,"",VLOOKUP($A52,数出表_Excel!$A$6:$T$150,COLUMN()/2+1,FALSE)),"")</f>
        <v>#N/A</v>
      </c>
      <c r="AM52" s="198" t="e">
        <f>数出表_Excel!V52</f>
        <v>#N/A</v>
      </c>
      <c r="AN52" s="199" t="e">
        <f>数出表_Excel!W52</f>
        <v>#N/A</v>
      </c>
    </row>
    <row r="53" spans="1:40" ht="16.2" customHeight="1">
      <c r="A53" s="161" t="e">
        <f t="array" aca="1" ref="A53" ca="1">IF(OR(COUNTIF(A51,"*1000*"),COUNTIF(A51,"")),"",INDEX(貼り付け用!$A1:$A200,MATCH(A51,貼り付け用!$A1:$A200,0)+2,0))</f>
        <v>#N/A</v>
      </c>
      <c r="B53" s="114" t="str">
        <f ca="1">IFERROR(VALUE(IF(VLOOKUP($A53,数出表_Excel!$A$6:$T$150,COLUMN()/2+1,FALSE)=0,"",VLOOKUP($A53,数出表_Excel!$A$6:$T$150,COLUMN()/2+1,FALSE))),"")</f>
        <v/>
      </c>
      <c r="C53" s="114"/>
      <c r="D53" s="114" t="str">
        <f ca="1">IFERROR(VALUE(IF(VLOOKUP($A53,数出表_Excel!$A$6:$T$150,COLUMN()/2+1,FALSE)=0,"",VLOOKUP($A53,数出表_Excel!$A$6:$T$150,COLUMN()/2+1,FALSE))),"")</f>
        <v/>
      </c>
      <c r="E53" s="114"/>
      <c r="F53" s="118" t="str">
        <f ca="1">IFERROR(VALUE(IF(VLOOKUP($A53,数出表_Excel!$A$6:$T$150,COLUMN()/2+1,FALSE)=0,"",VLOOKUP($A53,数出表_Excel!$A$6:$T$150,COLUMN()/2+1,FALSE))),"")</f>
        <v/>
      </c>
      <c r="G53" s="114"/>
      <c r="H53" s="114" t="str">
        <f ca="1">IFERROR(VALUE(IF(VLOOKUP($A53,数出表_Excel!$A$6:$T$150,COLUMN()/2+1,FALSE)=0,"",VLOOKUP($A53,数出表_Excel!$A$6:$T$150,COLUMN()/2+1,FALSE))),"")</f>
        <v/>
      </c>
      <c r="I53" s="114"/>
      <c r="J53" s="114" t="str">
        <f ca="1">IFERROR(VALUE(IF(VLOOKUP($A53,数出表_Excel!$A$6:$T$150,COLUMN()/2+1,FALSE)=0,"",VLOOKUP($A53,数出表_Excel!$A$6:$T$150,COLUMN()/2+1,FALSE))),"")</f>
        <v/>
      </c>
      <c r="K53" s="114"/>
      <c r="L53" s="118" t="str">
        <f ca="1">IFERROR(VALUE(IF(VLOOKUP($A53,数出表_Excel!$A$6:$T$150,COLUMN()/2+1,FALSE)=0,"",VLOOKUP($A53,数出表_Excel!$A$6:$T$150,COLUMN()/2+1,FALSE))),"")</f>
        <v/>
      </c>
      <c r="M53" s="114"/>
      <c r="N53" s="114" t="str">
        <f ca="1">IFERROR(VALUE(IF(VLOOKUP($A53,数出表_Excel!$A$6:$T$150,COLUMN()/2+1,FALSE)=0,"",VLOOKUP($A53,数出表_Excel!$A$6:$T$150,COLUMN()/2+1,FALSE))),"")</f>
        <v/>
      </c>
      <c r="O53" s="114"/>
      <c r="P53" s="114" t="str">
        <f ca="1">IFERROR(VALUE(IF(VLOOKUP($A53,数出表_Excel!$A$6:$T$150,COLUMN()/2+1,FALSE)=0,"",VLOOKUP($A53,数出表_Excel!$A$6:$T$150,COLUMN()/2+1,FALSE))),"")</f>
        <v/>
      </c>
      <c r="Q53" s="114"/>
      <c r="R53" s="114" t="str">
        <f ca="1">IFERROR(VALUE(IF(VLOOKUP($A53,数出表_Excel!$A$6:$T$150,COLUMN()/2+1,FALSE)=0,"",VLOOKUP($A53,数出表_Excel!$A$6:$T$150,COLUMN()/2+1,FALSE))),"")</f>
        <v/>
      </c>
      <c r="S53" s="114"/>
      <c r="T53" s="114" t="str">
        <f ca="1">IFERROR(VALUE(IF(VLOOKUP($A53,数出表_Excel!$A$6:$T$150,COLUMN()/2+1,FALSE)=0,"",VLOOKUP($A53,数出表_Excel!$A$6:$T$150,COLUMN()/2+1,FALSE))),"")</f>
        <v/>
      </c>
      <c r="U53" s="114"/>
      <c r="V53" s="118" t="str">
        <f ca="1">IFERROR(VALUE(IF(VLOOKUP($A53,数出表_Excel!$A$6:$T$150,COLUMN()/2+1,FALSE)=0,"",VLOOKUP($A53,数出表_Excel!$A$6:$T$150,COLUMN()/2+1,FALSE))),"")</f>
        <v/>
      </c>
      <c r="W53" s="114"/>
      <c r="X53" s="118" t="str">
        <f ca="1">IFERROR(VALUE(IF(VLOOKUP($A53,数出表_Excel!$A$6:$T$150,COLUMN()/2+1,FALSE)=0,"",VLOOKUP($A53,数出表_Excel!$A$6:$T$150,COLUMN()/2+1,FALSE))),"")</f>
        <v/>
      </c>
      <c r="Y53" s="114"/>
      <c r="Z53" s="118" t="str">
        <f ca="1">IFERROR(VALUE(IF(VLOOKUP($A53,数出表_Excel!$A$6:$T$150,COLUMN()/2+1,FALSE)=0,"",VLOOKUP($A53,数出表_Excel!$A$6:$T$150,COLUMN()/2+1,FALSE))),"")</f>
        <v/>
      </c>
      <c r="AA53" s="152"/>
      <c r="AB53" s="119" t="str">
        <f ca="1">IFERROR(VALUE(IF(VLOOKUP($A53,数出表_Excel!$A$6:$T$150,COLUMN()/2+1,FALSE)=0,"",VLOOKUP($A53,数出表_Excel!$A$6:$T$150,COLUMN()/2+1,FALSE))),"")</f>
        <v/>
      </c>
      <c r="AC53" s="114"/>
      <c r="AD53" s="118" t="str">
        <f ca="1">IFERROR(VALUE(IF(VLOOKUP($A53,数出表_Excel!$A$6:$T$150,COLUMN()/2+1,FALSE)=0,"",VLOOKUP($A53,数出表_Excel!$A$6:$T$150,COLUMN()/2+1,FALSE))),"")</f>
        <v/>
      </c>
      <c r="AE53" s="114"/>
      <c r="AF53" s="118" t="str">
        <f ca="1">IFERROR(VALUE(IF(VLOOKUP($A53,数出表_Excel!$A$6:$T$150,COLUMN()/2+1,FALSE)=0,"",VLOOKUP($A53,数出表_Excel!$A$6:$T$150,COLUMN()/2+1,FALSE))),"")</f>
        <v/>
      </c>
      <c r="AG53" s="114"/>
      <c r="AH53" s="118" t="str">
        <f ca="1">IFERROR(VALUE(IF(VLOOKUP($A53,数出表_Excel!$A$6:$T$150,COLUMN()/2+1,FALSE)=0,"",VLOOKUP($A53,数出表_Excel!$A$6:$T$150,COLUMN()/2+1,FALSE))),"")</f>
        <v/>
      </c>
      <c r="AI53" s="152"/>
      <c r="AJ53" s="119" t="str">
        <f ca="1">IFERROR(VALUE(IF(VLOOKUP($A53,数出表_Excel!$A$6:$T$150,COLUMN()/2+1,FALSE)=0,"",VLOOKUP($A53,数出表_Excel!$A$6:$T$150,COLUMN()/2+1,FALSE))),"")</f>
        <v/>
      </c>
      <c r="AK53" s="114"/>
      <c r="AL53" s="120" t="e">
        <f ca="1">IF(A53&lt;&gt;"",
IF(VLOOKUP($A53,数出表_Excel!$A$6:$T$150,COLUMN()/2+1,FALSE)=0,"",VLOOKUP($A53,数出表_Excel!$A$6:$T$150,COLUMN()/2+1,FALSE)),"")</f>
        <v>#N/A</v>
      </c>
      <c r="AM53" s="200" t="e">
        <f>数出表_Excel!V53</f>
        <v>#N/A</v>
      </c>
      <c r="AN53" s="201" t="e">
        <f>数出表_Excel!W53</f>
        <v>#N/A</v>
      </c>
    </row>
    <row r="54" spans="1:40" ht="16.2" customHeight="1">
      <c r="A54" s="160" t="e">
        <f t="array" aca="1" ref="A54" ca="1">IF(OR(COUNTIF(A52,"*10002*"),COUNTIF(A52,"")),"",INDEX(貼り付け用!$A1:$A200,MATCH(A52,貼り付け用!$A1:$A200,0)+2,0))</f>
        <v>#N/A</v>
      </c>
      <c r="B54" s="148" t="str">
        <f ca="1">IFERROR(VALUE(IF(VLOOKUP($A54,数出表_Excel!$A$6:$T$150,COLUMN()/2+1,FALSE)=0,"",VLOOKUP($A54,数出表_Excel!$A$6:$T$150,COLUMN()/2+1,FALSE))),"")</f>
        <v/>
      </c>
      <c r="C54" s="113"/>
      <c r="D54" s="148" t="str">
        <f ca="1">IFERROR(VALUE(IF(VLOOKUP($A54,数出表_Excel!$A$6:$T$150,COLUMN()/2+1,FALSE)=0,"",VLOOKUP($A54,数出表_Excel!$A$6:$T$150,COLUMN()/2+1,FALSE))),"")</f>
        <v/>
      </c>
      <c r="E54" s="113"/>
      <c r="F54" s="150" t="str">
        <f ca="1">IFERROR(VALUE(IF(VLOOKUP($A54,数出表_Excel!$A$6:$T$150,COLUMN()/2+1,FALSE)=0,"",VLOOKUP($A54,数出表_Excel!$A$6:$T$150,COLUMN()/2+1,FALSE))),"")</f>
        <v/>
      </c>
      <c r="G54" s="113"/>
      <c r="H54" s="148" t="str">
        <f ca="1">IFERROR(VALUE(IF(VLOOKUP($A54,数出表_Excel!$A$6:$T$150,COLUMN()/2+1,FALSE)=0,"",VLOOKUP($A54,数出表_Excel!$A$6:$T$150,COLUMN()/2+1,FALSE))),"")</f>
        <v/>
      </c>
      <c r="I54" s="113"/>
      <c r="J54" s="148" t="str">
        <f ca="1">IFERROR(VALUE(IF(VLOOKUP($A54,数出表_Excel!$A$6:$T$150,COLUMN()/2+1,FALSE)=0,"",VLOOKUP($A54,数出表_Excel!$A$6:$T$150,COLUMN()/2+1,FALSE))),"")</f>
        <v/>
      </c>
      <c r="K54" s="113"/>
      <c r="L54" s="150" t="str">
        <f ca="1">IFERROR(VALUE(IF(VLOOKUP($A54,数出表_Excel!$A$6:$T$150,COLUMN()/2+1,FALSE)=0,"",VLOOKUP($A54,数出表_Excel!$A$6:$T$150,COLUMN()/2+1,FALSE))),"")</f>
        <v/>
      </c>
      <c r="M54" s="113"/>
      <c r="N54" s="148" t="str">
        <f ca="1">IFERROR(VALUE(IF(VLOOKUP($A54,数出表_Excel!$A$6:$T$150,COLUMN()/2+1,FALSE)=0,"",VLOOKUP($A54,数出表_Excel!$A$6:$T$150,COLUMN()/2+1,FALSE))),"")</f>
        <v/>
      </c>
      <c r="O54" s="113"/>
      <c r="P54" s="148" t="str">
        <f ca="1">IFERROR(VALUE(IF(VLOOKUP($A54,数出表_Excel!$A$6:$T$150,COLUMN()/2+1,FALSE)=0,"",VLOOKUP($A54,数出表_Excel!$A$6:$T$150,COLUMN()/2+1,FALSE))),"")</f>
        <v/>
      </c>
      <c r="Q54" s="113"/>
      <c r="R54" s="148" t="str">
        <f ca="1">IFERROR(VALUE(IF(VLOOKUP($A54,数出表_Excel!$A$6:$T$150,COLUMN()/2+1,FALSE)=0,"",VLOOKUP($A54,数出表_Excel!$A$6:$T$150,COLUMN()/2+1,FALSE))),"")</f>
        <v/>
      </c>
      <c r="S54" s="113"/>
      <c r="T54" s="148" t="str">
        <f ca="1">IFERROR(VALUE(IF(VLOOKUP($A54,数出表_Excel!$A$6:$T$150,COLUMN()/2+1,FALSE)=0,"",VLOOKUP($A54,数出表_Excel!$A$6:$T$150,COLUMN()/2+1,FALSE))),"")</f>
        <v/>
      </c>
      <c r="U54" s="113"/>
      <c r="V54" s="150" t="str">
        <f ca="1">IFERROR(VALUE(IF(VLOOKUP($A54,数出表_Excel!$A$6:$T$150,COLUMN()/2+1,FALSE)=0,"",VLOOKUP($A54,数出表_Excel!$A$6:$T$150,COLUMN()/2+1,FALSE))),"")</f>
        <v/>
      </c>
      <c r="W54" s="113"/>
      <c r="X54" s="150" t="str">
        <f ca="1">IFERROR(VALUE(IF(VLOOKUP($A54,数出表_Excel!$A$6:$T$150,COLUMN()/2+1,FALSE)=0,"",VLOOKUP($A54,数出表_Excel!$A$6:$T$150,COLUMN()/2+1,FALSE))),"")</f>
        <v/>
      </c>
      <c r="Y54" s="113"/>
      <c r="Z54" s="150" t="str">
        <f ca="1">IFERROR(VALUE(IF(VLOOKUP($A54,数出表_Excel!$A$6:$T$150,COLUMN()/2+1,FALSE)=0,"",VLOOKUP($A54,数出表_Excel!$A$6:$T$150,COLUMN()/2+1,FALSE))),"")</f>
        <v/>
      </c>
      <c r="AA54" s="151"/>
      <c r="AB54" s="149" t="str">
        <f ca="1">IFERROR(VALUE(IF(VLOOKUP($A54,数出表_Excel!$A$6:$T$150,COLUMN()/2+1,FALSE)=0,"",VLOOKUP($A54,数出表_Excel!$A$6:$T$150,COLUMN()/2+1,FALSE))),"")</f>
        <v/>
      </c>
      <c r="AC54" s="113"/>
      <c r="AD54" s="150" t="str">
        <f ca="1">IFERROR(VALUE(IF(VLOOKUP($A54,数出表_Excel!$A$6:$T$150,COLUMN()/2+1,FALSE)=0,"",VLOOKUP($A54,数出表_Excel!$A$6:$T$150,COLUMN()/2+1,FALSE))),"")</f>
        <v/>
      </c>
      <c r="AE54" s="113"/>
      <c r="AF54" s="150" t="str">
        <f ca="1">IFERROR(VALUE(IF(VLOOKUP($A54,数出表_Excel!$A$6:$T$150,COLUMN()/2+1,FALSE)=0,"",VLOOKUP($A54,数出表_Excel!$A$6:$T$150,COLUMN()/2+1,FALSE))),"")</f>
        <v/>
      </c>
      <c r="AG54" s="113"/>
      <c r="AH54" s="150" t="str">
        <f ca="1">IFERROR(VALUE(IF(VLOOKUP($A54,数出表_Excel!$A$6:$T$150,COLUMN()/2+1,FALSE)=0,"",VLOOKUP($A54,数出表_Excel!$A$6:$T$150,COLUMN()/2+1,FALSE))),"")</f>
        <v/>
      </c>
      <c r="AI54" s="151"/>
      <c r="AJ54" s="149" t="str">
        <f ca="1">IFERROR(VALUE(IF(VLOOKUP($A54,数出表_Excel!$A$6:$T$150,COLUMN()/2+1,FALSE)=0,"",VLOOKUP($A54,数出表_Excel!$A$6:$T$150,COLUMN()/2+1,FALSE))),"")</f>
        <v/>
      </c>
      <c r="AK54" s="113"/>
      <c r="AL54" s="117" t="e">
        <f ca="1">IF(A54&lt;&gt;"",
IF(VLOOKUP($A54,数出表_Excel!$A$6:$T$150,COLUMN()/2+1,FALSE)=0,"",VLOOKUP($A54,数出表_Excel!$A$6:$T$150,COLUMN()/2+1,FALSE)),"")</f>
        <v>#N/A</v>
      </c>
      <c r="AM54" s="198" t="e">
        <f>数出表_Excel!V54</f>
        <v>#N/A</v>
      </c>
      <c r="AN54" s="199" t="e">
        <f>数出表_Excel!W54</f>
        <v>#N/A</v>
      </c>
    </row>
    <row r="55" spans="1:40" ht="16.2" customHeight="1">
      <c r="A55" s="161" t="e">
        <f t="array" aca="1" ref="A55" ca="1">IF(OR(COUNTIF(A53,"*1000*"),COUNTIF(A53,"")),"",INDEX(貼り付け用!$A1:$A200,MATCH(A53,貼り付け用!$A1:$A200,0)+2,0))</f>
        <v>#N/A</v>
      </c>
      <c r="B55" s="114" t="str">
        <f ca="1">IFERROR(VALUE(IF(VLOOKUP($A55,数出表_Excel!$A$6:$T$150,COLUMN()/2+1,FALSE)=0,"",VLOOKUP($A55,数出表_Excel!$A$6:$T$150,COLUMN()/2+1,FALSE))),"")</f>
        <v/>
      </c>
      <c r="C55" s="114"/>
      <c r="D55" s="114" t="str">
        <f ca="1">IFERROR(VALUE(IF(VLOOKUP($A55,数出表_Excel!$A$6:$T$150,COLUMN()/2+1,FALSE)=0,"",VLOOKUP($A55,数出表_Excel!$A$6:$T$150,COLUMN()/2+1,FALSE))),"")</f>
        <v/>
      </c>
      <c r="E55" s="114"/>
      <c r="F55" s="118" t="str">
        <f ca="1">IFERROR(VALUE(IF(VLOOKUP($A55,数出表_Excel!$A$6:$T$150,COLUMN()/2+1,FALSE)=0,"",VLOOKUP($A55,数出表_Excel!$A$6:$T$150,COLUMN()/2+1,FALSE))),"")</f>
        <v/>
      </c>
      <c r="G55" s="114"/>
      <c r="H55" s="114" t="str">
        <f ca="1">IFERROR(VALUE(IF(VLOOKUP($A55,数出表_Excel!$A$6:$T$150,COLUMN()/2+1,FALSE)=0,"",VLOOKUP($A55,数出表_Excel!$A$6:$T$150,COLUMN()/2+1,FALSE))),"")</f>
        <v/>
      </c>
      <c r="I55" s="114"/>
      <c r="J55" s="114" t="str">
        <f ca="1">IFERROR(VALUE(IF(VLOOKUP($A55,数出表_Excel!$A$6:$T$150,COLUMN()/2+1,FALSE)=0,"",VLOOKUP($A55,数出表_Excel!$A$6:$T$150,COLUMN()/2+1,FALSE))),"")</f>
        <v/>
      </c>
      <c r="K55" s="114"/>
      <c r="L55" s="118" t="str">
        <f ca="1">IFERROR(VALUE(IF(VLOOKUP($A55,数出表_Excel!$A$6:$T$150,COLUMN()/2+1,FALSE)=0,"",VLOOKUP($A55,数出表_Excel!$A$6:$T$150,COLUMN()/2+1,FALSE))),"")</f>
        <v/>
      </c>
      <c r="M55" s="114"/>
      <c r="N55" s="114" t="str">
        <f ca="1">IFERROR(VALUE(IF(VLOOKUP($A55,数出表_Excel!$A$6:$T$150,COLUMN()/2+1,FALSE)=0,"",VLOOKUP($A55,数出表_Excel!$A$6:$T$150,COLUMN()/2+1,FALSE))),"")</f>
        <v/>
      </c>
      <c r="O55" s="114"/>
      <c r="P55" s="114" t="str">
        <f ca="1">IFERROR(VALUE(IF(VLOOKUP($A55,数出表_Excel!$A$6:$T$150,COLUMN()/2+1,FALSE)=0,"",VLOOKUP($A55,数出表_Excel!$A$6:$T$150,COLUMN()/2+1,FALSE))),"")</f>
        <v/>
      </c>
      <c r="Q55" s="114"/>
      <c r="R55" s="114" t="str">
        <f ca="1">IFERROR(VALUE(IF(VLOOKUP($A55,数出表_Excel!$A$6:$T$150,COLUMN()/2+1,FALSE)=0,"",VLOOKUP($A55,数出表_Excel!$A$6:$T$150,COLUMN()/2+1,FALSE))),"")</f>
        <v/>
      </c>
      <c r="S55" s="114"/>
      <c r="T55" s="114" t="str">
        <f ca="1">IFERROR(VALUE(IF(VLOOKUP($A55,数出表_Excel!$A$6:$T$150,COLUMN()/2+1,FALSE)=0,"",VLOOKUP($A55,数出表_Excel!$A$6:$T$150,COLUMN()/2+1,FALSE))),"")</f>
        <v/>
      </c>
      <c r="U55" s="114"/>
      <c r="V55" s="118" t="str">
        <f ca="1">IFERROR(VALUE(IF(VLOOKUP($A55,数出表_Excel!$A$6:$T$150,COLUMN()/2+1,FALSE)=0,"",VLOOKUP($A55,数出表_Excel!$A$6:$T$150,COLUMN()/2+1,FALSE))),"")</f>
        <v/>
      </c>
      <c r="W55" s="114"/>
      <c r="X55" s="118" t="str">
        <f ca="1">IFERROR(VALUE(IF(VLOOKUP($A55,数出表_Excel!$A$6:$T$150,COLUMN()/2+1,FALSE)=0,"",VLOOKUP($A55,数出表_Excel!$A$6:$T$150,COLUMN()/2+1,FALSE))),"")</f>
        <v/>
      </c>
      <c r="Y55" s="114"/>
      <c r="Z55" s="118" t="str">
        <f ca="1">IFERROR(VALUE(IF(VLOOKUP($A55,数出表_Excel!$A$6:$T$150,COLUMN()/2+1,FALSE)=0,"",VLOOKUP($A55,数出表_Excel!$A$6:$T$150,COLUMN()/2+1,FALSE))),"")</f>
        <v/>
      </c>
      <c r="AA55" s="152"/>
      <c r="AB55" s="119" t="str">
        <f ca="1">IFERROR(VALUE(IF(VLOOKUP($A55,数出表_Excel!$A$6:$T$150,COLUMN()/2+1,FALSE)=0,"",VLOOKUP($A55,数出表_Excel!$A$6:$T$150,COLUMN()/2+1,FALSE))),"")</f>
        <v/>
      </c>
      <c r="AC55" s="114"/>
      <c r="AD55" s="118" t="str">
        <f ca="1">IFERROR(VALUE(IF(VLOOKUP($A55,数出表_Excel!$A$6:$T$150,COLUMN()/2+1,FALSE)=0,"",VLOOKUP($A55,数出表_Excel!$A$6:$T$150,COLUMN()/2+1,FALSE))),"")</f>
        <v/>
      </c>
      <c r="AE55" s="114"/>
      <c r="AF55" s="118" t="str">
        <f ca="1">IFERROR(VALUE(IF(VLOOKUP($A55,数出表_Excel!$A$6:$T$150,COLUMN()/2+1,FALSE)=0,"",VLOOKUP($A55,数出表_Excel!$A$6:$T$150,COLUMN()/2+1,FALSE))),"")</f>
        <v/>
      </c>
      <c r="AG55" s="114"/>
      <c r="AH55" s="118" t="str">
        <f ca="1">IFERROR(VALUE(IF(VLOOKUP($A55,数出表_Excel!$A$6:$T$150,COLUMN()/2+1,FALSE)=0,"",VLOOKUP($A55,数出表_Excel!$A$6:$T$150,COLUMN()/2+1,FALSE))),"")</f>
        <v/>
      </c>
      <c r="AI55" s="152"/>
      <c r="AJ55" s="119" t="str">
        <f ca="1">IFERROR(VALUE(IF(VLOOKUP($A55,数出表_Excel!$A$6:$T$150,COLUMN()/2+1,FALSE)=0,"",VLOOKUP($A55,数出表_Excel!$A$6:$T$150,COLUMN()/2+1,FALSE))),"")</f>
        <v/>
      </c>
      <c r="AK55" s="114"/>
      <c r="AL55" s="120" t="e">
        <f ca="1">IF(A55&lt;&gt;"",
IF(VLOOKUP($A55,数出表_Excel!$A$6:$T$150,COLUMN()/2+1,FALSE)=0,"",VLOOKUP($A55,数出表_Excel!$A$6:$T$150,COLUMN()/2+1,FALSE)),"")</f>
        <v>#N/A</v>
      </c>
      <c r="AM55" s="200" t="e">
        <f>数出表_Excel!V55</f>
        <v>#N/A</v>
      </c>
      <c r="AN55" s="201" t="e">
        <f>数出表_Excel!W55</f>
        <v>#N/A</v>
      </c>
    </row>
    <row r="56" spans="1:40" ht="16.2" customHeight="1">
      <c r="A56" s="160" t="e">
        <f t="array" aca="1" ref="A56" ca="1">IF(OR(COUNTIF(A54,"*10002*"),COUNTIF(A54,"")),"",INDEX(貼り付け用!$A1:$A200,MATCH(A54,貼り付け用!$A1:$A200,0)+2,0))</f>
        <v>#N/A</v>
      </c>
      <c r="B56" s="148" t="str">
        <f ca="1">IFERROR(VALUE(IF(VLOOKUP($A56,数出表_Excel!$A$6:$T$150,COLUMN()/2+1,FALSE)=0,"",VLOOKUP($A56,数出表_Excel!$A$6:$T$150,COLUMN()/2+1,FALSE))),"")</f>
        <v/>
      </c>
      <c r="C56" s="113"/>
      <c r="D56" s="148" t="str">
        <f ca="1">IFERROR(VALUE(IF(VLOOKUP($A56,数出表_Excel!$A$6:$T$150,COLUMN()/2+1,FALSE)=0,"",VLOOKUP($A56,数出表_Excel!$A$6:$T$150,COLUMN()/2+1,FALSE))),"")</f>
        <v/>
      </c>
      <c r="E56" s="113"/>
      <c r="F56" s="150" t="str">
        <f ca="1">IFERROR(VALUE(IF(VLOOKUP($A56,数出表_Excel!$A$6:$T$150,COLUMN()/2+1,FALSE)=0,"",VLOOKUP($A56,数出表_Excel!$A$6:$T$150,COLUMN()/2+1,FALSE))),"")</f>
        <v/>
      </c>
      <c r="G56" s="113"/>
      <c r="H56" s="148" t="str">
        <f ca="1">IFERROR(VALUE(IF(VLOOKUP($A56,数出表_Excel!$A$6:$T$150,COLUMN()/2+1,FALSE)=0,"",VLOOKUP($A56,数出表_Excel!$A$6:$T$150,COLUMN()/2+1,FALSE))),"")</f>
        <v/>
      </c>
      <c r="I56" s="113"/>
      <c r="J56" s="148" t="str">
        <f ca="1">IFERROR(VALUE(IF(VLOOKUP($A56,数出表_Excel!$A$6:$T$150,COLUMN()/2+1,FALSE)=0,"",VLOOKUP($A56,数出表_Excel!$A$6:$T$150,COLUMN()/2+1,FALSE))),"")</f>
        <v/>
      </c>
      <c r="K56" s="113"/>
      <c r="L56" s="150" t="str">
        <f ca="1">IFERROR(VALUE(IF(VLOOKUP($A56,数出表_Excel!$A$6:$T$150,COLUMN()/2+1,FALSE)=0,"",VLOOKUP($A56,数出表_Excel!$A$6:$T$150,COLUMN()/2+1,FALSE))),"")</f>
        <v/>
      </c>
      <c r="M56" s="113"/>
      <c r="N56" s="148" t="str">
        <f ca="1">IFERROR(VALUE(IF(VLOOKUP($A56,数出表_Excel!$A$6:$T$150,COLUMN()/2+1,FALSE)=0,"",VLOOKUP($A56,数出表_Excel!$A$6:$T$150,COLUMN()/2+1,FALSE))),"")</f>
        <v/>
      </c>
      <c r="O56" s="113"/>
      <c r="P56" s="148" t="str">
        <f ca="1">IFERROR(VALUE(IF(VLOOKUP($A56,数出表_Excel!$A$6:$T$150,COLUMN()/2+1,FALSE)=0,"",VLOOKUP($A56,数出表_Excel!$A$6:$T$150,COLUMN()/2+1,FALSE))),"")</f>
        <v/>
      </c>
      <c r="Q56" s="113"/>
      <c r="R56" s="148" t="str">
        <f ca="1">IFERROR(VALUE(IF(VLOOKUP($A56,数出表_Excel!$A$6:$T$150,COLUMN()/2+1,FALSE)=0,"",VLOOKUP($A56,数出表_Excel!$A$6:$T$150,COLUMN()/2+1,FALSE))),"")</f>
        <v/>
      </c>
      <c r="S56" s="113"/>
      <c r="T56" s="148" t="str">
        <f ca="1">IFERROR(VALUE(IF(VLOOKUP($A56,数出表_Excel!$A$6:$T$150,COLUMN()/2+1,FALSE)=0,"",VLOOKUP($A56,数出表_Excel!$A$6:$T$150,COLUMN()/2+1,FALSE))),"")</f>
        <v/>
      </c>
      <c r="U56" s="113"/>
      <c r="V56" s="150" t="str">
        <f ca="1">IFERROR(VALUE(IF(VLOOKUP($A56,数出表_Excel!$A$6:$T$150,COLUMN()/2+1,FALSE)=0,"",VLOOKUP($A56,数出表_Excel!$A$6:$T$150,COLUMN()/2+1,FALSE))),"")</f>
        <v/>
      </c>
      <c r="W56" s="113"/>
      <c r="X56" s="150" t="str">
        <f ca="1">IFERROR(VALUE(IF(VLOOKUP($A56,数出表_Excel!$A$6:$T$150,COLUMN()/2+1,FALSE)=0,"",VLOOKUP($A56,数出表_Excel!$A$6:$T$150,COLUMN()/2+1,FALSE))),"")</f>
        <v/>
      </c>
      <c r="Y56" s="113"/>
      <c r="Z56" s="150" t="str">
        <f ca="1">IFERROR(VALUE(IF(VLOOKUP($A56,数出表_Excel!$A$6:$T$150,COLUMN()/2+1,FALSE)=0,"",VLOOKUP($A56,数出表_Excel!$A$6:$T$150,COLUMN()/2+1,FALSE))),"")</f>
        <v/>
      </c>
      <c r="AA56" s="151"/>
      <c r="AB56" s="149" t="str">
        <f ca="1">IFERROR(VALUE(IF(VLOOKUP($A56,数出表_Excel!$A$6:$T$150,COLUMN()/2+1,FALSE)=0,"",VLOOKUP($A56,数出表_Excel!$A$6:$T$150,COLUMN()/2+1,FALSE))),"")</f>
        <v/>
      </c>
      <c r="AC56" s="113"/>
      <c r="AD56" s="150" t="str">
        <f ca="1">IFERROR(VALUE(IF(VLOOKUP($A56,数出表_Excel!$A$6:$T$150,COLUMN()/2+1,FALSE)=0,"",VLOOKUP($A56,数出表_Excel!$A$6:$T$150,COLUMN()/2+1,FALSE))),"")</f>
        <v/>
      </c>
      <c r="AE56" s="113"/>
      <c r="AF56" s="150" t="str">
        <f ca="1">IFERROR(VALUE(IF(VLOOKUP($A56,数出表_Excel!$A$6:$T$150,COLUMN()/2+1,FALSE)=0,"",VLOOKUP($A56,数出表_Excel!$A$6:$T$150,COLUMN()/2+1,FALSE))),"")</f>
        <v/>
      </c>
      <c r="AG56" s="113"/>
      <c r="AH56" s="150" t="str">
        <f ca="1">IFERROR(VALUE(IF(VLOOKUP($A56,数出表_Excel!$A$6:$T$150,COLUMN()/2+1,FALSE)=0,"",VLOOKUP($A56,数出表_Excel!$A$6:$T$150,COLUMN()/2+1,FALSE))),"")</f>
        <v/>
      </c>
      <c r="AI56" s="151"/>
      <c r="AJ56" s="149" t="str">
        <f ca="1">IFERROR(VALUE(IF(VLOOKUP($A56,数出表_Excel!$A$6:$T$150,COLUMN()/2+1,FALSE)=0,"",VLOOKUP($A56,数出表_Excel!$A$6:$T$150,COLUMN()/2+1,FALSE))),"")</f>
        <v/>
      </c>
      <c r="AK56" s="113"/>
      <c r="AL56" s="117" t="e">
        <f ca="1">IF(A56&lt;&gt;"",
IF(VLOOKUP($A56,数出表_Excel!$A$6:$T$150,COLUMN()/2+1,FALSE)=0,"",VLOOKUP($A56,数出表_Excel!$A$6:$T$150,COLUMN()/2+1,FALSE)),"")</f>
        <v>#N/A</v>
      </c>
      <c r="AM56" s="198" t="e">
        <f>数出表_Excel!V56</f>
        <v>#N/A</v>
      </c>
      <c r="AN56" s="199" t="e">
        <f>数出表_Excel!W56</f>
        <v>#N/A</v>
      </c>
    </row>
    <row r="57" spans="1:40" ht="16.2" customHeight="1">
      <c r="A57" s="161" t="e">
        <f t="array" aca="1" ref="A57" ca="1">IF(OR(COUNTIF(A55,"*1000*"),COUNTIF(A55,"")),"",INDEX(貼り付け用!$A1:$A200,MATCH(A55,貼り付け用!$A1:$A200,0)+2,0))</f>
        <v>#N/A</v>
      </c>
      <c r="B57" s="114" t="str">
        <f ca="1">IFERROR(VALUE(IF(VLOOKUP($A57,数出表_Excel!$A$6:$T$150,COLUMN()/2+1,FALSE)=0,"",VLOOKUP($A57,数出表_Excel!$A$6:$T$150,COLUMN()/2+1,FALSE))),"")</f>
        <v/>
      </c>
      <c r="C57" s="114"/>
      <c r="D57" s="114" t="str">
        <f ca="1">IFERROR(VALUE(IF(VLOOKUP($A57,数出表_Excel!$A$6:$T$150,COLUMN()/2+1,FALSE)=0,"",VLOOKUP($A57,数出表_Excel!$A$6:$T$150,COLUMN()/2+1,FALSE))),"")</f>
        <v/>
      </c>
      <c r="E57" s="114"/>
      <c r="F57" s="118" t="str">
        <f ca="1">IFERROR(VALUE(IF(VLOOKUP($A57,数出表_Excel!$A$6:$T$150,COLUMN()/2+1,FALSE)=0,"",VLOOKUP($A57,数出表_Excel!$A$6:$T$150,COLUMN()/2+1,FALSE))),"")</f>
        <v/>
      </c>
      <c r="G57" s="114"/>
      <c r="H57" s="114" t="str">
        <f ca="1">IFERROR(VALUE(IF(VLOOKUP($A57,数出表_Excel!$A$6:$T$150,COLUMN()/2+1,FALSE)=0,"",VLOOKUP($A57,数出表_Excel!$A$6:$T$150,COLUMN()/2+1,FALSE))),"")</f>
        <v/>
      </c>
      <c r="I57" s="114"/>
      <c r="J57" s="114" t="str">
        <f ca="1">IFERROR(VALUE(IF(VLOOKUP($A57,数出表_Excel!$A$6:$T$150,COLUMN()/2+1,FALSE)=0,"",VLOOKUP($A57,数出表_Excel!$A$6:$T$150,COLUMN()/2+1,FALSE))),"")</f>
        <v/>
      </c>
      <c r="K57" s="114"/>
      <c r="L57" s="118" t="str">
        <f ca="1">IFERROR(VALUE(IF(VLOOKUP($A57,数出表_Excel!$A$6:$T$150,COLUMN()/2+1,FALSE)=0,"",VLOOKUP($A57,数出表_Excel!$A$6:$T$150,COLUMN()/2+1,FALSE))),"")</f>
        <v/>
      </c>
      <c r="M57" s="114"/>
      <c r="N57" s="114" t="str">
        <f ca="1">IFERROR(VALUE(IF(VLOOKUP($A57,数出表_Excel!$A$6:$T$150,COLUMN()/2+1,FALSE)=0,"",VLOOKUP($A57,数出表_Excel!$A$6:$T$150,COLUMN()/2+1,FALSE))),"")</f>
        <v/>
      </c>
      <c r="O57" s="114"/>
      <c r="P57" s="114" t="str">
        <f ca="1">IFERROR(VALUE(IF(VLOOKUP($A57,数出表_Excel!$A$6:$T$150,COLUMN()/2+1,FALSE)=0,"",VLOOKUP($A57,数出表_Excel!$A$6:$T$150,COLUMN()/2+1,FALSE))),"")</f>
        <v/>
      </c>
      <c r="Q57" s="114"/>
      <c r="R57" s="114" t="str">
        <f ca="1">IFERROR(VALUE(IF(VLOOKUP($A57,数出表_Excel!$A$6:$T$150,COLUMN()/2+1,FALSE)=0,"",VLOOKUP($A57,数出表_Excel!$A$6:$T$150,COLUMN()/2+1,FALSE))),"")</f>
        <v/>
      </c>
      <c r="S57" s="114"/>
      <c r="T57" s="114" t="str">
        <f ca="1">IFERROR(VALUE(IF(VLOOKUP($A57,数出表_Excel!$A$6:$T$150,COLUMN()/2+1,FALSE)=0,"",VLOOKUP($A57,数出表_Excel!$A$6:$T$150,COLUMN()/2+1,FALSE))),"")</f>
        <v/>
      </c>
      <c r="U57" s="114"/>
      <c r="V57" s="118" t="str">
        <f ca="1">IFERROR(VALUE(IF(VLOOKUP($A57,数出表_Excel!$A$6:$T$150,COLUMN()/2+1,FALSE)=0,"",VLOOKUP($A57,数出表_Excel!$A$6:$T$150,COLUMN()/2+1,FALSE))),"")</f>
        <v/>
      </c>
      <c r="W57" s="114"/>
      <c r="X57" s="118" t="str">
        <f ca="1">IFERROR(VALUE(IF(VLOOKUP($A57,数出表_Excel!$A$6:$T$150,COLUMN()/2+1,FALSE)=0,"",VLOOKUP($A57,数出表_Excel!$A$6:$T$150,COLUMN()/2+1,FALSE))),"")</f>
        <v/>
      </c>
      <c r="Y57" s="114"/>
      <c r="Z57" s="118" t="str">
        <f ca="1">IFERROR(VALUE(IF(VLOOKUP($A57,数出表_Excel!$A$6:$T$150,COLUMN()/2+1,FALSE)=0,"",VLOOKUP($A57,数出表_Excel!$A$6:$T$150,COLUMN()/2+1,FALSE))),"")</f>
        <v/>
      </c>
      <c r="AA57" s="152"/>
      <c r="AB57" s="119" t="str">
        <f ca="1">IFERROR(VALUE(IF(VLOOKUP($A57,数出表_Excel!$A$6:$T$150,COLUMN()/2+1,FALSE)=0,"",VLOOKUP($A57,数出表_Excel!$A$6:$T$150,COLUMN()/2+1,FALSE))),"")</f>
        <v/>
      </c>
      <c r="AC57" s="114"/>
      <c r="AD57" s="118" t="str">
        <f ca="1">IFERROR(VALUE(IF(VLOOKUP($A57,数出表_Excel!$A$6:$T$150,COLUMN()/2+1,FALSE)=0,"",VLOOKUP($A57,数出表_Excel!$A$6:$T$150,COLUMN()/2+1,FALSE))),"")</f>
        <v/>
      </c>
      <c r="AE57" s="114"/>
      <c r="AF57" s="118" t="str">
        <f ca="1">IFERROR(VALUE(IF(VLOOKUP($A57,数出表_Excel!$A$6:$T$150,COLUMN()/2+1,FALSE)=0,"",VLOOKUP($A57,数出表_Excel!$A$6:$T$150,COLUMN()/2+1,FALSE))),"")</f>
        <v/>
      </c>
      <c r="AG57" s="114"/>
      <c r="AH57" s="118" t="str">
        <f ca="1">IFERROR(VALUE(IF(VLOOKUP($A57,数出表_Excel!$A$6:$T$150,COLUMN()/2+1,FALSE)=0,"",VLOOKUP($A57,数出表_Excel!$A$6:$T$150,COLUMN()/2+1,FALSE))),"")</f>
        <v/>
      </c>
      <c r="AI57" s="152"/>
      <c r="AJ57" s="119" t="str">
        <f ca="1">IFERROR(VALUE(IF(VLOOKUP($A57,数出表_Excel!$A$6:$T$150,COLUMN()/2+1,FALSE)=0,"",VLOOKUP($A57,数出表_Excel!$A$6:$T$150,COLUMN()/2+1,FALSE))),"")</f>
        <v/>
      </c>
      <c r="AK57" s="114"/>
      <c r="AL57" s="120" t="e">
        <f ca="1">IF(A57&lt;&gt;"",
IF(VLOOKUP($A57,数出表_Excel!$A$6:$T$150,COLUMN()/2+1,FALSE)=0,"",VLOOKUP($A57,数出表_Excel!$A$6:$T$150,COLUMN()/2+1,FALSE)),"")</f>
        <v>#N/A</v>
      </c>
      <c r="AM57" s="200" t="e">
        <f>数出表_Excel!V57</f>
        <v>#N/A</v>
      </c>
      <c r="AN57" s="201" t="e">
        <f>数出表_Excel!W57</f>
        <v>#N/A</v>
      </c>
    </row>
    <row r="58" spans="1:40" ht="16.2" customHeight="1">
      <c r="A58" s="160" t="e">
        <f t="array" aca="1" ref="A58" ca="1">IF(OR(COUNTIF(A56,"*10002*"),COUNTIF(A56,"")),"",INDEX(貼り付け用!$A1:$A200,MATCH(A56,貼り付け用!$A1:$A200,0)+2,0))</f>
        <v>#N/A</v>
      </c>
      <c r="B58" s="148" t="str">
        <f ca="1">IFERROR(VALUE(IF(VLOOKUP($A58,数出表_Excel!$A$6:$T$150,COLUMN()/2+1,FALSE)=0,"",VLOOKUP($A58,数出表_Excel!$A$6:$T$150,COLUMN()/2+1,FALSE))),"")</f>
        <v/>
      </c>
      <c r="C58" s="113"/>
      <c r="D58" s="148" t="str">
        <f ca="1">IFERROR(VALUE(IF(VLOOKUP($A58,数出表_Excel!$A$6:$T$150,COLUMN()/2+1,FALSE)=0,"",VLOOKUP($A58,数出表_Excel!$A$6:$T$150,COLUMN()/2+1,FALSE))),"")</f>
        <v/>
      </c>
      <c r="E58" s="113"/>
      <c r="F58" s="150" t="str">
        <f ca="1">IFERROR(VALUE(IF(VLOOKUP($A58,数出表_Excel!$A$6:$T$150,COLUMN()/2+1,FALSE)=0,"",VLOOKUP($A58,数出表_Excel!$A$6:$T$150,COLUMN()/2+1,FALSE))),"")</f>
        <v/>
      </c>
      <c r="G58" s="113"/>
      <c r="H58" s="148" t="str">
        <f ca="1">IFERROR(VALUE(IF(VLOOKUP($A58,数出表_Excel!$A$6:$T$150,COLUMN()/2+1,FALSE)=0,"",VLOOKUP($A58,数出表_Excel!$A$6:$T$150,COLUMN()/2+1,FALSE))),"")</f>
        <v/>
      </c>
      <c r="I58" s="113"/>
      <c r="J58" s="148" t="str">
        <f ca="1">IFERROR(VALUE(IF(VLOOKUP($A58,数出表_Excel!$A$6:$T$150,COLUMN()/2+1,FALSE)=0,"",VLOOKUP($A58,数出表_Excel!$A$6:$T$150,COLUMN()/2+1,FALSE))),"")</f>
        <v/>
      </c>
      <c r="K58" s="113"/>
      <c r="L58" s="150" t="str">
        <f ca="1">IFERROR(VALUE(IF(VLOOKUP($A58,数出表_Excel!$A$6:$T$150,COLUMN()/2+1,FALSE)=0,"",VLOOKUP($A58,数出表_Excel!$A$6:$T$150,COLUMN()/2+1,FALSE))),"")</f>
        <v/>
      </c>
      <c r="M58" s="113"/>
      <c r="N58" s="148" t="str">
        <f ca="1">IFERROR(VALUE(IF(VLOOKUP($A58,数出表_Excel!$A$6:$T$150,COLUMN()/2+1,FALSE)=0,"",VLOOKUP($A58,数出表_Excel!$A$6:$T$150,COLUMN()/2+1,FALSE))),"")</f>
        <v/>
      </c>
      <c r="O58" s="113"/>
      <c r="P58" s="148" t="str">
        <f ca="1">IFERROR(VALUE(IF(VLOOKUP($A58,数出表_Excel!$A$6:$T$150,COLUMN()/2+1,FALSE)=0,"",VLOOKUP($A58,数出表_Excel!$A$6:$T$150,COLUMN()/2+1,FALSE))),"")</f>
        <v/>
      </c>
      <c r="Q58" s="113"/>
      <c r="R58" s="148" t="str">
        <f ca="1">IFERROR(VALUE(IF(VLOOKUP($A58,数出表_Excel!$A$6:$T$150,COLUMN()/2+1,FALSE)=0,"",VLOOKUP($A58,数出表_Excel!$A$6:$T$150,COLUMN()/2+1,FALSE))),"")</f>
        <v/>
      </c>
      <c r="S58" s="113"/>
      <c r="T58" s="148" t="str">
        <f ca="1">IFERROR(VALUE(IF(VLOOKUP($A58,数出表_Excel!$A$6:$T$150,COLUMN()/2+1,FALSE)=0,"",VLOOKUP($A58,数出表_Excel!$A$6:$T$150,COLUMN()/2+1,FALSE))),"")</f>
        <v/>
      </c>
      <c r="U58" s="113"/>
      <c r="V58" s="150" t="str">
        <f ca="1">IFERROR(VALUE(IF(VLOOKUP($A58,数出表_Excel!$A$6:$T$150,COLUMN()/2+1,FALSE)=0,"",VLOOKUP($A58,数出表_Excel!$A$6:$T$150,COLUMN()/2+1,FALSE))),"")</f>
        <v/>
      </c>
      <c r="W58" s="113"/>
      <c r="X58" s="150" t="str">
        <f ca="1">IFERROR(VALUE(IF(VLOOKUP($A58,数出表_Excel!$A$6:$T$150,COLUMN()/2+1,FALSE)=0,"",VLOOKUP($A58,数出表_Excel!$A$6:$T$150,COLUMN()/2+1,FALSE))),"")</f>
        <v/>
      </c>
      <c r="Y58" s="113"/>
      <c r="Z58" s="150" t="str">
        <f ca="1">IFERROR(VALUE(IF(VLOOKUP($A58,数出表_Excel!$A$6:$T$150,COLUMN()/2+1,FALSE)=0,"",VLOOKUP($A58,数出表_Excel!$A$6:$T$150,COLUMN()/2+1,FALSE))),"")</f>
        <v/>
      </c>
      <c r="AA58" s="151"/>
      <c r="AB58" s="149" t="str">
        <f ca="1">IFERROR(VALUE(IF(VLOOKUP($A58,数出表_Excel!$A$6:$T$150,COLUMN()/2+1,FALSE)=0,"",VLOOKUP($A58,数出表_Excel!$A$6:$T$150,COLUMN()/2+1,FALSE))),"")</f>
        <v/>
      </c>
      <c r="AC58" s="113"/>
      <c r="AD58" s="150" t="str">
        <f ca="1">IFERROR(VALUE(IF(VLOOKUP($A58,数出表_Excel!$A$6:$T$150,COLUMN()/2+1,FALSE)=0,"",VLOOKUP($A58,数出表_Excel!$A$6:$T$150,COLUMN()/2+1,FALSE))),"")</f>
        <v/>
      </c>
      <c r="AE58" s="113"/>
      <c r="AF58" s="150" t="str">
        <f ca="1">IFERROR(VALUE(IF(VLOOKUP($A58,数出表_Excel!$A$6:$T$150,COLUMN()/2+1,FALSE)=0,"",VLOOKUP($A58,数出表_Excel!$A$6:$T$150,COLUMN()/2+1,FALSE))),"")</f>
        <v/>
      </c>
      <c r="AG58" s="113"/>
      <c r="AH58" s="150" t="str">
        <f ca="1">IFERROR(VALUE(IF(VLOOKUP($A58,数出表_Excel!$A$6:$T$150,COLUMN()/2+1,FALSE)=0,"",VLOOKUP($A58,数出表_Excel!$A$6:$T$150,COLUMN()/2+1,FALSE))),"")</f>
        <v/>
      </c>
      <c r="AI58" s="151"/>
      <c r="AJ58" s="149" t="str">
        <f ca="1">IFERROR(VALUE(IF(VLOOKUP($A58,数出表_Excel!$A$6:$T$150,COLUMN()/2+1,FALSE)=0,"",VLOOKUP($A58,数出表_Excel!$A$6:$T$150,COLUMN()/2+1,FALSE))),"")</f>
        <v/>
      </c>
      <c r="AK58" s="113"/>
      <c r="AL58" s="117" t="e">
        <f ca="1">IF(A58&lt;&gt;"",
IF(VLOOKUP($A58,数出表_Excel!$A$6:$T$150,COLUMN()/2+1,FALSE)=0,"",VLOOKUP($A58,数出表_Excel!$A$6:$T$150,COLUMN()/2+1,FALSE)),"")</f>
        <v>#N/A</v>
      </c>
      <c r="AM58" s="198" t="e">
        <f>数出表_Excel!V58</f>
        <v>#N/A</v>
      </c>
      <c r="AN58" s="199" t="e">
        <f>数出表_Excel!W58</f>
        <v>#N/A</v>
      </c>
    </row>
    <row r="59" spans="1:40" ht="16.2" customHeight="1">
      <c r="A59" s="161" t="e">
        <f t="array" aca="1" ref="A59" ca="1">IF(OR(COUNTIF(A57,"*1000*"),COUNTIF(A57,"")),"",INDEX(貼り付け用!$A1:$A200,MATCH(A57,貼り付け用!$A1:$A200,0)+2,0))</f>
        <v>#N/A</v>
      </c>
      <c r="B59" s="114" t="str">
        <f ca="1">IFERROR(VALUE(IF(VLOOKUP($A59,数出表_Excel!$A$6:$T$150,COLUMN()/2+1,FALSE)=0,"",VLOOKUP($A59,数出表_Excel!$A$6:$T$150,COLUMN()/2+1,FALSE))),"")</f>
        <v/>
      </c>
      <c r="C59" s="114"/>
      <c r="D59" s="114" t="str">
        <f ca="1">IFERROR(VALUE(IF(VLOOKUP($A59,数出表_Excel!$A$6:$T$150,COLUMN()/2+1,FALSE)=0,"",VLOOKUP($A59,数出表_Excel!$A$6:$T$150,COLUMN()/2+1,FALSE))),"")</f>
        <v/>
      </c>
      <c r="E59" s="114"/>
      <c r="F59" s="118" t="str">
        <f ca="1">IFERROR(VALUE(IF(VLOOKUP($A59,数出表_Excel!$A$6:$T$150,COLUMN()/2+1,FALSE)=0,"",VLOOKUP($A59,数出表_Excel!$A$6:$T$150,COLUMN()/2+1,FALSE))),"")</f>
        <v/>
      </c>
      <c r="G59" s="114"/>
      <c r="H59" s="114" t="str">
        <f ca="1">IFERROR(VALUE(IF(VLOOKUP($A59,数出表_Excel!$A$6:$T$150,COLUMN()/2+1,FALSE)=0,"",VLOOKUP($A59,数出表_Excel!$A$6:$T$150,COLUMN()/2+1,FALSE))),"")</f>
        <v/>
      </c>
      <c r="I59" s="114"/>
      <c r="J59" s="114" t="str">
        <f ca="1">IFERROR(VALUE(IF(VLOOKUP($A59,数出表_Excel!$A$6:$T$150,COLUMN()/2+1,FALSE)=0,"",VLOOKUP($A59,数出表_Excel!$A$6:$T$150,COLUMN()/2+1,FALSE))),"")</f>
        <v/>
      </c>
      <c r="K59" s="114"/>
      <c r="L59" s="118" t="str">
        <f ca="1">IFERROR(VALUE(IF(VLOOKUP($A59,数出表_Excel!$A$6:$T$150,COLUMN()/2+1,FALSE)=0,"",VLOOKUP($A59,数出表_Excel!$A$6:$T$150,COLUMN()/2+1,FALSE))),"")</f>
        <v/>
      </c>
      <c r="M59" s="114"/>
      <c r="N59" s="114" t="str">
        <f ca="1">IFERROR(VALUE(IF(VLOOKUP($A59,数出表_Excel!$A$6:$T$150,COLUMN()/2+1,FALSE)=0,"",VLOOKUP($A59,数出表_Excel!$A$6:$T$150,COLUMN()/2+1,FALSE))),"")</f>
        <v/>
      </c>
      <c r="O59" s="114"/>
      <c r="P59" s="114" t="str">
        <f ca="1">IFERROR(VALUE(IF(VLOOKUP($A59,数出表_Excel!$A$6:$T$150,COLUMN()/2+1,FALSE)=0,"",VLOOKUP($A59,数出表_Excel!$A$6:$T$150,COLUMN()/2+1,FALSE))),"")</f>
        <v/>
      </c>
      <c r="Q59" s="114"/>
      <c r="R59" s="114" t="str">
        <f ca="1">IFERROR(VALUE(IF(VLOOKUP($A59,数出表_Excel!$A$6:$T$150,COLUMN()/2+1,FALSE)=0,"",VLOOKUP($A59,数出表_Excel!$A$6:$T$150,COLUMN()/2+1,FALSE))),"")</f>
        <v/>
      </c>
      <c r="S59" s="114"/>
      <c r="T59" s="114" t="str">
        <f ca="1">IFERROR(VALUE(IF(VLOOKUP($A59,数出表_Excel!$A$6:$T$150,COLUMN()/2+1,FALSE)=0,"",VLOOKUP($A59,数出表_Excel!$A$6:$T$150,COLUMN()/2+1,FALSE))),"")</f>
        <v/>
      </c>
      <c r="U59" s="114"/>
      <c r="V59" s="118" t="str">
        <f ca="1">IFERROR(VALUE(IF(VLOOKUP($A59,数出表_Excel!$A$6:$T$150,COLUMN()/2+1,FALSE)=0,"",VLOOKUP($A59,数出表_Excel!$A$6:$T$150,COLUMN()/2+1,FALSE))),"")</f>
        <v/>
      </c>
      <c r="W59" s="114"/>
      <c r="X59" s="118" t="str">
        <f ca="1">IFERROR(VALUE(IF(VLOOKUP($A59,数出表_Excel!$A$6:$T$150,COLUMN()/2+1,FALSE)=0,"",VLOOKUP($A59,数出表_Excel!$A$6:$T$150,COLUMN()/2+1,FALSE))),"")</f>
        <v/>
      </c>
      <c r="Y59" s="114"/>
      <c r="Z59" s="118" t="str">
        <f ca="1">IFERROR(VALUE(IF(VLOOKUP($A59,数出表_Excel!$A$6:$T$150,COLUMN()/2+1,FALSE)=0,"",VLOOKUP($A59,数出表_Excel!$A$6:$T$150,COLUMN()/2+1,FALSE))),"")</f>
        <v/>
      </c>
      <c r="AA59" s="152"/>
      <c r="AB59" s="119" t="str">
        <f ca="1">IFERROR(VALUE(IF(VLOOKUP($A59,数出表_Excel!$A$6:$T$150,COLUMN()/2+1,FALSE)=0,"",VLOOKUP($A59,数出表_Excel!$A$6:$T$150,COLUMN()/2+1,FALSE))),"")</f>
        <v/>
      </c>
      <c r="AC59" s="114"/>
      <c r="AD59" s="118" t="str">
        <f ca="1">IFERROR(VALUE(IF(VLOOKUP($A59,数出表_Excel!$A$6:$T$150,COLUMN()/2+1,FALSE)=0,"",VLOOKUP($A59,数出表_Excel!$A$6:$T$150,COLUMN()/2+1,FALSE))),"")</f>
        <v/>
      </c>
      <c r="AE59" s="114"/>
      <c r="AF59" s="118" t="str">
        <f ca="1">IFERROR(VALUE(IF(VLOOKUP($A59,数出表_Excel!$A$6:$T$150,COLUMN()/2+1,FALSE)=0,"",VLOOKUP($A59,数出表_Excel!$A$6:$T$150,COLUMN()/2+1,FALSE))),"")</f>
        <v/>
      </c>
      <c r="AG59" s="114"/>
      <c r="AH59" s="118" t="str">
        <f ca="1">IFERROR(VALUE(IF(VLOOKUP($A59,数出表_Excel!$A$6:$T$150,COLUMN()/2+1,FALSE)=0,"",VLOOKUP($A59,数出表_Excel!$A$6:$T$150,COLUMN()/2+1,FALSE))),"")</f>
        <v/>
      </c>
      <c r="AI59" s="152"/>
      <c r="AJ59" s="119" t="str">
        <f ca="1">IFERROR(VALUE(IF(VLOOKUP($A59,数出表_Excel!$A$6:$T$150,COLUMN()/2+1,FALSE)=0,"",VLOOKUP($A59,数出表_Excel!$A$6:$T$150,COLUMN()/2+1,FALSE))),"")</f>
        <v/>
      </c>
      <c r="AK59" s="114"/>
      <c r="AL59" s="120" t="e">
        <f ca="1">IF(A59&lt;&gt;"",
IF(VLOOKUP($A59,数出表_Excel!$A$6:$T$150,COLUMN()/2+1,FALSE)=0,"",VLOOKUP($A59,数出表_Excel!$A$6:$T$150,COLUMN()/2+1,FALSE)),"")</f>
        <v>#N/A</v>
      </c>
      <c r="AM59" s="200" t="e">
        <f>数出表_Excel!V59</f>
        <v>#N/A</v>
      </c>
      <c r="AN59" s="201" t="e">
        <f>数出表_Excel!W59</f>
        <v>#N/A</v>
      </c>
    </row>
    <row r="60" spans="1:40" ht="16.2" customHeight="1">
      <c r="A60" s="160" t="e">
        <f t="array" aca="1" ref="A60" ca="1">IF(OR(COUNTIF(A58,"*10002*"),COUNTIF(A58,"")),"",INDEX(貼り付け用!$A1:$A200,MATCH(A58,貼り付け用!$A1:$A200,0)+2,0))</f>
        <v>#N/A</v>
      </c>
      <c r="B60" s="148" t="str">
        <f ca="1">IFERROR(VALUE(IF(VLOOKUP($A60,数出表_Excel!$A$6:$T$150,COLUMN()/2+1,FALSE)=0,"",VLOOKUP($A60,数出表_Excel!$A$6:$T$150,COLUMN()/2+1,FALSE))),"")</f>
        <v/>
      </c>
      <c r="C60" s="113"/>
      <c r="D60" s="148" t="str">
        <f ca="1">IFERROR(VALUE(IF(VLOOKUP($A60,数出表_Excel!$A$6:$T$150,COLUMN()/2+1,FALSE)=0,"",VLOOKUP($A60,数出表_Excel!$A$6:$T$150,COLUMN()/2+1,FALSE))),"")</f>
        <v/>
      </c>
      <c r="E60" s="113"/>
      <c r="F60" s="150" t="str">
        <f ca="1">IFERROR(VALUE(IF(VLOOKUP($A60,数出表_Excel!$A$6:$T$150,COLUMN()/2+1,FALSE)=0,"",VLOOKUP($A60,数出表_Excel!$A$6:$T$150,COLUMN()/2+1,FALSE))),"")</f>
        <v/>
      </c>
      <c r="G60" s="113"/>
      <c r="H60" s="148" t="str">
        <f ca="1">IFERROR(VALUE(IF(VLOOKUP($A60,数出表_Excel!$A$6:$T$150,COLUMN()/2+1,FALSE)=0,"",VLOOKUP($A60,数出表_Excel!$A$6:$T$150,COLUMN()/2+1,FALSE))),"")</f>
        <v/>
      </c>
      <c r="I60" s="113"/>
      <c r="J60" s="148" t="str">
        <f ca="1">IFERROR(VALUE(IF(VLOOKUP($A60,数出表_Excel!$A$6:$T$150,COLUMN()/2+1,FALSE)=0,"",VLOOKUP($A60,数出表_Excel!$A$6:$T$150,COLUMN()/2+1,FALSE))),"")</f>
        <v/>
      </c>
      <c r="K60" s="113"/>
      <c r="L60" s="150" t="str">
        <f ca="1">IFERROR(VALUE(IF(VLOOKUP($A60,数出表_Excel!$A$6:$T$150,COLUMN()/2+1,FALSE)=0,"",VLOOKUP($A60,数出表_Excel!$A$6:$T$150,COLUMN()/2+1,FALSE))),"")</f>
        <v/>
      </c>
      <c r="M60" s="113"/>
      <c r="N60" s="148" t="str">
        <f ca="1">IFERROR(VALUE(IF(VLOOKUP($A60,数出表_Excel!$A$6:$T$150,COLUMN()/2+1,FALSE)=0,"",VLOOKUP($A60,数出表_Excel!$A$6:$T$150,COLUMN()/2+1,FALSE))),"")</f>
        <v/>
      </c>
      <c r="O60" s="113"/>
      <c r="P60" s="148" t="str">
        <f ca="1">IFERROR(VALUE(IF(VLOOKUP($A60,数出表_Excel!$A$6:$T$150,COLUMN()/2+1,FALSE)=0,"",VLOOKUP($A60,数出表_Excel!$A$6:$T$150,COLUMN()/2+1,FALSE))),"")</f>
        <v/>
      </c>
      <c r="Q60" s="113"/>
      <c r="R60" s="148" t="str">
        <f ca="1">IFERROR(VALUE(IF(VLOOKUP($A60,数出表_Excel!$A$6:$T$150,COLUMN()/2+1,FALSE)=0,"",VLOOKUP($A60,数出表_Excel!$A$6:$T$150,COLUMN()/2+1,FALSE))),"")</f>
        <v/>
      </c>
      <c r="S60" s="113"/>
      <c r="T60" s="148" t="str">
        <f ca="1">IFERROR(VALUE(IF(VLOOKUP($A60,数出表_Excel!$A$6:$T$150,COLUMN()/2+1,FALSE)=0,"",VLOOKUP($A60,数出表_Excel!$A$6:$T$150,COLUMN()/2+1,FALSE))),"")</f>
        <v/>
      </c>
      <c r="U60" s="113"/>
      <c r="V60" s="150" t="str">
        <f ca="1">IFERROR(VALUE(IF(VLOOKUP($A60,数出表_Excel!$A$6:$T$150,COLUMN()/2+1,FALSE)=0,"",VLOOKUP($A60,数出表_Excel!$A$6:$T$150,COLUMN()/2+1,FALSE))),"")</f>
        <v/>
      </c>
      <c r="W60" s="113"/>
      <c r="X60" s="150" t="str">
        <f ca="1">IFERROR(VALUE(IF(VLOOKUP($A60,数出表_Excel!$A$6:$T$150,COLUMN()/2+1,FALSE)=0,"",VLOOKUP($A60,数出表_Excel!$A$6:$T$150,COLUMN()/2+1,FALSE))),"")</f>
        <v/>
      </c>
      <c r="Y60" s="113"/>
      <c r="Z60" s="150" t="str">
        <f ca="1">IFERROR(VALUE(IF(VLOOKUP($A60,数出表_Excel!$A$6:$T$150,COLUMN()/2+1,FALSE)=0,"",VLOOKUP($A60,数出表_Excel!$A$6:$T$150,COLUMN()/2+1,FALSE))),"")</f>
        <v/>
      </c>
      <c r="AA60" s="151"/>
      <c r="AB60" s="149" t="str">
        <f ca="1">IFERROR(VALUE(IF(VLOOKUP($A60,数出表_Excel!$A$6:$T$150,COLUMN()/2+1,FALSE)=0,"",VLOOKUP($A60,数出表_Excel!$A$6:$T$150,COLUMN()/2+1,FALSE))),"")</f>
        <v/>
      </c>
      <c r="AC60" s="113"/>
      <c r="AD60" s="150" t="str">
        <f ca="1">IFERROR(VALUE(IF(VLOOKUP($A60,数出表_Excel!$A$6:$T$150,COLUMN()/2+1,FALSE)=0,"",VLOOKUP($A60,数出表_Excel!$A$6:$T$150,COLUMN()/2+1,FALSE))),"")</f>
        <v/>
      </c>
      <c r="AE60" s="113"/>
      <c r="AF60" s="150" t="str">
        <f ca="1">IFERROR(VALUE(IF(VLOOKUP($A60,数出表_Excel!$A$6:$T$150,COLUMN()/2+1,FALSE)=0,"",VLOOKUP($A60,数出表_Excel!$A$6:$T$150,COLUMN()/2+1,FALSE))),"")</f>
        <v/>
      </c>
      <c r="AG60" s="113"/>
      <c r="AH60" s="150" t="str">
        <f ca="1">IFERROR(VALUE(IF(VLOOKUP($A60,数出表_Excel!$A$6:$T$150,COLUMN()/2+1,FALSE)=0,"",VLOOKUP($A60,数出表_Excel!$A$6:$T$150,COLUMN()/2+1,FALSE))),"")</f>
        <v/>
      </c>
      <c r="AI60" s="151"/>
      <c r="AJ60" s="149" t="str">
        <f ca="1">IFERROR(VALUE(IF(VLOOKUP($A60,数出表_Excel!$A$6:$T$150,COLUMN()/2+1,FALSE)=0,"",VLOOKUP($A60,数出表_Excel!$A$6:$T$150,COLUMN()/2+1,FALSE))),"")</f>
        <v/>
      </c>
      <c r="AK60" s="113"/>
      <c r="AL60" s="117" t="e">
        <f ca="1">IF(A60&lt;&gt;"",
IF(VLOOKUP($A60,数出表_Excel!$A$6:$T$150,COLUMN()/2+1,FALSE)=0,"",VLOOKUP($A60,数出表_Excel!$A$6:$T$150,COLUMN()/2+1,FALSE)),"")</f>
        <v>#N/A</v>
      </c>
      <c r="AM60" s="198" t="e">
        <f>数出表_Excel!V60</f>
        <v>#N/A</v>
      </c>
      <c r="AN60" s="199" t="e">
        <f>数出表_Excel!W60</f>
        <v>#N/A</v>
      </c>
    </row>
    <row r="61" spans="1:40" ht="16.2" customHeight="1">
      <c r="A61" s="161" t="e">
        <f t="array" aca="1" ref="A61" ca="1">IF(OR(COUNTIF(A59,"*1000*"),COUNTIF(A59,"")),"",INDEX(貼り付け用!$A1:$A200,MATCH(A59,貼り付け用!$A1:$A200,0)+2,0))</f>
        <v>#N/A</v>
      </c>
      <c r="B61" s="114" t="str">
        <f ca="1">IFERROR(VALUE(IF(VLOOKUP($A61,数出表_Excel!$A$6:$T$150,COLUMN()/2+1,FALSE)=0,"",VLOOKUP($A61,数出表_Excel!$A$6:$T$150,COLUMN()/2+1,FALSE))),"")</f>
        <v/>
      </c>
      <c r="C61" s="114"/>
      <c r="D61" s="114" t="str">
        <f ca="1">IFERROR(VALUE(IF(VLOOKUP($A61,数出表_Excel!$A$6:$T$150,COLUMN()/2+1,FALSE)=0,"",VLOOKUP($A61,数出表_Excel!$A$6:$T$150,COLUMN()/2+1,FALSE))),"")</f>
        <v/>
      </c>
      <c r="E61" s="114"/>
      <c r="F61" s="118" t="str">
        <f ca="1">IFERROR(VALUE(IF(VLOOKUP($A61,数出表_Excel!$A$6:$T$150,COLUMN()/2+1,FALSE)=0,"",VLOOKUP($A61,数出表_Excel!$A$6:$T$150,COLUMN()/2+1,FALSE))),"")</f>
        <v/>
      </c>
      <c r="G61" s="114"/>
      <c r="H61" s="114" t="str">
        <f ca="1">IFERROR(VALUE(IF(VLOOKUP($A61,数出表_Excel!$A$6:$T$150,COLUMN()/2+1,FALSE)=0,"",VLOOKUP($A61,数出表_Excel!$A$6:$T$150,COLUMN()/2+1,FALSE))),"")</f>
        <v/>
      </c>
      <c r="I61" s="114"/>
      <c r="J61" s="114" t="str">
        <f ca="1">IFERROR(VALUE(IF(VLOOKUP($A61,数出表_Excel!$A$6:$T$150,COLUMN()/2+1,FALSE)=0,"",VLOOKUP($A61,数出表_Excel!$A$6:$T$150,COLUMN()/2+1,FALSE))),"")</f>
        <v/>
      </c>
      <c r="K61" s="114"/>
      <c r="L61" s="118" t="str">
        <f ca="1">IFERROR(VALUE(IF(VLOOKUP($A61,数出表_Excel!$A$6:$T$150,COLUMN()/2+1,FALSE)=0,"",VLOOKUP($A61,数出表_Excel!$A$6:$T$150,COLUMN()/2+1,FALSE))),"")</f>
        <v/>
      </c>
      <c r="M61" s="114"/>
      <c r="N61" s="114" t="str">
        <f ca="1">IFERROR(VALUE(IF(VLOOKUP($A61,数出表_Excel!$A$6:$T$150,COLUMN()/2+1,FALSE)=0,"",VLOOKUP($A61,数出表_Excel!$A$6:$T$150,COLUMN()/2+1,FALSE))),"")</f>
        <v/>
      </c>
      <c r="O61" s="114"/>
      <c r="P61" s="114" t="str">
        <f ca="1">IFERROR(VALUE(IF(VLOOKUP($A61,数出表_Excel!$A$6:$T$150,COLUMN()/2+1,FALSE)=0,"",VLOOKUP($A61,数出表_Excel!$A$6:$T$150,COLUMN()/2+1,FALSE))),"")</f>
        <v/>
      </c>
      <c r="Q61" s="114"/>
      <c r="R61" s="114" t="str">
        <f ca="1">IFERROR(VALUE(IF(VLOOKUP($A61,数出表_Excel!$A$6:$T$150,COLUMN()/2+1,FALSE)=0,"",VLOOKUP($A61,数出表_Excel!$A$6:$T$150,COLUMN()/2+1,FALSE))),"")</f>
        <v/>
      </c>
      <c r="S61" s="114"/>
      <c r="T61" s="114" t="str">
        <f ca="1">IFERROR(VALUE(IF(VLOOKUP($A61,数出表_Excel!$A$6:$T$150,COLUMN()/2+1,FALSE)=0,"",VLOOKUP($A61,数出表_Excel!$A$6:$T$150,COLUMN()/2+1,FALSE))),"")</f>
        <v/>
      </c>
      <c r="U61" s="114"/>
      <c r="V61" s="118" t="str">
        <f ca="1">IFERROR(VALUE(IF(VLOOKUP($A61,数出表_Excel!$A$6:$T$150,COLUMN()/2+1,FALSE)=0,"",VLOOKUP($A61,数出表_Excel!$A$6:$T$150,COLUMN()/2+1,FALSE))),"")</f>
        <v/>
      </c>
      <c r="W61" s="114"/>
      <c r="X61" s="118" t="str">
        <f ca="1">IFERROR(VALUE(IF(VLOOKUP($A61,数出表_Excel!$A$6:$T$150,COLUMN()/2+1,FALSE)=0,"",VLOOKUP($A61,数出表_Excel!$A$6:$T$150,COLUMN()/2+1,FALSE))),"")</f>
        <v/>
      </c>
      <c r="Y61" s="114"/>
      <c r="Z61" s="118" t="str">
        <f ca="1">IFERROR(VALUE(IF(VLOOKUP($A61,数出表_Excel!$A$6:$T$150,COLUMN()/2+1,FALSE)=0,"",VLOOKUP($A61,数出表_Excel!$A$6:$T$150,COLUMN()/2+1,FALSE))),"")</f>
        <v/>
      </c>
      <c r="AA61" s="152"/>
      <c r="AB61" s="119" t="str">
        <f ca="1">IFERROR(VALUE(IF(VLOOKUP($A61,数出表_Excel!$A$6:$T$150,COLUMN()/2+1,FALSE)=0,"",VLOOKUP($A61,数出表_Excel!$A$6:$T$150,COLUMN()/2+1,FALSE))),"")</f>
        <v/>
      </c>
      <c r="AC61" s="114"/>
      <c r="AD61" s="118" t="str">
        <f ca="1">IFERROR(VALUE(IF(VLOOKUP($A61,数出表_Excel!$A$6:$T$150,COLUMN()/2+1,FALSE)=0,"",VLOOKUP($A61,数出表_Excel!$A$6:$T$150,COLUMN()/2+1,FALSE))),"")</f>
        <v/>
      </c>
      <c r="AE61" s="114"/>
      <c r="AF61" s="118" t="str">
        <f ca="1">IFERROR(VALUE(IF(VLOOKUP($A61,数出表_Excel!$A$6:$T$150,COLUMN()/2+1,FALSE)=0,"",VLOOKUP($A61,数出表_Excel!$A$6:$T$150,COLUMN()/2+1,FALSE))),"")</f>
        <v/>
      </c>
      <c r="AG61" s="114"/>
      <c r="AH61" s="118" t="str">
        <f ca="1">IFERROR(VALUE(IF(VLOOKUP($A61,数出表_Excel!$A$6:$T$150,COLUMN()/2+1,FALSE)=0,"",VLOOKUP($A61,数出表_Excel!$A$6:$T$150,COLUMN()/2+1,FALSE))),"")</f>
        <v/>
      </c>
      <c r="AI61" s="152"/>
      <c r="AJ61" s="119" t="str">
        <f ca="1">IFERROR(VALUE(IF(VLOOKUP($A61,数出表_Excel!$A$6:$T$150,COLUMN()/2+1,FALSE)=0,"",VLOOKUP($A61,数出表_Excel!$A$6:$T$150,COLUMN()/2+1,FALSE))),"")</f>
        <v/>
      </c>
      <c r="AK61" s="114"/>
      <c r="AL61" s="120" t="e">
        <f ca="1">IF(A61&lt;&gt;"",
IF(VLOOKUP($A61,数出表_Excel!$A$6:$T$150,COLUMN()/2+1,FALSE)=0,"",VLOOKUP($A61,数出表_Excel!$A$6:$T$150,COLUMN()/2+1,FALSE)),"")</f>
        <v>#N/A</v>
      </c>
      <c r="AM61" s="200" t="e">
        <f>数出表_Excel!V61</f>
        <v>#N/A</v>
      </c>
      <c r="AN61" s="201" t="e">
        <f>数出表_Excel!W61</f>
        <v>#N/A</v>
      </c>
    </row>
    <row r="62" spans="1:40" ht="16.2" customHeight="1">
      <c r="A62" s="160" t="e">
        <f t="array" aca="1" ref="A62" ca="1">IF(OR(COUNTIF(A60,"*10002*"),COUNTIF(A60,"")),"",INDEX(貼り付け用!$A1:$A200,MATCH(A60,貼り付け用!$A1:$A200,0)+2,0))</f>
        <v>#N/A</v>
      </c>
      <c r="B62" s="148" t="str">
        <f ca="1">IFERROR(VALUE(IF(VLOOKUP($A62,数出表_Excel!$A$6:$T$150,COLUMN()/2+1,FALSE)=0,"",VLOOKUP($A62,数出表_Excel!$A$6:$T$150,COLUMN()/2+1,FALSE))),"")</f>
        <v/>
      </c>
      <c r="C62" s="113"/>
      <c r="D62" s="148" t="str">
        <f ca="1">IFERROR(VALUE(IF(VLOOKUP($A62,数出表_Excel!$A$6:$T$150,COLUMN()/2+1,FALSE)=0,"",VLOOKUP($A62,数出表_Excel!$A$6:$T$150,COLUMN()/2+1,FALSE))),"")</f>
        <v/>
      </c>
      <c r="E62" s="113"/>
      <c r="F62" s="150" t="str">
        <f ca="1">IFERROR(VALUE(IF(VLOOKUP($A62,数出表_Excel!$A$6:$T$150,COLUMN()/2+1,FALSE)=0,"",VLOOKUP($A62,数出表_Excel!$A$6:$T$150,COLUMN()/2+1,FALSE))),"")</f>
        <v/>
      </c>
      <c r="G62" s="113"/>
      <c r="H62" s="148" t="str">
        <f ca="1">IFERROR(VALUE(IF(VLOOKUP($A62,数出表_Excel!$A$6:$T$150,COLUMN()/2+1,FALSE)=0,"",VLOOKUP($A62,数出表_Excel!$A$6:$T$150,COLUMN()/2+1,FALSE))),"")</f>
        <v/>
      </c>
      <c r="I62" s="113"/>
      <c r="J62" s="148" t="str">
        <f ca="1">IFERROR(VALUE(IF(VLOOKUP($A62,数出表_Excel!$A$6:$T$150,COLUMN()/2+1,FALSE)=0,"",VLOOKUP($A62,数出表_Excel!$A$6:$T$150,COLUMN()/2+1,FALSE))),"")</f>
        <v/>
      </c>
      <c r="K62" s="113"/>
      <c r="L62" s="150" t="str">
        <f ca="1">IFERROR(VALUE(IF(VLOOKUP($A62,数出表_Excel!$A$6:$T$150,COLUMN()/2+1,FALSE)=0,"",VLOOKUP($A62,数出表_Excel!$A$6:$T$150,COLUMN()/2+1,FALSE))),"")</f>
        <v/>
      </c>
      <c r="M62" s="113"/>
      <c r="N62" s="148" t="str">
        <f ca="1">IFERROR(VALUE(IF(VLOOKUP($A62,数出表_Excel!$A$6:$T$150,COLUMN()/2+1,FALSE)=0,"",VLOOKUP($A62,数出表_Excel!$A$6:$T$150,COLUMN()/2+1,FALSE))),"")</f>
        <v/>
      </c>
      <c r="O62" s="113"/>
      <c r="P62" s="148" t="str">
        <f ca="1">IFERROR(VALUE(IF(VLOOKUP($A62,数出表_Excel!$A$6:$T$150,COLUMN()/2+1,FALSE)=0,"",VLOOKUP($A62,数出表_Excel!$A$6:$T$150,COLUMN()/2+1,FALSE))),"")</f>
        <v/>
      </c>
      <c r="Q62" s="113"/>
      <c r="R62" s="148" t="str">
        <f ca="1">IFERROR(VALUE(IF(VLOOKUP($A62,数出表_Excel!$A$6:$T$150,COLUMN()/2+1,FALSE)=0,"",VLOOKUP($A62,数出表_Excel!$A$6:$T$150,COLUMN()/2+1,FALSE))),"")</f>
        <v/>
      </c>
      <c r="S62" s="113"/>
      <c r="T62" s="148" t="str">
        <f ca="1">IFERROR(VALUE(IF(VLOOKUP($A62,数出表_Excel!$A$6:$T$150,COLUMN()/2+1,FALSE)=0,"",VLOOKUP($A62,数出表_Excel!$A$6:$T$150,COLUMN()/2+1,FALSE))),"")</f>
        <v/>
      </c>
      <c r="U62" s="113"/>
      <c r="V62" s="150" t="str">
        <f ca="1">IFERROR(VALUE(IF(VLOOKUP($A62,数出表_Excel!$A$6:$T$150,COLUMN()/2+1,FALSE)=0,"",VLOOKUP($A62,数出表_Excel!$A$6:$T$150,COLUMN()/2+1,FALSE))),"")</f>
        <v/>
      </c>
      <c r="W62" s="113"/>
      <c r="X62" s="150" t="str">
        <f ca="1">IFERROR(VALUE(IF(VLOOKUP($A62,数出表_Excel!$A$6:$T$150,COLUMN()/2+1,FALSE)=0,"",VLOOKUP($A62,数出表_Excel!$A$6:$T$150,COLUMN()/2+1,FALSE))),"")</f>
        <v/>
      </c>
      <c r="Y62" s="113"/>
      <c r="Z62" s="150" t="str">
        <f ca="1">IFERROR(VALUE(IF(VLOOKUP($A62,数出表_Excel!$A$6:$T$150,COLUMN()/2+1,FALSE)=0,"",VLOOKUP($A62,数出表_Excel!$A$6:$T$150,COLUMN()/2+1,FALSE))),"")</f>
        <v/>
      </c>
      <c r="AA62" s="151"/>
      <c r="AB62" s="149" t="str">
        <f ca="1">IFERROR(VALUE(IF(VLOOKUP($A62,数出表_Excel!$A$6:$T$150,COLUMN()/2+1,FALSE)=0,"",VLOOKUP($A62,数出表_Excel!$A$6:$T$150,COLUMN()/2+1,FALSE))),"")</f>
        <v/>
      </c>
      <c r="AC62" s="113"/>
      <c r="AD62" s="150" t="str">
        <f ca="1">IFERROR(VALUE(IF(VLOOKUP($A62,数出表_Excel!$A$6:$T$150,COLUMN()/2+1,FALSE)=0,"",VLOOKUP($A62,数出表_Excel!$A$6:$T$150,COLUMN()/2+1,FALSE))),"")</f>
        <v/>
      </c>
      <c r="AE62" s="113"/>
      <c r="AF62" s="150" t="str">
        <f ca="1">IFERROR(VALUE(IF(VLOOKUP($A62,数出表_Excel!$A$6:$T$150,COLUMN()/2+1,FALSE)=0,"",VLOOKUP($A62,数出表_Excel!$A$6:$T$150,COLUMN()/2+1,FALSE))),"")</f>
        <v/>
      </c>
      <c r="AG62" s="113"/>
      <c r="AH62" s="150" t="str">
        <f ca="1">IFERROR(VALUE(IF(VLOOKUP($A62,数出表_Excel!$A$6:$T$150,COLUMN()/2+1,FALSE)=0,"",VLOOKUP($A62,数出表_Excel!$A$6:$T$150,COLUMN()/2+1,FALSE))),"")</f>
        <v/>
      </c>
      <c r="AI62" s="151"/>
      <c r="AJ62" s="149" t="str">
        <f ca="1">IFERROR(VALUE(IF(VLOOKUP($A62,数出表_Excel!$A$6:$T$150,COLUMN()/2+1,FALSE)=0,"",VLOOKUP($A62,数出表_Excel!$A$6:$T$150,COLUMN()/2+1,FALSE))),"")</f>
        <v/>
      </c>
      <c r="AK62" s="113"/>
      <c r="AL62" s="117" t="e">
        <f ca="1">IF(A62&lt;&gt;"",
IF(VLOOKUP($A62,数出表_Excel!$A$6:$T$150,COLUMN()/2+1,FALSE)=0,"",VLOOKUP($A62,数出表_Excel!$A$6:$T$150,COLUMN()/2+1,FALSE)),"")</f>
        <v>#N/A</v>
      </c>
      <c r="AM62" s="198" t="e">
        <f>数出表_Excel!V62</f>
        <v>#N/A</v>
      </c>
      <c r="AN62" s="199" t="e">
        <f>数出表_Excel!W62</f>
        <v>#N/A</v>
      </c>
    </row>
    <row r="63" spans="1:40" ht="16.2" customHeight="1">
      <c r="A63" s="161" t="e">
        <f t="array" aca="1" ref="A63" ca="1">IF(OR(COUNTIF(A61,"*1000*"),COUNTIF(A61,"")),"",INDEX(貼り付け用!$A1:$A200,MATCH(A61,貼り付け用!$A1:$A200,0)+2,0))</f>
        <v>#N/A</v>
      </c>
      <c r="B63" s="114" t="str">
        <f ca="1">IFERROR(VALUE(IF(VLOOKUP($A63,数出表_Excel!$A$6:$T$150,COLUMN()/2+1,FALSE)=0,"",VLOOKUP($A63,数出表_Excel!$A$6:$T$150,COLUMN()/2+1,FALSE))),"")</f>
        <v/>
      </c>
      <c r="C63" s="114"/>
      <c r="D63" s="114" t="str">
        <f ca="1">IFERROR(VALUE(IF(VLOOKUP($A63,数出表_Excel!$A$6:$T$150,COLUMN()/2+1,FALSE)=0,"",VLOOKUP($A63,数出表_Excel!$A$6:$T$150,COLUMN()/2+1,FALSE))),"")</f>
        <v/>
      </c>
      <c r="E63" s="114"/>
      <c r="F63" s="118" t="str">
        <f ca="1">IFERROR(VALUE(IF(VLOOKUP($A63,数出表_Excel!$A$6:$T$150,COLUMN()/2+1,FALSE)=0,"",VLOOKUP($A63,数出表_Excel!$A$6:$T$150,COLUMN()/2+1,FALSE))),"")</f>
        <v/>
      </c>
      <c r="G63" s="114"/>
      <c r="H63" s="114" t="str">
        <f ca="1">IFERROR(VALUE(IF(VLOOKUP($A63,数出表_Excel!$A$6:$T$150,COLUMN()/2+1,FALSE)=0,"",VLOOKUP($A63,数出表_Excel!$A$6:$T$150,COLUMN()/2+1,FALSE))),"")</f>
        <v/>
      </c>
      <c r="I63" s="114"/>
      <c r="J63" s="114" t="str">
        <f ca="1">IFERROR(VALUE(IF(VLOOKUP($A63,数出表_Excel!$A$6:$T$150,COLUMN()/2+1,FALSE)=0,"",VLOOKUP($A63,数出表_Excel!$A$6:$T$150,COLUMN()/2+1,FALSE))),"")</f>
        <v/>
      </c>
      <c r="K63" s="114"/>
      <c r="L63" s="118" t="str">
        <f ca="1">IFERROR(VALUE(IF(VLOOKUP($A63,数出表_Excel!$A$6:$T$150,COLUMN()/2+1,FALSE)=0,"",VLOOKUP($A63,数出表_Excel!$A$6:$T$150,COLUMN()/2+1,FALSE))),"")</f>
        <v/>
      </c>
      <c r="M63" s="114"/>
      <c r="N63" s="114" t="str">
        <f ca="1">IFERROR(VALUE(IF(VLOOKUP($A63,数出表_Excel!$A$6:$T$150,COLUMN()/2+1,FALSE)=0,"",VLOOKUP($A63,数出表_Excel!$A$6:$T$150,COLUMN()/2+1,FALSE))),"")</f>
        <v/>
      </c>
      <c r="O63" s="114"/>
      <c r="P63" s="114" t="str">
        <f ca="1">IFERROR(VALUE(IF(VLOOKUP($A63,数出表_Excel!$A$6:$T$150,COLUMN()/2+1,FALSE)=0,"",VLOOKUP($A63,数出表_Excel!$A$6:$T$150,COLUMN()/2+1,FALSE))),"")</f>
        <v/>
      </c>
      <c r="Q63" s="114"/>
      <c r="R63" s="114" t="str">
        <f ca="1">IFERROR(VALUE(IF(VLOOKUP($A63,数出表_Excel!$A$6:$T$150,COLUMN()/2+1,FALSE)=0,"",VLOOKUP($A63,数出表_Excel!$A$6:$T$150,COLUMN()/2+1,FALSE))),"")</f>
        <v/>
      </c>
      <c r="S63" s="114"/>
      <c r="T63" s="114" t="str">
        <f ca="1">IFERROR(VALUE(IF(VLOOKUP($A63,数出表_Excel!$A$6:$T$150,COLUMN()/2+1,FALSE)=0,"",VLOOKUP($A63,数出表_Excel!$A$6:$T$150,COLUMN()/2+1,FALSE))),"")</f>
        <v/>
      </c>
      <c r="U63" s="114"/>
      <c r="V63" s="118" t="str">
        <f ca="1">IFERROR(VALUE(IF(VLOOKUP($A63,数出表_Excel!$A$6:$T$150,COLUMN()/2+1,FALSE)=0,"",VLOOKUP($A63,数出表_Excel!$A$6:$T$150,COLUMN()/2+1,FALSE))),"")</f>
        <v/>
      </c>
      <c r="W63" s="114"/>
      <c r="X63" s="118" t="str">
        <f ca="1">IFERROR(VALUE(IF(VLOOKUP($A63,数出表_Excel!$A$6:$T$150,COLUMN()/2+1,FALSE)=0,"",VLOOKUP($A63,数出表_Excel!$A$6:$T$150,COLUMN()/2+1,FALSE))),"")</f>
        <v/>
      </c>
      <c r="Y63" s="114"/>
      <c r="Z63" s="118" t="str">
        <f ca="1">IFERROR(VALUE(IF(VLOOKUP($A63,数出表_Excel!$A$6:$T$150,COLUMN()/2+1,FALSE)=0,"",VLOOKUP($A63,数出表_Excel!$A$6:$T$150,COLUMN()/2+1,FALSE))),"")</f>
        <v/>
      </c>
      <c r="AA63" s="152"/>
      <c r="AB63" s="119" t="str">
        <f ca="1">IFERROR(VALUE(IF(VLOOKUP($A63,数出表_Excel!$A$6:$T$150,COLUMN()/2+1,FALSE)=0,"",VLOOKUP($A63,数出表_Excel!$A$6:$T$150,COLUMN()/2+1,FALSE))),"")</f>
        <v/>
      </c>
      <c r="AC63" s="114"/>
      <c r="AD63" s="118" t="str">
        <f ca="1">IFERROR(VALUE(IF(VLOOKUP($A63,数出表_Excel!$A$6:$T$150,COLUMN()/2+1,FALSE)=0,"",VLOOKUP($A63,数出表_Excel!$A$6:$T$150,COLUMN()/2+1,FALSE))),"")</f>
        <v/>
      </c>
      <c r="AE63" s="114"/>
      <c r="AF63" s="118" t="str">
        <f ca="1">IFERROR(VALUE(IF(VLOOKUP($A63,数出表_Excel!$A$6:$T$150,COLUMN()/2+1,FALSE)=0,"",VLOOKUP($A63,数出表_Excel!$A$6:$T$150,COLUMN()/2+1,FALSE))),"")</f>
        <v/>
      </c>
      <c r="AG63" s="114"/>
      <c r="AH63" s="118" t="str">
        <f ca="1">IFERROR(VALUE(IF(VLOOKUP($A63,数出表_Excel!$A$6:$T$150,COLUMN()/2+1,FALSE)=0,"",VLOOKUP($A63,数出表_Excel!$A$6:$T$150,COLUMN()/2+1,FALSE))),"")</f>
        <v/>
      </c>
      <c r="AI63" s="152"/>
      <c r="AJ63" s="119" t="str">
        <f ca="1">IFERROR(VALUE(IF(VLOOKUP($A63,数出表_Excel!$A$6:$T$150,COLUMN()/2+1,FALSE)=0,"",VLOOKUP($A63,数出表_Excel!$A$6:$T$150,COLUMN()/2+1,FALSE))),"")</f>
        <v/>
      </c>
      <c r="AK63" s="114"/>
      <c r="AL63" s="120" t="e">
        <f ca="1">IF(A63&lt;&gt;"",
IF(VLOOKUP($A63,数出表_Excel!$A$6:$T$150,COLUMN()/2+1,FALSE)=0,"",VLOOKUP($A63,数出表_Excel!$A$6:$T$150,COLUMN()/2+1,FALSE)),"")</f>
        <v>#N/A</v>
      </c>
      <c r="AM63" s="200" t="e">
        <f>数出表_Excel!V63</f>
        <v>#N/A</v>
      </c>
      <c r="AN63" s="201" t="e">
        <f>数出表_Excel!W63</f>
        <v>#N/A</v>
      </c>
    </row>
    <row r="64" spans="1:40" ht="16.2" customHeight="1">
      <c r="A64" s="160" t="e">
        <f t="array" aca="1" ref="A64" ca="1">IF(OR(COUNTIF(A62,"*10002*"),COUNTIF(A62,"")),"",INDEX(貼り付け用!$A1:$A200,MATCH(A62,貼り付け用!$A1:$A200,0)+2,0))</f>
        <v>#N/A</v>
      </c>
      <c r="B64" s="148" t="str">
        <f ca="1">IFERROR(VALUE(IF(VLOOKUP($A64,数出表_Excel!$A$6:$T$150,COLUMN()/2+1,FALSE)=0,"",VLOOKUP($A64,数出表_Excel!$A$6:$T$150,COLUMN()/2+1,FALSE))),"")</f>
        <v/>
      </c>
      <c r="C64" s="113"/>
      <c r="D64" s="148" t="str">
        <f ca="1">IFERROR(VALUE(IF(VLOOKUP($A64,数出表_Excel!$A$6:$T$150,COLUMN()/2+1,FALSE)=0,"",VLOOKUP($A64,数出表_Excel!$A$6:$T$150,COLUMN()/2+1,FALSE))),"")</f>
        <v/>
      </c>
      <c r="E64" s="113"/>
      <c r="F64" s="150" t="str">
        <f ca="1">IFERROR(VALUE(IF(VLOOKUP($A64,数出表_Excel!$A$6:$T$150,COLUMN()/2+1,FALSE)=0,"",VLOOKUP($A64,数出表_Excel!$A$6:$T$150,COLUMN()/2+1,FALSE))),"")</f>
        <v/>
      </c>
      <c r="G64" s="113"/>
      <c r="H64" s="148" t="str">
        <f ca="1">IFERROR(VALUE(IF(VLOOKUP($A64,数出表_Excel!$A$6:$T$150,COLUMN()/2+1,FALSE)=0,"",VLOOKUP($A64,数出表_Excel!$A$6:$T$150,COLUMN()/2+1,FALSE))),"")</f>
        <v/>
      </c>
      <c r="I64" s="113"/>
      <c r="J64" s="148" t="str">
        <f ca="1">IFERROR(VALUE(IF(VLOOKUP($A64,数出表_Excel!$A$6:$T$150,COLUMN()/2+1,FALSE)=0,"",VLOOKUP($A64,数出表_Excel!$A$6:$T$150,COLUMN()/2+1,FALSE))),"")</f>
        <v/>
      </c>
      <c r="K64" s="113"/>
      <c r="L64" s="150" t="str">
        <f ca="1">IFERROR(VALUE(IF(VLOOKUP($A64,数出表_Excel!$A$6:$T$150,COLUMN()/2+1,FALSE)=0,"",VLOOKUP($A64,数出表_Excel!$A$6:$T$150,COLUMN()/2+1,FALSE))),"")</f>
        <v/>
      </c>
      <c r="M64" s="113"/>
      <c r="N64" s="148" t="str">
        <f ca="1">IFERROR(VALUE(IF(VLOOKUP($A64,数出表_Excel!$A$6:$T$150,COLUMN()/2+1,FALSE)=0,"",VLOOKUP($A64,数出表_Excel!$A$6:$T$150,COLUMN()/2+1,FALSE))),"")</f>
        <v/>
      </c>
      <c r="O64" s="113"/>
      <c r="P64" s="148" t="str">
        <f ca="1">IFERROR(VALUE(IF(VLOOKUP($A64,数出表_Excel!$A$6:$T$150,COLUMN()/2+1,FALSE)=0,"",VLOOKUP($A64,数出表_Excel!$A$6:$T$150,COLUMN()/2+1,FALSE))),"")</f>
        <v/>
      </c>
      <c r="Q64" s="113"/>
      <c r="R64" s="148" t="str">
        <f ca="1">IFERROR(VALUE(IF(VLOOKUP($A64,数出表_Excel!$A$6:$T$150,COLUMN()/2+1,FALSE)=0,"",VLOOKUP($A64,数出表_Excel!$A$6:$T$150,COLUMN()/2+1,FALSE))),"")</f>
        <v/>
      </c>
      <c r="S64" s="113"/>
      <c r="T64" s="148" t="str">
        <f ca="1">IFERROR(VALUE(IF(VLOOKUP($A64,数出表_Excel!$A$6:$T$150,COLUMN()/2+1,FALSE)=0,"",VLOOKUP($A64,数出表_Excel!$A$6:$T$150,COLUMN()/2+1,FALSE))),"")</f>
        <v/>
      </c>
      <c r="U64" s="113"/>
      <c r="V64" s="150" t="str">
        <f ca="1">IFERROR(VALUE(IF(VLOOKUP($A64,数出表_Excel!$A$6:$T$150,COLUMN()/2+1,FALSE)=0,"",VLOOKUP($A64,数出表_Excel!$A$6:$T$150,COLUMN()/2+1,FALSE))),"")</f>
        <v/>
      </c>
      <c r="W64" s="113"/>
      <c r="X64" s="150" t="str">
        <f ca="1">IFERROR(VALUE(IF(VLOOKUP($A64,数出表_Excel!$A$6:$T$150,COLUMN()/2+1,FALSE)=0,"",VLOOKUP($A64,数出表_Excel!$A$6:$T$150,COLUMN()/2+1,FALSE))),"")</f>
        <v/>
      </c>
      <c r="Y64" s="113"/>
      <c r="Z64" s="150" t="str">
        <f ca="1">IFERROR(VALUE(IF(VLOOKUP($A64,数出表_Excel!$A$6:$T$150,COLUMN()/2+1,FALSE)=0,"",VLOOKUP($A64,数出表_Excel!$A$6:$T$150,COLUMN()/2+1,FALSE))),"")</f>
        <v/>
      </c>
      <c r="AA64" s="151"/>
      <c r="AB64" s="149" t="str">
        <f ca="1">IFERROR(VALUE(IF(VLOOKUP($A64,数出表_Excel!$A$6:$T$150,COLUMN()/2+1,FALSE)=0,"",VLOOKUP($A64,数出表_Excel!$A$6:$T$150,COLUMN()/2+1,FALSE))),"")</f>
        <v/>
      </c>
      <c r="AC64" s="113"/>
      <c r="AD64" s="150" t="str">
        <f ca="1">IFERROR(VALUE(IF(VLOOKUP($A64,数出表_Excel!$A$6:$T$150,COLUMN()/2+1,FALSE)=0,"",VLOOKUP($A64,数出表_Excel!$A$6:$T$150,COLUMN()/2+1,FALSE))),"")</f>
        <v/>
      </c>
      <c r="AE64" s="113"/>
      <c r="AF64" s="150" t="str">
        <f ca="1">IFERROR(VALUE(IF(VLOOKUP($A64,数出表_Excel!$A$6:$T$150,COLUMN()/2+1,FALSE)=0,"",VLOOKUP($A64,数出表_Excel!$A$6:$T$150,COLUMN()/2+1,FALSE))),"")</f>
        <v/>
      </c>
      <c r="AG64" s="113"/>
      <c r="AH64" s="150" t="str">
        <f ca="1">IFERROR(VALUE(IF(VLOOKUP($A64,数出表_Excel!$A$6:$T$150,COLUMN()/2+1,FALSE)=0,"",VLOOKUP($A64,数出表_Excel!$A$6:$T$150,COLUMN()/2+1,FALSE))),"")</f>
        <v/>
      </c>
      <c r="AI64" s="151"/>
      <c r="AJ64" s="149" t="str">
        <f ca="1">IFERROR(VALUE(IF(VLOOKUP($A64,数出表_Excel!$A$6:$T$150,COLUMN()/2+1,FALSE)=0,"",VLOOKUP($A64,数出表_Excel!$A$6:$T$150,COLUMN()/2+1,FALSE))),"")</f>
        <v/>
      </c>
      <c r="AK64" s="113"/>
      <c r="AL64" s="117" t="e">
        <f ca="1">IF(A64&lt;&gt;"",
IF(VLOOKUP($A64,数出表_Excel!$A$6:$T$150,COLUMN()/2+1,FALSE)=0,"",VLOOKUP($A64,数出表_Excel!$A$6:$T$150,COLUMN()/2+1,FALSE)),"")</f>
        <v>#N/A</v>
      </c>
      <c r="AM64" s="198" t="e">
        <f>数出表_Excel!V64</f>
        <v>#N/A</v>
      </c>
      <c r="AN64" s="199" t="e">
        <f>数出表_Excel!W64</f>
        <v>#N/A</v>
      </c>
    </row>
    <row r="65" spans="1:40" ht="16.2" customHeight="1">
      <c r="A65" s="161" t="e">
        <f t="array" aca="1" ref="A65" ca="1">IF(OR(COUNTIF(A63,"*1000*"),COUNTIF(A63,"")),"",INDEX(貼り付け用!$A1:$A200,MATCH(A63,貼り付け用!$A1:$A200,0)+2,0))</f>
        <v>#N/A</v>
      </c>
      <c r="B65" s="114" t="str">
        <f ca="1">IFERROR(VALUE(IF(VLOOKUP($A65,数出表_Excel!$A$6:$T$150,COLUMN()/2+1,FALSE)=0,"",VLOOKUP($A65,数出表_Excel!$A$6:$T$150,COLUMN()/2+1,FALSE))),"")</f>
        <v/>
      </c>
      <c r="C65" s="114"/>
      <c r="D65" s="114" t="str">
        <f ca="1">IFERROR(VALUE(IF(VLOOKUP($A65,数出表_Excel!$A$6:$T$150,COLUMN()/2+1,FALSE)=0,"",VLOOKUP($A65,数出表_Excel!$A$6:$T$150,COLUMN()/2+1,FALSE))),"")</f>
        <v/>
      </c>
      <c r="E65" s="114"/>
      <c r="F65" s="118" t="str">
        <f ca="1">IFERROR(VALUE(IF(VLOOKUP($A65,数出表_Excel!$A$6:$T$150,COLUMN()/2+1,FALSE)=0,"",VLOOKUP($A65,数出表_Excel!$A$6:$T$150,COLUMN()/2+1,FALSE))),"")</f>
        <v/>
      </c>
      <c r="G65" s="114"/>
      <c r="H65" s="114" t="str">
        <f ca="1">IFERROR(VALUE(IF(VLOOKUP($A65,数出表_Excel!$A$6:$T$150,COLUMN()/2+1,FALSE)=0,"",VLOOKUP($A65,数出表_Excel!$A$6:$T$150,COLUMN()/2+1,FALSE))),"")</f>
        <v/>
      </c>
      <c r="I65" s="114"/>
      <c r="J65" s="114" t="str">
        <f ca="1">IFERROR(VALUE(IF(VLOOKUP($A65,数出表_Excel!$A$6:$T$150,COLUMN()/2+1,FALSE)=0,"",VLOOKUP($A65,数出表_Excel!$A$6:$T$150,COLUMN()/2+1,FALSE))),"")</f>
        <v/>
      </c>
      <c r="K65" s="114"/>
      <c r="L65" s="118" t="str">
        <f ca="1">IFERROR(VALUE(IF(VLOOKUP($A65,数出表_Excel!$A$6:$T$150,COLUMN()/2+1,FALSE)=0,"",VLOOKUP($A65,数出表_Excel!$A$6:$T$150,COLUMN()/2+1,FALSE))),"")</f>
        <v/>
      </c>
      <c r="M65" s="114"/>
      <c r="N65" s="114" t="str">
        <f ca="1">IFERROR(VALUE(IF(VLOOKUP($A65,数出表_Excel!$A$6:$T$150,COLUMN()/2+1,FALSE)=0,"",VLOOKUP($A65,数出表_Excel!$A$6:$T$150,COLUMN()/2+1,FALSE))),"")</f>
        <v/>
      </c>
      <c r="O65" s="114"/>
      <c r="P65" s="114" t="str">
        <f ca="1">IFERROR(VALUE(IF(VLOOKUP($A65,数出表_Excel!$A$6:$T$150,COLUMN()/2+1,FALSE)=0,"",VLOOKUP($A65,数出表_Excel!$A$6:$T$150,COLUMN()/2+1,FALSE))),"")</f>
        <v/>
      </c>
      <c r="Q65" s="114"/>
      <c r="R65" s="114" t="str">
        <f ca="1">IFERROR(VALUE(IF(VLOOKUP($A65,数出表_Excel!$A$6:$T$150,COLUMN()/2+1,FALSE)=0,"",VLOOKUP($A65,数出表_Excel!$A$6:$T$150,COLUMN()/2+1,FALSE))),"")</f>
        <v/>
      </c>
      <c r="S65" s="114"/>
      <c r="T65" s="114" t="str">
        <f ca="1">IFERROR(VALUE(IF(VLOOKUP($A65,数出表_Excel!$A$6:$T$150,COLUMN()/2+1,FALSE)=0,"",VLOOKUP($A65,数出表_Excel!$A$6:$T$150,COLUMN()/2+1,FALSE))),"")</f>
        <v/>
      </c>
      <c r="U65" s="114"/>
      <c r="V65" s="118" t="str">
        <f ca="1">IFERROR(VALUE(IF(VLOOKUP($A65,数出表_Excel!$A$6:$T$150,COLUMN()/2+1,FALSE)=0,"",VLOOKUP($A65,数出表_Excel!$A$6:$T$150,COLUMN()/2+1,FALSE))),"")</f>
        <v/>
      </c>
      <c r="W65" s="114"/>
      <c r="X65" s="118" t="str">
        <f ca="1">IFERROR(VALUE(IF(VLOOKUP($A65,数出表_Excel!$A$6:$T$150,COLUMN()/2+1,FALSE)=0,"",VLOOKUP($A65,数出表_Excel!$A$6:$T$150,COLUMN()/2+1,FALSE))),"")</f>
        <v/>
      </c>
      <c r="Y65" s="114"/>
      <c r="Z65" s="118" t="str">
        <f ca="1">IFERROR(VALUE(IF(VLOOKUP($A65,数出表_Excel!$A$6:$T$150,COLUMN()/2+1,FALSE)=0,"",VLOOKUP($A65,数出表_Excel!$A$6:$T$150,COLUMN()/2+1,FALSE))),"")</f>
        <v/>
      </c>
      <c r="AA65" s="152"/>
      <c r="AB65" s="119" t="str">
        <f ca="1">IFERROR(VALUE(IF(VLOOKUP($A65,数出表_Excel!$A$6:$T$150,COLUMN()/2+1,FALSE)=0,"",VLOOKUP($A65,数出表_Excel!$A$6:$T$150,COLUMN()/2+1,FALSE))),"")</f>
        <v/>
      </c>
      <c r="AC65" s="114"/>
      <c r="AD65" s="118" t="str">
        <f ca="1">IFERROR(VALUE(IF(VLOOKUP($A65,数出表_Excel!$A$6:$T$150,COLUMN()/2+1,FALSE)=0,"",VLOOKUP($A65,数出表_Excel!$A$6:$T$150,COLUMN()/2+1,FALSE))),"")</f>
        <v/>
      </c>
      <c r="AE65" s="114"/>
      <c r="AF65" s="118" t="str">
        <f ca="1">IFERROR(VALUE(IF(VLOOKUP($A65,数出表_Excel!$A$6:$T$150,COLUMN()/2+1,FALSE)=0,"",VLOOKUP($A65,数出表_Excel!$A$6:$T$150,COLUMN()/2+1,FALSE))),"")</f>
        <v/>
      </c>
      <c r="AG65" s="114"/>
      <c r="AH65" s="118" t="str">
        <f ca="1">IFERROR(VALUE(IF(VLOOKUP($A65,数出表_Excel!$A$6:$T$150,COLUMN()/2+1,FALSE)=0,"",VLOOKUP($A65,数出表_Excel!$A$6:$T$150,COLUMN()/2+1,FALSE))),"")</f>
        <v/>
      </c>
      <c r="AI65" s="152"/>
      <c r="AJ65" s="119" t="str">
        <f ca="1">IFERROR(VALUE(IF(VLOOKUP($A65,数出表_Excel!$A$6:$T$150,COLUMN()/2+1,FALSE)=0,"",VLOOKUP($A65,数出表_Excel!$A$6:$T$150,COLUMN()/2+1,FALSE))),"")</f>
        <v/>
      </c>
      <c r="AK65" s="114"/>
      <c r="AL65" s="120" t="e">
        <f ca="1">IF(A65&lt;&gt;"",
IF(VLOOKUP($A65,数出表_Excel!$A$6:$T$150,COLUMN()/2+1,FALSE)=0,"",VLOOKUP($A65,数出表_Excel!$A$6:$T$150,COLUMN()/2+1,FALSE)),"")</f>
        <v>#N/A</v>
      </c>
      <c r="AM65" s="200" t="e">
        <f>数出表_Excel!V65</f>
        <v>#N/A</v>
      </c>
      <c r="AN65" s="201" t="e">
        <f>数出表_Excel!W65</f>
        <v>#N/A</v>
      </c>
    </row>
    <row r="66" spans="1:40" ht="16.2" customHeight="1">
      <c r="A66" s="160" t="e">
        <f t="array" aca="1" ref="A66" ca="1">IF(OR(COUNTIF(A64,"*10002*"),COUNTIF(A64,"")),"",INDEX(貼り付け用!$A1:$A200,MATCH(A64,貼り付け用!$A1:$A200,0)+2,0))</f>
        <v>#N/A</v>
      </c>
      <c r="B66" s="148" t="str">
        <f ca="1">IFERROR(VALUE(IF(VLOOKUP($A66,数出表_Excel!$A$6:$T$150,COLUMN()/2+1,FALSE)=0,"",VLOOKUP($A66,数出表_Excel!$A$6:$T$150,COLUMN()/2+1,FALSE))),"")</f>
        <v/>
      </c>
      <c r="C66" s="113"/>
      <c r="D66" s="148" t="str">
        <f ca="1">IFERROR(VALUE(IF(VLOOKUP($A66,数出表_Excel!$A$6:$T$150,COLUMN()/2+1,FALSE)=0,"",VLOOKUP($A66,数出表_Excel!$A$6:$T$150,COLUMN()/2+1,FALSE))),"")</f>
        <v/>
      </c>
      <c r="E66" s="113"/>
      <c r="F66" s="150" t="str">
        <f ca="1">IFERROR(VALUE(IF(VLOOKUP($A66,数出表_Excel!$A$6:$T$150,COLUMN()/2+1,FALSE)=0,"",VLOOKUP($A66,数出表_Excel!$A$6:$T$150,COLUMN()/2+1,FALSE))),"")</f>
        <v/>
      </c>
      <c r="G66" s="113"/>
      <c r="H66" s="148" t="str">
        <f ca="1">IFERROR(VALUE(IF(VLOOKUP($A66,数出表_Excel!$A$6:$T$150,COLUMN()/2+1,FALSE)=0,"",VLOOKUP($A66,数出表_Excel!$A$6:$T$150,COLUMN()/2+1,FALSE))),"")</f>
        <v/>
      </c>
      <c r="I66" s="113"/>
      <c r="J66" s="148" t="str">
        <f ca="1">IFERROR(VALUE(IF(VLOOKUP($A66,数出表_Excel!$A$6:$T$150,COLUMN()/2+1,FALSE)=0,"",VLOOKUP($A66,数出表_Excel!$A$6:$T$150,COLUMN()/2+1,FALSE))),"")</f>
        <v/>
      </c>
      <c r="K66" s="113"/>
      <c r="L66" s="150" t="str">
        <f ca="1">IFERROR(VALUE(IF(VLOOKUP($A66,数出表_Excel!$A$6:$T$150,COLUMN()/2+1,FALSE)=0,"",VLOOKUP($A66,数出表_Excel!$A$6:$T$150,COLUMN()/2+1,FALSE))),"")</f>
        <v/>
      </c>
      <c r="M66" s="113"/>
      <c r="N66" s="148" t="str">
        <f ca="1">IFERROR(VALUE(IF(VLOOKUP($A66,数出表_Excel!$A$6:$T$150,COLUMN()/2+1,FALSE)=0,"",VLOOKUP($A66,数出表_Excel!$A$6:$T$150,COLUMN()/2+1,FALSE))),"")</f>
        <v/>
      </c>
      <c r="O66" s="113"/>
      <c r="P66" s="148" t="str">
        <f ca="1">IFERROR(VALUE(IF(VLOOKUP($A66,数出表_Excel!$A$6:$T$150,COLUMN()/2+1,FALSE)=0,"",VLOOKUP($A66,数出表_Excel!$A$6:$T$150,COLUMN()/2+1,FALSE))),"")</f>
        <v/>
      </c>
      <c r="Q66" s="113"/>
      <c r="R66" s="148" t="str">
        <f ca="1">IFERROR(VALUE(IF(VLOOKUP($A66,数出表_Excel!$A$6:$T$150,COLUMN()/2+1,FALSE)=0,"",VLOOKUP($A66,数出表_Excel!$A$6:$T$150,COLUMN()/2+1,FALSE))),"")</f>
        <v/>
      </c>
      <c r="S66" s="113"/>
      <c r="T66" s="148" t="str">
        <f ca="1">IFERROR(VALUE(IF(VLOOKUP($A66,数出表_Excel!$A$6:$T$150,COLUMN()/2+1,FALSE)=0,"",VLOOKUP($A66,数出表_Excel!$A$6:$T$150,COLUMN()/2+1,FALSE))),"")</f>
        <v/>
      </c>
      <c r="U66" s="113"/>
      <c r="V66" s="150" t="str">
        <f ca="1">IFERROR(VALUE(IF(VLOOKUP($A66,数出表_Excel!$A$6:$T$150,COLUMN()/2+1,FALSE)=0,"",VLOOKUP($A66,数出表_Excel!$A$6:$T$150,COLUMN()/2+1,FALSE))),"")</f>
        <v/>
      </c>
      <c r="W66" s="113"/>
      <c r="X66" s="150" t="str">
        <f ca="1">IFERROR(VALUE(IF(VLOOKUP($A66,数出表_Excel!$A$6:$T$150,COLUMN()/2+1,FALSE)=0,"",VLOOKUP($A66,数出表_Excel!$A$6:$T$150,COLUMN()/2+1,FALSE))),"")</f>
        <v/>
      </c>
      <c r="Y66" s="113"/>
      <c r="Z66" s="150" t="str">
        <f ca="1">IFERROR(VALUE(IF(VLOOKUP($A66,数出表_Excel!$A$6:$T$150,COLUMN()/2+1,FALSE)=0,"",VLOOKUP($A66,数出表_Excel!$A$6:$T$150,COLUMN()/2+1,FALSE))),"")</f>
        <v/>
      </c>
      <c r="AA66" s="151"/>
      <c r="AB66" s="149" t="str">
        <f ca="1">IFERROR(VALUE(IF(VLOOKUP($A66,数出表_Excel!$A$6:$T$150,COLUMN()/2+1,FALSE)=0,"",VLOOKUP($A66,数出表_Excel!$A$6:$T$150,COLUMN()/2+1,FALSE))),"")</f>
        <v/>
      </c>
      <c r="AC66" s="113"/>
      <c r="AD66" s="150" t="str">
        <f ca="1">IFERROR(VALUE(IF(VLOOKUP($A66,数出表_Excel!$A$6:$T$150,COLUMN()/2+1,FALSE)=0,"",VLOOKUP($A66,数出表_Excel!$A$6:$T$150,COLUMN()/2+1,FALSE))),"")</f>
        <v/>
      </c>
      <c r="AE66" s="113"/>
      <c r="AF66" s="150" t="str">
        <f ca="1">IFERROR(VALUE(IF(VLOOKUP($A66,数出表_Excel!$A$6:$T$150,COLUMN()/2+1,FALSE)=0,"",VLOOKUP($A66,数出表_Excel!$A$6:$T$150,COLUMN()/2+1,FALSE))),"")</f>
        <v/>
      </c>
      <c r="AG66" s="113"/>
      <c r="AH66" s="150" t="str">
        <f ca="1">IFERROR(VALUE(IF(VLOOKUP($A66,数出表_Excel!$A$6:$T$150,COLUMN()/2+1,FALSE)=0,"",VLOOKUP($A66,数出表_Excel!$A$6:$T$150,COLUMN()/2+1,FALSE))),"")</f>
        <v/>
      </c>
      <c r="AI66" s="151"/>
      <c r="AJ66" s="149" t="str">
        <f ca="1">IFERROR(VALUE(IF(VLOOKUP($A66,数出表_Excel!$A$6:$T$150,COLUMN()/2+1,FALSE)=0,"",VLOOKUP($A66,数出表_Excel!$A$6:$T$150,COLUMN()/2+1,FALSE))),"")</f>
        <v/>
      </c>
      <c r="AK66" s="113"/>
      <c r="AL66" s="117" t="e">
        <f ca="1">IF(A66&lt;&gt;"",
IF(VLOOKUP($A66,数出表_Excel!$A$6:$T$150,COLUMN()/2+1,FALSE)=0,"",VLOOKUP($A66,数出表_Excel!$A$6:$T$150,COLUMN()/2+1,FALSE)),"")</f>
        <v>#N/A</v>
      </c>
      <c r="AM66" s="198" t="e">
        <f>数出表_Excel!V66</f>
        <v>#N/A</v>
      </c>
      <c r="AN66" s="199" t="e">
        <f>数出表_Excel!W66</f>
        <v>#N/A</v>
      </c>
    </row>
    <row r="67" spans="1:40" ht="16.2" customHeight="1">
      <c r="A67" s="161" t="e">
        <f t="array" aca="1" ref="A67" ca="1">IF(OR(COUNTIF(A65,"*1000*"),COUNTIF(A65,"")),"",INDEX(貼り付け用!$A1:$A200,MATCH(A65,貼り付け用!$A1:$A200,0)+2,0))</f>
        <v>#N/A</v>
      </c>
      <c r="B67" s="114" t="str">
        <f ca="1">IFERROR(VALUE(IF(VLOOKUP($A67,数出表_Excel!$A$6:$T$150,COLUMN()/2+1,FALSE)=0,"",VLOOKUP($A67,数出表_Excel!$A$6:$T$150,COLUMN()/2+1,FALSE))),"")</f>
        <v/>
      </c>
      <c r="C67" s="114"/>
      <c r="D67" s="114" t="str">
        <f ca="1">IFERROR(VALUE(IF(VLOOKUP($A67,数出表_Excel!$A$6:$T$150,COLUMN()/2+1,FALSE)=0,"",VLOOKUP($A67,数出表_Excel!$A$6:$T$150,COLUMN()/2+1,FALSE))),"")</f>
        <v/>
      </c>
      <c r="E67" s="114"/>
      <c r="F67" s="118" t="str">
        <f ca="1">IFERROR(VALUE(IF(VLOOKUP($A67,数出表_Excel!$A$6:$T$150,COLUMN()/2+1,FALSE)=0,"",VLOOKUP($A67,数出表_Excel!$A$6:$T$150,COLUMN()/2+1,FALSE))),"")</f>
        <v/>
      </c>
      <c r="G67" s="114"/>
      <c r="H67" s="114" t="str">
        <f ca="1">IFERROR(VALUE(IF(VLOOKUP($A67,数出表_Excel!$A$6:$T$150,COLUMN()/2+1,FALSE)=0,"",VLOOKUP($A67,数出表_Excel!$A$6:$T$150,COLUMN()/2+1,FALSE))),"")</f>
        <v/>
      </c>
      <c r="I67" s="114"/>
      <c r="J67" s="114" t="str">
        <f ca="1">IFERROR(VALUE(IF(VLOOKUP($A67,数出表_Excel!$A$6:$T$150,COLUMN()/2+1,FALSE)=0,"",VLOOKUP($A67,数出表_Excel!$A$6:$T$150,COLUMN()/2+1,FALSE))),"")</f>
        <v/>
      </c>
      <c r="K67" s="114"/>
      <c r="L67" s="118" t="str">
        <f ca="1">IFERROR(VALUE(IF(VLOOKUP($A67,数出表_Excel!$A$6:$T$150,COLUMN()/2+1,FALSE)=0,"",VLOOKUP($A67,数出表_Excel!$A$6:$T$150,COLUMN()/2+1,FALSE))),"")</f>
        <v/>
      </c>
      <c r="M67" s="114"/>
      <c r="N67" s="114" t="str">
        <f ca="1">IFERROR(VALUE(IF(VLOOKUP($A67,数出表_Excel!$A$6:$T$150,COLUMN()/2+1,FALSE)=0,"",VLOOKUP($A67,数出表_Excel!$A$6:$T$150,COLUMN()/2+1,FALSE))),"")</f>
        <v/>
      </c>
      <c r="O67" s="114"/>
      <c r="P67" s="114" t="str">
        <f ca="1">IFERROR(VALUE(IF(VLOOKUP($A67,数出表_Excel!$A$6:$T$150,COLUMN()/2+1,FALSE)=0,"",VLOOKUP($A67,数出表_Excel!$A$6:$T$150,COLUMN()/2+1,FALSE))),"")</f>
        <v/>
      </c>
      <c r="Q67" s="114"/>
      <c r="R67" s="114" t="str">
        <f ca="1">IFERROR(VALUE(IF(VLOOKUP($A67,数出表_Excel!$A$6:$T$150,COLUMN()/2+1,FALSE)=0,"",VLOOKUP($A67,数出表_Excel!$A$6:$T$150,COLUMN()/2+1,FALSE))),"")</f>
        <v/>
      </c>
      <c r="S67" s="114"/>
      <c r="T67" s="114" t="str">
        <f ca="1">IFERROR(VALUE(IF(VLOOKUP($A67,数出表_Excel!$A$6:$T$150,COLUMN()/2+1,FALSE)=0,"",VLOOKUP($A67,数出表_Excel!$A$6:$T$150,COLUMN()/2+1,FALSE))),"")</f>
        <v/>
      </c>
      <c r="U67" s="114"/>
      <c r="V67" s="118" t="str">
        <f ca="1">IFERROR(VALUE(IF(VLOOKUP($A67,数出表_Excel!$A$6:$T$150,COLUMN()/2+1,FALSE)=0,"",VLOOKUP($A67,数出表_Excel!$A$6:$T$150,COLUMN()/2+1,FALSE))),"")</f>
        <v/>
      </c>
      <c r="W67" s="114"/>
      <c r="X67" s="118" t="str">
        <f ca="1">IFERROR(VALUE(IF(VLOOKUP($A67,数出表_Excel!$A$6:$T$150,COLUMN()/2+1,FALSE)=0,"",VLOOKUP($A67,数出表_Excel!$A$6:$T$150,COLUMN()/2+1,FALSE))),"")</f>
        <v/>
      </c>
      <c r="Y67" s="114"/>
      <c r="Z67" s="118" t="str">
        <f ca="1">IFERROR(VALUE(IF(VLOOKUP($A67,数出表_Excel!$A$6:$T$150,COLUMN()/2+1,FALSE)=0,"",VLOOKUP($A67,数出表_Excel!$A$6:$T$150,COLUMN()/2+1,FALSE))),"")</f>
        <v/>
      </c>
      <c r="AA67" s="152"/>
      <c r="AB67" s="119" t="str">
        <f ca="1">IFERROR(VALUE(IF(VLOOKUP($A67,数出表_Excel!$A$6:$T$150,COLUMN()/2+1,FALSE)=0,"",VLOOKUP($A67,数出表_Excel!$A$6:$T$150,COLUMN()/2+1,FALSE))),"")</f>
        <v/>
      </c>
      <c r="AC67" s="114"/>
      <c r="AD67" s="118" t="str">
        <f ca="1">IFERROR(VALUE(IF(VLOOKUP($A67,数出表_Excel!$A$6:$T$150,COLUMN()/2+1,FALSE)=0,"",VLOOKUP($A67,数出表_Excel!$A$6:$T$150,COLUMN()/2+1,FALSE))),"")</f>
        <v/>
      </c>
      <c r="AE67" s="114"/>
      <c r="AF67" s="118" t="str">
        <f ca="1">IFERROR(VALUE(IF(VLOOKUP($A67,数出表_Excel!$A$6:$T$150,COLUMN()/2+1,FALSE)=0,"",VLOOKUP($A67,数出表_Excel!$A$6:$T$150,COLUMN()/2+1,FALSE))),"")</f>
        <v/>
      </c>
      <c r="AG67" s="114"/>
      <c r="AH67" s="118" t="str">
        <f ca="1">IFERROR(VALUE(IF(VLOOKUP($A67,数出表_Excel!$A$6:$T$150,COLUMN()/2+1,FALSE)=0,"",VLOOKUP($A67,数出表_Excel!$A$6:$T$150,COLUMN()/2+1,FALSE))),"")</f>
        <v/>
      </c>
      <c r="AI67" s="152"/>
      <c r="AJ67" s="119" t="str">
        <f ca="1">IFERROR(VALUE(IF(VLOOKUP($A67,数出表_Excel!$A$6:$T$150,COLUMN()/2+1,FALSE)=0,"",VLOOKUP($A67,数出表_Excel!$A$6:$T$150,COLUMN()/2+1,FALSE))),"")</f>
        <v/>
      </c>
      <c r="AK67" s="114"/>
      <c r="AL67" s="120" t="e">
        <f ca="1">IF(A67&lt;&gt;"",
IF(VLOOKUP($A67,数出表_Excel!$A$6:$T$150,COLUMN()/2+1,FALSE)=0,"",VLOOKUP($A67,数出表_Excel!$A$6:$T$150,COLUMN()/2+1,FALSE)),"")</f>
        <v>#N/A</v>
      </c>
      <c r="AM67" s="200" t="e">
        <f>数出表_Excel!V67</f>
        <v>#N/A</v>
      </c>
      <c r="AN67" s="201" t="e">
        <f>数出表_Excel!W67</f>
        <v>#N/A</v>
      </c>
    </row>
    <row r="68" spans="1:40" ht="16.2" customHeight="1">
      <c r="A68" s="160" t="e">
        <f t="array" aca="1" ref="A68" ca="1">IF(OR(COUNTIF(A66,"*10002*"),COUNTIF(A66,"")),"",INDEX(貼り付け用!$A1:$A200,MATCH(A66,貼り付け用!$A1:$A200,0)+2,0))</f>
        <v>#N/A</v>
      </c>
      <c r="B68" s="148" t="str">
        <f ca="1">IFERROR(VALUE(IF(VLOOKUP($A68,数出表_Excel!$A$6:$T$150,COLUMN()/2+1,FALSE)=0,"",VLOOKUP($A68,数出表_Excel!$A$6:$T$150,COLUMN()/2+1,FALSE))),"")</f>
        <v/>
      </c>
      <c r="C68" s="113"/>
      <c r="D68" s="148" t="str">
        <f ca="1">IFERROR(VALUE(IF(VLOOKUP($A68,数出表_Excel!$A$6:$T$150,COLUMN()/2+1,FALSE)=0,"",VLOOKUP($A68,数出表_Excel!$A$6:$T$150,COLUMN()/2+1,FALSE))),"")</f>
        <v/>
      </c>
      <c r="E68" s="113"/>
      <c r="F68" s="150" t="str">
        <f ca="1">IFERROR(VALUE(IF(VLOOKUP($A68,数出表_Excel!$A$6:$T$150,COLUMN()/2+1,FALSE)=0,"",VLOOKUP($A68,数出表_Excel!$A$6:$T$150,COLUMN()/2+1,FALSE))),"")</f>
        <v/>
      </c>
      <c r="G68" s="113"/>
      <c r="H68" s="148" t="str">
        <f ca="1">IFERROR(VALUE(IF(VLOOKUP($A68,数出表_Excel!$A$6:$T$150,COLUMN()/2+1,FALSE)=0,"",VLOOKUP($A68,数出表_Excel!$A$6:$T$150,COLUMN()/2+1,FALSE))),"")</f>
        <v/>
      </c>
      <c r="I68" s="113"/>
      <c r="J68" s="148" t="str">
        <f ca="1">IFERROR(VALUE(IF(VLOOKUP($A68,数出表_Excel!$A$6:$T$150,COLUMN()/2+1,FALSE)=0,"",VLOOKUP($A68,数出表_Excel!$A$6:$T$150,COLUMN()/2+1,FALSE))),"")</f>
        <v/>
      </c>
      <c r="K68" s="113"/>
      <c r="L68" s="150" t="str">
        <f ca="1">IFERROR(VALUE(IF(VLOOKUP($A68,数出表_Excel!$A$6:$T$150,COLUMN()/2+1,FALSE)=0,"",VLOOKUP($A68,数出表_Excel!$A$6:$T$150,COLUMN()/2+1,FALSE))),"")</f>
        <v/>
      </c>
      <c r="M68" s="113"/>
      <c r="N68" s="148" t="str">
        <f ca="1">IFERROR(VALUE(IF(VLOOKUP($A68,数出表_Excel!$A$6:$T$150,COLUMN()/2+1,FALSE)=0,"",VLOOKUP($A68,数出表_Excel!$A$6:$T$150,COLUMN()/2+1,FALSE))),"")</f>
        <v/>
      </c>
      <c r="O68" s="113"/>
      <c r="P68" s="148" t="str">
        <f ca="1">IFERROR(VALUE(IF(VLOOKUP($A68,数出表_Excel!$A$6:$T$150,COLUMN()/2+1,FALSE)=0,"",VLOOKUP($A68,数出表_Excel!$A$6:$T$150,COLUMN()/2+1,FALSE))),"")</f>
        <v/>
      </c>
      <c r="Q68" s="113"/>
      <c r="R68" s="148" t="str">
        <f ca="1">IFERROR(VALUE(IF(VLOOKUP($A68,数出表_Excel!$A$6:$T$150,COLUMN()/2+1,FALSE)=0,"",VLOOKUP($A68,数出表_Excel!$A$6:$T$150,COLUMN()/2+1,FALSE))),"")</f>
        <v/>
      </c>
      <c r="S68" s="113"/>
      <c r="T68" s="148" t="str">
        <f ca="1">IFERROR(VALUE(IF(VLOOKUP($A68,数出表_Excel!$A$6:$T$150,COLUMN()/2+1,FALSE)=0,"",VLOOKUP($A68,数出表_Excel!$A$6:$T$150,COLUMN()/2+1,FALSE))),"")</f>
        <v/>
      </c>
      <c r="U68" s="113"/>
      <c r="V68" s="150" t="str">
        <f ca="1">IFERROR(VALUE(IF(VLOOKUP($A68,数出表_Excel!$A$6:$T$150,COLUMN()/2+1,FALSE)=0,"",VLOOKUP($A68,数出表_Excel!$A$6:$T$150,COLUMN()/2+1,FALSE))),"")</f>
        <v/>
      </c>
      <c r="W68" s="113"/>
      <c r="X68" s="150" t="str">
        <f ca="1">IFERROR(VALUE(IF(VLOOKUP($A68,数出表_Excel!$A$6:$T$150,COLUMN()/2+1,FALSE)=0,"",VLOOKUP($A68,数出表_Excel!$A$6:$T$150,COLUMN()/2+1,FALSE))),"")</f>
        <v/>
      </c>
      <c r="Y68" s="113"/>
      <c r="Z68" s="150" t="str">
        <f ca="1">IFERROR(VALUE(IF(VLOOKUP($A68,数出表_Excel!$A$6:$T$150,COLUMN()/2+1,FALSE)=0,"",VLOOKUP($A68,数出表_Excel!$A$6:$T$150,COLUMN()/2+1,FALSE))),"")</f>
        <v/>
      </c>
      <c r="AA68" s="151"/>
      <c r="AB68" s="149" t="str">
        <f ca="1">IFERROR(VALUE(IF(VLOOKUP($A68,数出表_Excel!$A$6:$T$150,COLUMN()/2+1,FALSE)=0,"",VLOOKUP($A68,数出表_Excel!$A$6:$T$150,COLUMN()/2+1,FALSE))),"")</f>
        <v/>
      </c>
      <c r="AC68" s="113"/>
      <c r="AD68" s="150" t="str">
        <f ca="1">IFERROR(VALUE(IF(VLOOKUP($A68,数出表_Excel!$A$6:$T$150,COLUMN()/2+1,FALSE)=0,"",VLOOKUP($A68,数出表_Excel!$A$6:$T$150,COLUMN()/2+1,FALSE))),"")</f>
        <v/>
      </c>
      <c r="AE68" s="113"/>
      <c r="AF68" s="150" t="str">
        <f ca="1">IFERROR(VALUE(IF(VLOOKUP($A68,数出表_Excel!$A$6:$T$150,COLUMN()/2+1,FALSE)=0,"",VLOOKUP($A68,数出表_Excel!$A$6:$T$150,COLUMN()/2+1,FALSE))),"")</f>
        <v/>
      </c>
      <c r="AG68" s="113"/>
      <c r="AH68" s="150" t="str">
        <f ca="1">IFERROR(VALUE(IF(VLOOKUP($A68,数出表_Excel!$A$6:$T$150,COLUMN()/2+1,FALSE)=0,"",VLOOKUP($A68,数出表_Excel!$A$6:$T$150,COLUMN()/2+1,FALSE))),"")</f>
        <v/>
      </c>
      <c r="AI68" s="151"/>
      <c r="AJ68" s="149" t="str">
        <f ca="1">IFERROR(VALUE(IF(VLOOKUP($A68,数出表_Excel!$A$6:$T$150,COLUMN()/2+1,FALSE)=0,"",VLOOKUP($A68,数出表_Excel!$A$6:$T$150,COLUMN()/2+1,FALSE))),"")</f>
        <v/>
      </c>
      <c r="AK68" s="113"/>
      <c r="AL68" s="117" t="e">
        <f ca="1">IF(A68&lt;&gt;"",
IF(VLOOKUP($A68,数出表_Excel!$A$6:$T$150,COLUMN()/2+1,FALSE)=0,"",VLOOKUP($A68,数出表_Excel!$A$6:$T$150,COLUMN()/2+1,FALSE)),"")</f>
        <v>#N/A</v>
      </c>
      <c r="AM68" s="198" t="e">
        <f>数出表_Excel!V68</f>
        <v>#N/A</v>
      </c>
      <c r="AN68" s="199" t="e">
        <f>数出表_Excel!W68</f>
        <v>#N/A</v>
      </c>
    </row>
    <row r="69" spans="1:40" ht="16.2" customHeight="1">
      <c r="A69" s="161" t="e">
        <f t="array" aca="1" ref="A69" ca="1">IF(OR(COUNTIF(A67,"*1000*"),COUNTIF(A67,"")),"",INDEX(貼り付け用!$A1:$A200,MATCH(A67,貼り付け用!$A1:$A200,0)+2,0))</f>
        <v>#N/A</v>
      </c>
      <c r="B69" s="114" t="str">
        <f ca="1">IFERROR(VALUE(IF(VLOOKUP($A69,数出表_Excel!$A$6:$T$150,COLUMN()/2+1,FALSE)=0,"",VLOOKUP($A69,数出表_Excel!$A$6:$T$150,COLUMN()/2+1,FALSE))),"")</f>
        <v/>
      </c>
      <c r="C69" s="114"/>
      <c r="D69" s="114" t="str">
        <f ca="1">IFERROR(VALUE(IF(VLOOKUP($A69,数出表_Excel!$A$6:$T$150,COLUMN()/2+1,FALSE)=0,"",VLOOKUP($A69,数出表_Excel!$A$6:$T$150,COLUMN()/2+1,FALSE))),"")</f>
        <v/>
      </c>
      <c r="E69" s="114"/>
      <c r="F69" s="118" t="str">
        <f ca="1">IFERROR(VALUE(IF(VLOOKUP($A69,数出表_Excel!$A$6:$T$150,COLUMN()/2+1,FALSE)=0,"",VLOOKUP($A69,数出表_Excel!$A$6:$T$150,COLUMN()/2+1,FALSE))),"")</f>
        <v/>
      </c>
      <c r="G69" s="114"/>
      <c r="H69" s="114" t="str">
        <f ca="1">IFERROR(VALUE(IF(VLOOKUP($A69,数出表_Excel!$A$6:$T$150,COLUMN()/2+1,FALSE)=0,"",VLOOKUP($A69,数出表_Excel!$A$6:$T$150,COLUMN()/2+1,FALSE))),"")</f>
        <v/>
      </c>
      <c r="I69" s="114"/>
      <c r="J69" s="114" t="str">
        <f ca="1">IFERROR(VALUE(IF(VLOOKUP($A69,数出表_Excel!$A$6:$T$150,COLUMN()/2+1,FALSE)=0,"",VLOOKUP($A69,数出表_Excel!$A$6:$T$150,COLUMN()/2+1,FALSE))),"")</f>
        <v/>
      </c>
      <c r="K69" s="114"/>
      <c r="L69" s="118" t="str">
        <f ca="1">IFERROR(VALUE(IF(VLOOKUP($A69,数出表_Excel!$A$6:$T$150,COLUMN()/2+1,FALSE)=0,"",VLOOKUP($A69,数出表_Excel!$A$6:$T$150,COLUMN()/2+1,FALSE))),"")</f>
        <v/>
      </c>
      <c r="M69" s="114"/>
      <c r="N69" s="114" t="str">
        <f ca="1">IFERROR(VALUE(IF(VLOOKUP($A69,数出表_Excel!$A$6:$T$150,COLUMN()/2+1,FALSE)=0,"",VLOOKUP($A69,数出表_Excel!$A$6:$T$150,COLUMN()/2+1,FALSE))),"")</f>
        <v/>
      </c>
      <c r="O69" s="114"/>
      <c r="P69" s="114" t="str">
        <f ca="1">IFERROR(VALUE(IF(VLOOKUP($A69,数出表_Excel!$A$6:$T$150,COLUMN()/2+1,FALSE)=0,"",VLOOKUP($A69,数出表_Excel!$A$6:$T$150,COLUMN()/2+1,FALSE))),"")</f>
        <v/>
      </c>
      <c r="Q69" s="114"/>
      <c r="R69" s="114" t="str">
        <f ca="1">IFERROR(VALUE(IF(VLOOKUP($A69,数出表_Excel!$A$6:$T$150,COLUMN()/2+1,FALSE)=0,"",VLOOKUP($A69,数出表_Excel!$A$6:$T$150,COLUMN()/2+1,FALSE))),"")</f>
        <v/>
      </c>
      <c r="S69" s="114"/>
      <c r="T69" s="114" t="str">
        <f ca="1">IFERROR(VALUE(IF(VLOOKUP($A69,数出表_Excel!$A$6:$T$150,COLUMN()/2+1,FALSE)=0,"",VLOOKUP($A69,数出表_Excel!$A$6:$T$150,COLUMN()/2+1,FALSE))),"")</f>
        <v/>
      </c>
      <c r="U69" s="114"/>
      <c r="V69" s="118" t="str">
        <f ca="1">IFERROR(VALUE(IF(VLOOKUP($A69,数出表_Excel!$A$6:$T$150,COLUMN()/2+1,FALSE)=0,"",VLOOKUP($A69,数出表_Excel!$A$6:$T$150,COLUMN()/2+1,FALSE))),"")</f>
        <v/>
      </c>
      <c r="W69" s="114"/>
      <c r="X69" s="118" t="str">
        <f ca="1">IFERROR(VALUE(IF(VLOOKUP($A69,数出表_Excel!$A$6:$T$150,COLUMN()/2+1,FALSE)=0,"",VLOOKUP($A69,数出表_Excel!$A$6:$T$150,COLUMN()/2+1,FALSE))),"")</f>
        <v/>
      </c>
      <c r="Y69" s="114"/>
      <c r="Z69" s="118" t="str">
        <f ca="1">IFERROR(VALUE(IF(VLOOKUP($A69,数出表_Excel!$A$6:$T$150,COLUMN()/2+1,FALSE)=0,"",VLOOKUP($A69,数出表_Excel!$A$6:$T$150,COLUMN()/2+1,FALSE))),"")</f>
        <v/>
      </c>
      <c r="AA69" s="152"/>
      <c r="AB69" s="119" t="str">
        <f ca="1">IFERROR(VALUE(IF(VLOOKUP($A69,数出表_Excel!$A$6:$T$150,COLUMN()/2+1,FALSE)=0,"",VLOOKUP($A69,数出表_Excel!$A$6:$T$150,COLUMN()/2+1,FALSE))),"")</f>
        <v/>
      </c>
      <c r="AC69" s="114"/>
      <c r="AD69" s="118" t="str">
        <f ca="1">IFERROR(VALUE(IF(VLOOKUP($A69,数出表_Excel!$A$6:$T$150,COLUMN()/2+1,FALSE)=0,"",VLOOKUP($A69,数出表_Excel!$A$6:$T$150,COLUMN()/2+1,FALSE))),"")</f>
        <v/>
      </c>
      <c r="AE69" s="114"/>
      <c r="AF69" s="118" t="str">
        <f ca="1">IFERROR(VALUE(IF(VLOOKUP($A69,数出表_Excel!$A$6:$T$150,COLUMN()/2+1,FALSE)=0,"",VLOOKUP($A69,数出表_Excel!$A$6:$T$150,COLUMN()/2+1,FALSE))),"")</f>
        <v/>
      </c>
      <c r="AG69" s="114"/>
      <c r="AH69" s="118" t="str">
        <f ca="1">IFERROR(VALUE(IF(VLOOKUP($A69,数出表_Excel!$A$6:$T$150,COLUMN()/2+1,FALSE)=0,"",VLOOKUP($A69,数出表_Excel!$A$6:$T$150,COLUMN()/2+1,FALSE))),"")</f>
        <v/>
      </c>
      <c r="AI69" s="152"/>
      <c r="AJ69" s="119" t="str">
        <f ca="1">IFERROR(VALUE(IF(VLOOKUP($A69,数出表_Excel!$A$6:$T$150,COLUMN()/2+1,FALSE)=0,"",VLOOKUP($A69,数出表_Excel!$A$6:$T$150,COLUMN()/2+1,FALSE))),"")</f>
        <v/>
      </c>
      <c r="AK69" s="114"/>
      <c r="AL69" s="120" t="e">
        <f ca="1">IF(A69&lt;&gt;"",
IF(VLOOKUP($A69,数出表_Excel!$A$6:$T$150,COLUMN()/2+1,FALSE)=0,"",VLOOKUP($A69,数出表_Excel!$A$6:$T$150,COLUMN()/2+1,FALSE)),"")</f>
        <v>#N/A</v>
      </c>
      <c r="AM69" s="200" t="e">
        <f>数出表_Excel!V69</f>
        <v>#N/A</v>
      </c>
      <c r="AN69" s="201" t="e">
        <f>数出表_Excel!W69</f>
        <v>#N/A</v>
      </c>
    </row>
    <row r="70" spans="1:40" ht="16.2" customHeight="1">
      <c r="A70" s="160" t="e">
        <f t="array" aca="1" ref="A70" ca="1">IF(OR(COUNTIF(A68,"*10002*"),COUNTIF(A68,"")),"",INDEX(貼り付け用!$A1:$A200,MATCH(A68,貼り付け用!$A1:$A200,0)+2,0))</f>
        <v>#N/A</v>
      </c>
      <c r="B70" s="148" t="str">
        <f ca="1">IFERROR(VALUE(IF(VLOOKUP($A70,数出表_Excel!$A$6:$T$150,COLUMN()/2+1,FALSE)=0,"",VLOOKUP($A70,数出表_Excel!$A$6:$T$150,COLUMN()/2+1,FALSE))),"")</f>
        <v/>
      </c>
      <c r="C70" s="113"/>
      <c r="D70" s="148" t="str">
        <f ca="1">IFERROR(VALUE(IF(VLOOKUP($A70,数出表_Excel!$A$6:$T$150,COLUMN()/2+1,FALSE)=0,"",VLOOKUP($A70,数出表_Excel!$A$6:$T$150,COLUMN()/2+1,FALSE))),"")</f>
        <v/>
      </c>
      <c r="E70" s="113"/>
      <c r="F70" s="150" t="str">
        <f ca="1">IFERROR(VALUE(IF(VLOOKUP($A70,数出表_Excel!$A$6:$T$150,COLUMN()/2+1,FALSE)=0,"",VLOOKUP($A70,数出表_Excel!$A$6:$T$150,COLUMN()/2+1,FALSE))),"")</f>
        <v/>
      </c>
      <c r="G70" s="113"/>
      <c r="H70" s="148" t="str">
        <f ca="1">IFERROR(VALUE(IF(VLOOKUP($A70,数出表_Excel!$A$6:$T$150,COLUMN()/2+1,FALSE)=0,"",VLOOKUP($A70,数出表_Excel!$A$6:$T$150,COLUMN()/2+1,FALSE))),"")</f>
        <v/>
      </c>
      <c r="I70" s="113"/>
      <c r="J70" s="148" t="str">
        <f ca="1">IFERROR(VALUE(IF(VLOOKUP($A70,数出表_Excel!$A$6:$T$150,COLUMN()/2+1,FALSE)=0,"",VLOOKUP($A70,数出表_Excel!$A$6:$T$150,COLUMN()/2+1,FALSE))),"")</f>
        <v/>
      </c>
      <c r="K70" s="113"/>
      <c r="L70" s="150" t="str">
        <f ca="1">IFERROR(VALUE(IF(VLOOKUP($A70,数出表_Excel!$A$6:$T$150,COLUMN()/2+1,FALSE)=0,"",VLOOKUP($A70,数出表_Excel!$A$6:$T$150,COLUMN()/2+1,FALSE))),"")</f>
        <v/>
      </c>
      <c r="M70" s="113"/>
      <c r="N70" s="148" t="str">
        <f ca="1">IFERROR(VALUE(IF(VLOOKUP($A70,数出表_Excel!$A$6:$T$150,COLUMN()/2+1,FALSE)=0,"",VLOOKUP($A70,数出表_Excel!$A$6:$T$150,COLUMN()/2+1,FALSE))),"")</f>
        <v/>
      </c>
      <c r="O70" s="113"/>
      <c r="P70" s="148" t="str">
        <f ca="1">IFERROR(VALUE(IF(VLOOKUP($A70,数出表_Excel!$A$6:$T$150,COLUMN()/2+1,FALSE)=0,"",VLOOKUP($A70,数出表_Excel!$A$6:$T$150,COLUMN()/2+1,FALSE))),"")</f>
        <v/>
      </c>
      <c r="Q70" s="113"/>
      <c r="R70" s="148" t="str">
        <f ca="1">IFERROR(VALUE(IF(VLOOKUP($A70,数出表_Excel!$A$6:$T$150,COLUMN()/2+1,FALSE)=0,"",VLOOKUP($A70,数出表_Excel!$A$6:$T$150,COLUMN()/2+1,FALSE))),"")</f>
        <v/>
      </c>
      <c r="S70" s="113"/>
      <c r="T70" s="148" t="str">
        <f ca="1">IFERROR(VALUE(IF(VLOOKUP($A70,数出表_Excel!$A$6:$T$150,COLUMN()/2+1,FALSE)=0,"",VLOOKUP($A70,数出表_Excel!$A$6:$T$150,COLUMN()/2+1,FALSE))),"")</f>
        <v/>
      </c>
      <c r="U70" s="113"/>
      <c r="V70" s="150" t="str">
        <f ca="1">IFERROR(VALUE(IF(VLOOKUP($A70,数出表_Excel!$A$6:$T$150,COLUMN()/2+1,FALSE)=0,"",VLOOKUP($A70,数出表_Excel!$A$6:$T$150,COLUMN()/2+1,FALSE))),"")</f>
        <v/>
      </c>
      <c r="W70" s="113"/>
      <c r="X70" s="150" t="str">
        <f ca="1">IFERROR(VALUE(IF(VLOOKUP($A70,数出表_Excel!$A$6:$T$150,COLUMN()/2+1,FALSE)=0,"",VLOOKUP($A70,数出表_Excel!$A$6:$T$150,COLUMN()/2+1,FALSE))),"")</f>
        <v/>
      </c>
      <c r="Y70" s="113"/>
      <c r="Z70" s="150" t="str">
        <f ca="1">IFERROR(VALUE(IF(VLOOKUP($A70,数出表_Excel!$A$6:$T$150,COLUMN()/2+1,FALSE)=0,"",VLOOKUP($A70,数出表_Excel!$A$6:$T$150,COLUMN()/2+1,FALSE))),"")</f>
        <v/>
      </c>
      <c r="AA70" s="151"/>
      <c r="AB70" s="149" t="str">
        <f ca="1">IFERROR(VALUE(IF(VLOOKUP($A70,数出表_Excel!$A$6:$T$150,COLUMN()/2+1,FALSE)=0,"",VLOOKUP($A70,数出表_Excel!$A$6:$T$150,COLUMN()/2+1,FALSE))),"")</f>
        <v/>
      </c>
      <c r="AC70" s="113"/>
      <c r="AD70" s="150" t="str">
        <f ca="1">IFERROR(VALUE(IF(VLOOKUP($A70,数出表_Excel!$A$6:$T$150,COLUMN()/2+1,FALSE)=0,"",VLOOKUP($A70,数出表_Excel!$A$6:$T$150,COLUMN()/2+1,FALSE))),"")</f>
        <v/>
      </c>
      <c r="AE70" s="113"/>
      <c r="AF70" s="150" t="str">
        <f ca="1">IFERROR(VALUE(IF(VLOOKUP($A70,数出表_Excel!$A$6:$T$150,COLUMN()/2+1,FALSE)=0,"",VLOOKUP($A70,数出表_Excel!$A$6:$T$150,COLUMN()/2+1,FALSE))),"")</f>
        <v/>
      </c>
      <c r="AG70" s="113"/>
      <c r="AH70" s="150" t="str">
        <f ca="1">IFERROR(VALUE(IF(VLOOKUP($A70,数出表_Excel!$A$6:$T$150,COLUMN()/2+1,FALSE)=0,"",VLOOKUP($A70,数出表_Excel!$A$6:$T$150,COLUMN()/2+1,FALSE))),"")</f>
        <v/>
      </c>
      <c r="AI70" s="151"/>
      <c r="AJ70" s="149" t="str">
        <f ca="1">IFERROR(VALUE(IF(VLOOKUP($A70,数出表_Excel!$A$6:$T$150,COLUMN()/2+1,FALSE)=0,"",VLOOKUP($A70,数出表_Excel!$A$6:$T$150,COLUMN()/2+1,FALSE))),"")</f>
        <v/>
      </c>
      <c r="AK70" s="113"/>
      <c r="AL70" s="117" t="e">
        <f ca="1">IF(A70&lt;&gt;"",
IF(VLOOKUP($A70,数出表_Excel!$A$6:$T$150,COLUMN()/2+1,FALSE)=0,"",VLOOKUP($A70,数出表_Excel!$A$6:$T$150,COLUMN()/2+1,FALSE)),"")</f>
        <v>#N/A</v>
      </c>
      <c r="AM70" s="198" t="e">
        <f>数出表_Excel!V70</f>
        <v>#N/A</v>
      </c>
      <c r="AN70" s="199" t="e">
        <f>数出表_Excel!W70</f>
        <v>#N/A</v>
      </c>
    </row>
    <row r="71" spans="1:40" ht="16.2" customHeight="1">
      <c r="A71" s="161" t="e">
        <f t="array" aca="1" ref="A71" ca="1">IF(OR(COUNTIF(A69,"*1000*"),COUNTIF(A69,"")),"",INDEX(貼り付け用!$A1:$A200,MATCH(A69,貼り付け用!$A1:$A200,0)+2,0))</f>
        <v>#N/A</v>
      </c>
      <c r="B71" s="114" t="str">
        <f ca="1">IFERROR(VALUE(IF(VLOOKUP($A71,数出表_Excel!$A$6:$T$150,COLUMN()/2+1,FALSE)=0,"",VLOOKUP($A71,数出表_Excel!$A$6:$T$150,COLUMN()/2+1,FALSE))),"")</f>
        <v/>
      </c>
      <c r="C71" s="114"/>
      <c r="D71" s="114" t="str">
        <f ca="1">IFERROR(VALUE(IF(VLOOKUP($A71,数出表_Excel!$A$6:$T$150,COLUMN()/2+1,FALSE)=0,"",VLOOKUP($A71,数出表_Excel!$A$6:$T$150,COLUMN()/2+1,FALSE))),"")</f>
        <v/>
      </c>
      <c r="E71" s="114"/>
      <c r="F71" s="118" t="str">
        <f ca="1">IFERROR(VALUE(IF(VLOOKUP($A71,数出表_Excel!$A$6:$T$150,COLUMN()/2+1,FALSE)=0,"",VLOOKUP($A71,数出表_Excel!$A$6:$T$150,COLUMN()/2+1,FALSE))),"")</f>
        <v/>
      </c>
      <c r="G71" s="114"/>
      <c r="H71" s="114" t="str">
        <f ca="1">IFERROR(VALUE(IF(VLOOKUP($A71,数出表_Excel!$A$6:$T$150,COLUMN()/2+1,FALSE)=0,"",VLOOKUP($A71,数出表_Excel!$A$6:$T$150,COLUMN()/2+1,FALSE))),"")</f>
        <v/>
      </c>
      <c r="I71" s="114"/>
      <c r="J71" s="114" t="str">
        <f ca="1">IFERROR(VALUE(IF(VLOOKUP($A71,数出表_Excel!$A$6:$T$150,COLUMN()/2+1,FALSE)=0,"",VLOOKUP($A71,数出表_Excel!$A$6:$T$150,COLUMN()/2+1,FALSE))),"")</f>
        <v/>
      </c>
      <c r="K71" s="114"/>
      <c r="L71" s="118" t="str">
        <f ca="1">IFERROR(VALUE(IF(VLOOKUP($A71,数出表_Excel!$A$6:$T$150,COLUMN()/2+1,FALSE)=0,"",VLOOKUP($A71,数出表_Excel!$A$6:$T$150,COLUMN()/2+1,FALSE))),"")</f>
        <v/>
      </c>
      <c r="M71" s="114"/>
      <c r="N71" s="114" t="str">
        <f ca="1">IFERROR(VALUE(IF(VLOOKUP($A71,数出表_Excel!$A$6:$T$150,COLUMN()/2+1,FALSE)=0,"",VLOOKUP($A71,数出表_Excel!$A$6:$T$150,COLUMN()/2+1,FALSE))),"")</f>
        <v/>
      </c>
      <c r="O71" s="114"/>
      <c r="P71" s="114" t="str">
        <f ca="1">IFERROR(VALUE(IF(VLOOKUP($A71,数出表_Excel!$A$6:$T$150,COLUMN()/2+1,FALSE)=0,"",VLOOKUP($A71,数出表_Excel!$A$6:$T$150,COLUMN()/2+1,FALSE))),"")</f>
        <v/>
      </c>
      <c r="Q71" s="114"/>
      <c r="R71" s="114" t="str">
        <f ca="1">IFERROR(VALUE(IF(VLOOKUP($A71,数出表_Excel!$A$6:$T$150,COLUMN()/2+1,FALSE)=0,"",VLOOKUP($A71,数出表_Excel!$A$6:$T$150,COLUMN()/2+1,FALSE))),"")</f>
        <v/>
      </c>
      <c r="S71" s="114"/>
      <c r="T71" s="114" t="str">
        <f ca="1">IFERROR(VALUE(IF(VLOOKUP($A71,数出表_Excel!$A$6:$T$150,COLUMN()/2+1,FALSE)=0,"",VLOOKUP($A71,数出表_Excel!$A$6:$T$150,COLUMN()/2+1,FALSE))),"")</f>
        <v/>
      </c>
      <c r="U71" s="114"/>
      <c r="V71" s="118" t="str">
        <f ca="1">IFERROR(VALUE(IF(VLOOKUP($A71,数出表_Excel!$A$6:$T$150,COLUMN()/2+1,FALSE)=0,"",VLOOKUP($A71,数出表_Excel!$A$6:$T$150,COLUMN()/2+1,FALSE))),"")</f>
        <v/>
      </c>
      <c r="W71" s="114"/>
      <c r="X71" s="118" t="str">
        <f ca="1">IFERROR(VALUE(IF(VLOOKUP($A71,数出表_Excel!$A$6:$T$150,COLUMN()/2+1,FALSE)=0,"",VLOOKUP($A71,数出表_Excel!$A$6:$T$150,COLUMN()/2+1,FALSE))),"")</f>
        <v/>
      </c>
      <c r="Y71" s="114"/>
      <c r="Z71" s="118" t="str">
        <f ca="1">IFERROR(VALUE(IF(VLOOKUP($A71,数出表_Excel!$A$6:$T$150,COLUMN()/2+1,FALSE)=0,"",VLOOKUP($A71,数出表_Excel!$A$6:$T$150,COLUMN()/2+1,FALSE))),"")</f>
        <v/>
      </c>
      <c r="AA71" s="152"/>
      <c r="AB71" s="119" t="str">
        <f ca="1">IFERROR(VALUE(IF(VLOOKUP($A71,数出表_Excel!$A$6:$T$150,COLUMN()/2+1,FALSE)=0,"",VLOOKUP($A71,数出表_Excel!$A$6:$T$150,COLUMN()/2+1,FALSE))),"")</f>
        <v/>
      </c>
      <c r="AC71" s="114"/>
      <c r="AD71" s="118" t="str">
        <f ca="1">IFERROR(VALUE(IF(VLOOKUP($A71,数出表_Excel!$A$6:$T$150,COLUMN()/2+1,FALSE)=0,"",VLOOKUP($A71,数出表_Excel!$A$6:$T$150,COLUMN()/2+1,FALSE))),"")</f>
        <v/>
      </c>
      <c r="AE71" s="114"/>
      <c r="AF71" s="118" t="str">
        <f ca="1">IFERROR(VALUE(IF(VLOOKUP($A71,数出表_Excel!$A$6:$T$150,COLUMN()/2+1,FALSE)=0,"",VLOOKUP($A71,数出表_Excel!$A$6:$T$150,COLUMN()/2+1,FALSE))),"")</f>
        <v/>
      </c>
      <c r="AG71" s="114"/>
      <c r="AH71" s="118" t="str">
        <f ca="1">IFERROR(VALUE(IF(VLOOKUP($A71,数出表_Excel!$A$6:$T$150,COLUMN()/2+1,FALSE)=0,"",VLOOKUP($A71,数出表_Excel!$A$6:$T$150,COLUMN()/2+1,FALSE))),"")</f>
        <v/>
      </c>
      <c r="AI71" s="152"/>
      <c r="AJ71" s="119" t="str">
        <f ca="1">IFERROR(VALUE(IF(VLOOKUP($A71,数出表_Excel!$A$6:$T$150,COLUMN()/2+1,FALSE)=0,"",VLOOKUP($A71,数出表_Excel!$A$6:$T$150,COLUMN()/2+1,FALSE))),"")</f>
        <v/>
      </c>
      <c r="AK71" s="114"/>
      <c r="AL71" s="120" t="e">
        <f ca="1">IF(A71&lt;&gt;"",
IF(VLOOKUP($A71,数出表_Excel!$A$6:$T$150,COLUMN()/2+1,FALSE)=0,"",VLOOKUP($A71,数出表_Excel!$A$6:$T$150,COLUMN()/2+1,FALSE)),"")</f>
        <v>#N/A</v>
      </c>
      <c r="AM71" s="200" t="e">
        <f>数出表_Excel!V71</f>
        <v>#N/A</v>
      </c>
      <c r="AN71" s="201" t="e">
        <f>数出表_Excel!W71</f>
        <v>#N/A</v>
      </c>
    </row>
    <row r="72" spans="1:40" ht="16.2" customHeight="1">
      <c r="A72" s="160" t="e">
        <f t="array" aca="1" ref="A72" ca="1">IF(OR(COUNTIF(A70,"*10002*"),COUNTIF(A70,"")),"",INDEX(貼り付け用!$A1:$A200,MATCH(A70,貼り付け用!$A1:$A200,0)+2,0))</f>
        <v>#N/A</v>
      </c>
      <c r="B72" s="148" t="str">
        <f ca="1">IFERROR(VALUE(IF(VLOOKUP($A72,数出表_Excel!$A$6:$T$150,COLUMN()/2+1,FALSE)=0,"",VLOOKUP($A72,数出表_Excel!$A$6:$T$150,COLUMN()/2+1,FALSE))),"")</f>
        <v/>
      </c>
      <c r="C72" s="113"/>
      <c r="D72" s="148" t="str">
        <f ca="1">IFERROR(VALUE(IF(VLOOKUP($A72,数出表_Excel!$A$6:$T$150,COLUMN()/2+1,FALSE)=0,"",VLOOKUP($A72,数出表_Excel!$A$6:$T$150,COLUMN()/2+1,FALSE))),"")</f>
        <v/>
      </c>
      <c r="E72" s="113"/>
      <c r="F72" s="150" t="str">
        <f ca="1">IFERROR(VALUE(IF(VLOOKUP($A72,数出表_Excel!$A$6:$T$150,COLUMN()/2+1,FALSE)=0,"",VLOOKUP($A72,数出表_Excel!$A$6:$T$150,COLUMN()/2+1,FALSE))),"")</f>
        <v/>
      </c>
      <c r="G72" s="113"/>
      <c r="H72" s="148" t="str">
        <f ca="1">IFERROR(VALUE(IF(VLOOKUP($A72,数出表_Excel!$A$6:$T$150,COLUMN()/2+1,FALSE)=0,"",VLOOKUP($A72,数出表_Excel!$A$6:$T$150,COLUMN()/2+1,FALSE))),"")</f>
        <v/>
      </c>
      <c r="I72" s="113"/>
      <c r="J72" s="148" t="str">
        <f ca="1">IFERROR(VALUE(IF(VLOOKUP($A72,数出表_Excel!$A$6:$T$150,COLUMN()/2+1,FALSE)=0,"",VLOOKUP($A72,数出表_Excel!$A$6:$T$150,COLUMN()/2+1,FALSE))),"")</f>
        <v/>
      </c>
      <c r="K72" s="113"/>
      <c r="L72" s="150" t="str">
        <f ca="1">IFERROR(VALUE(IF(VLOOKUP($A72,数出表_Excel!$A$6:$T$150,COLUMN()/2+1,FALSE)=0,"",VLOOKUP($A72,数出表_Excel!$A$6:$T$150,COLUMN()/2+1,FALSE))),"")</f>
        <v/>
      </c>
      <c r="M72" s="113"/>
      <c r="N72" s="148" t="str">
        <f ca="1">IFERROR(VALUE(IF(VLOOKUP($A72,数出表_Excel!$A$6:$T$150,COLUMN()/2+1,FALSE)=0,"",VLOOKUP($A72,数出表_Excel!$A$6:$T$150,COLUMN()/2+1,FALSE))),"")</f>
        <v/>
      </c>
      <c r="O72" s="113"/>
      <c r="P72" s="148" t="str">
        <f ca="1">IFERROR(VALUE(IF(VLOOKUP($A72,数出表_Excel!$A$6:$T$150,COLUMN()/2+1,FALSE)=0,"",VLOOKUP($A72,数出表_Excel!$A$6:$T$150,COLUMN()/2+1,FALSE))),"")</f>
        <v/>
      </c>
      <c r="Q72" s="113"/>
      <c r="R72" s="148" t="str">
        <f ca="1">IFERROR(VALUE(IF(VLOOKUP($A72,数出表_Excel!$A$6:$T$150,COLUMN()/2+1,FALSE)=0,"",VLOOKUP($A72,数出表_Excel!$A$6:$T$150,COLUMN()/2+1,FALSE))),"")</f>
        <v/>
      </c>
      <c r="S72" s="113"/>
      <c r="T72" s="148" t="str">
        <f ca="1">IFERROR(VALUE(IF(VLOOKUP($A72,数出表_Excel!$A$6:$T$150,COLUMN()/2+1,FALSE)=0,"",VLOOKUP($A72,数出表_Excel!$A$6:$T$150,COLUMN()/2+1,FALSE))),"")</f>
        <v/>
      </c>
      <c r="U72" s="113"/>
      <c r="V72" s="150" t="str">
        <f ca="1">IFERROR(VALUE(IF(VLOOKUP($A72,数出表_Excel!$A$6:$T$150,COLUMN()/2+1,FALSE)=0,"",VLOOKUP($A72,数出表_Excel!$A$6:$T$150,COLUMN()/2+1,FALSE))),"")</f>
        <v/>
      </c>
      <c r="W72" s="113"/>
      <c r="X72" s="150" t="str">
        <f ca="1">IFERROR(VALUE(IF(VLOOKUP($A72,数出表_Excel!$A$6:$T$150,COLUMN()/2+1,FALSE)=0,"",VLOOKUP($A72,数出表_Excel!$A$6:$T$150,COLUMN()/2+1,FALSE))),"")</f>
        <v/>
      </c>
      <c r="Y72" s="113"/>
      <c r="Z72" s="150" t="str">
        <f ca="1">IFERROR(VALUE(IF(VLOOKUP($A72,数出表_Excel!$A$6:$T$150,COLUMN()/2+1,FALSE)=0,"",VLOOKUP($A72,数出表_Excel!$A$6:$T$150,COLUMN()/2+1,FALSE))),"")</f>
        <v/>
      </c>
      <c r="AA72" s="151"/>
      <c r="AB72" s="149" t="str">
        <f ca="1">IFERROR(VALUE(IF(VLOOKUP($A72,数出表_Excel!$A$6:$T$150,COLUMN()/2+1,FALSE)=0,"",VLOOKUP($A72,数出表_Excel!$A$6:$T$150,COLUMN()/2+1,FALSE))),"")</f>
        <v/>
      </c>
      <c r="AC72" s="113"/>
      <c r="AD72" s="150" t="str">
        <f ca="1">IFERROR(VALUE(IF(VLOOKUP($A72,数出表_Excel!$A$6:$T$150,COLUMN()/2+1,FALSE)=0,"",VLOOKUP($A72,数出表_Excel!$A$6:$T$150,COLUMN()/2+1,FALSE))),"")</f>
        <v/>
      </c>
      <c r="AE72" s="113"/>
      <c r="AF72" s="150" t="str">
        <f ca="1">IFERROR(VALUE(IF(VLOOKUP($A72,数出表_Excel!$A$6:$T$150,COLUMN()/2+1,FALSE)=0,"",VLOOKUP($A72,数出表_Excel!$A$6:$T$150,COLUMN()/2+1,FALSE))),"")</f>
        <v/>
      </c>
      <c r="AG72" s="113"/>
      <c r="AH72" s="150" t="str">
        <f ca="1">IFERROR(VALUE(IF(VLOOKUP($A72,数出表_Excel!$A$6:$T$150,COLUMN()/2+1,FALSE)=0,"",VLOOKUP($A72,数出表_Excel!$A$6:$T$150,COLUMN()/2+1,FALSE))),"")</f>
        <v/>
      </c>
      <c r="AI72" s="151"/>
      <c r="AJ72" s="149" t="str">
        <f ca="1">IFERROR(VALUE(IF(VLOOKUP($A72,数出表_Excel!$A$6:$T$150,COLUMN()/2+1,FALSE)=0,"",VLOOKUP($A72,数出表_Excel!$A$6:$T$150,COLUMN()/2+1,FALSE))),"")</f>
        <v/>
      </c>
      <c r="AK72" s="113"/>
      <c r="AL72" s="117" t="e">
        <f ca="1">IF(A72&lt;&gt;"",
IF(VLOOKUP($A72,数出表_Excel!$A$6:$T$150,COLUMN()/2+1,FALSE)=0,"",VLOOKUP($A72,数出表_Excel!$A$6:$T$150,COLUMN()/2+1,FALSE)),"")</f>
        <v>#N/A</v>
      </c>
      <c r="AM72" s="198" t="e">
        <f>数出表_Excel!V72</f>
        <v>#N/A</v>
      </c>
      <c r="AN72" s="199" t="e">
        <f>数出表_Excel!W72</f>
        <v>#N/A</v>
      </c>
    </row>
    <row r="73" spans="1:40" ht="16.2" customHeight="1">
      <c r="A73" s="161" t="e">
        <f t="array" aca="1" ref="A73" ca="1">IF(OR(COUNTIF(A71,"*1000*"),COUNTIF(A71,"")),"",INDEX(貼り付け用!$A1:$A200,MATCH(A71,貼り付け用!$A1:$A200,0)+2,0))</f>
        <v>#N/A</v>
      </c>
      <c r="B73" s="114" t="str">
        <f ca="1">IFERROR(VALUE(IF(VLOOKUP($A73,数出表_Excel!$A$6:$T$150,COLUMN()/2+1,FALSE)=0,"",VLOOKUP($A73,数出表_Excel!$A$6:$T$150,COLUMN()/2+1,FALSE))),"")</f>
        <v/>
      </c>
      <c r="C73" s="114"/>
      <c r="D73" s="114" t="str">
        <f ca="1">IFERROR(VALUE(IF(VLOOKUP($A73,数出表_Excel!$A$6:$T$150,COLUMN()/2+1,FALSE)=0,"",VLOOKUP($A73,数出表_Excel!$A$6:$T$150,COLUMN()/2+1,FALSE))),"")</f>
        <v/>
      </c>
      <c r="E73" s="114"/>
      <c r="F73" s="118" t="str">
        <f ca="1">IFERROR(VALUE(IF(VLOOKUP($A73,数出表_Excel!$A$6:$T$150,COLUMN()/2+1,FALSE)=0,"",VLOOKUP($A73,数出表_Excel!$A$6:$T$150,COLUMN()/2+1,FALSE))),"")</f>
        <v/>
      </c>
      <c r="G73" s="114"/>
      <c r="H73" s="114" t="str">
        <f ca="1">IFERROR(VALUE(IF(VLOOKUP($A73,数出表_Excel!$A$6:$T$150,COLUMN()/2+1,FALSE)=0,"",VLOOKUP($A73,数出表_Excel!$A$6:$T$150,COLUMN()/2+1,FALSE))),"")</f>
        <v/>
      </c>
      <c r="I73" s="114"/>
      <c r="J73" s="114" t="str">
        <f ca="1">IFERROR(VALUE(IF(VLOOKUP($A73,数出表_Excel!$A$6:$T$150,COLUMN()/2+1,FALSE)=0,"",VLOOKUP($A73,数出表_Excel!$A$6:$T$150,COLUMN()/2+1,FALSE))),"")</f>
        <v/>
      </c>
      <c r="K73" s="114"/>
      <c r="L73" s="118" t="str">
        <f ca="1">IFERROR(VALUE(IF(VLOOKUP($A73,数出表_Excel!$A$6:$T$150,COLUMN()/2+1,FALSE)=0,"",VLOOKUP($A73,数出表_Excel!$A$6:$T$150,COLUMN()/2+1,FALSE))),"")</f>
        <v/>
      </c>
      <c r="M73" s="114"/>
      <c r="N73" s="114" t="str">
        <f ca="1">IFERROR(VALUE(IF(VLOOKUP($A73,数出表_Excel!$A$6:$T$150,COLUMN()/2+1,FALSE)=0,"",VLOOKUP($A73,数出表_Excel!$A$6:$T$150,COLUMN()/2+1,FALSE))),"")</f>
        <v/>
      </c>
      <c r="O73" s="114"/>
      <c r="P73" s="114" t="str">
        <f ca="1">IFERROR(VALUE(IF(VLOOKUP($A73,数出表_Excel!$A$6:$T$150,COLUMN()/2+1,FALSE)=0,"",VLOOKUP($A73,数出表_Excel!$A$6:$T$150,COLUMN()/2+1,FALSE))),"")</f>
        <v/>
      </c>
      <c r="Q73" s="114"/>
      <c r="R73" s="114" t="str">
        <f ca="1">IFERROR(VALUE(IF(VLOOKUP($A73,数出表_Excel!$A$6:$T$150,COLUMN()/2+1,FALSE)=0,"",VLOOKUP($A73,数出表_Excel!$A$6:$T$150,COLUMN()/2+1,FALSE))),"")</f>
        <v/>
      </c>
      <c r="S73" s="114"/>
      <c r="T73" s="114" t="str">
        <f ca="1">IFERROR(VALUE(IF(VLOOKUP($A73,数出表_Excel!$A$6:$T$150,COLUMN()/2+1,FALSE)=0,"",VLOOKUP($A73,数出表_Excel!$A$6:$T$150,COLUMN()/2+1,FALSE))),"")</f>
        <v/>
      </c>
      <c r="U73" s="114"/>
      <c r="V73" s="118" t="str">
        <f ca="1">IFERROR(VALUE(IF(VLOOKUP($A73,数出表_Excel!$A$6:$T$150,COLUMN()/2+1,FALSE)=0,"",VLOOKUP($A73,数出表_Excel!$A$6:$T$150,COLUMN()/2+1,FALSE))),"")</f>
        <v/>
      </c>
      <c r="W73" s="114"/>
      <c r="X73" s="118" t="str">
        <f ca="1">IFERROR(VALUE(IF(VLOOKUP($A73,数出表_Excel!$A$6:$T$150,COLUMN()/2+1,FALSE)=0,"",VLOOKUP($A73,数出表_Excel!$A$6:$T$150,COLUMN()/2+1,FALSE))),"")</f>
        <v/>
      </c>
      <c r="Y73" s="114"/>
      <c r="Z73" s="118" t="str">
        <f ca="1">IFERROR(VALUE(IF(VLOOKUP($A73,数出表_Excel!$A$6:$T$150,COLUMN()/2+1,FALSE)=0,"",VLOOKUP($A73,数出表_Excel!$A$6:$T$150,COLUMN()/2+1,FALSE))),"")</f>
        <v/>
      </c>
      <c r="AA73" s="152"/>
      <c r="AB73" s="119" t="str">
        <f ca="1">IFERROR(VALUE(IF(VLOOKUP($A73,数出表_Excel!$A$6:$T$150,COLUMN()/2+1,FALSE)=0,"",VLOOKUP($A73,数出表_Excel!$A$6:$T$150,COLUMN()/2+1,FALSE))),"")</f>
        <v/>
      </c>
      <c r="AC73" s="114"/>
      <c r="AD73" s="118" t="str">
        <f ca="1">IFERROR(VALUE(IF(VLOOKUP($A73,数出表_Excel!$A$6:$T$150,COLUMN()/2+1,FALSE)=0,"",VLOOKUP($A73,数出表_Excel!$A$6:$T$150,COLUMN()/2+1,FALSE))),"")</f>
        <v/>
      </c>
      <c r="AE73" s="114"/>
      <c r="AF73" s="118" t="str">
        <f ca="1">IFERROR(VALUE(IF(VLOOKUP($A73,数出表_Excel!$A$6:$T$150,COLUMN()/2+1,FALSE)=0,"",VLOOKUP($A73,数出表_Excel!$A$6:$T$150,COLUMN()/2+1,FALSE))),"")</f>
        <v/>
      </c>
      <c r="AG73" s="114"/>
      <c r="AH73" s="118" t="str">
        <f ca="1">IFERROR(VALUE(IF(VLOOKUP($A73,数出表_Excel!$A$6:$T$150,COLUMN()/2+1,FALSE)=0,"",VLOOKUP($A73,数出表_Excel!$A$6:$T$150,COLUMN()/2+1,FALSE))),"")</f>
        <v/>
      </c>
      <c r="AI73" s="152"/>
      <c r="AJ73" s="119" t="str">
        <f ca="1">IFERROR(VALUE(IF(VLOOKUP($A73,数出表_Excel!$A$6:$T$150,COLUMN()/2+1,FALSE)=0,"",VLOOKUP($A73,数出表_Excel!$A$6:$T$150,COLUMN()/2+1,FALSE))),"")</f>
        <v/>
      </c>
      <c r="AK73" s="114"/>
      <c r="AL73" s="120" t="e">
        <f ca="1">IF(A73&lt;&gt;"",
IF(VLOOKUP($A73,数出表_Excel!$A$6:$T$150,COLUMN()/2+1,FALSE)=0,"",VLOOKUP($A73,数出表_Excel!$A$6:$T$150,COLUMN()/2+1,FALSE)),"")</f>
        <v>#N/A</v>
      </c>
      <c r="AM73" s="200" t="e">
        <f>数出表_Excel!V73</f>
        <v>#N/A</v>
      </c>
      <c r="AN73" s="201" t="e">
        <f>数出表_Excel!W73</f>
        <v>#N/A</v>
      </c>
    </row>
    <row r="74" spans="1:40" ht="16.2" customHeight="1">
      <c r="A74" s="160" t="e">
        <f t="array" aca="1" ref="A74" ca="1">IF(OR(COUNTIF(A72,"*10002*"),COUNTIF(A72,"")),"",INDEX(貼り付け用!$A1:$A200,MATCH(A72,貼り付け用!$A1:$A200,0)+2,0))</f>
        <v>#N/A</v>
      </c>
      <c r="B74" s="148" t="str">
        <f ca="1">IFERROR(VALUE(IF(VLOOKUP($A74,数出表_Excel!$A$6:$T$150,COLUMN()/2+1,FALSE)=0,"",VLOOKUP($A74,数出表_Excel!$A$6:$T$150,COLUMN()/2+1,FALSE))),"")</f>
        <v/>
      </c>
      <c r="C74" s="113"/>
      <c r="D74" s="148" t="str">
        <f ca="1">IFERROR(VALUE(IF(VLOOKUP($A74,数出表_Excel!$A$6:$T$150,COLUMN()/2+1,FALSE)=0,"",VLOOKUP($A74,数出表_Excel!$A$6:$T$150,COLUMN()/2+1,FALSE))),"")</f>
        <v/>
      </c>
      <c r="E74" s="113"/>
      <c r="F74" s="150" t="str">
        <f ca="1">IFERROR(VALUE(IF(VLOOKUP($A74,数出表_Excel!$A$6:$T$150,COLUMN()/2+1,FALSE)=0,"",VLOOKUP($A74,数出表_Excel!$A$6:$T$150,COLUMN()/2+1,FALSE))),"")</f>
        <v/>
      </c>
      <c r="G74" s="113"/>
      <c r="H74" s="148" t="str">
        <f ca="1">IFERROR(VALUE(IF(VLOOKUP($A74,数出表_Excel!$A$6:$T$150,COLUMN()/2+1,FALSE)=0,"",VLOOKUP($A74,数出表_Excel!$A$6:$T$150,COLUMN()/2+1,FALSE))),"")</f>
        <v/>
      </c>
      <c r="I74" s="113"/>
      <c r="J74" s="148" t="str">
        <f ca="1">IFERROR(VALUE(IF(VLOOKUP($A74,数出表_Excel!$A$6:$T$150,COLUMN()/2+1,FALSE)=0,"",VLOOKUP($A74,数出表_Excel!$A$6:$T$150,COLUMN()/2+1,FALSE))),"")</f>
        <v/>
      </c>
      <c r="K74" s="113"/>
      <c r="L74" s="150" t="str">
        <f ca="1">IFERROR(VALUE(IF(VLOOKUP($A74,数出表_Excel!$A$6:$T$150,COLUMN()/2+1,FALSE)=0,"",VLOOKUP($A74,数出表_Excel!$A$6:$T$150,COLUMN()/2+1,FALSE))),"")</f>
        <v/>
      </c>
      <c r="M74" s="113"/>
      <c r="N74" s="148" t="str">
        <f ca="1">IFERROR(VALUE(IF(VLOOKUP($A74,数出表_Excel!$A$6:$T$150,COLUMN()/2+1,FALSE)=0,"",VLOOKUP($A74,数出表_Excel!$A$6:$T$150,COLUMN()/2+1,FALSE))),"")</f>
        <v/>
      </c>
      <c r="O74" s="113"/>
      <c r="P74" s="148" t="str">
        <f ca="1">IFERROR(VALUE(IF(VLOOKUP($A74,数出表_Excel!$A$6:$T$150,COLUMN()/2+1,FALSE)=0,"",VLOOKUP($A74,数出表_Excel!$A$6:$T$150,COLUMN()/2+1,FALSE))),"")</f>
        <v/>
      </c>
      <c r="Q74" s="113"/>
      <c r="R74" s="148" t="str">
        <f ca="1">IFERROR(VALUE(IF(VLOOKUP($A74,数出表_Excel!$A$6:$T$150,COLUMN()/2+1,FALSE)=0,"",VLOOKUP($A74,数出表_Excel!$A$6:$T$150,COLUMN()/2+1,FALSE))),"")</f>
        <v/>
      </c>
      <c r="S74" s="113"/>
      <c r="T74" s="148" t="str">
        <f ca="1">IFERROR(VALUE(IF(VLOOKUP($A74,数出表_Excel!$A$6:$T$150,COLUMN()/2+1,FALSE)=0,"",VLOOKUP($A74,数出表_Excel!$A$6:$T$150,COLUMN()/2+1,FALSE))),"")</f>
        <v/>
      </c>
      <c r="U74" s="113"/>
      <c r="V74" s="150" t="str">
        <f ca="1">IFERROR(VALUE(IF(VLOOKUP($A74,数出表_Excel!$A$6:$T$150,COLUMN()/2+1,FALSE)=0,"",VLOOKUP($A74,数出表_Excel!$A$6:$T$150,COLUMN()/2+1,FALSE))),"")</f>
        <v/>
      </c>
      <c r="W74" s="113"/>
      <c r="X74" s="150" t="str">
        <f ca="1">IFERROR(VALUE(IF(VLOOKUP($A74,数出表_Excel!$A$6:$T$150,COLUMN()/2+1,FALSE)=0,"",VLOOKUP($A74,数出表_Excel!$A$6:$T$150,COLUMN()/2+1,FALSE))),"")</f>
        <v/>
      </c>
      <c r="Y74" s="113"/>
      <c r="Z74" s="150" t="str">
        <f ca="1">IFERROR(VALUE(IF(VLOOKUP($A74,数出表_Excel!$A$6:$T$150,COLUMN()/2+1,FALSE)=0,"",VLOOKUP($A74,数出表_Excel!$A$6:$T$150,COLUMN()/2+1,FALSE))),"")</f>
        <v/>
      </c>
      <c r="AA74" s="151"/>
      <c r="AB74" s="149" t="str">
        <f ca="1">IFERROR(VALUE(IF(VLOOKUP($A74,数出表_Excel!$A$6:$T$150,COLUMN()/2+1,FALSE)=0,"",VLOOKUP($A74,数出表_Excel!$A$6:$T$150,COLUMN()/2+1,FALSE))),"")</f>
        <v/>
      </c>
      <c r="AC74" s="113"/>
      <c r="AD74" s="150" t="str">
        <f ca="1">IFERROR(VALUE(IF(VLOOKUP($A74,数出表_Excel!$A$6:$T$150,COLUMN()/2+1,FALSE)=0,"",VLOOKUP($A74,数出表_Excel!$A$6:$T$150,COLUMN()/2+1,FALSE))),"")</f>
        <v/>
      </c>
      <c r="AE74" s="113"/>
      <c r="AF74" s="150" t="str">
        <f ca="1">IFERROR(VALUE(IF(VLOOKUP($A74,数出表_Excel!$A$6:$T$150,COLUMN()/2+1,FALSE)=0,"",VLOOKUP($A74,数出表_Excel!$A$6:$T$150,COLUMN()/2+1,FALSE))),"")</f>
        <v/>
      </c>
      <c r="AG74" s="113"/>
      <c r="AH74" s="150" t="str">
        <f ca="1">IFERROR(VALUE(IF(VLOOKUP($A74,数出表_Excel!$A$6:$T$150,COLUMN()/2+1,FALSE)=0,"",VLOOKUP($A74,数出表_Excel!$A$6:$T$150,COLUMN()/2+1,FALSE))),"")</f>
        <v/>
      </c>
      <c r="AI74" s="151"/>
      <c r="AJ74" s="149" t="str">
        <f ca="1">IFERROR(VALUE(IF(VLOOKUP($A74,数出表_Excel!$A$6:$T$150,COLUMN()/2+1,FALSE)=0,"",VLOOKUP($A74,数出表_Excel!$A$6:$T$150,COLUMN()/2+1,FALSE))),"")</f>
        <v/>
      </c>
      <c r="AK74" s="113"/>
      <c r="AL74" s="117" t="e">
        <f ca="1">IF(A74&lt;&gt;"",
IF(VLOOKUP($A74,数出表_Excel!$A$6:$T$150,COLUMN()/2+1,FALSE)=0,"",VLOOKUP($A74,数出表_Excel!$A$6:$T$150,COLUMN()/2+1,FALSE)),"")</f>
        <v>#N/A</v>
      </c>
      <c r="AM74" s="198" t="e">
        <f>数出表_Excel!V74</f>
        <v>#N/A</v>
      </c>
      <c r="AN74" s="199" t="e">
        <f>数出表_Excel!W74</f>
        <v>#N/A</v>
      </c>
    </row>
    <row r="75" spans="1:40" ht="16.2" customHeight="1">
      <c r="A75" s="161" t="e">
        <f t="array" aca="1" ref="A75" ca="1">IF(OR(COUNTIF(A73,"*1000*"),COUNTIF(A73,"")),"",INDEX(貼り付け用!$A1:$A200,MATCH(A73,貼り付け用!$A1:$A200,0)+2,0))</f>
        <v>#N/A</v>
      </c>
      <c r="B75" s="114" t="str">
        <f ca="1">IFERROR(VALUE(IF(VLOOKUP($A75,数出表_Excel!$A$6:$T$150,COLUMN()/2+1,FALSE)=0,"",VLOOKUP($A75,数出表_Excel!$A$6:$T$150,COLUMN()/2+1,FALSE))),"")</f>
        <v/>
      </c>
      <c r="C75" s="114"/>
      <c r="D75" s="114" t="str">
        <f ca="1">IFERROR(VALUE(IF(VLOOKUP($A75,数出表_Excel!$A$6:$T$150,COLUMN()/2+1,FALSE)=0,"",VLOOKUP($A75,数出表_Excel!$A$6:$T$150,COLUMN()/2+1,FALSE))),"")</f>
        <v/>
      </c>
      <c r="E75" s="114"/>
      <c r="F75" s="118" t="str">
        <f ca="1">IFERROR(VALUE(IF(VLOOKUP($A75,数出表_Excel!$A$6:$T$150,COLUMN()/2+1,FALSE)=0,"",VLOOKUP($A75,数出表_Excel!$A$6:$T$150,COLUMN()/2+1,FALSE))),"")</f>
        <v/>
      </c>
      <c r="G75" s="114"/>
      <c r="H75" s="114" t="str">
        <f ca="1">IFERROR(VALUE(IF(VLOOKUP($A75,数出表_Excel!$A$6:$T$150,COLUMN()/2+1,FALSE)=0,"",VLOOKUP($A75,数出表_Excel!$A$6:$T$150,COLUMN()/2+1,FALSE))),"")</f>
        <v/>
      </c>
      <c r="I75" s="114"/>
      <c r="J75" s="114" t="str">
        <f ca="1">IFERROR(VALUE(IF(VLOOKUP($A75,数出表_Excel!$A$6:$T$150,COLUMN()/2+1,FALSE)=0,"",VLOOKUP($A75,数出表_Excel!$A$6:$T$150,COLUMN()/2+1,FALSE))),"")</f>
        <v/>
      </c>
      <c r="K75" s="114"/>
      <c r="L75" s="118" t="str">
        <f ca="1">IFERROR(VALUE(IF(VLOOKUP($A75,数出表_Excel!$A$6:$T$150,COLUMN()/2+1,FALSE)=0,"",VLOOKUP($A75,数出表_Excel!$A$6:$T$150,COLUMN()/2+1,FALSE))),"")</f>
        <v/>
      </c>
      <c r="M75" s="114"/>
      <c r="N75" s="114" t="str">
        <f ca="1">IFERROR(VALUE(IF(VLOOKUP($A75,数出表_Excel!$A$6:$T$150,COLUMN()/2+1,FALSE)=0,"",VLOOKUP($A75,数出表_Excel!$A$6:$T$150,COLUMN()/2+1,FALSE))),"")</f>
        <v/>
      </c>
      <c r="O75" s="114"/>
      <c r="P75" s="114" t="str">
        <f ca="1">IFERROR(VALUE(IF(VLOOKUP($A75,数出表_Excel!$A$6:$T$150,COLUMN()/2+1,FALSE)=0,"",VLOOKUP($A75,数出表_Excel!$A$6:$T$150,COLUMN()/2+1,FALSE))),"")</f>
        <v/>
      </c>
      <c r="Q75" s="114"/>
      <c r="R75" s="114" t="str">
        <f ca="1">IFERROR(VALUE(IF(VLOOKUP($A75,数出表_Excel!$A$6:$T$150,COLUMN()/2+1,FALSE)=0,"",VLOOKUP($A75,数出表_Excel!$A$6:$T$150,COLUMN()/2+1,FALSE))),"")</f>
        <v/>
      </c>
      <c r="S75" s="114"/>
      <c r="T75" s="114" t="str">
        <f ca="1">IFERROR(VALUE(IF(VLOOKUP($A75,数出表_Excel!$A$6:$T$150,COLUMN()/2+1,FALSE)=0,"",VLOOKUP($A75,数出表_Excel!$A$6:$T$150,COLUMN()/2+1,FALSE))),"")</f>
        <v/>
      </c>
      <c r="U75" s="114"/>
      <c r="V75" s="118" t="str">
        <f ca="1">IFERROR(VALUE(IF(VLOOKUP($A75,数出表_Excel!$A$6:$T$150,COLUMN()/2+1,FALSE)=0,"",VLOOKUP($A75,数出表_Excel!$A$6:$T$150,COLUMN()/2+1,FALSE))),"")</f>
        <v/>
      </c>
      <c r="W75" s="114"/>
      <c r="X75" s="118" t="str">
        <f ca="1">IFERROR(VALUE(IF(VLOOKUP($A75,数出表_Excel!$A$6:$T$150,COLUMN()/2+1,FALSE)=0,"",VLOOKUP($A75,数出表_Excel!$A$6:$T$150,COLUMN()/2+1,FALSE))),"")</f>
        <v/>
      </c>
      <c r="Y75" s="114"/>
      <c r="Z75" s="118" t="str">
        <f ca="1">IFERROR(VALUE(IF(VLOOKUP($A75,数出表_Excel!$A$6:$T$150,COLUMN()/2+1,FALSE)=0,"",VLOOKUP($A75,数出表_Excel!$A$6:$T$150,COLUMN()/2+1,FALSE))),"")</f>
        <v/>
      </c>
      <c r="AA75" s="152"/>
      <c r="AB75" s="119" t="str">
        <f ca="1">IFERROR(VALUE(IF(VLOOKUP($A75,数出表_Excel!$A$6:$T$150,COLUMN()/2+1,FALSE)=0,"",VLOOKUP($A75,数出表_Excel!$A$6:$T$150,COLUMN()/2+1,FALSE))),"")</f>
        <v/>
      </c>
      <c r="AC75" s="114"/>
      <c r="AD75" s="118" t="str">
        <f ca="1">IFERROR(VALUE(IF(VLOOKUP($A75,数出表_Excel!$A$6:$T$150,COLUMN()/2+1,FALSE)=0,"",VLOOKUP($A75,数出表_Excel!$A$6:$T$150,COLUMN()/2+1,FALSE))),"")</f>
        <v/>
      </c>
      <c r="AE75" s="114"/>
      <c r="AF75" s="118" t="str">
        <f ca="1">IFERROR(VALUE(IF(VLOOKUP($A75,数出表_Excel!$A$6:$T$150,COLUMN()/2+1,FALSE)=0,"",VLOOKUP($A75,数出表_Excel!$A$6:$T$150,COLUMN()/2+1,FALSE))),"")</f>
        <v/>
      </c>
      <c r="AG75" s="114"/>
      <c r="AH75" s="118" t="str">
        <f ca="1">IFERROR(VALUE(IF(VLOOKUP($A75,数出表_Excel!$A$6:$T$150,COLUMN()/2+1,FALSE)=0,"",VLOOKUP($A75,数出表_Excel!$A$6:$T$150,COLUMN()/2+1,FALSE))),"")</f>
        <v/>
      </c>
      <c r="AI75" s="152"/>
      <c r="AJ75" s="119" t="str">
        <f ca="1">IFERROR(VALUE(IF(VLOOKUP($A75,数出表_Excel!$A$6:$T$150,COLUMN()/2+1,FALSE)=0,"",VLOOKUP($A75,数出表_Excel!$A$6:$T$150,COLUMN()/2+1,FALSE))),"")</f>
        <v/>
      </c>
      <c r="AK75" s="114"/>
      <c r="AL75" s="120" t="e">
        <f ca="1">IF(A75&lt;&gt;"",
IF(VLOOKUP($A75,数出表_Excel!$A$6:$T$150,COLUMN()/2+1,FALSE)=0,"",VLOOKUP($A75,数出表_Excel!$A$6:$T$150,COLUMN()/2+1,FALSE)),"")</f>
        <v>#N/A</v>
      </c>
      <c r="AM75" s="200" t="e">
        <f>数出表_Excel!V75</f>
        <v>#N/A</v>
      </c>
      <c r="AN75" s="201" t="e">
        <f>数出表_Excel!W75</f>
        <v>#N/A</v>
      </c>
    </row>
    <row r="76" spans="1:40" ht="16.2" customHeight="1">
      <c r="A76" s="160" t="e">
        <f t="array" aca="1" ref="A76" ca="1">IF(OR(COUNTIF(A74,"*10002*"),COUNTIF(A74,"")),"",INDEX(貼り付け用!$A1:$A200,MATCH(A74,貼り付け用!$A1:$A200,0)+2,0))</f>
        <v>#N/A</v>
      </c>
      <c r="B76" s="148" t="str">
        <f ca="1">IFERROR(VALUE(IF(VLOOKUP($A76,数出表_Excel!$A$6:$T$150,COLUMN()/2+1,FALSE)=0,"",VLOOKUP($A76,数出表_Excel!$A$6:$T$150,COLUMN()/2+1,FALSE))),"")</f>
        <v/>
      </c>
      <c r="C76" s="113"/>
      <c r="D76" s="148" t="str">
        <f ca="1">IFERROR(VALUE(IF(VLOOKUP($A76,数出表_Excel!$A$6:$T$150,COLUMN()/2+1,FALSE)=0,"",VLOOKUP($A76,数出表_Excel!$A$6:$T$150,COLUMN()/2+1,FALSE))),"")</f>
        <v/>
      </c>
      <c r="E76" s="113"/>
      <c r="F76" s="150" t="str">
        <f ca="1">IFERROR(VALUE(IF(VLOOKUP($A76,数出表_Excel!$A$6:$T$150,COLUMN()/2+1,FALSE)=0,"",VLOOKUP($A76,数出表_Excel!$A$6:$T$150,COLUMN()/2+1,FALSE))),"")</f>
        <v/>
      </c>
      <c r="G76" s="113"/>
      <c r="H76" s="148" t="str">
        <f ca="1">IFERROR(VALUE(IF(VLOOKUP($A76,数出表_Excel!$A$6:$T$150,COLUMN()/2+1,FALSE)=0,"",VLOOKUP($A76,数出表_Excel!$A$6:$T$150,COLUMN()/2+1,FALSE))),"")</f>
        <v/>
      </c>
      <c r="I76" s="113"/>
      <c r="J76" s="148" t="str">
        <f ca="1">IFERROR(VALUE(IF(VLOOKUP($A76,数出表_Excel!$A$6:$T$150,COLUMN()/2+1,FALSE)=0,"",VLOOKUP($A76,数出表_Excel!$A$6:$T$150,COLUMN()/2+1,FALSE))),"")</f>
        <v/>
      </c>
      <c r="K76" s="113"/>
      <c r="L76" s="150" t="str">
        <f ca="1">IFERROR(VALUE(IF(VLOOKUP($A76,数出表_Excel!$A$6:$T$150,COLUMN()/2+1,FALSE)=0,"",VLOOKUP($A76,数出表_Excel!$A$6:$T$150,COLUMN()/2+1,FALSE))),"")</f>
        <v/>
      </c>
      <c r="M76" s="113"/>
      <c r="N76" s="148" t="str">
        <f ca="1">IFERROR(VALUE(IF(VLOOKUP($A76,数出表_Excel!$A$6:$T$150,COLUMN()/2+1,FALSE)=0,"",VLOOKUP($A76,数出表_Excel!$A$6:$T$150,COLUMN()/2+1,FALSE))),"")</f>
        <v/>
      </c>
      <c r="O76" s="113"/>
      <c r="P76" s="148" t="str">
        <f ca="1">IFERROR(VALUE(IF(VLOOKUP($A76,数出表_Excel!$A$6:$T$150,COLUMN()/2+1,FALSE)=0,"",VLOOKUP($A76,数出表_Excel!$A$6:$T$150,COLUMN()/2+1,FALSE))),"")</f>
        <v/>
      </c>
      <c r="Q76" s="113"/>
      <c r="R76" s="148" t="str">
        <f ca="1">IFERROR(VALUE(IF(VLOOKUP($A76,数出表_Excel!$A$6:$T$150,COLUMN()/2+1,FALSE)=0,"",VLOOKUP($A76,数出表_Excel!$A$6:$T$150,COLUMN()/2+1,FALSE))),"")</f>
        <v/>
      </c>
      <c r="S76" s="113"/>
      <c r="T76" s="148" t="str">
        <f ca="1">IFERROR(VALUE(IF(VLOOKUP($A76,数出表_Excel!$A$6:$T$150,COLUMN()/2+1,FALSE)=0,"",VLOOKUP($A76,数出表_Excel!$A$6:$T$150,COLUMN()/2+1,FALSE))),"")</f>
        <v/>
      </c>
      <c r="U76" s="113"/>
      <c r="V76" s="150" t="str">
        <f ca="1">IFERROR(VALUE(IF(VLOOKUP($A76,数出表_Excel!$A$6:$T$150,COLUMN()/2+1,FALSE)=0,"",VLOOKUP($A76,数出表_Excel!$A$6:$T$150,COLUMN()/2+1,FALSE))),"")</f>
        <v/>
      </c>
      <c r="W76" s="113"/>
      <c r="X76" s="150" t="str">
        <f ca="1">IFERROR(VALUE(IF(VLOOKUP($A76,数出表_Excel!$A$6:$T$150,COLUMN()/2+1,FALSE)=0,"",VLOOKUP($A76,数出表_Excel!$A$6:$T$150,COLUMN()/2+1,FALSE))),"")</f>
        <v/>
      </c>
      <c r="Y76" s="113"/>
      <c r="Z76" s="150" t="str">
        <f ca="1">IFERROR(VALUE(IF(VLOOKUP($A76,数出表_Excel!$A$6:$T$150,COLUMN()/2+1,FALSE)=0,"",VLOOKUP($A76,数出表_Excel!$A$6:$T$150,COLUMN()/2+1,FALSE))),"")</f>
        <v/>
      </c>
      <c r="AA76" s="151"/>
      <c r="AB76" s="149" t="str">
        <f ca="1">IFERROR(VALUE(IF(VLOOKUP($A76,数出表_Excel!$A$6:$T$150,COLUMN()/2+1,FALSE)=0,"",VLOOKUP($A76,数出表_Excel!$A$6:$T$150,COLUMN()/2+1,FALSE))),"")</f>
        <v/>
      </c>
      <c r="AC76" s="113"/>
      <c r="AD76" s="150" t="str">
        <f ca="1">IFERROR(VALUE(IF(VLOOKUP($A76,数出表_Excel!$A$6:$T$150,COLUMN()/2+1,FALSE)=0,"",VLOOKUP($A76,数出表_Excel!$A$6:$T$150,COLUMN()/2+1,FALSE))),"")</f>
        <v/>
      </c>
      <c r="AE76" s="113"/>
      <c r="AF76" s="150" t="str">
        <f ca="1">IFERROR(VALUE(IF(VLOOKUP($A76,数出表_Excel!$A$6:$T$150,COLUMN()/2+1,FALSE)=0,"",VLOOKUP($A76,数出表_Excel!$A$6:$T$150,COLUMN()/2+1,FALSE))),"")</f>
        <v/>
      </c>
      <c r="AG76" s="113"/>
      <c r="AH76" s="150" t="str">
        <f ca="1">IFERROR(VALUE(IF(VLOOKUP($A76,数出表_Excel!$A$6:$T$150,COLUMN()/2+1,FALSE)=0,"",VLOOKUP($A76,数出表_Excel!$A$6:$T$150,COLUMN()/2+1,FALSE))),"")</f>
        <v/>
      </c>
      <c r="AI76" s="151"/>
      <c r="AJ76" s="149" t="str">
        <f ca="1">IFERROR(VALUE(IF(VLOOKUP($A76,数出表_Excel!$A$6:$T$150,COLUMN()/2+1,FALSE)=0,"",VLOOKUP($A76,数出表_Excel!$A$6:$T$150,COLUMN()/2+1,FALSE))),"")</f>
        <v/>
      </c>
      <c r="AK76" s="113"/>
      <c r="AL76" s="117" t="e">
        <f ca="1">IF(A76&lt;&gt;"",
IF(VLOOKUP($A76,数出表_Excel!$A$6:$T$150,COLUMN()/2+1,FALSE)=0,"",VLOOKUP($A76,数出表_Excel!$A$6:$T$150,COLUMN()/2+1,FALSE)),"")</f>
        <v>#N/A</v>
      </c>
      <c r="AM76" s="198" t="e">
        <f>数出表_Excel!V76</f>
        <v>#N/A</v>
      </c>
      <c r="AN76" s="199" t="e">
        <f>数出表_Excel!W76</f>
        <v>#N/A</v>
      </c>
    </row>
    <row r="77" spans="1:40" ht="16.2" customHeight="1">
      <c r="A77" s="161" t="e">
        <f t="array" aca="1" ref="A77" ca="1">IF(OR(COUNTIF(A75,"*1000*"),COUNTIF(A75,"")),"",INDEX(貼り付け用!$A1:$A200,MATCH(A75,貼り付け用!$A1:$A200,0)+2,0))</f>
        <v>#N/A</v>
      </c>
      <c r="B77" s="114" t="str">
        <f ca="1">IFERROR(VALUE(IF(VLOOKUP($A77,数出表_Excel!$A$6:$T$150,COLUMN()/2+1,FALSE)=0,"",VLOOKUP($A77,数出表_Excel!$A$6:$T$150,COLUMN()/2+1,FALSE))),"")</f>
        <v/>
      </c>
      <c r="C77" s="114"/>
      <c r="D77" s="114" t="str">
        <f ca="1">IFERROR(VALUE(IF(VLOOKUP($A77,数出表_Excel!$A$6:$T$150,COLUMN()/2+1,FALSE)=0,"",VLOOKUP($A77,数出表_Excel!$A$6:$T$150,COLUMN()/2+1,FALSE))),"")</f>
        <v/>
      </c>
      <c r="E77" s="114"/>
      <c r="F77" s="118" t="str">
        <f ca="1">IFERROR(VALUE(IF(VLOOKUP($A77,数出表_Excel!$A$6:$T$150,COLUMN()/2+1,FALSE)=0,"",VLOOKUP($A77,数出表_Excel!$A$6:$T$150,COLUMN()/2+1,FALSE))),"")</f>
        <v/>
      </c>
      <c r="G77" s="114"/>
      <c r="H77" s="114" t="str">
        <f ca="1">IFERROR(VALUE(IF(VLOOKUP($A77,数出表_Excel!$A$6:$T$150,COLUMN()/2+1,FALSE)=0,"",VLOOKUP($A77,数出表_Excel!$A$6:$T$150,COLUMN()/2+1,FALSE))),"")</f>
        <v/>
      </c>
      <c r="I77" s="114"/>
      <c r="J77" s="114" t="str">
        <f ca="1">IFERROR(VALUE(IF(VLOOKUP($A77,数出表_Excel!$A$6:$T$150,COLUMN()/2+1,FALSE)=0,"",VLOOKUP($A77,数出表_Excel!$A$6:$T$150,COLUMN()/2+1,FALSE))),"")</f>
        <v/>
      </c>
      <c r="K77" s="114"/>
      <c r="L77" s="118" t="str">
        <f ca="1">IFERROR(VALUE(IF(VLOOKUP($A77,数出表_Excel!$A$6:$T$150,COLUMN()/2+1,FALSE)=0,"",VLOOKUP($A77,数出表_Excel!$A$6:$T$150,COLUMN()/2+1,FALSE))),"")</f>
        <v/>
      </c>
      <c r="M77" s="114"/>
      <c r="N77" s="114" t="str">
        <f ca="1">IFERROR(VALUE(IF(VLOOKUP($A77,数出表_Excel!$A$6:$T$150,COLUMN()/2+1,FALSE)=0,"",VLOOKUP($A77,数出表_Excel!$A$6:$T$150,COLUMN()/2+1,FALSE))),"")</f>
        <v/>
      </c>
      <c r="O77" s="114"/>
      <c r="P77" s="114" t="str">
        <f ca="1">IFERROR(VALUE(IF(VLOOKUP($A77,数出表_Excel!$A$6:$T$150,COLUMN()/2+1,FALSE)=0,"",VLOOKUP($A77,数出表_Excel!$A$6:$T$150,COLUMN()/2+1,FALSE))),"")</f>
        <v/>
      </c>
      <c r="Q77" s="114"/>
      <c r="R77" s="114" t="str">
        <f ca="1">IFERROR(VALUE(IF(VLOOKUP($A77,数出表_Excel!$A$6:$T$150,COLUMN()/2+1,FALSE)=0,"",VLOOKUP($A77,数出表_Excel!$A$6:$T$150,COLUMN()/2+1,FALSE))),"")</f>
        <v/>
      </c>
      <c r="S77" s="114"/>
      <c r="T77" s="114" t="str">
        <f ca="1">IFERROR(VALUE(IF(VLOOKUP($A77,数出表_Excel!$A$6:$T$150,COLUMN()/2+1,FALSE)=0,"",VLOOKUP($A77,数出表_Excel!$A$6:$T$150,COLUMN()/2+1,FALSE))),"")</f>
        <v/>
      </c>
      <c r="U77" s="114"/>
      <c r="V77" s="118" t="str">
        <f ca="1">IFERROR(VALUE(IF(VLOOKUP($A77,数出表_Excel!$A$6:$T$150,COLUMN()/2+1,FALSE)=0,"",VLOOKUP($A77,数出表_Excel!$A$6:$T$150,COLUMN()/2+1,FALSE))),"")</f>
        <v/>
      </c>
      <c r="W77" s="114"/>
      <c r="X77" s="118" t="str">
        <f ca="1">IFERROR(VALUE(IF(VLOOKUP($A77,数出表_Excel!$A$6:$T$150,COLUMN()/2+1,FALSE)=0,"",VLOOKUP($A77,数出表_Excel!$A$6:$T$150,COLUMN()/2+1,FALSE))),"")</f>
        <v/>
      </c>
      <c r="Y77" s="114"/>
      <c r="Z77" s="118" t="str">
        <f ca="1">IFERROR(VALUE(IF(VLOOKUP($A77,数出表_Excel!$A$6:$T$150,COLUMN()/2+1,FALSE)=0,"",VLOOKUP($A77,数出表_Excel!$A$6:$T$150,COLUMN()/2+1,FALSE))),"")</f>
        <v/>
      </c>
      <c r="AA77" s="152"/>
      <c r="AB77" s="119" t="str">
        <f ca="1">IFERROR(VALUE(IF(VLOOKUP($A77,数出表_Excel!$A$6:$T$150,COLUMN()/2+1,FALSE)=0,"",VLOOKUP($A77,数出表_Excel!$A$6:$T$150,COLUMN()/2+1,FALSE))),"")</f>
        <v/>
      </c>
      <c r="AC77" s="114"/>
      <c r="AD77" s="118" t="str">
        <f ca="1">IFERROR(VALUE(IF(VLOOKUP($A77,数出表_Excel!$A$6:$T$150,COLUMN()/2+1,FALSE)=0,"",VLOOKUP($A77,数出表_Excel!$A$6:$T$150,COLUMN()/2+1,FALSE))),"")</f>
        <v/>
      </c>
      <c r="AE77" s="114"/>
      <c r="AF77" s="118" t="str">
        <f ca="1">IFERROR(VALUE(IF(VLOOKUP($A77,数出表_Excel!$A$6:$T$150,COLUMN()/2+1,FALSE)=0,"",VLOOKUP($A77,数出表_Excel!$A$6:$T$150,COLUMN()/2+1,FALSE))),"")</f>
        <v/>
      </c>
      <c r="AG77" s="114"/>
      <c r="AH77" s="118" t="str">
        <f ca="1">IFERROR(VALUE(IF(VLOOKUP($A77,数出表_Excel!$A$6:$T$150,COLUMN()/2+1,FALSE)=0,"",VLOOKUP($A77,数出表_Excel!$A$6:$T$150,COLUMN()/2+1,FALSE))),"")</f>
        <v/>
      </c>
      <c r="AI77" s="152"/>
      <c r="AJ77" s="119" t="str">
        <f ca="1">IFERROR(VALUE(IF(VLOOKUP($A77,数出表_Excel!$A$6:$T$150,COLUMN()/2+1,FALSE)=0,"",VLOOKUP($A77,数出表_Excel!$A$6:$T$150,COLUMN()/2+1,FALSE))),"")</f>
        <v/>
      </c>
      <c r="AK77" s="114"/>
      <c r="AL77" s="120" t="e">
        <f ca="1">IF(A77&lt;&gt;"",
IF(VLOOKUP($A77,数出表_Excel!$A$6:$T$150,COLUMN()/2+1,FALSE)=0,"",VLOOKUP($A77,数出表_Excel!$A$6:$T$150,COLUMN()/2+1,FALSE)),"")</f>
        <v>#N/A</v>
      </c>
      <c r="AM77" s="200" t="e">
        <f>数出表_Excel!V77</f>
        <v>#N/A</v>
      </c>
      <c r="AN77" s="201" t="e">
        <f>数出表_Excel!W77</f>
        <v>#N/A</v>
      </c>
    </row>
    <row r="78" spans="1:40" ht="16.2" customHeight="1">
      <c r="A78" s="160" t="e">
        <f t="array" aca="1" ref="A78" ca="1">IF(OR(COUNTIF(A76,"*10002*"),COUNTIF(A76,"")),"",INDEX(貼り付け用!$A1:$A200,MATCH(A76,貼り付け用!$A1:$A200,0)+2,0))</f>
        <v>#N/A</v>
      </c>
      <c r="B78" s="148" t="str">
        <f ca="1">IFERROR(VALUE(IF(VLOOKUP($A78,数出表_Excel!$A$6:$T$150,COLUMN()/2+1,FALSE)=0,"",VLOOKUP($A78,数出表_Excel!$A$6:$T$150,COLUMN()/2+1,FALSE))),"")</f>
        <v/>
      </c>
      <c r="C78" s="113"/>
      <c r="D78" s="148" t="str">
        <f ca="1">IFERROR(VALUE(IF(VLOOKUP($A78,数出表_Excel!$A$6:$T$150,COLUMN()/2+1,FALSE)=0,"",VLOOKUP($A78,数出表_Excel!$A$6:$T$150,COLUMN()/2+1,FALSE))),"")</f>
        <v/>
      </c>
      <c r="E78" s="113"/>
      <c r="F78" s="150" t="str">
        <f ca="1">IFERROR(VALUE(IF(VLOOKUP($A78,数出表_Excel!$A$6:$T$150,COLUMN()/2+1,FALSE)=0,"",VLOOKUP($A78,数出表_Excel!$A$6:$T$150,COLUMN()/2+1,FALSE))),"")</f>
        <v/>
      </c>
      <c r="G78" s="113"/>
      <c r="H78" s="148" t="str">
        <f ca="1">IFERROR(VALUE(IF(VLOOKUP($A78,数出表_Excel!$A$6:$T$150,COLUMN()/2+1,FALSE)=0,"",VLOOKUP($A78,数出表_Excel!$A$6:$T$150,COLUMN()/2+1,FALSE))),"")</f>
        <v/>
      </c>
      <c r="I78" s="113"/>
      <c r="J78" s="148" t="str">
        <f ca="1">IFERROR(VALUE(IF(VLOOKUP($A78,数出表_Excel!$A$6:$T$150,COLUMN()/2+1,FALSE)=0,"",VLOOKUP($A78,数出表_Excel!$A$6:$T$150,COLUMN()/2+1,FALSE))),"")</f>
        <v/>
      </c>
      <c r="K78" s="113"/>
      <c r="L78" s="150" t="str">
        <f ca="1">IFERROR(VALUE(IF(VLOOKUP($A78,数出表_Excel!$A$6:$T$150,COLUMN()/2+1,FALSE)=0,"",VLOOKUP($A78,数出表_Excel!$A$6:$T$150,COLUMN()/2+1,FALSE))),"")</f>
        <v/>
      </c>
      <c r="M78" s="113"/>
      <c r="N78" s="148" t="str">
        <f ca="1">IFERROR(VALUE(IF(VLOOKUP($A78,数出表_Excel!$A$6:$T$150,COLUMN()/2+1,FALSE)=0,"",VLOOKUP($A78,数出表_Excel!$A$6:$T$150,COLUMN()/2+1,FALSE))),"")</f>
        <v/>
      </c>
      <c r="O78" s="113"/>
      <c r="P78" s="148" t="str">
        <f ca="1">IFERROR(VALUE(IF(VLOOKUP($A78,数出表_Excel!$A$6:$T$150,COLUMN()/2+1,FALSE)=0,"",VLOOKUP($A78,数出表_Excel!$A$6:$T$150,COLUMN()/2+1,FALSE))),"")</f>
        <v/>
      </c>
      <c r="Q78" s="113"/>
      <c r="R78" s="148" t="str">
        <f ca="1">IFERROR(VALUE(IF(VLOOKUP($A78,数出表_Excel!$A$6:$T$150,COLUMN()/2+1,FALSE)=0,"",VLOOKUP($A78,数出表_Excel!$A$6:$T$150,COLUMN()/2+1,FALSE))),"")</f>
        <v/>
      </c>
      <c r="S78" s="113"/>
      <c r="T78" s="148" t="str">
        <f ca="1">IFERROR(VALUE(IF(VLOOKUP($A78,数出表_Excel!$A$6:$T$150,COLUMN()/2+1,FALSE)=0,"",VLOOKUP($A78,数出表_Excel!$A$6:$T$150,COLUMN()/2+1,FALSE))),"")</f>
        <v/>
      </c>
      <c r="U78" s="113"/>
      <c r="V78" s="150" t="str">
        <f ca="1">IFERROR(VALUE(IF(VLOOKUP($A78,数出表_Excel!$A$6:$T$150,COLUMN()/2+1,FALSE)=0,"",VLOOKUP($A78,数出表_Excel!$A$6:$T$150,COLUMN()/2+1,FALSE))),"")</f>
        <v/>
      </c>
      <c r="W78" s="113"/>
      <c r="X78" s="150" t="str">
        <f ca="1">IFERROR(VALUE(IF(VLOOKUP($A78,数出表_Excel!$A$6:$T$150,COLUMN()/2+1,FALSE)=0,"",VLOOKUP($A78,数出表_Excel!$A$6:$T$150,COLUMN()/2+1,FALSE))),"")</f>
        <v/>
      </c>
      <c r="Y78" s="113"/>
      <c r="Z78" s="150" t="str">
        <f ca="1">IFERROR(VALUE(IF(VLOOKUP($A78,数出表_Excel!$A$6:$T$150,COLUMN()/2+1,FALSE)=0,"",VLOOKUP($A78,数出表_Excel!$A$6:$T$150,COLUMN()/2+1,FALSE))),"")</f>
        <v/>
      </c>
      <c r="AA78" s="151"/>
      <c r="AB78" s="149" t="str">
        <f ca="1">IFERROR(VALUE(IF(VLOOKUP($A78,数出表_Excel!$A$6:$T$150,COLUMN()/2+1,FALSE)=0,"",VLOOKUP($A78,数出表_Excel!$A$6:$T$150,COLUMN()/2+1,FALSE))),"")</f>
        <v/>
      </c>
      <c r="AC78" s="113"/>
      <c r="AD78" s="150" t="str">
        <f ca="1">IFERROR(VALUE(IF(VLOOKUP($A78,数出表_Excel!$A$6:$T$150,COLUMN()/2+1,FALSE)=0,"",VLOOKUP($A78,数出表_Excel!$A$6:$T$150,COLUMN()/2+1,FALSE))),"")</f>
        <v/>
      </c>
      <c r="AE78" s="113"/>
      <c r="AF78" s="150" t="str">
        <f ca="1">IFERROR(VALUE(IF(VLOOKUP($A78,数出表_Excel!$A$6:$T$150,COLUMN()/2+1,FALSE)=0,"",VLOOKUP($A78,数出表_Excel!$A$6:$T$150,COLUMN()/2+1,FALSE))),"")</f>
        <v/>
      </c>
      <c r="AG78" s="113"/>
      <c r="AH78" s="150" t="str">
        <f ca="1">IFERROR(VALUE(IF(VLOOKUP($A78,数出表_Excel!$A$6:$T$150,COLUMN()/2+1,FALSE)=0,"",VLOOKUP($A78,数出表_Excel!$A$6:$T$150,COLUMN()/2+1,FALSE))),"")</f>
        <v/>
      </c>
      <c r="AI78" s="151"/>
      <c r="AJ78" s="149" t="str">
        <f ca="1">IFERROR(VALUE(IF(VLOOKUP($A78,数出表_Excel!$A$6:$T$150,COLUMN()/2+1,FALSE)=0,"",VLOOKUP($A78,数出表_Excel!$A$6:$T$150,COLUMN()/2+1,FALSE))),"")</f>
        <v/>
      </c>
      <c r="AK78" s="113"/>
      <c r="AL78" s="117" t="e">
        <f ca="1">IF(A78&lt;&gt;"",
IF(VLOOKUP($A78,数出表_Excel!$A$6:$T$150,COLUMN()/2+1,FALSE)=0,"",VLOOKUP($A78,数出表_Excel!$A$6:$T$150,COLUMN()/2+1,FALSE)),"")</f>
        <v>#N/A</v>
      </c>
      <c r="AM78" s="198" t="e">
        <f>数出表_Excel!V78</f>
        <v>#N/A</v>
      </c>
      <c r="AN78" s="199" t="e">
        <f>数出表_Excel!W78</f>
        <v>#N/A</v>
      </c>
    </row>
    <row r="79" spans="1:40" ht="16.2" customHeight="1">
      <c r="A79" s="161" t="e">
        <f t="array" aca="1" ref="A79" ca="1">IF(OR(COUNTIF(A77,"*1000*"),COUNTIF(A77,"")),"",INDEX(貼り付け用!$A1:$A200,MATCH(A77,貼り付け用!$A1:$A200,0)+2,0))</f>
        <v>#N/A</v>
      </c>
      <c r="B79" s="114" t="str">
        <f ca="1">IFERROR(VALUE(IF(VLOOKUP($A79,数出表_Excel!$A$6:$T$150,COLUMN()/2+1,FALSE)=0,"",VLOOKUP($A79,数出表_Excel!$A$6:$T$150,COLUMN()/2+1,FALSE))),"")</f>
        <v/>
      </c>
      <c r="C79" s="114"/>
      <c r="D79" s="114" t="str">
        <f ca="1">IFERROR(VALUE(IF(VLOOKUP($A79,数出表_Excel!$A$6:$T$150,COLUMN()/2+1,FALSE)=0,"",VLOOKUP($A79,数出表_Excel!$A$6:$T$150,COLUMN()/2+1,FALSE))),"")</f>
        <v/>
      </c>
      <c r="E79" s="114"/>
      <c r="F79" s="118" t="str">
        <f ca="1">IFERROR(VALUE(IF(VLOOKUP($A79,数出表_Excel!$A$6:$T$150,COLUMN()/2+1,FALSE)=0,"",VLOOKUP($A79,数出表_Excel!$A$6:$T$150,COLUMN()/2+1,FALSE))),"")</f>
        <v/>
      </c>
      <c r="G79" s="114"/>
      <c r="H79" s="114" t="str">
        <f ca="1">IFERROR(VALUE(IF(VLOOKUP($A79,数出表_Excel!$A$6:$T$150,COLUMN()/2+1,FALSE)=0,"",VLOOKUP($A79,数出表_Excel!$A$6:$T$150,COLUMN()/2+1,FALSE))),"")</f>
        <v/>
      </c>
      <c r="I79" s="114"/>
      <c r="J79" s="114" t="str">
        <f ca="1">IFERROR(VALUE(IF(VLOOKUP($A79,数出表_Excel!$A$6:$T$150,COLUMN()/2+1,FALSE)=0,"",VLOOKUP($A79,数出表_Excel!$A$6:$T$150,COLUMN()/2+1,FALSE))),"")</f>
        <v/>
      </c>
      <c r="K79" s="114"/>
      <c r="L79" s="118" t="str">
        <f ca="1">IFERROR(VALUE(IF(VLOOKUP($A79,数出表_Excel!$A$6:$T$150,COLUMN()/2+1,FALSE)=0,"",VLOOKUP($A79,数出表_Excel!$A$6:$T$150,COLUMN()/2+1,FALSE))),"")</f>
        <v/>
      </c>
      <c r="M79" s="114"/>
      <c r="N79" s="114" t="str">
        <f ca="1">IFERROR(VALUE(IF(VLOOKUP($A79,数出表_Excel!$A$6:$T$150,COLUMN()/2+1,FALSE)=0,"",VLOOKUP($A79,数出表_Excel!$A$6:$T$150,COLUMN()/2+1,FALSE))),"")</f>
        <v/>
      </c>
      <c r="O79" s="114"/>
      <c r="P79" s="114" t="str">
        <f ca="1">IFERROR(VALUE(IF(VLOOKUP($A79,数出表_Excel!$A$6:$T$150,COLUMN()/2+1,FALSE)=0,"",VLOOKUP($A79,数出表_Excel!$A$6:$T$150,COLUMN()/2+1,FALSE))),"")</f>
        <v/>
      </c>
      <c r="Q79" s="114"/>
      <c r="R79" s="114" t="str">
        <f ca="1">IFERROR(VALUE(IF(VLOOKUP($A79,数出表_Excel!$A$6:$T$150,COLUMN()/2+1,FALSE)=0,"",VLOOKUP($A79,数出表_Excel!$A$6:$T$150,COLUMN()/2+1,FALSE))),"")</f>
        <v/>
      </c>
      <c r="S79" s="114"/>
      <c r="T79" s="114" t="str">
        <f ca="1">IFERROR(VALUE(IF(VLOOKUP($A79,数出表_Excel!$A$6:$T$150,COLUMN()/2+1,FALSE)=0,"",VLOOKUP($A79,数出表_Excel!$A$6:$T$150,COLUMN()/2+1,FALSE))),"")</f>
        <v/>
      </c>
      <c r="U79" s="114"/>
      <c r="V79" s="118" t="str">
        <f ca="1">IFERROR(VALUE(IF(VLOOKUP($A79,数出表_Excel!$A$6:$T$150,COLUMN()/2+1,FALSE)=0,"",VLOOKUP($A79,数出表_Excel!$A$6:$T$150,COLUMN()/2+1,FALSE))),"")</f>
        <v/>
      </c>
      <c r="W79" s="114"/>
      <c r="X79" s="118" t="str">
        <f ca="1">IFERROR(VALUE(IF(VLOOKUP($A79,数出表_Excel!$A$6:$T$150,COLUMN()/2+1,FALSE)=0,"",VLOOKUP($A79,数出表_Excel!$A$6:$T$150,COLUMN()/2+1,FALSE))),"")</f>
        <v/>
      </c>
      <c r="Y79" s="114"/>
      <c r="Z79" s="118" t="str">
        <f ca="1">IFERROR(VALUE(IF(VLOOKUP($A79,数出表_Excel!$A$6:$T$150,COLUMN()/2+1,FALSE)=0,"",VLOOKUP($A79,数出表_Excel!$A$6:$T$150,COLUMN()/2+1,FALSE))),"")</f>
        <v/>
      </c>
      <c r="AA79" s="152"/>
      <c r="AB79" s="119" t="str">
        <f ca="1">IFERROR(VALUE(IF(VLOOKUP($A79,数出表_Excel!$A$6:$T$150,COLUMN()/2+1,FALSE)=0,"",VLOOKUP($A79,数出表_Excel!$A$6:$T$150,COLUMN()/2+1,FALSE))),"")</f>
        <v/>
      </c>
      <c r="AC79" s="114"/>
      <c r="AD79" s="118" t="str">
        <f ca="1">IFERROR(VALUE(IF(VLOOKUP($A79,数出表_Excel!$A$6:$T$150,COLUMN()/2+1,FALSE)=0,"",VLOOKUP($A79,数出表_Excel!$A$6:$T$150,COLUMN()/2+1,FALSE))),"")</f>
        <v/>
      </c>
      <c r="AE79" s="114"/>
      <c r="AF79" s="118" t="str">
        <f ca="1">IFERROR(VALUE(IF(VLOOKUP($A79,数出表_Excel!$A$6:$T$150,COLUMN()/2+1,FALSE)=0,"",VLOOKUP($A79,数出表_Excel!$A$6:$T$150,COLUMN()/2+1,FALSE))),"")</f>
        <v/>
      </c>
      <c r="AG79" s="114"/>
      <c r="AH79" s="118" t="str">
        <f ca="1">IFERROR(VALUE(IF(VLOOKUP($A79,数出表_Excel!$A$6:$T$150,COLUMN()/2+1,FALSE)=0,"",VLOOKUP($A79,数出表_Excel!$A$6:$T$150,COLUMN()/2+1,FALSE))),"")</f>
        <v/>
      </c>
      <c r="AI79" s="152"/>
      <c r="AJ79" s="119" t="str">
        <f ca="1">IFERROR(VALUE(IF(VLOOKUP($A79,数出表_Excel!$A$6:$T$150,COLUMN()/2+1,FALSE)=0,"",VLOOKUP($A79,数出表_Excel!$A$6:$T$150,COLUMN()/2+1,FALSE))),"")</f>
        <v/>
      </c>
      <c r="AK79" s="114"/>
      <c r="AL79" s="120" t="e">
        <f ca="1">IF(A79&lt;&gt;"",
IF(VLOOKUP($A79,数出表_Excel!$A$6:$T$150,COLUMN()/2+1,FALSE)=0,"",VLOOKUP($A79,数出表_Excel!$A$6:$T$150,COLUMN()/2+1,FALSE)),"")</f>
        <v>#N/A</v>
      </c>
      <c r="AM79" s="200" t="e">
        <f>数出表_Excel!V79</f>
        <v>#N/A</v>
      </c>
      <c r="AN79" s="201" t="e">
        <f>数出表_Excel!W79</f>
        <v>#N/A</v>
      </c>
    </row>
    <row r="80" spans="1:40" ht="16.2" customHeight="1">
      <c r="A80" s="160" t="e">
        <f t="array" aca="1" ref="A80" ca="1">IF(OR(COUNTIF(A78,"*10002*"),COUNTIF(A78,"")),"",INDEX(貼り付け用!$A1:$A200,MATCH(A78,貼り付け用!$A1:$A200,0)+2,0))</f>
        <v>#N/A</v>
      </c>
      <c r="B80" s="148" t="str">
        <f ca="1">IFERROR(VALUE(IF(VLOOKUP($A80,数出表_Excel!$A$6:$T$150,COLUMN()/2+1,FALSE)=0,"",VLOOKUP($A80,数出表_Excel!$A$6:$T$150,COLUMN()/2+1,FALSE))),"")</f>
        <v/>
      </c>
      <c r="C80" s="113"/>
      <c r="D80" s="148" t="str">
        <f ca="1">IFERROR(VALUE(IF(VLOOKUP($A80,数出表_Excel!$A$6:$T$150,COLUMN()/2+1,FALSE)=0,"",VLOOKUP($A80,数出表_Excel!$A$6:$T$150,COLUMN()/2+1,FALSE))),"")</f>
        <v/>
      </c>
      <c r="E80" s="113"/>
      <c r="F80" s="150" t="str">
        <f ca="1">IFERROR(VALUE(IF(VLOOKUP($A80,数出表_Excel!$A$6:$T$150,COLUMN()/2+1,FALSE)=0,"",VLOOKUP($A80,数出表_Excel!$A$6:$T$150,COLUMN()/2+1,FALSE))),"")</f>
        <v/>
      </c>
      <c r="G80" s="113"/>
      <c r="H80" s="148" t="str">
        <f ca="1">IFERROR(VALUE(IF(VLOOKUP($A80,数出表_Excel!$A$6:$T$150,COLUMN()/2+1,FALSE)=0,"",VLOOKUP($A80,数出表_Excel!$A$6:$T$150,COLUMN()/2+1,FALSE))),"")</f>
        <v/>
      </c>
      <c r="I80" s="113"/>
      <c r="J80" s="148" t="str">
        <f ca="1">IFERROR(VALUE(IF(VLOOKUP($A80,数出表_Excel!$A$6:$T$150,COLUMN()/2+1,FALSE)=0,"",VLOOKUP($A80,数出表_Excel!$A$6:$T$150,COLUMN()/2+1,FALSE))),"")</f>
        <v/>
      </c>
      <c r="K80" s="113"/>
      <c r="L80" s="150" t="str">
        <f ca="1">IFERROR(VALUE(IF(VLOOKUP($A80,数出表_Excel!$A$6:$T$150,COLUMN()/2+1,FALSE)=0,"",VLOOKUP($A80,数出表_Excel!$A$6:$T$150,COLUMN()/2+1,FALSE))),"")</f>
        <v/>
      </c>
      <c r="M80" s="113"/>
      <c r="N80" s="148" t="str">
        <f ca="1">IFERROR(VALUE(IF(VLOOKUP($A80,数出表_Excel!$A$6:$T$150,COLUMN()/2+1,FALSE)=0,"",VLOOKUP($A80,数出表_Excel!$A$6:$T$150,COLUMN()/2+1,FALSE))),"")</f>
        <v/>
      </c>
      <c r="O80" s="113"/>
      <c r="P80" s="148" t="str">
        <f ca="1">IFERROR(VALUE(IF(VLOOKUP($A80,数出表_Excel!$A$6:$T$150,COLUMN()/2+1,FALSE)=0,"",VLOOKUP($A80,数出表_Excel!$A$6:$T$150,COLUMN()/2+1,FALSE))),"")</f>
        <v/>
      </c>
      <c r="Q80" s="113"/>
      <c r="R80" s="148" t="str">
        <f ca="1">IFERROR(VALUE(IF(VLOOKUP($A80,数出表_Excel!$A$6:$T$150,COLUMN()/2+1,FALSE)=0,"",VLOOKUP($A80,数出表_Excel!$A$6:$T$150,COLUMN()/2+1,FALSE))),"")</f>
        <v/>
      </c>
      <c r="S80" s="113"/>
      <c r="T80" s="148" t="str">
        <f ca="1">IFERROR(VALUE(IF(VLOOKUP($A80,数出表_Excel!$A$6:$T$150,COLUMN()/2+1,FALSE)=0,"",VLOOKUP($A80,数出表_Excel!$A$6:$T$150,COLUMN()/2+1,FALSE))),"")</f>
        <v/>
      </c>
      <c r="U80" s="113"/>
      <c r="V80" s="150" t="str">
        <f ca="1">IFERROR(VALUE(IF(VLOOKUP($A80,数出表_Excel!$A$6:$T$150,COLUMN()/2+1,FALSE)=0,"",VLOOKUP($A80,数出表_Excel!$A$6:$T$150,COLUMN()/2+1,FALSE))),"")</f>
        <v/>
      </c>
      <c r="W80" s="113"/>
      <c r="X80" s="150" t="str">
        <f ca="1">IFERROR(VALUE(IF(VLOOKUP($A80,数出表_Excel!$A$6:$T$150,COLUMN()/2+1,FALSE)=0,"",VLOOKUP($A80,数出表_Excel!$A$6:$T$150,COLUMN()/2+1,FALSE))),"")</f>
        <v/>
      </c>
      <c r="Y80" s="113"/>
      <c r="Z80" s="150" t="str">
        <f ca="1">IFERROR(VALUE(IF(VLOOKUP($A80,数出表_Excel!$A$6:$T$150,COLUMN()/2+1,FALSE)=0,"",VLOOKUP($A80,数出表_Excel!$A$6:$T$150,COLUMN()/2+1,FALSE))),"")</f>
        <v/>
      </c>
      <c r="AA80" s="151"/>
      <c r="AB80" s="149" t="str">
        <f ca="1">IFERROR(VALUE(IF(VLOOKUP($A80,数出表_Excel!$A$6:$T$150,COLUMN()/2+1,FALSE)=0,"",VLOOKUP($A80,数出表_Excel!$A$6:$T$150,COLUMN()/2+1,FALSE))),"")</f>
        <v/>
      </c>
      <c r="AC80" s="113"/>
      <c r="AD80" s="150" t="str">
        <f ca="1">IFERROR(VALUE(IF(VLOOKUP($A80,数出表_Excel!$A$6:$T$150,COLUMN()/2+1,FALSE)=0,"",VLOOKUP($A80,数出表_Excel!$A$6:$T$150,COLUMN()/2+1,FALSE))),"")</f>
        <v/>
      </c>
      <c r="AE80" s="113"/>
      <c r="AF80" s="150" t="str">
        <f ca="1">IFERROR(VALUE(IF(VLOOKUP($A80,数出表_Excel!$A$6:$T$150,COLUMN()/2+1,FALSE)=0,"",VLOOKUP($A80,数出表_Excel!$A$6:$T$150,COLUMN()/2+1,FALSE))),"")</f>
        <v/>
      </c>
      <c r="AG80" s="113"/>
      <c r="AH80" s="150" t="str">
        <f ca="1">IFERROR(VALUE(IF(VLOOKUP($A80,数出表_Excel!$A$6:$T$150,COLUMN()/2+1,FALSE)=0,"",VLOOKUP($A80,数出表_Excel!$A$6:$T$150,COLUMN()/2+1,FALSE))),"")</f>
        <v/>
      </c>
      <c r="AI80" s="151"/>
      <c r="AJ80" s="149" t="str">
        <f ca="1">IFERROR(VALUE(IF(VLOOKUP($A80,数出表_Excel!$A$6:$T$150,COLUMN()/2+1,FALSE)=0,"",VLOOKUP($A80,数出表_Excel!$A$6:$T$150,COLUMN()/2+1,FALSE))),"")</f>
        <v/>
      </c>
      <c r="AK80" s="113"/>
      <c r="AL80" s="117" t="e">
        <f ca="1">IF(A80&lt;&gt;"",
IF(VLOOKUP($A80,数出表_Excel!$A$6:$T$150,COLUMN()/2+1,FALSE)=0,"",VLOOKUP($A80,数出表_Excel!$A$6:$T$150,COLUMN()/2+1,FALSE)),"")</f>
        <v>#N/A</v>
      </c>
      <c r="AM80" s="198" t="e">
        <f>数出表_Excel!V80</f>
        <v>#N/A</v>
      </c>
      <c r="AN80" s="199" t="e">
        <f>数出表_Excel!W80</f>
        <v>#N/A</v>
      </c>
    </row>
    <row r="81" spans="1:40" ht="16.2" customHeight="1">
      <c r="A81" s="161" t="e">
        <f t="array" aca="1" ref="A81" ca="1">IF(OR(COUNTIF(A79,"*1000*"),COUNTIF(A79,"")),"",INDEX(貼り付け用!$A1:$A200,MATCH(A79,貼り付け用!$A1:$A200,0)+2,0))</f>
        <v>#N/A</v>
      </c>
      <c r="B81" s="114" t="str">
        <f ca="1">IFERROR(VALUE(IF(VLOOKUP($A81,数出表_Excel!$A$6:$T$150,COLUMN()/2+1,FALSE)=0,"",VLOOKUP($A81,数出表_Excel!$A$6:$T$150,COLUMN()/2+1,FALSE))),"")</f>
        <v/>
      </c>
      <c r="C81" s="114"/>
      <c r="D81" s="114" t="str">
        <f ca="1">IFERROR(VALUE(IF(VLOOKUP($A81,数出表_Excel!$A$6:$T$150,COLUMN()/2+1,FALSE)=0,"",VLOOKUP($A81,数出表_Excel!$A$6:$T$150,COLUMN()/2+1,FALSE))),"")</f>
        <v/>
      </c>
      <c r="E81" s="114"/>
      <c r="F81" s="118" t="str">
        <f ca="1">IFERROR(VALUE(IF(VLOOKUP($A81,数出表_Excel!$A$6:$T$150,COLUMN()/2+1,FALSE)=0,"",VLOOKUP($A81,数出表_Excel!$A$6:$T$150,COLUMN()/2+1,FALSE))),"")</f>
        <v/>
      </c>
      <c r="G81" s="114"/>
      <c r="H81" s="114" t="str">
        <f ca="1">IFERROR(VALUE(IF(VLOOKUP($A81,数出表_Excel!$A$6:$T$150,COLUMN()/2+1,FALSE)=0,"",VLOOKUP($A81,数出表_Excel!$A$6:$T$150,COLUMN()/2+1,FALSE))),"")</f>
        <v/>
      </c>
      <c r="I81" s="114"/>
      <c r="J81" s="114" t="str">
        <f ca="1">IFERROR(VALUE(IF(VLOOKUP($A81,数出表_Excel!$A$6:$T$150,COLUMN()/2+1,FALSE)=0,"",VLOOKUP($A81,数出表_Excel!$A$6:$T$150,COLUMN()/2+1,FALSE))),"")</f>
        <v/>
      </c>
      <c r="K81" s="114"/>
      <c r="L81" s="118" t="str">
        <f ca="1">IFERROR(VALUE(IF(VLOOKUP($A81,数出表_Excel!$A$6:$T$150,COLUMN()/2+1,FALSE)=0,"",VLOOKUP($A81,数出表_Excel!$A$6:$T$150,COLUMN()/2+1,FALSE))),"")</f>
        <v/>
      </c>
      <c r="M81" s="114"/>
      <c r="N81" s="114" t="str">
        <f ca="1">IFERROR(VALUE(IF(VLOOKUP($A81,数出表_Excel!$A$6:$T$150,COLUMN()/2+1,FALSE)=0,"",VLOOKUP($A81,数出表_Excel!$A$6:$T$150,COLUMN()/2+1,FALSE))),"")</f>
        <v/>
      </c>
      <c r="O81" s="114"/>
      <c r="P81" s="114" t="str">
        <f ca="1">IFERROR(VALUE(IF(VLOOKUP($A81,数出表_Excel!$A$6:$T$150,COLUMN()/2+1,FALSE)=0,"",VLOOKUP($A81,数出表_Excel!$A$6:$T$150,COLUMN()/2+1,FALSE))),"")</f>
        <v/>
      </c>
      <c r="Q81" s="114"/>
      <c r="R81" s="114" t="str">
        <f ca="1">IFERROR(VALUE(IF(VLOOKUP($A81,数出表_Excel!$A$6:$T$150,COLUMN()/2+1,FALSE)=0,"",VLOOKUP($A81,数出表_Excel!$A$6:$T$150,COLUMN()/2+1,FALSE))),"")</f>
        <v/>
      </c>
      <c r="S81" s="114"/>
      <c r="T81" s="114" t="str">
        <f ca="1">IFERROR(VALUE(IF(VLOOKUP($A81,数出表_Excel!$A$6:$T$150,COLUMN()/2+1,FALSE)=0,"",VLOOKUP($A81,数出表_Excel!$A$6:$T$150,COLUMN()/2+1,FALSE))),"")</f>
        <v/>
      </c>
      <c r="U81" s="114"/>
      <c r="V81" s="118" t="str">
        <f ca="1">IFERROR(VALUE(IF(VLOOKUP($A81,数出表_Excel!$A$6:$T$150,COLUMN()/2+1,FALSE)=0,"",VLOOKUP($A81,数出表_Excel!$A$6:$T$150,COLUMN()/2+1,FALSE))),"")</f>
        <v/>
      </c>
      <c r="W81" s="114"/>
      <c r="X81" s="118" t="str">
        <f ca="1">IFERROR(VALUE(IF(VLOOKUP($A81,数出表_Excel!$A$6:$T$150,COLUMN()/2+1,FALSE)=0,"",VLOOKUP($A81,数出表_Excel!$A$6:$T$150,COLUMN()/2+1,FALSE))),"")</f>
        <v/>
      </c>
      <c r="Y81" s="114"/>
      <c r="Z81" s="118" t="str">
        <f ca="1">IFERROR(VALUE(IF(VLOOKUP($A81,数出表_Excel!$A$6:$T$150,COLUMN()/2+1,FALSE)=0,"",VLOOKUP($A81,数出表_Excel!$A$6:$T$150,COLUMN()/2+1,FALSE))),"")</f>
        <v/>
      </c>
      <c r="AA81" s="152"/>
      <c r="AB81" s="119" t="str">
        <f ca="1">IFERROR(VALUE(IF(VLOOKUP($A81,数出表_Excel!$A$6:$T$150,COLUMN()/2+1,FALSE)=0,"",VLOOKUP($A81,数出表_Excel!$A$6:$T$150,COLUMN()/2+1,FALSE))),"")</f>
        <v/>
      </c>
      <c r="AC81" s="114"/>
      <c r="AD81" s="118" t="str">
        <f ca="1">IFERROR(VALUE(IF(VLOOKUP($A81,数出表_Excel!$A$6:$T$150,COLUMN()/2+1,FALSE)=0,"",VLOOKUP($A81,数出表_Excel!$A$6:$T$150,COLUMN()/2+1,FALSE))),"")</f>
        <v/>
      </c>
      <c r="AE81" s="114"/>
      <c r="AF81" s="118" t="str">
        <f ca="1">IFERROR(VALUE(IF(VLOOKUP($A81,数出表_Excel!$A$6:$T$150,COLUMN()/2+1,FALSE)=0,"",VLOOKUP($A81,数出表_Excel!$A$6:$T$150,COLUMN()/2+1,FALSE))),"")</f>
        <v/>
      </c>
      <c r="AG81" s="114"/>
      <c r="AH81" s="118" t="str">
        <f ca="1">IFERROR(VALUE(IF(VLOOKUP($A81,数出表_Excel!$A$6:$T$150,COLUMN()/2+1,FALSE)=0,"",VLOOKUP($A81,数出表_Excel!$A$6:$T$150,COLUMN()/2+1,FALSE))),"")</f>
        <v/>
      </c>
      <c r="AI81" s="152"/>
      <c r="AJ81" s="119" t="str">
        <f ca="1">IFERROR(VALUE(IF(VLOOKUP($A81,数出表_Excel!$A$6:$T$150,COLUMN()/2+1,FALSE)=0,"",VLOOKUP($A81,数出表_Excel!$A$6:$T$150,COLUMN()/2+1,FALSE))),"")</f>
        <v/>
      </c>
      <c r="AK81" s="114"/>
      <c r="AL81" s="120" t="e">
        <f ca="1">IF(A81&lt;&gt;"",
IF(VLOOKUP($A81,数出表_Excel!$A$6:$T$150,COLUMN()/2+1,FALSE)=0,"",VLOOKUP($A81,数出表_Excel!$A$6:$T$150,COLUMN()/2+1,FALSE)),"")</f>
        <v>#N/A</v>
      </c>
      <c r="AM81" s="200" t="e">
        <f>数出表_Excel!V81</f>
        <v>#N/A</v>
      </c>
      <c r="AN81" s="201" t="e">
        <f>数出表_Excel!W81</f>
        <v>#N/A</v>
      </c>
    </row>
    <row r="82" spans="1:40" ht="16.2" customHeight="1">
      <c r="A82" s="160" t="e">
        <f t="array" aca="1" ref="A82" ca="1">IF(OR(COUNTIF(A80,"*10002*"),COUNTIF(A80,"")),"",INDEX(貼り付け用!$A1:$A200,MATCH(A80,貼り付け用!$A1:$A200,0)+2,0))</f>
        <v>#N/A</v>
      </c>
      <c r="B82" s="148" t="str">
        <f ca="1">IFERROR(VALUE(IF(VLOOKUP($A82,数出表_Excel!$A$6:$T$150,COLUMN()/2+1,FALSE)=0,"",VLOOKUP($A82,数出表_Excel!$A$6:$T$150,COLUMN()/2+1,FALSE))),"")</f>
        <v/>
      </c>
      <c r="C82" s="113"/>
      <c r="D82" s="148" t="str">
        <f ca="1">IFERROR(VALUE(IF(VLOOKUP($A82,数出表_Excel!$A$6:$T$150,COLUMN()/2+1,FALSE)=0,"",VLOOKUP($A82,数出表_Excel!$A$6:$T$150,COLUMN()/2+1,FALSE))),"")</f>
        <v/>
      </c>
      <c r="E82" s="113"/>
      <c r="F82" s="150" t="str">
        <f ca="1">IFERROR(VALUE(IF(VLOOKUP($A82,数出表_Excel!$A$6:$T$150,COLUMN()/2+1,FALSE)=0,"",VLOOKUP($A82,数出表_Excel!$A$6:$T$150,COLUMN()/2+1,FALSE))),"")</f>
        <v/>
      </c>
      <c r="G82" s="113"/>
      <c r="H82" s="148" t="str">
        <f ca="1">IFERROR(VALUE(IF(VLOOKUP($A82,数出表_Excel!$A$6:$T$150,COLUMN()/2+1,FALSE)=0,"",VLOOKUP($A82,数出表_Excel!$A$6:$T$150,COLUMN()/2+1,FALSE))),"")</f>
        <v/>
      </c>
      <c r="I82" s="113"/>
      <c r="J82" s="148" t="str">
        <f ca="1">IFERROR(VALUE(IF(VLOOKUP($A82,数出表_Excel!$A$6:$T$150,COLUMN()/2+1,FALSE)=0,"",VLOOKUP($A82,数出表_Excel!$A$6:$T$150,COLUMN()/2+1,FALSE))),"")</f>
        <v/>
      </c>
      <c r="K82" s="113"/>
      <c r="L82" s="150" t="str">
        <f ca="1">IFERROR(VALUE(IF(VLOOKUP($A82,数出表_Excel!$A$6:$T$150,COLUMN()/2+1,FALSE)=0,"",VLOOKUP($A82,数出表_Excel!$A$6:$T$150,COLUMN()/2+1,FALSE))),"")</f>
        <v/>
      </c>
      <c r="M82" s="113"/>
      <c r="N82" s="148" t="str">
        <f ca="1">IFERROR(VALUE(IF(VLOOKUP($A82,数出表_Excel!$A$6:$T$150,COLUMN()/2+1,FALSE)=0,"",VLOOKUP($A82,数出表_Excel!$A$6:$T$150,COLUMN()/2+1,FALSE))),"")</f>
        <v/>
      </c>
      <c r="O82" s="113"/>
      <c r="P82" s="148" t="str">
        <f ca="1">IFERROR(VALUE(IF(VLOOKUP($A82,数出表_Excel!$A$6:$T$150,COLUMN()/2+1,FALSE)=0,"",VLOOKUP($A82,数出表_Excel!$A$6:$T$150,COLUMN()/2+1,FALSE))),"")</f>
        <v/>
      </c>
      <c r="Q82" s="113"/>
      <c r="R82" s="148" t="str">
        <f ca="1">IFERROR(VALUE(IF(VLOOKUP($A82,数出表_Excel!$A$6:$T$150,COLUMN()/2+1,FALSE)=0,"",VLOOKUP($A82,数出表_Excel!$A$6:$T$150,COLUMN()/2+1,FALSE))),"")</f>
        <v/>
      </c>
      <c r="S82" s="113"/>
      <c r="T82" s="148" t="str">
        <f ca="1">IFERROR(VALUE(IF(VLOOKUP($A82,数出表_Excel!$A$6:$T$150,COLUMN()/2+1,FALSE)=0,"",VLOOKUP($A82,数出表_Excel!$A$6:$T$150,COLUMN()/2+1,FALSE))),"")</f>
        <v/>
      </c>
      <c r="U82" s="113"/>
      <c r="V82" s="150" t="str">
        <f ca="1">IFERROR(VALUE(IF(VLOOKUP($A82,数出表_Excel!$A$6:$T$150,COLUMN()/2+1,FALSE)=0,"",VLOOKUP($A82,数出表_Excel!$A$6:$T$150,COLUMN()/2+1,FALSE))),"")</f>
        <v/>
      </c>
      <c r="W82" s="113"/>
      <c r="X82" s="150" t="str">
        <f ca="1">IFERROR(VALUE(IF(VLOOKUP($A82,数出表_Excel!$A$6:$T$150,COLUMN()/2+1,FALSE)=0,"",VLOOKUP($A82,数出表_Excel!$A$6:$T$150,COLUMN()/2+1,FALSE))),"")</f>
        <v/>
      </c>
      <c r="Y82" s="113"/>
      <c r="Z82" s="150" t="str">
        <f ca="1">IFERROR(VALUE(IF(VLOOKUP($A82,数出表_Excel!$A$6:$T$150,COLUMN()/2+1,FALSE)=0,"",VLOOKUP($A82,数出表_Excel!$A$6:$T$150,COLUMN()/2+1,FALSE))),"")</f>
        <v/>
      </c>
      <c r="AA82" s="151"/>
      <c r="AB82" s="149" t="str">
        <f ca="1">IFERROR(VALUE(IF(VLOOKUP($A82,数出表_Excel!$A$6:$T$150,COLUMN()/2+1,FALSE)=0,"",VLOOKUP($A82,数出表_Excel!$A$6:$T$150,COLUMN()/2+1,FALSE))),"")</f>
        <v/>
      </c>
      <c r="AC82" s="113"/>
      <c r="AD82" s="150" t="str">
        <f ca="1">IFERROR(VALUE(IF(VLOOKUP($A82,数出表_Excel!$A$6:$T$150,COLUMN()/2+1,FALSE)=0,"",VLOOKUP($A82,数出表_Excel!$A$6:$T$150,COLUMN()/2+1,FALSE))),"")</f>
        <v/>
      </c>
      <c r="AE82" s="113"/>
      <c r="AF82" s="150" t="str">
        <f ca="1">IFERROR(VALUE(IF(VLOOKUP($A82,数出表_Excel!$A$6:$T$150,COLUMN()/2+1,FALSE)=0,"",VLOOKUP($A82,数出表_Excel!$A$6:$T$150,COLUMN()/2+1,FALSE))),"")</f>
        <v/>
      </c>
      <c r="AG82" s="113"/>
      <c r="AH82" s="150" t="str">
        <f ca="1">IFERROR(VALUE(IF(VLOOKUP($A82,数出表_Excel!$A$6:$T$150,COLUMN()/2+1,FALSE)=0,"",VLOOKUP($A82,数出表_Excel!$A$6:$T$150,COLUMN()/2+1,FALSE))),"")</f>
        <v/>
      </c>
      <c r="AI82" s="151"/>
      <c r="AJ82" s="149" t="str">
        <f ca="1">IFERROR(VALUE(IF(VLOOKUP($A82,数出表_Excel!$A$6:$T$150,COLUMN()/2+1,FALSE)=0,"",VLOOKUP($A82,数出表_Excel!$A$6:$T$150,COLUMN()/2+1,FALSE))),"")</f>
        <v/>
      </c>
      <c r="AK82" s="113"/>
      <c r="AL82" s="117" t="e">
        <f ca="1">IF(A82&lt;&gt;"",
IF(VLOOKUP($A82,数出表_Excel!$A$6:$T$150,COLUMN()/2+1,FALSE)=0,"",VLOOKUP($A82,数出表_Excel!$A$6:$T$150,COLUMN()/2+1,FALSE)),"")</f>
        <v>#N/A</v>
      </c>
      <c r="AM82" s="198" t="e">
        <f>数出表_Excel!V82</f>
        <v>#N/A</v>
      </c>
      <c r="AN82" s="199" t="e">
        <f>数出表_Excel!W82</f>
        <v>#N/A</v>
      </c>
    </row>
    <row r="83" spans="1:40" ht="16.2" customHeight="1">
      <c r="A83" s="161" t="e">
        <f t="array" aca="1" ref="A83" ca="1">IF(OR(COUNTIF(A81,"*1000*"),COUNTIF(A81,"")),"",INDEX(貼り付け用!$A1:$A200,MATCH(A81,貼り付け用!$A1:$A200,0)+2,0))</f>
        <v>#N/A</v>
      </c>
      <c r="B83" s="114" t="str">
        <f ca="1">IFERROR(VALUE(IF(VLOOKUP($A83,数出表_Excel!$A$6:$T$150,COLUMN()/2+1,FALSE)=0,"",VLOOKUP($A83,数出表_Excel!$A$6:$T$150,COLUMN()/2+1,FALSE))),"")</f>
        <v/>
      </c>
      <c r="C83" s="114"/>
      <c r="D83" s="114" t="str">
        <f ca="1">IFERROR(VALUE(IF(VLOOKUP($A83,数出表_Excel!$A$6:$T$150,COLUMN()/2+1,FALSE)=0,"",VLOOKUP($A83,数出表_Excel!$A$6:$T$150,COLUMN()/2+1,FALSE))),"")</f>
        <v/>
      </c>
      <c r="E83" s="114"/>
      <c r="F83" s="118" t="str">
        <f ca="1">IFERROR(VALUE(IF(VLOOKUP($A83,数出表_Excel!$A$6:$T$150,COLUMN()/2+1,FALSE)=0,"",VLOOKUP($A83,数出表_Excel!$A$6:$T$150,COLUMN()/2+1,FALSE))),"")</f>
        <v/>
      </c>
      <c r="G83" s="114"/>
      <c r="H83" s="114" t="str">
        <f ca="1">IFERROR(VALUE(IF(VLOOKUP($A83,数出表_Excel!$A$6:$T$150,COLUMN()/2+1,FALSE)=0,"",VLOOKUP($A83,数出表_Excel!$A$6:$T$150,COLUMN()/2+1,FALSE))),"")</f>
        <v/>
      </c>
      <c r="I83" s="114"/>
      <c r="J83" s="114" t="str">
        <f ca="1">IFERROR(VALUE(IF(VLOOKUP($A83,数出表_Excel!$A$6:$T$150,COLUMN()/2+1,FALSE)=0,"",VLOOKUP($A83,数出表_Excel!$A$6:$T$150,COLUMN()/2+1,FALSE))),"")</f>
        <v/>
      </c>
      <c r="K83" s="114"/>
      <c r="L83" s="118" t="str">
        <f ca="1">IFERROR(VALUE(IF(VLOOKUP($A83,数出表_Excel!$A$6:$T$150,COLUMN()/2+1,FALSE)=0,"",VLOOKUP($A83,数出表_Excel!$A$6:$T$150,COLUMN()/2+1,FALSE))),"")</f>
        <v/>
      </c>
      <c r="M83" s="114"/>
      <c r="N83" s="114" t="str">
        <f ca="1">IFERROR(VALUE(IF(VLOOKUP($A83,数出表_Excel!$A$6:$T$150,COLUMN()/2+1,FALSE)=0,"",VLOOKUP($A83,数出表_Excel!$A$6:$T$150,COLUMN()/2+1,FALSE))),"")</f>
        <v/>
      </c>
      <c r="O83" s="114"/>
      <c r="P83" s="114" t="str">
        <f ca="1">IFERROR(VALUE(IF(VLOOKUP($A83,数出表_Excel!$A$6:$T$150,COLUMN()/2+1,FALSE)=0,"",VLOOKUP($A83,数出表_Excel!$A$6:$T$150,COLUMN()/2+1,FALSE))),"")</f>
        <v/>
      </c>
      <c r="Q83" s="114"/>
      <c r="R83" s="114" t="str">
        <f ca="1">IFERROR(VALUE(IF(VLOOKUP($A83,数出表_Excel!$A$6:$T$150,COLUMN()/2+1,FALSE)=0,"",VLOOKUP($A83,数出表_Excel!$A$6:$T$150,COLUMN()/2+1,FALSE))),"")</f>
        <v/>
      </c>
      <c r="S83" s="114"/>
      <c r="T83" s="114" t="str">
        <f ca="1">IFERROR(VALUE(IF(VLOOKUP($A83,数出表_Excel!$A$6:$T$150,COLUMN()/2+1,FALSE)=0,"",VLOOKUP($A83,数出表_Excel!$A$6:$T$150,COLUMN()/2+1,FALSE))),"")</f>
        <v/>
      </c>
      <c r="U83" s="114"/>
      <c r="V83" s="118" t="str">
        <f ca="1">IFERROR(VALUE(IF(VLOOKUP($A83,数出表_Excel!$A$6:$T$150,COLUMN()/2+1,FALSE)=0,"",VLOOKUP($A83,数出表_Excel!$A$6:$T$150,COLUMN()/2+1,FALSE))),"")</f>
        <v/>
      </c>
      <c r="W83" s="114"/>
      <c r="X83" s="118" t="str">
        <f ca="1">IFERROR(VALUE(IF(VLOOKUP($A83,数出表_Excel!$A$6:$T$150,COLUMN()/2+1,FALSE)=0,"",VLOOKUP($A83,数出表_Excel!$A$6:$T$150,COLUMN()/2+1,FALSE))),"")</f>
        <v/>
      </c>
      <c r="Y83" s="114"/>
      <c r="Z83" s="118" t="str">
        <f ca="1">IFERROR(VALUE(IF(VLOOKUP($A83,数出表_Excel!$A$6:$T$150,COLUMN()/2+1,FALSE)=0,"",VLOOKUP($A83,数出表_Excel!$A$6:$T$150,COLUMN()/2+1,FALSE))),"")</f>
        <v/>
      </c>
      <c r="AA83" s="152"/>
      <c r="AB83" s="119" t="str">
        <f ca="1">IFERROR(VALUE(IF(VLOOKUP($A83,数出表_Excel!$A$6:$T$150,COLUMN()/2+1,FALSE)=0,"",VLOOKUP($A83,数出表_Excel!$A$6:$T$150,COLUMN()/2+1,FALSE))),"")</f>
        <v/>
      </c>
      <c r="AC83" s="114"/>
      <c r="AD83" s="118" t="str">
        <f ca="1">IFERROR(VALUE(IF(VLOOKUP($A83,数出表_Excel!$A$6:$T$150,COLUMN()/2+1,FALSE)=0,"",VLOOKUP($A83,数出表_Excel!$A$6:$T$150,COLUMN()/2+1,FALSE))),"")</f>
        <v/>
      </c>
      <c r="AE83" s="114"/>
      <c r="AF83" s="118" t="str">
        <f ca="1">IFERROR(VALUE(IF(VLOOKUP($A83,数出表_Excel!$A$6:$T$150,COLUMN()/2+1,FALSE)=0,"",VLOOKUP($A83,数出表_Excel!$A$6:$T$150,COLUMN()/2+1,FALSE))),"")</f>
        <v/>
      </c>
      <c r="AG83" s="114"/>
      <c r="AH83" s="118" t="str">
        <f ca="1">IFERROR(VALUE(IF(VLOOKUP($A83,数出表_Excel!$A$6:$T$150,COLUMN()/2+1,FALSE)=0,"",VLOOKUP($A83,数出表_Excel!$A$6:$T$150,COLUMN()/2+1,FALSE))),"")</f>
        <v/>
      </c>
      <c r="AI83" s="152"/>
      <c r="AJ83" s="119" t="str">
        <f ca="1">IFERROR(VALUE(IF(VLOOKUP($A83,数出表_Excel!$A$6:$T$150,COLUMN()/2+1,FALSE)=0,"",VLOOKUP($A83,数出表_Excel!$A$6:$T$150,COLUMN()/2+1,FALSE))),"")</f>
        <v/>
      </c>
      <c r="AK83" s="114"/>
      <c r="AL83" s="120" t="e">
        <f ca="1">IF(A83&lt;&gt;"",
IF(VLOOKUP($A83,数出表_Excel!$A$6:$T$150,COLUMN()/2+1,FALSE)=0,"",VLOOKUP($A83,数出表_Excel!$A$6:$T$150,COLUMN()/2+1,FALSE)),"")</f>
        <v>#N/A</v>
      </c>
      <c r="AM83" s="200" t="e">
        <f>数出表_Excel!V83</f>
        <v>#N/A</v>
      </c>
      <c r="AN83" s="201" t="e">
        <f>数出表_Excel!W83</f>
        <v>#N/A</v>
      </c>
    </row>
    <row r="84" spans="1:40" ht="16.2" customHeight="1">
      <c r="A84" s="160" t="e">
        <f t="array" aca="1" ref="A84" ca="1">IF(OR(COUNTIF(A82,"*10002*"),COUNTIF(A82,"")),"",INDEX(貼り付け用!$A1:$A200,MATCH(A82,貼り付け用!$A1:$A200,0)+2,0))</f>
        <v>#N/A</v>
      </c>
      <c r="B84" s="148" t="str">
        <f ca="1">IFERROR(VALUE(IF(VLOOKUP($A84,数出表_Excel!$A$6:$T$150,COLUMN()/2+1,FALSE)=0,"",VLOOKUP($A84,数出表_Excel!$A$6:$T$150,COLUMN()/2+1,FALSE))),"")</f>
        <v/>
      </c>
      <c r="C84" s="113"/>
      <c r="D84" s="148" t="str">
        <f ca="1">IFERROR(VALUE(IF(VLOOKUP($A84,数出表_Excel!$A$6:$T$150,COLUMN()/2+1,FALSE)=0,"",VLOOKUP($A84,数出表_Excel!$A$6:$T$150,COLUMN()/2+1,FALSE))),"")</f>
        <v/>
      </c>
      <c r="E84" s="113"/>
      <c r="F84" s="150" t="str">
        <f ca="1">IFERROR(VALUE(IF(VLOOKUP($A84,数出表_Excel!$A$6:$T$150,COLUMN()/2+1,FALSE)=0,"",VLOOKUP($A84,数出表_Excel!$A$6:$T$150,COLUMN()/2+1,FALSE))),"")</f>
        <v/>
      </c>
      <c r="G84" s="113"/>
      <c r="H84" s="148" t="str">
        <f ca="1">IFERROR(VALUE(IF(VLOOKUP($A84,数出表_Excel!$A$6:$T$150,COLUMN()/2+1,FALSE)=0,"",VLOOKUP($A84,数出表_Excel!$A$6:$T$150,COLUMN()/2+1,FALSE))),"")</f>
        <v/>
      </c>
      <c r="I84" s="113"/>
      <c r="J84" s="148" t="str">
        <f ca="1">IFERROR(VALUE(IF(VLOOKUP($A84,数出表_Excel!$A$6:$T$150,COLUMN()/2+1,FALSE)=0,"",VLOOKUP($A84,数出表_Excel!$A$6:$T$150,COLUMN()/2+1,FALSE))),"")</f>
        <v/>
      </c>
      <c r="K84" s="113"/>
      <c r="L84" s="150" t="str">
        <f ca="1">IFERROR(VALUE(IF(VLOOKUP($A84,数出表_Excel!$A$6:$T$150,COLUMN()/2+1,FALSE)=0,"",VLOOKUP($A84,数出表_Excel!$A$6:$T$150,COLUMN()/2+1,FALSE))),"")</f>
        <v/>
      </c>
      <c r="M84" s="113"/>
      <c r="N84" s="148" t="str">
        <f ca="1">IFERROR(VALUE(IF(VLOOKUP($A84,数出表_Excel!$A$6:$T$150,COLUMN()/2+1,FALSE)=0,"",VLOOKUP($A84,数出表_Excel!$A$6:$T$150,COLUMN()/2+1,FALSE))),"")</f>
        <v/>
      </c>
      <c r="O84" s="113"/>
      <c r="P84" s="148" t="str">
        <f ca="1">IFERROR(VALUE(IF(VLOOKUP($A84,数出表_Excel!$A$6:$T$150,COLUMN()/2+1,FALSE)=0,"",VLOOKUP($A84,数出表_Excel!$A$6:$T$150,COLUMN()/2+1,FALSE))),"")</f>
        <v/>
      </c>
      <c r="Q84" s="113"/>
      <c r="R84" s="148" t="str">
        <f ca="1">IFERROR(VALUE(IF(VLOOKUP($A84,数出表_Excel!$A$6:$T$150,COLUMN()/2+1,FALSE)=0,"",VLOOKUP($A84,数出表_Excel!$A$6:$T$150,COLUMN()/2+1,FALSE))),"")</f>
        <v/>
      </c>
      <c r="S84" s="113"/>
      <c r="T84" s="148" t="str">
        <f ca="1">IFERROR(VALUE(IF(VLOOKUP($A84,数出表_Excel!$A$6:$T$150,COLUMN()/2+1,FALSE)=0,"",VLOOKUP($A84,数出表_Excel!$A$6:$T$150,COLUMN()/2+1,FALSE))),"")</f>
        <v/>
      </c>
      <c r="U84" s="113"/>
      <c r="V84" s="150" t="str">
        <f ca="1">IFERROR(VALUE(IF(VLOOKUP($A84,数出表_Excel!$A$6:$T$150,COLUMN()/2+1,FALSE)=0,"",VLOOKUP($A84,数出表_Excel!$A$6:$T$150,COLUMN()/2+1,FALSE))),"")</f>
        <v/>
      </c>
      <c r="W84" s="113"/>
      <c r="X84" s="150" t="str">
        <f ca="1">IFERROR(VALUE(IF(VLOOKUP($A84,数出表_Excel!$A$6:$T$150,COLUMN()/2+1,FALSE)=0,"",VLOOKUP($A84,数出表_Excel!$A$6:$T$150,COLUMN()/2+1,FALSE))),"")</f>
        <v/>
      </c>
      <c r="Y84" s="113"/>
      <c r="Z84" s="150" t="str">
        <f ca="1">IFERROR(VALUE(IF(VLOOKUP($A84,数出表_Excel!$A$6:$T$150,COLUMN()/2+1,FALSE)=0,"",VLOOKUP($A84,数出表_Excel!$A$6:$T$150,COLUMN()/2+1,FALSE))),"")</f>
        <v/>
      </c>
      <c r="AA84" s="151"/>
      <c r="AB84" s="149" t="str">
        <f ca="1">IFERROR(VALUE(IF(VLOOKUP($A84,数出表_Excel!$A$6:$T$150,COLUMN()/2+1,FALSE)=0,"",VLOOKUP($A84,数出表_Excel!$A$6:$T$150,COLUMN()/2+1,FALSE))),"")</f>
        <v/>
      </c>
      <c r="AC84" s="113"/>
      <c r="AD84" s="150" t="str">
        <f ca="1">IFERROR(VALUE(IF(VLOOKUP($A84,数出表_Excel!$A$6:$T$150,COLUMN()/2+1,FALSE)=0,"",VLOOKUP($A84,数出表_Excel!$A$6:$T$150,COLUMN()/2+1,FALSE))),"")</f>
        <v/>
      </c>
      <c r="AE84" s="113"/>
      <c r="AF84" s="150" t="str">
        <f ca="1">IFERROR(VALUE(IF(VLOOKUP($A84,数出表_Excel!$A$6:$T$150,COLUMN()/2+1,FALSE)=0,"",VLOOKUP($A84,数出表_Excel!$A$6:$T$150,COLUMN()/2+1,FALSE))),"")</f>
        <v/>
      </c>
      <c r="AG84" s="113"/>
      <c r="AH84" s="150" t="str">
        <f ca="1">IFERROR(VALUE(IF(VLOOKUP($A84,数出表_Excel!$A$6:$T$150,COLUMN()/2+1,FALSE)=0,"",VLOOKUP($A84,数出表_Excel!$A$6:$T$150,COLUMN()/2+1,FALSE))),"")</f>
        <v/>
      </c>
      <c r="AI84" s="151"/>
      <c r="AJ84" s="149" t="str">
        <f ca="1">IFERROR(VALUE(IF(VLOOKUP($A84,数出表_Excel!$A$6:$T$150,COLUMN()/2+1,FALSE)=0,"",VLOOKUP($A84,数出表_Excel!$A$6:$T$150,COLUMN()/2+1,FALSE))),"")</f>
        <v/>
      </c>
      <c r="AK84" s="113"/>
      <c r="AL84" s="117" t="e">
        <f ca="1">IF(A84&lt;&gt;"",
IF(VLOOKUP($A84,数出表_Excel!$A$6:$T$150,COLUMN()/2+1,FALSE)=0,"",VLOOKUP($A84,数出表_Excel!$A$6:$T$150,COLUMN()/2+1,FALSE)),"")</f>
        <v>#N/A</v>
      </c>
      <c r="AM84" s="198" t="e">
        <f>数出表_Excel!V84</f>
        <v>#N/A</v>
      </c>
      <c r="AN84" s="199" t="e">
        <f>数出表_Excel!W84</f>
        <v>#N/A</v>
      </c>
    </row>
    <row r="85" spans="1:40" ht="16.2" customHeight="1">
      <c r="A85" s="161" t="e">
        <f t="array" aca="1" ref="A85" ca="1">IF(OR(COUNTIF(A83,"*1000*"),COUNTIF(A83,"")),"",INDEX(貼り付け用!$A1:$A200,MATCH(A83,貼り付け用!$A1:$A200,0)+2,0))</f>
        <v>#N/A</v>
      </c>
      <c r="B85" s="114" t="str">
        <f ca="1">IFERROR(VALUE(IF(VLOOKUP($A85,数出表_Excel!$A$6:$T$150,COLUMN()/2+1,FALSE)=0,"",VLOOKUP($A85,数出表_Excel!$A$6:$T$150,COLUMN()/2+1,FALSE))),"")</f>
        <v/>
      </c>
      <c r="C85" s="114"/>
      <c r="D85" s="114" t="str">
        <f ca="1">IFERROR(VALUE(IF(VLOOKUP($A85,数出表_Excel!$A$6:$T$150,COLUMN()/2+1,FALSE)=0,"",VLOOKUP($A85,数出表_Excel!$A$6:$T$150,COLUMN()/2+1,FALSE))),"")</f>
        <v/>
      </c>
      <c r="E85" s="114"/>
      <c r="F85" s="118" t="str">
        <f ca="1">IFERROR(VALUE(IF(VLOOKUP($A85,数出表_Excel!$A$6:$T$150,COLUMN()/2+1,FALSE)=0,"",VLOOKUP($A85,数出表_Excel!$A$6:$T$150,COLUMN()/2+1,FALSE))),"")</f>
        <v/>
      </c>
      <c r="G85" s="114"/>
      <c r="H85" s="114" t="str">
        <f ca="1">IFERROR(VALUE(IF(VLOOKUP($A85,数出表_Excel!$A$6:$T$150,COLUMN()/2+1,FALSE)=0,"",VLOOKUP($A85,数出表_Excel!$A$6:$T$150,COLUMN()/2+1,FALSE))),"")</f>
        <v/>
      </c>
      <c r="I85" s="114"/>
      <c r="J85" s="114" t="str">
        <f ca="1">IFERROR(VALUE(IF(VLOOKUP($A85,数出表_Excel!$A$6:$T$150,COLUMN()/2+1,FALSE)=0,"",VLOOKUP($A85,数出表_Excel!$A$6:$T$150,COLUMN()/2+1,FALSE))),"")</f>
        <v/>
      </c>
      <c r="K85" s="114"/>
      <c r="L85" s="118" t="str">
        <f ca="1">IFERROR(VALUE(IF(VLOOKUP($A85,数出表_Excel!$A$6:$T$150,COLUMN()/2+1,FALSE)=0,"",VLOOKUP($A85,数出表_Excel!$A$6:$T$150,COLUMN()/2+1,FALSE))),"")</f>
        <v/>
      </c>
      <c r="M85" s="114"/>
      <c r="N85" s="114" t="str">
        <f ca="1">IFERROR(VALUE(IF(VLOOKUP($A85,数出表_Excel!$A$6:$T$150,COLUMN()/2+1,FALSE)=0,"",VLOOKUP($A85,数出表_Excel!$A$6:$T$150,COLUMN()/2+1,FALSE))),"")</f>
        <v/>
      </c>
      <c r="O85" s="114"/>
      <c r="P85" s="114" t="str">
        <f ca="1">IFERROR(VALUE(IF(VLOOKUP($A85,数出表_Excel!$A$6:$T$150,COLUMN()/2+1,FALSE)=0,"",VLOOKUP($A85,数出表_Excel!$A$6:$T$150,COLUMN()/2+1,FALSE))),"")</f>
        <v/>
      </c>
      <c r="Q85" s="114"/>
      <c r="R85" s="114" t="str">
        <f ca="1">IFERROR(VALUE(IF(VLOOKUP($A85,数出表_Excel!$A$6:$T$150,COLUMN()/2+1,FALSE)=0,"",VLOOKUP($A85,数出表_Excel!$A$6:$T$150,COLUMN()/2+1,FALSE))),"")</f>
        <v/>
      </c>
      <c r="S85" s="114"/>
      <c r="T85" s="114" t="str">
        <f ca="1">IFERROR(VALUE(IF(VLOOKUP($A85,数出表_Excel!$A$6:$T$150,COLUMN()/2+1,FALSE)=0,"",VLOOKUP($A85,数出表_Excel!$A$6:$T$150,COLUMN()/2+1,FALSE))),"")</f>
        <v/>
      </c>
      <c r="U85" s="114"/>
      <c r="V85" s="118" t="str">
        <f ca="1">IFERROR(VALUE(IF(VLOOKUP($A85,数出表_Excel!$A$6:$T$150,COLUMN()/2+1,FALSE)=0,"",VLOOKUP($A85,数出表_Excel!$A$6:$T$150,COLUMN()/2+1,FALSE))),"")</f>
        <v/>
      </c>
      <c r="W85" s="114"/>
      <c r="X85" s="118" t="str">
        <f ca="1">IFERROR(VALUE(IF(VLOOKUP($A85,数出表_Excel!$A$6:$T$150,COLUMN()/2+1,FALSE)=0,"",VLOOKUP($A85,数出表_Excel!$A$6:$T$150,COLUMN()/2+1,FALSE))),"")</f>
        <v/>
      </c>
      <c r="Y85" s="114"/>
      <c r="Z85" s="118" t="str">
        <f ca="1">IFERROR(VALUE(IF(VLOOKUP($A85,数出表_Excel!$A$6:$T$150,COLUMN()/2+1,FALSE)=0,"",VLOOKUP($A85,数出表_Excel!$A$6:$T$150,COLUMN()/2+1,FALSE))),"")</f>
        <v/>
      </c>
      <c r="AA85" s="152"/>
      <c r="AB85" s="119" t="str">
        <f ca="1">IFERROR(VALUE(IF(VLOOKUP($A85,数出表_Excel!$A$6:$T$150,COLUMN()/2+1,FALSE)=0,"",VLOOKUP($A85,数出表_Excel!$A$6:$T$150,COLUMN()/2+1,FALSE))),"")</f>
        <v/>
      </c>
      <c r="AC85" s="114"/>
      <c r="AD85" s="118" t="str">
        <f ca="1">IFERROR(VALUE(IF(VLOOKUP($A85,数出表_Excel!$A$6:$T$150,COLUMN()/2+1,FALSE)=0,"",VLOOKUP($A85,数出表_Excel!$A$6:$T$150,COLUMN()/2+1,FALSE))),"")</f>
        <v/>
      </c>
      <c r="AE85" s="114"/>
      <c r="AF85" s="118" t="str">
        <f ca="1">IFERROR(VALUE(IF(VLOOKUP($A85,数出表_Excel!$A$6:$T$150,COLUMN()/2+1,FALSE)=0,"",VLOOKUP($A85,数出表_Excel!$A$6:$T$150,COLUMN()/2+1,FALSE))),"")</f>
        <v/>
      </c>
      <c r="AG85" s="114"/>
      <c r="AH85" s="118" t="str">
        <f ca="1">IFERROR(VALUE(IF(VLOOKUP($A85,数出表_Excel!$A$6:$T$150,COLUMN()/2+1,FALSE)=0,"",VLOOKUP($A85,数出表_Excel!$A$6:$T$150,COLUMN()/2+1,FALSE))),"")</f>
        <v/>
      </c>
      <c r="AI85" s="152"/>
      <c r="AJ85" s="119" t="str">
        <f ca="1">IFERROR(VALUE(IF(VLOOKUP($A85,数出表_Excel!$A$6:$T$150,COLUMN()/2+1,FALSE)=0,"",VLOOKUP($A85,数出表_Excel!$A$6:$T$150,COLUMN()/2+1,FALSE))),"")</f>
        <v/>
      </c>
      <c r="AK85" s="114"/>
      <c r="AL85" s="120" t="e">
        <f ca="1">IF(A85&lt;&gt;"",
IF(VLOOKUP($A85,数出表_Excel!$A$6:$T$150,COLUMN()/2+1,FALSE)=0,"",VLOOKUP($A85,数出表_Excel!$A$6:$T$150,COLUMN()/2+1,FALSE)),"")</f>
        <v>#N/A</v>
      </c>
      <c r="AM85" s="200" t="e">
        <f>数出表_Excel!V85</f>
        <v>#N/A</v>
      </c>
      <c r="AN85" s="201" t="e">
        <f>数出表_Excel!W85</f>
        <v>#N/A</v>
      </c>
    </row>
    <row r="86" spans="1:40" ht="16.2" customHeight="1">
      <c r="A86" s="160" t="e">
        <f t="array" aca="1" ref="A86" ca="1">IF(OR(COUNTIF(A84,"*10002*"),COUNTIF(A84,"")),"",INDEX(貼り付け用!$A1:$A200,MATCH(A84,貼り付け用!$A1:$A200,0)+2,0))</f>
        <v>#N/A</v>
      </c>
      <c r="B86" s="148" t="str">
        <f ca="1">IFERROR(VALUE(IF(VLOOKUP($A86,数出表_Excel!$A$6:$T$150,COLUMN()/2+1,FALSE)=0,"",VLOOKUP($A86,数出表_Excel!$A$6:$T$150,COLUMN()/2+1,FALSE))),"")</f>
        <v/>
      </c>
      <c r="C86" s="113"/>
      <c r="D86" s="148" t="str">
        <f ca="1">IFERROR(VALUE(IF(VLOOKUP($A86,数出表_Excel!$A$6:$T$150,COLUMN()/2+1,FALSE)=0,"",VLOOKUP($A86,数出表_Excel!$A$6:$T$150,COLUMN()/2+1,FALSE))),"")</f>
        <v/>
      </c>
      <c r="E86" s="113"/>
      <c r="F86" s="150" t="str">
        <f ca="1">IFERROR(VALUE(IF(VLOOKUP($A86,数出表_Excel!$A$6:$T$150,COLUMN()/2+1,FALSE)=0,"",VLOOKUP($A86,数出表_Excel!$A$6:$T$150,COLUMN()/2+1,FALSE))),"")</f>
        <v/>
      </c>
      <c r="G86" s="113"/>
      <c r="H86" s="148" t="str">
        <f ca="1">IFERROR(VALUE(IF(VLOOKUP($A86,数出表_Excel!$A$6:$T$150,COLUMN()/2+1,FALSE)=0,"",VLOOKUP($A86,数出表_Excel!$A$6:$T$150,COLUMN()/2+1,FALSE))),"")</f>
        <v/>
      </c>
      <c r="I86" s="113"/>
      <c r="J86" s="148" t="str">
        <f ca="1">IFERROR(VALUE(IF(VLOOKUP($A86,数出表_Excel!$A$6:$T$150,COLUMN()/2+1,FALSE)=0,"",VLOOKUP($A86,数出表_Excel!$A$6:$T$150,COLUMN()/2+1,FALSE))),"")</f>
        <v/>
      </c>
      <c r="K86" s="113"/>
      <c r="L86" s="150" t="str">
        <f ca="1">IFERROR(VALUE(IF(VLOOKUP($A86,数出表_Excel!$A$6:$T$150,COLUMN()/2+1,FALSE)=0,"",VLOOKUP($A86,数出表_Excel!$A$6:$T$150,COLUMN()/2+1,FALSE))),"")</f>
        <v/>
      </c>
      <c r="M86" s="113"/>
      <c r="N86" s="148" t="str">
        <f ca="1">IFERROR(VALUE(IF(VLOOKUP($A86,数出表_Excel!$A$6:$T$150,COLUMN()/2+1,FALSE)=0,"",VLOOKUP($A86,数出表_Excel!$A$6:$T$150,COLUMN()/2+1,FALSE))),"")</f>
        <v/>
      </c>
      <c r="O86" s="113"/>
      <c r="P86" s="148" t="str">
        <f ca="1">IFERROR(VALUE(IF(VLOOKUP($A86,数出表_Excel!$A$6:$T$150,COLUMN()/2+1,FALSE)=0,"",VLOOKUP($A86,数出表_Excel!$A$6:$T$150,COLUMN()/2+1,FALSE))),"")</f>
        <v/>
      </c>
      <c r="Q86" s="113"/>
      <c r="R86" s="148" t="str">
        <f ca="1">IFERROR(VALUE(IF(VLOOKUP($A86,数出表_Excel!$A$6:$T$150,COLUMN()/2+1,FALSE)=0,"",VLOOKUP($A86,数出表_Excel!$A$6:$T$150,COLUMN()/2+1,FALSE))),"")</f>
        <v/>
      </c>
      <c r="S86" s="113"/>
      <c r="T86" s="148" t="str">
        <f ca="1">IFERROR(VALUE(IF(VLOOKUP($A86,数出表_Excel!$A$6:$T$150,COLUMN()/2+1,FALSE)=0,"",VLOOKUP($A86,数出表_Excel!$A$6:$T$150,COLUMN()/2+1,FALSE))),"")</f>
        <v/>
      </c>
      <c r="U86" s="113"/>
      <c r="V86" s="150" t="str">
        <f ca="1">IFERROR(VALUE(IF(VLOOKUP($A86,数出表_Excel!$A$6:$T$150,COLUMN()/2+1,FALSE)=0,"",VLOOKUP($A86,数出表_Excel!$A$6:$T$150,COLUMN()/2+1,FALSE))),"")</f>
        <v/>
      </c>
      <c r="W86" s="113"/>
      <c r="X86" s="150" t="str">
        <f ca="1">IFERROR(VALUE(IF(VLOOKUP($A86,数出表_Excel!$A$6:$T$150,COLUMN()/2+1,FALSE)=0,"",VLOOKUP($A86,数出表_Excel!$A$6:$T$150,COLUMN()/2+1,FALSE))),"")</f>
        <v/>
      </c>
      <c r="Y86" s="113"/>
      <c r="Z86" s="150" t="str">
        <f ca="1">IFERROR(VALUE(IF(VLOOKUP($A86,数出表_Excel!$A$6:$T$150,COLUMN()/2+1,FALSE)=0,"",VLOOKUP($A86,数出表_Excel!$A$6:$T$150,COLUMN()/2+1,FALSE))),"")</f>
        <v/>
      </c>
      <c r="AA86" s="151"/>
      <c r="AB86" s="149" t="str">
        <f ca="1">IFERROR(VALUE(IF(VLOOKUP($A86,数出表_Excel!$A$6:$T$150,COLUMN()/2+1,FALSE)=0,"",VLOOKUP($A86,数出表_Excel!$A$6:$T$150,COLUMN()/2+1,FALSE))),"")</f>
        <v/>
      </c>
      <c r="AC86" s="113"/>
      <c r="AD86" s="150" t="str">
        <f ca="1">IFERROR(VALUE(IF(VLOOKUP($A86,数出表_Excel!$A$6:$T$150,COLUMN()/2+1,FALSE)=0,"",VLOOKUP($A86,数出表_Excel!$A$6:$T$150,COLUMN()/2+1,FALSE))),"")</f>
        <v/>
      </c>
      <c r="AE86" s="113"/>
      <c r="AF86" s="150" t="str">
        <f ca="1">IFERROR(VALUE(IF(VLOOKUP($A86,数出表_Excel!$A$6:$T$150,COLUMN()/2+1,FALSE)=0,"",VLOOKUP($A86,数出表_Excel!$A$6:$T$150,COLUMN()/2+1,FALSE))),"")</f>
        <v/>
      </c>
      <c r="AG86" s="113"/>
      <c r="AH86" s="150" t="str">
        <f ca="1">IFERROR(VALUE(IF(VLOOKUP($A86,数出表_Excel!$A$6:$T$150,COLUMN()/2+1,FALSE)=0,"",VLOOKUP($A86,数出表_Excel!$A$6:$T$150,COLUMN()/2+1,FALSE))),"")</f>
        <v/>
      </c>
      <c r="AI86" s="151"/>
      <c r="AJ86" s="149" t="str">
        <f ca="1">IFERROR(VALUE(IF(VLOOKUP($A86,数出表_Excel!$A$6:$T$150,COLUMN()/2+1,FALSE)=0,"",VLOOKUP($A86,数出表_Excel!$A$6:$T$150,COLUMN()/2+1,FALSE))),"")</f>
        <v/>
      </c>
      <c r="AK86" s="113"/>
      <c r="AL86" s="117" t="e">
        <f ca="1">IF(A86&lt;&gt;"",
IF(VLOOKUP($A86,数出表_Excel!$A$6:$T$150,COLUMN()/2+1,FALSE)=0,"",VLOOKUP($A86,数出表_Excel!$A$6:$T$150,COLUMN()/2+1,FALSE)),"")</f>
        <v>#N/A</v>
      </c>
      <c r="AM86" s="198" t="e">
        <f>数出表_Excel!V86</f>
        <v>#N/A</v>
      </c>
      <c r="AN86" s="199" t="e">
        <f>数出表_Excel!W86</f>
        <v>#N/A</v>
      </c>
    </row>
    <row r="87" spans="1:40" ht="16.2" customHeight="1">
      <c r="A87" s="161" t="e">
        <f t="array" aca="1" ref="A87" ca="1">IF(OR(COUNTIF(A85,"*1000*"),COUNTIF(A85,"")),"",INDEX(貼り付け用!$A1:$A200,MATCH(A85,貼り付け用!$A1:$A200,0)+2,0))</f>
        <v>#N/A</v>
      </c>
      <c r="B87" s="114" t="str">
        <f ca="1">IFERROR(VALUE(IF(VLOOKUP($A87,数出表_Excel!$A$6:$T$150,COLUMN()/2+1,FALSE)=0,"",VLOOKUP($A87,数出表_Excel!$A$6:$T$150,COLUMN()/2+1,FALSE))),"")</f>
        <v/>
      </c>
      <c r="C87" s="114"/>
      <c r="D87" s="114" t="str">
        <f ca="1">IFERROR(VALUE(IF(VLOOKUP($A87,数出表_Excel!$A$6:$T$150,COLUMN()/2+1,FALSE)=0,"",VLOOKUP($A87,数出表_Excel!$A$6:$T$150,COLUMN()/2+1,FALSE))),"")</f>
        <v/>
      </c>
      <c r="E87" s="114"/>
      <c r="F87" s="118" t="str">
        <f ca="1">IFERROR(VALUE(IF(VLOOKUP($A87,数出表_Excel!$A$6:$T$150,COLUMN()/2+1,FALSE)=0,"",VLOOKUP($A87,数出表_Excel!$A$6:$T$150,COLUMN()/2+1,FALSE))),"")</f>
        <v/>
      </c>
      <c r="G87" s="114"/>
      <c r="H87" s="114" t="str">
        <f ca="1">IFERROR(VALUE(IF(VLOOKUP($A87,数出表_Excel!$A$6:$T$150,COLUMN()/2+1,FALSE)=0,"",VLOOKUP($A87,数出表_Excel!$A$6:$T$150,COLUMN()/2+1,FALSE))),"")</f>
        <v/>
      </c>
      <c r="I87" s="114"/>
      <c r="J87" s="114" t="str">
        <f ca="1">IFERROR(VALUE(IF(VLOOKUP($A87,数出表_Excel!$A$6:$T$150,COLUMN()/2+1,FALSE)=0,"",VLOOKUP($A87,数出表_Excel!$A$6:$T$150,COLUMN()/2+1,FALSE))),"")</f>
        <v/>
      </c>
      <c r="K87" s="114"/>
      <c r="L87" s="118" t="str">
        <f ca="1">IFERROR(VALUE(IF(VLOOKUP($A87,数出表_Excel!$A$6:$T$150,COLUMN()/2+1,FALSE)=0,"",VLOOKUP($A87,数出表_Excel!$A$6:$T$150,COLUMN()/2+1,FALSE))),"")</f>
        <v/>
      </c>
      <c r="M87" s="114"/>
      <c r="N87" s="114" t="str">
        <f ca="1">IFERROR(VALUE(IF(VLOOKUP($A87,数出表_Excel!$A$6:$T$150,COLUMN()/2+1,FALSE)=0,"",VLOOKUP($A87,数出表_Excel!$A$6:$T$150,COLUMN()/2+1,FALSE))),"")</f>
        <v/>
      </c>
      <c r="O87" s="114"/>
      <c r="P87" s="114" t="str">
        <f ca="1">IFERROR(VALUE(IF(VLOOKUP($A87,数出表_Excel!$A$6:$T$150,COLUMN()/2+1,FALSE)=0,"",VLOOKUP($A87,数出表_Excel!$A$6:$T$150,COLUMN()/2+1,FALSE))),"")</f>
        <v/>
      </c>
      <c r="Q87" s="114"/>
      <c r="R87" s="114" t="str">
        <f ca="1">IFERROR(VALUE(IF(VLOOKUP($A87,数出表_Excel!$A$6:$T$150,COLUMN()/2+1,FALSE)=0,"",VLOOKUP($A87,数出表_Excel!$A$6:$T$150,COLUMN()/2+1,FALSE))),"")</f>
        <v/>
      </c>
      <c r="S87" s="114"/>
      <c r="T87" s="114" t="str">
        <f ca="1">IFERROR(VALUE(IF(VLOOKUP($A87,数出表_Excel!$A$6:$T$150,COLUMN()/2+1,FALSE)=0,"",VLOOKUP($A87,数出表_Excel!$A$6:$T$150,COLUMN()/2+1,FALSE))),"")</f>
        <v/>
      </c>
      <c r="U87" s="114"/>
      <c r="V87" s="118" t="str">
        <f ca="1">IFERROR(VALUE(IF(VLOOKUP($A87,数出表_Excel!$A$6:$T$150,COLUMN()/2+1,FALSE)=0,"",VLOOKUP($A87,数出表_Excel!$A$6:$T$150,COLUMN()/2+1,FALSE))),"")</f>
        <v/>
      </c>
      <c r="W87" s="114"/>
      <c r="X87" s="118" t="str">
        <f ca="1">IFERROR(VALUE(IF(VLOOKUP($A87,数出表_Excel!$A$6:$T$150,COLUMN()/2+1,FALSE)=0,"",VLOOKUP($A87,数出表_Excel!$A$6:$T$150,COLUMN()/2+1,FALSE))),"")</f>
        <v/>
      </c>
      <c r="Y87" s="114"/>
      <c r="Z87" s="118" t="str">
        <f ca="1">IFERROR(VALUE(IF(VLOOKUP($A87,数出表_Excel!$A$6:$T$150,COLUMN()/2+1,FALSE)=0,"",VLOOKUP($A87,数出表_Excel!$A$6:$T$150,COLUMN()/2+1,FALSE))),"")</f>
        <v/>
      </c>
      <c r="AA87" s="152"/>
      <c r="AB87" s="119" t="str">
        <f ca="1">IFERROR(VALUE(IF(VLOOKUP($A87,数出表_Excel!$A$6:$T$150,COLUMN()/2+1,FALSE)=0,"",VLOOKUP($A87,数出表_Excel!$A$6:$T$150,COLUMN()/2+1,FALSE))),"")</f>
        <v/>
      </c>
      <c r="AC87" s="114"/>
      <c r="AD87" s="118" t="str">
        <f ca="1">IFERROR(VALUE(IF(VLOOKUP($A87,数出表_Excel!$A$6:$T$150,COLUMN()/2+1,FALSE)=0,"",VLOOKUP($A87,数出表_Excel!$A$6:$T$150,COLUMN()/2+1,FALSE))),"")</f>
        <v/>
      </c>
      <c r="AE87" s="114"/>
      <c r="AF87" s="118" t="str">
        <f ca="1">IFERROR(VALUE(IF(VLOOKUP($A87,数出表_Excel!$A$6:$T$150,COLUMN()/2+1,FALSE)=0,"",VLOOKUP($A87,数出表_Excel!$A$6:$T$150,COLUMN()/2+1,FALSE))),"")</f>
        <v/>
      </c>
      <c r="AG87" s="114"/>
      <c r="AH87" s="118" t="str">
        <f ca="1">IFERROR(VALUE(IF(VLOOKUP($A87,数出表_Excel!$A$6:$T$150,COLUMN()/2+1,FALSE)=0,"",VLOOKUP($A87,数出表_Excel!$A$6:$T$150,COLUMN()/2+1,FALSE))),"")</f>
        <v/>
      </c>
      <c r="AI87" s="152"/>
      <c r="AJ87" s="119" t="str">
        <f ca="1">IFERROR(VALUE(IF(VLOOKUP($A87,数出表_Excel!$A$6:$T$150,COLUMN()/2+1,FALSE)=0,"",VLOOKUP($A87,数出表_Excel!$A$6:$T$150,COLUMN()/2+1,FALSE))),"")</f>
        <v/>
      </c>
      <c r="AK87" s="114"/>
      <c r="AL87" s="120" t="e">
        <f ca="1">IF(A87&lt;&gt;"",
IF(VLOOKUP($A87,数出表_Excel!$A$6:$T$150,COLUMN()/2+1,FALSE)=0,"",VLOOKUP($A87,数出表_Excel!$A$6:$T$150,COLUMN()/2+1,FALSE)),"")</f>
        <v>#N/A</v>
      </c>
      <c r="AM87" s="200" t="e">
        <f>数出表_Excel!V87</f>
        <v>#N/A</v>
      </c>
      <c r="AN87" s="201" t="e">
        <f>数出表_Excel!W87</f>
        <v>#N/A</v>
      </c>
    </row>
    <row r="88" spans="1:40" ht="16.2" customHeight="1">
      <c r="A88" s="160" t="e">
        <f t="array" aca="1" ref="A88" ca="1">IF(OR(COUNTIF(A86,"*10002*"),COUNTIF(A86,"")),"",INDEX(貼り付け用!$A1:$A200,MATCH(A86,貼り付け用!$A1:$A200,0)+2,0))</f>
        <v>#N/A</v>
      </c>
      <c r="B88" s="148" t="str">
        <f ca="1">IFERROR(VALUE(IF(VLOOKUP($A88,数出表_Excel!$A$6:$T$150,COLUMN()/2+1,FALSE)=0,"",VLOOKUP($A88,数出表_Excel!$A$6:$T$150,COLUMN()/2+1,FALSE))),"")</f>
        <v/>
      </c>
      <c r="C88" s="113"/>
      <c r="D88" s="148" t="str">
        <f ca="1">IFERROR(VALUE(IF(VLOOKUP($A88,数出表_Excel!$A$6:$T$150,COLUMN()/2+1,FALSE)=0,"",VLOOKUP($A88,数出表_Excel!$A$6:$T$150,COLUMN()/2+1,FALSE))),"")</f>
        <v/>
      </c>
      <c r="E88" s="113"/>
      <c r="F88" s="150" t="str">
        <f ca="1">IFERROR(VALUE(IF(VLOOKUP($A88,数出表_Excel!$A$6:$T$150,COLUMN()/2+1,FALSE)=0,"",VLOOKUP($A88,数出表_Excel!$A$6:$T$150,COLUMN()/2+1,FALSE))),"")</f>
        <v/>
      </c>
      <c r="G88" s="113"/>
      <c r="H88" s="148" t="str">
        <f ca="1">IFERROR(VALUE(IF(VLOOKUP($A88,数出表_Excel!$A$6:$T$150,COLUMN()/2+1,FALSE)=0,"",VLOOKUP($A88,数出表_Excel!$A$6:$T$150,COLUMN()/2+1,FALSE))),"")</f>
        <v/>
      </c>
      <c r="I88" s="113"/>
      <c r="J88" s="148" t="str">
        <f ca="1">IFERROR(VALUE(IF(VLOOKUP($A88,数出表_Excel!$A$6:$T$150,COLUMN()/2+1,FALSE)=0,"",VLOOKUP($A88,数出表_Excel!$A$6:$T$150,COLUMN()/2+1,FALSE))),"")</f>
        <v/>
      </c>
      <c r="K88" s="113"/>
      <c r="L88" s="150" t="str">
        <f ca="1">IFERROR(VALUE(IF(VLOOKUP($A88,数出表_Excel!$A$6:$T$150,COLUMN()/2+1,FALSE)=0,"",VLOOKUP($A88,数出表_Excel!$A$6:$T$150,COLUMN()/2+1,FALSE))),"")</f>
        <v/>
      </c>
      <c r="M88" s="113"/>
      <c r="N88" s="148" t="str">
        <f ca="1">IFERROR(VALUE(IF(VLOOKUP($A88,数出表_Excel!$A$6:$T$150,COLUMN()/2+1,FALSE)=0,"",VLOOKUP($A88,数出表_Excel!$A$6:$T$150,COLUMN()/2+1,FALSE))),"")</f>
        <v/>
      </c>
      <c r="O88" s="113"/>
      <c r="P88" s="148" t="str">
        <f ca="1">IFERROR(VALUE(IF(VLOOKUP($A88,数出表_Excel!$A$6:$T$150,COLUMN()/2+1,FALSE)=0,"",VLOOKUP($A88,数出表_Excel!$A$6:$T$150,COLUMN()/2+1,FALSE))),"")</f>
        <v/>
      </c>
      <c r="Q88" s="113"/>
      <c r="R88" s="148" t="str">
        <f ca="1">IFERROR(VALUE(IF(VLOOKUP($A88,数出表_Excel!$A$6:$T$150,COLUMN()/2+1,FALSE)=0,"",VLOOKUP($A88,数出表_Excel!$A$6:$T$150,COLUMN()/2+1,FALSE))),"")</f>
        <v/>
      </c>
      <c r="S88" s="113"/>
      <c r="T88" s="148" t="str">
        <f ca="1">IFERROR(VALUE(IF(VLOOKUP($A88,数出表_Excel!$A$6:$T$150,COLUMN()/2+1,FALSE)=0,"",VLOOKUP($A88,数出表_Excel!$A$6:$T$150,COLUMN()/2+1,FALSE))),"")</f>
        <v/>
      </c>
      <c r="U88" s="113"/>
      <c r="V88" s="150" t="str">
        <f ca="1">IFERROR(VALUE(IF(VLOOKUP($A88,数出表_Excel!$A$6:$T$150,COLUMN()/2+1,FALSE)=0,"",VLOOKUP($A88,数出表_Excel!$A$6:$T$150,COLUMN()/2+1,FALSE))),"")</f>
        <v/>
      </c>
      <c r="W88" s="113"/>
      <c r="X88" s="150" t="str">
        <f ca="1">IFERROR(VALUE(IF(VLOOKUP($A88,数出表_Excel!$A$6:$T$150,COLUMN()/2+1,FALSE)=0,"",VLOOKUP($A88,数出表_Excel!$A$6:$T$150,COLUMN()/2+1,FALSE))),"")</f>
        <v/>
      </c>
      <c r="Y88" s="113"/>
      <c r="Z88" s="150" t="str">
        <f ca="1">IFERROR(VALUE(IF(VLOOKUP($A88,数出表_Excel!$A$6:$T$150,COLUMN()/2+1,FALSE)=0,"",VLOOKUP($A88,数出表_Excel!$A$6:$T$150,COLUMN()/2+1,FALSE))),"")</f>
        <v/>
      </c>
      <c r="AA88" s="151"/>
      <c r="AB88" s="149" t="str">
        <f ca="1">IFERROR(VALUE(IF(VLOOKUP($A88,数出表_Excel!$A$6:$T$150,COLUMN()/2+1,FALSE)=0,"",VLOOKUP($A88,数出表_Excel!$A$6:$T$150,COLUMN()/2+1,FALSE))),"")</f>
        <v/>
      </c>
      <c r="AC88" s="113"/>
      <c r="AD88" s="150" t="str">
        <f ca="1">IFERROR(VALUE(IF(VLOOKUP($A88,数出表_Excel!$A$6:$T$150,COLUMN()/2+1,FALSE)=0,"",VLOOKUP($A88,数出表_Excel!$A$6:$T$150,COLUMN()/2+1,FALSE))),"")</f>
        <v/>
      </c>
      <c r="AE88" s="113"/>
      <c r="AF88" s="150" t="str">
        <f ca="1">IFERROR(VALUE(IF(VLOOKUP($A88,数出表_Excel!$A$6:$T$150,COLUMN()/2+1,FALSE)=0,"",VLOOKUP($A88,数出表_Excel!$A$6:$T$150,COLUMN()/2+1,FALSE))),"")</f>
        <v/>
      </c>
      <c r="AG88" s="113"/>
      <c r="AH88" s="150" t="str">
        <f ca="1">IFERROR(VALUE(IF(VLOOKUP($A88,数出表_Excel!$A$6:$T$150,COLUMN()/2+1,FALSE)=0,"",VLOOKUP($A88,数出表_Excel!$A$6:$T$150,COLUMN()/2+1,FALSE))),"")</f>
        <v/>
      </c>
      <c r="AI88" s="151"/>
      <c r="AJ88" s="149" t="str">
        <f ca="1">IFERROR(VALUE(IF(VLOOKUP($A88,数出表_Excel!$A$6:$T$150,COLUMN()/2+1,FALSE)=0,"",VLOOKUP($A88,数出表_Excel!$A$6:$T$150,COLUMN()/2+1,FALSE))),"")</f>
        <v/>
      </c>
      <c r="AK88" s="113"/>
      <c r="AL88" s="117" t="e">
        <f ca="1">IF(A88&lt;&gt;"",
IF(VLOOKUP($A88,数出表_Excel!$A$6:$T$150,COLUMN()/2+1,FALSE)=0,"",VLOOKUP($A88,数出表_Excel!$A$6:$T$150,COLUMN()/2+1,FALSE)),"")</f>
        <v>#N/A</v>
      </c>
      <c r="AM88" s="198" t="e">
        <f>数出表_Excel!V88</f>
        <v>#N/A</v>
      </c>
      <c r="AN88" s="199" t="e">
        <f>数出表_Excel!W88</f>
        <v>#N/A</v>
      </c>
    </row>
    <row r="89" spans="1:40" ht="16.2" customHeight="1">
      <c r="A89" s="161" t="e">
        <f t="array" aca="1" ref="A89" ca="1">IF(OR(COUNTIF(A87,"*1000*"),COUNTIF(A87,"")),"",INDEX(貼り付け用!$A1:$A200,MATCH(A87,貼り付け用!$A1:$A200,0)+2,0))</f>
        <v>#N/A</v>
      </c>
      <c r="B89" s="114" t="str">
        <f ca="1">IFERROR(VALUE(IF(VLOOKUP($A89,数出表_Excel!$A$6:$T$150,COLUMN()/2+1,FALSE)=0,"",VLOOKUP($A89,数出表_Excel!$A$6:$T$150,COLUMN()/2+1,FALSE))),"")</f>
        <v/>
      </c>
      <c r="C89" s="114"/>
      <c r="D89" s="114" t="str">
        <f ca="1">IFERROR(VALUE(IF(VLOOKUP($A89,数出表_Excel!$A$6:$T$150,COLUMN()/2+1,FALSE)=0,"",VLOOKUP($A89,数出表_Excel!$A$6:$T$150,COLUMN()/2+1,FALSE))),"")</f>
        <v/>
      </c>
      <c r="E89" s="114"/>
      <c r="F89" s="118" t="str">
        <f ca="1">IFERROR(VALUE(IF(VLOOKUP($A89,数出表_Excel!$A$6:$T$150,COLUMN()/2+1,FALSE)=0,"",VLOOKUP($A89,数出表_Excel!$A$6:$T$150,COLUMN()/2+1,FALSE))),"")</f>
        <v/>
      </c>
      <c r="G89" s="114"/>
      <c r="H89" s="114" t="str">
        <f ca="1">IFERROR(VALUE(IF(VLOOKUP($A89,数出表_Excel!$A$6:$T$150,COLUMN()/2+1,FALSE)=0,"",VLOOKUP($A89,数出表_Excel!$A$6:$T$150,COLUMN()/2+1,FALSE))),"")</f>
        <v/>
      </c>
      <c r="I89" s="114"/>
      <c r="J89" s="114" t="str">
        <f ca="1">IFERROR(VALUE(IF(VLOOKUP($A89,数出表_Excel!$A$6:$T$150,COLUMN()/2+1,FALSE)=0,"",VLOOKUP($A89,数出表_Excel!$A$6:$T$150,COLUMN()/2+1,FALSE))),"")</f>
        <v/>
      </c>
      <c r="K89" s="114"/>
      <c r="L89" s="118" t="str">
        <f ca="1">IFERROR(VALUE(IF(VLOOKUP($A89,数出表_Excel!$A$6:$T$150,COLUMN()/2+1,FALSE)=0,"",VLOOKUP($A89,数出表_Excel!$A$6:$T$150,COLUMN()/2+1,FALSE))),"")</f>
        <v/>
      </c>
      <c r="M89" s="114"/>
      <c r="N89" s="114" t="str">
        <f ca="1">IFERROR(VALUE(IF(VLOOKUP($A89,数出表_Excel!$A$6:$T$150,COLUMN()/2+1,FALSE)=0,"",VLOOKUP($A89,数出表_Excel!$A$6:$T$150,COLUMN()/2+1,FALSE))),"")</f>
        <v/>
      </c>
      <c r="O89" s="114"/>
      <c r="P89" s="114" t="str">
        <f ca="1">IFERROR(VALUE(IF(VLOOKUP($A89,数出表_Excel!$A$6:$T$150,COLUMN()/2+1,FALSE)=0,"",VLOOKUP($A89,数出表_Excel!$A$6:$T$150,COLUMN()/2+1,FALSE))),"")</f>
        <v/>
      </c>
      <c r="Q89" s="114"/>
      <c r="R89" s="114" t="str">
        <f ca="1">IFERROR(VALUE(IF(VLOOKUP($A89,数出表_Excel!$A$6:$T$150,COLUMN()/2+1,FALSE)=0,"",VLOOKUP($A89,数出表_Excel!$A$6:$T$150,COLUMN()/2+1,FALSE))),"")</f>
        <v/>
      </c>
      <c r="S89" s="114"/>
      <c r="T89" s="114" t="str">
        <f ca="1">IFERROR(VALUE(IF(VLOOKUP($A89,数出表_Excel!$A$6:$T$150,COLUMN()/2+1,FALSE)=0,"",VLOOKUP($A89,数出表_Excel!$A$6:$T$150,COLUMN()/2+1,FALSE))),"")</f>
        <v/>
      </c>
      <c r="U89" s="114"/>
      <c r="V89" s="118" t="str">
        <f ca="1">IFERROR(VALUE(IF(VLOOKUP($A89,数出表_Excel!$A$6:$T$150,COLUMN()/2+1,FALSE)=0,"",VLOOKUP($A89,数出表_Excel!$A$6:$T$150,COLUMN()/2+1,FALSE))),"")</f>
        <v/>
      </c>
      <c r="W89" s="114"/>
      <c r="X89" s="118" t="str">
        <f ca="1">IFERROR(VALUE(IF(VLOOKUP($A89,数出表_Excel!$A$6:$T$150,COLUMN()/2+1,FALSE)=0,"",VLOOKUP($A89,数出表_Excel!$A$6:$T$150,COLUMN()/2+1,FALSE))),"")</f>
        <v/>
      </c>
      <c r="Y89" s="114"/>
      <c r="Z89" s="118" t="str">
        <f ca="1">IFERROR(VALUE(IF(VLOOKUP($A89,数出表_Excel!$A$6:$T$150,COLUMN()/2+1,FALSE)=0,"",VLOOKUP($A89,数出表_Excel!$A$6:$T$150,COLUMN()/2+1,FALSE))),"")</f>
        <v/>
      </c>
      <c r="AA89" s="152"/>
      <c r="AB89" s="119" t="str">
        <f ca="1">IFERROR(VALUE(IF(VLOOKUP($A89,数出表_Excel!$A$6:$T$150,COLUMN()/2+1,FALSE)=0,"",VLOOKUP($A89,数出表_Excel!$A$6:$T$150,COLUMN()/2+1,FALSE))),"")</f>
        <v/>
      </c>
      <c r="AC89" s="114"/>
      <c r="AD89" s="118" t="str">
        <f ca="1">IFERROR(VALUE(IF(VLOOKUP($A89,数出表_Excel!$A$6:$T$150,COLUMN()/2+1,FALSE)=0,"",VLOOKUP($A89,数出表_Excel!$A$6:$T$150,COLUMN()/2+1,FALSE))),"")</f>
        <v/>
      </c>
      <c r="AE89" s="114"/>
      <c r="AF89" s="118" t="str">
        <f ca="1">IFERROR(VALUE(IF(VLOOKUP($A89,数出表_Excel!$A$6:$T$150,COLUMN()/2+1,FALSE)=0,"",VLOOKUP($A89,数出表_Excel!$A$6:$T$150,COLUMN()/2+1,FALSE))),"")</f>
        <v/>
      </c>
      <c r="AG89" s="114"/>
      <c r="AH89" s="118" t="str">
        <f ca="1">IFERROR(VALUE(IF(VLOOKUP($A89,数出表_Excel!$A$6:$T$150,COLUMN()/2+1,FALSE)=0,"",VLOOKUP($A89,数出表_Excel!$A$6:$T$150,COLUMN()/2+1,FALSE))),"")</f>
        <v/>
      </c>
      <c r="AI89" s="152"/>
      <c r="AJ89" s="119" t="str">
        <f ca="1">IFERROR(VALUE(IF(VLOOKUP($A89,数出表_Excel!$A$6:$T$150,COLUMN()/2+1,FALSE)=0,"",VLOOKUP($A89,数出表_Excel!$A$6:$T$150,COLUMN()/2+1,FALSE))),"")</f>
        <v/>
      </c>
      <c r="AK89" s="114"/>
      <c r="AL89" s="120" t="e">
        <f ca="1">IF(A89&lt;&gt;"",
IF(VLOOKUP($A89,数出表_Excel!$A$6:$T$150,COLUMN()/2+1,FALSE)=0,"",VLOOKUP($A89,数出表_Excel!$A$6:$T$150,COLUMN()/2+1,FALSE)),"")</f>
        <v>#N/A</v>
      </c>
      <c r="AM89" s="200" t="e">
        <f>数出表_Excel!V89</f>
        <v>#N/A</v>
      </c>
      <c r="AN89" s="201" t="e">
        <f>数出表_Excel!W89</f>
        <v>#N/A</v>
      </c>
    </row>
    <row r="90" spans="1:40" ht="16.2" customHeight="1">
      <c r="A90" s="160" t="e">
        <f t="array" aca="1" ref="A90" ca="1">IF(OR(COUNTIF(A88,"*10002*"),COUNTIF(A88,"")),"",INDEX(貼り付け用!$A1:$A200,MATCH(A88,貼り付け用!$A1:$A200,0)+2,0))</f>
        <v>#N/A</v>
      </c>
      <c r="B90" s="148" t="str">
        <f ca="1">IFERROR(VALUE(IF(VLOOKUP($A90,数出表_Excel!$A$6:$T$150,COLUMN()/2+1,FALSE)=0,"",VLOOKUP($A90,数出表_Excel!$A$6:$T$150,COLUMN()/2+1,FALSE))),"")</f>
        <v/>
      </c>
      <c r="C90" s="113"/>
      <c r="D90" s="148" t="str">
        <f ca="1">IFERROR(VALUE(IF(VLOOKUP($A90,数出表_Excel!$A$6:$T$150,COLUMN()/2+1,FALSE)=0,"",VLOOKUP($A90,数出表_Excel!$A$6:$T$150,COLUMN()/2+1,FALSE))),"")</f>
        <v/>
      </c>
      <c r="E90" s="113"/>
      <c r="F90" s="150" t="str">
        <f ca="1">IFERROR(VALUE(IF(VLOOKUP($A90,数出表_Excel!$A$6:$T$150,COLUMN()/2+1,FALSE)=0,"",VLOOKUP($A90,数出表_Excel!$A$6:$T$150,COLUMN()/2+1,FALSE))),"")</f>
        <v/>
      </c>
      <c r="G90" s="113"/>
      <c r="H90" s="148" t="str">
        <f ca="1">IFERROR(VALUE(IF(VLOOKUP($A90,数出表_Excel!$A$6:$T$150,COLUMN()/2+1,FALSE)=0,"",VLOOKUP($A90,数出表_Excel!$A$6:$T$150,COLUMN()/2+1,FALSE))),"")</f>
        <v/>
      </c>
      <c r="I90" s="113"/>
      <c r="J90" s="148" t="str">
        <f ca="1">IFERROR(VALUE(IF(VLOOKUP($A90,数出表_Excel!$A$6:$T$150,COLUMN()/2+1,FALSE)=0,"",VLOOKUP($A90,数出表_Excel!$A$6:$T$150,COLUMN()/2+1,FALSE))),"")</f>
        <v/>
      </c>
      <c r="K90" s="113"/>
      <c r="L90" s="150" t="str">
        <f ca="1">IFERROR(VALUE(IF(VLOOKUP($A90,数出表_Excel!$A$6:$T$150,COLUMN()/2+1,FALSE)=0,"",VLOOKUP($A90,数出表_Excel!$A$6:$T$150,COLUMN()/2+1,FALSE))),"")</f>
        <v/>
      </c>
      <c r="M90" s="113"/>
      <c r="N90" s="148" t="str">
        <f ca="1">IFERROR(VALUE(IF(VLOOKUP($A90,数出表_Excel!$A$6:$T$150,COLUMN()/2+1,FALSE)=0,"",VLOOKUP($A90,数出表_Excel!$A$6:$T$150,COLUMN()/2+1,FALSE))),"")</f>
        <v/>
      </c>
      <c r="O90" s="113"/>
      <c r="P90" s="148" t="str">
        <f ca="1">IFERROR(VALUE(IF(VLOOKUP($A90,数出表_Excel!$A$6:$T$150,COLUMN()/2+1,FALSE)=0,"",VLOOKUP($A90,数出表_Excel!$A$6:$T$150,COLUMN()/2+1,FALSE))),"")</f>
        <v/>
      </c>
      <c r="Q90" s="113"/>
      <c r="R90" s="148" t="str">
        <f ca="1">IFERROR(VALUE(IF(VLOOKUP($A90,数出表_Excel!$A$6:$T$150,COLUMN()/2+1,FALSE)=0,"",VLOOKUP($A90,数出表_Excel!$A$6:$T$150,COLUMN()/2+1,FALSE))),"")</f>
        <v/>
      </c>
      <c r="S90" s="113"/>
      <c r="T90" s="148" t="str">
        <f ca="1">IFERROR(VALUE(IF(VLOOKUP($A90,数出表_Excel!$A$6:$T$150,COLUMN()/2+1,FALSE)=0,"",VLOOKUP($A90,数出表_Excel!$A$6:$T$150,COLUMN()/2+1,FALSE))),"")</f>
        <v/>
      </c>
      <c r="U90" s="113"/>
      <c r="V90" s="150" t="str">
        <f ca="1">IFERROR(VALUE(IF(VLOOKUP($A90,数出表_Excel!$A$6:$T$150,COLUMN()/2+1,FALSE)=0,"",VLOOKUP($A90,数出表_Excel!$A$6:$T$150,COLUMN()/2+1,FALSE))),"")</f>
        <v/>
      </c>
      <c r="W90" s="113"/>
      <c r="X90" s="150" t="str">
        <f ca="1">IFERROR(VALUE(IF(VLOOKUP($A90,数出表_Excel!$A$6:$T$150,COLUMN()/2+1,FALSE)=0,"",VLOOKUP($A90,数出表_Excel!$A$6:$T$150,COLUMN()/2+1,FALSE))),"")</f>
        <v/>
      </c>
      <c r="Y90" s="113"/>
      <c r="Z90" s="150" t="str">
        <f ca="1">IFERROR(VALUE(IF(VLOOKUP($A90,数出表_Excel!$A$6:$T$150,COLUMN()/2+1,FALSE)=0,"",VLOOKUP($A90,数出表_Excel!$A$6:$T$150,COLUMN()/2+1,FALSE))),"")</f>
        <v/>
      </c>
      <c r="AA90" s="151"/>
      <c r="AB90" s="149" t="str">
        <f ca="1">IFERROR(VALUE(IF(VLOOKUP($A90,数出表_Excel!$A$6:$T$150,COLUMN()/2+1,FALSE)=0,"",VLOOKUP($A90,数出表_Excel!$A$6:$T$150,COLUMN()/2+1,FALSE))),"")</f>
        <v/>
      </c>
      <c r="AC90" s="113"/>
      <c r="AD90" s="150" t="str">
        <f ca="1">IFERROR(VALUE(IF(VLOOKUP($A90,数出表_Excel!$A$6:$T$150,COLUMN()/2+1,FALSE)=0,"",VLOOKUP($A90,数出表_Excel!$A$6:$T$150,COLUMN()/2+1,FALSE))),"")</f>
        <v/>
      </c>
      <c r="AE90" s="113"/>
      <c r="AF90" s="150" t="str">
        <f ca="1">IFERROR(VALUE(IF(VLOOKUP($A90,数出表_Excel!$A$6:$T$150,COLUMN()/2+1,FALSE)=0,"",VLOOKUP($A90,数出表_Excel!$A$6:$T$150,COLUMN()/2+1,FALSE))),"")</f>
        <v/>
      </c>
      <c r="AG90" s="113"/>
      <c r="AH90" s="150" t="str">
        <f ca="1">IFERROR(VALUE(IF(VLOOKUP($A90,数出表_Excel!$A$6:$T$150,COLUMN()/2+1,FALSE)=0,"",VLOOKUP($A90,数出表_Excel!$A$6:$T$150,COLUMN()/2+1,FALSE))),"")</f>
        <v/>
      </c>
      <c r="AI90" s="151"/>
      <c r="AJ90" s="149" t="str">
        <f ca="1">IFERROR(VALUE(IF(VLOOKUP($A90,数出表_Excel!$A$6:$T$150,COLUMN()/2+1,FALSE)=0,"",VLOOKUP($A90,数出表_Excel!$A$6:$T$150,COLUMN()/2+1,FALSE))),"")</f>
        <v/>
      </c>
      <c r="AK90" s="113"/>
      <c r="AL90" s="117" t="e">
        <f ca="1">IF(A90&lt;&gt;"",
IF(VLOOKUP($A90,数出表_Excel!$A$6:$T$150,COLUMN()/2+1,FALSE)=0,"",VLOOKUP($A90,数出表_Excel!$A$6:$T$150,COLUMN()/2+1,FALSE)),"")</f>
        <v>#N/A</v>
      </c>
      <c r="AM90" s="198" t="e">
        <f>数出表_Excel!V90</f>
        <v>#N/A</v>
      </c>
      <c r="AN90" s="199" t="e">
        <f>数出表_Excel!W90</f>
        <v>#N/A</v>
      </c>
    </row>
    <row r="91" spans="1:40" ht="16.2" customHeight="1">
      <c r="A91" s="161" t="e">
        <f t="array" aca="1" ref="A91" ca="1">IF(OR(COUNTIF(A89,"*1000*"),COUNTIF(A89,"")),"",INDEX(貼り付け用!$A1:$A200,MATCH(A89,貼り付け用!$A1:$A200,0)+2,0))</f>
        <v>#N/A</v>
      </c>
      <c r="B91" s="114" t="str">
        <f ca="1">IFERROR(VALUE(IF(VLOOKUP($A91,数出表_Excel!$A$6:$T$150,COLUMN()/2+1,FALSE)=0,"",VLOOKUP($A91,数出表_Excel!$A$6:$T$150,COLUMN()/2+1,FALSE))),"")</f>
        <v/>
      </c>
      <c r="C91" s="114"/>
      <c r="D91" s="114" t="str">
        <f ca="1">IFERROR(VALUE(IF(VLOOKUP($A91,数出表_Excel!$A$6:$T$150,COLUMN()/2+1,FALSE)=0,"",VLOOKUP($A91,数出表_Excel!$A$6:$T$150,COLUMN()/2+1,FALSE))),"")</f>
        <v/>
      </c>
      <c r="E91" s="114"/>
      <c r="F91" s="118" t="str">
        <f ca="1">IFERROR(VALUE(IF(VLOOKUP($A91,数出表_Excel!$A$6:$T$150,COLUMN()/2+1,FALSE)=0,"",VLOOKUP($A91,数出表_Excel!$A$6:$T$150,COLUMN()/2+1,FALSE))),"")</f>
        <v/>
      </c>
      <c r="G91" s="114"/>
      <c r="H91" s="114" t="str">
        <f ca="1">IFERROR(VALUE(IF(VLOOKUP($A91,数出表_Excel!$A$6:$T$150,COLUMN()/2+1,FALSE)=0,"",VLOOKUP($A91,数出表_Excel!$A$6:$T$150,COLUMN()/2+1,FALSE))),"")</f>
        <v/>
      </c>
      <c r="I91" s="114"/>
      <c r="J91" s="114" t="str">
        <f ca="1">IFERROR(VALUE(IF(VLOOKUP($A91,数出表_Excel!$A$6:$T$150,COLUMN()/2+1,FALSE)=0,"",VLOOKUP($A91,数出表_Excel!$A$6:$T$150,COLUMN()/2+1,FALSE))),"")</f>
        <v/>
      </c>
      <c r="K91" s="114"/>
      <c r="L91" s="118" t="str">
        <f ca="1">IFERROR(VALUE(IF(VLOOKUP($A91,数出表_Excel!$A$6:$T$150,COLUMN()/2+1,FALSE)=0,"",VLOOKUP($A91,数出表_Excel!$A$6:$T$150,COLUMN()/2+1,FALSE))),"")</f>
        <v/>
      </c>
      <c r="M91" s="114"/>
      <c r="N91" s="114" t="str">
        <f ca="1">IFERROR(VALUE(IF(VLOOKUP($A91,数出表_Excel!$A$6:$T$150,COLUMN()/2+1,FALSE)=0,"",VLOOKUP($A91,数出表_Excel!$A$6:$T$150,COLUMN()/2+1,FALSE))),"")</f>
        <v/>
      </c>
      <c r="O91" s="114"/>
      <c r="P91" s="114" t="str">
        <f ca="1">IFERROR(VALUE(IF(VLOOKUP($A91,数出表_Excel!$A$6:$T$150,COLUMN()/2+1,FALSE)=0,"",VLOOKUP($A91,数出表_Excel!$A$6:$T$150,COLUMN()/2+1,FALSE))),"")</f>
        <v/>
      </c>
      <c r="Q91" s="114"/>
      <c r="R91" s="114" t="str">
        <f ca="1">IFERROR(VALUE(IF(VLOOKUP($A91,数出表_Excel!$A$6:$T$150,COLUMN()/2+1,FALSE)=0,"",VLOOKUP($A91,数出表_Excel!$A$6:$T$150,COLUMN()/2+1,FALSE))),"")</f>
        <v/>
      </c>
      <c r="S91" s="114"/>
      <c r="T91" s="114" t="str">
        <f ca="1">IFERROR(VALUE(IF(VLOOKUP($A91,数出表_Excel!$A$6:$T$150,COLUMN()/2+1,FALSE)=0,"",VLOOKUP($A91,数出表_Excel!$A$6:$T$150,COLUMN()/2+1,FALSE))),"")</f>
        <v/>
      </c>
      <c r="U91" s="114"/>
      <c r="V91" s="118" t="str">
        <f ca="1">IFERROR(VALUE(IF(VLOOKUP($A91,数出表_Excel!$A$6:$T$150,COLUMN()/2+1,FALSE)=0,"",VLOOKUP($A91,数出表_Excel!$A$6:$T$150,COLUMN()/2+1,FALSE))),"")</f>
        <v/>
      </c>
      <c r="W91" s="114"/>
      <c r="X91" s="118" t="str">
        <f ca="1">IFERROR(VALUE(IF(VLOOKUP($A91,数出表_Excel!$A$6:$T$150,COLUMN()/2+1,FALSE)=0,"",VLOOKUP($A91,数出表_Excel!$A$6:$T$150,COLUMN()/2+1,FALSE))),"")</f>
        <v/>
      </c>
      <c r="Y91" s="114"/>
      <c r="Z91" s="118" t="str">
        <f ca="1">IFERROR(VALUE(IF(VLOOKUP($A91,数出表_Excel!$A$6:$T$150,COLUMN()/2+1,FALSE)=0,"",VLOOKUP($A91,数出表_Excel!$A$6:$T$150,COLUMN()/2+1,FALSE))),"")</f>
        <v/>
      </c>
      <c r="AA91" s="152"/>
      <c r="AB91" s="119" t="str">
        <f ca="1">IFERROR(VALUE(IF(VLOOKUP($A91,数出表_Excel!$A$6:$T$150,COLUMN()/2+1,FALSE)=0,"",VLOOKUP($A91,数出表_Excel!$A$6:$T$150,COLUMN()/2+1,FALSE))),"")</f>
        <v/>
      </c>
      <c r="AC91" s="114"/>
      <c r="AD91" s="118" t="str">
        <f ca="1">IFERROR(VALUE(IF(VLOOKUP($A91,数出表_Excel!$A$6:$T$150,COLUMN()/2+1,FALSE)=0,"",VLOOKUP($A91,数出表_Excel!$A$6:$T$150,COLUMN()/2+1,FALSE))),"")</f>
        <v/>
      </c>
      <c r="AE91" s="114"/>
      <c r="AF91" s="118" t="str">
        <f ca="1">IFERROR(VALUE(IF(VLOOKUP($A91,数出表_Excel!$A$6:$T$150,COLUMN()/2+1,FALSE)=0,"",VLOOKUP($A91,数出表_Excel!$A$6:$T$150,COLUMN()/2+1,FALSE))),"")</f>
        <v/>
      </c>
      <c r="AG91" s="114"/>
      <c r="AH91" s="118" t="str">
        <f ca="1">IFERROR(VALUE(IF(VLOOKUP($A91,数出表_Excel!$A$6:$T$150,COLUMN()/2+1,FALSE)=0,"",VLOOKUP($A91,数出表_Excel!$A$6:$T$150,COLUMN()/2+1,FALSE))),"")</f>
        <v/>
      </c>
      <c r="AI91" s="152"/>
      <c r="AJ91" s="119" t="str">
        <f ca="1">IFERROR(VALUE(IF(VLOOKUP($A91,数出表_Excel!$A$6:$T$150,COLUMN()/2+1,FALSE)=0,"",VLOOKUP($A91,数出表_Excel!$A$6:$T$150,COLUMN()/2+1,FALSE))),"")</f>
        <v/>
      </c>
      <c r="AK91" s="114"/>
      <c r="AL91" s="120" t="e">
        <f ca="1">IF(A91&lt;&gt;"",
IF(VLOOKUP($A91,数出表_Excel!$A$6:$T$150,COLUMN()/2+1,FALSE)=0,"",VLOOKUP($A91,数出表_Excel!$A$6:$T$150,COLUMN()/2+1,FALSE)),"")</f>
        <v>#N/A</v>
      </c>
      <c r="AM91" s="200" t="e">
        <f>数出表_Excel!V91</f>
        <v>#N/A</v>
      </c>
      <c r="AN91" s="201" t="e">
        <f>数出表_Excel!W91</f>
        <v>#N/A</v>
      </c>
    </row>
    <row r="92" spans="1:40" ht="16.2" customHeight="1">
      <c r="A92" s="160" t="e">
        <f t="array" aca="1" ref="A92" ca="1">IF(OR(COUNTIF(A90,"*10002*"),COUNTIF(A90,"")),"",INDEX(貼り付け用!$A1:$A200,MATCH(A90,貼り付け用!$A1:$A200,0)+2,0))</f>
        <v>#N/A</v>
      </c>
      <c r="B92" s="148" t="str">
        <f ca="1">IFERROR(VALUE(IF(VLOOKUP($A92,数出表_Excel!$A$6:$T$150,COLUMN()/2+1,FALSE)=0,"",VLOOKUP($A92,数出表_Excel!$A$6:$T$150,COLUMN()/2+1,FALSE))),"")</f>
        <v/>
      </c>
      <c r="C92" s="113"/>
      <c r="D92" s="148" t="str">
        <f ca="1">IFERROR(VALUE(IF(VLOOKUP($A92,数出表_Excel!$A$6:$T$150,COLUMN()/2+1,FALSE)=0,"",VLOOKUP($A92,数出表_Excel!$A$6:$T$150,COLUMN()/2+1,FALSE))),"")</f>
        <v/>
      </c>
      <c r="E92" s="113"/>
      <c r="F92" s="150" t="str">
        <f ca="1">IFERROR(VALUE(IF(VLOOKUP($A92,数出表_Excel!$A$6:$T$150,COLUMN()/2+1,FALSE)=0,"",VLOOKUP($A92,数出表_Excel!$A$6:$T$150,COLUMN()/2+1,FALSE))),"")</f>
        <v/>
      </c>
      <c r="G92" s="113"/>
      <c r="H92" s="148" t="str">
        <f ca="1">IFERROR(VALUE(IF(VLOOKUP($A92,数出表_Excel!$A$6:$T$150,COLUMN()/2+1,FALSE)=0,"",VLOOKUP($A92,数出表_Excel!$A$6:$T$150,COLUMN()/2+1,FALSE))),"")</f>
        <v/>
      </c>
      <c r="I92" s="113"/>
      <c r="J92" s="148" t="str">
        <f ca="1">IFERROR(VALUE(IF(VLOOKUP($A92,数出表_Excel!$A$6:$T$150,COLUMN()/2+1,FALSE)=0,"",VLOOKUP($A92,数出表_Excel!$A$6:$T$150,COLUMN()/2+1,FALSE))),"")</f>
        <v/>
      </c>
      <c r="K92" s="113"/>
      <c r="L92" s="150" t="str">
        <f ca="1">IFERROR(VALUE(IF(VLOOKUP($A92,数出表_Excel!$A$6:$T$150,COLUMN()/2+1,FALSE)=0,"",VLOOKUP($A92,数出表_Excel!$A$6:$T$150,COLUMN()/2+1,FALSE))),"")</f>
        <v/>
      </c>
      <c r="M92" s="113"/>
      <c r="N92" s="148" t="str">
        <f ca="1">IFERROR(VALUE(IF(VLOOKUP($A92,数出表_Excel!$A$6:$T$150,COLUMN()/2+1,FALSE)=0,"",VLOOKUP($A92,数出表_Excel!$A$6:$T$150,COLUMN()/2+1,FALSE))),"")</f>
        <v/>
      </c>
      <c r="O92" s="113"/>
      <c r="P92" s="148" t="str">
        <f ca="1">IFERROR(VALUE(IF(VLOOKUP($A92,数出表_Excel!$A$6:$T$150,COLUMN()/2+1,FALSE)=0,"",VLOOKUP($A92,数出表_Excel!$A$6:$T$150,COLUMN()/2+1,FALSE))),"")</f>
        <v/>
      </c>
      <c r="Q92" s="113"/>
      <c r="R92" s="148" t="str">
        <f ca="1">IFERROR(VALUE(IF(VLOOKUP($A92,数出表_Excel!$A$6:$T$150,COLUMN()/2+1,FALSE)=0,"",VLOOKUP($A92,数出表_Excel!$A$6:$T$150,COLUMN()/2+1,FALSE))),"")</f>
        <v/>
      </c>
      <c r="S92" s="113"/>
      <c r="T92" s="148" t="str">
        <f ca="1">IFERROR(VALUE(IF(VLOOKUP($A92,数出表_Excel!$A$6:$T$150,COLUMN()/2+1,FALSE)=0,"",VLOOKUP($A92,数出表_Excel!$A$6:$T$150,COLUMN()/2+1,FALSE))),"")</f>
        <v/>
      </c>
      <c r="U92" s="113"/>
      <c r="V92" s="150" t="str">
        <f ca="1">IFERROR(VALUE(IF(VLOOKUP($A92,数出表_Excel!$A$6:$T$150,COLUMN()/2+1,FALSE)=0,"",VLOOKUP($A92,数出表_Excel!$A$6:$T$150,COLUMN()/2+1,FALSE))),"")</f>
        <v/>
      </c>
      <c r="W92" s="113"/>
      <c r="X92" s="150" t="str">
        <f ca="1">IFERROR(VALUE(IF(VLOOKUP($A92,数出表_Excel!$A$6:$T$150,COLUMN()/2+1,FALSE)=0,"",VLOOKUP($A92,数出表_Excel!$A$6:$T$150,COLUMN()/2+1,FALSE))),"")</f>
        <v/>
      </c>
      <c r="Y92" s="113"/>
      <c r="Z92" s="150" t="str">
        <f ca="1">IFERROR(VALUE(IF(VLOOKUP($A92,数出表_Excel!$A$6:$T$150,COLUMN()/2+1,FALSE)=0,"",VLOOKUP($A92,数出表_Excel!$A$6:$T$150,COLUMN()/2+1,FALSE))),"")</f>
        <v/>
      </c>
      <c r="AA92" s="151"/>
      <c r="AB92" s="149" t="str">
        <f ca="1">IFERROR(VALUE(IF(VLOOKUP($A92,数出表_Excel!$A$6:$T$150,COLUMN()/2+1,FALSE)=0,"",VLOOKUP($A92,数出表_Excel!$A$6:$T$150,COLUMN()/2+1,FALSE))),"")</f>
        <v/>
      </c>
      <c r="AC92" s="113"/>
      <c r="AD92" s="150" t="str">
        <f ca="1">IFERROR(VALUE(IF(VLOOKUP($A92,数出表_Excel!$A$6:$T$150,COLUMN()/2+1,FALSE)=0,"",VLOOKUP($A92,数出表_Excel!$A$6:$T$150,COLUMN()/2+1,FALSE))),"")</f>
        <v/>
      </c>
      <c r="AE92" s="113"/>
      <c r="AF92" s="150" t="str">
        <f ca="1">IFERROR(VALUE(IF(VLOOKUP($A92,数出表_Excel!$A$6:$T$150,COLUMN()/2+1,FALSE)=0,"",VLOOKUP($A92,数出表_Excel!$A$6:$T$150,COLUMN()/2+1,FALSE))),"")</f>
        <v/>
      </c>
      <c r="AG92" s="113"/>
      <c r="AH92" s="150" t="str">
        <f ca="1">IFERROR(VALUE(IF(VLOOKUP($A92,数出表_Excel!$A$6:$T$150,COLUMN()/2+1,FALSE)=0,"",VLOOKUP($A92,数出表_Excel!$A$6:$T$150,COLUMN()/2+1,FALSE))),"")</f>
        <v/>
      </c>
      <c r="AI92" s="151"/>
      <c r="AJ92" s="149" t="str">
        <f ca="1">IFERROR(VALUE(IF(VLOOKUP($A92,数出表_Excel!$A$6:$T$150,COLUMN()/2+1,FALSE)=0,"",VLOOKUP($A92,数出表_Excel!$A$6:$T$150,COLUMN()/2+1,FALSE))),"")</f>
        <v/>
      </c>
      <c r="AK92" s="113"/>
      <c r="AL92" s="117" t="e">
        <f ca="1">IF(A92&lt;&gt;"",
IF(VLOOKUP($A92,数出表_Excel!$A$6:$T$150,COLUMN()/2+1,FALSE)=0,"",VLOOKUP($A92,数出表_Excel!$A$6:$T$150,COLUMN()/2+1,FALSE)),"")</f>
        <v>#N/A</v>
      </c>
      <c r="AM92" s="198" t="e">
        <f>数出表_Excel!V92</f>
        <v>#N/A</v>
      </c>
      <c r="AN92" s="199" t="e">
        <f>数出表_Excel!W92</f>
        <v>#N/A</v>
      </c>
    </row>
    <row r="93" spans="1:40" ht="16.2" customHeight="1">
      <c r="A93" s="161" t="e">
        <f t="array" aca="1" ref="A93" ca="1">IF(OR(COUNTIF(A91,"*1000*"),COUNTIF(A91,"")),"",INDEX(貼り付け用!$A1:$A200,MATCH(A91,貼り付け用!$A1:$A200,0)+2,0))</f>
        <v>#N/A</v>
      </c>
      <c r="B93" s="114" t="str">
        <f ca="1">IFERROR(VALUE(IF(VLOOKUP($A93,数出表_Excel!$A$6:$T$150,COLUMN()/2+1,FALSE)=0,"",VLOOKUP($A93,数出表_Excel!$A$6:$T$150,COLUMN()/2+1,FALSE))),"")</f>
        <v/>
      </c>
      <c r="C93" s="114"/>
      <c r="D93" s="114" t="str">
        <f ca="1">IFERROR(VALUE(IF(VLOOKUP($A93,数出表_Excel!$A$6:$T$150,COLUMN()/2+1,FALSE)=0,"",VLOOKUP($A93,数出表_Excel!$A$6:$T$150,COLUMN()/2+1,FALSE))),"")</f>
        <v/>
      </c>
      <c r="E93" s="114"/>
      <c r="F93" s="118" t="str">
        <f ca="1">IFERROR(VALUE(IF(VLOOKUP($A93,数出表_Excel!$A$6:$T$150,COLUMN()/2+1,FALSE)=0,"",VLOOKUP($A93,数出表_Excel!$A$6:$T$150,COLUMN()/2+1,FALSE))),"")</f>
        <v/>
      </c>
      <c r="G93" s="114"/>
      <c r="H93" s="114" t="str">
        <f ca="1">IFERROR(VALUE(IF(VLOOKUP($A93,数出表_Excel!$A$6:$T$150,COLUMN()/2+1,FALSE)=0,"",VLOOKUP($A93,数出表_Excel!$A$6:$T$150,COLUMN()/2+1,FALSE))),"")</f>
        <v/>
      </c>
      <c r="I93" s="114"/>
      <c r="J93" s="114" t="str">
        <f ca="1">IFERROR(VALUE(IF(VLOOKUP($A93,数出表_Excel!$A$6:$T$150,COLUMN()/2+1,FALSE)=0,"",VLOOKUP($A93,数出表_Excel!$A$6:$T$150,COLUMN()/2+1,FALSE))),"")</f>
        <v/>
      </c>
      <c r="K93" s="114"/>
      <c r="L93" s="118" t="str">
        <f ca="1">IFERROR(VALUE(IF(VLOOKUP($A93,数出表_Excel!$A$6:$T$150,COLUMN()/2+1,FALSE)=0,"",VLOOKUP($A93,数出表_Excel!$A$6:$T$150,COLUMN()/2+1,FALSE))),"")</f>
        <v/>
      </c>
      <c r="M93" s="114"/>
      <c r="N93" s="114" t="str">
        <f ca="1">IFERROR(VALUE(IF(VLOOKUP($A93,数出表_Excel!$A$6:$T$150,COLUMN()/2+1,FALSE)=0,"",VLOOKUP($A93,数出表_Excel!$A$6:$T$150,COLUMN()/2+1,FALSE))),"")</f>
        <v/>
      </c>
      <c r="O93" s="114"/>
      <c r="P93" s="114" t="str">
        <f ca="1">IFERROR(VALUE(IF(VLOOKUP($A93,数出表_Excel!$A$6:$T$150,COLUMN()/2+1,FALSE)=0,"",VLOOKUP($A93,数出表_Excel!$A$6:$T$150,COLUMN()/2+1,FALSE))),"")</f>
        <v/>
      </c>
      <c r="Q93" s="114"/>
      <c r="R93" s="114" t="str">
        <f ca="1">IFERROR(VALUE(IF(VLOOKUP($A93,数出表_Excel!$A$6:$T$150,COLUMN()/2+1,FALSE)=0,"",VLOOKUP($A93,数出表_Excel!$A$6:$T$150,COLUMN()/2+1,FALSE))),"")</f>
        <v/>
      </c>
      <c r="S93" s="114"/>
      <c r="T93" s="114" t="str">
        <f ca="1">IFERROR(VALUE(IF(VLOOKUP($A93,数出表_Excel!$A$6:$T$150,COLUMN()/2+1,FALSE)=0,"",VLOOKUP($A93,数出表_Excel!$A$6:$T$150,COLUMN()/2+1,FALSE))),"")</f>
        <v/>
      </c>
      <c r="U93" s="114"/>
      <c r="V93" s="118" t="str">
        <f ca="1">IFERROR(VALUE(IF(VLOOKUP($A93,数出表_Excel!$A$6:$T$150,COLUMN()/2+1,FALSE)=0,"",VLOOKUP($A93,数出表_Excel!$A$6:$T$150,COLUMN()/2+1,FALSE))),"")</f>
        <v/>
      </c>
      <c r="W93" s="114"/>
      <c r="X93" s="118" t="str">
        <f ca="1">IFERROR(VALUE(IF(VLOOKUP($A93,数出表_Excel!$A$6:$T$150,COLUMN()/2+1,FALSE)=0,"",VLOOKUP($A93,数出表_Excel!$A$6:$T$150,COLUMN()/2+1,FALSE))),"")</f>
        <v/>
      </c>
      <c r="Y93" s="114"/>
      <c r="Z93" s="118" t="str">
        <f ca="1">IFERROR(VALUE(IF(VLOOKUP($A93,数出表_Excel!$A$6:$T$150,COLUMN()/2+1,FALSE)=0,"",VLOOKUP($A93,数出表_Excel!$A$6:$T$150,COLUMN()/2+1,FALSE))),"")</f>
        <v/>
      </c>
      <c r="AA93" s="152"/>
      <c r="AB93" s="119" t="str">
        <f ca="1">IFERROR(VALUE(IF(VLOOKUP($A93,数出表_Excel!$A$6:$T$150,COLUMN()/2+1,FALSE)=0,"",VLOOKUP($A93,数出表_Excel!$A$6:$T$150,COLUMN()/2+1,FALSE))),"")</f>
        <v/>
      </c>
      <c r="AC93" s="114"/>
      <c r="AD93" s="118" t="str">
        <f ca="1">IFERROR(VALUE(IF(VLOOKUP($A93,数出表_Excel!$A$6:$T$150,COLUMN()/2+1,FALSE)=0,"",VLOOKUP($A93,数出表_Excel!$A$6:$T$150,COLUMN()/2+1,FALSE))),"")</f>
        <v/>
      </c>
      <c r="AE93" s="114"/>
      <c r="AF93" s="118" t="str">
        <f ca="1">IFERROR(VALUE(IF(VLOOKUP($A93,数出表_Excel!$A$6:$T$150,COLUMN()/2+1,FALSE)=0,"",VLOOKUP($A93,数出表_Excel!$A$6:$T$150,COLUMN()/2+1,FALSE))),"")</f>
        <v/>
      </c>
      <c r="AG93" s="114"/>
      <c r="AH93" s="118" t="str">
        <f ca="1">IFERROR(VALUE(IF(VLOOKUP($A93,数出表_Excel!$A$6:$T$150,COLUMN()/2+1,FALSE)=0,"",VLOOKUP($A93,数出表_Excel!$A$6:$T$150,COLUMN()/2+1,FALSE))),"")</f>
        <v/>
      </c>
      <c r="AI93" s="152"/>
      <c r="AJ93" s="119" t="str">
        <f ca="1">IFERROR(VALUE(IF(VLOOKUP($A93,数出表_Excel!$A$6:$T$150,COLUMN()/2+1,FALSE)=0,"",VLOOKUP($A93,数出表_Excel!$A$6:$T$150,COLUMN()/2+1,FALSE))),"")</f>
        <v/>
      </c>
      <c r="AK93" s="114"/>
      <c r="AL93" s="120" t="e">
        <f ca="1">IF(A93&lt;&gt;"",
IF(VLOOKUP($A93,数出表_Excel!$A$6:$T$150,COLUMN()/2+1,FALSE)=0,"",VLOOKUP($A93,数出表_Excel!$A$6:$T$150,COLUMN()/2+1,FALSE)),"")</f>
        <v>#N/A</v>
      </c>
      <c r="AM93" s="200" t="e">
        <f>数出表_Excel!V93</f>
        <v>#N/A</v>
      </c>
      <c r="AN93" s="201" t="e">
        <f>数出表_Excel!W93</f>
        <v>#N/A</v>
      </c>
    </row>
    <row r="94" spans="1:40" ht="16.2" customHeight="1">
      <c r="A94" s="160" t="e">
        <f t="array" aca="1" ref="A94" ca="1">IF(OR(COUNTIF(A92,"*10002*"),COUNTIF(A92,"")),"",INDEX(貼り付け用!$A1:$A200,MATCH(A92,貼り付け用!$A1:$A200,0)+2,0))</f>
        <v>#N/A</v>
      </c>
      <c r="B94" s="148" t="str">
        <f ca="1">IFERROR(VALUE(IF(VLOOKUP($A94,数出表_Excel!$A$6:$T$150,COLUMN()/2+1,FALSE)=0,"",VLOOKUP($A94,数出表_Excel!$A$6:$T$150,COLUMN()/2+1,FALSE))),"")</f>
        <v/>
      </c>
      <c r="C94" s="113"/>
      <c r="D94" s="148" t="str">
        <f ca="1">IFERROR(VALUE(IF(VLOOKUP($A94,数出表_Excel!$A$6:$T$150,COLUMN()/2+1,FALSE)=0,"",VLOOKUP($A94,数出表_Excel!$A$6:$T$150,COLUMN()/2+1,FALSE))),"")</f>
        <v/>
      </c>
      <c r="E94" s="113"/>
      <c r="F94" s="150" t="str">
        <f ca="1">IFERROR(VALUE(IF(VLOOKUP($A94,数出表_Excel!$A$6:$T$150,COLUMN()/2+1,FALSE)=0,"",VLOOKUP($A94,数出表_Excel!$A$6:$T$150,COLUMN()/2+1,FALSE))),"")</f>
        <v/>
      </c>
      <c r="G94" s="113"/>
      <c r="H94" s="148" t="str">
        <f ca="1">IFERROR(VALUE(IF(VLOOKUP($A94,数出表_Excel!$A$6:$T$150,COLUMN()/2+1,FALSE)=0,"",VLOOKUP($A94,数出表_Excel!$A$6:$T$150,COLUMN()/2+1,FALSE))),"")</f>
        <v/>
      </c>
      <c r="I94" s="113"/>
      <c r="J94" s="148" t="str">
        <f ca="1">IFERROR(VALUE(IF(VLOOKUP($A94,数出表_Excel!$A$6:$T$150,COLUMN()/2+1,FALSE)=0,"",VLOOKUP($A94,数出表_Excel!$A$6:$T$150,COLUMN()/2+1,FALSE))),"")</f>
        <v/>
      </c>
      <c r="K94" s="113"/>
      <c r="L94" s="150" t="str">
        <f ca="1">IFERROR(VALUE(IF(VLOOKUP($A94,数出表_Excel!$A$6:$T$150,COLUMN()/2+1,FALSE)=0,"",VLOOKUP($A94,数出表_Excel!$A$6:$T$150,COLUMN()/2+1,FALSE))),"")</f>
        <v/>
      </c>
      <c r="M94" s="113"/>
      <c r="N94" s="148" t="str">
        <f ca="1">IFERROR(VALUE(IF(VLOOKUP($A94,数出表_Excel!$A$6:$T$150,COLUMN()/2+1,FALSE)=0,"",VLOOKUP($A94,数出表_Excel!$A$6:$T$150,COLUMN()/2+1,FALSE))),"")</f>
        <v/>
      </c>
      <c r="O94" s="113"/>
      <c r="P94" s="148" t="str">
        <f ca="1">IFERROR(VALUE(IF(VLOOKUP($A94,数出表_Excel!$A$6:$T$150,COLUMN()/2+1,FALSE)=0,"",VLOOKUP($A94,数出表_Excel!$A$6:$T$150,COLUMN()/2+1,FALSE))),"")</f>
        <v/>
      </c>
      <c r="Q94" s="113"/>
      <c r="R94" s="148" t="str">
        <f ca="1">IFERROR(VALUE(IF(VLOOKUP($A94,数出表_Excel!$A$6:$T$150,COLUMN()/2+1,FALSE)=0,"",VLOOKUP($A94,数出表_Excel!$A$6:$T$150,COLUMN()/2+1,FALSE))),"")</f>
        <v/>
      </c>
      <c r="S94" s="113"/>
      <c r="T94" s="148" t="str">
        <f ca="1">IFERROR(VALUE(IF(VLOOKUP($A94,数出表_Excel!$A$6:$T$150,COLUMN()/2+1,FALSE)=0,"",VLOOKUP($A94,数出表_Excel!$A$6:$T$150,COLUMN()/2+1,FALSE))),"")</f>
        <v/>
      </c>
      <c r="U94" s="113"/>
      <c r="V94" s="150" t="str">
        <f ca="1">IFERROR(VALUE(IF(VLOOKUP($A94,数出表_Excel!$A$6:$T$150,COLUMN()/2+1,FALSE)=0,"",VLOOKUP($A94,数出表_Excel!$A$6:$T$150,COLUMN()/2+1,FALSE))),"")</f>
        <v/>
      </c>
      <c r="W94" s="113"/>
      <c r="X94" s="150" t="str">
        <f ca="1">IFERROR(VALUE(IF(VLOOKUP($A94,数出表_Excel!$A$6:$T$150,COLUMN()/2+1,FALSE)=0,"",VLOOKUP($A94,数出表_Excel!$A$6:$T$150,COLUMN()/2+1,FALSE))),"")</f>
        <v/>
      </c>
      <c r="Y94" s="113"/>
      <c r="Z94" s="150" t="str">
        <f ca="1">IFERROR(VALUE(IF(VLOOKUP($A94,数出表_Excel!$A$6:$T$150,COLUMN()/2+1,FALSE)=0,"",VLOOKUP($A94,数出表_Excel!$A$6:$T$150,COLUMN()/2+1,FALSE))),"")</f>
        <v/>
      </c>
      <c r="AA94" s="151"/>
      <c r="AB94" s="149" t="str">
        <f ca="1">IFERROR(VALUE(IF(VLOOKUP($A94,数出表_Excel!$A$6:$T$150,COLUMN()/2+1,FALSE)=0,"",VLOOKUP($A94,数出表_Excel!$A$6:$T$150,COLUMN()/2+1,FALSE))),"")</f>
        <v/>
      </c>
      <c r="AC94" s="113"/>
      <c r="AD94" s="150" t="str">
        <f ca="1">IFERROR(VALUE(IF(VLOOKUP($A94,数出表_Excel!$A$6:$T$150,COLUMN()/2+1,FALSE)=0,"",VLOOKUP($A94,数出表_Excel!$A$6:$T$150,COLUMN()/2+1,FALSE))),"")</f>
        <v/>
      </c>
      <c r="AE94" s="113"/>
      <c r="AF94" s="150" t="str">
        <f ca="1">IFERROR(VALUE(IF(VLOOKUP($A94,数出表_Excel!$A$6:$T$150,COLUMN()/2+1,FALSE)=0,"",VLOOKUP($A94,数出表_Excel!$A$6:$T$150,COLUMN()/2+1,FALSE))),"")</f>
        <v/>
      </c>
      <c r="AG94" s="113"/>
      <c r="AH94" s="150" t="str">
        <f ca="1">IFERROR(VALUE(IF(VLOOKUP($A94,数出表_Excel!$A$6:$T$150,COLUMN()/2+1,FALSE)=0,"",VLOOKUP($A94,数出表_Excel!$A$6:$T$150,COLUMN()/2+1,FALSE))),"")</f>
        <v/>
      </c>
      <c r="AI94" s="151"/>
      <c r="AJ94" s="149" t="str">
        <f ca="1">IFERROR(VALUE(IF(VLOOKUP($A94,数出表_Excel!$A$6:$T$150,COLUMN()/2+1,FALSE)=0,"",VLOOKUP($A94,数出表_Excel!$A$6:$T$150,COLUMN()/2+1,FALSE))),"")</f>
        <v/>
      </c>
      <c r="AK94" s="113"/>
      <c r="AL94" s="117" t="e">
        <f ca="1">IF(A94&lt;&gt;"",
IF(VLOOKUP($A94,数出表_Excel!$A$6:$T$150,COLUMN()/2+1,FALSE)=0,"",VLOOKUP($A94,数出表_Excel!$A$6:$T$150,COLUMN()/2+1,FALSE)),"")</f>
        <v>#N/A</v>
      </c>
      <c r="AM94" s="198" t="e">
        <f>数出表_Excel!V94</f>
        <v>#N/A</v>
      </c>
      <c r="AN94" s="199" t="e">
        <f>数出表_Excel!W94</f>
        <v>#N/A</v>
      </c>
    </row>
    <row r="95" spans="1:40" ht="16.2" customHeight="1">
      <c r="A95" s="161" t="e">
        <f t="array" aca="1" ref="A95" ca="1">IF(OR(COUNTIF(A93,"*1000*"),COUNTIF(A93,"")),"",INDEX(貼り付け用!$A1:$A200,MATCH(A93,貼り付け用!$A1:$A200,0)+2,0))</f>
        <v>#N/A</v>
      </c>
      <c r="B95" s="114" t="str">
        <f ca="1">IFERROR(VALUE(IF(VLOOKUP($A95,数出表_Excel!$A$6:$T$150,COLUMN()/2+1,FALSE)=0,"",VLOOKUP($A95,数出表_Excel!$A$6:$T$150,COLUMN()/2+1,FALSE))),"")</f>
        <v/>
      </c>
      <c r="C95" s="114"/>
      <c r="D95" s="114" t="str">
        <f ca="1">IFERROR(VALUE(IF(VLOOKUP($A95,数出表_Excel!$A$6:$T$150,COLUMN()/2+1,FALSE)=0,"",VLOOKUP($A95,数出表_Excel!$A$6:$T$150,COLUMN()/2+1,FALSE))),"")</f>
        <v/>
      </c>
      <c r="E95" s="114"/>
      <c r="F95" s="118" t="str">
        <f ca="1">IFERROR(VALUE(IF(VLOOKUP($A95,数出表_Excel!$A$6:$T$150,COLUMN()/2+1,FALSE)=0,"",VLOOKUP($A95,数出表_Excel!$A$6:$T$150,COLUMN()/2+1,FALSE))),"")</f>
        <v/>
      </c>
      <c r="G95" s="114"/>
      <c r="H95" s="114" t="str">
        <f ca="1">IFERROR(VALUE(IF(VLOOKUP($A95,数出表_Excel!$A$6:$T$150,COLUMN()/2+1,FALSE)=0,"",VLOOKUP($A95,数出表_Excel!$A$6:$T$150,COLUMN()/2+1,FALSE))),"")</f>
        <v/>
      </c>
      <c r="I95" s="114"/>
      <c r="J95" s="114" t="str">
        <f ca="1">IFERROR(VALUE(IF(VLOOKUP($A95,数出表_Excel!$A$6:$T$150,COLUMN()/2+1,FALSE)=0,"",VLOOKUP($A95,数出表_Excel!$A$6:$T$150,COLUMN()/2+1,FALSE))),"")</f>
        <v/>
      </c>
      <c r="K95" s="114"/>
      <c r="L95" s="118" t="str">
        <f ca="1">IFERROR(VALUE(IF(VLOOKUP($A95,数出表_Excel!$A$6:$T$150,COLUMN()/2+1,FALSE)=0,"",VLOOKUP($A95,数出表_Excel!$A$6:$T$150,COLUMN()/2+1,FALSE))),"")</f>
        <v/>
      </c>
      <c r="M95" s="114"/>
      <c r="N95" s="114" t="str">
        <f ca="1">IFERROR(VALUE(IF(VLOOKUP($A95,数出表_Excel!$A$6:$T$150,COLUMN()/2+1,FALSE)=0,"",VLOOKUP($A95,数出表_Excel!$A$6:$T$150,COLUMN()/2+1,FALSE))),"")</f>
        <v/>
      </c>
      <c r="O95" s="114"/>
      <c r="P95" s="114" t="str">
        <f ca="1">IFERROR(VALUE(IF(VLOOKUP($A95,数出表_Excel!$A$6:$T$150,COLUMN()/2+1,FALSE)=0,"",VLOOKUP($A95,数出表_Excel!$A$6:$T$150,COLUMN()/2+1,FALSE))),"")</f>
        <v/>
      </c>
      <c r="Q95" s="114"/>
      <c r="R95" s="114" t="str">
        <f ca="1">IFERROR(VALUE(IF(VLOOKUP($A95,数出表_Excel!$A$6:$T$150,COLUMN()/2+1,FALSE)=0,"",VLOOKUP($A95,数出表_Excel!$A$6:$T$150,COLUMN()/2+1,FALSE))),"")</f>
        <v/>
      </c>
      <c r="S95" s="114"/>
      <c r="T95" s="114" t="str">
        <f ca="1">IFERROR(VALUE(IF(VLOOKUP($A95,数出表_Excel!$A$6:$T$150,COLUMN()/2+1,FALSE)=0,"",VLOOKUP($A95,数出表_Excel!$A$6:$T$150,COLUMN()/2+1,FALSE))),"")</f>
        <v/>
      </c>
      <c r="U95" s="114"/>
      <c r="V95" s="118" t="str">
        <f ca="1">IFERROR(VALUE(IF(VLOOKUP($A95,数出表_Excel!$A$6:$T$150,COLUMN()/2+1,FALSE)=0,"",VLOOKUP($A95,数出表_Excel!$A$6:$T$150,COLUMN()/2+1,FALSE))),"")</f>
        <v/>
      </c>
      <c r="W95" s="114"/>
      <c r="X95" s="118" t="str">
        <f ca="1">IFERROR(VALUE(IF(VLOOKUP($A95,数出表_Excel!$A$6:$T$150,COLUMN()/2+1,FALSE)=0,"",VLOOKUP($A95,数出表_Excel!$A$6:$T$150,COLUMN()/2+1,FALSE))),"")</f>
        <v/>
      </c>
      <c r="Y95" s="114"/>
      <c r="Z95" s="118" t="str">
        <f ca="1">IFERROR(VALUE(IF(VLOOKUP($A95,数出表_Excel!$A$6:$T$150,COLUMN()/2+1,FALSE)=0,"",VLOOKUP($A95,数出表_Excel!$A$6:$T$150,COLUMN()/2+1,FALSE))),"")</f>
        <v/>
      </c>
      <c r="AA95" s="152"/>
      <c r="AB95" s="119" t="str">
        <f ca="1">IFERROR(VALUE(IF(VLOOKUP($A95,数出表_Excel!$A$6:$T$150,COLUMN()/2+1,FALSE)=0,"",VLOOKUP($A95,数出表_Excel!$A$6:$T$150,COLUMN()/2+1,FALSE))),"")</f>
        <v/>
      </c>
      <c r="AC95" s="114"/>
      <c r="AD95" s="118" t="str">
        <f ca="1">IFERROR(VALUE(IF(VLOOKUP($A95,数出表_Excel!$A$6:$T$150,COLUMN()/2+1,FALSE)=0,"",VLOOKUP($A95,数出表_Excel!$A$6:$T$150,COLUMN()/2+1,FALSE))),"")</f>
        <v/>
      </c>
      <c r="AE95" s="114"/>
      <c r="AF95" s="118" t="str">
        <f ca="1">IFERROR(VALUE(IF(VLOOKUP($A95,数出表_Excel!$A$6:$T$150,COLUMN()/2+1,FALSE)=0,"",VLOOKUP($A95,数出表_Excel!$A$6:$T$150,COLUMN()/2+1,FALSE))),"")</f>
        <v/>
      </c>
      <c r="AG95" s="114"/>
      <c r="AH95" s="118" t="str">
        <f ca="1">IFERROR(VALUE(IF(VLOOKUP($A95,数出表_Excel!$A$6:$T$150,COLUMN()/2+1,FALSE)=0,"",VLOOKUP($A95,数出表_Excel!$A$6:$T$150,COLUMN()/2+1,FALSE))),"")</f>
        <v/>
      </c>
      <c r="AI95" s="152"/>
      <c r="AJ95" s="119" t="str">
        <f ca="1">IFERROR(VALUE(IF(VLOOKUP($A95,数出表_Excel!$A$6:$T$150,COLUMN()/2+1,FALSE)=0,"",VLOOKUP($A95,数出表_Excel!$A$6:$T$150,COLUMN()/2+1,FALSE))),"")</f>
        <v/>
      </c>
      <c r="AK95" s="114"/>
      <c r="AL95" s="120" t="e">
        <f ca="1">IF(A95&lt;&gt;"",
IF(VLOOKUP($A95,数出表_Excel!$A$6:$T$150,COLUMN()/2+1,FALSE)=0,"",VLOOKUP($A95,数出表_Excel!$A$6:$T$150,COLUMN()/2+1,FALSE)),"")</f>
        <v>#N/A</v>
      </c>
      <c r="AM95" s="200" t="e">
        <f>数出表_Excel!V95</f>
        <v>#N/A</v>
      </c>
      <c r="AN95" s="201" t="e">
        <f>数出表_Excel!W95</f>
        <v>#N/A</v>
      </c>
    </row>
    <row r="96" spans="1:40" ht="16.2" customHeight="1">
      <c r="A96" s="160" t="e">
        <f t="array" aca="1" ref="A96" ca="1">IF(OR(COUNTIF(A94,"*10002*"),COUNTIF(A94,"")),"",INDEX(貼り付け用!$A1:$A200,MATCH(A94,貼り付け用!$A1:$A200,0)+2,0))</f>
        <v>#N/A</v>
      </c>
      <c r="B96" s="148" t="str">
        <f ca="1">IFERROR(VALUE(IF(VLOOKUP($A96,数出表_Excel!$A$6:$T$150,COLUMN()/2+1,FALSE)=0,"",VLOOKUP($A96,数出表_Excel!$A$6:$T$150,COLUMN()/2+1,FALSE))),"")</f>
        <v/>
      </c>
      <c r="C96" s="113"/>
      <c r="D96" s="148" t="str">
        <f ca="1">IFERROR(VALUE(IF(VLOOKUP($A96,数出表_Excel!$A$6:$T$150,COLUMN()/2+1,FALSE)=0,"",VLOOKUP($A96,数出表_Excel!$A$6:$T$150,COLUMN()/2+1,FALSE))),"")</f>
        <v/>
      </c>
      <c r="E96" s="113"/>
      <c r="F96" s="150" t="str">
        <f ca="1">IFERROR(VALUE(IF(VLOOKUP($A96,数出表_Excel!$A$6:$T$150,COLUMN()/2+1,FALSE)=0,"",VLOOKUP($A96,数出表_Excel!$A$6:$T$150,COLUMN()/2+1,FALSE))),"")</f>
        <v/>
      </c>
      <c r="G96" s="113"/>
      <c r="H96" s="148" t="str">
        <f ca="1">IFERROR(VALUE(IF(VLOOKUP($A96,数出表_Excel!$A$6:$T$150,COLUMN()/2+1,FALSE)=0,"",VLOOKUP($A96,数出表_Excel!$A$6:$T$150,COLUMN()/2+1,FALSE))),"")</f>
        <v/>
      </c>
      <c r="I96" s="113"/>
      <c r="J96" s="148" t="str">
        <f ca="1">IFERROR(VALUE(IF(VLOOKUP($A96,数出表_Excel!$A$6:$T$150,COLUMN()/2+1,FALSE)=0,"",VLOOKUP($A96,数出表_Excel!$A$6:$T$150,COLUMN()/2+1,FALSE))),"")</f>
        <v/>
      </c>
      <c r="K96" s="113"/>
      <c r="L96" s="150" t="str">
        <f ca="1">IFERROR(VALUE(IF(VLOOKUP($A96,数出表_Excel!$A$6:$T$150,COLUMN()/2+1,FALSE)=0,"",VLOOKUP($A96,数出表_Excel!$A$6:$T$150,COLUMN()/2+1,FALSE))),"")</f>
        <v/>
      </c>
      <c r="M96" s="113"/>
      <c r="N96" s="148" t="str">
        <f ca="1">IFERROR(VALUE(IF(VLOOKUP($A96,数出表_Excel!$A$6:$T$150,COLUMN()/2+1,FALSE)=0,"",VLOOKUP($A96,数出表_Excel!$A$6:$T$150,COLUMN()/2+1,FALSE))),"")</f>
        <v/>
      </c>
      <c r="O96" s="113"/>
      <c r="P96" s="148" t="str">
        <f ca="1">IFERROR(VALUE(IF(VLOOKUP($A96,数出表_Excel!$A$6:$T$150,COLUMN()/2+1,FALSE)=0,"",VLOOKUP($A96,数出表_Excel!$A$6:$T$150,COLUMN()/2+1,FALSE))),"")</f>
        <v/>
      </c>
      <c r="Q96" s="113"/>
      <c r="R96" s="148" t="str">
        <f ca="1">IFERROR(VALUE(IF(VLOOKUP($A96,数出表_Excel!$A$6:$T$150,COLUMN()/2+1,FALSE)=0,"",VLOOKUP($A96,数出表_Excel!$A$6:$T$150,COLUMN()/2+1,FALSE))),"")</f>
        <v/>
      </c>
      <c r="S96" s="113"/>
      <c r="T96" s="148" t="str">
        <f ca="1">IFERROR(VALUE(IF(VLOOKUP($A96,数出表_Excel!$A$6:$T$150,COLUMN()/2+1,FALSE)=0,"",VLOOKUP($A96,数出表_Excel!$A$6:$T$150,COLUMN()/2+1,FALSE))),"")</f>
        <v/>
      </c>
      <c r="U96" s="113"/>
      <c r="V96" s="150" t="str">
        <f ca="1">IFERROR(VALUE(IF(VLOOKUP($A96,数出表_Excel!$A$6:$T$150,COLUMN()/2+1,FALSE)=0,"",VLOOKUP($A96,数出表_Excel!$A$6:$T$150,COLUMN()/2+1,FALSE))),"")</f>
        <v/>
      </c>
      <c r="W96" s="113"/>
      <c r="X96" s="150" t="str">
        <f ca="1">IFERROR(VALUE(IF(VLOOKUP($A96,数出表_Excel!$A$6:$T$150,COLUMN()/2+1,FALSE)=0,"",VLOOKUP($A96,数出表_Excel!$A$6:$T$150,COLUMN()/2+1,FALSE))),"")</f>
        <v/>
      </c>
      <c r="Y96" s="113"/>
      <c r="Z96" s="150" t="str">
        <f ca="1">IFERROR(VALUE(IF(VLOOKUP($A96,数出表_Excel!$A$6:$T$150,COLUMN()/2+1,FALSE)=0,"",VLOOKUP($A96,数出表_Excel!$A$6:$T$150,COLUMN()/2+1,FALSE))),"")</f>
        <v/>
      </c>
      <c r="AA96" s="151"/>
      <c r="AB96" s="149" t="str">
        <f ca="1">IFERROR(VALUE(IF(VLOOKUP($A96,数出表_Excel!$A$6:$T$150,COLUMN()/2+1,FALSE)=0,"",VLOOKUP($A96,数出表_Excel!$A$6:$T$150,COLUMN()/2+1,FALSE))),"")</f>
        <v/>
      </c>
      <c r="AC96" s="113"/>
      <c r="AD96" s="150" t="str">
        <f ca="1">IFERROR(VALUE(IF(VLOOKUP($A96,数出表_Excel!$A$6:$T$150,COLUMN()/2+1,FALSE)=0,"",VLOOKUP($A96,数出表_Excel!$A$6:$T$150,COLUMN()/2+1,FALSE))),"")</f>
        <v/>
      </c>
      <c r="AE96" s="113"/>
      <c r="AF96" s="150" t="str">
        <f ca="1">IFERROR(VALUE(IF(VLOOKUP($A96,数出表_Excel!$A$6:$T$150,COLUMN()/2+1,FALSE)=0,"",VLOOKUP($A96,数出表_Excel!$A$6:$T$150,COLUMN()/2+1,FALSE))),"")</f>
        <v/>
      </c>
      <c r="AG96" s="113"/>
      <c r="AH96" s="150" t="str">
        <f ca="1">IFERROR(VALUE(IF(VLOOKUP($A96,数出表_Excel!$A$6:$T$150,COLUMN()/2+1,FALSE)=0,"",VLOOKUP($A96,数出表_Excel!$A$6:$T$150,COLUMN()/2+1,FALSE))),"")</f>
        <v/>
      </c>
      <c r="AI96" s="151"/>
      <c r="AJ96" s="149" t="str">
        <f ca="1">IFERROR(VALUE(IF(VLOOKUP($A96,数出表_Excel!$A$6:$T$150,COLUMN()/2+1,FALSE)=0,"",VLOOKUP($A96,数出表_Excel!$A$6:$T$150,COLUMN()/2+1,FALSE))),"")</f>
        <v/>
      </c>
      <c r="AK96" s="113"/>
      <c r="AL96" s="117" t="e">
        <f ca="1">IF(A96&lt;&gt;"",
IF(VLOOKUP($A96,数出表_Excel!$A$6:$T$150,COLUMN()/2+1,FALSE)=0,"",VLOOKUP($A96,数出表_Excel!$A$6:$T$150,COLUMN()/2+1,FALSE)),"")</f>
        <v>#N/A</v>
      </c>
      <c r="AM96" s="198" t="e">
        <f>数出表_Excel!V96</f>
        <v>#N/A</v>
      </c>
      <c r="AN96" s="199" t="e">
        <f>数出表_Excel!W96</f>
        <v>#N/A</v>
      </c>
    </row>
    <row r="97" spans="1:40" ht="16.2" customHeight="1">
      <c r="A97" s="161" t="e">
        <f t="array" aca="1" ref="A97" ca="1">IF(OR(COUNTIF(A95,"*1000*"),COUNTIF(A95,"")),"",INDEX(貼り付け用!$A1:$A200,MATCH(A95,貼り付け用!$A1:$A200,0)+2,0))</f>
        <v>#N/A</v>
      </c>
      <c r="B97" s="114" t="str">
        <f ca="1">IFERROR(VALUE(IF(VLOOKUP($A97,数出表_Excel!$A$6:$T$150,COLUMN()/2+1,FALSE)=0,"",VLOOKUP($A97,数出表_Excel!$A$6:$T$150,COLUMN()/2+1,FALSE))),"")</f>
        <v/>
      </c>
      <c r="C97" s="114"/>
      <c r="D97" s="114" t="str">
        <f ca="1">IFERROR(VALUE(IF(VLOOKUP($A97,数出表_Excel!$A$6:$T$150,COLUMN()/2+1,FALSE)=0,"",VLOOKUP($A97,数出表_Excel!$A$6:$T$150,COLUMN()/2+1,FALSE))),"")</f>
        <v/>
      </c>
      <c r="E97" s="114"/>
      <c r="F97" s="118" t="str">
        <f ca="1">IFERROR(VALUE(IF(VLOOKUP($A97,数出表_Excel!$A$6:$T$150,COLUMN()/2+1,FALSE)=0,"",VLOOKUP($A97,数出表_Excel!$A$6:$T$150,COLUMN()/2+1,FALSE))),"")</f>
        <v/>
      </c>
      <c r="G97" s="114"/>
      <c r="H97" s="114" t="str">
        <f ca="1">IFERROR(VALUE(IF(VLOOKUP($A97,数出表_Excel!$A$6:$T$150,COLUMN()/2+1,FALSE)=0,"",VLOOKUP($A97,数出表_Excel!$A$6:$T$150,COLUMN()/2+1,FALSE))),"")</f>
        <v/>
      </c>
      <c r="I97" s="114"/>
      <c r="J97" s="114" t="str">
        <f ca="1">IFERROR(VALUE(IF(VLOOKUP($A97,数出表_Excel!$A$6:$T$150,COLUMN()/2+1,FALSE)=0,"",VLOOKUP($A97,数出表_Excel!$A$6:$T$150,COLUMN()/2+1,FALSE))),"")</f>
        <v/>
      </c>
      <c r="K97" s="114"/>
      <c r="L97" s="118" t="str">
        <f ca="1">IFERROR(VALUE(IF(VLOOKUP($A97,数出表_Excel!$A$6:$T$150,COLUMN()/2+1,FALSE)=0,"",VLOOKUP($A97,数出表_Excel!$A$6:$T$150,COLUMN()/2+1,FALSE))),"")</f>
        <v/>
      </c>
      <c r="M97" s="114"/>
      <c r="N97" s="114" t="str">
        <f ca="1">IFERROR(VALUE(IF(VLOOKUP($A97,数出表_Excel!$A$6:$T$150,COLUMN()/2+1,FALSE)=0,"",VLOOKUP($A97,数出表_Excel!$A$6:$T$150,COLUMN()/2+1,FALSE))),"")</f>
        <v/>
      </c>
      <c r="O97" s="114"/>
      <c r="P97" s="114" t="str">
        <f ca="1">IFERROR(VALUE(IF(VLOOKUP($A97,数出表_Excel!$A$6:$T$150,COLUMN()/2+1,FALSE)=0,"",VLOOKUP($A97,数出表_Excel!$A$6:$T$150,COLUMN()/2+1,FALSE))),"")</f>
        <v/>
      </c>
      <c r="Q97" s="114"/>
      <c r="R97" s="114" t="str">
        <f ca="1">IFERROR(VALUE(IF(VLOOKUP($A97,数出表_Excel!$A$6:$T$150,COLUMN()/2+1,FALSE)=0,"",VLOOKUP($A97,数出表_Excel!$A$6:$T$150,COLUMN()/2+1,FALSE))),"")</f>
        <v/>
      </c>
      <c r="S97" s="114"/>
      <c r="T97" s="114" t="str">
        <f ca="1">IFERROR(VALUE(IF(VLOOKUP($A97,数出表_Excel!$A$6:$T$150,COLUMN()/2+1,FALSE)=0,"",VLOOKUP($A97,数出表_Excel!$A$6:$T$150,COLUMN()/2+1,FALSE))),"")</f>
        <v/>
      </c>
      <c r="U97" s="114"/>
      <c r="V97" s="118" t="str">
        <f ca="1">IFERROR(VALUE(IF(VLOOKUP($A97,数出表_Excel!$A$6:$T$150,COLUMN()/2+1,FALSE)=0,"",VLOOKUP($A97,数出表_Excel!$A$6:$T$150,COLUMN()/2+1,FALSE))),"")</f>
        <v/>
      </c>
      <c r="W97" s="114"/>
      <c r="X97" s="118" t="str">
        <f ca="1">IFERROR(VALUE(IF(VLOOKUP($A97,数出表_Excel!$A$6:$T$150,COLUMN()/2+1,FALSE)=0,"",VLOOKUP($A97,数出表_Excel!$A$6:$T$150,COLUMN()/2+1,FALSE))),"")</f>
        <v/>
      </c>
      <c r="Y97" s="114"/>
      <c r="Z97" s="118" t="str">
        <f ca="1">IFERROR(VALUE(IF(VLOOKUP($A97,数出表_Excel!$A$6:$T$150,COLUMN()/2+1,FALSE)=0,"",VLOOKUP($A97,数出表_Excel!$A$6:$T$150,COLUMN()/2+1,FALSE))),"")</f>
        <v/>
      </c>
      <c r="AA97" s="152"/>
      <c r="AB97" s="119" t="str">
        <f ca="1">IFERROR(VALUE(IF(VLOOKUP($A97,数出表_Excel!$A$6:$T$150,COLUMN()/2+1,FALSE)=0,"",VLOOKUP($A97,数出表_Excel!$A$6:$T$150,COLUMN()/2+1,FALSE))),"")</f>
        <v/>
      </c>
      <c r="AC97" s="114"/>
      <c r="AD97" s="118" t="str">
        <f ca="1">IFERROR(VALUE(IF(VLOOKUP($A97,数出表_Excel!$A$6:$T$150,COLUMN()/2+1,FALSE)=0,"",VLOOKUP($A97,数出表_Excel!$A$6:$T$150,COLUMN()/2+1,FALSE))),"")</f>
        <v/>
      </c>
      <c r="AE97" s="114"/>
      <c r="AF97" s="118" t="str">
        <f ca="1">IFERROR(VALUE(IF(VLOOKUP($A97,数出表_Excel!$A$6:$T$150,COLUMN()/2+1,FALSE)=0,"",VLOOKUP($A97,数出表_Excel!$A$6:$T$150,COLUMN()/2+1,FALSE))),"")</f>
        <v/>
      </c>
      <c r="AG97" s="114"/>
      <c r="AH97" s="118" t="str">
        <f ca="1">IFERROR(VALUE(IF(VLOOKUP($A97,数出表_Excel!$A$6:$T$150,COLUMN()/2+1,FALSE)=0,"",VLOOKUP($A97,数出表_Excel!$A$6:$T$150,COLUMN()/2+1,FALSE))),"")</f>
        <v/>
      </c>
      <c r="AI97" s="152"/>
      <c r="AJ97" s="119" t="str">
        <f ca="1">IFERROR(VALUE(IF(VLOOKUP($A97,数出表_Excel!$A$6:$T$150,COLUMN()/2+1,FALSE)=0,"",VLOOKUP($A97,数出表_Excel!$A$6:$T$150,COLUMN()/2+1,FALSE))),"")</f>
        <v/>
      </c>
      <c r="AK97" s="114"/>
      <c r="AL97" s="120" t="e">
        <f ca="1">IF(A97&lt;&gt;"",
IF(VLOOKUP($A97,数出表_Excel!$A$6:$T$150,COLUMN()/2+1,FALSE)=0,"",VLOOKUP($A97,数出表_Excel!$A$6:$T$150,COLUMN()/2+1,FALSE)),"")</f>
        <v>#N/A</v>
      </c>
      <c r="AM97" s="200" t="e">
        <f>数出表_Excel!V97</f>
        <v>#N/A</v>
      </c>
      <c r="AN97" s="201" t="e">
        <f>数出表_Excel!W97</f>
        <v>#N/A</v>
      </c>
    </row>
    <row r="98" spans="1:40" ht="16.2" customHeight="1">
      <c r="A98" s="160" t="e">
        <f t="array" aca="1" ref="A98" ca="1">IF(OR(COUNTIF(A96,"*10002*"),COUNTIF(A96,"")),"",INDEX(貼り付け用!$A1:$A200,MATCH(A96,貼り付け用!$A1:$A200,0)+2,0))</f>
        <v>#N/A</v>
      </c>
      <c r="B98" s="148" t="str">
        <f ca="1">IFERROR(VALUE(IF(VLOOKUP($A98,数出表_Excel!$A$6:$T$150,COLUMN()/2+1,FALSE)=0,"",VLOOKUP($A98,数出表_Excel!$A$6:$T$150,COLUMN()/2+1,FALSE))),"")</f>
        <v/>
      </c>
      <c r="C98" s="113"/>
      <c r="D98" s="148" t="str">
        <f ca="1">IFERROR(VALUE(IF(VLOOKUP($A98,数出表_Excel!$A$6:$T$150,COLUMN()/2+1,FALSE)=0,"",VLOOKUP($A98,数出表_Excel!$A$6:$T$150,COLUMN()/2+1,FALSE))),"")</f>
        <v/>
      </c>
      <c r="E98" s="113"/>
      <c r="F98" s="150" t="str">
        <f ca="1">IFERROR(VALUE(IF(VLOOKUP($A98,数出表_Excel!$A$6:$T$150,COLUMN()/2+1,FALSE)=0,"",VLOOKUP($A98,数出表_Excel!$A$6:$T$150,COLUMN()/2+1,FALSE))),"")</f>
        <v/>
      </c>
      <c r="G98" s="113"/>
      <c r="H98" s="148" t="str">
        <f ca="1">IFERROR(VALUE(IF(VLOOKUP($A98,数出表_Excel!$A$6:$T$150,COLUMN()/2+1,FALSE)=0,"",VLOOKUP($A98,数出表_Excel!$A$6:$T$150,COLUMN()/2+1,FALSE))),"")</f>
        <v/>
      </c>
      <c r="I98" s="113"/>
      <c r="J98" s="148" t="str">
        <f ca="1">IFERROR(VALUE(IF(VLOOKUP($A98,数出表_Excel!$A$6:$T$150,COLUMN()/2+1,FALSE)=0,"",VLOOKUP($A98,数出表_Excel!$A$6:$T$150,COLUMN()/2+1,FALSE))),"")</f>
        <v/>
      </c>
      <c r="K98" s="113"/>
      <c r="L98" s="150" t="str">
        <f ca="1">IFERROR(VALUE(IF(VLOOKUP($A98,数出表_Excel!$A$6:$T$150,COLUMN()/2+1,FALSE)=0,"",VLOOKUP($A98,数出表_Excel!$A$6:$T$150,COLUMN()/2+1,FALSE))),"")</f>
        <v/>
      </c>
      <c r="M98" s="113"/>
      <c r="N98" s="148" t="str">
        <f ca="1">IFERROR(VALUE(IF(VLOOKUP($A98,数出表_Excel!$A$6:$T$150,COLUMN()/2+1,FALSE)=0,"",VLOOKUP($A98,数出表_Excel!$A$6:$T$150,COLUMN()/2+1,FALSE))),"")</f>
        <v/>
      </c>
      <c r="O98" s="113"/>
      <c r="P98" s="148" t="str">
        <f ca="1">IFERROR(VALUE(IF(VLOOKUP($A98,数出表_Excel!$A$6:$T$150,COLUMN()/2+1,FALSE)=0,"",VLOOKUP($A98,数出表_Excel!$A$6:$T$150,COLUMN()/2+1,FALSE))),"")</f>
        <v/>
      </c>
      <c r="Q98" s="113"/>
      <c r="R98" s="148" t="str">
        <f ca="1">IFERROR(VALUE(IF(VLOOKUP($A98,数出表_Excel!$A$6:$T$150,COLUMN()/2+1,FALSE)=0,"",VLOOKUP($A98,数出表_Excel!$A$6:$T$150,COLUMN()/2+1,FALSE))),"")</f>
        <v/>
      </c>
      <c r="S98" s="113"/>
      <c r="T98" s="148" t="str">
        <f ca="1">IFERROR(VALUE(IF(VLOOKUP($A98,数出表_Excel!$A$6:$T$150,COLUMN()/2+1,FALSE)=0,"",VLOOKUP($A98,数出表_Excel!$A$6:$T$150,COLUMN()/2+1,FALSE))),"")</f>
        <v/>
      </c>
      <c r="U98" s="113"/>
      <c r="V98" s="150" t="str">
        <f ca="1">IFERROR(VALUE(IF(VLOOKUP($A98,数出表_Excel!$A$6:$T$150,COLUMN()/2+1,FALSE)=0,"",VLOOKUP($A98,数出表_Excel!$A$6:$T$150,COLUMN()/2+1,FALSE))),"")</f>
        <v/>
      </c>
      <c r="W98" s="113"/>
      <c r="X98" s="150" t="str">
        <f ca="1">IFERROR(VALUE(IF(VLOOKUP($A98,数出表_Excel!$A$6:$T$150,COLUMN()/2+1,FALSE)=0,"",VLOOKUP($A98,数出表_Excel!$A$6:$T$150,COLUMN()/2+1,FALSE))),"")</f>
        <v/>
      </c>
      <c r="Y98" s="113"/>
      <c r="Z98" s="150" t="str">
        <f ca="1">IFERROR(VALUE(IF(VLOOKUP($A98,数出表_Excel!$A$6:$T$150,COLUMN()/2+1,FALSE)=0,"",VLOOKUP($A98,数出表_Excel!$A$6:$T$150,COLUMN()/2+1,FALSE))),"")</f>
        <v/>
      </c>
      <c r="AA98" s="151"/>
      <c r="AB98" s="149" t="str">
        <f ca="1">IFERROR(VALUE(IF(VLOOKUP($A98,数出表_Excel!$A$6:$T$150,COLUMN()/2+1,FALSE)=0,"",VLOOKUP($A98,数出表_Excel!$A$6:$T$150,COLUMN()/2+1,FALSE))),"")</f>
        <v/>
      </c>
      <c r="AC98" s="113"/>
      <c r="AD98" s="150" t="str">
        <f ca="1">IFERROR(VALUE(IF(VLOOKUP($A98,数出表_Excel!$A$6:$T$150,COLUMN()/2+1,FALSE)=0,"",VLOOKUP($A98,数出表_Excel!$A$6:$T$150,COLUMN()/2+1,FALSE))),"")</f>
        <v/>
      </c>
      <c r="AE98" s="113"/>
      <c r="AF98" s="150" t="str">
        <f ca="1">IFERROR(VALUE(IF(VLOOKUP($A98,数出表_Excel!$A$6:$T$150,COLUMN()/2+1,FALSE)=0,"",VLOOKUP($A98,数出表_Excel!$A$6:$T$150,COLUMN()/2+1,FALSE))),"")</f>
        <v/>
      </c>
      <c r="AG98" s="113"/>
      <c r="AH98" s="150" t="str">
        <f ca="1">IFERROR(VALUE(IF(VLOOKUP($A98,数出表_Excel!$A$6:$T$150,COLUMN()/2+1,FALSE)=0,"",VLOOKUP($A98,数出表_Excel!$A$6:$T$150,COLUMN()/2+1,FALSE))),"")</f>
        <v/>
      </c>
      <c r="AI98" s="151"/>
      <c r="AJ98" s="149" t="str">
        <f ca="1">IFERROR(VALUE(IF(VLOOKUP($A98,数出表_Excel!$A$6:$T$150,COLUMN()/2+1,FALSE)=0,"",VLOOKUP($A98,数出表_Excel!$A$6:$T$150,COLUMN()/2+1,FALSE))),"")</f>
        <v/>
      </c>
      <c r="AK98" s="113"/>
      <c r="AL98" s="117" t="e">
        <f ca="1">IF(A98&lt;&gt;"",
IF(VLOOKUP($A98,数出表_Excel!$A$6:$T$150,COLUMN()/2+1,FALSE)=0,"",VLOOKUP($A98,数出表_Excel!$A$6:$T$150,COLUMN()/2+1,FALSE)),"")</f>
        <v>#N/A</v>
      </c>
      <c r="AM98" s="198" t="e">
        <f>数出表_Excel!V98</f>
        <v>#N/A</v>
      </c>
      <c r="AN98" s="199" t="e">
        <f>数出表_Excel!W98</f>
        <v>#N/A</v>
      </c>
    </row>
    <row r="99" spans="1:40" ht="16.2" customHeight="1">
      <c r="A99" s="161" t="e">
        <f t="array" aca="1" ref="A99" ca="1">IF(OR(COUNTIF(A97,"*1000*"),COUNTIF(A97,"")),"",INDEX(貼り付け用!$A1:$A200,MATCH(A97,貼り付け用!$A1:$A200,0)+2,0))</f>
        <v>#N/A</v>
      </c>
      <c r="B99" s="114" t="str">
        <f ca="1">IFERROR(VALUE(IF(VLOOKUP($A99,数出表_Excel!$A$6:$T$150,COLUMN()/2+1,FALSE)=0,"",VLOOKUP($A99,数出表_Excel!$A$6:$T$150,COLUMN()/2+1,FALSE))),"")</f>
        <v/>
      </c>
      <c r="C99" s="114"/>
      <c r="D99" s="114" t="str">
        <f ca="1">IFERROR(VALUE(IF(VLOOKUP($A99,数出表_Excel!$A$6:$T$150,COLUMN()/2+1,FALSE)=0,"",VLOOKUP($A99,数出表_Excel!$A$6:$T$150,COLUMN()/2+1,FALSE))),"")</f>
        <v/>
      </c>
      <c r="E99" s="114"/>
      <c r="F99" s="118" t="str">
        <f ca="1">IFERROR(VALUE(IF(VLOOKUP($A99,数出表_Excel!$A$6:$T$150,COLUMN()/2+1,FALSE)=0,"",VLOOKUP($A99,数出表_Excel!$A$6:$T$150,COLUMN()/2+1,FALSE))),"")</f>
        <v/>
      </c>
      <c r="G99" s="114"/>
      <c r="H99" s="114" t="str">
        <f ca="1">IFERROR(VALUE(IF(VLOOKUP($A99,数出表_Excel!$A$6:$T$150,COLUMN()/2+1,FALSE)=0,"",VLOOKUP($A99,数出表_Excel!$A$6:$T$150,COLUMN()/2+1,FALSE))),"")</f>
        <v/>
      </c>
      <c r="I99" s="114"/>
      <c r="J99" s="114" t="str">
        <f ca="1">IFERROR(VALUE(IF(VLOOKUP($A99,数出表_Excel!$A$6:$T$150,COLUMN()/2+1,FALSE)=0,"",VLOOKUP($A99,数出表_Excel!$A$6:$T$150,COLUMN()/2+1,FALSE))),"")</f>
        <v/>
      </c>
      <c r="K99" s="114"/>
      <c r="L99" s="118" t="str">
        <f ca="1">IFERROR(VALUE(IF(VLOOKUP($A99,数出表_Excel!$A$6:$T$150,COLUMN()/2+1,FALSE)=0,"",VLOOKUP($A99,数出表_Excel!$A$6:$T$150,COLUMN()/2+1,FALSE))),"")</f>
        <v/>
      </c>
      <c r="M99" s="114"/>
      <c r="N99" s="114" t="str">
        <f ca="1">IFERROR(VALUE(IF(VLOOKUP($A99,数出表_Excel!$A$6:$T$150,COLUMN()/2+1,FALSE)=0,"",VLOOKUP($A99,数出表_Excel!$A$6:$T$150,COLUMN()/2+1,FALSE))),"")</f>
        <v/>
      </c>
      <c r="O99" s="114"/>
      <c r="P99" s="114" t="str">
        <f ca="1">IFERROR(VALUE(IF(VLOOKUP($A99,数出表_Excel!$A$6:$T$150,COLUMN()/2+1,FALSE)=0,"",VLOOKUP($A99,数出表_Excel!$A$6:$T$150,COLUMN()/2+1,FALSE))),"")</f>
        <v/>
      </c>
      <c r="Q99" s="114"/>
      <c r="R99" s="114" t="str">
        <f ca="1">IFERROR(VALUE(IF(VLOOKUP($A99,数出表_Excel!$A$6:$T$150,COLUMN()/2+1,FALSE)=0,"",VLOOKUP($A99,数出表_Excel!$A$6:$T$150,COLUMN()/2+1,FALSE))),"")</f>
        <v/>
      </c>
      <c r="S99" s="114"/>
      <c r="T99" s="114" t="str">
        <f ca="1">IFERROR(VALUE(IF(VLOOKUP($A99,数出表_Excel!$A$6:$T$150,COLUMN()/2+1,FALSE)=0,"",VLOOKUP($A99,数出表_Excel!$A$6:$T$150,COLUMN()/2+1,FALSE))),"")</f>
        <v/>
      </c>
      <c r="U99" s="114"/>
      <c r="V99" s="118" t="str">
        <f ca="1">IFERROR(VALUE(IF(VLOOKUP($A99,数出表_Excel!$A$6:$T$150,COLUMN()/2+1,FALSE)=0,"",VLOOKUP($A99,数出表_Excel!$A$6:$T$150,COLUMN()/2+1,FALSE))),"")</f>
        <v/>
      </c>
      <c r="W99" s="114"/>
      <c r="X99" s="118" t="str">
        <f ca="1">IFERROR(VALUE(IF(VLOOKUP($A99,数出表_Excel!$A$6:$T$150,COLUMN()/2+1,FALSE)=0,"",VLOOKUP($A99,数出表_Excel!$A$6:$T$150,COLUMN()/2+1,FALSE))),"")</f>
        <v/>
      </c>
      <c r="Y99" s="114"/>
      <c r="Z99" s="118" t="str">
        <f ca="1">IFERROR(VALUE(IF(VLOOKUP($A99,数出表_Excel!$A$6:$T$150,COLUMN()/2+1,FALSE)=0,"",VLOOKUP($A99,数出表_Excel!$A$6:$T$150,COLUMN()/2+1,FALSE))),"")</f>
        <v/>
      </c>
      <c r="AA99" s="152"/>
      <c r="AB99" s="119" t="str">
        <f ca="1">IFERROR(VALUE(IF(VLOOKUP($A99,数出表_Excel!$A$6:$T$150,COLUMN()/2+1,FALSE)=0,"",VLOOKUP($A99,数出表_Excel!$A$6:$T$150,COLUMN()/2+1,FALSE))),"")</f>
        <v/>
      </c>
      <c r="AC99" s="114"/>
      <c r="AD99" s="118" t="str">
        <f ca="1">IFERROR(VALUE(IF(VLOOKUP($A99,数出表_Excel!$A$6:$T$150,COLUMN()/2+1,FALSE)=0,"",VLOOKUP($A99,数出表_Excel!$A$6:$T$150,COLUMN()/2+1,FALSE))),"")</f>
        <v/>
      </c>
      <c r="AE99" s="114"/>
      <c r="AF99" s="118" t="str">
        <f ca="1">IFERROR(VALUE(IF(VLOOKUP($A99,数出表_Excel!$A$6:$T$150,COLUMN()/2+1,FALSE)=0,"",VLOOKUP($A99,数出表_Excel!$A$6:$T$150,COLUMN()/2+1,FALSE))),"")</f>
        <v/>
      </c>
      <c r="AG99" s="114"/>
      <c r="AH99" s="118" t="str">
        <f ca="1">IFERROR(VALUE(IF(VLOOKUP($A99,数出表_Excel!$A$6:$T$150,COLUMN()/2+1,FALSE)=0,"",VLOOKUP($A99,数出表_Excel!$A$6:$T$150,COLUMN()/2+1,FALSE))),"")</f>
        <v/>
      </c>
      <c r="AI99" s="152"/>
      <c r="AJ99" s="119" t="str">
        <f ca="1">IFERROR(VALUE(IF(VLOOKUP($A99,数出表_Excel!$A$6:$T$150,COLUMN()/2+1,FALSE)=0,"",VLOOKUP($A99,数出表_Excel!$A$6:$T$150,COLUMN()/2+1,FALSE))),"")</f>
        <v/>
      </c>
      <c r="AK99" s="114"/>
      <c r="AL99" s="120" t="e">
        <f ca="1">IF(A99&lt;&gt;"",
IF(VLOOKUP($A99,数出表_Excel!$A$6:$T$150,COLUMN()/2+1,FALSE)=0,"",VLOOKUP($A99,数出表_Excel!$A$6:$T$150,COLUMN()/2+1,FALSE)),"")</f>
        <v>#N/A</v>
      </c>
      <c r="AM99" s="200" t="e">
        <f>数出表_Excel!V99</f>
        <v>#N/A</v>
      </c>
      <c r="AN99" s="201" t="e">
        <f>数出表_Excel!W99</f>
        <v>#N/A</v>
      </c>
    </row>
    <row r="100" spans="1:40" ht="16.2" customHeight="1">
      <c r="A100" s="160" t="e">
        <f t="array" aca="1" ref="A100" ca="1">IF(OR(COUNTIF(A98,"*10002*"),COUNTIF(A98,"")),"",INDEX(貼り付け用!$A1:$A200,MATCH(A98,貼り付け用!$A1:$A200,0)+2,0))</f>
        <v>#N/A</v>
      </c>
      <c r="B100" s="148" t="str">
        <f ca="1">IFERROR(VALUE(IF(VLOOKUP($A100,数出表_Excel!$A$6:$T$150,COLUMN()/2+1,FALSE)=0,"",VLOOKUP($A100,数出表_Excel!$A$6:$T$150,COLUMN()/2+1,FALSE))),"")</f>
        <v/>
      </c>
      <c r="C100" s="113"/>
      <c r="D100" s="148" t="str">
        <f ca="1">IFERROR(VALUE(IF(VLOOKUP($A100,数出表_Excel!$A$6:$T$150,COLUMN()/2+1,FALSE)=0,"",VLOOKUP($A100,数出表_Excel!$A$6:$T$150,COLUMN()/2+1,FALSE))),"")</f>
        <v/>
      </c>
      <c r="E100" s="113"/>
      <c r="F100" s="150" t="str">
        <f ca="1">IFERROR(VALUE(IF(VLOOKUP($A100,数出表_Excel!$A$6:$T$150,COLUMN()/2+1,FALSE)=0,"",VLOOKUP($A100,数出表_Excel!$A$6:$T$150,COLUMN()/2+1,FALSE))),"")</f>
        <v/>
      </c>
      <c r="G100" s="113"/>
      <c r="H100" s="148" t="str">
        <f ca="1">IFERROR(VALUE(IF(VLOOKUP($A100,数出表_Excel!$A$6:$T$150,COLUMN()/2+1,FALSE)=0,"",VLOOKUP($A100,数出表_Excel!$A$6:$T$150,COLUMN()/2+1,FALSE))),"")</f>
        <v/>
      </c>
      <c r="I100" s="113"/>
      <c r="J100" s="148" t="str">
        <f ca="1">IFERROR(VALUE(IF(VLOOKUP($A100,数出表_Excel!$A$6:$T$150,COLUMN()/2+1,FALSE)=0,"",VLOOKUP($A100,数出表_Excel!$A$6:$T$150,COLUMN()/2+1,FALSE))),"")</f>
        <v/>
      </c>
      <c r="K100" s="113"/>
      <c r="L100" s="150" t="str">
        <f ca="1">IFERROR(VALUE(IF(VLOOKUP($A100,数出表_Excel!$A$6:$T$150,COLUMN()/2+1,FALSE)=0,"",VLOOKUP($A100,数出表_Excel!$A$6:$T$150,COLUMN()/2+1,FALSE))),"")</f>
        <v/>
      </c>
      <c r="M100" s="113"/>
      <c r="N100" s="148" t="str">
        <f ca="1">IFERROR(VALUE(IF(VLOOKUP($A100,数出表_Excel!$A$6:$T$150,COLUMN()/2+1,FALSE)=0,"",VLOOKUP($A100,数出表_Excel!$A$6:$T$150,COLUMN()/2+1,FALSE))),"")</f>
        <v/>
      </c>
      <c r="O100" s="113"/>
      <c r="P100" s="148" t="str">
        <f ca="1">IFERROR(VALUE(IF(VLOOKUP($A100,数出表_Excel!$A$6:$T$150,COLUMN()/2+1,FALSE)=0,"",VLOOKUP($A100,数出表_Excel!$A$6:$T$150,COLUMN()/2+1,FALSE))),"")</f>
        <v/>
      </c>
      <c r="Q100" s="113"/>
      <c r="R100" s="148" t="str">
        <f ca="1">IFERROR(VALUE(IF(VLOOKUP($A100,数出表_Excel!$A$6:$T$150,COLUMN()/2+1,FALSE)=0,"",VLOOKUP($A100,数出表_Excel!$A$6:$T$150,COLUMN()/2+1,FALSE))),"")</f>
        <v/>
      </c>
      <c r="S100" s="113"/>
      <c r="T100" s="148" t="str">
        <f ca="1">IFERROR(VALUE(IF(VLOOKUP($A100,数出表_Excel!$A$6:$T$150,COLUMN()/2+1,FALSE)=0,"",VLOOKUP($A100,数出表_Excel!$A$6:$T$150,COLUMN()/2+1,FALSE))),"")</f>
        <v/>
      </c>
      <c r="U100" s="113"/>
      <c r="V100" s="150" t="str">
        <f ca="1">IFERROR(VALUE(IF(VLOOKUP($A100,数出表_Excel!$A$6:$T$150,COLUMN()/2+1,FALSE)=0,"",VLOOKUP($A100,数出表_Excel!$A$6:$T$150,COLUMN()/2+1,FALSE))),"")</f>
        <v/>
      </c>
      <c r="W100" s="113"/>
      <c r="X100" s="150" t="str">
        <f ca="1">IFERROR(VALUE(IF(VLOOKUP($A100,数出表_Excel!$A$6:$T$150,COLUMN()/2+1,FALSE)=0,"",VLOOKUP($A100,数出表_Excel!$A$6:$T$150,COLUMN()/2+1,FALSE))),"")</f>
        <v/>
      </c>
      <c r="Y100" s="113"/>
      <c r="Z100" s="150" t="str">
        <f ca="1">IFERROR(VALUE(IF(VLOOKUP($A100,数出表_Excel!$A$6:$T$150,COLUMN()/2+1,FALSE)=0,"",VLOOKUP($A100,数出表_Excel!$A$6:$T$150,COLUMN()/2+1,FALSE))),"")</f>
        <v/>
      </c>
      <c r="AA100" s="151"/>
      <c r="AB100" s="149" t="str">
        <f ca="1">IFERROR(VALUE(IF(VLOOKUP($A100,数出表_Excel!$A$6:$T$150,COLUMN()/2+1,FALSE)=0,"",VLOOKUP($A100,数出表_Excel!$A$6:$T$150,COLUMN()/2+1,FALSE))),"")</f>
        <v/>
      </c>
      <c r="AC100" s="113"/>
      <c r="AD100" s="150" t="str">
        <f ca="1">IFERROR(VALUE(IF(VLOOKUP($A100,数出表_Excel!$A$6:$T$150,COLUMN()/2+1,FALSE)=0,"",VLOOKUP($A100,数出表_Excel!$A$6:$T$150,COLUMN()/2+1,FALSE))),"")</f>
        <v/>
      </c>
      <c r="AE100" s="113"/>
      <c r="AF100" s="150" t="str">
        <f ca="1">IFERROR(VALUE(IF(VLOOKUP($A100,数出表_Excel!$A$6:$T$150,COLUMN()/2+1,FALSE)=0,"",VLOOKUP($A100,数出表_Excel!$A$6:$T$150,COLUMN()/2+1,FALSE))),"")</f>
        <v/>
      </c>
      <c r="AG100" s="113"/>
      <c r="AH100" s="150" t="str">
        <f ca="1">IFERROR(VALUE(IF(VLOOKUP($A100,数出表_Excel!$A$6:$T$150,COLUMN()/2+1,FALSE)=0,"",VLOOKUP($A100,数出表_Excel!$A$6:$T$150,COLUMN()/2+1,FALSE))),"")</f>
        <v/>
      </c>
      <c r="AI100" s="151"/>
      <c r="AJ100" s="149" t="str">
        <f ca="1">IFERROR(VALUE(IF(VLOOKUP($A100,数出表_Excel!$A$6:$T$150,COLUMN()/2+1,FALSE)=0,"",VLOOKUP($A100,数出表_Excel!$A$6:$T$150,COLUMN()/2+1,FALSE))),"")</f>
        <v/>
      </c>
      <c r="AK100" s="113"/>
      <c r="AL100" s="117" t="e">
        <f ca="1">IF(A100&lt;&gt;"",
IF(VLOOKUP($A100,数出表_Excel!$A$6:$T$150,COLUMN()/2+1,FALSE)=0,"",VLOOKUP($A100,数出表_Excel!$A$6:$T$150,COLUMN()/2+1,FALSE)),"")</f>
        <v>#N/A</v>
      </c>
      <c r="AM100" s="198" t="e">
        <f>数出表_Excel!V100</f>
        <v>#N/A</v>
      </c>
      <c r="AN100" s="199" t="e">
        <f>数出表_Excel!W100</f>
        <v>#N/A</v>
      </c>
    </row>
    <row r="101" spans="1:40" ht="16.2" customHeight="1">
      <c r="A101" s="161" t="e">
        <f t="array" aca="1" ref="A101" ca="1">IF(OR(COUNTIF(A99,"*1000*"),COUNTIF(A99,"")),"",INDEX(貼り付け用!$A1:$A200,MATCH(A99,貼り付け用!$A1:$A200,0)+2,0))</f>
        <v>#N/A</v>
      </c>
      <c r="B101" s="114" t="str">
        <f ca="1">IFERROR(VALUE(IF(VLOOKUP($A101,数出表_Excel!$A$6:$T$150,COLUMN()/2+1,FALSE)=0,"",VLOOKUP($A101,数出表_Excel!$A$6:$T$150,COLUMN()/2+1,FALSE))),"")</f>
        <v/>
      </c>
      <c r="C101" s="114"/>
      <c r="D101" s="114" t="str">
        <f ca="1">IFERROR(VALUE(IF(VLOOKUP($A101,数出表_Excel!$A$6:$T$150,COLUMN()/2+1,FALSE)=0,"",VLOOKUP($A101,数出表_Excel!$A$6:$T$150,COLUMN()/2+1,FALSE))),"")</f>
        <v/>
      </c>
      <c r="E101" s="114"/>
      <c r="F101" s="118" t="str">
        <f ca="1">IFERROR(VALUE(IF(VLOOKUP($A101,数出表_Excel!$A$6:$T$150,COLUMN()/2+1,FALSE)=0,"",VLOOKUP($A101,数出表_Excel!$A$6:$T$150,COLUMN()/2+1,FALSE))),"")</f>
        <v/>
      </c>
      <c r="G101" s="114"/>
      <c r="H101" s="114" t="str">
        <f ca="1">IFERROR(VALUE(IF(VLOOKUP($A101,数出表_Excel!$A$6:$T$150,COLUMN()/2+1,FALSE)=0,"",VLOOKUP($A101,数出表_Excel!$A$6:$T$150,COLUMN()/2+1,FALSE))),"")</f>
        <v/>
      </c>
      <c r="I101" s="114"/>
      <c r="J101" s="114" t="str">
        <f ca="1">IFERROR(VALUE(IF(VLOOKUP($A101,数出表_Excel!$A$6:$T$150,COLUMN()/2+1,FALSE)=0,"",VLOOKUP($A101,数出表_Excel!$A$6:$T$150,COLUMN()/2+1,FALSE))),"")</f>
        <v/>
      </c>
      <c r="K101" s="114"/>
      <c r="L101" s="118" t="str">
        <f ca="1">IFERROR(VALUE(IF(VLOOKUP($A101,数出表_Excel!$A$6:$T$150,COLUMN()/2+1,FALSE)=0,"",VLOOKUP($A101,数出表_Excel!$A$6:$T$150,COLUMN()/2+1,FALSE))),"")</f>
        <v/>
      </c>
      <c r="M101" s="114"/>
      <c r="N101" s="114" t="str">
        <f ca="1">IFERROR(VALUE(IF(VLOOKUP($A101,数出表_Excel!$A$6:$T$150,COLUMN()/2+1,FALSE)=0,"",VLOOKUP($A101,数出表_Excel!$A$6:$T$150,COLUMN()/2+1,FALSE))),"")</f>
        <v/>
      </c>
      <c r="O101" s="114"/>
      <c r="P101" s="114" t="str">
        <f ca="1">IFERROR(VALUE(IF(VLOOKUP($A101,数出表_Excel!$A$6:$T$150,COLUMN()/2+1,FALSE)=0,"",VLOOKUP($A101,数出表_Excel!$A$6:$T$150,COLUMN()/2+1,FALSE))),"")</f>
        <v/>
      </c>
      <c r="Q101" s="114"/>
      <c r="R101" s="114" t="str">
        <f ca="1">IFERROR(VALUE(IF(VLOOKUP($A101,数出表_Excel!$A$6:$T$150,COLUMN()/2+1,FALSE)=0,"",VLOOKUP($A101,数出表_Excel!$A$6:$T$150,COLUMN()/2+1,FALSE))),"")</f>
        <v/>
      </c>
      <c r="S101" s="114"/>
      <c r="T101" s="114" t="str">
        <f ca="1">IFERROR(VALUE(IF(VLOOKUP($A101,数出表_Excel!$A$6:$T$150,COLUMN()/2+1,FALSE)=0,"",VLOOKUP($A101,数出表_Excel!$A$6:$T$150,COLUMN()/2+1,FALSE))),"")</f>
        <v/>
      </c>
      <c r="U101" s="114"/>
      <c r="V101" s="118" t="str">
        <f ca="1">IFERROR(VALUE(IF(VLOOKUP($A101,数出表_Excel!$A$6:$T$150,COLUMN()/2+1,FALSE)=0,"",VLOOKUP($A101,数出表_Excel!$A$6:$T$150,COLUMN()/2+1,FALSE))),"")</f>
        <v/>
      </c>
      <c r="W101" s="114"/>
      <c r="X101" s="118" t="str">
        <f ca="1">IFERROR(VALUE(IF(VLOOKUP($A101,数出表_Excel!$A$6:$T$150,COLUMN()/2+1,FALSE)=0,"",VLOOKUP($A101,数出表_Excel!$A$6:$T$150,COLUMN()/2+1,FALSE))),"")</f>
        <v/>
      </c>
      <c r="Y101" s="114"/>
      <c r="Z101" s="118" t="str">
        <f ca="1">IFERROR(VALUE(IF(VLOOKUP($A101,数出表_Excel!$A$6:$T$150,COLUMN()/2+1,FALSE)=0,"",VLOOKUP($A101,数出表_Excel!$A$6:$T$150,COLUMN()/2+1,FALSE))),"")</f>
        <v/>
      </c>
      <c r="AA101" s="152"/>
      <c r="AB101" s="119" t="str">
        <f ca="1">IFERROR(VALUE(IF(VLOOKUP($A101,数出表_Excel!$A$6:$T$150,COLUMN()/2+1,FALSE)=0,"",VLOOKUP($A101,数出表_Excel!$A$6:$T$150,COLUMN()/2+1,FALSE))),"")</f>
        <v/>
      </c>
      <c r="AC101" s="114"/>
      <c r="AD101" s="118" t="str">
        <f ca="1">IFERROR(VALUE(IF(VLOOKUP($A101,数出表_Excel!$A$6:$T$150,COLUMN()/2+1,FALSE)=0,"",VLOOKUP($A101,数出表_Excel!$A$6:$T$150,COLUMN()/2+1,FALSE))),"")</f>
        <v/>
      </c>
      <c r="AE101" s="114"/>
      <c r="AF101" s="118" t="str">
        <f ca="1">IFERROR(VALUE(IF(VLOOKUP($A101,数出表_Excel!$A$6:$T$150,COLUMN()/2+1,FALSE)=0,"",VLOOKUP($A101,数出表_Excel!$A$6:$T$150,COLUMN()/2+1,FALSE))),"")</f>
        <v/>
      </c>
      <c r="AG101" s="114"/>
      <c r="AH101" s="118" t="str">
        <f ca="1">IFERROR(VALUE(IF(VLOOKUP($A101,数出表_Excel!$A$6:$T$150,COLUMN()/2+1,FALSE)=0,"",VLOOKUP($A101,数出表_Excel!$A$6:$T$150,COLUMN()/2+1,FALSE))),"")</f>
        <v/>
      </c>
      <c r="AI101" s="152"/>
      <c r="AJ101" s="119" t="str">
        <f ca="1">IFERROR(VALUE(IF(VLOOKUP($A101,数出表_Excel!$A$6:$T$150,COLUMN()/2+1,FALSE)=0,"",VLOOKUP($A101,数出表_Excel!$A$6:$T$150,COLUMN()/2+1,FALSE))),"")</f>
        <v/>
      </c>
      <c r="AK101" s="114"/>
      <c r="AL101" s="120" t="e">
        <f ca="1">IF(A101&lt;&gt;"",
IF(VLOOKUP($A101,数出表_Excel!$A$6:$T$150,COLUMN()/2+1,FALSE)=0,"",VLOOKUP($A101,数出表_Excel!$A$6:$T$150,COLUMN()/2+1,FALSE)),"")</f>
        <v>#N/A</v>
      </c>
      <c r="AM101" s="200" t="e">
        <f>数出表_Excel!V101</f>
        <v>#N/A</v>
      </c>
      <c r="AN101" s="201" t="e">
        <f>数出表_Excel!W101</f>
        <v>#N/A</v>
      </c>
    </row>
    <row r="102" spans="1:40" ht="16.2" customHeight="1">
      <c r="A102" s="160" t="e">
        <f t="array" aca="1" ref="A102" ca="1">IF(OR(COUNTIF(A100,"*10002*"),COUNTIF(A100,"")),"",INDEX(貼り付け用!$A1:$A200,MATCH(A100,貼り付け用!$A1:$A200,0)+2,0))</f>
        <v>#N/A</v>
      </c>
      <c r="B102" s="148" t="str">
        <f ca="1">IFERROR(VALUE(IF(VLOOKUP($A102,数出表_Excel!$A$6:$T$150,COLUMN()/2+1,FALSE)=0,"",VLOOKUP($A102,数出表_Excel!$A$6:$T$150,COLUMN()/2+1,FALSE))),"")</f>
        <v/>
      </c>
      <c r="C102" s="113"/>
      <c r="D102" s="148" t="str">
        <f ca="1">IFERROR(VALUE(IF(VLOOKUP($A102,数出表_Excel!$A$6:$T$150,COLUMN()/2+1,FALSE)=0,"",VLOOKUP($A102,数出表_Excel!$A$6:$T$150,COLUMN()/2+1,FALSE))),"")</f>
        <v/>
      </c>
      <c r="E102" s="113"/>
      <c r="F102" s="150" t="str">
        <f ca="1">IFERROR(VALUE(IF(VLOOKUP($A102,数出表_Excel!$A$6:$T$150,COLUMN()/2+1,FALSE)=0,"",VLOOKUP($A102,数出表_Excel!$A$6:$T$150,COLUMN()/2+1,FALSE))),"")</f>
        <v/>
      </c>
      <c r="G102" s="113"/>
      <c r="H102" s="148" t="str">
        <f ca="1">IFERROR(VALUE(IF(VLOOKUP($A102,数出表_Excel!$A$6:$T$150,COLUMN()/2+1,FALSE)=0,"",VLOOKUP($A102,数出表_Excel!$A$6:$T$150,COLUMN()/2+1,FALSE))),"")</f>
        <v/>
      </c>
      <c r="I102" s="113"/>
      <c r="J102" s="148" t="str">
        <f ca="1">IFERROR(VALUE(IF(VLOOKUP($A102,数出表_Excel!$A$6:$T$150,COLUMN()/2+1,FALSE)=0,"",VLOOKUP($A102,数出表_Excel!$A$6:$T$150,COLUMN()/2+1,FALSE))),"")</f>
        <v/>
      </c>
      <c r="K102" s="113"/>
      <c r="L102" s="150" t="str">
        <f ca="1">IFERROR(VALUE(IF(VLOOKUP($A102,数出表_Excel!$A$6:$T$150,COLUMN()/2+1,FALSE)=0,"",VLOOKUP($A102,数出表_Excel!$A$6:$T$150,COLUMN()/2+1,FALSE))),"")</f>
        <v/>
      </c>
      <c r="M102" s="113"/>
      <c r="N102" s="148" t="str">
        <f ca="1">IFERROR(VALUE(IF(VLOOKUP($A102,数出表_Excel!$A$6:$T$150,COLUMN()/2+1,FALSE)=0,"",VLOOKUP($A102,数出表_Excel!$A$6:$T$150,COLUMN()/2+1,FALSE))),"")</f>
        <v/>
      </c>
      <c r="O102" s="113"/>
      <c r="P102" s="148" t="str">
        <f ca="1">IFERROR(VALUE(IF(VLOOKUP($A102,数出表_Excel!$A$6:$T$150,COLUMN()/2+1,FALSE)=0,"",VLOOKUP($A102,数出表_Excel!$A$6:$T$150,COLUMN()/2+1,FALSE))),"")</f>
        <v/>
      </c>
      <c r="Q102" s="113"/>
      <c r="R102" s="148" t="str">
        <f ca="1">IFERROR(VALUE(IF(VLOOKUP($A102,数出表_Excel!$A$6:$T$150,COLUMN()/2+1,FALSE)=0,"",VLOOKUP($A102,数出表_Excel!$A$6:$T$150,COLUMN()/2+1,FALSE))),"")</f>
        <v/>
      </c>
      <c r="S102" s="113"/>
      <c r="T102" s="148" t="str">
        <f ca="1">IFERROR(VALUE(IF(VLOOKUP($A102,数出表_Excel!$A$6:$T$150,COLUMN()/2+1,FALSE)=0,"",VLOOKUP($A102,数出表_Excel!$A$6:$T$150,COLUMN()/2+1,FALSE))),"")</f>
        <v/>
      </c>
      <c r="U102" s="113"/>
      <c r="V102" s="150" t="str">
        <f ca="1">IFERROR(VALUE(IF(VLOOKUP($A102,数出表_Excel!$A$6:$T$150,COLUMN()/2+1,FALSE)=0,"",VLOOKUP($A102,数出表_Excel!$A$6:$T$150,COLUMN()/2+1,FALSE))),"")</f>
        <v/>
      </c>
      <c r="W102" s="113"/>
      <c r="X102" s="150" t="str">
        <f ca="1">IFERROR(VALUE(IF(VLOOKUP($A102,数出表_Excel!$A$6:$T$150,COLUMN()/2+1,FALSE)=0,"",VLOOKUP($A102,数出表_Excel!$A$6:$T$150,COLUMN()/2+1,FALSE))),"")</f>
        <v/>
      </c>
      <c r="Y102" s="113"/>
      <c r="Z102" s="150" t="str">
        <f ca="1">IFERROR(VALUE(IF(VLOOKUP($A102,数出表_Excel!$A$6:$T$150,COLUMN()/2+1,FALSE)=0,"",VLOOKUP($A102,数出表_Excel!$A$6:$T$150,COLUMN()/2+1,FALSE))),"")</f>
        <v/>
      </c>
      <c r="AA102" s="151"/>
      <c r="AB102" s="149" t="str">
        <f ca="1">IFERROR(VALUE(IF(VLOOKUP($A102,数出表_Excel!$A$6:$T$150,COLUMN()/2+1,FALSE)=0,"",VLOOKUP($A102,数出表_Excel!$A$6:$T$150,COLUMN()/2+1,FALSE))),"")</f>
        <v/>
      </c>
      <c r="AC102" s="113"/>
      <c r="AD102" s="150" t="str">
        <f ca="1">IFERROR(VALUE(IF(VLOOKUP($A102,数出表_Excel!$A$6:$T$150,COLUMN()/2+1,FALSE)=0,"",VLOOKUP($A102,数出表_Excel!$A$6:$T$150,COLUMN()/2+1,FALSE))),"")</f>
        <v/>
      </c>
      <c r="AE102" s="113"/>
      <c r="AF102" s="150" t="str">
        <f ca="1">IFERROR(VALUE(IF(VLOOKUP($A102,数出表_Excel!$A$6:$T$150,COLUMN()/2+1,FALSE)=0,"",VLOOKUP($A102,数出表_Excel!$A$6:$T$150,COLUMN()/2+1,FALSE))),"")</f>
        <v/>
      </c>
      <c r="AG102" s="113"/>
      <c r="AH102" s="150" t="str">
        <f ca="1">IFERROR(VALUE(IF(VLOOKUP($A102,数出表_Excel!$A$6:$T$150,COLUMN()/2+1,FALSE)=0,"",VLOOKUP($A102,数出表_Excel!$A$6:$T$150,COLUMN()/2+1,FALSE))),"")</f>
        <v/>
      </c>
      <c r="AI102" s="151"/>
      <c r="AJ102" s="149" t="str">
        <f ca="1">IFERROR(VALUE(IF(VLOOKUP($A102,数出表_Excel!$A$6:$T$150,COLUMN()/2+1,FALSE)=0,"",VLOOKUP($A102,数出表_Excel!$A$6:$T$150,COLUMN()/2+1,FALSE))),"")</f>
        <v/>
      </c>
      <c r="AK102" s="113"/>
      <c r="AL102" s="117" t="e">
        <f ca="1">IF(A102&lt;&gt;"",
IF(VLOOKUP($A102,数出表_Excel!$A$6:$T$150,COLUMN()/2+1,FALSE)=0,"",VLOOKUP($A102,数出表_Excel!$A$6:$T$150,COLUMN()/2+1,FALSE)),"")</f>
        <v>#N/A</v>
      </c>
      <c r="AM102" s="198" t="e">
        <f>数出表_Excel!V102</f>
        <v>#N/A</v>
      </c>
      <c r="AN102" s="199" t="e">
        <f>数出表_Excel!W102</f>
        <v>#N/A</v>
      </c>
    </row>
    <row r="103" spans="1:40" ht="16.2" customHeight="1">
      <c r="A103" s="161" t="e">
        <f t="array" aca="1" ref="A103" ca="1">IF(OR(COUNTIF(A101,"*1000*"),COUNTIF(A101,"")),"",INDEX(貼り付け用!$A1:$A200,MATCH(A101,貼り付け用!$A1:$A200,0)+2,0))</f>
        <v>#N/A</v>
      </c>
      <c r="B103" s="114" t="str">
        <f ca="1">IFERROR(VALUE(IF(VLOOKUP($A103,数出表_Excel!$A$6:$T$150,COLUMN()/2+1,FALSE)=0,"",VLOOKUP($A103,数出表_Excel!$A$6:$T$150,COLUMN()/2+1,FALSE))),"")</f>
        <v/>
      </c>
      <c r="C103" s="114"/>
      <c r="D103" s="114" t="str">
        <f ca="1">IFERROR(VALUE(IF(VLOOKUP($A103,数出表_Excel!$A$6:$T$150,COLUMN()/2+1,FALSE)=0,"",VLOOKUP($A103,数出表_Excel!$A$6:$T$150,COLUMN()/2+1,FALSE))),"")</f>
        <v/>
      </c>
      <c r="E103" s="114"/>
      <c r="F103" s="118" t="str">
        <f ca="1">IFERROR(VALUE(IF(VLOOKUP($A103,数出表_Excel!$A$6:$T$150,COLUMN()/2+1,FALSE)=0,"",VLOOKUP($A103,数出表_Excel!$A$6:$T$150,COLUMN()/2+1,FALSE))),"")</f>
        <v/>
      </c>
      <c r="G103" s="114"/>
      <c r="H103" s="114" t="str">
        <f ca="1">IFERROR(VALUE(IF(VLOOKUP($A103,数出表_Excel!$A$6:$T$150,COLUMN()/2+1,FALSE)=0,"",VLOOKUP($A103,数出表_Excel!$A$6:$T$150,COLUMN()/2+1,FALSE))),"")</f>
        <v/>
      </c>
      <c r="I103" s="114"/>
      <c r="J103" s="114" t="str">
        <f ca="1">IFERROR(VALUE(IF(VLOOKUP($A103,数出表_Excel!$A$6:$T$150,COLUMN()/2+1,FALSE)=0,"",VLOOKUP($A103,数出表_Excel!$A$6:$T$150,COLUMN()/2+1,FALSE))),"")</f>
        <v/>
      </c>
      <c r="K103" s="114"/>
      <c r="L103" s="118" t="str">
        <f ca="1">IFERROR(VALUE(IF(VLOOKUP($A103,数出表_Excel!$A$6:$T$150,COLUMN()/2+1,FALSE)=0,"",VLOOKUP($A103,数出表_Excel!$A$6:$T$150,COLUMN()/2+1,FALSE))),"")</f>
        <v/>
      </c>
      <c r="M103" s="114"/>
      <c r="N103" s="114" t="str">
        <f ca="1">IFERROR(VALUE(IF(VLOOKUP($A103,数出表_Excel!$A$6:$T$150,COLUMN()/2+1,FALSE)=0,"",VLOOKUP($A103,数出表_Excel!$A$6:$T$150,COLUMN()/2+1,FALSE))),"")</f>
        <v/>
      </c>
      <c r="O103" s="114"/>
      <c r="P103" s="114" t="str">
        <f ca="1">IFERROR(VALUE(IF(VLOOKUP($A103,数出表_Excel!$A$6:$T$150,COLUMN()/2+1,FALSE)=0,"",VLOOKUP($A103,数出表_Excel!$A$6:$T$150,COLUMN()/2+1,FALSE))),"")</f>
        <v/>
      </c>
      <c r="Q103" s="114"/>
      <c r="R103" s="114" t="str">
        <f ca="1">IFERROR(VALUE(IF(VLOOKUP($A103,数出表_Excel!$A$6:$T$150,COLUMN()/2+1,FALSE)=0,"",VLOOKUP($A103,数出表_Excel!$A$6:$T$150,COLUMN()/2+1,FALSE))),"")</f>
        <v/>
      </c>
      <c r="S103" s="114"/>
      <c r="T103" s="114" t="str">
        <f ca="1">IFERROR(VALUE(IF(VLOOKUP($A103,数出表_Excel!$A$6:$T$150,COLUMN()/2+1,FALSE)=0,"",VLOOKUP($A103,数出表_Excel!$A$6:$T$150,COLUMN()/2+1,FALSE))),"")</f>
        <v/>
      </c>
      <c r="U103" s="114"/>
      <c r="V103" s="118" t="str">
        <f ca="1">IFERROR(VALUE(IF(VLOOKUP($A103,数出表_Excel!$A$6:$T$150,COLUMN()/2+1,FALSE)=0,"",VLOOKUP($A103,数出表_Excel!$A$6:$T$150,COLUMN()/2+1,FALSE))),"")</f>
        <v/>
      </c>
      <c r="W103" s="114"/>
      <c r="X103" s="118" t="str">
        <f ca="1">IFERROR(VALUE(IF(VLOOKUP($A103,数出表_Excel!$A$6:$T$150,COLUMN()/2+1,FALSE)=0,"",VLOOKUP($A103,数出表_Excel!$A$6:$T$150,COLUMN()/2+1,FALSE))),"")</f>
        <v/>
      </c>
      <c r="Y103" s="114"/>
      <c r="Z103" s="118" t="str">
        <f ca="1">IFERROR(VALUE(IF(VLOOKUP($A103,数出表_Excel!$A$6:$T$150,COLUMN()/2+1,FALSE)=0,"",VLOOKUP($A103,数出表_Excel!$A$6:$T$150,COLUMN()/2+1,FALSE))),"")</f>
        <v/>
      </c>
      <c r="AA103" s="152"/>
      <c r="AB103" s="119" t="str">
        <f ca="1">IFERROR(VALUE(IF(VLOOKUP($A103,数出表_Excel!$A$6:$T$150,COLUMN()/2+1,FALSE)=0,"",VLOOKUP($A103,数出表_Excel!$A$6:$T$150,COLUMN()/2+1,FALSE))),"")</f>
        <v/>
      </c>
      <c r="AC103" s="114"/>
      <c r="AD103" s="118" t="str">
        <f ca="1">IFERROR(VALUE(IF(VLOOKUP($A103,数出表_Excel!$A$6:$T$150,COLUMN()/2+1,FALSE)=0,"",VLOOKUP($A103,数出表_Excel!$A$6:$T$150,COLUMN()/2+1,FALSE))),"")</f>
        <v/>
      </c>
      <c r="AE103" s="114"/>
      <c r="AF103" s="118" t="str">
        <f ca="1">IFERROR(VALUE(IF(VLOOKUP($A103,数出表_Excel!$A$6:$T$150,COLUMN()/2+1,FALSE)=0,"",VLOOKUP($A103,数出表_Excel!$A$6:$T$150,COLUMN()/2+1,FALSE))),"")</f>
        <v/>
      </c>
      <c r="AG103" s="114"/>
      <c r="AH103" s="118" t="str">
        <f ca="1">IFERROR(VALUE(IF(VLOOKUP($A103,数出表_Excel!$A$6:$T$150,COLUMN()/2+1,FALSE)=0,"",VLOOKUP($A103,数出表_Excel!$A$6:$T$150,COLUMN()/2+1,FALSE))),"")</f>
        <v/>
      </c>
      <c r="AI103" s="152"/>
      <c r="AJ103" s="119" t="str">
        <f ca="1">IFERROR(VALUE(IF(VLOOKUP($A103,数出表_Excel!$A$6:$T$150,COLUMN()/2+1,FALSE)=0,"",VLOOKUP($A103,数出表_Excel!$A$6:$T$150,COLUMN()/2+1,FALSE))),"")</f>
        <v/>
      </c>
      <c r="AK103" s="114"/>
      <c r="AL103" s="120" t="e">
        <f ca="1">IF(A103&lt;&gt;"",
IF(VLOOKUP($A103,数出表_Excel!$A$6:$T$150,COLUMN()/2+1,FALSE)=0,"",VLOOKUP($A103,数出表_Excel!$A$6:$T$150,COLUMN()/2+1,FALSE)),"")</f>
        <v>#N/A</v>
      </c>
      <c r="AM103" s="200" t="e">
        <f>数出表_Excel!V103</f>
        <v>#N/A</v>
      </c>
      <c r="AN103" s="201" t="e">
        <f>数出表_Excel!W103</f>
        <v>#N/A</v>
      </c>
    </row>
    <row r="104" spans="1:40" ht="16.2" customHeight="1">
      <c r="A104" s="160" t="e">
        <f t="array" aca="1" ref="A104" ca="1">IF(OR(COUNTIF(A102,"*10002*"),COUNTIF(A102,"")),"",INDEX(貼り付け用!$A1:$A200,MATCH(A102,貼り付け用!$A1:$A200,0)+2,0))</f>
        <v>#N/A</v>
      </c>
      <c r="B104" s="148" t="str">
        <f ca="1">IFERROR(VALUE(IF(VLOOKUP($A104,数出表_Excel!$A$6:$T$150,COLUMN()/2+1,FALSE)=0,"",VLOOKUP($A104,数出表_Excel!$A$6:$T$150,COLUMN()/2+1,FALSE))),"")</f>
        <v/>
      </c>
      <c r="C104" s="113"/>
      <c r="D104" s="148" t="str">
        <f ca="1">IFERROR(VALUE(IF(VLOOKUP($A104,数出表_Excel!$A$6:$T$150,COLUMN()/2+1,FALSE)=0,"",VLOOKUP($A104,数出表_Excel!$A$6:$T$150,COLUMN()/2+1,FALSE))),"")</f>
        <v/>
      </c>
      <c r="E104" s="113"/>
      <c r="F104" s="150" t="str">
        <f ca="1">IFERROR(VALUE(IF(VLOOKUP($A104,数出表_Excel!$A$6:$T$150,COLUMN()/2+1,FALSE)=0,"",VLOOKUP($A104,数出表_Excel!$A$6:$T$150,COLUMN()/2+1,FALSE))),"")</f>
        <v/>
      </c>
      <c r="G104" s="113"/>
      <c r="H104" s="148" t="str">
        <f ca="1">IFERROR(VALUE(IF(VLOOKUP($A104,数出表_Excel!$A$6:$T$150,COLUMN()/2+1,FALSE)=0,"",VLOOKUP($A104,数出表_Excel!$A$6:$T$150,COLUMN()/2+1,FALSE))),"")</f>
        <v/>
      </c>
      <c r="I104" s="113"/>
      <c r="J104" s="148" t="str">
        <f ca="1">IFERROR(VALUE(IF(VLOOKUP($A104,数出表_Excel!$A$6:$T$150,COLUMN()/2+1,FALSE)=0,"",VLOOKUP($A104,数出表_Excel!$A$6:$T$150,COLUMN()/2+1,FALSE))),"")</f>
        <v/>
      </c>
      <c r="K104" s="113"/>
      <c r="L104" s="150" t="str">
        <f ca="1">IFERROR(VALUE(IF(VLOOKUP($A104,数出表_Excel!$A$6:$T$150,COLUMN()/2+1,FALSE)=0,"",VLOOKUP($A104,数出表_Excel!$A$6:$T$150,COLUMN()/2+1,FALSE))),"")</f>
        <v/>
      </c>
      <c r="M104" s="113"/>
      <c r="N104" s="148" t="str">
        <f ca="1">IFERROR(VALUE(IF(VLOOKUP($A104,数出表_Excel!$A$6:$T$150,COLUMN()/2+1,FALSE)=0,"",VLOOKUP($A104,数出表_Excel!$A$6:$T$150,COLUMN()/2+1,FALSE))),"")</f>
        <v/>
      </c>
      <c r="O104" s="113"/>
      <c r="P104" s="148" t="str">
        <f ca="1">IFERROR(VALUE(IF(VLOOKUP($A104,数出表_Excel!$A$6:$T$150,COLUMN()/2+1,FALSE)=0,"",VLOOKUP($A104,数出表_Excel!$A$6:$T$150,COLUMN()/2+1,FALSE))),"")</f>
        <v/>
      </c>
      <c r="Q104" s="113"/>
      <c r="R104" s="148" t="str">
        <f ca="1">IFERROR(VALUE(IF(VLOOKUP($A104,数出表_Excel!$A$6:$T$150,COLUMN()/2+1,FALSE)=0,"",VLOOKUP($A104,数出表_Excel!$A$6:$T$150,COLUMN()/2+1,FALSE))),"")</f>
        <v/>
      </c>
      <c r="S104" s="113"/>
      <c r="T104" s="148" t="str">
        <f ca="1">IFERROR(VALUE(IF(VLOOKUP($A104,数出表_Excel!$A$6:$T$150,COLUMN()/2+1,FALSE)=0,"",VLOOKUP($A104,数出表_Excel!$A$6:$T$150,COLUMN()/2+1,FALSE))),"")</f>
        <v/>
      </c>
      <c r="U104" s="113"/>
      <c r="V104" s="150" t="str">
        <f ca="1">IFERROR(VALUE(IF(VLOOKUP($A104,数出表_Excel!$A$6:$T$150,COLUMN()/2+1,FALSE)=0,"",VLOOKUP($A104,数出表_Excel!$A$6:$T$150,COLUMN()/2+1,FALSE))),"")</f>
        <v/>
      </c>
      <c r="W104" s="113"/>
      <c r="X104" s="150" t="str">
        <f ca="1">IFERROR(VALUE(IF(VLOOKUP($A104,数出表_Excel!$A$6:$T$150,COLUMN()/2+1,FALSE)=0,"",VLOOKUP($A104,数出表_Excel!$A$6:$T$150,COLUMN()/2+1,FALSE))),"")</f>
        <v/>
      </c>
      <c r="Y104" s="113"/>
      <c r="Z104" s="150" t="str">
        <f ca="1">IFERROR(VALUE(IF(VLOOKUP($A104,数出表_Excel!$A$6:$T$150,COLUMN()/2+1,FALSE)=0,"",VLOOKUP($A104,数出表_Excel!$A$6:$T$150,COLUMN()/2+1,FALSE))),"")</f>
        <v/>
      </c>
      <c r="AA104" s="151"/>
      <c r="AB104" s="149" t="str">
        <f ca="1">IFERROR(VALUE(IF(VLOOKUP($A104,数出表_Excel!$A$6:$T$150,COLUMN()/2+1,FALSE)=0,"",VLOOKUP($A104,数出表_Excel!$A$6:$T$150,COLUMN()/2+1,FALSE))),"")</f>
        <v/>
      </c>
      <c r="AC104" s="113"/>
      <c r="AD104" s="150" t="str">
        <f ca="1">IFERROR(VALUE(IF(VLOOKUP($A104,数出表_Excel!$A$6:$T$150,COLUMN()/2+1,FALSE)=0,"",VLOOKUP($A104,数出表_Excel!$A$6:$T$150,COLUMN()/2+1,FALSE))),"")</f>
        <v/>
      </c>
      <c r="AE104" s="113"/>
      <c r="AF104" s="150" t="str">
        <f ca="1">IFERROR(VALUE(IF(VLOOKUP($A104,数出表_Excel!$A$6:$T$150,COLUMN()/2+1,FALSE)=0,"",VLOOKUP($A104,数出表_Excel!$A$6:$T$150,COLUMN()/2+1,FALSE))),"")</f>
        <v/>
      </c>
      <c r="AG104" s="113"/>
      <c r="AH104" s="150" t="str">
        <f ca="1">IFERROR(VALUE(IF(VLOOKUP($A104,数出表_Excel!$A$6:$T$150,COLUMN()/2+1,FALSE)=0,"",VLOOKUP($A104,数出表_Excel!$A$6:$T$150,COLUMN()/2+1,FALSE))),"")</f>
        <v/>
      </c>
      <c r="AI104" s="151"/>
      <c r="AJ104" s="149" t="str">
        <f ca="1">IFERROR(VALUE(IF(VLOOKUP($A104,数出表_Excel!$A$6:$T$150,COLUMN()/2+1,FALSE)=0,"",VLOOKUP($A104,数出表_Excel!$A$6:$T$150,COLUMN()/2+1,FALSE))),"")</f>
        <v/>
      </c>
      <c r="AK104" s="113"/>
      <c r="AL104" s="117" t="e">
        <f ca="1">IF(A104&lt;&gt;"",
IF(VLOOKUP($A104,数出表_Excel!$A$6:$T$150,COLUMN()/2+1,FALSE)=0,"",VLOOKUP($A104,数出表_Excel!$A$6:$T$150,COLUMN()/2+1,FALSE)),"")</f>
        <v>#N/A</v>
      </c>
      <c r="AM104" s="198" t="e">
        <f>数出表_Excel!V104</f>
        <v>#N/A</v>
      </c>
      <c r="AN104" s="199" t="e">
        <f>数出表_Excel!W104</f>
        <v>#N/A</v>
      </c>
    </row>
    <row r="105" spans="1:40" ht="16.2" customHeight="1">
      <c r="A105" s="161" t="e">
        <f t="array" aca="1" ref="A105" ca="1">IF(OR(COUNTIF(A103,"*1000*"),COUNTIF(A103,"")),"",INDEX(貼り付け用!$A1:$A200,MATCH(A103,貼り付け用!$A1:$A200,0)+2,0))</f>
        <v>#N/A</v>
      </c>
      <c r="B105" s="114" t="str">
        <f ca="1">IFERROR(VALUE(IF(VLOOKUP($A105,数出表_Excel!$A$6:$T$150,COLUMN()/2+1,FALSE)=0,"",VLOOKUP($A105,数出表_Excel!$A$6:$T$150,COLUMN()/2+1,FALSE))),"")</f>
        <v/>
      </c>
      <c r="C105" s="114"/>
      <c r="D105" s="114" t="str">
        <f ca="1">IFERROR(VALUE(IF(VLOOKUP($A105,数出表_Excel!$A$6:$T$150,COLUMN()/2+1,FALSE)=0,"",VLOOKUP($A105,数出表_Excel!$A$6:$T$150,COLUMN()/2+1,FALSE))),"")</f>
        <v/>
      </c>
      <c r="E105" s="114"/>
      <c r="F105" s="118" t="str">
        <f ca="1">IFERROR(VALUE(IF(VLOOKUP($A105,数出表_Excel!$A$6:$T$150,COLUMN()/2+1,FALSE)=0,"",VLOOKUP($A105,数出表_Excel!$A$6:$T$150,COLUMN()/2+1,FALSE))),"")</f>
        <v/>
      </c>
      <c r="G105" s="114"/>
      <c r="H105" s="114" t="str">
        <f ca="1">IFERROR(VALUE(IF(VLOOKUP($A105,数出表_Excel!$A$6:$T$150,COLUMN()/2+1,FALSE)=0,"",VLOOKUP($A105,数出表_Excel!$A$6:$T$150,COLUMN()/2+1,FALSE))),"")</f>
        <v/>
      </c>
      <c r="I105" s="114"/>
      <c r="J105" s="114" t="str">
        <f ca="1">IFERROR(VALUE(IF(VLOOKUP($A105,数出表_Excel!$A$6:$T$150,COLUMN()/2+1,FALSE)=0,"",VLOOKUP($A105,数出表_Excel!$A$6:$T$150,COLUMN()/2+1,FALSE))),"")</f>
        <v/>
      </c>
      <c r="K105" s="114"/>
      <c r="L105" s="118" t="str">
        <f ca="1">IFERROR(VALUE(IF(VLOOKUP($A105,数出表_Excel!$A$6:$T$150,COLUMN()/2+1,FALSE)=0,"",VLOOKUP($A105,数出表_Excel!$A$6:$T$150,COLUMN()/2+1,FALSE))),"")</f>
        <v/>
      </c>
      <c r="M105" s="114"/>
      <c r="N105" s="114" t="str">
        <f ca="1">IFERROR(VALUE(IF(VLOOKUP($A105,数出表_Excel!$A$6:$T$150,COLUMN()/2+1,FALSE)=0,"",VLOOKUP($A105,数出表_Excel!$A$6:$T$150,COLUMN()/2+1,FALSE))),"")</f>
        <v/>
      </c>
      <c r="O105" s="114"/>
      <c r="P105" s="114" t="str">
        <f ca="1">IFERROR(VALUE(IF(VLOOKUP($A105,数出表_Excel!$A$6:$T$150,COLUMN()/2+1,FALSE)=0,"",VLOOKUP($A105,数出表_Excel!$A$6:$T$150,COLUMN()/2+1,FALSE))),"")</f>
        <v/>
      </c>
      <c r="Q105" s="114"/>
      <c r="R105" s="114" t="str">
        <f ca="1">IFERROR(VALUE(IF(VLOOKUP($A105,数出表_Excel!$A$6:$T$150,COLUMN()/2+1,FALSE)=0,"",VLOOKUP($A105,数出表_Excel!$A$6:$T$150,COLUMN()/2+1,FALSE))),"")</f>
        <v/>
      </c>
      <c r="S105" s="114"/>
      <c r="T105" s="114" t="str">
        <f ca="1">IFERROR(VALUE(IF(VLOOKUP($A105,数出表_Excel!$A$6:$T$150,COLUMN()/2+1,FALSE)=0,"",VLOOKUP($A105,数出表_Excel!$A$6:$T$150,COLUMN()/2+1,FALSE))),"")</f>
        <v/>
      </c>
      <c r="U105" s="114"/>
      <c r="V105" s="118" t="str">
        <f ca="1">IFERROR(VALUE(IF(VLOOKUP($A105,数出表_Excel!$A$6:$T$150,COLUMN()/2+1,FALSE)=0,"",VLOOKUP($A105,数出表_Excel!$A$6:$T$150,COLUMN()/2+1,FALSE))),"")</f>
        <v/>
      </c>
      <c r="W105" s="114"/>
      <c r="X105" s="118" t="str">
        <f ca="1">IFERROR(VALUE(IF(VLOOKUP($A105,数出表_Excel!$A$6:$T$150,COLUMN()/2+1,FALSE)=0,"",VLOOKUP($A105,数出表_Excel!$A$6:$T$150,COLUMN()/2+1,FALSE))),"")</f>
        <v/>
      </c>
      <c r="Y105" s="114"/>
      <c r="Z105" s="118" t="str">
        <f ca="1">IFERROR(VALUE(IF(VLOOKUP($A105,数出表_Excel!$A$6:$T$150,COLUMN()/2+1,FALSE)=0,"",VLOOKUP($A105,数出表_Excel!$A$6:$T$150,COLUMN()/2+1,FALSE))),"")</f>
        <v/>
      </c>
      <c r="AA105" s="152"/>
      <c r="AB105" s="119" t="str">
        <f ca="1">IFERROR(VALUE(IF(VLOOKUP($A105,数出表_Excel!$A$6:$T$150,COLUMN()/2+1,FALSE)=0,"",VLOOKUP($A105,数出表_Excel!$A$6:$T$150,COLUMN()/2+1,FALSE))),"")</f>
        <v/>
      </c>
      <c r="AC105" s="114"/>
      <c r="AD105" s="118" t="str">
        <f ca="1">IFERROR(VALUE(IF(VLOOKUP($A105,数出表_Excel!$A$6:$T$150,COLUMN()/2+1,FALSE)=0,"",VLOOKUP($A105,数出表_Excel!$A$6:$T$150,COLUMN()/2+1,FALSE))),"")</f>
        <v/>
      </c>
      <c r="AE105" s="114"/>
      <c r="AF105" s="118" t="str">
        <f ca="1">IFERROR(VALUE(IF(VLOOKUP($A105,数出表_Excel!$A$6:$T$150,COLUMN()/2+1,FALSE)=0,"",VLOOKUP($A105,数出表_Excel!$A$6:$T$150,COLUMN()/2+1,FALSE))),"")</f>
        <v/>
      </c>
      <c r="AG105" s="114"/>
      <c r="AH105" s="118" t="str">
        <f ca="1">IFERROR(VALUE(IF(VLOOKUP($A105,数出表_Excel!$A$6:$T$150,COLUMN()/2+1,FALSE)=0,"",VLOOKUP($A105,数出表_Excel!$A$6:$T$150,COLUMN()/2+1,FALSE))),"")</f>
        <v/>
      </c>
      <c r="AI105" s="152"/>
      <c r="AJ105" s="119" t="str">
        <f ca="1">IFERROR(VALUE(IF(VLOOKUP($A105,数出表_Excel!$A$6:$T$150,COLUMN()/2+1,FALSE)=0,"",VLOOKUP($A105,数出表_Excel!$A$6:$T$150,COLUMN()/2+1,FALSE))),"")</f>
        <v/>
      </c>
      <c r="AK105" s="114"/>
      <c r="AL105" s="120" t="e">
        <f ca="1">IF(A105&lt;&gt;"",
IF(VLOOKUP($A105,数出表_Excel!$A$6:$T$150,COLUMN()/2+1,FALSE)=0,"",VLOOKUP($A105,数出表_Excel!$A$6:$T$150,COLUMN()/2+1,FALSE)),"")</f>
        <v>#N/A</v>
      </c>
      <c r="AM105" s="200" t="e">
        <f>数出表_Excel!V105</f>
        <v>#N/A</v>
      </c>
      <c r="AN105" s="201" t="e">
        <f>数出表_Excel!W105</f>
        <v>#N/A</v>
      </c>
    </row>
    <row r="106" spans="1:40" ht="16.2" customHeight="1">
      <c r="A106" s="160" t="e">
        <f t="array" aca="1" ref="A106" ca="1">IF(OR(COUNTIF(A104,"*10002*"),COUNTIF(A104,"")),"",INDEX(貼り付け用!$A1:$A200,MATCH(A104,貼り付け用!$A1:$A200,0)+2,0))</f>
        <v>#N/A</v>
      </c>
      <c r="B106" s="148" t="str">
        <f ca="1">IFERROR(VALUE(IF(VLOOKUP($A106,数出表_Excel!$A$6:$T$150,COLUMN()/2+1,FALSE)=0,"",VLOOKUP($A106,数出表_Excel!$A$6:$T$150,COLUMN()/2+1,FALSE))),"")</f>
        <v/>
      </c>
      <c r="C106" s="113"/>
      <c r="D106" s="148" t="str">
        <f ca="1">IFERROR(VALUE(IF(VLOOKUP($A106,数出表_Excel!$A$6:$T$150,COLUMN()/2+1,FALSE)=0,"",VLOOKUP($A106,数出表_Excel!$A$6:$T$150,COLUMN()/2+1,FALSE))),"")</f>
        <v/>
      </c>
      <c r="E106" s="113"/>
      <c r="F106" s="150" t="str">
        <f ca="1">IFERROR(VALUE(IF(VLOOKUP($A106,数出表_Excel!$A$6:$T$150,COLUMN()/2+1,FALSE)=0,"",VLOOKUP($A106,数出表_Excel!$A$6:$T$150,COLUMN()/2+1,FALSE))),"")</f>
        <v/>
      </c>
      <c r="G106" s="113"/>
      <c r="H106" s="148" t="str">
        <f ca="1">IFERROR(VALUE(IF(VLOOKUP($A106,数出表_Excel!$A$6:$T$150,COLUMN()/2+1,FALSE)=0,"",VLOOKUP($A106,数出表_Excel!$A$6:$T$150,COLUMN()/2+1,FALSE))),"")</f>
        <v/>
      </c>
      <c r="I106" s="113"/>
      <c r="J106" s="148" t="str">
        <f ca="1">IFERROR(VALUE(IF(VLOOKUP($A106,数出表_Excel!$A$6:$T$150,COLUMN()/2+1,FALSE)=0,"",VLOOKUP($A106,数出表_Excel!$A$6:$T$150,COLUMN()/2+1,FALSE))),"")</f>
        <v/>
      </c>
      <c r="K106" s="113"/>
      <c r="L106" s="150" t="str">
        <f ca="1">IFERROR(VALUE(IF(VLOOKUP($A106,数出表_Excel!$A$6:$T$150,COLUMN()/2+1,FALSE)=0,"",VLOOKUP($A106,数出表_Excel!$A$6:$T$150,COLUMN()/2+1,FALSE))),"")</f>
        <v/>
      </c>
      <c r="M106" s="113"/>
      <c r="N106" s="148" t="str">
        <f ca="1">IFERROR(VALUE(IF(VLOOKUP($A106,数出表_Excel!$A$6:$T$150,COLUMN()/2+1,FALSE)=0,"",VLOOKUP($A106,数出表_Excel!$A$6:$T$150,COLUMN()/2+1,FALSE))),"")</f>
        <v/>
      </c>
      <c r="O106" s="113"/>
      <c r="P106" s="148" t="str">
        <f ca="1">IFERROR(VALUE(IF(VLOOKUP($A106,数出表_Excel!$A$6:$T$150,COLUMN()/2+1,FALSE)=0,"",VLOOKUP($A106,数出表_Excel!$A$6:$T$150,COLUMN()/2+1,FALSE))),"")</f>
        <v/>
      </c>
      <c r="Q106" s="113"/>
      <c r="R106" s="148" t="str">
        <f ca="1">IFERROR(VALUE(IF(VLOOKUP($A106,数出表_Excel!$A$6:$T$150,COLUMN()/2+1,FALSE)=0,"",VLOOKUP($A106,数出表_Excel!$A$6:$T$150,COLUMN()/2+1,FALSE))),"")</f>
        <v/>
      </c>
      <c r="S106" s="113"/>
      <c r="T106" s="148" t="str">
        <f ca="1">IFERROR(VALUE(IF(VLOOKUP($A106,数出表_Excel!$A$6:$T$150,COLUMN()/2+1,FALSE)=0,"",VLOOKUP($A106,数出表_Excel!$A$6:$T$150,COLUMN()/2+1,FALSE))),"")</f>
        <v/>
      </c>
      <c r="U106" s="113"/>
      <c r="V106" s="150" t="str">
        <f ca="1">IFERROR(VALUE(IF(VLOOKUP($A106,数出表_Excel!$A$6:$T$150,COLUMN()/2+1,FALSE)=0,"",VLOOKUP($A106,数出表_Excel!$A$6:$T$150,COLUMN()/2+1,FALSE))),"")</f>
        <v/>
      </c>
      <c r="W106" s="113"/>
      <c r="X106" s="150" t="str">
        <f ca="1">IFERROR(VALUE(IF(VLOOKUP($A106,数出表_Excel!$A$6:$T$150,COLUMN()/2+1,FALSE)=0,"",VLOOKUP($A106,数出表_Excel!$A$6:$T$150,COLUMN()/2+1,FALSE))),"")</f>
        <v/>
      </c>
      <c r="Y106" s="113"/>
      <c r="Z106" s="150" t="str">
        <f ca="1">IFERROR(VALUE(IF(VLOOKUP($A106,数出表_Excel!$A$6:$T$150,COLUMN()/2+1,FALSE)=0,"",VLOOKUP($A106,数出表_Excel!$A$6:$T$150,COLUMN()/2+1,FALSE))),"")</f>
        <v/>
      </c>
      <c r="AA106" s="151"/>
      <c r="AB106" s="149" t="str">
        <f ca="1">IFERROR(VALUE(IF(VLOOKUP($A106,数出表_Excel!$A$6:$T$150,COLUMN()/2+1,FALSE)=0,"",VLOOKUP($A106,数出表_Excel!$A$6:$T$150,COLUMN()/2+1,FALSE))),"")</f>
        <v/>
      </c>
      <c r="AC106" s="113"/>
      <c r="AD106" s="150" t="str">
        <f ca="1">IFERROR(VALUE(IF(VLOOKUP($A106,数出表_Excel!$A$6:$T$150,COLUMN()/2+1,FALSE)=0,"",VLOOKUP($A106,数出表_Excel!$A$6:$T$150,COLUMN()/2+1,FALSE))),"")</f>
        <v/>
      </c>
      <c r="AE106" s="113"/>
      <c r="AF106" s="150" t="str">
        <f ca="1">IFERROR(VALUE(IF(VLOOKUP($A106,数出表_Excel!$A$6:$T$150,COLUMN()/2+1,FALSE)=0,"",VLOOKUP($A106,数出表_Excel!$A$6:$T$150,COLUMN()/2+1,FALSE))),"")</f>
        <v/>
      </c>
      <c r="AG106" s="113"/>
      <c r="AH106" s="150" t="str">
        <f ca="1">IFERROR(VALUE(IF(VLOOKUP($A106,数出表_Excel!$A$6:$T$150,COLUMN()/2+1,FALSE)=0,"",VLOOKUP($A106,数出表_Excel!$A$6:$T$150,COLUMN()/2+1,FALSE))),"")</f>
        <v/>
      </c>
      <c r="AI106" s="151"/>
      <c r="AJ106" s="149" t="str">
        <f ca="1">IFERROR(VALUE(IF(VLOOKUP($A106,数出表_Excel!$A$6:$T$150,COLUMN()/2+1,FALSE)=0,"",VLOOKUP($A106,数出表_Excel!$A$6:$T$150,COLUMN()/2+1,FALSE))),"")</f>
        <v/>
      </c>
      <c r="AK106" s="113"/>
      <c r="AL106" s="117" t="e">
        <f ca="1">IF(A106&lt;&gt;"",
IF(VLOOKUP($A106,数出表_Excel!$A$6:$T$150,COLUMN()/2+1,FALSE)=0,"",VLOOKUP($A106,数出表_Excel!$A$6:$T$150,COLUMN()/2+1,FALSE)),"")</f>
        <v>#N/A</v>
      </c>
      <c r="AM106" s="198" t="e">
        <f>数出表_Excel!V106</f>
        <v>#N/A</v>
      </c>
      <c r="AN106" s="199" t="e">
        <f>数出表_Excel!W106</f>
        <v>#N/A</v>
      </c>
    </row>
    <row r="107" spans="1:40" ht="16.2" customHeight="1">
      <c r="A107" s="161" t="e">
        <f t="array" aca="1" ref="A107" ca="1">IF(OR(COUNTIF(A105,"*1000*"),COUNTIF(A105,"")),"",INDEX(貼り付け用!$A1:$A200,MATCH(A105,貼り付け用!$A1:$A200,0)+2,0))</f>
        <v>#N/A</v>
      </c>
      <c r="B107" s="114" t="str">
        <f ca="1">IFERROR(VALUE(IF(VLOOKUP($A107,数出表_Excel!$A$6:$T$150,COLUMN()/2+1,FALSE)=0,"",VLOOKUP($A107,数出表_Excel!$A$6:$T$150,COLUMN()/2+1,FALSE))),"")</f>
        <v/>
      </c>
      <c r="C107" s="114"/>
      <c r="D107" s="114" t="str">
        <f ca="1">IFERROR(VALUE(IF(VLOOKUP($A107,数出表_Excel!$A$6:$T$150,COLUMN()/2+1,FALSE)=0,"",VLOOKUP($A107,数出表_Excel!$A$6:$T$150,COLUMN()/2+1,FALSE))),"")</f>
        <v/>
      </c>
      <c r="E107" s="114"/>
      <c r="F107" s="118" t="str">
        <f ca="1">IFERROR(VALUE(IF(VLOOKUP($A107,数出表_Excel!$A$6:$T$150,COLUMN()/2+1,FALSE)=0,"",VLOOKUP($A107,数出表_Excel!$A$6:$T$150,COLUMN()/2+1,FALSE))),"")</f>
        <v/>
      </c>
      <c r="G107" s="114"/>
      <c r="H107" s="114" t="str">
        <f ca="1">IFERROR(VALUE(IF(VLOOKUP($A107,数出表_Excel!$A$6:$T$150,COLUMN()/2+1,FALSE)=0,"",VLOOKUP($A107,数出表_Excel!$A$6:$T$150,COLUMN()/2+1,FALSE))),"")</f>
        <v/>
      </c>
      <c r="I107" s="114"/>
      <c r="J107" s="114" t="str">
        <f ca="1">IFERROR(VALUE(IF(VLOOKUP($A107,数出表_Excel!$A$6:$T$150,COLUMN()/2+1,FALSE)=0,"",VLOOKUP($A107,数出表_Excel!$A$6:$T$150,COLUMN()/2+1,FALSE))),"")</f>
        <v/>
      </c>
      <c r="K107" s="114"/>
      <c r="L107" s="118" t="str">
        <f ca="1">IFERROR(VALUE(IF(VLOOKUP($A107,数出表_Excel!$A$6:$T$150,COLUMN()/2+1,FALSE)=0,"",VLOOKUP($A107,数出表_Excel!$A$6:$T$150,COLUMN()/2+1,FALSE))),"")</f>
        <v/>
      </c>
      <c r="M107" s="114"/>
      <c r="N107" s="114" t="str">
        <f ca="1">IFERROR(VALUE(IF(VLOOKUP($A107,数出表_Excel!$A$6:$T$150,COLUMN()/2+1,FALSE)=0,"",VLOOKUP($A107,数出表_Excel!$A$6:$T$150,COLUMN()/2+1,FALSE))),"")</f>
        <v/>
      </c>
      <c r="O107" s="114"/>
      <c r="P107" s="114" t="str">
        <f ca="1">IFERROR(VALUE(IF(VLOOKUP($A107,数出表_Excel!$A$6:$T$150,COLUMN()/2+1,FALSE)=0,"",VLOOKUP($A107,数出表_Excel!$A$6:$T$150,COLUMN()/2+1,FALSE))),"")</f>
        <v/>
      </c>
      <c r="Q107" s="114"/>
      <c r="R107" s="114" t="str">
        <f ca="1">IFERROR(VALUE(IF(VLOOKUP($A107,数出表_Excel!$A$6:$T$150,COLUMN()/2+1,FALSE)=0,"",VLOOKUP($A107,数出表_Excel!$A$6:$T$150,COLUMN()/2+1,FALSE))),"")</f>
        <v/>
      </c>
      <c r="S107" s="114"/>
      <c r="T107" s="114" t="str">
        <f ca="1">IFERROR(VALUE(IF(VLOOKUP($A107,数出表_Excel!$A$6:$T$150,COLUMN()/2+1,FALSE)=0,"",VLOOKUP($A107,数出表_Excel!$A$6:$T$150,COLUMN()/2+1,FALSE))),"")</f>
        <v/>
      </c>
      <c r="U107" s="114"/>
      <c r="V107" s="118" t="str">
        <f ca="1">IFERROR(VALUE(IF(VLOOKUP($A107,数出表_Excel!$A$6:$T$150,COLUMN()/2+1,FALSE)=0,"",VLOOKUP($A107,数出表_Excel!$A$6:$T$150,COLUMN()/2+1,FALSE))),"")</f>
        <v/>
      </c>
      <c r="W107" s="114"/>
      <c r="X107" s="118" t="str">
        <f ca="1">IFERROR(VALUE(IF(VLOOKUP($A107,数出表_Excel!$A$6:$T$150,COLUMN()/2+1,FALSE)=0,"",VLOOKUP($A107,数出表_Excel!$A$6:$T$150,COLUMN()/2+1,FALSE))),"")</f>
        <v/>
      </c>
      <c r="Y107" s="114"/>
      <c r="Z107" s="118" t="str">
        <f ca="1">IFERROR(VALUE(IF(VLOOKUP($A107,数出表_Excel!$A$6:$T$150,COLUMN()/2+1,FALSE)=0,"",VLOOKUP($A107,数出表_Excel!$A$6:$T$150,COLUMN()/2+1,FALSE))),"")</f>
        <v/>
      </c>
      <c r="AA107" s="152"/>
      <c r="AB107" s="119" t="str">
        <f ca="1">IFERROR(VALUE(IF(VLOOKUP($A107,数出表_Excel!$A$6:$T$150,COLUMN()/2+1,FALSE)=0,"",VLOOKUP($A107,数出表_Excel!$A$6:$T$150,COLUMN()/2+1,FALSE))),"")</f>
        <v/>
      </c>
      <c r="AC107" s="114"/>
      <c r="AD107" s="118" t="str">
        <f ca="1">IFERROR(VALUE(IF(VLOOKUP($A107,数出表_Excel!$A$6:$T$150,COLUMN()/2+1,FALSE)=0,"",VLOOKUP($A107,数出表_Excel!$A$6:$T$150,COLUMN()/2+1,FALSE))),"")</f>
        <v/>
      </c>
      <c r="AE107" s="114"/>
      <c r="AF107" s="118" t="str">
        <f ca="1">IFERROR(VALUE(IF(VLOOKUP($A107,数出表_Excel!$A$6:$T$150,COLUMN()/2+1,FALSE)=0,"",VLOOKUP($A107,数出表_Excel!$A$6:$T$150,COLUMN()/2+1,FALSE))),"")</f>
        <v/>
      </c>
      <c r="AG107" s="114"/>
      <c r="AH107" s="118" t="str">
        <f ca="1">IFERROR(VALUE(IF(VLOOKUP($A107,数出表_Excel!$A$6:$T$150,COLUMN()/2+1,FALSE)=0,"",VLOOKUP($A107,数出表_Excel!$A$6:$T$150,COLUMN()/2+1,FALSE))),"")</f>
        <v/>
      </c>
      <c r="AI107" s="152"/>
      <c r="AJ107" s="119" t="str">
        <f ca="1">IFERROR(VALUE(IF(VLOOKUP($A107,数出表_Excel!$A$6:$T$150,COLUMN()/2+1,FALSE)=0,"",VLOOKUP($A107,数出表_Excel!$A$6:$T$150,COLUMN()/2+1,FALSE))),"")</f>
        <v/>
      </c>
      <c r="AK107" s="114"/>
      <c r="AL107" s="120" t="e">
        <f ca="1">IF(A107&lt;&gt;"",
IF(VLOOKUP($A107,数出表_Excel!$A$6:$T$150,COLUMN()/2+1,FALSE)=0,"",VLOOKUP($A107,数出表_Excel!$A$6:$T$150,COLUMN()/2+1,FALSE)),"")</f>
        <v>#N/A</v>
      </c>
      <c r="AM107" s="200" t="e">
        <f>数出表_Excel!V107</f>
        <v>#N/A</v>
      </c>
      <c r="AN107" s="201" t="e">
        <f>数出表_Excel!W107</f>
        <v>#N/A</v>
      </c>
    </row>
    <row r="108" spans="1:40" ht="16.2" customHeight="1">
      <c r="A108" s="160" t="e">
        <f t="array" aca="1" ref="A108" ca="1">IF(OR(COUNTIF(A106,"*10002*"),COUNTIF(A106,"")),"",INDEX(貼り付け用!$A1:$A200,MATCH(A106,貼り付け用!$A1:$A200,0)+2,0))</f>
        <v>#N/A</v>
      </c>
      <c r="B108" s="148" t="str">
        <f ca="1">IFERROR(VALUE(IF(VLOOKUP($A108,数出表_Excel!$A$6:$T$150,COLUMN()/2+1,FALSE)=0,"",VLOOKUP($A108,数出表_Excel!$A$6:$T$150,COLUMN()/2+1,FALSE))),"")</f>
        <v/>
      </c>
      <c r="C108" s="113"/>
      <c r="D108" s="148" t="str">
        <f ca="1">IFERROR(VALUE(IF(VLOOKUP($A108,数出表_Excel!$A$6:$T$150,COLUMN()/2+1,FALSE)=0,"",VLOOKUP($A108,数出表_Excel!$A$6:$T$150,COLUMN()/2+1,FALSE))),"")</f>
        <v/>
      </c>
      <c r="E108" s="113"/>
      <c r="F108" s="150" t="str">
        <f ca="1">IFERROR(VALUE(IF(VLOOKUP($A108,数出表_Excel!$A$6:$T$150,COLUMN()/2+1,FALSE)=0,"",VLOOKUP($A108,数出表_Excel!$A$6:$T$150,COLUMN()/2+1,FALSE))),"")</f>
        <v/>
      </c>
      <c r="G108" s="113"/>
      <c r="H108" s="148" t="str">
        <f ca="1">IFERROR(VALUE(IF(VLOOKUP($A108,数出表_Excel!$A$6:$T$150,COLUMN()/2+1,FALSE)=0,"",VLOOKUP($A108,数出表_Excel!$A$6:$T$150,COLUMN()/2+1,FALSE))),"")</f>
        <v/>
      </c>
      <c r="I108" s="113"/>
      <c r="J108" s="148" t="str">
        <f ca="1">IFERROR(VALUE(IF(VLOOKUP($A108,数出表_Excel!$A$6:$T$150,COLUMN()/2+1,FALSE)=0,"",VLOOKUP($A108,数出表_Excel!$A$6:$T$150,COLUMN()/2+1,FALSE))),"")</f>
        <v/>
      </c>
      <c r="K108" s="113"/>
      <c r="L108" s="150" t="str">
        <f ca="1">IFERROR(VALUE(IF(VLOOKUP($A108,数出表_Excel!$A$6:$T$150,COLUMN()/2+1,FALSE)=0,"",VLOOKUP($A108,数出表_Excel!$A$6:$T$150,COLUMN()/2+1,FALSE))),"")</f>
        <v/>
      </c>
      <c r="M108" s="113"/>
      <c r="N108" s="148" t="str">
        <f ca="1">IFERROR(VALUE(IF(VLOOKUP($A108,数出表_Excel!$A$6:$T$150,COLUMN()/2+1,FALSE)=0,"",VLOOKUP($A108,数出表_Excel!$A$6:$T$150,COLUMN()/2+1,FALSE))),"")</f>
        <v/>
      </c>
      <c r="O108" s="113"/>
      <c r="P108" s="148" t="str">
        <f ca="1">IFERROR(VALUE(IF(VLOOKUP($A108,数出表_Excel!$A$6:$T$150,COLUMN()/2+1,FALSE)=0,"",VLOOKUP($A108,数出表_Excel!$A$6:$T$150,COLUMN()/2+1,FALSE))),"")</f>
        <v/>
      </c>
      <c r="Q108" s="113"/>
      <c r="R108" s="148" t="str">
        <f ca="1">IFERROR(VALUE(IF(VLOOKUP($A108,数出表_Excel!$A$6:$T$150,COLUMN()/2+1,FALSE)=0,"",VLOOKUP($A108,数出表_Excel!$A$6:$T$150,COLUMN()/2+1,FALSE))),"")</f>
        <v/>
      </c>
      <c r="S108" s="113"/>
      <c r="T108" s="148" t="str">
        <f ca="1">IFERROR(VALUE(IF(VLOOKUP($A108,数出表_Excel!$A$6:$T$150,COLUMN()/2+1,FALSE)=0,"",VLOOKUP($A108,数出表_Excel!$A$6:$T$150,COLUMN()/2+1,FALSE))),"")</f>
        <v/>
      </c>
      <c r="U108" s="113"/>
      <c r="V108" s="150" t="str">
        <f ca="1">IFERROR(VALUE(IF(VLOOKUP($A108,数出表_Excel!$A$6:$T$150,COLUMN()/2+1,FALSE)=0,"",VLOOKUP($A108,数出表_Excel!$A$6:$T$150,COLUMN()/2+1,FALSE))),"")</f>
        <v/>
      </c>
      <c r="W108" s="113"/>
      <c r="X108" s="150" t="str">
        <f ca="1">IFERROR(VALUE(IF(VLOOKUP($A108,数出表_Excel!$A$6:$T$150,COLUMN()/2+1,FALSE)=0,"",VLOOKUP($A108,数出表_Excel!$A$6:$T$150,COLUMN()/2+1,FALSE))),"")</f>
        <v/>
      </c>
      <c r="Y108" s="113"/>
      <c r="Z108" s="150" t="str">
        <f ca="1">IFERROR(VALUE(IF(VLOOKUP($A108,数出表_Excel!$A$6:$T$150,COLUMN()/2+1,FALSE)=0,"",VLOOKUP($A108,数出表_Excel!$A$6:$T$150,COLUMN()/2+1,FALSE))),"")</f>
        <v/>
      </c>
      <c r="AA108" s="151"/>
      <c r="AB108" s="149" t="str">
        <f ca="1">IFERROR(VALUE(IF(VLOOKUP($A108,数出表_Excel!$A$6:$T$150,COLUMN()/2+1,FALSE)=0,"",VLOOKUP($A108,数出表_Excel!$A$6:$T$150,COLUMN()/2+1,FALSE))),"")</f>
        <v/>
      </c>
      <c r="AC108" s="113"/>
      <c r="AD108" s="150" t="str">
        <f ca="1">IFERROR(VALUE(IF(VLOOKUP($A108,数出表_Excel!$A$6:$T$150,COLUMN()/2+1,FALSE)=0,"",VLOOKUP($A108,数出表_Excel!$A$6:$T$150,COLUMN()/2+1,FALSE))),"")</f>
        <v/>
      </c>
      <c r="AE108" s="113"/>
      <c r="AF108" s="150" t="str">
        <f ca="1">IFERROR(VALUE(IF(VLOOKUP($A108,数出表_Excel!$A$6:$T$150,COLUMN()/2+1,FALSE)=0,"",VLOOKUP($A108,数出表_Excel!$A$6:$T$150,COLUMN()/2+1,FALSE))),"")</f>
        <v/>
      </c>
      <c r="AG108" s="113"/>
      <c r="AH108" s="150" t="str">
        <f ca="1">IFERROR(VALUE(IF(VLOOKUP($A108,数出表_Excel!$A$6:$T$150,COLUMN()/2+1,FALSE)=0,"",VLOOKUP($A108,数出表_Excel!$A$6:$T$150,COLUMN()/2+1,FALSE))),"")</f>
        <v/>
      </c>
      <c r="AI108" s="151"/>
      <c r="AJ108" s="149" t="str">
        <f ca="1">IFERROR(VALUE(IF(VLOOKUP($A108,数出表_Excel!$A$6:$T$150,COLUMN()/2+1,FALSE)=0,"",VLOOKUP($A108,数出表_Excel!$A$6:$T$150,COLUMN()/2+1,FALSE))),"")</f>
        <v/>
      </c>
      <c r="AK108" s="113"/>
      <c r="AL108" s="117" t="e">
        <f ca="1">IF(A108&lt;&gt;"",
IF(VLOOKUP($A108,数出表_Excel!$A$6:$T$150,COLUMN()/2+1,FALSE)=0,"",VLOOKUP($A108,数出表_Excel!$A$6:$T$150,COLUMN()/2+1,FALSE)),"")</f>
        <v>#N/A</v>
      </c>
      <c r="AM108" s="198" t="e">
        <f>数出表_Excel!V108</f>
        <v>#N/A</v>
      </c>
      <c r="AN108" s="199" t="e">
        <f>数出表_Excel!W108</f>
        <v>#N/A</v>
      </c>
    </row>
    <row r="109" spans="1:40" ht="16.2" customHeight="1">
      <c r="A109" s="161" t="e">
        <f t="array" aca="1" ref="A109" ca="1">IF(OR(COUNTIF(A107,"*1000*"),COUNTIF(A107,"")),"",INDEX(貼り付け用!$A1:$A200,MATCH(A107,貼り付け用!$A1:$A200,0)+2,0))</f>
        <v>#N/A</v>
      </c>
      <c r="B109" s="114" t="str">
        <f ca="1">IFERROR(VALUE(IF(VLOOKUP($A109,数出表_Excel!$A$6:$T$150,COLUMN()/2+1,FALSE)=0,"",VLOOKUP($A109,数出表_Excel!$A$6:$T$150,COLUMN()/2+1,FALSE))),"")</f>
        <v/>
      </c>
      <c r="C109" s="114"/>
      <c r="D109" s="114" t="str">
        <f ca="1">IFERROR(VALUE(IF(VLOOKUP($A109,数出表_Excel!$A$6:$T$150,COLUMN()/2+1,FALSE)=0,"",VLOOKUP($A109,数出表_Excel!$A$6:$T$150,COLUMN()/2+1,FALSE))),"")</f>
        <v/>
      </c>
      <c r="E109" s="114"/>
      <c r="F109" s="118" t="str">
        <f ca="1">IFERROR(VALUE(IF(VLOOKUP($A109,数出表_Excel!$A$6:$T$150,COLUMN()/2+1,FALSE)=0,"",VLOOKUP($A109,数出表_Excel!$A$6:$T$150,COLUMN()/2+1,FALSE))),"")</f>
        <v/>
      </c>
      <c r="G109" s="114"/>
      <c r="H109" s="114" t="str">
        <f ca="1">IFERROR(VALUE(IF(VLOOKUP($A109,数出表_Excel!$A$6:$T$150,COLUMN()/2+1,FALSE)=0,"",VLOOKUP($A109,数出表_Excel!$A$6:$T$150,COLUMN()/2+1,FALSE))),"")</f>
        <v/>
      </c>
      <c r="I109" s="114"/>
      <c r="J109" s="114" t="str">
        <f ca="1">IFERROR(VALUE(IF(VLOOKUP($A109,数出表_Excel!$A$6:$T$150,COLUMN()/2+1,FALSE)=0,"",VLOOKUP($A109,数出表_Excel!$A$6:$T$150,COLUMN()/2+1,FALSE))),"")</f>
        <v/>
      </c>
      <c r="K109" s="114"/>
      <c r="L109" s="118" t="str">
        <f ca="1">IFERROR(VALUE(IF(VLOOKUP($A109,数出表_Excel!$A$6:$T$150,COLUMN()/2+1,FALSE)=0,"",VLOOKUP($A109,数出表_Excel!$A$6:$T$150,COLUMN()/2+1,FALSE))),"")</f>
        <v/>
      </c>
      <c r="M109" s="114"/>
      <c r="N109" s="114" t="str">
        <f ca="1">IFERROR(VALUE(IF(VLOOKUP($A109,数出表_Excel!$A$6:$T$150,COLUMN()/2+1,FALSE)=0,"",VLOOKUP($A109,数出表_Excel!$A$6:$T$150,COLUMN()/2+1,FALSE))),"")</f>
        <v/>
      </c>
      <c r="O109" s="114"/>
      <c r="P109" s="114" t="str">
        <f ca="1">IFERROR(VALUE(IF(VLOOKUP($A109,数出表_Excel!$A$6:$T$150,COLUMN()/2+1,FALSE)=0,"",VLOOKUP($A109,数出表_Excel!$A$6:$T$150,COLUMN()/2+1,FALSE))),"")</f>
        <v/>
      </c>
      <c r="Q109" s="114"/>
      <c r="R109" s="114" t="str">
        <f ca="1">IFERROR(VALUE(IF(VLOOKUP($A109,数出表_Excel!$A$6:$T$150,COLUMN()/2+1,FALSE)=0,"",VLOOKUP($A109,数出表_Excel!$A$6:$T$150,COLUMN()/2+1,FALSE))),"")</f>
        <v/>
      </c>
      <c r="S109" s="114"/>
      <c r="T109" s="114" t="str">
        <f ca="1">IFERROR(VALUE(IF(VLOOKUP($A109,数出表_Excel!$A$6:$T$150,COLUMN()/2+1,FALSE)=0,"",VLOOKUP($A109,数出表_Excel!$A$6:$T$150,COLUMN()/2+1,FALSE))),"")</f>
        <v/>
      </c>
      <c r="U109" s="114"/>
      <c r="V109" s="118" t="str">
        <f ca="1">IFERROR(VALUE(IF(VLOOKUP($A109,数出表_Excel!$A$6:$T$150,COLUMN()/2+1,FALSE)=0,"",VLOOKUP($A109,数出表_Excel!$A$6:$T$150,COLUMN()/2+1,FALSE))),"")</f>
        <v/>
      </c>
      <c r="W109" s="114"/>
      <c r="X109" s="118" t="str">
        <f ca="1">IFERROR(VALUE(IF(VLOOKUP($A109,数出表_Excel!$A$6:$T$150,COLUMN()/2+1,FALSE)=0,"",VLOOKUP($A109,数出表_Excel!$A$6:$T$150,COLUMN()/2+1,FALSE))),"")</f>
        <v/>
      </c>
      <c r="Y109" s="114"/>
      <c r="Z109" s="118" t="str">
        <f ca="1">IFERROR(VALUE(IF(VLOOKUP($A109,数出表_Excel!$A$6:$T$150,COLUMN()/2+1,FALSE)=0,"",VLOOKUP($A109,数出表_Excel!$A$6:$T$150,COLUMN()/2+1,FALSE))),"")</f>
        <v/>
      </c>
      <c r="AA109" s="152"/>
      <c r="AB109" s="119" t="str">
        <f ca="1">IFERROR(VALUE(IF(VLOOKUP($A109,数出表_Excel!$A$6:$T$150,COLUMN()/2+1,FALSE)=0,"",VLOOKUP($A109,数出表_Excel!$A$6:$T$150,COLUMN()/2+1,FALSE))),"")</f>
        <v/>
      </c>
      <c r="AC109" s="114"/>
      <c r="AD109" s="118" t="str">
        <f ca="1">IFERROR(VALUE(IF(VLOOKUP($A109,数出表_Excel!$A$6:$T$150,COLUMN()/2+1,FALSE)=0,"",VLOOKUP($A109,数出表_Excel!$A$6:$T$150,COLUMN()/2+1,FALSE))),"")</f>
        <v/>
      </c>
      <c r="AE109" s="114"/>
      <c r="AF109" s="118" t="str">
        <f ca="1">IFERROR(VALUE(IF(VLOOKUP($A109,数出表_Excel!$A$6:$T$150,COLUMN()/2+1,FALSE)=0,"",VLOOKUP($A109,数出表_Excel!$A$6:$T$150,COLUMN()/2+1,FALSE))),"")</f>
        <v/>
      </c>
      <c r="AG109" s="114"/>
      <c r="AH109" s="118" t="str">
        <f ca="1">IFERROR(VALUE(IF(VLOOKUP($A109,数出表_Excel!$A$6:$T$150,COLUMN()/2+1,FALSE)=0,"",VLOOKUP($A109,数出表_Excel!$A$6:$T$150,COLUMN()/2+1,FALSE))),"")</f>
        <v/>
      </c>
      <c r="AI109" s="152"/>
      <c r="AJ109" s="119" t="str">
        <f ca="1">IFERROR(VALUE(IF(VLOOKUP($A109,数出表_Excel!$A$6:$T$150,COLUMN()/2+1,FALSE)=0,"",VLOOKUP($A109,数出表_Excel!$A$6:$T$150,COLUMN()/2+1,FALSE))),"")</f>
        <v/>
      </c>
      <c r="AK109" s="114"/>
      <c r="AL109" s="120" t="e">
        <f ca="1">IF(A109&lt;&gt;"",
IF(VLOOKUP($A109,数出表_Excel!$A$6:$T$150,COLUMN()/2+1,FALSE)=0,"",VLOOKUP($A109,数出表_Excel!$A$6:$T$150,COLUMN()/2+1,FALSE)),"")</f>
        <v>#N/A</v>
      </c>
      <c r="AM109" s="200" t="e">
        <f>数出表_Excel!V109</f>
        <v>#N/A</v>
      </c>
      <c r="AN109" s="201" t="e">
        <f>数出表_Excel!W109</f>
        <v>#N/A</v>
      </c>
    </row>
    <row r="110" spans="1:40" ht="16.2" customHeight="1">
      <c r="A110" s="160" t="e">
        <f t="array" aca="1" ref="A110" ca="1">IF(OR(COUNTIF(A108,"*10002*"),COUNTIF(A108,"")),"",INDEX(貼り付け用!$A1:$A200,MATCH(A108,貼り付け用!$A1:$A200,0)+2,0))</f>
        <v>#N/A</v>
      </c>
      <c r="B110" s="148" t="str">
        <f ca="1">IFERROR(VALUE(IF(VLOOKUP($A110,数出表_Excel!$A$6:$T$150,COLUMN()/2+1,FALSE)=0,"",VLOOKUP($A110,数出表_Excel!$A$6:$T$150,COLUMN()/2+1,FALSE))),"")</f>
        <v/>
      </c>
      <c r="C110" s="113"/>
      <c r="D110" s="148" t="str">
        <f ca="1">IFERROR(VALUE(IF(VLOOKUP($A110,数出表_Excel!$A$6:$T$150,COLUMN()/2+1,FALSE)=0,"",VLOOKUP($A110,数出表_Excel!$A$6:$T$150,COLUMN()/2+1,FALSE))),"")</f>
        <v/>
      </c>
      <c r="E110" s="113"/>
      <c r="F110" s="150" t="str">
        <f ca="1">IFERROR(VALUE(IF(VLOOKUP($A110,数出表_Excel!$A$6:$T$150,COLUMN()/2+1,FALSE)=0,"",VLOOKUP($A110,数出表_Excel!$A$6:$T$150,COLUMN()/2+1,FALSE))),"")</f>
        <v/>
      </c>
      <c r="G110" s="113"/>
      <c r="H110" s="148" t="str">
        <f ca="1">IFERROR(VALUE(IF(VLOOKUP($A110,数出表_Excel!$A$6:$T$150,COLUMN()/2+1,FALSE)=0,"",VLOOKUP($A110,数出表_Excel!$A$6:$T$150,COLUMN()/2+1,FALSE))),"")</f>
        <v/>
      </c>
      <c r="I110" s="113"/>
      <c r="J110" s="148" t="str">
        <f ca="1">IFERROR(VALUE(IF(VLOOKUP($A110,数出表_Excel!$A$6:$T$150,COLUMN()/2+1,FALSE)=0,"",VLOOKUP($A110,数出表_Excel!$A$6:$T$150,COLUMN()/2+1,FALSE))),"")</f>
        <v/>
      </c>
      <c r="K110" s="113"/>
      <c r="L110" s="150" t="str">
        <f ca="1">IFERROR(VALUE(IF(VLOOKUP($A110,数出表_Excel!$A$6:$T$150,COLUMN()/2+1,FALSE)=0,"",VLOOKUP($A110,数出表_Excel!$A$6:$T$150,COLUMN()/2+1,FALSE))),"")</f>
        <v/>
      </c>
      <c r="M110" s="113"/>
      <c r="N110" s="148" t="str">
        <f ca="1">IFERROR(VALUE(IF(VLOOKUP($A110,数出表_Excel!$A$6:$T$150,COLUMN()/2+1,FALSE)=0,"",VLOOKUP($A110,数出表_Excel!$A$6:$T$150,COLUMN()/2+1,FALSE))),"")</f>
        <v/>
      </c>
      <c r="O110" s="113"/>
      <c r="P110" s="148" t="str">
        <f ca="1">IFERROR(VALUE(IF(VLOOKUP($A110,数出表_Excel!$A$6:$T$150,COLUMN()/2+1,FALSE)=0,"",VLOOKUP($A110,数出表_Excel!$A$6:$T$150,COLUMN()/2+1,FALSE))),"")</f>
        <v/>
      </c>
      <c r="Q110" s="113"/>
      <c r="R110" s="148" t="str">
        <f ca="1">IFERROR(VALUE(IF(VLOOKUP($A110,数出表_Excel!$A$6:$T$150,COLUMN()/2+1,FALSE)=0,"",VLOOKUP($A110,数出表_Excel!$A$6:$T$150,COLUMN()/2+1,FALSE))),"")</f>
        <v/>
      </c>
      <c r="S110" s="113"/>
      <c r="T110" s="148" t="str">
        <f ca="1">IFERROR(VALUE(IF(VLOOKUP($A110,数出表_Excel!$A$6:$T$150,COLUMN()/2+1,FALSE)=0,"",VLOOKUP($A110,数出表_Excel!$A$6:$T$150,COLUMN()/2+1,FALSE))),"")</f>
        <v/>
      </c>
      <c r="U110" s="113"/>
      <c r="V110" s="150" t="str">
        <f ca="1">IFERROR(VALUE(IF(VLOOKUP($A110,数出表_Excel!$A$6:$T$150,COLUMN()/2+1,FALSE)=0,"",VLOOKUP($A110,数出表_Excel!$A$6:$T$150,COLUMN()/2+1,FALSE))),"")</f>
        <v/>
      </c>
      <c r="W110" s="113"/>
      <c r="X110" s="150" t="str">
        <f ca="1">IFERROR(VALUE(IF(VLOOKUP($A110,数出表_Excel!$A$6:$T$150,COLUMN()/2+1,FALSE)=0,"",VLOOKUP($A110,数出表_Excel!$A$6:$T$150,COLUMN()/2+1,FALSE))),"")</f>
        <v/>
      </c>
      <c r="Y110" s="113"/>
      <c r="Z110" s="150" t="str">
        <f ca="1">IFERROR(VALUE(IF(VLOOKUP($A110,数出表_Excel!$A$6:$T$150,COLUMN()/2+1,FALSE)=0,"",VLOOKUP($A110,数出表_Excel!$A$6:$T$150,COLUMN()/2+1,FALSE))),"")</f>
        <v/>
      </c>
      <c r="AA110" s="151"/>
      <c r="AB110" s="149" t="str">
        <f ca="1">IFERROR(VALUE(IF(VLOOKUP($A110,数出表_Excel!$A$6:$T$150,COLUMN()/2+1,FALSE)=0,"",VLOOKUP($A110,数出表_Excel!$A$6:$T$150,COLUMN()/2+1,FALSE))),"")</f>
        <v/>
      </c>
      <c r="AC110" s="113"/>
      <c r="AD110" s="150" t="str">
        <f ca="1">IFERROR(VALUE(IF(VLOOKUP($A110,数出表_Excel!$A$6:$T$150,COLUMN()/2+1,FALSE)=0,"",VLOOKUP($A110,数出表_Excel!$A$6:$T$150,COLUMN()/2+1,FALSE))),"")</f>
        <v/>
      </c>
      <c r="AE110" s="113"/>
      <c r="AF110" s="150" t="str">
        <f ca="1">IFERROR(VALUE(IF(VLOOKUP($A110,数出表_Excel!$A$6:$T$150,COLUMN()/2+1,FALSE)=0,"",VLOOKUP($A110,数出表_Excel!$A$6:$T$150,COLUMN()/2+1,FALSE))),"")</f>
        <v/>
      </c>
      <c r="AG110" s="113"/>
      <c r="AH110" s="150" t="str">
        <f ca="1">IFERROR(VALUE(IF(VLOOKUP($A110,数出表_Excel!$A$6:$T$150,COLUMN()/2+1,FALSE)=0,"",VLOOKUP($A110,数出表_Excel!$A$6:$T$150,COLUMN()/2+1,FALSE))),"")</f>
        <v/>
      </c>
      <c r="AI110" s="151"/>
      <c r="AJ110" s="149" t="str">
        <f ca="1">IFERROR(VALUE(IF(VLOOKUP($A110,数出表_Excel!$A$6:$T$150,COLUMN()/2+1,FALSE)=0,"",VLOOKUP($A110,数出表_Excel!$A$6:$T$150,COLUMN()/2+1,FALSE))),"")</f>
        <v/>
      </c>
      <c r="AK110" s="113"/>
      <c r="AL110" s="117" t="e">
        <f ca="1">IF(A110&lt;&gt;"",
IF(VLOOKUP($A110,数出表_Excel!$A$6:$T$150,COLUMN()/2+1,FALSE)=0,"",VLOOKUP($A110,数出表_Excel!$A$6:$T$150,COLUMN()/2+1,FALSE)),"")</f>
        <v>#N/A</v>
      </c>
      <c r="AM110" s="198" t="e">
        <f>数出表_Excel!V110</f>
        <v>#N/A</v>
      </c>
      <c r="AN110" s="199" t="e">
        <f>数出表_Excel!W110</f>
        <v>#N/A</v>
      </c>
    </row>
    <row r="111" spans="1:40" ht="16.2" customHeight="1">
      <c r="A111" s="161" t="e">
        <f t="array" aca="1" ref="A111" ca="1">IF(OR(COUNTIF(A109,"*1000*"),COUNTIF(A109,"")),"",INDEX(貼り付け用!$A1:$A200,MATCH(A109,貼り付け用!$A1:$A200,0)+2,0))</f>
        <v>#N/A</v>
      </c>
      <c r="B111" s="114" t="str">
        <f ca="1">IFERROR(VALUE(IF(VLOOKUP($A111,数出表_Excel!$A$6:$T$150,COLUMN()/2+1,FALSE)=0,"",VLOOKUP($A111,数出表_Excel!$A$6:$T$150,COLUMN()/2+1,FALSE))),"")</f>
        <v/>
      </c>
      <c r="C111" s="114"/>
      <c r="D111" s="114" t="str">
        <f ca="1">IFERROR(VALUE(IF(VLOOKUP($A111,数出表_Excel!$A$6:$T$150,COLUMN()/2+1,FALSE)=0,"",VLOOKUP($A111,数出表_Excel!$A$6:$T$150,COLUMN()/2+1,FALSE))),"")</f>
        <v/>
      </c>
      <c r="E111" s="114"/>
      <c r="F111" s="118" t="str">
        <f ca="1">IFERROR(VALUE(IF(VLOOKUP($A111,数出表_Excel!$A$6:$T$150,COLUMN()/2+1,FALSE)=0,"",VLOOKUP($A111,数出表_Excel!$A$6:$T$150,COLUMN()/2+1,FALSE))),"")</f>
        <v/>
      </c>
      <c r="G111" s="114"/>
      <c r="H111" s="114" t="str">
        <f ca="1">IFERROR(VALUE(IF(VLOOKUP($A111,数出表_Excel!$A$6:$T$150,COLUMN()/2+1,FALSE)=0,"",VLOOKUP($A111,数出表_Excel!$A$6:$T$150,COLUMN()/2+1,FALSE))),"")</f>
        <v/>
      </c>
      <c r="I111" s="114"/>
      <c r="J111" s="114" t="str">
        <f ca="1">IFERROR(VALUE(IF(VLOOKUP($A111,数出表_Excel!$A$6:$T$150,COLUMN()/2+1,FALSE)=0,"",VLOOKUP($A111,数出表_Excel!$A$6:$T$150,COLUMN()/2+1,FALSE))),"")</f>
        <v/>
      </c>
      <c r="K111" s="114"/>
      <c r="L111" s="118" t="str">
        <f ca="1">IFERROR(VALUE(IF(VLOOKUP($A111,数出表_Excel!$A$6:$T$150,COLUMN()/2+1,FALSE)=0,"",VLOOKUP($A111,数出表_Excel!$A$6:$T$150,COLUMN()/2+1,FALSE))),"")</f>
        <v/>
      </c>
      <c r="M111" s="114"/>
      <c r="N111" s="114" t="str">
        <f ca="1">IFERROR(VALUE(IF(VLOOKUP($A111,数出表_Excel!$A$6:$T$150,COLUMN()/2+1,FALSE)=0,"",VLOOKUP($A111,数出表_Excel!$A$6:$T$150,COLUMN()/2+1,FALSE))),"")</f>
        <v/>
      </c>
      <c r="O111" s="114"/>
      <c r="P111" s="114" t="str">
        <f ca="1">IFERROR(VALUE(IF(VLOOKUP($A111,数出表_Excel!$A$6:$T$150,COLUMN()/2+1,FALSE)=0,"",VLOOKUP($A111,数出表_Excel!$A$6:$T$150,COLUMN()/2+1,FALSE))),"")</f>
        <v/>
      </c>
      <c r="Q111" s="114"/>
      <c r="R111" s="114" t="str">
        <f ca="1">IFERROR(VALUE(IF(VLOOKUP($A111,数出表_Excel!$A$6:$T$150,COLUMN()/2+1,FALSE)=0,"",VLOOKUP($A111,数出表_Excel!$A$6:$T$150,COLUMN()/2+1,FALSE))),"")</f>
        <v/>
      </c>
      <c r="S111" s="114"/>
      <c r="T111" s="114" t="str">
        <f ca="1">IFERROR(VALUE(IF(VLOOKUP($A111,数出表_Excel!$A$6:$T$150,COLUMN()/2+1,FALSE)=0,"",VLOOKUP($A111,数出表_Excel!$A$6:$T$150,COLUMN()/2+1,FALSE))),"")</f>
        <v/>
      </c>
      <c r="U111" s="114"/>
      <c r="V111" s="118" t="str">
        <f ca="1">IFERROR(VALUE(IF(VLOOKUP($A111,数出表_Excel!$A$6:$T$150,COLUMN()/2+1,FALSE)=0,"",VLOOKUP($A111,数出表_Excel!$A$6:$T$150,COLUMN()/2+1,FALSE))),"")</f>
        <v/>
      </c>
      <c r="W111" s="114"/>
      <c r="X111" s="118" t="str">
        <f ca="1">IFERROR(VALUE(IF(VLOOKUP($A111,数出表_Excel!$A$6:$T$150,COLUMN()/2+1,FALSE)=0,"",VLOOKUP($A111,数出表_Excel!$A$6:$T$150,COLUMN()/2+1,FALSE))),"")</f>
        <v/>
      </c>
      <c r="Y111" s="114"/>
      <c r="Z111" s="118" t="str">
        <f ca="1">IFERROR(VALUE(IF(VLOOKUP($A111,数出表_Excel!$A$6:$T$150,COLUMN()/2+1,FALSE)=0,"",VLOOKUP($A111,数出表_Excel!$A$6:$T$150,COLUMN()/2+1,FALSE))),"")</f>
        <v/>
      </c>
      <c r="AA111" s="152"/>
      <c r="AB111" s="119" t="str">
        <f ca="1">IFERROR(VALUE(IF(VLOOKUP($A111,数出表_Excel!$A$6:$T$150,COLUMN()/2+1,FALSE)=0,"",VLOOKUP($A111,数出表_Excel!$A$6:$T$150,COLUMN()/2+1,FALSE))),"")</f>
        <v/>
      </c>
      <c r="AC111" s="114"/>
      <c r="AD111" s="118" t="str">
        <f ca="1">IFERROR(VALUE(IF(VLOOKUP($A111,数出表_Excel!$A$6:$T$150,COLUMN()/2+1,FALSE)=0,"",VLOOKUP($A111,数出表_Excel!$A$6:$T$150,COLUMN()/2+1,FALSE))),"")</f>
        <v/>
      </c>
      <c r="AE111" s="114"/>
      <c r="AF111" s="118" t="str">
        <f ca="1">IFERROR(VALUE(IF(VLOOKUP($A111,数出表_Excel!$A$6:$T$150,COLUMN()/2+1,FALSE)=0,"",VLOOKUP($A111,数出表_Excel!$A$6:$T$150,COLUMN()/2+1,FALSE))),"")</f>
        <v/>
      </c>
      <c r="AG111" s="114"/>
      <c r="AH111" s="118" t="str">
        <f ca="1">IFERROR(VALUE(IF(VLOOKUP($A111,数出表_Excel!$A$6:$T$150,COLUMN()/2+1,FALSE)=0,"",VLOOKUP($A111,数出表_Excel!$A$6:$T$150,COLUMN()/2+1,FALSE))),"")</f>
        <v/>
      </c>
      <c r="AI111" s="152"/>
      <c r="AJ111" s="119" t="str">
        <f ca="1">IFERROR(VALUE(IF(VLOOKUP($A111,数出表_Excel!$A$6:$T$150,COLUMN()/2+1,FALSE)=0,"",VLOOKUP($A111,数出表_Excel!$A$6:$T$150,COLUMN()/2+1,FALSE))),"")</f>
        <v/>
      </c>
      <c r="AK111" s="114"/>
      <c r="AL111" s="120" t="e">
        <f ca="1">IF(A111&lt;&gt;"",
IF(VLOOKUP($A111,数出表_Excel!$A$6:$T$150,COLUMN()/2+1,FALSE)=0,"",VLOOKUP($A111,数出表_Excel!$A$6:$T$150,COLUMN()/2+1,FALSE)),"")</f>
        <v>#N/A</v>
      </c>
      <c r="AM111" s="200" t="e">
        <f>数出表_Excel!V111</f>
        <v>#N/A</v>
      </c>
      <c r="AN111" s="201" t="e">
        <f>数出表_Excel!W111</f>
        <v>#N/A</v>
      </c>
    </row>
    <row r="112" spans="1:40" ht="16.2" customHeight="1">
      <c r="A112" s="160" t="e">
        <f t="array" aca="1" ref="A112" ca="1">IF(OR(COUNTIF(A110,"*10002*"),COUNTIF(A110,"")),"",INDEX(貼り付け用!$A1:$A200,MATCH(A110,貼り付け用!$A1:$A200,0)+2,0))</f>
        <v>#N/A</v>
      </c>
      <c r="B112" s="148" t="str">
        <f ca="1">IFERROR(VALUE(IF(VLOOKUP($A112,数出表_Excel!$A$6:$T$150,COLUMN()/2+1,FALSE)=0,"",VLOOKUP($A112,数出表_Excel!$A$6:$T$150,COLUMN()/2+1,FALSE))),"")</f>
        <v/>
      </c>
      <c r="C112" s="113"/>
      <c r="D112" s="148" t="str">
        <f ca="1">IFERROR(VALUE(IF(VLOOKUP($A112,数出表_Excel!$A$6:$T$150,COLUMN()/2+1,FALSE)=0,"",VLOOKUP($A112,数出表_Excel!$A$6:$T$150,COLUMN()/2+1,FALSE))),"")</f>
        <v/>
      </c>
      <c r="E112" s="113"/>
      <c r="F112" s="150" t="str">
        <f ca="1">IFERROR(VALUE(IF(VLOOKUP($A112,数出表_Excel!$A$6:$T$150,COLUMN()/2+1,FALSE)=0,"",VLOOKUP($A112,数出表_Excel!$A$6:$T$150,COLUMN()/2+1,FALSE))),"")</f>
        <v/>
      </c>
      <c r="G112" s="113"/>
      <c r="H112" s="148" t="str">
        <f ca="1">IFERROR(VALUE(IF(VLOOKUP($A112,数出表_Excel!$A$6:$T$150,COLUMN()/2+1,FALSE)=0,"",VLOOKUP($A112,数出表_Excel!$A$6:$T$150,COLUMN()/2+1,FALSE))),"")</f>
        <v/>
      </c>
      <c r="I112" s="113"/>
      <c r="J112" s="148" t="str">
        <f ca="1">IFERROR(VALUE(IF(VLOOKUP($A112,数出表_Excel!$A$6:$T$150,COLUMN()/2+1,FALSE)=0,"",VLOOKUP($A112,数出表_Excel!$A$6:$T$150,COLUMN()/2+1,FALSE))),"")</f>
        <v/>
      </c>
      <c r="K112" s="113"/>
      <c r="L112" s="150" t="str">
        <f ca="1">IFERROR(VALUE(IF(VLOOKUP($A112,数出表_Excel!$A$6:$T$150,COLUMN()/2+1,FALSE)=0,"",VLOOKUP($A112,数出表_Excel!$A$6:$T$150,COLUMN()/2+1,FALSE))),"")</f>
        <v/>
      </c>
      <c r="M112" s="113"/>
      <c r="N112" s="148" t="str">
        <f ca="1">IFERROR(VALUE(IF(VLOOKUP($A112,数出表_Excel!$A$6:$T$150,COLUMN()/2+1,FALSE)=0,"",VLOOKUP($A112,数出表_Excel!$A$6:$T$150,COLUMN()/2+1,FALSE))),"")</f>
        <v/>
      </c>
      <c r="O112" s="113"/>
      <c r="P112" s="148" t="str">
        <f ca="1">IFERROR(VALUE(IF(VLOOKUP($A112,数出表_Excel!$A$6:$T$150,COLUMN()/2+1,FALSE)=0,"",VLOOKUP($A112,数出表_Excel!$A$6:$T$150,COLUMN()/2+1,FALSE))),"")</f>
        <v/>
      </c>
      <c r="Q112" s="113"/>
      <c r="R112" s="148" t="str">
        <f ca="1">IFERROR(VALUE(IF(VLOOKUP($A112,数出表_Excel!$A$6:$T$150,COLUMN()/2+1,FALSE)=0,"",VLOOKUP($A112,数出表_Excel!$A$6:$T$150,COLUMN()/2+1,FALSE))),"")</f>
        <v/>
      </c>
      <c r="S112" s="113"/>
      <c r="T112" s="148" t="str">
        <f ca="1">IFERROR(VALUE(IF(VLOOKUP($A112,数出表_Excel!$A$6:$T$150,COLUMN()/2+1,FALSE)=0,"",VLOOKUP($A112,数出表_Excel!$A$6:$T$150,COLUMN()/2+1,FALSE))),"")</f>
        <v/>
      </c>
      <c r="U112" s="113"/>
      <c r="V112" s="150" t="str">
        <f ca="1">IFERROR(VALUE(IF(VLOOKUP($A112,数出表_Excel!$A$6:$T$150,COLUMN()/2+1,FALSE)=0,"",VLOOKUP($A112,数出表_Excel!$A$6:$T$150,COLUMN()/2+1,FALSE))),"")</f>
        <v/>
      </c>
      <c r="W112" s="113"/>
      <c r="X112" s="150" t="str">
        <f ca="1">IFERROR(VALUE(IF(VLOOKUP($A112,数出表_Excel!$A$6:$T$150,COLUMN()/2+1,FALSE)=0,"",VLOOKUP($A112,数出表_Excel!$A$6:$T$150,COLUMN()/2+1,FALSE))),"")</f>
        <v/>
      </c>
      <c r="Y112" s="113"/>
      <c r="Z112" s="150" t="str">
        <f ca="1">IFERROR(VALUE(IF(VLOOKUP($A112,数出表_Excel!$A$6:$T$150,COLUMN()/2+1,FALSE)=0,"",VLOOKUP($A112,数出表_Excel!$A$6:$T$150,COLUMN()/2+1,FALSE))),"")</f>
        <v/>
      </c>
      <c r="AA112" s="151"/>
      <c r="AB112" s="149" t="str">
        <f ca="1">IFERROR(VALUE(IF(VLOOKUP($A112,数出表_Excel!$A$6:$T$150,COLUMN()/2+1,FALSE)=0,"",VLOOKUP($A112,数出表_Excel!$A$6:$T$150,COLUMN()/2+1,FALSE))),"")</f>
        <v/>
      </c>
      <c r="AC112" s="113"/>
      <c r="AD112" s="150" t="str">
        <f ca="1">IFERROR(VALUE(IF(VLOOKUP($A112,数出表_Excel!$A$6:$T$150,COLUMN()/2+1,FALSE)=0,"",VLOOKUP($A112,数出表_Excel!$A$6:$T$150,COLUMN()/2+1,FALSE))),"")</f>
        <v/>
      </c>
      <c r="AE112" s="113"/>
      <c r="AF112" s="150" t="str">
        <f ca="1">IFERROR(VALUE(IF(VLOOKUP($A112,数出表_Excel!$A$6:$T$150,COLUMN()/2+1,FALSE)=0,"",VLOOKUP($A112,数出表_Excel!$A$6:$T$150,COLUMN()/2+1,FALSE))),"")</f>
        <v/>
      </c>
      <c r="AG112" s="113"/>
      <c r="AH112" s="150" t="str">
        <f ca="1">IFERROR(VALUE(IF(VLOOKUP($A112,数出表_Excel!$A$6:$T$150,COLUMN()/2+1,FALSE)=0,"",VLOOKUP($A112,数出表_Excel!$A$6:$T$150,COLUMN()/2+1,FALSE))),"")</f>
        <v/>
      </c>
      <c r="AI112" s="151"/>
      <c r="AJ112" s="149" t="str">
        <f ca="1">IFERROR(VALUE(IF(VLOOKUP($A112,数出表_Excel!$A$6:$T$150,COLUMN()/2+1,FALSE)=0,"",VLOOKUP($A112,数出表_Excel!$A$6:$T$150,COLUMN()/2+1,FALSE))),"")</f>
        <v/>
      </c>
      <c r="AK112" s="113"/>
      <c r="AL112" s="117" t="e">
        <f ca="1">IF(A112&lt;&gt;"",
IF(VLOOKUP($A112,数出表_Excel!$A$6:$T$150,COLUMN()/2+1,FALSE)=0,"",VLOOKUP($A112,数出表_Excel!$A$6:$T$150,COLUMN()/2+1,FALSE)),"")</f>
        <v>#N/A</v>
      </c>
      <c r="AM112" s="198" t="e">
        <f>数出表_Excel!V112</f>
        <v>#N/A</v>
      </c>
      <c r="AN112" s="199" t="e">
        <f>数出表_Excel!W112</f>
        <v>#N/A</v>
      </c>
    </row>
    <row r="113" spans="1:40" ht="16.2" customHeight="1">
      <c r="A113" s="161" t="e">
        <f t="array" aca="1" ref="A113" ca="1">IF(OR(COUNTIF(A111,"*1000*"),COUNTIF(A111,"")),"",INDEX(貼り付け用!$A1:$A200,MATCH(A111,貼り付け用!$A1:$A200,0)+2,0))</f>
        <v>#N/A</v>
      </c>
      <c r="B113" s="114" t="str">
        <f ca="1">IFERROR(VALUE(IF(VLOOKUP($A113,数出表_Excel!$A$6:$T$150,COLUMN()/2+1,FALSE)=0,"",VLOOKUP($A113,数出表_Excel!$A$6:$T$150,COLUMN()/2+1,FALSE))),"")</f>
        <v/>
      </c>
      <c r="C113" s="114"/>
      <c r="D113" s="114" t="str">
        <f ca="1">IFERROR(VALUE(IF(VLOOKUP($A113,数出表_Excel!$A$6:$T$150,COLUMN()/2+1,FALSE)=0,"",VLOOKUP($A113,数出表_Excel!$A$6:$T$150,COLUMN()/2+1,FALSE))),"")</f>
        <v/>
      </c>
      <c r="E113" s="114"/>
      <c r="F113" s="118" t="str">
        <f ca="1">IFERROR(VALUE(IF(VLOOKUP($A113,数出表_Excel!$A$6:$T$150,COLUMN()/2+1,FALSE)=0,"",VLOOKUP($A113,数出表_Excel!$A$6:$T$150,COLUMN()/2+1,FALSE))),"")</f>
        <v/>
      </c>
      <c r="G113" s="114"/>
      <c r="H113" s="114" t="str">
        <f ca="1">IFERROR(VALUE(IF(VLOOKUP($A113,数出表_Excel!$A$6:$T$150,COLUMN()/2+1,FALSE)=0,"",VLOOKUP($A113,数出表_Excel!$A$6:$T$150,COLUMN()/2+1,FALSE))),"")</f>
        <v/>
      </c>
      <c r="I113" s="114"/>
      <c r="J113" s="114" t="str">
        <f ca="1">IFERROR(VALUE(IF(VLOOKUP($A113,数出表_Excel!$A$6:$T$150,COLUMN()/2+1,FALSE)=0,"",VLOOKUP($A113,数出表_Excel!$A$6:$T$150,COLUMN()/2+1,FALSE))),"")</f>
        <v/>
      </c>
      <c r="K113" s="114"/>
      <c r="L113" s="118" t="str">
        <f ca="1">IFERROR(VALUE(IF(VLOOKUP($A113,数出表_Excel!$A$6:$T$150,COLUMN()/2+1,FALSE)=0,"",VLOOKUP($A113,数出表_Excel!$A$6:$T$150,COLUMN()/2+1,FALSE))),"")</f>
        <v/>
      </c>
      <c r="M113" s="114"/>
      <c r="N113" s="114" t="str">
        <f ca="1">IFERROR(VALUE(IF(VLOOKUP($A113,数出表_Excel!$A$6:$T$150,COLUMN()/2+1,FALSE)=0,"",VLOOKUP($A113,数出表_Excel!$A$6:$T$150,COLUMN()/2+1,FALSE))),"")</f>
        <v/>
      </c>
      <c r="O113" s="114"/>
      <c r="P113" s="114" t="str">
        <f ca="1">IFERROR(VALUE(IF(VLOOKUP($A113,数出表_Excel!$A$6:$T$150,COLUMN()/2+1,FALSE)=0,"",VLOOKUP($A113,数出表_Excel!$A$6:$T$150,COLUMN()/2+1,FALSE))),"")</f>
        <v/>
      </c>
      <c r="Q113" s="114"/>
      <c r="R113" s="114" t="str">
        <f ca="1">IFERROR(VALUE(IF(VLOOKUP($A113,数出表_Excel!$A$6:$T$150,COLUMN()/2+1,FALSE)=0,"",VLOOKUP($A113,数出表_Excel!$A$6:$T$150,COLUMN()/2+1,FALSE))),"")</f>
        <v/>
      </c>
      <c r="S113" s="114"/>
      <c r="T113" s="114" t="str">
        <f ca="1">IFERROR(VALUE(IF(VLOOKUP($A113,数出表_Excel!$A$6:$T$150,COLUMN()/2+1,FALSE)=0,"",VLOOKUP($A113,数出表_Excel!$A$6:$T$150,COLUMN()/2+1,FALSE))),"")</f>
        <v/>
      </c>
      <c r="U113" s="114"/>
      <c r="V113" s="118" t="str">
        <f ca="1">IFERROR(VALUE(IF(VLOOKUP($A113,数出表_Excel!$A$6:$T$150,COLUMN()/2+1,FALSE)=0,"",VLOOKUP($A113,数出表_Excel!$A$6:$T$150,COLUMN()/2+1,FALSE))),"")</f>
        <v/>
      </c>
      <c r="W113" s="114"/>
      <c r="X113" s="118" t="str">
        <f ca="1">IFERROR(VALUE(IF(VLOOKUP($A113,数出表_Excel!$A$6:$T$150,COLUMN()/2+1,FALSE)=0,"",VLOOKUP($A113,数出表_Excel!$A$6:$T$150,COLUMN()/2+1,FALSE))),"")</f>
        <v/>
      </c>
      <c r="Y113" s="114"/>
      <c r="Z113" s="118" t="str">
        <f ca="1">IFERROR(VALUE(IF(VLOOKUP($A113,数出表_Excel!$A$6:$T$150,COLUMN()/2+1,FALSE)=0,"",VLOOKUP($A113,数出表_Excel!$A$6:$T$150,COLUMN()/2+1,FALSE))),"")</f>
        <v/>
      </c>
      <c r="AA113" s="152"/>
      <c r="AB113" s="119" t="str">
        <f ca="1">IFERROR(VALUE(IF(VLOOKUP($A113,数出表_Excel!$A$6:$T$150,COLUMN()/2+1,FALSE)=0,"",VLOOKUP($A113,数出表_Excel!$A$6:$T$150,COLUMN()/2+1,FALSE))),"")</f>
        <v/>
      </c>
      <c r="AC113" s="114"/>
      <c r="AD113" s="118" t="str">
        <f ca="1">IFERROR(VALUE(IF(VLOOKUP($A113,数出表_Excel!$A$6:$T$150,COLUMN()/2+1,FALSE)=0,"",VLOOKUP($A113,数出表_Excel!$A$6:$T$150,COLUMN()/2+1,FALSE))),"")</f>
        <v/>
      </c>
      <c r="AE113" s="114"/>
      <c r="AF113" s="118" t="str">
        <f ca="1">IFERROR(VALUE(IF(VLOOKUP($A113,数出表_Excel!$A$6:$T$150,COLUMN()/2+1,FALSE)=0,"",VLOOKUP($A113,数出表_Excel!$A$6:$T$150,COLUMN()/2+1,FALSE))),"")</f>
        <v/>
      </c>
      <c r="AG113" s="114"/>
      <c r="AH113" s="118" t="str">
        <f ca="1">IFERROR(VALUE(IF(VLOOKUP($A113,数出表_Excel!$A$6:$T$150,COLUMN()/2+1,FALSE)=0,"",VLOOKUP($A113,数出表_Excel!$A$6:$T$150,COLUMN()/2+1,FALSE))),"")</f>
        <v/>
      </c>
      <c r="AI113" s="152"/>
      <c r="AJ113" s="119" t="str">
        <f ca="1">IFERROR(VALUE(IF(VLOOKUP($A113,数出表_Excel!$A$6:$T$150,COLUMN()/2+1,FALSE)=0,"",VLOOKUP($A113,数出表_Excel!$A$6:$T$150,COLUMN()/2+1,FALSE))),"")</f>
        <v/>
      </c>
      <c r="AK113" s="114"/>
      <c r="AL113" s="120" t="e">
        <f ca="1">IF(A113&lt;&gt;"",
IF(VLOOKUP($A113,数出表_Excel!$A$6:$T$150,COLUMN()/2+1,FALSE)=0,"",VLOOKUP($A113,数出表_Excel!$A$6:$T$150,COLUMN()/2+1,FALSE)),"")</f>
        <v>#N/A</v>
      </c>
      <c r="AM113" s="200" t="e">
        <f>数出表_Excel!V113</f>
        <v>#N/A</v>
      </c>
      <c r="AN113" s="201" t="e">
        <f>数出表_Excel!W113</f>
        <v>#N/A</v>
      </c>
    </row>
    <row r="114" spans="1:40" ht="16.2" customHeight="1">
      <c r="A114" s="160" t="e">
        <f t="array" aca="1" ref="A114" ca="1">IF(OR(COUNTIF(A112,"*10002*"),COUNTIF(A112,"")),"",INDEX(貼り付け用!$A1:$A200,MATCH(A112,貼り付け用!$A1:$A200,0)+2,0))</f>
        <v>#N/A</v>
      </c>
      <c r="B114" s="148" t="str">
        <f ca="1">IFERROR(VALUE(IF(VLOOKUP($A114,数出表_Excel!$A$6:$T$150,COLUMN()/2+1,FALSE)=0,"",VLOOKUP($A114,数出表_Excel!$A$6:$T$150,COLUMN()/2+1,FALSE))),"")</f>
        <v/>
      </c>
      <c r="C114" s="113"/>
      <c r="D114" s="148" t="str">
        <f ca="1">IFERROR(VALUE(IF(VLOOKUP($A114,数出表_Excel!$A$6:$T$150,COLUMN()/2+1,FALSE)=0,"",VLOOKUP($A114,数出表_Excel!$A$6:$T$150,COLUMN()/2+1,FALSE))),"")</f>
        <v/>
      </c>
      <c r="E114" s="113"/>
      <c r="F114" s="150" t="str">
        <f ca="1">IFERROR(VALUE(IF(VLOOKUP($A114,数出表_Excel!$A$6:$T$150,COLUMN()/2+1,FALSE)=0,"",VLOOKUP($A114,数出表_Excel!$A$6:$T$150,COLUMN()/2+1,FALSE))),"")</f>
        <v/>
      </c>
      <c r="G114" s="113"/>
      <c r="H114" s="148" t="str">
        <f ca="1">IFERROR(VALUE(IF(VLOOKUP($A114,数出表_Excel!$A$6:$T$150,COLUMN()/2+1,FALSE)=0,"",VLOOKUP($A114,数出表_Excel!$A$6:$T$150,COLUMN()/2+1,FALSE))),"")</f>
        <v/>
      </c>
      <c r="I114" s="113"/>
      <c r="J114" s="148" t="str">
        <f ca="1">IFERROR(VALUE(IF(VLOOKUP($A114,数出表_Excel!$A$6:$T$150,COLUMN()/2+1,FALSE)=0,"",VLOOKUP($A114,数出表_Excel!$A$6:$T$150,COLUMN()/2+1,FALSE))),"")</f>
        <v/>
      </c>
      <c r="K114" s="113"/>
      <c r="L114" s="150" t="str">
        <f ca="1">IFERROR(VALUE(IF(VLOOKUP($A114,数出表_Excel!$A$6:$T$150,COLUMN()/2+1,FALSE)=0,"",VLOOKUP($A114,数出表_Excel!$A$6:$T$150,COLUMN()/2+1,FALSE))),"")</f>
        <v/>
      </c>
      <c r="M114" s="113"/>
      <c r="N114" s="148" t="str">
        <f ca="1">IFERROR(VALUE(IF(VLOOKUP($A114,数出表_Excel!$A$6:$T$150,COLUMN()/2+1,FALSE)=0,"",VLOOKUP($A114,数出表_Excel!$A$6:$T$150,COLUMN()/2+1,FALSE))),"")</f>
        <v/>
      </c>
      <c r="O114" s="113"/>
      <c r="P114" s="148" t="str">
        <f ca="1">IFERROR(VALUE(IF(VLOOKUP($A114,数出表_Excel!$A$6:$T$150,COLUMN()/2+1,FALSE)=0,"",VLOOKUP($A114,数出表_Excel!$A$6:$T$150,COLUMN()/2+1,FALSE))),"")</f>
        <v/>
      </c>
      <c r="Q114" s="113"/>
      <c r="R114" s="148" t="str">
        <f ca="1">IFERROR(VALUE(IF(VLOOKUP($A114,数出表_Excel!$A$6:$T$150,COLUMN()/2+1,FALSE)=0,"",VLOOKUP($A114,数出表_Excel!$A$6:$T$150,COLUMN()/2+1,FALSE))),"")</f>
        <v/>
      </c>
      <c r="S114" s="113"/>
      <c r="T114" s="148" t="str">
        <f ca="1">IFERROR(VALUE(IF(VLOOKUP($A114,数出表_Excel!$A$6:$T$150,COLUMN()/2+1,FALSE)=0,"",VLOOKUP($A114,数出表_Excel!$A$6:$T$150,COLUMN()/2+1,FALSE))),"")</f>
        <v/>
      </c>
      <c r="U114" s="113"/>
      <c r="V114" s="150" t="str">
        <f ca="1">IFERROR(VALUE(IF(VLOOKUP($A114,数出表_Excel!$A$6:$T$150,COLUMN()/2+1,FALSE)=0,"",VLOOKUP($A114,数出表_Excel!$A$6:$T$150,COLUMN()/2+1,FALSE))),"")</f>
        <v/>
      </c>
      <c r="W114" s="113"/>
      <c r="X114" s="150" t="str">
        <f ca="1">IFERROR(VALUE(IF(VLOOKUP($A114,数出表_Excel!$A$6:$T$150,COLUMN()/2+1,FALSE)=0,"",VLOOKUP($A114,数出表_Excel!$A$6:$T$150,COLUMN()/2+1,FALSE))),"")</f>
        <v/>
      </c>
      <c r="Y114" s="113"/>
      <c r="Z114" s="150" t="str">
        <f ca="1">IFERROR(VALUE(IF(VLOOKUP($A114,数出表_Excel!$A$6:$T$150,COLUMN()/2+1,FALSE)=0,"",VLOOKUP($A114,数出表_Excel!$A$6:$T$150,COLUMN()/2+1,FALSE))),"")</f>
        <v/>
      </c>
      <c r="AA114" s="151"/>
      <c r="AB114" s="149" t="str">
        <f ca="1">IFERROR(VALUE(IF(VLOOKUP($A114,数出表_Excel!$A$6:$T$150,COLUMN()/2+1,FALSE)=0,"",VLOOKUP($A114,数出表_Excel!$A$6:$T$150,COLUMN()/2+1,FALSE))),"")</f>
        <v/>
      </c>
      <c r="AC114" s="113"/>
      <c r="AD114" s="150" t="str">
        <f ca="1">IFERROR(VALUE(IF(VLOOKUP($A114,数出表_Excel!$A$6:$T$150,COLUMN()/2+1,FALSE)=0,"",VLOOKUP($A114,数出表_Excel!$A$6:$T$150,COLUMN()/2+1,FALSE))),"")</f>
        <v/>
      </c>
      <c r="AE114" s="113"/>
      <c r="AF114" s="150" t="str">
        <f ca="1">IFERROR(VALUE(IF(VLOOKUP($A114,数出表_Excel!$A$6:$T$150,COLUMN()/2+1,FALSE)=0,"",VLOOKUP($A114,数出表_Excel!$A$6:$T$150,COLUMN()/2+1,FALSE))),"")</f>
        <v/>
      </c>
      <c r="AG114" s="113"/>
      <c r="AH114" s="150" t="str">
        <f ca="1">IFERROR(VALUE(IF(VLOOKUP($A114,数出表_Excel!$A$6:$T$150,COLUMN()/2+1,FALSE)=0,"",VLOOKUP($A114,数出表_Excel!$A$6:$T$150,COLUMN()/2+1,FALSE))),"")</f>
        <v/>
      </c>
      <c r="AI114" s="151"/>
      <c r="AJ114" s="149" t="str">
        <f ca="1">IFERROR(VALUE(IF(VLOOKUP($A114,数出表_Excel!$A$6:$T$150,COLUMN()/2+1,FALSE)=0,"",VLOOKUP($A114,数出表_Excel!$A$6:$T$150,COLUMN()/2+1,FALSE))),"")</f>
        <v/>
      </c>
      <c r="AK114" s="113"/>
      <c r="AL114" s="117" t="e">
        <f ca="1">IF(A114&lt;&gt;"",
IF(VLOOKUP($A114,数出表_Excel!$A$6:$T$150,COLUMN()/2+1,FALSE)=0,"",VLOOKUP($A114,数出表_Excel!$A$6:$T$150,COLUMN()/2+1,FALSE)),"")</f>
        <v>#N/A</v>
      </c>
      <c r="AM114" s="198" t="e">
        <f>数出表_Excel!V114</f>
        <v>#N/A</v>
      </c>
      <c r="AN114" s="199" t="e">
        <f>数出表_Excel!W114</f>
        <v>#N/A</v>
      </c>
    </row>
    <row r="115" spans="1:40" ht="16.2" customHeight="1">
      <c r="A115" s="161" t="e">
        <f t="array" aca="1" ref="A115" ca="1">IF(OR(COUNTIF(A113,"*1000*"),COUNTIF(A113,"")),"",INDEX(貼り付け用!$A1:$A200,MATCH(A113,貼り付け用!$A1:$A200,0)+2,0))</f>
        <v>#N/A</v>
      </c>
      <c r="B115" s="114" t="str">
        <f ca="1">IFERROR(VALUE(IF(VLOOKUP($A115,数出表_Excel!$A$6:$T$150,COLUMN()/2+1,FALSE)=0,"",VLOOKUP($A115,数出表_Excel!$A$6:$T$150,COLUMN()/2+1,FALSE))),"")</f>
        <v/>
      </c>
      <c r="C115" s="114"/>
      <c r="D115" s="114" t="str">
        <f ca="1">IFERROR(VALUE(IF(VLOOKUP($A115,数出表_Excel!$A$6:$T$150,COLUMN()/2+1,FALSE)=0,"",VLOOKUP($A115,数出表_Excel!$A$6:$T$150,COLUMN()/2+1,FALSE))),"")</f>
        <v/>
      </c>
      <c r="E115" s="114"/>
      <c r="F115" s="118" t="str">
        <f ca="1">IFERROR(VALUE(IF(VLOOKUP($A115,数出表_Excel!$A$6:$T$150,COLUMN()/2+1,FALSE)=0,"",VLOOKUP($A115,数出表_Excel!$A$6:$T$150,COLUMN()/2+1,FALSE))),"")</f>
        <v/>
      </c>
      <c r="G115" s="114"/>
      <c r="H115" s="114" t="str">
        <f ca="1">IFERROR(VALUE(IF(VLOOKUP($A115,数出表_Excel!$A$6:$T$150,COLUMN()/2+1,FALSE)=0,"",VLOOKUP($A115,数出表_Excel!$A$6:$T$150,COLUMN()/2+1,FALSE))),"")</f>
        <v/>
      </c>
      <c r="I115" s="114"/>
      <c r="J115" s="114" t="str">
        <f ca="1">IFERROR(VALUE(IF(VLOOKUP($A115,数出表_Excel!$A$6:$T$150,COLUMN()/2+1,FALSE)=0,"",VLOOKUP($A115,数出表_Excel!$A$6:$T$150,COLUMN()/2+1,FALSE))),"")</f>
        <v/>
      </c>
      <c r="K115" s="114"/>
      <c r="L115" s="118" t="str">
        <f ca="1">IFERROR(VALUE(IF(VLOOKUP($A115,数出表_Excel!$A$6:$T$150,COLUMN()/2+1,FALSE)=0,"",VLOOKUP($A115,数出表_Excel!$A$6:$T$150,COLUMN()/2+1,FALSE))),"")</f>
        <v/>
      </c>
      <c r="M115" s="114"/>
      <c r="N115" s="114" t="str">
        <f ca="1">IFERROR(VALUE(IF(VLOOKUP($A115,数出表_Excel!$A$6:$T$150,COLUMN()/2+1,FALSE)=0,"",VLOOKUP($A115,数出表_Excel!$A$6:$T$150,COLUMN()/2+1,FALSE))),"")</f>
        <v/>
      </c>
      <c r="O115" s="114"/>
      <c r="P115" s="114" t="str">
        <f ca="1">IFERROR(VALUE(IF(VLOOKUP($A115,数出表_Excel!$A$6:$T$150,COLUMN()/2+1,FALSE)=0,"",VLOOKUP($A115,数出表_Excel!$A$6:$T$150,COLUMN()/2+1,FALSE))),"")</f>
        <v/>
      </c>
      <c r="Q115" s="114"/>
      <c r="R115" s="114" t="str">
        <f ca="1">IFERROR(VALUE(IF(VLOOKUP($A115,数出表_Excel!$A$6:$T$150,COLUMN()/2+1,FALSE)=0,"",VLOOKUP($A115,数出表_Excel!$A$6:$T$150,COLUMN()/2+1,FALSE))),"")</f>
        <v/>
      </c>
      <c r="S115" s="114"/>
      <c r="T115" s="114" t="str">
        <f ca="1">IFERROR(VALUE(IF(VLOOKUP($A115,数出表_Excel!$A$6:$T$150,COLUMN()/2+1,FALSE)=0,"",VLOOKUP($A115,数出表_Excel!$A$6:$T$150,COLUMN()/2+1,FALSE))),"")</f>
        <v/>
      </c>
      <c r="U115" s="114"/>
      <c r="V115" s="118" t="str">
        <f ca="1">IFERROR(VALUE(IF(VLOOKUP($A115,数出表_Excel!$A$6:$T$150,COLUMN()/2+1,FALSE)=0,"",VLOOKUP($A115,数出表_Excel!$A$6:$T$150,COLUMN()/2+1,FALSE))),"")</f>
        <v/>
      </c>
      <c r="W115" s="114"/>
      <c r="X115" s="118" t="str">
        <f ca="1">IFERROR(VALUE(IF(VLOOKUP($A115,数出表_Excel!$A$6:$T$150,COLUMN()/2+1,FALSE)=0,"",VLOOKUP($A115,数出表_Excel!$A$6:$T$150,COLUMN()/2+1,FALSE))),"")</f>
        <v/>
      </c>
      <c r="Y115" s="114"/>
      <c r="Z115" s="118" t="str">
        <f ca="1">IFERROR(VALUE(IF(VLOOKUP($A115,数出表_Excel!$A$6:$T$150,COLUMN()/2+1,FALSE)=0,"",VLOOKUP($A115,数出表_Excel!$A$6:$T$150,COLUMN()/2+1,FALSE))),"")</f>
        <v/>
      </c>
      <c r="AA115" s="152"/>
      <c r="AB115" s="119" t="str">
        <f ca="1">IFERROR(VALUE(IF(VLOOKUP($A115,数出表_Excel!$A$6:$T$150,COLUMN()/2+1,FALSE)=0,"",VLOOKUP($A115,数出表_Excel!$A$6:$T$150,COLUMN()/2+1,FALSE))),"")</f>
        <v/>
      </c>
      <c r="AC115" s="114"/>
      <c r="AD115" s="118" t="str">
        <f ca="1">IFERROR(VALUE(IF(VLOOKUP($A115,数出表_Excel!$A$6:$T$150,COLUMN()/2+1,FALSE)=0,"",VLOOKUP($A115,数出表_Excel!$A$6:$T$150,COLUMN()/2+1,FALSE))),"")</f>
        <v/>
      </c>
      <c r="AE115" s="114"/>
      <c r="AF115" s="118" t="str">
        <f ca="1">IFERROR(VALUE(IF(VLOOKUP($A115,数出表_Excel!$A$6:$T$150,COLUMN()/2+1,FALSE)=0,"",VLOOKUP($A115,数出表_Excel!$A$6:$T$150,COLUMN()/2+1,FALSE))),"")</f>
        <v/>
      </c>
      <c r="AG115" s="114"/>
      <c r="AH115" s="118" t="str">
        <f ca="1">IFERROR(VALUE(IF(VLOOKUP($A115,数出表_Excel!$A$6:$T$150,COLUMN()/2+1,FALSE)=0,"",VLOOKUP($A115,数出表_Excel!$A$6:$T$150,COLUMN()/2+1,FALSE))),"")</f>
        <v/>
      </c>
      <c r="AI115" s="152"/>
      <c r="AJ115" s="119" t="str">
        <f ca="1">IFERROR(VALUE(IF(VLOOKUP($A115,数出表_Excel!$A$6:$T$150,COLUMN()/2+1,FALSE)=0,"",VLOOKUP($A115,数出表_Excel!$A$6:$T$150,COLUMN()/2+1,FALSE))),"")</f>
        <v/>
      </c>
      <c r="AK115" s="114"/>
      <c r="AL115" s="120" t="e">
        <f ca="1">IF(A115&lt;&gt;"",
IF(VLOOKUP($A115,数出表_Excel!$A$6:$T$150,COLUMN()/2+1,FALSE)=0,"",VLOOKUP($A115,数出表_Excel!$A$6:$T$150,COLUMN()/2+1,FALSE)),"")</f>
        <v>#N/A</v>
      </c>
      <c r="AM115" s="200" t="e">
        <f>数出表_Excel!V115</f>
        <v>#N/A</v>
      </c>
      <c r="AN115" s="201" t="e">
        <f>数出表_Excel!W115</f>
        <v>#N/A</v>
      </c>
    </row>
    <row r="116" spans="1:40" ht="16.2" customHeight="1">
      <c r="A116" s="160" t="e">
        <f t="array" aca="1" ref="A116" ca="1">IF(OR(COUNTIF(A114,"*10002*"),COUNTIF(A114,"")),"",INDEX(貼り付け用!$A1:$A200,MATCH(A114,貼り付け用!$A1:$A200,0)+2,0))</f>
        <v>#N/A</v>
      </c>
      <c r="B116" s="148" t="str">
        <f ca="1">IFERROR(VALUE(IF(VLOOKUP($A116,数出表_Excel!$A$6:$T$150,COLUMN()/2+1,FALSE)=0,"",VLOOKUP($A116,数出表_Excel!$A$6:$T$150,COLUMN()/2+1,FALSE))),"")</f>
        <v/>
      </c>
      <c r="C116" s="113"/>
      <c r="D116" s="148" t="str">
        <f ca="1">IFERROR(VALUE(IF(VLOOKUP($A116,数出表_Excel!$A$6:$T$150,COLUMN()/2+1,FALSE)=0,"",VLOOKUP($A116,数出表_Excel!$A$6:$T$150,COLUMN()/2+1,FALSE))),"")</f>
        <v/>
      </c>
      <c r="E116" s="113"/>
      <c r="F116" s="150" t="str">
        <f ca="1">IFERROR(VALUE(IF(VLOOKUP($A116,数出表_Excel!$A$6:$T$150,COLUMN()/2+1,FALSE)=0,"",VLOOKUP($A116,数出表_Excel!$A$6:$T$150,COLUMN()/2+1,FALSE))),"")</f>
        <v/>
      </c>
      <c r="G116" s="113"/>
      <c r="H116" s="148" t="str">
        <f ca="1">IFERROR(VALUE(IF(VLOOKUP($A116,数出表_Excel!$A$6:$T$150,COLUMN()/2+1,FALSE)=0,"",VLOOKUP($A116,数出表_Excel!$A$6:$T$150,COLUMN()/2+1,FALSE))),"")</f>
        <v/>
      </c>
      <c r="I116" s="113"/>
      <c r="J116" s="148" t="str">
        <f ca="1">IFERROR(VALUE(IF(VLOOKUP($A116,数出表_Excel!$A$6:$T$150,COLUMN()/2+1,FALSE)=0,"",VLOOKUP($A116,数出表_Excel!$A$6:$T$150,COLUMN()/2+1,FALSE))),"")</f>
        <v/>
      </c>
      <c r="K116" s="113"/>
      <c r="L116" s="150" t="str">
        <f ca="1">IFERROR(VALUE(IF(VLOOKUP($A116,数出表_Excel!$A$6:$T$150,COLUMN()/2+1,FALSE)=0,"",VLOOKUP($A116,数出表_Excel!$A$6:$T$150,COLUMN()/2+1,FALSE))),"")</f>
        <v/>
      </c>
      <c r="M116" s="113"/>
      <c r="N116" s="148" t="str">
        <f ca="1">IFERROR(VALUE(IF(VLOOKUP($A116,数出表_Excel!$A$6:$T$150,COLUMN()/2+1,FALSE)=0,"",VLOOKUP($A116,数出表_Excel!$A$6:$T$150,COLUMN()/2+1,FALSE))),"")</f>
        <v/>
      </c>
      <c r="O116" s="113"/>
      <c r="P116" s="148" t="str">
        <f ca="1">IFERROR(VALUE(IF(VLOOKUP($A116,数出表_Excel!$A$6:$T$150,COLUMN()/2+1,FALSE)=0,"",VLOOKUP($A116,数出表_Excel!$A$6:$T$150,COLUMN()/2+1,FALSE))),"")</f>
        <v/>
      </c>
      <c r="Q116" s="113"/>
      <c r="R116" s="148" t="str">
        <f ca="1">IFERROR(VALUE(IF(VLOOKUP($A116,数出表_Excel!$A$6:$T$150,COLUMN()/2+1,FALSE)=0,"",VLOOKUP($A116,数出表_Excel!$A$6:$T$150,COLUMN()/2+1,FALSE))),"")</f>
        <v/>
      </c>
      <c r="S116" s="113"/>
      <c r="T116" s="148" t="str">
        <f ca="1">IFERROR(VALUE(IF(VLOOKUP($A116,数出表_Excel!$A$6:$T$150,COLUMN()/2+1,FALSE)=0,"",VLOOKUP($A116,数出表_Excel!$A$6:$T$150,COLUMN()/2+1,FALSE))),"")</f>
        <v/>
      </c>
      <c r="U116" s="113"/>
      <c r="V116" s="150" t="str">
        <f ca="1">IFERROR(VALUE(IF(VLOOKUP($A116,数出表_Excel!$A$6:$T$150,COLUMN()/2+1,FALSE)=0,"",VLOOKUP($A116,数出表_Excel!$A$6:$T$150,COLUMN()/2+1,FALSE))),"")</f>
        <v/>
      </c>
      <c r="W116" s="113"/>
      <c r="X116" s="150" t="str">
        <f ca="1">IFERROR(VALUE(IF(VLOOKUP($A116,数出表_Excel!$A$6:$T$150,COLUMN()/2+1,FALSE)=0,"",VLOOKUP($A116,数出表_Excel!$A$6:$T$150,COLUMN()/2+1,FALSE))),"")</f>
        <v/>
      </c>
      <c r="Y116" s="113"/>
      <c r="Z116" s="150" t="str">
        <f ca="1">IFERROR(VALUE(IF(VLOOKUP($A116,数出表_Excel!$A$6:$T$150,COLUMN()/2+1,FALSE)=0,"",VLOOKUP($A116,数出表_Excel!$A$6:$T$150,COLUMN()/2+1,FALSE))),"")</f>
        <v/>
      </c>
      <c r="AA116" s="151"/>
      <c r="AB116" s="149" t="str">
        <f ca="1">IFERROR(VALUE(IF(VLOOKUP($A116,数出表_Excel!$A$6:$T$150,COLUMN()/2+1,FALSE)=0,"",VLOOKUP($A116,数出表_Excel!$A$6:$T$150,COLUMN()/2+1,FALSE))),"")</f>
        <v/>
      </c>
      <c r="AC116" s="113"/>
      <c r="AD116" s="150" t="str">
        <f ca="1">IFERROR(VALUE(IF(VLOOKUP($A116,数出表_Excel!$A$6:$T$150,COLUMN()/2+1,FALSE)=0,"",VLOOKUP($A116,数出表_Excel!$A$6:$T$150,COLUMN()/2+1,FALSE))),"")</f>
        <v/>
      </c>
      <c r="AE116" s="113"/>
      <c r="AF116" s="150" t="str">
        <f ca="1">IFERROR(VALUE(IF(VLOOKUP($A116,数出表_Excel!$A$6:$T$150,COLUMN()/2+1,FALSE)=0,"",VLOOKUP($A116,数出表_Excel!$A$6:$T$150,COLUMN()/2+1,FALSE))),"")</f>
        <v/>
      </c>
      <c r="AG116" s="113"/>
      <c r="AH116" s="150" t="str">
        <f ca="1">IFERROR(VALUE(IF(VLOOKUP($A116,数出表_Excel!$A$6:$T$150,COLUMN()/2+1,FALSE)=0,"",VLOOKUP($A116,数出表_Excel!$A$6:$T$150,COLUMN()/2+1,FALSE))),"")</f>
        <v/>
      </c>
      <c r="AI116" s="151"/>
      <c r="AJ116" s="149" t="str">
        <f ca="1">IFERROR(VALUE(IF(VLOOKUP($A116,数出表_Excel!$A$6:$T$150,COLUMN()/2+1,FALSE)=0,"",VLOOKUP($A116,数出表_Excel!$A$6:$T$150,COLUMN()/2+1,FALSE))),"")</f>
        <v/>
      </c>
      <c r="AK116" s="113"/>
      <c r="AL116" s="117" t="e">
        <f ca="1">IF(A116&lt;&gt;"",
IF(VLOOKUP($A116,数出表_Excel!$A$6:$T$150,COLUMN()/2+1,FALSE)=0,"",VLOOKUP($A116,数出表_Excel!$A$6:$T$150,COLUMN()/2+1,FALSE)),"")</f>
        <v>#N/A</v>
      </c>
      <c r="AM116" s="198" t="e">
        <f>数出表_Excel!V116</f>
        <v>#N/A</v>
      </c>
      <c r="AN116" s="199" t="e">
        <f>数出表_Excel!W116</f>
        <v>#N/A</v>
      </c>
    </row>
    <row r="117" spans="1:40" ht="16.2" customHeight="1">
      <c r="A117" s="161" t="e">
        <f t="array" aca="1" ref="A117" ca="1">IF(OR(COUNTIF(A115,"*1000*"),COUNTIF(A115,"")),"",INDEX(貼り付け用!$A1:$A200,MATCH(A115,貼り付け用!$A1:$A200,0)+2,0))</f>
        <v>#N/A</v>
      </c>
      <c r="B117" s="114" t="str">
        <f ca="1">IFERROR(VALUE(IF(VLOOKUP($A117,数出表_Excel!$A$6:$T$150,COLUMN()/2+1,FALSE)=0,"",VLOOKUP($A117,数出表_Excel!$A$6:$T$150,COLUMN()/2+1,FALSE))),"")</f>
        <v/>
      </c>
      <c r="C117" s="114"/>
      <c r="D117" s="114" t="str">
        <f ca="1">IFERROR(VALUE(IF(VLOOKUP($A117,数出表_Excel!$A$6:$T$150,COLUMN()/2+1,FALSE)=0,"",VLOOKUP($A117,数出表_Excel!$A$6:$T$150,COLUMN()/2+1,FALSE))),"")</f>
        <v/>
      </c>
      <c r="E117" s="114"/>
      <c r="F117" s="118" t="str">
        <f ca="1">IFERROR(VALUE(IF(VLOOKUP($A117,数出表_Excel!$A$6:$T$150,COLUMN()/2+1,FALSE)=0,"",VLOOKUP($A117,数出表_Excel!$A$6:$T$150,COLUMN()/2+1,FALSE))),"")</f>
        <v/>
      </c>
      <c r="G117" s="114"/>
      <c r="H117" s="114" t="str">
        <f ca="1">IFERROR(VALUE(IF(VLOOKUP($A117,数出表_Excel!$A$6:$T$150,COLUMN()/2+1,FALSE)=0,"",VLOOKUP($A117,数出表_Excel!$A$6:$T$150,COLUMN()/2+1,FALSE))),"")</f>
        <v/>
      </c>
      <c r="I117" s="114"/>
      <c r="J117" s="114" t="str">
        <f ca="1">IFERROR(VALUE(IF(VLOOKUP($A117,数出表_Excel!$A$6:$T$150,COLUMN()/2+1,FALSE)=0,"",VLOOKUP($A117,数出表_Excel!$A$6:$T$150,COLUMN()/2+1,FALSE))),"")</f>
        <v/>
      </c>
      <c r="K117" s="114"/>
      <c r="L117" s="118" t="str">
        <f ca="1">IFERROR(VALUE(IF(VLOOKUP($A117,数出表_Excel!$A$6:$T$150,COLUMN()/2+1,FALSE)=0,"",VLOOKUP($A117,数出表_Excel!$A$6:$T$150,COLUMN()/2+1,FALSE))),"")</f>
        <v/>
      </c>
      <c r="M117" s="114"/>
      <c r="N117" s="114" t="str">
        <f ca="1">IFERROR(VALUE(IF(VLOOKUP($A117,数出表_Excel!$A$6:$T$150,COLUMN()/2+1,FALSE)=0,"",VLOOKUP($A117,数出表_Excel!$A$6:$T$150,COLUMN()/2+1,FALSE))),"")</f>
        <v/>
      </c>
      <c r="O117" s="114"/>
      <c r="P117" s="114" t="str">
        <f ca="1">IFERROR(VALUE(IF(VLOOKUP($A117,数出表_Excel!$A$6:$T$150,COLUMN()/2+1,FALSE)=0,"",VLOOKUP($A117,数出表_Excel!$A$6:$T$150,COLUMN()/2+1,FALSE))),"")</f>
        <v/>
      </c>
      <c r="Q117" s="114"/>
      <c r="R117" s="114" t="str">
        <f ca="1">IFERROR(VALUE(IF(VLOOKUP($A117,数出表_Excel!$A$6:$T$150,COLUMN()/2+1,FALSE)=0,"",VLOOKUP($A117,数出表_Excel!$A$6:$T$150,COLUMN()/2+1,FALSE))),"")</f>
        <v/>
      </c>
      <c r="S117" s="114"/>
      <c r="T117" s="114" t="str">
        <f ca="1">IFERROR(VALUE(IF(VLOOKUP($A117,数出表_Excel!$A$6:$T$150,COLUMN()/2+1,FALSE)=0,"",VLOOKUP($A117,数出表_Excel!$A$6:$T$150,COLUMN()/2+1,FALSE))),"")</f>
        <v/>
      </c>
      <c r="U117" s="114"/>
      <c r="V117" s="118" t="str">
        <f ca="1">IFERROR(VALUE(IF(VLOOKUP($A117,数出表_Excel!$A$6:$T$150,COLUMN()/2+1,FALSE)=0,"",VLOOKUP($A117,数出表_Excel!$A$6:$T$150,COLUMN()/2+1,FALSE))),"")</f>
        <v/>
      </c>
      <c r="W117" s="114"/>
      <c r="X117" s="118" t="str">
        <f ca="1">IFERROR(VALUE(IF(VLOOKUP($A117,数出表_Excel!$A$6:$T$150,COLUMN()/2+1,FALSE)=0,"",VLOOKUP($A117,数出表_Excel!$A$6:$T$150,COLUMN()/2+1,FALSE))),"")</f>
        <v/>
      </c>
      <c r="Y117" s="114"/>
      <c r="Z117" s="118" t="str">
        <f ca="1">IFERROR(VALUE(IF(VLOOKUP($A117,数出表_Excel!$A$6:$T$150,COLUMN()/2+1,FALSE)=0,"",VLOOKUP($A117,数出表_Excel!$A$6:$T$150,COLUMN()/2+1,FALSE))),"")</f>
        <v/>
      </c>
      <c r="AA117" s="152"/>
      <c r="AB117" s="119" t="str">
        <f ca="1">IFERROR(VALUE(IF(VLOOKUP($A117,数出表_Excel!$A$6:$T$150,COLUMN()/2+1,FALSE)=0,"",VLOOKUP($A117,数出表_Excel!$A$6:$T$150,COLUMN()/2+1,FALSE))),"")</f>
        <v/>
      </c>
      <c r="AC117" s="114"/>
      <c r="AD117" s="118" t="str">
        <f ca="1">IFERROR(VALUE(IF(VLOOKUP($A117,数出表_Excel!$A$6:$T$150,COLUMN()/2+1,FALSE)=0,"",VLOOKUP($A117,数出表_Excel!$A$6:$T$150,COLUMN()/2+1,FALSE))),"")</f>
        <v/>
      </c>
      <c r="AE117" s="114"/>
      <c r="AF117" s="118" t="str">
        <f ca="1">IFERROR(VALUE(IF(VLOOKUP($A117,数出表_Excel!$A$6:$T$150,COLUMN()/2+1,FALSE)=0,"",VLOOKUP($A117,数出表_Excel!$A$6:$T$150,COLUMN()/2+1,FALSE))),"")</f>
        <v/>
      </c>
      <c r="AG117" s="114"/>
      <c r="AH117" s="118" t="str">
        <f ca="1">IFERROR(VALUE(IF(VLOOKUP($A117,数出表_Excel!$A$6:$T$150,COLUMN()/2+1,FALSE)=0,"",VLOOKUP($A117,数出表_Excel!$A$6:$T$150,COLUMN()/2+1,FALSE))),"")</f>
        <v/>
      </c>
      <c r="AI117" s="152"/>
      <c r="AJ117" s="119" t="str">
        <f ca="1">IFERROR(VALUE(IF(VLOOKUP($A117,数出表_Excel!$A$6:$T$150,COLUMN()/2+1,FALSE)=0,"",VLOOKUP($A117,数出表_Excel!$A$6:$T$150,COLUMN()/2+1,FALSE))),"")</f>
        <v/>
      </c>
      <c r="AK117" s="114"/>
      <c r="AL117" s="120" t="e">
        <f ca="1">IF(A117&lt;&gt;"",
IF(VLOOKUP($A117,数出表_Excel!$A$6:$T$150,COLUMN()/2+1,FALSE)=0,"",VLOOKUP($A117,数出表_Excel!$A$6:$T$150,COLUMN()/2+1,FALSE)),"")</f>
        <v>#N/A</v>
      </c>
      <c r="AM117" s="200" t="e">
        <f>数出表_Excel!V117</f>
        <v>#N/A</v>
      </c>
      <c r="AN117" s="201" t="e">
        <f>数出表_Excel!W117</f>
        <v>#N/A</v>
      </c>
    </row>
    <row r="118" spans="1:40" ht="16.2" customHeight="1">
      <c r="A118" s="160" t="e">
        <f t="array" aca="1" ref="A118" ca="1">IF(OR(COUNTIF(A116,"*10002*"),COUNTIF(A116,"")),"",INDEX(貼り付け用!$A1:$A200,MATCH(A116,貼り付け用!$A1:$A200,0)+2,0))</f>
        <v>#N/A</v>
      </c>
      <c r="B118" s="148" t="str">
        <f ca="1">IFERROR(VALUE(IF(VLOOKUP($A118,数出表_Excel!$A$6:$T$150,COLUMN()/2+1,FALSE)=0,"",VLOOKUP($A118,数出表_Excel!$A$6:$T$150,COLUMN()/2+1,FALSE))),"")</f>
        <v/>
      </c>
      <c r="C118" s="113"/>
      <c r="D118" s="148" t="str">
        <f ca="1">IFERROR(VALUE(IF(VLOOKUP($A118,数出表_Excel!$A$6:$T$150,COLUMN()/2+1,FALSE)=0,"",VLOOKUP($A118,数出表_Excel!$A$6:$T$150,COLUMN()/2+1,FALSE))),"")</f>
        <v/>
      </c>
      <c r="E118" s="113"/>
      <c r="F118" s="150" t="str">
        <f ca="1">IFERROR(VALUE(IF(VLOOKUP($A118,数出表_Excel!$A$6:$T$150,COLUMN()/2+1,FALSE)=0,"",VLOOKUP($A118,数出表_Excel!$A$6:$T$150,COLUMN()/2+1,FALSE))),"")</f>
        <v/>
      </c>
      <c r="G118" s="113"/>
      <c r="H118" s="148" t="str">
        <f ca="1">IFERROR(VALUE(IF(VLOOKUP($A118,数出表_Excel!$A$6:$T$150,COLUMN()/2+1,FALSE)=0,"",VLOOKUP($A118,数出表_Excel!$A$6:$T$150,COLUMN()/2+1,FALSE))),"")</f>
        <v/>
      </c>
      <c r="I118" s="113"/>
      <c r="J118" s="148" t="str">
        <f ca="1">IFERROR(VALUE(IF(VLOOKUP($A118,数出表_Excel!$A$6:$T$150,COLUMN()/2+1,FALSE)=0,"",VLOOKUP($A118,数出表_Excel!$A$6:$T$150,COLUMN()/2+1,FALSE))),"")</f>
        <v/>
      </c>
      <c r="K118" s="113"/>
      <c r="L118" s="150" t="str">
        <f ca="1">IFERROR(VALUE(IF(VLOOKUP($A118,数出表_Excel!$A$6:$T$150,COLUMN()/2+1,FALSE)=0,"",VLOOKUP($A118,数出表_Excel!$A$6:$T$150,COLUMN()/2+1,FALSE))),"")</f>
        <v/>
      </c>
      <c r="M118" s="113"/>
      <c r="N118" s="148" t="str">
        <f ca="1">IFERROR(VALUE(IF(VLOOKUP($A118,数出表_Excel!$A$6:$T$150,COLUMN()/2+1,FALSE)=0,"",VLOOKUP($A118,数出表_Excel!$A$6:$T$150,COLUMN()/2+1,FALSE))),"")</f>
        <v/>
      </c>
      <c r="O118" s="113"/>
      <c r="P118" s="148" t="str">
        <f ca="1">IFERROR(VALUE(IF(VLOOKUP($A118,数出表_Excel!$A$6:$T$150,COLUMN()/2+1,FALSE)=0,"",VLOOKUP($A118,数出表_Excel!$A$6:$T$150,COLUMN()/2+1,FALSE))),"")</f>
        <v/>
      </c>
      <c r="Q118" s="113"/>
      <c r="R118" s="148" t="str">
        <f ca="1">IFERROR(VALUE(IF(VLOOKUP($A118,数出表_Excel!$A$6:$T$150,COLUMN()/2+1,FALSE)=0,"",VLOOKUP($A118,数出表_Excel!$A$6:$T$150,COLUMN()/2+1,FALSE))),"")</f>
        <v/>
      </c>
      <c r="S118" s="113"/>
      <c r="T118" s="148" t="str">
        <f ca="1">IFERROR(VALUE(IF(VLOOKUP($A118,数出表_Excel!$A$6:$T$150,COLUMN()/2+1,FALSE)=0,"",VLOOKUP($A118,数出表_Excel!$A$6:$T$150,COLUMN()/2+1,FALSE))),"")</f>
        <v/>
      </c>
      <c r="U118" s="113"/>
      <c r="V118" s="150" t="str">
        <f ca="1">IFERROR(VALUE(IF(VLOOKUP($A118,数出表_Excel!$A$6:$T$150,COLUMN()/2+1,FALSE)=0,"",VLOOKUP($A118,数出表_Excel!$A$6:$T$150,COLUMN()/2+1,FALSE))),"")</f>
        <v/>
      </c>
      <c r="W118" s="113"/>
      <c r="X118" s="150" t="str">
        <f ca="1">IFERROR(VALUE(IF(VLOOKUP($A118,数出表_Excel!$A$6:$T$150,COLUMN()/2+1,FALSE)=0,"",VLOOKUP($A118,数出表_Excel!$A$6:$T$150,COLUMN()/2+1,FALSE))),"")</f>
        <v/>
      </c>
      <c r="Y118" s="113"/>
      <c r="Z118" s="150" t="str">
        <f ca="1">IFERROR(VALUE(IF(VLOOKUP($A118,数出表_Excel!$A$6:$T$150,COLUMN()/2+1,FALSE)=0,"",VLOOKUP($A118,数出表_Excel!$A$6:$T$150,COLUMN()/2+1,FALSE))),"")</f>
        <v/>
      </c>
      <c r="AA118" s="151"/>
      <c r="AB118" s="149" t="str">
        <f ca="1">IFERROR(VALUE(IF(VLOOKUP($A118,数出表_Excel!$A$6:$T$150,COLUMN()/2+1,FALSE)=0,"",VLOOKUP($A118,数出表_Excel!$A$6:$T$150,COLUMN()/2+1,FALSE))),"")</f>
        <v/>
      </c>
      <c r="AC118" s="113"/>
      <c r="AD118" s="150" t="str">
        <f ca="1">IFERROR(VALUE(IF(VLOOKUP($A118,数出表_Excel!$A$6:$T$150,COLUMN()/2+1,FALSE)=0,"",VLOOKUP($A118,数出表_Excel!$A$6:$T$150,COLUMN()/2+1,FALSE))),"")</f>
        <v/>
      </c>
      <c r="AE118" s="113"/>
      <c r="AF118" s="150" t="str">
        <f ca="1">IFERROR(VALUE(IF(VLOOKUP($A118,数出表_Excel!$A$6:$T$150,COLUMN()/2+1,FALSE)=0,"",VLOOKUP($A118,数出表_Excel!$A$6:$T$150,COLUMN()/2+1,FALSE))),"")</f>
        <v/>
      </c>
      <c r="AG118" s="113"/>
      <c r="AH118" s="150" t="str">
        <f ca="1">IFERROR(VALUE(IF(VLOOKUP($A118,数出表_Excel!$A$6:$T$150,COLUMN()/2+1,FALSE)=0,"",VLOOKUP($A118,数出表_Excel!$A$6:$T$150,COLUMN()/2+1,FALSE))),"")</f>
        <v/>
      </c>
      <c r="AI118" s="151"/>
      <c r="AJ118" s="149" t="str">
        <f ca="1">IFERROR(VALUE(IF(VLOOKUP($A118,数出表_Excel!$A$6:$T$150,COLUMN()/2+1,FALSE)=0,"",VLOOKUP($A118,数出表_Excel!$A$6:$T$150,COLUMN()/2+1,FALSE))),"")</f>
        <v/>
      </c>
      <c r="AK118" s="113"/>
      <c r="AL118" s="117" t="e">
        <f ca="1">IF(A118&lt;&gt;"",
IF(VLOOKUP($A118,数出表_Excel!$A$6:$T$150,COLUMN()/2+1,FALSE)=0,"",VLOOKUP($A118,数出表_Excel!$A$6:$T$150,COLUMN()/2+1,FALSE)),"")</f>
        <v>#N/A</v>
      </c>
      <c r="AM118" s="198" t="e">
        <f>数出表_Excel!V118</f>
        <v>#N/A</v>
      </c>
      <c r="AN118" s="199" t="e">
        <f>数出表_Excel!W118</f>
        <v>#N/A</v>
      </c>
    </row>
    <row r="119" spans="1:40" ht="16.2" customHeight="1">
      <c r="A119" s="161" t="e">
        <f t="array" aca="1" ref="A119" ca="1">IF(OR(COUNTIF(A117,"*1000*"),COUNTIF(A117,"")),"",INDEX(貼り付け用!$A1:$A200,MATCH(A117,貼り付け用!$A1:$A200,0)+2,0))</f>
        <v>#N/A</v>
      </c>
      <c r="B119" s="114" t="str">
        <f ca="1">IFERROR(VALUE(IF(VLOOKUP($A119,数出表_Excel!$A$6:$T$150,COLUMN()/2+1,FALSE)=0,"",VLOOKUP($A119,数出表_Excel!$A$6:$T$150,COLUMN()/2+1,FALSE))),"")</f>
        <v/>
      </c>
      <c r="C119" s="114"/>
      <c r="D119" s="114" t="str">
        <f ca="1">IFERROR(VALUE(IF(VLOOKUP($A119,数出表_Excel!$A$6:$T$150,COLUMN()/2+1,FALSE)=0,"",VLOOKUP($A119,数出表_Excel!$A$6:$T$150,COLUMN()/2+1,FALSE))),"")</f>
        <v/>
      </c>
      <c r="E119" s="114"/>
      <c r="F119" s="118" t="str">
        <f ca="1">IFERROR(VALUE(IF(VLOOKUP($A119,数出表_Excel!$A$6:$T$150,COLUMN()/2+1,FALSE)=0,"",VLOOKUP($A119,数出表_Excel!$A$6:$T$150,COLUMN()/2+1,FALSE))),"")</f>
        <v/>
      </c>
      <c r="G119" s="114"/>
      <c r="H119" s="114" t="str">
        <f ca="1">IFERROR(VALUE(IF(VLOOKUP($A119,数出表_Excel!$A$6:$T$150,COLUMN()/2+1,FALSE)=0,"",VLOOKUP($A119,数出表_Excel!$A$6:$T$150,COLUMN()/2+1,FALSE))),"")</f>
        <v/>
      </c>
      <c r="I119" s="114"/>
      <c r="J119" s="114" t="str">
        <f ca="1">IFERROR(VALUE(IF(VLOOKUP($A119,数出表_Excel!$A$6:$T$150,COLUMN()/2+1,FALSE)=0,"",VLOOKUP($A119,数出表_Excel!$A$6:$T$150,COLUMN()/2+1,FALSE))),"")</f>
        <v/>
      </c>
      <c r="K119" s="114"/>
      <c r="L119" s="118" t="str">
        <f ca="1">IFERROR(VALUE(IF(VLOOKUP($A119,数出表_Excel!$A$6:$T$150,COLUMN()/2+1,FALSE)=0,"",VLOOKUP($A119,数出表_Excel!$A$6:$T$150,COLUMN()/2+1,FALSE))),"")</f>
        <v/>
      </c>
      <c r="M119" s="114"/>
      <c r="N119" s="114" t="str">
        <f ca="1">IFERROR(VALUE(IF(VLOOKUP($A119,数出表_Excel!$A$6:$T$150,COLUMN()/2+1,FALSE)=0,"",VLOOKUP($A119,数出表_Excel!$A$6:$T$150,COLUMN()/2+1,FALSE))),"")</f>
        <v/>
      </c>
      <c r="O119" s="114"/>
      <c r="P119" s="114" t="str">
        <f ca="1">IFERROR(VALUE(IF(VLOOKUP($A119,数出表_Excel!$A$6:$T$150,COLUMN()/2+1,FALSE)=0,"",VLOOKUP($A119,数出表_Excel!$A$6:$T$150,COLUMN()/2+1,FALSE))),"")</f>
        <v/>
      </c>
      <c r="Q119" s="114"/>
      <c r="R119" s="114" t="str">
        <f ca="1">IFERROR(VALUE(IF(VLOOKUP($A119,数出表_Excel!$A$6:$T$150,COLUMN()/2+1,FALSE)=0,"",VLOOKUP($A119,数出表_Excel!$A$6:$T$150,COLUMN()/2+1,FALSE))),"")</f>
        <v/>
      </c>
      <c r="S119" s="114"/>
      <c r="T119" s="114" t="str">
        <f ca="1">IFERROR(VALUE(IF(VLOOKUP($A119,数出表_Excel!$A$6:$T$150,COLUMN()/2+1,FALSE)=0,"",VLOOKUP($A119,数出表_Excel!$A$6:$T$150,COLUMN()/2+1,FALSE))),"")</f>
        <v/>
      </c>
      <c r="U119" s="114"/>
      <c r="V119" s="118" t="str">
        <f ca="1">IFERROR(VALUE(IF(VLOOKUP($A119,数出表_Excel!$A$6:$T$150,COLUMN()/2+1,FALSE)=0,"",VLOOKUP($A119,数出表_Excel!$A$6:$T$150,COLUMN()/2+1,FALSE))),"")</f>
        <v/>
      </c>
      <c r="W119" s="114"/>
      <c r="X119" s="118" t="str">
        <f ca="1">IFERROR(VALUE(IF(VLOOKUP($A119,数出表_Excel!$A$6:$T$150,COLUMN()/2+1,FALSE)=0,"",VLOOKUP($A119,数出表_Excel!$A$6:$T$150,COLUMN()/2+1,FALSE))),"")</f>
        <v/>
      </c>
      <c r="Y119" s="114"/>
      <c r="Z119" s="118" t="str">
        <f ca="1">IFERROR(VALUE(IF(VLOOKUP($A119,数出表_Excel!$A$6:$T$150,COLUMN()/2+1,FALSE)=0,"",VLOOKUP($A119,数出表_Excel!$A$6:$T$150,COLUMN()/2+1,FALSE))),"")</f>
        <v/>
      </c>
      <c r="AA119" s="152"/>
      <c r="AB119" s="119" t="str">
        <f ca="1">IFERROR(VALUE(IF(VLOOKUP($A119,数出表_Excel!$A$6:$T$150,COLUMN()/2+1,FALSE)=0,"",VLOOKUP($A119,数出表_Excel!$A$6:$T$150,COLUMN()/2+1,FALSE))),"")</f>
        <v/>
      </c>
      <c r="AC119" s="114"/>
      <c r="AD119" s="118" t="str">
        <f ca="1">IFERROR(VALUE(IF(VLOOKUP($A119,数出表_Excel!$A$6:$T$150,COLUMN()/2+1,FALSE)=0,"",VLOOKUP($A119,数出表_Excel!$A$6:$T$150,COLUMN()/2+1,FALSE))),"")</f>
        <v/>
      </c>
      <c r="AE119" s="114"/>
      <c r="AF119" s="118" t="str">
        <f ca="1">IFERROR(VALUE(IF(VLOOKUP($A119,数出表_Excel!$A$6:$T$150,COLUMN()/2+1,FALSE)=0,"",VLOOKUP($A119,数出表_Excel!$A$6:$T$150,COLUMN()/2+1,FALSE))),"")</f>
        <v/>
      </c>
      <c r="AG119" s="114"/>
      <c r="AH119" s="118" t="str">
        <f ca="1">IFERROR(VALUE(IF(VLOOKUP($A119,数出表_Excel!$A$6:$T$150,COLUMN()/2+1,FALSE)=0,"",VLOOKUP($A119,数出表_Excel!$A$6:$T$150,COLUMN()/2+1,FALSE))),"")</f>
        <v/>
      </c>
      <c r="AI119" s="152"/>
      <c r="AJ119" s="119" t="str">
        <f ca="1">IFERROR(VALUE(IF(VLOOKUP($A119,数出表_Excel!$A$6:$T$150,COLUMN()/2+1,FALSE)=0,"",VLOOKUP($A119,数出表_Excel!$A$6:$T$150,COLUMN()/2+1,FALSE))),"")</f>
        <v/>
      </c>
      <c r="AK119" s="114"/>
      <c r="AL119" s="120" t="e">
        <f ca="1">IF(A119&lt;&gt;"",
IF(VLOOKUP($A119,数出表_Excel!$A$6:$T$150,COLUMN()/2+1,FALSE)=0,"",VLOOKUP($A119,数出表_Excel!$A$6:$T$150,COLUMN()/2+1,FALSE)),"")</f>
        <v>#N/A</v>
      </c>
      <c r="AM119" s="200" t="e">
        <f>数出表_Excel!V119</f>
        <v>#N/A</v>
      </c>
      <c r="AN119" s="201" t="e">
        <f>数出表_Excel!W119</f>
        <v>#N/A</v>
      </c>
    </row>
    <row r="120" spans="1:40" ht="16.2" customHeight="1">
      <c r="A120" s="160" t="e">
        <f t="array" aca="1" ref="A120" ca="1">IF(OR(COUNTIF(A118,"*10002*"),COUNTIF(A118,"")),"",INDEX(貼り付け用!$A1:$A200,MATCH(A118,貼り付け用!$A1:$A200,0)+2,0))</f>
        <v>#N/A</v>
      </c>
      <c r="B120" s="148" t="str">
        <f ca="1">IFERROR(VALUE(IF(VLOOKUP($A120,数出表_Excel!$A$6:$T$150,COLUMN()/2+1,FALSE)=0,"",VLOOKUP($A120,数出表_Excel!$A$6:$T$150,COLUMN()/2+1,FALSE))),"")</f>
        <v/>
      </c>
      <c r="C120" s="113"/>
      <c r="D120" s="148" t="str">
        <f ca="1">IFERROR(VALUE(IF(VLOOKUP($A120,数出表_Excel!$A$6:$T$150,COLUMN()/2+1,FALSE)=0,"",VLOOKUP($A120,数出表_Excel!$A$6:$T$150,COLUMN()/2+1,FALSE))),"")</f>
        <v/>
      </c>
      <c r="E120" s="113"/>
      <c r="F120" s="150" t="str">
        <f ca="1">IFERROR(VALUE(IF(VLOOKUP($A120,数出表_Excel!$A$6:$T$150,COLUMN()/2+1,FALSE)=0,"",VLOOKUP($A120,数出表_Excel!$A$6:$T$150,COLUMN()/2+1,FALSE))),"")</f>
        <v/>
      </c>
      <c r="G120" s="113"/>
      <c r="H120" s="148" t="str">
        <f ca="1">IFERROR(VALUE(IF(VLOOKUP($A120,数出表_Excel!$A$6:$T$150,COLUMN()/2+1,FALSE)=0,"",VLOOKUP($A120,数出表_Excel!$A$6:$T$150,COLUMN()/2+1,FALSE))),"")</f>
        <v/>
      </c>
      <c r="I120" s="113"/>
      <c r="J120" s="148" t="str">
        <f ca="1">IFERROR(VALUE(IF(VLOOKUP($A120,数出表_Excel!$A$6:$T$150,COLUMN()/2+1,FALSE)=0,"",VLOOKUP($A120,数出表_Excel!$A$6:$T$150,COLUMN()/2+1,FALSE))),"")</f>
        <v/>
      </c>
      <c r="K120" s="113"/>
      <c r="L120" s="150" t="str">
        <f ca="1">IFERROR(VALUE(IF(VLOOKUP($A120,数出表_Excel!$A$6:$T$150,COLUMN()/2+1,FALSE)=0,"",VLOOKUP($A120,数出表_Excel!$A$6:$T$150,COLUMN()/2+1,FALSE))),"")</f>
        <v/>
      </c>
      <c r="M120" s="113"/>
      <c r="N120" s="148" t="str">
        <f ca="1">IFERROR(VALUE(IF(VLOOKUP($A120,数出表_Excel!$A$6:$T$150,COLUMN()/2+1,FALSE)=0,"",VLOOKUP($A120,数出表_Excel!$A$6:$T$150,COLUMN()/2+1,FALSE))),"")</f>
        <v/>
      </c>
      <c r="O120" s="113"/>
      <c r="P120" s="148" t="str">
        <f ca="1">IFERROR(VALUE(IF(VLOOKUP($A120,数出表_Excel!$A$6:$T$150,COLUMN()/2+1,FALSE)=0,"",VLOOKUP($A120,数出表_Excel!$A$6:$T$150,COLUMN()/2+1,FALSE))),"")</f>
        <v/>
      </c>
      <c r="Q120" s="113"/>
      <c r="R120" s="148" t="str">
        <f ca="1">IFERROR(VALUE(IF(VLOOKUP($A120,数出表_Excel!$A$6:$T$150,COLUMN()/2+1,FALSE)=0,"",VLOOKUP($A120,数出表_Excel!$A$6:$T$150,COLUMN()/2+1,FALSE))),"")</f>
        <v/>
      </c>
      <c r="S120" s="113"/>
      <c r="T120" s="148" t="str">
        <f ca="1">IFERROR(VALUE(IF(VLOOKUP($A120,数出表_Excel!$A$6:$T$150,COLUMN()/2+1,FALSE)=0,"",VLOOKUP($A120,数出表_Excel!$A$6:$T$150,COLUMN()/2+1,FALSE))),"")</f>
        <v/>
      </c>
      <c r="U120" s="113"/>
      <c r="V120" s="150" t="str">
        <f ca="1">IFERROR(VALUE(IF(VLOOKUP($A120,数出表_Excel!$A$6:$T$150,COLUMN()/2+1,FALSE)=0,"",VLOOKUP($A120,数出表_Excel!$A$6:$T$150,COLUMN()/2+1,FALSE))),"")</f>
        <v/>
      </c>
      <c r="W120" s="113"/>
      <c r="X120" s="150" t="str">
        <f ca="1">IFERROR(VALUE(IF(VLOOKUP($A120,数出表_Excel!$A$6:$T$150,COLUMN()/2+1,FALSE)=0,"",VLOOKUP($A120,数出表_Excel!$A$6:$T$150,COLUMN()/2+1,FALSE))),"")</f>
        <v/>
      </c>
      <c r="Y120" s="113"/>
      <c r="Z120" s="150" t="str">
        <f ca="1">IFERROR(VALUE(IF(VLOOKUP($A120,数出表_Excel!$A$6:$T$150,COLUMN()/2+1,FALSE)=0,"",VLOOKUP($A120,数出表_Excel!$A$6:$T$150,COLUMN()/2+1,FALSE))),"")</f>
        <v/>
      </c>
      <c r="AA120" s="151"/>
      <c r="AB120" s="149" t="str">
        <f ca="1">IFERROR(VALUE(IF(VLOOKUP($A120,数出表_Excel!$A$6:$T$150,COLUMN()/2+1,FALSE)=0,"",VLOOKUP($A120,数出表_Excel!$A$6:$T$150,COLUMN()/2+1,FALSE))),"")</f>
        <v/>
      </c>
      <c r="AC120" s="113"/>
      <c r="AD120" s="150" t="str">
        <f ca="1">IFERROR(VALUE(IF(VLOOKUP($A120,数出表_Excel!$A$6:$T$150,COLUMN()/2+1,FALSE)=0,"",VLOOKUP($A120,数出表_Excel!$A$6:$T$150,COLUMN()/2+1,FALSE))),"")</f>
        <v/>
      </c>
      <c r="AE120" s="113"/>
      <c r="AF120" s="150" t="str">
        <f ca="1">IFERROR(VALUE(IF(VLOOKUP($A120,数出表_Excel!$A$6:$T$150,COLUMN()/2+1,FALSE)=0,"",VLOOKUP($A120,数出表_Excel!$A$6:$T$150,COLUMN()/2+1,FALSE))),"")</f>
        <v/>
      </c>
      <c r="AG120" s="113"/>
      <c r="AH120" s="150" t="str">
        <f ca="1">IFERROR(VALUE(IF(VLOOKUP($A120,数出表_Excel!$A$6:$T$150,COLUMN()/2+1,FALSE)=0,"",VLOOKUP($A120,数出表_Excel!$A$6:$T$150,COLUMN()/2+1,FALSE))),"")</f>
        <v/>
      </c>
      <c r="AI120" s="151"/>
      <c r="AJ120" s="149" t="str">
        <f ca="1">IFERROR(VALUE(IF(VLOOKUP($A120,数出表_Excel!$A$6:$T$150,COLUMN()/2+1,FALSE)=0,"",VLOOKUP($A120,数出表_Excel!$A$6:$T$150,COLUMN()/2+1,FALSE))),"")</f>
        <v/>
      </c>
      <c r="AK120" s="113"/>
      <c r="AL120" s="117" t="e">
        <f ca="1">IF(A120&lt;&gt;"",
IF(VLOOKUP($A120,数出表_Excel!$A$6:$T$150,COLUMN()/2+1,FALSE)=0,"",VLOOKUP($A120,数出表_Excel!$A$6:$T$150,COLUMN()/2+1,FALSE)),"")</f>
        <v>#N/A</v>
      </c>
      <c r="AM120" s="198" t="e">
        <f>数出表_Excel!V120</f>
        <v>#N/A</v>
      </c>
      <c r="AN120" s="199" t="e">
        <f>数出表_Excel!W120</f>
        <v>#N/A</v>
      </c>
    </row>
    <row r="121" spans="1:40" ht="16.2" customHeight="1">
      <c r="A121" s="161" t="e">
        <f t="array" aca="1" ref="A121" ca="1">IF(OR(COUNTIF(A119,"*1000*"),COUNTIF(A119,"")),"",INDEX(貼り付け用!$A1:$A200,MATCH(A119,貼り付け用!$A1:$A200,0)+2,0))</f>
        <v>#N/A</v>
      </c>
      <c r="B121" s="114" t="str">
        <f ca="1">IFERROR(VALUE(IF(VLOOKUP($A121,数出表_Excel!$A$6:$T$150,COLUMN()/2+1,FALSE)=0,"",VLOOKUP($A121,数出表_Excel!$A$6:$T$150,COLUMN()/2+1,FALSE))),"")</f>
        <v/>
      </c>
      <c r="C121" s="114"/>
      <c r="D121" s="114" t="str">
        <f ca="1">IFERROR(VALUE(IF(VLOOKUP($A121,数出表_Excel!$A$6:$T$150,COLUMN()/2+1,FALSE)=0,"",VLOOKUP($A121,数出表_Excel!$A$6:$T$150,COLUMN()/2+1,FALSE))),"")</f>
        <v/>
      </c>
      <c r="E121" s="114"/>
      <c r="F121" s="118" t="str">
        <f ca="1">IFERROR(VALUE(IF(VLOOKUP($A121,数出表_Excel!$A$6:$T$150,COLUMN()/2+1,FALSE)=0,"",VLOOKUP($A121,数出表_Excel!$A$6:$T$150,COLUMN()/2+1,FALSE))),"")</f>
        <v/>
      </c>
      <c r="G121" s="114"/>
      <c r="H121" s="114" t="str">
        <f ca="1">IFERROR(VALUE(IF(VLOOKUP($A121,数出表_Excel!$A$6:$T$150,COLUMN()/2+1,FALSE)=0,"",VLOOKUP($A121,数出表_Excel!$A$6:$T$150,COLUMN()/2+1,FALSE))),"")</f>
        <v/>
      </c>
      <c r="I121" s="114"/>
      <c r="J121" s="114" t="str">
        <f ca="1">IFERROR(VALUE(IF(VLOOKUP($A121,数出表_Excel!$A$6:$T$150,COLUMN()/2+1,FALSE)=0,"",VLOOKUP($A121,数出表_Excel!$A$6:$T$150,COLUMN()/2+1,FALSE))),"")</f>
        <v/>
      </c>
      <c r="K121" s="114"/>
      <c r="L121" s="118" t="str">
        <f ca="1">IFERROR(VALUE(IF(VLOOKUP($A121,数出表_Excel!$A$6:$T$150,COLUMN()/2+1,FALSE)=0,"",VLOOKUP($A121,数出表_Excel!$A$6:$T$150,COLUMN()/2+1,FALSE))),"")</f>
        <v/>
      </c>
      <c r="M121" s="114"/>
      <c r="N121" s="114" t="str">
        <f ca="1">IFERROR(VALUE(IF(VLOOKUP($A121,数出表_Excel!$A$6:$T$150,COLUMN()/2+1,FALSE)=0,"",VLOOKUP($A121,数出表_Excel!$A$6:$T$150,COLUMN()/2+1,FALSE))),"")</f>
        <v/>
      </c>
      <c r="O121" s="114"/>
      <c r="P121" s="114" t="str">
        <f ca="1">IFERROR(VALUE(IF(VLOOKUP($A121,数出表_Excel!$A$6:$T$150,COLUMN()/2+1,FALSE)=0,"",VLOOKUP($A121,数出表_Excel!$A$6:$T$150,COLUMN()/2+1,FALSE))),"")</f>
        <v/>
      </c>
      <c r="Q121" s="114"/>
      <c r="R121" s="114" t="str">
        <f ca="1">IFERROR(VALUE(IF(VLOOKUP($A121,数出表_Excel!$A$6:$T$150,COLUMN()/2+1,FALSE)=0,"",VLOOKUP($A121,数出表_Excel!$A$6:$T$150,COLUMN()/2+1,FALSE))),"")</f>
        <v/>
      </c>
      <c r="S121" s="114"/>
      <c r="T121" s="114" t="str">
        <f ca="1">IFERROR(VALUE(IF(VLOOKUP($A121,数出表_Excel!$A$6:$T$150,COLUMN()/2+1,FALSE)=0,"",VLOOKUP($A121,数出表_Excel!$A$6:$T$150,COLUMN()/2+1,FALSE))),"")</f>
        <v/>
      </c>
      <c r="U121" s="114"/>
      <c r="V121" s="118" t="str">
        <f ca="1">IFERROR(VALUE(IF(VLOOKUP($A121,数出表_Excel!$A$6:$T$150,COLUMN()/2+1,FALSE)=0,"",VLOOKUP($A121,数出表_Excel!$A$6:$T$150,COLUMN()/2+1,FALSE))),"")</f>
        <v/>
      </c>
      <c r="W121" s="114"/>
      <c r="X121" s="118" t="str">
        <f ca="1">IFERROR(VALUE(IF(VLOOKUP($A121,数出表_Excel!$A$6:$T$150,COLUMN()/2+1,FALSE)=0,"",VLOOKUP($A121,数出表_Excel!$A$6:$T$150,COLUMN()/2+1,FALSE))),"")</f>
        <v/>
      </c>
      <c r="Y121" s="114"/>
      <c r="Z121" s="118" t="str">
        <f ca="1">IFERROR(VALUE(IF(VLOOKUP($A121,数出表_Excel!$A$6:$T$150,COLUMN()/2+1,FALSE)=0,"",VLOOKUP($A121,数出表_Excel!$A$6:$T$150,COLUMN()/2+1,FALSE))),"")</f>
        <v/>
      </c>
      <c r="AA121" s="152"/>
      <c r="AB121" s="119" t="str">
        <f ca="1">IFERROR(VALUE(IF(VLOOKUP($A121,数出表_Excel!$A$6:$T$150,COLUMN()/2+1,FALSE)=0,"",VLOOKUP($A121,数出表_Excel!$A$6:$T$150,COLUMN()/2+1,FALSE))),"")</f>
        <v/>
      </c>
      <c r="AC121" s="114"/>
      <c r="AD121" s="118" t="str">
        <f ca="1">IFERROR(VALUE(IF(VLOOKUP($A121,数出表_Excel!$A$6:$T$150,COLUMN()/2+1,FALSE)=0,"",VLOOKUP($A121,数出表_Excel!$A$6:$T$150,COLUMN()/2+1,FALSE))),"")</f>
        <v/>
      </c>
      <c r="AE121" s="114"/>
      <c r="AF121" s="118" t="str">
        <f ca="1">IFERROR(VALUE(IF(VLOOKUP($A121,数出表_Excel!$A$6:$T$150,COLUMN()/2+1,FALSE)=0,"",VLOOKUP($A121,数出表_Excel!$A$6:$T$150,COLUMN()/2+1,FALSE))),"")</f>
        <v/>
      </c>
      <c r="AG121" s="114"/>
      <c r="AH121" s="118" t="str">
        <f ca="1">IFERROR(VALUE(IF(VLOOKUP($A121,数出表_Excel!$A$6:$T$150,COLUMN()/2+1,FALSE)=0,"",VLOOKUP($A121,数出表_Excel!$A$6:$T$150,COLUMN()/2+1,FALSE))),"")</f>
        <v/>
      </c>
      <c r="AI121" s="152"/>
      <c r="AJ121" s="119" t="str">
        <f ca="1">IFERROR(VALUE(IF(VLOOKUP($A121,数出表_Excel!$A$6:$T$150,COLUMN()/2+1,FALSE)=0,"",VLOOKUP($A121,数出表_Excel!$A$6:$T$150,COLUMN()/2+1,FALSE))),"")</f>
        <v/>
      </c>
      <c r="AK121" s="114"/>
      <c r="AL121" s="120" t="e">
        <f ca="1">IF(A121&lt;&gt;"",
IF(VLOOKUP($A121,数出表_Excel!$A$6:$T$150,COLUMN()/2+1,FALSE)=0,"",VLOOKUP($A121,数出表_Excel!$A$6:$T$150,COLUMN()/2+1,FALSE)),"")</f>
        <v>#N/A</v>
      </c>
      <c r="AM121" s="200" t="e">
        <f>数出表_Excel!V121</f>
        <v>#N/A</v>
      </c>
      <c r="AN121" s="201" t="e">
        <f>数出表_Excel!W121</f>
        <v>#N/A</v>
      </c>
    </row>
    <row r="122" spans="1:40" ht="16.2" customHeight="1">
      <c r="A122" s="160" t="e">
        <f t="array" aca="1" ref="A122" ca="1">IF(OR(COUNTIF(A120,"*10002*"),COUNTIF(A120,"")),"",INDEX(貼り付け用!$A1:$A200,MATCH(A120,貼り付け用!$A1:$A200,0)+2,0))</f>
        <v>#N/A</v>
      </c>
      <c r="B122" s="148" t="str">
        <f ca="1">IFERROR(VALUE(IF(VLOOKUP($A122,数出表_Excel!$A$6:$T$150,COLUMN()/2+1,FALSE)=0,"",VLOOKUP($A122,数出表_Excel!$A$6:$T$150,COLUMN()/2+1,FALSE))),"")</f>
        <v/>
      </c>
      <c r="C122" s="113"/>
      <c r="D122" s="148" t="str">
        <f ca="1">IFERROR(VALUE(IF(VLOOKUP($A122,数出表_Excel!$A$6:$T$150,COLUMN()/2+1,FALSE)=0,"",VLOOKUP($A122,数出表_Excel!$A$6:$T$150,COLUMN()/2+1,FALSE))),"")</f>
        <v/>
      </c>
      <c r="E122" s="113"/>
      <c r="F122" s="150" t="str">
        <f ca="1">IFERROR(VALUE(IF(VLOOKUP($A122,数出表_Excel!$A$6:$T$150,COLUMN()/2+1,FALSE)=0,"",VLOOKUP($A122,数出表_Excel!$A$6:$T$150,COLUMN()/2+1,FALSE))),"")</f>
        <v/>
      </c>
      <c r="G122" s="113"/>
      <c r="H122" s="148" t="str">
        <f ca="1">IFERROR(VALUE(IF(VLOOKUP($A122,数出表_Excel!$A$6:$T$150,COLUMN()/2+1,FALSE)=0,"",VLOOKUP($A122,数出表_Excel!$A$6:$T$150,COLUMN()/2+1,FALSE))),"")</f>
        <v/>
      </c>
      <c r="I122" s="113"/>
      <c r="J122" s="148" t="str">
        <f ca="1">IFERROR(VALUE(IF(VLOOKUP($A122,数出表_Excel!$A$6:$T$150,COLUMN()/2+1,FALSE)=0,"",VLOOKUP($A122,数出表_Excel!$A$6:$T$150,COLUMN()/2+1,FALSE))),"")</f>
        <v/>
      </c>
      <c r="K122" s="113"/>
      <c r="L122" s="150" t="str">
        <f ca="1">IFERROR(VALUE(IF(VLOOKUP($A122,数出表_Excel!$A$6:$T$150,COLUMN()/2+1,FALSE)=0,"",VLOOKUP($A122,数出表_Excel!$A$6:$T$150,COLUMN()/2+1,FALSE))),"")</f>
        <v/>
      </c>
      <c r="M122" s="113"/>
      <c r="N122" s="148" t="str">
        <f ca="1">IFERROR(VALUE(IF(VLOOKUP($A122,数出表_Excel!$A$6:$T$150,COLUMN()/2+1,FALSE)=0,"",VLOOKUP($A122,数出表_Excel!$A$6:$T$150,COLUMN()/2+1,FALSE))),"")</f>
        <v/>
      </c>
      <c r="O122" s="113"/>
      <c r="P122" s="148" t="str">
        <f ca="1">IFERROR(VALUE(IF(VLOOKUP($A122,数出表_Excel!$A$6:$T$150,COLUMN()/2+1,FALSE)=0,"",VLOOKUP($A122,数出表_Excel!$A$6:$T$150,COLUMN()/2+1,FALSE))),"")</f>
        <v/>
      </c>
      <c r="Q122" s="113"/>
      <c r="R122" s="148" t="str">
        <f ca="1">IFERROR(VALUE(IF(VLOOKUP($A122,数出表_Excel!$A$6:$T$150,COLUMN()/2+1,FALSE)=0,"",VLOOKUP($A122,数出表_Excel!$A$6:$T$150,COLUMN()/2+1,FALSE))),"")</f>
        <v/>
      </c>
      <c r="S122" s="113"/>
      <c r="T122" s="148" t="str">
        <f ca="1">IFERROR(VALUE(IF(VLOOKUP($A122,数出表_Excel!$A$6:$T$150,COLUMN()/2+1,FALSE)=0,"",VLOOKUP($A122,数出表_Excel!$A$6:$T$150,COLUMN()/2+1,FALSE))),"")</f>
        <v/>
      </c>
      <c r="U122" s="113"/>
      <c r="V122" s="150" t="str">
        <f ca="1">IFERROR(VALUE(IF(VLOOKUP($A122,数出表_Excel!$A$6:$T$150,COLUMN()/2+1,FALSE)=0,"",VLOOKUP($A122,数出表_Excel!$A$6:$T$150,COLUMN()/2+1,FALSE))),"")</f>
        <v/>
      </c>
      <c r="W122" s="113"/>
      <c r="X122" s="150" t="str">
        <f ca="1">IFERROR(VALUE(IF(VLOOKUP($A122,数出表_Excel!$A$6:$T$150,COLUMN()/2+1,FALSE)=0,"",VLOOKUP($A122,数出表_Excel!$A$6:$T$150,COLUMN()/2+1,FALSE))),"")</f>
        <v/>
      </c>
      <c r="Y122" s="113"/>
      <c r="Z122" s="150" t="str">
        <f ca="1">IFERROR(VALUE(IF(VLOOKUP($A122,数出表_Excel!$A$6:$T$150,COLUMN()/2+1,FALSE)=0,"",VLOOKUP($A122,数出表_Excel!$A$6:$T$150,COLUMN()/2+1,FALSE))),"")</f>
        <v/>
      </c>
      <c r="AA122" s="151"/>
      <c r="AB122" s="149" t="str">
        <f ca="1">IFERROR(VALUE(IF(VLOOKUP($A122,数出表_Excel!$A$6:$T$150,COLUMN()/2+1,FALSE)=0,"",VLOOKUP($A122,数出表_Excel!$A$6:$T$150,COLUMN()/2+1,FALSE))),"")</f>
        <v/>
      </c>
      <c r="AC122" s="113"/>
      <c r="AD122" s="150" t="str">
        <f ca="1">IFERROR(VALUE(IF(VLOOKUP($A122,数出表_Excel!$A$6:$T$150,COLUMN()/2+1,FALSE)=0,"",VLOOKUP($A122,数出表_Excel!$A$6:$T$150,COLUMN()/2+1,FALSE))),"")</f>
        <v/>
      </c>
      <c r="AE122" s="113"/>
      <c r="AF122" s="150" t="str">
        <f ca="1">IFERROR(VALUE(IF(VLOOKUP($A122,数出表_Excel!$A$6:$T$150,COLUMN()/2+1,FALSE)=0,"",VLOOKUP($A122,数出表_Excel!$A$6:$T$150,COLUMN()/2+1,FALSE))),"")</f>
        <v/>
      </c>
      <c r="AG122" s="113"/>
      <c r="AH122" s="150" t="str">
        <f ca="1">IFERROR(VALUE(IF(VLOOKUP($A122,数出表_Excel!$A$6:$T$150,COLUMN()/2+1,FALSE)=0,"",VLOOKUP($A122,数出表_Excel!$A$6:$T$150,COLUMN()/2+1,FALSE))),"")</f>
        <v/>
      </c>
      <c r="AI122" s="151"/>
      <c r="AJ122" s="149" t="str">
        <f ca="1">IFERROR(VALUE(IF(VLOOKUP($A122,数出表_Excel!$A$6:$T$150,COLUMN()/2+1,FALSE)=0,"",VLOOKUP($A122,数出表_Excel!$A$6:$T$150,COLUMN()/2+1,FALSE))),"")</f>
        <v/>
      </c>
      <c r="AK122" s="113"/>
      <c r="AL122" s="117" t="e">
        <f ca="1">IF(A122&lt;&gt;"",
IF(VLOOKUP($A122,数出表_Excel!$A$6:$T$150,COLUMN()/2+1,FALSE)=0,"",VLOOKUP($A122,数出表_Excel!$A$6:$T$150,COLUMN()/2+1,FALSE)),"")</f>
        <v>#N/A</v>
      </c>
      <c r="AM122" s="198" t="e">
        <f>数出表_Excel!V122</f>
        <v>#N/A</v>
      </c>
      <c r="AN122" s="199" t="e">
        <f>数出表_Excel!W122</f>
        <v>#N/A</v>
      </c>
    </row>
    <row r="123" spans="1:40" ht="16.2" customHeight="1">
      <c r="A123" s="161" t="e">
        <f t="array" aca="1" ref="A123" ca="1">IF(OR(COUNTIF(A121,"*1000*"),COUNTIF(A121,"")),"",INDEX(貼り付け用!$A1:$A200,MATCH(A121,貼り付け用!$A1:$A200,0)+2,0))</f>
        <v>#N/A</v>
      </c>
      <c r="B123" s="114" t="str">
        <f ca="1">IFERROR(VALUE(IF(VLOOKUP($A123,数出表_Excel!$A$6:$T$150,COLUMN()/2+1,FALSE)=0,"",VLOOKUP($A123,数出表_Excel!$A$6:$T$150,COLUMN()/2+1,FALSE))),"")</f>
        <v/>
      </c>
      <c r="C123" s="114"/>
      <c r="D123" s="114" t="str">
        <f ca="1">IFERROR(VALUE(IF(VLOOKUP($A123,数出表_Excel!$A$6:$T$150,COLUMN()/2+1,FALSE)=0,"",VLOOKUP($A123,数出表_Excel!$A$6:$T$150,COLUMN()/2+1,FALSE))),"")</f>
        <v/>
      </c>
      <c r="E123" s="114"/>
      <c r="F123" s="118" t="str">
        <f ca="1">IFERROR(VALUE(IF(VLOOKUP($A123,数出表_Excel!$A$6:$T$150,COLUMN()/2+1,FALSE)=0,"",VLOOKUP($A123,数出表_Excel!$A$6:$T$150,COLUMN()/2+1,FALSE))),"")</f>
        <v/>
      </c>
      <c r="G123" s="114"/>
      <c r="H123" s="114" t="str">
        <f ca="1">IFERROR(VALUE(IF(VLOOKUP($A123,数出表_Excel!$A$6:$T$150,COLUMN()/2+1,FALSE)=0,"",VLOOKUP($A123,数出表_Excel!$A$6:$T$150,COLUMN()/2+1,FALSE))),"")</f>
        <v/>
      </c>
      <c r="I123" s="114"/>
      <c r="J123" s="114" t="str">
        <f ca="1">IFERROR(VALUE(IF(VLOOKUP($A123,数出表_Excel!$A$6:$T$150,COLUMN()/2+1,FALSE)=0,"",VLOOKUP($A123,数出表_Excel!$A$6:$T$150,COLUMN()/2+1,FALSE))),"")</f>
        <v/>
      </c>
      <c r="K123" s="114"/>
      <c r="L123" s="118" t="str">
        <f ca="1">IFERROR(VALUE(IF(VLOOKUP($A123,数出表_Excel!$A$6:$T$150,COLUMN()/2+1,FALSE)=0,"",VLOOKUP($A123,数出表_Excel!$A$6:$T$150,COLUMN()/2+1,FALSE))),"")</f>
        <v/>
      </c>
      <c r="M123" s="114"/>
      <c r="N123" s="114" t="str">
        <f ca="1">IFERROR(VALUE(IF(VLOOKUP($A123,数出表_Excel!$A$6:$T$150,COLUMN()/2+1,FALSE)=0,"",VLOOKUP($A123,数出表_Excel!$A$6:$T$150,COLUMN()/2+1,FALSE))),"")</f>
        <v/>
      </c>
      <c r="O123" s="114"/>
      <c r="P123" s="114" t="str">
        <f ca="1">IFERROR(VALUE(IF(VLOOKUP($A123,数出表_Excel!$A$6:$T$150,COLUMN()/2+1,FALSE)=0,"",VLOOKUP($A123,数出表_Excel!$A$6:$T$150,COLUMN()/2+1,FALSE))),"")</f>
        <v/>
      </c>
      <c r="Q123" s="114"/>
      <c r="R123" s="114" t="str">
        <f ca="1">IFERROR(VALUE(IF(VLOOKUP($A123,数出表_Excel!$A$6:$T$150,COLUMN()/2+1,FALSE)=0,"",VLOOKUP($A123,数出表_Excel!$A$6:$T$150,COLUMN()/2+1,FALSE))),"")</f>
        <v/>
      </c>
      <c r="S123" s="114"/>
      <c r="T123" s="114" t="str">
        <f ca="1">IFERROR(VALUE(IF(VLOOKUP($A123,数出表_Excel!$A$6:$T$150,COLUMN()/2+1,FALSE)=0,"",VLOOKUP($A123,数出表_Excel!$A$6:$T$150,COLUMN()/2+1,FALSE))),"")</f>
        <v/>
      </c>
      <c r="U123" s="114"/>
      <c r="V123" s="118" t="str">
        <f ca="1">IFERROR(VALUE(IF(VLOOKUP($A123,数出表_Excel!$A$6:$T$150,COLUMN()/2+1,FALSE)=0,"",VLOOKUP($A123,数出表_Excel!$A$6:$T$150,COLUMN()/2+1,FALSE))),"")</f>
        <v/>
      </c>
      <c r="W123" s="114"/>
      <c r="X123" s="118" t="str">
        <f ca="1">IFERROR(VALUE(IF(VLOOKUP($A123,数出表_Excel!$A$6:$T$150,COLUMN()/2+1,FALSE)=0,"",VLOOKUP($A123,数出表_Excel!$A$6:$T$150,COLUMN()/2+1,FALSE))),"")</f>
        <v/>
      </c>
      <c r="Y123" s="114"/>
      <c r="Z123" s="118" t="str">
        <f ca="1">IFERROR(VALUE(IF(VLOOKUP($A123,数出表_Excel!$A$6:$T$150,COLUMN()/2+1,FALSE)=0,"",VLOOKUP($A123,数出表_Excel!$A$6:$T$150,COLUMN()/2+1,FALSE))),"")</f>
        <v/>
      </c>
      <c r="AA123" s="152"/>
      <c r="AB123" s="119" t="str">
        <f ca="1">IFERROR(VALUE(IF(VLOOKUP($A123,数出表_Excel!$A$6:$T$150,COLUMN()/2+1,FALSE)=0,"",VLOOKUP($A123,数出表_Excel!$A$6:$T$150,COLUMN()/2+1,FALSE))),"")</f>
        <v/>
      </c>
      <c r="AC123" s="114"/>
      <c r="AD123" s="118" t="str">
        <f ca="1">IFERROR(VALUE(IF(VLOOKUP($A123,数出表_Excel!$A$6:$T$150,COLUMN()/2+1,FALSE)=0,"",VLOOKUP($A123,数出表_Excel!$A$6:$T$150,COLUMN()/2+1,FALSE))),"")</f>
        <v/>
      </c>
      <c r="AE123" s="114"/>
      <c r="AF123" s="118" t="str">
        <f ca="1">IFERROR(VALUE(IF(VLOOKUP($A123,数出表_Excel!$A$6:$T$150,COLUMN()/2+1,FALSE)=0,"",VLOOKUP($A123,数出表_Excel!$A$6:$T$150,COLUMN()/2+1,FALSE))),"")</f>
        <v/>
      </c>
      <c r="AG123" s="114"/>
      <c r="AH123" s="118" t="str">
        <f ca="1">IFERROR(VALUE(IF(VLOOKUP($A123,数出表_Excel!$A$6:$T$150,COLUMN()/2+1,FALSE)=0,"",VLOOKUP($A123,数出表_Excel!$A$6:$T$150,COLUMN()/2+1,FALSE))),"")</f>
        <v/>
      </c>
      <c r="AI123" s="152"/>
      <c r="AJ123" s="119" t="str">
        <f ca="1">IFERROR(VALUE(IF(VLOOKUP($A123,数出表_Excel!$A$6:$T$150,COLUMN()/2+1,FALSE)=0,"",VLOOKUP($A123,数出表_Excel!$A$6:$T$150,COLUMN()/2+1,FALSE))),"")</f>
        <v/>
      </c>
      <c r="AK123" s="114"/>
      <c r="AL123" s="120" t="e">
        <f ca="1">IF(A123&lt;&gt;"",
IF(VLOOKUP($A123,数出表_Excel!$A$6:$T$150,COLUMN()/2+1,FALSE)=0,"",VLOOKUP($A123,数出表_Excel!$A$6:$T$150,COLUMN()/2+1,FALSE)),"")</f>
        <v>#N/A</v>
      </c>
      <c r="AM123" s="200" t="e">
        <f>数出表_Excel!V123</f>
        <v>#N/A</v>
      </c>
      <c r="AN123" s="201" t="e">
        <f>数出表_Excel!W123</f>
        <v>#N/A</v>
      </c>
    </row>
    <row r="124" spans="1:40" ht="16.2" customHeight="1">
      <c r="A124" s="160" t="e">
        <f t="array" aca="1" ref="A124" ca="1">IF(OR(COUNTIF(A122,"*10002*"),COUNTIF(A122,"")),"",INDEX(貼り付け用!$A1:$A200,MATCH(A122,貼り付け用!$A1:$A200,0)+2,0))</f>
        <v>#N/A</v>
      </c>
      <c r="B124" s="148" t="str">
        <f ca="1">IFERROR(VALUE(IF(VLOOKUP($A124,数出表_Excel!$A$6:$T$150,COLUMN()/2+1,FALSE)=0,"",VLOOKUP($A124,数出表_Excel!$A$6:$T$150,COLUMN()/2+1,FALSE))),"")</f>
        <v/>
      </c>
      <c r="C124" s="113"/>
      <c r="D124" s="148" t="str">
        <f ca="1">IFERROR(VALUE(IF(VLOOKUP($A124,数出表_Excel!$A$6:$T$150,COLUMN()/2+1,FALSE)=0,"",VLOOKUP($A124,数出表_Excel!$A$6:$T$150,COLUMN()/2+1,FALSE))),"")</f>
        <v/>
      </c>
      <c r="E124" s="113"/>
      <c r="F124" s="150" t="str">
        <f ca="1">IFERROR(VALUE(IF(VLOOKUP($A124,数出表_Excel!$A$6:$T$150,COLUMN()/2+1,FALSE)=0,"",VLOOKUP($A124,数出表_Excel!$A$6:$T$150,COLUMN()/2+1,FALSE))),"")</f>
        <v/>
      </c>
      <c r="G124" s="113"/>
      <c r="H124" s="148" t="str">
        <f ca="1">IFERROR(VALUE(IF(VLOOKUP($A124,数出表_Excel!$A$6:$T$150,COLUMN()/2+1,FALSE)=0,"",VLOOKUP($A124,数出表_Excel!$A$6:$T$150,COLUMN()/2+1,FALSE))),"")</f>
        <v/>
      </c>
      <c r="I124" s="113"/>
      <c r="J124" s="148" t="str">
        <f ca="1">IFERROR(VALUE(IF(VLOOKUP($A124,数出表_Excel!$A$6:$T$150,COLUMN()/2+1,FALSE)=0,"",VLOOKUP($A124,数出表_Excel!$A$6:$T$150,COLUMN()/2+1,FALSE))),"")</f>
        <v/>
      </c>
      <c r="K124" s="113"/>
      <c r="L124" s="150" t="str">
        <f ca="1">IFERROR(VALUE(IF(VLOOKUP($A124,数出表_Excel!$A$6:$T$150,COLUMN()/2+1,FALSE)=0,"",VLOOKUP($A124,数出表_Excel!$A$6:$T$150,COLUMN()/2+1,FALSE))),"")</f>
        <v/>
      </c>
      <c r="M124" s="113"/>
      <c r="N124" s="148" t="str">
        <f ca="1">IFERROR(VALUE(IF(VLOOKUP($A124,数出表_Excel!$A$6:$T$150,COLUMN()/2+1,FALSE)=0,"",VLOOKUP($A124,数出表_Excel!$A$6:$T$150,COLUMN()/2+1,FALSE))),"")</f>
        <v/>
      </c>
      <c r="O124" s="113"/>
      <c r="P124" s="148" t="str">
        <f ca="1">IFERROR(VALUE(IF(VLOOKUP($A124,数出表_Excel!$A$6:$T$150,COLUMN()/2+1,FALSE)=0,"",VLOOKUP($A124,数出表_Excel!$A$6:$T$150,COLUMN()/2+1,FALSE))),"")</f>
        <v/>
      </c>
      <c r="Q124" s="113"/>
      <c r="R124" s="148" t="str">
        <f ca="1">IFERROR(VALUE(IF(VLOOKUP($A124,数出表_Excel!$A$6:$T$150,COLUMN()/2+1,FALSE)=0,"",VLOOKUP($A124,数出表_Excel!$A$6:$T$150,COLUMN()/2+1,FALSE))),"")</f>
        <v/>
      </c>
      <c r="S124" s="113"/>
      <c r="T124" s="148" t="str">
        <f ca="1">IFERROR(VALUE(IF(VLOOKUP($A124,数出表_Excel!$A$6:$T$150,COLUMN()/2+1,FALSE)=0,"",VLOOKUP($A124,数出表_Excel!$A$6:$T$150,COLUMN()/2+1,FALSE))),"")</f>
        <v/>
      </c>
      <c r="U124" s="113"/>
      <c r="V124" s="150" t="str">
        <f ca="1">IFERROR(VALUE(IF(VLOOKUP($A124,数出表_Excel!$A$6:$T$150,COLUMN()/2+1,FALSE)=0,"",VLOOKUP($A124,数出表_Excel!$A$6:$T$150,COLUMN()/2+1,FALSE))),"")</f>
        <v/>
      </c>
      <c r="W124" s="113"/>
      <c r="X124" s="150" t="str">
        <f ca="1">IFERROR(VALUE(IF(VLOOKUP($A124,数出表_Excel!$A$6:$T$150,COLUMN()/2+1,FALSE)=0,"",VLOOKUP($A124,数出表_Excel!$A$6:$T$150,COLUMN()/2+1,FALSE))),"")</f>
        <v/>
      </c>
      <c r="Y124" s="113"/>
      <c r="Z124" s="150" t="str">
        <f ca="1">IFERROR(VALUE(IF(VLOOKUP($A124,数出表_Excel!$A$6:$T$150,COLUMN()/2+1,FALSE)=0,"",VLOOKUP($A124,数出表_Excel!$A$6:$T$150,COLUMN()/2+1,FALSE))),"")</f>
        <v/>
      </c>
      <c r="AA124" s="151"/>
      <c r="AB124" s="149" t="str">
        <f ca="1">IFERROR(VALUE(IF(VLOOKUP($A124,数出表_Excel!$A$6:$T$150,COLUMN()/2+1,FALSE)=0,"",VLOOKUP($A124,数出表_Excel!$A$6:$T$150,COLUMN()/2+1,FALSE))),"")</f>
        <v/>
      </c>
      <c r="AC124" s="113"/>
      <c r="AD124" s="150" t="str">
        <f ca="1">IFERROR(VALUE(IF(VLOOKUP($A124,数出表_Excel!$A$6:$T$150,COLUMN()/2+1,FALSE)=0,"",VLOOKUP($A124,数出表_Excel!$A$6:$T$150,COLUMN()/2+1,FALSE))),"")</f>
        <v/>
      </c>
      <c r="AE124" s="113"/>
      <c r="AF124" s="150" t="str">
        <f ca="1">IFERROR(VALUE(IF(VLOOKUP($A124,数出表_Excel!$A$6:$T$150,COLUMN()/2+1,FALSE)=0,"",VLOOKUP($A124,数出表_Excel!$A$6:$T$150,COLUMN()/2+1,FALSE))),"")</f>
        <v/>
      </c>
      <c r="AG124" s="113"/>
      <c r="AH124" s="150" t="str">
        <f ca="1">IFERROR(VALUE(IF(VLOOKUP($A124,数出表_Excel!$A$6:$T$150,COLUMN()/2+1,FALSE)=0,"",VLOOKUP($A124,数出表_Excel!$A$6:$T$150,COLUMN()/2+1,FALSE))),"")</f>
        <v/>
      </c>
      <c r="AI124" s="151"/>
      <c r="AJ124" s="149" t="str">
        <f ca="1">IFERROR(VALUE(IF(VLOOKUP($A124,数出表_Excel!$A$6:$T$150,COLUMN()/2+1,FALSE)=0,"",VLOOKUP($A124,数出表_Excel!$A$6:$T$150,COLUMN()/2+1,FALSE))),"")</f>
        <v/>
      </c>
      <c r="AK124" s="113"/>
      <c r="AL124" s="117" t="e">
        <f ca="1">IF(A124&lt;&gt;"",
IF(VLOOKUP($A124,数出表_Excel!$A$6:$T$150,COLUMN()/2+1,FALSE)=0,"",VLOOKUP($A124,数出表_Excel!$A$6:$T$150,COLUMN()/2+1,FALSE)),"")</f>
        <v>#N/A</v>
      </c>
      <c r="AM124" s="198" t="e">
        <f>数出表_Excel!V124</f>
        <v>#N/A</v>
      </c>
      <c r="AN124" s="199" t="e">
        <f>数出表_Excel!W124</f>
        <v>#N/A</v>
      </c>
    </row>
    <row r="125" spans="1:40" ht="16.2" customHeight="1">
      <c r="A125" s="161" t="e">
        <f t="array" aca="1" ref="A125" ca="1">IF(OR(COUNTIF(A123,"*1000*"),COUNTIF(A123,"")),"",INDEX(貼り付け用!$A1:$A200,MATCH(A123,貼り付け用!$A1:$A200,0)+2,0))</f>
        <v>#N/A</v>
      </c>
      <c r="B125" s="114" t="str">
        <f ca="1">IFERROR(VALUE(IF(VLOOKUP($A125,数出表_Excel!$A$6:$T$150,COLUMN()/2+1,FALSE)=0,"",VLOOKUP($A125,数出表_Excel!$A$6:$T$150,COLUMN()/2+1,FALSE))),"")</f>
        <v/>
      </c>
      <c r="C125" s="114"/>
      <c r="D125" s="114" t="str">
        <f ca="1">IFERROR(VALUE(IF(VLOOKUP($A125,数出表_Excel!$A$6:$T$150,COLUMN()/2+1,FALSE)=0,"",VLOOKUP($A125,数出表_Excel!$A$6:$T$150,COLUMN()/2+1,FALSE))),"")</f>
        <v/>
      </c>
      <c r="E125" s="114"/>
      <c r="F125" s="118" t="str">
        <f ca="1">IFERROR(VALUE(IF(VLOOKUP($A125,数出表_Excel!$A$6:$T$150,COLUMN()/2+1,FALSE)=0,"",VLOOKUP($A125,数出表_Excel!$A$6:$T$150,COLUMN()/2+1,FALSE))),"")</f>
        <v/>
      </c>
      <c r="G125" s="114"/>
      <c r="H125" s="114" t="str">
        <f ca="1">IFERROR(VALUE(IF(VLOOKUP($A125,数出表_Excel!$A$6:$T$150,COLUMN()/2+1,FALSE)=0,"",VLOOKUP($A125,数出表_Excel!$A$6:$T$150,COLUMN()/2+1,FALSE))),"")</f>
        <v/>
      </c>
      <c r="I125" s="114"/>
      <c r="J125" s="114" t="str">
        <f ca="1">IFERROR(VALUE(IF(VLOOKUP($A125,数出表_Excel!$A$6:$T$150,COLUMN()/2+1,FALSE)=0,"",VLOOKUP($A125,数出表_Excel!$A$6:$T$150,COLUMN()/2+1,FALSE))),"")</f>
        <v/>
      </c>
      <c r="K125" s="114"/>
      <c r="L125" s="118" t="str">
        <f ca="1">IFERROR(VALUE(IF(VLOOKUP($A125,数出表_Excel!$A$6:$T$150,COLUMN()/2+1,FALSE)=0,"",VLOOKUP($A125,数出表_Excel!$A$6:$T$150,COLUMN()/2+1,FALSE))),"")</f>
        <v/>
      </c>
      <c r="M125" s="114"/>
      <c r="N125" s="114" t="str">
        <f ca="1">IFERROR(VALUE(IF(VLOOKUP($A125,数出表_Excel!$A$6:$T$150,COLUMN()/2+1,FALSE)=0,"",VLOOKUP($A125,数出表_Excel!$A$6:$T$150,COLUMN()/2+1,FALSE))),"")</f>
        <v/>
      </c>
      <c r="O125" s="114"/>
      <c r="P125" s="114" t="str">
        <f ca="1">IFERROR(VALUE(IF(VLOOKUP($A125,数出表_Excel!$A$6:$T$150,COLUMN()/2+1,FALSE)=0,"",VLOOKUP($A125,数出表_Excel!$A$6:$T$150,COLUMN()/2+1,FALSE))),"")</f>
        <v/>
      </c>
      <c r="Q125" s="114"/>
      <c r="R125" s="114" t="str">
        <f ca="1">IFERROR(VALUE(IF(VLOOKUP($A125,数出表_Excel!$A$6:$T$150,COLUMN()/2+1,FALSE)=0,"",VLOOKUP($A125,数出表_Excel!$A$6:$T$150,COLUMN()/2+1,FALSE))),"")</f>
        <v/>
      </c>
      <c r="S125" s="114"/>
      <c r="T125" s="114" t="str">
        <f ca="1">IFERROR(VALUE(IF(VLOOKUP($A125,数出表_Excel!$A$6:$T$150,COLUMN()/2+1,FALSE)=0,"",VLOOKUP($A125,数出表_Excel!$A$6:$T$150,COLUMN()/2+1,FALSE))),"")</f>
        <v/>
      </c>
      <c r="U125" s="114"/>
      <c r="V125" s="118" t="str">
        <f ca="1">IFERROR(VALUE(IF(VLOOKUP($A125,数出表_Excel!$A$6:$T$150,COLUMN()/2+1,FALSE)=0,"",VLOOKUP($A125,数出表_Excel!$A$6:$T$150,COLUMN()/2+1,FALSE))),"")</f>
        <v/>
      </c>
      <c r="W125" s="114"/>
      <c r="X125" s="118" t="str">
        <f ca="1">IFERROR(VALUE(IF(VLOOKUP($A125,数出表_Excel!$A$6:$T$150,COLUMN()/2+1,FALSE)=0,"",VLOOKUP($A125,数出表_Excel!$A$6:$T$150,COLUMN()/2+1,FALSE))),"")</f>
        <v/>
      </c>
      <c r="Y125" s="114"/>
      <c r="Z125" s="118" t="str">
        <f ca="1">IFERROR(VALUE(IF(VLOOKUP($A125,数出表_Excel!$A$6:$T$150,COLUMN()/2+1,FALSE)=0,"",VLOOKUP($A125,数出表_Excel!$A$6:$T$150,COLUMN()/2+1,FALSE))),"")</f>
        <v/>
      </c>
      <c r="AA125" s="152"/>
      <c r="AB125" s="119" t="str">
        <f ca="1">IFERROR(VALUE(IF(VLOOKUP($A125,数出表_Excel!$A$6:$T$150,COLUMN()/2+1,FALSE)=0,"",VLOOKUP($A125,数出表_Excel!$A$6:$T$150,COLUMN()/2+1,FALSE))),"")</f>
        <v/>
      </c>
      <c r="AC125" s="114"/>
      <c r="AD125" s="118" t="str">
        <f ca="1">IFERROR(VALUE(IF(VLOOKUP($A125,数出表_Excel!$A$6:$T$150,COLUMN()/2+1,FALSE)=0,"",VLOOKUP($A125,数出表_Excel!$A$6:$T$150,COLUMN()/2+1,FALSE))),"")</f>
        <v/>
      </c>
      <c r="AE125" s="114"/>
      <c r="AF125" s="118" t="str">
        <f ca="1">IFERROR(VALUE(IF(VLOOKUP($A125,数出表_Excel!$A$6:$T$150,COLUMN()/2+1,FALSE)=0,"",VLOOKUP($A125,数出表_Excel!$A$6:$T$150,COLUMN()/2+1,FALSE))),"")</f>
        <v/>
      </c>
      <c r="AG125" s="114"/>
      <c r="AH125" s="118" t="str">
        <f ca="1">IFERROR(VALUE(IF(VLOOKUP($A125,数出表_Excel!$A$6:$T$150,COLUMN()/2+1,FALSE)=0,"",VLOOKUP($A125,数出表_Excel!$A$6:$T$150,COLUMN()/2+1,FALSE))),"")</f>
        <v/>
      </c>
      <c r="AI125" s="152"/>
      <c r="AJ125" s="119" t="str">
        <f ca="1">IFERROR(VALUE(IF(VLOOKUP($A125,数出表_Excel!$A$6:$T$150,COLUMN()/2+1,FALSE)=0,"",VLOOKUP($A125,数出表_Excel!$A$6:$T$150,COLUMN()/2+1,FALSE))),"")</f>
        <v/>
      </c>
      <c r="AK125" s="114"/>
      <c r="AL125" s="120" t="e">
        <f ca="1">IF(A125&lt;&gt;"",
IF(VLOOKUP($A125,数出表_Excel!$A$6:$T$150,COLUMN()/2+1,FALSE)=0,"",VLOOKUP($A125,数出表_Excel!$A$6:$T$150,COLUMN()/2+1,FALSE)),"")</f>
        <v>#N/A</v>
      </c>
      <c r="AM125" s="200" t="e">
        <f>数出表_Excel!V125</f>
        <v>#N/A</v>
      </c>
      <c r="AN125" s="201" t="e">
        <f>数出表_Excel!W125</f>
        <v>#N/A</v>
      </c>
    </row>
    <row r="126" spans="1:40" ht="16.2" customHeight="1">
      <c r="A126" s="160" t="e">
        <f t="array" aca="1" ref="A126" ca="1">IF(OR(COUNTIF(A124,"*10002*"),COUNTIF(A124,"")),"",INDEX(貼り付け用!$A1:$A200,MATCH(A124,貼り付け用!$A1:$A200,0)+2,0))</f>
        <v>#N/A</v>
      </c>
      <c r="B126" s="148" t="str">
        <f ca="1">IFERROR(VALUE(IF(VLOOKUP($A126,数出表_Excel!$A$6:$T$150,COLUMN()/2+1,FALSE)=0,"",VLOOKUP($A126,数出表_Excel!$A$6:$T$150,COLUMN()/2+1,FALSE))),"")</f>
        <v/>
      </c>
      <c r="C126" s="113"/>
      <c r="D126" s="148" t="str">
        <f ca="1">IFERROR(VALUE(IF(VLOOKUP($A126,数出表_Excel!$A$6:$T$150,COLUMN()/2+1,FALSE)=0,"",VLOOKUP($A126,数出表_Excel!$A$6:$T$150,COLUMN()/2+1,FALSE))),"")</f>
        <v/>
      </c>
      <c r="E126" s="113"/>
      <c r="F126" s="150" t="str">
        <f ca="1">IFERROR(VALUE(IF(VLOOKUP($A126,数出表_Excel!$A$6:$T$150,COLUMN()/2+1,FALSE)=0,"",VLOOKUP($A126,数出表_Excel!$A$6:$T$150,COLUMN()/2+1,FALSE))),"")</f>
        <v/>
      </c>
      <c r="G126" s="113"/>
      <c r="H126" s="148" t="str">
        <f ca="1">IFERROR(VALUE(IF(VLOOKUP($A126,数出表_Excel!$A$6:$T$150,COLUMN()/2+1,FALSE)=0,"",VLOOKUP($A126,数出表_Excel!$A$6:$T$150,COLUMN()/2+1,FALSE))),"")</f>
        <v/>
      </c>
      <c r="I126" s="113"/>
      <c r="J126" s="148" t="str">
        <f ca="1">IFERROR(VALUE(IF(VLOOKUP($A126,数出表_Excel!$A$6:$T$150,COLUMN()/2+1,FALSE)=0,"",VLOOKUP($A126,数出表_Excel!$A$6:$T$150,COLUMN()/2+1,FALSE))),"")</f>
        <v/>
      </c>
      <c r="K126" s="113"/>
      <c r="L126" s="150" t="str">
        <f ca="1">IFERROR(VALUE(IF(VLOOKUP($A126,数出表_Excel!$A$6:$T$150,COLUMN()/2+1,FALSE)=0,"",VLOOKUP($A126,数出表_Excel!$A$6:$T$150,COLUMN()/2+1,FALSE))),"")</f>
        <v/>
      </c>
      <c r="M126" s="113"/>
      <c r="N126" s="148" t="str">
        <f ca="1">IFERROR(VALUE(IF(VLOOKUP($A126,数出表_Excel!$A$6:$T$150,COLUMN()/2+1,FALSE)=0,"",VLOOKUP($A126,数出表_Excel!$A$6:$T$150,COLUMN()/2+1,FALSE))),"")</f>
        <v/>
      </c>
      <c r="O126" s="113"/>
      <c r="P126" s="148" t="str">
        <f ca="1">IFERROR(VALUE(IF(VLOOKUP($A126,数出表_Excel!$A$6:$T$150,COLUMN()/2+1,FALSE)=0,"",VLOOKUP($A126,数出表_Excel!$A$6:$T$150,COLUMN()/2+1,FALSE))),"")</f>
        <v/>
      </c>
      <c r="Q126" s="113"/>
      <c r="R126" s="148" t="str">
        <f ca="1">IFERROR(VALUE(IF(VLOOKUP($A126,数出表_Excel!$A$6:$T$150,COLUMN()/2+1,FALSE)=0,"",VLOOKUP($A126,数出表_Excel!$A$6:$T$150,COLUMN()/2+1,FALSE))),"")</f>
        <v/>
      </c>
      <c r="S126" s="113"/>
      <c r="T126" s="148" t="str">
        <f ca="1">IFERROR(VALUE(IF(VLOOKUP($A126,数出表_Excel!$A$6:$T$150,COLUMN()/2+1,FALSE)=0,"",VLOOKUP($A126,数出表_Excel!$A$6:$T$150,COLUMN()/2+1,FALSE))),"")</f>
        <v/>
      </c>
      <c r="U126" s="113"/>
      <c r="V126" s="150" t="str">
        <f ca="1">IFERROR(VALUE(IF(VLOOKUP($A126,数出表_Excel!$A$6:$T$150,COLUMN()/2+1,FALSE)=0,"",VLOOKUP($A126,数出表_Excel!$A$6:$T$150,COLUMN()/2+1,FALSE))),"")</f>
        <v/>
      </c>
      <c r="W126" s="113"/>
      <c r="X126" s="150" t="str">
        <f ca="1">IFERROR(VALUE(IF(VLOOKUP($A126,数出表_Excel!$A$6:$T$150,COLUMN()/2+1,FALSE)=0,"",VLOOKUP($A126,数出表_Excel!$A$6:$T$150,COLUMN()/2+1,FALSE))),"")</f>
        <v/>
      </c>
      <c r="Y126" s="113"/>
      <c r="Z126" s="150" t="str">
        <f ca="1">IFERROR(VALUE(IF(VLOOKUP($A126,数出表_Excel!$A$6:$T$150,COLUMN()/2+1,FALSE)=0,"",VLOOKUP($A126,数出表_Excel!$A$6:$T$150,COLUMN()/2+1,FALSE))),"")</f>
        <v/>
      </c>
      <c r="AA126" s="151"/>
      <c r="AB126" s="149" t="str">
        <f ca="1">IFERROR(VALUE(IF(VLOOKUP($A126,数出表_Excel!$A$6:$T$150,COLUMN()/2+1,FALSE)=0,"",VLOOKUP($A126,数出表_Excel!$A$6:$T$150,COLUMN()/2+1,FALSE))),"")</f>
        <v/>
      </c>
      <c r="AC126" s="113"/>
      <c r="AD126" s="150" t="str">
        <f ca="1">IFERROR(VALUE(IF(VLOOKUP($A126,数出表_Excel!$A$6:$T$150,COLUMN()/2+1,FALSE)=0,"",VLOOKUP($A126,数出表_Excel!$A$6:$T$150,COLUMN()/2+1,FALSE))),"")</f>
        <v/>
      </c>
      <c r="AE126" s="113"/>
      <c r="AF126" s="150" t="str">
        <f ca="1">IFERROR(VALUE(IF(VLOOKUP($A126,数出表_Excel!$A$6:$T$150,COLUMN()/2+1,FALSE)=0,"",VLOOKUP($A126,数出表_Excel!$A$6:$T$150,COLUMN()/2+1,FALSE))),"")</f>
        <v/>
      </c>
      <c r="AG126" s="113"/>
      <c r="AH126" s="150" t="str">
        <f ca="1">IFERROR(VALUE(IF(VLOOKUP($A126,数出表_Excel!$A$6:$T$150,COLUMN()/2+1,FALSE)=0,"",VLOOKUP($A126,数出表_Excel!$A$6:$T$150,COLUMN()/2+1,FALSE))),"")</f>
        <v/>
      </c>
      <c r="AI126" s="151"/>
      <c r="AJ126" s="149" t="str">
        <f ca="1">IFERROR(VALUE(IF(VLOOKUP($A126,数出表_Excel!$A$6:$T$150,COLUMN()/2+1,FALSE)=0,"",VLOOKUP($A126,数出表_Excel!$A$6:$T$150,COLUMN()/2+1,FALSE))),"")</f>
        <v/>
      </c>
      <c r="AK126" s="113"/>
      <c r="AL126" s="117" t="e">
        <f ca="1">IF(A126&lt;&gt;"",
IF(VLOOKUP($A126,数出表_Excel!$A$6:$T$150,COLUMN()/2+1,FALSE)=0,"",VLOOKUP($A126,数出表_Excel!$A$6:$T$150,COLUMN()/2+1,FALSE)),"")</f>
        <v>#N/A</v>
      </c>
      <c r="AM126" s="198" t="e">
        <f>数出表_Excel!V126</f>
        <v>#N/A</v>
      </c>
      <c r="AN126" s="199" t="e">
        <f>数出表_Excel!W126</f>
        <v>#N/A</v>
      </c>
    </row>
    <row r="127" spans="1:40" ht="16.2" customHeight="1">
      <c r="A127" s="161" t="e">
        <f t="array" aca="1" ref="A127" ca="1">IF(OR(COUNTIF(A125,"*1000*"),COUNTIF(A125,"")),"",INDEX(貼り付け用!$A1:$A200,MATCH(A125,貼り付け用!$A1:$A200,0)+2,0))</f>
        <v>#N/A</v>
      </c>
      <c r="B127" s="114" t="str">
        <f ca="1">IFERROR(VALUE(IF(VLOOKUP($A127,数出表_Excel!$A$6:$T$150,COLUMN()/2+1,FALSE)=0,"",VLOOKUP($A127,数出表_Excel!$A$6:$T$150,COLUMN()/2+1,FALSE))),"")</f>
        <v/>
      </c>
      <c r="C127" s="114"/>
      <c r="D127" s="114" t="str">
        <f ca="1">IFERROR(VALUE(IF(VLOOKUP($A127,数出表_Excel!$A$6:$T$150,COLUMN()/2+1,FALSE)=0,"",VLOOKUP($A127,数出表_Excel!$A$6:$T$150,COLUMN()/2+1,FALSE))),"")</f>
        <v/>
      </c>
      <c r="E127" s="114"/>
      <c r="F127" s="118" t="str">
        <f ca="1">IFERROR(VALUE(IF(VLOOKUP($A127,数出表_Excel!$A$6:$T$150,COLUMN()/2+1,FALSE)=0,"",VLOOKUP($A127,数出表_Excel!$A$6:$T$150,COLUMN()/2+1,FALSE))),"")</f>
        <v/>
      </c>
      <c r="G127" s="114"/>
      <c r="H127" s="114" t="str">
        <f ca="1">IFERROR(VALUE(IF(VLOOKUP($A127,数出表_Excel!$A$6:$T$150,COLUMN()/2+1,FALSE)=0,"",VLOOKUP($A127,数出表_Excel!$A$6:$T$150,COLUMN()/2+1,FALSE))),"")</f>
        <v/>
      </c>
      <c r="I127" s="114"/>
      <c r="J127" s="114" t="str">
        <f ca="1">IFERROR(VALUE(IF(VLOOKUP($A127,数出表_Excel!$A$6:$T$150,COLUMN()/2+1,FALSE)=0,"",VLOOKUP($A127,数出表_Excel!$A$6:$T$150,COLUMN()/2+1,FALSE))),"")</f>
        <v/>
      </c>
      <c r="K127" s="114"/>
      <c r="L127" s="118" t="str">
        <f ca="1">IFERROR(VALUE(IF(VLOOKUP($A127,数出表_Excel!$A$6:$T$150,COLUMN()/2+1,FALSE)=0,"",VLOOKUP($A127,数出表_Excel!$A$6:$T$150,COLUMN()/2+1,FALSE))),"")</f>
        <v/>
      </c>
      <c r="M127" s="114"/>
      <c r="N127" s="114" t="str">
        <f ca="1">IFERROR(VALUE(IF(VLOOKUP($A127,数出表_Excel!$A$6:$T$150,COLUMN()/2+1,FALSE)=0,"",VLOOKUP($A127,数出表_Excel!$A$6:$T$150,COLUMN()/2+1,FALSE))),"")</f>
        <v/>
      </c>
      <c r="O127" s="114"/>
      <c r="P127" s="114" t="str">
        <f ca="1">IFERROR(VALUE(IF(VLOOKUP($A127,数出表_Excel!$A$6:$T$150,COLUMN()/2+1,FALSE)=0,"",VLOOKUP($A127,数出表_Excel!$A$6:$T$150,COLUMN()/2+1,FALSE))),"")</f>
        <v/>
      </c>
      <c r="Q127" s="114"/>
      <c r="R127" s="114" t="str">
        <f ca="1">IFERROR(VALUE(IF(VLOOKUP($A127,数出表_Excel!$A$6:$T$150,COLUMN()/2+1,FALSE)=0,"",VLOOKUP($A127,数出表_Excel!$A$6:$T$150,COLUMN()/2+1,FALSE))),"")</f>
        <v/>
      </c>
      <c r="S127" s="114"/>
      <c r="T127" s="114" t="str">
        <f ca="1">IFERROR(VALUE(IF(VLOOKUP($A127,数出表_Excel!$A$6:$T$150,COLUMN()/2+1,FALSE)=0,"",VLOOKUP($A127,数出表_Excel!$A$6:$T$150,COLUMN()/2+1,FALSE))),"")</f>
        <v/>
      </c>
      <c r="U127" s="114"/>
      <c r="V127" s="118" t="str">
        <f ca="1">IFERROR(VALUE(IF(VLOOKUP($A127,数出表_Excel!$A$6:$T$150,COLUMN()/2+1,FALSE)=0,"",VLOOKUP($A127,数出表_Excel!$A$6:$T$150,COLUMN()/2+1,FALSE))),"")</f>
        <v/>
      </c>
      <c r="W127" s="114"/>
      <c r="X127" s="118" t="str">
        <f ca="1">IFERROR(VALUE(IF(VLOOKUP($A127,数出表_Excel!$A$6:$T$150,COLUMN()/2+1,FALSE)=0,"",VLOOKUP($A127,数出表_Excel!$A$6:$T$150,COLUMN()/2+1,FALSE))),"")</f>
        <v/>
      </c>
      <c r="Y127" s="114"/>
      <c r="Z127" s="118" t="str">
        <f ca="1">IFERROR(VALUE(IF(VLOOKUP($A127,数出表_Excel!$A$6:$T$150,COLUMN()/2+1,FALSE)=0,"",VLOOKUP($A127,数出表_Excel!$A$6:$T$150,COLUMN()/2+1,FALSE))),"")</f>
        <v/>
      </c>
      <c r="AA127" s="152"/>
      <c r="AB127" s="119" t="str">
        <f ca="1">IFERROR(VALUE(IF(VLOOKUP($A127,数出表_Excel!$A$6:$T$150,COLUMN()/2+1,FALSE)=0,"",VLOOKUP($A127,数出表_Excel!$A$6:$T$150,COLUMN()/2+1,FALSE))),"")</f>
        <v/>
      </c>
      <c r="AC127" s="114"/>
      <c r="AD127" s="118" t="str">
        <f ca="1">IFERROR(VALUE(IF(VLOOKUP($A127,数出表_Excel!$A$6:$T$150,COLUMN()/2+1,FALSE)=0,"",VLOOKUP($A127,数出表_Excel!$A$6:$T$150,COLUMN()/2+1,FALSE))),"")</f>
        <v/>
      </c>
      <c r="AE127" s="114"/>
      <c r="AF127" s="118" t="str">
        <f ca="1">IFERROR(VALUE(IF(VLOOKUP($A127,数出表_Excel!$A$6:$T$150,COLUMN()/2+1,FALSE)=0,"",VLOOKUP($A127,数出表_Excel!$A$6:$T$150,COLUMN()/2+1,FALSE))),"")</f>
        <v/>
      </c>
      <c r="AG127" s="114"/>
      <c r="AH127" s="118" t="str">
        <f ca="1">IFERROR(VALUE(IF(VLOOKUP($A127,数出表_Excel!$A$6:$T$150,COLUMN()/2+1,FALSE)=0,"",VLOOKUP($A127,数出表_Excel!$A$6:$T$150,COLUMN()/2+1,FALSE))),"")</f>
        <v/>
      </c>
      <c r="AI127" s="152"/>
      <c r="AJ127" s="119" t="str">
        <f ca="1">IFERROR(VALUE(IF(VLOOKUP($A127,数出表_Excel!$A$6:$T$150,COLUMN()/2+1,FALSE)=0,"",VLOOKUP($A127,数出表_Excel!$A$6:$T$150,COLUMN()/2+1,FALSE))),"")</f>
        <v/>
      </c>
      <c r="AK127" s="114"/>
      <c r="AL127" s="120" t="e">
        <f ca="1">IF(A127&lt;&gt;"",
IF(VLOOKUP($A127,数出表_Excel!$A$6:$T$150,COLUMN()/2+1,FALSE)=0,"",VLOOKUP($A127,数出表_Excel!$A$6:$T$150,COLUMN()/2+1,FALSE)),"")</f>
        <v>#N/A</v>
      </c>
      <c r="AM127" s="200" t="e">
        <f>数出表_Excel!V127</f>
        <v>#N/A</v>
      </c>
      <c r="AN127" s="201" t="e">
        <f>数出表_Excel!W127</f>
        <v>#N/A</v>
      </c>
    </row>
    <row r="128" spans="1:40" ht="16.2" customHeight="1">
      <c r="A128" s="160" t="e">
        <f t="array" aca="1" ref="A128" ca="1">IF(OR(COUNTIF(A126,"*10002*"),COUNTIF(A126,"")),"",INDEX(貼り付け用!$A1:$A200,MATCH(A126,貼り付け用!$A1:$A200,0)+2,0))</f>
        <v>#N/A</v>
      </c>
      <c r="B128" s="148" t="str">
        <f ca="1">IFERROR(VALUE(IF(VLOOKUP($A128,数出表_Excel!$A$6:$T$150,COLUMN()/2+1,FALSE)=0,"",VLOOKUP($A128,数出表_Excel!$A$6:$T$150,COLUMN()/2+1,FALSE))),"")</f>
        <v/>
      </c>
      <c r="C128" s="113"/>
      <c r="D128" s="148" t="str">
        <f ca="1">IFERROR(VALUE(IF(VLOOKUP($A128,数出表_Excel!$A$6:$T$150,COLUMN()/2+1,FALSE)=0,"",VLOOKUP($A128,数出表_Excel!$A$6:$T$150,COLUMN()/2+1,FALSE))),"")</f>
        <v/>
      </c>
      <c r="E128" s="113"/>
      <c r="F128" s="150" t="str">
        <f ca="1">IFERROR(VALUE(IF(VLOOKUP($A128,数出表_Excel!$A$6:$T$150,COLUMN()/2+1,FALSE)=0,"",VLOOKUP($A128,数出表_Excel!$A$6:$T$150,COLUMN()/2+1,FALSE))),"")</f>
        <v/>
      </c>
      <c r="G128" s="113"/>
      <c r="H128" s="148" t="str">
        <f ca="1">IFERROR(VALUE(IF(VLOOKUP($A128,数出表_Excel!$A$6:$T$150,COLUMN()/2+1,FALSE)=0,"",VLOOKUP($A128,数出表_Excel!$A$6:$T$150,COLUMN()/2+1,FALSE))),"")</f>
        <v/>
      </c>
      <c r="I128" s="113"/>
      <c r="J128" s="148" t="str">
        <f ca="1">IFERROR(VALUE(IF(VLOOKUP($A128,数出表_Excel!$A$6:$T$150,COLUMN()/2+1,FALSE)=0,"",VLOOKUP($A128,数出表_Excel!$A$6:$T$150,COLUMN()/2+1,FALSE))),"")</f>
        <v/>
      </c>
      <c r="K128" s="113"/>
      <c r="L128" s="150" t="str">
        <f ca="1">IFERROR(VALUE(IF(VLOOKUP($A128,数出表_Excel!$A$6:$T$150,COLUMN()/2+1,FALSE)=0,"",VLOOKUP($A128,数出表_Excel!$A$6:$T$150,COLUMN()/2+1,FALSE))),"")</f>
        <v/>
      </c>
      <c r="M128" s="113"/>
      <c r="N128" s="148" t="str">
        <f ca="1">IFERROR(VALUE(IF(VLOOKUP($A128,数出表_Excel!$A$6:$T$150,COLUMN()/2+1,FALSE)=0,"",VLOOKUP($A128,数出表_Excel!$A$6:$T$150,COLUMN()/2+1,FALSE))),"")</f>
        <v/>
      </c>
      <c r="O128" s="113"/>
      <c r="P128" s="148" t="str">
        <f ca="1">IFERROR(VALUE(IF(VLOOKUP($A128,数出表_Excel!$A$6:$T$150,COLUMN()/2+1,FALSE)=0,"",VLOOKUP($A128,数出表_Excel!$A$6:$T$150,COLUMN()/2+1,FALSE))),"")</f>
        <v/>
      </c>
      <c r="Q128" s="113"/>
      <c r="R128" s="148" t="str">
        <f ca="1">IFERROR(VALUE(IF(VLOOKUP($A128,数出表_Excel!$A$6:$T$150,COLUMN()/2+1,FALSE)=0,"",VLOOKUP($A128,数出表_Excel!$A$6:$T$150,COLUMN()/2+1,FALSE))),"")</f>
        <v/>
      </c>
      <c r="S128" s="113"/>
      <c r="T128" s="148" t="str">
        <f ca="1">IFERROR(VALUE(IF(VLOOKUP($A128,数出表_Excel!$A$6:$T$150,COLUMN()/2+1,FALSE)=0,"",VLOOKUP($A128,数出表_Excel!$A$6:$T$150,COLUMN()/2+1,FALSE))),"")</f>
        <v/>
      </c>
      <c r="U128" s="113"/>
      <c r="V128" s="150" t="str">
        <f ca="1">IFERROR(VALUE(IF(VLOOKUP($A128,数出表_Excel!$A$6:$T$150,COLUMN()/2+1,FALSE)=0,"",VLOOKUP($A128,数出表_Excel!$A$6:$T$150,COLUMN()/2+1,FALSE))),"")</f>
        <v/>
      </c>
      <c r="W128" s="113"/>
      <c r="X128" s="150" t="str">
        <f ca="1">IFERROR(VALUE(IF(VLOOKUP($A128,数出表_Excel!$A$6:$T$150,COLUMN()/2+1,FALSE)=0,"",VLOOKUP($A128,数出表_Excel!$A$6:$T$150,COLUMN()/2+1,FALSE))),"")</f>
        <v/>
      </c>
      <c r="Y128" s="113"/>
      <c r="Z128" s="150" t="str">
        <f ca="1">IFERROR(VALUE(IF(VLOOKUP($A128,数出表_Excel!$A$6:$T$150,COLUMN()/2+1,FALSE)=0,"",VLOOKUP($A128,数出表_Excel!$A$6:$T$150,COLUMN()/2+1,FALSE))),"")</f>
        <v/>
      </c>
      <c r="AA128" s="151"/>
      <c r="AB128" s="149" t="str">
        <f ca="1">IFERROR(VALUE(IF(VLOOKUP($A128,数出表_Excel!$A$6:$T$150,COLUMN()/2+1,FALSE)=0,"",VLOOKUP($A128,数出表_Excel!$A$6:$T$150,COLUMN()/2+1,FALSE))),"")</f>
        <v/>
      </c>
      <c r="AC128" s="113"/>
      <c r="AD128" s="150" t="str">
        <f ca="1">IFERROR(VALUE(IF(VLOOKUP($A128,数出表_Excel!$A$6:$T$150,COLUMN()/2+1,FALSE)=0,"",VLOOKUP($A128,数出表_Excel!$A$6:$T$150,COLUMN()/2+1,FALSE))),"")</f>
        <v/>
      </c>
      <c r="AE128" s="113"/>
      <c r="AF128" s="150" t="str">
        <f ca="1">IFERROR(VALUE(IF(VLOOKUP($A128,数出表_Excel!$A$6:$T$150,COLUMN()/2+1,FALSE)=0,"",VLOOKUP($A128,数出表_Excel!$A$6:$T$150,COLUMN()/2+1,FALSE))),"")</f>
        <v/>
      </c>
      <c r="AG128" s="113"/>
      <c r="AH128" s="150" t="str">
        <f ca="1">IFERROR(VALUE(IF(VLOOKUP($A128,数出表_Excel!$A$6:$T$150,COLUMN()/2+1,FALSE)=0,"",VLOOKUP($A128,数出表_Excel!$A$6:$T$150,COLUMN()/2+1,FALSE))),"")</f>
        <v/>
      </c>
      <c r="AI128" s="151"/>
      <c r="AJ128" s="149" t="str">
        <f ca="1">IFERROR(VALUE(IF(VLOOKUP($A128,数出表_Excel!$A$6:$T$150,COLUMN()/2+1,FALSE)=0,"",VLOOKUP($A128,数出表_Excel!$A$6:$T$150,COLUMN()/2+1,FALSE))),"")</f>
        <v/>
      </c>
      <c r="AK128" s="113"/>
      <c r="AL128" s="117" t="e">
        <f ca="1">IF(A128&lt;&gt;"",
IF(VLOOKUP($A128,数出表_Excel!$A$6:$T$150,COLUMN()/2+1,FALSE)=0,"",VLOOKUP($A128,数出表_Excel!$A$6:$T$150,COLUMN()/2+1,FALSE)),"")</f>
        <v>#N/A</v>
      </c>
      <c r="AM128" s="198" t="e">
        <f>数出表_Excel!V128</f>
        <v>#N/A</v>
      </c>
      <c r="AN128" s="199" t="e">
        <f>数出表_Excel!W128</f>
        <v>#N/A</v>
      </c>
    </row>
    <row r="129" spans="1:40" ht="16.2" customHeight="1">
      <c r="A129" s="161" t="e">
        <f t="array" aca="1" ref="A129" ca="1">IF(OR(COUNTIF(A127,"*1000*"),COUNTIF(A127,"")),"",INDEX(貼り付け用!$A1:$A200,MATCH(A127,貼り付け用!$A1:$A200,0)+2,0))</f>
        <v>#N/A</v>
      </c>
      <c r="B129" s="114" t="str">
        <f ca="1">IFERROR(VALUE(IF(VLOOKUP($A129,数出表_Excel!$A$6:$T$150,COLUMN()/2+1,FALSE)=0,"",VLOOKUP($A129,数出表_Excel!$A$6:$T$150,COLUMN()/2+1,FALSE))),"")</f>
        <v/>
      </c>
      <c r="C129" s="114"/>
      <c r="D129" s="114" t="str">
        <f ca="1">IFERROR(VALUE(IF(VLOOKUP($A129,数出表_Excel!$A$6:$T$150,COLUMN()/2+1,FALSE)=0,"",VLOOKUP($A129,数出表_Excel!$A$6:$T$150,COLUMN()/2+1,FALSE))),"")</f>
        <v/>
      </c>
      <c r="E129" s="114"/>
      <c r="F129" s="118" t="str">
        <f ca="1">IFERROR(VALUE(IF(VLOOKUP($A129,数出表_Excel!$A$6:$T$150,COLUMN()/2+1,FALSE)=0,"",VLOOKUP($A129,数出表_Excel!$A$6:$T$150,COLUMN()/2+1,FALSE))),"")</f>
        <v/>
      </c>
      <c r="G129" s="114"/>
      <c r="H129" s="114" t="str">
        <f ca="1">IFERROR(VALUE(IF(VLOOKUP($A129,数出表_Excel!$A$6:$T$150,COLUMN()/2+1,FALSE)=0,"",VLOOKUP($A129,数出表_Excel!$A$6:$T$150,COLUMN()/2+1,FALSE))),"")</f>
        <v/>
      </c>
      <c r="I129" s="114"/>
      <c r="J129" s="114" t="str">
        <f ca="1">IFERROR(VALUE(IF(VLOOKUP($A129,数出表_Excel!$A$6:$T$150,COLUMN()/2+1,FALSE)=0,"",VLOOKUP($A129,数出表_Excel!$A$6:$T$150,COLUMN()/2+1,FALSE))),"")</f>
        <v/>
      </c>
      <c r="K129" s="114"/>
      <c r="L129" s="118" t="str">
        <f ca="1">IFERROR(VALUE(IF(VLOOKUP($A129,数出表_Excel!$A$6:$T$150,COLUMN()/2+1,FALSE)=0,"",VLOOKUP($A129,数出表_Excel!$A$6:$T$150,COLUMN()/2+1,FALSE))),"")</f>
        <v/>
      </c>
      <c r="M129" s="114"/>
      <c r="N129" s="114" t="str">
        <f ca="1">IFERROR(VALUE(IF(VLOOKUP($A129,数出表_Excel!$A$6:$T$150,COLUMN()/2+1,FALSE)=0,"",VLOOKUP($A129,数出表_Excel!$A$6:$T$150,COLUMN()/2+1,FALSE))),"")</f>
        <v/>
      </c>
      <c r="O129" s="114"/>
      <c r="P129" s="114" t="str">
        <f ca="1">IFERROR(VALUE(IF(VLOOKUP($A129,数出表_Excel!$A$6:$T$150,COLUMN()/2+1,FALSE)=0,"",VLOOKUP($A129,数出表_Excel!$A$6:$T$150,COLUMN()/2+1,FALSE))),"")</f>
        <v/>
      </c>
      <c r="Q129" s="114"/>
      <c r="R129" s="114" t="str">
        <f ca="1">IFERROR(VALUE(IF(VLOOKUP($A129,数出表_Excel!$A$6:$T$150,COLUMN()/2+1,FALSE)=0,"",VLOOKUP($A129,数出表_Excel!$A$6:$T$150,COLUMN()/2+1,FALSE))),"")</f>
        <v/>
      </c>
      <c r="S129" s="114"/>
      <c r="T129" s="114" t="str">
        <f ca="1">IFERROR(VALUE(IF(VLOOKUP($A129,数出表_Excel!$A$6:$T$150,COLUMN()/2+1,FALSE)=0,"",VLOOKUP($A129,数出表_Excel!$A$6:$T$150,COLUMN()/2+1,FALSE))),"")</f>
        <v/>
      </c>
      <c r="U129" s="114"/>
      <c r="V129" s="118" t="str">
        <f ca="1">IFERROR(VALUE(IF(VLOOKUP($A129,数出表_Excel!$A$6:$T$150,COLUMN()/2+1,FALSE)=0,"",VLOOKUP($A129,数出表_Excel!$A$6:$T$150,COLUMN()/2+1,FALSE))),"")</f>
        <v/>
      </c>
      <c r="W129" s="114"/>
      <c r="X129" s="118" t="str">
        <f ca="1">IFERROR(VALUE(IF(VLOOKUP($A129,数出表_Excel!$A$6:$T$150,COLUMN()/2+1,FALSE)=0,"",VLOOKUP($A129,数出表_Excel!$A$6:$T$150,COLUMN()/2+1,FALSE))),"")</f>
        <v/>
      </c>
      <c r="Y129" s="114"/>
      <c r="Z129" s="118" t="str">
        <f ca="1">IFERROR(VALUE(IF(VLOOKUP($A129,数出表_Excel!$A$6:$T$150,COLUMN()/2+1,FALSE)=0,"",VLOOKUP($A129,数出表_Excel!$A$6:$T$150,COLUMN()/2+1,FALSE))),"")</f>
        <v/>
      </c>
      <c r="AA129" s="152"/>
      <c r="AB129" s="119" t="str">
        <f ca="1">IFERROR(VALUE(IF(VLOOKUP($A129,数出表_Excel!$A$6:$T$150,COLUMN()/2+1,FALSE)=0,"",VLOOKUP($A129,数出表_Excel!$A$6:$T$150,COLUMN()/2+1,FALSE))),"")</f>
        <v/>
      </c>
      <c r="AC129" s="114"/>
      <c r="AD129" s="118" t="str">
        <f ca="1">IFERROR(VALUE(IF(VLOOKUP($A129,数出表_Excel!$A$6:$T$150,COLUMN()/2+1,FALSE)=0,"",VLOOKUP($A129,数出表_Excel!$A$6:$T$150,COLUMN()/2+1,FALSE))),"")</f>
        <v/>
      </c>
      <c r="AE129" s="114"/>
      <c r="AF129" s="118" t="str">
        <f ca="1">IFERROR(VALUE(IF(VLOOKUP($A129,数出表_Excel!$A$6:$T$150,COLUMN()/2+1,FALSE)=0,"",VLOOKUP($A129,数出表_Excel!$A$6:$T$150,COLUMN()/2+1,FALSE))),"")</f>
        <v/>
      </c>
      <c r="AG129" s="114"/>
      <c r="AH129" s="118" t="str">
        <f ca="1">IFERROR(VALUE(IF(VLOOKUP($A129,数出表_Excel!$A$6:$T$150,COLUMN()/2+1,FALSE)=0,"",VLOOKUP($A129,数出表_Excel!$A$6:$T$150,COLUMN()/2+1,FALSE))),"")</f>
        <v/>
      </c>
      <c r="AI129" s="152"/>
      <c r="AJ129" s="119" t="str">
        <f ca="1">IFERROR(VALUE(IF(VLOOKUP($A129,数出表_Excel!$A$6:$T$150,COLUMN()/2+1,FALSE)=0,"",VLOOKUP($A129,数出表_Excel!$A$6:$T$150,COLUMN()/2+1,FALSE))),"")</f>
        <v/>
      </c>
      <c r="AK129" s="114"/>
      <c r="AL129" s="120" t="e">
        <f ca="1">IF(A129&lt;&gt;"",
IF(VLOOKUP($A129,数出表_Excel!$A$6:$T$150,COLUMN()/2+1,FALSE)=0,"",VLOOKUP($A129,数出表_Excel!$A$6:$T$150,COLUMN()/2+1,FALSE)),"")</f>
        <v>#N/A</v>
      </c>
      <c r="AM129" s="200" t="e">
        <f>数出表_Excel!V129</f>
        <v>#N/A</v>
      </c>
      <c r="AN129" s="201" t="e">
        <f>数出表_Excel!W129</f>
        <v>#N/A</v>
      </c>
    </row>
    <row r="130" spans="1:40" ht="16.2" customHeight="1">
      <c r="A130" s="160" t="e">
        <f t="array" aca="1" ref="A130" ca="1">IF(OR(COUNTIF(A128,"*10002*"),COUNTIF(A128,"")),"",INDEX(貼り付け用!$A1:$A200,MATCH(A128,貼り付け用!$A1:$A200,0)+2,0))</f>
        <v>#N/A</v>
      </c>
      <c r="B130" s="148" t="str">
        <f ca="1">IFERROR(VALUE(IF(VLOOKUP($A130,数出表_Excel!$A$6:$T$150,COLUMN()/2+1,FALSE)=0,"",VLOOKUP($A130,数出表_Excel!$A$6:$T$150,COLUMN()/2+1,FALSE))),"")</f>
        <v/>
      </c>
      <c r="C130" s="113"/>
      <c r="D130" s="148" t="str">
        <f ca="1">IFERROR(VALUE(IF(VLOOKUP($A130,数出表_Excel!$A$6:$T$150,COLUMN()/2+1,FALSE)=0,"",VLOOKUP($A130,数出表_Excel!$A$6:$T$150,COLUMN()/2+1,FALSE))),"")</f>
        <v/>
      </c>
      <c r="E130" s="113"/>
      <c r="F130" s="150" t="str">
        <f ca="1">IFERROR(VALUE(IF(VLOOKUP($A130,数出表_Excel!$A$6:$T$150,COLUMN()/2+1,FALSE)=0,"",VLOOKUP($A130,数出表_Excel!$A$6:$T$150,COLUMN()/2+1,FALSE))),"")</f>
        <v/>
      </c>
      <c r="G130" s="113"/>
      <c r="H130" s="148" t="str">
        <f ca="1">IFERROR(VALUE(IF(VLOOKUP($A130,数出表_Excel!$A$6:$T$150,COLUMN()/2+1,FALSE)=0,"",VLOOKUP($A130,数出表_Excel!$A$6:$T$150,COLUMN()/2+1,FALSE))),"")</f>
        <v/>
      </c>
      <c r="I130" s="113"/>
      <c r="J130" s="148" t="str">
        <f ca="1">IFERROR(VALUE(IF(VLOOKUP($A130,数出表_Excel!$A$6:$T$150,COLUMN()/2+1,FALSE)=0,"",VLOOKUP($A130,数出表_Excel!$A$6:$T$150,COLUMN()/2+1,FALSE))),"")</f>
        <v/>
      </c>
      <c r="K130" s="113"/>
      <c r="L130" s="150" t="str">
        <f ca="1">IFERROR(VALUE(IF(VLOOKUP($A130,数出表_Excel!$A$6:$T$150,COLUMN()/2+1,FALSE)=0,"",VLOOKUP($A130,数出表_Excel!$A$6:$T$150,COLUMN()/2+1,FALSE))),"")</f>
        <v/>
      </c>
      <c r="M130" s="113"/>
      <c r="N130" s="148" t="str">
        <f ca="1">IFERROR(VALUE(IF(VLOOKUP($A130,数出表_Excel!$A$6:$T$150,COLUMN()/2+1,FALSE)=0,"",VLOOKUP($A130,数出表_Excel!$A$6:$T$150,COLUMN()/2+1,FALSE))),"")</f>
        <v/>
      </c>
      <c r="O130" s="113"/>
      <c r="P130" s="148" t="str">
        <f ca="1">IFERROR(VALUE(IF(VLOOKUP($A130,数出表_Excel!$A$6:$T$150,COLUMN()/2+1,FALSE)=0,"",VLOOKUP($A130,数出表_Excel!$A$6:$T$150,COLUMN()/2+1,FALSE))),"")</f>
        <v/>
      </c>
      <c r="Q130" s="113"/>
      <c r="R130" s="148" t="str">
        <f ca="1">IFERROR(VALUE(IF(VLOOKUP($A130,数出表_Excel!$A$6:$T$150,COLUMN()/2+1,FALSE)=0,"",VLOOKUP($A130,数出表_Excel!$A$6:$T$150,COLUMN()/2+1,FALSE))),"")</f>
        <v/>
      </c>
      <c r="S130" s="113"/>
      <c r="T130" s="148" t="str">
        <f ca="1">IFERROR(VALUE(IF(VLOOKUP($A130,数出表_Excel!$A$6:$T$150,COLUMN()/2+1,FALSE)=0,"",VLOOKUP($A130,数出表_Excel!$A$6:$T$150,COLUMN()/2+1,FALSE))),"")</f>
        <v/>
      </c>
      <c r="U130" s="113"/>
      <c r="V130" s="150" t="str">
        <f ca="1">IFERROR(VALUE(IF(VLOOKUP($A130,数出表_Excel!$A$6:$T$150,COLUMN()/2+1,FALSE)=0,"",VLOOKUP($A130,数出表_Excel!$A$6:$T$150,COLUMN()/2+1,FALSE))),"")</f>
        <v/>
      </c>
      <c r="W130" s="113"/>
      <c r="X130" s="150" t="str">
        <f ca="1">IFERROR(VALUE(IF(VLOOKUP($A130,数出表_Excel!$A$6:$T$150,COLUMN()/2+1,FALSE)=0,"",VLOOKUP($A130,数出表_Excel!$A$6:$T$150,COLUMN()/2+1,FALSE))),"")</f>
        <v/>
      </c>
      <c r="Y130" s="113"/>
      <c r="Z130" s="150" t="str">
        <f ca="1">IFERROR(VALUE(IF(VLOOKUP($A130,数出表_Excel!$A$6:$T$150,COLUMN()/2+1,FALSE)=0,"",VLOOKUP($A130,数出表_Excel!$A$6:$T$150,COLUMN()/2+1,FALSE))),"")</f>
        <v/>
      </c>
      <c r="AA130" s="151"/>
      <c r="AB130" s="149" t="str">
        <f ca="1">IFERROR(VALUE(IF(VLOOKUP($A130,数出表_Excel!$A$6:$T$150,COLUMN()/2+1,FALSE)=0,"",VLOOKUP($A130,数出表_Excel!$A$6:$T$150,COLUMN()/2+1,FALSE))),"")</f>
        <v/>
      </c>
      <c r="AC130" s="113"/>
      <c r="AD130" s="150" t="str">
        <f ca="1">IFERROR(VALUE(IF(VLOOKUP($A130,数出表_Excel!$A$6:$T$150,COLUMN()/2+1,FALSE)=0,"",VLOOKUP($A130,数出表_Excel!$A$6:$T$150,COLUMN()/2+1,FALSE))),"")</f>
        <v/>
      </c>
      <c r="AE130" s="113"/>
      <c r="AF130" s="150" t="str">
        <f ca="1">IFERROR(VALUE(IF(VLOOKUP($A130,数出表_Excel!$A$6:$T$150,COLUMN()/2+1,FALSE)=0,"",VLOOKUP($A130,数出表_Excel!$A$6:$T$150,COLUMN()/2+1,FALSE))),"")</f>
        <v/>
      </c>
      <c r="AG130" s="113"/>
      <c r="AH130" s="150" t="str">
        <f ca="1">IFERROR(VALUE(IF(VLOOKUP($A130,数出表_Excel!$A$6:$T$150,COLUMN()/2+1,FALSE)=0,"",VLOOKUP($A130,数出表_Excel!$A$6:$T$150,COLUMN()/2+1,FALSE))),"")</f>
        <v/>
      </c>
      <c r="AI130" s="151"/>
      <c r="AJ130" s="149" t="str">
        <f ca="1">IFERROR(VALUE(IF(VLOOKUP($A130,数出表_Excel!$A$6:$T$150,COLUMN()/2+1,FALSE)=0,"",VLOOKUP($A130,数出表_Excel!$A$6:$T$150,COLUMN()/2+1,FALSE))),"")</f>
        <v/>
      </c>
      <c r="AK130" s="113"/>
      <c r="AL130" s="117" t="e">
        <f ca="1">IF(A130&lt;&gt;"",
IF(VLOOKUP($A130,数出表_Excel!$A$6:$T$150,COLUMN()/2+1,FALSE)=0,"",VLOOKUP($A130,数出表_Excel!$A$6:$T$150,COLUMN()/2+1,FALSE)),"")</f>
        <v>#N/A</v>
      </c>
      <c r="AM130" s="198" t="e">
        <f>数出表_Excel!V130</f>
        <v>#N/A</v>
      </c>
      <c r="AN130" s="199" t="e">
        <f>数出表_Excel!W130</f>
        <v>#N/A</v>
      </c>
    </row>
    <row r="131" spans="1:40" ht="16.2" customHeight="1">
      <c r="A131" s="161" t="e">
        <f t="array" aca="1" ref="A131" ca="1">IF(OR(COUNTIF(A129,"*1000*"),COUNTIF(A129,"")),"",INDEX(貼り付け用!$A1:$A200,MATCH(A129,貼り付け用!$A1:$A200,0)+2,0))</f>
        <v>#N/A</v>
      </c>
      <c r="B131" s="114" t="str">
        <f ca="1">IFERROR(VALUE(IF(VLOOKUP($A131,数出表_Excel!$A$6:$T$150,COLUMN()/2+1,FALSE)=0,"",VLOOKUP($A131,数出表_Excel!$A$6:$T$150,COLUMN()/2+1,FALSE))),"")</f>
        <v/>
      </c>
      <c r="C131" s="114"/>
      <c r="D131" s="114" t="str">
        <f ca="1">IFERROR(VALUE(IF(VLOOKUP($A131,数出表_Excel!$A$6:$T$150,COLUMN()/2+1,FALSE)=0,"",VLOOKUP($A131,数出表_Excel!$A$6:$T$150,COLUMN()/2+1,FALSE))),"")</f>
        <v/>
      </c>
      <c r="E131" s="114"/>
      <c r="F131" s="118" t="str">
        <f ca="1">IFERROR(VALUE(IF(VLOOKUP($A131,数出表_Excel!$A$6:$T$150,COLUMN()/2+1,FALSE)=0,"",VLOOKUP($A131,数出表_Excel!$A$6:$T$150,COLUMN()/2+1,FALSE))),"")</f>
        <v/>
      </c>
      <c r="G131" s="114"/>
      <c r="H131" s="114" t="str">
        <f ca="1">IFERROR(VALUE(IF(VLOOKUP($A131,数出表_Excel!$A$6:$T$150,COLUMN()/2+1,FALSE)=0,"",VLOOKUP($A131,数出表_Excel!$A$6:$T$150,COLUMN()/2+1,FALSE))),"")</f>
        <v/>
      </c>
      <c r="I131" s="114"/>
      <c r="J131" s="114" t="str">
        <f ca="1">IFERROR(VALUE(IF(VLOOKUP($A131,数出表_Excel!$A$6:$T$150,COLUMN()/2+1,FALSE)=0,"",VLOOKUP($A131,数出表_Excel!$A$6:$T$150,COLUMN()/2+1,FALSE))),"")</f>
        <v/>
      </c>
      <c r="K131" s="114"/>
      <c r="L131" s="118" t="str">
        <f ca="1">IFERROR(VALUE(IF(VLOOKUP($A131,数出表_Excel!$A$6:$T$150,COLUMN()/2+1,FALSE)=0,"",VLOOKUP($A131,数出表_Excel!$A$6:$T$150,COLUMN()/2+1,FALSE))),"")</f>
        <v/>
      </c>
      <c r="M131" s="114"/>
      <c r="N131" s="114" t="str">
        <f ca="1">IFERROR(VALUE(IF(VLOOKUP($A131,数出表_Excel!$A$6:$T$150,COLUMN()/2+1,FALSE)=0,"",VLOOKUP($A131,数出表_Excel!$A$6:$T$150,COLUMN()/2+1,FALSE))),"")</f>
        <v/>
      </c>
      <c r="O131" s="114"/>
      <c r="P131" s="114" t="str">
        <f ca="1">IFERROR(VALUE(IF(VLOOKUP($A131,数出表_Excel!$A$6:$T$150,COLUMN()/2+1,FALSE)=0,"",VLOOKUP($A131,数出表_Excel!$A$6:$T$150,COLUMN()/2+1,FALSE))),"")</f>
        <v/>
      </c>
      <c r="Q131" s="114"/>
      <c r="R131" s="114" t="str">
        <f ca="1">IFERROR(VALUE(IF(VLOOKUP($A131,数出表_Excel!$A$6:$T$150,COLUMN()/2+1,FALSE)=0,"",VLOOKUP($A131,数出表_Excel!$A$6:$T$150,COLUMN()/2+1,FALSE))),"")</f>
        <v/>
      </c>
      <c r="S131" s="114"/>
      <c r="T131" s="114" t="str">
        <f ca="1">IFERROR(VALUE(IF(VLOOKUP($A131,数出表_Excel!$A$6:$T$150,COLUMN()/2+1,FALSE)=0,"",VLOOKUP($A131,数出表_Excel!$A$6:$T$150,COLUMN()/2+1,FALSE))),"")</f>
        <v/>
      </c>
      <c r="U131" s="114"/>
      <c r="V131" s="118" t="str">
        <f ca="1">IFERROR(VALUE(IF(VLOOKUP($A131,数出表_Excel!$A$6:$T$150,COLUMN()/2+1,FALSE)=0,"",VLOOKUP($A131,数出表_Excel!$A$6:$T$150,COLUMN()/2+1,FALSE))),"")</f>
        <v/>
      </c>
      <c r="W131" s="114"/>
      <c r="X131" s="118" t="str">
        <f ca="1">IFERROR(VALUE(IF(VLOOKUP($A131,数出表_Excel!$A$6:$T$150,COLUMN()/2+1,FALSE)=0,"",VLOOKUP($A131,数出表_Excel!$A$6:$T$150,COLUMN()/2+1,FALSE))),"")</f>
        <v/>
      </c>
      <c r="Y131" s="114"/>
      <c r="Z131" s="118" t="str">
        <f ca="1">IFERROR(VALUE(IF(VLOOKUP($A131,数出表_Excel!$A$6:$T$150,COLUMN()/2+1,FALSE)=0,"",VLOOKUP($A131,数出表_Excel!$A$6:$T$150,COLUMN()/2+1,FALSE))),"")</f>
        <v/>
      </c>
      <c r="AA131" s="152"/>
      <c r="AB131" s="119" t="str">
        <f ca="1">IFERROR(VALUE(IF(VLOOKUP($A131,数出表_Excel!$A$6:$T$150,COLUMN()/2+1,FALSE)=0,"",VLOOKUP($A131,数出表_Excel!$A$6:$T$150,COLUMN()/2+1,FALSE))),"")</f>
        <v/>
      </c>
      <c r="AC131" s="114"/>
      <c r="AD131" s="118" t="str">
        <f ca="1">IFERROR(VALUE(IF(VLOOKUP($A131,数出表_Excel!$A$6:$T$150,COLUMN()/2+1,FALSE)=0,"",VLOOKUP($A131,数出表_Excel!$A$6:$T$150,COLUMN()/2+1,FALSE))),"")</f>
        <v/>
      </c>
      <c r="AE131" s="114"/>
      <c r="AF131" s="118" t="str">
        <f ca="1">IFERROR(VALUE(IF(VLOOKUP($A131,数出表_Excel!$A$6:$T$150,COLUMN()/2+1,FALSE)=0,"",VLOOKUP($A131,数出表_Excel!$A$6:$T$150,COLUMN()/2+1,FALSE))),"")</f>
        <v/>
      </c>
      <c r="AG131" s="114"/>
      <c r="AH131" s="118" t="str">
        <f ca="1">IFERROR(VALUE(IF(VLOOKUP($A131,数出表_Excel!$A$6:$T$150,COLUMN()/2+1,FALSE)=0,"",VLOOKUP($A131,数出表_Excel!$A$6:$T$150,COLUMN()/2+1,FALSE))),"")</f>
        <v/>
      </c>
      <c r="AI131" s="152"/>
      <c r="AJ131" s="119" t="str">
        <f ca="1">IFERROR(VALUE(IF(VLOOKUP($A131,数出表_Excel!$A$6:$T$150,COLUMN()/2+1,FALSE)=0,"",VLOOKUP($A131,数出表_Excel!$A$6:$T$150,COLUMN()/2+1,FALSE))),"")</f>
        <v/>
      </c>
      <c r="AK131" s="114"/>
      <c r="AL131" s="120" t="e">
        <f ca="1">IF(A131&lt;&gt;"",
IF(VLOOKUP($A131,数出表_Excel!$A$6:$T$150,COLUMN()/2+1,FALSE)=0,"",VLOOKUP($A131,数出表_Excel!$A$6:$T$150,COLUMN()/2+1,FALSE)),"")</f>
        <v>#N/A</v>
      </c>
      <c r="AM131" s="200" t="e">
        <f>数出表_Excel!V131</f>
        <v>#N/A</v>
      </c>
      <c r="AN131" s="201" t="e">
        <f>数出表_Excel!W131</f>
        <v>#N/A</v>
      </c>
    </row>
    <row r="132" spans="1:40" ht="16.2" customHeight="1">
      <c r="A132" s="160" t="e">
        <f t="array" aca="1" ref="A132" ca="1">IF(OR(COUNTIF(A130,"*10002*"),COUNTIF(A130,"")),"",INDEX(貼り付け用!$A1:$A200,MATCH(A130,貼り付け用!$A1:$A200,0)+2,0))</f>
        <v>#N/A</v>
      </c>
      <c r="B132" s="148" t="str">
        <f ca="1">IFERROR(VALUE(IF(VLOOKUP($A132,数出表_Excel!$A$6:$T$150,COLUMN()/2+1,FALSE)=0,"",VLOOKUP($A132,数出表_Excel!$A$6:$T$150,COLUMN()/2+1,FALSE))),"")</f>
        <v/>
      </c>
      <c r="C132" s="113"/>
      <c r="D132" s="148" t="str">
        <f ca="1">IFERROR(VALUE(IF(VLOOKUP($A132,数出表_Excel!$A$6:$T$150,COLUMN()/2+1,FALSE)=0,"",VLOOKUP($A132,数出表_Excel!$A$6:$T$150,COLUMN()/2+1,FALSE))),"")</f>
        <v/>
      </c>
      <c r="E132" s="113"/>
      <c r="F132" s="150" t="str">
        <f ca="1">IFERROR(VALUE(IF(VLOOKUP($A132,数出表_Excel!$A$6:$T$150,COLUMN()/2+1,FALSE)=0,"",VLOOKUP($A132,数出表_Excel!$A$6:$T$150,COLUMN()/2+1,FALSE))),"")</f>
        <v/>
      </c>
      <c r="G132" s="113"/>
      <c r="H132" s="148" t="str">
        <f ca="1">IFERROR(VALUE(IF(VLOOKUP($A132,数出表_Excel!$A$6:$T$150,COLUMN()/2+1,FALSE)=0,"",VLOOKUP($A132,数出表_Excel!$A$6:$T$150,COLUMN()/2+1,FALSE))),"")</f>
        <v/>
      </c>
      <c r="I132" s="113"/>
      <c r="J132" s="148" t="str">
        <f ca="1">IFERROR(VALUE(IF(VLOOKUP($A132,数出表_Excel!$A$6:$T$150,COLUMN()/2+1,FALSE)=0,"",VLOOKUP($A132,数出表_Excel!$A$6:$T$150,COLUMN()/2+1,FALSE))),"")</f>
        <v/>
      </c>
      <c r="K132" s="113"/>
      <c r="L132" s="150" t="str">
        <f ca="1">IFERROR(VALUE(IF(VLOOKUP($A132,数出表_Excel!$A$6:$T$150,COLUMN()/2+1,FALSE)=0,"",VLOOKUP($A132,数出表_Excel!$A$6:$T$150,COLUMN()/2+1,FALSE))),"")</f>
        <v/>
      </c>
      <c r="M132" s="113"/>
      <c r="N132" s="148" t="str">
        <f ca="1">IFERROR(VALUE(IF(VLOOKUP($A132,数出表_Excel!$A$6:$T$150,COLUMN()/2+1,FALSE)=0,"",VLOOKUP($A132,数出表_Excel!$A$6:$T$150,COLUMN()/2+1,FALSE))),"")</f>
        <v/>
      </c>
      <c r="O132" s="113"/>
      <c r="P132" s="148" t="str">
        <f ca="1">IFERROR(VALUE(IF(VLOOKUP($A132,数出表_Excel!$A$6:$T$150,COLUMN()/2+1,FALSE)=0,"",VLOOKUP($A132,数出表_Excel!$A$6:$T$150,COLUMN()/2+1,FALSE))),"")</f>
        <v/>
      </c>
      <c r="Q132" s="113"/>
      <c r="R132" s="148" t="str">
        <f ca="1">IFERROR(VALUE(IF(VLOOKUP($A132,数出表_Excel!$A$6:$T$150,COLUMN()/2+1,FALSE)=0,"",VLOOKUP($A132,数出表_Excel!$A$6:$T$150,COLUMN()/2+1,FALSE))),"")</f>
        <v/>
      </c>
      <c r="S132" s="113"/>
      <c r="T132" s="148" t="str">
        <f ca="1">IFERROR(VALUE(IF(VLOOKUP($A132,数出表_Excel!$A$6:$T$150,COLUMN()/2+1,FALSE)=0,"",VLOOKUP($A132,数出表_Excel!$A$6:$T$150,COLUMN()/2+1,FALSE))),"")</f>
        <v/>
      </c>
      <c r="U132" s="113"/>
      <c r="V132" s="150" t="str">
        <f ca="1">IFERROR(VALUE(IF(VLOOKUP($A132,数出表_Excel!$A$6:$T$150,COLUMN()/2+1,FALSE)=0,"",VLOOKUP($A132,数出表_Excel!$A$6:$T$150,COLUMN()/2+1,FALSE))),"")</f>
        <v/>
      </c>
      <c r="W132" s="113"/>
      <c r="X132" s="150" t="str">
        <f ca="1">IFERROR(VALUE(IF(VLOOKUP($A132,数出表_Excel!$A$6:$T$150,COLUMN()/2+1,FALSE)=0,"",VLOOKUP($A132,数出表_Excel!$A$6:$T$150,COLUMN()/2+1,FALSE))),"")</f>
        <v/>
      </c>
      <c r="Y132" s="113"/>
      <c r="Z132" s="150" t="str">
        <f ca="1">IFERROR(VALUE(IF(VLOOKUP($A132,数出表_Excel!$A$6:$T$150,COLUMN()/2+1,FALSE)=0,"",VLOOKUP($A132,数出表_Excel!$A$6:$T$150,COLUMN()/2+1,FALSE))),"")</f>
        <v/>
      </c>
      <c r="AA132" s="151"/>
      <c r="AB132" s="149" t="str">
        <f ca="1">IFERROR(VALUE(IF(VLOOKUP($A132,数出表_Excel!$A$6:$T$150,COLUMN()/2+1,FALSE)=0,"",VLOOKUP($A132,数出表_Excel!$A$6:$T$150,COLUMN()/2+1,FALSE))),"")</f>
        <v/>
      </c>
      <c r="AC132" s="113"/>
      <c r="AD132" s="150" t="str">
        <f ca="1">IFERROR(VALUE(IF(VLOOKUP($A132,数出表_Excel!$A$6:$T$150,COLUMN()/2+1,FALSE)=0,"",VLOOKUP($A132,数出表_Excel!$A$6:$T$150,COLUMN()/2+1,FALSE))),"")</f>
        <v/>
      </c>
      <c r="AE132" s="113"/>
      <c r="AF132" s="150" t="str">
        <f ca="1">IFERROR(VALUE(IF(VLOOKUP($A132,数出表_Excel!$A$6:$T$150,COLUMN()/2+1,FALSE)=0,"",VLOOKUP($A132,数出表_Excel!$A$6:$T$150,COLUMN()/2+1,FALSE))),"")</f>
        <v/>
      </c>
      <c r="AG132" s="113"/>
      <c r="AH132" s="150" t="str">
        <f ca="1">IFERROR(VALUE(IF(VLOOKUP($A132,数出表_Excel!$A$6:$T$150,COLUMN()/2+1,FALSE)=0,"",VLOOKUP($A132,数出表_Excel!$A$6:$T$150,COLUMN()/2+1,FALSE))),"")</f>
        <v/>
      </c>
      <c r="AI132" s="151"/>
      <c r="AJ132" s="149" t="str">
        <f ca="1">IFERROR(VALUE(IF(VLOOKUP($A132,数出表_Excel!$A$6:$T$150,COLUMN()/2+1,FALSE)=0,"",VLOOKUP($A132,数出表_Excel!$A$6:$T$150,COLUMN()/2+1,FALSE))),"")</f>
        <v/>
      </c>
      <c r="AK132" s="113"/>
      <c r="AL132" s="117" t="e">
        <f ca="1">IF(A132&lt;&gt;"",
IF(VLOOKUP($A132,数出表_Excel!$A$6:$T$150,COLUMN()/2+1,FALSE)=0,"",VLOOKUP($A132,数出表_Excel!$A$6:$T$150,COLUMN()/2+1,FALSE)),"")</f>
        <v>#N/A</v>
      </c>
      <c r="AM132" s="198" t="e">
        <f>数出表_Excel!V132</f>
        <v>#N/A</v>
      </c>
      <c r="AN132" s="199" t="e">
        <f>数出表_Excel!W132</f>
        <v>#N/A</v>
      </c>
    </row>
    <row r="133" spans="1:40" ht="16.2" customHeight="1">
      <c r="A133" s="161" t="e">
        <f t="array" aca="1" ref="A133" ca="1">IF(OR(COUNTIF(A131,"*1000*"),COUNTIF(A131,"")),"",INDEX(貼り付け用!$A1:$A200,MATCH(A131,貼り付け用!$A1:$A200,0)+2,0))</f>
        <v>#N/A</v>
      </c>
      <c r="B133" s="114" t="str">
        <f ca="1">IFERROR(VALUE(IF(VLOOKUP($A133,数出表_Excel!$A$6:$T$150,COLUMN()/2+1,FALSE)=0,"",VLOOKUP($A133,数出表_Excel!$A$6:$T$150,COLUMN()/2+1,FALSE))),"")</f>
        <v/>
      </c>
      <c r="C133" s="114"/>
      <c r="D133" s="114" t="str">
        <f ca="1">IFERROR(VALUE(IF(VLOOKUP($A133,数出表_Excel!$A$6:$T$150,COLUMN()/2+1,FALSE)=0,"",VLOOKUP($A133,数出表_Excel!$A$6:$T$150,COLUMN()/2+1,FALSE))),"")</f>
        <v/>
      </c>
      <c r="E133" s="114"/>
      <c r="F133" s="118" t="str">
        <f ca="1">IFERROR(VALUE(IF(VLOOKUP($A133,数出表_Excel!$A$6:$T$150,COLUMN()/2+1,FALSE)=0,"",VLOOKUP($A133,数出表_Excel!$A$6:$T$150,COLUMN()/2+1,FALSE))),"")</f>
        <v/>
      </c>
      <c r="G133" s="114"/>
      <c r="H133" s="114" t="str">
        <f ca="1">IFERROR(VALUE(IF(VLOOKUP($A133,数出表_Excel!$A$6:$T$150,COLUMN()/2+1,FALSE)=0,"",VLOOKUP($A133,数出表_Excel!$A$6:$T$150,COLUMN()/2+1,FALSE))),"")</f>
        <v/>
      </c>
      <c r="I133" s="114"/>
      <c r="J133" s="114" t="str">
        <f ca="1">IFERROR(VALUE(IF(VLOOKUP($A133,数出表_Excel!$A$6:$T$150,COLUMN()/2+1,FALSE)=0,"",VLOOKUP($A133,数出表_Excel!$A$6:$T$150,COLUMN()/2+1,FALSE))),"")</f>
        <v/>
      </c>
      <c r="K133" s="114"/>
      <c r="L133" s="118" t="str">
        <f ca="1">IFERROR(VALUE(IF(VLOOKUP($A133,数出表_Excel!$A$6:$T$150,COLUMN()/2+1,FALSE)=0,"",VLOOKUP($A133,数出表_Excel!$A$6:$T$150,COLUMN()/2+1,FALSE))),"")</f>
        <v/>
      </c>
      <c r="M133" s="114"/>
      <c r="N133" s="114" t="str">
        <f ca="1">IFERROR(VALUE(IF(VLOOKUP($A133,数出表_Excel!$A$6:$T$150,COLUMN()/2+1,FALSE)=0,"",VLOOKUP($A133,数出表_Excel!$A$6:$T$150,COLUMN()/2+1,FALSE))),"")</f>
        <v/>
      </c>
      <c r="O133" s="114"/>
      <c r="P133" s="114" t="str">
        <f ca="1">IFERROR(VALUE(IF(VLOOKUP($A133,数出表_Excel!$A$6:$T$150,COLUMN()/2+1,FALSE)=0,"",VLOOKUP($A133,数出表_Excel!$A$6:$T$150,COLUMN()/2+1,FALSE))),"")</f>
        <v/>
      </c>
      <c r="Q133" s="114"/>
      <c r="R133" s="114" t="str">
        <f ca="1">IFERROR(VALUE(IF(VLOOKUP($A133,数出表_Excel!$A$6:$T$150,COLUMN()/2+1,FALSE)=0,"",VLOOKUP($A133,数出表_Excel!$A$6:$T$150,COLUMN()/2+1,FALSE))),"")</f>
        <v/>
      </c>
      <c r="S133" s="114"/>
      <c r="T133" s="114" t="str">
        <f ca="1">IFERROR(VALUE(IF(VLOOKUP($A133,数出表_Excel!$A$6:$T$150,COLUMN()/2+1,FALSE)=0,"",VLOOKUP($A133,数出表_Excel!$A$6:$T$150,COLUMN()/2+1,FALSE))),"")</f>
        <v/>
      </c>
      <c r="U133" s="114"/>
      <c r="V133" s="118" t="str">
        <f ca="1">IFERROR(VALUE(IF(VLOOKUP($A133,数出表_Excel!$A$6:$T$150,COLUMN()/2+1,FALSE)=0,"",VLOOKUP($A133,数出表_Excel!$A$6:$T$150,COLUMN()/2+1,FALSE))),"")</f>
        <v/>
      </c>
      <c r="W133" s="114"/>
      <c r="X133" s="118" t="str">
        <f ca="1">IFERROR(VALUE(IF(VLOOKUP($A133,数出表_Excel!$A$6:$T$150,COLUMN()/2+1,FALSE)=0,"",VLOOKUP($A133,数出表_Excel!$A$6:$T$150,COLUMN()/2+1,FALSE))),"")</f>
        <v/>
      </c>
      <c r="Y133" s="114"/>
      <c r="Z133" s="118" t="str">
        <f ca="1">IFERROR(VALUE(IF(VLOOKUP($A133,数出表_Excel!$A$6:$T$150,COLUMN()/2+1,FALSE)=0,"",VLOOKUP($A133,数出表_Excel!$A$6:$T$150,COLUMN()/2+1,FALSE))),"")</f>
        <v/>
      </c>
      <c r="AA133" s="152"/>
      <c r="AB133" s="119" t="str">
        <f ca="1">IFERROR(VALUE(IF(VLOOKUP($A133,数出表_Excel!$A$6:$T$150,COLUMN()/2+1,FALSE)=0,"",VLOOKUP($A133,数出表_Excel!$A$6:$T$150,COLUMN()/2+1,FALSE))),"")</f>
        <v/>
      </c>
      <c r="AC133" s="114"/>
      <c r="AD133" s="118" t="str">
        <f ca="1">IFERROR(VALUE(IF(VLOOKUP($A133,数出表_Excel!$A$6:$T$150,COLUMN()/2+1,FALSE)=0,"",VLOOKUP($A133,数出表_Excel!$A$6:$T$150,COLUMN()/2+1,FALSE))),"")</f>
        <v/>
      </c>
      <c r="AE133" s="114"/>
      <c r="AF133" s="118" t="str">
        <f ca="1">IFERROR(VALUE(IF(VLOOKUP($A133,数出表_Excel!$A$6:$T$150,COLUMN()/2+1,FALSE)=0,"",VLOOKUP($A133,数出表_Excel!$A$6:$T$150,COLUMN()/2+1,FALSE))),"")</f>
        <v/>
      </c>
      <c r="AG133" s="114"/>
      <c r="AH133" s="118" t="str">
        <f ca="1">IFERROR(VALUE(IF(VLOOKUP($A133,数出表_Excel!$A$6:$T$150,COLUMN()/2+1,FALSE)=0,"",VLOOKUP($A133,数出表_Excel!$A$6:$T$150,COLUMN()/2+1,FALSE))),"")</f>
        <v/>
      </c>
      <c r="AI133" s="152"/>
      <c r="AJ133" s="119" t="str">
        <f ca="1">IFERROR(VALUE(IF(VLOOKUP($A133,数出表_Excel!$A$6:$T$150,COLUMN()/2+1,FALSE)=0,"",VLOOKUP($A133,数出表_Excel!$A$6:$T$150,COLUMN()/2+1,FALSE))),"")</f>
        <v/>
      </c>
      <c r="AK133" s="114"/>
      <c r="AL133" s="120" t="e">
        <f ca="1">IF(A133&lt;&gt;"",
IF(VLOOKUP($A133,数出表_Excel!$A$6:$T$150,COLUMN()/2+1,FALSE)=0,"",VLOOKUP($A133,数出表_Excel!$A$6:$T$150,COLUMN()/2+1,FALSE)),"")</f>
        <v>#N/A</v>
      </c>
      <c r="AM133" s="200" t="e">
        <f>数出表_Excel!V133</f>
        <v>#N/A</v>
      </c>
      <c r="AN133" s="201" t="e">
        <f>数出表_Excel!W133</f>
        <v>#N/A</v>
      </c>
    </row>
    <row r="134" spans="1:40" ht="16.2" customHeight="1">
      <c r="A134" s="160" t="e">
        <f t="array" aca="1" ref="A134" ca="1">IF(OR(COUNTIF(A132,"*10002*"),COUNTIF(A132,"")),"",INDEX(貼り付け用!$A1:$A200,MATCH(A132,貼り付け用!$A1:$A200,0)+2,0))</f>
        <v>#N/A</v>
      </c>
      <c r="B134" s="148" t="str">
        <f ca="1">IFERROR(VALUE(IF(VLOOKUP($A134,数出表_Excel!$A$6:$T$150,COLUMN()/2+1,FALSE)=0,"",VLOOKUP($A134,数出表_Excel!$A$6:$T$150,COLUMN()/2+1,FALSE))),"")</f>
        <v/>
      </c>
      <c r="C134" s="113"/>
      <c r="D134" s="148" t="str">
        <f ca="1">IFERROR(VALUE(IF(VLOOKUP($A134,数出表_Excel!$A$6:$T$150,COLUMN()/2+1,FALSE)=0,"",VLOOKUP($A134,数出表_Excel!$A$6:$T$150,COLUMN()/2+1,FALSE))),"")</f>
        <v/>
      </c>
      <c r="E134" s="113"/>
      <c r="F134" s="150" t="str">
        <f ca="1">IFERROR(VALUE(IF(VLOOKUP($A134,数出表_Excel!$A$6:$T$150,COLUMN()/2+1,FALSE)=0,"",VLOOKUP($A134,数出表_Excel!$A$6:$T$150,COLUMN()/2+1,FALSE))),"")</f>
        <v/>
      </c>
      <c r="G134" s="113"/>
      <c r="H134" s="148" t="str">
        <f ca="1">IFERROR(VALUE(IF(VLOOKUP($A134,数出表_Excel!$A$6:$T$150,COLUMN()/2+1,FALSE)=0,"",VLOOKUP($A134,数出表_Excel!$A$6:$T$150,COLUMN()/2+1,FALSE))),"")</f>
        <v/>
      </c>
      <c r="I134" s="113"/>
      <c r="J134" s="148" t="str">
        <f ca="1">IFERROR(VALUE(IF(VLOOKUP($A134,数出表_Excel!$A$6:$T$150,COLUMN()/2+1,FALSE)=0,"",VLOOKUP($A134,数出表_Excel!$A$6:$T$150,COLUMN()/2+1,FALSE))),"")</f>
        <v/>
      </c>
      <c r="K134" s="113"/>
      <c r="L134" s="150" t="str">
        <f ca="1">IFERROR(VALUE(IF(VLOOKUP($A134,数出表_Excel!$A$6:$T$150,COLUMN()/2+1,FALSE)=0,"",VLOOKUP($A134,数出表_Excel!$A$6:$T$150,COLUMN()/2+1,FALSE))),"")</f>
        <v/>
      </c>
      <c r="M134" s="113"/>
      <c r="N134" s="148" t="str">
        <f ca="1">IFERROR(VALUE(IF(VLOOKUP($A134,数出表_Excel!$A$6:$T$150,COLUMN()/2+1,FALSE)=0,"",VLOOKUP($A134,数出表_Excel!$A$6:$T$150,COLUMN()/2+1,FALSE))),"")</f>
        <v/>
      </c>
      <c r="O134" s="113"/>
      <c r="P134" s="148" t="str">
        <f ca="1">IFERROR(VALUE(IF(VLOOKUP($A134,数出表_Excel!$A$6:$T$150,COLUMN()/2+1,FALSE)=0,"",VLOOKUP($A134,数出表_Excel!$A$6:$T$150,COLUMN()/2+1,FALSE))),"")</f>
        <v/>
      </c>
      <c r="Q134" s="113"/>
      <c r="R134" s="148" t="str">
        <f ca="1">IFERROR(VALUE(IF(VLOOKUP($A134,数出表_Excel!$A$6:$T$150,COLUMN()/2+1,FALSE)=0,"",VLOOKUP($A134,数出表_Excel!$A$6:$T$150,COLUMN()/2+1,FALSE))),"")</f>
        <v/>
      </c>
      <c r="S134" s="113"/>
      <c r="T134" s="148" t="str">
        <f ca="1">IFERROR(VALUE(IF(VLOOKUP($A134,数出表_Excel!$A$6:$T$150,COLUMN()/2+1,FALSE)=0,"",VLOOKUP($A134,数出表_Excel!$A$6:$T$150,COLUMN()/2+1,FALSE))),"")</f>
        <v/>
      </c>
      <c r="U134" s="113"/>
      <c r="V134" s="150" t="str">
        <f ca="1">IFERROR(VALUE(IF(VLOOKUP($A134,数出表_Excel!$A$6:$T$150,COLUMN()/2+1,FALSE)=0,"",VLOOKUP($A134,数出表_Excel!$A$6:$T$150,COLUMN()/2+1,FALSE))),"")</f>
        <v/>
      </c>
      <c r="W134" s="113"/>
      <c r="X134" s="150" t="str">
        <f ca="1">IFERROR(VALUE(IF(VLOOKUP($A134,数出表_Excel!$A$6:$T$150,COLUMN()/2+1,FALSE)=0,"",VLOOKUP($A134,数出表_Excel!$A$6:$T$150,COLUMN()/2+1,FALSE))),"")</f>
        <v/>
      </c>
      <c r="Y134" s="113"/>
      <c r="Z134" s="150" t="str">
        <f ca="1">IFERROR(VALUE(IF(VLOOKUP($A134,数出表_Excel!$A$6:$T$150,COLUMN()/2+1,FALSE)=0,"",VLOOKUP($A134,数出表_Excel!$A$6:$T$150,COLUMN()/2+1,FALSE))),"")</f>
        <v/>
      </c>
      <c r="AA134" s="151"/>
      <c r="AB134" s="149" t="str">
        <f ca="1">IFERROR(VALUE(IF(VLOOKUP($A134,数出表_Excel!$A$6:$T$150,COLUMN()/2+1,FALSE)=0,"",VLOOKUP($A134,数出表_Excel!$A$6:$T$150,COLUMN()/2+1,FALSE))),"")</f>
        <v/>
      </c>
      <c r="AC134" s="113"/>
      <c r="AD134" s="150" t="str">
        <f ca="1">IFERROR(VALUE(IF(VLOOKUP($A134,数出表_Excel!$A$6:$T$150,COLUMN()/2+1,FALSE)=0,"",VLOOKUP($A134,数出表_Excel!$A$6:$T$150,COLUMN()/2+1,FALSE))),"")</f>
        <v/>
      </c>
      <c r="AE134" s="113"/>
      <c r="AF134" s="150" t="str">
        <f ca="1">IFERROR(VALUE(IF(VLOOKUP($A134,数出表_Excel!$A$6:$T$150,COLUMN()/2+1,FALSE)=0,"",VLOOKUP($A134,数出表_Excel!$A$6:$T$150,COLUMN()/2+1,FALSE))),"")</f>
        <v/>
      </c>
      <c r="AG134" s="113"/>
      <c r="AH134" s="150" t="str">
        <f ca="1">IFERROR(VALUE(IF(VLOOKUP($A134,数出表_Excel!$A$6:$T$150,COLUMN()/2+1,FALSE)=0,"",VLOOKUP($A134,数出表_Excel!$A$6:$T$150,COLUMN()/2+1,FALSE))),"")</f>
        <v/>
      </c>
      <c r="AI134" s="151"/>
      <c r="AJ134" s="149" t="str">
        <f ca="1">IFERROR(VALUE(IF(VLOOKUP($A134,数出表_Excel!$A$6:$T$150,COLUMN()/2+1,FALSE)=0,"",VLOOKUP($A134,数出表_Excel!$A$6:$T$150,COLUMN()/2+1,FALSE))),"")</f>
        <v/>
      </c>
      <c r="AK134" s="113"/>
      <c r="AL134" s="117" t="e">
        <f ca="1">IF(A134&lt;&gt;"",
IF(VLOOKUP($A134,数出表_Excel!$A$6:$T$150,COLUMN()/2+1,FALSE)=0,"",VLOOKUP($A134,数出表_Excel!$A$6:$T$150,COLUMN()/2+1,FALSE)),"")</f>
        <v>#N/A</v>
      </c>
      <c r="AM134" s="198" t="e">
        <f>数出表_Excel!V134</f>
        <v>#N/A</v>
      </c>
      <c r="AN134" s="199" t="e">
        <f>数出表_Excel!W134</f>
        <v>#N/A</v>
      </c>
    </row>
    <row r="135" spans="1:40" ht="16.2" customHeight="1">
      <c r="A135" s="161" t="e">
        <f t="array" aca="1" ref="A135" ca="1">IF(OR(COUNTIF(A133,"*1000*"),COUNTIF(A133,"")),"",INDEX(貼り付け用!$A1:$A200,MATCH(A133,貼り付け用!$A1:$A200,0)+2,0))</f>
        <v>#N/A</v>
      </c>
      <c r="B135" s="114" t="str">
        <f ca="1">IFERROR(VALUE(IF(VLOOKUP($A135,数出表_Excel!$A$6:$T$150,COLUMN()/2+1,FALSE)=0,"",VLOOKUP($A135,数出表_Excel!$A$6:$T$150,COLUMN()/2+1,FALSE))),"")</f>
        <v/>
      </c>
      <c r="C135" s="114"/>
      <c r="D135" s="114" t="str">
        <f ca="1">IFERROR(VALUE(IF(VLOOKUP($A135,数出表_Excel!$A$6:$T$150,COLUMN()/2+1,FALSE)=0,"",VLOOKUP($A135,数出表_Excel!$A$6:$T$150,COLUMN()/2+1,FALSE))),"")</f>
        <v/>
      </c>
      <c r="E135" s="114"/>
      <c r="F135" s="118" t="str">
        <f ca="1">IFERROR(VALUE(IF(VLOOKUP($A135,数出表_Excel!$A$6:$T$150,COLUMN()/2+1,FALSE)=0,"",VLOOKUP($A135,数出表_Excel!$A$6:$T$150,COLUMN()/2+1,FALSE))),"")</f>
        <v/>
      </c>
      <c r="G135" s="114"/>
      <c r="H135" s="114" t="str">
        <f ca="1">IFERROR(VALUE(IF(VLOOKUP($A135,数出表_Excel!$A$6:$T$150,COLUMN()/2+1,FALSE)=0,"",VLOOKUP($A135,数出表_Excel!$A$6:$T$150,COLUMN()/2+1,FALSE))),"")</f>
        <v/>
      </c>
      <c r="I135" s="114"/>
      <c r="J135" s="114" t="str">
        <f ca="1">IFERROR(VALUE(IF(VLOOKUP($A135,数出表_Excel!$A$6:$T$150,COLUMN()/2+1,FALSE)=0,"",VLOOKUP($A135,数出表_Excel!$A$6:$T$150,COLUMN()/2+1,FALSE))),"")</f>
        <v/>
      </c>
      <c r="K135" s="114"/>
      <c r="L135" s="118" t="str">
        <f ca="1">IFERROR(VALUE(IF(VLOOKUP($A135,数出表_Excel!$A$6:$T$150,COLUMN()/2+1,FALSE)=0,"",VLOOKUP($A135,数出表_Excel!$A$6:$T$150,COLUMN()/2+1,FALSE))),"")</f>
        <v/>
      </c>
      <c r="M135" s="114"/>
      <c r="N135" s="114" t="str">
        <f ca="1">IFERROR(VALUE(IF(VLOOKUP($A135,数出表_Excel!$A$6:$T$150,COLUMN()/2+1,FALSE)=0,"",VLOOKUP($A135,数出表_Excel!$A$6:$T$150,COLUMN()/2+1,FALSE))),"")</f>
        <v/>
      </c>
      <c r="O135" s="114"/>
      <c r="P135" s="114" t="str">
        <f ca="1">IFERROR(VALUE(IF(VLOOKUP($A135,数出表_Excel!$A$6:$T$150,COLUMN()/2+1,FALSE)=0,"",VLOOKUP($A135,数出表_Excel!$A$6:$T$150,COLUMN()/2+1,FALSE))),"")</f>
        <v/>
      </c>
      <c r="Q135" s="114"/>
      <c r="R135" s="114" t="str">
        <f ca="1">IFERROR(VALUE(IF(VLOOKUP($A135,数出表_Excel!$A$6:$T$150,COLUMN()/2+1,FALSE)=0,"",VLOOKUP($A135,数出表_Excel!$A$6:$T$150,COLUMN()/2+1,FALSE))),"")</f>
        <v/>
      </c>
      <c r="S135" s="114"/>
      <c r="T135" s="114" t="str">
        <f ca="1">IFERROR(VALUE(IF(VLOOKUP($A135,数出表_Excel!$A$6:$T$150,COLUMN()/2+1,FALSE)=0,"",VLOOKUP($A135,数出表_Excel!$A$6:$T$150,COLUMN()/2+1,FALSE))),"")</f>
        <v/>
      </c>
      <c r="U135" s="114"/>
      <c r="V135" s="118" t="str">
        <f ca="1">IFERROR(VALUE(IF(VLOOKUP($A135,数出表_Excel!$A$6:$T$150,COLUMN()/2+1,FALSE)=0,"",VLOOKUP($A135,数出表_Excel!$A$6:$T$150,COLUMN()/2+1,FALSE))),"")</f>
        <v/>
      </c>
      <c r="W135" s="114"/>
      <c r="X135" s="118" t="str">
        <f ca="1">IFERROR(VALUE(IF(VLOOKUP($A135,数出表_Excel!$A$6:$T$150,COLUMN()/2+1,FALSE)=0,"",VLOOKUP($A135,数出表_Excel!$A$6:$T$150,COLUMN()/2+1,FALSE))),"")</f>
        <v/>
      </c>
      <c r="Y135" s="114"/>
      <c r="Z135" s="118" t="str">
        <f ca="1">IFERROR(VALUE(IF(VLOOKUP($A135,数出表_Excel!$A$6:$T$150,COLUMN()/2+1,FALSE)=0,"",VLOOKUP($A135,数出表_Excel!$A$6:$T$150,COLUMN()/2+1,FALSE))),"")</f>
        <v/>
      </c>
      <c r="AA135" s="152"/>
      <c r="AB135" s="119" t="str">
        <f ca="1">IFERROR(VALUE(IF(VLOOKUP($A135,数出表_Excel!$A$6:$T$150,COLUMN()/2+1,FALSE)=0,"",VLOOKUP($A135,数出表_Excel!$A$6:$T$150,COLUMN()/2+1,FALSE))),"")</f>
        <v/>
      </c>
      <c r="AC135" s="114"/>
      <c r="AD135" s="118" t="str">
        <f ca="1">IFERROR(VALUE(IF(VLOOKUP($A135,数出表_Excel!$A$6:$T$150,COLUMN()/2+1,FALSE)=0,"",VLOOKUP($A135,数出表_Excel!$A$6:$T$150,COLUMN()/2+1,FALSE))),"")</f>
        <v/>
      </c>
      <c r="AE135" s="114"/>
      <c r="AF135" s="118" t="str">
        <f ca="1">IFERROR(VALUE(IF(VLOOKUP($A135,数出表_Excel!$A$6:$T$150,COLUMN()/2+1,FALSE)=0,"",VLOOKUP($A135,数出表_Excel!$A$6:$T$150,COLUMN()/2+1,FALSE))),"")</f>
        <v/>
      </c>
      <c r="AG135" s="114"/>
      <c r="AH135" s="118" t="str">
        <f ca="1">IFERROR(VALUE(IF(VLOOKUP($A135,数出表_Excel!$A$6:$T$150,COLUMN()/2+1,FALSE)=0,"",VLOOKUP($A135,数出表_Excel!$A$6:$T$150,COLUMN()/2+1,FALSE))),"")</f>
        <v/>
      </c>
      <c r="AI135" s="152"/>
      <c r="AJ135" s="119" t="str">
        <f ca="1">IFERROR(VALUE(IF(VLOOKUP($A135,数出表_Excel!$A$6:$T$150,COLUMN()/2+1,FALSE)=0,"",VLOOKUP($A135,数出表_Excel!$A$6:$T$150,COLUMN()/2+1,FALSE))),"")</f>
        <v/>
      </c>
      <c r="AK135" s="114"/>
      <c r="AL135" s="120" t="e">
        <f ca="1">IF(A135&lt;&gt;"",
IF(VLOOKUP($A135,数出表_Excel!$A$6:$T$150,COLUMN()/2+1,FALSE)=0,"",VLOOKUP($A135,数出表_Excel!$A$6:$T$150,COLUMN()/2+1,FALSE)),"")</f>
        <v>#N/A</v>
      </c>
      <c r="AM135" s="200" t="e">
        <f>数出表_Excel!V135</f>
        <v>#N/A</v>
      </c>
      <c r="AN135" s="201" t="e">
        <f>数出表_Excel!W135</f>
        <v>#N/A</v>
      </c>
    </row>
    <row r="136" spans="1:40" ht="16.2" customHeight="1">
      <c r="A136" s="160" t="e">
        <f t="array" aca="1" ref="A136" ca="1">IF(OR(COUNTIF(A134,"*10002*"),COUNTIF(A134,"")),"",INDEX(貼り付け用!$A1:$A200,MATCH(A134,貼り付け用!$A1:$A200,0)+2,0))</f>
        <v>#N/A</v>
      </c>
      <c r="B136" s="148" t="str">
        <f ca="1">IFERROR(VALUE(IF(VLOOKUP($A136,数出表_Excel!$A$6:$T$150,COLUMN()/2+1,FALSE)=0,"",VLOOKUP($A136,数出表_Excel!$A$6:$T$150,COLUMN()/2+1,FALSE))),"")</f>
        <v/>
      </c>
      <c r="C136" s="113"/>
      <c r="D136" s="148" t="str">
        <f ca="1">IFERROR(VALUE(IF(VLOOKUP($A136,数出表_Excel!$A$6:$T$150,COLUMN()/2+1,FALSE)=0,"",VLOOKUP($A136,数出表_Excel!$A$6:$T$150,COLUMN()/2+1,FALSE))),"")</f>
        <v/>
      </c>
      <c r="E136" s="113"/>
      <c r="F136" s="150" t="str">
        <f ca="1">IFERROR(VALUE(IF(VLOOKUP($A136,数出表_Excel!$A$6:$T$150,COLUMN()/2+1,FALSE)=0,"",VLOOKUP($A136,数出表_Excel!$A$6:$T$150,COLUMN()/2+1,FALSE))),"")</f>
        <v/>
      </c>
      <c r="G136" s="113"/>
      <c r="H136" s="148" t="str">
        <f ca="1">IFERROR(VALUE(IF(VLOOKUP($A136,数出表_Excel!$A$6:$T$150,COLUMN()/2+1,FALSE)=0,"",VLOOKUP($A136,数出表_Excel!$A$6:$T$150,COLUMN()/2+1,FALSE))),"")</f>
        <v/>
      </c>
      <c r="I136" s="113"/>
      <c r="J136" s="148" t="str">
        <f ca="1">IFERROR(VALUE(IF(VLOOKUP($A136,数出表_Excel!$A$6:$T$150,COLUMN()/2+1,FALSE)=0,"",VLOOKUP($A136,数出表_Excel!$A$6:$T$150,COLUMN()/2+1,FALSE))),"")</f>
        <v/>
      </c>
      <c r="K136" s="113"/>
      <c r="L136" s="150" t="str">
        <f ca="1">IFERROR(VALUE(IF(VLOOKUP($A136,数出表_Excel!$A$6:$T$150,COLUMN()/2+1,FALSE)=0,"",VLOOKUP($A136,数出表_Excel!$A$6:$T$150,COLUMN()/2+1,FALSE))),"")</f>
        <v/>
      </c>
      <c r="M136" s="113"/>
      <c r="N136" s="148" t="str">
        <f ca="1">IFERROR(VALUE(IF(VLOOKUP($A136,数出表_Excel!$A$6:$T$150,COLUMN()/2+1,FALSE)=0,"",VLOOKUP($A136,数出表_Excel!$A$6:$T$150,COLUMN()/2+1,FALSE))),"")</f>
        <v/>
      </c>
      <c r="O136" s="113"/>
      <c r="P136" s="148" t="str">
        <f ca="1">IFERROR(VALUE(IF(VLOOKUP($A136,数出表_Excel!$A$6:$T$150,COLUMN()/2+1,FALSE)=0,"",VLOOKUP($A136,数出表_Excel!$A$6:$T$150,COLUMN()/2+1,FALSE))),"")</f>
        <v/>
      </c>
      <c r="Q136" s="113"/>
      <c r="R136" s="148" t="str">
        <f ca="1">IFERROR(VALUE(IF(VLOOKUP($A136,数出表_Excel!$A$6:$T$150,COLUMN()/2+1,FALSE)=0,"",VLOOKUP($A136,数出表_Excel!$A$6:$T$150,COLUMN()/2+1,FALSE))),"")</f>
        <v/>
      </c>
      <c r="S136" s="113"/>
      <c r="T136" s="148" t="str">
        <f ca="1">IFERROR(VALUE(IF(VLOOKUP($A136,数出表_Excel!$A$6:$T$150,COLUMN()/2+1,FALSE)=0,"",VLOOKUP($A136,数出表_Excel!$A$6:$T$150,COLUMN()/2+1,FALSE))),"")</f>
        <v/>
      </c>
      <c r="U136" s="113"/>
      <c r="V136" s="150" t="str">
        <f ca="1">IFERROR(VALUE(IF(VLOOKUP($A136,数出表_Excel!$A$6:$T$150,COLUMN()/2+1,FALSE)=0,"",VLOOKUP($A136,数出表_Excel!$A$6:$T$150,COLUMN()/2+1,FALSE))),"")</f>
        <v/>
      </c>
      <c r="W136" s="113"/>
      <c r="X136" s="150" t="str">
        <f ca="1">IFERROR(VALUE(IF(VLOOKUP($A136,数出表_Excel!$A$6:$T$150,COLUMN()/2+1,FALSE)=0,"",VLOOKUP($A136,数出表_Excel!$A$6:$T$150,COLUMN()/2+1,FALSE))),"")</f>
        <v/>
      </c>
      <c r="Y136" s="113"/>
      <c r="Z136" s="150" t="str">
        <f ca="1">IFERROR(VALUE(IF(VLOOKUP($A136,数出表_Excel!$A$6:$T$150,COLUMN()/2+1,FALSE)=0,"",VLOOKUP($A136,数出表_Excel!$A$6:$T$150,COLUMN()/2+1,FALSE))),"")</f>
        <v/>
      </c>
      <c r="AA136" s="151"/>
      <c r="AB136" s="149" t="str">
        <f ca="1">IFERROR(VALUE(IF(VLOOKUP($A136,数出表_Excel!$A$6:$T$150,COLUMN()/2+1,FALSE)=0,"",VLOOKUP($A136,数出表_Excel!$A$6:$T$150,COLUMN()/2+1,FALSE))),"")</f>
        <v/>
      </c>
      <c r="AC136" s="113"/>
      <c r="AD136" s="150" t="str">
        <f ca="1">IFERROR(VALUE(IF(VLOOKUP($A136,数出表_Excel!$A$6:$T$150,COLUMN()/2+1,FALSE)=0,"",VLOOKUP($A136,数出表_Excel!$A$6:$T$150,COLUMN()/2+1,FALSE))),"")</f>
        <v/>
      </c>
      <c r="AE136" s="113"/>
      <c r="AF136" s="150" t="str">
        <f ca="1">IFERROR(VALUE(IF(VLOOKUP($A136,数出表_Excel!$A$6:$T$150,COLUMN()/2+1,FALSE)=0,"",VLOOKUP($A136,数出表_Excel!$A$6:$T$150,COLUMN()/2+1,FALSE))),"")</f>
        <v/>
      </c>
      <c r="AG136" s="113"/>
      <c r="AH136" s="150" t="str">
        <f ca="1">IFERROR(VALUE(IF(VLOOKUP($A136,数出表_Excel!$A$6:$T$150,COLUMN()/2+1,FALSE)=0,"",VLOOKUP($A136,数出表_Excel!$A$6:$T$150,COLUMN()/2+1,FALSE))),"")</f>
        <v/>
      </c>
      <c r="AI136" s="151"/>
      <c r="AJ136" s="149" t="str">
        <f ca="1">IFERROR(VALUE(IF(VLOOKUP($A136,数出表_Excel!$A$6:$T$150,COLUMN()/2+1,FALSE)=0,"",VLOOKUP($A136,数出表_Excel!$A$6:$T$150,COLUMN()/2+1,FALSE))),"")</f>
        <v/>
      </c>
      <c r="AK136" s="113"/>
      <c r="AL136" s="117" t="e">
        <f ca="1">IF(A136&lt;&gt;"",
IF(VLOOKUP($A136,数出表_Excel!$A$6:$T$150,COLUMN()/2+1,FALSE)=0,"",VLOOKUP($A136,数出表_Excel!$A$6:$T$150,COLUMN()/2+1,FALSE)),"")</f>
        <v>#N/A</v>
      </c>
      <c r="AM136" s="198" t="e">
        <f>数出表_Excel!V136</f>
        <v>#N/A</v>
      </c>
      <c r="AN136" s="199" t="e">
        <f>数出表_Excel!W136</f>
        <v>#N/A</v>
      </c>
    </row>
    <row r="137" spans="1:40" ht="16.2" customHeight="1">
      <c r="A137" s="161" t="e">
        <f t="array" aca="1" ref="A137" ca="1">IF(OR(COUNTIF(A135,"*1000*"),COUNTIF(A135,"")),"",INDEX(貼り付け用!$A1:$A200,MATCH(A135,貼り付け用!$A1:$A200,0)+2,0))</f>
        <v>#N/A</v>
      </c>
      <c r="B137" s="114" t="str">
        <f ca="1">IFERROR(VALUE(IF(VLOOKUP($A137,数出表_Excel!$A$6:$T$150,COLUMN()/2+1,FALSE)=0,"",VLOOKUP($A137,数出表_Excel!$A$6:$T$150,COLUMN()/2+1,FALSE))),"")</f>
        <v/>
      </c>
      <c r="C137" s="114"/>
      <c r="D137" s="114" t="str">
        <f ca="1">IFERROR(VALUE(IF(VLOOKUP($A137,数出表_Excel!$A$6:$T$150,COLUMN()/2+1,FALSE)=0,"",VLOOKUP($A137,数出表_Excel!$A$6:$T$150,COLUMN()/2+1,FALSE))),"")</f>
        <v/>
      </c>
      <c r="E137" s="114"/>
      <c r="F137" s="118" t="str">
        <f ca="1">IFERROR(VALUE(IF(VLOOKUP($A137,数出表_Excel!$A$6:$T$150,COLUMN()/2+1,FALSE)=0,"",VLOOKUP($A137,数出表_Excel!$A$6:$T$150,COLUMN()/2+1,FALSE))),"")</f>
        <v/>
      </c>
      <c r="G137" s="114"/>
      <c r="H137" s="114" t="str">
        <f ca="1">IFERROR(VALUE(IF(VLOOKUP($A137,数出表_Excel!$A$6:$T$150,COLUMN()/2+1,FALSE)=0,"",VLOOKUP($A137,数出表_Excel!$A$6:$T$150,COLUMN()/2+1,FALSE))),"")</f>
        <v/>
      </c>
      <c r="I137" s="114"/>
      <c r="J137" s="114" t="str">
        <f ca="1">IFERROR(VALUE(IF(VLOOKUP($A137,数出表_Excel!$A$6:$T$150,COLUMN()/2+1,FALSE)=0,"",VLOOKUP($A137,数出表_Excel!$A$6:$T$150,COLUMN()/2+1,FALSE))),"")</f>
        <v/>
      </c>
      <c r="K137" s="114"/>
      <c r="L137" s="118" t="str">
        <f ca="1">IFERROR(VALUE(IF(VLOOKUP($A137,数出表_Excel!$A$6:$T$150,COLUMN()/2+1,FALSE)=0,"",VLOOKUP($A137,数出表_Excel!$A$6:$T$150,COLUMN()/2+1,FALSE))),"")</f>
        <v/>
      </c>
      <c r="M137" s="114"/>
      <c r="N137" s="114" t="str">
        <f ca="1">IFERROR(VALUE(IF(VLOOKUP($A137,数出表_Excel!$A$6:$T$150,COLUMN()/2+1,FALSE)=0,"",VLOOKUP($A137,数出表_Excel!$A$6:$T$150,COLUMN()/2+1,FALSE))),"")</f>
        <v/>
      </c>
      <c r="O137" s="114"/>
      <c r="P137" s="114" t="str">
        <f ca="1">IFERROR(VALUE(IF(VLOOKUP($A137,数出表_Excel!$A$6:$T$150,COLUMN()/2+1,FALSE)=0,"",VLOOKUP($A137,数出表_Excel!$A$6:$T$150,COLUMN()/2+1,FALSE))),"")</f>
        <v/>
      </c>
      <c r="Q137" s="114"/>
      <c r="R137" s="114" t="str">
        <f ca="1">IFERROR(VALUE(IF(VLOOKUP($A137,数出表_Excel!$A$6:$T$150,COLUMN()/2+1,FALSE)=0,"",VLOOKUP($A137,数出表_Excel!$A$6:$T$150,COLUMN()/2+1,FALSE))),"")</f>
        <v/>
      </c>
      <c r="S137" s="114"/>
      <c r="T137" s="114" t="str">
        <f ca="1">IFERROR(VALUE(IF(VLOOKUP($A137,数出表_Excel!$A$6:$T$150,COLUMN()/2+1,FALSE)=0,"",VLOOKUP($A137,数出表_Excel!$A$6:$T$150,COLUMN()/2+1,FALSE))),"")</f>
        <v/>
      </c>
      <c r="U137" s="114"/>
      <c r="V137" s="118" t="str">
        <f ca="1">IFERROR(VALUE(IF(VLOOKUP($A137,数出表_Excel!$A$6:$T$150,COLUMN()/2+1,FALSE)=0,"",VLOOKUP($A137,数出表_Excel!$A$6:$T$150,COLUMN()/2+1,FALSE))),"")</f>
        <v/>
      </c>
      <c r="W137" s="114"/>
      <c r="X137" s="118" t="str">
        <f ca="1">IFERROR(VALUE(IF(VLOOKUP($A137,数出表_Excel!$A$6:$T$150,COLUMN()/2+1,FALSE)=0,"",VLOOKUP($A137,数出表_Excel!$A$6:$T$150,COLUMN()/2+1,FALSE))),"")</f>
        <v/>
      </c>
      <c r="Y137" s="114"/>
      <c r="Z137" s="118" t="str">
        <f ca="1">IFERROR(VALUE(IF(VLOOKUP($A137,数出表_Excel!$A$6:$T$150,COLUMN()/2+1,FALSE)=0,"",VLOOKUP($A137,数出表_Excel!$A$6:$T$150,COLUMN()/2+1,FALSE))),"")</f>
        <v/>
      </c>
      <c r="AA137" s="152"/>
      <c r="AB137" s="119" t="str">
        <f ca="1">IFERROR(VALUE(IF(VLOOKUP($A137,数出表_Excel!$A$6:$T$150,COLUMN()/2+1,FALSE)=0,"",VLOOKUP($A137,数出表_Excel!$A$6:$T$150,COLUMN()/2+1,FALSE))),"")</f>
        <v/>
      </c>
      <c r="AC137" s="114"/>
      <c r="AD137" s="118" t="str">
        <f ca="1">IFERROR(VALUE(IF(VLOOKUP($A137,数出表_Excel!$A$6:$T$150,COLUMN()/2+1,FALSE)=0,"",VLOOKUP($A137,数出表_Excel!$A$6:$T$150,COLUMN()/2+1,FALSE))),"")</f>
        <v/>
      </c>
      <c r="AE137" s="114"/>
      <c r="AF137" s="118" t="str">
        <f ca="1">IFERROR(VALUE(IF(VLOOKUP($A137,数出表_Excel!$A$6:$T$150,COLUMN()/2+1,FALSE)=0,"",VLOOKUP($A137,数出表_Excel!$A$6:$T$150,COLUMN()/2+1,FALSE))),"")</f>
        <v/>
      </c>
      <c r="AG137" s="114"/>
      <c r="AH137" s="118" t="str">
        <f ca="1">IFERROR(VALUE(IF(VLOOKUP($A137,数出表_Excel!$A$6:$T$150,COLUMN()/2+1,FALSE)=0,"",VLOOKUP($A137,数出表_Excel!$A$6:$T$150,COLUMN()/2+1,FALSE))),"")</f>
        <v/>
      </c>
      <c r="AI137" s="152"/>
      <c r="AJ137" s="119" t="str">
        <f ca="1">IFERROR(VALUE(IF(VLOOKUP($A137,数出表_Excel!$A$6:$T$150,COLUMN()/2+1,FALSE)=0,"",VLOOKUP($A137,数出表_Excel!$A$6:$T$150,COLUMN()/2+1,FALSE))),"")</f>
        <v/>
      </c>
      <c r="AK137" s="114"/>
      <c r="AL137" s="120" t="e">
        <f ca="1">IF(A137&lt;&gt;"",
IF(VLOOKUP($A137,数出表_Excel!$A$6:$T$150,COLUMN()/2+1,FALSE)=0,"",VLOOKUP($A137,数出表_Excel!$A$6:$T$150,COLUMN()/2+1,FALSE)),"")</f>
        <v>#N/A</v>
      </c>
      <c r="AM137" s="200" t="e">
        <f>数出表_Excel!V137</f>
        <v>#N/A</v>
      </c>
      <c r="AN137" s="201" t="e">
        <f>数出表_Excel!W137</f>
        <v>#N/A</v>
      </c>
    </row>
    <row r="138" spans="1:40" ht="16.2" customHeight="1">
      <c r="A138" s="160" t="e">
        <f t="array" aca="1" ref="A138" ca="1">IF(OR(COUNTIF(A136,"*10002*"),COUNTIF(A136,"")),"",INDEX(貼り付け用!$A1:$A200,MATCH(A136,貼り付け用!$A1:$A200,0)+2,0))</f>
        <v>#N/A</v>
      </c>
      <c r="B138" s="148" t="str">
        <f ca="1">IFERROR(VALUE(IF(VLOOKUP($A138,数出表_Excel!$A$6:$T$150,COLUMN()/2+1,FALSE)=0,"",VLOOKUP($A138,数出表_Excel!$A$6:$T$150,COLUMN()/2+1,FALSE))),"")</f>
        <v/>
      </c>
      <c r="C138" s="113"/>
      <c r="D138" s="148" t="str">
        <f ca="1">IFERROR(VALUE(IF(VLOOKUP($A138,数出表_Excel!$A$6:$T$150,COLUMN()/2+1,FALSE)=0,"",VLOOKUP($A138,数出表_Excel!$A$6:$T$150,COLUMN()/2+1,FALSE))),"")</f>
        <v/>
      </c>
      <c r="E138" s="113"/>
      <c r="F138" s="150" t="str">
        <f ca="1">IFERROR(VALUE(IF(VLOOKUP($A138,数出表_Excel!$A$6:$T$150,COLUMN()/2+1,FALSE)=0,"",VLOOKUP($A138,数出表_Excel!$A$6:$T$150,COLUMN()/2+1,FALSE))),"")</f>
        <v/>
      </c>
      <c r="G138" s="113"/>
      <c r="H138" s="148" t="str">
        <f ca="1">IFERROR(VALUE(IF(VLOOKUP($A138,数出表_Excel!$A$6:$T$150,COLUMN()/2+1,FALSE)=0,"",VLOOKUP($A138,数出表_Excel!$A$6:$T$150,COLUMN()/2+1,FALSE))),"")</f>
        <v/>
      </c>
      <c r="I138" s="113"/>
      <c r="J138" s="148" t="str">
        <f ca="1">IFERROR(VALUE(IF(VLOOKUP($A138,数出表_Excel!$A$6:$T$150,COLUMN()/2+1,FALSE)=0,"",VLOOKUP($A138,数出表_Excel!$A$6:$T$150,COLUMN()/2+1,FALSE))),"")</f>
        <v/>
      </c>
      <c r="K138" s="113"/>
      <c r="L138" s="150" t="str">
        <f ca="1">IFERROR(VALUE(IF(VLOOKUP($A138,数出表_Excel!$A$6:$T$150,COLUMN()/2+1,FALSE)=0,"",VLOOKUP($A138,数出表_Excel!$A$6:$T$150,COLUMN()/2+1,FALSE))),"")</f>
        <v/>
      </c>
      <c r="M138" s="113"/>
      <c r="N138" s="148" t="str">
        <f ca="1">IFERROR(VALUE(IF(VLOOKUP($A138,数出表_Excel!$A$6:$T$150,COLUMN()/2+1,FALSE)=0,"",VLOOKUP($A138,数出表_Excel!$A$6:$T$150,COLUMN()/2+1,FALSE))),"")</f>
        <v/>
      </c>
      <c r="O138" s="113"/>
      <c r="P138" s="148" t="str">
        <f ca="1">IFERROR(VALUE(IF(VLOOKUP($A138,数出表_Excel!$A$6:$T$150,COLUMN()/2+1,FALSE)=0,"",VLOOKUP($A138,数出表_Excel!$A$6:$T$150,COLUMN()/2+1,FALSE))),"")</f>
        <v/>
      </c>
      <c r="Q138" s="113"/>
      <c r="R138" s="148" t="str">
        <f ca="1">IFERROR(VALUE(IF(VLOOKUP($A138,数出表_Excel!$A$6:$T$150,COLUMN()/2+1,FALSE)=0,"",VLOOKUP($A138,数出表_Excel!$A$6:$T$150,COLUMN()/2+1,FALSE))),"")</f>
        <v/>
      </c>
      <c r="S138" s="113"/>
      <c r="T138" s="148" t="str">
        <f ca="1">IFERROR(VALUE(IF(VLOOKUP($A138,数出表_Excel!$A$6:$T$150,COLUMN()/2+1,FALSE)=0,"",VLOOKUP($A138,数出表_Excel!$A$6:$T$150,COLUMN()/2+1,FALSE))),"")</f>
        <v/>
      </c>
      <c r="U138" s="113"/>
      <c r="V138" s="150" t="str">
        <f ca="1">IFERROR(VALUE(IF(VLOOKUP($A138,数出表_Excel!$A$6:$T$150,COLUMN()/2+1,FALSE)=0,"",VLOOKUP($A138,数出表_Excel!$A$6:$T$150,COLUMN()/2+1,FALSE))),"")</f>
        <v/>
      </c>
      <c r="W138" s="113"/>
      <c r="X138" s="150" t="str">
        <f ca="1">IFERROR(VALUE(IF(VLOOKUP($A138,数出表_Excel!$A$6:$T$150,COLUMN()/2+1,FALSE)=0,"",VLOOKUP($A138,数出表_Excel!$A$6:$T$150,COLUMN()/2+1,FALSE))),"")</f>
        <v/>
      </c>
      <c r="Y138" s="113"/>
      <c r="Z138" s="150" t="str">
        <f ca="1">IFERROR(VALUE(IF(VLOOKUP($A138,数出表_Excel!$A$6:$T$150,COLUMN()/2+1,FALSE)=0,"",VLOOKUP($A138,数出表_Excel!$A$6:$T$150,COLUMN()/2+1,FALSE))),"")</f>
        <v/>
      </c>
      <c r="AA138" s="151"/>
      <c r="AB138" s="149" t="str">
        <f ca="1">IFERROR(VALUE(IF(VLOOKUP($A138,数出表_Excel!$A$6:$T$150,COLUMN()/2+1,FALSE)=0,"",VLOOKUP($A138,数出表_Excel!$A$6:$T$150,COLUMN()/2+1,FALSE))),"")</f>
        <v/>
      </c>
      <c r="AC138" s="113"/>
      <c r="AD138" s="150" t="str">
        <f ca="1">IFERROR(VALUE(IF(VLOOKUP($A138,数出表_Excel!$A$6:$T$150,COLUMN()/2+1,FALSE)=0,"",VLOOKUP($A138,数出表_Excel!$A$6:$T$150,COLUMN()/2+1,FALSE))),"")</f>
        <v/>
      </c>
      <c r="AE138" s="113"/>
      <c r="AF138" s="150" t="str">
        <f ca="1">IFERROR(VALUE(IF(VLOOKUP($A138,数出表_Excel!$A$6:$T$150,COLUMN()/2+1,FALSE)=0,"",VLOOKUP($A138,数出表_Excel!$A$6:$T$150,COLUMN()/2+1,FALSE))),"")</f>
        <v/>
      </c>
      <c r="AG138" s="113"/>
      <c r="AH138" s="150" t="str">
        <f ca="1">IFERROR(VALUE(IF(VLOOKUP($A138,数出表_Excel!$A$6:$T$150,COLUMN()/2+1,FALSE)=0,"",VLOOKUP($A138,数出表_Excel!$A$6:$T$150,COLUMN()/2+1,FALSE))),"")</f>
        <v/>
      </c>
      <c r="AI138" s="151"/>
      <c r="AJ138" s="149" t="str">
        <f ca="1">IFERROR(VALUE(IF(VLOOKUP($A138,数出表_Excel!$A$6:$T$150,COLUMN()/2+1,FALSE)=0,"",VLOOKUP($A138,数出表_Excel!$A$6:$T$150,COLUMN()/2+1,FALSE))),"")</f>
        <v/>
      </c>
      <c r="AK138" s="113"/>
      <c r="AL138" s="117" t="e">
        <f ca="1">IF(A138&lt;&gt;"",
IF(VLOOKUP($A138,数出表_Excel!$A$6:$T$150,COLUMN()/2+1,FALSE)=0,"",VLOOKUP($A138,数出表_Excel!$A$6:$T$150,COLUMN()/2+1,FALSE)),"")</f>
        <v>#N/A</v>
      </c>
      <c r="AM138" s="198" t="e">
        <f>数出表_Excel!V138</f>
        <v>#N/A</v>
      </c>
      <c r="AN138" s="199" t="e">
        <f>数出表_Excel!W138</f>
        <v>#N/A</v>
      </c>
    </row>
    <row r="139" spans="1:40" ht="16.2" customHeight="1">
      <c r="A139" s="161" t="e">
        <f t="array" aca="1" ref="A139" ca="1">IF(OR(COUNTIF(A137,"*1000*"),COUNTIF(A137,"")),"",INDEX(貼り付け用!$A1:$A200,MATCH(A137,貼り付け用!$A1:$A200,0)+2,0))</f>
        <v>#N/A</v>
      </c>
      <c r="B139" s="114" t="str">
        <f ca="1">IFERROR(VALUE(IF(VLOOKUP($A139,数出表_Excel!$A$6:$T$150,COLUMN()/2+1,FALSE)=0,"",VLOOKUP($A139,数出表_Excel!$A$6:$T$150,COLUMN()/2+1,FALSE))),"")</f>
        <v/>
      </c>
      <c r="C139" s="114"/>
      <c r="D139" s="114" t="str">
        <f ca="1">IFERROR(VALUE(IF(VLOOKUP($A139,数出表_Excel!$A$6:$T$150,COLUMN()/2+1,FALSE)=0,"",VLOOKUP($A139,数出表_Excel!$A$6:$T$150,COLUMN()/2+1,FALSE))),"")</f>
        <v/>
      </c>
      <c r="E139" s="114"/>
      <c r="F139" s="118" t="str">
        <f ca="1">IFERROR(VALUE(IF(VLOOKUP($A139,数出表_Excel!$A$6:$T$150,COLUMN()/2+1,FALSE)=0,"",VLOOKUP($A139,数出表_Excel!$A$6:$T$150,COLUMN()/2+1,FALSE))),"")</f>
        <v/>
      </c>
      <c r="G139" s="114"/>
      <c r="H139" s="114" t="str">
        <f ca="1">IFERROR(VALUE(IF(VLOOKUP($A139,数出表_Excel!$A$6:$T$150,COLUMN()/2+1,FALSE)=0,"",VLOOKUP($A139,数出表_Excel!$A$6:$T$150,COLUMN()/2+1,FALSE))),"")</f>
        <v/>
      </c>
      <c r="I139" s="114"/>
      <c r="J139" s="114" t="str">
        <f ca="1">IFERROR(VALUE(IF(VLOOKUP($A139,数出表_Excel!$A$6:$T$150,COLUMN()/2+1,FALSE)=0,"",VLOOKUP($A139,数出表_Excel!$A$6:$T$150,COLUMN()/2+1,FALSE))),"")</f>
        <v/>
      </c>
      <c r="K139" s="114"/>
      <c r="L139" s="118" t="str">
        <f ca="1">IFERROR(VALUE(IF(VLOOKUP($A139,数出表_Excel!$A$6:$T$150,COLUMN()/2+1,FALSE)=0,"",VLOOKUP($A139,数出表_Excel!$A$6:$T$150,COLUMN()/2+1,FALSE))),"")</f>
        <v/>
      </c>
      <c r="M139" s="114"/>
      <c r="N139" s="114" t="str">
        <f ca="1">IFERROR(VALUE(IF(VLOOKUP($A139,数出表_Excel!$A$6:$T$150,COLUMN()/2+1,FALSE)=0,"",VLOOKUP($A139,数出表_Excel!$A$6:$T$150,COLUMN()/2+1,FALSE))),"")</f>
        <v/>
      </c>
      <c r="O139" s="114"/>
      <c r="P139" s="114" t="str">
        <f ca="1">IFERROR(VALUE(IF(VLOOKUP($A139,数出表_Excel!$A$6:$T$150,COLUMN()/2+1,FALSE)=0,"",VLOOKUP($A139,数出表_Excel!$A$6:$T$150,COLUMN()/2+1,FALSE))),"")</f>
        <v/>
      </c>
      <c r="Q139" s="114"/>
      <c r="R139" s="114" t="str">
        <f ca="1">IFERROR(VALUE(IF(VLOOKUP($A139,数出表_Excel!$A$6:$T$150,COLUMN()/2+1,FALSE)=0,"",VLOOKUP($A139,数出表_Excel!$A$6:$T$150,COLUMN()/2+1,FALSE))),"")</f>
        <v/>
      </c>
      <c r="S139" s="114"/>
      <c r="T139" s="114" t="str">
        <f ca="1">IFERROR(VALUE(IF(VLOOKUP($A139,数出表_Excel!$A$6:$T$150,COLUMN()/2+1,FALSE)=0,"",VLOOKUP($A139,数出表_Excel!$A$6:$T$150,COLUMN()/2+1,FALSE))),"")</f>
        <v/>
      </c>
      <c r="U139" s="114"/>
      <c r="V139" s="118" t="str">
        <f ca="1">IFERROR(VALUE(IF(VLOOKUP($A139,数出表_Excel!$A$6:$T$150,COLUMN()/2+1,FALSE)=0,"",VLOOKUP($A139,数出表_Excel!$A$6:$T$150,COLUMN()/2+1,FALSE))),"")</f>
        <v/>
      </c>
      <c r="W139" s="114"/>
      <c r="X139" s="118" t="str">
        <f ca="1">IFERROR(VALUE(IF(VLOOKUP($A139,数出表_Excel!$A$6:$T$150,COLUMN()/2+1,FALSE)=0,"",VLOOKUP($A139,数出表_Excel!$A$6:$T$150,COLUMN()/2+1,FALSE))),"")</f>
        <v/>
      </c>
      <c r="Y139" s="114"/>
      <c r="Z139" s="118" t="str">
        <f ca="1">IFERROR(VALUE(IF(VLOOKUP($A139,数出表_Excel!$A$6:$T$150,COLUMN()/2+1,FALSE)=0,"",VLOOKUP($A139,数出表_Excel!$A$6:$T$150,COLUMN()/2+1,FALSE))),"")</f>
        <v/>
      </c>
      <c r="AA139" s="152"/>
      <c r="AB139" s="119" t="str">
        <f ca="1">IFERROR(VALUE(IF(VLOOKUP($A139,数出表_Excel!$A$6:$T$150,COLUMN()/2+1,FALSE)=0,"",VLOOKUP($A139,数出表_Excel!$A$6:$T$150,COLUMN()/2+1,FALSE))),"")</f>
        <v/>
      </c>
      <c r="AC139" s="114"/>
      <c r="AD139" s="118" t="str">
        <f ca="1">IFERROR(VALUE(IF(VLOOKUP($A139,数出表_Excel!$A$6:$T$150,COLUMN()/2+1,FALSE)=0,"",VLOOKUP($A139,数出表_Excel!$A$6:$T$150,COLUMN()/2+1,FALSE))),"")</f>
        <v/>
      </c>
      <c r="AE139" s="114"/>
      <c r="AF139" s="118" t="str">
        <f ca="1">IFERROR(VALUE(IF(VLOOKUP($A139,数出表_Excel!$A$6:$T$150,COLUMN()/2+1,FALSE)=0,"",VLOOKUP($A139,数出表_Excel!$A$6:$T$150,COLUMN()/2+1,FALSE))),"")</f>
        <v/>
      </c>
      <c r="AG139" s="114"/>
      <c r="AH139" s="118" t="str">
        <f ca="1">IFERROR(VALUE(IF(VLOOKUP($A139,数出表_Excel!$A$6:$T$150,COLUMN()/2+1,FALSE)=0,"",VLOOKUP($A139,数出表_Excel!$A$6:$T$150,COLUMN()/2+1,FALSE))),"")</f>
        <v/>
      </c>
      <c r="AI139" s="152"/>
      <c r="AJ139" s="119" t="str">
        <f ca="1">IFERROR(VALUE(IF(VLOOKUP($A139,数出表_Excel!$A$6:$T$150,COLUMN()/2+1,FALSE)=0,"",VLOOKUP($A139,数出表_Excel!$A$6:$T$150,COLUMN()/2+1,FALSE))),"")</f>
        <v/>
      </c>
      <c r="AK139" s="114"/>
      <c r="AL139" s="120" t="e">
        <f ca="1">IF(A139&lt;&gt;"",
IF(VLOOKUP($A139,数出表_Excel!$A$6:$T$150,COLUMN()/2+1,FALSE)=0,"",VLOOKUP($A139,数出表_Excel!$A$6:$T$150,COLUMN()/2+1,FALSE)),"")</f>
        <v>#N/A</v>
      </c>
      <c r="AM139" s="200" t="e">
        <f>数出表_Excel!V139</f>
        <v>#N/A</v>
      </c>
      <c r="AN139" s="201" t="e">
        <f>数出表_Excel!W139</f>
        <v>#N/A</v>
      </c>
    </row>
    <row r="140" spans="1:40" ht="16.2" customHeight="1">
      <c r="A140" s="160" t="e">
        <f t="array" aca="1" ref="A140" ca="1">IF(OR(COUNTIF(A138,"*10002*"),COUNTIF(A138,"")),"",INDEX(貼り付け用!$A1:$A200,MATCH(A138,貼り付け用!$A1:$A200,0)+2,0))</f>
        <v>#N/A</v>
      </c>
      <c r="B140" s="148" t="str">
        <f ca="1">IFERROR(VALUE(IF(VLOOKUP($A140,数出表_Excel!$A$6:$T$150,COLUMN()/2+1,FALSE)=0,"",VLOOKUP($A140,数出表_Excel!$A$6:$T$150,COLUMN()/2+1,FALSE))),"")</f>
        <v/>
      </c>
      <c r="C140" s="113"/>
      <c r="D140" s="148" t="str">
        <f ca="1">IFERROR(VALUE(IF(VLOOKUP($A140,数出表_Excel!$A$6:$T$150,COLUMN()/2+1,FALSE)=0,"",VLOOKUP($A140,数出表_Excel!$A$6:$T$150,COLUMN()/2+1,FALSE))),"")</f>
        <v/>
      </c>
      <c r="E140" s="113"/>
      <c r="F140" s="150" t="str">
        <f ca="1">IFERROR(VALUE(IF(VLOOKUP($A140,数出表_Excel!$A$6:$T$150,COLUMN()/2+1,FALSE)=0,"",VLOOKUP($A140,数出表_Excel!$A$6:$T$150,COLUMN()/2+1,FALSE))),"")</f>
        <v/>
      </c>
      <c r="G140" s="113"/>
      <c r="H140" s="148" t="str">
        <f ca="1">IFERROR(VALUE(IF(VLOOKUP($A140,数出表_Excel!$A$6:$T$150,COLUMN()/2+1,FALSE)=0,"",VLOOKUP($A140,数出表_Excel!$A$6:$T$150,COLUMN()/2+1,FALSE))),"")</f>
        <v/>
      </c>
      <c r="I140" s="113"/>
      <c r="J140" s="148" t="str">
        <f ca="1">IFERROR(VALUE(IF(VLOOKUP($A140,数出表_Excel!$A$6:$T$150,COLUMN()/2+1,FALSE)=0,"",VLOOKUP($A140,数出表_Excel!$A$6:$T$150,COLUMN()/2+1,FALSE))),"")</f>
        <v/>
      </c>
      <c r="K140" s="113"/>
      <c r="L140" s="150" t="str">
        <f ca="1">IFERROR(VALUE(IF(VLOOKUP($A140,数出表_Excel!$A$6:$T$150,COLUMN()/2+1,FALSE)=0,"",VLOOKUP($A140,数出表_Excel!$A$6:$T$150,COLUMN()/2+1,FALSE))),"")</f>
        <v/>
      </c>
      <c r="M140" s="113"/>
      <c r="N140" s="148" t="str">
        <f ca="1">IFERROR(VALUE(IF(VLOOKUP($A140,数出表_Excel!$A$6:$T$150,COLUMN()/2+1,FALSE)=0,"",VLOOKUP($A140,数出表_Excel!$A$6:$T$150,COLUMN()/2+1,FALSE))),"")</f>
        <v/>
      </c>
      <c r="O140" s="113"/>
      <c r="P140" s="148" t="str">
        <f ca="1">IFERROR(VALUE(IF(VLOOKUP($A140,数出表_Excel!$A$6:$T$150,COLUMN()/2+1,FALSE)=0,"",VLOOKUP($A140,数出表_Excel!$A$6:$T$150,COLUMN()/2+1,FALSE))),"")</f>
        <v/>
      </c>
      <c r="Q140" s="113"/>
      <c r="R140" s="148" t="str">
        <f ca="1">IFERROR(VALUE(IF(VLOOKUP($A140,数出表_Excel!$A$6:$T$150,COLUMN()/2+1,FALSE)=0,"",VLOOKUP($A140,数出表_Excel!$A$6:$T$150,COLUMN()/2+1,FALSE))),"")</f>
        <v/>
      </c>
      <c r="S140" s="113"/>
      <c r="T140" s="148" t="str">
        <f ca="1">IFERROR(VALUE(IF(VLOOKUP($A140,数出表_Excel!$A$6:$T$150,COLUMN()/2+1,FALSE)=0,"",VLOOKUP($A140,数出表_Excel!$A$6:$T$150,COLUMN()/2+1,FALSE))),"")</f>
        <v/>
      </c>
      <c r="U140" s="113"/>
      <c r="V140" s="150" t="str">
        <f ca="1">IFERROR(VALUE(IF(VLOOKUP($A140,数出表_Excel!$A$6:$T$150,COLUMN()/2+1,FALSE)=0,"",VLOOKUP($A140,数出表_Excel!$A$6:$T$150,COLUMN()/2+1,FALSE))),"")</f>
        <v/>
      </c>
      <c r="W140" s="113"/>
      <c r="X140" s="150" t="str">
        <f ca="1">IFERROR(VALUE(IF(VLOOKUP($A140,数出表_Excel!$A$6:$T$150,COLUMN()/2+1,FALSE)=0,"",VLOOKUP($A140,数出表_Excel!$A$6:$T$150,COLUMN()/2+1,FALSE))),"")</f>
        <v/>
      </c>
      <c r="Y140" s="113"/>
      <c r="Z140" s="150" t="str">
        <f ca="1">IFERROR(VALUE(IF(VLOOKUP($A140,数出表_Excel!$A$6:$T$150,COLUMN()/2+1,FALSE)=0,"",VLOOKUP($A140,数出表_Excel!$A$6:$T$150,COLUMN()/2+1,FALSE))),"")</f>
        <v/>
      </c>
      <c r="AA140" s="151"/>
      <c r="AB140" s="149" t="str">
        <f ca="1">IFERROR(VALUE(IF(VLOOKUP($A140,数出表_Excel!$A$6:$T$150,COLUMN()/2+1,FALSE)=0,"",VLOOKUP($A140,数出表_Excel!$A$6:$T$150,COLUMN()/2+1,FALSE))),"")</f>
        <v/>
      </c>
      <c r="AC140" s="113"/>
      <c r="AD140" s="150" t="str">
        <f ca="1">IFERROR(VALUE(IF(VLOOKUP($A140,数出表_Excel!$A$6:$T$150,COLUMN()/2+1,FALSE)=0,"",VLOOKUP($A140,数出表_Excel!$A$6:$T$150,COLUMN()/2+1,FALSE))),"")</f>
        <v/>
      </c>
      <c r="AE140" s="113"/>
      <c r="AF140" s="150" t="str">
        <f ca="1">IFERROR(VALUE(IF(VLOOKUP($A140,数出表_Excel!$A$6:$T$150,COLUMN()/2+1,FALSE)=0,"",VLOOKUP($A140,数出表_Excel!$A$6:$T$150,COLUMN()/2+1,FALSE))),"")</f>
        <v/>
      </c>
      <c r="AG140" s="113"/>
      <c r="AH140" s="150" t="str">
        <f ca="1">IFERROR(VALUE(IF(VLOOKUP($A140,数出表_Excel!$A$6:$T$150,COLUMN()/2+1,FALSE)=0,"",VLOOKUP($A140,数出表_Excel!$A$6:$T$150,COLUMN()/2+1,FALSE))),"")</f>
        <v/>
      </c>
      <c r="AI140" s="151"/>
      <c r="AJ140" s="149" t="str">
        <f ca="1">IFERROR(VALUE(IF(VLOOKUP($A140,数出表_Excel!$A$6:$T$150,COLUMN()/2+1,FALSE)=0,"",VLOOKUP($A140,数出表_Excel!$A$6:$T$150,COLUMN()/2+1,FALSE))),"")</f>
        <v/>
      </c>
      <c r="AK140" s="113"/>
      <c r="AL140" s="117" t="e">
        <f ca="1">IF(A140&lt;&gt;"",
IF(VLOOKUP($A140,数出表_Excel!$A$6:$T$150,COLUMN()/2+1,FALSE)=0,"",VLOOKUP($A140,数出表_Excel!$A$6:$T$150,COLUMN()/2+1,FALSE)),"")</f>
        <v>#N/A</v>
      </c>
      <c r="AM140" s="198" t="e">
        <f>数出表_Excel!V140</f>
        <v>#N/A</v>
      </c>
      <c r="AN140" s="199" t="e">
        <f>数出表_Excel!W140</f>
        <v>#N/A</v>
      </c>
    </row>
    <row r="141" spans="1:40" ht="16.2" customHeight="1">
      <c r="A141" s="161" t="e">
        <f t="array" aca="1" ref="A141" ca="1">IF(OR(COUNTIF(A139,"*1000*"),COUNTIF(A139,"")),"",INDEX(貼り付け用!$A1:$A200,MATCH(A139,貼り付け用!$A1:$A200,0)+2,0))</f>
        <v>#N/A</v>
      </c>
      <c r="B141" s="114" t="str">
        <f ca="1">IFERROR(VALUE(IF(VLOOKUP($A141,数出表_Excel!$A$6:$T$150,COLUMN()/2+1,FALSE)=0,"",VLOOKUP($A141,数出表_Excel!$A$6:$T$150,COLUMN()/2+1,FALSE))),"")</f>
        <v/>
      </c>
      <c r="C141" s="114"/>
      <c r="D141" s="114" t="str">
        <f ca="1">IFERROR(VALUE(IF(VLOOKUP($A141,数出表_Excel!$A$6:$T$150,COLUMN()/2+1,FALSE)=0,"",VLOOKUP($A141,数出表_Excel!$A$6:$T$150,COLUMN()/2+1,FALSE))),"")</f>
        <v/>
      </c>
      <c r="E141" s="114"/>
      <c r="F141" s="118" t="str">
        <f ca="1">IFERROR(VALUE(IF(VLOOKUP($A141,数出表_Excel!$A$6:$T$150,COLUMN()/2+1,FALSE)=0,"",VLOOKUP($A141,数出表_Excel!$A$6:$T$150,COLUMN()/2+1,FALSE))),"")</f>
        <v/>
      </c>
      <c r="G141" s="114"/>
      <c r="H141" s="114" t="str">
        <f ca="1">IFERROR(VALUE(IF(VLOOKUP($A141,数出表_Excel!$A$6:$T$150,COLUMN()/2+1,FALSE)=0,"",VLOOKUP($A141,数出表_Excel!$A$6:$T$150,COLUMN()/2+1,FALSE))),"")</f>
        <v/>
      </c>
      <c r="I141" s="114"/>
      <c r="J141" s="114" t="str">
        <f ca="1">IFERROR(VALUE(IF(VLOOKUP($A141,数出表_Excel!$A$6:$T$150,COLUMN()/2+1,FALSE)=0,"",VLOOKUP($A141,数出表_Excel!$A$6:$T$150,COLUMN()/2+1,FALSE))),"")</f>
        <v/>
      </c>
      <c r="K141" s="114"/>
      <c r="L141" s="118" t="str">
        <f ca="1">IFERROR(VALUE(IF(VLOOKUP($A141,数出表_Excel!$A$6:$T$150,COLUMN()/2+1,FALSE)=0,"",VLOOKUP($A141,数出表_Excel!$A$6:$T$150,COLUMN()/2+1,FALSE))),"")</f>
        <v/>
      </c>
      <c r="M141" s="114"/>
      <c r="N141" s="114" t="str">
        <f ca="1">IFERROR(VALUE(IF(VLOOKUP($A141,数出表_Excel!$A$6:$T$150,COLUMN()/2+1,FALSE)=0,"",VLOOKUP($A141,数出表_Excel!$A$6:$T$150,COLUMN()/2+1,FALSE))),"")</f>
        <v/>
      </c>
      <c r="O141" s="114"/>
      <c r="P141" s="114" t="str">
        <f ca="1">IFERROR(VALUE(IF(VLOOKUP($A141,数出表_Excel!$A$6:$T$150,COLUMN()/2+1,FALSE)=0,"",VLOOKUP($A141,数出表_Excel!$A$6:$T$150,COLUMN()/2+1,FALSE))),"")</f>
        <v/>
      </c>
      <c r="Q141" s="114"/>
      <c r="R141" s="114" t="str">
        <f ca="1">IFERROR(VALUE(IF(VLOOKUP($A141,数出表_Excel!$A$6:$T$150,COLUMN()/2+1,FALSE)=0,"",VLOOKUP($A141,数出表_Excel!$A$6:$T$150,COLUMN()/2+1,FALSE))),"")</f>
        <v/>
      </c>
      <c r="S141" s="114"/>
      <c r="T141" s="114" t="str">
        <f ca="1">IFERROR(VALUE(IF(VLOOKUP($A141,数出表_Excel!$A$6:$T$150,COLUMN()/2+1,FALSE)=0,"",VLOOKUP($A141,数出表_Excel!$A$6:$T$150,COLUMN()/2+1,FALSE))),"")</f>
        <v/>
      </c>
      <c r="U141" s="114"/>
      <c r="V141" s="118" t="str">
        <f ca="1">IFERROR(VALUE(IF(VLOOKUP($A141,数出表_Excel!$A$6:$T$150,COLUMN()/2+1,FALSE)=0,"",VLOOKUP($A141,数出表_Excel!$A$6:$T$150,COLUMN()/2+1,FALSE))),"")</f>
        <v/>
      </c>
      <c r="W141" s="114"/>
      <c r="X141" s="118" t="str">
        <f ca="1">IFERROR(VALUE(IF(VLOOKUP($A141,数出表_Excel!$A$6:$T$150,COLUMN()/2+1,FALSE)=0,"",VLOOKUP($A141,数出表_Excel!$A$6:$T$150,COLUMN()/2+1,FALSE))),"")</f>
        <v/>
      </c>
      <c r="Y141" s="114"/>
      <c r="Z141" s="118" t="str">
        <f ca="1">IFERROR(VALUE(IF(VLOOKUP($A141,数出表_Excel!$A$6:$T$150,COLUMN()/2+1,FALSE)=0,"",VLOOKUP($A141,数出表_Excel!$A$6:$T$150,COLUMN()/2+1,FALSE))),"")</f>
        <v/>
      </c>
      <c r="AA141" s="152"/>
      <c r="AB141" s="119" t="str">
        <f ca="1">IFERROR(VALUE(IF(VLOOKUP($A141,数出表_Excel!$A$6:$T$150,COLUMN()/2+1,FALSE)=0,"",VLOOKUP($A141,数出表_Excel!$A$6:$T$150,COLUMN()/2+1,FALSE))),"")</f>
        <v/>
      </c>
      <c r="AC141" s="114"/>
      <c r="AD141" s="118" t="str">
        <f ca="1">IFERROR(VALUE(IF(VLOOKUP($A141,数出表_Excel!$A$6:$T$150,COLUMN()/2+1,FALSE)=0,"",VLOOKUP($A141,数出表_Excel!$A$6:$T$150,COLUMN()/2+1,FALSE))),"")</f>
        <v/>
      </c>
      <c r="AE141" s="114"/>
      <c r="AF141" s="118" t="str">
        <f ca="1">IFERROR(VALUE(IF(VLOOKUP($A141,数出表_Excel!$A$6:$T$150,COLUMN()/2+1,FALSE)=0,"",VLOOKUP($A141,数出表_Excel!$A$6:$T$150,COLUMN()/2+1,FALSE))),"")</f>
        <v/>
      </c>
      <c r="AG141" s="114"/>
      <c r="AH141" s="118" t="str">
        <f ca="1">IFERROR(VALUE(IF(VLOOKUP($A141,数出表_Excel!$A$6:$T$150,COLUMN()/2+1,FALSE)=0,"",VLOOKUP($A141,数出表_Excel!$A$6:$T$150,COLUMN()/2+1,FALSE))),"")</f>
        <v/>
      </c>
      <c r="AI141" s="152"/>
      <c r="AJ141" s="119" t="str">
        <f ca="1">IFERROR(VALUE(IF(VLOOKUP($A141,数出表_Excel!$A$6:$T$150,COLUMN()/2+1,FALSE)=0,"",VLOOKUP($A141,数出表_Excel!$A$6:$T$150,COLUMN()/2+1,FALSE))),"")</f>
        <v/>
      </c>
      <c r="AK141" s="114"/>
      <c r="AL141" s="120" t="e">
        <f ca="1">IF(A141&lt;&gt;"",
IF(VLOOKUP($A141,数出表_Excel!$A$6:$T$150,COLUMN()/2+1,FALSE)=0,"",VLOOKUP($A141,数出表_Excel!$A$6:$T$150,COLUMN()/2+1,FALSE)),"")</f>
        <v>#N/A</v>
      </c>
      <c r="AM141" s="200" t="e">
        <f>数出表_Excel!V141</f>
        <v>#N/A</v>
      </c>
      <c r="AN141" s="201" t="e">
        <f>数出表_Excel!W141</f>
        <v>#N/A</v>
      </c>
    </row>
    <row r="142" spans="1:40" ht="16.2" customHeight="1">
      <c r="A142" s="160" t="e">
        <f t="array" aca="1" ref="A142" ca="1">IF(OR(COUNTIF(A140,"*10002*"),COUNTIF(A140,"")),"",INDEX(貼り付け用!$A1:$A200,MATCH(A140,貼り付け用!$A1:$A200,0)+2,0))</f>
        <v>#N/A</v>
      </c>
      <c r="B142" s="148" t="str">
        <f ca="1">IFERROR(VALUE(IF(VLOOKUP($A142,数出表_Excel!$A$6:$T$150,COLUMN()/2+1,FALSE)=0,"",VLOOKUP($A142,数出表_Excel!$A$6:$T$150,COLUMN()/2+1,FALSE))),"")</f>
        <v/>
      </c>
      <c r="C142" s="113"/>
      <c r="D142" s="148" t="str">
        <f ca="1">IFERROR(VALUE(IF(VLOOKUP($A142,数出表_Excel!$A$6:$T$150,COLUMN()/2+1,FALSE)=0,"",VLOOKUP($A142,数出表_Excel!$A$6:$T$150,COLUMN()/2+1,FALSE))),"")</f>
        <v/>
      </c>
      <c r="E142" s="113"/>
      <c r="F142" s="150" t="str">
        <f ca="1">IFERROR(VALUE(IF(VLOOKUP($A142,数出表_Excel!$A$6:$T$150,COLUMN()/2+1,FALSE)=0,"",VLOOKUP($A142,数出表_Excel!$A$6:$T$150,COLUMN()/2+1,FALSE))),"")</f>
        <v/>
      </c>
      <c r="G142" s="113"/>
      <c r="H142" s="148" t="str">
        <f ca="1">IFERROR(VALUE(IF(VLOOKUP($A142,数出表_Excel!$A$6:$T$150,COLUMN()/2+1,FALSE)=0,"",VLOOKUP($A142,数出表_Excel!$A$6:$T$150,COLUMN()/2+1,FALSE))),"")</f>
        <v/>
      </c>
      <c r="I142" s="113"/>
      <c r="J142" s="148" t="str">
        <f ca="1">IFERROR(VALUE(IF(VLOOKUP($A142,数出表_Excel!$A$6:$T$150,COLUMN()/2+1,FALSE)=0,"",VLOOKUP($A142,数出表_Excel!$A$6:$T$150,COLUMN()/2+1,FALSE))),"")</f>
        <v/>
      </c>
      <c r="K142" s="113"/>
      <c r="L142" s="150" t="str">
        <f ca="1">IFERROR(VALUE(IF(VLOOKUP($A142,数出表_Excel!$A$6:$T$150,COLUMN()/2+1,FALSE)=0,"",VLOOKUP($A142,数出表_Excel!$A$6:$T$150,COLUMN()/2+1,FALSE))),"")</f>
        <v/>
      </c>
      <c r="M142" s="113"/>
      <c r="N142" s="148" t="str">
        <f ca="1">IFERROR(VALUE(IF(VLOOKUP($A142,数出表_Excel!$A$6:$T$150,COLUMN()/2+1,FALSE)=0,"",VLOOKUP($A142,数出表_Excel!$A$6:$T$150,COLUMN()/2+1,FALSE))),"")</f>
        <v/>
      </c>
      <c r="O142" s="113"/>
      <c r="P142" s="148" t="str">
        <f ca="1">IFERROR(VALUE(IF(VLOOKUP($A142,数出表_Excel!$A$6:$T$150,COLUMN()/2+1,FALSE)=0,"",VLOOKUP($A142,数出表_Excel!$A$6:$T$150,COLUMN()/2+1,FALSE))),"")</f>
        <v/>
      </c>
      <c r="Q142" s="113"/>
      <c r="R142" s="148" t="str">
        <f ca="1">IFERROR(VALUE(IF(VLOOKUP($A142,数出表_Excel!$A$6:$T$150,COLUMN()/2+1,FALSE)=0,"",VLOOKUP($A142,数出表_Excel!$A$6:$T$150,COLUMN()/2+1,FALSE))),"")</f>
        <v/>
      </c>
      <c r="S142" s="113"/>
      <c r="T142" s="148" t="str">
        <f ca="1">IFERROR(VALUE(IF(VLOOKUP($A142,数出表_Excel!$A$6:$T$150,COLUMN()/2+1,FALSE)=0,"",VLOOKUP($A142,数出表_Excel!$A$6:$T$150,COLUMN()/2+1,FALSE))),"")</f>
        <v/>
      </c>
      <c r="U142" s="113"/>
      <c r="V142" s="150" t="str">
        <f ca="1">IFERROR(VALUE(IF(VLOOKUP($A142,数出表_Excel!$A$6:$T$150,COLUMN()/2+1,FALSE)=0,"",VLOOKUP($A142,数出表_Excel!$A$6:$T$150,COLUMN()/2+1,FALSE))),"")</f>
        <v/>
      </c>
      <c r="W142" s="113"/>
      <c r="X142" s="150" t="str">
        <f ca="1">IFERROR(VALUE(IF(VLOOKUP($A142,数出表_Excel!$A$6:$T$150,COLUMN()/2+1,FALSE)=0,"",VLOOKUP($A142,数出表_Excel!$A$6:$T$150,COLUMN()/2+1,FALSE))),"")</f>
        <v/>
      </c>
      <c r="Y142" s="113"/>
      <c r="Z142" s="150" t="str">
        <f ca="1">IFERROR(VALUE(IF(VLOOKUP($A142,数出表_Excel!$A$6:$T$150,COLUMN()/2+1,FALSE)=0,"",VLOOKUP($A142,数出表_Excel!$A$6:$T$150,COLUMN()/2+1,FALSE))),"")</f>
        <v/>
      </c>
      <c r="AA142" s="151"/>
      <c r="AB142" s="149" t="str">
        <f ca="1">IFERROR(VALUE(IF(VLOOKUP($A142,数出表_Excel!$A$6:$T$150,COLUMN()/2+1,FALSE)=0,"",VLOOKUP($A142,数出表_Excel!$A$6:$T$150,COLUMN()/2+1,FALSE))),"")</f>
        <v/>
      </c>
      <c r="AC142" s="113"/>
      <c r="AD142" s="150" t="str">
        <f ca="1">IFERROR(VALUE(IF(VLOOKUP($A142,数出表_Excel!$A$6:$T$150,COLUMN()/2+1,FALSE)=0,"",VLOOKUP($A142,数出表_Excel!$A$6:$T$150,COLUMN()/2+1,FALSE))),"")</f>
        <v/>
      </c>
      <c r="AE142" s="113"/>
      <c r="AF142" s="150" t="str">
        <f ca="1">IFERROR(VALUE(IF(VLOOKUP($A142,数出表_Excel!$A$6:$T$150,COLUMN()/2+1,FALSE)=0,"",VLOOKUP($A142,数出表_Excel!$A$6:$T$150,COLUMN()/2+1,FALSE))),"")</f>
        <v/>
      </c>
      <c r="AG142" s="113"/>
      <c r="AH142" s="150" t="str">
        <f ca="1">IFERROR(VALUE(IF(VLOOKUP($A142,数出表_Excel!$A$6:$T$150,COLUMN()/2+1,FALSE)=0,"",VLOOKUP($A142,数出表_Excel!$A$6:$T$150,COLUMN()/2+1,FALSE))),"")</f>
        <v/>
      </c>
      <c r="AI142" s="151"/>
      <c r="AJ142" s="149" t="str">
        <f ca="1">IFERROR(VALUE(IF(VLOOKUP($A142,数出表_Excel!$A$6:$T$150,COLUMN()/2+1,FALSE)=0,"",VLOOKUP($A142,数出表_Excel!$A$6:$T$150,COLUMN()/2+1,FALSE))),"")</f>
        <v/>
      </c>
      <c r="AK142" s="113"/>
      <c r="AL142" s="117" t="e">
        <f ca="1">IF(A142&lt;&gt;"",
IF(VLOOKUP($A142,数出表_Excel!$A$6:$T$150,COLUMN()/2+1,FALSE)=0,"",VLOOKUP($A142,数出表_Excel!$A$6:$T$150,COLUMN()/2+1,FALSE)),"")</f>
        <v>#N/A</v>
      </c>
      <c r="AM142" s="198" t="e">
        <f>数出表_Excel!V142</f>
        <v>#N/A</v>
      </c>
      <c r="AN142" s="199" t="e">
        <f>数出表_Excel!W142</f>
        <v>#N/A</v>
      </c>
    </row>
    <row r="143" spans="1:40" ht="16.2" customHeight="1">
      <c r="A143" s="161" t="e">
        <f t="array" aca="1" ref="A143" ca="1">IF(OR(COUNTIF(A141,"*1000*"),COUNTIF(A141,"")),"",INDEX(貼り付け用!$A1:$A200,MATCH(A141,貼り付け用!$A1:$A200,0)+2,0))</f>
        <v>#N/A</v>
      </c>
      <c r="B143" s="114" t="str">
        <f ca="1">IFERROR(VALUE(IF(VLOOKUP($A143,数出表_Excel!$A$6:$T$150,COLUMN()/2+1,FALSE)=0,"",VLOOKUP($A143,数出表_Excel!$A$6:$T$150,COLUMN()/2+1,FALSE))),"")</f>
        <v/>
      </c>
      <c r="C143" s="114"/>
      <c r="D143" s="114" t="str">
        <f ca="1">IFERROR(VALUE(IF(VLOOKUP($A143,数出表_Excel!$A$6:$T$150,COLUMN()/2+1,FALSE)=0,"",VLOOKUP($A143,数出表_Excel!$A$6:$T$150,COLUMN()/2+1,FALSE))),"")</f>
        <v/>
      </c>
      <c r="E143" s="114"/>
      <c r="F143" s="118" t="str">
        <f ca="1">IFERROR(VALUE(IF(VLOOKUP($A143,数出表_Excel!$A$6:$T$150,COLUMN()/2+1,FALSE)=0,"",VLOOKUP($A143,数出表_Excel!$A$6:$T$150,COLUMN()/2+1,FALSE))),"")</f>
        <v/>
      </c>
      <c r="G143" s="114"/>
      <c r="H143" s="114" t="str">
        <f ca="1">IFERROR(VALUE(IF(VLOOKUP($A143,数出表_Excel!$A$6:$T$150,COLUMN()/2+1,FALSE)=0,"",VLOOKUP($A143,数出表_Excel!$A$6:$T$150,COLUMN()/2+1,FALSE))),"")</f>
        <v/>
      </c>
      <c r="I143" s="114"/>
      <c r="J143" s="114" t="str">
        <f ca="1">IFERROR(VALUE(IF(VLOOKUP($A143,数出表_Excel!$A$6:$T$150,COLUMN()/2+1,FALSE)=0,"",VLOOKUP($A143,数出表_Excel!$A$6:$T$150,COLUMN()/2+1,FALSE))),"")</f>
        <v/>
      </c>
      <c r="K143" s="114"/>
      <c r="L143" s="118" t="str">
        <f ca="1">IFERROR(VALUE(IF(VLOOKUP($A143,数出表_Excel!$A$6:$T$150,COLUMN()/2+1,FALSE)=0,"",VLOOKUP($A143,数出表_Excel!$A$6:$T$150,COLUMN()/2+1,FALSE))),"")</f>
        <v/>
      </c>
      <c r="M143" s="114"/>
      <c r="N143" s="114" t="str">
        <f ca="1">IFERROR(VALUE(IF(VLOOKUP($A143,数出表_Excel!$A$6:$T$150,COLUMN()/2+1,FALSE)=0,"",VLOOKUP($A143,数出表_Excel!$A$6:$T$150,COLUMN()/2+1,FALSE))),"")</f>
        <v/>
      </c>
      <c r="O143" s="114"/>
      <c r="P143" s="114" t="str">
        <f ca="1">IFERROR(VALUE(IF(VLOOKUP($A143,数出表_Excel!$A$6:$T$150,COLUMN()/2+1,FALSE)=0,"",VLOOKUP($A143,数出表_Excel!$A$6:$T$150,COLUMN()/2+1,FALSE))),"")</f>
        <v/>
      </c>
      <c r="Q143" s="114"/>
      <c r="R143" s="114" t="str">
        <f ca="1">IFERROR(VALUE(IF(VLOOKUP($A143,数出表_Excel!$A$6:$T$150,COLUMN()/2+1,FALSE)=0,"",VLOOKUP($A143,数出表_Excel!$A$6:$T$150,COLUMN()/2+1,FALSE))),"")</f>
        <v/>
      </c>
      <c r="S143" s="114"/>
      <c r="T143" s="114" t="str">
        <f ca="1">IFERROR(VALUE(IF(VLOOKUP($A143,数出表_Excel!$A$6:$T$150,COLUMN()/2+1,FALSE)=0,"",VLOOKUP($A143,数出表_Excel!$A$6:$T$150,COLUMN()/2+1,FALSE))),"")</f>
        <v/>
      </c>
      <c r="U143" s="114"/>
      <c r="V143" s="118" t="str">
        <f ca="1">IFERROR(VALUE(IF(VLOOKUP($A143,数出表_Excel!$A$6:$T$150,COLUMN()/2+1,FALSE)=0,"",VLOOKUP($A143,数出表_Excel!$A$6:$T$150,COLUMN()/2+1,FALSE))),"")</f>
        <v/>
      </c>
      <c r="W143" s="114"/>
      <c r="X143" s="118" t="str">
        <f ca="1">IFERROR(VALUE(IF(VLOOKUP($A143,数出表_Excel!$A$6:$T$150,COLUMN()/2+1,FALSE)=0,"",VLOOKUP($A143,数出表_Excel!$A$6:$T$150,COLUMN()/2+1,FALSE))),"")</f>
        <v/>
      </c>
      <c r="Y143" s="114"/>
      <c r="Z143" s="118" t="str">
        <f ca="1">IFERROR(VALUE(IF(VLOOKUP($A143,数出表_Excel!$A$6:$T$150,COLUMN()/2+1,FALSE)=0,"",VLOOKUP($A143,数出表_Excel!$A$6:$T$150,COLUMN()/2+1,FALSE))),"")</f>
        <v/>
      </c>
      <c r="AA143" s="152"/>
      <c r="AB143" s="119" t="str">
        <f ca="1">IFERROR(VALUE(IF(VLOOKUP($A143,数出表_Excel!$A$6:$T$150,COLUMN()/2+1,FALSE)=0,"",VLOOKUP($A143,数出表_Excel!$A$6:$T$150,COLUMN()/2+1,FALSE))),"")</f>
        <v/>
      </c>
      <c r="AC143" s="114"/>
      <c r="AD143" s="118" t="str">
        <f ca="1">IFERROR(VALUE(IF(VLOOKUP($A143,数出表_Excel!$A$6:$T$150,COLUMN()/2+1,FALSE)=0,"",VLOOKUP($A143,数出表_Excel!$A$6:$T$150,COLUMN()/2+1,FALSE))),"")</f>
        <v/>
      </c>
      <c r="AE143" s="114"/>
      <c r="AF143" s="118" t="str">
        <f ca="1">IFERROR(VALUE(IF(VLOOKUP($A143,数出表_Excel!$A$6:$T$150,COLUMN()/2+1,FALSE)=0,"",VLOOKUP($A143,数出表_Excel!$A$6:$T$150,COLUMN()/2+1,FALSE))),"")</f>
        <v/>
      </c>
      <c r="AG143" s="114"/>
      <c r="AH143" s="118" t="str">
        <f ca="1">IFERROR(VALUE(IF(VLOOKUP($A143,数出表_Excel!$A$6:$T$150,COLUMN()/2+1,FALSE)=0,"",VLOOKUP($A143,数出表_Excel!$A$6:$T$150,COLUMN()/2+1,FALSE))),"")</f>
        <v/>
      </c>
      <c r="AI143" s="152"/>
      <c r="AJ143" s="119" t="str">
        <f ca="1">IFERROR(VALUE(IF(VLOOKUP($A143,数出表_Excel!$A$6:$T$150,COLUMN()/2+1,FALSE)=0,"",VLOOKUP($A143,数出表_Excel!$A$6:$T$150,COLUMN()/2+1,FALSE))),"")</f>
        <v/>
      </c>
      <c r="AK143" s="114"/>
      <c r="AL143" s="120" t="e">
        <f ca="1">IF(A143&lt;&gt;"",
IF(VLOOKUP($A143,数出表_Excel!$A$6:$T$150,COLUMN()/2+1,FALSE)=0,"",VLOOKUP($A143,数出表_Excel!$A$6:$T$150,COLUMN()/2+1,FALSE)),"")</f>
        <v>#N/A</v>
      </c>
      <c r="AM143" s="200" t="e">
        <f>数出表_Excel!V143</f>
        <v>#N/A</v>
      </c>
      <c r="AN143" s="201" t="e">
        <f>数出表_Excel!W143</f>
        <v>#N/A</v>
      </c>
    </row>
    <row r="144" spans="1:40" ht="16.2" customHeight="1">
      <c r="A144" s="160" t="e">
        <f t="array" aca="1" ref="A144" ca="1">IF(OR(COUNTIF(A142,"*10002*"),COUNTIF(A142,"")),"",INDEX(貼り付け用!$A1:$A200,MATCH(A142,貼り付け用!$A1:$A200,0)+2,0))</f>
        <v>#N/A</v>
      </c>
      <c r="B144" s="148" t="str">
        <f ca="1">IFERROR(VALUE(IF(VLOOKUP($A144,数出表_Excel!$A$6:$T$150,COLUMN()/2+1,FALSE)=0,"",VLOOKUP($A144,数出表_Excel!$A$6:$T$150,COLUMN()/2+1,FALSE))),"")</f>
        <v/>
      </c>
      <c r="C144" s="113"/>
      <c r="D144" s="148" t="str">
        <f ca="1">IFERROR(VALUE(IF(VLOOKUP($A144,数出表_Excel!$A$6:$T$150,COLUMN()/2+1,FALSE)=0,"",VLOOKUP($A144,数出表_Excel!$A$6:$T$150,COLUMN()/2+1,FALSE))),"")</f>
        <v/>
      </c>
      <c r="E144" s="113"/>
      <c r="F144" s="150" t="str">
        <f ca="1">IFERROR(VALUE(IF(VLOOKUP($A144,数出表_Excel!$A$6:$T$150,COLUMN()/2+1,FALSE)=0,"",VLOOKUP($A144,数出表_Excel!$A$6:$T$150,COLUMN()/2+1,FALSE))),"")</f>
        <v/>
      </c>
      <c r="G144" s="113"/>
      <c r="H144" s="148" t="str">
        <f ca="1">IFERROR(VALUE(IF(VLOOKUP($A144,数出表_Excel!$A$6:$T$150,COLUMN()/2+1,FALSE)=0,"",VLOOKUP($A144,数出表_Excel!$A$6:$T$150,COLUMN()/2+1,FALSE))),"")</f>
        <v/>
      </c>
      <c r="I144" s="113"/>
      <c r="J144" s="148" t="str">
        <f ca="1">IFERROR(VALUE(IF(VLOOKUP($A144,数出表_Excel!$A$6:$T$150,COLUMN()/2+1,FALSE)=0,"",VLOOKUP($A144,数出表_Excel!$A$6:$T$150,COLUMN()/2+1,FALSE))),"")</f>
        <v/>
      </c>
      <c r="K144" s="113"/>
      <c r="L144" s="150" t="str">
        <f ca="1">IFERROR(VALUE(IF(VLOOKUP($A144,数出表_Excel!$A$6:$T$150,COLUMN()/2+1,FALSE)=0,"",VLOOKUP($A144,数出表_Excel!$A$6:$T$150,COLUMN()/2+1,FALSE))),"")</f>
        <v/>
      </c>
      <c r="M144" s="113"/>
      <c r="N144" s="148" t="str">
        <f ca="1">IFERROR(VALUE(IF(VLOOKUP($A144,数出表_Excel!$A$6:$T$150,COLUMN()/2+1,FALSE)=0,"",VLOOKUP($A144,数出表_Excel!$A$6:$T$150,COLUMN()/2+1,FALSE))),"")</f>
        <v/>
      </c>
      <c r="O144" s="113"/>
      <c r="P144" s="148" t="str">
        <f ca="1">IFERROR(VALUE(IF(VLOOKUP($A144,数出表_Excel!$A$6:$T$150,COLUMN()/2+1,FALSE)=0,"",VLOOKUP($A144,数出表_Excel!$A$6:$T$150,COLUMN()/2+1,FALSE))),"")</f>
        <v/>
      </c>
      <c r="Q144" s="113"/>
      <c r="R144" s="148" t="str">
        <f ca="1">IFERROR(VALUE(IF(VLOOKUP($A144,数出表_Excel!$A$6:$T$150,COLUMN()/2+1,FALSE)=0,"",VLOOKUP($A144,数出表_Excel!$A$6:$T$150,COLUMN()/2+1,FALSE))),"")</f>
        <v/>
      </c>
      <c r="S144" s="113"/>
      <c r="T144" s="148" t="str">
        <f ca="1">IFERROR(VALUE(IF(VLOOKUP($A144,数出表_Excel!$A$6:$T$150,COLUMN()/2+1,FALSE)=0,"",VLOOKUP($A144,数出表_Excel!$A$6:$T$150,COLUMN()/2+1,FALSE))),"")</f>
        <v/>
      </c>
      <c r="U144" s="113"/>
      <c r="V144" s="150" t="str">
        <f ca="1">IFERROR(VALUE(IF(VLOOKUP($A144,数出表_Excel!$A$6:$T$150,COLUMN()/2+1,FALSE)=0,"",VLOOKUP($A144,数出表_Excel!$A$6:$T$150,COLUMN()/2+1,FALSE))),"")</f>
        <v/>
      </c>
      <c r="W144" s="113"/>
      <c r="X144" s="150" t="str">
        <f ca="1">IFERROR(VALUE(IF(VLOOKUP($A144,数出表_Excel!$A$6:$T$150,COLUMN()/2+1,FALSE)=0,"",VLOOKUP($A144,数出表_Excel!$A$6:$T$150,COLUMN()/2+1,FALSE))),"")</f>
        <v/>
      </c>
      <c r="Y144" s="113"/>
      <c r="Z144" s="150" t="str">
        <f ca="1">IFERROR(VALUE(IF(VLOOKUP($A144,数出表_Excel!$A$6:$T$150,COLUMN()/2+1,FALSE)=0,"",VLOOKUP($A144,数出表_Excel!$A$6:$T$150,COLUMN()/2+1,FALSE))),"")</f>
        <v/>
      </c>
      <c r="AA144" s="151"/>
      <c r="AB144" s="149" t="str">
        <f ca="1">IFERROR(VALUE(IF(VLOOKUP($A144,数出表_Excel!$A$6:$T$150,COLUMN()/2+1,FALSE)=0,"",VLOOKUP($A144,数出表_Excel!$A$6:$T$150,COLUMN()/2+1,FALSE))),"")</f>
        <v/>
      </c>
      <c r="AC144" s="113"/>
      <c r="AD144" s="150" t="str">
        <f ca="1">IFERROR(VALUE(IF(VLOOKUP($A144,数出表_Excel!$A$6:$T$150,COLUMN()/2+1,FALSE)=0,"",VLOOKUP($A144,数出表_Excel!$A$6:$T$150,COLUMN()/2+1,FALSE))),"")</f>
        <v/>
      </c>
      <c r="AE144" s="113"/>
      <c r="AF144" s="150" t="str">
        <f ca="1">IFERROR(VALUE(IF(VLOOKUP($A144,数出表_Excel!$A$6:$T$150,COLUMN()/2+1,FALSE)=0,"",VLOOKUP($A144,数出表_Excel!$A$6:$T$150,COLUMN()/2+1,FALSE))),"")</f>
        <v/>
      </c>
      <c r="AG144" s="113"/>
      <c r="AH144" s="150" t="str">
        <f ca="1">IFERROR(VALUE(IF(VLOOKUP($A144,数出表_Excel!$A$6:$T$150,COLUMN()/2+1,FALSE)=0,"",VLOOKUP($A144,数出表_Excel!$A$6:$T$150,COLUMN()/2+1,FALSE))),"")</f>
        <v/>
      </c>
      <c r="AI144" s="151"/>
      <c r="AJ144" s="149" t="str">
        <f ca="1">IFERROR(VALUE(IF(VLOOKUP($A144,数出表_Excel!$A$6:$T$150,COLUMN()/2+1,FALSE)=0,"",VLOOKUP($A144,数出表_Excel!$A$6:$T$150,COLUMN()/2+1,FALSE))),"")</f>
        <v/>
      </c>
      <c r="AK144" s="113"/>
      <c r="AL144" s="117" t="e">
        <f ca="1">IF(A144&lt;&gt;"",
IF(VLOOKUP($A144,数出表_Excel!$A$6:$T$150,COLUMN()/2+1,FALSE)=0,"",VLOOKUP($A144,数出表_Excel!$A$6:$T$150,COLUMN()/2+1,FALSE)),"")</f>
        <v>#N/A</v>
      </c>
      <c r="AM144" s="198" t="e">
        <f>数出表_Excel!V144</f>
        <v>#N/A</v>
      </c>
      <c r="AN144" s="199" t="e">
        <f>数出表_Excel!W144</f>
        <v>#N/A</v>
      </c>
    </row>
    <row r="145" spans="1:40" ht="16.2" customHeight="1">
      <c r="A145" s="161" t="e">
        <f t="array" aca="1" ref="A145" ca="1">IF(OR(COUNTIF(A143,"*1000*"),COUNTIF(A143,"")),"",INDEX(貼り付け用!$A1:$A200,MATCH(A143,貼り付け用!$A1:$A200,0)+2,0))</f>
        <v>#N/A</v>
      </c>
      <c r="B145" s="114" t="str">
        <f ca="1">IFERROR(VALUE(IF(VLOOKUP($A145,数出表_Excel!$A$6:$T$150,COLUMN()/2+1,FALSE)=0,"",VLOOKUP($A145,数出表_Excel!$A$6:$T$150,COLUMN()/2+1,FALSE))),"")</f>
        <v/>
      </c>
      <c r="C145" s="114"/>
      <c r="D145" s="114" t="str">
        <f ca="1">IFERROR(VALUE(IF(VLOOKUP($A145,数出表_Excel!$A$6:$T$150,COLUMN()/2+1,FALSE)=0,"",VLOOKUP($A145,数出表_Excel!$A$6:$T$150,COLUMN()/2+1,FALSE))),"")</f>
        <v/>
      </c>
      <c r="E145" s="114"/>
      <c r="F145" s="118" t="str">
        <f ca="1">IFERROR(VALUE(IF(VLOOKUP($A145,数出表_Excel!$A$6:$T$150,COLUMN()/2+1,FALSE)=0,"",VLOOKUP($A145,数出表_Excel!$A$6:$T$150,COLUMN()/2+1,FALSE))),"")</f>
        <v/>
      </c>
      <c r="G145" s="114"/>
      <c r="H145" s="114" t="str">
        <f ca="1">IFERROR(VALUE(IF(VLOOKUP($A145,数出表_Excel!$A$6:$T$150,COLUMN()/2+1,FALSE)=0,"",VLOOKUP($A145,数出表_Excel!$A$6:$T$150,COLUMN()/2+1,FALSE))),"")</f>
        <v/>
      </c>
      <c r="I145" s="114"/>
      <c r="J145" s="114" t="str">
        <f ca="1">IFERROR(VALUE(IF(VLOOKUP($A145,数出表_Excel!$A$6:$T$150,COLUMN()/2+1,FALSE)=0,"",VLOOKUP($A145,数出表_Excel!$A$6:$T$150,COLUMN()/2+1,FALSE))),"")</f>
        <v/>
      </c>
      <c r="K145" s="114"/>
      <c r="L145" s="118" t="str">
        <f ca="1">IFERROR(VALUE(IF(VLOOKUP($A145,数出表_Excel!$A$6:$T$150,COLUMN()/2+1,FALSE)=0,"",VLOOKUP($A145,数出表_Excel!$A$6:$T$150,COLUMN()/2+1,FALSE))),"")</f>
        <v/>
      </c>
      <c r="M145" s="114"/>
      <c r="N145" s="114" t="str">
        <f ca="1">IFERROR(VALUE(IF(VLOOKUP($A145,数出表_Excel!$A$6:$T$150,COLUMN()/2+1,FALSE)=0,"",VLOOKUP($A145,数出表_Excel!$A$6:$T$150,COLUMN()/2+1,FALSE))),"")</f>
        <v/>
      </c>
      <c r="O145" s="114"/>
      <c r="P145" s="114" t="str">
        <f ca="1">IFERROR(VALUE(IF(VLOOKUP($A145,数出表_Excel!$A$6:$T$150,COLUMN()/2+1,FALSE)=0,"",VLOOKUP($A145,数出表_Excel!$A$6:$T$150,COLUMN()/2+1,FALSE))),"")</f>
        <v/>
      </c>
      <c r="Q145" s="114"/>
      <c r="R145" s="114" t="str">
        <f ca="1">IFERROR(VALUE(IF(VLOOKUP($A145,数出表_Excel!$A$6:$T$150,COLUMN()/2+1,FALSE)=0,"",VLOOKUP($A145,数出表_Excel!$A$6:$T$150,COLUMN()/2+1,FALSE))),"")</f>
        <v/>
      </c>
      <c r="S145" s="114"/>
      <c r="T145" s="114" t="str">
        <f ca="1">IFERROR(VALUE(IF(VLOOKUP($A145,数出表_Excel!$A$6:$T$150,COLUMN()/2+1,FALSE)=0,"",VLOOKUP($A145,数出表_Excel!$A$6:$T$150,COLUMN()/2+1,FALSE))),"")</f>
        <v/>
      </c>
      <c r="U145" s="114"/>
      <c r="V145" s="118" t="str">
        <f ca="1">IFERROR(VALUE(IF(VLOOKUP($A145,数出表_Excel!$A$6:$T$150,COLUMN()/2+1,FALSE)=0,"",VLOOKUP($A145,数出表_Excel!$A$6:$T$150,COLUMN()/2+1,FALSE))),"")</f>
        <v/>
      </c>
      <c r="W145" s="114"/>
      <c r="X145" s="118" t="str">
        <f ca="1">IFERROR(VALUE(IF(VLOOKUP($A145,数出表_Excel!$A$6:$T$150,COLUMN()/2+1,FALSE)=0,"",VLOOKUP($A145,数出表_Excel!$A$6:$T$150,COLUMN()/2+1,FALSE))),"")</f>
        <v/>
      </c>
      <c r="Y145" s="114"/>
      <c r="Z145" s="118" t="str">
        <f ca="1">IFERROR(VALUE(IF(VLOOKUP($A145,数出表_Excel!$A$6:$T$150,COLUMN()/2+1,FALSE)=0,"",VLOOKUP($A145,数出表_Excel!$A$6:$T$150,COLUMN()/2+1,FALSE))),"")</f>
        <v/>
      </c>
      <c r="AA145" s="152"/>
      <c r="AB145" s="119" t="str">
        <f ca="1">IFERROR(VALUE(IF(VLOOKUP($A145,数出表_Excel!$A$6:$T$150,COLUMN()/2+1,FALSE)=0,"",VLOOKUP($A145,数出表_Excel!$A$6:$T$150,COLUMN()/2+1,FALSE))),"")</f>
        <v/>
      </c>
      <c r="AC145" s="114"/>
      <c r="AD145" s="118" t="str">
        <f ca="1">IFERROR(VALUE(IF(VLOOKUP($A145,数出表_Excel!$A$6:$T$150,COLUMN()/2+1,FALSE)=0,"",VLOOKUP($A145,数出表_Excel!$A$6:$T$150,COLUMN()/2+1,FALSE))),"")</f>
        <v/>
      </c>
      <c r="AE145" s="114"/>
      <c r="AF145" s="118" t="str">
        <f ca="1">IFERROR(VALUE(IF(VLOOKUP($A145,数出表_Excel!$A$6:$T$150,COLUMN()/2+1,FALSE)=0,"",VLOOKUP($A145,数出表_Excel!$A$6:$T$150,COLUMN()/2+1,FALSE))),"")</f>
        <v/>
      </c>
      <c r="AG145" s="114"/>
      <c r="AH145" s="118" t="str">
        <f ca="1">IFERROR(VALUE(IF(VLOOKUP($A145,数出表_Excel!$A$6:$T$150,COLUMN()/2+1,FALSE)=0,"",VLOOKUP($A145,数出表_Excel!$A$6:$T$150,COLUMN()/2+1,FALSE))),"")</f>
        <v/>
      </c>
      <c r="AI145" s="152"/>
      <c r="AJ145" s="119" t="str">
        <f ca="1">IFERROR(VALUE(IF(VLOOKUP($A145,数出表_Excel!$A$6:$T$150,COLUMN()/2+1,FALSE)=0,"",VLOOKUP($A145,数出表_Excel!$A$6:$T$150,COLUMN()/2+1,FALSE))),"")</f>
        <v/>
      </c>
      <c r="AK145" s="114"/>
      <c r="AL145" s="120" t="e">
        <f ca="1">IF(A145&lt;&gt;"",
IF(VLOOKUP($A145,数出表_Excel!$A$6:$T$150,COLUMN()/2+1,FALSE)=0,"",VLOOKUP($A145,数出表_Excel!$A$6:$T$150,COLUMN()/2+1,FALSE)),"")</f>
        <v>#N/A</v>
      </c>
      <c r="AM145" s="200" t="e">
        <f>数出表_Excel!V145</f>
        <v>#N/A</v>
      </c>
      <c r="AN145" s="201" t="e">
        <f>数出表_Excel!W145</f>
        <v>#N/A</v>
      </c>
    </row>
    <row r="146" spans="1:40" ht="16.2" customHeight="1">
      <c r="A146" s="160" t="e">
        <f>数出表_Excel!A146</f>
        <v>#N/A</v>
      </c>
      <c r="B146" s="112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47"/>
      <c r="D146" s="112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47"/>
      <c r="F146" s="115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47"/>
      <c r="H146" s="112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47"/>
      <c r="J146" s="112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47"/>
      <c r="L146" s="115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47"/>
      <c r="N146" s="112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47"/>
      <c r="P146" s="112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47"/>
      <c r="R146" s="112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47"/>
      <c r="T146" s="112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47"/>
      <c r="V146" s="115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47"/>
      <c r="X146" s="116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47"/>
      <c r="Z146" s="115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53"/>
      <c r="AB146" s="116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47"/>
      <c r="AD146" s="115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47"/>
      <c r="AF146" s="116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47"/>
      <c r="AH146" s="115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53"/>
      <c r="AJ146" s="116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47"/>
      <c r="AL146" s="117" t="e">
        <f>数出表_Excel!T146</f>
        <v>#N/A</v>
      </c>
      <c r="AM146" s="179" t="e">
        <f>数出表_Excel!V146</f>
        <v>#N/A</v>
      </c>
      <c r="AN146" s="180" t="e">
        <f>数出表_Excel!W146</f>
        <v>#N/A</v>
      </c>
    </row>
    <row r="147" spans="1:40" ht="16.2" customHeight="1">
      <c r="A147" s="161" t="e">
        <f>数出表_Excel!A147</f>
        <v>#N/A</v>
      </c>
      <c r="B147" s="11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14"/>
      <c r="D147" s="11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114"/>
      <c r="F147" s="118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114"/>
      <c r="H147" s="114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14"/>
      <c r="J147" s="11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114"/>
      <c r="L147" s="118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14"/>
      <c r="N147" s="11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114"/>
      <c r="P147" s="114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14"/>
      <c r="R147" s="11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114"/>
      <c r="T147" s="114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14"/>
      <c r="V147" s="118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114"/>
      <c r="X147" s="11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14"/>
      <c r="Z147" s="118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52"/>
      <c r="AB147" s="11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14"/>
      <c r="AD147" s="118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114"/>
      <c r="AF147" s="11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14"/>
      <c r="AH147" s="118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52"/>
      <c r="AJ147" s="11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14"/>
      <c r="AL147" s="120" t="e">
        <f>数出表_Excel!T147</f>
        <v>#N/A</v>
      </c>
      <c r="AM147" s="202" t="e">
        <f>数出表_Excel!V147</f>
        <v>#N/A</v>
      </c>
      <c r="AN147" s="203" t="e">
        <f>数出表_Excel!W147</f>
        <v>#N/A</v>
      </c>
    </row>
    <row r="148" spans="1:40" ht="16.2" customHeight="1">
      <c r="B148" s="121"/>
      <c r="C148" s="121"/>
      <c r="D148" s="121"/>
      <c r="E148" s="121"/>
      <c r="F148" s="122"/>
      <c r="G148" s="121"/>
      <c r="H148" s="121"/>
      <c r="I148" s="121"/>
      <c r="J148" s="121"/>
      <c r="K148" s="121"/>
      <c r="L148" s="122"/>
      <c r="M148" s="121"/>
      <c r="N148" s="121"/>
      <c r="O148" s="121"/>
      <c r="P148" s="121"/>
      <c r="Q148" s="121"/>
      <c r="R148" s="121"/>
      <c r="S148" s="121"/>
      <c r="T148" s="121"/>
      <c r="U148" s="121"/>
      <c r="V148" s="123"/>
      <c r="W148" s="124"/>
      <c r="X148" s="144"/>
      <c r="Y148" s="121"/>
      <c r="Z148" s="123"/>
      <c r="AA148" s="124"/>
      <c r="AB148" s="144"/>
      <c r="AC148" s="121"/>
      <c r="AD148" s="123"/>
      <c r="AE148" s="124"/>
      <c r="AF148" s="144"/>
      <c r="AG148" s="121"/>
      <c r="AH148" s="123"/>
      <c r="AI148" s="124"/>
      <c r="AJ148" s="144"/>
      <c r="AK148" s="121"/>
      <c r="AL148" s="125"/>
    </row>
    <row r="149" spans="1:40" ht="23.4" customHeight="1">
      <c r="A149" s="163" t="s">
        <v>20</v>
      </c>
      <c r="B149" s="126"/>
      <c r="C149" s="126"/>
      <c r="D149" s="126"/>
      <c r="E149" s="126"/>
      <c r="F149" s="127" t="str">
        <f>IF(OR(F150&lt;&gt;"",F153&lt;&gt;""),F146-F150-F151-F152-F153,"")</f>
        <v/>
      </c>
      <c r="G149" s="128"/>
      <c r="H149" s="126" t="str">
        <f>IF(OR(H150&lt;&gt;"",H153&lt;&gt;""),H146-H150-H151-H152-H153,"")</f>
        <v/>
      </c>
      <c r="I149" s="128"/>
      <c r="J149" s="126" t="str">
        <f>IF(OR(J150&lt;&gt;"",J153&lt;&gt;""),J146-J150-J151-J152-J153,"")</f>
        <v/>
      </c>
      <c r="K149" s="126"/>
      <c r="L149" s="127" t="str">
        <f>IF(OR(L150&lt;&gt;"",L153&lt;&gt;""),L146-L150-L151-L152-L153,"")</f>
        <v/>
      </c>
      <c r="M149" s="128"/>
      <c r="N149" s="126" t="str">
        <f>IF(OR(N150&lt;&gt;"",N153&lt;&gt;""),N146-N150-N151-N152-N153,"")</f>
        <v/>
      </c>
      <c r="O149" s="128"/>
      <c r="P149" s="126" t="str">
        <f>IF(OR(P150&lt;&gt;"",P153&lt;&gt;""),P146-P150-P151-P152-P153,"")</f>
        <v/>
      </c>
      <c r="Q149" s="128"/>
      <c r="R149" s="126" t="str">
        <f>IF(OR(R150&lt;&gt;"",R153&lt;&gt;""),R146-R150-R151-R152-R153,"")</f>
        <v/>
      </c>
      <c r="S149" s="128"/>
      <c r="T149" s="126" t="str">
        <f>IF(OR(T150&lt;&gt;"",T153&lt;&gt;""),T146-T150-T151-T152-T153,"")</f>
        <v/>
      </c>
      <c r="U149" s="126"/>
      <c r="V149" s="127" t="str">
        <f>IF(OR(V150&lt;&gt;"",V153&lt;&gt;""),V146-V150-V151-V152-V153,"")</f>
        <v/>
      </c>
      <c r="W149" s="129"/>
      <c r="X149" s="126" t="str">
        <f>IF(OR(X150&lt;&gt;"",X153&lt;&gt;""),X146-X150-X151-X152-X153,"")</f>
        <v/>
      </c>
      <c r="Y149" s="126"/>
      <c r="Z149" s="127" t="str">
        <f>IF(OR(Z150&lt;&gt;"",Z153&lt;&gt;""),Z146-Z150-Z151-Z152-Z153,"")</f>
        <v/>
      </c>
      <c r="AA149" s="129"/>
      <c r="AB149" s="126" t="str">
        <f>IF(OR(AB150&lt;&gt;"",AB153&lt;&gt;""),AB146-AB150-AB151-AB152-AB153,"")</f>
        <v/>
      </c>
      <c r="AC149" s="126"/>
      <c r="AD149" s="127" t="str">
        <f>IF(OR(AD150&lt;&gt;"",AD153&lt;&gt;""),AD146-AD150-AD151-AD152-AD153,"")</f>
        <v/>
      </c>
      <c r="AE149" s="129"/>
      <c r="AF149" s="126" t="str">
        <f>IF(OR(AF150&lt;&gt;"",AF153&lt;&gt;""),AF146-AF150-AF151-AF152-AF153,"")</f>
        <v/>
      </c>
      <c r="AG149" s="126"/>
      <c r="AH149" s="127" t="str">
        <f>IF(OR(AH150&lt;&gt;"",AH153&lt;&gt;""),AH146-AH150-AH151-AH152-AH153,"")</f>
        <v/>
      </c>
      <c r="AI149" s="129"/>
      <c r="AJ149" s="126" t="str">
        <f>IF(OR(AJ150&lt;&gt;"",AJ153&lt;&gt;""),AJ146-AJ150-AJ151-AJ152-AJ153,"")</f>
        <v/>
      </c>
      <c r="AK149" s="126"/>
      <c r="AL149" s="146" t="str">
        <f>IF(OR(AL150&lt;&gt;"",AL153&lt;&gt;""),AL146-AL150-AL151-AL152-AL153,"")</f>
        <v/>
      </c>
    </row>
    <row r="150" spans="1:40" ht="16.2" customHeight="1">
      <c r="A150" s="164" t="s">
        <v>21</v>
      </c>
      <c r="B150" s="130"/>
      <c r="C150" s="228">
        <f>SUM(C6:C145)</f>
        <v>0</v>
      </c>
      <c r="D150" s="130"/>
      <c r="E150" s="231">
        <f>SUM(E6:E145)</f>
        <v>0</v>
      </c>
      <c r="F150" s="131"/>
      <c r="G150" s="228">
        <f>SUM(G6:G145)</f>
        <v>0</v>
      </c>
      <c r="H150" s="132"/>
      <c r="I150" s="228">
        <f>SUM(I6:I145)</f>
        <v>0</v>
      </c>
      <c r="J150" s="132"/>
      <c r="K150" s="231">
        <f>SUM(K6:K145)</f>
        <v>0</v>
      </c>
      <c r="L150" s="131"/>
      <c r="M150" s="228">
        <f>SUM(M6:M145)</f>
        <v>0</v>
      </c>
      <c r="N150" s="130"/>
      <c r="O150" s="228">
        <f>SUM(O6:O145)</f>
        <v>0</v>
      </c>
      <c r="P150" s="132"/>
      <c r="Q150" s="228">
        <f>SUM(Q6:Q145)</f>
        <v>0</v>
      </c>
      <c r="R150" s="132"/>
      <c r="S150" s="228">
        <f>SUM(S6:S145)</f>
        <v>0</v>
      </c>
      <c r="T150" s="132"/>
      <c r="U150" s="231">
        <f>SUM(U6:U145)</f>
        <v>0</v>
      </c>
      <c r="V150" s="131"/>
      <c r="W150" s="234">
        <f>SUM(W6:W145)</f>
        <v>0</v>
      </c>
      <c r="X150" s="133"/>
      <c r="Y150" s="231">
        <f>SUM(Y6:Y145)</f>
        <v>0</v>
      </c>
      <c r="Z150" s="131"/>
      <c r="AA150" s="234">
        <f>SUM(AA6:AA145)</f>
        <v>0</v>
      </c>
      <c r="AB150" s="133"/>
      <c r="AC150" s="231">
        <f>SUM(AC6:AC145)</f>
        <v>0</v>
      </c>
      <c r="AD150" s="131"/>
      <c r="AE150" s="234">
        <f>SUM(AE6:AE145)</f>
        <v>0</v>
      </c>
      <c r="AF150" s="135"/>
      <c r="AG150" s="231">
        <f>SUM(AG6:AG145)</f>
        <v>0</v>
      </c>
      <c r="AH150" s="134"/>
      <c r="AI150" s="234">
        <f>SUM(AI6:AI145)</f>
        <v>0</v>
      </c>
      <c r="AJ150" s="135"/>
      <c r="AK150" s="231">
        <f>SUM(AK6:AK145)</f>
        <v>0</v>
      </c>
      <c r="AL150" s="136"/>
      <c r="AM150" s="204"/>
      <c r="AN150" s="205"/>
    </row>
    <row r="151" spans="1:40" ht="16.2" customHeight="1">
      <c r="A151" s="164" t="s">
        <v>22</v>
      </c>
      <c r="B151" s="130"/>
      <c r="C151" s="229"/>
      <c r="D151" s="130"/>
      <c r="E151" s="232"/>
      <c r="F151" s="131"/>
      <c r="G151" s="229"/>
      <c r="H151" s="132"/>
      <c r="I151" s="229"/>
      <c r="J151" s="132"/>
      <c r="K151" s="232"/>
      <c r="L151" s="131"/>
      <c r="M151" s="229"/>
      <c r="N151" s="130"/>
      <c r="O151" s="229"/>
      <c r="P151" s="132"/>
      <c r="Q151" s="229"/>
      <c r="R151" s="132"/>
      <c r="S151" s="229"/>
      <c r="T151" s="132"/>
      <c r="U151" s="232"/>
      <c r="V151" s="131"/>
      <c r="W151" s="235"/>
      <c r="X151" s="133"/>
      <c r="Y151" s="232"/>
      <c r="Z151" s="131"/>
      <c r="AA151" s="235"/>
      <c r="AB151" s="133"/>
      <c r="AC151" s="232"/>
      <c r="AD151" s="131"/>
      <c r="AE151" s="235"/>
      <c r="AF151" s="135"/>
      <c r="AG151" s="232"/>
      <c r="AH151" s="134"/>
      <c r="AI151" s="235"/>
      <c r="AJ151" s="135"/>
      <c r="AK151" s="232"/>
      <c r="AL151" s="136"/>
      <c r="AM151" s="204"/>
      <c r="AN151" s="205"/>
    </row>
    <row r="152" spans="1:40" ht="16.2" customHeight="1">
      <c r="A152" s="164" t="s">
        <v>23</v>
      </c>
      <c r="B152" s="130"/>
      <c r="C152" s="229"/>
      <c r="D152" s="130"/>
      <c r="E152" s="232"/>
      <c r="F152" s="131"/>
      <c r="G152" s="229"/>
      <c r="H152" s="132"/>
      <c r="I152" s="229"/>
      <c r="J152" s="132"/>
      <c r="K152" s="232"/>
      <c r="L152" s="131"/>
      <c r="M152" s="229"/>
      <c r="N152" s="130"/>
      <c r="O152" s="229"/>
      <c r="P152" s="132"/>
      <c r="Q152" s="229"/>
      <c r="R152" s="132"/>
      <c r="S152" s="229"/>
      <c r="T152" s="132"/>
      <c r="U152" s="232"/>
      <c r="V152" s="131"/>
      <c r="W152" s="235"/>
      <c r="X152" s="133"/>
      <c r="Y152" s="232"/>
      <c r="Z152" s="131"/>
      <c r="AA152" s="235"/>
      <c r="AB152" s="133"/>
      <c r="AC152" s="232"/>
      <c r="AD152" s="131"/>
      <c r="AE152" s="235"/>
      <c r="AF152" s="135"/>
      <c r="AG152" s="232"/>
      <c r="AH152" s="134"/>
      <c r="AI152" s="235"/>
      <c r="AJ152" s="135"/>
      <c r="AK152" s="232"/>
      <c r="AL152" s="136"/>
    </row>
    <row r="153" spans="1:40" s="104" customFormat="1" ht="16.2" customHeight="1">
      <c r="A153" s="165" t="s">
        <v>24</v>
      </c>
      <c r="B153" s="137"/>
      <c r="C153" s="230"/>
      <c r="D153" s="137"/>
      <c r="E153" s="233"/>
      <c r="F153" s="138"/>
      <c r="G153" s="230"/>
      <c r="H153" s="139"/>
      <c r="I153" s="230"/>
      <c r="J153" s="139"/>
      <c r="K153" s="233"/>
      <c r="L153" s="138"/>
      <c r="M153" s="230"/>
      <c r="N153" s="137"/>
      <c r="O153" s="230"/>
      <c r="P153" s="139"/>
      <c r="Q153" s="230"/>
      <c r="R153" s="139"/>
      <c r="S153" s="230"/>
      <c r="T153" s="139"/>
      <c r="U153" s="233"/>
      <c r="V153" s="138"/>
      <c r="W153" s="236"/>
      <c r="X153" s="140"/>
      <c r="Y153" s="233"/>
      <c r="Z153" s="138"/>
      <c r="AA153" s="236"/>
      <c r="AB153" s="140"/>
      <c r="AC153" s="233"/>
      <c r="AD153" s="138"/>
      <c r="AE153" s="236"/>
      <c r="AF153" s="142"/>
      <c r="AG153" s="233"/>
      <c r="AH153" s="141"/>
      <c r="AI153" s="236"/>
      <c r="AJ153" s="142"/>
      <c r="AK153" s="233"/>
      <c r="AL153" s="143"/>
      <c r="AM153" s="206"/>
      <c r="AN153" s="206"/>
    </row>
    <row r="154" spans="1:40" ht="16.2" customHeight="1">
      <c r="A154" s="166" t="s">
        <v>25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Q150:Q153"/>
    <mergeCell ref="AG150:AG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workbookViewId="0">
      <selection activeCell="I5" sqref="I5:I8"/>
    </sheetView>
  </sheetViews>
  <sheetFormatPr defaultRowHeight="18"/>
  <cols>
    <col min="1" max="1" width="23.8984375" style="52" customWidth="1"/>
    <col min="10" max="10" width="8.796875" style="9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t="shared" ref="F2:H8" ca="1" si="0">IF(AND(K2&lt;&gt;0,K2&gt;-10,K2&lt;10),0,
IF(AND(L2&lt;&gt;0,L2&gt;-13,L2&lt;13),
K2+L2,K2))</f>
        <v>0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t="shared" ca="1" si="0"/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R24"/>
  <sheetViews>
    <sheetView workbookViewId="0">
      <selection activeCell="E7" sqref="E7"/>
    </sheetView>
  </sheetViews>
  <sheetFormatPr defaultRowHeight="18"/>
  <cols>
    <col min="1" max="1" width="17.3984375" style="52" customWidth="1"/>
  </cols>
  <sheetData>
    <row r="1" spans="1:18">
      <c r="A1" s="97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9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97"/>
      <c r="D1" s="97"/>
      <c r="E1" s="97"/>
      <c r="F1" s="97" t="e">
        <f t="array" aca="1" ref="F1" ca="1">IF(B1&lt;&gt;"",
INDIRECT("'数出表_Excel（アレルギー入力）'!"&amp;P1&amp;O1&amp;""),"")</f>
        <v>#REF!</v>
      </c>
      <c r="G1" s="97"/>
      <c r="H1" s="97"/>
      <c r="I1" s="97"/>
      <c r="J1" s="97"/>
      <c r="K1" s="97"/>
      <c r="L1" s="97"/>
      <c r="M1" s="97"/>
      <c r="N1" s="9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26</v>
      </c>
    </row>
    <row r="2" spans="1:18">
      <c r="A2" s="97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9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97"/>
      <c r="D2" s="97"/>
      <c r="E2" s="97"/>
      <c r="F2" s="97" t="e">
        <f t="array" aca="1" ref="F2" ca="1">IF(B2&lt;&gt;"",
INDIRECT("'数出表_Excel（アレルギー入力）'!"&amp;P2&amp;O2&amp;""),"")</f>
        <v>#REF!</v>
      </c>
      <c r="G2" s="97"/>
      <c r="H2" s="97"/>
      <c r="I2" s="97"/>
      <c r="J2" s="97"/>
      <c r="K2" s="97"/>
      <c r="L2" s="97"/>
      <c r="M2" s="97"/>
      <c r="N2" s="9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27</v>
      </c>
    </row>
    <row r="3" spans="1:18">
      <c r="A3" s="97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9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97"/>
      <c r="D3" s="97"/>
      <c r="E3" s="97"/>
      <c r="F3" s="97" t="e">
        <f t="array" aca="1" ref="F3" ca="1">IF(B3&lt;&gt;"",
INDIRECT("'数出表_Excel（アレルギー入力）'!"&amp;P3&amp;O3&amp;""),"")</f>
        <v>#REF!</v>
      </c>
      <c r="G3" s="97"/>
      <c r="H3" s="97"/>
      <c r="I3" s="97"/>
      <c r="J3" s="97"/>
      <c r="K3" s="97"/>
      <c r="L3" s="97"/>
      <c r="M3" s="97"/>
      <c r="N3" s="9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28</v>
      </c>
    </row>
    <row r="4" spans="1:18">
      <c r="A4" s="97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9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97"/>
      <c r="D4" s="97"/>
      <c r="E4" s="97"/>
      <c r="F4" s="97" t="e">
        <f t="array" aca="1" ref="F4" ca="1">IF(B4&lt;&gt;"",
INDIRECT("'数出表_Excel（アレルギー入力）'!"&amp;P4&amp;O4&amp;""),"")</f>
        <v>#REF!</v>
      </c>
      <c r="G4" s="97"/>
      <c r="H4" s="97"/>
      <c r="I4" s="97"/>
      <c r="J4" s="97"/>
      <c r="K4" s="97"/>
      <c r="L4" s="97"/>
      <c r="M4" s="97"/>
      <c r="N4" s="9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29</v>
      </c>
    </row>
    <row r="5" spans="1:18">
      <c r="A5" s="97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9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97"/>
      <c r="D5" s="97"/>
      <c r="E5" s="97"/>
      <c r="F5" s="97" t="e">
        <f t="array" aca="1" ref="F5" ca="1">IF(B5&lt;&gt;"",
INDIRECT("'数出表_Excel（アレルギー入力）'!"&amp;P5&amp;O5&amp;""),"")</f>
        <v>#REF!</v>
      </c>
      <c r="G5" s="97"/>
      <c r="H5" s="97"/>
      <c r="I5" s="97"/>
      <c r="J5" s="97"/>
      <c r="K5" s="97"/>
      <c r="L5" s="97"/>
      <c r="M5" s="97"/>
      <c r="N5" s="9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30</v>
      </c>
      <c r="R5" t="str">
        <f t="array" aca="1" ref="R5" ca="1">IFERROR(INDEX($A$1:$N$24,SMALL(IF($B$1:$B$24&lt;&gt;"",ROW($B$1:$B$24),""),ROW(A4)),COLUMN(A$1)),"")</f>
        <v/>
      </c>
    </row>
    <row r="6" spans="1:18">
      <c r="A6" s="97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9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97"/>
      <c r="D6" s="97"/>
      <c r="E6" s="97"/>
      <c r="F6" s="97" t="e">
        <f t="array" aca="1" ref="F6" ca="1">IF(B6&lt;&gt;"",
INDIRECT("'数出表_Excel（アレルギー入力）'!"&amp;P6&amp;O6&amp;""),"")</f>
        <v>#REF!</v>
      </c>
      <c r="G6" s="97"/>
      <c r="H6" s="97"/>
      <c r="I6" s="97"/>
      <c r="J6" s="97"/>
      <c r="K6" s="97"/>
      <c r="L6" s="97"/>
      <c r="M6" s="97"/>
      <c r="N6" s="9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31</v>
      </c>
      <c r="R6" t="str">
        <f t="array" aca="1" ref="R6" ca="1">IFERROR(INDEX($A$1:$N$24,SMALL(IF($B$1:$B$24&lt;&gt;"",ROW($B$1:$B$24),""),ROW(A5)),COLUMN(A$1)),"")</f>
        <v/>
      </c>
    </row>
    <row r="7" spans="1:18">
      <c r="A7" s="97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9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97"/>
      <c r="D7" s="97"/>
      <c r="E7" s="97"/>
      <c r="F7" s="97" t="e">
        <f t="array" aca="1" ref="F7" ca="1">IF(B7&lt;&gt;"",
INDIRECT("'数出表_Excel（アレルギー入力）'!"&amp;P7&amp;O7&amp;""),"")</f>
        <v>#REF!</v>
      </c>
      <c r="G7" s="97"/>
      <c r="H7" s="97"/>
      <c r="I7" s="97"/>
      <c r="J7" s="97"/>
      <c r="K7" s="97"/>
      <c r="L7" s="97"/>
      <c r="M7" s="97"/>
      <c r="N7" s="9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32</v>
      </c>
      <c r="R7" t="str">
        <f t="array" aca="1" ref="R7" ca="1">IFERROR(INDEX($A$1:$N$24,SMALL(IF($B$1:$B$24&lt;&gt;"",ROW($B$1:$B$24),""),ROW(A6)),COLUMN(A$1)),"")</f>
        <v/>
      </c>
    </row>
    <row r="8" spans="1:18">
      <c r="A8" s="97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9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97"/>
      <c r="D8" s="97"/>
      <c r="E8" s="97"/>
      <c r="F8" s="97" t="e">
        <f t="array" aca="1" ref="F8" ca="1">IF(B8&lt;&gt;"",
INDIRECT("'数出表_Excel（アレルギー入力）'!"&amp;P8&amp;O8&amp;""),"")</f>
        <v>#REF!</v>
      </c>
      <c r="G8" s="97"/>
      <c r="H8" s="97"/>
      <c r="I8" s="97"/>
      <c r="J8" s="97"/>
      <c r="K8" s="97"/>
      <c r="L8" s="97"/>
      <c r="M8" s="97"/>
      <c r="N8" s="9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33</v>
      </c>
      <c r="R8" t="str">
        <f t="array" aca="1" ref="R8" ca="1">IFERROR(INDEX($A$1:$N$24,SMALL(IF($B$1:$B$24&lt;&gt;"",ROW($B$1:$B$24),""),ROW(A7)),COLUMN(A$1)),"")</f>
        <v/>
      </c>
    </row>
    <row r="9" spans="1:18">
      <c r="A9" s="154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54" t="str">
        <f t="array" aca="1" ref="B9" ca="1">IF(AND(B1&lt;&gt;"",O9&lt;&gt;0),
IF(INDIRECT("'数出表_Excel（アレルギー入力）'!"&amp;P9&amp;"147")&lt;&gt;F1,B1,""),"")</f>
        <v/>
      </c>
      <c r="C9" s="154"/>
      <c r="D9" s="154"/>
      <c r="E9" s="154"/>
      <c r="F9" s="154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54"/>
      <c r="H9" s="154"/>
      <c r="I9" s="154"/>
      <c r="J9" s="154"/>
      <c r="K9" s="154"/>
      <c r="L9" s="154"/>
      <c r="M9" s="154"/>
      <c r="N9" s="154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26</v>
      </c>
      <c r="R9" t="str">
        <f t="array" aca="1" ref="R9" ca="1">IFERROR(INDEX($A$1:$N$24,SMALL(IF($B$1:$B$24&lt;&gt;"",ROW($B$1:$B$24),""),ROW(A8)),COLUMN(A$1)),"")</f>
        <v/>
      </c>
    </row>
    <row r="10" spans="1:18">
      <c r="A10" s="154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54" t="str">
        <f t="array" aca="1" ref="B10" ca="1">IF(AND(B2&lt;&gt;"",O10&lt;&gt;0),
IF(INDIRECT("'数出表_Excel（アレルギー入力）'!"&amp;P10&amp;"147")&lt;&gt;F2,B2,""),"")</f>
        <v/>
      </c>
      <c r="C10" s="154"/>
      <c r="D10" s="154"/>
      <c r="E10" s="154"/>
      <c r="F10" s="154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54"/>
      <c r="H10" s="154"/>
      <c r="I10" s="154"/>
      <c r="J10" s="154"/>
      <c r="K10" s="154"/>
      <c r="L10" s="154"/>
      <c r="M10" s="154"/>
      <c r="N10" s="154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27</v>
      </c>
    </row>
    <row r="11" spans="1:18">
      <c r="A11" s="154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54" t="str">
        <f t="array" aca="1" ref="B11" ca="1">IF(AND(B3&lt;&gt;"",O11&lt;&gt;0),
IF(INDIRECT("'数出表_Excel（アレルギー入力）'!"&amp;P11&amp;"147")&lt;&gt;F3,B3,""),"")</f>
        <v/>
      </c>
      <c r="C11" s="154"/>
      <c r="D11" s="154"/>
      <c r="E11" s="154"/>
      <c r="F11" s="154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54"/>
      <c r="H11" s="154"/>
      <c r="I11" s="154"/>
      <c r="J11" s="154"/>
      <c r="K11" s="154"/>
      <c r="L11" s="154"/>
      <c r="M11" s="154"/>
      <c r="N11" s="154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28</v>
      </c>
    </row>
    <row r="12" spans="1:18">
      <c r="A12" s="154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54" t="str">
        <f t="array" aca="1" ref="B12" ca="1">IF(AND(B4&lt;&gt;"",O12&lt;&gt;0),
IF(INDIRECT("'数出表_Excel（アレルギー入力）'!"&amp;P12&amp;"147")&lt;&gt;F4,B4,""),"")</f>
        <v/>
      </c>
      <c r="C12" s="154"/>
      <c r="D12" s="154"/>
      <c r="E12" s="154"/>
      <c r="F12" s="154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54"/>
      <c r="H12" s="154"/>
      <c r="I12" s="154"/>
      <c r="J12" s="154"/>
      <c r="K12" s="154"/>
      <c r="L12" s="154"/>
      <c r="M12" s="154"/>
      <c r="N12" s="154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29</v>
      </c>
    </row>
    <row r="13" spans="1:18">
      <c r="A13" s="154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54" t="str">
        <f t="array" aca="1" ref="B13" ca="1">IF(AND(B5&lt;&gt;"",O13&lt;&gt;0),
IF(INDIRECT("'数出表_Excel（アレルギー入力）'!"&amp;P13&amp;"147")&lt;&gt;F5,B5,""),"")</f>
        <v/>
      </c>
      <c r="C13" s="154"/>
      <c r="D13" s="154"/>
      <c r="E13" s="154"/>
      <c r="F13" s="154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54"/>
      <c r="H13" s="154"/>
      <c r="I13" s="154"/>
      <c r="J13" s="154"/>
      <c r="K13" s="154"/>
      <c r="L13" s="154"/>
      <c r="M13" s="154"/>
      <c r="N13" s="154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30</v>
      </c>
    </row>
    <row r="14" spans="1:18">
      <c r="A14" s="154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54" t="str">
        <f t="array" aca="1" ref="B14" ca="1">IF(AND(B6&lt;&gt;"",O14&lt;&gt;0),
IF(INDIRECT("'数出表_Excel（アレルギー入力）'!"&amp;P14&amp;"147")&lt;&gt;F6,B6,""),"")</f>
        <v/>
      </c>
      <c r="C14" s="154"/>
      <c r="D14" s="154"/>
      <c r="E14" s="154"/>
      <c r="F14" s="154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54"/>
      <c r="H14" s="154"/>
      <c r="I14" s="154"/>
      <c r="J14" s="154"/>
      <c r="K14" s="154"/>
      <c r="L14" s="154"/>
      <c r="M14" s="154"/>
      <c r="N14" s="154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31</v>
      </c>
    </row>
    <row r="15" spans="1:18">
      <c r="A15" s="154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54" t="str">
        <f t="array" aca="1" ref="B15" ca="1">IF(AND(B7&lt;&gt;"",O15&lt;&gt;0),
IF(INDIRECT("'数出表_Excel（アレルギー入力）'!"&amp;P15&amp;"147")&lt;&gt;F7,B7,""),"")</f>
        <v/>
      </c>
      <c r="C15" s="154"/>
      <c r="D15" s="154"/>
      <c r="E15" s="154"/>
      <c r="F15" s="154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54"/>
      <c r="H15" s="154"/>
      <c r="I15" s="154"/>
      <c r="J15" s="154"/>
      <c r="K15" s="154"/>
      <c r="L15" s="154"/>
      <c r="M15" s="154"/>
      <c r="N15" s="154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32</v>
      </c>
    </row>
    <row r="16" spans="1:18">
      <c r="A16" s="154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54" t="str">
        <f t="array" aca="1" ref="B16" ca="1">IF(AND(B8&lt;&gt;"",O16&lt;&gt;0),
IF(INDIRECT("'数出表_Excel（アレルギー入力）'!"&amp;P16&amp;"147")&lt;&gt;F8,B8,""),"")</f>
        <v/>
      </c>
      <c r="C16" s="154"/>
      <c r="D16" s="154"/>
      <c r="E16" s="154"/>
      <c r="F16" s="154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54"/>
      <c r="H16" s="154"/>
      <c r="I16" s="154"/>
      <c r="J16" s="154"/>
      <c r="K16" s="154"/>
      <c r="L16" s="154"/>
      <c r="M16" s="154"/>
      <c r="N16" s="154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33</v>
      </c>
    </row>
    <row r="17" spans="1:16">
      <c r="A17" s="155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55" t="str">
        <f t="array" aca="1" ref="B17" ca="1">IF(AND(B9&lt;&gt;"",O17&lt;&gt;0),
IF(INDIRECT("'数出表_Excel（アレルギー入力）'!"&amp;P17&amp;"147")&lt;&gt;F9,B9,""),"")</f>
        <v/>
      </c>
      <c r="C17" s="155"/>
      <c r="D17" s="155"/>
      <c r="E17" s="155"/>
      <c r="F17" s="155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55"/>
      <c r="H17" s="155"/>
      <c r="I17" s="155"/>
      <c r="J17" s="155"/>
      <c r="K17" s="155"/>
      <c r="L17" s="155"/>
      <c r="M17" s="155"/>
      <c r="N17" s="155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26</v>
      </c>
    </row>
    <row r="18" spans="1:16">
      <c r="A18" s="155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55" t="str">
        <f t="array" aca="1" ref="B18" ca="1">IF(AND(B10&lt;&gt;"",O18&lt;&gt;0),
IF(INDIRECT("'数出表_Excel（アレルギー入力）'!"&amp;P18&amp;"147")&lt;&gt;F10,B10,""),"")</f>
        <v/>
      </c>
      <c r="C18" s="155"/>
      <c r="D18" s="155"/>
      <c r="E18" s="155"/>
      <c r="F18" s="155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55"/>
      <c r="H18" s="155"/>
      <c r="I18" s="155"/>
      <c r="J18" s="155"/>
      <c r="K18" s="155"/>
      <c r="L18" s="155"/>
      <c r="M18" s="155"/>
      <c r="N18" s="155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27</v>
      </c>
    </row>
    <row r="19" spans="1:16">
      <c r="A19" s="155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55" t="str">
        <f t="array" aca="1" ref="B19" ca="1">IF(AND(B11&lt;&gt;"",O19&lt;&gt;0),
IF(INDIRECT("'数出表_Excel（アレルギー入力）'!"&amp;P19&amp;"147")&lt;&gt;F11,B11,""),"")</f>
        <v/>
      </c>
      <c r="C19" s="155"/>
      <c r="D19" s="155"/>
      <c r="E19" s="155"/>
      <c r="F19" s="155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55"/>
      <c r="H19" s="155"/>
      <c r="I19" s="155"/>
      <c r="J19" s="155"/>
      <c r="K19" s="155"/>
      <c r="L19" s="155"/>
      <c r="M19" s="155"/>
      <c r="N19" s="155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28</v>
      </c>
    </row>
    <row r="20" spans="1:16">
      <c r="A20" s="155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55" t="str">
        <f t="array" aca="1" ref="B20" ca="1">IF(AND(B12&lt;&gt;"",O20&lt;&gt;0),
IF(INDIRECT("'数出表_Excel（アレルギー入力）'!"&amp;P20&amp;"147")&lt;&gt;F12,B12,""),"")</f>
        <v/>
      </c>
      <c r="C20" s="155"/>
      <c r="D20" s="155"/>
      <c r="E20" s="155"/>
      <c r="F20" s="155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55"/>
      <c r="H20" s="155"/>
      <c r="I20" s="155"/>
      <c r="J20" s="155"/>
      <c r="K20" s="155"/>
      <c r="L20" s="155"/>
      <c r="M20" s="155"/>
      <c r="N20" s="155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29</v>
      </c>
    </row>
    <row r="21" spans="1:16">
      <c r="A21" s="155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55" t="str">
        <f t="array" aca="1" ref="B21" ca="1">IF(AND(B13&lt;&gt;"",O21&lt;&gt;0),
IF(INDIRECT("'数出表_Excel（アレルギー入力）'!"&amp;P21&amp;"147")&lt;&gt;F13,B13,""),"")</f>
        <v/>
      </c>
      <c r="C21" s="155"/>
      <c r="D21" s="155"/>
      <c r="E21" s="155"/>
      <c r="F21" s="155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55"/>
      <c r="H21" s="155"/>
      <c r="I21" s="155"/>
      <c r="J21" s="155"/>
      <c r="K21" s="155"/>
      <c r="L21" s="155"/>
      <c r="M21" s="155"/>
      <c r="N21" s="155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30</v>
      </c>
    </row>
    <row r="22" spans="1:16">
      <c r="A22" s="155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55" t="str">
        <f t="array" aca="1" ref="B22" ca="1">IF(AND(B14&lt;&gt;"",O22&lt;&gt;0),
IF(INDIRECT("'数出表_Excel（アレルギー入力）'!"&amp;P22&amp;"147")&lt;&gt;F14,B14,""),"")</f>
        <v/>
      </c>
      <c r="C22" s="155"/>
      <c r="D22" s="155"/>
      <c r="E22" s="155"/>
      <c r="F22" s="155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55"/>
      <c r="H22" s="155"/>
      <c r="I22" s="155"/>
      <c r="J22" s="155"/>
      <c r="K22" s="155"/>
      <c r="L22" s="155"/>
      <c r="M22" s="155"/>
      <c r="N22" s="155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31</v>
      </c>
    </row>
    <row r="23" spans="1:16">
      <c r="A23" s="155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55" t="str">
        <f t="array" aca="1" ref="B23" ca="1">IF(AND(B15&lt;&gt;"",O23&lt;&gt;0),
IF(INDIRECT("'数出表_Excel（アレルギー入力）'!"&amp;P23&amp;"147")&lt;&gt;F15,B15,""),"")</f>
        <v/>
      </c>
      <c r="C23" s="155"/>
      <c r="D23" s="155"/>
      <c r="E23" s="155"/>
      <c r="F23" s="155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55"/>
      <c r="H23" s="155"/>
      <c r="I23" s="155"/>
      <c r="J23" s="155"/>
      <c r="K23" s="155"/>
      <c r="L23" s="155"/>
      <c r="M23" s="155"/>
      <c r="N23" s="155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32</v>
      </c>
    </row>
    <row r="24" spans="1:16">
      <c r="A24" s="155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55" t="str">
        <f t="array" aca="1" ref="B24" ca="1">IF(AND(B16&lt;&gt;"",O24&lt;&gt;0),
IF(INDIRECT("'数出表_Excel（アレルギー入力）'!"&amp;P24&amp;"147")&lt;&gt;F16,B16,""),"")</f>
        <v/>
      </c>
      <c r="C24" s="155"/>
      <c r="D24" s="155"/>
      <c r="E24" s="155"/>
      <c r="F24" s="155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55"/>
      <c r="H24" s="155"/>
      <c r="I24" s="155"/>
      <c r="J24" s="155"/>
      <c r="K24" s="155"/>
      <c r="L24" s="155"/>
      <c r="M24" s="155"/>
      <c r="N24" s="155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F8" sqref="F8"/>
    </sheetView>
  </sheetViews>
  <sheetFormatPr defaultRowHeight="18"/>
  <sheetData>
    <row r="1" spans="1:10">
      <c r="A1" t="s">
        <v>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VLOOKUP(H1,商品マスタ一覧!$D:$I,6,FALSE)),"")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7</v>
      </c>
      <c r="F2" t="e">
        <f t="array" aca="1" ref="F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VLOOKUP(H2,商品マスタ一覧!$D:$I,6,FALSE)),"")</f>
        <v>#N/A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34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35</v>
      </c>
      <c r="E4" t="e">
        <f ca="1">MID(B3,FIND("新日本",B3)+3,FIND("ニシム",B3)-1-(FIND("新日本",B3)+3))</f>
        <v>#N/A</v>
      </c>
    </row>
    <row r="5" spans="1:10">
      <c r="A5" t="s">
        <v>36</v>
      </c>
      <c r="E5">
        <v>2</v>
      </c>
    </row>
    <row r="6" spans="1:10">
      <c r="A6" t="s">
        <v>37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VLOOKUP(H7,商品マスタ一覧!$D:$I,6,FALSE)),""),"")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VLOOKUP(H8,商品マスタ一覧!$D:$I,6,FALSE)),""),"")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228"/>
  <sheetViews>
    <sheetView zoomScale="50" zoomScaleNormal="50" zoomScalePageLayoutView="55" workbookViewId="0">
      <selection activeCell="D2" sqref="D2"/>
    </sheetView>
  </sheetViews>
  <sheetFormatPr defaultRowHeight="22.2"/>
  <cols>
    <col min="1" max="1" width="7.19921875" style="225" customWidth="1"/>
    <col min="2" max="2" width="8.796875" style="78" customWidth="1"/>
    <col min="3" max="3" width="17.09765625" style="77" bestFit="1" customWidth="1"/>
    <col min="4" max="7" width="11.69921875" style="77" customWidth="1"/>
    <col min="8" max="18" width="8.796875" style="78" customWidth="1"/>
    <col min="19" max="19" width="39.3984375" style="77" bestFit="1" customWidth="1"/>
    <col min="20" max="21" width="8.796875" style="78" customWidth="1"/>
    <col min="22" max="22" width="17.69921875" style="78" customWidth="1"/>
    <col min="23" max="43" width="8.796875" style="78" customWidth="1"/>
    <col min="44" max="16384" width="8.796875" style="78"/>
  </cols>
  <sheetData>
    <row r="1" spans="1:28" s="74" customFormat="1" ht="18" customHeight="1">
      <c r="A1" s="75">
        <v>7</v>
      </c>
      <c r="B1" s="75" t="e">
        <f t="array" aca="1" ref="B1" ca="1">IF(AND(LEFT(C1,2)="博多",
LEFT(INDIRECT("数出表_Excel!A"&amp;MATCH(C1,数出表_Excel!$A:$A,0)-1),2)
=LEFT(INDIRECT("数出表_Excel!A"&amp;MATCH(C1,数出表_Excel!$A:$A,0)+1),2)),"博多",
IF(AND(LEFT(C1,3)="奈良屋",
LEFT(INDIRECT("数出表_Excel!A"&amp;MATCH(C1,数出表_Excel!$A:$A,0)-1),2)
=LEFT(INDIRECT("数出表_Excel!A"&amp;MATCH(C1,数出表_Excel!$A:$A,0)+1),2)),"奈良屋",""))</f>
        <v>#N/A</v>
      </c>
      <c r="C1" s="75" t="e">
        <f t="array" aca="1" ref="C1" ca="1">INDIRECT("数出表_Excel!A"&amp;A1&amp;"")</f>
        <v>#N/A</v>
      </c>
      <c r="D1" s="75" t="e" cm="1">
        <f t="array" aca="1" ref="D1" ca="1">INDIRECT("数出表_Excel!"&amp;
IFERROR(
SUBSTITUTE(ADDRESS(1,
IFERROR(COLUMN(INDEX(INDIRECT("数出表_Excel!B"&amp;A1-1&amp;":T"&amp;A1-1&amp;""),1,MATCH(TRUE,INDIRECT("数出表_Excel!B"&amp;A1-1&amp;":T"&amp;A1-1&amp;"")&lt;&gt;"",0))),""),4),"1",""),
"")
&amp;"3")</f>
        <v>#REF!</v>
      </c>
      <c r="E1" s="75" t="str">
        <f t="array" aca="1" ref="E1" ca="1">IF(OR(COUNTIF(D1,"*赤*"),COUNTIF(D1,"*キャラ*")),
INDIRECT("数出表_Excel!"&amp;
IFERROR(
SUBSTITUTE(ADDRESS(1,
IFERROR(COLUMN(INDEX(INDIRECT("数出表_Excel!B"&amp;A1-1&amp;":T"&amp;A1-1&amp;""),1,MATCH(TRUE,INDIRECT("数出表_Excel!B"&amp;A1-1&amp;":T"&amp;A1-1&amp;"")&lt;&gt;"",0))),""),4),"1",""),
"")
&amp;"4")
&amp;INDIRECT("数出表_Excel!"&amp;
IFERROR(
SUBSTITUTE(ADDRESS(1,
IFERROR(COLUMN(INDEX(INDIRECT("数出表_Excel!B"&amp;A1-1&amp;":T"&amp;A1-1&amp;""),1,MATCH(TRUE,INDIRECT("数出表_Excel!B"&amp;A1-1&amp;":T"&amp;A1-1&amp;"")&lt;&gt;"",0))),""),4),"1",""),
"")
&amp;"5"),"")</f>
        <v/>
      </c>
      <c r="F1" s="76" t="e">
        <f t="array" aca="1" ref="F1" ca="1">IF(D1&lt;&gt;"",
IF(COUNTIF(C1,"*雙葉*"),
IF(ROUND(
IF(O1&lt;&gt;"",(H1-O1),H1)
/IF(COUNTIF('盛付札（関数）'!D1,"*キャラ*"),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VLOOKUP('盛付札（関数）'!D1,商品マスタ一覧!$D:$J,7,FALSE))),0)&lt;=0,1,
ROUND(
IF(O1&lt;&gt;"",(H1-O1),H1)
/IF(COUNTIF('盛付札（関数）'!D1,"*キャラ*"),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VLOOKUP('盛付札（関数）'!D1,商品マスタ一覧!$D:$J,7,FALSE))),0)),
IF(MATCH(TRUE,
ISNUMBER(--INDIRECT("数出表_Excel!B"&amp;MATCH(C1,数出表_Excel!$A:$A,0)-1&amp;":U"&amp;MATCH(C1,数出表_Excel!$A:$A,0)-1&amp;"")),0)&gt;10,
IF(D1&lt;&gt;"",
IF(IF(COUNTIF('盛付札（関数）'!D1,"*キャラ*"),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VLOOKUP('盛付札（関数）'!D1,商品マスタ一覧!$D:$J,7,FALSE)))=0,"",
IF(ROUND(
IF(O1&lt;&gt;"",(H1-O1),H1)
/IF(COUNTIF('盛付札（関数）'!D1,"*キャラ*"),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VLOOKUP('盛付札（関数）'!D1,商品マスタ一覧!$D:$J,7,FALSE))),0)&lt;=0,1,
ROUND(
IF(O1&lt;&gt;"",(H1-O1),H1)
/IF(COUNTIF('盛付札（関数）'!D1,"*キャラ*"),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VLOOKUP('盛付札（関数）'!D1,商品マスタ一覧!$D:$J,7,FALSE))),0))),""),"")),"")</f>
        <v>#REF!</v>
      </c>
      <c r="G1" s="76" t="e">
        <f ca="1">IF(F1&lt;&gt;"",IF(VALUE(IF(O1&lt;&gt;"",H1-O1,H1))&gt;VALUE(IF(COUNTIF('盛付札（関数）'!D1,"*キャラ*"),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VLOOKUP('盛付札（関数）'!D1,商品マスタ一覧!$D:$J,7,FALSE)))*F1),
"+"&amp;IF(O1&lt;&gt;"",H1-O1,H1)-IF(COUNTIF('盛付札（関数）'!D1,"*キャラ*"),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VLOOKUP('盛付札（関数）'!D1,商品マスタ一覧!$D:$J,7,FALSE)))*F1,
IF(O1&lt;&gt;"",H1-O1,H1)-IF(COUNTIF('盛付札（関数）'!D1,"*キャラ*"),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VLOOKUP('盛付札（関数）'!D1,商品マスタ一覧!$D:$J,7,FALSE)))*F1),"")</f>
        <v>#REF!</v>
      </c>
      <c r="H1" s="222" t="e">
        <f t="array" aca="1" ref="H1" ca="1">INDIRECT("数出表_Excel!"&amp;
IFERROR(
SUBSTITUTE(ADDRESS(1,
IFERROR(COLUMN(INDEX(INDIRECT("数出表_Excel!B"&amp;A1-1&amp;":T"&amp;A1-1&amp;""),1,MATCH(TRUE,INDIRECT("数出表_Excel!B"&amp;A1-1&amp;":T"&amp;A1-1&amp;"")&lt;&gt;"",0))),""),4),"1",""),
"")
&amp;(A1-1)&amp;"")</f>
        <v>#REF!</v>
      </c>
      <c r="I1" s="75" t="e">
        <f t="array" aca="1" ref="I1" ca="1">INDIRECT("数出表_Excel!"&amp;
IFERROR(
SUBSTITUTE(ADDRESS(1,
IFERROR(COLUMN(INDEX(数出表_Excel!B6:T6,1,MATCH(TRUE,INDIRECT("数出表_Excel!B"&amp;A1-1&amp;":T"&amp;A1-1&amp;"")&lt;&gt;"",0))),""),4),"1",""),
"")
&amp;A1&amp;"")</f>
        <v>#REF!</v>
      </c>
      <c r="J1" s="75" t="e">
        <f ca="1">VLOOKUP(D1,注文弁当の抽出!$E$1:$F$8,2,FALSE)</f>
        <v>#REF!</v>
      </c>
      <c r="K1" s="75" t="e">
        <f ca="1">IF(C1&lt;&gt;"",
IFERROR(INT(H1/J1),""),"")</f>
        <v>#N/A</v>
      </c>
      <c r="L1" s="75" t="str">
        <f ca="1">IFERROR(MOD(H1,J1),"")</f>
        <v/>
      </c>
      <c r="M1" s="75" t="e">
        <f t="array" aca="1" ref="M1" ca="1">IF(C1&lt;&gt;"",
IF(IFERROR(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"")&lt;&gt;0,
IF(IFERROR(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"")="",
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""),
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"")),0),0)</f>
        <v>#N/A</v>
      </c>
      <c r="N1" s="75" t="e">
        <f t="array" aca="1" ref="N1" ca="1">IF(B1="博多",
IF(C1&lt;&gt;"",
IF(IFERROR(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0)&lt;&gt;0,
IF(IFERROR(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0)="",
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0),
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0)),0),""),0)</f>
        <v>#N/A</v>
      </c>
      <c r="O1" s="75" t="e">
        <f ca="1">M1+N1</f>
        <v>#N/A</v>
      </c>
      <c r="P1" s="75">
        <f ca="1">IF(COUNTIF(Q1,"TRUE"),ROW(),0)</f>
        <v>0</v>
      </c>
      <c r="Q1" s="75" t="e">
        <f ca="1">IF(C1&lt;&gt;"",TRUE,FALSE)</f>
        <v>#N/A</v>
      </c>
      <c r="R1" s="74" t="str">
        <f t="array" aca="1" ref="R1" ca="1">IFERROR(SMALL(IF(P$1:P$173&lt;&gt;0,P$1:P$173),ROW(A1)),"")</f>
        <v/>
      </c>
      <c r="S1" s="74" t="str">
        <f t="array" aca="1" ref="S1" ca="1">IF($R1&lt;&gt;"",
INDIRECT(""&amp;IF(COLUMN(C1)&lt;=26,CHAR(COLUMN(C1)+64),CHAR(INT((COLUMN(C1)-1)/26)+64)&amp;CHAR(MOD(COLUMN(C1)-1,26)+65))&amp;$R1&amp;""),"")</f>
        <v/>
      </c>
      <c r="T1" s="74" t="str">
        <f t="array" aca="1" ref="T1" ca="1">IF($R1&lt;&gt;"",
INDIRECT(""&amp;IF(COLUMN(D1)&lt;=26,CHAR(COLUMN(D1)+64),CHAR(INT((COLUMN(D1)-1)/26)+64)&amp;CHAR(MOD(COLUMN(D1)-1,26)+65))&amp;$R1&amp;""),"")</f>
        <v/>
      </c>
      <c r="U1" s="74" t="str">
        <f t="array" aca="1" ref="U1" ca="1">IF($R1&lt;&gt;"",
INDIRECT(""&amp;IF(COLUMN(E1)&lt;=26,CHAR(COLUMN(E1)+64),CHAR(INT((COLUMN(E1)-1)/26)+64)&amp;CHAR(MOD(COLUMN(E1)-1,26)+65))&amp;$R1&amp;""),"")</f>
        <v/>
      </c>
      <c r="V1" s="74" t="str">
        <f t="array" aca="1" ref="V1" ca="1">IF($R1&lt;&gt;"",
IF(U1="",
IF(INDIRECT("F"&amp;$R1&amp;"")&lt;&gt;"",
INDIRECT("F"&amp;$R1&amp;"")&amp;"箱"
&amp;INDIRECT("G"&amp;$R1&amp;""),""),""),"")</f>
        <v/>
      </c>
      <c r="W1" s="74" t="str">
        <f t="array" aca="1" ref="W1" ca="1">IF($R1&lt;&gt;"",
INDIRECT(""&amp;IF(COLUMN(H1)&lt;=26,CHAR(COLUMN(H1)+64),CHAR(INT((COLUMN(H1)-1)/26)+64)&amp;CHAR(MOD(COLUMN(H1)-1,26)+65))&amp;$R1&amp;""),"")</f>
        <v/>
      </c>
      <c r="X1" s="74" t="str">
        <f t="array" aca="1" ref="X1" ca="1">IF($R1&lt;&gt;"",
INDIRECT(""&amp;IF(COLUMN(I1)&lt;=26,CHAR(COLUMN(I1)+64),CHAR(INT((COLUMN(I1)-1)/26)+64)&amp;CHAR(MOD(COLUMN(I1)-1,26)+65))&amp;$R1&amp;""),"")</f>
        <v/>
      </c>
      <c r="Y1" s="74" t="str">
        <f t="array" aca="1" ref="Y1" ca="1">IF($R1&lt;&gt;"",
INDIRECT(""&amp;IF(COLUMN(J1)&lt;=26,CHAR(COLUMN(J1)+64),CHAR(INT((COLUMN(J1)-1)/26)+64)&amp;CHAR(MOD(COLUMN(J1)-1,26)+65))&amp;$R1&amp;""),"")</f>
        <v/>
      </c>
      <c r="Z1" s="74" t="str">
        <f t="array" aca="1" ref="Z1" ca="1">IF($R1&lt;&gt;"",
INDIRECT(""&amp;IF(COLUMN(K1)&lt;=26,CHAR(COLUMN(K1)+64),CHAR(INT((COLUMN(K1)-1)/26)+64)&amp;CHAR(MOD(COLUMN(K1)-1,26)+65))&amp;$R1&amp;""),"")</f>
        <v/>
      </c>
      <c r="AA1" s="74" t="str">
        <f t="array" aca="1" ref="AA1" ca="1">IF($R1&lt;&gt;"",
INDIRECT(""&amp;IF(COLUMN(L1)&lt;=26,CHAR(COLUMN(L1)+64),CHAR(INT((COLUMN(L1)-1)/26)+64)&amp;CHAR(MOD(COLUMN(L1)-1,26)+65))&amp;$R1&amp;""),"")</f>
        <v/>
      </c>
      <c r="AB1" s="74" t="str">
        <f t="array" aca="1" ref="AB1" ca="1">IF($R1&lt;&gt;"",
INDIRECT(""&amp;IF(COLUMN(O1)&lt;=26,CHAR(COLUMN(O1)+64),CHAR(INT((COLUMN(O1)-1)/26)+64)&amp;CHAR(MOD(COLUMN(O1)-1,26)+65))&amp;$R1&amp;""),"")</f>
        <v/>
      </c>
    </row>
    <row r="2" spans="1:28" s="74" customFormat="1" ht="18" customHeight="1">
      <c r="A2" s="226">
        <f>A1+2</f>
        <v>9</v>
      </c>
      <c r="B2" s="75" t="e">
        <f t="array" aca="1" ref="B2" ca="1">IF(AND(LEFT(C2,2)="博多",
LEFT(INDIRECT("数出表_Excel!A"&amp;MATCH(C2,数出表_Excel!$A:$A,0)-1),2)
=LEFT(INDIRECT("数出表_Excel!A"&amp;MATCH(C2,数出表_Excel!$A:$A,0)+1),2)),"博多",
IF(AND(LEFT(C2,3)="奈良屋",
LEFT(INDIRECT("数出表_Excel!A"&amp;MATCH(C2,数出表_Excel!$A:$A,0)-1),2)
=LEFT(INDIRECT("数出表_Excel!A"&amp;MATCH(C2,数出表_Excel!$A:$A,0)+1),2)),"奈良屋",""))</f>
        <v>#N/A</v>
      </c>
      <c r="C2" s="75" t="e">
        <f t="array" aca="1" ref="C2" ca="1">INDIRECT("数出表_Excel!A"&amp;A2&amp;"")</f>
        <v>#N/A</v>
      </c>
      <c r="D2" s="75" t="e">
        <f t="array" aca="1" ref="D2" ca="1">INDIRECT("数出表_Excel!"&amp;
IFERROR(
SUBSTITUTE(ADDRESS(1,
IFERROR(COLUMN(INDEX(INDIRECT("数出表_Excel!B"&amp;A2-1&amp;":T"&amp;A2-1&amp;""),1,MATCH(TRUE,INDIRECT("数出表_Excel!B"&amp;A2-1&amp;":T"&amp;A2-1&amp;"")&lt;&gt;"",0))),""),4),"1",""),
"")
&amp;"3")</f>
        <v>#REF!</v>
      </c>
      <c r="E2" s="75" t="str">
        <f t="array" aca="1" ref="E2" ca="1">IF(OR(COUNTIF(D2,"*赤*"),COUNTIF(D2,"*キャラ*")),
INDIRECT("数出表_Excel!"&amp;
IFERROR(
SUBSTITUTE(ADDRESS(1,
IFERROR(COLUMN(INDEX(INDIRECT("数出表_Excel!B"&amp;A2-1&amp;":T"&amp;A2-1&amp;""),1,MATCH(TRUE,INDIRECT("数出表_Excel!B"&amp;A2-1&amp;":T"&amp;A2-1&amp;"")&lt;&gt;"",0))),""),4),"1",""),
"")
&amp;"4")
&amp;INDIRECT("数出表_Excel!"&amp;
IFERROR(
SUBSTITUTE(ADDRESS(1,
IFERROR(COLUMN(INDEX(INDIRECT("数出表_Excel!B"&amp;A2-1&amp;":T"&amp;A2-1&amp;""),1,MATCH(TRUE,INDIRECT("数出表_Excel!B"&amp;A2-1&amp;":T"&amp;A2-1&amp;"")&lt;&gt;"",0))),""),4),"1",""),
"")
&amp;"5"),"")</f>
        <v/>
      </c>
      <c r="F2" s="76" t="e">
        <f t="array" aca="1" ref="F2" ca="1">IF(D2&lt;&gt;"",
IF(COUNTIF(C2,"*雙葉*"),
IF(ROUND(
IF(O2&lt;&gt;"",(H2-O2),H2)
/IF(COUNTIF('盛付札（関数）'!D2,"*キャラ*"),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VLOOKUP('盛付札（関数）'!D2,商品マスタ一覧!$D:$J,7,FALSE))),0)&lt;=0,1,
ROUND(
IF(O2&lt;&gt;"",(H2-O2),H2)
/IF(COUNTIF('盛付札（関数）'!D2,"*キャラ*"),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VLOOKUP('盛付札（関数）'!D2,商品マスタ一覧!$D:$J,7,FALSE))),0)),
IF(MATCH(TRUE,
ISNUMBER(--INDIRECT("数出表_Excel!B"&amp;MATCH(C2,数出表_Excel!$A:$A,0)-1&amp;":U"&amp;MATCH(C2,数出表_Excel!$A:$A,0)-1&amp;"")),0)&gt;10,
IF(D2&lt;&gt;"",
IF(IF(COUNTIF('盛付札（関数）'!D2,"*キャラ*"),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VLOOKUP('盛付札（関数）'!D2,商品マスタ一覧!$D:$J,7,FALSE)))=0,"",
IF(ROUND(
IF(O2&lt;&gt;"",(H2-O2),H2)
/IF(COUNTIF('盛付札（関数）'!D2,"*キャラ*"),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VLOOKUP('盛付札（関数）'!D2,商品マスタ一覧!$D:$J,7,FALSE))),0)&lt;=0,1,
ROUND(
IF(O2&lt;&gt;"",(H2-O2),H2)
/IF(COUNTIF('盛付札（関数）'!D2,"*キャラ*"),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VLOOKUP('盛付札（関数）'!D2,商品マスタ一覧!$D:$J,7,FALSE))),0))),""),"")),"")</f>
        <v>#REF!</v>
      </c>
      <c r="G2" s="76" t="e">
        <f ca="1">IF(F2&lt;&gt;"",IF(VALUE(IF(O2&lt;&gt;"",H2-O2,H2))&gt;VALUE(IF(COUNTIF('盛付札（関数）'!D2,"*キャラ*"),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VLOOKUP('盛付札（関数）'!D2,商品マスタ一覧!$D:$J,7,FALSE)))*F2),
"+"&amp;IF(O2&lt;&gt;"",H2-O2,H2)-IF(COUNTIF('盛付札（関数）'!D2,"*キャラ*"),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VLOOKUP('盛付札（関数）'!D2,商品マスタ一覧!$D:$J,7,FALSE)))*F2,
IF(O2&lt;&gt;"",H2-O2,H2)-IF(COUNTIF('盛付札（関数）'!D2,"*キャラ*"),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VLOOKUP('盛付札（関数）'!D2,商品マスタ一覧!$D:$J,7,FALSE)))*F2),"")</f>
        <v>#REF!</v>
      </c>
      <c r="H2" s="222" t="e">
        <f t="array" aca="1" ref="H2" ca="1">INDIRECT("数出表_Excel!"&amp;
IFERROR(
SUBSTITUTE(ADDRESS(1,
IFERROR(COLUMN(INDEX(INDIRECT("数出表_Excel!B"&amp;A2-1&amp;":T"&amp;A2-1&amp;""),1,MATCH(TRUE,INDIRECT("数出表_Excel!B"&amp;A2-1&amp;":T"&amp;A2-1&amp;"")&lt;&gt;"",0))),""),4),"1",""),
"")
&amp;(A2-1)&amp;"")</f>
        <v>#REF!</v>
      </c>
      <c r="I2" s="75" t="e">
        <f t="array" aca="1" ref="I2" ca="1">INDIRECT("数出表_Excel!"&amp;
IFERROR(
SUBSTITUTE(ADDRESS(1,
IFERROR(COLUMN(INDEX(数出表_Excel!B7:T7,1,MATCH(TRUE,INDIRECT("数出表_Excel!B"&amp;A2-1&amp;":T"&amp;A2-1&amp;"")&lt;&gt;"",0))),""),4),"1",""),
"")
&amp;A2&amp;"")</f>
        <v>#REF!</v>
      </c>
      <c r="J2" s="75" t="e">
        <f ca="1">VLOOKUP(D2,注文弁当の抽出!$E$1:$F$8,2,FALSE)</f>
        <v>#REF!</v>
      </c>
      <c r="K2" s="75" t="e">
        <f ca="1">IF(C2&lt;&gt;"",
IFERROR(INT(H2/J2),""),"")</f>
        <v>#N/A</v>
      </c>
      <c r="L2" s="75" t="str">
        <f ca="1">IFERROR(MOD(H2,J2),"")</f>
        <v/>
      </c>
      <c r="M2" s="75" t="e">
        <f t="array" aca="1" ref="M2" ca="1">IF(C2&lt;&gt;"",
IF(IFERROR(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"")&lt;&gt;0,
IF(IFERROR(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"")="",
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""),
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"")),0),0)</f>
        <v>#N/A</v>
      </c>
      <c r="N2" s="75" t="e">
        <f t="array" aca="1" ref="N2" ca="1">IF(B2="博多",
IF(C2&lt;&gt;"",
IF(IFERROR(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0)&lt;&gt;0,
IF(IFERROR(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0)="",
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0),
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0)),0),""),0)</f>
        <v>#N/A</v>
      </c>
      <c r="O2" s="75" t="e">
        <f ca="1">M2+N2</f>
        <v>#N/A</v>
      </c>
      <c r="P2" s="75">
        <f ca="1">IF(COUNTIF(Q2,"TRUE"),ROW(),0)</f>
        <v>0</v>
      </c>
      <c r="Q2" s="75" t="e">
        <f ca="1">IF(C2&lt;&gt;"",TRUE,FALSE)</f>
        <v>#N/A</v>
      </c>
      <c r="R2" s="74" t="str">
        <f t="array" aca="1" ref="R2" ca="1">IFERROR(SMALL(IF(P$1:P$173&lt;&gt;0,P$1:P$173),ROW(A2)),"")</f>
        <v/>
      </c>
      <c r="S2" s="74" t="str">
        <f t="array" aca="1" ref="S2" ca="1">IF($R2&lt;&gt;"",
INDIRECT(""&amp;IF(COLUMN(C2)&lt;=26,CHAR(COLUMN(C2)+64),CHAR(INT((COLUMN(C2)-1)/26)+64)&amp;CHAR(MOD(COLUMN(C2)-1,26)+65))&amp;$R2&amp;""),"")</f>
        <v/>
      </c>
      <c r="T2" s="74" t="str">
        <f t="array" aca="1" ref="T2" ca="1">IF($R2&lt;&gt;"",
INDIRECT(""&amp;IF(COLUMN(D2)&lt;=26,CHAR(COLUMN(D2)+64),CHAR(INT((COLUMN(D2)-1)/26)+64)&amp;CHAR(MOD(COLUMN(D2)-1,26)+65))&amp;$R2&amp;""),"")</f>
        <v/>
      </c>
      <c r="U2" s="74" t="str">
        <f t="array" aca="1" ref="U2" ca="1">IF($R2&lt;&gt;"",
INDIRECT(""&amp;IF(COLUMN(E2)&lt;=26,CHAR(COLUMN(E2)+64),CHAR(INT((COLUMN(E2)-1)/26)+64)&amp;CHAR(MOD(COLUMN(E2)-1,26)+65))&amp;$R2&amp;""),"")</f>
        <v/>
      </c>
      <c r="V2" s="74" t="str">
        <f t="array" aca="1" ref="V2" ca="1">IF($R2&lt;&gt;"",
IF(U2="",
IF(INDIRECT("EY"&amp;$R2&amp;"")&lt;&gt;"",
INDIRECT("EY"&amp;$R2&amp;"")&amp;"箱"
&amp;INDIRECT("EZ"&amp;$R2&amp;""),""),""),"")</f>
        <v/>
      </c>
      <c r="W2" s="74" t="str">
        <f t="array" aca="1" ref="W2" ca="1">IF($R2&lt;&gt;"",
INDIRECT(""&amp;IF(COLUMN(H2)&lt;=26,CHAR(COLUMN(H2)+64),CHAR(INT((COLUMN(H2)-1)/26)+64)&amp;CHAR(MOD(COLUMN(H2)-1,26)+65))&amp;$R2&amp;""),"")</f>
        <v/>
      </c>
      <c r="X2" s="74" t="str">
        <f t="array" aca="1" ref="X2" ca="1">IF($R2&lt;&gt;"",
INDIRECT(""&amp;IF(COLUMN(I2)&lt;=26,CHAR(COLUMN(I2)+64),CHAR(INT((COLUMN(I2)-1)/26)+64)&amp;CHAR(MOD(COLUMN(I2)-1,26)+65))&amp;$R2&amp;""),"")</f>
        <v/>
      </c>
      <c r="Y2" s="74" t="str">
        <f t="array" aca="1" ref="Y2" ca="1">IF($R2&lt;&gt;"",
INDIRECT(""&amp;IF(COLUMN(J2)&lt;=26,CHAR(COLUMN(J2)+64),CHAR(INT((COLUMN(J2)-1)/26)+64)&amp;CHAR(MOD(COLUMN(J2)-1,26)+65))&amp;$R2&amp;""),"")</f>
        <v/>
      </c>
      <c r="Z2" s="74" t="str">
        <f t="array" aca="1" ref="Z2" ca="1">IF($R2&lt;&gt;"",
INDIRECT(""&amp;IF(COLUMN(K2)&lt;=26,CHAR(COLUMN(K2)+64),CHAR(INT((COLUMN(K2)-1)/26)+64)&amp;CHAR(MOD(COLUMN(K2)-1,26)+65))&amp;$R2&amp;""),"")</f>
        <v/>
      </c>
      <c r="AA2" s="74" t="str">
        <f t="array" aca="1" ref="AA2" ca="1">IF($R2&lt;&gt;"",
INDIRECT(""&amp;IF(COLUMN(L2)&lt;=26,CHAR(COLUMN(L2)+64),CHAR(INT((COLUMN(L2)-1)/26)+64)&amp;CHAR(MOD(COLUMN(L2)-1,26)+65))&amp;$R2&amp;""),"")</f>
        <v/>
      </c>
      <c r="AB2" s="74" t="str">
        <f t="array" aca="1" ref="AB2" ca="1">IF($R2&lt;&gt;"",
INDIRECT(""&amp;IF(COLUMN(O2)&lt;=26,CHAR(COLUMN(O2)+64),CHAR(INT((COLUMN(O2)-1)/26)+64)&amp;CHAR(MOD(COLUMN(O2)-1,26)+65))&amp;$R2&amp;""),"")</f>
        <v/>
      </c>
    </row>
    <row r="3" spans="1:28" s="74" customFormat="1" ht="22.2" customHeight="1">
      <c r="R3" s="74" t="str">
        <f t="array" ref="R3">IFERROR(SMALL(IF(P$1:P$228&lt;&gt;0,P$1:P$228),ROW(#REF!)),"")</f>
        <v/>
      </c>
      <c r="S3" s="74" t="str">
        <f t="array" aca="1" ref="S3" ca="1">IF($R3&lt;&gt;"",
INDIRECT(""&amp;IF(COLUMN(C4)&lt;=26,CHAR(COLUMN(C4)+64),CHAR(INT((COLUMN(C4)-1)/26)+64)&amp;CHAR(MOD(COLUMN(C4)-1,26)+65))&amp;$R3&amp;""),"")</f>
        <v/>
      </c>
      <c r="T3" s="74" t="str">
        <f t="array" aca="1" ref="T3" ca="1">IF($R3&lt;&gt;"",
INDIRECT(""&amp;IF(COLUMN(D4)&lt;=26,CHAR(COLUMN(D4)+64),CHAR(INT((COLUMN(D4)-1)/26)+64)&amp;CHAR(MOD(COLUMN(D4)-1,26)+65))&amp;$R3&amp;""),"")</f>
        <v/>
      </c>
      <c r="U3" s="74" t="str">
        <f t="array" aca="1" ref="U3" ca="1">IF($R3&lt;&gt;"",
INDIRECT(""&amp;IF(COLUMN(E4)&lt;=26,CHAR(COLUMN(E4)+64),CHAR(INT((COLUMN(E4)-1)/26)+64)&amp;CHAR(MOD(COLUMN(E4)-1,26)+65))&amp;$R3&amp;""),"")</f>
        <v/>
      </c>
      <c r="V3" s="74" t="str">
        <f t="array" aca="1" ref="V3" ca="1">IF($R3&lt;&gt;"",
IF(U3="",
IF(INDIRECT("EY"&amp;$R3&amp;"")&lt;&gt;"",
INDIRECT("EY"&amp;$R3&amp;"")&amp;"箱"
&amp;INDIRECT("EZ"&amp;$R3&amp;""),""),""),"")</f>
        <v/>
      </c>
      <c r="W3" s="74" t="str">
        <f t="array" aca="1" ref="W3" ca="1">IF($R3&lt;&gt;"",
INDIRECT(""&amp;IF(COLUMN(H4)&lt;=26,CHAR(COLUMN(H4)+64),CHAR(INT((COLUMN(H4)-1)/26)+64)&amp;CHAR(MOD(COLUMN(H4)-1,26)+65))&amp;$R3&amp;""),"")</f>
        <v/>
      </c>
      <c r="X3" s="74" t="str">
        <f t="array" aca="1" ref="X3" ca="1">IF($R3&lt;&gt;"",
INDIRECT(""&amp;IF(COLUMN(I4)&lt;=26,CHAR(COLUMN(I4)+64),CHAR(INT((COLUMN(I4)-1)/26)+64)&amp;CHAR(MOD(COLUMN(I4)-1,26)+65))&amp;$R3&amp;""),"")</f>
        <v/>
      </c>
      <c r="Y3" s="74" t="str">
        <f t="array" aca="1" ref="Y3" ca="1">IF($R3&lt;&gt;"",
INDIRECT(""&amp;IF(COLUMN(J4)&lt;=26,CHAR(COLUMN(J4)+64),CHAR(INT((COLUMN(J4)-1)/26)+64)&amp;CHAR(MOD(COLUMN(J4)-1,26)+65))&amp;$R3&amp;""),"")</f>
        <v/>
      </c>
      <c r="Z3" s="74" t="str">
        <f t="array" aca="1" ref="Z3" ca="1">IF($R3&lt;&gt;"",
INDIRECT(""&amp;IF(COLUMN(K4)&lt;=26,CHAR(COLUMN(K4)+64),CHAR(INT((COLUMN(K4)-1)/26)+64)&amp;CHAR(MOD(COLUMN(K4)-1,26)+65))&amp;$R3&amp;""),"")</f>
        <v/>
      </c>
      <c r="AA3" s="74" t="str">
        <f t="array" aca="1" ref="AA3" ca="1">IF($R3&lt;&gt;"",
INDIRECT(""&amp;IF(COLUMN(L4)&lt;=26,CHAR(COLUMN(L4)+64),CHAR(INT((COLUMN(L4)-1)/26)+64)&amp;CHAR(MOD(COLUMN(L4)-1,26)+65))&amp;$R3&amp;""),"")</f>
        <v/>
      </c>
      <c r="AB3" s="74" t="str">
        <f t="array" aca="1" ref="AB3" ca="1">IF($R3&lt;&gt;"",
INDIRECT(""&amp;IF(COLUMN(O4)&lt;=26,CHAR(COLUMN(O4)+64),CHAR(INT((COLUMN(O4)-1)/26)+64)&amp;CHAR(MOD(COLUMN(O4)-1,26)+65))&amp;$R3&amp;""),"")</f>
        <v/>
      </c>
    </row>
    <row r="4" spans="1:28" ht="18" customHeight="1">
      <c r="A4" s="74"/>
      <c r="B4" s="74"/>
      <c r="C4" s="74"/>
      <c r="D4" s="74"/>
      <c r="E4" s="74"/>
      <c r="F4" s="221"/>
      <c r="G4" s="221"/>
      <c r="H4" s="74"/>
      <c r="I4" s="74"/>
      <c r="J4" s="74"/>
      <c r="K4" s="74"/>
      <c r="L4" s="74"/>
      <c r="M4" s="74"/>
      <c r="N4" s="74"/>
      <c r="O4" s="74"/>
      <c r="P4" s="74"/>
      <c r="Q4" s="74"/>
      <c r="R4" s="74" t="str">
        <f t="array" ref="R4">IFERROR(SMALL(IF(P$1:P$228&lt;&gt;0,P$1:P$228),ROW(#REF!)),"")</f>
        <v/>
      </c>
      <c r="S4" s="74" t="str">
        <f t="array" aca="1" ref="S4" ca="1">IF($R4&lt;&gt;"",
INDIRECT(""&amp;IF(COLUMN(C5)&lt;=26,CHAR(COLUMN(C5)+64),CHAR(INT((COLUMN(C5)-1)/26)+64)&amp;CHAR(MOD(COLUMN(C5)-1,26)+65))&amp;$R4&amp;""),"")</f>
        <v/>
      </c>
      <c r="T4" s="74" t="str">
        <f t="array" aca="1" ref="T4" ca="1">IF($R4&lt;&gt;"",
INDIRECT(""&amp;IF(COLUMN(D5)&lt;=26,CHAR(COLUMN(D5)+64),CHAR(INT((COLUMN(D5)-1)/26)+64)&amp;CHAR(MOD(COLUMN(D5)-1,26)+65))&amp;$R4&amp;""),"")</f>
        <v/>
      </c>
      <c r="U4" s="74" t="str">
        <f t="array" aca="1" ref="U4" ca="1">IF($R4&lt;&gt;"",
INDIRECT(""&amp;IF(COLUMN(E5)&lt;=26,CHAR(COLUMN(E5)+64),CHAR(INT((COLUMN(E5)-1)/26)+64)&amp;CHAR(MOD(COLUMN(E5)-1,26)+65))&amp;$R4&amp;""),"")</f>
        <v/>
      </c>
      <c r="V4" s="74" t="str">
        <f t="array" aca="1" ref="V4" ca="1">IF($R4&lt;&gt;"",
IF(U4="",
IF(INDIRECT("EY"&amp;$R4&amp;"")&lt;&gt;"",
INDIRECT("EY"&amp;$R4&amp;"")&amp;"箱"
&amp;INDIRECT("EZ"&amp;$R4&amp;""),""),""),"")</f>
        <v/>
      </c>
      <c r="W4" s="74" t="str">
        <f t="array" aca="1" ref="W4" ca="1">IF($R4&lt;&gt;"",
INDIRECT(""&amp;IF(COLUMN(H5)&lt;=26,CHAR(COLUMN(H5)+64),CHAR(INT((COLUMN(H5)-1)/26)+64)&amp;CHAR(MOD(COLUMN(H5)-1,26)+65))&amp;$R4&amp;""),"")</f>
        <v/>
      </c>
      <c r="X4" s="74" t="str">
        <f t="array" aca="1" ref="X4" ca="1">IF($R4&lt;&gt;"",
INDIRECT(""&amp;IF(COLUMN(I5)&lt;=26,CHAR(COLUMN(I5)+64),CHAR(INT((COLUMN(I5)-1)/26)+64)&amp;CHAR(MOD(COLUMN(I5)-1,26)+65))&amp;$R4&amp;""),"")</f>
        <v/>
      </c>
      <c r="Y4" s="74" t="str">
        <f t="array" aca="1" ref="Y4" ca="1">IF($R4&lt;&gt;"",
INDIRECT(""&amp;IF(COLUMN(J5)&lt;=26,CHAR(COLUMN(J5)+64),CHAR(INT((COLUMN(J5)-1)/26)+64)&amp;CHAR(MOD(COLUMN(J5)-1,26)+65))&amp;$R4&amp;""),"")</f>
        <v/>
      </c>
      <c r="Z4" s="74" t="str">
        <f t="array" aca="1" ref="Z4" ca="1">IF($R4&lt;&gt;"",
INDIRECT(""&amp;IF(COLUMN(K5)&lt;=26,CHAR(COLUMN(K5)+64),CHAR(INT((COLUMN(K5)-1)/26)+64)&amp;CHAR(MOD(COLUMN(K5)-1,26)+65))&amp;$R4&amp;""),"")</f>
        <v/>
      </c>
      <c r="AA4" s="74" t="str">
        <f t="array" aca="1" ref="AA4" ca="1">IF($R4&lt;&gt;"",
INDIRECT(""&amp;IF(COLUMN(L5)&lt;=26,CHAR(COLUMN(L5)+64),CHAR(INT((COLUMN(L5)-1)/26)+64)&amp;CHAR(MOD(COLUMN(L5)-1,26)+65))&amp;$R4&amp;""),"")</f>
        <v/>
      </c>
      <c r="AB4" s="74" t="str">
        <f t="array" aca="1" ref="AB4" ca="1">IF($R4&lt;&gt;"",
INDIRECT(""&amp;IF(COLUMN(O5)&lt;=26,CHAR(COLUMN(O5)+64),CHAR(INT((COLUMN(O5)-1)/26)+64)&amp;CHAR(MOD(COLUMN(O5)-1,26)+65))&amp;$R4&amp;""),"")</f>
        <v/>
      </c>
    </row>
    <row r="5" spans="1:28" ht="18" customHeight="1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 t="str">
        <f t="array" ref="R5">IFERROR(SMALL(IF(P$1:P$228&lt;&gt;0,P$1:P$228),ROW(#REF!)),"")</f>
        <v/>
      </c>
      <c r="S5" s="74" t="str">
        <f t="array" aca="1" ref="S5" ca="1">IF($R5&lt;&gt;"",
INDIRECT(""&amp;IF(COLUMN(C7)&lt;=26,CHAR(COLUMN(C7)+64),CHAR(INT((COLUMN(C7)-1)/26)+64)&amp;CHAR(MOD(COLUMN(C7)-1,26)+65))&amp;$R5&amp;""),"")</f>
        <v/>
      </c>
      <c r="T5" s="74" t="str">
        <f t="array" aca="1" ref="T5" ca="1">IF($R5&lt;&gt;"",
INDIRECT(""&amp;IF(COLUMN(D7)&lt;=26,CHAR(COLUMN(D7)+64),CHAR(INT((COLUMN(D7)-1)/26)+64)&amp;CHAR(MOD(COLUMN(D7)-1,26)+65))&amp;$R5&amp;""),"")</f>
        <v/>
      </c>
      <c r="U5" s="74" t="str">
        <f t="array" aca="1" ref="U5" ca="1">IF($R5&lt;&gt;"",
INDIRECT(""&amp;IF(COLUMN(E7)&lt;=26,CHAR(COLUMN(E7)+64),CHAR(INT((COLUMN(E7)-1)/26)+64)&amp;CHAR(MOD(COLUMN(E7)-1,26)+65))&amp;$R5&amp;""),"")</f>
        <v/>
      </c>
      <c r="V5" s="74" t="str">
        <f t="array" aca="1" ref="V5" ca="1">IF($R5&lt;&gt;"",
IF(U5="",
IF(INDIRECT("EY"&amp;$R5&amp;"")&lt;&gt;"",
INDIRECT("EY"&amp;$R5&amp;"")&amp;"箱"
&amp;INDIRECT("EZ"&amp;$R5&amp;""),""),""),"")</f>
        <v/>
      </c>
      <c r="W5" s="74" t="str">
        <f t="array" aca="1" ref="W5" ca="1">IF($R5&lt;&gt;"",
INDIRECT(""&amp;IF(COLUMN(H7)&lt;=26,CHAR(COLUMN(H7)+64),CHAR(INT((COLUMN(H7)-1)/26)+64)&amp;CHAR(MOD(COLUMN(H7)-1,26)+65))&amp;$R5&amp;""),"")</f>
        <v/>
      </c>
      <c r="X5" s="74" t="str">
        <f t="array" aca="1" ref="X5" ca="1">IF($R5&lt;&gt;"",
INDIRECT(""&amp;IF(COLUMN(I7)&lt;=26,CHAR(COLUMN(I7)+64),CHAR(INT((COLUMN(I7)-1)/26)+64)&amp;CHAR(MOD(COLUMN(I7)-1,26)+65))&amp;$R5&amp;""),"")</f>
        <v/>
      </c>
      <c r="Y5" s="74" t="str">
        <f t="array" aca="1" ref="Y5" ca="1">IF($R5&lt;&gt;"",
INDIRECT(""&amp;IF(COLUMN(J7)&lt;=26,CHAR(COLUMN(J7)+64),CHAR(INT((COLUMN(J7)-1)/26)+64)&amp;CHAR(MOD(COLUMN(J7)-1,26)+65))&amp;$R5&amp;""),"")</f>
        <v/>
      </c>
      <c r="Z5" s="74" t="str">
        <f t="array" aca="1" ref="Z5" ca="1">IF($R5&lt;&gt;"",
INDIRECT(""&amp;IF(COLUMN(K7)&lt;=26,CHAR(COLUMN(K7)+64),CHAR(INT((COLUMN(K7)-1)/26)+64)&amp;CHAR(MOD(COLUMN(K7)-1,26)+65))&amp;$R5&amp;""),"")</f>
        <v/>
      </c>
      <c r="AA5" s="74" t="str">
        <f t="array" aca="1" ref="AA5" ca="1">IF($R5&lt;&gt;"",
INDIRECT(""&amp;IF(COLUMN(L7)&lt;=26,CHAR(COLUMN(L7)+64),CHAR(INT((COLUMN(L7)-1)/26)+64)&amp;CHAR(MOD(COLUMN(L7)-1,26)+65))&amp;$R5&amp;""),"")</f>
        <v/>
      </c>
      <c r="AB5" s="74" t="str">
        <f t="array" aca="1" ref="AB5" ca="1">IF($R5&lt;&gt;"",
INDIRECT(""&amp;IF(COLUMN(O7)&lt;=26,CHAR(COLUMN(O7)+64),CHAR(INT((COLUMN(O7)-1)/26)+64)&amp;CHAR(MOD(COLUMN(O7)-1,26)+65))&amp;$R5&amp;""),"")</f>
        <v/>
      </c>
    </row>
    <row r="6" spans="1:28" s="74" customFormat="1" ht="22.2" customHeight="1">
      <c r="R6" s="74" t="str">
        <f t="array" ref="R6">IFERROR(SMALL(IF(P$1:P$228&lt;&gt;0,P$1:P$228),ROW(#REF!)),"")</f>
        <v/>
      </c>
      <c r="S6" s="74" t="str">
        <f t="array" aca="1" ref="S6" ca="1">IF($R6&lt;&gt;"",
INDIRECT(""&amp;IF(COLUMN(C8)&lt;=26,CHAR(COLUMN(C8)+64),CHAR(INT((COLUMN(C8)-1)/26)+64)&amp;CHAR(MOD(COLUMN(C8)-1,26)+65))&amp;$R6&amp;""),"")</f>
        <v/>
      </c>
      <c r="T6" s="74" t="str">
        <f t="array" aca="1" ref="T6" ca="1">IF($R6&lt;&gt;"",
INDIRECT(""&amp;IF(COLUMN(D8)&lt;=26,CHAR(COLUMN(D8)+64),CHAR(INT((COLUMN(D8)-1)/26)+64)&amp;CHAR(MOD(COLUMN(D8)-1,26)+65))&amp;$R6&amp;""),"")</f>
        <v/>
      </c>
      <c r="U6" s="74" t="str">
        <f t="array" aca="1" ref="U6" ca="1">IF($R6&lt;&gt;"",
INDIRECT(""&amp;IF(COLUMN(E8)&lt;=26,CHAR(COLUMN(E8)+64),CHAR(INT((COLUMN(E8)-1)/26)+64)&amp;CHAR(MOD(COLUMN(E8)-1,26)+65))&amp;$R6&amp;""),"")</f>
        <v/>
      </c>
      <c r="V6" s="74" t="str">
        <f t="array" aca="1" ref="V6" ca="1">IF($R6&lt;&gt;"",
IF(U6="",
IF(INDIRECT("EY"&amp;$R6&amp;"")&lt;&gt;"",
INDIRECT("EY"&amp;$R6&amp;"")&amp;"箱"
&amp;INDIRECT("EZ"&amp;$R6&amp;""),""),""),"")</f>
        <v/>
      </c>
      <c r="W6" s="74" t="str">
        <f t="array" aca="1" ref="W6" ca="1">IF($R6&lt;&gt;"",
INDIRECT(""&amp;IF(COLUMN(H8)&lt;=26,CHAR(COLUMN(H8)+64),CHAR(INT((COLUMN(H8)-1)/26)+64)&amp;CHAR(MOD(COLUMN(H8)-1,26)+65))&amp;$R6&amp;""),"")</f>
        <v/>
      </c>
      <c r="X6" s="74" t="str">
        <f t="array" aca="1" ref="X6" ca="1">IF($R6&lt;&gt;"",
INDIRECT(""&amp;IF(COLUMN(I8)&lt;=26,CHAR(COLUMN(I8)+64),CHAR(INT((COLUMN(I8)-1)/26)+64)&amp;CHAR(MOD(COLUMN(I8)-1,26)+65))&amp;$R6&amp;""),"")</f>
        <v/>
      </c>
      <c r="Y6" s="74" t="str">
        <f t="array" aca="1" ref="Y6" ca="1">IF($R6&lt;&gt;"",
INDIRECT(""&amp;IF(COLUMN(J8)&lt;=26,CHAR(COLUMN(J8)+64),CHAR(INT((COLUMN(J8)-1)/26)+64)&amp;CHAR(MOD(COLUMN(J8)-1,26)+65))&amp;$R6&amp;""),"")</f>
        <v/>
      </c>
      <c r="Z6" s="74" t="str">
        <f t="array" aca="1" ref="Z6" ca="1">IF($R6&lt;&gt;"",
INDIRECT(""&amp;IF(COLUMN(K8)&lt;=26,CHAR(COLUMN(K8)+64),CHAR(INT((COLUMN(K8)-1)/26)+64)&amp;CHAR(MOD(COLUMN(K8)-1,26)+65))&amp;$R6&amp;""),"")</f>
        <v/>
      </c>
      <c r="AA6" s="74" t="str">
        <f t="array" aca="1" ref="AA6" ca="1">IF($R6&lt;&gt;"",
INDIRECT(""&amp;IF(COLUMN(L8)&lt;=26,CHAR(COLUMN(L8)+64),CHAR(INT((COLUMN(L8)-1)/26)+64)&amp;CHAR(MOD(COLUMN(L8)-1,26)+65))&amp;$R6&amp;""),"")</f>
        <v/>
      </c>
      <c r="AB6" s="74" t="str">
        <f t="array" aca="1" ref="AB6" ca="1">IF($R6&lt;&gt;"",
INDIRECT(""&amp;IF(COLUMN(O8)&lt;=26,CHAR(COLUMN(O8)+64),CHAR(INT((COLUMN(O8)-1)/26)+64)&amp;CHAR(MOD(COLUMN(O8)-1,26)+65))&amp;$R6&amp;""),"")</f>
        <v/>
      </c>
    </row>
    <row r="7" spans="1:28" ht="21" customHeight="1">
      <c r="A7" s="22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 t="str">
        <f t="array" ref="R7">IFERROR(SMALL(IF(P$1:P$228&lt;&gt;0,P$1:P$228),ROW(#REF!)),"")</f>
        <v/>
      </c>
      <c r="S7" s="74" t="str">
        <f t="array" aca="1" ref="S7" ca="1">IF($R7&lt;&gt;"",
INDIRECT(""&amp;IF(COLUMN(C10)&lt;=26,CHAR(COLUMN(C10)+64),CHAR(INT((COLUMN(C10)-1)/26)+64)&amp;CHAR(MOD(COLUMN(C10)-1,26)+65))&amp;$R7&amp;""),"")</f>
        <v/>
      </c>
      <c r="T7" s="74" t="str">
        <f t="array" aca="1" ref="T7" ca="1">IF($R7&lt;&gt;"",
INDIRECT(""&amp;IF(COLUMN(D10)&lt;=26,CHAR(COLUMN(D10)+64),CHAR(INT((COLUMN(D10)-1)/26)+64)&amp;CHAR(MOD(COLUMN(D10)-1,26)+65))&amp;$R7&amp;""),"")</f>
        <v/>
      </c>
      <c r="U7" s="74" t="str">
        <f t="array" aca="1" ref="U7" ca="1">IF($R7&lt;&gt;"",
INDIRECT(""&amp;IF(COLUMN(E10)&lt;=26,CHAR(COLUMN(E10)+64),CHAR(INT((COLUMN(E10)-1)/26)+64)&amp;CHAR(MOD(COLUMN(E10)-1,26)+65))&amp;$R7&amp;""),"")</f>
        <v/>
      </c>
      <c r="V7" s="74" t="str">
        <f t="array" aca="1" ref="V7" ca="1">IF($R7&lt;&gt;"",
IF(U7="",
IF(INDIRECT("EY"&amp;$R7&amp;"")&lt;&gt;"",
INDIRECT("EY"&amp;$R7&amp;"")&amp;"箱"
&amp;INDIRECT("EZ"&amp;$R7&amp;""),""),""),"")</f>
        <v/>
      </c>
      <c r="W7" s="74" t="str">
        <f t="array" aca="1" ref="W7" ca="1">IF($R7&lt;&gt;"",
INDIRECT(""&amp;IF(COLUMN(H10)&lt;=26,CHAR(COLUMN(H10)+64),CHAR(INT((COLUMN(H10)-1)/26)+64)&amp;CHAR(MOD(COLUMN(H10)-1,26)+65))&amp;$R7&amp;""),"")</f>
        <v/>
      </c>
      <c r="X7" s="74" t="str">
        <f t="array" aca="1" ref="X7" ca="1">IF($R7&lt;&gt;"",
INDIRECT(""&amp;IF(COLUMN(I10)&lt;=26,CHAR(COLUMN(I10)+64),CHAR(INT((COLUMN(I10)-1)/26)+64)&amp;CHAR(MOD(COLUMN(I10)-1,26)+65))&amp;$R7&amp;""),"")</f>
        <v/>
      </c>
      <c r="Y7" s="74" t="str">
        <f t="array" aca="1" ref="Y7" ca="1">IF($R7&lt;&gt;"",
INDIRECT(""&amp;IF(COLUMN(J10)&lt;=26,CHAR(COLUMN(J10)+64),CHAR(INT((COLUMN(J10)-1)/26)+64)&amp;CHAR(MOD(COLUMN(J10)-1,26)+65))&amp;$R7&amp;""),"")</f>
        <v/>
      </c>
      <c r="Z7" s="74" t="str">
        <f t="array" aca="1" ref="Z7" ca="1">IF($R7&lt;&gt;"",
INDIRECT(""&amp;IF(COLUMN(K10)&lt;=26,CHAR(COLUMN(K10)+64),CHAR(INT((COLUMN(K10)-1)/26)+64)&amp;CHAR(MOD(COLUMN(K10)-1,26)+65))&amp;$R7&amp;""),"")</f>
        <v/>
      </c>
      <c r="AA7" s="74" t="str">
        <f t="array" aca="1" ref="AA7" ca="1">IF($R7&lt;&gt;"",
INDIRECT(""&amp;IF(COLUMN(L10)&lt;=26,CHAR(COLUMN(L10)+64),CHAR(INT((COLUMN(L10)-1)/26)+64)&amp;CHAR(MOD(COLUMN(L10)-1,26)+65))&amp;$R7&amp;""),"")</f>
        <v/>
      </c>
      <c r="AB7" s="74" t="str">
        <f t="array" aca="1" ref="AB7" ca="1">IF($R7&lt;&gt;"",
INDIRECT(""&amp;IF(COLUMN(O10)&lt;=26,CHAR(COLUMN(O10)+64),CHAR(INT((COLUMN(O10)-1)/26)+64)&amp;CHAR(MOD(COLUMN(O10)-1,26)+65))&amp;$R7&amp;""),"")</f>
        <v/>
      </c>
    </row>
    <row r="8" spans="1:28" s="74" customFormat="1" ht="18" customHeight="1">
      <c r="R8" s="74" t="str">
        <f t="array" ref="R8">IFERROR(SMALL(IF(P$1:P$228&lt;&gt;0,P$1:P$228),ROW(#REF!)),"")</f>
        <v/>
      </c>
      <c r="S8" s="74" t="str">
        <f t="array" aca="1" ref="S8" ca="1">IF($R8&lt;&gt;"",
INDIRECT(""&amp;IF(COLUMN(C11)&lt;=26,CHAR(COLUMN(C11)+64),CHAR(INT((COLUMN(C11)-1)/26)+64)&amp;CHAR(MOD(COLUMN(C11)-1,26)+65))&amp;$R8&amp;""),"")</f>
        <v/>
      </c>
      <c r="T8" s="74" t="str">
        <f t="array" aca="1" ref="T8" ca="1">IF($R8&lt;&gt;"",
INDIRECT(""&amp;IF(COLUMN(D11)&lt;=26,CHAR(COLUMN(D11)+64),CHAR(INT((COLUMN(D11)-1)/26)+64)&amp;CHAR(MOD(COLUMN(D11)-1,26)+65))&amp;$R8&amp;""),"")</f>
        <v/>
      </c>
      <c r="U8" s="74" t="str">
        <f t="array" aca="1" ref="U8" ca="1">IF($R8&lt;&gt;"",
INDIRECT(""&amp;IF(COLUMN(E11)&lt;=26,CHAR(COLUMN(E11)+64),CHAR(INT((COLUMN(E11)-1)/26)+64)&amp;CHAR(MOD(COLUMN(E11)-1,26)+65))&amp;$R8&amp;""),"")</f>
        <v/>
      </c>
      <c r="V8" s="74" t="str">
        <f t="array" aca="1" ref="V8" ca="1">IF($R8&lt;&gt;"",
IF(U8="",
IF(INDIRECT("EY"&amp;$R8&amp;"")&lt;&gt;"",
INDIRECT("EY"&amp;$R8&amp;"")&amp;"箱"
&amp;INDIRECT("EZ"&amp;$R8&amp;""),""),""),"")</f>
        <v/>
      </c>
      <c r="W8" s="74" t="str">
        <f t="array" aca="1" ref="W8" ca="1">IF($R8&lt;&gt;"",
INDIRECT(""&amp;IF(COLUMN(H11)&lt;=26,CHAR(COLUMN(H11)+64),CHAR(INT((COLUMN(H11)-1)/26)+64)&amp;CHAR(MOD(COLUMN(H11)-1,26)+65))&amp;$R8&amp;""),"")</f>
        <v/>
      </c>
      <c r="X8" s="74" t="str">
        <f t="array" aca="1" ref="X8" ca="1">IF($R8&lt;&gt;"",
INDIRECT(""&amp;IF(COLUMN(I11)&lt;=26,CHAR(COLUMN(I11)+64),CHAR(INT((COLUMN(I11)-1)/26)+64)&amp;CHAR(MOD(COLUMN(I11)-1,26)+65))&amp;$R8&amp;""),"")</f>
        <v/>
      </c>
      <c r="Y8" s="74" t="str">
        <f t="array" aca="1" ref="Y8" ca="1">IF($R8&lt;&gt;"",
INDIRECT(""&amp;IF(COLUMN(J11)&lt;=26,CHAR(COLUMN(J11)+64),CHAR(INT((COLUMN(J11)-1)/26)+64)&amp;CHAR(MOD(COLUMN(J11)-1,26)+65))&amp;$R8&amp;""),"")</f>
        <v/>
      </c>
      <c r="Z8" s="74" t="str">
        <f t="array" aca="1" ref="Z8" ca="1">IF($R8&lt;&gt;"",
INDIRECT(""&amp;IF(COLUMN(K11)&lt;=26,CHAR(COLUMN(K11)+64),CHAR(INT((COLUMN(K11)-1)/26)+64)&amp;CHAR(MOD(COLUMN(K11)-1,26)+65))&amp;$R8&amp;""),"")</f>
        <v/>
      </c>
      <c r="AA8" s="74" t="str">
        <f t="array" aca="1" ref="AA8" ca="1">IF($R8&lt;&gt;"",
INDIRECT(""&amp;IF(COLUMN(L11)&lt;=26,CHAR(COLUMN(L11)+64),CHAR(INT((COLUMN(L11)-1)/26)+64)&amp;CHAR(MOD(COLUMN(L11)-1,26)+65))&amp;$R8&amp;""),"")</f>
        <v/>
      </c>
      <c r="AB8" s="74" t="str">
        <f t="array" aca="1" ref="AB8" ca="1">IF($R8&lt;&gt;"",
INDIRECT(""&amp;IF(COLUMN(O11)&lt;=26,CHAR(COLUMN(O11)+64),CHAR(INT((COLUMN(O11)-1)/26)+64)&amp;CHAR(MOD(COLUMN(O11)-1,26)+65))&amp;$R8&amp;""),"")</f>
        <v/>
      </c>
    </row>
    <row r="9" spans="1:28" s="74" customFormat="1" ht="18" customHeight="1">
      <c r="A9" s="223"/>
      <c r="R9" s="74" t="str">
        <f t="array" ref="R9">IFERROR(SMALL(IF(P$1:P$228&lt;&gt;0,P$1:P$228),ROW(#REF!)),"")</f>
        <v/>
      </c>
      <c r="S9" s="74" t="str">
        <f t="array" aca="1" ref="S9" ca="1">IF($R9&lt;&gt;"",
INDIRECT(""&amp;IF(COLUMN(C13)&lt;=26,CHAR(COLUMN(C13)+64),CHAR(INT((COLUMN(C13)-1)/26)+64)&amp;CHAR(MOD(COLUMN(C13)-1,26)+65))&amp;$R9&amp;""),"")</f>
        <v/>
      </c>
      <c r="T9" s="74" t="str">
        <f t="array" aca="1" ref="T9" ca="1">IF($R9&lt;&gt;"",
INDIRECT(""&amp;IF(COLUMN(D13)&lt;=26,CHAR(COLUMN(D13)+64),CHAR(INT((COLUMN(D13)-1)/26)+64)&amp;CHAR(MOD(COLUMN(D13)-1,26)+65))&amp;$R9&amp;""),"")</f>
        <v/>
      </c>
      <c r="U9" s="74" t="str">
        <f t="array" aca="1" ref="U9" ca="1">IF($R9&lt;&gt;"",
INDIRECT(""&amp;IF(COLUMN(E13)&lt;=26,CHAR(COLUMN(E13)+64),CHAR(INT((COLUMN(E13)-1)/26)+64)&amp;CHAR(MOD(COLUMN(E13)-1,26)+65))&amp;$R9&amp;""),"")</f>
        <v/>
      </c>
      <c r="V9" s="74" t="str">
        <f t="array" aca="1" ref="V9" ca="1">IF($R9&lt;&gt;"",
IF(U9="",
IF(INDIRECT("EY"&amp;$R9&amp;"")&lt;&gt;"",
INDIRECT("EY"&amp;$R9&amp;"")&amp;"箱"
&amp;INDIRECT("EZ"&amp;$R9&amp;""),""),""),"")</f>
        <v/>
      </c>
      <c r="W9" s="74" t="str">
        <f t="array" aca="1" ref="W9" ca="1">IF($R9&lt;&gt;"",
INDIRECT(""&amp;IF(COLUMN(H13)&lt;=26,CHAR(COLUMN(H13)+64),CHAR(INT((COLUMN(H13)-1)/26)+64)&amp;CHAR(MOD(COLUMN(H13)-1,26)+65))&amp;$R9&amp;""),"")</f>
        <v/>
      </c>
      <c r="X9" s="74" t="str">
        <f t="array" aca="1" ref="X9" ca="1">IF($R9&lt;&gt;"",
INDIRECT(""&amp;IF(COLUMN(I13)&lt;=26,CHAR(COLUMN(I13)+64),CHAR(INT((COLUMN(I13)-1)/26)+64)&amp;CHAR(MOD(COLUMN(I13)-1,26)+65))&amp;$R9&amp;""),"")</f>
        <v/>
      </c>
      <c r="Y9" s="74" t="str">
        <f t="array" aca="1" ref="Y9" ca="1">IF($R9&lt;&gt;"",
INDIRECT(""&amp;IF(COLUMN(J13)&lt;=26,CHAR(COLUMN(J13)+64),CHAR(INT((COLUMN(J13)-1)/26)+64)&amp;CHAR(MOD(COLUMN(J13)-1,26)+65))&amp;$R9&amp;""),"")</f>
        <v/>
      </c>
      <c r="Z9" s="74" t="str">
        <f t="array" aca="1" ref="Z9" ca="1">IF($R9&lt;&gt;"",
INDIRECT(""&amp;IF(COLUMN(K13)&lt;=26,CHAR(COLUMN(K13)+64),CHAR(INT((COLUMN(K13)-1)/26)+64)&amp;CHAR(MOD(COLUMN(K13)-1,26)+65))&amp;$R9&amp;""),"")</f>
        <v/>
      </c>
      <c r="AA9" s="74" t="str">
        <f t="array" aca="1" ref="AA9" ca="1">IF($R9&lt;&gt;"",
INDIRECT(""&amp;IF(COLUMN(L13)&lt;=26,CHAR(COLUMN(L13)+64),CHAR(INT((COLUMN(L13)-1)/26)+64)&amp;CHAR(MOD(COLUMN(L13)-1,26)+65))&amp;$R9&amp;""),"")</f>
        <v/>
      </c>
      <c r="AB9" s="74" t="str">
        <f t="array" aca="1" ref="AB9" ca="1">IF($R9&lt;&gt;"",
INDIRECT(""&amp;IF(COLUMN(O13)&lt;=26,CHAR(COLUMN(O13)+64),CHAR(INT((COLUMN(O13)-1)/26)+64)&amp;CHAR(MOD(COLUMN(O13)-1,26)+65))&amp;$R9&amp;""),"")</f>
        <v/>
      </c>
    </row>
    <row r="10" spans="1:28" s="74" customFormat="1" ht="22.2" customHeight="1">
      <c r="R10" s="74" t="str">
        <f t="array" ref="R10">IFERROR(SMALL(IF(P$1:P$228&lt;&gt;0,P$1:P$228),ROW(#REF!)),"")</f>
        <v/>
      </c>
      <c r="S10" s="74" t="str">
        <f t="array" aca="1" ref="S10" ca="1">IF($R10&lt;&gt;"",
INDIRECT(""&amp;IF(COLUMN(C14)&lt;=26,CHAR(COLUMN(C14)+64),CHAR(INT((COLUMN(C14)-1)/26)+64)&amp;CHAR(MOD(COLUMN(C14)-1,26)+65))&amp;$R10&amp;""),"")</f>
        <v/>
      </c>
      <c r="T10" s="74" t="str">
        <f t="array" aca="1" ref="T10" ca="1">IF($R10&lt;&gt;"",
INDIRECT(""&amp;IF(COLUMN(D14)&lt;=26,CHAR(COLUMN(D14)+64),CHAR(INT((COLUMN(D14)-1)/26)+64)&amp;CHAR(MOD(COLUMN(D14)-1,26)+65))&amp;$R10&amp;""),"")</f>
        <v/>
      </c>
      <c r="U10" s="74" t="str">
        <f t="array" aca="1" ref="U10" ca="1">IF($R10&lt;&gt;"",
INDIRECT(""&amp;IF(COLUMN(E14)&lt;=26,CHAR(COLUMN(E14)+64),CHAR(INT((COLUMN(E14)-1)/26)+64)&amp;CHAR(MOD(COLUMN(E14)-1,26)+65))&amp;$R10&amp;""),"")</f>
        <v/>
      </c>
      <c r="V10" s="74" t="str">
        <f t="array" aca="1" ref="V10" ca="1">IF($R10&lt;&gt;"",
IF(U10="",
IF(INDIRECT("EY"&amp;$R10&amp;"")&lt;&gt;"",
INDIRECT("EY"&amp;$R10&amp;"")&amp;"箱"
&amp;INDIRECT("EZ"&amp;$R10&amp;""),""),""),"")</f>
        <v/>
      </c>
      <c r="W10" s="74" t="str">
        <f t="array" aca="1" ref="W10" ca="1">IF($R10&lt;&gt;"",
INDIRECT(""&amp;IF(COLUMN(H14)&lt;=26,CHAR(COLUMN(H14)+64),CHAR(INT((COLUMN(H14)-1)/26)+64)&amp;CHAR(MOD(COLUMN(H14)-1,26)+65))&amp;$R10&amp;""),"")</f>
        <v/>
      </c>
      <c r="X10" s="74" t="str">
        <f t="array" aca="1" ref="X10" ca="1">IF($R10&lt;&gt;"",
INDIRECT(""&amp;IF(COLUMN(I14)&lt;=26,CHAR(COLUMN(I14)+64),CHAR(INT((COLUMN(I14)-1)/26)+64)&amp;CHAR(MOD(COLUMN(I14)-1,26)+65))&amp;$R10&amp;""),"")</f>
        <v/>
      </c>
      <c r="Y10" s="74" t="str">
        <f t="array" aca="1" ref="Y10" ca="1">IF($R10&lt;&gt;"",
INDIRECT(""&amp;IF(COLUMN(J14)&lt;=26,CHAR(COLUMN(J14)+64),CHAR(INT((COLUMN(J14)-1)/26)+64)&amp;CHAR(MOD(COLUMN(J14)-1,26)+65))&amp;$R10&amp;""),"")</f>
        <v/>
      </c>
      <c r="Z10" s="74" t="str">
        <f t="array" aca="1" ref="Z10" ca="1">IF($R10&lt;&gt;"",
INDIRECT(""&amp;IF(COLUMN(K14)&lt;=26,CHAR(COLUMN(K14)+64),CHAR(INT((COLUMN(K14)-1)/26)+64)&amp;CHAR(MOD(COLUMN(K14)-1,26)+65))&amp;$R10&amp;""),"")</f>
        <v/>
      </c>
      <c r="AA10" s="74" t="str">
        <f t="array" aca="1" ref="AA10" ca="1">IF($R10&lt;&gt;"",
INDIRECT(""&amp;IF(COLUMN(L14)&lt;=26,CHAR(COLUMN(L14)+64),CHAR(INT((COLUMN(L14)-1)/26)+64)&amp;CHAR(MOD(COLUMN(L14)-1,26)+65))&amp;$R10&amp;""),"")</f>
        <v/>
      </c>
      <c r="AB10" s="74" t="str">
        <f t="array" aca="1" ref="AB10" ca="1">IF($R10&lt;&gt;"",
INDIRECT(""&amp;IF(COLUMN(O14)&lt;=26,CHAR(COLUMN(O14)+64),CHAR(INT((COLUMN(O14)-1)/26)+64)&amp;CHAR(MOD(COLUMN(O14)-1,26)+65))&amp;$R10&amp;""),"")</f>
        <v/>
      </c>
    </row>
    <row r="11" spans="1:28" ht="18" customHeight="1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 t="str">
        <f t="array" ref="R11">IFERROR(SMALL(IF(P$1:P$228&lt;&gt;0,P$1:P$228),ROW(#REF!)),"")</f>
        <v/>
      </c>
      <c r="S11" s="74" t="str">
        <f t="array" aca="1" ref="S11" ca="1">IF($R11&lt;&gt;"",
INDIRECT(""&amp;IF(COLUMN(C16)&lt;=26,CHAR(COLUMN(C16)+64),CHAR(INT((COLUMN(C16)-1)/26)+64)&amp;CHAR(MOD(COLUMN(C16)-1,26)+65))&amp;$R11&amp;""),"")</f>
        <v/>
      </c>
      <c r="T11" s="74" t="str">
        <f t="array" aca="1" ref="T11" ca="1">IF($R11&lt;&gt;"",
INDIRECT(""&amp;IF(COLUMN(D16)&lt;=26,CHAR(COLUMN(D16)+64),CHAR(INT((COLUMN(D16)-1)/26)+64)&amp;CHAR(MOD(COLUMN(D16)-1,26)+65))&amp;$R11&amp;""),"")</f>
        <v/>
      </c>
      <c r="U11" s="74" t="str">
        <f t="array" aca="1" ref="U11" ca="1">IF($R11&lt;&gt;"",
INDIRECT(""&amp;IF(COLUMN(E16)&lt;=26,CHAR(COLUMN(E16)+64),CHAR(INT((COLUMN(E16)-1)/26)+64)&amp;CHAR(MOD(COLUMN(E16)-1,26)+65))&amp;$R11&amp;""),"")</f>
        <v/>
      </c>
      <c r="V11" s="74" t="str">
        <f t="array" aca="1" ref="V11" ca="1">IF($R11&lt;&gt;"",
IF(U11="",
IF(INDIRECT("EY"&amp;$R11&amp;"")&lt;&gt;"",
INDIRECT("EY"&amp;$R11&amp;"")&amp;"箱"
&amp;INDIRECT("EZ"&amp;$R11&amp;""),""),""),"")</f>
        <v/>
      </c>
      <c r="W11" s="74" t="str">
        <f t="array" aca="1" ref="W11" ca="1">IF($R11&lt;&gt;"",
INDIRECT(""&amp;IF(COLUMN(H16)&lt;=26,CHAR(COLUMN(H16)+64),CHAR(INT((COLUMN(H16)-1)/26)+64)&amp;CHAR(MOD(COLUMN(H16)-1,26)+65))&amp;$R11&amp;""),"")</f>
        <v/>
      </c>
      <c r="X11" s="74" t="str">
        <f t="array" aca="1" ref="X11" ca="1">IF($R11&lt;&gt;"",
INDIRECT(""&amp;IF(COLUMN(I16)&lt;=26,CHAR(COLUMN(I16)+64),CHAR(INT((COLUMN(I16)-1)/26)+64)&amp;CHAR(MOD(COLUMN(I16)-1,26)+65))&amp;$R11&amp;""),"")</f>
        <v/>
      </c>
      <c r="Y11" s="74" t="str">
        <f t="array" aca="1" ref="Y11" ca="1">IF($R11&lt;&gt;"",
INDIRECT(""&amp;IF(COLUMN(J16)&lt;=26,CHAR(COLUMN(J16)+64),CHAR(INT((COLUMN(J16)-1)/26)+64)&amp;CHAR(MOD(COLUMN(J16)-1,26)+65))&amp;$R11&amp;""),"")</f>
        <v/>
      </c>
      <c r="Z11" s="74" t="str">
        <f t="array" aca="1" ref="Z11" ca="1">IF($R11&lt;&gt;"",
INDIRECT(""&amp;IF(COLUMN(K16)&lt;=26,CHAR(COLUMN(K16)+64),CHAR(INT((COLUMN(K16)-1)/26)+64)&amp;CHAR(MOD(COLUMN(K16)-1,26)+65))&amp;$R11&amp;""),"")</f>
        <v/>
      </c>
      <c r="AA11" s="74" t="str">
        <f t="array" aca="1" ref="AA11" ca="1">IF($R11&lt;&gt;"",
INDIRECT(""&amp;IF(COLUMN(L16)&lt;=26,CHAR(COLUMN(L16)+64),CHAR(INT((COLUMN(L16)-1)/26)+64)&amp;CHAR(MOD(COLUMN(L16)-1,26)+65))&amp;$R11&amp;""),"")</f>
        <v/>
      </c>
      <c r="AB11" s="74" t="str">
        <f t="array" aca="1" ref="AB11" ca="1">IF($R11&lt;&gt;"",
INDIRECT(""&amp;IF(COLUMN(O16)&lt;=26,CHAR(COLUMN(O16)+64),CHAR(INT((COLUMN(O16)-1)/26)+64)&amp;CHAR(MOD(COLUMN(O16)-1,26)+65))&amp;$R11&amp;""),"")</f>
        <v/>
      </c>
    </row>
    <row r="12" spans="1:28" ht="18" customHeight="1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 t="str">
        <f t="array" ref="R12">IFERROR(SMALL(IF(P$1:P$228&lt;&gt;0,P$1:P$228),ROW(#REF!)),"")</f>
        <v/>
      </c>
      <c r="S12" s="74" t="str">
        <f t="array" aca="1" ref="S12" ca="1">IF($R12&lt;&gt;"",
INDIRECT(""&amp;IF(COLUMN(C17)&lt;=26,CHAR(COLUMN(C17)+64),CHAR(INT((COLUMN(C17)-1)/26)+64)&amp;CHAR(MOD(COLUMN(C17)-1,26)+65))&amp;$R12&amp;""),"")</f>
        <v/>
      </c>
      <c r="T12" s="74" t="str">
        <f t="array" aca="1" ref="T12" ca="1">IF($R12&lt;&gt;"",
INDIRECT(""&amp;IF(COLUMN(D17)&lt;=26,CHAR(COLUMN(D17)+64),CHAR(INT((COLUMN(D17)-1)/26)+64)&amp;CHAR(MOD(COLUMN(D17)-1,26)+65))&amp;$R12&amp;""),"")</f>
        <v/>
      </c>
      <c r="U12" s="74" t="str">
        <f t="array" aca="1" ref="U12" ca="1">IF($R12&lt;&gt;"",
INDIRECT(""&amp;IF(COLUMN(E17)&lt;=26,CHAR(COLUMN(E17)+64),CHAR(INT((COLUMN(E17)-1)/26)+64)&amp;CHAR(MOD(COLUMN(E17)-1,26)+65))&amp;$R12&amp;""),"")</f>
        <v/>
      </c>
      <c r="V12" s="74" t="str">
        <f t="array" aca="1" ref="V12" ca="1">IF($R12&lt;&gt;"",
IF(U12="",
IF(INDIRECT("EY"&amp;$R12&amp;"")&lt;&gt;"",
INDIRECT("EY"&amp;$R12&amp;"")&amp;"箱"
&amp;INDIRECT("EZ"&amp;$R12&amp;""),""),""),"")</f>
        <v/>
      </c>
      <c r="W12" s="74" t="str">
        <f t="array" aca="1" ref="W12" ca="1">IF($R12&lt;&gt;"",
INDIRECT(""&amp;IF(COLUMN(H17)&lt;=26,CHAR(COLUMN(H17)+64),CHAR(INT((COLUMN(H17)-1)/26)+64)&amp;CHAR(MOD(COLUMN(H17)-1,26)+65))&amp;$R12&amp;""),"")</f>
        <v/>
      </c>
      <c r="X12" s="74" t="str">
        <f t="array" aca="1" ref="X12" ca="1">IF($R12&lt;&gt;"",
INDIRECT(""&amp;IF(COLUMN(I17)&lt;=26,CHAR(COLUMN(I17)+64),CHAR(INT((COLUMN(I17)-1)/26)+64)&amp;CHAR(MOD(COLUMN(I17)-1,26)+65))&amp;$R12&amp;""),"")</f>
        <v/>
      </c>
      <c r="Y12" s="74" t="str">
        <f t="array" aca="1" ref="Y12" ca="1">IF($R12&lt;&gt;"",
INDIRECT(""&amp;IF(COLUMN(J17)&lt;=26,CHAR(COLUMN(J17)+64),CHAR(INT((COLUMN(J17)-1)/26)+64)&amp;CHAR(MOD(COLUMN(J17)-1,26)+65))&amp;$R12&amp;""),"")</f>
        <v/>
      </c>
      <c r="Z12" s="74" t="str">
        <f t="array" aca="1" ref="Z12" ca="1">IF($R12&lt;&gt;"",
INDIRECT(""&amp;IF(COLUMN(K17)&lt;=26,CHAR(COLUMN(K17)+64),CHAR(INT((COLUMN(K17)-1)/26)+64)&amp;CHAR(MOD(COLUMN(K17)-1,26)+65))&amp;$R12&amp;""),"")</f>
        <v/>
      </c>
      <c r="AA12" s="74" t="str">
        <f t="array" aca="1" ref="AA12" ca="1">IF($R12&lt;&gt;"",
INDIRECT(""&amp;IF(COLUMN(L17)&lt;=26,CHAR(COLUMN(L17)+64),CHAR(INT((COLUMN(L17)-1)/26)+64)&amp;CHAR(MOD(COLUMN(L17)-1,26)+65))&amp;$R12&amp;""),"")</f>
        <v/>
      </c>
      <c r="AB12" s="74" t="str">
        <f t="array" aca="1" ref="AB12" ca="1">IF($R12&lt;&gt;"",
INDIRECT(""&amp;IF(COLUMN(O17)&lt;=26,CHAR(COLUMN(O17)+64),CHAR(INT((COLUMN(O17)-1)/26)+64)&amp;CHAR(MOD(COLUMN(O17)-1,26)+65))&amp;$R12&amp;""),"")</f>
        <v/>
      </c>
    </row>
    <row r="13" spans="1:28" s="74" customFormat="1" ht="22.2" customHeight="1">
      <c r="R13" s="74" t="str">
        <f t="array" ref="R13">IFERROR(SMALL(IF(P$1:P$228&lt;&gt;0,P$1:P$228),ROW(#REF!)),"")</f>
        <v/>
      </c>
      <c r="S13" s="74" t="str">
        <f t="array" aca="1" ref="S13" ca="1">IF($R13&lt;&gt;"",
INDIRECT(""&amp;IF(COLUMN(C19)&lt;=26,CHAR(COLUMN(C19)+64),CHAR(INT((COLUMN(C19)-1)/26)+64)&amp;CHAR(MOD(COLUMN(C19)-1,26)+65))&amp;$R13&amp;""),"")</f>
        <v/>
      </c>
      <c r="T13" s="74" t="str">
        <f t="array" aca="1" ref="T13" ca="1">IF($R13&lt;&gt;"",
INDIRECT(""&amp;IF(COLUMN(D19)&lt;=26,CHAR(COLUMN(D19)+64),CHAR(INT((COLUMN(D19)-1)/26)+64)&amp;CHAR(MOD(COLUMN(D19)-1,26)+65))&amp;$R13&amp;""),"")</f>
        <v/>
      </c>
      <c r="U13" s="74" t="str">
        <f t="array" aca="1" ref="U13" ca="1">IF($R13&lt;&gt;"",
INDIRECT(""&amp;IF(COLUMN(E19)&lt;=26,CHAR(COLUMN(E19)+64),CHAR(INT((COLUMN(E19)-1)/26)+64)&amp;CHAR(MOD(COLUMN(E19)-1,26)+65))&amp;$R13&amp;""),"")</f>
        <v/>
      </c>
      <c r="V13" s="74" t="str">
        <f t="array" aca="1" ref="V13" ca="1">IF($R13&lt;&gt;"",
IF(U13="",
IF(INDIRECT("EY"&amp;$R13&amp;"")&lt;&gt;"",
INDIRECT("EY"&amp;$R13&amp;"")&amp;"箱"
&amp;INDIRECT("EZ"&amp;$R13&amp;""),""),""),"")</f>
        <v/>
      </c>
      <c r="W13" s="74" t="str">
        <f t="array" aca="1" ref="W13" ca="1">IF($R13&lt;&gt;"",
INDIRECT(""&amp;IF(COLUMN(H19)&lt;=26,CHAR(COLUMN(H19)+64),CHAR(INT((COLUMN(H19)-1)/26)+64)&amp;CHAR(MOD(COLUMN(H19)-1,26)+65))&amp;$R13&amp;""),"")</f>
        <v/>
      </c>
      <c r="X13" s="74" t="str">
        <f t="array" aca="1" ref="X13" ca="1">IF($R13&lt;&gt;"",
INDIRECT(""&amp;IF(COLUMN(I19)&lt;=26,CHAR(COLUMN(I19)+64),CHAR(INT((COLUMN(I19)-1)/26)+64)&amp;CHAR(MOD(COLUMN(I19)-1,26)+65))&amp;$R13&amp;""),"")</f>
        <v/>
      </c>
      <c r="Y13" s="74" t="str">
        <f t="array" aca="1" ref="Y13" ca="1">IF($R13&lt;&gt;"",
INDIRECT(""&amp;IF(COLUMN(J19)&lt;=26,CHAR(COLUMN(J19)+64),CHAR(INT((COLUMN(J19)-1)/26)+64)&amp;CHAR(MOD(COLUMN(J19)-1,26)+65))&amp;$R13&amp;""),"")</f>
        <v/>
      </c>
      <c r="Z13" s="74" t="str">
        <f t="array" aca="1" ref="Z13" ca="1">IF($R13&lt;&gt;"",
INDIRECT(""&amp;IF(COLUMN(K19)&lt;=26,CHAR(COLUMN(K19)+64),CHAR(INT((COLUMN(K19)-1)/26)+64)&amp;CHAR(MOD(COLUMN(K19)-1,26)+65))&amp;$R13&amp;""),"")</f>
        <v/>
      </c>
      <c r="AA13" s="74" t="str">
        <f t="array" aca="1" ref="AA13" ca="1">IF($R13&lt;&gt;"",
INDIRECT(""&amp;IF(COLUMN(L19)&lt;=26,CHAR(COLUMN(L19)+64),CHAR(INT((COLUMN(L19)-1)/26)+64)&amp;CHAR(MOD(COLUMN(L19)-1,26)+65))&amp;$R13&amp;""),"")</f>
        <v/>
      </c>
      <c r="AB13" s="74" t="str">
        <f t="array" aca="1" ref="AB13" ca="1">IF($R13&lt;&gt;"",
INDIRECT(""&amp;IF(COLUMN(O19)&lt;=26,CHAR(COLUMN(O19)+64),CHAR(INT((COLUMN(O19)-1)/26)+64)&amp;CHAR(MOD(COLUMN(O19)-1,26)+65))&amp;$R13&amp;""),"")</f>
        <v/>
      </c>
    </row>
    <row r="14" spans="1:28" ht="21" customHeight="1">
      <c r="A14" s="22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 t="str">
        <f t="array" ref="R14">IFERROR(SMALL(IF(P$1:P$228&lt;&gt;0,P$1:P$228),ROW(#REF!)),"")</f>
        <v/>
      </c>
      <c r="S14" s="74" t="str">
        <f t="array" aca="1" ref="S14" ca="1">IF($R14&lt;&gt;"",
INDIRECT(""&amp;IF(COLUMN(C20)&lt;=26,CHAR(COLUMN(C20)+64),CHAR(INT((COLUMN(C20)-1)/26)+64)&amp;CHAR(MOD(COLUMN(C20)-1,26)+65))&amp;$R14&amp;""),"")</f>
        <v/>
      </c>
      <c r="T14" s="74" t="str">
        <f t="array" aca="1" ref="T14" ca="1">IF($R14&lt;&gt;"",
INDIRECT(""&amp;IF(COLUMN(D20)&lt;=26,CHAR(COLUMN(D20)+64),CHAR(INT((COLUMN(D20)-1)/26)+64)&amp;CHAR(MOD(COLUMN(D20)-1,26)+65))&amp;$R14&amp;""),"")</f>
        <v/>
      </c>
      <c r="U14" s="74" t="str">
        <f t="array" aca="1" ref="U14" ca="1">IF($R14&lt;&gt;"",
INDIRECT(""&amp;IF(COLUMN(E20)&lt;=26,CHAR(COLUMN(E20)+64),CHAR(INT((COLUMN(E20)-1)/26)+64)&amp;CHAR(MOD(COLUMN(E20)-1,26)+65))&amp;$R14&amp;""),"")</f>
        <v/>
      </c>
      <c r="V14" s="74" t="str">
        <f t="array" aca="1" ref="V14" ca="1">IF($R14&lt;&gt;"",
IF(U14="",
IF(INDIRECT("EY"&amp;$R14&amp;"")&lt;&gt;"",
INDIRECT("EY"&amp;$R14&amp;"")&amp;"箱"
&amp;INDIRECT("EZ"&amp;$R14&amp;""),""),""),"")</f>
        <v/>
      </c>
      <c r="W14" s="74" t="str">
        <f t="array" aca="1" ref="W14" ca="1">IF($R14&lt;&gt;"",
INDIRECT(""&amp;IF(COLUMN(H20)&lt;=26,CHAR(COLUMN(H20)+64),CHAR(INT((COLUMN(H20)-1)/26)+64)&amp;CHAR(MOD(COLUMN(H20)-1,26)+65))&amp;$R14&amp;""),"")</f>
        <v/>
      </c>
      <c r="X14" s="74" t="str">
        <f t="array" aca="1" ref="X14" ca="1">IF($R14&lt;&gt;"",
INDIRECT(""&amp;IF(COLUMN(I20)&lt;=26,CHAR(COLUMN(I20)+64),CHAR(INT((COLUMN(I20)-1)/26)+64)&amp;CHAR(MOD(COLUMN(I20)-1,26)+65))&amp;$R14&amp;""),"")</f>
        <v/>
      </c>
      <c r="Y14" s="74" t="str">
        <f t="array" aca="1" ref="Y14" ca="1">IF($R14&lt;&gt;"",
INDIRECT(""&amp;IF(COLUMN(J20)&lt;=26,CHAR(COLUMN(J20)+64),CHAR(INT((COLUMN(J20)-1)/26)+64)&amp;CHAR(MOD(COLUMN(J20)-1,26)+65))&amp;$R14&amp;""),"")</f>
        <v/>
      </c>
      <c r="Z14" s="74" t="str">
        <f t="array" aca="1" ref="Z14" ca="1">IF($R14&lt;&gt;"",
INDIRECT(""&amp;IF(COLUMN(K20)&lt;=26,CHAR(COLUMN(K20)+64),CHAR(INT((COLUMN(K20)-1)/26)+64)&amp;CHAR(MOD(COLUMN(K20)-1,26)+65))&amp;$R14&amp;""),"")</f>
        <v/>
      </c>
      <c r="AA14" s="74" t="str">
        <f t="array" aca="1" ref="AA14" ca="1">IF($R14&lt;&gt;"",
INDIRECT(""&amp;IF(COLUMN(L20)&lt;=26,CHAR(COLUMN(L20)+64),CHAR(INT((COLUMN(L20)-1)/26)+64)&amp;CHAR(MOD(COLUMN(L20)-1,26)+65))&amp;$R14&amp;""),"")</f>
        <v/>
      </c>
      <c r="AB14" s="74" t="str">
        <f t="array" aca="1" ref="AB14" ca="1">IF($R14&lt;&gt;"",
INDIRECT(""&amp;IF(COLUMN(O20)&lt;=26,CHAR(COLUMN(O20)+64),CHAR(INT((COLUMN(O20)-1)/26)+64)&amp;CHAR(MOD(COLUMN(O20)-1,26)+65))&amp;$R14&amp;""),"")</f>
        <v/>
      </c>
    </row>
    <row r="15" spans="1:28" s="74" customFormat="1" ht="18" customHeight="1">
      <c r="R15" s="74" t="str">
        <f t="array" ref="R15">IFERROR(SMALL(IF(P$1:P$228&lt;&gt;0,P$1:P$228),ROW(#REF!)),"")</f>
        <v/>
      </c>
      <c r="S15" s="74" t="str">
        <f t="array" aca="1" ref="S15" ca="1">IF($R15&lt;&gt;"",
INDIRECT(""&amp;IF(COLUMN(C22)&lt;=26,CHAR(COLUMN(C22)+64),CHAR(INT((COLUMN(C22)-1)/26)+64)&amp;CHAR(MOD(COLUMN(C22)-1,26)+65))&amp;$R15&amp;""),"")</f>
        <v/>
      </c>
      <c r="T15" s="74" t="str">
        <f t="array" aca="1" ref="T15" ca="1">IF($R15&lt;&gt;"",
INDIRECT(""&amp;IF(COLUMN(D22)&lt;=26,CHAR(COLUMN(D22)+64),CHAR(INT((COLUMN(D22)-1)/26)+64)&amp;CHAR(MOD(COLUMN(D22)-1,26)+65))&amp;$R15&amp;""),"")</f>
        <v/>
      </c>
      <c r="U15" s="74" t="str">
        <f t="array" aca="1" ref="U15" ca="1">IF($R15&lt;&gt;"",
INDIRECT(""&amp;IF(COLUMN(E22)&lt;=26,CHAR(COLUMN(E22)+64),CHAR(INT((COLUMN(E22)-1)/26)+64)&amp;CHAR(MOD(COLUMN(E22)-1,26)+65))&amp;$R15&amp;""),"")</f>
        <v/>
      </c>
      <c r="V15" s="74" t="str">
        <f t="array" aca="1" ref="V15" ca="1">IF($R15&lt;&gt;"",
IF(U15="",
IF(INDIRECT("EY"&amp;$R15&amp;"")&lt;&gt;"",
INDIRECT("EY"&amp;$R15&amp;"")&amp;"箱"
&amp;INDIRECT("EZ"&amp;$R15&amp;""),""),""),"")</f>
        <v/>
      </c>
      <c r="W15" s="74" t="str">
        <f t="array" aca="1" ref="W15" ca="1">IF($R15&lt;&gt;"",
INDIRECT(""&amp;IF(COLUMN(H22)&lt;=26,CHAR(COLUMN(H22)+64),CHAR(INT((COLUMN(H22)-1)/26)+64)&amp;CHAR(MOD(COLUMN(H22)-1,26)+65))&amp;$R15&amp;""),"")</f>
        <v/>
      </c>
      <c r="X15" s="74" t="str">
        <f t="array" aca="1" ref="X15" ca="1">IF($R15&lt;&gt;"",
INDIRECT(""&amp;IF(COLUMN(I22)&lt;=26,CHAR(COLUMN(I22)+64),CHAR(INT((COLUMN(I22)-1)/26)+64)&amp;CHAR(MOD(COLUMN(I22)-1,26)+65))&amp;$R15&amp;""),"")</f>
        <v/>
      </c>
      <c r="Y15" s="74" t="str">
        <f t="array" aca="1" ref="Y15" ca="1">IF($R15&lt;&gt;"",
INDIRECT(""&amp;IF(COLUMN(J22)&lt;=26,CHAR(COLUMN(J22)+64),CHAR(INT((COLUMN(J22)-1)/26)+64)&amp;CHAR(MOD(COLUMN(J22)-1,26)+65))&amp;$R15&amp;""),"")</f>
        <v/>
      </c>
      <c r="Z15" s="74" t="str">
        <f t="array" aca="1" ref="Z15" ca="1">IF($R15&lt;&gt;"",
INDIRECT(""&amp;IF(COLUMN(K22)&lt;=26,CHAR(COLUMN(K22)+64),CHAR(INT((COLUMN(K22)-1)/26)+64)&amp;CHAR(MOD(COLUMN(K22)-1,26)+65))&amp;$R15&amp;""),"")</f>
        <v/>
      </c>
      <c r="AA15" s="74" t="str">
        <f t="array" aca="1" ref="AA15" ca="1">IF($R15&lt;&gt;"",
INDIRECT(""&amp;IF(COLUMN(L22)&lt;=26,CHAR(COLUMN(L22)+64),CHAR(INT((COLUMN(L22)-1)/26)+64)&amp;CHAR(MOD(COLUMN(L22)-1,26)+65))&amp;$R15&amp;""),"")</f>
        <v/>
      </c>
      <c r="AB15" s="74" t="str">
        <f t="array" aca="1" ref="AB15" ca="1">IF($R15&lt;&gt;"",
INDIRECT(""&amp;IF(COLUMN(O22)&lt;=26,CHAR(COLUMN(O22)+64),CHAR(INT((COLUMN(O22)-1)/26)+64)&amp;CHAR(MOD(COLUMN(O22)-1,26)+65))&amp;$R15&amp;""),"")</f>
        <v/>
      </c>
    </row>
    <row r="16" spans="1:28" s="74" customFormat="1" ht="18" customHeight="1">
      <c r="A16" s="223"/>
      <c r="B16" s="78"/>
      <c r="R16" s="74" t="str">
        <f t="array" ref="R16">IFERROR(SMALL(IF(P$1:P$228&lt;&gt;0,P$1:P$228),ROW(#REF!)),"")</f>
        <v/>
      </c>
      <c r="S16" s="74" t="str">
        <f t="array" aca="1" ref="S16" ca="1">IF($R16&lt;&gt;"",
INDIRECT(""&amp;IF(COLUMN(C23)&lt;=26,CHAR(COLUMN(C23)+64),CHAR(INT((COLUMN(C23)-1)/26)+64)&amp;CHAR(MOD(COLUMN(C23)-1,26)+65))&amp;$R16&amp;""),"")</f>
        <v/>
      </c>
      <c r="T16" s="74" t="str">
        <f t="array" aca="1" ref="T16" ca="1">IF($R16&lt;&gt;"",
INDIRECT(""&amp;IF(COLUMN(D23)&lt;=26,CHAR(COLUMN(D23)+64),CHAR(INT((COLUMN(D23)-1)/26)+64)&amp;CHAR(MOD(COLUMN(D23)-1,26)+65))&amp;$R16&amp;""),"")</f>
        <v/>
      </c>
      <c r="U16" s="74" t="str">
        <f t="array" aca="1" ref="U16" ca="1">IF($R16&lt;&gt;"",
INDIRECT(""&amp;IF(COLUMN(E23)&lt;=26,CHAR(COLUMN(E23)+64),CHAR(INT((COLUMN(E23)-1)/26)+64)&amp;CHAR(MOD(COLUMN(E23)-1,26)+65))&amp;$R16&amp;""),"")</f>
        <v/>
      </c>
      <c r="V16" s="74" t="str">
        <f t="array" aca="1" ref="V16" ca="1">IF($R16&lt;&gt;"",
IF(U16="",
IF(INDIRECT("EY"&amp;$R16&amp;"")&lt;&gt;"",
INDIRECT("EY"&amp;$R16&amp;"")&amp;"箱"
&amp;INDIRECT("EZ"&amp;$R16&amp;""),""),""),"")</f>
        <v/>
      </c>
      <c r="W16" s="74" t="str">
        <f t="array" aca="1" ref="W16" ca="1">IF($R16&lt;&gt;"",
INDIRECT(""&amp;IF(COLUMN(H23)&lt;=26,CHAR(COLUMN(H23)+64),CHAR(INT((COLUMN(H23)-1)/26)+64)&amp;CHAR(MOD(COLUMN(H23)-1,26)+65))&amp;$R16&amp;""),"")</f>
        <v/>
      </c>
      <c r="X16" s="74" t="str">
        <f t="array" aca="1" ref="X16" ca="1">IF($R16&lt;&gt;"",
INDIRECT(""&amp;IF(COLUMN(I23)&lt;=26,CHAR(COLUMN(I23)+64),CHAR(INT((COLUMN(I23)-1)/26)+64)&amp;CHAR(MOD(COLUMN(I23)-1,26)+65))&amp;$R16&amp;""),"")</f>
        <v/>
      </c>
      <c r="Y16" s="74" t="str">
        <f t="array" aca="1" ref="Y16" ca="1">IF($R16&lt;&gt;"",
INDIRECT(""&amp;IF(COLUMN(J23)&lt;=26,CHAR(COLUMN(J23)+64),CHAR(INT((COLUMN(J23)-1)/26)+64)&amp;CHAR(MOD(COLUMN(J23)-1,26)+65))&amp;$R16&amp;""),"")</f>
        <v/>
      </c>
      <c r="Z16" s="74" t="str">
        <f t="array" aca="1" ref="Z16" ca="1">IF($R16&lt;&gt;"",
INDIRECT(""&amp;IF(COLUMN(K23)&lt;=26,CHAR(COLUMN(K23)+64),CHAR(INT((COLUMN(K23)-1)/26)+64)&amp;CHAR(MOD(COLUMN(K23)-1,26)+65))&amp;$R16&amp;""),"")</f>
        <v/>
      </c>
      <c r="AA16" s="74" t="str">
        <f t="array" aca="1" ref="AA16" ca="1">IF($R16&lt;&gt;"",
INDIRECT(""&amp;IF(COLUMN(L23)&lt;=26,CHAR(COLUMN(L23)+64),CHAR(INT((COLUMN(L23)-1)/26)+64)&amp;CHAR(MOD(COLUMN(L23)-1,26)+65))&amp;$R16&amp;""),"")</f>
        <v/>
      </c>
      <c r="AB16" s="74" t="str">
        <f t="array" aca="1" ref="AB16" ca="1">IF($R16&lt;&gt;"",
INDIRECT(""&amp;IF(COLUMN(O23)&lt;=26,CHAR(COLUMN(O23)+64),CHAR(INT((COLUMN(O23)-1)/26)+64)&amp;CHAR(MOD(COLUMN(O23)-1,26)+65))&amp;$R16&amp;""),"")</f>
        <v/>
      </c>
    </row>
    <row r="17" spans="1:28" s="74" customFormat="1" ht="22.2" customHeight="1">
      <c r="R17" s="74" t="str">
        <f t="array" ref="R17">IFERROR(SMALL(IF(P$1:P$228&lt;&gt;0,P$1:P$228),ROW(#REF!)),"")</f>
        <v/>
      </c>
      <c r="S17" s="74" t="str">
        <f t="array" aca="1" ref="S17" ca="1">IF($R17&lt;&gt;"",
INDIRECT(""&amp;IF(COLUMN(C25)&lt;=26,CHAR(COLUMN(C25)+64),CHAR(INT((COLUMN(C25)-1)/26)+64)&amp;CHAR(MOD(COLUMN(C25)-1,26)+65))&amp;$R17&amp;""),"")</f>
        <v/>
      </c>
      <c r="T17" s="74" t="str">
        <f t="array" aca="1" ref="T17" ca="1">IF($R17&lt;&gt;"",
INDIRECT(""&amp;IF(COLUMN(D25)&lt;=26,CHAR(COLUMN(D25)+64),CHAR(INT((COLUMN(D25)-1)/26)+64)&amp;CHAR(MOD(COLUMN(D25)-1,26)+65))&amp;$R17&amp;""),"")</f>
        <v/>
      </c>
      <c r="U17" s="74" t="str">
        <f t="array" aca="1" ref="U17" ca="1">IF($R17&lt;&gt;"",
INDIRECT(""&amp;IF(COLUMN(E25)&lt;=26,CHAR(COLUMN(E25)+64),CHAR(INT((COLUMN(E25)-1)/26)+64)&amp;CHAR(MOD(COLUMN(E25)-1,26)+65))&amp;$R17&amp;""),"")</f>
        <v/>
      </c>
      <c r="V17" s="74" t="str">
        <f t="array" aca="1" ref="V17" ca="1">IF($R17&lt;&gt;"",
IF(U17="",
IF(INDIRECT("EY"&amp;$R17&amp;"")&lt;&gt;"",
INDIRECT("EY"&amp;$R17&amp;"")&amp;"箱"
&amp;INDIRECT("EZ"&amp;$R17&amp;""),""),""),"")</f>
        <v/>
      </c>
      <c r="W17" s="74" t="str">
        <f t="array" aca="1" ref="W17" ca="1">IF($R17&lt;&gt;"",
INDIRECT(""&amp;IF(COLUMN(H25)&lt;=26,CHAR(COLUMN(H25)+64),CHAR(INT((COLUMN(H25)-1)/26)+64)&amp;CHAR(MOD(COLUMN(H25)-1,26)+65))&amp;$R17&amp;""),"")</f>
        <v/>
      </c>
      <c r="X17" s="74" t="str">
        <f t="array" aca="1" ref="X17" ca="1">IF($R17&lt;&gt;"",
INDIRECT(""&amp;IF(COLUMN(I25)&lt;=26,CHAR(COLUMN(I25)+64),CHAR(INT((COLUMN(I25)-1)/26)+64)&amp;CHAR(MOD(COLUMN(I25)-1,26)+65))&amp;$R17&amp;""),"")</f>
        <v/>
      </c>
      <c r="Y17" s="74" t="str">
        <f t="array" aca="1" ref="Y17" ca="1">IF($R17&lt;&gt;"",
INDIRECT(""&amp;IF(COLUMN(J25)&lt;=26,CHAR(COLUMN(J25)+64),CHAR(INT((COLUMN(J25)-1)/26)+64)&amp;CHAR(MOD(COLUMN(J25)-1,26)+65))&amp;$R17&amp;""),"")</f>
        <v/>
      </c>
      <c r="Z17" s="74" t="str">
        <f t="array" aca="1" ref="Z17" ca="1">IF($R17&lt;&gt;"",
INDIRECT(""&amp;IF(COLUMN(K25)&lt;=26,CHAR(COLUMN(K25)+64),CHAR(INT((COLUMN(K25)-1)/26)+64)&amp;CHAR(MOD(COLUMN(K25)-1,26)+65))&amp;$R17&amp;""),"")</f>
        <v/>
      </c>
      <c r="AA17" s="74" t="str">
        <f t="array" aca="1" ref="AA17" ca="1">IF($R17&lt;&gt;"",
INDIRECT(""&amp;IF(COLUMN(L25)&lt;=26,CHAR(COLUMN(L25)+64),CHAR(INT((COLUMN(L25)-1)/26)+64)&amp;CHAR(MOD(COLUMN(L25)-1,26)+65))&amp;$R17&amp;""),"")</f>
        <v/>
      </c>
      <c r="AB17" s="74" t="str">
        <f t="array" aca="1" ref="AB17" ca="1">IF($R17&lt;&gt;"",
INDIRECT(""&amp;IF(COLUMN(O25)&lt;=26,CHAR(COLUMN(O25)+64),CHAR(INT((COLUMN(O25)-1)/26)+64)&amp;CHAR(MOD(COLUMN(O25)-1,26)+65))&amp;$R17&amp;""),"")</f>
        <v/>
      </c>
    </row>
    <row r="18" spans="1:28" ht="18" customHeight="1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 t="str">
        <f t="array" ref="R18">IFERROR(SMALL(IF(P$1:P$228&lt;&gt;0,P$1:P$228),ROW(#REF!)),"")</f>
        <v/>
      </c>
      <c r="S18" s="74" t="str">
        <f t="array" aca="1" ref="S18" ca="1">IF($R18&lt;&gt;"",
INDIRECT(""&amp;IF(COLUMN(C26)&lt;=26,CHAR(COLUMN(C26)+64),CHAR(INT((COLUMN(C26)-1)/26)+64)&amp;CHAR(MOD(COLUMN(C26)-1,26)+65))&amp;$R18&amp;""),"")</f>
        <v/>
      </c>
      <c r="T18" s="74" t="str">
        <f t="array" aca="1" ref="T18" ca="1">IF($R18&lt;&gt;"",
INDIRECT(""&amp;IF(COLUMN(D26)&lt;=26,CHAR(COLUMN(D26)+64),CHAR(INT((COLUMN(D26)-1)/26)+64)&amp;CHAR(MOD(COLUMN(D26)-1,26)+65))&amp;$R18&amp;""),"")</f>
        <v/>
      </c>
      <c r="U18" s="74" t="str">
        <f t="array" aca="1" ref="U18" ca="1">IF($R18&lt;&gt;"",
INDIRECT(""&amp;IF(COLUMN(E26)&lt;=26,CHAR(COLUMN(E26)+64),CHAR(INT((COLUMN(E26)-1)/26)+64)&amp;CHAR(MOD(COLUMN(E26)-1,26)+65))&amp;$R18&amp;""),"")</f>
        <v/>
      </c>
      <c r="V18" s="74" t="str">
        <f t="array" aca="1" ref="V18" ca="1">IF($R18&lt;&gt;"",
IF(U18="",
IF(INDIRECT("EY"&amp;$R18&amp;"")&lt;&gt;"",
INDIRECT("EY"&amp;$R18&amp;"")&amp;"箱"
&amp;INDIRECT("EZ"&amp;$R18&amp;""),""),""),"")</f>
        <v/>
      </c>
      <c r="W18" s="74" t="str">
        <f t="array" aca="1" ref="W18" ca="1">IF($R18&lt;&gt;"",
INDIRECT(""&amp;IF(COLUMN(H26)&lt;=26,CHAR(COLUMN(H26)+64),CHAR(INT((COLUMN(H26)-1)/26)+64)&amp;CHAR(MOD(COLUMN(H26)-1,26)+65))&amp;$R18&amp;""),"")</f>
        <v/>
      </c>
      <c r="X18" s="74" t="str">
        <f t="array" aca="1" ref="X18" ca="1">IF($R18&lt;&gt;"",
INDIRECT(""&amp;IF(COLUMN(I26)&lt;=26,CHAR(COLUMN(I26)+64),CHAR(INT((COLUMN(I26)-1)/26)+64)&amp;CHAR(MOD(COLUMN(I26)-1,26)+65))&amp;$R18&amp;""),"")</f>
        <v/>
      </c>
      <c r="Y18" s="74" t="str">
        <f t="array" aca="1" ref="Y18" ca="1">IF($R18&lt;&gt;"",
INDIRECT(""&amp;IF(COLUMN(J26)&lt;=26,CHAR(COLUMN(J26)+64),CHAR(INT((COLUMN(J26)-1)/26)+64)&amp;CHAR(MOD(COLUMN(J26)-1,26)+65))&amp;$R18&amp;""),"")</f>
        <v/>
      </c>
      <c r="Z18" s="74" t="str">
        <f t="array" aca="1" ref="Z18" ca="1">IF($R18&lt;&gt;"",
INDIRECT(""&amp;IF(COLUMN(K26)&lt;=26,CHAR(COLUMN(K26)+64),CHAR(INT((COLUMN(K26)-1)/26)+64)&amp;CHAR(MOD(COLUMN(K26)-1,26)+65))&amp;$R18&amp;""),"")</f>
        <v/>
      </c>
      <c r="AA18" s="74" t="str">
        <f t="array" aca="1" ref="AA18" ca="1">IF($R18&lt;&gt;"",
INDIRECT(""&amp;IF(COLUMN(L26)&lt;=26,CHAR(COLUMN(L26)+64),CHAR(INT((COLUMN(L26)-1)/26)+64)&amp;CHAR(MOD(COLUMN(L26)-1,26)+65))&amp;$R18&amp;""),"")</f>
        <v/>
      </c>
      <c r="AB18" s="74" t="str">
        <f t="array" aca="1" ref="AB18" ca="1">IF($R18&lt;&gt;"",
INDIRECT(""&amp;IF(COLUMN(O26)&lt;=26,CHAR(COLUMN(O26)+64),CHAR(INT((COLUMN(O26)-1)/26)+64)&amp;CHAR(MOD(COLUMN(O26)-1,26)+65))&amp;$R18&amp;""),"")</f>
        <v/>
      </c>
    </row>
    <row r="19" spans="1:28" ht="18" customHeight="1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 t="str">
        <f t="array" ref="R19">IFERROR(SMALL(IF(P$1:P$228&lt;&gt;0,P$1:P$228),ROW(#REF!)),"")</f>
        <v/>
      </c>
      <c r="S19" s="74" t="str">
        <f t="array" aca="1" ref="S19" ca="1">IF($R19&lt;&gt;"",
INDIRECT(""&amp;IF(COLUMN(C28)&lt;=26,CHAR(COLUMN(C28)+64),CHAR(INT((COLUMN(C28)-1)/26)+64)&amp;CHAR(MOD(COLUMN(C28)-1,26)+65))&amp;$R19&amp;""),"")</f>
        <v/>
      </c>
      <c r="T19" s="74" t="str">
        <f t="array" aca="1" ref="T19" ca="1">IF($R19&lt;&gt;"",
INDIRECT(""&amp;IF(COLUMN(D28)&lt;=26,CHAR(COLUMN(D28)+64),CHAR(INT((COLUMN(D28)-1)/26)+64)&amp;CHAR(MOD(COLUMN(D28)-1,26)+65))&amp;$R19&amp;""),"")</f>
        <v/>
      </c>
      <c r="U19" s="74" t="str">
        <f t="array" aca="1" ref="U19" ca="1">IF($R19&lt;&gt;"",
INDIRECT(""&amp;IF(COLUMN(E28)&lt;=26,CHAR(COLUMN(E28)+64),CHAR(INT((COLUMN(E28)-1)/26)+64)&amp;CHAR(MOD(COLUMN(E28)-1,26)+65))&amp;$R19&amp;""),"")</f>
        <v/>
      </c>
      <c r="V19" s="74" t="str">
        <f t="array" aca="1" ref="V19" ca="1">IF($R19&lt;&gt;"",
IF(U19="",
IF(INDIRECT("EY"&amp;$R19&amp;"")&lt;&gt;"",
INDIRECT("EY"&amp;$R19&amp;"")&amp;"箱"
&amp;INDIRECT("EZ"&amp;$R19&amp;""),""),""),"")</f>
        <v/>
      </c>
      <c r="W19" s="74" t="str">
        <f t="array" aca="1" ref="W19" ca="1">IF($R19&lt;&gt;"",
INDIRECT(""&amp;IF(COLUMN(H28)&lt;=26,CHAR(COLUMN(H28)+64),CHAR(INT((COLUMN(H28)-1)/26)+64)&amp;CHAR(MOD(COLUMN(H28)-1,26)+65))&amp;$R19&amp;""),"")</f>
        <v/>
      </c>
      <c r="X19" s="74" t="str">
        <f t="array" aca="1" ref="X19" ca="1">IF($R19&lt;&gt;"",
INDIRECT(""&amp;IF(COLUMN(I28)&lt;=26,CHAR(COLUMN(I28)+64),CHAR(INT((COLUMN(I28)-1)/26)+64)&amp;CHAR(MOD(COLUMN(I28)-1,26)+65))&amp;$R19&amp;""),"")</f>
        <v/>
      </c>
      <c r="Y19" s="74" t="str">
        <f t="array" aca="1" ref="Y19" ca="1">IF($R19&lt;&gt;"",
INDIRECT(""&amp;IF(COLUMN(J28)&lt;=26,CHAR(COLUMN(J28)+64),CHAR(INT((COLUMN(J28)-1)/26)+64)&amp;CHAR(MOD(COLUMN(J28)-1,26)+65))&amp;$R19&amp;""),"")</f>
        <v/>
      </c>
      <c r="Z19" s="74" t="str">
        <f t="array" aca="1" ref="Z19" ca="1">IF($R19&lt;&gt;"",
INDIRECT(""&amp;IF(COLUMN(K28)&lt;=26,CHAR(COLUMN(K28)+64),CHAR(INT((COLUMN(K28)-1)/26)+64)&amp;CHAR(MOD(COLUMN(K28)-1,26)+65))&amp;$R19&amp;""),"")</f>
        <v/>
      </c>
      <c r="AA19" s="74" t="str">
        <f t="array" aca="1" ref="AA19" ca="1">IF($R19&lt;&gt;"",
INDIRECT(""&amp;IF(COLUMN(L28)&lt;=26,CHAR(COLUMN(L28)+64),CHAR(INT((COLUMN(L28)-1)/26)+64)&amp;CHAR(MOD(COLUMN(L28)-1,26)+65))&amp;$R19&amp;""),"")</f>
        <v/>
      </c>
      <c r="AB19" s="74" t="str">
        <f t="array" aca="1" ref="AB19" ca="1">IF($R19&lt;&gt;"",
INDIRECT(""&amp;IF(COLUMN(O28)&lt;=26,CHAR(COLUMN(O28)+64),CHAR(INT((COLUMN(O28)-1)/26)+64)&amp;CHAR(MOD(COLUMN(O28)-1,26)+65))&amp;$R19&amp;""),"")</f>
        <v/>
      </c>
    </row>
    <row r="20" spans="1:28" s="74" customFormat="1" ht="22.2" customHeight="1">
      <c r="R20" s="74" t="str">
        <f t="array" ref="R20">IFERROR(SMALL(IF(P$1:P$228&lt;&gt;0,P$1:P$228),ROW(#REF!)),"")</f>
        <v/>
      </c>
      <c r="S20" s="74" t="str">
        <f t="array" aca="1" ref="S20" ca="1">IF($R20&lt;&gt;"",
INDIRECT(""&amp;IF(COLUMN(C29)&lt;=26,CHAR(COLUMN(C29)+64),CHAR(INT((COLUMN(C29)-1)/26)+64)&amp;CHAR(MOD(COLUMN(C29)-1,26)+65))&amp;$R20&amp;""),"")</f>
        <v/>
      </c>
      <c r="T20" s="74" t="str">
        <f t="array" aca="1" ref="T20" ca="1">IF($R20&lt;&gt;"",
INDIRECT(""&amp;IF(COLUMN(D29)&lt;=26,CHAR(COLUMN(D29)+64),CHAR(INT((COLUMN(D29)-1)/26)+64)&amp;CHAR(MOD(COLUMN(D29)-1,26)+65))&amp;$R20&amp;""),"")</f>
        <v/>
      </c>
      <c r="U20" s="74" t="str">
        <f t="array" aca="1" ref="U20" ca="1">IF($R20&lt;&gt;"",
INDIRECT(""&amp;IF(COLUMN(E29)&lt;=26,CHAR(COLUMN(E29)+64),CHAR(INT((COLUMN(E29)-1)/26)+64)&amp;CHAR(MOD(COLUMN(E29)-1,26)+65))&amp;$R20&amp;""),"")</f>
        <v/>
      </c>
      <c r="V20" s="74" t="str">
        <f t="array" aca="1" ref="V20" ca="1">IF($R20&lt;&gt;"",
IF(U20="",
IF(INDIRECT("EY"&amp;$R20&amp;"")&lt;&gt;"",
INDIRECT("EY"&amp;$R20&amp;"")&amp;"箱"
&amp;INDIRECT("EZ"&amp;$R20&amp;""),""),""),"")</f>
        <v/>
      </c>
      <c r="W20" s="74" t="str">
        <f t="array" aca="1" ref="W20" ca="1">IF($R20&lt;&gt;"",
INDIRECT(""&amp;IF(COLUMN(H29)&lt;=26,CHAR(COLUMN(H29)+64),CHAR(INT((COLUMN(H29)-1)/26)+64)&amp;CHAR(MOD(COLUMN(H29)-1,26)+65))&amp;$R20&amp;""),"")</f>
        <v/>
      </c>
      <c r="X20" s="74" t="str">
        <f t="array" aca="1" ref="X20" ca="1">IF($R20&lt;&gt;"",
INDIRECT(""&amp;IF(COLUMN(I29)&lt;=26,CHAR(COLUMN(I29)+64),CHAR(INT((COLUMN(I29)-1)/26)+64)&amp;CHAR(MOD(COLUMN(I29)-1,26)+65))&amp;$R20&amp;""),"")</f>
        <v/>
      </c>
      <c r="Y20" s="74" t="str">
        <f t="array" aca="1" ref="Y20" ca="1">IF($R20&lt;&gt;"",
INDIRECT(""&amp;IF(COLUMN(J29)&lt;=26,CHAR(COLUMN(J29)+64),CHAR(INT((COLUMN(J29)-1)/26)+64)&amp;CHAR(MOD(COLUMN(J29)-1,26)+65))&amp;$R20&amp;""),"")</f>
        <v/>
      </c>
      <c r="Z20" s="74" t="str">
        <f t="array" aca="1" ref="Z20" ca="1">IF($R20&lt;&gt;"",
INDIRECT(""&amp;IF(COLUMN(K29)&lt;=26,CHAR(COLUMN(K29)+64),CHAR(INT((COLUMN(K29)-1)/26)+64)&amp;CHAR(MOD(COLUMN(K29)-1,26)+65))&amp;$R20&amp;""),"")</f>
        <v/>
      </c>
      <c r="AA20" s="74" t="str">
        <f t="array" aca="1" ref="AA20" ca="1">IF($R20&lt;&gt;"",
INDIRECT(""&amp;IF(COLUMN(L29)&lt;=26,CHAR(COLUMN(L29)+64),CHAR(INT((COLUMN(L29)-1)/26)+64)&amp;CHAR(MOD(COLUMN(L29)-1,26)+65))&amp;$R20&amp;""),"")</f>
        <v/>
      </c>
      <c r="AB20" s="74" t="str">
        <f t="array" aca="1" ref="AB20" ca="1">IF($R20&lt;&gt;"",
INDIRECT(""&amp;IF(COLUMN(O29)&lt;=26,CHAR(COLUMN(O29)+64),CHAR(INT((COLUMN(O29)-1)/26)+64)&amp;CHAR(MOD(COLUMN(O29)-1,26)+65))&amp;$R20&amp;""),"")</f>
        <v/>
      </c>
    </row>
    <row r="21" spans="1:28" ht="21" customHeight="1">
      <c r="A21" s="22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 t="str">
        <f t="array" ref="R21">IFERROR(SMALL(IF(P$1:P$228&lt;&gt;0,P$1:P$228),ROW(#REF!)),"")</f>
        <v/>
      </c>
      <c r="S21" s="74" t="str">
        <f t="array" aca="1" ref="S21" ca="1">IF($R21&lt;&gt;"",
INDIRECT(""&amp;IF(COLUMN(C31)&lt;=26,CHAR(COLUMN(C31)+64),CHAR(INT((COLUMN(C31)-1)/26)+64)&amp;CHAR(MOD(COLUMN(C31)-1,26)+65))&amp;$R21&amp;""),"")</f>
        <v/>
      </c>
      <c r="T21" s="74" t="str">
        <f t="array" aca="1" ref="T21" ca="1">IF($R21&lt;&gt;"",
INDIRECT(""&amp;IF(COLUMN(D31)&lt;=26,CHAR(COLUMN(D31)+64),CHAR(INT((COLUMN(D31)-1)/26)+64)&amp;CHAR(MOD(COLUMN(D31)-1,26)+65))&amp;$R21&amp;""),"")</f>
        <v/>
      </c>
      <c r="U21" s="74" t="str">
        <f t="array" aca="1" ref="U21" ca="1">IF($R21&lt;&gt;"",
INDIRECT(""&amp;IF(COLUMN(E31)&lt;=26,CHAR(COLUMN(E31)+64),CHAR(INT((COLUMN(E31)-1)/26)+64)&amp;CHAR(MOD(COLUMN(E31)-1,26)+65))&amp;$R21&amp;""),"")</f>
        <v/>
      </c>
      <c r="V21" s="74" t="str">
        <f t="array" aca="1" ref="V21" ca="1">IF($R21&lt;&gt;"",
IF(U21="",
IF(INDIRECT("EY"&amp;$R21&amp;"")&lt;&gt;"",
INDIRECT("EY"&amp;$R21&amp;"")&amp;"箱"
&amp;INDIRECT("EZ"&amp;$R21&amp;""),""),""),"")</f>
        <v/>
      </c>
      <c r="W21" s="74" t="str">
        <f t="array" aca="1" ref="W21" ca="1">IF($R21&lt;&gt;"",
INDIRECT(""&amp;IF(COLUMN(H31)&lt;=26,CHAR(COLUMN(H31)+64),CHAR(INT((COLUMN(H31)-1)/26)+64)&amp;CHAR(MOD(COLUMN(H31)-1,26)+65))&amp;$R21&amp;""),"")</f>
        <v/>
      </c>
      <c r="X21" s="74" t="str">
        <f t="array" aca="1" ref="X21" ca="1">IF($R21&lt;&gt;"",
INDIRECT(""&amp;IF(COLUMN(I31)&lt;=26,CHAR(COLUMN(I31)+64),CHAR(INT((COLUMN(I31)-1)/26)+64)&amp;CHAR(MOD(COLUMN(I31)-1,26)+65))&amp;$R21&amp;""),"")</f>
        <v/>
      </c>
      <c r="Y21" s="74" t="str">
        <f t="array" aca="1" ref="Y21" ca="1">IF($R21&lt;&gt;"",
INDIRECT(""&amp;IF(COLUMN(J31)&lt;=26,CHAR(COLUMN(J31)+64),CHAR(INT((COLUMN(J31)-1)/26)+64)&amp;CHAR(MOD(COLUMN(J31)-1,26)+65))&amp;$R21&amp;""),"")</f>
        <v/>
      </c>
      <c r="Z21" s="74" t="str">
        <f t="array" aca="1" ref="Z21" ca="1">IF($R21&lt;&gt;"",
INDIRECT(""&amp;IF(COLUMN(K31)&lt;=26,CHAR(COLUMN(K31)+64),CHAR(INT((COLUMN(K31)-1)/26)+64)&amp;CHAR(MOD(COLUMN(K31)-1,26)+65))&amp;$R21&amp;""),"")</f>
        <v/>
      </c>
      <c r="AA21" s="74" t="str">
        <f t="array" aca="1" ref="AA21" ca="1">IF($R21&lt;&gt;"",
INDIRECT(""&amp;IF(COLUMN(L31)&lt;=26,CHAR(COLUMN(L31)+64),CHAR(INT((COLUMN(L31)-1)/26)+64)&amp;CHAR(MOD(COLUMN(L31)-1,26)+65))&amp;$R21&amp;""),"")</f>
        <v/>
      </c>
      <c r="AB21" s="74" t="str">
        <f t="array" aca="1" ref="AB21" ca="1">IF($R21&lt;&gt;"",
INDIRECT(""&amp;IF(COLUMN(O31)&lt;=26,CHAR(COLUMN(O31)+64),CHAR(INT((COLUMN(O31)-1)/26)+64)&amp;CHAR(MOD(COLUMN(O31)-1,26)+65))&amp;$R21&amp;""),"")</f>
        <v/>
      </c>
    </row>
    <row r="22" spans="1:28" s="74" customFormat="1" ht="18" customHeight="1">
      <c r="B22" s="78"/>
      <c r="R22" s="74" t="str">
        <f t="array" ref="R22">IFERROR(SMALL(IF(P$1:P$228&lt;&gt;0,P$1:P$228),ROW(#REF!)),"")</f>
        <v/>
      </c>
      <c r="S22" s="74" t="str">
        <f t="array" aca="1" ref="S22" ca="1">IF($R22&lt;&gt;"",
INDIRECT(""&amp;IF(COLUMN(C32)&lt;=26,CHAR(COLUMN(C32)+64),CHAR(INT((COLUMN(C32)-1)/26)+64)&amp;CHAR(MOD(COLUMN(C32)-1,26)+65))&amp;$R22&amp;""),"")</f>
        <v/>
      </c>
      <c r="T22" s="74" t="str">
        <f t="array" aca="1" ref="T22" ca="1">IF($R22&lt;&gt;"",
INDIRECT(""&amp;IF(COLUMN(D32)&lt;=26,CHAR(COLUMN(D32)+64),CHAR(INT((COLUMN(D32)-1)/26)+64)&amp;CHAR(MOD(COLUMN(D32)-1,26)+65))&amp;$R22&amp;""),"")</f>
        <v/>
      </c>
      <c r="U22" s="74" t="str">
        <f t="array" aca="1" ref="U22" ca="1">IF($R22&lt;&gt;"",
INDIRECT(""&amp;IF(COLUMN(E32)&lt;=26,CHAR(COLUMN(E32)+64),CHAR(INT((COLUMN(E32)-1)/26)+64)&amp;CHAR(MOD(COLUMN(E32)-1,26)+65))&amp;$R22&amp;""),"")</f>
        <v/>
      </c>
      <c r="V22" s="74" t="str">
        <f t="array" aca="1" ref="V22" ca="1">IF($R22&lt;&gt;"",
IF(U22="",
IF(INDIRECT("EY"&amp;$R22&amp;"")&lt;&gt;"",
INDIRECT("EY"&amp;$R22&amp;"")&amp;"箱"
&amp;INDIRECT("EZ"&amp;$R22&amp;""),""),""),"")</f>
        <v/>
      </c>
      <c r="W22" s="74" t="str">
        <f t="array" aca="1" ref="W22" ca="1">IF($R22&lt;&gt;"",
INDIRECT(""&amp;IF(COLUMN(H32)&lt;=26,CHAR(COLUMN(H32)+64),CHAR(INT((COLUMN(H32)-1)/26)+64)&amp;CHAR(MOD(COLUMN(H32)-1,26)+65))&amp;$R22&amp;""),"")</f>
        <v/>
      </c>
      <c r="X22" s="74" t="str">
        <f t="array" aca="1" ref="X22" ca="1">IF($R22&lt;&gt;"",
INDIRECT(""&amp;IF(COLUMN(I32)&lt;=26,CHAR(COLUMN(I32)+64),CHAR(INT((COLUMN(I32)-1)/26)+64)&amp;CHAR(MOD(COLUMN(I32)-1,26)+65))&amp;$R22&amp;""),"")</f>
        <v/>
      </c>
      <c r="Y22" s="74" t="str">
        <f t="array" aca="1" ref="Y22" ca="1">IF($R22&lt;&gt;"",
INDIRECT(""&amp;IF(COLUMN(J32)&lt;=26,CHAR(COLUMN(J32)+64),CHAR(INT((COLUMN(J32)-1)/26)+64)&amp;CHAR(MOD(COLUMN(J32)-1,26)+65))&amp;$R22&amp;""),"")</f>
        <v/>
      </c>
      <c r="Z22" s="74" t="str">
        <f t="array" aca="1" ref="Z22" ca="1">IF($R22&lt;&gt;"",
INDIRECT(""&amp;IF(COLUMN(K32)&lt;=26,CHAR(COLUMN(K32)+64),CHAR(INT((COLUMN(K32)-1)/26)+64)&amp;CHAR(MOD(COLUMN(K32)-1,26)+65))&amp;$R22&amp;""),"")</f>
        <v/>
      </c>
      <c r="AA22" s="74" t="str">
        <f t="array" aca="1" ref="AA22" ca="1">IF($R22&lt;&gt;"",
INDIRECT(""&amp;IF(COLUMN(L32)&lt;=26,CHAR(COLUMN(L32)+64),CHAR(INT((COLUMN(L32)-1)/26)+64)&amp;CHAR(MOD(COLUMN(L32)-1,26)+65))&amp;$R22&amp;""),"")</f>
        <v/>
      </c>
      <c r="AB22" s="74" t="str">
        <f t="array" aca="1" ref="AB22" ca="1">IF($R22&lt;&gt;"",
INDIRECT(""&amp;IF(COLUMN(O32)&lt;=26,CHAR(COLUMN(O32)+64),CHAR(INT((COLUMN(O32)-1)/26)+64)&amp;CHAR(MOD(COLUMN(O32)-1,26)+65))&amp;$R22&amp;""),"")</f>
        <v/>
      </c>
    </row>
    <row r="23" spans="1:28" s="74" customFormat="1" ht="18" customHeight="1">
      <c r="A23" s="223"/>
      <c r="R23" s="74" t="str">
        <f t="array" ref="R23">IFERROR(SMALL(IF(P$1:P$228&lt;&gt;0,P$1:P$228),ROW(#REF!)),"")</f>
        <v/>
      </c>
      <c r="S23" s="74" t="str">
        <f t="array" aca="1" ref="S23" ca="1">IF($R23&lt;&gt;"",
INDIRECT(""&amp;IF(COLUMN(C34)&lt;=26,CHAR(COLUMN(C34)+64),CHAR(INT((COLUMN(C34)-1)/26)+64)&amp;CHAR(MOD(COLUMN(C34)-1,26)+65))&amp;$R23&amp;""),"")</f>
        <v/>
      </c>
      <c r="T23" s="74" t="str">
        <f t="array" aca="1" ref="T23" ca="1">IF($R23&lt;&gt;"",
INDIRECT(""&amp;IF(COLUMN(D34)&lt;=26,CHAR(COLUMN(D34)+64),CHAR(INT((COLUMN(D34)-1)/26)+64)&amp;CHAR(MOD(COLUMN(D34)-1,26)+65))&amp;$R23&amp;""),"")</f>
        <v/>
      </c>
      <c r="U23" s="74" t="str">
        <f t="array" aca="1" ref="U23" ca="1">IF($R23&lt;&gt;"",
INDIRECT(""&amp;IF(COLUMN(E34)&lt;=26,CHAR(COLUMN(E34)+64),CHAR(INT((COLUMN(E34)-1)/26)+64)&amp;CHAR(MOD(COLUMN(E34)-1,26)+65))&amp;$R23&amp;""),"")</f>
        <v/>
      </c>
      <c r="V23" s="74" t="str">
        <f t="array" aca="1" ref="V23" ca="1">IF($R23&lt;&gt;"",
IF(U23="",
IF(INDIRECT("EY"&amp;$R23&amp;"")&lt;&gt;"",
INDIRECT("EY"&amp;$R23&amp;"")&amp;"箱"
&amp;INDIRECT("EZ"&amp;$R23&amp;""),""),""),"")</f>
        <v/>
      </c>
      <c r="W23" s="74" t="str">
        <f t="array" aca="1" ref="W23" ca="1">IF($R23&lt;&gt;"",
INDIRECT(""&amp;IF(COLUMN(H34)&lt;=26,CHAR(COLUMN(H34)+64),CHAR(INT((COLUMN(H34)-1)/26)+64)&amp;CHAR(MOD(COLUMN(H34)-1,26)+65))&amp;$R23&amp;""),"")</f>
        <v/>
      </c>
      <c r="X23" s="74" t="str">
        <f t="array" aca="1" ref="X23" ca="1">IF($R23&lt;&gt;"",
INDIRECT(""&amp;IF(COLUMN(I34)&lt;=26,CHAR(COLUMN(I34)+64),CHAR(INT((COLUMN(I34)-1)/26)+64)&amp;CHAR(MOD(COLUMN(I34)-1,26)+65))&amp;$R23&amp;""),"")</f>
        <v/>
      </c>
      <c r="Y23" s="74" t="str">
        <f t="array" aca="1" ref="Y23" ca="1">IF($R23&lt;&gt;"",
INDIRECT(""&amp;IF(COLUMN(J34)&lt;=26,CHAR(COLUMN(J34)+64),CHAR(INT((COLUMN(J34)-1)/26)+64)&amp;CHAR(MOD(COLUMN(J34)-1,26)+65))&amp;$R23&amp;""),"")</f>
        <v/>
      </c>
      <c r="Z23" s="74" t="str">
        <f t="array" aca="1" ref="Z23" ca="1">IF($R23&lt;&gt;"",
INDIRECT(""&amp;IF(COLUMN(K34)&lt;=26,CHAR(COLUMN(K34)+64),CHAR(INT((COLUMN(K34)-1)/26)+64)&amp;CHAR(MOD(COLUMN(K34)-1,26)+65))&amp;$R23&amp;""),"")</f>
        <v/>
      </c>
      <c r="AA23" s="74" t="str">
        <f t="array" aca="1" ref="AA23" ca="1">IF($R23&lt;&gt;"",
INDIRECT(""&amp;IF(COLUMN(L34)&lt;=26,CHAR(COLUMN(L34)+64),CHAR(INT((COLUMN(L34)-1)/26)+64)&amp;CHAR(MOD(COLUMN(L34)-1,26)+65))&amp;$R23&amp;""),"")</f>
        <v/>
      </c>
      <c r="AB23" s="74" t="str">
        <f t="array" aca="1" ref="AB23" ca="1">IF($R23&lt;&gt;"",
INDIRECT(""&amp;IF(COLUMN(O34)&lt;=26,CHAR(COLUMN(O34)+64),CHAR(INT((COLUMN(O34)-1)/26)+64)&amp;CHAR(MOD(COLUMN(O34)-1,26)+65))&amp;$R23&amp;""),"")</f>
        <v/>
      </c>
    </row>
    <row r="24" spans="1:28" s="74" customFormat="1" ht="22.2" customHeight="1">
      <c r="R24" s="74" t="str">
        <f t="array" ref="R24">IFERROR(SMALL(IF(P$1:P$228&lt;&gt;0,P$1:P$228),ROW(#REF!)),"")</f>
        <v/>
      </c>
      <c r="S24" s="74" t="str">
        <f t="array" aca="1" ref="S24" ca="1">IF($R24&lt;&gt;"",
INDIRECT(""&amp;IF(COLUMN(C35)&lt;=26,CHAR(COLUMN(C35)+64),CHAR(INT((COLUMN(C35)-1)/26)+64)&amp;CHAR(MOD(COLUMN(C35)-1,26)+65))&amp;$R24&amp;""),"")</f>
        <v/>
      </c>
      <c r="T24" s="74" t="str">
        <f t="array" aca="1" ref="T24" ca="1">IF($R24&lt;&gt;"",
INDIRECT(""&amp;IF(COLUMN(D35)&lt;=26,CHAR(COLUMN(D35)+64),CHAR(INT((COLUMN(D35)-1)/26)+64)&amp;CHAR(MOD(COLUMN(D35)-1,26)+65))&amp;$R24&amp;""),"")</f>
        <v/>
      </c>
      <c r="U24" s="74" t="str">
        <f t="array" aca="1" ref="U24" ca="1">IF($R24&lt;&gt;"",
INDIRECT(""&amp;IF(COLUMN(E35)&lt;=26,CHAR(COLUMN(E35)+64),CHAR(INT((COLUMN(E35)-1)/26)+64)&amp;CHAR(MOD(COLUMN(E35)-1,26)+65))&amp;$R24&amp;""),"")</f>
        <v/>
      </c>
      <c r="V24" s="74" t="str">
        <f t="array" aca="1" ref="V24" ca="1">IF($R24&lt;&gt;"",
IF(U24="",
IF(INDIRECT("EY"&amp;$R24&amp;"")&lt;&gt;"",
INDIRECT("EY"&amp;$R24&amp;"")&amp;"箱"
&amp;INDIRECT("EZ"&amp;$R24&amp;""),""),""),"")</f>
        <v/>
      </c>
      <c r="W24" s="74" t="str">
        <f t="array" aca="1" ref="W24" ca="1">IF($R24&lt;&gt;"",
INDIRECT(""&amp;IF(COLUMN(H35)&lt;=26,CHAR(COLUMN(H35)+64),CHAR(INT((COLUMN(H35)-1)/26)+64)&amp;CHAR(MOD(COLUMN(H35)-1,26)+65))&amp;$R24&amp;""),"")</f>
        <v/>
      </c>
      <c r="X24" s="74" t="str">
        <f t="array" aca="1" ref="X24" ca="1">IF($R24&lt;&gt;"",
INDIRECT(""&amp;IF(COLUMN(I35)&lt;=26,CHAR(COLUMN(I35)+64),CHAR(INT((COLUMN(I35)-1)/26)+64)&amp;CHAR(MOD(COLUMN(I35)-1,26)+65))&amp;$R24&amp;""),"")</f>
        <v/>
      </c>
      <c r="Y24" s="74" t="str">
        <f t="array" aca="1" ref="Y24" ca="1">IF($R24&lt;&gt;"",
INDIRECT(""&amp;IF(COLUMN(J35)&lt;=26,CHAR(COLUMN(J35)+64),CHAR(INT((COLUMN(J35)-1)/26)+64)&amp;CHAR(MOD(COLUMN(J35)-1,26)+65))&amp;$R24&amp;""),"")</f>
        <v/>
      </c>
      <c r="Z24" s="74" t="str">
        <f t="array" aca="1" ref="Z24" ca="1">IF($R24&lt;&gt;"",
INDIRECT(""&amp;IF(COLUMN(K35)&lt;=26,CHAR(COLUMN(K35)+64),CHAR(INT((COLUMN(K35)-1)/26)+64)&amp;CHAR(MOD(COLUMN(K35)-1,26)+65))&amp;$R24&amp;""),"")</f>
        <v/>
      </c>
      <c r="AA24" s="74" t="str">
        <f t="array" aca="1" ref="AA24" ca="1">IF($R24&lt;&gt;"",
INDIRECT(""&amp;IF(COLUMN(L35)&lt;=26,CHAR(COLUMN(L35)+64),CHAR(INT((COLUMN(L35)-1)/26)+64)&amp;CHAR(MOD(COLUMN(L35)-1,26)+65))&amp;$R24&amp;""),"")</f>
        <v/>
      </c>
      <c r="AB24" s="74" t="str">
        <f t="array" aca="1" ref="AB24" ca="1">IF($R24&lt;&gt;"",
INDIRECT(""&amp;IF(COLUMN(O35)&lt;=26,CHAR(COLUMN(O35)+64),CHAR(INT((COLUMN(O35)-1)/26)+64)&amp;CHAR(MOD(COLUMN(O35)-1,26)+65))&amp;$R24&amp;""),"")</f>
        <v/>
      </c>
    </row>
    <row r="25" spans="1:28" ht="18" customHeight="1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 t="str">
        <f t="array" ref="R25">IFERROR(SMALL(IF(P$1:P$228&lt;&gt;0,P$1:P$228),ROW(#REF!)),"")</f>
        <v/>
      </c>
      <c r="S25" s="74" t="str">
        <f t="array" aca="1" ref="S25" ca="1">IF($R25&lt;&gt;"",
INDIRECT(""&amp;IF(COLUMN(C37)&lt;=26,CHAR(COLUMN(C37)+64),CHAR(INT((COLUMN(C37)-1)/26)+64)&amp;CHAR(MOD(COLUMN(C37)-1,26)+65))&amp;$R25&amp;""),"")</f>
        <v/>
      </c>
      <c r="T25" s="74" t="str">
        <f t="array" aca="1" ref="T25" ca="1">IF($R25&lt;&gt;"",
INDIRECT(""&amp;IF(COLUMN(D37)&lt;=26,CHAR(COLUMN(D37)+64),CHAR(INT((COLUMN(D37)-1)/26)+64)&amp;CHAR(MOD(COLUMN(D37)-1,26)+65))&amp;$R25&amp;""),"")</f>
        <v/>
      </c>
      <c r="U25" s="74" t="str">
        <f t="array" aca="1" ref="U25" ca="1">IF($R25&lt;&gt;"",
INDIRECT(""&amp;IF(COLUMN(E37)&lt;=26,CHAR(COLUMN(E37)+64),CHAR(INT((COLUMN(E37)-1)/26)+64)&amp;CHAR(MOD(COLUMN(E37)-1,26)+65))&amp;$R25&amp;""),"")</f>
        <v/>
      </c>
      <c r="V25" s="74" t="str">
        <f t="array" aca="1" ref="V25" ca="1">IF($R25&lt;&gt;"",
IF(U25="",
IF(INDIRECT("EY"&amp;$R25&amp;"")&lt;&gt;"",
INDIRECT("EY"&amp;$R25&amp;"")&amp;"箱"
&amp;INDIRECT("EZ"&amp;$R25&amp;""),""),""),"")</f>
        <v/>
      </c>
      <c r="W25" s="74" t="str">
        <f t="array" aca="1" ref="W25" ca="1">IF($R25&lt;&gt;"",
INDIRECT(""&amp;IF(COLUMN(H37)&lt;=26,CHAR(COLUMN(H37)+64),CHAR(INT((COLUMN(H37)-1)/26)+64)&amp;CHAR(MOD(COLUMN(H37)-1,26)+65))&amp;$R25&amp;""),"")</f>
        <v/>
      </c>
      <c r="X25" s="74" t="str">
        <f t="array" aca="1" ref="X25" ca="1">IF($R25&lt;&gt;"",
INDIRECT(""&amp;IF(COLUMN(I37)&lt;=26,CHAR(COLUMN(I37)+64),CHAR(INT((COLUMN(I37)-1)/26)+64)&amp;CHAR(MOD(COLUMN(I37)-1,26)+65))&amp;$R25&amp;""),"")</f>
        <v/>
      </c>
      <c r="Y25" s="74" t="str">
        <f t="array" aca="1" ref="Y25" ca="1">IF($R25&lt;&gt;"",
INDIRECT(""&amp;IF(COLUMN(J37)&lt;=26,CHAR(COLUMN(J37)+64),CHAR(INT((COLUMN(J37)-1)/26)+64)&amp;CHAR(MOD(COLUMN(J37)-1,26)+65))&amp;$R25&amp;""),"")</f>
        <v/>
      </c>
      <c r="Z25" s="74" t="str">
        <f t="array" aca="1" ref="Z25" ca="1">IF($R25&lt;&gt;"",
INDIRECT(""&amp;IF(COLUMN(K37)&lt;=26,CHAR(COLUMN(K37)+64),CHAR(INT((COLUMN(K37)-1)/26)+64)&amp;CHAR(MOD(COLUMN(K37)-1,26)+65))&amp;$R25&amp;""),"")</f>
        <v/>
      </c>
      <c r="AA25" s="74" t="str">
        <f t="array" aca="1" ref="AA25" ca="1">IF($R25&lt;&gt;"",
INDIRECT(""&amp;IF(COLUMN(L37)&lt;=26,CHAR(COLUMN(L37)+64),CHAR(INT((COLUMN(L37)-1)/26)+64)&amp;CHAR(MOD(COLUMN(L37)-1,26)+65))&amp;$R25&amp;""),"")</f>
        <v/>
      </c>
      <c r="AB25" s="74" t="str">
        <f t="array" aca="1" ref="AB25" ca="1">IF($R25&lt;&gt;"",
INDIRECT(""&amp;IF(COLUMN(O37)&lt;=26,CHAR(COLUMN(O37)+64),CHAR(INT((COLUMN(O37)-1)/26)+64)&amp;CHAR(MOD(COLUMN(O37)-1,26)+65))&amp;$R25&amp;""),"")</f>
        <v/>
      </c>
    </row>
    <row r="26" spans="1:28" ht="18" customHeight="1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 t="str">
        <f t="array" ref="R26">IFERROR(SMALL(IF(P$1:P$228&lt;&gt;0,P$1:P$228),ROW(#REF!)),"")</f>
        <v/>
      </c>
      <c r="S26" s="74" t="str">
        <f t="array" aca="1" ref="S26" ca="1">IF($R26&lt;&gt;"",
INDIRECT(""&amp;IF(COLUMN(C38)&lt;=26,CHAR(COLUMN(C38)+64),CHAR(INT((COLUMN(C38)-1)/26)+64)&amp;CHAR(MOD(COLUMN(C38)-1,26)+65))&amp;$R26&amp;""),"")</f>
        <v/>
      </c>
      <c r="T26" s="74" t="str">
        <f t="array" aca="1" ref="T26" ca="1">IF($R26&lt;&gt;"",
INDIRECT(""&amp;IF(COLUMN(D38)&lt;=26,CHAR(COLUMN(D38)+64),CHAR(INT((COLUMN(D38)-1)/26)+64)&amp;CHAR(MOD(COLUMN(D38)-1,26)+65))&amp;$R26&amp;""),"")</f>
        <v/>
      </c>
      <c r="U26" s="74" t="str">
        <f t="array" aca="1" ref="U26" ca="1">IF($R26&lt;&gt;"",
INDIRECT(""&amp;IF(COLUMN(E38)&lt;=26,CHAR(COLUMN(E38)+64),CHAR(INT((COLUMN(E38)-1)/26)+64)&amp;CHAR(MOD(COLUMN(E38)-1,26)+65))&amp;$R26&amp;""),"")</f>
        <v/>
      </c>
      <c r="V26" s="74" t="str">
        <f t="array" aca="1" ref="V26" ca="1">IF($R26&lt;&gt;"",
IF(U26="",
IF(INDIRECT("EY"&amp;$R26&amp;"")&lt;&gt;"",
INDIRECT("EY"&amp;$R26&amp;"")&amp;"箱"
&amp;INDIRECT("EZ"&amp;$R26&amp;""),""),""),"")</f>
        <v/>
      </c>
      <c r="W26" s="74" t="str">
        <f t="array" aca="1" ref="W26" ca="1">IF($R26&lt;&gt;"",
INDIRECT(""&amp;IF(COLUMN(H38)&lt;=26,CHAR(COLUMN(H38)+64),CHAR(INT((COLUMN(H38)-1)/26)+64)&amp;CHAR(MOD(COLUMN(H38)-1,26)+65))&amp;$R26&amp;""),"")</f>
        <v/>
      </c>
      <c r="X26" s="74" t="str">
        <f t="array" aca="1" ref="X26" ca="1">IF($R26&lt;&gt;"",
INDIRECT(""&amp;IF(COLUMN(I38)&lt;=26,CHAR(COLUMN(I38)+64),CHAR(INT((COLUMN(I38)-1)/26)+64)&amp;CHAR(MOD(COLUMN(I38)-1,26)+65))&amp;$R26&amp;""),"")</f>
        <v/>
      </c>
      <c r="Y26" s="74" t="str">
        <f t="array" aca="1" ref="Y26" ca="1">IF($R26&lt;&gt;"",
INDIRECT(""&amp;IF(COLUMN(J38)&lt;=26,CHAR(COLUMN(J38)+64),CHAR(INT((COLUMN(J38)-1)/26)+64)&amp;CHAR(MOD(COLUMN(J38)-1,26)+65))&amp;$R26&amp;""),"")</f>
        <v/>
      </c>
      <c r="Z26" s="74" t="str">
        <f t="array" aca="1" ref="Z26" ca="1">IF($R26&lt;&gt;"",
INDIRECT(""&amp;IF(COLUMN(K38)&lt;=26,CHAR(COLUMN(K38)+64),CHAR(INT((COLUMN(K38)-1)/26)+64)&amp;CHAR(MOD(COLUMN(K38)-1,26)+65))&amp;$R26&amp;""),"")</f>
        <v/>
      </c>
      <c r="AA26" s="74" t="str">
        <f t="array" aca="1" ref="AA26" ca="1">IF($R26&lt;&gt;"",
INDIRECT(""&amp;IF(COLUMN(L38)&lt;=26,CHAR(COLUMN(L38)+64),CHAR(INT((COLUMN(L38)-1)/26)+64)&amp;CHAR(MOD(COLUMN(L38)-1,26)+65))&amp;$R26&amp;""),"")</f>
        <v/>
      </c>
      <c r="AB26" s="74" t="str">
        <f t="array" aca="1" ref="AB26" ca="1">IF($R26&lt;&gt;"",
INDIRECT(""&amp;IF(COLUMN(O38)&lt;=26,CHAR(COLUMN(O38)+64),CHAR(INT((COLUMN(O38)-1)/26)+64)&amp;CHAR(MOD(COLUMN(O38)-1,26)+65))&amp;$R26&amp;""),"")</f>
        <v/>
      </c>
    </row>
    <row r="27" spans="1:28" s="74" customFormat="1" ht="22.2" customHeight="1">
      <c r="R27" s="74" t="str">
        <f t="array" ref="R27">IFERROR(SMALL(IF(P$1:P$228&lt;&gt;0,P$1:P$228),ROW(#REF!)),"")</f>
        <v/>
      </c>
      <c r="S27" s="74" t="str">
        <f t="array" aca="1" ref="S27" ca="1">IF($R27&lt;&gt;"",
INDIRECT(""&amp;IF(COLUMN(C40)&lt;=26,CHAR(COLUMN(C40)+64),CHAR(INT((COLUMN(C40)-1)/26)+64)&amp;CHAR(MOD(COLUMN(C40)-1,26)+65))&amp;$R27&amp;""),"")</f>
        <v/>
      </c>
      <c r="T27" s="74" t="str">
        <f t="array" aca="1" ref="T27" ca="1">IF($R27&lt;&gt;"",
INDIRECT(""&amp;IF(COLUMN(D40)&lt;=26,CHAR(COLUMN(D40)+64),CHAR(INT((COLUMN(D40)-1)/26)+64)&amp;CHAR(MOD(COLUMN(D40)-1,26)+65))&amp;$R27&amp;""),"")</f>
        <v/>
      </c>
      <c r="U27" s="74" t="str">
        <f t="array" aca="1" ref="U27" ca="1">IF($R27&lt;&gt;"",
INDIRECT(""&amp;IF(COLUMN(E40)&lt;=26,CHAR(COLUMN(E40)+64),CHAR(INT((COLUMN(E40)-1)/26)+64)&amp;CHAR(MOD(COLUMN(E40)-1,26)+65))&amp;$R27&amp;""),"")</f>
        <v/>
      </c>
      <c r="V27" s="74" t="str">
        <f t="array" aca="1" ref="V27" ca="1">IF($R27&lt;&gt;"",
IF(U27="",
IF(INDIRECT("EY"&amp;$R27&amp;"")&lt;&gt;"",
INDIRECT("EY"&amp;$R27&amp;"")&amp;"箱"
&amp;INDIRECT("EZ"&amp;$R27&amp;""),""),""),"")</f>
        <v/>
      </c>
      <c r="W27" s="74" t="str">
        <f t="array" aca="1" ref="W27" ca="1">IF($R27&lt;&gt;"",
INDIRECT(""&amp;IF(COLUMN(H40)&lt;=26,CHAR(COLUMN(H40)+64),CHAR(INT((COLUMN(H40)-1)/26)+64)&amp;CHAR(MOD(COLUMN(H40)-1,26)+65))&amp;$R27&amp;""),"")</f>
        <v/>
      </c>
      <c r="X27" s="74" t="str">
        <f t="array" aca="1" ref="X27" ca="1">IF($R27&lt;&gt;"",
INDIRECT(""&amp;IF(COLUMN(I40)&lt;=26,CHAR(COLUMN(I40)+64),CHAR(INT((COLUMN(I40)-1)/26)+64)&amp;CHAR(MOD(COLUMN(I40)-1,26)+65))&amp;$R27&amp;""),"")</f>
        <v/>
      </c>
      <c r="Y27" s="74" t="str">
        <f t="array" aca="1" ref="Y27" ca="1">IF($R27&lt;&gt;"",
INDIRECT(""&amp;IF(COLUMN(J40)&lt;=26,CHAR(COLUMN(J40)+64),CHAR(INT((COLUMN(J40)-1)/26)+64)&amp;CHAR(MOD(COLUMN(J40)-1,26)+65))&amp;$R27&amp;""),"")</f>
        <v/>
      </c>
      <c r="Z27" s="74" t="str">
        <f t="array" aca="1" ref="Z27" ca="1">IF($R27&lt;&gt;"",
INDIRECT(""&amp;IF(COLUMN(K40)&lt;=26,CHAR(COLUMN(K40)+64),CHAR(INT((COLUMN(K40)-1)/26)+64)&amp;CHAR(MOD(COLUMN(K40)-1,26)+65))&amp;$R27&amp;""),"")</f>
        <v/>
      </c>
      <c r="AA27" s="74" t="str">
        <f t="array" aca="1" ref="AA27" ca="1">IF($R27&lt;&gt;"",
INDIRECT(""&amp;IF(COLUMN(L40)&lt;=26,CHAR(COLUMN(L40)+64),CHAR(INT((COLUMN(L40)-1)/26)+64)&amp;CHAR(MOD(COLUMN(L40)-1,26)+65))&amp;$R27&amp;""),"")</f>
        <v/>
      </c>
      <c r="AB27" s="74" t="str">
        <f t="array" aca="1" ref="AB27" ca="1">IF($R27&lt;&gt;"",
INDIRECT(""&amp;IF(COLUMN(O40)&lt;=26,CHAR(COLUMN(O40)+64),CHAR(INT((COLUMN(O40)-1)/26)+64)&amp;CHAR(MOD(COLUMN(O40)-1,26)+65))&amp;$R27&amp;""),"")</f>
        <v/>
      </c>
    </row>
    <row r="28" spans="1:28" ht="21" customHeight="1">
      <c r="A28" s="22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 t="str">
        <f t="array" ref="R28">IFERROR(SMALL(IF(P$1:P$228&lt;&gt;0,P$1:P$228),ROW(#REF!)),"")</f>
        <v/>
      </c>
      <c r="S28" s="74" t="str">
        <f t="array" aca="1" ref="S28" ca="1">IF($R28&lt;&gt;"",
INDIRECT(""&amp;IF(COLUMN(C41)&lt;=26,CHAR(COLUMN(C41)+64),CHAR(INT((COLUMN(C41)-1)/26)+64)&amp;CHAR(MOD(COLUMN(C41)-1,26)+65))&amp;$R28&amp;""),"")</f>
        <v/>
      </c>
      <c r="T28" s="74" t="str">
        <f t="array" aca="1" ref="T28" ca="1">IF($R28&lt;&gt;"",
INDIRECT(""&amp;IF(COLUMN(D41)&lt;=26,CHAR(COLUMN(D41)+64),CHAR(INT((COLUMN(D41)-1)/26)+64)&amp;CHAR(MOD(COLUMN(D41)-1,26)+65))&amp;$R28&amp;""),"")</f>
        <v/>
      </c>
      <c r="U28" s="74" t="str">
        <f t="array" aca="1" ref="U28" ca="1">IF($R28&lt;&gt;"",
INDIRECT(""&amp;IF(COLUMN(E41)&lt;=26,CHAR(COLUMN(E41)+64),CHAR(INT((COLUMN(E41)-1)/26)+64)&amp;CHAR(MOD(COLUMN(E41)-1,26)+65))&amp;$R28&amp;""),"")</f>
        <v/>
      </c>
      <c r="V28" s="74" t="str">
        <f t="array" aca="1" ref="V28" ca="1">IF($R28&lt;&gt;"",
IF(U28="",
IF(INDIRECT("EY"&amp;$R28&amp;"")&lt;&gt;"",
INDIRECT("EY"&amp;$R28&amp;"")&amp;"箱"
&amp;INDIRECT("EZ"&amp;$R28&amp;""),""),""),"")</f>
        <v/>
      </c>
      <c r="W28" s="74" t="str">
        <f t="array" aca="1" ref="W28" ca="1">IF($R28&lt;&gt;"",
INDIRECT(""&amp;IF(COLUMN(H41)&lt;=26,CHAR(COLUMN(H41)+64),CHAR(INT((COLUMN(H41)-1)/26)+64)&amp;CHAR(MOD(COLUMN(H41)-1,26)+65))&amp;$R28&amp;""),"")</f>
        <v/>
      </c>
      <c r="X28" s="74" t="str">
        <f t="array" aca="1" ref="X28" ca="1">IF($R28&lt;&gt;"",
INDIRECT(""&amp;IF(COLUMN(I41)&lt;=26,CHAR(COLUMN(I41)+64),CHAR(INT((COLUMN(I41)-1)/26)+64)&amp;CHAR(MOD(COLUMN(I41)-1,26)+65))&amp;$R28&amp;""),"")</f>
        <v/>
      </c>
      <c r="Y28" s="74" t="str">
        <f t="array" aca="1" ref="Y28" ca="1">IF($R28&lt;&gt;"",
INDIRECT(""&amp;IF(COLUMN(J41)&lt;=26,CHAR(COLUMN(J41)+64),CHAR(INT((COLUMN(J41)-1)/26)+64)&amp;CHAR(MOD(COLUMN(J41)-1,26)+65))&amp;$R28&amp;""),"")</f>
        <v/>
      </c>
      <c r="Z28" s="74" t="str">
        <f t="array" aca="1" ref="Z28" ca="1">IF($R28&lt;&gt;"",
INDIRECT(""&amp;IF(COLUMN(K41)&lt;=26,CHAR(COLUMN(K41)+64),CHAR(INT((COLUMN(K41)-1)/26)+64)&amp;CHAR(MOD(COLUMN(K41)-1,26)+65))&amp;$R28&amp;""),"")</f>
        <v/>
      </c>
      <c r="AA28" s="74" t="str">
        <f t="array" aca="1" ref="AA28" ca="1">IF($R28&lt;&gt;"",
INDIRECT(""&amp;IF(COLUMN(L41)&lt;=26,CHAR(COLUMN(L41)+64),CHAR(INT((COLUMN(L41)-1)/26)+64)&amp;CHAR(MOD(COLUMN(L41)-1,26)+65))&amp;$R28&amp;""),"")</f>
        <v/>
      </c>
      <c r="AB28" s="74" t="str">
        <f t="array" aca="1" ref="AB28" ca="1">IF($R28&lt;&gt;"",
INDIRECT(""&amp;IF(COLUMN(O41)&lt;=26,CHAR(COLUMN(O41)+64),CHAR(INT((COLUMN(O41)-1)/26)+64)&amp;CHAR(MOD(COLUMN(O41)-1,26)+65))&amp;$R28&amp;""),"")</f>
        <v/>
      </c>
    </row>
    <row r="29" spans="1:28" s="74" customFormat="1" ht="18" customHeight="1">
      <c r="R29" s="74" t="str">
        <f t="array" ref="R29">IFERROR(SMALL(IF(P$1:P$228&lt;&gt;0,P$1:P$228),ROW(#REF!)),"")</f>
        <v/>
      </c>
      <c r="S29" s="74" t="str">
        <f t="array" aca="1" ref="S29" ca="1">IF($R29&lt;&gt;"",
INDIRECT(""&amp;IF(COLUMN(C43)&lt;=26,CHAR(COLUMN(C43)+64),CHAR(INT((COLUMN(C43)-1)/26)+64)&amp;CHAR(MOD(COLUMN(C43)-1,26)+65))&amp;$R29&amp;""),"")</f>
        <v/>
      </c>
      <c r="T29" s="74" t="str">
        <f t="array" aca="1" ref="T29" ca="1">IF($R29&lt;&gt;"",
INDIRECT(""&amp;IF(COLUMN(D43)&lt;=26,CHAR(COLUMN(D43)+64),CHAR(INT((COLUMN(D43)-1)/26)+64)&amp;CHAR(MOD(COLUMN(D43)-1,26)+65))&amp;$R29&amp;""),"")</f>
        <v/>
      </c>
      <c r="U29" s="74" t="str">
        <f t="array" aca="1" ref="U29" ca="1">IF($R29&lt;&gt;"",
INDIRECT(""&amp;IF(COLUMN(E43)&lt;=26,CHAR(COLUMN(E43)+64),CHAR(INT((COLUMN(E43)-1)/26)+64)&amp;CHAR(MOD(COLUMN(E43)-1,26)+65))&amp;$R29&amp;""),"")</f>
        <v/>
      </c>
      <c r="V29" s="74" t="str">
        <f t="array" aca="1" ref="V29" ca="1">IF($R29&lt;&gt;"",
IF(U29="",
IF(INDIRECT("EY"&amp;$R29&amp;"")&lt;&gt;"",
INDIRECT("EY"&amp;$R29&amp;"")&amp;"箱"
&amp;INDIRECT("EZ"&amp;$R29&amp;""),""),""),"")</f>
        <v/>
      </c>
      <c r="W29" s="74" t="str">
        <f t="array" aca="1" ref="W29" ca="1">IF($R29&lt;&gt;"",
INDIRECT(""&amp;IF(COLUMN(H43)&lt;=26,CHAR(COLUMN(H43)+64),CHAR(INT((COLUMN(H43)-1)/26)+64)&amp;CHAR(MOD(COLUMN(H43)-1,26)+65))&amp;$R29&amp;""),"")</f>
        <v/>
      </c>
      <c r="X29" s="74" t="str">
        <f t="array" aca="1" ref="X29" ca="1">IF($R29&lt;&gt;"",
INDIRECT(""&amp;IF(COLUMN(I43)&lt;=26,CHAR(COLUMN(I43)+64),CHAR(INT((COLUMN(I43)-1)/26)+64)&amp;CHAR(MOD(COLUMN(I43)-1,26)+65))&amp;$R29&amp;""),"")</f>
        <v/>
      </c>
      <c r="Y29" s="74" t="str">
        <f t="array" aca="1" ref="Y29" ca="1">IF($R29&lt;&gt;"",
INDIRECT(""&amp;IF(COLUMN(J43)&lt;=26,CHAR(COLUMN(J43)+64),CHAR(INT((COLUMN(J43)-1)/26)+64)&amp;CHAR(MOD(COLUMN(J43)-1,26)+65))&amp;$R29&amp;""),"")</f>
        <v/>
      </c>
      <c r="Z29" s="74" t="str">
        <f t="array" aca="1" ref="Z29" ca="1">IF($R29&lt;&gt;"",
INDIRECT(""&amp;IF(COLUMN(K43)&lt;=26,CHAR(COLUMN(K43)+64),CHAR(INT((COLUMN(K43)-1)/26)+64)&amp;CHAR(MOD(COLUMN(K43)-1,26)+65))&amp;$R29&amp;""),"")</f>
        <v/>
      </c>
      <c r="AA29" s="74" t="str">
        <f t="array" aca="1" ref="AA29" ca="1">IF($R29&lt;&gt;"",
INDIRECT(""&amp;IF(COLUMN(L43)&lt;=26,CHAR(COLUMN(L43)+64),CHAR(INT((COLUMN(L43)-1)/26)+64)&amp;CHAR(MOD(COLUMN(L43)-1,26)+65))&amp;$R29&amp;""),"")</f>
        <v/>
      </c>
      <c r="AB29" s="74" t="str">
        <f t="array" aca="1" ref="AB29" ca="1">IF($R29&lt;&gt;"",
INDIRECT(""&amp;IF(COLUMN(O43)&lt;=26,CHAR(COLUMN(O43)+64),CHAR(INT((COLUMN(O43)-1)/26)+64)&amp;CHAR(MOD(COLUMN(O43)-1,26)+65))&amp;$R29&amp;""),"")</f>
        <v/>
      </c>
    </row>
    <row r="30" spans="1:28" s="74" customFormat="1" ht="18" customHeight="1">
      <c r="A30" s="223"/>
      <c r="R30" s="74" t="str">
        <f t="array" ref="R30">IFERROR(SMALL(IF(P$1:P$228&lt;&gt;0,P$1:P$228),ROW(#REF!)),"")</f>
        <v/>
      </c>
      <c r="S30" s="74" t="str">
        <f t="array" aca="1" ref="S30" ca="1">IF($R30&lt;&gt;"",
INDIRECT(""&amp;IF(COLUMN(C44)&lt;=26,CHAR(COLUMN(C44)+64),CHAR(INT((COLUMN(C44)-1)/26)+64)&amp;CHAR(MOD(COLUMN(C44)-1,26)+65))&amp;$R30&amp;""),"")</f>
        <v/>
      </c>
      <c r="T30" s="74" t="str">
        <f t="array" aca="1" ref="T30" ca="1">IF($R30&lt;&gt;"",
INDIRECT(""&amp;IF(COLUMN(D44)&lt;=26,CHAR(COLUMN(D44)+64),CHAR(INT((COLUMN(D44)-1)/26)+64)&amp;CHAR(MOD(COLUMN(D44)-1,26)+65))&amp;$R30&amp;""),"")</f>
        <v/>
      </c>
      <c r="U30" s="74" t="str">
        <f t="array" aca="1" ref="U30" ca="1">IF($R30&lt;&gt;"",
INDIRECT(""&amp;IF(COLUMN(E44)&lt;=26,CHAR(COLUMN(E44)+64),CHAR(INT((COLUMN(E44)-1)/26)+64)&amp;CHAR(MOD(COLUMN(E44)-1,26)+65))&amp;$R30&amp;""),"")</f>
        <v/>
      </c>
      <c r="V30" s="74" t="str">
        <f t="array" aca="1" ref="V30" ca="1">IF($R30&lt;&gt;"",
IF(U30="",
IF(INDIRECT("EY"&amp;$R30&amp;"")&lt;&gt;"",
INDIRECT("EY"&amp;$R30&amp;"")&amp;"箱"
&amp;INDIRECT("EZ"&amp;$R30&amp;""),""),""),"")</f>
        <v/>
      </c>
      <c r="W30" s="74" t="str">
        <f t="array" aca="1" ref="W30" ca="1">IF($R30&lt;&gt;"",
INDIRECT(""&amp;IF(COLUMN(H44)&lt;=26,CHAR(COLUMN(H44)+64),CHAR(INT((COLUMN(H44)-1)/26)+64)&amp;CHAR(MOD(COLUMN(H44)-1,26)+65))&amp;$R30&amp;""),"")</f>
        <v/>
      </c>
      <c r="X30" s="74" t="str">
        <f t="array" aca="1" ref="X30" ca="1">IF($R30&lt;&gt;"",
INDIRECT(""&amp;IF(COLUMN(I44)&lt;=26,CHAR(COLUMN(I44)+64),CHAR(INT((COLUMN(I44)-1)/26)+64)&amp;CHAR(MOD(COLUMN(I44)-1,26)+65))&amp;$R30&amp;""),"")</f>
        <v/>
      </c>
      <c r="Y30" s="74" t="str">
        <f t="array" aca="1" ref="Y30" ca="1">IF($R30&lt;&gt;"",
INDIRECT(""&amp;IF(COLUMN(J44)&lt;=26,CHAR(COLUMN(J44)+64),CHAR(INT((COLUMN(J44)-1)/26)+64)&amp;CHAR(MOD(COLUMN(J44)-1,26)+65))&amp;$R30&amp;""),"")</f>
        <v/>
      </c>
      <c r="Z30" s="74" t="str">
        <f t="array" aca="1" ref="Z30" ca="1">IF($R30&lt;&gt;"",
INDIRECT(""&amp;IF(COLUMN(K44)&lt;=26,CHAR(COLUMN(K44)+64),CHAR(INT((COLUMN(K44)-1)/26)+64)&amp;CHAR(MOD(COLUMN(K44)-1,26)+65))&amp;$R30&amp;""),"")</f>
        <v/>
      </c>
      <c r="AA30" s="74" t="str">
        <f t="array" aca="1" ref="AA30" ca="1">IF($R30&lt;&gt;"",
INDIRECT(""&amp;IF(COLUMN(L44)&lt;=26,CHAR(COLUMN(L44)+64),CHAR(INT((COLUMN(L44)-1)/26)+64)&amp;CHAR(MOD(COLUMN(L44)-1,26)+65))&amp;$R30&amp;""),"")</f>
        <v/>
      </c>
      <c r="AB30" s="74" t="str">
        <f t="array" aca="1" ref="AB30" ca="1">IF($R30&lt;&gt;"",
INDIRECT(""&amp;IF(COLUMN(O44)&lt;=26,CHAR(COLUMN(O44)+64),CHAR(INT((COLUMN(O44)-1)/26)+64)&amp;CHAR(MOD(COLUMN(O44)-1,26)+65))&amp;$R30&amp;""),"")</f>
        <v/>
      </c>
    </row>
    <row r="31" spans="1:28" s="74" customFormat="1" ht="22.2" customHeight="1">
      <c r="R31" s="74" t="str">
        <f t="array" ref="R31">IFERROR(SMALL(IF(P$1:P$228&lt;&gt;0,P$1:P$228),ROW(#REF!)),"")</f>
        <v/>
      </c>
      <c r="S31" s="74" t="str">
        <f t="array" aca="1" ref="S31" ca="1">IF($R31&lt;&gt;"",
INDIRECT(""&amp;IF(COLUMN(C46)&lt;=26,CHAR(COLUMN(C46)+64),CHAR(INT((COLUMN(C46)-1)/26)+64)&amp;CHAR(MOD(COLUMN(C46)-1,26)+65))&amp;$R31&amp;""),"")</f>
        <v/>
      </c>
      <c r="T31" s="74" t="str">
        <f t="array" aca="1" ref="T31" ca="1">IF($R31&lt;&gt;"",
INDIRECT(""&amp;IF(COLUMN(D46)&lt;=26,CHAR(COLUMN(D46)+64),CHAR(INT((COLUMN(D46)-1)/26)+64)&amp;CHAR(MOD(COLUMN(D46)-1,26)+65))&amp;$R31&amp;""),"")</f>
        <v/>
      </c>
      <c r="U31" s="74" t="str">
        <f t="array" aca="1" ref="U31" ca="1">IF($R31&lt;&gt;"",
INDIRECT(""&amp;IF(COLUMN(E46)&lt;=26,CHAR(COLUMN(E46)+64),CHAR(INT((COLUMN(E46)-1)/26)+64)&amp;CHAR(MOD(COLUMN(E46)-1,26)+65))&amp;$R31&amp;""),"")</f>
        <v/>
      </c>
      <c r="V31" s="74" t="str">
        <f t="array" aca="1" ref="V31" ca="1">IF($R31&lt;&gt;"",
IF(U31="",
IF(INDIRECT("EY"&amp;$R31&amp;"")&lt;&gt;"",
INDIRECT("EY"&amp;$R31&amp;"")&amp;"箱"
&amp;INDIRECT("EZ"&amp;$R31&amp;""),""),""),"")</f>
        <v/>
      </c>
      <c r="W31" s="74" t="str">
        <f t="array" aca="1" ref="W31" ca="1">IF($R31&lt;&gt;"",
INDIRECT(""&amp;IF(COLUMN(H46)&lt;=26,CHAR(COLUMN(H46)+64),CHAR(INT((COLUMN(H46)-1)/26)+64)&amp;CHAR(MOD(COLUMN(H46)-1,26)+65))&amp;$R31&amp;""),"")</f>
        <v/>
      </c>
      <c r="X31" s="74" t="str">
        <f t="array" aca="1" ref="X31" ca="1">IF($R31&lt;&gt;"",
INDIRECT(""&amp;IF(COLUMN(I46)&lt;=26,CHAR(COLUMN(I46)+64),CHAR(INT((COLUMN(I46)-1)/26)+64)&amp;CHAR(MOD(COLUMN(I46)-1,26)+65))&amp;$R31&amp;""),"")</f>
        <v/>
      </c>
      <c r="Y31" s="74" t="str">
        <f t="array" aca="1" ref="Y31" ca="1">IF($R31&lt;&gt;"",
INDIRECT(""&amp;IF(COLUMN(J46)&lt;=26,CHAR(COLUMN(J46)+64),CHAR(INT((COLUMN(J46)-1)/26)+64)&amp;CHAR(MOD(COLUMN(J46)-1,26)+65))&amp;$R31&amp;""),"")</f>
        <v/>
      </c>
      <c r="Z31" s="74" t="str">
        <f t="array" aca="1" ref="Z31" ca="1">IF($R31&lt;&gt;"",
INDIRECT(""&amp;IF(COLUMN(K46)&lt;=26,CHAR(COLUMN(K46)+64),CHAR(INT((COLUMN(K46)-1)/26)+64)&amp;CHAR(MOD(COLUMN(K46)-1,26)+65))&amp;$R31&amp;""),"")</f>
        <v/>
      </c>
      <c r="AA31" s="74" t="str">
        <f t="array" aca="1" ref="AA31" ca="1">IF($R31&lt;&gt;"",
INDIRECT(""&amp;IF(COLUMN(L46)&lt;=26,CHAR(COLUMN(L46)+64),CHAR(INT((COLUMN(L46)-1)/26)+64)&amp;CHAR(MOD(COLUMN(L46)-1,26)+65))&amp;$R31&amp;""),"")</f>
        <v/>
      </c>
      <c r="AB31" s="74" t="str">
        <f t="array" aca="1" ref="AB31" ca="1">IF($R31&lt;&gt;"",
INDIRECT(""&amp;IF(COLUMN(O46)&lt;=26,CHAR(COLUMN(O46)+64),CHAR(INT((COLUMN(O46)-1)/26)+64)&amp;CHAR(MOD(COLUMN(O46)-1,26)+65))&amp;$R31&amp;""),"")</f>
        <v/>
      </c>
    </row>
    <row r="32" spans="1:28" ht="18" customHeight="1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 t="str">
        <f t="array" ref="R32">IFERROR(SMALL(IF(P$1:P$228&lt;&gt;0,P$1:P$228),ROW(#REF!)),"")</f>
        <v/>
      </c>
      <c r="S32" s="74" t="str">
        <f t="array" aca="1" ref="S32" ca="1">IF($R32&lt;&gt;"",
INDIRECT(""&amp;IF(COLUMN(C47)&lt;=26,CHAR(COLUMN(C47)+64),CHAR(INT((COLUMN(C47)-1)/26)+64)&amp;CHAR(MOD(COLUMN(C47)-1,26)+65))&amp;$R32&amp;""),"")</f>
        <v/>
      </c>
      <c r="T32" s="74" t="str">
        <f t="array" aca="1" ref="T32" ca="1">IF($R32&lt;&gt;"",
INDIRECT(""&amp;IF(COLUMN(D47)&lt;=26,CHAR(COLUMN(D47)+64),CHAR(INT((COLUMN(D47)-1)/26)+64)&amp;CHAR(MOD(COLUMN(D47)-1,26)+65))&amp;$R32&amp;""),"")</f>
        <v/>
      </c>
      <c r="U32" s="74" t="str">
        <f t="array" aca="1" ref="U32" ca="1">IF($R32&lt;&gt;"",
INDIRECT(""&amp;IF(COLUMN(E47)&lt;=26,CHAR(COLUMN(E47)+64),CHAR(INT((COLUMN(E47)-1)/26)+64)&amp;CHAR(MOD(COLUMN(E47)-1,26)+65))&amp;$R32&amp;""),"")</f>
        <v/>
      </c>
      <c r="V32" s="74" t="str">
        <f t="array" aca="1" ref="V32" ca="1">IF($R32&lt;&gt;"",
IF(U32="",
IF(INDIRECT("EY"&amp;$R32&amp;"")&lt;&gt;"",
INDIRECT("EY"&amp;$R32&amp;"")&amp;"箱"
&amp;INDIRECT("EZ"&amp;$R32&amp;""),""),""),"")</f>
        <v/>
      </c>
      <c r="W32" s="74" t="str">
        <f t="array" aca="1" ref="W32" ca="1">IF($R32&lt;&gt;"",
INDIRECT(""&amp;IF(COLUMN(H47)&lt;=26,CHAR(COLUMN(H47)+64),CHAR(INT((COLUMN(H47)-1)/26)+64)&amp;CHAR(MOD(COLUMN(H47)-1,26)+65))&amp;$R32&amp;""),"")</f>
        <v/>
      </c>
      <c r="X32" s="74" t="str">
        <f t="array" aca="1" ref="X32" ca="1">IF($R32&lt;&gt;"",
INDIRECT(""&amp;IF(COLUMN(I47)&lt;=26,CHAR(COLUMN(I47)+64),CHAR(INT((COLUMN(I47)-1)/26)+64)&amp;CHAR(MOD(COLUMN(I47)-1,26)+65))&amp;$R32&amp;""),"")</f>
        <v/>
      </c>
      <c r="Y32" s="74" t="str">
        <f t="array" aca="1" ref="Y32" ca="1">IF($R32&lt;&gt;"",
INDIRECT(""&amp;IF(COLUMN(J47)&lt;=26,CHAR(COLUMN(J47)+64),CHAR(INT((COLUMN(J47)-1)/26)+64)&amp;CHAR(MOD(COLUMN(J47)-1,26)+65))&amp;$R32&amp;""),"")</f>
        <v/>
      </c>
      <c r="Z32" s="74" t="str">
        <f t="array" aca="1" ref="Z32" ca="1">IF($R32&lt;&gt;"",
INDIRECT(""&amp;IF(COLUMN(K47)&lt;=26,CHAR(COLUMN(K47)+64),CHAR(INT((COLUMN(K47)-1)/26)+64)&amp;CHAR(MOD(COLUMN(K47)-1,26)+65))&amp;$R32&amp;""),"")</f>
        <v/>
      </c>
      <c r="AA32" s="74" t="str">
        <f t="array" aca="1" ref="AA32" ca="1">IF($R32&lt;&gt;"",
INDIRECT(""&amp;IF(COLUMN(L47)&lt;=26,CHAR(COLUMN(L47)+64),CHAR(INT((COLUMN(L47)-1)/26)+64)&amp;CHAR(MOD(COLUMN(L47)-1,26)+65))&amp;$R32&amp;""),"")</f>
        <v/>
      </c>
      <c r="AB32" s="74" t="str">
        <f t="array" aca="1" ref="AB32" ca="1">IF($R32&lt;&gt;"",
INDIRECT(""&amp;IF(COLUMN(O47)&lt;=26,CHAR(COLUMN(O47)+64),CHAR(INT((COLUMN(O47)-1)/26)+64)&amp;CHAR(MOD(COLUMN(O47)-1,26)+65))&amp;$R32&amp;""),"")</f>
        <v/>
      </c>
    </row>
    <row r="33" spans="1:28" ht="18" customHeight="1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 t="str">
        <f t="array" ref="R33">IFERROR(SMALL(IF(P$1:P$228&lt;&gt;0,P$1:P$228),ROW(#REF!)),"")</f>
        <v/>
      </c>
      <c r="S33" s="74" t="str">
        <f t="array" aca="1" ref="S33" ca="1">IF($R33&lt;&gt;"",
INDIRECT(""&amp;IF(COLUMN(C49)&lt;=26,CHAR(COLUMN(C49)+64),CHAR(INT((COLUMN(C49)-1)/26)+64)&amp;CHAR(MOD(COLUMN(C49)-1,26)+65))&amp;$R33&amp;""),"")</f>
        <v/>
      </c>
      <c r="T33" s="74" t="str">
        <f t="array" aca="1" ref="T33" ca="1">IF($R33&lt;&gt;"",
INDIRECT(""&amp;IF(COLUMN(D49)&lt;=26,CHAR(COLUMN(D49)+64),CHAR(INT((COLUMN(D49)-1)/26)+64)&amp;CHAR(MOD(COLUMN(D49)-1,26)+65))&amp;$R33&amp;""),"")</f>
        <v/>
      </c>
      <c r="U33" s="74" t="str">
        <f t="array" aca="1" ref="U33" ca="1">IF($R33&lt;&gt;"",
INDIRECT(""&amp;IF(COLUMN(E49)&lt;=26,CHAR(COLUMN(E49)+64),CHAR(INT((COLUMN(E49)-1)/26)+64)&amp;CHAR(MOD(COLUMN(E49)-1,26)+65))&amp;$R33&amp;""),"")</f>
        <v/>
      </c>
      <c r="V33" s="74" t="str">
        <f t="array" aca="1" ref="V33" ca="1">IF($R33&lt;&gt;"",
IF(U33="",
IF(INDIRECT("EY"&amp;$R33&amp;"")&lt;&gt;"",
INDIRECT("EY"&amp;$R33&amp;"")&amp;"箱"
&amp;INDIRECT("EZ"&amp;$R33&amp;""),""),""),"")</f>
        <v/>
      </c>
      <c r="W33" s="74" t="str">
        <f t="array" aca="1" ref="W33" ca="1">IF($R33&lt;&gt;"",
INDIRECT(""&amp;IF(COLUMN(H49)&lt;=26,CHAR(COLUMN(H49)+64),CHAR(INT((COLUMN(H49)-1)/26)+64)&amp;CHAR(MOD(COLUMN(H49)-1,26)+65))&amp;$R33&amp;""),"")</f>
        <v/>
      </c>
      <c r="X33" s="74" t="str">
        <f t="array" aca="1" ref="X33" ca="1">IF($R33&lt;&gt;"",
INDIRECT(""&amp;IF(COLUMN(I49)&lt;=26,CHAR(COLUMN(I49)+64),CHAR(INT((COLUMN(I49)-1)/26)+64)&amp;CHAR(MOD(COLUMN(I49)-1,26)+65))&amp;$R33&amp;""),"")</f>
        <v/>
      </c>
      <c r="Y33" s="74" t="str">
        <f t="array" aca="1" ref="Y33" ca="1">IF($R33&lt;&gt;"",
INDIRECT(""&amp;IF(COLUMN(J49)&lt;=26,CHAR(COLUMN(J49)+64),CHAR(INT((COLUMN(J49)-1)/26)+64)&amp;CHAR(MOD(COLUMN(J49)-1,26)+65))&amp;$R33&amp;""),"")</f>
        <v/>
      </c>
      <c r="Z33" s="74" t="str">
        <f t="array" aca="1" ref="Z33" ca="1">IF($R33&lt;&gt;"",
INDIRECT(""&amp;IF(COLUMN(K49)&lt;=26,CHAR(COLUMN(K49)+64),CHAR(INT((COLUMN(K49)-1)/26)+64)&amp;CHAR(MOD(COLUMN(K49)-1,26)+65))&amp;$R33&amp;""),"")</f>
        <v/>
      </c>
      <c r="AA33" s="74" t="str">
        <f t="array" aca="1" ref="AA33" ca="1">IF($R33&lt;&gt;"",
INDIRECT(""&amp;IF(COLUMN(L49)&lt;=26,CHAR(COLUMN(L49)+64),CHAR(INT((COLUMN(L49)-1)/26)+64)&amp;CHAR(MOD(COLUMN(L49)-1,26)+65))&amp;$R33&amp;""),"")</f>
        <v/>
      </c>
      <c r="AB33" s="74" t="str">
        <f t="array" aca="1" ref="AB33" ca="1">IF($R33&lt;&gt;"",
INDIRECT(""&amp;IF(COLUMN(O49)&lt;=26,CHAR(COLUMN(O49)+64),CHAR(INT((COLUMN(O49)-1)/26)+64)&amp;CHAR(MOD(COLUMN(O49)-1,26)+65))&amp;$R33&amp;""),"")</f>
        <v/>
      </c>
    </row>
    <row r="34" spans="1:28" s="74" customFormat="1" ht="22.2" customHeight="1">
      <c r="B34" s="78"/>
      <c r="R34" s="74" t="str">
        <f t="array" ref="R34">IFERROR(SMALL(IF(P$1:P$228&lt;&gt;0,P$1:P$228),ROW(#REF!)),"")</f>
        <v/>
      </c>
      <c r="S34" s="74" t="str">
        <f t="array" aca="1" ref="S34" ca="1">IF($R34&lt;&gt;"",
INDIRECT(""&amp;IF(COLUMN(C50)&lt;=26,CHAR(COLUMN(C50)+64),CHAR(INT((COLUMN(C50)-1)/26)+64)&amp;CHAR(MOD(COLUMN(C50)-1,26)+65))&amp;$R34&amp;""),"")</f>
        <v/>
      </c>
      <c r="T34" s="74" t="str">
        <f t="array" aca="1" ref="T34" ca="1">IF($R34&lt;&gt;"",
INDIRECT(""&amp;IF(COLUMN(D50)&lt;=26,CHAR(COLUMN(D50)+64),CHAR(INT((COLUMN(D50)-1)/26)+64)&amp;CHAR(MOD(COLUMN(D50)-1,26)+65))&amp;$R34&amp;""),"")</f>
        <v/>
      </c>
      <c r="U34" s="74" t="str">
        <f t="array" aca="1" ref="U34" ca="1">IF($R34&lt;&gt;"",
INDIRECT(""&amp;IF(COLUMN(E50)&lt;=26,CHAR(COLUMN(E50)+64),CHAR(INT((COLUMN(E50)-1)/26)+64)&amp;CHAR(MOD(COLUMN(E50)-1,26)+65))&amp;$R34&amp;""),"")</f>
        <v/>
      </c>
      <c r="V34" s="74" t="str">
        <f t="array" aca="1" ref="V34" ca="1">IF($R34&lt;&gt;"",
IF(U34="",
IF(INDIRECT("EY"&amp;$R34&amp;"")&lt;&gt;"",
INDIRECT("EY"&amp;$R34&amp;"")&amp;"箱"
&amp;INDIRECT("EZ"&amp;$R34&amp;""),""),""),"")</f>
        <v/>
      </c>
      <c r="W34" s="74" t="str">
        <f t="array" aca="1" ref="W34" ca="1">IF($R34&lt;&gt;"",
INDIRECT(""&amp;IF(COLUMN(H50)&lt;=26,CHAR(COLUMN(H50)+64),CHAR(INT((COLUMN(H50)-1)/26)+64)&amp;CHAR(MOD(COLUMN(H50)-1,26)+65))&amp;$R34&amp;""),"")</f>
        <v/>
      </c>
      <c r="X34" s="74" t="str">
        <f t="array" aca="1" ref="X34" ca="1">IF($R34&lt;&gt;"",
INDIRECT(""&amp;IF(COLUMN(I50)&lt;=26,CHAR(COLUMN(I50)+64),CHAR(INT((COLUMN(I50)-1)/26)+64)&amp;CHAR(MOD(COLUMN(I50)-1,26)+65))&amp;$R34&amp;""),"")</f>
        <v/>
      </c>
      <c r="Y34" s="74" t="str">
        <f t="array" aca="1" ref="Y34" ca="1">IF($R34&lt;&gt;"",
INDIRECT(""&amp;IF(COLUMN(J50)&lt;=26,CHAR(COLUMN(J50)+64),CHAR(INT((COLUMN(J50)-1)/26)+64)&amp;CHAR(MOD(COLUMN(J50)-1,26)+65))&amp;$R34&amp;""),"")</f>
        <v/>
      </c>
      <c r="Z34" s="74" t="str">
        <f t="array" aca="1" ref="Z34" ca="1">IF($R34&lt;&gt;"",
INDIRECT(""&amp;IF(COLUMN(K50)&lt;=26,CHAR(COLUMN(K50)+64),CHAR(INT((COLUMN(K50)-1)/26)+64)&amp;CHAR(MOD(COLUMN(K50)-1,26)+65))&amp;$R34&amp;""),"")</f>
        <v/>
      </c>
      <c r="AA34" s="74" t="str">
        <f t="array" aca="1" ref="AA34" ca="1">IF($R34&lt;&gt;"",
INDIRECT(""&amp;IF(COLUMN(L50)&lt;=26,CHAR(COLUMN(L50)+64),CHAR(INT((COLUMN(L50)-1)/26)+64)&amp;CHAR(MOD(COLUMN(L50)-1,26)+65))&amp;$R34&amp;""),"")</f>
        <v/>
      </c>
      <c r="AB34" s="74" t="str">
        <f t="array" aca="1" ref="AB34" ca="1">IF($R34&lt;&gt;"",
INDIRECT(""&amp;IF(COLUMN(O50)&lt;=26,CHAR(COLUMN(O50)+64),CHAR(INT((COLUMN(O50)-1)/26)+64)&amp;CHAR(MOD(COLUMN(O50)-1,26)+65))&amp;$R34&amp;""),"")</f>
        <v/>
      </c>
    </row>
    <row r="35" spans="1:28" ht="21" customHeight="1">
      <c r="A35" s="22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 t="str">
        <f t="array" ref="R35">IFERROR(SMALL(IF(P$1:P$228&lt;&gt;0,P$1:P$228),ROW(#REF!)),"")</f>
        <v/>
      </c>
      <c r="S35" s="74" t="str">
        <f t="array" aca="1" ref="S35" ca="1">IF($R35&lt;&gt;"",
INDIRECT(""&amp;IF(COLUMN(C52)&lt;=26,CHAR(COLUMN(C52)+64),CHAR(INT((COLUMN(C52)-1)/26)+64)&amp;CHAR(MOD(COLUMN(C52)-1,26)+65))&amp;$R35&amp;""),"")</f>
        <v/>
      </c>
      <c r="T35" s="74" t="str">
        <f t="array" aca="1" ref="T35" ca="1">IF($R35&lt;&gt;"",
INDIRECT(""&amp;IF(COLUMN(D52)&lt;=26,CHAR(COLUMN(D52)+64),CHAR(INT((COLUMN(D52)-1)/26)+64)&amp;CHAR(MOD(COLUMN(D52)-1,26)+65))&amp;$R35&amp;""),"")</f>
        <v/>
      </c>
      <c r="U35" s="74" t="str">
        <f t="array" aca="1" ref="U35" ca="1">IF($R35&lt;&gt;"",
INDIRECT(""&amp;IF(COLUMN(E52)&lt;=26,CHAR(COLUMN(E52)+64),CHAR(INT((COLUMN(E52)-1)/26)+64)&amp;CHAR(MOD(COLUMN(E52)-1,26)+65))&amp;$R35&amp;""),"")</f>
        <v/>
      </c>
      <c r="V35" s="74" t="str">
        <f t="array" aca="1" ref="V35" ca="1">IF($R35&lt;&gt;"",
IF(U35="",
IF(INDIRECT("EY"&amp;$R35&amp;"")&lt;&gt;"",
INDIRECT("EY"&amp;$R35&amp;"")&amp;"箱"
&amp;INDIRECT("EZ"&amp;$R35&amp;""),""),""),"")</f>
        <v/>
      </c>
      <c r="W35" s="74" t="str">
        <f t="array" aca="1" ref="W35" ca="1">IF($R35&lt;&gt;"",
INDIRECT(""&amp;IF(COLUMN(H52)&lt;=26,CHAR(COLUMN(H52)+64),CHAR(INT((COLUMN(H52)-1)/26)+64)&amp;CHAR(MOD(COLUMN(H52)-1,26)+65))&amp;$R35&amp;""),"")</f>
        <v/>
      </c>
      <c r="X35" s="74" t="str">
        <f t="array" aca="1" ref="X35" ca="1">IF($R35&lt;&gt;"",
INDIRECT(""&amp;IF(COLUMN(I52)&lt;=26,CHAR(COLUMN(I52)+64),CHAR(INT((COLUMN(I52)-1)/26)+64)&amp;CHAR(MOD(COLUMN(I52)-1,26)+65))&amp;$R35&amp;""),"")</f>
        <v/>
      </c>
      <c r="Y35" s="74" t="str">
        <f t="array" aca="1" ref="Y35" ca="1">IF($R35&lt;&gt;"",
INDIRECT(""&amp;IF(COLUMN(J52)&lt;=26,CHAR(COLUMN(J52)+64),CHAR(INT((COLUMN(J52)-1)/26)+64)&amp;CHAR(MOD(COLUMN(J52)-1,26)+65))&amp;$R35&amp;""),"")</f>
        <v/>
      </c>
      <c r="Z35" s="74" t="str">
        <f t="array" aca="1" ref="Z35" ca="1">IF($R35&lt;&gt;"",
INDIRECT(""&amp;IF(COLUMN(K52)&lt;=26,CHAR(COLUMN(K52)+64),CHAR(INT((COLUMN(K52)-1)/26)+64)&amp;CHAR(MOD(COLUMN(K52)-1,26)+65))&amp;$R35&amp;""),"")</f>
        <v/>
      </c>
      <c r="AA35" s="74" t="str">
        <f t="array" aca="1" ref="AA35" ca="1">IF($R35&lt;&gt;"",
INDIRECT(""&amp;IF(COLUMN(L52)&lt;=26,CHAR(COLUMN(L52)+64),CHAR(INT((COLUMN(L52)-1)/26)+64)&amp;CHAR(MOD(COLUMN(L52)-1,26)+65))&amp;$R35&amp;""),"")</f>
        <v/>
      </c>
      <c r="AB35" s="74" t="str">
        <f t="array" aca="1" ref="AB35" ca="1">IF($R35&lt;&gt;"",
INDIRECT(""&amp;IF(COLUMN(O52)&lt;=26,CHAR(COLUMN(O52)+64),CHAR(INT((COLUMN(O52)-1)/26)+64)&amp;CHAR(MOD(COLUMN(O52)-1,26)+65))&amp;$R35&amp;""),"")</f>
        <v/>
      </c>
    </row>
    <row r="36" spans="1:28" s="74" customFormat="1" ht="19.2" customHeight="1">
      <c r="R36" s="74" t="str">
        <f t="array" ref="R36">IFERROR(SMALL(IF(P$1:P$228&lt;&gt;0,P$1:P$228),ROW(#REF!)),"")</f>
        <v/>
      </c>
      <c r="S36" s="74" t="str">
        <f t="array" aca="1" ref="S36" ca="1">IF($R36&lt;&gt;"",
INDIRECT(""&amp;IF(COLUMN(C53)&lt;=26,CHAR(COLUMN(C53)+64),CHAR(INT((COLUMN(C53)-1)/26)+64)&amp;CHAR(MOD(COLUMN(C53)-1,26)+65))&amp;$R36&amp;""),"")</f>
        <v/>
      </c>
      <c r="T36" s="74" t="str">
        <f t="array" aca="1" ref="T36" ca="1">IF($R36&lt;&gt;"",
INDIRECT(""&amp;IF(COLUMN(D53)&lt;=26,CHAR(COLUMN(D53)+64),CHAR(INT((COLUMN(D53)-1)/26)+64)&amp;CHAR(MOD(COLUMN(D53)-1,26)+65))&amp;$R36&amp;""),"")</f>
        <v/>
      </c>
      <c r="U36" s="74" t="str">
        <f t="array" aca="1" ref="U36" ca="1">IF($R36&lt;&gt;"",
INDIRECT(""&amp;IF(COLUMN(E53)&lt;=26,CHAR(COLUMN(E53)+64),CHAR(INT((COLUMN(E53)-1)/26)+64)&amp;CHAR(MOD(COLUMN(E53)-1,26)+65))&amp;$R36&amp;""),"")</f>
        <v/>
      </c>
      <c r="V36" s="74" t="str">
        <f t="array" aca="1" ref="V36" ca="1">IF($R36&lt;&gt;"",
IF(U36="",
IF(INDIRECT("EY"&amp;$R36&amp;"")&lt;&gt;"",
INDIRECT("EY"&amp;$R36&amp;"")&amp;"箱"
&amp;INDIRECT("EZ"&amp;$R36&amp;""),""),""),"")</f>
        <v/>
      </c>
      <c r="W36" s="74" t="str">
        <f t="array" aca="1" ref="W36" ca="1">IF($R36&lt;&gt;"",
INDIRECT(""&amp;IF(COLUMN(H53)&lt;=26,CHAR(COLUMN(H53)+64),CHAR(INT((COLUMN(H53)-1)/26)+64)&amp;CHAR(MOD(COLUMN(H53)-1,26)+65))&amp;$R36&amp;""),"")</f>
        <v/>
      </c>
      <c r="X36" s="74" t="str">
        <f t="array" aca="1" ref="X36" ca="1">IF($R36&lt;&gt;"",
INDIRECT(""&amp;IF(COLUMN(I53)&lt;=26,CHAR(COLUMN(I53)+64),CHAR(INT((COLUMN(I53)-1)/26)+64)&amp;CHAR(MOD(COLUMN(I53)-1,26)+65))&amp;$R36&amp;""),"")</f>
        <v/>
      </c>
      <c r="Y36" s="74" t="str">
        <f t="array" aca="1" ref="Y36" ca="1">IF($R36&lt;&gt;"",
INDIRECT(""&amp;IF(COLUMN(J53)&lt;=26,CHAR(COLUMN(J53)+64),CHAR(INT((COLUMN(J53)-1)/26)+64)&amp;CHAR(MOD(COLUMN(J53)-1,26)+65))&amp;$R36&amp;""),"")</f>
        <v/>
      </c>
      <c r="Z36" s="74" t="str">
        <f t="array" aca="1" ref="Z36" ca="1">IF($R36&lt;&gt;"",
INDIRECT(""&amp;IF(COLUMN(K53)&lt;=26,CHAR(COLUMN(K53)+64),CHAR(INT((COLUMN(K53)-1)/26)+64)&amp;CHAR(MOD(COLUMN(K53)-1,26)+65))&amp;$R36&amp;""),"")</f>
        <v/>
      </c>
      <c r="AA36" s="74" t="str">
        <f t="array" aca="1" ref="AA36" ca="1">IF($R36&lt;&gt;"",
INDIRECT(""&amp;IF(COLUMN(L53)&lt;=26,CHAR(COLUMN(L53)+64),CHAR(INT((COLUMN(L53)-1)/26)+64)&amp;CHAR(MOD(COLUMN(L53)-1,26)+65))&amp;$R36&amp;""),"")</f>
        <v/>
      </c>
      <c r="AB36" s="74" t="str">
        <f t="array" aca="1" ref="AB36" ca="1">IF($R36&lt;&gt;"",
INDIRECT(""&amp;IF(COLUMN(O53)&lt;=26,CHAR(COLUMN(O53)+64),CHAR(INT((COLUMN(O53)-1)/26)+64)&amp;CHAR(MOD(COLUMN(O53)-1,26)+65))&amp;$R36&amp;""),"")</f>
        <v/>
      </c>
    </row>
    <row r="37" spans="1:28" s="74" customFormat="1" ht="19.2" customHeight="1">
      <c r="A37" s="223"/>
      <c r="F37" s="221"/>
      <c r="G37" s="221"/>
      <c r="R37" s="74" t="str">
        <f t="array" ref="R37">IFERROR(SMALL(IF(P$1:P$228&lt;&gt;0,P$1:P$228),ROW(#REF!)),"")</f>
        <v/>
      </c>
      <c r="S37" s="74" t="str">
        <f t="array" aca="1" ref="S37" ca="1">IF($R37&lt;&gt;"",
INDIRECT(""&amp;IF(COLUMN(C55)&lt;=26,CHAR(COLUMN(C55)+64),CHAR(INT((COLUMN(C55)-1)/26)+64)&amp;CHAR(MOD(COLUMN(C55)-1,26)+65))&amp;$R37&amp;""),"")</f>
        <v/>
      </c>
      <c r="T37" s="74" t="str">
        <f t="array" aca="1" ref="T37" ca="1">IF($R37&lt;&gt;"",
INDIRECT(""&amp;IF(COLUMN(D55)&lt;=26,CHAR(COLUMN(D55)+64),CHAR(INT((COLUMN(D55)-1)/26)+64)&amp;CHAR(MOD(COLUMN(D55)-1,26)+65))&amp;$R37&amp;""),"")</f>
        <v/>
      </c>
      <c r="U37" s="74" t="str">
        <f t="array" aca="1" ref="U37" ca="1">IF($R37&lt;&gt;"",
INDIRECT(""&amp;IF(COLUMN(E55)&lt;=26,CHAR(COLUMN(E55)+64),CHAR(INT((COLUMN(E55)-1)/26)+64)&amp;CHAR(MOD(COLUMN(E55)-1,26)+65))&amp;$R37&amp;""),"")</f>
        <v/>
      </c>
      <c r="V37" s="74" t="str">
        <f t="array" aca="1" ref="V37" ca="1">IF($R37&lt;&gt;"",
IF(U37="",
IF(INDIRECT("EY"&amp;$R37&amp;"")&lt;&gt;"",
INDIRECT("EY"&amp;$R37&amp;"")&amp;"箱"
&amp;INDIRECT("EZ"&amp;$R37&amp;""),""),""),"")</f>
        <v/>
      </c>
      <c r="W37" s="74" t="str">
        <f t="array" aca="1" ref="W37" ca="1">IF($R37&lt;&gt;"",
INDIRECT(""&amp;IF(COLUMN(H55)&lt;=26,CHAR(COLUMN(H55)+64),CHAR(INT((COLUMN(H55)-1)/26)+64)&amp;CHAR(MOD(COLUMN(H55)-1,26)+65))&amp;$R37&amp;""),"")</f>
        <v/>
      </c>
      <c r="X37" s="74" t="str">
        <f t="array" aca="1" ref="X37" ca="1">IF($R37&lt;&gt;"",
INDIRECT(""&amp;IF(COLUMN(I55)&lt;=26,CHAR(COLUMN(I55)+64),CHAR(INT((COLUMN(I55)-1)/26)+64)&amp;CHAR(MOD(COLUMN(I55)-1,26)+65))&amp;$R37&amp;""),"")</f>
        <v/>
      </c>
      <c r="Y37" s="74" t="str">
        <f t="array" aca="1" ref="Y37" ca="1">IF($R37&lt;&gt;"",
INDIRECT(""&amp;IF(COLUMN(J55)&lt;=26,CHAR(COLUMN(J55)+64),CHAR(INT((COLUMN(J55)-1)/26)+64)&amp;CHAR(MOD(COLUMN(J55)-1,26)+65))&amp;$R37&amp;""),"")</f>
        <v/>
      </c>
      <c r="Z37" s="74" t="str">
        <f t="array" aca="1" ref="Z37" ca="1">IF($R37&lt;&gt;"",
INDIRECT(""&amp;IF(COLUMN(K55)&lt;=26,CHAR(COLUMN(K55)+64),CHAR(INT((COLUMN(K55)-1)/26)+64)&amp;CHAR(MOD(COLUMN(K55)-1,26)+65))&amp;$R37&amp;""),"")</f>
        <v/>
      </c>
      <c r="AA37" s="74" t="str">
        <f t="array" aca="1" ref="AA37" ca="1">IF($R37&lt;&gt;"",
INDIRECT(""&amp;IF(COLUMN(L55)&lt;=26,CHAR(COLUMN(L55)+64),CHAR(INT((COLUMN(L55)-1)/26)+64)&amp;CHAR(MOD(COLUMN(L55)-1,26)+65))&amp;$R37&amp;""),"")</f>
        <v/>
      </c>
      <c r="AB37" s="74" t="str">
        <f t="array" aca="1" ref="AB37" ca="1">IF($R37&lt;&gt;"",
INDIRECT(""&amp;IF(COLUMN(O55)&lt;=26,CHAR(COLUMN(O55)+64),CHAR(INT((COLUMN(O55)-1)/26)+64)&amp;CHAR(MOD(COLUMN(O55)-1,26)+65))&amp;$R37&amp;""),"")</f>
        <v/>
      </c>
    </row>
    <row r="38" spans="1:28" s="74" customFormat="1" ht="22.2" customHeight="1">
      <c r="R38" s="74" t="str">
        <f t="array" ref="R38">IFERROR(SMALL(IF(P$1:P$228&lt;&gt;0,P$1:P$228),ROW(#REF!)),"")</f>
        <v/>
      </c>
      <c r="S38" s="74" t="str">
        <f t="array" aca="1" ref="S38" ca="1">IF($R38&lt;&gt;"",
INDIRECT(""&amp;IF(COLUMN(C56)&lt;=26,CHAR(COLUMN(C56)+64),CHAR(INT((COLUMN(C56)-1)/26)+64)&amp;CHAR(MOD(COLUMN(C56)-1,26)+65))&amp;$R38&amp;""),"")</f>
        <v/>
      </c>
      <c r="T38" s="74" t="str">
        <f t="array" aca="1" ref="T38" ca="1">IF($R38&lt;&gt;"",
INDIRECT(""&amp;IF(COLUMN(D56)&lt;=26,CHAR(COLUMN(D56)+64),CHAR(INT((COLUMN(D56)-1)/26)+64)&amp;CHAR(MOD(COLUMN(D56)-1,26)+65))&amp;$R38&amp;""),"")</f>
        <v/>
      </c>
      <c r="U38" s="74" t="str">
        <f t="array" aca="1" ref="U38" ca="1">IF($R38&lt;&gt;"",
INDIRECT(""&amp;IF(COLUMN(E56)&lt;=26,CHAR(COLUMN(E56)+64),CHAR(INT((COLUMN(E56)-1)/26)+64)&amp;CHAR(MOD(COLUMN(E56)-1,26)+65))&amp;$R38&amp;""),"")</f>
        <v/>
      </c>
      <c r="V38" s="74" t="str">
        <f t="array" aca="1" ref="V38" ca="1">IF($R38&lt;&gt;"",
IF(U38="",
IF(INDIRECT("EY"&amp;$R38&amp;"")&lt;&gt;"",
INDIRECT("EY"&amp;$R38&amp;"")&amp;"箱"
&amp;INDIRECT("EZ"&amp;$R38&amp;""),""),""),"")</f>
        <v/>
      </c>
      <c r="W38" s="74" t="str">
        <f t="array" aca="1" ref="W38" ca="1">IF($R38&lt;&gt;"",
INDIRECT(""&amp;IF(COLUMN(H56)&lt;=26,CHAR(COLUMN(H56)+64),CHAR(INT((COLUMN(H56)-1)/26)+64)&amp;CHAR(MOD(COLUMN(H56)-1,26)+65))&amp;$R38&amp;""),"")</f>
        <v/>
      </c>
      <c r="X38" s="74" t="str">
        <f t="array" aca="1" ref="X38" ca="1">IF($R38&lt;&gt;"",
INDIRECT(""&amp;IF(COLUMN(I56)&lt;=26,CHAR(COLUMN(I56)+64),CHAR(INT((COLUMN(I56)-1)/26)+64)&amp;CHAR(MOD(COLUMN(I56)-1,26)+65))&amp;$R38&amp;""),"")</f>
        <v/>
      </c>
      <c r="Y38" s="74" t="str">
        <f t="array" aca="1" ref="Y38" ca="1">IF($R38&lt;&gt;"",
INDIRECT(""&amp;IF(COLUMN(J56)&lt;=26,CHAR(COLUMN(J56)+64),CHAR(INT((COLUMN(J56)-1)/26)+64)&amp;CHAR(MOD(COLUMN(J56)-1,26)+65))&amp;$R38&amp;""),"")</f>
        <v/>
      </c>
      <c r="Z38" s="74" t="str">
        <f t="array" aca="1" ref="Z38" ca="1">IF($R38&lt;&gt;"",
INDIRECT(""&amp;IF(COLUMN(K56)&lt;=26,CHAR(COLUMN(K56)+64),CHAR(INT((COLUMN(K56)-1)/26)+64)&amp;CHAR(MOD(COLUMN(K56)-1,26)+65))&amp;$R38&amp;""),"")</f>
        <v/>
      </c>
      <c r="AA38" s="74" t="str">
        <f t="array" aca="1" ref="AA38" ca="1">IF($R38&lt;&gt;"",
INDIRECT(""&amp;IF(COLUMN(L56)&lt;=26,CHAR(COLUMN(L56)+64),CHAR(INT((COLUMN(L56)-1)/26)+64)&amp;CHAR(MOD(COLUMN(L56)-1,26)+65))&amp;$R38&amp;""),"")</f>
        <v/>
      </c>
      <c r="AB38" s="74" t="str">
        <f t="array" aca="1" ref="AB38" ca="1">IF($R38&lt;&gt;"",
INDIRECT(""&amp;IF(COLUMN(O56)&lt;=26,CHAR(COLUMN(O56)+64),CHAR(INT((COLUMN(O56)-1)/26)+64)&amp;CHAR(MOD(COLUMN(O56)-1,26)+65))&amp;$R38&amp;""),"")</f>
        <v/>
      </c>
    </row>
    <row r="39" spans="1:28" ht="18" customHeight="1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 t="str">
        <f t="array" ref="R39">IFERROR(SMALL(IF(P$1:P$228&lt;&gt;0,P$1:P$228),ROW(#REF!)),"")</f>
        <v/>
      </c>
      <c r="S39" s="74" t="str">
        <f t="array" aca="1" ref="S39" ca="1">IF($R39&lt;&gt;"",
INDIRECT(""&amp;IF(COLUMN(C58)&lt;=26,CHAR(COLUMN(C58)+64),CHAR(INT((COLUMN(C58)-1)/26)+64)&amp;CHAR(MOD(COLUMN(C58)-1,26)+65))&amp;$R39&amp;""),"")</f>
        <v/>
      </c>
      <c r="T39" s="74" t="str">
        <f t="array" aca="1" ref="T39" ca="1">IF($R39&lt;&gt;"",
INDIRECT(""&amp;IF(COLUMN(D58)&lt;=26,CHAR(COLUMN(D58)+64),CHAR(INT((COLUMN(D58)-1)/26)+64)&amp;CHAR(MOD(COLUMN(D58)-1,26)+65))&amp;$R39&amp;""),"")</f>
        <v/>
      </c>
      <c r="U39" s="74" t="str">
        <f t="array" aca="1" ref="U39" ca="1">IF($R39&lt;&gt;"",
INDIRECT(""&amp;IF(COLUMN(E58)&lt;=26,CHAR(COLUMN(E58)+64),CHAR(INT((COLUMN(E58)-1)/26)+64)&amp;CHAR(MOD(COLUMN(E58)-1,26)+65))&amp;$R39&amp;""),"")</f>
        <v/>
      </c>
      <c r="V39" s="74" t="str">
        <f t="array" aca="1" ref="V39" ca="1">IF($R39&lt;&gt;"",
IF(U39="",
IF(INDIRECT("EY"&amp;$R39&amp;"")&lt;&gt;"",
INDIRECT("EY"&amp;$R39&amp;"")&amp;"箱"
&amp;INDIRECT("EZ"&amp;$R39&amp;""),""),""),"")</f>
        <v/>
      </c>
      <c r="W39" s="74" t="str">
        <f t="array" aca="1" ref="W39" ca="1">IF($R39&lt;&gt;"",
INDIRECT(""&amp;IF(COLUMN(H58)&lt;=26,CHAR(COLUMN(H58)+64),CHAR(INT((COLUMN(H58)-1)/26)+64)&amp;CHAR(MOD(COLUMN(H58)-1,26)+65))&amp;$R39&amp;""),"")</f>
        <v/>
      </c>
      <c r="X39" s="74" t="str">
        <f t="array" aca="1" ref="X39" ca="1">IF($R39&lt;&gt;"",
INDIRECT(""&amp;IF(COLUMN(I58)&lt;=26,CHAR(COLUMN(I58)+64),CHAR(INT((COLUMN(I58)-1)/26)+64)&amp;CHAR(MOD(COLUMN(I58)-1,26)+65))&amp;$R39&amp;""),"")</f>
        <v/>
      </c>
      <c r="Y39" s="74" t="str">
        <f t="array" aca="1" ref="Y39" ca="1">IF($R39&lt;&gt;"",
INDIRECT(""&amp;IF(COLUMN(J58)&lt;=26,CHAR(COLUMN(J58)+64),CHAR(INT((COLUMN(J58)-1)/26)+64)&amp;CHAR(MOD(COLUMN(J58)-1,26)+65))&amp;$R39&amp;""),"")</f>
        <v/>
      </c>
      <c r="Z39" s="74" t="str">
        <f t="array" aca="1" ref="Z39" ca="1">IF($R39&lt;&gt;"",
INDIRECT(""&amp;IF(COLUMN(K58)&lt;=26,CHAR(COLUMN(K58)+64),CHAR(INT((COLUMN(K58)-1)/26)+64)&amp;CHAR(MOD(COLUMN(K58)-1,26)+65))&amp;$R39&amp;""),"")</f>
        <v/>
      </c>
      <c r="AA39" s="74" t="str">
        <f t="array" aca="1" ref="AA39" ca="1">IF($R39&lt;&gt;"",
INDIRECT(""&amp;IF(COLUMN(L58)&lt;=26,CHAR(COLUMN(L58)+64),CHAR(INT((COLUMN(L58)-1)/26)+64)&amp;CHAR(MOD(COLUMN(L58)-1,26)+65))&amp;$R39&amp;""),"")</f>
        <v/>
      </c>
      <c r="AB39" s="74" t="str">
        <f t="array" aca="1" ref="AB39" ca="1">IF($R39&lt;&gt;"",
INDIRECT(""&amp;IF(COLUMN(O58)&lt;=26,CHAR(COLUMN(O58)+64),CHAR(INT((COLUMN(O58)-1)/26)+64)&amp;CHAR(MOD(COLUMN(O58)-1,26)+65))&amp;$R39&amp;""),"")</f>
        <v/>
      </c>
    </row>
    <row r="40" spans="1:28" ht="18" customHeight="1">
      <c r="A40" s="74"/>
      <c r="B40" s="74"/>
      <c r="C40" s="74"/>
      <c r="D40" s="74"/>
      <c r="E40" s="74"/>
      <c r="F40" s="221"/>
      <c r="G40" s="221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 t="str">
        <f t="array" ref="R40">IFERROR(SMALL(IF(P$1:P$228&lt;&gt;0,P$1:P$228),ROW(#REF!)),"")</f>
        <v/>
      </c>
      <c r="S40" s="74" t="str">
        <f t="array" aca="1" ref="S40" ca="1">IF($R40&lt;&gt;"",
INDIRECT(""&amp;IF(COLUMN(C59)&lt;=26,CHAR(COLUMN(C59)+64),CHAR(INT((COLUMN(C59)-1)/26)+64)&amp;CHAR(MOD(COLUMN(C59)-1,26)+65))&amp;$R40&amp;""),"")</f>
        <v/>
      </c>
      <c r="T40" s="74" t="str">
        <f t="array" aca="1" ref="T40" ca="1">IF($R40&lt;&gt;"",
INDIRECT(""&amp;IF(COLUMN(D59)&lt;=26,CHAR(COLUMN(D59)+64),CHAR(INT((COLUMN(D59)-1)/26)+64)&amp;CHAR(MOD(COLUMN(D59)-1,26)+65))&amp;$R40&amp;""),"")</f>
        <v/>
      </c>
      <c r="U40" s="74" t="str">
        <f t="array" aca="1" ref="U40" ca="1">IF($R40&lt;&gt;"",
INDIRECT(""&amp;IF(COLUMN(E59)&lt;=26,CHAR(COLUMN(E59)+64),CHAR(INT((COLUMN(E59)-1)/26)+64)&amp;CHAR(MOD(COLUMN(E59)-1,26)+65))&amp;$R40&amp;""),"")</f>
        <v/>
      </c>
      <c r="V40" s="74" t="str">
        <f t="array" aca="1" ref="V40" ca="1">IF($R40&lt;&gt;"",
IF(U40="",
IF(INDIRECT("EY"&amp;$R40&amp;"")&lt;&gt;"",
INDIRECT("EY"&amp;$R40&amp;"")&amp;"箱"
&amp;INDIRECT("EZ"&amp;$R40&amp;""),""),""),"")</f>
        <v/>
      </c>
      <c r="W40" s="74" t="str">
        <f t="array" aca="1" ref="W40" ca="1">IF($R40&lt;&gt;"",
INDIRECT(""&amp;IF(COLUMN(H59)&lt;=26,CHAR(COLUMN(H59)+64),CHAR(INT((COLUMN(H59)-1)/26)+64)&amp;CHAR(MOD(COLUMN(H59)-1,26)+65))&amp;$R40&amp;""),"")</f>
        <v/>
      </c>
      <c r="X40" s="74" t="str">
        <f t="array" aca="1" ref="X40" ca="1">IF($R40&lt;&gt;"",
INDIRECT(""&amp;IF(COLUMN(I59)&lt;=26,CHAR(COLUMN(I59)+64),CHAR(INT((COLUMN(I59)-1)/26)+64)&amp;CHAR(MOD(COLUMN(I59)-1,26)+65))&amp;$R40&amp;""),"")</f>
        <v/>
      </c>
      <c r="Y40" s="74" t="str">
        <f t="array" aca="1" ref="Y40" ca="1">IF($R40&lt;&gt;"",
INDIRECT(""&amp;IF(COLUMN(J59)&lt;=26,CHAR(COLUMN(J59)+64),CHAR(INT((COLUMN(J59)-1)/26)+64)&amp;CHAR(MOD(COLUMN(J59)-1,26)+65))&amp;$R40&amp;""),"")</f>
        <v/>
      </c>
      <c r="Z40" s="74" t="str">
        <f t="array" aca="1" ref="Z40" ca="1">IF($R40&lt;&gt;"",
INDIRECT(""&amp;IF(COLUMN(K59)&lt;=26,CHAR(COLUMN(K59)+64),CHAR(INT((COLUMN(K59)-1)/26)+64)&amp;CHAR(MOD(COLUMN(K59)-1,26)+65))&amp;$R40&amp;""),"")</f>
        <v/>
      </c>
      <c r="AA40" s="74" t="str">
        <f t="array" aca="1" ref="AA40" ca="1">IF($R40&lt;&gt;"",
INDIRECT(""&amp;IF(COLUMN(L59)&lt;=26,CHAR(COLUMN(L59)+64),CHAR(INT((COLUMN(L59)-1)/26)+64)&amp;CHAR(MOD(COLUMN(L59)-1,26)+65))&amp;$R40&amp;""),"")</f>
        <v/>
      </c>
      <c r="AB40" s="74" t="str">
        <f t="array" aca="1" ref="AB40" ca="1">IF($R40&lt;&gt;"",
INDIRECT(""&amp;IF(COLUMN(O59)&lt;=26,CHAR(COLUMN(O59)+64),CHAR(INT((COLUMN(O59)-1)/26)+64)&amp;CHAR(MOD(COLUMN(O59)-1,26)+65))&amp;$R40&amp;""),"")</f>
        <v/>
      </c>
    </row>
    <row r="41" spans="1:28" s="74" customFormat="1" ht="22.2" customHeight="1">
      <c r="R41" s="74" t="str">
        <f t="array" ref="R41">IFERROR(SMALL(IF(P$1:P$228&lt;&gt;0,P$1:P$228),ROW(#REF!)),"")</f>
        <v/>
      </c>
      <c r="S41" s="74" t="str">
        <f t="array" aca="1" ref="S41" ca="1">IF($R41&lt;&gt;"",
INDIRECT(""&amp;IF(COLUMN(C61)&lt;=26,CHAR(COLUMN(C61)+64),CHAR(INT((COLUMN(C61)-1)/26)+64)&amp;CHAR(MOD(COLUMN(C61)-1,26)+65))&amp;$R41&amp;""),"")</f>
        <v/>
      </c>
      <c r="T41" s="74" t="str">
        <f t="array" aca="1" ref="T41" ca="1">IF($R41&lt;&gt;"",
INDIRECT(""&amp;IF(COLUMN(D61)&lt;=26,CHAR(COLUMN(D61)+64),CHAR(INT((COLUMN(D61)-1)/26)+64)&amp;CHAR(MOD(COLUMN(D61)-1,26)+65))&amp;$R41&amp;""),"")</f>
        <v/>
      </c>
      <c r="U41" s="74" t="str">
        <f t="array" aca="1" ref="U41" ca="1">IF($R41&lt;&gt;"",
INDIRECT(""&amp;IF(COLUMN(E61)&lt;=26,CHAR(COLUMN(E61)+64),CHAR(INT((COLUMN(E61)-1)/26)+64)&amp;CHAR(MOD(COLUMN(E61)-1,26)+65))&amp;$R41&amp;""),"")</f>
        <v/>
      </c>
      <c r="V41" s="74" t="str">
        <f t="array" aca="1" ref="V41" ca="1">IF($R41&lt;&gt;"",
IF(U41="",
IF(INDIRECT("EY"&amp;$R41&amp;"")&lt;&gt;"",
INDIRECT("EY"&amp;$R41&amp;"")&amp;"箱"
&amp;INDIRECT("EZ"&amp;$R41&amp;""),""),""),"")</f>
        <v/>
      </c>
      <c r="W41" s="74" t="str">
        <f t="array" aca="1" ref="W41" ca="1">IF($R41&lt;&gt;"",
INDIRECT(""&amp;IF(COLUMN(H61)&lt;=26,CHAR(COLUMN(H61)+64),CHAR(INT((COLUMN(H61)-1)/26)+64)&amp;CHAR(MOD(COLUMN(H61)-1,26)+65))&amp;$R41&amp;""),"")</f>
        <v/>
      </c>
      <c r="X41" s="74" t="str">
        <f t="array" aca="1" ref="X41" ca="1">IF($R41&lt;&gt;"",
INDIRECT(""&amp;IF(COLUMN(I61)&lt;=26,CHAR(COLUMN(I61)+64),CHAR(INT((COLUMN(I61)-1)/26)+64)&amp;CHAR(MOD(COLUMN(I61)-1,26)+65))&amp;$R41&amp;""),"")</f>
        <v/>
      </c>
      <c r="Y41" s="74" t="str">
        <f t="array" aca="1" ref="Y41" ca="1">IF($R41&lt;&gt;"",
INDIRECT(""&amp;IF(COLUMN(J61)&lt;=26,CHAR(COLUMN(J61)+64),CHAR(INT((COLUMN(J61)-1)/26)+64)&amp;CHAR(MOD(COLUMN(J61)-1,26)+65))&amp;$R41&amp;""),"")</f>
        <v/>
      </c>
      <c r="Z41" s="74" t="str">
        <f t="array" aca="1" ref="Z41" ca="1">IF($R41&lt;&gt;"",
INDIRECT(""&amp;IF(COLUMN(K61)&lt;=26,CHAR(COLUMN(K61)+64),CHAR(INT((COLUMN(K61)-1)/26)+64)&amp;CHAR(MOD(COLUMN(K61)-1,26)+65))&amp;$R41&amp;""),"")</f>
        <v/>
      </c>
      <c r="AA41" s="74" t="str">
        <f t="array" aca="1" ref="AA41" ca="1">IF($R41&lt;&gt;"",
INDIRECT(""&amp;IF(COLUMN(L61)&lt;=26,CHAR(COLUMN(L61)+64),CHAR(INT((COLUMN(L61)-1)/26)+64)&amp;CHAR(MOD(COLUMN(L61)-1,26)+65))&amp;$R41&amp;""),"")</f>
        <v/>
      </c>
      <c r="AB41" s="74" t="str">
        <f t="array" aca="1" ref="AB41" ca="1">IF($R41&lt;&gt;"",
INDIRECT(""&amp;IF(COLUMN(O61)&lt;=26,CHAR(COLUMN(O61)+64),CHAR(INT((COLUMN(O61)-1)/26)+64)&amp;CHAR(MOD(COLUMN(O61)-1,26)+65))&amp;$R41&amp;""),"")</f>
        <v/>
      </c>
    </row>
    <row r="42" spans="1:28" ht="21" customHeight="1">
      <c r="A42" s="22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 t="str">
        <f t="array" ref="R42">IFERROR(SMALL(IF(P$1:P$228&lt;&gt;0,P$1:P$228),ROW(#REF!)),"")</f>
        <v/>
      </c>
      <c r="S42" s="74" t="str">
        <f t="array" aca="1" ref="S42" ca="1">IF($R42&lt;&gt;"",
INDIRECT(""&amp;IF(COLUMN(C62)&lt;=26,CHAR(COLUMN(C62)+64),CHAR(INT((COLUMN(C62)-1)/26)+64)&amp;CHAR(MOD(COLUMN(C62)-1,26)+65))&amp;$R42&amp;""),"")</f>
        <v/>
      </c>
      <c r="T42" s="74" t="str">
        <f t="array" aca="1" ref="T42" ca="1">IF($R42&lt;&gt;"",
INDIRECT(""&amp;IF(COLUMN(D62)&lt;=26,CHAR(COLUMN(D62)+64),CHAR(INT((COLUMN(D62)-1)/26)+64)&amp;CHAR(MOD(COLUMN(D62)-1,26)+65))&amp;$R42&amp;""),"")</f>
        <v/>
      </c>
      <c r="U42" s="74" t="str">
        <f t="array" aca="1" ref="U42" ca="1">IF($R42&lt;&gt;"",
INDIRECT(""&amp;IF(COLUMN(E62)&lt;=26,CHAR(COLUMN(E62)+64),CHAR(INT((COLUMN(E62)-1)/26)+64)&amp;CHAR(MOD(COLUMN(E62)-1,26)+65))&amp;$R42&amp;""),"")</f>
        <v/>
      </c>
      <c r="V42" s="74" t="str">
        <f t="array" aca="1" ref="V42" ca="1">IF($R42&lt;&gt;"",
IF(U42="",
IF(INDIRECT("EY"&amp;$R42&amp;"")&lt;&gt;"",
INDIRECT("EY"&amp;$R42&amp;"")&amp;"箱"
&amp;INDIRECT("EZ"&amp;$R42&amp;""),""),""),"")</f>
        <v/>
      </c>
      <c r="W42" s="74" t="str">
        <f t="array" aca="1" ref="W42" ca="1">IF($R42&lt;&gt;"",
INDIRECT(""&amp;IF(COLUMN(H62)&lt;=26,CHAR(COLUMN(H62)+64),CHAR(INT((COLUMN(H62)-1)/26)+64)&amp;CHAR(MOD(COLUMN(H62)-1,26)+65))&amp;$R42&amp;""),"")</f>
        <v/>
      </c>
      <c r="X42" s="74" t="str">
        <f t="array" aca="1" ref="X42" ca="1">IF($R42&lt;&gt;"",
INDIRECT(""&amp;IF(COLUMN(I62)&lt;=26,CHAR(COLUMN(I62)+64),CHAR(INT((COLUMN(I62)-1)/26)+64)&amp;CHAR(MOD(COLUMN(I62)-1,26)+65))&amp;$R42&amp;""),"")</f>
        <v/>
      </c>
      <c r="Y42" s="74" t="str">
        <f t="array" aca="1" ref="Y42" ca="1">IF($R42&lt;&gt;"",
INDIRECT(""&amp;IF(COLUMN(J62)&lt;=26,CHAR(COLUMN(J62)+64),CHAR(INT((COLUMN(J62)-1)/26)+64)&amp;CHAR(MOD(COLUMN(J62)-1,26)+65))&amp;$R42&amp;""),"")</f>
        <v/>
      </c>
      <c r="Z42" s="74" t="str">
        <f t="array" aca="1" ref="Z42" ca="1">IF($R42&lt;&gt;"",
INDIRECT(""&amp;IF(COLUMN(K62)&lt;=26,CHAR(COLUMN(K62)+64),CHAR(INT((COLUMN(K62)-1)/26)+64)&amp;CHAR(MOD(COLUMN(K62)-1,26)+65))&amp;$R42&amp;""),"")</f>
        <v/>
      </c>
      <c r="AA42" s="74" t="str">
        <f t="array" aca="1" ref="AA42" ca="1">IF($R42&lt;&gt;"",
INDIRECT(""&amp;IF(COLUMN(L62)&lt;=26,CHAR(COLUMN(L62)+64),CHAR(INT((COLUMN(L62)-1)/26)+64)&amp;CHAR(MOD(COLUMN(L62)-1,26)+65))&amp;$R42&amp;""),"")</f>
        <v/>
      </c>
      <c r="AB42" s="74" t="str">
        <f t="array" aca="1" ref="AB42" ca="1">IF($R42&lt;&gt;"",
INDIRECT(""&amp;IF(COLUMN(O62)&lt;=26,CHAR(COLUMN(O62)+64),CHAR(INT((COLUMN(O62)-1)/26)+64)&amp;CHAR(MOD(COLUMN(O62)-1,26)+65))&amp;$R42&amp;""),"")</f>
        <v/>
      </c>
    </row>
    <row r="43" spans="1:28" s="74" customFormat="1" ht="18" customHeight="1">
      <c r="B43" s="78"/>
      <c r="R43" s="74" t="str">
        <f t="array" ref="R43">IFERROR(SMALL(IF(P$1:P$228&lt;&gt;0,P$1:P$228),ROW(#REF!)),"")</f>
        <v/>
      </c>
      <c r="S43" s="74" t="str">
        <f t="array" aca="1" ref="S43" ca="1">IF($R43&lt;&gt;"",
INDIRECT(""&amp;IF(COLUMN(C64)&lt;=26,CHAR(COLUMN(C64)+64),CHAR(INT((COLUMN(C64)-1)/26)+64)&amp;CHAR(MOD(COLUMN(C64)-1,26)+65))&amp;$R43&amp;""),"")</f>
        <v/>
      </c>
      <c r="T43" s="74" t="str">
        <f t="array" aca="1" ref="T43" ca="1">IF($R43&lt;&gt;"",
INDIRECT(""&amp;IF(COLUMN(D64)&lt;=26,CHAR(COLUMN(D64)+64),CHAR(INT((COLUMN(D64)-1)/26)+64)&amp;CHAR(MOD(COLUMN(D64)-1,26)+65))&amp;$R43&amp;""),"")</f>
        <v/>
      </c>
      <c r="U43" s="74" t="str">
        <f t="array" aca="1" ref="U43" ca="1">IF($R43&lt;&gt;"",
INDIRECT(""&amp;IF(COLUMN(E64)&lt;=26,CHAR(COLUMN(E64)+64),CHAR(INT((COLUMN(E64)-1)/26)+64)&amp;CHAR(MOD(COLUMN(E64)-1,26)+65))&amp;$R43&amp;""),"")</f>
        <v/>
      </c>
      <c r="V43" s="74" t="str">
        <f t="array" aca="1" ref="V43" ca="1">IF($R43&lt;&gt;"",
IF(U43="",
IF(INDIRECT("EY"&amp;$R43&amp;"")&lt;&gt;"",
INDIRECT("EY"&amp;$R43&amp;"")&amp;"箱"
&amp;INDIRECT("EZ"&amp;$R43&amp;""),""),""),"")</f>
        <v/>
      </c>
      <c r="W43" s="74" t="str">
        <f t="array" aca="1" ref="W43" ca="1">IF($R43&lt;&gt;"",
INDIRECT(""&amp;IF(COLUMN(H64)&lt;=26,CHAR(COLUMN(H64)+64),CHAR(INT((COLUMN(H64)-1)/26)+64)&amp;CHAR(MOD(COLUMN(H64)-1,26)+65))&amp;$R43&amp;""),"")</f>
        <v/>
      </c>
      <c r="X43" s="74" t="str">
        <f t="array" aca="1" ref="X43" ca="1">IF($R43&lt;&gt;"",
INDIRECT(""&amp;IF(COLUMN(I64)&lt;=26,CHAR(COLUMN(I64)+64),CHAR(INT((COLUMN(I64)-1)/26)+64)&amp;CHAR(MOD(COLUMN(I64)-1,26)+65))&amp;$R43&amp;""),"")</f>
        <v/>
      </c>
      <c r="Y43" s="74" t="str">
        <f t="array" aca="1" ref="Y43" ca="1">IF($R43&lt;&gt;"",
INDIRECT(""&amp;IF(COLUMN(J64)&lt;=26,CHAR(COLUMN(J64)+64),CHAR(INT((COLUMN(J64)-1)/26)+64)&amp;CHAR(MOD(COLUMN(J64)-1,26)+65))&amp;$R43&amp;""),"")</f>
        <v/>
      </c>
      <c r="Z43" s="74" t="str">
        <f t="array" aca="1" ref="Z43" ca="1">IF($R43&lt;&gt;"",
INDIRECT(""&amp;IF(COLUMN(K64)&lt;=26,CHAR(COLUMN(K64)+64),CHAR(INT((COLUMN(K64)-1)/26)+64)&amp;CHAR(MOD(COLUMN(K64)-1,26)+65))&amp;$R43&amp;""),"")</f>
        <v/>
      </c>
      <c r="AA43" s="74" t="str">
        <f t="array" aca="1" ref="AA43" ca="1">IF($R43&lt;&gt;"",
INDIRECT(""&amp;IF(COLUMN(L64)&lt;=26,CHAR(COLUMN(L64)+64),CHAR(INT((COLUMN(L64)-1)/26)+64)&amp;CHAR(MOD(COLUMN(L64)-1,26)+65))&amp;$R43&amp;""),"")</f>
        <v/>
      </c>
      <c r="AB43" s="74" t="str">
        <f t="array" aca="1" ref="AB43" ca="1">IF($R43&lt;&gt;"",
INDIRECT(""&amp;IF(COLUMN(O64)&lt;=26,CHAR(COLUMN(O64)+64),CHAR(INT((COLUMN(O64)-1)/26)+64)&amp;CHAR(MOD(COLUMN(O64)-1,26)+65))&amp;$R43&amp;""),"")</f>
        <v/>
      </c>
    </row>
    <row r="44" spans="1:28" s="74" customFormat="1" ht="18" customHeight="1">
      <c r="A44" s="223"/>
      <c r="R44" s="74" t="str">
        <f t="array" ref="R44">IFERROR(SMALL(IF(P$1:P$228&lt;&gt;0,P$1:P$228),ROW(#REF!)),"")</f>
        <v/>
      </c>
      <c r="S44" s="74" t="str">
        <f t="array" aca="1" ref="S44" ca="1">IF($R44&lt;&gt;"",
INDIRECT(""&amp;IF(COLUMN(C65)&lt;=26,CHAR(COLUMN(C65)+64),CHAR(INT((COLUMN(C65)-1)/26)+64)&amp;CHAR(MOD(COLUMN(C65)-1,26)+65))&amp;$R44&amp;""),"")</f>
        <v/>
      </c>
      <c r="T44" s="74" t="str">
        <f t="array" aca="1" ref="T44" ca="1">IF($R44&lt;&gt;"",
INDIRECT(""&amp;IF(COLUMN(D65)&lt;=26,CHAR(COLUMN(D65)+64),CHAR(INT((COLUMN(D65)-1)/26)+64)&amp;CHAR(MOD(COLUMN(D65)-1,26)+65))&amp;$R44&amp;""),"")</f>
        <v/>
      </c>
      <c r="U44" s="74" t="str">
        <f t="array" aca="1" ref="U44" ca="1">IF($R44&lt;&gt;"",
INDIRECT(""&amp;IF(COLUMN(E65)&lt;=26,CHAR(COLUMN(E65)+64),CHAR(INT((COLUMN(E65)-1)/26)+64)&amp;CHAR(MOD(COLUMN(E65)-1,26)+65))&amp;$R44&amp;""),"")</f>
        <v/>
      </c>
      <c r="V44" s="74" t="str">
        <f t="array" aca="1" ref="V44" ca="1">IF($R44&lt;&gt;"",
IF(U44="",
IF(INDIRECT("EY"&amp;$R44&amp;"")&lt;&gt;"",
INDIRECT("EY"&amp;$R44&amp;"")&amp;"箱"
&amp;INDIRECT("EZ"&amp;$R44&amp;""),""),""),"")</f>
        <v/>
      </c>
      <c r="W44" s="74" t="str">
        <f t="array" aca="1" ref="W44" ca="1">IF($R44&lt;&gt;"",
INDIRECT(""&amp;IF(COLUMN(H65)&lt;=26,CHAR(COLUMN(H65)+64),CHAR(INT((COLUMN(H65)-1)/26)+64)&amp;CHAR(MOD(COLUMN(H65)-1,26)+65))&amp;$R44&amp;""),"")</f>
        <v/>
      </c>
      <c r="X44" s="74" t="str">
        <f t="array" aca="1" ref="X44" ca="1">IF($R44&lt;&gt;"",
INDIRECT(""&amp;IF(COLUMN(I65)&lt;=26,CHAR(COLUMN(I65)+64),CHAR(INT((COLUMN(I65)-1)/26)+64)&amp;CHAR(MOD(COLUMN(I65)-1,26)+65))&amp;$R44&amp;""),"")</f>
        <v/>
      </c>
      <c r="Y44" s="74" t="str">
        <f t="array" aca="1" ref="Y44" ca="1">IF($R44&lt;&gt;"",
INDIRECT(""&amp;IF(COLUMN(J65)&lt;=26,CHAR(COLUMN(J65)+64),CHAR(INT((COLUMN(J65)-1)/26)+64)&amp;CHAR(MOD(COLUMN(J65)-1,26)+65))&amp;$R44&amp;""),"")</f>
        <v/>
      </c>
      <c r="Z44" s="74" t="str">
        <f t="array" aca="1" ref="Z44" ca="1">IF($R44&lt;&gt;"",
INDIRECT(""&amp;IF(COLUMN(K65)&lt;=26,CHAR(COLUMN(K65)+64),CHAR(INT((COLUMN(K65)-1)/26)+64)&amp;CHAR(MOD(COLUMN(K65)-1,26)+65))&amp;$R44&amp;""),"")</f>
        <v/>
      </c>
      <c r="AA44" s="74" t="str">
        <f t="array" aca="1" ref="AA44" ca="1">IF($R44&lt;&gt;"",
INDIRECT(""&amp;IF(COLUMN(L65)&lt;=26,CHAR(COLUMN(L65)+64),CHAR(INT((COLUMN(L65)-1)/26)+64)&amp;CHAR(MOD(COLUMN(L65)-1,26)+65))&amp;$R44&amp;""),"")</f>
        <v/>
      </c>
      <c r="AB44" s="74" t="str">
        <f t="array" aca="1" ref="AB44" ca="1">IF($R44&lt;&gt;"",
INDIRECT(""&amp;IF(COLUMN(O65)&lt;=26,CHAR(COLUMN(O65)+64),CHAR(INT((COLUMN(O65)-1)/26)+64)&amp;CHAR(MOD(COLUMN(O65)-1,26)+65))&amp;$R44&amp;""),"")</f>
        <v/>
      </c>
    </row>
    <row r="45" spans="1:28" s="74" customFormat="1" ht="22.2" customHeight="1">
      <c r="R45" s="74" t="str">
        <f t="array" ref="R45">IFERROR(SMALL(IF(P$1:P$228&lt;&gt;0,P$1:P$228),ROW(#REF!)),"")</f>
        <v/>
      </c>
      <c r="S45" s="74" t="str">
        <f t="array" aca="1" ref="S45" ca="1">IF($R45&lt;&gt;"",
INDIRECT(""&amp;IF(COLUMN(C67)&lt;=26,CHAR(COLUMN(C67)+64),CHAR(INT((COLUMN(C67)-1)/26)+64)&amp;CHAR(MOD(COLUMN(C67)-1,26)+65))&amp;$R45&amp;""),"")</f>
        <v/>
      </c>
      <c r="T45" s="74" t="str">
        <f t="array" aca="1" ref="T45" ca="1">IF($R45&lt;&gt;"",
INDIRECT(""&amp;IF(COLUMN(D67)&lt;=26,CHAR(COLUMN(D67)+64),CHAR(INT((COLUMN(D67)-1)/26)+64)&amp;CHAR(MOD(COLUMN(D67)-1,26)+65))&amp;$R45&amp;""),"")</f>
        <v/>
      </c>
      <c r="U45" s="74" t="str">
        <f t="array" aca="1" ref="U45" ca="1">IF($R45&lt;&gt;"",
INDIRECT(""&amp;IF(COLUMN(E67)&lt;=26,CHAR(COLUMN(E67)+64),CHAR(INT((COLUMN(E67)-1)/26)+64)&amp;CHAR(MOD(COLUMN(E67)-1,26)+65))&amp;$R45&amp;""),"")</f>
        <v/>
      </c>
      <c r="V45" s="74" t="str">
        <f t="array" aca="1" ref="V45" ca="1">IF($R45&lt;&gt;"",
IF(U45="",
IF(INDIRECT("EY"&amp;$R45&amp;"")&lt;&gt;"",
INDIRECT("EY"&amp;$R45&amp;"")&amp;"箱"
&amp;INDIRECT("EZ"&amp;$R45&amp;""),""),""),"")</f>
        <v/>
      </c>
      <c r="W45" s="74" t="str">
        <f t="array" aca="1" ref="W45" ca="1">IF($R45&lt;&gt;"",
INDIRECT(""&amp;IF(COLUMN(H67)&lt;=26,CHAR(COLUMN(H67)+64),CHAR(INT((COLUMN(H67)-1)/26)+64)&amp;CHAR(MOD(COLUMN(H67)-1,26)+65))&amp;$R45&amp;""),"")</f>
        <v/>
      </c>
      <c r="X45" s="74" t="str">
        <f t="array" aca="1" ref="X45" ca="1">IF($R45&lt;&gt;"",
INDIRECT(""&amp;IF(COLUMN(I67)&lt;=26,CHAR(COLUMN(I67)+64),CHAR(INT((COLUMN(I67)-1)/26)+64)&amp;CHAR(MOD(COLUMN(I67)-1,26)+65))&amp;$R45&amp;""),"")</f>
        <v/>
      </c>
      <c r="Y45" s="74" t="str">
        <f t="array" aca="1" ref="Y45" ca="1">IF($R45&lt;&gt;"",
INDIRECT(""&amp;IF(COLUMN(J67)&lt;=26,CHAR(COLUMN(J67)+64),CHAR(INT((COLUMN(J67)-1)/26)+64)&amp;CHAR(MOD(COLUMN(J67)-1,26)+65))&amp;$R45&amp;""),"")</f>
        <v/>
      </c>
      <c r="Z45" s="74" t="str">
        <f t="array" aca="1" ref="Z45" ca="1">IF($R45&lt;&gt;"",
INDIRECT(""&amp;IF(COLUMN(K67)&lt;=26,CHAR(COLUMN(K67)+64),CHAR(INT((COLUMN(K67)-1)/26)+64)&amp;CHAR(MOD(COLUMN(K67)-1,26)+65))&amp;$R45&amp;""),"")</f>
        <v/>
      </c>
      <c r="AA45" s="74" t="str">
        <f t="array" aca="1" ref="AA45" ca="1">IF($R45&lt;&gt;"",
INDIRECT(""&amp;IF(COLUMN(L67)&lt;=26,CHAR(COLUMN(L67)+64),CHAR(INT((COLUMN(L67)-1)/26)+64)&amp;CHAR(MOD(COLUMN(L67)-1,26)+65))&amp;$R45&amp;""),"")</f>
        <v/>
      </c>
      <c r="AB45" s="74" t="str">
        <f t="array" aca="1" ref="AB45" ca="1">IF($R45&lt;&gt;"",
INDIRECT(""&amp;IF(COLUMN(O67)&lt;=26,CHAR(COLUMN(O67)+64),CHAR(INT((COLUMN(O67)-1)/26)+64)&amp;CHAR(MOD(COLUMN(O67)-1,26)+65))&amp;$R45&amp;""),"")</f>
        <v/>
      </c>
    </row>
    <row r="46" spans="1:28" ht="18" customHeight="1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 t="str">
        <f t="array" ref="R46">IFERROR(SMALL(IF(P$1:P$228&lt;&gt;0,P$1:P$228),ROW(#REF!)),"")</f>
        <v/>
      </c>
      <c r="S46" s="74" t="str">
        <f t="array" aca="1" ref="S46" ca="1">IF($R46&lt;&gt;"",
INDIRECT(""&amp;IF(COLUMN(C68)&lt;=26,CHAR(COLUMN(C68)+64),CHAR(INT((COLUMN(C68)-1)/26)+64)&amp;CHAR(MOD(COLUMN(C68)-1,26)+65))&amp;$R46&amp;""),"")</f>
        <v/>
      </c>
      <c r="T46" s="74" t="str">
        <f t="array" aca="1" ref="T46" ca="1">IF($R46&lt;&gt;"",
INDIRECT(""&amp;IF(COLUMN(D68)&lt;=26,CHAR(COLUMN(D68)+64),CHAR(INT((COLUMN(D68)-1)/26)+64)&amp;CHAR(MOD(COLUMN(D68)-1,26)+65))&amp;$R46&amp;""),"")</f>
        <v/>
      </c>
      <c r="U46" s="74" t="str">
        <f t="array" aca="1" ref="U46" ca="1">IF($R46&lt;&gt;"",
INDIRECT(""&amp;IF(COLUMN(E68)&lt;=26,CHAR(COLUMN(E68)+64),CHAR(INT((COLUMN(E68)-1)/26)+64)&amp;CHAR(MOD(COLUMN(E68)-1,26)+65))&amp;$R46&amp;""),"")</f>
        <v/>
      </c>
      <c r="V46" s="74" t="str">
        <f t="array" aca="1" ref="V46" ca="1">IF($R46&lt;&gt;"",
IF(U46="",
IF(INDIRECT("EY"&amp;$R46&amp;"")&lt;&gt;"",
INDIRECT("EY"&amp;$R46&amp;"")&amp;"箱"
&amp;INDIRECT("EZ"&amp;$R46&amp;""),""),""),"")</f>
        <v/>
      </c>
      <c r="W46" s="74" t="str">
        <f t="array" aca="1" ref="W46" ca="1">IF($R46&lt;&gt;"",
INDIRECT(""&amp;IF(COLUMN(H68)&lt;=26,CHAR(COLUMN(H68)+64),CHAR(INT((COLUMN(H68)-1)/26)+64)&amp;CHAR(MOD(COLUMN(H68)-1,26)+65))&amp;$R46&amp;""),"")</f>
        <v/>
      </c>
      <c r="X46" s="74" t="str">
        <f t="array" aca="1" ref="X46" ca="1">IF($R46&lt;&gt;"",
INDIRECT(""&amp;IF(COLUMN(I68)&lt;=26,CHAR(COLUMN(I68)+64),CHAR(INT((COLUMN(I68)-1)/26)+64)&amp;CHAR(MOD(COLUMN(I68)-1,26)+65))&amp;$R46&amp;""),"")</f>
        <v/>
      </c>
      <c r="Y46" s="74" t="str">
        <f t="array" aca="1" ref="Y46" ca="1">IF($R46&lt;&gt;"",
INDIRECT(""&amp;IF(COLUMN(J68)&lt;=26,CHAR(COLUMN(J68)+64),CHAR(INT((COLUMN(J68)-1)/26)+64)&amp;CHAR(MOD(COLUMN(J68)-1,26)+65))&amp;$R46&amp;""),"")</f>
        <v/>
      </c>
      <c r="Z46" s="74" t="str">
        <f t="array" aca="1" ref="Z46" ca="1">IF($R46&lt;&gt;"",
INDIRECT(""&amp;IF(COLUMN(K68)&lt;=26,CHAR(COLUMN(K68)+64),CHAR(INT((COLUMN(K68)-1)/26)+64)&amp;CHAR(MOD(COLUMN(K68)-1,26)+65))&amp;$R46&amp;""),"")</f>
        <v/>
      </c>
      <c r="AA46" s="74" t="str">
        <f t="array" aca="1" ref="AA46" ca="1">IF($R46&lt;&gt;"",
INDIRECT(""&amp;IF(COLUMN(L68)&lt;=26,CHAR(COLUMN(L68)+64),CHAR(INT((COLUMN(L68)-1)/26)+64)&amp;CHAR(MOD(COLUMN(L68)-1,26)+65))&amp;$R46&amp;""),"")</f>
        <v/>
      </c>
      <c r="AB46" s="74" t="str">
        <f t="array" aca="1" ref="AB46" ca="1">IF($R46&lt;&gt;"",
INDIRECT(""&amp;IF(COLUMN(O68)&lt;=26,CHAR(COLUMN(O68)+64),CHAR(INT((COLUMN(O68)-1)/26)+64)&amp;CHAR(MOD(COLUMN(O68)-1,26)+65))&amp;$R46&amp;""),"")</f>
        <v/>
      </c>
    </row>
    <row r="47" spans="1:28" ht="18" customHeight="1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 t="str">
        <f t="array" ref="R47">IFERROR(SMALL(IF(P$1:P$228&lt;&gt;0,P$1:P$228),ROW(#REF!)),"")</f>
        <v/>
      </c>
      <c r="S47" s="74" t="str">
        <f t="array" aca="1" ref="S47" ca="1">IF($R47&lt;&gt;"",
INDIRECT(""&amp;IF(COLUMN(C70)&lt;=26,CHAR(COLUMN(C70)+64),CHAR(INT((COLUMN(C70)-1)/26)+64)&amp;CHAR(MOD(COLUMN(C70)-1,26)+65))&amp;$R47&amp;""),"")</f>
        <v/>
      </c>
      <c r="T47" s="74" t="str">
        <f t="array" aca="1" ref="T47" ca="1">IF($R47&lt;&gt;"",
INDIRECT(""&amp;IF(COLUMN(D70)&lt;=26,CHAR(COLUMN(D70)+64),CHAR(INT((COLUMN(D70)-1)/26)+64)&amp;CHAR(MOD(COLUMN(D70)-1,26)+65))&amp;$R47&amp;""),"")</f>
        <v/>
      </c>
      <c r="U47" s="74" t="str">
        <f t="array" aca="1" ref="U47" ca="1">IF($R47&lt;&gt;"",
INDIRECT(""&amp;IF(COLUMN(E70)&lt;=26,CHAR(COLUMN(E70)+64),CHAR(INT((COLUMN(E70)-1)/26)+64)&amp;CHAR(MOD(COLUMN(E70)-1,26)+65))&amp;$R47&amp;""),"")</f>
        <v/>
      </c>
      <c r="V47" s="74" t="str">
        <f t="array" aca="1" ref="V47" ca="1">IF($R47&lt;&gt;"",
IF(U47="",
IF(INDIRECT("EY"&amp;$R47&amp;"")&lt;&gt;"",
INDIRECT("EY"&amp;$R47&amp;"")&amp;"箱"
&amp;INDIRECT("EZ"&amp;$R47&amp;""),""),""),"")</f>
        <v/>
      </c>
      <c r="W47" s="74" t="str">
        <f t="array" aca="1" ref="W47" ca="1">IF($R47&lt;&gt;"",
INDIRECT(""&amp;IF(COLUMN(H70)&lt;=26,CHAR(COLUMN(H70)+64),CHAR(INT((COLUMN(H70)-1)/26)+64)&amp;CHAR(MOD(COLUMN(H70)-1,26)+65))&amp;$R47&amp;""),"")</f>
        <v/>
      </c>
      <c r="X47" s="74" t="str">
        <f t="array" aca="1" ref="X47" ca="1">IF($R47&lt;&gt;"",
INDIRECT(""&amp;IF(COLUMN(I70)&lt;=26,CHAR(COLUMN(I70)+64),CHAR(INT((COLUMN(I70)-1)/26)+64)&amp;CHAR(MOD(COLUMN(I70)-1,26)+65))&amp;$R47&amp;""),"")</f>
        <v/>
      </c>
      <c r="Y47" s="74" t="str">
        <f t="array" aca="1" ref="Y47" ca="1">IF($R47&lt;&gt;"",
INDIRECT(""&amp;IF(COLUMN(J70)&lt;=26,CHAR(COLUMN(J70)+64),CHAR(INT((COLUMN(J70)-1)/26)+64)&amp;CHAR(MOD(COLUMN(J70)-1,26)+65))&amp;$R47&amp;""),"")</f>
        <v/>
      </c>
      <c r="Z47" s="74" t="str">
        <f t="array" aca="1" ref="Z47" ca="1">IF($R47&lt;&gt;"",
INDIRECT(""&amp;IF(COLUMN(K70)&lt;=26,CHAR(COLUMN(K70)+64),CHAR(INT((COLUMN(K70)-1)/26)+64)&amp;CHAR(MOD(COLUMN(K70)-1,26)+65))&amp;$R47&amp;""),"")</f>
        <v/>
      </c>
      <c r="AA47" s="74" t="str">
        <f t="array" aca="1" ref="AA47" ca="1">IF($R47&lt;&gt;"",
INDIRECT(""&amp;IF(COLUMN(L70)&lt;=26,CHAR(COLUMN(L70)+64),CHAR(INT((COLUMN(L70)-1)/26)+64)&amp;CHAR(MOD(COLUMN(L70)-1,26)+65))&amp;$R47&amp;""),"")</f>
        <v/>
      </c>
      <c r="AB47" s="74" t="str">
        <f t="array" aca="1" ref="AB47" ca="1">IF($R47&lt;&gt;"",
INDIRECT(""&amp;IF(COLUMN(O70)&lt;=26,CHAR(COLUMN(O70)+64),CHAR(INT((COLUMN(O70)-1)/26)+64)&amp;CHAR(MOD(COLUMN(O70)-1,26)+65))&amp;$R47&amp;""),"")</f>
        <v/>
      </c>
    </row>
    <row r="48" spans="1:28" s="74" customFormat="1" ht="22.2" customHeight="1">
      <c r="R48" s="74" t="str">
        <f t="array" ref="R48">IFERROR(SMALL(IF(P$1:P$228&lt;&gt;0,P$1:P$228),ROW(#REF!)),"")</f>
        <v/>
      </c>
      <c r="S48" s="74" t="str">
        <f t="array" aca="1" ref="S48" ca="1">IF($R48&lt;&gt;"",
INDIRECT(""&amp;IF(COLUMN(C71)&lt;=26,CHAR(COLUMN(C71)+64),CHAR(INT((COLUMN(C71)-1)/26)+64)&amp;CHAR(MOD(COLUMN(C71)-1,26)+65))&amp;$R48&amp;""),"")</f>
        <v/>
      </c>
      <c r="T48" s="74" t="str">
        <f t="array" aca="1" ref="T48" ca="1">IF($R48&lt;&gt;"",
INDIRECT(""&amp;IF(COLUMN(D71)&lt;=26,CHAR(COLUMN(D71)+64),CHAR(INT((COLUMN(D71)-1)/26)+64)&amp;CHAR(MOD(COLUMN(D71)-1,26)+65))&amp;$R48&amp;""),"")</f>
        <v/>
      </c>
      <c r="U48" s="74" t="str">
        <f t="array" aca="1" ref="U48" ca="1">IF($R48&lt;&gt;"",
INDIRECT(""&amp;IF(COLUMN(E71)&lt;=26,CHAR(COLUMN(E71)+64),CHAR(INT((COLUMN(E71)-1)/26)+64)&amp;CHAR(MOD(COLUMN(E71)-1,26)+65))&amp;$R48&amp;""),"")</f>
        <v/>
      </c>
      <c r="V48" s="74" t="str">
        <f t="array" aca="1" ref="V48" ca="1">IF($R48&lt;&gt;"",
IF(U48="",
IF(INDIRECT("EY"&amp;$R48&amp;"")&lt;&gt;"",
INDIRECT("EY"&amp;$R48&amp;"")&amp;"箱"
&amp;INDIRECT("EZ"&amp;$R48&amp;""),""),""),"")</f>
        <v/>
      </c>
      <c r="W48" s="74" t="str">
        <f t="array" aca="1" ref="W48" ca="1">IF($R48&lt;&gt;"",
INDIRECT(""&amp;IF(COLUMN(H71)&lt;=26,CHAR(COLUMN(H71)+64),CHAR(INT((COLUMN(H71)-1)/26)+64)&amp;CHAR(MOD(COLUMN(H71)-1,26)+65))&amp;$R48&amp;""),"")</f>
        <v/>
      </c>
      <c r="X48" s="74" t="str">
        <f t="array" aca="1" ref="X48" ca="1">IF($R48&lt;&gt;"",
INDIRECT(""&amp;IF(COLUMN(I71)&lt;=26,CHAR(COLUMN(I71)+64),CHAR(INT((COLUMN(I71)-1)/26)+64)&amp;CHAR(MOD(COLUMN(I71)-1,26)+65))&amp;$R48&amp;""),"")</f>
        <v/>
      </c>
      <c r="Y48" s="74" t="str">
        <f t="array" aca="1" ref="Y48" ca="1">IF($R48&lt;&gt;"",
INDIRECT(""&amp;IF(COLUMN(J71)&lt;=26,CHAR(COLUMN(J71)+64),CHAR(INT((COLUMN(J71)-1)/26)+64)&amp;CHAR(MOD(COLUMN(J71)-1,26)+65))&amp;$R48&amp;""),"")</f>
        <v/>
      </c>
      <c r="Z48" s="74" t="str">
        <f t="array" aca="1" ref="Z48" ca="1">IF($R48&lt;&gt;"",
INDIRECT(""&amp;IF(COLUMN(K71)&lt;=26,CHAR(COLUMN(K71)+64),CHAR(INT((COLUMN(K71)-1)/26)+64)&amp;CHAR(MOD(COLUMN(K71)-1,26)+65))&amp;$R48&amp;""),"")</f>
        <v/>
      </c>
      <c r="AA48" s="74" t="str">
        <f t="array" aca="1" ref="AA48" ca="1">IF($R48&lt;&gt;"",
INDIRECT(""&amp;IF(COLUMN(L71)&lt;=26,CHAR(COLUMN(L71)+64),CHAR(INT((COLUMN(L71)-1)/26)+64)&amp;CHAR(MOD(COLUMN(L71)-1,26)+65))&amp;$R48&amp;""),"")</f>
        <v/>
      </c>
      <c r="AB48" s="74" t="str">
        <f t="array" aca="1" ref="AB48" ca="1">IF($R48&lt;&gt;"",
INDIRECT(""&amp;IF(COLUMN(O71)&lt;=26,CHAR(COLUMN(O71)+64),CHAR(INT((COLUMN(O71)-1)/26)+64)&amp;CHAR(MOD(COLUMN(O71)-1,26)+65))&amp;$R48&amp;""),"")</f>
        <v/>
      </c>
    </row>
    <row r="49" spans="1:28" ht="21" customHeight="1">
      <c r="A49" s="22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 t="str">
        <f t="array" ref="R49">IFERROR(SMALL(IF(P$1:P$228&lt;&gt;0,P$1:P$228),ROW(#REF!)),"")</f>
        <v/>
      </c>
      <c r="S49" s="74" t="str">
        <f t="array" aca="1" ref="S49" ca="1">IF($R49&lt;&gt;"",
INDIRECT(""&amp;IF(COLUMN(C73)&lt;=26,CHAR(COLUMN(C73)+64),CHAR(INT((COLUMN(C73)-1)/26)+64)&amp;CHAR(MOD(COLUMN(C73)-1,26)+65))&amp;$R49&amp;""),"")</f>
        <v/>
      </c>
      <c r="T49" s="74" t="str">
        <f t="array" aca="1" ref="T49" ca="1">IF($R49&lt;&gt;"",
INDIRECT(""&amp;IF(COLUMN(D73)&lt;=26,CHAR(COLUMN(D73)+64),CHAR(INT((COLUMN(D73)-1)/26)+64)&amp;CHAR(MOD(COLUMN(D73)-1,26)+65))&amp;$R49&amp;""),"")</f>
        <v/>
      </c>
      <c r="U49" s="74" t="str">
        <f t="array" aca="1" ref="U49" ca="1">IF($R49&lt;&gt;"",
INDIRECT(""&amp;IF(COLUMN(E73)&lt;=26,CHAR(COLUMN(E73)+64),CHAR(INT((COLUMN(E73)-1)/26)+64)&amp;CHAR(MOD(COLUMN(E73)-1,26)+65))&amp;$R49&amp;""),"")</f>
        <v/>
      </c>
      <c r="V49" s="74" t="str">
        <f t="array" aca="1" ref="V49" ca="1">IF($R49&lt;&gt;"",
IF(U49="",
IF(INDIRECT("EY"&amp;$R49&amp;"")&lt;&gt;"",
INDIRECT("EY"&amp;$R49&amp;"")&amp;"箱"
&amp;INDIRECT("EZ"&amp;$R49&amp;""),""),""),"")</f>
        <v/>
      </c>
      <c r="W49" s="74" t="str">
        <f t="array" aca="1" ref="W49" ca="1">IF($R49&lt;&gt;"",
INDIRECT(""&amp;IF(COLUMN(H73)&lt;=26,CHAR(COLUMN(H73)+64),CHAR(INT((COLUMN(H73)-1)/26)+64)&amp;CHAR(MOD(COLUMN(H73)-1,26)+65))&amp;$R49&amp;""),"")</f>
        <v/>
      </c>
      <c r="X49" s="74" t="str">
        <f t="array" aca="1" ref="X49" ca="1">IF($R49&lt;&gt;"",
INDIRECT(""&amp;IF(COLUMN(I73)&lt;=26,CHAR(COLUMN(I73)+64),CHAR(INT((COLUMN(I73)-1)/26)+64)&amp;CHAR(MOD(COLUMN(I73)-1,26)+65))&amp;$R49&amp;""),"")</f>
        <v/>
      </c>
      <c r="Y49" s="74" t="str">
        <f t="array" aca="1" ref="Y49" ca="1">IF($R49&lt;&gt;"",
INDIRECT(""&amp;IF(COLUMN(J73)&lt;=26,CHAR(COLUMN(J73)+64),CHAR(INT((COLUMN(J73)-1)/26)+64)&amp;CHAR(MOD(COLUMN(J73)-1,26)+65))&amp;$R49&amp;""),"")</f>
        <v/>
      </c>
      <c r="Z49" s="74" t="str">
        <f t="array" aca="1" ref="Z49" ca="1">IF($R49&lt;&gt;"",
INDIRECT(""&amp;IF(COLUMN(K73)&lt;=26,CHAR(COLUMN(K73)+64),CHAR(INT((COLUMN(K73)-1)/26)+64)&amp;CHAR(MOD(COLUMN(K73)-1,26)+65))&amp;$R49&amp;""),"")</f>
        <v/>
      </c>
      <c r="AA49" s="74" t="str">
        <f t="array" aca="1" ref="AA49" ca="1">IF($R49&lt;&gt;"",
INDIRECT(""&amp;IF(COLUMN(L73)&lt;=26,CHAR(COLUMN(L73)+64),CHAR(INT((COLUMN(L73)-1)/26)+64)&amp;CHAR(MOD(COLUMN(L73)-1,26)+65))&amp;$R49&amp;""),"")</f>
        <v/>
      </c>
      <c r="AB49" s="74" t="str">
        <f t="array" aca="1" ref="AB49" ca="1">IF($R49&lt;&gt;"",
INDIRECT(""&amp;IF(COLUMN(O73)&lt;=26,CHAR(COLUMN(O73)+64),CHAR(INT((COLUMN(O73)-1)/26)+64)&amp;CHAR(MOD(COLUMN(O73)-1,26)+65))&amp;$R49&amp;""),"")</f>
        <v/>
      </c>
    </row>
    <row r="50" spans="1:28" s="74" customFormat="1" ht="18" customHeight="1">
      <c r="R50" s="74" t="str">
        <f t="array" ref="R50">IFERROR(SMALL(IF(P$1:P$228&lt;&gt;0,P$1:P$228),ROW(#REF!)),"")</f>
        <v/>
      </c>
      <c r="S50" s="74" t="str">
        <f t="array" aca="1" ref="S50" ca="1">IF($R50&lt;&gt;"",
INDIRECT(""&amp;IF(COLUMN(C74)&lt;=26,CHAR(COLUMN(C74)+64),CHAR(INT((COLUMN(C74)-1)/26)+64)&amp;CHAR(MOD(COLUMN(C74)-1,26)+65))&amp;$R50&amp;""),"")</f>
        <v/>
      </c>
      <c r="T50" s="74" t="str">
        <f t="array" aca="1" ref="T50" ca="1">IF($R50&lt;&gt;"",
INDIRECT(""&amp;IF(COLUMN(D74)&lt;=26,CHAR(COLUMN(D74)+64),CHAR(INT((COLUMN(D74)-1)/26)+64)&amp;CHAR(MOD(COLUMN(D74)-1,26)+65))&amp;$R50&amp;""),"")</f>
        <v/>
      </c>
      <c r="U50" s="74" t="str">
        <f t="array" aca="1" ref="U50" ca="1">IF($R50&lt;&gt;"",
INDIRECT(""&amp;IF(COLUMN(E74)&lt;=26,CHAR(COLUMN(E74)+64),CHAR(INT((COLUMN(E74)-1)/26)+64)&amp;CHAR(MOD(COLUMN(E74)-1,26)+65))&amp;$R50&amp;""),"")</f>
        <v/>
      </c>
      <c r="V50" s="74" t="str">
        <f t="array" aca="1" ref="V50" ca="1">IF($R50&lt;&gt;"",
IF(U50="",
IF(INDIRECT("EY"&amp;$R50&amp;"")&lt;&gt;"",
INDIRECT("EY"&amp;$R50&amp;"")&amp;"箱"
&amp;INDIRECT("EZ"&amp;$R50&amp;""),""),""),"")</f>
        <v/>
      </c>
      <c r="W50" s="74" t="str">
        <f t="array" aca="1" ref="W50" ca="1">IF($R50&lt;&gt;"",
INDIRECT(""&amp;IF(COLUMN(H74)&lt;=26,CHAR(COLUMN(H74)+64),CHAR(INT((COLUMN(H74)-1)/26)+64)&amp;CHAR(MOD(COLUMN(H74)-1,26)+65))&amp;$R50&amp;""),"")</f>
        <v/>
      </c>
      <c r="X50" s="74" t="str">
        <f t="array" aca="1" ref="X50" ca="1">IF($R50&lt;&gt;"",
INDIRECT(""&amp;IF(COLUMN(I74)&lt;=26,CHAR(COLUMN(I74)+64),CHAR(INT((COLUMN(I74)-1)/26)+64)&amp;CHAR(MOD(COLUMN(I74)-1,26)+65))&amp;$R50&amp;""),"")</f>
        <v/>
      </c>
      <c r="Y50" s="74" t="str">
        <f t="array" aca="1" ref="Y50" ca="1">IF($R50&lt;&gt;"",
INDIRECT(""&amp;IF(COLUMN(J74)&lt;=26,CHAR(COLUMN(J74)+64),CHAR(INT((COLUMN(J74)-1)/26)+64)&amp;CHAR(MOD(COLUMN(J74)-1,26)+65))&amp;$R50&amp;""),"")</f>
        <v/>
      </c>
      <c r="Z50" s="74" t="str">
        <f t="array" aca="1" ref="Z50" ca="1">IF($R50&lt;&gt;"",
INDIRECT(""&amp;IF(COLUMN(K74)&lt;=26,CHAR(COLUMN(K74)+64),CHAR(INT((COLUMN(K74)-1)/26)+64)&amp;CHAR(MOD(COLUMN(K74)-1,26)+65))&amp;$R50&amp;""),"")</f>
        <v/>
      </c>
      <c r="AA50" s="74" t="str">
        <f t="array" aca="1" ref="AA50" ca="1">IF($R50&lt;&gt;"",
INDIRECT(""&amp;IF(COLUMN(L74)&lt;=26,CHAR(COLUMN(L74)+64),CHAR(INT((COLUMN(L74)-1)/26)+64)&amp;CHAR(MOD(COLUMN(L74)-1,26)+65))&amp;$R50&amp;""),"")</f>
        <v/>
      </c>
      <c r="AB50" s="74" t="str">
        <f t="array" aca="1" ref="AB50" ca="1">IF($R50&lt;&gt;"",
INDIRECT(""&amp;IF(COLUMN(O74)&lt;=26,CHAR(COLUMN(O74)+64),CHAR(INT((COLUMN(O74)-1)/26)+64)&amp;CHAR(MOD(COLUMN(O74)-1,26)+65))&amp;$R50&amp;""),"")</f>
        <v/>
      </c>
    </row>
    <row r="51" spans="1:28" s="74" customFormat="1" ht="18" customHeight="1">
      <c r="A51" s="223"/>
      <c r="R51" s="74" t="str">
        <f t="array" ref="R51">IFERROR(SMALL(IF(P$1:P$228&lt;&gt;0,P$1:P$228),ROW(#REF!)),"")</f>
        <v/>
      </c>
      <c r="S51" s="74" t="str">
        <f t="array" aca="1" ref="S51" ca="1">IF($R51&lt;&gt;"",
INDIRECT(""&amp;IF(COLUMN(C76)&lt;=26,CHAR(COLUMN(C76)+64),CHAR(INT((COLUMN(C76)-1)/26)+64)&amp;CHAR(MOD(COLUMN(C76)-1,26)+65))&amp;$R51&amp;""),"")</f>
        <v/>
      </c>
      <c r="T51" s="74" t="str">
        <f t="array" aca="1" ref="T51" ca="1">IF($R51&lt;&gt;"",
INDIRECT(""&amp;IF(COLUMN(D76)&lt;=26,CHAR(COLUMN(D76)+64),CHAR(INT((COLUMN(D76)-1)/26)+64)&amp;CHAR(MOD(COLUMN(D76)-1,26)+65))&amp;$R51&amp;""),"")</f>
        <v/>
      </c>
      <c r="U51" s="74" t="str">
        <f t="array" aca="1" ref="U51" ca="1">IF($R51&lt;&gt;"",
INDIRECT(""&amp;IF(COLUMN(E76)&lt;=26,CHAR(COLUMN(E76)+64),CHAR(INT((COLUMN(E76)-1)/26)+64)&amp;CHAR(MOD(COLUMN(E76)-1,26)+65))&amp;$R51&amp;""),"")</f>
        <v/>
      </c>
      <c r="V51" s="74" t="str">
        <f t="array" aca="1" ref="V51" ca="1">IF($R51&lt;&gt;"",
IF(U51="",
IF(INDIRECT("EY"&amp;$R51&amp;"")&lt;&gt;"",
INDIRECT("EY"&amp;$R51&amp;"")&amp;"箱"
&amp;INDIRECT("EZ"&amp;$R51&amp;""),""),""),"")</f>
        <v/>
      </c>
      <c r="W51" s="74" t="str">
        <f t="array" aca="1" ref="W51" ca="1">IF($R51&lt;&gt;"",
INDIRECT(""&amp;IF(COLUMN(H76)&lt;=26,CHAR(COLUMN(H76)+64),CHAR(INT((COLUMN(H76)-1)/26)+64)&amp;CHAR(MOD(COLUMN(H76)-1,26)+65))&amp;$R51&amp;""),"")</f>
        <v/>
      </c>
      <c r="X51" s="74" t="str">
        <f t="array" aca="1" ref="X51" ca="1">IF($R51&lt;&gt;"",
INDIRECT(""&amp;IF(COLUMN(I76)&lt;=26,CHAR(COLUMN(I76)+64),CHAR(INT((COLUMN(I76)-1)/26)+64)&amp;CHAR(MOD(COLUMN(I76)-1,26)+65))&amp;$R51&amp;""),"")</f>
        <v/>
      </c>
      <c r="Y51" s="74" t="str">
        <f t="array" aca="1" ref="Y51" ca="1">IF($R51&lt;&gt;"",
INDIRECT(""&amp;IF(COLUMN(J76)&lt;=26,CHAR(COLUMN(J76)+64),CHAR(INT((COLUMN(J76)-1)/26)+64)&amp;CHAR(MOD(COLUMN(J76)-1,26)+65))&amp;$R51&amp;""),"")</f>
        <v/>
      </c>
      <c r="Z51" s="74" t="str">
        <f t="array" aca="1" ref="Z51" ca="1">IF($R51&lt;&gt;"",
INDIRECT(""&amp;IF(COLUMN(K76)&lt;=26,CHAR(COLUMN(K76)+64),CHAR(INT((COLUMN(K76)-1)/26)+64)&amp;CHAR(MOD(COLUMN(K76)-1,26)+65))&amp;$R51&amp;""),"")</f>
        <v/>
      </c>
      <c r="AA51" s="74" t="str">
        <f t="array" aca="1" ref="AA51" ca="1">IF($R51&lt;&gt;"",
INDIRECT(""&amp;IF(COLUMN(L76)&lt;=26,CHAR(COLUMN(L76)+64),CHAR(INT((COLUMN(L76)-1)/26)+64)&amp;CHAR(MOD(COLUMN(L76)-1,26)+65))&amp;$R51&amp;""),"")</f>
        <v/>
      </c>
      <c r="AB51" s="74" t="str">
        <f t="array" aca="1" ref="AB51" ca="1">IF($R51&lt;&gt;"",
INDIRECT(""&amp;IF(COLUMN(O76)&lt;=26,CHAR(COLUMN(O76)+64),CHAR(INT((COLUMN(O76)-1)/26)+64)&amp;CHAR(MOD(COLUMN(O76)-1,26)+65))&amp;$R51&amp;""),"")</f>
        <v/>
      </c>
    </row>
    <row r="52" spans="1:28" s="74" customFormat="1" ht="22.2" customHeight="1">
      <c r="B52" s="78"/>
      <c r="R52" s="74" t="str">
        <f t="array" ref="R52">IFERROR(SMALL(IF(P$1:P$228&lt;&gt;0,P$1:P$228),ROW(#REF!)),"")</f>
        <v/>
      </c>
      <c r="S52" s="74" t="str">
        <f t="array" aca="1" ref="S52" ca="1">IF($R52&lt;&gt;"",
INDIRECT(""&amp;IF(COLUMN(C77)&lt;=26,CHAR(COLUMN(C77)+64),CHAR(INT((COLUMN(C77)-1)/26)+64)&amp;CHAR(MOD(COLUMN(C77)-1,26)+65))&amp;$R52&amp;""),"")</f>
        <v/>
      </c>
      <c r="T52" s="74" t="str">
        <f t="array" aca="1" ref="T52" ca="1">IF($R52&lt;&gt;"",
INDIRECT(""&amp;IF(COLUMN(D77)&lt;=26,CHAR(COLUMN(D77)+64),CHAR(INT((COLUMN(D77)-1)/26)+64)&amp;CHAR(MOD(COLUMN(D77)-1,26)+65))&amp;$R52&amp;""),"")</f>
        <v/>
      </c>
      <c r="U52" s="74" t="str">
        <f t="array" aca="1" ref="U52" ca="1">IF($R52&lt;&gt;"",
INDIRECT(""&amp;IF(COLUMN(E77)&lt;=26,CHAR(COLUMN(E77)+64),CHAR(INT((COLUMN(E77)-1)/26)+64)&amp;CHAR(MOD(COLUMN(E77)-1,26)+65))&amp;$R52&amp;""),"")</f>
        <v/>
      </c>
      <c r="V52" s="74" t="str">
        <f t="array" aca="1" ref="V52" ca="1">IF($R52&lt;&gt;"",
IF(U52="",
IF(INDIRECT("EY"&amp;$R52&amp;"")&lt;&gt;"",
INDIRECT("EY"&amp;$R52&amp;"")&amp;"箱"
&amp;INDIRECT("EZ"&amp;$R52&amp;""),""),""),"")</f>
        <v/>
      </c>
      <c r="W52" s="74" t="str">
        <f t="array" aca="1" ref="W52" ca="1">IF($R52&lt;&gt;"",
INDIRECT(""&amp;IF(COLUMN(H77)&lt;=26,CHAR(COLUMN(H77)+64),CHAR(INT((COLUMN(H77)-1)/26)+64)&amp;CHAR(MOD(COLUMN(H77)-1,26)+65))&amp;$R52&amp;""),"")</f>
        <v/>
      </c>
      <c r="X52" s="74" t="str">
        <f t="array" aca="1" ref="X52" ca="1">IF($R52&lt;&gt;"",
INDIRECT(""&amp;IF(COLUMN(I77)&lt;=26,CHAR(COLUMN(I77)+64),CHAR(INT((COLUMN(I77)-1)/26)+64)&amp;CHAR(MOD(COLUMN(I77)-1,26)+65))&amp;$R52&amp;""),"")</f>
        <v/>
      </c>
      <c r="Y52" s="74" t="str">
        <f t="array" aca="1" ref="Y52" ca="1">IF($R52&lt;&gt;"",
INDIRECT(""&amp;IF(COLUMN(J77)&lt;=26,CHAR(COLUMN(J77)+64),CHAR(INT((COLUMN(J77)-1)/26)+64)&amp;CHAR(MOD(COLUMN(J77)-1,26)+65))&amp;$R52&amp;""),"")</f>
        <v/>
      </c>
      <c r="Z52" s="74" t="str">
        <f t="array" aca="1" ref="Z52" ca="1">IF($R52&lt;&gt;"",
INDIRECT(""&amp;IF(COLUMN(K77)&lt;=26,CHAR(COLUMN(K77)+64),CHAR(INT((COLUMN(K77)-1)/26)+64)&amp;CHAR(MOD(COLUMN(K77)-1,26)+65))&amp;$R52&amp;""),"")</f>
        <v/>
      </c>
      <c r="AA52" s="74" t="str">
        <f t="array" aca="1" ref="AA52" ca="1">IF($R52&lt;&gt;"",
INDIRECT(""&amp;IF(COLUMN(L77)&lt;=26,CHAR(COLUMN(L77)+64),CHAR(INT((COLUMN(L77)-1)/26)+64)&amp;CHAR(MOD(COLUMN(L77)-1,26)+65))&amp;$R52&amp;""),"")</f>
        <v/>
      </c>
      <c r="AB52" s="74" t="str">
        <f t="array" aca="1" ref="AB52" ca="1">IF($R52&lt;&gt;"",
INDIRECT(""&amp;IF(COLUMN(O77)&lt;=26,CHAR(COLUMN(O77)+64),CHAR(INT((COLUMN(O77)-1)/26)+64)&amp;CHAR(MOD(COLUMN(O77)-1,26)+65))&amp;$R52&amp;""),"")</f>
        <v/>
      </c>
    </row>
    <row r="53" spans="1:28" ht="18" customHeight="1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 t="str">
        <f t="array" ref="R53">IFERROR(SMALL(IF(P$1:P$228&lt;&gt;0,P$1:P$228),ROW(#REF!)),"")</f>
        <v/>
      </c>
      <c r="S53" s="74" t="str">
        <f t="array" aca="1" ref="S53" ca="1">IF($R53&lt;&gt;"",
INDIRECT(""&amp;IF(COLUMN(C79)&lt;=26,CHAR(COLUMN(C79)+64),CHAR(INT((COLUMN(C79)-1)/26)+64)&amp;CHAR(MOD(COLUMN(C79)-1,26)+65))&amp;$R53&amp;""),"")</f>
        <v/>
      </c>
      <c r="T53" s="74" t="str">
        <f t="array" aca="1" ref="T53" ca="1">IF($R53&lt;&gt;"",
INDIRECT(""&amp;IF(COLUMN(D79)&lt;=26,CHAR(COLUMN(D79)+64),CHAR(INT((COLUMN(D79)-1)/26)+64)&amp;CHAR(MOD(COLUMN(D79)-1,26)+65))&amp;$R53&amp;""),"")</f>
        <v/>
      </c>
      <c r="U53" s="74" t="str">
        <f t="array" aca="1" ref="U53" ca="1">IF($R53&lt;&gt;"",
INDIRECT(""&amp;IF(COLUMN(E79)&lt;=26,CHAR(COLUMN(E79)+64),CHAR(INT((COLUMN(E79)-1)/26)+64)&amp;CHAR(MOD(COLUMN(E79)-1,26)+65))&amp;$R53&amp;""),"")</f>
        <v/>
      </c>
      <c r="V53" s="74" t="str">
        <f t="array" aca="1" ref="V53" ca="1">IF($R53&lt;&gt;"",
IF(U53="",
IF(INDIRECT("EY"&amp;$R53&amp;"")&lt;&gt;"",
INDIRECT("EY"&amp;$R53&amp;"")&amp;"箱"
&amp;INDIRECT("EZ"&amp;$R53&amp;""),""),""),"")</f>
        <v/>
      </c>
      <c r="W53" s="74" t="str">
        <f t="array" aca="1" ref="W53" ca="1">IF($R53&lt;&gt;"",
INDIRECT(""&amp;IF(COLUMN(H79)&lt;=26,CHAR(COLUMN(H79)+64),CHAR(INT((COLUMN(H79)-1)/26)+64)&amp;CHAR(MOD(COLUMN(H79)-1,26)+65))&amp;$R53&amp;""),"")</f>
        <v/>
      </c>
      <c r="X53" s="74" t="str">
        <f t="array" aca="1" ref="X53" ca="1">IF($R53&lt;&gt;"",
INDIRECT(""&amp;IF(COLUMN(I79)&lt;=26,CHAR(COLUMN(I79)+64),CHAR(INT((COLUMN(I79)-1)/26)+64)&amp;CHAR(MOD(COLUMN(I79)-1,26)+65))&amp;$R53&amp;""),"")</f>
        <v/>
      </c>
      <c r="Y53" s="74" t="str">
        <f t="array" aca="1" ref="Y53" ca="1">IF($R53&lt;&gt;"",
INDIRECT(""&amp;IF(COLUMN(J79)&lt;=26,CHAR(COLUMN(J79)+64),CHAR(INT((COLUMN(J79)-1)/26)+64)&amp;CHAR(MOD(COLUMN(J79)-1,26)+65))&amp;$R53&amp;""),"")</f>
        <v/>
      </c>
      <c r="Z53" s="74" t="str">
        <f t="array" aca="1" ref="Z53" ca="1">IF($R53&lt;&gt;"",
INDIRECT(""&amp;IF(COLUMN(K79)&lt;=26,CHAR(COLUMN(K79)+64),CHAR(INT((COLUMN(K79)-1)/26)+64)&amp;CHAR(MOD(COLUMN(K79)-1,26)+65))&amp;$R53&amp;""),"")</f>
        <v/>
      </c>
      <c r="AA53" s="74" t="str">
        <f t="array" aca="1" ref="AA53" ca="1">IF($R53&lt;&gt;"",
INDIRECT(""&amp;IF(COLUMN(L79)&lt;=26,CHAR(COLUMN(L79)+64),CHAR(INT((COLUMN(L79)-1)/26)+64)&amp;CHAR(MOD(COLUMN(L79)-1,26)+65))&amp;$R53&amp;""),"")</f>
        <v/>
      </c>
      <c r="AB53" s="74" t="str">
        <f t="array" aca="1" ref="AB53" ca="1">IF($R53&lt;&gt;"",
INDIRECT(""&amp;IF(COLUMN(O79)&lt;=26,CHAR(COLUMN(O79)+64),CHAR(INT((COLUMN(O79)-1)/26)+64)&amp;CHAR(MOD(COLUMN(O79)-1,26)+65))&amp;$R53&amp;""),"")</f>
        <v/>
      </c>
    </row>
    <row r="54" spans="1:28" ht="18" customHeight="1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 t="str">
        <f t="array" ref="R54">IFERROR(SMALL(IF(P$1:P$228&lt;&gt;0,P$1:P$228),ROW(#REF!)),"")</f>
        <v/>
      </c>
      <c r="S54" s="74" t="str">
        <f t="array" aca="1" ref="S54" ca="1">IF($R54&lt;&gt;"",
INDIRECT(""&amp;IF(COLUMN(C80)&lt;=26,CHAR(COLUMN(C80)+64),CHAR(INT((COLUMN(C80)-1)/26)+64)&amp;CHAR(MOD(COLUMN(C80)-1,26)+65))&amp;$R54&amp;""),"")</f>
        <v/>
      </c>
      <c r="T54" s="74" t="str">
        <f t="array" aca="1" ref="T54" ca="1">IF($R54&lt;&gt;"",
INDIRECT(""&amp;IF(COLUMN(D80)&lt;=26,CHAR(COLUMN(D80)+64),CHAR(INT((COLUMN(D80)-1)/26)+64)&amp;CHAR(MOD(COLUMN(D80)-1,26)+65))&amp;$R54&amp;""),"")</f>
        <v/>
      </c>
      <c r="U54" s="74" t="str">
        <f t="array" aca="1" ref="U54" ca="1">IF($R54&lt;&gt;"",
INDIRECT(""&amp;IF(COLUMN(E80)&lt;=26,CHAR(COLUMN(E80)+64),CHAR(INT((COLUMN(E80)-1)/26)+64)&amp;CHAR(MOD(COLUMN(E80)-1,26)+65))&amp;$R54&amp;""),"")</f>
        <v/>
      </c>
      <c r="V54" s="74" t="str">
        <f t="array" aca="1" ref="V54" ca="1">IF($R54&lt;&gt;"",
IF(U54="",
IF(INDIRECT("EY"&amp;$R54&amp;"")&lt;&gt;"",
INDIRECT("EY"&amp;$R54&amp;"")&amp;"箱"
&amp;INDIRECT("EZ"&amp;$R54&amp;""),""),""),"")</f>
        <v/>
      </c>
      <c r="W54" s="74" t="str">
        <f t="array" aca="1" ref="W54" ca="1">IF($R54&lt;&gt;"",
INDIRECT(""&amp;IF(COLUMN(H80)&lt;=26,CHAR(COLUMN(H80)+64),CHAR(INT((COLUMN(H80)-1)/26)+64)&amp;CHAR(MOD(COLUMN(H80)-1,26)+65))&amp;$R54&amp;""),"")</f>
        <v/>
      </c>
      <c r="X54" s="74" t="str">
        <f t="array" aca="1" ref="X54" ca="1">IF($R54&lt;&gt;"",
INDIRECT(""&amp;IF(COLUMN(I80)&lt;=26,CHAR(COLUMN(I80)+64),CHAR(INT((COLUMN(I80)-1)/26)+64)&amp;CHAR(MOD(COLUMN(I80)-1,26)+65))&amp;$R54&amp;""),"")</f>
        <v/>
      </c>
      <c r="Y54" s="74" t="str">
        <f t="array" aca="1" ref="Y54" ca="1">IF($R54&lt;&gt;"",
INDIRECT(""&amp;IF(COLUMN(J80)&lt;=26,CHAR(COLUMN(J80)+64),CHAR(INT((COLUMN(J80)-1)/26)+64)&amp;CHAR(MOD(COLUMN(J80)-1,26)+65))&amp;$R54&amp;""),"")</f>
        <v/>
      </c>
      <c r="Z54" s="74" t="str">
        <f t="array" aca="1" ref="Z54" ca="1">IF($R54&lt;&gt;"",
INDIRECT(""&amp;IF(COLUMN(K80)&lt;=26,CHAR(COLUMN(K80)+64),CHAR(INT((COLUMN(K80)-1)/26)+64)&amp;CHAR(MOD(COLUMN(K80)-1,26)+65))&amp;$R54&amp;""),"")</f>
        <v/>
      </c>
      <c r="AA54" s="74" t="str">
        <f t="array" aca="1" ref="AA54" ca="1">IF($R54&lt;&gt;"",
INDIRECT(""&amp;IF(COLUMN(L80)&lt;=26,CHAR(COLUMN(L80)+64),CHAR(INT((COLUMN(L80)-1)/26)+64)&amp;CHAR(MOD(COLUMN(L80)-1,26)+65))&amp;$R54&amp;""),"")</f>
        <v/>
      </c>
      <c r="AB54" s="74" t="str">
        <f t="array" aca="1" ref="AB54" ca="1">IF($R54&lt;&gt;"",
INDIRECT(""&amp;IF(COLUMN(O80)&lt;=26,CHAR(COLUMN(O80)+64),CHAR(INT((COLUMN(O80)-1)/26)+64)&amp;CHAR(MOD(COLUMN(O80)-1,26)+65))&amp;$R54&amp;""),"")</f>
        <v/>
      </c>
    </row>
    <row r="55" spans="1:28" s="74" customFormat="1" ht="22.2" customHeight="1">
      <c r="R55" s="74" t="str">
        <f t="array" ref="R55">IFERROR(SMALL(IF(P$1:P$228&lt;&gt;0,P$1:P$228),ROW(#REF!)),"")</f>
        <v/>
      </c>
      <c r="S55" s="74" t="str">
        <f t="array" aca="1" ref="S55" ca="1">IF($R55&lt;&gt;"",
INDIRECT(""&amp;IF(COLUMN(C82)&lt;=26,CHAR(COLUMN(C82)+64),CHAR(INT((COLUMN(C82)-1)/26)+64)&amp;CHAR(MOD(COLUMN(C82)-1,26)+65))&amp;$R55&amp;""),"")</f>
        <v/>
      </c>
      <c r="T55" s="74" t="str">
        <f t="array" aca="1" ref="T55" ca="1">IF($R55&lt;&gt;"",
INDIRECT(""&amp;IF(COLUMN(D82)&lt;=26,CHAR(COLUMN(D82)+64),CHAR(INT((COLUMN(D82)-1)/26)+64)&amp;CHAR(MOD(COLUMN(D82)-1,26)+65))&amp;$R55&amp;""),"")</f>
        <v/>
      </c>
      <c r="U55" s="74" t="str">
        <f t="array" aca="1" ref="U55" ca="1">IF($R55&lt;&gt;"",
INDIRECT(""&amp;IF(COLUMN(E82)&lt;=26,CHAR(COLUMN(E82)+64),CHAR(INT((COLUMN(E82)-1)/26)+64)&amp;CHAR(MOD(COLUMN(E82)-1,26)+65))&amp;$R55&amp;""),"")</f>
        <v/>
      </c>
      <c r="V55" s="74" t="str">
        <f t="array" aca="1" ref="V55" ca="1">IF($R55&lt;&gt;"",
IF(U55="",
IF(INDIRECT("EY"&amp;$R55&amp;"")&lt;&gt;"",
INDIRECT("EY"&amp;$R55&amp;"")&amp;"箱"
&amp;INDIRECT("EZ"&amp;$R55&amp;""),""),""),"")</f>
        <v/>
      </c>
      <c r="W55" s="74" t="str">
        <f t="array" aca="1" ref="W55" ca="1">IF($R55&lt;&gt;"",
INDIRECT(""&amp;IF(COLUMN(H82)&lt;=26,CHAR(COLUMN(H82)+64),CHAR(INT((COLUMN(H82)-1)/26)+64)&amp;CHAR(MOD(COLUMN(H82)-1,26)+65))&amp;$R55&amp;""),"")</f>
        <v/>
      </c>
      <c r="X55" s="74" t="str">
        <f t="array" aca="1" ref="X55" ca="1">IF($R55&lt;&gt;"",
INDIRECT(""&amp;IF(COLUMN(I82)&lt;=26,CHAR(COLUMN(I82)+64),CHAR(INT((COLUMN(I82)-1)/26)+64)&amp;CHAR(MOD(COLUMN(I82)-1,26)+65))&amp;$R55&amp;""),"")</f>
        <v/>
      </c>
      <c r="Y55" s="74" t="str">
        <f t="array" aca="1" ref="Y55" ca="1">IF($R55&lt;&gt;"",
INDIRECT(""&amp;IF(COLUMN(J82)&lt;=26,CHAR(COLUMN(J82)+64),CHAR(INT((COLUMN(J82)-1)/26)+64)&amp;CHAR(MOD(COLUMN(J82)-1,26)+65))&amp;$R55&amp;""),"")</f>
        <v/>
      </c>
      <c r="Z55" s="74" t="str">
        <f t="array" aca="1" ref="Z55" ca="1">IF($R55&lt;&gt;"",
INDIRECT(""&amp;IF(COLUMN(K82)&lt;=26,CHAR(COLUMN(K82)+64),CHAR(INT((COLUMN(K82)-1)/26)+64)&amp;CHAR(MOD(COLUMN(K82)-1,26)+65))&amp;$R55&amp;""),"")</f>
        <v/>
      </c>
      <c r="AA55" s="74" t="str">
        <f t="array" aca="1" ref="AA55" ca="1">IF($R55&lt;&gt;"",
INDIRECT(""&amp;IF(COLUMN(L82)&lt;=26,CHAR(COLUMN(L82)+64),CHAR(INT((COLUMN(L82)-1)/26)+64)&amp;CHAR(MOD(COLUMN(L82)-1,26)+65))&amp;$R55&amp;""),"")</f>
        <v/>
      </c>
      <c r="AB55" s="74" t="str">
        <f t="array" aca="1" ref="AB55" ca="1">IF($R55&lt;&gt;"",
INDIRECT(""&amp;IF(COLUMN(O82)&lt;=26,CHAR(COLUMN(O82)+64),CHAR(INT((COLUMN(O82)-1)/26)+64)&amp;CHAR(MOD(COLUMN(O82)-1,26)+65))&amp;$R55&amp;""),"")</f>
        <v/>
      </c>
    </row>
    <row r="56" spans="1:28" ht="21" customHeight="1">
      <c r="A56" s="22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 t="str">
        <f t="array" ref="R56">IFERROR(SMALL(IF(P$1:P$228&lt;&gt;0,P$1:P$228),ROW(#REF!)),"")</f>
        <v/>
      </c>
      <c r="S56" s="74" t="str">
        <f t="array" aca="1" ref="S56" ca="1">IF($R56&lt;&gt;"",
INDIRECT(""&amp;IF(COLUMN(C83)&lt;=26,CHAR(COLUMN(C83)+64),CHAR(INT((COLUMN(C83)-1)/26)+64)&amp;CHAR(MOD(COLUMN(C83)-1,26)+65))&amp;$R56&amp;""),"")</f>
        <v/>
      </c>
      <c r="T56" s="74" t="str">
        <f t="array" aca="1" ref="T56" ca="1">IF($R56&lt;&gt;"",
INDIRECT(""&amp;IF(COLUMN(D83)&lt;=26,CHAR(COLUMN(D83)+64),CHAR(INT((COLUMN(D83)-1)/26)+64)&amp;CHAR(MOD(COLUMN(D83)-1,26)+65))&amp;$R56&amp;""),"")</f>
        <v/>
      </c>
      <c r="U56" s="74" t="str">
        <f t="array" aca="1" ref="U56" ca="1">IF($R56&lt;&gt;"",
INDIRECT(""&amp;IF(COLUMN(E83)&lt;=26,CHAR(COLUMN(E83)+64),CHAR(INT((COLUMN(E83)-1)/26)+64)&amp;CHAR(MOD(COLUMN(E83)-1,26)+65))&amp;$R56&amp;""),"")</f>
        <v/>
      </c>
      <c r="V56" s="74" t="str">
        <f t="array" aca="1" ref="V56" ca="1">IF($R56&lt;&gt;"",
IF(U56="",
IF(INDIRECT("EY"&amp;$R56&amp;"")&lt;&gt;"",
INDIRECT("EY"&amp;$R56&amp;"")&amp;"箱"
&amp;INDIRECT("EZ"&amp;$R56&amp;""),""),""),"")</f>
        <v/>
      </c>
      <c r="W56" s="74" t="str">
        <f t="array" aca="1" ref="W56" ca="1">IF($R56&lt;&gt;"",
INDIRECT(""&amp;IF(COLUMN(H83)&lt;=26,CHAR(COLUMN(H83)+64),CHAR(INT((COLUMN(H83)-1)/26)+64)&amp;CHAR(MOD(COLUMN(H83)-1,26)+65))&amp;$R56&amp;""),"")</f>
        <v/>
      </c>
      <c r="X56" s="74" t="str">
        <f t="array" aca="1" ref="X56" ca="1">IF($R56&lt;&gt;"",
INDIRECT(""&amp;IF(COLUMN(I83)&lt;=26,CHAR(COLUMN(I83)+64),CHAR(INT((COLUMN(I83)-1)/26)+64)&amp;CHAR(MOD(COLUMN(I83)-1,26)+65))&amp;$R56&amp;""),"")</f>
        <v/>
      </c>
      <c r="Y56" s="74" t="str">
        <f t="array" aca="1" ref="Y56" ca="1">IF($R56&lt;&gt;"",
INDIRECT(""&amp;IF(COLUMN(J83)&lt;=26,CHAR(COLUMN(J83)+64),CHAR(INT((COLUMN(J83)-1)/26)+64)&amp;CHAR(MOD(COLUMN(J83)-1,26)+65))&amp;$R56&amp;""),"")</f>
        <v/>
      </c>
      <c r="Z56" s="74" t="str">
        <f t="array" aca="1" ref="Z56" ca="1">IF($R56&lt;&gt;"",
INDIRECT(""&amp;IF(COLUMN(K83)&lt;=26,CHAR(COLUMN(K83)+64),CHAR(INT((COLUMN(K83)-1)/26)+64)&amp;CHAR(MOD(COLUMN(K83)-1,26)+65))&amp;$R56&amp;""),"")</f>
        <v/>
      </c>
      <c r="AA56" s="74" t="str">
        <f t="array" aca="1" ref="AA56" ca="1">IF($R56&lt;&gt;"",
INDIRECT(""&amp;IF(COLUMN(L83)&lt;=26,CHAR(COLUMN(L83)+64),CHAR(INT((COLUMN(L83)-1)/26)+64)&amp;CHAR(MOD(COLUMN(L83)-1,26)+65))&amp;$R56&amp;""),"")</f>
        <v/>
      </c>
      <c r="AB56" s="74" t="str">
        <f t="array" aca="1" ref="AB56" ca="1">IF($R56&lt;&gt;"",
INDIRECT(""&amp;IF(COLUMN(O83)&lt;=26,CHAR(COLUMN(O83)+64),CHAR(INT((COLUMN(O83)-1)/26)+64)&amp;CHAR(MOD(COLUMN(O83)-1,26)+65))&amp;$R56&amp;""),"")</f>
        <v/>
      </c>
    </row>
    <row r="57" spans="1:28" s="74" customFormat="1" ht="18" customHeight="1">
      <c r="R57" s="74" t="str">
        <f t="array" ref="R57">IFERROR(SMALL(IF(P$1:P$228&lt;&gt;0,P$1:P$228),ROW(#REF!)),"")</f>
        <v/>
      </c>
      <c r="S57" s="74" t="str">
        <f t="array" aca="1" ref="S57" ca="1">IF($R57&lt;&gt;"",
INDIRECT(""&amp;IF(COLUMN(C85)&lt;=26,CHAR(COLUMN(C85)+64),CHAR(INT((COLUMN(C85)-1)/26)+64)&amp;CHAR(MOD(COLUMN(C85)-1,26)+65))&amp;$R57&amp;""),"")</f>
        <v/>
      </c>
      <c r="T57" s="74" t="str">
        <f t="array" aca="1" ref="T57" ca="1">IF($R57&lt;&gt;"",
INDIRECT(""&amp;IF(COLUMN(D85)&lt;=26,CHAR(COLUMN(D85)+64),CHAR(INT((COLUMN(D85)-1)/26)+64)&amp;CHAR(MOD(COLUMN(D85)-1,26)+65))&amp;$R57&amp;""),"")</f>
        <v/>
      </c>
      <c r="U57" s="74" t="str">
        <f t="array" aca="1" ref="U57" ca="1">IF($R57&lt;&gt;"",
INDIRECT(""&amp;IF(COLUMN(E85)&lt;=26,CHAR(COLUMN(E85)+64),CHAR(INT((COLUMN(E85)-1)/26)+64)&amp;CHAR(MOD(COLUMN(E85)-1,26)+65))&amp;$R57&amp;""),"")</f>
        <v/>
      </c>
      <c r="V57" s="74" t="str">
        <f t="array" aca="1" ref="V57" ca="1">IF($R57&lt;&gt;"",
IF(U57="",
IF(INDIRECT("EY"&amp;$R57&amp;"")&lt;&gt;"",
INDIRECT("EY"&amp;$R57&amp;"")&amp;"箱"
&amp;INDIRECT("EZ"&amp;$R57&amp;""),""),""),"")</f>
        <v/>
      </c>
      <c r="W57" s="74" t="str">
        <f t="array" aca="1" ref="W57" ca="1">IF($R57&lt;&gt;"",
INDIRECT(""&amp;IF(COLUMN(H85)&lt;=26,CHAR(COLUMN(H85)+64),CHAR(INT((COLUMN(H85)-1)/26)+64)&amp;CHAR(MOD(COLUMN(H85)-1,26)+65))&amp;$R57&amp;""),"")</f>
        <v/>
      </c>
      <c r="X57" s="74" t="str">
        <f t="array" aca="1" ref="X57" ca="1">IF($R57&lt;&gt;"",
INDIRECT(""&amp;IF(COLUMN(I85)&lt;=26,CHAR(COLUMN(I85)+64),CHAR(INT((COLUMN(I85)-1)/26)+64)&amp;CHAR(MOD(COLUMN(I85)-1,26)+65))&amp;$R57&amp;""),"")</f>
        <v/>
      </c>
      <c r="Y57" s="74" t="str">
        <f t="array" aca="1" ref="Y57" ca="1">IF($R57&lt;&gt;"",
INDIRECT(""&amp;IF(COLUMN(J85)&lt;=26,CHAR(COLUMN(J85)+64),CHAR(INT((COLUMN(J85)-1)/26)+64)&amp;CHAR(MOD(COLUMN(J85)-1,26)+65))&amp;$R57&amp;""),"")</f>
        <v/>
      </c>
      <c r="Z57" s="74" t="str">
        <f t="array" aca="1" ref="Z57" ca="1">IF($R57&lt;&gt;"",
INDIRECT(""&amp;IF(COLUMN(K85)&lt;=26,CHAR(COLUMN(K85)+64),CHAR(INT((COLUMN(K85)-1)/26)+64)&amp;CHAR(MOD(COLUMN(K85)-1,26)+65))&amp;$R57&amp;""),"")</f>
        <v/>
      </c>
      <c r="AA57" s="74" t="str">
        <f t="array" aca="1" ref="AA57" ca="1">IF($R57&lt;&gt;"",
INDIRECT(""&amp;IF(COLUMN(L85)&lt;=26,CHAR(COLUMN(L85)+64),CHAR(INT((COLUMN(L85)-1)/26)+64)&amp;CHAR(MOD(COLUMN(L85)-1,26)+65))&amp;$R57&amp;""),"")</f>
        <v/>
      </c>
      <c r="AB57" s="74" t="str">
        <f t="array" aca="1" ref="AB57" ca="1">IF($R57&lt;&gt;"",
INDIRECT(""&amp;IF(COLUMN(O85)&lt;=26,CHAR(COLUMN(O85)+64),CHAR(INT((COLUMN(O85)-1)/26)+64)&amp;CHAR(MOD(COLUMN(O85)-1,26)+65))&amp;$R57&amp;""),"")</f>
        <v/>
      </c>
    </row>
    <row r="58" spans="1:28" s="74" customFormat="1" ht="18" customHeight="1">
      <c r="A58" s="223"/>
      <c r="B58" s="78"/>
      <c r="R58" s="74" t="str">
        <f t="array" ref="R58">IFERROR(SMALL(IF(P$1:P$228&lt;&gt;0,P$1:P$228),ROW(#REF!)),"")</f>
        <v/>
      </c>
      <c r="S58" s="74" t="str">
        <f t="array" aca="1" ref="S58" ca="1">IF($R58&lt;&gt;"",
INDIRECT(""&amp;IF(COLUMN(C86)&lt;=26,CHAR(COLUMN(C86)+64),CHAR(INT((COLUMN(C86)-1)/26)+64)&amp;CHAR(MOD(COLUMN(C86)-1,26)+65))&amp;$R58&amp;""),"")</f>
        <v/>
      </c>
      <c r="T58" s="74" t="str">
        <f t="array" aca="1" ref="T58" ca="1">IF($R58&lt;&gt;"",
INDIRECT(""&amp;IF(COLUMN(D86)&lt;=26,CHAR(COLUMN(D86)+64),CHAR(INT((COLUMN(D86)-1)/26)+64)&amp;CHAR(MOD(COLUMN(D86)-1,26)+65))&amp;$R58&amp;""),"")</f>
        <v/>
      </c>
      <c r="U58" s="74" t="str">
        <f t="array" aca="1" ref="U58" ca="1">IF($R58&lt;&gt;"",
INDIRECT(""&amp;IF(COLUMN(E86)&lt;=26,CHAR(COLUMN(E86)+64),CHAR(INT((COLUMN(E86)-1)/26)+64)&amp;CHAR(MOD(COLUMN(E86)-1,26)+65))&amp;$R58&amp;""),"")</f>
        <v/>
      </c>
      <c r="V58" s="74" t="str">
        <f t="array" aca="1" ref="V58" ca="1">IF($R58&lt;&gt;"",
IF(U58="",
IF(INDIRECT("EY"&amp;$R58&amp;"")&lt;&gt;"",
INDIRECT("EY"&amp;$R58&amp;"")&amp;"箱"
&amp;INDIRECT("EZ"&amp;$R58&amp;""),""),""),"")</f>
        <v/>
      </c>
      <c r="W58" s="74" t="str">
        <f t="array" aca="1" ref="W58" ca="1">IF($R58&lt;&gt;"",
INDIRECT(""&amp;IF(COLUMN(H86)&lt;=26,CHAR(COLUMN(H86)+64),CHAR(INT((COLUMN(H86)-1)/26)+64)&amp;CHAR(MOD(COLUMN(H86)-1,26)+65))&amp;$R58&amp;""),"")</f>
        <v/>
      </c>
      <c r="X58" s="74" t="str">
        <f t="array" aca="1" ref="X58" ca="1">IF($R58&lt;&gt;"",
INDIRECT(""&amp;IF(COLUMN(I86)&lt;=26,CHAR(COLUMN(I86)+64),CHAR(INT((COLUMN(I86)-1)/26)+64)&amp;CHAR(MOD(COLUMN(I86)-1,26)+65))&amp;$R58&amp;""),"")</f>
        <v/>
      </c>
      <c r="Y58" s="74" t="str">
        <f t="array" aca="1" ref="Y58" ca="1">IF($R58&lt;&gt;"",
INDIRECT(""&amp;IF(COLUMN(J86)&lt;=26,CHAR(COLUMN(J86)+64),CHAR(INT((COLUMN(J86)-1)/26)+64)&amp;CHAR(MOD(COLUMN(J86)-1,26)+65))&amp;$R58&amp;""),"")</f>
        <v/>
      </c>
      <c r="Z58" s="74" t="str">
        <f t="array" aca="1" ref="Z58" ca="1">IF($R58&lt;&gt;"",
INDIRECT(""&amp;IF(COLUMN(K86)&lt;=26,CHAR(COLUMN(K86)+64),CHAR(INT((COLUMN(K86)-1)/26)+64)&amp;CHAR(MOD(COLUMN(K86)-1,26)+65))&amp;$R58&amp;""),"")</f>
        <v/>
      </c>
      <c r="AA58" s="74" t="str">
        <f t="array" aca="1" ref="AA58" ca="1">IF($R58&lt;&gt;"",
INDIRECT(""&amp;IF(COLUMN(L86)&lt;=26,CHAR(COLUMN(L86)+64),CHAR(INT((COLUMN(L86)-1)/26)+64)&amp;CHAR(MOD(COLUMN(L86)-1,26)+65))&amp;$R58&amp;""),"")</f>
        <v/>
      </c>
      <c r="AB58" s="74" t="str">
        <f t="array" aca="1" ref="AB58" ca="1">IF($R58&lt;&gt;"",
INDIRECT(""&amp;IF(COLUMN(O86)&lt;=26,CHAR(COLUMN(O86)+64),CHAR(INT((COLUMN(O86)-1)/26)+64)&amp;CHAR(MOD(COLUMN(O86)-1,26)+65))&amp;$R58&amp;""),"")</f>
        <v/>
      </c>
    </row>
    <row r="59" spans="1:28" s="74" customFormat="1" ht="22.2" customHeight="1">
      <c r="R59" s="74" t="str">
        <f t="array" ref="R59">IFERROR(SMALL(IF(P$1:P$228&lt;&gt;0,P$1:P$228),ROW(#REF!)),"")</f>
        <v/>
      </c>
      <c r="S59" s="74" t="str">
        <f t="array" aca="1" ref="S59" ca="1">IF($R59&lt;&gt;"",
INDIRECT(""&amp;IF(COLUMN(C88)&lt;=26,CHAR(COLUMN(C88)+64),CHAR(INT((COLUMN(C88)-1)/26)+64)&amp;CHAR(MOD(COLUMN(C88)-1,26)+65))&amp;$R59&amp;""),"")</f>
        <v/>
      </c>
      <c r="T59" s="74" t="str">
        <f t="array" aca="1" ref="T59" ca="1">IF($R59&lt;&gt;"",
INDIRECT(""&amp;IF(COLUMN(D88)&lt;=26,CHAR(COLUMN(D88)+64),CHAR(INT((COLUMN(D88)-1)/26)+64)&amp;CHAR(MOD(COLUMN(D88)-1,26)+65))&amp;$R59&amp;""),"")</f>
        <v/>
      </c>
      <c r="U59" s="74" t="str">
        <f t="array" aca="1" ref="U59" ca="1">IF($R59&lt;&gt;"",
INDIRECT(""&amp;IF(COLUMN(E88)&lt;=26,CHAR(COLUMN(E88)+64),CHAR(INT((COLUMN(E88)-1)/26)+64)&amp;CHAR(MOD(COLUMN(E88)-1,26)+65))&amp;$R59&amp;""),"")</f>
        <v/>
      </c>
      <c r="V59" s="74" t="str">
        <f t="array" aca="1" ref="V59" ca="1">IF($R59&lt;&gt;"",
IF(U59="",
IF(INDIRECT("EY"&amp;$R59&amp;"")&lt;&gt;"",
INDIRECT("EY"&amp;$R59&amp;"")&amp;"箱"
&amp;INDIRECT("EZ"&amp;$R59&amp;""),""),""),"")</f>
        <v/>
      </c>
      <c r="W59" s="74" t="str">
        <f t="array" aca="1" ref="W59" ca="1">IF($R59&lt;&gt;"",
INDIRECT(""&amp;IF(COLUMN(H88)&lt;=26,CHAR(COLUMN(H88)+64),CHAR(INT((COLUMN(H88)-1)/26)+64)&amp;CHAR(MOD(COLUMN(H88)-1,26)+65))&amp;$R59&amp;""),"")</f>
        <v/>
      </c>
      <c r="X59" s="74" t="str">
        <f t="array" aca="1" ref="X59" ca="1">IF($R59&lt;&gt;"",
INDIRECT(""&amp;IF(COLUMN(I88)&lt;=26,CHAR(COLUMN(I88)+64),CHAR(INT((COLUMN(I88)-1)/26)+64)&amp;CHAR(MOD(COLUMN(I88)-1,26)+65))&amp;$R59&amp;""),"")</f>
        <v/>
      </c>
      <c r="Y59" s="74" t="str">
        <f t="array" aca="1" ref="Y59" ca="1">IF($R59&lt;&gt;"",
INDIRECT(""&amp;IF(COLUMN(J88)&lt;=26,CHAR(COLUMN(J88)+64),CHAR(INT((COLUMN(J88)-1)/26)+64)&amp;CHAR(MOD(COLUMN(J88)-1,26)+65))&amp;$R59&amp;""),"")</f>
        <v/>
      </c>
      <c r="Z59" s="74" t="str">
        <f t="array" aca="1" ref="Z59" ca="1">IF($R59&lt;&gt;"",
INDIRECT(""&amp;IF(COLUMN(K88)&lt;=26,CHAR(COLUMN(K88)+64),CHAR(INT((COLUMN(K88)-1)/26)+64)&amp;CHAR(MOD(COLUMN(K88)-1,26)+65))&amp;$R59&amp;""),"")</f>
        <v/>
      </c>
      <c r="AA59" s="74" t="str">
        <f t="array" aca="1" ref="AA59" ca="1">IF($R59&lt;&gt;"",
INDIRECT(""&amp;IF(COLUMN(L88)&lt;=26,CHAR(COLUMN(L88)+64),CHAR(INT((COLUMN(L88)-1)/26)+64)&amp;CHAR(MOD(COLUMN(L88)-1,26)+65))&amp;$R59&amp;""),"")</f>
        <v/>
      </c>
      <c r="AB59" s="74" t="str">
        <f t="array" aca="1" ref="AB59" ca="1">IF($R59&lt;&gt;"",
INDIRECT(""&amp;IF(COLUMN(O88)&lt;=26,CHAR(COLUMN(O88)+64),CHAR(INT((COLUMN(O88)-1)/26)+64)&amp;CHAR(MOD(COLUMN(O88)-1,26)+65))&amp;$R59&amp;""),"")</f>
        <v/>
      </c>
    </row>
    <row r="60" spans="1:28" ht="18" customHeight="1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 t="str">
        <f t="array" ref="R60">IFERROR(SMALL(IF(P$1:P$228&lt;&gt;0,P$1:P$228),ROW(#REF!)),"")</f>
        <v/>
      </c>
      <c r="S60" s="74" t="str">
        <f t="array" aca="1" ref="S60" ca="1">IF($R60&lt;&gt;"",
INDIRECT(""&amp;IF(COLUMN(C89)&lt;=26,CHAR(COLUMN(C89)+64),CHAR(INT((COLUMN(C89)-1)/26)+64)&amp;CHAR(MOD(COLUMN(C89)-1,26)+65))&amp;$R60&amp;""),"")</f>
        <v/>
      </c>
      <c r="T60" s="74" t="str">
        <f t="array" aca="1" ref="T60" ca="1">IF($R60&lt;&gt;"",
INDIRECT(""&amp;IF(COLUMN(D89)&lt;=26,CHAR(COLUMN(D89)+64),CHAR(INT((COLUMN(D89)-1)/26)+64)&amp;CHAR(MOD(COLUMN(D89)-1,26)+65))&amp;$R60&amp;""),"")</f>
        <v/>
      </c>
      <c r="U60" s="74" t="str">
        <f t="array" aca="1" ref="U60" ca="1">IF($R60&lt;&gt;"",
INDIRECT(""&amp;IF(COLUMN(E89)&lt;=26,CHAR(COLUMN(E89)+64),CHAR(INT((COLUMN(E89)-1)/26)+64)&amp;CHAR(MOD(COLUMN(E89)-1,26)+65))&amp;$R60&amp;""),"")</f>
        <v/>
      </c>
      <c r="V60" s="74" t="str">
        <f t="array" aca="1" ref="V60" ca="1">IF($R60&lt;&gt;"",
IF(U60="",
IF(INDIRECT("EY"&amp;$R60&amp;"")&lt;&gt;"",
INDIRECT("EY"&amp;$R60&amp;"")&amp;"箱"
&amp;INDIRECT("EZ"&amp;$R60&amp;""),""),""),"")</f>
        <v/>
      </c>
      <c r="W60" s="74" t="str">
        <f t="array" aca="1" ref="W60" ca="1">IF($R60&lt;&gt;"",
INDIRECT(""&amp;IF(COLUMN(H89)&lt;=26,CHAR(COLUMN(H89)+64),CHAR(INT((COLUMN(H89)-1)/26)+64)&amp;CHAR(MOD(COLUMN(H89)-1,26)+65))&amp;$R60&amp;""),"")</f>
        <v/>
      </c>
      <c r="X60" s="74" t="str">
        <f t="array" aca="1" ref="X60" ca="1">IF($R60&lt;&gt;"",
INDIRECT(""&amp;IF(COLUMN(I89)&lt;=26,CHAR(COLUMN(I89)+64),CHAR(INT((COLUMN(I89)-1)/26)+64)&amp;CHAR(MOD(COLUMN(I89)-1,26)+65))&amp;$R60&amp;""),"")</f>
        <v/>
      </c>
      <c r="Y60" s="74" t="str">
        <f t="array" aca="1" ref="Y60" ca="1">IF($R60&lt;&gt;"",
INDIRECT(""&amp;IF(COLUMN(J89)&lt;=26,CHAR(COLUMN(J89)+64),CHAR(INT((COLUMN(J89)-1)/26)+64)&amp;CHAR(MOD(COLUMN(J89)-1,26)+65))&amp;$R60&amp;""),"")</f>
        <v/>
      </c>
      <c r="Z60" s="74" t="str">
        <f t="array" aca="1" ref="Z60" ca="1">IF($R60&lt;&gt;"",
INDIRECT(""&amp;IF(COLUMN(K89)&lt;=26,CHAR(COLUMN(K89)+64),CHAR(INT((COLUMN(K89)-1)/26)+64)&amp;CHAR(MOD(COLUMN(K89)-1,26)+65))&amp;$R60&amp;""),"")</f>
        <v/>
      </c>
      <c r="AA60" s="74" t="str">
        <f t="array" aca="1" ref="AA60" ca="1">IF($R60&lt;&gt;"",
INDIRECT(""&amp;IF(COLUMN(L89)&lt;=26,CHAR(COLUMN(L89)+64),CHAR(INT((COLUMN(L89)-1)/26)+64)&amp;CHAR(MOD(COLUMN(L89)-1,26)+65))&amp;$R60&amp;""),"")</f>
        <v/>
      </c>
      <c r="AB60" s="74" t="str">
        <f t="array" aca="1" ref="AB60" ca="1">IF($R60&lt;&gt;"",
INDIRECT(""&amp;IF(COLUMN(O89)&lt;=26,CHAR(COLUMN(O89)+64),CHAR(INT((COLUMN(O89)-1)/26)+64)&amp;CHAR(MOD(COLUMN(O89)-1,26)+65))&amp;$R60&amp;""),"")</f>
        <v/>
      </c>
    </row>
    <row r="61" spans="1:28" ht="18" customHeight="1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 t="str">
        <f t="array" ref="R61">IFERROR(SMALL(IF(P$1:P$228&lt;&gt;0,P$1:P$228),ROW(#REF!)),"")</f>
        <v/>
      </c>
      <c r="S61" s="74" t="str">
        <f t="array" aca="1" ref="S61" ca="1">IF($R61&lt;&gt;"",
INDIRECT(""&amp;IF(COLUMN(C91)&lt;=26,CHAR(COLUMN(C91)+64),CHAR(INT((COLUMN(C91)-1)/26)+64)&amp;CHAR(MOD(COLUMN(C91)-1,26)+65))&amp;$R61&amp;""),"")</f>
        <v/>
      </c>
      <c r="T61" s="74" t="str">
        <f t="array" aca="1" ref="T61" ca="1">IF($R61&lt;&gt;"",
INDIRECT(""&amp;IF(COLUMN(D91)&lt;=26,CHAR(COLUMN(D91)+64),CHAR(INT((COLUMN(D91)-1)/26)+64)&amp;CHAR(MOD(COLUMN(D91)-1,26)+65))&amp;$R61&amp;""),"")</f>
        <v/>
      </c>
      <c r="U61" s="74" t="str">
        <f t="array" aca="1" ref="U61" ca="1">IF($R61&lt;&gt;"",
INDIRECT(""&amp;IF(COLUMN(E91)&lt;=26,CHAR(COLUMN(E91)+64),CHAR(INT((COLUMN(E91)-1)/26)+64)&amp;CHAR(MOD(COLUMN(E91)-1,26)+65))&amp;$R61&amp;""),"")</f>
        <v/>
      </c>
      <c r="V61" s="74" t="str">
        <f t="array" aca="1" ref="V61" ca="1">IF($R61&lt;&gt;"",
IF(U61="",
IF(INDIRECT("EY"&amp;$R61&amp;"")&lt;&gt;"",
INDIRECT("EY"&amp;$R61&amp;"")&amp;"箱"
&amp;INDIRECT("EZ"&amp;$R61&amp;""),""),""),"")</f>
        <v/>
      </c>
      <c r="W61" s="74" t="str">
        <f t="array" aca="1" ref="W61" ca="1">IF($R61&lt;&gt;"",
INDIRECT(""&amp;IF(COLUMN(H91)&lt;=26,CHAR(COLUMN(H91)+64),CHAR(INT((COLUMN(H91)-1)/26)+64)&amp;CHAR(MOD(COLUMN(H91)-1,26)+65))&amp;$R61&amp;""),"")</f>
        <v/>
      </c>
      <c r="X61" s="74" t="str">
        <f t="array" aca="1" ref="X61" ca="1">IF($R61&lt;&gt;"",
INDIRECT(""&amp;IF(COLUMN(I91)&lt;=26,CHAR(COLUMN(I91)+64),CHAR(INT((COLUMN(I91)-1)/26)+64)&amp;CHAR(MOD(COLUMN(I91)-1,26)+65))&amp;$R61&amp;""),"")</f>
        <v/>
      </c>
      <c r="Y61" s="74" t="str">
        <f t="array" aca="1" ref="Y61" ca="1">IF($R61&lt;&gt;"",
INDIRECT(""&amp;IF(COLUMN(J91)&lt;=26,CHAR(COLUMN(J91)+64),CHAR(INT((COLUMN(J91)-1)/26)+64)&amp;CHAR(MOD(COLUMN(J91)-1,26)+65))&amp;$R61&amp;""),"")</f>
        <v/>
      </c>
      <c r="Z61" s="74" t="str">
        <f t="array" aca="1" ref="Z61" ca="1">IF($R61&lt;&gt;"",
INDIRECT(""&amp;IF(COLUMN(K91)&lt;=26,CHAR(COLUMN(K91)+64),CHAR(INT((COLUMN(K91)-1)/26)+64)&amp;CHAR(MOD(COLUMN(K91)-1,26)+65))&amp;$R61&amp;""),"")</f>
        <v/>
      </c>
      <c r="AA61" s="74" t="str">
        <f t="array" aca="1" ref="AA61" ca="1">IF($R61&lt;&gt;"",
INDIRECT(""&amp;IF(COLUMN(L91)&lt;=26,CHAR(COLUMN(L91)+64),CHAR(INT((COLUMN(L91)-1)/26)+64)&amp;CHAR(MOD(COLUMN(L91)-1,26)+65))&amp;$R61&amp;""),"")</f>
        <v/>
      </c>
      <c r="AB61" s="74" t="str">
        <f t="array" aca="1" ref="AB61" ca="1">IF($R61&lt;&gt;"",
INDIRECT(""&amp;IF(COLUMN(O91)&lt;=26,CHAR(COLUMN(O91)+64),CHAR(INT((COLUMN(O91)-1)/26)+64)&amp;CHAR(MOD(COLUMN(O91)-1,26)+65))&amp;$R61&amp;""),"")</f>
        <v/>
      </c>
    </row>
    <row r="62" spans="1:28" s="74" customFormat="1" ht="22.2" customHeight="1">
      <c r="R62" s="74" t="str">
        <f t="array" ref="R62">IFERROR(SMALL(IF(P$1:P$228&lt;&gt;0,P$1:P$228),ROW(#REF!)),"")</f>
        <v/>
      </c>
      <c r="S62" s="74" t="str">
        <f t="array" aca="1" ref="S62" ca="1">IF($R62&lt;&gt;"",
INDIRECT(""&amp;IF(COLUMN(C92)&lt;=26,CHAR(COLUMN(C92)+64),CHAR(INT((COLUMN(C92)-1)/26)+64)&amp;CHAR(MOD(COLUMN(C92)-1,26)+65))&amp;$R62&amp;""),"")</f>
        <v/>
      </c>
      <c r="T62" s="74" t="str">
        <f t="array" aca="1" ref="T62" ca="1">IF($R62&lt;&gt;"",
INDIRECT(""&amp;IF(COLUMN(D92)&lt;=26,CHAR(COLUMN(D92)+64),CHAR(INT((COLUMN(D92)-1)/26)+64)&amp;CHAR(MOD(COLUMN(D92)-1,26)+65))&amp;$R62&amp;""),"")</f>
        <v/>
      </c>
      <c r="U62" s="74" t="str">
        <f t="array" aca="1" ref="U62" ca="1">IF($R62&lt;&gt;"",
INDIRECT(""&amp;IF(COLUMN(E92)&lt;=26,CHAR(COLUMN(E92)+64),CHAR(INT((COLUMN(E92)-1)/26)+64)&amp;CHAR(MOD(COLUMN(E92)-1,26)+65))&amp;$R62&amp;""),"")</f>
        <v/>
      </c>
      <c r="V62" s="74" t="str">
        <f t="array" aca="1" ref="V62" ca="1">IF($R62&lt;&gt;"",
IF(U62="",
IF(INDIRECT("EY"&amp;$R62&amp;"")&lt;&gt;"",
INDIRECT("EY"&amp;$R62&amp;"")&amp;"箱"
&amp;INDIRECT("EZ"&amp;$R62&amp;""),""),""),"")</f>
        <v/>
      </c>
      <c r="W62" s="74" t="str">
        <f t="array" aca="1" ref="W62" ca="1">IF($R62&lt;&gt;"",
INDIRECT(""&amp;IF(COLUMN(H92)&lt;=26,CHAR(COLUMN(H92)+64),CHAR(INT((COLUMN(H92)-1)/26)+64)&amp;CHAR(MOD(COLUMN(H92)-1,26)+65))&amp;$R62&amp;""),"")</f>
        <v/>
      </c>
      <c r="X62" s="74" t="str">
        <f t="array" aca="1" ref="X62" ca="1">IF($R62&lt;&gt;"",
INDIRECT(""&amp;IF(COLUMN(I92)&lt;=26,CHAR(COLUMN(I92)+64),CHAR(INT((COLUMN(I92)-1)/26)+64)&amp;CHAR(MOD(COLUMN(I92)-1,26)+65))&amp;$R62&amp;""),"")</f>
        <v/>
      </c>
      <c r="Y62" s="74" t="str">
        <f t="array" aca="1" ref="Y62" ca="1">IF($R62&lt;&gt;"",
INDIRECT(""&amp;IF(COLUMN(J92)&lt;=26,CHAR(COLUMN(J92)+64),CHAR(INT((COLUMN(J92)-1)/26)+64)&amp;CHAR(MOD(COLUMN(J92)-1,26)+65))&amp;$R62&amp;""),"")</f>
        <v/>
      </c>
      <c r="Z62" s="74" t="str">
        <f t="array" aca="1" ref="Z62" ca="1">IF($R62&lt;&gt;"",
INDIRECT(""&amp;IF(COLUMN(K92)&lt;=26,CHAR(COLUMN(K92)+64),CHAR(INT((COLUMN(K92)-1)/26)+64)&amp;CHAR(MOD(COLUMN(K92)-1,26)+65))&amp;$R62&amp;""),"")</f>
        <v/>
      </c>
      <c r="AA62" s="74" t="str">
        <f t="array" aca="1" ref="AA62" ca="1">IF($R62&lt;&gt;"",
INDIRECT(""&amp;IF(COLUMN(L92)&lt;=26,CHAR(COLUMN(L92)+64),CHAR(INT((COLUMN(L92)-1)/26)+64)&amp;CHAR(MOD(COLUMN(L92)-1,26)+65))&amp;$R62&amp;""),"")</f>
        <v/>
      </c>
      <c r="AB62" s="74" t="str">
        <f t="array" aca="1" ref="AB62" ca="1">IF($R62&lt;&gt;"",
INDIRECT(""&amp;IF(COLUMN(O92)&lt;=26,CHAR(COLUMN(O92)+64),CHAR(INT((COLUMN(O92)-1)/26)+64)&amp;CHAR(MOD(COLUMN(O92)-1,26)+65))&amp;$R62&amp;""),"")</f>
        <v/>
      </c>
    </row>
    <row r="63" spans="1:28" ht="21" customHeight="1">
      <c r="A63" s="22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 t="str">
        <f t="array" ref="R63">IFERROR(SMALL(IF(P$1:P$228&lt;&gt;0,P$1:P$228),ROW(#REF!)),"")</f>
        <v/>
      </c>
      <c r="S63" s="74" t="str">
        <f t="array" aca="1" ref="S63" ca="1">IF($R63&lt;&gt;"",
INDIRECT(""&amp;IF(COLUMN(C94)&lt;=26,CHAR(COLUMN(C94)+64),CHAR(INT((COLUMN(C94)-1)/26)+64)&amp;CHAR(MOD(COLUMN(C94)-1,26)+65))&amp;$R63&amp;""),"")</f>
        <v/>
      </c>
      <c r="T63" s="74" t="str">
        <f t="array" aca="1" ref="T63" ca="1">IF($R63&lt;&gt;"",
INDIRECT(""&amp;IF(COLUMN(D94)&lt;=26,CHAR(COLUMN(D94)+64),CHAR(INT((COLUMN(D94)-1)/26)+64)&amp;CHAR(MOD(COLUMN(D94)-1,26)+65))&amp;$R63&amp;""),"")</f>
        <v/>
      </c>
      <c r="U63" s="74" t="str">
        <f t="array" aca="1" ref="U63" ca="1">IF($R63&lt;&gt;"",
INDIRECT(""&amp;IF(COLUMN(E94)&lt;=26,CHAR(COLUMN(E94)+64),CHAR(INT((COLUMN(E94)-1)/26)+64)&amp;CHAR(MOD(COLUMN(E94)-1,26)+65))&amp;$R63&amp;""),"")</f>
        <v/>
      </c>
      <c r="V63" s="74" t="str">
        <f t="array" aca="1" ref="V63" ca="1">IF($R63&lt;&gt;"",
IF(U63="",
IF(INDIRECT("EY"&amp;$R63&amp;"")&lt;&gt;"",
INDIRECT("EY"&amp;$R63&amp;"")&amp;"箱"
&amp;INDIRECT("EZ"&amp;$R63&amp;""),""),""),"")</f>
        <v/>
      </c>
      <c r="W63" s="74" t="str">
        <f t="array" aca="1" ref="W63" ca="1">IF($R63&lt;&gt;"",
INDIRECT(""&amp;IF(COLUMN(H94)&lt;=26,CHAR(COLUMN(H94)+64),CHAR(INT((COLUMN(H94)-1)/26)+64)&amp;CHAR(MOD(COLUMN(H94)-1,26)+65))&amp;$R63&amp;""),"")</f>
        <v/>
      </c>
      <c r="X63" s="74" t="str">
        <f t="array" aca="1" ref="X63" ca="1">IF($R63&lt;&gt;"",
INDIRECT(""&amp;IF(COLUMN(I94)&lt;=26,CHAR(COLUMN(I94)+64),CHAR(INT((COLUMN(I94)-1)/26)+64)&amp;CHAR(MOD(COLUMN(I94)-1,26)+65))&amp;$R63&amp;""),"")</f>
        <v/>
      </c>
      <c r="Y63" s="74" t="str">
        <f t="array" aca="1" ref="Y63" ca="1">IF($R63&lt;&gt;"",
INDIRECT(""&amp;IF(COLUMN(J94)&lt;=26,CHAR(COLUMN(J94)+64),CHAR(INT((COLUMN(J94)-1)/26)+64)&amp;CHAR(MOD(COLUMN(J94)-1,26)+65))&amp;$R63&amp;""),"")</f>
        <v/>
      </c>
      <c r="Z63" s="74" t="str">
        <f t="array" aca="1" ref="Z63" ca="1">IF($R63&lt;&gt;"",
INDIRECT(""&amp;IF(COLUMN(K94)&lt;=26,CHAR(COLUMN(K94)+64),CHAR(INT((COLUMN(K94)-1)/26)+64)&amp;CHAR(MOD(COLUMN(K94)-1,26)+65))&amp;$R63&amp;""),"")</f>
        <v/>
      </c>
      <c r="AA63" s="74" t="str">
        <f t="array" aca="1" ref="AA63" ca="1">IF($R63&lt;&gt;"",
INDIRECT(""&amp;IF(COLUMN(L94)&lt;=26,CHAR(COLUMN(L94)+64),CHAR(INT((COLUMN(L94)-1)/26)+64)&amp;CHAR(MOD(COLUMN(L94)-1,26)+65))&amp;$R63&amp;""),"")</f>
        <v/>
      </c>
      <c r="AB63" s="74" t="str">
        <f t="array" aca="1" ref="AB63" ca="1">IF($R63&lt;&gt;"",
INDIRECT(""&amp;IF(COLUMN(O94)&lt;=26,CHAR(COLUMN(O94)+64),CHAR(INT((COLUMN(O94)-1)/26)+64)&amp;CHAR(MOD(COLUMN(O94)-1,26)+65))&amp;$R63&amp;""),"")</f>
        <v/>
      </c>
    </row>
    <row r="64" spans="1:28" s="74" customFormat="1" ht="18" customHeight="1">
      <c r="B64" s="78"/>
      <c r="R64" s="74" t="str">
        <f t="array" ref="R64">IFERROR(SMALL(IF(P$1:P$228&lt;&gt;0,P$1:P$228),ROW(#REF!)),"")</f>
        <v/>
      </c>
      <c r="S64" s="74" t="str">
        <f t="array" aca="1" ref="S64" ca="1">IF($R64&lt;&gt;"",
INDIRECT(""&amp;IF(COLUMN(C95)&lt;=26,CHAR(COLUMN(C95)+64),CHAR(INT((COLUMN(C95)-1)/26)+64)&amp;CHAR(MOD(COLUMN(C95)-1,26)+65))&amp;$R64&amp;""),"")</f>
        <v/>
      </c>
      <c r="T64" s="74" t="str">
        <f t="array" aca="1" ref="T64" ca="1">IF($R64&lt;&gt;"",
INDIRECT(""&amp;IF(COLUMN(D95)&lt;=26,CHAR(COLUMN(D95)+64),CHAR(INT((COLUMN(D95)-1)/26)+64)&amp;CHAR(MOD(COLUMN(D95)-1,26)+65))&amp;$R64&amp;""),"")</f>
        <v/>
      </c>
      <c r="U64" s="74" t="str">
        <f t="array" aca="1" ref="U64" ca="1">IF($R64&lt;&gt;"",
INDIRECT(""&amp;IF(COLUMN(E95)&lt;=26,CHAR(COLUMN(E95)+64),CHAR(INT((COLUMN(E95)-1)/26)+64)&amp;CHAR(MOD(COLUMN(E95)-1,26)+65))&amp;$R64&amp;""),"")</f>
        <v/>
      </c>
      <c r="V64" s="74" t="str">
        <f t="array" aca="1" ref="V64" ca="1">IF($R64&lt;&gt;"",
IF(U64="",
IF(INDIRECT("EY"&amp;$R64&amp;"")&lt;&gt;"",
INDIRECT("EY"&amp;$R64&amp;"")&amp;"箱"
&amp;INDIRECT("EZ"&amp;$R64&amp;""),""),""),"")</f>
        <v/>
      </c>
      <c r="W64" s="74" t="str">
        <f t="array" aca="1" ref="W64" ca="1">IF($R64&lt;&gt;"",
INDIRECT(""&amp;IF(COLUMN(H95)&lt;=26,CHAR(COLUMN(H95)+64),CHAR(INT((COLUMN(H95)-1)/26)+64)&amp;CHAR(MOD(COLUMN(H95)-1,26)+65))&amp;$R64&amp;""),"")</f>
        <v/>
      </c>
      <c r="X64" s="74" t="str">
        <f t="array" aca="1" ref="X64" ca="1">IF($R64&lt;&gt;"",
INDIRECT(""&amp;IF(COLUMN(I95)&lt;=26,CHAR(COLUMN(I95)+64),CHAR(INT((COLUMN(I95)-1)/26)+64)&amp;CHAR(MOD(COLUMN(I95)-1,26)+65))&amp;$R64&amp;""),"")</f>
        <v/>
      </c>
      <c r="Y64" s="74" t="str">
        <f t="array" aca="1" ref="Y64" ca="1">IF($R64&lt;&gt;"",
INDIRECT(""&amp;IF(COLUMN(J95)&lt;=26,CHAR(COLUMN(J95)+64),CHAR(INT((COLUMN(J95)-1)/26)+64)&amp;CHAR(MOD(COLUMN(J95)-1,26)+65))&amp;$R64&amp;""),"")</f>
        <v/>
      </c>
      <c r="Z64" s="74" t="str">
        <f t="array" aca="1" ref="Z64" ca="1">IF($R64&lt;&gt;"",
INDIRECT(""&amp;IF(COLUMN(K95)&lt;=26,CHAR(COLUMN(K95)+64),CHAR(INT((COLUMN(K95)-1)/26)+64)&amp;CHAR(MOD(COLUMN(K95)-1,26)+65))&amp;$R64&amp;""),"")</f>
        <v/>
      </c>
      <c r="AA64" s="74" t="str">
        <f t="array" aca="1" ref="AA64" ca="1">IF($R64&lt;&gt;"",
INDIRECT(""&amp;IF(COLUMN(L95)&lt;=26,CHAR(COLUMN(L95)+64),CHAR(INT((COLUMN(L95)-1)/26)+64)&amp;CHAR(MOD(COLUMN(L95)-1,26)+65))&amp;$R64&amp;""),"")</f>
        <v/>
      </c>
      <c r="AB64" s="74" t="str">
        <f t="array" aca="1" ref="AB64" ca="1">IF($R64&lt;&gt;"",
INDIRECT(""&amp;IF(COLUMN(O95)&lt;=26,CHAR(COLUMN(O95)+64),CHAR(INT((COLUMN(O95)-1)/26)+64)&amp;CHAR(MOD(COLUMN(O95)-1,26)+65))&amp;$R64&amp;""),"")</f>
        <v/>
      </c>
    </row>
    <row r="65" spans="1:28" s="74" customFormat="1" ht="18" customHeight="1">
      <c r="A65" s="223"/>
      <c r="R65" s="74" t="str">
        <f t="array" ref="R65">IFERROR(SMALL(IF(P$1:P$228&lt;&gt;0,P$1:P$228),ROW(#REF!)),"")</f>
        <v/>
      </c>
      <c r="S65" s="74" t="str">
        <f t="array" aca="1" ref="S65" ca="1">IF($R65&lt;&gt;"",
INDIRECT(""&amp;IF(COLUMN(C97)&lt;=26,CHAR(COLUMN(C97)+64),CHAR(INT((COLUMN(C97)-1)/26)+64)&amp;CHAR(MOD(COLUMN(C97)-1,26)+65))&amp;$R65&amp;""),"")</f>
        <v/>
      </c>
      <c r="T65" s="74" t="str">
        <f t="array" aca="1" ref="T65" ca="1">IF($R65&lt;&gt;"",
INDIRECT(""&amp;IF(COLUMN(D97)&lt;=26,CHAR(COLUMN(D97)+64),CHAR(INT((COLUMN(D97)-1)/26)+64)&amp;CHAR(MOD(COLUMN(D97)-1,26)+65))&amp;$R65&amp;""),"")</f>
        <v/>
      </c>
      <c r="U65" s="74" t="str">
        <f t="array" aca="1" ref="U65" ca="1">IF($R65&lt;&gt;"",
INDIRECT(""&amp;IF(COLUMN(E97)&lt;=26,CHAR(COLUMN(E97)+64),CHAR(INT((COLUMN(E97)-1)/26)+64)&amp;CHAR(MOD(COLUMN(E97)-1,26)+65))&amp;$R65&amp;""),"")</f>
        <v/>
      </c>
      <c r="V65" s="74" t="str">
        <f t="array" aca="1" ref="V65" ca="1">IF($R65&lt;&gt;"",
IF(U65="",
IF(INDIRECT("EY"&amp;$R65&amp;"")&lt;&gt;"",
INDIRECT("EY"&amp;$R65&amp;"")&amp;"箱"
&amp;INDIRECT("EZ"&amp;$R65&amp;""),""),""),"")</f>
        <v/>
      </c>
      <c r="W65" s="74" t="str">
        <f t="array" aca="1" ref="W65" ca="1">IF($R65&lt;&gt;"",
INDIRECT(""&amp;IF(COLUMN(H97)&lt;=26,CHAR(COLUMN(H97)+64),CHAR(INT((COLUMN(H97)-1)/26)+64)&amp;CHAR(MOD(COLUMN(H97)-1,26)+65))&amp;$R65&amp;""),"")</f>
        <v/>
      </c>
      <c r="X65" s="74" t="str">
        <f t="array" aca="1" ref="X65" ca="1">IF($R65&lt;&gt;"",
INDIRECT(""&amp;IF(COLUMN(I97)&lt;=26,CHAR(COLUMN(I97)+64),CHAR(INT((COLUMN(I97)-1)/26)+64)&amp;CHAR(MOD(COLUMN(I97)-1,26)+65))&amp;$R65&amp;""),"")</f>
        <v/>
      </c>
      <c r="Y65" s="74" t="str">
        <f t="array" aca="1" ref="Y65" ca="1">IF($R65&lt;&gt;"",
INDIRECT(""&amp;IF(COLUMN(J97)&lt;=26,CHAR(COLUMN(J97)+64),CHAR(INT((COLUMN(J97)-1)/26)+64)&amp;CHAR(MOD(COLUMN(J97)-1,26)+65))&amp;$R65&amp;""),"")</f>
        <v/>
      </c>
      <c r="Z65" s="74" t="str">
        <f t="array" aca="1" ref="Z65" ca="1">IF($R65&lt;&gt;"",
INDIRECT(""&amp;IF(COLUMN(K97)&lt;=26,CHAR(COLUMN(K97)+64),CHAR(INT((COLUMN(K97)-1)/26)+64)&amp;CHAR(MOD(COLUMN(K97)-1,26)+65))&amp;$R65&amp;""),"")</f>
        <v/>
      </c>
      <c r="AA65" s="74" t="str">
        <f t="array" aca="1" ref="AA65" ca="1">IF($R65&lt;&gt;"",
INDIRECT(""&amp;IF(COLUMN(L97)&lt;=26,CHAR(COLUMN(L97)+64),CHAR(INT((COLUMN(L97)-1)/26)+64)&amp;CHAR(MOD(COLUMN(L97)-1,26)+65))&amp;$R65&amp;""),"")</f>
        <v/>
      </c>
      <c r="AB65" s="74" t="str">
        <f t="array" aca="1" ref="AB65" ca="1">IF($R65&lt;&gt;"",
INDIRECT(""&amp;IF(COLUMN(O97)&lt;=26,CHAR(COLUMN(O97)+64),CHAR(INT((COLUMN(O97)-1)/26)+64)&amp;CHAR(MOD(COLUMN(O97)-1,26)+65))&amp;$R65&amp;""),"")</f>
        <v/>
      </c>
    </row>
    <row r="66" spans="1:28" s="74" customFormat="1" ht="22.2" customHeight="1">
      <c r="R66" s="74" t="str">
        <f t="array" ref="R66">IFERROR(SMALL(IF(P$1:P$228&lt;&gt;0,P$1:P$228),ROW(#REF!)),"")</f>
        <v/>
      </c>
      <c r="S66" s="74" t="str">
        <f t="array" aca="1" ref="S66" ca="1">IF($R66&lt;&gt;"",
INDIRECT(""&amp;IF(COLUMN(C98)&lt;=26,CHAR(COLUMN(C98)+64),CHAR(INT((COLUMN(C98)-1)/26)+64)&amp;CHAR(MOD(COLUMN(C98)-1,26)+65))&amp;$R66&amp;""),"")</f>
        <v/>
      </c>
      <c r="T66" s="74" t="str">
        <f t="array" aca="1" ref="T66" ca="1">IF($R66&lt;&gt;"",
INDIRECT(""&amp;IF(COLUMN(D98)&lt;=26,CHAR(COLUMN(D98)+64),CHAR(INT((COLUMN(D98)-1)/26)+64)&amp;CHAR(MOD(COLUMN(D98)-1,26)+65))&amp;$R66&amp;""),"")</f>
        <v/>
      </c>
      <c r="U66" s="74" t="str">
        <f t="array" aca="1" ref="U66" ca="1">IF($R66&lt;&gt;"",
INDIRECT(""&amp;IF(COLUMN(E98)&lt;=26,CHAR(COLUMN(E98)+64),CHAR(INT((COLUMN(E98)-1)/26)+64)&amp;CHAR(MOD(COLUMN(E98)-1,26)+65))&amp;$R66&amp;""),"")</f>
        <v/>
      </c>
      <c r="V66" s="74" t="str">
        <f t="array" aca="1" ref="V66" ca="1">IF($R66&lt;&gt;"",
IF(U66="",
IF(INDIRECT("EY"&amp;$R66&amp;"")&lt;&gt;"",
INDIRECT("EY"&amp;$R66&amp;"")&amp;"箱"
&amp;INDIRECT("EZ"&amp;$R66&amp;""),""),""),"")</f>
        <v/>
      </c>
      <c r="W66" s="74" t="str">
        <f t="array" aca="1" ref="W66" ca="1">IF($R66&lt;&gt;"",
INDIRECT(""&amp;IF(COLUMN(H98)&lt;=26,CHAR(COLUMN(H98)+64),CHAR(INT((COLUMN(H98)-1)/26)+64)&amp;CHAR(MOD(COLUMN(H98)-1,26)+65))&amp;$R66&amp;""),"")</f>
        <v/>
      </c>
      <c r="X66" s="74" t="str">
        <f t="array" aca="1" ref="X66" ca="1">IF($R66&lt;&gt;"",
INDIRECT(""&amp;IF(COLUMN(I98)&lt;=26,CHAR(COLUMN(I98)+64),CHAR(INT((COLUMN(I98)-1)/26)+64)&amp;CHAR(MOD(COLUMN(I98)-1,26)+65))&amp;$R66&amp;""),"")</f>
        <v/>
      </c>
      <c r="Y66" s="74" t="str">
        <f t="array" aca="1" ref="Y66" ca="1">IF($R66&lt;&gt;"",
INDIRECT(""&amp;IF(COLUMN(J98)&lt;=26,CHAR(COLUMN(J98)+64),CHAR(INT((COLUMN(J98)-1)/26)+64)&amp;CHAR(MOD(COLUMN(J98)-1,26)+65))&amp;$R66&amp;""),"")</f>
        <v/>
      </c>
      <c r="Z66" s="74" t="str">
        <f t="array" aca="1" ref="Z66" ca="1">IF($R66&lt;&gt;"",
INDIRECT(""&amp;IF(COLUMN(K98)&lt;=26,CHAR(COLUMN(K98)+64),CHAR(INT((COLUMN(K98)-1)/26)+64)&amp;CHAR(MOD(COLUMN(K98)-1,26)+65))&amp;$R66&amp;""),"")</f>
        <v/>
      </c>
      <c r="AA66" s="74" t="str">
        <f t="array" aca="1" ref="AA66" ca="1">IF($R66&lt;&gt;"",
INDIRECT(""&amp;IF(COLUMN(L98)&lt;=26,CHAR(COLUMN(L98)+64),CHAR(INT((COLUMN(L98)-1)/26)+64)&amp;CHAR(MOD(COLUMN(L98)-1,26)+65))&amp;$R66&amp;""),"")</f>
        <v/>
      </c>
      <c r="AB66" s="74" t="str">
        <f t="array" aca="1" ref="AB66" ca="1">IF($R66&lt;&gt;"",
INDIRECT(""&amp;IF(COLUMN(O98)&lt;=26,CHAR(COLUMN(O98)+64),CHAR(INT((COLUMN(O98)-1)/26)+64)&amp;CHAR(MOD(COLUMN(O98)-1,26)+65))&amp;$R66&amp;""),"")</f>
        <v/>
      </c>
    </row>
    <row r="67" spans="1:28" ht="18" customHeight="1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 t="str">
        <f t="array" ref="R67">IFERROR(SMALL(IF(P$1:P$228&lt;&gt;0,P$1:P$228),ROW(#REF!)),"")</f>
        <v/>
      </c>
      <c r="S67" s="74" t="str">
        <f t="array" aca="1" ref="S67" ca="1">IF($R67&lt;&gt;"",
INDIRECT(""&amp;IF(COLUMN(C100)&lt;=26,CHAR(COLUMN(C100)+64),CHAR(INT((COLUMN(C100)-1)/26)+64)&amp;CHAR(MOD(COLUMN(C100)-1,26)+65))&amp;$R67&amp;""),"")</f>
        <v/>
      </c>
      <c r="T67" s="74" t="str">
        <f t="array" aca="1" ref="T67" ca="1">IF($R67&lt;&gt;"",
INDIRECT(""&amp;IF(COLUMN(D100)&lt;=26,CHAR(COLUMN(D100)+64),CHAR(INT((COLUMN(D100)-1)/26)+64)&amp;CHAR(MOD(COLUMN(D100)-1,26)+65))&amp;$R67&amp;""),"")</f>
        <v/>
      </c>
      <c r="U67" s="74" t="str">
        <f t="array" aca="1" ref="U67" ca="1">IF($R67&lt;&gt;"",
INDIRECT(""&amp;IF(COLUMN(E100)&lt;=26,CHAR(COLUMN(E100)+64),CHAR(INT((COLUMN(E100)-1)/26)+64)&amp;CHAR(MOD(COLUMN(E100)-1,26)+65))&amp;$R67&amp;""),"")</f>
        <v/>
      </c>
      <c r="V67" s="74" t="str">
        <f t="array" aca="1" ref="V67" ca="1">IF($R67&lt;&gt;"",
IF(U67="",
IF(INDIRECT("EY"&amp;$R67&amp;"")&lt;&gt;"",
INDIRECT("EY"&amp;$R67&amp;"")&amp;"箱"
&amp;INDIRECT("EZ"&amp;$R67&amp;""),""),""),"")</f>
        <v/>
      </c>
      <c r="W67" s="74" t="str">
        <f t="array" aca="1" ref="W67" ca="1">IF($R67&lt;&gt;"",
INDIRECT(""&amp;IF(COLUMN(H100)&lt;=26,CHAR(COLUMN(H100)+64),CHAR(INT((COLUMN(H100)-1)/26)+64)&amp;CHAR(MOD(COLUMN(H100)-1,26)+65))&amp;$R67&amp;""),"")</f>
        <v/>
      </c>
      <c r="X67" s="74" t="str">
        <f t="array" aca="1" ref="X67" ca="1">IF($R67&lt;&gt;"",
INDIRECT(""&amp;IF(COLUMN(I100)&lt;=26,CHAR(COLUMN(I100)+64),CHAR(INT((COLUMN(I100)-1)/26)+64)&amp;CHAR(MOD(COLUMN(I100)-1,26)+65))&amp;$R67&amp;""),"")</f>
        <v/>
      </c>
      <c r="Y67" s="74" t="str">
        <f t="array" aca="1" ref="Y67" ca="1">IF($R67&lt;&gt;"",
INDIRECT(""&amp;IF(COLUMN(J100)&lt;=26,CHAR(COLUMN(J100)+64),CHAR(INT((COLUMN(J100)-1)/26)+64)&amp;CHAR(MOD(COLUMN(J100)-1,26)+65))&amp;$R67&amp;""),"")</f>
        <v/>
      </c>
      <c r="Z67" s="74" t="str">
        <f t="array" aca="1" ref="Z67" ca="1">IF($R67&lt;&gt;"",
INDIRECT(""&amp;IF(COLUMN(K100)&lt;=26,CHAR(COLUMN(K100)+64),CHAR(INT((COLUMN(K100)-1)/26)+64)&amp;CHAR(MOD(COLUMN(K100)-1,26)+65))&amp;$R67&amp;""),"")</f>
        <v/>
      </c>
      <c r="AA67" s="74" t="str">
        <f t="array" aca="1" ref="AA67" ca="1">IF($R67&lt;&gt;"",
INDIRECT(""&amp;IF(COLUMN(L100)&lt;=26,CHAR(COLUMN(L100)+64),CHAR(INT((COLUMN(L100)-1)/26)+64)&amp;CHAR(MOD(COLUMN(L100)-1,26)+65))&amp;$R67&amp;""),"")</f>
        <v/>
      </c>
      <c r="AB67" s="74" t="str">
        <f t="array" aca="1" ref="AB67" ca="1">IF($R67&lt;&gt;"",
INDIRECT(""&amp;IF(COLUMN(O100)&lt;=26,CHAR(COLUMN(O100)+64),CHAR(INT((COLUMN(O100)-1)/26)+64)&amp;CHAR(MOD(COLUMN(O100)-1,26)+65))&amp;$R67&amp;""),"")</f>
        <v/>
      </c>
    </row>
    <row r="68" spans="1:28" ht="18" customHeight="1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 t="str">
        <f t="array" ref="R68">IFERROR(SMALL(IF(P$1:P$228&lt;&gt;0,P$1:P$228),ROW(#REF!)),"")</f>
        <v/>
      </c>
      <c r="S68" s="74" t="str">
        <f t="array" aca="1" ref="S68" ca="1">IF($R68&lt;&gt;"",
INDIRECT(""&amp;IF(COLUMN(C101)&lt;=26,CHAR(COLUMN(C101)+64),CHAR(INT((COLUMN(C101)-1)/26)+64)&amp;CHAR(MOD(COLUMN(C101)-1,26)+65))&amp;$R68&amp;""),"")</f>
        <v/>
      </c>
      <c r="T68" s="74" t="str">
        <f t="array" aca="1" ref="T68" ca="1">IF($R68&lt;&gt;"",
INDIRECT(""&amp;IF(COLUMN(D101)&lt;=26,CHAR(COLUMN(D101)+64),CHAR(INT((COLUMN(D101)-1)/26)+64)&amp;CHAR(MOD(COLUMN(D101)-1,26)+65))&amp;$R68&amp;""),"")</f>
        <v/>
      </c>
      <c r="U68" s="74" t="str">
        <f t="array" aca="1" ref="U68" ca="1">IF($R68&lt;&gt;"",
INDIRECT(""&amp;IF(COLUMN(E101)&lt;=26,CHAR(COLUMN(E101)+64),CHAR(INT((COLUMN(E101)-1)/26)+64)&amp;CHAR(MOD(COLUMN(E101)-1,26)+65))&amp;$R68&amp;""),"")</f>
        <v/>
      </c>
      <c r="V68" s="74" t="str">
        <f t="array" aca="1" ref="V68" ca="1">IF($R68&lt;&gt;"",
IF(U68="",
IF(INDIRECT("EY"&amp;$R68&amp;"")&lt;&gt;"",
INDIRECT("EY"&amp;$R68&amp;"")&amp;"箱"
&amp;INDIRECT("EZ"&amp;$R68&amp;""),""),""),"")</f>
        <v/>
      </c>
      <c r="W68" s="74" t="str">
        <f t="array" aca="1" ref="W68" ca="1">IF($R68&lt;&gt;"",
INDIRECT(""&amp;IF(COLUMN(H101)&lt;=26,CHAR(COLUMN(H101)+64),CHAR(INT((COLUMN(H101)-1)/26)+64)&amp;CHAR(MOD(COLUMN(H101)-1,26)+65))&amp;$R68&amp;""),"")</f>
        <v/>
      </c>
      <c r="X68" s="74" t="str">
        <f t="array" aca="1" ref="X68" ca="1">IF($R68&lt;&gt;"",
INDIRECT(""&amp;IF(COLUMN(I101)&lt;=26,CHAR(COLUMN(I101)+64),CHAR(INT((COLUMN(I101)-1)/26)+64)&amp;CHAR(MOD(COLUMN(I101)-1,26)+65))&amp;$R68&amp;""),"")</f>
        <v/>
      </c>
      <c r="Y68" s="74" t="str">
        <f t="array" aca="1" ref="Y68" ca="1">IF($R68&lt;&gt;"",
INDIRECT(""&amp;IF(COLUMN(J101)&lt;=26,CHAR(COLUMN(J101)+64),CHAR(INT((COLUMN(J101)-1)/26)+64)&amp;CHAR(MOD(COLUMN(J101)-1,26)+65))&amp;$R68&amp;""),"")</f>
        <v/>
      </c>
      <c r="Z68" s="74" t="str">
        <f t="array" aca="1" ref="Z68" ca="1">IF($R68&lt;&gt;"",
INDIRECT(""&amp;IF(COLUMN(K101)&lt;=26,CHAR(COLUMN(K101)+64),CHAR(INT((COLUMN(K101)-1)/26)+64)&amp;CHAR(MOD(COLUMN(K101)-1,26)+65))&amp;$R68&amp;""),"")</f>
        <v/>
      </c>
      <c r="AA68" s="74" t="str">
        <f t="array" aca="1" ref="AA68" ca="1">IF($R68&lt;&gt;"",
INDIRECT(""&amp;IF(COLUMN(L101)&lt;=26,CHAR(COLUMN(L101)+64),CHAR(INT((COLUMN(L101)-1)/26)+64)&amp;CHAR(MOD(COLUMN(L101)-1,26)+65))&amp;$R68&amp;""),"")</f>
        <v/>
      </c>
      <c r="AB68" s="74" t="str">
        <f t="array" aca="1" ref="AB68" ca="1">IF($R68&lt;&gt;"",
INDIRECT(""&amp;IF(COLUMN(O101)&lt;=26,CHAR(COLUMN(O101)+64),CHAR(INT((COLUMN(O101)-1)/26)+64)&amp;CHAR(MOD(COLUMN(O101)-1,26)+65))&amp;$R68&amp;""),"")</f>
        <v/>
      </c>
    </row>
    <row r="69" spans="1:28" s="74" customFormat="1" ht="22.2" customHeight="1">
      <c r="R69" s="74" t="str">
        <f t="array" ref="R69">IFERROR(SMALL(IF(P$1:P$228&lt;&gt;0,P$1:P$228),ROW(#REF!)),"")</f>
        <v/>
      </c>
      <c r="S69" s="74" t="str">
        <f t="array" aca="1" ref="S69" ca="1">IF($R69&lt;&gt;"",
INDIRECT(""&amp;IF(COLUMN(C103)&lt;=26,CHAR(COLUMN(C103)+64),CHAR(INT((COLUMN(C103)-1)/26)+64)&amp;CHAR(MOD(COLUMN(C103)-1,26)+65))&amp;$R69&amp;""),"")</f>
        <v/>
      </c>
      <c r="T69" s="74" t="str">
        <f t="array" aca="1" ref="T69" ca="1">IF($R69&lt;&gt;"",
INDIRECT(""&amp;IF(COLUMN(D103)&lt;=26,CHAR(COLUMN(D103)+64),CHAR(INT((COLUMN(D103)-1)/26)+64)&amp;CHAR(MOD(COLUMN(D103)-1,26)+65))&amp;$R69&amp;""),"")</f>
        <v/>
      </c>
      <c r="U69" s="74" t="str">
        <f t="array" aca="1" ref="U69" ca="1">IF($R69&lt;&gt;"",
INDIRECT(""&amp;IF(COLUMN(E103)&lt;=26,CHAR(COLUMN(E103)+64),CHAR(INT((COLUMN(E103)-1)/26)+64)&amp;CHAR(MOD(COLUMN(E103)-1,26)+65))&amp;$R69&amp;""),"")</f>
        <v/>
      </c>
      <c r="V69" s="74" t="str">
        <f t="array" aca="1" ref="V69" ca="1">IF($R69&lt;&gt;"",
IF(U69="",
IF(INDIRECT("EY"&amp;$R69&amp;"")&lt;&gt;"",
INDIRECT("EY"&amp;$R69&amp;"")&amp;"箱"
&amp;INDIRECT("EZ"&amp;$R69&amp;""),""),""),"")</f>
        <v/>
      </c>
      <c r="W69" s="74" t="str">
        <f t="array" aca="1" ref="W69" ca="1">IF($R69&lt;&gt;"",
INDIRECT(""&amp;IF(COLUMN(H103)&lt;=26,CHAR(COLUMN(H103)+64),CHAR(INT((COLUMN(H103)-1)/26)+64)&amp;CHAR(MOD(COLUMN(H103)-1,26)+65))&amp;$R69&amp;""),"")</f>
        <v/>
      </c>
      <c r="X69" s="74" t="str">
        <f t="array" aca="1" ref="X69" ca="1">IF($R69&lt;&gt;"",
INDIRECT(""&amp;IF(COLUMN(I103)&lt;=26,CHAR(COLUMN(I103)+64),CHAR(INT((COLUMN(I103)-1)/26)+64)&amp;CHAR(MOD(COLUMN(I103)-1,26)+65))&amp;$R69&amp;""),"")</f>
        <v/>
      </c>
      <c r="Y69" s="74" t="str">
        <f t="array" aca="1" ref="Y69" ca="1">IF($R69&lt;&gt;"",
INDIRECT(""&amp;IF(COLUMN(J103)&lt;=26,CHAR(COLUMN(J103)+64),CHAR(INT((COLUMN(J103)-1)/26)+64)&amp;CHAR(MOD(COLUMN(J103)-1,26)+65))&amp;$R69&amp;""),"")</f>
        <v/>
      </c>
      <c r="Z69" s="74" t="str">
        <f t="array" aca="1" ref="Z69" ca="1">IF($R69&lt;&gt;"",
INDIRECT(""&amp;IF(COLUMN(K103)&lt;=26,CHAR(COLUMN(K103)+64),CHAR(INT((COLUMN(K103)-1)/26)+64)&amp;CHAR(MOD(COLUMN(K103)-1,26)+65))&amp;$R69&amp;""),"")</f>
        <v/>
      </c>
      <c r="AA69" s="74" t="str">
        <f t="array" aca="1" ref="AA69" ca="1">IF($R69&lt;&gt;"",
INDIRECT(""&amp;IF(COLUMN(L103)&lt;=26,CHAR(COLUMN(L103)+64),CHAR(INT((COLUMN(L103)-1)/26)+64)&amp;CHAR(MOD(COLUMN(L103)-1,26)+65))&amp;$R69&amp;""),"")</f>
        <v/>
      </c>
      <c r="AB69" s="74" t="str">
        <f t="array" aca="1" ref="AB69" ca="1">IF($R69&lt;&gt;"",
INDIRECT(""&amp;IF(COLUMN(O103)&lt;=26,CHAR(COLUMN(O103)+64),CHAR(INT((COLUMN(O103)-1)/26)+64)&amp;CHAR(MOD(COLUMN(O103)-1,26)+65))&amp;$R69&amp;""),"")</f>
        <v/>
      </c>
    </row>
    <row r="70" spans="1:28" ht="21" customHeight="1">
      <c r="A70" s="22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 t="str">
        <f t="array" ref="R70">IFERROR(SMALL(IF(P$1:P$228&lt;&gt;0,P$1:P$228),ROW(#REF!)),"")</f>
        <v/>
      </c>
      <c r="S70" s="74" t="str">
        <f t="array" aca="1" ref="S70" ca="1">IF($R70&lt;&gt;"",
INDIRECT(""&amp;IF(COLUMN(C104)&lt;=26,CHAR(COLUMN(C104)+64),CHAR(INT((COLUMN(C104)-1)/26)+64)&amp;CHAR(MOD(COLUMN(C104)-1,26)+65))&amp;$R70&amp;""),"")</f>
        <v/>
      </c>
      <c r="T70" s="74" t="str">
        <f t="array" aca="1" ref="T70" ca="1">IF($R70&lt;&gt;"",
INDIRECT(""&amp;IF(COLUMN(D104)&lt;=26,CHAR(COLUMN(D104)+64),CHAR(INT((COLUMN(D104)-1)/26)+64)&amp;CHAR(MOD(COLUMN(D104)-1,26)+65))&amp;$R70&amp;""),"")</f>
        <v/>
      </c>
      <c r="U70" s="74" t="str">
        <f t="array" aca="1" ref="U70" ca="1">IF($R70&lt;&gt;"",
INDIRECT(""&amp;IF(COLUMN(E104)&lt;=26,CHAR(COLUMN(E104)+64),CHAR(INT((COLUMN(E104)-1)/26)+64)&amp;CHAR(MOD(COLUMN(E104)-1,26)+65))&amp;$R70&amp;""),"")</f>
        <v/>
      </c>
      <c r="V70" s="74" t="str">
        <f t="array" aca="1" ref="V70" ca="1">IF($R70&lt;&gt;"",
IF(U70="",
IF(INDIRECT("EY"&amp;$R70&amp;"")&lt;&gt;"",
INDIRECT("EY"&amp;$R70&amp;"")&amp;"箱"
&amp;INDIRECT("EZ"&amp;$R70&amp;""),""),""),"")</f>
        <v/>
      </c>
      <c r="W70" s="74" t="str">
        <f t="array" aca="1" ref="W70" ca="1">IF($R70&lt;&gt;"",
INDIRECT(""&amp;IF(COLUMN(H104)&lt;=26,CHAR(COLUMN(H104)+64),CHAR(INT((COLUMN(H104)-1)/26)+64)&amp;CHAR(MOD(COLUMN(H104)-1,26)+65))&amp;$R70&amp;""),"")</f>
        <v/>
      </c>
      <c r="X70" s="74" t="str">
        <f t="array" aca="1" ref="X70" ca="1">IF($R70&lt;&gt;"",
INDIRECT(""&amp;IF(COLUMN(I104)&lt;=26,CHAR(COLUMN(I104)+64),CHAR(INT((COLUMN(I104)-1)/26)+64)&amp;CHAR(MOD(COLUMN(I104)-1,26)+65))&amp;$R70&amp;""),"")</f>
        <v/>
      </c>
      <c r="Y70" s="74" t="str">
        <f t="array" aca="1" ref="Y70" ca="1">IF($R70&lt;&gt;"",
INDIRECT(""&amp;IF(COLUMN(J104)&lt;=26,CHAR(COLUMN(J104)+64),CHAR(INT((COLUMN(J104)-1)/26)+64)&amp;CHAR(MOD(COLUMN(J104)-1,26)+65))&amp;$R70&amp;""),"")</f>
        <v/>
      </c>
      <c r="Z70" s="74" t="str">
        <f t="array" aca="1" ref="Z70" ca="1">IF($R70&lt;&gt;"",
INDIRECT(""&amp;IF(COLUMN(K104)&lt;=26,CHAR(COLUMN(K104)+64),CHAR(INT((COLUMN(K104)-1)/26)+64)&amp;CHAR(MOD(COLUMN(K104)-1,26)+65))&amp;$R70&amp;""),"")</f>
        <v/>
      </c>
      <c r="AA70" s="74" t="str">
        <f t="array" aca="1" ref="AA70" ca="1">IF($R70&lt;&gt;"",
INDIRECT(""&amp;IF(COLUMN(L104)&lt;=26,CHAR(COLUMN(L104)+64),CHAR(INT((COLUMN(L104)-1)/26)+64)&amp;CHAR(MOD(COLUMN(L104)-1,26)+65))&amp;$R70&amp;""),"")</f>
        <v/>
      </c>
      <c r="AB70" s="74" t="str">
        <f t="array" aca="1" ref="AB70" ca="1">IF($R70&lt;&gt;"",
INDIRECT(""&amp;IF(COLUMN(O104)&lt;=26,CHAR(COLUMN(O104)+64),CHAR(INT((COLUMN(O104)-1)/26)+64)&amp;CHAR(MOD(COLUMN(O104)-1,26)+65))&amp;$R70&amp;""),"")</f>
        <v/>
      </c>
    </row>
    <row r="71" spans="1:28" s="74" customFormat="1" ht="18" customHeight="1">
      <c r="R71" s="74" t="str">
        <f t="array" ref="R71">IFERROR(SMALL(IF(P$1:P$228&lt;&gt;0,P$1:P$228),ROW(#REF!)),"")</f>
        <v/>
      </c>
      <c r="S71" s="74" t="str">
        <f t="array" aca="1" ref="S71" ca="1">IF($R71&lt;&gt;"",
INDIRECT(""&amp;IF(COLUMN(C106)&lt;=26,CHAR(COLUMN(C106)+64),CHAR(INT((COLUMN(C106)-1)/26)+64)&amp;CHAR(MOD(COLUMN(C106)-1,26)+65))&amp;$R71&amp;""),"")</f>
        <v/>
      </c>
      <c r="T71" s="74" t="str">
        <f t="array" aca="1" ref="T71" ca="1">IF($R71&lt;&gt;"",
INDIRECT(""&amp;IF(COLUMN(D106)&lt;=26,CHAR(COLUMN(D106)+64),CHAR(INT((COLUMN(D106)-1)/26)+64)&amp;CHAR(MOD(COLUMN(D106)-1,26)+65))&amp;$R71&amp;""),"")</f>
        <v/>
      </c>
      <c r="U71" s="74" t="str">
        <f t="array" aca="1" ref="U71" ca="1">IF($R71&lt;&gt;"",
INDIRECT(""&amp;IF(COLUMN(E106)&lt;=26,CHAR(COLUMN(E106)+64),CHAR(INT((COLUMN(E106)-1)/26)+64)&amp;CHAR(MOD(COLUMN(E106)-1,26)+65))&amp;$R71&amp;""),"")</f>
        <v/>
      </c>
      <c r="V71" s="74" t="str">
        <f t="array" aca="1" ref="V71" ca="1">IF($R71&lt;&gt;"",
IF(U71="",
IF(INDIRECT("EY"&amp;$R71&amp;"")&lt;&gt;"",
INDIRECT("EY"&amp;$R71&amp;"")&amp;"箱"
&amp;INDIRECT("EZ"&amp;$R71&amp;""),""),""),"")</f>
        <v/>
      </c>
      <c r="W71" s="74" t="str">
        <f t="array" aca="1" ref="W71" ca="1">IF($R71&lt;&gt;"",
INDIRECT(""&amp;IF(COLUMN(H106)&lt;=26,CHAR(COLUMN(H106)+64),CHAR(INT((COLUMN(H106)-1)/26)+64)&amp;CHAR(MOD(COLUMN(H106)-1,26)+65))&amp;$R71&amp;""),"")</f>
        <v/>
      </c>
      <c r="X71" s="74" t="str">
        <f t="array" aca="1" ref="X71" ca="1">IF($R71&lt;&gt;"",
INDIRECT(""&amp;IF(COLUMN(I106)&lt;=26,CHAR(COLUMN(I106)+64),CHAR(INT((COLUMN(I106)-1)/26)+64)&amp;CHAR(MOD(COLUMN(I106)-1,26)+65))&amp;$R71&amp;""),"")</f>
        <v/>
      </c>
      <c r="Y71" s="74" t="str">
        <f t="array" aca="1" ref="Y71" ca="1">IF($R71&lt;&gt;"",
INDIRECT(""&amp;IF(COLUMN(J106)&lt;=26,CHAR(COLUMN(J106)+64),CHAR(INT((COLUMN(J106)-1)/26)+64)&amp;CHAR(MOD(COLUMN(J106)-1,26)+65))&amp;$R71&amp;""),"")</f>
        <v/>
      </c>
      <c r="Z71" s="74" t="str">
        <f t="array" aca="1" ref="Z71" ca="1">IF($R71&lt;&gt;"",
INDIRECT(""&amp;IF(COLUMN(K106)&lt;=26,CHAR(COLUMN(K106)+64),CHAR(INT((COLUMN(K106)-1)/26)+64)&amp;CHAR(MOD(COLUMN(K106)-1,26)+65))&amp;$R71&amp;""),"")</f>
        <v/>
      </c>
      <c r="AA71" s="74" t="str">
        <f t="array" aca="1" ref="AA71" ca="1">IF($R71&lt;&gt;"",
INDIRECT(""&amp;IF(COLUMN(L106)&lt;=26,CHAR(COLUMN(L106)+64),CHAR(INT((COLUMN(L106)-1)/26)+64)&amp;CHAR(MOD(COLUMN(L106)-1,26)+65))&amp;$R71&amp;""),"")</f>
        <v/>
      </c>
      <c r="AB71" s="74" t="str">
        <f t="array" aca="1" ref="AB71" ca="1">IF($R71&lt;&gt;"",
INDIRECT(""&amp;IF(COLUMN(O106)&lt;=26,CHAR(COLUMN(O106)+64),CHAR(INT((COLUMN(O106)-1)/26)+64)&amp;CHAR(MOD(COLUMN(O106)-1,26)+65))&amp;$R71&amp;""),"")</f>
        <v/>
      </c>
    </row>
    <row r="72" spans="1:28" s="74" customFormat="1" ht="18" customHeight="1">
      <c r="A72" s="223"/>
      <c r="R72" s="74" t="str">
        <f t="array" ref="R72">IFERROR(SMALL(IF(P$1:P$228&lt;&gt;0,P$1:P$228),ROW(#REF!)),"")</f>
        <v/>
      </c>
      <c r="S72" s="74" t="str">
        <f t="array" aca="1" ref="S72" ca="1">IF($R72&lt;&gt;"",
INDIRECT(""&amp;IF(COLUMN(C107)&lt;=26,CHAR(COLUMN(C107)+64),CHAR(INT((COLUMN(C107)-1)/26)+64)&amp;CHAR(MOD(COLUMN(C107)-1,26)+65))&amp;$R72&amp;""),"")</f>
        <v/>
      </c>
      <c r="T72" s="74" t="str">
        <f t="array" aca="1" ref="T72" ca="1">IF($R72&lt;&gt;"",
INDIRECT(""&amp;IF(COLUMN(D107)&lt;=26,CHAR(COLUMN(D107)+64),CHAR(INT((COLUMN(D107)-1)/26)+64)&amp;CHAR(MOD(COLUMN(D107)-1,26)+65))&amp;$R72&amp;""),"")</f>
        <v/>
      </c>
      <c r="U72" s="74" t="str">
        <f t="array" aca="1" ref="U72" ca="1">IF($R72&lt;&gt;"",
INDIRECT(""&amp;IF(COLUMN(E107)&lt;=26,CHAR(COLUMN(E107)+64),CHAR(INT((COLUMN(E107)-1)/26)+64)&amp;CHAR(MOD(COLUMN(E107)-1,26)+65))&amp;$R72&amp;""),"")</f>
        <v/>
      </c>
      <c r="V72" s="74" t="str">
        <f t="array" aca="1" ref="V72" ca="1">IF($R72&lt;&gt;"",
IF(U72="",
IF(INDIRECT("EY"&amp;$R72&amp;"")&lt;&gt;"",
INDIRECT("EY"&amp;$R72&amp;"")&amp;"箱"
&amp;INDIRECT("EZ"&amp;$R72&amp;""),""),""),"")</f>
        <v/>
      </c>
      <c r="W72" s="74" t="str">
        <f t="array" aca="1" ref="W72" ca="1">IF($R72&lt;&gt;"",
INDIRECT(""&amp;IF(COLUMN(H107)&lt;=26,CHAR(COLUMN(H107)+64),CHAR(INT((COLUMN(H107)-1)/26)+64)&amp;CHAR(MOD(COLUMN(H107)-1,26)+65))&amp;$R72&amp;""),"")</f>
        <v/>
      </c>
      <c r="X72" s="74" t="str">
        <f t="array" aca="1" ref="X72" ca="1">IF($R72&lt;&gt;"",
INDIRECT(""&amp;IF(COLUMN(I107)&lt;=26,CHAR(COLUMN(I107)+64),CHAR(INT((COLUMN(I107)-1)/26)+64)&amp;CHAR(MOD(COLUMN(I107)-1,26)+65))&amp;$R72&amp;""),"")</f>
        <v/>
      </c>
      <c r="Y72" s="74" t="str">
        <f t="array" aca="1" ref="Y72" ca="1">IF($R72&lt;&gt;"",
INDIRECT(""&amp;IF(COLUMN(J107)&lt;=26,CHAR(COLUMN(J107)+64),CHAR(INT((COLUMN(J107)-1)/26)+64)&amp;CHAR(MOD(COLUMN(J107)-1,26)+65))&amp;$R72&amp;""),"")</f>
        <v/>
      </c>
      <c r="Z72" s="74" t="str">
        <f t="array" aca="1" ref="Z72" ca="1">IF($R72&lt;&gt;"",
INDIRECT(""&amp;IF(COLUMN(K107)&lt;=26,CHAR(COLUMN(K107)+64),CHAR(INT((COLUMN(K107)-1)/26)+64)&amp;CHAR(MOD(COLUMN(K107)-1,26)+65))&amp;$R72&amp;""),"")</f>
        <v/>
      </c>
      <c r="AA72" s="74" t="str">
        <f t="array" aca="1" ref="AA72" ca="1">IF($R72&lt;&gt;"",
INDIRECT(""&amp;IF(COLUMN(L107)&lt;=26,CHAR(COLUMN(L107)+64),CHAR(INT((COLUMN(L107)-1)/26)+64)&amp;CHAR(MOD(COLUMN(L107)-1,26)+65))&amp;$R72&amp;""),"")</f>
        <v/>
      </c>
      <c r="AB72" s="74" t="str">
        <f t="array" aca="1" ref="AB72" ca="1">IF($R72&lt;&gt;"",
INDIRECT(""&amp;IF(COLUMN(O107)&lt;=26,CHAR(COLUMN(O107)+64),CHAR(INT((COLUMN(O107)-1)/26)+64)&amp;CHAR(MOD(COLUMN(O107)-1,26)+65))&amp;$R72&amp;""),"")</f>
        <v/>
      </c>
    </row>
    <row r="73" spans="1:28" s="74" customFormat="1" ht="22.2" customHeight="1">
      <c r="F73" s="221"/>
      <c r="G73" s="221"/>
      <c r="R73" s="74" t="str">
        <f t="array" ref="R73">IFERROR(SMALL(IF(P$1:P$228&lt;&gt;0,P$1:P$228),ROW(#REF!)),"")</f>
        <v/>
      </c>
      <c r="S73" s="74" t="str">
        <f t="array" aca="1" ref="S73" ca="1">IF($R73&lt;&gt;"",
INDIRECT(""&amp;IF(COLUMN(C109)&lt;=26,CHAR(COLUMN(C109)+64),CHAR(INT((COLUMN(C109)-1)/26)+64)&amp;CHAR(MOD(COLUMN(C109)-1,26)+65))&amp;$R73&amp;""),"")</f>
        <v/>
      </c>
      <c r="T73" s="74" t="str">
        <f t="array" aca="1" ref="T73" ca="1">IF($R73&lt;&gt;"",
INDIRECT(""&amp;IF(COLUMN(D109)&lt;=26,CHAR(COLUMN(D109)+64),CHAR(INT((COLUMN(D109)-1)/26)+64)&amp;CHAR(MOD(COLUMN(D109)-1,26)+65))&amp;$R73&amp;""),"")</f>
        <v/>
      </c>
      <c r="U73" s="74" t="str">
        <f t="array" aca="1" ref="U73" ca="1">IF($R73&lt;&gt;"",
INDIRECT(""&amp;IF(COLUMN(E109)&lt;=26,CHAR(COLUMN(E109)+64),CHAR(INT((COLUMN(E109)-1)/26)+64)&amp;CHAR(MOD(COLUMN(E109)-1,26)+65))&amp;$R73&amp;""),"")</f>
        <v/>
      </c>
      <c r="V73" s="74" t="str">
        <f t="array" aca="1" ref="V73" ca="1">IF($R73&lt;&gt;"",
IF(U73="",
IF(INDIRECT("EY"&amp;$R73&amp;"")&lt;&gt;"",
INDIRECT("EY"&amp;$R73&amp;"")&amp;"箱"
&amp;INDIRECT("EZ"&amp;$R73&amp;""),""),""),"")</f>
        <v/>
      </c>
      <c r="W73" s="74" t="str">
        <f t="array" aca="1" ref="W73" ca="1">IF($R73&lt;&gt;"",
INDIRECT(""&amp;IF(COLUMN(H109)&lt;=26,CHAR(COLUMN(H109)+64),CHAR(INT((COLUMN(H109)-1)/26)+64)&amp;CHAR(MOD(COLUMN(H109)-1,26)+65))&amp;$R73&amp;""),"")</f>
        <v/>
      </c>
      <c r="X73" s="74" t="str">
        <f t="array" aca="1" ref="X73" ca="1">IF($R73&lt;&gt;"",
INDIRECT(""&amp;IF(COLUMN(I109)&lt;=26,CHAR(COLUMN(I109)+64),CHAR(INT((COLUMN(I109)-1)/26)+64)&amp;CHAR(MOD(COLUMN(I109)-1,26)+65))&amp;$R73&amp;""),"")</f>
        <v/>
      </c>
      <c r="Y73" s="74" t="str">
        <f t="array" aca="1" ref="Y73" ca="1">IF($R73&lt;&gt;"",
INDIRECT(""&amp;IF(COLUMN(J109)&lt;=26,CHAR(COLUMN(J109)+64),CHAR(INT((COLUMN(J109)-1)/26)+64)&amp;CHAR(MOD(COLUMN(J109)-1,26)+65))&amp;$R73&amp;""),"")</f>
        <v/>
      </c>
      <c r="Z73" s="74" t="str">
        <f t="array" aca="1" ref="Z73" ca="1">IF($R73&lt;&gt;"",
INDIRECT(""&amp;IF(COLUMN(K109)&lt;=26,CHAR(COLUMN(K109)+64),CHAR(INT((COLUMN(K109)-1)/26)+64)&amp;CHAR(MOD(COLUMN(K109)-1,26)+65))&amp;$R73&amp;""),"")</f>
        <v/>
      </c>
      <c r="AA73" s="74" t="str">
        <f t="array" aca="1" ref="AA73" ca="1">IF($R73&lt;&gt;"",
INDIRECT(""&amp;IF(COLUMN(L109)&lt;=26,CHAR(COLUMN(L109)+64),CHAR(INT((COLUMN(L109)-1)/26)+64)&amp;CHAR(MOD(COLUMN(L109)-1,26)+65))&amp;$R73&amp;""),"")</f>
        <v/>
      </c>
      <c r="AB73" s="74" t="str">
        <f t="array" aca="1" ref="AB73" ca="1">IF($R73&lt;&gt;"",
INDIRECT(""&amp;IF(COLUMN(O109)&lt;=26,CHAR(COLUMN(O109)+64),CHAR(INT((COLUMN(O109)-1)/26)+64)&amp;CHAR(MOD(COLUMN(O109)-1,26)+65))&amp;$R73&amp;""),"")</f>
        <v/>
      </c>
    </row>
    <row r="74" spans="1:28" ht="18" customHeight="1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 t="str">
        <f t="array" ref="R74">IFERROR(SMALL(IF(P$1:P$228&lt;&gt;0,P$1:P$228),ROW(#REF!)),"")</f>
        <v/>
      </c>
      <c r="S74" s="74" t="str">
        <f t="array" aca="1" ref="S74" ca="1">IF($R74&lt;&gt;"",
INDIRECT(""&amp;IF(COLUMN(C110)&lt;=26,CHAR(COLUMN(C110)+64),CHAR(INT((COLUMN(C110)-1)/26)+64)&amp;CHAR(MOD(COLUMN(C110)-1,26)+65))&amp;$R74&amp;""),"")</f>
        <v/>
      </c>
      <c r="T74" s="74" t="str">
        <f t="array" aca="1" ref="T74" ca="1">IF($R74&lt;&gt;"",
INDIRECT(""&amp;IF(COLUMN(D110)&lt;=26,CHAR(COLUMN(D110)+64),CHAR(INT((COLUMN(D110)-1)/26)+64)&amp;CHAR(MOD(COLUMN(D110)-1,26)+65))&amp;$R74&amp;""),"")</f>
        <v/>
      </c>
      <c r="U74" s="74" t="str">
        <f t="array" aca="1" ref="U74" ca="1">IF($R74&lt;&gt;"",
INDIRECT(""&amp;IF(COLUMN(E110)&lt;=26,CHAR(COLUMN(E110)+64),CHAR(INT((COLUMN(E110)-1)/26)+64)&amp;CHAR(MOD(COLUMN(E110)-1,26)+65))&amp;$R74&amp;""),"")</f>
        <v/>
      </c>
      <c r="V74" s="74" t="str">
        <f t="array" aca="1" ref="V74" ca="1">IF($R74&lt;&gt;"",
IF(U74="",
IF(INDIRECT("EY"&amp;$R74&amp;"")&lt;&gt;"",
INDIRECT("EY"&amp;$R74&amp;"")&amp;"箱"
&amp;INDIRECT("EZ"&amp;$R74&amp;""),""),""),"")</f>
        <v/>
      </c>
      <c r="W74" s="74" t="str">
        <f t="array" aca="1" ref="W74" ca="1">IF($R74&lt;&gt;"",
INDIRECT(""&amp;IF(COLUMN(H110)&lt;=26,CHAR(COLUMN(H110)+64),CHAR(INT((COLUMN(H110)-1)/26)+64)&amp;CHAR(MOD(COLUMN(H110)-1,26)+65))&amp;$R74&amp;""),"")</f>
        <v/>
      </c>
      <c r="X74" s="74" t="str">
        <f t="array" aca="1" ref="X74" ca="1">IF($R74&lt;&gt;"",
INDIRECT(""&amp;IF(COLUMN(I110)&lt;=26,CHAR(COLUMN(I110)+64),CHAR(INT((COLUMN(I110)-1)/26)+64)&amp;CHAR(MOD(COLUMN(I110)-1,26)+65))&amp;$R74&amp;""),"")</f>
        <v/>
      </c>
      <c r="Y74" s="74" t="str">
        <f t="array" aca="1" ref="Y74" ca="1">IF($R74&lt;&gt;"",
INDIRECT(""&amp;IF(COLUMN(J110)&lt;=26,CHAR(COLUMN(J110)+64),CHAR(INT((COLUMN(J110)-1)/26)+64)&amp;CHAR(MOD(COLUMN(J110)-1,26)+65))&amp;$R74&amp;""),"")</f>
        <v/>
      </c>
      <c r="Z74" s="74" t="str">
        <f t="array" aca="1" ref="Z74" ca="1">IF($R74&lt;&gt;"",
INDIRECT(""&amp;IF(COLUMN(K110)&lt;=26,CHAR(COLUMN(K110)+64),CHAR(INT((COLUMN(K110)-1)/26)+64)&amp;CHAR(MOD(COLUMN(K110)-1,26)+65))&amp;$R74&amp;""),"")</f>
        <v/>
      </c>
      <c r="AA74" s="74" t="str">
        <f t="array" aca="1" ref="AA74" ca="1">IF($R74&lt;&gt;"",
INDIRECT(""&amp;IF(COLUMN(L110)&lt;=26,CHAR(COLUMN(L110)+64),CHAR(INT((COLUMN(L110)-1)/26)+64)&amp;CHAR(MOD(COLUMN(L110)-1,26)+65))&amp;$R74&amp;""),"")</f>
        <v/>
      </c>
      <c r="AB74" s="74" t="str">
        <f t="array" aca="1" ref="AB74" ca="1">IF($R74&lt;&gt;"",
INDIRECT(""&amp;IF(COLUMN(O110)&lt;=26,CHAR(COLUMN(O110)+64),CHAR(INT((COLUMN(O110)-1)/26)+64)&amp;CHAR(MOD(COLUMN(O110)-1,26)+65))&amp;$R74&amp;""),"")</f>
        <v/>
      </c>
    </row>
    <row r="75" spans="1:28" ht="18" customHeight="1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 t="str">
        <f t="array" ref="R75">IFERROR(SMALL(IF(P$1:P$228&lt;&gt;0,P$1:P$228),ROW(#REF!)),"")</f>
        <v/>
      </c>
      <c r="S75" s="74" t="str">
        <f t="array" aca="1" ref="S75" ca="1">IF($R75&lt;&gt;"",
INDIRECT(""&amp;IF(COLUMN(C112)&lt;=26,CHAR(COLUMN(C112)+64),CHAR(INT((COLUMN(C112)-1)/26)+64)&amp;CHAR(MOD(COLUMN(C112)-1,26)+65))&amp;$R75&amp;""),"")</f>
        <v/>
      </c>
      <c r="T75" s="74" t="str">
        <f t="array" aca="1" ref="T75" ca="1">IF($R75&lt;&gt;"",
INDIRECT(""&amp;IF(COLUMN(D112)&lt;=26,CHAR(COLUMN(D112)+64),CHAR(INT((COLUMN(D112)-1)/26)+64)&amp;CHAR(MOD(COLUMN(D112)-1,26)+65))&amp;$R75&amp;""),"")</f>
        <v/>
      </c>
      <c r="U75" s="74" t="str">
        <f t="array" aca="1" ref="U75" ca="1">IF($R75&lt;&gt;"",
INDIRECT(""&amp;IF(COLUMN(E112)&lt;=26,CHAR(COLUMN(E112)+64),CHAR(INT((COLUMN(E112)-1)/26)+64)&amp;CHAR(MOD(COLUMN(E112)-1,26)+65))&amp;$R75&amp;""),"")</f>
        <v/>
      </c>
      <c r="V75" s="74" t="str">
        <f t="array" aca="1" ref="V75" ca="1">IF($R75&lt;&gt;"",
IF(U75="",
IF(INDIRECT("EY"&amp;$R75&amp;"")&lt;&gt;"",
INDIRECT("EY"&amp;$R75&amp;"")&amp;"箱"
&amp;INDIRECT("EZ"&amp;$R75&amp;""),""),""),"")</f>
        <v/>
      </c>
      <c r="W75" s="74" t="str">
        <f t="array" aca="1" ref="W75" ca="1">IF($R75&lt;&gt;"",
INDIRECT(""&amp;IF(COLUMN(H112)&lt;=26,CHAR(COLUMN(H112)+64),CHAR(INT((COLUMN(H112)-1)/26)+64)&amp;CHAR(MOD(COLUMN(H112)-1,26)+65))&amp;$R75&amp;""),"")</f>
        <v/>
      </c>
      <c r="X75" s="74" t="str">
        <f t="array" aca="1" ref="X75" ca="1">IF($R75&lt;&gt;"",
INDIRECT(""&amp;IF(COLUMN(I112)&lt;=26,CHAR(COLUMN(I112)+64),CHAR(INT((COLUMN(I112)-1)/26)+64)&amp;CHAR(MOD(COLUMN(I112)-1,26)+65))&amp;$R75&amp;""),"")</f>
        <v/>
      </c>
      <c r="Y75" s="74" t="str">
        <f t="array" aca="1" ref="Y75" ca="1">IF($R75&lt;&gt;"",
INDIRECT(""&amp;IF(COLUMN(J112)&lt;=26,CHAR(COLUMN(J112)+64),CHAR(INT((COLUMN(J112)-1)/26)+64)&amp;CHAR(MOD(COLUMN(J112)-1,26)+65))&amp;$R75&amp;""),"")</f>
        <v/>
      </c>
      <c r="Z75" s="74" t="str">
        <f t="array" aca="1" ref="Z75" ca="1">IF($R75&lt;&gt;"",
INDIRECT(""&amp;IF(COLUMN(K112)&lt;=26,CHAR(COLUMN(K112)+64),CHAR(INT((COLUMN(K112)-1)/26)+64)&amp;CHAR(MOD(COLUMN(K112)-1,26)+65))&amp;$R75&amp;""),"")</f>
        <v/>
      </c>
      <c r="AA75" s="74" t="str">
        <f t="array" aca="1" ref="AA75" ca="1">IF($R75&lt;&gt;"",
INDIRECT(""&amp;IF(COLUMN(L112)&lt;=26,CHAR(COLUMN(L112)+64),CHAR(INT((COLUMN(L112)-1)/26)+64)&amp;CHAR(MOD(COLUMN(L112)-1,26)+65))&amp;$R75&amp;""),"")</f>
        <v/>
      </c>
      <c r="AB75" s="74" t="str">
        <f t="array" aca="1" ref="AB75" ca="1">IF($R75&lt;&gt;"",
INDIRECT(""&amp;IF(COLUMN(O112)&lt;=26,CHAR(COLUMN(O112)+64),CHAR(INT((COLUMN(O112)-1)/26)+64)&amp;CHAR(MOD(COLUMN(O112)-1,26)+65))&amp;$R75&amp;""),"")</f>
        <v/>
      </c>
    </row>
    <row r="76" spans="1:28" s="74" customFormat="1" ht="22.2" customHeight="1">
      <c r="F76" s="221"/>
      <c r="G76" s="221"/>
      <c r="R76" s="74" t="str">
        <f t="array" ref="R76">IFERROR(SMALL(IF(P$1:P$228&lt;&gt;0,P$1:P$228),ROW(#REF!)),"")</f>
        <v/>
      </c>
      <c r="S76" s="74" t="str">
        <f t="array" aca="1" ref="S76" ca="1">IF($R76&lt;&gt;"",
INDIRECT(""&amp;IF(COLUMN(C113)&lt;=26,CHAR(COLUMN(C113)+64),CHAR(INT((COLUMN(C113)-1)/26)+64)&amp;CHAR(MOD(COLUMN(C113)-1,26)+65))&amp;$R76&amp;""),"")</f>
        <v/>
      </c>
      <c r="T76" s="74" t="str">
        <f t="array" aca="1" ref="T76" ca="1">IF($R76&lt;&gt;"",
INDIRECT(""&amp;IF(COLUMN(D113)&lt;=26,CHAR(COLUMN(D113)+64),CHAR(INT((COLUMN(D113)-1)/26)+64)&amp;CHAR(MOD(COLUMN(D113)-1,26)+65))&amp;$R76&amp;""),"")</f>
        <v/>
      </c>
      <c r="U76" s="74" t="str">
        <f t="array" aca="1" ref="U76" ca="1">IF($R76&lt;&gt;"",
INDIRECT(""&amp;IF(COLUMN(E113)&lt;=26,CHAR(COLUMN(E113)+64),CHAR(INT((COLUMN(E113)-1)/26)+64)&amp;CHAR(MOD(COLUMN(E113)-1,26)+65))&amp;$R76&amp;""),"")</f>
        <v/>
      </c>
      <c r="V76" s="74" t="str">
        <f t="array" aca="1" ref="V76" ca="1">IF($R76&lt;&gt;"",
IF(U76="",
IF(INDIRECT("EY"&amp;$R76&amp;"")&lt;&gt;"",
INDIRECT("EY"&amp;$R76&amp;"")&amp;"箱"
&amp;INDIRECT("EZ"&amp;$R76&amp;""),""),""),"")</f>
        <v/>
      </c>
      <c r="W76" s="74" t="str">
        <f t="array" aca="1" ref="W76" ca="1">IF($R76&lt;&gt;"",
INDIRECT(""&amp;IF(COLUMN(H113)&lt;=26,CHAR(COLUMN(H113)+64),CHAR(INT((COLUMN(H113)-1)/26)+64)&amp;CHAR(MOD(COLUMN(H113)-1,26)+65))&amp;$R76&amp;""),"")</f>
        <v/>
      </c>
      <c r="X76" s="74" t="str">
        <f t="array" aca="1" ref="X76" ca="1">IF($R76&lt;&gt;"",
INDIRECT(""&amp;IF(COLUMN(I113)&lt;=26,CHAR(COLUMN(I113)+64),CHAR(INT((COLUMN(I113)-1)/26)+64)&amp;CHAR(MOD(COLUMN(I113)-1,26)+65))&amp;$R76&amp;""),"")</f>
        <v/>
      </c>
      <c r="Y76" s="74" t="str">
        <f t="array" aca="1" ref="Y76" ca="1">IF($R76&lt;&gt;"",
INDIRECT(""&amp;IF(COLUMN(J113)&lt;=26,CHAR(COLUMN(J113)+64),CHAR(INT((COLUMN(J113)-1)/26)+64)&amp;CHAR(MOD(COLUMN(J113)-1,26)+65))&amp;$R76&amp;""),"")</f>
        <v/>
      </c>
      <c r="Z76" s="74" t="str">
        <f t="array" aca="1" ref="Z76" ca="1">IF($R76&lt;&gt;"",
INDIRECT(""&amp;IF(COLUMN(K113)&lt;=26,CHAR(COLUMN(K113)+64),CHAR(INT((COLUMN(K113)-1)/26)+64)&amp;CHAR(MOD(COLUMN(K113)-1,26)+65))&amp;$R76&amp;""),"")</f>
        <v/>
      </c>
      <c r="AA76" s="74" t="str">
        <f t="array" aca="1" ref="AA76" ca="1">IF($R76&lt;&gt;"",
INDIRECT(""&amp;IF(COLUMN(L113)&lt;=26,CHAR(COLUMN(L113)+64),CHAR(INT((COLUMN(L113)-1)/26)+64)&amp;CHAR(MOD(COLUMN(L113)-1,26)+65))&amp;$R76&amp;""),"")</f>
        <v/>
      </c>
      <c r="AB76" s="74" t="str">
        <f t="array" aca="1" ref="AB76" ca="1">IF($R76&lt;&gt;"",
INDIRECT(""&amp;IF(COLUMN(O113)&lt;=26,CHAR(COLUMN(O113)+64),CHAR(INT((COLUMN(O113)-1)/26)+64)&amp;CHAR(MOD(COLUMN(O113)-1,26)+65))&amp;$R76&amp;""),"")</f>
        <v/>
      </c>
    </row>
    <row r="77" spans="1:28" ht="21" customHeight="1">
      <c r="A77" s="22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 t="str">
        <f t="array" ref="R77">IFERROR(SMALL(IF(P$1:P$228&lt;&gt;0,P$1:P$228),ROW(#REF!)),"")</f>
        <v/>
      </c>
      <c r="S77" s="74" t="str">
        <f t="array" aca="1" ref="S77" ca="1">IF($R77&lt;&gt;"",
INDIRECT(""&amp;IF(COLUMN(C115)&lt;=26,CHAR(COLUMN(C115)+64),CHAR(INT((COLUMN(C115)-1)/26)+64)&amp;CHAR(MOD(COLUMN(C115)-1,26)+65))&amp;$R77&amp;""),"")</f>
        <v/>
      </c>
      <c r="T77" s="74" t="str">
        <f t="array" aca="1" ref="T77" ca="1">IF($R77&lt;&gt;"",
INDIRECT(""&amp;IF(COLUMN(D115)&lt;=26,CHAR(COLUMN(D115)+64),CHAR(INT((COLUMN(D115)-1)/26)+64)&amp;CHAR(MOD(COLUMN(D115)-1,26)+65))&amp;$R77&amp;""),"")</f>
        <v/>
      </c>
      <c r="U77" s="74" t="str">
        <f t="array" aca="1" ref="U77" ca="1">IF($R77&lt;&gt;"",
INDIRECT(""&amp;IF(COLUMN(E115)&lt;=26,CHAR(COLUMN(E115)+64),CHAR(INT((COLUMN(E115)-1)/26)+64)&amp;CHAR(MOD(COLUMN(E115)-1,26)+65))&amp;$R77&amp;""),"")</f>
        <v/>
      </c>
      <c r="V77" s="74" t="str">
        <f t="array" aca="1" ref="V77" ca="1">IF($R77&lt;&gt;"",
IF(U77="",
IF(INDIRECT("EY"&amp;$R77&amp;"")&lt;&gt;"",
INDIRECT("EY"&amp;$R77&amp;"")&amp;"箱"
&amp;INDIRECT("EZ"&amp;$R77&amp;""),""),""),"")</f>
        <v/>
      </c>
      <c r="W77" s="74" t="str">
        <f t="array" aca="1" ref="W77" ca="1">IF($R77&lt;&gt;"",
INDIRECT(""&amp;IF(COLUMN(H115)&lt;=26,CHAR(COLUMN(H115)+64),CHAR(INT((COLUMN(H115)-1)/26)+64)&amp;CHAR(MOD(COLUMN(H115)-1,26)+65))&amp;$R77&amp;""),"")</f>
        <v/>
      </c>
      <c r="X77" s="74" t="str">
        <f t="array" aca="1" ref="X77" ca="1">IF($R77&lt;&gt;"",
INDIRECT(""&amp;IF(COLUMN(I115)&lt;=26,CHAR(COLUMN(I115)+64),CHAR(INT((COLUMN(I115)-1)/26)+64)&amp;CHAR(MOD(COLUMN(I115)-1,26)+65))&amp;$R77&amp;""),"")</f>
        <v/>
      </c>
      <c r="Y77" s="74" t="str">
        <f t="array" aca="1" ref="Y77" ca="1">IF($R77&lt;&gt;"",
INDIRECT(""&amp;IF(COLUMN(J115)&lt;=26,CHAR(COLUMN(J115)+64),CHAR(INT((COLUMN(J115)-1)/26)+64)&amp;CHAR(MOD(COLUMN(J115)-1,26)+65))&amp;$R77&amp;""),"")</f>
        <v/>
      </c>
      <c r="Z77" s="74" t="str">
        <f t="array" aca="1" ref="Z77" ca="1">IF($R77&lt;&gt;"",
INDIRECT(""&amp;IF(COLUMN(K115)&lt;=26,CHAR(COLUMN(K115)+64),CHAR(INT((COLUMN(K115)-1)/26)+64)&amp;CHAR(MOD(COLUMN(K115)-1,26)+65))&amp;$R77&amp;""),"")</f>
        <v/>
      </c>
      <c r="AA77" s="74" t="str">
        <f t="array" aca="1" ref="AA77" ca="1">IF($R77&lt;&gt;"",
INDIRECT(""&amp;IF(COLUMN(L115)&lt;=26,CHAR(COLUMN(L115)+64),CHAR(INT((COLUMN(L115)-1)/26)+64)&amp;CHAR(MOD(COLUMN(L115)-1,26)+65))&amp;$R77&amp;""),"")</f>
        <v/>
      </c>
      <c r="AB77" s="74" t="str">
        <f t="array" aca="1" ref="AB77" ca="1">IF($R77&lt;&gt;"",
INDIRECT(""&amp;IF(COLUMN(O115)&lt;=26,CHAR(COLUMN(O115)+64),CHAR(INT((COLUMN(O115)-1)/26)+64)&amp;CHAR(MOD(COLUMN(O115)-1,26)+65))&amp;$R77&amp;""),"")</f>
        <v/>
      </c>
    </row>
    <row r="78" spans="1:28" s="74" customFormat="1" ht="19.2" customHeight="1">
      <c r="R78" s="74" t="str">
        <f t="array" ref="R78">IFERROR(SMALL(IF(P$1:P$228&lt;&gt;0,P$1:P$228),ROW(#REF!)),"")</f>
        <v/>
      </c>
      <c r="S78" s="74" t="str">
        <f t="array" aca="1" ref="S78" ca="1">IF($R78&lt;&gt;"",
INDIRECT(""&amp;IF(COLUMN(C116)&lt;=26,CHAR(COLUMN(C116)+64),CHAR(INT((COLUMN(C116)-1)/26)+64)&amp;CHAR(MOD(COLUMN(C116)-1,26)+65))&amp;$R78&amp;""),"")</f>
        <v/>
      </c>
      <c r="T78" s="74" t="str">
        <f t="array" aca="1" ref="T78" ca="1">IF($R78&lt;&gt;"",
INDIRECT(""&amp;IF(COLUMN(D116)&lt;=26,CHAR(COLUMN(D116)+64),CHAR(INT((COLUMN(D116)-1)/26)+64)&amp;CHAR(MOD(COLUMN(D116)-1,26)+65))&amp;$R78&amp;""),"")</f>
        <v/>
      </c>
      <c r="U78" s="74" t="str">
        <f t="array" aca="1" ref="U78" ca="1">IF($R78&lt;&gt;"",
INDIRECT(""&amp;IF(COLUMN(E116)&lt;=26,CHAR(COLUMN(E116)+64),CHAR(INT((COLUMN(E116)-1)/26)+64)&amp;CHAR(MOD(COLUMN(E116)-1,26)+65))&amp;$R78&amp;""),"")</f>
        <v/>
      </c>
      <c r="V78" s="74" t="str">
        <f t="array" aca="1" ref="V78" ca="1">IF($R78&lt;&gt;"",
IF(U78="",
IF(INDIRECT("EY"&amp;$R78&amp;"")&lt;&gt;"",
INDIRECT("EY"&amp;$R78&amp;"")&amp;"箱"
&amp;INDIRECT("EZ"&amp;$R78&amp;""),""),""),"")</f>
        <v/>
      </c>
      <c r="W78" s="74" t="str">
        <f t="array" aca="1" ref="W78" ca="1">IF($R78&lt;&gt;"",
INDIRECT(""&amp;IF(COLUMN(H116)&lt;=26,CHAR(COLUMN(H116)+64),CHAR(INT((COLUMN(H116)-1)/26)+64)&amp;CHAR(MOD(COLUMN(H116)-1,26)+65))&amp;$R78&amp;""),"")</f>
        <v/>
      </c>
      <c r="X78" s="74" t="str">
        <f t="array" aca="1" ref="X78" ca="1">IF($R78&lt;&gt;"",
INDIRECT(""&amp;IF(COLUMN(I116)&lt;=26,CHAR(COLUMN(I116)+64),CHAR(INT((COLUMN(I116)-1)/26)+64)&amp;CHAR(MOD(COLUMN(I116)-1,26)+65))&amp;$R78&amp;""),"")</f>
        <v/>
      </c>
      <c r="Y78" s="74" t="str">
        <f t="array" aca="1" ref="Y78" ca="1">IF($R78&lt;&gt;"",
INDIRECT(""&amp;IF(COLUMN(J116)&lt;=26,CHAR(COLUMN(J116)+64),CHAR(INT((COLUMN(J116)-1)/26)+64)&amp;CHAR(MOD(COLUMN(J116)-1,26)+65))&amp;$R78&amp;""),"")</f>
        <v/>
      </c>
      <c r="Z78" s="74" t="str">
        <f t="array" aca="1" ref="Z78" ca="1">IF($R78&lt;&gt;"",
INDIRECT(""&amp;IF(COLUMN(K116)&lt;=26,CHAR(COLUMN(K116)+64),CHAR(INT((COLUMN(K116)-1)/26)+64)&amp;CHAR(MOD(COLUMN(K116)-1,26)+65))&amp;$R78&amp;""),"")</f>
        <v/>
      </c>
      <c r="AA78" s="74" t="str">
        <f t="array" aca="1" ref="AA78" ca="1">IF($R78&lt;&gt;"",
INDIRECT(""&amp;IF(COLUMN(L116)&lt;=26,CHAR(COLUMN(L116)+64),CHAR(INT((COLUMN(L116)-1)/26)+64)&amp;CHAR(MOD(COLUMN(L116)-1,26)+65))&amp;$R78&amp;""),"")</f>
        <v/>
      </c>
      <c r="AB78" s="74" t="str">
        <f t="array" aca="1" ref="AB78" ca="1">IF($R78&lt;&gt;"",
INDIRECT(""&amp;IF(COLUMN(O116)&lt;=26,CHAR(COLUMN(O116)+64),CHAR(INT((COLUMN(O116)-1)/26)+64)&amp;CHAR(MOD(COLUMN(O116)-1,26)+65))&amp;$R78&amp;""),"")</f>
        <v/>
      </c>
    </row>
    <row r="79" spans="1:28" s="74" customFormat="1" ht="19.2" customHeight="1">
      <c r="A79" s="223"/>
      <c r="B79" s="78"/>
      <c r="R79" s="74" t="str">
        <f t="array" ref="R79">IFERROR(SMALL(IF(P$1:P$228&lt;&gt;0,P$1:P$228),ROW(#REF!)),"")</f>
        <v/>
      </c>
      <c r="S79" s="74" t="str">
        <f t="array" aca="1" ref="S79" ca="1">IF($R79&lt;&gt;"",
INDIRECT(""&amp;IF(COLUMN(C118)&lt;=26,CHAR(COLUMN(C118)+64),CHAR(INT((COLUMN(C118)-1)/26)+64)&amp;CHAR(MOD(COLUMN(C118)-1,26)+65))&amp;$R79&amp;""),"")</f>
        <v/>
      </c>
      <c r="T79" s="74" t="str">
        <f t="array" aca="1" ref="T79" ca="1">IF($R79&lt;&gt;"",
INDIRECT(""&amp;IF(COLUMN(D118)&lt;=26,CHAR(COLUMN(D118)+64),CHAR(INT((COLUMN(D118)-1)/26)+64)&amp;CHAR(MOD(COLUMN(D118)-1,26)+65))&amp;$R79&amp;""),"")</f>
        <v/>
      </c>
      <c r="U79" s="74" t="str">
        <f t="array" aca="1" ref="U79" ca="1">IF($R79&lt;&gt;"",
INDIRECT(""&amp;IF(COLUMN(E118)&lt;=26,CHAR(COLUMN(E118)+64),CHAR(INT((COLUMN(E118)-1)/26)+64)&amp;CHAR(MOD(COLUMN(E118)-1,26)+65))&amp;$R79&amp;""),"")</f>
        <v/>
      </c>
      <c r="V79" s="74" t="str">
        <f t="array" aca="1" ref="V79" ca="1">IF($R79&lt;&gt;"",
IF(U79="",
IF(INDIRECT("EY"&amp;$R79&amp;"")&lt;&gt;"",
INDIRECT("EY"&amp;$R79&amp;"")&amp;"箱"
&amp;INDIRECT("EZ"&amp;$R79&amp;""),""),""),"")</f>
        <v/>
      </c>
      <c r="W79" s="74" t="str">
        <f t="array" aca="1" ref="W79" ca="1">IF($R79&lt;&gt;"",
INDIRECT(""&amp;IF(COLUMN(H118)&lt;=26,CHAR(COLUMN(H118)+64),CHAR(INT((COLUMN(H118)-1)/26)+64)&amp;CHAR(MOD(COLUMN(H118)-1,26)+65))&amp;$R79&amp;""),"")</f>
        <v/>
      </c>
      <c r="X79" s="74" t="str">
        <f t="array" aca="1" ref="X79" ca="1">IF($R79&lt;&gt;"",
INDIRECT(""&amp;IF(COLUMN(I118)&lt;=26,CHAR(COLUMN(I118)+64),CHAR(INT((COLUMN(I118)-1)/26)+64)&amp;CHAR(MOD(COLUMN(I118)-1,26)+65))&amp;$R79&amp;""),"")</f>
        <v/>
      </c>
      <c r="Y79" s="74" t="str">
        <f t="array" aca="1" ref="Y79" ca="1">IF($R79&lt;&gt;"",
INDIRECT(""&amp;IF(COLUMN(J118)&lt;=26,CHAR(COLUMN(J118)+64),CHAR(INT((COLUMN(J118)-1)/26)+64)&amp;CHAR(MOD(COLUMN(J118)-1,26)+65))&amp;$R79&amp;""),"")</f>
        <v/>
      </c>
      <c r="Z79" s="74" t="str">
        <f t="array" aca="1" ref="Z79" ca="1">IF($R79&lt;&gt;"",
INDIRECT(""&amp;IF(COLUMN(K118)&lt;=26,CHAR(COLUMN(K118)+64),CHAR(INT((COLUMN(K118)-1)/26)+64)&amp;CHAR(MOD(COLUMN(K118)-1,26)+65))&amp;$R79&amp;""),"")</f>
        <v/>
      </c>
      <c r="AA79" s="74" t="str">
        <f t="array" aca="1" ref="AA79" ca="1">IF($R79&lt;&gt;"",
INDIRECT(""&amp;IF(COLUMN(L118)&lt;=26,CHAR(COLUMN(L118)+64),CHAR(INT((COLUMN(L118)-1)/26)+64)&amp;CHAR(MOD(COLUMN(L118)-1,26)+65))&amp;$R79&amp;""),"")</f>
        <v/>
      </c>
      <c r="AB79" s="74" t="str">
        <f t="array" aca="1" ref="AB79" ca="1">IF($R79&lt;&gt;"",
INDIRECT(""&amp;IF(COLUMN(O118)&lt;=26,CHAR(COLUMN(O118)+64),CHAR(INT((COLUMN(O118)-1)/26)+64)&amp;CHAR(MOD(COLUMN(O118)-1,26)+65))&amp;$R79&amp;""),"")</f>
        <v/>
      </c>
    </row>
    <row r="80" spans="1:28" s="74" customFormat="1" ht="22.2" customHeight="1">
      <c r="R80" s="74" t="str">
        <f t="array" ref="R80">IFERROR(SMALL(IF(P$1:P$228&lt;&gt;0,P$1:P$228),ROW(#REF!)),"")</f>
        <v/>
      </c>
      <c r="S80" s="74" t="str">
        <f t="array" aca="1" ref="S80" ca="1">IF($R80&lt;&gt;"",
INDIRECT(""&amp;IF(COLUMN(C119)&lt;=26,CHAR(COLUMN(C119)+64),CHAR(INT((COLUMN(C119)-1)/26)+64)&amp;CHAR(MOD(COLUMN(C119)-1,26)+65))&amp;$R80&amp;""),"")</f>
        <v/>
      </c>
      <c r="T80" s="74" t="str">
        <f t="array" aca="1" ref="T80" ca="1">IF($R80&lt;&gt;"",
INDIRECT(""&amp;IF(COLUMN(D119)&lt;=26,CHAR(COLUMN(D119)+64),CHAR(INT((COLUMN(D119)-1)/26)+64)&amp;CHAR(MOD(COLUMN(D119)-1,26)+65))&amp;$R80&amp;""),"")</f>
        <v/>
      </c>
      <c r="U80" s="74" t="str">
        <f t="array" aca="1" ref="U80" ca="1">IF($R80&lt;&gt;"",
INDIRECT(""&amp;IF(COLUMN(E119)&lt;=26,CHAR(COLUMN(E119)+64),CHAR(INT((COLUMN(E119)-1)/26)+64)&amp;CHAR(MOD(COLUMN(E119)-1,26)+65))&amp;$R80&amp;""),"")</f>
        <v/>
      </c>
      <c r="V80" s="74" t="str">
        <f t="array" aca="1" ref="V80" ca="1">IF($R80&lt;&gt;"",
IF(U80="",
IF(INDIRECT("EY"&amp;$R80&amp;"")&lt;&gt;"",
INDIRECT("EY"&amp;$R80&amp;"")&amp;"箱"
&amp;INDIRECT("EZ"&amp;$R80&amp;""),""),""),"")</f>
        <v/>
      </c>
      <c r="W80" s="74" t="str">
        <f t="array" aca="1" ref="W80" ca="1">IF($R80&lt;&gt;"",
INDIRECT(""&amp;IF(COLUMN(H119)&lt;=26,CHAR(COLUMN(H119)+64),CHAR(INT((COLUMN(H119)-1)/26)+64)&amp;CHAR(MOD(COLUMN(H119)-1,26)+65))&amp;$R80&amp;""),"")</f>
        <v/>
      </c>
      <c r="X80" s="74" t="str">
        <f t="array" aca="1" ref="X80" ca="1">IF($R80&lt;&gt;"",
INDIRECT(""&amp;IF(COLUMN(I119)&lt;=26,CHAR(COLUMN(I119)+64),CHAR(INT((COLUMN(I119)-1)/26)+64)&amp;CHAR(MOD(COLUMN(I119)-1,26)+65))&amp;$R80&amp;""),"")</f>
        <v/>
      </c>
      <c r="Y80" s="74" t="str">
        <f t="array" aca="1" ref="Y80" ca="1">IF($R80&lt;&gt;"",
INDIRECT(""&amp;IF(COLUMN(J119)&lt;=26,CHAR(COLUMN(J119)+64),CHAR(INT((COLUMN(J119)-1)/26)+64)&amp;CHAR(MOD(COLUMN(J119)-1,26)+65))&amp;$R80&amp;""),"")</f>
        <v/>
      </c>
      <c r="Z80" s="74" t="str">
        <f t="array" aca="1" ref="Z80" ca="1">IF($R80&lt;&gt;"",
INDIRECT(""&amp;IF(COLUMN(K119)&lt;=26,CHAR(COLUMN(K119)+64),CHAR(INT((COLUMN(K119)-1)/26)+64)&amp;CHAR(MOD(COLUMN(K119)-1,26)+65))&amp;$R80&amp;""),"")</f>
        <v/>
      </c>
      <c r="AA80" s="74" t="str">
        <f t="array" aca="1" ref="AA80" ca="1">IF($R80&lt;&gt;"",
INDIRECT(""&amp;IF(COLUMN(L119)&lt;=26,CHAR(COLUMN(L119)+64),CHAR(INT((COLUMN(L119)-1)/26)+64)&amp;CHAR(MOD(COLUMN(L119)-1,26)+65))&amp;$R80&amp;""),"")</f>
        <v/>
      </c>
      <c r="AB80" s="74" t="str">
        <f t="array" aca="1" ref="AB80" ca="1">IF($R80&lt;&gt;"",
INDIRECT(""&amp;IF(COLUMN(O119)&lt;=26,CHAR(COLUMN(O119)+64),CHAR(INT((COLUMN(O119)-1)/26)+64)&amp;CHAR(MOD(COLUMN(O119)-1,26)+65))&amp;$R80&amp;""),"")</f>
        <v/>
      </c>
    </row>
    <row r="81" spans="1:28" ht="18" customHeight="1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 t="str">
        <f t="array" ref="R81">IFERROR(SMALL(IF(P$1:P$228&lt;&gt;0,P$1:P$228),ROW(#REF!)),"")</f>
        <v/>
      </c>
      <c r="S81" s="74" t="str">
        <f t="array" aca="1" ref="S81" ca="1">IF($R81&lt;&gt;"",
INDIRECT(""&amp;IF(COLUMN(C121)&lt;=26,CHAR(COLUMN(C121)+64),CHAR(INT((COLUMN(C121)-1)/26)+64)&amp;CHAR(MOD(COLUMN(C121)-1,26)+65))&amp;$R81&amp;""),"")</f>
        <v/>
      </c>
      <c r="T81" s="74" t="str">
        <f t="array" aca="1" ref="T81" ca="1">IF($R81&lt;&gt;"",
INDIRECT(""&amp;IF(COLUMN(D121)&lt;=26,CHAR(COLUMN(D121)+64),CHAR(INT((COLUMN(D121)-1)/26)+64)&amp;CHAR(MOD(COLUMN(D121)-1,26)+65))&amp;$R81&amp;""),"")</f>
        <v/>
      </c>
      <c r="U81" s="74" t="str">
        <f t="array" aca="1" ref="U81" ca="1">IF($R81&lt;&gt;"",
INDIRECT(""&amp;IF(COLUMN(E121)&lt;=26,CHAR(COLUMN(E121)+64),CHAR(INT((COLUMN(E121)-1)/26)+64)&amp;CHAR(MOD(COLUMN(E121)-1,26)+65))&amp;$R81&amp;""),"")</f>
        <v/>
      </c>
      <c r="V81" s="74" t="str">
        <f t="array" aca="1" ref="V81" ca="1">IF($R81&lt;&gt;"",
IF(U81="",
IF(INDIRECT("EY"&amp;$R81&amp;"")&lt;&gt;"",
INDIRECT("EY"&amp;$R81&amp;"")&amp;"箱"
&amp;INDIRECT("EZ"&amp;$R81&amp;""),""),""),"")</f>
        <v/>
      </c>
      <c r="W81" s="74" t="str">
        <f t="array" aca="1" ref="W81" ca="1">IF($R81&lt;&gt;"",
INDIRECT(""&amp;IF(COLUMN(H121)&lt;=26,CHAR(COLUMN(H121)+64),CHAR(INT((COLUMN(H121)-1)/26)+64)&amp;CHAR(MOD(COLUMN(H121)-1,26)+65))&amp;$R81&amp;""),"")</f>
        <v/>
      </c>
      <c r="X81" s="74" t="str">
        <f t="array" aca="1" ref="X81" ca="1">IF($R81&lt;&gt;"",
INDIRECT(""&amp;IF(COLUMN(I121)&lt;=26,CHAR(COLUMN(I121)+64),CHAR(INT((COLUMN(I121)-1)/26)+64)&amp;CHAR(MOD(COLUMN(I121)-1,26)+65))&amp;$R81&amp;""),"")</f>
        <v/>
      </c>
      <c r="Y81" s="74" t="str">
        <f t="array" aca="1" ref="Y81" ca="1">IF($R81&lt;&gt;"",
INDIRECT(""&amp;IF(COLUMN(J121)&lt;=26,CHAR(COLUMN(J121)+64),CHAR(INT((COLUMN(J121)-1)/26)+64)&amp;CHAR(MOD(COLUMN(J121)-1,26)+65))&amp;$R81&amp;""),"")</f>
        <v/>
      </c>
      <c r="Z81" s="74" t="str">
        <f t="array" aca="1" ref="Z81" ca="1">IF($R81&lt;&gt;"",
INDIRECT(""&amp;IF(COLUMN(K121)&lt;=26,CHAR(COLUMN(K121)+64),CHAR(INT((COLUMN(K121)-1)/26)+64)&amp;CHAR(MOD(COLUMN(K121)-1,26)+65))&amp;$R81&amp;""),"")</f>
        <v/>
      </c>
      <c r="AA81" s="74" t="str">
        <f t="array" aca="1" ref="AA81" ca="1">IF($R81&lt;&gt;"",
INDIRECT(""&amp;IF(COLUMN(L121)&lt;=26,CHAR(COLUMN(L121)+64),CHAR(INT((COLUMN(L121)-1)/26)+64)&amp;CHAR(MOD(COLUMN(L121)-1,26)+65))&amp;$R81&amp;""),"")</f>
        <v/>
      </c>
      <c r="AB81" s="74" t="str">
        <f t="array" aca="1" ref="AB81" ca="1">IF($R81&lt;&gt;"",
INDIRECT(""&amp;IF(COLUMN(O121)&lt;=26,CHAR(COLUMN(O121)+64),CHAR(INT((COLUMN(O121)-1)/26)+64)&amp;CHAR(MOD(COLUMN(O121)-1,26)+65))&amp;$R81&amp;""),"")</f>
        <v/>
      </c>
    </row>
    <row r="82" spans="1:28" ht="18" customHeight="1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 t="str">
        <f t="array" ref="R82">IFERROR(SMALL(IF(P$1:P$228&lt;&gt;0,P$1:P$228),ROW(#REF!)),"")</f>
        <v/>
      </c>
      <c r="S82" s="74" t="str">
        <f t="array" aca="1" ref="S82" ca="1">IF($R82&lt;&gt;"",
INDIRECT(""&amp;IF(COLUMN(C122)&lt;=26,CHAR(COLUMN(C122)+64),CHAR(INT((COLUMN(C122)-1)/26)+64)&amp;CHAR(MOD(COLUMN(C122)-1,26)+65))&amp;$R82&amp;""),"")</f>
        <v/>
      </c>
      <c r="T82" s="74" t="str">
        <f t="array" aca="1" ref="T82" ca="1">IF($R82&lt;&gt;"",
INDIRECT(""&amp;IF(COLUMN(D122)&lt;=26,CHAR(COLUMN(D122)+64),CHAR(INT((COLUMN(D122)-1)/26)+64)&amp;CHAR(MOD(COLUMN(D122)-1,26)+65))&amp;$R82&amp;""),"")</f>
        <v/>
      </c>
      <c r="U82" s="74" t="str">
        <f t="array" aca="1" ref="U82" ca="1">IF($R82&lt;&gt;"",
INDIRECT(""&amp;IF(COLUMN(E122)&lt;=26,CHAR(COLUMN(E122)+64),CHAR(INT((COLUMN(E122)-1)/26)+64)&amp;CHAR(MOD(COLUMN(E122)-1,26)+65))&amp;$R82&amp;""),"")</f>
        <v/>
      </c>
      <c r="V82" s="74" t="str">
        <f t="array" aca="1" ref="V82" ca="1">IF($R82&lt;&gt;"",
IF(U82="",
IF(INDIRECT("EY"&amp;$R82&amp;"")&lt;&gt;"",
INDIRECT("EY"&amp;$R82&amp;"")&amp;"箱"
&amp;INDIRECT("EZ"&amp;$R82&amp;""),""),""),"")</f>
        <v/>
      </c>
      <c r="W82" s="74" t="str">
        <f t="array" aca="1" ref="W82" ca="1">IF($R82&lt;&gt;"",
INDIRECT(""&amp;IF(COLUMN(H122)&lt;=26,CHAR(COLUMN(H122)+64),CHAR(INT((COLUMN(H122)-1)/26)+64)&amp;CHAR(MOD(COLUMN(H122)-1,26)+65))&amp;$R82&amp;""),"")</f>
        <v/>
      </c>
      <c r="X82" s="74" t="str">
        <f t="array" aca="1" ref="X82" ca="1">IF($R82&lt;&gt;"",
INDIRECT(""&amp;IF(COLUMN(I122)&lt;=26,CHAR(COLUMN(I122)+64),CHAR(INT((COLUMN(I122)-1)/26)+64)&amp;CHAR(MOD(COLUMN(I122)-1,26)+65))&amp;$R82&amp;""),"")</f>
        <v/>
      </c>
      <c r="Y82" s="74" t="str">
        <f t="array" aca="1" ref="Y82" ca="1">IF($R82&lt;&gt;"",
INDIRECT(""&amp;IF(COLUMN(J122)&lt;=26,CHAR(COLUMN(J122)+64),CHAR(INT((COLUMN(J122)-1)/26)+64)&amp;CHAR(MOD(COLUMN(J122)-1,26)+65))&amp;$R82&amp;""),"")</f>
        <v/>
      </c>
      <c r="Z82" s="74" t="str">
        <f t="array" aca="1" ref="Z82" ca="1">IF($R82&lt;&gt;"",
INDIRECT(""&amp;IF(COLUMN(K122)&lt;=26,CHAR(COLUMN(K122)+64),CHAR(INT((COLUMN(K122)-1)/26)+64)&amp;CHAR(MOD(COLUMN(K122)-1,26)+65))&amp;$R82&amp;""),"")</f>
        <v/>
      </c>
      <c r="AA82" s="74" t="str">
        <f t="array" aca="1" ref="AA82" ca="1">IF($R82&lt;&gt;"",
INDIRECT(""&amp;IF(COLUMN(L122)&lt;=26,CHAR(COLUMN(L122)+64),CHAR(INT((COLUMN(L122)-1)/26)+64)&amp;CHAR(MOD(COLUMN(L122)-1,26)+65))&amp;$R82&amp;""),"")</f>
        <v/>
      </c>
      <c r="AB82" s="74" t="str">
        <f t="array" aca="1" ref="AB82" ca="1">IF($R82&lt;&gt;"",
INDIRECT(""&amp;IF(COLUMN(O122)&lt;=26,CHAR(COLUMN(O122)+64),CHAR(INT((COLUMN(O122)-1)/26)+64)&amp;CHAR(MOD(COLUMN(O122)-1,26)+65))&amp;$R82&amp;""),"")</f>
        <v/>
      </c>
    </row>
    <row r="83" spans="1:28" s="74" customFormat="1" ht="22.2" customHeight="1">
      <c r="R83" s="74" t="str">
        <f t="array" ref="R83">IFERROR(SMALL(IF(P$1:P$228&lt;&gt;0,P$1:P$228),ROW(#REF!)),"")</f>
        <v/>
      </c>
      <c r="S83" s="74" t="str">
        <f t="array" aca="1" ref="S83" ca="1">IF($R83&lt;&gt;"",
INDIRECT(""&amp;IF(COLUMN(C124)&lt;=26,CHAR(COLUMN(C124)+64),CHAR(INT((COLUMN(C124)-1)/26)+64)&amp;CHAR(MOD(COLUMN(C124)-1,26)+65))&amp;$R83&amp;""),"")</f>
        <v/>
      </c>
      <c r="T83" s="74" t="str">
        <f t="array" aca="1" ref="T83" ca="1">IF($R83&lt;&gt;"",
INDIRECT(""&amp;IF(COLUMN(D124)&lt;=26,CHAR(COLUMN(D124)+64),CHAR(INT((COLUMN(D124)-1)/26)+64)&amp;CHAR(MOD(COLUMN(D124)-1,26)+65))&amp;$R83&amp;""),"")</f>
        <v/>
      </c>
      <c r="U83" s="74" t="str">
        <f t="array" aca="1" ref="U83" ca="1">IF($R83&lt;&gt;"",
INDIRECT(""&amp;IF(COLUMN(E124)&lt;=26,CHAR(COLUMN(E124)+64),CHAR(INT((COLUMN(E124)-1)/26)+64)&amp;CHAR(MOD(COLUMN(E124)-1,26)+65))&amp;$R83&amp;""),"")</f>
        <v/>
      </c>
      <c r="V83" s="74" t="str">
        <f t="array" aca="1" ref="V83" ca="1">IF($R83&lt;&gt;"",
IF(U83="",
IF(INDIRECT("EY"&amp;$R83&amp;"")&lt;&gt;"",
INDIRECT("EY"&amp;$R83&amp;"")&amp;"箱"
&amp;INDIRECT("EZ"&amp;$R83&amp;""),""),""),"")</f>
        <v/>
      </c>
      <c r="W83" s="74" t="str">
        <f t="array" aca="1" ref="W83" ca="1">IF($R83&lt;&gt;"",
INDIRECT(""&amp;IF(COLUMN(H124)&lt;=26,CHAR(COLUMN(H124)+64),CHAR(INT((COLUMN(H124)-1)/26)+64)&amp;CHAR(MOD(COLUMN(H124)-1,26)+65))&amp;$R83&amp;""),"")</f>
        <v/>
      </c>
      <c r="X83" s="74" t="str">
        <f t="array" aca="1" ref="X83" ca="1">IF($R83&lt;&gt;"",
INDIRECT(""&amp;IF(COLUMN(I124)&lt;=26,CHAR(COLUMN(I124)+64),CHAR(INT((COLUMN(I124)-1)/26)+64)&amp;CHAR(MOD(COLUMN(I124)-1,26)+65))&amp;$R83&amp;""),"")</f>
        <v/>
      </c>
      <c r="Y83" s="74" t="str">
        <f t="array" aca="1" ref="Y83" ca="1">IF($R83&lt;&gt;"",
INDIRECT(""&amp;IF(COLUMN(J124)&lt;=26,CHAR(COLUMN(J124)+64),CHAR(INT((COLUMN(J124)-1)/26)+64)&amp;CHAR(MOD(COLUMN(J124)-1,26)+65))&amp;$R83&amp;""),"")</f>
        <v/>
      </c>
      <c r="Z83" s="74" t="str">
        <f t="array" aca="1" ref="Z83" ca="1">IF($R83&lt;&gt;"",
INDIRECT(""&amp;IF(COLUMN(K124)&lt;=26,CHAR(COLUMN(K124)+64),CHAR(INT((COLUMN(K124)-1)/26)+64)&amp;CHAR(MOD(COLUMN(K124)-1,26)+65))&amp;$R83&amp;""),"")</f>
        <v/>
      </c>
      <c r="AA83" s="74" t="str">
        <f t="array" aca="1" ref="AA83" ca="1">IF($R83&lt;&gt;"",
INDIRECT(""&amp;IF(COLUMN(L124)&lt;=26,CHAR(COLUMN(L124)+64),CHAR(INT((COLUMN(L124)-1)/26)+64)&amp;CHAR(MOD(COLUMN(L124)-1,26)+65))&amp;$R83&amp;""),"")</f>
        <v/>
      </c>
      <c r="AB83" s="74" t="str">
        <f t="array" aca="1" ref="AB83" ca="1">IF($R83&lt;&gt;"",
INDIRECT(""&amp;IF(COLUMN(O124)&lt;=26,CHAR(COLUMN(O124)+64),CHAR(INT((COLUMN(O124)-1)/26)+64)&amp;CHAR(MOD(COLUMN(O124)-1,26)+65))&amp;$R83&amp;""),"")</f>
        <v/>
      </c>
    </row>
    <row r="84" spans="1:28" ht="21" customHeight="1">
      <c r="A84" s="22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 t="str">
        <f t="array" ref="R84">IFERROR(SMALL(IF(P$1:P$228&lt;&gt;0,P$1:P$228),ROW(#REF!)),"")</f>
        <v/>
      </c>
      <c r="S84" s="74" t="str">
        <f t="array" aca="1" ref="S84" ca="1">IF($R84&lt;&gt;"",
INDIRECT(""&amp;IF(COLUMN(C125)&lt;=26,CHAR(COLUMN(C125)+64),CHAR(INT((COLUMN(C125)-1)/26)+64)&amp;CHAR(MOD(COLUMN(C125)-1,26)+65))&amp;$R84&amp;""),"")</f>
        <v/>
      </c>
      <c r="T84" s="74" t="str">
        <f t="array" aca="1" ref="T84" ca="1">IF($R84&lt;&gt;"",
INDIRECT(""&amp;IF(COLUMN(D125)&lt;=26,CHAR(COLUMN(D125)+64),CHAR(INT((COLUMN(D125)-1)/26)+64)&amp;CHAR(MOD(COLUMN(D125)-1,26)+65))&amp;$R84&amp;""),"")</f>
        <v/>
      </c>
      <c r="U84" s="74" t="str">
        <f t="array" aca="1" ref="U84" ca="1">IF($R84&lt;&gt;"",
INDIRECT(""&amp;IF(COLUMN(E125)&lt;=26,CHAR(COLUMN(E125)+64),CHAR(INT((COLUMN(E125)-1)/26)+64)&amp;CHAR(MOD(COLUMN(E125)-1,26)+65))&amp;$R84&amp;""),"")</f>
        <v/>
      </c>
      <c r="V84" s="74" t="str">
        <f t="array" aca="1" ref="V84" ca="1">IF($R84&lt;&gt;"",
IF(U84="",
IF(INDIRECT("EY"&amp;$R84&amp;"")&lt;&gt;"",
INDIRECT("EY"&amp;$R84&amp;"")&amp;"箱"
&amp;INDIRECT("EZ"&amp;$R84&amp;""),""),""),"")</f>
        <v/>
      </c>
      <c r="W84" s="74" t="str">
        <f t="array" aca="1" ref="W84" ca="1">IF($R84&lt;&gt;"",
INDIRECT(""&amp;IF(COLUMN(H125)&lt;=26,CHAR(COLUMN(H125)+64),CHAR(INT((COLUMN(H125)-1)/26)+64)&amp;CHAR(MOD(COLUMN(H125)-1,26)+65))&amp;$R84&amp;""),"")</f>
        <v/>
      </c>
      <c r="X84" s="74" t="str">
        <f t="array" aca="1" ref="X84" ca="1">IF($R84&lt;&gt;"",
INDIRECT(""&amp;IF(COLUMN(I125)&lt;=26,CHAR(COLUMN(I125)+64),CHAR(INT((COLUMN(I125)-1)/26)+64)&amp;CHAR(MOD(COLUMN(I125)-1,26)+65))&amp;$R84&amp;""),"")</f>
        <v/>
      </c>
      <c r="Y84" s="74" t="str">
        <f t="array" aca="1" ref="Y84" ca="1">IF($R84&lt;&gt;"",
INDIRECT(""&amp;IF(COLUMN(J125)&lt;=26,CHAR(COLUMN(J125)+64),CHAR(INT((COLUMN(J125)-1)/26)+64)&amp;CHAR(MOD(COLUMN(J125)-1,26)+65))&amp;$R84&amp;""),"")</f>
        <v/>
      </c>
      <c r="Z84" s="74" t="str">
        <f t="array" aca="1" ref="Z84" ca="1">IF($R84&lt;&gt;"",
INDIRECT(""&amp;IF(COLUMN(K125)&lt;=26,CHAR(COLUMN(K125)+64),CHAR(INT((COLUMN(K125)-1)/26)+64)&amp;CHAR(MOD(COLUMN(K125)-1,26)+65))&amp;$R84&amp;""),"")</f>
        <v/>
      </c>
      <c r="AA84" s="74" t="str">
        <f t="array" aca="1" ref="AA84" ca="1">IF($R84&lt;&gt;"",
INDIRECT(""&amp;IF(COLUMN(L125)&lt;=26,CHAR(COLUMN(L125)+64),CHAR(INT((COLUMN(L125)-1)/26)+64)&amp;CHAR(MOD(COLUMN(L125)-1,26)+65))&amp;$R84&amp;""),"")</f>
        <v/>
      </c>
      <c r="AB84" s="74" t="str">
        <f t="array" aca="1" ref="AB84" ca="1">IF($R84&lt;&gt;"",
INDIRECT(""&amp;IF(COLUMN(O125)&lt;=26,CHAR(COLUMN(O125)+64),CHAR(INT((COLUMN(O125)-1)/26)+64)&amp;CHAR(MOD(COLUMN(O125)-1,26)+65))&amp;$R84&amp;""),"")</f>
        <v/>
      </c>
    </row>
    <row r="85" spans="1:28" ht="22.2" customHeight="1"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 t="str">
        <f t="array" ref="R85">IFERROR(SMALL(IF(P$1:P$228&lt;&gt;0,P$1:P$228),ROW(#REF!)),"")</f>
        <v/>
      </c>
      <c r="S85" s="74" t="str">
        <f t="array" aca="1" ref="S85" ca="1">IF($R85&lt;&gt;"",
INDIRECT(""&amp;IF(COLUMN(C127)&lt;=26,CHAR(COLUMN(C127)+64),CHAR(INT((COLUMN(C127)-1)/26)+64)&amp;CHAR(MOD(COLUMN(C127)-1,26)+65))&amp;$R85&amp;""),"")</f>
        <v/>
      </c>
      <c r="T85" s="74" t="str">
        <f t="array" aca="1" ref="T85" ca="1">IF($R85&lt;&gt;"",
INDIRECT(""&amp;IF(COLUMN(D127)&lt;=26,CHAR(COLUMN(D127)+64),CHAR(INT((COLUMN(D127)-1)/26)+64)&amp;CHAR(MOD(COLUMN(D127)-1,26)+65))&amp;$R85&amp;""),"")</f>
        <v/>
      </c>
      <c r="U85" s="74" t="str">
        <f t="array" aca="1" ref="U85" ca="1">IF($R85&lt;&gt;"",
INDIRECT(""&amp;IF(COLUMN(E127)&lt;=26,CHAR(COLUMN(E127)+64),CHAR(INT((COLUMN(E127)-1)/26)+64)&amp;CHAR(MOD(COLUMN(E127)-1,26)+65))&amp;$R85&amp;""),"")</f>
        <v/>
      </c>
      <c r="V85" s="74" t="str">
        <f t="array" aca="1" ref="V85" ca="1">IF($R85&lt;&gt;"",
IF(U85="",
IF(INDIRECT("EY"&amp;$R85&amp;"")&lt;&gt;"",
INDIRECT("EY"&amp;$R85&amp;"")&amp;"箱"
&amp;INDIRECT("EZ"&amp;$R85&amp;""),""),""),"")</f>
        <v/>
      </c>
      <c r="W85" s="74" t="str">
        <f t="array" aca="1" ref="W85" ca="1">IF($R85&lt;&gt;"",
INDIRECT(""&amp;IF(COLUMN(H127)&lt;=26,CHAR(COLUMN(H127)+64),CHAR(INT((COLUMN(H127)-1)/26)+64)&amp;CHAR(MOD(COLUMN(H127)-1,26)+65))&amp;$R85&amp;""),"")</f>
        <v/>
      </c>
      <c r="X85" s="74" t="str">
        <f t="array" aca="1" ref="X85" ca="1">IF($R85&lt;&gt;"",
INDIRECT(""&amp;IF(COLUMN(I127)&lt;=26,CHAR(COLUMN(I127)+64),CHAR(INT((COLUMN(I127)-1)/26)+64)&amp;CHAR(MOD(COLUMN(I127)-1,26)+65))&amp;$R85&amp;""),"")</f>
        <v/>
      </c>
      <c r="Y85" s="74" t="str">
        <f t="array" aca="1" ref="Y85" ca="1">IF($R85&lt;&gt;"",
INDIRECT(""&amp;IF(COLUMN(J127)&lt;=26,CHAR(COLUMN(J127)+64),CHAR(INT((COLUMN(J127)-1)/26)+64)&amp;CHAR(MOD(COLUMN(J127)-1,26)+65))&amp;$R85&amp;""),"")</f>
        <v/>
      </c>
      <c r="Z85" s="74" t="str">
        <f t="array" aca="1" ref="Z85" ca="1">IF($R85&lt;&gt;"",
INDIRECT(""&amp;IF(COLUMN(K127)&lt;=26,CHAR(COLUMN(K127)+64),CHAR(INT((COLUMN(K127)-1)/26)+64)&amp;CHAR(MOD(COLUMN(K127)-1,26)+65))&amp;$R85&amp;""),"")</f>
        <v/>
      </c>
      <c r="AA85" s="74" t="str">
        <f t="array" aca="1" ref="AA85" ca="1">IF($R85&lt;&gt;"",
INDIRECT(""&amp;IF(COLUMN(L127)&lt;=26,CHAR(COLUMN(L127)+64),CHAR(INT((COLUMN(L127)-1)/26)+64)&amp;CHAR(MOD(COLUMN(L127)-1,26)+65))&amp;$R85&amp;""),"")</f>
        <v/>
      </c>
      <c r="AB85" s="74" t="str">
        <f t="array" aca="1" ref="AB85" ca="1">IF($R85&lt;&gt;"",
INDIRECT(""&amp;IF(COLUMN(O127)&lt;=26,CHAR(COLUMN(O127)+64),CHAR(INT((COLUMN(O127)-1)/26)+64)&amp;CHAR(MOD(COLUMN(O127)-1,26)+65))&amp;$R85&amp;""),"")</f>
        <v/>
      </c>
    </row>
    <row r="86" spans="1:28" ht="22.2" customHeight="1"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 t="str">
        <f t="array" ref="R86">IFERROR(SMALL(IF(P$1:P$228&lt;&gt;0,P$1:P$228),ROW(#REF!)),"")</f>
        <v/>
      </c>
      <c r="S86" s="74" t="str">
        <f t="array" aca="1" ref="S86" ca="1">IF($R86&lt;&gt;"",
INDIRECT(""&amp;IF(COLUMN(C128)&lt;=26,CHAR(COLUMN(C128)+64),CHAR(INT((COLUMN(C128)-1)/26)+64)&amp;CHAR(MOD(COLUMN(C128)-1,26)+65))&amp;$R86&amp;""),"")</f>
        <v/>
      </c>
      <c r="T86" s="74" t="str">
        <f t="array" aca="1" ref="T86" ca="1">IF($R86&lt;&gt;"",
INDIRECT(""&amp;IF(COLUMN(D128)&lt;=26,CHAR(COLUMN(D128)+64),CHAR(INT((COLUMN(D128)-1)/26)+64)&amp;CHAR(MOD(COLUMN(D128)-1,26)+65))&amp;$R86&amp;""),"")</f>
        <v/>
      </c>
      <c r="U86" s="74" t="str">
        <f t="array" aca="1" ref="U86" ca="1">IF($R86&lt;&gt;"",
INDIRECT(""&amp;IF(COLUMN(E128)&lt;=26,CHAR(COLUMN(E128)+64),CHAR(INT((COLUMN(E128)-1)/26)+64)&amp;CHAR(MOD(COLUMN(E128)-1,26)+65))&amp;$R86&amp;""),"")</f>
        <v/>
      </c>
      <c r="V86" s="74" t="str">
        <f t="array" aca="1" ref="V86" ca="1">IF($R86&lt;&gt;"",
IF(U86="",
IF(INDIRECT("EY"&amp;$R86&amp;"")&lt;&gt;"",
INDIRECT("EY"&amp;$R86&amp;"")&amp;"箱"
&amp;INDIRECT("EZ"&amp;$R86&amp;""),""),""),"")</f>
        <v/>
      </c>
      <c r="W86" s="74" t="str">
        <f t="array" aca="1" ref="W86" ca="1">IF($R86&lt;&gt;"",
INDIRECT(""&amp;IF(COLUMN(H128)&lt;=26,CHAR(COLUMN(H128)+64),CHAR(INT((COLUMN(H128)-1)/26)+64)&amp;CHAR(MOD(COLUMN(H128)-1,26)+65))&amp;$R86&amp;""),"")</f>
        <v/>
      </c>
      <c r="X86" s="74" t="str">
        <f t="array" aca="1" ref="X86" ca="1">IF($R86&lt;&gt;"",
INDIRECT(""&amp;IF(COLUMN(I128)&lt;=26,CHAR(COLUMN(I128)+64),CHAR(INT((COLUMN(I128)-1)/26)+64)&amp;CHAR(MOD(COLUMN(I128)-1,26)+65))&amp;$R86&amp;""),"")</f>
        <v/>
      </c>
      <c r="Y86" s="74" t="str">
        <f t="array" aca="1" ref="Y86" ca="1">IF($R86&lt;&gt;"",
INDIRECT(""&amp;IF(COLUMN(J128)&lt;=26,CHAR(COLUMN(J128)+64),CHAR(INT((COLUMN(J128)-1)/26)+64)&amp;CHAR(MOD(COLUMN(J128)-1,26)+65))&amp;$R86&amp;""),"")</f>
        <v/>
      </c>
      <c r="Z86" s="74" t="str">
        <f t="array" aca="1" ref="Z86" ca="1">IF($R86&lt;&gt;"",
INDIRECT(""&amp;IF(COLUMN(K128)&lt;=26,CHAR(COLUMN(K128)+64),CHAR(INT((COLUMN(K128)-1)/26)+64)&amp;CHAR(MOD(COLUMN(K128)-1,26)+65))&amp;$R86&amp;""),"")</f>
        <v/>
      </c>
      <c r="AA86" s="74" t="str">
        <f t="array" aca="1" ref="AA86" ca="1">IF($R86&lt;&gt;"",
INDIRECT(""&amp;IF(COLUMN(L128)&lt;=26,CHAR(COLUMN(L128)+64),CHAR(INT((COLUMN(L128)-1)/26)+64)&amp;CHAR(MOD(COLUMN(L128)-1,26)+65))&amp;$R86&amp;""),"")</f>
        <v/>
      </c>
      <c r="AB86" s="74" t="str">
        <f t="array" aca="1" ref="AB86" ca="1">IF($R86&lt;&gt;"",
INDIRECT(""&amp;IF(COLUMN(O128)&lt;=26,CHAR(COLUMN(O128)+64),CHAR(INT((COLUMN(O128)-1)/26)+64)&amp;CHAR(MOD(COLUMN(O128)-1,26)+65))&amp;$R86&amp;""),"")</f>
        <v/>
      </c>
    </row>
    <row r="87" spans="1:28" ht="22.2" customHeight="1"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 t="str">
        <f t="array" ref="R87">IFERROR(SMALL(IF(P$1:P$228&lt;&gt;0,P$1:P$228),ROW(#REF!)),"")</f>
        <v/>
      </c>
      <c r="S87" s="74" t="str">
        <f t="array" aca="1" ref="S87" ca="1">IF($R87&lt;&gt;"",
INDIRECT(""&amp;IF(COLUMN(C130)&lt;=26,CHAR(COLUMN(C130)+64),CHAR(INT((COLUMN(C130)-1)/26)+64)&amp;CHAR(MOD(COLUMN(C130)-1,26)+65))&amp;$R87&amp;""),"")</f>
        <v/>
      </c>
      <c r="T87" s="74" t="str">
        <f t="array" aca="1" ref="T87" ca="1">IF($R87&lt;&gt;"",
INDIRECT(""&amp;IF(COLUMN(D130)&lt;=26,CHAR(COLUMN(D130)+64),CHAR(INT((COLUMN(D130)-1)/26)+64)&amp;CHAR(MOD(COLUMN(D130)-1,26)+65))&amp;$R87&amp;""),"")</f>
        <v/>
      </c>
      <c r="U87" s="74" t="str">
        <f t="array" aca="1" ref="U87" ca="1">IF($R87&lt;&gt;"",
INDIRECT(""&amp;IF(COLUMN(E130)&lt;=26,CHAR(COLUMN(E130)+64),CHAR(INT((COLUMN(E130)-1)/26)+64)&amp;CHAR(MOD(COLUMN(E130)-1,26)+65))&amp;$R87&amp;""),"")</f>
        <v/>
      </c>
      <c r="V87" s="74" t="str">
        <f t="array" aca="1" ref="V87" ca="1">IF($R87&lt;&gt;"",
IF(U87="",
IF(INDIRECT("EY"&amp;$R87&amp;"")&lt;&gt;"",
INDIRECT("EY"&amp;$R87&amp;"")&amp;"箱"
&amp;INDIRECT("EZ"&amp;$R87&amp;""),""),""),"")</f>
        <v/>
      </c>
      <c r="W87" s="74" t="str">
        <f t="array" aca="1" ref="W87" ca="1">IF($R87&lt;&gt;"",
INDIRECT(""&amp;IF(COLUMN(H130)&lt;=26,CHAR(COLUMN(H130)+64),CHAR(INT((COLUMN(H130)-1)/26)+64)&amp;CHAR(MOD(COLUMN(H130)-1,26)+65))&amp;$R87&amp;""),"")</f>
        <v/>
      </c>
      <c r="X87" s="74" t="str">
        <f t="array" aca="1" ref="X87" ca="1">IF($R87&lt;&gt;"",
INDIRECT(""&amp;IF(COLUMN(I130)&lt;=26,CHAR(COLUMN(I130)+64),CHAR(INT((COLUMN(I130)-1)/26)+64)&amp;CHAR(MOD(COLUMN(I130)-1,26)+65))&amp;$R87&amp;""),"")</f>
        <v/>
      </c>
      <c r="Y87" s="74" t="str">
        <f t="array" aca="1" ref="Y87" ca="1">IF($R87&lt;&gt;"",
INDIRECT(""&amp;IF(COLUMN(J130)&lt;=26,CHAR(COLUMN(J130)+64),CHAR(INT((COLUMN(J130)-1)/26)+64)&amp;CHAR(MOD(COLUMN(J130)-1,26)+65))&amp;$R87&amp;""),"")</f>
        <v/>
      </c>
      <c r="Z87" s="74" t="str">
        <f t="array" aca="1" ref="Z87" ca="1">IF($R87&lt;&gt;"",
INDIRECT(""&amp;IF(COLUMN(K130)&lt;=26,CHAR(COLUMN(K130)+64),CHAR(INT((COLUMN(K130)-1)/26)+64)&amp;CHAR(MOD(COLUMN(K130)-1,26)+65))&amp;$R87&amp;""),"")</f>
        <v/>
      </c>
      <c r="AA87" s="74" t="str">
        <f t="array" aca="1" ref="AA87" ca="1">IF($R87&lt;&gt;"",
INDIRECT(""&amp;IF(COLUMN(L130)&lt;=26,CHAR(COLUMN(L130)+64),CHAR(INT((COLUMN(L130)-1)/26)+64)&amp;CHAR(MOD(COLUMN(L130)-1,26)+65))&amp;$R87&amp;""),"")</f>
        <v/>
      </c>
      <c r="AB87" s="74" t="str">
        <f t="array" aca="1" ref="AB87" ca="1">IF($R87&lt;&gt;"",
INDIRECT(""&amp;IF(COLUMN(O130)&lt;=26,CHAR(COLUMN(O130)+64),CHAR(INT((COLUMN(O130)-1)/26)+64)&amp;CHAR(MOD(COLUMN(O130)-1,26)+65))&amp;$R87&amp;""),"")</f>
        <v/>
      </c>
    </row>
    <row r="88" spans="1:28" ht="22.2" customHeight="1"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 t="str">
        <f t="array" ref="R88">IFERROR(SMALL(IF(P$1:P$228&lt;&gt;0,P$1:P$228),ROW(#REF!)),"")</f>
        <v/>
      </c>
      <c r="S88" s="74" t="str">
        <f t="array" aca="1" ref="S88" ca="1">IF($R88&lt;&gt;"",
INDIRECT(""&amp;IF(COLUMN(C131)&lt;=26,CHAR(COLUMN(C131)+64),CHAR(INT((COLUMN(C131)-1)/26)+64)&amp;CHAR(MOD(COLUMN(C131)-1,26)+65))&amp;$R88&amp;""),"")</f>
        <v/>
      </c>
      <c r="T88" s="74" t="str">
        <f t="array" aca="1" ref="T88" ca="1">IF($R88&lt;&gt;"",
INDIRECT(""&amp;IF(COLUMN(D131)&lt;=26,CHAR(COLUMN(D131)+64),CHAR(INT((COLUMN(D131)-1)/26)+64)&amp;CHAR(MOD(COLUMN(D131)-1,26)+65))&amp;$R88&amp;""),"")</f>
        <v/>
      </c>
      <c r="U88" s="74" t="str">
        <f t="array" aca="1" ref="U88" ca="1">IF($R88&lt;&gt;"",
INDIRECT(""&amp;IF(COLUMN(E131)&lt;=26,CHAR(COLUMN(E131)+64),CHAR(INT((COLUMN(E131)-1)/26)+64)&amp;CHAR(MOD(COLUMN(E131)-1,26)+65))&amp;$R88&amp;""),"")</f>
        <v/>
      </c>
      <c r="V88" s="74" t="str">
        <f t="array" aca="1" ref="V88" ca="1">IF($R88&lt;&gt;"",
IF(U88="",
IF(INDIRECT("EY"&amp;$R88&amp;"")&lt;&gt;"",
INDIRECT("EY"&amp;$R88&amp;"")&amp;"箱"
&amp;INDIRECT("EZ"&amp;$R88&amp;""),""),""),"")</f>
        <v/>
      </c>
      <c r="W88" s="74" t="str">
        <f t="array" aca="1" ref="W88" ca="1">IF($R88&lt;&gt;"",
INDIRECT(""&amp;IF(COLUMN(H131)&lt;=26,CHAR(COLUMN(H131)+64),CHAR(INT((COLUMN(H131)-1)/26)+64)&amp;CHAR(MOD(COLUMN(H131)-1,26)+65))&amp;$R88&amp;""),"")</f>
        <v/>
      </c>
      <c r="X88" s="74" t="str">
        <f t="array" aca="1" ref="X88" ca="1">IF($R88&lt;&gt;"",
INDIRECT(""&amp;IF(COLUMN(I131)&lt;=26,CHAR(COLUMN(I131)+64),CHAR(INT((COLUMN(I131)-1)/26)+64)&amp;CHAR(MOD(COLUMN(I131)-1,26)+65))&amp;$R88&amp;""),"")</f>
        <v/>
      </c>
      <c r="Y88" s="74" t="str">
        <f t="array" aca="1" ref="Y88" ca="1">IF($R88&lt;&gt;"",
INDIRECT(""&amp;IF(COLUMN(J131)&lt;=26,CHAR(COLUMN(J131)+64),CHAR(INT((COLUMN(J131)-1)/26)+64)&amp;CHAR(MOD(COLUMN(J131)-1,26)+65))&amp;$R88&amp;""),"")</f>
        <v/>
      </c>
      <c r="Z88" s="74" t="str">
        <f t="array" aca="1" ref="Z88" ca="1">IF($R88&lt;&gt;"",
INDIRECT(""&amp;IF(COLUMN(K131)&lt;=26,CHAR(COLUMN(K131)+64),CHAR(INT((COLUMN(K131)-1)/26)+64)&amp;CHAR(MOD(COLUMN(K131)-1,26)+65))&amp;$R88&amp;""),"")</f>
        <v/>
      </c>
      <c r="AA88" s="74" t="str">
        <f t="array" aca="1" ref="AA88" ca="1">IF($R88&lt;&gt;"",
INDIRECT(""&amp;IF(COLUMN(L131)&lt;=26,CHAR(COLUMN(L131)+64),CHAR(INT((COLUMN(L131)-1)/26)+64)&amp;CHAR(MOD(COLUMN(L131)-1,26)+65))&amp;$R88&amp;""),"")</f>
        <v/>
      </c>
      <c r="AB88" s="74" t="str">
        <f t="array" aca="1" ref="AB88" ca="1">IF($R88&lt;&gt;"",
INDIRECT(""&amp;IF(COLUMN(O131)&lt;=26,CHAR(COLUMN(O131)+64),CHAR(INT((COLUMN(O131)-1)/26)+64)&amp;CHAR(MOD(COLUMN(O131)-1,26)+65))&amp;$R88&amp;""),"")</f>
        <v/>
      </c>
    </row>
    <row r="89" spans="1:28" ht="22.2" customHeight="1"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 t="str">
        <f t="array" ref="R89">IFERROR(SMALL(IF(P$1:P$228&lt;&gt;0,P$1:P$228),ROW(#REF!)),"")</f>
        <v/>
      </c>
      <c r="S89" s="74" t="str">
        <f t="array" aca="1" ref="S89" ca="1">IF($R89&lt;&gt;"",
INDIRECT(""&amp;IF(COLUMN(C133)&lt;=26,CHAR(COLUMN(C133)+64),CHAR(INT((COLUMN(C133)-1)/26)+64)&amp;CHAR(MOD(COLUMN(C133)-1,26)+65))&amp;$R89&amp;""),"")</f>
        <v/>
      </c>
      <c r="T89" s="74" t="str">
        <f t="array" aca="1" ref="T89" ca="1">IF($R89&lt;&gt;"",
INDIRECT(""&amp;IF(COLUMN(D133)&lt;=26,CHAR(COLUMN(D133)+64),CHAR(INT((COLUMN(D133)-1)/26)+64)&amp;CHAR(MOD(COLUMN(D133)-1,26)+65))&amp;$R89&amp;""),"")</f>
        <v/>
      </c>
      <c r="U89" s="74" t="str">
        <f t="array" aca="1" ref="U89" ca="1">IF($R89&lt;&gt;"",
INDIRECT(""&amp;IF(COLUMN(E133)&lt;=26,CHAR(COLUMN(E133)+64),CHAR(INT((COLUMN(E133)-1)/26)+64)&amp;CHAR(MOD(COLUMN(E133)-1,26)+65))&amp;$R89&amp;""),"")</f>
        <v/>
      </c>
      <c r="V89" s="74" t="str">
        <f t="array" aca="1" ref="V89" ca="1">IF($R89&lt;&gt;"",
IF(U89="",
IF(INDIRECT("EY"&amp;$R89&amp;"")&lt;&gt;"",
INDIRECT("EY"&amp;$R89&amp;"")&amp;"箱"
&amp;INDIRECT("EZ"&amp;$R89&amp;""),""),""),"")</f>
        <v/>
      </c>
      <c r="W89" s="74" t="str">
        <f t="array" aca="1" ref="W89" ca="1">IF($R89&lt;&gt;"",
INDIRECT(""&amp;IF(COLUMN(H133)&lt;=26,CHAR(COLUMN(H133)+64),CHAR(INT((COLUMN(H133)-1)/26)+64)&amp;CHAR(MOD(COLUMN(H133)-1,26)+65))&amp;$R89&amp;""),"")</f>
        <v/>
      </c>
      <c r="X89" s="74" t="str">
        <f t="array" aca="1" ref="X89" ca="1">IF($R89&lt;&gt;"",
INDIRECT(""&amp;IF(COLUMN(I133)&lt;=26,CHAR(COLUMN(I133)+64),CHAR(INT((COLUMN(I133)-1)/26)+64)&amp;CHAR(MOD(COLUMN(I133)-1,26)+65))&amp;$R89&amp;""),"")</f>
        <v/>
      </c>
      <c r="Y89" s="74" t="str">
        <f t="array" aca="1" ref="Y89" ca="1">IF($R89&lt;&gt;"",
INDIRECT(""&amp;IF(COLUMN(J133)&lt;=26,CHAR(COLUMN(J133)+64),CHAR(INT((COLUMN(J133)-1)/26)+64)&amp;CHAR(MOD(COLUMN(J133)-1,26)+65))&amp;$R89&amp;""),"")</f>
        <v/>
      </c>
      <c r="Z89" s="74" t="str">
        <f t="array" aca="1" ref="Z89" ca="1">IF($R89&lt;&gt;"",
INDIRECT(""&amp;IF(COLUMN(K133)&lt;=26,CHAR(COLUMN(K133)+64),CHAR(INT((COLUMN(K133)-1)/26)+64)&amp;CHAR(MOD(COLUMN(K133)-1,26)+65))&amp;$R89&amp;""),"")</f>
        <v/>
      </c>
      <c r="AA89" s="74" t="str">
        <f t="array" aca="1" ref="AA89" ca="1">IF($R89&lt;&gt;"",
INDIRECT(""&amp;IF(COLUMN(L133)&lt;=26,CHAR(COLUMN(L133)+64),CHAR(INT((COLUMN(L133)-1)/26)+64)&amp;CHAR(MOD(COLUMN(L133)-1,26)+65))&amp;$R89&amp;""),"")</f>
        <v/>
      </c>
      <c r="AB89" s="74" t="str">
        <f t="array" aca="1" ref="AB89" ca="1">IF($R89&lt;&gt;"",
INDIRECT(""&amp;IF(COLUMN(O133)&lt;=26,CHAR(COLUMN(O133)+64),CHAR(INT((COLUMN(O133)-1)/26)+64)&amp;CHAR(MOD(COLUMN(O133)-1,26)+65))&amp;$R89&amp;""),"")</f>
        <v/>
      </c>
    </row>
    <row r="90" spans="1:28" ht="22.2" customHeight="1"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 t="str">
        <f t="array" ref="R90">IFERROR(SMALL(IF(P$1:P$228&lt;&gt;0,P$1:P$228),ROW(#REF!)),"")</f>
        <v/>
      </c>
      <c r="S90" s="74" t="str">
        <f t="array" aca="1" ref="S90" ca="1">IF($R90&lt;&gt;"",
INDIRECT(""&amp;IF(COLUMN(C134)&lt;=26,CHAR(COLUMN(C134)+64),CHAR(INT((COLUMN(C134)-1)/26)+64)&amp;CHAR(MOD(COLUMN(C134)-1,26)+65))&amp;$R90&amp;""),"")</f>
        <v/>
      </c>
      <c r="T90" s="74" t="str">
        <f t="array" aca="1" ref="T90" ca="1">IF($R90&lt;&gt;"",
INDIRECT(""&amp;IF(COLUMN(D134)&lt;=26,CHAR(COLUMN(D134)+64),CHAR(INT((COLUMN(D134)-1)/26)+64)&amp;CHAR(MOD(COLUMN(D134)-1,26)+65))&amp;$R90&amp;""),"")</f>
        <v/>
      </c>
      <c r="U90" s="74" t="str">
        <f t="array" aca="1" ref="U90" ca="1">IF($R90&lt;&gt;"",
INDIRECT(""&amp;IF(COLUMN(E134)&lt;=26,CHAR(COLUMN(E134)+64),CHAR(INT((COLUMN(E134)-1)/26)+64)&amp;CHAR(MOD(COLUMN(E134)-1,26)+65))&amp;$R90&amp;""),"")</f>
        <v/>
      </c>
      <c r="V90" s="74" t="str">
        <f t="array" aca="1" ref="V90" ca="1">IF($R90&lt;&gt;"",
IF(U90="",
IF(INDIRECT("EY"&amp;$R90&amp;"")&lt;&gt;"",
INDIRECT("EY"&amp;$R90&amp;"")&amp;"箱"
&amp;INDIRECT("EZ"&amp;$R90&amp;""),""),""),"")</f>
        <v/>
      </c>
      <c r="W90" s="74" t="str">
        <f t="array" aca="1" ref="W90" ca="1">IF($R90&lt;&gt;"",
INDIRECT(""&amp;IF(COLUMN(H134)&lt;=26,CHAR(COLUMN(H134)+64),CHAR(INT((COLUMN(H134)-1)/26)+64)&amp;CHAR(MOD(COLUMN(H134)-1,26)+65))&amp;$R90&amp;""),"")</f>
        <v/>
      </c>
      <c r="X90" s="74" t="str">
        <f t="array" aca="1" ref="X90" ca="1">IF($R90&lt;&gt;"",
INDIRECT(""&amp;IF(COLUMN(I134)&lt;=26,CHAR(COLUMN(I134)+64),CHAR(INT((COLUMN(I134)-1)/26)+64)&amp;CHAR(MOD(COLUMN(I134)-1,26)+65))&amp;$R90&amp;""),"")</f>
        <v/>
      </c>
      <c r="Y90" s="74" t="str">
        <f t="array" aca="1" ref="Y90" ca="1">IF($R90&lt;&gt;"",
INDIRECT(""&amp;IF(COLUMN(J134)&lt;=26,CHAR(COLUMN(J134)+64),CHAR(INT((COLUMN(J134)-1)/26)+64)&amp;CHAR(MOD(COLUMN(J134)-1,26)+65))&amp;$R90&amp;""),"")</f>
        <v/>
      </c>
      <c r="Z90" s="74" t="str">
        <f t="array" aca="1" ref="Z90" ca="1">IF($R90&lt;&gt;"",
INDIRECT(""&amp;IF(COLUMN(K134)&lt;=26,CHAR(COLUMN(K134)+64),CHAR(INT((COLUMN(K134)-1)/26)+64)&amp;CHAR(MOD(COLUMN(K134)-1,26)+65))&amp;$R90&amp;""),"")</f>
        <v/>
      </c>
      <c r="AA90" s="74" t="str">
        <f t="array" aca="1" ref="AA90" ca="1">IF($R90&lt;&gt;"",
INDIRECT(""&amp;IF(COLUMN(L134)&lt;=26,CHAR(COLUMN(L134)+64),CHAR(INT((COLUMN(L134)-1)/26)+64)&amp;CHAR(MOD(COLUMN(L134)-1,26)+65))&amp;$R90&amp;""),"")</f>
        <v/>
      </c>
      <c r="AB90" s="74" t="str">
        <f t="array" aca="1" ref="AB90" ca="1">IF($R90&lt;&gt;"",
INDIRECT(""&amp;IF(COLUMN(O134)&lt;=26,CHAR(COLUMN(O134)+64),CHAR(INT((COLUMN(O134)-1)/26)+64)&amp;CHAR(MOD(COLUMN(O134)-1,26)+65))&amp;$R90&amp;""),"")</f>
        <v/>
      </c>
    </row>
    <row r="91" spans="1:28" ht="22.2" customHeight="1"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 t="str">
        <f t="array" ref="R91">IFERROR(SMALL(IF(P$1:P$228&lt;&gt;0,P$1:P$228),ROW(#REF!)),"")</f>
        <v/>
      </c>
      <c r="S91" s="74" t="str">
        <f t="array" aca="1" ref="S91" ca="1">IF($R91&lt;&gt;"",
INDIRECT(""&amp;IF(COLUMN(C136)&lt;=26,CHAR(COLUMN(C136)+64),CHAR(INT((COLUMN(C136)-1)/26)+64)&amp;CHAR(MOD(COLUMN(C136)-1,26)+65))&amp;$R91&amp;""),"")</f>
        <v/>
      </c>
      <c r="T91" s="74" t="str">
        <f t="array" aca="1" ref="T91" ca="1">IF($R91&lt;&gt;"",
INDIRECT(""&amp;IF(COLUMN(D136)&lt;=26,CHAR(COLUMN(D136)+64),CHAR(INT((COLUMN(D136)-1)/26)+64)&amp;CHAR(MOD(COLUMN(D136)-1,26)+65))&amp;$R91&amp;""),"")</f>
        <v/>
      </c>
      <c r="U91" s="74" t="str">
        <f t="array" aca="1" ref="U91" ca="1">IF($R91&lt;&gt;"",
INDIRECT(""&amp;IF(COLUMN(E136)&lt;=26,CHAR(COLUMN(E136)+64),CHAR(INT((COLUMN(E136)-1)/26)+64)&amp;CHAR(MOD(COLUMN(E136)-1,26)+65))&amp;$R91&amp;""),"")</f>
        <v/>
      </c>
      <c r="V91" s="74" t="str">
        <f t="array" aca="1" ref="V91" ca="1">IF($R91&lt;&gt;"",
IF(U91="",
IF(INDIRECT("EY"&amp;$R91&amp;"")&lt;&gt;"",
INDIRECT("EY"&amp;$R91&amp;"")&amp;"箱"
&amp;INDIRECT("EZ"&amp;$R91&amp;""),""),""),"")</f>
        <v/>
      </c>
      <c r="W91" s="74" t="str">
        <f t="array" aca="1" ref="W91" ca="1">IF($R91&lt;&gt;"",
INDIRECT(""&amp;IF(COLUMN(H136)&lt;=26,CHAR(COLUMN(H136)+64),CHAR(INT((COLUMN(H136)-1)/26)+64)&amp;CHAR(MOD(COLUMN(H136)-1,26)+65))&amp;$R91&amp;""),"")</f>
        <v/>
      </c>
      <c r="X91" s="74" t="str">
        <f t="array" aca="1" ref="X91" ca="1">IF($R91&lt;&gt;"",
INDIRECT(""&amp;IF(COLUMN(I136)&lt;=26,CHAR(COLUMN(I136)+64),CHAR(INT((COLUMN(I136)-1)/26)+64)&amp;CHAR(MOD(COLUMN(I136)-1,26)+65))&amp;$R91&amp;""),"")</f>
        <v/>
      </c>
      <c r="Y91" s="74" t="str">
        <f t="array" aca="1" ref="Y91" ca="1">IF($R91&lt;&gt;"",
INDIRECT(""&amp;IF(COLUMN(J136)&lt;=26,CHAR(COLUMN(J136)+64),CHAR(INT((COLUMN(J136)-1)/26)+64)&amp;CHAR(MOD(COLUMN(J136)-1,26)+65))&amp;$R91&amp;""),"")</f>
        <v/>
      </c>
      <c r="Z91" s="74" t="str">
        <f t="array" aca="1" ref="Z91" ca="1">IF($R91&lt;&gt;"",
INDIRECT(""&amp;IF(COLUMN(K136)&lt;=26,CHAR(COLUMN(K136)+64),CHAR(INT((COLUMN(K136)-1)/26)+64)&amp;CHAR(MOD(COLUMN(K136)-1,26)+65))&amp;$R91&amp;""),"")</f>
        <v/>
      </c>
      <c r="AA91" s="74" t="str">
        <f t="array" aca="1" ref="AA91" ca="1">IF($R91&lt;&gt;"",
INDIRECT(""&amp;IF(COLUMN(L136)&lt;=26,CHAR(COLUMN(L136)+64),CHAR(INT((COLUMN(L136)-1)/26)+64)&amp;CHAR(MOD(COLUMN(L136)-1,26)+65))&amp;$R91&amp;""),"")</f>
        <v/>
      </c>
      <c r="AB91" s="74" t="str">
        <f t="array" aca="1" ref="AB91" ca="1">IF($R91&lt;&gt;"",
INDIRECT(""&amp;IF(COLUMN(O136)&lt;=26,CHAR(COLUMN(O136)+64),CHAR(INT((COLUMN(O136)-1)/26)+64)&amp;CHAR(MOD(COLUMN(O136)-1,26)+65))&amp;$R91&amp;""),"")</f>
        <v/>
      </c>
    </row>
    <row r="92" spans="1:28" ht="22.2" customHeight="1"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 t="str">
        <f t="array" ref="R92">IFERROR(SMALL(IF(P$1:P$228&lt;&gt;0,P$1:P$228),ROW(#REF!)),"")</f>
        <v/>
      </c>
      <c r="S92" s="74" t="str">
        <f t="array" aca="1" ref="S92" ca="1">IF($R92&lt;&gt;"",
INDIRECT(""&amp;IF(COLUMN(C137)&lt;=26,CHAR(COLUMN(C137)+64),CHAR(INT((COLUMN(C137)-1)/26)+64)&amp;CHAR(MOD(COLUMN(C137)-1,26)+65))&amp;$R92&amp;""),"")</f>
        <v/>
      </c>
      <c r="T92" s="74" t="str">
        <f t="array" aca="1" ref="T92" ca="1">IF($R92&lt;&gt;"",
INDIRECT(""&amp;IF(COLUMN(D137)&lt;=26,CHAR(COLUMN(D137)+64),CHAR(INT((COLUMN(D137)-1)/26)+64)&amp;CHAR(MOD(COLUMN(D137)-1,26)+65))&amp;$R92&amp;""),"")</f>
        <v/>
      </c>
      <c r="U92" s="74" t="str">
        <f t="array" aca="1" ref="U92" ca="1">IF($R92&lt;&gt;"",
INDIRECT(""&amp;IF(COLUMN(E137)&lt;=26,CHAR(COLUMN(E137)+64),CHAR(INT((COLUMN(E137)-1)/26)+64)&amp;CHAR(MOD(COLUMN(E137)-1,26)+65))&amp;$R92&amp;""),"")</f>
        <v/>
      </c>
      <c r="V92" s="74" t="str">
        <f t="array" aca="1" ref="V92" ca="1">IF($R92&lt;&gt;"",
IF(U92="",
IF(INDIRECT("EY"&amp;$R92&amp;"")&lt;&gt;"",
INDIRECT("EY"&amp;$R92&amp;"")&amp;"箱"
&amp;INDIRECT("EZ"&amp;$R92&amp;""),""),""),"")</f>
        <v/>
      </c>
      <c r="W92" s="74" t="str">
        <f t="array" aca="1" ref="W92" ca="1">IF($R92&lt;&gt;"",
INDIRECT(""&amp;IF(COLUMN(H137)&lt;=26,CHAR(COLUMN(H137)+64),CHAR(INT((COLUMN(H137)-1)/26)+64)&amp;CHAR(MOD(COLUMN(H137)-1,26)+65))&amp;$R92&amp;""),"")</f>
        <v/>
      </c>
      <c r="X92" s="74" t="str">
        <f t="array" aca="1" ref="X92" ca="1">IF($R92&lt;&gt;"",
INDIRECT(""&amp;IF(COLUMN(I137)&lt;=26,CHAR(COLUMN(I137)+64),CHAR(INT((COLUMN(I137)-1)/26)+64)&amp;CHAR(MOD(COLUMN(I137)-1,26)+65))&amp;$R92&amp;""),"")</f>
        <v/>
      </c>
      <c r="Y92" s="74" t="str">
        <f t="array" aca="1" ref="Y92" ca="1">IF($R92&lt;&gt;"",
INDIRECT(""&amp;IF(COLUMN(J137)&lt;=26,CHAR(COLUMN(J137)+64),CHAR(INT((COLUMN(J137)-1)/26)+64)&amp;CHAR(MOD(COLUMN(J137)-1,26)+65))&amp;$R92&amp;""),"")</f>
        <v/>
      </c>
      <c r="Z92" s="74" t="str">
        <f t="array" aca="1" ref="Z92" ca="1">IF($R92&lt;&gt;"",
INDIRECT(""&amp;IF(COLUMN(K137)&lt;=26,CHAR(COLUMN(K137)+64),CHAR(INT((COLUMN(K137)-1)/26)+64)&amp;CHAR(MOD(COLUMN(K137)-1,26)+65))&amp;$R92&amp;""),"")</f>
        <v/>
      </c>
      <c r="AA92" s="74" t="str">
        <f t="array" aca="1" ref="AA92" ca="1">IF($R92&lt;&gt;"",
INDIRECT(""&amp;IF(COLUMN(L137)&lt;=26,CHAR(COLUMN(L137)+64),CHAR(INT((COLUMN(L137)-1)/26)+64)&amp;CHAR(MOD(COLUMN(L137)-1,26)+65))&amp;$R92&amp;""),"")</f>
        <v/>
      </c>
      <c r="AB92" s="74" t="str">
        <f t="array" aca="1" ref="AB92" ca="1">IF($R92&lt;&gt;"",
INDIRECT(""&amp;IF(COLUMN(O137)&lt;=26,CHAR(COLUMN(O137)+64),CHAR(INT((COLUMN(O137)-1)/26)+64)&amp;CHAR(MOD(COLUMN(O137)-1,26)+65))&amp;$R92&amp;""),"")</f>
        <v/>
      </c>
    </row>
    <row r="93" spans="1:28" ht="22.2" customHeight="1"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 t="str">
        <f t="array" ref="R93">IFERROR(SMALL(IF(P$1:P$228&lt;&gt;0,P$1:P$228),ROW(#REF!)),"")</f>
        <v/>
      </c>
      <c r="S93" s="74" t="str">
        <f t="array" aca="1" ref="S93" ca="1">IF($R93&lt;&gt;"",
INDIRECT(""&amp;IF(COLUMN(C139)&lt;=26,CHAR(COLUMN(C139)+64),CHAR(INT((COLUMN(C139)-1)/26)+64)&amp;CHAR(MOD(COLUMN(C139)-1,26)+65))&amp;$R93&amp;""),"")</f>
        <v/>
      </c>
      <c r="T93" s="74" t="str">
        <f t="array" aca="1" ref="T93" ca="1">IF($R93&lt;&gt;"",
INDIRECT(""&amp;IF(COLUMN(D139)&lt;=26,CHAR(COLUMN(D139)+64),CHAR(INT((COLUMN(D139)-1)/26)+64)&amp;CHAR(MOD(COLUMN(D139)-1,26)+65))&amp;$R93&amp;""),"")</f>
        <v/>
      </c>
      <c r="U93" s="74" t="str">
        <f t="array" aca="1" ref="U93" ca="1">IF($R93&lt;&gt;"",
INDIRECT(""&amp;IF(COLUMN(E139)&lt;=26,CHAR(COLUMN(E139)+64),CHAR(INT((COLUMN(E139)-1)/26)+64)&amp;CHAR(MOD(COLUMN(E139)-1,26)+65))&amp;$R93&amp;""),"")</f>
        <v/>
      </c>
      <c r="V93" s="74" t="str">
        <f t="array" aca="1" ref="V93" ca="1">IF($R93&lt;&gt;"",
IF(U93="",
IF(INDIRECT("EY"&amp;$R93&amp;"")&lt;&gt;"",
INDIRECT("EY"&amp;$R93&amp;"")&amp;"箱"
&amp;INDIRECT("EZ"&amp;$R93&amp;""),""),""),"")</f>
        <v/>
      </c>
      <c r="W93" s="74" t="str">
        <f t="array" aca="1" ref="W93" ca="1">IF($R93&lt;&gt;"",
INDIRECT(""&amp;IF(COLUMN(H139)&lt;=26,CHAR(COLUMN(H139)+64),CHAR(INT((COLUMN(H139)-1)/26)+64)&amp;CHAR(MOD(COLUMN(H139)-1,26)+65))&amp;$R93&amp;""),"")</f>
        <v/>
      </c>
      <c r="X93" s="74" t="str">
        <f t="array" aca="1" ref="X93" ca="1">IF($R93&lt;&gt;"",
INDIRECT(""&amp;IF(COLUMN(I139)&lt;=26,CHAR(COLUMN(I139)+64),CHAR(INT((COLUMN(I139)-1)/26)+64)&amp;CHAR(MOD(COLUMN(I139)-1,26)+65))&amp;$R93&amp;""),"")</f>
        <v/>
      </c>
      <c r="Y93" s="74" t="str">
        <f t="array" aca="1" ref="Y93" ca="1">IF($R93&lt;&gt;"",
INDIRECT(""&amp;IF(COLUMN(J139)&lt;=26,CHAR(COLUMN(J139)+64),CHAR(INT((COLUMN(J139)-1)/26)+64)&amp;CHAR(MOD(COLUMN(J139)-1,26)+65))&amp;$R93&amp;""),"")</f>
        <v/>
      </c>
      <c r="Z93" s="74" t="str">
        <f t="array" aca="1" ref="Z93" ca="1">IF($R93&lt;&gt;"",
INDIRECT(""&amp;IF(COLUMN(K139)&lt;=26,CHAR(COLUMN(K139)+64),CHAR(INT((COLUMN(K139)-1)/26)+64)&amp;CHAR(MOD(COLUMN(K139)-1,26)+65))&amp;$R93&amp;""),"")</f>
        <v/>
      </c>
      <c r="AA93" s="74" t="str">
        <f t="array" aca="1" ref="AA93" ca="1">IF($R93&lt;&gt;"",
INDIRECT(""&amp;IF(COLUMN(L139)&lt;=26,CHAR(COLUMN(L139)+64),CHAR(INT((COLUMN(L139)-1)/26)+64)&amp;CHAR(MOD(COLUMN(L139)-1,26)+65))&amp;$R93&amp;""),"")</f>
        <v/>
      </c>
      <c r="AB93" s="74" t="str">
        <f t="array" aca="1" ref="AB93" ca="1">IF($R93&lt;&gt;"",
INDIRECT(""&amp;IF(COLUMN(O139)&lt;=26,CHAR(COLUMN(O139)+64),CHAR(INT((COLUMN(O139)-1)/26)+64)&amp;CHAR(MOD(COLUMN(O139)-1,26)+65))&amp;$R93&amp;""),"")</f>
        <v/>
      </c>
    </row>
    <row r="94" spans="1:28" ht="22.2" customHeight="1"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 t="str">
        <f t="array" ref="R94">IFERROR(SMALL(IF(P$1:P$228&lt;&gt;0,P$1:P$228),ROW(#REF!)),"")</f>
        <v/>
      </c>
      <c r="S94" s="74" t="str">
        <f t="array" aca="1" ref="S94" ca="1">IF($R94&lt;&gt;"",
INDIRECT(""&amp;IF(COLUMN(C140)&lt;=26,CHAR(COLUMN(C140)+64),CHAR(INT((COLUMN(C140)-1)/26)+64)&amp;CHAR(MOD(COLUMN(C140)-1,26)+65))&amp;$R94&amp;""),"")</f>
        <v/>
      </c>
      <c r="T94" s="74" t="str">
        <f t="array" aca="1" ref="T94" ca="1">IF($R94&lt;&gt;"",
INDIRECT(""&amp;IF(COLUMN(D140)&lt;=26,CHAR(COLUMN(D140)+64),CHAR(INT((COLUMN(D140)-1)/26)+64)&amp;CHAR(MOD(COLUMN(D140)-1,26)+65))&amp;$R94&amp;""),"")</f>
        <v/>
      </c>
      <c r="U94" s="74" t="str">
        <f t="array" aca="1" ref="U94" ca="1">IF($R94&lt;&gt;"",
INDIRECT(""&amp;IF(COLUMN(E140)&lt;=26,CHAR(COLUMN(E140)+64),CHAR(INT((COLUMN(E140)-1)/26)+64)&amp;CHAR(MOD(COLUMN(E140)-1,26)+65))&amp;$R94&amp;""),"")</f>
        <v/>
      </c>
      <c r="V94" s="74" t="str">
        <f t="array" aca="1" ref="V94" ca="1">IF($R94&lt;&gt;"",
IF(U94="",
IF(INDIRECT("EY"&amp;$R94&amp;"")&lt;&gt;"",
INDIRECT("EY"&amp;$R94&amp;"")&amp;"箱"
&amp;INDIRECT("EZ"&amp;$R94&amp;""),""),""),"")</f>
        <v/>
      </c>
      <c r="W94" s="74" t="str">
        <f t="array" aca="1" ref="W94" ca="1">IF($R94&lt;&gt;"",
INDIRECT(""&amp;IF(COLUMN(H140)&lt;=26,CHAR(COLUMN(H140)+64),CHAR(INT((COLUMN(H140)-1)/26)+64)&amp;CHAR(MOD(COLUMN(H140)-1,26)+65))&amp;$R94&amp;""),"")</f>
        <v/>
      </c>
      <c r="X94" s="74" t="str">
        <f t="array" aca="1" ref="X94" ca="1">IF($R94&lt;&gt;"",
INDIRECT(""&amp;IF(COLUMN(I140)&lt;=26,CHAR(COLUMN(I140)+64),CHAR(INT((COLUMN(I140)-1)/26)+64)&amp;CHAR(MOD(COLUMN(I140)-1,26)+65))&amp;$R94&amp;""),"")</f>
        <v/>
      </c>
      <c r="Y94" s="74" t="str">
        <f t="array" aca="1" ref="Y94" ca="1">IF($R94&lt;&gt;"",
INDIRECT(""&amp;IF(COLUMN(J140)&lt;=26,CHAR(COLUMN(J140)+64),CHAR(INT((COLUMN(J140)-1)/26)+64)&amp;CHAR(MOD(COLUMN(J140)-1,26)+65))&amp;$R94&amp;""),"")</f>
        <v/>
      </c>
      <c r="Z94" s="74" t="str">
        <f t="array" aca="1" ref="Z94" ca="1">IF($R94&lt;&gt;"",
INDIRECT(""&amp;IF(COLUMN(K140)&lt;=26,CHAR(COLUMN(K140)+64),CHAR(INT((COLUMN(K140)-1)/26)+64)&amp;CHAR(MOD(COLUMN(K140)-1,26)+65))&amp;$R94&amp;""),"")</f>
        <v/>
      </c>
      <c r="AA94" s="74" t="str">
        <f t="array" aca="1" ref="AA94" ca="1">IF($R94&lt;&gt;"",
INDIRECT(""&amp;IF(COLUMN(L140)&lt;=26,CHAR(COLUMN(L140)+64),CHAR(INT((COLUMN(L140)-1)/26)+64)&amp;CHAR(MOD(COLUMN(L140)-1,26)+65))&amp;$R94&amp;""),"")</f>
        <v/>
      </c>
      <c r="AB94" s="74" t="str">
        <f t="array" aca="1" ref="AB94" ca="1">IF($R94&lt;&gt;"",
INDIRECT(""&amp;IF(COLUMN(O140)&lt;=26,CHAR(COLUMN(O140)+64),CHAR(INT((COLUMN(O140)-1)/26)+64)&amp;CHAR(MOD(COLUMN(O140)-1,26)+65))&amp;$R94&amp;""),"")</f>
        <v/>
      </c>
    </row>
    <row r="95" spans="1:28" ht="22.2" customHeight="1"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 t="str">
        <f t="array" ref="R95">IFERROR(SMALL(IF(P$1:P$228&lt;&gt;0,P$1:P$228),ROW(#REF!)),"")</f>
        <v/>
      </c>
      <c r="S95" s="74" t="str">
        <f t="array" aca="1" ref="S95" ca="1">IF($R95&lt;&gt;"",
INDIRECT(""&amp;IF(COLUMN(C142)&lt;=26,CHAR(COLUMN(C142)+64),CHAR(INT((COLUMN(C142)-1)/26)+64)&amp;CHAR(MOD(COLUMN(C142)-1,26)+65))&amp;$R95&amp;""),"")</f>
        <v/>
      </c>
      <c r="T95" s="74" t="str">
        <f t="array" aca="1" ref="T95" ca="1">IF($R95&lt;&gt;"",
INDIRECT(""&amp;IF(COLUMN(D142)&lt;=26,CHAR(COLUMN(D142)+64),CHAR(INT((COLUMN(D142)-1)/26)+64)&amp;CHAR(MOD(COLUMN(D142)-1,26)+65))&amp;$R95&amp;""),"")</f>
        <v/>
      </c>
      <c r="U95" s="74" t="str">
        <f t="array" aca="1" ref="U95" ca="1">IF($R95&lt;&gt;"",
INDIRECT(""&amp;IF(COLUMN(E142)&lt;=26,CHAR(COLUMN(E142)+64),CHAR(INT((COLUMN(E142)-1)/26)+64)&amp;CHAR(MOD(COLUMN(E142)-1,26)+65))&amp;$R95&amp;""),"")</f>
        <v/>
      </c>
      <c r="V95" s="74" t="str">
        <f t="array" aca="1" ref="V95" ca="1">IF($R95&lt;&gt;"",
IF(U95="",
IF(INDIRECT("EY"&amp;$R95&amp;"")&lt;&gt;"",
INDIRECT("EY"&amp;$R95&amp;"")&amp;"箱"
&amp;INDIRECT("EZ"&amp;$R95&amp;""),""),""),"")</f>
        <v/>
      </c>
      <c r="W95" s="74" t="str">
        <f t="array" aca="1" ref="W95" ca="1">IF($R95&lt;&gt;"",
INDIRECT(""&amp;IF(COLUMN(H142)&lt;=26,CHAR(COLUMN(H142)+64),CHAR(INT((COLUMN(H142)-1)/26)+64)&amp;CHAR(MOD(COLUMN(H142)-1,26)+65))&amp;$R95&amp;""),"")</f>
        <v/>
      </c>
      <c r="X95" s="74" t="str">
        <f t="array" aca="1" ref="X95" ca="1">IF($R95&lt;&gt;"",
INDIRECT(""&amp;IF(COLUMN(I142)&lt;=26,CHAR(COLUMN(I142)+64),CHAR(INT((COLUMN(I142)-1)/26)+64)&amp;CHAR(MOD(COLUMN(I142)-1,26)+65))&amp;$R95&amp;""),"")</f>
        <v/>
      </c>
      <c r="Y95" s="74" t="str">
        <f t="array" aca="1" ref="Y95" ca="1">IF($R95&lt;&gt;"",
INDIRECT(""&amp;IF(COLUMN(J142)&lt;=26,CHAR(COLUMN(J142)+64),CHAR(INT((COLUMN(J142)-1)/26)+64)&amp;CHAR(MOD(COLUMN(J142)-1,26)+65))&amp;$R95&amp;""),"")</f>
        <v/>
      </c>
      <c r="Z95" s="74" t="str">
        <f t="array" aca="1" ref="Z95" ca="1">IF($R95&lt;&gt;"",
INDIRECT(""&amp;IF(COLUMN(K142)&lt;=26,CHAR(COLUMN(K142)+64),CHAR(INT((COLUMN(K142)-1)/26)+64)&amp;CHAR(MOD(COLUMN(K142)-1,26)+65))&amp;$R95&amp;""),"")</f>
        <v/>
      </c>
      <c r="AA95" s="74" t="str">
        <f t="array" aca="1" ref="AA95" ca="1">IF($R95&lt;&gt;"",
INDIRECT(""&amp;IF(COLUMN(L142)&lt;=26,CHAR(COLUMN(L142)+64),CHAR(INT((COLUMN(L142)-1)/26)+64)&amp;CHAR(MOD(COLUMN(L142)-1,26)+65))&amp;$R95&amp;""),"")</f>
        <v/>
      </c>
      <c r="AB95" s="74" t="str">
        <f t="array" aca="1" ref="AB95" ca="1">IF($R95&lt;&gt;"",
INDIRECT(""&amp;IF(COLUMN(O142)&lt;=26,CHAR(COLUMN(O142)+64),CHAR(INT((COLUMN(O142)-1)/26)+64)&amp;CHAR(MOD(COLUMN(O142)-1,26)+65))&amp;$R95&amp;""),"")</f>
        <v/>
      </c>
    </row>
    <row r="96" spans="1:28" ht="22.2" customHeight="1"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 t="str">
        <f t="array" ref="R96">IFERROR(SMALL(IF(P$1:P$228&lt;&gt;0,P$1:P$228),ROW(#REF!)),"")</f>
        <v/>
      </c>
      <c r="S96" s="74" t="str">
        <f t="array" aca="1" ref="S96" ca="1">IF($R96&lt;&gt;"",
INDIRECT(""&amp;IF(COLUMN(C143)&lt;=26,CHAR(COLUMN(C143)+64),CHAR(INT((COLUMN(C143)-1)/26)+64)&amp;CHAR(MOD(COLUMN(C143)-1,26)+65))&amp;$R96&amp;""),"")</f>
        <v/>
      </c>
      <c r="T96" s="74" t="str">
        <f t="array" aca="1" ref="T96" ca="1">IF($R96&lt;&gt;"",
INDIRECT(""&amp;IF(COLUMN(D143)&lt;=26,CHAR(COLUMN(D143)+64),CHAR(INT((COLUMN(D143)-1)/26)+64)&amp;CHAR(MOD(COLUMN(D143)-1,26)+65))&amp;$R96&amp;""),"")</f>
        <v/>
      </c>
      <c r="U96" s="74" t="str">
        <f t="array" aca="1" ref="U96" ca="1">IF($R96&lt;&gt;"",
INDIRECT(""&amp;IF(COLUMN(E143)&lt;=26,CHAR(COLUMN(E143)+64),CHAR(INT((COLUMN(E143)-1)/26)+64)&amp;CHAR(MOD(COLUMN(E143)-1,26)+65))&amp;$R96&amp;""),"")</f>
        <v/>
      </c>
      <c r="V96" s="74" t="str">
        <f t="array" aca="1" ref="V96" ca="1">IF($R96&lt;&gt;"",
IF(U96="",
IF(INDIRECT("EY"&amp;$R96&amp;"")&lt;&gt;"",
INDIRECT("EY"&amp;$R96&amp;"")&amp;"箱"
&amp;INDIRECT("EZ"&amp;$R96&amp;""),""),""),"")</f>
        <v/>
      </c>
      <c r="W96" s="74" t="str">
        <f t="array" aca="1" ref="W96" ca="1">IF($R96&lt;&gt;"",
INDIRECT(""&amp;IF(COLUMN(H143)&lt;=26,CHAR(COLUMN(H143)+64),CHAR(INT((COLUMN(H143)-1)/26)+64)&amp;CHAR(MOD(COLUMN(H143)-1,26)+65))&amp;$R96&amp;""),"")</f>
        <v/>
      </c>
      <c r="X96" s="74" t="str">
        <f t="array" aca="1" ref="X96" ca="1">IF($R96&lt;&gt;"",
INDIRECT(""&amp;IF(COLUMN(I143)&lt;=26,CHAR(COLUMN(I143)+64),CHAR(INT((COLUMN(I143)-1)/26)+64)&amp;CHAR(MOD(COLUMN(I143)-1,26)+65))&amp;$R96&amp;""),"")</f>
        <v/>
      </c>
      <c r="Y96" s="74" t="str">
        <f t="array" aca="1" ref="Y96" ca="1">IF($R96&lt;&gt;"",
INDIRECT(""&amp;IF(COLUMN(J143)&lt;=26,CHAR(COLUMN(J143)+64),CHAR(INT((COLUMN(J143)-1)/26)+64)&amp;CHAR(MOD(COLUMN(J143)-1,26)+65))&amp;$R96&amp;""),"")</f>
        <v/>
      </c>
      <c r="Z96" s="74" t="str">
        <f t="array" aca="1" ref="Z96" ca="1">IF($R96&lt;&gt;"",
INDIRECT(""&amp;IF(COLUMN(K143)&lt;=26,CHAR(COLUMN(K143)+64),CHAR(INT((COLUMN(K143)-1)/26)+64)&amp;CHAR(MOD(COLUMN(K143)-1,26)+65))&amp;$R96&amp;""),"")</f>
        <v/>
      </c>
      <c r="AA96" s="74" t="str">
        <f t="array" aca="1" ref="AA96" ca="1">IF($R96&lt;&gt;"",
INDIRECT(""&amp;IF(COLUMN(L143)&lt;=26,CHAR(COLUMN(L143)+64),CHAR(INT((COLUMN(L143)-1)/26)+64)&amp;CHAR(MOD(COLUMN(L143)-1,26)+65))&amp;$R96&amp;""),"")</f>
        <v/>
      </c>
      <c r="AB96" s="74" t="str">
        <f t="array" aca="1" ref="AB96" ca="1">IF($R96&lt;&gt;"",
INDIRECT(""&amp;IF(COLUMN(O143)&lt;=26,CHAR(COLUMN(O143)+64),CHAR(INT((COLUMN(O143)-1)/26)+64)&amp;CHAR(MOD(COLUMN(O143)-1,26)+65))&amp;$R96&amp;""),"")</f>
        <v/>
      </c>
    </row>
    <row r="97" spans="2:28" ht="22.2" customHeight="1"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 t="str">
        <f t="array" ref="R97">IFERROR(SMALL(IF(P$1:P$228&lt;&gt;0,P$1:P$228),ROW(#REF!)),"")</f>
        <v/>
      </c>
      <c r="S97" s="74" t="str">
        <f t="array" aca="1" ref="S97" ca="1">IF($R97&lt;&gt;"",
INDIRECT(""&amp;IF(COLUMN(C145)&lt;=26,CHAR(COLUMN(C145)+64),CHAR(INT((COLUMN(C145)-1)/26)+64)&amp;CHAR(MOD(COLUMN(C145)-1,26)+65))&amp;$R97&amp;""),"")</f>
        <v/>
      </c>
      <c r="T97" s="74" t="str">
        <f t="array" aca="1" ref="T97" ca="1">IF($R97&lt;&gt;"",
INDIRECT(""&amp;IF(COLUMN(D145)&lt;=26,CHAR(COLUMN(D145)+64),CHAR(INT((COLUMN(D145)-1)/26)+64)&amp;CHAR(MOD(COLUMN(D145)-1,26)+65))&amp;$R97&amp;""),"")</f>
        <v/>
      </c>
      <c r="U97" s="74" t="str">
        <f t="array" aca="1" ref="U97" ca="1">IF($R97&lt;&gt;"",
INDIRECT(""&amp;IF(COLUMN(E145)&lt;=26,CHAR(COLUMN(E145)+64),CHAR(INT((COLUMN(E145)-1)/26)+64)&amp;CHAR(MOD(COLUMN(E145)-1,26)+65))&amp;$R97&amp;""),"")</f>
        <v/>
      </c>
      <c r="V97" s="74" t="str">
        <f t="array" aca="1" ref="V97" ca="1">IF($R97&lt;&gt;"",
IF(U97="",
IF(INDIRECT("EY"&amp;$R97&amp;"")&lt;&gt;"",
INDIRECT("EY"&amp;$R97&amp;"")&amp;"箱"
&amp;INDIRECT("EZ"&amp;$R97&amp;""),""),""),"")</f>
        <v/>
      </c>
      <c r="W97" s="74" t="str">
        <f t="array" aca="1" ref="W97" ca="1">IF($R97&lt;&gt;"",
INDIRECT(""&amp;IF(COLUMN(H145)&lt;=26,CHAR(COLUMN(H145)+64),CHAR(INT((COLUMN(H145)-1)/26)+64)&amp;CHAR(MOD(COLUMN(H145)-1,26)+65))&amp;$R97&amp;""),"")</f>
        <v/>
      </c>
      <c r="X97" s="74" t="str">
        <f t="array" aca="1" ref="X97" ca="1">IF($R97&lt;&gt;"",
INDIRECT(""&amp;IF(COLUMN(I145)&lt;=26,CHAR(COLUMN(I145)+64),CHAR(INT((COLUMN(I145)-1)/26)+64)&amp;CHAR(MOD(COLUMN(I145)-1,26)+65))&amp;$R97&amp;""),"")</f>
        <v/>
      </c>
      <c r="Y97" s="74" t="str">
        <f t="array" aca="1" ref="Y97" ca="1">IF($R97&lt;&gt;"",
INDIRECT(""&amp;IF(COLUMN(J145)&lt;=26,CHAR(COLUMN(J145)+64),CHAR(INT((COLUMN(J145)-1)/26)+64)&amp;CHAR(MOD(COLUMN(J145)-1,26)+65))&amp;$R97&amp;""),"")</f>
        <v/>
      </c>
      <c r="Z97" s="74" t="str">
        <f t="array" aca="1" ref="Z97" ca="1">IF($R97&lt;&gt;"",
INDIRECT(""&amp;IF(COLUMN(K145)&lt;=26,CHAR(COLUMN(K145)+64),CHAR(INT((COLUMN(K145)-1)/26)+64)&amp;CHAR(MOD(COLUMN(K145)-1,26)+65))&amp;$R97&amp;""),"")</f>
        <v/>
      </c>
      <c r="AA97" s="74" t="str">
        <f t="array" aca="1" ref="AA97" ca="1">IF($R97&lt;&gt;"",
INDIRECT(""&amp;IF(COLUMN(L145)&lt;=26,CHAR(COLUMN(L145)+64),CHAR(INT((COLUMN(L145)-1)/26)+64)&amp;CHAR(MOD(COLUMN(L145)-1,26)+65))&amp;$R97&amp;""),"")</f>
        <v/>
      </c>
      <c r="AB97" s="74" t="str">
        <f t="array" aca="1" ref="AB97" ca="1">IF($R97&lt;&gt;"",
INDIRECT(""&amp;IF(COLUMN(O145)&lt;=26,CHAR(COLUMN(O145)+64),CHAR(INT((COLUMN(O145)-1)/26)+64)&amp;CHAR(MOD(COLUMN(O145)-1,26)+65))&amp;$R97&amp;""),"")</f>
        <v/>
      </c>
    </row>
    <row r="98" spans="2:28" ht="22.2" customHeight="1"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 t="str">
        <f t="array" ref="R98">IFERROR(SMALL(IF(P$1:P$228&lt;&gt;0,P$1:P$228),ROW(#REF!)),"")</f>
        <v/>
      </c>
      <c r="S98" s="74" t="str">
        <f t="array" aca="1" ref="S98" ca="1">IF($R98&lt;&gt;"",
INDIRECT(""&amp;IF(COLUMN(C146)&lt;=26,CHAR(COLUMN(C146)+64),CHAR(INT((COLUMN(C146)-1)/26)+64)&amp;CHAR(MOD(COLUMN(C146)-1,26)+65))&amp;$R98&amp;""),"")</f>
        <v/>
      </c>
      <c r="T98" s="74" t="str">
        <f t="array" aca="1" ref="T98" ca="1">IF($R98&lt;&gt;"",
INDIRECT(""&amp;IF(COLUMN(D146)&lt;=26,CHAR(COLUMN(D146)+64),CHAR(INT((COLUMN(D146)-1)/26)+64)&amp;CHAR(MOD(COLUMN(D146)-1,26)+65))&amp;$R98&amp;""),"")</f>
        <v/>
      </c>
      <c r="U98" s="74" t="str">
        <f t="array" aca="1" ref="U98" ca="1">IF($R98&lt;&gt;"",
INDIRECT(""&amp;IF(COLUMN(E146)&lt;=26,CHAR(COLUMN(E146)+64),CHAR(INT((COLUMN(E146)-1)/26)+64)&amp;CHAR(MOD(COLUMN(E146)-1,26)+65))&amp;$R98&amp;""),"")</f>
        <v/>
      </c>
      <c r="V98" s="74" t="str">
        <f t="array" aca="1" ref="V98" ca="1">IF($R98&lt;&gt;"",
IF(U98="",
IF(INDIRECT("EY"&amp;$R98&amp;"")&lt;&gt;"",
INDIRECT("EY"&amp;$R98&amp;"")&amp;"箱"
&amp;INDIRECT("EZ"&amp;$R98&amp;""),""),""),"")</f>
        <v/>
      </c>
      <c r="W98" s="74" t="str">
        <f t="array" aca="1" ref="W98" ca="1">IF($R98&lt;&gt;"",
INDIRECT(""&amp;IF(COLUMN(H146)&lt;=26,CHAR(COLUMN(H146)+64),CHAR(INT((COLUMN(H146)-1)/26)+64)&amp;CHAR(MOD(COLUMN(H146)-1,26)+65))&amp;$R98&amp;""),"")</f>
        <v/>
      </c>
      <c r="X98" s="74" t="str">
        <f t="array" aca="1" ref="X98" ca="1">IF($R98&lt;&gt;"",
INDIRECT(""&amp;IF(COLUMN(I146)&lt;=26,CHAR(COLUMN(I146)+64),CHAR(INT((COLUMN(I146)-1)/26)+64)&amp;CHAR(MOD(COLUMN(I146)-1,26)+65))&amp;$R98&amp;""),"")</f>
        <v/>
      </c>
      <c r="Y98" s="74" t="str">
        <f t="array" aca="1" ref="Y98" ca="1">IF($R98&lt;&gt;"",
INDIRECT(""&amp;IF(COLUMN(J146)&lt;=26,CHAR(COLUMN(J146)+64),CHAR(INT((COLUMN(J146)-1)/26)+64)&amp;CHAR(MOD(COLUMN(J146)-1,26)+65))&amp;$R98&amp;""),"")</f>
        <v/>
      </c>
      <c r="Z98" s="74" t="str">
        <f t="array" aca="1" ref="Z98" ca="1">IF($R98&lt;&gt;"",
INDIRECT(""&amp;IF(COLUMN(K146)&lt;=26,CHAR(COLUMN(K146)+64),CHAR(INT((COLUMN(K146)-1)/26)+64)&amp;CHAR(MOD(COLUMN(K146)-1,26)+65))&amp;$R98&amp;""),"")</f>
        <v/>
      </c>
      <c r="AA98" s="74" t="str">
        <f t="array" aca="1" ref="AA98" ca="1">IF($R98&lt;&gt;"",
INDIRECT(""&amp;IF(COLUMN(L146)&lt;=26,CHAR(COLUMN(L146)+64),CHAR(INT((COLUMN(L146)-1)/26)+64)&amp;CHAR(MOD(COLUMN(L146)-1,26)+65))&amp;$R98&amp;""),"")</f>
        <v/>
      </c>
      <c r="AB98" s="74" t="str">
        <f t="array" aca="1" ref="AB98" ca="1">IF($R98&lt;&gt;"",
INDIRECT(""&amp;IF(COLUMN(O146)&lt;=26,CHAR(COLUMN(O146)+64),CHAR(INT((COLUMN(O146)-1)/26)+64)&amp;CHAR(MOD(COLUMN(O146)-1,26)+65))&amp;$R98&amp;""),"")</f>
        <v/>
      </c>
    </row>
    <row r="99" spans="2:28" ht="22.2" customHeight="1"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 t="str">
        <f t="array" ref="R99">IFERROR(SMALL(IF(P$1:P$228&lt;&gt;0,P$1:P$228),ROW(#REF!)),"")</f>
        <v/>
      </c>
      <c r="S99" s="74" t="str">
        <f t="array" aca="1" ref="S99" ca="1">IF($R99&lt;&gt;"",
INDIRECT(""&amp;IF(COLUMN(C148)&lt;=26,CHAR(COLUMN(C148)+64),CHAR(INT((COLUMN(C148)-1)/26)+64)&amp;CHAR(MOD(COLUMN(C148)-1,26)+65))&amp;$R99&amp;""),"")</f>
        <v/>
      </c>
      <c r="T99" s="74" t="str">
        <f t="array" aca="1" ref="T99" ca="1">IF($R99&lt;&gt;"",
INDIRECT(""&amp;IF(COLUMN(D148)&lt;=26,CHAR(COLUMN(D148)+64),CHAR(INT((COLUMN(D148)-1)/26)+64)&amp;CHAR(MOD(COLUMN(D148)-1,26)+65))&amp;$R99&amp;""),"")</f>
        <v/>
      </c>
      <c r="U99" s="74" t="str">
        <f t="array" aca="1" ref="U99" ca="1">IF($R99&lt;&gt;"",
INDIRECT(""&amp;IF(COLUMN(E148)&lt;=26,CHAR(COLUMN(E148)+64),CHAR(INT((COLUMN(E148)-1)/26)+64)&amp;CHAR(MOD(COLUMN(E148)-1,26)+65))&amp;$R99&amp;""),"")</f>
        <v/>
      </c>
      <c r="V99" s="74" t="str">
        <f t="array" aca="1" ref="V99" ca="1">IF($R99&lt;&gt;"",
IF(U99="",
IF(INDIRECT("EY"&amp;$R99&amp;"")&lt;&gt;"",
INDIRECT("EY"&amp;$R99&amp;"")&amp;"箱"
&amp;INDIRECT("EZ"&amp;$R99&amp;""),""),""),"")</f>
        <v/>
      </c>
      <c r="W99" s="74" t="str">
        <f t="array" aca="1" ref="W99" ca="1">IF($R99&lt;&gt;"",
INDIRECT(""&amp;IF(COLUMN(H148)&lt;=26,CHAR(COLUMN(H148)+64),CHAR(INT((COLUMN(H148)-1)/26)+64)&amp;CHAR(MOD(COLUMN(H148)-1,26)+65))&amp;$R99&amp;""),"")</f>
        <v/>
      </c>
      <c r="X99" s="74" t="str">
        <f t="array" aca="1" ref="X99" ca="1">IF($R99&lt;&gt;"",
INDIRECT(""&amp;IF(COLUMN(I148)&lt;=26,CHAR(COLUMN(I148)+64),CHAR(INT((COLUMN(I148)-1)/26)+64)&amp;CHAR(MOD(COLUMN(I148)-1,26)+65))&amp;$R99&amp;""),"")</f>
        <v/>
      </c>
      <c r="Y99" s="74" t="str">
        <f t="array" aca="1" ref="Y99" ca="1">IF($R99&lt;&gt;"",
INDIRECT(""&amp;IF(COLUMN(J148)&lt;=26,CHAR(COLUMN(J148)+64),CHAR(INT((COLUMN(J148)-1)/26)+64)&amp;CHAR(MOD(COLUMN(J148)-1,26)+65))&amp;$R99&amp;""),"")</f>
        <v/>
      </c>
      <c r="Z99" s="74" t="str">
        <f t="array" aca="1" ref="Z99" ca="1">IF($R99&lt;&gt;"",
INDIRECT(""&amp;IF(COLUMN(K148)&lt;=26,CHAR(COLUMN(K148)+64),CHAR(INT((COLUMN(K148)-1)/26)+64)&amp;CHAR(MOD(COLUMN(K148)-1,26)+65))&amp;$R99&amp;""),"")</f>
        <v/>
      </c>
      <c r="AA99" s="74" t="str">
        <f t="array" aca="1" ref="AA99" ca="1">IF($R99&lt;&gt;"",
INDIRECT(""&amp;IF(COLUMN(L148)&lt;=26,CHAR(COLUMN(L148)+64),CHAR(INT((COLUMN(L148)-1)/26)+64)&amp;CHAR(MOD(COLUMN(L148)-1,26)+65))&amp;$R99&amp;""),"")</f>
        <v/>
      </c>
      <c r="AB99" s="74" t="str">
        <f t="array" aca="1" ref="AB99" ca="1">IF($R99&lt;&gt;"",
INDIRECT(""&amp;IF(COLUMN(O148)&lt;=26,CHAR(COLUMN(O148)+64),CHAR(INT((COLUMN(O148)-1)/26)+64)&amp;CHAR(MOD(COLUMN(O148)-1,26)+65))&amp;$R99&amp;""),"")</f>
        <v/>
      </c>
    </row>
    <row r="100" spans="2:28" ht="22.2" customHeight="1"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 t="str">
        <f t="array" ref="R100">IFERROR(SMALL(IF(P$1:P$228&lt;&gt;0,P$1:P$228),ROW(#REF!)),"")</f>
        <v/>
      </c>
      <c r="S100" s="74" t="str">
        <f t="array" aca="1" ref="S100" ca="1">IF($R100&lt;&gt;"",
INDIRECT(""&amp;IF(COLUMN(C149)&lt;=26,CHAR(COLUMN(C149)+64),CHAR(INT((COLUMN(C149)-1)/26)+64)&amp;CHAR(MOD(COLUMN(C149)-1,26)+65))&amp;$R100&amp;""),"")</f>
        <v/>
      </c>
      <c r="T100" s="74" t="str">
        <f t="array" aca="1" ref="T100" ca="1">IF($R100&lt;&gt;"",
INDIRECT(""&amp;IF(COLUMN(D149)&lt;=26,CHAR(COLUMN(D149)+64),CHAR(INT((COLUMN(D149)-1)/26)+64)&amp;CHAR(MOD(COLUMN(D149)-1,26)+65))&amp;$R100&amp;""),"")</f>
        <v/>
      </c>
      <c r="U100" s="74" t="str">
        <f t="array" aca="1" ref="U100" ca="1">IF($R100&lt;&gt;"",
INDIRECT(""&amp;IF(COLUMN(E149)&lt;=26,CHAR(COLUMN(E149)+64),CHAR(INT((COLUMN(E149)-1)/26)+64)&amp;CHAR(MOD(COLUMN(E149)-1,26)+65))&amp;$R100&amp;""),"")</f>
        <v/>
      </c>
      <c r="V100" s="74" t="str">
        <f t="array" aca="1" ref="V100" ca="1">IF($R100&lt;&gt;"",
IF(U100="",
IF(INDIRECT("EY"&amp;$R100&amp;"")&lt;&gt;"",
INDIRECT("EY"&amp;$R100&amp;"")&amp;"箱"
&amp;INDIRECT("EZ"&amp;$R100&amp;""),""),""),"")</f>
        <v/>
      </c>
      <c r="W100" s="74" t="str">
        <f t="array" aca="1" ref="W100" ca="1">IF($R100&lt;&gt;"",
INDIRECT(""&amp;IF(COLUMN(H149)&lt;=26,CHAR(COLUMN(H149)+64),CHAR(INT((COLUMN(H149)-1)/26)+64)&amp;CHAR(MOD(COLUMN(H149)-1,26)+65))&amp;$R100&amp;""),"")</f>
        <v/>
      </c>
      <c r="X100" s="74" t="str">
        <f t="array" aca="1" ref="X100" ca="1">IF($R100&lt;&gt;"",
INDIRECT(""&amp;IF(COLUMN(I149)&lt;=26,CHAR(COLUMN(I149)+64),CHAR(INT((COLUMN(I149)-1)/26)+64)&amp;CHAR(MOD(COLUMN(I149)-1,26)+65))&amp;$R100&amp;""),"")</f>
        <v/>
      </c>
      <c r="Y100" s="74" t="str">
        <f t="array" aca="1" ref="Y100" ca="1">IF($R100&lt;&gt;"",
INDIRECT(""&amp;IF(COLUMN(J149)&lt;=26,CHAR(COLUMN(J149)+64),CHAR(INT((COLUMN(J149)-1)/26)+64)&amp;CHAR(MOD(COLUMN(J149)-1,26)+65))&amp;$R100&amp;""),"")</f>
        <v/>
      </c>
      <c r="Z100" s="74" t="str">
        <f t="array" aca="1" ref="Z100" ca="1">IF($R100&lt;&gt;"",
INDIRECT(""&amp;IF(COLUMN(K149)&lt;=26,CHAR(COLUMN(K149)+64),CHAR(INT((COLUMN(K149)-1)/26)+64)&amp;CHAR(MOD(COLUMN(K149)-1,26)+65))&amp;$R100&amp;""),"")</f>
        <v/>
      </c>
      <c r="AA100" s="74" t="str">
        <f t="array" aca="1" ref="AA100" ca="1">IF($R100&lt;&gt;"",
INDIRECT(""&amp;IF(COLUMN(L149)&lt;=26,CHAR(COLUMN(L149)+64),CHAR(INT((COLUMN(L149)-1)/26)+64)&amp;CHAR(MOD(COLUMN(L149)-1,26)+65))&amp;$R100&amp;""),"")</f>
        <v/>
      </c>
      <c r="AB100" s="74" t="str">
        <f t="array" aca="1" ref="AB100" ca="1">IF($R100&lt;&gt;"",
INDIRECT(""&amp;IF(COLUMN(O149)&lt;=26,CHAR(COLUMN(O149)+64),CHAR(INT((COLUMN(O149)-1)/26)+64)&amp;CHAR(MOD(COLUMN(O149)-1,26)+65))&amp;$R100&amp;""),"")</f>
        <v/>
      </c>
    </row>
    <row r="101" spans="2:28" ht="22.2" customHeight="1"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 t="str">
        <f t="array" ref="R101">IFERROR(SMALL(IF(P$1:P$228&lt;&gt;0,P$1:P$228),ROW(#REF!)),"")</f>
        <v/>
      </c>
      <c r="S101" s="74" t="str">
        <f t="array" aca="1" ref="S101" ca="1">IF($R101&lt;&gt;"",
INDIRECT(""&amp;IF(COLUMN(C151)&lt;=26,CHAR(COLUMN(C151)+64),CHAR(INT((COLUMN(C151)-1)/26)+64)&amp;CHAR(MOD(COLUMN(C151)-1,26)+65))&amp;$R101&amp;""),"")</f>
        <v/>
      </c>
      <c r="T101" s="74" t="str">
        <f t="array" aca="1" ref="T101" ca="1">IF($R101&lt;&gt;"",
INDIRECT(""&amp;IF(COLUMN(D151)&lt;=26,CHAR(COLUMN(D151)+64),CHAR(INT((COLUMN(D151)-1)/26)+64)&amp;CHAR(MOD(COLUMN(D151)-1,26)+65))&amp;$R101&amp;""),"")</f>
        <v/>
      </c>
      <c r="U101" s="74" t="str">
        <f t="array" aca="1" ref="U101" ca="1">IF($R101&lt;&gt;"",
INDIRECT(""&amp;IF(COLUMN(E151)&lt;=26,CHAR(COLUMN(E151)+64),CHAR(INT((COLUMN(E151)-1)/26)+64)&amp;CHAR(MOD(COLUMN(E151)-1,26)+65))&amp;$R101&amp;""),"")</f>
        <v/>
      </c>
      <c r="V101" s="74" t="str">
        <f t="array" aca="1" ref="V101" ca="1">IF($R101&lt;&gt;"",
IF(U101="",
IF(INDIRECT("EY"&amp;$R101&amp;"")&lt;&gt;"",
INDIRECT("EY"&amp;$R101&amp;"")&amp;"箱"
&amp;INDIRECT("EZ"&amp;$R101&amp;""),""),""),"")</f>
        <v/>
      </c>
      <c r="W101" s="74" t="str">
        <f t="array" aca="1" ref="W101" ca="1">IF($R101&lt;&gt;"",
INDIRECT(""&amp;IF(COLUMN(H151)&lt;=26,CHAR(COLUMN(H151)+64),CHAR(INT((COLUMN(H151)-1)/26)+64)&amp;CHAR(MOD(COLUMN(H151)-1,26)+65))&amp;$R101&amp;""),"")</f>
        <v/>
      </c>
      <c r="X101" s="74" t="str">
        <f t="array" aca="1" ref="X101" ca="1">IF($R101&lt;&gt;"",
INDIRECT(""&amp;IF(COLUMN(I151)&lt;=26,CHAR(COLUMN(I151)+64),CHAR(INT((COLUMN(I151)-1)/26)+64)&amp;CHAR(MOD(COLUMN(I151)-1,26)+65))&amp;$R101&amp;""),"")</f>
        <v/>
      </c>
      <c r="Y101" s="74" t="str">
        <f t="array" aca="1" ref="Y101" ca="1">IF($R101&lt;&gt;"",
INDIRECT(""&amp;IF(COLUMN(J151)&lt;=26,CHAR(COLUMN(J151)+64),CHAR(INT((COLUMN(J151)-1)/26)+64)&amp;CHAR(MOD(COLUMN(J151)-1,26)+65))&amp;$R101&amp;""),"")</f>
        <v/>
      </c>
      <c r="Z101" s="74" t="str">
        <f t="array" aca="1" ref="Z101" ca="1">IF($R101&lt;&gt;"",
INDIRECT(""&amp;IF(COLUMN(K151)&lt;=26,CHAR(COLUMN(K151)+64),CHAR(INT((COLUMN(K151)-1)/26)+64)&amp;CHAR(MOD(COLUMN(K151)-1,26)+65))&amp;$R101&amp;""),"")</f>
        <v/>
      </c>
      <c r="AA101" s="74" t="str">
        <f t="array" aca="1" ref="AA101" ca="1">IF($R101&lt;&gt;"",
INDIRECT(""&amp;IF(COLUMN(L151)&lt;=26,CHAR(COLUMN(L151)+64),CHAR(INT((COLUMN(L151)-1)/26)+64)&amp;CHAR(MOD(COLUMN(L151)-1,26)+65))&amp;$R101&amp;""),"")</f>
        <v/>
      </c>
      <c r="AB101" s="74" t="str">
        <f t="array" aca="1" ref="AB101" ca="1">IF($R101&lt;&gt;"",
INDIRECT(""&amp;IF(COLUMN(O151)&lt;=26,CHAR(COLUMN(O151)+64),CHAR(INT((COLUMN(O151)-1)/26)+64)&amp;CHAR(MOD(COLUMN(O151)-1,26)+65))&amp;$R101&amp;""),"")</f>
        <v/>
      </c>
    </row>
    <row r="102" spans="2:28" ht="22.2" customHeight="1"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 t="str">
        <f t="array" ref="R102">IFERROR(SMALL(IF(P$1:P$228&lt;&gt;0,P$1:P$228),ROW(#REF!)),"")</f>
        <v/>
      </c>
      <c r="S102" s="74" t="str">
        <f t="array" aca="1" ref="S102" ca="1">IF($R102&lt;&gt;"",
INDIRECT(""&amp;IF(COLUMN(C152)&lt;=26,CHAR(COLUMN(C152)+64),CHAR(INT((COLUMN(C152)-1)/26)+64)&amp;CHAR(MOD(COLUMN(C152)-1,26)+65))&amp;$R102&amp;""),"")</f>
        <v/>
      </c>
      <c r="T102" s="74" t="str">
        <f t="array" aca="1" ref="T102" ca="1">IF($R102&lt;&gt;"",
INDIRECT(""&amp;IF(COLUMN(D152)&lt;=26,CHAR(COLUMN(D152)+64),CHAR(INT((COLUMN(D152)-1)/26)+64)&amp;CHAR(MOD(COLUMN(D152)-1,26)+65))&amp;$R102&amp;""),"")</f>
        <v/>
      </c>
      <c r="U102" s="74" t="str">
        <f t="array" aca="1" ref="U102" ca="1">IF($R102&lt;&gt;"",
INDIRECT(""&amp;IF(COLUMN(E152)&lt;=26,CHAR(COLUMN(E152)+64),CHAR(INT((COLUMN(E152)-1)/26)+64)&amp;CHAR(MOD(COLUMN(E152)-1,26)+65))&amp;$R102&amp;""),"")</f>
        <v/>
      </c>
      <c r="V102" s="74" t="str">
        <f t="array" aca="1" ref="V102" ca="1">IF($R102&lt;&gt;"",
IF(U102="",
IF(INDIRECT("EY"&amp;$R102&amp;"")&lt;&gt;"",
INDIRECT("EY"&amp;$R102&amp;"")&amp;"箱"
&amp;INDIRECT("EZ"&amp;$R102&amp;""),""),""),"")</f>
        <v/>
      </c>
      <c r="W102" s="74" t="str">
        <f t="array" aca="1" ref="W102" ca="1">IF($R102&lt;&gt;"",
INDIRECT(""&amp;IF(COLUMN(H152)&lt;=26,CHAR(COLUMN(H152)+64),CHAR(INT((COLUMN(H152)-1)/26)+64)&amp;CHAR(MOD(COLUMN(H152)-1,26)+65))&amp;$R102&amp;""),"")</f>
        <v/>
      </c>
      <c r="X102" s="74" t="str">
        <f t="array" aca="1" ref="X102" ca="1">IF($R102&lt;&gt;"",
INDIRECT(""&amp;IF(COLUMN(I152)&lt;=26,CHAR(COLUMN(I152)+64),CHAR(INT((COLUMN(I152)-1)/26)+64)&amp;CHAR(MOD(COLUMN(I152)-1,26)+65))&amp;$R102&amp;""),"")</f>
        <v/>
      </c>
      <c r="Y102" s="74" t="str">
        <f t="array" aca="1" ref="Y102" ca="1">IF($R102&lt;&gt;"",
INDIRECT(""&amp;IF(COLUMN(J152)&lt;=26,CHAR(COLUMN(J152)+64),CHAR(INT((COLUMN(J152)-1)/26)+64)&amp;CHAR(MOD(COLUMN(J152)-1,26)+65))&amp;$R102&amp;""),"")</f>
        <v/>
      </c>
      <c r="Z102" s="74" t="str">
        <f t="array" aca="1" ref="Z102" ca="1">IF($R102&lt;&gt;"",
INDIRECT(""&amp;IF(COLUMN(K152)&lt;=26,CHAR(COLUMN(K152)+64),CHAR(INT((COLUMN(K152)-1)/26)+64)&amp;CHAR(MOD(COLUMN(K152)-1,26)+65))&amp;$R102&amp;""),"")</f>
        <v/>
      </c>
      <c r="AA102" s="74" t="str">
        <f t="array" aca="1" ref="AA102" ca="1">IF($R102&lt;&gt;"",
INDIRECT(""&amp;IF(COLUMN(L152)&lt;=26,CHAR(COLUMN(L152)+64),CHAR(INT((COLUMN(L152)-1)/26)+64)&amp;CHAR(MOD(COLUMN(L152)-1,26)+65))&amp;$R102&amp;""),"")</f>
        <v/>
      </c>
      <c r="AB102" s="74" t="str">
        <f t="array" aca="1" ref="AB102" ca="1">IF($R102&lt;&gt;"",
INDIRECT(""&amp;IF(COLUMN(O152)&lt;=26,CHAR(COLUMN(O152)+64),CHAR(INT((COLUMN(O152)-1)/26)+64)&amp;CHAR(MOD(COLUMN(O152)-1,26)+65))&amp;$R102&amp;""),"")</f>
        <v/>
      </c>
    </row>
    <row r="103" spans="2:28" ht="22.2" customHeight="1"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 t="str">
        <f t="array" ref="R103">IFERROR(SMALL(IF(P$1:P$228&lt;&gt;0,P$1:P$228),ROW(#REF!)),"")</f>
        <v/>
      </c>
      <c r="S103" s="74" t="str">
        <f t="array" aca="1" ref="S103" ca="1">IF($R103&lt;&gt;"",
INDIRECT(""&amp;IF(COLUMN(C154)&lt;=26,CHAR(COLUMN(C154)+64),CHAR(INT((COLUMN(C154)-1)/26)+64)&amp;CHAR(MOD(COLUMN(C154)-1,26)+65))&amp;$R103&amp;""),"")</f>
        <v/>
      </c>
      <c r="T103" s="74" t="str">
        <f t="array" aca="1" ref="T103" ca="1">IF($R103&lt;&gt;"",
INDIRECT(""&amp;IF(COLUMN(D154)&lt;=26,CHAR(COLUMN(D154)+64),CHAR(INT((COLUMN(D154)-1)/26)+64)&amp;CHAR(MOD(COLUMN(D154)-1,26)+65))&amp;$R103&amp;""),"")</f>
        <v/>
      </c>
      <c r="U103" s="74" t="str">
        <f t="array" aca="1" ref="U103" ca="1">IF($R103&lt;&gt;"",
INDIRECT(""&amp;IF(COLUMN(E154)&lt;=26,CHAR(COLUMN(E154)+64),CHAR(INT((COLUMN(E154)-1)/26)+64)&amp;CHAR(MOD(COLUMN(E154)-1,26)+65))&amp;$R103&amp;""),"")</f>
        <v/>
      </c>
      <c r="V103" s="74" t="str">
        <f t="array" aca="1" ref="V103" ca="1">IF($R103&lt;&gt;"",
IF(U103="",
IF(INDIRECT("EY"&amp;$R103&amp;"")&lt;&gt;"",
INDIRECT("EY"&amp;$R103&amp;"")&amp;"箱"
&amp;INDIRECT("EZ"&amp;$R103&amp;""),""),""),"")</f>
        <v/>
      </c>
      <c r="W103" s="74" t="str">
        <f t="array" aca="1" ref="W103" ca="1">IF($R103&lt;&gt;"",
INDIRECT(""&amp;IF(COLUMN(H154)&lt;=26,CHAR(COLUMN(H154)+64),CHAR(INT((COLUMN(H154)-1)/26)+64)&amp;CHAR(MOD(COLUMN(H154)-1,26)+65))&amp;$R103&amp;""),"")</f>
        <v/>
      </c>
      <c r="X103" s="74" t="str">
        <f t="array" aca="1" ref="X103" ca="1">IF($R103&lt;&gt;"",
INDIRECT(""&amp;IF(COLUMN(I154)&lt;=26,CHAR(COLUMN(I154)+64),CHAR(INT((COLUMN(I154)-1)/26)+64)&amp;CHAR(MOD(COLUMN(I154)-1,26)+65))&amp;$R103&amp;""),"")</f>
        <v/>
      </c>
      <c r="Y103" s="74" t="str">
        <f t="array" aca="1" ref="Y103" ca="1">IF($R103&lt;&gt;"",
INDIRECT(""&amp;IF(COLUMN(J154)&lt;=26,CHAR(COLUMN(J154)+64),CHAR(INT((COLUMN(J154)-1)/26)+64)&amp;CHAR(MOD(COLUMN(J154)-1,26)+65))&amp;$R103&amp;""),"")</f>
        <v/>
      </c>
      <c r="Z103" s="74" t="str">
        <f t="array" aca="1" ref="Z103" ca="1">IF($R103&lt;&gt;"",
INDIRECT(""&amp;IF(COLUMN(K154)&lt;=26,CHAR(COLUMN(K154)+64),CHAR(INT((COLUMN(K154)-1)/26)+64)&amp;CHAR(MOD(COLUMN(K154)-1,26)+65))&amp;$R103&amp;""),"")</f>
        <v/>
      </c>
      <c r="AA103" s="74" t="str">
        <f t="array" aca="1" ref="AA103" ca="1">IF($R103&lt;&gt;"",
INDIRECT(""&amp;IF(COLUMN(L154)&lt;=26,CHAR(COLUMN(L154)+64),CHAR(INT((COLUMN(L154)-1)/26)+64)&amp;CHAR(MOD(COLUMN(L154)-1,26)+65))&amp;$R103&amp;""),"")</f>
        <v/>
      </c>
      <c r="AB103" s="74" t="str">
        <f t="array" aca="1" ref="AB103" ca="1">IF($R103&lt;&gt;"",
INDIRECT(""&amp;IF(COLUMN(O154)&lt;=26,CHAR(COLUMN(O154)+64),CHAR(INT((COLUMN(O154)-1)/26)+64)&amp;CHAR(MOD(COLUMN(O154)-1,26)+65))&amp;$R103&amp;""),"")</f>
        <v/>
      </c>
    </row>
    <row r="104" spans="2:28" ht="22.2" customHeight="1"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 t="str">
        <f t="array" ref="R104">IFERROR(SMALL(IF(P$1:P$228&lt;&gt;0,P$1:P$228),ROW(#REF!)),"")</f>
        <v/>
      </c>
      <c r="S104" s="74" t="str">
        <f t="array" aca="1" ref="S104" ca="1">IF($R104&lt;&gt;"",
INDIRECT(""&amp;IF(COLUMN(C155)&lt;=26,CHAR(COLUMN(C155)+64),CHAR(INT((COLUMN(C155)-1)/26)+64)&amp;CHAR(MOD(COLUMN(C155)-1,26)+65))&amp;$R104&amp;""),"")</f>
        <v/>
      </c>
      <c r="T104" s="74" t="str">
        <f t="array" aca="1" ref="T104" ca="1">IF($R104&lt;&gt;"",
INDIRECT(""&amp;IF(COLUMN(D155)&lt;=26,CHAR(COLUMN(D155)+64),CHAR(INT((COLUMN(D155)-1)/26)+64)&amp;CHAR(MOD(COLUMN(D155)-1,26)+65))&amp;$R104&amp;""),"")</f>
        <v/>
      </c>
      <c r="U104" s="74" t="str">
        <f t="array" aca="1" ref="U104" ca="1">IF($R104&lt;&gt;"",
INDIRECT(""&amp;IF(COLUMN(E155)&lt;=26,CHAR(COLUMN(E155)+64),CHAR(INT((COLUMN(E155)-1)/26)+64)&amp;CHAR(MOD(COLUMN(E155)-1,26)+65))&amp;$R104&amp;""),"")</f>
        <v/>
      </c>
      <c r="V104" s="74" t="str">
        <f t="array" aca="1" ref="V104" ca="1">IF($R104&lt;&gt;"",
IF(U104="",
IF(INDIRECT("EY"&amp;$R104&amp;"")&lt;&gt;"",
INDIRECT("EY"&amp;$R104&amp;"")&amp;"箱"
&amp;INDIRECT("EZ"&amp;$R104&amp;""),""),""),"")</f>
        <v/>
      </c>
      <c r="W104" s="74" t="str">
        <f t="array" aca="1" ref="W104" ca="1">IF($R104&lt;&gt;"",
INDIRECT(""&amp;IF(COLUMN(H155)&lt;=26,CHAR(COLUMN(H155)+64),CHAR(INT((COLUMN(H155)-1)/26)+64)&amp;CHAR(MOD(COLUMN(H155)-1,26)+65))&amp;$R104&amp;""),"")</f>
        <v/>
      </c>
      <c r="X104" s="74" t="str">
        <f t="array" aca="1" ref="X104" ca="1">IF($R104&lt;&gt;"",
INDIRECT(""&amp;IF(COLUMN(I155)&lt;=26,CHAR(COLUMN(I155)+64),CHAR(INT((COLUMN(I155)-1)/26)+64)&amp;CHAR(MOD(COLUMN(I155)-1,26)+65))&amp;$R104&amp;""),"")</f>
        <v/>
      </c>
      <c r="Y104" s="74" t="str">
        <f t="array" aca="1" ref="Y104" ca="1">IF($R104&lt;&gt;"",
INDIRECT(""&amp;IF(COLUMN(J155)&lt;=26,CHAR(COLUMN(J155)+64),CHAR(INT((COLUMN(J155)-1)/26)+64)&amp;CHAR(MOD(COLUMN(J155)-1,26)+65))&amp;$R104&amp;""),"")</f>
        <v/>
      </c>
      <c r="Z104" s="74" t="str">
        <f t="array" aca="1" ref="Z104" ca="1">IF($R104&lt;&gt;"",
INDIRECT(""&amp;IF(COLUMN(K155)&lt;=26,CHAR(COLUMN(K155)+64),CHAR(INT((COLUMN(K155)-1)/26)+64)&amp;CHAR(MOD(COLUMN(K155)-1,26)+65))&amp;$R104&amp;""),"")</f>
        <v/>
      </c>
      <c r="AA104" s="74" t="str">
        <f t="array" aca="1" ref="AA104" ca="1">IF($R104&lt;&gt;"",
INDIRECT(""&amp;IF(COLUMN(L155)&lt;=26,CHAR(COLUMN(L155)+64),CHAR(INT((COLUMN(L155)-1)/26)+64)&amp;CHAR(MOD(COLUMN(L155)-1,26)+65))&amp;$R104&amp;""),"")</f>
        <v/>
      </c>
      <c r="AB104" s="74" t="str">
        <f t="array" aca="1" ref="AB104" ca="1">IF($R104&lt;&gt;"",
INDIRECT(""&amp;IF(COLUMN(O155)&lt;=26,CHAR(COLUMN(O155)+64),CHAR(INT((COLUMN(O155)-1)/26)+64)&amp;CHAR(MOD(COLUMN(O155)-1,26)+65))&amp;$R104&amp;""),"")</f>
        <v/>
      </c>
    </row>
    <row r="105" spans="2:28" ht="22.2" customHeight="1"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 t="str">
        <f t="array" ref="R105">IFERROR(SMALL(IF(P$1:P$228&lt;&gt;0,P$1:P$228),ROW(#REF!)),"")</f>
        <v/>
      </c>
      <c r="S105" s="74" t="str">
        <f t="array" aca="1" ref="S105" ca="1">IF($R105&lt;&gt;"",
INDIRECT(""&amp;IF(COLUMN(C157)&lt;=26,CHAR(COLUMN(C157)+64),CHAR(INT((COLUMN(C157)-1)/26)+64)&amp;CHAR(MOD(COLUMN(C157)-1,26)+65))&amp;$R105&amp;""),"")</f>
        <v/>
      </c>
      <c r="T105" s="74" t="str">
        <f t="array" aca="1" ref="T105" ca="1">IF($R105&lt;&gt;"",
INDIRECT(""&amp;IF(COLUMN(D157)&lt;=26,CHAR(COLUMN(D157)+64),CHAR(INT((COLUMN(D157)-1)/26)+64)&amp;CHAR(MOD(COLUMN(D157)-1,26)+65))&amp;$R105&amp;""),"")</f>
        <v/>
      </c>
      <c r="U105" s="74" t="str">
        <f t="array" aca="1" ref="U105" ca="1">IF($R105&lt;&gt;"",
INDIRECT(""&amp;IF(COLUMN(E157)&lt;=26,CHAR(COLUMN(E157)+64),CHAR(INT((COLUMN(E157)-1)/26)+64)&amp;CHAR(MOD(COLUMN(E157)-1,26)+65))&amp;$R105&amp;""),"")</f>
        <v/>
      </c>
      <c r="V105" s="74" t="str">
        <f t="array" aca="1" ref="V105" ca="1">IF($R105&lt;&gt;"",
IF(U105="",
IF(INDIRECT("EY"&amp;$R105&amp;"")&lt;&gt;"",
INDIRECT("EY"&amp;$R105&amp;"")&amp;"箱"
&amp;INDIRECT("EZ"&amp;$R105&amp;""),""),""),"")</f>
        <v/>
      </c>
      <c r="W105" s="74" t="str">
        <f t="array" aca="1" ref="W105" ca="1">IF($R105&lt;&gt;"",
INDIRECT(""&amp;IF(COLUMN(H157)&lt;=26,CHAR(COLUMN(H157)+64),CHAR(INT((COLUMN(H157)-1)/26)+64)&amp;CHAR(MOD(COLUMN(H157)-1,26)+65))&amp;$R105&amp;""),"")</f>
        <v/>
      </c>
      <c r="X105" s="74" t="str">
        <f t="array" aca="1" ref="X105" ca="1">IF($R105&lt;&gt;"",
INDIRECT(""&amp;IF(COLUMN(I157)&lt;=26,CHAR(COLUMN(I157)+64),CHAR(INT((COLUMN(I157)-1)/26)+64)&amp;CHAR(MOD(COLUMN(I157)-1,26)+65))&amp;$R105&amp;""),"")</f>
        <v/>
      </c>
      <c r="Y105" s="74" t="str">
        <f t="array" aca="1" ref="Y105" ca="1">IF($R105&lt;&gt;"",
INDIRECT(""&amp;IF(COLUMN(J157)&lt;=26,CHAR(COLUMN(J157)+64),CHAR(INT((COLUMN(J157)-1)/26)+64)&amp;CHAR(MOD(COLUMN(J157)-1,26)+65))&amp;$R105&amp;""),"")</f>
        <v/>
      </c>
      <c r="Z105" s="74" t="str">
        <f t="array" aca="1" ref="Z105" ca="1">IF($R105&lt;&gt;"",
INDIRECT(""&amp;IF(COLUMN(K157)&lt;=26,CHAR(COLUMN(K157)+64),CHAR(INT((COLUMN(K157)-1)/26)+64)&amp;CHAR(MOD(COLUMN(K157)-1,26)+65))&amp;$R105&amp;""),"")</f>
        <v/>
      </c>
      <c r="AA105" s="74" t="str">
        <f t="array" aca="1" ref="AA105" ca="1">IF($R105&lt;&gt;"",
INDIRECT(""&amp;IF(COLUMN(L157)&lt;=26,CHAR(COLUMN(L157)+64),CHAR(INT((COLUMN(L157)-1)/26)+64)&amp;CHAR(MOD(COLUMN(L157)-1,26)+65))&amp;$R105&amp;""),"")</f>
        <v/>
      </c>
      <c r="AB105" s="74" t="str">
        <f t="array" aca="1" ref="AB105" ca="1">IF($R105&lt;&gt;"",
INDIRECT(""&amp;IF(COLUMN(O157)&lt;=26,CHAR(COLUMN(O157)+64),CHAR(INT((COLUMN(O157)-1)/26)+64)&amp;CHAR(MOD(COLUMN(O157)-1,26)+65))&amp;$R105&amp;""),"")</f>
        <v/>
      </c>
    </row>
    <row r="106" spans="2:28" ht="22.2" customHeight="1"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 t="str">
        <f t="array" ref="R106">IFERROR(SMALL(IF(P$1:P$228&lt;&gt;0,P$1:P$228),ROW(#REF!)),"")</f>
        <v/>
      </c>
      <c r="S106" s="74" t="str">
        <f t="array" aca="1" ref="S106" ca="1">IF($R106&lt;&gt;"",
INDIRECT(""&amp;IF(COLUMN(C158)&lt;=26,CHAR(COLUMN(C158)+64),CHAR(INT((COLUMN(C158)-1)/26)+64)&amp;CHAR(MOD(COLUMN(C158)-1,26)+65))&amp;$R106&amp;""),"")</f>
        <v/>
      </c>
      <c r="T106" s="74" t="str">
        <f t="array" aca="1" ref="T106" ca="1">IF($R106&lt;&gt;"",
INDIRECT(""&amp;IF(COLUMN(D158)&lt;=26,CHAR(COLUMN(D158)+64),CHAR(INT((COLUMN(D158)-1)/26)+64)&amp;CHAR(MOD(COLUMN(D158)-1,26)+65))&amp;$R106&amp;""),"")</f>
        <v/>
      </c>
      <c r="U106" s="74" t="str">
        <f t="array" aca="1" ref="U106" ca="1">IF($R106&lt;&gt;"",
INDIRECT(""&amp;IF(COLUMN(E158)&lt;=26,CHAR(COLUMN(E158)+64),CHAR(INT((COLUMN(E158)-1)/26)+64)&amp;CHAR(MOD(COLUMN(E158)-1,26)+65))&amp;$R106&amp;""),"")</f>
        <v/>
      </c>
      <c r="V106" s="74" t="str">
        <f t="array" aca="1" ref="V106" ca="1">IF($R106&lt;&gt;"",
IF(U106="",
IF(INDIRECT("EY"&amp;$R106&amp;"")&lt;&gt;"",
INDIRECT("EY"&amp;$R106&amp;"")&amp;"箱"
&amp;INDIRECT("EZ"&amp;$R106&amp;""),""),""),"")</f>
        <v/>
      </c>
      <c r="W106" s="74" t="str">
        <f t="array" aca="1" ref="W106" ca="1">IF($R106&lt;&gt;"",
INDIRECT(""&amp;IF(COLUMN(H158)&lt;=26,CHAR(COLUMN(H158)+64),CHAR(INT((COLUMN(H158)-1)/26)+64)&amp;CHAR(MOD(COLUMN(H158)-1,26)+65))&amp;$R106&amp;""),"")</f>
        <v/>
      </c>
      <c r="X106" s="74" t="str">
        <f t="array" aca="1" ref="X106" ca="1">IF($R106&lt;&gt;"",
INDIRECT(""&amp;IF(COLUMN(I158)&lt;=26,CHAR(COLUMN(I158)+64),CHAR(INT((COLUMN(I158)-1)/26)+64)&amp;CHAR(MOD(COLUMN(I158)-1,26)+65))&amp;$R106&amp;""),"")</f>
        <v/>
      </c>
      <c r="Y106" s="74" t="str">
        <f t="array" aca="1" ref="Y106" ca="1">IF($R106&lt;&gt;"",
INDIRECT(""&amp;IF(COLUMN(J158)&lt;=26,CHAR(COLUMN(J158)+64),CHAR(INT((COLUMN(J158)-1)/26)+64)&amp;CHAR(MOD(COLUMN(J158)-1,26)+65))&amp;$R106&amp;""),"")</f>
        <v/>
      </c>
      <c r="Z106" s="74" t="str">
        <f t="array" aca="1" ref="Z106" ca="1">IF($R106&lt;&gt;"",
INDIRECT(""&amp;IF(COLUMN(K158)&lt;=26,CHAR(COLUMN(K158)+64),CHAR(INT((COLUMN(K158)-1)/26)+64)&amp;CHAR(MOD(COLUMN(K158)-1,26)+65))&amp;$R106&amp;""),"")</f>
        <v/>
      </c>
      <c r="AA106" s="74" t="str">
        <f t="array" aca="1" ref="AA106" ca="1">IF($R106&lt;&gt;"",
INDIRECT(""&amp;IF(COLUMN(L158)&lt;=26,CHAR(COLUMN(L158)+64),CHAR(INT((COLUMN(L158)-1)/26)+64)&amp;CHAR(MOD(COLUMN(L158)-1,26)+65))&amp;$R106&amp;""),"")</f>
        <v/>
      </c>
      <c r="AB106" s="74" t="str">
        <f t="array" aca="1" ref="AB106" ca="1">IF($R106&lt;&gt;"",
INDIRECT(""&amp;IF(COLUMN(O158)&lt;=26,CHAR(COLUMN(O158)+64),CHAR(INT((COLUMN(O158)-1)/26)+64)&amp;CHAR(MOD(COLUMN(O158)-1,26)+65))&amp;$R106&amp;""),"")</f>
        <v/>
      </c>
    </row>
    <row r="107" spans="2:28" ht="22.2" customHeight="1"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 t="str">
        <f t="array" ref="R107">IFERROR(SMALL(IF(P$1:P$228&lt;&gt;0,P$1:P$228),ROW(#REF!)),"")</f>
        <v/>
      </c>
      <c r="S107" s="74" t="str">
        <f t="array" aca="1" ref="S107" ca="1">IF($R107&lt;&gt;"",
INDIRECT(""&amp;IF(COLUMN(C160)&lt;=26,CHAR(COLUMN(C160)+64),CHAR(INT((COLUMN(C160)-1)/26)+64)&amp;CHAR(MOD(COLUMN(C160)-1,26)+65))&amp;$R107&amp;""),"")</f>
        <v/>
      </c>
      <c r="T107" s="74" t="str">
        <f t="array" aca="1" ref="T107" ca="1">IF($R107&lt;&gt;"",
INDIRECT(""&amp;IF(COLUMN(D160)&lt;=26,CHAR(COLUMN(D160)+64),CHAR(INT((COLUMN(D160)-1)/26)+64)&amp;CHAR(MOD(COLUMN(D160)-1,26)+65))&amp;$R107&amp;""),"")</f>
        <v/>
      </c>
      <c r="U107" s="74" t="str">
        <f t="array" aca="1" ref="U107" ca="1">IF($R107&lt;&gt;"",
INDIRECT(""&amp;IF(COLUMN(E160)&lt;=26,CHAR(COLUMN(E160)+64),CHAR(INT((COLUMN(E160)-1)/26)+64)&amp;CHAR(MOD(COLUMN(E160)-1,26)+65))&amp;$R107&amp;""),"")</f>
        <v/>
      </c>
      <c r="V107" s="74" t="str">
        <f t="array" aca="1" ref="V107" ca="1">IF($R107&lt;&gt;"",
IF(U107="",
IF(INDIRECT("EY"&amp;$R107&amp;"")&lt;&gt;"",
INDIRECT("EY"&amp;$R107&amp;"")&amp;"箱"
&amp;INDIRECT("EZ"&amp;$R107&amp;""),""),""),"")</f>
        <v/>
      </c>
      <c r="W107" s="74" t="str">
        <f t="array" aca="1" ref="W107" ca="1">IF($R107&lt;&gt;"",
INDIRECT(""&amp;IF(COLUMN(H160)&lt;=26,CHAR(COLUMN(H160)+64),CHAR(INT((COLUMN(H160)-1)/26)+64)&amp;CHAR(MOD(COLUMN(H160)-1,26)+65))&amp;$R107&amp;""),"")</f>
        <v/>
      </c>
      <c r="X107" s="74" t="str">
        <f t="array" aca="1" ref="X107" ca="1">IF($R107&lt;&gt;"",
INDIRECT(""&amp;IF(COLUMN(I160)&lt;=26,CHAR(COLUMN(I160)+64),CHAR(INT((COLUMN(I160)-1)/26)+64)&amp;CHAR(MOD(COLUMN(I160)-1,26)+65))&amp;$R107&amp;""),"")</f>
        <v/>
      </c>
      <c r="Y107" s="74" t="str">
        <f t="array" aca="1" ref="Y107" ca="1">IF($R107&lt;&gt;"",
INDIRECT(""&amp;IF(COLUMN(J160)&lt;=26,CHAR(COLUMN(J160)+64),CHAR(INT((COLUMN(J160)-1)/26)+64)&amp;CHAR(MOD(COLUMN(J160)-1,26)+65))&amp;$R107&amp;""),"")</f>
        <v/>
      </c>
      <c r="Z107" s="74" t="str">
        <f t="array" aca="1" ref="Z107" ca="1">IF($R107&lt;&gt;"",
INDIRECT(""&amp;IF(COLUMN(K160)&lt;=26,CHAR(COLUMN(K160)+64),CHAR(INT((COLUMN(K160)-1)/26)+64)&amp;CHAR(MOD(COLUMN(K160)-1,26)+65))&amp;$R107&amp;""),"")</f>
        <v/>
      </c>
      <c r="AA107" s="74" t="str">
        <f t="array" aca="1" ref="AA107" ca="1">IF($R107&lt;&gt;"",
INDIRECT(""&amp;IF(COLUMN(L160)&lt;=26,CHAR(COLUMN(L160)+64),CHAR(INT((COLUMN(L160)-1)/26)+64)&amp;CHAR(MOD(COLUMN(L160)-1,26)+65))&amp;$R107&amp;""),"")</f>
        <v/>
      </c>
      <c r="AB107" s="74" t="str">
        <f t="array" aca="1" ref="AB107" ca="1">IF($R107&lt;&gt;"",
INDIRECT(""&amp;IF(COLUMN(O160)&lt;=26,CHAR(COLUMN(O160)+64),CHAR(INT((COLUMN(O160)-1)/26)+64)&amp;CHAR(MOD(COLUMN(O160)-1,26)+65))&amp;$R107&amp;""),"")</f>
        <v/>
      </c>
    </row>
    <row r="108" spans="2:28" ht="22.2" customHeight="1"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 t="str">
        <f t="array" ref="R108">IFERROR(SMALL(IF(P$1:P$228&lt;&gt;0,P$1:P$228),ROW(#REF!)),"")</f>
        <v/>
      </c>
      <c r="S108" s="74" t="str">
        <f t="array" aca="1" ref="S108" ca="1">IF($R108&lt;&gt;"",
INDIRECT(""&amp;IF(COLUMN(C161)&lt;=26,CHAR(COLUMN(C161)+64),CHAR(INT((COLUMN(C161)-1)/26)+64)&amp;CHAR(MOD(COLUMN(C161)-1,26)+65))&amp;$R108&amp;""),"")</f>
        <v/>
      </c>
      <c r="T108" s="74" t="str">
        <f t="array" aca="1" ref="T108" ca="1">IF($R108&lt;&gt;"",
INDIRECT(""&amp;IF(COLUMN(D161)&lt;=26,CHAR(COLUMN(D161)+64),CHAR(INT((COLUMN(D161)-1)/26)+64)&amp;CHAR(MOD(COLUMN(D161)-1,26)+65))&amp;$R108&amp;""),"")</f>
        <v/>
      </c>
      <c r="U108" s="74" t="str">
        <f t="array" aca="1" ref="U108" ca="1">IF($R108&lt;&gt;"",
INDIRECT(""&amp;IF(COLUMN(E161)&lt;=26,CHAR(COLUMN(E161)+64),CHAR(INT((COLUMN(E161)-1)/26)+64)&amp;CHAR(MOD(COLUMN(E161)-1,26)+65))&amp;$R108&amp;""),"")</f>
        <v/>
      </c>
      <c r="V108" s="74" t="str">
        <f t="array" aca="1" ref="V108" ca="1">IF($R108&lt;&gt;"",
IF(U108="",
IF(INDIRECT("EY"&amp;$R108&amp;"")&lt;&gt;"",
INDIRECT("EY"&amp;$R108&amp;"")&amp;"箱"
&amp;INDIRECT("EZ"&amp;$R108&amp;""),""),""),"")</f>
        <v/>
      </c>
      <c r="W108" s="74" t="str">
        <f t="array" aca="1" ref="W108" ca="1">IF($R108&lt;&gt;"",
INDIRECT(""&amp;IF(COLUMN(H161)&lt;=26,CHAR(COLUMN(H161)+64),CHAR(INT((COLUMN(H161)-1)/26)+64)&amp;CHAR(MOD(COLUMN(H161)-1,26)+65))&amp;$R108&amp;""),"")</f>
        <v/>
      </c>
      <c r="X108" s="74" t="str">
        <f t="array" aca="1" ref="X108" ca="1">IF($R108&lt;&gt;"",
INDIRECT(""&amp;IF(COLUMN(I161)&lt;=26,CHAR(COLUMN(I161)+64),CHAR(INT((COLUMN(I161)-1)/26)+64)&amp;CHAR(MOD(COLUMN(I161)-1,26)+65))&amp;$R108&amp;""),"")</f>
        <v/>
      </c>
      <c r="Y108" s="74" t="str">
        <f t="array" aca="1" ref="Y108" ca="1">IF($R108&lt;&gt;"",
INDIRECT(""&amp;IF(COLUMN(J161)&lt;=26,CHAR(COLUMN(J161)+64),CHAR(INT((COLUMN(J161)-1)/26)+64)&amp;CHAR(MOD(COLUMN(J161)-1,26)+65))&amp;$R108&amp;""),"")</f>
        <v/>
      </c>
      <c r="Z108" s="74" t="str">
        <f t="array" aca="1" ref="Z108" ca="1">IF($R108&lt;&gt;"",
INDIRECT(""&amp;IF(COLUMN(K161)&lt;=26,CHAR(COLUMN(K161)+64),CHAR(INT((COLUMN(K161)-1)/26)+64)&amp;CHAR(MOD(COLUMN(K161)-1,26)+65))&amp;$R108&amp;""),"")</f>
        <v/>
      </c>
      <c r="AA108" s="74" t="str">
        <f t="array" aca="1" ref="AA108" ca="1">IF($R108&lt;&gt;"",
INDIRECT(""&amp;IF(COLUMN(L161)&lt;=26,CHAR(COLUMN(L161)+64),CHAR(INT((COLUMN(L161)-1)/26)+64)&amp;CHAR(MOD(COLUMN(L161)-1,26)+65))&amp;$R108&amp;""),"")</f>
        <v/>
      </c>
      <c r="AB108" s="74" t="str">
        <f t="array" aca="1" ref="AB108" ca="1">IF($R108&lt;&gt;"",
INDIRECT(""&amp;IF(COLUMN(O161)&lt;=26,CHAR(COLUMN(O161)+64),CHAR(INT((COLUMN(O161)-1)/26)+64)&amp;CHAR(MOD(COLUMN(O161)-1,26)+65))&amp;$R108&amp;""),"")</f>
        <v/>
      </c>
    </row>
    <row r="109" spans="2:28" ht="22.2" customHeight="1">
      <c r="B109" s="74"/>
      <c r="C109" s="74"/>
      <c r="D109" s="74"/>
      <c r="E109" s="74"/>
      <c r="F109" s="221"/>
      <c r="G109" s="221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 t="str">
        <f t="array" ref="R109">IFERROR(SMALL(IF(P$1:P$228&lt;&gt;0,P$1:P$228),ROW(#REF!)),"")</f>
        <v/>
      </c>
      <c r="S109" s="74" t="str">
        <f t="array" aca="1" ref="S109" ca="1">IF($R109&lt;&gt;"",
INDIRECT(""&amp;IF(COLUMN(C163)&lt;=26,CHAR(COLUMN(C163)+64),CHAR(INT((COLUMN(C163)-1)/26)+64)&amp;CHAR(MOD(COLUMN(C163)-1,26)+65))&amp;$R109&amp;""),"")</f>
        <v/>
      </c>
      <c r="T109" s="74" t="str">
        <f t="array" aca="1" ref="T109" ca="1">IF($R109&lt;&gt;"",
INDIRECT(""&amp;IF(COLUMN(D163)&lt;=26,CHAR(COLUMN(D163)+64),CHAR(INT((COLUMN(D163)-1)/26)+64)&amp;CHAR(MOD(COLUMN(D163)-1,26)+65))&amp;$R109&amp;""),"")</f>
        <v/>
      </c>
      <c r="U109" s="74" t="str">
        <f t="array" aca="1" ref="U109" ca="1">IF($R109&lt;&gt;"",
INDIRECT(""&amp;IF(COLUMN(E163)&lt;=26,CHAR(COLUMN(E163)+64),CHAR(INT((COLUMN(E163)-1)/26)+64)&amp;CHAR(MOD(COLUMN(E163)-1,26)+65))&amp;$R109&amp;""),"")</f>
        <v/>
      </c>
      <c r="V109" s="74" t="str">
        <f t="array" aca="1" ref="V109" ca="1">IF($R109&lt;&gt;"",
IF(U109="",
IF(INDIRECT("EY"&amp;$R109&amp;"")&lt;&gt;"",
INDIRECT("EY"&amp;$R109&amp;"")&amp;"箱"
&amp;INDIRECT("EZ"&amp;$R109&amp;""),""),""),"")</f>
        <v/>
      </c>
      <c r="W109" s="74" t="str">
        <f t="array" aca="1" ref="W109" ca="1">IF($R109&lt;&gt;"",
INDIRECT(""&amp;IF(COLUMN(H163)&lt;=26,CHAR(COLUMN(H163)+64),CHAR(INT((COLUMN(H163)-1)/26)+64)&amp;CHAR(MOD(COLUMN(H163)-1,26)+65))&amp;$R109&amp;""),"")</f>
        <v/>
      </c>
      <c r="X109" s="74" t="str">
        <f t="array" aca="1" ref="X109" ca="1">IF($R109&lt;&gt;"",
INDIRECT(""&amp;IF(COLUMN(I163)&lt;=26,CHAR(COLUMN(I163)+64),CHAR(INT((COLUMN(I163)-1)/26)+64)&amp;CHAR(MOD(COLUMN(I163)-1,26)+65))&amp;$R109&amp;""),"")</f>
        <v/>
      </c>
      <c r="Y109" s="74" t="str">
        <f t="array" aca="1" ref="Y109" ca="1">IF($R109&lt;&gt;"",
INDIRECT(""&amp;IF(COLUMN(J163)&lt;=26,CHAR(COLUMN(J163)+64),CHAR(INT((COLUMN(J163)-1)/26)+64)&amp;CHAR(MOD(COLUMN(J163)-1,26)+65))&amp;$R109&amp;""),"")</f>
        <v/>
      </c>
      <c r="Z109" s="74" t="str">
        <f t="array" aca="1" ref="Z109" ca="1">IF($R109&lt;&gt;"",
INDIRECT(""&amp;IF(COLUMN(K163)&lt;=26,CHAR(COLUMN(K163)+64),CHAR(INT((COLUMN(K163)-1)/26)+64)&amp;CHAR(MOD(COLUMN(K163)-1,26)+65))&amp;$R109&amp;""),"")</f>
        <v/>
      </c>
      <c r="AA109" s="74" t="str">
        <f t="array" aca="1" ref="AA109" ca="1">IF($R109&lt;&gt;"",
INDIRECT(""&amp;IF(COLUMN(L163)&lt;=26,CHAR(COLUMN(L163)+64),CHAR(INT((COLUMN(L163)-1)/26)+64)&amp;CHAR(MOD(COLUMN(L163)-1,26)+65))&amp;$R109&amp;""),"")</f>
        <v/>
      </c>
      <c r="AB109" s="74" t="str">
        <f t="array" aca="1" ref="AB109" ca="1">IF($R109&lt;&gt;"",
INDIRECT(""&amp;IF(COLUMN(O163)&lt;=26,CHAR(COLUMN(O163)+64),CHAR(INT((COLUMN(O163)-1)/26)+64)&amp;CHAR(MOD(COLUMN(O163)-1,26)+65))&amp;$R109&amp;""),"")</f>
        <v/>
      </c>
    </row>
    <row r="110" spans="2:28" ht="22.2" customHeight="1"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 t="str">
        <f t="array" ref="R110">IFERROR(SMALL(IF(P$1:P$228&lt;&gt;0,P$1:P$228),ROW(#REF!)),"")</f>
        <v/>
      </c>
      <c r="S110" s="74" t="str">
        <f t="array" aca="1" ref="S110" ca="1">IF($R110&lt;&gt;"",
INDIRECT(""&amp;IF(COLUMN(C164)&lt;=26,CHAR(COLUMN(C164)+64),CHAR(INT((COLUMN(C164)-1)/26)+64)&amp;CHAR(MOD(COLUMN(C164)-1,26)+65))&amp;$R110&amp;""),"")</f>
        <v/>
      </c>
      <c r="T110" s="74" t="str">
        <f t="array" aca="1" ref="T110" ca="1">IF($R110&lt;&gt;"",
INDIRECT(""&amp;IF(COLUMN(D164)&lt;=26,CHAR(COLUMN(D164)+64),CHAR(INT((COLUMN(D164)-1)/26)+64)&amp;CHAR(MOD(COLUMN(D164)-1,26)+65))&amp;$R110&amp;""),"")</f>
        <v/>
      </c>
      <c r="U110" s="74" t="str">
        <f t="array" aca="1" ref="U110" ca="1">IF($R110&lt;&gt;"",
INDIRECT(""&amp;IF(COLUMN(E164)&lt;=26,CHAR(COLUMN(E164)+64),CHAR(INT((COLUMN(E164)-1)/26)+64)&amp;CHAR(MOD(COLUMN(E164)-1,26)+65))&amp;$R110&amp;""),"")</f>
        <v/>
      </c>
      <c r="V110" s="74" t="str">
        <f t="array" aca="1" ref="V110" ca="1">IF($R110&lt;&gt;"",
IF(U110="",
IF(INDIRECT("EY"&amp;$R110&amp;"")&lt;&gt;"",
INDIRECT("EY"&amp;$R110&amp;"")&amp;"箱"
&amp;INDIRECT("EZ"&amp;$R110&amp;""),""),""),"")</f>
        <v/>
      </c>
      <c r="W110" s="74" t="str">
        <f t="array" aca="1" ref="W110" ca="1">IF($R110&lt;&gt;"",
INDIRECT(""&amp;IF(COLUMN(H164)&lt;=26,CHAR(COLUMN(H164)+64),CHAR(INT((COLUMN(H164)-1)/26)+64)&amp;CHAR(MOD(COLUMN(H164)-1,26)+65))&amp;$R110&amp;""),"")</f>
        <v/>
      </c>
      <c r="X110" s="74" t="str">
        <f t="array" aca="1" ref="X110" ca="1">IF($R110&lt;&gt;"",
INDIRECT(""&amp;IF(COLUMN(I164)&lt;=26,CHAR(COLUMN(I164)+64),CHAR(INT((COLUMN(I164)-1)/26)+64)&amp;CHAR(MOD(COLUMN(I164)-1,26)+65))&amp;$R110&amp;""),"")</f>
        <v/>
      </c>
      <c r="Y110" s="74" t="str">
        <f t="array" aca="1" ref="Y110" ca="1">IF($R110&lt;&gt;"",
INDIRECT(""&amp;IF(COLUMN(J164)&lt;=26,CHAR(COLUMN(J164)+64),CHAR(INT((COLUMN(J164)-1)/26)+64)&amp;CHAR(MOD(COLUMN(J164)-1,26)+65))&amp;$R110&amp;""),"")</f>
        <v/>
      </c>
      <c r="Z110" s="74" t="str">
        <f t="array" aca="1" ref="Z110" ca="1">IF($R110&lt;&gt;"",
INDIRECT(""&amp;IF(COLUMN(K164)&lt;=26,CHAR(COLUMN(K164)+64),CHAR(INT((COLUMN(K164)-1)/26)+64)&amp;CHAR(MOD(COLUMN(K164)-1,26)+65))&amp;$R110&amp;""),"")</f>
        <v/>
      </c>
      <c r="AA110" s="74" t="str">
        <f t="array" aca="1" ref="AA110" ca="1">IF($R110&lt;&gt;"",
INDIRECT(""&amp;IF(COLUMN(L164)&lt;=26,CHAR(COLUMN(L164)+64),CHAR(INT((COLUMN(L164)-1)/26)+64)&amp;CHAR(MOD(COLUMN(L164)-1,26)+65))&amp;$R110&amp;""),"")</f>
        <v/>
      </c>
      <c r="AB110" s="74" t="str">
        <f t="array" aca="1" ref="AB110" ca="1">IF($R110&lt;&gt;"",
INDIRECT(""&amp;IF(COLUMN(O164)&lt;=26,CHAR(COLUMN(O164)+64),CHAR(INT((COLUMN(O164)-1)/26)+64)&amp;CHAR(MOD(COLUMN(O164)-1,26)+65))&amp;$R110&amp;""),"")</f>
        <v/>
      </c>
    </row>
    <row r="111" spans="2:28" ht="22.2" customHeight="1"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 t="str">
        <f t="array" ref="R111">IFERROR(SMALL(IF(P$1:P$228&lt;&gt;0,P$1:P$228),ROW(#REF!)),"")</f>
        <v/>
      </c>
      <c r="S111" s="74" t="str">
        <f t="array" aca="1" ref="S111" ca="1">IF($R111&lt;&gt;"",
INDIRECT(""&amp;IF(COLUMN(C166)&lt;=26,CHAR(COLUMN(C166)+64),CHAR(INT((COLUMN(C166)-1)/26)+64)&amp;CHAR(MOD(COLUMN(C166)-1,26)+65))&amp;$R111&amp;""),"")</f>
        <v/>
      </c>
      <c r="T111" s="74" t="str">
        <f t="array" aca="1" ref="T111" ca="1">IF($R111&lt;&gt;"",
INDIRECT(""&amp;IF(COLUMN(D166)&lt;=26,CHAR(COLUMN(D166)+64),CHAR(INT((COLUMN(D166)-1)/26)+64)&amp;CHAR(MOD(COLUMN(D166)-1,26)+65))&amp;$R111&amp;""),"")</f>
        <v/>
      </c>
      <c r="U111" s="74" t="str">
        <f t="array" aca="1" ref="U111" ca="1">IF($R111&lt;&gt;"",
INDIRECT(""&amp;IF(COLUMN(E166)&lt;=26,CHAR(COLUMN(E166)+64),CHAR(INT((COLUMN(E166)-1)/26)+64)&amp;CHAR(MOD(COLUMN(E166)-1,26)+65))&amp;$R111&amp;""),"")</f>
        <v/>
      </c>
      <c r="V111" s="74" t="str">
        <f t="array" aca="1" ref="V111" ca="1">IF($R111&lt;&gt;"",
IF(U111="",
IF(INDIRECT("EY"&amp;$R111&amp;"")&lt;&gt;"",
INDIRECT("EY"&amp;$R111&amp;"")&amp;"箱"
&amp;INDIRECT("EZ"&amp;$R111&amp;""),""),""),"")</f>
        <v/>
      </c>
      <c r="W111" s="74" t="str">
        <f t="array" aca="1" ref="W111" ca="1">IF($R111&lt;&gt;"",
INDIRECT(""&amp;IF(COLUMN(H166)&lt;=26,CHAR(COLUMN(H166)+64),CHAR(INT((COLUMN(H166)-1)/26)+64)&amp;CHAR(MOD(COLUMN(H166)-1,26)+65))&amp;$R111&amp;""),"")</f>
        <v/>
      </c>
      <c r="X111" s="74" t="str">
        <f t="array" aca="1" ref="X111" ca="1">IF($R111&lt;&gt;"",
INDIRECT(""&amp;IF(COLUMN(I166)&lt;=26,CHAR(COLUMN(I166)+64),CHAR(INT((COLUMN(I166)-1)/26)+64)&amp;CHAR(MOD(COLUMN(I166)-1,26)+65))&amp;$R111&amp;""),"")</f>
        <v/>
      </c>
      <c r="Y111" s="74" t="str">
        <f t="array" aca="1" ref="Y111" ca="1">IF($R111&lt;&gt;"",
INDIRECT(""&amp;IF(COLUMN(J166)&lt;=26,CHAR(COLUMN(J166)+64),CHAR(INT((COLUMN(J166)-1)/26)+64)&amp;CHAR(MOD(COLUMN(J166)-1,26)+65))&amp;$R111&amp;""),"")</f>
        <v/>
      </c>
      <c r="Z111" s="74" t="str">
        <f t="array" aca="1" ref="Z111" ca="1">IF($R111&lt;&gt;"",
INDIRECT(""&amp;IF(COLUMN(K166)&lt;=26,CHAR(COLUMN(K166)+64),CHAR(INT((COLUMN(K166)-1)/26)+64)&amp;CHAR(MOD(COLUMN(K166)-1,26)+65))&amp;$R111&amp;""),"")</f>
        <v/>
      </c>
      <c r="AA111" s="74" t="str">
        <f t="array" aca="1" ref="AA111" ca="1">IF($R111&lt;&gt;"",
INDIRECT(""&amp;IF(COLUMN(L166)&lt;=26,CHAR(COLUMN(L166)+64),CHAR(INT((COLUMN(L166)-1)/26)+64)&amp;CHAR(MOD(COLUMN(L166)-1,26)+65))&amp;$R111&amp;""),"")</f>
        <v/>
      </c>
      <c r="AB111" s="74" t="str">
        <f t="array" aca="1" ref="AB111" ca="1">IF($R111&lt;&gt;"",
INDIRECT(""&amp;IF(COLUMN(O166)&lt;=26,CHAR(COLUMN(O166)+64),CHAR(INT((COLUMN(O166)-1)/26)+64)&amp;CHAR(MOD(COLUMN(O166)-1,26)+65))&amp;$R111&amp;""),"")</f>
        <v/>
      </c>
    </row>
    <row r="112" spans="2:28" ht="22.2" customHeight="1">
      <c r="B112" s="74"/>
      <c r="C112" s="74"/>
      <c r="D112" s="74"/>
      <c r="E112" s="74"/>
      <c r="F112" s="221"/>
      <c r="G112" s="221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 t="str">
        <f t="array" ref="R112">IFERROR(SMALL(IF(P$1:P$228&lt;&gt;0,P$1:P$228),ROW(#REF!)),"")</f>
        <v/>
      </c>
      <c r="S112" s="74" t="str">
        <f t="array" aca="1" ref="S112" ca="1">IF($R112&lt;&gt;"",
INDIRECT(""&amp;IF(COLUMN(C167)&lt;=26,CHAR(COLUMN(C167)+64),CHAR(INT((COLUMN(C167)-1)/26)+64)&amp;CHAR(MOD(COLUMN(C167)-1,26)+65))&amp;$R112&amp;""),"")</f>
        <v/>
      </c>
      <c r="T112" s="74" t="str">
        <f t="array" aca="1" ref="T112" ca="1">IF($R112&lt;&gt;"",
INDIRECT(""&amp;IF(COLUMN(D167)&lt;=26,CHAR(COLUMN(D167)+64),CHAR(INT((COLUMN(D167)-1)/26)+64)&amp;CHAR(MOD(COLUMN(D167)-1,26)+65))&amp;$R112&amp;""),"")</f>
        <v/>
      </c>
      <c r="U112" s="74" t="str">
        <f t="array" aca="1" ref="U112" ca="1">IF($R112&lt;&gt;"",
INDIRECT(""&amp;IF(COLUMN(E167)&lt;=26,CHAR(COLUMN(E167)+64),CHAR(INT((COLUMN(E167)-1)/26)+64)&amp;CHAR(MOD(COLUMN(E167)-1,26)+65))&amp;$R112&amp;""),"")</f>
        <v/>
      </c>
      <c r="V112" s="74" t="str">
        <f t="array" aca="1" ref="V112" ca="1">IF($R112&lt;&gt;"",
IF(U112="",
IF(INDIRECT("EY"&amp;$R112&amp;"")&lt;&gt;"",
INDIRECT("EY"&amp;$R112&amp;"")&amp;"箱"
&amp;INDIRECT("EZ"&amp;$R112&amp;""),""),""),"")</f>
        <v/>
      </c>
      <c r="W112" s="74" t="str">
        <f t="array" aca="1" ref="W112" ca="1">IF($R112&lt;&gt;"",
INDIRECT(""&amp;IF(COLUMN(H167)&lt;=26,CHAR(COLUMN(H167)+64),CHAR(INT((COLUMN(H167)-1)/26)+64)&amp;CHAR(MOD(COLUMN(H167)-1,26)+65))&amp;$R112&amp;""),"")</f>
        <v/>
      </c>
      <c r="X112" s="74" t="str">
        <f t="array" aca="1" ref="X112" ca="1">IF($R112&lt;&gt;"",
INDIRECT(""&amp;IF(COLUMN(I167)&lt;=26,CHAR(COLUMN(I167)+64),CHAR(INT((COLUMN(I167)-1)/26)+64)&amp;CHAR(MOD(COLUMN(I167)-1,26)+65))&amp;$R112&amp;""),"")</f>
        <v/>
      </c>
      <c r="Y112" s="74" t="str">
        <f t="array" aca="1" ref="Y112" ca="1">IF($R112&lt;&gt;"",
INDIRECT(""&amp;IF(COLUMN(J167)&lt;=26,CHAR(COLUMN(J167)+64),CHAR(INT((COLUMN(J167)-1)/26)+64)&amp;CHAR(MOD(COLUMN(J167)-1,26)+65))&amp;$R112&amp;""),"")</f>
        <v/>
      </c>
      <c r="Z112" s="74" t="str">
        <f t="array" aca="1" ref="Z112" ca="1">IF($R112&lt;&gt;"",
INDIRECT(""&amp;IF(COLUMN(K167)&lt;=26,CHAR(COLUMN(K167)+64),CHAR(INT((COLUMN(K167)-1)/26)+64)&amp;CHAR(MOD(COLUMN(K167)-1,26)+65))&amp;$R112&amp;""),"")</f>
        <v/>
      </c>
      <c r="AA112" s="74" t="str">
        <f t="array" aca="1" ref="AA112" ca="1">IF($R112&lt;&gt;"",
INDIRECT(""&amp;IF(COLUMN(L167)&lt;=26,CHAR(COLUMN(L167)+64),CHAR(INT((COLUMN(L167)-1)/26)+64)&amp;CHAR(MOD(COLUMN(L167)-1,26)+65))&amp;$R112&amp;""),"")</f>
        <v/>
      </c>
      <c r="AB112" s="74" t="str">
        <f t="array" aca="1" ref="AB112" ca="1">IF($R112&lt;&gt;"",
INDIRECT(""&amp;IF(COLUMN(O167)&lt;=26,CHAR(COLUMN(O167)+64),CHAR(INT((COLUMN(O167)-1)/26)+64)&amp;CHAR(MOD(COLUMN(O167)-1,26)+65))&amp;$R112&amp;""),"")</f>
        <v/>
      </c>
    </row>
    <row r="113" spans="2:28" ht="22.2" customHeight="1"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 t="str">
        <f t="array" ref="R113">IFERROR(SMALL(IF(P$1:P$228&lt;&gt;0,P$1:P$228),ROW(#REF!)),"")</f>
        <v/>
      </c>
      <c r="S113" s="74" t="str">
        <f t="array" aca="1" ref="S113" ca="1">IF($R113&lt;&gt;"",
INDIRECT(""&amp;IF(COLUMN(C169)&lt;=26,CHAR(COLUMN(C169)+64),CHAR(INT((COLUMN(C169)-1)/26)+64)&amp;CHAR(MOD(COLUMN(C169)-1,26)+65))&amp;$R113&amp;""),"")</f>
        <v/>
      </c>
      <c r="T113" s="74" t="str">
        <f t="array" aca="1" ref="T113" ca="1">IF($R113&lt;&gt;"",
INDIRECT(""&amp;IF(COLUMN(D169)&lt;=26,CHAR(COLUMN(D169)+64),CHAR(INT((COLUMN(D169)-1)/26)+64)&amp;CHAR(MOD(COLUMN(D169)-1,26)+65))&amp;$R113&amp;""),"")</f>
        <v/>
      </c>
      <c r="U113" s="74" t="str">
        <f t="array" aca="1" ref="U113" ca="1">IF($R113&lt;&gt;"",
INDIRECT(""&amp;IF(COLUMN(E169)&lt;=26,CHAR(COLUMN(E169)+64),CHAR(INT((COLUMN(E169)-1)/26)+64)&amp;CHAR(MOD(COLUMN(E169)-1,26)+65))&amp;$R113&amp;""),"")</f>
        <v/>
      </c>
      <c r="V113" s="74" t="str">
        <f t="array" aca="1" ref="V113" ca="1">IF($R113&lt;&gt;"",
IF(U113="",
IF(INDIRECT("EY"&amp;$R113&amp;"")&lt;&gt;"",
INDIRECT("EY"&amp;$R113&amp;"")&amp;"箱"
&amp;INDIRECT("EZ"&amp;$R113&amp;""),""),""),"")</f>
        <v/>
      </c>
      <c r="W113" s="74" t="str">
        <f t="array" aca="1" ref="W113" ca="1">IF($R113&lt;&gt;"",
INDIRECT(""&amp;IF(COLUMN(H169)&lt;=26,CHAR(COLUMN(H169)+64),CHAR(INT((COLUMN(H169)-1)/26)+64)&amp;CHAR(MOD(COLUMN(H169)-1,26)+65))&amp;$R113&amp;""),"")</f>
        <v/>
      </c>
      <c r="X113" s="74" t="str">
        <f t="array" aca="1" ref="X113" ca="1">IF($R113&lt;&gt;"",
INDIRECT(""&amp;IF(COLUMN(I169)&lt;=26,CHAR(COLUMN(I169)+64),CHAR(INT((COLUMN(I169)-1)/26)+64)&amp;CHAR(MOD(COLUMN(I169)-1,26)+65))&amp;$R113&amp;""),"")</f>
        <v/>
      </c>
      <c r="Y113" s="74" t="str">
        <f t="array" aca="1" ref="Y113" ca="1">IF($R113&lt;&gt;"",
INDIRECT(""&amp;IF(COLUMN(J169)&lt;=26,CHAR(COLUMN(J169)+64),CHAR(INT((COLUMN(J169)-1)/26)+64)&amp;CHAR(MOD(COLUMN(J169)-1,26)+65))&amp;$R113&amp;""),"")</f>
        <v/>
      </c>
      <c r="Z113" s="74" t="str">
        <f t="array" aca="1" ref="Z113" ca="1">IF($R113&lt;&gt;"",
INDIRECT(""&amp;IF(COLUMN(K169)&lt;=26,CHAR(COLUMN(K169)+64),CHAR(INT((COLUMN(K169)-1)/26)+64)&amp;CHAR(MOD(COLUMN(K169)-1,26)+65))&amp;$R113&amp;""),"")</f>
        <v/>
      </c>
      <c r="AA113" s="74" t="str">
        <f t="array" aca="1" ref="AA113" ca="1">IF($R113&lt;&gt;"",
INDIRECT(""&amp;IF(COLUMN(L169)&lt;=26,CHAR(COLUMN(L169)+64),CHAR(INT((COLUMN(L169)-1)/26)+64)&amp;CHAR(MOD(COLUMN(L169)-1,26)+65))&amp;$R113&amp;""),"")</f>
        <v/>
      </c>
      <c r="AB113" s="74" t="str">
        <f t="array" aca="1" ref="AB113" ca="1">IF($R113&lt;&gt;"",
INDIRECT(""&amp;IF(COLUMN(O169)&lt;=26,CHAR(COLUMN(O169)+64),CHAR(INT((COLUMN(O169)-1)/26)+64)&amp;CHAR(MOD(COLUMN(O169)-1,26)+65))&amp;$R113&amp;""),"")</f>
        <v/>
      </c>
    </row>
    <row r="114" spans="2:28" ht="22.2" customHeight="1"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 t="str">
        <f t="array" ref="R114">IFERROR(SMALL(IF(P$1:P$228&lt;&gt;0,P$1:P$228),ROW(#REF!)),"")</f>
        <v/>
      </c>
      <c r="S114" s="74" t="str">
        <f t="array" aca="1" ref="S114" ca="1">IF($R114&lt;&gt;"",
INDIRECT(""&amp;IF(COLUMN(C170)&lt;=26,CHAR(COLUMN(C170)+64),CHAR(INT((COLUMN(C170)-1)/26)+64)&amp;CHAR(MOD(COLUMN(C170)-1,26)+65))&amp;$R114&amp;""),"")</f>
        <v/>
      </c>
      <c r="T114" s="74" t="str">
        <f t="array" aca="1" ref="T114" ca="1">IF($R114&lt;&gt;"",
INDIRECT(""&amp;IF(COLUMN(D170)&lt;=26,CHAR(COLUMN(D170)+64),CHAR(INT((COLUMN(D170)-1)/26)+64)&amp;CHAR(MOD(COLUMN(D170)-1,26)+65))&amp;$R114&amp;""),"")</f>
        <v/>
      </c>
      <c r="U114" s="74" t="str">
        <f t="array" aca="1" ref="U114" ca="1">IF($R114&lt;&gt;"",
INDIRECT(""&amp;IF(COLUMN(E170)&lt;=26,CHAR(COLUMN(E170)+64),CHAR(INT((COLUMN(E170)-1)/26)+64)&amp;CHAR(MOD(COLUMN(E170)-1,26)+65))&amp;$R114&amp;""),"")</f>
        <v/>
      </c>
      <c r="V114" s="74" t="str">
        <f t="array" aca="1" ref="V114" ca="1">IF($R114&lt;&gt;"",
IF(U114="",
IF(INDIRECT("EY"&amp;$R114&amp;"")&lt;&gt;"",
INDIRECT("EY"&amp;$R114&amp;"")&amp;"箱"
&amp;INDIRECT("EZ"&amp;$R114&amp;""),""),""),"")</f>
        <v/>
      </c>
      <c r="W114" s="74" t="str">
        <f t="array" aca="1" ref="W114" ca="1">IF($R114&lt;&gt;"",
INDIRECT(""&amp;IF(COLUMN(H170)&lt;=26,CHAR(COLUMN(H170)+64),CHAR(INT((COLUMN(H170)-1)/26)+64)&amp;CHAR(MOD(COLUMN(H170)-1,26)+65))&amp;$R114&amp;""),"")</f>
        <v/>
      </c>
      <c r="X114" s="74" t="str">
        <f t="array" aca="1" ref="X114" ca="1">IF($R114&lt;&gt;"",
INDIRECT(""&amp;IF(COLUMN(I170)&lt;=26,CHAR(COLUMN(I170)+64),CHAR(INT((COLUMN(I170)-1)/26)+64)&amp;CHAR(MOD(COLUMN(I170)-1,26)+65))&amp;$R114&amp;""),"")</f>
        <v/>
      </c>
      <c r="Y114" s="74" t="str">
        <f t="array" aca="1" ref="Y114" ca="1">IF($R114&lt;&gt;"",
INDIRECT(""&amp;IF(COLUMN(J170)&lt;=26,CHAR(COLUMN(J170)+64),CHAR(INT((COLUMN(J170)-1)/26)+64)&amp;CHAR(MOD(COLUMN(J170)-1,26)+65))&amp;$R114&amp;""),"")</f>
        <v/>
      </c>
      <c r="Z114" s="74" t="str">
        <f t="array" aca="1" ref="Z114" ca="1">IF($R114&lt;&gt;"",
INDIRECT(""&amp;IF(COLUMN(K170)&lt;=26,CHAR(COLUMN(K170)+64),CHAR(INT((COLUMN(K170)-1)/26)+64)&amp;CHAR(MOD(COLUMN(K170)-1,26)+65))&amp;$R114&amp;""),"")</f>
        <v/>
      </c>
      <c r="AA114" s="74" t="str">
        <f t="array" aca="1" ref="AA114" ca="1">IF($R114&lt;&gt;"",
INDIRECT(""&amp;IF(COLUMN(L170)&lt;=26,CHAR(COLUMN(L170)+64),CHAR(INT((COLUMN(L170)-1)/26)+64)&amp;CHAR(MOD(COLUMN(L170)-1,26)+65))&amp;$R114&amp;""),"")</f>
        <v/>
      </c>
      <c r="AB114" s="74" t="str">
        <f t="array" aca="1" ref="AB114" ca="1">IF($R114&lt;&gt;"",
INDIRECT(""&amp;IF(COLUMN(O170)&lt;=26,CHAR(COLUMN(O170)+64),CHAR(INT((COLUMN(O170)-1)/26)+64)&amp;CHAR(MOD(COLUMN(O170)-1,26)+65))&amp;$R114&amp;""),"")</f>
        <v/>
      </c>
    </row>
    <row r="115" spans="2:28" ht="22.2" customHeight="1"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 t="str">
        <f t="array" ref="R115">IFERROR(SMALL(IF(P$1:P$228&lt;&gt;0,P$1:P$228),ROW(#REF!)),"")</f>
        <v/>
      </c>
      <c r="S115" s="74" t="str">
        <f t="array" aca="1" ref="S115" ca="1">IF($R115&lt;&gt;"",
INDIRECT(""&amp;IF(COLUMN(C172)&lt;=26,CHAR(COLUMN(C172)+64),CHAR(INT((COLUMN(C172)-1)/26)+64)&amp;CHAR(MOD(COLUMN(C172)-1,26)+65))&amp;$R115&amp;""),"")</f>
        <v/>
      </c>
      <c r="T115" s="74" t="str">
        <f t="array" aca="1" ref="T115" ca="1">IF($R115&lt;&gt;"",
INDIRECT(""&amp;IF(COLUMN(D172)&lt;=26,CHAR(COLUMN(D172)+64),CHAR(INT((COLUMN(D172)-1)/26)+64)&amp;CHAR(MOD(COLUMN(D172)-1,26)+65))&amp;$R115&amp;""),"")</f>
        <v/>
      </c>
      <c r="U115" s="74" t="str">
        <f t="array" aca="1" ref="U115" ca="1">IF($R115&lt;&gt;"",
INDIRECT(""&amp;IF(COLUMN(E172)&lt;=26,CHAR(COLUMN(E172)+64),CHAR(INT((COLUMN(E172)-1)/26)+64)&amp;CHAR(MOD(COLUMN(E172)-1,26)+65))&amp;$R115&amp;""),"")</f>
        <v/>
      </c>
      <c r="V115" s="74" t="str">
        <f t="array" aca="1" ref="V115" ca="1">IF($R115&lt;&gt;"",
IF(U115="",
IF(INDIRECT("EY"&amp;$R115&amp;"")&lt;&gt;"",
INDIRECT("EY"&amp;$R115&amp;"")&amp;"箱"
&amp;INDIRECT("EZ"&amp;$R115&amp;""),""),""),"")</f>
        <v/>
      </c>
      <c r="W115" s="74" t="str">
        <f t="array" aca="1" ref="W115" ca="1">IF($R115&lt;&gt;"",
INDIRECT(""&amp;IF(COLUMN(H172)&lt;=26,CHAR(COLUMN(H172)+64),CHAR(INT((COLUMN(H172)-1)/26)+64)&amp;CHAR(MOD(COLUMN(H172)-1,26)+65))&amp;$R115&amp;""),"")</f>
        <v/>
      </c>
      <c r="X115" s="74" t="str">
        <f t="array" aca="1" ref="X115" ca="1">IF($R115&lt;&gt;"",
INDIRECT(""&amp;IF(COLUMN(I172)&lt;=26,CHAR(COLUMN(I172)+64),CHAR(INT((COLUMN(I172)-1)/26)+64)&amp;CHAR(MOD(COLUMN(I172)-1,26)+65))&amp;$R115&amp;""),"")</f>
        <v/>
      </c>
      <c r="Y115" s="74" t="str">
        <f t="array" aca="1" ref="Y115" ca="1">IF($R115&lt;&gt;"",
INDIRECT(""&amp;IF(COLUMN(J172)&lt;=26,CHAR(COLUMN(J172)+64),CHAR(INT((COLUMN(J172)-1)/26)+64)&amp;CHAR(MOD(COLUMN(J172)-1,26)+65))&amp;$R115&amp;""),"")</f>
        <v/>
      </c>
      <c r="Z115" s="74" t="str">
        <f t="array" aca="1" ref="Z115" ca="1">IF($R115&lt;&gt;"",
INDIRECT(""&amp;IF(COLUMN(K172)&lt;=26,CHAR(COLUMN(K172)+64),CHAR(INT((COLUMN(K172)-1)/26)+64)&amp;CHAR(MOD(COLUMN(K172)-1,26)+65))&amp;$R115&amp;""),"")</f>
        <v/>
      </c>
      <c r="AA115" s="74" t="str">
        <f t="array" aca="1" ref="AA115" ca="1">IF($R115&lt;&gt;"",
INDIRECT(""&amp;IF(COLUMN(L172)&lt;=26,CHAR(COLUMN(L172)+64),CHAR(INT((COLUMN(L172)-1)/26)+64)&amp;CHAR(MOD(COLUMN(L172)-1,26)+65))&amp;$R115&amp;""),"")</f>
        <v/>
      </c>
      <c r="AB115" s="74" t="str">
        <f t="array" aca="1" ref="AB115" ca="1">IF($R115&lt;&gt;"",
INDIRECT(""&amp;IF(COLUMN(O172)&lt;=26,CHAR(COLUMN(O172)+64),CHAR(INT((COLUMN(O172)-1)/26)+64)&amp;CHAR(MOD(COLUMN(O172)-1,26)+65))&amp;$R115&amp;""),"")</f>
        <v/>
      </c>
    </row>
    <row r="116" spans="2:28" ht="22.2" customHeight="1"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 t="str">
        <f t="array" ref="R116">IFERROR(SMALL(IF(P$1:P$228&lt;&gt;0,P$1:P$228),ROW(#REF!)),"")</f>
        <v/>
      </c>
      <c r="S116" s="74" t="str">
        <f t="array" aca="1" ref="S116" ca="1">IF($R116&lt;&gt;"",
INDIRECT(""&amp;IF(COLUMN(C173)&lt;=26,CHAR(COLUMN(C173)+64),CHAR(INT((COLUMN(C173)-1)/26)+64)&amp;CHAR(MOD(COLUMN(C173)-1,26)+65))&amp;$R116&amp;""),"")</f>
        <v/>
      </c>
      <c r="T116" s="74" t="str">
        <f t="array" aca="1" ref="T116" ca="1">IF($R116&lt;&gt;"",
INDIRECT(""&amp;IF(COLUMN(D173)&lt;=26,CHAR(COLUMN(D173)+64),CHAR(INT((COLUMN(D173)-1)/26)+64)&amp;CHAR(MOD(COLUMN(D173)-1,26)+65))&amp;$R116&amp;""),"")</f>
        <v/>
      </c>
      <c r="U116" s="74" t="str">
        <f t="array" aca="1" ref="U116" ca="1">IF($R116&lt;&gt;"",
INDIRECT(""&amp;IF(COLUMN(E173)&lt;=26,CHAR(COLUMN(E173)+64),CHAR(INT((COLUMN(E173)-1)/26)+64)&amp;CHAR(MOD(COLUMN(E173)-1,26)+65))&amp;$R116&amp;""),"")</f>
        <v/>
      </c>
      <c r="V116" s="74" t="str">
        <f t="array" aca="1" ref="V116" ca="1">IF($R116&lt;&gt;"",
IF(U116="",
IF(INDIRECT("EY"&amp;$R116&amp;"")&lt;&gt;"",
INDIRECT("EY"&amp;$R116&amp;"")&amp;"箱"
&amp;INDIRECT("EZ"&amp;$R116&amp;""),""),""),"")</f>
        <v/>
      </c>
      <c r="W116" s="74" t="str">
        <f t="array" aca="1" ref="W116" ca="1">IF($R116&lt;&gt;"",
INDIRECT(""&amp;IF(COLUMN(H173)&lt;=26,CHAR(COLUMN(H173)+64),CHAR(INT((COLUMN(H173)-1)/26)+64)&amp;CHAR(MOD(COLUMN(H173)-1,26)+65))&amp;$R116&amp;""),"")</f>
        <v/>
      </c>
      <c r="X116" s="74" t="str">
        <f t="array" aca="1" ref="X116" ca="1">IF($R116&lt;&gt;"",
INDIRECT(""&amp;IF(COLUMN(I173)&lt;=26,CHAR(COLUMN(I173)+64),CHAR(INT((COLUMN(I173)-1)/26)+64)&amp;CHAR(MOD(COLUMN(I173)-1,26)+65))&amp;$R116&amp;""),"")</f>
        <v/>
      </c>
      <c r="Y116" s="74" t="str">
        <f t="array" aca="1" ref="Y116" ca="1">IF($R116&lt;&gt;"",
INDIRECT(""&amp;IF(COLUMN(J173)&lt;=26,CHAR(COLUMN(J173)+64),CHAR(INT((COLUMN(J173)-1)/26)+64)&amp;CHAR(MOD(COLUMN(J173)-1,26)+65))&amp;$R116&amp;""),"")</f>
        <v/>
      </c>
      <c r="Z116" s="74" t="str">
        <f t="array" aca="1" ref="Z116" ca="1">IF($R116&lt;&gt;"",
INDIRECT(""&amp;IF(COLUMN(K173)&lt;=26,CHAR(COLUMN(K173)+64),CHAR(INT((COLUMN(K173)-1)/26)+64)&amp;CHAR(MOD(COLUMN(K173)-1,26)+65))&amp;$R116&amp;""),"")</f>
        <v/>
      </c>
      <c r="AA116" s="74" t="str">
        <f t="array" aca="1" ref="AA116" ca="1">IF($R116&lt;&gt;"",
INDIRECT(""&amp;IF(COLUMN(L173)&lt;=26,CHAR(COLUMN(L173)+64),CHAR(INT((COLUMN(L173)-1)/26)+64)&amp;CHAR(MOD(COLUMN(L173)-1,26)+65))&amp;$R116&amp;""),"")</f>
        <v/>
      </c>
      <c r="AB116" s="74" t="str">
        <f t="array" aca="1" ref="AB116" ca="1">IF($R116&lt;&gt;"",
INDIRECT(""&amp;IF(COLUMN(O173)&lt;=26,CHAR(COLUMN(O173)+64),CHAR(INT((COLUMN(O173)-1)/26)+64)&amp;CHAR(MOD(COLUMN(O173)-1,26)+65))&amp;$R116&amp;""),"")</f>
        <v/>
      </c>
    </row>
    <row r="117" spans="2:28" ht="22.2" customHeight="1"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 t="str">
        <f t="array" ref="R117">IFERROR(SMALL(IF(P$1:P$228&lt;&gt;0,P$1:P$228),ROW(#REF!)),"")</f>
        <v/>
      </c>
      <c r="S117" s="74" t="str">
        <f t="array" aca="1" ref="S117" ca="1">IF($R117&lt;&gt;"",
INDIRECT(""&amp;IF(COLUMN(C175)&lt;=26,CHAR(COLUMN(C175)+64),CHAR(INT((COLUMN(C175)-1)/26)+64)&amp;CHAR(MOD(COLUMN(C175)-1,26)+65))&amp;$R117&amp;""),"")</f>
        <v/>
      </c>
      <c r="T117" s="74" t="str">
        <f t="array" aca="1" ref="T117" ca="1">IF($R117&lt;&gt;"",
INDIRECT(""&amp;IF(COLUMN(D175)&lt;=26,CHAR(COLUMN(D175)+64),CHAR(INT((COLUMN(D175)-1)/26)+64)&amp;CHAR(MOD(COLUMN(D175)-1,26)+65))&amp;$R117&amp;""),"")</f>
        <v/>
      </c>
      <c r="U117" s="74" t="str">
        <f t="array" aca="1" ref="U117" ca="1">IF($R117&lt;&gt;"",
INDIRECT(""&amp;IF(COLUMN(E175)&lt;=26,CHAR(COLUMN(E175)+64),CHAR(INT((COLUMN(E175)-1)/26)+64)&amp;CHAR(MOD(COLUMN(E175)-1,26)+65))&amp;$R117&amp;""),"")</f>
        <v/>
      </c>
      <c r="V117" s="74" t="str">
        <f t="array" aca="1" ref="V117" ca="1">IF($R117&lt;&gt;"",
IF(U117="",
IF(INDIRECT("EY"&amp;$R117&amp;"")&lt;&gt;"",
INDIRECT("EY"&amp;$R117&amp;"")&amp;"箱"
&amp;INDIRECT("EZ"&amp;$R117&amp;""),""),""),"")</f>
        <v/>
      </c>
      <c r="W117" s="74" t="str">
        <f t="array" aca="1" ref="W117" ca="1">IF($R117&lt;&gt;"",
INDIRECT(""&amp;IF(COLUMN(H175)&lt;=26,CHAR(COLUMN(H175)+64),CHAR(INT((COLUMN(H175)-1)/26)+64)&amp;CHAR(MOD(COLUMN(H175)-1,26)+65))&amp;$R117&amp;""),"")</f>
        <v/>
      </c>
      <c r="X117" s="74" t="str">
        <f t="array" aca="1" ref="X117" ca="1">IF($R117&lt;&gt;"",
INDIRECT(""&amp;IF(COLUMN(I175)&lt;=26,CHAR(COLUMN(I175)+64),CHAR(INT((COLUMN(I175)-1)/26)+64)&amp;CHAR(MOD(COLUMN(I175)-1,26)+65))&amp;$R117&amp;""),"")</f>
        <v/>
      </c>
      <c r="Y117" s="74" t="str">
        <f t="array" aca="1" ref="Y117" ca="1">IF($R117&lt;&gt;"",
INDIRECT(""&amp;IF(COLUMN(J175)&lt;=26,CHAR(COLUMN(J175)+64),CHAR(INT((COLUMN(J175)-1)/26)+64)&amp;CHAR(MOD(COLUMN(J175)-1,26)+65))&amp;$R117&amp;""),"")</f>
        <v/>
      </c>
      <c r="Z117" s="74" t="str">
        <f t="array" aca="1" ref="Z117" ca="1">IF($R117&lt;&gt;"",
INDIRECT(""&amp;IF(COLUMN(K175)&lt;=26,CHAR(COLUMN(K175)+64),CHAR(INT((COLUMN(K175)-1)/26)+64)&amp;CHAR(MOD(COLUMN(K175)-1,26)+65))&amp;$R117&amp;""),"")</f>
        <v/>
      </c>
      <c r="AA117" s="74" t="str">
        <f t="array" aca="1" ref="AA117" ca="1">IF($R117&lt;&gt;"",
INDIRECT(""&amp;IF(COLUMN(L175)&lt;=26,CHAR(COLUMN(L175)+64),CHAR(INT((COLUMN(L175)-1)/26)+64)&amp;CHAR(MOD(COLUMN(L175)-1,26)+65))&amp;$R117&amp;""),"")</f>
        <v/>
      </c>
      <c r="AB117" s="74" t="str">
        <f t="array" aca="1" ref="AB117" ca="1">IF($R117&lt;&gt;"",
INDIRECT(""&amp;IF(COLUMN(O175)&lt;=26,CHAR(COLUMN(O175)+64),CHAR(INT((COLUMN(O175)-1)/26)+64)&amp;CHAR(MOD(COLUMN(O175)-1,26)+65))&amp;$R117&amp;""),"")</f>
        <v/>
      </c>
    </row>
    <row r="118" spans="2:28" ht="22.2" customHeight="1"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 t="str">
        <f t="array" ref="R118">IFERROR(SMALL(IF(P$1:P$228&lt;&gt;0,P$1:P$228),ROW(#REF!)),"")</f>
        <v/>
      </c>
      <c r="S118" s="74" t="str">
        <f t="array" aca="1" ref="S118" ca="1">IF($R118&lt;&gt;"",
INDIRECT(""&amp;IF(COLUMN(C176)&lt;=26,CHAR(COLUMN(C176)+64),CHAR(INT((COLUMN(C176)-1)/26)+64)&amp;CHAR(MOD(COLUMN(C176)-1,26)+65))&amp;$R118&amp;""),"")</f>
        <v/>
      </c>
      <c r="T118" s="74" t="str">
        <f t="array" aca="1" ref="T118" ca="1">IF($R118&lt;&gt;"",
INDIRECT(""&amp;IF(COLUMN(D176)&lt;=26,CHAR(COLUMN(D176)+64),CHAR(INT((COLUMN(D176)-1)/26)+64)&amp;CHAR(MOD(COLUMN(D176)-1,26)+65))&amp;$R118&amp;""),"")</f>
        <v/>
      </c>
      <c r="U118" s="74" t="str">
        <f t="array" aca="1" ref="U118" ca="1">IF($R118&lt;&gt;"",
INDIRECT(""&amp;IF(COLUMN(E176)&lt;=26,CHAR(COLUMN(E176)+64),CHAR(INT((COLUMN(E176)-1)/26)+64)&amp;CHAR(MOD(COLUMN(E176)-1,26)+65))&amp;$R118&amp;""),"")</f>
        <v/>
      </c>
      <c r="V118" s="74" t="str">
        <f t="array" aca="1" ref="V118" ca="1">IF($R118&lt;&gt;"",
IF(U118="",
IF(INDIRECT("EY"&amp;$R118&amp;"")&lt;&gt;"",
INDIRECT("EY"&amp;$R118&amp;"")&amp;"箱"
&amp;INDIRECT("EZ"&amp;$R118&amp;""),""),""),"")</f>
        <v/>
      </c>
      <c r="W118" s="74" t="str">
        <f t="array" aca="1" ref="W118" ca="1">IF($R118&lt;&gt;"",
INDIRECT(""&amp;IF(COLUMN(H176)&lt;=26,CHAR(COLUMN(H176)+64),CHAR(INT((COLUMN(H176)-1)/26)+64)&amp;CHAR(MOD(COLUMN(H176)-1,26)+65))&amp;$R118&amp;""),"")</f>
        <v/>
      </c>
      <c r="X118" s="74" t="str">
        <f t="array" aca="1" ref="X118" ca="1">IF($R118&lt;&gt;"",
INDIRECT(""&amp;IF(COLUMN(I176)&lt;=26,CHAR(COLUMN(I176)+64),CHAR(INT((COLUMN(I176)-1)/26)+64)&amp;CHAR(MOD(COLUMN(I176)-1,26)+65))&amp;$R118&amp;""),"")</f>
        <v/>
      </c>
      <c r="Y118" s="74" t="str">
        <f t="array" aca="1" ref="Y118" ca="1">IF($R118&lt;&gt;"",
INDIRECT(""&amp;IF(COLUMN(J176)&lt;=26,CHAR(COLUMN(J176)+64),CHAR(INT((COLUMN(J176)-1)/26)+64)&amp;CHAR(MOD(COLUMN(J176)-1,26)+65))&amp;$R118&amp;""),"")</f>
        <v/>
      </c>
      <c r="Z118" s="74" t="str">
        <f t="array" aca="1" ref="Z118" ca="1">IF($R118&lt;&gt;"",
INDIRECT(""&amp;IF(COLUMN(K176)&lt;=26,CHAR(COLUMN(K176)+64),CHAR(INT((COLUMN(K176)-1)/26)+64)&amp;CHAR(MOD(COLUMN(K176)-1,26)+65))&amp;$R118&amp;""),"")</f>
        <v/>
      </c>
      <c r="AA118" s="74" t="str">
        <f t="array" aca="1" ref="AA118" ca="1">IF($R118&lt;&gt;"",
INDIRECT(""&amp;IF(COLUMN(L176)&lt;=26,CHAR(COLUMN(L176)+64),CHAR(INT((COLUMN(L176)-1)/26)+64)&amp;CHAR(MOD(COLUMN(L176)-1,26)+65))&amp;$R118&amp;""),"")</f>
        <v/>
      </c>
      <c r="AB118" s="74" t="str">
        <f t="array" aca="1" ref="AB118" ca="1">IF($R118&lt;&gt;"",
INDIRECT(""&amp;IF(COLUMN(O176)&lt;=26,CHAR(COLUMN(O176)+64),CHAR(INT((COLUMN(O176)-1)/26)+64)&amp;CHAR(MOD(COLUMN(O176)-1,26)+65))&amp;$R118&amp;""),"")</f>
        <v/>
      </c>
    </row>
    <row r="119" spans="2:28" ht="22.2" customHeight="1"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 t="str">
        <f t="array" ref="R119">IFERROR(SMALL(IF(P$1:P$228&lt;&gt;0,P$1:P$228),ROW(#REF!)),"")</f>
        <v/>
      </c>
      <c r="S119" s="74" t="str">
        <f t="array" aca="1" ref="S119" ca="1">IF($R119&lt;&gt;"",
INDIRECT(""&amp;IF(COLUMN(C178)&lt;=26,CHAR(COLUMN(C178)+64),CHAR(INT((COLUMN(C178)-1)/26)+64)&amp;CHAR(MOD(COLUMN(C178)-1,26)+65))&amp;$R119&amp;""),"")</f>
        <v/>
      </c>
      <c r="T119" s="74" t="str">
        <f t="array" aca="1" ref="T119" ca="1">IF($R119&lt;&gt;"",
INDIRECT(""&amp;IF(COLUMN(D178)&lt;=26,CHAR(COLUMN(D178)+64),CHAR(INT((COLUMN(D178)-1)/26)+64)&amp;CHAR(MOD(COLUMN(D178)-1,26)+65))&amp;$R119&amp;""),"")</f>
        <v/>
      </c>
      <c r="U119" s="74" t="str">
        <f t="array" aca="1" ref="U119" ca="1">IF($R119&lt;&gt;"",
INDIRECT(""&amp;IF(COLUMN(E178)&lt;=26,CHAR(COLUMN(E178)+64),CHAR(INT((COLUMN(E178)-1)/26)+64)&amp;CHAR(MOD(COLUMN(E178)-1,26)+65))&amp;$R119&amp;""),"")</f>
        <v/>
      </c>
      <c r="V119" s="74" t="str">
        <f t="array" aca="1" ref="V119" ca="1">IF($R119&lt;&gt;"",
IF(U119="",
IF(INDIRECT("EY"&amp;$R119&amp;"")&lt;&gt;"",
INDIRECT("EY"&amp;$R119&amp;"")&amp;"箱"
&amp;INDIRECT("EZ"&amp;$R119&amp;""),""),""),"")</f>
        <v/>
      </c>
      <c r="W119" s="74" t="str">
        <f t="array" aca="1" ref="W119" ca="1">IF($R119&lt;&gt;"",
INDIRECT(""&amp;IF(COLUMN(H178)&lt;=26,CHAR(COLUMN(H178)+64),CHAR(INT((COLUMN(H178)-1)/26)+64)&amp;CHAR(MOD(COLUMN(H178)-1,26)+65))&amp;$R119&amp;""),"")</f>
        <v/>
      </c>
      <c r="X119" s="74" t="str">
        <f t="array" aca="1" ref="X119" ca="1">IF($R119&lt;&gt;"",
INDIRECT(""&amp;IF(COLUMN(I178)&lt;=26,CHAR(COLUMN(I178)+64),CHAR(INT((COLUMN(I178)-1)/26)+64)&amp;CHAR(MOD(COLUMN(I178)-1,26)+65))&amp;$R119&amp;""),"")</f>
        <v/>
      </c>
      <c r="Y119" s="74" t="str">
        <f t="array" aca="1" ref="Y119" ca="1">IF($R119&lt;&gt;"",
INDIRECT(""&amp;IF(COLUMN(J178)&lt;=26,CHAR(COLUMN(J178)+64),CHAR(INT((COLUMN(J178)-1)/26)+64)&amp;CHAR(MOD(COLUMN(J178)-1,26)+65))&amp;$R119&amp;""),"")</f>
        <v/>
      </c>
      <c r="Z119" s="74" t="str">
        <f t="array" aca="1" ref="Z119" ca="1">IF($R119&lt;&gt;"",
INDIRECT(""&amp;IF(COLUMN(K178)&lt;=26,CHAR(COLUMN(K178)+64),CHAR(INT((COLUMN(K178)-1)/26)+64)&amp;CHAR(MOD(COLUMN(K178)-1,26)+65))&amp;$R119&amp;""),"")</f>
        <v/>
      </c>
      <c r="AA119" s="74" t="str">
        <f t="array" aca="1" ref="AA119" ca="1">IF($R119&lt;&gt;"",
INDIRECT(""&amp;IF(COLUMN(L178)&lt;=26,CHAR(COLUMN(L178)+64),CHAR(INT((COLUMN(L178)-1)/26)+64)&amp;CHAR(MOD(COLUMN(L178)-1,26)+65))&amp;$R119&amp;""),"")</f>
        <v/>
      </c>
      <c r="AB119" s="74" t="str">
        <f t="array" aca="1" ref="AB119" ca="1">IF($R119&lt;&gt;"",
INDIRECT(""&amp;IF(COLUMN(O178)&lt;=26,CHAR(COLUMN(O178)+64),CHAR(INT((COLUMN(O178)-1)/26)+64)&amp;CHAR(MOD(COLUMN(O178)-1,26)+65))&amp;$R119&amp;""),"")</f>
        <v/>
      </c>
    </row>
    <row r="120" spans="2:28" ht="22.2" customHeight="1"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 t="str">
        <f t="array" ref="R120">IFERROR(SMALL(IF(P$1:P$228&lt;&gt;0,P$1:P$228),ROW(#REF!)),"")</f>
        <v/>
      </c>
      <c r="S120" s="74" t="str">
        <f t="array" aca="1" ref="S120" ca="1">IF($R120&lt;&gt;"",
INDIRECT(""&amp;IF(COLUMN(C179)&lt;=26,CHAR(COLUMN(C179)+64),CHAR(INT((COLUMN(C179)-1)/26)+64)&amp;CHAR(MOD(COLUMN(C179)-1,26)+65))&amp;$R120&amp;""),"")</f>
        <v/>
      </c>
      <c r="T120" s="74" t="str">
        <f t="array" aca="1" ref="T120" ca="1">IF($R120&lt;&gt;"",
INDIRECT(""&amp;IF(COLUMN(D179)&lt;=26,CHAR(COLUMN(D179)+64),CHAR(INT((COLUMN(D179)-1)/26)+64)&amp;CHAR(MOD(COLUMN(D179)-1,26)+65))&amp;$R120&amp;""),"")</f>
        <v/>
      </c>
      <c r="U120" s="74" t="str">
        <f t="array" aca="1" ref="U120" ca="1">IF($R120&lt;&gt;"",
INDIRECT(""&amp;IF(COLUMN(E179)&lt;=26,CHAR(COLUMN(E179)+64),CHAR(INT((COLUMN(E179)-1)/26)+64)&amp;CHAR(MOD(COLUMN(E179)-1,26)+65))&amp;$R120&amp;""),"")</f>
        <v/>
      </c>
      <c r="V120" s="74" t="str">
        <f t="array" aca="1" ref="V120" ca="1">IF($R120&lt;&gt;"",
IF(U120="",
IF(INDIRECT("EY"&amp;$R120&amp;"")&lt;&gt;"",
INDIRECT("EY"&amp;$R120&amp;"")&amp;"箱"
&amp;INDIRECT("EZ"&amp;$R120&amp;""),""),""),"")</f>
        <v/>
      </c>
      <c r="W120" s="74" t="str">
        <f t="array" aca="1" ref="W120" ca="1">IF($R120&lt;&gt;"",
INDIRECT(""&amp;IF(COLUMN(H179)&lt;=26,CHAR(COLUMN(H179)+64),CHAR(INT((COLUMN(H179)-1)/26)+64)&amp;CHAR(MOD(COLUMN(H179)-1,26)+65))&amp;$R120&amp;""),"")</f>
        <v/>
      </c>
      <c r="X120" s="74" t="str">
        <f t="array" aca="1" ref="X120" ca="1">IF($R120&lt;&gt;"",
INDIRECT(""&amp;IF(COLUMN(I179)&lt;=26,CHAR(COLUMN(I179)+64),CHAR(INT((COLUMN(I179)-1)/26)+64)&amp;CHAR(MOD(COLUMN(I179)-1,26)+65))&amp;$R120&amp;""),"")</f>
        <v/>
      </c>
      <c r="Y120" s="74" t="str">
        <f t="array" aca="1" ref="Y120" ca="1">IF($R120&lt;&gt;"",
INDIRECT(""&amp;IF(COLUMN(J179)&lt;=26,CHAR(COLUMN(J179)+64),CHAR(INT((COLUMN(J179)-1)/26)+64)&amp;CHAR(MOD(COLUMN(J179)-1,26)+65))&amp;$R120&amp;""),"")</f>
        <v/>
      </c>
      <c r="Z120" s="74" t="str">
        <f t="array" aca="1" ref="Z120" ca="1">IF($R120&lt;&gt;"",
INDIRECT(""&amp;IF(COLUMN(K179)&lt;=26,CHAR(COLUMN(K179)+64),CHAR(INT((COLUMN(K179)-1)/26)+64)&amp;CHAR(MOD(COLUMN(K179)-1,26)+65))&amp;$R120&amp;""),"")</f>
        <v/>
      </c>
      <c r="AA120" s="74" t="str">
        <f t="array" aca="1" ref="AA120" ca="1">IF($R120&lt;&gt;"",
INDIRECT(""&amp;IF(COLUMN(L179)&lt;=26,CHAR(COLUMN(L179)+64),CHAR(INT((COLUMN(L179)-1)/26)+64)&amp;CHAR(MOD(COLUMN(L179)-1,26)+65))&amp;$R120&amp;""),"")</f>
        <v/>
      </c>
      <c r="AB120" s="74" t="str">
        <f t="array" aca="1" ref="AB120" ca="1">IF($R120&lt;&gt;"",
INDIRECT(""&amp;IF(COLUMN(O179)&lt;=26,CHAR(COLUMN(O179)+64),CHAR(INT((COLUMN(O179)-1)/26)+64)&amp;CHAR(MOD(COLUMN(O179)-1,26)+65))&amp;$R120&amp;""),"")</f>
        <v/>
      </c>
    </row>
    <row r="121" spans="2:28" ht="22.2" customHeight="1"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8" t="str">
        <f t="array" ref="R121">IFERROR(SMALL(IF(P$1:P$228&lt;&gt;0,P$1:P$228),ROW(#REF!)),"")</f>
        <v/>
      </c>
      <c r="S121" s="77" t="str">
        <f t="array" aca="1" ref="S121" ca="1">IF($R121&lt;&gt;"",
INDIRECT(""&amp;IF(COLUMN(C181)&lt;=26,CHAR(COLUMN(C181)+64),CHAR(INT((COLUMN(C181)-1)/26)+64)&amp;CHAR(MOD(COLUMN(C181)-1,26)+65))&amp;$R121&amp;""),"")</f>
        <v/>
      </c>
      <c r="V121" s="74"/>
      <c r="W121" s="78" t="str">
        <f t="array" aca="1" ref="W121" ca="1">IF($R121&lt;&gt;"",
INDIRECT(""&amp;IF(COLUMN(H181)&lt;=26,CHAR(COLUMN(H181)+64),CHAR(INT((COLUMN(H181)-1)/26)+64)&amp;CHAR(MOD(COLUMN(H181)-1,26)+65))&amp;$R121&amp;""),"")</f>
        <v/>
      </c>
    </row>
    <row r="122" spans="2:28" ht="22.2" customHeight="1"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V122" s="74"/>
    </row>
    <row r="123" spans="2:28" ht="22.2" customHeight="1"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V123" s="74"/>
    </row>
    <row r="124" spans="2:28" ht="22.2" customHeight="1"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V124" s="74"/>
    </row>
    <row r="125" spans="2:28" ht="22.2" customHeight="1"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</row>
    <row r="126" spans="2:28" ht="27.6" customHeight="1"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</row>
    <row r="127" spans="2:28" ht="22.2" customHeight="1"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</row>
    <row r="128" spans="2:28" ht="22.2" customHeight="1"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</row>
    <row r="129" spans="2:17" ht="22.2" customHeight="1"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</row>
    <row r="130" spans="2:17" ht="22.2" customHeight="1"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</row>
    <row r="131" spans="2:17" ht="22.2" customHeight="1"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</row>
    <row r="132" spans="2:17" ht="22.2" customHeight="1"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</row>
    <row r="133" spans="2:17" ht="22.2" customHeight="1"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</row>
    <row r="134" spans="2:17" ht="22.2" customHeight="1"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</row>
    <row r="135" spans="2:17" ht="22.2" customHeight="1"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</row>
    <row r="136" spans="2:17" ht="22.2" customHeight="1"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</row>
    <row r="137" spans="2:17" ht="22.2" customHeight="1"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</row>
    <row r="138" spans="2:17" ht="22.2" customHeight="1"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</row>
    <row r="139" spans="2:17" ht="22.2" customHeight="1"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</row>
    <row r="140" spans="2:17" ht="22.2" customHeight="1"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</row>
    <row r="141" spans="2:17" ht="22.2" customHeight="1"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</row>
    <row r="142" spans="2:17" ht="22.2" customHeight="1"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</row>
    <row r="143" spans="2:17" ht="22.2" customHeight="1"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</row>
    <row r="144" spans="2:17" ht="22.2" customHeight="1"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</row>
    <row r="145" spans="2:17" ht="22.2" customHeight="1">
      <c r="B145" s="74"/>
      <c r="C145" s="74"/>
      <c r="D145" s="74"/>
      <c r="E145" s="74"/>
      <c r="F145" s="221"/>
      <c r="G145" s="221"/>
      <c r="H145" s="74"/>
      <c r="I145" s="74"/>
      <c r="J145" s="74"/>
      <c r="K145" s="74"/>
      <c r="L145" s="74"/>
      <c r="M145" s="74"/>
      <c r="N145" s="74"/>
      <c r="O145" s="74"/>
      <c r="P145" s="74"/>
      <c r="Q145" s="74"/>
    </row>
    <row r="146" spans="2:17" ht="22.2" customHeight="1"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</row>
    <row r="147" spans="2:17" ht="22.2" customHeight="1"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</row>
    <row r="148" spans="2:17" ht="22.2" customHeight="1">
      <c r="B148" s="74"/>
      <c r="C148" s="74"/>
      <c r="D148" s="74"/>
      <c r="E148" s="74"/>
      <c r="F148" s="221"/>
      <c r="G148" s="221"/>
      <c r="H148" s="74"/>
      <c r="I148" s="74"/>
      <c r="J148" s="74"/>
      <c r="K148" s="74"/>
      <c r="L148" s="74"/>
      <c r="M148" s="74"/>
      <c r="N148" s="74"/>
      <c r="O148" s="74"/>
      <c r="P148" s="74"/>
      <c r="Q148" s="74"/>
    </row>
    <row r="149" spans="2:17" ht="22.2" customHeight="1"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</row>
    <row r="150" spans="2:17" ht="22.2" customHeight="1"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</row>
    <row r="151" spans="2:17" ht="22.2" customHeight="1"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</row>
    <row r="152" spans="2:17" ht="22.2" customHeight="1"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</row>
    <row r="153" spans="2:17" ht="22.2" customHeight="1"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</row>
    <row r="154" spans="2:17" ht="22.2" customHeight="1"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</row>
    <row r="155" spans="2:17" ht="22.2" customHeight="1"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</row>
    <row r="156" spans="2:17" ht="22.2" customHeight="1"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</row>
    <row r="157" spans="2:17" ht="22.2" customHeight="1"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</row>
    <row r="158" spans="2:17" ht="22.2" customHeight="1"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</row>
    <row r="159" spans="2:17" ht="22.2" customHeight="1"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</row>
    <row r="160" spans="2:17" ht="22.2" customHeight="1"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</row>
    <row r="161" spans="2:17" ht="22.2" customHeight="1"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</row>
    <row r="162" spans="2:17" ht="22.2" customHeight="1"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</row>
    <row r="163" spans="2:17" ht="22.2" customHeight="1"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</row>
    <row r="164" spans="2:17" ht="22.2" customHeight="1"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</row>
    <row r="165" spans="2:17" ht="22.2" customHeight="1"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</row>
    <row r="166" spans="2:17" ht="22.2" customHeight="1"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</row>
    <row r="167" spans="2:17" ht="22.2" customHeight="1"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</row>
    <row r="168" spans="2:17" ht="22.2" customHeight="1"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</row>
    <row r="169" spans="2:17" ht="22.2" customHeight="1"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</row>
    <row r="170" spans="2:17" ht="22.2" customHeight="1"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</row>
    <row r="171" spans="2:17" ht="22.2" customHeight="1"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</row>
    <row r="172" spans="2:17" ht="22.2" customHeight="1"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</row>
    <row r="173" spans="2:17" ht="22.2" customHeight="1"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</row>
    <row r="174" spans="2:17" ht="22.2" customHeight="1"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</row>
    <row r="175" spans="2:17" ht="22.2" customHeight="1"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</row>
    <row r="176" spans="2:17" ht="22.2" customHeight="1"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</row>
    <row r="177" spans="2:17" ht="22.2" customHeight="1"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</row>
    <row r="178" spans="2:17" ht="22.2" customHeight="1"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</row>
    <row r="179" spans="2:17" ht="22.2" customHeight="1"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</row>
    <row r="180" spans="2:17" ht="22.2" customHeight="1"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</row>
    <row r="181" spans="2:17">
      <c r="B181" s="79"/>
      <c r="C181" s="80" t="str">
        <f>社食等の札!A3</f>
        <v>ニシム</v>
      </c>
      <c r="D181" s="80"/>
      <c r="E181" s="80"/>
      <c r="F181" s="80"/>
      <c r="G181" s="80"/>
      <c r="H181" s="79" t="e">
        <f ca="1">社食等の札!E3</f>
        <v>#N/A</v>
      </c>
      <c r="I181" s="79"/>
      <c r="J181" s="79"/>
      <c r="K181" s="79"/>
      <c r="L181" s="79"/>
      <c r="M181" s="79"/>
      <c r="N181" s="79"/>
      <c r="O181" s="79"/>
      <c r="P181" s="79">
        <f>ROW()</f>
        <v>181</v>
      </c>
      <c r="Q181" s="79" t="b">
        <v>1</v>
      </c>
    </row>
    <row r="182" spans="2:17">
      <c r="B182" s="79"/>
      <c r="C182" s="80" t="str">
        <f>社食等の札!A4</f>
        <v>新日本製薬</v>
      </c>
      <c r="D182" s="80"/>
      <c r="E182" s="80"/>
      <c r="F182" s="80"/>
      <c r="G182" s="80"/>
      <c r="H182" s="79" t="e">
        <f ca="1">社食等の札!E4</f>
        <v>#N/A</v>
      </c>
      <c r="I182" s="79"/>
      <c r="J182" s="79"/>
      <c r="K182" s="79"/>
      <c r="L182" s="79"/>
      <c r="M182" s="79"/>
      <c r="N182" s="79"/>
      <c r="O182" s="79"/>
      <c r="P182" s="79">
        <f>ROW()</f>
        <v>182</v>
      </c>
      <c r="Q182" s="79" t="b">
        <v>1</v>
      </c>
    </row>
    <row r="183" spans="2:17">
      <c r="B183" s="79"/>
      <c r="C183" s="80" t="str">
        <f>社食等の札!A5</f>
        <v>配送</v>
      </c>
      <c r="D183" s="80"/>
      <c r="E183" s="80"/>
      <c r="F183" s="80"/>
      <c r="G183" s="80"/>
      <c r="H183" s="79">
        <f>社食等の札!E5</f>
        <v>2</v>
      </c>
      <c r="I183" s="79"/>
      <c r="J183" s="79"/>
      <c r="K183" s="79"/>
      <c r="L183" s="79"/>
      <c r="M183" s="79"/>
      <c r="N183" s="79"/>
      <c r="O183" s="79"/>
      <c r="P183" s="79">
        <f>ROW()</f>
        <v>183</v>
      </c>
      <c r="Q183" s="79" t="b">
        <v>1</v>
      </c>
    </row>
    <row r="184" spans="2:17">
      <c r="B184" s="79"/>
      <c r="C184" s="80" t="str">
        <f>社食等の札!A6</f>
        <v>先生用</v>
      </c>
      <c r="D184" s="80"/>
      <c r="E184" s="80" t="str">
        <f>社食等の札!B6</f>
        <v/>
      </c>
      <c r="F184" s="79" t="e">
        <f ca="1">社食等の札!C6</f>
        <v>#N/A</v>
      </c>
      <c r="G184" s="79" t="e">
        <f ca="1">社食等の札!D6</f>
        <v>#N/A</v>
      </c>
      <c r="H184" s="79" t="e">
        <f ca="1">社食等の札!E6</f>
        <v>#N/A</v>
      </c>
      <c r="I184" s="79"/>
      <c r="J184" s="79">
        <f>社食等の札!G6</f>
        <v>12</v>
      </c>
      <c r="K184" s="79">
        <f>社食等の札!H6</f>
        <v>30</v>
      </c>
      <c r="L184" s="79"/>
      <c r="M184" s="79"/>
      <c r="N184" s="79"/>
      <c r="O184" s="79"/>
      <c r="P184" s="79">
        <f>ROW()</f>
        <v>184</v>
      </c>
      <c r="Q184" s="79" t="b">
        <v>1</v>
      </c>
    </row>
    <row r="185" spans="2:17">
      <c r="B185" s="82">
        <v>2</v>
      </c>
      <c r="C185" s="83" t="str">
        <f t="array" aca="1" ref="C185" ca="1">IF(INDIRECT("まとめ札!A"&amp;B185&amp;"")&lt;&gt;0,INDIRECT("まとめ札!A"&amp;B185&amp;"")&amp;"【1】","")</f>
        <v>キャラ弁当 飯あり【1】</v>
      </c>
      <c r="D185" s="83"/>
      <c r="E185" s="83" t="str">
        <f>""</f>
        <v/>
      </c>
      <c r="F185" s="83" t="str">
        <f ca="1">IF(C185&lt;&gt;"",
IF(IF(COUNTIF(C185,"*キャラ*"),
VLOOKUP("*キャラ*",商品マスタ一覧!$D:$J,7,FALSE),
IF(COUNTIF(C185,"*赤*"),
VLOOKUP("*赤*",商品マスタ一覧!$D:$J,7,FALSE),
VLOOKUP(C185,商品マスタ一覧!$D:$J,7,FALSE)))=0,"",
IF(H185&lt;&gt;"",
IF(ROUND(
H185/IF(COUNTIF(C185,"*キャラ*"),
VLOOKUP("*キャラ*",商品マスタ一覧!$D:$J,7,FALSE),
IF(COUNTIF(C185,"*赤*"),
VLOOKUP("*赤*",商品マスタ一覧!$D:$J,7,FALSE),
VLOOKUP(C185,商品マスタ一覧!$D:$J,7,FALSE))),0)&lt;=0,1,
ROUND(
H185/IF(COUNTIF(C185,"*キャラ*"),
VLOOKUP("*キャラ*",商品マスタ一覧!$D:$J,7,FALSE),
IF(COUNTIF(C185,"*赤*"),
VLOOKUP("*赤*",商品マスタ一覧!$D:$J,7,FALSE),
VLOOKUP(C185,商品マスタ一覧!$D:$J,7,FALSE))),0)),"")),"")</f>
        <v/>
      </c>
      <c r="G185" s="84" t="str">
        <f ca="1">IF(F185&lt;&gt;"",IF(VALUE(H185)&gt;VALUE(IF(COUNTIF(C185,"*キャラ*"),
VLOOKUP("*キャラ*",商品マスタ一覧!$D:$J,7,FALSE),
IF(COUNTIF(C185,"*赤*"),
VLOOKUP("*赤*",商品マスタ一覧!$D:$J,7,FALSE),
VLOOKUP(C185,商品マスタ一覧!$D:$J,7,FALSE)))*F185),
"+"&amp;H185-IF(COUNTIF(C185,"*キャラ*"),
VLOOKUP("*キャラ*",商品マスタ一覧!$D:$J,7,FALSE),
IF(COUNTIF(C185,"*赤*"),
VLOOKUP("*赤*",商品マスタ一覧!$D:$J,7,FALSE),
VLOOKUP(C185,商品マスタ一覧!$D:$J,7,FALSE)))*F185,
H185-IF(COUNTIF(C185,"*キャラ*"),
VLOOKUP("*キャラ*",商品マスタ一覧!$D:$J,7,FALSE),
IF(COUNTIF(C185,"*赤*"),
VLOOKUP("*赤*",商品マスタ一覧!$D:$J,7,FALSE),
VLOOKUP(C185,商品マスタ一覧!$D:$J,7,FALSE)))*F185),"")</f>
        <v/>
      </c>
      <c r="H185" s="82" t="str">
        <f t="array" aca="1" ref="H185" ca="1">IF(INDIRECT("まとめ札!F"&amp;B185&amp;"")&lt;&gt;0,INDIRECT("まとめ札!F"&amp;B185&amp;""),"")</f>
        <v/>
      </c>
      <c r="I185" s="82"/>
      <c r="J185" s="82">
        <f ca="1">IF(C185&lt;&gt;"",
IF(OR(COUNTIF(C185,"*キャラ*"),COUNTIF(C185,"*赤*")),24,
VLOOKUP(C185,商品マスタ一覧!$D:$I,6,FALSE)),"")</f>
        <v>24</v>
      </c>
      <c r="K185" s="82" t="str">
        <f t="shared" ref="K185:K216" ca="1" si="0">IF(H185&lt;&gt;"",
IFERROR(INT(H185/J185),""),"")</f>
        <v/>
      </c>
      <c r="L185" s="82" t="str">
        <f t="shared" ref="L185:L216" ca="1" si="1">IFERROR(MOD(H185,K185),"")</f>
        <v/>
      </c>
      <c r="M185" s="82"/>
      <c r="N185" s="82"/>
      <c r="O185" s="82"/>
      <c r="P185" s="82" t="str">
        <f t="shared" ref="P185:P228" ca="1" si="2">IF(Q185&lt;&gt;"",ROW(),"")</f>
        <v/>
      </c>
      <c r="Q185" s="82" t="str">
        <f t="shared" ref="Q185:Q216" ca="1" si="3">IF(H185&lt;&gt;"","TRUE","")</f>
        <v/>
      </c>
    </row>
    <row r="186" spans="2:17">
      <c r="B186" s="82"/>
      <c r="C186" s="83" t="str">
        <f t="array" aca="1" ref="C186" ca="1">IF(OR(INDIRECT("まとめ札!G"&amp;B185&amp;"")="",INDIRECT("まとめ札!G"&amp;B185&amp;"")=0),"",INDIRECT("まとめ札!A"&amp;B185&amp;"")&amp;"【2】")</f>
        <v/>
      </c>
      <c r="D186" s="83"/>
      <c r="E186" s="83" t="str">
        <f>""</f>
        <v/>
      </c>
      <c r="F186" s="83" t="str">
        <f ca="1">IF(C186&lt;&gt;"",
IF(IF(COUNTIF(C186,"*キャラ*"),
VLOOKUP("*キャラ*",商品マスタ一覧!$D:$J,7,FALSE),
IF(COUNTIF(C186,"*赤*"),
VLOOKUP("*赤*",商品マスタ一覧!$D:$J,7,FALSE),
VLOOKUP(C186,商品マスタ一覧!$D:$J,7,FALSE)))=0,"",
IF(H186&lt;&gt;"",
IF(ROUND(
H186/IF(COUNTIF(C186,"*キャラ*"),
VLOOKUP("*キャラ*",商品マスタ一覧!$D:$J,7,FALSE),
IF(COUNTIF(C186,"*赤*"),
VLOOKUP("*赤*",商品マスタ一覧!$D:$J,7,FALSE),
VLOOKUP(C186,商品マスタ一覧!$D:$J,7,FALSE))),0)&lt;=0,1,
ROUND(
H186/IF(COUNTIF(C186,"*キャラ*"),
VLOOKUP("*キャラ*",商品マスタ一覧!$D:$J,7,FALSE),
IF(COUNTIF(C186,"*赤*"),
VLOOKUP("*赤*",商品マスタ一覧!$D:$J,7,FALSE),
VLOOKUP(C186,商品マスタ一覧!$D:$J,7,FALSE))),0)),"")),"")</f>
        <v/>
      </c>
      <c r="G186" s="84" t="str">
        <f ca="1">IF(F186&lt;&gt;"",IF(VALUE(H186)&gt;VALUE(IF(COUNTIF(C186,"*キャラ*"),
VLOOKUP("*キャラ*",商品マスタ一覧!$D:$J,7,FALSE),
IF(COUNTIF(C186,"*赤*"),
VLOOKUP("*赤*",商品マスタ一覧!$D:$J,7,FALSE),
VLOOKUP(C186,商品マスタ一覧!$D:$J,7,FALSE)))*F186),
"+"&amp;H186-IF(COUNTIF(C186,"*キャラ*"),
VLOOKUP("*キャラ*",商品マスタ一覧!$D:$J,7,FALSE),
IF(COUNTIF(C186,"*赤*"),
VLOOKUP("*赤*",商品マスタ一覧!$D:$J,7,FALSE),
VLOOKUP(C186,商品マスタ一覧!$D:$J,7,FALSE)))*F186,
H186-IF(COUNTIF(C186,"*キャラ*"),
VLOOKUP("*キャラ*",商品マスタ一覧!$D:$J,7,FALSE),
IF(COUNTIF(C186,"*赤*"),
VLOOKUP("*赤*",商品マスタ一覧!$D:$J,7,FALSE),
VLOOKUP(C186,商品マスタ一覧!$D:$J,7,FALSE)))*F186),"")</f>
        <v/>
      </c>
      <c r="H186" s="82" t="str">
        <f t="array" aca="1" ref="H186" ca="1">IF(OR(INDIRECT("まとめ札!G"&amp;B185&amp;"")="",INDIRECT("まとめ札!G"&amp;B185&amp;"")=0),"",INDIRECT("まとめ札!G"&amp;B185&amp;""))</f>
        <v/>
      </c>
      <c r="I186" s="82"/>
      <c r="J186" s="82" t="str">
        <f ca="1">IF(C186&lt;&gt;"",
IF(OR(COUNTIF(C186,"*キャラ*"),COUNTIF(C186,"*赤*")),24,
VLOOKUP(C186,商品マスタ一覧!$D:$I,6,FALSE)),"")</f>
        <v/>
      </c>
      <c r="K186" s="82" t="str">
        <f t="shared" ca="1" si="0"/>
        <v/>
      </c>
      <c r="L186" s="82" t="str">
        <f t="shared" ca="1" si="1"/>
        <v/>
      </c>
      <c r="M186" s="82"/>
      <c r="N186" s="82"/>
      <c r="O186" s="82"/>
      <c r="P186" s="82" t="str">
        <f t="shared" ca="1" si="2"/>
        <v/>
      </c>
      <c r="Q186" s="82" t="str">
        <f t="shared" ca="1" si="3"/>
        <v/>
      </c>
    </row>
    <row r="187" spans="2:17">
      <c r="B187" s="82"/>
      <c r="C187" s="83" t="str">
        <f t="array" aca="1" ref="C187" ca="1">IF(OR(INDIRECT("まとめ札!H"&amp;B185&amp;"")="",INDIRECT("まとめ札!H"&amp;B185&amp;"")=0),"",INDIRECT("まとめ札!A"&amp;B185&amp;"")&amp;"【3】")</f>
        <v/>
      </c>
      <c r="D187" s="83"/>
      <c r="E187" s="83" t="str">
        <f>""</f>
        <v/>
      </c>
      <c r="F187" s="83" t="str">
        <f ca="1">IF(C187&lt;&gt;"",
IF(IF(COUNTIF(C187,"*キャラ*"),
VLOOKUP("*キャラ*",商品マスタ一覧!$D:$J,7,FALSE),
IF(COUNTIF(C187,"*赤*"),
VLOOKUP("*赤*",商品マスタ一覧!$D:$J,7,FALSE),
VLOOKUP(C187,商品マスタ一覧!$D:$J,7,FALSE)))=0,"",
IF(H187&lt;&gt;"",
IF(ROUND(
H187/IF(COUNTIF(C187,"*キャラ*"),
VLOOKUP("*キャラ*",商品マスタ一覧!$D:$J,7,FALSE),
IF(COUNTIF(C187,"*赤*"),
VLOOKUP("*赤*",商品マスタ一覧!$D:$J,7,FALSE),
VLOOKUP(C187,商品マスタ一覧!$D:$J,7,FALSE))),0)&lt;=0,1,
ROUND(
H187/IF(COUNTIF(C187,"*キャラ*"),
VLOOKUP("*キャラ*",商品マスタ一覧!$D:$J,7,FALSE),
IF(COUNTIF(C187,"*赤*"),
VLOOKUP("*赤*",商品マスタ一覧!$D:$J,7,FALSE),
VLOOKUP(C187,商品マスタ一覧!$D:$J,7,FALSE))),0)),"")),"")</f>
        <v/>
      </c>
      <c r="G187" s="84" t="str">
        <f ca="1">IF(F187&lt;&gt;"",IF(VALUE(H187)&gt;VALUE(IF(COUNTIF(C187,"*キャラ*"),
VLOOKUP("*キャラ*",商品マスタ一覧!$D:$J,7,FALSE),
IF(COUNTIF(C187,"*赤*"),
VLOOKUP("*赤*",商品マスタ一覧!$D:$J,7,FALSE),
VLOOKUP(C187,商品マスタ一覧!$D:$J,7,FALSE)))*F187),
"+"&amp;H187-IF(COUNTIF(C187,"*キャラ*"),
VLOOKUP("*キャラ*",商品マスタ一覧!$D:$J,7,FALSE),
IF(COUNTIF(C187,"*赤*"),
VLOOKUP("*赤*",商品マスタ一覧!$D:$J,7,FALSE),
VLOOKUP(C187,商品マスタ一覧!$D:$J,7,FALSE)))*F187,
H187-IF(COUNTIF(C187,"*キャラ*"),
VLOOKUP("*キャラ*",商品マスタ一覧!$D:$J,7,FALSE),
IF(COUNTIF(C187,"*赤*"),
VLOOKUP("*赤*",商品マスタ一覧!$D:$J,7,FALSE),
VLOOKUP(C187,商品マスタ一覧!$D:$J,7,FALSE)))*F187),"")</f>
        <v/>
      </c>
      <c r="H187" s="82" t="str">
        <f t="array" aca="1" ref="H187" ca="1">IF(OR(INDIRECT("まとめ札!H"&amp;B185&amp;"")="",INDIRECT("まとめ札!H"&amp;B185&amp;"")=0),"",INDIRECT("まとめ札!H"&amp;B185&amp;""))</f>
        <v/>
      </c>
      <c r="I187" s="82"/>
      <c r="J187" s="82" t="str">
        <f ca="1">IF(C187&lt;&gt;"",
IF(OR(COUNTIF(C187,"*キャラ*"),COUNTIF(C187,"*赤*")),24,
VLOOKUP(C187,商品マスタ一覧!$D:$I,6,FALSE)),"")</f>
        <v/>
      </c>
      <c r="K187" s="82" t="str">
        <f t="shared" ca="1" si="0"/>
        <v/>
      </c>
      <c r="L187" s="82" t="str">
        <f t="shared" ca="1" si="1"/>
        <v/>
      </c>
      <c r="M187" s="82"/>
      <c r="N187" s="82"/>
      <c r="O187" s="82"/>
      <c r="P187" s="82" t="str">
        <f t="shared" ca="1" si="2"/>
        <v/>
      </c>
      <c r="Q187" s="82" t="str">
        <f t="shared" ca="1" si="3"/>
        <v/>
      </c>
    </row>
    <row r="188" spans="2:17">
      <c r="B188" s="82"/>
      <c r="C188" s="83" t="str">
        <f t="array" aca="1" ref="C188" ca="1">IF(OR(INDIRECT("まとめ札!I"&amp;B185&amp;"")="",INDIRECT("まとめ札!I"&amp;B185&amp;"")=0),"",INDIRECT("まとめ札!A"&amp;B185&amp;"")&amp;"【4】")</f>
        <v/>
      </c>
      <c r="D188" s="83"/>
      <c r="E188" s="83" t="str">
        <f>""</f>
        <v/>
      </c>
      <c r="F188" s="83" t="str">
        <f ca="1">IF(C188&lt;&gt;"",
IF(IF(COUNTIF(C188,"*キャラ*"),
VLOOKUP("*キャラ*",商品マスタ一覧!$D:$J,7,FALSE),
IF(COUNTIF(C188,"*赤*"),
VLOOKUP("*赤*",商品マスタ一覧!$D:$J,7,FALSE),
VLOOKUP(C188,商品マスタ一覧!$D:$J,7,FALSE)))=0,"",
IF(H188&lt;&gt;"",
IF(ROUND(
H188/IF(COUNTIF(C188,"*キャラ*"),
VLOOKUP("*キャラ*",商品マスタ一覧!$D:$J,7,FALSE),
IF(COUNTIF(C188,"*赤*"),
VLOOKUP("*赤*",商品マスタ一覧!$D:$J,7,FALSE),
VLOOKUP(C188,商品マスタ一覧!$D:$J,7,FALSE))),0)&lt;=0,1,
ROUND(
H188/IF(COUNTIF(C188,"*キャラ*"),
VLOOKUP("*キャラ*",商品マスタ一覧!$D:$J,7,FALSE),
IF(COUNTIF(C188,"*赤*"),
VLOOKUP("*赤*",商品マスタ一覧!$D:$J,7,FALSE),
VLOOKUP(C188,商品マスタ一覧!$D:$J,7,FALSE))),0)),"")),"")</f>
        <v/>
      </c>
      <c r="G188" s="84" t="str">
        <f ca="1">IF(F188&lt;&gt;"",IF(VALUE(H188)&gt;VALUE(IF(COUNTIF(C188,"*キャラ*"),
VLOOKUP("*キャラ*",商品マスタ一覧!$D:$J,7,FALSE),
IF(COUNTIF(C188,"*赤*"),
VLOOKUP("*赤*",商品マスタ一覧!$D:$J,7,FALSE),
VLOOKUP(C188,商品マスタ一覧!$D:$J,7,FALSE)))*F188),
"+"&amp;H188-IF(COUNTIF(C188,"*キャラ*"),
VLOOKUP("*キャラ*",商品マスタ一覧!$D:$J,7,FALSE),
IF(COUNTIF(C188,"*赤*"),
VLOOKUP("*赤*",商品マスタ一覧!$D:$J,7,FALSE),
VLOOKUP(C188,商品マスタ一覧!$D:$J,7,FALSE)))*F188,
H188-IF(COUNTIF(C188,"*キャラ*"),
VLOOKUP("*キャラ*",商品マスタ一覧!$D:$J,7,FALSE),
IF(COUNTIF(C188,"*赤*"),
VLOOKUP("*赤*",商品マスタ一覧!$D:$J,7,FALSE),
VLOOKUP(C188,商品マスタ一覧!$D:$J,7,FALSE)))*F188),"")</f>
        <v/>
      </c>
      <c r="H188" s="82" t="str">
        <f t="array" aca="1" ref="H188" ca="1">IF(OR(INDIRECT("まとめ札!I"&amp;B185&amp;"")="",INDIRECT("まとめ札!I"&amp;B185&amp;"")=0),"",INDIRECT("まとめ札!I"&amp;B185&amp;""))</f>
        <v/>
      </c>
      <c r="I188" s="82"/>
      <c r="J188" s="82" t="str">
        <f ca="1">IF(C188&lt;&gt;"",
IF(OR(COUNTIF(C188,"*キャラ*"),COUNTIF(C188,"*赤*")),24,
VLOOKUP(C188,商品マスタ一覧!$D:$I,6,FALSE)),"")</f>
        <v/>
      </c>
      <c r="K188" s="82" t="str">
        <f t="shared" ca="1" si="0"/>
        <v/>
      </c>
      <c r="L188" s="82" t="str">
        <f t="shared" ca="1" si="1"/>
        <v/>
      </c>
      <c r="M188" s="82"/>
      <c r="N188" s="82"/>
      <c r="O188" s="82"/>
      <c r="P188" s="82" t="str">
        <f t="shared" ca="1" si="2"/>
        <v/>
      </c>
      <c r="Q188" s="82" t="str">
        <f t="shared" ca="1" si="3"/>
        <v/>
      </c>
    </row>
    <row r="189" spans="2:17">
      <c r="B189" s="82">
        <v>3</v>
      </c>
      <c r="C189" s="83" t="str">
        <f t="array" aca="1" ref="C189" ca="1">IF(INDIRECT("まとめ札!A"&amp;B189&amp;"")&lt;&gt;0,INDIRECT("まとめ札!A"&amp;B189&amp;"")&amp;"【1】","")</f>
        <v>キャラ弁当 おにぎり【1】</v>
      </c>
      <c r="D189" s="83"/>
      <c r="E189" s="83" t="str">
        <f>""</f>
        <v/>
      </c>
      <c r="F189" s="83" t="str">
        <f ca="1">IF(C189&lt;&gt;"",
IF(IF(COUNTIF(C189,"*キャラ*"),
VLOOKUP("*キャラ*",商品マスタ一覧!$D:$J,7,FALSE),
IF(COUNTIF(C189,"*赤*"),
VLOOKUP("*赤*",商品マスタ一覧!$D:$J,7,FALSE),
VLOOKUP(C189,商品マスタ一覧!$D:$J,7,FALSE)))=0,"",
IF(H189&lt;&gt;"",
IF(ROUND(
H189/IF(COUNTIF(C189,"*キャラ*"),
VLOOKUP("*キャラ*",商品マスタ一覧!$D:$J,7,FALSE),
IF(COUNTIF(C189,"*赤*"),
VLOOKUP("*赤*",商品マスタ一覧!$D:$J,7,FALSE),
VLOOKUP(C189,商品マスタ一覧!$D:$J,7,FALSE))),0)&lt;=0,1,
ROUND(
H189/IF(COUNTIF(C189,"*キャラ*"),
VLOOKUP("*キャラ*",商品マスタ一覧!$D:$J,7,FALSE),
IF(COUNTIF(C189,"*赤*"),
VLOOKUP("*赤*",商品マスタ一覧!$D:$J,7,FALSE),
VLOOKUP(C189,商品マスタ一覧!$D:$J,7,FALSE))),0)),"")),"")</f>
        <v/>
      </c>
      <c r="G189" s="84" t="str">
        <f ca="1">IF(F189&lt;&gt;"",IF(VALUE(H189)&gt;VALUE(IF(COUNTIF(C189,"*キャラ*"),
VLOOKUP("*キャラ*",商品マスタ一覧!$D:$J,7,FALSE),
IF(COUNTIF(C189,"*赤*"),
VLOOKUP("*赤*",商品マスタ一覧!$D:$J,7,FALSE),
VLOOKUP(C189,商品マスタ一覧!$D:$J,7,FALSE)))*F189),
"+"&amp;H189-IF(COUNTIF(C189,"*キャラ*"),
VLOOKUP("*キャラ*",商品マスタ一覧!$D:$J,7,FALSE),
IF(COUNTIF(C189,"*赤*"),
VLOOKUP("*赤*",商品マスタ一覧!$D:$J,7,FALSE),
VLOOKUP(C189,商品マスタ一覧!$D:$J,7,FALSE)))*F189,
H189-IF(COUNTIF(C189,"*キャラ*"),
VLOOKUP("*キャラ*",商品マスタ一覧!$D:$J,7,FALSE),
IF(COUNTIF(C189,"*赤*"),
VLOOKUP("*赤*",商品マスタ一覧!$D:$J,7,FALSE),
VLOOKUP(C189,商品マスタ一覧!$D:$J,7,FALSE)))*F189),"")</f>
        <v/>
      </c>
      <c r="H189" s="82" t="str">
        <f t="array" aca="1" ref="H189" ca="1">IF(INDIRECT("まとめ札!F"&amp;B189&amp;"")&lt;&gt;0,INDIRECT("まとめ札!F"&amp;B189&amp;""),"")</f>
        <v/>
      </c>
      <c r="I189" s="82"/>
      <c r="J189" s="82">
        <f ca="1">IF(C189&lt;&gt;"",
IF(OR(COUNTIF(C189,"*キャラ*"),COUNTIF(C189,"*赤*")),24,
VLOOKUP(C189,商品マスタ一覧!$D:$I,6,FALSE)),"")</f>
        <v>24</v>
      </c>
      <c r="K189" s="82" t="str">
        <f t="shared" ca="1" si="0"/>
        <v/>
      </c>
      <c r="L189" s="82" t="str">
        <f t="shared" ca="1" si="1"/>
        <v/>
      </c>
      <c r="M189" s="82"/>
      <c r="N189" s="82"/>
      <c r="O189" s="82"/>
      <c r="P189" s="82" t="str">
        <f t="shared" ca="1" si="2"/>
        <v/>
      </c>
      <c r="Q189" s="82" t="str">
        <f t="shared" ca="1" si="3"/>
        <v/>
      </c>
    </row>
    <row r="190" spans="2:17">
      <c r="B190" s="82"/>
      <c r="C190" s="83" t="str">
        <f t="array" aca="1" ref="C190" ca="1">IF(OR(INDIRECT("まとめ札!G"&amp;B189&amp;"")="",INDIRECT("まとめ札!G"&amp;B189&amp;"")=0),"",INDIRECT("まとめ札!A"&amp;B189&amp;"")&amp;"【2】")</f>
        <v/>
      </c>
      <c r="D190" s="83"/>
      <c r="E190" s="83" t="str">
        <f>""</f>
        <v/>
      </c>
      <c r="F190" s="83" t="str">
        <f ca="1">IF(C190&lt;&gt;"",
IF(IF(COUNTIF(C190,"*キャラ*"),
VLOOKUP("*キャラ*",商品マスタ一覧!$D:$J,7,FALSE),
IF(COUNTIF(C190,"*赤*"),
VLOOKUP("*赤*",商品マスタ一覧!$D:$J,7,FALSE),
VLOOKUP(C190,商品マスタ一覧!$D:$J,7,FALSE)))=0,"",
IF(H190&lt;&gt;"",
IF(ROUND(
H190/IF(COUNTIF(C190,"*キャラ*"),
VLOOKUP("*キャラ*",商品マスタ一覧!$D:$J,7,FALSE),
IF(COUNTIF(C190,"*赤*"),
VLOOKUP("*赤*",商品マスタ一覧!$D:$J,7,FALSE),
VLOOKUP(C190,商品マスタ一覧!$D:$J,7,FALSE))),0)&lt;=0,1,
ROUND(
H190/IF(COUNTIF(C190,"*キャラ*"),
VLOOKUP("*キャラ*",商品マスタ一覧!$D:$J,7,FALSE),
IF(COUNTIF(C190,"*赤*"),
VLOOKUP("*赤*",商品マスタ一覧!$D:$J,7,FALSE),
VLOOKUP(C190,商品マスタ一覧!$D:$J,7,FALSE))),0)),"")),"")</f>
        <v/>
      </c>
      <c r="G190" s="84" t="str">
        <f ca="1">IF(F190&lt;&gt;"",IF(VALUE(H190)&gt;VALUE(IF(COUNTIF(C190,"*キャラ*"),
VLOOKUP("*キャラ*",商品マスタ一覧!$D:$J,7,FALSE),
IF(COUNTIF(C190,"*赤*"),
VLOOKUP("*赤*",商品マスタ一覧!$D:$J,7,FALSE),
VLOOKUP(C190,商品マスタ一覧!$D:$J,7,FALSE)))*F190),
"+"&amp;H190-IF(COUNTIF(C190,"*キャラ*"),
VLOOKUP("*キャラ*",商品マスタ一覧!$D:$J,7,FALSE),
IF(COUNTIF(C190,"*赤*"),
VLOOKUP("*赤*",商品マスタ一覧!$D:$J,7,FALSE),
VLOOKUP(C190,商品マスタ一覧!$D:$J,7,FALSE)))*F190,
H190-IF(COUNTIF(C190,"*キャラ*"),
VLOOKUP("*キャラ*",商品マスタ一覧!$D:$J,7,FALSE),
IF(COUNTIF(C190,"*赤*"),
VLOOKUP("*赤*",商品マスタ一覧!$D:$J,7,FALSE),
VLOOKUP(C190,商品マスタ一覧!$D:$J,7,FALSE)))*F190),"")</f>
        <v/>
      </c>
      <c r="H190" s="82" t="str">
        <f t="array" aca="1" ref="H190" ca="1">IF(OR(INDIRECT("まとめ札!G"&amp;B189&amp;"")="",INDIRECT("まとめ札!G"&amp;B189&amp;"")=0),"",INDIRECT("まとめ札!G"&amp;B189&amp;""))</f>
        <v/>
      </c>
      <c r="I190" s="82"/>
      <c r="J190" s="82" t="str">
        <f ca="1">IF(C190&lt;&gt;"",
IF(OR(COUNTIF(C190,"*キャラ*"),COUNTIF(C190,"*赤*")),24,
VLOOKUP(C190,商品マスタ一覧!$D:$I,6,FALSE)),"")</f>
        <v/>
      </c>
      <c r="K190" s="82" t="str">
        <f t="shared" ca="1" si="0"/>
        <v/>
      </c>
      <c r="L190" s="82" t="str">
        <f t="shared" ca="1" si="1"/>
        <v/>
      </c>
      <c r="M190" s="82"/>
      <c r="N190" s="82"/>
      <c r="O190" s="82"/>
      <c r="P190" s="82" t="str">
        <f t="shared" ca="1" si="2"/>
        <v/>
      </c>
      <c r="Q190" s="82" t="str">
        <f t="shared" ca="1" si="3"/>
        <v/>
      </c>
    </row>
    <row r="191" spans="2:17">
      <c r="B191" s="82"/>
      <c r="C191" s="83" t="str">
        <f t="array" aca="1" ref="C191" ca="1">IF(OR(INDIRECT("まとめ札!H"&amp;B189&amp;"")="",INDIRECT("まとめ札!H"&amp;B189&amp;"")=0),"",INDIRECT("まとめ札!A"&amp;B189&amp;"")&amp;"【3】")</f>
        <v/>
      </c>
      <c r="D191" s="83"/>
      <c r="E191" s="83" t="str">
        <f>""</f>
        <v/>
      </c>
      <c r="F191" s="83" t="str">
        <f ca="1">IF(C191&lt;&gt;"",
IF(IF(COUNTIF(C191,"*キャラ*"),
VLOOKUP("*キャラ*",商品マスタ一覧!$D:$J,7,FALSE),
IF(COUNTIF(C191,"*赤*"),
VLOOKUP("*赤*",商品マスタ一覧!$D:$J,7,FALSE),
VLOOKUP(C191,商品マスタ一覧!$D:$J,7,FALSE)))=0,"",
IF(H191&lt;&gt;"",
IF(ROUND(
H191/IF(COUNTIF(C191,"*キャラ*"),
VLOOKUP("*キャラ*",商品マスタ一覧!$D:$J,7,FALSE),
IF(COUNTIF(C191,"*赤*"),
VLOOKUP("*赤*",商品マスタ一覧!$D:$J,7,FALSE),
VLOOKUP(C191,商品マスタ一覧!$D:$J,7,FALSE))),0)&lt;=0,1,
ROUND(
H191/IF(COUNTIF(C191,"*キャラ*"),
VLOOKUP("*キャラ*",商品マスタ一覧!$D:$J,7,FALSE),
IF(COUNTIF(C191,"*赤*"),
VLOOKUP("*赤*",商品マスタ一覧!$D:$J,7,FALSE),
VLOOKUP(C191,商品マスタ一覧!$D:$J,7,FALSE))),0)),"")),"")</f>
        <v/>
      </c>
      <c r="G191" s="84" t="str">
        <f ca="1">IF(F191&lt;&gt;"",IF(VALUE(H191)&gt;VALUE(IF(COUNTIF(C191,"*キャラ*"),
VLOOKUP("*キャラ*",商品マスタ一覧!$D:$J,7,FALSE),
IF(COUNTIF(C191,"*赤*"),
VLOOKUP("*赤*",商品マスタ一覧!$D:$J,7,FALSE),
VLOOKUP(C191,商品マスタ一覧!$D:$J,7,FALSE)))*F191),
"+"&amp;H191-IF(COUNTIF(C191,"*キャラ*"),
VLOOKUP("*キャラ*",商品マスタ一覧!$D:$J,7,FALSE),
IF(COUNTIF(C191,"*赤*"),
VLOOKUP("*赤*",商品マスタ一覧!$D:$J,7,FALSE),
VLOOKUP(C191,商品マスタ一覧!$D:$J,7,FALSE)))*F191,
H191-IF(COUNTIF(C191,"*キャラ*"),
VLOOKUP("*キャラ*",商品マスタ一覧!$D:$J,7,FALSE),
IF(COUNTIF(C191,"*赤*"),
VLOOKUP("*赤*",商品マスタ一覧!$D:$J,7,FALSE),
VLOOKUP(C191,商品マスタ一覧!$D:$J,7,FALSE)))*F191),"")</f>
        <v/>
      </c>
      <c r="H191" s="82" t="str">
        <f t="array" aca="1" ref="H191" ca="1">IF(OR(INDIRECT("まとめ札!H"&amp;B189&amp;"")="",INDIRECT("まとめ札!H"&amp;B189&amp;"")=0),"",INDIRECT("まとめ札!H"&amp;B189&amp;""))</f>
        <v/>
      </c>
      <c r="I191" s="82"/>
      <c r="J191" s="82" t="str">
        <f ca="1">IF(C191&lt;&gt;"",
IF(OR(COUNTIF(C191,"*キャラ*"),COUNTIF(C191,"*赤*")),24,
VLOOKUP(C191,商品マスタ一覧!$D:$I,6,FALSE)),"")</f>
        <v/>
      </c>
      <c r="K191" s="82" t="str">
        <f t="shared" ca="1" si="0"/>
        <v/>
      </c>
      <c r="L191" s="82" t="str">
        <f t="shared" ca="1" si="1"/>
        <v/>
      </c>
      <c r="M191" s="82"/>
      <c r="N191" s="82"/>
      <c r="O191" s="82"/>
      <c r="P191" s="82" t="str">
        <f t="shared" ca="1" si="2"/>
        <v/>
      </c>
      <c r="Q191" s="82" t="str">
        <f t="shared" ca="1" si="3"/>
        <v/>
      </c>
    </row>
    <row r="192" spans="2:17">
      <c r="B192" s="82"/>
      <c r="C192" s="83" t="str">
        <f t="array" aca="1" ref="C192" ca="1">IF(OR(INDIRECT("まとめ札!I"&amp;B189&amp;"")="",INDIRECT("まとめ札!I"&amp;B189&amp;"")=0),"",INDIRECT("まとめ札!A"&amp;B189&amp;"")&amp;"【4】")</f>
        <v/>
      </c>
      <c r="D192" s="83"/>
      <c r="E192" s="83" t="str">
        <f>""</f>
        <v/>
      </c>
      <c r="F192" s="83" t="str">
        <f ca="1">IF(C192&lt;&gt;"",
IF(IF(COUNTIF(C192,"*キャラ*"),
VLOOKUP("*キャラ*",商品マスタ一覧!$D:$J,7,FALSE),
IF(COUNTIF(C192,"*赤*"),
VLOOKUP("*赤*",商品マスタ一覧!$D:$J,7,FALSE),
VLOOKUP(C192,商品マスタ一覧!$D:$J,7,FALSE)))=0,"",
IF(H192&lt;&gt;"",
IF(ROUND(
H192/IF(COUNTIF(C192,"*キャラ*"),
VLOOKUP("*キャラ*",商品マスタ一覧!$D:$J,7,FALSE),
IF(COUNTIF(C192,"*赤*"),
VLOOKUP("*赤*",商品マスタ一覧!$D:$J,7,FALSE),
VLOOKUP(C192,商品マスタ一覧!$D:$J,7,FALSE))),0)&lt;=0,1,
ROUND(
H192/IF(COUNTIF(C192,"*キャラ*"),
VLOOKUP("*キャラ*",商品マスタ一覧!$D:$J,7,FALSE),
IF(COUNTIF(C192,"*赤*"),
VLOOKUP("*赤*",商品マスタ一覧!$D:$J,7,FALSE),
VLOOKUP(C192,商品マスタ一覧!$D:$J,7,FALSE))),0)),"")),"")</f>
        <v/>
      </c>
      <c r="G192" s="84" t="str">
        <f ca="1">IF(F192&lt;&gt;"",IF(VALUE(H192)&gt;VALUE(IF(COUNTIF(C192,"*キャラ*"),
VLOOKUP("*キャラ*",商品マスタ一覧!$D:$J,7,FALSE),
IF(COUNTIF(C192,"*赤*"),
VLOOKUP("*赤*",商品マスタ一覧!$D:$J,7,FALSE),
VLOOKUP(C192,商品マスタ一覧!$D:$J,7,FALSE)))*F192),
"+"&amp;H192-IF(COUNTIF(C192,"*キャラ*"),
VLOOKUP("*キャラ*",商品マスタ一覧!$D:$J,7,FALSE),
IF(COUNTIF(C192,"*赤*"),
VLOOKUP("*赤*",商品マスタ一覧!$D:$J,7,FALSE),
VLOOKUP(C192,商品マスタ一覧!$D:$J,7,FALSE)))*F192,
H192-IF(COUNTIF(C192,"*キャラ*"),
VLOOKUP("*キャラ*",商品マスタ一覧!$D:$J,7,FALSE),
IF(COUNTIF(C192,"*赤*"),
VLOOKUP("*赤*",商品マスタ一覧!$D:$J,7,FALSE),
VLOOKUP(C192,商品マスタ一覧!$D:$J,7,FALSE)))*F192),"")</f>
        <v/>
      </c>
      <c r="H192" s="82" t="str">
        <f t="array" aca="1" ref="H192" ca="1">IF(OR(INDIRECT("まとめ札!I"&amp;B189&amp;"")="",INDIRECT("まとめ札!I"&amp;B189&amp;"")=0),"",INDIRECT("まとめ札!I"&amp;B189&amp;""))</f>
        <v/>
      </c>
      <c r="I192" s="82"/>
      <c r="J192" s="82" t="str">
        <f ca="1">IF(C192&lt;&gt;"",
IF(OR(COUNTIF(C192,"*キャラ*"),COUNTIF(C192,"*赤*")),24,
VLOOKUP(C192,商品マスタ一覧!$D:$I,6,FALSE)),"")</f>
        <v/>
      </c>
      <c r="K192" s="82" t="str">
        <f t="shared" ca="1" si="0"/>
        <v/>
      </c>
      <c r="L192" s="82" t="str">
        <f t="shared" ca="1" si="1"/>
        <v/>
      </c>
      <c r="M192" s="82"/>
      <c r="N192" s="82"/>
      <c r="O192" s="82"/>
      <c r="P192" s="82" t="str">
        <f t="shared" ca="1" si="2"/>
        <v/>
      </c>
      <c r="Q192" s="82" t="str">
        <f t="shared" ca="1" si="3"/>
        <v/>
      </c>
    </row>
    <row r="193" spans="2:17">
      <c r="B193" s="82">
        <v>4</v>
      </c>
      <c r="C193" s="83" t="str">
        <f t="array" aca="1" ref="C193" ca="1">IF(INDIRECT("まとめ札!A"&amp;B193&amp;"")&lt;&gt;0,INDIRECT("まとめ札!A"&amp;B193&amp;"")&amp;"【1】","")</f>
        <v>キャラ弁当 飯なし【1】</v>
      </c>
      <c r="D193" s="83"/>
      <c r="E193" s="83" t="str">
        <f>""</f>
        <v/>
      </c>
      <c r="F193" s="83" t="str">
        <f ca="1">IF(C193&lt;&gt;"",
IF(IF(COUNTIF(C193,"*キャラ*"),
VLOOKUP("*キャラ*",商品マスタ一覧!$D:$J,7,FALSE),
IF(COUNTIF(C193,"*赤*"),
VLOOKUP("*赤*",商品マスタ一覧!$D:$J,7,FALSE),
VLOOKUP(C193,商品マスタ一覧!$D:$J,7,FALSE)))=0,"",
IF(H193&lt;&gt;"",
IF(ROUND(
H193/IF(COUNTIF(C193,"*キャラ*"),
VLOOKUP("*キャラ*",商品マスタ一覧!$D:$J,7,FALSE),
IF(COUNTIF(C193,"*赤*"),
VLOOKUP("*赤*",商品マスタ一覧!$D:$J,7,FALSE),
VLOOKUP(C193,商品マスタ一覧!$D:$J,7,FALSE))),0)&lt;=0,1,
ROUND(
H193/IF(COUNTIF(C193,"*キャラ*"),
VLOOKUP("*キャラ*",商品マスタ一覧!$D:$J,7,FALSE),
IF(COUNTIF(C193,"*赤*"),
VLOOKUP("*赤*",商品マスタ一覧!$D:$J,7,FALSE),
VLOOKUP(C193,商品マスタ一覧!$D:$J,7,FALSE))),0)),"")),"")</f>
        <v/>
      </c>
      <c r="G193" s="84" t="str">
        <f ca="1">IF(F193&lt;&gt;"",IF(VALUE(H193)&gt;VALUE(IF(COUNTIF(C193,"*キャラ*"),
VLOOKUP("*キャラ*",商品マスタ一覧!$D:$J,7,FALSE),
IF(COUNTIF(C193,"*赤*"),
VLOOKUP("*赤*",商品マスタ一覧!$D:$J,7,FALSE),
VLOOKUP(C193,商品マスタ一覧!$D:$J,7,FALSE)))*F193),
"+"&amp;H193-IF(COUNTIF(C193,"*キャラ*"),
VLOOKUP("*キャラ*",商品マスタ一覧!$D:$J,7,FALSE),
IF(COUNTIF(C193,"*赤*"),
VLOOKUP("*赤*",商品マスタ一覧!$D:$J,7,FALSE),
VLOOKUP(C193,商品マスタ一覧!$D:$J,7,FALSE)))*F193,
H193-IF(COUNTIF(C193,"*キャラ*"),
VLOOKUP("*キャラ*",商品マスタ一覧!$D:$J,7,FALSE),
IF(COUNTIF(C193,"*赤*"),
VLOOKUP("*赤*",商品マスタ一覧!$D:$J,7,FALSE),
VLOOKUP(C193,商品マスタ一覧!$D:$J,7,FALSE)))*F193),"")</f>
        <v/>
      </c>
      <c r="H193" s="82" t="str">
        <f t="array" aca="1" ref="H193" ca="1">IF(INDIRECT("まとめ札!F"&amp;B193&amp;"")&lt;&gt;0,INDIRECT("まとめ札!F"&amp;B193&amp;""),"")</f>
        <v/>
      </c>
      <c r="I193" s="82"/>
      <c r="J193" s="82">
        <f ca="1">IF(C193&lt;&gt;"",
IF(OR(COUNTIF(C193,"*キャラ*"),COUNTIF(C193,"*赤*")),24,
VLOOKUP(C193,商品マスタ一覧!$D:$I,6,FALSE)),"")</f>
        <v>24</v>
      </c>
      <c r="K193" s="82" t="str">
        <f t="shared" ca="1" si="0"/>
        <v/>
      </c>
      <c r="L193" s="82" t="str">
        <f t="shared" ca="1" si="1"/>
        <v/>
      </c>
      <c r="M193" s="82"/>
      <c r="N193" s="82"/>
      <c r="O193" s="82"/>
      <c r="P193" s="82" t="str">
        <f t="shared" ca="1" si="2"/>
        <v/>
      </c>
      <c r="Q193" s="82" t="str">
        <f t="shared" ca="1" si="3"/>
        <v/>
      </c>
    </row>
    <row r="194" spans="2:17">
      <c r="B194" s="82"/>
      <c r="C194" s="83" t="str">
        <f t="array" aca="1" ref="C194" ca="1">IF(OR(INDIRECT("まとめ札!G"&amp;B193&amp;"")="",INDIRECT("まとめ札!G"&amp;B193&amp;"")=0),"",INDIRECT("まとめ札!A"&amp;B193&amp;"")&amp;"【2】")</f>
        <v/>
      </c>
      <c r="D194" s="83"/>
      <c r="E194" s="83" t="str">
        <f>""</f>
        <v/>
      </c>
      <c r="F194" s="83" t="str">
        <f ca="1">IF(C194&lt;&gt;"",
IF(IF(COUNTIF(C194,"*キャラ*"),
VLOOKUP("*キャラ*",商品マスタ一覧!$D:$J,7,FALSE),
IF(COUNTIF(C194,"*赤*"),
VLOOKUP("*赤*",商品マスタ一覧!$D:$J,7,FALSE),
VLOOKUP(C194,商品マスタ一覧!$D:$J,7,FALSE)))=0,"",
IF(H194&lt;&gt;"",
IF(ROUND(
H194/IF(COUNTIF(C194,"*キャラ*"),
VLOOKUP("*キャラ*",商品マスタ一覧!$D:$J,7,FALSE),
IF(COUNTIF(C194,"*赤*"),
VLOOKUP("*赤*",商品マスタ一覧!$D:$J,7,FALSE),
VLOOKUP(C194,商品マスタ一覧!$D:$J,7,FALSE))),0)&lt;=0,1,
ROUND(
H194/IF(COUNTIF(C194,"*キャラ*"),
VLOOKUP("*キャラ*",商品マスタ一覧!$D:$J,7,FALSE),
IF(COUNTIF(C194,"*赤*"),
VLOOKUP("*赤*",商品マスタ一覧!$D:$J,7,FALSE),
VLOOKUP(C194,商品マスタ一覧!$D:$J,7,FALSE))),0)),"")),"")</f>
        <v/>
      </c>
      <c r="G194" s="84" t="str">
        <f ca="1">IF(F194&lt;&gt;"",IF(VALUE(H194)&gt;VALUE(IF(COUNTIF(C194,"*キャラ*"),
VLOOKUP("*キャラ*",商品マスタ一覧!$D:$J,7,FALSE),
IF(COUNTIF(C194,"*赤*"),
VLOOKUP("*赤*",商品マスタ一覧!$D:$J,7,FALSE),
VLOOKUP(C194,商品マスタ一覧!$D:$J,7,FALSE)))*F194),
"+"&amp;H194-IF(COUNTIF(C194,"*キャラ*"),
VLOOKUP("*キャラ*",商品マスタ一覧!$D:$J,7,FALSE),
IF(COUNTIF(C194,"*赤*"),
VLOOKUP("*赤*",商品マスタ一覧!$D:$J,7,FALSE),
VLOOKUP(C194,商品マスタ一覧!$D:$J,7,FALSE)))*F194,
H194-IF(COUNTIF(C194,"*キャラ*"),
VLOOKUP("*キャラ*",商品マスタ一覧!$D:$J,7,FALSE),
IF(COUNTIF(C194,"*赤*"),
VLOOKUP("*赤*",商品マスタ一覧!$D:$J,7,FALSE),
VLOOKUP(C194,商品マスタ一覧!$D:$J,7,FALSE)))*F194),"")</f>
        <v/>
      </c>
      <c r="H194" s="82" t="str">
        <f t="array" aca="1" ref="H194" ca="1">IF(OR(INDIRECT("まとめ札!G"&amp;B193&amp;"")="",INDIRECT("まとめ札!G"&amp;B193&amp;"")=0),"",INDIRECT("まとめ札!G"&amp;B193&amp;""))</f>
        <v/>
      </c>
      <c r="I194" s="82"/>
      <c r="J194" s="82" t="str">
        <f ca="1">IF(C194&lt;&gt;"",
IF(OR(COUNTIF(C194,"*キャラ*"),COUNTIF(C194,"*赤*")),24,
VLOOKUP(C194,商品マスタ一覧!$D:$I,6,FALSE)),"")</f>
        <v/>
      </c>
      <c r="K194" s="82" t="str">
        <f t="shared" ca="1" si="0"/>
        <v/>
      </c>
      <c r="L194" s="82" t="str">
        <f t="shared" ca="1" si="1"/>
        <v/>
      </c>
      <c r="M194" s="82"/>
      <c r="N194" s="82"/>
      <c r="O194" s="82"/>
      <c r="P194" s="82" t="str">
        <f t="shared" ca="1" si="2"/>
        <v/>
      </c>
      <c r="Q194" s="82" t="str">
        <f t="shared" ca="1" si="3"/>
        <v/>
      </c>
    </row>
    <row r="195" spans="2:17">
      <c r="B195" s="82"/>
      <c r="C195" s="83" t="str">
        <f t="array" aca="1" ref="C195" ca="1">IF(OR(INDIRECT("まとめ札!H"&amp;B193&amp;"")="",INDIRECT("まとめ札!H"&amp;B193&amp;"")=0),"",INDIRECT("まとめ札!A"&amp;B193&amp;"")&amp;"【3】")</f>
        <v/>
      </c>
      <c r="D195" s="83"/>
      <c r="E195" s="83" t="str">
        <f>""</f>
        <v/>
      </c>
      <c r="F195" s="83" t="str">
        <f ca="1">IF(C195&lt;&gt;"",
IF(IF(COUNTIF(C195,"*キャラ*"),
VLOOKUP("*キャラ*",商品マスタ一覧!$D:$J,7,FALSE),
IF(COUNTIF(C195,"*赤*"),
VLOOKUP("*赤*",商品マスタ一覧!$D:$J,7,FALSE),
VLOOKUP(C195,商品マスタ一覧!$D:$J,7,FALSE)))=0,"",
IF(H195&lt;&gt;"",
IF(ROUND(
H195/IF(COUNTIF(C195,"*キャラ*"),
VLOOKUP("*キャラ*",商品マスタ一覧!$D:$J,7,FALSE),
IF(COUNTIF(C195,"*赤*"),
VLOOKUP("*赤*",商品マスタ一覧!$D:$J,7,FALSE),
VLOOKUP(C195,商品マスタ一覧!$D:$J,7,FALSE))),0)&lt;=0,1,
ROUND(
H195/IF(COUNTIF(C195,"*キャラ*"),
VLOOKUP("*キャラ*",商品マスタ一覧!$D:$J,7,FALSE),
IF(COUNTIF(C195,"*赤*"),
VLOOKUP("*赤*",商品マスタ一覧!$D:$J,7,FALSE),
VLOOKUP(C195,商品マスタ一覧!$D:$J,7,FALSE))),0)),"")),"")</f>
        <v/>
      </c>
      <c r="G195" s="84" t="str">
        <f ca="1">IF(F195&lt;&gt;"",IF(VALUE(H195)&gt;VALUE(IF(COUNTIF(C195,"*キャラ*"),
VLOOKUP("*キャラ*",商品マスタ一覧!$D:$J,7,FALSE),
IF(COUNTIF(C195,"*赤*"),
VLOOKUP("*赤*",商品マスタ一覧!$D:$J,7,FALSE),
VLOOKUP(C195,商品マスタ一覧!$D:$J,7,FALSE)))*F195),
"+"&amp;H195-IF(COUNTIF(C195,"*キャラ*"),
VLOOKUP("*キャラ*",商品マスタ一覧!$D:$J,7,FALSE),
IF(COUNTIF(C195,"*赤*"),
VLOOKUP("*赤*",商品マスタ一覧!$D:$J,7,FALSE),
VLOOKUP(C195,商品マスタ一覧!$D:$J,7,FALSE)))*F195,
H195-IF(COUNTIF(C195,"*キャラ*"),
VLOOKUP("*キャラ*",商品マスタ一覧!$D:$J,7,FALSE),
IF(COUNTIF(C195,"*赤*"),
VLOOKUP("*赤*",商品マスタ一覧!$D:$J,7,FALSE),
VLOOKUP(C195,商品マスタ一覧!$D:$J,7,FALSE)))*F195),"")</f>
        <v/>
      </c>
      <c r="H195" s="82" t="str">
        <f t="array" aca="1" ref="H195" ca="1">IF(OR(INDIRECT("まとめ札!H"&amp;B193&amp;"")="",INDIRECT("まとめ札!H"&amp;B193&amp;"")=0),"",INDIRECT("まとめ札!H"&amp;B193&amp;""))</f>
        <v/>
      </c>
      <c r="I195" s="82"/>
      <c r="J195" s="82" t="str">
        <f ca="1">IF(C195&lt;&gt;"",
IF(OR(COUNTIF(C195,"*キャラ*"),COUNTIF(C195,"*赤*")),24,
VLOOKUP(C195,商品マスタ一覧!$D:$I,6,FALSE)),"")</f>
        <v/>
      </c>
      <c r="K195" s="82" t="str">
        <f t="shared" ca="1" si="0"/>
        <v/>
      </c>
      <c r="L195" s="82" t="str">
        <f t="shared" ca="1" si="1"/>
        <v/>
      </c>
      <c r="M195" s="82"/>
      <c r="N195" s="82"/>
      <c r="O195" s="82"/>
      <c r="P195" s="82" t="str">
        <f t="shared" ca="1" si="2"/>
        <v/>
      </c>
      <c r="Q195" s="82" t="str">
        <f t="shared" ca="1" si="3"/>
        <v/>
      </c>
    </row>
    <row r="196" spans="2:17">
      <c r="B196" s="82"/>
      <c r="C196" s="83" t="str">
        <f t="array" aca="1" ref="C196" ca="1">IF(OR(INDIRECT("まとめ札!I"&amp;B193&amp;"")="",INDIRECT("まとめ札!I"&amp;B193&amp;"")=0),"",INDIRECT("まとめ札!A"&amp;B193&amp;"")&amp;"【4】")</f>
        <v/>
      </c>
      <c r="D196" s="83"/>
      <c r="E196" s="83" t="str">
        <f>""</f>
        <v/>
      </c>
      <c r="F196" s="83" t="str">
        <f ca="1">IF(C196&lt;&gt;"",
IF(IF(COUNTIF(C196,"*キャラ*"),
VLOOKUP("*キャラ*",商品マスタ一覧!$D:$J,7,FALSE),
IF(COUNTIF(C196,"*赤*"),
VLOOKUP("*赤*",商品マスタ一覧!$D:$J,7,FALSE),
VLOOKUP(C196,商品マスタ一覧!$D:$J,7,FALSE)))=0,"",
IF(H196&lt;&gt;"",
IF(ROUND(
H196/IF(COUNTIF(C196,"*キャラ*"),
VLOOKUP("*キャラ*",商品マスタ一覧!$D:$J,7,FALSE),
IF(COUNTIF(C196,"*赤*"),
VLOOKUP("*赤*",商品マスタ一覧!$D:$J,7,FALSE),
VLOOKUP(C196,商品マスタ一覧!$D:$J,7,FALSE))),0)&lt;=0,1,
ROUND(
H196/IF(COUNTIF(C196,"*キャラ*"),
VLOOKUP("*キャラ*",商品マスタ一覧!$D:$J,7,FALSE),
IF(COUNTIF(C196,"*赤*"),
VLOOKUP("*赤*",商品マスタ一覧!$D:$J,7,FALSE),
VLOOKUP(C196,商品マスタ一覧!$D:$J,7,FALSE))),0)),"")),"")</f>
        <v/>
      </c>
      <c r="G196" s="84" t="str">
        <f ca="1">IF(F196&lt;&gt;"",IF(VALUE(H196)&gt;VALUE(IF(COUNTIF(C196,"*キャラ*"),
VLOOKUP("*キャラ*",商品マスタ一覧!$D:$J,7,FALSE),
IF(COUNTIF(C196,"*赤*"),
VLOOKUP("*赤*",商品マスタ一覧!$D:$J,7,FALSE),
VLOOKUP(C196,商品マスタ一覧!$D:$J,7,FALSE)))*F196),
"+"&amp;H196-IF(COUNTIF(C196,"*キャラ*"),
VLOOKUP("*キャラ*",商品マスタ一覧!$D:$J,7,FALSE),
IF(COUNTIF(C196,"*赤*"),
VLOOKUP("*赤*",商品マスタ一覧!$D:$J,7,FALSE),
VLOOKUP(C196,商品マスタ一覧!$D:$J,7,FALSE)))*F196,
H196-IF(COUNTIF(C196,"*キャラ*"),
VLOOKUP("*キャラ*",商品マスタ一覧!$D:$J,7,FALSE),
IF(COUNTIF(C196,"*赤*"),
VLOOKUP("*赤*",商品マスタ一覧!$D:$J,7,FALSE),
VLOOKUP(C196,商品マスタ一覧!$D:$J,7,FALSE)))*F196),"")</f>
        <v/>
      </c>
      <c r="H196" s="82" t="str">
        <f t="array" aca="1" ref="H196" ca="1">IF(OR(INDIRECT("まとめ札!I"&amp;B193&amp;"")="",INDIRECT("まとめ札!I"&amp;B193&amp;"")=0),"",INDIRECT("まとめ札!I"&amp;B193&amp;""))</f>
        <v/>
      </c>
      <c r="I196" s="82"/>
      <c r="J196" s="82" t="str">
        <f ca="1">IF(C196&lt;&gt;"",
IF(OR(COUNTIF(C196,"*キャラ*"),COUNTIF(C196,"*赤*")),24,
VLOOKUP(C196,商品マスタ一覧!$D:$I,6,FALSE)),"")</f>
        <v/>
      </c>
      <c r="K196" s="82" t="str">
        <f t="shared" ca="1" si="0"/>
        <v/>
      </c>
      <c r="L196" s="82" t="str">
        <f t="shared" ca="1" si="1"/>
        <v/>
      </c>
      <c r="M196" s="82"/>
      <c r="N196" s="82"/>
      <c r="O196" s="82"/>
      <c r="P196" s="82" t="str">
        <f t="shared" ca="1" si="2"/>
        <v/>
      </c>
      <c r="Q196" s="82" t="str">
        <f t="shared" ca="1" si="3"/>
        <v/>
      </c>
    </row>
    <row r="197" spans="2:17">
      <c r="B197" s="82">
        <v>5</v>
      </c>
      <c r="C197" s="83" t="str">
        <f t="array" aca="1" ref="C197" ca="1">IF(INDIRECT("まとめ札!A"&amp;B197&amp;"")&lt;&gt;0,INDIRECT("まとめ札!A"&amp;B197&amp;"")&amp;"【1】","")</f>
        <v>赤 飯あり【1】</v>
      </c>
      <c r="D197" s="83"/>
      <c r="E197" s="83" t="str">
        <f>""</f>
        <v/>
      </c>
      <c r="F197" s="83" t="str">
        <f ca="1">IF(C197&lt;&gt;"",
IF(IF(COUNTIF(C197,"*キャラ*"),
VLOOKUP("*キャラ*",商品マスタ一覧!$D:$J,7,FALSE),
IF(COUNTIF(C197,"*赤*"),
VLOOKUP("*赤*",商品マスタ一覧!$D:$J,7,FALSE),
VLOOKUP(C197,商品マスタ一覧!$D:$J,7,FALSE)))=0,"",
IF(H197&lt;&gt;"",
IF(ROUND(
H197/IF(COUNTIF(C197,"*キャラ*"),
VLOOKUP("*キャラ*",商品マスタ一覧!$D:$J,7,FALSE),
IF(COUNTIF(C197,"*赤*"),
VLOOKUP("*赤*",商品マスタ一覧!$D:$J,7,FALSE),
VLOOKUP(C197,商品マスタ一覧!$D:$J,7,FALSE))),0)&lt;=0,1,
ROUND(
H197/IF(COUNTIF(C197,"*キャラ*"),
VLOOKUP("*キャラ*",商品マスタ一覧!$D:$J,7,FALSE),
IF(COUNTIF(C197,"*赤*"),
VLOOKUP("*赤*",商品マスタ一覧!$D:$J,7,FALSE),
VLOOKUP(C197,商品マスタ一覧!$D:$J,7,FALSE))),0)),"")),"")</f>
        <v/>
      </c>
      <c r="G197" s="84" t="str">
        <f ca="1">IF(F197&lt;&gt;"",IF(VALUE(H197)&gt;VALUE(IF(COUNTIF(C197,"*キャラ*"),
VLOOKUP("*キャラ*",商品マスタ一覧!$D:$J,7,FALSE),
IF(COUNTIF(C197,"*赤*"),
VLOOKUP("*赤*",商品マスタ一覧!$D:$J,7,FALSE),
VLOOKUP(C197,商品マスタ一覧!$D:$J,7,FALSE)))*F197),
"+"&amp;H197-IF(COUNTIF(C197,"*キャラ*"),
VLOOKUP("*キャラ*",商品マスタ一覧!$D:$J,7,FALSE),
IF(COUNTIF(C197,"*赤*"),
VLOOKUP("*赤*",商品マスタ一覧!$D:$J,7,FALSE),
VLOOKUP(C197,商品マスタ一覧!$D:$J,7,FALSE)))*F197,
H197-IF(COUNTIF(C197,"*キャラ*"),
VLOOKUP("*キャラ*",商品マスタ一覧!$D:$J,7,FALSE),
IF(COUNTIF(C197,"*赤*"),
VLOOKUP("*赤*",商品マスタ一覧!$D:$J,7,FALSE),
VLOOKUP(C197,商品マスタ一覧!$D:$J,7,FALSE)))*F197),"")</f>
        <v/>
      </c>
      <c r="H197" s="82" t="str">
        <f t="array" aca="1" ref="H197" ca="1">IF(INDIRECT("まとめ札!F"&amp;B197&amp;"")&lt;&gt;0,INDIRECT("まとめ札!F"&amp;B197&amp;""),"")</f>
        <v/>
      </c>
      <c r="I197" s="82"/>
      <c r="J197" s="82">
        <f ca="1">IF(C197&lt;&gt;"",
IF(OR(COUNTIF(C197,"*キャラ*"),COUNTIF(C197,"*赤*")),24,
VLOOKUP(C197,商品マスタ一覧!$D:$I,6,FALSE)),"")</f>
        <v>24</v>
      </c>
      <c r="K197" s="82" t="str">
        <f t="shared" ca="1" si="0"/>
        <v/>
      </c>
      <c r="L197" s="82" t="str">
        <f t="shared" ca="1" si="1"/>
        <v/>
      </c>
      <c r="M197" s="82"/>
      <c r="N197" s="82"/>
      <c r="O197" s="82"/>
      <c r="P197" s="82" t="str">
        <f t="shared" ca="1" si="2"/>
        <v/>
      </c>
      <c r="Q197" s="82" t="str">
        <f t="shared" ca="1" si="3"/>
        <v/>
      </c>
    </row>
    <row r="198" spans="2:17">
      <c r="B198" s="82"/>
      <c r="C198" s="83" t="str">
        <f t="array" aca="1" ref="C198" ca="1">IF(OR(INDIRECT("まとめ札!G"&amp;B197&amp;"")="",INDIRECT("まとめ札!G"&amp;B197&amp;"")=0),"",INDIRECT("まとめ札!A"&amp;B197&amp;"")&amp;"【2】")</f>
        <v/>
      </c>
      <c r="D198" s="83"/>
      <c r="E198" s="83" t="str">
        <f>""</f>
        <v/>
      </c>
      <c r="F198" s="83" t="str">
        <f ca="1">IF(C198&lt;&gt;"",
IF(IF(COUNTIF(C198,"*キャラ*"),
VLOOKUP("*キャラ*",商品マスタ一覧!$D:$J,7,FALSE),
IF(COUNTIF(C198,"*赤*"),
VLOOKUP("*赤*",商品マスタ一覧!$D:$J,7,FALSE),
VLOOKUP(C198,商品マスタ一覧!$D:$J,7,FALSE)))=0,"",
IF(H198&lt;&gt;"",
IF(ROUND(
H198/IF(COUNTIF(C198,"*キャラ*"),
VLOOKUP("*キャラ*",商品マスタ一覧!$D:$J,7,FALSE),
IF(COUNTIF(C198,"*赤*"),
VLOOKUP("*赤*",商品マスタ一覧!$D:$J,7,FALSE),
VLOOKUP(C198,商品マスタ一覧!$D:$J,7,FALSE))),0)&lt;=0,1,
ROUND(
H198/IF(COUNTIF(C198,"*キャラ*"),
VLOOKUP("*キャラ*",商品マスタ一覧!$D:$J,7,FALSE),
IF(COUNTIF(C198,"*赤*"),
VLOOKUP("*赤*",商品マスタ一覧!$D:$J,7,FALSE),
VLOOKUP(C198,商品マスタ一覧!$D:$J,7,FALSE))),0)),"")),"")</f>
        <v/>
      </c>
      <c r="G198" s="84" t="str">
        <f ca="1">IF(F198&lt;&gt;"",IF(VALUE(H198)&gt;VALUE(IF(COUNTIF(C198,"*キャラ*"),
VLOOKUP("*キャラ*",商品マスタ一覧!$D:$J,7,FALSE),
IF(COUNTIF(C198,"*赤*"),
VLOOKUP("*赤*",商品マスタ一覧!$D:$J,7,FALSE),
VLOOKUP(C198,商品マスタ一覧!$D:$J,7,FALSE)))*F198),
"+"&amp;H198-IF(COUNTIF(C198,"*キャラ*"),
VLOOKUP("*キャラ*",商品マスタ一覧!$D:$J,7,FALSE),
IF(COUNTIF(C198,"*赤*"),
VLOOKUP("*赤*",商品マスタ一覧!$D:$J,7,FALSE),
VLOOKUP(C198,商品マスタ一覧!$D:$J,7,FALSE)))*F198,
H198-IF(COUNTIF(C198,"*キャラ*"),
VLOOKUP("*キャラ*",商品マスタ一覧!$D:$J,7,FALSE),
IF(COUNTIF(C198,"*赤*"),
VLOOKUP("*赤*",商品マスタ一覧!$D:$J,7,FALSE),
VLOOKUP(C198,商品マスタ一覧!$D:$J,7,FALSE)))*F198),"")</f>
        <v/>
      </c>
      <c r="H198" s="82" t="str">
        <f t="array" aca="1" ref="H198" ca="1">IF(OR(INDIRECT("まとめ札!G"&amp;B197&amp;"")="",INDIRECT("まとめ札!G"&amp;B197&amp;"")=0),"",INDIRECT("まとめ札!G"&amp;B197&amp;""))</f>
        <v/>
      </c>
      <c r="I198" s="82"/>
      <c r="J198" s="82" t="str">
        <f ca="1">IF(C198&lt;&gt;"",
IF(OR(COUNTIF(C198,"*キャラ*"),COUNTIF(C198,"*赤*")),24,
VLOOKUP(C198,商品マスタ一覧!$D:$I,6,FALSE)),"")</f>
        <v/>
      </c>
      <c r="K198" s="82" t="str">
        <f t="shared" ca="1" si="0"/>
        <v/>
      </c>
      <c r="L198" s="82" t="str">
        <f t="shared" ca="1" si="1"/>
        <v/>
      </c>
      <c r="M198" s="82"/>
      <c r="N198" s="82"/>
      <c r="O198" s="82"/>
      <c r="P198" s="82" t="str">
        <f t="shared" ca="1" si="2"/>
        <v/>
      </c>
      <c r="Q198" s="82" t="str">
        <f t="shared" ca="1" si="3"/>
        <v/>
      </c>
    </row>
    <row r="199" spans="2:17">
      <c r="B199" s="82"/>
      <c r="C199" s="83" t="str">
        <f t="array" aca="1" ref="C199" ca="1">IF(OR(INDIRECT("まとめ札!H"&amp;B197&amp;"")="",INDIRECT("まとめ札!H"&amp;B197&amp;"")=0),"",INDIRECT("まとめ札!A"&amp;B197&amp;"")&amp;"【3】")</f>
        <v/>
      </c>
      <c r="D199" s="83"/>
      <c r="E199" s="83" t="str">
        <f>""</f>
        <v/>
      </c>
      <c r="F199" s="83" t="str">
        <f ca="1">IF(C199&lt;&gt;"",
IF(IF(COUNTIF(C199,"*キャラ*"),
VLOOKUP("*キャラ*",商品マスタ一覧!$D:$J,7,FALSE),
IF(COUNTIF(C199,"*赤*"),
VLOOKUP("*赤*",商品マスタ一覧!$D:$J,7,FALSE),
VLOOKUP(C199,商品マスタ一覧!$D:$J,7,FALSE)))=0,"",
IF(H199&lt;&gt;"",
IF(ROUND(
H199/IF(COUNTIF(C199,"*キャラ*"),
VLOOKUP("*キャラ*",商品マスタ一覧!$D:$J,7,FALSE),
IF(COUNTIF(C199,"*赤*"),
VLOOKUP("*赤*",商品マスタ一覧!$D:$J,7,FALSE),
VLOOKUP(C199,商品マスタ一覧!$D:$J,7,FALSE))),0)&lt;=0,1,
ROUND(
H199/IF(COUNTIF(C199,"*キャラ*"),
VLOOKUP("*キャラ*",商品マスタ一覧!$D:$J,7,FALSE),
IF(COUNTIF(C199,"*赤*"),
VLOOKUP("*赤*",商品マスタ一覧!$D:$J,7,FALSE),
VLOOKUP(C199,商品マスタ一覧!$D:$J,7,FALSE))),0)),"")),"")</f>
        <v/>
      </c>
      <c r="G199" s="84" t="str">
        <f ca="1">IF(F199&lt;&gt;"",IF(VALUE(H199)&gt;VALUE(IF(COUNTIF(C199,"*キャラ*"),
VLOOKUP("*キャラ*",商品マスタ一覧!$D:$J,7,FALSE),
IF(COUNTIF(C199,"*赤*"),
VLOOKUP("*赤*",商品マスタ一覧!$D:$J,7,FALSE),
VLOOKUP(C199,商品マスタ一覧!$D:$J,7,FALSE)))*F199),
"+"&amp;H199-IF(COUNTIF(C199,"*キャラ*"),
VLOOKUP("*キャラ*",商品マスタ一覧!$D:$J,7,FALSE),
IF(COUNTIF(C199,"*赤*"),
VLOOKUP("*赤*",商品マスタ一覧!$D:$J,7,FALSE),
VLOOKUP(C199,商品マスタ一覧!$D:$J,7,FALSE)))*F199,
H199-IF(COUNTIF(C199,"*キャラ*"),
VLOOKUP("*キャラ*",商品マスタ一覧!$D:$J,7,FALSE),
IF(COUNTIF(C199,"*赤*"),
VLOOKUP("*赤*",商品マスタ一覧!$D:$J,7,FALSE),
VLOOKUP(C199,商品マスタ一覧!$D:$J,7,FALSE)))*F199),"")</f>
        <v/>
      </c>
      <c r="H199" s="82" t="str">
        <f t="array" aca="1" ref="H199" ca="1">IF(OR(INDIRECT("まとめ札!H"&amp;B197&amp;"")="",INDIRECT("まとめ札!H"&amp;B197&amp;"")=0),"",INDIRECT("まとめ札!H"&amp;B197&amp;""))</f>
        <v/>
      </c>
      <c r="I199" s="82"/>
      <c r="J199" s="82" t="str">
        <f ca="1">IF(C199&lt;&gt;"",
IF(OR(COUNTIF(C199,"*キャラ*"),COUNTIF(C199,"*赤*")),24,
VLOOKUP(C199,商品マスタ一覧!$D:$I,6,FALSE)),"")</f>
        <v/>
      </c>
      <c r="K199" s="82" t="str">
        <f t="shared" ca="1" si="0"/>
        <v/>
      </c>
      <c r="L199" s="82" t="str">
        <f t="shared" ca="1" si="1"/>
        <v/>
      </c>
      <c r="M199" s="82"/>
      <c r="N199" s="82"/>
      <c r="O199" s="82"/>
      <c r="P199" s="82" t="str">
        <f t="shared" ca="1" si="2"/>
        <v/>
      </c>
      <c r="Q199" s="82" t="str">
        <f t="shared" ca="1" si="3"/>
        <v/>
      </c>
    </row>
    <row r="200" spans="2:17">
      <c r="B200" s="82"/>
      <c r="C200" s="83" t="str">
        <f t="array" aca="1" ref="C200" ca="1">IF(OR(INDIRECT("まとめ札!I"&amp;B197&amp;"")="",INDIRECT("まとめ札!I"&amp;B197&amp;"")=0),"",INDIRECT("まとめ札!A"&amp;B197&amp;"")&amp;"【4】")</f>
        <v/>
      </c>
      <c r="D200" s="83"/>
      <c r="E200" s="83" t="str">
        <f>""</f>
        <v/>
      </c>
      <c r="F200" s="83" t="str">
        <f ca="1">IF(C200&lt;&gt;"",
IF(IF(COUNTIF(C200,"*キャラ*"),
VLOOKUP("*キャラ*",商品マスタ一覧!$D:$J,7,FALSE),
IF(COUNTIF(C200,"*赤*"),
VLOOKUP("*赤*",商品マスタ一覧!$D:$J,7,FALSE),
VLOOKUP(C200,商品マスタ一覧!$D:$J,7,FALSE)))=0,"",
IF(H200&lt;&gt;"",
IF(ROUND(
H200/IF(COUNTIF(C200,"*キャラ*"),
VLOOKUP("*キャラ*",商品マスタ一覧!$D:$J,7,FALSE),
IF(COUNTIF(C200,"*赤*"),
VLOOKUP("*赤*",商品マスタ一覧!$D:$J,7,FALSE),
VLOOKUP(C200,商品マスタ一覧!$D:$J,7,FALSE))),0)&lt;=0,1,
ROUND(
H200/IF(COUNTIF(C200,"*キャラ*"),
VLOOKUP("*キャラ*",商品マスタ一覧!$D:$J,7,FALSE),
IF(COUNTIF(C200,"*赤*"),
VLOOKUP("*赤*",商品マスタ一覧!$D:$J,7,FALSE),
VLOOKUP(C200,商品マスタ一覧!$D:$J,7,FALSE))),0)),"")),"")</f>
        <v/>
      </c>
      <c r="G200" s="84" t="str">
        <f ca="1">IF(F200&lt;&gt;"",IF(VALUE(H200)&gt;VALUE(IF(COUNTIF(C200,"*キャラ*"),
VLOOKUP("*キャラ*",商品マスタ一覧!$D:$J,7,FALSE),
IF(COUNTIF(C200,"*赤*"),
VLOOKUP("*赤*",商品マスタ一覧!$D:$J,7,FALSE),
VLOOKUP(C200,商品マスタ一覧!$D:$J,7,FALSE)))*F200),
"+"&amp;H200-IF(COUNTIF(C200,"*キャラ*"),
VLOOKUP("*キャラ*",商品マスタ一覧!$D:$J,7,FALSE),
IF(COUNTIF(C200,"*赤*"),
VLOOKUP("*赤*",商品マスタ一覧!$D:$J,7,FALSE),
VLOOKUP(C200,商品マスタ一覧!$D:$J,7,FALSE)))*F200,
H200-IF(COUNTIF(C200,"*キャラ*"),
VLOOKUP("*キャラ*",商品マスタ一覧!$D:$J,7,FALSE),
IF(COUNTIF(C200,"*赤*"),
VLOOKUP("*赤*",商品マスタ一覧!$D:$J,7,FALSE),
VLOOKUP(C200,商品マスタ一覧!$D:$J,7,FALSE)))*F200),"")</f>
        <v/>
      </c>
      <c r="H200" s="82" t="str">
        <f t="array" aca="1" ref="H200" ca="1">IF(OR(INDIRECT("まとめ札!I"&amp;B197&amp;"")="",INDIRECT("まとめ札!I"&amp;B197&amp;"")=0),"",INDIRECT("まとめ札!I"&amp;B197&amp;""))</f>
        <v/>
      </c>
      <c r="I200" s="82"/>
      <c r="J200" s="82" t="str">
        <f ca="1">IF(C200&lt;&gt;"",
IF(OR(COUNTIF(C200,"*キャラ*"),COUNTIF(C200,"*赤*")),24,
VLOOKUP(C200,商品マスタ一覧!$D:$I,6,FALSE)),"")</f>
        <v/>
      </c>
      <c r="K200" s="82" t="str">
        <f t="shared" ca="1" si="0"/>
        <v/>
      </c>
      <c r="L200" s="82" t="str">
        <f t="shared" ca="1" si="1"/>
        <v/>
      </c>
      <c r="M200" s="82"/>
      <c r="N200" s="82"/>
      <c r="O200" s="82"/>
      <c r="P200" s="82" t="str">
        <f t="shared" ca="1" si="2"/>
        <v/>
      </c>
      <c r="Q200" s="82" t="str">
        <f t="shared" ca="1" si="3"/>
        <v/>
      </c>
    </row>
    <row r="201" spans="2:17">
      <c r="B201" s="82">
        <v>6</v>
      </c>
      <c r="C201" s="83" t="str">
        <f t="array" aca="1" ref="C201" ca="1">IF(INDIRECT("まとめ札!A"&amp;B201&amp;"")&lt;&gt;0,INDIRECT("まとめ札!A"&amp;B201&amp;"")&amp;"【1】","")</f>
        <v>赤 おにぎり 三角【1】</v>
      </c>
      <c r="D201" s="83"/>
      <c r="E201" s="83" t="str">
        <f>""</f>
        <v/>
      </c>
      <c r="F201" s="83" t="str">
        <f ca="1">IF(C201&lt;&gt;"",
IF(IF(COUNTIF(C201,"*キャラ*"),
VLOOKUP("*キャラ*",商品マスタ一覧!$D:$J,7,FALSE),
IF(COUNTIF(C201,"*赤*"),
VLOOKUP("*赤*",商品マスタ一覧!$D:$J,7,FALSE),
VLOOKUP(C201,商品マスタ一覧!$D:$J,7,FALSE)))=0,"",
IF(H201&lt;&gt;"",
IF(ROUND(
H201/IF(COUNTIF(C201,"*キャラ*"),
VLOOKUP("*キャラ*",商品マスタ一覧!$D:$J,7,FALSE),
IF(COUNTIF(C201,"*赤*"),
VLOOKUP("*赤*",商品マスタ一覧!$D:$J,7,FALSE),
VLOOKUP(C201,商品マスタ一覧!$D:$J,7,FALSE))),0)&lt;=0,1,
ROUND(
H201/IF(COUNTIF(C201,"*キャラ*"),
VLOOKUP("*キャラ*",商品マスタ一覧!$D:$J,7,FALSE),
IF(COUNTIF(C201,"*赤*"),
VLOOKUP("*赤*",商品マスタ一覧!$D:$J,7,FALSE),
VLOOKUP(C201,商品マスタ一覧!$D:$J,7,FALSE))),0)),"")),"")</f>
        <v/>
      </c>
      <c r="G201" s="84" t="str">
        <f ca="1">IF(F201&lt;&gt;"",IF(VALUE(H201)&gt;VALUE(IF(COUNTIF(C201,"*キャラ*"),
VLOOKUP("*キャラ*",商品マスタ一覧!$D:$J,7,FALSE),
IF(COUNTIF(C201,"*赤*"),
VLOOKUP("*赤*",商品マスタ一覧!$D:$J,7,FALSE),
VLOOKUP(C201,商品マスタ一覧!$D:$J,7,FALSE)))*F201),
"+"&amp;H201-IF(COUNTIF(C201,"*キャラ*"),
VLOOKUP("*キャラ*",商品マスタ一覧!$D:$J,7,FALSE),
IF(COUNTIF(C201,"*赤*"),
VLOOKUP("*赤*",商品マスタ一覧!$D:$J,7,FALSE),
VLOOKUP(C201,商品マスタ一覧!$D:$J,7,FALSE)))*F201,
H201-IF(COUNTIF(C201,"*キャラ*"),
VLOOKUP("*キャラ*",商品マスタ一覧!$D:$J,7,FALSE),
IF(COUNTIF(C201,"*赤*"),
VLOOKUP("*赤*",商品マスタ一覧!$D:$J,7,FALSE),
VLOOKUP(C201,商品マスタ一覧!$D:$J,7,FALSE)))*F201),"")</f>
        <v/>
      </c>
      <c r="H201" s="82" t="str">
        <f t="array" aca="1" ref="H201" ca="1">IF(INDIRECT("まとめ札!F"&amp;B201&amp;"")&lt;&gt;0,INDIRECT("まとめ札!F"&amp;B201&amp;""),"")</f>
        <v/>
      </c>
      <c r="I201" s="82"/>
      <c r="J201" s="82">
        <f ca="1">IF(C201&lt;&gt;"",
IF(OR(COUNTIF(C201,"*キャラ*"),COUNTIF(C201,"*赤*")),24,
VLOOKUP(C201,商品マスタ一覧!$D:$I,6,FALSE)),"")</f>
        <v>24</v>
      </c>
      <c r="K201" s="82" t="str">
        <f t="shared" ca="1" si="0"/>
        <v/>
      </c>
      <c r="L201" s="82" t="str">
        <f t="shared" ca="1" si="1"/>
        <v/>
      </c>
      <c r="M201" s="82"/>
      <c r="N201" s="82"/>
      <c r="O201" s="82"/>
      <c r="P201" s="82" t="str">
        <f t="shared" ca="1" si="2"/>
        <v/>
      </c>
      <c r="Q201" s="82" t="str">
        <f t="shared" ca="1" si="3"/>
        <v/>
      </c>
    </row>
    <row r="202" spans="2:17">
      <c r="B202" s="82"/>
      <c r="C202" s="83" t="str">
        <f t="array" aca="1" ref="C202" ca="1">IF(OR(INDIRECT("まとめ札!G"&amp;B201&amp;"")="",INDIRECT("まとめ札!G"&amp;B201&amp;"")=0),"",INDIRECT("まとめ札!A"&amp;B201&amp;"")&amp;"【2】")</f>
        <v/>
      </c>
      <c r="D202" s="83"/>
      <c r="E202" s="83" t="str">
        <f>""</f>
        <v/>
      </c>
      <c r="F202" s="83" t="str">
        <f ca="1">IF(C202&lt;&gt;"",
IF(IF(COUNTIF(C202,"*キャラ*"),
VLOOKUP("*キャラ*",商品マスタ一覧!$D:$J,7,FALSE),
IF(COUNTIF(C202,"*赤*"),
VLOOKUP("*赤*",商品マスタ一覧!$D:$J,7,FALSE),
VLOOKUP(C202,商品マスタ一覧!$D:$J,7,FALSE)))=0,"",
IF(H202&lt;&gt;"",
IF(ROUND(
H202/IF(COUNTIF(C202,"*キャラ*"),
VLOOKUP("*キャラ*",商品マスタ一覧!$D:$J,7,FALSE),
IF(COUNTIF(C202,"*赤*"),
VLOOKUP("*赤*",商品マスタ一覧!$D:$J,7,FALSE),
VLOOKUP(C202,商品マスタ一覧!$D:$J,7,FALSE))),0)&lt;=0,1,
ROUND(
H202/IF(COUNTIF(C202,"*キャラ*"),
VLOOKUP("*キャラ*",商品マスタ一覧!$D:$J,7,FALSE),
IF(COUNTIF(C202,"*赤*"),
VLOOKUP("*赤*",商品マスタ一覧!$D:$J,7,FALSE),
VLOOKUP(C202,商品マスタ一覧!$D:$J,7,FALSE))),0)),"")),"")</f>
        <v/>
      </c>
      <c r="G202" s="84" t="str">
        <f ca="1">IF(F202&lt;&gt;"",IF(VALUE(H202)&gt;VALUE(IF(COUNTIF(C202,"*キャラ*"),
VLOOKUP("*キャラ*",商品マスタ一覧!$D:$J,7,FALSE),
IF(COUNTIF(C202,"*赤*"),
VLOOKUP("*赤*",商品マスタ一覧!$D:$J,7,FALSE),
VLOOKUP(C202,商品マスタ一覧!$D:$J,7,FALSE)))*F202),
"+"&amp;H202-IF(COUNTIF(C202,"*キャラ*"),
VLOOKUP("*キャラ*",商品マスタ一覧!$D:$J,7,FALSE),
IF(COUNTIF(C202,"*赤*"),
VLOOKUP("*赤*",商品マスタ一覧!$D:$J,7,FALSE),
VLOOKUP(C202,商品マスタ一覧!$D:$J,7,FALSE)))*F202,
H202-IF(COUNTIF(C202,"*キャラ*"),
VLOOKUP("*キャラ*",商品マスタ一覧!$D:$J,7,FALSE),
IF(COUNTIF(C202,"*赤*"),
VLOOKUP("*赤*",商品マスタ一覧!$D:$J,7,FALSE),
VLOOKUP(C202,商品マスタ一覧!$D:$J,7,FALSE)))*F202),"")</f>
        <v/>
      </c>
      <c r="H202" s="82" t="str">
        <f t="array" aca="1" ref="H202" ca="1">IF(OR(INDIRECT("まとめ札!G"&amp;B201&amp;"")="",INDIRECT("まとめ札!G"&amp;B201&amp;"")=0),"",INDIRECT("まとめ札!G"&amp;B201&amp;""))</f>
        <v/>
      </c>
      <c r="I202" s="82"/>
      <c r="J202" s="82" t="str">
        <f ca="1">IF(C202&lt;&gt;"",
IF(OR(COUNTIF(C202,"*キャラ*"),COUNTIF(C202,"*赤*")),24,
VLOOKUP(C202,商品マスタ一覧!$D:$I,6,FALSE)),"")</f>
        <v/>
      </c>
      <c r="K202" s="82" t="str">
        <f t="shared" ca="1" si="0"/>
        <v/>
      </c>
      <c r="L202" s="82" t="str">
        <f t="shared" ca="1" si="1"/>
        <v/>
      </c>
      <c r="M202" s="82"/>
      <c r="N202" s="82"/>
      <c r="O202" s="82"/>
      <c r="P202" s="82" t="str">
        <f t="shared" ca="1" si="2"/>
        <v/>
      </c>
      <c r="Q202" s="82" t="str">
        <f t="shared" ca="1" si="3"/>
        <v/>
      </c>
    </row>
    <row r="203" spans="2:17">
      <c r="B203" s="82"/>
      <c r="C203" s="83" t="str">
        <f t="array" aca="1" ref="C203" ca="1">IF(OR(INDIRECT("まとめ札!H"&amp;B201&amp;"")="",INDIRECT("まとめ札!H"&amp;B201&amp;"")=0),"",INDIRECT("まとめ札!A"&amp;B201&amp;"")&amp;"【3】")</f>
        <v/>
      </c>
      <c r="D203" s="83"/>
      <c r="E203" s="83" t="str">
        <f>""</f>
        <v/>
      </c>
      <c r="F203" s="83" t="str">
        <f ca="1">IF(C203&lt;&gt;"",
IF(IF(COUNTIF(C203,"*キャラ*"),
VLOOKUP("*キャラ*",商品マスタ一覧!$D:$J,7,FALSE),
IF(COUNTIF(C203,"*赤*"),
VLOOKUP("*赤*",商品マスタ一覧!$D:$J,7,FALSE),
VLOOKUP(C203,商品マスタ一覧!$D:$J,7,FALSE)))=0,"",
IF(H203&lt;&gt;"",
IF(ROUND(
H203/IF(COUNTIF(C203,"*キャラ*"),
VLOOKUP("*キャラ*",商品マスタ一覧!$D:$J,7,FALSE),
IF(COUNTIF(C203,"*赤*"),
VLOOKUP("*赤*",商品マスタ一覧!$D:$J,7,FALSE),
VLOOKUP(C203,商品マスタ一覧!$D:$J,7,FALSE))),0)&lt;=0,1,
ROUND(
H203/IF(COUNTIF(C203,"*キャラ*"),
VLOOKUP("*キャラ*",商品マスタ一覧!$D:$J,7,FALSE),
IF(COUNTIF(C203,"*赤*"),
VLOOKUP("*赤*",商品マスタ一覧!$D:$J,7,FALSE),
VLOOKUP(C203,商品マスタ一覧!$D:$J,7,FALSE))),0)),"")),"")</f>
        <v/>
      </c>
      <c r="G203" s="84" t="str">
        <f ca="1">IF(F203&lt;&gt;"",IF(VALUE(H203)&gt;VALUE(IF(COUNTIF(C203,"*キャラ*"),
VLOOKUP("*キャラ*",商品マスタ一覧!$D:$J,7,FALSE),
IF(COUNTIF(C203,"*赤*"),
VLOOKUP("*赤*",商品マスタ一覧!$D:$J,7,FALSE),
VLOOKUP(C203,商品マスタ一覧!$D:$J,7,FALSE)))*F203),
"+"&amp;H203-IF(COUNTIF(C203,"*キャラ*"),
VLOOKUP("*キャラ*",商品マスタ一覧!$D:$J,7,FALSE),
IF(COUNTIF(C203,"*赤*"),
VLOOKUP("*赤*",商品マスタ一覧!$D:$J,7,FALSE),
VLOOKUP(C203,商品マスタ一覧!$D:$J,7,FALSE)))*F203,
H203-IF(COUNTIF(C203,"*キャラ*"),
VLOOKUP("*キャラ*",商品マスタ一覧!$D:$J,7,FALSE),
IF(COUNTIF(C203,"*赤*"),
VLOOKUP("*赤*",商品マスタ一覧!$D:$J,7,FALSE),
VLOOKUP(C203,商品マスタ一覧!$D:$J,7,FALSE)))*F203),"")</f>
        <v/>
      </c>
      <c r="H203" s="82" t="str">
        <f t="array" aca="1" ref="H203" ca="1">IF(OR(INDIRECT("まとめ札!H"&amp;B201&amp;"")="",INDIRECT("まとめ札!H"&amp;B201&amp;"")=0),"",INDIRECT("まとめ札!H"&amp;B201&amp;""))</f>
        <v/>
      </c>
      <c r="I203" s="82"/>
      <c r="J203" s="82" t="str">
        <f ca="1">IF(C203&lt;&gt;"",
IF(OR(COUNTIF(C203,"*キャラ*"),COUNTIF(C203,"*赤*")),24,
VLOOKUP(C203,商品マスタ一覧!$D:$I,6,FALSE)),"")</f>
        <v/>
      </c>
      <c r="K203" s="82" t="str">
        <f t="shared" ca="1" si="0"/>
        <v/>
      </c>
      <c r="L203" s="82" t="str">
        <f t="shared" ca="1" si="1"/>
        <v/>
      </c>
      <c r="M203" s="82"/>
      <c r="N203" s="82"/>
      <c r="O203" s="82"/>
      <c r="P203" s="82" t="str">
        <f t="shared" ca="1" si="2"/>
        <v/>
      </c>
      <c r="Q203" s="82" t="str">
        <f t="shared" ca="1" si="3"/>
        <v/>
      </c>
    </row>
    <row r="204" spans="2:17">
      <c r="B204" s="82"/>
      <c r="C204" s="83" t="str">
        <f t="array" aca="1" ref="C204" ca="1">IF(OR(INDIRECT("まとめ札!I"&amp;B201&amp;"")="",INDIRECT("まとめ札!I"&amp;B201&amp;"")=0),"",INDIRECT("まとめ札!A"&amp;B201&amp;"")&amp;"【4】")</f>
        <v/>
      </c>
      <c r="D204" s="83"/>
      <c r="E204" s="83" t="str">
        <f>""</f>
        <v/>
      </c>
      <c r="F204" s="83" t="str">
        <f ca="1">IF(C204&lt;&gt;"",
IF(IF(COUNTIF(C204,"*キャラ*"),
VLOOKUP("*キャラ*",商品マスタ一覧!$D:$J,7,FALSE),
IF(COUNTIF(C204,"*赤*"),
VLOOKUP("*赤*",商品マスタ一覧!$D:$J,7,FALSE),
VLOOKUP(C204,商品マスタ一覧!$D:$J,7,FALSE)))=0,"",
IF(H204&lt;&gt;"",
IF(ROUND(
H204/IF(COUNTIF(C204,"*キャラ*"),
VLOOKUP("*キャラ*",商品マスタ一覧!$D:$J,7,FALSE),
IF(COUNTIF(C204,"*赤*"),
VLOOKUP("*赤*",商品マスタ一覧!$D:$J,7,FALSE),
VLOOKUP(C204,商品マスタ一覧!$D:$J,7,FALSE))),0)&lt;=0,1,
ROUND(
H204/IF(COUNTIF(C204,"*キャラ*"),
VLOOKUP("*キャラ*",商品マスタ一覧!$D:$J,7,FALSE),
IF(COUNTIF(C204,"*赤*"),
VLOOKUP("*赤*",商品マスタ一覧!$D:$J,7,FALSE),
VLOOKUP(C204,商品マスタ一覧!$D:$J,7,FALSE))),0)),"")),"")</f>
        <v/>
      </c>
      <c r="G204" s="84" t="str">
        <f ca="1">IF(F204&lt;&gt;"",IF(VALUE(H204)&gt;VALUE(IF(COUNTIF(C204,"*キャラ*"),
VLOOKUP("*キャラ*",商品マスタ一覧!$D:$J,7,FALSE),
IF(COUNTIF(C204,"*赤*"),
VLOOKUP("*赤*",商品マスタ一覧!$D:$J,7,FALSE),
VLOOKUP(C204,商品マスタ一覧!$D:$J,7,FALSE)))*F204),
"+"&amp;H204-IF(COUNTIF(C204,"*キャラ*"),
VLOOKUP("*キャラ*",商品マスタ一覧!$D:$J,7,FALSE),
IF(COUNTIF(C204,"*赤*"),
VLOOKUP("*赤*",商品マスタ一覧!$D:$J,7,FALSE),
VLOOKUP(C204,商品マスタ一覧!$D:$J,7,FALSE)))*F204,
H204-IF(COUNTIF(C204,"*キャラ*"),
VLOOKUP("*キャラ*",商品マスタ一覧!$D:$J,7,FALSE),
IF(COUNTIF(C204,"*赤*"),
VLOOKUP("*赤*",商品マスタ一覧!$D:$J,7,FALSE),
VLOOKUP(C204,商品マスタ一覧!$D:$J,7,FALSE)))*F204),"")</f>
        <v/>
      </c>
      <c r="H204" s="82" t="str">
        <f t="array" aca="1" ref="H204" ca="1">IF(OR(INDIRECT("まとめ札!I"&amp;B201&amp;"")="",INDIRECT("まとめ札!I"&amp;B201&amp;"")=0),"",INDIRECT("まとめ札!I"&amp;B201&amp;""))</f>
        <v/>
      </c>
      <c r="I204" s="82"/>
      <c r="J204" s="82" t="str">
        <f ca="1">IF(C204&lt;&gt;"",
IF(OR(COUNTIF(C204,"*キャラ*"),COUNTIF(C204,"*赤*")),24,
VLOOKUP(C204,商品マスタ一覧!$D:$I,6,FALSE)),"")</f>
        <v/>
      </c>
      <c r="K204" s="82" t="str">
        <f t="shared" ca="1" si="0"/>
        <v/>
      </c>
      <c r="L204" s="82" t="str">
        <f t="shared" ca="1" si="1"/>
        <v/>
      </c>
      <c r="M204" s="82"/>
      <c r="N204" s="82"/>
      <c r="O204" s="82"/>
      <c r="P204" s="82" t="str">
        <f t="shared" ca="1" si="2"/>
        <v/>
      </c>
      <c r="Q204" s="82" t="str">
        <f t="shared" ca="1" si="3"/>
        <v/>
      </c>
    </row>
    <row r="205" spans="2:17">
      <c r="B205" s="82">
        <v>7</v>
      </c>
      <c r="C205" s="83" t="str">
        <f t="array" aca="1" ref="C205" ca="1">IF(INDIRECT("まとめ札!A"&amp;B205&amp;"")&lt;&gt;0,INDIRECT("まとめ札!A"&amp;B205&amp;"")&amp;"【1】","")</f>
        <v>赤 おにぎり 半俵【1】</v>
      </c>
      <c r="D205" s="83"/>
      <c r="E205" s="83" t="str">
        <f>""</f>
        <v/>
      </c>
      <c r="F205" s="83" t="str">
        <f ca="1">IF(C205&lt;&gt;"",
IF(IF(COUNTIF(C205,"*キャラ*"),
VLOOKUP("*キャラ*",商品マスタ一覧!$D:$J,7,FALSE),
IF(COUNTIF(C205,"*赤*"),
VLOOKUP("*赤*",商品マスタ一覧!$D:$J,7,FALSE),
VLOOKUP(C205,商品マスタ一覧!$D:$J,7,FALSE)))=0,"",
IF(H205&lt;&gt;"",
IF(ROUND(
H205/IF(COUNTIF(C205,"*キャラ*"),
VLOOKUP("*キャラ*",商品マスタ一覧!$D:$J,7,FALSE),
IF(COUNTIF(C205,"*赤*"),
VLOOKUP("*赤*",商品マスタ一覧!$D:$J,7,FALSE),
VLOOKUP(C205,商品マスタ一覧!$D:$J,7,FALSE))),0)&lt;=0,1,
ROUND(
H205/IF(COUNTIF(C205,"*キャラ*"),
VLOOKUP("*キャラ*",商品マスタ一覧!$D:$J,7,FALSE),
IF(COUNTIF(C205,"*赤*"),
VLOOKUP("*赤*",商品マスタ一覧!$D:$J,7,FALSE),
VLOOKUP(C205,商品マスタ一覧!$D:$J,7,FALSE))),0)),"")),"")</f>
        <v/>
      </c>
      <c r="G205" s="84" t="str">
        <f ca="1">IF(F205&lt;&gt;"",IF(VALUE(H205)&gt;VALUE(IF(COUNTIF(C205,"*キャラ*"),
VLOOKUP("*キャラ*",商品マスタ一覧!$D:$J,7,FALSE),
IF(COUNTIF(C205,"*赤*"),
VLOOKUP("*赤*",商品マスタ一覧!$D:$J,7,FALSE),
VLOOKUP(C205,商品マスタ一覧!$D:$J,7,FALSE)))*F205),
"+"&amp;H205-IF(COUNTIF(C205,"*キャラ*"),
VLOOKUP("*キャラ*",商品マスタ一覧!$D:$J,7,FALSE),
IF(COUNTIF(C205,"*赤*"),
VLOOKUP("*赤*",商品マスタ一覧!$D:$J,7,FALSE),
VLOOKUP(C205,商品マスタ一覧!$D:$J,7,FALSE)))*F205,
H205-IF(COUNTIF(C205,"*キャラ*"),
VLOOKUP("*キャラ*",商品マスタ一覧!$D:$J,7,FALSE),
IF(COUNTIF(C205,"*赤*"),
VLOOKUP("*赤*",商品マスタ一覧!$D:$J,7,FALSE),
VLOOKUP(C205,商品マスタ一覧!$D:$J,7,FALSE)))*F205),"")</f>
        <v/>
      </c>
      <c r="H205" s="82" t="str">
        <f t="array" aca="1" ref="H205" ca="1">IF(INDIRECT("まとめ札!F"&amp;B205&amp;"")&lt;&gt;0,INDIRECT("まとめ札!F"&amp;B205&amp;""),"")</f>
        <v/>
      </c>
      <c r="I205" s="82"/>
      <c r="J205" s="82">
        <f ca="1">IF(C205&lt;&gt;"",
IF(OR(COUNTIF(C205,"*キャラ*"),COUNTIF(C205,"*赤*")),24,
VLOOKUP(C205,商品マスタ一覧!$D:$I,6,FALSE)),"")</f>
        <v>24</v>
      </c>
      <c r="K205" s="82" t="str">
        <f t="shared" ca="1" si="0"/>
        <v/>
      </c>
      <c r="L205" s="82" t="str">
        <f t="shared" ca="1" si="1"/>
        <v/>
      </c>
      <c r="M205" s="82"/>
      <c r="N205" s="82"/>
      <c r="O205" s="82"/>
      <c r="P205" s="82" t="str">
        <f t="shared" ca="1" si="2"/>
        <v/>
      </c>
      <c r="Q205" s="82" t="str">
        <f t="shared" ca="1" si="3"/>
        <v/>
      </c>
    </row>
    <row r="206" spans="2:17">
      <c r="B206" s="82"/>
      <c r="C206" s="83" t="str">
        <f t="array" aca="1" ref="C206" ca="1">IF(OR(INDIRECT("まとめ札!G"&amp;B205&amp;"")="",INDIRECT("まとめ札!G"&amp;B205&amp;"")=0),"",INDIRECT("まとめ札!A"&amp;B205&amp;"")&amp;"【2】")</f>
        <v/>
      </c>
      <c r="D206" s="83"/>
      <c r="E206" s="83" t="str">
        <f>""</f>
        <v/>
      </c>
      <c r="F206" s="83" t="str">
        <f ca="1">IF(C206&lt;&gt;"",
IF(IF(COUNTIF(C206,"*キャラ*"),
VLOOKUP("*キャラ*",商品マスタ一覧!$D:$J,7,FALSE),
IF(COUNTIF(C206,"*赤*"),
VLOOKUP("*赤*",商品マスタ一覧!$D:$J,7,FALSE),
VLOOKUP(C206,商品マスタ一覧!$D:$J,7,FALSE)))=0,"",
IF(H206&lt;&gt;"",
IF(ROUND(
H206/IF(COUNTIF(C206,"*キャラ*"),
VLOOKUP("*キャラ*",商品マスタ一覧!$D:$J,7,FALSE),
IF(COUNTIF(C206,"*赤*"),
VLOOKUP("*赤*",商品マスタ一覧!$D:$J,7,FALSE),
VLOOKUP(C206,商品マスタ一覧!$D:$J,7,FALSE))),0)&lt;=0,1,
ROUND(
H206/IF(COUNTIF(C206,"*キャラ*"),
VLOOKUP("*キャラ*",商品マスタ一覧!$D:$J,7,FALSE),
IF(COUNTIF(C206,"*赤*"),
VLOOKUP("*赤*",商品マスタ一覧!$D:$J,7,FALSE),
VLOOKUP(C206,商品マスタ一覧!$D:$J,7,FALSE))),0)),"")),"")</f>
        <v/>
      </c>
      <c r="G206" s="84" t="str">
        <f ca="1">IF(F206&lt;&gt;"",IF(VALUE(H206)&gt;VALUE(IF(COUNTIF(C206,"*キャラ*"),
VLOOKUP("*キャラ*",商品マスタ一覧!$D:$J,7,FALSE),
IF(COUNTIF(C206,"*赤*"),
VLOOKUP("*赤*",商品マスタ一覧!$D:$J,7,FALSE),
VLOOKUP(C206,商品マスタ一覧!$D:$J,7,FALSE)))*F206),
"+"&amp;H206-IF(COUNTIF(C206,"*キャラ*"),
VLOOKUP("*キャラ*",商品マスタ一覧!$D:$J,7,FALSE),
IF(COUNTIF(C206,"*赤*"),
VLOOKUP("*赤*",商品マスタ一覧!$D:$J,7,FALSE),
VLOOKUP(C206,商品マスタ一覧!$D:$J,7,FALSE)))*F206,
H206-IF(COUNTIF(C206,"*キャラ*"),
VLOOKUP("*キャラ*",商品マスタ一覧!$D:$J,7,FALSE),
IF(COUNTIF(C206,"*赤*"),
VLOOKUP("*赤*",商品マスタ一覧!$D:$J,7,FALSE),
VLOOKUP(C206,商品マスタ一覧!$D:$J,7,FALSE)))*F206),"")</f>
        <v/>
      </c>
      <c r="H206" s="82" t="str">
        <f t="array" aca="1" ref="H206" ca="1">IF(OR(INDIRECT("まとめ札!G"&amp;B205&amp;"")="",INDIRECT("まとめ札!G"&amp;B205&amp;"")=0),"",INDIRECT("まとめ札!G"&amp;B205&amp;""))</f>
        <v/>
      </c>
      <c r="I206" s="82"/>
      <c r="J206" s="82" t="str">
        <f ca="1">IF(C206&lt;&gt;"",
IF(OR(COUNTIF(C206,"*キャラ*"),COUNTIF(C206,"*赤*")),24,
VLOOKUP(C206,商品マスタ一覧!$D:$I,6,FALSE)),"")</f>
        <v/>
      </c>
      <c r="K206" s="82" t="str">
        <f t="shared" ca="1" si="0"/>
        <v/>
      </c>
      <c r="L206" s="82" t="str">
        <f t="shared" ca="1" si="1"/>
        <v/>
      </c>
      <c r="M206" s="82"/>
      <c r="N206" s="82"/>
      <c r="O206" s="82"/>
      <c r="P206" s="82" t="str">
        <f t="shared" ca="1" si="2"/>
        <v/>
      </c>
      <c r="Q206" s="82" t="str">
        <f t="shared" ca="1" si="3"/>
        <v/>
      </c>
    </row>
    <row r="207" spans="2:17">
      <c r="B207" s="82"/>
      <c r="C207" s="83" t="str">
        <f t="array" aca="1" ref="C207" ca="1">IF(OR(INDIRECT("まとめ札!H"&amp;B205&amp;"")="",INDIRECT("まとめ札!H"&amp;B205&amp;"")=0),"",INDIRECT("まとめ札!A"&amp;B205&amp;"")&amp;"【3】")</f>
        <v/>
      </c>
      <c r="D207" s="83"/>
      <c r="E207" s="83" t="str">
        <f>""</f>
        <v/>
      </c>
      <c r="F207" s="83" t="str">
        <f ca="1">IF(C207&lt;&gt;"",
IF(IF(COUNTIF(C207,"*キャラ*"),
VLOOKUP("*キャラ*",商品マスタ一覧!$D:$J,7,FALSE),
IF(COUNTIF(C207,"*赤*"),
VLOOKUP("*赤*",商品マスタ一覧!$D:$J,7,FALSE),
VLOOKUP(C207,商品マスタ一覧!$D:$J,7,FALSE)))=0,"",
IF(H207&lt;&gt;"",
IF(ROUND(
H207/IF(COUNTIF(C207,"*キャラ*"),
VLOOKUP("*キャラ*",商品マスタ一覧!$D:$J,7,FALSE),
IF(COUNTIF(C207,"*赤*"),
VLOOKUP("*赤*",商品マスタ一覧!$D:$J,7,FALSE),
VLOOKUP(C207,商品マスタ一覧!$D:$J,7,FALSE))),0)&lt;=0,1,
ROUND(
H207/IF(COUNTIF(C207,"*キャラ*"),
VLOOKUP("*キャラ*",商品マスタ一覧!$D:$J,7,FALSE),
IF(COUNTIF(C207,"*赤*"),
VLOOKUP("*赤*",商品マスタ一覧!$D:$J,7,FALSE),
VLOOKUP(C207,商品マスタ一覧!$D:$J,7,FALSE))),0)),"")),"")</f>
        <v/>
      </c>
      <c r="G207" s="84" t="str">
        <f ca="1">IF(F207&lt;&gt;"",IF(VALUE(H207)&gt;VALUE(IF(COUNTIF(C207,"*キャラ*"),
VLOOKUP("*キャラ*",商品マスタ一覧!$D:$J,7,FALSE),
IF(COUNTIF(C207,"*赤*"),
VLOOKUP("*赤*",商品マスタ一覧!$D:$J,7,FALSE),
VLOOKUP(C207,商品マスタ一覧!$D:$J,7,FALSE)))*F207),
"+"&amp;H207-IF(COUNTIF(C207,"*キャラ*"),
VLOOKUP("*キャラ*",商品マスタ一覧!$D:$J,7,FALSE),
IF(COUNTIF(C207,"*赤*"),
VLOOKUP("*赤*",商品マスタ一覧!$D:$J,7,FALSE),
VLOOKUP(C207,商品マスタ一覧!$D:$J,7,FALSE)))*F207,
H207-IF(COUNTIF(C207,"*キャラ*"),
VLOOKUP("*キャラ*",商品マスタ一覧!$D:$J,7,FALSE),
IF(COUNTIF(C207,"*赤*"),
VLOOKUP("*赤*",商品マスタ一覧!$D:$J,7,FALSE),
VLOOKUP(C207,商品マスタ一覧!$D:$J,7,FALSE)))*F207),"")</f>
        <v/>
      </c>
      <c r="H207" s="82" t="str">
        <f t="array" aca="1" ref="H207" ca="1">IF(OR(INDIRECT("まとめ札!H"&amp;B205&amp;"")="",INDIRECT("まとめ札!H"&amp;B205&amp;"")=0),"",INDIRECT("まとめ札!H"&amp;B205&amp;""))</f>
        <v/>
      </c>
      <c r="I207" s="82"/>
      <c r="J207" s="82" t="str">
        <f ca="1">IF(C207&lt;&gt;"",
IF(OR(COUNTIF(C207,"*キャラ*"),COUNTIF(C207,"*赤*")),24,
VLOOKUP(C207,商品マスタ一覧!$D:$I,6,FALSE)),"")</f>
        <v/>
      </c>
      <c r="K207" s="82" t="str">
        <f t="shared" ca="1" si="0"/>
        <v/>
      </c>
      <c r="L207" s="82" t="str">
        <f t="shared" ca="1" si="1"/>
        <v/>
      </c>
      <c r="M207" s="82"/>
      <c r="N207" s="82"/>
      <c r="O207" s="82"/>
      <c r="P207" s="82" t="str">
        <f t="shared" ca="1" si="2"/>
        <v/>
      </c>
      <c r="Q207" s="82" t="str">
        <f t="shared" ca="1" si="3"/>
        <v/>
      </c>
    </row>
    <row r="208" spans="2:17">
      <c r="B208" s="82"/>
      <c r="C208" s="83" t="str">
        <f t="array" aca="1" ref="C208" ca="1">IF(OR(INDIRECT("まとめ札!I"&amp;B205&amp;"")="",INDIRECT("まとめ札!I"&amp;B205&amp;"")=0),"",INDIRECT("まとめ札!A"&amp;B205&amp;"")&amp;"【4】")</f>
        <v/>
      </c>
      <c r="D208" s="83"/>
      <c r="E208" s="83" t="str">
        <f>""</f>
        <v/>
      </c>
      <c r="F208" s="83" t="str">
        <f ca="1">IF(C208&lt;&gt;"",
IF(IF(COUNTIF(C208,"*キャラ*"),
VLOOKUP("*キャラ*",商品マスタ一覧!$D:$J,7,FALSE),
IF(COUNTIF(C208,"*赤*"),
VLOOKUP("*赤*",商品マスタ一覧!$D:$J,7,FALSE),
VLOOKUP(C208,商品マスタ一覧!$D:$J,7,FALSE)))=0,"",
IF(H208&lt;&gt;"",
IF(ROUND(
H208/IF(COUNTIF(C208,"*キャラ*"),
VLOOKUP("*キャラ*",商品マスタ一覧!$D:$J,7,FALSE),
IF(COUNTIF(C208,"*赤*"),
VLOOKUP("*赤*",商品マスタ一覧!$D:$J,7,FALSE),
VLOOKUP(C208,商品マスタ一覧!$D:$J,7,FALSE))),0)&lt;=0,1,
ROUND(
H208/IF(COUNTIF(C208,"*キャラ*"),
VLOOKUP("*キャラ*",商品マスタ一覧!$D:$J,7,FALSE),
IF(COUNTIF(C208,"*赤*"),
VLOOKUP("*赤*",商品マスタ一覧!$D:$J,7,FALSE),
VLOOKUP(C208,商品マスタ一覧!$D:$J,7,FALSE))),0)),"")),"")</f>
        <v/>
      </c>
      <c r="G208" s="84" t="str">
        <f ca="1">IF(F208&lt;&gt;"",IF(VALUE(H208)&gt;VALUE(IF(COUNTIF(C208,"*キャラ*"),
VLOOKUP("*キャラ*",商品マスタ一覧!$D:$J,7,FALSE),
IF(COUNTIF(C208,"*赤*"),
VLOOKUP("*赤*",商品マスタ一覧!$D:$J,7,FALSE),
VLOOKUP(C208,商品マスタ一覧!$D:$J,7,FALSE)))*F208),
"+"&amp;H208-IF(COUNTIF(C208,"*キャラ*"),
VLOOKUP("*キャラ*",商品マスタ一覧!$D:$J,7,FALSE),
IF(COUNTIF(C208,"*赤*"),
VLOOKUP("*赤*",商品マスタ一覧!$D:$J,7,FALSE),
VLOOKUP(C208,商品マスタ一覧!$D:$J,7,FALSE)))*F208,
H208-IF(COUNTIF(C208,"*キャラ*"),
VLOOKUP("*キャラ*",商品マスタ一覧!$D:$J,7,FALSE),
IF(COUNTIF(C208,"*赤*"),
VLOOKUP("*赤*",商品マスタ一覧!$D:$J,7,FALSE),
VLOOKUP(C208,商品マスタ一覧!$D:$J,7,FALSE)))*F208),"")</f>
        <v/>
      </c>
      <c r="H208" s="82" t="str">
        <f t="array" aca="1" ref="H208" ca="1">IF(OR(INDIRECT("まとめ札!I"&amp;B205&amp;"")="",INDIRECT("まとめ札!I"&amp;B205&amp;"")=0),"",INDIRECT("まとめ札!I"&amp;B205&amp;""))</f>
        <v/>
      </c>
      <c r="I208" s="82"/>
      <c r="J208" s="82" t="str">
        <f ca="1">IF(C208&lt;&gt;"",
IF(OR(COUNTIF(C208,"*キャラ*"),COUNTIF(C208,"*赤*")),24,
VLOOKUP(C208,商品マスタ一覧!$D:$I,6,FALSE)),"")</f>
        <v/>
      </c>
      <c r="K208" s="82" t="str">
        <f t="shared" ca="1" si="0"/>
        <v/>
      </c>
      <c r="L208" s="82" t="str">
        <f t="shared" ca="1" si="1"/>
        <v/>
      </c>
      <c r="M208" s="82"/>
      <c r="N208" s="82"/>
      <c r="O208" s="82"/>
      <c r="P208" s="82" t="str">
        <f t="shared" ca="1" si="2"/>
        <v/>
      </c>
      <c r="Q208" s="82" t="str">
        <f t="shared" ca="1" si="3"/>
        <v/>
      </c>
    </row>
    <row r="209" spans="2:17">
      <c r="B209" s="82">
        <v>8</v>
      </c>
      <c r="C209" s="83" t="str">
        <f t="array" aca="1" ref="C209" ca="1">IF(INDIRECT("まとめ札!A"&amp;B209&amp;"")&lt;&gt;0,INDIRECT("まとめ札!A"&amp;B209&amp;"")&amp;"【1】","")</f>
        <v>赤 飯なし【1】</v>
      </c>
      <c r="D209" s="83"/>
      <c r="E209" s="83" t="str">
        <f>""</f>
        <v/>
      </c>
      <c r="F209" s="83" t="str">
        <f ca="1">IF(C209&lt;&gt;"",
IF(IF(COUNTIF(C209,"*キャラ*"),
VLOOKUP("*キャラ*",商品マスタ一覧!$D:$J,7,FALSE),
IF(COUNTIF(C209,"*赤*"),
VLOOKUP("*赤*",商品マスタ一覧!$D:$J,7,FALSE),
VLOOKUP(C209,商品マスタ一覧!$D:$J,7,FALSE)))=0,"",
IF(H209&lt;&gt;"",
IF(ROUND(
H209/IF(COUNTIF(C209,"*キャラ*"),
VLOOKUP("*キャラ*",商品マスタ一覧!$D:$J,7,FALSE),
IF(COUNTIF(C209,"*赤*"),
VLOOKUP("*赤*",商品マスタ一覧!$D:$J,7,FALSE),
VLOOKUP(C209,商品マスタ一覧!$D:$J,7,FALSE))),0)&lt;=0,1,
ROUND(
H209/IF(COUNTIF(C209,"*キャラ*"),
VLOOKUP("*キャラ*",商品マスタ一覧!$D:$J,7,FALSE),
IF(COUNTIF(C209,"*赤*"),
VLOOKUP("*赤*",商品マスタ一覧!$D:$J,7,FALSE),
VLOOKUP(C209,商品マスタ一覧!$D:$J,7,FALSE))),0)),"")),"")</f>
        <v/>
      </c>
      <c r="G209" s="84" t="str">
        <f ca="1">IF(F209&lt;&gt;"",IF(VALUE(H209)&gt;VALUE(IF(COUNTIF(C209,"*キャラ*"),
VLOOKUP("*キャラ*",商品マスタ一覧!$D:$J,7,FALSE),
IF(COUNTIF(C209,"*赤*"),
VLOOKUP("*赤*",商品マスタ一覧!$D:$J,7,FALSE),
VLOOKUP(C209,商品マスタ一覧!$D:$J,7,FALSE)))*F209),
"+"&amp;H209-IF(COUNTIF(C209,"*キャラ*"),
VLOOKUP("*キャラ*",商品マスタ一覧!$D:$J,7,FALSE),
IF(COUNTIF(C209,"*赤*"),
VLOOKUP("*赤*",商品マスタ一覧!$D:$J,7,FALSE),
VLOOKUP(C209,商品マスタ一覧!$D:$J,7,FALSE)))*F209,
H209-IF(COUNTIF(C209,"*キャラ*"),
VLOOKUP("*キャラ*",商品マスタ一覧!$D:$J,7,FALSE),
IF(COUNTIF(C209,"*赤*"),
VLOOKUP("*赤*",商品マスタ一覧!$D:$J,7,FALSE),
VLOOKUP(C209,商品マスタ一覧!$D:$J,7,FALSE)))*F209),"")</f>
        <v/>
      </c>
      <c r="H209" s="82" t="str">
        <f t="array" aca="1" ref="H209" ca="1">IF(INDIRECT("まとめ札!F"&amp;B209&amp;"")&lt;&gt;0,INDIRECT("まとめ札!F"&amp;B209&amp;""),"")</f>
        <v/>
      </c>
      <c r="I209" s="82"/>
      <c r="J209" s="82">
        <f ca="1">IF(C209&lt;&gt;"",
IF(OR(COUNTIF(C209,"*キャラ*"),COUNTIF(C209,"*赤*")),24,
VLOOKUP(C209,商品マスタ一覧!$D:$I,6,FALSE)),"")</f>
        <v>24</v>
      </c>
      <c r="K209" s="82" t="str">
        <f t="shared" ca="1" si="0"/>
        <v/>
      </c>
      <c r="L209" s="82" t="str">
        <f t="shared" ca="1" si="1"/>
        <v/>
      </c>
      <c r="M209" s="82"/>
      <c r="N209" s="82"/>
      <c r="O209" s="82"/>
      <c r="P209" s="82" t="str">
        <f t="shared" ca="1" si="2"/>
        <v/>
      </c>
      <c r="Q209" s="82" t="str">
        <f t="shared" ca="1" si="3"/>
        <v/>
      </c>
    </row>
    <row r="210" spans="2:17">
      <c r="B210" s="82"/>
      <c r="C210" s="83" t="str">
        <f t="array" aca="1" ref="C210" ca="1">IF(OR(INDIRECT("まとめ札!G"&amp;B209&amp;"")="",INDIRECT("まとめ札!G"&amp;B209&amp;"")=0),"",INDIRECT("まとめ札!A"&amp;B209&amp;"")&amp;"【2】")</f>
        <v/>
      </c>
      <c r="D210" s="83"/>
      <c r="E210" s="83" t="str">
        <f>""</f>
        <v/>
      </c>
      <c r="F210" s="83" t="str">
        <f ca="1">IF(C210&lt;&gt;"",
IF(IF(COUNTIF(C210,"*キャラ*"),
VLOOKUP("*キャラ*",商品マスタ一覧!$D:$J,7,FALSE),
IF(COUNTIF(C210,"*赤*"),
VLOOKUP("*赤*",商品マスタ一覧!$D:$J,7,FALSE),
VLOOKUP(C210,商品マスタ一覧!$D:$J,7,FALSE)))=0,"",
IF(H210&lt;&gt;"",
IF(ROUND(
H210/IF(COUNTIF(C210,"*キャラ*"),
VLOOKUP("*キャラ*",商品マスタ一覧!$D:$J,7,FALSE),
IF(COUNTIF(C210,"*赤*"),
VLOOKUP("*赤*",商品マスタ一覧!$D:$J,7,FALSE),
VLOOKUP(C210,商品マスタ一覧!$D:$J,7,FALSE))),0)&lt;=0,1,
ROUND(
H210/IF(COUNTIF(C210,"*キャラ*"),
VLOOKUP("*キャラ*",商品マスタ一覧!$D:$J,7,FALSE),
IF(COUNTIF(C210,"*赤*"),
VLOOKUP("*赤*",商品マスタ一覧!$D:$J,7,FALSE),
VLOOKUP(C210,商品マスタ一覧!$D:$J,7,FALSE))),0)),"")),"")</f>
        <v/>
      </c>
      <c r="G210" s="84" t="str">
        <f ca="1">IF(F210&lt;&gt;"",IF(VALUE(H210)&gt;VALUE(IF(COUNTIF(C210,"*キャラ*"),
VLOOKUP("*キャラ*",商品マスタ一覧!$D:$J,7,FALSE),
IF(COUNTIF(C210,"*赤*"),
VLOOKUP("*赤*",商品マスタ一覧!$D:$J,7,FALSE),
VLOOKUP(C210,商品マスタ一覧!$D:$J,7,FALSE)))*F210),
"+"&amp;H210-IF(COUNTIF(C210,"*キャラ*"),
VLOOKUP("*キャラ*",商品マスタ一覧!$D:$J,7,FALSE),
IF(COUNTIF(C210,"*赤*"),
VLOOKUP("*赤*",商品マスタ一覧!$D:$J,7,FALSE),
VLOOKUP(C210,商品マスタ一覧!$D:$J,7,FALSE)))*F210,
H210-IF(COUNTIF(C210,"*キャラ*"),
VLOOKUP("*キャラ*",商品マスタ一覧!$D:$J,7,FALSE),
IF(COUNTIF(C210,"*赤*"),
VLOOKUP("*赤*",商品マスタ一覧!$D:$J,7,FALSE),
VLOOKUP(C210,商品マスタ一覧!$D:$J,7,FALSE)))*F210),"")</f>
        <v/>
      </c>
      <c r="H210" s="82" t="str">
        <f t="array" aca="1" ref="H210" ca="1">IF(OR(INDIRECT("まとめ札!G"&amp;B209&amp;"")="",INDIRECT("まとめ札!G"&amp;B209&amp;"")=0),"",INDIRECT("まとめ札!G"&amp;B209&amp;""))</f>
        <v/>
      </c>
      <c r="I210" s="82"/>
      <c r="J210" s="82" t="str">
        <f ca="1">IF(C210&lt;&gt;"",
IF(OR(COUNTIF(C210,"*キャラ*"),COUNTIF(C210,"*赤*")),24,
VLOOKUP(C210,商品マスタ一覧!$D:$I,6,FALSE)),"")</f>
        <v/>
      </c>
      <c r="K210" s="82" t="str">
        <f t="shared" ca="1" si="0"/>
        <v/>
      </c>
      <c r="L210" s="82" t="str">
        <f t="shared" ca="1" si="1"/>
        <v/>
      </c>
      <c r="M210" s="82"/>
      <c r="N210" s="82"/>
      <c r="O210" s="82"/>
      <c r="P210" s="82" t="str">
        <f t="shared" ca="1" si="2"/>
        <v/>
      </c>
      <c r="Q210" s="82" t="str">
        <f t="shared" ca="1" si="3"/>
        <v/>
      </c>
    </row>
    <row r="211" spans="2:17">
      <c r="B211" s="82"/>
      <c r="C211" s="83" t="str">
        <f t="array" aca="1" ref="C211" ca="1">IF(OR(INDIRECT("まとめ札!H"&amp;B209&amp;"")="",INDIRECT("まとめ札!H"&amp;B209&amp;"")=0),"",INDIRECT("まとめ札!A"&amp;B209&amp;"")&amp;"【3】")</f>
        <v/>
      </c>
      <c r="D211" s="83"/>
      <c r="E211" s="83" t="str">
        <f>""</f>
        <v/>
      </c>
      <c r="F211" s="83" t="str">
        <f ca="1">IF(C211&lt;&gt;"",
IF(IF(COUNTIF(C211,"*キャラ*"),
VLOOKUP("*キャラ*",商品マスタ一覧!$D:$J,7,FALSE),
IF(COUNTIF(C211,"*赤*"),
VLOOKUP("*赤*",商品マスタ一覧!$D:$J,7,FALSE),
VLOOKUP(C211,商品マスタ一覧!$D:$J,7,FALSE)))=0,"",
IF(H211&lt;&gt;"",
IF(ROUND(
H211/IF(COUNTIF(C211,"*キャラ*"),
VLOOKUP("*キャラ*",商品マスタ一覧!$D:$J,7,FALSE),
IF(COUNTIF(C211,"*赤*"),
VLOOKUP("*赤*",商品マスタ一覧!$D:$J,7,FALSE),
VLOOKUP(C211,商品マスタ一覧!$D:$J,7,FALSE))),0)&lt;=0,1,
ROUND(
H211/IF(COUNTIF(C211,"*キャラ*"),
VLOOKUP("*キャラ*",商品マスタ一覧!$D:$J,7,FALSE),
IF(COUNTIF(C211,"*赤*"),
VLOOKUP("*赤*",商品マスタ一覧!$D:$J,7,FALSE),
VLOOKUP(C211,商品マスタ一覧!$D:$J,7,FALSE))),0)),"")),"")</f>
        <v/>
      </c>
      <c r="G211" s="84" t="str">
        <f ca="1">IF(F211&lt;&gt;"",IF(VALUE(H211)&gt;VALUE(IF(COUNTIF(C211,"*キャラ*"),
VLOOKUP("*キャラ*",商品マスタ一覧!$D:$J,7,FALSE),
IF(COUNTIF(C211,"*赤*"),
VLOOKUP("*赤*",商品マスタ一覧!$D:$J,7,FALSE),
VLOOKUP(C211,商品マスタ一覧!$D:$J,7,FALSE)))*F211),
"+"&amp;H211-IF(COUNTIF(C211,"*キャラ*"),
VLOOKUP("*キャラ*",商品マスタ一覧!$D:$J,7,FALSE),
IF(COUNTIF(C211,"*赤*"),
VLOOKUP("*赤*",商品マスタ一覧!$D:$J,7,FALSE),
VLOOKUP(C211,商品マスタ一覧!$D:$J,7,FALSE)))*F211,
H211-IF(COUNTIF(C211,"*キャラ*"),
VLOOKUP("*キャラ*",商品マスタ一覧!$D:$J,7,FALSE),
IF(COUNTIF(C211,"*赤*"),
VLOOKUP("*赤*",商品マスタ一覧!$D:$J,7,FALSE),
VLOOKUP(C211,商品マスタ一覧!$D:$J,7,FALSE)))*F211),"")</f>
        <v/>
      </c>
      <c r="H211" s="82" t="str">
        <f t="array" aca="1" ref="H211" ca="1">IF(OR(INDIRECT("まとめ札!H"&amp;B209&amp;"")="",INDIRECT("まとめ札!H"&amp;B209&amp;"")=0),"",INDIRECT("まとめ札!H"&amp;B209&amp;""))</f>
        <v/>
      </c>
      <c r="I211" s="82"/>
      <c r="J211" s="82" t="str">
        <f ca="1">IF(C211&lt;&gt;"",
IF(OR(COUNTIF(C211,"*キャラ*"),COUNTIF(C211,"*赤*")),24,
VLOOKUP(C211,商品マスタ一覧!$D:$I,6,FALSE)),"")</f>
        <v/>
      </c>
      <c r="K211" s="82" t="str">
        <f t="shared" ca="1" si="0"/>
        <v/>
      </c>
      <c r="L211" s="82" t="str">
        <f t="shared" ca="1" si="1"/>
        <v/>
      </c>
      <c r="M211" s="82"/>
      <c r="N211" s="82"/>
      <c r="O211" s="82"/>
      <c r="P211" s="82" t="str">
        <f t="shared" ca="1" si="2"/>
        <v/>
      </c>
      <c r="Q211" s="82" t="str">
        <f t="shared" ca="1" si="3"/>
        <v/>
      </c>
    </row>
    <row r="212" spans="2:17">
      <c r="B212" s="82"/>
      <c r="C212" s="83" t="str">
        <f t="array" aca="1" ref="C212" ca="1">IF(OR(INDIRECT("まとめ札!I"&amp;B209&amp;"")="",INDIRECT("まとめ札!I"&amp;B209&amp;"")=0),"",INDIRECT("まとめ札!A"&amp;B209&amp;"")&amp;"【4】")</f>
        <v/>
      </c>
      <c r="D212" s="83"/>
      <c r="E212" s="83" t="str">
        <f>""</f>
        <v/>
      </c>
      <c r="F212" s="83" t="str">
        <f ca="1">IF(C212&lt;&gt;"",
IF(IF(COUNTIF(C212,"*キャラ*"),
VLOOKUP("*キャラ*",商品マスタ一覧!$D:$J,7,FALSE),
IF(COUNTIF(C212,"*赤*"),
VLOOKUP("*赤*",商品マスタ一覧!$D:$J,7,FALSE),
VLOOKUP(C212,商品マスタ一覧!$D:$J,7,FALSE)))=0,"",
IF(H212&lt;&gt;"",
IF(ROUND(
H212/IF(COUNTIF(C212,"*キャラ*"),
VLOOKUP("*キャラ*",商品マスタ一覧!$D:$J,7,FALSE),
IF(COUNTIF(C212,"*赤*"),
VLOOKUP("*赤*",商品マスタ一覧!$D:$J,7,FALSE),
VLOOKUP(C212,商品マスタ一覧!$D:$J,7,FALSE))),0)&lt;=0,1,
ROUND(
H212/IF(COUNTIF(C212,"*キャラ*"),
VLOOKUP("*キャラ*",商品マスタ一覧!$D:$J,7,FALSE),
IF(COUNTIF(C212,"*赤*"),
VLOOKUP("*赤*",商品マスタ一覧!$D:$J,7,FALSE),
VLOOKUP(C212,商品マスタ一覧!$D:$J,7,FALSE))),0)),"")),"")</f>
        <v/>
      </c>
      <c r="G212" s="84" t="str">
        <f ca="1">IF(F212&lt;&gt;"",IF(VALUE(H212)&gt;VALUE(IF(COUNTIF(C212,"*キャラ*"),
VLOOKUP("*キャラ*",商品マスタ一覧!$D:$J,7,FALSE),
IF(COUNTIF(C212,"*赤*"),
VLOOKUP("*赤*",商品マスタ一覧!$D:$J,7,FALSE),
VLOOKUP(C212,商品マスタ一覧!$D:$J,7,FALSE)))*F212),
"+"&amp;H212-IF(COUNTIF(C212,"*キャラ*"),
VLOOKUP("*キャラ*",商品マスタ一覧!$D:$J,7,FALSE),
IF(COUNTIF(C212,"*赤*"),
VLOOKUP("*赤*",商品マスタ一覧!$D:$J,7,FALSE),
VLOOKUP(C212,商品マスタ一覧!$D:$J,7,FALSE)))*F212,
H212-IF(COUNTIF(C212,"*キャラ*"),
VLOOKUP("*キャラ*",商品マスタ一覧!$D:$J,7,FALSE),
IF(COUNTIF(C212,"*赤*"),
VLOOKUP("*赤*",商品マスタ一覧!$D:$J,7,FALSE),
VLOOKUP(C212,商品マスタ一覧!$D:$J,7,FALSE)))*F212),"")</f>
        <v/>
      </c>
      <c r="H212" s="82" t="str">
        <f t="array" aca="1" ref="H212" ca="1">IF(OR(INDIRECT("まとめ札!I"&amp;B209&amp;"")="",INDIRECT("まとめ札!I"&amp;B209&amp;"")=0),"",INDIRECT("まとめ札!I"&amp;B209&amp;""))</f>
        <v/>
      </c>
      <c r="I212" s="82"/>
      <c r="J212" s="82" t="str">
        <f ca="1">IF(C212&lt;&gt;"",
IF(OR(COUNTIF(C212,"*キャラ*"),COUNTIF(C212,"*赤*")),24,
VLOOKUP(C212,商品マスタ一覧!$D:$I,6,FALSE)),"")</f>
        <v/>
      </c>
      <c r="K212" s="82" t="str">
        <f t="shared" ca="1" si="0"/>
        <v/>
      </c>
      <c r="L212" s="82" t="str">
        <f t="shared" ca="1" si="1"/>
        <v/>
      </c>
      <c r="M212" s="82"/>
      <c r="N212" s="82"/>
      <c r="O212" s="82"/>
      <c r="P212" s="82" t="str">
        <f t="shared" ca="1" si="2"/>
        <v/>
      </c>
      <c r="Q212" s="82" t="str">
        <f t="shared" ca="1" si="3"/>
        <v/>
      </c>
    </row>
    <row r="213" spans="2:17">
      <c r="B213" s="82">
        <v>9</v>
      </c>
      <c r="C213" s="83" t="str">
        <f t="array" aca="1" ref="C213" ca="1">IF(INDIRECT("まとめ札!A"&amp;B213&amp;"")&lt;&gt;0,INDIRECT("まとめ札!A"&amp;B213&amp;"")&amp;"【1】","")</f>
        <v>社食  【1】</v>
      </c>
      <c r="D213" s="83"/>
      <c r="E213" s="83" t="str">
        <f>""</f>
        <v/>
      </c>
      <c r="F213" s="83" t="e">
        <f ca="1">IF(C213&lt;&gt;"",
IF(IF(COUNTIF(C213,"*キャラ*"),
VLOOKUP("*キャラ*",商品マスタ一覧!$D:$J,7,FALSE),
IF(COUNTIF(C213,"*赤*"),
VLOOKUP("*赤*",商品マスタ一覧!$D:$J,7,FALSE),
VLOOKUP(C213,商品マスタ一覧!$D:$J,7,FALSE)))=0,"",
IF(H213&lt;&gt;"",
IF(ROUND(
H213/IF(COUNTIF(C213,"*キャラ*"),
VLOOKUP("*キャラ*",商品マスタ一覧!$D:$J,7,FALSE),
IF(COUNTIF(C213,"*赤*"),
VLOOKUP("*赤*",商品マスタ一覧!$D:$J,7,FALSE),
VLOOKUP(C213,商品マスタ一覧!$D:$J,7,FALSE))),0)&lt;=0,1,
ROUND(
H213/IF(COUNTIF(C213,"*キャラ*"),
VLOOKUP("*キャラ*",商品マスタ一覧!$D:$J,7,FALSE),
IF(COUNTIF(C213,"*赤*"),
VLOOKUP("*赤*",商品マスタ一覧!$D:$J,7,FALSE),
VLOOKUP(C213,商品マスタ一覧!$D:$J,7,FALSE))),0)),"")),"")</f>
        <v>#N/A</v>
      </c>
      <c r="G213" s="84" t="e">
        <f ca="1">IF(F213&lt;&gt;"",IF(VALUE(H213)&gt;VALUE(IF(COUNTIF(C213,"*キャラ*"),
VLOOKUP("*キャラ*",商品マスタ一覧!$D:$J,7,FALSE),
IF(COUNTIF(C213,"*赤*"),
VLOOKUP("*赤*",商品マスタ一覧!$D:$J,7,FALSE),
VLOOKUP(C213,商品マスタ一覧!$D:$J,7,FALSE)))*F213),
"+"&amp;H213-IF(COUNTIF(C213,"*キャラ*"),
VLOOKUP("*キャラ*",商品マスタ一覧!$D:$J,7,FALSE),
IF(COUNTIF(C213,"*赤*"),
VLOOKUP("*赤*",商品マスタ一覧!$D:$J,7,FALSE),
VLOOKUP(C213,商品マスタ一覧!$D:$J,7,FALSE)))*F213,
H213-IF(COUNTIF(C213,"*キャラ*"),
VLOOKUP("*キャラ*",商品マスタ一覧!$D:$J,7,FALSE),
IF(COUNTIF(C213,"*赤*"),
VLOOKUP("*赤*",商品マスタ一覧!$D:$J,7,FALSE),
VLOOKUP(C213,商品マスタ一覧!$D:$J,7,FALSE)))*F213),"")</f>
        <v>#N/A</v>
      </c>
      <c r="H213" s="82" t="str">
        <f t="array" aca="1" ref="H213" ca="1">IF(INDIRECT("まとめ札!F"&amp;B213&amp;"")&lt;&gt;0,INDIRECT("まとめ札!F"&amp;B213&amp;""),"")</f>
        <v/>
      </c>
      <c r="I213" s="82"/>
      <c r="J213" s="82" t="e">
        <f ca="1">IF(C213&lt;&gt;"",
IF(OR(COUNTIF(C213,"*キャラ*"),COUNTIF(C213,"*赤*")),24,
VLOOKUP(C213,商品マスタ一覧!$D:$I,6,FALSE)),"")</f>
        <v>#N/A</v>
      </c>
      <c r="K213" s="82" t="str">
        <f t="shared" ca="1" si="0"/>
        <v/>
      </c>
      <c r="L213" s="82" t="str">
        <f t="shared" ca="1" si="1"/>
        <v/>
      </c>
      <c r="M213" s="82"/>
      <c r="N213" s="82"/>
      <c r="O213" s="82"/>
      <c r="P213" s="82" t="str">
        <f t="shared" ca="1" si="2"/>
        <v/>
      </c>
      <c r="Q213" s="82" t="str">
        <f t="shared" ca="1" si="3"/>
        <v/>
      </c>
    </row>
    <row r="214" spans="2:17">
      <c r="B214" s="82"/>
      <c r="C214" s="83" t="str">
        <f t="array" aca="1" ref="C214" ca="1">IF(OR(INDIRECT("まとめ札!G"&amp;B213&amp;"")="",INDIRECT("まとめ札!G"&amp;B213&amp;"")=0),"",INDIRECT("まとめ札!A"&amp;B213&amp;"")&amp;"【2】")</f>
        <v/>
      </c>
      <c r="D214" s="83"/>
      <c r="E214" s="83" t="str">
        <f>""</f>
        <v/>
      </c>
      <c r="F214" s="83" t="str">
        <f ca="1">IF(C214&lt;&gt;"",
IF(IF(COUNTIF(C214,"*キャラ*"),
VLOOKUP("*キャラ*",商品マスタ一覧!$D:$J,7,FALSE),
IF(COUNTIF(C214,"*赤*"),
VLOOKUP("*赤*",商品マスタ一覧!$D:$J,7,FALSE),
VLOOKUP(C214,商品マスタ一覧!$D:$J,7,FALSE)))=0,"",
IF(H214&lt;&gt;"",
IF(ROUND(
H214/IF(COUNTIF(C214,"*キャラ*"),
VLOOKUP("*キャラ*",商品マスタ一覧!$D:$J,7,FALSE),
IF(COUNTIF(C214,"*赤*"),
VLOOKUP("*赤*",商品マスタ一覧!$D:$J,7,FALSE),
VLOOKUP(C214,商品マスタ一覧!$D:$J,7,FALSE))),0)&lt;=0,1,
ROUND(
H214/IF(COUNTIF(C214,"*キャラ*"),
VLOOKUP("*キャラ*",商品マスタ一覧!$D:$J,7,FALSE),
IF(COUNTIF(C214,"*赤*"),
VLOOKUP("*赤*",商品マスタ一覧!$D:$J,7,FALSE),
VLOOKUP(C214,商品マスタ一覧!$D:$J,7,FALSE))),0)),"")),"")</f>
        <v/>
      </c>
      <c r="G214" s="84" t="str">
        <f ca="1">IF(F214&lt;&gt;"",IF(VALUE(H214)&gt;VALUE(IF(COUNTIF(C214,"*キャラ*"),
VLOOKUP("*キャラ*",商品マスタ一覧!$D:$J,7,FALSE),
IF(COUNTIF(C214,"*赤*"),
VLOOKUP("*赤*",商品マスタ一覧!$D:$J,7,FALSE),
VLOOKUP(C214,商品マスタ一覧!$D:$J,7,FALSE)))*F214),
"+"&amp;H214-IF(COUNTIF(C214,"*キャラ*"),
VLOOKUP("*キャラ*",商品マスタ一覧!$D:$J,7,FALSE),
IF(COUNTIF(C214,"*赤*"),
VLOOKUP("*赤*",商品マスタ一覧!$D:$J,7,FALSE),
VLOOKUP(C214,商品マスタ一覧!$D:$J,7,FALSE)))*F214,
H214-IF(COUNTIF(C214,"*キャラ*"),
VLOOKUP("*キャラ*",商品マスタ一覧!$D:$J,7,FALSE),
IF(COUNTIF(C214,"*赤*"),
VLOOKUP("*赤*",商品マスタ一覧!$D:$J,7,FALSE),
VLOOKUP(C214,商品マスタ一覧!$D:$J,7,FALSE)))*F214),"")</f>
        <v/>
      </c>
      <c r="H214" s="82" t="str">
        <f t="array" aca="1" ref="H214" ca="1">IF(OR(INDIRECT("まとめ札!G"&amp;B213&amp;"")="",INDIRECT("まとめ札!G"&amp;B213&amp;"")=0),"",INDIRECT("まとめ札!G"&amp;B213&amp;""))</f>
        <v/>
      </c>
      <c r="I214" s="82"/>
      <c r="J214" s="82" t="str">
        <f ca="1">IF(C214&lt;&gt;"",
IF(OR(COUNTIF(C214,"*キャラ*"),COUNTIF(C214,"*赤*")),24,
VLOOKUP(C214,商品マスタ一覧!$D:$I,6,FALSE)),"")</f>
        <v/>
      </c>
      <c r="K214" s="82" t="str">
        <f t="shared" ca="1" si="0"/>
        <v/>
      </c>
      <c r="L214" s="82" t="str">
        <f t="shared" ca="1" si="1"/>
        <v/>
      </c>
      <c r="M214" s="82"/>
      <c r="N214" s="82"/>
      <c r="O214" s="82"/>
      <c r="P214" s="82" t="str">
        <f t="shared" ca="1" si="2"/>
        <v/>
      </c>
      <c r="Q214" s="82" t="str">
        <f t="shared" ca="1" si="3"/>
        <v/>
      </c>
    </row>
    <row r="215" spans="2:17">
      <c r="B215" s="82"/>
      <c r="C215" s="83" t="str">
        <f t="array" aca="1" ref="C215" ca="1">IF(OR(INDIRECT("まとめ札!H"&amp;B213&amp;"")="",INDIRECT("まとめ札!H"&amp;B213&amp;"")=0),"",INDIRECT("まとめ札!A"&amp;B213&amp;"")&amp;"【3】")</f>
        <v/>
      </c>
      <c r="D215" s="83"/>
      <c r="E215" s="83" t="str">
        <f>""</f>
        <v/>
      </c>
      <c r="F215" s="83" t="str">
        <f ca="1">IF(C215&lt;&gt;"",
IF(IF(COUNTIF(C215,"*キャラ*"),
VLOOKUP("*キャラ*",商品マスタ一覧!$D:$J,7,FALSE),
IF(COUNTIF(C215,"*赤*"),
VLOOKUP("*赤*",商品マスタ一覧!$D:$J,7,FALSE),
VLOOKUP(C215,商品マスタ一覧!$D:$J,7,FALSE)))=0,"",
IF(H215&lt;&gt;"",
IF(ROUND(
H215/IF(COUNTIF(C215,"*キャラ*"),
VLOOKUP("*キャラ*",商品マスタ一覧!$D:$J,7,FALSE),
IF(COUNTIF(C215,"*赤*"),
VLOOKUP("*赤*",商品マスタ一覧!$D:$J,7,FALSE),
VLOOKUP(C215,商品マスタ一覧!$D:$J,7,FALSE))),0)&lt;=0,1,
ROUND(
H215/IF(COUNTIF(C215,"*キャラ*"),
VLOOKUP("*キャラ*",商品マスタ一覧!$D:$J,7,FALSE),
IF(COUNTIF(C215,"*赤*"),
VLOOKUP("*赤*",商品マスタ一覧!$D:$J,7,FALSE),
VLOOKUP(C215,商品マスタ一覧!$D:$J,7,FALSE))),0)),"")),"")</f>
        <v/>
      </c>
      <c r="G215" s="84" t="str">
        <f ca="1">IF(F215&lt;&gt;"",IF(VALUE(H215)&gt;VALUE(IF(COUNTIF(C215,"*キャラ*"),
VLOOKUP("*キャラ*",商品マスタ一覧!$D:$J,7,FALSE),
IF(COUNTIF(C215,"*赤*"),
VLOOKUP("*赤*",商品マスタ一覧!$D:$J,7,FALSE),
VLOOKUP(C215,商品マスタ一覧!$D:$J,7,FALSE)))*F215),
"+"&amp;H215-IF(COUNTIF(C215,"*キャラ*"),
VLOOKUP("*キャラ*",商品マスタ一覧!$D:$J,7,FALSE),
IF(COUNTIF(C215,"*赤*"),
VLOOKUP("*赤*",商品マスタ一覧!$D:$J,7,FALSE),
VLOOKUP(C215,商品マスタ一覧!$D:$J,7,FALSE)))*F215,
H215-IF(COUNTIF(C215,"*キャラ*"),
VLOOKUP("*キャラ*",商品マスタ一覧!$D:$J,7,FALSE),
IF(COUNTIF(C215,"*赤*"),
VLOOKUP("*赤*",商品マスタ一覧!$D:$J,7,FALSE),
VLOOKUP(C215,商品マスタ一覧!$D:$J,7,FALSE)))*F215),"")</f>
        <v/>
      </c>
      <c r="H215" s="82" t="str">
        <f t="array" aca="1" ref="H215" ca="1">IF(OR(INDIRECT("まとめ札!H"&amp;B213&amp;"")="",INDIRECT("まとめ札!H"&amp;B213&amp;"")=0),"",INDIRECT("まとめ札!H"&amp;B213&amp;""))</f>
        <v/>
      </c>
      <c r="I215" s="82"/>
      <c r="J215" s="82" t="str">
        <f ca="1">IF(C215&lt;&gt;"",
IF(OR(COUNTIF(C215,"*キャラ*"),COUNTIF(C215,"*赤*")),24,
VLOOKUP(C215,商品マスタ一覧!$D:$I,6,FALSE)),"")</f>
        <v/>
      </c>
      <c r="K215" s="82" t="str">
        <f t="shared" ca="1" si="0"/>
        <v/>
      </c>
      <c r="L215" s="82" t="str">
        <f t="shared" ca="1" si="1"/>
        <v/>
      </c>
      <c r="M215" s="82"/>
      <c r="N215" s="82"/>
      <c r="O215" s="82"/>
      <c r="P215" s="82" t="str">
        <f t="shared" ca="1" si="2"/>
        <v/>
      </c>
      <c r="Q215" s="82" t="str">
        <f t="shared" ca="1" si="3"/>
        <v/>
      </c>
    </row>
    <row r="216" spans="2:17">
      <c r="B216" s="82"/>
      <c r="C216" s="83" t="str">
        <f t="array" aca="1" ref="C216" ca="1">IF(OR(INDIRECT("まとめ札!I"&amp;B213&amp;"")="",INDIRECT("まとめ札!I"&amp;B213&amp;"")=0),"",INDIRECT("まとめ札!A"&amp;B213&amp;"")&amp;"【4】")</f>
        <v/>
      </c>
      <c r="D216" s="83"/>
      <c r="E216" s="83" t="str">
        <f>""</f>
        <v/>
      </c>
      <c r="F216" s="83" t="str">
        <f ca="1">IF(C216&lt;&gt;"",
IF(IF(COUNTIF(C216,"*キャラ*"),
VLOOKUP("*キャラ*",商品マスタ一覧!$D:$J,7,FALSE),
IF(COUNTIF(C216,"*赤*"),
VLOOKUP("*赤*",商品マスタ一覧!$D:$J,7,FALSE),
VLOOKUP(C216,商品マスタ一覧!$D:$J,7,FALSE)))=0,"",
IF(H216&lt;&gt;"",
IF(ROUND(
H216/IF(COUNTIF(C216,"*キャラ*"),
VLOOKUP("*キャラ*",商品マスタ一覧!$D:$J,7,FALSE),
IF(COUNTIF(C216,"*赤*"),
VLOOKUP("*赤*",商品マスタ一覧!$D:$J,7,FALSE),
VLOOKUP(C216,商品マスタ一覧!$D:$J,7,FALSE))),0)&lt;=0,1,
ROUND(
H216/IF(COUNTIF(C216,"*キャラ*"),
VLOOKUP("*キャラ*",商品マスタ一覧!$D:$J,7,FALSE),
IF(COUNTIF(C216,"*赤*"),
VLOOKUP("*赤*",商品マスタ一覧!$D:$J,7,FALSE),
VLOOKUP(C216,商品マスタ一覧!$D:$J,7,FALSE))),0)),"")),"")</f>
        <v/>
      </c>
      <c r="G216" s="84" t="str">
        <f ca="1">IF(F216&lt;&gt;"",IF(VALUE(H216)&gt;VALUE(IF(COUNTIF(C216,"*キャラ*"),
VLOOKUP("*キャラ*",商品マスタ一覧!$D:$J,7,FALSE),
IF(COUNTIF(C216,"*赤*"),
VLOOKUP("*赤*",商品マスタ一覧!$D:$J,7,FALSE),
VLOOKUP(C216,商品マスタ一覧!$D:$J,7,FALSE)))*F216),
"+"&amp;H216-IF(COUNTIF(C216,"*キャラ*"),
VLOOKUP("*キャラ*",商品マスタ一覧!$D:$J,7,FALSE),
IF(COUNTIF(C216,"*赤*"),
VLOOKUP("*赤*",商品マスタ一覧!$D:$J,7,FALSE),
VLOOKUP(C216,商品マスタ一覧!$D:$J,7,FALSE)))*F216,
H216-IF(COUNTIF(C216,"*キャラ*"),
VLOOKUP("*キャラ*",商品マスタ一覧!$D:$J,7,FALSE),
IF(COUNTIF(C216,"*赤*"),
VLOOKUP("*赤*",商品マスタ一覧!$D:$J,7,FALSE),
VLOOKUP(C216,商品マスタ一覧!$D:$J,7,FALSE)))*F216),"")</f>
        <v/>
      </c>
      <c r="H216" s="82" t="str">
        <f t="array" aca="1" ref="H216" ca="1">IF(OR(INDIRECT("まとめ札!I"&amp;B213&amp;"")="",INDIRECT("まとめ札!I"&amp;B213&amp;"")=0),"",INDIRECT("まとめ札!I"&amp;B213&amp;""))</f>
        <v/>
      </c>
      <c r="I216" s="82"/>
      <c r="J216" s="82" t="str">
        <f ca="1">IF(C216&lt;&gt;"",
IF(OR(COUNTIF(C216,"*キャラ*"),COUNTIF(C216,"*赤*")),24,
VLOOKUP(C216,商品マスタ一覧!$D:$I,6,FALSE)),"")</f>
        <v/>
      </c>
      <c r="K216" s="82" t="str">
        <f t="shared" ca="1" si="0"/>
        <v/>
      </c>
      <c r="L216" s="82" t="str">
        <f t="shared" ca="1" si="1"/>
        <v/>
      </c>
      <c r="M216" s="82"/>
      <c r="N216" s="82"/>
      <c r="O216" s="82"/>
      <c r="P216" s="82" t="str">
        <f t="shared" ca="1" si="2"/>
        <v/>
      </c>
      <c r="Q216" s="82" t="str">
        <f t="shared" ca="1" si="3"/>
        <v/>
      </c>
    </row>
    <row r="217" spans="2:17">
      <c r="B217" s="89"/>
      <c r="C217" s="90" t="str">
        <f t="array" aca="1" ref="C217" ca="1">IFERROR(INDEX(先生札!$A$1:$N$24,SMALL(IF(先生札!$B$1:$B$24&lt;&gt;"",ROW(先生札!$B$1:$B$24),""),ROW(先生札!A1)),COLUMN(先生札!A$1)),"")</f>
        <v/>
      </c>
      <c r="D217" s="90">
        <f t="array" aca="1" ref="D217" ca="1">IFERROR(INDEX(先生札!$A$1:$N$24,SMALL(IF(先生札!$B$1:$B$24&lt;&gt;"",ROW(先生札!$B$1:$B$24),""),ROW(先生札!B1)),COLUMN(先生札!B$1)),"")</f>
        <v>0</v>
      </c>
      <c r="E217" s="89" t="s">
        <v>38</v>
      </c>
      <c r="F217" s="89" t="str">
        <f>""</f>
        <v/>
      </c>
      <c r="G217" s="89" t="str">
        <f>""</f>
        <v/>
      </c>
      <c r="H217" s="89" t="str">
        <f>""</f>
        <v/>
      </c>
      <c r="I217" s="89" t="str">
        <f t="array" aca="1" ref="I217" ca="1">IFERROR(INDEX(先生札!$A$1:$N$24,SMALL(IF(先生札!$B$1:$B$24&lt;&gt;"",ROW(先生札!$B$1:$B$24),""),ROW(先生札!F1)),COLUMN(先生札!F$1)),"")</f>
        <v/>
      </c>
      <c r="J217" s="89" t="str">
        <f>""</f>
        <v/>
      </c>
      <c r="K217" s="89" t="str">
        <f>""</f>
        <v/>
      </c>
      <c r="L217" s="89" t="str">
        <f>""</f>
        <v/>
      </c>
      <c r="M217" s="89"/>
      <c r="N217" s="89"/>
      <c r="O217" s="89" t="str">
        <f>""</f>
        <v/>
      </c>
      <c r="P217" s="89" t="str">
        <f t="shared" ca="1" si="2"/>
        <v/>
      </c>
      <c r="Q217" s="89" t="str">
        <f t="shared" ref="Q217:Q224" ca="1" si="4">IF(I217&lt;&gt;"","TRUE","")</f>
        <v/>
      </c>
    </row>
    <row r="218" spans="2:17">
      <c r="B218" s="89"/>
      <c r="C218" s="90" t="str">
        <f t="array" aca="1" ref="C218" ca="1">IFERROR(INDEX(先生札!$A$1:$N$24,SMALL(IF(先生札!$B$1:$B$24&lt;&gt;"",ROW(先生札!$B$1:$B$24),""),ROW(先生札!A2)),COLUMN(先生札!A$1)),"")</f>
        <v/>
      </c>
      <c r="D218" s="90">
        <f t="array" aca="1" ref="D218" ca="1">IFERROR(INDEX(先生札!$A$1:$N$24,SMALL(IF(先生札!$B$1:$B$24&lt;&gt;"",ROW(先生札!$B$1:$B$24),""),ROW(先生札!B2)),COLUMN(先生札!B$1)),"")</f>
        <v>0</v>
      </c>
      <c r="E218" s="89" t="s">
        <v>38</v>
      </c>
      <c r="F218" s="89" t="str">
        <f>""</f>
        <v/>
      </c>
      <c r="G218" s="89" t="str">
        <f>""</f>
        <v/>
      </c>
      <c r="H218" s="89" t="str">
        <f>""</f>
        <v/>
      </c>
      <c r="I218" s="89" t="str">
        <f t="array" aca="1" ref="I218" ca="1">IFERROR(INDEX(先生札!$A$1:$N$24,SMALL(IF(先生札!$B$1:$B$24&lt;&gt;"",ROW(先生札!$B$1:$B$24),""),ROW(先生札!F2)),COLUMN(先生札!F$1)),"")</f>
        <v/>
      </c>
      <c r="J218" s="89" t="str">
        <f>""</f>
        <v/>
      </c>
      <c r="K218" s="89" t="str">
        <f>""</f>
        <v/>
      </c>
      <c r="L218" s="89" t="str">
        <f>""</f>
        <v/>
      </c>
      <c r="M218" s="89"/>
      <c r="N218" s="89"/>
      <c r="O218" s="89" t="str">
        <f>""</f>
        <v/>
      </c>
      <c r="P218" s="89" t="str">
        <f t="shared" ca="1" si="2"/>
        <v/>
      </c>
      <c r="Q218" s="89" t="str">
        <f t="shared" ca="1" si="4"/>
        <v/>
      </c>
    </row>
    <row r="219" spans="2:17">
      <c r="B219" s="89"/>
      <c r="C219" s="90" t="str">
        <f t="array" aca="1" ref="C219" ca="1">IFERROR(INDEX(先生札!$A$1:$N$24,SMALL(IF(先生札!$B$1:$B$24&lt;&gt;"",ROW(先生札!$B$1:$B$24),""),ROW(先生札!A3)),COLUMN(先生札!A$1)),"")</f>
        <v/>
      </c>
      <c r="D219" s="90">
        <f t="array" aca="1" ref="D219" ca="1">IFERROR(INDEX(先生札!$A$1:$N$24,SMALL(IF(先生札!$B$1:$B$24&lt;&gt;"",ROW(先生札!$B$1:$B$24),""),ROW(先生札!B3)),COLUMN(先生札!B$1)),"")</f>
        <v>0</v>
      </c>
      <c r="E219" s="89" t="s">
        <v>38</v>
      </c>
      <c r="F219" s="89" t="str">
        <f>""</f>
        <v/>
      </c>
      <c r="G219" s="89" t="str">
        <f>""</f>
        <v/>
      </c>
      <c r="H219" s="89" t="str">
        <f>""</f>
        <v/>
      </c>
      <c r="I219" s="89" t="str">
        <f t="array" aca="1" ref="I219" ca="1">IFERROR(INDEX(先生札!$A$1:$N$24,SMALL(IF(先生札!$B$1:$B$24&lt;&gt;"",ROW(先生札!$B$1:$B$24),""),ROW(先生札!F3)),COLUMN(先生札!F$1)),"")</f>
        <v/>
      </c>
      <c r="J219" s="89" t="str">
        <f>""</f>
        <v/>
      </c>
      <c r="K219" s="89" t="str">
        <f>""</f>
        <v/>
      </c>
      <c r="L219" s="89" t="str">
        <f>""</f>
        <v/>
      </c>
      <c r="M219" s="89"/>
      <c r="N219" s="89"/>
      <c r="O219" s="89" t="str">
        <f>""</f>
        <v/>
      </c>
      <c r="P219" s="89" t="str">
        <f t="shared" ca="1" si="2"/>
        <v/>
      </c>
      <c r="Q219" s="89" t="str">
        <f t="shared" ca="1" si="4"/>
        <v/>
      </c>
    </row>
    <row r="220" spans="2:17">
      <c r="B220" s="89"/>
      <c r="C220" s="90" t="str">
        <f t="array" aca="1" ref="C220" ca="1">IFERROR(INDEX(先生札!$A$1:$N$24,SMALL(IF(先生札!$B$1:$B$24&lt;&gt;"",ROW(先生札!$B$1:$B$24),""),ROW(先生札!A4)),COLUMN(先生札!A$1)),"")</f>
        <v/>
      </c>
      <c r="D220" s="90">
        <f t="array" aca="1" ref="D220" ca="1">IFERROR(INDEX(先生札!$A$1:$N$24,SMALL(IF(先生札!$B$1:$B$24&lt;&gt;"",ROW(先生札!$B$1:$B$24),""),ROW(先生札!B4)),COLUMN(先生札!B$1)),"")</f>
        <v>0</v>
      </c>
      <c r="E220" s="89" t="s">
        <v>38</v>
      </c>
      <c r="F220" s="89" t="str">
        <f>""</f>
        <v/>
      </c>
      <c r="G220" s="89" t="str">
        <f>""</f>
        <v/>
      </c>
      <c r="H220" s="89" t="str">
        <f>""</f>
        <v/>
      </c>
      <c r="I220" s="89" t="str">
        <f t="array" aca="1" ref="I220" ca="1">IFERROR(INDEX(先生札!$A$1:$N$24,SMALL(IF(先生札!$B$1:$B$24&lt;&gt;"",ROW(先生札!$B$1:$B$24),""),ROW(先生札!F4)),COLUMN(先生札!F$1)),"")</f>
        <v/>
      </c>
      <c r="J220" s="89" t="str">
        <f>""</f>
        <v/>
      </c>
      <c r="K220" s="89" t="str">
        <f>""</f>
        <v/>
      </c>
      <c r="L220" s="89" t="str">
        <f>""</f>
        <v/>
      </c>
      <c r="M220" s="89"/>
      <c r="N220" s="89"/>
      <c r="O220" s="89" t="str">
        <f>""</f>
        <v/>
      </c>
      <c r="P220" s="89" t="str">
        <f t="shared" ca="1" si="2"/>
        <v/>
      </c>
      <c r="Q220" s="89" t="str">
        <f t="shared" ca="1" si="4"/>
        <v/>
      </c>
    </row>
    <row r="221" spans="2:17">
      <c r="B221" s="89"/>
      <c r="C221" s="90" t="str">
        <f t="array" aca="1" ref="C221" ca="1">IFERROR(INDEX(先生札!$A$1:$N$24,SMALL(IF(先生札!$B$1:$B$24&lt;&gt;"",ROW(先生札!$B$1:$B$24),""),ROW(先生札!A5)),COLUMN(先生札!A$1)),"")</f>
        <v/>
      </c>
      <c r="D221" s="90">
        <f t="array" aca="1" ref="D221" ca="1">IFERROR(INDEX(先生札!$A$1:$N$24,SMALL(IF(先生札!$B$1:$B$24&lt;&gt;"",ROW(先生札!$B$1:$B$24),""),ROW(先生札!B5)),COLUMN(先生札!B$1)),"")</f>
        <v>0</v>
      </c>
      <c r="E221" s="89" t="s">
        <v>38</v>
      </c>
      <c r="F221" s="89" t="str">
        <f>""</f>
        <v/>
      </c>
      <c r="G221" s="89" t="str">
        <f>""</f>
        <v/>
      </c>
      <c r="H221" s="89" t="str">
        <f>""</f>
        <v/>
      </c>
      <c r="I221" s="89" t="str">
        <f t="array" aca="1" ref="I221" ca="1">IFERROR(INDEX(先生札!$A$1:$N$24,SMALL(IF(先生札!$B$1:$B$24&lt;&gt;"",ROW(先生札!$B$1:$B$24),""),ROW(先生札!F5)),COLUMN(先生札!F$1)),"")</f>
        <v/>
      </c>
      <c r="J221" s="89" t="str">
        <f>""</f>
        <v/>
      </c>
      <c r="K221" s="89" t="str">
        <f>""</f>
        <v/>
      </c>
      <c r="L221" s="89" t="str">
        <f>""</f>
        <v/>
      </c>
      <c r="M221" s="89"/>
      <c r="N221" s="89"/>
      <c r="O221" s="89" t="str">
        <f>""</f>
        <v/>
      </c>
      <c r="P221" s="89" t="str">
        <f t="shared" ca="1" si="2"/>
        <v/>
      </c>
      <c r="Q221" s="89" t="str">
        <f t="shared" ca="1" si="4"/>
        <v/>
      </c>
    </row>
    <row r="222" spans="2:17">
      <c r="B222" s="89"/>
      <c r="C222" s="90" t="str">
        <f t="array" aca="1" ref="C222" ca="1">IFERROR(INDEX(先生札!$A$1:$N$24,SMALL(IF(先生札!$B$1:$B$24&lt;&gt;"",ROW(先生札!$B$1:$B$24),""),ROW(先生札!A6)),COLUMN(先生札!A$1)),"")</f>
        <v/>
      </c>
      <c r="D222" s="90">
        <f t="array" aca="1" ref="D222" ca="1">IFERROR(INDEX(先生札!$A$1:$N$24,SMALL(IF(先生札!$B$1:$B$24&lt;&gt;"",ROW(先生札!$B$1:$B$24),""),ROW(先生札!B6)),COLUMN(先生札!B$1)),"")</f>
        <v>0</v>
      </c>
      <c r="E222" s="89" t="s">
        <v>38</v>
      </c>
      <c r="F222" s="89" t="str">
        <f>""</f>
        <v/>
      </c>
      <c r="G222" s="89" t="str">
        <f>""</f>
        <v/>
      </c>
      <c r="H222" s="89" t="str">
        <f>""</f>
        <v/>
      </c>
      <c r="I222" s="89" t="str">
        <f t="array" aca="1" ref="I222" ca="1">IFERROR(INDEX(先生札!$A$1:$N$24,SMALL(IF(先生札!$B$1:$B$24&lt;&gt;"",ROW(先生札!$B$1:$B$24),""),ROW(先生札!F6)),COLUMN(先生札!F$1)),"")</f>
        <v/>
      </c>
      <c r="J222" s="89" t="str">
        <f>""</f>
        <v/>
      </c>
      <c r="K222" s="89" t="str">
        <f>""</f>
        <v/>
      </c>
      <c r="L222" s="89" t="str">
        <f>""</f>
        <v/>
      </c>
      <c r="M222" s="89"/>
      <c r="N222" s="89"/>
      <c r="O222" s="89" t="str">
        <f>""</f>
        <v/>
      </c>
      <c r="P222" s="89" t="str">
        <f t="shared" ca="1" si="2"/>
        <v/>
      </c>
      <c r="Q222" s="89" t="str">
        <f t="shared" ca="1" si="4"/>
        <v/>
      </c>
    </row>
    <row r="223" spans="2:17">
      <c r="B223" s="89"/>
      <c r="C223" s="90" t="str">
        <f t="array" aca="1" ref="C223" ca="1">IFERROR(INDEX(先生札!$A$1:$N$24,SMALL(IF(先生札!$B$1:$B$24&lt;&gt;"",ROW(先生札!$B$1:$B$24),""),ROW(先生札!A7)),COLUMN(先生札!A$1)),"")</f>
        <v/>
      </c>
      <c r="D223" s="90">
        <f t="array" aca="1" ref="D223" ca="1">IFERROR(INDEX(先生札!$A$1:$N$24,SMALL(IF(先生札!$B$1:$B$24&lt;&gt;"",ROW(先生札!$B$1:$B$24),""),ROW(先生札!B7)),COLUMN(先生札!B$1)),"")</f>
        <v>0</v>
      </c>
      <c r="E223" s="89" t="s">
        <v>38</v>
      </c>
      <c r="F223" s="89" t="str">
        <f>""</f>
        <v/>
      </c>
      <c r="G223" s="89" t="str">
        <f>""</f>
        <v/>
      </c>
      <c r="H223" s="89" t="str">
        <f>""</f>
        <v/>
      </c>
      <c r="I223" s="89" t="str">
        <f t="array" aca="1" ref="I223" ca="1">IFERROR(INDEX(先生札!$A$1:$N$24,SMALL(IF(先生札!$B$1:$B$24&lt;&gt;"",ROW(先生札!$B$1:$B$24),""),ROW(先生札!F7)),COLUMN(先生札!F$1)),"")</f>
        <v/>
      </c>
      <c r="J223" s="89" t="str">
        <f>""</f>
        <v/>
      </c>
      <c r="K223" s="89" t="str">
        <f>""</f>
        <v/>
      </c>
      <c r="L223" s="89" t="str">
        <f>""</f>
        <v/>
      </c>
      <c r="M223" s="89"/>
      <c r="N223" s="89"/>
      <c r="O223" s="89" t="str">
        <f>""</f>
        <v/>
      </c>
      <c r="P223" s="89" t="str">
        <f t="shared" ca="1" si="2"/>
        <v/>
      </c>
      <c r="Q223" s="89" t="str">
        <f t="shared" ca="1" si="4"/>
        <v/>
      </c>
    </row>
    <row r="224" spans="2:17">
      <c r="B224" s="89"/>
      <c r="C224" s="90" t="str">
        <f t="array" aca="1" ref="C224" ca="1">IFERROR(INDEX(先生札!$A$1:$N$24,SMALL(IF(先生札!$B$1:$B$24&lt;&gt;"",ROW(先生札!$B$1:$B$24),""),ROW(先生札!A8)),COLUMN(先生札!A$1)),"")</f>
        <v/>
      </c>
      <c r="D224" s="90">
        <f t="array" aca="1" ref="D224" ca="1">IFERROR(INDEX(先生札!$A$1:$N$24,SMALL(IF(先生札!$B$1:$B$24&lt;&gt;"",ROW(先生札!$B$1:$B$24),""),ROW(先生札!B8)),COLUMN(先生札!B$1)),"")</f>
        <v>0</v>
      </c>
      <c r="E224" s="89" t="s">
        <v>38</v>
      </c>
      <c r="F224" s="89" t="str">
        <f>""</f>
        <v/>
      </c>
      <c r="G224" s="89" t="str">
        <f>""</f>
        <v/>
      </c>
      <c r="H224" s="89" t="str">
        <f>""</f>
        <v/>
      </c>
      <c r="I224" s="89" t="str">
        <f t="array" aca="1" ref="I224" ca="1">IFERROR(INDEX(先生札!$A$1:$N$24,SMALL(IF(先生札!$B$1:$B$24&lt;&gt;"",ROW(先生札!$B$1:$B$24),""),ROW(先生札!F8)),COLUMN(先生札!F$1)),"")</f>
        <v/>
      </c>
      <c r="J224" s="89" t="str">
        <f>""</f>
        <v/>
      </c>
      <c r="K224" s="89" t="str">
        <f>""</f>
        <v/>
      </c>
      <c r="L224" s="89" t="str">
        <f>""</f>
        <v/>
      </c>
      <c r="M224" s="89"/>
      <c r="N224" s="89"/>
      <c r="O224" s="89" t="str">
        <f>""</f>
        <v/>
      </c>
      <c r="P224" s="89" t="str">
        <f t="shared" ca="1" si="2"/>
        <v/>
      </c>
      <c r="Q224" s="89" t="str">
        <f t="shared" ca="1" si="4"/>
        <v/>
      </c>
    </row>
    <row r="225" spans="2:17">
      <c r="B225" s="98"/>
      <c r="C225" s="99" t="str">
        <f>社食等の札!A1</f>
        <v>社食</v>
      </c>
      <c r="D225" s="99" t="str">
        <f ca="1">社食等の札!H1</f>
        <v/>
      </c>
      <c r="E225" s="99" t="str">
        <f ca="1">社食等の札!I1</f>
        <v/>
      </c>
      <c r="F225" s="99"/>
      <c r="G225" s="99"/>
      <c r="H225" s="98" t="e">
        <f ca="1">社食等の札!E1</f>
        <v>#N/A</v>
      </c>
      <c r="I225" s="98" t="str">
        <f>""</f>
        <v/>
      </c>
      <c r="J225" s="98" t="e">
        <f ca="1">社食等の札!G1</f>
        <v>#N/A</v>
      </c>
      <c r="K225" s="98"/>
      <c r="L225" s="98" t="str">
        <f ca="1">社食等の札!J1</f>
        <v/>
      </c>
      <c r="M225" s="98"/>
      <c r="N225" s="98"/>
      <c r="O225" s="98"/>
      <c r="P225" s="98">
        <f t="shared" si="2"/>
        <v>225</v>
      </c>
      <c r="Q225" s="98" t="str">
        <f>IF(C225&lt;&gt;"","TRUE","")</f>
        <v>TRUE</v>
      </c>
    </row>
    <row r="226" spans="2:17">
      <c r="B226" s="98"/>
      <c r="C226" s="99" t="str">
        <f>社食等の札!A2</f>
        <v>社食</v>
      </c>
      <c r="D226" s="99" t="str">
        <f ca="1">社食等の札!H2</f>
        <v/>
      </c>
      <c r="E226" s="99" t="str">
        <f ca="1">社食等の札!I2</f>
        <v/>
      </c>
      <c r="F226" s="99"/>
      <c r="G226" s="99"/>
      <c r="H226" s="98" t="str">
        <f>""</f>
        <v/>
      </c>
      <c r="I226" s="98" t="e">
        <f ca="1">社食等の札!F2</f>
        <v>#N/A</v>
      </c>
      <c r="J226" s="98" t="e">
        <f ca="1">社食等の札!G2</f>
        <v>#N/A</v>
      </c>
      <c r="K226" s="98"/>
      <c r="L226" s="98" t="str">
        <f ca="1">社食等の札!J2</f>
        <v/>
      </c>
      <c r="M226" s="98"/>
      <c r="N226" s="98"/>
      <c r="O226" s="98"/>
      <c r="P226" s="98">
        <f t="shared" si="2"/>
        <v>226</v>
      </c>
      <c r="Q226" s="98" t="str">
        <f>IF(C226&lt;&gt;"","TRUE","")</f>
        <v>TRUE</v>
      </c>
    </row>
    <row r="227" spans="2:17">
      <c r="B227" s="98"/>
      <c r="C227" s="99" t="str">
        <f ca="1">社食等の札!A7</f>
        <v/>
      </c>
      <c r="D227" s="99" t="str">
        <f ca="1">社食等の札!H7</f>
        <v/>
      </c>
      <c r="E227" s="99"/>
      <c r="F227" s="99"/>
      <c r="G227" s="99"/>
      <c r="H227" s="98" t="str">
        <f ca="1">社食等の札!E7</f>
        <v/>
      </c>
      <c r="I227" s="98" t="str">
        <f>""</f>
        <v/>
      </c>
      <c r="J227" s="98" t="str">
        <f ca="1">社食等の札!G7</f>
        <v/>
      </c>
      <c r="K227" s="98"/>
      <c r="L227" s="98" t="str">
        <f ca="1">社食等の札!J7</f>
        <v/>
      </c>
      <c r="M227" s="98"/>
      <c r="N227" s="98"/>
      <c r="O227" s="98"/>
      <c r="P227" s="98" t="str">
        <f t="shared" ca="1" si="2"/>
        <v/>
      </c>
      <c r="Q227" s="98" t="str">
        <f ca="1">IF(C227&lt;&gt;"","TRUE","")</f>
        <v/>
      </c>
    </row>
    <row r="228" spans="2:17">
      <c r="B228" s="98"/>
      <c r="C228" s="99" t="str">
        <f ca="1">社食等の札!A8</f>
        <v/>
      </c>
      <c r="D228" s="99" t="str">
        <f ca="1">社食等の札!H8</f>
        <v/>
      </c>
      <c r="E228" s="99"/>
      <c r="F228" s="99"/>
      <c r="G228" s="99"/>
      <c r="H228" s="98" t="str">
        <f>""</f>
        <v/>
      </c>
      <c r="I228" s="98" t="str">
        <f ca="1">社食等の札!F8</f>
        <v/>
      </c>
      <c r="J228" s="98" t="str">
        <f ca="1">社食等の札!G8</f>
        <v/>
      </c>
      <c r="K228" s="98"/>
      <c r="L228" s="98" t="str">
        <f ca="1">社食等の札!J8</f>
        <v/>
      </c>
      <c r="M228" s="98"/>
      <c r="N228" s="98"/>
      <c r="O228" s="98"/>
      <c r="P228" s="98" t="str">
        <f t="shared" ca="1" si="2"/>
        <v/>
      </c>
      <c r="Q228" s="98" t="str">
        <f ca="1">IF(C228&lt;&gt;"","TRUE","")</f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C2" sqref="C2"/>
    </sheetView>
  </sheetViews>
  <sheetFormatPr defaultRowHeight="22.2"/>
  <cols>
    <col min="1" max="1" width="2.796875" style="81" customWidth="1"/>
    <col min="2" max="2" width="8.09765625" style="52" customWidth="1"/>
    <col min="3" max="5" width="7.59765625" style="52" customWidth="1"/>
    <col min="6" max="6" width="12.19921875" style="52" customWidth="1"/>
    <col min="7" max="7" width="9.8984375" style="64" customWidth="1"/>
    <col min="8" max="9" width="9.8984375" style="52" customWidth="1"/>
    <col min="10" max="12" width="7.59765625" style="52" customWidth="1"/>
    <col min="13" max="13" width="12.19921875" style="52" customWidth="1"/>
    <col min="14" max="14" width="4.19921875" style="61" customWidth="1"/>
    <col min="15" max="15" width="2.796875" style="52" customWidth="1"/>
    <col min="16" max="16" width="2.796875" style="81" customWidth="1"/>
    <col min="17" max="17" width="8.09765625" style="52" customWidth="1"/>
    <col min="18" max="20" width="7.59765625" style="52" customWidth="1"/>
    <col min="21" max="21" width="12.19921875" style="52" customWidth="1"/>
    <col min="22" max="22" width="4.19921875" style="64" customWidth="1"/>
    <col min="23" max="23" width="8.5" style="52" hidden="1" customWidth="1"/>
    <col min="24" max="24" width="8.5" style="52" customWidth="1"/>
    <col min="25" max="27" width="7.59765625" style="52" customWidth="1"/>
    <col min="28" max="28" width="12.19921875" style="52" customWidth="1"/>
    <col min="29" max="29" width="4.19921875" style="61" customWidth="1"/>
    <col min="30" max="30" width="2.796875" style="52" customWidth="1"/>
    <col min="31" max="31" width="2.796875" style="81" customWidth="1"/>
    <col min="32" max="32" width="8.09765625" style="52" customWidth="1"/>
    <col min="33" max="35" width="7.59765625" style="52" customWidth="1"/>
    <col min="36" max="36" width="12.19921875" style="52" customWidth="1"/>
    <col min="37" max="37" width="4.19921875" style="64" customWidth="1"/>
    <col min="38" max="38" width="8.5" style="52" hidden="1" customWidth="1"/>
    <col min="39" max="39" width="8.5" style="52" customWidth="1"/>
    <col min="40" max="42" width="7.59765625" style="52" customWidth="1"/>
    <col min="43" max="43" width="12.19921875" style="52" customWidth="1"/>
    <col min="44" max="44" width="4.19921875" style="61" customWidth="1"/>
    <col min="45" max="45" width="2.796875" style="52" customWidth="1"/>
    <col min="46" max="46" width="2.796875" style="81" customWidth="1"/>
    <col min="47" max="47" width="8.09765625" style="52" customWidth="1"/>
    <col min="48" max="50" width="7.59765625" style="52" customWidth="1"/>
    <col min="51" max="51" width="12.19921875" style="52" customWidth="1"/>
    <col min="52" max="52" width="4.19921875" style="64" customWidth="1"/>
    <col min="53" max="53" width="8.5" style="52" hidden="1" customWidth="1"/>
    <col min="54" max="54" width="8.5" style="52" customWidth="1"/>
    <col min="55" max="57" width="7.59765625" style="52" customWidth="1"/>
    <col min="58" max="58" width="12.19921875" style="52" customWidth="1"/>
    <col min="59" max="59" width="4.19921875" style="61" customWidth="1"/>
    <col min="60" max="60" width="2.796875" style="52" customWidth="1"/>
    <col min="61" max="61" width="2.796875" style="81" customWidth="1"/>
    <col min="62" max="62" width="8.09765625" style="52" customWidth="1"/>
    <col min="63" max="65" width="7.59765625" style="52" customWidth="1"/>
    <col min="66" max="66" width="12.19921875" style="52" customWidth="1"/>
    <col min="67" max="67" width="4.19921875" style="64" customWidth="1"/>
    <col min="68" max="68" width="8.5" style="52" hidden="1" customWidth="1"/>
    <col min="69" max="69" width="8.5" style="52" customWidth="1"/>
    <col min="70" max="72" width="7.59765625" style="52" customWidth="1"/>
    <col min="73" max="73" width="12.19921875" style="52" customWidth="1"/>
    <col min="74" max="74" width="4.19921875" style="61" customWidth="1"/>
    <col min="75" max="75" width="2.796875" style="52" customWidth="1"/>
    <col min="76" max="76" width="2.796875" style="81" customWidth="1"/>
    <col min="77" max="77" width="8.09765625" style="52" customWidth="1"/>
    <col min="78" max="80" width="7.59765625" style="52" customWidth="1"/>
    <col min="81" max="81" width="12.19921875" style="52" customWidth="1"/>
    <col min="82" max="82" width="4.19921875" style="64" customWidth="1"/>
    <col min="83" max="83" width="8.5" style="52" hidden="1" customWidth="1"/>
    <col min="84" max="84" width="8.5" style="52" customWidth="1"/>
    <col min="85" max="87" width="7.59765625" style="52" customWidth="1"/>
    <col min="88" max="88" width="12.19921875" style="52" customWidth="1"/>
    <col min="89" max="89" width="4.19921875" style="61" customWidth="1"/>
    <col min="90" max="90" width="2.796875" style="52" customWidth="1"/>
    <col min="91" max="91" width="2.796875" style="81" customWidth="1"/>
    <col min="92" max="92" width="8.09765625" style="52" customWidth="1"/>
    <col min="93" max="95" width="7.59765625" style="52" customWidth="1"/>
    <col min="96" max="96" width="12.19921875" style="52" customWidth="1"/>
    <col min="97" max="97" width="4.19921875" style="64" customWidth="1"/>
    <col min="98" max="98" width="8.5" style="52" hidden="1" customWidth="1"/>
    <col min="99" max="99" width="8.5" style="52" customWidth="1"/>
    <col min="100" max="102" width="7.59765625" style="52" customWidth="1"/>
    <col min="103" max="103" width="12.19921875" style="52" customWidth="1"/>
    <col min="104" max="104" width="4.19921875" style="61" customWidth="1"/>
    <col min="105" max="105" width="2.796875" style="52" customWidth="1"/>
    <col min="106" max="106" width="2.796875" style="81" customWidth="1"/>
    <col min="107" max="107" width="8.09765625" style="52" customWidth="1"/>
    <col min="108" max="110" width="7.59765625" style="52" customWidth="1"/>
    <col min="111" max="111" width="12.19921875" style="52" customWidth="1"/>
    <col min="112" max="112" width="4.19921875" style="64" customWidth="1"/>
    <col min="113" max="113" width="8.5" style="52" hidden="1" customWidth="1"/>
    <col min="114" max="114" width="8.5" style="52" customWidth="1"/>
    <col min="115" max="117" width="7.59765625" style="52" customWidth="1"/>
    <col min="118" max="118" width="12.19921875" style="52" customWidth="1"/>
    <col min="119" max="119" width="4.19921875" style="61" customWidth="1"/>
    <col min="120" max="120" width="2.796875" style="52" customWidth="1"/>
    <col min="121" max="121" width="2.796875" style="81" customWidth="1"/>
    <col min="122" max="122" width="8.09765625" style="52" customWidth="1"/>
    <col min="123" max="125" width="7.59765625" style="52" customWidth="1"/>
    <col min="126" max="126" width="12.19921875" style="52" customWidth="1"/>
    <col min="127" max="127" width="4.19921875" style="64" customWidth="1"/>
    <col min="128" max="128" width="8.5" style="52" hidden="1" customWidth="1"/>
    <col min="129" max="129" width="8.5" style="52" customWidth="1"/>
    <col min="130" max="132" width="7.59765625" style="52" customWidth="1"/>
    <col min="133" max="133" width="12.19921875" style="52" customWidth="1"/>
    <col min="134" max="134" width="4.19921875" style="61" customWidth="1"/>
    <col min="135" max="135" width="2.796875" style="52" customWidth="1"/>
    <col min="136" max="136" width="2.796875" style="81" customWidth="1"/>
    <col min="137" max="137" width="8.09765625" style="52" customWidth="1"/>
    <col min="138" max="140" width="7.59765625" style="52" customWidth="1"/>
    <col min="141" max="141" width="12.19921875" style="52" customWidth="1"/>
    <col min="142" max="142" width="4.19921875" style="64" customWidth="1"/>
    <col min="143" max="143" width="8.5" style="52" hidden="1" customWidth="1"/>
    <col min="144" max="144" width="8.5" style="52" customWidth="1"/>
    <col min="145" max="147" width="7.59765625" style="52" customWidth="1"/>
    <col min="148" max="148" width="12.19921875" style="52" customWidth="1"/>
    <col min="149" max="149" width="4.19921875" style="61" customWidth="1"/>
    <col min="150" max="150" width="2.796875" style="52" customWidth="1"/>
  </cols>
  <sheetData>
    <row r="1" spans="1:150" s="55" customFormat="1" ht="25.8" customHeight="1">
      <c r="A1" s="54">
        <v>1</v>
      </c>
      <c r="B1" s="66" t="str">
        <f ca="1">IF(C1&lt;&gt;"",
MID(貼り付け用!$A$2, FIND("年",貼り付け用!$A$2)+1,2)&amp;"/"&amp;MID(貼り付け用!$A$2, FIND("月",貼り付け用!$A$2)+1,2),"")</f>
        <v/>
      </c>
      <c r="C1" s="245" t="str">
        <f t="array" aca="1" ref="C1" ca="1">SUBSTITUTE(SUBSTITUTE(SUBSTITUTE(SUBSTITUTE(SUBSTITUTE(SUBSTITUTE(SUBSTITUTE(SUBSTITUTE(SUBSTITUTE(SUBSTITUTE(SUBSTITUTE(
IF(B2="△",
INDIRECT("'盛付札（関数）'!S"&amp;A1+1),INDIRECT("'盛付札（関数）'!S"&amp;A1)),"０",""),"①",""),"②",""),"③",""),"④",""),"⑤",""),"⑥",""),"⑦",""),"⑧",""),"⑨",""),"⑩","")</f>
        <v/>
      </c>
      <c r="D1" s="246"/>
      <c r="E1" s="246"/>
      <c r="F1" s="246"/>
      <c r="G1" s="65" t="str">
        <f t="array" aca="1" ref="G1" ca="1">IF(C1&lt;&gt;"",
IF(AND(INDIRECT("'盛付札（関数）'!R"&amp;A1)&gt;=124,INDIRECT("'盛付札（関数）'!R"&amp;A1)&lt;=144),"",
"様"),"")</f>
        <v/>
      </c>
      <c r="H1" s="59">
        <f ca="1">IF(OR(B2="●",B2="△"),
A1+2,A1+1)</f>
        <v>2</v>
      </c>
      <c r="I1" s="66" t="str">
        <f ca="1">IF(J1&lt;&gt;"",
MID(貼り付け用!$A$2, FIND("年",貼り付け用!$A$2)+1,2)&amp;"/"&amp;MID(貼り付け用!$A$2, FIND("月",貼り付け用!$A$2)+1,2),"")</f>
        <v/>
      </c>
      <c r="J1" s="245" t="str">
        <f t="array" aca="1" ref="J1" ca="1">SUBSTITUTE(SUBSTITUTE(SUBSTITUTE(SUBSTITUTE(SUBSTITUTE(SUBSTITUTE(SUBSTITUTE(SUBSTITUTE(SUBSTITUTE(SUBSTITUTE(SUBSTITUTE(
IF(I2="△",
INDIRECT("'盛付札（関数）'!S"&amp;H1+1),INDIRECT("'盛付札（関数）'!S"&amp;H1)),"０",""),"①",""),"②",""),"③",""),"④",""),"⑤",""),"⑥",""),"⑦",""),"⑧",""),"⑨",""),"⑩","")</f>
        <v/>
      </c>
      <c r="K1" s="246"/>
      <c r="L1" s="246"/>
      <c r="M1" s="246"/>
      <c r="N1" s="65" t="str">
        <f t="array" aca="1" ref="N1" ca="1">IF(J1&lt;&gt;"",
IF(AND(INDIRECT("'盛付札（関数）'!FI"&amp;H1)&gt;=124,INDIRECT("'盛付札（関数）'!FI"&amp;H1)&lt;=144),"",
"様"),"")</f>
        <v/>
      </c>
      <c r="O1" s="45"/>
      <c r="P1" s="54">
        <f ca="1">IF(OR(I42="●",I42="△"),
H41+2,H41+1)</f>
        <v>13</v>
      </c>
      <c r="Q1" s="66" t="str">
        <f ca="1">IF(R1&lt;&gt;"",
MID(貼り付け用!$A$2, FIND("年",貼り付け用!$A$2)+1,2)&amp;"/"&amp;MID(貼り付け用!$A$2, FIND("月",貼り付け用!$A$2)+1,2),"")</f>
        <v/>
      </c>
      <c r="R1" s="245" t="str">
        <f t="array" aca="1" ref="R1" ca="1">SUBSTITUTE(SUBSTITUTE(SUBSTITUTE(SUBSTITUTE(SUBSTITUTE(SUBSTITUTE(SUBSTITUTE(SUBSTITUTE(SUBSTITUTE(SUBSTITUTE(SUBSTITUTE(
IF(Q2="△",
INDIRECT("'盛付札（関数）'!FJ"&amp;P1+1),INDIRECT("'盛付札（関数）'!FJ"&amp;P1)),"０",""),"①",""),"②",""),"③",""),"④",""),"⑤",""),"⑥",""),"⑦",""),"⑧",""),"⑨",""),"⑩","")</f>
        <v/>
      </c>
      <c r="S1" s="246"/>
      <c r="T1" s="246"/>
      <c r="U1" s="246"/>
      <c r="V1" s="65" t="str">
        <f t="array" aca="1" ref="V1" ca="1">IF(R1&lt;&gt;"",
IF(AND(INDIRECT("'盛付札（関数）'!FI"&amp;P1)&gt;=124,INDIRECT("'盛付札（関数）'!FI"&amp;P1)&lt;=144),"",
"様"),"")</f>
        <v/>
      </c>
      <c r="W1" s="59">
        <f ca="1">IF(OR(Q2="●",Q2="△"),
P1+2,P1+1)</f>
        <v>14</v>
      </c>
      <c r="X1" s="66" t="str">
        <f ca="1">IF(Y1&lt;&gt;"",
MID(貼り付け用!$A$2, FIND("年",貼り付け用!$A$2)+1,2)&amp;"/"&amp;MID(貼り付け用!$A$2, FIND("月",貼り付け用!$A$2)+1,2),"")</f>
        <v/>
      </c>
      <c r="Y1" s="245" t="str">
        <f t="array" aca="1" ref="Y1" ca="1">SUBSTITUTE(SUBSTITUTE(SUBSTITUTE(SUBSTITUTE(SUBSTITUTE(SUBSTITUTE(SUBSTITUTE(SUBSTITUTE(SUBSTITUTE(SUBSTITUTE(SUBSTITUTE(
IF(X2="△",
INDIRECT("'盛付札（関数）'!FJ"&amp;W1+1),INDIRECT("'盛付札（関数）'!FJ"&amp;W1)),"０",""),"①",""),"②",""),"③",""),"④",""),"⑤",""),"⑥",""),"⑦",""),"⑧",""),"⑨",""),"⑩","")</f>
        <v/>
      </c>
      <c r="Z1" s="246"/>
      <c r="AA1" s="246"/>
      <c r="AB1" s="246"/>
      <c r="AC1" s="65" t="str">
        <f t="array" aca="1" ref="AC1" ca="1">IF(Y1&lt;&gt;"",
IF(AND(INDIRECT("'盛付札（関数）'!FI"&amp;W1)&gt;=124,INDIRECT("'盛付札（関数）'!FI"&amp;W1)&lt;=144),"",
"様"),"")</f>
        <v/>
      </c>
      <c r="AD1" s="45"/>
      <c r="AE1" s="54">
        <f ca="1">IF(OR(X42="●",X42="△"),
W41+2,W41+1)</f>
        <v>25</v>
      </c>
      <c r="AF1" s="66" t="str">
        <f ca="1">IF(AG1&lt;&gt;"",
MID(貼り付け用!$A$2, FIND("年",貼り付け用!$A$2)+1,2)&amp;"/"&amp;MID(貼り付け用!$A$2, FIND("月",貼り付け用!$A$2)+1,2),"")</f>
        <v/>
      </c>
      <c r="AG1" s="245" t="str">
        <f t="array" aca="1" ref="AG1" ca="1">SUBSTITUTE(SUBSTITUTE(SUBSTITUTE(SUBSTITUTE(SUBSTITUTE(SUBSTITUTE(SUBSTITUTE(SUBSTITUTE(SUBSTITUTE(SUBSTITUTE(SUBSTITUTE(
IF(AF2="△",
INDIRECT("'盛付札（関数）'!FJ"&amp;AE1+1),INDIRECT("'盛付札（関数）'!FJ"&amp;AE1)),"０",""),"①",""),"②",""),"③",""),"④",""),"⑤",""),"⑥",""),"⑦",""),"⑧",""),"⑨",""),"⑩","")</f>
        <v/>
      </c>
      <c r="AH1" s="246"/>
      <c r="AI1" s="246"/>
      <c r="AJ1" s="246"/>
      <c r="AK1" s="65" t="str">
        <f t="array" aca="1" ref="AK1" ca="1">IF(AG1&lt;&gt;"",
IF(AND(INDIRECT("'盛付札（関数）'!FI"&amp;AE1)&gt;=124,INDIRECT("'盛付札（関数）'!FI"&amp;AE1)&lt;=144),"",
"様"),"")</f>
        <v/>
      </c>
      <c r="AL1" s="59">
        <f ca="1">IF(OR(AF2="●",AF2="△"),
AE1+2,AE1+1)</f>
        <v>26</v>
      </c>
      <c r="AM1" s="66" t="str">
        <f ca="1">IF(AN1&lt;&gt;"",
MID(貼り付け用!$A$2, FIND("年",貼り付け用!$A$2)+1,2)&amp;"/"&amp;MID(貼り付け用!$A$2, FIND("月",貼り付け用!$A$2)+1,2),"")</f>
        <v/>
      </c>
      <c r="AN1" s="245" t="str">
        <f t="array" aca="1" ref="AN1" ca="1">SUBSTITUTE(SUBSTITUTE(SUBSTITUTE(SUBSTITUTE(SUBSTITUTE(SUBSTITUTE(SUBSTITUTE(SUBSTITUTE(SUBSTITUTE(SUBSTITUTE(SUBSTITUTE(
IF(AM2="△",
INDIRECT("'盛付札（関数）'!FJ"&amp;AL1+1),INDIRECT("'盛付札（関数）'!FJ"&amp;AL1)),"０",""),"①",""),"②",""),"③",""),"④",""),"⑤",""),"⑥",""),"⑦",""),"⑧",""),"⑨",""),"⑩","")</f>
        <v/>
      </c>
      <c r="AO1" s="246"/>
      <c r="AP1" s="246"/>
      <c r="AQ1" s="246"/>
      <c r="AR1" s="65" t="str">
        <f t="array" aca="1" ref="AR1" ca="1">IF(AN1&lt;&gt;"",
IF(AND(INDIRECT("'盛付札（関数）'!FI"&amp;AL1)&gt;=124,INDIRECT("'盛付札（関数）'!FI"&amp;AL1)&lt;=144),"",
"様"),"")</f>
        <v/>
      </c>
      <c r="AS1" s="45"/>
      <c r="AT1" s="54">
        <f ca="1">IF(OR(AM42="●",AM42="△"),
AL41+2,AL41+1)</f>
        <v>37</v>
      </c>
      <c r="AU1" s="66" t="str">
        <f ca="1">IF(AV1&lt;&gt;"",
MID(貼り付け用!$A$2, FIND("年",貼り付け用!$A$2)+1,2)&amp;"/"&amp;MID(貼り付け用!$A$2, FIND("月",貼り付け用!$A$2)+1,2),"")</f>
        <v/>
      </c>
      <c r="AV1" s="245" t="str">
        <f t="array" aca="1" ref="AV1" ca="1">SUBSTITUTE(SUBSTITUTE(SUBSTITUTE(SUBSTITUTE(SUBSTITUTE(SUBSTITUTE(SUBSTITUTE(SUBSTITUTE(SUBSTITUTE(SUBSTITUTE(SUBSTITUTE(
IF(AU2="△",
INDIRECT("'盛付札（関数）'!FJ"&amp;AT1+1),INDIRECT("'盛付札（関数）'!FJ"&amp;AT1)),"０",""),"①",""),"②",""),"③",""),"④",""),"⑤",""),"⑥",""),"⑦",""),"⑧",""),"⑨",""),"⑩","")</f>
        <v/>
      </c>
      <c r="AW1" s="246"/>
      <c r="AX1" s="246"/>
      <c r="AY1" s="246"/>
      <c r="AZ1" s="65" t="str">
        <f t="array" aca="1" ref="AZ1" ca="1">IF(AV1&lt;&gt;"",
IF(AND(INDIRECT("'盛付札（関数）'!FI"&amp;AT1)&gt;=124,INDIRECT("'盛付札（関数）'!FI"&amp;AT1)&lt;=144),"",
"様"),"")</f>
        <v/>
      </c>
      <c r="BA1" s="59">
        <f ca="1">IF(OR(AU2="●",AU2="△"),
AT1+2,AT1+1)</f>
        <v>38</v>
      </c>
      <c r="BB1" s="66" t="str">
        <f ca="1">IF(BC1&lt;&gt;"",
MID(貼り付け用!$A$2, FIND("年",貼り付け用!$A$2)+1,2)&amp;"/"&amp;MID(貼り付け用!$A$2, FIND("月",貼り付け用!$A$2)+1,2),"")</f>
        <v/>
      </c>
      <c r="BC1" s="245" t="str">
        <f t="array" aca="1" ref="BC1" ca="1">SUBSTITUTE(SUBSTITUTE(SUBSTITUTE(SUBSTITUTE(SUBSTITUTE(SUBSTITUTE(SUBSTITUTE(SUBSTITUTE(SUBSTITUTE(SUBSTITUTE(SUBSTITUTE(
IF(BB2="△",
INDIRECT("'盛付札（関数）'!FJ"&amp;BA1+1),INDIRECT("'盛付札（関数）'!FJ"&amp;BA1)),"０",""),"①",""),"②",""),"③",""),"④",""),"⑤",""),"⑥",""),"⑦",""),"⑧",""),"⑨",""),"⑩","")</f>
        <v/>
      </c>
      <c r="BD1" s="246"/>
      <c r="BE1" s="246"/>
      <c r="BF1" s="246"/>
      <c r="BG1" s="65" t="str">
        <f t="array" aca="1" ref="BG1" ca="1">IF(BC1&lt;&gt;"",
IF(AND(INDIRECT("'盛付札（関数）'!FI"&amp;BA1)&gt;=124,INDIRECT("'盛付札（関数）'!FI"&amp;BA1)&lt;=144),"",
"様"),"")</f>
        <v/>
      </c>
      <c r="BH1" s="45"/>
      <c r="BI1" s="54">
        <f ca="1">IF(OR(BB42="●",BB42="△"),
BA41+2,BA41+1)</f>
        <v>49</v>
      </c>
      <c r="BJ1" s="66" t="str">
        <f ca="1">IF(BK1&lt;&gt;"",
MID(貼り付け用!$A$2, FIND("年",貼り付け用!$A$2)+1,2)&amp;"/"&amp;MID(貼り付け用!$A$2, FIND("月",貼り付け用!$A$2)+1,2),"")</f>
        <v/>
      </c>
      <c r="BK1" s="245" t="str">
        <f t="array" aca="1" ref="BK1" ca="1">SUBSTITUTE(SUBSTITUTE(SUBSTITUTE(SUBSTITUTE(SUBSTITUTE(SUBSTITUTE(SUBSTITUTE(SUBSTITUTE(SUBSTITUTE(SUBSTITUTE(SUBSTITUTE(
IF(BJ2="△",
INDIRECT("'盛付札（関数）'!FJ"&amp;BI1+1),INDIRECT("'盛付札（関数）'!FJ"&amp;BI1)),"０",""),"①",""),"②",""),"③",""),"④",""),"⑤",""),"⑥",""),"⑦",""),"⑧",""),"⑨",""),"⑩","")</f>
        <v/>
      </c>
      <c r="BL1" s="246"/>
      <c r="BM1" s="246"/>
      <c r="BN1" s="246"/>
      <c r="BO1" s="65" t="str">
        <f t="array" aca="1" ref="BO1" ca="1">IF(BK1&lt;&gt;"",
IF(AND(INDIRECT("'盛付札（関数）'!FI"&amp;BI1)&gt;=124,INDIRECT("'盛付札（関数）'!FI"&amp;BI1)&lt;=144),"",
"様"),"")</f>
        <v/>
      </c>
      <c r="BP1" s="59">
        <f ca="1">IF(OR(BJ2="●",BJ2="△"),
BI1+2,BI1+1)</f>
        <v>50</v>
      </c>
      <c r="BQ1" s="66" t="str">
        <f ca="1">IF(BR1&lt;&gt;"",
MID(貼り付け用!$A$2, FIND("年",貼り付け用!$A$2)+1,2)&amp;"/"&amp;MID(貼り付け用!$A$2, FIND("月",貼り付け用!$A$2)+1,2),"")</f>
        <v/>
      </c>
      <c r="BR1" s="245" t="str">
        <f t="array" aca="1" ref="BR1" ca="1">SUBSTITUTE(SUBSTITUTE(SUBSTITUTE(SUBSTITUTE(SUBSTITUTE(SUBSTITUTE(SUBSTITUTE(SUBSTITUTE(SUBSTITUTE(SUBSTITUTE(SUBSTITUTE(
IF(BQ2="△",
INDIRECT("'盛付札（関数）'!FJ"&amp;BP1+1),INDIRECT("'盛付札（関数）'!FJ"&amp;BP1)),"０",""),"①",""),"②",""),"③",""),"④",""),"⑤",""),"⑥",""),"⑦",""),"⑧",""),"⑨",""),"⑩","")</f>
        <v/>
      </c>
      <c r="BS1" s="246"/>
      <c r="BT1" s="246"/>
      <c r="BU1" s="246"/>
      <c r="BV1" s="65" t="str">
        <f t="array" aca="1" ref="BV1" ca="1">IF(BR1&lt;&gt;"",
IF(AND(INDIRECT("'盛付札（関数）'!FI"&amp;BP1)&gt;=124,INDIRECT("'盛付札（関数）'!FI"&amp;BP1)&lt;=144),"",
"様"),"")</f>
        <v/>
      </c>
      <c r="BW1" s="45"/>
      <c r="BX1" s="54">
        <f ca="1">IF(OR(BQ42="●",BQ42="△"),
BP41+2,BP41+1)</f>
        <v>61</v>
      </c>
      <c r="BY1" s="66" t="str">
        <f ca="1">IF(BZ1&lt;&gt;"",
MID(貼り付け用!$A$2, FIND("年",貼り付け用!$A$2)+1,2)&amp;"/"&amp;MID(貼り付け用!$A$2, FIND("月",貼り付け用!$A$2)+1,2),"")</f>
        <v/>
      </c>
      <c r="BZ1" s="245" t="str">
        <f t="array" aca="1" ref="BZ1" ca="1">SUBSTITUTE(SUBSTITUTE(SUBSTITUTE(SUBSTITUTE(SUBSTITUTE(SUBSTITUTE(SUBSTITUTE(SUBSTITUTE(SUBSTITUTE(SUBSTITUTE(SUBSTITUTE(
IF(BY2="△",
INDIRECT("'盛付札（関数）'!FJ"&amp;BX1+1),INDIRECT("'盛付札（関数）'!FJ"&amp;BX1)),"０",""),"①",""),"②",""),"③",""),"④",""),"⑤",""),"⑥",""),"⑦",""),"⑧",""),"⑨",""),"⑩","")</f>
        <v/>
      </c>
      <c r="CA1" s="246"/>
      <c r="CB1" s="246"/>
      <c r="CC1" s="246"/>
      <c r="CD1" s="65" t="str">
        <f t="array" aca="1" ref="CD1" ca="1">IF(BZ1&lt;&gt;"",
IF(AND(INDIRECT("'盛付札（関数）'!FI"&amp;BX1)&gt;=124,INDIRECT("'盛付札（関数）'!FI"&amp;BX1)&lt;=144),"",
"様"),"")</f>
        <v/>
      </c>
      <c r="CE1" s="59">
        <f ca="1">IF(OR(BY2="●",BY2="△"),
BX1+2,BX1+1)</f>
        <v>62</v>
      </c>
      <c r="CF1" s="66" t="str">
        <f ca="1">IF(CG1&lt;&gt;"",
MID(貼り付け用!$A$2, FIND("年",貼り付け用!$A$2)+1,2)&amp;"/"&amp;MID(貼り付け用!$A$2, FIND("月",貼り付け用!$A$2)+1,2),"")</f>
        <v/>
      </c>
      <c r="CG1" s="245" t="str">
        <f t="array" aca="1" ref="CG1" ca="1">SUBSTITUTE(SUBSTITUTE(SUBSTITUTE(SUBSTITUTE(SUBSTITUTE(SUBSTITUTE(SUBSTITUTE(SUBSTITUTE(SUBSTITUTE(SUBSTITUTE(SUBSTITUTE(
IF(CF2="△",
INDIRECT("'盛付札（関数）'!FJ"&amp;CE1+1),INDIRECT("'盛付札（関数）'!FJ"&amp;CE1)),"０",""),"①",""),"②",""),"③",""),"④",""),"⑤",""),"⑥",""),"⑦",""),"⑧",""),"⑨",""),"⑩","")</f>
        <v/>
      </c>
      <c r="CH1" s="246"/>
      <c r="CI1" s="246"/>
      <c r="CJ1" s="246"/>
      <c r="CK1" s="65" t="str">
        <f t="array" aca="1" ref="CK1" ca="1">IF(CG1&lt;&gt;"",
IF(AND(INDIRECT("'盛付札（関数）'!FI"&amp;CE1)&gt;=124,INDIRECT("'盛付札（関数）'!FI"&amp;CE1)&lt;=144),"",
"様"),"")</f>
        <v/>
      </c>
      <c r="CL1" s="45"/>
      <c r="CM1" s="54">
        <f ca="1">IF(OR(CF42="●",CF42="△"),
CE41+2,CE41+1)</f>
        <v>73</v>
      </c>
      <c r="CN1" s="66" t="str">
        <f ca="1">IF(CO1&lt;&gt;"",
MID(貼り付け用!$A$2, FIND("年",貼り付け用!$A$2)+1,2)&amp;"/"&amp;MID(貼り付け用!$A$2, FIND("月",貼り付け用!$A$2)+1,2),"")</f>
        <v/>
      </c>
      <c r="CO1" s="245" t="str">
        <f t="array" aca="1" ref="CO1" ca="1">SUBSTITUTE(SUBSTITUTE(SUBSTITUTE(SUBSTITUTE(SUBSTITUTE(SUBSTITUTE(SUBSTITUTE(SUBSTITUTE(SUBSTITUTE(SUBSTITUTE(SUBSTITUTE(
IF(CN2="△",
INDIRECT("'盛付札（関数）'!FJ"&amp;CM1+1),INDIRECT("'盛付札（関数）'!FJ"&amp;CM1)),"０",""),"①",""),"②",""),"③",""),"④",""),"⑤",""),"⑥",""),"⑦",""),"⑧",""),"⑨",""),"⑩","")</f>
        <v/>
      </c>
      <c r="CP1" s="246"/>
      <c r="CQ1" s="246"/>
      <c r="CR1" s="246"/>
      <c r="CS1" s="65" t="str">
        <f t="array" aca="1" ref="CS1" ca="1">IF(CO1&lt;&gt;"",
IF(AND(INDIRECT("'盛付札（関数）'!FI"&amp;CM1)&gt;=124,INDIRECT("'盛付札（関数）'!FI"&amp;CM1)&lt;=144),"",
"様"),"")</f>
        <v/>
      </c>
      <c r="CT1" s="59">
        <f ca="1">IF(OR(CN2="●",CN2="△"),
CM1+2,CM1+1)</f>
        <v>74</v>
      </c>
      <c r="CU1" s="66" t="str">
        <f ca="1">IF(CV1&lt;&gt;"",
MID(貼り付け用!$A$2, FIND("年",貼り付け用!$A$2)+1,2)&amp;"/"&amp;MID(貼り付け用!$A$2, FIND("月",貼り付け用!$A$2)+1,2),"")</f>
        <v/>
      </c>
      <c r="CV1" s="245" t="str">
        <f t="array" aca="1" ref="CV1" ca="1">SUBSTITUTE(SUBSTITUTE(SUBSTITUTE(SUBSTITUTE(SUBSTITUTE(SUBSTITUTE(SUBSTITUTE(SUBSTITUTE(SUBSTITUTE(SUBSTITUTE(SUBSTITUTE(
IF(CU2="△",
INDIRECT("'盛付札（関数）'!FJ"&amp;CT1+1),INDIRECT("'盛付札（関数）'!FJ"&amp;CT1)),"０",""),"①",""),"②",""),"③",""),"④",""),"⑤",""),"⑥",""),"⑦",""),"⑧",""),"⑨",""),"⑩","")</f>
        <v/>
      </c>
      <c r="CW1" s="246"/>
      <c r="CX1" s="246"/>
      <c r="CY1" s="246"/>
      <c r="CZ1" s="65" t="str">
        <f t="array" aca="1" ref="CZ1" ca="1">IF(CV1&lt;&gt;"",
IF(AND(INDIRECT("'盛付札（関数）'!FI"&amp;CT1)&gt;=124,INDIRECT("'盛付札（関数）'!FI"&amp;CT1)&lt;=144),"",
"様"),"")</f>
        <v/>
      </c>
      <c r="DA1" s="45"/>
      <c r="DB1" s="54"/>
      <c r="DC1" s="66"/>
      <c r="DD1" s="245"/>
      <c r="DE1" s="246"/>
      <c r="DF1" s="246"/>
      <c r="DG1" s="246"/>
      <c r="DH1" s="65"/>
      <c r="DI1" s="59"/>
      <c r="DJ1" s="66"/>
      <c r="DK1" s="245"/>
      <c r="DL1" s="246"/>
      <c r="DM1" s="246"/>
      <c r="DN1" s="246"/>
      <c r="DO1" s="65"/>
      <c r="DP1" s="45"/>
      <c r="DQ1" s="54"/>
      <c r="DR1" s="66"/>
      <c r="DS1" s="245"/>
      <c r="DT1" s="246"/>
      <c r="DU1" s="246"/>
      <c r="DV1" s="246"/>
      <c r="DW1" s="65"/>
      <c r="DX1" s="59"/>
      <c r="DY1" s="66"/>
      <c r="DZ1" s="245"/>
      <c r="EA1" s="246"/>
      <c r="EB1" s="246"/>
      <c r="EC1" s="246"/>
      <c r="ED1" s="65"/>
      <c r="EE1" s="45"/>
      <c r="EF1" s="54"/>
      <c r="EG1" s="66"/>
      <c r="EH1" s="245"/>
      <c r="EI1" s="246"/>
      <c r="EJ1" s="246"/>
      <c r="EK1" s="246"/>
      <c r="EL1" s="65"/>
      <c r="EM1" s="59"/>
      <c r="EN1" s="66"/>
      <c r="EO1" s="245"/>
      <c r="EP1" s="246"/>
      <c r="EQ1" s="246"/>
      <c r="ER1" s="246"/>
      <c r="ES1" s="65"/>
      <c r="ET1" s="45"/>
    </row>
    <row r="2" spans="1:150" s="55" customFormat="1">
      <c r="A2" s="54"/>
      <c r="B2" s="227" t="str">
        <f ca="1">IF(COUNTIF(INDIRECT("'盛付札（関数）'!S"&amp;A1+1),"*雙葉*"),"●",
IF(COUNTIF(INDIRECT("'盛付札（関数）'!S"&amp;A1+1),"*社食*"),"△","〇"))</f>
        <v>〇</v>
      </c>
      <c r="C2" s="70" t="str">
        <f t="array" aca="1" ref="C2" ca="1">IF(OR(INDIRECT("'盛付札（関数）'!R"&amp;A1)=121,INDIRECT("'盛付札（関数）'!R"&amp;A1)=122,INDIRECT("'盛付札（関数）'!R"&amp;A1)=123),"",
IF(AND(INDIRECT("'盛付札（関数）'!R"&amp;A1)&gt;=124,INDIRECT("'盛付札（関数）'!R"&amp;A1)&lt;=144),"",
IF(B2="△",
INDIRECT("'盛付札（関数）'!T"&amp;A1+1),INDIRECT("'盛付札（関数）'!T"&amp;A1))))</f>
        <v/>
      </c>
      <c r="D2" s="64"/>
      <c r="E2" s="64"/>
      <c r="F2" s="71" t="str">
        <f t="array" aca="1" ref="F2" ca="1">IF(C1&lt;&gt;"",
IF(OR(INDIRECT("'盛付札（関数）'!R"&amp;A1)=121,INDIRECT("'盛付札（関数）'!R"&amp;A1)=122,INDIRECT("'盛付札（関数）'!R"&amp;A1)=123),"",
IF(B2="●",
SUBSTITUTE(SUBSTITUTE(SUBSTITUTE(INDIRECT("'盛付札（関数）'!U"&amp;A1),100,""),120,""),150,""),
IF(B2="△",
IF(INDIRECT("'盛付札（関数）'!U"&amp;A1+1)&lt;&gt;"",
INDIRECT("'盛付札（関数）'!U"&amp;A1+1),INDIRECT("'盛付札（関数）'!V"&amp;A1+1)),
IF(INDIRECT("'盛付札（関数）'!U"&amp;A1)&lt;&gt;"",
INDIRECT("'盛付札（関数）'!U"&amp;A1),INDIRECT("'盛付札（関数）'!V"&amp;A1))))),"")</f>
        <v/>
      </c>
      <c r="G2" s="62"/>
      <c r="H2" s="72"/>
      <c r="I2" s="56" t="str">
        <f ca="1">IF(COUNTIF(INDIRECT("'盛付札（関数）'!FJ"&amp;H1+1),"*雙葉*"),"●",
IF(COUNTIF(INDIRECT("'盛付札（関数）'!FJ"&amp;H1+1),"*社食*"),"△","〇"))</f>
        <v>〇</v>
      </c>
      <c r="J2" s="70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>0</v>
      </c>
      <c r="K2" s="64"/>
      <c r="L2" s="64"/>
      <c r="M2" s="71" t="str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/>
      </c>
      <c r="N2" s="62"/>
      <c r="O2" s="45"/>
      <c r="P2" s="54"/>
      <c r="Q2" s="56" t="str">
        <f ca="1">IF(COUNTIF(INDIRECT("'盛付札（関数）'!FJ"&amp;P1+1),"*雙葉*"),"●",
"〇")</f>
        <v>〇</v>
      </c>
      <c r="R2" s="70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>0</v>
      </c>
      <c r="S2" s="64"/>
      <c r="T2" s="64"/>
      <c r="U2" s="71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62"/>
      <c r="W2" s="72"/>
      <c r="X2" s="56" t="str">
        <f ca="1">IF(COUNTIF(INDIRECT("'盛付札（関数）'!FJ"&amp;W1+1),"*雙葉*"),"●",
"〇")</f>
        <v>〇</v>
      </c>
      <c r="Y2" s="70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>0</v>
      </c>
      <c r="Z2" s="64"/>
      <c r="AA2" s="64"/>
      <c r="AB2" s="71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62"/>
      <c r="AD2" s="45"/>
      <c r="AE2" s="54"/>
      <c r="AF2" s="56" t="str">
        <f ca="1">IF(COUNTIF(INDIRECT("'盛付札（関数）'!FJ"&amp;AE1+1),"*雙葉*"),"●",
"〇")</f>
        <v>〇</v>
      </c>
      <c r="AG2" s="70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>0</v>
      </c>
      <c r="AH2" s="64"/>
      <c r="AI2" s="64"/>
      <c r="AJ2" s="71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62"/>
      <c r="AL2" s="72"/>
      <c r="AM2" s="56" t="str">
        <f ca="1">IF(COUNTIF(INDIRECT("'盛付札（関数）'!FJ"&amp;AL1+1),"*雙葉*"),"●",
"〇")</f>
        <v>〇</v>
      </c>
      <c r="AN2" s="70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>0</v>
      </c>
      <c r="AO2" s="64"/>
      <c r="AP2" s="64"/>
      <c r="AQ2" s="71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62"/>
      <c r="AS2" s="45"/>
      <c r="AT2" s="54"/>
      <c r="AU2" s="56" t="str">
        <f ca="1">IF(COUNTIF(INDIRECT("'盛付札（関数）'!FJ"&amp;AT1+1),"*雙葉*"),"●",
"〇")</f>
        <v>〇</v>
      </c>
      <c r="AV2" s="70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>0</v>
      </c>
      <c r="AW2" s="64"/>
      <c r="AX2" s="64"/>
      <c r="AY2" s="71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62"/>
      <c r="BA2" s="72"/>
      <c r="BB2" s="56" t="str">
        <f ca="1">IF(COUNTIF(INDIRECT("'盛付札（関数）'!FJ"&amp;BA1+1),"*雙葉*"),"●",
"〇")</f>
        <v>〇</v>
      </c>
      <c r="BC2" s="70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>0</v>
      </c>
      <c r="BD2" s="64"/>
      <c r="BE2" s="64"/>
      <c r="BF2" s="71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62"/>
      <c r="BH2" s="45"/>
      <c r="BI2" s="54"/>
      <c r="BJ2" s="56" t="str">
        <f ca="1">IF(COUNTIF(INDIRECT("'盛付札（関数）'!FJ"&amp;BI1+1),"*雙葉*"),"●",
"〇")</f>
        <v>〇</v>
      </c>
      <c r="BK2" s="70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>0</v>
      </c>
      <c r="BL2" s="64"/>
      <c r="BM2" s="64"/>
      <c r="BN2" s="71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62"/>
      <c r="BP2" s="72"/>
      <c r="BQ2" s="56" t="str">
        <f ca="1">IF(COUNTIF(INDIRECT("'盛付札（関数）'!FJ"&amp;BP1+1),"*雙葉*"),"●",
"〇")</f>
        <v>〇</v>
      </c>
      <c r="BR2" s="70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>0</v>
      </c>
      <c r="BS2" s="64"/>
      <c r="BT2" s="64"/>
      <c r="BU2" s="71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62"/>
      <c r="BW2" s="45"/>
      <c r="BX2" s="54"/>
      <c r="BY2" s="56" t="str">
        <f ca="1">IF(COUNTIF(INDIRECT("'盛付札（関数）'!FJ"&amp;BX1+1),"*雙葉*"),"●",
"〇")</f>
        <v>〇</v>
      </c>
      <c r="BZ2" s="70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>0</v>
      </c>
      <c r="CA2" s="64"/>
      <c r="CB2" s="64"/>
      <c r="CC2" s="71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62"/>
      <c r="CE2" s="72"/>
      <c r="CF2" s="56" t="str">
        <f ca="1">IF(COUNTIF(INDIRECT("'盛付札（関数）'!FJ"&amp;CE1+1),"*雙葉*"),"●",
"〇")</f>
        <v>〇</v>
      </c>
      <c r="CG2" s="70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>0</v>
      </c>
      <c r="CH2" s="64"/>
      <c r="CI2" s="64"/>
      <c r="CJ2" s="71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62"/>
      <c r="CL2" s="45"/>
      <c r="CM2" s="54"/>
      <c r="CN2" s="56" t="str">
        <f ca="1">IF(COUNTIF(INDIRECT("'盛付札（関数）'!FJ"&amp;CM1+1),"*雙葉*"),"●",
"〇")</f>
        <v>〇</v>
      </c>
      <c r="CO2" s="70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>0</v>
      </c>
      <c r="CP2" s="64"/>
      <c r="CQ2" s="64"/>
      <c r="CR2" s="71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62"/>
      <c r="CT2" s="72"/>
      <c r="CU2" s="56" t="str">
        <f ca="1">IF(COUNTIF(INDIRECT("'盛付札（関数）'!FJ"&amp;CT1+1),"*雙葉*"),"●",
"〇")</f>
        <v>〇</v>
      </c>
      <c r="CV2" s="70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>0</v>
      </c>
      <c r="CW2" s="64"/>
      <c r="CX2" s="64"/>
      <c r="CY2" s="71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62"/>
      <c r="DA2" s="45"/>
      <c r="DB2" s="54"/>
      <c r="DC2" s="56"/>
      <c r="DD2" s="70"/>
      <c r="DE2" s="64"/>
      <c r="DF2" s="64"/>
      <c r="DG2" s="71"/>
      <c r="DH2" s="62"/>
      <c r="DI2" s="72"/>
      <c r="DJ2" s="56"/>
      <c r="DK2" s="70"/>
      <c r="DL2" s="64"/>
      <c r="DM2" s="64"/>
      <c r="DN2" s="71"/>
      <c r="DO2" s="62"/>
      <c r="DP2" s="45"/>
      <c r="DQ2" s="54"/>
      <c r="DR2" s="56"/>
      <c r="DS2" s="70"/>
      <c r="DT2" s="64"/>
      <c r="DU2" s="64"/>
      <c r="DV2" s="71"/>
      <c r="DW2" s="62"/>
      <c r="DX2" s="72"/>
      <c r="DY2" s="56"/>
      <c r="DZ2" s="70"/>
      <c r="EA2" s="64"/>
      <c r="EB2" s="64"/>
      <c r="EC2" s="71"/>
      <c r="ED2" s="62"/>
      <c r="EE2" s="45"/>
      <c r="EF2" s="54"/>
      <c r="EG2" s="56"/>
      <c r="EH2" s="70"/>
      <c r="EI2" s="64"/>
      <c r="EJ2" s="64"/>
      <c r="EK2" s="71"/>
      <c r="EL2" s="62"/>
      <c r="EM2" s="72"/>
      <c r="EN2" s="56"/>
      <c r="EO2" s="70"/>
      <c r="EP2" s="64"/>
      <c r="EQ2" s="64"/>
      <c r="ER2" s="71"/>
      <c r="ES2" s="62"/>
      <c r="ET2" s="45"/>
    </row>
    <row r="3" spans="1:150" s="55" customFormat="1">
      <c r="A3" s="54"/>
      <c r="B3" s="57"/>
      <c r="C3" s="243" t="str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/>
      </c>
      <c r="D3" s="244"/>
      <c r="E3" s="45"/>
      <c r="F3" s="55" t="str">
        <f t="array" aca="1" ref="F3" ca="1">IF(C1&lt;&gt;"",
IF(OR(INDIRECT("'盛付札（関数）'!R"&amp;A1)=121,INDIRECT("'盛付札（関数）'!R"&amp;A1)=122,INDIRECT("'盛付札（関数）'!R"&amp;A1)=123),"",
IF(AND(INDIRECT("'盛付札（関数）'!R"&amp;A1)&gt;=124,INDIRECT("'盛付札（関数）'!R"&amp;A1)&lt;=144),"",
"先生")),"")</f>
        <v/>
      </c>
      <c r="G3" s="63"/>
      <c r="H3" s="59"/>
      <c r="I3" s="57"/>
      <c r="J3" s="243" t="str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/>
      </c>
      <c r="K3" s="244"/>
      <c r="L3" s="45"/>
      <c r="M3" s="55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/>
      </c>
      <c r="N3" s="63"/>
      <c r="O3" s="45"/>
      <c r="P3" s="54"/>
      <c r="Q3" s="57"/>
      <c r="R3" s="243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44"/>
      <c r="T3" s="45"/>
      <c r="U3" s="55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63"/>
      <c r="W3" s="59"/>
      <c r="X3" s="57"/>
      <c r="Y3" s="243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44"/>
      <c r="AA3" s="45"/>
      <c r="AB3" s="55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63"/>
      <c r="AD3" s="45"/>
      <c r="AE3" s="54"/>
      <c r="AF3" s="57"/>
      <c r="AG3" s="243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44"/>
      <c r="AI3" s="45"/>
      <c r="AJ3" s="55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63"/>
      <c r="AL3" s="59"/>
      <c r="AM3" s="57"/>
      <c r="AN3" s="243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44"/>
      <c r="AP3" s="45"/>
      <c r="AQ3" s="55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63"/>
      <c r="AS3" s="45"/>
      <c r="AT3" s="54"/>
      <c r="AU3" s="57"/>
      <c r="AV3" s="243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44"/>
      <c r="AX3" s="45"/>
      <c r="AY3" s="55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63"/>
      <c r="BA3" s="59"/>
      <c r="BB3" s="57"/>
      <c r="BC3" s="243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44"/>
      <c r="BE3" s="45"/>
      <c r="BF3" s="55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63"/>
      <c r="BH3" s="45"/>
      <c r="BI3" s="54"/>
      <c r="BJ3" s="57"/>
      <c r="BK3" s="243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44"/>
      <c r="BM3" s="45"/>
      <c r="BN3" s="55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63"/>
      <c r="BP3" s="59"/>
      <c r="BQ3" s="57"/>
      <c r="BR3" s="243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44"/>
      <c r="BT3" s="45"/>
      <c r="BU3" s="55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63"/>
      <c r="BW3" s="45"/>
      <c r="BX3" s="54"/>
      <c r="BY3" s="57"/>
      <c r="BZ3" s="243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44"/>
      <c r="CB3" s="45"/>
      <c r="CC3" s="55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63"/>
      <c r="CE3" s="59"/>
      <c r="CF3" s="57"/>
      <c r="CG3" s="243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44"/>
      <c r="CI3" s="45"/>
      <c r="CJ3" s="55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63"/>
      <c r="CL3" s="45"/>
      <c r="CM3" s="54"/>
      <c r="CN3" s="57"/>
      <c r="CO3" s="243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44"/>
      <c r="CQ3" s="45"/>
      <c r="CR3" s="55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63"/>
      <c r="CT3" s="59"/>
      <c r="CU3" s="57"/>
      <c r="CV3" s="243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44"/>
      <c r="CX3" s="45"/>
      <c r="CY3" s="55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63"/>
      <c r="DA3" s="45"/>
      <c r="DB3" s="54"/>
      <c r="DC3" s="57"/>
      <c r="DD3" s="243"/>
      <c r="DE3" s="244"/>
      <c r="DF3" s="45"/>
      <c r="DH3" s="63"/>
      <c r="DI3" s="59"/>
      <c r="DJ3" s="57"/>
      <c r="DK3" s="243"/>
      <c r="DL3" s="244"/>
      <c r="DM3" s="45"/>
      <c r="DO3" s="63"/>
      <c r="DP3" s="45"/>
      <c r="DQ3" s="54"/>
      <c r="DR3" s="57"/>
      <c r="DS3" s="243"/>
      <c r="DT3" s="244"/>
      <c r="DU3" s="45"/>
      <c r="DW3" s="63"/>
      <c r="DX3" s="59"/>
      <c r="DY3" s="57"/>
      <c r="DZ3" s="243"/>
      <c r="EA3" s="244"/>
      <c r="EB3" s="45"/>
      <c r="ED3" s="63"/>
      <c r="EE3" s="45"/>
      <c r="EF3" s="54"/>
      <c r="EG3" s="57"/>
      <c r="EH3" s="243"/>
      <c r="EI3" s="244"/>
      <c r="EJ3" s="45"/>
      <c r="EL3" s="63"/>
      <c r="EM3" s="59"/>
      <c r="EN3" s="57"/>
      <c r="EO3" s="243"/>
      <c r="EP3" s="244"/>
      <c r="EQ3" s="45"/>
      <c r="ES3" s="63"/>
      <c r="ET3" s="45"/>
    </row>
    <row r="4" spans="1:150" ht="15.6" customHeight="1">
      <c r="B4" s="48"/>
      <c r="C4" s="241" t="str">
        <f t="array" aca="1" ref="C4" ca="1">IF(B2="●",
INDIRECT("'盛付札（関数）'!W"&amp;A1)+INDIRECT("'盛付札（関数）'!W"&amp;A1+1),
IF(B2="△",
INDIRECT("'盛付札（関数）'!W"&amp;A1+1),INDIRECT("'盛付札（関数）'!W"&amp;A1)))</f>
        <v/>
      </c>
      <c r="D4" s="242"/>
      <c r="E4" s="73"/>
      <c r="F4" s="237" t="str">
        <f t="array" aca="1" ref="F4" ca="1">IF(C1&lt;&gt;"",
IF(AND(INDIRECT("'盛付札（関数）'!R"&amp;A1)&gt;=124,INDIRECT("'盛付札（関数）'!R"&amp;A1)&lt;=144),"",
IF(OR(INDIRECT("'盛付札（関数）'!R"&amp;A1)=121,INDIRECT("'盛付札（関数）'!R"&amp;A1)=122,INDIRECT("'盛付札（関数）'!R"&amp;A1)=123),"",
IF(B2="●",
IFERROR(INDIRECT("'盛付札（関数）'!X"&amp;A1)+INDIRECT("'盛付札（関数）'!X"&amp;A1+1),""),
IF(B2="△",
INDIRECT("'盛付札（関数）'!X"&amp;A1+1),INDIRECT("'盛付札（関数）'!X"&amp;A1))))),"")</f>
        <v/>
      </c>
      <c r="G4" s="238"/>
      <c r="H4" s="49"/>
      <c r="I4" s="48"/>
      <c r="J4" s="241">
        <f t="array" aca="1" ref="J4" ca="1">IF(I2="●",
INDIRECT("'盛付札（関数）'!FN"&amp;H1)+INDIRECT("'盛付札（関数）'!FN"&amp;H1+1),
IF(I2="△",
INDIRECT("'盛付札（関数）'!FN"&amp;H1+1),INDIRECT("'盛付札（関数）'!FN"&amp;H1)))</f>
        <v>0</v>
      </c>
      <c r="K4" s="242"/>
      <c r="L4" s="73"/>
      <c r="M4" s="237" t="str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/>
      </c>
      <c r="N4" s="238"/>
      <c r="Q4" s="48"/>
      <c r="R4" s="241">
        <f t="array" aca="1" ref="R4" ca="1">IF(Q2="●",
INDIRECT("'盛付札（関数）'!FN"&amp;P1)+INDIRECT("'盛付札（関数）'!FN"&amp;P1+1),
IF(Q2="△",
INDIRECT("'盛付札（関数）'!FN"&amp;P1+1),INDIRECT("'盛付札（関数）'!FN"&amp;P1)))</f>
        <v>0</v>
      </c>
      <c r="S4" s="242"/>
      <c r="T4" s="73"/>
      <c r="U4" s="237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38"/>
      <c r="W4" s="49"/>
      <c r="X4" s="48"/>
      <c r="Y4" s="241">
        <f t="array" aca="1" ref="Y4" ca="1">IF(X2="●",
INDIRECT("'盛付札（関数）'!FN"&amp;W1)+INDIRECT("'盛付札（関数）'!FN"&amp;W1+1),
IF(X2="△",
INDIRECT("'盛付札（関数）'!FN"&amp;W1+1),INDIRECT("'盛付札（関数）'!FN"&amp;W1)))</f>
        <v>0</v>
      </c>
      <c r="Z4" s="242"/>
      <c r="AA4" s="73"/>
      <c r="AB4" s="237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38"/>
      <c r="AF4" s="48"/>
      <c r="AG4" s="241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>0</v>
      </c>
      <c r="AH4" s="242"/>
      <c r="AI4" s="73"/>
      <c r="AJ4" s="237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38"/>
      <c r="AL4" s="49"/>
      <c r="AM4" s="48"/>
      <c r="AN4" s="241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>0</v>
      </c>
      <c r="AO4" s="242"/>
      <c r="AP4" s="73"/>
      <c r="AQ4" s="237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38"/>
      <c r="AU4" s="48"/>
      <c r="AV4" s="241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>0</v>
      </c>
      <c r="AW4" s="242"/>
      <c r="AX4" s="73"/>
      <c r="AY4" s="237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38"/>
      <c r="BA4" s="49"/>
      <c r="BB4" s="48"/>
      <c r="BC4" s="241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>0</v>
      </c>
      <c r="BD4" s="242"/>
      <c r="BE4" s="73"/>
      <c r="BF4" s="237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38"/>
      <c r="BJ4" s="48"/>
      <c r="BK4" s="241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>0</v>
      </c>
      <c r="BL4" s="242"/>
      <c r="BM4" s="73"/>
      <c r="BN4" s="237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38"/>
      <c r="BP4" s="49"/>
      <c r="BQ4" s="48"/>
      <c r="BR4" s="241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>0</v>
      </c>
      <c r="BS4" s="242"/>
      <c r="BT4" s="73"/>
      <c r="BU4" s="237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38"/>
      <c r="BY4" s="48"/>
      <c r="BZ4" s="241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>0</v>
      </c>
      <c r="CA4" s="242"/>
      <c r="CB4" s="73"/>
      <c r="CC4" s="237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38"/>
      <c r="CE4" s="49"/>
      <c r="CF4" s="48"/>
      <c r="CG4" s="241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>0</v>
      </c>
      <c r="CH4" s="242"/>
      <c r="CI4" s="73"/>
      <c r="CJ4" s="237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38"/>
      <c r="CN4" s="48"/>
      <c r="CO4" s="241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>0</v>
      </c>
      <c r="CP4" s="242"/>
      <c r="CQ4" s="73"/>
      <c r="CR4" s="237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38"/>
      <c r="CT4" s="49"/>
      <c r="CU4" s="48"/>
      <c r="CV4" s="241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>0</v>
      </c>
      <c r="CW4" s="242"/>
      <c r="CX4" s="73"/>
      <c r="CY4" s="237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38"/>
      <c r="DC4" s="48"/>
      <c r="DD4" s="241"/>
      <c r="DE4" s="242"/>
      <c r="DF4" s="73"/>
      <c r="DG4" s="237"/>
      <c r="DH4" s="238"/>
      <c r="DI4" s="49"/>
      <c r="DJ4" s="48"/>
      <c r="DK4" s="241"/>
      <c r="DL4" s="242"/>
      <c r="DM4" s="73"/>
      <c r="DN4" s="237"/>
      <c r="DO4" s="238"/>
      <c r="DR4" s="48"/>
      <c r="DS4" s="241"/>
      <c r="DT4" s="242"/>
      <c r="DU4" s="73"/>
      <c r="DV4" s="237"/>
      <c r="DW4" s="238"/>
      <c r="DX4" s="49"/>
      <c r="DY4" s="48"/>
      <c r="DZ4" s="241"/>
      <c r="EA4" s="242"/>
      <c r="EB4" s="73"/>
      <c r="EC4" s="237"/>
      <c r="ED4" s="238"/>
      <c r="EG4" s="48"/>
      <c r="EH4" s="241"/>
      <c r="EI4" s="242"/>
      <c r="EJ4" s="73"/>
      <c r="EK4" s="237"/>
      <c r="EL4" s="238"/>
      <c r="EM4" s="49"/>
      <c r="EN4" s="48"/>
      <c r="EO4" s="241"/>
      <c r="EP4" s="242"/>
      <c r="EQ4" s="73"/>
      <c r="ER4" s="237"/>
      <c r="ES4" s="238"/>
    </row>
    <row r="5" spans="1:150" ht="15.6" customHeight="1">
      <c r="B5" s="50"/>
      <c r="C5" s="239"/>
      <c r="D5" s="239"/>
      <c r="E5" s="67"/>
      <c r="F5" s="239"/>
      <c r="G5" s="240"/>
      <c r="H5" s="49"/>
      <c r="I5" s="50"/>
      <c r="J5" s="239"/>
      <c r="K5" s="239"/>
      <c r="L5" s="67"/>
      <c r="M5" s="239"/>
      <c r="N5" s="240"/>
      <c r="Q5" s="50"/>
      <c r="R5" s="239"/>
      <c r="S5" s="239"/>
      <c r="T5" s="67"/>
      <c r="U5" s="239"/>
      <c r="V5" s="240"/>
      <c r="W5" s="49"/>
      <c r="X5" s="50"/>
      <c r="Y5" s="239"/>
      <c r="Z5" s="239"/>
      <c r="AA5" s="67"/>
      <c r="AB5" s="239"/>
      <c r="AC5" s="240"/>
      <c r="AF5" s="50"/>
      <c r="AG5" s="239"/>
      <c r="AH5" s="239"/>
      <c r="AI5" s="67"/>
      <c r="AJ5" s="239"/>
      <c r="AK5" s="240"/>
      <c r="AL5" s="49"/>
      <c r="AM5" s="50"/>
      <c r="AN5" s="239"/>
      <c r="AO5" s="239"/>
      <c r="AP5" s="67"/>
      <c r="AQ5" s="239"/>
      <c r="AR5" s="240"/>
      <c r="AU5" s="50"/>
      <c r="AV5" s="239"/>
      <c r="AW5" s="239"/>
      <c r="AX5" s="67"/>
      <c r="AY5" s="239"/>
      <c r="AZ5" s="240"/>
      <c r="BA5" s="49"/>
      <c r="BB5" s="50"/>
      <c r="BC5" s="239"/>
      <c r="BD5" s="239"/>
      <c r="BE5" s="67"/>
      <c r="BF5" s="239"/>
      <c r="BG5" s="240"/>
      <c r="BJ5" s="50"/>
      <c r="BK5" s="239"/>
      <c r="BL5" s="239"/>
      <c r="BM5" s="67"/>
      <c r="BN5" s="239"/>
      <c r="BO5" s="240"/>
      <c r="BP5" s="49"/>
      <c r="BQ5" s="50"/>
      <c r="BR5" s="239"/>
      <c r="BS5" s="239"/>
      <c r="BT5" s="67"/>
      <c r="BU5" s="239"/>
      <c r="BV5" s="240"/>
      <c r="BY5" s="50"/>
      <c r="BZ5" s="239"/>
      <c r="CA5" s="239"/>
      <c r="CB5" s="67"/>
      <c r="CC5" s="239"/>
      <c r="CD5" s="240"/>
      <c r="CE5" s="49"/>
      <c r="CF5" s="50"/>
      <c r="CG5" s="239"/>
      <c r="CH5" s="239"/>
      <c r="CI5" s="67"/>
      <c r="CJ5" s="239"/>
      <c r="CK5" s="240"/>
      <c r="CN5" s="50"/>
      <c r="CO5" s="239"/>
      <c r="CP5" s="239"/>
      <c r="CQ5" s="67"/>
      <c r="CR5" s="239"/>
      <c r="CS5" s="240"/>
      <c r="CT5" s="49"/>
      <c r="CU5" s="50"/>
      <c r="CV5" s="239"/>
      <c r="CW5" s="239"/>
      <c r="CX5" s="67"/>
      <c r="CY5" s="239"/>
      <c r="CZ5" s="240"/>
      <c r="DC5" s="50"/>
      <c r="DD5" s="239"/>
      <c r="DE5" s="239"/>
      <c r="DF5" s="67"/>
      <c r="DG5" s="239"/>
      <c r="DH5" s="240"/>
      <c r="DI5" s="49"/>
      <c r="DJ5" s="50"/>
      <c r="DK5" s="239"/>
      <c r="DL5" s="239"/>
      <c r="DM5" s="67"/>
      <c r="DN5" s="239"/>
      <c r="DO5" s="240"/>
      <c r="DR5" s="50"/>
      <c r="DS5" s="239"/>
      <c r="DT5" s="239"/>
      <c r="DU5" s="67"/>
      <c r="DV5" s="239"/>
      <c r="DW5" s="240"/>
      <c r="DX5" s="49"/>
      <c r="DY5" s="50"/>
      <c r="DZ5" s="239"/>
      <c r="EA5" s="239"/>
      <c r="EB5" s="67"/>
      <c r="EC5" s="239"/>
      <c r="ED5" s="240"/>
      <c r="EG5" s="50"/>
      <c r="EH5" s="239"/>
      <c r="EI5" s="239"/>
      <c r="EJ5" s="67"/>
      <c r="EK5" s="239"/>
      <c r="EL5" s="240"/>
      <c r="EM5" s="49"/>
      <c r="EN5" s="50"/>
      <c r="EO5" s="239"/>
      <c r="EP5" s="239"/>
      <c r="EQ5" s="67"/>
      <c r="ER5" s="239"/>
      <c r="ES5" s="240"/>
    </row>
    <row r="6" spans="1:150" s="55" customFormat="1">
      <c r="A6" s="54"/>
      <c r="B6" s="60" t="str">
        <f t="array" aca="1" ref="B6" ca="1">IF(C1&lt;&gt;"",
IF(OR(INDIRECT("'盛付札（関数）'!R"&amp;A1)=121,INDIRECT("'盛付札（関数）'!R"&amp;A1)=122,INDIRECT("'盛付札（関数）'!R"&amp;A1)=123),"",
"パン箱"),"")</f>
        <v/>
      </c>
      <c r="C6" s="58" t="str">
        <f t="array" aca="1" ref="C6" ca="1">IF(C1&lt;&gt;"",
IF(OR(INDIRECT("'盛付札（関数）'!R"&amp;A1)=121,INDIRECT("'盛付札（関数）'!R"&amp;A1)=122,INDIRECT("'盛付札（関数）'!R"&amp;A1)=123),"",
IF(B2="△",
INDIRECT("'盛付札（関数）'!Y"&amp;A1+1),INDIRECT("'盛付札（関数）'!Y"&amp;A1))),"")</f>
        <v/>
      </c>
      <c r="D6" s="60" t="str">
        <f t="array" aca="1" ref="D6" ca="1">IF(C1&lt;&gt;"",
IF(OR(INDIRECT("'盛付札（関数）'!R"&amp;A1)=121,INDIRECT("'盛付札（関数）'!R"&amp;A1)=122,INDIRECT("'盛付札（関数）'!R"&amp;A1)=123),"",
"端数"),"")</f>
        <v/>
      </c>
      <c r="E6" s="58"/>
      <c r="F6" s="60" t="str">
        <f t="array" aca="1" ref="F6" ca="1">IF(C1&lt;&gt;"",
IF(OR(INDIRECT("'盛付札（関数）'!R"&amp;A1)=121,INDIRECT("'盛付札（関数）'!R"&amp;A1)=122,INDIRECT("'盛付札（関数）'!R"&amp;A1)=123),"",
IF(AND(INDIRECT("'盛付札（関数）'!R"&amp;A1)&gt;=124,INDIRECT("'盛付札（関数）'!R"&amp;A1)&lt;=144),"",
"アレルギー")),"")</f>
        <v/>
      </c>
      <c r="G6" s="63"/>
      <c r="H6" s="45"/>
      <c r="I6" s="60" t="str">
        <f t="array" aca="1" ref="I6" ca="1">IF(J1&lt;&gt;"",
IF(OR(INDIRECT("'盛付札（関数）'!FI"&amp;H1)=121,INDIRECT("'盛付札（関数）'!FI"&amp;H1)=122,INDIRECT("'盛付札（関数）'!FI"&amp;H1)=123),"",
"パン箱"),"")</f>
        <v/>
      </c>
      <c r="J6" s="58" t="str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/>
      </c>
      <c r="K6" s="60" t="str">
        <f t="array" aca="1" ref="K6" ca="1">IF(J1&lt;&gt;"",
IF(OR(INDIRECT("'盛付札（関数）'!FI"&amp;H1)=121,INDIRECT("'盛付札（関数）'!FI"&amp;H1)=122,INDIRECT("'盛付札（関数）'!FI"&amp;H1)=123),"",
"端数"),"")</f>
        <v/>
      </c>
      <c r="L6" s="58"/>
      <c r="M6" s="60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/>
      </c>
      <c r="N6" s="63"/>
      <c r="O6" s="45"/>
      <c r="P6" s="54"/>
      <c r="Q6" s="60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58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0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58"/>
      <c r="U6" s="60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63"/>
      <c r="W6" s="45"/>
      <c r="X6" s="60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58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0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58"/>
      <c r="AB6" s="60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63"/>
      <c r="AD6" s="45"/>
      <c r="AE6" s="54"/>
      <c r="AF6" s="60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58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0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58"/>
      <c r="AJ6" s="60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63"/>
      <c r="AL6" s="45"/>
      <c r="AM6" s="60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58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0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58"/>
      <c r="AQ6" s="60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63"/>
      <c r="AS6" s="45"/>
      <c r="AT6" s="54"/>
      <c r="AU6" s="60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58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0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58"/>
      <c r="AY6" s="60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63"/>
      <c r="BA6" s="45"/>
      <c r="BB6" s="60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58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0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58"/>
      <c r="BF6" s="60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63"/>
      <c r="BH6" s="45"/>
      <c r="BI6" s="54"/>
      <c r="BJ6" s="60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58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0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58"/>
      <c r="BN6" s="60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63"/>
      <c r="BP6" s="45"/>
      <c r="BQ6" s="60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58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0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58"/>
      <c r="BU6" s="60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63"/>
      <c r="BW6" s="45"/>
      <c r="BX6" s="54"/>
      <c r="BY6" s="60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58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0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58"/>
      <c r="CC6" s="60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63"/>
      <c r="CE6" s="45"/>
      <c r="CF6" s="60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58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0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58"/>
      <c r="CJ6" s="60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63"/>
      <c r="CL6" s="45"/>
      <c r="CM6" s="54"/>
      <c r="CN6" s="60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58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0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58"/>
      <c r="CR6" s="60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63"/>
      <c r="CT6" s="45"/>
      <c r="CU6" s="60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58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0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58"/>
      <c r="CY6" s="60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63"/>
      <c r="DA6" s="45"/>
      <c r="DB6" s="54"/>
      <c r="DC6" s="60"/>
      <c r="DD6" s="58"/>
      <c r="DE6" s="60"/>
      <c r="DF6" s="58"/>
      <c r="DG6" s="60"/>
      <c r="DH6" s="63"/>
      <c r="DI6" s="45"/>
      <c r="DJ6" s="60"/>
      <c r="DK6" s="58"/>
      <c r="DL6" s="60"/>
      <c r="DM6" s="58"/>
      <c r="DN6" s="60"/>
      <c r="DO6" s="63"/>
      <c r="DP6" s="45"/>
      <c r="DQ6" s="54"/>
      <c r="DR6" s="60"/>
      <c r="DS6" s="58"/>
      <c r="DT6" s="60"/>
      <c r="DU6" s="58"/>
      <c r="DV6" s="60"/>
      <c r="DW6" s="63"/>
      <c r="DX6" s="45"/>
      <c r="DY6" s="60"/>
      <c r="DZ6" s="58"/>
      <c r="EA6" s="60"/>
      <c r="EB6" s="58"/>
      <c r="EC6" s="60"/>
      <c r="ED6" s="63"/>
      <c r="EE6" s="45"/>
      <c r="EF6" s="54"/>
      <c r="EG6" s="60"/>
      <c r="EH6" s="58"/>
      <c r="EI6" s="60"/>
      <c r="EJ6" s="58"/>
      <c r="EK6" s="60"/>
      <c r="EL6" s="63"/>
      <c r="EM6" s="45"/>
      <c r="EN6" s="60"/>
      <c r="EO6" s="58"/>
      <c r="EP6" s="60"/>
      <c r="EQ6" s="58"/>
      <c r="ER6" s="60"/>
      <c r="ES6" s="63"/>
      <c r="ET6" s="45"/>
    </row>
    <row r="7" spans="1:150" ht="27.6" customHeight="1">
      <c r="B7" s="247" t="str">
        <f t="array" aca="1" ref="B7" ca="1">IF(C1&lt;&gt;"",
IF(OR(INDIRECT("'盛付札（関数）'!R"&amp;A1)=121,INDIRECT("'盛付札（関数）'!R"&amp;A1)=122,INDIRECT("'盛付札（関数）'!R"&amp;A1)=123),"",
IF(B2="△",
INDIRECT("'盛付札（関数）'!Z"&amp;A1+1),INDIRECT("'盛付札（関数）'!Z"&amp;A1))),"")</f>
        <v/>
      </c>
      <c r="C7" s="240"/>
      <c r="D7" s="247" t="str">
        <f t="array" aca="1" ref="D7" ca="1">IF(C1&lt;&gt;"",
IF(OR(INDIRECT("'盛付札（関数）'!R"&amp;A1)=121,INDIRECT("'盛付札（関数）'!R"&amp;A1)=122,INDIRECT("'盛付札（関数）'!R"&amp;A1)=123),"",
IF(B2="△",
INDIRECT("'盛付札（関数）'!AA"&amp;A1+1),INDIRECT("'盛付札（関数）'!AA"&amp;A1))),"")</f>
        <v/>
      </c>
      <c r="E7" s="240"/>
      <c r="F7" s="248" t="str">
        <f t="array" aca="1" ref="F7" ca="1">IF(C1&lt;&gt;"",
IF(OR(INDIRECT("'盛付札（関数）'!R"&amp;A1)=121,INDIRECT("'盛付札（関数）'!R"&amp;A1)=122,INDIRECT("'盛付札（関数）'!R"&amp;A1)=123),"",
IF(AND(INDIRECT("'盛付札（関数）'!R"&amp;A1)&gt;=124,INDIRECT("'盛付札（関数）'!R"&amp;A1)&lt;=144),"",
IF(B2="●",
IFERROR(INDIRECT("'盛付札（関数）'!AB"&amp;A1)+INDIRECT("'盛付札（関数）'!AB"&amp;A1+1),0),
IF(B2="△",
INDIRECT("'盛付札（関数）'!AB"&amp;A1+1),INDIRECT("'盛付札（関数）'!AB"&amp;A1))))),"")</f>
        <v/>
      </c>
      <c r="G7" s="240"/>
      <c r="I7" s="247" t="str">
        <f ca="1">IF(J4&lt;&gt;"",
IFERROR(INT(J4/J6),""),"")</f>
        <v/>
      </c>
      <c r="J7" s="240"/>
      <c r="K7" s="247" t="str">
        <f ca="1">IFERROR(MOD(J4,J6),"")</f>
        <v/>
      </c>
      <c r="L7" s="240"/>
      <c r="M7" s="248" t="str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/>
      </c>
      <c r="N7" s="240"/>
      <c r="Q7" s="247" t="str">
        <f ca="1">IF(R4&lt;&gt;"",
IFERROR(INT(R4/R6),""),"")</f>
        <v/>
      </c>
      <c r="R7" s="240"/>
      <c r="S7" s="247" t="str">
        <f ca="1">IFERROR(MOD(R4,R6),"")</f>
        <v/>
      </c>
      <c r="T7" s="240"/>
      <c r="U7" s="248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40"/>
      <c r="X7" s="247" t="str">
        <f ca="1">IF(Y4&lt;&gt;"",
IFERROR(INT(Y4/Y6),""),"")</f>
        <v/>
      </c>
      <c r="Y7" s="240"/>
      <c r="Z7" s="247" t="str">
        <f ca="1">IFERROR(MOD(Y4,Y6),"")</f>
        <v/>
      </c>
      <c r="AA7" s="240"/>
      <c r="AB7" s="248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40"/>
      <c r="AF7" s="247" t="str">
        <f ca="1">IF(AG4&lt;&gt;"",
IFERROR(INT(AG4/AG6),""),"")</f>
        <v/>
      </c>
      <c r="AG7" s="240"/>
      <c r="AH7" s="247" t="str">
        <f ca="1">IFERROR(MOD(AG4,AG6),"")</f>
        <v/>
      </c>
      <c r="AI7" s="240"/>
      <c r="AJ7" s="248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40"/>
      <c r="AM7" s="247" t="str">
        <f ca="1">IF(AN4&lt;&gt;"",
IFERROR(INT(AN4/AN6),""),"")</f>
        <v/>
      </c>
      <c r="AN7" s="240"/>
      <c r="AO7" s="247" t="str">
        <f ca="1">IFERROR(MOD(AN4,AN6),"")</f>
        <v/>
      </c>
      <c r="AP7" s="240"/>
      <c r="AQ7" s="248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40"/>
      <c r="AU7" s="247" t="str">
        <f ca="1">IF(AV4&lt;&gt;"",
IFERROR(INT(AV4/AV6),""),"")</f>
        <v/>
      </c>
      <c r="AV7" s="240"/>
      <c r="AW7" s="247" t="str">
        <f ca="1">IFERROR(MOD(AV4,AV6),"")</f>
        <v/>
      </c>
      <c r="AX7" s="240"/>
      <c r="AY7" s="248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40"/>
      <c r="BB7" s="247" t="str">
        <f ca="1">IF(BC4&lt;&gt;"",
IFERROR(INT(BC4/BC6),""),"")</f>
        <v/>
      </c>
      <c r="BC7" s="240"/>
      <c r="BD7" s="247" t="str">
        <f ca="1">IFERROR(MOD(BC4,BC6),"")</f>
        <v/>
      </c>
      <c r="BE7" s="240"/>
      <c r="BF7" s="248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40"/>
      <c r="BJ7" s="247" t="str">
        <f ca="1">IF(BK4&lt;&gt;"",
IFERROR(INT(BK4/BK6),""),"")</f>
        <v/>
      </c>
      <c r="BK7" s="240"/>
      <c r="BL7" s="247" t="str">
        <f ca="1">IFERROR(MOD(BK4,BK6),"")</f>
        <v/>
      </c>
      <c r="BM7" s="240"/>
      <c r="BN7" s="248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40"/>
      <c r="BQ7" s="247" t="str">
        <f ca="1">IF(BR4&lt;&gt;"",
IFERROR(INT(BR4/BR6),""),"")</f>
        <v/>
      </c>
      <c r="BR7" s="240"/>
      <c r="BS7" s="247" t="str">
        <f ca="1">IFERROR(MOD(BR4,BR6),"")</f>
        <v/>
      </c>
      <c r="BT7" s="240"/>
      <c r="BU7" s="248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40"/>
      <c r="BY7" s="247" t="str">
        <f ca="1">IF(BZ4&lt;&gt;"",
IFERROR(INT(BZ4/BZ6),""),"")</f>
        <v/>
      </c>
      <c r="BZ7" s="240"/>
      <c r="CA7" s="247" t="str">
        <f ca="1">IFERROR(MOD(BZ4,BZ6),"")</f>
        <v/>
      </c>
      <c r="CB7" s="240"/>
      <c r="CC7" s="248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40"/>
      <c r="CF7" s="247" t="str">
        <f ca="1">IF(CG4&lt;&gt;"",
IFERROR(INT(CG4/CG6),""),"")</f>
        <v/>
      </c>
      <c r="CG7" s="240"/>
      <c r="CH7" s="247" t="str">
        <f ca="1">IFERROR(MOD(CG4,CG6),"")</f>
        <v/>
      </c>
      <c r="CI7" s="240"/>
      <c r="CJ7" s="248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40"/>
      <c r="CN7" s="247" t="str">
        <f ca="1">IF(CO4&lt;&gt;"",
IFERROR(INT(CO4/CO6),""),"")</f>
        <v/>
      </c>
      <c r="CO7" s="240"/>
      <c r="CP7" s="247" t="str">
        <f ca="1">IFERROR(MOD(CO4,CO6),"")</f>
        <v/>
      </c>
      <c r="CQ7" s="240"/>
      <c r="CR7" s="248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40"/>
      <c r="CU7" s="247" t="str">
        <f ca="1">IF(CV4&lt;&gt;"",
IFERROR(INT(CV4/CV6),""),"")</f>
        <v/>
      </c>
      <c r="CV7" s="240"/>
      <c r="CW7" s="247" t="str">
        <f ca="1">IFERROR(MOD(CV4,CV6),"")</f>
        <v/>
      </c>
      <c r="CX7" s="240"/>
      <c r="CY7" s="248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40"/>
      <c r="DC7" s="247"/>
      <c r="DD7" s="240"/>
      <c r="DE7" s="247"/>
      <c r="DF7" s="240"/>
      <c r="DG7" s="248"/>
      <c r="DH7" s="240"/>
      <c r="DJ7" s="247"/>
      <c r="DK7" s="240"/>
      <c r="DL7" s="247"/>
      <c r="DM7" s="240"/>
      <c r="DN7" s="248"/>
      <c r="DO7" s="240"/>
      <c r="DR7" s="247"/>
      <c r="DS7" s="240"/>
      <c r="DT7" s="247"/>
      <c r="DU7" s="240"/>
      <c r="DV7" s="248"/>
      <c r="DW7" s="240"/>
      <c r="DY7" s="247"/>
      <c r="DZ7" s="240"/>
      <c r="EA7" s="247"/>
      <c r="EB7" s="240"/>
      <c r="EC7" s="248"/>
      <c r="ED7" s="240"/>
      <c r="EG7" s="247"/>
      <c r="EH7" s="240"/>
      <c r="EI7" s="247"/>
      <c r="EJ7" s="240"/>
      <c r="EK7" s="248"/>
      <c r="EL7" s="240"/>
      <c r="EN7" s="247"/>
      <c r="EO7" s="240"/>
      <c r="EP7" s="247"/>
      <c r="EQ7" s="240"/>
      <c r="ER7" s="248"/>
      <c r="ES7" s="240"/>
    </row>
    <row r="8" spans="1:150" ht="6.6" customHeight="1">
      <c r="B8" s="68"/>
      <c r="D8" s="68"/>
      <c r="F8" s="69"/>
      <c r="I8" s="68"/>
      <c r="K8" s="68"/>
      <c r="M8" s="69"/>
      <c r="Q8" s="68"/>
      <c r="S8" s="68"/>
      <c r="U8" s="69"/>
      <c r="X8" s="68"/>
      <c r="Z8" s="68"/>
      <c r="AB8" s="69"/>
      <c r="AF8" s="68"/>
      <c r="AH8" s="68"/>
      <c r="AJ8" s="69"/>
      <c r="AM8" s="68"/>
      <c r="AO8" s="68"/>
      <c r="AQ8" s="69"/>
      <c r="AU8" s="68"/>
      <c r="AW8" s="68"/>
      <c r="AY8" s="69"/>
      <c r="BB8" s="68"/>
      <c r="BD8" s="68"/>
      <c r="BF8" s="69"/>
      <c r="BJ8" s="68"/>
      <c r="BL8" s="68"/>
      <c r="BN8" s="69"/>
      <c r="BQ8" s="68"/>
      <c r="BS8" s="68"/>
      <c r="BU8" s="69"/>
      <c r="BY8" s="68"/>
      <c r="CA8" s="68"/>
      <c r="CC8" s="69"/>
      <c r="CF8" s="68"/>
      <c r="CH8" s="68"/>
      <c r="CJ8" s="69"/>
      <c r="CN8" s="68"/>
      <c r="CP8" s="68"/>
      <c r="CR8" s="69"/>
      <c r="CU8" s="68"/>
      <c r="CW8" s="68"/>
      <c r="CY8" s="69"/>
      <c r="DC8" s="68"/>
      <c r="DE8" s="68"/>
      <c r="DG8" s="69"/>
      <c r="DJ8" s="68"/>
      <c r="DL8" s="68"/>
      <c r="DN8" s="69"/>
      <c r="DR8" s="68"/>
      <c r="DT8" s="68"/>
      <c r="DV8" s="69"/>
      <c r="DY8" s="68"/>
      <c r="EA8" s="68"/>
      <c r="EC8" s="69"/>
      <c r="EG8" s="68"/>
      <c r="EI8" s="68"/>
      <c r="EK8" s="69"/>
      <c r="EN8" s="68"/>
      <c r="EP8" s="68"/>
      <c r="ER8" s="69"/>
    </row>
    <row r="9" spans="1:150" s="55" customFormat="1" ht="25.8" customHeight="1">
      <c r="A9" s="54">
        <f ca="1">IF(OR(I2="●",I2="△"),
H1+2,H1+1)</f>
        <v>3</v>
      </c>
      <c r="B9" s="66" t="str">
        <f ca="1">IF(C9&lt;&gt;"",
MID(貼り付け用!$A$2, FIND("年",貼り付け用!$A$2)+1,2)&amp;"/"&amp;MID(貼り付け用!$A$2, FIND("月",貼り付け用!$A$2)+1,2),"")</f>
        <v/>
      </c>
      <c r="C9" s="245" t="str">
        <f t="array" aca="1" ref="C9" ca="1">SUBSTITUTE(SUBSTITUTE(SUBSTITUTE(SUBSTITUTE(SUBSTITUTE(SUBSTITUTE(SUBSTITUTE(SUBSTITUTE(SUBSTITUTE(SUBSTITUTE(SUBSTITUTE(
IF(B10="△",
INDIRECT("'盛付札（関数）'!FJ"&amp;A9+1),INDIRECT("'盛付札（関数）'!FJ"&amp;A9)),"０",""),"①",""),"②",""),"③",""),"④",""),"⑤",""),"⑥",""),"⑦",""),"⑧",""),"⑨",""),"⑩","")</f>
        <v/>
      </c>
      <c r="D9" s="246"/>
      <c r="E9" s="246"/>
      <c r="F9" s="246"/>
      <c r="G9" s="65" t="str">
        <f t="array" aca="1" ref="G9" ca="1">IF(C9&lt;&gt;"",
IF(AND(INDIRECT("'盛付札（関数）'!FI"&amp;A9)&gt;=124,INDIRECT("'盛付札（関数）'!FI"&amp;A9)&lt;=144),"",
"様"),"")</f>
        <v/>
      </c>
      <c r="H9" s="59">
        <f ca="1">IF(OR(B10="●",B10="△"),
A9+2,A9+1)</f>
        <v>4</v>
      </c>
      <c r="I9" s="66" t="str">
        <f ca="1">IF(J9&lt;&gt;"",
MID(貼り付け用!$A$2, FIND("年",貼り付け用!$A$2)+1,2)&amp;"/"&amp;MID(貼り付け用!$A$2, FIND("月",貼り付け用!$A$2)+1,2),"")</f>
        <v/>
      </c>
      <c r="J9" s="245" t="str">
        <f t="array" aca="1" ref="J9" ca="1">SUBSTITUTE(SUBSTITUTE(SUBSTITUTE(SUBSTITUTE(SUBSTITUTE(SUBSTITUTE(SUBSTITUTE(SUBSTITUTE(SUBSTITUTE(SUBSTITUTE(SUBSTITUTE(
IF(I10="△",
INDIRECT("'盛付札（関数）'!FJ"&amp;H9+1),INDIRECT("'盛付札（関数）'!FJ"&amp;H9)),"０",""),"①",""),"②",""),"③",""),"④",""),"⑤",""),"⑥",""),"⑦",""),"⑧",""),"⑨",""),"⑩","")</f>
        <v/>
      </c>
      <c r="K9" s="246"/>
      <c r="L9" s="246"/>
      <c r="M9" s="246"/>
      <c r="N9" s="65" t="str">
        <f t="array" aca="1" ref="N9" ca="1">IF(J9&lt;&gt;"",
IF(AND(INDIRECT("'盛付札（関数）'!FI"&amp;H9)&gt;=124,INDIRECT("'盛付札（関数）'!FI"&amp;H9)&lt;=144),"",
"様"),"")</f>
        <v/>
      </c>
      <c r="O9" s="45"/>
      <c r="P9" s="54">
        <f ca="1">IF(OR(X2="●",X2="△"),
W1+2,W1+1)</f>
        <v>15</v>
      </c>
      <c r="Q9" s="66" t="str">
        <f ca="1">IF(R9&lt;&gt;"",
MID(貼り付け用!$A$2, FIND("年",貼り付け用!$A$2)+1,2)&amp;"/"&amp;MID(貼り付け用!$A$2, FIND("月",貼り付け用!$A$2)+1,2),"")</f>
        <v/>
      </c>
      <c r="R9" s="245" t="str">
        <f t="array" aca="1" ref="R9" ca="1">SUBSTITUTE(SUBSTITUTE(SUBSTITUTE(SUBSTITUTE(SUBSTITUTE(SUBSTITUTE(SUBSTITUTE(SUBSTITUTE(SUBSTITUTE(SUBSTITUTE(SUBSTITUTE(
IF(Q10="△",
INDIRECT("'盛付札（関数）'!FJ"&amp;P9+1),INDIRECT("'盛付札（関数）'!FJ"&amp;P9)),"０",""),"①",""),"②",""),"③",""),"④",""),"⑤",""),"⑥",""),"⑦",""),"⑧",""),"⑨",""),"⑩","")</f>
        <v/>
      </c>
      <c r="S9" s="246"/>
      <c r="T9" s="246"/>
      <c r="U9" s="246"/>
      <c r="V9" s="65" t="str">
        <f t="array" aca="1" ref="V9" ca="1">IF(R9&lt;&gt;"",
IF(AND(INDIRECT("'盛付札（関数）'!FI"&amp;P9)&gt;=124,INDIRECT("'盛付札（関数）'!FI"&amp;P9)&lt;=144),"",
"様"),"")</f>
        <v/>
      </c>
      <c r="W9" s="59">
        <f ca="1">IF(OR(Q10="●",Q10="△"),
P9+2,P9+1)</f>
        <v>16</v>
      </c>
      <c r="X9" s="66" t="str">
        <f ca="1">IF(Y9&lt;&gt;"",
MID(貼り付け用!$A$2, FIND("年",貼り付け用!$A$2)+1,2)&amp;"/"&amp;MID(貼り付け用!$A$2, FIND("月",貼り付け用!$A$2)+1,2),"")</f>
        <v/>
      </c>
      <c r="Y9" s="245" t="str">
        <f t="array" aca="1" ref="Y9" ca="1">SUBSTITUTE(SUBSTITUTE(SUBSTITUTE(SUBSTITUTE(SUBSTITUTE(SUBSTITUTE(SUBSTITUTE(SUBSTITUTE(SUBSTITUTE(SUBSTITUTE(SUBSTITUTE(
IF(X10="△",
INDIRECT("'盛付札（関数）'!FJ"&amp;W9+1),INDIRECT("'盛付札（関数）'!FJ"&amp;W9)),"０",""),"①",""),"②",""),"③",""),"④",""),"⑤",""),"⑥",""),"⑦",""),"⑧",""),"⑨",""),"⑩","")</f>
        <v/>
      </c>
      <c r="Z9" s="246"/>
      <c r="AA9" s="246"/>
      <c r="AB9" s="246"/>
      <c r="AC9" s="65" t="str">
        <f t="array" aca="1" ref="AC9" ca="1">IF(Y9&lt;&gt;"",
IF(AND(INDIRECT("'盛付札（関数）'!FI"&amp;W9)&gt;=124,INDIRECT("'盛付札（関数）'!FI"&amp;W9)&lt;=144),"",
"様"),"")</f>
        <v/>
      </c>
      <c r="AD9" s="45"/>
      <c r="AE9" s="54">
        <f ca="1">IF(OR(AM2="●",AM2="△"),
AL1+2,AL1+1)</f>
        <v>27</v>
      </c>
      <c r="AF9" s="66" t="str">
        <f ca="1">IF(AG9&lt;&gt;"",
MID(貼り付け用!$A$2, FIND("年",貼り付け用!$A$2)+1,2)&amp;"/"&amp;MID(貼り付け用!$A$2, FIND("月",貼り付け用!$A$2)+1,2),"")</f>
        <v/>
      </c>
      <c r="AG9" s="245" t="str">
        <f t="array" aca="1" ref="AG9" ca="1">SUBSTITUTE(SUBSTITUTE(SUBSTITUTE(SUBSTITUTE(SUBSTITUTE(SUBSTITUTE(SUBSTITUTE(SUBSTITUTE(SUBSTITUTE(SUBSTITUTE(SUBSTITUTE(
IF(AF10="△",
INDIRECT("'盛付札（関数）'!FJ"&amp;AE9+1),INDIRECT("'盛付札（関数）'!FJ"&amp;AE9)),"０",""),"①",""),"②",""),"③",""),"④",""),"⑤",""),"⑥",""),"⑦",""),"⑧",""),"⑨",""),"⑩","")</f>
        <v/>
      </c>
      <c r="AH9" s="246"/>
      <c r="AI9" s="246"/>
      <c r="AJ9" s="246"/>
      <c r="AK9" s="65" t="str">
        <f t="array" aca="1" ref="AK9" ca="1">IF(AG9&lt;&gt;"",
IF(AND(INDIRECT("'盛付札（関数）'!FI"&amp;AE9)&gt;=124,INDIRECT("'盛付札（関数）'!FI"&amp;AE9)&lt;=144),"",
"様"),"")</f>
        <v/>
      </c>
      <c r="AL9" s="59">
        <f ca="1">IF(OR(AF10="●",AF10="△"),
AE9+2,AE9+1)</f>
        <v>28</v>
      </c>
      <c r="AM9" s="66" t="str">
        <f ca="1">IF(AN9&lt;&gt;"",
MID(貼り付け用!$A$2, FIND("年",貼り付け用!$A$2)+1,2)&amp;"/"&amp;MID(貼り付け用!$A$2, FIND("月",貼り付け用!$A$2)+1,2),"")</f>
        <v/>
      </c>
      <c r="AN9" s="245" t="str">
        <f t="array" aca="1" ref="AN9" ca="1">SUBSTITUTE(SUBSTITUTE(SUBSTITUTE(SUBSTITUTE(SUBSTITUTE(SUBSTITUTE(SUBSTITUTE(SUBSTITUTE(SUBSTITUTE(SUBSTITUTE(SUBSTITUTE(
IF(AM10="△",
INDIRECT("'盛付札（関数）'!FJ"&amp;AL9+1),INDIRECT("'盛付札（関数）'!FJ"&amp;AL9)),"０",""),"①",""),"②",""),"③",""),"④",""),"⑤",""),"⑥",""),"⑦",""),"⑧",""),"⑨",""),"⑩","")</f>
        <v/>
      </c>
      <c r="AO9" s="246"/>
      <c r="AP9" s="246"/>
      <c r="AQ9" s="246"/>
      <c r="AR9" s="65" t="str">
        <f t="array" aca="1" ref="AR9" ca="1">IF(AN9&lt;&gt;"",
IF(AND(INDIRECT("'盛付札（関数）'!FI"&amp;AL9)&gt;=124,INDIRECT("'盛付札（関数）'!FI"&amp;AL9)&lt;=144),"",
"様"),"")</f>
        <v/>
      </c>
      <c r="AS9" s="45"/>
      <c r="AT9" s="54">
        <f ca="1">IF(OR(BB2="●",BB2="△"),
BA1+2,BA1+1)</f>
        <v>39</v>
      </c>
      <c r="AU9" s="66" t="str">
        <f ca="1">IF(AV9&lt;&gt;"",
MID(貼り付け用!$A$2, FIND("年",貼り付け用!$A$2)+1,2)&amp;"/"&amp;MID(貼り付け用!$A$2, FIND("月",貼り付け用!$A$2)+1,2),"")</f>
        <v/>
      </c>
      <c r="AV9" s="245" t="str">
        <f t="array" aca="1" ref="AV9" ca="1">SUBSTITUTE(SUBSTITUTE(SUBSTITUTE(SUBSTITUTE(SUBSTITUTE(SUBSTITUTE(SUBSTITUTE(SUBSTITUTE(SUBSTITUTE(SUBSTITUTE(SUBSTITUTE(
IF(AU10="△",
INDIRECT("'盛付札（関数）'!FJ"&amp;AT9+1),INDIRECT("'盛付札（関数）'!FJ"&amp;AT9)),"０",""),"①",""),"②",""),"③",""),"④",""),"⑤",""),"⑥",""),"⑦",""),"⑧",""),"⑨",""),"⑩","")</f>
        <v/>
      </c>
      <c r="AW9" s="246"/>
      <c r="AX9" s="246"/>
      <c r="AY9" s="246"/>
      <c r="AZ9" s="65" t="str">
        <f t="array" aca="1" ref="AZ9" ca="1">IF(AV9&lt;&gt;"",
IF(AND(INDIRECT("'盛付札（関数）'!FI"&amp;AT9)&gt;=124,INDIRECT("'盛付札（関数）'!FI"&amp;AT9)&lt;=144),"",
"様"),"")</f>
        <v/>
      </c>
      <c r="BA9" s="59">
        <f ca="1">IF(OR(AU10="●",AU10="△"),
AT9+2,AT9+1)</f>
        <v>40</v>
      </c>
      <c r="BB9" s="66" t="str">
        <f ca="1">IF(BC9&lt;&gt;"",
MID(貼り付け用!$A$2, FIND("年",貼り付け用!$A$2)+1,2)&amp;"/"&amp;MID(貼り付け用!$A$2, FIND("月",貼り付け用!$A$2)+1,2),"")</f>
        <v/>
      </c>
      <c r="BC9" s="245" t="str">
        <f t="array" aca="1" ref="BC9" ca="1">SUBSTITUTE(SUBSTITUTE(SUBSTITUTE(SUBSTITUTE(SUBSTITUTE(SUBSTITUTE(SUBSTITUTE(SUBSTITUTE(SUBSTITUTE(SUBSTITUTE(SUBSTITUTE(
IF(BB10="△",
INDIRECT("'盛付札（関数）'!FJ"&amp;BA9+1),INDIRECT("'盛付札（関数）'!FJ"&amp;BA9)),"０",""),"①",""),"②",""),"③",""),"④",""),"⑤",""),"⑥",""),"⑦",""),"⑧",""),"⑨",""),"⑩","")</f>
        <v/>
      </c>
      <c r="BD9" s="246"/>
      <c r="BE9" s="246"/>
      <c r="BF9" s="246"/>
      <c r="BG9" s="65" t="str">
        <f t="array" aca="1" ref="BG9" ca="1">IF(BC9&lt;&gt;"",
IF(AND(INDIRECT("'盛付札（関数）'!FI"&amp;BA9)&gt;=124,INDIRECT("'盛付札（関数）'!FI"&amp;BA9)&lt;=144),"",
"様"),"")</f>
        <v/>
      </c>
      <c r="BH9" s="45"/>
      <c r="BI9" s="54">
        <f ca="1">IF(OR(BQ2="●",BQ2="△"),
BP1+2,BP1+1)</f>
        <v>51</v>
      </c>
      <c r="BJ9" s="66" t="str">
        <f ca="1">IF(BK9&lt;&gt;"",
MID(貼り付け用!$A$2, FIND("年",貼り付け用!$A$2)+1,2)&amp;"/"&amp;MID(貼り付け用!$A$2, FIND("月",貼り付け用!$A$2)+1,2),"")</f>
        <v/>
      </c>
      <c r="BK9" s="245" t="str">
        <f t="array" aca="1" ref="BK9" ca="1">SUBSTITUTE(SUBSTITUTE(SUBSTITUTE(SUBSTITUTE(SUBSTITUTE(SUBSTITUTE(SUBSTITUTE(SUBSTITUTE(SUBSTITUTE(SUBSTITUTE(SUBSTITUTE(
IF(BJ10="△",
INDIRECT("'盛付札（関数）'!FJ"&amp;BI9+1),INDIRECT("'盛付札（関数）'!FJ"&amp;BI9)),"０",""),"①",""),"②",""),"③",""),"④",""),"⑤",""),"⑥",""),"⑦",""),"⑧",""),"⑨",""),"⑩","")</f>
        <v/>
      </c>
      <c r="BL9" s="246"/>
      <c r="BM9" s="246"/>
      <c r="BN9" s="246"/>
      <c r="BO9" s="65" t="str">
        <f t="array" aca="1" ref="BO9" ca="1">IF(BK9&lt;&gt;"",
IF(AND(INDIRECT("'盛付札（関数）'!FI"&amp;BI9)&gt;=124,INDIRECT("'盛付札（関数）'!FI"&amp;BI9)&lt;=144),"",
"様"),"")</f>
        <v/>
      </c>
      <c r="BP9" s="59">
        <f ca="1">IF(OR(BJ10="●",BJ10="△"),
BI9+2,BI9+1)</f>
        <v>52</v>
      </c>
      <c r="BQ9" s="66" t="str">
        <f ca="1">IF(BR9&lt;&gt;"",
MID(貼り付け用!$A$2, FIND("年",貼り付け用!$A$2)+1,2)&amp;"/"&amp;MID(貼り付け用!$A$2, FIND("月",貼り付け用!$A$2)+1,2),"")</f>
        <v/>
      </c>
      <c r="BR9" s="245" t="str">
        <f t="array" aca="1" ref="BR9" ca="1">SUBSTITUTE(SUBSTITUTE(SUBSTITUTE(SUBSTITUTE(SUBSTITUTE(SUBSTITUTE(SUBSTITUTE(SUBSTITUTE(SUBSTITUTE(SUBSTITUTE(SUBSTITUTE(
IF(BQ10="△",
INDIRECT("'盛付札（関数）'!FJ"&amp;BP9+1),INDIRECT("'盛付札（関数）'!FJ"&amp;BP9)),"０",""),"①",""),"②",""),"③",""),"④",""),"⑤",""),"⑥",""),"⑦",""),"⑧",""),"⑨",""),"⑩","")</f>
        <v/>
      </c>
      <c r="BS9" s="246"/>
      <c r="BT9" s="246"/>
      <c r="BU9" s="246"/>
      <c r="BV9" s="65" t="str">
        <f t="array" aca="1" ref="BV9" ca="1">IF(BR9&lt;&gt;"",
IF(AND(INDIRECT("'盛付札（関数）'!FI"&amp;BP9)&gt;=124,INDIRECT("'盛付札（関数）'!FI"&amp;BP9)&lt;=144),"",
"様"),"")</f>
        <v/>
      </c>
      <c r="BW9" s="45"/>
      <c r="BX9" s="54">
        <f ca="1">IF(OR(CF2="●",CF2="△"),
CE1+2,CE1+1)</f>
        <v>63</v>
      </c>
      <c r="BY9" s="66" t="str">
        <f ca="1">IF(BZ9&lt;&gt;"",
MID(貼り付け用!$A$2, FIND("年",貼り付け用!$A$2)+1,2)&amp;"/"&amp;MID(貼り付け用!$A$2, FIND("月",貼り付け用!$A$2)+1,2),"")</f>
        <v/>
      </c>
      <c r="BZ9" s="245" t="str">
        <f t="array" aca="1" ref="BZ9" ca="1">SUBSTITUTE(SUBSTITUTE(SUBSTITUTE(SUBSTITUTE(SUBSTITUTE(SUBSTITUTE(SUBSTITUTE(SUBSTITUTE(SUBSTITUTE(SUBSTITUTE(SUBSTITUTE(
IF(BY10="△",
INDIRECT("'盛付札（関数）'!FJ"&amp;BX9+1),INDIRECT("'盛付札（関数）'!FJ"&amp;BX9)),"０",""),"①",""),"②",""),"③",""),"④",""),"⑤",""),"⑥",""),"⑦",""),"⑧",""),"⑨",""),"⑩","")</f>
        <v/>
      </c>
      <c r="CA9" s="246"/>
      <c r="CB9" s="246"/>
      <c r="CC9" s="246"/>
      <c r="CD9" s="65" t="str">
        <f t="array" aca="1" ref="CD9" ca="1">IF(BZ9&lt;&gt;"",
IF(AND(INDIRECT("'盛付札（関数）'!FI"&amp;BX9)&gt;=124,INDIRECT("'盛付札（関数）'!FI"&amp;BX9)&lt;=144),"",
"様"),"")</f>
        <v/>
      </c>
      <c r="CE9" s="59">
        <f ca="1">IF(OR(BY10="●",BY10="△"),
BX9+2,BX9+1)</f>
        <v>64</v>
      </c>
      <c r="CF9" s="66" t="str">
        <f ca="1">IF(CG9&lt;&gt;"",
MID(貼り付け用!$A$2, FIND("年",貼り付け用!$A$2)+1,2)&amp;"/"&amp;MID(貼り付け用!$A$2, FIND("月",貼り付け用!$A$2)+1,2),"")</f>
        <v/>
      </c>
      <c r="CG9" s="245" t="str">
        <f t="array" aca="1" ref="CG9" ca="1">SUBSTITUTE(SUBSTITUTE(SUBSTITUTE(SUBSTITUTE(SUBSTITUTE(SUBSTITUTE(SUBSTITUTE(SUBSTITUTE(SUBSTITUTE(SUBSTITUTE(SUBSTITUTE(
IF(CF10="△",
INDIRECT("'盛付札（関数）'!FJ"&amp;CE9+1),INDIRECT("'盛付札（関数）'!FJ"&amp;CE9)),"０",""),"①",""),"②",""),"③",""),"④",""),"⑤",""),"⑥",""),"⑦",""),"⑧",""),"⑨",""),"⑩","")</f>
        <v/>
      </c>
      <c r="CH9" s="246"/>
      <c r="CI9" s="246"/>
      <c r="CJ9" s="246"/>
      <c r="CK9" s="65" t="str">
        <f t="array" aca="1" ref="CK9" ca="1">IF(CG9&lt;&gt;"",
IF(AND(INDIRECT("'盛付札（関数）'!FI"&amp;CE9)&gt;=124,INDIRECT("'盛付札（関数）'!FI"&amp;CE9)&lt;=144),"",
"様"),"")</f>
        <v/>
      </c>
      <c r="CL9" s="45"/>
      <c r="CM9" s="54">
        <f ca="1">IF(OR(CU2="●",CU2="△"),
CT1+2,CT1+1)</f>
        <v>75</v>
      </c>
      <c r="CN9" s="66" t="str">
        <f ca="1">IF(CO9&lt;&gt;"",
MID(貼り付け用!$A$2, FIND("年",貼り付け用!$A$2)+1,2)&amp;"/"&amp;MID(貼り付け用!$A$2, FIND("月",貼り付け用!$A$2)+1,2),"")</f>
        <v/>
      </c>
      <c r="CO9" s="245" t="str">
        <f t="array" aca="1" ref="CO9" ca="1">SUBSTITUTE(SUBSTITUTE(SUBSTITUTE(SUBSTITUTE(SUBSTITUTE(SUBSTITUTE(SUBSTITUTE(SUBSTITUTE(SUBSTITUTE(SUBSTITUTE(SUBSTITUTE(
IF(CN10="△",
INDIRECT("'盛付札（関数）'!FJ"&amp;CM9+1),INDIRECT("'盛付札（関数）'!FJ"&amp;CM9)),"０",""),"①",""),"②",""),"③",""),"④",""),"⑤",""),"⑥",""),"⑦",""),"⑧",""),"⑨",""),"⑩","")</f>
        <v/>
      </c>
      <c r="CP9" s="246"/>
      <c r="CQ9" s="246"/>
      <c r="CR9" s="246"/>
      <c r="CS9" s="65" t="str">
        <f t="array" aca="1" ref="CS9" ca="1">IF(CO9&lt;&gt;"",
IF(AND(INDIRECT("'盛付札（関数）'!FI"&amp;CM9)&gt;=124,INDIRECT("'盛付札（関数）'!FI"&amp;CM9)&lt;=144),"",
"様"),"")</f>
        <v/>
      </c>
      <c r="CT9" s="59">
        <f ca="1">IF(OR(CN10="●",CN10="△"),
CM9+2,CM9+1)</f>
        <v>76</v>
      </c>
      <c r="CU9" s="66" t="str">
        <f ca="1">IF(CV9&lt;&gt;"",
MID(貼り付け用!$A$2, FIND("年",貼り付け用!$A$2)+1,2)&amp;"/"&amp;MID(貼り付け用!$A$2, FIND("月",貼り付け用!$A$2)+1,2),"")</f>
        <v/>
      </c>
      <c r="CV9" s="245" t="str">
        <f t="array" aca="1" ref="CV9" ca="1">SUBSTITUTE(SUBSTITUTE(SUBSTITUTE(SUBSTITUTE(SUBSTITUTE(SUBSTITUTE(SUBSTITUTE(SUBSTITUTE(SUBSTITUTE(SUBSTITUTE(SUBSTITUTE(
IF(CU10="△",
INDIRECT("'盛付札（関数）'!FJ"&amp;CT9+1),INDIRECT("'盛付札（関数）'!FJ"&amp;CT9)),"０",""),"①",""),"②",""),"③",""),"④",""),"⑤",""),"⑥",""),"⑦",""),"⑧",""),"⑨",""),"⑩","")</f>
        <v/>
      </c>
      <c r="CW9" s="246"/>
      <c r="CX9" s="246"/>
      <c r="CY9" s="246"/>
      <c r="CZ9" s="65" t="str">
        <f t="array" aca="1" ref="CZ9" ca="1">IF(CV9&lt;&gt;"",
IF(AND(INDIRECT("'盛付札（関数）'!FI"&amp;CT9)&gt;=124,INDIRECT("'盛付札（関数）'!FI"&amp;CT9)&lt;=144),"",
"様"),"")</f>
        <v/>
      </c>
      <c r="DA9" s="45"/>
      <c r="DB9" s="54"/>
      <c r="DC9" s="66"/>
      <c r="DD9" s="245"/>
      <c r="DE9" s="246"/>
      <c r="DF9" s="246"/>
      <c r="DG9" s="246"/>
      <c r="DH9" s="65"/>
      <c r="DI9" s="59"/>
      <c r="DJ9" s="66"/>
      <c r="DK9" s="245"/>
      <c r="DL9" s="246"/>
      <c r="DM9" s="246"/>
      <c r="DN9" s="246"/>
      <c r="DO9" s="65"/>
      <c r="DP9" s="45"/>
      <c r="DQ9" s="54"/>
      <c r="DR9" s="66"/>
      <c r="DS9" s="245"/>
      <c r="DT9" s="246"/>
      <c r="DU9" s="246"/>
      <c r="DV9" s="246"/>
      <c r="DW9" s="65"/>
      <c r="DX9" s="59"/>
      <c r="DY9" s="66"/>
      <c r="DZ9" s="245"/>
      <c r="EA9" s="246"/>
      <c r="EB9" s="246"/>
      <c r="EC9" s="246"/>
      <c r="ED9" s="65"/>
      <c r="EE9" s="45"/>
      <c r="EF9" s="54"/>
      <c r="EG9" s="66"/>
      <c r="EH9" s="245"/>
      <c r="EI9" s="246"/>
      <c r="EJ9" s="246"/>
      <c r="EK9" s="246"/>
      <c r="EL9" s="65"/>
      <c r="EM9" s="59"/>
      <c r="EN9" s="66"/>
      <c r="EO9" s="245"/>
      <c r="EP9" s="246"/>
      <c r="EQ9" s="246"/>
      <c r="ER9" s="246"/>
      <c r="ES9" s="65"/>
      <c r="ET9" s="45"/>
    </row>
    <row r="10" spans="1:150" s="55" customFormat="1">
      <c r="A10" s="54"/>
      <c r="B10" s="56" t="str">
        <f ca="1">IF(COUNTIF(INDIRECT("'盛付札（関数）'!FJ"&amp;A9+1),"*雙葉*"),"●",
"〇")</f>
        <v>〇</v>
      </c>
      <c r="C10" s="70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>0</v>
      </c>
      <c r="D10" s="64"/>
      <c r="E10" s="64"/>
      <c r="F10" s="71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62"/>
      <c r="H10" s="72"/>
      <c r="I10" s="56" t="str">
        <f ca="1">IF(COUNTIF(INDIRECT("'盛付札（関数）'!FJ"&amp;H9+1),"*雙葉*"),"●",
"〇")</f>
        <v>〇</v>
      </c>
      <c r="J10" s="70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>0</v>
      </c>
      <c r="K10" s="64"/>
      <c r="L10" s="64"/>
      <c r="M10" s="71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62"/>
      <c r="O10" s="45"/>
      <c r="P10" s="54"/>
      <c r="Q10" s="56" t="str">
        <f ca="1">IF(COUNTIF(INDIRECT("'盛付札（関数）'!FJ"&amp;P9+1),"*雙葉*"),"●",
"〇")</f>
        <v>〇</v>
      </c>
      <c r="R10" s="70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>0</v>
      </c>
      <c r="S10" s="64"/>
      <c r="T10" s="64"/>
      <c r="U10" s="71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62"/>
      <c r="W10" s="72"/>
      <c r="X10" s="56" t="str">
        <f ca="1">IF(COUNTIF(INDIRECT("'盛付札（関数）'!FJ"&amp;W9+1),"*雙葉*"),"●",
"〇")</f>
        <v>〇</v>
      </c>
      <c r="Y10" s="70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>0</v>
      </c>
      <c r="Z10" s="64"/>
      <c r="AA10" s="64"/>
      <c r="AB10" s="71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62"/>
      <c r="AD10" s="45"/>
      <c r="AE10" s="54"/>
      <c r="AF10" s="56" t="str">
        <f ca="1">IF(COUNTIF(INDIRECT("'盛付札（関数）'!FJ"&amp;AE9+1),"*雙葉*"),"●",
"〇")</f>
        <v>〇</v>
      </c>
      <c r="AG10" s="70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>0</v>
      </c>
      <c r="AH10" s="64"/>
      <c r="AI10" s="64"/>
      <c r="AJ10" s="71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62"/>
      <c r="AL10" s="72"/>
      <c r="AM10" s="56" t="str">
        <f ca="1">IF(COUNTIF(INDIRECT("'盛付札（関数）'!FJ"&amp;AL9+1),"*雙葉*"),"●",
"〇")</f>
        <v>〇</v>
      </c>
      <c r="AN10" s="70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>0</v>
      </c>
      <c r="AO10" s="64"/>
      <c r="AP10" s="64"/>
      <c r="AQ10" s="71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62"/>
      <c r="AS10" s="45"/>
      <c r="AT10" s="54"/>
      <c r="AU10" s="56" t="str">
        <f ca="1">IF(COUNTIF(INDIRECT("'盛付札（関数）'!FJ"&amp;AT9+1),"*雙葉*"),"●",
"〇")</f>
        <v>〇</v>
      </c>
      <c r="AV10" s="70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>0</v>
      </c>
      <c r="AW10" s="64"/>
      <c r="AX10" s="64"/>
      <c r="AY10" s="71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62"/>
      <c r="BA10" s="72"/>
      <c r="BB10" s="56" t="str">
        <f ca="1">IF(COUNTIF(INDIRECT("'盛付札（関数）'!FJ"&amp;BA9+1),"*雙葉*"),"●",
"〇")</f>
        <v>〇</v>
      </c>
      <c r="BC10" s="70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>0</v>
      </c>
      <c r="BD10" s="64"/>
      <c r="BE10" s="64"/>
      <c r="BF10" s="71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62"/>
      <c r="BH10" s="45"/>
      <c r="BI10" s="54"/>
      <c r="BJ10" s="56" t="str">
        <f ca="1">IF(COUNTIF(INDIRECT("'盛付札（関数）'!FJ"&amp;BI9+1),"*雙葉*"),"●",
"〇")</f>
        <v>〇</v>
      </c>
      <c r="BK10" s="70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>0</v>
      </c>
      <c r="BL10" s="64"/>
      <c r="BM10" s="64"/>
      <c r="BN10" s="71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62"/>
      <c r="BP10" s="72"/>
      <c r="BQ10" s="56" t="str">
        <f ca="1">IF(COUNTIF(INDIRECT("'盛付札（関数）'!FJ"&amp;BP9+1),"*雙葉*"),"●",
"〇")</f>
        <v>〇</v>
      </c>
      <c r="BR10" s="70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>0</v>
      </c>
      <c r="BS10" s="64"/>
      <c r="BT10" s="64"/>
      <c r="BU10" s="71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62"/>
      <c r="BW10" s="45"/>
      <c r="BX10" s="54"/>
      <c r="BY10" s="56" t="str">
        <f ca="1">IF(COUNTIF(INDIRECT("'盛付札（関数）'!FJ"&amp;BX9+1),"*雙葉*"),"●",
"〇")</f>
        <v>〇</v>
      </c>
      <c r="BZ10" s="70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>0</v>
      </c>
      <c r="CA10" s="64"/>
      <c r="CB10" s="64"/>
      <c r="CC10" s="71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62"/>
      <c r="CE10" s="72"/>
      <c r="CF10" s="56" t="str">
        <f ca="1">IF(COUNTIF(INDIRECT("'盛付札（関数）'!FJ"&amp;CE9+1),"*雙葉*"),"●",
"〇")</f>
        <v>〇</v>
      </c>
      <c r="CG10" s="70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>0</v>
      </c>
      <c r="CH10" s="64"/>
      <c r="CI10" s="64"/>
      <c r="CJ10" s="71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62"/>
      <c r="CL10" s="45"/>
      <c r="CM10" s="54"/>
      <c r="CN10" s="56" t="str">
        <f ca="1">IF(COUNTIF(INDIRECT("'盛付札（関数）'!FJ"&amp;CM9+1),"*雙葉*"),"●",
"〇")</f>
        <v>〇</v>
      </c>
      <c r="CO10" s="70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>0</v>
      </c>
      <c r="CP10" s="64"/>
      <c r="CQ10" s="64"/>
      <c r="CR10" s="71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62"/>
      <c r="CT10" s="72"/>
      <c r="CU10" s="56" t="str">
        <f ca="1">IF(COUNTIF(INDIRECT("'盛付札（関数）'!FJ"&amp;CT9+1),"*雙葉*"),"●",
"〇")</f>
        <v>〇</v>
      </c>
      <c r="CV10" s="70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>0</v>
      </c>
      <c r="CW10" s="64"/>
      <c r="CX10" s="64"/>
      <c r="CY10" s="71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62"/>
      <c r="DA10" s="45"/>
      <c r="DB10" s="54"/>
      <c r="DC10" s="56"/>
      <c r="DD10" s="70"/>
      <c r="DE10" s="64"/>
      <c r="DF10" s="64"/>
      <c r="DG10" s="71"/>
      <c r="DH10" s="62"/>
      <c r="DI10" s="72"/>
      <c r="DJ10" s="56"/>
      <c r="DK10" s="70"/>
      <c r="DL10" s="64"/>
      <c r="DM10" s="64"/>
      <c r="DN10" s="71"/>
      <c r="DO10" s="62"/>
      <c r="DP10" s="45"/>
      <c r="DQ10" s="54"/>
      <c r="DR10" s="56"/>
      <c r="DS10" s="70"/>
      <c r="DT10" s="64"/>
      <c r="DU10" s="64"/>
      <c r="DV10" s="71"/>
      <c r="DW10" s="62"/>
      <c r="DX10" s="72"/>
      <c r="DY10" s="56"/>
      <c r="DZ10" s="70"/>
      <c r="EA10" s="64"/>
      <c r="EB10" s="64"/>
      <c r="EC10" s="71"/>
      <c r="ED10" s="62"/>
      <c r="EE10" s="45"/>
      <c r="EF10" s="54"/>
      <c r="EG10" s="56"/>
      <c r="EH10" s="70"/>
      <c r="EI10" s="64"/>
      <c r="EJ10" s="64"/>
      <c r="EK10" s="71"/>
      <c r="EL10" s="62"/>
      <c r="EM10" s="72"/>
      <c r="EN10" s="56"/>
      <c r="EO10" s="70"/>
      <c r="EP10" s="64"/>
      <c r="EQ10" s="64"/>
      <c r="ER10" s="71"/>
      <c r="ES10" s="62"/>
      <c r="ET10" s="45"/>
    </row>
    <row r="11" spans="1:150" s="55" customFormat="1">
      <c r="A11" s="54"/>
      <c r="B11" s="57"/>
      <c r="C11" s="243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244"/>
      <c r="E11" s="45"/>
      <c r="F11" s="55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63"/>
      <c r="H11" s="59"/>
      <c r="I11" s="57"/>
      <c r="J11" s="243" t="str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/>
      </c>
      <c r="K11" s="244"/>
      <c r="L11" s="45"/>
      <c r="M11" s="55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63"/>
      <c r="O11" s="45"/>
      <c r="P11" s="54"/>
      <c r="Q11" s="57"/>
      <c r="R11" s="243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44"/>
      <c r="T11" s="45"/>
      <c r="U11" s="55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63"/>
      <c r="W11" s="59"/>
      <c r="X11" s="57"/>
      <c r="Y11" s="243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44"/>
      <c r="AA11" s="45"/>
      <c r="AB11" s="55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63"/>
      <c r="AD11" s="45"/>
      <c r="AE11" s="54"/>
      <c r="AF11" s="57"/>
      <c r="AG11" s="243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44"/>
      <c r="AI11" s="45"/>
      <c r="AJ11" s="55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63"/>
      <c r="AL11" s="59"/>
      <c r="AM11" s="57"/>
      <c r="AN11" s="243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44"/>
      <c r="AP11" s="45"/>
      <c r="AQ11" s="55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63"/>
      <c r="AS11" s="45"/>
      <c r="AT11" s="54"/>
      <c r="AU11" s="57"/>
      <c r="AV11" s="243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44"/>
      <c r="AX11" s="45"/>
      <c r="AY11" s="55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63"/>
      <c r="BA11" s="59"/>
      <c r="BB11" s="57"/>
      <c r="BC11" s="243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44"/>
      <c r="BE11" s="45"/>
      <c r="BF11" s="55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63"/>
      <c r="BH11" s="45"/>
      <c r="BI11" s="54"/>
      <c r="BJ11" s="57"/>
      <c r="BK11" s="243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44"/>
      <c r="BM11" s="45"/>
      <c r="BN11" s="55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63"/>
      <c r="BP11" s="59"/>
      <c r="BQ11" s="57"/>
      <c r="BR11" s="243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44"/>
      <c r="BT11" s="45"/>
      <c r="BU11" s="55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63"/>
      <c r="BW11" s="45"/>
      <c r="BX11" s="54"/>
      <c r="BY11" s="57"/>
      <c r="BZ11" s="243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44"/>
      <c r="CB11" s="45"/>
      <c r="CC11" s="55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63"/>
      <c r="CE11" s="59"/>
      <c r="CF11" s="57"/>
      <c r="CG11" s="243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44"/>
      <c r="CI11" s="45"/>
      <c r="CJ11" s="55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63"/>
      <c r="CL11" s="45"/>
      <c r="CM11" s="54"/>
      <c r="CN11" s="57"/>
      <c r="CO11" s="243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44"/>
      <c r="CQ11" s="45"/>
      <c r="CR11" s="55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63"/>
      <c r="CT11" s="59"/>
      <c r="CU11" s="57"/>
      <c r="CV11" s="243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44"/>
      <c r="CX11" s="45"/>
      <c r="CY11" s="55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63"/>
      <c r="DA11" s="45"/>
      <c r="DB11" s="54"/>
      <c r="DC11" s="57"/>
      <c r="DD11" s="243"/>
      <c r="DE11" s="244"/>
      <c r="DF11" s="45"/>
      <c r="DH11" s="63"/>
      <c r="DI11" s="59"/>
      <c r="DJ11" s="57"/>
      <c r="DK11" s="243"/>
      <c r="DL11" s="244"/>
      <c r="DM11" s="45"/>
      <c r="DO11" s="63"/>
      <c r="DP11" s="45"/>
      <c r="DQ11" s="54"/>
      <c r="DR11" s="57"/>
      <c r="DS11" s="243"/>
      <c r="DT11" s="244"/>
      <c r="DU11" s="45"/>
      <c r="DW11" s="63"/>
      <c r="DX11" s="59"/>
      <c r="DY11" s="57"/>
      <c r="DZ11" s="243"/>
      <c r="EA11" s="244"/>
      <c r="EB11" s="45"/>
      <c r="ED11" s="63"/>
      <c r="EE11" s="45"/>
      <c r="EF11" s="54"/>
      <c r="EG11" s="57"/>
      <c r="EH11" s="243"/>
      <c r="EI11" s="244"/>
      <c r="EJ11" s="45"/>
      <c r="EL11" s="63"/>
      <c r="EM11" s="59"/>
      <c r="EN11" s="57"/>
      <c r="EO11" s="243"/>
      <c r="EP11" s="244"/>
      <c r="EQ11" s="45"/>
      <c r="ES11" s="63"/>
      <c r="ET11" s="45"/>
    </row>
    <row r="12" spans="1:150" ht="15.6" customHeight="1">
      <c r="B12" s="48"/>
      <c r="C12" s="241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>0</v>
      </c>
      <c r="D12" s="242"/>
      <c r="E12" s="73"/>
      <c r="F12" s="237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238"/>
      <c r="H12" s="49"/>
      <c r="I12" s="48"/>
      <c r="J12" s="241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>0</v>
      </c>
      <c r="K12" s="242"/>
      <c r="L12" s="73"/>
      <c r="M12" s="237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238"/>
      <c r="Q12" s="48"/>
      <c r="R12" s="241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>0</v>
      </c>
      <c r="S12" s="242"/>
      <c r="T12" s="73"/>
      <c r="U12" s="237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38"/>
      <c r="W12" s="49"/>
      <c r="X12" s="48"/>
      <c r="Y12" s="241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>0</v>
      </c>
      <c r="Z12" s="242"/>
      <c r="AA12" s="73"/>
      <c r="AB12" s="237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38"/>
      <c r="AF12" s="48"/>
      <c r="AG12" s="241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>0</v>
      </c>
      <c r="AH12" s="242"/>
      <c r="AI12" s="73"/>
      <c r="AJ12" s="237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38"/>
      <c r="AL12" s="49"/>
      <c r="AM12" s="48"/>
      <c r="AN12" s="241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>0</v>
      </c>
      <c r="AO12" s="242"/>
      <c r="AP12" s="73"/>
      <c r="AQ12" s="237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38"/>
      <c r="AU12" s="48"/>
      <c r="AV12" s="241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>0</v>
      </c>
      <c r="AW12" s="242"/>
      <c r="AX12" s="73"/>
      <c r="AY12" s="237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38"/>
      <c r="BA12" s="49"/>
      <c r="BB12" s="48"/>
      <c r="BC12" s="241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>0</v>
      </c>
      <c r="BD12" s="242"/>
      <c r="BE12" s="73"/>
      <c r="BF12" s="237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38"/>
      <c r="BJ12" s="48"/>
      <c r="BK12" s="241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>0</v>
      </c>
      <c r="BL12" s="242"/>
      <c r="BM12" s="73"/>
      <c r="BN12" s="237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38"/>
      <c r="BP12" s="49"/>
      <c r="BQ12" s="48"/>
      <c r="BR12" s="241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>0</v>
      </c>
      <c r="BS12" s="242"/>
      <c r="BT12" s="73"/>
      <c r="BU12" s="237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38"/>
      <c r="BY12" s="48"/>
      <c r="BZ12" s="241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>0</v>
      </c>
      <c r="CA12" s="242"/>
      <c r="CB12" s="73"/>
      <c r="CC12" s="237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38"/>
      <c r="CE12" s="49"/>
      <c r="CF12" s="48"/>
      <c r="CG12" s="241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>0</v>
      </c>
      <c r="CH12" s="242"/>
      <c r="CI12" s="73"/>
      <c r="CJ12" s="237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38"/>
      <c r="CN12" s="48"/>
      <c r="CO12" s="241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>0</v>
      </c>
      <c r="CP12" s="242"/>
      <c r="CQ12" s="73"/>
      <c r="CR12" s="237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38"/>
      <c r="CT12" s="49"/>
      <c r="CU12" s="48"/>
      <c r="CV12" s="241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>0</v>
      </c>
      <c r="CW12" s="242"/>
      <c r="CX12" s="73"/>
      <c r="CY12" s="237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38"/>
      <c r="DC12" s="48"/>
      <c r="DD12" s="241"/>
      <c r="DE12" s="242"/>
      <c r="DF12" s="73"/>
      <c r="DG12" s="237"/>
      <c r="DH12" s="238"/>
      <c r="DI12" s="49"/>
      <c r="DJ12" s="48"/>
      <c r="DK12" s="241"/>
      <c r="DL12" s="242"/>
      <c r="DM12" s="73"/>
      <c r="DN12" s="237"/>
      <c r="DO12" s="238"/>
      <c r="DR12" s="48"/>
      <c r="DS12" s="241"/>
      <c r="DT12" s="242"/>
      <c r="DU12" s="73"/>
      <c r="DV12" s="237"/>
      <c r="DW12" s="238"/>
      <c r="DX12" s="49"/>
      <c r="DY12" s="48"/>
      <c r="DZ12" s="241"/>
      <c r="EA12" s="242"/>
      <c r="EB12" s="73"/>
      <c r="EC12" s="237"/>
      <c r="ED12" s="238"/>
      <c r="EG12" s="48"/>
      <c r="EH12" s="241"/>
      <c r="EI12" s="242"/>
      <c r="EJ12" s="73"/>
      <c r="EK12" s="237"/>
      <c r="EL12" s="238"/>
      <c r="EM12" s="49"/>
      <c r="EN12" s="48"/>
      <c r="EO12" s="241"/>
      <c r="EP12" s="242"/>
      <c r="EQ12" s="73"/>
      <c r="ER12" s="237"/>
      <c r="ES12" s="238"/>
    </row>
    <row r="13" spans="1:150" ht="15.6" customHeight="1">
      <c r="B13" s="50"/>
      <c r="C13" s="239"/>
      <c r="D13" s="239"/>
      <c r="E13" s="67"/>
      <c r="F13" s="239"/>
      <c r="G13" s="240"/>
      <c r="H13" s="49"/>
      <c r="I13" s="50"/>
      <c r="J13" s="239"/>
      <c r="K13" s="239"/>
      <c r="L13" s="67"/>
      <c r="M13" s="239"/>
      <c r="N13" s="240"/>
      <c r="Q13" s="50"/>
      <c r="R13" s="239"/>
      <c r="S13" s="239"/>
      <c r="T13" s="67"/>
      <c r="U13" s="239"/>
      <c r="V13" s="240"/>
      <c r="W13" s="49"/>
      <c r="X13" s="50"/>
      <c r="Y13" s="239"/>
      <c r="Z13" s="239"/>
      <c r="AA13" s="67"/>
      <c r="AB13" s="239"/>
      <c r="AC13" s="240"/>
      <c r="AF13" s="50"/>
      <c r="AG13" s="239"/>
      <c r="AH13" s="239"/>
      <c r="AI13" s="67"/>
      <c r="AJ13" s="239"/>
      <c r="AK13" s="240"/>
      <c r="AL13" s="49"/>
      <c r="AM13" s="50"/>
      <c r="AN13" s="239"/>
      <c r="AO13" s="239"/>
      <c r="AP13" s="67"/>
      <c r="AQ13" s="239"/>
      <c r="AR13" s="240"/>
      <c r="AU13" s="50"/>
      <c r="AV13" s="239"/>
      <c r="AW13" s="239"/>
      <c r="AX13" s="67"/>
      <c r="AY13" s="239"/>
      <c r="AZ13" s="240"/>
      <c r="BA13" s="49"/>
      <c r="BB13" s="50"/>
      <c r="BC13" s="239"/>
      <c r="BD13" s="239"/>
      <c r="BE13" s="67"/>
      <c r="BF13" s="239"/>
      <c r="BG13" s="240"/>
      <c r="BJ13" s="50"/>
      <c r="BK13" s="239"/>
      <c r="BL13" s="239"/>
      <c r="BM13" s="67"/>
      <c r="BN13" s="239"/>
      <c r="BO13" s="240"/>
      <c r="BP13" s="49"/>
      <c r="BQ13" s="50"/>
      <c r="BR13" s="239"/>
      <c r="BS13" s="239"/>
      <c r="BT13" s="67"/>
      <c r="BU13" s="239"/>
      <c r="BV13" s="240"/>
      <c r="BY13" s="50"/>
      <c r="BZ13" s="239"/>
      <c r="CA13" s="239"/>
      <c r="CB13" s="67"/>
      <c r="CC13" s="239"/>
      <c r="CD13" s="240"/>
      <c r="CE13" s="49"/>
      <c r="CF13" s="50"/>
      <c r="CG13" s="239"/>
      <c r="CH13" s="239"/>
      <c r="CI13" s="67"/>
      <c r="CJ13" s="239"/>
      <c r="CK13" s="240"/>
      <c r="CN13" s="50"/>
      <c r="CO13" s="239"/>
      <c r="CP13" s="239"/>
      <c r="CQ13" s="67"/>
      <c r="CR13" s="239"/>
      <c r="CS13" s="240"/>
      <c r="CT13" s="49"/>
      <c r="CU13" s="50"/>
      <c r="CV13" s="239"/>
      <c r="CW13" s="239"/>
      <c r="CX13" s="67"/>
      <c r="CY13" s="239"/>
      <c r="CZ13" s="240"/>
      <c r="DC13" s="50"/>
      <c r="DD13" s="239"/>
      <c r="DE13" s="239"/>
      <c r="DF13" s="67"/>
      <c r="DG13" s="239"/>
      <c r="DH13" s="240"/>
      <c r="DI13" s="49"/>
      <c r="DJ13" s="50"/>
      <c r="DK13" s="239"/>
      <c r="DL13" s="239"/>
      <c r="DM13" s="67"/>
      <c r="DN13" s="239"/>
      <c r="DO13" s="240"/>
      <c r="DR13" s="50"/>
      <c r="DS13" s="239"/>
      <c r="DT13" s="239"/>
      <c r="DU13" s="67"/>
      <c r="DV13" s="239"/>
      <c r="DW13" s="240"/>
      <c r="DX13" s="49"/>
      <c r="DY13" s="50"/>
      <c r="DZ13" s="239"/>
      <c r="EA13" s="239"/>
      <c r="EB13" s="67"/>
      <c r="EC13" s="239"/>
      <c r="ED13" s="240"/>
      <c r="EG13" s="50"/>
      <c r="EH13" s="239"/>
      <c r="EI13" s="239"/>
      <c r="EJ13" s="67"/>
      <c r="EK13" s="239"/>
      <c r="EL13" s="240"/>
      <c r="EM13" s="49"/>
      <c r="EN13" s="50"/>
      <c r="EO13" s="239"/>
      <c r="EP13" s="239"/>
      <c r="EQ13" s="67"/>
      <c r="ER13" s="239"/>
      <c r="ES13" s="240"/>
    </row>
    <row r="14" spans="1:150" s="55" customFormat="1">
      <c r="A14" s="54"/>
      <c r="B14" s="60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58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60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58"/>
      <c r="F14" s="60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63"/>
      <c r="H14" s="45"/>
      <c r="I14" s="60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58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60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58"/>
      <c r="M14" s="60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63"/>
      <c r="O14" s="45"/>
      <c r="P14" s="54"/>
      <c r="Q14" s="60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58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0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58"/>
      <c r="U14" s="60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63"/>
      <c r="W14" s="45"/>
      <c r="X14" s="60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58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0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58"/>
      <c r="AB14" s="60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63"/>
      <c r="AD14" s="45"/>
      <c r="AE14" s="54"/>
      <c r="AF14" s="60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58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0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58"/>
      <c r="AJ14" s="60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63"/>
      <c r="AL14" s="45"/>
      <c r="AM14" s="60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58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0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58"/>
      <c r="AQ14" s="60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63"/>
      <c r="AS14" s="45"/>
      <c r="AT14" s="54"/>
      <c r="AU14" s="60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58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0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58"/>
      <c r="AY14" s="60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63"/>
      <c r="BA14" s="45"/>
      <c r="BB14" s="60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58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0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58"/>
      <c r="BF14" s="60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63"/>
      <c r="BH14" s="45"/>
      <c r="BI14" s="54"/>
      <c r="BJ14" s="60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58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0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58"/>
      <c r="BN14" s="60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63"/>
      <c r="BP14" s="45"/>
      <c r="BQ14" s="60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58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0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58"/>
      <c r="BU14" s="60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63"/>
      <c r="BW14" s="45"/>
      <c r="BX14" s="54"/>
      <c r="BY14" s="60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58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0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58"/>
      <c r="CC14" s="60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63"/>
      <c r="CE14" s="45"/>
      <c r="CF14" s="60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58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0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58"/>
      <c r="CJ14" s="60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63"/>
      <c r="CL14" s="45"/>
      <c r="CM14" s="54"/>
      <c r="CN14" s="60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58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0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58"/>
      <c r="CR14" s="60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63"/>
      <c r="CT14" s="45"/>
      <c r="CU14" s="60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58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0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58"/>
      <c r="CY14" s="60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63"/>
      <c r="DA14" s="45"/>
      <c r="DB14" s="54"/>
      <c r="DC14" s="60"/>
      <c r="DD14" s="58"/>
      <c r="DE14" s="60"/>
      <c r="DF14" s="58"/>
      <c r="DG14" s="60"/>
      <c r="DH14" s="63"/>
      <c r="DI14" s="45"/>
      <c r="DJ14" s="60"/>
      <c r="DK14" s="58"/>
      <c r="DL14" s="60"/>
      <c r="DM14" s="58"/>
      <c r="DN14" s="60"/>
      <c r="DO14" s="63"/>
      <c r="DP14" s="45"/>
      <c r="DQ14" s="54"/>
      <c r="DR14" s="60"/>
      <c r="DS14" s="58"/>
      <c r="DT14" s="60"/>
      <c r="DU14" s="58"/>
      <c r="DV14" s="60"/>
      <c r="DW14" s="63"/>
      <c r="DX14" s="45"/>
      <c r="DY14" s="60"/>
      <c r="DZ14" s="58"/>
      <c r="EA14" s="60"/>
      <c r="EB14" s="58"/>
      <c r="EC14" s="60"/>
      <c r="ED14" s="63"/>
      <c r="EE14" s="45"/>
      <c r="EF14" s="54"/>
      <c r="EG14" s="60"/>
      <c r="EH14" s="58"/>
      <c r="EI14" s="60"/>
      <c r="EJ14" s="58"/>
      <c r="EK14" s="60"/>
      <c r="EL14" s="63"/>
      <c r="EM14" s="45"/>
      <c r="EN14" s="60"/>
      <c r="EO14" s="58"/>
      <c r="EP14" s="60"/>
      <c r="EQ14" s="58"/>
      <c r="ER14" s="60"/>
      <c r="ES14" s="63"/>
      <c r="ET14" s="45"/>
    </row>
    <row r="15" spans="1:150" ht="27.6" customHeight="1">
      <c r="B15" s="247" t="str">
        <f ca="1">IF(C12&lt;&gt;"",
IFERROR(INT(C12/C14),""),"")</f>
        <v/>
      </c>
      <c r="C15" s="240"/>
      <c r="D15" s="247" t="str">
        <f ca="1">IFERROR(MOD(C12,C14),"")</f>
        <v/>
      </c>
      <c r="E15" s="240"/>
      <c r="F15" s="248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240"/>
      <c r="I15" s="247" t="str">
        <f ca="1">IF(J12&lt;&gt;"",
IFERROR(INT(J12/J14),""),"")</f>
        <v/>
      </c>
      <c r="J15" s="240"/>
      <c r="K15" s="247" t="str">
        <f ca="1">IFERROR(MOD(J12,J14),"")</f>
        <v/>
      </c>
      <c r="L15" s="240"/>
      <c r="M15" s="248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240"/>
      <c r="Q15" s="247" t="str">
        <f ca="1">IF(R12&lt;&gt;"",
IFERROR(INT(R12/R14),""),"")</f>
        <v/>
      </c>
      <c r="R15" s="240"/>
      <c r="S15" s="247" t="str">
        <f ca="1">IFERROR(MOD(R12,R14),"")</f>
        <v/>
      </c>
      <c r="T15" s="240"/>
      <c r="U15" s="248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40"/>
      <c r="X15" s="247" t="str">
        <f ca="1">IF(Y12&lt;&gt;"",
IFERROR(INT(Y12/Y14),""),"")</f>
        <v/>
      </c>
      <c r="Y15" s="240"/>
      <c r="Z15" s="247" t="str">
        <f ca="1">IFERROR(MOD(Y12,Y14),"")</f>
        <v/>
      </c>
      <c r="AA15" s="240"/>
      <c r="AB15" s="248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40"/>
      <c r="AF15" s="247" t="str">
        <f ca="1">IF(AG12&lt;&gt;"",
IFERROR(INT(AG12/AG14),""),"")</f>
        <v/>
      </c>
      <c r="AG15" s="240"/>
      <c r="AH15" s="247" t="str">
        <f ca="1">IFERROR(MOD(AG12,AG14),"")</f>
        <v/>
      </c>
      <c r="AI15" s="240"/>
      <c r="AJ15" s="248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40"/>
      <c r="AM15" s="247" t="str">
        <f ca="1">IF(AN12&lt;&gt;"",
IFERROR(INT(AN12/AN14),""),"")</f>
        <v/>
      </c>
      <c r="AN15" s="240"/>
      <c r="AO15" s="247" t="str">
        <f ca="1">IFERROR(MOD(AN12,AN14),"")</f>
        <v/>
      </c>
      <c r="AP15" s="240"/>
      <c r="AQ15" s="248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40"/>
      <c r="AU15" s="247" t="str">
        <f ca="1">IF(AV12&lt;&gt;"",
IFERROR(INT(AV12/AV14),""),"")</f>
        <v/>
      </c>
      <c r="AV15" s="240"/>
      <c r="AW15" s="247" t="str">
        <f ca="1">IFERROR(MOD(AV12,AV14),"")</f>
        <v/>
      </c>
      <c r="AX15" s="240"/>
      <c r="AY15" s="248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40"/>
      <c r="BB15" s="247" t="str">
        <f ca="1">IF(BC12&lt;&gt;"",
IFERROR(INT(BC12/BC14),""),"")</f>
        <v/>
      </c>
      <c r="BC15" s="240"/>
      <c r="BD15" s="247" t="str">
        <f ca="1">IFERROR(MOD(BC12,BC14),"")</f>
        <v/>
      </c>
      <c r="BE15" s="240"/>
      <c r="BF15" s="248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40"/>
      <c r="BJ15" s="247" t="str">
        <f ca="1">IF(BK12&lt;&gt;"",
IFERROR(INT(BK12/BK14),""),"")</f>
        <v/>
      </c>
      <c r="BK15" s="240"/>
      <c r="BL15" s="247" t="str">
        <f ca="1">IFERROR(MOD(BK12,BK14),"")</f>
        <v/>
      </c>
      <c r="BM15" s="240"/>
      <c r="BN15" s="248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40"/>
      <c r="BQ15" s="247" t="str">
        <f ca="1">IF(BR12&lt;&gt;"",
IFERROR(INT(BR12/BR14),""),"")</f>
        <v/>
      </c>
      <c r="BR15" s="240"/>
      <c r="BS15" s="247" t="str">
        <f ca="1">IFERROR(MOD(BR12,BR14),"")</f>
        <v/>
      </c>
      <c r="BT15" s="240"/>
      <c r="BU15" s="248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40"/>
      <c r="BY15" s="247" t="str">
        <f ca="1">IF(BZ12&lt;&gt;"",
IFERROR(INT(BZ12/BZ14),""),"")</f>
        <v/>
      </c>
      <c r="BZ15" s="240"/>
      <c r="CA15" s="247" t="str">
        <f ca="1">IFERROR(MOD(BZ12,BZ14),"")</f>
        <v/>
      </c>
      <c r="CB15" s="240"/>
      <c r="CC15" s="248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40"/>
      <c r="CF15" s="247" t="str">
        <f ca="1">IF(CG12&lt;&gt;"",
IFERROR(INT(CG12/CG14),""),"")</f>
        <v/>
      </c>
      <c r="CG15" s="240"/>
      <c r="CH15" s="247" t="str">
        <f ca="1">IFERROR(MOD(CG12,CG14),"")</f>
        <v/>
      </c>
      <c r="CI15" s="240"/>
      <c r="CJ15" s="248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40"/>
      <c r="CN15" s="247" t="str">
        <f ca="1">IF(CO12&lt;&gt;"",
IFERROR(INT(CO12/CO14),""),"")</f>
        <v/>
      </c>
      <c r="CO15" s="240"/>
      <c r="CP15" s="247" t="str">
        <f ca="1">IFERROR(MOD(CO12,CO14),"")</f>
        <v/>
      </c>
      <c r="CQ15" s="240"/>
      <c r="CR15" s="248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40"/>
      <c r="CU15" s="247" t="str">
        <f ca="1">IF(CV12&lt;&gt;"",
IFERROR(INT(CV12/CV14),""),"")</f>
        <v/>
      </c>
      <c r="CV15" s="240"/>
      <c r="CW15" s="247" t="str">
        <f ca="1">IFERROR(MOD(CV12,CV14),"")</f>
        <v/>
      </c>
      <c r="CX15" s="240"/>
      <c r="CY15" s="248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40"/>
      <c r="DC15" s="247"/>
      <c r="DD15" s="240"/>
      <c r="DE15" s="247"/>
      <c r="DF15" s="240"/>
      <c r="DG15" s="248"/>
      <c r="DH15" s="240"/>
      <c r="DJ15" s="247"/>
      <c r="DK15" s="240"/>
      <c r="DL15" s="247"/>
      <c r="DM15" s="240"/>
      <c r="DN15" s="248"/>
      <c r="DO15" s="240"/>
      <c r="DR15" s="247"/>
      <c r="DS15" s="240"/>
      <c r="DT15" s="247"/>
      <c r="DU15" s="240"/>
      <c r="DV15" s="248"/>
      <c r="DW15" s="240"/>
      <c r="DY15" s="247"/>
      <c r="DZ15" s="240"/>
      <c r="EA15" s="247"/>
      <c r="EB15" s="240"/>
      <c r="EC15" s="248"/>
      <c r="ED15" s="240"/>
      <c r="EG15" s="247"/>
      <c r="EH15" s="240"/>
      <c r="EI15" s="247"/>
      <c r="EJ15" s="240"/>
      <c r="EK15" s="248"/>
      <c r="EL15" s="240"/>
      <c r="EN15" s="247"/>
      <c r="EO15" s="240"/>
      <c r="EP15" s="247"/>
      <c r="EQ15" s="240"/>
      <c r="ER15" s="248"/>
      <c r="ES15" s="240"/>
    </row>
    <row r="16" spans="1:150" ht="6.6" customHeight="1">
      <c r="B16" s="68"/>
      <c r="D16" s="68"/>
      <c r="F16" s="69"/>
      <c r="I16" s="68"/>
      <c r="K16" s="68"/>
      <c r="M16" s="69"/>
      <c r="Q16" s="68"/>
      <c r="S16" s="68"/>
      <c r="U16" s="69"/>
      <c r="X16" s="68"/>
      <c r="Z16" s="68"/>
      <c r="AB16" s="69"/>
      <c r="AF16" s="68"/>
      <c r="AH16" s="68"/>
      <c r="AJ16" s="69"/>
      <c r="AM16" s="68"/>
      <c r="AO16" s="68"/>
      <c r="AQ16" s="69"/>
      <c r="AU16" s="68"/>
      <c r="AW16" s="68"/>
      <c r="AY16" s="69"/>
      <c r="BB16" s="68"/>
      <c r="BD16" s="68"/>
      <c r="BF16" s="69"/>
      <c r="BJ16" s="68"/>
      <c r="BL16" s="68"/>
      <c r="BN16" s="69"/>
      <c r="BQ16" s="68"/>
      <c r="BS16" s="68"/>
      <c r="BU16" s="69"/>
      <c r="BY16" s="68"/>
      <c r="CA16" s="68"/>
      <c r="CC16" s="69"/>
      <c r="CF16" s="68"/>
      <c r="CH16" s="68"/>
      <c r="CJ16" s="69"/>
      <c r="CN16" s="68"/>
      <c r="CP16" s="68"/>
      <c r="CR16" s="69"/>
      <c r="CU16" s="68"/>
      <c r="CW16" s="68"/>
      <c r="CY16" s="69"/>
      <c r="DC16" s="68"/>
      <c r="DE16" s="68"/>
      <c r="DG16" s="69"/>
      <c r="DJ16" s="68"/>
      <c r="DL16" s="68"/>
      <c r="DN16" s="69"/>
      <c r="DR16" s="68"/>
      <c r="DT16" s="68"/>
      <c r="DV16" s="69"/>
      <c r="DY16" s="68"/>
      <c r="EA16" s="68"/>
      <c r="EC16" s="69"/>
      <c r="EG16" s="68"/>
      <c r="EI16" s="68"/>
      <c r="EK16" s="69"/>
      <c r="EN16" s="68"/>
      <c r="EP16" s="68"/>
      <c r="ER16" s="69"/>
    </row>
    <row r="17" spans="1:150" s="55" customFormat="1" ht="25.8" customHeight="1">
      <c r="A17" s="54">
        <f ca="1">IF(OR(I10="●",I10="△"),
H9+2,H9+1)</f>
        <v>5</v>
      </c>
      <c r="B17" s="66" t="str">
        <f ca="1">IF(C17&lt;&gt;"",
MID(貼り付け用!$A$2, FIND("年",貼り付け用!$A$2)+1,2)&amp;"/"&amp;MID(貼り付け用!$A$2, FIND("月",貼り付け用!$A$2)+1,2),"")</f>
        <v/>
      </c>
      <c r="C17" s="245" t="str">
        <f t="array" aca="1" ref="C17" ca="1">SUBSTITUTE(SUBSTITUTE(SUBSTITUTE(SUBSTITUTE(SUBSTITUTE(SUBSTITUTE(SUBSTITUTE(SUBSTITUTE(SUBSTITUTE(SUBSTITUTE(SUBSTITUTE(
IF(B18="△",
INDIRECT("'盛付札（関数）'!FJ"&amp;A17+1),INDIRECT("'盛付札（関数）'!FJ"&amp;A17)),"０",""),"①",""),"②",""),"③",""),"④",""),"⑤",""),"⑥",""),"⑦",""),"⑧",""),"⑨",""),"⑩","")</f>
        <v/>
      </c>
      <c r="D17" s="246"/>
      <c r="E17" s="246"/>
      <c r="F17" s="246"/>
      <c r="G17" s="65" t="str">
        <f t="array" aca="1" ref="G17" ca="1">IF(C17&lt;&gt;"",
IF(AND(INDIRECT("'盛付札（関数）'!FI"&amp;A17)&gt;=124,INDIRECT("'盛付札（関数）'!FI"&amp;A17)&lt;=144),"",
"様"),"")</f>
        <v/>
      </c>
      <c r="H17" s="59">
        <f ca="1">IF(OR(B18="●",B18="△"),
A17+2,A17+1)</f>
        <v>6</v>
      </c>
      <c r="I17" s="66" t="str">
        <f ca="1">IF(J17&lt;&gt;"",
MID(貼り付け用!$A$2, FIND("年",貼り付け用!$A$2)+1,2)&amp;"/"&amp;MID(貼り付け用!$A$2, FIND("月",貼り付け用!$A$2)+1,2),"")</f>
        <v/>
      </c>
      <c r="J17" s="245" t="str">
        <f t="array" aca="1" ref="J17" ca="1">SUBSTITUTE(SUBSTITUTE(SUBSTITUTE(SUBSTITUTE(SUBSTITUTE(SUBSTITUTE(SUBSTITUTE(SUBSTITUTE(SUBSTITUTE(SUBSTITUTE(SUBSTITUTE(
IF(I18="△",
INDIRECT("'盛付札（関数）'!FJ"&amp;H17+1),INDIRECT("'盛付札（関数）'!FJ"&amp;H17)),"０",""),"①",""),"②",""),"③",""),"④",""),"⑤",""),"⑥",""),"⑦",""),"⑧",""),"⑨",""),"⑩","")</f>
        <v/>
      </c>
      <c r="K17" s="246"/>
      <c r="L17" s="246"/>
      <c r="M17" s="246"/>
      <c r="N17" s="65" t="str">
        <f t="array" aca="1" ref="N17" ca="1">IF(J17&lt;&gt;"",
IF(AND(INDIRECT("'盛付札（関数）'!FI"&amp;H17)&gt;=124,INDIRECT("'盛付札（関数）'!FI"&amp;H17)&lt;=144),"",
"様"),"")</f>
        <v/>
      </c>
      <c r="O17" s="45"/>
      <c r="P17" s="54">
        <f ca="1">IF(OR(X10="●",X10="△"),
W9+2,W9+1)</f>
        <v>17</v>
      </c>
      <c r="Q17" s="66" t="str">
        <f ca="1">IF(R17&lt;&gt;"",
MID(貼り付け用!$A$2, FIND("年",貼り付け用!$A$2)+1,2)&amp;"/"&amp;MID(貼り付け用!$A$2, FIND("月",貼り付け用!$A$2)+1,2),"")</f>
        <v/>
      </c>
      <c r="R17" s="245" t="str">
        <f t="array" aca="1" ref="R17" ca="1">SUBSTITUTE(SUBSTITUTE(SUBSTITUTE(SUBSTITUTE(SUBSTITUTE(SUBSTITUTE(SUBSTITUTE(SUBSTITUTE(SUBSTITUTE(SUBSTITUTE(SUBSTITUTE(
IF(Q18="△",
INDIRECT("'盛付札（関数）'!FJ"&amp;P17+1),INDIRECT("'盛付札（関数）'!FJ"&amp;P17)),"０",""),"①",""),"②",""),"③",""),"④",""),"⑤",""),"⑥",""),"⑦",""),"⑧",""),"⑨",""),"⑩","")</f>
        <v/>
      </c>
      <c r="S17" s="246"/>
      <c r="T17" s="246"/>
      <c r="U17" s="246"/>
      <c r="V17" s="65" t="str">
        <f t="array" aca="1" ref="V17" ca="1">IF(R17&lt;&gt;"",
IF(AND(INDIRECT("'盛付札（関数）'!FI"&amp;P17)&gt;=124,INDIRECT("'盛付札（関数）'!FI"&amp;P17)&lt;=144),"",
"様"),"")</f>
        <v/>
      </c>
      <c r="W17" s="59">
        <f ca="1">IF(OR(Q18="●",Q18="△"),
P17+2,P17+1)</f>
        <v>18</v>
      </c>
      <c r="X17" s="66" t="str">
        <f ca="1">IF(Y17&lt;&gt;"",
MID(貼り付け用!$A$2, FIND("年",貼り付け用!$A$2)+1,2)&amp;"/"&amp;MID(貼り付け用!$A$2, FIND("月",貼り付け用!$A$2)+1,2),"")</f>
        <v/>
      </c>
      <c r="Y17" s="245" t="str">
        <f t="array" aca="1" ref="Y17" ca="1">SUBSTITUTE(SUBSTITUTE(SUBSTITUTE(SUBSTITUTE(SUBSTITUTE(SUBSTITUTE(SUBSTITUTE(SUBSTITUTE(SUBSTITUTE(SUBSTITUTE(SUBSTITUTE(
IF(X18="△",
INDIRECT("'盛付札（関数）'!FJ"&amp;W17+1),INDIRECT("'盛付札（関数）'!FJ"&amp;W17)),"０",""),"①",""),"②",""),"③",""),"④",""),"⑤",""),"⑥",""),"⑦",""),"⑧",""),"⑨",""),"⑩","")</f>
        <v/>
      </c>
      <c r="Z17" s="246"/>
      <c r="AA17" s="246"/>
      <c r="AB17" s="246"/>
      <c r="AC17" s="65" t="str">
        <f t="array" aca="1" ref="AC17" ca="1">IF(Y17&lt;&gt;"",
IF(AND(INDIRECT("'盛付札（関数）'!FI"&amp;W17)&gt;=124,INDIRECT("'盛付札（関数）'!FI"&amp;W17)&lt;=144),"",
"様"),"")</f>
        <v/>
      </c>
      <c r="AD17" s="45"/>
      <c r="AE17" s="54">
        <f ca="1">IF(OR(AM10="●",AM10="△"),
AL9+2,AL9+1)</f>
        <v>29</v>
      </c>
      <c r="AF17" s="66" t="str">
        <f ca="1">IF(AG17&lt;&gt;"",
MID(貼り付け用!$A$2, FIND("年",貼り付け用!$A$2)+1,2)&amp;"/"&amp;MID(貼り付け用!$A$2, FIND("月",貼り付け用!$A$2)+1,2),"")</f>
        <v/>
      </c>
      <c r="AG17" s="245" t="str">
        <f t="array" aca="1" ref="AG17" ca="1">SUBSTITUTE(SUBSTITUTE(SUBSTITUTE(SUBSTITUTE(SUBSTITUTE(SUBSTITUTE(SUBSTITUTE(SUBSTITUTE(SUBSTITUTE(SUBSTITUTE(SUBSTITUTE(
IF(AF18="△",
INDIRECT("'盛付札（関数）'!FJ"&amp;AE17+1),INDIRECT("'盛付札（関数）'!FJ"&amp;AE17)),"０",""),"①",""),"②",""),"③",""),"④",""),"⑤",""),"⑥",""),"⑦",""),"⑧",""),"⑨",""),"⑩","")</f>
        <v/>
      </c>
      <c r="AH17" s="246"/>
      <c r="AI17" s="246"/>
      <c r="AJ17" s="246"/>
      <c r="AK17" s="65" t="str">
        <f t="array" aca="1" ref="AK17" ca="1">IF(AG17&lt;&gt;"",
IF(AND(INDIRECT("'盛付札（関数）'!FI"&amp;AE17)&gt;=124,INDIRECT("'盛付札（関数）'!FI"&amp;AE17)&lt;=144),"",
"様"),"")</f>
        <v/>
      </c>
      <c r="AL17" s="59">
        <f ca="1">IF(OR(AF18="●",AF18="△"),
AE17+2,AE17+1)</f>
        <v>30</v>
      </c>
      <c r="AM17" s="66" t="str">
        <f ca="1">IF(AN17&lt;&gt;"",
MID(貼り付け用!$A$2, FIND("年",貼り付け用!$A$2)+1,2)&amp;"/"&amp;MID(貼り付け用!$A$2, FIND("月",貼り付け用!$A$2)+1,2),"")</f>
        <v/>
      </c>
      <c r="AN17" s="245" t="str">
        <f t="array" aca="1" ref="AN17" ca="1">SUBSTITUTE(SUBSTITUTE(SUBSTITUTE(SUBSTITUTE(SUBSTITUTE(SUBSTITUTE(SUBSTITUTE(SUBSTITUTE(SUBSTITUTE(SUBSTITUTE(SUBSTITUTE(
IF(AM18="△",
INDIRECT("'盛付札（関数）'!FJ"&amp;AL17+1),INDIRECT("'盛付札（関数）'!FJ"&amp;AL17)),"０",""),"①",""),"②",""),"③",""),"④",""),"⑤",""),"⑥",""),"⑦",""),"⑧",""),"⑨",""),"⑩","")</f>
        <v/>
      </c>
      <c r="AO17" s="246"/>
      <c r="AP17" s="246"/>
      <c r="AQ17" s="246"/>
      <c r="AR17" s="65" t="str">
        <f t="array" aca="1" ref="AR17" ca="1">IF(AN17&lt;&gt;"",
IF(AND(INDIRECT("'盛付札（関数）'!FI"&amp;AL17)&gt;=124,INDIRECT("'盛付札（関数）'!FI"&amp;AL17)&lt;=144),"",
"様"),"")</f>
        <v/>
      </c>
      <c r="AS17" s="45"/>
      <c r="AT17" s="54">
        <f ca="1">IF(OR(BB10="●",BB10="△"),
BA9+2,BA9+1)</f>
        <v>41</v>
      </c>
      <c r="AU17" s="66" t="str">
        <f ca="1">IF(AV17&lt;&gt;"",
MID(貼り付け用!$A$2, FIND("年",貼り付け用!$A$2)+1,2)&amp;"/"&amp;MID(貼り付け用!$A$2, FIND("月",貼り付け用!$A$2)+1,2),"")</f>
        <v/>
      </c>
      <c r="AV17" s="245" t="str">
        <f t="array" aca="1" ref="AV17" ca="1">SUBSTITUTE(SUBSTITUTE(SUBSTITUTE(SUBSTITUTE(SUBSTITUTE(SUBSTITUTE(SUBSTITUTE(SUBSTITUTE(SUBSTITUTE(SUBSTITUTE(SUBSTITUTE(
IF(AU18="△",
INDIRECT("'盛付札（関数）'!FJ"&amp;AT17+1),INDIRECT("'盛付札（関数）'!FJ"&amp;AT17)),"０",""),"①",""),"②",""),"③",""),"④",""),"⑤",""),"⑥",""),"⑦",""),"⑧",""),"⑨",""),"⑩","")</f>
        <v/>
      </c>
      <c r="AW17" s="246"/>
      <c r="AX17" s="246"/>
      <c r="AY17" s="246"/>
      <c r="AZ17" s="65" t="str">
        <f t="array" aca="1" ref="AZ17" ca="1">IF(AV17&lt;&gt;"",
IF(AND(INDIRECT("'盛付札（関数）'!FI"&amp;AT17)&gt;=124,INDIRECT("'盛付札（関数）'!FI"&amp;AT17)&lt;=144),"",
"様"),"")</f>
        <v/>
      </c>
      <c r="BA17" s="59">
        <f ca="1">IF(OR(AU18="●",AU18="△"),
AT17+2,AT17+1)</f>
        <v>42</v>
      </c>
      <c r="BB17" s="66" t="str">
        <f ca="1">IF(BC17&lt;&gt;"",
MID(貼り付け用!$A$2, FIND("年",貼り付け用!$A$2)+1,2)&amp;"/"&amp;MID(貼り付け用!$A$2, FIND("月",貼り付け用!$A$2)+1,2),"")</f>
        <v/>
      </c>
      <c r="BC17" s="245" t="str">
        <f t="array" aca="1" ref="BC17" ca="1">SUBSTITUTE(SUBSTITUTE(SUBSTITUTE(SUBSTITUTE(SUBSTITUTE(SUBSTITUTE(SUBSTITUTE(SUBSTITUTE(SUBSTITUTE(SUBSTITUTE(SUBSTITUTE(
IF(BB18="△",
INDIRECT("'盛付札（関数）'!FJ"&amp;BA17+1),INDIRECT("'盛付札（関数）'!FJ"&amp;BA17)),"０",""),"①",""),"②",""),"③",""),"④",""),"⑤",""),"⑥",""),"⑦",""),"⑧",""),"⑨",""),"⑩","")</f>
        <v/>
      </c>
      <c r="BD17" s="246"/>
      <c r="BE17" s="246"/>
      <c r="BF17" s="246"/>
      <c r="BG17" s="65" t="str">
        <f t="array" aca="1" ref="BG17" ca="1">IF(BC17&lt;&gt;"",
IF(AND(INDIRECT("'盛付札（関数）'!FI"&amp;BA17)&gt;=124,INDIRECT("'盛付札（関数）'!FI"&amp;BA17)&lt;=144),"",
"様"),"")</f>
        <v/>
      </c>
      <c r="BH17" s="45"/>
      <c r="BI17" s="54">
        <f ca="1">IF(OR(BQ10="●",BQ10="△"),
BP9+2,BP9+1)</f>
        <v>53</v>
      </c>
      <c r="BJ17" s="66" t="str">
        <f ca="1">IF(BK17&lt;&gt;"",
MID(貼り付け用!$A$2, FIND("年",貼り付け用!$A$2)+1,2)&amp;"/"&amp;MID(貼り付け用!$A$2, FIND("月",貼り付け用!$A$2)+1,2),"")</f>
        <v/>
      </c>
      <c r="BK17" s="245" t="str">
        <f t="array" aca="1" ref="BK17" ca="1">SUBSTITUTE(SUBSTITUTE(SUBSTITUTE(SUBSTITUTE(SUBSTITUTE(SUBSTITUTE(SUBSTITUTE(SUBSTITUTE(SUBSTITUTE(SUBSTITUTE(SUBSTITUTE(
IF(BJ18="△",
INDIRECT("'盛付札（関数）'!FJ"&amp;BI17+1),INDIRECT("'盛付札（関数）'!FJ"&amp;BI17)),"０",""),"①",""),"②",""),"③",""),"④",""),"⑤",""),"⑥",""),"⑦",""),"⑧",""),"⑨",""),"⑩","")</f>
        <v/>
      </c>
      <c r="BL17" s="246"/>
      <c r="BM17" s="246"/>
      <c r="BN17" s="246"/>
      <c r="BO17" s="65" t="str">
        <f t="array" aca="1" ref="BO17" ca="1">IF(BK17&lt;&gt;"",
IF(AND(INDIRECT("'盛付札（関数）'!FI"&amp;BI17)&gt;=124,INDIRECT("'盛付札（関数）'!FI"&amp;BI17)&lt;=144),"",
"様"),"")</f>
        <v/>
      </c>
      <c r="BP17" s="59">
        <f ca="1">IF(OR(BJ18="●",BJ18="△"),
BI17+2,BI17+1)</f>
        <v>54</v>
      </c>
      <c r="BQ17" s="66" t="str">
        <f ca="1">IF(BR17&lt;&gt;"",
MID(貼り付け用!$A$2, FIND("年",貼り付け用!$A$2)+1,2)&amp;"/"&amp;MID(貼り付け用!$A$2, FIND("月",貼り付け用!$A$2)+1,2),"")</f>
        <v/>
      </c>
      <c r="BR17" s="245" t="str">
        <f t="array" aca="1" ref="BR17" ca="1">SUBSTITUTE(SUBSTITUTE(SUBSTITUTE(SUBSTITUTE(SUBSTITUTE(SUBSTITUTE(SUBSTITUTE(SUBSTITUTE(SUBSTITUTE(SUBSTITUTE(SUBSTITUTE(
IF(BQ18="△",
INDIRECT("'盛付札（関数）'!FJ"&amp;BP17+1),INDIRECT("'盛付札（関数）'!FJ"&amp;BP17)),"０",""),"①",""),"②",""),"③",""),"④",""),"⑤",""),"⑥",""),"⑦",""),"⑧",""),"⑨",""),"⑩","")</f>
        <v/>
      </c>
      <c r="BS17" s="246"/>
      <c r="BT17" s="246"/>
      <c r="BU17" s="246"/>
      <c r="BV17" s="65" t="str">
        <f t="array" aca="1" ref="BV17" ca="1">IF(BR17&lt;&gt;"",
IF(AND(INDIRECT("'盛付札（関数）'!FI"&amp;BP17)&gt;=124,INDIRECT("'盛付札（関数）'!FI"&amp;BP17)&lt;=144),"",
"様"),"")</f>
        <v/>
      </c>
      <c r="BW17" s="45"/>
      <c r="BX17" s="54">
        <f ca="1">IF(OR(CF10="●",CF10="△"),
CE9+2,CE9+1)</f>
        <v>65</v>
      </c>
      <c r="BY17" s="66" t="str">
        <f ca="1">IF(BZ17&lt;&gt;"",
MID(貼り付け用!$A$2, FIND("年",貼り付け用!$A$2)+1,2)&amp;"/"&amp;MID(貼り付け用!$A$2, FIND("月",貼り付け用!$A$2)+1,2),"")</f>
        <v/>
      </c>
      <c r="BZ17" s="245" t="str">
        <f t="array" aca="1" ref="BZ17" ca="1">SUBSTITUTE(SUBSTITUTE(SUBSTITUTE(SUBSTITUTE(SUBSTITUTE(SUBSTITUTE(SUBSTITUTE(SUBSTITUTE(SUBSTITUTE(SUBSTITUTE(SUBSTITUTE(
IF(BY18="△",
INDIRECT("'盛付札（関数）'!FJ"&amp;BX17+1),INDIRECT("'盛付札（関数）'!FJ"&amp;BX17)),"０",""),"①",""),"②",""),"③",""),"④",""),"⑤",""),"⑥",""),"⑦",""),"⑧",""),"⑨",""),"⑩","")</f>
        <v/>
      </c>
      <c r="CA17" s="246"/>
      <c r="CB17" s="246"/>
      <c r="CC17" s="246"/>
      <c r="CD17" s="65" t="str">
        <f t="array" aca="1" ref="CD17" ca="1">IF(BZ17&lt;&gt;"",
IF(AND(INDIRECT("'盛付札（関数）'!FI"&amp;BX17)&gt;=124,INDIRECT("'盛付札（関数）'!FI"&amp;BX17)&lt;=144),"",
"様"),"")</f>
        <v/>
      </c>
      <c r="CE17" s="59">
        <f ca="1">IF(OR(BY18="●",BY18="△"),
BX17+2,BX17+1)</f>
        <v>66</v>
      </c>
      <c r="CF17" s="66" t="str">
        <f ca="1">IF(CG17&lt;&gt;"",
MID(貼り付け用!$A$2, FIND("年",貼り付け用!$A$2)+1,2)&amp;"/"&amp;MID(貼り付け用!$A$2, FIND("月",貼り付け用!$A$2)+1,2),"")</f>
        <v/>
      </c>
      <c r="CG17" s="245" t="str">
        <f t="array" aca="1" ref="CG17" ca="1">SUBSTITUTE(SUBSTITUTE(SUBSTITUTE(SUBSTITUTE(SUBSTITUTE(SUBSTITUTE(SUBSTITUTE(SUBSTITUTE(SUBSTITUTE(SUBSTITUTE(SUBSTITUTE(
IF(CF18="△",
INDIRECT("'盛付札（関数）'!FJ"&amp;CE17+1),INDIRECT("'盛付札（関数）'!FJ"&amp;CE17)),"０",""),"①",""),"②",""),"③",""),"④",""),"⑤",""),"⑥",""),"⑦",""),"⑧",""),"⑨",""),"⑩","")</f>
        <v/>
      </c>
      <c r="CH17" s="246"/>
      <c r="CI17" s="246"/>
      <c r="CJ17" s="246"/>
      <c r="CK17" s="65" t="str">
        <f t="array" aca="1" ref="CK17" ca="1">IF(CG17&lt;&gt;"",
IF(AND(INDIRECT("'盛付札（関数）'!FI"&amp;CE17)&gt;=124,INDIRECT("'盛付札（関数）'!FI"&amp;CE17)&lt;=144),"",
"様"),"")</f>
        <v/>
      </c>
      <c r="CL17" s="45"/>
      <c r="CM17" s="54">
        <f ca="1">IF(OR(CU10="●",CU10="△"),
CT9+2,CT9+1)</f>
        <v>77</v>
      </c>
      <c r="CN17" s="66" t="str">
        <f ca="1">IF(CO17&lt;&gt;"",
MID(貼り付け用!$A$2, FIND("年",貼り付け用!$A$2)+1,2)&amp;"/"&amp;MID(貼り付け用!$A$2, FIND("月",貼り付け用!$A$2)+1,2),"")</f>
        <v/>
      </c>
      <c r="CO17" s="245" t="str">
        <f t="array" aca="1" ref="CO17" ca="1">SUBSTITUTE(SUBSTITUTE(SUBSTITUTE(SUBSTITUTE(SUBSTITUTE(SUBSTITUTE(SUBSTITUTE(SUBSTITUTE(SUBSTITUTE(SUBSTITUTE(SUBSTITUTE(
IF(CN18="△",
INDIRECT("'盛付札（関数）'!FJ"&amp;CM17+1),INDIRECT("'盛付札（関数）'!FJ"&amp;CM17)),"０",""),"①",""),"②",""),"③",""),"④",""),"⑤",""),"⑥",""),"⑦",""),"⑧",""),"⑨",""),"⑩","")</f>
        <v/>
      </c>
      <c r="CP17" s="246"/>
      <c r="CQ17" s="246"/>
      <c r="CR17" s="246"/>
      <c r="CS17" s="65" t="str">
        <f t="array" aca="1" ref="CS17" ca="1">IF(CO17&lt;&gt;"",
IF(AND(INDIRECT("'盛付札（関数）'!FI"&amp;CM17)&gt;=124,INDIRECT("'盛付札（関数）'!FI"&amp;CM17)&lt;=144),"",
"様"),"")</f>
        <v/>
      </c>
      <c r="CT17" s="59">
        <f ca="1">IF(OR(CN18="●",CN18="△"),
CM17+2,CM17+1)</f>
        <v>78</v>
      </c>
      <c r="CU17" s="66" t="str">
        <f ca="1">IF(CV17&lt;&gt;"",
MID(貼り付け用!$A$2, FIND("年",貼り付け用!$A$2)+1,2)&amp;"/"&amp;MID(貼り付け用!$A$2, FIND("月",貼り付け用!$A$2)+1,2),"")</f>
        <v/>
      </c>
      <c r="CV17" s="245" t="str">
        <f t="array" aca="1" ref="CV17" ca="1">SUBSTITUTE(SUBSTITUTE(SUBSTITUTE(SUBSTITUTE(SUBSTITUTE(SUBSTITUTE(SUBSTITUTE(SUBSTITUTE(SUBSTITUTE(SUBSTITUTE(SUBSTITUTE(
IF(CU18="△",
INDIRECT("'盛付札（関数）'!FJ"&amp;CT17+1),INDIRECT("'盛付札（関数）'!FJ"&amp;CT17)),"０",""),"①",""),"②",""),"③",""),"④",""),"⑤",""),"⑥",""),"⑦",""),"⑧",""),"⑨",""),"⑩","")</f>
        <v/>
      </c>
      <c r="CW17" s="246"/>
      <c r="CX17" s="246"/>
      <c r="CY17" s="246"/>
      <c r="CZ17" s="65" t="str">
        <f t="array" aca="1" ref="CZ17" ca="1">IF(CV17&lt;&gt;"",
IF(AND(INDIRECT("'盛付札（関数）'!FI"&amp;CT17)&gt;=124,INDIRECT("'盛付札（関数）'!FI"&amp;CT17)&lt;=144),"",
"様"),"")</f>
        <v/>
      </c>
      <c r="DA17" s="45"/>
      <c r="DB17" s="54"/>
      <c r="DC17" s="66"/>
      <c r="DD17" s="245"/>
      <c r="DE17" s="246"/>
      <c r="DF17" s="246"/>
      <c r="DG17" s="246"/>
      <c r="DH17" s="65"/>
      <c r="DI17" s="59"/>
      <c r="DJ17" s="66"/>
      <c r="DK17" s="245"/>
      <c r="DL17" s="246"/>
      <c r="DM17" s="246"/>
      <c r="DN17" s="246"/>
      <c r="DO17" s="65"/>
      <c r="DP17" s="45"/>
      <c r="DQ17" s="54"/>
      <c r="DR17" s="66"/>
      <c r="DS17" s="245"/>
      <c r="DT17" s="246"/>
      <c r="DU17" s="246"/>
      <c r="DV17" s="246"/>
      <c r="DW17" s="65"/>
      <c r="DX17" s="59"/>
      <c r="DY17" s="66"/>
      <c r="DZ17" s="245"/>
      <c r="EA17" s="246"/>
      <c r="EB17" s="246"/>
      <c r="EC17" s="246"/>
      <c r="ED17" s="65"/>
      <c r="EE17" s="45"/>
      <c r="EF17" s="54"/>
      <c r="EG17" s="66"/>
      <c r="EH17" s="245"/>
      <c r="EI17" s="246"/>
      <c r="EJ17" s="246"/>
      <c r="EK17" s="246"/>
      <c r="EL17" s="65"/>
      <c r="EM17" s="59"/>
      <c r="EN17" s="66"/>
      <c r="EO17" s="245"/>
      <c r="EP17" s="246"/>
      <c r="EQ17" s="246"/>
      <c r="ER17" s="246"/>
      <c r="ES17" s="65"/>
      <c r="ET17" s="45"/>
    </row>
    <row r="18" spans="1:150" s="55" customFormat="1">
      <c r="A18" s="54"/>
      <c r="B18" s="56" t="str">
        <f ca="1">IF(COUNTIF(INDIRECT("'盛付札（関数）'!FJ"&amp;A17+1),"*雙葉*"),"●",
"〇")</f>
        <v>〇</v>
      </c>
      <c r="C18" s="70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>0</v>
      </c>
      <c r="D18" s="64"/>
      <c r="E18" s="64"/>
      <c r="F18" s="71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62"/>
      <c r="H18" s="72"/>
      <c r="I18" s="56" t="str">
        <f ca="1">IF(COUNTIF(INDIRECT("'盛付札（関数）'!FJ"&amp;H17+1),"*雙葉*"),"●",
"〇")</f>
        <v>〇</v>
      </c>
      <c r="J18" s="70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>0</v>
      </c>
      <c r="K18" s="64"/>
      <c r="L18" s="64"/>
      <c r="M18" s="71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62"/>
      <c r="O18" s="45"/>
      <c r="P18" s="54"/>
      <c r="Q18" s="56" t="str">
        <f ca="1">IF(COUNTIF(INDIRECT("'盛付札（関数）'!FJ"&amp;P17+1),"*雙葉*"),"●",
"〇")</f>
        <v>〇</v>
      </c>
      <c r="R18" s="70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>0</v>
      </c>
      <c r="S18" s="64"/>
      <c r="T18" s="64"/>
      <c r="U18" s="71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62"/>
      <c r="W18" s="72"/>
      <c r="X18" s="56" t="str">
        <f ca="1">IF(COUNTIF(INDIRECT("'盛付札（関数）'!FJ"&amp;W17+1),"*雙葉*"),"●",
"〇")</f>
        <v>〇</v>
      </c>
      <c r="Y18" s="70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>0</v>
      </c>
      <c r="Z18" s="64"/>
      <c r="AA18" s="64"/>
      <c r="AB18" s="71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62"/>
      <c r="AD18" s="45"/>
      <c r="AE18" s="54"/>
      <c r="AF18" s="56" t="str">
        <f ca="1">IF(COUNTIF(INDIRECT("'盛付札（関数）'!FJ"&amp;AE17+1),"*雙葉*"),"●",
"〇")</f>
        <v>〇</v>
      </c>
      <c r="AG18" s="70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>0</v>
      </c>
      <c r="AH18" s="64"/>
      <c r="AI18" s="64"/>
      <c r="AJ18" s="71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62"/>
      <c r="AL18" s="72"/>
      <c r="AM18" s="56" t="str">
        <f ca="1">IF(COUNTIF(INDIRECT("'盛付札（関数）'!FJ"&amp;AL17+1),"*雙葉*"),"●",
"〇")</f>
        <v>〇</v>
      </c>
      <c r="AN18" s="70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>0</v>
      </c>
      <c r="AO18" s="64"/>
      <c r="AP18" s="64"/>
      <c r="AQ18" s="71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62"/>
      <c r="AS18" s="45"/>
      <c r="AT18" s="54"/>
      <c r="AU18" s="56" t="str">
        <f ca="1">IF(COUNTIF(INDIRECT("'盛付札（関数）'!FJ"&amp;AT17+1),"*雙葉*"),"●",
"〇")</f>
        <v>〇</v>
      </c>
      <c r="AV18" s="70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>0</v>
      </c>
      <c r="AW18" s="64"/>
      <c r="AX18" s="64"/>
      <c r="AY18" s="71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62"/>
      <c r="BA18" s="72"/>
      <c r="BB18" s="56" t="str">
        <f ca="1">IF(COUNTIF(INDIRECT("'盛付札（関数）'!FJ"&amp;BA17+1),"*雙葉*"),"●",
"〇")</f>
        <v>〇</v>
      </c>
      <c r="BC18" s="70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>0</v>
      </c>
      <c r="BD18" s="64"/>
      <c r="BE18" s="64"/>
      <c r="BF18" s="71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62"/>
      <c r="BH18" s="45"/>
      <c r="BI18" s="54"/>
      <c r="BJ18" s="56" t="str">
        <f ca="1">IF(COUNTIF(INDIRECT("'盛付札（関数）'!FJ"&amp;BI17+1),"*雙葉*"),"●",
"〇")</f>
        <v>〇</v>
      </c>
      <c r="BK18" s="70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>0</v>
      </c>
      <c r="BL18" s="64"/>
      <c r="BM18" s="64"/>
      <c r="BN18" s="71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62"/>
      <c r="BP18" s="72"/>
      <c r="BQ18" s="56" t="str">
        <f ca="1">IF(COUNTIF(INDIRECT("'盛付札（関数）'!FJ"&amp;BP17+1),"*雙葉*"),"●",
"〇")</f>
        <v>〇</v>
      </c>
      <c r="BR18" s="70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>0</v>
      </c>
      <c r="BS18" s="64"/>
      <c r="BT18" s="64"/>
      <c r="BU18" s="71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62"/>
      <c r="BW18" s="45"/>
      <c r="BX18" s="54"/>
      <c r="BY18" s="56" t="str">
        <f ca="1">IF(COUNTIF(INDIRECT("'盛付札（関数）'!FJ"&amp;BX17+1),"*雙葉*"),"●",
"〇")</f>
        <v>〇</v>
      </c>
      <c r="BZ18" s="70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>0</v>
      </c>
      <c r="CA18" s="64"/>
      <c r="CB18" s="64"/>
      <c r="CC18" s="71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62"/>
      <c r="CE18" s="72"/>
      <c r="CF18" s="56" t="str">
        <f ca="1">IF(COUNTIF(INDIRECT("'盛付札（関数）'!FJ"&amp;CE17+1),"*雙葉*"),"●",
"〇")</f>
        <v>〇</v>
      </c>
      <c r="CG18" s="70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>0</v>
      </c>
      <c r="CH18" s="64"/>
      <c r="CI18" s="64"/>
      <c r="CJ18" s="71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62"/>
      <c r="CL18" s="45"/>
      <c r="CM18" s="54"/>
      <c r="CN18" s="56" t="str">
        <f ca="1">IF(COUNTIF(INDIRECT("'盛付札（関数）'!FJ"&amp;CM17+1),"*雙葉*"),"●",
"〇")</f>
        <v>〇</v>
      </c>
      <c r="CO18" s="70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>0</v>
      </c>
      <c r="CP18" s="64"/>
      <c r="CQ18" s="64"/>
      <c r="CR18" s="71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62"/>
      <c r="CT18" s="72"/>
      <c r="CU18" s="56" t="str">
        <f ca="1">IF(COUNTIF(INDIRECT("'盛付札（関数）'!FJ"&amp;CT17+1),"*雙葉*"),"●",
"〇")</f>
        <v>〇</v>
      </c>
      <c r="CV18" s="70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>0</v>
      </c>
      <c r="CW18" s="64"/>
      <c r="CX18" s="64"/>
      <c r="CY18" s="71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62"/>
      <c r="DA18" s="45"/>
      <c r="DB18" s="54"/>
      <c r="DC18" s="56"/>
      <c r="DD18" s="70"/>
      <c r="DE18" s="64"/>
      <c r="DF18" s="64"/>
      <c r="DG18" s="71"/>
      <c r="DH18" s="62"/>
      <c r="DI18" s="72"/>
      <c r="DJ18" s="56"/>
      <c r="DK18" s="70"/>
      <c r="DL18" s="64"/>
      <c r="DM18" s="64"/>
      <c r="DN18" s="71"/>
      <c r="DO18" s="62"/>
      <c r="DP18" s="45"/>
      <c r="DQ18" s="54"/>
      <c r="DR18" s="56"/>
      <c r="DS18" s="70"/>
      <c r="DT18" s="64"/>
      <c r="DU18" s="64"/>
      <c r="DV18" s="71"/>
      <c r="DW18" s="62"/>
      <c r="DX18" s="72"/>
      <c r="DY18" s="56"/>
      <c r="DZ18" s="70"/>
      <c r="EA18" s="64"/>
      <c r="EB18" s="64"/>
      <c r="EC18" s="71"/>
      <c r="ED18" s="62"/>
      <c r="EE18" s="45"/>
      <c r="EF18" s="54"/>
      <c r="EG18" s="56"/>
      <c r="EH18" s="70"/>
      <c r="EI18" s="64"/>
      <c r="EJ18" s="64"/>
      <c r="EK18" s="71"/>
      <c r="EL18" s="62"/>
      <c r="EM18" s="72"/>
      <c r="EN18" s="56"/>
      <c r="EO18" s="70"/>
      <c r="EP18" s="64"/>
      <c r="EQ18" s="64"/>
      <c r="ER18" s="71"/>
      <c r="ES18" s="62"/>
      <c r="ET18" s="45"/>
    </row>
    <row r="19" spans="1:150" s="55" customFormat="1">
      <c r="A19" s="54"/>
      <c r="B19" s="57"/>
      <c r="C19" s="243" t="str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244"/>
      <c r="E19" s="45"/>
      <c r="F19" s="55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63"/>
      <c r="H19" s="59"/>
      <c r="I19" s="57"/>
      <c r="J19" s="243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44"/>
      <c r="L19" s="45"/>
      <c r="M19" s="55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63"/>
      <c r="O19" s="45"/>
      <c r="P19" s="54"/>
      <c r="Q19" s="57"/>
      <c r="R19" s="243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44"/>
      <c r="T19" s="45"/>
      <c r="U19" s="55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63"/>
      <c r="W19" s="59"/>
      <c r="X19" s="57"/>
      <c r="Y19" s="243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44"/>
      <c r="AA19" s="45"/>
      <c r="AB19" s="55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63"/>
      <c r="AD19" s="45"/>
      <c r="AE19" s="54"/>
      <c r="AF19" s="57"/>
      <c r="AG19" s="243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44"/>
      <c r="AI19" s="45"/>
      <c r="AJ19" s="55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63"/>
      <c r="AL19" s="59"/>
      <c r="AM19" s="57"/>
      <c r="AN19" s="243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44"/>
      <c r="AP19" s="45"/>
      <c r="AQ19" s="55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63"/>
      <c r="AS19" s="45"/>
      <c r="AT19" s="54"/>
      <c r="AU19" s="57"/>
      <c r="AV19" s="243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44"/>
      <c r="AX19" s="45"/>
      <c r="AY19" s="55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63"/>
      <c r="BA19" s="59"/>
      <c r="BB19" s="57"/>
      <c r="BC19" s="243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44"/>
      <c r="BE19" s="45"/>
      <c r="BF19" s="55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63"/>
      <c r="BH19" s="45"/>
      <c r="BI19" s="54"/>
      <c r="BJ19" s="57"/>
      <c r="BK19" s="243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44"/>
      <c r="BM19" s="45"/>
      <c r="BN19" s="55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63"/>
      <c r="BP19" s="59"/>
      <c r="BQ19" s="57"/>
      <c r="BR19" s="243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44"/>
      <c r="BT19" s="45"/>
      <c r="BU19" s="55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63"/>
      <c r="BW19" s="45"/>
      <c r="BX19" s="54"/>
      <c r="BY19" s="57"/>
      <c r="BZ19" s="243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44"/>
      <c r="CB19" s="45"/>
      <c r="CC19" s="55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63"/>
      <c r="CE19" s="59"/>
      <c r="CF19" s="57"/>
      <c r="CG19" s="243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44"/>
      <c r="CI19" s="45"/>
      <c r="CJ19" s="55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63"/>
      <c r="CL19" s="45"/>
      <c r="CM19" s="54"/>
      <c r="CN19" s="57"/>
      <c r="CO19" s="243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44"/>
      <c r="CQ19" s="45"/>
      <c r="CR19" s="55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63"/>
      <c r="CT19" s="59"/>
      <c r="CU19" s="57"/>
      <c r="CV19" s="243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44"/>
      <c r="CX19" s="45"/>
      <c r="CY19" s="55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63"/>
      <c r="DA19" s="45"/>
      <c r="DB19" s="54"/>
      <c r="DC19" s="57"/>
      <c r="DD19" s="243"/>
      <c r="DE19" s="244"/>
      <c r="DF19" s="45"/>
      <c r="DH19" s="63"/>
      <c r="DI19" s="59"/>
      <c r="DJ19" s="57"/>
      <c r="DK19" s="243"/>
      <c r="DL19" s="244"/>
      <c r="DM19" s="45"/>
      <c r="DO19" s="63"/>
      <c r="DP19" s="45"/>
      <c r="DQ19" s="54"/>
      <c r="DR19" s="57"/>
      <c r="DS19" s="243"/>
      <c r="DT19" s="244"/>
      <c r="DU19" s="45"/>
      <c r="DW19" s="63"/>
      <c r="DX19" s="59"/>
      <c r="DY19" s="57"/>
      <c r="DZ19" s="243"/>
      <c r="EA19" s="244"/>
      <c r="EB19" s="45"/>
      <c r="ED19" s="63"/>
      <c r="EE19" s="45"/>
      <c r="EF19" s="54"/>
      <c r="EG19" s="57"/>
      <c r="EH19" s="243"/>
      <c r="EI19" s="244"/>
      <c r="EJ19" s="45"/>
      <c r="EL19" s="63"/>
      <c r="EM19" s="59"/>
      <c r="EN19" s="57"/>
      <c r="EO19" s="243"/>
      <c r="EP19" s="244"/>
      <c r="EQ19" s="45"/>
      <c r="ES19" s="63"/>
      <c r="ET19" s="45"/>
    </row>
    <row r="20" spans="1:150" ht="15.6" customHeight="1">
      <c r="B20" s="48"/>
      <c r="C20" s="241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>0</v>
      </c>
      <c r="D20" s="242"/>
      <c r="E20" s="73"/>
      <c r="F20" s="237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38"/>
      <c r="H20" s="49"/>
      <c r="I20" s="48"/>
      <c r="J20" s="241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>0</v>
      </c>
      <c r="K20" s="242"/>
      <c r="L20" s="73"/>
      <c r="M20" s="237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238"/>
      <c r="Q20" s="48"/>
      <c r="R20" s="241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>0</v>
      </c>
      <c r="S20" s="242"/>
      <c r="T20" s="73"/>
      <c r="U20" s="237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38"/>
      <c r="W20" s="49"/>
      <c r="X20" s="48"/>
      <c r="Y20" s="241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>0</v>
      </c>
      <c r="Z20" s="242"/>
      <c r="AA20" s="73"/>
      <c r="AB20" s="237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38"/>
      <c r="AF20" s="48"/>
      <c r="AG20" s="241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>0</v>
      </c>
      <c r="AH20" s="242"/>
      <c r="AI20" s="73"/>
      <c r="AJ20" s="237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38"/>
      <c r="AL20" s="49"/>
      <c r="AM20" s="48"/>
      <c r="AN20" s="241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>0</v>
      </c>
      <c r="AO20" s="242"/>
      <c r="AP20" s="73"/>
      <c r="AQ20" s="237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38"/>
      <c r="AU20" s="48"/>
      <c r="AV20" s="241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>0</v>
      </c>
      <c r="AW20" s="242"/>
      <c r="AX20" s="73"/>
      <c r="AY20" s="237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38"/>
      <c r="BA20" s="49"/>
      <c r="BB20" s="48"/>
      <c r="BC20" s="241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>0</v>
      </c>
      <c r="BD20" s="242"/>
      <c r="BE20" s="73"/>
      <c r="BF20" s="237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38"/>
      <c r="BJ20" s="48"/>
      <c r="BK20" s="241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>0</v>
      </c>
      <c r="BL20" s="242"/>
      <c r="BM20" s="73"/>
      <c r="BN20" s="237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38"/>
      <c r="BP20" s="49"/>
      <c r="BQ20" s="48"/>
      <c r="BR20" s="241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>0</v>
      </c>
      <c r="BS20" s="242"/>
      <c r="BT20" s="73"/>
      <c r="BU20" s="237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38"/>
      <c r="BY20" s="48"/>
      <c r="BZ20" s="241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>0</v>
      </c>
      <c r="CA20" s="242"/>
      <c r="CB20" s="73"/>
      <c r="CC20" s="237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38"/>
      <c r="CE20" s="49"/>
      <c r="CF20" s="48"/>
      <c r="CG20" s="241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>0</v>
      </c>
      <c r="CH20" s="242"/>
      <c r="CI20" s="73"/>
      <c r="CJ20" s="237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38"/>
      <c r="CN20" s="48"/>
      <c r="CO20" s="241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>0</v>
      </c>
      <c r="CP20" s="242"/>
      <c r="CQ20" s="73"/>
      <c r="CR20" s="237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38"/>
      <c r="CT20" s="49"/>
      <c r="CU20" s="48"/>
      <c r="CV20" s="241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>0</v>
      </c>
      <c r="CW20" s="242"/>
      <c r="CX20" s="73"/>
      <c r="CY20" s="237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38"/>
      <c r="DC20" s="48"/>
      <c r="DD20" s="241"/>
      <c r="DE20" s="242"/>
      <c r="DF20" s="73"/>
      <c r="DG20" s="237"/>
      <c r="DH20" s="238"/>
      <c r="DI20" s="49"/>
      <c r="DJ20" s="48"/>
      <c r="DK20" s="241"/>
      <c r="DL20" s="242"/>
      <c r="DM20" s="73"/>
      <c r="DN20" s="237"/>
      <c r="DO20" s="238"/>
      <c r="DR20" s="48"/>
      <c r="DS20" s="241"/>
      <c r="DT20" s="242"/>
      <c r="DU20" s="73"/>
      <c r="DV20" s="237"/>
      <c r="DW20" s="238"/>
      <c r="DX20" s="49"/>
      <c r="DY20" s="48"/>
      <c r="DZ20" s="241"/>
      <c r="EA20" s="242"/>
      <c r="EB20" s="73"/>
      <c r="EC20" s="237"/>
      <c r="ED20" s="238"/>
      <c r="EG20" s="48"/>
      <c r="EH20" s="241"/>
      <c r="EI20" s="242"/>
      <c r="EJ20" s="73"/>
      <c r="EK20" s="237"/>
      <c r="EL20" s="238"/>
      <c r="EM20" s="49"/>
      <c r="EN20" s="48"/>
      <c r="EO20" s="241"/>
      <c r="EP20" s="242"/>
      <c r="EQ20" s="73"/>
      <c r="ER20" s="237"/>
      <c r="ES20" s="238"/>
    </row>
    <row r="21" spans="1:150" ht="15.6" customHeight="1">
      <c r="B21" s="50"/>
      <c r="C21" s="239"/>
      <c r="D21" s="239"/>
      <c r="E21" s="67"/>
      <c r="F21" s="239"/>
      <c r="G21" s="240"/>
      <c r="H21" s="49"/>
      <c r="I21" s="50"/>
      <c r="J21" s="239"/>
      <c r="K21" s="239"/>
      <c r="L21" s="67"/>
      <c r="M21" s="239"/>
      <c r="N21" s="240"/>
      <c r="Q21" s="50"/>
      <c r="R21" s="239"/>
      <c r="S21" s="239"/>
      <c r="T21" s="67"/>
      <c r="U21" s="239"/>
      <c r="V21" s="240"/>
      <c r="W21" s="49"/>
      <c r="X21" s="50"/>
      <c r="Y21" s="239"/>
      <c r="Z21" s="239"/>
      <c r="AA21" s="67"/>
      <c r="AB21" s="239"/>
      <c r="AC21" s="240"/>
      <c r="AF21" s="50"/>
      <c r="AG21" s="239"/>
      <c r="AH21" s="239"/>
      <c r="AI21" s="67"/>
      <c r="AJ21" s="239"/>
      <c r="AK21" s="240"/>
      <c r="AL21" s="49"/>
      <c r="AM21" s="50"/>
      <c r="AN21" s="239"/>
      <c r="AO21" s="239"/>
      <c r="AP21" s="67"/>
      <c r="AQ21" s="239"/>
      <c r="AR21" s="240"/>
      <c r="AU21" s="50"/>
      <c r="AV21" s="239"/>
      <c r="AW21" s="239"/>
      <c r="AX21" s="67"/>
      <c r="AY21" s="239"/>
      <c r="AZ21" s="240"/>
      <c r="BA21" s="49"/>
      <c r="BB21" s="50"/>
      <c r="BC21" s="239"/>
      <c r="BD21" s="239"/>
      <c r="BE21" s="67"/>
      <c r="BF21" s="239"/>
      <c r="BG21" s="240"/>
      <c r="BJ21" s="50"/>
      <c r="BK21" s="239"/>
      <c r="BL21" s="239"/>
      <c r="BM21" s="67"/>
      <c r="BN21" s="239"/>
      <c r="BO21" s="240"/>
      <c r="BP21" s="49"/>
      <c r="BQ21" s="50"/>
      <c r="BR21" s="239"/>
      <c r="BS21" s="239"/>
      <c r="BT21" s="67"/>
      <c r="BU21" s="239"/>
      <c r="BV21" s="240"/>
      <c r="BY21" s="50"/>
      <c r="BZ21" s="239"/>
      <c r="CA21" s="239"/>
      <c r="CB21" s="67"/>
      <c r="CC21" s="239"/>
      <c r="CD21" s="240"/>
      <c r="CE21" s="49"/>
      <c r="CF21" s="50"/>
      <c r="CG21" s="239"/>
      <c r="CH21" s="239"/>
      <c r="CI21" s="67"/>
      <c r="CJ21" s="239"/>
      <c r="CK21" s="240"/>
      <c r="CN21" s="50"/>
      <c r="CO21" s="239"/>
      <c r="CP21" s="239"/>
      <c r="CQ21" s="67"/>
      <c r="CR21" s="239"/>
      <c r="CS21" s="240"/>
      <c r="CT21" s="49"/>
      <c r="CU21" s="50"/>
      <c r="CV21" s="239"/>
      <c r="CW21" s="239"/>
      <c r="CX21" s="67"/>
      <c r="CY21" s="239"/>
      <c r="CZ21" s="240"/>
      <c r="DC21" s="50"/>
      <c r="DD21" s="239"/>
      <c r="DE21" s="239"/>
      <c r="DF21" s="67"/>
      <c r="DG21" s="239"/>
      <c r="DH21" s="240"/>
      <c r="DI21" s="49"/>
      <c r="DJ21" s="50"/>
      <c r="DK21" s="239"/>
      <c r="DL21" s="239"/>
      <c r="DM21" s="67"/>
      <c r="DN21" s="239"/>
      <c r="DO21" s="240"/>
      <c r="DR21" s="50"/>
      <c r="DS21" s="239"/>
      <c r="DT21" s="239"/>
      <c r="DU21" s="67"/>
      <c r="DV21" s="239"/>
      <c r="DW21" s="240"/>
      <c r="DX21" s="49"/>
      <c r="DY21" s="50"/>
      <c r="DZ21" s="239"/>
      <c r="EA21" s="239"/>
      <c r="EB21" s="67"/>
      <c r="EC21" s="239"/>
      <c r="ED21" s="240"/>
      <c r="EG21" s="50"/>
      <c r="EH21" s="239"/>
      <c r="EI21" s="239"/>
      <c r="EJ21" s="67"/>
      <c r="EK21" s="239"/>
      <c r="EL21" s="240"/>
      <c r="EM21" s="49"/>
      <c r="EN21" s="50"/>
      <c r="EO21" s="239"/>
      <c r="EP21" s="239"/>
      <c r="EQ21" s="67"/>
      <c r="ER21" s="239"/>
      <c r="ES21" s="240"/>
    </row>
    <row r="22" spans="1:150" s="55" customFormat="1">
      <c r="A22" s="54"/>
      <c r="B22" s="60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58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60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58"/>
      <c r="F22" s="60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63"/>
      <c r="H22" s="45"/>
      <c r="I22" s="60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58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60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58"/>
      <c r="M22" s="60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63"/>
      <c r="O22" s="45"/>
      <c r="P22" s="54"/>
      <c r="Q22" s="60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58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0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58"/>
      <c r="U22" s="60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63"/>
      <c r="W22" s="45"/>
      <c r="X22" s="60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58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0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58"/>
      <c r="AB22" s="60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63"/>
      <c r="AD22" s="45"/>
      <c r="AE22" s="54"/>
      <c r="AF22" s="60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58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0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58"/>
      <c r="AJ22" s="60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63"/>
      <c r="AL22" s="45"/>
      <c r="AM22" s="60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58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0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58"/>
      <c r="AQ22" s="60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63"/>
      <c r="AS22" s="45"/>
      <c r="AT22" s="54"/>
      <c r="AU22" s="60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58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0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58"/>
      <c r="AY22" s="60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63"/>
      <c r="BA22" s="45"/>
      <c r="BB22" s="60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58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0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58"/>
      <c r="BF22" s="60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63"/>
      <c r="BH22" s="45"/>
      <c r="BI22" s="54"/>
      <c r="BJ22" s="60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58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0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58"/>
      <c r="BN22" s="60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63"/>
      <c r="BP22" s="45"/>
      <c r="BQ22" s="60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58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0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58"/>
      <c r="BU22" s="60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63"/>
      <c r="BW22" s="45"/>
      <c r="BX22" s="54"/>
      <c r="BY22" s="60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58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0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58"/>
      <c r="CC22" s="60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63"/>
      <c r="CE22" s="45"/>
      <c r="CF22" s="60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58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0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58"/>
      <c r="CJ22" s="60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63"/>
      <c r="CL22" s="45"/>
      <c r="CM22" s="54"/>
      <c r="CN22" s="60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58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0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58"/>
      <c r="CR22" s="60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63"/>
      <c r="CT22" s="45"/>
      <c r="CU22" s="60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58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0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58"/>
      <c r="CY22" s="60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63"/>
      <c r="DA22" s="45"/>
      <c r="DB22" s="54"/>
      <c r="DC22" s="60"/>
      <c r="DD22" s="58"/>
      <c r="DE22" s="60"/>
      <c r="DF22" s="58"/>
      <c r="DG22" s="60"/>
      <c r="DH22" s="63"/>
      <c r="DI22" s="45"/>
      <c r="DJ22" s="60"/>
      <c r="DK22" s="58"/>
      <c r="DL22" s="60"/>
      <c r="DM22" s="58"/>
      <c r="DN22" s="60"/>
      <c r="DO22" s="63"/>
      <c r="DP22" s="45"/>
      <c r="DQ22" s="54"/>
      <c r="DR22" s="60"/>
      <c r="DS22" s="58"/>
      <c r="DT22" s="60"/>
      <c r="DU22" s="58"/>
      <c r="DV22" s="60"/>
      <c r="DW22" s="63"/>
      <c r="DX22" s="45"/>
      <c r="DY22" s="60"/>
      <c r="DZ22" s="58"/>
      <c r="EA22" s="60"/>
      <c r="EB22" s="58"/>
      <c r="EC22" s="60"/>
      <c r="ED22" s="63"/>
      <c r="EE22" s="45"/>
      <c r="EF22" s="54"/>
      <c r="EG22" s="60"/>
      <c r="EH22" s="58"/>
      <c r="EI22" s="60"/>
      <c r="EJ22" s="58"/>
      <c r="EK22" s="60"/>
      <c r="EL22" s="63"/>
      <c r="EM22" s="45"/>
      <c r="EN22" s="60"/>
      <c r="EO22" s="58"/>
      <c r="EP22" s="60"/>
      <c r="EQ22" s="58"/>
      <c r="ER22" s="60"/>
      <c r="ES22" s="63"/>
      <c r="ET22" s="45"/>
    </row>
    <row r="23" spans="1:150" ht="27.6" customHeight="1">
      <c r="B23" s="247" t="str">
        <f ca="1">IF(C20&lt;&gt;"",
IFERROR(INT(C20/C22),""),"")</f>
        <v/>
      </c>
      <c r="C23" s="240"/>
      <c r="D23" s="247" t="str">
        <f ca="1">IFERROR(MOD(C20,C22),"")</f>
        <v/>
      </c>
      <c r="E23" s="240"/>
      <c r="F23" s="248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240"/>
      <c r="I23" s="247" t="str">
        <f ca="1">IF(J20&lt;&gt;"",
IFERROR(INT(J20/J22),""),"")</f>
        <v/>
      </c>
      <c r="J23" s="240"/>
      <c r="K23" s="247" t="str">
        <f ca="1">IFERROR(MOD(J20,J22),"")</f>
        <v/>
      </c>
      <c r="L23" s="240"/>
      <c r="M23" s="248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240"/>
      <c r="Q23" s="247" t="str">
        <f ca="1">IF(R20&lt;&gt;"",
IFERROR(INT(R20/R22),""),"")</f>
        <v/>
      </c>
      <c r="R23" s="240"/>
      <c r="S23" s="247" t="str">
        <f ca="1">IFERROR(MOD(R20,R22),"")</f>
        <v/>
      </c>
      <c r="T23" s="240"/>
      <c r="U23" s="248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40"/>
      <c r="X23" s="247" t="str">
        <f ca="1">IF(Y20&lt;&gt;"",
IFERROR(INT(Y20/Y22),""),"")</f>
        <v/>
      </c>
      <c r="Y23" s="240"/>
      <c r="Z23" s="247" t="str">
        <f ca="1">IFERROR(MOD(Y20,Y22),"")</f>
        <v/>
      </c>
      <c r="AA23" s="240"/>
      <c r="AB23" s="248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40"/>
      <c r="AF23" s="247" t="str">
        <f ca="1">IF(AG20&lt;&gt;"",
IFERROR(INT(AG20/AG22),""),"")</f>
        <v/>
      </c>
      <c r="AG23" s="240"/>
      <c r="AH23" s="247" t="str">
        <f ca="1">IFERROR(MOD(AG20,AG22),"")</f>
        <v/>
      </c>
      <c r="AI23" s="240"/>
      <c r="AJ23" s="248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40"/>
      <c r="AM23" s="247" t="str">
        <f ca="1">IF(AN20&lt;&gt;"",
IFERROR(INT(AN20/AN22),""),"")</f>
        <v/>
      </c>
      <c r="AN23" s="240"/>
      <c r="AO23" s="247" t="str">
        <f ca="1">IFERROR(MOD(AN20,AN22),"")</f>
        <v/>
      </c>
      <c r="AP23" s="240"/>
      <c r="AQ23" s="248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40"/>
      <c r="AU23" s="247" t="str">
        <f ca="1">IF(AV20&lt;&gt;"",
IFERROR(INT(AV20/AV22),""),"")</f>
        <v/>
      </c>
      <c r="AV23" s="240"/>
      <c r="AW23" s="247" t="str">
        <f ca="1">IFERROR(MOD(AV20,AV22),"")</f>
        <v/>
      </c>
      <c r="AX23" s="240"/>
      <c r="AY23" s="248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40"/>
      <c r="BB23" s="247" t="str">
        <f ca="1">IF(BC20&lt;&gt;"",
IFERROR(INT(BC20/BC22),""),"")</f>
        <v/>
      </c>
      <c r="BC23" s="240"/>
      <c r="BD23" s="247" t="str">
        <f ca="1">IFERROR(MOD(BC20,BC22),"")</f>
        <v/>
      </c>
      <c r="BE23" s="240"/>
      <c r="BF23" s="248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40"/>
      <c r="BJ23" s="247" t="str">
        <f ca="1">IF(BK20&lt;&gt;"",
IFERROR(INT(BK20/BK22),""),"")</f>
        <v/>
      </c>
      <c r="BK23" s="240"/>
      <c r="BL23" s="247" t="str">
        <f ca="1">IFERROR(MOD(BK20,BK22),"")</f>
        <v/>
      </c>
      <c r="BM23" s="240"/>
      <c r="BN23" s="248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40"/>
      <c r="BQ23" s="247" t="str">
        <f ca="1">IF(BR20&lt;&gt;"",
IFERROR(INT(BR20/BR22),""),"")</f>
        <v/>
      </c>
      <c r="BR23" s="240"/>
      <c r="BS23" s="247" t="str">
        <f ca="1">IFERROR(MOD(BR20,BR22),"")</f>
        <v/>
      </c>
      <c r="BT23" s="240"/>
      <c r="BU23" s="248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40"/>
      <c r="BY23" s="247" t="str">
        <f ca="1">IF(BZ20&lt;&gt;"",
IFERROR(INT(BZ20/BZ22),""),"")</f>
        <v/>
      </c>
      <c r="BZ23" s="240"/>
      <c r="CA23" s="247" t="str">
        <f ca="1">IFERROR(MOD(BZ20,BZ22),"")</f>
        <v/>
      </c>
      <c r="CB23" s="240"/>
      <c r="CC23" s="248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40"/>
      <c r="CF23" s="247" t="str">
        <f ca="1">IF(CG20&lt;&gt;"",
IFERROR(INT(CG20/CG22),""),"")</f>
        <v/>
      </c>
      <c r="CG23" s="240"/>
      <c r="CH23" s="247" t="str">
        <f ca="1">IFERROR(MOD(CG20,CG22),"")</f>
        <v/>
      </c>
      <c r="CI23" s="240"/>
      <c r="CJ23" s="248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40"/>
      <c r="CN23" s="247" t="str">
        <f ca="1">IF(CO20&lt;&gt;"",
IFERROR(INT(CO20/CO22),""),"")</f>
        <v/>
      </c>
      <c r="CO23" s="240"/>
      <c r="CP23" s="247" t="str">
        <f ca="1">IFERROR(MOD(CO20,CO22),"")</f>
        <v/>
      </c>
      <c r="CQ23" s="240"/>
      <c r="CR23" s="248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40"/>
      <c r="CU23" s="247" t="str">
        <f ca="1">IF(CV20&lt;&gt;"",
IFERROR(INT(CV20/CV22),""),"")</f>
        <v/>
      </c>
      <c r="CV23" s="240"/>
      <c r="CW23" s="247" t="str">
        <f ca="1">IFERROR(MOD(CV20,CV22),"")</f>
        <v/>
      </c>
      <c r="CX23" s="240"/>
      <c r="CY23" s="248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40"/>
      <c r="DC23" s="247"/>
      <c r="DD23" s="240"/>
      <c r="DE23" s="247"/>
      <c r="DF23" s="240"/>
      <c r="DG23" s="248"/>
      <c r="DH23" s="240"/>
      <c r="DJ23" s="247"/>
      <c r="DK23" s="240"/>
      <c r="DL23" s="247"/>
      <c r="DM23" s="240"/>
      <c r="DN23" s="248"/>
      <c r="DO23" s="240"/>
      <c r="DR23" s="247"/>
      <c r="DS23" s="240"/>
      <c r="DT23" s="247"/>
      <c r="DU23" s="240"/>
      <c r="DV23" s="248"/>
      <c r="DW23" s="240"/>
      <c r="DY23" s="247"/>
      <c r="DZ23" s="240"/>
      <c r="EA23" s="247"/>
      <c r="EB23" s="240"/>
      <c r="EC23" s="248"/>
      <c r="ED23" s="240"/>
      <c r="EG23" s="247"/>
      <c r="EH23" s="240"/>
      <c r="EI23" s="247"/>
      <c r="EJ23" s="240"/>
      <c r="EK23" s="248"/>
      <c r="EL23" s="240"/>
      <c r="EN23" s="247"/>
      <c r="EO23" s="240"/>
      <c r="EP23" s="247"/>
      <c r="EQ23" s="240"/>
      <c r="ER23" s="248"/>
      <c r="ES23" s="240"/>
    </row>
    <row r="24" spans="1:150" ht="6.6" customHeight="1">
      <c r="B24" s="68"/>
      <c r="D24" s="68"/>
      <c r="F24" s="69"/>
      <c r="I24" s="68"/>
      <c r="K24" s="68"/>
      <c r="M24" s="69"/>
      <c r="Q24" s="68"/>
      <c r="S24" s="68"/>
      <c r="U24" s="69"/>
      <c r="X24" s="68"/>
      <c r="Z24" s="68"/>
      <c r="AB24" s="69"/>
      <c r="AF24" s="68"/>
      <c r="AH24" s="68"/>
      <c r="AJ24" s="69"/>
      <c r="AM24" s="68"/>
      <c r="AO24" s="68"/>
      <c r="AQ24" s="69"/>
      <c r="AU24" s="68"/>
      <c r="AW24" s="68"/>
      <c r="AY24" s="69"/>
      <c r="BB24" s="68"/>
      <c r="BD24" s="68"/>
      <c r="BF24" s="69"/>
      <c r="BJ24" s="68"/>
      <c r="BL24" s="68"/>
      <c r="BN24" s="69"/>
      <c r="BQ24" s="68"/>
      <c r="BS24" s="68"/>
      <c r="BU24" s="69"/>
      <c r="BY24" s="68"/>
      <c r="CA24" s="68"/>
      <c r="CC24" s="69"/>
      <c r="CF24" s="68"/>
      <c r="CH24" s="68"/>
      <c r="CJ24" s="69"/>
      <c r="CN24" s="68"/>
      <c r="CP24" s="68"/>
      <c r="CR24" s="69"/>
      <c r="CU24" s="68"/>
      <c r="CW24" s="68"/>
      <c r="CY24" s="69"/>
      <c r="DC24" s="68"/>
      <c r="DE24" s="68"/>
      <c r="DG24" s="69"/>
      <c r="DJ24" s="68"/>
      <c r="DL24" s="68"/>
      <c r="DN24" s="69"/>
      <c r="DR24" s="68"/>
      <c r="DT24" s="68"/>
      <c r="DV24" s="69"/>
      <c r="DY24" s="68"/>
      <c r="EA24" s="68"/>
      <c r="EC24" s="69"/>
      <c r="EG24" s="68"/>
      <c r="EI24" s="68"/>
      <c r="EK24" s="69"/>
      <c r="EN24" s="68"/>
      <c r="EP24" s="68"/>
      <c r="ER24" s="69"/>
    </row>
    <row r="25" spans="1:150" s="55" customFormat="1" ht="25.8" customHeight="1">
      <c r="A25" s="54">
        <f ca="1">IF(OR(I18="●",I18="△"),
H17+2,H17+1)</f>
        <v>7</v>
      </c>
      <c r="B25" s="66" t="str">
        <f ca="1">IF(C25&lt;&gt;"",
MID(貼り付け用!$A$2, FIND("年",貼り付け用!$A$2)+1,2)&amp;"/"&amp;MID(貼り付け用!$A$2, FIND("月",貼り付け用!$A$2)+1,2),"")</f>
        <v/>
      </c>
      <c r="C25" s="245" t="str">
        <f t="array" aca="1" ref="C25" ca="1">SUBSTITUTE(SUBSTITUTE(SUBSTITUTE(SUBSTITUTE(SUBSTITUTE(SUBSTITUTE(SUBSTITUTE(SUBSTITUTE(SUBSTITUTE(SUBSTITUTE(SUBSTITUTE(
IF(B26="△",
INDIRECT("'盛付札（関数）'!FJ"&amp;A25+1),INDIRECT("'盛付札（関数）'!FJ"&amp;A25)),"０",""),"①",""),"②",""),"③",""),"④",""),"⑤",""),"⑥",""),"⑦",""),"⑧",""),"⑨",""),"⑩","")</f>
        <v/>
      </c>
      <c r="D25" s="246"/>
      <c r="E25" s="246"/>
      <c r="F25" s="246"/>
      <c r="G25" s="65" t="str">
        <f t="array" aca="1" ref="G25" ca="1">IF(C25&lt;&gt;"",
IF(AND(INDIRECT("'盛付札（関数）'!FI"&amp;A25)&gt;=124,INDIRECT("'盛付札（関数）'!FI"&amp;A25)&lt;=144),"",
"様"),"")</f>
        <v/>
      </c>
      <c r="H25" s="59">
        <f ca="1">IF(OR(B26="●",B26="△"),
A25+2,A25+1)</f>
        <v>8</v>
      </c>
      <c r="I25" s="66" t="str">
        <f ca="1">IF(J25&lt;&gt;"",
MID(貼り付け用!$A$2, FIND("年",貼り付け用!$A$2)+1,2)&amp;"/"&amp;MID(貼り付け用!$A$2, FIND("月",貼り付け用!$A$2)+1,2),"")</f>
        <v/>
      </c>
      <c r="J25" s="245" t="str">
        <f t="array" aca="1" ref="J25" ca="1">SUBSTITUTE(SUBSTITUTE(SUBSTITUTE(SUBSTITUTE(SUBSTITUTE(SUBSTITUTE(SUBSTITUTE(SUBSTITUTE(SUBSTITUTE(SUBSTITUTE(SUBSTITUTE(
IF(I26="△",
INDIRECT("'盛付札（関数）'!FJ"&amp;H25+1),INDIRECT("'盛付札（関数）'!FJ"&amp;H25)),"０",""),"①",""),"②",""),"③",""),"④",""),"⑤",""),"⑥",""),"⑦",""),"⑧",""),"⑨",""),"⑩","")</f>
        <v/>
      </c>
      <c r="K25" s="246"/>
      <c r="L25" s="246"/>
      <c r="M25" s="246"/>
      <c r="N25" s="65" t="str">
        <f t="array" aca="1" ref="N25" ca="1">IF(J25&lt;&gt;"",
IF(AND(INDIRECT("'盛付札（関数）'!FI"&amp;H25)&gt;=124,INDIRECT("'盛付札（関数）'!FI"&amp;H25)&lt;=144),"",
"様"),"")</f>
        <v/>
      </c>
      <c r="O25" s="45"/>
      <c r="P25" s="54">
        <f ca="1">IF(OR(X18="●",X18="△"),
W17+2,W17+1)</f>
        <v>19</v>
      </c>
      <c r="Q25" s="66" t="str">
        <f ca="1">IF(R25&lt;&gt;"",
MID(貼り付け用!$A$2, FIND("年",貼り付け用!$A$2)+1,2)&amp;"/"&amp;MID(貼り付け用!$A$2, FIND("月",貼り付け用!$A$2)+1,2),"")</f>
        <v/>
      </c>
      <c r="R25" s="245" t="str">
        <f t="array" aca="1" ref="R25" ca="1">SUBSTITUTE(SUBSTITUTE(SUBSTITUTE(SUBSTITUTE(SUBSTITUTE(SUBSTITUTE(SUBSTITUTE(SUBSTITUTE(SUBSTITUTE(SUBSTITUTE(SUBSTITUTE(
IF(Q26="△",
INDIRECT("'盛付札（関数）'!FJ"&amp;P25+1),INDIRECT("'盛付札（関数）'!FJ"&amp;P25)),"０",""),"①",""),"②",""),"③",""),"④",""),"⑤",""),"⑥",""),"⑦",""),"⑧",""),"⑨",""),"⑩","")</f>
        <v/>
      </c>
      <c r="S25" s="246"/>
      <c r="T25" s="246"/>
      <c r="U25" s="246"/>
      <c r="V25" s="65" t="str">
        <f t="array" aca="1" ref="V25" ca="1">IF(R25&lt;&gt;"",
IF(AND(INDIRECT("'盛付札（関数）'!FI"&amp;P25)&gt;=124,INDIRECT("'盛付札（関数）'!FI"&amp;P25)&lt;=144),"",
"様"),"")</f>
        <v/>
      </c>
      <c r="W25" s="59">
        <f ca="1">IF(OR(Q26="●",Q26="△"),
P25+2,P25+1)</f>
        <v>20</v>
      </c>
      <c r="X25" s="66" t="str">
        <f ca="1">IF(Y25&lt;&gt;"",
MID(貼り付け用!$A$2, FIND("年",貼り付け用!$A$2)+1,2)&amp;"/"&amp;MID(貼り付け用!$A$2, FIND("月",貼り付け用!$A$2)+1,2),"")</f>
        <v/>
      </c>
      <c r="Y25" s="245" t="str">
        <f t="array" aca="1" ref="Y25" ca="1">SUBSTITUTE(SUBSTITUTE(SUBSTITUTE(SUBSTITUTE(SUBSTITUTE(SUBSTITUTE(SUBSTITUTE(SUBSTITUTE(SUBSTITUTE(SUBSTITUTE(SUBSTITUTE(
IF(X26="△",
INDIRECT("'盛付札（関数）'!FJ"&amp;W25+1),INDIRECT("'盛付札（関数）'!FJ"&amp;W25)),"０",""),"①",""),"②",""),"③",""),"④",""),"⑤",""),"⑥",""),"⑦",""),"⑧",""),"⑨",""),"⑩","")</f>
        <v/>
      </c>
      <c r="Z25" s="246"/>
      <c r="AA25" s="246"/>
      <c r="AB25" s="246"/>
      <c r="AC25" s="65" t="str">
        <f t="array" aca="1" ref="AC25" ca="1">IF(Y25&lt;&gt;"",
IF(AND(INDIRECT("'盛付札（関数）'!FI"&amp;W25)&gt;=124,INDIRECT("'盛付札（関数）'!FI"&amp;W25)&lt;=144),"",
"様"),"")</f>
        <v/>
      </c>
      <c r="AD25" s="45"/>
      <c r="AE25" s="54">
        <f ca="1">IF(OR(AM18="●",AM18="△"),
AL17+2,AL17+1)</f>
        <v>31</v>
      </c>
      <c r="AF25" s="66" t="str">
        <f ca="1">IF(AG25&lt;&gt;"",
MID(貼り付け用!$A$2, FIND("年",貼り付け用!$A$2)+1,2)&amp;"/"&amp;MID(貼り付け用!$A$2, FIND("月",貼り付け用!$A$2)+1,2),"")</f>
        <v/>
      </c>
      <c r="AG25" s="245" t="str">
        <f t="array" aca="1" ref="AG25" ca="1">SUBSTITUTE(SUBSTITUTE(SUBSTITUTE(SUBSTITUTE(SUBSTITUTE(SUBSTITUTE(SUBSTITUTE(SUBSTITUTE(SUBSTITUTE(SUBSTITUTE(SUBSTITUTE(
IF(AF26="△",
INDIRECT("'盛付札（関数）'!FJ"&amp;AE25+1),INDIRECT("'盛付札（関数）'!FJ"&amp;AE25)),"０",""),"①",""),"②",""),"③",""),"④",""),"⑤",""),"⑥",""),"⑦",""),"⑧",""),"⑨",""),"⑩","")</f>
        <v/>
      </c>
      <c r="AH25" s="246"/>
      <c r="AI25" s="246"/>
      <c r="AJ25" s="246"/>
      <c r="AK25" s="65" t="str">
        <f t="array" aca="1" ref="AK25" ca="1">IF(AG25&lt;&gt;"",
IF(AND(INDIRECT("'盛付札（関数）'!FI"&amp;AE25)&gt;=124,INDIRECT("'盛付札（関数）'!FI"&amp;AE25)&lt;=144),"",
"様"),"")</f>
        <v/>
      </c>
      <c r="AL25" s="59">
        <f ca="1">IF(OR(AF26="●",AF26="△"),
AE25+2,AE25+1)</f>
        <v>32</v>
      </c>
      <c r="AM25" s="66" t="str">
        <f ca="1">IF(AN25&lt;&gt;"",
MID(貼り付け用!$A$2, FIND("年",貼り付け用!$A$2)+1,2)&amp;"/"&amp;MID(貼り付け用!$A$2, FIND("月",貼り付け用!$A$2)+1,2),"")</f>
        <v/>
      </c>
      <c r="AN25" s="245" t="str">
        <f t="array" aca="1" ref="AN25" ca="1">SUBSTITUTE(SUBSTITUTE(SUBSTITUTE(SUBSTITUTE(SUBSTITUTE(SUBSTITUTE(SUBSTITUTE(SUBSTITUTE(SUBSTITUTE(SUBSTITUTE(SUBSTITUTE(
IF(AM26="△",
INDIRECT("'盛付札（関数）'!FJ"&amp;AL25+1),INDIRECT("'盛付札（関数）'!FJ"&amp;AL25)),"０",""),"①",""),"②",""),"③",""),"④",""),"⑤",""),"⑥",""),"⑦",""),"⑧",""),"⑨",""),"⑩","")</f>
        <v/>
      </c>
      <c r="AO25" s="246"/>
      <c r="AP25" s="246"/>
      <c r="AQ25" s="246"/>
      <c r="AR25" s="65" t="str">
        <f t="array" aca="1" ref="AR25" ca="1">IF(AN25&lt;&gt;"",
IF(AND(INDIRECT("'盛付札（関数）'!FI"&amp;AL25)&gt;=124,INDIRECT("'盛付札（関数）'!FI"&amp;AL25)&lt;=144),"",
"様"),"")</f>
        <v/>
      </c>
      <c r="AS25" s="45"/>
      <c r="AT25" s="54">
        <f ca="1">IF(OR(BB18="●",BB18="△"),
BA17+2,BA17+1)</f>
        <v>43</v>
      </c>
      <c r="AU25" s="66" t="str">
        <f ca="1">IF(AV25&lt;&gt;"",
MID(貼り付け用!$A$2, FIND("年",貼り付け用!$A$2)+1,2)&amp;"/"&amp;MID(貼り付け用!$A$2, FIND("月",貼り付け用!$A$2)+1,2),"")</f>
        <v/>
      </c>
      <c r="AV25" s="245" t="str">
        <f t="array" aca="1" ref="AV25" ca="1">SUBSTITUTE(SUBSTITUTE(SUBSTITUTE(SUBSTITUTE(SUBSTITUTE(SUBSTITUTE(SUBSTITUTE(SUBSTITUTE(SUBSTITUTE(SUBSTITUTE(SUBSTITUTE(
IF(AU26="△",
INDIRECT("'盛付札（関数）'!FJ"&amp;AT25+1),INDIRECT("'盛付札（関数）'!FJ"&amp;AT25)),"０",""),"①",""),"②",""),"③",""),"④",""),"⑤",""),"⑥",""),"⑦",""),"⑧",""),"⑨",""),"⑩","")</f>
        <v/>
      </c>
      <c r="AW25" s="246"/>
      <c r="AX25" s="246"/>
      <c r="AY25" s="246"/>
      <c r="AZ25" s="65" t="str">
        <f t="array" aca="1" ref="AZ25" ca="1">IF(AV25&lt;&gt;"",
IF(AND(INDIRECT("'盛付札（関数）'!FI"&amp;AT25)&gt;=124,INDIRECT("'盛付札（関数）'!FI"&amp;AT25)&lt;=144),"",
"様"),"")</f>
        <v/>
      </c>
      <c r="BA25" s="59">
        <f ca="1">IF(OR(AU26="●",AU26="△"),
AT25+2,AT25+1)</f>
        <v>44</v>
      </c>
      <c r="BB25" s="66" t="str">
        <f ca="1">IF(BC25&lt;&gt;"",
MID(貼り付け用!$A$2, FIND("年",貼り付け用!$A$2)+1,2)&amp;"/"&amp;MID(貼り付け用!$A$2, FIND("月",貼り付け用!$A$2)+1,2),"")</f>
        <v/>
      </c>
      <c r="BC25" s="245" t="str">
        <f t="array" aca="1" ref="BC25" ca="1">SUBSTITUTE(SUBSTITUTE(SUBSTITUTE(SUBSTITUTE(SUBSTITUTE(SUBSTITUTE(SUBSTITUTE(SUBSTITUTE(SUBSTITUTE(SUBSTITUTE(SUBSTITUTE(
IF(BB26="△",
INDIRECT("'盛付札（関数）'!FJ"&amp;BA25+1),INDIRECT("'盛付札（関数）'!FJ"&amp;BA25)),"０",""),"①",""),"②",""),"③",""),"④",""),"⑤",""),"⑥",""),"⑦",""),"⑧",""),"⑨",""),"⑩","")</f>
        <v/>
      </c>
      <c r="BD25" s="246"/>
      <c r="BE25" s="246"/>
      <c r="BF25" s="246"/>
      <c r="BG25" s="65" t="str">
        <f t="array" aca="1" ref="BG25" ca="1">IF(BC25&lt;&gt;"",
IF(AND(INDIRECT("'盛付札（関数）'!FI"&amp;BA25)&gt;=124,INDIRECT("'盛付札（関数）'!FI"&amp;BA25)&lt;=144),"",
"様"),"")</f>
        <v/>
      </c>
      <c r="BH25" s="45"/>
      <c r="BI25" s="54">
        <f ca="1">IF(OR(BQ18="●",BQ18="△"),
BP17+2,BP17+1)</f>
        <v>55</v>
      </c>
      <c r="BJ25" s="66" t="str">
        <f ca="1">IF(BK25&lt;&gt;"",
MID(貼り付け用!$A$2, FIND("年",貼り付け用!$A$2)+1,2)&amp;"/"&amp;MID(貼り付け用!$A$2, FIND("月",貼り付け用!$A$2)+1,2),"")</f>
        <v/>
      </c>
      <c r="BK25" s="245" t="str">
        <f t="array" aca="1" ref="BK25" ca="1">SUBSTITUTE(SUBSTITUTE(SUBSTITUTE(SUBSTITUTE(SUBSTITUTE(SUBSTITUTE(SUBSTITUTE(SUBSTITUTE(SUBSTITUTE(SUBSTITUTE(SUBSTITUTE(
IF(BJ26="△",
INDIRECT("'盛付札（関数）'!FJ"&amp;BI25+1),INDIRECT("'盛付札（関数）'!FJ"&amp;BI25)),"０",""),"①",""),"②",""),"③",""),"④",""),"⑤",""),"⑥",""),"⑦",""),"⑧",""),"⑨",""),"⑩","")</f>
        <v/>
      </c>
      <c r="BL25" s="246"/>
      <c r="BM25" s="246"/>
      <c r="BN25" s="246"/>
      <c r="BO25" s="65" t="str">
        <f t="array" aca="1" ref="BO25" ca="1">IF(BK25&lt;&gt;"",
IF(AND(INDIRECT("'盛付札（関数）'!FI"&amp;BI25)&gt;=124,INDIRECT("'盛付札（関数）'!FI"&amp;BI25)&lt;=144),"",
"様"),"")</f>
        <v/>
      </c>
      <c r="BP25" s="59">
        <f ca="1">IF(OR(BJ26="●",BJ26="△"),
BI25+2,BI25+1)</f>
        <v>56</v>
      </c>
      <c r="BQ25" s="66" t="str">
        <f ca="1">IF(BR25&lt;&gt;"",
MID(貼り付け用!$A$2, FIND("年",貼り付け用!$A$2)+1,2)&amp;"/"&amp;MID(貼り付け用!$A$2, FIND("月",貼り付け用!$A$2)+1,2),"")</f>
        <v/>
      </c>
      <c r="BR25" s="245" t="str">
        <f t="array" aca="1" ref="BR25" ca="1">SUBSTITUTE(SUBSTITUTE(SUBSTITUTE(SUBSTITUTE(SUBSTITUTE(SUBSTITUTE(SUBSTITUTE(SUBSTITUTE(SUBSTITUTE(SUBSTITUTE(SUBSTITUTE(
IF(BQ26="△",
INDIRECT("'盛付札（関数）'!FJ"&amp;BP25+1),INDIRECT("'盛付札（関数）'!FJ"&amp;BP25)),"０",""),"①",""),"②",""),"③",""),"④",""),"⑤",""),"⑥",""),"⑦",""),"⑧",""),"⑨",""),"⑩","")</f>
        <v/>
      </c>
      <c r="BS25" s="246"/>
      <c r="BT25" s="246"/>
      <c r="BU25" s="246"/>
      <c r="BV25" s="65" t="str">
        <f t="array" aca="1" ref="BV25" ca="1">IF(BR25&lt;&gt;"",
IF(AND(INDIRECT("'盛付札（関数）'!FI"&amp;BP25)&gt;=124,INDIRECT("'盛付札（関数）'!FI"&amp;BP25)&lt;=144),"",
"様"),"")</f>
        <v/>
      </c>
      <c r="BW25" s="45"/>
      <c r="BX25" s="54">
        <f ca="1">IF(OR(CF18="●",CF18="△"),
CE17+2,CE17+1)</f>
        <v>67</v>
      </c>
      <c r="BY25" s="66" t="str">
        <f ca="1">IF(BZ25&lt;&gt;"",
MID(貼り付け用!$A$2, FIND("年",貼り付け用!$A$2)+1,2)&amp;"/"&amp;MID(貼り付け用!$A$2, FIND("月",貼り付け用!$A$2)+1,2),"")</f>
        <v/>
      </c>
      <c r="BZ25" s="245" t="str">
        <f t="array" aca="1" ref="BZ25" ca="1">SUBSTITUTE(SUBSTITUTE(SUBSTITUTE(SUBSTITUTE(SUBSTITUTE(SUBSTITUTE(SUBSTITUTE(SUBSTITUTE(SUBSTITUTE(SUBSTITUTE(SUBSTITUTE(
IF(BY26="△",
INDIRECT("'盛付札（関数）'!FJ"&amp;BX25+1),INDIRECT("'盛付札（関数）'!FJ"&amp;BX25)),"０",""),"①",""),"②",""),"③",""),"④",""),"⑤",""),"⑥",""),"⑦",""),"⑧",""),"⑨",""),"⑩","")</f>
        <v/>
      </c>
      <c r="CA25" s="246"/>
      <c r="CB25" s="246"/>
      <c r="CC25" s="246"/>
      <c r="CD25" s="65" t="str">
        <f t="array" aca="1" ref="CD25" ca="1">IF(BZ25&lt;&gt;"",
IF(AND(INDIRECT("'盛付札（関数）'!FI"&amp;BX25)&gt;=124,INDIRECT("'盛付札（関数）'!FI"&amp;BX25)&lt;=144),"",
"様"),"")</f>
        <v/>
      </c>
      <c r="CE25" s="59">
        <f ca="1">IF(OR(BY26="●",BY26="△"),
BX25+2,BX25+1)</f>
        <v>68</v>
      </c>
      <c r="CF25" s="66" t="str">
        <f ca="1">IF(CG25&lt;&gt;"",
MID(貼り付け用!$A$2, FIND("年",貼り付け用!$A$2)+1,2)&amp;"/"&amp;MID(貼り付け用!$A$2, FIND("月",貼り付け用!$A$2)+1,2),"")</f>
        <v/>
      </c>
      <c r="CG25" s="245" t="str">
        <f t="array" aca="1" ref="CG25" ca="1">SUBSTITUTE(SUBSTITUTE(SUBSTITUTE(SUBSTITUTE(SUBSTITUTE(SUBSTITUTE(SUBSTITUTE(SUBSTITUTE(SUBSTITUTE(SUBSTITUTE(SUBSTITUTE(
IF(CF26="△",
INDIRECT("'盛付札（関数）'!FJ"&amp;CE25+1),INDIRECT("'盛付札（関数）'!FJ"&amp;CE25)),"０",""),"①",""),"②",""),"③",""),"④",""),"⑤",""),"⑥",""),"⑦",""),"⑧",""),"⑨",""),"⑩","")</f>
        <v/>
      </c>
      <c r="CH25" s="246"/>
      <c r="CI25" s="246"/>
      <c r="CJ25" s="246"/>
      <c r="CK25" s="65" t="str">
        <f t="array" aca="1" ref="CK25" ca="1">IF(CG25&lt;&gt;"",
IF(AND(INDIRECT("'盛付札（関数）'!FI"&amp;CE25)&gt;=124,INDIRECT("'盛付札（関数）'!FI"&amp;CE25)&lt;=144),"",
"様"),"")</f>
        <v/>
      </c>
      <c r="CL25" s="45"/>
      <c r="CM25" s="54">
        <f ca="1">IF(OR(CU18="●",CU18="△"),
CT17+2,CT17+1)</f>
        <v>79</v>
      </c>
      <c r="CN25" s="66" t="str">
        <f ca="1">IF(CO25&lt;&gt;"",
MID(貼り付け用!$A$2, FIND("年",貼り付け用!$A$2)+1,2)&amp;"/"&amp;MID(貼り付け用!$A$2, FIND("月",貼り付け用!$A$2)+1,2),"")</f>
        <v/>
      </c>
      <c r="CO25" s="245" t="str">
        <f t="array" aca="1" ref="CO25" ca="1">SUBSTITUTE(SUBSTITUTE(SUBSTITUTE(SUBSTITUTE(SUBSTITUTE(SUBSTITUTE(SUBSTITUTE(SUBSTITUTE(SUBSTITUTE(SUBSTITUTE(SUBSTITUTE(
IF(CN26="△",
INDIRECT("'盛付札（関数）'!FJ"&amp;CM25+1),INDIRECT("'盛付札（関数）'!FJ"&amp;CM25)),"０",""),"①",""),"②",""),"③",""),"④",""),"⑤",""),"⑥",""),"⑦",""),"⑧",""),"⑨",""),"⑩","")</f>
        <v/>
      </c>
      <c r="CP25" s="246"/>
      <c r="CQ25" s="246"/>
      <c r="CR25" s="246"/>
      <c r="CS25" s="65" t="str">
        <f t="array" aca="1" ref="CS25" ca="1">IF(CO25&lt;&gt;"",
IF(AND(INDIRECT("'盛付札（関数）'!FI"&amp;CM25)&gt;=124,INDIRECT("'盛付札（関数）'!FI"&amp;CM25)&lt;=144),"",
"様"),"")</f>
        <v/>
      </c>
      <c r="CT25" s="59">
        <f ca="1">IF(OR(CN26="●",CN26="△"),
CM25+2,CM25+1)</f>
        <v>80</v>
      </c>
      <c r="CU25" s="66" t="str">
        <f ca="1">IF(CV25&lt;&gt;"",
MID(貼り付け用!$A$2, FIND("年",貼り付け用!$A$2)+1,2)&amp;"/"&amp;MID(貼り付け用!$A$2, FIND("月",貼り付け用!$A$2)+1,2),"")</f>
        <v/>
      </c>
      <c r="CV25" s="245" t="str">
        <f t="array" aca="1" ref="CV25" ca="1">SUBSTITUTE(SUBSTITUTE(SUBSTITUTE(SUBSTITUTE(SUBSTITUTE(SUBSTITUTE(SUBSTITUTE(SUBSTITUTE(SUBSTITUTE(SUBSTITUTE(SUBSTITUTE(
IF(CU26="△",
INDIRECT("'盛付札（関数）'!FJ"&amp;CT25+1),INDIRECT("'盛付札（関数）'!FJ"&amp;CT25)),"０",""),"①",""),"②",""),"③",""),"④",""),"⑤",""),"⑥",""),"⑦",""),"⑧",""),"⑨",""),"⑩","")</f>
        <v/>
      </c>
      <c r="CW25" s="246"/>
      <c r="CX25" s="246"/>
      <c r="CY25" s="246"/>
      <c r="CZ25" s="65" t="str">
        <f t="array" aca="1" ref="CZ25" ca="1">IF(CV25&lt;&gt;"",
IF(AND(INDIRECT("'盛付札（関数）'!FI"&amp;CT25)&gt;=124,INDIRECT("'盛付札（関数）'!FI"&amp;CT25)&lt;=144),"",
"様"),"")</f>
        <v/>
      </c>
      <c r="DA25" s="45"/>
      <c r="DB25" s="54"/>
      <c r="DC25" s="66"/>
      <c r="DD25" s="245"/>
      <c r="DE25" s="246"/>
      <c r="DF25" s="246"/>
      <c r="DG25" s="246"/>
      <c r="DH25" s="65"/>
      <c r="DI25" s="59"/>
      <c r="DJ25" s="66"/>
      <c r="DK25" s="245"/>
      <c r="DL25" s="246"/>
      <c r="DM25" s="246"/>
      <c r="DN25" s="246"/>
      <c r="DO25" s="65"/>
      <c r="DP25" s="45"/>
      <c r="DQ25" s="54"/>
      <c r="DR25" s="66"/>
      <c r="DS25" s="245"/>
      <c r="DT25" s="246"/>
      <c r="DU25" s="246"/>
      <c r="DV25" s="246"/>
      <c r="DW25" s="65"/>
      <c r="DX25" s="59"/>
      <c r="DY25" s="66"/>
      <c r="DZ25" s="245"/>
      <c r="EA25" s="246"/>
      <c r="EB25" s="246"/>
      <c r="EC25" s="246"/>
      <c r="ED25" s="65"/>
      <c r="EE25" s="45"/>
      <c r="EF25" s="54"/>
      <c r="EG25" s="66"/>
      <c r="EH25" s="245"/>
      <c r="EI25" s="246"/>
      <c r="EJ25" s="246"/>
      <c r="EK25" s="246"/>
      <c r="EL25" s="65"/>
      <c r="EM25" s="59"/>
      <c r="EN25" s="66"/>
      <c r="EO25" s="245"/>
      <c r="EP25" s="246"/>
      <c r="EQ25" s="246"/>
      <c r="ER25" s="246"/>
      <c r="ES25" s="65"/>
      <c r="ET25" s="45"/>
    </row>
    <row r="26" spans="1:150" s="55" customFormat="1">
      <c r="A26" s="54"/>
      <c r="B26" s="56" t="str">
        <f ca="1">IF(COUNTIF(INDIRECT("'盛付札（関数）'!FJ"&amp;A25+1),"*雙葉*"),"●",
"〇")</f>
        <v>〇</v>
      </c>
      <c r="C26" s="70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>0</v>
      </c>
      <c r="D26" s="64"/>
      <c r="E26" s="64"/>
      <c r="F26" s="71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62"/>
      <c r="H26" s="72"/>
      <c r="I26" s="56" t="str">
        <f ca="1">IF(COUNTIF(INDIRECT("'盛付札（関数）'!FJ"&amp;H25+1),"*雙葉*"),"●",
"〇")</f>
        <v>〇</v>
      </c>
      <c r="J26" s="70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>0</v>
      </c>
      <c r="K26" s="64"/>
      <c r="L26" s="64"/>
      <c r="M26" s="71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62"/>
      <c r="O26" s="45"/>
      <c r="P26" s="54"/>
      <c r="Q26" s="56" t="str">
        <f ca="1">IF(COUNTIF(INDIRECT("'盛付札（関数）'!FJ"&amp;P25+1),"*雙葉*"),"●",
"〇")</f>
        <v>〇</v>
      </c>
      <c r="R26" s="70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>0</v>
      </c>
      <c r="S26" s="64"/>
      <c r="T26" s="64"/>
      <c r="U26" s="71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62"/>
      <c r="W26" s="72"/>
      <c r="X26" s="56" t="str">
        <f ca="1">IF(COUNTIF(INDIRECT("'盛付札（関数）'!FJ"&amp;W25+1),"*雙葉*"),"●",
"〇")</f>
        <v>〇</v>
      </c>
      <c r="Y26" s="70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>0</v>
      </c>
      <c r="Z26" s="64"/>
      <c r="AA26" s="64"/>
      <c r="AB26" s="71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62"/>
      <c r="AD26" s="45"/>
      <c r="AE26" s="54"/>
      <c r="AF26" s="56" t="str">
        <f ca="1">IF(COUNTIF(INDIRECT("'盛付札（関数）'!FJ"&amp;AE25+1),"*雙葉*"),"●",
"〇")</f>
        <v>〇</v>
      </c>
      <c r="AG26" s="70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>0</v>
      </c>
      <c r="AH26" s="64"/>
      <c r="AI26" s="64"/>
      <c r="AJ26" s="71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62"/>
      <c r="AL26" s="72"/>
      <c r="AM26" s="56" t="str">
        <f ca="1">IF(COUNTIF(INDIRECT("'盛付札（関数）'!FJ"&amp;AL25+1),"*雙葉*"),"●",
"〇")</f>
        <v>〇</v>
      </c>
      <c r="AN26" s="70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>0</v>
      </c>
      <c r="AO26" s="64"/>
      <c r="AP26" s="64"/>
      <c r="AQ26" s="71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62"/>
      <c r="AS26" s="45"/>
      <c r="AT26" s="54"/>
      <c r="AU26" s="56" t="str">
        <f ca="1">IF(COUNTIF(INDIRECT("'盛付札（関数）'!FJ"&amp;AT25+1),"*雙葉*"),"●",
"〇")</f>
        <v>〇</v>
      </c>
      <c r="AV26" s="70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>0</v>
      </c>
      <c r="AW26" s="64"/>
      <c r="AX26" s="64"/>
      <c r="AY26" s="71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62"/>
      <c r="BA26" s="72"/>
      <c r="BB26" s="56" t="str">
        <f ca="1">IF(COUNTIF(INDIRECT("'盛付札（関数）'!FJ"&amp;BA25+1),"*雙葉*"),"●",
"〇")</f>
        <v>〇</v>
      </c>
      <c r="BC26" s="70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>0</v>
      </c>
      <c r="BD26" s="64"/>
      <c r="BE26" s="64"/>
      <c r="BF26" s="71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62"/>
      <c r="BH26" s="45"/>
      <c r="BI26" s="54"/>
      <c r="BJ26" s="56" t="str">
        <f ca="1">IF(COUNTIF(INDIRECT("'盛付札（関数）'!FJ"&amp;BI25+1),"*雙葉*"),"●",
"〇")</f>
        <v>〇</v>
      </c>
      <c r="BK26" s="70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>0</v>
      </c>
      <c r="BL26" s="64"/>
      <c r="BM26" s="64"/>
      <c r="BN26" s="71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62"/>
      <c r="BP26" s="72"/>
      <c r="BQ26" s="56" t="str">
        <f ca="1">IF(COUNTIF(INDIRECT("'盛付札（関数）'!FJ"&amp;BP25+1),"*雙葉*"),"●",
"〇")</f>
        <v>〇</v>
      </c>
      <c r="BR26" s="70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>0</v>
      </c>
      <c r="BS26" s="64"/>
      <c r="BT26" s="64"/>
      <c r="BU26" s="71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62"/>
      <c r="BW26" s="45"/>
      <c r="BX26" s="54"/>
      <c r="BY26" s="56" t="str">
        <f ca="1">IF(COUNTIF(INDIRECT("'盛付札（関数）'!FJ"&amp;BX25+1),"*雙葉*"),"●",
"〇")</f>
        <v>〇</v>
      </c>
      <c r="BZ26" s="70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>0</v>
      </c>
      <c r="CA26" s="64"/>
      <c r="CB26" s="64"/>
      <c r="CC26" s="71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62"/>
      <c r="CE26" s="72"/>
      <c r="CF26" s="56" t="str">
        <f ca="1">IF(COUNTIF(INDIRECT("'盛付札（関数）'!FJ"&amp;CE25+1),"*雙葉*"),"●",
"〇")</f>
        <v>〇</v>
      </c>
      <c r="CG26" s="70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>0</v>
      </c>
      <c r="CH26" s="64"/>
      <c r="CI26" s="64"/>
      <c r="CJ26" s="71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62"/>
      <c r="CL26" s="45"/>
      <c r="CM26" s="54"/>
      <c r="CN26" s="56" t="str">
        <f ca="1">IF(COUNTIF(INDIRECT("'盛付札（関数）'!FJ"&amp;CM25+1),"*雙葉*"),"●",
"〇")</f>
        <v>〇</v>
      </c>
      <c r="CO26" s="70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>0</v>
      </c>
      <c r="CP26" s="64"/>
      <c r="CQ26" s="64"/>
      <c r="CR26" s="71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62"/>
      <c r="CT26" s="72"/>
      <c r="CU26" s="56" t="str">
        <f ca="1">IF(COUNTIF(INDIRECT("'盛付札（関数）'!FJ"&amp;CT25+1),"*雙葉*"),"●",
"〇")</f>
        <v>〇</v>
      </c>
      <c r="CV26" s="70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>0</v>
      </c>
      <c r="CW26" s="64"/>
      <c r="CX26" s="64"/>
      <c r="CY26" s="71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62"/>
      <c r="DA26" s="45"/>
      <c r="DB26" s="54"/>
      <c r="DC26" s="56"/>
      <c r="DD26" s="70"/>
      <c r="DE26" s="64"/>
      <c r="DF26" s="64"/>
      <c r="DG26" s="71"/>
      <c r="DH26" s="62"/>
      <c r="DI26" s="72"/>
      <c r="DJ26" s="56"/>
      <c r="DK26" s="70"/>
      <c r="DL26" s="64"/>
      <c r="DM26" s="64"/>
      <c r="DN26" s="71"/>
      <c r="DO26" s="62"/>
      <c r="DP26" s="45"/>
      <c r="DQ26" s="54"/>
      <c r="DR26" s="56"/>
      <c r="DS26" s="70"/>
      <c r="DT26" s="64"/>
      <c r="DU26" s="64"/>
      <c r="DV26" s="71"/>
      <c r="DW26" s="62"/>
      <c r="DX26" s="72"/>
      <c r="DY26" s="56"/>
      <c r="DZ26" s="70"/>
      <c r="EA26" s="64"/>
      <c r="EB26" s="64"/>
      <c r="EC26" s="71"/>
      <c r="ED26" s="62"/>
      <c r="EE26" s="45"/>
      <c r="EF26" s="54"/>
      <c r="EG26" s="56"/>
      <c r="EH26" s="70"/>
      <c r="EI26" s="64"/>
      <c r="EJ26" s="64"/>
      <c r="EK26" s="71"/>
      <c r="EL26" s="62"/>
      <c r="EM26" s="72"/>
      <c r="EN26" s="56"/>
      <c r="EO26" s="70"/>
      <c r="EP26" s="64"/>
      <c r="EQ26" s="64"/>
      <c r="ER26" s="71"/>
      <c r="ES26" s="62"/>
      <c r="ET26" s="45"/>
    </row>
    <row r="27" spans="1:150" s="55" customFormat="1">
      <c r="A27" s="54"/>
      <c r="B27" s="57"/>
      <c r="C27" s="243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44"/>
      <c r="E27" s="45"/>
      <c r="F27" s="55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63"/>
      <c r="H27" s="59"/>
      <c r="I27" s="57"/>
      <c r="J27" s="243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44"/>
      <c r="L27" s="45"/>
      <c r="M27" s="55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63"/>
      <c r="O27" s="45"/>
      <c r="P27" s="54"/>
      <c r="Q27" s="57"/>
      <c r="R27" s="243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44"/>
      <c r="T27" s="45"/>
      <c r="U27" s="55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63"/>
      <c r="W27" s="59"/>
      <c r="X27" s="57"/>
      <c r="Y27" s="243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44"/>
      <c r="AA27" s="45"/>
      <c r="AB27" s="55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63"/>
      <c r="AD27" s="45"/>
      <c r="AE27" s="54"/>
      <c r="AF27" s="57"/>
      <c r="AG27" s="243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44"/>
      <c r="AI27" s="45"/>
      <c r="AJ27" s="55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63"/>
      <c r="AL27" s="59"/>
      <c r="AM27" s="57"/>
      <c r="AN27" s="243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44"/>
      <c r="AP27" s="45"/>
      <c r="AQ27" s="55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63"/>
      <c r="AS27" s="45"/>
      <c r="AT27" s="54"/>
      <c r="AU27" s="57"/>
      <c r="AV27" s="243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44"/>
      <c r="AX27" s="45"/>
      <c r="AY27" s="55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63"/>
      <c r="BA27" s="59"/>
      <c r="BB27" s="57"/>
      <c r="BC27" s="243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44"/>
      <c r="BE27" s="45"/>
      <c r="BF27" s="55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63"/>
      <c r="BH27" s="45"/>
      <c r="BI27" s="54"/>
      <c r="BJ27" s="57"/>
      <c r="BK27" s="243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44"/>
      <c r="BM27" s="45"/>
      <c r="BN27" s="55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63"/>
      <c r="BP27" s="59"/>
      <c r="BQ27" s="57"/>
      <c r="BR27" s="243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44"/>
      <c r="BT27" s="45"/>
      <c r="BU27" s="55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63"/>
      <c r="BW27" s="45"/>
      <c r="BX27" s="54"/>
      <c r="BY27" s="57"/>
      <c r="BZ27" s="243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44"/>
      <c r="CB27" s="45"/>
      <c r="CC27" s="55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63"/>
      <c r="CE27" s="59"/>
      <c r="CF27" s="57"/>
      <c r="CG27" s="243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44"/>
      <c r="CI27" s="45"/>
      <c r="CJ27" s="55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63"/>
      <c r="CL27" s="45"/>
      <c r="CM27" s="54"/>
      <c r="CN27" s="57"/>
      <c r="CO27" s="243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44"/>
      <c r="CQ27" s="45"/>
      <c r="CR27" s="55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63"/>
      <c r="CT27" s="59"/>
      <c r="CU27" s="57"/>
      <c r="CV27" s="243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44"/>
      <c r="CX27" s="45"/>
      <c r="CY27" s="55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63"/>
      <c r="DA27" s="45"/>
      <c r="DB27" s="54"/>
      <c r="DC27" s="57"/>
      <c r="DD27" s="243"/>
      <c r="DE27" s="244"/>
      <c r="DF27" s="45"/>
      <c r="DH27" s="63"/>
      <c r="DI27" s="59"/>
      <c r="DJ27" s="57"/>
      <c r="DK27" s="243"/>
      <c r="DL27" s="244"/>
      <c r="DM27" s="45"/>
      <c r="DO27" s="63"/>
      <c r="DP27" s="45"/>
      <c r="DQ27" s="54"/>
      <c r="DR27" s="57"/>
      <c r="DS27" s="243"/>
      <c r="DT27" s="244"/>
      <c r="DU27" s="45"/>
      <c r="DW27" s="63"/>
      <c r="DX27" s="59"/>
      <c r="DY27" s="57"/>
      <c r="DZ27" s="243"/>
      <c r="EA27" s="244"/>
      <c r="EB27" s="45"/>
      <c r="ED27" s="63"/>
      <c r="EE27" s="45"/>
      <c r="EF27" s="54"/>
      <c r="EG27" s="57"/>
      <c r="EH27" s="243"/>
      <c r="EI27" s="244"/>
      <c r="EJ27" s="45"/>
      <c r="EL27" s="63"/>
      <c r="EM27" s="59"/>
      <c r="EN27" s="57"/>
      <c r="EO27" s="243"/>
      <c r="EP27" s="244"/>
      <c r="EQ27" s="45"/>
      <c r="ES27" s="63"/>
      <c r="ET27" s="45"/>
    </row>
    <row r="28" spans="1:150" ht="15.6" customHeight="1">
      <c r="B28" s="48"/>
      <c r="C28" s="241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>0</v>
      </c>
      <c r="D28" s="242"/>
      <c r="E28" s="73"/>
      <c r="F28" s="237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38"/>
      <c r="H28" s="49"/>
      <c r="I28" s="48"/>
      <c r="J28" s="241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>0</v>
      </c>
      <c r="K28" s="242"/>
      <c r="L28" s="73"/>
      <c r="M28" s="237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38"/>
      <c r="Q28" s="48"/>
      <c r="R28" s="241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>0</v>
      </c>
      <c r="S28" s="242"/>
      <c r="T28" s="73"/>
      <c r="U28" s="237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38"/>
      <c r="W28" s="49"/>
      <c r="X28" s="48"/>
      <c r="Y28" s="241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>0</v>
      </c>
      <c r="Z28" s="242"/>
      <c r="AA28" s="73"/>
      <c r="AB28" s="237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38"/>
      <c r="AF28" s="48"/>
      <c r="AG28" s="241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>0</v>
      </c>
      <c r="AH28" s="242"/>
      <c r="AI28" s="73"/>
      <c r="AJ28" s="237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38"/>
      <c r="AL28" s="49"/>
      <c r="AM28" s="48"/>
      <c r="AN28" s="241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>0</v>
      </c>
      <c r="AO28" s="242"/>
      <c r="AP28" s="73"/>
      <c r="AQ28" s="237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38"/>
      <c r="AU28" s="48"/>
      <c r="AV28" s="241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>0</v>
      </c>
      <c r="AW28" s="242"/>
      <c r="AX28" s="73"/>
      <c r="AY28" s="237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38"/>
      <c r="BA28" s="49"/>
      <c r="BB28" s="48"/>
      <c r="BC28" s="241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>0</v>
      </c>
      <c r="BD28" s="242"/>
      <c r="BE28" s="73"/>
      <c r="BF28" s="237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38"/>
      <c r="BJ28" s="48"/>
      <c r="BK28" s="241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>0</v>
      </c>
      <c r="BL28" s="242"/>
      <c r="BM28" s="73"/>
      <c r="BN28" s="237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38"/>
      <c r="BP28" s="49"/>
      <c r="BQ28" s="48"/>
      <c r="BR28" s="241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>0</v>
      </c>
      <c r="BS28" s="242"/>
      <c r="BT28" s="73"/>
      <c r="BU28" s="237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38"/>
      <c r="BY28" s="48"/>
      <c r="BZ28" s="241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>0</v>
      </c>
      <c r="CA28" s="242"/>
      <c r="CB28" s="73"/>
      <c r="CC28" s="237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38"/>
      <c r="CE28" s="49"/>
      <c r="CF28" s="48"/>
      <c r="CG28" s="241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>0</v>
      </c>
      <c r="CH28" s="242"/>
      <c r="CI28" s="73"/>
      <c r="CJ28" s="237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38"/>
      <c r="CN28" s="48"/>
      <c r="CO28" s="241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>0</v>
      </c>
      <c r="CP28" s="242"/>
      <c r="CQ28" s="73"/>
      <c r="CR28" s="237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38"/>
      <c r="CT28" s="49"/>
      <c r="CU28" s="48"/>
      <c r="CV28" s="241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>0</v>
      </c>
      <c r="CW28" s="242"/>
      <c r="CX28" s="73"/>
      <c r="CY28" s="237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38"/>
      <c r="DC28" s="48"/>
      <c r="DD28" s="241"/>
      <c r="DE28" s="242"/>
      <c r="DF28" s="73"/>
      <c r="DG28" s="237"/>
      <c r="DH28" s="238"/>
      <c r="DI28" s="49"/>
      <c r="DJ28" s="48"/>
      <c r="DK28" s="241"/>
      <c r="DL28" s="242"/>
      <c r="DM28" s="73"/>
      <c r="DN28" s="237"/>
      <c r="DO28" s="238"/>
      <c r="DR28" s="48"/>
      <c r="DS28" s="241"/>
      <c r="DT28" s="242"/>
      <c r="DU28" s="73"/>
      <c r="DV28" s="237"/>
      <c r="DW28" s="238"/>
      <c r="DX28" s="49"/>
      <c r="DY28" s="48"/>
      <c r="DZ28" s="241"/>
      <c r="EA28" s="242"/>
      <c r="EB28" s="73"/>
      <c r="EC28" s="237"/>
      <c r="ED28" s="238"/>
      <c r="EG28" s="48"/>
      <c r="EH28" s="241"/>
      <c r="EI28" s="242"/>
      <c r="EJ28" s="73"/>
      <c r="EK28" s="237"/>
      <c r="EL28" s="238"/>
      <c r="EM28" s="49"/>
      <c r="EN28" s="48"/>
      <c r="EO28" s="241"/>
      <c r="EP28" s="242"/>
      <c r="EQ28" s="73"/>
      <c r="ER28" s="237"/>
      <c r="ES28" s="238"/>
    </row>
    <row r="29" spans="1:150" ht="15.6" customHeight="1">
      <c r="B29" s="50"/>
      <c r="C29" s="239"/>
      <c r="D29" s="239"/>
      <c r="E29" s="67"/>
      <c r="F29" s="239"/>
      <c r="G29" s="240"/>
      <c r="H29" s="49"/>
      <c r="I29" s="50"/>
      <c r="J29" s="239"/>
      <c r="K29" s="239"/>
      <c r="L29" s="67"/>
      <c r="M29" s="239"/>
      <c r="N29" s="240"/>
      <c r="Q29" s="50"/>
      <c r="R29" s="239"/>
      <c r="S29" s="239"/>
      <c r="T29" s="67"/>
      <c r="U29" s="239"/>
      <c r="V29" s="240"/>
      <c r="W29" s="49"/>
      <c r="X29" s="50"/>
      <c r="Y29" s="239"/>
      <c r="Z29" s="239"/>
      <c r="AA29" s="67"/>
      <c r="AB29" s="239"/>
      <c r="AC29" s="240"/>
      <c r="AF29" s="50"/>
      <c r="AG29" s="239"/>
      <c r="AH29" s="239"/>
      <c r="AI29" s="67"/>
      <c r="AJ29" s="239"/>
      <c r="AK29" s="240"/>
      <c r="AL29" s="49"/>
      <c r="AM29" s="50"/>
      <c r="AN29" s="239"/>
      <c r="AO29" s="239"/>
      <c r="AP29" s="67"/>
      <c r="AQ29" s="239"/>
      <c r="AR29" s="240"/>
      <c r="AU29" s="50"/>
      <c r="AV29" s="239"/>
      <c r="AW29" s="239"/>
      <c r="AX29" s="67"/>
      <c r="AY29" s="239"/>
      <c r="AZ29" s="240"/>
      <c r="BA29" s="49"/>
      <c r="BB29" s="50"/>
      <c r="BC29" s="239"/>
      <c r="BD29" s="239"/>
      <c r="BE29" s="67"/>
      <c r="BF29" s="239"/>
      <c r="BG29" s="240"/>
      <c r="BJ29" s="50"/>
      <c r="BK29" s="239"/>
      <c r="BL29" s="239"/>
      <c r="BM29" s="67"/>
      <c r="BN29" s="239"/>
      <c r="BO29" s="240"/>
      <c r="BP29" s="49"/>
      <c r="BQ29" s="50"/>
      <c r="BR29" s="239"/>
      <c r="BS29" s="239"/>
      <c r="BT29" s="67"/>
      <c r="BU29" s="239"/>
      <c r="BV29" s="240"/>
      <c r="BY29" s="50"/>
      <c r="BZ29" s="239"/>
      <c r="CA29" s="239"/>
      <c r="CB29" s="67"/>
      <c r="CC29" s="239"/>
      <c r="CD29" s="240"/>
      <c r="CE29" s="49"/>
      <c r="CF29" s="50"/>
      <c r="CG29" s="239"/>
      <c r="CH29" s="239"/>
      <c r="CI29" s="67"/>
      <c r="CJ29" s="239"/>
      <c r="CK29" s="240"/>
      <c r="CN29" s="50"/>
      <c r="CO29" s="239"/>
      <c r="CP29" s="239"/>
      <c r="CQ29" s="67"/>
      <c r="CR29" s="239"/>
      <c r="CS29" s="240"/>
      <c r="CT29" s="49"/>
      <c r="CU29" s="50"/>
      <c r="CV29" s="239"/>
      <c r="CW29" s="239"/>
      <c r="CX29" s="67"/>
      <c r="CY29" s="239"/>
      <c r="CZ29" s="240"/>
      <c r="DC29" s="50"/>
      <c r="DD29" s="239"/>
      <c r="DE29" s="239"/>
      <c r="DF29" s="67"/>
      <c r="DG29" s="239"/>
      <c r="DH29" s="240"/>
      <c r="DI29" s="49"/>
      <c r="DJ29" s="50"/>
      <c r="DK29" s="239"/>
      <c r="DL29" s="239"/>
      <c r="DM29" s="67"/>
      <c r="DN29" s="239"/>
      <c r="DO29" s="240"/>
      <c r="DR29" s="50"/>
      <c r="DS29" s="239"/>
      <c r="DT29" s="239"/>
      <c r="DU29" s="67"/>
      <c r="DV29" s="239"/>
      <c r="DW29" s="240"/>
      <c r="DX29" s="49"/>
      <c r="DY29" s="50"/>
      <c r="DZ29" s="239"/>
      <c r="EA29" s="239"/>
      <c r="EB29" s="67"/>
      <c r="EC29" s="239"/>
      <c r="ED29" s="240"/>
      <c r="EG29" s="50"/>
      <c r="EH29" s="239"/>
      <c r="EI29" s="239"/>
      <c r="EJ29" s="67"/>
      <c r="EK29" s="239"/>
      <c r="EL29" s="240"/>
      <c r="EM29" s="49"/>
      <c r="EN29" s="50"/>
      <c r="EO29" s="239"/>
      <c r="EP29" s="239"/>
      <c r="EQ29" s="67"/>
      <c r="ER29" s="239"/>
      <c r="ES29" s="240"/>
    </row>
    <row r="30" spans="1:150" s="55" customFormat="1">
      <c r="A30" s="54"/>
      <c r="B30" s="60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58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0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58"/>
      <c r="F30" s="60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63"/>
      <c r="H30" s="45"/>
      <c r="I30" s="60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58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0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58"/>
      <c r="M30" s="60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63"/>
      <c r="O30" s="45"/>
      <c r="P30" s="54"/>
      <c r="Q30" s="60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58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0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58"/>
      <c r="U30" s="60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63"/>
      <c r="W30" s="45"/>
      <c r="X30" s="60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58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0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58"/>
      <c r="AB30" s="60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63"/>
      <c r="AD30" s="45"/>
      <c r="AE30" s="54"/>
      <c r="AF30" s="60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58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0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58"/>
      <c r="AJ30" s="60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63"/>
      <c r="AL30" s="45"/>
      <c r="AM30" s="60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58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0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58"/>
      <c r="AQ30" s="60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63"/>
      <c r="AS30" s="45"/>
      <c r="AT30" s="54"/>
      <c r="AU30" s="60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58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0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58"/>
      <c r="AY30" s="60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63"/>
      <c r="BA30" s="45"/>
      <c r="BB30" s="60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58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0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58"/>
      <c r="BF30" s="60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63"/>
      <c r="BH30" s="45"/>
      <c r="BI30" s="54"/>
      <c r="BJ30" s="60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58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0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58"/>
      <c r="BN30" s="60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63"/>
      <c r="BP30" s="45"/>
      <c r="BQ30" s="60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58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0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58"/>
      <c r="BU30" s="60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63"/>
      <c r="BW30" s="45"/>
      <c r="BX30" s="54"/>
      <c r="BY30" s="60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58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0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58"/>
      <c r="CC30" s="60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63"/>
      <c r="CE30" s="45"/>
      <c r="CF30" s="60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58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0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58"/>
      <c r="CJ30" s="60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63"/>
      <c r="CL30" s="45"/>
      <c r="CM30" s="54"/>
      <c r="CN30" s="60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58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0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58"/>
      <c r="CR30" s="60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63"/>
      <c r="CT30" s="45"/>
      <c r="CU30" s="60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58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0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58"/>
      <c r="CY30" s="60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63"/>
      <c r="DA30" s="45"/>
      <c r="DB30" s="54"/>
      <c r="DC30" s="60"/>
      <c r="DD30" s="58"/>
      <c r="DE30" s="60"/>
      <c r="DF30" s="58"/>
      <c r="DG30" s="60"/>
      <c r="DH30" s="63"/>
      <c r="DI30" s="45"/>
      <c r="DJ30" s="60"/>
      <c r="DK30" s="58"/>
      <c r="DL30" s="60"/>
      <c r="DM30" s="58"/>
      <c r="DN30" s="60"/>
      <c r="DO30" s="63"/>
      <c r="DP30" s="45"/>
      <c r="DQ30" s="54"/>
      <c r="DR30" s="60"/>
      <c r="DS30" s="58"/>
      <c r="DT30" s="60"/>
      <c r="DU30" s="58"/>
      <c r="DV30" s="60"/>
      <c r="DW30" s="63"/>
      <c r="DX30" s="45"/>
      <c r="DY30" s="60"/>
      <c r="DZ30" s="58"/>
      <c r="EA30" s="60"/>
      <c r="EB30" s="58"/>
      <c r="EC30" s="60"/>
      <c r="ED30" s="63"/>
      <c r="EE30" s="45"/>
      <c r="EF30" s="54"/>
      <c r="EG30" s="60"/>
      <c r="EH30" s="58"/>
      <c r="EI30" s="60"/>
      <c r="EJ30" s="58"/>
      <c r="EK30" s="60"/>
      <c r="EL30" s="63"/>
      <c r="EM30" s="45"/>
      <c r="EN30" s="60"/>
      <c r="EO30" s="58"/>
      <c r="EP30" s="60"/>
      <c r="EQ30" s="58"/>
      <c r="ER30" s="60"/>
      <c r="ES30" s="63"/>
      <c r="ET30" s="45"/>
    </row>
    <row r="31" spans="1:150" ht="27.6" customHeight="1">
      <c r="B31" s="247" t="str">
        <f ca="1">IF(C28&lt;&gt;"",
IFERROR(INT(C28/C30),""),"")</f>
        <v/>
      </c>
      <c r="C31" s="240"/>
      <c r="D31" s="247" t="str">
        <f ca="1">IFERROR(MOD(C28,C30),"")</f>
        <v/>
      </c>
      <c r="E31" s="240"/>
      <c r="F31" s="248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40"/>
      <c r="I31" s="247" t="str">
        <f ca="1">IF(J28&lt;&gt;"",
IFERROR(INT(J28/J30),""),"")</f>
        <v/>
      </c>
      <c r="J31" s="240"/>
      <c r="K31" s="247" t="str">
        <f ca="1">IFERROR(MOD(J28,J30),"")</f>
        <v/>
      </c>
      <c r="L31" s="240"/>
      <c r="M31" s="248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40"/>
      <c r="Q31" s="247" t="str">
        <f ca="1">IF(R28&lt;&gt;"",
IFERROR(INT(R28/R30),""),"")</f>
        <v/>
      </c>
      <c r="R31" s="240"/>
      <c r="S31" s="247" t="str">
        <f ca="1">IFERROR(MOD(R28,R30),"")</f>
        <v/>
      </c>
      <c r="T31" s="240"/>
      <c r="U31" s="248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40"/>
      <c r="X31" s="247" t="str">
        <f ca="1">IF(Y28&lt;&gt;"",
IFERROR(INT(Y28/Y30),""),"")</f>
        <v/>
      </c>
      <c r="Y31" s="240"/>
      <c r="Z31" s="247" t="str">
        <f ca="1">IFERROR(MOD(Y28,Y30),"")</f>
        <v/>
      </c>
      <c r="AA31" s="240"/>
      <c r="AB31" s="248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40"/>
      <c r="AF31" s="247" t="str">
        <f ca="1">IF(AG28&lt;&gt;"",
IFERROR(INT(AG28/AG30),""),"")</f>
        <v/>
      </c>
      <c r="AG31" s="240"/>
      <c r="AH31" s="247" t="str">
        <f ca="1">IFERROR(MOD(AG28,AG30),"")</f>
        <v/>
      </c>
      <c r="AI31" s="240"/>
      <c r="AJ31" s="248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40"/>
      <c r="AM31" s="247" t="str">
        <f ca="1">IF(AN28&lt;&gt;"",
IFERROR(INT(AN28/AN30),""),"")</f>
        <v/>
      </c>
      <c r="AN31" s="240"/>
      <c r="AO31" s="247" t="str">
        <f ca="1">IFERROR(MOD(AN28,AN30),"")</f>
        <v/>
      </c>
      <c r="AP31" s="240"/>
      <c r="AQ31" s="248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40"/>
      <c r="AU31" s="247" t="str">
        <f ca="1">IF(AV28&lt;&gt;"",
IFERROR(INT(AV28/AV30),""),"")</f>
        <v/>
      </c>
      <c r="AV31" s="240"/>
      <c r="AW31" s="247" t="str">
        <f ca="1">IFERROR(MOD(AV28,AV30),"")</f>
        <v/>
      </c>
      <c r="AX31" s="240"/>
      <c r="AY31" s="248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40"/>
      <c r="BB31" s="247" t="str">
        <f ca="1">IF(BC28&lt;&gt;"",
IFERROR(INT(BC28/BC30),""),"")</f>
        <v/>
      </c>
      <c r="BC31" s="240"/>
      <c r="BD31" s="247" t="str">
        <f ca="1">IFERROR(MOD(BC28,BC30),"")</f>
        <v/>
      </c>
      <c r="BE31" s="240"/>
      <c r="BF31" s="248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40"/>
      <c r="BJ31" s="247" t="str">
        <f ca="1">IF(BK28&lt;&gt;"",
IFERROR(INT(BK28/BK30),""),"")</f>
        <v/>
      </c>
      <c r="BK31" s="240"/>
      <c r="BL31" s="247" t="str">
        <f ca="1">IFERROR(MOD(BK28,BK30),"")</f>
        <v/>
      </c>
      <c r="BM31" s="240"/>
      <c r="BN31" s="248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40"/>
      <c r="BQ31" s="247" t="str">
        <f ca="1">IF(BR28&lt;&gt;"",
IFERROR(INT(BR28/BR30),""),"")</f>
        <v/>
      </c>
      <c r="BR31" s="240"/>
      <c r="BS31" s="247" t="str">
        <f ca="1">IFERROR(MOD(BR28,BR30),"")</f>
        <v/>
      </c>
      <c r="BT31" s="240"/>
      <c r="BU31" s="248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40"/>
      <c r="BY31" s="247" t="str">
        <f ca="1">IF(BZ28&lt;&gt;"",
IFERROR(INT(BZ28/BZ30),""),"")</f>
        <v/>
      </c>
      <c r="BZ31" s="240"/>
      <c r="CA31" s="247" t="str">
        <f ca="1">IFERROR(MOD(BZ28,BZ30),"")</f>
        <v/>
      </c>
      <c r="CB31" s="240"/>
      <c r="CC31" s="248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40"/>
      <c r="CF31" s="247" t="str">
        <f ca="1">IF(CG28&lt;&gt;"",
IFERROR(INT(CG28/CG30),""),"")</f>
        <v/>
      </c>
      <c r="CG31" s="240"/>
      <c r="CH31" s="247" t="str">
        <f ca="1">IFERROR(MOD(CG28,CG30),"")</f>
        <v/>
      </c>
      <c r="CI31" s="240"/>
      <c r="CJ31" s="248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40"/>
      <c r="CN31" s="247" t="str">
        <f ca="1">IF(CO28&lt;&gt;"",
IFERROR(INT(CO28/CO30),""),"")</f>
        <v/>
      </c>
      <c r="CO31" s="240"/>
      <c r="CP31" s="247" t="str">
        <f ca="1">IFERROR(MOD(CO28,CO30),"")</f>
        <v/>
      </c>
      <c r="CQ31" s="240"/>
      <c r="CR31" s="248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40"/>
      <c r="CU31" s="247" t="str">
        <f ca="1">IF(CV28&lt;&gt;"",
IFERROR(INT(CV28/CV30),""),"")</f>
        <v/>
      </c>
      <c r="CV31" s="240"/>
      <c r="CW31" s="247" t="str">
        <f ca="1">IFERROR(MOD(CV28,CV30),"")</f>
        <v/>
      </c>
      <c r="CX31" s="240"/>
      <c r="CY31" s="248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40"/>
      <c r="DC31" s="247"/>
      <c r="DD31" s="240"/>
      <c r="DE31" s="247"/>
      <c r="DF31" s="240"/>
      <c r="DG31" s="248"/>
      <c r="DH31" s="240"/>
      <c r="DJ31" s="247"/>
      <c r="DK31" s="240"/>
      <c r="DL31" s="247"/>
      <c r="DM31" s="240"/>
      <c r="DN31" s="248"/>
      <c r="DO31" s="240"/>
      <c r="DR31" s="247"/>
      <c r="DS31" s="240"/>
      <c r="DT31" s="247"/>
      <c r="DU31" s="240"/>
      <c r="DV31" s="248"/>
      <c r="DW31" s="240"/>
      <c r="DY31" s="247"/>
      <c r="DZ31" s="240"/>
      <c r="EA31" s="247"/>
      <c r="EB31" s="240"/>
      <c r="EC31" s="248"/>
      <c r="ED31" s="240"/>
      <c r="EG31" s="247"/>
      <c r="EH31" s="240"/>
      <c r="EI31" s="247"/>
      <c r="EJ31" s="240"/>
      <c r="EK31" s="248"/>
      <c r="EL31" s="240"/>
      <c r="EN31" s="247"/>
      <c r="EO31" s="240"/>
      <c r="EP31" s="247"/>
      <c r="EQ31" s="240"/>
      <c r="ER31" s="248"/>
      <c r="ES31" s="240"/>
    </row>
    <row r="32" spans="1:150" ht="6.6" customHeight="1">
      <c r="B32" s="68"/>
      <c r="D32" s="68"/>
      <c r="F32" s="69"/>
      <c r="I32" s="68"/>
      <c r="K32" s="68"/>
      <c r="M32" s="69"/>
      <c r="Q32" s="68"/>
      <c r="S32" s="68"/>
      <c r="U32" s="69"/>
      <c r="X32" s="68"/>
      <c r="Z32" s="68"/>
      <c r="AB32" s="69"/>
      <c r="AF32" s="68"/>
      <c r="AH32" s="68"/>
      <c r="AJ32" s="69"/>
      <c r="AM32" s="68"/>
      <c r="AO32" s="68"/>
      <c r="AQ32" s="69"/>
      <c r="AU32" s="68"/>
      <c r="AW32" s="68"/>
      <c r="AY32" s="69"/>
      <c r="BB32" s="68"/>
      <c r="BD32" s="68"/>
      <c r="BF32" s="69"/>
      <c r="BJ32" s="68"/>
      <c r="BL32" s="68"/>
      <c r="BN32" s="69"/>
      <c r="BQ32" s="68"/>
      <c r="BS32" s="68"/>
      <c r="BU32" s="69"/>
      <c r="BY32" s="68"/>
      <c r="CA32" s="68"/>
      <c r="CC32" s="69"/>
      <c r="CF32" s="68"/>
      <c r="CH32" s="68"/>
      <c r="CJ32" s="69"/>
      <c r="CN32" s="68"/>
      <c r="CP32" s="68"/>
      <c r="CR32" s="69"/>
      <c r="CU32" s="68"/>
      <c r="CW32" s="68"/>
      <c r="CY32" s="69"/>
      <c r="DC32" s="68"/>
      <c r="DE32" s="68"/>
      <c r="DG32" s="69"/>
      <c r="DJ32" s="68"/>
      <c r="DL32" s="68"/>
      <c r="DN32" s="69"/>
      <c r="DR32" s="68"/>
      <c r="DT32" s="68"/>
      <c r="DV32" s="69"/>
      <c r="DY32" s="68"/>
      <c r="EA32" s="68"/>
      <c r="EC32" s="69"/>
      <c r="EG32" s="68"/>
      <c r="EI32" s="68"/>
      <c r="EK32" s="69"/>
      <c r="EN32" s="68"/>
      <c r="EP32" s="68"/>
      <c r="ER32" s="69"/>
    </row>
    <row r="33" spans="1:150" s="55" customFormat="1" ht="25.8" customHeight="1">
      <c r="A33" s="54">
        <f ca="1">IF(OR(I26="●",I26="△"),
H25+2,H25+1)</f>
        <v>9</v>
      </c>
      <c r="B33" s="66" t="str">
        <f ca="1">IF(C33&lt;&gt;"",
MID(貼り付け用!$A$2, FIND("年",貼り付け用!$A$2)+1,2)&amp;"/"&amp;MID(貼り付け用!$A$2, FIND("月",貼り付け用!$A$2)+1,2),"")</f>
        <v/>
      </c>
      <c r="C33" s="245" t="str">
        <f t="array" aca="1" ref="C33" ca="1">SUBSTITUTE(SUBSTITUTE(SUBSTITUTE(SUBSTITUTE(SUBSTITUTE(SUBSTITUTE(SUBSTITUTE(SUBSTITUTE(SUBSTITUTE(SUBSTITUTE(SUBSTITUTE(
IF(B34="△",
INDIRECT("'盛付札（関数）'!FJ"&amp;A33+1),INDIRECT("'盛付札（関数）'!FJ"&amp;A33)),"０",""),"①",""),"②",""),"③",""),"④",""),"⑤",""),"⑥",""),"⑦",""),"⑧",""),"⑨",""),"⑩","")</f>
        <v/>
      </c>
      <c r="D33" s="246"/>
      <c r="E33" s="246"/>
      <c r="F33" s="246"/>
      <c r="G33" s="65" t="str">
        <f t="array" aca="1" ref="G33" ca="1">IF(C33&lt;&gt;"",
IF(AND(INDIRECT("'盛付札（関数）'!FI"&amp;A33)&gt;=124,INDIRECT("'盛付札（関数）'!FI"&amp;A33)&lt;=144),"",
"様"),"")</f>
        <v/>
      </c>
      <c r="H33" s="59">
        <f ca="1">IF(OR(B34="●",B34="△"),
A33+2,A33+1)</f>
        <v>10</v>
      </c>
      <c r="I33" s="66" t="str">
        <f ca="1">IF(J33&lt;&gt;"",
MID(貼り付け用!$A$2, FIND("年",貼り付け用!$A$2)+1,2)&amp;"/"&amp;MID(貼り付け用!$A$2, FIND("月",貼り付け用!$A$2)+1,2),"")</f>
        <v/>
      </c>
      <c r="J33" s="245" t="str">
        <f t="array" aca="1" ref="J33" ca="1">SUBSTITUTE(SUBSTITUTE(SUBSTITUTE(SUBSTITUTE(SUBSTITUTE(SUBSTITUTE(SUBSTITUTE(SUBSTITUTE(SUBSTITUTE(SUBSTITUTE(SUBSTITUTE(
IF(I34="△",
INDIRECT("'盛付札（関数）'!FJ"&amp;H33+1),INDIRECT("'盛付札（関数）'!FJ"&amp;H33)),"０",""),"①",""),"②",""),"③",""),"④",""),"⑤",""),"⑥",""),"⑦",""),"⑧",""),"⑨",""),"⑩","")</f>
        <v/>
      </c>
      <c r="K33" s="246"/>
      <c r="L33" s="246"/>
      <c r="M33" s="246"/>
      <c r="N33" s="65" t="str">
        <f t="array" aca="1" ref="N33" ca="1">IF(J33&lt;&gt;"",
IF(AND(INDIRECT("'盛付札（関数）'!FI"&amp;H33)&gt;=124,INDIRECT("'盛付札（関数）'!FI"&amp;H33)&lt;=144),"",
"様"),"")</f>
        <v/>
      </c>
      <c r="O33" s="45"/>
      <c r="P33" s="54">
        <f ca="1">IF(OR(X26="●",X26="△"),
W25+2,W25+1)</f>
        <v>21</v>
      </c>
      <c r="Q33" s="66" t="str">
        <f ca="1">IF(R33&lt;&gt;"",
MID(貼り付け用!$A$2, FIND("年",貼り付け用!$A$2)+1,2)&amp;"/"&amp;MID(貼り付け用!$A$2, FIND("月",貼り付け用!$A$2)+1,2),"")</f>
        <v/>
      </c>
      <c r="R33" s="245" t="str">
        <f t="array" aca="1" ref="R33" ca="1">SUBSTITUTE(SUBSTITUTE(SUBSTITUTE(SUBSTITUTE(SUBSTITUTE(SUBSTITUTE(SUBSTITUTE(SUBSTITUTE(SUBSTITUTE(SUBSTITUTE(SUBSTITUTE(
IF(Q34="△",
INDIRECT("'盛付札（関数）'!FJ"&amp;P33+1),INDIRECT("'盛付札（関数）'!FJ"&amp;P33)),"０",""),"①",""),"②",""),"③",""),"④",""),"⑤",""),"⑥",""),"⑦",""),"⑧",""),"⑨",""),"⑩","")</f>
        <v/>
      </c>
      <c r="S33" s="246"/>
      <c r="T33" s="246"/>
      <c r="U33" s="246"/>
      <c r="V33" s="65" t="str">
        <f t="array" aca="1" ref="V33" ca="1">IF(R33&lt;&gt;"",
IF(AND(INDIRECT("'盛付札（関数）'!FI"&amp;P33)&gt;=124,INDIRECT("'盛付札（関数）'!FI"&amp;P33)&lt;=144),"",
"様"),"")</f>
        <v/>
      </c>
      <c r="W33" s="59">
        <f ca="1">IF(OR(Q34="●",Q34="△"),
P33+2,P33+1)</f>
        <v>22</v>
      </c>
      <c r="X33" s="66" t="str">
        <f ca="1">IF(Y33&lt;&gt;"",
MID(貼り付け用!$A$2, FIND("年",貼り付け用!$A$2)+1,2)&amp;"/"&amp;MID(貼り付け用!$A$2, FIND("月",貼り付け用!$A$2)+1,2),"")</f>
        <v/>
      </c>
      <c r="Y33" s="245" t="str">
        <f t="array" aca="1" ref="Y33" ca="1">SUBSTITUTE(SUBSTITUTE(SUBSTITUTE(SUBSTITUTE(SUBSTITUTE(SUBSTITUTE(SUBSTITUTE(SUBSTITUTE(SUBSTITUTE(SUBSTITUTE(SUBSTITUTE(
IF(X34="△",
INDIRECT("'盛付札（関数）'!FJ"&amp;W33+1),INDIRECT("'盛付札（関数）'!FJ"&amp;W33)),"０",""),"①",""),"②",""),"③",""),"④",""),"⑤",""),"⑥",""),"⑦",""),"⑧",""),"⑨",""),"⑩","")</f>
        <v/>
      </c>
      <c r="Z33" s="246"/>
      <c r="AA33" s="246"/>
      <c r="AB33" s="246"/>
      <c r="AC33" s="65" t="str">
        <f t="array" aca="1" ref="AC33" ca="1">IF(Y33&lt;&gt;"",
IF(AND(INDIRECT("'盛付札（関数）'!FI"&amp;W33)&gt;=124,INDIRECT("'盛付札（関数）'!FI"&amp;W33)&lt;=144),"",
"様"),"")</f>
        <v/>
      </c>
      <c r="AD33" s="45"/>
      <c r="AE33" s="54">
        <f ca="1">IF(OR(AM26="●",AM26="△"),
AL25+2,AL25+1)</f>
        <v>33</v>
      </c>
      <c r="AF33" s="66" t="str">
        <f ca="1">IF(AG33&lt;&gt;"",
MID(貼り付け用!$A$2, FIND("年",貼り付け用!$A$2)+1,2)&amp;"/"&amp;MID(貼り付け用!$A$2, FIND("月",貼り付け用!$A$2)+1,2),"")</f>
        <v/>
      </c>
      <c r="AG33" s="245" t="str">
        <f t="array" aca="1" ref="AG33" ca="1">SUBSTITUTE(SUBSTITUTE(SUBSTITUTE(SUBSTITUTE(SUBSTITUTE(SUBSTITUTE(SUBSTITUTE(SUBSTITUTE(SUBSTITUTE(SUBSTITUTE(SUBSTITUTE(
IF(AF34="△",
INDIRECT("'盛付札（関数）'!FJ"&amp;AE33+1),INDIRECT("'盛付札（関数）'!FJ"&amp;AE33)),"０",""),"①",""),"②",""),"③",""),"④",""),"⑤",""),"⑥",""),"⑦",""),"⑧",""),"⑨",""),"⑩","")</f>
        <v/>
      </c>
      <c r="AH33" s="246"/>
      <c r="AI33" s="246"/>
      <c r="AJ33" s="246"/>
      <c r="AK33" s="65" t="str">
        <f t="array" aca="1" ref="AK33" ca="1">IF(AG33&lt;&gt;"",
IF(AND(INDIRECT("'盛付札（関数）'!FI"&amp;AE33)&gt;=124,INDIRECT("'盛付札（関数）'!FI"&amp;AE33)&lt;=144),"",
"様"),"")</f>
        <v/>
      </c>
      <c r="AL33" s="59">
        <f ca="1">IF(OR(AF34="●",AF34="△"),
AE33+2,AE33+1)</f>
        <v>34</v>
      </c>
      <c r="AM33" s="66" t="str">
        <f ca="1">IF(AN33&lt;&gt;"",
MID(貼り付け用!$A$2, FIND("年",貼り付け用!$A$2)+1,2)&amp;"/"&amp;MID(貼り付け用!$A$2, FIND("月",貼り付け用!$A$2)+1,2),"")</f>
        <v/>
      </c>
      <c r="AN33" s="245" t="str">
        <f t="array" aca="1" ref="AN33" ca="1">SUBSTITUTE(SUBSTITUTE(SUBSTITUTE(SUBSTITUTE(SUBSTITUTE(SUBSTITUTE(SUBSTITUTE(SUBSTITUTE(SUBSTITUTE(SUBSTITUTE(SUBSTITUTE(
IF(AM34="△",
INDIRECT("'盛付札（関数）'!FJ"&amp;AL33+1),INDIRECT("'盛付札（関数）'!FJ"&amp;AL33)),"０",""),"①",""),"②",""),"③",""),"④",""),"⑤",""),"⑥",""),"⑦",""),"⑧",""),"⑨",""),"⑩","")</f>
        <v/>
      </c>
      <c r="AO33" s="246"/>
      <c r="AP33" s="246"/>
      <c r="AQ33" s="246"/>
      <c r="AR33" s="65" t="str">
        <f t="array" aca="1" ref="AR33" ca="1">IF(AN33&lt;&gt;"",
IF(AND(INDIRECT("'盛付札（関数）'!FI"&amp;AL33)&gt;=124,INDIRECT("'盛付札（関数）'!FI"&amp;AL33)&lt;=144),"",
"様"),"")</f>
        <v/>
      </c>
      <c r="AS33" s="45"/>
      <c r="AT33" s="54">
        <f ca="1">IF(OR(BB26="●",BB26="△"),
BA25+2,BA25+1)</f>
        <v>45</v>
      </c>
      <c r="AU33" s="66" t="str">
        <f ca="1">IF(AV33&lt;&gt;"",
MID(貼り付け用!$A$2, FIND("年",貼り付け用!$A$2)+1,2)&amp;"/"&amp;MID(貼り付け用!$A$2, FIND("月",貼り付け用!$A$2)+1,2),"")</f>
        <v/>
      </c>
      <c r="AV33" s="245" t="str">
        <f t="array" aca="1" ref="AV33" ca="1">SUBSTITUTE(SUBSTITUTE(SUBSTITUTE(SUBSTITUTE(SUBSTITUTE(SUBSTITUTE(SUBSTITUTE(SUBSTITUTE(SUBSTITUTE(SUBSTITUTE(SUBSTITUTE(
IF(AU34="△",
INDIRECT("'盛付札（関数）'!FJ"&amp;AT33+1),INDIRECT("'盛付札（関数）'!FJ"&amp;AT33)),"０",""),"①",""),"②",""),"③",""),"④",""),"⑤",""),"⑥",""),"⑦",""),"⑧",""),"⑨",""),"⑩","")</f>
        <v/>
      </c>
      <c r="AW33" s="246"/>
      <c r="AX33" s="246"/>
      <c r="AY33" s="246"/>
      <c r="AZ33" s="65" t="str">
        <f t="array" aca="1" ref="AZ33" ca="1">IF(AV33&lt;&gt;"",
IF(AND(INDIRECT("'盛付札（関数）'!FI"&amp;AT33)&gt;=124,INDIRECT("'盛付札（関数）'!FI"&amp;AT33)&lt;=144),"",
"様"),"")</f>
        <v/>
      </c>
      <c r="BA33" s="59">
        <f ca="1">IF(OR(AU34="●",AU34="△"),
AT33+2,AT33+1)</f>
        <v>46</v>
      </c>
      <c r="BB33" s="66" t="str">
        <f ca="1">IF(BC33&lt;&gt;"",
MID(貼り付け用!$A$2, FIND("年",貼り付け用!$A$2)+1,2)&amp;"/"&amp;MID(貼り付け用!$A$2, FIND("月",貼り付け用!$A$2)+1,2),"")</f>
        <v/>
      </c>
      <c r="BC33" s="245" t="str">
        <f t="array" aca="1" ref="BC33" ca="1">SUBSTITUTE(SUBSTITUTE(SUBSTITUTE(SUBSTITUTE(SUBSTITUTE(SUBSTITUTE(SUBSTITUTE(SUBSTITUTE(SUBSTITUTE(SUBSTITUTE(SUBSTITUTE(
IF(BB34="△",
INDIRECT("'盛付札（関数）'!FJ"&amp;BA33+1),INDIRECT("'盛付札（関数）'!FJ"&amp;BA33)),"０",""),"①",""),"②",""),"③",""),"④",""),"⑤",""),"⑥",""),"⑦",""),"⑧",""),"⑨",""),"⑩","")</f>
        <v/>
      </c>
      <c r="BD33" s="246"/>
      <c r="BE33" s="246"/>
      <c r="BF33" s="246"/>
      <c r="BG33" s="65" t="str">
        <f t="array" aca="1" ref="BG33" ca="1">IF(BC33&lt;&gt;"",
IF(AND(INDIRECT("'盛付札（関数）'!FI"&amp;BA33)&gt;=124,INDIRECT("'盛付札（関数）'!FI"&amp;BA33)&lt;=144),"",
"様"),"")</f>
        <v/>
      </c>
      <c r="BH33" s="45"/>
      <c r="BI33" s="54">
        <f ca="1">IF(OR(BQ26="●",BQ26="△"),
BP25+2,BP25+1)</f>
        <v>57</v>
      </c>
      <c r="BJ33" s="66" t="str">
        <f ca="1">IF(BK33&lt;&gt;"",
MID(貼り付け用!$A$2, FIND("年",貼り付け用!$A$2)+1,2)&amp;"/"&amp;MID(貼り付け用!$A$2, FIND("月",貼り付け用!$A$2)+1,2),"")</f>
        <v/>
      </c>
      <c r="BK33" s="245" t="str">
        <f t="array" aca="1" ref="BK33" ca="1">SUBSTITUTE(SUBSTITUTE(SUBSTITUTE(SUBSTITUTE(SUBSTITUTE(SUBSTITUTE(SUBSTITUTE(SUBSTITUTE(SUBSTITUTE(SUBSTITUTE(SUBSTITUTE(
IF(BJ34="△",
INDIRECT("'盛付札（関数）'!FJ"&amp;BI33+1),INDIRECT("'盛付札（関数）'!FJ"&amp;BI33)),"０",""),"①",""),"②",""),"③",""),"④",""),"⑤",""),"⑥",""),"⑦",""),"⑧",""),"⑨",""),"⑩","")</f>
        <v/>
      </c>
      <c r="BL33" s="246"/>
      <c r="BM33" s="246"/>
      <c r="BN33" s="246"/>
      <c r="BO33" s="65" t="str">
        <f t="array" aca="1" ref="BO33" ca="1">IF(BK33&lt;&gt;"",
IF(AND(INDIRECT("'盛付札（関数）'!FI"&amp;BI33)&gt;=124,INDIRECT("'盛付札（関数）'!FI"&amp;BI33)&lt;=144),"",
"様"),"")</f>
        <v/>
      </c>
      <c r="BP33" s="59">
        <f ca="1">IF(OR(BJ34="●",BJ34="△"),
BI33+2,BI33+1)</f>
        <v>58</v>
      </c>
      <c r="BQ33" s="66" t="str">
        <f ca="1">IF(BR33&lt;&gt;"",
MID(貼り付け用!$A$2, FIND("年",貼り付け用!$A$2)+1,2)&amp;"/"&amp;MID(貼り付け用!$A$2, FIND("月",貼り付け用!$A$2)+1,2),"")</f>
        <v/>
      </c>
      <c r="BR33" s="245" t="str">
        <f t="array" aca="1" ref="BR33" ca="1">SUBSTITUTE(SUBSTITUTE(SUBSTITUTE(SUBSTITUTE(SUBSTITUTE(SUBSTITUTE(SUBSTITUTE(SUBSTITUTE(SUBSTITUTE(SUBSTITUTE(SUBSTITUTE(
IF(BQ34="△",
INDIRECT("'盛付札（関数）'!FJ"&amp;BP33+1),INDIRECT("'盛付札（関数）'!FJ"&amp;BP33)),"０",""),"①",""),"②",""),"③",""),"④",""),"⑤",""),"⑥",""),"⑦",""),"⑧",""),"⑨",""),"⑩","")</f>
        <v/>
      </c>
      <c r="BS33" s="246"/>
      <c r="BT33" s="246"/>
      <c r="BU33" s="246"/>
      <c r="BV33" s="65" t="str">
        <f t="array" aca="1" ref="BV33" ca="1">IF(BR33&lt;&gt;"",
IF(AND(INDIRECT("'盛付札（関数）'!FI"&amp;BP33)&gt;=124,INDIRECT("'盛付札（関数）'!FI"&amp;BP33)&lt;=144),"",
"様"),"")</f>
        <v/>
      </c>
      <c r="BW33" s="45"/>
      <c r="BX33" s="54">
        <f ca="1">IF(OR(CF26="●",CF26="△"),
CE25+2,CE25+1)</f>
        <v>69</v>
      </c>
      <c r="BY33" s="66" t="str">
        <f ca="1">IF(BZ33&lt;&gt;"",
MID(貼り付け用!$A$2, FIND("年",貼り付け用!$A$2)+1,2)&amp;"/"&amp;MID(貼り付け用!$A$2, FIND("月",貼り付け用!$A$2)+1,2),"")</f>
        <v/>
      </c>
      <c r="BZ33" s="245" t="str">
        <f t="array" aca="1" ref="BZ33" ca="1">SUBSTITUTE(SUBSTITUTE(SUBSTITUTE(SUBSTITUTE(SUBSTITUTE(SUBSTITUTE(SUBSTITUTE(SUBSTITUTE(SUBSTITUTE(SUBSTITUTE(SUBSTITUTE(
IF(BY34="△",
INDIRECT("'盛付札（関数）'!FJ"&amp;BX33+1),INDIRECT("'盛付札（関数）'!FJ"&amp;BX33)),"０",""),"①",""),"②",""),"③",""),"④",""),"⑤",""),"⑥",""),"⑦",""),"⑧",""),"⑨",""),"⑩","")</f>
        <v/>
      </c>
      <c r="CA33" s="246"/>
      <c r="CB33" s="246"/>
      <c r="CC33" s="246"/>
      <c r="CD33" s="65" t="str">
        <f t="array" aca="1" ref="CD33" ca="1">IF(BZ33&lt;&gt;"",
IF(AND(INDIRECT("'盛付札（関数）'!FI"&amp;BX33)&gt;=124,INDIRECT("'盛付札（関数）'!FI"&amp;BX33)&lt;=144),"",
"様"),"")</f>
        <v/>
      </c>
      <c r="CE33" s="59">
        <f ca="1">IF(OR(BY34="●",BY34="△"),
BX33+2,BX33+1)</f>
        <v>70</v>
      </c>
      <c r="CF33" s="66" t="str">
        <f ca="1">IF(CG33&lt;&gt;"",
MID(貼り付け用!$A$2, FIND("年",貼り付け用!$A$2)+1,2)&amp;"/"&amp;MID(貼り付け用!$A$2, FIND("月",貼り付け用!$A$2)+1,2),"")</f>
        <v/>
      </c>
      <c r="CG33" s="245" t="str">
        <f t="array" aca="1" ref="CG33" ca="1">SUBSTITUTE(SUBSTITUTE(SUBSTITUTE(SUBSTITUTE(SUBSTITUTE(SUBSTITUTE(SUBSTITUTE(SUBSTITUTE(SUBSTITUTE(SUBSTITUTE(SUBSTITUTE(
IF(CF34="△",
INDIRECT("'盛付札（関数）'!FJ"&amp;CE33+1),INDIRECT("'盛付札（関数）'!FJ"&amp;CE33)),"０",""),"①",""),"②",""),"③",""),"④",""),"⑤",""),"⑥",""),"⑦",""),"⑧",""),"⑨",""),"⑩","")</f>
        <v/>
      </c>
      <c r="CH33" s="246"/>
      <c r="CI33" s="246"/>
      <c r="CJ33" s="246"/>
      <c r="CK33" s="65" t="str">
        <f t="array" aca="1" ref="CK33" ca="1">IF(CG33&lt;&gt;"",
IF(AND(INDIRECT("'盛付札（関数）'!FI"&amp;CE33)&gt;=124,INDIRECT("'盛付札（関数）'!FI"&amp;CE33)&lt;=144),"",
"様"),"")</f>
        <v/>
      </c>
      <c r="CL33" s="45"/>
      <c r="CM33" s="54">
        <f ca="1">IF(OR(CU26="●",CU26="△"),
CT25+2,CT25+1)</f>
        <v>81</v>
      </c>
      <c r="CN33" s="66" t="str">
        <f ca="1">IF(CO33&lt;&gt;"",
MID(貼り付け用!$A$2, FIND("年",貼り付け用!$A$2)+1,2)&amp;"/"&amp;MID(貼り付け用!$A$2, FIND("月",貼り付け用!$A$2)+1,2),"")</f>
        <v/>
      </c>
      <c r="CO33" s="245" t="str">
        <f t="array" aca="1" ref="CO33" ca="1">SUBSTITUTE(SUBSTITUTE(SUBSTITUTE(SUBSTITUTE(SUBSTITUTE(SUBSTITUTE(SUBSTITUTE(SUBSTITUTE(SUBSTITUTE(SUBSTITUTE(SUBSTITUTE(
IF(CN34="△",
INDIRECT("'盛付札（関数）'!FJ"&amp;CM33+1),INDIRECT("'盛付札（関数）'!FJ"&amp;CM33)),"０",""),"①",""),"②",""),"③",""),"④",""),"⑤",""),"⑥",""),"⑦",""),"⑧",""),"⑨",""),"⑩","")</f>
        <v/>
      </c>
      <c r="CP33" s="246"/>
      <c r="CQ33" s="246"/>
      <c r="CR33" s="246"/>
      <c r="CS33" s="65" t="str">
        <f t="array" aca="1" ref="CS33" ca="1">IF(CO33&lt;&gt;"",
IF(AND(INDIRECT("'盛付札（関数）'!FI"&amp;CM33)&gt;=124,INDIRECT("'盛付札（関数）'!FI"&amp;CM33)&lt;=144),"",
"様"),"")</f>
        <v/>
      </c>
      <c r="CT33" s="59">
        <f ca="1">IF(OR(CN34="●",CN34="△"),
CM33+2,CM33+1)</f>
        <v>82</v>
      </c>
      <c r="CU33" s="66" t="str">
        <f ca="1">IF(CV33&lt;&gt;"",
MID(貼り付け用!$A$2, FIND("年",貼り付け用!$A$2)+1,2)&amp;"/"&amp;MID(貼り付け用!$A$2, FIND("月",貼り付け用!$A$2)+1,2),"")</f>
        <v/>
      </c>
      <c r="CV33" s="245" t="str">
        <f t="array" aca="1" ref="CV33" ca="1">SUBSTITUTE(SUBSTITUTE(SUBSTITUTE(SUBSTITUTE(SUBSTITUTE(SUBSTITUTE(SUBSTITUTE(SUBSTITUTE(SUBSTITUTE(SUBSTITUTE(SUBSTITUTE(
IF(CU34="△",
INDIRECT("'盛付札（関数）'!FJ"&amp;CT33+1),INDIRECT("'盛付札（関数）'!FJ"&amp;CT33)),"０",""),"①",""),"②",""),"③",""),"④",""),"⑤",""),"⑥",""),"⑦",""),"⑧",""),"⑨",""),"⑩","")</f>
        <v/>
      </c>
      <c r="CW33" s="246"/>
      <c r="CX33" s="246"/>
      <c r="CY33" s="246"/>
      <c r="CZ33" s="65" t="str">
        <f t="array" aca="1" ref="CZ33" ca="1">IF(CV33&lt;&gt;"",
IF(AND(INDIRECT("'盛付札（関数）'!FI"&amp;CT33)&gt;=124,INDIRECT("'盛付札（関数）'!FI"&amp;CT33)&lt;=144),"",
"様"),"")</f>
        <v/>
      </c>
      <c r="DA33" s="45"/>
      <c r="DB33" s="54"/>
      <c r="DC33" s="66"/>
      <c r="DD33" s="245"/>
      <c r="DE33" s="246"/>
      <c r="DF33" s="246"/>
      <c r="DG33" s="246"/>
      <c r="DH33" s="65"/>
      <c r="DI33" s="59"/>
      <c r="DJ33" s="66"/>
      <c r="DK33" s="245"/>
      <c r="DL33" s="246"/>
      <c r="DM33" s="246"/>
      <c r="DN33" s="246"/>
      <c r="DO33" s="65"/>
      <c r="DP33" s="45"/>
      <c r="DQ33" s="54"/>
      <c r="DR33" s="66"/>
      <c r="DS33" s="245"/>
      <c r="DT33" s="246"/>
      <c r="DU33" s="246"/>
      <c r="DV33" s="246"/>
      <c r="DW33" s="65"/>
      <c r="DX33" s="59"/>
      <c r="DY33" s="66"/>
      <c r="DZ33" s="245"/>
      <c r="EA33" s="246"/>
      <c r="EB33" s="246"/>
      <c r="EC33" s="246"/>
      <c r="ED33" s="65"/>
      <c r="EE33" s="45"/>
      <c r="EF33" s="54"/>
      <c r="EG33" s="66"/>
      <c r="EH33" s="245"/>
      <c r="EI33" s="246"/>
      <c r="EJ33" s="246"/>
      <c r="EK33" s="246"/>
      <c r="EL33" s="65"/>
      <c r="EM33" s="59"/>
      <c r="EN33" s="66"/>
      <c r="EO33" s="245"/>
      <c r="EP33" s="246"/>
      <c r="EQ33" s="246"/>
      <c r="ER33" s="246"/>
      <c r="ES33" s="65"/>
      <c r="ET33" s="45"/>
    </row>
    <row r="34" spans="1:150" s="55" customFormat="1">
      <c r="A34" s="54"/>
      <c r="B34" s="56" t="str">
        <f ca="1">IF(COUNTIF(INDIRECT("'盛付札（関数）'!FJ"&amp;A33+1),"*雙葉*"),"●",
"〇")</f>
        <v>〇</v>
      </c>
      <c r="C34" s="70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>0</v>
      </c>
      <c r="D34" s="64"/>
      <c r="E34" s="64"/>
      <c r="F34" s="71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62"/>
      <c r="H34" s="72"/>
      <c r="I34" s="56" t="str">
        <f ca="1">IF(COUNTIF(INDIRECT("'盛付札（関数）'!FJ"&amp;H33+1),"*雙葉*"),"●",
"〇")</f>
        <v>〇</v>
      </c>
      <c r="J34" s="70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>0</v>
      </c>
      <c r="K34" s="64"/>
      <c r="L34" s="64"/>
      <c r="M34" s="71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62"/>
      <c r="O34" s="45"/>
      <c r="P34" s="54"/>
      <c r="Q34" s="56" t="str">
        <f ca="1">IF(COUNTIF(INDIRECT("'盛付札（関数）'!FJ"&amp;P33+1),"*雙葉*"),"●",
"〇")</f>
        <v>〇</v>
      </c>
      <c r="R34" s="70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>0</v>
      </c>
      <c r="S34" s="64"/>
      <c r="T34" s="64"/>
      <c r="U34" s="71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62"/>
      <c r="W34" s="72"/>
      <c r="X34" s="56" t="str">
        <f ca="1">IF(COUNTIF(INDIRECT("'盛付札（関数）'!FJ"&amp;W33+1),"*雙葉*"),"●",
"〇")</f>
        <v>〇</v>
      </c>
      <c r="Y34" s="70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>0</v>
      </c>
      <c r="Z34" s="64"/>
      <c r="AA34" s="64"/>
      <c r="AB34" s="71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62"/>
      <c r="AD34" s="45"/>
      <c r="AE34" s="54"/>
      <c r="AF34" s="56" t="str">
        <f ca="1">IF(COUNTIF(INDIRECT("'盛付札（関数）'!FJ"&amp;AE33+1),"*雙葉*"),"●",
"〇")</f>
        <v>〇</v>
      </c>
      <c r="AG34" s="70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>0</v>
      </c>
      <c r="AH34" s="64"/>
      <c r="AI34" s="64"/>
      <c r="AJ34" s="71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62"/>
      <c r="AL34" s="72"/>
      <c r="AM34" s="56" t="str">
        <f ca="1">IF(COUNTIF(INDIRECT("'盛付札（関数）'!FJ"&amp;AL33+1),"*雙葉*"),"●",
"〇")</f>
        <v>〇</v>
      </c>
      <c r="AN34" s="70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>0</v>
      </c>
      <c r="AO34" s="64"/>
      <c r="AP34" s="64"/>
      <c r="AQ34" s="71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62"/>
      <c r="AS34" s="45"/>
      <c r="AT34" s="54"/>
      <c r="AU34" s="56" t="str">
        <f ca="1">IF(COUNTIF(INDIRECT("'盛付札（関数）'!FJ"&amp;AT33+1),"*雙葉*"),"●",
"〇")</f>
        <v>〇</v>
      </c>
      <c r="AV34" s="70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>0</v>
      </c>
      <c r="AW34" s="64"/>
      <c r="AX34" s="64"/>
      <c r="AY34" s="71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62"/>
      <c r="BA34" s="72"/>
      <c r="BB34" s="56" t="str">
        <f ca="1">IF(COUNTIF(INDIRECT("'盛付札（関数）'!FJ"&amp;BA33+1),"*雙葉*"),"●",
"〇")</f>
        <v>〇</v>
      </c>
      <c r="BC34" s="70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>0</v>
      </c>
      <c r="BD34" s="64"/>
      <c r="BE34" s="64"/>
      <c r="BF34" s="71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62"/>
      <c r="BH34" s="45"/>
      <c r="BI34" s="54"/>
      <c r="BJ34" s="56" t="str">
        <f ca="1">IF(COUNTIF(INDIRECT("'盛付札（関数）'!FJ"&amp;BI33+1),"*雙葉*"),"●",
"〇")</f>
        <v>〇</v>
      </c>
      <c r="BK34" s="70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>0</v>
      </c>
      <c r="BL34" s="64"/>
      <c r="BM34" s="64"/>
      <c r="BN34" s="71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62"/>
      <c r="BP34" s="72"/>
      <c r="BQ34" s="56" t="str">
        <f ca="1">IF(COUNTIF(INDIRECT("'盛付札（関数）'!FJ"&amp;BP33+1),"*雙葉*"),"●",
"〇")</f>
        <v>〇</v>
      </c>
      <c r="BR34" s="70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>0</v>
      </c>
      <c r="BS34" s="64"/>
      <c r="BT34" s="64"/>
      <c r="BU34" s="71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62"/>
      <c r="BW34" s="45"/>
      <c r="BX34" s="54"/>
      <c r="BY34" s="56" t="str">
        <f ca="1">IF(COUNTIF(INDIRECT("'盛付札（関数）'!FJ"&amp;BX33+1),"*雙葉*"),"●",
"〇")</f>
        <v>〇</v>
      </c>
      <c r="BZ34" s="70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>0</v>
      </c>
      <c r="CA34" s="64"/>
      <c r="CB34" s="64"/>
      <c r="CC34" s="71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62"/>
      <c r="CE34" s="72"/>
      <c r="CF34" s="56" t="str">
        <f ca="1">IF(COUNTIF(INDIRECT("'盛付札（関数）'!FJ"&amp;CE33+1),"*雙葉*"),"●",
"〇")</f>
        <v>〇</v>
      </c>
      <c r="CG34" s="70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>0</v>
      </c>
      <c r="CH34" s="64"/>
      <c r="CI34" s="64"/>
      <c r="CJ34" s="71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62"/>
      <c r="CL34" s="45"/>
      <c r="CM34" s="54"/>
      <c r="CN34" s="56" t="str">
        <f ca="1">IF(COUNTIF(INDIRECT("'盛付札（関数）'!FJ"&amp;CM33+1),"*雙葉*"),"●",
"〇")</f>
        <v>〇</v>
      </c>
      <c r="CO34" s="70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>0</v>
      </c>
      <c r="CP34" s="64"/>
      <c r="CQ34" s="64"/>
      <c r="CR34" s="71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62"/>
      <c r="CT34" s="72"/>
      <c r="CU34" s="56" t="str">
        <f ca="1">IF(COUNTIF(INDIRECT("'盛付札（関数）'!FJ"&amp;CT33+1),"*雙葉*"),"●",
"〇")</f>
        <v>〇</v>
      </c>
      <c r="CV34" s="70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>0</v>
      </c>
      <c r="CW34" s="64"/>
      <c r="CX34" s="64"/>
      <c r="CY34" s="71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62"/>
      <c r="DA34" s="45"/>
      <c r="DB34" s="54"/>
      <c r="DC34" s="56"/>
      <c r="DD34" s="70"/>
      <c r="DE34" s="64"/>
      <c r="DF34" s="64"/>
      <c r="DG34" s="71"/>
      <c r="DH34" s="62"/>
      <c r="DI34" s="72"/>
      <c r="DJ34" s="56"/>
      <c r="DK34" s="70"/>
      <c r="DL34" s="64"/>
      <c r="DM34" s="64"/>
      <c r="DN34" s="71"/>
      <c r="DO34" s="62"/>
      <c r="DP34" s="45"/>
      <c r="DQ34" s="54"/>
      <c r="DR34" s="56"/>
      <c r="DS34" s="70"/>
      <c r="DT34" s="64"/>
      <c r="DU34" s="64"/>
      <c r="DV34" s="71"/>
      <c r="DW34" s="62"/>
      <c r="DX34" s="72"/>
      <c r="DY34" s="56"/>
      <c r="DZ34" s="70"/>
      <c r="EA34" s="64"/>
      <c r="EB34" s="64"/>
      <c r="EC34" s="71"/>
      <c r="ED34" s="62"/>
      <c r="EE34" s="45"/>
      <c r="EF34" s="54"/>
      <c r="EG34" s="56"/>
      <c r="EH34" s="70"/>
      <c r="EI34" s="64"/>
      <c r="EJ34" s="64"/>
      <c r="EK34" s="71"/>
      <c r="EL34" s="62"/>
      <c r="EM34" s="72"/>
      <c r="EN34" s="56"/>
      <c r="EO34" s="70"/>
      <c r="EP34" s="64"/>
      <c r="EQ34" s="64"/>
      <c r="ER34" s="71"/>
      <c r="ES34" s="62"/>
      <c r="ET34" s="45"/>
    </row>
    <row r="35" spans="1:150" s="55" customFormat="1">
      <c r="A35" s="54"/>
      <c r="B35" s="57"/>
      <c r="C35" s="243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44"/>
      <c r="E35" s="45"/>
      <c r="F35" s="55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63"/>
      <c r="H35" s="59"/>
      <c r="I35" s="57"/>
      <c r="J35" s="243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44"/>
      <c r="L35" s="45"/>
      <c r="M35" s="55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63"/>
      <c r="O35" s="45"/>
      <c r="P35" s="54"/>
      <c r="Q35" s="57"/>
      <c r="R35" s="243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44"/>
      <c r="T35" s="45"/>
      <c r="U35" s="55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63"/>
      <c r="W35" s="59"/>
      <c r="X35" s="57"/>
      <c r="Y35" s="243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44"/>
      <c r="AA35" s="45"/>
      <c r="AB35" s="55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63"/>
      <c r="AD35" s="45"/>
      <c r="AE35" s="54"/>
      <c r="AF35" s="57"/>
      <c r="AG35" s="243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44"/>
      <c r="AI35" s="45"/>
      <c r="AJ35" s="55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63"/>
      <c r="AL35" s="59"/>
      <c r="AM35" s="57"/>
      <c r="AN35" s="243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44"/>
      <c r="AP35" s="45"/>
      <c r="AQ35" s="55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63"/>
      <c r="AS35" s="45"/>
      <c r="AT35" s="54"/>
      <c r="AU35" s="57"/>
      <c r="AV35" s="243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44"/>
      <c r="AX35" s="45"/>
      <c r="AY35" s="55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63"/>
      <c r="BA35" s="59"/>
      <c r="BB35" s="57"/>
      <c r="BC35" s="243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44"/>
      <c r="BE35" s="45"/>
      <c r="BF35" s="55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63"/>
      <c r="BH35" s="45"/>
      <c r="BI35" s="54"/>
      <c r="BJ35" s="57"/>
      <c r="BK35" s="243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44"/>
      <c r="BM35" s="45"/>
      <c r="BN35" s="55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63"/>
      <c r="BP35" s="59"/>
      <c r="BQ35" s="57"/>
      <c r="BR35" s="243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44"/>
      <c r="BT35" s="45"/>
      <c r="BU35" s="55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63"/>
      <c r="BW35" s="45"/>
      <c r="BX35" s="54"/>
      <c r="BY35" s="57"/>
      <c r="BZ35" s="243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44"/>
      <c r="CB35" s="45"/>
      <c r="CC35" s="55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63"/>
      <c r="CE35" s="59"/>
      <c r="CF35" s="57"/>
      <c r="CG35" s="243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44"/>
      <c r="CI35" s="45"/>
      <c r="CJ35" s="55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63"/>
      <c r="CL35" s="45"/>
      <c r="CM35" s="54"/>
      <c r="CN35" s="57"/>
      <c r="CO35" s="243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44"/>
      <c r="CQ35" s="45"/>
      <c r="CR35" s="55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63"/>
      <c r="CT35" s="59"/>
      <c r="CU35" s="57"/>
      <c r="CV35" s="243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44"/>
      <c r="CX35" s="45"/>
      <c r="CY35" s="55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63"/>
      <c r="DA35" s="45"/>
      <c r="DB35" s="54"/>
      <c r="DC35" s="57"/>
      <c r="DD35" s="243"/>
      <c r="DE35" s="244"/>
      <c r="DF35" s="45"/>
      <c r="DH35" s="63"/>
      <c r="DI35" s="59"/>
      <c r="DJ35" s="57"/>
      <c r="DK35" s="243"/>
      <c r="DL35" s="244"/>
      <c r="DM35" s="45"/>
      <c r="DO35" s="63"/>
      <c r="DP35" s="45"/>
      <c r="DQ35" s="54"/>
      <c r="DR35" s="57"/>
      <c r="DS35" s="243"/>
      <c r="DT35" s="244"/>
      <c r="DU35" s="45"/>
      <c r="DW35" s="63"/>
      <c r="DX35" s="59"/>
      <c r="DY35" s="57"/>
      <c r="DZ35" s="243"/>
      <c r="EA35" s="244"/>
      <c r="EB35" s="45"/>
      <c r="ED35" s="63"/>
      <c r="EE35" s="45"/>
      <c r="EF35" s="54"/>
      <c r="EG35" s="57"/>
      <c r="EH35" s="243"/>
      <c r="EI35" s="244"/>
      <c r="EJ35" s="45"/>
      <c r="EL35" s="63"/>
      <c r="EM35" s="59"/>
      <c r="EN35" s="57"/>
      <c r="EO35" s="243"/>
      <c r="EP35" s="244"/>
      <c r="EQ35" s="45"/>
      <c r="ES35" s="63"/>
      <c r="ET35" s="45"/>
    </row>
    <row r="36" spans="1:150" ht="15.6" customHeight="1">
      <c r="B36" s="48"/>
      <c r="C36" s="241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>0</v>
      </c>
      <c r="D36" s="242"/>
      <c r="E36" s="73"/>
      <c r="F36" s="237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38"/>
      <c r="H36" s="49"/>
      <c r="I36" s="48"/>
      <c r="J36" s="241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>0</v>
      </c>
      <c r="K36" s="242"/>
      <c r="L36" s="73"/>
      <c r="M36" s="237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38"/>
      <c r="Q36" s="48"/>
      <c r="R36" s="241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>0</v>
      </c>
      <c r="S36" s="242"/>
      <c r="T36" s="73"/>
      <c r="U36" s="237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38"/>
      <c r="W36" s="49"/>
      <c r="X36" s="48"/>
      <c r="Y36" s="241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>0</v>
      </c>
      <c r="Z36" s="242"/>
      <c r="AA36" s="73"/>
      <c r="AB36" s="237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38"/>
      <c r="AF36" s="48"/>
      <c r="AG36" s="241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>0</v>
      </c>
      <c r="AH36" s="242"/>
      <c r="AI36" s="73"/>
      <c r="AJ36" s="237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38"/>
      <c r="AL36" s="49"/>
      <c r="AM36" s="48"/>
      <c r="AN36" s="241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>0</v>
      </c>
      <c r="AO36" s="242"/>
      <c r="AP36" s="73"/>
      <c r="AQ36" s="237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38"/>
      <c r="AU36" s="48"/>
      <c r="AV36" s="241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>0</v>
      </c>
      <c r="AW36" s="242"/>
      <c r="AX36" s="73"/>
      <c r="AY36" s="237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38"/>
      <c r="BA36" s="49"/>
      <c r="BB36" s="48"/>
      <c r="BC36" s="241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>0</v>
      </c>
      <c r="BD36" s="242"/>
      <c r="BE36" s="73"/>
      <c r="BF36" s="237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38"/>
      <c r="BJ36" s="48"/>
      <c r="BK36" s="241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>0</v>
      </c>
      <c r="BL36" s="242"/>
      <c r="BM36" s="73"/>
      <c r="BN36" s="237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38"/>
      <c r="BP36" s="49"/>
      <c r="BQ36" s="48"/>
      <c r="BR36" s="241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>0</v>
      </c>
      <c r="BS36" s="242"/>
      <c r="BT36" s="73"/>
      <c r="BU36" s="237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38"/>
      <c r="BY36" s="48"/>
      <c r="BZ36" s="241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>0</v>
      </c>
      <c r="CA36" s="242"/>
      <c r="CB36" s="73"/>
      <c r="CC36" s="237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38"/>
      <c r="CE36" s="49"/>
      <c r="CF36" s="48"/>
      <c r="CG36" s="241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>0</v>
      </c>
      <c r="CH36" s="242"/>
      <c r="CI36" s="73"/>
      <c r="CJ36" s="237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38"/>
      <c r="CN36" s="48"/>
      <c r="CO36" s="241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>0</v>
      </c>
      <c r="CP36" s="242"/>
      <c r="CQ36" s="73"/>
      <c r="CR36" s="237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38"/>
      <c r="CT36" s="49"/>
      <c r="CU36" s="48"/>
      <c r="CV36" s="241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>0</v>
      </c>
      <c r="CW36" s="242"/>
      <c r="CX36" s="73"/>
      <c r="CY36" s="237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38"/>
      <c r="DC36" s="48"/>
      <c r="DD36" s="241"/>
      <c r="DE36" s="242"/>
      <c r="DF36" s="73"/>
      <c r="DG36" s="237"/>
      <c r="DH36" s="238"/>
      <c r="DI36" s="49"/>
      <c r="DJ36" s="48"/>
      <c r="DK36" s="241"/>
      <c r="DL36" s="242"/>
      <c r="DM36" s="73"/>
      <c r="DN36" s="237"/>
      <c r="DO36" s="238"/>
      <c r="DR36" s="48"/>
      <c r="DS36" s="241"/>
      <c r="DT36" s="242"/>
      <c r="DU36" s="73"/>
      <c r="DV36" s="237"/>
      <c r="DW36" s="238"/>
      <c r="DX36" s="49"/>
      <c r="DY36" s="48"/>
      <c r="DZ36" s="241"/>
      <c r="EA36" s="242"/>
      <c r="EB36" s="73"/>
      <c r="EC36" s="237"/>
      <c r="ED36" s="238"/>
      <c r="EG36" s="48"/>
      <c r="EH36" s="241"/>
      <c r="EI36" s="242"/>
      <c r="EJ36" s="73"/>
      <c r="EK36" s="237"/>
      <c r="EL36" s="238"/>
      <c r="EM36" s="49"/>
      <c r="EN36" s="48"/>
      <c r="EO36" s="241"/>
      <c r="EP36" s="242"/>
      <c r="EQ36" s="73"/>
      <c r="ER36" s="237"/>
      <c r="ES36" s="238"/>
    </row>
    <row r="37" spans="1:150" ht="15.6" customHeight="1">
      <c r="B37" s="50"/>
      <c r="C37" s="239"/>
      <c r="D37" s="239"/>
      <c r="E37" s="67"/>
      <c r="F37" s="239"/>
      <c r="G37" s="240"/>
      <c r="H37" s="49"/>
      <c r="I37" s="50"/>
      <c r="J37" s="239"/>
      <c r="K37" s="239"/>
      <c r="L37" s="67"/>
      <c r="M37" s="239"/>
      <c r="N37" s="240"/>
      <c r="Q37" s="50"/>
      <c r="R37" s="239"/>
      <c r="S37" s="239"/>
      <c r="T37" s="67"/>
      <c r="U37" s="239"/>
      <c r="V37" s="240"/>
      <c r="W37" s="49"/>
      <c r="X37" s="50"/>
      <c r="Y37" s="239"/>
      <c r="Z37" s="239"/>
      <c r="AA37" s="67"/>
      <c r="AB37" s="239"/>
      <c r="AC37" s="240"/>
      <c r="AF37" s="50"/>
      <c r="AG37" s="239"/>
      <c r="AH37" s="239"/>
      <c r="AI37" s="67"/>
      <c r="AJ37" s="239"/>
      <c r="AK37" s="240"/>
      <c r="AL37" s="49"/>
      <c r="AM37" s="50"/>
      <c r="AN37" s="239"/>
      <c r="AO37" s="239"/>
      <c r="AP37" s="67"/>
      <c r="AQ37" s="239"/>
      <c r="AR37" s="240"/>
      <c r="AU37" s="50"/>
      <c r="AV37" s="239"/>
      <c r="AW37" s="239"/>
      <c r="AX37" s="67"/>
      <c r="AY37" s="239"/>
      <c r="AZ37" s="240"/>
      <c r="BA37" s="49"/>
      <c r="BB37" s="50"/>
      <c r="BC37" s="239"/>
      <c r="BD37" s="239"/>
      <c r="BE37" s="67"/>
      <c r="BF37" s="239"/>
      <c r="BG37" s="240"/>
      <c r="BJ37" s="50"/>
      <c r="BK37" s="239"/>
      <c r="BL37" s="239"/>
      <c r="BM37" s="67"/>
      <c r="BN37" s="239"/>
      <c r="BO37" s="240"/>
      <c r="BP37" s="49"/>
      <c r="BQ37" s="50"/>
      <c r="BR37" s="239"/>
      <c r="BS37" s="239"/>
      <c r="BT37" s="67"/>
      <c r="BU37" s="239"/>
      <c r="BV37" s="240"/>
      <c r="BY37" s="50"/>
      <c r="BZ37" s="239"/>
      <c r="CA37" s="239"/>
      <c r="CB37" s="67"/>
      <c r="CC37" s="239"/>
      <c r="CD37" s="240"/>
      <c r="CE37" s="49"/>
      <c r="CF37" s="50"/>
      <c r="CG37" s="239"/>
      <c r="CH37" s="239"/>
      <c r="CI37" s="67"/>
      <c r="CJ37" s="239"/>
      <c r="CK37" s="240"/>
      <c r="CN37" s="50"/>
      <c r="CO37" s="239"/>
      <c r="CP37" s="239"/>
      <c r="CQ37" s="67"/>
      <c r="CR37" s="239"/>
      <c r="CS37" s="240"/>
      <c r="CT37" s="49"/>
      <c r="CU37" s="50"/>
      <c r="CV37" s="239"/>
      <c r="CW37" s="239"/>
      <c r="CX37" s="67"/>
      <c r="CY37" s="239"/>
      <c r="CZ37" s="240"/>
      <c r="DC37" s="50"/>
      <c r="DD37" s="239"/>
      <c r="DE37" s="239"/>
      <c r="DF37" s="67"/>
      <c r="DG37" s="239"/>
      <c r="DH37" s="240"/>
      <c r="DI37" s="49"/>
      <c r="DJ37" s="50"/>
      <c r="DK37" s="239"/>
      <c r="DL37" s="239"/>
      <c r="DM37" s="67"/>
      <c r="DN37" s="239"/>
      <c r="DO37" s="240"/>
      <c r="DR37" s="50"/>
      <c r="DS37" s="239"/>
      <c r="DT37" s="239"/>
      <c r="DU37" s="67"/>
      <c r="DV37" s="239"/>
      <c r="DW37" s="240"/>
      <c r="DX37" s="49"/>
      <c r="DY37" s="50"/>
      <c r="DZ37" s="239"/>
      <c r="EA37" s="239"/>
      <c r="EB37" s="67"/>
      <c r="EC37" s="239"/>
      <c r="ED37" s="240"/>
      <c r="EG37" s="50"/>
      <c r="EH37" s="239"/>
      <c r="EI37" s="239"/>
      <c r="EJ37" s="67"/>
      <c r="EK37" s="239"/>
      <c r="EL37" s="240"/>
      <c r="EM37" s="49"/>
      <c r="EN37" s="50"/>
      <c r="EO37" s="239"/>
      <c r="EP37" s="239"/>
      <c r="EQ37" s="67"/>
      <c r="ER37" s="239"/>
      <c r="ES37" s="240"/>
    </row>
    <row r="38" spans="1:150" s="55" customFormat="1">
      <c r="A38" s="54"/>
      <c r="B38" s="60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58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0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58"/>
      <c r="F38" s="60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63"/>
      <c r="H38" s="45"/>
      <c r="I38" s="60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58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0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58"/>
      <c r="M38" s="60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63"/>
      <c r="O38" s="45"/>
      <c r="P38" s="54"/>
      <c r="Q38" s="60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58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0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58"/>
      <c r="U38" s="60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63"/>
      <c r="W38" s="45"/>
      <c r="X38" s="60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58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0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58"/>
      <c r="AB38" s="60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63"/>
      <c r="AD38" s="45"/>
      <c r="AE38" s="54"/>
      <c r="AF38" s="60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58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0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58"/>
      <c r="AJ38" s="60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63"/>
      <c r="AL38" s="45"/>
      <c r="AM38" s="60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58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0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58"/>
      <c r="AQ38" s="60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63"/>
      <c r="AS38" s="45"/>
      <c r="AT38" s="54"/>
      <c r="AU38" s="60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58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0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58"/>
      <c r="AY38" s="60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63"/>
      <c r="BA38" s="45"/>
      <c r="BB38" s="60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58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0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58"/>
      <c r="BF38" s="60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63"/>
      <c r="BH38" s="45"/>
      <c r="BI38" s="54"/>
      <c r="BJ38" s="60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58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0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58"/>
      <c r="BN38" s="60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63"/>
      <c r="BP38" s="45"/>
      <c r="BQ38" s="60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58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0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58"/>
      <c r="BU38" s="60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63"/>
      <c r="BW38" s="45"/>
      <c r="BX38" s="54"/>
      <c r="BY38" s="60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58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0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58"/>
      <c r="CC38" s="60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63"/>
      <c r="CE38" s="45"/>
      <c r="CF38" s="60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58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0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58"/>
      <c r="CJ38" s="60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63"/>
      <c r="CL38" s="45"/>
      <c r="CM38" s="54"/>
      <c r="CN38" s="60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58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0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58"/>
      <c r="CR38" s="60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63"/>
      <c r="CT38" s="45"/>
      <c r="CU38" s="60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58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0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58"/>
      <c r="CY38" s="60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63"/>
      <c r="DA38" s="45"/>
      <c r="DB38" s="54"/>
      <c r="DC38" s="60"/>
      <c r="DD38" s="58"/>
      <c r="DE38" s="60"/>
      <c r="DF38" s="58"/>
      <c r="DG38" s="60"/>
      <c r="DH38" s="63"/>
      <c r="DI38" s="45"/>
      <c r="DJ38" s="60"/>
      <c r="DK38" s="58"/>
      <c r="DL38" s="60"/>
      <c r="DM38" s="58"/>
      <c r="DN38" s="60"/>
      <c r="DO38" s="63"/>
      <c r="DP38" s="45"/>
      <c r="DQ38" s="54"/>
      <c r="DR38" s="60"/>
      <c r="DS38" s="58"/>
      <c r="DT38" s="60"/>
      <c r="DU38" s="58"/>
      <c r="DV38" s="60"/>
      <c r="DW38" s="63"/>
      <c r="DX38" s="45"/>
      <c r="DY38" s="60"/>
      <c r="DZ38" s="58"/>
      <c r="EA38" s="60"/>
      <c r="EB38" s="58"/>
      <c r="EC38" s="60"/>
      <c r="ED38" s="63"/>
      <c r="EE38" s="45"/>
      <c r="EF38" s="54"/>
      <c r="EG38" s="60"/>
      <c r="EH38" s="58"/>
      <c r="EI38" s="60"/>
      <c r="EJ38" s="58"/>
      <c r="EK38" s="60"/>
      <c r="EL38" s="63"/>
      <c r="EM38" s="45"/>
      <c r="EN38" s="60"/>
      <c r="EO38" s="58"/>
      <c r="EP38" s="60"/>
      <c r="EQ38" s="58"/>
      <c r="ER38" s="60"/>
      <c r="ES38" s="63"/>
      <c r="ET38" s="45"/>
    </row>
    <row r="39" spans="1:150" ht="27.6" customHeight="1">
      <c r="B39" s="247" t="str">
        <f ca="1">IF(C36&lt;&gt;"",
IFERROR(INT(C36/C38),""),"")</f>
        <v/>
      </c>
      <c r="C39" s="240"/>
      <c r="D39" s="247" t="str">
        <f ca="1">IFERROR(MOD(C36,C38),"")</f>
        <v/>
      </c>
      <c r="E39" s="240"/>
      <c r="F39" s="248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40"/>
      <c r="I39" s="247" t="str">
        <f ca="1">IF(J36&lt;&gt;"",
IFERROR(INT(J36/J38),""),"")</f>
        <v/>
      </c>
      <c r="J39" s="240"/>
      <c r="K39" s="247" t="str">
        <f ca="1">IFERROR(MOD(J36,J38),"")</f>
        <v/>
      </c>
      <c r="L39" s="240"/>
      <c r="M39" s="248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40"/>
      <c r="Q39" s="247" t="str">
        <f ca="1">IF(R36&lt;&gt;"",
IFERROR(INT(R36/R38),""),"")</f>
        <v/>
      </c>
      <c r="R39" s="240"/>
      <c r="S39" s="247" t="str">
        <f ca="1">IFERROR(MOD(R36,R38),"")</f>
        <v/>
      </c>
      <c r="T39" s="240"/>
      <c r="U39" s="248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40"/>
      <c r="X39" s="247" t="str">
        <f ca="1">IF(Y36&lt;&gt;"",
IFERROR(INT(Y36/Y38),""),"")</f>
        <v/>
      </c>
      <c r="Y39" s="240"/>
      <c r="Z39" s="247" t="str">
        <f ca="1">IFERROR(MOD(Y36,Y38),"")</f>
        <v/>
      </c>
      <c r="AA39" s="240"/>
      <c r="AB39" s="248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40"/>
      <c r="AF39" s="247" t="str">
        <f ca="1">IF(AG36&lt;&gt;"",
IFERROR(INT(AG36/AG38),""),"")</f>
        <v/>
      </c>
      <c r="AG39" s="240"/>
      <c r="AH39" s="247" t="str">
        <f ca="1">IFERROR(MOD(AG36,AG38),"")</f>
        <v/>
      </c>
      <c r="AI39" s="240"/>
      <c r="AJ39" s="248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40"/>
      <c r="AM39" s="247" t="str">
        <f ca="1">IF(AN36&lt;&gt;"",
IFERROR(INT(AN36/AN38),""),"")</f>
        <v/>
      </c>
      <c r="AN39" s="240"/>
      <c r="AO39" s="247" t="str">
        <f ca="1">IFERROR(MOD(AN36,AN38),"")</f>
        <v/>
      </c>
      <c r="AP39" s="240"/>
      <c r="AQ39" s="248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40"/>
      <c r="AU39" s="247" t="str">
        <f ca="1">IF(AV36&lt;&gt;"",
IFERROR(INT(AV36/AV38),""),"")</f>
        <v/>
      </c>
      <c r="AV39" s="240"/>
      <c r="AW39" s="247" t="str">
        <f ca="1">IFERROR(MOD(AV36,AV38),"")</f>
        <v/>
      </c>
      <c r="AX39" s="240"/>
      <c r="AY39" s="248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40"/>
      <c r="BB39" s="247" t="str">
        <f ca="1">IF(BC36&lt;&gt;"",
IFERROR(INT(BC36/BC38),""),"")</f>
        <v/>
      </c>
      <c r="BC39" s="240"/>
      <c r="BD39" s="247" t="str">
        <f ca="1">IFERROR(MOD(BC36,BC38),"")</f>
        <v/>
      </c>
      <c r="BE39" s="240"/>
      <c r="BF39" s="248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40"/>
      <c r="BJ39" s="247" t="str">
        <f ca="1">IF(BK36&lt;&gt;"",
IFERROR(INT(BK36/BK38),""),"")</f>
        <v/>
      </c>
      <c r="BK39" s="240"/>
      <c r="BL39" s="247" t="str">
        <f ca="1">IFERROR(MOD(BK36,BK38),"")</f>
        <v/>
      </c>
      <c r="BM39" s="240"/>
      <c r="BN39" s="248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40"/>
      <c r="BQ39" s="247" t="str">
        <f ca="1">IF(BR36&lt;&gt;"",
IFERROR(INT(BR36/BR38),""),"")</f>
        <v/>
      </c>
      <c r="BR39" s="240"/>
      <c r="BS39" s="247" t="str">
        <f ca="1">IFERROR(MOD(BR36,BR38),"")</f>
        <v/>
      </c>
      <c r="BT39" s="240"/>
      <c r="BU39" s="248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40"/>
      <c r="BY39" s="247" t="str">
        <f ca="1">IF(BZ36&lt;&gt;"",
IFERROR(INT(BZ36/BZ38),""),"")</f>
        <v/>
      </c>
      <c r="BZ39" s="240"/>
      <c r="CA39" s="247" t="str">
        <f ca="1">IFERROR(MOD(BZ36,BZ38),"")</f>
        <v/>
      </c>
      <c r="CB39" s="240"/>
      <c r="CC39" s="248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40"/>
      <c r="CF39" s="247" t="str">
        <f ca="1">IF(CG36&lt;&gt;"",
IFERROR(INT(CG36/CG38),""),"")</f>
        <v/>
      </c>
      <c r="CG39" s="240"/>
      <c r="CH39" s="247" t="str">
        <f ca="1">IFERROR(MOD(CG36,CG38),"")</f>
        <v/>
      </c>
      <c r="CI39" s="240"/>
      <c r="CJ39" s="248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40"/>
      <c r="CN39" s="247" t="str">
        <f ca="1">IF(CO36&lt;&gt;"",
IFERROR(INT(CO36/CO38),""),"")</f>
        <v/>
      </c>
      <c r="CO39" s="240"/>
      <c r="CP39" s="247" t="str">
        <f ca="1">IFERROR(MOD(CO36,CO38),"")</f>
        <v/>
      </c>
      <c r="CQ39" s="240"/>
      <c r="CR39" s="248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40"/>
      <c r="CU39" s="247" t="str">
        <f ca="1">IF(CV36&lt;&gt;"",
IFERROR(INT(CV36/CV38),""),"")</f>
        <v/>
      </c>
      <c r="CV39" s="240"/>
      <c r="CW39" s="247" t="str">
        <f ca="1">IFERROR(MOD(CV36,CV38),"")</f>
        <v/>
      </c>
      <c r="CX39" s="240"/>
      <c r="CY39" s="248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40"/>
      <c r="DC39" s="247"/>
      <c r="DD39" s="240"/>
      <c r="DE39" s="247"/>
      <c r="DF39" s="240"/>
      <c r="DG39" s="248"/>
      <c r="DH39" s="240"/>
      <c r="DJ39" s="247"/>
      <c r="DK39" s="240"/>
      <c r="DL39" s="247"/>
      <c r="DM39" s="240"/>
      <c r="DN39" s="248"/>
      <c r="DO39" s="240"/>
      <c r="DR39" s="247"/>
      <c r="DS39" s="240"/>
      <c r="DT39" s="247"/>
      <c r="DU39" s="240"/>
      <c r="DV39" s="248"/>
      <c r="DW39" s="240"/>
      <c r="DY39" s="247"/>
      <c r="DZ39" s="240"/>
      <c r="EA39" s="247"/>
      <c r="EB39" s="240"/>
      <c r="EC39" s="248"/>
      <c r="ED39" s="240"/>
      <c r="EG39" s="247"/>
      <c r="EH39" s="240"/>
      <c r="EI39" s="247"/>
      <c r="EJ39" s="240"/>
      <c r="EK39" s="248"/>
      <c r="EL39" s="240"/>
      <c r="EN39" s="247"/>
      <c r="EO39" s="240"/>
      <c r="EP39" s="247"/>
      <c r="EQ39" s="240"/>
      <c r="ER39" s="248"/>
      <c r="ES39" s="240"/>
    </row>
    <row r="40" spans="1:150" ht="6.6" customHeight="1">
      <c r="B40" s="68"/>
      <c r="D40" s="68"/>
      <c r="F40" s="69"/>
      <c r="I40" s="68"/>
      <c r="K40" s="68"/>
      <c r="M40" s="69"/>
      <c r="Q40" s="68"/>
      <c r="S40" s="68"/>
      <c r="U40" s="69"/>
      <c r="X40" s="68"/>
      <c r="Z40" s="68"/>
      <c r="AB40" s="69"/>
      <c r="AF40" s="68"/>
      <c r="AH40" s="68"/>
      <c r="AJ40" s="69"/>
      <c r="AM40" s="68"/>
      <c r="AO40" s="68"/>
      <c r="AQ40" s="69"/>
      <c r="AU40" s="68"/>
      <c r="AW40" s="68"/>
      <c r="AY40" s="69"/>
      <c r="BB40" s="68"/>
      <c r="BD40" s="68"/>
      <c r="BF40" s="69"/>
      <c r="BJ40" s="68"/>
      <c r="BL40" s="68"/>
      <c r="BN40" s="69"/>
      <c r="BQ40" s="68"/>
      <c r="BS40" s="68"/>
      <c r="BU40" s="69"/>
      <c r="BY40" s="68"/>
      <c r="CA40" s="68"/>
      <c r="CC40" s="69"/>
      <c r="CF40" s="68"/>
      <c r="CH40" s="68"/>
      <c r="CJ40" s="69"/>
      <c r="CN40" s="68"/>
      <c r="CP40" s="68"/>
      <c r="CR40" s="69"/>
      <c r="CU40" s="68"/>
      <c r="CW40" s="68"/>
      <c r="CY40" s="69"/>
      <c r="DC40" s="68"/>
      <c r="DE40" s="68"/>
      <c r="DG40" s="69"/>
      <c r="DJ40" s="68"/>
      <c r="DL40" s="68"/>
      <c r="DN40" s="69"/>
      <c r="DR40" s="68"/>
      <c r="DT40" s="68"/>
      <c r="DV40" s="69"/>
      <c r="DY40" s="68"/>
      <c r="EA40" s="68"/>
      <c r="EC40" s="69"/>
      <c r="EG40" s="68"/>
      <c r="EI40" s="68"/>
      <c r="EK40" s="69"/>
      <c r="EN40" s="68"/>
      <c r="EP40" s="68"/>
      <c r="ER40" s="69"/>
    </row>
    <row r="41" spans="1:150" s="55" customFormat="1" ht="25.8" customHeight="1">
      <c r="A41" s="54">
        <f ca="1">IF(OR(I34="●",I34="△"),
H33+2,H33+1)</f>
        <v>11</v>
      </c>
      <c r="B41" s="66" t="str">
        <f ca="1">IF(C41&lt;&gt;"",
MID(貼り付け用!$A$2, FIND("年",貼り付け用!$A$2)+1,2)&amp;"/"&amp;MID(貼り付け用!$A$2, FIND("月",貼り付け用!$A$2)+1,2),"")</f>
        <v/>
      </c>
      <c r="C41" s="245" t="str">
        <f t="array" aca="1" ref="C41" ca="1">SUBSTITUTE(SUBSTITUTE(SUBSTITUTE(SUBSTITUTE(SUBSTITUTE(SUBSTITUTE(SUBSTITUTE(SUBSTITUTE(SUBSTITUTE(SUBSTITUTE(SUBSTITUTE(
IF(B42="△",
INDIRECT("'盛付札（関数）'!FJ"&amp;A41+1),INDIRECT("'盛付札（関数）'!FJ"&amp;A41)),"０",""),"①",""),"②",""),"③",""),"④",""),"⑤",""),"⑥",""),"⑦",""),"⑧",""),"⑨",""),"⑩","")</f>
        <v/>
      </c>
      <c r="D41" s="246"/>
      <c r="E41" s="246"/>
      <c r="F41" s="246"/>
      <c r="G41" s="65" t="str">
        <f t="array" aca="1" ref="G41" ca="1">IF(C41&lt;&gt;"",
IF(AND(INDIRECT("'盛付札（関数）'!FI"&amp;A41)&gt;=124,INDIRECT("'盛付札（関数）'!FI"&amp;A41)&lt;=144),"",
"様"),"")</f>
        <v/>
      </c>
      <c r="H41" s="59">
        <f ca="1">IF(OR(B42="●",B42="△"),
A41+2,A41+1)</f>
        <v>12</v>
      </c>
      <c r="I41" s="66" t="str">
        <f ca="1">IF(J41&lt;&gt;"",
MID(貼り付け用!$A$2, FIND("年",貼り付け用!$A$2)+1,2)&amp;"/"&amp;MID(貼り付け用!$A$2, FIND("月",貼り付け用!$A$2)+1,2),"")</f>
        <v/>
      </c>
      <c r="J41" s="245" t="str">
        <f t="array" aca="1" ref="J41" ca="1">SUBSTITUTE(SUBSTITUTE(SUBSTITUTE(SUBSTITUTE(SUBSTITUTE(SUBSTITUTE(SUBSTITUTE(SUBSTITUTE(SUBSTITUTE(SUBSTITUTE(SUBSTITUTE(
IF(I42="△",
INDIRECT("'盛付札（関数）'!FJ"&amp;H41+1),INDIRECT("'盛付札（関数）'!FJ"&amp;H41)),"０",""),"①",""),"②",""),"③",""),"④",""),"⑤",""),"⑥",""),"⑦",""),"⑧",""),"⑨",""),"⑩","")</f>
        <v/>
      </c>
      <c r="K41" s="246"/>
      <c r="L41" s="246"/>
      <c r="M41" s="246"/>
      <c r="N41" s="65" t="str">
        <f t="array" aca="1" ref="N41" ca="1">IF(J41&lt;&gt;"",
IF(AND(INDIRECT("'盛付札（関数）'!FI"&amp;H41)&gt;=124,INDIRECT("'盛付札（関数）'!FI"&amp;H41)&lt;=144),"",
"様"),"")</f>
        <v/>
      </c>
      <c r="O41" s="45"/>
      <c r="P41" s="54">
        <f ca="1">IF(OR(X34="●",X34="△"),
W33+2,W33+1)</f>
        <v>23</v>
      </c>
      <c r="Q41" s="66" t="str">
        <f ca="1">IF(R41&lt;&gt;"",
MID(貼り付け用!$A$2, FIND("年",貼り付け用!$A$2)+1,2)&amp;"/"&amp;MID(貼り付け用!$A$2, FIND("月",貼り付け用!$A$2)+1,2),"")</f>
        <v/>
      </c>
      <c r="R41" s="245" t="str">
        <f t="array" aca="1" ref="R41" ca="1">SUBSTITUTE(SUBSTITUTE(SUBSTITUTE(SUBSTITUTE(SUBSTITUTE(SUBSTITUTE(SUBSTITUTE(SUBSTITUTE(SUBSTITUTE(SUBSTITUTE(SUBSTITUTE(
IF(Q42="△",
INDIRECT("'盛付札（関数）'!FJ"&amp;P41+1),INDIRECT("'盛付札（関数）'!FJ"&amp;P41)),"０",""),"①",""),"②",""),"③",""),"④",""),"⑤",""),"⑥",""),"⑦",""),"⑧",""),"⑨",""),"⑩","")</f>
        <v/>
      </c>
      <c r="S41" s="246"/>
      <c r="T41" s="246"/>
      <c r="U41" s="246"/>
      <c r="V41" s="65" t="str">
        <f t="array" aca="1" ref="V41" ca="1">IF(R41&lt;&gt;"",
IF(AND(INDIRECT("'盛付札（関数）'!FI"&amp;P41)&gt;=124,INDIRECT("'盛付札（関数）'!FI"&amp;P41)&lt;=144),"",
"様"),"")</f>
        <v/>
      </c>
      <c r="W41" s="59">
        <f ca="1">IF(OR(Q42="●",Q42="△"),
P41+2,P41+1)</f>
        <v>24</v>
      </c>
      <c r="X41" s="66" t="str">
        <f ca="1">IF(Y41&lt;&gt;"",
MID(貼り付け用!$A$2, FIND("年",貼り付け用!$A$2)+1,2)&amp;"/"&amp;MID(貼り付け用!$A$2, FIND("月",貼り付け用!$A$2)+1,2),"")</f>
        <v/>
      </c>
      <c r="Y41" s="245" t="str">
        <f t="array" aca="1" ref="Y41" ca="1">SUBSTITUTE(SUBSTITUTE(SUBSTITUTE(SUBSTITUTE(SUBSTITUTE(SUBSTITUTE(SUBSTITUTE(SUBSTITUTE(SUBSTITUTE(SUBSTITUTE(SUBSTITUTE(
IF(X42="△",
INDIRECT("'盛付札（関数）'!FJ"&amp;W41+1),INDIRECT("'盛付札（関数）'!FJ"&amp;W41)),"０",""),"①",""),"②",""),"③",""),"④",""),"⑤",""),"⑥",""),"⑦",""),"⑧",""),"⑨",""),"⑩","")</f>
        <v/>
      </c>
      <c r="Z41" s="246"/>
      <c r="AA41" s="246"/>
      <c r="AB41" s="246"/>
      <c r="AC41" s="65" t="str">
        <f t="array" aca="1" ref="AC41" ca="1">IF(Y41&lt;&gt;"",
IF(AND(INDIRECT("'盛付札（関数）'!FI"&amp;W41)&gt;=124,INDIRECT("'盛付札（関数）'!FI"&amp;W41)&lt;=144),"",
"様"),"")</f>
        <v/>
      </c>
      <c r="AD41" s="45"/>
      <c r="AE41" s="54">
        <f ca="1">IF(OR(AM34="●",AM34="△"),
AL33+2,AL33+1)</f>
        <v>35</v>
      </c>
      <c r="AF41" s="66" t="str">
        <f ca="1">IF(AG41&lt;&gt;"",
MID(貼り付け用!$A$2, FIND("年",貼り付け用!$A$2)+1,2)&amp;"/"&amp;MID(貼り付け用!$A$2, FIND("月",貼り付け用!$A$2)+1,2),"")</f>
        <v/>
      </c>
      <c r="AG41" s="245" t="str">
        <f t="array" aca="1" ref="AG41" ca="1">SUBSTITUTE(SUBSTITUTE(SUBSTITUTE(SUBSTITUTE(SUBSTITUTE(SUBSTITUTE(SUBSTITUTE(SUBSTITUTE(SUBSTITUTE(SUBSTITUTE(SUBSTITUTE(
IF(AF42="△",
INDIRECT("'盛付札（関数）'!FJ"&amp;AE41+1),INDIRECT("'盛付札（関数）'!FJ"&amp;AE41)),"０",""),"①",""),"②",""),"③",""),"④",""),"⑤",""),"⑥",""),"⑦",""),"⑧",""),"⑨",""),"⑩","")</f>
        <v/>
      </c>
      <c r="AH41" s="246"/>
      <c r="AI41" s="246"/>
      <c r="AJ41" s="246"/>
      <c r="AK41" s="65" t="str">
        <f t="array" aca="1" ref="AK41" ca="1">IF(AG41&lt;&gt;"",
IF(AND(INDIRECT("'盛付札（関数）'!FI"&amp;AE41)&gt;=124,INDIRECT("'盛付札（関数）'!FI"&amp;AE41)&lt;=144),"",
"様"),"")</f>
        <v/>
      </c>
      <c r="AL41" s="59">
        <f ca="1">IF(OR(AF42="●",AF42="△"),
AE41+2,AE41+1)</f>
        <v>36</v>
      </c>
      <c r="AM41" s="66" t="str">
        <f ca="1">IF(AN41&lt;&gt;"",
MID(貼り付け用!$A$2, FIND("年",貼り付け用!$A$2)+1,2)&amp;"/"&amp;MID(貼り付け用!$A$2, FIND("月",貼り付け用!$A$2)+1,2),"")</f>
        <v/>
      </c>
      <c r="AN41" s="245" t="str">
        <f t="array" aca="1" ref="AN41" ca="1">SUBSTITUTE(SUBSTITUTE(SUBSTITUTE(SUBSTITUTE(SUBSTITUTE(SUBSTITUTE(SUBSTITUTE(SUBSTITUTE(SUBSTITUTE(SUBSTITUTE(SUBSTITUTE(
IF(AM42="△",
INDIRECT("'盛付札（関数）'!FJ"&amp;AL41+1),INDIRECT("'盛付札（関数）'!FJ"&amp;AL41)),"０",""),"①",""),"②",""),"③",""),"④",""),"⑤",""),"⑥",""),"⑦",""),"⑧",""),"⑨",""),"⑩","")</f>
        <v/>
      </c>
      <c r="AO41" s="246"/>
      <c r="AP41" s="246"/>
      <c r="AQ41" s="246"/>
      <c r="AR41" s="65" t="str">
        <f t="array" aca="1" ref="AR41" ca="1">IF(AN41&lt;&gt;"",
IF(AND(INDIRECT("'盛付札（関数）'!FI"&amp;AL41)&gt;=124,INDIRECT("'盛付札（関数）'!FI"&amp;AL41)&lt;=144),"",
"様"),"")</f>
        <v/>
      </c>
      <c r="AS41" s="45"/>
      <c r="AT41" s="54">
        <f ca="1">IF(OR(BB34="●",BB34="△"),
BA33+2,BA33+1)</f>
        <v>47</v>
      </c>
      <c r="AU41" s="66" t="str">
        <f ca="1">IF(AV41&lt;&gt;"",
MID(貼り付け用!$A$2, FIND("年",貼り付け用!$A$2)+1,2)&amp;"/"&amp;MID(貼り付け用!$A$2, FIND("月",貼り付け用!$A$2)+1,2),"")</f>
        <v/>
      </c>
      <c r="AV41" s="245" t="str">
        <f t="array" aca="1" ref="AV41" ca="1">SUBSTITUTE(SUBSTITUTE(SUBSTITUTE(SUBSTITUTE(SUBSTITUTE(SUBSTITUTE(SUBSTITUTE(SUBSTITUTE(SUBSTITUTE(SUBSTITUTE(SUBSTITUTE(
IF(AU42="△",
INDIRECT("'盛付札（関数）'!FJ"&amp;AT41+1),INDIRECT("'盛付札（関数）'!FJ"&amp;AT41)),"０",""),"①",""),"②",""),"③",""),"④",""),"⑤",""),"⑥",""),"⑦",""),"⑧",""),"⑨",""),"⑩","")</f>
        <v/>
      </c>
      <c r="AW41" s="246"/>
      <c r="AX41" s="246"/>
      <c r="AY41" s="246"/>
      <c r="AZ41" s="65" t="str">
        <f t="array" aca="1" ref="AZ41" ca="1">IF(AV41&lt;&gt;"",
IF(AND(INDIRECT("'盛付札（関数）'!FI"&amp;AT41)&gt;=124,INDIRECT("'盛付札（関数）'!FI"&amp;AT41)&lt;=144),"",
"様"),"")</f>
        <v/>
      </c>
      <c r="BA41" s="59">
        <f ca="1">IF(OR(AU42="●",AU42="△"),
AT41+2,AT41+1)</f>
        <v>48</v>
      </c>
      <c r="BB41" s="66" t="str">
        <f ca="1">IF(BC41&lt;&gt;"",
MID(貼り付け用!$A$2, FIND("年",貼り付け用!$A$2)+1,2)&amp;"/"&amp;MID(貼り付け用!$A$2, FIND("月",貼り付け用!$A$2)+1,2),"")</f>
        <v/>
      </c>
      <c r="BC41" s="245" t="str">
        <f t="array" aca="1" ref="BC41" ca="1">SUBSTITUTE(SUBSTITUTE(SUBSTITUTE(SUBSTITUTE(SUBSTITUTE(SUBSTITUTE(SUBSTITUTE(SUBSTITUTE(SUBSTITUTE(SUBSTITUTE(SUBSTITUTE(
IF(BB42="△",
INDIRECT("'盛付札（関数）'!FJ"&amp;BA41+1),INDIRECT("'盛付札（関数）'!FJ"&amp;BA41)),"０",""),"①",""),"②",""),"③",""),"④",""),"⑤",""),"⑥",""),"⑦",""),"⑧",""),"⑨",""),"⑩","")</f>
        <v/>
      </c>
      <c r="BD41" s="246"/>
      <c r="BE41" s="246"/>
      <c r="BF41" s="246"/>
      <c r="BG41" s="65" t="str">
        <f t="array" aca="1" ref="BG41" ca="1">IF(BC41&lt;&gt;"",
IF(AND(INDIRECT("'盛付札（関数）'!FI"&amp;BA41)&gt;=124,INDIRECT("'盛付札（関数）'!FI"&amp;BA41)&lt;=144),"",
"様"),"")</f>
        <v/>
      </c>
      <c r="BH41" s="45"/>
      <c r="BI41" s="54">
        <f ca="1">IF(OR(BQ34="●",BQ34="△"),
BP33+2,BP33+1)</f>
        <v>59</v>
      </c>
      <c r="BJ41" s="66" t="str">
        <f ca="1">IF(BK41&lt;&gt;"",
MID(貼り付け用!$A$2, FIND("年",貼り付け用!$A$2)+1,2)&amp;"/"&amp;MID(貼り付け用!$A$2, FIND("月",貼り付け用!$A$2)+1,2),"")</f>
        <v/>
      </c>
      <c r="BK41" s="245" t="str">
        <f t="array" aca="1" ref="BK41" ca="1">SUBSTITUTE(SUBSTITUTE(SUBSTITUTE(SUBSTITUTE(SUBSTITUTE(SUBSTITUTE(SUBSTITUTE(SUBSTITUTE(SUBSTITUTE(SUBSTITUTE(SUBSTITUTE(
IF(BJ42="△",
INDIRECT("'盛付札（関数）'!FJ"&amp;BI41+1),INDIRECT("'盛付札（関数）'!FJ"&amp;BI41)),"０",""),"①",""),"②",""),"③",""),"④",""),"⑤",""),"⑥",""),"⑦",""),"⑧",""),"⑨",""),"⑩","")</f>
        <v/>
      </c>
      <c r="BL41" s="246"/>
      <c r="BM41" s="246"/>
      <c r="BN41" s="246"/>
      <c r="BO41" s="65" t="str">
        <f t="array" aca="1" ref="BO41" ca="1">IF(BK41&lt;&gt;"",
IF(AND(INDIRECT("'盛付札（関数）'!FI"&amp;BI41)&gt;=124,INDIRECT("'盛付札（関数）'!FI"&amp;BI41)&lt;=144),"",
"様"),"")</f>
        <v/>
      </c>
      <c r="BP41" s="59">
        <f ca="1">IF(OR(BJ42="●",BJ42="△"),
BI41+2,BI41+1)</f>
        <v>60</v>
      </c>
      <c r="BQ41" s="66" t="str">
        <f ca="1">IF(BR41&lt;&gt;"",
MID(貼り付け用!$A$2, FIND("年",貼り付け用!$A$2)+1,2)&amp;"/"&amp;MID(貼り付け用!$A$2, FIND("月",貼り付け用!$A$2)+1,2),"")</f>
        <v/>
      </c>
      <c r="BR41" s="245" t="str">
        <f t="array" aca="1" ref="BR41" ca="1">SUBSTITUTE(SUBSTITUTE(SUBSTITUTE(SUBSTITUTE(SUBSTITUTE(SUBSTITUTE(SUBSTITUTE(SUBSTITUTE(SUBSTITUTE(SUBSTITUTE(SUBSTITUTE(
IF(BQ42="△",
INDIRECT("'盛付札（関数）'!FJ"&amp;BP41+1),INDIRECT("'盛付札（関数）'!FJ"&amp;BP41)),"０",""),"①",""),"②",""),"③",""),"④",""),"⑤",""),"⑥",""),"⑦",""),"⑧",""),"⑨",""),"⑩","")</f>
        <v/>
      </c>
      <c r="BS41" s="246"/>
      <c r="BT41" s="246"/>
      <c r="BU41" s="246"/>
      <c r="BV41" s="65" t="str">
        <f t="array" aca="1" ref="BV41" ca="1">IF(BR41&lt;&gt;"",
IF(AND(INDIRECT("'盛付札（関数）'!FI"&amp;BP41)&gt;=124,INDIRECT("'盛付札（関数）'!FI"&amp;BP41)&lt;=144),"",
"様"),"")</f>
        <v/>
      </c>
      <c r="BW41" s="45"/>
      <c r="BX41" s="54">
        <f ca="1">IF(OR(CF34="●",CF34="△"),
CE33+2,CE33+1)</f>
        <v>71</v>
      </c>
      <c r="BY41" s="66" t="str">
        <f ca="1">IF(BZ41&lt;&gt;"",
MID(貼り付け用!$A$2, FIND("年",貼り付け用!$A$2)+1,2)&amp;"/"&amp;MID(貼り付け用!$A$2, FIND("月",貼り付け用!$A$2)+1,2),"")</f>
        <v/>
      </c>
      <c r="BZ41" s="245" t="str">
        <f t="array" aca="1" ref="BZ41" ca="1">SUBSTITUTE(SUBSTITUTE(SUBSTITUTE(SUBSTITUTE(SUBSTITUTE(SUBSTITUTE(SUBSTITUTE(SUBSTITUTE(SUBSTITUTE(SUBSTITUTE(SUBSTITUTE(
IF(BY42="△",
INDIRECT("'盛付札（関数）'!FJ"&amp;BX41+1),INDIRECT("'盛付札（関数）'!FJ"&amp;BX41)),"０",""),"①",""),"②",""),"③",""),"④",""),"⑤",""),"⑥",""),"⑦",""),"⑧",""),"⑨",""),"⑩","")</f>
        <v/>
      </c>
      <c r="CA41" s="246"/>
      <c r="CB41" s="246"/>
      <c r="CC41" s="246"/>
      <c r="CD41" s="65" t="str">
        <f t="array" aca="1" ref="CD41" ca="1">IF(BZ41&lt;&gt;"",
IF(AND(INDIRECT("'盛付札（関数）'!FI"&amp;BX41)&gt;=124,INDIRECT("'盛付札（関数）'!FI"&amp;BX41)&lt;=144),"",
"様"),"")</f>
        <v/>
      </c>
      <c r="CE41" s="59">
        <f ca="1">IF(OR(BY42="●",BY42="△"),
BX41+2,BX41+1)</f>
        <v>72</v>
      </c>
      <c r="CF41" s="66" t="str">
        <f ca="1">IF(CG41&lt;&gt;"",
MID(貼り付け用!$A$2, FIND("年",貼り付け用!$A$2)+1,2)&amp;"/"&amp;MID(貼り付け用!$A$2, FIND("月",貼り付け用!$A$2)+1,2),"")</f>
        <v/>
      </c>
      <c r="CG41" s="245" t="str">
        <f t="array" aca="1" ref="CG41" ca="1">SUBSTITUTE(SUBSTITUTE(SUBSTITUTE(SUBSTITUTE(SUBSTITUTE(SUBSTITUTE(SUBSTITUTE(SUBSTITUTE(SUBSTITUTE(SUBSTITUTE(SUBSTITUTE(
IF(CF42="△",
INDIRECT("'盛付札（関数）'!FJ"&amp;CE41+1),INDIRECT("'盛付札（関数）'!FJ"&amp;CE41)),"０",""),"①",""),"②",""),"③",""),"④",""),"⑤",""),"⑥",""),"⑦",""),"⑧",""),"⑨",""),"⑩","")</f>
        <v/>
      </c>
      <c r="CH41" s="246"/>
      <c r="CI41" s="246"/>
      <c r="CJ41" s="246"/>
      <c r="CK41" s="65" t="str">
        <f t="array" aca="1" ref="CK41" ca="1">IF(CG41&lt;&gt;"",
IF(AND(INDIRECT("'盛付札（関数）'!FI"&amp;CE41)&gt;=124,INDIRECT("'盛付札（関数）'!FI"&amp;CE41)&lt;=144),"",
"様"),"")</f>
        <v/>
      </c>
      <c r="CL41" s="45"/>
      <c r="CM41" s="54">
        <f ca="1">IF(OR(CU34="●",CU34="△"),
CT33+2,CT33+1)</f>
        <v>83</v>
      </c>
      <c r="CN41" s="66" t="str">
        <f ca="1">IF(CO41&lt;&gt;"",
MID(貼り付け用!$A$2, FIND("年",貼り付け用!$A$2)+1,2)&amp;"/"&amp;MID(貼り付け用!$A$2, FIND("月",貼り付け用!$A$2)+1,2),"")</f>
        <v/>
      </c>
      <c r="CO41" s="245" t="str">
        <f t="array" aca="1" ref="CO41" ca="1">SUBSTITUTE(SUBSTITUTE(SUBSTITUTE(SUBSTITUTE(SUBSTITUTE(SUBSTITUTE(SUBSTITUTE(SUBSTITUTE(SUBSTITUTE(SUBSTITUTE(SUBSTITUTE(
IF(CN42="△",
INDIRECT("'盛付札（関数）'!FJ"&amp;CM41+1),INDIRECT("'盛付札（関数）'!FJ"&amp;CM41)),"０",""),"①",""),"②",""),"③",""),"④",""),"⑤",""),"⑥",""),"⑦",""),"⑧",""),"⑨",""),"⑩","")</f>
        <v/>
      </c>
      <c r="CP41" s="246"/>
      <c r="CQ41" s="246"/>
      <c r="CR41" s="246"/>
      <c r="CS41" s="65" t="str">
        <f t="array" aca="1" ref="CS41" ca="1">IF(CO41&lt;&gt;"",
IF(AND(INDIRECT("'盛付札（関数）'!FI"&amp;CM41)&gt;=124,INDIRECT("'盛付札（関数）'!FI"&amp;CM41)&lt;=144),"",
"様"),"")</f>
        <v/>
      </c>
      <c r="CT41" s="59">
        <f ca="1">IF(OR(CN42="●",CN42="△"),
CM41+2,CM41+1)</f>
        <v>84</v>
      </c>
      <c r="CU41" s="66" t="str">
        <f ca="1">IF(CV41&lt;&gt;"",
MID(貼り付け用!$A$2, FIND("年",貼り付け用!$A$2)+1,2)&amp;"/"&amp;MID(貼り付け用!$A$2, FIND("月",貼り付け用!$A$2)+1,2),"")</f>
        <v/>
      </c>
      <c r="CV41" s="245" t="str">
        <f t="array" aca="1" ref="CV41" ca="1">SUBSTITUTE(SUBSTITUTE(SUBSTITUTE(SUBSTITUTE(SUBSTITUTE(SUBSTITUTE(SUBSTITUTE(SUBSTITUTE(SUBSTITUTE(SUBSTITUTE(SUBSTITUTE(
IF(CU42="△",
INDIRECT("'盛付札（関数）'!FJ"&amp;CT41+1),INDIRECT("'盛付札（関数）'!FJ"&amp;CT41)),"０",""),"①",""),"②",""),"③",""),"④",""),"⑤",""),"⑥",""),"⑦",""),"⑧",""),"⑨",""),"⑩","")</f>
        <v/>
      </c>
      <c r="CW41" s="246"/>
      <c r="CX41" s="246"/>
      <c r="CY41" s="246"/>
      <c r="CZ41" s="65" t="str">
        <f t="array" aca="1" ref="CZ41" ca="1">IF(CV41&lt;&gt;"",
IF(AND(INDIRECT("'盛付札（関数）'!FI"&amp;CT41)&gt;=124,INDIRECT("'盛付札（関数）'!FI"&amp;CT41)&lt;=144),"",
"様"),"")</f>
        <v/>
      </c>
      <c r="DA41" s="45"/>
      <c r="DB41" s="54"/>
      <c r="DC41" s="66"/>
      <c r="DD41" s="245"/>
      <c r="DE41" s="246"/>
      <c r="DF41" s="246"/>
      <c r="DG41" s="246"/>
      <c r="DH41" s="65"/>
      <c r="DI41" s="59"/>
      <c r="DJ41" s="66"/>
      <c r="DK41" s="245"/>
      <c r="DL41" s="246"/>
      <c r="DM41" s="246"/>
      <c r="DN41" s="246"/>
      <c r="DO41" s="65"/>
      <c r="DP41" s="45"/>
      <c r="DQ41" s="54"/>
      <c r="DR41" s="66"/>
      <c r="DS41" s="245"/>
      <c r="DT41" s="246"/>
      <c r="DU41" s="246"/>
      <c r="DV41" s="246"/>
      <c r="DW41" s="65"/>
      <c r="DX41" s="59"/>
      <c r="DY41" s="66"/>
      <c r="DZ41" s="245"/>
      <c r="EA41" s="246"/>
      <c r="EB41" s="246"/>
      <c r="EC41" s="246"/>
      <c r="ED41" s="65"/>
      <c r="EE41" s="45"/>
      <c r="EF41" s="54"/>
      <c r="EG41" s="66"/>
      <c r="EH41" s="245"/>
      <c r="EI41" s="246"/>
      <c r="EJ41" s="246"/>
      <c r="EK41" s="246"/>
      <c r="EL41" s="65"/>
      <c r="EM41" s="59"/>
      <c r="EN41" s="66"/>
      <c r="EO41" s="245"/>
      <c r="EP41" s="246"/>
      <c r="EQ41" s="246"/>
      <c r="ER41" s="246"/>
      <c r="ES41" s="65"/>
      <c r="ET41" s="45"/>
    </row>
    <row r="42" spans="1:150" s="55" customFormat="1">
      <c r="A42" s="54"/>
      <c r="B42" s="56" t="str">
        <f ca="1">IF(COUNTIF(INDIRECT("'盛付札（関数）'!FJ"&amp;A41+1),"*雙葉*"),"●",
"〇")</f>
        <v>〇</v>
      </c>
      <c r="C42" s="70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>0</v>
      </c>
      <c r="D42" s="64"/>
      <c r="E42" s="64"/>
      <c r="F42" s="71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62"/>
      <c r="H42" s="72"/>
      <c r="I42" s="56" t="str">
        <f ca="1">IF(COUNTIF(INDIRECT("'盛付札（関数）'!FJ"&amp;H41+1),"*雙葉*"),"●",
"〇")</f>
        <v>〇</v>
      </c>
      <c r="J42" s="70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>0</v>
      </c>
      <c r="K42" s="64"/>
      <c r="L42" s="64"/>
      <c r="M42" s="71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62"/>
      <c r="O42" s="45"/>
      <c r="P42" s="54"/>
      <c r="Q42" s="56" t="str">
        <f ca="1">IF(COUNTIF(INDIRECT("'盛付札（関数）'!FJ"&amp;P41+1),"*雙葉*"),"●",
"〇")</f>
        <v>〇</v>
      </c>
      <c r="R42" s="70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>0</v>
      </c>
      <c r="S42" s="64"/>
      <c r="T42" s="64"/>
      <c r="U42" s="71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62"/>
      <c r="W42" s="72"/>
      <c r="X42" s="56" t="str">
        <f ca="1">IF(COUNTIF(INDIRECT("'盛付札（関数）'!FJ"&amp;W41+1),"*雙葉*"),"●",
"〇")</f>
        <v>〇</v>
      </c>
      <c r="Y42" s="70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>0</v>
      </c>
      <c r="Z42" s="64"/>
      <c r="AA42" s="64"/>
      <c r="AB42" s="71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62"/>
      <c r="AD42" s="45"/>
      <c r="AE42" s="54"/>
      <c r="AF42" s="56" t="str">
        <f ca="1">IF(COUNTIF(INDIRECT("'盛付札（関数）'!FJ"&amp;AE41+1),"*雙葉*"),"●",
"〇")</f>
        <v>〇</v>
      </c>
      <c r="AG42" s="70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>0</v>
      </c>
      <c r="AH42" s="64"/>
      <c r="AI42" s="64"/>
      <c r="AJ42" s="71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62"/>
      <c r="AL42" s="72"/>
      <c r="AM42" s="56" t="str">
        <f ca="1">IF(COUNTIF(INDIRECT("'盛付札（関数）'!FJ"&amp;AL41+1),"*雙葉*"),"●",
"〇")</f>
        <v>〇</v>
      </c>
      <c r="AN42" s="70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>0</v>
      </c>
      <c r="AO42" s="64"/>
      <c r="AP42" s="64"/>
      <c r="AQ42" s="71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62"/>
      <c r="AS42" s="45"/>
      <c r="AT42" s="54"/>
      <c r="AU42" s="56" t="str">
        <f ca="1">IF(COUNTIF(INDIRECT("'盛付札（関数）'!FJ"&amp;AT41+1),"*雙葉*"),"●",
"〇")</f>
        <v>〇</v>
      </c>
      <c r="AV42" s="70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>0</v>
      </c>
      <c r="AW42" s="64"/>
      <c r="AX42" s="64"/>
      <c r="AY42" s="71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62"/>
      <c r="BA42" s="72"/>
      <c r="BB42" s="56" t="str">
        <f ca="1">IF(COUNTIF(INDIRECT("'盛付札（関数）'!FJ"&amp;BA41+1),"*雙葉*"),"●",
"〇")</f>
        <v>〇</v>
      </c>
      <c r="BC42" s="70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>0</v>
      </c>
      <c r="BD42" s="64"/>
      <c r="BE42" s="64"/>
      <c r="BF42" s="71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62"/>
      <c r="BH42" s="45"/>
      <c r="BI42" s="54"/>
      <c r="BJ42" s="56" t="str">
        <f ca="1">IF(COUNTIF(INDIRECT("'盛付札（関数）'!FJ"&amp;BI41+1),"*雙葉*"),"●",
"〇")</f>
        <v>〇</v>
      </c>
      <c r="BK42" s="70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>0</v>
      </c>
      <c r="BL42" s="64"/>
      <c r="BM42" s="64"/>
      <c r="BN42" s="71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62"/>
      <c r="BP42" s="72"/>
      <c r="BQ42" s="56" t="str">
        <f ca="1">IF(COUNTIF(INDIRECT("'盛付札（関数）'!FJ"&amp;BP41+1),"*雙葉*"),"●",
"〇")</f>
        <v>〇</v>
      </c>
      <c r="BR42" s="70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>0</v>
      </c>
      <c r="BS42" s="64"/>
      <c r="BT42" s="64"/>
      <c r="BU42" s="71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62"/>
      <c r="BW42" s="45"/>
      <c r="BX42" s="54"/>
      <c r="BY42" s="56" t="str">
        <f ca="1">IF(COUNTIF(INDIRECT("'盛付札（関数）'!FJ"&amp;BX41+1),"*雙葉*"),"●",
"〇")</f>
        <v>〇</v>
      </c>
      <c r="BZ42" s="70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>0</v>
      </c>
      <c r="CA42" s="64"/>
      <c r="CB42" s="64"/>
      <c r="CC42" s="71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62"/>
      <c r="CE42" s="72"/>
      <c r="CF42" s="56" t="str">
        <f ca="1">IF(COUNTIF(INDIRECT("'盛付札（関数）'!FJ"&amp;CE41+1),"*雙葉*"),"●",
"〇")</f>
        <v>〇</v>
      </c>
      <c r="CG42" s="70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>0</v>
      </c>
      <c r="CH42" s="64"/>
      <c r="CI42" s="64"/>
      <c r="CJ42" s="71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62"/>
      <c r="CL42" s="45"/>
      <c r="CM42" s="54"/>
      <c r="CN42" s="56" t="str">
        <f ca="1">IF(COUNTIF(INDIRECT("'盛付札（関数）'!FJ"&amp;CM41+1),"*雙葉*"),"●",
"〇")</f>
        <v>〇</v>
      </c>
      <c r="CO42" s="70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>0</v>
      </c>
      <c r="CP42" s="64"/>
      <c r="CQ42" s="64"/>
      <c r="CR42" s="71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62"/>
      <c r="CT42" s="72"/>
      <c r="CU42" s="56" t="str">
        <f ca="1">IF(COUNTIF(INDIRECT("'盛付札（関数）'!FJ"&amp;CT41+1),"*雙葉*"),"●",
"〇")</f>
        <v>〇</v>
      </c>
      <c r="CV42" s="70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>0</v>
      </c>
      <c r="CW42" s="64"/>
      <c r="CX42" s="64"/>
      <c r="CY42" s="71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62"/>
      <c r="DA42" s="45"/>
      <c r="DB42" s="54"/>
      <c r="DC42" s="56"/>
      <c r="DD42" s="70"/>
      <c r="DE42" s="64"/>
      <c r="DF42" s="64"/>
      <c r="DG42" s="71"/>
      <c r="DH42" s="62"/>
      <c r="DI42" s="72"/>
      <c r="DJ42" s="56"/>
      <c r="DK42" s="70"/>
      <c r="DL42" s="64"/>
      <c r="DM42" s="64"/>
      <c r="DN42" s="71"/>
      <c r="DO42" s="62"/>
      <c r="DP42" s="45"/>
      <c r="DQ42" s="54"/>
      <c r="DR42" s="56"/>
      <c r="DS42" s="70"/>
      <c r="DT42" s="64"/>
      <c r="DU42" s="64"/>
      <c r="DV42" s="71"/>
      <c r="DW42" s="62"/>
      <c r="DX42" s="72"/>
      <c r="DY42" s="56"/>
      <c r="DZ42" s="70"/>
      <c r="EA42" s="64"/>
      <c r="EB42" s="64"/>
      <c r="EC42" s="71"/>
      <c r="ED42" s="62"/>
      <c r="EE42" s="45"/>
      <c r="EF42" s="54"/>
      <c r="EG42" s="56"/>
      <c r="EH42" s="70"/>
      <c r="EI42" s="64"/>
      <c r="EJ42" s="64"/>
      <c r="EK42" s="71"/>
      <c r="EL42" s="62"/>
      <c r="EM42" s="72"/>
      <c r="EN42" s="56"/>
      <c r="EO42" s="70"/>
      <c r="EP42" s="64"/>
      <c r="EQ42" s="64"/>
      <c r="ER42" s="71"/>
      <c r="ES42" s="62"/>
      <c r="ET42" s="45"/>
    </row>
    <row r="43" spans="1:150" s="55" customFormat="1">
      <c r="A43" s="54"/>
      <c r="B43" s="57"/>
      <c r="C43" s="243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44"/>
      <c r="E43" s="45"/>
      <c r="F43" s="55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63"/>
      <c r="H43" s="59"/>
      <c r="I43" s="57"/>
      <c r="J43" s="243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44"/>
      <c r="L43" s="45"/>
      <c r="M43" s="55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63"/>
      <c r="O43" s="45"/>
      <c r="P43" s="54"/>
      <c r="Q43" s="57"/>
      <c r="R43" s="243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44"/>
      <c r="T43" s="45"/>
      <c r="U43" s="55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63"/>
      <c r="W43" s="59"/>
      <c r="X43" s="57"/>
      <c r="Y43" s="243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44"/>
      <c r="AA43" s="45"/>
      <c r="AB43" s="55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63"/>
      <c r="AD43" s="45"/>
      <c r="AE43" s="54"/>
      <c r="AF43" s="57"/>
      <c r="AG43" s="243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44"/>
      <c r="AI43" s="45"/>
      <c r="AJ43" s="55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63"/>
      <c r="AL43" s="59"/>
      <c r="AM43" s="57"/>
      <c r="AN43" s="243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44"/>
      <c r="AP43" s="45"/>
      <c r="AQ43" s="55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63"/>
      <c r="AS43" s="45"/>
      <c r="AT43" s="54"/>
      <c r="AU43" s="57"/>
      <c r="AV43" s="243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44"/>
      <c r="AX43" s="45"/>
      <c r="AY43" s="55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63"/>
      <c r="BA43" s="59"/>
      <c r="BB43" s="57"/>
      <c r="BC43" s="243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44"/>
      <c r="BE43" s="45"/>
      <c r="BF43" s="55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63"/>
      <c r="BH43" s="45"/>
      <c r="BI43" s="54"/>
      <c r="BJ43" s="57"/>
      <c r="BK43" s="243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44"/>
      <c r="BM43" s="45"/>
      <c r="BN43" s="55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63"/>
      <c r="BP43" s="59"/>
      <c r="BQ43" s="57"/>
      <c r="BR43" s="243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44"/>
      <c r="BT43" s="45"/>
      <c r="BU43" s="55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63"/>
      <c r="BW43" s="45"/>
      <c r="BX43" s="54"/>
      <c r="BY43" s="57"/>
      <c r="BZ43" s="243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44"/>
      <c r="CB43" s="45"/>
      <c r="CC43" s="55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63"/>
      <c r="CE43" s="59"/>
      <c r="CF43" s="57"/>
      <c r="CG43" s="243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44"/>
      <c r="CI43" s="45"/>
      <c r="CJ43" s="55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63"/>
      <c r="CL43" s="45"/>
      <c r="CM43" s="54"/>
      <c r="CN43" s="57"/>
      <c r="CO43" s="243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44"/>
      <c r="CQ43" s="45"/>
      <c r="CR43" s="55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63"/>
      <c r="CT43" s="59"/>
      <c r="CU43" s="57"/>
      <c r="CV43" s="243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44"/>
      <c r="CX43" s="45"/>
      <c r="CY43" s="55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63"/>
      <c r="DA43" s="45"/>
      <c r="DB43" s="54"/>
      <c r="DC43" s="57"/>
      <c r="DD43" s="243"/>
      <c r="DE43" s="244"/>
      <c r="DF43" s="45"/>
      <c r="DH43" s="63"/>
      <c r="DI43" s="59"/>
      <c r="DJ43" s="57"/>
      <c r="DK43" s="243"/>
      <c r="DL43" s="244"/>
      <c r="DM43" s="45"/>
      <c r="DO43" s="63"/>
      <c r="DP43" s="45"/>
      <c r="DQ43" s="54"/>
      <c r="DR43" s="57"/>
      <c r="DS43" s="243"/>
      <c r="DT43" s="244"/>
      <c r="DU43" s="45"/>
      <c r="DW43" s="63"/>
      <c r="DX43" s="59"/>
      <c r="DY43" s="57"/>
      <c r="DZ43" s="243"/>
      <c r="EA43" s="244"/>
      <c r="EB43" s="45"/>
      <c r="ED43" s="63"/>
      <c r="EE43" s="45"/>
      <c r="EF43" s="54"/>
      <c r="EG43" s="57"/>
      <c r="EH43" s="243"/>
      <c r="EI43" s="244"/>
      <c r="EJ43" s="45"/>
      <c r="EL43" s="63"/>
      <c r="EM43" s="59"/>
      <c r="EN43" s="57"/>
      <c r="EO43" s="243"/>
      <c r="EP43" s="244"/>
      <c r="EQ43" s="45"/>
      <c r="ES43" s="63"/>
      <c r="ET43" s="45"/>
    </row>
    <row r="44" spans="1:150" ht="15.6" customHeight="1">
      <c r="B44" s="48"/>
      <c r="C44" s="241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>0</v>
      </c>
      <c r="D44" s="242"/>
      <c r="E44" s="73"/>
      <c r="F44" s="237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38"/>
      <c r="H44" s="49"/>
      <c r="I44" s="48"/>
      <c r="J44" s="241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>0</v>
      </c>
      <c r="K44" s="242"/>
      <c r="L44" s="73"/>
      <c r="M44" s="237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38"/>
      <c r="Q44" s="48"/>
      <c r="R44" s="241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>0</v>
      </c>
      <c r="S44" s="242"/>
      <c r="T44" s="73"/>
      <c r="U44" s="237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38"/>
      <c r="W44" s="49"/>
      <c r="X44" s="48"/>
      <c r="Y44" s="241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>0</v>
      </c>
      <c r="Z44" s="242"/>
      <c r="AA44" s="73"/>
      <c r="AB44" s="237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38"/>
      <c r="AF44" s="48"/>
      <c r="AG44" s="241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>0</v>
      </c>
      <c r="AH44" s="242"/>
      <c r="AI44" s="73"/>
      <c r="AJ44" s="237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38"/>
      <c r="AL44" s="49"/>
      <c r="AM44" s="48"/>
      <c r="AN44" s="241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>0</v>
      </c>
      <c r="AO44" s="242"/>
      <c r="AP44" s="73"/>
      <c r="AQ44" s="237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38"/>
      <c r="AU44" s="48"/>
      <c r="AV44" s="241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>0</v>
      </c>
      <c r="AW44" s="242"/>
      <c r="AX44" s="73"/>
      <c r="AY44" s="237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38"/>
      <c r="BA44" s="49"/>
      <c r="BB44" s="48"/>
      <c r="BC44" s="241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>0</v>
      </c>
      <c r="BD44" s="242"/>
      <c r="BE44" s="73"/>
      <c r="BF44" s="237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38"/>
      <c r="BJ44" s="48"/>
      <c r="BK44" s="241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>0</v>
      </c>
      <c r="BL44" s="242"/>
      <c r="BM44" s="73"/>
      <c r="BN44" s="237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38"/>
      <c r="BP44" s="49"/>
      <c r="BQ44" s="48"/>
      <c r="BR44" s="241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>0</v>
      </c>
      <c r="BS44" s="242"/>
      <c r="BT44" s="73"/>
      <c r="BU44" s="237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38"/>
      <c r="BY44" s="48"/>
      <c r="BZ44" s="241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>0</v>
      </c>
      <c r="CA44" s="242"/>
      <c r="CB44" s="73"/>
      <c r="CC44" s="237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38"/>
      <c r="CE44" s="49"/>
      <c r="CF44" s="48"/>
      <c r="CG44" s="241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>0</v>
      </c>
      <c r="CH44" s="242"/>
      <c r="CI44" s="73"/>
      <c r="CJ44" s="237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38"/>
      <c r="CN44" s="48"/>
      <c r="CO44" s="241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>0</v>
      </c>
      <c r="CP44" s="242"/>
      <c r="CQ44" s="73"/>
      <c r="CR44" s="237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38"/>
      <c r="CT44" s="49"/>
      <c r="CU44" s="48"/>
      <c r="CV44" s="241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>0</v>
      </c>
      <c r="CW44" s="242"/>
      <c r="CX44" s="73"/>
      <c r="CY44" s="237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38"/>
      <c r="DC44" s="48"/>
      <c r="DD44" s="241"/>
      <c r="DE44" s="242"/>
      <c r="DF44" s="73"/>
      <c r="DG44" s="237"/>
      <c r="DH44" s="238"/>
      <c r="DI44" s="49"/>
      <c r="DJ44" s="48"/>
      <c r="DK44" s="241"/>
      <c r="DL44" s="242"/>
      <c r="DM44" s="73"/>
      <c r="DN44" s="237"/>
      <c r="DO44" s="238"/>
      <c r="DR44" s="48"/>
      <c r="DS44" s="241"/>
      <c r="DT44" s="242"/>
      <c r="DU44" s="73"/>
      <c r="DV44" s="237"/>
      <c r="DW44" s="238"/>
      <c r="DX44" s="49"/>
      <c r="DY44" s="48"/>
      <c r="DZ44" s="241"/>
      <c r="EA44" s="242"/>
      <c r="EB44" s="73"/>
      <c r="EC44" s="237"/>
      <c r="ED44" s="238"/>
      <c r="EG44" s="48"/>
      <c r="EH44" s="241"/>
      <c r="EI44" s="242"/>
      <c r="EJ44" s="73"/>
      <c r="EK44" s="237"/>
      <c r="EL44" s="238"/>
      <c r="EM44" s="49"/>
      <c r="EN44" s="48"/>
      <c r="EO44" s="241"/>
      <c r="EP44" s="242"/>
      <c r="EQ44" s="73"/>
      <c r="ER44" s="237"/>
      <c r="ES44" s="238"/>
    </row>
    <row r="45" spans="1:150" ht="15.6" customHeight="1">
      <c r="B45" s="50"/>
      <c r="C45" s="239"/>
      <c r="D45" s="239"/>
      <c r="E45" s="67"/>
      <c r="F45" s="239"/>
      <c r="G45" s="240"/>
      <c r="H45" s="49"/>
      <c r="I45" s="50"/>
      <c r="J45" s="239"/>
      <c r="K45" s="239"/>
      <c r="L45" s="67"/>
      <c r="M45" s="239"/>
      <c r="N45" s="240"/>
      <c r="Q45" s="50"/>
      <c r="R45" s="239"/>
      <c r="S45" s="239"/>
      <c r="T45" s="67"/>
      <c r="U45" s="239"/>
      <c r="V45" s="240"/>
      <c r="W45" s="49"/>
      <c r="X45" s="50"/>
      <c r="Y45" s="239"/>
      <c r="Z45" s="239"/>
      <c r="AA45" s="67"/>
      <c r="AB45" s="239"/>
      <c r="AC45" s="240"/>
      <c r="AF45" s="50"/>
      <c r="AG45" s="239"/>
      <c r="AH45" s="239"/>
      <c r="AI45" s="67"/>
      <c r="AJ45" s="239"/>
      <c r="AK45" s="240"/>
      <c r="AL45" s="49"/>
      <c r="AM45" s="50"/>
      <c r="AN45" s="239"/>
      <c r="AO45" s="239"/>
      <c r="AP45" s="67"/>
      <c r="AQ45" s="239"/>
      <c r="AR45" s="240"/>
      <c r="AU45" s="50"/>
      <c r="AV45" s="239"/>
      <c r="AW45" s="239"/>
      <c r="AX45" s="67"/>
      <c r="AY45" s="239"/>
      <c r="AZ45" s="240"/>
      <c r="BA45" s="49"/>
      <c r="BB45" s="50"/>
      <c r="BC45" s="239"/>
      <c r="BD45" s="239"/>
      <c r="BE45" s="67"/>
      <c r="BF45" s="239"/>
      <c r="BG45" s="240"/>
      <c r="BJ45" s="50"/>
      <c r="BK45" s="239"/>
      <c r="BL45" s="239"/>
      <c r="BM45" s="67"/>
      <c r="BN45" s="239"/>
      <c r="BO45" s="240"/>
      <c r="BP45" s="49"/>
      <c r="BQ45" s="50"/>
      <c r="BR45" s="239"/>
      <c r="BS45" s="239"/>
      <c r="BT45" s="67"/>
      <c r="BU45" s="239"/>
      <c r="BV45" s="240"/>
      <c r="BY45" s="50"/>
      <c r="BZ45" s="239"/>
      <c r="CA45" s="239"/>
      <c r="CB45" s="67"/>
      <c r="CC45" s="239"/>
      <c r="CD45" s="240"/>
      <c r="CE45" s="49"/>
      <c r="CF45" s="50"/>
      <c r="CG45" s="239"/>
      <c r="CH45" s="239"/>
      <c r="CI45" s="67"/>
      <c r="CJ45" s="239"/>
      <c r="CK45" s="240"/>
      <c r="CN45" s="50"/>
      <c r="CO45" s="239"/>
      <c r="CP45" s="239"/>
      <c r="CQ45" s="67"/>
      <c r="CR45" s="239"/>
      <c r="CS45" s="240"/>
      <c r="CT45" s="49"/>
      <c r="CU45" s="50"/>
      <c r="CV45" s="239"/>
      <c r="CW45" s="239"/>
      <c r="CX45" s="67"/>
      <c r="CY45" s="239"/>
      <c r="CZ45" s="240"/>
      <c r="DC45" s="50"/>
      <c r="DD45" s="239"/>
      <c r="DE45" s="239"/>
      <c r="DF45" s="67"/>
      <c r="DG45" s="239"/>
      <c r="DH45" s="240"/>
      <c r="DI45" s="49"/>
      <c r="DJ45" s="50"/>
      <c r="DK45" s="239"/>
      <c r="DL45" s="239"/>
      <c r="DM45" s="67"/>
      <c r="DN45" s="239"/>
      <c r="DO45" s="240"/>
      <c r="DR45" s="50"/>
      <c r="DS45" s="239"/>
      <c r="DT45" s="239"/>
      <c r="DU45" s="67"/>
      <c r="DV45" s="239"/>
      <c r="DW45" s="240"/>
      <c r="DX45" s="49"/>
      <c r="DY45" s="50"/>
      <c r="DZ45" s="239"/>
      <c r="EA45" s="239"/>
      <c r="EB45" s="67"/>
      <c r="EC45" s="239"/>
      <c r="ED45" s="240"/>
      <c r="EG45" s="50"/>
      <c r="EH45" s="239"/>
      <c r="EI45" s="239"/>
      <c r="EJ45" s="67"/>
      <c r="EK45" s="239"/>
      <c r="EL45" s="240"/>
      <c r="EM45" s="49"/>
      <c r="EN45" s="50"/>
      <c r="EO45" s="239"/>
      <c r="EP45" s="239"/>
      <c r="EQ45" s="67"/>
      <c r="ER45" s="239"/>
      <c r="ES45" s="240"/>
    </row>
    <row r="46" spans="1:150" s="55" customFormat="1">
      <c r="A46" s="54"/>
      <c r="B46" s="60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58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0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58"/>
      <c r="F46" s="60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63"/>
      <c r="H46" s="45"/>
      <c r="I46" s="60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58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0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58"/>
      <c r="M46" s="60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63"/>
      <c r="O46" s="45"/>
      <c r="P46" s="54"/>
      <c r="Q46" s="60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58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0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58"/>
      <c r="U46" s="60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63"/>
      <c r="W46" s="45"/>
      <c r="X46" s="60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58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0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58"/>
      <c r="AB46" s="60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63"/>
      <c r="AD46" s="45"/>
      <c r="AE46" s="54"/>
      <c r="AF46" s="60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58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0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58"/>
      <c r="AJ46" s="60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63"/>
      <c r="AL46" s="45"/>
      <c r="AM46" s="60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58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0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58"/>
      <c r="AQ46" s="60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63"/>
      <c r="AS46" s="45"/>
      <c r="AT46" s="54"/>
      <c r="AU46" s="60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58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0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58"/>
      <c r="AY46" s="60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63"/>
      <c r="BA46" s="45"/>
      <c r="BB46" s="60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58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0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58"/>
      <c r="BF46" s="60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63"/>
      <c r="BH46" s="45"/>
      <c r="BI46" s="54"/>
      <c r="BJ46" s="60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58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0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58"/>
      <c r="BN46" s="60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63"/>
      <c r="BP46" s="45"/>
      <c r="BQ46" s="60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58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0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58"/>
      <c r="BU46" s="60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63"/>
      <c r="BW46" s="45"/>
      <c r="BX46" s="54"/>
      <c r="BY46" s="60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58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0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58"/>
      <c r="CC46" s="60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63"/>
      <c r="CE46" s="45"/>
      <c r="CF46" s="60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58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0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58"/>
      <c r="CJ46" s="60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63"/>
      <c r="CL46" s="45"/>
      <c r="CM46" s="54"/>
      <c r="CN46" s="60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58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0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58"/>
      <c r="CR46" s="60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63"/>
      <c r="CT46" s="45"/>
      <c r="CU46" s="60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58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0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58"/>
      <c r="CY46" s="60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63"/>
      <c r="DA46" s="45"/>
      <c r="DB46" s="54"/>
      <c r="DC46" s="60"/>
      <c r="DD46" s="58"/>
      <c r="DE46" s="60"/>
      <c r="DF46" s="58"/>
      <c r="DG46" s="60"/>
      <c r="DH46" s="63"/>
      <c r="DI46" s="45"/>
      <c r="DJ46" s="60"/>
      <c r="DK46" s="58"/>
      <c r="DL46" s="60"/>
      <c r="DM46" s="58"/>
      <c r="DN46" s="60"/>
      <c r="DO46" s="63"/>
      <c r="DP46" s="45"/>
      <c r="DQ46" s="54"/>
      <c r="DR46" s="60"/>
      <c r="DS46" s="58"/>
      <c r="DT46" s="60"/>
      <c r="DU46" s="58"/>
      <c r="DV46" s="60"/>
      <c r="DW46" s="63"/>
      <c r="DX46" s="45"/>
      <c r="DY46" s="60"/>
      <c r="DZ46" s="58"/>
      <c r="EA46" s="60"/>
      <c r="EB46" s="58"/>
      <c r="EC46" s="60"/>
      <c r="ED46" s="63"/>
      <c r="EE46" s="45"/>
      <c r="EF46" s="54"/>
      <c r="EG46" s="60"/>
      <c r="EH46" s="58"/>
      <c r="EI46" s="60"/>
      <c r="EJ46" s="58"/>
      <c r="EK46" s="60"/>
      <c r="EL46" s="63"/>
      <c r="EM46" s="45"/>
      <c r="EN46" s="60"/>
      <c r="EO46" s="58"/>
      <c r="EP46" s="60"/>
      <c r="EQ46" s="58"/>
      <c r="ER46" s="60"/>
      <c r="ES46" s="63"/>
      <c r="ET46" s="45"/>
    </row>
    <row r="47" spans="1:150" ht="27.6" customHeight="1">
      <c r="B47" s="247" t="str">
        <f ca="1">IF(C44&lt;&gt;"",
IFERROR(INT(C44/C46),""),"")</f>
        <v/>
      </c>
      <c r="C47" s="240"/>
      <c r="D47" s="247" t="str">
        <f ca="1">IFERROR(MOD(C44,C46),"")</f>
        <v/>
      </c>
      <c r="E47" s="240"/>
      <c r="F47" s="248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40"/>
      <c r="I47" s="247" t="str">
        <f ca="1">IF(J44&lt;&gt;"",
IFERROR(INT(J44/J46),""),"")</f>
        <v/>
      </c>
      <c r="J47" s="240"/>
      <c r="K47" s="247" t="str">
        <f ca="1">IFERROR(MOD(J44,J46),"")</f>
        <v/>
      </c>
      <c r="L47" s="240"/>
      <c r="M47" s="248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40"/>
      <c r="Q47" s="247" t="str">
        <f ca="1">IF(R44&lt;&gt;"",
IFERROR(INT(R44/R46),""),"")</f>
        <v/>
      </c>
      <c r="R47" s="240"/>
      <c r="S47" s="247" t="str">
        <f ca="1">IFERROR(MOD(R44,R46),"")</f>
        <v/>
      </c>
      <c r="T47" s="240"/>
      <c r="U47" s="248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40"/>
      <c r="X47" s="247" t="str">
        <f ca="1">IF(Y44&lt;&gt;"",
IFERROR(INT(Y44/Y46),""),"")</f>
        <v/>
      </c>
      <c r="Y47" s="240"/>
      <c r="Z47" s="247" t="str">
        <f ca="1">IFERROR(MOD(Y44,Y46),"")</f>
        <v/>
      </c>
      <c r="AA47" s="240"/>
      <c r="AB47" s="248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40"/>
      <c r="AF47" s="247" t="str">
        <f ca="1">IF(AG44&lt;&gt;"",
IFERROR(INT(AG44/AG46),""),"")</f>
        <v/>
      </c>
      <c r="AG47" s="240"/>
      <c r="AH47" s="247" t="str">
        <f ca="1">IFERROR(MOD(AG44,AG46),"")</f>
        <v/>
      </c>
      <c r="AI47" s="240"/>
      <c r="AJ47" s="248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40"/>
      <c r="AM47" s="247" t="str">
        <f ca="1">IF(AN44&lt;&gt;"",
IFERROR(INT(AN44/AN46),""),"")</f>
        <v/>
      </c>
      <c r="AN47" s="240"/>
      <c r="AO47" s="247" t="str">
        <f ca="1">IFERROR(MOD(AN44,AN46),"")</f>
        <v/>
      </c>
      <c r="AP47" s="240"/>
      <c r="AQ47" s="248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40"/>
      <c r="AU47" s="247" t="str">
        <f ca="1">IF(AV44&lt;&gt;"",
IFERROR(INT(AV44/AV46),""),"")</f>
        <v/>
      </c>
      <c r="AV47" s="240"/>
      <c r="AW47" s="247" t="str">
        <f ca="1">IFERROR(MOD(AV44,AV46),"")</f>
        <v/>
      </c>
      <c r="AX47" s="240"/>
      <c r="AY47" s="248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40"/>
      <c r="BB47" s="247" t="str">
        <f ca="1">IF(BC44&lt;&gt;"",
IFERROR(INT(BC44/BC46),""),"")</f>
        <v/>
      </c>
      <c r="BC47" s="240"/>
      <c r="BD47" s="247" t="str">
        <f ca="1">IFERROR(MOD(BC44,BC46),"")</f>
        <v/>
      </c>
      <c r="BE47" s="240"/>
      <c r="BF47" s="248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40"/>
      <c r="BJ47" s="247" t="str">
        <f ca="1">IF(BK44&lt;&gt;"",
IFERROR(INT(BK44/BK46),""),"")</f>
        <v/>
      </c>
      <c r="BK47" s="240"/>
      <c r="BL47" s="247" t="str">
        <f ca="1">IFERROR(MOD(BK44,BK46),"")</f>
        <v/>
      </c>
      <c r="BM47" s="240"/>
      <c r="BN47" s="248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40"/>
      <c r="BQ47" s="247" t="str">
        <f ca="1">IF(BR44&lt;&gt;"",
IFERROR(INT(BR44/BR46),""),"")</f>
        <v/>
      </c>
      <c r="BR47" s="240"/>
      <c r="BS47" s="247" t="str">
        <f ca="1">IFERROR(MOD(BR44,BR46),"")</f>
        <v/>
      </c>
      <c r="BT47" s="240"/>
      <c r="BU47" s="248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40"/>
      <c r="BY47" s="247" t="str">
        <f ca="1">IF(BZ44&lt;&gt;"",
IFERROR(INT(BZ44/BZ46),""),"")</f>
        <v/>
      </c>
      <c r="BZ47" s="240"/>
      <c r="CA47" s="247" t="str">
        <f ca="1">IFERROR(MOD(BZ44,BZ46),"")</f>
        <v/>
      </c>
      <c r="CB47" s="240"/>
      <c r="CC47" s="248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40"/>
      <c r="CF47" s="247" t="str">
        <f ca="1">IF(CG44&lt;&gt;"",
IFERROR(INT(CG44/CG46),""),"")</f>
        <v/>
      </c>
      <c r="CG47" s="240"/>
      <c r="CH47" s="247" t="str">
        <f ca="1">IFERROR(MOD(CG44,CG46),"")</f>
        <v/>
      </c>
      <c r="CI47" s="240"/>
      <c r="CJ47" s="248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40"/>
      <c r="CN47" s="247" t="str">
        <f ca="1">IF(CO44&lt;&gt;"",
IFERROR(INT(CO44/CO46),""),"")</f>
        <v/>
      </c>
      <c r="CO47" s="240"/>
      <c r="CP47" s="247" t="str">
        <f ca="1">IFERROR(MOD(CO44,CO46),"")</f>
        <v/>
      </c>
      <c r="CQ47" s="240"/>
      <c r="CR47" s="248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40"/>
      <c r="CU47" s="247" t="str">
        <f ca="1">IF(CV44&lt;&gt;"",
IFERROR(INT(CV44/CV46),""),"")</f>
        <v/>
      </c>
      <c r="CV47" s="240"/>
      <c r="CW47" s="247" t="str">
        <f ca="1">IFERROR(MOD(CV44,CV46),"")</f>
        <v/>
      </c>
      <c r="CX47" s="240"/>
      <c r="CY47" s="248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40"/>
      <c r="DC47" s="247"/>
      <c r="DD47" s="240"/>
      <c r="DE47" s="247"/>
      <c r="DF47" s="240"/>
      <c r="DG47" s="248"/>
      <c r="DH47" s="240"/>
      <c r="DJ47" s="247"/>
      <c r="DK47" s="240"/>
      <c r="DL47" s="247"/>
      <c r="DM47" s="240"/>
      <c r="DN47" s="248"/>
      <c r="DO47" s="240"/>
      <c r="DR47" s="247"/>
      <c r="DS47" s="240"/>
      <c r="DT47" s="247"/>
      <c r="DU47" s="240"/>
      <c r="DV47" s="248"/>
      <c r="DW47" s="240"/>
      <c r="DY47" s="247"/>
      <c r="DZ47" s="240"/>
      <c r="EA47" s="247"/>
      <c r="EB47" s="240"/>
      <c r="EC47" s="248"/>
      <c r="ED47" s="240"/>
      <c r="EG47" s="247"/>
      <c r="EH47" s="240"/>
      <c r="EI47" s="247"/>
      <c r="EJ47" s="240"/>
      <c r="EK47" s="248"/>
      <c r="EL47" s="240"/>
      <c r="EN47" s="247"/>
      <c r="EO47" s="240"/>
      <c r="EP47" s="247"/>
      <c r="EQ47" s="240"/>
      <c r="ER47" s="248"/>
      <c r="ES47" s="240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O7:AP7"/>
    <mergeCell ref="EO12:EP13"/>
    <mergeCell ref="AV35:AW35"/>
    <mergeCell ref="BF44:BG45"/>
    <mergeCell ref="X47:Y47"/>
    <mergeCell ref="BC1:BF1"/>
    <mergeCell ref="EH28:EI29"/>
    <mergeCell ref="AH23:AI23"/>
    <mergeCell ref="F7:G7"/>
    <mergeCell ref="AJ23:AK23"/>
    <mergeCell ref="AG12:AH13"/>
    <mergeCell ref="Y12:Z13"/>
    <mergeCell ref="AY44:AZ45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AN43:AO43"/>
    <mergeCell ref="CY36:CZ37"/>
    <mergeCell ref="CO20:CP21"/>
    <mergeCell ref="EO27:EP27"/>
    <mergeCell ref="DJ23:DK23"/>
    <mergeCell ref="BC36:BD37"/>
    <mergeCell ref="CJ44:CK45"/>
    <mergeCell ref="X39:Y39"/>
    <mergeCell ref="CR47:CS47"/>
    <mergeCell ref="DK27:DL27"/>
    <mergeCell ref="AJ28:AK29"/>
    <mergeCell ref="CY12:CZ13"/>
    <mergeCell ref="BB7:BC7"/>
    <mergeCell ref="BD7:BE7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F12:G13"/>
    <mergeCell ref="CP39:CQ39"/>
    <mergeCell ref="BK35:BL35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M39:N39"/>
    <mergeCell ref="DS33:DV33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CG36:CH37"/>
    <mergeCell ref="EO33:ER33"/>
    <mergeCell ref="AH39:AI39"/>
    <mergeCell ref="AV19:AW19"/>
    <mergeCell ref="R25:U25"/>
    <mergeCell ref="EC20:ED21"/>
    <mergeCell ref="EC7:ED7"/>
    <mergeCell ref="DK28:DL29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BB39:BC39"/>
    <mergeCell ref="AV11:AW11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BU39:BV39"/>
    <mergeCell ref="AU31:AV31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AV36:AW37"/>
    <mergeCell ref="BN15:BO15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I7:J7"/>
    <mergeCell ref="EN39:EO39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AB39:AC39"/>
    <mergeCell ref="BQ47:BR47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DN12:DO13"/>
    <mergeCell ref="EN15:EO15"/>
    <mergeCell ref="DN7:DO7"/>
    <mergeCell ref="EP7:EQ7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AV27:AW27"/>
    <mergeCell ref="BZ20:CA21"/>
    <mergeCell ref="CA47:CB47"/>
    <mergeCell ref="CV27:CW27"/>
    <mergeCell ref="CC47:CD4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CO33:CR33"/>
    <mergeCell ref="CW47:CX47"/>
    <mergeCell ref="ER28:ES29"/>
    <mergeCell ref="Q39:R39"/>
    <mergeCell ref="CG44:CH45"/>
    <mergeCell ref="S39:T39"/>
    <mergeCell ref="CR12:CS13"/>
    <mergeCell ref="AG28:AH29"/>
    <mergeCell ref="EO35:EP35"/>
    <mergeCell ref="CU31:CV31"/>
    <mergeCell ref="Y28:Z29"/>
    <mergeCell ref="CW31:CX31"/>
    <mergeCell ref="AU15:AV15"/>
    <mergeCell ref="AW15:AX15"/>
    <mergeCell ref="AV43:AW43"/>
    <mergeCell ref="AN33:AQ33"/>
    <mergeCell ref="DG28:DH29"/>
    <mergeCell ref="AB20:AC21"/>
    <mergeCell ref="DC15:DD15"/>
    <mergeCell ref="EI31:EJ31"/>
    <mergeCell ref="Y27:Z27"/>
    <mergeCell ref="AB15:AC15"/>
    <mergeCell ref="EG39:EH39"/>
    <mergeCell ref="EH20:EI21"/>
    <mergeCell ref="ER12:ES13"/>
    <mergeCell ref="AV41:AY41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BU28:BV29"/>
    <mergeCell ref="U4:V5"/>
    <mergeCell ref="M44:N45"/>
    <mergeCell ref="U47:V47"/>
    <mergeCell ref="DY47:DZ47"/>
    <mergeCell ref="AQ47:AR47"/>
    <mergeCell ref="J17:M17"/>
    <mergeCell ref="DC7:DD7"/>
    <mergeCell ref="DE7:DF7"/>
    <mergeCell ref="DY15:DZ15"/>
    <mergeCell ref="AG1:AJ1"/>
    <mergeCell ref="CV19:CW19"/>
    <mergeCell ref="ER23:ES23"/>
    <mergeCell ref="CV41:CY41"/>
    <mergeCell ref="BJ39:BK39"/>
    <mergeCell ref="EK12:EL13"/>
    <mergeCell ref="AV17:AY17"/>
    <mergeCell ref="EI23:EJ23"/>
    <mergeCell ref="DY23:DZ23"/>
    <mergeCell ref="EA23:EB23"/>
    <mergeCell ref="CG19:CH19"/>
    <mergeCell ref="DZ9:EC9"/>
    <mergeCell ref="AB7:AC7"/>
    <mergeCell ref="EG31:EH31"/>
    <mergeCell ref="CG33:CJ33"/>
    <mergeCell ref="BJ47:BK47"/>
    <mergeCell ref="AG3:AH3"/>
    <mergeCell ref="BL47:BM47"/>
    <mergeCell ref="EH41:EK4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C27:D27"/>
    <mergeCell ref="C41:F41"/>
    <mergeCell ref="I15:J1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EH12:EI13"/>
    <mergeCell ref="AV1:AY1"/>
    <mergeCell ref="DZ1:EC1"/>
    <mergeCell ref="AJ7:AK7"/>
    <mergeCell ref="AG11:AH11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H44:EI4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CV1:CY1"/>
    <mergeCell ref="D15:E15"/>
    <mergeCell ref="BZ35:CA35"/>
    <mergeCell ref="AY7:AZ7"/>
    <mergeCell ref="EI39:EJ39"/>
    <mergeCell ref="D7:E7"/>
    <mergeCell ref="AF15:AG15"/>
    <mergeCell ref="DD35:DE35"/>
    <mergeCell ref="CA7:CB7"/>
    <mergeCell ref="X15:Y15"/>
    <mergeCell ref="EC39:ED39"/>
    <mergeCell ref="BK41:BN41"/>
    <mergeCell ref="CC7:CD7"/>
    <mergeCell ref="F23:G23"/>
    <mergeCell ref="BN28:BO29"/>
    <mergeCell ref="BR36:BS37"/>
    <mergeCell ref="CA39:CB39"/>
    <mergeCell ref="CJ39:CK39"/>
    <mergeCell ref="K31:L31"/>
    <mergeCell ref="M31:N31"/>
    <mergeCell ref="R27:S27"/>
    <mergeCell ref="C12:D13"/>
    <mergeCell ref="K15:L15"/>
    <mergeCell ref="B7:C7"/>
    <mergeCell ref="Y11:Z11"/>
    <mergeCell ref="DZ19:EA19"/>
    <mergeCell ref="AJ20:AK21"/>
    <mergeCell ref="J12:K13"/>
    <mergeCell ref="AQ7:AR7"/>
    <mergeCell ref="Y41:AB41"/>
    <mergeCell ref="AV3:AW3"/>
    <mergeCell ref="BU23:BV2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CF47:CG47"/>
    <mergeCell ref="DN44:DO45"/>
    <mergeCell ref="DG4:DH5"/>
    <mergeCell ref="DR47:DS47"/>
    <mergeCell ref="DJ47:DK47"/>
    <mergeCell ref="BR43:BS43"/>
    <mergeCell ref="CY44:CZ45"/>
    <mergeCell ref="DT47:DU47"/>
    <mergeCell ref="AO47:AP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/>
  <cols>
    <col min="1" max="1" width="26.69921875" style="162" customWidth="1"/>
    <col min="2" max="2" width="10.59765625" style="101" customWidth="1"/>
    <col min="3" max="3" width="5.09765625" style="101" customWidth="1"/>
    <col min="4" max="4" width="10.59765625" style="101" customWidth="1"/>
    <col min="5" max="5" width="5.09765625" style="101" customWidth="1"/>
    <col min="6" max="6" width="10.8984375" style="102" customWidth="1"/>
    <col min="7" max="7" width="5.09765625" style="101" customWidth="1"/>
    <col min="8" max="8" width="10.59765625" style="101" customWidth="1"/>
    <col min="9" max="9" width="5.09765625" style="101" customWidth="1"/>
    <col min="10" max="10" width="10.59765625" style="101" customWidth="1"/>
    <col min="11" max="11" width="5.09765625" style="101" customWidth="1"/>
    <col min="12" max="12" width="10.59765625" style="102" customWidth="1"/>
    <col min="13" max="13" width="5.09765625" style="101" customWidth="1"/>
    <col min="14" max="14" width="10.59765625" style="101" customWidth="1"/>
    <col min="15" max="15" width="5.09765625" style="101" customWidth="1"/>
    <col min="16" max="16" width="10.59765625" style="101" customWidth="1"/>
    <col min="17" max="17" width="5.09765625" style="101" customWidth="1"/>
    <col min="18" max="18" width="10.59765625" style="101" customWidth="1"/>
    <col min="19" max="19" width="5.09765625" style="101" customWidth="1"/>
    <col min="20" max="20" width="10.59765625" style="101" customWidth="1"/>
    <col min="21" max="21" width="5.09765625" style="101" customWidth="1"/>
    <col min="22" max="22" width="10.59765625" style="105" customWidth="1"/>
    <col min="23" max="23" width="5.09765625" style="103" customWidth="1"/>
    <col min="24" max="24" width="10.59765625" style="145" customWidth="1"/>
    <col min="25" max="25" width="5.09765625" style="101" customWidth="1"/>
    <col min="26" max="26" width="10.59765625" style="105" customWidth="1"/>
    <col min="27" max="27" width="5.09765625" style="103" customWidth="1"/>
    <col min="28" max="28" width="10.59765625" style="145" customWidth="1"/>
    <col min="29" max="29" width="5.09765625" style="101" customWidth="1"/>
    <col min="30" max="30" width="10.59765625" style="105" customWidth="1"/>
    <col min="31" max="31" width="5.09765625" style="103" customWidth="1"/>
    <col min="32" max="32" width="10.59765625" style="145" customWidth="1"/>
    <col min="33" max="33" width="5.09765625" style="101" customWidth="1"/>
    <col min="34" max="34" width="10.59765625" style="105" customWidth="1"/>
    <col min="35" max="35" width="5.09765625" style="103" customWidth="1"/>
    <col min="36" max="36" width="10.59765625" style="145" customWidth="1"/>
    <col min="37" max="37" width="5.09765625" style="101" customWidth="1"/>
    <col min="38" max="38" width="11.3984375" style="106" customWidth="1"/>
    <col min="39" max="39" width="32.796875" style="162" customWidth="1"/>
    <col min="40" max="40" width="27.69921875" style="162" customWidth="1"/>
    <col min="41" max="48" width="8.796875" style="100" customWidth="1"/>
    <col min="49" max="16384" width="8.796875" style="100"/>
  </cols>
  <sheetData>
    <row r="1" spans="1:40" s="156" customFormat="1" ht="16.2" customHeight="1">
      <c r="B1" s="190"/>
      <c r="C1" s="190"/>
      <c r="D1" s="190"/>
      <c r="E1" s="190"/>
      <c r="F1" s="191"/>
      <c r="G1" s="190"/>
      <c r="H1" s="190"/>
      <c r="I1" s="190"/>
      <c r="J1" s="190"/>
      <c r="K1" s="190"/>
      <c r="L1" s="191"/>
      <c r="M1" s="190"/>
      <c r="N1" s="190"/>
      <c r="O1" s="190"/>
      <c r="P1" s="190"/>
      <c r="Q1" s="190"/>
      <c r="R1" s="190"/>
      <c r="S1" s="190"/>
      <c r="T1" s="190"/>
      <c r="U1" s="190"/>
      <c r="V1" s="191"/>
      <c r="W1" s="192"/>
      <c r="X1" s="190"/>
      <c r="Y1" s="190"/>
      <c r="Z1" s="191"/>
      <c r="AA1" s="192"/>
      <c r="AB1" s="190"/>
      <c r="AC1" s="190"/>
      <c r="AD1" s="191"/>
      <c r="AE1" s="192"/>
      <c r="AF1" s="190"/>
      <c r="AG1" s="190"/>
      <c r="AH1" s="191"/>
      <c r="AI1" s="192"/>
      <c r="AJ1" s="190"/>
      <c r="AK1" s="193"/>
      <c r="AL1" s="194"/>
      <c r="AM1" s="195"/>
    </row>
    <row r="2" spans="1:40" s="156" customFormat="1" ht="16.2" customHeight="1">
      <c r="B2" s="190"/>
      <c r="C2" s="190"/>
      <c r="D2" s="190"/>
      <c r="E2" s="190"/>
      <c r="F2" s="191"/>
      <c r="G2" s="190"/>
      <c r="H2" s="190"/>
      <c r="I2" s="190"/>
      <c r="J2" s="190"/>
      <c r="K2" s="190"/>
      <c r="L2" s="191"/>
      <c r="M2" s="190"/>
      <c r="N2" s="190"/>
      <c r="O2" s="190"/>
      <c r="P2" s="190"/>
      <c r="Q2" s="190"/>
      <c r="R2" s="190"/>
      <c r="S2" s="190"/>
      <c r="T2" s="190"/>
      <c r="U2" s="190"/>
      <c r="V2" s="191"/>
      <c r="W2" s="192"/>
      <c r="X2" s="190"/>
      <c r="Y2" s="190"/>
      <c r="Z2" s="191"/>
      <c r="AA2" s="192"/>
      <c r="AB2" s="190"/>
      <c r="AC2" s="190"/>
      <c r="AD2" s="191"/>
      <c r="AE2" s="192"/>
      <c r="AF2" s="190"/>
      <c r="AG2" s="190"/>
      <c r="AH2" s="196"/>
      <c r="AI2" s="192"/>
      <c r="AJ2" s="190"/>
      <c r="AK2" s="190"/>
      <c r="AL2" s="197"/>
    </row>
    <row r="3" spans="1:40" s="156" customFormat="1" ht="16.2" customHeight="1">
      <c r="A3" s="157"/>
      <c r="B3" s="167"/>
      <c r="C3" s="168"/>
      <c r="D3" s="169"/>
      <c r="E3" s="170"/>
      <c r="F3" s="171"/>
      <c r="G3" s="172"/>
      <c r="H3" s="172"/>
      <c r="I3" s="172"/>
      <c r="J3" s="172"/>
      <c r="K3" s="172"/>
      <c r="L3" s="216"/>
      <c r="M3" s="172"/>
      <c r="N3" s="172"/>
      <c r="O3" s="172"/>
      <c r="P3" s="172"/>
      <c r="Q3" s="172"/>
      <c r="R3" s="172"/>
      <c r="S3" s="172"/>
      <c r="T3" s="172"/>
      <c r="U3" s="172"/>
      <c r="V3" s="174"/>
      <c r="W3" s="173"/>
      <c r="X3" s="175"/>
      <c r="Y3" s="173"/>
      <c r="Z3" s="174"/>
      <c r="AA3" s="173"/>
      <c r="AB3" s="175"/>
      <c r="AC3" s="173"/>
      <c r="AD3" s="174"/>
      <c r="AE3" s="173"/>
      <c r="AF3" s="176"/>
      <c r="AG3" s="177"/>
      <c r="AH3" s="174"/>
      <c r="AI3" s="173"/>
      <c r="AJ3" s="176"/>
      <c r="AK3" s="177"/>
      <c r="AL3" s="178"/>
      <c r="AM3" s="179"/>
      <c r="AN3" s="180"/>
    </row>
    <row r="4" spans="1:40" s="156" customFormat="1" ht="16.2" customHeight="1">
      <c r="A4" s="158"/>
      <c r="B4" s="181"/>
      <c r="C4" s="181"/>
      <c r="D4" s="181"/>
      <c r="E4" s="176"/>
      <c r="F4" s="182"/>
      <c r="G4" s="181"/>
      <c r="H4" s="181"/>
      <c r="I4" s="181"/>
      <c r="J4" s="181"/>
      <c r="K4" s="176"/>
      <c r="L4" s="182"/>
      <c r="M4" s="181"/>
      <c r="N4" s="181"/>
      <c r="O4" s="181"/>
      <c r="P4" s="181"/>
      <c r="Q4" s="181"/>
      <c r="R4" s="181"/>
      <c r="S4" s="181"/>
      <c r="T4" s="181"/>
      <c r="U4" s="176"/>
      <c r="V4" s="184"/>
      <c r="W4" s="183"/>
      <c r="X4" s="185"/>
      <c r="Y4" s="176"/>
      <c r="Z4" s="186"/>
      <c r="AA4" s="183"/>
      <c r="AB4" s="185"/>
      <c r="AC4" s="176"/>
      <c r="AD4" s="186"/>
      <c r="AE4" s="183"/>
      <c r="AF4" s="185"/>
      <c r="AG4" s="176"/>
      <c r="AH4" s="186"/>
      <c r="AI4" s="183"/>
      <c r="AJ4" s="185"/>
      <c r="AK4" s="176"/>
      <c r="AL4" s="187"/>
      <c r="AM4" s="188"/>
      <c r="AN4" s="189"/>
    </row>
    <row r="5" spans="1:40" ht="16.2" customHeight="1">
      <c r="A5" s="159"/>
      <c r="B5" s="107"/>
      <c r="C5" s="107"/>
      <c r="D5" s="107"/>
      <c r="E5" s="108"/>
      <c r="F5" s="109"/>
      <c r="G5" s="107"/>
      <c r="H5" s="107"/>
      <c r="I5" s="107"/>
      <c r="J5" s="107"/>
      <c r="K5" s="108"/>
      <c r="L5" s="109"/>
      <c r="M5" s="107"/>
      <c r="N5" s="107"/>
      <c r="O5" s="107"/>
      <c r="P5" s="107"/>
      <c r="Q5" s="107"/>
      <c r="R5" s="107"/>
      <c r="S5" s="107"/>
      <c r="T5" s="107"/>
      <c r="U5" s="108"/>
      <c r="V5" s="109"/>
      <c r="W5" s="110"/>
      <c r="X5" s="107"/>
      <c r="Y5" s="108"/>
      <c r="Z5" s="109"/>
      <c r="AA5" s="110"/>
      <c r="AB5" s="107"/>
      <c r="AC5" s="108"/>
      <c r="AD5" s="109"/>
      <c r="AE5" s="110"/>
      <c r="AF5" s="107"/>
      <c r="AG5" s="108"/>
      <c r="AH5" s="109"/>
      <c r="AI5" s="110"/>
      <c r="AJ5" s="107"/>
      <c r="AK5" s="108"/>
      <c r="AL5" s="111"/>
      <c r="AM5" s="188"/>
      <c r="AN5" s="189"/>
    </row>
    <row r="6" spans="1:40" ht="16.2" customHeight="1">
      <c r="A6" s="160"/>
      <c r="B6" s="148"/>
      <c r="C6" s="113"/>
      <c r="D6" s="148"/>
      <c r="E6" s="113"/>
      <c r="F6" s="150"/>
      <c r="G6" s="113"/>
      <c r="H6" s="148"/>
      <c r="I6" s="113"/>
      <c r="J6" s="148"/>
      <c r="K6" s="113"/>
      <c r="L6" s="150"/>
      <c r="M6" s="113"/>
      <c r="N6" s="148"/>
      <c r="O6" s="113"/>
      <c r="P6" s="148"/>
      <c r="Q6" s="113"/>
      <c r="R6" s="148"/>
      <c r="S6" s="113"/>
      <c r="T6" s="148"/>
      <c r="U6" s="113"/>
      <c r="V6" s="150"/>
      <c r="W6" s="113"/>
      <c r="X6" s="150"/>
      <c r="Y6" s="113"/>
      <c r="Z6" s="150"/>
      <c r="AA6" s="151"/>
      <c r="AB6" s="149"/>
      <c r="AC6" s="113"/>
      <c r="AD6" s="150"/>
      <c r="AE6" s="113"/>
      <c r="AF6" s="150"/>
      <c r="AG6" s="113"/>
      <c r="AH6" s="150"/>
      <c r="AI6" s="151"/>
      <c r="AJ6" s="149"/>
      <c r="AK6" s="113"/>
      <c r="AL6" s="117"/>
      <c r="AM6" s="198"/>
      <c r="AN6" s="199"/>
    </row>
    <row r="7" spans="1:40" ht="16.2" customHeight="1">
      <c r="A7" s="161"/>
      <c r="B7" s="114"/>
      <c r="C7" s="114"/>
      <c r="D7" s="114"/>
      <c r="E7" s="114"/>
      <c r="F7" s="118"/>
      <c r="G7" s="114"/>
      <c r="H7" s="114"/>
      <c r="I7" s="114"/>
      <c r="J7" s="114"/>
      <c r="K7" s="114"/>
      <c r="L7" s="118"/>
      <c r="M7" s="114"/>
      <c r="N7" s="114"/>
      <c r="O7" s="114"/>
      <c r="P7" s="114"/>
      <c r="Q7" s="114"/>
      <c r="R7" s="114"/>
      <c r="S7" s="114"/>
      <c r="T7" s="114"/>
      <c r="U7" s="114"/>
      <c r="V7" s="118"/>
      <c r="W7" s="114"/>
      <c r="X7" s="118"/>
      <c r="Y7" s="114"/>
      <c r="Z7" s="118"/>
      <c r="AA7" s="152"/>
      <c r="AB7" s="119"/>
      <c r="AC7" s="114"/>
      <c r="AD7" s="118"/>
      <c r="AE7" s="114"/>
      <c r="AF7" s="118"/>
      <c r="AG7" s="114"/>
      <c r="AH7" s="118"/>
      <c r="AI7" s="152"/>
      <c r="AJ7" s="119"/>
      <c r="AK7" s="114"/>
      <c r="AL7" s="120"/>
      <c r="AM7" s="200"/>
      <c r="AN7" s="201"/>
    </row>
    <row r="8" spans="1:40" ht="16.2" customHeight="1">
      <c r="A8" s="160"/>
      <c r="B8" s="148"/>
      <c r="C8" s="113"/>
      <c r="D8" s="148"/>
      <c r="E8" s="113"/>
      <c r="F8" s="150"/>
      <c r="G8" s="113"/>
      <c r="H8" s="148"/>
      <c r="I8" s="113"/>
      <c r="J8" s="148"/>
      <c r="K8" s="113"/>
      <c r="L8" s="150"/>
      <c r="M8" s="113"/>
      <c r="N8" s="148"/>
      <c r="O8" s="113"/>
      <c r="P8" s="148"/>
      <c r="Q8" s="113"/>
      <c r="R8" s="148"/>
      <c r="S8" s="113"/>
      <c r="T8" s="148"/>
      <c r="U8" s="113"/>
      <c r="V8" s="150"/>
      <c r="W8" s="113"/>
      <c r="X8" s="150"/>
      <c r="Y8" s="113"/>
      <c r="Z8" s="150"/>
      <c r="AA8" s="151"/>
      <c r="AB8" s="149"/>
      <c r="AC8" s="113"/>
      <c r="AD8" s="150"/>
      <c r="AE8" s="113"/>
      <c r="AF8" s="150"/>
      <c r="AG8" s="113"/>
      <c r="AH8" s="150"/>
      <c r="AI8" s="151"/>
      <c r="AJ8" s="149"/>
      <c r="AK8" s="113"/>
      <c r="AL8" s="117"/>
      <c r="AM8" s="198"/>
      <c r="AN8" s="199"/>
    </row>
    <row r="9" spans="1:40" ht="16.2" customHeight="1">
      <c r="A9" s="161"/>
      <c r="B9" s="114"/>
      <c r="C9" s="114"/>
      <c r="D9" s="114"/>
      <c r="E9" s="114"/>
      <c r="F9" s="118"/>
      <c r="G9" s="114"/>
      <c r="H9" s="114"/>
      <c r="I9" s="114"/>
      <c r="J9" s="114"/>
      <c r="K9" s="114"/>
      <c r="L9" s="118"/>
      <c r="M9" s="114"/>
      <c r="N9" s="114"/>
      <c r="O9" s="114"/>
      <c r="P9" s="114"/>
      <c r="Q9" s="114"/>
      <c r="R9" s="114"/>
      <c r="S9" s="114"/>
      <c r="T9" s="114"/>
      <c r="U9" s="114"/>
      <c r="V9" s="118"/>
      <c r="W9" s="114"/>
      <c r="X9" s="118"/>
      <c r="Y9" s="114"/>
      <c r="Z9" s="118"/>
      <c r="AA9" s="152"/>
      <c r="AB9" s="119"/>
      <c r="AC9" s="114"/>
      <c r="AD9" s="118"/>
      <c r="AE9" s="114"/>
      <c r="AF9" s="118"/>
      <c r="AG9" s="114"/>
      <c r="AH9" s="118"/>
      <c r="AI9" s="152"/>
      <c r="AJ9" s="119"/>
      <c r="AK9" s="114"/>
      <c r="AL9" s="120"/>
      <c r="AM9" s="200"/>
      <c r="AN9" s="201"/>
    </row>
    <row r="10" spans="1:40" ht="16.2" customHeight="1">
      <c r="A10" s="160"/>
      <c r="B10" s="148"/>
      <c r="C10" s="113"/>
      <c r="D10" s="148"/>
      <c r="E10" s="113"/>
      <c r="F10" s="150"/>
      <c r="G10" s="113"/>
      <c r="H10" s="148"/>
      <c r="I10" s="113"/>
      <c r="J10" s="148"/>
      <c r="K10" s="113"/>
      <c r="L10" s="150"/>
      <c r="M10" s="113"/>
      <c r="N10" s="148"/>
      <c r="O10" s="113"/>
      <c r="P10" s="148"/>
      <c r="Q10" s="113"/>
      <c r="R10" s="148"/>
      <c r="S10" s="113"/>
      <c r="T10" s="148"/>
      <c r="U10" s="113"/>
      <c r="V10" s="150"/>
      <c r="W10" s="113"/>
      <c r="X10" s="150"/>
      <c r="Y10" s="113"/>
      <c r="Z10" s="150"/>
      <c r="AA10" s="151"/>
      <c r="AB10" s="149"/>
      <c r="AC10" s="113"/>
      <c r="AD10" s="150"/>
      <c r="AE10" s="113"/>
      <c r="AF10" s="150"/>
      <c r="AG10" s="113"/>
      <c r="AH10" s="150"/>
      <c r="AI10" s="151"/>
      <c r="AJ10" s="149"/>
      <c r="AK10" s="113"/>
      <c r="AL10" s="117"/>
      <c r="AM10" s="198"/>
      <c r="AN10" s="199"/>
    </row>
    <row r="11" spans="1:40" ht="16.2" customHeight="1">
      <c r="A11" s="161"/>
      <c r="B11" s="114"/>
      <c r="C11" s="114"/>
      <c r="D11" s="114"/>
      <c r="E11" s="114"/>
      <c r="F11" s="118"/>
      <c r="G11" s="114"/>
      <c r="H11" s="114"/>
      <c r="I11" s="114"/>
      <c r="J11" s="114"/>
      <c r="K11" s="114"/>
      <c r="L11" s="118"/>
      <c r="M11" s="114"/>
      <c r="N11" s="114"/>
      <c r="O11" s="114"/>
      <c r="P11" s="114"/>
      <c r="Q11" s="114"/>
      <c r="R11" s="114"/>
      <c r="S11" s="114"/>
      <c r="T11" s="114"/>
      <c r="U11" s="114"/>
      <c r="V11" s="118"/>
      <c r="W11" s="114"/>
      <c r="X11" s="118"/>
      <c r="Y11" s="114"/>
      <c r="Z11" s="118"/>
      <c r="AA11" s="152"/>
      <c r="AB11" s="119"/>
      <c r="AC11" s="114"/>
      <c r="AD11" s="118"/>
      <c r="AE11" s="114"/>
      <c r="AF11" s="118"/>
      <c r="AG11" s="114"/>
      <c r="AH11" s="118"/>
      <c r="AI11" s="152"/>
      <c r="AJ11" s="119"/>
      <c r="AK11" s="114"/>
      <c r="AL11" s="120"/>
      <c r="AM11" s="200"/>
      <c r="AN11" s="201"/>
    </row>
    <row r="12" spans="1:40" ht="16.2" customHeight="1">
      <c r="A12" s="160"/>
      <c r="B12" s="148"/>
      <c r="C12" s="113"/>
      <c r="D12" s="148"/>
      <c r="E12" s="113"/>
      <c r="F12" s="150"/>
      <c r="G12" s="113"/>
      <c r="H12" s="148"/>
      <c r="I12" s="113"/>
      <c r="J12" s="148"/>
      <c r="K12" s="113"/>
      <c r="L12" s="150"/>
      <c r="M12" s="113"/>
      <c r="N12" s="148"/>
      <c r="O12" s="113"/>
      <c r="P12" s="148"/>
      <c r="Q12" s="113"/>
      <c r="R12" s="148"/>
      <c r="S12" s="113"/>
      <c r="T12" s="148"/>
      <c r="U12" s="113"/>
      <c r="V12" s="150"/>
      <c r="W12" s="113"/>
      <c r="X12" s="150"/>
      <c r="Y12" s="113"/>
      <c r="Z12" s="150"/>
      <c r="AA12" s="151"/>
      <c r="AB12" s="149"/>
      <c r="AC12" s="113"/>
      <c r="AD12" s="150"/>
      <c r="AE12" s="113"/>
      <c r="AF12" s="150"/>
      <c r="AG12" s="113"/>
      <c r="AH12" s="150"/>
      <c r="AI12" s="151"/>
      <c r="AJ12" s="149"/>
      <c r="AK12" s="113"/>
      <c r="AL12" s="117"/>
      <c r="AM12" s="198"/>
      <c r="AN12" s="199"/>
    </row>
    <row r="13" spans="1:40" ht="16.2" customHeight="1">
      <c r="A13" s="161"/>
      <c r="B13" s="114"/>
      <c r="C13" s="114"/>
      <c r="D13" s="114"/>
      <c r="E13" s="114"/>
      <c r="F13" s="118"/>
      <c r="G13" s="114"/>
      <c r="H13" s="114"/>
      <c r="I13" s="114"/>
      <c r="J13" s="114"/>
      <c r="K13" s="114"/>
      <c r="L13" s="118"/>
      <c r="M13" s="114"/>
      <c r="N13" s="114"/>
      <c r="O13" s="114"/>
      <c r="P13" s="114"/>
      <c r="Q13" s="114"/>
      <c r="R13" s="114"/>
      <c r="S13" s="114"/>
      <c r="T13" s="114"/>
      <c r="U13" s="114"/>
      <c r="V13" s="118"/>
      <c r="W13" s="114"/>
      <c r="X13" s="118"/>
      <c r="Y13" s="114"/>
      <c r="Z13" s="118"/>
      <c r="AA13" s="152"/>
      <c r="AB13" s="119"/>
      <c r="AC13" s="114"/>
      <c r="AD13" s="118"/>
      <c r="AE13" s="114"/>
      <c r="AF13" s="118"/>
      <c r="AG13" s="114"/>
      <c r="AH13" s="118"/>
      <c r="AI13" s="152"/>
      <c r="AJ13" s="119"/>
      <c r="AK13" s="114"/>
      <c r="AL13" s="120"/>
      <c r="AM13" s="200"/>
      <c r="AN13" s="201"/>
    </row>
    <row r="14" spans="1:40" ht="16.2" customHeight="1">
      <c r="A14" s="160"/>
      <c r="B14" s="148"/>
      <c r="C14" s="113"/>
      <c r="D14" s="148"/>
      <c r="E14" s="113"/>
      <c r="F14" s="150"/>
      <c r="G14" s="113"/>
      <c r="H14" s="148"/>
      <c r="I14" s="113"/>
      <c r="J14" s="148"/>
      <c r="K14" s="113"/>
      <c r="L14" s="150"/>
      <c r="M14" s="113"/>
      <c r="N14" s="148"/>
      <c r="O14" s="113"/>
      <c r="P14" s="148"/>
      <c r="Q14" s="113"/>
      <c r="R14" s="148"/>
      <c r="S14" s="113"/>
      <c r="T14" s="148"/>
      <c r="U14" s="113"/>
      <c r="V14" s="150"/>
      <c r="W14" s="113"/>
      <c r="X14" s="150"/>
      <c r="Y14" s="113"/>
      <c r="Z14" s="150"/>
      <c r="AA14" s="151"/>
      <c r="AB14" s="149"/>
      <c r="AC14" s="113"/>
      <c r="AD14" s="150"/>
      <c r="AE14" s="113"/>
      <c r="AF14" s="150"/>
      <c r="AG14" s="113"/>
      <c r="AH14" s="150"/>
      <c r="AI14" s="151"/>
      <c r="AJ14" s="149"/>
      <c r="AK14" s="113"/>
      <c r="AL14" s="117"/>
      <c r="AM14" s="198"/>
      <c r="AN14" s="199"/>
    </row>
    <row r="15" spans="1:40" ht="16.2" customHeight="1">
      <c r="A15" s="161"/>
      <c r="B15" s="114"/>
      <c r="C15" s="114"/>
      <c r="D15" s="114"/>
      <c r="E15" s="114"/>
      <c r="F15" s="118"/>
      <c r="G15" s="114"/>
      <c r="H15" s="114"/>
      <c r="I15" s="114"/>
      <c r="J15" s="114"/>
      <c r="K15" s="114"/>
      <c r="L15" s="118"/>
      <c r="M15" s="114"/>
      <c r="N15" s="114"/>
      <c r="O15" s="114"/>
      <c r="P15" s="114"/>
      <c r="Q15" s="114"/>
      <c r="R15" s="114"/>
      <c r="S15" s="114"/>
      <c r="T15" s="114"/>
      <c r="U15" s="114"/>
      <c r="V15" s="118"/>
      <c r="W15" s="114"/>
      <c r="X15" s="118"/>
      <c r="Y15" s="114"/>
      <c r="Z15" s="118"/>
      <c r="AA15" s="152"/>
      <c r="AB15" s="119"/>
      <c r="AC15" s="114"/>
      <c r="AD15" s="118"/>
      <c r="AE15" s="114"/>
      <c r="AF15" s="118"/>
      <c r="AG15" s="114"/>
      <c r="AH15" s="118"/>
      <c r="AI15" s="152"/>
      <c r="AJ15" s="119"/>
      <c r="AK15" s="114"/>
      <c r="AL15" s="120"/>
      <c r="AM15" s="200"/>
      <c r="AN15" s="201"/>
    </row>
    <row r="16" spans="1:40" ht="16.2" customHeight="1">
      <c r="A16" s="160"/>
      <c r="B16" s="148"/>
      <c r="C16" s="113"/>
      <c r="D16" s="148"/>
      <c r="E16" s="113"/>
      <c r="F16" s="150"/>
      <c r="G16" s="113"/>
      <c r="H16" s="148"/>
      <c r="I16" s="113"/>
      <c r="J16" s="148"/>
      <c r="K16" s="113"/>
      <c r="L16" s="150"/>
      <c r="M16" s="113"/>
      <c r="N16" s="148"/>
      <c r="O16" s="113"/>
      <c r="P16" s="148"/>
      <c r="Q16" s="113"/>
      <c r="R16" s="148"/>
      <c r="S16" s="113"/>
      <c r="T16" s="148"/>
      <c r="U16" s="113"/>
      <c r="V16" s="150"/>
      <c r="W16" s="113"/>
      <c r="X16" s="150"/>
      <c r="Y16" s="113"/>
      <c r="Z16" s="150"/>
      <c r="AA16" s="151"/>
      <c r="AB16" s="149"/>
      <c r="AC16" s="113"/>
      <c r="AD16" s="150"/>
      <c r="AE16" s="113"/>
      <c r="AF16" s="150"/>
      <c r="AG16" s="113"/>
      <c r="AH16" s="150"/>
      <c r="AI16" s="151"/>
      <c r="AJ16" s="149"/>
      <c r="AK16" s="113"/>
      <c r="AL16" s="117"/>
      <c r="AM16" s="198"/>
      <c r="AN16" s="199"/>
    </row>
    <row r="17" spans="1:40" ht="16.2" customHeight="1">
      <c r="A17" s="161"/>
      <c r="B17" s="114"/>
      <c r="C17" s="114"/>
      <c r="D17" s="114"/>
      <c r="E17" s="114"/>
      <c r="F17" s="118"/>
      <c r="G17" s="114"/>
      <c r="H17" s="114"/>
      <c r="I17" s="114"/>
      <c r="J17" s="114"/>
      <c r="K17" s="114"/>
      <c r="L17" s="118"/>
      <c r="M17" s="114"/>
      <c r="N17" s="114"/>
      <c r="O17" s="114"/>
      <c r="P17" s="114"/>
      <c r="Q17" s="114"/>
      <c r="R17" s="114"/>
      <c r="S17" s="114"/>
      <c r="T17" s="114"/>
      <c r="U17" s="114"/>
      <c r="V17" s="118"/>
      <c r="W17" s="114"/>
      <c r="X17" s="118"/>
      <c r="Y17" s="114"/>
      <c r="Z17" s="118"/>
      <c r="AA17" s="152"/>
      <c r="AB17" s="119"/>
      <c r="AC17" s="114"/>
      <c r="AD17" s="118"/>
      <c r="AE17" s="114"/>
      <c r="AF17" s="118"/>
      <c r="AG17" s="114"/>
      <c r="AH17" s="118"/>
      <c r="AI17" s="152"/>
      <c r="AJ17" s="119"/>
      <c r="AK17" s="114"/>
      <c r="AL17" s="120"/>
      <c r="AM17" s="200"/>
      <c r="AN17" s="201"/>
    </row>
    <row r="18" spans="1:40" ht="16.2" customHeight="1">
      <c r="A18" s="160"/>
      <c r="B18" s="148"/>
      <c r="C18" s="113"/>
      <c r="D18" s="148"/>
      <c r="E18" s="113"/>
      <c r="F18" s="150"/>
      <c r="G18" s="113"/>
      <c r="H18" s="148"/>
      <c r="I18" s="113"/>
      <c r="J18" s="148"/>
      <c r="K18" s="113"/>
      <c r="L18" s="150"/>
      <c r="M18" s="113"/>
      <c r="N18" s="148"/>
      <c r="O18" s="113"/>
      <c r="P18" s="148"/>
      <c r="Q18" s="113"/>
      <c r="R18" s="148"/>
      <c r="S18" s="113"/>
      <c r="T18" s="148"/>
      <c r="U18" s="113"/>
      <c r="V18" s="150"/>
      <c r="W18" s="113"/>
      <c r="X18" s="150"/>
      <c r="Y18" s="113"/>
      <c r="Z18" s="150"/>
      <c r="AA18" s="151"/>
      <c r="AB18" s="149"/>
      <c r="AC18" s="113"/>
      <c r="AD18" s="150"/>
      <c r="AE18" s="113"/>
      <c r="AF18" s="150"/>
      <c r="AG18" s="113"/>
      <c r="AH18" s="150"/>
      <c r="AI18" s="151"/>
      <c r="AJ18" s="149"/>
      <c r="AK18" s="113"/>
      <c r="AL18" s="117"/>
      <c r="AM18" s="198"/>
      <c r="AN18" s="199"/>
    </row>
    <row r="19" spans="1:40" ht="16.2" customHeight="1">
      <c r="A19" s="161"/>
      <c r="B19" s="114"/>
      <c r="C19" s="114"/>
      <c r="D19" s="114"/>
      <c r="E19" s="114"/>
      <c r="F19" s="118"/>
      <c r="G19" s="114"/>
      <c r="H19" s="114"/>
      <c r="I19" s="114"/>
      <c r="J19" s="114"/>
      <c r="K19" s="114"/>
      <c r="L19" s="118"/>
      <c r="M19" s="114"/>
      <c r="N19" s="114"/>
      <c r="O19" s="114"/>
      <c r="P19" s="114"/>
      <c r="Q19" s="114"/>
      <c r="R19" s="114"/>
      <c r="S19" s="114"/>
      <c r="T19" s="114"/>
      <c r="U19" s="114"/>
      <c r="V19" s="118"/>
      <c r="W19" s="114"/>
      <c r="X19" s="118"/>
      <c r="Y19" s="114"/>
      <c r="Z19" s="118"/>
      <c r="AA19" s="152"/>
      <c r="AB19" s="119"/>
      <c r="AC19" s="114"/>
      <c r="AD19" s="118"/>
      <c r="AE19" s="114"/>
      <c r="AF19" s="118"/>
      <c r="AG19" s="114"/>
      <c r="AH19" s="118"/>
      <c r="AI19" s="152"/>
      <c r="AJ19" s="119"/>
      <c r="AK19" s="114"/>
      <c r="AL19" s="120"/>
      <c r="AM19" s="200"/>
      <c r="AN19" s="201"/>
    </row>
    <row r="20" spans="1:40" ht="16.2" customHeight="1">
      <c r="A20" s="160"/>
      <c r="B20" s="148"/>
      <c r="C20" s="113"/>
      <c r="D20" s="148"/>
      <c r="E20" s="113"/>
      <c r="F20" s="150"/>
      <c r="G20" s="113"/>
      <c r="H20" s="148"/>
      <c r="I20" s="113"/>
      <c r="J20" s="148"/>
      <c r="K20" s="113"/>
      <c r="L20" s="150"/>
      <c r="M20" s="113"/>
      <c r="N20" s="148"/>
      <c r="O20" s="113"/>
      <c r="P20" s="148"/>
      <c r="Q20" s="113"/>
      <c r="R20" s="148"/>
      <c r="S20" s="113"/>
      <c r="T20" s="148"/>
      <c r="U20" s="113"/>
      <c r="V20" s="150"/>
      <c r="W20" s="113"/>
      <c r="X20" s="150"/>
      <c r="Y20" s="113"/>
      <c r="Z20" s="150"/>
      <c r="AA20" s="151"/>
      <c r="AB20" s="149"/>
      <c r="AC20" s="113"/>
      <c r="AD20" s="150"/>
      <c r="AE20" s="113"/>
      <c r="AF20" s="150"/>
      <c r="AG20" s="113"/>
      <c r="AH20" s="150"/>
      <c r="AI20" s="151"/>
      <c r="AJ20" s="149"/>
      <c r="AK20" s="113"/>
      <c r="AL20" s="117"/>
      <c r="AM20" s="198"/>
      <c r="AN20" s="199"/>
    </row>
    <row r="21" spans="1:40" ht="16.2" customHeight="1">
      <c r="A21" s="161"/>
      <c r="B21" s="114"/>
      <c r="C21" s="114"/>
      <c r="D21" s="114"/>
      <c r="E21" s="114"/>
      <c r="F21" s="118"/>
      <c r="G21" s="114"/>
      <c r="H21" s="114"/>
      <c r="I21" s="114"/>
      <c r="J21" s="114"/>
      <c r="K21" s="114"/>
      <c r="L21" s="118"/>
      <c r="M21" s="114"/>
      <c r="N21" s="114"/>
      <c r="O21" s="114"/>
      <c r="P21" s="114"/>
      <c r="Q21" s="114"/>
      <c r="R21" s="114"/>
      <c r="S21" s="114"/>
      <c r="T21" s="114"/>
      <c r="U21" s="114"/>
      <c r="V21" s="118"/>
      <c r="W21" s="114"/>
      <c r="X21" s="118"/>
      <c r="Y21" s="114"/>
      <c r="Z21" s="118"/>
      <c r="AA21" s="152"/>
      <c r="AB21" s="119"/>
      <c r="AC21" s="114"/>
      <c r="AD21" s="118"/>
      <c r="AE21" s="114"/>
      <c r="AF21" s="118"/>
      <c r="AG21" s="114"/>
      <c r="AH21" s="118"/>
      <c r="AI21" s="152"/>
      <c r="AJ21" s="119"/>
      <c r="AK21" s="114"/>
      <c r="AL21" s="120"/>
      <c r="AM21" s="200"/>
      <c r="AN21" s="201"/>
    </row>
    <row r="22" spans="1:40" ht="16.2" customHeight="1">
      <c r="A22" s="160"/>
      <c r="B22" s="148"/>
      <c r="C22" s="113"/>
      <c r="D22" s="148"/>
      <c r="E22" s="113"/>
      <c r="F22" s="150"/>
      <c r="G22" s="113"/>
      <c r="H22" s="148"/>
      <c r="I22" s="113"/>
      <c r="J22" s="148"/>
      <c r="K22" s="113"/>
      <c r="L22" s="150"/>
      <c r="M22" s="113"/>
      <c r="N22" s="148"/>
      <c r="O22" s="113"/>
      <c r="P22" s="148"/>
      <c r="Q22" s="113"/>
      <c r="R22" s="148"/>
      <c r="S22" s="113"/>
      <c r="T22" s="148"/>
      <c r="U22" s="113"/>
      <c r="V22" s="150"/>
      <c r="W22" s="113"/>
      <c r="X22" s="150"/>
      <c r="Y22" s="113"/>
      <c r="Z22" s="150"/>
      <c r="AA22" s="151"/>
      <c r="AB22" s="149"/>
      <c r="AC22" s="113"/>
      <c r="AD22" s="150"/>
      <c r="AE22" s="113"/>
      <c r="AF22" s="150"/>
      <c r="AG22" s="113"/>
      <c r="AH22" s="150"/>
      <c r="AI22" s="151"/>
      <c r="AJ22" s="149"/>
      <c r="AK22" s="113"/>
      <c r="AL22" s="117"/>
      <c r="AM22" s="198"/>
      <c r="AN22" s="199"/>
    </row>
    <row r="23" spans="1:40" ht="16.2" customHeight="1">
      <c r="A23" s="161"/>
      <c r="B23" s="114"/>
      <c r="C23" s="114"/>
      <c r="D23" s="114"/>
      <c r="E23" s="114"/>
      <c r="F23" s="118"/>
      <c r="G23" s="114"/>
      <c r="H23" s="114"/>
      <c r="I23" s="114"/>
      <c r="J23" s="114"/>
      <c r="K23" s="114"/>
      <c r="L23" s="118"/>
      <c r="M23" s="114"/>
      <c r="N23" s="114"/>
      <c r="O23" s="114"/>
      <c r="P23" s="114"/>
      <c r="Q23" s="114"/>
      <c r="R23" s="114"/>
      <c r="S23" s="114"/>
      <c r="T23" s="114"/>
      <c r="U23" s="114"/>
      <c r="V23" s="118"/>
      <c r="W23" s="114"/>
      <c r="X23" s="118"/>
      <c r="Y23" s="114"/>
      <c r="Z23" s="118"/>
      <c r="AA23" s="152"/>
      <c r="AB23" s="119"/>
      <c r="AC23" s="114"/>
      <c r="AD23" s="118"/>
      <c r="AE23" s="114"/>
      <c r="AF23" s="118"/>
      <c r="AG23" s="114"/>
      <c r="AH23" s="118"/>
      <c r="AI23" s="152"/>
      <c r="AJ23" s="119"/>
      <c r="AK23" s="114"/>
      <c r="AL23" s="120"/>
      <c r="AM23" s="200"/>
      <c r="AN23" s="201"/>
    </row>
    <row r="24" spans="1:40" ht="16.2" customHeight="1">
      <c r="A24" s="160"/>
      <c r="B24" s="148"/>
      <c r="C24" s="113"/>
      <c r="D24" s="148"/>
      <c r="E24" s="113"/>
      <c r="F24" s="150"/>
      <c r="G24" s="113"/>
      <c r="H24" s="148"/>
      <c r="I24" s="113"/>
      <c r="J24" s="148"/>
      <c r="K24" s="113"/>
      <c r="L24" s="150"/>
      <c r="M24" s="113"/>
      <c r="N24" s="148"/>
      <c r="O24" s="113"/>
      <c r="P24" s="148"/>
      <c r="Q24" s="113"/>
      <c r="R24" s="148"/>
      <c r="S24" s="113"/>
      <c r="T24" s="148"/>
      <c r="U24" s="113"/>
      <c r="V24" s="150"/>
      <c r="W24" s="113"/>
      <c r="X24" s="150"/>
      <c r="Y24" s="113"/>
      <c r="Z24" s="150"/>
      <c r="AA24" s="151"/>
      <c r="AB24" s="149"/>
      <c r="AC24" s="113"/>
      <c r="AD24" s="150"/>
      <c r="AE24" s="113"/>
      <c r="AF24" s="150"/>
      <c r="AG24" s="113"/>
      <c r="AH24" s="150"/>
      <c r="AI24" s="151"/>
      <c r="AJ24" s="149"/>
      <c r="AK24" s="113"/>
      <c r="AL24" s="117"/>
      <c r="AM24" s="198"/>
      <c r="AN24" s="199"/>
    </row>
    <row r="25" spans="1:40" ht="16.2" customHeight="1">
      <c r="A25" s="161"/>
      <c r="B25" s="114"/>
      <c r="C25" s="114"/>
      <c r="D25" s="114"/>
      <c r="E25" s="114"/>
      <c r="F25" s="118"/>
      <c r="G25" s="114"/>
      <c r="H25" s="114"/>
      <c r="I25" s="114"/>
      <c r="J25" s="114"/>
      <c r="K25" s="114"/>
      <c r="L25" s="118"/>
      <c r="M25" s="114"/>
      <c r="N25" s="114"/>
      <c r="O25" s="114"/>
      <c r="P25" s="114"/>
      <c r="Q25" s="114"/>
      <c r="R25" s="114"/>
      <c r="S25" s="114"/>
      <c r="T25" s="114"/>
      <c r="U25" s="114"/>
      <c r="V25" s="118"/>
      <c r="W25" s="114"/>
      <c r="X25" s="118"/>
      <c r="Y25" s="114"/>
      <c r="Z25" s="118"/>
      <c r="AA25" s="152"/>
      <c r="AB25" s="119"/>
      <c r="AC25" s="114"/>
      <c r="AD25" s="118"/>
      <c r="AE25" s="114"/>
      <c r="AF25" s="118"/>
      <c r="AG25" s="114"/>
      <c r="AH25" s="118"/>
      <c r="AI25" s="152"/>
      <c r="AJ25" s="119"/>
      <c r="AK25" s="114"/>
      <c r="AL25" s="120"/>
      <c r="AM25" s="200"/>
      <c r="AN25" s="201"/>
    </row>
    <row r="26" spans="1:40" ht="16.2" customHeight="1">
      <c r="A26" s="160"/>
      <c r="B26" s="148"/>
      <c r="C26" s="113"/>
      <c r="D26" s="148"/>
      <c r="E26" s="113"/>
      <c r="F26" s="150"/>
      <c r="G26" s="113"/>
      <c r="H26" s="148"/>
      <c r="I26" s="113"/>
      <c r="J26" s="148"/>
      <c r="K26" s="113"/>
      <c r="L26" s="150"/>
      <c r="M26" s="113"/>
      <c r="N26" s="148"/>
      <c r="O26" s="113"/>
      <c r="P26" s="148"/>
      <c r="Q26" s="113"/>
      <c r="R26" s="148"/>
      <c r="S26" s="113"/>
      <c r="T26" s="148"/>
      <c r="U26" s="113"/>
      <c r="V26" s="150"/>
      <c r="W26" s="113"/>
      <c r="X26" s="150"/>
      <c r="Y26" s="113"/>
      <c r="Z26" s="150"/>
      <c r="AA26" s="151"/>
      <c r="AB26" s="149"/>
      <c r="AC26" s="113"/>
      <c r="AD26" s="150"/>
      <c r="AE26" s="113"/>
      <c r="AF26" s="150"/>
      <c r="AG26" s="113"/>
      <c r="AH26" s="150"/>
      <c r="AI26" s="151"/>
      <c r="AJ26" s="149"/>
      <c r="AK26" s="113"/>
      <c r="AL26" s="117"/>
      <c r="AM26" s="198"/>
      <c r="AN26" s="199"/>
    </row>
    <row r="27" spans="1:40" ht="16.2" customHeight="1">
      <c r="A27" s="161"/>
      <c r="B27" s="114"/>
      <c r="C27" s="114"/>
      <c r="D27" s="114"/>
      <c r="E27" s="114"/>
      <c r="F27" s="118"/>
      <c r="G27" s="114"/>
      <c r="H27" s="114"/>
      <c r="I27" s="114"/>
      <c r="J27" s="114"/>
      <c r="K27" s="114"/>
      <c r="L27" s="118"/>
      <c r="M27" s="114"/>
      <c r="N27" s="114"/>
      <c r="O27" s="114"/>
      <c r="P27" s="114"/>
      <c r="Q27" s="114"/>
      <c r="R27" s="114"/>
      <c r="S27" s="114"/>
      <c r="T27" s="114"/>
      <c r="U27" s="114"/>
      <c r="V27" s="118"/>
      <c r="W27" s="114"/>
      <c r="X27" s="118"/>
      <c r="Y27" s="114"/>
      <c r="Z27" s="118"/>
      <c r="AA27" s="152"/>
      <c r="AB27" s="119"/>
      <c r="AC27" s="114"/>
      <c r="AD27" s="118"/>
      <c r="AE27" s="114"/>
      <c r="AF27" s="118"/>
      <c r="AG27" s="114"/>
      <c r="AH27" s="118"/>
      <c r="AI27" s="152"/>
      <c r="AJ27" s="119"/>
      <c r="AK27" s="114"/>
      <c r="AL27" s="120"/>
      <c r="AM27" s="200"/>
      <c r="AN27" s="201"/>
    </row>
    <row r="28" spans="1:40" ht="16.2" customHeight="1">
      <c r="A28" s="160"/>
      <c r="B28" s="148"/>
      <c r="C28" s="113"/>
      <c r="D28" s="148"/>
      <c r="E28" s="113"/>
      <c r="F28" s="150"/>
      <c r="G28" s="113"/>
      <c r="H28" s="148"/>
      <c r="I28" s="113"/>
      <c r="J28" s="148"/>
      <c r="K28" s="113"/>
      <c r="L28" s="150"/>
      <c r="M28" s="113"/>
      <c r="N28" s="148"/>
      <c r="O28" s="113"/>
      <c r="P28" s="148"/>
      <c r="Q28" s="113"/>
      <c r="R28" s="148"/>
      <c r="S28" s="113"/>
      <c r="T28" s="148"/>
      <c r="U28" s="113"/>
      <c r="V28" s="150"/>
      <c r="W28" s="113"/>
      <c r="X28" s="150"/>
      <c r="Y28" s="113"/>
      <c r="Z28" s="150"/>
      <c r="AA28" s="151"/>
      <c r="AB28" s="149"/>
      <c r="AC28" s="113"/>
      <c r="AD28" s="150"/>
      <c r="AE28" s="113"/>
      <c r="AF28" s="150"/>
      <c r="AG28" s="113"/>
      <c r="AH28" s="150"/>
      <c r="AI28" s="151"/>
      <c r="AJ28" s="149"/>
      <c r="AK28" s="113"/>
      <c r="AL28" s="117"/>
      <c r="AM28" s="198"/>
      <c r="AN28" s="199"/>
    </row>
    <row r="29" spans="1:40" ht="16.2" customHeight="1">
      <c r="A29" s="161"/>
      <c r="B29" s="114"/>
      <c r="C29" s="114"/>
      <c r="D29" s="114"/>
      <c r="E29" s="114"/>
      <c r="F29" s="118"/>
      <c r="G29" s="114"/>
      <c r="H29" s="114"/>
      <c r="I29" s="114"/>
      <c r="J29" s="114"/>
      <c r="K29" s="114"/>
      <c r="L29" s="118"/>
      <c r="M29" s="114"/>
      <c r="N29" s="114"/>
      <c r="O29" s="114"/>
      <c r="P29" s="114"/>
      <c r="Q29" s="114"/>
      <c r="R29" s="114"/>
      <c r="S29" s="114"/>
      <c r="T29" s="114"/>
      <c r="U29" s="114"/>
      <c r="V29" s="118"/>
      <c r="W29" s="114"/>
      <c r="X29" s="118"/>
      <c r="Y29" s="114"/>
      <c r="Z29" s="118"/>
      <c r="AA29" s="152"/>
      <c r="AB29" s="119"/>
      <c r="AC29" s="114"/>
      <c r="AD29" s="118"/>
      <c r="AE29" s="114"/>
      <c r="AF29" s="118"/>
      <c r="AG29" s="114"/>
      <c r="AH29" s="118"/>
      <c r="AI29" s="152"/>
      <c r="AJ29" s="119"/>
      <c r="AK29" s="114"/>
      <c r="AL29" s="120"/>
      <c r="AM29" s="200"/>
      <c r="AN29" s="201"/>
    </row>
    <row r="30" spans="1:40" ht="16.2" customHeight="1">
      <c r="A30" s="160"/>
      <c r="B30" s="148"/>
      <c r="C30" s="113"/>
      <c r="D30" s="148"/>
      <c r="E30" s="113"/>
      <c r="F30" s="150"/>
      <c r="G30" s="113"/>
      <c r="H30" s="148"/>
      <c r="I30" s="113"/>
      <c r="J30" s="148"/>
      <c r="K30" s="113"/>
      <c r="L30" s="150"/>
      <c r="M30" s="113"/>
      <c r="N30" s="148"/>
      <c r="O30" s="113"/>
      <c r="P30" s="148"/>
      <c r="Q30" s="113"/>
      <c r="R30" s="148"/>
      <c r="S30" s="113"/>
      <c r="T30" s="148"/>
      <c r="U30" s="113"/>
      <c r="V30" s="150"/>
      <c r="W30" s="113"/>
      <c r="X30" s="150"/>
      <c r="Y30" s="113"/>
      <c r="Z30" s="150"/>
      <c r="AA30" s="151"/>
      <c r="AB30" s="149"/>
      <c r="AC30" s="113"/>
      <c r="AD30" s="150"/>
      <c r="AE30" s="113"/>
      <c r="AF30" s="150"/>
      <c r="AG30" s="113"/>
      <c r="AH30" s="150"/>
      <c r="AI30" s="151"/>
      <c r="AJ30" s="149"/>
      <c r="AK30" s="113"/>
      <c r="AL30" s="117"/>
      <c r="AM30" s="198"/>
      <c r="AN30" s="199"/>
    </row>
    <row r="31" spans="1:40" ht="16.2" customHeight="1">
      <c r="A31" s="161"/>
      <c r="B31" s="114"/>
      <c r="C31" s="114"/>
      <c r="D31" s="114"/>
      <c r="E31" s="114"/>
      <c r="F31" s="118"/>
      <c r="G31" s="114"/>
      <c r="H31" s="114"/>
      <c r="I31" s="114"/>
      <c r="J31" s="114"/>
      <c r="K31" s="114"/>
      <c r="L31" s="118"/>
      <c r="M31" s="114"/>
      <c r="N31" s="114"/>
      <c r="O31" s="114"/>
      <c r="P31" s="114"/>
      <c r="Q31" s="114"/>
      <c r="R31" s="114"/>
      <c r="S31" s="114"/>
      <c r="T31" s="114"/>
      <c r="U31" s="114"/>
      <c r="V31" s="118"/>
      <c r="W31" s="114"/>
      <c r="X31" s="118"/>
      <c r="Y31" s="114"/>
      <c r="Z31" s="118"/>
      <c r="AA31" s="152"/>
      <c r="AB31" s="119"/>
      <c r="AC31" s="114"/>
      <c r="AD31" s="118"/>
      <c r="AE31" s="114"/>
      <c r="AF31" s="118"/>
      <c r="AG31" s="114"/>
      <c r="AH31" s="118"/>
      <c r="AI31" s="152"/>
      <c r="AJ31" s="119"/>
      <c r="AK31" s="114"/>
      <c r="AL31" s="120"/>
      <c r="AM31" s="200"/>
      <c r="AN31" s="201"/>
    </row>
    <row r="32" spans="1:40" ht="16.2" customHeight="1">
      <c r="A32" s="160"/>
      <c r="B32" s="148"/>
      <c r="C32" s="113"/>
      <c r="D32" s="148"/>
      <c r="E32" s="113"/>
      <c r="F32" s="150"/>
      <c r="G32" s="113"/>
      <c r="H32" s="148"/>
      <c r="I32" s="113"/>
      <c r="J32" s="148"/>
      <c r="K32" s="113"/>
      <c r="L32" s="150"/>
      <c r="M32" s="113"/>
      <c r="N32" s="148"/>
      <c r="O32" s="113"/>
      <c r="P32" s="148"/>
      <c r="Q32" s="113"/>
      <c r="R32" s="148"/>
      <c r="S32" s="113"/>
      <c r="T32" s="148"/>
      <c r="U32" s="113"/>
      <c r="V32" s="150"/>
      <c r="W32" s="113"/>
      <c r="X32" s="150"/>
      <c r="Y32" s="113"/>
      <c r="Z32" s="150"/>
      <c r="AA32" s="151"/>
      <c r="AB32" s="149"/>
      <c r="AC32" s="113"/>
      <c r="AD32" s="150"/>
      <c r="AE32" s="113"/>
      <c r="AF32" s="150"/>
      <c r="AG32" s="113"/>
      <c r="AH32" s="150"/>
      <c r="AI32" s="151"/>
      <c r="AJ32" s="149"/>
      <c r="AK32" s="113"/>
      <c r="AL32" s="117"/>
      <c r="AM32" s="198"/>
      <c r="AN32" s="199"/>
    </row>
    <row r="33" spans="1:40" ht="16.2" customHeight="1">
      <c r="A33" s="161"/>
      <c r="B33" s="114"/>
      <c r="C33" s="114"/>
      <c r="D33" s="114"/>
      <c r="E33" s="114"/>
      <c r="F33" s="118"/>
      <c r="G33" s="114"/>
      <c r="H33" s="114"/>
      <c r="I33" s="114"/>
      <c r="J33" s="114"/>
      <c r="K33" s="114"/>
      <c r="L33" s="118"/>
      <c r="M33" s="114"/>
      <c r="N33" s="114"/>
      <c r="O33" s="114"/>
      <c r="P33" s="114"/>
      <c r="Q33" s="114"/>
      <c r="R33" s="114"/>
      <c r="S33" s="114"/>
      <c r="T33" s="114"/>
      <c r="U33" s="114"/>
      <c r="V33" s="118"/>
      <c r="W33" s="114"/>
      <c r="X33" s="118"/>
      <c r="Y33" s="114"/>
      <c r="Z33" s="118"/>
      <c r="AA33" s="152"/>
      <c r="AB33" s="119"/>
      <c r="AC33" s="114"/>
      <c r="AD33" s="118"/>
      <c r="AE33" s="114"/>
      <c r="AF33" s="118"/>
      <c r="AG33" s="114"/>
      <c r="AH33" s="118"/>
      <c r="AI33" s="152"/>
      <c r="AJ33" s="119"/>
      <c r="AK33" s="114"/>
      <c r="AL33" s="120"/>
      <c r="AM33" s="200"/>
      <c r="AN33" s="201"/>
    </row>
    <row r="34" spans="1:40" ht="16.2" customHeight="1">
      <c r="A34" s="160"/>
      <c r="B34" s="148"/>
      <c r="C34" s="113"/>
      <c r="D34" s="148"/>
      <c r="E34" s="113"/>
      <c r="F34" s="150"/>
      <c r="G34" s="113"/>
      <c r="H34" s="148"/>
      <c r="I34" s="113"/>
      <c r="J34" s="148"/>
      <c r="K34" s="113"/>
      <c r="L34" s="150"/>
      <c r="M34" s="113"/>
      <c r="N34" s="148"/>
      <c r="O34" s="113"/>
      <c r="P34" s="148"/>
      <c r="Q34" s="113"/>
      <c r="R34" s="148"/>
      <c r="S34" s="113"/>
      <c r="T34" s="148"/>
      <c r="U34" s="113"/>
      <c r="V34" s="150"/>
      <c r="W34" s="113"/>
      <c r="X34" s="150"/>
      <c r="Y34" s="113"/>
      <c r="Z34" s="150"/>
      <c r="AA34" s="151"/>
      <c r="AB34" s="149"/>
      <c r="AC34" s="113"/>
      <c r="AD34" s="150"/>
      <c r="AE34" s="113"/>
      <c r="AF34" s="150"/>
      <c r="AG34" s="113"/>
      <c r="AH34" s="150"/>
      <c r="AI34" s="151"/>
      <c r="AJ34" s="149"/>
      <c r="AK34" s="113"/>
      <c r="AL34" s="117"/>
      <c r="AM34" s="198"/>
      <c r="AN34" s="199"/>
    </row>
    <row r="35" spans="1:40" ht="16.2" customHeight="1">
      <c r="A35" s="161"/>
      <c r="B35" s="114"/>
      <c r="C35" s="114"/>
      <c r="D35" s="114"/>
      <c r="E35" s="114"/>
      <c r="F35" s="118"/>
      <c r="G35" s="114"/>
      <c r="H35" s="114"/>
      <c r="I35" s="114"/>
      <c r="J35" s="114"/>
      <c r="K35" s="114"/>
      <c r="L35" s="118"/>
      <c r="M35" s="114"/>
      <c r="N35" s="114"/>
      <c r="O35" s="114"/>
      <c r="P35" s="114"/>
      <c r="Q35" s="114"/>
      <c r="R35" s="114"/>
      <c r="S35" s="114"/>
      <c r="T35" s="114"/>
      <c r="U35" s="114"/>
      <c r="V35" s="118"/>
      <c r="W35" s="114"/>
      <c r="X35" s="118"/>
      <c r="Y35" s="114"/>
      <c r="Z35" s="118"/>
      <c r="AA35" s="152"/>
      <c r="AB35" s="119"/>
      <c r="AC35" s="114"/>
      <c r="AD35" s="118"/>
      <c r="AE35" s="114"/>
      <c r="AF35" s="118"/>
      <c r="AG35" s="114"/>
      <c r="AH35" s="118"/>
      <c r="AI35" s="152"/>
      <c r="AJ35" s="119"/>
      <c r="AK35" s="114"/>
      <c r="AL35" s="120"/>
      <c r="AM35" s="200"/>
      <c r="AN35" s="201"/>
    </row>
    <row r="36" spans="1:40" ht="16.2" customHeight="1">
      <c r="A36" s="160"/>
      <c r="B36" s="148"/>
      <c r="C36" s="113"/>
      <c r="D36" s="148"/>
      <c r="E36" s="113"/>
      <c r="F36" s="150"/>
      <c r="G36" s="113"/>
      <c r="H36" s="148"/>
      <c r="I36" s="113"/>
      <c r="J36" s="148"/>
      <c r="K36" s="113"/>
      <c r="L36" s="150"/>
      <c r="M36" s="113"/>
      <c r="N36" s="148"/>
      <c r="O36" s="113"/>
      <c r="P36" s="148"/>
      <c r="Q36" s="113"/>
      <c r="R36" s="148"/>
      <c r="S36" s="113"/>
      <c r="T36" s="148"/>
      <c r="U36" s="113"/>
      <c r="V36" s="150"/>
      <c r="W36" s="113"/>
      <c r="X36" s="150"/>
      <c r="Y36" s="113"/>
      <c r="Z36" s="150"/>
      <c r="AA36" s="151"/>
      <c r="AB36" s="149"/>
      <c r="AC36" s="113"/>
      <c r="AD36" s="150"/>
      <c r="AE36" s="113"/>
      <c r="AF36" s="150"/>
      <c r="AG36" s="113"/>
      <c r="AH36" s="150"/>
      <c r="AI36" s="151"/>
      <c r="AJ36" s="149"/>
      <c r="AK36" s="113"/>
      <c r="AL36" s="117"/>
      <c r="AM36" s="198"/>
      <c r="AN36" s="199"/>
    </row>
    <row r="37" spans="1:40" ht="16.2" customHeight="1">
      <c r="A37" s="161"/>
      <c r="B37" s="114"/>
      <c r="C37" s="114"/>
      <c r="D37" s="114"/>
      <c r="E37" s="114"/>
      <c r="F37" s="118"/>
      <c r="G37" s="114"/>
      <c r="H37" s="114"/>
      <c r="I37" s="114"/>
      <c r="J37" s="114"/>
      <c r="K37" s="114"/>
      <c r="L37" s="118"/>
      <c r="M37" s="114"/>
      <c r="N37" s="114"/>
      <c r="O37" s="114"/>
      <c r="P37" s="114"/>
      <c r="Q37" s="114"/>
      <c r="R37" s="114"/>
      <c r="S37" s="114"/>
      <c r="T37" s="114"/>
      <c r="U37" s="114"/>
      <c r="V37" s="118"/>
      <c r="W37" s="114"/>
      <c r="X37" s="118"/>
      <c r="Y37" s="114"/>
      <c r="Z37" s="118"/>
      <c r="AA37" s="152"/>
      <c r="AB37" s="119"/>
      <c r="AC37" s="114"/>
      <c r="AD37" s="118"/>
      <c r="AE37" s="114"/>
      <c r="AF37" s="118"/>
      <c r="AG37" s="114"/>
      <c r="AH37" s="118"/>
      <c r="AI37" s="152"/>
      <c r="AJ37" s="119"/>
      <c r="AK37" s="114"/>
      <c r="AL37" s="120"/>
      <c r="AM37" s="200"/>
      <c r="AN37" s="201"/>
    </row>
    <row r="38" spans="1:40" ht="16.2" customHeight="1">
      <c r="A38" s="160"/>
      <c r="B38" s="148"/>
      <c r="C38" s="113"/>
      <c r="D38" s="148"/>
      <c r="E38" s="113"/>
      <c r="F38" s="150"/>
      <c r="G38" s="113"/>
      <c r="H38" s="148"/>
      <c r="I38" s="113"/>
      <c r="J38" s="148"/>
      <c r="K38" s="113"/>
      <c r="L38" s="150"/>
      <c r="M38" s="113"/>
      <c r="N38" s="148"/>
      <c r="O38" s="113"/>
      <c r="P38" s="148"/>
      <c r="Q38" s="113"/>
      <c r="R38" s="148"/>
      <c r="S38" s="113"/>
      <c r="T38" s="148"/>
      <c r="U38" s="113"/>
      <c r="V38" s="150"/>
      <c r="W38" s="113"/>
      <c r="X38" s="150"/>
      <c r="Y38" s="113"/>
      <c r="Z38" s="150"/>
      <c r="AA38" s="151"/>
      <c r="AB38" s="149"/>
      <c r="AC38" s="113"/>
      <c r="AD38" s="150"/>
      <c r="AE38" s="113"/>
      <c r="AF38" s="150"/>
      <c r="AG38" s="113"/>
      <c r="AH38" s="150"/>
      <c r="AI38" s="151"/>
      <c r="AJ38" s="149"/>
      <c r="AK38" s="113"/>
      <c r="AL38" s="117"/>
      <c r="AM38" s="198"/>
      <c r="AN38" s="199"/>
    </row>
    <row r="39" spans="1:40" ht="16.2" customHeight="1">
      <c r="A39" s="161"/>
      <c r="B39" s="114"/>
      <c r="C39" s="114"/>
      <c r="D39" s="114"/>
      <c r="E39" s="114"/>
      <c r="F39" s="118"/>
      <c r="G39" s="114"/>
      <c r="H39" s="114"/>
      <c r="I39" s="114"/>
      <c r="J39" s="114"/>
      <c r="K39" s="114"/>
      <c r="L39" s="118"/>
      <c r="M39" s="114"/>
      <c r="N39" s="114"/>
      <c r="O39" s="114"/>
      <c r="P39" s="114"/>
      <c r="Q39" s="114"/>
      <c r="R39" s="114"/>
      <c r="S39" s="114"/>
      <c r="T39" s="114"/>
      <c r="U39" s="114"/>
      <c r="V39" s="118"/>
      <c r="W39" s="114"/>
      <c r="X39" s="118"/>
      <c r="Y39" s="114"/>
      <c r="Z39" s="118"/>
      <c r="AA39" s="152"/>
      <c r="AB39" s="119"/>
      <c r="AC39" s="114"/>
      <c r="AD39" s="118"/>
      <c r="AE39" s="114"/>
      <c r="AF39" s="118"/>
      <c r="AG39" s="114"/>
      <c r="AH39" s="118"/>
      <c r="AI39" s="152"/>
      <c r="AJ39" s="119"/>
      <c r="AK39" s="114"/>
      <c r="AL39" s="120"/>
      <c r="AM39" s="200"/>
      <c r="AN39" s="201"/>
    </row>
    <row r="40" spans="1:40" ht="16.2" customHeight="1">
      <c r="A40" s="160"/>
      <c r="B40" s="148"/>
      <c r="C40" s="113"/>
      <c r="D40" s="148"/>
      <c r="E40" s="113"/>
      <c r="F40" s="150"/>
      <c r="G40" s="113"/>
      <c r="H40" s="148"/>
      <c r="I40" s="113"/>
      <c r="J40" s="148"/>
      <c r="K40" s="113"/>
      <c r="L40" s="150"/>
      <c r="M40" s="113"/>
      <c r="N40" s="148"/>
      <c r="O40" s="113"/>
      <c r="P40" s="148"/>
      <c r="Q40" s="113"/>
      <c r="R40" s="148"/>
      <c r="S40" s="113"/>
      <c r="T40" s="148"/>
      <c r="U40" s="113"/>
      <c r="V40" s="150"/>
      <c r="W40" s="113"/>
      <c r="X40" s="150"/>
      <c r="Y40" s="113"/>
      <c r="Z40" s="150"/>
      <c r="AA40" s="151"/>
      <c r="AB40" s="149"/>
      <c r="AC40" s="113"/>
      <c r="AD40" s="150"/>
      <c r="AE40" s="113"/>
      <c r="AF40" s="150"/>
      <c r="AG40" s="113"/>
      <c r="AH40" s="150"/>
      <c r="AI40" s="151"/>
      <c r="AJ40" s="149"/>
      <c r="AK40" s="113"/>
      <c r="AL40" s="117"/>
      <c r="AM40" s="198"/>
      <c r="AN40" s="199"/>
    </row>
    <row r="41" spans="1:40" ht="16.2" customHeight="1">
      <c r="A41" s="161"/>
      <c r="B41" s="114"/>
      <c r="C41" s="114"/>
      <c r="D41" s="114"/>
      <c r="E41" s="114"/>
      <c r="F41" s="118"/>
      <c r="G41" s="114"/>
      <c r="H41" s="114"/>
      <c r="I41" s="114"/>
      <c r="J41" s="114"/>
      <c r="K41" s="114"/>
      <c r="L41" s="118"/>
      <c r="M41" s="114"/>
      <c r="N41" s="114"/>
      <c r="O41" s="114"/>
      <c r="P41" s="114"/>
      <c r="Q41" s="114"/>
      <c r="R41" s="114"/>
      <c r="S41" s="114"/>
      <c r="T41" s="114"/>
      <c r="U41" s="114"/>
      <c r="V41" s="118"/>
      <c r="W41" s="114"/>
      <c r="X41" s="118"/>
      <c r="Y41" s="114"/>
      <c r="Z41" s="118"/>
      <c r="AA41" s="152"/>
      <c r="AB41" s="119"/>
      <c r="AC41" s="114"/>
      <c r="AD41" s="118"/>
      <c r="AE41" s="114"/>
      <c r="AF41" s="118"/>
      <c r="AG41" s="114"/>
      <c r="AH41" s="118"/>
      <c r="AI41" s="152"/>
      <c r="AJ41" s="119"/>
      <c r="AK41" s="114"/>
      <c r="AL41" s="120"/>
      <c r="AM41" s="200"/>
      <c r="AN41" s="201"/>
    </row>
    <row r="42" spans="1:40" ht="16.2" customHeight="1">
      <c r="A42" s="160"/>
      <c r="B42" s="148"/>
      <c r="C42" s="113"/>
      <c r="D42" s="148"/>
      <c r="E42" s="113"/>
      <c r="F42" s="150"/>
      <c r="G42" s="113"/>
      <c r="H42" s="148"/>
      <c r="I42" s="113"/>
      <c r="J42" s="148"/>
      <c r="K42" s="113"/>
      <c r="L42" s="150"/>
      <c r="M42" s="113"/>
      <c r="N42" s="148"/>
      <c r="O42" s="113"/>
      <c r="P42" s="148"/>
      <c r="Q42" s="113"/>
      <c r="R42" s="148"/>
      <c r="S42" s="113"/>
      <c r="T42" s="148"/>
      <c r="U42" s="113"/>
      <c r="V42" s="150"/>
      <c r="W42" s="113"/>
      <c r="X42" s="150"/>
      <c r="Y42" s="113"/>
      <c r="Z42" s="150"/>
      <c r="AA42" s="151"/>
      <c r="AB42" s="149"/>
      <c r="AC42" s="113"/>
      <c r="AD42" s="150"/>
      <c r="AE42" s="113"/>
      <c r="AF42" s="150"/>
      <c r="AG42" s="113"/>
      <c r="AH42" s="150"/>
      <c r="AI42" s="151"/>
      <c r="AJ42" s="149"/>
      <c r="AK42" s="113"/>
      <c r="AL42" s="117"/>
      <c r="AM42" s="198"/>
      <c r="AN42" s="199"/>
    </row>
    <row r="43" spans="1:40" ht="16.2" customHeight="1">
      <c r="A43" s="161"/>
      <c r="B43" s="114"/>
      <c r="C43" s="114"/>
      <c r="D43" s="114"/>
      <c r="E43" s="114"/>
      <c r="F43" s="118"/>
      <c r="G43" s="114"/>
      <c r="H43" s="114"/>
      <c r="I43" s="114"/>
      <c r="J43" s="114"/>
      <c r="K43" s="114"/>
      <c r="L43" s="118"/>
      <c r="M43" s="114"/>
      <c r="N43" s="114"/>
      <c r="O43" s="114"/>
      <c r="P43" s="114"/>
      <c r="Q43" s="114"/>
      <c r="R43" s="114"/>
      <c r="S43" s="114"/>
      <c r="T43" s="114"/>
      <c r="U43" s="114"/>
      <c r="V43" s="118"/>
      <c r="W43" s="114"/>
      <c r="X43" s="118"/>
      <c r="Y43" s="114"/>
      <c r="Z43" s="118"/>
      <c r="AA43" s="152"/>
      <c r="AB43" s="119"/>
      <c r="AC43" s="114"/>
      <c r="AD43" s="118"/>
      <c r="AE43" s="114"/>
      <c r="AF43" s="118"/>
      <c r="AG43" s="114"/>
      <c r="AH43" s="118"/>
      <c r="AI43" s="152"/>
      <c r="AJ43" s="119"/>
      <c r="AK43" s="114"/>
      <c r="AL43" s="120"/>
      <c r="AM43" s="200"/>
      <c r="AN43" s="201"/>
    </row>
    <row r="44" spans="1:40" ht="16.2" customHeight="1">
      <c r="A44" s="160"/>
      <c r="B44" s="148"/>
      <c r="C44" s="113"/>
      <c r="D44" s="148"/>
      <c r="E44" s="113"/>
      <c r="F44" s="150"/>
      <c r="G44" s="113"/>
      <c r="H44" s="148"/>
      <c r="I44" s="113"/>
      <c r="J44" s="148"/>
      <c r="K44" s="113"/>
      <c r="L44" s="150"/>
      <c r="M44" s="113"/>
      <c r="N44" s="148"/>
      <c r="O44" s="113"/>
      <c r="P44" s="148"/>
      <c r="Q44" s="113"/>
      <c r="R44" s="148"/>
      <c r="S44" s="113"/>
      <c r="T44" s="148"/>
      <c r="U44" s="113"/>
      <c r="V44" s="150"/>
      <c r="W44" s="113"/>
      <c r="X44" s="150"/>
      <c r="Y44" s="113"/>
      <c r="Z44" s="150"/>
      <c r="AA44" s="151"/>
      <c r="AB44" s="149"/>
      <c r="AC44" s="113"/>
      <c r="AD44" s="150"/>
      <c r="AE44" s="113"/>
      <c r="AF44" s="150"/>
      <c r="AG44" s="113"/>
      <c r="AH44" s="150"/>
      <c r="AI44" s="151"/>
      <c r="AJ44" s="149"/>
      <c r="AK44" s="113"/>
      <c r="AL44" s="117"/>
      <c r="AM44" s="198"/>
      <c r="AN44" s="199"/>
    </row>
    <row r="45" spans="1:40" ht="16.2" customHeight="1">
      <c r="A45" s="161"/>
      <c r="B45" s="114"/>
      <c r="C45" s="114"/>
      <c r="D45" s="114"/>
      <c r="E45" s="114"/>
      <c r="F45" s="118"/>
      <c r="G45" s="114"/>
      <c r="H45" s="114"/>
      <c r="I45" s="114"/>
      <c r="J45" s="114"/>
      <c r="K45" s="114"/>
      <c r="L45" s="118"/>
      <c r="M45" s="114"/>
      <c r="N45" s="114"/>
      <c r="O45" s="114"/>
      <c r="P45" s="114"/>
      <c r="Q45" s="114"/>
      <c r="R45" s="114"/>
      <c r="S45" s="114"/>
      <c r="T45" s="114"/>
      <c r="U45" s="114"/>
      <c r="V45" s="118"/>
      <c r="W45" s="114"/>
      <c r="X45" s="118"/>
      <c r="Y45" s="114"/>
      <c r="Z45" s="118"/>
      <c r="AA45" s="152"/>
      <c r="AB45" s="119"/>
      <c r="AC45" s="114"/>
      <c r="AD45" s="118"/>
      <c r="AE45" s="114"/>
      <c r="AF45" s="118"/>
      <c r="AG45" s="114"/>
      <c r="AH45" s="118"/>
      <c r="AI45" s="152"/>
      <c r="AJ45" s="119"/>
      <c r="AK45" s="114"/>
      <c r="AL45" s="120"/>
      <c r="AM45" s="200"/>
      <c r="AN45" s="201"/>
    </row>
    <row r="46" spans="1:40" ht="16.2" customHeight="1">
      <c r="A46" s="160"/>
      <c r="B46" s="148"/>
      <c r="C46" s="113"/>
      <c r="D46" s="148"/>
      <c r="E46" s="113"/>
      <c r="F46" s="150"/>
      <c r="G46" s="113"/>
      <c r="H46" s="148"/>
      <c r="I46" s="113"/>
      <c r="J46" s="148"/>
      <c r="K46" s="113"/>
      <c r="L46" s="150"/>
      <c r="M46" s="113"/>
      <c r="N46" s="148"/>
      <c r="O46" s="113"/>
      <c r="P46" s="148"/>
      <c r="Q46" s="113"/>
      <c r="R46" s="148"/>
      <c r="S46" s="113"/>
      <c r="T46" s="148"/>
      <c r="U46" s="113"/>
      <c r="V46" s="150"/>
      <c r="W46" s="113"/>
      <c r="X46" s="150"/>
      <c r="Y46" s="113"/>
      <c r="Z46" s="150"/>
      <c r="AA46" s="151"/>
      <c r="AB46" s="149"/>
      <c r="AC46" s="113"/>
      <c r="AD46" s="150"/>
      <c r="AE46" s="113"/>
      <c r="AF46" s="150"/>
      <c r="AG46" s="113"/>
      <c r="AH46" s="150"/>
      <c r="AI46" s="151"/>
      <c r="AJ46" s="149"/>
      <c r="AK46" s="113"/>
      <c r="AL46" s="117"/>
      <c r="AM46" s="198"/>
      <c r="AN46" s="199"/>
    </row>
    <row r="47" spans="1:40" ht="16.2" customHeight="1">
      <c r="A47" s="161"/>
      <c r="B47" s="114"/>
      <c r="C47" s="114"/>
      <c r="D47" s="114"/>
      <c r="E47" s="114"/>
      <c r="F47" s="118"/>
      <c r="G47" s="114"/>
      <c r="H47" s="114"/>
      <c r="I47" s="114"/>
      <c r="J47" s="114"/>
      <c r="K47" s="114"/>
      <c r="L47" s="118"/>
      <c r="M47" s="114"/>
      <c r="N47" s="114"/>
      <c r="O47" s="114"/>
      <c r="P47" s="114"/>
      <c r="Q47" s="114"/>
      <c r="R47" s="114"/>
      <c r="S47" s="114"/>
      <c r="T47" s="114"/>
      <c r="U47" s="114"/>
      <c r="V47" s="118"/>
      <c r="W47" s="114"/>
      <c r="X47" s="118"/>
      <c r="Y47" s="114"/>
      <c r="Z47" s="118"/>
      <c r="AA47" s="152"/>
      <c r="AB47" s="119"/>
      <c r="AC47" s="114"/>
      <c r="AD47" s="118"/>
      <c r="AE47" s="114"/>
      <c r="AF47" s="118"/>
      <c r="AG47" s="114"/>
      <c r="AH47" s="118"/>
      <c r="AI47" s="152"/>
      <c r="AJ47" s="119"/>
      <c r="AK47" s="114"/>
      <c r="AL47" s="120"/>
      <c r="AM47" s="200"/>
      <c r="AN47" s="201"/>
    </row>
    <row r="48" spans="1:40" ht="16.2" customHeight="1">
      <c r="A48" s="160"/>
      <c r="B48" s="148"/>
      <c r="C48" s="113"/>
      <c r="D48" s="148"/>
      <c r="E48" s="113"/>
      <c r="F48" s="150"/>
      <c r="G48" s="113"/>
      <c r="H48" s="148"/>
      <c r="I48" s="113"/>
      <c r="J48" s="148"/>
      <c r="K48" s="113"/>
      <c r="L48" s="150"/>
      <c r="M48" s="113"/>
      <c r="N48" s="148"/>
      <c r="O48" s="113"/>
      <c r="P48" s="148"/>
      <c r="Q48" s="113"/>
      <c r="R48" s="148"/>
      <c r="S48" s="113"/>
      <c r="T48" s="148"/>
      <c r="U48" s="113"/>
      <c r="V48" s="150"/>
      <c r="W48" s="113"/>
      <c r="X48" s="150"/>
      <c r="Y48" s="113"/>
      <c r="Z48" s="150"/>
      <c r="AA48" s="151"/>
      <c r="AB48" s="149"/>
      <c r="AC48" s="113"/>
      <c r="AD48" s="150"/>
      <c r="AE48" s="113"/>
      <c r="AF48" s="150"/>
      <c r="AG48" s="113"/>
      <c r="AH48" s="150"/>
      <c r="AI48" s="151"/>
      <c r="AJ48" s="149"/>
      <c r="AK48" s="113"/>
      <c r="AL48" s="117"/>
      <c r="AM48" s="198"/>
      <c r="AN48" s="199"/>
    </row>
    <row r="49" spans="1:40" ht="16.2" customHeight="1">
      <c r="A49" s="161"/>
      <c r="B49" s="114"/>
      <c r="C49" s="114"/>
      <c r="D49" s="114"/>
      <c r="E49" s="114"/>
      <c r="F49" s="118"/>
      <c r="G49" s="114"/>
      <c r="H49" s="114"/>
      <c r="I49" s="114"/>
      <c r="J49" s="114"/>
      <c r="K49" s="114"/>
      <c r="L49" s="118"/>
      <c r="M49" s="114"/>
      <c r="N49" s="114"/>
      <c r="O49" s="114"/>
      <c r="P49" s="114"/>
      <c r="Q49" s="114"/>
      <c r="R49" s="114"/>
      <c r="S49" s="114"/>
      <c r="T49" s="114"/>
      <c r="U49" s="114"/>
      <c r="V49" s="118"/>
      <c r="W49" s="114"/>
      <c r="X49" s="118"/>
      <c r="Y49" s="114"/>
      <c r="Z49" s="118"/>
      <c r="AA49" s="152"/>
      <c r="AB49" s="119"/>
      <c r="AC49" s="114"/>
      <c r="AD49" s="118"/>
      <c r="AE49" s="114"/>
      <c r="AF49" s="118"/>
      <c r="AG49" s="114"/>
      <c r="AH49" s="118"/>
      <c r="AI49" s="152"/>
      <c r="AJ49" s="119"/>
      <c r="AK49" s="114"/>
      <c r="AL49" s="120"/>
      <c r="AM49" s="200"/>
      <c r="AN49" s="201"/>
    </row>
    <row r="50" spans="1:40" ht="16.2" customHeight="1">
      <c r="A50" s="160"/>
      <c r="B50" s="148"/>
      <c r="C50" s="113"/>
      <c r="D50" s="148"/>
      <c r="E50" s="113"/>
      <c r="F50" s="150"/>
      <c r="G50" s="113"/>
      <c r="H50" s="148"/>
      <c r="I50" s="113"/>
      <c r="J50" s="148"/>
      <c r="K50" s="113"/>
      <c r="L50" s="150"/>
      <c r="M50" s="113"/>
      <c r="N50" s="148"/>
      <c r="O50" s="113"/>
      <c r="P50" s="148"/>
      <c r="Q50" s="113"/>
      <c r="R50" s="148"/>
      <c r="S50" s="113"/>
      <c r="T50" s="148"/>
      <c r="U50" s="113"/>
      <c r="V50" s="150"/>
      <c r="W50" s="113"/>
      <c r="X50" s="150"/>
      <c r="Y50" s="113"/>
      <c r="Z50" s="150"/>
      <c r="AA50" s="151"/>
      <c r="AB50" s="149"/>
      <c r="AC50" s="113"/>
      <c r="AD50" s="150"/>
      <c r="AE50" s="113"/>
      <c r="AF50" s="150"/>
      <c r="AG50" s="113"/>
      <c r="AH50" s="150"/>
      <c r="AI50" s="151"/>
      <c r="AJ50" s="149"/>
      <c r="AK50" s="113"/>
      <c r="AL50" s="117"/>
      <c r="AM50" s="198"/>
      <c r="AN50" s="199"/>
    </row>
    <row r="51" spans="1:40" ht="16.2" customHeight="1">
      <c r="A51" s="161"/>
      <c r="B51" s="114"/>
      <c r="C51" s="114"/>
      <c r="D51" s="114"/>
      <c r="E51" s="114"/>
      <c r="F51" s="118"/>
      <c r="G51" s="114"/>
      <c r="H51" s="114"/>
      <c r="I51" s="114"/>
      <c r="J51" s="114"/>
      <c r="K51" s="114"/>
      <c r="L51" s="118"/>
      <c r="M51" s="114"/>
      <c r="N51" s="114"/>
      <c r="O51" s="114"/>
      <c r="P51" s="114"/>
      <c r="Q51" s="114"/>
      <c r="R51" s="114"/>
      <c r="S51" s="114"/>
      <c r="T51" s="114"/>
      <c r="U51" s="114"/>
      <c r="V51" s="118"/>
      <c r="W51" s="114"/>
      <c r="X51" s="118"/>
      <c r="Y51" s="114"/>
      <c r="Z51" s="118"/>
      <c r="AA51" s="152"/>
      <c r="AB51" s="119"/>
      <c r="AC51" s="114"/>
      <c r="AD51" s="118"/>
      <c r="AE51" s="114"/>
      <c r="AF51" s="118"/>
      <c r="AG51" s="114"/>
      <c r="AH51" s="118"/>
      <c r="AI51" s="152"/>
      <c r="AJ51" s="119"/>
      <c r="AK51" s="114"/>
      <c r="AL51" s="120"/>
      <c r="AM51" s="200"/>
      <c r="AN51" s="201"/>
    </row>
    <row r="52" spans="1:40" ht="16.2" customHeight="1">
      <c r="A52" s="160"/>
      <c r="B52" s="148"/>
      <c r="C52" s="113"/>
      <c r="D52" s="148"/>
      <c r="E52" s="113"/>
      <c r="F52" s="150"/>
      <c r="G52" s="113"/>
      <c r="H52" s="148"/>
      <c r="I52" s="113"/>
      <c r="J52" s="148"/>
      <c r="K52" s="113"/>
      <c r="L52" s="150"/>
      <c r="M52" s="113"/>
      <c r="N52" s="148"/>
      <c r="O52" s="113"/>
      <c r="P52" s="148"/>
      <c r="Q52" s="113"/>
      <c r="R52" s="148"/>
      <c r="S52" s="113"/>
      <c r="T52" s="148"/>
      <c r="U52" s="113"/>
      <c r="V52" s="150"/>
      <c r="W52" s="113"/>
      <c r="X52" s="150"/>
      <c r="Y52" s="113"/>
      <c r="Z52" s="150"/>
      <c r="AA52" s="151"/>
      <c r="AB52" s="149"/>
      <c r="AC52" s="113"/>
      <c r="AD52" s="150"/>
      <c r="AE52" s="113"/>
      <c r="AF52" s="150"/>
      <c r="AG52" s="113"/>
      <c r="AH52" s="150"/>
      <c r="AI52" s="151"/>
      <c r="AJ52" s="149"/>
      <c r="AK52" s="113"/>
      <c r="AL52" s="117"/>
      <c r="AM52" s="198"/>
      <c r="AN52" s="199"/>
    </row>
    <row r="53" spans="1:40" ht="16.2" customHeight="1">
      <c r="A53" s="161"/>
      <c r="B53" s="114"/>
      <c r="C53" s="114"/>
      <c r="D53" s="114"/>
      <c r="E53" s="114"/>
      <c r="F53" s="118"/>
      <c r="G53" s="114"/>
      <c r="H53" s="114"/>
      <c r="I53" s="114"/>
      <c r="J53" s="114"/>
      <c r="K53" s="114"/>
      <c r="L53" s="118"/>
      <c r="M53" s="114"/>
      <c r="N53" s="114"/>
      <c r="O53" s="114"/>
      <c r="P53" s="114"/>
      <c r="Q53" s="114"/>
      <c r="R53" s="114"/>
      <c r="S53" s="114"/>
      <c r="T53" s="114"/>
      <c r="U53" s="114"/>
      <c r="V53" s="118"/>
      <c r="W53" s="114"/>
      <c r="X53" s="118"/>
      <c r="Y53" s="114"/>
      <c r="Z53" s="118"/>
      <c r="AA53" s="152"/>
      <c r="AB53" s="119"/>
      <c r="AC53" s="114"/>
      <c r="AD53" s="118"/>
      <c r="AE53" s="114"/>
      <c r="AF53" s="118"/>
      <c r="AG53" s="114"/>
      <c r="AH53" s="118"/>
      <c r="AI53" s="152"/>
      <c r="AJ53" s="119"/>
      <c r="AK53" s="114"/>
      <c r="AL53" s="120"/>
      <c r="AM53" s="200"/>
      <c r="AN53" s="201"/>
    </row>
    <row r="54" spans="1:40" ht="16.2" customHeight="1">
      <c r="A54" s="160"/>
      <c r="B54" s="148"/>
      <c r="C54" s="113"/>
      <c r="D54" s="148"/>
      <c r="E54" s="113"/>
      <c r="F54" s="150"/>
      <c r="G54" s="113"/>
      <c r="H54" s="148"/>
      <c r="I54" s="113"/>
      <c r="J54" s="148"/>
      <c r="K54" s="113"/>
      <c r="L54" s="150"/>
      <c r="M54" s="113"/>
      <c r="N54" s="148"/>
      <c r="O54" s="113"/>
      <c r="P54" s="148"/>
      <c r="Q54" s="113"/>
      <c r="R54" s="148"/>
      <c r="S54" s="113"/>
      <c r="T54" s="148"/>
      <c r="U54" s="113"/>
      <c r="V54" s="150"/>
      <c r="W54" s="113"/>
      <c r="X54" s="150"/>
      <c r="Y54" s="113"/>
      <c r="Z54" s="150"/>
      <c r="AA54" s="151"/>
      <c r="AB54" s="149"/>
      <c r="AC54" s="113"/>
      <c r="AD54" s="150"/>
      <c r="AE54" s="113"/>
      <c r="AF54" s="150"/>
      <c r="AG54" s="113"/>
      <c r="AH54" s="150"/>
      <c r="AI54" s="151"/>
      <c r="AJ54" s="149"/>
      <c r="AK54" s="113"/>
      <c r="AL54" s="117"/>
      <c r="AM54" s="198"/>
      <c r="AN54" s="199"/>
    </row>
    <row r="55" spans="1:40" ht="16.2" customHeight="1">
      <c r="A55" s="161"/>
      <c r="B55" s="114"/>
      <c r="C55" s="114"/>
      <c r="D55" s="114"/>
      <c r="E55" s="114"/>
      <c r="F55" s="118"/>
      <c r="G55" s="114"/>
      <c r="H55" s="114"/>
      <c r="I55" s="114"/>
      <c r="J55" s="114"/>
      <c r="K55" s="114"/>
      <c r="L55" s="118"/>
      <c r="M55" s="114"/>
      <c r="N55" s="114"/>
      <c r="O55" s="114"/>
      <c r="P55" s="114"/>
      <c r="Q55" s="114"/>
      <c r="R55" s="114"/>
      <c r="S55" s="114"/>
      <c r="T55" s="114"/>
      <c r="U55" s="114"/>
      <c r="V55" s="118"/>
      <c r="W55" s="114"/>
      <c r="X55" s="118"/>
      <c r="Y55" s="114"/>
      <c r="Z55" s="118"/>
      <c r="AA55" s="152"/>
      <c r="AB55" s="119"/>
      <c r="AC55" s="114"/>
      <c r="AD55" s="118"/>
      <c r="AE55" s="114"/>
      <c r="AF55" s="118"/>
      <c r="AG55" s="114"/>
      <c r="AH55" s="118"/>
      <c r="AI55" s="152"/>
      <c r="AJ55" s="119"/>
      <c r="AK55" s="114"/>
      <c r="AL55" s="120"/>
      <c r="AM55" s="200"/>
      <c r="AN55" s="201"/>
    </row>
    <row r="56" spans="1:40" ht="16.2" customHeight="1">
      <c r="A56" s="160"/>
      <c r="B56" s="148"/>
      <c r="C56" s="113"/>
      <c r="D56" s="148"/>
      <c r="E56" s="113"/>
      <c r="F56" s="150"/>
      <c r="G56" s="113"/>
      <c r="H56" s="148"/>
      <c r="I56" s="113"/>
      <c r="J56" s="148"/>
      <c r="K56" s="113"/>
      <c r="L56" s="150"/>
      <c r="M56" s="113"/>
      <c r="N56" s="148"/>
      <c r="O56" s="113"/>
      <c r="P56" s="148"/>
      <c r="Q56" s="113"/>
      <c r="R56" s="148"/>
      <c r="S56" s="113"/>
      <c r="T56" s="148"/>
      <c r="U56" s="113"/>
      <c r="V56" s="150"/>
      <c r="W56" s="113"/>
      <c r="X56" s="150"/>
      <c r="Y56" s="113"/>
      <c r="Z56" s="150"/>
      <c r="AA56" s="151"/>
      <c r="AB56" s="149"/>
      <c r="AC56" s="113"/>
      <c r="AD56" s="150"/>
      <c r="AE56" s="113"/>
      <c r="AF56" s="150"/>
      <c r="AG56" s="113"/>
      <c r="AH56" s="150"/>
      <c r="AI56" s="151"/>
      <c r="AJ56" s="149"/>
      <c r="AK56" s="113"/>
      <c r="AL56" s="117"/>
      <c r="AM56" s="198"/>
      <c r="AN56" s="199"/>
    </row>
    <row r="57" spans="1:40" ht="16.2" customHeight="1">
      <c r="A57" s="161"/>
      <c r="B57" s="114"/>
      <c r="C57" s="114"/>
      <c r="D57" s="114"/>
      <c r="E57" s="114"/>
      <c r="F57" s="118"/>
      <c r="G57" s="114"/>
      <c r="H57" s="114"/>
      <c r="I57" s="114"/>
      <c r="J57" s="114"/>
      <c r="K57" s="114"/>
      <c r="L57" s="118"/>
      <c r="M57" s="114"/>
      <c r="N57" s="114"/>
      <c r="O57" s="114"/>
      <c r="P57" s="114"/>
      <c r="Q57" s="114"/>
      <c r="R57" s="114"/>
      <c r="S57" s="114"/>
      <c r="T57" s="114"/>
      <c r="U57" s="114"/>
      <c r="V57" s="118"/>
      <c r="W57" s="114"/>
      <c r="X57" s="118"/>
      <c r="Y57" s="114"/>
      <c r="Z57" s="118"/>
      <c r="AA57" s="152"/>
      <c r="AB57" s="119"/>
      <c r="AC57" s="114"/>
      <c r="AD57" s="118"/>
      <c r="AE57" s="114"/>
      <c r="AF57" s="118"/>
      <c r="AG57" s="114"/>
      <c r="AH57" s="118"/>
      <c r="AI57" s="152"/>
      <c r="AJ57" s="119"/>
      <c r="AK57" s="114"/>
      <c r="AL57" s="120"/>
      <c r="AM57" s="200"/>
      <c r="AN57" s="201"/>
    </row>
    <row r="58" spans="1:40" ht="16.2" customHeight="1">
      <c r="A58" s="160"/>
      <c r="B58" s="148"/>
      <c r="C58" s="113"/>
      <c r="D58" s="148"/>
      <c r="E58" s="113"/>
      <c r="F58" s="150"/>
      <c r="G58" s="113"/>
      <c r="H58" s="148"/>
      <c r="I58" s="113"/>
      <c r="J58" s="148"/>
      <c r="K58" s="113"/>
      <c r="L58" s="150"/>
      <c r="M58" s="113"/>
      <c r="N58" s="148"/>
      <c r="O58" s="113"/>
      <c r="P58" s="148"/>
      <c r="Q58" s="113"/>
      <c r="R58" s="148"/>
      <c r="S58" s="113"/>
      <c r="T58" s="148"/>
      <c r="U58" s="113"/>
      <c r="V58" s="150"/>
      <c r="W58" s="113"/>
      <c r="X58" s="150"/>
      <c r="Y58" s="113"/>
      <c r="Z58" s="150"/>
      <c r="AA58" s="151"/>
      <c r="AB58" s="149"/>
      <c r="AC58" s="113"/>
      <c r="AD58" s="150"/>
      <c r="AE58" s="113"/>
      <c r="AF58" s="150"/>
      <c r="AG58" s="113"/>
      <c r="AH58" s="150"/>
      <c r="AI58" s="151"/>
      <c r="AJ58" s="149"/>
      <c r="AK58" s="113"/>
      <c r="AL58" s="117"/>
      <c r="AM58" s="198"/>
      <c r="AN58" s="199"/>
    </row>
    <row r="59" spans="1:40" ht="16.2" customHeight="1">
      <c r="A59" s="161"/>
      <c r="B59" s="114"/>
      <c r="C59" s="114"/>
      <c r="D59" s="114"/>
      <c r="E59" s="114"/>
      <c r="F59" s="118"/>
      <c r="G59" s="114"/>
      <c r="H59" s="114"/>
      <c r="I59" s="114"/>
      <c r="J59" s="114"/>
      <c r="K59" s="114"/>
      <c r="L59" s="118"/>
      <c r="M59" s="114"/>
      <c r="N59" s="114"/>
      <c r="O59" s="114"/>
      <c r="P59" s="114"/>
      <c r="Q59" s="114"/>
      <c r="R59" s="114"/>
      <c r="S59" s="114"/>
      <c r="T59" s="114"/>
      <c r="U59" s="114"/>
      <c r="V59" s="118"/>
      <c r="W59" s="114"/>
      <c r="X59" s="118"/>
      <c r="Y59" s="114"/>
      <c r="Z59" s="118"/>
      <c r="AA59" s="152"/>
      <c r="AB59" s="119"/>
      <c r="AC59" s="114"/>
      <c r="AD59" s="118"/>
      <c r="AE59" s="114"/>
      <c r="AF59" s="118"/>
      <c r="AG59" s="114"/>
      <c r="AH59" s="118"/>
      <c r="AI59" s="152"/>
      <c r="AJ59" s="119"/>
      <c r="AK59" s="114"/>
      <c r="AL59" s="120"/>
      <c r="AM59" s="200"/>
      <c r="AN59" s="201"/>
    </row>
    <row r="60" spans="1:40" ht="16.2" customHeight="1">
      <c r="A60" s="160"/>
      <c r="B60" s="148"/>
      <c r="C60" s="113"/>
      <c r="D60" s="148"/>
      <c r="E60" s="113"/>
      <c r="F60" s="150"/>
      <c r="G60" s="113"/>
      <c r="H60" s="148"/>
      <c r="I60" s="113"/>
      <c r="J60" s="148"/>
      <c r="K60" s="113"/>
      <c r="L60" s="150"/>
      <c r="M60" s="113"/>
      <c r="N60" s="148"/>
      <c r="O60" s="113"/>
      <c r="P60" s="148"/>
      <c r="Q60" s="113"/>
      <c r="R60" s="148"/>
      <c r="S60" s="113"/>
      <c r="T60" s="148"/>
      <c r="U60" s="113"/>
      <c r="V60" s="150"/>
      <c r="W60" s="113"/>
      <c r="X60" s="150"/>
      <c r="Y60" s="113"/>
      <c r="Z60" s="150"/>
      <c r="AA60" s="151"/>
      <c r="AB60" s="149"/>
      <c r="AC60" s="113"/>
      <c r="AD60" s="150"/>
      <c r="AE60" s="113"/>
      <c r="AF60" s="150"/>
      <c r="AG60" s="113"/>
      <c r="AH60" s="150"/>
      <c r="AI60" s="151"/>
      <c r="AJ60" s="149"/>
      <c r="AK60" s="113"/>
      <c r="AL60" s="117"/>
      <c r="AM60" s="198"/>
      <c r="AN60" s="199"/>
    </row>
    <row r="61" spans="1:40" ht="16.2" customHeight="1">
      <c r="A61" s="161"/>
      <c r="B61" s="114"/>
      <c r="C61" s="114"/>
      <c r="D61" s="114"/>
      <c r="E61" s="114"/>
      <c r="F61" s="118"/>
      <c r="G61" s="114"/>
      <c r="H61" s="114"/>
      <c r="I61" s="114"/>
      <c r="J61" s="114"/>
      <c r="K61" s="114"/>
      <c r="L61" s="118"/>
      <c r="M61" s="114"/>
      <c r="N61" s="114"/>
      <c r="O61" s="114"/>
      <c r="P61" s="114"/>
      <c r="Q61" s="114"/>
      <c r="R61" s="114"/>
      <c r="S61" s="114"/>
      <c r="T61" s="114"/>
      <c r="U61" s="114"/>
      <c r="V61" s="118"/>
      <c r="W61" s="114"/>
      <c r="X61" s="118"/>
      <c r="Y61" s="114"/>
      <c r="Z61" s="118"/>
      <c r="AA61" s="152"/>
      <c r="AB61" s="119"/>
      <c r="AC61" s="114"/>
      <c r="AD61" s="118"/>
      <c r="AE61" s="114"/>
      <c r="AF61" s="118"/>
      <c r="AG61" s="114"/>
      <c r="AH61" s="118"/>
      <c r="AI61" s="152"/>
      <c r="AJ61" s="119"/>
      <c r="AK61" s="114"/>
      <c r="AL61" s="120"/>
      <c r="AM61" s="200"/>
      <c r="AN61" s="201"/>
    </row>
    <row r="62" spans="1:40" ht="16.2" customHeight="1">
      <c r="A62" s="160"/>
      <c r="B62" s="148"/>
      <c r="C62" s="113"/>
      <c r="D62" s="148"/>
      <c r="E62" s="113"/>
      <c r="F62" s="150"/>
      <c r="G62" s="113"/>
      <c r="H62" s="148"/>
      <c r="I62" s="113"/>
      <c r="J62" s="148"/>
      <c r="K62" s="113"/>
      <c r="L62" s="150"/>
      <c r="M62" s="113"/>
      <c r="N62" s="148"/>
      <c r="O62" s="113"/>
      <c r="P62" s="148"/>
      <c r="Q62" s="113"/>
      <c r="R62" s="148"/>
      <c r="S62" s="113"/>
      <c r="T62" s="148"/>
      <c r="U62" s="113"/>
      <c r="V62" s="150"/>
      <c r="W62" s="113"/>
      <c r="X62" s="150"/>
      <c r="Y62" s="113"/>
      <c r="Z62" s="150"/>
      <c r="AA62" s="151"/>
      <c r="AB62" s="149"/>
      <c r="AC62" s="113"/>
      <c r="AD62" s="150"/>
      <c r="AE62" s="113"/>
      <c r="AF62" s="150"/>
      <c r="AG62" s="113"/>
      <c r="AH62" s="150"/>
      <c r="AI62" s="151"/>
      <c r="AJ62" s="149"/>
      <c r="AK62" s="113"/>
      <c r="AL62" s="117"/>
      <c r="AM62" s="198"/>
      <c r="AN62" s="199"/>
    </row>
    <row r="63" spans="1:40" ht="16.2" customHeight="1">
      <c r="A63" s="161"/>
      <c r="B63" s="114"/>
      <c r="C63" s="114"/>
      <c r="D63" s="114"/>
      <c r="E63" s="114"/>
      <c r="F63" s="118"/>
      <c r="G63" s="114"/>
      <c r="H63" s="114"/>
      <c r="I63" s="114"/>
      <c r="J63" s="114"/>
      <c r="K63" s="114"/>
      <c r="L63" s="118"/>
      <c r="M63" s="114"/>
      <c r="N63" s="114"/>
      <c r="O63" s="114"/>
      <c r="P63" s="114"/>
      <c r="Q63" s="114"/>
      <c r="R63" s="114"/>
      <c r="S63" s="114"/>
      <c r="T63" s="114"/>
      <c r="U63" s="114"/>
      <c r="V63" s="118"/>
      <c r="W63" s="114"/>
      <c r="X63" s="118"/>
      <c r="Y63" s="114"/>
      <c r="Z63" s="118"/>
      <c r="AA63" s="152"/>
      <c r="AB63" s="119"/>
      <c r="AC63" s="114"/>
      <c r="AD63" s="118"/>
      <c r="AE63" s="114"/>
      <c r="AF63" s="118"/>
      <c r="AG63" s="114"/>
      <c r="AH63" s="118"/>
      <c r="AI63" s="152"/>
      <c r="AJ63" s="119"/>
      <c r="AK63" s="114"/>
      <c r="AL63" s="120"/>
      <c r="AM63" s="200"/>
      <c r="AN63" s="201"/>
    </row>
    <row r="64" spans="1:40" ht="16.2" customHeight="1">
      <c r="A64" s="160"/>
      <c r="B64" s="148"/>
      <c r="C64" s="113"/>
      <c r="D64" s="148"/>
      <c r="E64" s="113"/>
      <c r="F64" s="150"/>
      <c r="G64" s="113"/>
      <c r="H64" s="148"/>
      <c r="I64" s="113"/>
      <c r="J64" s="148"/>
      <c r="K64" s="113"/>
      <c r="L64" s="150"/>
      <c r="M64" s="113"/>
      <c r="N64" s="148"/>
      <c r="O64" s="113"/>
      <c r="P64" s="148"/>
      <c r="Q64" s="113"/>
      <c r="R64" s="148"/>
      <c r="S64" s="113"/>
      <c r="T64" s="148"/>
      <c r="U64" s="113"/>
      <c r="V64" s="150"/>
      <c r="W64" s="113"/>
      <c r="X64" s="150"/>
      <c r="Y64" s="113"/>
      <c r="Z64" s="150"/>
      <c r="AA64" s="151"/>
      <c r="AB64" s="149"/>
      <c r="AC64" s="113"/>
      <c r="AD64" s="150"/>
      <c r="AE64" s="113"/>
      <c r="AF64" s="150"/>
      <c r="AG64" s="113"/>
      <c r="AH64" s="150"/>
      <c r="AI64" s="151"/>
      <c r="AJ64" s="149"/>
      <c r="AK64" s="113"/>
      <c r="AL64" s="117"/>
      <c r="AM64" s="198"/>
      <c r="AN64" s="199"/>
    </row>
    <row r="65" spans="1:40" ht="16.2" customHeight="1">
      <c r="A65" s="161"/>
      <c r="B65" s="114"/>
      <c r="C65" s="114"/>
      <c r="D65" s="114"/>
      <c r="E65" s="114"/>
      <c r="F65" s="118"/>
      <c r="G65" s="114"/>
      <c r="H65" s="114"/>
      <c r="I65" s="114"/>
      <c r="J65" s="114"/>
      <c r="K65" s="114"/>
      <c r="L65" s="118"/>
      <c r="M65" s="114"/>
      <c r="N65" s="114"/>
      <c r="O65" s="114"/>
      <c r="P65" s="114"/>
      <c r="Q65" s="114"/>
      <c r="R65" s="114"/>
      <c r="S65" s="114"/>
      <c r="T65" s="114"/>
      <c r="U65" s="114"/>
      <c r="V65" s="118"/>
      <c r="W65" s="114"/>
      <c r="X65" s="118"/>
      <c r="Y65" s="114"/>
      <c r="Z65" s="118"/>
      <c r="AA65" s="152"/>
      <c r="AB65" s="119"/>
      <c r="AC65" s="114"/>
      <c r="AD65" s="118"/>
      <c r="AE65" s="114"/>
      <c r="AF65" s="118"/>
      <c r="AG65" s="114"/>
      <c r="AH65" s="118"/>
      <c r="AI65" s="152"/>
      <c r="AJ65" s="119"/>
      <c r="AK65" s="114"/>
      <c r="AL65" s="120"/>
      <c r="AM65" s="200"/>
      <c r="AN65" s="201"/>
    </row>
    <row r="66" spans="1:40" ht="16.2" customHeight="1">
      <c r="A66" s="160"/>
      <c r="B66" s="148"/>
      <c r="C66" s="113"/>
      <c r="D66" s="148"/>
      <c r="E66" s="113"/>
      <c r="F66" s="150"/>
      <c r="G66" s="113"/>
      <c r="H66" s="148"/>
      <c r="I66" s="113"/>
      <c r="J66" s="148"/>
      <c r="K66" s="113"/>
      <c r="L66" s="150"/>
      <c r="M66" s="113"/>
      <c r="N66" s="148"/>
      <c r="O66" s="113"/>
      <c r="P66" s="148"/>
      <c r="Q66" s="113"/>
      <c r="R66" s="148"/>
      <c r="S66" s="113"/>
      <c r="T66" s="148"/>
      <c r="U66" s="113"/>
      <c r="V66" s="150"/>
      <c r="W66" s="113"/>
      <c r="X66" s="150"/>
      <c r="Y66" s="113"/>
      <c r="Z66" s="150"/>
      <c r="AA66" s="151"/>
      <c r="AB66" s="149"/>
      <c r="AC66" s="113"/>
      <c r="AD66" s="150"/>
      <c r="AE66" s="113"/>
      <c r="AF66" s="150"/>
      <c r="AG66" s="113"/>
      <c r="AH66" s="150"/>
      <c r="AI66" s="151"/>
      <c r="AJ66" s="149"/>
      <c r="AK66" s="113"/>
      <c r="AL66" s="117"/>
      <c r="AM66" s="198"/>
      <c r="AN66" s="199"/>
    </row>
    <row r="67" spans="1:40" ht="16.2" customHeight="1">
      <c r="A67" s="161"/>
      <c r="B67" s="114"/>
      <c r="C67" s="114"/>
      <c r="D67" s="114"/>
      <c r="E67" s="114"/>
      <c r="F67" s="118"/>
      <c r="G67" s="114"/>
      <c r="H67" s="114"/>
      <c r="I67" s="114"/>
      <c r="J67" s="114"/>
      <c r="K67" s="114"/>
      <c r="L67" s="118"/>
      <c r="M67" s="114"/>
      <c r="N67" s="114"/>
      <c r="O67" s="114"/>
      <c r="P67" s="114"/>
      <c r="Q67" s="114"/>
      <c r="R67" s="114"/>
      <c r="S67" s="114"/>
      <c r="T67" s="114"/>
      <c r="U67" s="114"/>
      <c r="V67" s="118"/>
      <c r="W67" s="114"/>
      <c r="X67" s="118"/>
      <c r="Y67" s="114"/>
      <c r="Z67" s="118"/>
      <c r="AA67" s="152"/>
      <c r="AB67" s="119"/>
      <c r="AC67" s="114"/>
      <c r="AD67" s="118"/>
      <c r="AE67" s="114"/>
      <c r="AF67" s="118"/>
      <c r="AG67" s="114"/>
      <c r="AH67" s="118"/>
      <c r="AI67" s="152"/>
      <c r="AJ67" s="119"/>
      <c r="AK67" s="114"/>
      <c r="AL67" s="120"/>
      <c r="AM67" s="200"/>
      <c r="AN67" s="201"/>
    </row>
    <row r="68" spans="1:40" ht="16.2" customHeight="1">
      <c r="A68" s="160"/>
      <c r="B68" s="148"/>
      <c r="C68" s="113"/>
      <c r="D68" s="148"/>
      <c r="E68" s="113"/>
      <c r="F68" s="150"/>
      <c r="G68" s="113"/>
      <c r="H68" s="148"/>
      <c r="I68" s="113"/>
      <c r="J68" s="148"/>
      <c r="K68" s="113"/>
      <c r="L68" s="150"/>
      <c r="M68" s="113"/>
      <c r="N68" s="148"/>
      <c r="O68" s="113"/>
      <c r="P68" s="148"/>
      <c r="Q68" s="113"/>
      <c r="R68" s="148"/>
      <c r="S68" s="113"/>
      <c r="T68" s="148"/>
      <c r="U68" s="113"/>
      <c r="V68" s="150"/>
      <c r="W68" s="113"/>
      <c r="X68" s="150"/>
      <c r="Y68" s="113"/>
      <c r="Z68" s="150"/>
      <c r="AA68" s="151"/>
      <c r="AB68" s="149"/>
      <c r="AC68" s="113"/>
      <c r="AD68" s="150"/>
      <c r="AE68" s="113"/>
      <c r="AF68" s="150"/>
      <c r="AG68" s="113"/>
      <c r="AH68" s="150"/>
      <c r="AI68" s="151"/>
      <c r="AJ68" s="149"/>
      <c r="AK68" s="113"/>
      <c r="AL68" s="117"/>
      <c r="AM68" s="198"/>
      <c r="AN68" s="199"/>
    </row>
    <row r="69" spans="1:40" ht="16.2" customHeight="1">
      <c r="A69" s="161"/>
      <c r="B69" s="114"/>
      <c r="C69" s="114"/>
      <c r="D69" s="114"/>
      <c r="E69" s="114"/>
      <c r="F69" s="118"/>
      <c r="G69" s="114"/>
      <c r="H69" s="114"/>
      <c r="I69" s="114"/>
      <c r="J69" s="114"/>
      <c r="K69" s="114"/>
      <c r="L69" s="118"/>
      <c r="M69" s="114"/>
      <c r="N69" s="114"/>
      <c r="O69" s="114"/>
      <c r="P69" s="114"/>
      <c r="Q69" s="114"/>
      <c r="R69" s="114"/>
      <c r="S69" s="114"/>
      <c r="T69" s="114"/>
      <c r="U69" s="114"/>
      <c r="V69" s="118"/>
      <c r="W69" s="114"/>
      <c r="X69" s="118"/>
      <c r="Y69" s="114"/>
      <c r="Z69" s="118"/>
      <c r="AA69" s="152"/>
      <c r="AB69" s="119"/>
      <c r="AC69" s="114"/>
      <c r="AD69" s="118"/>
      <c r="AE69" s="114"/>
      <c r="AF69" s="118"/>
      <c r="AG69" s="114"/>
      <c r="AH69" s="118"/>
      <c r="AI69" s="152"/>
      <c r="AJ69" s="119"/>
      <c r="AK69" s="114"/>
      <c r="AL69" s="120"/>
      <c r="AM69" s="200"/>
      <c r="AN69" s="201"/>
    </row>
    <row r="70" spans="1:40" ht="16.2" customHeight="1">
      <c r="A70" s="160"/>
      <c r="B70" s="148"/>
      <c r="C70" s="113"/>
      <c r="D70" s="148"/>
      <c r="E70" s="113"/>
      <c r="F70" s="150"/>
      <c r="G70" s="113"/>
      <c r="H70" s="148"/>
      <c r="I70" s="113"/>
      <c r="J70" s="148"/>
      <c r="K70" s="113"/>
      <c r="L70" s="150"/>
      <c r="M70" s="113"/>
      <c r="N70" s="148"/>
      <c r="O70" s="113"/>
      <c r="P70" s="148"/>
      <c r="Q70" s="113"/>
      <c r="R70" s="148"/>
      <c r="S70" s="113"/>
      <c r="T70" s="148"/>
      <c r="U70" s="113"/>
      <c r="V70" s="150"/>
      <c r="W70" s="113"/>
      <c r="X70" s="150"/>
      <c r="Y70" s="113"/>
      <c r="Z70" s="150"/>
      <c r="AA70" s="151"/>
      <c r="AB70" s="149"/>
      <c r="AC70" s="113"/>
      <c r="AD70" s="150"/>
      <c r="AE70" s="113"/>
      <c r="AF70" s="150"/>
      <c r="AG70" s="113"/>
      <c r="AH70" s="150"/>
      <c r="AI70" s="151"/>
      <c r="AJ70" s="149"/>
      <c r="AK70" s="113"/>
      <c r="AL70" s="117"/>
      <c r="AM70" s="198"/>
      <c r="AN70" s="199"/>
    </row>
    <row r="71" spans="1:40" ht="16.2" customHeight="1">
      <c r="A71" s="161"/>
      <c r="B71" s="114"/>
      <c r="C71" s="114"/>
      <c r="D71" s="114"/>
      <c r="E71" s="114"/>
      <c r="F71" s="118"/>
      <c r="G71" s="114"/>
      <c r="H71" s="114"/>
      <c r="I71" s="114"/>
      <c r="J71" s="114"/>
      <c r="K71" s="114"/>
      <c r="L71" s="118"/>
      <c r="M71" s="114"/>
      <c r="N71" s="114"/>
      <c r="O71" s="114"/>
      <c r="P71" s="114"/>
      <c r="Q71" s="114"/>
      <c r="R71" s="114"/>
      <c r="S71" s="114"/>
      <c r="T71" s="114"/>
      <c r="U71" s="114"/>
      <c r="V71" s="118"/>
      <c r="W71" s="114"/>
      <c r="X71" s="118"/>
      <c r="Y71" s="114"/>
      <c r="Z71" s="118"/>
      <c r="AA71" s="152"/>
      <c r="AB71" s="119"/>
      <c r="AC71" s="114"/>
      <c r="AD71" s="118"/>
      <c r="AE71" s="114"/>
      <c r="AF71" s="118"/>
      <c r="AG71" s="114"/>
      <c r="AH71" s="118"/>
      <c r="AI71" s="152"/>
      <c r="AJ71" s="119"/>
      <c r="AK71" s="114"/>
      <c r="AL71" s="120"/>
      <c r="AM71" s="200"/>
      <c r="AN71" s="201"/>
    </row>
    <row r="72" spans="1:40" ht="16.2" customHeight="1">
      <c r="A72" s="160"/>
      <c r="B72" s="148"/>
      <c r="C72" s="113"/>
      <c r="D72" s="148"/>
      <c r="E72" s="113"/>
      <c r="F72" s="150"/>
      <c r="G72" s="113"/>
      <c r="H72" s="148"/>
      <c r="I72" s="113"/>
      <c r="J72" s="148"/>
      <c r="K72" s="113"/>
      <c r="L72" s="150"/>
      <c r="M72" s="113"/>
      <c r="N72" s="148"/>
      <c r="O72" s="113"/>
      <c r="P72" s="148"/>
      <c r="Q72" s="113"/>
      <c r="R72" s="148"/>
      <c r="S72" s="113"/>
      <c r="T72" s="148"/>
      <c r="U72" s="113"/>
      <c r="V72" s="150"/>
      <c r="W72" s="113"/>
      <c r="X72" s="150"/>
      <c r="Y72" s="113"/>
      <c r="Z72" s="150"/>
      <c r="AA72" s="151"/>
      <c r="AB72" s="149"/>
      <c r="AC72" s="113"/>
      <c r="AD72" s="150"/>
      <c r="AE72" s="113"/>
      <c r="AF72" s="150"/>
      <c r="AG72" s="113"/>
      <c r="AH72" s="150"/>
      <c r="AI72" s="151"/>
      <c r="AJ72" s="149"/>
      <c r="AK72" s="113"/>
      <c r="AL72" s="117"/>
      <c r="AM72" s="198"/>
      <c r="AN72" s="199"/>
    </row>
    <row r="73" spans="1:40" ht="16.2" customHeight="1">
      <c r="A73" s="161"/>
      <c r="B73" s="114"/>
      <c r="C73" s="114"/>
      <c r="D73" s="114"/>
      <c r="E73" s="114"/>
      <c r="F73" s="118"/>
      <c r="G73" s="114"/>
      <c r="H73" s="114"/>
      <c r="I73" s="114"/>
      <c r="J73" s="114"/>
      <c r="K73" s="114"/>
      <c r="L73" s="118"/>
      <c r="M73" s="114"/>
      <c r="N73" s="114"/>
      <c r="O73" s="114"/>
      <c r="P73" s="114"/>
      <c r="Q73" s="114"/>
      <c r="R73" s="114"/>
      <c r="S73" s="114"/>
      <c r="T73" s="114"/>
      <c r="U73" s="114"/>
      <c r="V73" s="118"/>
      <c r="W73" s="114"/>
      <c r="X73" s="118"/>
      <c r="Y73" s="114"/>
      <c r="Z73" s="118"/>
      <c r="AA73" s="152"/>
      <c r="AB73" s="119"/>
      <c r="AC73" s="114"/>
      <c r="AD73" s="118"/>
      <c r="AE73" s="114"/>
      <c r="AF73" s="118"/>
      <c r="AG73" s="114"/>
      <c r="AH73" s="118"/>
      <c r="AI73" s="152"/>
      <c r="AJ73" s="119"/>
      <c r="AK73" s="114"/>
      <c r="AL73" s="120"/>
      <c r="AM73" s="200"/>
      <c r="AN73" s="201"/>
    </row>
    <row r="74" spans="1:40" ht="16.2" customHeight="1">
      <c r="A74" s="160"/>
      <c r="B74" s="148"/>
      <c r="C74" s="113"/>
      <c r="D74" s="148"/>
      <c r="E74" s="113"/>
      <c r="F74" s="150"/>
      <c r="G74" s="113"/>
      <c r="H74" s="148"/>
      <c r="I74" s="113"/>
      <c r="J74" s="148"/>
      <c r="K74" s="113"/>
      <c r="L74" s="150"/>
      <c r="M74" s="113"/>
      <c r="N74" s="148"/>
      <c r="O74" s="113"/>
      <c r="P74" s="148"/>
      <c r="Q74" s="113"/>
      <c r="R74" s="148"/>
      <c r="S74" s="113"/>
      <c r="T74" s="148"/>
      <c r="U74" s="113"/>
      <c r="V74" s="150"/>
      <c r="W74" s="113"/>
      <c r="X74" s="150"/>
      <c r="Y74" s="113"/>
      <c r="Z74" s="150"/>
      <c r="AA74" s="151"/>
      <c r="AB74" s="149"/>
      <c r="AC74" s="113"/>
      <c r="AD74" s="150"/>
      <c r="AE74" s="113"/>
      <c r="AF74" s="150"/>
      <c r="AG74" s="113"/>
      <c r="AH74" s="150"/>
      <c r="AI74" s="151"/>
      <c r="AJ74" s="149"/>
      <c r="AK74" s="113"/>
      <c r="AL74" s="117"/>
      <c r="AM74" s="198"/>
      <c r="AN74" s="199"/>
    </row>
    <row r="75" spans="1:40" ht="16.2" customHeight="1">
      <c r="A75" s="161"/>
      <c r="B75" s="114"/>
      <c r="C75" s="114"/>
      <c r="D75" s="114"/>
      <c r="E75" s="114"/>
      <c r="F75" s="118"/>
      <c r="G75" s="114"/>
      <c r="H75" s="114"/>
      <c r="I75" s="114"/>
      <c r="J75" s="114"/>
      <c r="K75" s="114"/>
      <c r="L75" s="118"/>
      <c r="M75" s="114"/>
      <c r="N75" s="114"/>
      <c r="O75" s="114"/>
      <c r="P75" s="114"/>
      <c r="Q75" s="114"/>
      <c r="R75" s="114"/>
      <c r="S75" s="114"/>
      <c r="T75" s="114"/>
      <c r="U75" s="114"/>
      <c r="V75" s="118"/>
      <c r="W75" s="114"/>
      <c r="X75" s="118"/>
      <c r="Y75" s="114"/>
      <c r="Z75" s="118"/>
      <c r="AA75" s="152"/>
      <c r="AB75" s="119"/>
      <c r="AC75" s="114"/>
      <c r="AD75" s="118"/>
      <c r="AE75" s="114"/>
      <c r="AF75" s="118"/>
      <c r="AG75" s="114"/>
      <c r="AH75" s="118"/>
      <c r="AI75" s="152"/>
      <c r="AJ75" s="119"/>
      <c r="AK75" s="114"/>
      <c r="AL75" s="120"/>
      <c r="AM75" s="200"/>
      <c r="AN75" s="201"/>
    </row>
    <row r="76" spans="1:40" ht="16.2" customHeight="1">
      <c r="A76" s="160"/>
      <c r="B76" s="148"/>
      <c r="C76" s="113"/>
      <c r="D76" s="148"/>
      <c r="E76" s="113"/>
      <c r="F76" s="150"/>
      <c r="G76" s="113"/>
      <c r="H76" s="148"/>
      <c r="I76" s="113"/>
      <c r="J76" s="148"/>
      <c r="K76" s="113"/>
      <c r="L76" s="150"/>
      <c r="M76" s="113"/>
      <c r="N76" s="148"/>
      <c r="O76" s="113"/>
      <c r="P76" s="148"/>
      <c r="Q76" s="113"/>
      <c r="R76" s="148"/>
      <c r="S76" s="113"/>
      <c r="T76" s="148"/>
      <c r="U76" s="113"/>
      <c r="V76" s="150"/>
      <c r="W76" s="113"/>
      <c r="X76" s="150"/>
      <c r="Y76" s="113"/>
      <c r="Z76" s="150"/>
      <c r="AA76" s="151"/>
      <c r="AB76" s="149"/>
      <c r="AC76" s="113"/>
      <c r="AD76" s="150"/>
      <c r="AE76" s="113"/>
      <c r="AF76" s="150"/>
      <c r="AG76" s="113"/>
      <c r="AH76" s="150"/>
      <c r="AI76" s="151"/>
      <c r="AJ76" s="149"/>
      <c r="AK76" s="113"/>
      <c r="AL76" s="117"/>
      <c r="AM76" s="198"/>
      <c r="AN76" s="199"/>
    </row>
    <row r="77" spans="1:40" ht="16.2" customHeight="1">
      <c r="A77" s="161"/>
      <c r="B77" s="114"/>
      <c r="C77" s="114"/>
      <c r="D77" s="114"/>
      <c r="E77" s="114"/>
      <c r="F77" s="118"/>
      <c r="G77" s="114"/>
      <c r="H77" s="114"/>
      <c r="I77" s="114"/>
      <c r="J77" s="114"/>
      <c r="K77" s="114"/>
      <c r="L77" s="118"/>
      <c r="M77" s="114"/>
      <c r="N77" s="114"/>
      <c r="O77" s="114"/>
      <c r="P77" s="114"/>
      <c r="Q77" s="114"/>
      <c r="R77" s="114"/>
      <c r="S77" s="114"/>
      <c r="T77" s="114"/>
      <c r="U77" s="114"/>
      <c r="V77" s="118"/>
      <c r="W77" s="114"/>
      <c r="X77" s="118"/>
      <c r="Y77" s="114"/>
      <c r="Z77" s="118"/>
      <c r="AA77" s="152"/>
      <c r="AB77" s="119"/>
      <c r="AC77" s="114"/>
      <c r="AD77" s="118"/>
      <c r="AE77" s="114"/>
      <c r="AF77" s="118"/>
      <c r="AG77" s="114"/>
      <c r="AH77" s="118"/>
      <c r="AI77" s="152"/>
      <c r="AJ77" s="119"/>
      <c r="AK77" s="114"/>
      <c r="AL77" s="120"/>
      <c r="AM77" s="200"/>
      <c r="AN77" s="201"/>
    </row>
    <row r="78" spans="1:40" ht="16.2" customHeight="1">
      <c r="A78" s="160"/>
      <c r="B78" s="148"/>
      <c r="C78" s="113"/>
      <c r="D78" s="148"/>
      <c r="E78" s="113"/>
      <c r="F78" s="150"/>
      <c r="G78" s="113"/>
      <c r="H78" s="148"/>
      <c r="I78" s="113"/>
      <c r="J78" s="148"/>
      <c r="K78" s="113"/>
      <c r="L78" s="150"/>
      <c r="M78" s="113"/>
      <c r="N78" s="148"/>
      <c r="O78" s="113"/>
      <c r="P78" s="148"/>
      <c r="Q78" s="113"/>
      <c r="R78" s="148"/>
      <c r="S78" s="113"/>
      <c r="T78" s="148"/>
      <c r="U78" s="113"/>
      <c r="V78" s="150"/>
      <c r="W78" s="113"/>
      <c r="X78" s="150"/>
      <c r="Y78" s="113"/>
      <c r="Z78" s="150"/>
      <c r="AA78" s="151"/>
      <c r="AB78" s="149"/>
      <c r="AC78" s="113"/>
      <c r="AD78" s="150"/>
      <c r="AE78" s="113"/>
      <c r="AF78" s="150"/>
      <c r="AG78" s="113"/>
      <c r="AH78" s="150"/>
      <c r="AI78" s="151"/>
      <c r="AJ78" s="149"/>
      <c r="AK78" s="113"/>
      <c r="AL78" s="117"/>
      <c r="AM78" s="198"/>
      <c r="AN78" s="199"/>
    </row>
    <row r="79" spans="1:40" ht="16.2" customHeight="1">
      <c r="A79" s="161"/>
      <c r="B79" s="114"/>
      <c r="C79" s="114"/>
      <c r="D79" s="114"/>
      <c r="E79" s="114"/>
      <c r="F79" s="118"/>
      <c r="G79" s="114"/>
      <c r="H79" s="114"/>
      <c r="I79" s="114"/>
      <c r="J79" s="114"/>
      <c r="K79" s="114"/>
      <c r="L79" s="118"/>
      <c r="M79" s="114"/>
      <c r="N79" s="114"/>
      <c r="O79" s="114"/>
      <c r="P79" s="114"/>
      <c r="Q79" s="114"/>
      <c r="R79" s="114"/>
      <c r="S79" s="114"/>
      <c r="T79" s="114"/>
      <c r="U79" s="114"/>
      <c r="V79" s="118"/>
      <c r="W79" s="114"/>
      <c r="X79" s="118"/>
      <c r="Y79" s="114"/>
      <c r="Z79" s="118"/>
      <c r="AA79" s="152"/>
      <c r="AB79" s="119"/>
      <c r="AC79" s="114"/>
      <c r="AD79" s="118"/>
      <c r="AE79" s="114"/>
      <c r="AF79" s="118"/>
      <c r="AG79" s="114"/>
      <c r="AH79" s="118"/>
      <c r="AI79" s="152"/>
      <c r="AJ79" s="119"/>
      <c r="AK79" s="114"/>
      <c r="AL79" s="120"/>
      <c r="AM79" s="200"/>
      <c r="AN79" s="201"/>
    </row>
    <row r="80" spans="1:40" ht="16.2" customHeight="1">
      <c r="A80" s="160"/>
      <c r="B80" s="148"/>
      <c r="C80" s="113"/>
      <c r="D80" s="148"/>
      <c r="E80" s="113"/>
      <c r="F80" s="150"/>
      <c r="G80" s="113"/>
      <c r="H80" s="148"/>
      <c r="I80" s="113"/>
      <c r="J80" s="148"/>
      <c r="K80" s="113"/>
      <c r="L80" s="150"/>
      <c r="M80" s="113"/>
      <c r="N80" s="148"/>
      <c r="O80" s="113"/>
      <c r="P80" s="148"/>
      <c r="Q80" s="113"/>
      <c r="R80" s="148"/>
      <c r="S80" s="113"/>
      <c r="T80" s="148"/>
      <c r="U80" s="113"/>
      <c r="V80" s="150"/>
      <c r="W80" s="113"/>
      <c r="X80" s="150"/>
      <c r="Y80" s="113"/>
      <c r="Z80" s="150"/>
      <c r="AA80" s="151"/>
      <c r="AB80" s="149"/>
      <c r="AC80" s="113"/>
      <c r="AD80" s="150"/>
      <c r="AE80" s="113"/>
      <c r="AF80" s="150"/>
      <c r="AG80" s="113"/>
      <c r="AH80" s="150"/>
      <c r="AI80" s="151"/>
      <c r="AJ80" s="149"/>
      <c r="AK80" s="113"/>
      <c r="AL80" s="117"/>
      <c r="AM80" s="198"/>
      <c r="AN80" s="199"/>
    </row>
    <row r="81" spans="1:40" ht="16.2" customHeight="1">
      <c r="A81" s="161"/>
      <c r="B81" s="114"/>
      <c r="C81" s="114"/>
      <c r="D81" s="114"/>
      <c r="E81" s="114"/>
      <c r="F81" s="118"/>
      <c r="G81" s="114"/>
      <c r="H81" s="114"/>
      <c r="I81" s="114"/>
      <c r="J81" s="114"/>
      <c r="K81" s="114"/>
      <c r="L81" s="118"/>
      <c r="M81" s="114"/>
      <c r="N81" s="114"/>
      <c r="O81" s="114"/>
      <c r="P81" s="114"/>
      <c r="Q81" s="114"/>
      <c r="R81" s="114"/>
      <c r="S81" s="114"/>
      <c r="T81" s="114"/>
      <c r="U81" s="114"/>
      <c r="V81" s="118"/>
      <c r="W81" s="114"/>
      <c r="X81" s="118"/>
      <c r="Y81" s="114"/>
      <c r="Z81" s="118"/>
      <c r="AA81" s="152"/>
      <c r="AB81" s="119"/>
      <c r="AC81" s="114"/>
      <c r="AD81" s="118"/>
      <c r="AE81" s="114"/>
      <c r="AF81" s="118"/>
      <c r="AG81" s="114"/>
      <c r="AH81" s="118"/>
      <c r="AI81" s="152"/>
      <c r="AJ81" s="119"/>
      <c r="AK81" s="114"/>
      <c r="AL81" s="120"/>
      <c r="AM81" s="200"/>
      <c r="AN81" s="201"/>
    </row>
    <row r="82" spans="1:40" ht="16.2" customHeight="1">
      <c r="A82" s="160"/>
      <c r="B82" s="148"/>
      <c r="C82" s="113"/>
      <c r="D82" s="148"/>
      <c r="E82" s="113"/>
      <c r="F82" s="150"/>
      <c r="G82" s="113"/>
      <c r="H82" s="148"/>
      <c r="I82" s="113"/>
      <c r="J82" s="148"/>
      <c r="K82" s="113"/>
      <c r="L82" s="150"/>
      <c r="M82" s="113"/>
      <c r="N82" s="148"/>
      <c r="O82" s="113"/>
      <c r="P82" s="148"/>
      <c r="Q82" s="113"/>
      <c r="R82" s="148"/>
      <c r="S82" s="113"/>
      <c r="T82" s="148"/>
      <c r="U82" s="113"/>
      <c r="V82" s="150"/>
      <c r="W82" s="113"/>
      <c r="X82" s="150"/>
      <c r="Y82" s="113"/>
      <c r="Z82" s="150"/>
      <c r="AA82" s="151"/>
      <c r="AB82" s="149"/>
      <c r="AC82" s="113"/>
      <c r="AD82" s="150"/>
      <c r="AE82" s="113"/>
      <c r="AF82" s="150"/>
      <c r="AG82" s="113"/>
      <c r="AH82" s="150"/>
      <c r="AI82" s="151"/>
      <c r="AJ82" s="149"/>
      <c r="AK82" s="113"/>
      <c r="AL82" s="117"/>
      <c r="AM82" s="198"/>
      <c r="AN82" s="199"/>
    </row>
    <row r="83" spans="1:40" ht="16.2" customHeight="1">
      <c r="A83" s="161"/>
      <c r="B83" s="114"/>
      <c r="C83" s="114"/>
      <c r="D83" s="114"/>
      <c r="E83" s="114"/>
      <c r="F83" s="118"/>
      <c r="G83" s="114"/>
      <c r="H83" s="114"/>
      <c r="I83" s="114"/>
      <c r="J83" s="114"/>
      <c r="K83" s="114"/>
      <c r="L83" s="118"/>
      <c r="M83" s="114"/>
      <c r="N83" s="114"/>
      <c r="O83" s="114"/>
      <c r="P83" s="114"/>
      <c r="Q83" s="114"/>
      <c r="R83" s="114"/>
      <c r="S83" s="114"/>
      <c r="T83" s="114"/>
      <c r="U83" s="114"/>
      <c r="V83" s="118"/>
      <c r="W83" s="114"/>
      <c r="X83" s="118"/>
      <c r="Y83" s="114"/>
      <c r="Z83" s="118"/>
      <c r="AA83" s="152"/>
      <c r="AB83" s="119"/>
      <c r="AC83" s="114"/>
      <c r="AD83" s="118"/>
      <c r="AE83" s="114"/>
      <c r="AF83" s="118"/>
      <c r="AG83" s="114"/>
      <c r="AH83" s="118"/>
      <c r="AI83" s="152"/>
      <c r="AJ83" s="119"/>
      <c r="AK83" s="114"/>
      <c r="AL83" s="120"/>
      <c r="AM83" s="200"/>
      <c r="AN83" s="201"/>
    </row>
    <row r="84" spans="1:40" ht="16.2" customHeight="1">
      <c r="A84" s="160"/>
      <c r="B84" s="148"/>
      <c r="C84" s="113"/>
      <c r="D84" s="148"/>
      <c r="E84" s="113"/>
      <c r="F84" s="150"/>
      <c r="G84" s="113"/>
      <c r="H84" s="148"/>
      <c r="I84" s="113"/>
      <c r="J84" s="148"/>
      <c r="K84" s="113"/>
      <c r="L84" s="150"/>
      <c r="M84" s="113"/>
      <c r="N84" s="148"/>
      <c r="O84" s="113"/>
      <c r="P84" s="148"/>
      <c r="Q84" s="113"/>
      <c r="R84" s="148"/>
      <c r="S84" s="113"/>
      <c r="T84" s="148"/>
      <c r="U84" s="113"/>
      <c r="V84" s="150"/>
      <c r="W84" s="113"/>
      <c r="X84" s="150"/>
      <c r="Y84" s="113"/>
      <c r="Z84" s="150"/>
      <c r="AA84" s="151"/>
      <c r="AB84" s="149"/>
      <c r="AC84" s="113"/>
      <c r="AD84" s="150"/>
      <c r="AE84" s="113"/>
      <c r="AF84" s="150"/>
      <c r="AG84" s="113"/>
      <c r="AH84" s="150"/>
      <c r="AI84" s="151"/>
      <c r="AJ84" s="149"/>
      <c r="AK84" s="113"/>
      <c r="AL84" s="117"/>
      <c r="AM84" s="198"/>
      <c r="AN84" s="199"/>
    </row>
    <row r="85" spans="1:40" ht="16.2" customHeight="1">
      <c r="A85" s="161"/>
      <c r="B85" s="114"/>
      <c r="C85" s="114"/>
      <c r="D85" s="114"/>
      <c r="E85" s="114"/>
      <c r="F85" s="118"/>
      <c r="G85" s="114"/>
      <c r="H85" s="114"/>
      <c r="I85" s="114"/>
      <c r="J85" s="114"/>
      <c r="K85" s="114"/>
      <c r="L85" s="118"/>
      <c r="M85" s="114"/>
      <c r="N85" s="114"/>
      <c r="O85" s="114"/>
      <c r="P85" s="114"/>
      <c r="Q85" s="114"/>
      <c r="R85" s="114"/>
      <c r="S85" s="114"/>
      <c r="T85" s="114"/>
      <c r="U85" s="114"/>
      <c r="V85" s="118"/>
      <c r="W85" s="114"/>
      <c r="X85" s="118"/>
      <c r="Y85" s="114"/>
      <c r="Z85" s="118"/>
      <c r="AA85" s="152"/>
      <c r="AB85" s="119"/>
      <c r="AC85" s="114"/>
      <c r="AD85" s="118"/>
      <c r="AE85" s="114"/>
      <c r="AF85" s="118"/>
      <c r="AG85" s="114"/>
      <c r="AH85" s="118"/>
      <c r="AI85" s="152"/>
      <c r="AJ85" s="119"/>
      <c r="AK85" s="114"/>
      <c r="AL85" s="120"/>
      <c r="AM85" s="200"/>
      <c r="AN85" s="201"/>
    </row>
    <row r="86" spans="1:40" ht="16.2" customHeight="1">
      <c r="A86" s="160"/>
      <c r="B86" s="148"/>
      <c r="C86" s="113"/>
      <c r="D86" s="148"/>
      <c r="E86" s="113"/>
      <c r="F86" s="150"/>
      <c r="G86" s="113"/>
      <c r="H86" s="148"/>
      <c r="I86" s="113"/>
      <c r="J86" s="148"/>
      <c r="K86" s="113"/>
      <c r="L86" s="150"/>
      <c r="M86" s="113"/>
      <c r="N86" s="148"/>
      <c r="O86" s="113"/>
      <c r="P86" s="148"/>
      <c r="Q86" s="113"/>
      <c r="R86" s="148"/>
      <c r="S86" s="113"/>
      <c r="T86" s="148"/>
      <c r="U86" s="113"/>
      <c r="V86" s="150"/>
      <c r="W86" s="113"/>
      <c r="X86" s="150"/>
      <c r="Y86" s="113"/>
      <c r="Z86" s="150"/>
      <c r="AA86" s="151"/>
      <c r="AB86" s="149"/>
      <c r="AC86" s="113"/>
      <c r="AD86" s="150"/>
      <c r="AE86" s="113"/>
      <c r="AF86" s="150"/>
      <c r="AG86" s="113"/>
      <c r="AH86" s="150"/>
      <c r="AI86" s="151"/>
      <c r="AJ86" s="149"/>
      <c r="AK86" s="113"/>
      <c r="AL86" s="117"/>
      <c r="AM86" s="198"/>
      <c r="AN86" s="199"/>
    </row>
    <row r="87" spans="1:40" ht="16.2" customHeight="1">
      <c r="A87" s="161"/>
      <c r="B87" s="114"/>
      <c r="C87" s="114"/>
      <c r="D87" s="114"/>
      <c r="E87" s="114"/>
      <c r="F87" s="118"/>
      <c r="G87" s="114"/>
      <c r="H87" s="114"/>
      <c r="I87" s="114"/>
      <c r="J87" s="114"/>
      <c r="K87" s="114"/>
      <c r="L87" s="118"/>
      <c r="M87" s="114"/>
      <c r="N87" s="114"/>
      <c r="O87" s="114"/>
      <c r="P87" s="114"/>
      <c r="Q87" s="114"/>
      <c r="R87" s="114"/>
      <c r="S87" s="114"/>
      <c r="T87" s="114"/>
      <c r="U87" s="114"/>
      <c r="V87" s="118"/>
      <c r="W87" s="114"/>
      <c r="X87" s="118"/>
      <c r="Y87" s="114"/>
      <c r="Z87" s="118"/>
      <c r="AA87" s="152"/>
      <c r="AB87" s="119"/>
      <c r="AC87" s="114"/>
      <c r="AD87" s="118"/>
      <c r="AE87" s="114"/>
      <c r="AF87" s="118"/>
      <c r="AG87" s="114"/>
      <c r="AH87" s="118"/>
      <c r="AI87" s="152"/>
      <c r="AJ87" s="119"/>
      <c r="AK87" s="114"/>
      <c r="AL87" s="120"/>
      <c r="AM87" s="200"/>
      <c r="AN87" s="201"/>
    </row>
    <row r="88" spans="1:40" ht="16.2" customHeight="1">
      <c r="A88" s="160"/>
      <c r="B88" s="148"/>
      <c r="C88" s="113"/>
      <c r="D88" s="148"/>
      <c r="E88" s="113"/>
      <c r="F88" s="150"/>
      <c r="G88" s="113"/>
      <c r="H88" s="148"/>
      <c r="I88" s="113"/>
      <c r="J88" s="148"/>
      <c r="K88" s="113"/>
      <c r="L88" s="150"/>
      <c r="M88" s="113"/>
      <c r="N88" s="148"/>
      <c r="O88" s="113"/>
      <c r="P88" s="148"/>
      <c r="Q88" s="113"/>
      <c r="R88" s="148"/>
      <c r="S88" s="113"/>
      <c r="T88" s="148"/>
      <c r="U88" s="113"/>
      <c r="V88" s="150"/>
      <c r="W88" s="113"/>
      <c r="X88" s="150"/>
      <c r="Y88" s="113"/>
      <c r="Z88" s="150"/>
      <c r="AA88" s="151"/>
      <c r="AB88" s="149"/>
      <c r="AC88" s="113"/>
      <c r="AD88" s="150"/>
      <c r="AE88" s="113"/>
      <c r="AF88" s="150"/>
      <c r="AG88" s="113"/>
      <c r="AH88" s="150"/>
      <c r="AI88" s="151"/>
      <c r="AJ88" s="149"/>
      <c r="AK88" s="113"/>
      <c r="AL88" s="117"/>
      <c r="AM88" s="198"/>
      <c r="AN88" s="199"/>
    </row>
    <row r="89" spans="1:40" ht="16.2" customHeight="1">
      <c r="A89" s="161"/>
      <c r="B89" s="114"/>
      <c r="C89" s="114"/>
      <c r="D89" s="114"/>
      <c r="E89" s="114"/>
      <c r="F89" s="118"/>
      <c r="G89" s="114"/>
      <c r="H89" s="114"/>
      <c r="I89" s="114"/>
      <c r="J89" s="114"/>
      <c r="K89" s="114"/>
      <c r="L89" s="118"/>
      <c r="M89" s="114"/>
      <c r="N89" s="114"/>
      <c r="O89" s="114"/>
      <c r="P89" s="114"/>
      <c r="Q89" s="114"/>
      <c r="R89" s="114"/>
      <c r="S89" s="114"/>
      <c r="T89" s="114"/>
      <c r="U89" s="114"/>
      <c r="V89" s="118"/>
      <c r="W89" s="114"/>
      <c r="X89" s="118"/>
      <c r="Y89" s="114"/>
      <c r="Z89" s="118"/>
      <c r="AA89" s="152"/>
      <c r="AB89" s="119"/>
      <c r="AC89" s="114"/>
      <c r="AD89" s="118"/>
      <c r="AE89" s="114"/>
      <c r="AF89" s="118"/>
      <c r="AG89" s="114"/>
      <c r="AH89" s="118"/>
      <c r="AI89" s="152"/>
      <c r="AJ89" s="119"/>
      <c r="AK89" s="114"/>
      <c r="AL89" s="120"/>
      <c r="AM89" s="200"/>
      <c r="AN89" s="201"/>
    </row>
    <row r="90" spans="1:40" ht="16.2" customHeight="1">
      <c r="A90" s="160"/>
      <c r="B90" s="148"/>
      <c r="C90" s="113"/>
      <c r="D90" s="148"/>
      <c r="E90" s="113"/>
      <c r="F90" s="150"/>
      <c r="G90" s="113"/>
      <c r="H90" s="148"/>
      <c r="I90" s="113"/>
      <c r="J90" s="148"/>
      <c r="K90" s="113"/>
      <c r="L90" s="150"/>
      <c r="M90" s="113"/>
      <c r="N90" s="148"/>
      <c r="O90" s="113"/>
      <c r="P90" s="148"/>
      <c r="Q90" s="113"/>
      <c r="R90" s="148"/>
      <c r="S90" s="113"/>
      <c r="T90" s="148"/>
      <c r="U90" s="113"/>
      <c r="V90" s="150"/>
      <c r="W90" s="113"/>
      <c r="X90" s="150"/>
      <c r="Y90" s="113"/>
      <c r="Z90" s="150"/>
      <c r="AA90" s="151"/>
      <c r="AB90" s="149"/>
      <c r="AC90" s="113"/>
      <c r="AD90" s="150"/>
      <c r="AE90" s="113"/>
      <c r="AF90" s="150"/>
      <c r="AG90" s="113"/>
      <c r="AH90" s="150"/>
      <c r="AI90" s="151"/>
      <c r="AJ90" s="149"/>
      <c r="AK90" s="113"/>
      <c r="AL90" s="117"/>
      <c r="AM90" s="198"/>
      <c r="AN90" s="199"/>
    </row>
    <row r="91" spans="1:40" ht="16.2" customHeight="1">
      <c r="A91" s="161"/>
      <c r="B91" s="114"/>
      <c r="C91" s="114"/>
      <c r="D91" s="114"/>
      <c r="E91" s="114"/>
      <c r="F91" s="118"/>
      <c r="G91" s="114"/>
      <c r="H91" s="114"/>
      <c r="I91" s="114"/>
      <c r="J91" s="114"/>
      <c r="K91" s="114"/>
      <c r="L91" s="118"/>
      <c r="M91" s="114"/>
      <c r="N91" s="114"/>
      <c r="O91" s="114"/>
      <c r="P91" s="114"/>
      <c r="Q91" s="114"/>
      <c r="R91" s="114"/>
      <c r="S91" s="114"/>
      <c r="T91" s="114"/>
      <c r="U91" s="114"/>
      <c r="V91" s="118"/>
      <c r="W91" s="114"/>
      <c r="X91" s="118"/>
      <c r="Y91" s="114"/>
      <c r="Z91" s="118"/>
      <c r="AA91" s="152"/>
      <c r="AB91" s="119"/>
      <c r="AC91" s="114"/>
      <c r="AD91" s="118"/>
      <c r="AE91" s="114"/>
      <c r="AF91" s="118"/>
      <c r="AG91" s="114"/>
      <c r="AH91" s="118"/>
      <c r="AI91" s="152"/>
      <c r="AJ91" s="119"/>
      <c r="AK91" s="114"/>
      <c r="AL91" s="120"/>
      <c r="AM91" s="200"/>
      <c r="AN91" s="201"/>
    </row>
    <row r="92" spans="1:40" ht="16.2" customHeight="1">
      <c r="A92" s="160"/>
      <c r="B92" s="148"/>
      <c r="C92" s="113"/>
      <c r="D92" s="148"/>
      <c r="E92" s="113"/>
      <c r="F92" s="150"/>
      <c r="G92" s="113"/>
      <c r="H92" s="148"/>
      <c r="I92" s="113"/>
      <c r="J92" s="148"/>
      <c r="K92" s="113"/>
      <c r="L92" s="150"/>
      <c r="M92" s="113"/>
      <c r="N92" s="148"/>
      <c r="O92" s="113"/>
      <c r="P92" s="148"/>
      <c r="Q92" s="113"/>
      <c r="R92" s="148"/>
      <c r="S92" s="113"/>
      <c r="T92" s="148"/>
      <c r="U92" s="113"/>
      <c r="V92" s="150"/>
      <c r="W92" s="113"/>
      <c r="X92" s="150"/>
      <c r="Y92" s="113"/>
      <c r="Z92" s="150"/>
      <c r="AA92" s="151"/>
      <c r="AB92" s="149"/>
      <c r="AC92" s="113"/>
      <c r="AD92" s="150"/>
      <c r="AE92" s="113"/>
      <c r="AF92" s="150"/>
      <c r="AG92" s="113"/>
      <c r="AH92" s="150"/>
      <c r="AI92" s="151"/>
      <c r="AJ92" s="149"/>
      <c r="AK92" s="113"/>
      <c r="AL92" s="117"/>
      <c r="AM92" s="198"/>
      <c r="AN92" s="199"/>
    </row>
    <row r="93" spans="1:40" ht="16.2" customHeight="1">
      <c r="A93" s="161"/>
      <c r="B93" s="114"/>
      <c r="C93" s="114"/>
      <c r="D93" s="114"/>
      <c r="E93" s="114"/>
      <c r="F93" s="118"/>
      <c r="G93" s="114"/>
      <c r="H93" s="114"/>
      <c r="I93" s="114"/>
      <c r="J93" s="114"/>
      <c r="K93" s="114"/>
      <c r="L93" s="118"/>
      <c r="M93" s="114"/>
      <c r="N93" s="114"/>
      <c r="O93" s="114"/>
      <c r="P93" s="114"/>
      <c r="Q93" s="114"/>
      <c r="R93" s="114"/>
      <c r="S93" s="114"/>
      <c r="T93" s="114"/>
      <c r="U93" s="114"/>
      <c r="V93" s="118"/>
      <c r="W93" s="114"/>
      <c r="X93" s="118"/>
      <c r="Y93" s="114"/>
      <c r="Z93" s="118"/>
      <c r="AA93" s="152"/>
      <c r="AB93" s="119"/>
      <c r="AC93" s="114"/>
      <c r="AD93" s="118"/>
      <c r="AE93" s="114"/>
      <c r="AF93" s="118"/>
      <c r="AG93" s="114"/>
      <c r="AH93" s="118"/>
      <c r="AI93" s="152"/>
      <c r="AJ93" s="119"/>
      <c r="AK93" s="114"/>
      <c r="AL93" s="120"/>
      <c r="AM93" s="200"/>
      <c r="AN93" s="201"/>
    </row>
    <row r="94" spans="1:40" ht="16.2" customHeight="1">
      <c r="A94" s="160"/>
      <c r="B94" s="148"/>
      <c r="C94" s="113"/>
      <c r="D94" s="148"/>
      <c r="E94" s="113"/>
      <c r="F94" s="150"/>
      <c r="G94" s="113"/>
      <c r="H94" s="148"/>
      <c r="I94" s="113"/>
      <c r="J94" s="148"/>
      <c r="K94" s="113"/>
      <c r="L94" s="150"/>
      <c r="M94" s="113"/>
      <c r="N94" s="148"/>
      <c r="O94" s="113"/>
      <c r="P94" s="148"/>
      <c r="Q94" s="113"/>
      <c r="R94" s="148"/>
      <c r="S94" s="113"/>
      <c r="T94" s="148"/>
      <c r="U94" s="113"/>
      <c r="V94" s="150"/>
      <c r="W94" s="113"/>
      <c r="X94" s="150"/>
      <c r="Y94" s="113"/>
      <c r="Z94" s="150"/>
      <c r="AA94" s="151"/>
      <c r="AB94" s="149"/>
      <c r="AC94" s="113"/>
      <c r="AD94" s="150"/>
      <c r="AE94" s="113"/>
      <c r="AF94" s="150"/>
      <c r="AG94" s="113"/>
      <c r="AH94" s="150"/>
      <c r="AI94" s="151"/>
      <c r="AJ94" s="149"/>
      <c r="AK94" s="113"/>
      <c r="AL94" s="117"/>
      <c r="AM94" s="198"/>
      <c r="AN94" s="199"/>
    </row>
    <row r="95" spans="1:40" ht="16.2" customHeight="1">
      <c r="A95" s="161"/>
      <c r="B95" s="114"/>
      <c r="C95" s="114"/>
      <c r="D95" s="114"/>
      <c r="E95" s="114"/>
      <c r="F95" s="118"/>
      <c r="G95" s="114"/>
      <c r="H95" s="114"/>
      <c r="I95" s="114"/>
      <c r="J95" s="114"/>
      <c r="K95" s="114"/>
      <c r="L95" s="118"/>
      <c r="M95" s="114"/>
      <c r="N95" s="114"/>
      <c r="O95" s="114"/>
      <c r="P95" s="114"/>
      <c r="Q95" s="114"/>
      <c r="R95" s="114"/>
      <c r="S95" s="114"/>
      <c r="T95" s="114"/>
      <c r="U95" s="114"/>
      <c r="V95" s="118"/>
      <c r="W95" s="114"/>
      <c r="X95" s="118"/>
      <c r="Y95" s="114"/>
      <c r="Z95" s="118"/>
      <c r="AA95" s="152"/>
      <c r="AB95" s="119"/>
      <c r="AC95" s="114"/>
      <c r="AD95" s="118"/>
      <c r="AE95" s="114"/>
      <c r="AF95" s="118"/>
      <c r="AG95" s="114"/>
      <c r="AH95" s="118"/>
      <c r="AI95" s="152"/>
      <c r="AJ95" s="119"/>
      <c r="AK95" s="114"/>
      <c r="AL95" s="120"/>
      <c r="AM95" s="200"/>
      <c r="AN95" s="201"/>
    </row>
    <row r="96" spans="1:40" ht="16.2" customHeight="1">
      <c r="A96" s="160"/>
      <c r="B96" s="148"/>
      <c r="C96" s="113"/>
      <c r="D96" s="148"/>
      <c r="E96" s="113"/>
      <c r="F96" s="150"/>
      <c r="G96" s="113"/>
      <c r="H96" s="148"/>
      <c r="I96" s="113"/>
      <c r="J96" s="148"/>
      <c r="K96" s="113"/>
      <c r="L96" s="150"/>
      <c r="M96" s="113"/>
      <c r="N96" s="148"/>
      <c r="O96" s="113"/>
      <c r="P96" s="148"/>
      <c r="Q96" s="113"/>
      <c r="R96" s="148"/>
      <c r="S96" s="113"/>
      <c r="T96" s="148"/>
      <c r="U96" s="113"/>
      <c r="V96" s="150"/>
      <c r="W96" s="113"/>
      <c r="X96" s="150"/>
      <c r="Y96" s="113"/>
      <c r="Z96" s="150"/>
      <c r="AA96" s="151"/>
      <c r="AB96" s="149"/>
      <c r="AC96" s="113"/>
      <c r="AD96" s="150"/>
      <c r="AE96" s="113"/>
      <c r="AF96" s="150"/>
      <c r="AG96" s="113"/>
      <c r="AH96" s="150"/>
      <c r="AI96" s="151"/>
      <c r="AJ96" s="149"/>
      <c r="AK96" s="113"/>
      <c r="AL96" s="117"/>
      <c r="AM96" s="198"/>
      <c r="AN96" s="199"/>
    </row>
    <row r="97" spans="1:40" ht="16.2" customHeight="1">
      <c r="A97" s="161"/>
      <c r="B97" s="114"/>
      <c r="C97" s="114"/>
      <c r="D97" s="114"/>
      <c r="E97" s="114"/>
      <c r="F97" s="118"/>
      <c r="G97" s="114"/>
      <c r="H97" s="114"/>
      <c r="I97" s="114"/>
      <c r="J97" s="114"/>
      <c r="K97" s="114"/>
      <c r="L97" s="118"/>
      <c r="M97" s="114"/>
      <c r="N97" s="114"/>
      <c r="O97" s="114"/>
      <c r="P97" s="114"/>
      <c r="Q97" s="114"/>
      <c r="R97" s="114"/>
      <c r="S97" s="114"/>
      <c r="T97" s="114"/>
      <c r="U97" s="114"/>
      <c r="V97" s="118"/>
      <c r="W97" s="114"/>
      <c r="X97" s="118"/>
      <c r="Y97" s="114"/>
      <c r="Z97" s="118"/>
      <c r="AA97" s="152"/>
      <c r="AB97" s="119"/>
      <c r="AC97" s="114"/>
      <c r="AD97" s="118"/>
      <c r="AE97" s="114"/>
      <c r="AF97" s="118"/>
      <c r="AG97" s="114"/>
      <c r="AH97" s="118"/>
      <c r="AI97" s="152"/>
      <c r="AJ97" s="119"/>
      <c r="AK97" s="114"/>
      <c r="AL97" s="120"/>
      <c r="AM97" s="200"/>
      <c r="AN97" s="201"/>
    </row>
    <row r="98" spans="1:40" ht="16.2" customHeight="1">
      <c r="A98" s="160"/>
      <c r="B98" s="148"/>
      <c r="C98" s="113"/>
      <c r="D98" s="148"/>
      <c r="E98" s="113"/>
      <c r="F98" s="150"/>
      <c r="G98" s="113"/>
      <c r="H98" s="148"/>
      <c r="I98" s="113"/>
      <c r="J98" s="148"/>
      <c r="K98" s="113"/>
      <c r="L98" s="150"/>
      <c r="M98" s="113"/>
      <c r="N98" s="148"/>
      <c r="O98" s="113"/>
      <c r="P98" s="148"/>
      <c r="Q98" s="113"/>
      <c r="R98" s="148"/>
      <c r="S98" s="113"/>
      <c r="T98" s="148"/>
      <c r="U98" s="113"/>
      <c r="V98" s="150"/>
      <c r="W98" s="113"/>
      <c r="X98" s="150"/>
      <c r="Y98" s="113"/>
      <c r="Z98" s="150"/>
      <c r="AA98" s="151"/>
      <c r="AB98" s="149"/>
      <c r="AC98" s="113"/>
      <c r="AD98" s="150"/>
      <c r="AE98" s="113"/>
      <c r="AF98" s="150"/>
      <c r="AG98" s="113"/>
      <c r="AH98" s="150"/>
      <c r="AI98" s="151"/>
      <c r="AJ98" s="149"/>
      <c r="AK98" s="113"/>
      <c r="AL98" s="117"/>
      <c r="AM98" s="198"/>
      <c r="AN98" s="199"/>
    </row>
    <row r="99" spans="1:40" ht="16.2" customHeight="1">
      <c r="A99" s="161"/>
      <c r="B99" s="114"/>
      <c r="C99" s="114"/>
      <c r="D99" s="114"/>
      <c r="E99" s="114"/>
      <c r="F99" s="118"/>
      <c r="G99" s="114"/>
      <c r="H99" s="114"/>
      <c r="I99" s="114"/>
      <c r="J99" s="114"/>
      <c r="K99" s="114"/>
      <c r="L99" s="118"/>
      <c r="M99" s="114"/>
      <c r="N99" s="114"/>
      <c r="O99" s="114"/>
      <c r="P99" s="114"/>
      <c r="Q99" s="114"/>
      <c r="R99" s="114"/>
      <c r="S99" s="114"/>
      <c r="T99" s="114"/>
      <c r="U99" s="114"/>
      <c r="V99" s="118"/>
      <c r="W99" s="114"/>
      <c r="X99" s="118"/>
      <c r="Y99" s="114"/>
      <c r="Z99" s="118"/>
      <c r="AA99" s="152"/>
      <c r="AB99" s="119"/>
      <c r="AC99" s="114"/>
      <c r="AD99" s="118"/>
      <c r="AE99" s="114"/>
      <c r="AF99" s="118"/>
      <c r="AG99" s="114"/>
      <c r="AH99" s="118"/>
      <c r="AI99" s="152"/>
      <c r="AJ99" s="119"/>
      <c r="AK99" s="114"/>
      <c r="AL99" s="120"/>
      <c r="AM99" s="200"/>
      <c r="AN99" s="201"/>
    </row>
    <row r="100" spans="1:40" ht="16.2" customHeight="1">
      <c r="A100" s="160"/>
      <c r="B100" s="148"/>
      <c r="C100" s="113"/>
      <c r="D100" s="148"/>
      <c r="E100" s="113"/>
      <c r="F100" s="150"/>
      <c r="G100" s="113"/>
      <c r="H100" s="148"/>
      <c r="I100" s="113"/>
      <c r="J100" s="148"/>
      <c r="K100" s="113"/>
      <c r="L100" s="150"/>
      <c r="M100" s="113"/>
      <c r="N100" s="148"/>
      <c r="O100" s="113"/>
      <c r="P100" s="148"/>
      <c r="Q100" s="113"/>
      <c r="R100" s="148"/>
      <c r="S100" s="113"/>
      <c r="T100" s="148"/>
      <c r="U100" s="113"/>
      <c r="V100" s="150"/>
      <c r="W100" s="113"/>
      <c r="X100" s="150"/>
      <c r="Y100" s="113"/>
      <c r="Z100" s="150"/>
      <c r="AA100" s="151"/>
      <c r="AB100" s="149"/>
      <c r="AC100" s="113"/>
      <c r="AD100" s="150"/>
      <c r="AE100" s="113"/>
      <c r="AF100" s="150"/>
      <c r="AG100" s="113"/>
      <c r="AH100" s="150"/>
      <c r="AI100" s="151"/>
      <c r="AJ100" s="149"/>
      <c r="AK100" s="113"/>
      <c r="AL100" s="117"/>
      <c r="AM100" s="198"/>
      <c r="AN100" s="199"/>
    </row>
    <row r="101" spans="1:40" ht="16.2" customHeight="1">
      <c r="A101" s="161"/>
      <c r="B101" s="114"/>
      <c r="C101" s="114"/>
      <c r="D101" s="114"/>
      <c r="E101" s="114"/>
      <c r="F101" s="118"/>
      <c r="G101" s="114"/>
      <c r="H101" s="114"/>
      <c r="I101" s="114"/>
      <c r="J101" s="114"/>
      <c r="K101" s="114"/>
      <c r="L101" s="118"/>
      <c r="M101" s="114"/>
      <c r="N101" s="114"/>
      <c r="O101" s="114"/>
      <c r="P101" s="114"/>
      <c r="Q101" s="114"/>
      <c r="R101" s="114"/>
      <c r="S101" s="114"/>
      <c r="T101" s="114"/>
      <c r="U101" s="114"/>
      <c r="V101" s="118"/>
      <c r="W101" s="114"/>
      <c r="X101" s="118"/>
      <c r="Y101" s="114"/>
      <c r="Z101" s="118"/>
      <c r="AA101" s="152"/>
      <c r="AB101" s="119"/>
      <c r="AC101" s="114"/>
      <c r="AD101" s="118"/>
      <c r="AE101" s="114"/>
      <c r="AF101" s="118"/>
      <c r="AG101" s="114"/>
      <c r="AH101" s="118"/>
      <c r="AI101" s="152"/>
      <c r="AJ101" s="119"/>
      <c r="AK101" s="114"/>
      <c r="AL101" s="120"/>
      <c r="AM101" s="200"/>
      <c r="AN101" s="201"/>
    </row>
    <row r="102" spans="1:40" ht="16.2" customHeight="1">
      <c r="A102" s="160"/>
      <c r="B102" s="148"/>
      <c r="C102" s="113"/>
      <c r="D102" s="148"/>
      <c r="E102" s="113"/>
      <c r="F102" s="150"/>
      <c r="G102" s="113"/>
      <c r="H102" s="148"/>
      <c r="I102" s="113"/>
      <c r="J102" s="148"/>
      <c r="K102" s="113"/>
      <c r="L102" s="150"/>
      <c r="M102" s="113"/>
      <c r="N102" s="148"/>
      <c r="O102" s="113"/>
      <c r="P102" s="148"/>
      <c r="Q102" s="113"/>
      <c r="R102" s="148"/>
      <c r="S102" s="113"/>
      <c r="T102" s="148"/>
      <c r="U102" s="113"/>
      <c r="V102" s="150"/>
      <c r="W102" s="113"/>
      <c r="X102" s="150"/>
      <c r="Y102" s="113"/>
      <c r="Z102" s="150"/>
      <c r="AA102" s="151"/>
      <c r="AB102" s="149"/>
      <c r="AC102" s="113"/>
      <c r="AD102" s="150"/>
      <c r="AE102" s="113"/>
      <c r="AF102" s="150"/>
      <c r="AG102" s="113"/>
      <c r="AH102" s="150"/>
      <c r="AI102" s="151"/>
      <c r="AJ102" s="149"/>
      <c r="AK102" s="113"/>
      <c r="AL102" s="117"/>
      <c r="AM102" s="198"/>
      <c r="AN102" s="199"/>
    </row>
    <row r="103" spans="1:40" ht="16.2" customHeight="1">
      <c r="A103" s="161"/>
      <c r="B103" s="114"/>
      <c r="C103" s="114"/>
      <c r="D103" s="114"/>
      <c r="E103" s="114"/>
      <c r="F103" s="118"/>
      <c r="G103" s="114"/>
      <c r="H103" s="114"/>
      <c r="I103" s="114"/>
      <c r="J103" s="114"/>
      <c r="K103" s="114"/>
      <c r="L103" s="118"/>
      <c r="M103" s="114"/>
      <c r="N103" s="114"/>
      <c r="O103" s="114"/>
      <c r="P103" s="114"/>
      <c r="Q103" s="114"/>
      <c r="R103" s="114"/>
      <c r="S103" s="114"/>
      <c r="T103" s="114"/>
      <c r="U103" s="114"/>
      <c r="V103" s="118"/>
      <c r="W103" s="114"/>
      <c r="X103" s="118"/>
      <c r="Y103" s="114"/>
      <c r="Z103" s="118"/>
      <c r="AA103" s="152"/>
      <c r="AB103" s="119"/>
      <c r="AC103" s="114"/>
      <c r="AD103" s="118"/>
      <c r="AE103" s="114"/>
      <c r="AF103" s="118"/>
      <c r="AG103" s="114"/>
      <c r="AH103" s="118"/>
      <c r="AI103" s="152"/>
      <c r="AJ103" s="119"/>
      <c r="AK103" s="114"/>
      <c r="AL103" s="120"/>
      <c r="AM103" s="200"/>
      <c r="AN103" s="201"/>
    </row>
    <row r="104" spans="1:40" ht="16.2" customHeight="1">
      <c r="A104" s="160"/>
      <c r="B104" s="148"/>
      <c r="C104" s="113"/>
      <c r="D104" s="148"/>
      <c r="E104" s="113"/>
      <c r="F104" s="150"/>
      <c r="G104" s="113"/>
      <c r="H104" s="148"/>
      <c r="I104" s="113"/>
      <c r="J104" s="148"/>
      <c r="K104" s="113"/>
      <c r="L104" s="150"/>
      <c r="M104" s="113"/>
      <c r="N104" s="148"/>
      <c r="O104" s="113"/>
      <c r="P104" s="148"/>
      <c r="Q104" s="113"/>
      <c r="R104" s="148"/>
      <c r="S104" s="113"/>
      <c r="T104" s="148"/>
      <c r="U104" s="113"/>
      <c r="V104" s="150"/>
      <c r="W104" s="113"/>
      <c r="X104" s="150"/>
      <c r="Y104" s="113"/>
      <c r="Z104" s="150"/>
      <c r="AA104" s="151"/>
      <c r="AB104" s="149"/>
      <c r="AC104" s="113"/>
      <c r="AD104" s="150"/>
      <c r="AE104" s="113"/>
      <c r="AF104" s="150"/>
      <c r="AG104" s="113"/>
      <c r="AH104" s="150"/>
      <c r="AI104" s="151"/>
      <c r="AJ104" s="149"/>
      <c r="AK104" s="113"/>
      <c r="AL104" s="117"/>
      <c r="AM104" s="198"/>
      <c r="AN104" s="199"/>
    </row>
    <row r="105" spans="1:40" ht="16.2" customHeight="1">
      <c r="A105" s="161"/>
      <c r="B105" s="114"/>
      <c r="C105" s="114"/>
      <c r="D105" s="114"/>
      <c r="E105" s="114"/>
      <c r="F105" s="118"/>
      <c r="G105" s="114"/>
      <c r="H105" s="114"/>
      <c r="I105" s="114"/>
      <c r="J105" s="114"/>
      <c r="K105" s="114"/>
      <c r="L105" s="118"/>
      <c r="M105" s="114"/>
      <c r="N105" s="114"/>
      <c r="O105" s="114"/>
      <c r="P105" s="114"/>
      <c r="Q105" s="114"/>
      <c r="R105" s="114"/>
      <c r="S105" s="114"/>
      <c r="T105" s="114"/>
      <c r="U105" s="114"/>
      <c r="V105" s="118"/>
      <c r="W105" s="114"/>
      <c r="X105" s="118"/>
      <c r="Y105" s="114"/>
      <c r="Z105" s="118"/>
      <c r="AA105" s="152"/>
      <c r="AB105" s="119"/>
      <c r="AC105" s="114"/>
      <c r="AD105" s="118"/>
      <c r="AE105" s="114"/>
      <c r="AF105" s="118"/>
      <c r="AG105" s="114"/>
      <c r="AH105" s="118"/>
      <c r="AI105" s="152"/>
      <c r="AJ105" s="119"/>
      <c r="AK105" s="114"/>
      <c r="AL105" s="120"/>
      <c r="AM105" s="200"/>
      <c r="AN105" s="201"/>
    </row>
    <row r="106" spans="1:40" ht="16.2" customHeight="1">
      <c r="A106" s="160"/>
      <c r="B106" s="148"/>
      <c r="C106" s="113"/>
      <c r="D106" s="148"/>
      <c r="E106" s="113"/>
      <c r="F106" s="150"/>
      <c r="G106" s="113"/>
      <c r="H106" s="148"/>
      <c r="I106" s="113"/>
      <c r="J106" s="148"/>
      <c r="K106" s="113"/>
      <c r="L106" s="150"/>
      <c r="M106" s="113"/>
      <c r="N106" s="148"/>
      <c r="O106" s="113"/>
      <c r="P106" s="148"/>
      <c r="Q106" s="113"/>
      <c r="R106" s="148"/>
      <c r="S106" s="113"/>
      <c r="T106" s="148"/>
      <c r="U106" s="113"/>
      <c r="V106" s="150"/>
      <c r="W106" s="113"/>
      <c r="X106" s="150"/>
      <c r="Y106" s="113"/>
      <c r="Z106" s="150"/>
      <c r="AA106" s="151"/>
      <c r="AB106" s="149"/>
      <c r="AC106" s="113"/>
      <c r="AD106" s="150"/>
      <c r="AE106" s="113"/>
      <c r="AF106" s="150"/>
      <c r="AG106" s="113"/>
      <c r="AH106" s="150"/>
      <c r="AI106" s="151"/>
      <c r="AJ106" s="149"/>
      <c r="AK106" s="113"/>
      <c r="AL106" s="117"/>
      <c r="AM106" s="198"/>
      <c r="AN106" s="199"/>
    </row>
    <row r="107" spans="1:40" ht="16.2" customHeight="1">
      <c r="A107" s="161"/>
      <c r="B107" s="114"/>
      <c r="C107" s="114"/>
      <c r="D107" s="114"/>
      <c r="E107" s="114"/>
      <c r="F107" s="118"/>
      <c r="G107" s="114"/>
      <c r="H107" s="114"/>
      <c r="I107" s="114"/>
      <c r="J107" s="114"/>
      <c r="K107" s="114"/>
      <c r="L107" s="118"/>
      <c r="M107" s="114"/>
      <c r="N107" s="114"/>
      <c r="O107" s="114"/>
      <c r="P107" s="114"/>
      <c r="Q107" s="114"/>
      <c r="R107" s="114"/>
      <c r="S107" s="114"/>
      <c r="T107" s="114"/>
      <c r="U107" s="114"/>
      <c r="V107" s="118"/>
      <c r="W107" s="114"/>
      <c r="X107" s="118"/>
      <c r="Y107" s="114"/>
      <c r="Z107" s="118"/>
      <c r="AA107" s="152"/>
      <c r="AB107" s="119"/>
      <c r="AC107" s="114"/>
      <c r="AD107" s="118"/>
      <c r="AE107" s="114"/>
      <c r="AF107" s="118"/>
      <c r="AG107" s="114"/>
      <c r="AH107" s="118"/>
      <c r="AI107" s="152"/>
      <c r="AJ107" s="119"/>
      <c r="AK107" s="114"/>
      <c r="AL107" s="120"/>
      <c r="AM107" s="200"/>
      <c r="AN107" s="201"/>
    </row>
    <row r="108" spans="1:40" ht="16.2" customHeight="1">
      <c r="A108" s="160"/>
      <c r="B108" s="148"/>
      <c r="C108" s="113"/>
      <c r="D108" s="148"/>
      <c r="E108" s="113"/>
      <c r="F108" s="150"/>
      <c r="G108" s="113"/>
      <c r="H108" s="148"/>
      <c r="I108" s="113"/>
      <c r="J108" s="148"/>
      <c r="K108" s="113"/>
      <c r="L108" s="150"/>
      <c r="M108" s="113"/>
      <c r="N108" s="148"/>
      <c r="O108" s="113"/>
      <c r="P108" s="148"/>
      <c r="Q108" s="113"/>
      <c r="R108" s="148"/>
      <c r="S108" s="113"/>
      <c r="T108" s="148"/>
      <c r="U108" s="113"/>
      <c r="V108" s="150"/>
      <c r="W108" s="113"/>
      <c r="X108" s="150"/>
      <c r="Y108" s="113"/>
      <c r="Z108" s="150"/>
      <c r="AA108" s="151"/>
      <c r="AB108" s="149"/>
      <c r="AC108" s="113"/>
      <c r="AD108" s="150"/>
      <c r="AE108" s="113"/>
      <c r="AF108" s="150"/>
      <c r="AG108" s="113"/>
      <c r="AH108" s="150"/>
      <c r="AI108" s="151"/>
      <c r="AJ108" s="149"/>
      <c r="AK108" s="113"/>
      <c r="AL108" s="117"/>
      <c r="AM108" s="198"/>
      <c r="AN108" s="199"/>
    </row>
    <row r="109" spans="1:40" ht="16.2" customHeight="1">
      <c r="A109" s="161"/>
      <c r="B109" s="114"/>
      <c r="C109" s="114"/>
      <c r="D109" s="114"/>
      <c r="E109" s="114"/>
      <c r="F109" s="118"/>
      <c r="G109" s="114"/>
      <c r="H109" s="114"/>
      <c r="I109" s="114"/>
      <c r="J109" s="114"/>
      <c r="K109" s="114"/>
      <c r="L109" s="118"/>
      <c r="M109" s="114"/>
      <c r="N109" s="114"/>
      <c r="O109" s="114"/>
      <c r="P109" s="114"/>
      <c r="Q109" s="114"/>
      <c r="R109" s="114"/>
      <c r="S109" s="114"/>
      <c r="T109" s="114"/>
      <c r="U109" s="114"/>
      <c r="V109" s="118"/>
      <c r="W109" s="114"/>
      <c r="X109" s="118"/>
      <c r="Y109" s="114"/>
      <c r="Z109" s="118"/>
      <c r="AA109" s="152"/>
      <c r="AB109" s="119"/>
      <c r="AC109" s="114"/>
      <c r="AD109" s="118"/>
      <c r="AE109" s="114"/>
      <c r="AF109" s="118"/>
      <c r="AG109" s="114"/>
      <c r="AH109" s="118"/>
      <c r="AI109" s="152"/>
      <c r="AJ109" s="119"/>
      <c r="AK109" s="114"/>
      <c r="AL109" s="120"/>
      <c r="AM109" s="200"/>
      <c r="AN109" s="201"/>
    </row>
    <row r="110" spans="1:40" ht="16.2" customHeight="1">
      <c r="A110" s="160"/>
      <c r="B110" s="148"/>
      <c r="C110" s="113"/>
      <c r="D110" s="148"/>
      <c r="E110" s="113"/>
      <c r="F110" s="150"/>
      <c r="G110" s="113"/>
      <c r="H110" s="148"/>
      <c r="I110" s="113"/>
      <c r="J110" s="148"/>
      <c r="K110" s="113"/>
      <c r="L110" s="150"/>
      <c r="M110" s="113"/>
      <c r="N110" s="148"/>
      <c r="O110" s="113"/>
      <c r="P110" s="148"/>
      <c r="Q110" s="113"/>
      <c r="R110" s="148"/>
      <c r="S110" s="113"/>
      <c r="T110" s="148"/>
      <c r="U110" s="113"/>
      <c r="V110" s="150"/>
      <c r="W110" s="113"/>
      <c r="X110" s="150"/>
      <c r="Y110" s="113"/>
      <c r="Z110" s="150"/>
      <c r="AA110" s="151"/>
      <c r="AB110" s="149"/>
      <c r="AC110" s="113"/>
      <c r="AD110" s="150"/>
      <c r="AE110" s="113"/>
      <c r="AF110" s="150"/>
      <c r="AG110" s="113"/>
      <c r="AH110" s="150"/>
      <c r="AI110" s="151"/>
      <c r="AJ110" s="149"/>
      <c r="AK110" s="113"/>
      <c r="AL110" s="117"/>
      <c r="AM110" s="198"/>
      <c r="AN110" s="199"/>
    </row>
    <row r="111" spans="1:40" ht="16.2" customHeight="1">
      <c r="A111" s="161"/>
      <c r="B111" s="114"/>
      <c r="C111" s="114"/>
      <c r="D111" s="114"/>
      <c r="E111" s="114"/>
      <c r="F111" s="118"/>
      <c r="G111" s="114"/>
      <c r="H111" s="114"/>
      <c r="I111" s="114"/>
      <c r="J111" s="114"/>
      <c r="K111" s="114"/>
      <c r="L111" s="118"/>
      <c r="M111" s="114"/>
      <c r="N111" s="114"/>
      <c r="O111" s="114"/>
      <c r="P111" s="114"/>
      <c r="Q111" s="114"/>
      <c r="R111" s="114"/>
      <c r="S111" s="114"/>
      <c r="T111" s="114"/>
      <c r="U111" s="114"/>
      <c r="V111" s="118"/>
      <c r="W111" s="114"/>
      <c r="X111" s="118"/>
      <c r="Y111" s="114"/>
      <c r="Z111" s="118"/>
      <c r="AA111" s="152"/>
      <c r="AB111" s="119"/>
      <c r="AC111" s="114"/>
      <c r="AD111" s="118"/>
      <c r="AE111" s="114"/>
      <c r="AF111" s="118"/>
      <c r="AG111" s="114"/>
      <c r="AH111" s="118"/>
      <c r="AI111" s="152"/>
      <c r="AJ111" s="119"/>
      <c r="AK111" s="114"/>
      <c r="AL111" s="120"/>
      <c r="AM111" s="200"/>
      <c r="AN111" s="201"/>
    </row>
    <row r="112" spans="1:40" ht="16.2" customHeight="1">
      <c r="A112" s="160"/>
      <c r="B112" s="148"/>
      <c r="C112" s="113"/>
      <c r="D112" s="148"/>
      <c r="E112" s="113"/>
      <c r="F112" s="150"/>
      <c r="G112" s="113"/>
      <c r="H112" s="148"/>
      <c r="I112" s="113"/>
      <c r="J112" s="148"/>
      <c r="K112" s="113"/>
      <c r="L112" s="150"/>
      <c r="M112" s="113"/>
      <c r="N112" s="148"/>
      <c r="O112" s="113"/>
      <c r="P112" s="148"/>
      <c r="Q112" s="113"/>
      <c r="R112" s="148"/>
      <c r="S112" s="113"/>
      <c r="T112" s="148"/>
      <c r="U112" s="113"/>
      <c r="V112" s="150"/>
      <c r="W112" s="113"/>
      <c r="X112" s="150"/>
      <c r="Y112" s="113"/>
      <c r="Z112" s="150"/>
      <c r="AA112" s="151"/>
      <c r="AB112" s="149"/>
      <c r="AC112" s="113"/>
      <c r="AD112" s="150"/>
      <c r="AE112" s="113"/>
      <c r="AF112" s="150"/>
      <c r="AG112" s="113"/>
      <c r="AH112" s="150"/>
      <c r="AI112" s="151"/>
      <c r="AJ112" s="149"/>
      <c r="AK112" s="113"/>
      <c r="AL112" s="117"/>
      <c r="AM112" s="198"/>
      <c r="AN112" s="199"/>
    </row>
    <row r="113" spans="1:40" ht="16.2" customHeight="1">
      <c r="A113" s="161"/>
      <c r="B113" s="114"/>
      <c r="C113" s="114"/>
      <c r="D113" s="114"/>
      <c r="E113" s="114"/>
      <c r="F113" s="118"/>
      <c r="G113" s="114"/>
      <c r="H113" s="114"/>
      <c r="I113" s="114"/>
      <c r="J113" s="114"/>
      <c r="K113" s="114"/>
      <c r="L113" s="118"/>
      <c r="M113" s="114"/>
      <c r="N113" s="114"/>
      <c r="O113" s="114"/>
      <c r="P113" s="114"/>
      <c r="Q113" s="114"/>
      <c r="R113" s="114"/>
      <c r="S113" s="114"/>
      <c r="T113" s="114"/>
      <c r="U113" s="114"/>
      <c r="V113" s="118"/>
      <c r="W113" s="114"/>
      <c r="X113" s="118"/>
      <c r="Y113" s="114"/>
      <c r="Z113" s="118"/>
      <c r="AA113" s="152"/>
      <c r="AB113" s="119"/>
      <c r="AC113" s="114"/>
      <c r="AD113" s="118"/>
      <c r="AE113" s="114"/>
      <c r="AF113" s="118"/>
      <c r="AG113" s="114"/>
      <c r="AH113" s="118"/>
      <c r="AI113" s="152"/>
      <c r="AJ113" s="119"/>
      <c r="AK113" s="114"/>
      <c r="AL113" s="120"/>
      <c r="AM113" s="200"/>
      <c r="AN113" s="201"/>
    </row>
    <row r="114" spans="1:40" ht="16.2" customHeight="1">
      <c r="A114" s="160"/>
      <c r="B114" s="148"/>
      <c r="C114" s="113"/>
      <c r="D114" s="148"/>
      <c r="E114" s="113"/>
      <c r="F114" s="150"/>
      <c r="G114" s="113"/>
      <c r="H114" s="148"/>
      <c r="I114" s="113"/>
      <c r="J114" s="148"/>
      <c r="K114" s="113"/>
      <c r="L114" s="150"/>
      <c r="M114" s="113"/>
      <c r="N114" s="148"/>
      <c r="O114" s="113"/>
      <c r="P114" s="148"/>
      <c r="Q114" s="113"/>
      <c r="R114" s="148"/>
      <c r="S114" s="113"/>
      <c r="T114" s="148"/>
      <c r="U114" s="113"/>
      <c r="V114" s="150"/>
      <c r="W114" s="113"/>
      <c r="X114" s="150"/>
      <c r="Y114" s="113"/>
      <c r="Z114" s="150"/>
      <c r="AA114" s="151"/>
      <c r="AB114" s="149"/>
      <c r="AC114" s="113"/>
      <c r="AD114" s="150"/>
      <c r="AE114" s="113"/>
      <c r="AF114" s="150"/>
      <c r="AG114" s="113"/>
      <c r="AH114" s="150"/>
      <c r="AI114" s="151"/>
      <c r="AJ114" s="149"/>
      <c r="AK114" s="113"/>
      <c r="AL114" s="117"/>
      <c r="AM114" s="198"/>
      <c r="AN114" s="199"/>
    </row>
    <row r="115" spans="1:40" ht="16.2" customHeight="1">
      <c r="A115" s="161"/>
      <c r="B115" s="114"/>
      <c r="C115" s="114"/>
      <c r="D115" s="114"/>
      <c r="E115" s="114"/>
      <c r="F115" s="118"/>
      <c r="G115" s="114"/>
      <c r="H115" s="114"/>
      <c r="I115" s="114"/>
      <c r="J115" s="114"/>
      <c r="K115" s="114"/>
      <c r="L115" s="118"/>
      <c r="M115" s="114"/>
      <c r="N115" s="114"/>
      <c r="O115" s="114"/>
      <c r="P115" s="114"/>
      <c r="Q115" s="114"/>
      <c r="R115" s="114"/>
      <c r="S115" s="114"/>
      <c r="T115" s="114"/>
      <c r="U115" s="114"/>
      <c r="V115" s="118"/>
      <c r="W115" s="114"/>
      <c r="X115" s="118"/>
      <c r="Y115" s="114"/>
      <c r="Z115" s="118"/>
      <c r="AA115" s="152"/>
      <c r="AB115" s="119"/>
      <c r="AC115" s="114"/>
      <c r="AD115" s="118"/>
      <c r="AE115" s="114"/>
      <c r="AF115" s="118"/>
      <c r="AG115" s="114"/>
      <c r="AH115" s="118"/>
      <c r="AI115" s="152"/>
      <c r="AJ115" s="119"/>
      <c r="AK115" s="114"/>
      <c r="AL115" s="120"/>
      <c r="AM115" s="200"/>
      <c r="AN115" s="201"/>
    </row>
    <row r="116" spans="1:40" ht="16.2" customHeight="1">
      <c r="A116" s="160"/>
      <c r="B116" s="148"/>
      <c r="C116" s="113"/>
      <c r="D116" s="148"/>
      <c r="E116" s="113"/>
      <c r="F116" s="150"/>
      <c r="G116" s="113"/>
      <c r="H116" s="148"/>
      <c r="I116" s="113"/>
      <c r="J116" s="148"/>
      <c r="K116" s="113"/>
      <c r="L116" s="150"/>
      <c r="M116" s="113"/>
      <c r="N116" s="148"/>
      <c r="O116" s="113"/>
      <c r="P116" s="148"/>
      <c r="Q116" s="113"/>
      <c r="R116" s="148"/>
      <c r="S116" s="113"/>
      <c r="T116" s="148"/>
      <c r="U116" s="113"/>
      <c r="V116" s="150"/>
      <c r="W116" s="113"/>
      <c r="X116" s="150"/>
      <c r="Y116" s="113"/>
      <c r="Z116" s="150"/>
      <c r="AA116" s="151"/>
      <c r="AB116" s="149"/>
      <c r="AC116" s="113"/>
      <c r="AD116" s="150"/>
      <c r="AE116" s="113"/>
      <c r="AF116" s="150"/>
      <c r="AG116" s="113"/>
      <c r="AH116" s="150"/>
      <c r="AI116" s="151"/>
      <c r="AJ116" s="149"/>
      <c r="AK116" s="113"/>
      <c r="AL116" s="117"/>
      <c r="AM116" s="198"/>
      <c r="AN116" s="199"/>
    </row>
    <row r="117" spans="1:40" ht="16.2" customHeight="1">
      <c r="A117" s="161"/>
      <c r="B117" s="114"/>
      <c r="C117" s="114"/>
      <c r="D117" s="114"/>
      <c r="E117" s="114"/>
      <c r="F117" s="118"/>
      <c r="G117" s="114"/>
      <c r="H117" s="114"/>
      <c r="I117" s="114"/>
      <c r="J117" s="114"/>
      <c r="K117" s="114"/>
      <c r="L117" s="118"/>
      <c r="M117" s="114"/>
      <c r="N117" s="114"/>
      <c r="O117" s="114"/>
      <c r="P117" s="114"/>
      <c r="Q117" s="114"/>
      <c r="R117" s="114"/>
      <c r="S117" s="114"/>
      <c r="T117" s="114"/>
      <c r="U117" s="114"/>
      <c r="V117" s="118"/>
      <c r="W117" s="114"/>
      <c r="X117" s="118"/>
      <c r="Y117" s="114"/>
      <c r="Z117" s="118"/>
      <c r="AA117" s="152"/>
      <c r="AB117" s="119"/>
      <c r="AC117" s="114"/>
      <c r="AD117" s="118"/>
      <c r="AE117" s="114"/>
      <c r="AF117" s="118"/>
      <c r="AG117" s="114"/>
      <c r="AH117" s="118"/>
      <c r="AI117" s="152"/>
      <c r="AJ117" s="119"/>
      <c r="AK117" s="114"/>
      <c r="AL117" s="120"/>
      <c r="AM117" s="200"/>
      <c r="AN117" s="201"/>
    </row>
    <row r="118" spans="1:40" ht="16.2" customHeight="1">
      <c r="A118" s="160"/>
      <c r="B118" s="148"/>
      <c r="C118" s="113"/>
      <c r="D118" s="148"/>
      <c r="E118" s="113"/>
      <c r="F118" s="150"/>
      <c r="G118" s="113"/>
      <c r="H118" s="148"/>
      <c r="I118" s="113"/>
      <c r="J118" s="148"/>
      <c r="K118" s="113"/>
      <c r="L118" s="150"/>
      <c r="M118" s="113"/>
      <c r="N118" s="148"/>
      <c r="O118" s="113"/>
      <c r="P118" s="148"/>
      <c r="Q118" s="113"/>
      <c r="R118" s="148"/>
      <c r="S118" s="113"/>
      <c r="T118" s="148"/>
      <c r="U118" s="113"/>
      <c r="V118" s="150"/>
      <c r="W118" s="113"/>
      <c r="X118" s="150"/>
      <c r="Y118" s="113"/>
      <c r="Z118" s="150"/>
      <c r="AA118" s="151"/>
      <c r="AB118" s="149"/>
      <c r="AC118" s="113"/>
      <c r="AD118" s="150"/>
      <c r="AE118" s="113"/>
      <c r="AF118" s="150"/>
      <c r="AG118" s="113"/>
      <c r="AH118" s="150"/>
      <c r="AI118" s="151"/>
      <c r="AJ118" s="149"/>
      <c r="AK118" s="113"/>
      <c r="AL118" s="117"/>
      <c r="AM118" s="198"/>
      <c r="AN118" s="199"/>
    </row>
    <row r="119" spans="1:40" ht="16.2" customHeight="1">
      <c r="A119" s="161"/>
      <c r="B119" s="114"/>
      <c r="C119" s="114"/>
      <c r="D119" s="114"/>
      <c r="E119" s="114"/>
      <c r="F119" s="118"/>
      <c r="G119" s="114"/>
      <c r="H119" s="114"/>
      <c r="I119" s="114"/>
      <c r="J119" s="114"/>
      <c r="K119" s="114"/>
      <c r="L119" s="118"/>
      <c r="M119" s="114"/>
      <c r="N119" s="114"/>
      <c r="O119" s="114"/>
      <c r="P119" s="114"/>
      <c r="Q119" s="114"/>
      <c r="R119" s="114"/>
      <c r="S119" s="114"/>
      <c r="T119" s="114"/>
      <c r="U119" s="114"/>
      <c r="V119" s="118"/>
      <c r="W119" s="114"/>
      <c r="X119" s="118"/>
      <c r="Y119" s="114"/>
      <c r="Z119" s="118"/>
      <c r="AA119" s="152"/>
      <c r="AB119" s="119"/>
      <c r="AC119" s="114"/>
      <c r="AD119" s="118"/>
      <c r="AE119" s="114"/>
      <c r="AF119" s="118"/>
      <c r="AG119" s="114"/>
      <c r="AH119" s="118"/>
      <c r="AI119" s="152"/>
      <c r="AJ119" s="119"/>
      <c r="AK119" s="114"/>
      <c r="AL119" s="120"/>
      <c r="AM119" s="200"/>
      <c r="AN119" s="201"/>
    </row>
    <row r="120" spans="1:40" ht="16.2" customHeight="1">
      <c r="A120" s="160"/>
      <c r="B120" s="148"/>
      <c r="C120" s="113"/>
      <c r="D120" s="148"/>
      <c r="E120" s="113"/>
      <c r="F120" s="150"/>
      <c r="G120" s="113"/>
      <c r="H120" s="148"/>
      <c r="I120" s="113"/>
      <c r="J120" s="148"/>
      <c r="K120" s="113"/>
      <c r="L120" s="150"/>
      <c r="M120" s="113"/>
      <c r="N120" s="148"/>
      <c r="O120" s="113"/>
      <c r="P120" s="148"/>
      <c r="Q120" s="113"/>
      <c r="R120" s="148"/>
      <c r="S120" s="113"/>
      <c r="T120" s="148"/>
      <c r="U120" s="113"/>
      <c r="V120" s="150"/>
      <c r="W120" s="113"/>
      <c r="X120" s="150"/>
      <c r="Y120" s="113"/>
      <c r="Z120" s="150"/>
      <c r="AA120" s="151"/>
      <c r="AB120" s="149"/>
      <c r="AC120" s="113"/>
      <c r="AD120" s="150"/>
      <c r="AE120" s="113"/>
      <c r="AF120" s="150"/>
      <c r="AG120" s="113"/>
      <c r="AH120" s="150"/>
      <c r="AI120" s="151"/>
      <c r="AJ120" s="149"/>
      <c r="AK120" s="113"/>
      <c r="AL120" s="117"/>
      <c r="AM120" s="198"/>
      <c r="AN120" s="199"/>
    </row>
    <row r="121" spans="1:40" ht="16.2" customHeight="1">
      <c r="A121" s="161"/>
      <c r="B121" s="114"/>
      <c r="C121" s="114"/>
      <c r="D121" s="114"/>
      <c r="E121" s="114"/>
      <c r="F121" s="118"/>
      <c r="G121" s="114"/>
      <c r="H121" s="114"/>
      <c r="I121" s="114"/>
      <c r="J121" s="114"/>
      <c r="K121" s="114"/>
      <c r="L121" s="118"/>
      <c r="M121" s="114"/>
      <c r="N121" s="114"/>
      <c r="O121" s="114"/>
      <c r="P121" s="114"/>
      <c r="Q121" s="114"/>
      <c r="R121" s="114"/>
      <c r="S121" s="114"/>
      <c r="T121" s="114"/>
      <c r="U121" s="114"/>
      <c r="V121" s="118"/>
      <c r="W121" s="114"/>
      <c r="X121" s="118"/>
      <c r="Y121" s="114"/>
      <c r="Z121" s="118"/>
      <c r="AA121" s="152"/>
      <c r="AB121" s="119"/>
      <c r="AC121" s="114"/>
      <c r="AD121" s="118"/>
      <c r="AE121" s="114"/>
      <c r="AF121" s="118"/>
      <c r="AG121" s="114"/>
      <c r="AH121" s="118"/>
      <c r="AI121" s="152"/>
      <c r="AJ121" s="119"/>
      <c r="AK121" s="114"/>
      <c r="AL121" s="120"/>
      <c r="AM121" s="200"/>
      <c r="AN121" s="201"/>
    </row>
    <row r="122" spans="1:40" ht="16.2" customHeight="1">
      <c r="A122" s="160"/>
      <c r="B122" s="148"/>
      <c r="C122" s="113"/>
      <c r="D122" s="148"/>
      <c r="E122" s="113"/>
      <c r="F122" s="150"/>
      <c r="G122" s="113"/>
      <c r="H122" s="148"/>
      <c r="I122" s="113"/>
      <c r="J122" s="148"/>
      <c r="K122" s="113"/>
      <c r="L122" s="150"/>
      <c r="M122" s="113"/>
      <c r="N122" s="148"/>
      <c r="O122" s="113"/>
      <c r="P122" s="148"/>
      <c r="Q122" s="113"/>
      <c r="R122" s="148"/>
      <c r="S122" s="113"/>
      <c r="T122" s="148"/>
      <c r="U122" s="113"/>
      <c r="V122" s="150"/>
      <c r="W122" s="113"/>
      <c r="X122" s="150"/>
      <c r="Y122" s="113"/>
      <c r="Z122" s="150"/>
      <c r="AA122" s="151"/>
      <c r="AB122" s="149"/>
      <c r="AC122" s="113"/>
      <c r="AD122" s="150"/>
      <c r="AE122" s="113"/>
      <c r="AF122" s="150"/>
      <c r="AG122" s="113"/>
      <c r="AH122" s="150"/>
      <c r="AI122" s="151"/>
      <c r="AJ122" s="149"/>
      <c r="AK122" s="113"/>
      <c r="AL122" s="117"/>
      <c r="AM122" s="198"/>
      <c r="AN122" s="199"/>
    </row>
    <row r="123" spans="1:40" ht="16.2" customHeight="1">
      <c r="A123" s="161"/>
      <c r="B123" s="114"/>
      <c r="C123" s="114"/>
      <c r="D123" s="114"/>
      <c r="E123" s="114"/>
      <c r="F123" s="118"/>
      <c r="G123" s="114"/>
      <c r="H123" s="114"/>
      <c r="I123" s="114"/>
      <c r="J123" s="114"/>
      <c r="K123" s="114"/>
      <c r="L123" s="118"/>
      <c r="M123" s="114"/>
      <c r="N123" s="114"/>
      <c r="O123" s="114"/>
      <c r="P123" s="114"/>
      <c r="Q123" s="114"/>
      <c r="R123" s="114"/>
      <c r="S123" s="114"/>
      <c r="T123" s="114"/>
      <c r="U123" s="114"/>
      <c r="V123" s="118"/>
      <c r="W123" s="114"/>
      <c r="X123" s="118"/>
      <c r="Y123" s="114"/>
      <c r="Z123" s="118"/>
      <c r="AA123" s="152"/>
      <c r="AB123" s="119"/>
      <c r="AC123" s="114"/>
      <c r="AD123" s="118"/>
      <c r="AE123" s="114"/>
      <c r="AF123" s="118"/>
      <c r="AG123" s="114"/>
      <c r="AH123" s="118"/>
      <c r="AI123" s="152"/>
      <c r="AJ123" s="119"/>
      <c r="AK123" s="114"/>
      <c r="AL123" s="120"/>
      <c r="AM123" s="200"/>
      <c r="AN123" s="201"/>
    </row>
    <row r="124" spans="1:40" ht="16.2" customHeight="1">
      <c r="A124" s="160"/>
      <c r="B124" s="148"/>
      <c r="C124" s="113"/>
      <c r="D124" s="148"/>
      <c r="E124" s="113"/>
      <c r="F124" s="150"/>
      <c r="G124" s="113"/>
      <c r="H124" s="148"/>
      <c r="I124" s="113"/>
      <c r="J124" s="148"/>
      <c r="K124" s="113"/>
      <c r="L124" s="150"/>
      <c r="M124" s="113"/>
      <c r="N124" s="148"/>
      <c r="O124" s="113"/>
      <c r="P124" s="148"/>
      <c r="Q124" s="113"/>
      <c r="R124" s="148"/>
      <c r="S124" s="113"/>
      <c r="T124" s="148"/>
      <c r="U124" s="113"/>
      <c r="V124" s="150"/>
      <c r="W124" s="113"/>
      <c r="X124" s="150"/>
      <c r="Y124" s="113"/>
      <c r="Z124" s="150"/>
      <c r="AA124" s="151"/>
      <c r="AB124" s="149"/>
      <c r="AC124" s="113"/>
      <c r="AD124" s="150"/>
      <c r="AE124" s="113"/>
      <c r="AF124" s="150"/>
      <c r="AG124" s="113"/>
      <c r="AH124" s="150"/>
      <c r="AI124" s="151"/>
      <c r="AJ124" s="149"/>
      <c r="AK124" s="113"/>
      <c r="AL124" s="117"/>
      <c r="AM124" s="198"/>
      <c r="AN124" s="199"/>
    </row>
    <row r="125" spans="1:40" ht="16.2" customHeight="1">
      <c r="A125" s="161"/>
      <c r="B125" s="114"/>
      <c r="C125" s="114"/>
      <c r="D125" s="114"/>
      <c r="E125" s="114"/>
      <c r="F125" s="118"/>
      <c r="G125" s="114"/>
      <c r="H125" s="114"/>
      <c r="I125" s="114"/>
      <c r="J125" s="114"/>
      <c r="K125" s="114"/>
      <c r="L125" s="118"/>
      <c r="M125" s="114"/>
      <c r="N125" s="114"/>
      <c r="O125" s="114"/>
      <c r="P125" s="114"/>
      <c r="Q125" s="114"/>
      <c r="R125" s="114"/>
      <c r="S125" s="114"/>
      <c r="T125" s="114"/>
      <c r="U125" s="114"/>
      <c r="V125" s="118"/>
      <c r="W125" s="114"/>
      <c r="X125" s="118"/>
      <c r="Y125" s="114"/>
      <c r="Z125" s="118"/>
      <c r="AA125" s="152"/>
      <c r="AB125" s="119"/>
      <c r="AC125" s="114"/>
      <c r="AD125" s="118"/>
      <c r="AE125" s="114"/>
      <c r="AF125" s="118"/>
      <c r="AG125" s="114"/>
      <c r="AH125" s="118"/>
      <c r="AI125" s="152"/>
      <c r="AJ125" s="119"/>
      <c r="AK125" s="114"/>
      <c r="AL125" s="120"/>
      <c r="AM125" s="200"/>
      <c r="AN125" s="201"/>
    </row>
    <row r="126" spans="1:40" ht="16.2" customHeight="1">
      <c r="A126" s="160"/>
      <c r="B126" s="148"/>
      <c r="C126" s="113"/>
      <c r="D126" s="148"/>
      <c r="E126" s="113"/>
      <c r="F126" s="150"/>
      <c r="G126" s="113"/>
      <c r="H126" s="148"/>
      <c r="I126" s="113"/>
      <c r="J126" s="148"/>
      <c r="K126" s="113"/>
      <c r="L126" s="150"/>
      <c r="M126" s="113"/>
      <c r="N126" s="148"/>
      <c r="O126" s="113"/>
      <c r="P126" s="148"/>
      <c r="Q126" s="113"/>
      <c r="R126" s="148"/>
      <c r="S126" s="113"/>
      <c r="T126" s="148"/>
      <c r="U126" s="113"/>
      <c r="V126" s="150"/>
      <c r="W126" s="113"/>
      <c r="X126" s="150"/>
      <c r="Y126" s="113"/>
      <c r="Z126" s="150"/>
      <c r="AA126" s="151"/>
      <c r="AB126" s="149"/>
      <c r="AC126" s="113"/>
      <c r="AD126" s="150"/>
      <c r="AE126" s="113"/>
      <c r="AF126" s="150"/>
      <c r="AG126" s="113"/>
      <c r="AH126" s="150"/>
      <c r="AI126" s="151"/>
      <c r="AJ126" s="149"/>
      <c r="AK126" s="113"/>
      <c r="AL126" s="117"/>
      <c r="AM126" s="198"/>
      <c r="AN126" s="199"/>
    </row>
    <row r="127" spans="1:40" ht="16.2" customHeight="1">
      <c r="A127" s="161"/>
      <c r="B127" s="114"/>
      <c r="C127" s="114"/>
      <c r="D127" s="114"/>
      <c r="E127" s="114"/>
      <c r="F127" s="118"/>
      <c r="G127" s="114"/>
      <c r="H127" s="114"/>
      <c r="I127" s="114"/>
      <c r="J127" s="114"/>
      <c r="K127" s="114"/>
      <c r="L127" s="118"/>
      <c r="M127" s="114"/>
      <c r="N127" s="114"/>
      <c r="O127" s="114"/>
      <c r="P127" s="114"/>
      <c r="Q127" s="114"/>
      <c r="R127" s="114"/>
      <c r="S127" s="114"/>
      <c r="T127" s="114"/>
      <c r="U127" s="114"/>
      <c r="V127" s="118"/>
      <c r="W127" s="114"/>
      <c r="X127" s="118"/>
      <c r="Y127" s="114"/>
      <c r="Z127" s="118"/>
      <c r="AA127" s="152"/>
      <c r="AB127" s="119"/>
      <c r="AC127" s="114"/>
      <c r="AD127" s="118"/>
      <c r="AE127" s="114"/>
      <c r="AF127" s="118"/>
      <c r="AG127" s="114"/>
      <c r="AH127" s="118"/>
      <c r="AI127" s="152"/>
      <c r="AJ127" s="119"/>
      <c r="AK127" s="114"/>
      <c r="AL127" s="120"/>
      <c r="AM127" s="200"/>
      <c r="AN127" s="201"/>
    </row>
    <row r="128" spans="1:40" ht="16.2" customHeight="1">
      <c r="A128" s="160"/>
      <c r="B128" s="148"/>
      <c r="C128" s="113"/>
      <c r="D128" s="148"/>
      <c r="E128" s="113"/>
      <c r="F128" s="150"/>
      <c r="G128" s="113"/>
      <c r="H128" s="148"/>
      <c r="I128" s="113"/>
      <c r="J128" s="148"/>
      <c r="K128" s="113"/>
      <c r="L128" s="150"/>
      <c r="M128" s="113"/>
      <c r="N128" s="148"/>
      <c r="O128" s="113"/>
      <c r="P128" s="148"/>
      <c r="Q128" s="113"/>
      <c r="R128" s="148"/>
      <c r="S128" s="113"/>
      <c r="T128" s="148"/>
      <c r="U128" s="113"/>
      <c r="V128" s="150"/>
      <c r="W128" s="113"/>
      <c r="X128" s="150"/>
      <c r="Y128" s="113"/>
      <c r="Z128" s="150"/>
      <c r="AA128" s="151"/>
      <c r="AB128" s="149"/>
      <c r="AC128" s="113"/>
      <c r="AD128" s="150"/>
      <c r="AE128" s="113"/>
      <c r="AF128" s="150"/>
      <c r="AG128" s="113"/>
      <c r="AH128" s="150"/>
      <c r="AI128" s="151"/>
      <c r="AJ128" s="149"/>
      <c r="AK128" s="113"/>
      <c r="AL128" s="117"/>
      <c r="AM128" s="198"/>
      <c r="AN128" s="199"/>
    </row>
    <row r="129" spans="1:40" ht="16.2" customHeight="1">
      <c r="A129" s="161"/>
      <c r="B129" s="114"/>
      <c r="C129" s="114"/>
      <c r="D129" s="114"/>
      <c r="E129" s="114"/>
      <c r="F129" s="118"/>
      <c r="G129" s="114"/>
      <c r="H129" s="114"/>
      <c r="I129" s="114"/>
      <c r="J129" s="114"/>
      <c r="K129" s="114"/>
      <c r="L129" s="118"/>
      <c r="M129" s="114"/>
      <c r="N129" s="114"/>
      <c r="O129" s="114"/>
      <c r="P129" s="114"/>
      <c r="Q129" s="114"/>
      <c r="R129" s="114"/>
      <c r="S129" s="114"/>
      <c r="T129" s="114"/>
      <c r="U129" s="114"/>
      <c r="V129" s="118"/>
      <c r="W129" s="114"/>
      <c r="X129" s="118"/>
      <c r="Y129" s="114"/>
      <c r="Z129" s="118"/>
      <c r="AA129" s="152"/>
      <c r="AB129" s="119"/>
      <c r="AC129" s="114"/>
      <c r="AD129" s="118"/>
      <c r="AE129" s="114"/>
      <c r="AF129" s="118"/>
      <c r="AG129" s="114"/>
      <c r="AH129" s="118"/>
      <c r="AI129" s="152"/>
      <c r="AJ129" s="119"/>
      <c r="AK129" s="114"/>
      <c r="AL129" s="120"/>
      <c r="AM129" s="200"/>
      <c r="AN129" s="201"/>
    </row>
    <row r="130" spans="1:40" ht="16.2" customHeight="1">
      <c r="A130" s="160"/>
      <c r="B130" s="148"/>
      <c r="C130" s="113"/>
      <c r="D130" s="148"/>
      <c r="E130" s="113"/>
      <c r="F130" s="150"/>
      <c r="G130" s="113"/>
      <c r="H130" s="148"/>
      <c r="I130" s="113"/>
      <c r="J130" s="148"/>
      <c r="K130" s="113"/>
      <c r="L130" s="150"/>
      <c r="M130" s="113"/>
      <c r="N130" s="148"/>
      <c r="O130" s="113"/>
      <c r="P130" s="148"/>
      <c r="Q130" s="113"/>
      <c r="R130" s="148"/>
      <c r="S130" s="113"/>
      <c r="T130" s="148"/>
      <c r="U130" s="113"/>
      <c r="V130" s="150"/>
      <c r="W130" s="113"/>
      <c r="X130" s="150"/>
      <c r="Y130" s="113"/>
      <c r="Z130" s="150"/>
      <c r="AA130" s="151"/>
      <c r="AB130" s="149"/>
      <c r="AC130" s="113"/>
      <c r="AD130" s="150"/>
      <c r="AE130" s="113"/>
      <c r="AF130" s="150"/>
      <c r="AG130" s="113"/>
      <c r="AH130" s="150"/>
      <c r="AI130" s="151"/>
      <c r="AJ130" s="149"/>
      <c r="AK130" s="113"/>
      <c r="AL130" s="117"/>
      <c r="AM130" s="198"/>
      <c r="AN130" s="199"/>
    </row>
    <row r="131" spans="1:40" ht="16.2" customHeight="1">
      <c r="A131" s="161"/>
      <c r="B131" s="114"/>
      <c r="C131" s="114"/>
      <c r="D131" s="114"/>
      <c r="E131" s="114"/>
      <c r="F131" s="118"/>
      <c r="G131" s="114"/>
      <c r="H131" s="114"/>
      <c r="I131" s="114"/>
      <c r="J131" s="114"/>
      <c r="K131" s="114"/>
      <c r="L131" s="118"/>
      <c r="M131" s="114"/>
      <c r="N131" s="114"/>
      <c r="O131" s="114"/>
      <c r="P131" s="114"/>
      <c r="Q131" s="114"/>
      <c r="R131" s="114"/>
      <c r="S131" s="114"/>
      <c r="T131" s="114"/>
      <c r="U131" s="114"/>
      <c r="V131" s="118"/>
      <c r="W131" s="114"/>
      <c r="X131" s="118"/>
      <c r="Y131" s="114"/>
      <c r="Z131" s="118"/>
      <c r="AA131" s="152"/>
      <c r="AB131" s="119"/>
      <c r="AC131" s="114"/>
      <c r="AD131" s="118"/>
      <c r="AE131" s="114"/>
      <c r="AF131" s="118"/>
      <c r="AG131" s="114"/>
      <c r="AH131" s="118"/>
      <c r="AI131" s="152"/>
      <c r="AJ131" s="119"/>
      <c r="AK131" s="114"/>
      <c r="AL131" s="120"/>
      <c r="AM131" s="200"/>
      <c r="AN131" s="201"/>
    </row>
    <row r="132" spans="1:40" ht="16.2" customHeight="1">
      <c r="A132" s="160"/>
      <c r="B132" s="148"/>
      <c r="C132" s="113"/>
      <c r="D132" s="148"/>
      <c r="E132" s="113"/>
      <c r="F132" s="150"/>
      <c r="G132" s="113"/>
      <c r="H132" s="148"/>
      <c r="I132" s="113"/>
      <c r="J132" s="148"/>
      <c r="K132" s="113"/>
      <c r="L132" s="150"/>
      <c r="M132" s="113"/>
      <c r="N132" s="148"/>
      <c r="O132" s="113"/>
      <c r="P132" s="148"/>
      <c r="Q132" s="113"/>
      <c r="R132" s="148"/>
      <c r="S132" s="113"/>
      <c r="T132" s="148"/>
      <c r="U132" s="113"/>
      <c r="V132" s="150"/>
      <c r="W132" s="113"/>
      <c r="X132" s="150"/>
      <c r="Y132" s="113"/>
      <c r="Z132" s="150"/>
      <c r="AA132" s="151"/>
      <c r="AB132" s="149"/>
      <c r="AC132" s="113"/>
      <c r="AD132" s="150"/>
      <c r="AE132" s="113"/>
      <c r="AF132" s="150"/>
      <c r="AG132" s="113"/>
      <c r="AH132" s="150"/>
      <c r="AI132" s="151"/>
      <c r="AJ132" s="149"/>
      <c r="AK132" s="113"/>
      <c r="AL132" s="117"/>
      <c r="AM132" s="198"/>
      <c r="AN132" s="199"/>
    </row>
    <row r="133" spans="1:40" ht="16.2" customHeight="1">
      <c r="A133" s="161"/>
      <c r="B133" s="114"/>
      <c r="C133" s="114"/>
      <c r="D133" s="114"/>
      <c r="E133" s="114"/>
      <c r="F133" s="118"/>
      <c r="G133" s="114"/>
      <c r="H133" s="114"/>
      <c r="I133" s="114"/>
      <c r="J133" s="114"/>
      <c r="K133" s="114"/>
      <c r="L133" s="118"/>
      <c r="M133" s="114"/>
      <c r="N133" s="114"/>
      <c r="O133" s="114"/>
      <c r="P133" s="114"/>
      <c r="Q133" s="114"/>
      <c r="R133" s="114"/>
      <c r="S133" s="114"/>
      <c r="T133" s="114"/>
      <c r="U133" s="114"/>
      <c r="V133" s="118"/>
      <c r="W133" s="114"/>
      <c r="X133" s="118"/>
      <c r="Y133" s="114"/>
      <c r="Z133" s="118"/>
      <c r="AA133" s="152"/>
      <c r="AB133" s="119"/>
      <c r="AC133" s="114"/>
      <c r="AD133" s="118"/>
      <c r="AE133" s="114"/>
      <c r="AF133" s="118"/>
      <c r="AG133" s="114"/>
      <c r="AH133" s="118"/>
      <c r="AI133" s="152"/>
      <c r="AJ133" s="119"/>
      <c r="AK133" s="114"/>
      <c r="AL133" s="120"/>
      <c r="AM133" s="200"/>
      <c r="AN133" s="201"/>
    </row>
    <row r="134" spans="1:40" ht="16.2" customHeight="1">
      <c r="A134" s="160"/>
      <c r="B134" s="148"/>
      <c r="C134" s="113"/>
      <c r="D134" s="148"/>
      <c r="E134" s="113"/>
      <c r="F134" s="150"/>
      <c r="G134" s="113"/>
      <c r="H134" s="148"/>
      <c r="I134" s="113"/>
      <c r="J134" s="148"/>
      <c r="K134" s="113"/>
      <c r="L134" s="150"/>
      <c r="M134" s="113"/>
      <c r="N134" s="148"/>
      <c r="O134" s="113"/>
      <c r="P134" s="148"/>
      <c r="Q134" s="113"/>
      <c r="R134" s="148"/>
      <c r="S134" s="113"/>
      <c r="T134" s="148"/>
      <c r="U134" s="113"/>
      <c r="V134" s="150"/>
      <c r="W134" s="113"/>
      <c r="X134" s="150"/>
      <c r="Y134" s="113"/>
      <c r="Z134" s="150"/>
      <c r="AA134" s="151"/>
      <c r="AB134" s="149"/>
      <c r="AC134" s="113"/>
      <c r="AD134" s="150"/>
      <c r="AE134" s="113"/>
      <c r="AF134" s="150"/>
      <c r="AG134" s="113"/>
      <c r="AH134" s="150"/>
      <c r="AI134" s="151"/>
      <c r="AJ134" s="149"/>
      <c r="AK134" s="113"/>
      <c r="AL134" s="117"/>
      <c r="AM134" s="198"/>
      <c r="AN134" s="199"/>
    </row>
    <row r="135" spans="1:40" ht="16.2" customHeight="1">
      <c r="A135" s="161"/>
      <c r="B135" s="114"/>
      <c r="C135" s="114"/>
      <c r="D135" s="114"/>
      <c r="E135" s="114"/>
      <c r="F135" s="118"/>
      <c r="G135" s="114"/>
      <c r="H135" s="114"/>
      <c r="I135" s="114"/>
      <c r="J135" s="114"/>
      <c r="K135" s="114"/>
      <c r="L135" s="118"/>
      <c r="M135" s="114"/>
      <c r="N135" s="114"/>
      <c r="O135" s="114"/>
      <c r="P135" s="114"/>
      <c r="Q135" s="114"/>
      <c r="R135" s="114"/>
      <c r="S135" s="114"/>
      <c r="T135" s="114"/>
      <c r="U135" s="114"/>
      <c r="V135" s="118"/>
      <c r="W135" s="114"/>
      <c r="X135" s="118"/>
      <c r="Y135" s="114"/>
      <c r="Z135" s="118"/>
      <c r="AA135" s="152"/>
      <c r="AB135" s="119"/>
      <c r="AC135" s="114"/>
      <c r="AD135" s="118"/>
      <c r="AE135" s="114"/>
      <c r="AF135" s="118"/>
      <c r="AG135" s="114"/>
      <c r="AH135" s="118"/>
      <c r="AI135" s="152"/>
      <c r="AJ135" s="119"/>
      <c r="AK135" s="114"/>
      <c r="AL135" s="120"/>
      <c r="AM135" s="200"/>
      <c r="AN135" s="201"/>
    </row>
    <row r="136" spans="1:40" ht="16.2" customHeight="1">
      <c r="A136" s="160"/>
      <c r="B136" s="148"/>
      <c r="C136" s="113"/>
      <c r="D136" s="148"/>
      <c r="E136" s="113"/>
      <c r="F136" s="150"/>
      <c r="G136" s="113"/>
      <c r="H136" s="148"/>
      <c r="I136" s="113"/>
      <c r="J136" s="148"/>
      <c r="K136" s="113"/>
      <c r="L136" s="150"/>
      <c r="M136" s="113"/>
      <c r="N136" s="148"/>
      <c r="O136" s="113"/>
      <c r="P136" s="148"/>
      <c r="Q136" s="113"/>
      <c r="R136" s="148"/>
      <c r="S136" s="113"/>
      <c r="T136" s="148"/>
      <c r="U136" s="113"/>
      <c r="V136" s="150"/>
      <c r="W136" s="113"/>
      <c r="X136" s="150"/>
      <c r="Y136" s="113"/>
      <c r="Z136" s="150"/>
      <c r="AA136" s="151"/>
      <c r="AB136" s="149"/>
      <c r="AC136" s="113"/>
      <c r="AD136" s="150"/>
      <c r="AE136" s="113"/>
      <c r="AF136" s="150"/>
      <c r="AG136" s="113"/>
      <c r="AH136" s="150"/>
      <c r="AI136" s="151"/>
      <c r="AJ136" s="149"/>
      <c r="AK136" s="113"/>
      <c r="AL136" s="117"/>
      <c r="AM136" s="198"/>
      <c r="AN136" s="199"/>
    </row>
    <row r="137" spans="1:40" ht="16.2" customHeight="1">
      <c r="A137" s="161"/>
      <c r="B137" s="114"/>
      <c r="C137" s="114"/>
      <c r="D137" s="114"/>
      <c r="E137" s="114"/>
      <c r="F137" s="118"/>
      <c r="G137" s="114"/>
      <c r="H137" s="114"/>
      <c r="I137" s="114"/>
      <c r="J137" s="114"/>
      <c r="K137" s="114"/>
      <c r="L137" s="118"/>
      <c r="M137" s="114"/>
      <c r="N137" s="114"/>
      <c r="O137" s="114"/>
      <c r="P137" s="114"/>
      <c r="Q137" s="114"/>
      <c r="R137" s="114"/>
      <c r="S137" s="114"/>
      <c r="T137" s="114"/>
      <c r="U137" s="114"/>
      <c r="V137" s="118"/>
      <c r="W137" s="114"/>
      <c r="X137" s="118"/>
      <c r="Y137" s="114"/>
      <c r="Z137" s="118"/>
      <c r="AA137" s="152"/>
      <c r="AB137" s="119"/>
      <c r="AC137" s="114"/>
      <c r="AD137" s="118"/>
      <c r="AE137" s="114"/>
      <c r="AF137" s="118"/>
      <c r="AG137" s="114"/>
      <c r="AH137" s="118"/>
      <c r="AI137" s="152"/>
      <c r="AJ137" s="119"/>
      <c r="AK137" s="114"/>
      <c r="AL137" s="120"/>
      <c r="AM137" s="200"/>
      <c r="AN137" s="201"/>
    </row>
    <row r="138" spans="1:40" ht="16.2" customHeight="1">
      <c r="A138" s="160"/>
      <c r="B138" s="148"/>
      <c r="C138" s="113"/>
      <c r="D138" s="148"/>
      <c r="E138" s="113"/>
      <c r="F138" s="150"/>
      <c r="G138" s="113"/>
      <c r="H138" s="148"/>
      <c r="I138" s="113"/>
      <c r="J138" s="148"/>
      <c r="K138" s="113"/>
      <c r="L138" s="150"/>
      <c r="M138" s="113"/>
      <c r="N138" s="148"/>
      <c r="O138" s="113"/>
      <c r="P138" s="148"/>
      <c r="Q138" s="113"/>
      <c r="R138" s="148"/>
      <c r="S138" s="113"/>
      <c r="T138" s="148"/>
      <c r="U138" s="113"/>
      <c r="V138" s="150"/>
      <c r="W138" s="113"/>
      <c r="X138" s="150"/>
      <c r="Y138" s="113"/>
      <c r="Z138" s="150"/>
      <c r="AA138" s="151"/>
      <c r="AB138" s="149"/>
      <c r="AC138" s="113"/>
      <c r="AD138" s="150"/>
      <c r="AE138" s="113"/>
      <c r="AF138" s="150"/>
      <c r="AG138" s="113"/>
      <c r="AH138" s="150"/>
      <c r="AI138" s="151"/>
      <c r="AJ138" s="149"/>
      <c r="AK138" s="113"/>
      <c r="AL138" s="117"/>
      <c r="AM138" s="198"/>
      <c r="AN138" s="199"/>
    </row>
    <row r="139" spans="1:40" ht="16.2" customHeight="1">
      <c r="A139" s="161"/>
      <c r="B139" s="114"/>
      <c r="C139" s="114"/>
      <c r="D139" s="114"/>
      <c r="E139" s="114"/>
      <c r="F139" s="118"/>
      <c r="G139" s="114"/>
      <c r="H139" s="114"/>
      <c r="I139" s="114"/>
      <c r="J139" s="114"/>
      <c r="K139" s="114"/>
      <c r="L139" s="118"/>
      <c r="M139" s="114"/>
      <c r="N139" s="114"/>
      <c r="O139" s="114"/>
      <c r="P139" s="114"/>
      <c r="Q139" s="114"/>
      <c r="R139" s="114"/>
      <c r="S139" s="114"/>
      <c r="T139" s="114"/>
      <c r="U139" s="114"/>
      <c r="V139" s="118"/>
      <c r="W139" s="114"/>
      <c r="X139" s="118"/>
      <c r="Y139" s="114"/>
      <c r="Z139" s="118"/>
      <c r="AA139" s="152"/>
      <c r="AB139" s="119"/>
      <c r="AC139" s="114"/>
      <c r="AD139" s="118"/>
      <c r="AE139" s="114"/>
      <c r="AF139" s="118"/>
      <c r="AG139" s="114"/>
      <c r="AH139" s="118"/>
      <c r="AI139" s="152"/>
      <c r="AJ139" s="119"/>
      <c r="AK139" s="114"/>
      <c r="AL139" s="120"/>
      <c r="AM139" s="200"/>
      <c r="AN139" s="201"/>
    </row>
    <row r="140" spans="1:40" ht="16.2" customHeight="1">
      <c r="A140" s="160"/>
      <c r="B140" s="148"/>
      <c r="C140" s="113"/>
      <c r="D140" s="148"/>
      <c r="E140" s="113"/>
      <c r="F140" s="150"/>
      <c r="G140" s="113"/>
      <c r="H140" s="148"/>
      <c r="I140" s="113"/>
      <c r="J140" s="148"/>
      <c r="K140" s="113"/>
      <c r="L140" s="150"/>
      <c r="M140" s="113"/>
      <c r="N140" s="148"/>
      <c r="O140" s="113"/>
      <c r="P140" s="148"/>
      <c r="Q140" s="113"/>
      <c r="R140" s="148"/>
      <c r="S140" s="113"/>
      <c r="T140" s="148"/>
      <c r="U140" s="113"/>
      <c r="V140" s="150"/>
      <c r="W140" s="113"/>
      <c r="X140" s="150"/>
      <c r="Y140" s="113"/>
      <c r="Z140" s="150"/>
      <c r="AA140" s="151"/>
      <c r="AB140" s="149"/>
      <c r="AC140" s="113"/>
      <c r="AD140" s="150"/>
      <c r="AE140" s="113"/>
      <c r="AF140" s="150"/>
      <c r="AG140" s="113"/>
      <c r="AH140" s="150"/>
      <c r="AI140" s="151"/>
      <c r="AJ140" s="149"/>
      <c r="AK140" s="113"/>
      <c r="AL140" s="117"/>
      <c r="AM140" s="198"/>
      <c r="AN140" s="199"/>
    </row>
    <row r="141" spans="1:40" ht="16.2" customHeight="1">
      <c r="A141" s="161"/>
      <c r="B141" s="114"/>
      <c r="C141" s="114"/>
      <c r="D141" s="114"/>
      <c r="E141" s="114"/>
      <c r="F141" s="118"/>
      <c r="G141" s="114"/>
      <c r="H141" s="114"/>
      <c r="I141" s="114"/>
      <c r="J141" s="114"/>
      <c r="K141" s="114"/>
      <c r="L141" s="118"/>
      <c r="M141" s="114"/>
      <c r="N141" s="114"/>
      <c r="O141" s="114"/>
      <c r="P141" s="114"/>
      <c r="Q141" s="114"/>
      <c r="R141" s="114"/>
      <c r="S141" s="114"/>
      <c r="T141" s="114"/>
      <c r="U141" s="114"/>
      <c r="V141" s="118"/>
      <c r="W141" s="114"/>
      <c r="X141" s="118"/>
      <c r="Y141" s="114"/>
      <c r="Z141" s="118"/>
      <c r="AA141" s="152"/>
      <c r="AB141" s="119"/>
      <c r="AC141" s="114"/>
      <c r="AD141" s="118"/>
      <c r="AE141" s="114"/>
      <c r="AF141" s="118"/>
      <c r="AG141" s="114"/>
      <c r="AH141" s="118"/>
      <c r="AI141" s="152"/>
      <c r="AJ141" s="119"/>
      <c r="AK141" s="114"/>
      <c r="AL141" s="120"/>
      <c r="AM141" s="200"/>
      <c r="AN141" s="201"/>
    </row>
    <row r="142" spans="1:40" ht="16.2" customHeight="1">
      <c r="A142" s="160"/>
      <c r="B142" s="148"/>
      <c r="C142" s="113"/>
      <c r="D142" s="148"/>
      <c r="E142" s="113"/>
      <c r="F142" s="150"/>
      <c r="G142" s="113"/>
      <c r="H142" s="148"/>
      <c r="I142" s="113"/>
      <c r="J142" s="148"/>
      <c r="K142" s="113"/>
      <c r="L142" s="150"/>
      <c r="M142" s="113"/>
      <c r="N142" s="148"/>
      <c r="O142" s="113"/>
      <c r="P142" s="148"/>
      <c r="Q142" s="113"/>
      <c r="R142" s="148"/>
      <c r="S142" s="113"/>
      <c r="T142" s="148"/>
      <c r="U142" s="113"/>
      <c r="V142" s="150"/>
      <c r="W142" s="113"/>
      <c r="X142" s="150"/>
      <c r="Y142" s="113"/>
      <c r="Z142" s="150"/>
      <c r="AA142" s="151"/>
      <c r="AB142" s="149"/>
      <c r="AC142" s="113"/>
      <c r="AD142" s="150"/>
      <c r="AE142" s="113"/>
      <c r="AF142" s="150"/>
      <c r="AG142" s="113"/>
      <c r="AH142" s="150"/>
      <c r="AI142" s="151"/>
      <c r="AJ142" s="149"/>
      <c r="AK142" s="113"/>
      <c r="AL142" s="117"/>
      <c r="AM142" s="198"/>
      <c r="AN142" s="199"/>
    </row>
    <row r="143" spans="1:40" ht="16.2" customHeight="1">
      <c r="A143" s="161"/>
      <c r="B143" s="114"/>
      <c r="C143" s="114"/>
      <c r="D143" s="114"/>
      <c r="E143" s="114"/>
      <c r="F143" s="118"/>
      <c r="G143" s="114"/>
      <c r="H143" s="114"/>
      <c r="I143" s="114"/>
      <c r="J143" s="114"/>
      <c r="K143" s="114"/>
      <c r="L143" s="118"/>
      <c r="M143" s="114"/>
      <c r="N143" s="114"/>
      <c r="O143" s="114"/>
      <c r="P143" s="114"/>
      <c r="Q143" s="114"/>
      <c r="R143" s="114"/>
      <c r="S143" s="114"/>
      <c r="T143" s="114"/>
      <c r="U143" s="114"/>
      <c r="V143" s="118"/>
      <c r="W143" s="114"/>
      <c r="X143" s="118"/>
      <c r="Y143" s="114"/>
      <c r="Z143" s="118"/>
      <c r="AA143" s="152"/>
      <c r="AB143" s="119"/>
      <c r="AC143" s="114"/>
      <c r="AD143" s="118"/>
      <c r="AE143" s="114"/>
      <c r="AF143" s="118"/>
      <c r="AG143" s="114"/>
      <c r="AH143" s="118"/>
      <c r="AI143" s="152"/>
      <c r="AJ143" s="119"/>
      <c r="AK143" s="114"/>
      <c r="AL143" s="120"/>
      <c r="AM143" s="200"/>
      <c r="AN143" s="201"/>
    </row>
    <row r="144" spans="1:40" ht="16.2" customHeight="1">
      <c r="A144" s="160"/>
      <c r="B144" s="148"/>
      <c r="C144" s="113"/>
      <c r="D144" s="148"/>
      <c r="E144" s="113"/>
      <c r="F144" s="150"/>
      <c r="G144" s="113"/>
      <c r="H144" s="148"/>
      <c r="I144" s="113"/>
      <c r="J144" s="148"/>
      <c r="K144" s="113"/>
      <c r="L144" s="150"/>
      <c r="M144" s="113"/>
      <c r="N144" s="148"/>
      <c r="O144" s="113"/>
      <c r="P144" s="148"/>
      <c r="Q144" s="113"/>
      <c r="R144" s="148"/>
      <c r="S144" s="113"/>
      <c r="T144" s="148"/>
      <c r="U144" s="113"/>
      <c r="V144" s="150"/>
      <c r="W144" s="113"/>
      <c r="X144" s="150"/>
      <c r="Y144" s="113"/>
      <c r="Z144" s="150"/>
      <c r="AA144" s="151"/>
      <c r="AB144" s="149"/>
      <c r="AC144" s="113"/>
      <c r="AD144" s="150"/>
      <c r="AE144" s="113"/>
      <c r="AF144" s="150"/>
      <c r="AG144" s="113"/>
      <c r="AH144" s="150"/>
      <c r="AI144" s="151"/>
      <c r="AJ144" s="149"/>
      <c r="AK144" s="113"/>
      <c r="AL144" s="117"/>
      <c r="AM144" s="198"/>
      <c r="AN144" s="199"/>
    </row>
    <row r="145" spans="1:40" ht="16.2" customHeight="1">
      <c r="A145" s="161"/>
      <c r="B145" s="114"/>
      <c r="C145" s="114"/>
      <c r="D145" s="114"/>
      <c r="E145" s="114"/>
      <c r="F145" s="118"/>
      <c r="G145" s="114"/>
      <c r="H145" s="114"/>
      <c r="I145" s="114"/>
      <c r="J145" s="114"/>
      <c r="K145" s="114"/>
      <c r="L145" s="118"/>
      <c r="M145" s="114"/>
      <c r="N145" s="114"/>
      <c r="O145" s="114"/>
      <c r="P145" s="114"/>
      <c r="Q145" s="114"/>
      <c r="R145" s="114"/>
      <c r="S145" s="114"/>
      <c r="T145" s="114"/>
      <c r="U145" s="114"/>
      <c r="V145" s="118"/>
      <c r="W145" s="114"/>
      <c r="X145" s="118"/>
      <c r="Y145" s="114"/>
      <c r="Z145" s="118"/>
      <c r="AA145" s="152"/>
      <c r="AB145" s="119"/>
      <c r="AC145" s="114"/>
      <c r="AD145" s="118"/>
      <c r="AE145" s="114"/>
      <c r="AF145" s="118"/>
      <c r="AG145" s="114"/>
      <c r="AH145" s="118"/>
      <c r="AI145" s="152"/>
      <c r="AJ145" s="119"/>
      <c r="AK145" s="114"/>
      <c r="AL145" s="120"/>
      <c r="AM145" s="200"/>
      <c r="AN145" s="201"/>
    </row>
    <row r="146" spans="1:40" ht="16.2" customHeight="1">
      <c r="A146" s="160"/>
      <c r="B146" s="112"/>
      <c r="C146" s="147"/>
      <c r="D146" s="112"/>
      <c r="E146" s="147"/>
      <c r="F146" s="115"/>
      <c r="G146" s="147"/>
      <c r="H146" s="112"/>
      <c r="I146" s="147"/>
      <c r="J146" s="112"/>
      <c r="K146" s="147"/>
      <c r="L146" s="115"/>
      <c r="M146" s="147"/>
      <c r="N146" s="112"/>
      <c r="O146" s="147"/>
      <c r="P146" s="112"/>
      <c r="Q146" s="147"/>
      <c r="R146" s="112"/>
      <c r="S146" s="147"/>
      <c r="T146" s="112"/>
      <c r="U146" s="147"/>
      <c r="V146" s="115"/>
      <c r="W146" s="147"/>
      <c r="X146" s="116"/>
      <c r="Y146" s="147"/>
      <c r="Z146" s="115"/>
      <c r="AA146" s="153"/>
      <c r="AB146" s="116"/>
      <c r="AC146" s="147"/>
      <c r="AD146" s="115"/>
      <c r="AE146" s="147"/>
      <c r="AF146" s="116"/>
      <c r="AG146" s="147"/>
      <c r="AH146" s="115"/>
      <c r="AI146" s="153"/>
      <c r="AJ146" s="116"/>
      <c r="AK146" s="147"/>
      <c r="AL146" s="117"/>
      <c r="AM146" s="179"/>
      <c r="AN146" s="180"/>
    </row>
    <row r="147" spans="1:40" ht="16.2" customHeight="1">
      <c r="A147" s="161"/>
      <c r="B147" s="114"/>
      <c r="C147" s="114"/>
      <c r="D147" s="114"/>
      <c r="E147" s="114"/>
      <c r="F147" s="118"/>
      <c r="G147" s="114"/>
      <c r="H147" s="114"/>
      <c r="I147" s="114"/>
      <c r="J147" s="114"/>
      <c r="K147" s="114"/>
      <c r="L147" s="118"/>
      <c r="M147" s="114"/>
      <c r="N147" s="114"/>
      <c r="O147" s="114"/>
      <c r="P147" s="114"/>
      <c r="Q147" s="114"/>
      <c r="R147" s="114"/>
      <c r="S147" s="114"/>
      <c r="T147" s="114"/>
      <c r="U147" s="114"/>
      <c r="V147" s="118"/>
      <c r="W147" s="114"/>
      <c r="X147" s="119"/>
      <c r="Y147" s="114"/>
      <c r="Z147" s="118"/>
      <c r="AA147" s="152"/>
      <c r="AB147" s="119"/>
      <c r="AC147" s="114"/>
      <c r="AD147" s="118"/>
      <c r="AE147" s="114"/>
      <c r="AF147" s="119"/>
      <c r="AG147" s="114"/>
      <c r="AH147" s="118"/>
      <c r="AI147" s="152"/>
      <c r="AJ147" s="119"/>
      <c r="AK147" s="114"/>
      <c r="AL147" s="120"/>
      <c r="AM147" s="202"/>
      <c r="AN147" s="203"/>
    </row>
    <row r="148" spans="1:40" ht="16.2" customHeight="1">
      <c r="B148" s="121"/>
      <c r="C148" s="121"/>
      <c r="D148" s="121"/>
      <c r="E148" s="121"/>
      <c r="F148" s="122"/>
      <c r="G148" s="121"/>
      <c r="H148" s="121"/>
      <c r="I148" s="121"/>
      <c r="J148" s="121"/>
      <c r="K148" s="121"/>
      <c r="L148" s="122"/>
      <c r="M148" s="121"/>
      <c r="N148" s="121"/>
      <c r="O148" s="121"/>
      <c r="P148" s="121"/>
      <c r="Q148" s="121"/>
      <c r="R148" s="121"/>
      <c r="S148" s="121"/>
      <c r="T148" s="121"/>
      <c r="U148" s="121"/>
      <c r="V148" s="123"/>
      <c r="W148" s="124"/>
      <c r="X148" s="144"/>
      <c r="Y148" s="121"/>
      <c r="Z148" s="123"/>
      <c r="AA148" s="124"/>
      <c r="AB148" s="144"/>
      <c r="AC148" s="121"/>
      <c r="AD148" s="123"/>
      <c r="AE148" s="124"/>
      <c r="AF148" s="144"/>
      <c r="AG148" s="121"/>
      <c r="AH148" s="123"/>
      <c r="AI148" s="124"/>
      <c r="AJ148" s="144"/>
      <c r="AK148" s="121"/>
      <c r="AL148" s="125"/>
    </row>
    <row r="149" spans="1:40" ht="23.4" customHeight="1">
      <c r="A149" s="163"/>
      <c r="B149" s="126"/>
      <c r="C149" s="126"/>
      <c r="D149" s="126"/>
      <c r="E149" s="126"/>
      <c r="F149" s="127"/>
      <c r="G149" s="128"/>
      <c r="H149" s="126"/>
      <c r="I149" s="128"/>
      <c r="J149" s="126"/>
      <c r="K149" s="126"/>
      <c r="L149" s="127"/>
      <c r="M149" s="128"/>
      <c r="N149" s="126"/>
      <c r="O149" s="128"/>
      <c r="P149" s="126"/>
      <c r="Q149" s="128"/>
      <c r="R149" s="126"/>
      <c r="S149" s="128"/>
      <c r="T149" s="126"/>
      <c r="U149" s="126"/>
      <c r="V149" s="127"/>
      <c r="W149" s="129"/>
      <c r="X149" s="126"/>
      <c r="Y149" s="126"/>
      <c r="Z149" s="127"/>
      <c r="AA149" s="129"/>
      <c r="AB149" s="126"/>
      <c r="AC149" s="126"/>
      <c r="AD149" s="127"/>
      <c r="AE149" s="129"/>
      <c r="AF149" s="126"/>
      <c r="AG149" s="126"/>
      <c r="AH149" s="127"/>
      <c r="AI149" s="129"/>
      <c r="AJ149" s="126"/>
      <c r="AK149" s="126"/>
      <c r="AL149" s="146"/>
    </row>
    <row r="150" spans="1:40" ht="16.2" customHeight="1">
      <c r="A150" s="164"/>
      <c r="B150" s="130"/>
      <c r="C150" s="220"/>
      <c r="D150" s="130"/>
      <c r="E150" s="219"/>
      <c r="F150" s="131"/>
      <c r="G150" s="220"/>
      <c r="H150" s="132"/>
      <c r="I150" s="220"/>
      <c r="J150" s="132"/>
      <c r="K150" s="219"/>
      <c r="L150" s="131"/>
      <c r="M150" s="220"/>
      <c r="N150" s="130"/>
      <c r="O150" s="220"/>
      <c r="P150" s="132"/>
      <c r="Q150" s="220"/>
      <c r="R150" s="132"/>
      <c r="S150" s="220"/>
      <c r="T150" s="132"/>
      <c r="U150" s="219"/>
      <c r="V150" s="131"/>
      <c r="W150" s="218"/>
      <c r="X150" s="133"/>
      <c r="Y150" s="219"/>
      <c r="Z150" s="131"/>
      <c r="AA150" s="218"/>
      <c r="AB150" s="133"/>
      <c r="AC150" s="219"/>
      <c r="AD150" s="131"/>
      <c r="AE150" s="218"/>
      <c r="AF150" s="135"/>
      <c r="AG150" s="219"/>
      <c r="AH150" s="134"/>
      <c r="AI150" s="218"/>
      <c r="AJ150" s="135"/>
      <c r="AK150" s="219"/>
      <c r="AL150" s="136"/>
      <c r="AM150" s="204"/>
      <c r="AN150" s="205"/>
    </row>
    <row r="151" spans="1:40" ht="16.2" customHeight="1">
      <c r="A151" s="164"/>
      <c r="B151" s="130"/>
      <c r="C151" s="214"/>
      <c r="D151" s="130"/>
      <c r="E151" s="210"/>
      <c r="F151" s="131"/>
      <c r="G151" s="214"/>
      <c r="H151" s="132"/>
      <c r="I151" s="214"/>
      <c r="J151" s="132"/>
      <c r="K151" s="210"/>
      <c r="L151" s="131"/>
      <c r="M151" s="214"/>
      <c r="N151" s="130"/>
      <c r="O151" s="214"/>
      <c r="P151" s="132"/>
      <c r="Q151" s="214"/>
      <c r="R151" s="132"/>
      <c r="S151" s="214"/>
      <c r="T151" s="132"/>
      <c r="U151" s="210"/>
      <c r="V151" s="131"/>
      <c r="W151" s="212"/>
      <c r="X151" s="133"/>
      <c r="Y151" s="210"/>
      <c r="Z151" s="131"/>
      <c r="AA151" s="212"/>
      <c r="AB151" s="133"/>
      <c r="AC151" s="210"/>
      <c r="AD151" s="131"/>
      <c r="AE151" s="212"/>
      <c r="AF151" s="135"/>
      <c r="AG151" s="210"/>
      <c r="AH151" s="134"/>
      <c r="AI151" s="212"/>
      <c r="AJ151" s="135"/>
      <c r="AK151" s="210"/>
      <c r="AL151" s="136"/>
      <c r="AM151" s="204"/>
      <c r="AN151" s="205"/>
    </row>
    <row r="152" spans="1:40" ht="16.2" customHeight="1">
      <c r="A152" s="164"/>
      <c r="B152" s="130"/>
      <c r="C152" s="214"/>
      <c r="D152" s="130"/>
      <c r="E152" s="210"/>
      <c r="F152" s="131"/>
      <c r="G152" s="214"/>
      <c r="H152" s="132"/>
      <c r="I152" s="214"/>
      <c r="J152" s="132"/>
      <c r="K152" s="210"/>
      <c r="L152" s="131"/>
      <c r="M152" s="214"/>
      <c r="N152" s="130"/>
      <c r="O152" s="214"/>
      <c r="P152" s="132"/>
      <c r="Q152" s="214"/>
      <c r="R152" s="132"/>
      <c r="S152" s="214"/>
      <c r="T152" s="132"/>
      <c r="U152" s="210"/>
      <c r="V152" s="131"/>
      <c r="W152" s="212"/>
      <c r="X152" s="133"/>
      <c r="Y152" s="210"/>
      <c r="Z152" s="131"/>
      <c r="AA152" s="212"/>
      <c r="AB152" s="133"/>
      <c r="AC152" s="210"/>
      <c r="AD152" s="131"/>
      <c r="AE152" s="212"/>
      <c r="AF152" s="135"/>
      <c r="AG152" s="210"/>
      <c r="AH152" s="134"/>
      <c r="AI152" s="212"/>
      <c r="AJ152" s="135"/>
      <c r="AK152" s="210"/>
      <c r="AL152" s="136"/>
    </row>
    <row r="153" spans="1:40" s="104" customFormat="1" ht="16.2" customHeight="1">
      <c r="A153" s="165"/>
      <c r="B153" s="137"/>
      <c r="C153" s="215"/>
      <c r="D153" s="137"/>
      <c r="E153" s="211"/>
      <c r="F153" s="138"/>
      <c r="G153" s="215"/>
      <c r="H153" s="139"/>
      <c r="I153" s="215"/>
      <c r="J153" s="139"/>
      <c r="K153" s="211"/>
      <c r="L153" s="138"/>
      <c r="M153" s="215"/>
      <c r="N153" s="137"/>
      <c r="O153" s="215"/>
      <c r="P153" s="139"/>
      <c r="Q153" s="215"/>
      <c r="R153" s="139"/>
      <c r="S153" s="215"/>
      <c r="T153" s="139"/>
      <c r="U153" s="211"/>
      <c r="V153" s="138"/>
      <c r="W153" s="213"/>
      <c r="X153" s="140"/>
      <c r="Y153" s="211"/>
      <c r="Z153" s="138"/>
      <c r="AA153" s="213"/>
      <c r="AB153" s="140"/>
      <c r="AC153" s="211"/>
      <c r="AD153" s="138"/>
      <c r="AE153" s="213"/>
      <c r="AF153" s="142"/>
      <c r="AG153" s="211"/>
      <c r="AH153" s="141"/>
      <c r="AI153" s="213"/>
      <c r="AJ153" s="142"/>
      <c r="AK153" s="211"/>
      <c r="AL153" s="143"/>
      <c r="AM153" s="206"/>
      <c r="AN153" s="206"/>
    </row>
    <row r="154" spans="1:40" ht="16.2" customHeight="1">
      <c r="A154" s="166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/>
  <cols>
    <col min="1" max="1" width="2.796875" style="81" customWidth="1"/>
    <col min="2" max="2" width="8.09765625" style="52" customWidth="1"/>
    <col min="3" max="5" width="7.59765625" style="52" customWidth="1"/>
    <col min="6" max="6" width="12.19921875" style="52" customWidth="1"/>
    <col min="7" max="7" width="4.19921875" style="64" customWidth="1"/>
    <col min="8" max="8" width="8.5" style="52" hidden="1" customWidth="1"/>
    <col min="9" max="9" width="8.5" style="52" customWidth="1"/>
    <col min="10" max="12" width="7.59765625" style="52" customWidth="1"/>
    <col min="13" max="13" width="12.19921875" style="52" customWidth="1"/>
    <col min="14" max="14" width="4.19921875" style="61" customWidth="1"/>
    <col min="15" max="15" width="2.796875" style="52" customWidth="1"/>
    <col min="16" max="16" width="2.796875" style="81" customWidth="1"/>
    <col min="17" max="17" width="8.09765625" style="52" customWidth="1"/>
    <col min="18" max="20" width="7.59765625" style="52" customWidth="1"/>
    <col min="21" max="21" width="12.19921875" style="52" customWidth="1"/>
    <col min="22" max="22" width="4.19921875" style="64" customWidth="1"/>
    <col min="23" max="23" width="8.5" style="52" hidden="1" customWidth="1"/>
    <col min="24" max="24" width="8.5" style="52" customWidth="1"/>
    <col min="25" max="27" width="7.59765625" style="52" customWidth="1"/>
    <col min="28" max="28" width="12.19921875" style="52" customWidth="1"/>
    <col min="29" max="29" width="4.19921875" style="61" customWidth="1"/>
    <col min="30" max="30" width="2.796875" style="52" customWidth="1"/>
    <col min="31" max="31" width="2.796875" style="81" customWidth="1"/>
    <col min="32" max="32" width="8.09765625" style="52" customWidth="1"/>
    <col min="33" max="35" width="7.59765625" style="52" customWidth="1"/>
    <col min="36" max="36" width="12.19921875" style="52" customWidth="1"/>
    <col min="37" max="37" width="4.19921875" style="64" customWidth="1"/>
    <col min="38" max="38" width="8.5" style="52" hidden="1" customWidth="1"/>
    <col min="39" max="39" width="8.5" style="52" customWidth="1"/>
    <col min="40" max="42" width="7.59765625" style="52" customWidth="1"/>
    <col min="43" max="43" width="12.19921875" style="52" customWidth="1"/>
    <col min="44" max="44" width="4.19921875" style="61" customWidth="1"/>
    <col min="45" max="45" width="2.796875" style="52" customWidth="1"/>
    <col min="46" max="46" width="2.796875" style="81" customWidth="1"/>
    <col min="47" max="47" width="8.09765625" style="52" customWidth="1"/>
    <col min="48" max="50" width="7.59765625" style="52" customWidth="1"/>
    <col min="51" max="51" width="12.19921875" style="52" customWidth="1"/>
    <col min="52" max="52" width="4.19921875" style="64" customWidth="1"/>
    <col min="53" max="53" width="8.5" style="52" hidden="1" customWidth="1"/>
    <col min="54" max="54" width="8.5" style="52" customWidth="1"/>
    <col min="55" max="57" width="7.59765625" style="52" customWidth="1"/>
    <col min="58" max="58" width="12.19921875" style="52" customWidth="1"/>
    <col min="59" max="59" width="4.19921875" style="61" customWidth="1"/>
    <col min="60" max="60" width="2.796875" style="52" customWidth="1"/>
    <col min="61" max="61" width="2.796875" style="81" customWidth="1"/>
    <col min="62" max="62" width="8.09765625" style="52" customWidth="1"/>
    <col min="63" max="65" width="7.59765625" style="52" customWidth="1"/>
    <col min="66" max="66" width="12.19921875" style="52" customWidth="1"/>
    <col min="67" max="67" width="4.19921875" style="64" customWidth="1"/>
    <col min="68" max="68" width="8.5" style="52" hidden="1" customWidth="1"/>
    <col min="69" max="69" width="8.5" style="52" customWidth="1"/>
    <col min="70" max="72" width="7.59765625" style="52" customWidth="1"/>
    <col min="73" max="73" width="12.19921875" style="52" customWidth="1"/>
    <col min="74" max="74" width="4.19921875" style="61" customWidth="1"/>
    <col min="75" max="75" width="2.796875" style="52" customWidth="1"/>
    <col min="76" max="76" width="2.796875" style="81" customWidth="1"/>
    <col min="77" max="77" width="8.09765625" style="52" customWidth="1"/>
    <col min="78" max="80" width="7.59765625" style="52" customWidth="1"/>
    <col min="81" max="81" width="12.19921875" style="52" customWidth="1"/>
    <col min="82" max="82" width="4.19921875" style="64" customWidth="1"/>
    <col min="83" max="83" width="8.5" style="52" hidden="1" customWidth="1"/>
    <col min="84" max="84" width="8.5" style="52" customWidth="1"/>
    <col min="85" max="87" width="7.59765625" style="52" customWidth="1"/>
    <col min="88" max="88" width="12.19921875" style="52" customWidth="1"/>
    <col min="89" max="89" width="4.19921875" style="61" customWidth="1"/>
    <col min="90" max="90" width="2.796875" style="52" customWidth="1"/>
    <col min="91" max="91" width="2.796875" style="81" customWidth="1"/>
    <col min="92" max="92" width="8.09765625" style="52" customWidth="1"/>
    <col min="93" max="95" width="7.59765625" style="52" customWidth="1"/>
    <col min="96" max="96" width="12.19921875" style="52" customWidth="1"/>
    <col min="97" max="97" width="4.19921875" style="64" customWidth="1"/>
    <col min="98" max="98" width="8.5" style="52" hidden="1" customWidth="1"/>
    <col min="99" max="99" width="8.5" style="52" customWidth="1"/>
    <col min="100" max="102" width="7.59765625" style="52" customWidth="1"/>
    <col min="103" max="103" width="12.19921875" style="52" customWidth="1"/>
    <col min="104" max="104" width="4.19921875" style="61" customWidth="1"/>
    <col min="105" max="105" width="2.796875" style="52" customWidth="1"/>
    <col min="106" max="106" width="2.796875" style="81" customWidth="1"/>
    <col min="107" max="107" width="8.09765625" style="52" customWidth="1"/>
    <col min="108" max="110" width="7.59765625" style="52" customWidth="1"/>
    <col min="111" max="111" width="12.19921875" style="52" customWidth="1"/>
    <col min="112" max="112" width="4.19921875" style="64" customWidth="1"/>
    <col min="113" max="113" width="8.5" style="52" hidden="1" customWidth="1"/>
    <col min="114" max="114" width="8.5" style="52" customWidth="1"/>
    <col min="115" max="117" width="7.59765625" style="52" customWidth="1"/>
    <col min="118" max="118" width="12.19921875" style="52" customWidth="1"/>
    <col min="119" max="119" width="4.19921875" style="61" customWidth="1"/>
    <col min="120" max="120" width="2.796875" style="52" customWidth="1"/>
    <col min="121" max="121" width="2.796875" style="81" customWidth="1"/>
    <col min="122" max="122" width="8.09765625" style="52" customWidth="1"/>
    <col min="123" max="125" width="7.59765625" style="52" customWidth="1"/>
    <col min="126" max="126" width="12.19921875" style="52" customWidth="1"/>
    <col min="127" max="127" width="4.19921875" style="64" customWidth="1"/>
    <col min="128" max="128" width="8.5" style="52" hidden="1" customWidth="1"/>
    <col min="129" max="129" width="8.5" style="52" customWidth="1"/>
    <col min="130" max="132" width="7.59765625" style="52" customWidth="1"/>
    <col min="133" max="133" width="12.19921875" style="52" customWidth="1"/>
    <col min="134" max="134" width="4.19921875" style="61" customWidth="1"/>
    <col min="135" max="135" width="2.796875" style="52" customWidth="1"/>
    <col min="136" max="136" width="2.796875" style="81" customWidth="1"/>
    <col min="137" max="137" width="8.09765625" style="52" customWidth="1"/>
    <col min="138" max="140" width="7.59765625" style="52" customWidth="1"/>
    <col min="141" max="141" width="12.19921875" style="52" customWidth="1"/>
    <col min="142" max="142" width="4.19921875" style="64" customWidth="1"/>
    <col min="143" max="143" width="8.5" style="52" hidden="1" customWidth="1"/>
    <col min="144" max="144" width="8.5" style="52" customWidth="1"/>
    <col min="145" max="147" width="7.59765625" style="52" customWidth="1"/>
    <col min="148" max="148" width="12.19921875" style="52" customWidth="1"/>
    <col min="149" max="149" width="4.19921875" style="61" customWidth="1"/>
    <col min="150" max="150" width="2.796875" style="52" customWidth="1"/>
  </cols>
  <sheetData>
    <row r="1" spans="1:150" s="55" customFormat="1" ht="25.8" customHeight="1">
      <c r="A1" s="54"/>
      <c r="B1" s="66"/>
      <c r="C1" s="245"/>
      <c r="D1" s="246"/>
      <c r="E1" s="246"/>
      <c r="F1" s="246"/>
      <c r="G1" s="65"/>
      <c r="H1" s="59"/>
      <c r="I1" s="66"/>
      <c r="J1" s="245"/>
      <c r="K1" s="246"/>
      <c r="L1" s="246"/>
      <c r="M1" s="246"/>
      <c r="N1" s="65"/>
      <c r="O1" s="45"/>
      <c r="P1" s="54"/>
      <c r="Q1" s="66"/>
      <c r="R1" s="245"/>
      <c r="S1" s="246"/>
      <c r="T1" s="246"/>
      <c r="U1" s="246"/>
      <c r="V1" s="65"/>
      <c r="W1" s="59"/>
      <c r="X1" s="66"/>
      <c r="Y1" s="245"/>
      <c r="Z1" s="246"/>
      <c r="AA1" s="246"/>
      <c r="AB1" s="246"/>
      <c r="AC1" s="65"/>
      <c r="AD1" s="45"/>
      <c r="AE1" s="54"/>
      <c r="AF1" s="66"/>
      <c r="AG1" s="245"/>
      <c r="AH1" s="246"/>
      <c r="AI1" s="246"/>
      <c r="AJ1" s="246"/>
      <c r="AK1" s="65"/>
      <c r="AL1" s="59"/>
      <c r="AM1" s="66"/>
      <c r="AN1" s="245"/>
      <c r="AO1" s="246"/>
      <c r="AP1" s="246"/>
      <c r="AQ1" s="246"/>
      <c r="AR1" s="65"/>
      <c r="AS1" s="45"/>
      <c r="AT1" s="54"/>
      <c r="AU1" s="66"/>
      <c r="AV1" s="245"/>
      <c r="AW1" s="246"/>
      <c r="AX1" s="246"/>
      <c r="AY1" s="246"/>
      <c r="AZ1" s="65"/>
      <c r="BA1" s="59"/>
      <c r="BB1" s="66"/>
      <c r="BC1" s="245"/>
      <c r="BD1" s="246"/>
      <c r="BE1" s="246"/>
      <c r="BF1" s="246"/>
      <c r="BG1" s="65"/>
      <c r="BH1" s="45"/>
      <c r="BI1" s="54"/>
      <c r="BJ1" s="66"/>
      <c r="BK1" s="245"/>
      <c r="BL1" s="246"/>
      <c r="BM1" s="246"/>
      <c r="BN1" s="246"/>
      <c r="BO1" s="65"/>
      <c r="BP1" s="59"/>
      <c r="BQ1" s="66"/>
      <c r="BR1" s="245"/>
      <c r="BS1" s="246"/>
      <c r="BT1" s="246"/>
      <c r="BU1" s="246"/>
      <c r="BV1" s="65"/>
      <c r="BW1" s="45"/>
      <c r="BX1" s="54"/>
      <c r="BY1" s="66"/>
      <c r="BZ1" s="245"/>
      <c r="CA1" s="246"/>
      <c r="CB1" s="246"/>
      <c r="CC1" s="246"/>
      <c r="CD1" s="65"/>
      <c r="CE1" s="59"/>
      <c r="CF1" s="66"/>
      <c r="CG1" s="245"/>
      <c r="CH1" s="246"/>
      <c r="CI1" s="246"/>
      <c r="CJ1" s="246"/>
      <c r="CK1" s="65"/>
      <c r="CL1" s="45"/>
      <c r="CM1" s="54"/>
      <c r="CN1" s="66"/>
      <c r="CO1" s="245"/>
      <c r="CP1" s="246"/>
      <c r="CQ1" s="246"/>
      <c r="CR1" s="246"/>
      <c r="CS1" s="65"/>
      <c r="CT1" s="59"/>
      <c r="CU1" s="66"/>
      <c r="CV1" s="245"/>
      <c r="CW1" s="246"/>
      <c r="CX1" s="246"/>
      <c r="CY1" s="246"/>
      <c r="CZ1" s="65"/>
      <c r="DA1" s="45"/>
      <c r="DB1" s="54"/>
      <c r="DC1" s="66"/>
      <c r="DD1" s="245"/>
      <c r="DE1" s="246"/>
      <c r="DF1" s="246"/>
      <c r="DG1" s="246"/>
      <c r="DH1" s="65"/>
      <c r="DI1" s="59"/>
      <c r="DJ1" s="66"/>
      <c r="DK1" s="245"/>
      <c r="DL1" s="246"/>
      <c r="DM1" s="246"/>
      <c r="DN1" s="246"/>
      <c r="DO1" s="65"/>
      <c r="DP1" s="45"/>
      <c r="DQ1" s="54"/>
      <c r="DR1" s="66"/>
      <c r="DS1" s="245"/>
      <c r="DT1" s="246"/>
      <c r="DU1" s="246"/>
      <c r="DV1" s="246"/>
      <c r="DW1" s="65"/>
      <c r="DX1" s="59"/>
      <c r="DY1" s="66"/>
      <c r="DZ1" s="245"/>
      <c r="EA1" s="246"/>
      <c r="EB1" s="246"/>
      <c r="EC1" s="246"/>
      <c r="ED1" s="65"/>
      <c r="EE1" s="45"/>
      <c r="EF1" s="54"/>
      <c r="EG1" s="66"/>
      <c r="EH1" s="245"/>
      <c r="EI1" s="246"/>
      <c r="EJ1" s="246"/>
      <c r="EK1" s="246"/>
      <c r="EL1" s="65"/>
      <c r="EM1" s="59"/>
      <c r="EN1" s="66"/>
      <c r="EO1" s="245"/>
      <c r="EP1" s="246"/>
      <c r="EQ1" s="246"/>
      <c r="ER1" s="246"/>
      <c r="ES1" s="65"/>
      <c r="ET1" s="45"/>
    </row>
    <row r="2" spans="1:150" s="55" customFormat="1">
      <c r="A2" s="54"/>
      <c r="B2" s="56"/>
      <c r="C2" s="70"/>
      <c r="D2" s="64"/>
      <c r="E2" s="64"/>
      <c r="F2" s="71"/>
      <c r="G2" s="62"/>
      <c r="H2" s="72"/>
      <c r="I2" s="56"/>
      <c r="J2" s="70"/>
      <c r="K2" s="64"/>
      <c r="L2" s="64"/>
      <c r="M2" s="71"/>
      <c r="N2" s="62"/>
      <c r="O2" s="45"/>
      <c r="P2" s="54"/>
      <c r="Q2" s="56"/>
      <c r="R2" s="70"/>
      <c r="S2" s="64"/>
      <c r="T2" s="64"/>
      <c r="U2" s="71"/>
      <c r="V2" s="62"/>
      <c r="W2" s="72"/>
      <c r="X2" s="56"/>
      <c r="Y2" s="70"/>
      <c r="Z2" s="64"/>
      <c r="AA2" s="64"/>
      <c r="AB2" s="71"/>
      <c r="AC2" s="62"/>
      <c r="AD2" s="45"/>
      <c r="AE2" s="54"/>
      <c r="AF2" s="56"/>
      <c r="AG2" s="70"/>
      <c r="AH2" s="64"/>
      <c r="AI2" s="64"/>
      <c r="AJ2" s="71"/>
      <c r="AK2" s="62"/>
      <c r="AL2" s="72"/>
      <c r="AM2" s="56"/>
      <c r="AN2" s="70"/>
      <c r="AO2" s="64"/>
      <c r="AP2" s="64"/>
      <c r="AQ2" s="71"/>
      <c r="AR2" s="62"/>
      <c r="AS2" s="45"/>
      <c r="AT2" s="54"/>
      <c r="AU2" s="56"/>
      <c r="AV2" s="70"/>
      <c r="AW2" s="64"/>
      <c r="AX2" s="64"/>
      <c r="AY2" s="71"/>
      <c r="AZ2" s="62"/>
      <c r="BA2" s="72"/>
      <c r="BB2" s="56"/>
      <c r="BC2" s="70"/>
      <c r="BD2" s="64"/>
      <c r="BE2" s="64"/>
      <c r="BF2" s="71"/>
      <c r="BG2" s="62"/>
      <c r="BH2" s="45"/>
      <c r="BI2" s="54"/>
      <c r="BJ2" s="56"/>
      <c r="BK2" s="70"/>
      <c r="BL2" s="64"/>
      <c r="BM2" s="64"/>
      <c r="BN2" s="71"/>
      <c r="BO2" s="62"/>
      <c r="BP2" s="72"/>
      <c r="BQ2" s="56"/>
      <c r="BR2" s="70"/>
      <c r="BS2" s="64"/>
      <c r="BT2" s="64"/>
      <c r="BU2" s="71"/>
      <c r="BV2" s="62"/>
      <c r="BW2" s="45"/>
      <c r="BX2" s="54"/>
      <c r="BY2" s="56"/>
      <c r="BZ2" s="70"/>
      <c r="CA2" s="64"/>
      <c r="CB2" s="64"/>
      <c r="CC2" s="71"/>
      <c r="CD2" s="62"/>
      <c r="CE2" s="72"/>
      <c r="CF2" s="56"/>
      <c r="CG2" s="70"/>
      <c r="CH2" s="64"/>
      <c r="CI2" s="64"/>
      <c r="CJ2" s="71"/>
      <c r="CK2" s="62"/>
      <c r="CL2" s="45"/>
      <c r="CM2" s="54"/>
      <c r="CN2" s="56"/>
      <c r="CO2" s="70"/>
      <c r="CP2" s="64"/>
      <c r="CQ2" s="64"/>
      <c r="CR2" s="71"/>
      <c r="CS2" s="62"/>
      <c r="CT2" s="72"/>
      <c r="CU2" s="56"/>
      <c r="CV2" s="70"/>
      <c r="CW2" s="64"/>
      <c r="CX2" s="64"/>
      <c r="CY2" s="71"/>
      <c r="CZ2" s="62"/>
      <c r="DA2" s="45"/>
      <c r="DB2" s="54"/>
      <c r="DC2" s="56"/>
      <c r="DD2" s="70"/>
      <c r="DE2" s="64"/>
      <c r="DF2" s="64"/>
      <c r="DG2" s="71"/>
      <c r="DH2" s="62"/>
      <c r="DI2" s="72"/>
      <c r="DJ2" s="56"/>
      <c r="DK2" s="70"/>
      <c r="DL2" s="64"/>
      <c r="DM2" s="64"/>
      <c r="DN2" s="71"/>
      <c r="DO2" s="62"/>
      <c r="DP2" s="45"/>
      <c r="DQ2" s="54"/>
      <c r="DR2" s="56"/>
      <c r="DS2" s="70"/>
      <c r="DT2" s="64"/>
      <c r="DU2" s="64"/>
      <c r="DV2" s="71"/>
      <c r="DW2" s="62"/>
      <c r="DX2" s="72"/>
      <c r="DY2" s="56"/>
      <c r="DZ2" s="70"/>
      <c r="EA2" s="64"/>
      <c r="EB2" s="64"/>
      <c r="EC2" s="71"/>
      <c r="ED2" s="62"/>
      <c r="EE2" s="45"/>
      <c r="EF2" s="54"/>
      <c r="EG2" s="56"/>
      <c r="EH2" s="70"/>
      <c r="EI2" s="64"/>
      <c r="EJ2" s="64"/>
      <c r="EK2" s="71"/>
      <c r="EL2" s="62"/>
      <c r="EM2" s="72"/>
      <c r="EN2" s="56"/>
      <c r="EO2" s="70"/>
      <c r="EP2" s="64"/>
      <c r="EQ2" s="64"/>
      <c r="ER2" s="71"/>
      <c r="ES2" s="62"/>
      <c r="ET2" s="45"/>
    </row>
    <row r="3" spans="1:150" s="55" customFormat="1">
      <c r="A3" s="54"/>
      <c r="B3" s="57"/>
      <c r="C3" s="243"/>
      <c r="D3" s="244"/>
      <c r="E3" s="45"/>
      <c r="G3" s="63"/>
      <c r="H3" s="59"/>
      <c r="I3" s="57"/>
      <c r="J3" s="243"/>
      <c r="K3" s="244"/>
      <c r="L3" s="45"/>
      <c r="N3" s="63"/>
      <c r="O3" s="45"/>
      <c r="P3" s="54"/>
      <c r="Q3" s="57"/>
      <c r="R3" s="243"/>
      <c r="S3" s="244"/>
      <c r="T3" s="45"/>
      <c r="V3" s="63"/>
      <c r="W3" s="59"/>
      <c r="X3" s="57"/>
      <c r="Y3" s="243"/>
      <c r="Z3" s="244"/>
      <c r="AA3" s="45"/>
      <c r="AC3" s="63"/>
      <c r="AD3" s="45"/>
      <c r="AE3" s="54"/>
      <c r="AF3" s="57"/>
      <c r="AG3" s="243"/>
      <c r="AH3" s="244"/>
      <c r="AI3" s="45"/>
      <c r="AK3" s="63"/>
      <c r="AL3" s="59"/>
      <c r="AM3" s="57"/>
      <c r="AN3" s="243"/>
      <c r="AO3" s="244"/>
      <c r="AP3" s="45"/>
      <c r="AR3" s="63"/>
      <c r="AS3" s="45"/>
      <c r="AT3" s="54"/>
      <c r="AU3" s="57"/>
      <c r="AV3" s="243"/>
      <c r="AW3" s="244"/>
      <c r="AX3" s="45"/>
      <c r="AZ3" s="63"/>
      <c r="BA3" s="59"/>
      <c r="BB3" s="57"/>
      <c r="BC3" s="243"/>
      <c r="BD3" s="244"/>
      <c r="BE3" s="45"/>
      <c r="BG3" s="63"/>
      <c r="BH3" s="45"/>
      <c r="BI3" s="54"/>
      <c r="BJ3" s="57"/>
      <c r="BK3" s="243"/>
      <c r="BL3" s="244"/>
      <c r="BM3" s="45"/>
      <c r="BO3" s="63"/>
      <c r="BP3" s="59"/>
      <c r="BQ3" s="57"/>
      <c r="BR3" s="243"/>
      <c r="BS3" s="244"/>
      <c r="BT3" s="45"/>
      <c r="BV3" s="63"/>
      <c r="BW3" s="45"/>
      <c r="BX3" s="54"/>
      <c r="BY3" s="57"/>
      <c r="BZ3" s="243"/>
      <c r="CA3" s="244"/>
      <c r="CB3" s="45"/>
      <c r="CD3" s="63"/>
      <c r="CE3" s="59"/>
      <c r="CF3" s="57"/>
      <c r="CG3" s="243"/>
      <c r="CH3" s="244"/>
      <c r="CI3" s="45"/>
      <c r="CK3" s="63"/>
      <c r="CL3" s="45"/>
      <c r="CM3" s="54"/>
      <c r="CN3" s="57"/>
      <c r="CO3" s="243"/>
      <c r="CP3" s="244"/>
      <c r="CQ3" s="45"/>
      <c r="CS3" s="63"/>
      <c r="CT3" s="59"/>
      <c r="CU3" s="57"/>
      <c r="CV3" s="243"/>
      <c r="CW3" s="244"/>
      <c r="CX3" s="45"/>
      <c r="CZ3" s="63"/>
      <c r="DA3" s="45"/>
      <c r="DB3" s="54"/>
      <c r="DC3" s="57"/>
      <c r="DD3" s="243"/>
      <c r="DE3" s="244"/>
      <c r="DF3" s="45"/>
      <c r="DH3" s="63"/>
      <c r="DI3" s="59"/>
      <c r="DJ3" s="57"/>
      <c r="DK3" s="243"/>
      <c r="DL3" s="244"/>
      <c r="DM3" s="45"/>
      <c r="DO3" s="63"/>
      <c r="DP3" s="45"/>
      <c r="DQ3" s="54"/>
      <c r="DR3" s="57"/>
      <c r="DS3" s="243"/>
      <c r="DT3" s="244"/>
      <c r="DU3" s="45"/>
      <c r="DW3" s="63"/>
      <c r="DX3" s="59"/>
      <c r="DY3" s="57"/>
      <c r="DZ3" s="243"/>
      <c r="EA3" s="244"/>
      <c r="EB3" s="45"/>
      <c r="ED3" s="63"/>
      <c r="EE3" s="45"/>
      <c r="EF3" s="54"/>
      <c r="EG3" s="57"/>
      <c r="EH3" s="243"/>
      <c r="EI3" s="244"/>
      <c r="EJ3" s="45"/>
      <c r="EL3" s="63"/>
      <c r="EM3" s="59"/>
      <c r="EN3" s="57"/>
      <c r="EO3" s="243"/>
      <c r="EP3" s="244"/>
      <c r="EQ3" s="45"/>
      <c r="ES3" s="63"/>
      <c r="ET3" s="45"/>
    </row>
    <row r="4" spans="1:150" ht="15.6" customHeight="1">
      <c r="B4" s="48"/>
      <c r="C4" s="241"/>
      <c r="D4" s="242"/>
      <c r="E4" s="73"/>
      <c r="F4" s="237"/>
      <c r="G4" s="238"/>
      <c r="H4" s="49"/>
      <c r="I4" s="48"/>
      <c r="J4" s="241"/>
      <c r="K4" s="242"/>
      <c r="L4" s="73"/>
      <c r="M4" s="237"/>
      <c r="N4" s="238"/>
      <c r="Q4" s="48"/>
      <c r="R4" s="241"/>
      <c r="S4" s="242"/>
      <c r="T4" s="73"/>
      <c r="U4" s="237"/>
      <c r="V4" s="238"/>
      <c r="W4" s="49"/>
      <c r="X4" s="48"/>
      <c r="Y4" s="241"/>
      <c r="Z4" s="242"/>
      <c r="AA4" s="73"/>
      <c r="AB4" s="237"/>
      <c r="AC4" s="238"/>
      <c r="AF4" s="48"/>
      <c r="AG4" s="241"/>
      <c r="AH4" s="242"/>
      <c r="AI4" s="73"/>
      <c r="AJ4" s="237"/>
      <c r="AK4" s="238"/>
      <c r="AL4" s="49"/>
      <c r="AM4" s="48"/>
      <c r="AN4" s="241"/>
      <c r="AO4" s="242"/>
      <c r="AP4" s="73"/>
      <c r="AQ4" s="237"/>
      <c r="AR4" s="238"/>
      <c r="AU4" s="48"/>
      <c r="AV4" s="241"/>
      <c r="AW4" s="242"/>
      <c r="AX4" s="73"/>
      <c r="AY4" s="237"/>
      <c r="AZ4" s="238"/>
      <c r="BA4" s="49"/>
      <c r="BB4" s="48"/>
      <c r="BC4" s="241"/>
      <c r="BD4" s="242"/>
      <c r="BE4" s="73"/>
      <c r="BF4" s="237"/>
      <c r="BG4" s="238"/>
      <c r="BJ4" s="48"/>
      <c r="BK4" s="241"/>
      <c r="BL4" s="242"/>
      <c r="BM4" s="73"/>
      <c r="BN4" s="237"/>
      <c r="BO4" s="238"/>
      <c r="BP4" s="49"/>
      <c r="BQ4" s="48"/>
      <c r="BR4" s="241"/>
      <c r="BS4" s="242"/>
      <c r="BT4" s="73"/>
      <c r="BU4" s="237"/>
      <c r="BV4" s="238"/>
      <c r="BY4" s="48"/>
      <c r="BZ4" s="241"/>
      <c r="CA4" s="242"/>
      <c r="CB4" s="73"/>
      <c r="CC4" s="237"/>
      <c r="CD4" s="238"/>
      <c r="CE4" s="49"/>
      <c r="CF4" s="48"/>
      <c r="CG4" s="241"/>
      <c r="CH4" s="242"/>
      <c r="CI4" s="73"/>
      <c r="CJ4" s="237"/>
      <c r="CK4" s="238"/>
      <c r="CN4" s="48"/>
      <c r="CO4" s="241"/>
      <c r="CP4" s="242"/>
      <c r="CQ4" s="73"/>
      <c r="CR4" s="237"/>
      <c r="CS4" s="238"/>
      <c r="CT4" s="49"/>
      <c r="CU4" s="48"/>
      <c r="CV4" s="241"/>
      <c r="CW4" s="242"/>
      <c r="CX4" s="73"/>
      <c r="CY4" s="237"/>
      <c r="CZ4" s="238"/>
      <c r="DC4" s="48"/>
      <c r="DD4" s="241"/>
      <c r="DE4" s="242"/>
      <c r="DF4" s="73"/>
      <c r="DG4" s="237"/>
      <c r="DH4" s="238"/>
      <c r="DI4" s="49"/>
      <c r="DJ4" s="48"/>
      <c r="DK4" s="241"/>
      <c r="DL4" s="242"/>
      <c r="DM4" s="73"/>
      <c r="DN4" s="237"/>
      <c r="DO4" s="238"/>
      <c r="DR4" s="48"/>
      <c r="DS4" s="241"/>
      <c r="DT4" s="242"/>
      <c r="DU4" s="73"/>
      <c r="DV4" s="237"/>
      <c r="DW4" s="238"/>
      <c r="DX4" s="49"/>
      <c r="DY4" s="48"/>
      <c r="DZ4" s="241"/>
      <c r="EA4" s="242"/>
      <c r="EB4" s="73"/>
      <c r="EC4" s="237"/>
      <c r="ED4" s="238"/>
      <c r="EG4" s="48"/>
      <c r="EH4" s="241"/>
      <c r="EI4" s="242"/>
      <c r="EJ4" s="73"/>
      <c r="EK4" s="237"/>
      <c r="EL4" s="238"/>
      <c r="EM4" s="49"/>
      <c r="EN4" s="48"/>
      <c r="EO4" s="241"/>
      <c r="EP4" s="242"/>
      <c r="EQ4" s="73"/>
      <c r="ER4" s="237"/>
      <c r="ES4" s="238"/>
    </row>
    <row r="5" spans="1:150" ht="15.6" customHeight="1">
      <c r="B5" s="50"/>
      <c r="C5" s="239"/>
      <c r="D5" s="239"/>
      <c r="E5" s="67"/>
      <c r="F5" s="239"/>
      <c r="G5" s="240"/>
      <c r="H5" s="49"/>
      <c r="I5" s="50"/>
      <c r="J5" s="239"/>
      <c r="K5" s="239"/>
      <c r="L5" s="67"/>
      <c r="M5" s="239"/>
      <c r="N5" s="240"/>
      <c r="Q5" s="50"/>
      <c r="R5" s="239"/>
      <c r="S5" s="239"/>
      <c r="T5" s="67"/>
      <c r="U5" s="239"/>
      <c r="V5" s="240"/>
      <c r="W5" s="49"/>
      <c r="X5" s="50"/>
      <c r="Y5" s="239"/>
      <c r="Z5" s="239"/>
      <c r="AA5" s="67"/>
      <c r="AB5" s="239"/>
      <c r="AC5" s="240"/>
      <c r="AF5" s="50"/>
      <c r="AG5" s="239"/>
      <c r="AH5" s="239"/>
      <c r="AI5" s="67"/>
      <c r="AJ5" s="239"/>
      <c r="AK5" s="240"/>
      <c r="AL5" s="49"/>
      <c r="AM5" s="50"/>
      <c r="AN5" s="239"/>
      <c r="AO5" s="239"/>
      <c r="AP5" s="67"/>
      <c r="AQ5" s="239"/>
      <c r="AR5" s="240"/>
      <c r="AU5" s="50"/>
      <c r="AV5" s="239"/>
      <c r="AW5" s="239"/>
      <c r="AX5" s="67"/>
      <c r="AY5" s="239"/>
      <c r="AZ5" s="240"/>
      <c r="BA5" s="49"/>
      <c r="BB5" s="50"/>
      <c r="BC5" s="239"/>
      <c r="BD5" s="239"/>
      <c r="BE5" s="67"/>
      <c r="BF5" s="239"/>
      <c r="BG5" s="240"/>
      <c r="BJ5" s="50"/>
      <c r="BK5" s="239"/>
      <c r="BL5" s="239"/>
      <c r="BM5" s="67"/>
      <c r="BN5" s="239"/>
      <c r="BO5" s="240"/>
      <c r="BP5" s="49"/>
      <c r="BQ5" s="50"/>
      <c r="BR5" s="239"/>
      <c r="BS5" s="239"/>
      <c r="BT5" s="67"/>
      <c r="BU5" s="239"/>
      <c r="BV5" s="240"/>
      <c r="BY5" s="50"/>
      <c r="BZ5" s="239"/>
      <c r="CA5" s="239"/>
      <c r="CB5" s="67"/>
      <c r="CC5" s="239"/>
      <c r="CD5" s="240"/>
      <c r="CE5" s="49"/>
      <c r="CF5" s="50"/>
      <c r="CG5" s="239"/>
      <c r="CH5" s="239"/>
      <c r="CI5" s="67"/>
      <c r="CJ5" s="239"/>
      <c r="CK5" s="240"/>
      <c r="CN5" s="50"/>
      <c r="CO5" s="239"/>
      <c r="CP5" s="239"/>
      <c r="CQ5" s="67"/>
      <c r="CR5" s="239"/>
      <c r="CS5" s="240"/>
      <c r="CT5" s="49"/>
      <c r="CU5" s="50"/>
      <c r="CV5" s="239"/>
      <c r="CW5" s="239"/>
      <c r="CX5" s="67"/>
      <c r="CY5" s="239"/>
      <c r="CZ5" s="240"/>
      <c r="DC5" s="50"/>
      <c r="DD5" s="239"/>
      <c r="DE5" s="239"/>
      <c r="DF5" s="67"/>
      <c r="DG5" s="239"/>
      <c r="DH5" s="240"/>
      <c r="DI5" s="49"/>
      <c r="DJ5" s="50"/>
      <c r="DK5" s="239"/>
      <c r="DL5" s="239"/>
      <c r="DM5" s="67"/>
      <c r="DN5" s="239"/>
      <c r="DO5" s="240"/>
      <c r="DR5" s="50"/>
      <c r="DS5" s="239"/>
      <c r="DT5" s="239"/>
      <c r="DU5" s="67"/>
      <c r="DV5" s="239"/>
      <c r="DW5" s="240"/>
      <c r="DX5" s="49"/>
      <c r="DY5" s="50"/>
      <c r="DZ5" s="239"/>
      <c r="EA5" s="239"/>
      <c r="EB5" s="67"/>
      <c r="EC5" s="239"/>
      <c r="ED5" s="240"/>
      <c r="EG5" s="50"/>
      <c r="EH5" s="239"/>
      <c r="EI5" s="239"/>
      <c r="EJ5" s="67"/>
      <c r="EK5" s="239"/>
      <c r="EL5" s="240"/>
      <c r="EM5" s="49"/>
      <c r="EN5" s="50"/>
      <c r="EO5" s="239"/>
      <c r="EP5" s="239"/>
      <c r="EQ5" s="67"/>
      <c r="ER5" s="239"/>
      <c r="ES5" s="240"/>
    </row>
    <row r="6" spans="1:150" s="55" customFormat="1">
      <c r="A6" s="54"/>
      <c r="B6" s="60"/>
      <c r="C6" s="58"/>
      <c r="D6" s="60"/>
      <c r="E6" s="58"/>
      <c r="F6" s="60"/>
      <c r="G6" s="63"/>
      <c r="H6" s="45"/>
      <c r="I6" s="60"/>
      <c r="J6" s="58"/>
      <c r="K6" s="60"/>
      <c r="L6" s="58"/>
      <c r="M6" s="60"/>
      <c r="N6" s="63"/>
      <c r="O6" s="45"/>
      <c r="P6" s="54"/>
      <c r="Q6" s="60"/>
      <c r="R6" s="58"/>
      <c r="S6" s="60"/>
      <c r="T6" s="58"/>
      <c r="U6" s="60"/>
      <c r="V6" s="63"/>
      <c r="W6" s="45"/>
      <c r="X6" s="60"/>
      <c r="Y6" s="58"/>
      <c r="Z6" s="60"/>
      <c r="AA6" s="58"/>
      <c r="AB6" s="60"/>
      <c r="AC6" s="63"/>
      <c r="AD6" s="45"/>
      <c r="AE6" s="54"/>
      <c r="AF6" s="60"/>
      <c r="AG6" s="58"/>
      <c r="AH6" s="60"/>
      <c r="AI6" s="58"/>
      <c r="AJ6" s="60"/>
      <c r="AK6" s="63"/>
      <c r="AL6" s="45"/>
      <c r="AM6" s="60"/>
      <c r="AN6" s="58"/>
      <c r="AO6" s="60"/>
      <c r="AP6" s="58"/>
      <c r="AQ6" s="60"/>
      <c r="AR6" s="63"/>
      <c r="AS6" s="45"/>
      <c r="AT6" s="54"/>
      <c r="AU6" s="60"/>
      <c r="AV6" s="58"/>
      <c r="AW6" s="60"/>
      <c r="AX6" s="58"/>
      <c r="AY6" s="60"/>
      <c r="AZ6" s="63"/>
      <c r="BA6" s="45"/>
      <c r="BB6" s="60"/>
      <c r="BC6" s="58"/>
      <c r="BD6" s="60"/>
      <c r="BE6" s="58"/>
      <c r="BF6" s="60"/>
      <c r="BG6" s="63"/>
      <c r="BH6" s="45"/>
      <c r="BI6" s="54"/>
      <c r="BJ6" s="60"/>
      <c r="BK6" s="58"/>
      <c r="BL6" s="60"/>
      <c r="BM6" s="58"/>
      <c r="BN6" s="60"/>
      <c r="BO6" s="63"/>
      <c r="BP6" s="45"/>
      <c r="BQ6" s="60"/>
      <c r="BR6" s="58"/>
      <c r="BS6" s="60"/>
      <c r="BT6" s="58"/>
      <c r="BU6" s="60"/>
      <c r="BV6" s="63"/>
      <c r="BW6" s="45"/>
      <c r="BX6" s="54"/>
      <c r="BY6" s="60"/>
      <c r="BZ6" s="58"/>
      <c r="CA6" s="60"/>
      <c r="CB6" s="58"/>
      <c r="CC6" s="60"/>
      <c r="CD6" s="63"/>
      <c r="CE6" s="45"/>
      <c r="CF6" s="60"/>
      <c r="CG6" s="58"/>
      <c r="CH6" s="60"/>
      <c r="CI6" s="58"/>
      <c r="CJ6" s="60"/>
      <c r="CK6" s="63"/>
      <c r="CL6" s="45"/>
      <c r="CM6" s="54"/>
      <c r="CN6" s="60"/>
      <c r="CO6" s="58"/>
      <c r="CP6" s="60"/>
      <c r="CQ6" s="58"/>
      <c r="CR6" s="60"/>
      <c r="CS6" s="63"/>
      <c r="CT6" s="45"/>
      <c r="CU6" s="60"/>
      <c r="CV6" s="58"/>
      <c r="CW6" s="60"/>
      <c r="CX6" s="58"/>
      <c r="CY6" s="60"/>
      <c r="CZ6" s="63"/>
      <c r="DA6" s="45"/>
      <c r="DB6" s="54"/>
      <c r="DC6" s="60"/>
      <c r="DD6" s="58"/>
      <c r="DE6" s="60"/>
      <c r="DF6" s="58"/>
      <c r="DG6" s="60"/>
      <c r="DH6" s="63"/>
      <c r="DI6" s="45"/>
      <c r="DJ6" s="60"/>
      <c r="DK6" s="58"/>
      <c r="DL6" s="60"/>
      <c r="DM6" s="58"/>
      <c r="DN6" s="60"/>
      <c r="DO6" s="63"/>
      <c r="DP6" s="45"/>
      <c r="DQ6" s="54"/>
      <c r="DR6" s="60"/>
      <c r="DS6" s="58"/>
      <c r="DT6" s="60"/>
      <c r="DU6" s="58"/>
      <c r="DV6" s="60"/>
      <c r="DW6" s="63"/>
      <c r="DX6" s="45"/>
      <c r="DY6" s="60"/>
      <c r="DZ6" s="58"/>
      <c r="EA6" s="60"/>
      <c r="EB6" s="58"/>
      <c r="EC6" s="60"/>
      <c r="ED6" s="63"/>
      <c r="EE6" s="45"/>
      <c r="EF6" s="54"/>
      <c r="EG6" s="60"/>
      <c r="EH6" s="58"/>
      <c r="EI6" s="60"/>
      <c r="EJ6" s="58"/>
      <c r="EK6" s="60"/>
      <c r="EL6" s="63"/>
      <c r="EM6" s="45"/>
      <c r="EN6" s="60"/>
      <c r="EO6" s="58"/>
      <c r="EP6" s="60"/>
      <c r="EQ6" s="58"/>
      <c r="ER6" s="60"/>
      <c r="ES6" s="63"/>
      <c r="ET6" s="45"/>
    </row>
    <row r="7" spans="1:150" ht="27.6" customHeight="1">
      <c r="B7" s="247"/>
      <c r="C7" s="240"/>
      <c r="D7" s="247"/>
      <c r="E7" s="240"/>
      <c r="F7" s="248"/>
      <c r="G7" s="240"/>
      <c r="I7" s="247"/>
      <c r="J7" s="240"/>
      <c r="K7" s="247"/>
      <c r="L7" s="240"/>
      <c r="M7" s="248"/>
      <c r="N7" s="240"/>
      <c r="Q7" s="247"/>
      <c r="R7" s="240"/>
      <c r="S7" s="247"/>
      <c r="T7" s="240"/>
      <c r="U7" s="248"/>
      <c r="V7" s="240"/>
      <c r="X7" s="247"/>
      <c r="Y7" s="240"/>
      <c r="Z7" s="247"/>
      <c r="AA7" s="240"/>
      <c r="AB7" s="248"/>
      <c r="AC7" s="240"/>
      <c r="AF7" s="247"/>
      <c r="AG7" s="240"/>
      <c r="AH7" s="247"/>
      <c r="AI7" s="240"/>
      <c r="AJ7" s="248"/>
      <c r="AK7" s="240"/>
      <c r="AM7" s="247"/>
      <c r="AN7" s="240"/>
      <c r="AO7" s="247"/>
      <c r="AP7" s="240"/>
      <c r="AQ7" s="248"/>
      <c r="AR7" s="240"/>
      <c r="AU7" s="247"/>
      <c r="AV7" s="240"/>
      <c r="AW7" s="247"/>
      <c r="AX7" s="240"/>
      <c r="AY7" s="248"/>
      <c r="AZ7" s="240"/>
      <c r="BB7" s="247"/>
      <c r="BC7" s="240"/>
      <c r="BD7" s="247"/>
      <c r="BE7" s="240"/>
      <c r="BF7" s="248"/>
      <c r="BG7" s="240"/>
      <c r="BJ7" s="247"/>
      <c r="BK7" s="240"/>
      <c r="BL7" s="247"/>
      <c r="BM7" s="240"/>
      <c r="BN7" s="248"/>
      <c r="BO7" s="240"/>
      <c r="BQ7" s="247"/>
      <c r="BR7" s="240"/>
      <c r="BS7" s="247"/>
      <c r="BT7" s="240"/>
      <c r="BU7" s="248"/>
      <c r="BV7" s="240"/>
      <c r="BY7" s="247"/>
      <c r="BZ7" s="240"/>
      <c r="CA7" s="247"/>
      <c r="CB7" s="240"/>
      <c r="CC7" s="248"/>
      <c r="CD7" s="240"/>
      <c r="CF7" s="247"/>
      <c r="CG7" s="240"/>
      <c r="CH7" s="247"/>
      <c r="CI7" s="240"/>
      <c r="CJ7" s="248"/>
      <c r="CK7" s="240"/>
      <c r="CN7" s="247"/>
      <c r="CO7" s="240"/>
      <c r="CP7" s="247"/>
      <c r="CQ7" s="240"/>
      <c r="CR7" s="248"/>
      <c r="CS7" s="240"/>
      <c r="CU7" s="247"/>
      <c r="CV7" s="240"/>
      <c r="CW7" s="247"/>
      <c r="CX7" s="240"/>
      <c r="CY7" s="248"/>
      <c r="CZ7" s="240"/>
      <c r="DC7" s="247"/>
      <c r="DD7" s="240"/>
      <c r="DE7" s="247"/>
      <c r="DF7" s="240"/>
      <c r="DG7" s="248"/>
      <c r="DH7" s="240"/>
      <c r="DJ7" s="247"/>
      <c r="DK7" s="240"/>
      <c r="DL7" s="247"/>
      <c r="DM7" s="240"/>
      <c r="DN7" s="248"/>
      <c r="DO7" s="240"/>
      <c r="DR7" s="247"/>
      <c r="DS7" s="240"/>
      <c r="DT7" s="247"/>
      <c r="DU7" s="240"/>
      <c r="DV7" s="248"/>
      <c r="DW7" s="240"/>
      <c r="DY7" s="247"/>
      <c r="DZ7" s="240"/>
      <c r="EA7" s="247"/>
      <c r="EB7" s="240"/>
      <c r="EC7" s="248"/>
      <c r="ED7" s="240"/>
      <c r="EG7" s="247"/>
      <c r="EH7" s="240"/>
      <c r="EI7" s="247"/>
      <c r="EJ7" s="240"/>
      <c r="EK7" s="248"/>
      <c r="EL7" s="240"/>
      <c r="EN7" s="247"/>
      <c r="EO7" s="240"/>
      <c r="EP7" s="247"/>
      <c r="EQ7" s="240"/>
      <c r="ER7" s="248"/>
      <c r="ES7" s="240"/>
    </row>
    <row r="8" spans="1:150" ht="6.6" customHeight="1">
      <c r="B8" s="68"/>
      <c r="D8" s="68"/>
      <c r="F8" s="69"/>
      <c r="I8" s="68"/>
      <c r="K8" s="68"/>
      <c r="M8" s="69"/>
      <c r="Q8" s="68"/>
      <c r="S8" s="68"/>
      <c r="U8" s="69"/>
      <c r="X8" s="68"/>
      <c r="Z8" s="68"/>
      <c r="AB8" s="69"/>
      <c r="AF8" s="68"/>
      <c r="AH8" s="68"/>
      <c r="AJ8" s="69"/>
      <c r="AM8" s="68"/>
      <c r="AO8" s="68"/>
      <c r="AQ8" s="69"/>
      <c r="AU8" s="68"/>
      <c r="AW8" s="68"/>
      <c r="AY8" s="69"/>
      <c r="BB8" s="68"/>
      <c r="BD8" s="68"/>
      <c r="BF8" s="69"/>
      <c r="BJ8" s="68"/>
      <c r="BL8" s="68"/>
      <c r="BN8" s="69"/>
      <c r="BQ8" s="68"/>
      <c r="BS8" s="68"/>
      <c r="BU8" s="69"/>
      <c r="BY8" s="68"/>
      <c r="CA8" s="68"/>
      <c r="CC8" s="69"/>
      <c r="CF8" s="68"/>
      <c r="CH8" s="68"/>
      <c r="CJ8" s="69"/>
      <c r="CN8" s="68"/>
      <c r="CP8" s="68"/>
      <c r="CR8" s="69"/>
      <c r="CU8" s="68"/>
      <c r="CW8" s="68"/>
      <c r="CY8" s="69"/>
      <c r="DC8" s="68"/>
      <c r="DE8" s="68"/>
      <c r="DG8" s="69"/>
      <c r="DJ8" s="68"/>
      <c r="DL8" s="68"/>
      <c r="DN8" s="69"/>
      <c r="DR8" s="68"/>
      <c r="DT8" s="68"/>
      <c r="DV8" s="69"/>
      <c r="DY8" s="68"/>
      <c r="EA8" s="68"/>
      <c r="EC8" s="69"/>
      <c r="EG8" s="68"/>
      <c r="EI8" s="68"/>
      <c r="EK8" s="69"/>
      <c r="EN8" s="68"/>
      <c r="EP8" s="68"/>
      <c r="ER8" s="69"/>
    </row>
    <row r="9" spans="1:150" s="55" customFormat="1" ht="25.8" customHeight="1">
      <c r="A9" s="54"/>
      <c r="B9" s="66"/>
      <c r="C9" s="245"/>
      <c r="D9" s="246"/>
      <c r="E9" s="246"/>
      <c r="F9" s="246"/>
      <c r="G9" s="65"/>
      <c r="H9" s="59"/>
      <c r="I9" s="66"/>
      <c r="J9" s="245"/>
      <c r="K9" s="246"/>
      <c r="L9" s="246"/>
      <c r="M9" s="246"/>
      <c r="N9" s="65"/>
      <c r="O9" s="45"/>
      <c r="P9" s="54"/>
      <c r="Q9" s="66"/>
      <c r="R9" s="245"/>
      <c r="S9" s="246"/>
      <c r="T9" s="246"/>
      <c r="U9" s="246"/>
      <c r="V9" s="65"/>
      <c r="W9" s="59"/>
      <c r="X9" s="66"/>
      <c r="Y9" s="245"/>
      <c r="Z9" s="246"/>
      <c r="AA9" s="246"/>
      <c r="AB9" s="246"/>
      <c r="AC9" s="65"/>
      <c r="AD9" s="45"/>
      <c r="AE9" s="54"/>
      <c r="AF9" s="66"/>
      <c r="AG9" s="245"/>
      <c r="AH9" s="246"/>
      <c r="AI9" s="246"/>
      <c r="AJ9" s="246"/>
      <c r="AK9" s="65"/>
      <c r="AL9" s="59"/>
      <c r="AM9" s="66"/>
      <c r="AN9" s="245"/>
      <c r="AO9" s="246"/>
      <c r="AP9" s="246"/>
      <c r="AQ9" s="246"/>
      <c r="AR9" s="65"/>
      <c r="AS9" s="45"/>
      <c r="AT9" s="54"/>
      <c r="AU9" s="66"/>
      <c r="AV9" s="245"/>
      <c r="AW9" s="246"/>
      <c r="AX9" s="246"/>
      <c r="AY9" s="246"/>
      <c r="AZ9" s="65"/>
      <c r="BA9" s="59"/>
      <c r="BB9" s="66"/>
      <c r="BC9" s="245"/>
      <c r="BD9" s="246"/>
      <c r="BE9" s="246"/>
      <c r="BF9" s="246"/>
      <c r="BG9" s="65"/>
      <c r="BH9" s="45"/>
      <c r="BI9" s="54"/>
      <c r="BJ9" s="66"/>
      <c r="BK9" s="245"/>
      <c r="BL9" s="246"/>
      <c r="BM9" s="246"/>
      <c r="BN9" s="246"/>
      <c r="BO9" s="65"/>
      <c r="BP9" s="59"/>
      <c r="BQ9" s="66"/>
      <c r="BR9" s="245"/>
      <c r="BS9" s="246"/>
      <c r="BT9" s="246"/>
      <c r="BU9" s="246"/>
      <c r="BV9" s="65"/>
      <c r="BW9" s="45"/>
      <c r="BX9" s="54"/>
      <c r="BY9" s="66"/>
      <c r="BZ9" s="245"/>
      <c r="CA9" s="246"/>
      <c r="CB9" s="246"/>
      <c r="CC9" s="246"/>
      <c r="CD9" s="65"/>
      <c r="CE9" s="59"/>
      <c r="CF9" s="66"/>
      <c r="CG9" s="245"/>
      <c r="CH9" s="246"/>
      <c r="CI9" s="246"/>
      <c r="CJ9" s="246"/>
      <c r="CK9" s="65"/>
      <c r="CL9" s="45"/>
      <c r="CM9" s="54"/>
      <c r="CN9" s="66"/>
      <c r="CO9" s="245"/>
      <c r="CP9" s="246"/>
      <c r="CQ9" s="246"/>
      <c r="CR9" s="246"/>
      <c r="CS9" s="65"/>
      <c r="CT9" s="59"/>
      <c r="CU9" s="66"/>
      <c r="CV9" s="245"/>
      <c r="CW9" s="246"/>
      <c r="CX9" s="246"/>
      <c r="CY9" s="246"/>
      <c r="CZ9" s="65"/>
      <c r="DA9" s="45"/>
      <c r="DB9" s="54"/>
      <c r="DC9" s="66"/>
      <c r="DD9" s="245"/>
      <c r="DE9" s="246"/>
      <c r="DF9" s="246"/>
      <c r="DG9" s="246"/>
      <c r="DH9" s="65"/>
      <c r="DI9" s="59"/>
      <c r="DJ9" s="66"/>
      <c r="DK9" s="245"/>
      <c r="DL9" s="246"/>
      <c r="DM9" s="246"/>
      <c r="DN9" s="246"/>
      <c r="DO9" s="65"/>
      <c r="DP9" s="45"/>
      <c r="DQ9" s="54"/>
      <c r="DR9" s="66"/>
      <c r="DS9" s="245"/>
      <c r="DT9" s="246"/>
      <c r="DU9" s="246"/>
      <c r="DV9" s="246"/>
      <c r="DW9" s="65"/>
      <c r="DX9" s="59"/>
      <c r="DY9" s="66"/>
      <c r="DZ9" s="245"/>
      <c r="EA9" s="246"/>
      <c r="EB9" s="246"/>
      <c r="EC9" s="246"/>
      <c r="ED9" s="65"/>
      <c r="EE9" s="45"/>
      <c r="EF9" s="54"/>
      <c r="EG9" s="66"/>
      <c r="EH9" s="245"/>
      <c r="EI9" s="246"/>
      <c r="EJ9" s="246"/>
      <c r="EK9" s="246"/>
      <c r="EL9" s="65"/>
      <c r="EM9" s="59"/>
      <c r="EN9" s="66"/>
      <c r="EO9" s="245"/>
      <c r="EP9" s="246"/>
      <c r="EQ9" s="246"/>
      <c r="ER9" s="246"/>
      <c r="ES9" s="65"/>
      <c r="ET9" s="45"/>
    </row>
    <row r="10" spans="1:150" s="55" customFormat="1">
      <c r="A10" s="54"/>
      <c r="B10" s="56"/>
      <c r="C10" s="70"/>
      <c r="D10" s="64"/>
      <c r="E10" s="64"/>
      <c r="F10" s="71"/>
      <c r="G10" s="62"/>
      <c r="H10" s="72"/>
      <c r="I10" s="56"/>
      <c r="J10" s="70"/>
      <c r="K10" s="64"/>
      <c r="L10" s="64"/>
      <c r="M10" s="71"/>
      <c r="N10" s="62"/>
      <c r="O10" s="45"/>
      <c r="P10" s="54"/>
      <c r="Q10" s="56"/>
      <c r="R10" s="70"/>
      <c r="S10" s="64"/>
      <c r="T10" s="64"/>
      <c r="U10" s="71"/>
      <c r="V10" s="62"/>
      <c r="W10" s="72"/>
      <c r="X10" s="56"/>
      <c r="Y10" s="70"/>
      <c r="Z10" s="64"/>
      <c r="AA10" s="64"/>
      <c r="AB10" s="71"/>
      <c r="AC10" s="62"/>
      <c r="AD10" s="45"/>
      <c r="AE10" s="54"/>
      <c r="AF10" s="56"/>
      <c r="AG10" s="70"/>
      <c r="AH10" s="64"/>
      <c r="AI10" s="64"/>
      <c r="AJ10" s="71"/>
      <c r="AK10" s="62"/>
      <c r="AL10" s="72"/>
      <c r="AM10" s="56"/>
      <c r="AN10" s="70"/>
      <c r="AO10" s="64"/>
      <c r="AP10" s="64"/>
      <c r="AQ10" s="71"/>
      <c r="AR10" s="62"/>
      <c r="AS10" s="45"/>
      <c r="AT10" s="54"/>
      <c r="AU10" s="56"/>
      <c r="AV10" s="70"/>
      <c r="AW10" s="64"/>
      <c r="AX10" s="64"/>
      <c r="AY10" s="71"/>
      <c r="AZ10" s="62"/>
      <c r="BA10" s="72"/>
      <c r="BB10" s="56"/>
      <c r="BC10" s="70"/>
      <c r="BD10" s="64"/>
      <c r="BE10" s="64"/>
      <c r="BF10" s="71"/>
      <c r="BG10" s="62"/>
      <c r="BH10" s="45"/>
      <c r="BI10" s="54"/>
      <c r="BJ10" s="56"/>
      <c r="BK10" s="70"/>
      <c r="BL10" s="64"/>
      <c r="BM10" s="64"/>
      <c r="BN10" s="71"/>
      <c r="BO10" s="62"/>
      <c r="BP10" s="72"/>
      <c r="BQ10" s="56"/>
      <c r="BR10" s="70"/>
      <c r="BS10" s="64"/>
      <c r="BT10" s="64"/>
      <c r="BU10" s="71"/>
      <c r="BV10" s="62"/>
      <c r="BW10" s="45"/>
      <c r="BX10" s="54"/>
      <c r="BY10" s="56"/>
      <c r="BZ10" s="70"/>
      <c r="CA10" s="64"/>
      <c r="CB10" s="64"/>
      <c r="CC10" s="71"/>
      <c r="CD10" s="62"/>
      <c r="CE10" s="72"/>
      <c r="CF10" s="56"/>
      <c r="CG10" s="70"/>
      <c r="CH10" s="64"/>
      <c r="CI10" s="64"/>
      <c r="CJ10" s="71"/>
      <c r="CK10" s="62"/>
      <c r="CL10" s="45"/>
      <c r="CM10" s="54"/>
      <c r="CN10" s="56"/>
      <c r="CO10" s="70"/>
      <c r="CP10" s="64"/>
      <c r="CQ10" s="64"/>
      <c r="CR10" s="71"/>
      <c r="CS10" s="62"/>
      <c r="CT10" s="72"/>
      <c r="CU10" s="56"/>
      <c r="CV10" s="70"/>
      <c r="CW10" s="64"/>
      <c r="CX10" s="64"/>
      <c r="CY10" s="71"/>
      <c r="CZ10" s="62"/>
      <c r="DA10" s="45"/>
      <c r="DB10" s="54"/>
      <c r="DC10" s="56"/>
      <c r="DD10" s="70"/>
      <c r="DE10" s="64"/>
      <c r="DF10" s="64"/>
      <c r="DG10" s="71"/>
      <c r="DH10" s="62"/>
      <c r="DI10" s="72"/>
      <c r="DJ10" s="56"/>
      <c r="DK10" s="70"/>
      <c r="DL10" s="64"/>
      <c r="DM10" s="64"/>
      <c r="DN10" s="71"/>
      <c r="DO10" s="62"/>
      <c r="DP10" s="45"/>
      <c r="DQ10" s="54"/>
      <c r="DR10" s="56"/>
      <c r="DS10" s="70"/>
      <c r="DT10" s="64"/>
      <c r="DU10" s="64"/>
      <c r="DV10" s="71"/>
      <c r="DW10" s="62"/>
      <c r="DX10" s="72"/>
      <c r="DY10" s="56"/>
      <c r="DZ10" s="70"/>
      <c r="EA10" s="64"/>
      <c r="EB10" s="64"/>
      <c r="EC10" s="71"/>
      <c r="ED10" s="62"/>
      <c r="EE10" s="45"/>
      <c r="EF10" s="54"/>
      <c r="EG10" s="56"/>
      <c r="EH10" s="70"/>
      <c r="EI10" s="64"/>
      <c r="EJ10" s="64"/>
      <c r="EK10" s="71"/>
      <c r="EL10" s="62"/>
      <c r="EM10" s="72"/>
      <c r="EN10" s="56"/>
      <c r="EO10" s="70"/>
      <c r="EP10" s="64"/>
      <c r="EQ10" s="64"/>
      <c r="ER10" s="71"/>
      <c r="ES10" s="62"/>
      <c r="ET10" s="45"/>
    </row>
    <row r="11" spans="1:150" s="55" customFormat="1">
      <c r="A11" s="54"/>
      <c r="B11" s="57"/>
      <c r="C11" s="243"/>
      <c r="D11" s="244"/>
      <c r="E11" s="45"/>
      <c r="G11" s="63"/>
      <c r="H11" s="59"/>
      <c r="I11" s="57"/>
      <c r="J11" s="243"/>
      <c r="K11" s="244"/>
      <c r="L11" s="45"/>
      <c r="N11" s="63"/>
      <c r="O11" s="45"/>
      <c r="P11" s="54"/>
      <c r="Q11" s="57"/>
      <c r="R11" s="243"/>
      <c r="S11" s="244"/>
      <c r="T11" s="45"/>
      <c r="V11" s="63"/>
      <c r="W11" s="59"/>
      <c r="X11" s="57"/>
      <c r="Y11" s="243"/>
      <c r="Z11" s="244"/>
      <c r="AA11" s="45"/>
      <c r="AC11" s="63"/>
      <c r="AD11" s="45"/>
      <c r="AE11" s="54"/>
      <c r="AF11" s="57"/>
      <c r="AG11" s="243"/>
      <c r="AH11" s="244"/>
      <c r="AI11" s="45"/>
      <c r="AK11" s="63"/>
      <c r="AL11" s="59"/>
      <c r="AM11" s="57"/>
      <c r="AN11" s="243"/>
      <c r="AO11" s="244"/>
      <c r="AP11" s="45"/>
      <c r="AR11" s="63"/>
      <c r="AS11" s="45"/>
      <c r="AT11" s="54"/>
      <c r="AU11" s="57"/>
      <c r="AV11" s="243"/>
      <c r="AW11" s="244"/>
      <c r="AX11" s="45"/>
      <c r="AZ11" s="63"/>
      <c r="BA11" s="59"/>
      <c r="BB11" s="57"/>
      <c r="BC11" s="243"/>
      <c r="BD11" s="244"/>
      <c r="BE11" s="45"/>
      <c r="BG11" s="63"/>
      <c r="BH11" s="45"/>
      <c r="BI11" s="54"/>
      <c r="BJ11" s="57"/>
      <c r="BK11" s="243"/>
      <c r="BL11" s="244"/>
      <c r="BM11" s="45"/>
      <c r="BO11" s="63"/>
      <c r="BP11" s="59"/>
      <c r="BQ11" s="57"/>
      <c r="BR11" s="243"/>
      <c r="BS11" s="244"/>
      <c r="BT11" s="45"/>
      <c r="BV11" s="63"/>
      <c r="BW11" s="45"/>
      <c r="BX11" s="54"/>
      <c r="BY11" s="57"/>
      <c r="BZ11" s="243"/>
      <c r="CA11" s="244"/>
      <c r="CB11" s="45"/>
      <c r="CD11" s="63"/>
      <c r="CE11" s="59"/>
      <c r="CF11" s="57"/>
      <c r="CG11" s="243"/>
      <c r="CH11" s="244"/>
      <c r="CI11" s="45"/>
      <c r="CK11" s="63"/>
      <c r="CL11" s="45"/>
      <c r="CM11" s="54"/>
      <c r="CN11" s="57"/>
      <c r="CO11" s="243"/>
      <c r="CP11" s="244"/>
      <c r="CQ11" s="45"/>
      <c r="CS11" s="63"/>
      <c r="CT11" s="59"/>
      <c r="CU11" s="57"/>
      <c r="CV11" s="243"/>
      <c r="CW11" s="244"/>
      <c r="CX11" s="45"/>
      <c r="CZ11" s="63"/>
      <c r="DA11" s="45"/>
      <c r="DB11" s="54"/>
      <c r="DC11" s="57"/>
      <c r="DD11" s="243"/>
      <c r="DE11" s="244"/>
      <c r="DF11" s="45"/>
      <c r="DH11" s="63"/>
      <c r="DI11" s="59"/>
      <c r="DJ11" s="57"/>
      <c r="DK11" s="243"/>
      <c r="DL11" s="244"/>
      <c r="DM11" s="45"/>
      <c r="DO11" s="63"/>
      <c r="DP11" s="45"/>
      <c r="DQ11" s="54"/>
      <c r="DR11" s="57"/>
      <c r="DS11" s="243"/>
      <c r="DT11" s="244"/>
      <c r="DU11" s="45"/>
      <c r="DW11" s="63"/>
      <c r="DX11" s="59"/>
      <c r="DY11" s="57"/>
      <c r="DZ11" s="243"/>
      <c r="EA11" s="244"/>
      <c r="EB11" s="45"/>
      <c r="ED11" s="63"/>
      <c r="EE11" s="45"/>
      <c r="EF11" s="54"/>
      <c r="EG11" s="57"/>
      <c r="EH11" s="243"/>
      <c r="EI11" s="244"/>
      <c r="EJ11" s="45"/>
      <c r="EL11" s="63"/>
      <c r="EM11" s="59"/>
      <c r="EN11" s="57"/>
      <c r="EO11" s="243"/>
      <c r="EP11" s="244"/>
      <c r="EQ11" s="45"/>
      <c r="ES11" s="63"/>
      <c r="ET11" s="45"/>
    </row>
    <row r="12" spans="1:150" ht="15.6" customHeight="1">
      <c r="B12" s="48"/>
      <c r="C12" s="241"/>
      <c r="D12" s="242"/>
      <c r="E12" s="73"/>
      <c r="F12" s="237"/>
      <c r="G12" s="238"/>
      <c r="H12" s="49"/>
      <c r="I12" s="48"/>
      <c r="J12" s="241"/>
      <c r="K12" s="242"/>
      <c r="L12" s="73"/>
      <c r="M12" s="237"/>
      <c r="N12" s="238"/>
      <c r="Q12" s="48"/>
      <c r="R12" s="241"/>
      <c r="S12" s="242"/>
      <c r="T12" s="73"/>
      <c r="U12" s="237"/>
      <c r="V12" s="238"/>
      <c r="W12" s="49"/>
      <c r="X12" s="48"/>
      <c r="Y12" s="241"/>
      <c r="Z12" s="242"/>
      <c r="AA12" s="73"/>
      <c r="AB12" s="237"/>
      <c r="AC12" s="238"/>
      <c r="AF12" s="48"/>
      <c r="AG12" s="241"/>
      <c r="AH12" s="242"/>
      <c r="AI12" s="73"/>
      <c r="AJ12" s="237"/>
      <c r="AK12" s="238"/>
      <c r="AL12" s="49"/>
      <c r="AM12" s="48"/>
      <c r="AN12" s="241"/>
      <c r="AO12" s="242"/>
      <c r="AP12" s="73"/>
      <c r="AQ12" s="237"/>
      <c r="AR12" s="238"/>
      <c r="AU12" s="48"/>
      <c r="AV12" s="241"/>
      <c r="AW12" s="242"/>
      <c r="AX12" s="73"/>
      <c r="AY12" s="237"/>
      <c r="AZ12" s="238"/>
      <c r="BA12" s="49"/>
      <c r="BB12" s="48"/>
      <c r="BC12" s="241"/>
      <c r="BD12" s="242"/>
      <c r="BE12" s="73"/>
      <c r="BF12" s="237"/>
      <c r="BG12" s="238"/>
      <c r="BJ12" s="48"/>
      <c r="BK12" s="241"/>
      <c r="BL12" s="242"/>
      <c r="BM12" s="73"/>
      <c r="BN12" s="237"/>
      <c r="BO12" s="238"/>
      <c r="BP12" s="49"/>
      <c r="BQ12" s="48"/>
      <c r="BR12" s="241"/>
      <c r="BS12" s="242"/>
      <c r="BT12" s="73"/>
      <c r="BU12" s="237"/>
      <c r="BV12" s="238"/>
      <c r="BY12" s="48"/>
      <c r="BZ12" s="241"/>
      <c r="CA12" s="242"/>
      <c r="CB12" s="73"/>
      <c r="CC12" s="237"/>
      <c r="CD12" s="238"/>
      <c r="CE12" s="49"/>
      <c r="CF12" s="48"/>
      <c r="CG12" s="241"/>
      <c r="CH12" s="242"/>
      <c r="CI12" s="73"/>
      <c r="CJ12" s="237"/>
      <c r="CK12" s="238"/>
      <c r="CN12" s="48"/>
      <c r="CO12" s="241"/>
      <c r="CP12" s="242"/>
      <c r="CQ12" s="73"/>
      <c r="CR12" s="237"/>
      <c r="CS12" s="238"/>
      <c r="CT12" s="49"/>
      <c r="CU12" s="48"/>
      <c r="CV12" s="241"/>
      <c r="CW12" s="242"/>
      <c r="CX12" s="73"/>
      <c r="CY12" s="237"/>
      <c r="CZ12" s="238"/>
      <c r="DC12" s="48"/>
      <c r="DD12" s="241"/>
      <c r="DE12" s="242"/>
      <c r="DF12" s="73"/>
      <c r="DG12" s="237"/>
      <c r="DH12" s="238"/>
      <c r="DI12" s="49"/>
      <c r="DJ12" s="48"/>
      <c r="DK12" s="241"/>
      <c r="DL12" s="242"/>
      <c r="DM12" s="73"/>
      <c r="DN12" s="237"/>
      <c r="DO12" s="238"/>
      <c r="DR12" s="48"/>
      <c r="DS12" s="241"/>
      <c r="DT12" s="242"/>
      <c r="DU12" s="73"/>
      <c r="DV12" s="237"/>
      <c r="DW12" s="238"/>
      <c r="DX12" s="49"/>
      <c r="DY12" s="48"/>
      <c r="DZ12" s="241"/>
      <c r="EA12" s="242"/>
      <c r="EB12" s="73"/>
      <c r="EC12" s="237"/>
      <c r="ED12" s="238"/>
      <c r="EG12" s="48"/>
      <c r="EH12" s="241"/>
      <c r="EI12" s="242"/>
      <c r="EJ12" s="73"/>
      <c r="EK12" s="237"/>
      <c r="EL12" s="238"/>
      <c r="EM12" s="49"/>
      <c r="EN12" s="48"/>
      <c r="EO12" s="241"/>
      <c r="EP12" s="242"/>
      <c r="EQ12" s="73"/>
      <c r="ER12" s="237"/>
      <c r="ES12" s="238"/>
    </row>
    <row r="13" spans="1:150" ht="15.6" customHeight="1">
      <c r="B13" s="50"/>
      <c r="C13" s="239"/>
      <c r="D13" s="239"/>
      <c r="E13" s="67"/>
      <c r="F13" s="239"/>
      <c r="G13" s="240"/>
      <c r="H13" s="49"/>
      <c r="I13" s="50"/>
      <c r="J13" s="239"/>
      <c r="K13" s="239"/>
      <c r="L13" s="67"/>
      <c r="M13" s="239"/>
      <c r="N13" s="240"/>
      <c r="Q13" s="50"/>
      <c r="R13" s="239"/>
      <c r="S13" s="239"/>
      <c r="T13" s="67"/>
      <c r="U13" s="239"/>
      <c r="V13" s="240"/>
      <c r="W13" s="49"/>
      <c r="X13" s="50"/>
      <c r="Y13" s="239"/>
      <c r="Z13" s="239"/>
      <c r="AA13" s="67"/>
      <c r="AB13" s="239"/>
      <c r="AC13" s="240"/>
      <c r="AF13" s="50"/>
      <c r="AG13" s="239"/>
      <c r="AH13" s="239"/>
      <c r="AI13" s="67"/>
      <c r="AJ13" s="239"/>
      <c r="AK13" s="240"/>
      <c r="AL13" s="49"/>
      <c r="AM13" s="50"/>
      <c r="AN13" s="239"/>
      <c r="AO13" s="239"/>
      <c r="AP13" s="67"/>
      <c r="AQ13" s="239"/>
      <c r="AR13" s="240"/>
      <c r="AU13" s="50"/>
      <c r="AV13" s="239"/>
      <c r="AW13" s="239"/>
      <c r="AX13" s="67"/>
      <c r="AY13" s="239"/>
      <c r="AZ13" s="240"/>
      <c r="BA13" s="49"/>
      <c r="BB13" s="50"/>
      <c r="BC13" s="239"/>
      <c r="BD13" s="239"/>
      <c r="BE13" s="67"/>
      <c r="BF13" s="239"/>
      <c r="BG13" s="240"/>
      <c r="BJ13" s="50"/>
      <c r="BK13" s="239"/>
      <c r="BL13" s="239"/>
      <c r="BM13" s="67"/>
      <c r="BN13" s="239"/>
      <c r="BO13" s="240"/>
      <c r="BP13" s="49"/>
      <c r="BQ13" s="50"/>
      <c r="BR13" s="239"/>
      <c r="BS13" s="239"/>
      <c r="BT13" s="67"/>
      <c r="BU13" s="239"/>
      <c r="BV13" s="240"/>
      <c r="BY13" s="50"/>
      <c r="BZ13" s="239"/>
      <c r="CA13" s="239"/>
      <c r="CB13" s="67"/>
      <c r="CC13" s="239"/>
      <c r="CD13" s="240"/>
      <c r="CE13" s="49"/>
      <c r="CF13" s="50"/>
      <c r="CG13" s="239"/>
      <c r="CH13" s="239"/>
      <c r="CI13" s="67"/>
      <c r="CJ13" s="239"/>
      <c r="CK13" s="240"/>
      <c r="CN13" s="50"/>
      <c r="CO13" s="239"/>
      <c r="CP13" s="239"/>
      <c r="CQ13" s="67"/>
      <c r="CR13" s="239"/>
      <c r="CS13" s="240"/>
      <c r="CT13" s="49"/>
      <c r="CU13" s="50"/>
      <c r="CV13" s="239"/>
      <c r="CW13" s="239"/>
      <c r="CX13" s="67"/>
      <c r="CY13" s="239"/>
      <c r="CZ13" s="240"/>
      <c r="DC13" s="50"/>
      <c r="DD13" s="239"/>
      <c r="DE13" s="239"/>
      <c r="DF13" s="67"/>
      <c r="DG13" s="239"/>
      <c r="DH13" s="240"/>
      <c r="DI13" s="49"/>
      <c r="DJ13" s="50"/>
      <c r="DK13" s="239"/>
      <c r="DL13" s="239"/>
      <c r="DM13" s="67"/>
      <c r="DN13" s="239"/>
      <c r="DO13" s="240"/>
      <c r="DR13" s="50"/>
      <c r="DS13" s="239"/>
      <c r="DT13" s="239"/>
      <c r="DU13" s="67"/>
      <c r="DV13" s="239"/>
      <c r="DW13" s="240"/>
      <c r="DX13" s="49"/>
      <c r="DY13" s="50"/>
      <c r="DZ13" s="239"/>
      <c r="EA13" s="239"/>
      <c r="EB13" s="67"/>
      <c r="EC13" s="239"/>
      <c r="ED13" s="240"/>
      <c r="EG13" s="50"/>
      <c r="EH13" s="239"/>
      <c r="EI13" s="239"/>
      <c r="EJ13" s="67"/>
      <c r="EK13" s="239"/>
      <c r="EL13" s="240"/>
      <c r="EM13" s="49"/>
      <c r="EN13" s="50"/>
      <c r="EO13" s="239"/>
      <c r="EP13" s="239"/>
      <c r="EQ13" s="67"/>
      <c r="ER13" s="239"/>
      <c r="ES13" s="240"/>
    </row>
    <row r="14" spans="1:150" s="55" customFormat="1">
      <c r="A14" s="54"/>
      <c r="B14" s="60"/>
      <c r="C14" s="58"/>
      <c r="D14" s="60"/>
      <c r="E14" s="58"/>
      <c r="F14" s="60"/>
      <c r="G14" s="63"/>
      <c r="H14" s="45"/>
      <c r="I14" s="60"/>
      <c r="J14" s="58"/>
      <c r="K14" s="60"/>
      <c r="L14" s="58"/>
      <c r="M14" s="60"/>
      <c r="N14" s="63"/>
      <c r="O14" s="45"/>
      <c r="P14" s="54"/>
      <c r="Q14" s="60"/>
      <c r="R14" s="58"/>
      <c r="S14" s="60"/>
      <c r="T14" s="58"/>
      <c r="U14" s="60"/>
      <c r="V14" s="63"/>
      <c r="W14" s="45"/>
      <c r="X14" s="60"/>
      <c r="Y14" s="58"/>
      <c r="Z14" s="60"/>
      <c r="AA14" s="58"/>
      <c r="AB14" s="60"/>
      <c r="AC14" s="63"/>
      <c r="AD14" s="45"/>
      <c r="AE14" s="54"/>
      <c r="AF14" s="60"/>
      <c r="AG14" s="58"/>
      <c r="AH14" s="60"/>
      <c r="AI14" s="58"/>
      <c r="AJ14" s="60"/>
      <c r="AK14" s="63"/>
      <c r="AL14" s="45"/>
      <c r="AM14" s="60"/>
      <c r="AN14" s="58"/>
      <c r="AO14" s="60"/>
      <c r="AP14" s="58"/>
      <c r="AQ14" s="60"/>
      <c r="AR14" s="63"/>
      <c r="AS14" s="45"/>
      <c r="AT14" s="54"/>
      <c r="AU14" s="60"/>
      <c r="AV14" s="58"/>
      <c r="AW14" s="60"/>
      <c r="AX14" s="58"/>
      <c r="AY14" s="60"/>
      <c r="AZ14" s="63"/>
      <c r="BA14" s="45"/>
      <c r="BB14" s="60"/>
      <c r="BC14" s="58"/>
      <c r="BD14" s="60"/>
      <c r="BE14" s="58"/>
      <c r="BF14" s="60"/>
      <c r="BG14" s="63"/>
      <c r="BH14" s="45"/>
      <c r="BI14" s="54"/>
      <c r="BJ14" s="60"/>
      <c r="BK14" s="58"/>
      <c r="BL14" s="60"/>
      <c r="BM14" s="58"/>
      <c r="BN14" s="60"/>
      <c r="BO14" s="63"/>
      <c r="BP14" s="45"/>
      <c r="BQ14" s="60"/>
      <c r="BR14" s="58"/>
      <c r="BS14" s="60"/>
      <c r="BT14" s="58"/>
      <c r="BU14" s="60"/>
      <c r="BV14" s="63"/>
      <c r="BW14" s="45"/>
      <c r="BX14" s="54"/>
      <c r="BY14" s="60"/>
      <c r="BZ14" s="58"/>
      <c r="CA14" s="60"/>
      <c r="CB14" s="58"/>
      <c r="CC14" s="60"/>
      <c r="CD14" s="63"/>
      <c r="CE14" s="45"/>
      <c r="CF14" s="60"/>
      <c r="CG14" s="58"/>
      <c r="CH14" s="60"/>
      <c r="CI14" s="58"/>
      <c r="CJ14" s="60"/>
      <c r="CK14" s="63"/>
      <c r="CL14" s="45"/>
      <c r="CM14" s="54"/>
      <c r="CN14" s="60"/>
      <c r="CO14" s="58"/>
      <c r="CP14" s="60"/>
      <c r="CQ14" s="58"/>
      <c r="CR14" s="60"/>
      <c r="CS14" s="63"/>
      <c r="CT14" s="45"/>
      <c r="CU14" s="60"/>
      <c r="CV14" s="58"/>
      <c r="CW14" s="60"/>
      <c r="CX14" s="58"/>
      <c r="CY14" s="60"/>
      <c r="CZ14" s="63"/>
      <c r="DA14" s="45"/>
      <c r="DB14" s="54"/>
      <c r="DC14" s="60"/>
      <c r="DD14" s="58"/>
      <c r="DE14" s="60"/>
      <c r="DF14" s="58"/>
      <c r="DG14" s="60"/>
      <c r="DH14" s="63"/>
      <c r="DI14" s="45"/>
      <c r="DJ14" s="60"/>
      <c r="DK14" s="58"/>
      <c r="DL14" s="60"/>
      <c r="DM14" s="58"/>
      <c r="DN14" s="60"/>
      <c r="DO14" s="63"/>
      <c r="DP14" s="45"/>
      <c r="DQ14" s="54"/>
      <c r="DR14" s="60"/>
      <c r="DS14" s="58"/>
      <c r="DT14" s="60"/>
      <c r="DU14" s="58"/>
      <c r="DV14" s="60"/>
      <c r="DW14" s="63"/>
      <c r="DX14" s="45"/>
      <c r="DY14" s="60"/>
      <c r="DZ14" s="58"/>
      <c r="EA14" s="60"/>
      <c r="EB14" s="58"/>
      <c r="EC14" s="60"/>
      <c r="ED14" s="63"/>
      <c r="EE14" s="45"/>
      <c r="EF14" s="54"/>
      <c r="EG14" s="60"/>
      <c r="EH14" s="58"/>
      <c r="EI14" s="60"/>
      <c r="EJ14" s="58"/>
      <c r="EK14" s="60"/>
      <c r="EL14" s="63"/>
      <c r="EM14" s="45"/>
      <c r="EN14" s="60"/>
      <c r="EO14" s="58"/>
      <c r="EP14" s="60"/>
      <c r="EQ14" s="58"/>
      <c r="ER14" s="60"/>
      <c r="ES14" s="63"/>
      <c r="ET14" s="45"/>
    </row>
    <row r="15" spans="1:150" ht="27.6" customHeight="1">
      <c r="B15" s="247"/>
      <c r="C15" s="240"/>
      <c r="D15" s="247"/>
      <c r="E15" s="240"/>
      <c r="F15" s="248"/>
      <c r="G15" s="240"/>
      <c r="I15" s="247"/>
      <c r="J15" s="240"/>
      <c r="K15" s="247"/>
      <c r="L15" s="240"/>
      <c r="M15" s="248"/>
      <c r="N15" s="240"/>
      <c r="Q15" s="247"/>
      <c r="R15" s="240"/>
      <c r="S15" s="247"/>
      <c r="T15" s="240"/>
      <c r="U15" s="248"/>
      <c r="V15" s="240"/>
      <c r="X15" s="247"/>
      <c r="Y15" s="240"/>
      <c r="Z15" s="247"/>
      <c r="AA15" s="240"/>
      <c r="AB15" s="248"/>
      <c r="AC15" s="240"/>
      <c r="AF15" s="247"/>
      <c r="AG15" s="240"/>
      <c r="AH15" s="247"/>
      <c r="AI15" s="240"/>
      <c r="AJ15" s="248"/>
      <c r="AK15" s="240"/>
      <c r="AM15" s="247"/>
      <c r="AN15" s="240"/>
      <c r="AO15" s="247"/>
      <c r="AP15" s="240"/>
      <c r="AQ15" s="248"/>
      <c r="AR15" s="240"/>
      <c r="AU15" s="247"/>
      <c r="AV15" s="240"/>
      <c r="AW15" s="247"/>
      <c r="AX15" s="240"/>
      <c r="AY15" s="248"/>
      <c r="AZ15" s="240"/>
      <c r="BB15" s="247"/>
      <c r="BC15" s="240"/>
      <c r="BD15" s="247"/>
      <c r="BE15" s="240"/>
      <c r="BF15" s="248"/>
      <c r="BG15" s="240"/>
      <c r="BJ15" s="247"/>
      <c r="BK15" s="240"/>
      <c r="BL15" s="247"/>
      <c r="BM15" s="240"/>
      <c r="BN15" s="248"/>
      <c r="BO15" s="240"/>
      <c r="BQ15" s="247"/>
      <c r="BR15" s="240"/>
      <c r="BS15" s="247"/>
      <c r="BT15" s="240"/>
      <c r="BU15" s="248"/>
      <c r="BV15" s="240"/>
      <c r="BY15" s="247"/>
      <c r="BZ15" s="240"/>
      <c r="CA15" s="247"/>
      <c r="CB15" s="240"/>
      <c r="CC15" s="248"/>
      <c r="CD15" s="240"/>
      <c r="CF15" s="247"/>
      <c r="CG15" s="240"/>
      <c r="CH15" s="247"/>
      <c r="CI15" s="240"/>
      <c r="CJ15" s="248"/>
      <c r="CK15" s="240"/>
      <c r="CN15" s="247"/>
      <c r="CO15" s="240"/>
      <c r="CP15" s="247"/>
      <c r="CQ15" s="240"/>
      <c r="CR15" s="248"/>
      <c r="CS15" s="240"/>
      <c r="CU15" s="247"/>
      <c r="CV15" s="240"/>
      <c r="CW15" s="247"/>
      <c r="CX15" s="240"/>
      <c r="CY15" s="248"/>
      <c r="CZ15" s="240"/>
      <c r="DC15" s="247"/>
      <c r="DD15" s="240"/>
      <c r="DE15" s="247"/>
      <c r="DF15" s="240"/>
      <c r="DG15" s="248"/>
      <c r="DH15" s="240"/>
      <c r="DJ15" s="247"/>
      <c r="DK15" s="240"/>
      <c r="DL15" s="247"/>
      <c r="DM15" s="240"/>
      <c r="DN15" s="248"/>
      <c r="DO15" s="240"/>
      <c r="DR15" s="247"/>
      <c r="DS15" s="240"/>
      <c r="DT15" s="247"/>
      <c r="DU15" s="240"/>
      <c r="DV15" s="248"/>
      <c r="DW15" s="240"/>
      <c r="DY15" s="247"/>
      <c r="DZ15" s="240"/>
      <c r="EA15" s="247"/>
      <c r="EB15" s="240"/>
      <c r="EC15" s="248"/>
      <c r="ED15" s="240"/>
      <c r="EG15" s="247"/>
      <c r="EH15" s="240"/>
      <c r="EI15" s="247"/>
      <c r="EJ15" s="240"/>
      <c r="EK15" s="248"/>
      <c r="EL15" s="240"/>
      <c r="EN15" s="247"/>
      <c r="EO15" s="240"/>
      <c r="EP15" s="247"/>
      <c r="EQ15" s="240"/>
      <c r="ER15" s="248"/>
      <c r="ES15" s="240"/>
    </row>
    <row r="16" spans="1:150" ht="6.6" customHeight="1">
      <c r="B16" s="68"/>
      <c r="D16" s="68"/>
      <c r="F16" s="69"/>
      <c r="I16" s="68"/>
      <c r="K16" s="68"/>
      <c r="M16" s="69"/>
      <c r="Q16" s="68"/>
      <c r="S16" s="68"/>
      <c r="U16" s="69"/>
      <c r="X16" s="68"/>
      <c r="Z16" s="68"/>
      <c r="AB16" s="69"/>
      <c r="AF16" s="68"/>
      <c r="AH16" s="68"/>
      <c r="AJ16" s="69"/>
      <c r="AM16" s="68"/>
      <c r="AO16" s="68"/>
      <c r="AQ16" s="69"/>
      <c r="AU16" s="68"/>
      <c r="AW16" s="68"/>
      <c r="AY16" s="69"/>
      <c r="BB16" s="68"/>
      <c r="BD16" s="68"/>
      <c r="BF16" s="69"/>
      <c r="BJ16" s="68"/>
      <c r="BL16" s="68"/>
      <c r="BN16" s="69"/>
      <c r="BQ16" s="68"/>
      <c r="BS16" s="68"/>
      <c r="BU16" s="69"/>
      <c r="BY16" s="68"/>
      <c r="CA16" s="68"/>
      <c r="CC16" s="69"/>
      <c r="CF16" s="68"/>
      <c r="CH16" s="68"/>
      <c r="CJ16" s="69"/>
      <c r="CN16" s="68"/>
      <c r="CP16" s="68"/>
      <c r="CR16" s="69"/>
      <c r="CU16" s="68"/>
      <c r="CW16" s="68"/>
      <c r="CY16" s="69"/>
      <c r="DC16" s="68"/>
      <c r="DE16" s="68"/>
      <c r="DG16" s="69"/>
      <c r="DJ16" s="68"/>
      <c r="DL16" s="68"/>
      <c r="DN16" s="69"/>
      <c r="DR16" s="68"/>
      <c r="DT16" s="68"/>
      <c r="DV16" s="69"/>
      <c r="DY16" s="68"/>
      <c r="EA16" s="68"/>
      <c r="EC16" s="69"/>
      <c r="EG16" s="68"/>
      <c r="EI16" s="68"/>
      <c r="EK16" s="69"/>
      <c r="EN16" s="68"/>
      <c r="EP16" s="68"/>
      <c r="ER16" s="69"/>
    </row>
    <row r="17" spans="1:150" s="55" customFormat="1" ht="25.8" customHeight="1">
      <c r="A17" s="54"/>
      <c r="B17" s="66"/>
      <c r="C17" s="245"/>
      <c r="D17" s="246"/>
      <c r="E17" s="246"/>
      <c r="F17" s="246"/>
      <c r="G17" s="65"/>
      <c r="H17" s="59"/>
      <c r="I17" s="66"/>
      <c r="J17" s="245"/>
      <c r="K17" s="246"/>
      <c r="L17" s="246"/>
      <c r="M17" s="246"/>
      <c r="N17" s="65"/>
      <c r="O17" s="45"/>
      <c r="P17" s="54"/>
      <c r="Q17" s="66"/>
      <c r="R17" s="245"/>
      <c r="S17" s="246"/>
      <c r="T17" s="246"/>
      <c r="U17" s="246"/>
      <c r="V17" s="65"/>
      <c r="W17" s="59"/>
      <c r="X17" s="66"/>
      <c r="Y17" s="245"/>
      <c r="Z17" s="246"/>
      <c r="AA17" s="246"/>
      <c r="AB17" s="246"/>
      <c r="AC17" s="65"/>
      <c r="AD17" s="45"/>
      <c r="AE17" s="54"/>
      <c r="AF17" s="66"/>
      <c r="AG17" s="245"/>
      <c r="AH17" s="246"/>
      <c r="AI17" s="246"/>
      <c r="AJ17" s="246"/>
      <c r="AK17" s="65"/>
      <c r="AL17" s="59"/>
      <c r="AM17" s="66"/>
      <c r="AN17" s="245"/>
      <c r="AO17" s="246"/>
      <c r="AP17" s="246"/>
      <c r="AQ17" s="246"/>
      <c r="AR17" s="65"/>
      <c r="AS17" s="45"/>
      <c r="AT17" s="54"/>
      <c r="AU17" s="66"/>
      <c r="AV17" s="245"/>
      <c r="AW17" s="246"/>
      <c r="AX17" s="246"/>
      <c r="AY17" s="246"/>
      <c r="AZ17" s="65"/>
      <c r="BA17" s="59"/>
      <c r="BB17" s="66"/>
      <c r="BC17" s="245"/>
      <c r="BD17" s="246"/>
      <c r="BE17" s="246"/>
      <c r="BF17" s="246"/>
      <c r="BG17" s="65"/>
      <c r="BH17" s="45"/>
      <c r="BI17" s="54"/>
      <c r="BJ17" s="66"/>
      <c r="BK17" s="245"/>
      <c r="BL17" s="246"/>
      <c r="BM17" s="246"/>
      <c r="BN17" s="246"/>
      <c r="BO17" s="65"/>
      <c r="BP17" s="59"/>
      <c r="BQ17" s="66"/>
      <c r="BR17" s="245"/>
      <c r="BS17" s="246"/>
      <c r="BT17" s="246"/>
      <c r="BU17" s="246"/>
      <c r="BV17" s="65"/>
      <c r="BW17" s="45"/>
      <c r="BX17" s="54"/>
      <c r="BY17" s="66"/>
      <c r="BZ17" s="245"/>
      <c r="CA17" s="246"/>
      <c r="CB17" s="246"/>
      <c r="CC17" s="246"/>
      <c r="CD17" s="65"/>
      <c r="CE17" s="59"/>
      <c r="CF17" s="66"/>
      <c r="CG17" s="245"/>
      <c r="CH17" s="246"/>
      <c r="CI17" s="246"/>
      <c r="CJ17" s="246"/>
      <c r="CK17" s="65"/>
      <c r="CL17" s="45"/>
      <c r="CM17" s="54"/>
      <c r="CN17" s="66"/>
      <c r="CO17" s="245"/>
      <c r="CP17" s="246"/>
      <c r="CQ17" s="246"/>
      <c r="CR17" s="246"/>
      <c r="CS17" s="65"/>
      <c r="CT17" s="59"/>
      <c r="CU17" s="66"/>
      <c r="CV17" s="245"/>
      <c r="CW17" s="246"/>
      <c r="CX17" s="246"/>
      <c r="CY17" s="246"/>
      <c r="CZ17" s="65"/>
      <c r="DA17" s="45"/>
      <c r="DB17" s="54"/>
      <c r="DC17" s="66"/>
      <c r="DD17" s="245"/>
      <c r="DE17" s="246"/>
      <c r="DF17" s="246"/>
      <c r="DG17" s="246"/>
      <c r="DH17" s="65"/>
      <c r="DI17" s="59"/>
      <c r="DJ17" s="66"/>
      <c r="DK17" s="245"/>
      <c r="DL17" s="246"/>
      <c r="DM17" s="246"/>
      <c r="DN17" s="246"/>
      <c r="DO17" s="65"/>
      <c r="DP17" s="45"/>
      <c r="DQ17" s="54"/>
      <c r="DR17" s="66"/>
      <c r="DS17" s="245"/>
      <c r="DT17" s="246"/>
      <c r="DU17" s="246"/>
      <c r="DV17" s="246"/>
      <c r="DW17" s="65"/>
      <c r="DX17" s="59"/>
      <c r="DY17" s="66"/>
      <c r="DZ17" s="245"/>
      <c r="EA17" s="246"/>
      <c r="EB17" s="246"/>
      <c r="EC17" s="246"/>
      <c r="ED17" s="65"/>
      <c r="EE17" s="45"/>
      <c r="EF17" s="54"/>
      <c r="EG17" s="66"/>
      <c r="EH17" s="245"/>
      <c r="EI17" s="246"/>
      <c r="EJ17" s="246"/>
      <c r="EK17" s="246"/>
      <c r="EL17" s="65"/>
      <c r="EM17" s="59"/>
      <c r="EN17" s="66"/>
      <c r="EO17" s="245"/>
      <c r="EP17" s="246"/>
      <c r="EQ17" s="246"/>
      <c r="ER17" s="246"/>
      <c r="ES17" s="65"/>
      <c r="ET17" s="45"/>
    </row>
    <row r="18" spans="1:150" s="55" customFormat="1">
      <c r="A18" s="54"/>
      <c r="B18" s="56"/>
      <c r="C18" s="70"/>
      <c r="D18" s="64"/>
      <c r="E18" s="64"/>
      <c r="F18" s="71"/>
      <c r="G18" s="62"/>
      <c r="H18" s="72"/>
      <c r="I18" s="56"/>
      <c r="J18" s="70"/>
      <c r="K18" s="64"/>
      <c r="L18" s="64"/>
      <c r="M18" s="71"/>
      <c r="N18" s="62"/>
      <c r="O18" s="45"/>
      <c r="P18" s="54"/>
      <c r="Q18" s="56"/>
      <c r="R18" s="70"/>
      <c r="S18" s="64"/>
      <c r="T18" s="64"/>
      <c r="U18" s="71"/>
      <c r="V18" s="62"/>
      <c r="W18" s="72"/>
      <c r="X18" s="56"/>
      <c r="Y18" s="70"/>
      <c r="Z18" s="64"/>
      <c r="AA18" s="64"/>
      <c r="AB18" s="71"/>
      <c r="AC18" s="62"/>
      <c r="AD18" s="45"/>
      <c r="AE18" s="54"/>
      <c r="AF18" s="56"/>
      <c r="AG18" s="70"/>
      <c r="AH18" s="64"/>
      <c r="AI18" s="64"/>
      <c r="AJ18" s="71"/>
      <c r="AK18" s="62"/>
      <c r="AL18" s="72"/>
      <c r="AM18" s="56"/>
      <c r="AN18" s="70"/>
      <c r="AO18" s="64"/>
      <c r="AP18" s="64"/>
      <c r="AQ18" s="71"/>
      <c r="AR18" s="62"/>
      <c r="AS18" s="45"/>
      <c r="AT18" s="54"/>
      <c r="AU18" s="56"/>
      <c r="AV18" s="70"/>
      <c r="AW18" s="64"/>
      <c r="AX18" s="64"/>
      <c r="AY18" s="71"/>
      <c r="AZ18" s="62"/>
      <c r="BA18" s="72"/>
      <c r="BB18" s="56"/>
      <c r="BC18" s="70"/>
      <c r="BD18" s="64"/>
      <c r="BE18" s="64"/>
      <c r="BF18" s="71"/>
      <c r="BG18" s="62"/>
      <c r="BH18" s="45"/>
      <c r="BI18" s="54"/>
      <c r="BJ18" s="56"/>
      <c r="BK18" s="70"/>
      <c r="BL18" s="64"/>
      <c r="BM18" s="64"/>
      <c r="BN18" s="71"/>
      <c r="BO18" s="62"/>
      <c r="BP18" s="72"/>
      <c r="BQ18" s="56"/>
      <c r="BR18" s="70"/>
      <c r="BS18" s="64"/>
      <c r="BT18" s="64"/>
      <c r="BU18" s="71"/>
      <c r="BV18" s="62"/>
      <c r="BW18" s="45"/>
      <c r="BX18" s="54"/>
      <c r="BY18" s="56"/>
      <c r="BZ18" s="70"/>
      <c r="CA18" s="64"/>
      <c r="CB18" s="64"/>
      <c r="CC18" s="71"/>
      <c r="CD18" s="62"/>
      <c r="CE18" s="72"/>
      <c r="CF18" s="56"/>
      <c r="CG18" s="70"/>
      <c r="CH18" s="64"/>
      <c r="CI18" s="64"/>
      <c r="CJ18" s="71"/>
      <c r="CK18" s="62"/>
      <c r="CL18" s="45"/>
      <c r="CM18" s="54"/>
      <c r="CN18" s="56"/>
      <c r="CO18" s="70"/>
      <c r="CP18" s="64"/>
      <c r="CQ18" s="64"/>
      <c r="CR18" s="71"/>
      <c r="CS18" s="62"/>
      <c r="CT18" s="72"/>
      <c r="CU18" s="56"/>
      <c r="CV18" s="70"/>
      <c r="CW18" s="64"/>
      <c r="CX18" s="64"/>
      <c r="CY18" s="71"/>
      <c r="CZ18" s="62"/>
      <c r="DA18" s="45"/>
      <c r="DB18" s="54"/>
      <c r="DC18" s="56"/>
      <c r="DD18" s="70"/>
      <c r="DE18" s="64"/>
      <c r="DF18" s="64"/>
      <c r="DG18" s="71"/>
      <c r="DH18" s="62"/>
      <c r="DI18" s="72"/>
      <c r="DJ18" s="56"/>
      <c r="DK18" s="70"/>
      <c r="DL18" s="64"/>
      <c r="DM18" s="64"/>
      <c r="DN18" s="71"/>
      <c r="DO18" s="62"/>
      <c r="DP18" s="45"/>
      <c r="DQ18" s="54"/>
      <c r="DR18" s="56"/>
      <c r="DS18" s="70"/>
      <c r="DT18" s="64"/>
      <c r="DU18" s="64"/>
      <c r="DV18" s="71"/>
      <c r="DW18" s="62"/>
      <c r="DX18" s="72"/>
      <c r="DY18" s="56"/>
      <c r="DZ18" s="70"/>
      <c r="EA18" s="64"/>
      <c r="EB18" s="64"/>
      <c r="EC18" s="71"/>
      <c r="ED18" s="62"/>
      <c r="EE18" s="45"/>
      <c r="EF18" s="54"/>
      <c r="EG18" s="56"/>
      <c r="EH18" s="70"/>
      <c r="EI18" s="64"/>
      <c r="EJ18" s="64"/>
      <c r="EK18" s="71"/>
      <c r="EL18" s="62"/>
      <c r="EM18" s="72"/>
      <c r="EN18" s="56"/>
      <c r="EO18" s="70"/>
      <c r="EP18" s="64"/>
      <c r="EQ18" s="64"/>
      <c r="ER18" s="71"/>
      <c r="ES18" s="62"/>
      <c r="ET18" s="45"/>
    </row>
    <row r="19" spans="1:150" s="55" customFormat="1">
      <c r="A19" s="54"/>
      <c r="B19" s="57"/>
      <c r="C19" s="243"/>
      <c r="D19" s="244"/>
      <c r="E19" s="45"/>
      <c r="G19" s="63"/>
      <c r="H19" s="59"/>
      <c r="I19" s="57"/>
      <c r="J19" s="243"/>
      <c r="K19" s="244"/>
      <c r="L19" s="45"/>
      <c r="N19" s="63"/>
      <c r="O19" s="45"/>
      <c r="P19" s="54"/>
      <c r="Q19" s="57"/>
      <c r="R19" s="243"/>
      <c r="S19" s="244"/>
      <c r="T19" s="45"/>
      <c r="V19" s="63"/>
      <c r="W19" s="59"/>
      <c r="X19" s="57"/>
      <c r="Y19" s="243"/>
      <c r="Z19" s="244"/>
      <c r="AA19" s="45"/>
      <c r="AC19" s="63"/>
      <c r="AD19" s="45"/>
      <c r="AE19" s="54"/>
      <c r="AF19" s="57"/>
      <c r="AG19" s="243"/>
      <c r="AH19" s="244"/>
      <c r="AI19" s="45"/>
      <c r="AK19" s="63"/>
      <c r="AL19" s="59"/>
      <c r="AM19" s="57"/>
      <c r="AN19" s="243"/>
      <c r="AO19" s="244"/>
      <c r="AP19" s="45"/>
      <c r="AR19" s="63"/>
      <c r="AS19" s="45"/>
      <c r="AT19" s="54"/>
      <c r="AU19" s="57"/>
      <c r="AV19" s="243"/>
      <c r="AW19" s="244"/>
      <c r="AX19" s="45"/>
      <c r="AZ19" s="63"/>
      <c r="BA19" s="59"/>
      <c r="BB19" s="57"/>
      <c r="BC19" s="243"/>
      <c r="BD19" s="244"/>
      <c r="BE19" s="45"/>
      <c r="BG19" s="63"/>
      <c r="BH19" s="45"/>
      <c r="BI19" s="54"/>
      <c r="BJ19" s="57"/>
      <c r="BK19" s="243"/>
      <c r="BL19" s="244"/>
      <c r="BM19" s="45"/>
      <c r="BO19" s="63"/>
      <c r="BP19" s="59"/>
      <c r="BQ19" s="57"/>
      <c r="BR19" s="243"/>
      <c r="BS19" s="244"/>
      <c r="BT19" s="45"/>
      <c r="BV19" s="63"/>
      <c r="BW19" s="45"/>
      <c r="BX19" s="54"/>
      <c r="BY19" s="57"/>
      <c r="BZ19" s="243"/>
      <c r="CA19" s="244"/>
      <c r="CB19" s="45"/>
      <c r="CD19" s="63"/>
      <c r="CE19" s="59"/>
      <c r="CF19" s="57"/>
      <c r="CG19" s="243"/>
      <c r="CH19" s="244"/>
      <c r="CI19" s="45"/>
      <c r="CK19" s="63"/>
      <c r="CL19" s="45"/>
      <c r="CM19" s="54"/>
      <c r="CN19" s="57"/>
      <c r="CO19" s="243"/>
      <c r="CP19" s="244"/>
      <c r="CQ19" s="45"/>
      <c r="CS19" s="63"/>
      <c r="CT19" s="59"/>
      <c r="CU19" s="57"/>
      <c r="CV19" s="243"/>
      <c r="CW19" s="244"/>
      <c r="CX19" s="45"/>
      <c r="CZ19" s="63"/>
      <c r="DA19" s="45"/>
      <c r="DB19" s="54"/>
      <c r="DC19" s="57"/>
      <c r="DD19" s="243"/>
      <c r="DE19" s="244"/>
      <c r="DF19" s="45"/>
      <c r="DH19" s="63"/>
      <c r="DI19" s="59"/>
      <c r="DJ19" s="57"/>
      <c r="DK19" s="243"/>
      <c r="DL19" s="244"/>
      <c r="DM19" s="45"/>
      <c r="DO19" s="63"/>
      <c r="DP19" s="45"/>
      <c r="DQ19" s="54"/>
      <c r="DR19" s="57"/>
      <c r="DS19" s="243"/>
      <c r="DT19" s="244"/>
      <c r="DU19" s="45"/>
      <c r="DW19" s="63"/>
      <c r="DX19" s="59"/>
      <c r="DY19" s="57"/>
      <c r="DZ19" s="243"/>
      <c r="EA19" s="244"/>
      <c r="EB19" s="45"/>
      <c r="ED19" s="63"/>
      <c r="EE19" s="45"/>
      <c r="EF19" s="54"/>
      <c r="EG19" s="57"/>
      <c r="EH19" s="243"/>
      <c r="EI19" s="244"/>
      <c r="EJ19" s="45"/>
      <c r="EL19" s="63"/>
      <c r="EM19" s="59"/>
      <c r="EN19" s="57"/>
      <c r="EO19" s="243"/>
      <c r="EP19" s="244"/>
      <c r="EQ19" s="45"/>
      <c r="ES19" s="63"/>
      <c r="ET19" s="45"/>
    </row>
    <row r="20" spans="1:150" ht="15.6" customHeight="1">
      <c r="B20" s="48"/>
      <c r="C20" s="241"/>
      <c r="D20" s="242"/>
      <c r="E20" s="73"/>
      <c r="F20" s="237"/>
      <c r="G20" s="238"/>
      <c r="H20" s="49"/>
      <c r="I20" s="48"/>
      <c r="J20" s="241"/>
      <c r="K20" s="242"/>
      <c r="L20" s="73"/>
      <c r="M20" s="237"/>
      <c r="N20" s="238"/>
      <c r="Q20" s="48"/>
      <c r="R20" s="241"/>
      <c r="S20" s="242"/>
      <c r="T20" s="73"/>
      <c r="U20" s="237"/>
      <c r="V20" s="238"/>
      <c r="W20" s="49"/>
      <c r="X20" s="48"/>
      <c r="Y20" s="241"/>
      <c r="Z20" s="242"/>
      <c r="AA20" s="73"/>
      <c r="AB20" s="237"/>
      <c r="AC20" s="238"/>
      <c r="AF20" s="48"/>
      <c r="AG20" s="241"/>
      <c r="AH20" s="242"/>
      <c r="AI20" s="73"/>
      <c r="AJ20" s="237"/>
      <c r="AK20" s="238"/>
      <c r="AL20" s="49"/>
      <c r="AM20" s="48"/>
      <c r="AN20" s="241"/>
      <c r="AO20" s="242"/>
      <c r="AP20" s="73"/>
      <c r="AQ20" s="237"/>
      <c r="AR20" s="238"/>
      <c r="AU20" s="48"/>
      <c r="AV20" s="241"/>
      <c r="AW20" s="242"/>
      <c r="AX20" s="73"/>
      <c r="AY20" s="237"/>
      <c r="AZ20" s="238"/>
      <c r="BA20" s="49"/>
      <c r="BB20" s="48"/>
      <c r="BC20" s="241"/>
      <c r="BD20" s="242"/>
      <c r="BE20" s="73"/>
      <c r="BF20" s="237"/>
      <c r="BG20" s="238"/>
      <c r="BJ20" s="48"/>
      <c r="BK20" s="241"/>
      <c r="BL20" s="242"/>
      <c r="BM20" s="73"/>
      <c r="BN20" s="237"/>
      <c r="BO20" s="238"/>
      <c r="BP20" s="49"/>
      <c r="BQ20" s="48"/>
      <c r="BR20" s="241"/>
      <c r="BS20" s="242"/>
      <c r="BT20" s="73"/>
      <c r="BU20" s="237"/>
      <c r="BV20" s="238"/>
      <c r="BY20" s="48"/>
      <c r="BZ20" s="241"/>
      <c r="CA20" s="242"/>
      <c r="CB20" s="73"/>
      <c r="CC20" s="237"/>
      <c r="CD20" s="238"/>
      <c r="CE20" s="49"/>
      <c r="CF20" s="48"/>
      <c r="CG20" s="241"/>
      <c r="CH20" s="242"/>
      <c r="CI20" s="73"/>
      <c r="CJ20" s="237"/>
      <c r="CK20" s="238"/>
      <c r="CN20" s="48"/>
      <c r="CO20" s="241"/>
      <c r="CP20" s="242"/>
      <c r="CQ20" s="73"/>
      <c r="CR20" s="237"/>
      <c r="CS20" s="238"/>
      <c r="CT20" s="49"/>
      <c r="CU20" s="48"/>
      <c r="CV20" s="241"/>
      <c r="CW20" s="242"/>
      <c r="CX20" s="73"/>
      <c r="CY20" s="237"/>
      <c r="CZ20" s="238"/>
      <c r="DC20" s="48"/>
      <c r="DD20" s="241"/>
      <c r="DE20" s="242"/>
      <c r="DF20" s="73"/>
      <c r="DG20" s="237"/>
      <c r="DH20" s="238"/>
      <c r="DI20" s="49"/>
      <c r="DJ20" s="48"/>
      <c r="DK20" s="241"/>
      <c r="DL20" s="242"/>
      <c r="DM20" s="73"/>
      <c r="DN20" s="237"/>
      <c r="DO20" s="238"/>
      <c r="DR20" s="48"/>
      <c r="DS20" s="241"/>
      <c r="DT20" s="242"/>
      <c r="DU20" s="73"/>
      <c r="DV20" s="237"/>
      <c r="DW20" s="238"/>
      <c r="DX20" s="49"/>
      <c r="DY20" s="48"/>
      <c r="DZ20" s="241"/>
      <c r="EA20" s="242"/>
      <c r="EB20" s="73"/>
      <c r="EC20" s="237"/>
      <c r="ED20" s="238"/>
      <c r="EG20" s="48"/>
      <c r="EH20" s="241"/>
      <c r="EI20" s="242"/>
      <c r="EJ20" s="73"/>
      <c r="EK20" s="237"/>
      <c r="EL20" s="238"/>
      <c r="EM20" s="49"/>
      <c r="EN20" s="48"/>
      <c r="EO20" s="241"/>
      <c r="EP20" s="242"/>
      <c r="EQ20" s="73"/>
      <c r="ER20" s="237"/>
      <c r="ES20" s="238"/>
    </row>
    <row r="21" spans="1:150" ht="15.6" customHeight="1">
      <c r="B21" s="50"/>
      <c r="C21" s="239"/>
      <c r="D21" s="239"/>
      <c r="E21" s="67"/>
      <c r="F21" s="239"/>
      <c r="G21" s="240"/>
      <c r="H21" s="49"/>
      <c r="I21" s="50"/>
      <c r="J21" s="239"/>
      <c r="K21" s="239"/>
      <c r="L21" s="67"/>
      <c r="M21" s="239"/>
      <c r="N21" s="240"/>
      <c r="Q21" s="50"/>
      <c r="R21" s="239"/>
      <c r="S21" s="239"/>
      <c r="T21" s="67"/>
      <c r="U21" s="239"/>
      <c r="V21" s="240"/>
      <c r="W21" s="49"/>
      <c r="X21" s="50"/>
      <c r="Y21" s="239"/>
      <c r="Z21" s="239"/>
      <c r="AA21" s="67"/>
      <c r="AB21" s="239"/>
      <c r="AC21" s="240"/>
      <c r="AF21" s="50"/>
      <c r="AG21" s="239"/>
      <c r="AH21" s="239"/>
      <c r="AI21" s="67"/>
      <c r="AJ21" s="239"/>
      <c r="AK21" s="240"/>
      <c r="AL21" s="49"/>
      <c r="AM21" s="50"/>
      <c r="AN21" s="239"/>
      <c r="AO21" s="239"/>
      <c r="AP21" s="67"/>
      <c r="AQ21" s="239"/>
      <c r="AR21" s="240"/>
      <c r="AU21" s="50"/>
      <c r="AV21" s="239"/>
      <c r="AW21" s="239"/>
      <c r="AX21" s="67"/>
      <c r="AY21" s="239"/>
      <c r="AZ21" s="240"/>
      <c r="BA21" s="49"/>
      <c r="BB21" s="50"/>
      <c r="BC21" s="239"/>
      <c r="BD21" s="239"/>
      <c r="BE21" s="67"/>
      <c r="BF21" s="239"/>
      <c r="BG21" s="240"/>
      <c r="BJ21" s="50"/>
      <c r="BK21" s="239"/>
      <c r="BL21" s="239"/>
      <c r="BM21" s="67"/>
      <c r="BN21" s="239"/>
      <c r="BO21" s="240"/>
      <c r="BP21" s="49"/>
      <c r="BQ21" s="50"/>
      <c r="BR21" s="239"/>
      <c r="BS21" s="239"/>
      <c r="BT21" s="67"/>
      <c r="BU21" s="239"/>
      <c r="BV21" s="240"/>
      <c r="BY21" s="50"/>
      <c r="BZ21" s="239"/>
      <c r="CA21" s="239"/>
      <c r="CB21" s="67"/>
      <c r="CC21" s="239"/>
      <c r="CD21" s="240"/>
      <c r="CE21" s="49"/>
      <c r="CF21" s="50"/>
      <c r="CG21" s="239"/>
      <c r="CH21" s="239"/>
      <c r="CI21" s="67"/>
      <c r="CJ21" s="239"/>
      <c r="CK21" s="240"/>
      <c r="CN21" s="50"/>
      <c r="CO21" s="239"/>
      <c r="CP21" s="239"/>
      <c r="CQ21" s="67"/>
      <c r="CR21" s="239"/>
      <c r="CS21" s="240"/>
      <c r="CT21" s="49"/>
      <c r="CU21" s="50"/>
      <c r="CV21" s="239"/>
      <c r="CW21" s="239"/>
      <c r="CX21" s="67"/>
      <c r="CY21" s="239"/>
      <c r="CZ21" s="240"/>
      <c r="DC21" s="50"/>
      <c r="DD21" s="239"/>
      <c r="DE21" s="239"/>
      <c r="DF21" s="67"/>
      <c r="DG21" s="239"/>
      <c r="DH21" s="240"/>
      <c r="DI21" s="49"/>
      <c r="DJ21" s="50"/>
      <c r="DK21" s="239"/>
      <c r="DL21" s="239"/>
      <c r="DM21" s="67"/>
      <c r="DN21" s="239"/>
      <c r="DO21" s="240"/>
      <c r="DR21" s="50"/>
      <c r="DS21" s="239"/>
      <c r="DT21" s="239"/>
      <c r="DU21" s="67"/>
      <c r="DV21" s="239"/>
      <c r="DW21" s="240"/>
      <c r="DX21" s="49"/>
      <c r="DY21" s="50"/>
      <c r="DZ21" s="239"/>
      <c r="EA21" s="239"/>
      <c r="EB21" s="67"/>
      <c r="EC21" s="239"/>
      <c r="ED21" s="240"/>
      <c r="EG21" s="50"/>
      <c r="EH21" s="239"/>
      <c r="EI21" s="239"/>
      <c r="EJ21" s="67"/>
      <c r="EK21" s="239"/>
      <c r="EL21" s="240"/>
      <c r="EM21" s="49"/>
      <c r="EN21" s="50"/>
      <c r="EO21" s="239"/>
      <c r="EP21" s="239"/>
      <c r="EQ21" s="67"/>
      <c r="ER21" s="239"/>
      <c r="ES21" s="240"/>
    </row>
    <row r="22" spans="1:150" s="55" customFormat="1">
      <c r="A22" s="54"/>
      <c r="B22" s="60"/>
      <c r="C22" s="58"/>
      <c r="D22" s="60"/>
      <c r="E22" s="58"/>
      <c r="F22" s="60"/>
      <c r="G22" s="63"/>
      <c r="H22" s="45"/>
      <c r="I22" s="60"/>
      <c r="J22" s="58"/>
      <c r="K22" s="60"/>
      <c r="L22" s="58"/>
      <c r="M22" s="60"/>
      <c r="N22" s="63"/>
      <c r="O22" s="45"/>
      <c r="P22" s="54"/>
      <c r="Q22" s="60"/>
      <c r="R22" s="58"/>
      <c r="S22" s="60"/>
      <c r="T22" s="58"/>
      <c r="U22" s="60"/>
      <c r="V22" s="63"/>
      <c r="W22" s="45"/>
      <c r="X22" s="60"/>
      <c r="Y22" s="58"/>
      <c r="Z22" s="60"/>
      <c r="AA22" s="58"/>
      <c r="AB22" s="60"/>
      <c r="AC22" s="63"/>
      <c r="AD22" s="45"/>
      <c r="AE22" s="54"/>
      <c r="AF22" s="60"/>
      <c r="AG22" s="58"/>
      <c r="AH22" s="60"/>
      <c r="AI22" s="58"/>
      <c r="AJ22" s="60"/>
      <c r="AK22" s="63"/>
      <c r="AL22" s="45"/>
      <c r="AM22" s="60"/>
      <c r="AN22" s="58"/>
      <c r="AO22" s="60"/>
      <c r="AP22" s="58"/>
      <c r="AQ22" s="60"/>
      <c r="AR22" s="63"/>
      <c r="AS22" s="45"/>
      <c r="AT22" s="54"/>
      <c r="AU22" s="60"/>
      <c r="AV22" s="58"/>
      <c r="AW22" s="60"/>
      <c r="AX22" s="58"/>
      <c r="AY22" s="60"/>
      <c r="AZ22" s="63"/>
      <c r="BA22" s="45"/>
      <c r="BB22" s="60"/>
      <c r="BC22" s="58"/>
      <c r="BD22" s="60"/>
      <c r="BE22" s="58"/>
      <c r="BF22" s="60"/>
      <c r="BG22" s="63"/>
      <c r="BH22" s="45"/>
      <c r="BI22" s="54"/>
      <c r="BJ22" s="60"/>
      <c r="BK22" s="58"/>
      <c r="BL22" s="60"/>
      <c r="BM22" s="58"/>
      <c r="BN22" s="60"/>
      <c r="BO22" s="63"/>
      <c r="BP22" s="45"/>
      <c r="BQ22" s="60"/>
      <c r="BR22" s="58"/>
      <c r="BS22" s="60"/>
      <c r="BT22" s="58"/>
      <c r="BU22" s="60"/>
      <c r="BV22" s="63"/>
      <c r="BW22" s="45"/>
      <c r="BX22" s="54"/>
      <c r="BY22" s="60"/>
      <c r="BZ22" s="58"/>
      <c r="CA22" s="60"/>
      <c r="CB22" s="58"/>
      <c r="CC22" s="60"/>
      <c r="CD22" s="63"/>
      <c r="CE22" s="45"/>
      <c r="CF22" s="60"/>
      <c r="CG22" s="58"/>
      <c r="CH22" s="60"/>
      <c r="CI22" s="58"/>
      <c r="CJ22" s="60"/>
      <c r="CK22" s="63"/>
      <c r="CL22" s="45"/>
      <c r="CM22" s="54"/>
      <c r="CN22" s="60"/>
      <c r="CO22" s="58"/>
      <c r="CP22" s="60"/>
      <c r="CQ22" s="58"/>
      <c r="CR22" s="60"/>
      <c r="CS22" s="63"/>
      <c r="CT22" s="45"/>
      <c r="CU22" s="60"/>
      <c r="CV22" s="58"/>
      <c r="CW22" s="60"/>
      <c r="CX22" s="58"/>
      <c r="CY22" s="60"/>
      <c r="CZ22" s="63"/>
      <c r="DA22" s="45"/>
      <c r="DB22" s="54"/>
      <c r="DC22" s="60"/>
      <c r="DD22" s="58"/>
      <c r="DE22" s="60"/>
      <c r="DF22" s="58"/>
      <c r="DG22" s="60"/>
      <c r="DH22" s="63"/>
      <c r="DI22" s="45"/>
      <c r="DJ22" s="60"/>
      <c r="DK22" s="58"/>
      <c r="DL22" s="60"/>
      <c r="DM22" s="58"/>
      <c r="DN22" s="60"/>
      <c r="DO22" s="63"/>
      <c r="DP22" s="45"/>
      <c r="DQ22" s="54"/>
      <c r="DR22" s="60"/>
      <c r="DS22" s="58"/>
      <c r="DT22" s="60"/>
      <c r="DU22" s="58"/>
      <c r="DV22" s="60"/>
      <c r="DW22" s="63"/>
      <c r="DX22" s="45"/>
      <c r="DY22" s="60"/>
      <c r="DZ22" s="58"/>
      <c r="EA22" s="60"/>
      <c r="EB22" s="58"/>
      <c r="EC22" s="60"/>
      <c r="ED22" s="63"/>
      <c r="EE22" s="45"/>
      <c r="EF22" s="54"/>
      <c r="EG22" s="60"/>
      <c r="EH22" s="58"/>
      <c r="EI22" s="60"/>
      <c r="EJ22" s="58"/>
      <c r="EK22" s="60"/>
      <c r="EL22" s="63"/>
      <c r="EM22" s="45"/>
      <c r="EN22" s="60"/>
      <c r="EO22" s="58"/>
      <c r="EP22" s="60"/>
      <c r="EQ22" s="58"/>
      <c r="ER22" s="60"/>
      <c r="ES22" s="63"/>
      <c r="ET22" s="45"/>
    </row>
    <row r="23" spans="1:150" ht="27.6" customHeight="1">
      <c r="B23" s="247"/>
      <c r="C23" s="240"/>
      <c r="D23" s="247"/>
      <c r="E23" s="240"/>
      <c r="F23" s="248"/>
      <c r="G23" s="240"/>
      <c r="I23" s="247"/>
      <c r="J23" s="240"/>
      <c r="K23" s="247"/>
      <c r="L23" s="240"/>
      <c r="M23" s="248"/>
      <c r="N23" s="240"/>
      <c r="Q23" s="247"/>
      <c r="R23" s="240"/>
      <c r="S23" s="247"/>
      <c r="T23" s="240"/>
      <c r="U23" s="248"/>
      <c r="V23" s="240"/>
      <c r="X23" s="247"/>
      <c r="Y23" s="240"/>
      <c r="Z23" s="247"/>
      <c r="AA23" s="240"/>
      <c r="AB23" s="248"/>
      <c r="AC23" s="240"/>
      <c r="AF23" s="247"/>
      <c r="AG23" s="240"/>
      <c r="AH23" s="247"/>
      <c r="AI23" s="240"/>
      <c r="AJ23" s="248"/>
      <c r="AK23" s="240"/>
      <c r="AM23" s="247"/>
      <c r="AN23" s="240"/>
      <c r="AO23" s="247"/>
      <c r="AP23" s="240"/>
      <c r="AQ23" s="248"/>
      <c r="AR23" s="240"/>
      <c r="AU23" s="247"/>
      <c r="AV23" s="240"/>
      <c r="AW23" s="247"/>
      <c r="AX23" s="240"/>
      <c r="AY23" s="248"/>
      <c r="AZ23" s="240"/>
      <c r="BB23" s="247"/>
      <c r="BC23" s="240"/>
      <c r="BD23" s="247"/>
      <c r="BE23" s="240"/>
      <c r="BF23" s="248"/>
      <c r="BG23" s="240"/>
      <c r="BJ23" s="247"/>
      <c r="BK23" s="240"/>
      <c r="BL23" s="247"/>
      <c r="BM23" s="240"/>
      <c r="BN23" s="248"/>
      <c r="BO23" s="240"/>
      <c r="BQ23" s="247"/>
      <c r="BR23" s="240"/>
      <c r="BS23" s="247"/>
      <c r="BT23" s="240"/>
      <c r="BU23" s="248"/>
      <c r="BV23" s="240"/>
      <c r="BY23" s="247"/>
      <c r="BZ23" s="240"/>
      <c r="CA23" s="247"/>
      <c r="CB23" s="240"/>
      <c r="CC23" s="248"/>
      <c r="CD23" s="240"/>
      <c r="CF23" s="247"/>
      <c r="CG23" s="240"/>
      <c r="CH23" s="247"/>
      <c r="CI23" s="240"/>
      <c r="CJ23" s="248"/>
      <c r="CK23" s="240"/>
      <c r="CN23" s="247"/>
      <c r="CO23" s="240"/>
      <c r="CP23" s="247"/>
      <c r="CQ23" s="240"/>
      <c r="CR23" s="248"/>
      <c r="CS23" s="240"/>
      <c r="CU23" s="247"/>
      <c r="CV23" s="240"/>
      <c r="CW23" s="247"/>
      <c r="CX23" s="240"/>
      <c r="CY23" s="248"/>
      <c r="CZ23" s="240"/>
      <c r="DC23" s="247"/>
      <c r="DD23" s="240"/>
      <c r="DE23" s="247"/>
      <c r="DF23" s="240"/>
      <c r="DG23" s="248"/>
      <c r="DH23" s="240"/>
      <c r="DJ23" s="247"/>
      <c r="DK23" s="240"/>
      <c r="DL23" s="247"/>
      <c r="DM23" s="240"/>
      <c r="DN23" s="248"/>
      <c r="DO23" s="240"/>
      <c r="DR23" s="247"/>
      <c r="DS23" s="240"/>
      <c r="DT23" s="247"/>
      <c r="DU23" s="240"/>
      <c r="DV23" s="248"/>
      <c r="DW23" s="240"/>
      <c r="DY23" s="247"/>
      <c r="DZ23" s="240"/>
      <c r="EA23" s="247"/>
      <c r="EB23" s="240"/>
      <c r="EC23" s="248"/>
      <c r="ED23" s="240"/>
      <c r="EG23" s="247"/>
      <c r="EH23" s="240"/>
      <c r="EI23" s="247"/>
      <c r="EJ23" s="240"/>
      <c r="EK23" s="248"/>
      <c r="EL23" s="240"/>
      <c r="EN23" s="247"/>
      <c r="EO23" s="240"/>
      <c r="EP23" s="247"/>
      <c r="EQ23" s="240"/>
      <c r="ER23" s="248"/>
      <c r="ES23" s="240"/>
    </row>
    <row r="24" spans="1:150" ht="6.6" customHeight="1">
      <c r="B24" s="68"/>
      <c r="D24" s="68"/>
      <c r="F24" s="69"/>
      <c r="I24" s="68"/>
      <c r="K24" s="68"/>
      <c r="M24" s="69"/>
      <c r="Q24" s="68"/>
      <c r="S24" s="68"/>
      <c r="U24" s="69"/>
      <c r="X24" s="68"/>
      <c r="Z24" s="68"/>
      <c r="AB24" s="69"/>
      <c r="AF24" s="68"/>
      <c r="AH24" s="68"/>
      <c r="AJ24" s="69"/>
      <c r="AM24" s="68"/>
      <c r="AO24" s="68"/>
      <c r="AQ24" s="69"/>
      <c r="AU24" s="68"/>
      <c r="AW24" s="68"/>
      <c r="AY24" s="69"/>
      <c r="BB24" s="68"/>
      <c r="BD24" s="68"/>
      <c r="BF24" s="69"/>
      <c r="BJ24" s="68"/>
      <c r="BL24" s="68"/>
      <c r="BN24" s="69"/>
      <c r="BQ24" s="68"/>
      <c r="BS24" s="68"/>
      <c r="BU24" s="69"/>
      <c r="BY24" s="68"/>
      <c r="CA24" s="68"/>
      <c r="CC24" s="69"/>
      <c r="CF24" s="68"/>
      <c r="CH24" s="68"/>
      <c r="CJ24" s="69"/>
      <c r="CN24" s="68"/>
      <c r="CP24" s="68"/>
      <c r="CR24" s="69"/>
      <c r="CU24" s="68"/>
      <c r="CW24" s="68"/>
      <c r="CY24" s="69"/>
      <c r="DC24" s="68"/>
      <c r="DE24" s="68"/>
      <c r="DG24" s="69"/>
      <c r="DJ24" s="68"/>
      <c r="DL24" s="68"/>
      <c r="DN24" s="69"/>
      <c r="DR24" s="68"/>
      <c r="DT24" s="68"/>
      <c r="DV24" s="69"/>
      <c r="DY24" s="68"/>
      <c r="EA24" s="68"/>
      <c r="EC24" s="69"/>
      <c r="EG24" s="68"/>
      <c r="EI24" s="68"/>
      <c r="EK24" s="69"/>
      <c r="EN24" s="68"/>
      <c r="EP24" s="68"/>
      <c r="ER24" s="69"/>
    </row>
    <row r="25" spans="1:150" s="55" customFormat="1" ht="25.8" customHeight="1">
      <c r="A25" s="54"/>
      <c r="B25" s="66"/>
      <c r="C25" s="245"/>
      <c r="D25" s="246"/>
      <c r="E25" s="246"/>
      <c r="F25" s="246"/>
      <c r="G25" s="65"/>
      <c r="H25" s="59"/>
      <c r="I25" s="66"/>
      <c r="J25" s="245"/>
      <c r="K25" s="246"/>
      <c r="L25" s="246"/>
      <c r="M25" s="246"/>
      <c r="N25" s="65"/>
      <c r="O25" s="45"/>
      <c r="P25" s="54"/>
      <c r="Q25" s="66"/>
      <c r="R25" s="245"/>
      <c r="S25" s="246"/>
      <c r="T25" s="246"/>
      <c r="U25" s="246"/>
      <c r="V25" s="65"/>
      <c r="W25" s="59"/>
      <c r="X25" s="66"/>
      <c r="Y25" s="245"/>
      <c r="Z25" s="246"/>
      <c r="AA25" s="246"/>
      <c r="AB25" s="246"/>
      <c r="AC25" s="65"/>
      <c r="AD25" s="45"/>
      <c r="AE25" s="54"/>
      <c r="AF25" s="66"/>
      <c r="AG25" s="245"/>
      <c r="AH25" s="246"/>
      <c r="AI25" s="246"/>
      <c r="AJ25" s="246"/>
      <c r="AK25" s="65"/>
      <c r="AL25" s="59"/>
      <c r="AM25" s="66"/>
      <c r="AN25" s="245"/>
      <c r="AO25" s="246"/>
      <c r="AP25" s="246"/>
      <c r="AQ25" s="246"/>
      <c r="AR25" s="65"/>
      <c r="AS25" s="45"/>
      <c r="AT25" s="54"/>
      <c r="AU25" s="66"/>
      <c r="AV25" s="245"/>
      <c r="AW25" s="246"/>
      <c r="AX25" s="246"/>
      <c r="AY25" s="246"/>
      <c r="AZ25" s="65"/>
      <c r="BA25" s="59"/>
      <c r="BB25" s="66"/>
      <c r="BC25" s="245"/>
      <c r="BD25" s="246"/>
      <c r="BE25" s="246"/>
      <c r="BF25" s="246"/>
      <c r="BG25" s="65"/>
      <c r="BH25" s="45"/>
      <c r="BI25" s="54"/>
      <c r="BJ25" s="66"/>
      <c r="BK25" s="245"/>
      <c r="BL25" s="246"/>
      <c r="BM25" s="246"/>
      <c r="BN25" s="246"/>
      <c r="BO25" s="65"/>
      <c r="BP25" s="59"/>
      <c r="BQ25" s="66"/>
      <c r="BR25" s="245"/>
      <c r="BS25" s="246"/>
      <c r="BT25" s="246"/>
      <c r="BU25" s="246"/>
      <c r="BV25" s="65"/>
      <c r="BW25" s="45"/>
      <c r="BX25" s="54"/>
      <c r="BY25" s="66"/>
      <c r="BZ25" s="245"/>
      <c r="CA25" s="246"/>
      <c r="CB25" s="246"/>
      <c r="CC25" s="246"/>
      <c r="CD25" s="65"/>
      <c r="CE25" s="59"/>
      <c r="CF25" s="66"/>
      <c r="CG25" s="245"/>
      <c r="CH25" s="246"/>
      <c r="CI25" s="246"/>
      <c r="CJ25" s="246"/>
      <c r="CK25" s="65"/>
      <c r="CL25" s="45"/>
      <c r="CM25" s="54"/>
      <c r="CN25" s="66"/>
      <c r="CO25" s="245"/>
      <c r="CP25" s="246"/>
      <c r="CQ25" s="246"/>
      <c r="CR25" s="246"/>
      <c r="CS25" s="65"/>
      <c r="CT25" s="59"/>
      <c r="CU25" s="66"/>
      <c r="CV25" s="245"/>
      <c r="CW25" s="246"/>
      <c r="CX25" s="246"/>
      <c r="CY25" s="246"/>
      <c r="CZ25" s="65"/>
      <c r="DA25" s="45"/>
      <c r="DB25" s="54"/>
      <c r="DC25" s="66"/>
      <c r="DD25" s="245"/>
      <c r="DE25" s="246"/>
      <c r="DF25" s="246"/>
      <c r="DG25" s="246"/>
      <c r="DH25" s="65"/>
      <c r="DI25" s="59"/>
      <c r="DJ25" s="66"/>
      <c r="DK25" s="245"/>
      <c r="DL25" s="246"/>
      <c r="DM25" s="246"/>
      <c r="DN25" s="246"/>
      <c r="DO25" s="65"/>
      <c r="DP25" s="45"/>
      <c r="DQ25" s="54"/>
      <c r="DR25" s="66"/>
      <c r="DS25" s="245"/>
      <c r="DT25" s="246"/>
      <c r="DU25" s="246"/>
      <c r="DV25" s="246"/>
      <c r="DW25" s="65"/>
      <c r="DX25" s="59"/>
      <c r="DY25" s="66"/>
      <c r="DZ25" s="245"/>
      <c r="EA25" s="246"/>
      <c r="EB25" s="246"/>
      <c r="EC25" s="246"/>
      <c r="ED25" s="65"/>
      <c r="EE25" s="45"/>
      <c r="EF25" s="54"/>
      <c r="EG25" s="66"/>
      <c r="EH25" s="245"/>
      <c r="EI25" s="246"/>
      <c r="EJ25" s="246"/>
      <c r="EK25" s="246"/>
      <c r="EL25" s="65"/>
      <c r="EM25" s="59"/>
      <c r="EN25" s="66"/>
      <c r="EO25" s="245"/>
      <c r="EP25" s="246"/>
      <c r="EQ25" s="246"/>
      <c r="ER25" s="246"/>
      <c r="ES25" s="65"/>
      <c r="ET25" s="45"/>
    </row>
    <row r="26" spans="1:150" s="55" customFormat="1">
      <c r="A26" s="54"/>
      <c r="B26" s="56"/>
      <c r="C26" s="70"/>
      <c r="D26" s="64"/>
      <c r="E26" s="64"/>
      <c r="F26" s="71"/>
      <c r="G26" s="62"/>
      <c r="H26" s="72"/>
      <c r="I26" s="56"/>
      <c r="J26" s="70"/>
      <c r="K26" s="64"/>
      <c r="L26" s="64"/>
      <c r="M26" s="71"/>
      <c r="N26" s="62"/>
      <c r="O26" s="45"/>
      <c r="P26" s="54"/>
      <c r="Q26" s="56"/>
      <c r="R26" s="70"/>
      <c r="S26" s="64"/>
      <c r="T26" s="64"/>
      <c r="U26" s="71"/>
      <c r="V26" s="62"/>
      <c r="W26" s="72"/>
      <c r="X26" s="56"/>
      <c r="Y26" s="70"/>
      <c r="Z26" s="64"/>
      <c r="AA26" s="64"/>
      <c r="AB26" s="71"/>
      <c r="AC26" s="62"/>
      <c r="AD26" s="45"/>
      <c r="AE26" s="54"/>
      <c r="AF26" s="56"/>
      <c r="AG26" s="70"/>
      <c r="AH26" s="64"/>
      <c r="AI26" s="64"/>
      <c r="AJ26" s="71"/>
      <c r="AK26" s="62"/>
      <c r="AL26" s="72"/>
      <c r="AM26" s="56"/>
      <c r="AN26" s="70"/>
      <c r="AO26" s="64"/>
      <c r="AP26" s="64"/>
      <c r="AQ26" s="71"/>
      <c r="AR26" s="62"/>
      <c r="AS26" s="45"/>
      <c r="AT26" s="54"/>
      <c r="AU26" s="56"/>
      <c r="AV26" s="70"/>
      <c r="AW26" s="64"/>
      <c r="AX26" s="64"/>
      <c r="AY26" s="71"/>
      <c r="AZ26" s="62"/>
      <c r="BA26" s="72"/>
      <c r="BB26" s="56"/>
      <c r="BC26" s="70"/>
      <c r="BD26" s="64"/>
      <c r="BE26" s="64"/>
      <c r="BF26" s="71"/>
      <c r="BG26" s="62"/>
      <c r="BH26" s="45"/>
      <c r="BI26" s="54"/>
      <c r="BJ26" s="56"/>
      <c r="BK26" s="70"/>
      <c r="BL26" s="64"/>
      <c r="BM26" s="64"/>
      <c r="BN26" s="71"/>
      <c r="BO26" s="62"/>
      <c r="BP26" s="72"/>
      <c r="BQ26" s="56"/>
      <c r="BR26" s="70"/>
      <c r="BS26" s="64"/>
      <c r="BT26" s="64"/>
      <c r="BU26" s="71"/>
      <c r="BV26" s="62"/>
      <c r="BW26" s="45"/>
      <c r="BX26" s="54"/>
      <c r="BY26" s="56"/>
      <c r="BZ26" s="70"/>
      <c r="CA26" s="64"/>
      <c r="CB26" s="64"/>
      <c r="CC26" s="71"/>
      <c r="CD26" s="62"/>
      <c r="CE26" s="72"/>
      <c r="CF26" s="56"/>
      <c r="CG26" s="70"/>
      <c r="CH26" s="64"/>
      <c r="CI26" s="64"/>
      <c r="CJ26" s="71"/>
      <c r="CK26" s="62"/>
      <c r="CL26" s="45"/>
      <c r="CM26" s="54"/>
      <c r="CN26" s="56"/>
      <c r="CO26" s="70"/>
      <c r="CP26" s="64"/>
      <c r="CQ26" s="64"/>
      <c r="CR26" s="71"/>
      <c r="CS26" s="62"/>
      <c r="CT26" s="72"/>
      <c r="CU26" s="56"/>
      <c r="CV26" s="70"/>
      <c r="CW26" s="64"/>
      <c r="CX26" s="64"/>
      <c r="CY26" s="71"/>
      <c r="CZ26" s="62"/>
      <c r="DA26" s="45"/>
      <c r="DB26" s="54"/>
      <c r="DC26" s="56"/>
      <c r="DD26" s="70"/>
      <c r="DE26" s="64"/>
      <c r="DF26" s="64"/>
      <c r="DG26" s="71"/>
      <c r="DH26" s="62"/>
      <c r="DI26" s="72"/>
      <c r="DJ26" s="56"/>
      <c r="DK26" s="70"/>
      <c r="DL26" s="64"/>
      <c r="DM26" s="64"/>
      <c r="DN26" s="71"/>
      <c r="DO26" s="62"/>
      <c r="DP26" s="45"/>
      <c r="DQ26" s="54"/>
      <c r="DR26" s="56"/>
      <c r="DS26" s="70"/>
      <c r="DT26" s="64"/>
      <c r="DU26" s="64"/>
      <c r="DV26" s="71"/>
      <c r="DW26" s="62"/>
      <c r="DX26" s="72"/>
      <c r="DY26" s="56"/>
      <c r="DZ26" s="70"/>
      <c r="EA26" s="64"/>
      <c r="EB26" s="64"/>
      <c r="EC26" s="71"/>
      <c r="ED26" s="62"/>
      <c r="EE26" s="45"/>
      <c r="EF26" s="54"/>
      <c r="EG26" s="56"/>
      <c r="EH26" s="70"/>
      <c r="EI26" s="64"/>
      <c r="EJ26" s="64"/>
      <c r="EK26" s="71"/>
      <c r="EL26" s="62"/>
      <c r="EM26" s="72"/>
      <c r="EN26" s="56"/>
      <c r="EO26" s="70"/>
      <c r="EP26" s="64"/>
      <c r="EQ26" s="64"/>
      <c r="ER26" s="71"/>
      <c r="ES26" s="62"/>
      <c r="ET26" s="45"/>
    </row>
    <row r="27" spans="1:150" s="55" customFormat="1">
      <c r="A27" s="54"/>
      <c r="B27" s="57"/>
      <c r="C27" s="243"/>
      <c r="D27" s="244"/>
      <c r="E27" s="45"/>
      <c r="G27" s="63"/>
      <c r="H27" s="59"/>
      <c r="I27" s="57"/>
      <c r="J27" s="243"/>
      <c r="K27" s="244"/>
      <c r="L27" s="45"/>
      <c r="N27" s="63"/>
      <c r="O27" s="45"/>
      <c r="P27" s="54"/>
      <c r="Q27" s="57"/>
      <c r="R27" s="243"/>
      <c r="S27" s="244"/>
      <c r="T27" s="45"/>
      <c r="V27" s="63"/>
      <c r="W27" s="59"/>
      <c r="X27" s="57"/>
      <c r="Y27" s="243"/>
      <c r="Z27" s="244"/>
      <c r="AA27" s="45"/>
      <c r="AC27" s="63"/>
      <c r="AD27" s="45"/>
      <c r="AE27" s="54"/>
      <c r="AF27" s="57"/>
      <c r="AG27" s="243"/>
      <c r="AH27" s="244"/>
      <c r="AI27" s="45"/>
      <c r="AK27" s="63"/>
      <c r="AL27" s="59"/>
      <c r="AM27" s="57"/>
      <c r="AN27" s="243"/>
      <c r="AO27" s="244"/>
      <c r="AP27" s="45"/>
      <c r="AR27" s="63"/>
      <c r="AS27" s="45"/>
      <c r="AT27" s="54"/>
      <c r="AU27" s="57"/>
      <c r="AV27" s="243"/>
      <c r="AW27" s="244"/>
      <c r="AX27" s="45"/>
      <c r="AZ27" s="63"/>
      <c r="BA27" s="59"/>
      <c r="BB27" s="57"/>
      <c r="BC27" s="243"/>
      <c r="BD27" s="244"/>
      <c r="BE27" s="45"/>
      <c r="BG27" s="63"/>
      <c r="BH27" s="45"/>
      <c r="BI27" s="54"/>
      <c r="BJ27" s="57"/>
      <c r="BK27" s="243"/>
      <c r="BL27" s="244"/>
      <c r="BM27" s="45"/>
      <c r="BO27" s="63"/>
      <c r="BP27" s="59"/>
      <c r="BQ27" s="57"/>
      <c r="BR27" s="243"/>
      <c r="BS27" s="244"/>
      <c r="BT27" s="45"/>
      <c r="BV27" s="63"/>
      <c r="BW27" s="45"/>
      <c r="BX27" s="54"/>
      <c r="BY27" s="57"/>
      <c r="BZ27" s="243"/>
      <c r="CA27" s="244"/>
      <c r="CB27" s="45"/>
      <c r="CD27" s="63"/>
      <c r="CE27" s="59"/>
      <c r="CF27" s="57"/>
      <c r="CG27" s="243"/>
      <c r="CH27" s="244"/>
      <c r="CI27" s="45"/>
      <c r="CK27" s="63"/>
      <c r="CL27" s="45"/>
      <c r="CM27" s="54"/>
      <c r="CN27" s="57"/>
      <c r="CO27" s="243"/>
      <c r="CP27" s="244"/>
      <c r="CQ27" s="45"/>
      <c r="CS27" s="63"/>
      <c r="CT27" s="59"/>
      <c r="CU27" s="57"/>
      <c r="CV27" s="243"/>
      <c r="CW27" s="244"/>
      <c r="CX27" s="45"/>
      <c r="CZ27" s="63"/>
      <c r="DA27" s="45"/>
      <c r="DB27" s="54"/>
      <c r="DC27" s="57"/>
      <c r="DD27" s="243"/>
      <c r="DE27" s="244"/>
      <c r="DF27" s="45"/>
      <c r="DH27" s="63"/>
      <c r="DI27" s="59"/>
      <c r="DJ27" s="57"/>
      <c r="DK27" s="243"/>
      <c r="DL27" s="244"/>
      <c r="DM27" s="45"/>
      <c r="DO27" s="63"/>
      <c r="DP27" s="45"/>
      <c r="DQ27" s="54"/>
      <c r="DR27" s="57"/>
      <c r="DS27" s="243"/>
      <c r="DT27" s="244"/>
      <c r="DU27" s="45"/>
      <c r="DW27" s="63"/>
      <c r="DX27" s="59"/>
      <c r="DY27" s="57"/>
      <c r="DZ27" s="243"/>
      <c r="EA27" s="244"/>
      <c r="EB27" s="45"/>
      <c r="ED27" s="63"/>
      <c r="EE27" s="45"/>
      <c r="EF27" s="54"/>
      <c r="EG27" s="57"/>
      <c r="EH27" s="243"/>
      <c r="EI27" s="244"/>
      <c r="EJ27" s="45"/>
      <c r="EL27" s="63"/>
      <c r="EM27" s="59"/>
      <c r="EN27" s="57"/>
      <c r="EO27" s="243"/>
      <c r="EP27" s="244"/>
      <c r="EQ27" s="45"/>
      <c r="ES27" s="63"/>
      <c r="ET27" s="45"/>
    </row>
    <row r="28" spans="1:150" ht="15.6" customHeight="1">
      <c r="B28" s="48"/>
      <c r="C28" s="241"/>
      <c r="D28" s="242"/>
      <c r="E28" s="73"/>
      <c r="F28" s="237"/>
      <c r="G28" s="238"/>
      <c r="H28" s="49"/>
      <c r="I28" s="48"/>
      <c r="J28" s="241"/>
      <c r="K28" s="242"/>
      <c r="L28" s="73"/>
      <c r="M28" s="237"/>
      <c r="N28" s="238"/>
      <c r="Q28" s="48"/>
      <c r="R28" s="241"/>
      <c r="S28" s="242"/>
      <c r="T28" s="73"/>
      <c r="U28" s="237"/>
      <c r="V28" s="238"/>
      <c r="W28" s="49"/>
      <c r="X28" s="48"/>
      <c r="Y28" s="241"/>
      <c r="Z28" s="242"/>
      <c r="AA28" s="73"/>
      <c r="AB28" s="237"/>
      <c r="AC28" s="238"/>
      <c r="AF28" s="48"/>
      <c r="AG28" s="241"/>
      <c r="AH28" s="242"/>
      <c r="AI28" s="73"/>
      <c r="AJ28" s="237"/>
      <c r="AK28" s="238"/>
      <c r="AL28" s="49"/>
      <c r="AM28" s="48"/>
      <c r="AN28" s="241"/>
      <c r="AO28" s="242"/>
      <c r="AP28" s="73"/>
      <c r="AQ28" s="237"/>
      <c r="AR28" s="238"/>
      <c r="AU28" s="48"/>
      <c r="AV28" s="241"/>
      <c r="AW28" s="242"/>
      <c r="AX28" s="73"/>
      <c r="AY28" s="237"/>
      <c r="AZ28" s="238"/>
      <c r="BA28" s="49"/>
      <c r="BB28" s="48"/>
      <c r="BC28" s="241"/>
      <c r="BD28" s="242"/>
      <c r="BE28" s="73"/>
      <c r="BF28" s="237"/>
      <c r="BG28" s="238"/>
      <c r="BJ28" s="48"/>
      <c r="BK28" s="241"/>
      <c r="BL28" s="242"/>
      <c r="BM28" s="73"/>
      <c r="BN28" s="237"/>
      <c r="BO28" s="238"/>
      <c r="BP28" s="49"/>
      <c r="BQ28" s="48"/>
      <c r="BR28" s="241"/>
      <c r="BS28" s="242"/>
      <c r="BT28" s="73"/>
      <c r="BU28" s="237"/>
      <c r="BV28" s="238"/>
      <c r="BY28" s="48"/>
      <c r="BZ28" s="241"/>
      <c r="CA28" s="242"/>
      <c r="CB28" s="73"/>
      <c r="CC28" s="237"/>
      <c r="CD28" s="238"/>
      <c r="CE28" s="49"/>
      <c r="CF28" s="48"/>
      <c r="CG28" s="241"/>
      <c r="CH28" s="242"/>
      <c r="CI28" s="73"/>
      <c r="CJ28" s="237"/>
      <c r="CK28" s="238"/>
      <c r="CN28" s="48"/>
      <c r="CO28" s="241"/>
      <c r="CP28" s="242"/>
      <c r="CQ28" s="73"/>
      <c r="CR28" s="237"/>
      <c r="CS28" s="238"/>
      <c r="CT28" s="49"/>
      <c r="CU28" s="48"/>
      <c r="CV28" s="241"/>
      <c r="CW28" s="242"/>
      <c r="CX28" s="73"/>
      <c r="CY28" s="237"/>
      <c r="CZ28" s="238"/>
      <c r="DC28" s="48"/>
      <c r="DD28" s="241"/>
      <c r="DE28" s="242"/>
      <c r="DF28" s="73"/>
      <c r="DG28" s="237"/>
      <c r="DH28" s="238"/>
      <c r="DI28" s="49"/>
      <c r="DJ28" s="48"/>
      <c r="DK28" s="241"/>
      <c r="DL28" s="242"/>
      <c r="DM28" s="73"/>
      <c r="DN28" s="237"/>
      <c r="DO28" s="238"/>
      <c r="DR28" s="48"/>
      <c r="DS28" s="241"/>
      <c r="DT28" s="242"/>
      <c r="DU28" s="73"/>
      <c r="DV28" s="237"/>
      <c r="DW28" s="238"/>
      <c r="DX28" s="49"/>
      <c r="DY28" s="48"/>
      <c r="DZ28" s="241"/>
      <c r="EA28" s="242"/>
      <c r="EB28" s="73"/>
      <c r="EC28" s="237"/>
      <c r="ED28" s="238"/>
      <c r="EG28" s="48"/>
      <c r="EH28" s="241"/>
      <c r="EI28" s="242"/>
      <c r="EJ28" s="73"/>
      <c r="EK28" s="237"/>
      <c r="EL28" s="238"/>
      <c r="EM28" s="49"/>
      <c r="EN28" s="48"/>
      <c r="EO28" s="241"/>
      <c r="EP28" s="242"/>
      <c r="EQ28" s="73"/>
      <c r="ER28" s="237"/>
      <c r="ES28" s="238"/>
    </row>
    <row r="29" spans="1:150" ht="15.6" customHeight="1">
      <c r="B29" s="50"/>
      <c r="C29" s="239"/>
      <c r="D29" s="239"/>
      <c r="E29" s="67"/>
      <c r="F29" s="239"/>
      <c r="G29" s="240"/>
      <c r="H29" s="49"/>
      <c r="I29" s="50"/>
      <c r="J29" s="239"/>
      <c r="K29" s="239"/>
      <c r="L29" s="67"/>
      <c r="M29" s="239"/>
      <c r="N29" s="240"/>
      <c r="Q29" s="50"/>
      <c r="R29" s="239"/>
      <c r="S29" s="239"/>
      <c r="T29" s="67"/>
      <c r="U29" s="239"/>
      <c r="V29" s="240"/>
      <c r="W29" s="49"/>
      <c r="X29" s="50"/>
      <c r="Y29" s="239"/>
      <c r="Z29" s="239"/>
      <c r="AA29" s="67"/>
      <c r="AB29" s="239"/>
      <c r="AC29" s="240"/>
      <c r="AF29" s="50"/>
      <c r="AG29" s="239"/>
      <c r="AH29" s="239"/>
      <c r="AI29" s="67"/>
      <c r="AJ29" s="239"/>
      <c r="AK29" s="240"/>
      <c r="AL29" s="49"/>
      <c r="AM29" s="50"/>
      <c r="AN29" s="239"/>
      <c r="AO29" s="239"/>
      <c r="AP29" s="67"/>
      <c r="AQ29" s="239"/>
      <c r="AR29" s="240"/>
      <c r="AU29" s="50"/>
      <c r="AV29" s="239"/>
      <c r="AW29" s="239"/>
      <c r="AX29" s="67"/>
      <c r="AY29" s="239"/>
      <c r="AZ29" s="240"/>
      <c r="BA29" s="49"/>
      <c r="BB29" s="50"/>
      <c r="BC29" s="239"/>
      <c r="BD29" s="239"/>
      <c r="BE29" s="67"/>
      <c r="BF29" s="239"/>
      <c r="BG29" s="240"/>
      <c r="BJ29" s="50"/>
      <c r="BK29" s="239"/>
      <c r="BL29" s="239"/>
      <c r="BM29" s="67"/>
      <c r="BN29" s="239"/>
      <c r="BO29" s="240"/>
      <c r="BP29" s="49"/>
      <c r="BQ29" s="50"/>
      <c r="BR29" s="239"/>
      <c r="BS29" s="239"/>
      <c r="BT29" s="67"/>
      <c r="BU29" s="239"/>
      <c r="BV29" s="240"/>
      <c r="BY29" s="50"/>
      <c r="BZ29" s="239"/>
      <c r="CA29" s="239"/>
      <c r="CB29" s="67"/>
      <c r="CC29" s="239"/>
      <c r="CD29" s="240"/>
      <c r="CE29" s="49"/>
      <c r="CF29" s="50"/>
      <c r="CG29" s="239"/>
      <c r="CH29" s="239"/>
      <c r="CI29" s="67"/>
      <c r="CJ29" s="239"/>
      <c r="CK29" s="240"/>
      <c r="CN29" s="50"/>
      <c r="CO29" s="239"/>
      <c r="CP29" s="239"/>
      <c r="CQ29" s="67"/>
      <c r="CR29" s="239"/>
      <c r="CS29" s="240"/>
      <c r="CT29" s="49"/>
      <c r="CU29" s="50"/>
      <c r="CV29" s="239"/>
      <c r="CW29" s="239"/>
      <c r="CX29" s="67"/>
      <c r="CY29" s="239"/>
      <c r="CZ29" s="240"/>
      <c r="DC29" s="50"/>
      <c r="DD29" s="239"/>
      <c r="DE29" s="239"/>
      <c r="DF29" s="67"/>
      <c r="DG29" s="239"/>
      <c r="DH29" s="240"/>
      <c r="DI29" s="49"/>
      <c r="DJ29" s="50"/>
      <c r="DK29" s="239"/>
      <c r="DL29" s="239"/>
      <c r="DM29" s="67"/>
      <c r="DN29" s="239"/>
      <c r="DO29" s="240"/>
      <c r="DR29" s="50"/>
      <c r="DS29" s="239"/>
      <c r="DT29" s="239"/>
      <c r="DU29" s="67"/>
      <c r="DV29" s="239"/>
      <c r="DW29" s="240"/>
      <c r="DX29" s="49"/>
      <c r="DY29" s="50"/>
      <c r="DZ29" s="239"/>
      <c r="EA29" s="239"/>
      <c r="EB29" s="67"/>
      <c r="EC29" s="239"/>
      <c r="ED29" s="240"/>
      <c r="EG29" s="50"/>
      <c r="EH29" s="239"/>
      <c r="EI29" s="239"/>
      <c r="EJ29" s="67"/>
      <c r="EK29" s="239"/>
      <c r="EL29" s="240"/>
      <c r="EM29" s="49"/>
      <c r="EN29" s="50"/>
      <c r="EO29" s="239"/>
      <c r="EP29" s="239"/>
      <c r="EQ29" s="67"/>
      <c r="ER29" s="239"/>
      <c r="ES29" s="240"/>
    </row>
    <row r="30" spans="1:150" s="55" customFormat="1">
      <c r="A30" s="54"/>
      <c r="B30" s="60"/>
      <c r="C30" s="58"/>
      <c r="D30" s="60"/>
      <c r="E30" s="58"/>
      <c r="F30" s="60"/>
      <c r="G30" s="63"/>
      <c r="H30" s="45"/>
      <c r="I30" s="60"/>
      <c r="J30" s="58"/>
      <c r="K30" s="60"/>
      <c r="L30" s="58"/>
      <c r="M30" s="60"/>
      <c r="N30" s="63"/>
      <c r="O30" s="45"/>
      <c r="P30" s="54"/>
      <c r="Q30" s="60"/>
      <c r="R30" s="58"/>
      <c r="S30" s="60"/>
      <c r="T30" s="58"/>
      <c r="U30" s="60"/>
      <c r="V30" s="63"/>
      <c r="W30" s="45"/>
      <c r="X30" s="60"/>
      <c r="Y30" s="58"/>
      <c r="Z30" s="60"/>
      <c r="AA30" s="58"/>
      <c r="AB30" s="60"/>
      <c r="AC30" s="63"/>
      <c r="AD30" s="45"/>
      <c r="AE30" s="54"/>
      <c r="AF30" s="60"/>
      <c r="AG30" s="58"/>
      <c r="AH30" s="60"/>
      <c r="AI30" s="58"/>
      <c r="AJ30" s="60"/>
      <c r="AK30" s="63"/>
      <c r="AL30" s="45"/>
      <c r="AM30" s="60"/>
      <c r="AN30" s="58"/>
      <c r="AO30" s="60"/>
      <c r="AP30" s="58"/>
      <c r="AQ30" s="60"/>
      <c r="AR30" s="63"/>
      <c r="AS30" s="45"/>
      <c r="AT30" s="54"/>
      <c r="AU30" s="60"/>
      <c r="AV30" s="58"/>
      <c r="AW30" s="60"/>
      <c r="AX30" s="58"/>
      <c r="AY30" s="60"/>
      <c r="AZ30" s="63"/>
      <c r="BA30" s="45"/>
      <c r="BB30" s="60"/>
      <c r="BC30" s="58"/>
      <c r="BD30" s="60"/>
      <c r="BE30" s="58"/>
      <c r="BF30" s="60"/>
      <c r="BG30" s="63"/>
      <c r="BH30" s="45"/>
      <c r="BI30" s="54"/>
      <c r="BJ30" s="60"/>
      <c r="BK30" s="58"/>
      <c r="BL30" s="60"/>
      <c r="BM30" s="58"/>
      <c r="BN30" s="60"/>
      <c r="BO30" s="63"/>
      <c r="BP30" s="45"/>
      <c r="BQ30" s="60"/>
      <c r="BR30" s="58"/>
      <c r="BS30" s="60"/>
      <c r="BT30" s="58"/>
      <c r="BU30" s="60"/>
      <c r="BV30" s="63"/>
      <c r="BW30" s="45"/>
      <c r="BX30" s="54"/>
      <c r="BY30" s="60"/>
      <c r="BZ30" s="58"/>
      <c r="CA30" s="60"/>
      <c r="CB30" s="58"/>
      <c r="CC30" s="60"/>
      <c r="CD30" s="63"/>
      <c r="CE30" s="45"/>
      <c r="CF30" s="60"/>
      <c r="CG30" s="58"/>
      <c r="CH30" s="60"/>
      <c r="CI30" s="58"/>
      <c r="CJ30" s="60"/>
      <c r="CK30" s="63"/>
      <c r="CL30" s="45"/>
      <c r="CM30" s="54"/>
      <c r="CN30" s="60"/>
      <c r="CO30" s="58"/>
      <c r="CP30" s="60"/>
      <c r="CQ30" s="58"/>
      <c r="CR30" s="60"/>
      <c r="CS30" s="63"/>
      <c r="CT30" s="45"/>
      <c r="CU30" s="60"/>
      <c r="CV30" s="58"/>
      <c r="CW30" s="60"/>
      <c r="CX30" s="58"/>
      <c r="CY30" s="60"/>
      <c r="CZ30" s="63"/>
      <c r="DA30" s="45"/>
      <c r="DB30" s="54"/>
      <c r="DC30" s="60"/>
      <c r="DD30" s="58"/>
      <c r="DE30" s="60"/>
      <c r="DF30" s="58"/>
      <c r="DG30" s="60"/>
      <c r="DH30" s="63"/>
      <c r="DI30" s="45"/>
      <c r="DJ30" s="60"/>
      <c r="DK30" s="58"/>
      <c r="DL30" s="60"/>
      <c r="DM30" s="58"/>
      <c r="DN30" s="60"/>
      <c r="DO30" s="63"/>
      <c r="DP30" s="45"/>
      <c r="DQ30" s="54"/>
      <c r="DR30" s="60"/>
      <c r="DS30" s="58"/>
      <c r="DT30" s="60"/>
      <c r="DU30" s="58"/>
      <c r="DV30" s="60"/>
      <c r="DW30" s="63"/>
      <c r="DX30" s="45"/>
      <c r="DY30" s="60"/>
      <c r="DZ30" s="58"/>
      <c r="EA30" s="60"/>
      <c r="EB30" s="58"/>
      <c r="EC30" s="60"/>
      <c r="ED30" s="63"/>
      <c r="EE30" s="45"/>
      <c r="EF30" s="54"/>
      <c r="EG30" s="60"/>
      <c r="EH30" s="58"/>
      <c r="EI30" s="60"/>
      <c r="EJ30" s="58"/>
      <c r="EK30" s="60"/>
      <c r="EL30" s="63"/>
      <c r="EM30" s="45"/>
      <c r="EN30" s="60"/>
      <c r="EO30" s="58"/>
      <c r="EP30" s="60"/>
      <c r="EQ30" s="58"/>
      <c r="ER30" s="60"/>
      <c r="ES30" s="63"/>
      <c r="ET30" s="45"/>
    </row>
    <row r="31" spans="1:150" ht="27.6" customHeight="1">
      <c r="B31" s="247"/>
      <c r="C31" s="240"/>
      <c r="D31" s="247"/>
      <c r="E31" s="240"/>
      <c r="F31" s="248"/>
      <c r="G31" s="240"/>
      <c r="I31" s="247"/>
      <c r="J31" s="240"/>
      <c r="K31" s="247"/>
      <c r="L31" s="240"/>
      <c r="M31" s="248"/>
      <c r="N31" s="240"/>
      <c r="Q31" s="247"/>
      <c r="R31" s="240"/>
      <c r="S31" s="247"/>
      <c r="T31" s="240"/>
      <c r="U31" s="248"/>
      <c r="V31" s="240"/>
      <c r="X31" s="247"/>
      <c r="Y31" s="240"/>
      <c r="Z31" s="247"/>
      <c r="AA31" s="240"/>
      <c r="AB31" s="248"/>
      <c r="AC31" s="240"/>
      <c r="AF31" s="247"/>
      <c r="AG31" s="240"/>
      <c r="AH31" s="247"/>
      <c r="AI31" s="240"/>
      <c r="AJ31" s="248"/>
      <c r="AK31" s="240"/>
      <c r="AM31" s="247"/>
      <c r="AN31" s="240"/>
      <c r="AO31" s="247"/>
      <c r="AP31" s="240"/>
      <c r="AQ31" s="248"/>
      <c r="AR31" s="240"/>
      <c r="AU31" s="247"/>
      <c r="AV31" s="240"/>
      <c r="AW31" s="247"/>
      <c r="AX31" s="240"/>
      <c r="AY31" s="248"/>
      <c r="AZ31" s="240"/>
      <c r="BB31" s="247"/>
      <c r="BC31" s="240"/>
      <c r="BD31" s="247"/>
      <c r="BE31" s="240"/>
      <c r="BF31" s="248"/>
      <c r="BG31" s="240"/>
      <c r="BJ31" s="247"/>
      <c r="BK31" s="240"/>
      <c r="BL31" s="247"/>
      <c r="BM31" s="240"/>
      <c r="BN31" s="248"/>
      <c r="BO31" s="240"/>
      <c r="BQ31" s="247"/>
      <c r="BR31" s="240"/>
      <c r="BS31" s="247"/>
      <c r="BT31" s="240"/>
      <c r="BU31" s="248"/>
      <c r="BV31" s="240"/>
      <c r="BY31" s="247"/>
      <c r="BZ31" s="240"/>
      <c r="CA31" s="247"/>
      <c r="CB31" s="240"/>
      <c r="CC31" s="248"/>
      <c r="CD31" s="240"/>
      <c r="CF31" s="247"/>
      <c r="CG31" s="240"/>
      <c r="CH31" s="247"/>
      <c r="CI31" s="240"/>
      <c r="CJ31" s="248"/>
      <c r="CK31" s="240"/>
      <c r="CN31" s="247"/>
      <c r="CO31" s="240"/>
      <c r="CP31" s="247"/>
      <c r="CQ31" s="240"/>
      <c r="CR31" s="248"/>
      <c r="CS31" s="240"/>
      <c r="CU31" s="247"/>
      <c r="CV31" s="240"/>
      <c r="CW31" s="247"/>
      <c r="CX31" s="240"/>
      <c r="CY31" s="248"/>
      <c r="CZ31" s="240"/>
      <c r="DC31" s="247"/>
      <c r="DD31" s="240"/>
      <c r="DE31" s="247"/>
      <c r="DF31" s="240"/>
      <c r="DG31" s="248"/>
      <c r="DH31" s="240"/>
      <c r="DJ31" s="247"/>
      <c r="DK31" s="240"/>
      <c r="DL31" s="247"/>
      <c r="DM31" s="240"/>
      <c r="DN31" s="248"/>
      <c r="DO31" s="240"/>
      <c r="DR31" s="247"/>
      <c r="DS31" s="240"/>
      <c r="DT31" s="247"/>
      <c r="DU31" s="240"/>
      <c r="DV31" s="248"/>
      <c r="DW31" s="240"/>
      <c r="DY31" s="247"/>
      <c r="DZ31" s="240"/>
      <c r="EA31" s="247"/>
      <c r="EB31" s="240"/>
      <c r="EC31" s="248"/>
      <c r="ED31" s="240"/>
      <c r="EG31" s="247"/>
      <c r="EH31" s="240"/>
      <c r="EI31" s="247"/>
      <c r="EJ31" s="240"/>
      <c r="EK31" s="248"/>
      <c r="EL31" s="240"/>
      <c r="EN31" s="247"/>
      <c r="EO31" s="240"/>
      <c r="EP31" s="247"/>
      <c r="EQ31" s="240"/>
      <c r="ER31" s="248"/>
      <c r="ES31" s="240"/>
    </row>
    <row r="32" spans="1:150" ht="6.6" customHeight="1">
      <c r="B32" s="68"/>
      <c r="D32" s="68"/>
      <c r="F32" s="69"/>
      <c r="I32" s="68"/>
      <c r="K32" s="68"/>
      <c r="M32" s="69"/>
      <c r="Q32" s="68"/>
      <c r="S32" s="68"/>
      <c r="U32" s="69"/>
      <c r="X32" s="68"/>
      <c r="Z32" s="68"/>
      <c r="AB32" s="69"/>
      <c r="AF32" s="68"/>
      <c r="AH32" s="68"/>
      <c r="AJ32" s="69"/>
      <c r="AM32" s="68"/>
      <c r="AO32" s="68"/>
      <c r="AQ32" s="69"/>
      <c r="AU32" s="68"/>
      <c r="AW32" s="68"/>
      <c r="AY32" s="69"/>
      <c r="BB32" s="68"/>
      <c r="BD32" s="68"/>
      <c r="BF32" s="69"/>
      <c r="BJ32" s="68"/>
      <c r="BL32" s="68"/>
      <c r="BN32" s="69"/>
      <c r="BQ32" s="68"/>
      <c r="BS32" s="68"/>
      <c r="BU32" s="69"/>
      <c r="BY32" s="68"/>
      <c r="CA32" s="68"/>
      <c r="CC32" s="69"/>
      <c r="CF32" s="68"/>
      <c r="CH32" s="68"/>
      <c r="CJ32" s="69"/>
      <c r="CN32" s="68"/>
      <c r="CP32" s="68"/>
      <c r="CR32" s="69"/>
      <c r="CU32" s="68"/>
      <c r="CW32" s="68"/>
      <c r="CY32" s="69"/>
      <c r="DC32" s="68"/>
      <c r="DE32" s="68"/>
      <c r="DG32" s="69"/>
      <c r="DJ32" s="68"/>
      <c r="DL32" s="68"/>
      <c r="DN32" s="69"/>
      <c r="DR32" s="68"/>
      <c r="DT32" s="68"/>
      <c r="DV32" s="69"/>
      <c r="DY32" s="68"/>
      <c r="EA32" s="68"/>
      <c r="EC32" s="69"/>
      <c r="EG32" s="68"/>
      <c r="EI32" s="68"/>
      <c r="EK32" s="69"/>
      <c r="EN32" s="68"/>
      <c r="EP32" s="68"/>
      <c r="ER32" s="69"/>
    </row>
    <row r="33" spans="1:150" s="55" customFormat="1" ht="25.8" customHeight="1">
      <c r="A33" s="54"/>
      <c r="B33" s="66"/>
      <c r="C33" s="245"/>
      <c r="D33" s="246"/>
      <c r="E33" s="246"/>
      <c r="F33" s="246"/>
      <c r="G33" s="65"/>
      <c r="H33" s="59"/>
      <c r="I33" s="66"/>
      <c r="J33" s="245"/>
      <c r="K33" s="246"/>
      <c r="L33" s="246"/>
      <c r="M33" s="246"/>
      <c r="N33" s="65"/>
      <c r="O33" s="45"/>
      <c r="P33" s="54"/>
      <c r="Q33" s="66"/>
      <c r="R33" s="245"/>
      <c r="S33" s="246"/>
      <c r="T33" s="246"/>
      <c r="U33" s="246"/>
      <c r="V33" s="65"/>
      <c r="W33" s="59"/>
      <c r="X33" s="66"/>
      <c r="Y33" s="245"/>
      <c r="Z33" s="246"/>
      <c r="AA33" s="246"/>
      <c r="AB33" s="246"/>
      <c r="AC33" s="65"/>
      <c r="AD33" s="45"/>
      <c r="AE33" s="54"/>
      <c r="AF33" s="66"/>
      <c r="AG33" s="245"/>
      <c r="AH33" s="246"/>
      <c r="AI33" s="246"/>
      <c r="AJ33" s="246"/>
      <c r="AK33" s="65"/>
      <c r="AL33" s="59"/>
      <c r="AM33" s="66"/>
      <c r="AN33" s="245"/>
      <c r="AO33" s="246"/>
      <c r="AP33" s="246"/>
      <c r="AQ33" s="246"/>
      <c r="AR33" s="65"/>
      <c r="AS33" s="45"/>
      <c r="AT33" s="54"/>
      <c r="AU33" s="66"/>
      <c r="AV33" s="245"/>
      <c r="AW33" s="246"/>
      <c r="AX33" s="246"/>
      <c r="AY33" s="246"/>
      <c r="AZ33" s="65"/>
      <c r="BA33" s="59"/>
      <c r="BB33" s="66"/>
      <c r="BC33" s="245"/>
      <c r="BD33" s="246"/>
      <c r="BE33" s="246"/>
      <c r="BF33" s="246"/>
      <c r="BG33" s="65"/>
      <c r="BH33" s="45"/>
      <c r="BI33" s="54"/>
      <c r="BJ33" s="66"/>
      <c r="BK33" s="245"/>
      <c r="BL33" s="246"/>
      <c r="BM33" s="246"/>
      <c r="BN33" s="246"/>
      <c r="BO33" s="65"/>
      <c r="BP33" s="59"/>
      <c r="BQ33" s="66"/>
      <c r="BR33" s="245"/>
      <c r="BS33" s="246"/>
      <c r="BT33" s="246"/>
      <c r="BU33" s="246"/>
      <c r="BV33" s="65"/>
      <c r="BW33" s="45"/>
      <c r="BX33" s="54"/>
      <c r="BY33" s="66"/>
      <c r="BZ33" s="245"/>
      <c r="CA33" s="246"/>
      <c r="CB33" s="246"/>
      <c r="CC33" s="246"/>
      <c r="CD33" s="65"/>
      <c r="CE33" s="59"/>
      <c r="CF33" s="66"/>
      <c r="CG33" s="245"/>
      <c r="CH33" s="246"/>
      <c r="CI33" s="246"/>
      <c r="CJ33" s="246"/>
      <c r="CK33" s="65"/>
      <c r="CL33" s="45"/>
      <c r="CM33" s="54"/>
      <c r="CN33" s="66"/>
      <c r="CO33" s="245"/>
      <c r="CP33" s="246"/>
      <c r="CQ33" s="246"/>
      <c r="CR33" s="246"/>
      <c r="CS33" s="65"/>
      <c r="CT33" s="59"/>
      <c r="CU33" s="66"/>
      <c r="CV33" s="245"/>
      <c r="CW33" s="246"/>
      <c r="CX33" s="246"/>
      <c r="CY33" s="246"/>
      <c r="CZ33" s="65"/>
      <c r="DA33" s="45"/>
      <c r="DB33" s="54"/>
      <c r="DC33" s="66"/>
      <c r="DD33" s="245"/>
      <c r="DE33" s="246"/>
      <c r="DF33" s="246"/>
      <c r="DG33" s="246"/>
      <c r="DH33" s="65"/>
      <c r="DI33" s="59"/>
      <c r="DJ33" s="66"/>
      <c r="DK33" s="245"/>
      <c r="DL33" s="246"/>
      <c r="DM33" s="246"/>
      <c r="DN33" s="246"/>
      <c r="DO33" s="65"/>
      <c r="DP33" s="45"/>
      <c r="DQ33" s="54"/>
      <c r="DR33" s="66"/>
      <c r="DS33" s="245"/>
      <c r="DT33" s="246"/>
      <c r="DU33" s="246"/>
      <c r="DV33" s="246"/>
      <c r="DW33" s="65"/>
      <c r="DX33" s="59"/>
      <c r="DY33" s="66"/>
      <c r="DZ33" s="245"/>
      <c r="EA33" s="246"/>
      <c r="EB33" s="246"/>
      <c r="EC33" s="246"/>
      <c r="ED33" s="65"/>
      <c r="EE33" s="45"/>
      <c r="EF33" s="54"/>
      <c r="EG33" s="66"/>
      <c r="EH33" s="245"/>
      <c r="EI33" s="246"/>
      <c r="EJ33" s="246"/>
      <c r="EK33" s="246"/>
      <c r="EL33" s="65"/>
      <c r="EM33" s="59"/>
      <c r="EN33" s="66"/>
      <c r="EO33" s="245"/>
      <c r="EP33" s="246"/>
      <c r="EQ33" s="246"/>
      <c r="ER33" s="246"/>
      <c r="ES33" s="65"/>
      <c r="ET33" s="45"/>
    </row>
    <row r="34" spans="1:150" s="55" customFormat="1">
      <c r="A34" s="54"/>
      <c r="B34" s="56"/>
      <c r="C34" s="70"/>
      <c r="D34" s="64"/>
      <c r="E34" s="64"/>
      <c r="F34" s="71"/>
      <c r="G34" s="62"/>
      <c r="H34" s="72"/>
      <c r="I34" s="56"/>
      <c r="J34" s="70"/>
      <c r="K34" s="64"/>
      <c r="L34" s="64"/>
      <c r="M34" s="71"/>
      <c r="N34" s="62"/>
      <c r="O34" s="45"/>
      <c r="P34" s="54"/>
      <c r="Q34" s="56"/>
      <c r="R34" s="70"/>
      <c r="S34" s="64"/>
      <c r="T34" s="64"/>
      <c r="U34" s="71"/>
      <c r="V34" s="62"/>
      <c r="W34" s="72"/>
      <c r="X34" s="56"/>
      <c r="Y34" s="70"/>
      <c r="Z34" s="64"/>
      <c r="AA34" s="64"/>
      <c r="AB34" s="71"/>
      <c r="AC34" s="62"/>
      <c r="AD34" s="45"/>
      <c r="AE34" s="54"/>
      <c r="AF34" s="56"/>
      <c r="AG34" s="70"/>
      <c r="AH34" s="64"/>
      <c r="AI34" s="64"/>
      <c r="AJ34" s="71"/>
      <c r="AK34" s="62"/>
      <c r="AL34" s="72"/>
      <c r="AM34" s="56"/>
      <c r="AN34" s="70"/>
      <c r="AO34" s="64"/>
      <c r="AP34" s="64"/>
      <c r="AQ34" s="71"/>
      <c r="AR34" s="62"/>
      <c r="AS34" s="45"/>
      <c r="AT34" s="54"/>
      <c r="AU34" s="56"/>
      <c r="AV34" s="70"/>
      <c r="AW34" s="64"/>
      <c r="AX34" s="64"/>
      <c r="AY34" s="71"/>
      <c r="AZ34" s="62"/>
      <c r="BA34" s="72"/>
      <c r="BB34" s="56"/>
      <c r="BC34" s="70"/>
      <c r="BD34" s="64"/>
      <c r="BE34" s="64"/>
      <c r="BF34" s="71"/>
      <c r="BG34" s="62"/>
      <c r="BH34" s="45"/>
      <c r="BI34" s="54"/>
      <c r="BJ34" s="56"/>
      <c r="BK34" s="70"/>
      <c r="BL34" s="64"/>
      <c r="BM34" s="64"/>
      <c r="BN34" s="71"/>
      <c r="BO34" s="62"/>
      <c r="BP34" s="72"/>
      <c r="BQ34" s="56"/>
      <c r="BR34" s="70"/>
      <c r="BS34" s="64"/>
      <c r="BT34" s="64"/>
      <c r="BU34" s="71"/>
      <c r="BV34" s="62"/>
      <c r="BW34" s="45"/>
      <c r="BX34" s="54"/>
      <c r="BY34" s="56"/>
      <c r="BZ34" s="70"/>
      <c r="CA34" s="64"/>
      <c r="CB34" s="64"/>
      <c r="CC34" s="71"/>
      <c r="CD34" s="62"/>
      <c r="CE34" s="72"/>
      <c r="CF34" s="56"/>
      <c r="CG34" s="70"/>
      <c r="CH34" s="64"/>
      <c r="CI34" s="64"/>
      <c r="CJ34" s="71"/>
      <c r="CK34" s="62"/>
      <c r="CL34" s="45"/>
      <c r="CM34" s="54"/>
      <c r="CN34" s="56"/>
      <c r="CO34" s="70"/>
      <c r="CP34" s="64"/>
      <c r="CQ34" s="64"/>
      <c r="CR34" s="71"/>
      <c r="CS34" s="62"/>
      <c r="CT34" s="72"/>
      <c r="CU34" s="56"/>
      <c r="CV34" s="70"/>
      <c r="CW34" s="64"/>
      <c r="CX34" s="64"/>
      <c r="CY34" s="71"/>
      <c r="CZ34" s="62"/>
      <c r="DA34" s="45"/>
      <c r="DB34" s="54"/>
      <c r="DC34" s="56"/>
      <c r="DD34" s="70"/>
      <c r="DE34" s="64"/>
      <c r="DF34" s="64"/>
      <c r="DG34" s="71"/>
      <c r="DH34" s="62"/>
      <c r="DI34" s="72"/>
      <c r="DJ34" s="56"/>
      <c r="DK34" s="70"/>
      <c r="DL34" s="64"/>
      <c r="DM34" s="64"/>
      <c r="DN34" s="71"/>
      <c r="DO34" s="62"/>
      <c r="DP34" s="45"/>
      <c r="DQ34" s="54"/>
      <c r="DR34" s="56"/>
      <c r="DS34" s="70"/>
      <c r="DT34" s="64"/>
      <c r="DU34" s="64"/>
      <c r="DV34" s="71"/>
      <c r="DW34" s="62"/>
      <c r="DX34" s="72"/>
      <c r="DY34" s="56"/>
      <c r="DZ34" s="70"/>
      <c r="EA34" s="64"/>
      <c r="EB34" s="64"/>
      <c r="EC34" s="71"/>
      <c r="ED34" s="62"/>
      <c r="EE34" s="45"/>
      <c r="EF34" s="54"/>
      <c r="EG34" s="56"/>
      <c r="EH34" s="70"/>
      <c r="EI34" s="64"/>
      <c r="EJ34" s="64"/>
      <c r="EK34" s="71"/>
      <c r="EL34" s="62"/>
      <c r="EM34" s="72"/>
      <c r="EN34" s="56"/>
      <c r="EO34" s="70"/>
      <c r="EP34" s="64"/>
      <c r="EQ34" s="64"/>
      <c r="ER34" s="71"/>
      <c r="ES34" s="62"/>
      <c r="ET34" s="45"/>
    </row>
    <row r="35" spans="1:150" s="55" customFormat="1">
      <c r="A35" s="54"/>
      <c r="B35" s="57"/>
      <c r="C35" s="243"/>
      <c r="D35" s="244"/>
      <c r="E35" s="45"/>
      <c r="G35" s="63"/>
      <c r="H35" s="59"/>
      <c r="I35" s="57"/>
      <c r="J35" s="243"/>
      <c r="K35" s="244"/>
      <c r="L35" s="45"/>
      <c r="N35" s="63"/>
      <c r="O35" s="45"/>
      <c r="P35" s="54"/>
      <c r="Q35" s="57"/>
      <c r="R35" s="243"/>
      <c r="S35" s="244"/>
      <c r="T35" s="45"/>
      <c r="V35" s="63"/>
      <c r="W35" s="59"/>
      <c r="X35" s="57"/>
      <c r="Y35" s="243"/>
      <c r="Z35" s="244"/>
      <c r="AA35" s="45"/>
      <c r="AC35" s="63"/>
      <c r="AD35" s="45"/>
      <c r="AE35" s="54"/>
      <c r="AF35" s="57"/>
      <c r="AG35" s="243"/>
      <c r="AH35" s="244"/>
      <c r="AI35" s="45"/>
      <c r="AK35" s="63"/>
      <c r="AL35" s="59"/>
      <c r="AM35" s="57"/>
      <c r="AN35" s="243"/>
      <c r="AO35" s="244"/>
      <c r="AP35" s="45"/>
      <c r="AR35" s="63"/>
      <c r="AS35" s="45"/>
      <c r="AT35" s="54"/>
      <c r="AU35" s="57"/>
      <c r="AV35" s="243"/>
      <c r="AW35" s="244"/>
      <c r="AX35" s="45"/>
      <c r="AZ35" s="63"/>
      <c r="BA35" s="59"/>
      <c r="BB35" s="57"/>
      <c r="BC35" s="243"/>
      <c r="BD35" s="244"/>
      <c r="BE35" s="45"/>
      <c r="BG35" s="63"/>
      <c r="BH35" s="45"/>
      <c r="BI35" s="54"/>
      <c r="BJ35" s="57"/>
      <c r="BK35" s="243"/>
      <c r="BL35" s="244"/>
      <c r="BM35" s="45"/>
      <c r="BO35" s="63"/>
      <c r="BP35" s="59"/>
      <c r="BQ35" s="57"/>
      <c r="BR35" s="243"/>
      <c r="BS35" s="244"/>
      <c r="BT35" s="45"/>
      <c r="BV35" s="63"/>
      <c r="BW35" s="45"/>
      <c r="BX35" s="54"/>
      <c r="BY35" s="57"/>
      <c r="BZ35" s="243"/>
      <c r="CA35" s="244"/>
      <c r="CB35" s="45"/>
      <c r="CD35" s="63"/>
      <c r="CE35" s="59"/>
      <c r="CF35" s="57"/>
      <c r="CG35" s="243"/>
      <c r="CH35" s="244"/>
      <c r="CI35" s="45"/>
      <c r="CK35" s="63"/>
      <c r="CL35" s="45"/>
      <c r="CM35" s="54"/>
      <c r="CN35" s="57"/>
      <c r="CO35" s="243"/>
      <c r="CP35" s="244"/>
      <c r="CQ35" s="45"/>
      <c r="CS35" s="63"/>
      <c r="CT35" s="59"/>
      <c r="CU35" s="57"/>
      <c r="CV35" s="243"/>
      <c r="CW35" s="244"/>
      <c r="CX35" s="45"/>
      <c r="CZ35" s="63"/>
      <c r="DA35" s="45"/>
      <c r="DB35" s="54"/>
      <c r="DC35" s="57"/>
      <c r="DD35" s="243"/>
      <c r="DE35" s="244"/>
      <c r="DF35" s="45"/>
      <c r="DH35" s="63"/>
      <c r="DI35" s="59"/>
      <c r="DJ35" s="57"/>
      <c r="DK35" s="243"/>
      <c r="DL35" s="244"/>
      <c r="DM35" s="45"/>
      <c r="DO35" s="63"/>
      <c r="DP35" s="45"/>
      <c r="DQ35" s="54"/>
      <c r="DR35" s="57"/>
      <c r="DS35" s="243"/>
      <c r="DT35" s="244"/>
      <c r="DU35" s="45"/>
      <c r="DW35" s="63"/>
      <c r="DX35" s="59"/>
      <c r="DY35" s="57"/>
      <c r="DZ35" s="243"/>
      <c r="EA35" s="244"/>
      <c r="EB35" s="45"/>
      <c r="ED35" s="63"/>
      <c r="EE35" s="45"/>
      <c r="EF35" s="54"/>
      <c r="EG35" s="57"/>
      <c r="EH35" s="243"/>
      <c r="EI35" s="244"/>
      <c r="EJ35" s="45"/>
      <c r="EL35" s="63"/>
      <c r="EM35" s="59"/>
      <c r="EN35" s="57"/>
      <c r="EO35" s="243"/>
      <c r="EP35" s="244"/>
      <c r="EQ35" s="45"/>
      <c r="ES35" s="63"/>
      <c r="ET35" s="45"/>
    </row>
    <row r="36" spans="1:150" ht="15.6" customHeight="1">
      <c r="B36" s="48"/>
      <c r="C36" s="241"/>
      <c r="D36" s="242"/>
      <c r="E36" s="73"/>
      <c r="F36" s="237"/>
      <c r="G36" s="238"/>
      <c r="H36" s="49"/>
      <c r="I36" s="48"/>
      <c r="J36" s="241"/>
      <c r="K36" s="242"/>
      <c r="L36" s="73"/>
      <c r="M36" s="237"/>
      <c r="N36" s="238"/>
      <c r="Q36" s="48"/>
      <c r="R36" s="241"/>
      <c r="S36" s="242"/>
      <c r="T36" s="73"/>
      <c r="U36" s="237"/>
      <c r="V36" s="238"/>
      <c r="W36" s="49"/>
      <c r="X36" s="48"/>
      <c r="Y36" s="241"/>
      <c r="Z36" s="242"/>
      <c r="AA36" s="73"/>
      <c r="AB36" s="237"/>
      <c r="AC36" s="238"/>
      <c r="AF36" s="48"/>
      <c r="AG36" s="241"/>
      <c r="AH36" s="242"/>
      <c r="AI36" s="73"/>
      <c r="AJ36" s="237"/>
      <c r="AK36" s="238"/>
      <c r="AL36" s="49"/>
      <c r="AM36" s="48"/>
      <c r="AN36" s="241"/>
      <c r="AO36" s="242"/>
      <c r="AP36" s="73"/>
      <c r="AQ36" s="237"/>
      <c r="AR36" s="238"/>
      <c r="AU36" s="48"/>
      <c r="AV36" s="241"/>
      <c r="AW36" s="242"/>
      <c r="AX36" s="73"/>
      <c r="AY36" s="237"/>
      <c r="AZ36" s="238"/>
      <c r="BA36" s="49"/>
      <c r="BB36" s="48"/>
      <c r="BC36" s="241"/>
      <c r="BD36" s="242"/>
      <c r="BE36" s="73"/>
      <c r="BF36" s="237"/>
      <c r="BG36" s="238"/>
      <c r="BJ36" s="48"/>
      <c r="BK36" s="241"/>
      <c r="BL36" s="242"/>
      <c r="BM36" s="73"/>
      <c r="BN36" s="237"/>
      <c r="BO36" s="238"/>
      <c r="BP36" s="49"/>
      <c r="BQ36" s="48"/>
      <c r="BR36" s="241"/>
      <c r="BS36" s="242"/>
      <c r="BT36" s="73"/>
      <c r="BU36" s="237"/>
      <c r="BV36" s="238"/>
      <c r="BY36" s="48"/>
      <c r="BZ36" s="241"/>
      <c r="CA36" s="242"/>
      <c r="CB36" s="73"/>
      <c r="CC36" s="237"/>
      <c r="CD36" s="238"/>
      <c r="CE36" s="49"/>
      <c r="CF36" s="48"/>
      <c r="CG36" s="241"/>
      <c r="CH36" s="242"/>
      <c r="CI36" s="73"/>
      <c r="CJ36" s="237"/>
      <c r="CK36" s="238"/>
      <c r="CN36" s="48"/>
      <c r="CO36" s="241"/>
      <c r="CP36" s="242"/>
      <c r="CQ36" s="73"/>
      <c r="CR36" s="237"/>
      <c r="CS36" s="238"/>
      <c r="CT36" s="49"/>
      <c r="CU36" s="48"/>
      <c r="CV36" s="241"/>
      <c r="CW36" s="242"/>
      <c r="CX36" s="73"/>
      <c r="CY36" s="237"/>
      <c r="CZ36" s="238"/>
      <c r="DC36" s="48"/>
      <c r="DD36" s="241"/>
      <c r="DE36" s="242"/>
      <c r="DF36" s="73"/>
      <c r="DG36" s="237"/>
      <c r="DH36" s="238"/>
      <c r="DI36" s="49"/>
      <c r="DJ36" s="48"/>
      <c r="DK36" s="241"/>
      <c r="DL36" s="242"/>
      <c r="DM36" s="73"/>
      <c r="DN36" s="237"/>
      <c r="DO36" s="238"/>
      <c r="DR36" s="48"/>
      <c r="DS36" s="241"/>
      <c r="DT36" s="242"/>
      <c r="DU36" s="73"/>
      <c r="DV36" s="237"/>
      <c r="DW36" s="238"/>
      <c r="DX36" s="49"/>
      <c r="DY36" s="48"/>
      <c r="DZ36" s="241"/>
      <c r="EA36" s="242"/>
      <c r="EB36" s="73"/>
      <c r="EC36" s="237"/>
      <c r="ED36" s="238"/>
      <c r="EG36" s="48"/>
      <c r="EH36" s="241"/>
      <c r="EI36" s="242"/>
      <c r="EJ36" s="73"/>
      <c r="EK36" s="237"/>
      <c r="EL36" s="238"/>
      <c r="EM36" s="49"/>
      <c r="EN36" s="48"/>
      <c r="EO36" s="241"/>
      <c r="EP36" s="242"/>
      <c r="EQ36" s="73"/>
      <c r="ER36" s="237"/>
      <c r="ES36" s="238"/>
    </row>
    <row r="37" spans="1:150" ht="15.6" customHeight="1">
      <c r="B37" s="50"/>
      <c r="C37" s="239"/>
      <c r="D37" s="239"/>
      <c r="E37" s="67"/>
      <c r="F37" s="239"/>
      <c r="G37" s="240"/>
      <c r="H37" s="49"/>
      <c r="I37" s="50"/>
      <c r="J37" s="239"/>
      <c r="K37" s="239"/>
      <c r="L37" s="67"/>
      <c r="M37" s="239"/>
      <c r="N37" s="240"/>
      <c r="Q37" s="50"/>
      <c r="R37" s="239"/>
      <c r="S37" s="239"/>
      <c r="T37" s="67"/>
      <c r="U37" s="239"/>
      <c r="V37" s="240"/>
      <c r="W37" s="49"/>
      <c r="X37" s="50"/>
      <c r="Y37" s="239"/>
      <c r="Z37" s="239"/>
      <c r="AA37" s="67"/>
      <c r="AB37" s="239"/>
      <c r="AC37" s="240"/>
      <c r="AF37" s="50"/>
      <c r="AG37" s="239"/>
      <c r="AH37" s="239"/>
      <c r="AI37" s="67"/>
      <c r="AJ37" s="239"/>
      <c r="AK37" s="240"/>
      <c r="AL37" s="49"/>
      <c r="AM37" s="50"/>
      <c r="AN37" s="239"/>
      <c r="AO37" s="239"/>
      <c r="AP37" s="67"/>
      <c r="AQ37" s="239"/>
      <c r="AR37" s="240"/>
      <c r="AU37" s="50"/>
      <c r="AV37" s="239"/>
      <c r="AW37" s="239"/>
      <c r="AX37" s="67"/>
      <c r="AY37" s="239"/>
      <c r="AZ37" s="240"/>
      <c r="BA37" s="49"/>
      <c r="BB37" s="50"/>
      <c r="BC37" s="239"/>
      <c r="BD37" s="239"/>
      <c r="BE37" s="67"/>
      <c r="BF37" s="239"/>
      <c r="BG37" s="240"/>
      <c r="BJ37" s="50"/>
      <c r="BK37" s="239"/>
      <c r="BL37" s="239"/>
      <c r="BM37" s="67"/>
      <c r="BN37" s="239"/>
      <c r="BO37" s="240"/>
      <c r="BP37" s="49"/>
      <c r="BQ37" s="50"/>
      <c r="BR37" s="239"/>
      <c r="BS37" s="239"/>
      <c r="BT37" s="67"/>
      <c r="BU37" s="239"/>
      <c r="BV37" s="240"/>
      <c r="BY37" s="50"/>
      <c r="BZ37" s="239"/>
      <c r="CA37" s="239"/>
      <c r="CB37" s="67"/>
      <c r="CC37" s="239"/>
      <c r="CD37" s="240"/>
      <c r="CE37" s="49"/>
      <c r="CF37" s="50"/>
      <c r="CG37" s="239"/>
      <c r="CH37" s="239"/>
      <c r="CI37" s="67"/>
      <c r="CJ37" s="239"/>
      <c r="CK37" s="240"/>
      <c r="CN37" s="50"/>
      <c r="CO37" s="239"/>
      <c r="CP37" s="239"/>
      <c r="CQ37" s="67"/>
      <c r="CR37" s="239"/>
      <c r="CS37" s="240"/>
      <c r="CT37" s="49"/>
      <c r="CU37" s="50"/>
      <c r="CV37" s="239"/>
      <c r="CW37" s="239"/>
      <c r="CX37" s="67"/>
      <c r="CY37" s="239"/>
      <c r="CZ37" s="240"/>
      <c r="DC37" s="50"/>
      <c r="DD37" s="239"/>
      <c r="DE37" s="239"/>
      <c r="DF37" s="67"/>
      <c r="DG37" s="239"/>
      <c r="DH37" s="240"/>
      <c r="DI37" s="49"/>
      <c r="DJ37" s="50"/>
      <c r="DK37" s="239"/>
      <c r="DL37" s="239"/>
      <c r="DM37" s="67"/>
      <c r="DN37" s="239"/>
      <c r="DO37" s="240"/>
      <c r="DR37" s="50"/>
      <c r="DS37" s="239"/>
      <c r="DT37" s="239"/>
      <c r="DU37" s="67"/>
      <c r="DV37" s="239"/>
      <c r="DW37" s="240"/>
      <c r="DX37" s="49"/>
      <c r="DY37" s="50"/>
      <c r="DZ37" s="239"/>
      <c r="EA37" s="239"/>
      <c r="EB37" s="67"/>
      <c r="EC37" s="239"/>
      <c r="ED37" s="240"/>
      <c r="EG37" s="50"/>
      <c r="EH37" s="239"/>
      <c r="EI37" s="239"/>
      <c r="EJ37" s="67"/>
      <c r="EK37" s="239"/>
      <c r="EL37" s="240"/>
      <c r="EM37" s="49"/>
      <c r="EN37" s="50"/>
      <c r="EO37" s="239"/>
      <c r="EP37" s="239"/>
      <c r="EQ37" s="67"/>
      <c r="ER37" s="239"/>
      <c r="ES37" s="240"/>
    </row>
    <row r="38" spans="1:150" s="55" customFormat="1">
      <c r="A38" s="54"/>
      <c r="B38" s="60"/>
      <c r="C38" s="58"/>
      <c r="D38" s="60"/>
      <c r="E38" s="58"/>
      <c r="F38" s="60"/>
      <c r="G38" s="63"/>
      <c r="H38" s="45"/>
      <c r="I38" s="60"/>
      <c r="J38" s="58"/>
      <c r="K38" s="60"/>
      <c r="L38" s="58"/>
      <c r="M38" s="60"/>
      <c r="N38" s="63"/>
      <c r="O38" s="45"/>
      <c r="P38" s="54"/>
      <c r="Q38" s="60"/>
      <c r="R38" s="58"/>
      <c r="S38" s="60"/>
      <c r="T38" s="58"/>
      <c r="U38" s="60"/>
      <c r="V38" s="63"/>
      <c r="W38" s="45"/>
      <c r="X38" s="60"/>
      <c r="Y38" s="58"/>
      <c r="Z38" s="60"/>
      <c r="AA38" s="58"/>
      <c r="AB38" s="60"/>
      <c r="AC38" s="63"/>
      <c r="AD38" s="45"/>
      <c r="AE38" s="54"/>
      <c r="AF38" s="60"/>
      <c r="AG38" s="58"/>
      <c r="AH38" s="60"/>
      <c r="AI38" s="58"/>
      <c r="AJ38" s="60"/>
      <c r="AK38" s="63"/>
      <c r="AL38" s="45"/>
      <c r="AM38" s="60"/>
      <c r="AN38" s="58"/>
      <c r="AO38" s="60"/>
      <c r="AP38" s="58"/>
      <c r="AQ38" s="60"/>
      <c r="AR38" s="63"/>
      <c r="AS38" s="45"/>
      <c r="AT38" s="54"/>
      <c r="AU38" s="60"/>
      <c r="AV38" s="58"/>
      <c r="AW38" s="60"/>
      <c r="AX38" s="58"/>
      <c r="AY38" s="60"/>
      <c r="AZ38" s="63"/>
      <c r="BA38" s="45"/>
      <c r="BB38" s="60"/>
      <c r="BC38" s="58"/>
      <c r="BD38" s="60"/>
      <c r="BE38" s="58"/>
      <c r="BF38" s="60"/>
      <c r="BG38" s="63"/>
      <c r="BH38" s="45"/>
      <c r="BI38" s="54"/>
      <c r="BJ38" s="60"/>
      <c r="BK38" s="58"/>
      <c r="BL38" s="60"/>
      <c r="BM38" s="58"/>
      <c r="BN38" s="60"/>
      <c r="BO38" s="63"/>
      <c r="BP38" s="45"/>
      <c r="BQ38" s="60"/>
      <c r="BR38" s="58"/>
      <c r="BS38" s="60"/>
      <c r="BT38" s="58"/>
      <c r="BU38" s="60"/>
      <c r="BV38" s="63"/>
      <c r="BW38" s="45"/>
      <c r="BX38" s="54"/>
      <c r="BY38" s="60"/>
      <c r="BZ38" s="58"/>
      <c r="CA38" s="60"/>
      <c r="CB38" s="58"/>
      <c r="CC38" s="60"/>
      <c r="CD38" s="63"/>
      <c r="CE38" s="45"/>
      <c r="CF38" s="60"/>
      <c r="CG38" s="58"/>
      <c r="CH38" s="60"/>
      <c r="CI38" s="58"/>
      <c r="CJ38" s="60"/>
      <c r="CK38" s="63"/>
      <c r="CL38" s="45"/>
      <c r="CM38" s="54"/>
      <c r="CN38" s="60"/>
      <c r="CO38" s="58"/>
      <c r="CP38" s="60"/>
      <c r="CQ38" s="58"/>
      <c r="CR38" s="60"/>
      <c r="CS38" s="63"/>
      <c r="CT38" s="45"/>
      <c r="CU38" s="60"/>
      <c r="CV38" s="58"/>
      <c r="CW38" s="60"/>
      <c r="CX38" s="58"/>
      <c r="CY38" s="60"/>
      <c r="CZ38" s="63"/>
      <c r="DA38" s="45"/>
      <c r="DB38" s="54"/>
      <c r="DC38" s="60"/>
      <c r="DD38" s="58"/>
      <c r="DE38" s="60"/>
      <c r="DF38" s="58"/>
      <c r="DG38" s="60"/>
      <c r="DH38" s="63"/>
      <c r="DI38" s="45"/>
      <c r="DJ38" s="60"/>
      <c r="DK38" s="58"/>
      <c r="DL38" s="60"/>
      <c r="DM38" s="58"/>
      <c r="DN38" s="60"/>
      <c r="DO38" s="63"/>
      <c r="DP38" s="45"/>
      <c r="DQ38" s="54"/>
      <c r="DR38" s="60"/>
      <c r="DS38" s="58"/>
      <c r="DT38" s="60"/>
      <c r="DU38" s="58"/>
      <c r="DV38" s="60"/>
      <c r="DW38" s="63"/>
      <c r="DX38" s="45"/>
      <c r="DY38" s="60"/>
      <c r="DZ38" s="58"/>
      <c r="EA38" s="60"/>
      <c r="EB38" s="58"/>
      <c r="EC38" s="60"/>
      <c r="ED38" s="63"/>
      <c r="EE38" s="45"/>
      <c r="EF38" s="54"/>
      <c r="EG38" s="60"/>
      <c r="EH38" s="58"/>
      <c r="EI38" s="60"/>
      <c r="EJ38" s="58"/>
      <c r="EK38" s="60"/>
      <c r="EL38" s="63"/>
      <c r="EM38" s="45"/>
      <c r="EN38" s="60"/>
      <c r="EO38" s="58"/>
      <c r="EP38" s="60"/>
      <c r="EQ38" s="58"/>
      <c r="ER38" s="60"/>
      <c r="ES38" s="63"/>
      <c r="ET38" s="45"/>
    </row>
    <row r="39" spans="1:150" ht="27.6" customHeight="1">
      <c r="B39" s="247"/>
      <c r="C39" s="240"/>
      <c r="D39" s="247"/>
      <c r="E39" s="240"/>
      <c r="F39" s="248"/>
      <c r="G39" s="240"/>
      <c r="I39" s="247"/>
      <c r="J39" s="240"/>
      <c r="K39" s="247"/>
      <c r="L39" s="240"/>
      <c r="M39" s="248"/>
      <c r="N39" s="240"/>
      <c r="Q39" s="247"/>
      <c r="R39" s="240"/>
      <c r="S39" s="247"/>
      <c r="T39" s="240"/>
      <c r="U39" s="248"/>
      <c r="V39" s="240"/>
      <c r="X39" s="247"/>
      <c r="Y39" s="240"/>
      <c r="Z39" s="247"/>
      <c r="AA39" s="240"/>
      <c r="AB39" s="248"/>
      <c r="AC39" s="240"/>
      <c r="AF39" s="247"/>
      <c r="AG39" s="240"/>
      <c r="AH39" s="247"/>
      <c r="AI39" s="240"/>
      <c r="AJ39" s="248"/>
      <c r="AK39" s="240"/>
      <c r="AM39" s="247"/>
      <c r="AN39" s="240"/>
      <c r="AO39" s="247"/>
      <c r="AP39" s="240"/>
      <c r="AQ39" s="248"/>
      <c r="AR39" s="240"/>
      <c r="AU39" s="247"/>
      <c r="AV39" s="240"/>
      <c r="AW39" s="247"/>
      <c r="AX39" s="240"/>
      <c r="AY39" s="248"/>
      <c r="AZ39" s="240"/>
      <c r="BB39" s="247"/>
      <c r="BC39" s="240"/>
      <c r="BD39" s="247"/>
      <c r="BE39" s="240"/>
      <c r="BF39" s="248"/>
      <c r="BG39" s="240"/>
      <c r="BJ39" s="247"/>
      <c r="BK39" s="240"/>
      <c r="BL39" s="247"/>
      <c r="BM39" s="240"/>
      <c r="BN39" s="248"/>
      <c r="BO39" s="240"/>
      <c r="BQ39" s="247"/>
      <c r="BR39" s="240"/>
      <c r="BS39" s="247"/>
      <c r="BT39" s="240"/>
      <c r="BU39" s="248"/>
      <c r="BV39" s="240"/>
      <c r="BY39" s="247"/>
      <c r="BZ39" s="240"/>
      <c r="CA39" s="247"/>
      <c r="CB39" s="240"/>
      <c r="CC39" s="248"/>
      <c r="CD39" s="240"/>
      <c r="CF39" s="247"/>
      <c r="CG39" s="240"/>
      <c r="CH39" s="247"/>
      <c r="CI39" s="240"/>
      <c r="CJ39" s="248"/>
      <c r="CK39" s="240"/>
      <c r="CN39" s="247"/>
      <c r="CO39" s="240"/>
      <c r="CP39" s="247"/>
      <c r="CQ39" s="240"/>
      <c r="CR39" s="248"/>
      <c r="CS39" s="240"/>
      <c r="CU39" s="247"/>
      <c r="CV39" s="240"/>
      <c r="CW39" s="247"/>
      <c r="CX39" s="240"/>
      <c r="CY39" s="248"/>
      <c r="CZ39" s="240"/>
      <c r="DC39" s="247"/>
      <c r="DD39" s="240"/>
      <c r="DE39" s="247"/>
      <c r="DF39" s="240"/>
      <c r="DG39" s="248"/>
      <c r="DH39" s="240"/>
      <c r="DJ39" s="247"/>
      <c r="DK39" s="240"/>
      <c r="DL39" s="247"/>
      <c r="DM39" s="240"/>
      <c r="DN39" s="248"/>
      <c r="DO39" s="240"/>
      <c r="DR39" s="247"/>
      <c r="DS39" s="240"/>
      <c r="DT39" s="247"/>
      <c r="DU39" s="240"/>
      <c r="DV39" s="248"/>
      <c r="DW39" s="240"/>
      <c r="DY39" s="247"/>
      <c r="DZ39" s="240"/>
      <c r="EA39" s="247"/>
      <c r="EB39" s="240"/>
      <c r="EC39" s="248"/>
      <c r="ED39" s="240"/>
      <c r="EG39" s="247"/>
      <c r="EH39" s="240"/>
      <c r="EI39" s="247"/>
      <c r="EJ39" s="240"/>
      <c r="EK39" s="248"/>
      <c r="EL39" s="240"/>
      <c r="EN39" s="247"/>
      <c r="EO39" s="240"/>
      <c r="EP39" s="247"/>
      <c r="EQ39" s="240"/>
      <c r="ER39" s="248"/>
      <c r="ES39" s="240"/>
    </row>
    <row r="40" spans="1:150" ht="6.6" customHeight="1">
      <c r="B40" s="68"/>
      <c r="D40" s="68"/>
      <c r="F40" s="69"/>
      <c r="I40" s="68"/>
      <c r="K40" s="68"/>
      <c r="M40" s="69"/>
      <c r="Q40" s="68"/>
      <c r="S40" s="68"/>
      <c r="U40" s="69"/>
      <c r="X40" s="68"/>
      <c r="Z40" s="68"/>
      <c r="AB40" s="69"/>
      <c r="AF40" s="68"/>
      <c r="AH40" s="68"/>
      <c r="AJ40" s="69"/>
      <c r="AM40" s="68"/>
      <c r="AO40" s="68"/>
      <c r="AQ40" s="69"/>
      <c r="AU40" s="68"/>
      <c r="AW40" s="68"/>
      <c r="AY40" s="69"/>
      <c r="BB40" s="68"/>
      <c r="BD40" s="68"/>
      <c r="BF40" s="69"/>
      <c r="BJ40" s="68"/>
      <c r="BL40" s="68"/>
      <c r="BN40" s="69"/>
      <c r="BQ40" s="68"/>
      <c r="BS40" s="68"/>
      <c r="BU40" s="69"/>
      <c r="BY40" s="68"/>
      <c r="CA40" s="68"/>
      <c r="CC40" s="69"/>
      <c r="CF40" s="68"/>
      <c r="CH40" s="68"/>
      <c r="CJ40" s="69"/>
      <c r="CN40" s="68"/>
      <c r="CP40" s="68"/>
      <c r="CR40" s="69"/>
      <c r="CU40" s="68"/>
      <c r="CW40" s="68"/>
      <c r="CY40" s="69"/>
      <c r="DC40" s="68"/>
      <c r="DE40" s="68"/>
      <c r="DG40" s="69"/>
      <c r="DJ40" s="68"/>
      <c r="DL40" s="68"/>
      <c r="DN40" s="69"/>
      <c r="DR40" s="68"/>
      <c r="DT40" s="68"/>
      <c r="DV40" s="69"/>
      <c r="DY40" s="68"/>
      <c r="EA40" s="68"/>
      <c r="EC40" s="69"/>
      <c r="EG40" s="68"/>
      <c r="EI40" s="68"/>
      <c r="EK40" s="69"/>
      <c r="EN40" s="68"/>
      <c r="EP40" s="68"/>
      <c r="ER40" s="69"/>
    </row>
    <row r="41" spans="1:150" s="55" customFormat="1" ht="25.8" customHeight="1">
      <c r="A41" s="54"/>
      <c r="B41" s="66"/>
      <c r="C41" s="245"/>
      <c r="D41" s="246"/>
      <c r="E41" s="246"/>
      <c r="F41" s="246"/>
      <c r="G41" s="65"/>
      <c r="H41" s="59"/>
      <c r="I41" s="66"/>
      <c r="J41" s="245"/>
      <c r="K41" s="246"/>
      <c r="L41" s="246"/>
      <c r="M41" s="246"/>
      <c r="N41" s="65"/>
      <c r="O41" s="45"/>
      <c r="P41" s="54"/>
      <c r="Q41" s="66"/>
      <c r="R41" s="245"/>
      <c r="S41" s="246"/>
      <c r="T41" s="246"/>
      <c r="U41" s="246"/>
      <c r="V41" s="65"/>
      <c r="W41" s="59"/>
      <c r="X41" s="66"/>
      <c r="Y41" s="245"/>
      <c r="Z41" s="246"/>
      <c r="AA41" s="246"/>
      <c r="AB41" s="246"/>
      <c r="AC41" s="65"/>
      <c r="AD41" s="45"/>
      <c r="AE41" s="54"/>
      <c r="AF41" s="66"/>
      <c r="AG41" s="245"/>
      <c r="AH41" s="246"/>
      <c r="AI41" s="246"/>
      <c r="AJ41" s="246"/>
      <c r="AK41" s="65"/>
      <c r="AL41" s="59"/>
      <c r="AM41" s="66"/>
      <c r="AN41" s="245"/>
      <c r="AO41" s="246"/>
      <c r="AP41" s="246"/>
      <c r="AQ41" s="246"/>
      <c r="AR41" s="65"/>
      <c r="AS41" s="45"/>
      <c r="AT41" s="54"/>
      <c r="AU41" s="66"/>
      <c r="AV41" s="245"/>
      <c r="AW41" s="246"/>
      <c r="AX41" s="246"/>
      <c r="AY41" s="246"/>
      <c r="AZ41" s="65"/>
      <c r="BA41" s="59"/>
      <c r="BB41" s="66"/>
      <c r="BC41" s="245"/>
      <c r="BD41" s="246"/>
      <c r="BE41" s="246"/>
      <c r="BF41" s="246"/>
      <c r="BG41" s="65"/>
      <c r="BH41" s="45"/>
      <c r="BI41" s="54"/>
      <c r="BJ41" s="66"/>
      <c r="BK41" s="245"/>
      <c r="BL41" s="246"/>
      <c r="BM41" s="246"/>
      <c r="BN41" s="246"/>
      <c r="BO41" s="65"/>
      <c r="BP41" s="59"/>
      <c r="BQ41" s="66"/>
      <c r="BR41" s="245"/>
      <c r="BS41" s="246"/>
      <c r="BT41" s="246"/>
      <c r="BU41" s="246"/>
      <c r="BV41" s="65"/>
      <c r="BW41" s="45"/>
      <c r="BX41" s="54"/>
      <c r="BY41" s="66"/>
      <c r="BZ41" s="245"/>
      <c r="CA41" s="246"/>
      <c r="CB41" s="246"/>
      <c r="CC41" s="246"/>
      <c r="CD41" s="65"/>
      <c r="CE41" s="59"/>
      <c r="CF41" s="66"/>
      <c r="CG41" s="245"/>
      <c r="CH41" s="246"/>
      <c r="CI41" s="246"/>
      <c r="CJ41" s="246"/>
      <c r="CK41" s="65"/>
      <c r="CL41" s="45"/>
      <c r="CM41" s="54"/>
      <c r="CN41" s="66"/>
      <c r="CO41" s="245"/>
      <c r="CP41" s="246"/>
      <c r="CQ41" s="246"/>
      <c r="CR41" s="246"/>
      <c r="CS41" s="65"/>
      <c r="CT41" s="59"/>
      <c r="CU41" s="66"/>
      <c r="CV41" s="245"/>
      <c r="CW41" s="246"/>
      <c r="CX41" s="246"/>
      <c r="CY41" s="246"/>
      <c r="CZ41" s="65"/>
      <c r="DA41" s="45"/>
      <c r="DB41" s="54"/>
      <c r="DC41" s="66"/>
      <c r="DD41" s="245"/>
      <c r="DE41" s="246"/>
      <c r="DF41" s="246"/>
      <c r="DG41" s="246"/>
      <c r="DH41" s="65"/>
      <c r="DI41" s="59"/>
      <c r="DJ41" s="66"/>
      <c r="DK41" s="245"/>
      <c r="DL41" s="246"/>
      <c r="DM41" s="246"/>
      <c r="DN41" s="246"/>
      <c r="DO41" s="65"/>
      <c r="DP41" s="45"/>
      <c r="DQ41" s="54"/>
      <c r="DR41" s="66"/>
      <c r="DS41" s="245"/>
      <c r="DT41" s="246"/>
      <c r="DU41" s="246"/>
      <c r="DV41" s="246"/>
      <c r="DW41" s="65"/>
      <c r="DX41" s="59"/>
      <c r="DY41" s="66"/>
      <c r="DZ41" s="245"/>
      <c r="EA41" s="246"/>
      <c r="EB41" s="246"/>
      <c r="EC41" s="246"/>
      <c r="ED41" s="65"/>
      <c r="EE41" s="45"/>
      <c r="EF41" s="54"/>
      <c r="EG41" s="66"/>
      <c r="EH41" s="245"/>
      <c r="EI41" s="246"/>
      <c r="EJ41" s="246"/>
      <c r="EK41" s="246"/>
      <c r="EL41" s="65"/>
      <c r="EM41" s="59"/>
      <c r="EN41" s="66"/>
      <c r="EO41" s="245"/>
      <c r="EP41" s="246"/>
      <c r="EQ41" s="246"/>
      <c r="ER41" s="246"/>
      <c r="ES41" s="65"/>
      <c r="ET41" s="45"/>
    </row>
    <row r="42" spans="1:150" s="55" customFormat="1">
      <c r="A42" s="54"/>
      <c r="B42" s="56"/>
      <c r="C42" s="70"/>
      <c r="D42" s="64"/>
      <c r="E42" s="64"/>
      <c r="F42" s="71"/>
      <c r="G42" s="62"/>
      <c r="H42" s="72"/>
      <c r="I42" s="56"/>
      <c r="J42" s="70"/>
      <c r="K42" s="64"/>
      <c r="L42" s="64"/>
      <c r="M42" s="71"/>
      <c r="N42" s="62"/>
      <c r="O42" s="45"/>
      <c r="P42" s="54"/>
      <c r="Q42" s="56"/>
      <c r="R42" s="70"/>
      <c r="S42" s="64"/>
      <c r="T42" s="64"/>
      <c r="U42" s="71"/>
      <c r="V42" s="62"/>
      <c r="W42" s="72"/>
      <c r="X42" s="56"/>
      <c r="Y42" s="70"/>
      <c r="Z42" s="64"/>
      <c r="AA42" s="64"/>
      <c r="AB42" s="71"/>
      <c r="AC42" s="62"/>
      <c r="AD42" s="45"/>
      <c r="AE42" s="54"/>
      <c r="AF42" s="56"/>
      <c r="AG42" s="70"/>
      <c r="AH42" s="64"/>
      <c r="AI42" s="64"/>
      <c r="AJ42" s="71"/>
      <c r="AK42" s="62"/>
      <c r="AL42" s="72"/>
      <c r="AM42" s="56"/>
      <c r="AN42" s="70"/>
      <c r="AO42" s="64"/>
      <c r="AP42" s="64"/>
      <c r="AQ42" s="71"/>
      <c r="AR42" s="62"/>
      <c r="AS42" s="45"/>
      <c r="AT42" s="54"/>
      <c r="AU42" s="56"/>
      <c r="AV42" s="70"/>
      <c r="AW42" s="64"/>
      <c r="AX42" s="64"/>
      <c r="AY42" s="71"/>
      <c r="AZ42" s="62"/>
      <c r="BA42" s="72"/>
      <c r="BB42" s="56"/>
      <c r="BC42" s="70"/>
      <c r="BD42" s="64"/>
      <c r="BE42" s="64"/>
      <c r="BF42" s="71"/>
      <c r="BG42" s="62"/>
      <c r="BH42" s="45"/>
      <c r="BI42" s="54"/>
      <c r="BJ42" s="56"/>
      <c r="BK42" s="70"/>
      <c r="BL42" s="64"/>
      <c r="BM42" s="64"/>
      <c r="BN42" s="71"/>
      <c r="BO42" s="62"/>
      <c r="BP42" s="72"/>
      <c r="BQ42" s="56"/>
      <c r="BR42" s="70"/>
      <c r="BS42" s="64"/>
      <c r="BT42" s="64"/>
      <c r="BU42" s="71"/>
      <c r="BV42" s="62"/>
      <c r="BW42" s="45"/>
      <c r="BX42" s="54"/>
      <c r="BY42" s="56"/>
      <c r="BZ42" s="70"/>
      <c r="CA42" s="64"/>
      <c r="CB42" s="64"/>
      <c r="CC42" s="71"/>
      <c r="CD42" s="62"/>
      <c r="CE42" s="72"/>
      <c r="CF42" s="56"/>
      <c r="CG42" s="70"/>
      <c r="CH42" s="64"/>
      <c r="CI42" s="64"/>
      <c r="CJ42" s="71"/>
      <c r="CK42" s="62"/>
      <c r="CL42" s="45"/>
      <c r="CM42" s="54"/>
      <c r="CN42" s="56"/>
      <c r="CO42" s="70"/>
      <c r="CP42" s="64"/>
      <c r="CQ42" s="64"/>
      <c r="CR42" s="71"/>
      <c r="CS42" s="62"/>
      <c r="CT42" s="72"/>
      <c r="CU42" s="56"/>
      <c r="CV42" s="70"/>
      <c r="CW42" s="64"/>
      <c r="CX42" s="64"/>
      <c r="CY42" s="71"/>
      <c r="CZ42" s="62"/>
      <c r="DA42" s="45"/>
      <c r="DB42" s="54"/>
      <c r="DC42" s="56"/>
      <c r="DD42" s="70"/>
      <c r="DE42" s="64"/>
      <c r="DF42" s="64"/>
      <c r="DG42" s="71"/>
      <c r="DH42" s="62"/>
      <c r="DI42" s="72"/>
      <c r="DJ42" s="56"/>
      <c r="DK42" s="70"/>
      <c r="DL42" s="64"/>
      <c r="DM42" s="64"/>
      <c r="DN42" s="71"/>
      <c r="DO42" s="62"/>
      <c r="DP42" s="45"/>
      <c r="DQ42" s="54"/>
      <c r="DR42" s="56"/>
      <c r="DS42" s="70"/>
      <c r="DT42" s="64"/>
      <c r="DU42" s="64"/>
      <c r="DV42" s="71"/>
      <c r="DW42" s="62"/>
      <c r="DX42" s="72"/>
      <c r="DY42" s="56"/>
      <c r="DZ42" s="70"/>
      <c r="EA42" s="64"/>
      <c r="EB42" s="64"/>
      <c r="EC42" s="71"/>
      <c r="ED42" s="62"/>
      <c r="EE42" s="45"/>
      <c r="EF42" s="54"/>
      <c r="EG42" s="56"/>
      <c r="EH42" s="70"/>
      <c r="EI42" s="64"/>
      <c r="EJ42" s="64"/>
      <c r="EK42" s="71"/>
      <c r="EL42" s="62"/>
      <c r="EM42" s="72"/>
      <c r="EN42" s="56"/>
      <c r="EO42" s="70"/>
      <c r="EP42" s="64"/>
      <c r="EQ42" s="64"/>
      <c r="ER42" s="71"/>
      <c r="ES42" s="62"/>
      <c r="ET42" s="45"/>
    </row>
    <row r="43" spans="1:150" s="55" customFormat="1">
      <c r="A43" s="54"/>
      <c r="B43" s="57"/>
      <c r="C43" s="243"/>
      <c r="D43" s="244"/>
      <c r="E43" s="45"/>
      <c r="G43" s="63"/>
      <c r="H43" s="59"/>
      <c r="I43" s="57"/>
      <c r="J43" s="243"/>
      <c r="K43" s="244"/>
      <c r="L43" s="45"/>
      <c r="N43" s="63"/>
      <c r="O43" s="45"/>
      <c r="P43" s="54"/>
      <c r="Q43" s="57"/>
      <c r="R43" s="243"/>
      <c r="S43" s="244"/>
      <c r="T43" s="45"/>
      <c r="V43" s="63"/>
      <c r="W43" s="59"/>
      <c r="X43" s="57"/>
      <c r="Y43" s="243"/>
      <c r="Z43" s="244"/>
      <c r="AA43" s="45"/>
      <c r="AC43" s="63"/>
      <c r="AD43" s="45"/>
      <c r="AE43" s="54"/>
      <c r="AF43" s="57"/>
      <c r="AG43" s="243"/>
      <c r="AH43" s="244"/>
      <c r="AI43" s="45"/>
      <c r="AK43" s="63"/>
      <c r="AL43" s="59"/>
      <c r="AM43" s="57"/>
      <c r="AN43" s="243"/>
      <c r="AO43" s="244"/>
      <c r="AP43" s="45"/>
      <c r="AR43" s="63"/>
      <c r="AS43" s="45"/>
      <c r="AT43" s="54"/>
      <c r="AU43" s="57"/>
      <c r="AV43" s="243"/>
      <c r="AW43" s="244"/>
      <c r="AX43" s="45"/>
      <c r="AZ43" s="63"/>
      <c r="BA43" s="59"/>
      <c r="BB43" s="57"/>
      <c r="BC43" s="243"/>
      <c r="BD43" s="244"/>
      <c r="BE43" s="45"/>
      <c r="BG43" s="63"/>
      <c r="BH43" s="45"/>
      <c r="BI43" s="54"/>
      <c r="BJ43" s="57"/>
      <c r="BK43" s="243"/>
      <c r="BL43" s="244"/>
      <c r="BM43" s="45"/>
      <c r="BO43" s="63"/>
      <c r="BP43" s="59"/>
      <c r="BQ43" s="57"/>
      <c r="BR43" s="243"/>
      <c r="BS43" s="244"/>
      <c r="BT43" s="45"/>
      <c r="BV43" s="63"/>
      <c r="BW43" s="45"/>
      <c r="BX43" s="54"/>
      <c r="BY43" s="57"/>
      <c r="BZ43" s="243"/>
      <c r="CA43" s="244"/>
      <c r="CB43" s="45"/>
      <c r="CD43" s="63"/>
      <c r="CE43" s="59"/>
      <c r="CF43" s="57"/>
      <c r="CG43" s="243"/>
      <c r="CH43" s="244"/>
      <c r="CI43" s="45"/>
      <c r="CK43" s="63"/>
      <c r="CL43" s="45"/>
      <c r="CM43" s="54"/>
      <c r="CN43" s="57"/>
      <c r="CO43" s="243"/>
      <c r="CP43" s="244"/>
      <c r="CQ43" s="45"/>
      <c r="CS43" s="63"/>
      <c r="CT43" s="59"/>
      <c r="CU43" s="57"/>
      <c r="CV43" s="243"/>
      <c r="CW43" s="244"/>
      <c r="CX43" s="45"/>
      <c r="CZ43" s="63"/>
      <c r="DA43" s="45"/>
      <c r="DB43" s="54"/>
      <c r="DC43" s="57"/>
      <c r="DD43" s="243"/>
      <c r="DE43" s="244"/>
      <c r="DF43" s="45"/>
      <c r="DH43" s="63"/>
      <c r="DI43" s="59"/>
      <c r="DJ43" s="57"/>
      <c r="DK43" s="243"/>
      <c r="DL43" s="244"/>
      <c r="DM43" s="45"/>
      <c r="DO43" s="63"/>
      <c r="DP43" s="45"/>
      <c r="DQ43" s="54"/>
      <c r="DR43" s="57"/>
      <c r="DS43" s="243"/>
      <c r="DT43" s="244"/>
      <c r="DU43" s="45"/>
      <c r="DW43" s="63"/>
      <c r="DX43" s="59"/>
      <c r="DY43" s="57"/>
      <c r="DZ43" s="243"/>
      <c r="EA43" s="244"/>
      <c r="EB43" s="45"/>
      <c r="ED43" s="63"/>
      <c r="EE43" s="45"/>
      <c r="EF43" s="54"/>
      <c r="EG43" s="57"/>
      <c r="EH43" s="243"/>
      <c r="EI43" s="244"/>
      <c r="EJ43" s="45"/>
      <c r="EL43" s="63"/>
      <c r="EM43" s="59"/>
      <c r="EN43" s="57"/>
      <c r="EO43" s="243"/>
      <c r="EP43" s="244"/>
      <c r="EQ43" s="45"/>
      <c r="ES43" s="63"/>
      <c r="ET43" s="45"/>
    </row>
    <row r="44" spans="1:150" ht="15.6" customHeight="1">
      <c r="B44" s="48"/>
      <c r="C44" s="241"/>
      <c r="D44" s="242"/>
      <c r="E44" s="73"/>
      <c r="F44" s="237"/>
      <c r="G44" s="238"/>
      <c r="H44" s="49"/>
      <c r="I44" s="48"/>
      <c r="J44" s="241"/>
      <c r="K44" s="242"/>
      <c r="L44" s="73"/>
      <c r="M44" s="237"/>
      <c r="N44" s="238"/>
      <c r="Q44" s="48"/>
      <c r="R44" s="241"/>
      <c r="S44" s="242"/>
      <c r="T44" s="73"/>
      <c r="U44" s="237"/>
      <c r="V44" s="238"/>
      <c r="W44" s="49"/>
      <c r="X44" s="48"/>
      <c r="Y44" s="241"/>
      <c r="Z44" s="242"/>
      <c r="AA44" s="73"/>
      <c r="AB44" s="237"/>
      <c r="AC44" s="238"/>
      <c r="AF44" s="48"/>
      <c r="AG44" s="241"/>
      <c r="AH44" s="242"/>
      <c r="AI44" s="73"/>
      <c r="AJ44" s="237"/>
      <c r="AK44" s="238"/>
      <c r="AL44" s="49"/>
      <c r="AM44" s="48"/>
      <c r="AN44" s="241"/>
      <c r="AO44" s="242"/>
      <c r="AP44" s="73"/>
      <c r="AQ44" s="237"/>
      <c r="AR44" s="238"/>
      <c r="AU44" s="48"/>
      <c r="AV44" s="241"/>
      <c r="AW44" s="242"/>
      <c r="AX44" s="73"/>
      <c r="AY44" s="237"/>
      <c r="AZ44" s="238"/>
      <c r="BA44" s="49"/>
      <c r="BB44" s="48"/>
      <c r="BC44" s="241"/>
      <c r="BD44" s="242"/>
      <c r="BE44" s="73"/>
      <c r="BF44" s="237"/>
      <c r="BG44" s="238"/>
      <c r="BJ44" s="48"/>
      <c r="BK44" s="241"/>
      <c r="BL44" s="242"/>
      <c r="BM44" s="73"/>
      <c r="BN44" s="237"/>
      <c r="BO44" s="238"/>
      <c r="BP44" s="49"/>
      <c r="BQ44" s="48"/>
      <c r="BR44" s="241"/>
      <c r="BS44" s="242"/>
      <c r="BT44" s="73"/>
      <c r="BU44" s="237"/>
      <c r="BV44" s="238"/>
      <c r="BY44" s="48"/>
      <c r="BZ44" s="241"/>
      <c r="CA44" s="242"/>
      <c r="CB44" s="73"/>
      <c r="CC44" s="237"/>
      <c r="CD44" s="238"/>
      <c r="CE44" s="49"/>
      <c r="CF44" s="48"/>
      <c r="CG44" s="241"/>
      <c r="CH44" s="242"/>
      <c r="CI44" s="73"/>
      <c r="CJ44" s="237"/>
      <c r="CK44" s="238"/>
      <c r="CN44" s="48"/>
      <c r="CO44" s="241"/>
      <c r="CP44" s="242"/>
      <c r="CQ44" s="73"/>
      <c r="CR44" s="237"/>
      <c r="CS44" s="238"/>
      <c r="CT44" s="49"/>
      <c r="CU44" s="48"/>
      <c r="CV44" s="241"/>
      <c r="CW44" s="242"/>
      <c r="CX44" s="73"/>
      <c r="CY44" s="237"/>
      <c r="CZ44" s="238"/>
      <c r="DC44" s="48"/>
      <c r="DD44" s="241"/>
      <c r="DE44" s="242"/>
      <c r="DF44" s="73"/>
      <c r="DG44" s="237"/>
      <c r="DH44" s="238"/>
      <c r="DI44" s="49"/>
      <c r="DJ44" s="48"/>
      <c r="DK44" s="241"/>
      <c r="DL44" s="242"/>
      <c r="DM44" s="73"/>
      <c r="DN44" s="237"/>
      <c r="DO44" s="238"/>
      <c r="DR44" s="48"/>
      <c r="DS44" s="241"/>
      <c r="DT44" s="242"/>
      <c r="DU44" s="73"/>
      <c r="DV44" s="237"/>
      <c r="DW44" s="238"/>
      <c r="DX44" s="49"/>
      <c r="DY44" s="48"/>
      <c r="DZ44" s="241"/>
      <c r="EA44" s="242"/>
      <c r="EB44" s="73"/>
      <c r="EC44" s="237"/>
      <c r="ED44" s="238"/>
      <c r="EG44" s="48"/>
      <c r="EH44" s="241"/>
      <c r="EI44" s="242"/>
      <c r="EJ44" s="73"/>
      <c r="EK44" s="237"/>
      <c r="EL44" s="238"/>
      <c r="EM44" s="49"/>
      <c r="EN44" s="48"/>
      <c r="EO44" s="241"/>
      <c r="EP44" s="242"/>
      <c r="EQ44" s="73"/>
      <c r="ER44" s="237"/>
      <c r="ES44" s="238"/>
    </row>
    <row r="45" spans="1:150" ht="15.6" customHeight="1">
      <c r="B45" s="50"/>
      <c r="C45" s="239"/>
      <c r="D45" s="239"/>
      <c r="E45" s="67"/>
      <c r="F45" s="239"/>
      <c r="G45" s="240"/>
      <c r="H45" s="49"/>
      <c r="I45" s="50"/>
      <c r="J45" s="239"/>
      <c r="K45" s="239"/>
      <c r="L45" s="67"/>
      <c r="M45" s="239"/>
      <c r="N45" s="240"/>
      <c r="Q45" s="50"/>
      <c r="R45" s="239"/>
      <c r="S45" s="239"/>
      <c r="T45" s="67"/>
      <c r="U45" s="239"/>
      <c r="V45" s="240"/>
      <c r="W45" s="49"/>
      <c r="X45" s="50"/>
      <c r="Y45" s="239"/>
      <c r="Z45" s="239"/>
      <c r="AA45" s="67"/>
      <c r="AB45" s="239"/>
      <c r="AC45" s="240"/>
      <c r="AF45" s="50"/>
      <c r="AG45" s="239"/>
      <c r="AH45" s="239"/>
      <c r="AI45" s="67"/>
      <c r="AJ45" s="239"/>
      <c r="AK45" s="240"/>
      <c r="AL45" s="49"/>
      <c r="AM45" s="50"/>
      <c r="AN45" s="239"/>
      <c r="AO45" s="239"/>
      <c r="AP45" s="67"/>
      <c r="AQ45" s="239"/>
      <c r="AR45" s="240"/>
      <c r="AU45" s="50"/>
      <c r="AV45" s="239"/>
      <c r="AW45" s="239"/>
      <c r="AX45" s="67"/>
      <c r="AY45" s="239"/>
      <c r="AZ45" s="240"/>
      <c r="BA45" s="49"/>
      <c r="BB45" s="50"/>
      <c r="BC45" s="239"/>
      <c r="BD45" s="239"/>
      <c r="BE45" s="67"/>
      <c r="BF45" s="239"/>
      <c r="BG45" s="240"/>
      <c r="BJ45" s="50"/>
      <c r="BK45" s="239"/>
      <c r="BL45" s="239"/>
      <c r="BM45" s="67"/>
      <c r="BN45" s="239"/>
      <c r="BO45" s="240"/>
      <c r="BP45" s="49"/>
      <c r="BQ45" s="50"/>
      <c r="BR45" s="239"/>
      <c r="BS45" s="239"/>
      <c r="BT45" s="67"/>
      <c r="BU45" s="239"/>
      <c r="BV45" s="240"/>
      <c r="BY45" s="50"/>
      <c r="BZ45" s="239"/>
      <c r="CA45" s="239"/>
      <c r="CB45" s="67"/>
      <c r="CC45" s="239"/>
      <c r="CD45" s="240"/>
      <c r="CE45" s="49"/>
      <c r="CF45" s="50"/>
      <c r="CG45" s="239"/>
      <c r="CH45" s="239"/>
      <c r="CI45" s="67"/>
      <c r="CJ45" s="239"/>
      <c r="CK45" s="240"/>
      <c r="CN45" s="50"/>
      <c r="CO45" s="239"/>
      <c r="CP45" s="239"/>
      <c r="CQ45" s="67"/>
      <c r="CR45" s="239"/>
      <c r="CS45" s="240"/>
      <c r="CT45" s="49"/>
      <c r="CU45" s="50"/>
      <c r="CV45" s="239"/>
      <c r="CW45" s="239"/>
      <c r="CX45" s="67"/>
      <c r="CY45" s="239"/>
      <c r="CZ45" s="240"/>
      <c r="DC45" s="50"/>
      <c r="DD45" s="239"/>
      <c r="DE45" s="239"/>
      <c r="DF45" s="67"/>
      <c r="DG45" s="239"/>
      <c r="DH45" s="240"/>
      <c r="DI45" s="49"/>
      <c r="DJ45" s="50"/>
      <c r="DK45" s="239"/>
      <c r="DL45" s="239"/>
      <c r="DM45" s="67"/>
      <c r="DN45" s="239"/>
      <c r="DO45" s="240"/>
      <c r="DR45" s="50"/>
      <c r="DS45" s="239"/>
      <c r="DT45" s="239"/>
      <c r="DU45" s="67"/>
      <c r="DV45" s="239"/>
      <c r="DW45" s="240"/>
      <c r="DX45" s="49"/>
      <c r="DY45" s="50"/>
      <c r="DZ45" s="239"/>
      <c r="EA45" s="239"/>
      <c r="EB45" s="67"/>
      <c r="EC45" s="239"/>
      <c r="ED45" s="240"/>
      <c r="EG45" s="50"/>
      <c r="EH45" s="239"/>
      <c r="EI45" s="239"/>
      <c r="EJ45" s="67"/>
      <c r="EK45" s="239"/>
      <c r="EL45" s="240"/>
      <c r="EM45" s="49"/>
      <c r="EN45" s="50"/>
      <c r="EO45" s="239"/>
      <c r="EP45" s="239"/>
      <c r="EQ45" s="67"/>
      <c r="ER45" s="239"/>
      <c r="ES45" s="240"/>
    </row>
    <row r="46" spans="1:150" s="55" customFormat="1">
      <c r="A46" s="54"/>
      <c r="B46" s="60"/>
      <c r="C46" s="58"/>
      <c r="D46" s="60"/>
      <c r="E46" s="58"/>
      <c r="F46" s="60"/>
      <c r="G46" s="63"/>
      <c r="H46" s="45"/>
      <c r="I46" s="60"/>
      <c r="J46" s="58"/>
      <c r="K46" s="60"/>
      <c r="L46" s="58"/>
      <c r="M46" s="60"/>
      <c r="N46" s="63"/>
      <c r="O46" s="45"/>
      <c r="P46" s="54"/>
      <c r="Q46" s="60"/>
      <c r="R46" s="58"/>
      <c r="S46" s="60"/>
      <c r="T46" s="58"/>
      <c r="U46" s="60"/>
      <c r="V46" s="63"/>
      <c r="W46" s="45"/>
      <c r="X46" s="60"/>
      <c r="Y46" s="58"/>
      <c r="Z46" s="60"/>
      <c r="AA46" s="58"/>
      <c r="AB46" s="60"/>
      <c r="AC46" s="63"/>
      <c r="AD46" s="45"/>
      <c r="AE46" s="54"/>
      <c r="AF46" s="60"/>
      <c r="AG46" s="58"/>
      <c r="AH46" s="60"/>
      <c r="AI46" s="58"/>
      <c r="AJ46" s="60"/>
      <c r="AK46" s="63"/>
      <c r="AL46" s="45"/>
      <c r="AM46" s="60"/>
      <c r="AN46" s="58"/>
      <c r="AO46" s="60"/>
      <c r="AP46" s="58"/>
      <c r="AQ46" s="60"/>
      <c r="AR46" s="63"/>
      <c r="AS46" s="45"/>
      <c r="AT46" s="54"/>
      <c r="AU46" s="60"/>
      <c r="AV46" s="58"/>
      <c r="AW46" s="60"/>
      <c r="AX46" s="58"/>
      <c r="AY46" s="60"/>
      <c r="AZ46" s="63"/>
      <c r="BA46" s="45"/>
      <c r="BB46" s="60"/>
      <c r="BC46" s="58"/>
      <c r="BD46" s="60"/>
      <c r="BE46" s="58"/>
      <c r="BF46" s="60"/>
      <c r="BG46" s="63"/>
      <c r="BH46" s="45"/>
      <c r="BI46" s="54"/>
      <c r="BJ46" s="60"/>
      <c r="BK46" s="58"/>
      <c r="BL46" s="60"/>
      <c r="BM46" s="58"/>
      <c r="BN46" s="60"/>
      <c r="BO46" s="63"/>
      <c r="BP46" s="45"/>
      <c r="BQ46" s="60"/>
      <c r="BR46" s="58"/>
      <c r="BS46" s="60"/>
      <c r="BT46" s="58"/>
      <c r="BU46" s="60"/>
      <c r="BV46" s="63"/>
      <c r="BW46" s="45"/>
      <c r="BX46" s="54"/>
      <c r="BY46" s="60"/>
      <c r="BZ46" s="58"/>
      <c r="CA46" s="60"/>
      <c r="CB46" s="58"/>
      <c r="CC46" s="60"/>
      <c r="CD46" s="63"/>
      <c r="CE46" s="45"/>
      <c r="CF46" s="60"/>
      <c r="CG46" s="58"/>
      <c r="CH46" s="60"/>
      <c r="CI46" s="58"/>
      <c r="CJ46" s="60"/>
      <c r="CK46" s="63"/>
      <c r="CL46" s="45"/>
      <c r="CM46" s="54"/>
      <c r="CN46" s="60"/>
      <c r="CO46" s="58"/>
      <c r="CP46" s="60"/>
      <c r="CQ46" s="58"/>
      <c r="CR46" s="60"/>
      <c r="CS46" s="63"/>
      <c r="CT46" s="45"/>
      <c r="CU46" s="60"/>
      <c r="CV46" s="58"/>
      <c r="CW46" s="60"/>
      <c r="CX46" s="58"/>
      <c r="CY46" s="60"/>
      <c r="CZ46" s="63"/>
      <c r="DA46" s="45"/>
      <c r="DB46" s="54"/>
      <c r="DC46" s="60"/>
      <c r="DD46" s="58"/>
      <c r="DE46" s="60"/>
      <c r="DF46" s="58"/>
      <c r="DG46" s="60"/>
      <c r="DH46" s="63"/>
      <c r="DI46" s="45"/>
      <c r="DJ46" s="60"/>
      <c r="DK46" s="58"/>
      <c r="DL46" s="60"/>
      <c r="DM46" s="58"/>
      <c r="DN46" s="60"/>
      <c r="DO46" s="63"/>
      <c r="DP46" s="45"/>
      <c r="DQ46" s="54"/>
      <c r="DR46" s="60"/>
      <c r="DS46" s="58"/>
      <c r="DT46" s="60"/>
      <c r="DU46" s="58"/>
      <c r="DV46" s="60"/>
      <c r="DW46" s="63"/>
      <c r="DX46" s="45"/>
      <c r="DY46" s="60"/>
      <c r="DZ46" s="58"/>
      <c r="EA46" s="60"/>
      <c r="EB46" s="58"/>
      <c r="EC46" s="60"/>
      <c r="ED46" s="63"/>
      <c r="EE46" s="45"/>
      <c r="EF46" s="54"/>
      <c r="EG46" s="60"/>
      <c r="EH46" s="58"/>
      <c r="EI46" s="60"/>
      <c r="EJ46" s="58"/>
      <c r="EK46" s="60"/>
      <c r="EL46" s="63"/>
      <c r="EM46" s="45"/>
      <c r="EN46" s="60"/>
      <c r="EO46" s="58"/>
      <c r="EP46" s="60"/>
      <c r="EQ46" s="58"/>
      <c r="ER46" s="60"/>
      <c r="ES46" s="63"/>
      <c r="ET46" s="45"/>
    </row>
    <row r="47" spans="1:150" ht="27.6" customHeight="1">
      <c r="B47" s="247"/>
      <c r="C47" s="240"/>
      <c r="D47" s="247"/>
      <c r="E47" s="240"/>
      <c r="F47" s="248"/>
      <c r="G47" s="240"/>
      <c r="I47" s="247"/>
      <c r="J47" s="240"/>
      <c r="K47" s="247"/>
      <c r="L47" s="240"/>
      <c r="M47" s="248"/>
      <c r="N47" s="240"/>
      <c r="Q47" s="247"/>
      <c r="R47" s="240"/>
      <c r="S47" s="247"/>
      <c r="T47" s="240"/>
      <c r="U47" s="248"/>
      <c r="V47" s="240"/>
      <c r="X47" s="247"/>
      <c r="Y47" s="240"/>
      <c r="Z47" s="247"/>
      <c r="AA47" s="240"/>
      <c r="AB47" s="248"/>
      <c r="AC47" s="240"/>
      <c r="AF47" s="247"/>
      <c r="AG47" s="240"/>
      <c r="AH47" s="247"/>
      <c r="AI47" s="240"/>
      <c r="AJ47" s="248"/>
      <c r="AK47" s="240"/>
      <c r="AM47" s="247"/>
      <c r="AN47" s="240"/>
      <c r="AO47" s="247"/>
      <c r="AP47" s="240"/>
      <c r="AQ47" s="248"/>
      <c r="AR47" s="240"/>
      <c r="AU47" s="247"/>
      <c r="AV47" s="240"/>
      <c r="AW47" s="247"/>
      <c r="AX47" s="240"/>
      <c r="AY47" s="248"/>
      <c r="AZ47" s="240"/>
      <c r="BB47" s="247"/>
      <c r="BC47" s="240"/>
      <c r="BD47" s="247"/>
      <c r="BE47" s="240"/>
      <c r="BF47" s="248"/>
      <c r="BG47" s="240"/>
      <c r="BJ47" s="247"/>
      <c r="BK47" s="240"/>
      <c r="BL47" s="247"/>
      <c r="BM47" s="240"/>
      <c r="BN47" s="248"/>
      <c r="BO47" s="240"/>
      <c r="BQ47" s="247"/>
      <c r="BR47" s="240"/>
      <c r="BS47" s="247"/>
      <c r="BT47" s="240"/>
      <c r="BU47" s="248"/>
      <c r="BV47" s="240"/>
      <c r="BY47" s="247"/>
      <c r="BZ47" s="240"/>
      <c r="CA47" s="247"/>
      <c r="CB47" s="240"/>
      <c r="CC47" s="248"/>
      <c r="CD47" s="240"/>
      <c r="CF47" s="247"/>
      <c r="CG47" s="240"/>
      <c r="CH47" s="247"/>
      <c r="CI47" s="240"/>
      <c r="CJ47" s="248"/>
      <c r="CK47" s="240"/>
      <c r="CN47" s="247"/>
      <c r="CO47" s="240"/>
      <c r="CP47" s="247"/>
      <c r="CQ47" s="240"/>
      <c r="CR47" s="248"/>
      <c r="CS47" s="240"/>
      <c r="CU47" s="247"/>
      <c r="CV47" s="240"/>
      <c r="CW47" s="247"/>
      <c r="CX47" s="240"/>
      <c r="CY47" s="248"/>
      <c r="CZ47" s="240"/>
      <c r="DC47" s="247"/>
      <c r="DD47" s="240"/>
      <c r="DE47" s="247"/>
      <c r="DF47" s="240"/>
      <c r="DG47" s="248"/>
      <c r="DH47" s="240"/>
      <c r="DJ47" s="247"/>
      <c r="DK47" s="240"/>
      <c r="DL47" s="247"/>
      <c r="DM47" s="240"/>
      <c r="DN47" s="248"/>
      <c r="DO47" s="240"/>
      <c r="DR47" s="247"/>
      <c r="DS47" s="240"/>
      <c r="DT47" s="247"/>
      <c r="DU47" s="240"/>
      <c r="DV47" s="248"/>
      <c r="DW47" s="240"/>
      <c r="DY47" s="247"/>
      <c r="DZ47" s="240"/>
      <c r="EA47" s="247"/>
      <c r="EB47" s="240"/>
      <c r="EC47" s="248"/>
      <c r="ED47" s="240"/>
      <c r="EG47" s="247"/>
      <c r="EH47" s="240"/>
      <c r="EI47" s="247"/>
      <c r="EJ47" s="240"/>
      <c r="EK47" s="248"/>
      <c r="EL47" s="240"/>
      <c r="EN47" s="247"/>
      <c r="EO47" s="240"/>
      <c r="EP47" s="247"/>
      <c r="EQ47" s="240"/>
      <c r="ER47" s="248"/>
      <c r="ES47" s="240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EA39:EB39"/>
    <mergeCell ref="DC47:DD47"/>
    <mergeCell ref="BN39:BO39"/>
    <mergeCell ref="AV9:AY9"/>
    <mergeCell ref="DD44:DE45"/>
    <mergeCell ref="BN4:BO5"/>
    <mergeCell ref="AO7:AP7"/>
    <mergeCell ref="EO12:EP13"/>
    <mergeCell ref="AV35:AW35"/>
    <mergeCell ref="BF44:BG45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H47:CI47"/>
    <mergeCell ref="AN43:AO43"/>
    <mergeCell ref="BU20:BV21"/>
    <mergeCell ref="CY36:CZ37"/>
    <mergeCell ref="Y9:AB9"/>
    <mergeCell ref="CO20:CP21"/>
    <mergeCell ref="EO27:EP27"/>
    <mergeCell ref="DJ23:DK23"/>
    <mergeCell ref="BC36:BD37"/>
    <mergeCell ref="DS33:DV33"/>
    <mergeCell ref="BR19:BS19"/>
    <mergeCell ref="EO41:ER41"/>
    <mergeCell ref="K7:L7"/>
    <mergeCell ref="AU47:AV47"/>
    <mergeCell ref="M23:N23"/>
    <mergeCell ref="CC39:CD39"/>
    <mergeCell ref="CR47:CS47"/>
    <mergeCell ref="AM47:AN47"/>
    <mergeCell ref="DK41:DN41"/>
    <mergeCell ref="CY20:CZ21"/>
    <mergeCell ref="M39:N39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F36:G37"/>
    <mergeCell ref="DG20:DH21"/>
    <mergeCell ref="BK9:BN9"/>
    <mergeCell ref="DG7:DH7"/>
    <mergeCell ref="CO28:CP29"/>
    <mergeCell ref="CV11:CW11"/>
    <mergeCell ref="DE15:DF15"/>
    <mergeCell ref="DG15:DH15"/>
    <mergeCell ref="CV25:CY25"/>
    <mergeCell ref="DD19:DE19"/>
    <mergeCell ref="BL39:BM39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DS4:DT5"/>
    <mergeCell ref="DV4:DW5"/>
    <mergeCell ref="J27:K27"/>
    <mergeCell ref="BC28:BD29"/>
    <mergeCell ref="CW15:CX15"/>
    <mergeCell ref="CY15:CZ15"/>
    <mergeCell ref="CG36:CH37"/>
    <mergeCell ref="EO33:ER33"/>
    <mergeCell ref="AH39:AI39"/>
    <mergeCell ref="BY47:BZ47"/>
    <mergeCell ref="AV19:AW19"/>
    <mergeCell ref="R25:U25"/>
    <mergeCell ref="EC20:ED21"/>
    <mergeCell ref="DK28:DL29"/>
    <mergeCell ref="EC7:ED7"/>
    <mergeCell ref="DZ11:EA11"/>
    <mergeCell ref="BK12:BL13"/>
    <mergeCell ref="AB44:AC45"/>
    <mergeCell ref="EI15:EJ15"/>
    <mergeCell ref="EH43:EI43"/>
    <mergeCell ref="EK15:EL15"/>
    <mergeCell ref="CP39:CQ39"/>
    <mergeCell ref="BK35:BL35"/>
    <mergeCell ref="EO4:EP5"/>
    <mergeCell ref="BQ7:BR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AW23:AX23"/>
    <mergeCell ref="DS17:DV17"/>
    <mergeCell ref="BC20:BD21"/>
    <mergeCell ref="CR28:CS29"/>
    <mergeCell ref="AN35:AO35"/>
    <mergeCell ref="CO35:CP35"/>
    <mergeCell ref="AU31:AV31"/>
    <mergeCell ref="BU39:BV39"/>
    <mergeCell ref="DK44:DL45"/>
    <mergeCell ref="F12:G13"/>
    <mergeCell ref="CJ44:CK45"/>
    <mergeCell ref="X39:Y39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BB31:BC31"/>
    <mergeCell ref="DD25:DG25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J3:K3"/>
    <mergeCell ref="F39:G39"/>
    <mergeCell ref="CR20:CS21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CG12:CH13"/>
    <mergeCell ref="F31:G31"/>
    <mergeCell ref="BU15:BV15"/>
    <mergeCell ref="DK33:DN33"/>
    <mergeCell ref="BZ36:CA37"/>
    <mergeCell ref="AN25:AQ25"/>
    <mergeCell ref="EO20:EP21"/>
    <mergeCell ref="BR44:BS45"/>
    <mergeCell ref="AB4:AC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AN11:AO11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CJ12:CK13"/>
    <mergeCell ref="DN28:DO29"/>
    <mergeCell ref="BC35:BD35"/>
    <mergeCell ref="DT7:DU7"/>
    <mergeCell ref="DV7:DW7"/>
    <mergeCell ref="I7:J7"/>
    <mergeCell ref="CF39:CG39"/>
    <mergeCell ref="J36:K37"/>
    <mergeCell ref="BR11:BS11"/>
    <mergeCell ref="CH39:CI39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V4:AW5"/>
    <mergeCell ref="AG41:AJ41"/>
    <mergeCell ref="DN20:DO21"/>
    <mergeCell ref="BQ47:BR47"/>
    <mergeCell ref="AB39:AC39"/>
    <mergeCell ref="CJ47:CK47"/>
    <mergeCell ref="AQ44:AR45"/>
    <mergeCell ref="AW47:AX47"/>
    <mergeCell ref="AY47:AZ47"/>
    <mergeCell ref="BY7:BZ7"/>
    <mergeCell ref="BR25:BU25"/>
    <mergeCell ref="DT39:DU39"/>
    <mergeCell ref="DV28:DW29"/>
    <mergeCell ref="DZ28:EA29"/>
    <mergeCell ref="Y1:AB1"/>
    <mergeCell ref="BU4:BV5"/>
    <mergeCell ref="B47:C47"/>
    <mergeCell ref="EO36:EP37"/>
    <mergeCell ref="J4:K5"/>
    <mergeCell ref="AN12:AO13"/>
    <mergeCell ref="AB36:AC37"/>
    <mergeCell ref="DD3:DE3"/>
    <mergeCell ref="EG47:EH47"/>
    <mergeCell ref="CR39:CS39"/>
    <mergeCell ref="CV3:CW3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CG43:CH43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CA15:CB15"/>
    <mergeCell ref="DD20:DE21"/>
    <mergeCell ref="EK28:EL29"/>
    <mergeCell ref="AV33:AY33"/>
    <mergeCell ref="R17:U17"/>
    <mergeCell ref="AM39:AN39"/>
    <mergeCell ref="AO39:AP39"/>
    <mergeCell ref="DZ33:EC33"/>
    <mergeCell ref="CO27:CP27"/>
    <mergeCell ref="BJ23:BK23"/>
    <mergeCell ref="CJ31:CK31"/>
    <mergeCell ref="DN12:DO13"/>
    <mergeCell ref="EP7:EQ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EP15:EQ15"/>
    <mergeCell ref="DV39:DW39"/>
    <mergeCell ref="AW31:AX31"/>
    <mergeCell ref="B7:C7"/>
    <mergeCell ref="BF31:BG31"/>
    <mergeCell ref="EG39:EH39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BY39:BZ39"/>
    <mergeCell ref="AY31:AZ31"/>
    <mergeCell ref="BK11:BL11"/>
    <mergeCell ref="I31:J31"/>
    <mergeCell ref="CC36:CD37"/>
    <mergeCell ref="DE31:DF31"/>
    <mergeCell ref="CR23:CS23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CW47:CX47"/>
    <mergeCell ref="CY47:CZ47"/>
    <mergeCell ref="BF47:BG47"/>
    <mergeCell ref="U4:V5"/>
    <mergeCell ref="CW31:CX31"/>
    <mergeCell ref="AV1:AY1"/>
    <mergeCell ref="AU15:AV15"/>
    <mergeCell ref="AW15:AX15"/>
    <mergeCell ref="AV43:AW43"/>
    <mergeCell ref="M44:N45"/>
    <mergeCell ref="AN33:AQ33"/>
    <mergeCell ref="DG28:DH29"/>
    <mergeCell ref="DG44:DH45"/>
    <mergeCell ref="J41:M41"/>
    <mergeCell ref="BU44:BV45"/>
    <mergeCell ref="AN3:AO3"/>
    <mergeCell ref="BZ1:CC1"/>
    <mergeCell ref="M28:N29"/>
    <mergeCell ref="AN17:AQ17"/>
    <mergeCell ref="AM23:AN23"/>
    <mergeCell ref="AO23:AP23"/>
    <mergeCell ref="BZ20:CA21"/>
    <mergeCell ref="AV27:AW27"/>
    <mergeCell ref="AV41:AY41"/>
    <mergeCell ref="AJ20:AK21"/>
    <mergeCell ref="J12:K13"/>
    <mergeCell ref="Z39:AA39"/>
    <mergeCell ref="M47:N47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BF7:BG7"/>
    <mergeCell ref="CF15:CG15"/>
    <mergeCell ref="CH15:CI15"/>
    <mergeCell ref="BC11:BD11"/>
    <mergeCell ref="BU28:BV29"/>
    <mergeCell ref="Q39:R39"/>
    <mergeCell ref="CG44:CH45"/>
    <mergeCell ref="S39:T39"/>
    <mergeCell ref="CR12:CS13"/>
    <mergeCell ref="AG28:AH29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EO35:EP35"/>
    <mergeCell ref="CU31:CV31"/>
    <mergeCell ref="Y28:Z29"/>
    <mergeCell ref="ER12:ES13"/>
    <mergeCell ref="EP23:EQ2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R43:S4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D15:E15"/>
    <mergeCell ref="CV1:CY1"/>
    <mergeCell ref="DN44:DO45"/>
    <mergeCell ref="D7:E7"/>
    <mergeCell ref="DD35:DE35"/>
    <mergeCell ref="AF15:AG15"/>
    <mergeCell ref="EI39:EJ39"/>
    <mergeCell ref="CA7:CB7"/>
    <mergeCell ref="X15:Y15"/>
    <mergeCell ref="EH44:EI45"/>
    <mergeCell ref="BK41:BN41"/>
    <mergeCell ref="EC39:ED39"/>
    <mergeCell ref="F23:G23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DS43:DT43"/>
    <mergeCell ref="DK17:DN17"/>
    <mergeCell ref="AV3:AW3"/>
    <mergeCell ref="BU23:BV23"/>
    <mergeCell ref="AQ7:AR7"/>
    <mergeCell ref="Y41:AB41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19:EA1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V339"/>
  <sheetViews>
    <sheetView zoomScale="70" zoomScaleNormal="70" workbookViewId="0">
      <selection activeCell="I8" sqref="I8"/>
    </sheetView>
  </sheetViews>
  <sheetFormatPr defaultRowHeight="18"/>
  <cols>
    <col min="1" max="2" width="5.59765625" style="52" customWidth="1"/>
    <col min="3" max="4" width="29.59765625" style="52" bestFit="1" customWidth="1"/>
    <col min="5" max="11" width="5.59765625" style="52" customWidth="1"/>
    <col min="12" max="12" width="19.19921875" style="52" bestFit="1" customWidth="1"/>
    <col min="13" max="13" width="5.59765625" style="52" customWidth="1"/>
    <col min="14" max="14" width="10.59765625" style="52" customWidth="1"/>
    <col min="15" max="15" width="5.59765625" style="52" customWidth="1"/>
    <col min="16" max="16" width="10.59765625" style="52" customWidth="1"/>
    <col min="17" max="17" width="5.59765625" style="52" customWidth="1"/>
    <col min="18" max="18" width="10.59765625" style="52" customWidth="1"/>
    <col min="19" max="19" width="5.59765625" style="52" customWidth="1"/>
    <col min="20" max="20" width="10.59765625" style="52" customWidth="1"/>
    <col min="21" max="21" width="5.59765625" style="52" customWidth="1"/>
  </cols>
  <sheetData>
    <row r="1" spans="1:22" s="23" customFormat="1" ht="121.2" customHeight="1">
      <c r="A1" s="20" t="s">
        <v>39</v>
      </c>
      <c r="B1" s="20" t="s">
        <v>40</v>
      </c>
      <c r="C1" s="20" t="s">
        <v>41</v>
      </c>
      <c r="D1" s="20" t="s">
        <v>42</v>
      </c>
      <c r="E1" s="20" t="s">
        <v>43</v>
      </c>
      <c r="F1" s="20" t="s">
        <v>44</v>
      </c>
      <c r="G1" s="20" t="s">
        <v>45</v>
      </c>
      <c r="H1" s="20" t="s">
        <v>46</v>
      </c>
      <c r="I1" s="20" t="s">
        <v>47</v>
      </c>
      <c r="J1" s="21" t="s">
        <v>48</v>
      </c>
      <c r="K1" s="21" t="s">
        <v>49</v>
      </c>
      <c r="L1" s="21" t="s">
        <v>50</v>
      </c>
      <c r="M1" s="22" t="s">
        <v>51</v>
      </c>
      <c r="N1" s="21" t="s">
        <v>52</v>
      </c>
      <c r="O1" s="22" t="s">
        <v>53</v>
      </c>
      <c r="P1" s="21" t="s">
        <v>54</v>
      </c>
      <c r="Q1" s="22" t="s">
        <v>55</v>
      </c>
      <c r="R1" s="21" t="s">
        <v>56</v>
      </c>
      <c r="S1" s="22" t="s">
        <v>57</v>
      </c>
      <c r="T1" s="21" t="s">
        <v>58</v>
      </c>
      <c r="U1" s="22" t="s">
        <v>59</v>
      </c>
    </row>
    <row r="2" spans="1:22">
      <c r="A2" s="12">
        <v>1</v>
      </c>
      <c r="B2" s="12">
        <v>1</v>
      </c>
      <c r="C2" s="12" t="s">
        <v>60</v>
      </c>
      <c r="D2" s="12" t="s">
        <v>0</v>
      </c>
      <c r="E2" s="12">
        <v>0</v>
      </c>
      <c r="F2" s="12">
        <v>2</v>
      </c>
      <c r="G2" s="12">
        <v>0</v>
      </c>
      <c r="H2" s="12">
        <v>1</v>
      </c>
      <c r="I2" s="12">
        <v>24</v>
      </c>
      <c r="J2" s="10">
        <v>88</v>
      </c>
      <c r="K2" s="10" t="s">
        <v>61</v>
      </c>
      <c r="L2" s="10"/>
      <c r="M2" s="11">
        <v>0</v>
      </c>
      <c r="N2" s="10"/>
      <c r="O2" s="11">
        <v>0</v>
      </c>
      <c r="P2" s="10"/>
      <c r="Q2" s="11">
        <v>0</v>
      </c>
      <c r="R2" s="10"/>
      <c r="S2" s="11">
        <v>0</v>
      </c>
      <c r="T2" s="10"/>
      <c r="U2" s="11">
        <v>0</v>
      </c>
      <c r="V2">
        <f t="shared" ref="V2:V65" si="0">IF(OR(COUNTIF(D2,"*赤*"),COUNTIF(D2,"*キャラ*")),100,0)</f>
        <v>100</v>
      </c>
    </row>
    <row r="3" spans="1:22">
      <c r="A3" s="12">
        <v>2</v>
      </c>
      <c r="B3" s="12">
        <v>0</v>
      </c>
      <c r="C3" s="12" t="s">
        <v>62</v>
      </c>
      <c r="D3" s="12" t="s">
        <v>63</v>
      </c>
      <c r="E3" s="12">
        <v>0</v>
      </c>
      <c r="F3" s="12">
        <v>0</v>
      </c>
      <c r="G3" s="12">
        <v>0</v>
      </c>
      <c r="H3" s="12">
        <v>1</v>
      </c>
      <c r="I3" s="207">
        <v>12</v>
      </c>
      <c r="J3" s="10">
        <v>30</v>
      </c>
      <c r="K3" s="10" t="s">
        <v>61</v>
      </c>
      <c r="L3" s="10"/>
      <c r="M3" s="11">
        <v>0</v>
      </c>
      <c r="N3" s="10"/>
      <c r="O3" s="11">
        <v>0</v>
      </c>
      <c r="P3" s="10"/>
      <c r="Q3" s="11">
        <v>0</v>
      </c>
      <c r="R3" s="10"/>
      <c r="S3" s="11"/>
      <c r="T3" s="10"/>
      <c r="U3" s="11"/>
      <c r="V3">
        <f t="shared" si="0"/>
        <v>100</v>
      </c>
    </row>
    <row r="4" spans="1:22">
      <c r="A4" s="12">
        <v>3</v>
      </c>
      <c r="B4" s="12">
        <v>1</v>
      </c>
      <c r="C4" s="12" t="s">
        <v>64</v>
      </c>
      <c r="D4" s="12" t="s">
        <v>65</v>
      </c>
      <c r="E4" s="12">
        <v>0</v>
      </c>
      <c r="F4" s="12">
        <v>3</v>
      </c>
      <c r="G4" s="12">
        <v>0</v>
      </c>
      <c r="H4" s="12">
        <v>1</v>
      </c>
      <c r="I4" s="207">
        <v>12</v>
      </c>
      <c r="J4" s="10">
        <v>30</v>
      </c>
      <c r="K4" s="10" t="s">
        <v>61</v>
      </c>
      <c r="L4" s="10"/>
      <c r="M4" s="11">
        <v>0</v>
      </c>
      <c r="N4" s="10"/>
      <c r="O4" s="11">
        <v>0</v>
      </c>
      <c r="P4" s="10"/>
      <c r="Q4" s="11">
        <v>0</v>
      </c>
      <c r="R4" s="10"/>
      <c r="S4" s="11">
        <v>0</v>
      </c>
      <c r="T4" s="10"/>
      <c r="U4" s="11">
        <v>0</v>
      </c>
      <c r="V4">
        <f t="shared" si="0"/>
        <v>100</v>
      </c>
    </row>
    <row r="5" spans="1:22">
      <c r="A5" s="12">
        <v>4</v>
      </c>
      <c r="B5" s="12">
        <v>0</v>
      </c>
      <c r="C5" s="12" t="s">
        <v>62</v>
      </c>
      <c r="D5" s="12" t="s">
        <v>66</v>
      </c>
      <c r="E5" s="12">
        <v>0</v>
      </c>
      <c r="F5" s="12">
        <v>4</v>
      </c>
      <c r="G5" s="12">
        <v>0</v>
      </c>
      <c r="H5" s="12">
        <v>1</v>
      </c>
      <c r="I5" s="207">
        <v>12</v>
      </c>
      <c r="J5" s="10">
        <v>30</v>
      </c>
      <c r="K5" s="10" t="s">
        <v>61</v>
      </c>
      <c r="L5" s="10"/>
      <c r="M5" s="11"/>
      <c r="N5" s="10"/>
      <c r="O5" s="11"/>
      <c r="P5" s="10"/>
      <c r="Q5" s="11"/>
      <c r="R5" s="10"/>
      <c r="S5" s="11"/>
      <c r="T5" s="10"/>
      <c r="U5" s="11"/>
      <c r="V5">
        <f t="shared" si="0"/>
        <v>100</v>
      </c>
    </row>
    <row r="6" spans="1:22">
      <c r="A6" s="12">
        <v>13</v>
      </c>
      <c r="B6" s="12">
        <v>1</v>
      </c>
      <c r="C6" s="12" t="s">
        <v>60</v>
      </c>
      <c r="D6" s="12" t="s">
        <v>67</v>
      </c>
      <c r="E6" s="12">
        <v>0</v>
      </c>
      <c r="F6" s="12">
        <v>14</v>
      </c>
      <c r="G6" s="12">
        <v>0</v>
      </c>
      <c r="H6" s="12">
        <v>1</v>
      </c>
      <c r="I6" s="12">
        <v>24</v>
      </c>
      <c r="J6" s="10">
        <v>71</v>
      </c>
      <c r="K6" s="10" t="s">
        <v>61</v>
      </c>
      <c r="L6" s="10" t="s">
        <v>68</v>
      </c>
      <c r="M6" s="11">
        <v>1</v>
      </c>
      <c r="N6" s="10"/>
      <c r="O6" s="11">
        <v>0</v>
      </c>
      <c r="P6" s="10"/>
      <c r="Q6" s="11">
        <v>0</v>
      </c>
      <c r="R6" s="10"/>
      <c r="S6" s="11">
        <v>0</v>
      </c>
      <c r="T6" s="10"/>
      <c r="U6" s="11">
        <v>0</v>
      </c>
      <c r="V6">
        <f t="shared" si="0"/>
        <v>100</v>
      </c>
    </row>
    <row r="7" spans="1:22">
      <c r="A7" s="12">
        <v>14</v>
      </c>
      <c r="B7" s="12">
        <v>0</v>
      </c>
      <c r="C7" s="12" t="s">
        <v>62</v>
      </c>
      <c r="D7" s="12" t="s">
        <v>69</v>
      </c>
      <c r="E7" s="12">
        <v>0</v>
      </c>
      <c r="F7" s="12">
        <v>0</v>
      </c>
      <c r="G7" s="12">
        <v>0</v>
      </c>
      <c r="H7" s="12">
        <v>1</v>
      </c>
      <c r="I7" s="207">
        <v>12</v>
      </c>
      <c r="J7" s="10">
        <v>30</v>
      </c>
      <c r="K7" s="10" t="s">
        <v>61</v>
      </c>
      <c r="L7" s="10"/>
      <c r="M7" s="11">
        <v>0</v>
      </c>
      <c r="N7" s="10"/>
      <c r="O7" s="11">
        <v>0</v>
      </c>
      <c r="P7" s="10"/>
      <c r="Q7" s="11">
        <v>0</v>
      </c>
      <c r="R7" s="10"/>
      <c r="S7" s="11">
        <v>0</v>
      </c>
      <c r="T7" s="10"/>
      <c r="U7" s="11">
        <v>0</v>
      </c>
      <c r="V7">
        <f t="shared" si="0"/>
        <v>100</v>
      </c>
    </row>
    <row r="8" spans="1:22">
      <c r="A8" s="12">
        <v>15</v>
      </c>
      <c r="B8" s="12">
        <v>1</v>
      </c>
      <c r="C8" s="12" t="s">
        <v>70</v>
      </c>
      <c r="D8" s="12" t="s">
        <v>71</v>
      </c>
      <c r="E8" s="12">
        <v>0</v>
      </c>
      <c r="F8" s="12">
        <v>16</v>
      </c>
      <c r="G8" s="12">
        <v>0</v>
      </c>
      <c r="H8" s="12">
        <v>1</v>
      </c>
      <c r="I8" s="12">
        <v>24</v>
      </c>
      <c r="J8" s="10">
        <v>71</v>
      </c>
      <c r="K8" s="10" t="s">
        <v>61</v>
      </c>
      <c r="L8" s="10" t="s">
        <v>72</v>
      </c>
      <c r="M8" s="11">
        <v>1</v>
      </c>
      <c r="N8" s="10"/>
      <c r="O8" s="11">
        <v>0</v>
      </c>
      <c r="P8" s="10"/>
      <c r="Q8" s="11">
        <v>0</v>
      </c>
      <c r="R8" s="10"/>
      <c r="S8" s="11">
        <v>0</v>
      </c>
      <c r="T8" s="10"/>
      <c r="U8" s="11">
        <v>0</v>
      </c>
      <c r="V8">
        <f t="shared" si="0"/>
        <v>100</v>
      </c>
    </row>
    <row r="9" spans="1:22">
      <c r="A9" s="12">
        <v>16</v>
      </c>
      <c r="B9" s="12">
        <v>0</v>
      </c>
      <c r="C9" s="12" t="s">
        <v>62</v>
      </c>
      <c r="D9" s="12" t="s">
        <v>73</v>
      </c>
      <c r="E9" s="12">
        <v>0</v>
      </c>
      <c r="F9" s="12">
        <v>0</v>
      </c>
      <c r="G9" s="12">
        <v>0</v>
      </c>
      <c r="H9" s="12">
        <v>0</v>
      </c>
      <c r="I9" s="207">
        <v>12</v>
      </c>
      <c r="J9" s="10">
        <v>30</v>
      </c>
      <c r="K9" s="10" t="s">
        <v>61</v>
      </c>
      <c r="L9" s="10"/>
      <c r="M9" s="11">
        <v>0</v>
      </c>
      <c r="N9" s="10"/>
      <c r="O9" s="11">
        <v>0</v>
      </c>
      <c r="P9" s="10"/>
      <c r="Q9" s="11">
        <v>0</v>
      </c>
      <c r="R9" s="10"/>
      <c r="S9" s="11">
        <v>0</v>
      </c>
      <c r="T9" s="10"/>
      <c r="U9" s="11">
        <v>0</v>
      </c>
      <c r="V9">
        <f t="shared" si="0"/>
        <v>100</v>
      </c>
    </row>
    <row r="10" spans="1:22">
      <c r="A10" s="12">
        <v>22</v>
      </c>
      <c r="B10" s="12">
        <v>1</v>
      </c>
      <c r="C10" s="12" t="s">
        <v>74</v>
      </c>
      <c r="D10" s="12" t="s">
        <v>75</v>
      </c>
      <c r="E10" s="12">
        <v>0</v>
      </c>
      <c r="F10" s="12">
        <v>23</v>
      </c>
      <c r="G10" s="12">
        <v>1</v>
      </c>
      <c r="H10" s="12">
        <v>2</v>
      </c>
      <c r="I10" s="12">
        <v>0</v>
      </c>
      <c r="J10" s="10"/>
      <c r="K10" s="10" t="s">
        <v>76</v>
      </c>
      <c r="L10" s="10" t="s">
        <v>75</v>
      </c>
      <c r="M10" s="11">
        <v>0</v>
      </c>
      <c r="N10" s="10" t="s">
        <v>77</v>
      </c>
      <c r="O10" s="11">
        <v>0</v>
      </c>
      <c r="P10" s="10"/>
      <c r="Q10" s="11">
        <v>0</v>
      </c>
      <c r="R10" s="10"/>
      <c r="S10" s="11">
        <v>0</v>
      </c>
      <c r="T10" s="10"/>
      <c r="U10" s="11">
        <v>0</v>
      </c>
      <c r="V10">
        <f t="shared" si="0"/>
        <v>0</v>
      </c>
    </row>
    <row r="11" spans="1:22">
      <c r="A11" s="12">
        <v>23</v>
      </c>
      <c r="B11" s="12">
        <v>1</v>
      </c>
      <c r="C11" s="12" t="s">
        <v>78</v>
      </c>
      <c r="D11" s="12" t="s">
        <v>78</v>
      </c>
      <c r="E11" s="12">
        <v>0</v>
      </c>
      <c r="F11" s="12">
        <v>0</v>
      </c>
      <c r="G11" s="12">
        <v>1</v>
      </c>
      <c r="H11" s="12">
        <v>0</v>
      </c>
      <c r="I11" s="12">
        <v>0</v>
      </c>
      <c r="J11" s="10"/>
      <c r="K11" s="10" t="s">
        <v>76</v>
      </c>
      <c r="L11" s="10"/>
      <c r="M11" s="11">
        <v>0</v>
      </c>
      <c r="N11" s="10"/>
      <c r="O11" s="11">
        <v>0</v>
      </c>
      <c r="P11" s="10"/>
      <c r="Q11" s="11">
        <v>0</v>
      </c>
      <c r="R11" s="10"/>
      <c r="S11" s="11">
        <v>0</v>
      </c>
      <c r="T11" s="10"/>
      <c r="U11" s="11">
        <v>0</v>
      </c>
      <c r="V11">
        <f t="shared" si="0"/>
        <v>0</v>
      </c>
    </row>
    <row r="12" spans="1:22">
      <c r="A12" s="12">
        <v>24</v>
      </c>
      <c r="B12" s="12">
        <v>1</v>
      </c>
      <c r="C12" s="12" t="s">
        <v>60</v>
      </c>
      <c r="D12" s="12" t="s">
        <v>12</v>
      </c>
      <c r="E12" s="12">
        <v>0</v>
      </c>
      <c r="F12" s="12">
        <v>25</v>
      </c>
      <c r="G12" s="12">
        <v>1</v>
      </c>
      <c r="H12" s="12">
        <v>1</v>
      </c>
      <c r="I12" s="12">
        <v>30</v>
      </c>
      <c r="J12" s="10">
        <v>76</v>
      </c>
      <c r="K12" s="10" t="s">
        <v>61</v>
      </c>
      <c r="L12" s="10"/>
      <c r="M12" s="11">
        <v>0</v>
      </c>
      <c r="N12" s="10"/>
      <c r="O12" s="11">
        <v>0</v>
      </c>
      <c r="P12" s="10"/>
      <c r="Q12" s="11">
        <v>0</v>
      </c>
      <c r="R12" s="10"/>
      <c r="S12" s="11">
        <v>0</v>
      </c>
      <c r="T12" s="10"/>
      <c r="U12" s="11">
        <v>0</v>
      </c>
      <c r="V12">
        <f t="shared" si="0"/>
        <v>0</v>
      </c>
    </row>
    <row r="13" spans="1:22">
      <c r="A13" s="12">
        <v>25</v>
      </c>
      <c r="B13" s="12">
        <v>1</v>
      </c>
      <c r="C13" s="12" t="s">
        <v>62</v>
      </c>
      <c r="D13" s="12" t="s">
        <v>12</v>
      </c>
      <c r="E13" s="12">
        <v>0</v>
      </c>
      <c r="F13" s="12">
        <v>25</v>
      </c>
      <c r="G13" s="12">
        <v>1</v>
      </c>
      <c r="H13" s="12">
        <v>1</v>
      </c>
      <c r="I13" s="12">
        <v>30</v>
      </c>
      <c r="J13" s="10">
        <v>76</v>
      </c>
      <c r="K13" s="10" t="s">
        <v>61</v>
      </c>
      <c r="L13" s="10"/>
      <c r="M13" s="11">
        <v>0</v>
      </c>
      <c r="N13" s="10"/>
      <c r="O13" s="11">
        <v>0</v>
      </c>
      <c r="P13" s="10"/>
      <c r="Q13" s="11">
        <v>0</v>
      </c>
      <c r="R13" s="10"/>
      <c r="S13" s="11">
        <v>0</v>
      </c>
      <c r="T13" s="10"/>
      <c r="U13" s="11">
        <v>0</v>
      </c>
      <c r="V13">
        <f t="shared" si="0"/>
        <v>0</v>
      </c>
    </row>
    <row r="14" spans="1:22">
      <c r="A14" s="12">
        <v>26</v>
      </c>
      <c r="B14" s="12">
        <v>1</v>
      </c>
      <c r="C14" s="12" t="s">
        <v>79</v>
      </c>
      <c r="D14" s="12" t="s">
        <v>79</v>
      </c>
      <c r="E14" s="12">
        <v>0</v>
      </c>
      <c r="F14" s="12">
        <v>0</v>
      </c>
      <c r="G14" s="12">
        <v>1</v>
      </c>
      <c r="H14" s="12">
        <v>0</v>
      </c>
      <c r="I14" s="12">
        <v>0</v>
      </c>
      <c r="J14" s="10"/>
      <c r="K14" s="10" t="s">
        <v>76</v>
      </c>
      <c r="L14" s="10"/>
      <c r="M14" s="11">
        <v>0</v>
      </c>
      <c r="N14" s="10"/>
      <c r="O14" s="11">
        <v>0</v>
      </c>
      <c r="P14" s="10"/>
      <c r="Q14" s="11">
        <v>0</v>
      </c>
      <c r="R14" s="10"/>
      <c r="S14" s="11">
        <v>0</v>
      </c>
      <c r="T14" s="10"/>
      <c r="U14" s="11">
        <v>0</v>
      </c>
      <c r="V14">
        <f t="shared" si="0"/>
        <v>0</v>
      </c>
    </row>
    <row r="15" spans="1:22">
      <c r="A15" s="12">
        <v>27</v>
      </c>
      <c r="B15" s="12">
        <v>1</v>
      </c>
      <c r="C15" s="12" t="s">
        <v>80</v>
      </c>
      <c r="D15" s="207" t="s">
        <v>80</v>
      </c>
      <c r="E15" s="12">
        <v>0</v>
      </c>
      <c r="F15" s="12">
        <v>0</v>
      </c>
      <c r="G15" s="12">
        <v>1</v>
      </c>
      <c r="H15" s="12">
        <v>0</v>
      </c>
      <c r="I15" s="12">
        <v>0</v>
      </c>
      <c r="J15" s="10"/>
      <c r="K15" s="10" t="s">
        <v>76</v>
      </c>
      <c r="L15" s="10"/>
      <c r="M15" s="11">
        <v>0</v>
      </c>
      <c r="N15" s="10"/>
      <c r="O15" s="11">
        <v>0</v>
      </c>
      <c r="P15" s="10"/>
      <c r="Q15" s="11">
        <v>0</v>
      </c>
      <c r="R15" s="10"/>
      <c r="S15" s="11">
        <v>0</v>
      </c>
      <c r="T15" s="10"/>
      <c r="U15" s="11">
        <v>0</v>
      </c>
      <c r="V15">
        <f t="shared" si="0"/>
        <v>0</v>
      </c>
    </row>
    <row r="16" spans="1:22">
      <c r="A16" s="12">
        <v>28</v>
      </c>
      <c r="B16" s="12">
        <v>0</v>
      </c>
      <c r="C16" s="12" t="s">
        <v>81</v>
      </c>
      <c r="D16" s="12" t="s">
        <v>81</v>
      </c>
      <c r="E16" s="12">
        <v>0</v>
      </c>
      <c r="F16" s="12">
        <v>0</v>
      </c>
      <c r="G16" s="12">
        <v>1</v>
      </c>
      <c r="H16" s="12">
        <v>0</v>
      </c>
      <c r="I16" s="12">
        <v>0</v>
      </c>
      <c r="J16" s="10"/>
      <c r="K16" s="10" t="s">
        <v>76</v>
      </c>
      <c r="L16" s="10"/>
      <c r="M16" s="11">
        <v>0</v>
      </c>
      <c r="N16" s="10"/>
      <c r="O16" s="11">
        <v>0</v>
      </c>
      <c r="P16" s="10"/>
      <c r="Q16" s="11">
        <v>0</v>
      </c>
      <c r="R16" s="10"/>
      <c r="S16" s="11">
        <v>0</v>
      </c>
      <c r="T16" s="10"/>
      <c r="U16" s="11">
        <v>0</v>
      </c>
      <c r="V16">
        <f t="shared" si="0"/>
        <v>0</v>
      </c>
    </row>
    <row r="17" spans="1:22">
      <c r="A17" s="12">
        <v>29</v>
      </c>
      <c r="B17" s="12">
        <v>0</v>
      </c>
      <c r="C17" s="12" t="s">
        <v>82</v>
      </c>
      <c r="D17" s="12" t="s">
        <v>82</v>
      </c>
      <c r="E17" s="12">
        <v>0</v>
      </c>
      <c r="F17" s="12">
        <v>0</v>
      </c>
      <c r="G17" s="12">
        <v>1</v>
      </c>
      <c r="H17" s="12">
        <v>0</v>
      </c>
      <c r="I17" s="12">
        <v>0</v>
      </c>
      <c r="J17" s="10"/>
      <c r="K17" s="10" t="s">
        <v>76</v>
      </c>
      <c r="L17" s="10"/>
      <c r="M17" s="11">
        <v>0</v>
      </c>
      <c r="N17" s="10"/>
      <c r="O17" s="11">
        <v>0</v>
      </c>
      <c r="P17" s="10"/>
      <c r="Q17" s="11">
        <v>0</v>
      </c>
      <c r="R17" s="10"/>
      <c r="S17" s="11">
        <v>0</v>
      </c>
      <c r="T17" s="10"/>
      <c r="U17" s="11">
        <v>0</v>
      </c>
      <c r="V17">
        <f t="shared" si="0"/>
        <v>0</v>
      </c>
    </row>
    <row r="18" spans="1:22">
      <c r="A18" s="12">
        <v>30</v>
      </c>
      <c r="B18" s="12">
        <v>0</v>
      </c>
      <c r="C18" s="12" t="s">
        <v>83</v>
      </c>
      <c r="D18" s="12" t="s">
        <v>83</v>
      </c>
      <c r="E18" s="12">
        <v>0</v>
      </c>
      <c r="F18" s="12">
        <v>31</v>
      </c>
      <c r="G18" s="12">
        <v>1</v>
      </c>
      <c r="H18" s="12">
        <v>0</v>
      </c>
      <c r="I18" s="12">
        <v>0</v>
      </c>
      <c r="J18" s="10"/>
      <c r="K18" s="10" t="s">
        <v>76</v>
      </c>
      <c r="L18" s="10"/>
      <c r="M18" s="11">
        <v>0</v>
      </c>
      <c r="N18" s="10"/>
      <c r="O18" s="11">
        <v>0</v>
      </c>
      <c r="P18" s="10"/>
      <c r="Q18" s="11">
        <v>0</v>
      </c>
      <c r="R18" s="10"/>
      <c r="S18" s="11">
        <v>0</v>
      </c>
      <c r="T18" s="10"/>
      <c r="U18" s="11">
        <v>0</v>
      </c>
      <c r="V18">
        <f t="shared" si="0"/>
        <v>0</v>
      </c>
    </row>
    <row r="19" spans="1:22">
      <c r="A19" s="12">
        <v>31</v>
      </c>
      <c r="B19" s="12">
        <v>0</v>
      </c>
      <c r="C19" s="12" t="s">
        <v>84</v>
      </c>
      <c r="D19" s="12" t="s">
        <v>84</v>
      </c>
      <c r="E19" s="12">
        <v>0</v>
      </c>
      <c r="F19" s="12">
        <v>0</v>
      </c>
      <c r="G19" s="12">
        <v>1</v>
      </c>
      <c r="H19" s="12">
        <v>0</v>
      </c>
      <c r="I19" s="12">
        <v>0</v>
      </c>
      <c r="J19" s="10"/>
      <c r="K19" s="10" t="s">
        <v>76</v>
      </c>
      <c r="L19" s="10"/>
      <c r="M19" s="11">
        <v>0</v>
      </c>
      <c r="N19" s="10"/>
      <c r="O19" s="11">
        <v>0</v>
      </c>
      <c r="P19" s="10"/>
      <c r="Q19" s="11">
        <v>0</v>
      </c>
      <c r="R19" s="10"/>
      <c r="S19" s="11">
        <v>0</v>
      </c>
      <c r="T19" s="10"/>
      <c r="U19" s="11">
        <v>0</v>
      </c>
      <c r="V19">
        <f t="shared" si="0"/>
        <v>0</v>
      </c>
    </row>
    <row r="20" spans="1:22">
      <c r="A20" s="12">
        <v>33</v>
      </c>
      <c r="B20" s="12">
        <v>1</v>
      </c>
      <c r="C20" s="12" t="s">
        <v>85</v>
      </c>
      <c r="D20" s="12" t="s">
        <v>86</v>
      </c>
      <c r="E20" s="12">
        <v>0</v>
      </c>
      <c r="F20" s="12">
        <v>34</v>
      </c>
      <c r="G20" s="12">
        <v>1</v>
      </c>
      <c r="H20" s="12">
        <v>1</v>
      </c>
      <c r="I20" s="12">
        <v>24</v>
      </c>
      <c r="J20" s="10">
        <v>88</v>
      </c>
      <c r="K20" s="10" t="s">
        <v>61</v>
      </c>
      <c r="L20" s="10"/>
      <c r="M20" s="11">
        <v>0</v>
      </c>
      <c r="N20" s="10"/>
      <c r="O20" s="11">
        <v>0</v>
      </c>
      <c r="P20" s="10"/>
      <c r="Q20" s="11">
        <v>0</v>
      </c>
      <c r="R20" s="10"/>
      <c r="S20" s="11">
        <v>0</v>
      </c>
      <c r="T20" s="10"/>
      <c r="U20" s="11">
        <v>0</v>
      </c>
      <c r="V20">
        <f t="shared" si="0"/>
        <v>100</v>
      </c>
    </row>
    <row r="21" spans="1:22">
      <c r="A21" s="12">
        <v>34</v>
      </c>
      <c r="B21" s="12">
        <v>0</v>
      </c>
      <c r="C21" s="12" t="s">
        <v>87</v>
      </c>
      <c r="D21" s="12" t="s">
        <v>88</v>
      </c>
      <c r="E21" s="12">
        <v>0</v>
      </c>
      <c r="F21" s="12">
        <v>0</v>
      </c>
      <c r="G21" s="12">
        <v>1</v>
      </c>
      <c r="H21" s="12">
        <v>1</v>
      </c>
      <c r="I21" s="207">
        <v>12</v>
      </c>
      <c r="J21" s="10">
        <v>30</v>
      </c>
      <c r="K21" s="10" t="s">
        <v>61</v>
      </c>
      <c r="L21" s="10"/>
      <c r="M21" s="11"/>
      <c r="N21" s="10"/>
      <c r="O21" s="11"/>
      <c r="P21" s="10"/>
      <c r="Q21" s="11"/>
      <c r="R21" s="10"/>
      <c r="S21" s="11"/>
      <c r="T21" s="10"/>
      <c r="U21" s="11"/>
      <c r="V21">
        <f t="shared" si="0"/>
        <v>100</v>
      </c>
    </row>
    <row r="22" spans="1:22">
      <c r="A22" s="12">
        <v>35</v>
      </c>
      <c r="B22" s="12">
        <v>1</v>
      </c>
      <c r="C22" s="12" t="s">
        <v>85</v>
      </c>
      <c r="D22" s="207" t="s">
        <v>89</v>
      </c>
      <c r="E22" s="12">
        <v>0</v>
      </c>
      <c r="F22" s="12">
        <v>36</v>
      </c>
      <c r="G22" s="12">
        <v>1</v>
      </c>
      <c r="H22" s="12">
        <v>1</v>
      </c>
      <c r="I22" s="12">
        <v>24</v>
      </c>
      <c r="J22" s="10">
        <v>71</v>
      </c>
      <c r="K22" s="10" t="s">
        <v>61</v>
      </c>
      <c r="L22" s="10"/>
      <c r="M22" s="11">
        <v>0</v>
      </c>
      <c r="N22" s="10"/>
      <c r="O22" s="11">
        <v>0</v>
      </c>
      <c r="P22" s="10"/>
      <c r="Q22" s="11">
        <v>0</v>
      </c>
      <c r="R22" s="10"/>
      <c r="S22" s="11">
        <v>0</v>
      </c>
      <c r="T22" s="10"/>
      <c r="U22" s="11">
        <v>0</v>
      </c>
      <c r="V22">
        <f t="shared" si="0"/>
        <v>100</v>
      </c>
    </row>
    <row r="23" spans="1:22">
      <c r="A23" s="12">
        <v>36</v>
      </c>
      <c r="B23" s="12">
        <v>0</v>
      </c>
      <c r="C23" s="12" t="s">
        <v>87</v>
      </c>
      <c r="D23" s="207" t="s">
        <v>90</v>
      </c>
      <c r="E23" s="12">
        <v>0</v>
      </c>
      <c r="F23" s="12">
        <v>0</v>
      </c>
      <c r="G23" s="12">
        <v>1</v>
      </c>
      <c r="H23" s="12">
        <v>1</v>
      </c>
      <c r="I23" s="207">
        <v>12</v>
      </c>
      <c r="J23" s="10">
        <v>30</v>
      </c>
      <c r="K23" s="10" t="s">
        <v>61</v>
      </c>
      <c r="L23" s="10"/>
      <c r="M23" s="11">
        <v>0</v>
      </c>
      <c r="N23" s="10"/>
      <c r="O23" s="11">
        <v>0</v>
      </c>
      <c r="P23" s="10"/>
      <c r="Q23" s="11">
        <v>0</v>
      </c>
      <c r="R23" s="10"/>
      <c r="S23" s="11">
        <v>0</v>
      </c>
      <c r="T23" s="10"/>
      <c r="U23" s="11">
        <v>0</v>
      </c>
      <c r="V23">
        <f t="shared" si="0"/>
        <v>100</v>
      </c>
    </row>
    <row r="24" spans="1:22">
      <c r="A24" s="12">
        <v>37</v>
      </c>
      <c r="B24" s="12">
        <v>1</v>
      </c>
      <c r="C24" s="12" t="s">
        <v>91</v>
      </c>
      <c r="D24" s="12" t="s">
        <v>92</v>
      </c>
      <c r="E24" s="12">
        <v>0</v>
      </c>
      <c r="F24" s="12">
        <v>38</v>
      </c>
      <c r="G24" s="12">
        <v>1</v>
      </c>
      <c r="H24" s="12">
        <v>1</v>
      </c>
      <c r="I24" s="12">
        <v>69</v>
      </c>
      <c r="J24" s="10"/>
      <c r="K24" s="10" t="s">
        <v>61</v>
      </c>
      <c r="L24" s="10" t="s">
        <v>77</v>
      </c>
      <c r="M24" s="11">
        <v>0</v>
      </c>
      <c r="N24" s="10"/>
      <c r="O24" s="11">
        <v>0</v>
      </c>
      <c r="P24" s="10"/>
      <c r="Q24" s="11">
        <v>0</v>
      </c>
      <c r="R24" s="10"/>
      <c r="S24" s="11">
        <v>0</v>
      </c>
      <c r="T24" s="10"/>
      <c r="U24" s="11">
        <v>0</v>
      </c>
      <c r="V24">
        <f t="shared" si="0"/>
        <v>0</v>
      </c>
    </row>
    <row r="25" spans="1:22">
      <c r="A25" s="12">
        <v>38</v>
      </c>
      <c r="B25" s="12">
        <v>0</v>
      </c>
      <c r="C25" s="12" t="s">
        <v>93</v>
      </c>
      <c r="D25" s="12" t="s">
        <v>94</v>
      </c>
      <c r="E25" s="12">
        <v>0</v>
      </c>
      <c r="F25" s="12">
        <v>0</v>
      </c>
      <c r="G25" s="12">
        <v>1</v>
      </c>
      <c r="H25" s="12">
        <v>1</v>
      </c>
      <c r="I25" s="12">
        <v>69</v>
      </c>
      <c r="J25" s="10"/>
      <c r="K25" s="10" t="s">
        <v>61</v>
      </c>
      <c r="L25" s="10"/>
      <c r="M25" s="11"/>
      <c r="N25" s="10"/>
      <c r="O25" s="11"/>
      <c r="P25" s="10"/>
      <c r="Q25" s="11"/>
      <c r="R25" s="10"/>
      <c r="S25" s="11"/>
      <c r="T25" s="10"/>
      <c r="U25" s="11"/>
      <c r="V25">
        <f t="shared" si="0"/>
        <v>0</v>
      </c>
    </row>
    <row r="26" spans="1:22">
      <c r="A26" s="12">
        <v>39</v>
      </c>
      <c r="B26" s="12">
        <v>1</v>
      </c>
      <c r="C26" s="12" t="s">
        <v>95</v>
      </c>
      <c r="D26" s="12" t="s">
        <v>96</v>
      </c>
      <c r="E26" s="12">
        <v>0</v>
      </c>
      <c r="F26" s="12">
        <v>40</v>
      </c>
      <c r="G26" s="12">
        <v>1</v>
      </c>
      <c r="H26" s="12">
        <v>1</v>
      </c>
      <c r="I26" s="12">
        <v>18</v>
      </c>
      <c r="J26" s="10">
        <v>65</v>
      </c>
      <c r="K26" s="10" t="s">
        <v>61</v>
      </c>
      <c r="L26" s="10" t="s">
        <v>97</v>
      </c>
      <c r="M26" s="11">
        <v>0</v>
      </c>
      <c r="N26" s="10"/>
      <c r="O26" s="11">
        <v>0</v>
      </c>
      <c r="P26" s="10"/>
      <c r="Q26" s="11">
        <v>0</v>
      </c>
      <c r="R26" s="10"/>
      <c r="S26" s="11">
        <v>0</v>
      </c>
      <c r="T26" s="10"/>
      <c r="U26" s="11">
        <v>0</v>
      </c>
      <c r="V26">
        <f t="shared" si="0"/>
        <v>0</v>
      </c>
    </row>
    <row r="27" spans="1:22">
      <c r="A27" s="12">
        <v>40</v>
      </c>
      <c r="B27" s="12">
        <v>0</v>
      </c>
      <c r="C27" s="12" t="s">
        <v>98</v>
      </c>
      <c r="D27" s="12" t="s">
        <v>98</v>
      </c>
      <c r="E27" s="12">
        <v>0</v>
      </c>
      <c r="F27" s="12">
        <v>0</v>
      </c>
      <c r="G27" s="12">
        <v>1</v>
      </c>
      <c r="H27" s="12">
        <v>1</v>
      </c>
      <c r="I27" s="12">
        <v>12</v>
      </c>
      <c r="J27" s="10"/>
      <c r="K27" s="10" t="s">
        <v>61</v>
      </c>
      <c r="L27" s="10"/>
      <c r="M27" s="11"/>
      <c r="N27" s="10"/>
      <c r="O27" s="11"/>
      <c r="P27" s="10"/>
      <c r="Q27" s="11"/>
      <c r="R27" s="10"/>
      <c r="S27" s="11"/>
      <c r="T27" s="10"/>
      <c r="U27" s="11"/>
      <c r="V27">
        <f t="shared" si="0"/>
        <v>0</v>
      </c>
    </row>
    <row r="28" spans="1:22">
      <c r="A28" s="12">
        <v>41</v>
      </c>
      <c r="B28" s="12">
        <v>1</v>
      </c>
      <c r="C28" s="12" t="s">
        <v>99</v>
      </c>
      <c r="D28" s="12" t="s">
        <v>100</v>
      </c>
      <c r="E28" s="12">
        <v>0</v>
      </c>
      <c r="F28" s="12">
        <v>42</v>
      </c>
      <c r="G28" s="12">
        <v>1</v>
      </c>
      <c r="H28" s="12">
        <v>1</v>
      </c>
      <c r="I28" s="12">
        <v>24</v>
      </c>
      <c r="J28" s="10"/>
      <c r="K28" s="10" t="s">
        <v>61</v>
      </c>
      <c r="L28" s="10"/>
      <c r="M28" s="11">
        <v>0</v>
      </c>
      <c r="N28" s="10"/>
      <c r="O28" s="11">
        <v>0</v>
      </c>
      <c r="P28" s="10"/>
      <c r="Q28" s="11">
        <v>0</v>
      </c>
      <c r="R28" s="10"/>
      <c r="S28" s="11">
        <v>0</v>
      </c>
      <c r="T28" s="10"/>
      <c r="U28" s="11">
        <v>0</v>
      </c>
      <c r="V28">
        <f t="shared" si="0"/>
        <v>0</v>
      </c>
    </row>
    <row r="29" spans="1:22">
      <c r="A29" s="12">
        <v>42</v>
      </c>
      <c r="B29" s="12">
        <v>0</v>
      </c>
      <c r="C29" s="12" t="s">
        <v>101</v>
      </c>
      <c r="D29" s="12" t="s">
        <v>101</v>
      </c>
      <c r="E29" s="12">
        <v>0</v>
      </c>
      <c r="F29" s="12">
        <v>0</v>
      </c>
      <c r="G29" s="12">
        <v>1</v>
      </c>
      <c r="H29" s="12">
        <v>1</v>
      </c>
      <c r="I29" s="12">
        <v>24</v>
      </c>
      <c r="J29" s="10"/>
      <c r="K29" s="10" t="s">
        <v>61</v>
      </c>
      <c r="L29" s="10"/>
      <c r="M29" s="11"/>
      <c r="N29" s="10"/>
      <c r="O29" s="11"/>
      <c r="P29" s="10"/>
      <c r="Q29" s="11"/>
      <c r="R29" s="10"/>
      <c r="S29" s="11"/>
      <c r="T29" s="10"/>
      <c r="U29" s="11"/>
      <c r="V29">
        <f t="shared" si="0"/>
        <v>0</v>
      </c>
    </row>
    <row r="30" spans="1:22">
      <c r="A30" s="12">
        <v>43</v>
      </c>
      <c r="B30" s="12">
        <v>1</v>
      </c>
      <c r="C30" s="12" t="s">
        <v>102</v>
      </c>
      <c r="D30" s="12" t="s">
        <v>103</v>
      </c>
      <c r="E30" s="12">
        <v>0</v>
      </c>
      <c r="F30" s="12">
        <v>44</v>
      </c>
      <c r="G30" s="12">
        <v>1</v>
      </c>
      <c r="H30" s="12">
        <v>1</v>
      </c>
      <c r="I30" s="12">
        <v>24</v>
      </c>
      <c r="J30" s="10"/>
      <c r="K30" s="10" t="s">
        <v>61</v>
      </c>
      <c r="L30" s="10"/>
      <c r="M30" s="11">
        <v>0</v>
      </c>
      <c r="N30" s="10"/>
      <c r="O30" s="11">
        <v>0</v>
      </c>
      <c r="P30" s="10"/>
      <c r="Q30" s="11">
        <v>0</v>
      </c>
      <c r="R30" s="10"/>
      <c r="S30" s="11">
        <v>0</v>
      </c>
      <c r="T30" s="10"/>
      <c r="U30" s="11">
        <v>0</v>
      </c>
      <c r="V30">
        <f t="shared" si="0"/>
        <v>0</v>
      </c>
    </row>
    <row r="31" spans="1:22">
      <c r="A31" s="12">
        <v>44</v>
      </c>
      <c r="B31" s="12">
        <v>0</v>
      </c>
      <c r="C31" s="12" t="s">
        <v>104</v>
      </c>
      <c r="D31" s="12" t="s">
        <v>104</v>
      </c>
      <c r="E31" s="12">
        <v>0</v>
      </c>
      <c r="F31" s="12">
        <v>0</v>
      </c>
      <c r="G31" s="12">
        <v>1</v>
      </c>
      <c r="H31" s="12">
        <v>1</v>
      </c>
      <c r="I31" s="12">
        <v>24</v>
      </c>
      <c r="J31" s="10"/>
      <c r="K31" s="10" t="s">
        <v>61</v>
      </c>
      <c r="L31" s="10"/>
      <c r="M31" s="11"/>
      <c r="N31" s="10"/>
      <c r="O31" s="11"/>
      <c r="P31" s="10"/>
      <c r="Q31" s="11"/>
      <c r="R31" s="10"/>
      <c r="S31" s="11"/>
      <c r="T31" s="10"/>
      <c r="U31" s="11"/>
      <c r="V31">
        <f t="shared" si="0"/>
        <v>0</v>
      </c>
    </row>
    <row r="32" spans="1:22">
      <c r="A32" s="12">
        <v>45</v>
      </c>
      <c r="B32" s="12">
        <v>1</v>
      </c>
      <c r="C32" s="12" t="s">
        <v>105</v>
      </c>
      <c r="D32" s="12" t="s">
        <v>106</v>
      </c>
      <c r="E32" s="12">
        <v>0</v>
      </c>
      <c r="F32" s="12">
        <v>46</v>
      </c>
      <c r="G32" s="12">
        <v>1</v>
      </c>
      <c r="H32" s="12">
        <v>1</v>
      </c>
      <c r="I32" s="12">
        <v>18</v>
      </c>
      <c r="J32" s="10"/>
      <c r="K32" s="10" t="s">
        <v>61</v>
      </c>
      <c r="L32" s="10"/>
      <c r="M32" s="11">
        <v>0</v>
      </c>
      <c r="N32" s="10"/>
      <c r="O32" s="11">
        <v>0</v>
      </c>
      <c r="P32" s="10"/>
      <c r="Q32" s="11">
        <v>0</v>
      </c>
      <c r="R32" s="10"/>
      <c r="S32" s="11">
        <v>0</v>
      </c>
      <c r="T32" s="10"/>
      <c r="U32" s="11">
        <v>0</v>
      </c>
      <c r="V32">
        <f t="shared" si="0"/>
        <v>0</v>
      </c>
    </row>
    <row r="33" spans="1:22">
      <c r="A33" s="12">
        <v>46</v>
      </c>
      <c r="B33" s="12">
        <v>0</v>
      </c>
      <c r="C33" s="12" t="s">
        <v>107</v>
      </c>
      <c r="D33" s="12" t="s">
        <v>107</v>
      </c>
      <c r="E33" s="12">
        <v>0</v>
      </c>
      <c r="F33" s="12">
        <v>0</v>
      </c>
      <c r="G33" s="12">
        <v>1</v>
      </c>
      <c r="H33" s="12">
        <v>1</v>
      </c>
      <c r="I33" s="12">
        <v>18</v>
      </c>
      <c r="J33" s="10"/>
      <c r="K33" s="10" t="s">
        <v>61</v>
      </c>
      <c r="L33" s="10"/>
      <c r="M33" s="11"/>
      <c r="N33" s="10"/>
      <c r="O33" s="11"/>
      <c r="P33" s="10"/>
      <c r="Q33" s="11"/>
      <c r="R33" s="10"/>
      <c r="S33" s="11"/>
      <c r="T33" s="10"/>
      <c r="U33" s="11"/>
      <c r="V33">
        <f t="shared" si="0"/>
        <v>0</v>
      </c>
    </row>
    <row r="34" spans="1:22">
      <c r="A34" s="12">
        <v>49</v>
      </c>
      <c r="B34" s="12">
        <v>1</v>
      </c>
      <c r="C34" s="12" t="s">
        <v>108</v>
      </c>
      <c r="D34" s="12" t="s">
        <v>3</v>
      </c>
      <c r="E34" s="12">
        <v>0</v>
      </c>
      <c r="F34" s="12">
        <v>50</v>
      </c>
      <c r="G34" s="12">
        <v>1</v>
      </c>
      <c r="H34" s="12">
        <v>2</v>
      </c>
      <c r="I34" s="12">
        <v>0</v>
      </c>
      <c r="J34" s="10"/>
      <c r="K34" s="10" t="s">
        <v>76</v>
      </c>
      <c r="L34" s="10" t="s">
        <v>68</v>
      </c>
      <c r="M34" s="11">
        <v>1</v>
      </c>
      <c r="N34" s="10" t="s">
        <v>109</v>
      </c>
      <c r="O34" s="11">
        <v>0</v>
      </c>
      <c r="P34" s="10" t="s">
        <v>77</v>
      </c>
      <c r="Q34" s="11">
        <v>0</v>
      </c>
      <c r="R34" s="10"/>
      <c r="S34" s="11">
        <v>0</v>
      </c>
      <c r="T34" s="10"/>
      <c r="U34" s="11">
        <v>0</v>
      </c>
      <c r="V34">
        <f t="shared" si="0"/>
        <v>0</v>
      </c>
    </row>
    <row r="35" spans="1:22">
      <c r="A35" s="12">
        <v>50</v>
      </c>
      <c r="B35" s="12">
        <v>0</v>
      </c>
      <c r="C35" s="12" t="s">
        <v>110</v>
      </c>
      <c r="D35" s="12" t="s">
        <v>110</v>
      </c>
      <c r="E35" s="12">
        <v>0</v>
      </c>
      <c r="F35" s="12">
        <v>0</v>
      </c>
      <c r="G35" s="12">
        <v>1</v>
      </c>
      <c r="H35" s="12">
        <v>2</v>
      </c>
      <c r="I35" s="12">
        <v>0</v>
      </c>
      <c r="J35" s="10"/>
      <c r="K35" s="10" t="s">
        <v>76</v>
      </c>
      <c r="L35" s="10"/>
      <c r="M35" s="11"/>
      <c r="N35" s="10"/>
      <c r="O35" s="11"/>
      <c r="P35" s="10"/>
      <c r="Q35" s="11"/>
      <c r="R35" s="10"/>
      <c r="S35" s="11"/>
      <c r="T35" s="10"/>
      <c r="U35" s="11"/>
      <c r="V35">
        <f t="shared" si="0"/>
        <v>0</v>
      </c>
    </row>
    <row r="36" spans="1:22">
      <c r="A36" s="12">
        <v>52</v>
      </c>
      <c r="B36" s="12">
        <v>1</v>
      </c>
      <c r="C36" s="12" t="s">
        <v>111</v>
      </c>
      <c r="D36" s="12" t="s">
        <v>112</v>
      </c>
      <c r="E36" s="12">
        <v>0</v>
      </c>
      <c r="F36" s="12">
        <v>53</v>
      </c>
      <c r="G36" s="12">
        <v>1</v>
      </c>
      <c r="H36" s="12">
        <v>2</v>
      </c>
      <c r="I36" s="12">
        <v>0</v>
      </c>
      <c r="J36" s="10"/>
      <c r="K36" s="10" t="s">
        <v>76</v>
      </c>
      <c r="L36" s="10" t="s">
        <v>68</v>
      </c>
      <c r="M36" s="11">
        <v>1</v>
      </c>
      <c r="N36" s="10" t="s">
        <v>109</v>
      </c>
      <c r="O36" s="11">
        <v>0</v>
      </c>
      <c r="P36" s="10" t="s">
        <v>77</v>
      </c>
      <c r="Q36" s="11">
        <v>0</v>
      </c>
      <c r="R36" s="10"/>
      <c r="S36" s="11">
        <v>0</v>
      </c>
      <c r="T36" s="10"/>
      <c r="U36" s="11">
        <v>0</v>
      </c>
      <c r="V36">
        <f t="shared" si="0"/>
        <v>0</v>
      </c>
    </row>
    <row r="37" spans="1:22">
      <c r="A37" s="12">
        <v>53</v>
      </c>
      <c r="B37" s="12">
        <v>0</v>
      </c>
      <c r="C37" s="12" t="s">
        <v>113</v>
      </c>
      <c r="D37" s="12" t="s">
        <v>113</v>
      </c>
      <c r="E37" s="12">
        <v>0</v>
      </c>
      <c r="F37" s="12">
        <v>0</v>
      </c>
      <c r="G37" s="12">
        <v>1</v>
      </c>
      <c r="H37" s="12">
        <v>2</v>
      </c>
      <c r="I37" s="12">
        <v>0</v>
      </c>
      <c r="J37" s="10"/>
      <c r="K37" s="10" t="s">
        <v>76</v>
      </c>
      <c r="L37" s="10" t="s">
        <v>68</v>
      </c>
      <c r="M37" s="11">
        <v>1</v>
      </c>
      <c r="N37" s="10" t="s">
        <v>109</v>
      </c>
      <c r="O37" s="11">
        <v>0</v>
      </c>
      <c r="P37" s="10" t="s">
        <v>77</v>
      </c>
      <c r="Q37" s="11">
        <v>0</v>
      </c>
      <c r="R37" s="10"/>
      <c r="S37" s="11"/>
      <c r="T37" s="10"/>
      <c r="U37" s="11"/>
      <c r="V37">
        <f t="shared" si="0"/>
        <v>0</v>
      </c>
    </row>
    <row r="38" spans="1:22">
      <c r="A38" s="12">
        <v>55</v>
      </c>
      <c r="B38" s="12">
        <v>1</v>
      </c>
      <c r="C38" s="12" t="s">
        <v>114</v>
      </c>
      <c r="D38" s="12" t="s">
        <v>115</v>
      </c>
      <c r="E38" s="12">
        <v>0</v>
      </c>
      <c r="F38" s="12">
        <v>56</v>
      </c>
      <c r="G38" s="12">
        <v>1</v>
      </c>
      <c r="H38" s="12">
        <v>2</v>
      </c>
      <c r="I38" s="12">
        <v>0</v>
      </c>
      <c r="J38" s="10"/>
      <c r="K38" s="10" t="s">
        <v>76</v>
      </c>
      <c r="L38" s="10" t="s">
        <v>115</v>
      </c>
      <c r="M38" s="11">
        <v>0</v>
      </c>
      <c r="N38" s="10" t="s">
        <v>77</v>
      </c>
      <c r="O38" s="11">
        <v>0</v>
      </c>
      <c r="P38" s="10"/>
      <c r="Q38" s="11">
        <v>0</v>
      </c>
      <c r="R38" s="10"/>
      <c r="S38" s="11">
        <v>0</v>
      </c>
      <c r="T38" s="10"/>
      <c r="U38" s="11">
        <v>0</v>
      </c>
      <c r="V38">
        <f t="shared" si="0"/>
        <v>0</v>
      </c>
    </row>
    <row r="39" spans="1:22">
      <c r="A39" s="12">
        <v>56</v>
      </c>
      <c r="B39" s="12">
        <v>0</v>
      </c>
      <c r="C39" s="12" t="s">
        <v>116</v>
      </c>
      <c r="D39" s="12" t="s">
        <v>116</v>
      </c>
      <c r="E39" s="12">
        <v>0</v>
      </c>
      <c r="F39" s="12">
        <v>0</v>
      </c>
      <c r="G39" s="12">
        <v>1</v>
      </c>
      <c r="H39" s="12">
        <v>2</v>
      </c>
      <c r="I39" s="12">
        <v>0</v>
      </c>
      <c r="J39" s="10"/>
      <c r="K39" s="10" t="s">
        <v>76</v>
      </c>
      <c r="L39" s="10" t="s">
        <v>115</v>
      </c>
      <c r="M39" s="11">
        <v>0</v>
      </c>
      <c r="N39" s="10" t="s">
        <v>77</v>
      </c>
      <c r="O39" s="11">
        <v>0</v>
      </c>
      <c r="P39" s="10" t="s">
        <v>117</v>
      </c>
      <c r="Q39" s="11">
        <v>0</v>
      </c>
      <c r="R39" s="10"/>
      <c r="S39" s="11"/>
      <c r="T39" s="10"/>
      <c r="U39" s="11"/>
      <c r="V39">
        <f t="shared" si="0"/>
        <v>0</v>
      </c>
    </row>
    <row r="40" spans="1:22">
      <c r="A40" s="12">
        <v>58</v>
      </c>
      <c r="B40" s="12">
        <v>1</v>
      </c>
      <c r="C40" s="12" t="s">
        <v>118</v>
      </c>
      <c r="D40" s="12" t="s">
        <v>119</v>
      </c>
      <c r="E40" s="12">
        <v>0</v>
      </c>
      <c r="F40" s="12">
        <v>59</v>
      </c>
      <c r="G40" s="12">
        <v>1</v>
      </c>
      <c r="H40" s="12">
        <v>2</v>
      </c>
      <c r="I40" s="12">
        <v>0</v>
      </c>
      <c r="J40" s="10"/>
      <c r="K40" s="10" t="s">
        <v>76</v>
      </c>
      <c r="L40" s="10" t="s">
        <v>120</v>
      </c>
      <c r="M40" s="11">
        <v>0</v>
      </c>
      <c r="N40" s="10" t="s">
        <v>119</v>
      </c>
      <c r="O40" s="11">
        <v>0</v>
      </c>
      <c r="P40" s="10"/>
      <c r="Q40" s="11">
        <v>0</v>
      </c>
      <c r="R40" s="10"/>
      <c r="S40" s="11">
        <v>0</v>
      </c>
      <c r="T40" s="10"/>
      <c r="U40" s="11">
        <v>0</v>
      </c>
      <c r="V40">
        <f t="shared" si="0"/>
        <v>0</v>
      </c>
    </row>
    <row r="41" spans="1:22">
      <c r="A41" s="12">
        <v>59</v>
      </c>
      <c r="B41" s="12">
        <v>0</v>
      </c>
      <c r="C41" s="12" t="s">
        <v>121</v>
      </c>
      <c r="D41" s="12" t="s">
        <v>121</v>
      </c>
      <c r="E41" s="12">
        <v>0</v>
      </c>
      <c r="F41" s="12">
        <v>0</v>
      </c>
      <c r="G41" s="12">
        <v>1</v>
      </c>
      <c r="H41" s="12">
        <v>2</v>
      </c>
      <c r="I41" s="12">
        <v>0</v>
      </c>
      <c r="J41" s="10"/>
      <c r="K41" s="10" t="s">
        <v>76</v>
      </c>
      <c r="L41" s="10" t="s">
        <v>117</v>
      </c>
      <c r="M41" s="11">
        <v>0</v>
      </c>
      <c r="N41" s="10" t="s">
        <v>119</v>
      </c>
      <c r="O41" s="11">
        <v>0</v>
      </c>
      <c r="P41" s="10"/>
      <c r="Q41" s="11">
        <v>0</v>
      </c>
      <c r="R41" s="10"/>
      <c r="S41" s="11"/>
      <c r="T41" s="10"/>
      <c r="U41" s="11"/>
      <c r="V41">
        <f t="shared" si="0"/>
        <v>0</v>
      </c>
    </row>
    <row r="42" spans="1:22">
      <c r="A42" s="12">
        <v>60</v>
      </c>
      <c r="B42" s="12">
        <v>1</v>
      </c>
      <c r="C42" s="12" t="s">
        <v>122</v>
      </c>
      <c r="D42" s="12" t="s">
        <v>123</v>
      </c>
      <c r="E42" s="12">
        <v>0</v>
      </c>
      <c r="F42" s="12">
        <v>61</v>
      </c>
      <c r="G42" s="12">
        <v>1</v>
      </c>
      <c r="H42" s="12">
        <v>2</v>
      </c>
      <c r="I42" s="12">
        <v>21</v>
      </c>
      <c r="J42" s="10">
        <v>200</v>
      </c>
      <c r="K42" s="10" t="s">
        <v>61</v>
      </c>
      <c r="L42" s="10" t="s">
        <v>68</v>
      </c>
      <c r="M42" s="11">
        <v>1</v>
      </c>
      <c r="N42" s="10" t="s">
        <v>119</v>
      </c>
      <c r="O42" s="11">
        <v>0</v>
      </c>
      <c r="P42" s="10" t="s">
        <v>124</v>
      </c>
      <c r="Q42" s="11">
        <v>0</v>
      </c>
      <c r="R42" s="10"/>
      <c r="S42" s="11">
        <v>0</v>
      </c>
      <c r="T42" s="10"/>
      <c r="U42" s="11">
        <v>0</v>
      </c>
      <c r="V42">
        <f t="shared" si="0"/>
        <v>0</v>
      </c>
    </row>
    <row r="43" spans="1:22">
      <c r="A43" s="12">
        <v>61</v>
      </c>
      <c r="B43" s="12">
        <v>0</v>
      </c>
      <c r="C43" s="12" t="s">
        <v>125</v>
      </c>
      <c r="D43" s="12" t="s">
        <v>125</v>
      </c>
      <c r="E43" s="12">
        <v>0</v>
      </c>
      <c r="F43" s="12">
        <v>0</v>
      </c>
      <c r="G43" s="12">
        <v>1</v>
      </c>
      <c r="H43" s="12">
        <v>2</v>
      </c>
      <c r="I43" s="12">
        <v>21</v>
      </c>
      <c r="J43" s="10">
        <v>200</v>
      </c>
      <c r="K43" s="10" t="s">
        <v>61</v>
      </c>
      <c r="L43" s="10" t="s">
        <v>68</v>
      </c>
      <c r="M43" s="11">
        <v>1</v>
      </c>
      <c r="N43" s="10" t="s">
        <v>119</v>
      </c>
      <c r="O43" s="11">
        <v>0</v>
      </c>
      <c r="P43" s="10" t="s">
        <v>124</v>
      </c>
      <c r="Q43" s="11">
        <v>0</v>
      </c>
      <c r="R43" s="10"/>
      <c r="S43" s="11"/>
      <c r="T43" s="10"/>
      <c r="U43" s="11"/>
      <c r="V43">
        <f t="shared" si="0"/>
        <v>0</v>
      </c>
    </row>
    <row r="44" spans="1:22">
      <c r="A44" s="12">
        <v>62</v>
      </c>
      <c r="B44" s="12">
        <v>1</v>
      </c>
      <c r="C44" s="12" t="s">
        <v>126</v>
      </c>
      <c r="D44" s="12" t="s">
        <v>127</v>
      </c>
      <c r="E44" s="12">
        <v>0</v>
      </c>
      <c r="F44" s="12">
        <v>63</v>
      </c>
      <c r="G44" s="12">
        <v>1</v>
      </c>
      <c r="H44" s="12">
        <v>1</v>
      </c>
      <c r="I44" s="12">
        <v>20</v>
      </c>
      <c r="J44" s="10"/>
      <c r="K44" s="10" t="s">
        <v>61</v>
      </c>
      <c r="L44" s="10"/>
      <c r="M44" s="11">
        <v>0</v>
      </c>
      <c r="N44" s="10"/>
      <c r="O44" s="11">
        <v>0</v>
      </c>
      <c r="P44" s="10"/>
      <c r="Q44" s="11">
        <v>0</v>
      </c>
      <c r="R44" s="10"/>
      <c r="S44" s="11">
        <v>0</v>
      </c>
      <c r="T44" s="10"/>
      <c r="U44" s="11">
        <v>0</v>
      </c>
      <c r="V44">
        <f t="shared" si="0"/>
        <v>0</v>
      </c>
    </row>
    <row r="45" spans="1:22">
      <c r="A45" s="12">
        <v>63</v>
      </c>
      <c r="B45" s="12">
        <v>0</v>
      </c>
      <c r="C45" s="12" t="s">
        <v>128</v>
      </c>
      <c r="D45" s="12" t="s">
        <v>128</v>
      </c>
      <c r="E45" s="12">
        <v>0</v>
      </c>
      <c r="F45" s="12">
        <v>0</v>
      </c>
      <c r="G45" s="12">
        <v>1</v>
      </c>
      <c r="H45" s="12">
        <v>2</v>
      </c>
      <c r="I45" s="12">
        <v>15</v>
      </c>
      <c r="J45" s="10"/>
      <c r="K45" s="10" t="s">
        <v>61</v>
      </c>
      <c r="L45" s="10"/>
      <c r="M45" s="11">
        <v>0</v>
      </c>
      <c r="N45" s="10"/>
      <c r="O45" s="11">
        <v>0</v>
      </c>
      <c r="P45" s="10"/>
      <c r="Q45" s="11">
        <v>0</v>
      </c>
      <c r="R45" s="10"/>
      <c r="S45" s="11">
        <v>0</v>
      </c>
      <c r="T45" s="10"/>
      <c r="U45" s="11">
        <v>0</v>
      </c>
      <c r="V45">
        <f t="shared" si="0"/>
        <v>0</v>
      </c>
    </row>
    <row r="46" spans="1:22">
      <c r="A46" s="12">
        <v>64</v>
      </c>
      <c r="B46" s="12">
        <v>1</v>
      </c>
      <c r="C46" s="12" t="s">
        <v>129</v>
      </c>
      <c r="D46" s="12" t="s">
        <v>130</v>
      </c>
      <c r="E46" s="12">
        <v>0</v>
      </c>
      <c r="F46" s="12">
        <v>65</v>
      </c>
      <c r="G46" s="12">
        <v>1</v>
      </c>
      <c r="H46" s="12">
        <v>2</v>
      </c>
      <c r="I46" s="12">
        <v>0</v>
      </c>
      <c r="J46" s="10"/>
      <c r="K46" s="10" t="s">
        <v>76</v>
      </c>
      <c r="L46" s="10"/>
      <c r="M46" s="11">
        <v>0</v>
      </c>
      <c r="N46" s="10"/>
      <c r="O46" s="11">
        <v>0</v>
      </c>
      <c r="P46" s="10"/>
      <c r="Q46" s="11">
        <v>0</v>
      </c>
      <c r="R46" s="10"/>
      <c r="S46" s="11">
        <v>0</v>
      </c>
      <c r="T46" s="10"/>
      <c r="U46" s="11">
        <v>0</v>
      </c>
      <c r="V46">
        <f t="shared" si="0"/>
        <v>0</v>
      </c>
    </row>
    <row r="47" spans="1:22">
      <c r="A47" s="12">
        <v>65</v>
      </c>
      <c r="B47" s="12">
        <v>0</v>
      </c>
      <c r="C47" s="12" t="s">
        <v>131</v>
      </c>
      <c r="D47" s="12" t="s">
        <v>131</v>
      </c>
      <c r="E47" s="12">
        <v>0</v>
      </c>
      <c r="F47" s="12">
        <v>0</v>
      </c>
      <c r="G47" s="12">
        <v>1</v>
      </c>
      <c r="H47" s="12">
        <v>1</v>
      </c>
      <c r="I47" s="12">
        <v>0</v>
      </c>
      <c r="J47" s="10"/>
      <c r="K47" s="10" t="s">
        <v>76</v>
      </c>
      <c r="L47" s="10"/>
      <c r="M47" s="11">
        <v>0</v>
      </c>
      <c r="N47" s="10"/>
      <c r="O47" s="11">
        <v>0</v>
      </c>
      <c r="P47" s="10"/>
      <c r="Q47" s="11">
        <v>0</v>
      </c>
      <c r="R47" s="10"/>
      <c r="S47" s="11">
        <v>0</v>
      </c>
      <c r="T47" s="10"/>
      <c r="U47" s="11">
        <v>0</v>
      </c>
      <c r="V47">
        <f t="shared" si="0"/>
        <v>0</v>
      </c>
    </row>
    <row r="48" spans="1:22">
      <c r="A48" s="12">
        <v>66</v>
      </c>
      <c r="B48" s="12">
        <v>1</v>
      </c>
      <c r="C48" s="12" t="s">
        <v>132</v>
      </c>
      <c r="D48" s="12" t="s">
        <v>133</v>
      </c>
      <c r="E48" s="12">
        <v>0</v>
      </c>
      <c r="F48" s="12">
        <v>67</v>
      </c>
      <c r="G48" s="12">
        <v>1</v>
      </c>
      <c r="H48" s="12">
        <v>2</v>
      </c>
      <c r="I48" s="12">
        <v>0</v>
      </c>
      <c r="J48" s="10"/>
      <c r="K48" s="10" t="s">
        <v>76</v>
      </c>
      <c r="L48" s="10" t="s">
        <v>134</v>
      </c>
      <c r="M48" s="11">
        <v>0</v>
      </c>
      <c r="N48" s="10" t="s">
        <v>135</v>
      </c>
      <c r="O48" s="11">
        <v>0</v>
      </c>
      <c r="P48" s="10" t="s">
        <v>136</v>
      </c>
      <c r="Q48" s="11">
        <v>0</v>
      </c>
      <c r="R48" s="10" t="s">
        <v>137</v>
      </c>
      <c r="S48" s="11">
        <v>0</v>
      </c>
      <c r="T48" s="10" t="s">
        <v>138</v>
      </c>
      <c r="U48" s="11">
        <v>0</v>
      </c>
      <c r="V48">
        <f t="shared" si="0"/>
        <v>0</v>
      </c>
    </row>
    <row r="49" spans="1:22">
      <c r="A49" s="12">
        <v>67</v>
      </c>
      <c r="B49" s="12">
        <v>0</v>
      </c>
      <c r="C49" s="12" t="s">
        <v>139</v>
      </c>
      <c r="D49" s="12" t="s">
        <v>139</v>
      </c>
      <c r="E49" s="12">
        <v>0</v>
      </c>
      <c r="F49" s="12">
        <v>0</v>
      </c>
      <c r="G49" s="12">
        <v>1</v>
      </c>
      <c r="H49" s="12">
        <v>2</v>
      </c>
      <c r="I49" s="12">
        <v>0</v>
      </c>
      <c r="J49" s="10"/>
      <c r="K49" s="10" t="s">
        <v>76</v>
      </c>
      <c r="L49" s="10" t="s">
        <v>77</v>
      </c>
      <c r="M49" s="11">
        <v>0</v>
      </c>
      <c r="N49" s="10"/>
      <c r="O49" s="11">
        <v>0</v>
      </c>
      <c r="P49" s="10"/>
      <c r="Q49" s="11">
        <v>0</v>
      </c>
      <c r="R49" s="10"/>
      <c r="S49" s="11"/>
      <c r="T49" s="10"/>
      <c r="U49" s="11"/>
      <c r="V49">
        <f t="shared" si="0"/>
        <v>0</v>
      </c>
    </row>
    <row r="50" spans="1:22">
      <c r="A50" s="12">
        <v>93</v>
      </c>
      <c r="B50" s="12">
        <v>1</v>
      </c>
      <c r="C50" s="12" t="s">
        <v>140</v>
      </c>
      <c r="D50" s="12" t="s">
        <v>141</v>
      </c>
      <c r="E50" s="12">
        <v>0</v>
      </c>
      <c r="F50" s="12">
        <v>94</v>
      </c>
      <c r="G50" s="12">
        <v>1</v>
      </c>
      <c r="H50" s="12">
        <v>2</v>
      </c>
      <c r="I50" s="12">
        <v>0</v>
      </c>
      <c r="J50" s="10"/>
      <c r="K50" s="10" t="s">
        <v>76</v>
      </c>
      <c r="L50" s="10" t="s">
        <v>141</v>
      </c>
      <c r="M50" s="11">
        <v>1</v>
      </c>
      <c r="N50" s="10"/>
      <c r="O50" s="11">
        <v>0</v>
      </c>
      <c r="P50" s="10"/>
      <c r="Q50" s="11">
        <v>0</v>
      </c>
      <c r="R50" s="10"/>
      <c r="S50" s="11">
        <v>0</v>
      </c>
      <c r="T50" s="10"/>
      <c r="U50" s="11">
        <v>0</v>
      </c>
      <c r="V50">
        <f t="shared" si="0"/>
        <v>0</v>
      </c>
    </row>
    <row r="51" spans="1:22">
      <c r="A51" s="12">
        <v>94</v>
      </c>
      <c r="B51" s="12">
        <v>0</v>
      </c>
      <c r="C51" s="12" t="s">
        <v>142</v>
      </c>
      <c r="D51" s="12" t="s">
        <v>142</v>
      </c>
      <c r="E51" s="12">
        <v>0</v>
      </c>
      <c r="F51" s="12">
        <v>0</v>
      </c>
      <c r="G51" s="12">
        <v>1</v>
      </c>
      <c r="H51" s="12">
        <v>2</v>
      </c>
      <c r="I51" s="12">
        <v>0</v>
      </c>
      <c r="J51" s="10"/>
      <c r="K51" s="10" t="s">
        <v>76</v>
      </c>
      <c r="L51" s="10" t="s">
        <v>141</v>
      </c>
      <c r="M51" s="11">
        <v>1</v>
      </c>
      <c r="N51" s="10" t="s">
        <v>77</v>
      </c>
      <c r="O51" s="11">
        <v>0</v>
      </c>
      <c r="P51" s="10"/>
      <c r="Q51" s="11">
        <v>0</v>
      </c>
      <c r="R51" s="10"/>
      <c r="S51" s="11"/>
      <c r="T51" s="10"/>
      <c r="U51" s="11"/>
      <c r="V51">
        <f t="shared" si="0"/>
        <v>0</v>
      </c>
    </row>
    <row r="52" spans="1:22">
      <c r="A52" s="12">
        <v>96</v>
      </c>
      <c r="B52" s="12">
        <v>1</v>
      </c>
      <c r="C52" s="12" t="s">
        <v>143</v>
      </c>
      <c r="D52" s="12" t="s">
        <v>68</v>
      </c>
      <c r="E52" s="12">
        <v>0</v>
      </c>
      <c r="F52" s="12">
        <v>97</v>
      </c>
      <c r="G52" s="12">
        <v>1</v>
      </c>
      <c r="H52" s="12">
        <v>2</v>
      </c>
      <c r="I52" s="12">
        <v>0</v>
      </c>
      <c r="J52" s="10"/>
      <c r="K52" s="10" t="s">
        <v>76</v>
      </c>
      <c r="L52" s="10" t="s">
        <v>68</v>
      </c>
      <c r="M52" s="11">
        <v>1</v>
      </c>
      <c r="N52" s="10"/>
      <c r="O52" s="11">
        <v>0</v>
      </c>
      <c r="P52" s="10"/>
      <c r="Q52" s="11">
        <v>0</v>
      </c>
      <c r="R52" s="10"/>
      <c r="S52" s="11">
        <v>0</v>
      </c>
      <c r="T52" s="10"/>
      <c r="U52" s="11">
        <v>0</v>
      </c>
      <c r="V52">
        <f t="shared" si="0"/>
        <v>0</v>
      </c>
    </row>
    <row r="53" spans="1:22">
      <c r="A53" s="12">
        <v>97</v>
      </c>
      <c r="B53" s="12">
        <v>0</v>
      </c>
      <c r="C53" s="12" t="s">
        <v>144</v>
      </c>
      <c r="D53" s="12" t="s">
        <v>144</v>
      </c>
      <c r="E53" s="12">
        <v>0</v>
      </c>
      <c r="F53" s="12">
        <v>0</v>
      </c>
      <c r="G53" s="12">
        <v>1</v>
      </c>
      <c r="H53" s="12">
        <v>2</v>
      </c>
      <c r="I53" s="12">
        <v>0</v>
      </c>
      <c r="J53" s="10"/>
      <c r="K53" s="10" t="s">
        <v>76</v>
      </c>
      <c r="L53" s="10"/>
      <c r="M53" s="11">
        <v>0</v>
      </c>
      <c r="N53" s="10"/>
      <c r="O53" s="11">
        <v>0</v>
      </c>
      <c r="P53" s="10"/>
      <c r="Q53" s="11">
        <v>0</v>
      </c>
      <c r="R53" s="10"/>
      <c r="S53" s="11">
        <v>0</v>
      </c>
      <c r="T53" s="10"/>
      <c r="U53" s="11">
        <v>0</v>
      </c>
      <c r="V53">
        <f t="shared" si="0"/>
        <v>0</v>
      </c>
    </row>
    <row r="54" spans="1:22">
      <c r="A54" s="12">
        <v>98</v>
      </c>
      <c r="B54" s="12">
        <v>1</v>
      </c>
      <c r="C54" s="12" t="s">
        <v>145</v>
      </c>
      <c r="D54" s="12" t="s">
        <v>15</v>
      </c>
      <c r="E54" s="12">
        <v>0</v>
      </c>
      <c r="F54" s="12">
        <v>99</v>
      </c>
      <c r="G54" s="12">
        <v>1</v>
      </c>
      <c r="H54" s="12">
        <v>1</v>
      </c>
      <c r="I54" s="12">
        <v>0</v>
      </c>
      <c r="J54" s="10"/>
      <c r="K54" s="10" t="s">
        <v>76</v>
      </c>
      <c r="L54" s="10"/>
      <c r="M54" s="11">
        <v>0</v>
      </c>
      <c r="N54" s="10"/>
      <c r="O54" s="11">
        <v>0</v>
      </c>
      <c r="P54" s="10"/>
      <c r="Q54" s="11">
        <v>0</v>
      </c>
      <c r="R54" s="10"/>
      <c r="S54" s="11">
        <v>0</v>
      </c>
      <c r="T54" s="10"/>
      <c r="U54" s="11">
        <v>0</v>
      </c>
      <c r="V54">
        <f t="shared" si="0"/>
        <v>0</v>
      </c>
    </row>
    <row r="55" spans="1:22">
      <c r="A55" s="12">
        <v>99</v>
      </c>
      <c r="B55" s="12">
        <v>0</v>
      </c>
      <c r="C55" s="12" t="s">
        <v>146</v>
      </c>
      <c r="D55" s="12" t="s">
        <v>146</v>
      </c>
      <c r="E55" s="12">
        <v>0</v>
      </c>
      <c r="F55" s="12">
        <v>0</v>
      </c>
      <c r="G55" s="12">
        <v>1</v>
      </c>
      <c r="H55" s="12">
        <v>1</v>
      </c>
      <c r="I55" s="12">
        <v>0</v>
      </c>
      <c r="J55" s="10"/>
      <c r="K55" s="10" t="s">
        <v>76</v>
      </c>
      <c r="L55" s="10"/>
      <c r="M55" s="11"/>
      <c r="N55" s="10"/>
      <c r="O55" s="11"/>
      <c r="P55" s="10"/>
      <c r="Q55" s="11"/>
      <c r="R55" s="10"/>
      <c r="S55" s="11"/>
      <c r="T55" s="10"/>
      <c r="U55" s="11"/>
      <c r="V55">
        <f t="shared" si="0"/>
        <v>0</v>
      </c>
    </row>
    <row r="56" spans="1:22">
      <c r="A56" s="12">
        <v>100</v>
      </c>
      <c r="B56" s="12">
        <v>1</v>
      </c>
      <c r="C56" s="12" t="s">
        <v>147</v>
      </c>
      <c r="D56" s="12" t="s">
        <v>147</v>
      </c>
      <c r="E56" s="12">
        <v>0</v>
      </c>
      <c r="F56" s="12">
        <v>101</v>
      </c>
      <c r="G56" s="12">
        <v>1</v>
      </c>
      <c r="H56" s="12">
        <v>1</v>
      </c>
      <c r="I56" s="12">
        <v>0</v>
      </c>
      <c r="J56" s="10"/>
      <c r="K56" s="10" t="s">
        <v>76</v>
      </c>
      <c r="L56" s="10"/>
      <c r="M56" s="11">
        <v>0</v>
      </c>
      <c r="N56" s="10"/>
      <c r="O56" s="11">
        <v>0</v>
      </c>
      <c r="P56" s="10"/>
      <c r="Q56" s="11">
        <v>0</v>
      </c>
      <c r="R56" s="10"/>
      <c r="S56" s="11">
        <v>0</v>
      </c>
      <c r="T56" s="10"/>
      <c r="U56" s="11">
        <v>0</v>
      </c>
      <c r="V56">
        <f t="shared" si="0"/>
        <v>0</v>
      </c>
    </row>
    <row r="57" spans="1:22">
      <c r="A57" s="12">
        <v>101</v>
      </c>
      <c r="B57" s="12">
        <v>0</v>
      </c>
      <c r="C57" s="12" t="s">
        <v>148</v>
      </c>
      <c r="D57" s="12" t="s">
        <v>148</v>
      </c>
      <c r="E57" s="12">
        <v>0</v>
      </c>
      <c r="F57" s="12">
        <v>0</v>
      </c>
      <c r="G57" s="12">
        <v>1</v>
      </c>
      <c r="H57" s="12">
        <v>1</v>
      </c>
      <c r="I57" s="12">
        <v>0</v>
      </c>
      <c r="J57" s="10"/>
      <c r="K57" s="10" t="s">
        <v>76</v>
      </c>
      <c r="L57" s="10"/>
      <c r="M57" s="11"/>
      <c r="N57" s="10"/>
      <c r="O57" s="11"/>
      <c r="P57" s="10"/>
      <c r="Q57" s="11"/>
      <c r="R57" s="10"/>
      <c r="S57" s="11"/>
      <c r="T57" s="10"/>
      <c r="U57" s="11"/>
      <c r="V57">
        <f t="shared" si="0"/>
        <v>0</v>
      </c>
    </row>
    <row r="58" spans="1:22">
      <c r="A58" s="12">
        <v>102</v>
      </c>
      <c r="B58" s="12">
        <v>1</v>
      </c>
      <c r="C58" s="12" t="s">
        <v>149</v>
      </c>
      <c r="D58" s="12" t="s">
        <v>150</v>
      </c>
      <c r="E58" s="12">
        <v>0</v>
      </c>
      <c r="F58" s="12">
        <v>103</v>
      </c>
      <c r="G58" s="12">
        <v>1</v>
      </c>
      <c r="H58" s="12">
        <v>2</v>
      </c>
      <c r="I58" s="12">
        <v>0</v>
      </c>
      <c r="J58" s="10"/>
      <c r="K58" s="10" t="s">
        <v>76</v>
      </c>
      <c r="L58" s="10"/>
      <c r="M58" s="11">
        <v>0</v>
      </c>
      <c r="N58" s="10"/>
      <c r="O58" s="11">
        <v>0</v>
      </c>
      <c r="P58" s="10"/>
      <c r="Q58" s="11">
        <v>0</v>
      </c>
      <c r="R58" s="10"/>
      <c r="S58" s="11">
        <v>0</v>
      </c>
      <c r="T58" s="10"/>
      <c r="U58" s="11">
        <v>0</v>
      </c>
      <c r="V58">
        <f t="shared" si="0"/>
        <v>0</v>
      </c>
    </row>
    <row r="59" spans="1:22">
      <c r="A59" s="12">
        <v>103</v>
      </c>
      <c r="B59" s="12">
        <v>0</v>
      </c>
      <c r="C59" s="12" t="s">
        <v>151</v>
      </c>
      <c r="D59" s="12" t="s">
        <v>150</v>
      </c>
      <c r="E59" s="12">
        <v>0</v>
      </c>
      <c r="F59" s="12">
        <v>0</v>
      </c>
      <c r="G59" s="12">
        <v>1</v>
      </c>
      <c r="H59" s="12">
        <v>2</v>
      </c>
      <c r="I59" s="12">
        <v>0</v>
      </c>
      <c r="J59" s="10"/>
      <c r="K59" s="10" t="s">
        <v>76</v>
      </c>
      <c r="L59" s="10"/>
      <c r="M59" s="11">
        <v>0</v>
      </c>
      <c r="N59" s="10"/>
      <c r="O59" s="11">
        <v>0</v>
      </c>
      <c r="P59" s="10"/>
      <c r="Q59" s="11">
        <v>0</v>
      </c>
      <c r="R59" s="10"/>
      <c r="S59" s="11">
        <v>0</v>
      </c>
      <c r="T59" s="10"/>
      <c r="U59" s="11">
        <v>0</v>
      </c>
      <c r="V59">
        <f t="shared" si="0"/>
        <v>0</v>
      </c>
    </row>
    <row r="60" spans="1:22">
      <c r="A60" s="12">
        <v>104</v>
      </c>
      <c r="B60" s="12">
        <v>1</v>
      </c>
      <c r="C60" s="12" t="s">
        <v>152</v>
      </c>
      <c r="D60" s="12" t="s">
        <v>153</v>
      </c>
      <c r="E60" s="12">
        <v>0</v>
      </c>
      <c r="F60" s="12">
        <v>105</v>
      </c>
      <c r="G60" s="12">
        <v>1</v>
      </c>
      <c r="H60" s="12">
        <v>2</v>
      </c>
      <c r="I60" s="12">
        <v>0</v>
      </c>
      <c r="J60" s="10"/>
      <c r="K60" s="10" t="s">
        <v>76</v>
      </c>
      <c r="L60" s="10"/>
      <c r="M60" s="11">
        <v>0</v>
      </c>
      <c r="N60" s="10"/>
      <c r="O60" s="11">
        <v>0</v>
      </c>
      <c r="P60" s="10"/>
      <c r="Q60" s="11">
        <v>0</v>
      </c>
      <c r="R60" s="10"/>
      <c r="S60" s="11">
        <v>0</v>
      </c>
      <c r="T60" s="10"/>
      <c r="U60" s="11">
        <v>0</v>
      </c>
      <c r="V60">
        <f t="shared" si="0"/>
        <v>0</v>
      </c>
    </row>
    <row r="61" spans="1:22">
      <c r="A61" s="12">
        <v>105</v>
      </c>
      <c r="B61" s="12">
        <v>0</v>
      </c>
      <c r="C61" s="12" t="s">
        <v>154</v>
      </c>
      <c r="D61" s="12" t="s">
        <v>153</v>
      </c>
      <c r="E61" s="12">
        <v>0</v>
      </c>
      <c r="F61" s="12">
        <v>0</v>
      </c>
      <c r="G61" s="12">
        <v>1</v>
      </c>
      <c r="H61" s="12">
        <v>2</v>
      </c>
      <c r="I61" s="12">
        <v>0</v>
      </c>
      <c r="J61" s="10"/>
      <c r="K61" s="10" t="s">
        <v>76</v>
      </c>
      <c r="L61" s="10"/>
      <c r="M61" s="11">
        <v>0</v>
      </c>
      <c r="N61" s="10"/>
      <c r="O61" s="11">
        <v>0</v>
      </c>
      <c r="P61" s="10"/>
      <c r="Q61" s="11">
        <v>0</v>
      </c>
      <c r="R61" s="10"/>
      <c r="S61" s="11">
        <v>0</v>
      </c>
      <c r="T61" s="10"/>
      <c r="U61" s="11">
        <v>0</v>
      </c>
      <c r="V61">
        <f t="shared" si="0"/>
        <v>0</v>
      </c>
    </row>
    <row r="62" spans="1:22">
      <c r="A62" s="12">
        <v>106</v>
      </c>
      <c r="B62" s="12">
        <v>1</v>
      </c>
      <c r="C62" s="12" t="s">
        <v>155</v>
      </c>
      <c r="D62" s="12" t="s">
        <v>156</v>
      </c>
      <c r="E62" s="12">
        <v>0</v>
      </c>
      <c r="F62" s="12">
        <v>107</v>
      </c>
      <c r="G62" s="12">
        <v>1</v>
      </c>
      <c r="H62" s="12">
        <v>2</v>
      </c>
      <c r="I62" s="12">
        <v>0</v>
      </c>
      <c r="J62" s="10"/>
      <c r="K62" s="10" t="s">
        <v>76</v>
      </c>
      <c r="L62" s="10"/>
      <c r="M62" s="11">
        <v>0</v>
      </c>
      <c r="N62" s="10"/>
      <c r="O62" s="11">
        <v>0</v>
      </c>
      <c r="P62" s="10"/>
      <c r="Q62" s="11">
        <v>0</v>
      </c>
      <c r="R62" s="10"/>
      <c r="S62" s="11">
        <v>0</v>
      </c>
      <c r="T62" s="10"/>
      <c r="U62" s="11">
        <v>0</v>
      </c>
      <c r="V62">
        <f t="shared" si="0"/>
        <v>0</v>
      </c>
    </row>
    <row r="63" spans="1:22">
      <c r="A63" s="12">
        <v>107</v>
      </c>
      <c r="B63" s="12">
        <v>0</v>
      </c>
      <c r="C63" s="12" t="s">
        <v>157</v>
      </c>
      <c r="D63" s="12" t="s">
        <v>156</v>
      </c>
      <c r="E63" s="12">
        <v>0</v>
      </c>
      <c r="F63" s="12">
        <v>0</v>
      </c>
      <c r="G63" s="12">
        <v>1</v>
      </c>
      <c r="H63" s="12">
        <v>2</v>
      </c>
      <c r="I63" s="12">
        <v>0</v>
      </c>
      <c r="J63" s="10"/>
      <c r="K63" s="10" t="s">
        <v>76</v>
      </c>
      <c r="L63" s="10"/>
      <c r="M63" s="11">
        <v>0</v>
      </c>
      <c r="N63" s="10"/>
      <c r="O63" s="11">
        <v>0</v>
      </c>
      <c r="P63" s="10"/>
      <c r="Q63" s="11">
        <v>0</v>
      </c>
      <c r="R63" s="10"/>
      <c r="S63" s="11">
        <v>0</v>
      </c>
      <c r="T63" s="10"/>
      <c r="U63" s="11">
        <v>0</v>
      </c>
      <c r="V63">
        <f t="shared" si="0"/>
        <v>0</v>
      </c>
    </row>
    <row r="64" spans="1:22">
      <c r="A64" s="12">
        <v>108</v>
      </c>
      <c r="B64" s="12">
        <v>1</v>
      </c>
      <c r="C64" s="12" t="s">
        <v>158</v>
      </c>
      <c r="D64" s="207" t="s">
        <v>159</v>
      </c>
      <c r="E64" s="12">
        <v>0</v>
      </c>
      <c r="F64" s="12">
        <v>109</v>
      </c>
      <c r="G64" s="12">
        <v>3</v>
      </c>
      <c r="H64" s="12">
        <v>0</v>
      </c>
      <c r="I64" s="12">
        <v>0</v>
      </c>
      <c r="J64" s="10"/>
      <c r="K64" s="10" t="s">
        <v>76</v>
      </c>
      <c r="L64" s="10"/>
      <c r="M64" s="11"/>
      <c r="N64" s="10"/>
      <c r="O64" s="11"/>
      <c r="P64" s="10"/>
      <c r="Q64" s="11"/>
      <c r="R64" s="10"/>
      <c r="S64" s="11"/>
      <c r="T64" s="10"/>
      <c r="U64" s="11"/>
      <c r="V64">
        <f t="shared" si="0"/>
        <v>0</v>
      </c>
    </row>
    <row r="65" spans="1:22">
      <c r="A65" s="12">
        <v>109</v>
      </c>
      <c r="B65" s="12">
        <v>0</v>
      </c>
      <c r="C65" s="12" t="s">
        <v>160</v>
      </c>
      <c r="D65" s="12" t="s">
        <v>160</v>
      </c>
      <c r="E65" s="12">
        <v>0</v>
      </c>
      <c r="F65" s="12">
        <v>0</v>
      </c>
      <c r="G65" s="12">
        <v>3</v>
      </c>
      <c r="H65" s="12">
        <v>0</v>
      </c>
      <c r="I65" s="12">
        <v>0</v>
      </c>
      <c r="J65" s="10"/>
      <c r="K65" s="10" t="s">
        <v>76</v>
      </c>
      <c r="L65" s="10"/>
      <c r="M65" s="11"/>
      <c r="N65" s="10"/>
      <c r="O65" s="11"/>
      <c r="P65" s="10"/>
      <c r="Q65" s="11"/>
      <c r="R65" s="10"/>
      <c r="S65" s="11"/>
      <c r="T65" s="10"/>
      <c r="U65" s="11"/>
      <c r="V65">
        <f t="shared" si="0"/>
        <v>0</v>
      </c>
    </row>
    <row r="66" spans="1:22">
      <c r="A66" s="12">
        <v>112</v>
      </c>
      <c r="B66" s="12">
        <v>1</v>
      </c>
      <c r="C66" s="12" t="s">
        <v>161</v>
      </c>
      <c r="D66" s="207" t="s">
        <v>162</v>
      </c>
      <c r="E66" s="12">
        <v>0</v>
      </c>
      <c r="F66" s="12">
        <v>113</v>
      </c>
      <c r="G66" s="12">
        <v>3</v>
      </c>
      <c r="H66" s="12">
        <v>0</v>
      </c>
      <c r="I66" s="12">
        <v>0</v>
      </c>
      <c r="J66" s="10"/>
      <c r="K66" s="10" t="s">
        <v>76</v>
      </c>
      <c r="L66" s="10"/>
      <c r="M66" s="11"/>
      <c r="N66" s="10"/>
      <c r="O66" s="11"/>
      <c r="P66" s="10"/>
      <c r="Q66" s="11"/>
      <c r="R66" s="10"/>
      <c r="S66" s="11"/>
      <c r="T66" s="10"/>
      <c r="U66" s="11"/>
      <c r="V66">
        <f t="shared" ref="V66:V129" si="1">IF(OR(COUNTIF(D66,"*赤*"),COUNTIF(D66,"*キャラ*")),100,0)</f>
        <v>0</v>
      </c>
    </row>
    <row r="67" spans="1:22">
      <c r="A67" s="12">
        <v>113</v>
      </c>
      <c r="B67" s="12">
        <v>0</v>
      </c>
      <c r="C67" s="12" t="s">
        <v>163</v>
      </c>
      <c r="D67" s="12" t="s">
        <v>163</v>
      </c>
      <c r="E67" s="12">
        <v>0</v>
      </c>
      <c r="F67" s="12">
        <v>0</v>
      </c>
      <c r="G67" s="12">
        <v>3</v>
      </c>
      <c r="H67" s="12">
        <v>0</v>
      </c>
      <c r="I67" s="12">
        <v>0</v>
      </c>
      <c r="J67" s="10"/>
      <c r="K67" s="10" t="s">
        <v>76</v>
      </c>
      <c r="L67" s="10"/>
      <c r="M67" s="11"/>
      <c r="N67" s="10"/>
      <c r="O67" s="11"/>
      <c r="P67" s="10"/>
      <c r="Q67" s="11"/>
      <c r="R67" s="10"/>
      <c r="S67" s="11"/>
      <c r="T67" s="10"/>
      <c r="U67" s="11"/>
      <c r="V67">
        <f t="shared" si="1"/>
        <v>0</v>
      </c>
    </row>
    <row r="68" spans="1:22">
      <c r="A68" s="12">
        <v>114</v>
      </c>
      <c r="B68" s="12">
        <v>1</v>
      </c>
      <c r="C68" s="12" t="s">
        <v>6</v>
      </c>
      <c r="D68" s="12" t="s">
        <v>6</v>
      </c>
      <c r="E68" s="12">
        <v>0</v>
      </c>
      <c r="F68" s="12">
        <v>484</v>
      </c>
      <c r="G68" s="12">
        <v>3</v>
      </c>
      <c r="H68" s="12">
        <v>0</v>
      </c>
      <c r="I68" s="12">
        <v>0</v>
      </c>
      <c r="J68" s="10"/>
      <c r="K68" s="10" t="s">
        <v>76</v>
      </c>
      <c r="L68" s="10"/>
      <c r="M68" s="11">
        <v>0</v>
      </c>
      <c r="N68" s="10"/>
      <c r="O68" s="11">
        <v>0</v>
      </c>
      <c r="P68" s="10"/>
      <c r="Q68" s="11">
        <v>0</v>
      </c>
      <c r="R68" s="10"/>
      <c r="S68" s="11">
        <v>0</v>
      </c>
      <c r="T68" s="10"/>
      <c r="U68" s="11">
        <v>0</v>
      </c>
      <c r="V68">
        <f t="shared" si="1"/>
        <v>0</v>
      </c>
    </row>
    <row r="69" spans="1:22">
      <c r="A69" s="12">
        <v>115</v>
      </c>
      <c r="B69" s="12">
        <v>1</v>
      </c>
      <c r="C69" s="12" t="s">
        <v>164</v>
      </c>
      <c r="D69" s="12" t="s">
        <v>164</v>
      </c>
      <c r="E69" s="12">
        <v>0</v>
      </c>
      <c r="F69" s="12">
        <v>0</v>
      </c>
      <c r="G69" s="12">
        <v>3</v>
      </c>
      <c r="H69" s="12">
        <v>0</v>
      </c>
      <c r="I69" s="12">
        <v>0</v>
      </c>
      <c r="J69" s="10"/>
      <c r="K69" s="10" t="s">
        <v>76</v>
      </c>
      <c r="L69" s="10" t="s">
        <v>164</v>
      </c>
      <c r="M69" s="11">
        <v>0</v>
      </c>
      <c r="N69" s="10"/>
      <c r="O69" s="11">
        <v>0</v>
      </c>
      <c r="P69" s="10"/>
      <c r="Q69" s="11">
        <v>0</v>
      </c>
      <c r="R69" s="10"/>
      <c r="S69" s="11">
        <v>0</v>
      </c>
      <c r="T69" s="10"/>
      <c r="U69" s="11">
        <v>0</v>
      </c>
      <c r="V69">
        <f t="shared" si="1"/>
        <v>0</v>
      </c>
    </row>
    <row r="70" spans="1:22">
      <c r="A70" s="12">
        <v>116</v>
      </c>
      <c r="B70" s="12">
        <v>1</v>
      </c>
      <c r="C70" s="12" t="s">
        <v>165</v>
      </c>
      <c r="D70" s="12" t="s">
        <v>165</v>
      </c>
      <c r="E70" s="12">
        <v>0</v>
      </c>
      <c r="F70" s="12">
        <v>0</v>
      </c>
      <c r="G70" s="12">
        <v>3</v>
      </c>
      <c r="H70" s="12">
        <v>2</v>
      </c>
      <c r="I70" s="12">
        <v>0</v>
      </c>
      <c r="J70" s="10"/>
      <c r="K70" s="10" t="s">
        <v>76</v>
      </c>
      <c r="L70" s="10" t="s">
        <v>165</v>
      </c>
      <c r="M70" s="11">
        <v>0</v>
      </c>
      <c r="N70" s="10"/>
      <c r="O70" s="11">
        <v>0</v>
      </c>
      <c r="P70" s="10"/>
      <c r="Q70" s="11">
        <v>0</v>
      </c>
      <c r="R70" s="10"/>
      <c r="S70" s="11">
        <v>0</v>
      </c>
      <c r="T70" s="10"/>
      <c r="U70" s="11">
        <v>0</v>
      </c>
      <c r="V70">
        <f t="shared" si="1"/>
        <v>0</v>
      </c>
    </row>
    <row r="71" spans="1:22">
      <c r="A71" s="12">
        <v>117</v>
      </c>
      <c r="B71" s="12">
        <v>1</v>
      </c>
      <c r="C71" s="12" t="s">
        <v>166</v>
      </c>
      <c r="D71" s="12" t="s">
        <v>166</v>
      </c>
      <c r="E71" s="12">
        <v>0</v>
      </c>
      <c r="F71" s="12">
        <v>0</v>
      </c>
      <c r="G71" s="12">
        <v>3</v>
      </c>
      <c r="H71" s="12">
        <v>0</v>
      </c>
      <c r="I71" s="12">
        <v>0</v>
      </c>
      <c r="J71" s="10"/>
      <c r="K71" s="10" t="s">
        <v>76</v>
      </c>
      <c r="L71" s="10"/>
      <c r="M71" s="11"/>
      <c r="N71" s="10"/>
      <c r="O71" s="11"/>
      <c r="P71" s="10"/>
      <c r="Q71" s="11"/>
      <c r="R71" s="10"/>
      <c r="S71" s="11"/>
      <c r="T71" s="10"/>
      <c r="U71" s="11"/>
      <c r="V71">
        <f t="shared" si="1"/>
        <v>0</v>
      </c>
    </row>
    <row r="72" spans="1:22">
      <c r="A72" s="12">
        <v>118</v>
      </c>
      <c r="B72" s="12">
        <v>1</v>
      </c>
      <c r="C72" s="12" t="s">
        <v>167</v>
      </c>
      <c r="D72" s="12" t="s">
        <v>167</v>
      </c>
      <c r="E72" s="12">
        <v>0</v>
      </c>
      <c r="F72" s="12">
        <v>0</v>
      </c>
      <c r="G72" s="12">
        <v>3</v>
      </c>
      <c r="H72" s="12">
        <v>0</v>
      </c>
      <c r="I72" s="12">
        <v>0</v>
      </c>
      <c r="J72" s="10"/>
      <c r="K72" s="10" t="s">
        <v>76</v>
      </c>
      <c r="L72" s="10"/>
      <c r="M72" s="11"/>
      <c r="N72" s="10"/>
      <c r="O72" s="11"/>
      <c r="P72" s="10"/>
      <c r="Q72" s="11"/>
      <c r="R72" s="10"/>
      <c r="S72" s="11"/>
      <c r="T72" s="10"/>
      <c r="U72" s="11"/>
      <c r="V72">
        <f t="shared" si="1"/>
        <v>0</v>
      </c>
    </row>
    <row r="73" spans="1:22">
      <c r="A73" s="12">
        <v>119</v>
      </c>
      <c r="B73" s="12">
        <v>1</v>
      </c>
      <c r="C73" s="12" t="s">
        <v>168</v>
      </c>
      <c r="D73" s="12" t="s">
        <v>168</v>
      </c>
      <c r="E73" s="12">
        <v>0</v>
      </c>
      <c r="F73" s="12">
        <v>0</v>
      </c>
      <c r="G73" s="12">
        <v>3</v>
      </c>
      <c r="H73" s="12">
        <v>0</v>
      </c>
      <c r="I73" s="12">
        <v>0</v>
      </c>
      <c r="J73" s="10"/>
      <c r="K73" s="10" t="s">
        <v>76</v>
      </c>
      <c r="L73" s="10"/>
      <c r="M73" s="11"/>
      <c r="N73" s="10"/>
      <c r="O73" s="11"/>
      <c r="P73" s="10"/>
      <c r="Q73" s="11"/>
      <c r="R73" s="10"/>
      <c r="S73" s="11"/>
      <c r="T73" s="10"/>
      <c r="U73" s="11"/>
      <c r="V73">
        <f t="shared" si="1"/>
        <v>0</v>
      </c>
    </row>
    <row r="74" spans="1:22">
      <c r="A74" s="12">
        <v>120</v>
      </c>
      <c r="B74" s="12">
        <v>1</v>
      </c>
      <c r="C74" s="12" t="s">
        <v>169</v>
      </c>
      <c r="D74" s="12" t="s">
        <v>169</v>
      </c>
      <c r="E74" s="12">
        <v>0</v>
      </c>
      <c r="F74" s="12">
        <v>0</v>
      </c>
      <c r="G74" s="12">
        <v>3</v>
      </c>
      <c r="H74" s="12">
        <v>0</v>
      </c>
      <c r="I74" s="12">
        <v>0</v>
      </c>
      <c r="J74" s="10"/>
      <c r="K74" s="10" t="s">
        <v>76</v>
      </c>
      <c r="L74" s="10"/>
      <c r="M74" s="11"/>
      <c r="N74" s="10"/>
      <c r="O74" s="11"/>
      <c r="P74" s="10"/>
      <c r="Q74" s="11"/>
      <c r="R74" s="10"/>
      <c r="S74" s="11"/>
      <c r="T74" s="10"/>
      <c r="U74" s="11"/>
      <c r="V74">
        <f t="shared" si="1"/>
        <v>0</v>
      </c>
    </row>
    <row r="75" spans="1:22">
      <c r="A75" s="12">
        <v>121</v>
      </c>
      <c r="B75" s="12">
        <v>1</v>
      </c>
      <c r="C75" s="12" t="s">
        <v>170</v>
      </c>
      <c r="D75" s="12" t="s">
        <v>170</v>
      </c>
      <c r="E75" s="12">
        <v>0</v>
      </c>
      <c r="F75" s="12">
        <v>0</v>
      </c>
      <c r="G75" s="12">
        <v>3</v>
      </c>
      <c r="H75" s="12">
        <v>0</v>
      </c>
      <c r="I75" s="12">
        <v>0</v>
      </c>
      <c r="J75" s="10"/>
      <c r="K75" s="10" t="s">
        <v>76</v>
      </c>
      <c r="L75" s="10"/>
      <c r="M75" s="11"/>
      <c r="N75" s="10"/>
      <c r="O75" s="11"/>
      <c r="P75" s="10"/>
      <c r="Q75" s="11"/>
      <c r="R75" s="10"/>
      <c r="S75" s="11"/>
      <c r="T75" s="10"/>
      <c r="U75" s="11"/>
      <c r="V75">
        <f t="shared" si="1"/>
        <v>0</v>
      </c>
    </row>
    <row r="76" spans="1:22">
      <c r="A76" s="12">
        <v>122</v>
      </c>
      <c r="B76" s="12">
        <v>1</v>
      </c>
      <c r="C76" s="12" t="s">
        <v>171</v>
      </c>
      <c r="D76" s="12" t="s">
        <v>171</v>
      </c>
      <c r="E76" s="12">
        <v>0</v>
      </c>
      <c r="F76" s="12">
        <v>0</v>
      </c>
      <c r="G76" s="12">
        <v>3</v>
      </c>
      <c r="H76" s="12">
        <v>0</v>
      </c>
      <c r="I76" s="12">
        <v>0</v>
      </c>
      <c r="J76" s="10"/>
      <c r="K76" s="10" t="s">
        <v>76</v>
      </c>
      <c r="L76" s="10"/>
      <c r="M76" s="11"/>
      <c r="N76" s="10"/>
      <c r="O76" s="11"/>
      <c r="P76" s="10"/>
      <c r="Q76" s="11"/>
      <c r="R76" s="10"/>
      <c r="S76" s="11"/>
      <c r="T76" s="10"/>
      <c r="U76" s="11"/>
      <c r="V76">
        <f t="shared" si="1"/>
        <v>0</v>
      </c>
    </row>
    <row r="77" spans="1:22">
      <c r="A77" s="12">
        <v>123</v>
      </c>
      <c r="B77" s="12">
        <v>0</v>
      </c>
      <c r="C77" s="12" t="s">
        <v>172</v>
      </c>
      <c r="D77" s="12" t="s">
        <v>172</v>
      </c>
      <c r="E77" s="12">
        <v>0</v>
      </c>
      <c r="F77" s="12">
        <v>0</v>
      </c>
      <c r="G77" s="12">
        <v>1</v>
      </c>
      <c r="H77" s="12">
        <v>0</v>
      </c>
      <c r="I77" s="12">
        <v>0</v>
      </c>
      <c r="J77" s="10"/>
      <c r="K77" s="10" t="s">
        <v>76</v>
      </c>
      <c r="L77" s="10"/>
      <c r="M77" s="11">
        <v>0</v>
      </c>
      <c r="N77" s="10"/>
      <c r="O77" s="11">
        <v>0</v>
      </c>
      <c r="P77" s="10"/>
      <c r="Q77" s="11">
        <v>0</v>
      </c>
      <c r="R77" s="10"/>
      <c r="S77" s="11">
        <v>0</v>
      </c>
      <c r="T77" s="10"/>
      <c r="U77" s="11">
        <v>0</v>
      </c>
      <c r="V77">
        <f t="shared" si="1"/>
        <v>0</v>
      </c>
    </row>
    <row r="78" spans="1:22">
      <c r="A78" s="12">
        <v>127</v>
      </c>
      <c r="B78" s="12">
        <v>1</v>
      </c>
      <c r="C78" s="12" t="s">
        <v>173</v>
      </c>
      <c r="D78" s="12" t="s">
        <v>173</v>
      </c>
      <c r="E78" s="12">
        <v>0</v>
      </c>
      <c r="F78" s="12">
        <v>0</v>
      </c>
      <c r="G78" s="12">
        <v>3</v>
      </c>
      <c r="H78" s="12">
        <v>0</v>
      </c>
      <c r="I78" s="12">
        <v>0</v>
      </c>
      <c r="J78" s="10"/>
      <c r="K78" s="10" t="s">
        <v>76</v>
      </c>
      <c r="L78" s="10"/>
      <c r="M78" s="11"/>
      <c r="N78" s="10"/>
      <c r="O78" s="11"/>
      <c r="P78" s="10"/>
      <c r="Q78" s="11"/>
      <c r="R78" s="10"/>
      <c r="S78" s="11"/>
      <c r="T78" s="10"/>
      <c r="U78" s="11"/>
      <c r="V78">
        <f t="shared" si="1"/>
        <v>0</v>
      </c>
    </row>
    <row r="79" spans="1:22">
      <c r="A79" s="12">
        <v>128</v>
      </c>
      <c r="B79" s="12">
        <v>1</v>
      </c>
      <c r="C79" s="12" t="s">
        <v>174</v>
      </c>
      <c r="D79" s="12" t="s">
        <v>174</v>
      </c>
      <c r="E79" s="12">
        <v>0</v>
      </c>
      <c r="F79" s="12">
        <v>0</v>
      </c>
      <c r="G79" s="12">
        <v>3</v>
      </c>
      <c r="H79" s="12">
        <v>0</v>
      </c>
      <c r="I79" s="12">
        <v>0</v>
      </c>
      <c r="J79" s="10"/>
      <c r="K79" s="10" t="s">
        <v>76</v>
      </c>
      <c r="L79" s="10"/>
      <c r="M79" s="11"/>
      <c r="N79" s="10"/>
      <c r="O79" s="11"/>
      <c r="P79" s="10"/>
      <c r="Q79" s="11"/>
      <c r="R79" s="10"/>
      <c r="S79" s="11"/>
      <c r="T79" s="10"/>
      <c r="U79" s="11"/>
      <c r="V79">
        <f t="shared" si="1"/>
        <v>0</v>
      </c>
    </row>
    <row r="80" spans="1:22">
      <c r="A80" s="12">
        <v>129</v>
      </c>
      <c r="B80" s="12">
        <v>1</v>
      </c>
      <c r="C80" s="12" t="s">
        <v>175</v>
      </c>
      <c r="D80" s="12" t="s">
        <v>175</v>
      </c>
      <c r="E80" s="12">
        <v>0</v>
      </c>
      <c r="F80" s="12">
        <v>0</v>
      </c>
      <c r="G80" s="12">
        <v>1</v>
      </c>
      <c r="H80" s="12">
        <v>1</v>
      </c>
      <c r="I80" s="12">
        <v>69</v>
      </c>
      <c r="J80" s="10"/>
      <c r="K80" s="10" t="s">
        <v>76</v>
      </c>
      <c r="L80" s="10"/>
      <c r="M80" s="11">
        <v>0</v>
      </c>
      <c r="N80" s="10"/>
      <c r="O80" s="11">
        <v>0</v>
      </c>
      <c r="P80" s="10"/>
      <c r="Q80" s="11">
        <v>0</v>
      </c>
      <c r="R80" s="10"/>
      <c r="S80" s="11">
        <v>0</v>
      </c>
      <c r="T80" s="10"/>
      <c r="U80" s="11">
        <v>0</v>
      </c>
      <c r="V80">
        <f t="shared" si="1"/>
        <v>0</v>
      </c>
    </row>
    <row r="81" spans="1:22">
      <c r="A81" s="12">
        <v>130</v>
      </c>
      <c r="B81" s="12">
        <v>1</v>
      </c>
      <c r="C81" s="12" t="s">
        <v>176</v>
      </c>
      <c r="D81" s="12" t="s">
        <v>176</v>
      </c>
      <c r="E81" s="12">
        <v>0</v>
      </c>
      <c r="F81" s="12">
        <v>0</v>
      </c>
      <c r="G81" s="12">
        <v>3</v>
      </c>
      <c r="H81" s="12">
        <v>0</v>
      </c>
      <c r="I81" s="12">
        <v>0</v>
      </c>
      <c r="J81" s="10"/>
      <c r="K81" s="10" t="s">
        <v>76</v>
      </c>
      <c r="L81" s="10"/>
      <c r="M81" s="11">
        <v>0</v>
      </c>
      <c r="N81" s="10"/>
      <c r="O81" s="11">
        <v>0</v>
      </c>
      <c r="P81" s="10"/>
      <c r="Q81" s="11">
        <v>0</v>
      </c>
      <c r="R81" s="10"/>
      <c r="S81" s="11">
        <v>0</v>
      </c>
      <c r="T81" s="10"/>
      <c r="U81" s="11">
        <v>0</v>
      </c>
      <c r="V81">
        <f t="shared" si="1"/>
        <v>0</v>
      </c>
    </row>
    <row r="82" spans="1:22">
      <c r="A82" s="12">
        <v>131</v>
      </c>
      <c r="B82" s="12">
        <v>1</v>
      </c>
      <c r="C82" s="12" t="s">
        <v>177</v>
      </c>
      <c r="D82" s="12" t="s">
        <v>177</v>
      </c>
      <c r="E82" s="12">
        <v>0</v>
      </c>
      <c r="F82" s="12">
        <v>0</v>
      </c>
      <c r="G82" s="12">
        <v>3</v>
      </c>
      <c r="H82" s="12">
        <v>0</v>
      </c>
      <c r="I82" s="12">
        <v>0</v>
      </c>
      <c r="J82" s="10"/>
      <c r="K82" s="10" t="s">
        <v>76</v>
      </c>
      <c r="L82" s="10"/>
      <c r="M82" s="11"/>
      <c r="N82" s="10"/>
      <c r="O82" s="11"/>
      <c r="P82" s="10"/>
      <c r="Q82" s="11"/>
      <c r="R82" s="10"/>
      <c r="S82" s="11"/>
      <c r="T82" s="10"/>
      <c r="U82" s="11"/>
      <c r="V82">
        <f t="shared" si="1"/>
        <v>0</v>
      </c>
    </row>
    <row r="83" spans="1:22">
      <c r="A83" s="12">
        <v>132</v>
      </c>
      <c r="B83" s="12">
        <v>1</v>
      </c>
      <c r="C83" s="12" t="s">
        <v>178</v>
      </c>
      <c r="D83" s="12" t="s">
        <v>178</v>
      </c>
      <c r="E83" s="12">
        <v>0</v>
      </c>
      <c r="F83" s="12">
        <v>0</v>
      </c>
      <c r="G83" s="12">
        <v>2</v>
      </c>
      <c r="H83" s="12">
        <v>0</v>
      </c>
      <c r="I83" s="12">
        <v>0</v>
      </c>
      <c r="J83" s="10"/>
      <c r="K83" s="10" t="s">
        <v>76</v>
      </c>
      <c r="L83" s="10"/>
      <c r="M83" s="11"/>
      <c r="N83" s="10"/>
      <c r="O83" s="11"/>
      <c r="P83" s="10"/>
      <c r="Q83" s="11"/>
      <c r="R83" s="10"/>
      <c r="S83" s="11"/>
      <c r="T83" s="10"/>
      <c r="U83" s="11"/>
      <c r="V83">
        <f t="shared" si="1"/>
        <v>0</v>
      </c>
    </row>
    <row r="84" spans="1:22">
      <c r="A84" s="12">
        <v>134</v>
      </c>
      <c r="B84" s="12">
        <v>1</v>
      </c>
      <c r="C84" s="12" t="s">
        <v>179</v>
      </c>
      <c r="D84" s="12" t="s">
        <v>179</v>
      </c>
      <c r="E84" s="12">
        <v>0</v>
      </c>
      <c r="F84" s="12">
        <v>604</v>
      </c>
      <c r="G84" s="12">
        <v>1</v>
      </c>
      <c r="H84" s="12">
        <v>1</v>
      </c>
      <c r="I84" s="12">
        <v>0</v>
      </c>
      <c r="J84" s="10"/>
      <c r="K84" s="10" t="s">
        <v>76</v>
      </c>
      <c r="L84" s="10"/>
      <c r="M84" s="11">
        <v>0</v>
      </c>
      <c r="N84" s="10"/>
      <c r="O84" s="11">
        <v>0</v>
      </c>
      <c r="P84" s="10"/>
      <c r="Q84" s="11">
        <v>0</v>
      </c>
      <c r="R84" s="10"/>
      <c r="S84" s="11">
        <v>0</v>
      </c>
      <c r="T84" s="10"/>
      <c r="U84" s="11">
        <v>0</v>
      </c>
      <c r="V84">
        <f t="shared" si="1"/>
        <v>0</v>
      </c>
    </row>
    <row r="85" spans="1:22">
      <c r="A85" s="12">
        <v>135</v>
      </c>
      <c r="B85" s="12">
        <v>1</v>
      </c>
      <c r="C85" s="12" t="s">
        <v>180</v>
      </c>
      <c r="D85" s="12" t="s">
        <v>180</v>
      </c>
      <c r="E85" s="12">
        <v>0</v>
      </c>
      <c r="F85" s="12">
        <v>0</v>
      </c>
      <c r="G85" s="12">
        <v>2</v>
      </c>
      <c r="H85" s="12">
        <v>0</v>
      </c>
      <c r="I85" s="12">
        <v>0</v>
      </c>
      <c r="J85" s="10"/>
      <c r="K85" s="10" t="s">
        <v>76</v>
      </c>
      <c r="L85" s="10"/>
      <c r="M85" s="11"/>
      <c r="N85" s="10"/>
      <c r="O85" s="11"/>
      <c r="P85" s="10"/>
      <c r="Q85" s="11"/>
      <c r="R85" s="10"/>
      <c r="S85" s="11"/>
      <c r="T85" s="10"/>
      <c r="U85" s="11"/>
      <c r="V85">
        <f t="shared" si="1"/>
        <v>0</v>
      </c>
    </row>
    <row r="86" spans="1:22">
      <c r="A86" s="12">
        <v>136</v>
      </c>
      <c r="B86" s="12">
        <v>1</v>
      </c>
      <c r="C86" s="12" t="s">
        <v>181</v>
      </c>
      <c r="D86" s="12" t="s">
        <v>181</v>
      </c>
      <c r="E86" s="12">
        <v>0</v>
      </c>
      <c r="F86" s="12">
        <v>522</v>
      </c>
      <c r="G86" s="12">
        <v>1</v>
      </c>
      <c r="H86" s="12">
        <v>2</v>
      </c>
      <c r="I86" s="12">
        <v>0</v>
      </c>
      <c r="J86" s="10"/>
      <c r="K86" s="10" t="s">
        <v>76</v>
      </c>
      <c r="L86" s="10" t="s">
        <v>181</v>
      </c>
      <c r="M86" s="11">
        <v>1</v>
      </c>
      <c r="N86" s="10"/>
      <c r="O86" s="11">
        <v>0</v>
      </c>
      <c r="P86" s="10"/>
      <c r="Q86" s="11">
        <v>0</v>
      </c>
      <c r="R86" s="10"/>
      <c r="S86" s="11">
        <v>0</v>
      </c>
      <c r="T86" s="10"/>
      <c r="U86" s="11">
        <v>0</v>
      </c>
      <c r="V86">
        <f t="shared" si="1"/>
        <v>0</v>
      </c>
    </row>
    <row r="87" spans="1:22">
      <c r="A87" s="12">
        <v>137</v>
      </c>
      <c r="B87" s="12">
        <v>1</v>
      </c>
      <c r="C87" s="12" t="s">
        <v>182</v>
      </c>
      <c r="D87" s="12" t="s">
        <v>182</v>
      </c>
      <c r="E87" s="12">
        <v>0</v>
      </c>
      <c r="F87" s="12">
        <v>492</v>
      </c>
      <c r="G87" s="12">
        <v>1</v>
      </c>
      <c r="H87" s="12">
        <v>2</v>
      </c>
      <c r="I87" s="12">
        <v>0</v>
      </c>
      <c r="J87" s="10"/>
      <c r="K87" s="10" t="s">
        <v>76</v>
      </c>
      <c r="L87" s="10" t="s">
        <v>68</v>
      </c>
      <c r="M87" s="11">
        <v>1</v>
      </c>
      <c r="N87" s="10" t="s">
        <v>119</v>
      </c>
      <c r="O87" s="11">
        <v>0</v>
      </c>
      <c r="P87" s="10" t="s">
        <v>77</v>
      </c>
      <c r="Q87" s="11">
        <v>0</v>
      </c>
      <c r="R87" s="10" t="s">
        <v>117</v>
      </c>
      <c r="S87" s="11">
        <v>0</v>
      </c>
      <c r="T87" s="10" t="s">
        <v>183</v>
      </c>
      <c r="U87" s="11">
        <v>0</v>
      </c>
      <c r="V87">
        <f t="shared" si="1"/>
        <v>0</v>
      </c>
    </row>
    <row r="88" spans="1:22">
      <c r="A88" s="12">
        <v>138</v>
      </c>
      <c r="B88" s="12">
        <v>1</v>
      </c>
      <c r="C88" s="12" t="s">
        <v>184</v>
      </c>
      <c r="D88" s="12" t="s">
        <v>184</v>
      </c>
      <c r="E88" s="12">
        <v>0</v>
      </c>
      <c r="F88" s="12">
        <v>0</v>
      </c>
      <c r="G88" s="12">
        <v>1</v>
      </c>
      <c r="H88" s="12">
        <v>0</v>
      </c>
      <c r="I88" s="12">
        <v>0</v>
      </c>
      <c r="J88" s="10"/>
      <c r="K88" s="10" t="s">
        <v>76</v>
      </c>
      <c r="L88" s="10"/>
      <c r="M88" s="11">
        <v>0</v>
      </c>
      <c r="N88" s="10"/>
      <c r="O88" s="11">
        <v>0</v>
      </c>
      <c r="P88" s="10"/>
      <c r="Q88" s="11">
        <v>0</v>
      </c>
      <c r="R88" s="10"/>
      <c r="S88" s="11">
        <v>0</v>
      </c>
      <c r="T88" s="10"/>
      <c r="U88" s="11">
        <v>0</v>
      </c>
      <c r="V88">
        <f t="shared" si="1"/>
        <v>0</v>
      </c>
    </row>
    <row r="89" spans="1:22">
      <c r="A89" s="12">
        <v>140</v>
      </c>
      <c r="B89" s="12">
        <v>1</v>
      </c>
      <c r="C89" s="12" t="s">
        <v>185</v>
      </c>
      <c r="D89" s="12" t="s">
        <v>185</v>
      </c>
      <c r="E89" s="12">
        <v>0</v>
      </c>
      <c r="F89" s="12">
        <v>0</v>
      </c>
      <c r="G89" s="12">
        <v>2</v>
      </c>
      <c r="H89" s="12">
        <v>0</v>
      </c>
      <c r="I89" s="12">
        <v>0</v>
      </c>
      <c r="J89" s="10"/>
      <c r="K89" s="10" t="s">
        <v>76</v>
      </c>
      <c r="L89" s="10"/>
      <c r="M89" s="11"/>
      <c r="N89" s="10"/>
      <c r="O89" s="11"/>
      <c r="P89" s="10"/>
      <c r="Q89" s="11"/>
      <c r="R89" s="10"/>
      <c r="S89" s="11"/>
      <c r="T89" s="10"/>
      <c r="U89" s="11"/>
      <c r="V89">
        <f t="shared" si="1"/>
        <v>0</v>
      </c>
    </row>
    <row r="90" spans="1:22">
      <c r="A90" s="12">
        <v>141</v>
      </c>
      <c r="B90" s="12">
        <v>1</v>
      </c>
      <c r="C90" s="12" t="s">
        <v>186</v>
      </c>
      <c r="D90" s="12" t="s">
        <v>186</v>
      </c>
      <c r="E90" s="12">
        <v>0</v>
      </c>
      <c r="F90" s="12">
        <v>0</v>
      </c>
      <c r="G90" s="12">
        <v>0</v>
      </c>
      <c r="H90" s="12">
        <v>2</v>
      </c>
      <c r="I90" s="12">
        <v>0</v>
      </c>
      <c r="J90" s="10"/>
      <c r="K90" s="10" t="s">
        <v>76</v>
      </c>
      <c r="L90" s="10" t="s">
        <v>186</v>
      </c>
      <c r="M90" s="11">
        <v>0</v>
      </c>
      <c r="N90" s="10"/>
      <c r="O90" s="11">
        <v>0</v>
      </c>
      <c r="P90" s="10"/>
      <c r="Q90" s="11">
        <v>0</v>
      </c>
      <c r="R90" s="10"/>
      <c r="S90" s="11">
        <v>0</v>
      </c>
      <c r="T90" s="10"/>
      <c r="U90" s="11">
        <v>0</v>
      </c>
      <c r="V90">
        <f t="shared" si="1"/>
        <v>0</v>
      </c>
    </row>
    <row r="91" spans="1:22">
      <c r="A91" s="12">
        <v>148</v>
      </c>
      <c r="B91" s="12">
        <v>1</v>
      </c>
      <c r="C91" s="12" t="s">
        <v>187</v>
      </c>
      <c r="D91" s="12" t="s">
        <v>187</v>
      </c>
      <c r="E91" s="12">
        <v>0</v>
      </c>
      <c r="F91" s="12">
        <v>0</v>
      </c>
      <c r="G91" s="12">
        <v>2</v>
      </c>
      <c r="H91" s="12">
        <v>0</v>
      </c>
      <c r="I91" s="12">
        <v>0</v>
      </c>
      <c r="J91" s="10"/>
      <c r="K91" s="10" t="s">
        <v>76</v>
      </c>
      <c r="L91" s="10"/>
      <c r="M91" s="11"/>
      <c r="N91" s="10"/>
      <c r="O91" s="11"/>
      <c r="P91" s="10"/>
      <c r="Q91" s="11"/>
      <c r="R91" s="10"/>
      <c r="S91" s="11"/>
      <c r="T91" s="10"/>
      <c r="U91" s="11"/>
      <c r="V91">
        <f t="shared" si="1"/>
        <v>0</v>
      </c>
    </row>
    <row r="92" spans="1:22">
      <c r="A92" s="12">
        <v>149</v>
      </c>
      <c r="B92" s="12">
        <v>1</v>
      </c>
      <c r="C92" s="12" t="s">
        <v>188</v>
      </c>
      <c r="D92" s="12" t="s">
        <v>188</v>
      </c>
      <c r="E92" s="12">
        <v>0</v>
      </c>
      <c r="F92" s="12">
        <v>0</v>
      </c>
      <c r="G92" s="12">
        <v>1</v>
      </c>
      <c r="H92" s="12">
        <v>0</v>
      </c>
      <c r="I92" s="12">
        <v>0</v>
      </c>
      <c r="J92" s="10"/>
      <c r="K92" s="10" t="s">
        <v>76</v>
      </c>
      <c r="L92" s="10"/>
      <c r="M92" s="11">
        <v>0</v>
      </c>
      <c r="N92" s="10"/>
      <c r="O92" s="11">
        <v>0</v>
      </c>
      <c r="P92" s="10"/>
      <c r="Q92" s="11">
        <v>0</v>
      </c>
      <c r="R92" s="10"/>
      <c r="S92" s="11">
        <v>0</v>
      </c>
      <c r="T92" s="10"/>
      <c r="U92" s="11">
        <v>0</v>
      </c>
      <c r="V92">
        <f t="shared" si="1"/>
        <v>0</v>
      </c>
    </row>
    <row r="93" spans="1:22">
      <c r="A93" s="12">
        <v>150</v>
      </c>
      <c r="B93" s="12">
        <v>1</v>
      </c>
      <c r="C93" s="12" t="s">
        <v>189</v>
      </c>
      <c r="D93" s="12" t="s">
        <v>189</v>
      </c>
      <c r="E93" s="12">
        <v>0</v>
      </c>
      <c r="F93" s="12">
        <v>491</v>
      </c>
      <c r="G93" s="12">
        <v>1</v>
      </c>
      <c r="H93" s="12">
        <v>2</v>
      </c>
      <c r="I93" s="12">
        <v>0</v>
      </c>
      <c r="J93" s="10"/>
      <c r="K93" s="10" t="s">
        <v>76</v>
      </c>
      <c r="L93" s="10"/>
      <c r="M93" s="11">
        <v>0</v>
      </c>
      <c r="N93" s="10"/>
      <c r="O93" s="11">
        <v>0</v>
      </c>
      <c r="P93" s="10"/>
      <c r="Q93" s="11">
        <v>0</v>
      </c>
      <c r="R93" s="10"/>
      <c r="S93" s="11">
        <v>0</v>
      </c>
      <c r="T93" s="10"/>
      <c r="U93" s="11">
        <v>0</v>
      </c>
      <c r="V93">
        <f t="shared" si="1"/>
        <v>0</v>
      </c>
    </row>
    <row r="94" spans="1:22">
      <c r="A94" s="12">
        <v>151</v>
      </c>
      <c r="B94" s="12">
        <v>0</v>
      </c>
      <c r="C94" s="12" t="s">
        <v>190</v>
      </c>
      <c r="D94" s="207" t="s">
        <v>190</v>
      </c>
      <c r="E94" s="12">
        <v>0</v>
      </c>
      <c r="F94" s="12">
        <v>0</v>
      </c>
      <c r="G94" s="12">
        <v>2</v>
      </c>
      <c r="H94" s="12">
        <v>0</v>
      </c>
      <c r="I94" s="12">
        <v>0</v>
      </c>
      <c r="J94" s="10"/>
      <c r="K94" s="10" t="s">
        <v>76</v>
      </c>
      <c r="L94" s="10"/>
      <c r="M94" s="11"/>
      <c r="N94" s="10"/>
      <c r="O94" s="11"/>
      <c r="P94" s="10"/>
      <c r="Q94" s="11"/>
      <c r="R94" s="10"/>
      <c r="S94" s="11"/>
      <c r="T94" s="10"/>
      <c r="U94" s="11"/>
      <c r="V94">
        <f t="shared" si="1"/>
        <v>0</v>
      </c>
    </row>
    <row r="95" spans="1:22">
      <c r="A95" s="12">
        <v>152</v>
      </c>
      <c r="B95" s="12">
        <v>1</v>
      </c>
      <c r="C95" s="12" t="s">
        <v>191</v>
      </c>
      <c r="D95" s="12" t="s">
        <v>191</v>
      </c>
      <c r="E95" s="12">
        <v>0</v>
      </c>
      <c r="F95" s="12">
        <v>503</v>
      </c>
      <c r="G95" s="12">
        <v>1</v>
      </c>
      <c r="H95" s="12">
        <v>0</v>
      </c>
      <c r="I95" s="12">
        <v>0</v>
      </c>
      <c r="J95" s="10"/>
      <c r="K95" s="10" t="s">
        <v>76</v>
      </c>
      <c r="L95" s="10"/>
      <c r="M95" s="11">
        <v>0</v>
      </c>
      <c r="N95" s="10"/>
      <c r="O95" s="11">
        <v>0</v>
      </c>
      <c r="P95" s="10"/>
      <c r="Q95" s="11">
        <v>0</v>
      </c>
      <c r="R95" s="10"/>
      <c r="S95" s="11">
        <v>0</v>
      </c>
      <c r="T95" s="10"/>
      <c r="U95" s="11">
        <v>0</v>
      </c>
      <c r="V95">
        <f t="shared" si="1"/>
        <v>0</v>
      </c>
    </row>
    <row r="96" spans="1:22">
      <c r="A96" s="12">
        <v>153</v>
      </c>
      <c r="B96" s="12">
        <v>0</v>
      </c>
      <c r="C96" s="12" t="s">
        <v>192</v>
      </c>
      <c r="D96" s="207" t="s">
        <v>192</v>
      </c>
      <c r="E96" s="12">
        <v>0</v>
      </c>
      <c r="F96" s="12">
        <v>0</v>
      </c>
      <c r="G96" s="12">
        <v>2</v>
      </c>
      <c r="H96" s="12">
        <v>0</v>
      </c>
      <c r="I96" s="12">
        <v>0</v>
      </c>
      <c r="J96" s="10"/>
      <c r="K96" s="10" t="s">
        <v>76</v>
      </c>
      <c r="L96" s="10"/>
      <c r="M96" s="11"/>
      <c r="N96" s="10"/>
      <c r="O96" s="11"/>
      <c r="P96" s="10"/>
      <c r="Q96" s="11"/>
      <c r="R96" s="10"/>
      <c r="S96" s="11"/>
      <c r="T96" s="10"/>
      <c r="U96" s="11"/>
      <c r="V96">
        <f t="shared" si="1"/>
        <v>0</v>
      </c>
    </row>
    <row r="97" spans="1:22">
      <c r="A97" s="12">
        <v>154</v>
      </c>
      <c r="B97" s="12">
        <v>0</v>
      </c>
      <c r="C97" s="12" t="s">
        <v>193</v>
      </c>
      <c r="D97" s="207" t="s">
        <v>193</v>
      </c>
      <c r="E97" s="12">
        <v>0</v>
      </c>
      <c r="F97" s="12">
        <v>0</v>
      </c>
      <c r="G97" s="12">
        <v>2</v>
      </c>
      <c r="H97" s="12">
        <v>0</v>
      </c>
      <c r="I97" s="12">
        <v>0</v>
      </c>
      <c r="J97" s="10"/>
      <c r="K97" s="10" t="s">
        <v>76</v>
      </c>
      <c r="L97" s="10"/>
      <c r="M97" s="11"/>
      <c r="N97" s="10"/>
      <c r="O97" s="11"/>
      <c r="P97" s="10"/>
      <c r="Q97" s="11"/>
      <c r="R97" s="10"/>
      <c r="S97" s="11"/>
      <c r="T97" s="10"/>
      <c r="U97" s="11"/>
      <c r="V97">
        <f t="shared" si="1"/>
        <v>0</v>
      </c>
    </row>
    <row r="98" spans="1:22">
      <c r="A98" s="12">
        <v>155</v>
      </c>
      <c r="B98" s="12">
        <v>0</v>
      </c>
      <c r="C98" s="12" t="s">
        <v>194</v>
      </c>
      <c r="D98" s="207" t="s">
        <v>194</v>
      </c>
      <c r="E98" s="12">
        <v>0</v>
      </c>
      <c r="F98" s="12">
        <v>0</v>
      </c>
      <c r="G98" s="12">
        <v>2</v>
      </c>
      <c r="H98" s="12">
        <v>0</v>
      </c>
      <c r="I98" s="12">
        <v>0</v>
      </c>
      <c r="J98" s="10"/>
      <c r="K98" s="10" t="s">
        <v>76</v>
      </c>
      <c r="L98" s="10"/>
      <c r="M98" s="11"/>
      <c r="N98" s="10"/>
      <c r="O98" s="11"/>
      <c r="P98" s="10"/>
      <c r="Q98" s="11"/>
      <c r="R98" s="10"/>
      <c r="S98" s="11"/>
      <c r="T98" s="10"/>
      <c r="U98" s="11"/>
      <c r="V98">
        <f t="shared" si="1"/>
        <v>0</v>
      </c>
    </row>
    <row r="99" spans="1:22">
      <c r="A99" s="12">
        <v>156</v>
      </c>
      <c r="B99" s="12">
        <v>0</v>
      </c>
      <c r="C99" s="12" t="s">
        <v>195</v>
      </c>
      <c r="D99" s="207" t="s">
        <v>195</v>
      </c>
      <c r="E99" s="12">
        <v>0</v>
      </c>
      <c r="F99" s="12">
        <v>0</v>
      </c>
      <c r="G99" s="12">
        <v>1</v>
      </c>
      <c r="H99" s="12">
        <v>0</v>
      </c>
      <c r="I99" s="12">
        <v>0</v>
      </c>
      <c r="J99" s="10"/>
      <c r="K99" s="10" t="s">
        <v>76</v>
      </c>
      <c r="L99" s="10"/>
      <c r="M99" s="11">
        <v>0</v>
      </c>
      <c r="N99" s="10"/>
      <c r="O99" s="11">
        <v>0</v>
      </c>
      <c r="P99" s="10"/>
      <c r="Q99" s="11">
        <v>0</v>
      </c>
      <c r="R99" s="10"/>
      <c r="S99" s="11">
        <v>0</v>
      </c>
      <c r="T99" s="10"/>
      <c r="U99" s="11">
        <v>0</v>
      </c>
      <c r="V99">
        <f t="shared" si="1"/>
        <v>0</v>
      </c>
    </row>
    <row r="100" spans="1:22">
      <c r="A100" s="12">
        <v>157</v>
      </c>
      <c r="B100" s="12">
        <v>1</v>
      </c>
      <c r="C100" s="12" t="s">
        <v>196</v>
      </c>
      <c r="D100" s="207" t="s">
        <v>196</v>
      </c>
      <c r="E100" s="12">
        <v>0</v>
      </c>
      <c r="F100" s="12">
        <v>0</v>
      </c>
      <c r="G100" s="12">
        <v>1</v>
      </c>
      <c r="H100" s="12">
        <v>0</v>
      </c>
      <c r="I100" s="12">
        <v>0</v>
      </c>
      <c r="J100" s="10"/>
      <c r="K100" s="10" t="s">
        <v>76</v>
      </c>
      <c r="L100" s="10"/>
      <c r="M100" s="11">
        <v>0</v>
      </c>
      <c r="N100" s="10"/>
      <c r="O100" s="11">
        <v>0</v>
      </c>
      <c r="P100" s="10"/>
      <c r="Q100" s="11">
        <v>0</v>
      </c>
      <c r="R100" s="10"/>
      <c r="S100" s="11">
        <v>0</v>
      </c>
      <c r="T100" s="10"/>
      <c r="U100" s="11">
        <v>0</v>
      </c>
      <c r="V100">
        <f t="shared" si="1"/>
        <v>0</v>
      </c>
    </row>
    <row r="101" spans="1:22">
      <c r="A101" s="12">
        <v>158</v>
      </c>
      <c r="B101" s="12">
        <v>1</v>
      </c>
      <c r="C101" s="12" t="s">
        <v>197</v>
      </c>
      <c r="D101" s="12" t="s">
        <v>197</v>
      </c>
      <c r="E101" s="12">
        <v>0</v>
      </c>
      <c r="F101" s="12">
        <v>0</v>
      </c>
      <c r="G101" s="12">
        <v>1</v>
      </c>
      <c r="H101" s="12">
        <v>0</v>
      </c>
      <c r="I101" s="12">
        <v>0</v>
      </c>
      <c r="J101" s="10"/>
      <c r="K101" s="10" t="s">
        <v>76</v>
      </c>
      <c r="L101" s="10"/>
      <c r="M101" s="11">
        <v>0</v>
      </c>
      <c r="N101" s="10"/>
      <c r="O101" s="11">
        <v>0</v>
      </c>
      <c r="P101" s="10"/>
      <c r="Q101" s="11">
        <v>0</v>
      </c>
      <c r="R101" s="10"/>
      <c r="S101" s="11">
        <v>0</v>
      </c>
      <c r="T101" s="10"/>
      <c r="U101" s="11">
        <v>0</v>
      </c>
      <c r="V101">
        <f t="shared" si="1"/>
        <v>0</v>
      </c>
    </row>
    <row r="102" spans="1:22">
      <c r="A102" s="12">
        <v>159</v>
      </c>
      <c r="B102" s="12">
        <v>1</v>
      </c>
      <c r="C102" s="12" t="s">
        <v>198</v>
      </c>
      <c r="D102" s="12" t="s">
        <v>198</v>
      </c>
      <c r="E102" s="12">
        <v>0</v>
      </c>
      <c r="F102" s="12">
        <v>0</v>
      </c>
      <c r="G102" s="12">
        <v>1</v>
      </c>
      <c r="H102" s="12">
        <v>0</v>
      </c>
      <c r="I102" s="12">
        <v>0</v>
      </c>
      <c r="J102" s="10"/>
      <c r="K102" s="10" t="s">
        <v>76</v>
      </c>
      <c r="L102" s="10"/>
      <c r="M102" s="11">
        <v>0</v>
      </c>
      <c r="N102" s="10"/>
      <c r="O102" s="11">
        <v>0</v>
      </c>
      <c r="P102" s="10"/>
      <c r="Q102" s="11">
        <v>0</v>
      </c>
      <c r="R102" s="10"/>
      <c r="S102" s="11">
        <v>0</v>
      </c>
      <c r="T102" s="10"/>
      <c r="U102" s="11">
        <v>0</v>
      </c>
      <c r="V102">
        <f t="shared" si="1"/>
        <v>0</v>
      </c>
    </row>
    <row r="103" spans="1:22">
      <c r="A103" s="12">
        <v>160</v>
      </c>
      <c r="B103" s="12">
        <v>1</v>
      </c>
      <c r="C103" s="12" t="s">
        <v>199</v>
      </c>
      <c r="D103" s="12" t="s">
        <v>200</v>
      </c>
      <c r="E103" s="12">
        <v>0</v>
      </c>
      <c r="F103" s="12">
        <v>482</v>
      </c>
      <c r="G103" s="12">
        <v>1</v>
      </c>
      <c r="H103" s="12">
        <v>0</v>
      </c>
      <c r="I103" s="12">
        <v>0</v>
      </c>
      <c r="J103" s="10"/>
      <c r="K103" s="10" t="s">
        <v>76</v>
      </c>
      <c r="L103" s="10"/>
      <c r="M103" s="11">
        <v>0</v>
      </c>
      <c r="N103" s="10"/>
      <c r="O103" s="11">
        <v>0</v>
      </c>
      <c r="P103" s="10"/>
      <c r="Q103" s="11">
        <v>0</v>
      </c>
      <c r="R103" s="10"/>
      <c r="S103" s="11">
        <v>0</v>
      </c>
      <c r="T103" s="10"/>
      <c r="U103" s="11">
        <v>0</v>
      </c>
      <c r="V103">
        <f t="shared" si="1"/>
        <v>0</v>
      </c>
    </row>
    <row r="104" spans="1:22">
      <c r="A104" s="12">
        <v>161</v>
      </c>
      <c r="B104" s="12">
        <v>0</v>
      </c>
      <c r="C104" s="12" t="s">
        <v>201</v>
      </c>
      <c r="D104" s="12" t="s">
        <v>202</v>
      </c>
      <c r="E104" s="12">
        <v>0</v>
      </c>
      <c r="F104" s="12">
        <v>0</v>
      </c>
      <c r="G104" s="12">
        <v>2</v>
      </c>
      <c r="H104" s="12">
        <v>0</v>
      </c>
      <c r="I104" s="12">
        <v>0</v>
      </c>
      <c r="J104" s="10"/>
      <c r="K104" s="10" t="s">
        <v>76</v>
      </c>
      <c r="L104" s="10"/>
      <c r="M104" s="11">
        <v>0</v>
      </c>
      <c r="N104" s="10"/>
      <c r="O104" s="11">
        <v>0</v>
      </c>
      <c r="P104" s="10"/>
      <c r="Q104" s="11">
        <v>0</v>
      </c>
      <c r="R104" s="10"/>
      <c r="S104" s="11">
        <v>0</v>
      </c>
      <c r="T104" s="10"/>
      <c r="U104" s="11">
        <v>0</v>
      </c>
      <c r="V104">
        <f t="shared" si="1"/>
        <v>0</v>
      </c>
    </row>
    <row r="105" spans="1:22">
      <c r="A105" s="12">
        <v>162</v>
      </c>
      <c r="B105" s="12">
        <v>1</v>
      </c>
      <c r="C105" s="12" t="s">
        <v>203</v>
      </c>
      <c r="D105" s="12" t="s">
        <v>203</v>
      </c>
      <c r="E105" s="12">
        <v>0</v>
      </c>
      <c r="F105" s="12">
        <v>0</v>
      </c>
      <c r="G105" s="12">
        <v>1</v>
      </c>
      <c r="H105" s="12">
        <v>0</v>
      </c>
      <c r="I105" s="12">
        <v>42</v>
      </c>
      <c r="J105" s="10"/>
      <c r="K105" s="10" t="s">
        <v>76</v>
      </c>
      <c r="L105" s="10"/>
      <c r="M105" s="11">
        <v>0</v>
      </c>
      <c r="N105" s="10"/>
      <c r="O105" s="11">
        <v>0</v>
      </c>
      <c r="P105" s="10"/>
      <c r="Q105" s="11">
        <v>0</v>
      </c>
      <c r="R105" s="10"/>
      <c r="S105" s="11">
        <v>0</v>
      </c>
      <c r="T105" s="10"/>
      <c r="U105" s="11">
        <v>0</v>
      </c>
      <c r="V105">
        <f t="shared" si="1"/>
        <v>0</v>
      </c>
    </row>
    <row r="106" spans="1:22">
      <c r="A106" s="12">
        <v>163</v>
      </c>
      <c r="B106" s="12">
        <v>0</v>
      </c>
      <c r="C106" s="12" t="s">
        <v>204</v>
      </c>
      <c r="D106" s="12" t="s">
        <v>202</v>
      </c>
      <c r="E106" s="12">
        <v>0</v>
      </c>
      <c r="F106" s="12">
        <v>0</v>
      </c>
      <c r="G106" s="12">
        <v>2</v>
      </c>
      <c r="H106" s="12">
        <v>0</v>
      </c>
      <c r="I106" s="12">
        <v>0</v>
      </c>
      <c r="J106" s="10"/>
      <c r="K106" s="10" t="s">
        <v>76</v>
      </c>
      <c r="L106" s="10"/>
      <c r="M106" s="11">
        <v>0</v>
      </c>
      <c r="N106" s="10"/>
      <c r="O106" s="11">
        <v>0</v>
      </c>
      <c r="P106" s="10"/>
      <c r="Q106" s="11">
        <v>0</v>
      </c>
      <c r="R106" s="10"/>
      <c r="S106" s="11">
        <v>0</v>
      </c>
      <c r="T106" s="10"/>
      <c r="U106" s="11">
        <v>0</v>
      </c>
      <c r="V106">
        <f t="shared" si="1"/>
        <v>0</v>
      </c>
    </row>
    <row r="107" spans="1:22">
      <c r="A107" s="12">
        <v>164</v>
      </c>
      <c r="B107" s="12">
        <v>1</v>
      </c>
      <c r="C107" s="12" t="s">
        <v>205</v>
      </c>
      <c r="D107" s="12" t="s">
        <v>205</v>
      </c>
      <c r="E107" s="12">
        <v>0</v>
      </c>
      <c r="F107" s="12">
        <v>0</v>
      </c>
      <c r="G107" s="12">
        <v>1</v>
      </c>
      <c r="H107" s="12">
        <v>0</v>
      </c>
      <c r="I107" s="12">
        <v>0</v>
      </c>
      <c r="J107" s="10"/>
      <c r="K107" s="10" t="s">
        <v>76</v>
      </c>
      <c r="L107" s="10"/>
      <c r="M107" s="11">
        <v>0</v>
      </c>
      <c r="N107" s="10"/>
      <c r="O107" s="11">
        <v>0</v>
      </c>
      <c r="P107" s="10"/>
      <c r="Q107" s="11">
        <v>0</v>
      </c>
      <c r="R107" s="10"/>
      <c r="S107" s="11">
        <v>0</v>
      </c>
      <c r="T107" s="10"/>
      <c r="U107" s="11">
        <v>0</v>
      </c>
      <c r="V107">
        <f t="shared" si="1"/>
        <v>0</v>
      </c>
    </row>
    <row r="108" spans="1:22">
      <c r="A108" s="12">
        <v>165</v>
      </c>
      <c r="B108" s="12">
        <v>0</v>
      </c>
      <c r="C108" s="12" t="s">
        <v>206</v>
      </c>
      <c r="D108" s="12" t="s">
        <v>202</v>
      </c>
      <c r="E108" s="12">
        <v>0</v>
      </c>
      <c r="F108" s="12">
        <v>0</v>
      </c>
      <c r="G108" s="12">
        <v>2</v>
      </c>
      <c r="H108" s="12">
        <v>0</v>
      </c>
      <c r="I108" s="12">
        <v>0</v>
      </c>
      <c r="J108" s="10"/>
      <c r="K108" s="10" t="s">
        <v>76</v>
      </c>
      <c r="L108" s="10"/>
      <c r="M108" s="11">
        <v>0</v>
      </c>
      <c r="N108" s="10"/>
      <c r="O108" s="11">
        <v>0</v>
      </c>
      <c r="P108" s="10"/>
      <c r="Q108" s="11">
        <v>0</v>
      </c>
      <c r="R108" s="10"/>
      <c r="S108" s="11">
        <v>0</v>
      </c>
      <c r="T108" s="10"/>
      <c r="U108" s="11">
        <v>0</v>
      </c>
      <c r="V108">
        <f t="shared" si="1"/>
        <v>0</v>
      </c>
    </row>
    <row r="109" spans="1:22">
      <c r="A109" s="12">
        <v>166</v>
      </c>
      <c r="B109" s="12">
        <v>1</v>
      </c>
      <c r="C109" s="12" t="s">
        <v>207</v>
      </c>
      <c r="D109" s="12" t="s">
        <v>208</v>
      </c>
      <c r="E109" s="12">
        <v>0</v>
      </c>
      <c r="F109" s="12">
        <v>0</v>
      </c>
      <c r="G109" s="12">
        <v>1</v>
      </c>
      <c r="H109" s="12">
        <v>0</v>
      </c>
      <c r="I109" s="12">
        <v>0</v>
      </c>
      <c r="J109" s="10"/>
      <c r="K109" s="10" t="s">
        <v>76</v>
      </c>
      <c r="L109" s="10"/>
      <c r="M109" s="11">
        <v>0</v>
      </c>
      <c r="N109" s="10"/>
      <c r="O109" s="11">
        <v>0</v>
      </c>
      <c r="P109" s="10"/>
      <c r="Q109" s="11">
        <v>0</v>
      </c>
      <c r="R109" s="10"/>
      <c r="S109" s="11">
        <v>0</v>
      </c>
      <c r="T109" s="10"/>
      <c r="U109" s="11">
        <v>0</v>
      </c>
      <c r="V109">
        <f t="shared" si="1"/>
        <v>0</v>
      </c>
    </row>
    <row r="110" spans="1:22">
      <c r="A110" s="12">
        <v>167</v>
      </c>
      <c r="B110" s="12">
        <v>1</v>
      </c>
      <c r="C110" s="12" t="s">
        <v>15</v>
      </c>
      <c r="D110" s="12" t="s">
        <v>15</v>
      </c>
      <c r="E110" s="12">
        <v>0</v>
      </c>
      <c r="F110" s="12">
        <v>0</v>
      </c>
      <c r="G110" s="12">
        <v>1</v>
      </c>
      <c r="H110" s="12">
        <v>0</v>
      </c>
      <c r="I110" s="12">
        <v>0</v>
      </c>
      <c r="J110" s="10"/>
      <c r="K110" s="10" t="s">
        <v>76</v>
      </c>
      <c r="L110" s="10"/>
      <c r="M110" s="11">
        <v>0</v>
      </c>
      <c r="N110" s="10"/>
      <c r="O110" s="11">
        <v>0</v>
      </c>
      <c r="P110" s="10"/>
      <c r="Q110" s="11">
        <v>0</v>
      </c>
      <c r="R110" s="10"/>
      <c r="S110" s="11">
        <v>0</v>
      </c>
      <c r="T110" s="10"/>
      <c r="U110" s="11">
        <v>0</v>
      </c>
      <c r="V110">
        <f t="shared" si="1"/>
        <v>0</v>
      </c>
    </row>
    <row r="111" spans="1:22">
      <c r="A111" s="12">
        <v>168</v>
      </c>
      <c r="B111" s="12">
        <v>1</v>
      </c>
      <c r="C111" s="12" t="s">
        <v>209</v>
      </c>
      <c r="D111" s="12" t="s">
        <v>209</v>
      </c>
      <c r="E111" s="12">
        <v>0</v>
      </c>
      <c r="F111" s="12">
        <v>0</v>
      </c>
      <c r="G111" s="12">
        <v>1</v>
      </c>
      <c r="H111" s="12">
        <v>0</v>
      </c>
      <c r="I111" s="12">
        <v>42</v>
      </c>
      <c r="J111" s="10"/>
      <c r="K111" s="10" t="s">
        <v>76</v>
      </c>
      <c r="L111" s="10"/>
      <c r="M111" s="11">
        <v>0</v>
      </c>
      <c r="N111" s="10"/>
      <c r="O111" s="11">
        <v>0</v>
      </c>
      <c r="P111" s="10"/>
      <c r="Q111" s="11">
        <v>0</v>
      </c>
      <c r="R111" s="10"/>
      <c r="S111" s="11">
        <v>0</v>
      </c>
      <c r="T111" s="10"/>
      <c r="U111" s="11">
        <v>0</v>
      </c>
      <c r="V111">
        <f t="shared" si="1"/>
        <v>0</v>
      </c>
    </row>
    <row r="112" spans="1:22">
      <c r="A112" s="12">
        <v>169</v>
      </c>
      <c r="B112" s="12">
        <v>1</v>
      </c>
      <c r="C112" s="12" t="s">
        <v>210</v>
      </c>
      <c r="D112" s="12" t="s">
        <v>211</v>
      </c>
      <c r="E112" s="12">
        <v>0</v>
      </c>
      <c r="F112" s="12">
        <v>0</v>
      </c>
      <c r="G112" s="12">
        <v>1</v>
      </c>
      <c r="H112" s="12">
        <v>1</v>
      </c>
      <c r="I112" s="12">
        <v>0</v>
      </c>
      <c r="J112" s="10"/>
      <c r="K112" s="10" t="s">
        <v>76</v>
      </c>
      <c r="L112" s="10"/>
      <c r="M112" s="11">
        <v>0</v>
      </c>
      <c r="N112" s="10"/>
      <c r="O112" s="11">
        <v>0</v>
      </c>
      <c r="P112" s="10"/>
      <c r="Q112" s="11">
        <v>0</v>
      </c>
      <c r="R112" s="10"/>
      <c r="S112" s="11">
        <v>0</v>
      </c>
      <c r="T112" s="10"/>
      <c r="U112" s="11">
        <v>0</v>
      </c>
      <c r="V112">
        <f t="shared" si="1"/>
        <v>0</v>
      </c>
    </row>
    <row r="113" spans="1:22">
      <c r="A113" s="12">
        <v>170</v>
      </c>
      <c r="B113" s="12">
        <v>0</v>
      </c>
      <c r="C113" s="12" t="s">
        <v>212</v>
      </c>
      <c r="D113" s="12" t="s">
        <v>202</v>
      </c>
      <c r="E113" s="12">
        <v>0</v>
      </c>
      <c r="F113" s="12">
        <v>0</v>
      </c>
      <c r="G113" s="12">
        <v>2</v>
      </c>
      <c r="H113" s="12">
        <v>0</v>
      </c>
      <c r="I113" s="12">
        <v>0</v>
      </c>
      <c r="J113" s="10"/>
      <c r="K113" s="10" t="s">
        <v>76</v>
      </c>
      <c r="L113" s="10"/>
      <c r="M113" s="11">
        <v>0</v>
      </c>
      <c r="N113" s="10"/>
      <c r="O113" s="11">
        <v>0</v>
      </c>
      <c r="P113" s="10"/>
      <c r="Q113" s="11">
        <v>0</v>
      </c>
      <c r="R113" s="10"/>
      <c r="S113" s="11">
        <v>0</v>
      </c>
      <c r="T113" s="10"/>
      <c r="U113" s="11">
        <v>0</v>
      </c>
      <c r="V113">
        <f t="shared" si="1"/>
        <v>0</v>
      </c>
    </row>
    <row r="114" spans="1:22">
      <c r="A114" s="12">
        <v>171</v>
      </c>
      <c r="B114" s="12">
        <v>1</v>
      </c>
      <c r="C114" s="12" t="s">
        <v>3</v>
      </c>
      <c r="D114" s="12" t="s">
        <v>213</v>
      </c>
      <c r="E114" s="12">
        <v>0</v>
      </c>
      <c r="F114" s="12">
        <v>0</v>
      </c>
      <c r="G114" s="12">
        <v>1</v>
      </c>
      <c r="H114" s="12">
        <v>2</v>
      </c>
      <c r="I114" s="12">
        <v>0</v>
      </c>
      <c r="J114" s="10"/>
      <c r="K114" s="10" t="s">
        <v>76</v>
      </c>
      <c r="L114" s="10" t="s">
        <v>68</v>
      </c>
      <c r="M114" s="11">
        <v>1</v>
      </c>
      <c r="N114" s="10" t="s">
        <v>109</v>
      </c>
      <c r="O114" s="11">
        <v>1</v>
      </c>
      <c r="P114" s="10" t="s">
        <v>77</v>
      </c>
      <c r="Q114" s="11">
        <v>0</v>
      </c>
      <c r="R114" s="10"/>
      <c r="S114" s="11">
        <v>0</v>
      </c>
      <c r="T114" s="10"/>
      <c r="U114" s="11">
        <v>0</v>
      </c>
      <c r="V114">
        <f t="shared" si="1"/>
        <v>0</v>
      </c>
    </row>
    <row r="115" spans="1:22">
      <c r="A115" s="12">
        <v>172</v>
      </c>
      <c r="B115" s="12">
        <v>0</v>
      </c>
      <c r="C115" s="12" t="s">
        <v>214</v>
      </c>
      <c r="D115" s="12" t="s">
        <v>202</v>
      </c>
      <c r="E115" s="12">
        <v>0</v>
      </c>
      <c r="F115" s="12">
        <v>0</v>
      </c>
      <c r="G115" s="12">
        <v>2</v>
      </c>
      <c r="H115" s="12">
        <v>0</v>
      </c>
      <c r="I115" s="12">
        <v>0</v>
      </c>
      <c r="J115" s="10"/>
      <c r="K115" s="10" t="s">
        <v>76</v>
      </c>
      <c r="L115" s="10"/>
      <c r="M115" s="11">
        <v>0</v>
      </c>
      <c r="N115" s="10"/>
      <c r="O115" s="11">
        <v>0</v>
      </c>
      <c r="P115" s="10"/>
      <c r="Q115" s="11">
        <v>0</v>
      </c>
      <c r="R115" s="10"/>
      <c r="S115" s="11">
        <v>0</v>
      </c>
      <c r="T115" s="10"/>
      <c r="U115" s="11">
        <v>0</v>
      </c>
      <c r="V115">
        <f t="shared" si="1"/>
        <v>0</v>
      </c>
    </row>
    <row r="116" spans="1:22">
      <c r="A116" s="12">
        <v>173</v>
      </c>
      <c r="B116" s="12">
        <v>1</v>
      </c>
      <c r="C116" s="12" t="s">
        <v>215</v>
      </c>
      <c r="D116" s="12" t="s">
        <v>216</v>
      </c>
      <c r="E116" s="12">
        <v>0</v>
      </c>
      <c r="F116" s="12">
        <v>0</v>
      </c>
      <c r="G116" s="12">
        <v>1</v>
      </c>
      <c r="H116" s="12">
        <v>0</v>
      </c>
      <c r="I116" s="12">
        <v>0</v>
      </c>
      <c r="J116" s="10"/>
      <c r="K116" s="10" t="s">
        <v>76</v>
      </c>
      <c r="L116" s="10"/>
      <c r="M116" s="11">
        <v>0</v>
      </c>
      <c r="N116" s="10"/>
      <c r="O116" s="11">
        <v>0</v>
      </c>
      <c r="P116" s="10"/>
      <c r="Q116" s="11">
        <v>0</v>
      </c>
      <c r="R116" s="10"/>
      <c r="S116" s="11">
        <v>0</v>
      </c>
      <c r="T116" s="10"/>
      <c r="U116" s="11">
        <v>0</v>
      </c>
      <c r="V116">
        <f t="shared" si="1"/>
        <v>0</v>
      </c>
    </row>
    <row r="117" spans="1:22">
      <c r="A117" s="12">
        <v>174</v>
      </c>
      <c r="B117" s="12">
        <v>0</v>
      </c>
      <c r="C117" s="12" t="s">
        <v>217</v>
      </c>
      <c r="D117" s="12" t="s">
        <v>202</v>
      </c>
      <c r="E117" s="12">
        <v>0</v>
      </c>
      <c r="F117" s="12">
        <v>0</v>
      </c>
      <c r="G117" s="12">
        <v>2</v>
      </c>
      <c r="H117" s="12">
        <v>0</v>
      </c>
      <c r="I117" s="12">
        <v>0</v>
      </c>
      <c r="J117" s="10"/>
      <c r="K117" s="10" t="s">
        <v>76</v>
      </c>
      <c r="L117" s="10"/>
      <c r="M117" s="11">
        <v>0</v>
      </c>
      <c r="N117" s="10"/>
      <c r="O117" s="11">
        <v>0</v>
      </c>
      <c r="P117" s="10"/>
      <c r="Q117" s="11">
        <v>0</v>
      </c>
      <c r="R117" s="10"/>
      <c r="S117" s="11">
        <v>0</v>
      </c>
      <c r="T117" s="10"/>
      <c r="U117" s="11">
        <v>0</v>
      </c>
      <c r="V117">
        <f t="shared" si="1"/>
        <v>0</v>
      </c>
    </row>
    <row r="118" spans="1:22">
      <c r="A118" s="12">
        <v>175</v>
      </c>
      <c r="B118" s="12">
        <v>1</v>
      </c>
      <c r="C118" s="12" t="s">
        <v>218</v>
      </c>
      <c r="D118" s="12" t="s">
        <v>219</v>
      </c>
      <c r="E118" s="12">
        <v>0</v>
      </c>
      <c r="F118" s="12">
        <v>191</v>
      </c>
      <c r="G118" s="12">
        <v>1</v>
      </c>
      <c r="H118" s="12">
        <v>2</v>
      </c>
      <c r="I118" s="12">
        <v>0</v>
      </c>
      <c r="J118" s="10"/>
      <c r="K118" s="10" t="s">
        <v>76</v>
      </c>
      <c r="L118" s="10" t="s">
        <v>219</v>
      </c>
      <c r="M118" s="11">
        <v>0</v>
      </c>
      <c r="N118" s="10" t="s">
        <v>77</v>
      </c>
      <c r="O118" s="11">
        <v>0</v>
      </c>
      <c r="P118" s="10"/>
      <c r="Q118" s="11">
        <v>0</v>
      </c>
      <c r="R118" s="10"/>
      <c r="S118" s="11">
        <v>0</v>
      </c>
      <c r="T118" s="10"/>
      <c r="U118" s="11">
        <v>0</v>
      </c>
      <c r="V118">
        <f t="shared" si="1"/>
        <v>0</v>
      </c>
    </row>
    <row r="119" spans="1:22">
      <c r="A119" s="12">
        <v>176</v>
      </c>
      <c r="B119" s="12">
        <v>1</v>
      </c>
      <c r="C119" s="12" t="s">
        <v>220</v>
      </c>
      <c r="D119" s="12" t="s">
        <v>221</v>
      </c>
      <c r="E119" s="12">
        <v>0</v>
      </c>
      <c r="F119" s="12">
        <v>0</v>
      </c>
      <c r="G119" s="12">
        <v>2</v>
      </c>
      <c r="H119" s="12">
        <v>0</v>
      </c>
      <c r="I119" s="12">
        <v>0</v>
      </c>
      <c r="J119" s="10"/>
      <c r="K119" s="10" t="s">
        <v>76</v>
      </c>
      <c r="L119" s="10"/>
      <c r="M119" s="11">
        <v>0</v>
      </c>
      <c r="N119" s="10"/>
      <c r="O119" s="11">
        <v>0</v>
      </c>
      <c r="P119" s="10"/>
      <c r="Q119" s="11">
        <v>0</v>
      </c>
      <c r="R119" s="10"/>
      <c r="S119" s="11">
        <v>0</v>
      </c>
      <c r="T119" s="10"/>
      <c r="U119" s="11">
        <v>0</v>
      </c>
      <c r="V119">
        <f t="shared" si="1"/>
        <v>0</v>
      </c>
    </row>
    <row r="120" spans="1:22">
      <c r="A120" s="12">
        <v>177</v>
      </c>
      <c r="B120" s="12">
        <v>0</v>
      </c>
      <c r="C120" s="12" t="s">
        <v>222</v>
      </c>
      <c r="D120" s="12" t="s">
        <v>221</v>
      </c>
      <c r="E120" s="12">
        <v>0</v>
      </c>
      <c r="F120" s="12">
        <v>0</v>
      </c>
      <c r="G120" s="12">
        <v>2</v>
      </c>
      <c r="H120" s="12">
        <v>0</v>
      </c>
      <c r="I120" s="12">
        <v>0</v>
      </c>
      <c r="J120" s="10"/>
      <c r="K120" s="10" t="s">
        <v>76</v>
      </c>
      <c r="L120" s="10"/>
      <c r="M120" s="11">
        <v>0</v>
      </c>
      <c r="N120" s="10"/>
      <c r="O120" s="11">
        <v>0</v>
      </c>
      <c r="P120" s="10"/>
      <c r="Q120" s="11">
        <v>0</v>
      </c>
      <c r="R120" s="10"/>
      <c r="S120" s="11">
        <v>0</v>
      </c>
      <c r="T120" s="10"/>
      <c r="U120" s="11">
        <v>0</v>
      </c>
      <c r="V120">
        <f t="shared" si="1"/>
        <v>0</v>
      </c>
    </row>
    <row r="121" spans="1:22">
      <c r="A121" s="12">
        <v>178</v>
      </c>
      <c r="B121" s="12">
        <v>0</v>
      </c>
      <c r="C121" s="12" t="s">
        <v>223</v>
      </c>
      <c r="D121" s="12" t="s">
        <v>221</v>
      </c>
      <c r="E121" s="12">
        <v>0</v>
      </c>
      <c r="F121" s="12">
        <v>0</v>
      </c>
      <c r="G121" s="12">
        <v>2</v>
      </c>
      <c r="H121" s="12">
        <v>0</v>
      </c>
      <c r="I121" s="12">
        <v>0</v>
      </c>
      <c r="J121" s="10"/>
      <c r="K121" s="10" t="s">
        <v>76</v>
      </c>
      <c r="L121" s="10"/>
      <c r="M121" s="11">
        <v>0</v>
      </c>
      <c r="N121" s="10"/>
      <c r="O121" s="11">
        <v>0</v>
      </c>
      <c r="P121" s="10"/>
      <c r="Q121" s="11">
        <v>0</v>
      </c>
      <c r="R121" s="10"/>
      <c r="S121" s="11">
        <v>0</v>
      </c>
      <c r="T121" s="10"/>
      <c r="U121" s="11">
        <v>0</v>
      </c>
      <c r="V121">
        <f t="shared" si="1"/>
        <v>0</v>
      </c>
    </row>
    <row r="122" spans="1:22">
      <c r="A122" s="12">
        <v>179</v>
      </c>
      <c r="B122" s="12">
        <v>0</v>
      </c>
      <c r="C122" s="12" t="s">
        <v>224</v>
      </c>
      <c r="D122" s="12" t="s">
        <v>221</v>
      </c>
      <c r="E122" s="12">
        <v>0</v>
      </c>
      <c r="F122" s="12">
        <v>0</v>
      </c>
      <c r="G122" s="12">
        <v>2</v>
      </c>
      <c r="H122" s="12">
        <v>0</v>
      </c>
      <c r="I122" s="12">
        <v>0</v>
      </c>
      <c r="J122" s="10"/>
      <c r="K122" s="10" t="s">
        <v>76</v>
      </c>
      <c r="L122" s="10"/>
      <c r="M122" s="11">
        <v>0</v>
      </c>
      <c r="N122" s="10"/>
      <c r="O122" s="11">
        <v>0</v>
      </c>
      <c r="P122" s="10"/>
      <c r="Q122" s="11">
        <v>0</v>
      </c>
      <c r="R122" s="10"/>
      <c r="S122" s="11">
        <v>0</v>
      </c>
      <c r="T122" s="10"/>
      <c r="U122" s="11">
        <v>0</v>
      </c>
      <c r="V122">
        <f t="shared" si="1"/>
        <v>0</v>
      </c>
    </row>
    <row r="123" spans="1:22">
      <c r="A123" s="12">
        <v>180</v>
      </c>
      <c r="B123" s="12">
        <v>0</v>
      </c>
      <c r="C123" s="12" t="s">
        <v>225</v>
      </c>
      <c r="D123" s="12" t="s">
        <v>221</v>
      </c>
      <c r="E123" s="12">
        <v>0</v>
      </c>
      <c r="F123" s="12">
        <v>0</v>
      </c>
      <c r="G123" s="12">
        <v>2</v>
      </c>
      <c r="H123" s="12">
        <v>0</v>
      </c>
      <c r="I123" s="12">
        <v>0</v>
      </c>
      <c r="J123" s="10"/>
      <c r="K123" s="10" t="s">
        <v>76</v>
      </c>
      <c r="L123" s="10"/>
      <c r="M123" s="11">
        <v>0</v>
      </c>
      <c r="N123" s="10"/>
      <c r="O123" s="11">
        <v>0</v>
      </c>
      <c r="P123" s="10"/>
      <c r="Q123" s="11">
        <v>0</v>
      </c>
      <c r="R123" s="10"/>
      <c r="S123" s="11">
        <v>0</v>
      </c>
      <c r="T123" s="10"/>
      <c r="U123" s="11">
        <v>0</v>
      </c>
      <c r="V123">
        <f t="shared" si="1"/>
        <v>0</v>
      </c>
    </row>
    <row r="124" spans="1:22">
      <c r="A124" s="12">
        <v>181</v>
      </c>
      <c r="B124" s="12">
        <v>0</v>
      </c>
      <c r="C124" s="12" t="s">
        <v>226</v>
      </c>
      <c r="D124" s="12" t="s">
        <v>221</v>
      </c>
      <c r="E124" s="12">
        <v>0</v>
      </c>
      <c r="F124" s="12">
        <v>0</v>
      </c>
      <c r="G124" s="12">
        <v>2</v>
      </c>
      <c r="H124" s="12">
        <v>0</v>
      </c>
      <c r="I124" s="12">
        <v>0</v>
      </c>
      <c r="J124" s="10"/>
      <c r="K124" s="10" t="s">
        <v>76</v>
      </c>
      <c r="L124" s="10"/>
      <c r="M124" s="11">
        <v>0</v>
      </c>
      <c r="N124" s="10"/>
      <c r="O124" s="11">
        <v>0</v>
      </c>
      <c r="P124" s="10"/>
      <c r="Q124" s="11">
        <v>0</v>
      </c>
      <c r="R124" s="10"/>
      <c r="S124" s="11">
        <v>0</v>
      </c>
      <c r="T124" s="10"/>
      <c r="U124" s="11">
        <v>0</v>
      </c>
      <c r="V124">
        <f t="shared" si="1"/>
        <v>0</v>
      </c>
    </row>
    <row r="125" spans="1:22">
      <c r="A125" s="12">
        <v>182</v>
      </c>
      <c r="B125" s="12">
        <v>0</v>
      </c>
      <c r="C125" s="12" t="s">
        <v>227</v>
      </c>
      <c r="D125" s="12" t="s">
        <v>221</v>
      </c>
      <c r="E125" s="12">
        <v>0</v>
      </c>
      <c r="F125" s="12">
        <v>0</v>
      </c>
      <c r="G125" s="12">
        <v>2</v>
      </c>
      <c r="H125" s="12">
        <v>0</v>
      </c>
      <c r="I125" s="12">
        <v>0</v>
      </c>
      <c r="J125" s="10"/>
      <c r="K125" s="10" t="s">
        <v>76</v>
      </c>
      <c r="L125" s="10"/>
      <c r="M125" s="11">
        <v>0</v>
      </c>
      <c r="N125" s="10"/>
      <c r="O125" s="11">
        <v>0</v>
      </c>
      <c r="P125" s="10"/>
      <c r="Q125" s="11">
        <v>0</v>
      </c>
      <c r="R125" s="10"/>
      <c r="S125" s="11">
        <v>0</v>
      </c>
      <c r="T125" s="10"/>
      <c r="U125" s="11">
        <v>0</v>
      </c>
      <c r="V125">
        <f t="shared" si="1"/>
        <v>0</v>
      </c>
    </row>
    <row r="126" spans="1:22">
      <c r="A126" s="12">
        <v>183</v>
      </c>
      <c r="B126" s="12">
        <v>0</v>
      </c>
      <c r="C126" s="12" t="s">
        <v>228</v>
      </c>
      <c r="D126" s="12" t="s">
        <v>221</v>
      </c>
      <c r="E126" s="12">
        <v>0</v>
      </c>
      <c r="F126" s="12">
        <v>0</v>
      </c>
      <c r="G126" s="12">
        <v>2</v>
      </c>
      <c r="H126" s="12">
        <v>0</v>
      </c>
      <c r="I126" s="12">
        <v>0</v>
      </c>
      <c r="J126" s="10"/>
      <c r="K126" s="10" t="s">
        <v>76</v>
      </c>
      <c r="L126" s="10"/>
      <c r="M126" s="11">
        <v>0</v>
      </c>
      <c r="N126" s="10"/>
      <c r="O126" s="11">
        <v>0</v>
      </c>
      <c r="P126" s="10"/>
      <c r="Q126" s="11">
        <v>0</v>
      </c>
      <c r="R126" s="10"/>
      <c r="S126" s="11">
        <v>0</v>
      </c>
      <c r="T126" s="10"/>
      <c r="U126" s="11">
        <v>0</v>
      </c>
      <c r="V126">
        <f t="shared" si="1"/>
        <v>0</v>
      </c>
    </row>
    <row r="127" spans="1:22">
      <c r="A127" s="12">
        <v>184</v>
      </c>
      <c r="B127" s="12">
        <v>0</v>
      </c>
      <c r="C127" s="12" t="s">
        <v>229</v>
      </c>
      <c r="D127" s="12" t="s">
        <v>221</v>
      </c>
      <c r="E127" s="12">
        <v>0</v>
      </c>
      <c r="F127" s="12">
        <v>0</v>
      </c>
      <c r="G127" s="12">
        <v>2</v>
      </c>
      <c r="H127" s="12">
        <v>0</v>
      </c>
      <c r="I127" s="12">
        <v>0</v>
      </c>
      <c r="J127" s="10"/>
      <c r="K127" s="10" t="s">
        <v>76</v>
      </c>
      <c r="L127" s="10"/>
      <c r="M127" s="11">
        <v>0</v>
      </c>
      <c r="N127" s="10"/>
      <c r="O127" s="11">
        <v>0</v>
      </c>
      <c r="P127" s="10"/>
      <c r="Q127" s="11">
        <v>0</v>
      </c>
      <c r="R127" s="10"/>
      <c r="S127" s="11">
        <v>0</v>
      </c>
      <c r="T127" s="10"/>
      <c r="U127" s="11">
        <v>0</v>
      </c>
      <c r="V127">
        <f t="shared" si="1"/>
        <v>0</v>
      </c>
    </row>
    <row r="128" spans="1:22">
      <c r="A128" s="12">
        <v>185</v>
      </c>
      <c r="B128" s="12">
        <v>0</v>
      </c>
      <c r="C128" s="12" t="s">
        <v>230</v>
      </c>
      <c r="D128" s="12" t="s">
        <v>221</v>
      </c>
      <c r="E128" s="12">
        <v>0</v>
      </c>
      <c r="F128" s="12">
        <v>0</v>
      </c>
      <c r="G128" s="12">
        <v>2</v>
      </c>
      <c r="H128" s="12">
        <v>0</v>
      </c>
      <c r="I128" s="12">
        <v>0</v>
      </c>
      <c r="J128" s="10"/>
      <c r="K128" s="10" t="s">
        <v>76</v>
      </c>
      <c r="L128" s="10"/>
      <c r="M128" s="11">
        <v>0</v>
      </c>
      <c r="N128" s="10"/>
      <c r="O128" s="11">
        <v>0</v>
      </c>
      <c r="P128" s="10"/>
      <c r="Q128" s="11">
        <v>0</v>
      </c>
      <c r="R128" s="10"/>
      <c r="S128" s="11">
        <v>0</v>
      </c>
      <c r="T128" s="10"/>
      <c r="U128" s="11">
        <v>0</v>
      </c>
      <c r="V128">
        <f t="shared" si="1"/>
        <v>0</v>
      </c>
    </row>
    <row r="129" spans="1:22">
      <c r="A129" s="12">
        <v>186</v>
      </c>
      <c r="B129" s="12">
        <v>0</v>
      </c>
      <c r="C129" s="12" t="s">
        <v>231</v>
      </c>
      <c r="D129" s="12" t="s">
        <v>221</v>
      </c>
      <c r="E129" s="12">
        <v>0</v>
      </c>
      <c r="F129" s="12">
        <v>0</v>
      </c>
      <c r="G129" s="12">
        <v>2</v>
      </c>
      <c r="H129" s="12">
        <v>0</v>
      </c>
      <c r="I129" s="12">
        <v>0</v>
      </c>
      <c r="J129" s="10"/>
      <c r="K129" s="10" t="s">
        <v>76</v>
      </c>
      <c r="L129" s="10"/>
      <c r="M129" s="11">
        <v>0</v>
      </c>
      <c r="N129" s="10"/>
      <c r="O129" s="11">
        <v>0</v>
      </c>
      <c r="P129" s="10"/>
      <c r="Q129" s="11">
        <v>0</v>
      </c>
      <c r="R129" s="10"/>
      <c r="S129" s="11">
        <v>0</v>
      </c>
      <c r="T129" s="10"/>
      <c r="U129" s="11">
        <v>0</v>
      </c>
      <c r="V129">
        <f t="shared" si="1"/>
        <v>0</v>
      </c>
    </row>
    <row r="130" spans="1:22">
      <c r="A130" s="12">
        <v>187</v>
      </c>
      <c r="B130" s="12">
        <v>1</v>
      </c>
      <c r="C130" s="12" t="s">
        <v>232</v>
      </c>
      <c r="D130" s="12" t="s">
        <v>233</v>
      </c>
      <c r="E130" s="12">
        <v>0</v>
      </c>
      <c r="F130" s="12">
        <v>0</v>
      </c>
      <c r="G130" s="12">
        <v>1</v>
      </c>
      <c r="H130" s="12">
        <v>0</v>
      </c>
      <c r="I130" s="12">
        <v>0</v>
      </c>
      <c r="J130" s="10"/>
      <c r="K130" s="10" t="s">
        <v>76</v>
      </c>
      <c r="L130" s="10"/>
      <c r="M130" s="11">
        <v>0</v>
      </c>
      <c r="N130" s="10"/>
      <c r="O130" s="11">
        <v>0</v>
      </c>
      <c r="P130" s="10"/>
      <c r="Q130" s="11">
        <v>0</v>
      </c>
      <c r="R130" s="10"/>
      <c r="S130" s="11">
        <v>0</v>
      </c>
      <c r="T130" s="10"/>
      <c r="U130" s="11">
        <v>0</v>
      </c>
      <c r="V130">
        <f t="shared" ref="V130:V193" si="2">IF(OR(COUNTIF(D130,"*赤*"),COUNTIF(D130,"*キャラ*")),100,0)</f>
        <v>0</v>
      </c>
    </row>
    <row r="131" spans="1:22">
      <c r="A131" s="12">
        <v>188</v>
      </c>
      <c r="B131" s="12">
        <v>1</v>
      </c>
      <c r="C131" s="12" t="s">
        <v>234</v>
      </c>
      <c r="D131" s="12" t="s">
        <v>235</v>
      </c>
      <c r="E131" s="12">
        <v>0</v>
      </c>
      <c r="F131" s="12">
        <v>0</v>
      </c>
      <c r="G131" s="12">
        <v>1</v>
      </c>
      <c r="H131" s="12">
        <v>0</v>
      </c>
      <c r="I131" s="12">
        <v>0</v>
      </c>
      <c r="J131" s="10"/>
      <c r="K131" s="10" t="s">
        <v>76</v>
      </c>
      <c r="L131" s="10"/>
      <c r="M131" s="11">
        <v>0</v>
      </c>
      <c r="N131" s="10"/>
      <c r="O131" s="11">
        <v>0</v>
      </c>
      <c r="P131" s="10"/>
      <c r="Q131" s="11">
        <v>0</v>
      </c>
      <c r="R131" s="10"/>
      <c r="S131" s="11">
        <v>0</v>
      </c>
      <c r="T131" s="10"/>
      <c r="U131" s="11">
        <v>0</v>
      </c>
      <c r="V131">
        <f t="shared" si="2"/>
        <v>0</v>
      </c>
    </row>
    <row r="132" spans="1:22">
      <c r="A132" s="12">
        <v>189</v>
      </c>
      <c r="B132" s="12">
        <v>0</v>
      </c>
      <c r="C132" s="12" t="s">
        <v>236</v>
      </c>
      <c r="D132" s="12" t="s">
        <v>221</v>
      </c>
      <c r="E132" s="12">
        <v>0</v>
      </c>
      <c r="F132" s="12">
        <v>0</v>
      </c>
      <c r="G132" s="12">
        <v>2</v>
      </c>
      <c r="H132" s="12">
        <v>0</v>
      </c>
      <c r="I132" s="12">
        <v>0</v>
      </c>
      <c r="J132" s="10"/>
      <c r="K132" s="10" t="s">
        <v>76</v>
      </c>
      <c r="L132" s="10"/>
      <c r="M132" s="11">
        <v>0</v>
      </c>
      <c r="N132" s="10"/>
      <c r="O132" s="11">
        <v>0</v>
      </c>
      <c r="P132" s="10"/>
      <c r="Q132" s="11">
        <v>0</v>
      </c>
      <c r="R132" s="10"/>
      <c r="S132" s="11">
        <v>0</v>
      </c>
      <c r="T132" s="10"/>
      <c r="U132" s="11">
        <v>0</v>
      </c>
      <c r="V132">
        <f t="shared" si="2"/>
        <v>0</v>
      </c>
    </row>
    <row r="133" spans="1:22">
      <c r="A133" s="12">
        <v>190</v>
      </c>
      <c r="B133" s="12">
        <v>0</v>
      </c>
      <c r="C133" s="12" t="s">
        <v>237</v>
      </c>
      <c r="D133" s="12" t="s">
        <v>221</v>
      </c>
      <c r="E133" s="12">
        <v>0</v>
      </c>
      <c r="F133" s="12">
        <v>0</v>
      </c>
      <c r="G133" s="12">
        <v>2</v>
      </c>
      <c r="H133" s="12">
        <v>0</v>
      </c>
      <c r="I133" s="12">
        <v>0</v>
      </c>
      <c r="J133" s="10"/>
      <c r="K133" s="10" t="s">
        <v>76</v>
      </c>
      <c r="L133" s="10"/>
      <c r="M133" s="11">
        <v>0</v>
      </c>
      <c r="N133" s="10"/>
      <c r="O133" s="11">
        <v>0</v>
      </c>
      <c r="P133" s="10"/>
      <c r="Q133" s="11">
        <v>0</v>
      </c>
      <c r="R133" s="10"/>
      <c r="S133" s="11">
        <v>0</v>
      </c>
      <c r="T133" s="10"/>
      <c r="U133" s="11">
        <v>0</v>
      </c>
      <c r="V133">
        <f t="shared" si="2"/>
        <v>0</v>
      </c>
    </row>
    <row r="134" spans="1:22">
      <c r="A134" s="12">
        <v>191</v>
      </c>
      <c r="B134" s="12">
        <v>0</v>
      </c>
      <c r="C134" s="12" t="s">
        <v>238</v>
      </c>
      <c r="D134" s="207" t="s">
        <v>219</v>
      </c>
      <c r="E134" s="12">
        <v>0</v>
      </c>
      <c r="F134" s="12">
        <v>0</v>
      </c>
      <c r="G134" s="12">
        <v>1</v>
      </c>
      <c r="H134" s="12">
        <v>0</v>
      </c>
      <c r="I134" s="12">
        <v>0</v>
      </c>
      <c r="J134" s="10"/>
      <c r="K134" s="10" t="s">
        <v>76</v>
      </c>
      <c r="L134" s="10"/>
      <c r="M134" s="11">
        <v>0</v>
      </c>
      <c r="N134" s="10"/>
      <c r="O134" s="11">
        <v>0</v>
      </c>
      <c r="P134" s="10"/>
      <c r="Q134" s="11">
        <v>0</v>
      </c>
      <c r="R134" s="10"/>
      <c r="S134" s="11">
        <v>0</v>
      </c>
      <c r="T134" s="10"/>
      <c r="U134" s="11">
        <v>0</v>
      </c>
      <c r="V134">
        <f t="shared" si="2"/>
        <v>0</v>
      </c>
    </row>
    <row r="135" spans="1:22">
      <c r="A135" s="12">
        <v>193</v>
      </c>
      <c r="B135" s="12">
        <v>1</v>
      </c>
      <c r="C135" s="12" t="s">
        <v>239</v>
      </c>
      <c r="D135" s="12" t="s">
        <v>239</v>
      </c>
      <c r="E135" s="12">
        <v>0</v>
      </c>
      <c r="F135" s="12">
        <v>0</v>
      </c>
      <c r="G135" s="12">
        <v>0</v>
      </c>
      <c r="H135" s="12">
        <v>0</v>
      </c>
      <c r="I135" s="12">
        <v>0</v>
      </c>
      <c r="J135" s="10"/>
      <c r="K135" s="10" t="s">
        <v>76</v>
      </c>
      <c r="L135" s="10"/>
      <c r="M135" s="11">
        <v>0</v>
      </c>
      <c r="N135" s="10"/>
      <c r="O135" s="11">
        <v>0</v>
      </c>
      <c r="P135" s="10"/>
      <c r="Q135" s="11">
        <v>0</v>
      </c>
      <c r="R135" s="10"/>
      <c r="S135" s="11">
        <v>0</v>
      </c>
      <c r="T135" s="10"/>
      <c r="U135" s="11">
        <v>0</v>
      </c>
      <c r="V135">
        <f t="shared" si="2"/>
        <v>0</v>
      </c>
    </row>
    <row r="136" spans="1:22">
      <c r="A136" s="12">
        <v>194</v>
      </c>
      <c r="B136" s="12">
        <v>1</v>
      </c>
      <c r="C136" s="12" t="s">
        <v>240</v>
      </c>
      <c r="D136" s="12" t="s">
        <v>240</v>
      </c>
      <c r="E136" s="12">
        <v>0</v>
      </c>
      <c r="F136" s="12">
        <v>194</v>
      </c>
      <c r="G136" s="12">
        <v>0</v>
      </c>
      <c r="H136" s="12">
        <v>0</v>
      </c>
      <c r="I136" s="12">
        <v>0</v>
      </c>
      <c r="J136" s="10"/>
      <c r="K136" s="10" t="s">
        <v>76</v>
      </c>
      <c r="L136" s="10"/>
      <c r="M136" s="11">
        <v>0</v>
      </c>
      <c r="N136" s="10"/>
      <c r="O136" s="11">
        <v>0</v>
      </c>
      <c r="P136" s="10"/>
      <c r="Q136" s="11">
        <v>0</v>
      </c>
      <c r="R136" s="10"/>
      <c r="S136" s="11">
        <v>0</v>
      </c>
      <c r="T136" s="10"/>
      <c r="U136" s="11">
        <v>0</v>
      </c>
      <c r="V136">
        <f t="shared" si="2"/>
        <v>0</v>
      </c>
    </row>
    <row r="137" spans="1:22">
      <c r="A137" s="12">
        <v>195</v>
      </c>
      <c r="B137" s="12">
        <v>1</v>
      </c>
      <c r="C137" s="12" t="s">
        <v>241</v>
      </c>
      <c r="D137" s="12" t="s">
        <v>241</v>
      </c>
      <c r="E137" s="12">
        <v>0</v>
      </c>
      <c r="F137" s="12">
        <v>0</v>
      </c>
      <c r="G137" s="12">
        <v>0</v>
      </c>
      <c r="H137" s="12">
        <v>0</v>
      </c>
      <c r="I137" s="12">
        <v>0</v>
      </c>
      <c r="J137" s="10"/>
      <c r="K137" s="10" t="s">
        <v>76</v>
      </c>
      <c r="L137" s="10"/>
      <c r="M137" s="11">
        <v>0</v>
      </c>
      <c r="N137" s="10"/>
      <c r="O137" s="11">
        <v>0</v>
      </c>
      <c r="P137" s="10"/>
      <c r="Q137" s="11">
        <v>0</v>
      </c>
      <c r="R137" s="10"/>
      <c r="S137" s="11">
        <v>0</v>
      </c>
      <c r="T137" s="10"/>
      <c r="U137" s="11">
        <v>0</v>
      </c>
      <c r="V137">
        <f t="shared" si="2"/>
        <v>0</v>
      </c>
    </row>
    <row r="138" spans="1:22">
      <c r="A138" s="12">
        <v>196</v>
      </c>
      <c r="B138" s="12">
        <v>1</v>
      </c>
      <c r="C138" s="12" t="s">
        <v>242</v>
      </c>
      <c r="D138" s="12" t="s">
        <v>242</v>
      </c>
      <c r="E138" s="12">
        <v>3500</v>
      </c>
      <c r="F138" s="12">
        <v>0</v>
      </c>
      <c r="G138" s="12">
        <v>1</v>
      </c>
      <c r="H138" s="12">
        <v>0</v>
      </c>
      <c r="I138" s="12">
        <v>0</v>
      </c>
      <c r="J138" s="10"/>
      <c r="K138" s="10" t="s">
        <v>76</v>
      </c>
      <c r="L138" s="10"/>
      <c r="M138" s="11">
        <v>0</v>
      </c>
      <c r="N138" s="10"/>
      <c r="O138" s="11">
        <v>0</v>
      </c>
      <c r="P138" s="10"/>
      <c r="Q138" s="11">
        <v>0</v>
      </c>
      <c r="R138" s="10"/>
      <c r="S138" s="11">
        <v>0</v>
      </c>
      <c r="T138" s="10"/>
      <c r="U138" s="11">
        <v>0</v>
      </c>
      <c r="V138">
        <f t="shared" si="2"/>
        <v>0</v>
      </c>
    </row>
    <row r="139" spans="1:22">
      <c r="A139" s="12">
        <v>197</v>
      </c>
      <c r="B139" s="12">
        <v>1</v>
      </c>
      <c r="C139" s="12" t="s">
        <v>243</v>
      </c>
      <c r="D139" s="12" t="s">
        <v>243</v>
      </c>
      <c r="E139" s="12">
        <v>0</v>
      </c>
      <c r="F139" s="12">
        <v>0</v>
      </c>
      <c r="G139" s="12">
        <v>1</v>
      </c>
      <c r="H139" s="12">
        <v>0</v>
      </c>
      <c r="I139" s="12">
        <v>0</v>
      </c>
      <c r="J139" s="10"/>
      <c r="K139" s="10" t="s">
        <v>76</v>
      </c>
      <c r="L139" s="10"/>
      <c r="M139" s="11">
        <v>0</v>
      </c>
      <c r="N139" s="10"/>
      <c r="O139" s="11">
        <v>0</v>
      </c>
      <c r="P139" s="10"/>
      <c r="Q139" s="11">
        <v>0</v>
      </c>
      <c r="R139" s="10"/>
      <c r="S139" s="11">
        <v>0</v>
      </c>
      <c r="T139" s="10"/>
      <c r="U139" s="11">
        <v>0</v>
      </c>
      <c r="V139">
        <f t="shared" si="2"/>
        <v>0</v>
      </c>
    </row>
    <row r="140" spans="1:22">
      <c r="A140" s="12">
        <v>198</v>
      </c>
      <c r="B140" s="12">
        <v>1</v>
      </c>
      <c r="C140" s="12" t="s">
        <v>162</v>
      </c>
      <c r="D140" s="12" t="s">
        <v>162</v>
      </c>
      <c r="E140" s="12">
        <v>0</v>
      </c>
      <c r="F140" s="12">
        <v>0</v>
      </c>
      <c r="G140" s="12">
        <v>1</v>
      </c>
      <c r="H140" s="12">
        <v>0</v>
      </c>
      <c r="I140" s="12">
        <v>0</v>
      </c>
      <c r="J140" s="10"/>
      <c r="K140" s="10" t="s">
        <v>76</v>
      </c>
      <c r="L140" s="10"/>
      <c r="M140" s="11">
        <v>0</v>
      </c>
      <c r="N140" s="10"/>
      <c r="O140" s="11">
        <v>0</v>
      </c>
      <c r="P140" s="10"/>
      <c r="Q140" s="11">
        <v>0</v>
      </c>
      <c r="R140" s="10"/>
      <c r="S140" s="11">
        <v>0</v>
      </c>
      <c r="T140" s="10"/>
      <c r="U140" s="11">
        <v>0</v>
      </c>
      <c r="V140">
        <f t="shared" si="2"/>
        <v>0</v>
      </c>
    </row>
    <row r="141" spans="1:22">
      <c r="A141" s="9">
        <v>199</v>
      </c>
      <c r="B141" s="9">
        <v>1</v>
      </c>
      <c r="C141" s="9" t="s">
        <v>244</v>
      </c>
      <c r="D141" s="9" t="s">
        <v>245</v>
      </c>
      <c r="E141" s="9">
        <v>0</v>
      </c>
      <c r="F141" s="9">
        <v>480</v>
      </c>
      <c r="G141" s="9">
        <v>1</v>
      </c>
      <c r="H141" s="9">
        <v>1</v>
      </c>
      <c r="I141" s="9">
        <v>18</v>
      </c>
      <c r="J141" s="7"/>
      <c r="K141" s="7" t="s">
        <v>76</v>
      </c>
      <c r="L141" s="7"/>
      <c r="M141" s="8">
        <v>0</v>
      </c>
      <c r="N141" s="7"/>
      <c r="O141" s="8">
        <v>0</v>
      </c>
      <c r="P141" s="7"/>
      <c r="Q141" s="8">
        <v>0</v>
      </c>
      <c r="R141" s="7"/>
      <c r="S141" s="8">
        <v>0</v>
      </c>
      <c r="T141" s="7"/>
      <c r="U141" s="8">
        <v>0</v>
      </c>
      <c r="V141">
        <f t="shared" si="2"/>
        <v>0</v>
      </c>
    </row>
    <row r="142" spans="1:22">
      <c r="A142" s="24">
        <v>200</v>
      </c>
      <c r="B142" s="24">
        <v>1</v>
      </c>
      <c r="C142" s="24" t="s">
        <v>72</v>
      </c>
      <c r="D142" s="24" t="s">
        <v>72</v>
      </c>
      <c r="E142" s="24">
        <v>0</v>
      </c>
      <c r="F142" s="24">
        <v>0</v>
      </c>
      <c r="G142" s="24">
        <v>2</v>
      </c>
      <c r="H142" s="24">
        <v>2</v>
      </c>
      <c r="I142" s="24">
        <v>0</v>
      </c>
      <c r="J142" s="25"/>
      <c r="K142" s="25"/>
      <c r="L142" s="25" t="s">
        <v>68</v>
      </c>
      <c r="M142" s="26">
        <v>1</v>
      </c>
      <c r="N142" s="25"/>
      <c r="O142" s="26">
        <v>0</v>
      </c>
      <c r="P142" s="25"/>
      <c r="Q142" s="26">
        <v>0</v>
      </c>
      <c r="R142" s="25"/>
      <c r="S142" s="26">
        <v>0</v>
      </c>
      <c r="T142" s="25"/>
      <c r="U142" s="26">
        <v>0</v>
      </c>
      <c r="V142">
        <f t="shared" si="2"/>
        <v>0</v>
      </c>
    </row>
    <row r="143" spans="1:22">
      <c r="A143" s="24">
        <v>201</v>
      </c>
      <c r="B143" s="24">
        <v>2</v>
      </c>
      <c r="C143" s="24" t="s">
        <v>246</v>
      </c>
      <c r="D143" s="24" t="s">
        <v>246</v>
      </c>
      <c r="E143" s="24">
        <v>0</v>
      </c>
      <c r="F143" s="24">
        <v>0</v>
      </c>
      <c r="G143" s="24">
        <v>2</v>
      </c>
      <c r="H143" s="24">
        <v>2</v>
      </c>
      <c r="I143" s="24">
        <v>0</v>
      </c>
      <c r="J143" s="25"/>
      <c r="K143" s="25"/>
      <c r="L143" s="25" t="s">
        <v>247</v>
      </c>
      <c r="M143" s="26">
        <v>0</v>
      </c>
      <c r="N143" s="25"/>
      <c r="O143" s="26">
        <v>0</v>
      </c>
      <c r="P143" s="25"/>
      <c r="Q143" s="26">
        <v>0</v>
      </c>
      <c r="R143" s="25"/>
      <c r="S143" s="26">
        <v>0</v>
      </c>
      <c r="T143" s="25"/>
      <c r="U143" s="26">
        <v>0</v>
      </c>
      <c r="V143">
        <f t="shared" si="2"/>
        <v>0</v>
      </c>
    </row>
    <row r="144" spans="1:22">
      <c r="A144" s="24">
        <v>202</v>
      </c>
      <c r="B144" s="24">
        <v>2</v>
      </c>
      <c r="C144" s="24" t="s">
        <v>248</v>
      </c>
      <c r="D144" s="24" t="s">
        <v>248</v>
      </c>
      <c r="E144" s="24">
        <v>0</v>
      </c>
      <c r="F144" s="24">
        <v>0</v>
      </c>
      <c r="G144" s="24">
        <v>2</v>
      </c>
      <c r="H144" s="24">
        <v>2</v>
      </c>
      <c r="I144" s="24">
        <v>0</v>
      </c>
      <c r="J144" s="25"/>
      <c r="K144" s="25"/>
      <c r="L144" s="25" t="s">
        <v>249</v>
      </c>
      <c r="M144" s="26">
        <v>0</v>
      </c>
      <c r="N144" s="25"/>
      <c r="O144" s="26">
        <v>0</v>
      </c>
      <c r="P144" s="25"/>
      <c r="Q144" s="26">
        <v>0</v>
      </c>
      <c r="R144" s="25"/>
      <c r="S144" s="26">
        <v>0</v>
      </c>
      <c r="T144" s="25"/>
      <c r="U144" s="26">
        <v>0</v>
      </c>
      <c r="V144">
        <f t="shared" si="2"/>
        <v>0</v>
      </c>
    </row>
    <row r="145" spans="1:22">
      <c r="A145" s="24">
        <v>203</v>
      </c>
      <c r="B145" s="24">
        <v>2</v>
      </c>
      <c r="C145" s="24" t="s">
        <v>250</v>
      </c>
      <c r="D145" s="24" t="s">
        <v>250</v>
      </c>
      <c r="E145" s="24">
        <v>0</v>
      </c>
      <c r="F145" s="24">
        <v>0</v>
      </c>
      <c r="G145" s="24">
        <v>2</v>
      </c>
      <c r="H145" s="24">
        <v>2</v>
      </c>
      <c r="I145" s="24">
        <v>0</v>
      </c>
      <c r="J145" s="25"/>
      <c r="K145" s="25"/>
      <c r="L145" s="25" t="s">
        <v>250</v>
      </c>
      <c r="M145" s="26">
        <v>0</v>
      </c>
      <c r="N145" s="25"/>
      <c r="O145" s="26">
        <v>0</v>
      </c>
      <c r="P145" s="25"/>
      <c r="Q145" s="26">
        <v>0</v>
      </c>
      <c r="R145" s="25"/>
      <c r="S145" s="26">
        <v>0</v>
      </c>
      <c r="T145" s="25"/>
      <c r="U145" s="26">
        <v>0</v>
      </c>
      <c r="V145">
        <f t="shared" si="2"/>
        <v>0</v>
      </c>
    </row>
    <row r="146" spans="1:22">
      <c r="A146" s="24">
        <v>204</v>
      </c>
      <c r="B146" s="24">
        <v>2</v>
      </c>
      <c r="C146" s="24" t="s">
        <v>251</v>
      </c>
      <c r="D146" s="24" t="s">
        <v>251</v>
      </c>
      <c r="E146" s="24">
        <v>0</v>
      </c>
      <c r="F146" s="24">
        <v>0</v>
      </c>
      <c r="G146" s="24">
        <v>2</v>
      </c>
      <c r="H146" s="24">
        <v>2</v>
      </c>
      <c r="I146" s="24">
        <v>0</v>
      </c>
      <c r="J146" s="25"/>
      <c r="K146" s="25"/>
      <c r="L146" s="25" t="s">
        <v>251</v>
      </c>
      <c r="M146" s="26">
        <v>0</v>
      </c>
      <c r="N146" s="25"/>
      <c r="O146" s="26">
        <v>0</v>
      </c>
      <c r="P146" s="25"/>
      <c r="Q146" s="26">
        <v>0</v>
      </c>
      <c r="R146" s="25"/>
      <c r="S146" s="26"/>
      <c r="T146" s="25"/>
      <c r="U146" s="26"/>
      <c r="V146">
        <f t="shared" si="2"/>
        <v>0</v>
      </c>
    </row>
    <row r="147" spans="1:22">
      <c r="A147" s="24">
        <v>205</v>
      </c>
      <c r="B147" s="24">
        <v>2</v>
      </c>
      <c r="C147" s="24" t="s">
        <v>252</v>
      </c>
      <c r="D147" s="24" t="s">
        <v>252</v>
      </c>
      <c r="E147" s="24">
        <v>0</v>
      </c>
      <c r="F147" s="24">
        <v>0</v>
      </c>
      <c r="G147" s="24">
        <v>2</v>
      </c>
      <c r="H147" s="24">
        <v>2</v>
      </c>
      <c r="I147" s="24">
        <v>0</v>
      </c>
      <c r="J147" s="25"/>
      <c r="K147" s="25"/>
      <c r="L147" s="25" t="s">
        <v>252</v>
      </c>
      <c r="M147" s="26">
        <v>0</v>
      </c>
      <c r="N147" s="25"/>
      <c r="O147" s="26">
        <v>0</v>
      </c>
      <c r="P147" s="25"/>
      <c r="Q147" s="26">
        <v>0</v>
      </c>
      <c r="R147" s="25"/>
      <c r="S147" s="26"/>
      <c r="T147" s="25"/>
      <c r="U147" s="26"/>
      <c r="V147">
        <f t="shared" si="2"/>
        <v>0</v>
      </c>
    </row>
    <row r="148" spans="1:22">
      <c r="A148" s="24">
        <v>206</v>
      </c>
      <c r="B148" s="24">
        <v>2</v>
      </c>
      <c r="C148" s="24" t="s">
        <v>253</v>
      </c>
      <c r="D148" s="24" t="s">
        <v>253</v>
      </c>
      <c r="E148" s="24">
        <v>0</v>
      </c>
      <c r="F148" s="24">
        <v>0</v>
      </c>
      <c r="G148" s="24">
        <v>2</v>
      </c>
      <c r="H148" s="24">
        <v>2</v>
      </c>
      <c r="I148" s="24">
        <v>0</v>
      </c>
      <c r="J148" s="25"/>
      <c r="K148" s="25"/>
      <c r="L148" s="25" t="s">
        <v>254</v>
      </c>
      <c r="M148" s="26">
        <v>0</v>
      </c>
      <c r="N148" s="25"/>
      <c r="O148" s="26">
        <v>0</v>
      </c>
      <c r="P148" s="25"/>
      <c r="Q148" s="26">
        <v>0</v>
      </c>
      <c r="R148" s="25"/>
      <c r="S148" s="26">
        <v>0</v>
      </c>
      <c r="T148" s="25"/>
      <c r="U148" s="26">
        <v>0</v>
      </c>
      <c r="V148">
        <f t="shared" si="2"/>
        <v>0</v>
      </c>
    </row>
    <row r="149" spans="1:22">
      <c r="A149" s="24">
        <v>207</v>
      </c>
      <c r="B149" s="24">
        <v>2</v>
      </c>
      <c r="C149" s="24" t="s">
        <v>255</v>
      </c>
      <c r="D149" s="24" t="s">
        <v>255</v>
      </c>
      <c r="E149" s="24">
        <v>0</v>
      </c>
      <c r="F149" s="24">
        <v>0</v>
      </c>
      <c r="G149" s="24">
        <v>2</v>
      </c>
      <c r="H149" s="24">
        <v>2</v>
      </c>
      <c r="I149" s="24">
        <v>0</v>
      </c>
      <c r="J149" s="25"/>
      <c r="K149" s="25"/>
      <c r="L149" s="25" t="s">
        <v>254</v>
      </c>
      <c r="M149" s="26">
        <v>0</v>
      </c>
      <c r="N149" s="25"/>
      <c r="O149" s="26">
        <v>0</v>
      </c>
      <c r="P149" s="25"/>
      <c r="Q149" s="26">
        <v>0</v>
      </c>
      <c r="R149" s="25"/>
      <c r="S149" s="26">
        <v>0</v>
      </c>
      <c r="T149" s="25"/>
      <c r="U149" s="26">
        <v>0</v>
      </c>
      <c r="V149">
        <f t="shared" si="2"/>
        <v>0</v>
      </c>
    </row>
    <row r="150" spans="1:22">
      <c r="A150" s="24">
        <v>208</v>
      </c>
      <c r="B150" s="24">
        <v>2</v>
      </c>
      <c r="C150" s="24" t="s">
        <v>256</v>
      </c>
      <c r="D150" s="24" t="s">
        <v>256</v>
      </c>
      <c r="E150" s="24">
        <v>0</v>
      </c>
      <c r="F150" s="24">
        <v>0</v>
      </c>
      <c r="G150" s="24">
        <v>2</v>
      </c>
      <c r="H150" s="24">
        <v>2</v>
      </c>
      <c r="I150" s="24">
        <v>0</v>
      </c>
      <c r="J150" s="25"/>
      <c r="K150" s="25"/>
      <c r="L150" s="25" t="s">
        <v>254</v>
      </c>
      <c r="M150" s="26">
        <v>0</v>
      </c>
      <c r="N150" s="25"/>
      <c r="O150" s="26">
        <v>0</v>
      </c>
      <c r="P150" s="25"/>
      <c r="Q150" s="26">
        <v>0</v>
      </c>
      <c r="R150" s="25"/>
      <c r="S150" s="26">
        <v>0</v>
      </c>
      <c r="T150" s="25"/>
      <c r="U150" s="26">
        <v>0</v>
      </c>
      <c r="V150">
        <f t="shared" si="2"/>
        <v>0</v>
      </c>
    </row>
    <row r="151" spans="1:22">
      <c r="A151" s="24">
        <v>209</v>
      </c>
      <c r="B151" s="24">
        <v>2</v>
      </c>
      <c r="C151" s="24" t="s">
        <v>257</v>
      </c>
      <c r="D151" s="24" t="s">
        <v>257</v>
      </c>
      <c r="E151" s="24">
        <v>0</v>
      </c>
      <c r="F151" s="24">
        <v>0</v>
      </c>
      <c r="G151" s="24">
        <v>2</v>
      </c>
      <c r="H151" s="24">
        <v>2</v>
      </c>
      <c r="I151" s="24">
        <v>0</v>
      </c>
      <c r="J151" s="25"/>
      <c r="K151" s="25"/>
      <c r="L151" s="25" t="s">
        <v>254</v>
      </c>
      <c r="M151" s="26">
        <v>0</v>
      </c>
      <c r="N151" s="25"/>
      <c r="O151" s="26">
        <v>0</v>
      </c>
      <c r="P151" s="25"/>
      <c r="Q151" s="26">
        <v>0</v>
      </c>
      <c r="R151" s="25"/>
      <c r="S151" s="26">
        <v>0</v>
      </c>
      <c r="T151" s="25"/>
      <c r="U151" s="26">
        <v>0</v>
      </c>
      <c r="V151">
        <f t="shared" si="2"/>
        <v>0</v>
      </c>
    </row>
    <row r="152" spans="1:22">
      <c r="A152" s="24">
        <v>210</v>
      </c>
      <c r="B152" s="24">
        <v>2</v>
      </c>
      <c r="C152" s="24" t="s">
        <v>258</v>
      </c>
      <c r="D152" s="24" t="s">
        <v>258</v>
      </c>
      <c r="E152" s="24">
        <v>0</v>
      </c>
      <c r="F152" s="24">
        <v>0</v>
      </c>
      <c r="G152" s="24">
        <v>2</v>
      </c>
      <c r="H152" s="24">
        <v>2</v>
      </c>
      <c r="I152" s="24">
        <v>0</v>
      </c>
      <c r="J152" s="25"/>
      <c r="K152" s="25"/>
      <c r="L152" s="25" t="s">
        <v>254</v>
      </c>
      <c r="M152" s="26">
        <v>0</v>
      </c>
      <c r="N152" s="25"/>
      <c r="O152" s="26">
        <v>0</v>
      </c>
      <c r="P152" s="25"/>
      <c r="Q152" s="26">
        <v>0</v>
      </c>
      <c r="R152" s="25"/>
      <c r="S152" s="26">
        <v>0</v>
      </c>
      <c r="T152" s="25"/>
      <c r="U152" s="26">
        <v>0</v>
      </c>
      <c r="V152">
        <f t="shared" si="2"/>
        <v>0</v>
      </c>
    </row>
    <row r="153" spans="1:22">
      <c r="A153" s="24">
        <v>211</v>
      </c>
      <c r="B153" s="24">
        <v>2</v>
      </c>
      <c r="C153" s="24" t="s">
        <v>259</v>
      </c>
      <c r="D153" s="24" t="s">
        <v>259</v>
      </c>
      <c r="E153" s="24">
        <v>0</v>
      </c>
      <c r="F153" s="24">
        <v>0</v>
      </c>
      <c r="G153" s="24">
        <v>2</v>
      </c>
      <c r="H153" s="24">
        <v>2</v>
      </c>
      <c r="I153" s="24">
        <v>0</v>
      </c>
      <c r="J153" s="25"/>
      <c r="K153" s="25"/>
      <c r="L153" s="25" t="s">
        <v>254</v>
      </c>
      <c r="M153" s="26">
        <v>0</v>
      </c>
      <c r="N153" s="25"/>
      <c r="O153" s="26">
        <v>0</v>
      </c>
      <c r="P153" s="25"/>
      <c r="Q153" s="26">
        <v>0</v>
      </c>
      <c r="R153" s="25"/>
      <c r="S153" s="26">
        <v>0</v>
      </c>
      <c r="T153" s="25"/>
      <c r="U153" s="26">
        <v>0</v>
      </c>
      <c r="V153">
        <f t="shared" si="2"/>
        <v>0</v>
      </c>
    </row>
    <row r="154" spans="1:22">
      <c r="A154" s="24">
        <v>212</v>
      </c>
      <c r="B154" s="24">
        <v>2</v>
      </c>
      <c r="C154" s="24" t="s">
        <v>260</v>
      </c>
      <c r="D154" s="24" t="s">
        <v>261</v>
      </c>
      <c r="E154" s="24">
        <v>0</v>
      </c>
      <c r="F154" s="24">
        <v>0</v>
      </c>
      <c r="G154" s="24">
        <v>2</v>
      </c>
      <c r="H154" s="24">
        <v>2</v>
      </c>
      <c r="I154" s="24">
        <v>0</v>
      </c>
      <c r="J154" s="25"/>
      <c r="K154" s="25"/>
      <c r="L154" s="25" t="s">
        <v>254</v>
      </c>
      <c r="M154" s="26">
        <v>0</v>
      </c>
      <c r="N154" s="25"/>
      <c r="O154" s="26">
        <v>0</v>
      </c>
      <c r="P154" s="25"/>
      <c r="Q154" s="26">
        <v>0</v>
      </c>
      <c r="R154" s="25"/>
      <c r="S154" s="26">
        <v>0</v>
      </c>
      <c r="T154" s="25"/>
      <c r="U154" s="26">
        <v>0</v>
      </c>
      <c r="V154">
        <f t="shared" si="2"/>
        <v>0</v>
      </c>
    </row>
    <row r="155" spans="1:22">
      <c r="A155" s="24">
        <v>213</v>
      </c>
      <c r="B155" s="24">
        <v>2</v>
      </c>
      <c r="C155" s="24" t="s">
        <v>262</v>
      </c>
      <c r="D155" s="24" t="s">
        <v>262</v>
      </c>
      <c r="E155" s="24">
        <v>0</v>
      </c>
      <c r="F155" s="24">
        <v>0</v>
      </c>
      <c r="G155" s="24">
        <v>2</v>
      </c>
      <c r="H155" s="24">
        <v>2</v>
      </c>
      <c r="I155" s="24">
        <v>0</v>
      </c>
      <c r="J155" s="25"/>
      <c r="K155" s="25"/>
      <c r="L155" s="25" t="s">
        <v>262</v>
      </c>
      <c r="M155" s="26">
        <v>0</v>
      </c>
      <c r="N155" s="25"/>
      <c r="O155" s="26">
        <v>0</v>
      </c>
      <c r="P155" s="25"/>
      <c r="Q155" s="26">
        <v>0</v>
      </c>
      <c r="R155" s="25"/>
      <c r="S155" s="26">
        <v>0</v>
      </c>
      <c r="T155" s="25"/>
      <c r="U155" s="26">
        <v>0</v>
      </c>
      <c r="V155">
        <f t="shared" si="2"/>
        <v>0</v>
      </c>
    </row>
    <row r="156" spans="1:22">
      <c r="A156" s="24">
        <v>214</v>
      </c>
      <c r="B156" s="24">
        <v>2</v>
      </c>
      <c r="C156" s="24" t="s">
        <v>207</v>
      </c>
      <c r="D156" s="24" t="s">
        <v>207</v>
      </c>
      <c r="E156" s="24">
        <v>0</v>
      </c>
      <c r="F156" s="24">
        <v>0</v>
      </c>
      <c r="G156" s="24">
        <v>2</v>
      </c>
      <c r="H156" s="24">
        <v>2</v>
      </c>
      <c r="I156" s="24">
        <v>0</v>
      </c>
      <c r="J156" s="25"/>
      <c r="K156" s="25"/>
      <c r="L156" s="25" t="s">
        <v>207</v>
      </c>
      <c r="M156" s="26">
        <v>0</v>
      </c>
      <c r="N156" s="25"/>
      <c r="O156" s="26">
        <v>0</v>
      </c>
      <c r="P156" s="25"/>
      <c r="Q156" s="26">
        <v>0</v>
      </c>
      <c r="R156" s="25"/>
      <c r="S156" s="26">
        <v>0</v>
      </c>
      <c r="T156" s="25"/>
      <c r="U156" s="26">
        <v>0</v>
      </c>
      <c r="V156">
        <f t="shared" si="2"/>
        <v>0</v>
      </c>
    </row>
    <row r="157" spans="1:22">
      <c r="A157" s="24">
        <v>215</v>
      </c>
      <c r="B157" s="24">
        <v>2</v>
      </c>
      <c r="C157" s="24" t="s">
        <v>263</v>
      </c>
      <c r="D157" s="24" t="s">
        <v>263</v>
      </c>
      <c r="E157" s="24">
        <v>0</v>
      </c>
      <c r="F157" s="24">
        <v>0</v>
      </c>
      <c r="G157" s="24">
        <v>2</v>
      </c>
      <c r="H157" s="24">
        <v>2</v>
      </c>
      <c r="I157" s="24">
        <v>0</v>
      </c>
      <c r="J157" s="25"/>
      <c r="K157" s="25"/>
      <c r="L157" s="25" t="s">
        <v>263</v>
      </c>
      <c r="M157" s="26">
        <v>0</v>
      </c>
      <c r="N157" s="25"/>
      <c r="O157" s="26">
        <v>0</v>
      </c>
      <c r="P157" s="25"/>
      <c r="Q157" s="26">
        <v>0</v>
      </c>
      <c r="R157" s="25"/>
      <c r="S157" s="26">
        <v>0</v>
      </c>
      <c r="T157" s="25"/>
      <c r="U157" s="26">
        <v>0</v>
      </c>
      <c r="V157">
        <f t="shared" si="2"/>
        <v>0</v>
      </c>
    </row>
    <row r="158" spans="1:22">
      <c r="A158" s="24">
        <v>216</v>
      </c>
      <c r="B158" s="24">
        <v>2</v>
      </c>
      <c r="C158" s="24" t="s">
        <v>264</v>
      </c>
      <c r="D158" s="24" t="s">
        <v>264</v>
      </c>
      <c r="E158" s="24">
        <v>0</v>
      </c>
      <c r="F158" s="24">
        <v>0</v>
      </c>
      <c r="G158" s="24">
        <v>2</v>
      </c>
      <c r="H158" s="24">
        <v>2</v>
      </c>
      <c r="I158" s="24">
        <v>0</v>
      </c>
      <c r="J158" s="25"/>
      <c r="K158" s="25"/>
      <c r="L158" s="25" t="s">
        <v>264</v>
      </c>
      <c r="M158" s="26">
        <v>0</v>
      </c>
      <c r="N158" s="25"/>
      <c r="O158" s="26">
        <v>0</v>
      </c>
      <c r="P158" s="25"/>
      <c r="Q158" s="26">
        <v>0</v>
      </c>
      <c r="R158" s="25"/>
      <c r="S158" s="26">
        <v>0</v>
      </c>
      <c r="T158" s="25"/>
      <c r="U158" s="26">
        <v>0</v>
      </c>
      <c r="V158">
        <f t="shared" si="2"/>
        <v>0</v>
      </c>
    </row>
    <row r="159" spans="1:22">
      <c r="A159" s="24">
        <v>217</v>
      </c>
      <c r="B159" s="24">
        <v>2</v>
      </c>
      <c r="C159" s="24" t="s">
        <v>265</v>
      </c>
      <c r="D159" s="24" t="s">
        <v>266</v>
      </c>
      <c r="E159" s="24">
        <v>0</v>
      </c>
      <c r="F159" s="24">
        <v>0</v>
      </c>
      <c r="G159" s="24">
        <v>2</v>
      </c>
      <c r="H159" s="24">
        <v>2</v>
      </c>
      <c r="I159" s="24">
        <v>0</v>
      </c>
      <c r="J159" s="25"/>
      <c r="K159" s="25"/>
      <c r="L159" s="25" t="s">
        <v>266</v>
      </c>
      <c r="M159" s="26">
        <v>0</v>
      </c>
      <c r="N159" s="25"/>
      <c r="O159" s="26">
        <v>0</v>
      </c>
      <c r="P159" s="25"/>
      <c r="Q159" s="26">
        <v>0</v>
      </c>
      <c r="R159" s="25"/>
      <c r="S159" s="26">
        <v>0</v>
      </c>
      <c r="T159" s="25"/>
      <c r="U159" s="26">
        <v>0</v>
      </c>
      <c r="V159">
        <f t="shared" si="2"/>
        <v>0</v>
      </c>
    </row>
    <row r="160" spans="1:22">
      <c r="A160" s="24">
        <v>218</v>
      </c>
      <c r="B160" s="24">
        <v>2</v>
      </c>
      <c r="C160" s="24" t="s">
        <v>265</v>
      </c>
      <c r="D160" s="24" t="s">
        <v>267</v>
      </c>
      <c r="E160" s="24">
        <v>0</v>
      </c>
      <c r="F160" s="24">
        <v>0</v>
      </c>
      <c r="G160" s="24">
        <v>2</v>
      </c>
      <c r="H160" s="24">
        <v>2</v>
      </c>
      <c r="I160" s="24">
        <v>0</v>
      </c>
      <c r="J160" s="25"/>
      <c r="K160" s="25"/>
      <c r="L160" s="25" t="s">
        <v>267</v>
      </c>
      <c r="M160" s="26">
        <v>0</v>
      </c>
      <c r="N160" s="25"/>
      <c r="O160" s="26">
        <v>0</v>
      </c>
      <c r="P160" s="25"/>
      <c r="Q160" s="26">
        <v>0</v>
      </c>
      <c r="R160" s="25"/>
      <c r="S160" s="26">
        <v>0</v>
      </c>
      <c r="T160" s="25"/>
      <c r="U160" s="26">
        <v>0</v>
      </c>
      <c r="V160">
        <f t="shared" si="2"/>
        <v>0</v>
      </c>
    </row>
    <row r="161" spans="1:22">
      <c r="A161" s="24">
        <v>219</v>
      </c>
      <c r="B161" s="24">
        <v>2</v>
      </c>
      <c r="C161" s="24" t="s">
        <v>186</v>
      </c>
      <c r="D161" s="24" t="s">
        <v>268</v>
      </c>
      <c r="E161" s="24">
        <v>0</v>
      </c>
      <c r="F161" s="24">
        <v>0</v>
      </c>
      <c r="G161" s="24">
        <v>2</v>
      </c>
      <c r="H161" s="24">
        <v>2</v>
      </c>
      <c r="I161" s="24">
        <v>0</v>
      </c>
      <c r="J161" s="25"/>
      <c r="K161" s="25"/>
      <c r="L161" s="25" t="s">
        <v>268</v>
      </c>
      <c r="M161" s="26">
        <v>0</v>
      </c>
      <c r="N161" s="25"/>
      <c r="O161" s="26">
        <v>0</v>
      </c>
      <c r="P161" s="25"/>
      <c r="Q161" s="26">
        <v>0</v>
      </c>
      <c r="R161" s="25"/>
      <c r="S161" s="26">
        <v>0</v>
      </c>
      <c r="T161" s="25"/>
      <c r="U161" s="26">
        <v>0</v>
      </c>
      <c r="V161">
        <f t="shared" si="2"/>
        <v>0</v>
      </c>
    </row>
    <row r="162" spans="1:22">
      <c r="A162" s="24">
        <v>220</v>
      </c>
      <c r="B162" s="24">
        <v>2</v>
      </c>
      <c r="C162" s="24" t="s">
        <v>77</v>
      </c>
      <c r="D162" s="24" t="s">
        <v>77</v>
      </c>
      <c r="E162" s="24">
        <v>0</v>
      </c>
      <c r="F162" s="24">
        <v>0</v>
      </c>
      <c r="G162" s="24">
        <v>2</v>
      </c>
      <c r="H162" s="24">
        <v>2</v>
      </c>
      <c r="I162" s="24">
        <v>0</v>
      </c>
      <c r="J162" s="25"/>
      <c r="K162" s="25"/>
      <c r="L162" s="25" t="s">
        <v>77</v>
      </c>
      <c r="M162" s="26">
        <v>0</v>
      </c>
      <c r="N162" s="25"/>
      <c r="O162" s="26">
        <v>0</v>
      </c>
      <c r="P162" s="25"/>
      <c r="Q162" s="26">
        <v>0</v>
      </c>
      <c r="R162" s="25"/>
      <c r="S162" s="26">
        <v>0</v>
      </c>
      <c r="T162" s="25"/>
      <c r="U162" s="26">
        <v>0</v>
      </c>
      <c r="V162">
        <f t="shared" si="2"/>
        <v>0</v>
      </c>
    </row>
    <row r="163" spans="1:22">
      <c r="A163" s="24">
        <v>221</v>
      </c>
      <c r="B163" s="24">
        <v>2</v>
      </c>
      <c r="C163" s="24" t="s">
        <v>117</v>
      </c>
      <c r="D163" s="24" t="s">
        <v>117</v>
      </c>
      <c r="E163" s="24">
        <v>0</v>
      </c>
      <c r="F163" s="24">
        <v>0</v>
      </c>
      <c r="G163" s="24">
        <v>2</v>
      </c>
      <c r="H163" s="24">
        <v>2</v>
      </c>
      <c r="I163" s="24">
        <v>0</v>
      </c>
      <c r="J163" s="25"/>
      <c r="K163" s="25"/>
      <c r="L163" s="25" t="s">
        <v>117</v>
      </c>
      <c r="M163" s="26">
        <v>0</v>
      </c>
      <c r="N163" s="25"/>
      <c r="O163" s="26">
        <v>0</v>
      </c>
      <c r="P163" s="25"/>
      <c r="Q163" s="26">
        <v>0</v>
      </c>
      <c r="R163" s="25"/>
      <c r="S163" s="26">
        <v>0</v>
      </c>
      <c r="T163" s="25"/>
      <c r="U163" s="26">
        <v>0</v>
      </c>
      <c r="V163">
        <f t="shared" si="2"/>
        <v>0</v>
      </c>
    </row>
    <row r="164" spans="1:22">
      <c r="A164" s="24">
        <v>222</v>
      </c>
      <c r="B164" s="24">
        <v>2</v>
      </c>
      <c r="C164" s="24" t="s">
        <v>269</v>
      </c>
      <c r="D164" s="24" t="s">
        <v>270</v>
      </c>
      <c r="E164" s="24">
        <v>0</v>
      </c>
      <c r="F164" s="24">
        <v>0</v>
      </c>
      <c r="G164" s="24">
        <v>2</v>
      </c>
      <c r="H164" s="24">
        <v>2</v>
      </c>
      <c r="I164" s="24">
        <v>0</v>
      </c>
      <c r="J164" s="25"/>
      <c r="K164" s="25"/>
      <c r="L164" s="25" t="s">
        <v>270</v>
      </c>
      <c r="M164" s="26">
        <v>0</v>
      </c>
      <c r="N164" s="25"/>
      <c r="O164" s="26">
        <v>0</v>
      </c>
      <c r="P164" s="25"/>
      <c r="Q164" s="26">
        <v>0</v>
      </c>
      <c r="R164" s="25"/>
      <c r="S164" s="26">
        <v>0</v>
      </c>
      <c r="T164" s="25"/>
      <c r="U164" s="26">
        <v>0</v>
      </c>
      <c r="V164">
        <f t="shared" si="2"/>
        <v>0</v>
      </c>
    </row>
    <row r="165" spans="1:22">
      <c r="A165" s="24">
        <v>223</v>
      </c>
      <c r="B165" s="24">
        <v>2</v>
      </c>
      <c r="C165" s="24" t="s">
        <v>271</v>
      </c>
      <c r="D165" s="24" t="s">
        <v>271</v>
      </c>
      <c r="E165" s="24">
        <v>0</v>
      </c>
      <c r="F165" s="24">
        <v>0</v>
      </c>
      <c r="G165" s="24">
        <v>2</v>
      </c>
      <c r="H165" s="24">
        <v>2</v>
      </c>
      <c r="I165" s="24">
        <v>0</v>
      </c>
      <c r="J165" s="25"/>
      <c r="K165" s="25"/>
      <c r="L165" s="25" t="s">
        <v>271</v>
      </c>
      <c r="M165" s="26">
        <v>0</v>
      </c>
      <c r="N165" s="25"/>
      <c r="O165" s="26">
        <v>0</v>
      </c>
      <c r="P165" s="25"/>
      <c r="Q165" s="26">
        <v>0</v>
      </c>
      <c r="R165" s="25"/>
      <c r="S165" s="26">
        <v>0</v>
      </c>
      <c r="T165" s="25"/>
      <c r="U165" s="26">
        <v>0</v>
      </c>
      <c r="V165">
        <f t="shared" si="2"/>
        <v>0</v>
      </c>
    </row>
    <row r="166" spans="1:22">
      <c r="A166" s="24">
        <v>225</v>
      </c>
      <c r="B166" s="24">
        <v>2</v>
      </c>
      <c r="C166" s="24" t="s">
        <v>119</v>
      </c>
      <c r="D166" s="24" t="s">
        <v>119</v>
      </c>
      <c r="E166" s="24">
        <v>0</v>
      </c>
      <c r="F166" s="24">
        <v>0</v>
      </c>
      <c r="G166" s="24">
        <v>2</v>
      </c>
      <c r="H166" s="24">
        <v>2</v>
      </c>
      <c r="I166" s="24">
        <v>0</v>
      </c>
      <c r="J166" s="25"/>
      <c r="K166" s="25"/>
      <c r="L166" s="25" t="s">
        <v>119</v>
      </c>
      <c r="M166" s="26">
        <v>0</v>
      </c>
      <c r="N166" s="25" t="s">
        <v>120</v>
      </c>
      <c r="O166" s="26">
        <v>0</v>
      </c>
      <c r="P166" s="25"/>
      <c r="Q166" s="26">
        <v>0</v>
      </c>
      <c r="R166" s="25"/>
      <c r="S166" s="26">
        <v>0</v>
      </c>
      <c r="T166" s="25"/>
      <c r="U166" s="26">
        <v>0</v>
      </c>
      <c r="V166">
        <f t="shared" si="2"/>
        <v>0</v>
      </c>
    </row>
    <row r="167" spans="1:22">
      <c r="A167" s="24">
        <v>226</v>
      </c>
      <c r="B167" s="24">
        <v>2</v>
      </c>
      <c r="C167" s="24"/>
      <c r="D167" s="24" t="s">
        <v>272</v>
      </c>
      <c r="E167" s="24">
        <v>0</v>
      </c>
      <c r="F167" s="24">
        <v>0</v>
      </c>
      <c r="G167" s="24">
        <v>2</v>
      </c>
      <c r="H167" s="24">
        <v>2</v>
      </c>
      <c r="I167" s="24">
        <v>0</v>
      </c>
      <c r="J167" s="25"/>
      <c r="K167" s="25"/>
      <c r="L167" s="25" t="s">
        <v>273</v>
      </c>
      <c r="M167" s="26">
        <v>0</v>
      </c>
      <c r="N167" s="25"/>
      <c r="O167" s="26">
        <v>0</v>
      </c>
      <c r="P167" s="25"/>
      <c r="Q167" s="26">
        <v>0</v>
      </c>
      <c r="R167" s="25"/>
      <c r="S167" s="26">
        <v>0</v>
      </c>
      <c r="T167" s="25"/>
      <c r="U167" s="26">
        <v>0</v>
      </c>
      <c r="V167">
        <f t="shared" si="2"/>
        <v>0</v>
      </c>
    </row>
    <row r="168" spans="1:22">
      <c r="A168" s="24">
        <v>227</v>
      </c>
      <c r="B168" s="24">
        <v>2</v>
      </c>
      <c r="C168" s="24" t="s">
        <v>274</v>
      </c>
      <c r="D168" s="24" t="s">
        <v>274</v>
      </c>
      <c r="E168" s="24">
        <v>0</v>
      </c>
      <c r="F168" s="24">
        <v>0</v>
      </c>
      <c r="G168" s="24">
        <v>2</v>
      </c>
      <c r="H168" s="24">
        <v>2</v>
      </c>
      <c r="I168" s="24">
        <v>0</v>
      </c>
      <c r="J168" s="25"/>
      <c r="K168" s="25"/>
      <c r="L168" s="25" t="s">
        <v>274</v>
      </c>
      <c r="M168" s="26">
        <v>0</v>
      </c>
      <c r="N168" s="25"/>
      <c r="O168" s="26">
        <v>0</v>
      </c>
      <c r="P168" s="25"/>
      <c r="Q168" s="26">
        <v>0</v>
      </c>
      <c r="R168" s="25"/>
      <c r="S168" s="26">
        <v>0</v>
      </c>
      <c r="T168" s="25"/>
      <c r="U168" s="26">
        <v>0</v>
      </c>
      <c r="V168">
        <f t="shared" si="2"/>
        <v>0</v>
      </c>
    </row>
    <row r="169" spans="1:22">
      <c r="A169" s="24">
        <v>229</v>
      </c>
      <c r="B169" s="24">
        <v>0</v>
      </c>
      <c r="C169" s="24" t="s">
        <v>275</v>
      </c>
      <c r="D169" s="24"/>
      <c r="E169" s="24">
        <v>0</v>
      </c>
      <c r="F169" s="24">
        <v>0</v>
      </c>
      <c r="G169" s="24">
        <v>0</v>
      </c>
      <c r="H169" s="24">
        <v>0</v>
      </c>
      <c r="I169" s="24">
        <v>0</v>
      </c>
      <c r="J169" s="25"/>
      <c r="K169" s="25"/>
      <c r="L169" s="25"/>
      <c r="M169" s="26">
        <v>0</v>
      </c>
      <c r="N169" s="25"/>
      <c r="O169" s="26">
        <v>0</v>
      </c>
      <c r="P169" s="25"/>
      <c r="Q169" s="26">
        <v>0</v>
      </c>
      <c r="R169" s="25"/>
      <c r="S169" s="26">
        <v>0</v>
      </c>
      <c r="T169" s="25"/>
      <c r="U169" s="26">
        <v>0</v>
      </c>
      <c r="V169">
        <f t="shared" si="2"/>
        <v>0</v>
      </c>
    </row>
    <row r="170" spans="1:22">
      <c r="A170" s="24">
        <v>230</v>
      </c>
      <c r="B170" s="24">
        <v>1</v>
      </c>
      <c r="C170" s="24" t="s">
        <v>276</v>
      </c>
      <c r="D170" s="24" t="s">
        <v>276</v>
      </c>
      <c r="E170" s="24">
        <v>0</v>
      </c>
      <c r="F170" s="24">
        <v>0</v>
      </c>
      <c r="G170" s="24">
        <v>3</v>
      </c>
      <c r="H170" s="24">
        <v>2</v>
      </c>
      <c r="I170" s="24">
        <v>0</v>
      </c>
      <c r="J170" s="25"/>
      <c r="K170" s="25"/>
      <c r="L170" s="25" t="s">
        <v>277</v>
      </c>
      <c r="M170" s="26">
        <v>0</v>
      </c>
      <c r="N170" s="25"/>
      <c r="O170" s="26">
        <v>0</v>
      </c>
      <c r="P170" s="25"/>
      <c r="Q170" s="26">
        <v>0</v>
      </c>
      <c r="R170" s="25"/>
      <c r="S170" s="26">
        <v>0</v>
      </c>
      <c r="T170" s="25"/>
      <c r="U170" s="26">
        <v>0</v>
      </c>
      <c r="V170">
        <f t="shared" si="2"/>
        <v>0</v>
      </c>
    </row>
    <row r="171" spans="1:22">
      <c r="A171" s="24">
        <v>231</v>
      </c>
      <c r="B171" s="24">
        <v>1</v>
      </c>
      <c r="C171" s="24" t="s">
        <v>278</v>
      </c>
      <c r="D171" s="24" t="s">
        <v>278</v>
      </c>
      <c r="E171" s="24">
        <v>0</v>
      </c>
      <c r="F171" s="24">
        <v>0</v>
      </c>
      <c r="G171" s="24">
        <v>3</v>
      </c>
      <c r="H171" s="24">
        <v>2</v>
      </c>
      <c r="I171" s="24">
        <v>0</v>
      </c>
      <c r="J171" s="25"/>
      <c r="K171" s="25"/>
      <c r="L171" s="25" t="s">
        <v>279</v>
      </c>
      <c r="M171" s="26">
        <v>0</v>
      </c>
      <c r="N171" s="25"/>
      <c r="O171" s="26">
        <v>0</v>
      </c>
      <c r="P171" s="25"/>
      <c r="Q171" s="26">
        <v>0</v>
      </c>
      <c r="R171" s="25"/>
      <c r="S171" s="26">
        <v>0</v>
      </c>
      <c r="T171" s="25"/>
      <c r="U171" s="26">
        <v>0</v>
      </c>
      <c r="V171">
        <f t="shared" si="2"/>
        <v>0</v>
      </c>
    </row>
    <row r="172" spans="1:22">
      <c r="A172" s="24">
        <v>232</v>
      </c>
      <c r="B172" s="24">
        <v>1</v>
      </c>
      <c r="C172" s="24" t="s">
        <v>280</v>
      </c>
      <c r="D172" s="24" t="s">
        <v>280</v>
      </c>
      <c r="E172" s="24">
        <v>0</v>
      </c>
      <c r="F172" s="24">
        <v>0</v>
      </c>
      <c r="G172" s="24">
        <v>3</v>
      </c>
      <c r="H172" s="24">
        <v>2</v>
      </c>
      <c r="I172" s="24">
        <v>0</v>
      </c>
      <c r="J172" s="25"/>
      <c r="K172" s="25"/>
      <c r="L172" s="25" t="s">
        <v>281</v>
      </c>
      <c r="M172" s="26">
        <v>0</v>
      </c>
      <c r="N172" s="25"/>
      <c r="O172" s="26">
        <v>0</v>
      </c>
      <c r="P172" s="25"/>
      <c r="Q172" s="26">
        <v>0</v>
      </c>
      <c r="R172" s="25"/>
      <c r="S172" s="26">
        <v>0</v>
      </c>
      <c r="T172" s="25"/>
      <c r="U172" s="26">
        <v>0</v>
      </c>
      <c r="V172">
        <f t="shared" si="2"/>
        <v>0</v>
      </c>
    </row>
    <row r="173" spans="1:22">
      <c r="A173" s="24">
        <v>233</v>
      </c>
      <c r="B173" s="24">
        <v>1</v>
      </c>
      <c r="C173" s="24" t="s">
        <v>282</v>
      </c>
      <c r="D173" s="24" t="s">
        <v>282</v>
      </c>
      <c r="E173" s="24">
        <v>0</v>
      </c>
      <c r="F173" s="24">
        <v>0</v>
      </c>
      <c r="G173" s="24">
        <v>3</v>
      </c>
      <c r="H173" s="24">
        <v>2</v>
      </c>
      <c r="I173" s="24">
        <v>0</v>
      </c>
      <c r="J173" s="25"/>
      <c r="K173" s="25"/>
      <c r="L173" s="25" t="s">
        <v>283</v>
      </c>
      <c r="M173" s="26">
        <v>0</v>
      </c>
      <c r="N173" s="25"/>
      <c r="O173" s="26">
        <v>0</v>
      </c>
      <c r="P173" s="25"/>
      <c r="Q173" s="26">
        <v>0</v>
      </c>
      <c r="R173" s="25"/>
      <c r="S173" s="26">
        <v>0</v>
      </c>
      <c r="T173" s="25"/>
      <c r="U173" s="26">
        <v>0</v>
      </c>
      <c r="V173">
        <f t="shared" si="2"/>
        <v>0</v>
      </c>
    </row>
    <row r="174" spans="1:22">
      <c r="A174" s="24">
        <v>234</v>
      </c>
      <c r="B174" s="24">
        <v>1</v>
      </c>
      <c r="C174" s="24" t="s">
        <v>284</v>
      </c>
      <c r="D174" s="24" t="s">
        <v>284</v>
      </c>
      <c r="E174" s="24">
        <v>0</v>
      </c>
      <c r="F174" s="24">
        <v>0</v>
      </c>
      <c r="G174" s="24">
        <v>3</v>
      </c>
      <c r="H174" s="24">
        <v>2</v>
      </c>
      <c r="I174" s="24">
        <v>0</v>
      </c>
      <c r="J174" s="25"/>
      <c r="K174" s="25"/>
      <c r="L174" s="25" t="s">
        <v>285</v>
      </c>
      <c r="M174" s="26">
        <v>0</v>
      </c>
      <c r="N174" s="25"/>
      <c r="O174" s="26">
        <v>0</v>
      </c>
      <c r="P174" s="25"/>
      <c r="Q174" s="26">
        <v>0</v>
      </c>
      <c r="R174" s="25"/>
      <c r="S174" s="26">
        <v>0</v>
      </c>
      <c r="T174" s="25"/>
      <c r="U174" s="26">
        <v>0</v>
      </c>
      <c r="V174">
        <f t="shared" si="2"/>
        <v>0</v>
      </c>
    </row>
    <row r="175" spans="1:22">
      <c r="A175" s="24">
        <v>235</v>
      </c>
      <c r="B175" s="24">
        <v>1</v>
      </c>
      <c r="C175" s="24" t="s">
        <v>286</v>
      </c>
      <c r="D175" s="24" t="s">
        <v>286</v>
      </c>
      <c r="E175" s="24">
        <v>0</v>
      </c>
      <c r="F175" s="24">
        <v>0</v>
      </c>
      <c r="G175" s="24">
        <v>3</v>
      </c>
      <c r="H175" s="24">
        <v>2</v>
      </c>
      <c r="I175" s="24">
        <v>0</v>
      </c>
      <c r="J175" s="25"/>
      <c r="K175" s="25"/>
      <c r="L175" s="25" t="s">
        <v>287</v>
      </c>
      <c r="M175" s="26">
        <v>0</v>
      </c>
      <c r="N175" s="25"/>
      <c r="O175" s="26">
        <v>0</v>
      </c>
      <c r="P175" s="25"/>
      <c r="Q175" s="26">
        <v>0</v>
      </c>
      <c r="R175" s="25"/>
      <c r="S175" s="26">
        <v>0</v>
      </c>
      <c r="T175" s="25"/>
      <c r="U175" s="26">
        <v>0</v>
      </c>
      <c r="V175">
        <f t="shared" si="2"/>
        <v>0</v>
      </c>
    </row>
    <row r="176" spans="1:22">
      <c r="A176" s="24">
        <v>236</v>
      </c>
      <c r="B176" s="24">
        <v>1</v>
      </c>
      <c r="C176" s="24" t="s">
        <v>288</v>
      </c>
      <c r="D176" s="24" t="s">
        <v>288</v>
      </c>
      <c r="E176" s="24">
        <v>0</v>
      </c>
      <c r="F176" s="24">
        <v>237</v>
      </c>
      <c r="G176" s="24">
        <v>1</v>
      </c>
      <c r="H176" s="24">
        <v>2</v>
      </c>
      <c r="I176" s="24">
        <v>0</v>
      </c>
      <c r="J176" s="25"/>
      <c r="K176" s="25"/>
      <c r="L176" s="25" t="s">
        <v>289</v>
      </c>
      <c r="M176" s="26">
        <v>0</v>
      </c>
      <c r="N176" s="25" t="s">
        <v>290</v>
      </c>
      <c r="O176" s="26">
        <v>0</v>
      </c>
      <c r="P176" s="25" t="s">
        <v>77</v>
      </c>
      <c r="Q176" s="26">
        <v>0</v>
      </c>
      <c r="R176" s="25"/>
      <c r="S176" s="26">
        <v>0</v>
      </c>
      <c r="T176" s="25"/>
      <c r="U176" s="26">
        <v>0</v>
      </c>
      <c r="V176">
        <f t="shared" si="2"/>
        <v>0</v>
      </c>
    </row>
    <row r="177" spans="1:22">
      <c r="A177" s="24">
        <v>237</v>
      </c>
      <c r="B177" s="24">
        <v>1</v>
      </c>
      <c r="C177" s="24" t="s">
        <v>288</v>
      </c>
      <c r="D177" s="24" t="s">
        <v>288</v>
      </c>
      <c r="E177" s="24">
        <v>0</v>
      </c>
      <c r="F177" s="24">
        <v>237</v>
      </c>
      <c r="G177" s="24">
        <v>1</v>
      </c>
      <c r="H177" s="24">
        <v>2</v>
      </c>
      <c r="I177" s="24">
        <v>0</v>
      </c>
      <c r="J177" s="25"/>
      <c r="K177" s="25"/>
      <c r="L177" s="25" t="s">
        <v>289</v>
      </c>
      <c r="M177" s="26">
        <v>0</v>
      </c>
      <c r="N177" s="25" t="s">
        <v>290</v>
      </c>
      <c r="O177" s="26">
        <v>0</v>
      </c>
      <c r="P177" s="25" t="s">
        <v>77</v>
      </c>
      <c r="Q177" s="26">
        <v>0</v>
      </c>
      <c r="R177" s="25"/>
      <c r="S177" s="26">
        <v>0</v>
      </c>
      <c r="T177" s="25"/>
      <c r="U177" s="26">
        <v>0</v>
      </c>
      <c r="V177">
        <f t="shared" si="2"/>
        <v>0</v>
      </c>
    </row>
    <row r="178" spans="1:22">
      <c r="A178" s="24">
        <v>238</v>
      </c>
      <c r="B178" s="24">
        <v>2</v>
      </c>
      <c r="C178" s="24" t="s">
        <v>291</v>
      </c>
      <c r="D178" s="24" t="s">
        <v>291</v>
      </c>
      <c r="E178" s="24">
        <v>0</v>
      </c>
      <c r="F178" s="24">
        <v>239</v>
      </c>
      <c r="G178" s="24">
        <v>2</v>
      </c>
      <c r="H178" s="24">
        <v>0</v>
      </c>
      <c r="I178" s="24">
        <v>0</v>
      </c>
      <c r="J178" s="25"/>
      <c r="K178" s="25"/>
      <c r="L178" s="25" t="s">
        <v>291</v>
      </c>
      <c r="M178" s="26">
        <v>0</v>
      </c>
      <c r="N178" s="25" t="s">
        <v>120</v>
      </c>
      <c r="O178" s="26">
        <v>0</v>
      </c>
      <c r="P178" s="25"/>
      <c r="Q178" s="26">
        <v>0</v>
      </c>
      <c r="R178" s="25"/>
      <c r="S178" s="26">
        <v>0</v>
      </c>
      <c r="T178" s="25"/>
      <c r="U178" s="26">
        <v>0</v>
      </c>
      <c r="V178">
        <f t="shared" si="2"/>
        <v>0</v>
      </c>
    </row>
    <row r="179" spans="1:22">
      <c r="A179" s="24">
        <v>240</v>
      </c>
      <c r="B179" s="24">
        <v>2</v>
      </c>
      <c r="C179" s="24" t="s">
        <v>292</v>
      </c>
      <c r="D179" s="24" t="s">
        <v>292</v>
      </c>
      <c r="E179" s="24">
        <v>0</v>
      </c>
      <c r="F179" s="24">
        <v>241</v>
      </c>
      <c r="G179" s="24">
        <v>2</v>
      </c>
      <c r="H179" s="24">
        <v>0</v>
      </c>
      <c r="I179" s="24">
        <v>0</v>
      </c>
      <c r="J179" s="25"/>
      <c r="K179" s="25"/>
      <c r="L179" s="25" t="s">
        <v>292</v>
      </c>
      <c r="M179" s="26">
        <v>0</v>
      </c>
      <c r="N179" s="25" t="s">
        <v>72</v>
      </c>
      <c r="O179" s="26">
        <v>0</v>
      </c>
      <c r="P179" s="25"/>
      <c r="Q179" s="26">
        <v>0</v>
      </c>
      <c r="R179" s="25"/>
      <c r="S179" s="26">
        <v>0</v>
      </c>
      <c r="T179" s="25"/>
      <c r="U179" s="26">
        <v>0</v>
      </c>
      <c r="V179">
        <f t="shared" si="2"/>
        <v>0</v>
      </c>
    </row>
    <row r="180" spans="1:22">
      <c r="A180" s="24">
        <v>241</v>
      </c>
      <c r="B180" s="24">
        <v>2</v>
      </c>
      <c r="C180" s="24" t="s">
        <v>293</v>
      </c>
      <c r="D180" s="24" t="s">
        <v>293</v>
      </c>
      <c r="E180" s="24">
        <v>0</v>
      </c>
      <c r="F180" s="24">
        <v>0</v>
      </c>
      <c r="G180" s="24">
        <v>2</v>
      </c>
      <c r="H180" s="24">
        <v>2</v>
      </c>
      <c r="I180" s="24">
        <v>0</v>
      </c>
      <c r="J180" s="25"/>
      <c r="K180" s="25"/>
      <c r="L180" s="25" t="s">
        <v>293</v>
      </c>
      <c r="M180" s="26">
        <v>0</v>
      </c>
      <c r="N180" s="25"/>
      <c r="O180" s="26">
        <v>0</v>
      </c>
      <c r="P180" s="25"/>
      <c r="Q180" s="26">
        <v>0</v>
      </c>
      <c r="R180" s="25"/>
      <c r="S180" s="26">
        <v>0</v>
      </c>
      <c r="T180" s="25"/>
      <c r="U180" s="26">
        <v>0</v>
      </c>
      <c r="V180">
        <f t="shared" si="2"/>
        <v>0</v>
      </c>
    </row>
    <row r="181" spans="1:22">
      <c r="A181" s="24">
        <v>242</v>
      </c>
      <c r="B181" s="24">
        <v>2</v>
      </c>
      <c r="C181" s="24" t="s">
        <v>294</v>
      </c>
      <c r="D181" s="24" t="s">
        <v>294</v>
      </c>
      <c r="E181" s="24">
        <v>0</v>
      </c>
      <c r="F181" s="24">
        <v>0</v>
      </c>
      <c r="G181" s="24">
        <v>2</v>
      </c>
      <c r="H181" s="24">
        <v>2</v>
      </c>
      <c r="I181" s="24">
        <v>0</v>
      </c>
      <c r="J181" s="25"/>
      <c r="K181" s="25"/>
      <c r="L181" s="25" t="s">
        <v>294</v>
      </c>
      <c r="M181" s="26">
        <v>0</v>
      </c>
      <c r="N181" s="25"/>
      <c r="O181" s="26">
        <v>0</v>
      </c>
      <c r="P181" s="25"/>
      <c r="Q181" s="26">
        <v>0</v>
      </c>
      <c r="R181" s="25"/>
      <c r="S181" s="26">
        <v>0</v>
      </c>
      <c r="T181" s="25"/>
      <c r="U181" s="26">
        <v>0</v>
      </c>
      <c r="V181">
        <f t="shared" si="2"/>
        <v>0</v>
      </c>
    </row>
    <row r="182" spans="1:22">
      <c r="A182" s="24">
        <v>243</v>
      </c>
      <c r="B182" s="24">
        <v>2</v>
      </c>
      <c r="C182" s="24" t="s">
        <v>295</v>
      </c>
      <c r="D182" s="24" t="s">
        <v>295</v>
      </c>
      <c r="E182" s="24">
        <v>0</v>
      </c>
      <c r="F182" s="24">
        <v>0</v>
      </c>
      <c r="G182" s="24">
        <v>2</v>
      </c>
      <c r="H182" s="24">
        <v>2</v>
      </c>
      <c r="I182" s="24">
        <v>0</v>
      </c>
      <c r="J182" s="25"/>
      <c r="K182" s="25"/>
      <c r="L182" s="25" t="s">
        <v>295</v>
      </c>
      <c r="M182" s="26">
        <v>0</v>
      </c>
      <c r="N182" s="25"/>
      <c r="O182" s="26">
        <v>0</v>
      </c>
      <c r="P182" s="25"/>
      <c r="Q182" s="26">
        <v>0</v>
      </c>
      <c r="R182" s="25"/>
      <c r="S182" s="26">
        <v>0</v>
      </c>
      <c r="T182" s="25"/>
      <c r="U182" s="26">
        <v>0</v>
      </c>
      <c r="V182">
        <f t="shared" si="2"/>
        <v>0</v>
      </c>
    </row>
    <row r="183" spans="1:22">
      <c r="A183" s="24">
        <v>244</v>
      </c>
      <c r="B183" s="24">
        <v>2</v>
      </c>
      <c r="C183" s="24" t="s">
        <v>296</v>
      </c>
      <c r="D183" s="24" t="s">
        <v>296</v>
      </c>
      <c r="E183" s="24">
        <v>0</v>
      </c>
      <c r="F183" s="24">
        <v>0</v>
      </c>
      <c r="G183" s="24">
        <v>2</v>
      </c>
      <c r="H183" s="24">
        <v>2</v>
      </c>
      <c r="I183" s="24">
        <v>0</v>
      </c>
      <c r="J183" s="25"/>
      <c r="K183" s="25"/>
      <c r="L183" s="25" t="s">
        <v>296</v>
      </c>
      <c r="M183" s="26">
        <v>0</v>
      </c>
      <c r="N183" s="25"/>
      <c r="O183" s="26">
        <v>0</v>
      </c>
      <c r="P183" s="25"/>
      <c r="Q183" s="26">
        <v>0</v>
      </c>
      <c r="R183" s="25"/>
      <c r="S183" s="26">
        <v>0</v>
      </c>
      <c r="T183" s="25"/>
      <c r="U183" s="26">
        <v>0</v>
      </c>
      <c r="V183">
        <f t="shared" si="2"/>
        <v>0</v>
      </c>
    </row>
    <row r="184" spans="1:22">
      <c r="A184" s="24">
        <v>245</v>
      </c>
      <c r="B184" s="24">
        <v>2</v>
      </c>
      <c r="C184" s="24" t="s">
        <v>297</v>
      </c>
      <c r="D184" s="24" t="s">
        <v>297</v>
      </c>
      <c r="E184" s="24">
        <v>0</v>
      </c>
      <c r="F184" s="24">
        <v>0</v>
      </c>
      <c r="G184" s="24">
        <v>2</v>
      </c>
      <c r="H184" s="24">
        <v>2</v>
      </c>
      <c r="I184" s="24">
        <v>0</v>
      </c>
      <c r="J184" s="25"/>
      <c r="K184" s="25"/>
      <c r="L184" s="25" t="s">
        <v>297</v>
      </c>
      <c r="M184" s="26">
        <v>0</v>
      </c>
      <c r="N184" s="25"/>
      <c r="O184" s="26">
        <v>0</v>
      </c>
      <c r="P184" s="25"/>
      <c r="Q184" s="26">
        <v>0</v>
      </c>
      <c r="R184" s="25"/>
      <c r="S184" s="26">
        <v>0</v>
      </c>
      <c r="T184" s="25"/>
      <c r="U184" s="26">
        <v>0</v>
      </c>
      <c r="V184">
        <f t="shared" si="2"/>
        <v>0</v>
      </c>
    </row>
    <row r="185" spans="1:22">
      <c r="A185" s="24">
        <v>246</v>
      </c>
      <c r="B185" s="24">
        <v>2</v>
      </c>
      <c r="C185" s="24" t="s">
        <v>298</v>
      </c>
      <c r="D185" s="24" t="s">
        <v>298</v>
      </c>
      <c r="E185" s="24">
        <v>0</v>
      </c>
      <c r="F185" s="24">
        <v>0</v>
      </c>
      <c r="G185" s="24">
        <v>2</v>
      </c>
      <c r="H185" s="24">
        <v>2</v>
      </c>
      <c r="I185" s="24">
        <v>0</v>
      </c>
      <c r="J185" s="25"/>
      <c r="K185" s="25"/>
      <c r="L185" s="25" t="s">
        <v>298</v>
      </c>
      <c r="M185" s="26">
        <v>0</v>
      </c>
      <c r="N185" s="25"/>
      <c r="O185" s="26">
        <v>0</v>
      </c>
      <c r="P185" s="25"/>
      <c r="Q185" s="26">
        <v>0</v>
      </c>
      <c r="R185" s="25"/>
      <c r="S185" s="26">
        <v>0</v>
      </c>
      <c r="T185" s="25"/>
      <c r="U185" s="26">
        <v>0</v>
      </c>
      <c r="V185">
        <f t="shared" si="2"/>
        <v>0</v>
      </c>
    </row>
    <row r="186" spans="1:22">
      <c r="A186" s="24">
        <v>247</v>
      </c>
      <c r="B186" s="24">
        <v>2</v>
      </c>
      <c r="C186" s="24" t="s">
        <v>299</v>
      </c>
      <c r="D186" s="24" t="s">
        <v>299</v>
      </c>
      <c r="E186" s="24">
        <v>0</v>
      </c>
      <c r="F186" s="24">
        <v>0</v>
      </c>
      <c r="G186" s="24">
        <v>2</v>
      </c>
      <c r="H186" s="24">
        <v>2</v>
      </c>
      <c r="I186" s="24">
        <v>0</v>
      </c>
      <c r="J186" s="25"/>
      <c r="K186" s="25"/>
      <c r="L186" s="25" t="s">
        <v>299</v>
      </c>
      <c r="M186" s="26">
        <v>0</v>
      </c>
      <c r="N186" s="25"/>
      <c r="O186" s="26">
        <v>0</v>
      </c>
      <c r="P186" s="25"/>
      <c r="Q186" s="26">
        <v>0</v>
      </c>
      <c r="R186" s="25"/>
      <c r="S186" s="26">
        <v>0</v>
      </c>
      <c r="T186" s="25"/>
      <c r="U186" s="26">
        <v>0</v>
      </c>
      <c r="V186">
        <f t="shared" si="2"/>
        <v>0</v>
      </c>
    </row>
    <row r="187" spans="1:22">
      <c r="A187" s="24">
        <v>248</v>
      </c>
      <c r="B187" s="24">
        <v>2</v>
      </c>
      <c r="C187" s="24" t="s">
        <v>300</v>
      </c>
      <c r="D187" s="24" t="s">
        <v>300</v>
      </c>
      <c r="E187" s="24">
        <v>0</v>
      </c>
      <c r="F187" s="24">
        <v>0</v>
      </c>
      <c r="G187" s="24">
        <v>2</v>
      </c>
      <c r="H187" s="24">
        <v>2</v>
      </c>
      <c r="I187" s="24">
        <v>0</v>
      </c>
      <c r="J187" s="25"/>
      <c r="K187" s="25"/>
      <c r="L187" s="25" t="s">
        <v>300</v>
      </c>
      <c r="M187" s="26">
        <v>0</v>
      </c>
      <c r="N187" s="25"/>
      <c r="O187" s="26">
        <v>0</v>
      </c>
      <c r="P187" s="25"/>
      <c r="Q187" s="26">
        <v>0</v>
      </c>
      <c r="R187" s="25"/>
      <c r="S187" s="26">
        <v>0</v>
      </c>
      <c r="T187" s="25"/>
      <c r="U187" s="26">
        <v>0</v>
      </c>
      <c r="V187">
        <f t="shared" si="2"/>
        <v>0</v>
      </c>
    </row>
    <row r="188" spans="1:22">
      <c r="A188" s="24">
        <v>250</v>
      </c>
      <c r="B188" s="24">
        <v>2</v>
      </c>
      <c r="C188" s="24" t="s">
        <v>301</v>
      </c>
      <c r="D188" s="24" t="s">
        <v>301</v>
      </c>
      <c r="E188" s="24">
        <v>0</v>
      </c>
      <c r="F188" s="24">
        <v>0</v>
      </c>
      <c r="G188" s="24">
        <v>2</v>
      </c>
      <c r="H188" s="24">
        <v>2</v>
      </c>
      <c r="I188" s="24">
        <v>0</v>
      </c>
      <c r="J188" s="25"/>
      <c r="K188" s="25"/>
      <c r="L188" s="25" t="s">
        <v>68</v>
      </c>
      <c r="M188" s="26">
        <v>1</v>
      </c>
      <c r="N188" s="25" t="s">
        <v>119</v>
      </c>
      <c r="O188" s="26">
        <v>0</v>
      </c>
      <c r="P188" s="25" t="s">
        <v>302</v>
      </c>
      <c r="Q188" s="26">
        <v>0</v>
      </c>
      <c r="R188" s="25" t="s">
        <v>303</v>
      </c>
      <c r="S188" s="26">
        <v>0</v>
      </c>
      <c r="T188" s="25" t="s">
        <v>304</v>
      </c>
      <c r="U188" s="26">
        <v>0</v>
      </c>
      <c r="V188">
        <f t="shared" si="2"/>
        <v>0</v>
      </c>
    </row>
    <row r="189" spans="1:22">
      <c r="A189" s="24">
        <v>251</v>
      </c>
      <c r="B189" s="24">
        <v>2</v>
      </c>
      <c r="C189" s="24" t="s">
        <v>305</v>
      </c>
      <c r="D189" s="24" t="s">
        <v>305</v>
      </c>
      <c r="E189" s="24">
        <v>0</v>
      </c>
      <c r="F189" s="24">
        <v>0</v>
      </c>
      <c r="G189" s="24">
        <v>2</v>
      </c>
      <c r="H189" s="24">
        <v>2</v>
      </c>
      <c r="I189" s="24">
        <v>0</v>
      </c>
      <c r="J189" s="25"/>
      <c r="K189" s="25"/>
      <c r="L189" s="25" t="s">
        <v>305</v>
      </c>
      <c r="M189" s="26">
        <v>0</v>
      </c>
      <c r="N189" s="25"/>
      <c r="O189" s="26">
        <v>0</v>
      </c>
      <c r="P189" s="25"/>
      <c r="Q189" s="26">
        <v>0</v>
      </c>
      <c r="R189" s="25"/>
      <c r="S189" s="26">
        <v>0</v>
      </c>
      <c r="T189" s="25"/>
      <c r="U189" s="26">
        <v>0</v>
      </c>
      <c r="V189">
        <f t="shared" si="2"/>
        <v>0</v>
      </c>
    </row>
    <row r="190" spans="1:22">
      <c r="A190" s="24">
        <v>252</v>
      </c>
      <c r="B190" s="24">
        <v>2</v>
      </c>
      <c r="C190" s="24" t="s">
        <v>306</v>
      </c>
      <c r="D190" s="24" t="s">
        <v>306</v>
      </c>
      <c r="E190" s="24">
        <v>0</v>
      </c>
      <c r="F190" s="24">
        <v>0</v>
      </c>
      <c r="G190" s="24">
        <v>2</v>
      </c>
      <c r="H190" s="24">
        <v>2</v>
      </c>
      <c r="I190" s="24">
        <v>0</v>
      </c>
      <c r="J190" s="25"/>
      <c r="K190" s="25"/>
      <c r="L190" s="25" t="s">
        <v>306</v>
      </c>
      <c r="M190" s="26">
        <v>0</v>
      </c>
      <c r="N190" s="25"/>
      <c r="O190" s="26">
        <v>0</v>
      </c>
      <c r="P190" s="25"/>
      <c r="Q190" s="26">
        <v>0</v>
      </c>
      <c r="R190" s="25"/>
      <c r="S190" s="26">
        <v>0</v>
      </c>
      <c r="T190" s="25"/>
      <c r="U190" s="26">
        <v>0</v>
      </c>
      <c r="V190">
        <f t="shared" si="2"/>
        <v>0</v>
      </c>
    </row>
    <row r="191" spans="1:22">
      <c r="A191" s="24">
        <v>253</v>
      </c>
      <c r="B191" s="24">
        <v>2</v>
      </c>
      <c r="C191" s="24" t="s">
        <v>307</v>
      </c>
      <c r="D191" s="24" t="s">
        <v>307</v>
      </c>
      <c r="E191" s="24">
        <v>0</v>
      </c>
      <c r="F191" s="24">
        <v>0</v>
      </c>
      <c r="G191" s="24">
        <v>2</v>
      </c>
      <c r="H191" s="24">
        <v>2</v>
      </c>
      <c r="I191" s="24">
        <v>0</v>
      </c>
      <c r="J191" s="25"/>
      <c r="K191" s="25"/>
      <c r="L191" s="25" t="s">
        <v>307</v>
      </c>
      <c r="M191" s="26">
        <v>0</v>
      </c>
      <c r="N191" s="25"/>
      <c r="O191" s="26">
        <v>0</v>
      </c>
      <c r="P191" s="25"/>
      <c r="Q191" s="26">
        <v>0</v>
      </c>
      <c r="R191" s="25"/>
      <c r="S191" s="26">
        <v>0</v>
      </c>
      <c r="T191" s="25"/>
      <c r="U191" s="26">
        <v>0</v>
      </c>
      <c r="V191">
        <f t="shared" si="2"/>
        <v>0</v>
      </c>
    </row>
    <row r="192" spans="1:22">
      <c r="A192" s="24">
        <v>254</v>
      </c>
      <c r="B192" s="24">
        <v>2</v>
      </c>
      <c r="C192" s="24" t="s">
        <v>308</v>
      </c>
      <c r="D192" s="24" t="s">
        <v>308</v>
      </c>
      <c r="E192" s="24">
        <v>0</v>
      </c>
      <c r="F192" s="24">
        <v>0</v>
      </c>
      <c r="G192" s="24">
        <v>2</v>
      </c>
      <c r="H192" s="24">
        <v>2</v>
      </c>
      <c r="I192" s="24">
        <v>0</v>
      </c>
      <c r="J192" s="25"/>
      <c r="K192" s="25"/>
      <c r="L192" s="25" t="s">
        <v>308</v>
      </c>
      <c r="M192" s="26">
        <v>0</v>
      </c>
      <c r="N192" s="25"/>
      <c r="O192" s="26">
        <v>0</v>
      </c>
      <c r="P192" s="25"/>
      <c r="Q192" s="26">
        <v>0</v>
      </c>
      <c r="R192" s="25"/>
      <c r="S192" s="26">
        <v>0</v>
      </c>
      <c r="T192" s="25"/>
      <c r="U192" s="26">
        <v>0</v>
      </c>
      <c r="V192">
        <f t="shared" si="2"/>
        <v>0</v>
      </c>
    </row>
    <row r="193" spans="1:22">
      <c r="A193" s="24">
        <v>255</v>
      </c>
      <c r="B193" s="24">
        <v>2</v>
      </c>
      <c r="C193" s="24" t="s">
        <v>309</v>
      </c>
      <c r="D193" s="24" t="s">
        <v>309</v>
      </c>
      <c r="E193" s="24">
        <v>0</v>
      </c>
      <c r="F193" s="24">
        <v>0</v>
      </c>
      <c r="G193" s="24">
        <v>2</v>
      </c>
      <c r="H193" s="24">
        <v>2</v>
      </c>
      <c r="I193" s="24">
        <v>0</v>
      </c>
      <c r="J193" s="25"/>
      <c r="K193" s="25"/>
      <c r="L193" s="25" t="s">
        <v>310</v>
      </c>
      <c r="M193" s="26">
        <v>0</v>
      </c>
      <c r="N193" s="25"/>
      <c r="O193" s="26">
        <v>0</v>
      </c>
      <c r="P193" s="25"/>
      <c r="Q193" s="26">
        <v>0</v>
      </c>
      <c r="R193" s="25"/>
      <c r="S193" s="26">
        <v>0</v>
      </c>
      <c r="T193" s="25"/>
      <c r="U193" s="26">
        <v>0</v>
      </c>
      <c r="V193">
        <f t="shared" si="2"/>
        <v>0</v>
      </c>
    </row>
    <row r="194" spans="1:22">
      <c r="A194" s="24">
        <v>256</v>
      </c>
      <c r="B194" s="24">
        <v>2</v>
      </c>
      <c r="C194" s="24" t="s">
        <v>311</v>
      </c>
      <c r="D194" s="24" t="s">
        <v>311</v>
      </c>
      <c r="E194" s="24">
        <v>0</v>
      </c>
      <c r="F194" s="24">
        <v>0</v>
      </c>
      <c r="G194" s="24">
        <v>2</v>
      </c>
      <c r="H194" s="24">
        <v>2</v>
      </c>
      <c r="I194" s="24">
        <v>0</v>
      </c>
      <c r="J194" s="25"/>
      <c r="K194" s="25"/>
      <c r="L194" s="25" t="s">
        <v>311</v>
      </c>
      <c r="M194" s="26">
        <v>0</v>
      </c>
      <c r="N194" s="25"/>
      <c r="O194" s="26">
        <v>0</v>
      </c>
      <c r="P194" s="25"/>
      <c r="Q194" s="26">
        <v>0</v>
      </c>
      <c r="R194" s="25"/>
      <c r="S194" s="26">
        <v>0</v>
      </c>
      <c r="T194" s="25"/>
      <c r="U194" s="26">
        <v>0</v>
      </c>
      <c r="V194">
        <f t="shared" ref="V194:V257" si="3">IF(OR(COUNTIF(D194,"*赤*"),COUNTIF(D194,"*キャラ*")),100,0)</f>
        <v>0</v>
      </c>
    </row>
    <row r="195" spans="1:22">
      <c r="A195" s="24">
        <v>257</v>
      </c>
      <c r="B195" s="24">
        <v>2</v>
      </c>
      <c r="C195" s="24" t="s">
        <v>312</v>
      </c>
      <c r="D195" s="24" t="s">
        <v>312</v>
      </c>
      <c r="E195" s="24">
        <v>0</v>
      </c>
      <c r="F195" s="24">
        <v>0</v>
      </c>
      <c r="G195" s="24">
        <v>2</v>
      </c>
      <c r="H195" s="24">
        <v>2</v>
      </c>
      <c r="I195" s="24">
        <v>0</v>
      </c>
      <c r="J195" s="25"/>
      <c r="K195" s="25"/>
      <c r="L195" s="25" t="s">
        <v>312</v>
      </c>
      <c r="M195" s="26">
        <v>0</v>
      </c>
      <c r="N195" s="25"/>
      <c r="O195" s="26">
        <v>0</v>
      </c>
      <c r="P195" s="25"/>
      <c r="Q195" s="26">
        <v>0</v>
      </c>
      <c r="R195" s="25"/>
      <c r="S195" s="26">
        <v>0</v>
      </c>
      <c r="T195" s="25"/>
      <c r="U195" s="26">
        <v>0</v>
      </c>
      <c r="V195">
        <f t="shared" si="3"/>
        <v>0</v>
      </c>
    </row>
    <row r="196" spans="1:22">
      <c r="A196" s="24">
        <v>258</v>
      </c>
      <c r="B196" s="24">
        <v>2</v>
      </c>
      <c r="C196" s="24" t="s">
        <v>243</v>
      </c>
      <c r="D196" s="24" t="s">
        <v>243</v>
      </c>
      <c r="E196" s="24">
        <v>0</v>
      </c>
      <c r="F196" s="24">
        <v>0</v>
      </c>
      <c r="G196" s="24">
        <v>2</v>
      </c>
      <c r="H196" s="24">
        <v>2</v>
      </c>
      <c r="I196" s="24">
        <v>0</v>
      </c>
      <c r="J196" s="25"/>
      <c r="K196" s="25"/>
      <c r="L196" s="25" t="s">
        <v>243</v>
      </c>
      <c r="M196" s="26">
        <v>0</v>
      </c>
      <c r="N196" s="25"/>
      <c r="O196" s="26">
        <v>0</v>
      </c>
      <c r="P196" s="25"/>
      <c r="Q196" s="26">
        <v>0</v>
      </c>
      <c r="R196" s="25"/>
      <c r="S196" s="26">
        <v>0</v>
      </c>
      <c r="T196" s="25"/>
      <c r="U196" s="26">
        <v>0</v>
      </c>
      <c r="V196">
        <f t="shared" si="3"/>
        <v>0</v>
      </c>
    </row>
    <row r="197" spans="1:22">
      <c r="A197" s="24">
        <v>259</v>
      </c>
      <c r="B197" s="24">
        <v>2</v>
      </c>
      <c r="C197" s="24" t="s">
        <v>162</v>
      </c>
      <c r="D197" s="24" t="s">
        <v>162</v>
      </c>
      <c r="E197" s="24">
        <v>0</v>
      </c>
      <c r="F197" s="24">
        <v>0</v>
      </c>
      <c r="G197" s="24">
        <v>2</v>
      </c>
      <c r="H197" s="24">
        <v>2</v>
      </c>
      <c r="I197" s="24">
        <v>0</v>
      </c>
      <c r="J197" s="25"/>
      <c r="K197" s="25"/>
      <c r="L197" s="25" t="s">
        <v>162</v>
      </c>
      <c r="M197" s="26">
        <v>0</v>
      </c>
      <c r="N197" s="25"/>
      <c r="O197" s="26">
        <v>0</v>
      </c>
      <c r="P197" s="25"/>
      <c r="Q197" s="26">
        <v>0</v>
      </c>
      <c r="R197" s="25"/>
      <c r="S197" s="26">
        <v>0</v>
      </c>
      <c r="T197" s="25"/>
      <c r="U197" s="26">
        <v>0</v>
      </c>
      <c r="V197">
        <f t="shared" si="3"/>
        <v>0</v>
      </c>
    </row>
    <row r="198" spans="1:22">
      <c r="A198" s="24">
        <v>260</v>
      </c>
      <c r="B198" s="24">
        <v>2</v>
      </c>
      <c r="C198" s="24" t="s">
        <v>303</v>
      </c>
      <c r="D198" s="24" t="s">
        <v>303</v>
      </c>
      <c r="E198" s="24">
        <v>0</v>
      </c>
      <c r="F198" s="24">
        <v>0</v>
      </c>
      <c r="G198" s="24">
        <v>2</v>
      </c>
      <c r="H198" s="24">
        <v>2</v>
      </c>
      <c r="I198" s="24">
        <v>0</v>
      </c>
      <c r="J198" s="25"/>
      <c r="K198" s="25"/>
      <c r="L198" s="25" t="s">
        <v>303</v>
      </c>
      <c r="M198" s="26">
        <v>0</v>
      </c>
      <c r="N198" s="25"/>
      <c r="O198" s="26">
        <v>0</v>
      </c>
      <c r="P198" s="25"/>
      <c r="Q198" s="26">
        <v>0</v>
      </c>
      <c r="R198" s="25"/>
      <c r="S198" s="26">
        <v>0</v>
      </c>
      <c r="T198" s="25"/>
      <c r="U198" s="26">
        <v>0</v>
      </c>
      <c r="V198">
        <f t="shared" si="3"/>
        <v>0</v>
      </c>
    </row>
    <row r="199" spans="1:22">
      <c r="A199" s="24">
        <v>261</v>
      </c>
      <c r="B199" s="24">
        <v>2</v>
      </c>
      <c r="C199" s="24" t="s">
        <v>304</v>
      </c>
      <c r="D199" s="24" t="s">
        <v>304</v>
      </c>
      <c r="E199" s="24">
        <v>0</v>
      </c>
      <c r="F199" s="24">
        <v>0</v>
      </c>
      <c r="G199" s="24">
        <v>2</v>
      </c>
      <c r="H199" s="24">
        <v>2</v>
      </c>
      <c r="I199" s="24">
        <v>0</v>
      </c>
      <c r="J199" s="25"/>
      <c r="K199" s="25"/>
      <c r="L199" s="25" t="s">
        <v>304</v>
      </c>
      <c r="M199" s="26">
        <v>0</v>
      </c>
      <c r="N199" s="25"/>
      <c r="O199" s="26">
        <v>0</v>
      </c>
      <c r="P199" s="25"/>
      <c r="Q199" s="26">
        <v>0</v>
      </c>
      <c r="R199" s="25"/>
      <c r="S199" s="26">
        <v>0</v>
      </c>
      <c r="T199" s="25"/>
      <c r="U199" s="26">
        <v>0</v>
      </c>
      <c r="V199">
        <f t="shared" si="3"/>
        <v>0</v>
      </c>
    </row>
    <row r="200" spans="1:22">
      <c r="A200" s="27">
        <v>262</v>
      </c>
      <c r="B200" s="27">
        <v>2</v>
      </c>
      <c r="C200" s="27" t="s">
        <v>313</v>
      </c>
      <c r="D200" s="27" t="s">
        <v>313</v>
      </c>
      <c r="E200" s="27">
        <v>0</v>
      </c>
      <c r="F200" s="27">
        <v>0</v>
      </c>
      <c r="G200" s="27">
        <v>2</v>
      </c>
      <c r="H200" s="27">
        <v>2</v>
      </c>
      <c r="I200" s="27">
        <v>0</v>
      </c>
      <c r="J200" s="28"/>
      <c r="K200" s="28"/>
      <c r="L200" s="28" t="s">
        <v>119</v>
      </c>
      <c r="M200" s="29">
        <v>0</v>
      </c>
      <c r="N200" s="28"/>
      <c r="O200" s="29">
        <v>0</v>
      </c>
      <c r="P200" s="28"/>
      <c r="Q200" s="29">
        <v>0</v>
      </c>
      <c r="R200" s="28"/>
      <c r="S200" s="29">
        <v>0</v>
      </c>
      <c r="T200" s="28"/>
      <c r="U200" s="29">
        <v>0</v>
      </c>
      <c r="V200">
        <f t="shared" si="3"/>
        <v>0</v>
      </c>
    </row>
    <row r="201" spans="1:22">
      <c r="A201" s="30">
        <v>301</v>
      </c>
      <c r="B201" s="30">
        <v>2</v>
      </c>
      <c r="C201" s="30" t="s">
        <v>314</v>
      </c>
      <c r="D201" s="30" t="s">
        <v>314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/>
      <c r="M201" s="32"/>
      <c r="N201" s="31"/>
      <c r="O201" s="32"/>
      <c r="P201" s="31"/>
      <c r="Q201" s="32"/>
      <c r="R201" s="31"/>
      <c r="S201" s="32"/>
      <c r="T201" s="31"/>
      <c r="U201" s="32"/>
      <c r="V201">
        <f t="shared" si="3"/>
        <v>0</v>
      </c>
    </row>
    <row r="202" spans="1:22">
      <c r="A202" s="33">
        <v>302</v>
      </c>
      <c r="B202" s="33">
        <v>2</v>
      </c>
      <c r="C202" s="33" t="s">
        <v>315</v>
      </c>
      <c r="D202" s="33" t="s">
        <v>315</v>
      </c>
      <c r="E202" s="33">
        <v>0</v>
      </c>
      <c r="F202" s="33">
        <v>0</v>
      </c>
      <c r="G202" s="33">
        <v>2</v>
      </c>
      <c r="H202" s="33">
        <v>2</v>
      </c>
      <c r="I202" s="33">
        <v>0</v>
      </c>
      <c r="J202" s="34"/>
      <c r="K202" s="34"/>
      <c r="L202" s="34"/>
      <c r="M202" s="35"/>
      <c r="N202" s="34"/>
      <c r="O202" s="35"/>
      <c r="P202" s="34"/>
      <c r="Q202" s="35"/>
      <c r="R202" s="34"/>
      <c r="S202" s="35"/>
      <c r="T202" s="34"/>
      <c r="U202" s="35"/>
      <c r="V202">
        <f t="shared" si="3"/>
        <v>0</v>
      </c>
    </row>
    <row r="203" spans="1:22">
      <c r="A203" s="33">
        <v>303</v>
      </c>
      <c r="B203" s="33">
        <v>2</v>
      </c>
      <c r="C203" s="33" t="s">
        <v>316</v>
      </c>
      <c r="D203" s="33" t="s">
        <v>316</v>
      </c>
      <c r="E203" s="33">
        <v>0</v>
      </c>
      <c r="F203" s="33">
        <v>0</v>
      </c>
      <c r="G203" s="33">
        <v>2</v>
      </c>
      <c r="H203" s="33">
        <v>2</v>
      </c>
      <c r="I203" s="33">
        <v>0</v>
      </c>
      <c r="J203" s="34"/>
      <c r="K203" s="34"/>
      <c r="L203" s="34"/>
      <c r="M203" s="35"/>
      <c r="N203" s="34"/>
      <c r="O203" s="35"/>
      <c r="P203" s="34"/>
      <c r="Q203" s="35"/>
      <c r="R203" s="34"/>
      <c r="S203" s="35"/>
      <c r="T203" s="34"/>
      <c r="U203" s="35"/>
      <c r="V203">
        <f t="shared" si="3"/>
        <v>0</v>
      </c>
    </row>
    <row r="204" spans="1:22">
      <c r="A204" s="33">
        <v>304</v>
      </c>
      <c r="B204" s="33">
        <v>2</v>
      </c>
      <c r="C204" s="33" t="s">
        <v>317</v>
      </c>
      <c r="D204" s="33" t="s">
        <v>317</v>
      </c>
      <c r="E204" s="33">
        <v>0</v>
      </c>
      <c r="F204" s="33">
        <v>0</v>
      </c>
      <c r="G204" s="33">
        <v>2</v>
      </c>
      <c r="H204" s="33">
        <v>2</v>
      </c>
      <c r="I204" s="33">
        <v>0</v>
      </c>
      <c r="J204" s="34"/>
      <c r="K204" s="34"/>
      <c r="L204" s="34"/>
      <c r="M204" s="35"/>
      <c r="N204" s="34"/>
      <c r="O204" s="35"/>
      <c r="P204" s="34"/>
      <c r="Q204" s="35"/>
      <c r="R204" s="34"/>
      <c r="S204" s="35"/>
      <c r="T204" s="34"/>
      <c r="U204" s="35"/>
      <c r="V204">
        <f t="shared" si="3"/>
        <v>0</v>
      </c>
    </row>
    <row r="205" spans="1:22">
      <c r="A205" s="33">
        <v>305</v>
      </c>
      <c r="B205" s="33">
        <v>2</v>
      </c>
      <c r="C205" s="33" t="s">
        <v>318</v>
      </c>
      <c r="D205" s="33" t="s">
        <v>318</v>
      </c>
      <c r="E205" s="33">
        <v>0</v>
      </c>
      <c r="F205" s="33">
        <v>0</v>
      </c>
      <c r="G205" s="33">
        <v>2</v>
      </c>
      <c r="H205" s="33">
        <v>2</v>
      </c>
      <c r="I205" s="33">
        <v>0</v>
      </c>
      <c r="J205" s="34"/>
      <c r="K205" s="34"/>
      <c r="L205" s="34"/>
      <c r="M205" s="35"/>
      <c r="N205" s="34"/>
      <c r="O205" s="35"/>
      <c r="P205" s="34"/>
      <c r="Q205" s="35"/>
      <c r="R205" s="34"/>
      <c r="S205" s="35"/>
      <c r="T205" s="34"/>
      <c r="U205" s="35"/>
      <c r="V205">
        <f t="shared" si="3"/>
        <v>0</v>
      </c>
    </row>
    <row r="206" spans="1:22">
      <c r="A206" s="33">
        <v>306</v>
      </c>
      <c r="B206" s="33">
        <v>2</v>
      </c>
      <c r="C206" s="33" t="s">
        <v>319</v>
      </c>
      <c r="D206" s="33" t="s">
        <v>319</v>
      </c>
      <c r="E206" s="33">
        <v>0</v>
      </c>
      <c r="F206" s="33">
        <v>0</v>
      </c>
      <c r="G206" s="33">
        <v>2</v>
      </c>
      <c r="H206" s="33">
        <v>2</v>
      </c>
      <c r="I206" s="33">
        <v>0</v>
      </c>
      <c r="J206" s="34"/>
      <c r="K206" s="34"/>
      <c r="L206" s="34"/>
      <c r="M206" s="35"/>
      <c r="N206" s="34"/>
      <c r="O206" s="35"/>
      <c r="P206" s="34"/>
      <c r="Q206" s="35"/>
      <c r="R206" s="34"/>
      <c r="S206" s="35"/>
      <c r="T206" s="34"/>
      <c r="U206" s="35"/>
      <c r="V206">
        <f t="shared" si="3"/>
        <v>0</v>
      </c>
    </row>
    <row r="207" spans="1:22">
      <c r="A207" s="33">
        <v>307</v>
      </c>
      <c r="B207" s="33">
        <v>2</v>
      </c>
      <c r="C207" s="33" t="s">
        <v>274</v>
      </c>
      <c r="D207" s="33" t="s">
        <v>274</v>
      </c>
      <c r="E207" s="33">
        <v>0</v>
      </c>
      <c r="F207" s="33">
        <v>0</v>
      </c>
      <c r="G207" s="33">
        <v>2</v>
      </c>
      <c r="H207" s="33">
        <v>2</v>
      </c>
      <c r="I207" s="33">
        <v>0</v>
      </c>
      <c r="J207" s="34"/>
      <c r="K207" s="34"/>
      <c r="L207" s="34"/>
      <c r="M207" s="35"/>
      <c r="N207" s="34"/>
      <c r="O207" s="35"/>
      <c r="P207" s="34"/>
      <c r="Q207" s="35"/>
      <c r="R207" s="34"/>
      <c r="S207" s="35"/>
      <c r="T207" s="34"/>
      <c r="U207" s="35"/>
      <c r="V207">
        <f t="shared" si="3"/>
        <v>0</v>
      </c>
    </row>
    <row r="208" spans="1:22">
      <c r="A208" s="33">
        <v>308</v>
      </c>
      <c r="B208" s="33">
        <v>2</v>
      </c>
      <c r="C208" s="33" t="s">
        <v>117</v>
      </c>
      <c r="D208" s="33" t="s">
        <v>117</v>
      </c>
      <c r="E208" s="33">
        <v>0</v>
      </c>
      <c r="F208" s="33">
        <v>0</v>
      </c>
      <c r="G208" s="33">
        <v>2</v>
      </c>
      <c r="H208" s="33">
        <v>2</v>
      </c>
      <c r="I208" s="33">
        <v>0</v>
      </c>
      <c r="J208" s="34"/>
      <c r="K208" s="34"/>
      <c r="L208" s="34"/>
      <c r="M208" s="35"/>
      <c r="N208" s="34"/>
      <c r="O208" s="35"/>
      <c r="P208" s="34"/>
      <c r="Q208" s="35"/>
      <c r="R208" s="34"/>
      <c r="S208" s="35"/>
      <c r="T208" s="34"/>
      <c r="U208" s="35"/>
      <c r="V208">
        <f t="shared" si="3"/>
        <v>0</v>
      </c>
    </row>
    <row r="209" spans="1:22">
      <c r="A209" s="33">
        <v>309</v>
      </c>
      <c r="B209" s="33">
        <v>2</v>
      </c>
      <c r="C209" s="33" t="s">
        <v>320</v>
      </c>
      <c r="D209" s="33" t="s">
        <v>320</v>
      </c>
      <c r="E209" s="33">
        <v>0</v>
      </c>
      <c r="F209" s="33">
        <v>0</v>
      </c>
      <c r="G209" s="33">
        <v>2</v>
      </c>
      <c r="H209" s="33">
        <v>2</v>
      </c>
      <c r="I209" s="33">
        <v>0</v>
      </c>
      <c r="J209" s="34"/>
      <c r="K209" s="34"/>
      <c r="L209" s="34"/>
      <c r="M209" s="35"/>
      <c r="N209" s="34"/>
      <c r="O209" s="35"/>
      <c r="P209" s="34"/>
      <c r="Q209" s="35"/>
      <c r="R209" s="34"/>
      <c r="S209" s="35"/>
      <c r="T209" s="34"/>
      <c r="U209" s="35"/>
      <c r="V209">
        <f t="shared" si="3"/>
        <v>0</v>
      </c>
    </row>
    <row r="210" spans="1:22">
      <c r="A210" s="33">
        <v>310</v>
      </c>
      <c r="B210" s="33">
        <v>2</v>
      </c>
      <c r="C210" s="33" t="s">
        <v>321</v>
      </c>
      <c r="D210" s="33" t="s">
        <v>321</v>
      </c>
      <c r="E210" s="33">
        <v>0</v>
      </c>
      <c r="F210" s="33">
        <v>0</v>
      </c>
      <c r="G210" s="33">
        <v>2</v>
      </c>
      <c r="H210" s="33">
        <v>2</v>
      </c>
      <c r="I210" s="33">
        <v>0</v>
      </c>
      <c r="J210" s="34"/>
      <c r="K210" s="34"/>
      <c r="L210" s="34"/>
      <c r="M210" s="35"/>
      <c r="N210" s="34"/>
      <c r="O210" s="35"/>
      <c r="P210" s="34"/>
      <c r="Q210" s="35"/>
      <c r="R210" s="34"/>
      <c r="S210" s="35"/>
      <c r="T210" s="34"/>
      <c r="U210" s="35"/>
      <c r="V210">
        <f t="shared" si="3"/>
        <v>0</v>
      </c>
    </row>
    <row r="211" spans="1:22">
      <c r="A211" s="33">
        <v>311</v>
      </c>
      <c r="B211" s="33">
        <v>2</v>
      </c>
      <c r="C211" s="33" t="s">
        <v>322</v>
      </c>
      <c r="D211" s="33" t="s">
        <v>322</v>
      </c>
      <c r="E211" s="33">
        <v>0</v>
      </c>
      <c r="F211" s="33">
        <v>0</v>
      </c>
      <c r="G211" s="33">
        <v>2</v>
      </c>
      <c r="H211" s="33">
        <v>2</v>
      </c>
      <c r="I211" s="33">
        <v>0</v>
      </c>
      <c r="J211" s="34"/>
      <c r="K211" s="34"/>
      <c r="L211" s="34"/>
      <c r="M211" s="35"/>
      <c r="N211" s="34"/>
      <c r="O211" s="35"/>
      <c r="P211" s="34"/>
      <c r="Q211" s="35"/>
      <c r="R211" s="34"/>
      <c r="S211" s="35"/>
      <c r="T211" s="34"/>
      <c r="U211" s="35"/>
      <c r="V211">
        <f t="shared" si="3"/>
        <v>0</v>
      </c>
    </row>
    <row r="212" spans="1:22">
      <c r="A212" s="33">
        <v>312</v>
      </c>
      <c r="B212" s="33">
        <v>2</v>
      </c>
      <c r="C212" s="33" t="s">
        <v>323</v>
      </c>
      <c r="D212" s="33" t="s">
        <v>323</v>
      </c>
      <c r="E212" s="33">
        <v>0</v>
      </c>
      <c r="F212" s="33">
        <v>0</v>
      </c>
      <c r="G212" s="33">
        <v>2</v>
      </c>
      <c r="H212" s="33">
        <v>2</v>
      </c>
      <c r="I212" s="33">
        <v>0</v>
      </c>
      <c r="J212" s="34"/>
      <c r="K212" s="34"/>
      <c r="L212" s="34"/>
      <c r="M212" s="35"/>
      <c r="N212" s="34"/>
      <c r="O212" s="35"/>
      <c r="P212" s="34"/>
      <c r="Q212" s="35"/>
      <c r="R212" s="34"/>
      <c r="S212" s="35"/>
      <c r="T212" s="34"/>
      <c r="U212" s="35"/>
      <c r="V212">
        <f t="shared" si="3"/>
        <v>0</v>
      </c>
    </row>
    <row r="213" spans="1:22">
      <c r="A213" s="33">
        <v>313</v>
      </c>
      <c r="B213" s="33">
        <v>2</v>
      </c>
      <c r="C213" s="33" t="s">
        <v>324</v>
      </c>
      <c r="D213" s="33" t="s">
        <v>324</v>
      </c>
      <c r="E213" s="33">
        <v>0</v>
      </c>
      <c r="F213" s="33">
        <v>0</v>
      </c>
      <c r="G213" s="33">
        <v>2</v>
      </c>
      <c r="H213" s="33">
        <v>2</v>
      </c>
      <c r="I213" s="33">
        <v>0</v>
      </c>
      <c r="J213" s="34"/>
      <c r="K213" s="34"/>
      <c r="L213" s="34"/>
      <c r="M213" s="35"/>
      <c r="N213" s="34"/>
      <c r="O213" s="35"/>
      <c r="P213" s="34"/>
      <c r="Q213" s="35"/>
      <c r="R213" s="34"/>
      <c r="S213" s="35"/>
      <c r="T213" s="34"/>
      <c r="U213" s="35"/>
      <c r="V213">
        <f t="shared" si="3"/>
        <v>0</v>
      </c>
    </row>
    <row r="214" spans="1:22">
      <c r="A214" s="33">
        <v>314</v>
      </c>
      <c r="B214" s="33">
        <v>2</v>
      </c>
      <c r="C214" s="33" t="s">
        <v>325</v>
      </c>
      <c r="D214" s="33" t="s">
        <v>325</v>
      </c>
      <c r="E214" s="33">
        <v>0</v>
      </c>
      <c r="F214" s="33">
        <v>0</v>
      </c>
      <c r="G214" s="33">
        <v>2</v>
      </c>
      <c r="H214" s="33">
        <v>2</v>
      </c>
      <c r="I214" s="33">
        <v>0</v>
      </c>
      <c r="J214" s="34"/>
      <c r="K214" s="34"/>
      <c r="L214" s="34"/>
      <c r="M214" s="35"/>
      <c r="N214" s="34"/>
      <c r="O214" s="35"/>
      <c r="P214" s="34"/>
      <c r="Q214" s="35"/>
      <c r="R214" s="34"/>
      <c r="S214" s="35"/>
      <c r="T214" s="34"/>
      <c r="U214" s="35"/>
      <c r="V214">
        <f t="shared" si="3"/>
        <v>0</v>
      </c>
    </row>
    <row r="215" spans="1:22">
      <c r="A215" s="33">
        <v>315</v>
      </c>
      <c r="B215" s="33">
        <v>2</v>
      </c>
      <c r="C215" s="33" t="s">
        <v>326</v>
      </c>
      <c r="D215" s="33" t="s">
        <v>326</v>
      </c>
      <c r="E215" s="33">
        <v>0</v>
      </c>
      <c r="F215" s="33">
        <v>0</v>
      </c>
      <c r="G215" s="33">
        <v>2</v>
      </c>
      <c r="H215" s="33">
        <v>2</v>
      </c>
      <c r="I215" s="33">
        <v>0</v>
      </c>
      <c r="J215" s="34"/>
      <c r="K215" s="34"/>
      <c r="L215" s="34"/>
      <c r="M215" s="35"/>
      <c r="N215" s="34"/>
      <c r="O215" s="35"/>
      <c r="P215" s="34"/>
      <c r="Q215" s="35"/>
      <c r="R215" s="34"/>
      <c r="S215" s="35"/>
      <c r="T215" s="34"/>
      <c r="U215" s="35"/>
      <c r="V215">
        <f t="shared" si="3"/>
        <v>0</v>
      </c>
    </row>
    <row r="216" spans="1:22">
      <c r="A216" s="36">
        <v>316</v>
      </c>
      <c r="B216" s="36">
        <v>2</v>
      </c>
      <c r="C216" s="36" t="s">
        <v>327</v>
      </c>
      <c r="D216" s="36" t="s">
        <v>327</v>
      </c>
      <c r="E216" s="36">
        <v>0</v>
      </c>
      <c r="F216" s="36">
        <v>0</v>
      </c>
      <c r="G216" s="36">
        <v>2</v>
      </c>
      <c r="H216" s="36">
        <v>2</v>
      </c>
      <c r="I216" s="36">
        <v>0</v>
      </c>
      <c r="J216" s="37"/>
      <c r="K216" s="37"/>
      <c r="L216" s="37"/>
      <c r="M216" s="38"/>
      <c r="N216" s="37"/>
      <c r="O216" s="38"/>
      <c r="P216" s="37"/>
      <c r="Q216" s="38"/>
      <c r="R216" s="37"/>
      <c r="S216" s="38"/>
      <c r="T216" s="37"/>
      <c r="U216" s="38"/>
      <c r="V216">
        <f t="shared" si="3"/>
        <v>0</v>
      </c>
    </row>
    <row r="217" spans="1:22">
      <c r="A217" s="12">
        <v>402</v>
      </c>
      <c r="B217" s="12">
        <v>1</v>
      </c>
      <c r="C217" s="12" t="s">
        <v>328</v>
      </c>
      <c r="D217" s="12" t="s">
        <v>328</v>
      </c>
      <c r="E217" s="12">
        <v>0</v>
      </c>
      <c r="F217" s="12">
        <v>0</v>
      </c>
      <c r="G217" s="12">
        <v>1</v>
      </c>
      <c r="H217" s="12">
        <v>0</v>
      </c>
      <c r="I217" s="12">
        <v>0</v>
      </c>
      <c r="J217" s="10"/>
      <c r="K217" s="10" t="s">
        <v>76</v>
      </c>
      <c r="L217" s="10"/>
      <c r="M217" s="11">
        <v>0</v>
      </c>
      <c r="N217" s="10"/>
      <c r="O217" s="11">
        <v>0</v>
      </c>
      <c r="P217" s="10"/>
      <c r="Q217" s="11">
        <v>0</v>
      </c>
      <c r="R217" s="10"/>
      <c r="S217" s="11">
        <v>0</v>
      </c>
      <c r="T217" s="10"/>
      <c r="U217" s="11">
        <v>0</v>
      </c>
      <c r="V217">
        <f t="shared" si="3"/>
        <v>0</v>
      </c>
    </row>
    <row r="218" spans="1:22">
      <c r="A218" s="12">
        <v>403</v>
      </c>
      <c r="B218" s="12">
        <v>1</v>
      </c>
      <c r="C218" s="12" t="s">
        <v>329</v>
      </c>
      <c r="D218" s="12" t="s">
        <v>329</v>
      </c>
      <c r="E218" s="12">
        <v>0</v>
      </c>
      <c r="F218" s="12">
        <v>0</v>
      </c>
      <c r="G218" s="12">
        <v>3</v>
      </c>
      <c r="H218" s="12">
        <v>0</v>
      </c>
      <c r="I218" s="12">
        <v>0</v>
      </c>
      <c r="J218" s="10"/>
      <c r="K218" s="10" t="s">
        <v>76</v>
      </c>
      <c r="L218" s="10"/>
      <c r="M218" s="11">
        <v>0</v>
      </c>
      <c r="N218" s="10"/>
      <c r="O218" s="11">
        <v>0</v>
      </c>
      <c r="P218" s="10"/>
      <c r="Q218" s="11">
        <v>0</v>
      </c>
      <c r="R218" s="10"/>
      <c r="S218" s="11">
        <v>0</v>
      </c>
      <c r="T218" s="10"/>
      <c r="U218" s="11">
        <v>0</v>
      </c>
      <c r="V218">
        <f t="shared" si="3"/>
        <v>0</v>
      </c>
    </row>
    <row r="219" spans="1:22">
      <c r="A219" s="12">
        <v>404</v>
      </c>
      <c r="B219" s="12">
        <v>1</v>
      </c>
      <c r="C219" s="12" t="s">
        <v>330</v>
      </c>
      <c r="D219" s="12" t="s">
        <v>331</v>
      </c>
      <c r="E219" s="12">
        <v>0</v>
      </c>
      <c r="F219" s="12">
        <v>405</v>
      </c>
      <c r="G219" s="12">
        <v>1</v>
      </c>
      <c r="H219" s="12">
        <v>2</v>
      </c>
      <c r="I219" s="12">
        <v>0</v>
      </c>
      <c r="J219" s="10"/>
      <c r="K219" s="10" t="s">
        <v>76</v>
      </c>
      <c r="L219" s="10" t="s">
        <v>77</v>
      </c>
      <c r="M219" s="11">
        <v>0</v>
      </c>
      <c r="N219" s="10" t="s">
        <v>332</v>
      </c>
      <c r="O219" s="11">
        <v>0</v>
      </c>
      <c r="P219" s="10"/>
      <c r="Q219" s="11">
        <v>0</v>
      </c>
      <c r="R219" s="10"/>
      <c r="S219" s="11">
        <v>0</v>
      </c>
      <c r="T219" s="10"/>
      <c r="U219" s="11">
        <v>0</v>
      </c>
      <c r="V219">
        <f t="shared" si="3"/>
        <v>0</v>
      </c>
    </row>
    <row r="220" spans="1:22">
      <c r="A220" s="12">
        <v>405</v>
      </c>
      <c r="B220" s="12">
        <v>0</v>
      </c>
      <c r="C220" s="12" t="s">
        <v>333</v>
      </c>
      <c r="D220" s="12" t="s">
        <v>331</v>
      </c>
      <c r="E220" s="12">
        <v>0</v>
      </c>
      <c r="F220" s="12">
        <v>0</v>
      </c>
      <c r="G220" s="12">
        <v>1</v>
      </c>
      <c r="H220" s="12">
        <v>0</v>
      </c>
      <c r="I220" s="12">
        <v>0</v>
      </c>
      <c r="J220" s="10"/>
      <c r="K220" s="10" t="s">
        <v>76</v>
      </c>
      <c r="L220" s="10"/>
      <c r="M220" s="11">
        <v>0</v>
      </c>
      <c r="N220" s="10"/>
      <c r="O220" s="11">
        <v>0</v>
      </c>
      <c r="P220" s="10"/>
      <c r="Q220" s="11">
        <v>0</v>
      </c>
      <c r="R220" s="10"/>
      <c r="S220" s="11">
        <v>0</v>
      </c>
      <c r="T220" s="10"/>
      <c r="U220" s="11">
        <v>0</v>
      </c>
      <c r="V220">
        <f t="shared" si="3"/>
        <v>0</v>
      </c>
    </row>
    <row r="221" spans="1:22">
      <c r="A221" s="12">
        <v>410</v>
      </c>
      <c r="B221" s="12">
        <v>1</v>
      </c>
      <c r="C221" s="12" t="s">
        <v>334</v>
      </c>
      <c r="D221" s="207" t="s">
        <v>334</v>
      </c>
      <c r="E221" s="12">
        <v>0</v>
      </c>
      <c r="F221" s="12">
        <v>411</v>
      </c>
      <c r="G221" s="12">
        <v>1</v>
      </c>
      <c r="H221" s="12">
        <v>1</v>
      </c>
      <c r="I221" s="12">
        <v>18</v>
      </c>
      <c r="J221" s="10"/>
      <c r="K221" s="10" t="s">
        <v>61</v>
      </c>
      <c r="L221" s="10" t="s">
        <v>264</v>
      </c>
      <c r="M221" s="11">
        <v>0</v>
      </c>
      <c r="N221" s="10"/>
      <c r="O221" s="11">
        <v>0</v>
      </c>
      <c r="P221" s="10"/>
      <c r="Q221" s="11">
        <v>0</v>
      </c>
      <c r="R221" s="10"/>
      <c r="S221" s="11">
        <v>0</v>
      </c>
      <c r="T221" s="10"/>
      <c r="U221" s="11">
        <v>0</v>
      </c>
      <c r="V221">
        <f t="shared" si="3"/>
        <v>0</v>
      </c>
    </row>
    <row r="222" spans="1:22">
      <c r="A222" s="12">
        <v>411</v>
      </c>
      <c r="B222" s="12">
        <v>1</v>
      </c>
      <c r="C222" s="207" t="s">
        <v>335</v>
      </c>
      <c r="D222" s="207" t="s">
        <v>334</v>
      </c>
      <c r="E222" s="12">
        <v>0</v>
      </c>
      <c r="F222" s="12">
        <v>411</v>
      </c>
      <c r="G222" s="12">
        <v>1</v>
      </c>
      <c r="H222" s="12">
        <v>1</v>
      </c>
      <c r="I222" s="12">
        <v>18</v>
      </c>
      <c r="J222" s="10"/>
      <c r="K222" s="10" t="s">
        <v>61</v>
      </c>
      <c r="L222" s="10" t="s">
        <v>264</v>
      </c>
      <c r="M222" s="11">
        <v>0</v>
      </c>
      <c r="N222" s="10"/>
      <c r="O222" s="11">
        <v>0</v>
      </c>
      <c r="P222" s="10"/>
      <c r="Q222" s="11">
        <v>0</v>
      </c>
      <c r="R222" s="10"/>
      <c r="S222" s="11">
        <v>0</v>
      </c>
      <c r="T222" s="10"/>
      <c r="U222" s="11">
        <v>0</v>
      </c>
      <c r="V222">
        <f t="shared" si="3"/>
        <v>0</v>
      </c>
    </row>
    <row r="223" spans="1:22">
      <c r="A223" s="12">
        <v>412</v>
      </c>
      <c r="B223" s="12">
        <v>0</v>
      </c>
      <c r="C223" s="12" t="s">
        <v>336</v>
      </c>
      <c r="D223" s="12" t="s">
        <v>336</v>
      </c>
      <c r="E223" s="12">
        <v>0</v>
      </c>
      <c r="F223" s="12">
        <v>0</v>
      </c>
      <c r="G223" s="12">
        <v>1</v>
      </c>
      <c r="H223" s="12">
        <v>0</v>
      </c>
      <c r="I223" s="12">
        <v>0</v>
      </c>
      <c r="J223" s="10"/>
      <c r="K223" s="10" t="s">
        <v>76</v>
      </c>
      <c r="L223" s="10"/>
      <c r="M223" s="11">
        <v>0</v>
      </c>
      <c r="N223" s="10"/>
      <c r="O223" s="11">
        <v>0</v>
      </c>
      <c r="P223" s="10"/>
      <c r="Q223" s="11">
        <v>0</v>
      </c>
      <c r="R223" s="10"/>
      <c r="S223" s="11">
        <v>0</v>
      </c>
      <c r="T223" s="10"/>
      <c r="U223" s="11">
        <v>0</v>
      </c>
      <c r="V223">
        <f t="shared" si="3"/>
        <v>0</v>
      </c>
    </row>
    <row r="224" spans="1:22">
      <c r="A224" s="12">
        <v>413</v>
      </c>
      <c r="B224" s="12">
        <v>0</v>
      </c>
      <c r="C224" s="12" t="s">
        <v>337</v>
      </c>
      <c r="D224" s="12"/>
      <c r="E224" s="12">
        <v>0</v>
      </c>
      <c r="F224" s="12">
        <v>0</v>
      </c>
      <c r="G224" s="12">
        <v>0</v>
      </c>
      <c r="H224" s="12">
        <v>0</v>
      </c>
      <c r="I224" s="12">
        <v>0</v>
      </c>
      <c r="J224" s="10"/>
      <c r="K224" s="10" t="s">
        <v>76</v>
      </c>
      <c r="L224" s="10"/>
      <c r="M224" s="11">
        <v>0</v>
      </c>
      <c r="N224" s="10"/>
      <c r="O224" s="11">
        <v>0</v>
      </c>
      <c r="P224" s="10"/>
      <c r="Q224" s="11">
        <v>0</v>
      </c>
      <c r="R224" s="10"/>
      <c r="S224" s="11">
        <v>0</v>
      </c>
      <c r="T224" s="10"/>
      <c r="U224" s="11">
        <v>0</v>
      </c>
      <c r="V224">
        <f t="shared" si="3"/>
        <v>0</v>
      </c>
    </row>
    <row r="225" spans="1:22">
      <c r="A225" s="12">
        <v>414</v>
      </c>
      <c r="B225" s="12">
        <v>2</v>
      </c>
      <c r="C225" s="12" t="s">
        <v>270</v>
      </c>
      <c r="D225" s="12" t="s">
        <v>270</v>
      </c>
      <c r="E225" s="12">
        <v>0</v>
      </c>
      <c r="F225" s="12">
        <v>0</v>
      </c>
      <c r="G225" s="12">
        <v>4</v>
      </c>
      <c r="H225" s="12">
        <v>0</v>
      </c>
      <c r="I225" s="12">
        <v>0</v>
      </c>
      <c r="J225" s="10"/>
      <c r="K225" s="10" t="s">
        <v>76</v>
      </c>
      <c r="L225" s="10"/>
      <c r="M225" s="11">
        <v>0</v>
      </c>
      <c r="N225" s="10"/>
      <c r="O225" s="11">
        <v>0</v>
      </c>
      <c r="P225" s="10"/>
      <c r="Q225" s="11">
        <v>0</v>
      </c>
      <c r="R225" s="10"/>
      <c r="S225" s="11">
        <v>0</v>
      </c>
      <c r="T225" s="10"/>
      <c r="U225" s="11">
        <v>0</v>
      </c>
      <c r="V225">
        <f t="shared" si="3"/>
        <v>0</v>
      </c>
    </row>
    <row r="226" spans="1:22">
      <c r="A226" s="12">
        <v>415</v>
      </c>
      <c r="B226" s="12">
        <v>0</v>
      </c>
      <c r="C226" s="12" t="s">
        <v>338</v>
      </c>
      <c r="D226" s="12"/>
      <c r="E226" s="12">
        <v>0</v>
      </c>
      <c r="F226" s="12">
        <v>0</v>
      </c>
      <c r="G226" s="12">
        <v>0</v>
      </c>
      <c r="H226" s="12">
        <v>0</v>
      </c>
      <c r="I226" s="12">
        <v>0</v>
      </c>
      <c r="J226" s="10"/>
      <c r="K226" s="10" t="s">
        <v>76</v>
      </c>
      <c r="L226" s="10"/>
      <c r="M226" s="11">
        <v>0</v>
      </c>
      <c r="N226" s="10"/>
      <c r="O226" s="11">
        <v>0</v>
      </c>
      <c r="P226" s="10"/>
      <c r="Q226" s="11">
        <v>0</v>
      </c>
      <c r="R226" s="10"/>
      <c r="S226" s="11">
        <v>0</v>
      </c>
      <c r="T226" s="10"/>
      <c r="U226" s="11">
        <v>0</v>
      </c>
      <c r="V226">
        <f t="shared" si="3"/>
        <v>0</v>
      </c>
    </row>
    <row r="227" spans="1:22">
      <c r="A227" s="12">
        <v>416</v>
      </c>
      <c r="B227" s="12">
        <v>0</v>
      </c>
      <c r="C227" s="12" t="s">
        <v>339</v>
      </c>
      <c r="D227" s="12"/>
      <c r="E227" s="12">
        <v>0</v>
      </c>
      <c r="F227" s="12">
        <v>0</v>
      </c>
      <c r="G227" s="12">
        <v>0</v>
      </c>
      <c r="H227" s="12">
        <v>0</v>
      </c>
      <c r="I227" s="12">
        <v>0</v>
      </c>
      <c r="J227" s="10"/>
      <c r="K227" s="10" t="s">
        <v>76</v>
      </c>
      <c r="L227" s="10"/>
      <c r="M227" s="11">
        <v>0</v>
      </c>
      <c r="N227" s="10"/>
      <c r="O227" s="11">
        <v>0</v>
      </c>
      <c r="P227" s="10"/>
      <c r="Q227" s="11">
        <v>0</v>
      </c>
      <c r="R227" s="10"/>
      <c r="S227" s="11">
        <v>0</v>
      </c>
      <c r="T227" s="10"/>
      <c r="U227" s="11">
        <v>0</v>
      </c>
      <c r="V227">
        <f t="shared" si="3"/>
        <v>0</v>
      </c>
    </row>
    <row r="228" spans="1:22">
      <c r="A228" s="12">
        <v>417</v>
      </c>
      <c r="B228" s="12">
        <v>0</v>
      </c>
      <c r="C228" s="12" t="s">
        <v>340</v>
      </c>
      <c r="D228" s="12"/>
      <c r="E228" s="12">
        <v>0</v>
      </c>
      <c r="F228" s="12">
        <v>0</v>
      </c>
      <c r="G228" s="12">
        <v>0</v>
      </c>
      <c r="H228" s="12">
        <v>0</v>
      </c>
      <c r="I228" s="12">
        <v>0</v>
      </c>
      <c r="J228" s="10"/>
      <c r="K228" s="10" t="s">
        <v>76</v>
      </c>
      <c r="L228" s="10"/>
      <c r="M228" s="11">
        <v>0</v>
      </c>
      <c r="N228" s="10"/>
      <c r="O228" s="11">
        <v>0</v>
      </c>
      <c r="P228" s="10"/>
      <c r="Q228" s="11">
        <v>0</v>
      </c>
      <c r="R228" s="10"/>
      <c r="S228" s="11">
        <v>0</v>
      </c>
      <c r="T228" s="10"/>
      <c r="U228" s="11">
        <v>0</v>
      </c>
      <c r="V228">
        <f t="shared" si="3"/>
        <v>0</v>
      </c>
    </row>
    <row r="229" spans="1:22">
      <c r="A229" s="12">
        <v>418</v>
      </c>
      <c r="B229" s="12">
        <v>0</v>
      </c>
      <c r="C229" s="12" t="s">
        <v>341</v>
      </c>
      <c r="D229" s="12"/>
      <c r="E229" s="12">
        <v>0</v>
      </c>
      <c r="F229" s="12">
        <v>0</v>
      </c>
      <c r="G229" s="12">
        <v>0</v>
      </c>
      <c r="H229" s="12">
        <v>0</v>
      </c>
      <c r="I229" s="12">
        <v>0</v>
      </c>
      <c r="J229" s="10"/>
      <c r="K229" s="10" t="s">
        <v>76</v>
      </c>
      <c r="L229" s="10"/>
      <c r="M229" s="11">
        <v>0</v>
      </c>
      <c r="N229" s="10"/>
      <c r="O229" s="11">
        <v>0</v>
      </c>
      <c r="P229" s="10"/>
      <c r="Q229" s="11">
        <v>0</v>
      </c>
      <c r="R229" s="10"/>
      <c r="S229" s="11">
        <v>0</v>
      </c>
      <c r="T229" s="10"/>
      <c r="U229" s="11">
        <v>0</v>
      </c>
      <c r="V229">
        <f t="shared" si="3"/>
        <v>0</v>
      </c>
    </row>
    <row r="230" spans="1:22">
      <c r="A230" s="12">
        <v>419</v>
      </c>
      <c r="B230" s="12">
        <v>0</v>
      </c>
      <c r="C230" s="12" t="s">
        <v>342</v>
      </c>
      <c r="D230" s="12"/>
      <c r="E230" s="12">
        <v>0</v>
      </c>
      <c r="F230" s="12">
        <v>0</v>
      </c>
      <c r="G230" s="12">
        <v>0</v>
      </c>
      <c r="H230" s="12">
        <v>0</v>
      </c>
      <c r="I230" s="12">
        <v>0</v>
      </c>
      <c r="J230" s="10"/>
      <c r="K230" s="10" t="s">
        <v>76</v>
      </c>
      <c r="L230" s="10"/>
      <c r="M230" s="11">
        <v>0</v>
      </c>
      <c r="N230" s="10"/>
      <c r="O230" s="11">
        <v>0</v>
      </c>
      <c r="P230" s="10"/>
      <c r="Q230" s="11">
        <v>0</v>
      </c>
      <c r="R230" s="10"/>
      <c r="S230" s="11">
        <v>0</v>
      </c>
      <c r="T230" s="10"/>
      <c r="U230" s="11">
        <v>0</v>
      </c>
      <c r="V230">
        <f t="shared" si="3"/>
        <v>0</v>
      </c>
    </row>
    <row r="231" spans="1:22">
      <c r="A231" s="12">
        <v>422</v>
      </c>
      <c r="B231" s="12">
        <v>0</v>
      </c>
      <c r="C231" s="12" t="s">
        <v>119</v>
      </c>
      <c r="D231" s="12"/>
      <c r="E231" s="12">
        <v>0</v>
      </c>
      <c r="F231" s="12">
        <v>0</v>
      </c>
      <c r="G231" s="12">
        <v>0</v>
      </c>
      <c r="H231" s="12">
        <v>0</v>
      </c>
      <c r="I231" s="12">
        <v>0</v>
      </c>
      <c r="J231" s="10"/>
      <c r="K231" s="10" t="s">
        <v>76</v>
      </c>
      <c r="L231" s="10"/>
      <c r="M231" s="11">
        <v>0</v>
      </c>
      <c r="N231" s="10"/>
      <c r="O231" s="11">
        <v>0</v>
      </c>
      <c r="P231" s="10"/>
      <c r="Q231" s="11">
        <v>0</v>
      </c>
      <c r="R231" s="10"/>
      <c r="S231" s="11">
        <v>0</v>
      </c>
      <c r="T231" s="10"/>
      <c r="U231" s="11">
        <v>0</v>
      </c>
      <c r="V231">
        <f t="shared" si="3"/>
        <v>0</v>
      </c>
    </row>
    <row r="232" spans="1:22">
      <c r="A232" s="12">
        <v>425</v>
      </c>
      <c r="B232" s="12">
        <v>0</v>
      </c>
      <c r="C232" s="12" t="s">
        <v>343</v>
      </c>
      <c r="D232" s="12"/>
      <c r="E232" s="12">
        <v>0</v>
      </c>
      <c r="F232" s="12">
        <v>0</v>
      </c>
      <c r="G232" s="12">
        <v>0</v>
      </c>
      <c r="H232" s="12">
        <v>0</v>
      </c>
      <c r="I232" s="12">
        <v>0</v>
      </c>
      <c r="J232" s="10"/>
      <c r="K232" s="10" t="s">
        <v>76</v>
      </c>
      <c r="L232" s="10"/>
      <c r="M232" s="11">
        <v>0</v>
      </c>
      <c r="N232" s="10"/>
      <c r="O232" s="11">
        <v>0</v>
      </c>
      <c r="P232" s="10"/>
      <c r="Q232" s="11">
        <v>0</v>
      </c>
      <c r="R232" s="10"/>
      <c r="S232" s="11">
        <v>0</v>
      </c>
      <c r="T232" s="10"/>
      <c r="U232" s="11">
        <v>0</v>
      </c>
      <c r="V232">
        <f t="shared" si="3"/>
        <v>0</v>
      </c>
    </row>
    <row r="233" spans="1:22">
      <c r="A233" s="12">
        <v>426</v>
      </c>
      <c r="B233" s="12">
        <v>0</v>
      </c>
      <c r="C233" s="12" t="s">
        <v>344</v>
      </c>
      <c r="D233" s="12"/>
      <c r="E233" s="12">
        <v>0</v>
      </c>
      <c r="F233" s="12">
        <v>0</v>
      </c>
      <c r="G233" s="12">
        <v>0</v>
      </c>
      <c r="H233" s="12">
        <v>0</v>
      </c>
      <c r="I233" s="12">
        <v>0</v>
      </c>
      <c r="J233" s="10"/>
      <c r="K233" s="10" t="s">
        <v>76</v>
      </c>
      <c r="L233" s="10"/>
      <c r="M233" s="11">
        <v>0</v>
      </c>
      <c r="N233" s="10"/>
      <c r="O233" s="11">
        <v>0</v>
      </c>
      <c r="P233" s="10"/>
      <c r="Q233" s="11">
        <v>0</v>
      </c>
      <c r="R233" s="10"/>
      <c r="S233" s="11">
        <v>0</v>
      </c>
      <c r="T233" s="10"/>
      <c r="U233" s="11">
        <v>0</v>
      </c>
      <c r="V233">
        <f t="shared" si="3"/>
        <v>0</v>
      </c>
    </row>
    <row r="234" spans="1:22">
      <c r="A234" s="12">
        <v>427</v>
      </c>
      <c r="B234" s="12">
        <v>0</v>
      </c>
      <c r="C234" s="12" t="s">
        <v>345</v>
      </c>
      <c r="D234" s="12" t="s">
        <v>346</v>
      </c>
      <c r="E234" s="12">
        <v>0</v>
      </c>
      <c r="F234" s="12">
        <v>0</v>
      </c>
      <c r="G234" s="12">
        <v>0</v>
      </c>
      <c r="H234" s="12">
        <v>0</v>
      </c>
      <c r="I234" s="12">
        <v>0</v>
      </c>
      <c r="J234" s="10"/>
      <c r="K234" s="10" t="s">
        <v>76</v>
      </c>
      <c r="L234" s="10"/>
      <c r="M234" s="11">
        <v>0</v>
      </c>
      <c r="N234" s="10"/>
      <c r="O234" s="11">
        <v>0</v>
      </c>
      <c r="P234" s="10"/>
      <c r="Q234" s="11">
        <v>0</v>
      </c>
      <c r="R234" s="10"/>
      <c r="S234" s="11">
        <v>0</v>
      </c>
      <c r="T234" s="10"/>
      <c r="U234" s="11">
        <v>0</v>
      </c>
      <c r="V234">
        <f t="shared" si="3"/>
        <v>0</v>
      </c>
    </row>
    <row r="235" spans="1:22">
      <c r="A235" s="12">
        <v>430</v>
      </c>
      <c r="B235" s="12">
        <v>1</v>
      </c>
      <c r="C235" s="12" t="s">
        <v>347</v>
      </c>
      <c r="D235" s="12" t="s">
        <v>347</v>
      </c>
      <c r="E235" s="12">
        <v>0</v>
      </c>
      <c r="F235" s="12">
        <v>431</v>
      </c>
      <c r="G235" s="12">
        <v>1</v>
      </c>
      <c r="H235" s="12">
        <v>2</v>
      </c>
      <c r="I235" s="12">
        <v>0</v>
      </c>
      <c r="J235" s="10"/>
      <c r="K235" s="10" t="s">
        <v>76</v>
      </c>
      <c r="L235" s="10" t="s">
        <v>68</v>
      </c>
      <c r="M235" s="11">
        <v>1</v>
      </c>
      <c r="N235" s="10"/>
      <c r="O235" s="11">
        <v>0</v>
      </c>
      <c r="P235" s="10"/>
      <c r="Q235" s="11">
        <v>0</v>
      </c>
      <c r="R235" s="10"/>
      <c r="S235" s="11">
        <v>0</v>
      </c>
      <c r="T235" s="10"/>
      <c r="U235" s="11">
        <v>0</v>
      </c>
      <c r="V235">
        <f t="shared" si="3"/>
        <v>0</v>
      </c>
    </row>
    <row r="236" spans="1:22">
      <c r="A236" s="12">
        <v>431</v>
      </c>
      <c r="B236" s="12">
        <v>1</v>
      </c>
      <c r="C236" s="12" t="s">
        <v>153</v>
      </c>
      <c r="D236" s="12" t="s">
        <v>347</v>
      </c>
      <c r="E236" s="12">
        <v>0</v>
      </c>
      <c r="F236" s="12">
        <v>431</v>
      </c>
      <c r="G236" s="12">
        <v>1</v>
      </c>
      <c r="H236" s="12">
        <v>2</v>
      </c>
      <c r="I236" s="12">
        <v>0</v>
      </c>
      <c r="J236" s="10"/>
      <c r="K236" s="10" t="s">
        <v>76</v>
      </c>
      <c r="L236" s="10" t="s">
        <v>68</v>
      </c>
      <c r="M236" s="11">
        <v>1</v>
      </c>
      <c r="N236" s="10"/>
      <c r="O236" s="11">
        <v>0</v>
      </c>
      <c r="P236" s="10"/>
      <c r="Q236" s="11">
        <v>0</v>
      </c>
      <c r="R236" s="10"/>
      <c r="S236" s="11">
        <v>0</v>
      </c>
      <c r="T236" s="10"/>
      <c r="U236" s="11">
        <v>0</v>
      </c>
      <c r="V236">
        <f t="shared" si="3"/>
        <v>0</v>
      </c>
    </row>
    <row r="237" spans="1:22">
      <c r="A237" s="12">
        <v>432</v>
      </c>
      <c r="B237" s="12">
        <v>1</v>
      </c>
      <c r="C237" s="12" t="s">
        <v>348</v>
      </c>
      <c r="D237" s="207" t="s">
        <v>348</v>
      </c>
      <c r="E237" s="12">
        <v>0</v>
      </c>
      <c r="F237" s="12">
        <v>0</v>
      </c>
      <c r="G237" s="12">
        <v>1</v>
      </c>
      <c r="H237" s="12">
        <v>0</v>
      </c>
      <c r="I237" s="12">
        <v>0</v>
      </c>
      <c r="J237" s="10"/>
      <c r="K237" s="10" t="s">
        <v>76</v>
      </c>
      <c r="L237" s="10"/>
      <c r="M237" s="11">
        <v>0</v>
      </c>
      <c r="N237" s="10"/>
      <c r="O237" s="11">
        <v>0</v>
      </c>
      <c r="P237" s="10"/>
      <c r="Q237" s="11">
        <v>0</v>
      </c>
      <c r="R237" s="10"/>
      <c r="S237" s="11">
        <v>0</v>
      </c>
      <c r="T237" s="10"/>
      <c r="U237" s="11">
        <v>0</v>
      </c>
      <c r="V237">
        <f t="shared" si="3"/>
        <v>0</v>
      </c>
    </row>
    <row r="238" spans="1:22">
      <c r="A238" s="12">
        <v>433</v>
      </c>
      <c r="B238" s="12">
        <v>0</v>
      </c>
      <c r="C238" s="12" t="s">
        <v>349</v>
      </c>
      <c r="D238" s="12"/>
      <c r="E238" s="12">
        <v>0</v>
      </c>
      <c r="F238" s="12">
        <v>0</v>
      </c>
      <c r="G238" s="12">
        <v>0</v>
      </c>
      <c r="H238" s="12">
        <v>0</v>
      </c>
      <c r="I238" s="12">
        <v>0</v>
      </c>
      <c r="J238" s="10"/>
      <c r="K238" s="10" t="s">
        <v>76</v>
      </c>
      <c r="L238" s="10"/>
      <c r="M238" s="11">
        <v>0</v>
      </c>
      <c r="N238" s="10"/>
      <c r="O238" s="11">
        <v>0</v>
      </c>
      <c r="P238" s="10"/>
      <c r="Q238" s="11">
        <v>0</v>
      </c>
      <c r="R238" s="10"/>
      <c r="S238" s="11">
        <v>0</v>
      </c>
      <c r="T238" s="10"/>
      <c r="U238" s="11">
        <v>0</v>
      </c>
      <c r="V238">
        <f t="shared" si="3"/>
        <v>0</v>
      </c>
    </row>
    <row r="239" spans="1:22">
      <c r="A239" s="12">
        <v>434</v>
      </c>
      <c r="B239" s="12">
        <v>1</v>
      </c>
      <c r="C239" s="12" t="s">
        <v>350</v>
      </c>
      <c r="D239" s="12" t="s">
        <v>350</v>
      </c>
      <c r="E239" s="12">
        <v>0</v>
      </c>
      <c r="F239" s="12">
        <v>0</v>
      </c>
      <c r="G239" s="12">
        <v>1</v>
      </c>
      <c r="H239" s="12">
        <v>0</v>
      </c>
      <c r="I239" s="12">
        <v>0</v>
      </c>
      <c r="J239" s="10"/>
      <c r="K239" s="10" t="s">
        <v>76</v>
      </c>
      <c r="L239" s="10"/>
      <c r="M239" s="11">
        <v>0</v>
      </c>
      <c r="N239" s="10"/>
      <c r="O239" s="11">
        <v>0</v>
      </c>
      <c r="P239" s="10"/>
      <c r="Q239" s="11">
        <v>0</v>
      </c>
      <c r="R239" s="10"/>
      <c r="S239" s="11">
        <v>0</v>
      </c>
      <c r="T239" s="10"/>
      <c r="U239" s="11">
        <v>0</v>
      </c>
      <c r="V239">
        <f t="shared" si="3"/>
        <v>0</v>
      </c>
    </row>
    <row r="240" spans="1:22">
      <c r="A240" s="12">
        <v>435</v>
      </c>
      <c r="B240" s="12">
        <v>0</v>
      </c>
      <c r="C240" s="12" t="s">
        <v>351</v>
      </c>
      <c r="D240" s="12"/>
      <c r="E240" s="12">
        <v>0</v>
      </c>
      <c r="F240" s="12">
        <v>0</v>
      </c>
      <c r="G240" s="12">
        <v>0</v>
      </c>
      <c r="H240" s="12">
        <v>0</v>
      </c>
      <c r="I240" s="12">
        <v>0</v>
      </c>
      <c r="J240" s="10"/>
      <c r="K240" s="10" t="s">
        <v>76</v>
      </c>
      <c r="L240" s="10"/>
      <c r="M240" s="11">
        <v>0</v>
      </c>
      <c r="N240" s="10"/>
      <c r="O240" s="11">
        <v>0</v>
      </c>
      <c r="P240" s="10"/>
      <c r="Q240" s="11">
        <v>0</v>
      </c>
      <c r="R240" s="10"/>
      <c r="S240" s="11">
        <v>0</v>
      </c>
      <c r="T240" s="10"/>
      <c r="U240" s="11">
        <v>0</v>
      </c>
      <c r="V240">
        <f t="shared" si="3"/>
        <v>0</v>
      </c>
    </row>
    <row r="241" spans="1:22">
      <c r="A241" s="12">
        <v>436</v>
      </c>
      <c r="B241" s="12">
        <v>0</v>
      </c>
      <c r="C241" s="12" t="s">
        <v>352</v>
      </c>
      <c r="D241" s="12"/>
      <c r="E241" s="12">
        <v>0</v>
      </c>
      <c r="F241" s="12">
        <v>0</v>
      </c>
      <c r="G241" s="12">
        <v>0</v>
      </c>
      <c r="H241" s="12">
        <v>0</v>
      </c>
      <c r="I241" s="12">
        <v>0</v>
      </c>
      <c r="J241" s="10"/>
      <c r="K241" s="10" t="s">
        <v>76</v>
      </c>
      <c r="L241" s="10"/>
      <c r="M241" s="11">
        <v>0</v>
      </c>
      <c r="N241" s="10"/>
      <c r="O241" s="11">
        <v>0</v>
      </c>
      <c r="P241" s="10"/>
      <c r="Q241" s="11">
        <v>0</v>
      </c>
      <c r="R241" s="10"/>
      <c r="S241" s="11">
        <v>0</v>
      </c>
      <c r="T241" s="10"/>
      <c r="U241" s="11">
        <v>0</v>
      </c>
      <c r="V241">
        <f t="shared" si="3"/>
        <v>0</v>
      </c>
    </row>
    <row r="242" spans="1:22">
      <c r="A242" s="12">
        <v>438</v>
      </c>
      <c r="B242" s="12">
        <v>0</v>
      </c>
      <c r="C242" s="12" t="s">
        <v>353</v>
      </c>
      <c r="D242" s="12"/>
      <c r="E242" s="12">
        <v>0</v>
      </c>
      <c r="F242" s="12">
        <v>0</v>
      </c>
      <c r="G242" s="12">
        <v>0</v>
      </c>
      <c r="H242" s="12">
        <v>0</v>
      </c>
      <c r="I242" s="12">
        <v>0</v>
      </c>
      <c r="J242" s="10"/>
      <c r="K242" s="10" t="s">
        <v>76</v>
      </c>
      <c r="L242" s="10"/>
      <c r="M242" s="11">
        <v>0</v>
      </c>
      <c r="N242" s="10"/>
      <c r="O242" s="11">
        <v>0</v>
      </c>
      <c r="P242" s="10"/>
      <c r="Q242" s="11">
        <v>0</v>
      </c>
      <c r="R242" s="10"/>
      <c r="S242" s="11">
        <v>0</v>
      </c>
      <c r="T242" s="10"/>
      <c r="U242" s="11">
        <v>0</v>
      </c>
      <c r="V242">
        <f t="shared" si="3"/>
        <v>0</v>
      </c>
    </row>
    <row r="243" spans="1:22">
      <c r="A243" s="12">
        <v>439</v>
      </c>
      <c r="B243" s="12">
        <v>0</v>
      </c>
      <c r="C243" s="12" t="s">
        <v>354</v>
      </c>
      <c r="D243" s="12"/>
      <c r="E243" s="12">
        <v>0</v>
      </c>
      <c r="F243" s="12">
        <v>0</v>
      </c>
      <c r="G243" s="12">
        <v>0</v>
      </c>
      <c r="H243" s="12">
        <v>0</v>
      </c>
      <c r="I243" s="12">
        <v>0</v>
      </c>
      <c r="J243" s="10"/>
      <c r="K243" s="10" t="s">
        <v>76</v>
      </c>
      <c r="L243" s="10"/>
      <c r="M243" s="11">
        <v>0</v>
      </c>
      <c r="N243" s="10"/>
      <c r="O243" s="11">
        <v>0</v>
      </c>
      <c r="P243" s="10"/>
      <c r="Q243" s="11">
        <v>0</v>
      </c>
      <c r="R243" s="10"/>
      <c r="S243" s="11">
        <v>0</v>
      </c>
      <c r="T243" s="10"/>
      <c r="U243" s="11">
        <v>0</v>
      </c>
      <c r="V243">
        <f t="shared" si="3"/>
        <v>0</v>
      </c>
    </row>
    <row r="244" spans="1:22">
      <c r="A244" s="12">
        <v>440</v>
      </c>
      <c r="B244" s="12">
        <v>0</v>
      </c>
      <c r="C244" s="12" t="s">
        <v>355</v>
      </c>
      <c r="D244" s="12"/>
      <c r="E244" s="12">
        <v>0</v>
      </c>
      <c r="F244" s="12">
        <v>0</v>
      </c>
      <c r="G244" s="12">
        <v>0</v>
      </c>
      <c r="H244" s="12">
        <v>0</v>
      </c>
      <c r="I244" s="12">
        <v>0</v>
      </c>
      <c r="J244" s="10"/>
      <c r="K244" s="10" t="s">
        <v>76</v>
      </c>
      <c r="L244" s="10"/>
      <c r="M244" s="11">
        <v>0</v>
      </c>
      <c r="N244" s="10"/>
      <c r="O244" s="11">
        <v>0</v>
      </c>
      <c r="P244" s="10"/>
      <c r="Q244" s="11">
        <v>0</v>
      </c>
      <c r="R244" s="10"/>
      <c r="S244" s="11">
        <v>0</v>
      </c>
      <c r="T244" s="10"/>
      <c r="U244" s="11">
        <v>0</v>
      </c>
      <c r="V244">
        <f t="shared" si="3"/>
        <v>0</v>
      </c>
    </row>
    <row r="245" spans="1:22">
      <c r="A245" s="12">
        <v>441</v>
      </c>
      <c r="B245" s="12">
        <v>0</v>
      </c>
      <c r="C245" s="12" t="s">
        <v>356</v>
      </c>
      <c r="D245" s="12"/>
      <c r="E245" s="12">
        <v>0</v>
      </c>
      <c r="F245" s="12">
        <v>0</v>
      </c>
      <c r="G245" s="12">
        <v>0</v>
      </c>
      <c r="H245" s="12">
        <v>0</v>
      </c>
      <c r="I245" s="12">
        <v>0</v>
      </c>
      <c r="J245" s="10"/>
      <c r="K245" s="10" t="s">
        <v>76</v>
      </c>
      <c r="L245" s="10"/>
      <c r="M245" s="11">
        <v>0</v>
      </c>
      <c r="N245" s="10"/>
      <c r="O245" s="11">
        <v>0</v>
      </c>
      <c r="P245" s="10"/>
      <c r="Q245" s="11">
        <v>0</v>
      </c>
      <c r="R245" s="10"/>
      <c r="S245" s="11">
        <v>0</v>
      </c>
      <c r="T245" s="10"/>
      <c r="U245" s="11">
        <v>0</v>
      </c>
      <c r="V245">
        <f t="shared" si="3"/>
        <v>0</v>
      </c>
    </row>
    <row r="246" spans="1:22" ht="23.25" customHeight="1">
      <c r="A246" s="12">
        <v>442</v>
      </c>
      <c r="B246" s="12">
        <v>0</v>
      </c>
      <c r="C246" s="12" t="s">
        <v>357</v>
      </c>
      <c r="D246" s="12"/>
      <c r="E246" s="12">
        <v>0</v>
      </c>
      <c r="F246" s="12">
        <v>0</v>
      </c>
      <c r="G246" s="12">
        <v>0</v>
      </c>
      <c r="H246" s="12">
        <v>0</v>
      </c>
      <c r="I246" s="12">
        <v>0</v>
      </c>
      <c r="J246" s="10"/>
      <c r="K246" s="10" t="s">
        <v>76</v>
      </c>
      <c r="L246" s="10"/>
      <c r="M246" s="11">
        <v>0</v>
      </c>
      <c r="N246" s="10"/>
      <c r="O246" s="11">
        <v>0</v>
      </c>
      <c r="P246" s="10"/>
      <c r="Q246" s="11">
        <v>0</v>
      </c>
      <c r="R246" s="10"/>
      <c r="S246" s="11">
        <v>0</v>
      </c>
      <c r="T246" s="10"/>
      <c r="U246" s="11">
        <v>0</v>
      </c>
      <c r="V246">
        <f t="shared" si="3"/>
        <v>0</v>
      </c>
    </row>
    <row r="247" spans="1:22">
      <c r="A247" s="12">
        <v>454</v>
      </c>
      <c r="B247" s="12">
        <v>1</v>
      </c>
      <c r="C247" s="12" t="s">
        <v>358</v>
      </c>
      <c r="D247" s="12" t="s">
        <v>358</v>
      </c>
      <c r="E247" s="12">
        <v>0</v>
      </c>
      <c r="F247" s="12">
        <v>0</v>
      </c>
      <c r="G247" s="12">
        <v>1</v>
      </c>
      <c r="H247" s="12">
        <v>0</v>
      </c>
      <c r="I247" s="12">
        <v>0</v>
      </c>
      <c r="J247" s="10"/>
      <c r="K247" s="10" t="s">
        <v>76</v>
      </c>
      <c r="L247" s="10"/>
      <c r="M247" s="11">
        <v>0</v>
      </c>
      <c r="N247" s="10"/>
      <c r="O247" s="11">
        <v>0</v>
      </c>
      <c r="P247" s="10"/>
      <c r="Q247" s="11">
        <v>0</v>
      </c>
      <c r="R247" s="10"/>
      <c r="S247" s="11">
        <v>0</v>
      </c>
      <c r="T247" s="10"/>
      <c r="U247" s="11">
        <v>0</v>
      </c>
      <c r="V247">
        <f t="shared" si="3"/>
        <v>0</v>
      </c>
    </row>
    <row r="248" spans="1:22">
      <c r="A248" s="12">
        <v>455</v>
      </c>
      <c r="B248" s="12">
        <v>0</v>
      </c>
      <c r="C248" s="12" t="s">
        <v>359</v>
      </c>
      <c r="D248" s="12"/>
      <c r="E248" s="12">
        <v>0</v>
      </c>
      <c r="F248" s="12">
        <v>0</v>
      </c>
      <c r="G248" s="12">
        <v>0</v>
      </c>
      <c r="H248" s="12">
        <v>0</v>
      </c>
      <c r="I248" s="12">
        <v>0</v>
      </c>
      <c r="J248" s="10"/>
      <c r="K248" s="10" t="s">
        <v>76</v>
      </c>
      <c r="L248" s="10"/>
      <c r="M248" s="11">
        <v>0</v>
      </c>
      <c r="N248" s="10"/>
      <c r="O248" s="11">
        <v>0</v>
      </c>
      <c r="P248" s="10"/>
      <c r="Q248" s="11">
        <v>0</v>
      </c>
      <c r="R248" s="10"/>
      <c r="S248" s="11">
        <v>0</v>
      </c>
      <c r="T248" s="10"/>
      <c r="U248" s="11">
        <v>0</v>
      </c>
      <c r="V248">
        <f t="shared" si="3"/>
        <v>0</v>
      </c>
    </row>
    <row r="249" spans="1:22">
      <c r="A249" s="12">
        <v>456</v>
      </c>
      <c r="B249" s="12">
        <v>0</v>
      </c>
      <c r="C249" s="12" t="s">
        <v>360</v>
      </c>
      <c r="D249" s="12"/>
      <c r="E249" s="12">
        <v>0</v>
      </c>
      <c r="F249" s="12">
        <v>0</v>
      </c>
      <c r="G249" s="12">
        <v>0</v>
      </c>
      <c r="H249" s="12">
        <v>0</v>
      </c>
      <c r="I249" s="12">
        <v>0</v>
      </c>
      <c r="J249" s="10"/>
      <c r="K249" s="10" t="s">
        <v>76</v>
      </c>
      <c r="L249" s="10"/>
      <c r="M249" s="11">
        <v>0</v>
      </c>
      <c r="N249" s="10"/>
      <c r="O249" s="11">
        <v>0</v>
      </c>
      <c r="P249" s="10"/>
      <c r="Q249" s="11">
        <v>0</v>
      </c>
      <c r="R249" s="10"/>
      <c r="S249" s="11">
        <v>0</v>
      </c>
      <c r="T249" s="10"/>
      <c r="U249" s="11">
        <v>0</v>
      </c>
      <c r="V249">
        <f t="shared" si="3"/>
        <v>0</v>
      </c>
    </row>
    <row r="250" spans="1:22">
      <c r="A250" s="12">
        <v>457</v>
      </c>
      <c r="B250" s="12">
        <v>1</v>
      </c>
      <c r="C250" s="12" t="s">
        <v>361</v>
      </c>
      <c r="D250" s="12" t="s">
        <v>361</v>
      </c>
      <c r="E250" s="12">
        <v>0</v>
      </c>
      <c r="F250" s="12">
        <v>603</v>
      </c>
      <c r="G250" s="12">
        <v>1</v>
      </c>
      <c r="H250" s="12">
        <v>0</v>
      </c>
      <c r="I250" s="12">
        <v>42</v>
      </c>
      <c r="J250" s="10"/>
      <c r="K250" s="10" t="s">
        <v>76</v>
      </c>
      <c r="L250" s="10"/>
      <c r="M250" s="11">
        <v>0</v>
      </c>
      <c r="N250" s="10"/>
      <c r="O250" s="11">
        <v>0</v>
      </c>
      <c r="P250" s="10"/>
      <c r="Q250" s="11">
        <v>0</v>
      </c>
      <c r="R250" s="10"/>
      <c r="S250" s="11">
        <v>0</v>
      </c>
      <c r="T250" s="10"/>
      <c r="U250" s="11">
        <v>0</v>
      </c>
      <c r="V250">
        <f t="shared" si="3"/>
        <v>0</v>
      </c>
    </row>
    <row r="251" spans="1:22">
      <c r="A251" s="12">
        <v>458</v>
      </c>
      <c r="B251" s="12">
        <v>0</v>
      </c>
      <c r="C251" s="12" t="s">
        <v>362</v>
      </c>
      <c r="D251" s="12"/>
      <c r="E251" s="12">
        <v>0</v>
      </c>
      <c r="F251" s="12">
        <v>0</v>
      </c>
      <c r="G251" s="12">
        <v>0</v>
      </c>
      <c r="H251" s="12">
        <v>0</v>
      </c>
      <c r="I251" s="12">
        <v>0</v>
      </c>
      <c r="J251" s="10"/>
      <c r="K251" s="10" t="s">
        <v>76</v>
      </c>
      <c r="L251" s="10"/>
      <c r="M251" s="11">
        <v>0</v>
      </c>
      <c r="N251" s="10"/>
      <c r="O251" s="11">
        <v>0</v>
      </c>
      <c r="P251" s="10"/>
      <c r="Q251" s="11">
        <v>0</v>
      </c>
      <c r="R251" s="10"/>
      <c r="S251" s="11">
        <v>0</v>
      </c>
      <c r="T251" s="10"/>
      <c r="U251" s="11">
        <v>0</v>
      </c>
      <c r="V251">
        <f t="shared" si="3"/>
        <v>0</v>
      </c>
    </row>
    <row r="252" spans="1:22">
      <c r="A252" s="12">
        <v>459</v>
      </c>
      <c r="B252" s="12">
        <v>0</v>
      </c>
      <c r="C252" s="12" t="s">
        <v>363</v>
      </c>
      <c r="D252" s="12"/>
      <c r="E252" s="12">
        <v>0</v>
      </c>
      <c r="F252" s="12">
        <v>0</v>
      </c>
      <c r="G252" s="12">
        <v>0</v>
      </c>
      <c r="H252" s="12">
        <v>0</v>
      </c>
      <c r="I252" s="12">
        <v>0</v>
      </c>
      <c r="J252" s="10"/>
      <c r="K252" s="10" t="s">
        <v>76</v>
      </c>
      <c r="L252" s="10"/>
      <c r="M252" s="11">
        <v>0</v>
      </c>
      <c r="N252" s="10"/>
      <c r="O252" s="11">
        <v>0</v>
      </c>
      <c r="P252" s="10"/>
      <c r="Q252" s="11">
        <v>0</v>
      </c>
      <c r="R252" s="10"/>
      <c r="S252" s="11">
        <v>0</v>
      </c>
      <c r="T252" s="10"/>
      <c r="U252" s="11">
        <v>0</v>
      </c>
      <c r="V252">
        <f t="shared" si="3"/>
        <v>0</v>
      </c>
    </row>
    <row r="253" spans="1:22">
      <c r="A253" s="12">
        <v>460</v>
      </c>
      <c r="B253" s="12">
        <v>1</v>
      </c>
      <c r="C253" s="12" t="s">
        <v>364</v>
      </c>
      <c r="D253" s="12" t="s">
        <v>365</v>
      </c>
      <c r="E253" s="12">
        <v>0</v>
      </c>
      <c r="F253" s="12">
        <v>463</v>
      </c>
      <c r="G253" s="12">
        <v>1</v>
      </c>
      <c r="H253" s="12">
        <v>0</v>
      </c>
      <c r="I253" s="12">
        <v>0</v>
      </c>
      <c r="J253" s="10"/>
      <c r="K253" s="10" t="s">
        <v>76</v>
      </c>
      <c r="L253" s="10" t="s">
        <v>15</v>
      </c>
      <c r="M253" s="11">
        <v>0</v>
      </c>
      <c r="N253" s="10" t="s">
        <v>137</v>
      </c>
      <c r="O253" s="11">
        <v>0</v>
      </c>
      <c r="P253" s="10" t="s">
        <v>138</v>
      </c>
      <c r="Q253" s="11">
        <v>0</v>
      </c>
      <c r="R253" s="10" t="s">
        <v>366</v>
      </c>
      <c r="S253" s="11">
        <v>0</v>
      </c>
      <c r="T253" s="10" t="s">
        <v>367</v>
      </c>
      <c r="U253" s="11">
        <v>0</v>
      </c>
      <c r="V253">
        <f t="shared" si="3"/>
        <v>0</v>
      </c>
    </row>
    <row r="254" spans="1:22">
      <c r="A254" s="12">
        <v>461</v>
      </c>
      <c r="B254" s="12">
        <v>0</v>
      </c>
      <c r="C254" s="12" t="s">
        <v>368</v>
      </c>
      <c r="D254" s="12"/>
      <c r="E254" s="12">
        <v>0</v>
      </c>
      <c r="F254" s="12">
        <v>0</v>
      </c>
      <c r="G254" s="12">
        <v>0</v>
      </c>
      <c r="H254" s="12">
        <v>0</v>
      </c>
      <c r="I254" s="12">
        <v>0</v>
      </c>
      <c r="J254" s="10"/>
      <c r="K254" s="10" t="s">
        <v>76</v>
      </c>
      <c r="L254" s="10"/>
      <c r="M254" s="11">
        <v>0</v>
      </c>
      <c r="N254" s="10"/>
      <c r="O254" s="11">
        <v>0</v>
      </c>
      <c r="P254" s="10"/>
      <c r="Q254" s="11">
        <v>0</v>
      </c>
      <c r="R254" s="10"/>
      <c r="S254" s="11">
        <v>0</v>
      </c>
      <c r="T254" s="10"/>
      <c r="U254" s="11">
        <v>0</v>
      </c>
      <c r="V254">
        <f t="shared" si="3"/>
        <v>0</v>
      </c>
    </row>
    <row r="255" spans="1:22">
      <c r="A255" s="12">
        <v>462</v>
      </c>
      <c r="B255" s="12">
        <v>0</v>
      </c>
      <c r="C255" s="12" t="s">
        <v>369</v>
      </c>
      <c r="D255" s="12"/>
      <c r="E255" s="12">
        <v>0</v>
      </c>
      <c r="F255" s="12">
        <v>0</v>
      </c>
      <c r="G255" s="12">
        <v>0</v>
      </c>
      <c r="H255" s="12">
        <v>0</v>
      </c>
      <c r="I255" s="12">
        <v>0</v>
      </c>
      <c r="J255" s="10"/>
      <c r="K255" s="10" t="s">
        <v>76</v>
      </c>
      <c r="L255" s="10"/>
      <c r="M255" s="11">
        <v>0</v>
      </c>
      <c r="N255" s="10"/>
      <c r="O255" s="11">
        <v>0</v>
      </c>
      <c r="P255" s="10"/>
      <c r="Q255" s="11">
        <v>0</v>
      </c>
      <c r="R255" s="10"/>
      <c r="S255" s="11">
        <v>0</v>
      </c>
      <c r="T255" s="10"/>
      <c r="U255" s="11">
        <v>0</v>
      </c>
      <c r="V255">
        <f t="shared" si="3"/>
        <v>0</v>
      </c>
    </row>
    <row r="256" spans="1:22">
      <c r="A256" s="12">
        <v>463</v>
      </c>
      <c r="B256" s="12">
        <v>1</v>
      </c>
      <c r="C256" s="12" t="s">
        <v>370</v>
      </c>
      <c r="D256" s="12" t="s">
        <v>365</v>
      </c>
      <c r="E256" s="12">
        <v>0</v>
      </c>
      <c r="F256" s="12">
        <v>0</v>
      </c>
      <c r="G256" s="12">
        <v>1</v>
      </c>
      <c r="H256" s="12">
        <v>0</v>
      </c>
      <c r="I256" s="12">
        <v>0</v>
      </c>
      <c r="J256" s="10"/>
      <c r="K256" s="10" t="s">
        <v>76</v>
      </c>
      <c r="L256" s="10"/>
      <c r="M256" s="11">
        <v>0</v>
      </c>
      <c r="N256" s="10"/>
      <c r="O256" s="11">
        <v>0</v>
      </c>
      <c r="P256" s="10"/>
      <c r="Q256" s="11">
        <v>0</v>
      </c>
      <c r="R256" s="10"/>
      <c r="S256" s="11">
        <v>0</v>
      </c>
      <c r="T256" s="10"/>
      <c r="U256" s="11">
        <v>0</v>
      </c>
      <c r="V256">
        <f t="shared" si="3"/>
        <v>0</v>
      </c>
    </row>
    <row r="257" spans="1:22">
      <c r="A257" s="12">
        <v>464</v>
      </c>
      <c r="B257" s="12">
        <v>1</v>
      </c>
      <c r="C257" s="207" t="s">
        <v>371</v>
      </c>
      <c r="D257" s="207" t="s">
        <v>4</v>
      </c>
      <c r="E257" s="12">
        <v>0</v>
      </c>
      <c r="F257" s="12">
        <v>465</v>
      </c>
      <c r="G257" s="12">
        <v>1</v>
      </c>
      <c r="H257" s="12">
        <v>1</v>
      </c>
      <c r="I257" s="12">
        <v>20</v>
      </c>
      <c r="J257" s="10"/>
      <c r="K257" s="10" t="s">
        <v>76</v>
      </c>
      <c r="L257" s="10"/>
      <c r="M257" s="11">
        <v>0</v>
      </c>
      <c r="N257" s="10"/>
      <c r="O257" s="11">
        <v>0</v>
      </c>
      <c r="P257" s="10"/>
      <c r="Q257" s="11">
        <v>0</v>
      </c>
      <c r="R257" s="10"/>
      <c r="S257" s="11">
        <v>0</v>
      </c>
      <c r="T257" s="10"/>
      <c r="U257" s="11">
        <v>0</v>
      </c>
      <c r="V257">
        <f t="shared" si="3"/>
        <v>0</v>
      </c>
    </row>
    <row r="258" spans="1:22">
      <c r="A258" s="12">
        <v>465</v>
      </c>
      <c r="B258" s="12">
        <v>1</v>
      </c>
      <c r="C258" s="207" t="s">
        <v>372</v>
      </c>
      <c r="D258" s="207" t="s">
        <v>4</v>
      </c>
      <c r="E258" s="12">
        <v>0</v>
      </c>
      <c r="F258" s="12">
        <v>0</v>
      </c>
      <c r="G258" s="12">
        <v>1</v>
      </c>
      <c r="H258" s="12">
        <v>1</v>
      </c>
      <c r="I258" s="12">
        <v>15</v>
      </c>
      <c r="J258" s="10"/>
      <c r="K258" s="10" t="s">
        <v>76</v>
      </c>
      <c r="L258" s="10"/>
      <c r="M258" s="11">
        <v>0</v>
      </c>
      <c r="N258" s="10"/>
      <c r="O258" s="11">
        <v>0</v>
      </c>
      <c r="P258" s="10"/>
      <c r="Q258" s="11">
        <v>0</v>
      </c>
      <c r="R258" s="10"/>
      <c r="S258" s="11">
        <v>0</v>
      </c>
      <c r="T258" s="10"/>
      <c r="U258" s="11">
        <v>0</v>
      </c>
      <c r="V258">
        <f t="shared" ref="V258:V321" si="4">IF(OR(COUNTIF(D258,"*赤*"),COUNTIF(D258,"*キャラ*")),100,0)</f>
        <v>0</v>
      </c>
    </row>
    <row r="259" spans="1:22">
      <c r="A259" s="12">
        <v>466</v>
      </c>
      <c r="B259" s="12">
        <v>1</v>
      </c>
      <c r="C259" s="12" t="s">
        <v>373</v>
      </c>
      <c r="D259" s="12" t="s">
        <v>189</v>
      </c>
      <c r="E259" s="12">
        <v>0</v>
      </c>
      <c r="F259" s="12">
        <v>0</v>
      </c>
      <c r="G259" s="12">
        <v>0</v>
      </c>
      <c r="H259" s="12">
        <v>0</v>
      </c>
      <c r="I259" s="12">
        <v>0</v>
      </c>
      <c r="J259" s="10"/>
      <c r="K259" s="10" t="s">
        <v>76</v>
      </c>
      <c r="L259" s="10"/>
      <c r="M259" s="11">
        <v>0</v>
      </c>
      <c r="N259" s="10"/>
      <c r="O259" s="11">
        <v>0</v>
      </c>
      <c r="P259" s="10"/>
      <c r="Q259" s="11">
        <v>0</v>
      </c>
      <c r="R259" s="10"/>
      <c r="S259" s="11">
        <v>0</v>
      </c>
      <c r="T259" s="10"/>
      <c r="U259" s="11">
        <v>0</v>
      </c>
      <c r="V259">
        <f t="shared" si="4"/>
        <v>0</v>
      </c>
    </row>
    <row r="260" spans="1:22">
      <c r="A260" s="12">
        <v>467</v>
      </c>
      <c r="B260" s="12">
        <v>1</v>
      </c>
      <c r="C260" s="12" t="s">
        <v>374</v>
      </c>
      <c r="D260" s="12" t="s">
        <v>374</v>
      </c>
      <c r="E260" s="12">
        <v>0</v>
      </c>
      <c r="F260" s="12">
        <v>0</v>
      </c>
      <c r="G260" s="12">
        <v>0</v>
      </c>
      <c r="H260" s="12">
        <v>0</v>
      </c>
      <c r="I260" s="12">
        <v>0</v>
      </c>
      <c r="J260" s="10"/>
      <c r="K260" s="10" t="s">
        <v>76</v>
      </c>
      <c r="L260" s="10"/>
      <c r="M260" s="11">
        <v>0</v>
      </c>
      <c r="N260" s="10"/>
      <c r="O260" s="11">
        <v>0</v>
      </c>
      <c r="P260" s="10"/>
      <c r="Q260" s="11">
        <v>0</v>
      </c>
      <c r="R260" s="10"/>
      <c r="S260" s="11">
        <v>0</v>
      </c>
      <c r="T260" s="10"/>
      <c r="U260" s="11">
        <v>0</v>
      </c>
      <c r="V260">
        <f t="shared" si="4"/>
        <v>0</v>
      </c>
    </row>
    <row r="261" spans="1:22">
      <c r="A261" s="12">
        <v>468</v>
      </c>
      <c r="B261" s="12">
        <v>1</v>
      </c>
      <c r="C261" s="12" t="s">
        <v>375</v>
      </c>
      <c r="D261" s="12" t="s">
        <v>375</v>
      </c>
      <c r="E261" s="12">
        <v>0</v>
      </c>
      <c r="F261" s="12">
        <v>0</v>
      </c>
      <c r="G261" s="12">
        <v>0</v>
      </c>
      <c r="H261" s="12">
        <v>0</v>
      </c>
      <c r="I261" s="12">
        <v>0</v>
      </c>
      <c r="J261" s="10"/>
      <c r="K261" s="10" t="s">
        <v>76</v>
      </c>
      <c r="L261" s="10"/>
      <c r="M261" s="11">
        <v>0</v>
      </c>
      <c r="N261" s="10"/>
      <c r="O261" s="11">
        <v>0</v>
      </c>
      <c r="P261" s="10"/>
      <c r="Q261" s="11">
        <v>0</v>
      </c>
      <c r="R261" s="10"/>
      <c r="S261" s="11">
        <v>0</v>
      </c>
      <c r="T261" s="10"/>
      <c r="U261" s="11">
        <v>0</v>
      </c>
      <c r="V261">
        <f t="shared" si="4"/>
        <v>0</v>
      </c>
    </row>
    <row r="262" spans="1:22">
      <c r="A262" s="12">
        <v>469</v>
      </c>
      <c r="B262" s="12">
        <v>0</v>
      </c>
      <c r="C262" s="12" t="s">
        <v>376</v>
      </c>
      <c r="D262" s="12"/>
      <c r="E262" s="12">
        <v>0</v>
      </c>
      <c r="F262" s="12">
        <v>0</v>
      </c>
      <c r="G262" s="12">
        <v>0</v>
      </c>
      <c r="H262" s="12">
        <v>0</v>
      </c>
      <c r="I262" s="12">
        <v>0</v>
      </c>
      <c r="J262" s="10"/>
      <c r="K262" s="10" t="s">
        <v>76</v>
      </c>
      <c r="L262" s="10"/>
      <c r="M262" s="11">
        <v>0</v>
      </c>
      <c r="N262" s="10"/>
      <c r="O262" s="11">
        <v>0</v>
      </c>
      <c r="P262" s="10"/>
      <c r="Q262" s="11">
        <v>0</v>
      </c>
      <c r="R262" s="10"/>
      <c r="S262" s="11">
        <v>0</v>
      </c>
      <c r="T262" s="10"/>
      <c r="U262" s="11">
        <v>0</v>
      </c>
      <c r="V262">
        <f t="shared" si="4"/>
        <v>0</v>
      </c>
    </row>
    <row r="263" spans="1:22">
      <c r="A263" s="12">
        <v>474</v>
      </c>
      <c r="B263" s="12">
        <v>1</v>
      </c>
      <c r="C263" s="12" t="s">
        <v>377</v>
      </c>
      <c r="D263" s="12" t="s">
        <v>378</v>
      </c>
      <c r="E263" s="12">
        <v>0</v>
      </c>
      <c r="F263" s="12">
        <v>0</v>
      </c>
      <c r="G263" s="12">
        <v>1</v>
      </c>
      <c r="H263" s="12">
        <v>0</v>
      </c>
      <c r="I263" s="12">
        <v>0</v>
      </c>
      <c r="J263" s="10"/>
      <c r="K263" s="10" t="s">
        <v>76</v>
      </c>
      <c r="L263" s="10"/>
      <c r="M263" s="11">
        <v>0</v>
      </c>
      <c r="N263" s="10"/>
      <c r="O263" s="11">
        <v>0</v>
      </c>
      <c r="P263" s="10"/>
      <c r="Q263" s="11">
        <v>0</v>
      </c>
      <c r="R263" s="10"/>
      <c r="S263" s="11">
        <v>0</v>
      </c>
      <c r="T263" s="10"/>
      <c r="U263" s="11">
        <v>0</v>
      </c>
      <c r="V263">
        <f t="shared" si="4"/>
        <v>0</v>
      </c>
    </row>
    <row r="264" spans="1:22">
      <c r="A264" s="12">
        <v>475</v>
      </c>
      <c r="B264" s="12">
        <v>1</v>
      </c>
      <c r="C264" s="12" t="s">
        <v>379</v>
      </c>
      <c r="D264" s="12" t="s">
        <v>380</v>
      </c>
      <c r="E264" s="12">
        <v>0</v>
      </c>
      <c r="F264" s="12">
        <v>0</v>
      </c>
      <c r="G264" s="12">
        <v>1</v>
      </c>
      <c r="H264" s="12">
        <v>0</v>
      </c>
      <c r="I264" s="12">
        <v>0</v>
      </c>
      <c r="J264" s="10"/>
      <c r="K264" s="10" t="s">
        <v>76</v>
      </c>
      <c r="L264" s="10"/>
      <c r="M264" s="11">
        <v>0</v>
      </c>
      <c r="N264" s="10"/>
      <c r="O264" s="11">
        <v>0</v>
      </c>
      <c r="P264" s="10"/>
      <c r="Q264" s="11">
        <v>0</v>
      </c>
      <c r="R264" s="10"/>
      <c r="S264" s="11">
        <v>0</v>
      </c>
      <c r="T264" s="10"/>
      <c r="U264" s="11">
        <v>0</v>
      </c>
      <c r="V264">
        <f t="shared" si="4"/>
        <v>0</v>
      </c>
    </row>
    <row r="265" spans="1:22">
      <c r="A265" s="12">
        <v>476</v>
      </c>
      <c r="B265" s="12">
        <v>1</v>
      </c>
      <c r="C265" s="12" t="s">
        <v>280</v>
      </c>
      <c r="D265" s="12" t="s">
        <v>381</v>
      </c>
      <c r="E265" s="12">
        <v>0</v>
      </c>
      <c r="F265" s="12">
        <v>0</v>
      </c>
      <c r="G265" s="12">
        <v>1</v>
      </c>
      <c r="H265" s="12">
        <v>0</v>
      </c>
      <c r="I265" s="12">
        <v>0</v>
      </c>
      <c r="J265" s="10"/>
      <c r="K265" s="10" t="s">
        <v>76</v>
      </c>
      <c r="L265" s="10"/>
      <c r="M265" s="11">
        <v>0</v>
      </c>
      <c r="N265" s="10"/>
      <c r="O265" s="11">
        <v>0</v>
      </c>
      <c r="P265" s="10"/>
      <c r="Q265" s="11">
        <v>0</v>
      </c>
      <c r="R265" s="10"/>
      <c r="S265" s="11">
        <v>0</v>
      </c>
      <c r="T265" s="10"/>
      <c r="U265" s="11">
        <v>0</v>
      </c>
      <c r="V265">
        <f t="shared" si="4"/>
        <v>0</v>
      </c>
    </row>
    <row r="266" spans="1:22">
      <c r="A266" s="12">
        <v>477</v>
      </c>
      <c r="B266" s="12">
        <v>1</v>
      </c>
      <c r="C266" s="12" t="s">
        <v>382</v>
      </c>
      <c r="D266" s="12" t="s">
        <v>382</v>
      </c>
      <c r="E266" s="12">
        <v>0</v>
      </c>
      <c r="F266" s="12">
        <v>0</v>
      </c>
      <c r="G266" s="12">
        <v>1</v>
      </c>
      <c r="H266" s="12">
        <v>0</v>
      </c>
      <c r="I266" s="12">
        <v>0</v>
      </c>
      <c r="J266" s="10"/>
      <c r="K266" s="10" t="s">
        <v>76</v>
      </c>
      <c r="L266" s="10"/>
      <c r="M266" s="11">
        <v>0</v>
      </c>
      <c r="N266" s="10"/>
      <c r="O266" s="11">
        <v>0</v>
      </c>
      <c r="P266" s="10"/>
      <c r="Q266" s="11">
        <v>0</v>
      </c>
      <c r="R266" s="10"/>
      <c r="S266" s="11">
        <v>0</v>
      </c>
      <c r="T266" s="10"/>
      <c r="U266" s="11">
        <v>0</v>
      </c>
      <c r="V266">
        <f t="shared" si="4"/>
        <v>0</v>
      </c>
    </row>
    <row r="267" spans="1:22">
      <c r="A267" s="12">
        <v>478</v>
      </c>
      <c r="B267" s="12">
        <v>1</v>
      </c>
      <c r="C267" s="12" t="s">
        <v>383</v>
      </c>
      <c r="D267" s="12" t="s">
        <v>383</v>
      </c>
      <c r="E267" s="12">
        <v>0</v>
      </c>
      <c r="F267" s="12">
        <v>0</v>
      </c>
      <c r="G267" s="12">
        <v>1</v>
      </c>
      <c r="H267" s="12">
        <v>0</v>
      </c>
      <c r="I267" s="12">
        <v>0</v>
      </c>
      <c r="J267" s="10"/>
      <c r="K267" s="10" t="s">
        <v>76</v>
      </c>
      <c r="L267" s="10"/>
      <c r="M267" s="11">
        <v>0</v>
      </c>
      <c r="N267" s="10"/>
      <c r="O267" s="11">
        <v>0</v>
      </c>
      <c r="P267" s="10"/>
      <c r="Q267" s="11">
        <v>0</v>
      </c>
      <c r="R267" s="10"/>
      <c r="S267" s="11">
        <v>0</v>
      </c>
      <c r="T267" s="10"/>
      <c r="U267" s="11">
        <v>0</v>
      </c>
      <c r="V267">
        <f t="shared" si="4"/>
        <v>0</v>
      </c>
    </row>
    <row r="268" spans="1:22">
      <c r="A268" s="12">
        <v>479</v>
      </c>
      <c r="B268" s="12">
        <v>1</v>
      </c>
      <c r="C268" s="12" t="s">
        <v>286</v>
      </c>
      <c r="D268" s="12" t="s">
        <v>286</v>
      </c>
      <c r="E268" s="12">
        <v>0</v>
      </c>
      <c r="F268" s="12">
        <v>0</v>
      </c>
      <c r="G268" s="12">
        <v>1</v>
      </c>
      <c r="H268" s="12">
        <v>0</v>
      </c>
      <c r="I268" s="12">
        <v>0</v>
      </c>
      <c r="J268" s="10"/>
      <c r="K268" s="10" t="s">
        <v>76</v>
      </c>
      <c r="L268" s="10"/>
      <c r="M268" s="11">
        <v>0</v>
      </c>
      <c r="N268" s="10"/>
      <c r="O268" s="11">
        <v>0</v>
      </c>
      <c r="P268" s="10"/>
      <c r="Q268" s="11">
        <v>0</v>
      </c>
      <c r="R268" s="10"/>
      <c r="S268" s="11">
        <v>0</v>
      </c>
      <c r="T268" s="10"/>
      <c r="U268" s="11">
        <v>0</v>
      </c>
      <c r="V268">
        <f t="shared" si="4"/>
        <v>0</v>
      </c>
    </row>
    <row r="269" spans="1:22">
      <c r="A269" s="12">
        <v>480</v>
      </c>
      <c r="B269" s="12">
        <v>1</v>
      </c>
      <c r="C269" s="12" t="s">
        <v>384</v>
      </c>
      <c r="D269" s="207" t="s">
        <v>245</v>
      </c>
      <c r="E269" s="12">
        <v>0</v>
      </c>
      <c r="F269" s="12">
        <v>0</v>
      </c>
      <c r="G269" s="12">
        <v>1</v>
      </c>
      <c r="H269" s="12">
        <v>1</v>
      </c>
      <c r="I269" s="12">
        <v>18</v>
      </c>
      <c r="J269" s="10"/>
      <c r="K269" s="10" t="s">
        <v>76</v>
      </c>
      <c r="L269" s="10"/>
      <c r="M269" s="11">
        <v>0</v>
      </c>
      <c r="N269" s="10"/>
      <c r="O269" s="11">
        <v>0</v>
      </c>
      <c r="P269" s="10"/>
      <c r="Q269" s="11">
        <v>0</v>
      </c>
      <c r="R269" s="10"/>
      <c r="S269" s="11">
        <v>0</v>
      </c>
      <c r="T269" s="10"/>
      <c r="U269" s="11">
        <v>0</v>
      </c>
      <c r="V269">
        <f t="shared" si="4"/>
        <v>0</v>
      </c>
    </row>
    <row r="270" spans="1:22">
      <c r="A270" s="12">
        <v>481</v>
      </c>
      <c r="B270" s="12">
        <v>1</v>
      </c>
      <c r="C270" s="12" t="s">
        <v>173</v>
      </c>
      <c r="D270" s="12" t="s">
        <v>173</v>
      </c>
      <c r="E270" s="12">
        <v>0</v>
      </c>
      <c r="F270" s="12">
        <v>0</v>
      </c>
      <c r="G270" s="12">
        <v>3</v>
      </c>
      <c r="H270" s="12">
        <v>0</v>
      </c>
      <c r="I270" s="12">
        <v>0</v>
      </c>
      <c r="J270" s="10"/>
      <c r="K270" s="10" t="s">
        <v>76</v>
      </c>
      <c r="L270" s="10"/>
      <c r="M270" s="11">
        <v>0</v>
      </c>
      <c r="N270" s="10"/>
      <c r="O270" s="11">
        <v>0</v>
      </c>
      <c r="P270" s="10"/>
      <c r="Q270" s="11">
        <v>0</v>
      </c>
      <c r="R270" s="10"/>
      <c r="S270" s="11">
        <v>0</v>
      </c>
      <c r="T270" s="10"/>
      <c r="U270" s="11">
        <v>0</v>
      </c>
      <c r="V270">
        <f t="shared" si="4"/>
        <v>0</v>
      </c>
    </row>
    <row r="271" spans="1:22">
      <c r="A271" s="12">
        <v>482</v>
      </c>
      <c r="B271" s="12">
        <v>1</v>
      </c>
      <c r="C271" s="12" t="s">
        <v>385</v>
      </c>
      <c r="D271" s="12" t="s">
        <v>200</v>
      </c>
      <c r="E271" s="12">
        <v>0</v>
      </c>
      <c r="F271" s="12">
        <v>0</v>
      </c>
      <c r="G271" s="12">
        <v>1</v>
      </c>
      <c r="H271" s="12">
        <v>0</v>
      </c>
      <c r="I271" s="12">
        <v>0</v>
      </c>
      <c r="J271" s="10"/>
      <c r="K271" s="10" t="s">
        <v>76</v>
      </c>
      <c r="L271" s="10"/>
      <c r="M271" s="11">
        <v>0</v>
      </c>
      <c r="N271" s="10"/>
      <c r="O271" s="11">
        <v>0</v>
      </c>
      <c r="P271" s="10"/>
      <c r="Q271" s="11">
        <v>0</v>
      </c>
      <c r="R271" s="10"/>
      <c r="S271" s="11">
        <v>0</v>
      </c>
      <c r="T271" s="10"/>
      <c r="U271" s="11">
        <v>0</v>
      </c>
      <c r="V271">
        <f t="shared" si="4"/>
        <v>0</v>
      </c>
    </row>
    <row r="272" spans="1:22">
      <c r="A272" s="12">
        <v>483</v>
      </c>
      <c r="B272" s="12">
        <v>1</v>
      </c>
      <c r="C272" s="12" t="s">
        <v>386</v>
      </c>
      <c r="D272" s="12" t="s">
        <v>386</v>
      </c>
      <c r="E272" s="12">
        <v>0</v>
      </c>
      <c r="F272" s="12">
        <v>0</v>
      </c>
      <c r="G272" s="12">
        <v>1</v>
      </c>
      <c r="H272" s="12">
        <v>0</v>
      </c>
      <c r="I272" s="12">
        <v>0</v>
      </c>
      <c r="J272" s="10"/>
      <c r="K272" s="10" t="s">
        <v>76</v>
      </c>
      <c r="L272" s="10"/>
      <c r="M272" s="11">
        <v>0</v>
      </c>
      <c r="N272" s="10"/>
      <c r="O272" s="11">
        <v>0</v>
      </c>
      <c r="P272" s="10"/>
      <c r="Q272" s="11">
        <v>0</v>
      </c>
      <c r="R272" s="10"/>
      <c r="S272" s="11">
        <v>0</v>
      </c>
      <c r="T272" s="10"/>
      <c r="U272" s="11">
        <v>0</v>
      </c>
      <c r="V272">
        <f t="shared" si="4"/>
        <v>0</v>
      </c>
    </row>
    <row r="273" spans="1:22">
      <c r="A273" s="12">
        <v>484</v>
      </c>
      <c r="B273" s="12">
        <v>0</v>
      </c>
      <c r="C273" s="12" t="s">
        <v>387</v>
      </c>
      <c r="D273" s="207" t="s">
        <v>6</v>
      </c>
      <c r="E273" s="12">
        <v>0</v>
      </c>
      <c r="F273" s="12">
        <v>0</v>
      </c>
      <c r="G273" s="12">
        <v>3</v>
      </c>
      <c r="H273" s="12">
        <v>0</v>
      </c>
      <c r="I273" s="12">
        <v>0</v>
      </c>
      <c r="J273" s="10"/>
      <c r="K273" s="10" t="s">
        <v>76</v>
      </c>
      <c r="L273" s="10"/>
      <c r="M273" s="11">
        <v>0</v>
      </c>
      <c r="N273" s="10"/>
      <c r="O273" s="11">
        <v>0</v>
      </c>
      <c r="P273" s="10"/>
      <c r="Q273" s="11">
        <v>0</v>
      </c>
      <c r="R273" s="10"/>
      <c r="S273" s="11">
        <v>0</v>
      </c>
      <c r="T273" s="10"/>
      <c r="U273" s="11">
        <v>0</v>
      </c>
      <c r="V273">
        <f t="shared" si="4"/>
        <v>0</v>
      </c>
    </row>
    <row r="274" spans="1:22">
      <c r="A274" s="12">
        <v>488</v>
      </c>
      <c r="B274" s="12">
        <v>1</v>
      </c>
      <c r="C274" s="12" t="s">
        <v>388</v>
      </c>
      <c r="D274" s="12" t="s">
        <v>388</v>
      </c>
      <c r="E274" s="12">
        <v>0</v>
      </c>
      <c r="F274" s="12">
        <v>0</v>
      </c>
      <c r="G274" s="12">
        <v>1</v>
      </c>
      <c r="H274" s="12">
        <v>0</v>
      </c>
      <c r="I274" s="12">
        <v>0</v>
      </c>
      <c r="J274" s="10"/>
      <c r="K274" s="10" t="s">
        <v>76</v>
      </c>
      <c r="L274" s="10"/>
      <c r="M274" s="11">
        <v>0</v>
      </c>
      <c r="N274" s="10"/>
      <c r="O274" s="11">
        <v>0</v>
      </c>
      <c r="P274" s="10"/>
      <c r="Q274" s="11">
        <v>0</v>
      </c>
      <c r="R274" s="10"/>
      <c r="S274" s="11">
        <v>0</v>
      </c>
      <c r="T274" s="10"/>
      <c r="U274" s="11">
        <v>0</v>
      </c>
      <c r="V274">
        <f t="shared" si="4"/>
        <v>0</v>
      </c>
    </row>
    <row r="275" spans="1:22">
      <c r="A275" s="12">
        <v>489</v>
      </c>
      <c r="B275" s="12">
        <v>1</v>
      </c>
      <c r="C275" s="12" t="s">
        <v>389</v>
      </c>
      <c r="D275" s="12" t="s">
        <v>389</v>
      </c>
      <c r="E275" s="12">
        <v>0</v>
      </c>
      <c r="F275" s="12">
        <v>0</v>
      </c>
      <c r="G275" s="12">
        <v>1</v>
      </c>
      <c r="H275" s="12">
        <v>0</v>
      </c>
      <c r="I275" s="12">
        <v>0</v>
      </c>
      <c r="J275" s="10"/>
      <c r="K275" s="10" t="s">
        <v>76</v>
      </c>
      <c r="L275" s="10"/>
      <c r="M275" s="11">
        <v>0</v>
      </c>
      <c r="N275" s="10"/>
      <c r="O275" s="11">
        <v>0</v>
      </c>
      <c r="P275" s="10"/>
      <c r="Q275" s="11">
        <v>0</v>
      </c>
      <c r="R275" s="10"/>
      <c r="S275" s="11">
        <v>0</v>
      </c>
      <c r="T275" s="10"/>
      <c r="U275" s="11">
        <v>0</v>
      </c>
      <c r="V275">
        <f t="shared" si="4"/>
        <v>0</v>
      </c>
    </row>
    <row r="276" spans="1:22">
      <c r="A276" s="12">
        <v>490</v>
      </c>
      <c r="B276" s="12">
        <v>1</v>
      </c>
      <c r="C276" s="12" t="s">
        <v>390</v>
      </c>
      <c r="D276" s="207" t="s">
        <v>270</v>
      </c>
      <c r="E276" s="12">
        <v>0</v>
      </c>
      <c r="F276" s="12">
        <v>602</v>
      </c>
      <c r="G276" s="12">
        <v>3</v>
      </c>
      <c r="H276" s="12">
        <v>1</v>
      </c>
      <c r="I276" s="12">
        <v>0</v>
      </c>
      <c r="J276" s="10"/>
      <c r="K276" s="10" t="s">
        <v>76</v>
      </c>
      <c r="L276" s="10"/>
      <c r="M276" s="11">
        <v>0</v>
      </c>
      <c r="N276" s="10"/>
      <c r="O276" s="11">
        <v>0</v>
      </c>
      <c r="P276" s="10"/>
      <c r="Q276" s="11">
        <v>0</v>
      </c>
      <c r="R276" s="10"/>
      <c r="S276" s="11">
        <v>0</v>
      </c>
      <c r="T276" s="10"/>
      <c r="U276" s="11">
        <v>0</v>
      </c>
      <c r="V276">
        <f t="shared" si="4"/>
        <v>0</v>
      </c>
    </row>
    <row r="277" spans="1:22">
      <c r="A277" s="12">
        <v>491</v>
      </c>
      <c r="B277" s="12">
        <v>0</v>
      </c>
      <c r="C277" s="12" t="s">
        <v>189</v>
      </c>
      <c r="D277" s="12" t="s">
        <v>189</v>
      </c>
      <c r="E277" s="12">
        <v>0</v>
      </c>
      <c r="F277" s="12">
        <v>0</v>
      </c>
      <c r="G277" s="12">
        <v>0</v>
      </c>
      <c r="H277" s="12">
        <v>0</v>
      </c>
      <c r="I277" s="12">
        <v>0</v>
      </c>
      <c r="J277" s="10"/>
      <c r="K277" s="10" t="s">
        <v>76</v>
      </c>
      <c r="L277" s="10"/>
      <c r="M277" s="11">
        <v>0</v>
      </c>
      <c r="N277" s="10"/>
      <c r="O277" s="11">
        <v>0</v>
      </c>
      <c r="P277" s="10"/>
      <c r="Q277" s="11">
        <v>0</v>
      </c>
      <c r="R277" s="10"/>
      <c r="S277" s="11">
        <v>0</v>
      </c>
      <c r="T277" s="10"/>
      <c r="U277" s="11">
        <v>0</v>
      </c>
      <c r="V277">
        <f t="shared" si="4"/>
        <v>0</v>
      </c>
    </row>
    <row r="278" spans="1:22">
      <c r="A278" s="12">
        <v>492</v>
      </c>
      <c r="B278" s="12">
        <v>0</v>
      </c>
      <c r="C278" s="12" t="s">
        <v>391</v>
      </c>
      <c r="D278" s="12" t="s">
        <v>391</v>
      </c>
      <c r="E278" s="12">
        <v>0</v>
      </c>
      <c r="F278" s="12">
        <v>0</v>
      </c>
      <c r="G278" s="12">
        <v>0</v>
      </c>
      <c r="H278" s="12">
        <v>0</v>
      </c>
      <c r="I278" s="12">
        <v>0</v>
      </c>
      <c r="J278" s="10"/>
      <c r="K278" s="10" t="s">
        <v>76</v>
      </c>
      <c r="L278" s="10"/>
      <c r="M278" s="11">
        <v>0</v>
      </c>
      <c r="N278" s="10"/>
      <c r="O278" s="11">
        <v>0</v>
      </c>
      <c r="P278" s="10"/>
      <c r="Q278" s="11">
        <v>0</v>
      </c>
      <c r="R278" s="10"/>
      <c r="S278" s="11">
        <v>0</v>
      </c>
      <c r="T278" s="10"/>
      <c r="U278" s="11">
        <v>0</v>
      </c>
      <c r="V278">
        <f t="shared" si="4"/>
        <v>0</v>
      </c>
    </row>
    <row r="279" spans="1:22">
      <c r="A279" s="12">
        <v>493</v>
      </c>
      <c r="B279" s="12">
        <v>0</v>
      </c>
      <c r="C279" s="12" t="s">
        <v>392</v>
      </c>
      <c r="D279" s="12" t="s">
        <v>392</v>
      </c>
      <c r="E279" s="12">
        <v>0</v>
      </c>
      <c r="F279" s="12">
        <v>0</v>
      </c>
      <c r="G279" s="12">
        <v>0</v>
      </c>
      <c r="H279" s="12">
        <v>0</v>
      </c>
      <c r="I279" s="12">
        <v>0</v>
      </c>
      <c r="J279" s="10"/>
      <c r="K279" s="10" t="s">
        <v>76</v>
      </c>
      <c r="L279" s="10"/>
      <c r="M279" s="11">
        <v>0</v>
      </c>
      <c r="N279" s="10"/>
      <c r="O279" s="11">
        <v>0</v>
      </c>
      <c r="P279" s="10"/>
      <c r="Q279" s="11">
        <v>0</v>
      </c>
      <c r="R279" s="10"/>
      <c r="S279" s="11">
        <v>0</v>
      </c>
      <c r="T279" s="10"/>
      <c r="U279" s="11">
        <v>0</v>
      </c>
      <c r="V279">
        <f t="shared" si="4"/>
        <v>0</v>
      </c>
    </row>
    <row r="280" spans="1:22">
      <c r="A280" s="12">
        <v>494</v>
      </c>
      <c r="B280" s="12">
        <v>1</v>
      </c>
      <c r="C280" s="12" t="s">
        <v>393</v>
      </c>
      <c r="D280" s="12" t="s">
        <v>393</v>
      </c>
      <c r="E280" s="12">
        <v>0</v>
      </c>
      <c r="F280" s="12">
        <v>495</v>
      </c>
      <c r="G280" s="12">
        <v>3</v>
      </c>
      <c r="H280" s="12">
        <v>0</v>
      </c>
      <c r="I280" s="12">
        <v>0</v>
      </c>
      <c r="J280" s="10"/>
      <c r="K280" s="10" t="s">
        <v>76</v>
      </c>
      <c r="L280" s="10"/>
      <c r="M280" s="11">
        <v>0</v>
      </c>
      <c r="N280" s="10"/>
      <c r="O280" s="11">
        <v>0</v>
      </c>
      <c r="P280" s="10"/>
      <c r="Q280" s="11">
        <v>0</v>
      </c>
      <c r="R280" s="10"/>
      <c r="S280" s="11">
        <v>0</v>
      </c>
      <c r="T280" s="10"/>
      <c r="U280" s="11">
        <v>0</v>
      </c>
      <c r="V280">
        <f t="shared" si="4"/>
        <v>0</v>
      </c>
    </row>
    <row r="281" spans="1:22">
      <c r="A281" s="12">
        <v>495</v>
      </c>
      <c r="B281" s="12">
        <v>1</v>
      </c>
      <c r="C281" s="12" t="s">
        <v>394</v>
      </c>
      <c r="D281" s="207" t="s">
        <v>393</v>
      </c>
      <c r="E281" s="12">
        <v>0</v>
      </c>
      <c r="F281" s="12">
        <v>0</v>
      </c>
      <c r="G281" s="12">
        <v>3</v>
      </c>
      <c r="H281" s="12">
        <v>0</v>
      </c>
      <c r="I281" s="12">
        <v>0</v>
      </c>
      <c r="J281" s="10"/>
      <c r="K281" s="10" t="s">
        <v>76</v>
      </c>
      <c r="L281" s="10"/>
      <c r="M281" s="11">
        <v>0</v>
      </c>
      <c r="N281" s="10"/>
      <c r="O281" s="11">
        <v>0</v>
      </c>
      <c r="P281" s="10"/>
      <c r="Q281" s="11">
        <v>0</v>
      </c>
      <c r="R281" s="10"/>
      <c r="S281" s="11">
        <v>0</v>
      </c>
      <c r="T281" s="10"/>
      <c r="U281" s="11">
        <v>0</v>
      </c>
      <c r="V281">
        <f t="shared" si="4"/>
        <v>0</v>
      </c>
    </row>
    <row r="282" spans="1:22">
      <c r="A282" s="12">
        <v>496</v>
      </c>
      <c r="B282" s="12">
        <v>1</v>
      </c>
      <c r="C282" s="12" t="s">
        <v>395</v>
      </c>
      <c r="D282" s="207" t="s">
        <v>396</v>
      </c>
      <c r="E282" s="12">
        <v>0</v>
      </c>
      <c r="F282" s="12">
        <v>497</v>
      </c>
      <c r="G282" s="12">
        <v>3</v>
      </c>
      <c r="H282" s="12">
        <v>0</v>
      </c>
      <c r="I282" s="12">
        <v>0</v>
      </c>
      <c r="J282" s="10"/>
      <c r="K282" s="10" t="s">
        <v>76</v>
      </c>
      <c r="L282" s="10"/>
      <c r="M282" s="11">
        <v>0</v>
      </c>
      <c r="N282" s="10"/>
      <c r="O282" s="11">
        <v>0</v>
      </c>
      <c r="P282" s="10"/>
      <c r="Q282" s="11">
        <v>0</v>
      </c>
      <c r="R282" s="10"/>
      <c r="S282" s="11">
        <v>0</v>
      </c>
      <c r="T282" s="10"/>
      <c r="U282" s="11">
        <v>0</v>
      </c>
      <c r="V282">
        <f t="shared" si="4"/>
        <v>0</v>
      </c>
    </row>
    <row r="283" spans="1:22">
      <c r="A283" s="12">
        <v>497</v>
      </c>
      <c r="B283" s="12">
        <v>1</v>
      </c>
      <c r="C283" s="12" t="s">
        <v>397</v>
      </c>
      <c r="D283" s="207" t="s">
        <v>396</v>
      </c>
      <c r="E283" s="12">
        <v>0</v>
      </c>
      <c r="F283" s="12">
        <v>0</v>
      </c>
      <c r="G283" s="12">
        <v>3</v>
      </c>
      <c r="H283" s="12">
        <v>0</v>
      </c>
      <c r="I283" s="12">
        <v>0</v>
      </c>
      <c r="J283" s="10"/>
      <c r="K283" s="10" t="s">
        <v>76</v>
      </c>
      <c r="L283" s="10"/>
      <c r="M283" s="11">
        <v>0</v>
      </c>
      <c r="N283" s="10"/>
      <c r="O283" s="11">
        <v>0</v>
      </c>
      <c r="P283" s="10"/>
      <c r="Q283" s="11">
        <v>0</v>
      </c>
      <c r="R283" s="10"/>
      <c r="S283" s="11">
        <v>0</v>
      </c>
      <c r="T283" s="10"/>
      <c r="U283" s="11">
        <v>0</v>
      </c>
      <c r="V283">
        <f t="shared" si="4"/>
        <v>0</v>
      </c>
    </row>
    <row r="284" spans="1:22">
      <c r="A284" s="12">
        <v>498</v>
      </c>
      <c r="B284" s="12">
        <v>1</v>
      </c>
      <c r="C284" s="12" t="s">
        <v>398</v>
      </c>
      <c r="D284" s="12" t="s">
        <v>398</v>
      </c>
      <c r="E284" s="12">
        <v>0</v>
      </c>
      <c r="F284" s="12">
        <v>499</v>
      </c>
      <c r="G284" s="12">
        <v>1</v>
      </c>
      <c r="H284" s="12">
        <v>2</v>
      </c>
      <c r="I284" s="12">
        <v>0</v>
      </c>
      <c r="J284" s="10"/>
      <c r="K284" s="10" t="s">
        <v>76</v>
      </c>
      <c r="L284" s="10" t="s">
        <v>398</v>
      </c>
      <c r="M284" s="11">
        <v>0</v>
      </c>
      <c r="N284" s="10" t="s">
        <v>77</v>
      </c>
      <c r="O284" s="11">
        <v>0</v>
      </c>
      <c r="P284" s="10"/>
      <c r="Q284" s="11">
        <v>0</v>
      </c>
      <c r="R284" s="10"/>
      <c r="S284" s="11">
        <v>0</v>
      </c>
      <c r="T284" s="10"/>
      <c r="U284" s="11">
        <v>0</v>
      </c>
      <c r="V284">
        <f t="shared" si="4"/>
        <v>0</v>
      </c>
    </row>
    <row r="285" spans="1:22">
      <c r="A285" s="12">
        <v>499</v>
      </c>
      <c r="B285" s="12">
        <v>1</v>
      </c>
      <c r="C285" s="12" t="s">
        <v>399</v>
      </c>
      <c r="D285" s="12" t="s">
        <v>399</v>
      </c>
      <c r="E285" s="12">
        <v>0</v>
      </c>
      <c r="F285" s="12">
        <v>0</v>
      </c>
      <c r="G285" s="12">
        <v>1</v>
      </c>
      <c r="H285" s="12">
        <v>2</v>
      </c>
      <c r="I285" s="12">
        <v>0</v>
      </c>
      <c r="J285" s="10"/>
      <c r="K285" s="10" t="s">
        <v>76</v>
      </c>
      <c r="L285" s="10"/>
      <c r="M285" s="11">
        <v>0</v>
      </c>
      <c r="N285" s="10"/>
      <c r="O285" s="11">
        <v>0</v>
      </c>
      <c r="P285" s="10"/>
      <c r="Q285" s="11">
        <v>0</v>
      </c>
      <c r="R285" s="10"/>
      <c r="S285" s="11">
        <v>0</v>
      </c>
      <c r="T285" s="10"/>
      <c r="U285" s="11">
        <v>0</v>
      </c>
      <c r="V285">
        <f t="shared" si="4"/>
        <v>0</v>
      </c>
    </row>
    <row r="286" spans="1:22">
      <c r="A286" s="12">
        <v>500</v>
      </c>
      <c r="B286" s="12">
        <v>1</v>
      </c>
      <c r="C286" s="12" t="s">
        <v>400</v>
      </c>
      <c r="D286" s="12" t="s">
        <v>400</v>
      </c>
      <c r="E286" s="12">
        <v>370</v>
      </c>
      <c r="F286" s="12">
        <v>0</v>
      </c>
      <c r="G286" s="12">
        <v>0</v>
      </c>
      <c r="H286" s="12">
        <v>1</v>
      </c>
      <c r="I286" s="12">
        <v>24</v>
      </c>
      <c r="J286" s="10">
        <v>88</v>
      </c>
      <c r="K286" s="10" t="s">
        <v>61</v>
      </c>
      <c r="L286" s="10"/>
      <c r="M286" s="11">
        <v>0</v>
      </c>
      <c r="N286" s="10"/>
      <c r="O286" s="11">
        <v>0</v>
      </c>
      <c r="P286" s="10"/>
      <c r="Q286" s="11">
        <v>0</v>
      </c>
      <c r="R286" s="10"/>
      <c r="S286" s="11">
        <v>0</v>
      </c>
      <c r="T286" s="10"/>
      <c r="U286" s="11">
        <v>0</v>
      </c>
      <c r="V286">
        <f t="shared" si="4"/>
        <v>0</v>
      </c>
    </row>
    <row r="287" spans="1:22">
      <c r="A287" s="12">
        <v>501</v>
      </c>
      <c r="B287" s="12">
        <v>1</v>
      </c>
      <c r="C287" s="12" t="s">
        <v>401</v>
      </c>
      <c r="D287" s="12" t="s">
        <v>401</v>
      </c>
      <c r="E287" s="12">
        <v>300</v>
      </c>
      <c r="F287" s="12">
        <v>0</v>
      </c>
      <c r="G287" s="12">
        <v>0</v>
      </c>
      <c r="H287" s="12">
        <v>1</v>
      </c>
      <c r="I287" s="12">
        <v>24</v>
      </c>
      <c r="J287" s="10">
        <v>8</v>
      </c>
      <c r="K287" s="10" t="s">
        <v>61</v>
      </c>
      <c r="L287" s="10"/>
      <c r="M287" s="11">
        <v>0</v>
      </c>
      <c r="N287" s="10"/>
      <c r="O287" s="11">
        <v>0</v>
      </c>
      <c r="P287" s="10"/>
      <c r="Q287" s="11">
        <v>0</v>
      </c>
      <c r="R287" s="10"/>
      <c r="S287" s="11">
        <v>0</v>
      </c>
      <c r="T287" s="10"/>
      <c r="U287" s="11">
        <v>0</v>
      </c>
      <c r="V287">
        <f t="shared" si="4"/>
        <v>0</v>
      </c>
    </row>
    <row r="288" spans="1:22">
      <c r="A288" s="12">
        <v>502</v>
      </c>
      <c r="B288" s="12">
        <v>0</v>
      </c>
      <c r="C288" s="12" t="s">
        <v>402</v>
      </c>
      <c r="D288" s="12" t="s">
        <v>402</v>
      </c>
      <c r="E288" s="12">
        <v>0</v>
      </c>
      <c r="F288" s="12">
        <v>503</v>
      </c>
      <c r="G288" s="12">
        <v>0</v>
      </c>
      <c r="H288" s="12">
        <v>0</v>
      </c>
      <c r="I288" s="12">
        <v>0</v>
      </c>
      <c r="J288" s="10"/>
      <c r="K288" s="10" t="s">
        <v>76</v>
      </c>
      <c r="L288" s="10"/>
      <c r="M288" s="11">
        <v>0</v>
      </c>
      <c r="N288" s="10"/>
      <c r="O288" s="11">
        <v>0</v>
      </c>
      <c r="P288" s="10"/>
      <c r="Q288" s="11">
        <v>0</v>
      </c>
      <c r="R288" s="10"/>
      <c r="S288" s="11">
        <v>0</v>
      </c>
      <c r="T288" s="10"/>
      <c r="U288" s="11">
        <v>0</v>
      </c>
      <c r="V288">
        <f t="shared" si="4"/>
        <v>0</v>
      </c>
    </row>
    <row r="289" spans="1:22">
      <c r="A289" s="12">
        <v>503</v>
      </c>
      <c r="B289" s="12">
        <v>0</v>
      </c>
      <c r="C289" s="12" t="s">
        <v>191</v>
      </c>
      <c r="D289" s="12" t="s">
        <v>191</v>
      </c>
      <c r="E289" s="12">
        <v>0</v>
      </c>
      <c r="F289" s="12">
        <v>0</v>
      </c>
      <c r="G289" s="12">
        <v>1</v>
      </c>
      <c r="H289" s="12">
        <v>0</v>
      </c>
      <c r="I289" s="12">
        <v>0</v>
      </c>
      <c r="J289" s="10"/>
      <c r="K289" s="10" t="s">
        <v>76</v>
      </c>
      <c r="L289" s="10"/>
      <c r="M289" s="11">
        <v>0</v>
      </c>
      <c r="N289" s="10"/>
      <c r="O289" s="11">
        <v>0</v>
      </c>
      <c r="P289" s="10"/>
      <c r="Q289" s="11">
        <v>0</v>
      </c>
      <c r="R289" s="10"/>
      <c r="S289" s="11">
        <v>0</v>
      </c>
      <c r="T289" s="10"/>
      <c r="U289" s="11">
        <v>0</v>
      </c>
      <c r="V289">
        <f t="shared" si="4"/>
        <v>0</v>
      </c>
    </row>
    <row r="290" spans="1:22">
      <c r="A290" s="12">
        <v>504</v>
      </c>
      <c r="B290" s="12">
        <v>1</v>
      </c>
      <c r="C290" s="12" t="s">
        <v>403</v>
      </c>
      <c r="D290" s="12" t="s">
        <v>403</v>
      </c>
      <c r="E290" s="12">
        <v>0</v>
      </c>
      <c r="F290" s="12">
        <v>0</v>
      </c>
      <c r="G290" s="12">
        <v>1</v>
      </c>
      <c r="H290" s="12">
        <v>0</v>
      </c>
      <c r="I290" s="12">
        <v>0</v>
      </c>
      <c r="J290" s="10"/>
      <c r="K290" s="10" t="s">
        <v>76</v>
      </c>
      <c r="L290" s="10"/>
      <c r="M290" s="11">
        <v>0</v>
      </c>
      <c r="N290" s="10"/>
      <c r="O290" s="11">
        <v>0</v>
      </c>
      <c r="P290" s="10"/>
      <c r="Q290" s="11">
        <v>0</v>
      </c>
      <c r="R290" s="10"/>
      <c r="S290" s="11">
        <v>0</v>
      </c>
      <c r="T290" s="10"/>
      <c r="U290" s="11">
        <v>0</v>
      </c>
      <c r="V290">
        <f t="shared" si="4"/>
        <v>0</v>
      </c>
    </row>
    <row r="291" spans="1:22">
      <c r="A291" s="12">
        <v>505</v>
      </c>
      <c r="B291" s="12">
        <v>1</v>
      </c>
      <c r="C291" s="12" t="s">
        <v>404</v>
      </c>
      <c r="D291" s="12" t="s">
        <v>404</v>
      </c>
      <c r="E291" s="12">
        <v>0</v>
      </c>
      <c r="F291" s="12">
        <v>0</v>
      </c>
      <c r="G291" s="12">
        <v>1</v>
      </c>
      <c r="H291" s="12">
        <v>0</v>
      </c>
      <c r="I291" s="12">
        <v>0</v>
      </c>
      <c r="J291" s="10"/>
      <c r="K291" s="10" t="s">
        <v>76</v>
      </c>
      <c r="L291" s="10"/>
      <c r="M291" s="11">
        <v>0</v>
      </c>
      <c r="N291" s="10"/>
      <c r="O291" s="11">
        <v>0</v>
      </c>
      <c r="P291" s="10"/>
      <c r="Q291" s="11">
        <v>0</v>
      </c>
      <c r="R291" s="10"/>
      <c r="S291" s="11">
        <v>0</v>
      </c>
      <c r="T291" s="10"/>
      <c r="U291" s="11">
        <v>0</v>
      </c>
      <c r="V291">
        <f t="shared" si="4"/>
        <v>0</v>
      </c>
    </row>
    <row r="292" spans="1:22">
      <c r="A292" s="12">
        <v>506</v>
      </c>
      <c r="B292" s="12">
        <v>0</v>
      </c>
      <c r="C292" s="12" t="s">
        <v>405</v>
      </c>
      <c r="D292" s="207" t="s">
        <v>406</v>
      </c>
      <c r="E292" s="12">
        <v>0</v>
      </c>
      <c r="F292" s="12">
        <v>507</v>
      </c>
      <c r="G292" s="12">
        <v>1</v>
      </c>
      <c r="H292" s="12">
        <v>0</v>
      </c>
      <c r="I292" s="12">
        <v>0</v>
      </c>
      <c r="J292" s="10"/>
      <c r="K292" s="10" t="s">
        <v>76</v>
      </c>
      <c r="L292" s="10"/>
      <c r="M292" s="11">
        <v>0</v>
      </c>
      <c r="N292" s="10"/>
      <c r="O292" s="11">
        <v>0</v>
      </c>
      <c r="P292" s="10"/>
      <c r="Q292" s="11">
        <v>0</v>
      </c>
      <c r="R292" s="10"/>
      <c r="S292" s="11">
        <v>0</v>
      </c>
      <c r="T292" s="10"/>
      <c r="U292" s="11">
        <v>0</v>
      </c>
      <c r="V292">
        <f t="shared" si="4"/>
        <v>0</v>
      </c>
    </row>
    <row r="293" spans="1:22">
      <c r="A293" s="12">
        <v>507</v>
      </c>
      <c r="B293" s="12">
        <v>0</v>
      </c>
      <c r="C293" s="12" t="s">
        <v>407</v>
      </c>
      <c r="D293" s="207" t="s">
        <v>406</v>
      </c>
      <c r="E293" s="12">
        <v>0</v>
      </c>
      <c r="F293" s="12">
        <v>0</v>
      </c>
      <c r="G293" s="12">
        <v>1</v>
      </c>
      <c r="H293" s="12">
        <v>0</v>
      </c>
      <c r="I293" s="12">
        <v>0</v>
      </c>
      <c r="J293" s="10"/>
      <c r="K293" s="10" t="s">
        <v>76</v>
      </c>
      <c r="L293" s="10"/>
      <c r="M293" s="11">
        <v>0</v>
      </c>
      <c r="N293" s="10"/>
      <c r="O293" s="11">
        <v>0</v>
      </c>
      <c r="P293" s="10"/>
      <c r="Q293" s="11">
        <v>0</v>
      </c>
      <c r="R293" s="10"/>
      <c r="S293" s="11">
        <v>0</v>
      </c>
      <c r="T293" s="10"/>
      <c r="U293" s="11">
        <v>0</v>
      </c>
      <c r="V293">
        <f t="shared" si="4"/>
        <v>0</v>
      </c>
    </row>
    <row r="294" spans="1:22">
      <c r="A294" s="12">
        <v>508</v>
      </c>
      <c r="B294" s="12">
        <v>1</v>
      </c>
      <c r="C294" s="12" t="s">
        <v>408</v>
      </c>
      <c r="D294" s="12" t="s">
        <v>409</v>
      </c>
      <c r="E294" s="12">
        <v>0</v>
      </c>
      <c r="F294" s="12">
        <v>0</v>
      </c>
      <c r="G294" s="12">
        <v>0</v>
      </c>
      <c r="H294" s="12">
        <v>0</v>
      </c>
      <c r="I294" s="12">
        <v>24</v>
      </c>
      <c r="J294" s="10">
        <v>88</v>
      </c>
      <c r="K294" s="10" t="s">
        <v>61</v>
      </c>
      <c r="L294" s="10"/>
      <c r="M294" s="11">
        <v>0</v>
      </c>
      <c r="N294" s="10"/>
      <c r="O294" s="11">
        <v>0</v>
      </c>
      <c r="P294" s="10"/>
      <c r="Q294" s="11">
        <v>0</v>
      </c>
      <c r="R294" s="10"/>
      <c r="S294" s="11">
        <v>0</v>
      </c>
      <c r="T294" s="10"/>
      <c r="U294" s="11">
        <v>0</v>
      </c>
      <c r="V294">
        <f t="shared" si="4"/>
        <v>0</v>
      </c>
    </row>
    <row r="295" spans="1:22">
      <c r="A295" s="12">
        <v>522</v>
      </c>
      <c r="B295" s="12">
        <v>1</v>
      </c>
      <c r="C295" s="12" t="s">
        <v>181</v>
      </c>
      <c r="D295" s="12" t="s">
        <v>181</v>
      </c>
      <c r="E295" s="12">
        <v>0</v>
      </c>
      <c r="F295" s="12">
        <v>0</v>
      </c>
      <c r="G295" s="12">
        <v>0</v>
      </c>
      <c r="H295" s="12">
        <v>0</v>
      </c>
      <c r="I295" s="12">
        <v>0</v>
      </c>
      <c r="J295" s="10"/>
      <c r="K295" s="10" t="s">
        <v>76</v>
      </c>
      <c r="L295" s="10"/>
      <c r="M295" s="11">
        <v>0</v>
      </c>
      <c r="N295" s="10"/>
      <c r="O295" s="11">
        <v>0</v>
      </c>
      <c r="P295" s="10"/>
      <c r="Q295" s="11">
        <v>0</v>
      </c>
      <c r="R295" s="10"/>
      <c r="S295" s="11">
        <v>0</v>
      </c>
      <c r="T295" s="10"/>
      <c r="U295" s="11">
        <v>0</v>
      </c>
      <c r="V295">
        <f t="shared" si="4"/>
        <v>0</v>
      </c>
    </row>
    <row r="296" spans="1:22">
      <c r="A296" s="12">
        <v>523</v>
      </c>
      <c r="B296" s="12">
        <v>1</v>
      </c>
      <c r="C296" s="12" t="s">
        <v>410</v>
      </c>
      <c r="D296" s="12" t="s">
        <v>410</v>
      </c>
      <c r="E296" s="12">
        <v>0</v>
      </c>
      <c r="F296" s="12">
        <v>0</v>
      </c>
      <c r="G296" s="12">
        <v>1</v>
      </c>
      <c r="H296" s="12">
        <v>0</v>
      </c>
      <c r="I296" s="12">
        <v>0</v>
      </c>
      <c r="J296" s="10"/>
      <c r="K296" s="10" t="s">
        <v>76</v>
      </c>
      <c r="L296" s="10"/>
      <c r="M296" s="11">
        <v>0</v>
      </c>
      <c r="N296" s="10"/>
      <c r="O296" s="11">
        <v>0</v>
      </c>
      <c r="P296" s="10"/>
      <c r="Q296" s="11">
        <v>0</v>
      </c>
      <c r="R296" s="10"/>
      <c r="S296" s="11">
        <v>0</v>
      </c>
      <c r="T296" s="10"/>
      <c r="U296" s="11">
        <v>0</v>
      </c>
      <c r="V296">
        <f t="shared" si="4"/>
        <v>0</v>
      </c>
    </row>
    <row r="297" spans="1:22">
      <c r="A297" s="12">
        <v>534</v>
      </c>
      <c r="B297" s="12">
        <v>1</v>
      </c>
      <c r="C297" s="12" t="s">
        <v>411</v>
      </c>
      <c r="D297" s="12" t="s">
        <v>5</v>
      </c>
      <c r="E297" s="12">
        <v>0</v>
      </c>
      <c r="F297" s="12">
        <v>535</v>
      </c>
      <c r="G297" s="12">
        <v>0</v>
      </c>
      <c r="H297" s="12">
        <v>2</v>
      </c>
      <c r="I297" s="12">
        <v>0</v>
      </c>
      <c r="J297" s="10"/>
      <c r="K297" s="10" t="s">
        <v>76</v>
      </c>
      <c r="L297" s="10" t="s">
        <v>68</v>
      </c>
      <c r="M297" s="11">
        <v>1</v>
      </c>
      <c r="N297" s="10" t="s">
        <v>119</v>
      </c>
      <c r="O297" s="11">
        <v>0</v>
      </c>
      <c r="P297" s="10" t="s">
        <v>77</v>
      </c>
      <c r="Q297" s="11">
        <v>0</v>
      </c>
      <c r="R297" s="10" t="s">
        <v>303</v>
      </c>
      <c r="S297" s="11">
        <v>0</v>
      </c>
      <c r="T297" s="10" t="s">
        <v>304</v>
      </c>
      <c r="U297" s="11">
        <v>0</v>
      </c>
      <c r="V297">
        <f t="shared" si="4"/>
        <v>0</v>
      </c>
    </row>
    <row r="298" spans="1:22">
      <c r="A298" s="12">
        <v>535</v>
      </c>
      <c r="B298" s="12">
        <v>1</v>
      </c>
      <c r="C298" s="12" t="s">
        <v>412</v>
      </c>
      <c r="D298" s="12" t="s">
        <v>413</v>
      </c>
      <c r="E298" s="12">
        <v>0</v>
      </c>
      <c r="F298" s="12">
        <v>0</v>
      </c>
      <c r="G298" s="12">
        <v>1</v>
      </c>
      <c r="H298" s="12">
        <v>2</v>
      </c>
      <c r="I298" s="12">
        <v>0</v>
      </c>
      <c r="J298" s="10"/>
      <c r="K298" s="10" t="s">
        <v>76</v>
      </c>
      <c r="L298" s="10"/>
      <c r="M298" s="11">
        <v>0</v>
      </c>
      <c r="N298" s="10"/>
      <c r="O298" s="11">
        <v>0</v>
      </c>
      <c r="P298" s="10"/>
      <c r="Q298" s="11">
        <v>0</v>
      </c>
      <c r="R298" s="10"/>
      <c r="S298" s="11">
        <v>0</v>
      </c>
      <c r="T298" s="10"/>
      <c r="U298" s="11">
        <v>0</v>
      </c>
      <c r="V298">
        <f t="shared" si="4"/>
        <v>0</v>
      </c>
    </row>
    <row r="299" spans="1:22">
      <c r="A299" s="12">
        <v>536</v>
      </c>
      <c r="B299" s="12">
        <v>1</v>
      </c>
      <c r="C299" s="12" t="s">
        <v>414</v>
      </c>
      <c r="D299" s="12" t="s">
        <v>414</v>
      </c>
      <c r="E299" s="12">
        <v>0</v>
      </c>
      <c r="F299" s="12">
        <v>0</v>
      </c>
      <c r="G299" s="12">
        <v>0</v>
      </c>
      <c r="H299" s="12">
        <v>0</v>
      </c>
      <c r="I299" s="12">
        <v>0</v>
      </c>
      <c r="J299" s="10"/>
      <c r="K299" s="10" t="s">
        <v>76</v>
      </c>
      <c r="L299" s="10"/>
      <c r="M299" s="11">
        <v>0</v>
      </c>
      <c r="N299" s="10"/>
      <c r="O299" s="11">
        <v>0</v>
      </c>
      <c r="P299" s="10"/>
      <c r="Q299" s="11">
        <v>0</v>
      </c>
      <c r="R299" s="10"/>
      <c r="S299" s="11">
        <v>0</v>
      </c>
      <c r="T299" s="10"/>
      <c r="U299" s="11">
        <v>0</v>
      </c>
      <c r="V299">
        <f t="shared" si="4"/>
        <v>0</v>
      </c>
    </row>
    <row r="300" spans="1:22">
      <c r="A300" s="12">
        <v>537</v>
      </c>
      <c r="B300" s="12">
        <v>1</v>
      </c>
      <c r="C300" s="12" t="s">
        <v>415</v>
      </c>
      <c r="D300" s="12" t="s">
        <v>415</v>
      </c>
      <c r="E300" s="12">
        <v>0</v>
      </c>
      <c r="F300" s="12">
        <v>0</v>
      </c>
      <c r="G300" s="12">
        <v>0</v>
      </c>
      <c r="H300" s="12">
        <v>0</v>
      </c>
      <c r="I300" s="12">
        <v>0</v>
      </c>
      <c r="J300" s="10"/>
      <c r="K300" s="10" t="s">
        <v>76</v>
      </c>
      <c r="L300" s="10"/>
      <c r="M300" s="11">
        <v>0</v>
      </c>
      <c r="N300" s="10"/>
      <c r="O300" s="11">
        <v>0</v>
      </c>
      <c r="P300" s="10"/>
      <c r="Q300" s="11">
        <v>0</v>
      </c>
      <c r="R300" s="10"/>
      <c r="S300" s="11">
        <v>0</v>
      </c>
      <c r="T300" s="10"/>
      <c r="U300" s="11">
        <v>0</v>
      </c>
      <c r="V300">
        <f t="shared" si="4"/>
        <v>0</v>
      </c>
    </row>
    <row r="301" spans="1:22">
      <c r="A301" s="12">
        <v>538</v>
      </c>
      <c r="B301" s="12">
        <v>1</v>
      </c>
      <c r="C301" s="12" t="s">
        <v>416</v>
      </c>
      <c r="D301" s="12" t="s">
        <v>416</v>
      </c>
      <c r="E301" s="12">
        <v>0</v>
      </c>
      <c r="F301" s="12">
        <v>0</v>
      </c>
      <c r="G301" s="12">
        <v>0</v>
      </c>
      <c r="H301" s="12">
        <v>0</v>
      </c>
      <c r="I301" s="12">
        <v>0</v>
      </c>
      <c r="J301" s="10"/>
      <c r="K301" s="10" t="s">
        <v>76</v>
      </c>
      <c r="L301" s="10"/>
      <c r="M301" s="11">
        <v>0</v>
      </c>
      <c r="N301" s="10"/>
      <c r="O301" s="11">
        <v>0</v>
      </c>
      <c r="P301" s="10"/>
      <c r="Q301" s="11">
        <v>0</v>
      </c>
      <c r="R301" s="10"/>
      <c r="S301" s="11">
        <v>0</v>
      </c>
      <c r="T301" s="10"/>
      <c r="U301" s="11">
        <v>0</v>
      </c>
      <c r="V301">
        <f t="shared" si="4"/>
        <v>0</v>
      </c>
    </row>
    <row r="302" spans="1:22">
      <c r="A302" s="12">
        <v>539</v>
      </c>
      <c r="B302" s="12">
        <v>1</v>
      </c>
      <c r="C302" s="12" t="s">
        <v>417</v>
      </c>
      <c r="D302" s="12" t="s">
        <v>417</v>
      </c>
      <c r="E302" s="12">
        <v>0</v>
      </c>
      <c r="F302" s="12">
        <v>0</v>
      </c>
      <c r="G302" s="12">
        <v>1</v>
      </c>
      <c r="H302" s="12">
        <v>0</v>
      </c>
      <c r="I302" s="12">
        <v>0</v>
      </c>
      <c r="J302" s="10"/>
      <c r="K302" s="10" t="s">
        <v>76</v>
      </c>
      <c r="L302" s="10"/>
      <c r="M302" s="11">
        <v>0</v>
      </c>
      <c r="N302" s="10"/>
      <c r="O302" s="11">
        <v>0</v>
      </c>
      <c r="P302" s="10"/>
      <c r="Q302" s="11">
        <v>0</v>
      </c>
      <c r="R302" s="10"/>
      <c r="S302" s="11">
        <v>0</v>
      </c>
      <c r="T302" s="10"/>
      <c r="U302" s="11">
        <v>0</v>
      </c>
      <c r="V302">
        <f t="shared" si="4"/>
        <v>0</v>
      </c>
    </row>
    <row r="303" spans="1:22">
      <c r="A303" s="12">
        <v>540</v>
      </c>
      <c r="B303" s="12">
        <v>1</v>
      </c>
      <c r="C303" s="12" t="s">
        <v>418</v>
      </c>
      <c r="D303" s="12" t="s">
        <v>418</v>
      </c>
      <c r="E303" s="12">
        <v>0</v>
      </c>
      <c r="F303" s="12">
        <v>0</v>
      </c>
      <c r="G303" s="12">
        <v>1</v>
      </c>
      <c r="H303" s="12">
        <v>0</v>
      </c>
      <c r="I303" s="12">
        <v>0</v>
      </c>
      <c r="J303" s="10"/>
      <c r="K303" s="10" t="s">
        <v>76</v>
      </c>
      <c r="L303" s="10"/>
      <c r="M303" s="11">
        <v>0</v>
      </c>
      <c r="N303" s="10"/>
      <c r="O303" s="11">
        <v>0</v>
      </c>
      <c r="P303" s="10"/>
      <c r="Q303" s="11">
        <v>0</v>
      </c>
      <c r="R303" s="10"/>
      <c r="S303" s="11">
        <v>0</v>
      </c>
      <c r="T303" s="10"/>
      <c r="U303" s="11">
        <v>0</v>
      </c>
      <c r="V303">
        <f t="shared" si="4"/>
        <v>0</v>
      </c>
    </row>
    <row r="304" spans="1:22">
      <c r="A304" s="12">
        <v>543</v>
      </c>
      <c r="B304" s="12">
        <v>1</v>
      </c>
      <c r="C304" s="12" t="s">
        <v>419</v>
      </c>
      <c r="D304" s="12" t="s">
        <v>419</v>
      </c>
      <c r="E304" s="12">
        <v>0</v>
      </c>
      <c r="F304" s="12">
        <v>0</v>
      </c>
      <c r="G304" s="12">
        <v>1</v>
      </c>
      <c r="H304" s="12">
        <v>2</v>
      </c>
      <c r="I304" s="12">
        <v>0</v>
      </c>
      <c r="J304" s="10"/>
      <c r="K304" s="10" t="s">
        <v>76</v>
      </c>
      <c r="L304" s="10" t="s">
        <v>264</v>
      </c>
      <c r="M304" s="11">
        <v>0</v>
      </c>
      <c r="N304" s="10"/>
      <c r="O304" s="11">
        <v>0</v>
      </c>
      <c r="P304" s="10"/>
      <c r="Q304" s="11">
        <v>0</v>
      </c>
      <c r="R304" s="10"/>
      <c r="S304" s="11">
        <v>0</v>
      </c>
      <c r="T304" s="10"/>
      <c r="U304" s="11">
        <v>0</v>
      </c>
      <c r="V304">
        <f t="shared" si="4"/>
        <v>0</v>
      </c>
    </row>
    <row r="305" spans="1:22">
      <c r="A305" s="12">
        <v>544</v>
      </c>
      <c r="B305" s="12">
        <v>1</v>
      </c>
      <c r="C305" s="12" t="s">
        <v>420</v>
      </c>
      <c r="D305" s="207" t="s">
        <v>421</v>
      </c>
      <c r="E305" s="12">
        <v>0</v>
      </c>
      <c r="F305" s="12">
        <v>545</v>
      </c>
      <c r="G305" s="12">
        <v>3</v>
      </c>
      <c r="H305" s="12">
        <v>0</v>
      </c>
      <c r="I305" s="12">
        <v>0</v>
      </c>
      <c r="J305" s="10"/>
      <c r="K305" s="10" t="s">
        <v>76</v>
      </c>
      <c r="L305" s="10"/>
      <c r="M305" s="11">
        <v>0</v>
      </c>
      <c r="N305" s="10"/>
      <c r="O305" s="11">
        <v>0</v>
      </c>
      <c r="P305" s="10"/>
      <c r="Q305" s="11">
        <v>0</v>
      </c>
      <c r="R305" s="10"/>
      <c r="S305" s="11">
        <v>0</v>
      </c>
      <c r="T305" s="10"/>
      <c r="U305" s="11">
        <v>0</v>
      </c>
      <c r="V305">
        <f t="shared" si="4"/>
        <v>0</v>
      </c>
    </row>
    <row r="306" spans="1:22">
      <c r="A306" s="12">
        <v>545</v>
      </c>
      <c r="B306" s="12">
        <v>1</v>
      </c>
      <c r="C306" s="12" t="s">
        <v>422</v>
      </c>
      <c r="D306" s="207" t="s">
        <v>421</v>
      </c>
      <c r="E306" s="12">
        <v>0</v>
      </c>
      <c r="F306" s="12">
        <v>545</v>
      </c>
      <c r="G306" s="12">
        <v>3</v>
      </c>
      <c r="H306" s="12">
        <v>0</v>
      </c>
      <c r="I306" s="12">
        <v>0</v>
      </c>
      <c r="J306" s="10"/>
      <c r="K306" s="10" t="s">
        <v>76</v>
      </c>
      <c r="L306" s="10"/>
      <c r="M306" s="11">
        <v>0</v>
      </c>
      <c r="N306" s="10"/>
      <c r="O306" s="11">
        <v>0</v>
      </c>
      <c r="P306" s="10"/>
      <c r="Q306" s="11">
        <v>0</v>
      </c>
      <c r="R306" s="10"/>
      <c r="S306" s="11">
        <v>0</v>
      </c>
      <c r="T306" s="10"/>
      <c r="U306" s="11">
        <v>0</v>
      </c>
      <c r="V306">
        <f t="shared" si="4"/>
        <v>0</v>
      </c>
    </row>
    <row r="307" spans="1:22">
      <c r="A307" s="12">
        <v>548</v>
      </c>
      <c r="B307" s="12">
        <v>1</v>
      </c>
      <c r="C307" s="12" t="s">
        <v>423</v>
      </c>
      <c r="D307" s="207" t="s">
        <v>424</v>
      </c>
      <c r="E307" s="12">
        <v>0</v>
      </c>
      <c r="F307" s="12">
        <v>549</v>
      </c>
      <c r="G307" s="12">
        <v>1</v>
      </c>
      <c r="H307" s="12">
        <v>2</v>
      </c>
      <c r="I307" s="12">
        <v>16</v>
      </c>
      <c r="J307" s="10">
        <v>100</v>
      </c>
      <c r="K307" s="10" t="s">
        <v>61</v>
      </c>
      <c r="L307" s="10" t="s">
        <v>119</v>
      </c>
      <c r="M307" s="11">
        <v>0</v>
      </c>
      <c r="N307" s="10"/>
      <c r="O307" s="11">
        <v>0</v>
      </c>
      <c r="P307" s="10"/>
      <c r="Q307" s="11">
        <v>0</v>
      </c>
      <c r="R307" s="10"/>
      <c r="S307" s="11">
        <v>0</v>
      </c>
      <c r="T307" s="10"/>
      <c r="U307" s="11">
        <v>0</v>
      </c>
      <c r="V307">
        <f t="shared" si="4"/>
        <v>0</v>
      </c>
    </row>
    <row r="308" spans="1:22">
      <c r="A308" s="12">
        <v>549</v>
      </c>
      <c r="B308" s="12">
        <v>1</v>
      </c>
      <c r="C308" s="12" t="s">
        <v>425</v>
      </c>
      <c r="D308" s="207" t="s">
        <v>424</v>
      </c>
      <c r="E308" s="12">
        <v>0</v>
      </c>
      <c r="F308" s="12">
        <v>549</v>
      </c>
      <c r="G308" s="12">
        <v>1</v>
      </c>
      <c r="H308" s="12">
        <v>2</v>
      </c>
      <c r="I308" s="12">
        <v>16</v>
      </c>
      <c r="J308" s="10">
        <v>100</v>
      </c>
      <c r="K308" s="10" t="s">
        <v>61</v>
      </c>
      <c r="L308" s="10" t="s">
        <v>119</v>
      </c>
      <c r="M308" s="11">
        <v>0</v>
      </c>
      <c r="N308" s="10"/>
      <c r="O308" s="11">
        <v>0</v>
      </c>
      <c r="P308" s="10"/>
      <c r="Q308" s="11">
        <v>0</v>
      </c>
      <c r="R308" s="10"/>
      <c r="S308" s="11">
        <v>0</v>
      </c>
      <c r="T308" s="10"/>
      <c r="U308" s="11">
        <v>0</v>
      </c>
      <c r="V308">
        <f t="shared" si="4"/>
        <v>0</v>
      </c>
    </row>
    <row r="309" spans="1:22">
      <c r="A309" s="12">
        <v>552</v>
      </c>
      <c r="B309" s="12">
        <v>1</v>
      </c>
      <c r="C309" s="12" t="s">
        <v>426</v>
      </c>
      <c r="D309" s="12" t="s">
        <v>426</v>
      </c>
      <c r="E309" s="12">
        <v>0</v>
      </c>
      <c r="F309" s="12">
        <v>0</v>
      </c>
      <c r="G309" s="12">
        <v>1</v>
      </c>
      <c r="H309" s="12">
        <v>0</v>
      </c>
      <c r="I309" s="12">
        <v>0</v>
      </c>
      <c r="J309" s="10"/>
      <c r="K309" s="10" t="s">
        <v>76</v>
      </c>
      <c r="L309" s="10"/>
      <c r="M309" s="11">
        <v>0</v>
      </c>
      <c r="N309" s="10"/>
      <c r="O309" s="11">
        <v>0</v>
      </c>
      <c r="P309" s="10"/>
      <c r="Q309" s="11">
        <v>0</v>
      </c>
      <c r="R309" s="10"/>
      <c r="S309" s="11">
        <v>0</v>
      </c>
      <c r="T309" s="10"/>
      <c r="U309" s="11">
        <v>0</v>
      </c>
      <c r="V309">
        <f t="shared" si="4"/>
        <v>0</v>
      </c>
    </row>
    <row r="310" spans="1:22">
      <c r="A310" s="12">
        <v>555</v>
      </c>
      <c r="B310" s="12">
        <v>1</v>
      </c>
      <c r="C310" s="12" t="s">
        <v>427</v>
      </c>
      <c r="D310" s="207" t="s">
        <v>428</v>
      </c>
      <c r="E310" s="12">
        <v>0</v>
      </c>
      <c r="F310" s="12">
        <v>556</v>
      </c>
      <c r="G310" s="12">
        <v>1</v>
      </c>
      <c r="H310" s="12">
        <v>2</v>
      </c>
      <c r="I310" s="12">
        <v>0</v>
      </c>
      <c r="J310" s="10"/>
      <c r="K310" s="10" t="s">
        <v>76</v>
      </c>
      <c r="L310" s="208" t="s">
        <v>68</v>
      </c>
      <c r="M310" s="209">
        <v>1</v>
      </c>
      <c r="N310" s="208" t="s">
        <v>429</v>
      </c>
      <c r="O310" s="209">
        <v>0</v>
      </c>
      <c r="P310" s="208" t="s">
        <v>430</v>
      </c>
      <c r="Q310" s="209">
        <v>0</v>
      </c>
      <c r="R310" s="208" t="s">
        <v>431</v>
      </c>
      <c r="S310" s="209">
        <v>0</v>
      </c>
      <c r="T310" s="208" t="s">
        <v>120</v>
      </c>
      <c r="U310" s="209">
        <v>0</v>
      </c>
      <c r="V310">
        <f t="shared" si="4"/>
        <v>0</v>
      </c>
    </row>
    <row r="311" spans="1:22">
      <c r="A311" s="12">
        <v>556</v>
      </c>
      <c r="B311" s="12">
        <v>1</v>
      </c>
      <c r="C311" s="12" t="s">
        <v>432</v>
      </c>
      <c r="D311" s="207" t="s">
        <v>428</v>
      </c>
      <c r="E311" s="12">
        <v>0</v>
      </c>
      <c r="F311" s="12">
        <v>556</v>
      </c>
      <c r="G311" s="12">
        <v>1</v>
      </c>
      <c r="H311" s="12">
        <v>2</v>
      </c>
      <c r="I311" s="12">
        <v>0</v>
      </c>
      <c r="J311" s="10"/>
      <c r="K311" s="10" t="s">
        <v>76</v>
      </c>
      <c r="L311" s="208" t="s">
        <v>68</v>
      </c>
      <c r="M311" s="209">
        <v>0</v>
      </c>
      <c r="N311" s="208"/>
      <c r="O311" s="209">
        <v>0</v>
      </c>
      <c r="P311" s="208"/>
      <c r="Q311" s="209">
        <v>0</v>
      </c>
      <c r="R311" s="208"/>
      <c r="S311" s="209">
        <v>0</v>
      </c>
      <c r="T311" s="208"/>
      <c r="U311" s="209">
        <v>0</v>
      </c>
      <c r="V311">
        <f t="shared" si="4"/>
        <v>0</v>
      </c>
    </row>
    <row r="312" spans="1:22">
      <c r="A312" s="12">
        <v>557</v>
      </c>
      <c r="B312" s="12">
        <v>0</v>
      </c>
      <c r="C312" s="12" t="s">
        <v>433</v>
      </c>
      <c r="D312" s="12" t="s">
        <v>433</v>
      </c>
      <c r="E312" s="12">
        <v>0</v>
      </c>
      <c r="F312" s="12">
        <v>0</v>
      </c>
      <c r="G312" s="12">
        <v>0</v>
      </c>
      <c r="H312" s="12">
        <v>0</v>
      </c>
      <c r="I312" s="12">
        <v>0</v>
      </c>
      <c r="J312" s="10"/>
      <c r="K312" s="10" t="s">
        <v>76</v>
      </c>
      <c r="L312" s="10"/>
      <c r="M312" s="11">
        <v>0</v>
      </c>
      <c r="N312" s="10"/>
      <c r="O312" s="11">
        <v>0</v>
      </c>
      <c r="P312" s="10"/>
      <c r="Q312" s="11">
        <v>0</v>
      </c>
      <c r="R312" s="10"/>
      <c r="S312" s="11">
        <v>0</v>
      </c>
      <c r="T312" s="10"/>
      <c r="U312" s="11">
        <v>0</v>
      </c>
      <c r="V312">
        <f t="shared" si="4"/>
        <v>0</v>
      </c>
    </row>
    <row r="313" spans="1:22">
      <c r="A313" s="12">
        <v>558</v>
      </c>
      <c r="B313" s="12">
        <v>1</v>
      </c>
      <c r="C313" s="12" t="s">
        <v>434</v>
      </c>
      <c r="D313" s="12" t="s">
        <v>434</v>
      </c>
      <c r="E313" s="12">
        <v>0</v>
      </c>
      <c r="F313" s="12">
        <v>0</v>
      </c>
      <c r="G313" s="12">
        <v>1</v>
      </c>
      <c r="H313" s="12">
        <v>0</v>
      </c>
      <c r="I313" s="12">
        <v>80</v>
      </c>
      <c r="J313" s="10"/>
      <c r="K313" s="10" t="s">
        <v>76</v>
      </c>
      <c r="L313" s="10"/>
      <c r="M313" s="11">
        <v>0</v>
      </c>
      <c r="N313" s="10"/>
      <c r="O313" s="11">
        <v>0</v>
      </c>
      <c r="P313" s="10"/>
      <c r="Q313" s="11">
        <v>0</v>
      </c>
      <c r="R313" s="10"/>
      <c r="S313" s="11">
        <v>0</v>
      </c>
      <c r="T313" s="10"/>
      <c r="U313" s="11">
        <v>0</v>
      </c>
      <c r="V313">
        <f t="shared" si="4"/>
        <v>0</v>
      </c>
    </row>
    <row r="314" spans="1:22">
      <c r="A314" s="12">
        <v>559</v>
      </c>
      <c r="B314" s="12">
        <v>1</v>
      </c>
      <c r="C314" s="12" t="s">
        <v>435</v>
      </c>
      <c r="D314" s="12" t="s">
        <v>435</v>
      </c>
      <c r="E314" s="12">
        <v>0</v>
      </c>
      <c r="F314" s="12">
        <v>0</v>
      </c>
      <c r="G314" s="12">
        <v>1</v>
      </c>
      <c r="H314" s="12">
        <v>0</v>
      </c>
      <c r="I314" s="12">
        <v>80</v>
      </c>
      <c r="J314" s="10"/>
      <c r="K314" s="10" t="s">
        <v>76</v>
      </c>
      <c r="L314" s="10"/>
      <c r="M314" s="11">
        <v>0</v>
      </c>
      <c r="N314" s="10"/>
      <c r="O314" s="11">
        <v>0</v>
      </c>
      <c r="P314" s="10"/>
      <c r="Q314" s="11">
        <v>0</v>
      </c>
      <c r="R314" s="10"/>
      <c r="S314" s="11">
        <v>0</v>
      </c>
      <c r="T314" s="10"/>
      <c r="U314" s="11">
        <v>0</v>
      </c>
      <c r="V314">
        <f t="shared" si="4"/>
        <v>0</v>
      </c>
    </row>
    <row r="315" spans="1:22">
      <c r="A315" s="12">
        <v>560</v>
      </c>
      <c r="B315" s="12">
        <v>1</v>
      </c>
      <c r="C315" s="12" t="s">
        <v>436</v>
      </c>
      <c r="D315" s="12" t="s">
        <v>436</v>
      </c>
      <c r="E315" s="12">
        <v>0</v>
      </c>
      <c r="F315" s="12">
        <v>0</v>
      </c>
      <c r="G315" s="12">
        <v>1</v>
      </c>
      <c r="H315" s="12">
        <v>0</v>
      </c>
      <c r="I315" s="12">
        <v>80</v>
      </c>
      <c r="J315" s="10"/>
      <c r="K315" s="10" t="s">
        <v>76</v>
      </c>
      <c r="L315" s="10"/>
      <c r="M315" s="11">
        <v>0</v>
      </c>
      <c r="N315" s="10"/>
      <c r="O315" s="11">
        <v>0</v>
      </c>
      <c r="P315" s="10"/>
      <c r="Q315" s="11">
        <v>0</v>
      </c>
      <c r="R315" s="10"/>
      <c r="S315" s="11">
        <v>0</v>
      </c>
      <c r="T315" s="10"/>
      <c r="U315" s="11">
        <v>0</v>
      </c>
      <c r="V315">
        <f t="shared" si="4"/>
        <v>0</v>
      </c>
    </row>
    <row r="316" spans="1:22">
      <c r="A316" s="12">
        <v>561</v>
      </c>
      <c r="B316" s="12">
        <v>1</v>
      </c>
      <c r="C316" s="12" t="s">
        <v>437</v>
      </c>
      <c r="D316" s="12" t="s">
        <v>437</v>
      </c>
      <c r="E316" s="12">
        <v>0</v>
      </c>
      <c r="F316" s="12">
        <v>0</v>
      </c>
      <c r="G316" s="12">
        <v>1</v>
      </c>
      <c r="H316" s="12">
        <v>0</v>
      </c>
      <c r="I316" s="12">
        <v>80</v>
      </c>
      <c r="J316" s="10"/>
      <c r="K316" s="10" t="s">
        <v>76</v>
      </c>
      <c r="L316" s="10"/>
      <c r="M316" s="11">
        <v>0</v>
      </c>
      <c r="N316" s="10"/>
      <c r="O316" s="11">
        <v>0</v>
      </c>
      <c r="P316" s="10"/>
      <c r="Q316" s="11">
        <v>0</v>
      </c>
      <c r="R316" s="10"/>
      <c r="S316" s="11">
        <v>0</v>
      </c>
      <c r="T316" s="10"/>
      <c r="U316" s="11">
        <v>0</v>
      </c>
      <c r="V316">
        <f t="shared" si="4"/>
        <v>0</v>
      </c>
    </row>
    <row r="317" spans="1:22">
      <c r="A317" s="12">
        <v>562</v>
      </c>
      <c r="B317" s="12">
        <v>1</v>
      </c>
      <c r="C317" s="12" t="s">
        <v>438</v>
      </c>
      <c r="D317" s="12" t="s">
        <v>438</v>
      </c>
      <c r="E317" s="12">
        <v>0</v>
      </c>
      <c r="F317" s="12">
        <v>0</v>
      </c>
      <c r="G317" s="12">
        <v>1</v>
      </c>
      <c r="H317" s="12">
        <v>0</v>
      </c>
      <c r="I317" s="12">
        <v>0</v>
      </c>
      <c r="J317" s="10"/>
      <c r="K317" s="10" t="s">
        <v>76</v>
      </c>
      <c r="L317" s="10"/>
      <c r="M317" s="11">
        <v>0</v>
      </c>
      <c r="N317" s="10"/>
      <c r="O317" s="11">
        <v>0</v>
      </c>
      <c r="P317" s="10"/>
      <c r="Q317" s="11">
        <v>0</v>
      </c>
      <c r="R317" s="10"/>
      <c r="S317" s="11">
        <v>0</v>
      </c>
      <c r="T317" s="10"/>
      <c r="U317" s="11">
        <v>0</v>
      </c>
      <c r="V317">
        <f t="shared" si="4"/>
        <v>0</v>
      </c>
    </row>
    <row r="318" spans="1:22">
      <c r="A318" s="12">
        <v>563</v>
      </c>
      <c r="B318" s="12">
        <v>1</v>
      </c>
      <c r="C318" s="12" t="s">
        <v>439</v>
      </c>
      <c r="D318" s="12" t="s">
        <v>440</v>
      </c>
      <c r="E318" s="12">
        <v>0</v>
      </c>
      <c r="F318" s="12">
        <v>564</v>
      </c>
      <c r="G318" s="12">
        <v>0</v>
      </c>
      <c r="H318" s="12">
        <v>0</v>
      </c>
      <c r="I318" s="12">
        <v>0</v>
      </c>
      <c r="J318" s="10"/>
      <c r="K318" s="10" t="s">
        <v>76</v>
      </c>
      <c r="L318" s="10"/>
      <c r="M318" s="11">
        <v>0</v>
      </c>
      <c r="N318" s="10"/>
      <c r="O318" s="11">
        <v>0</v>
      </c>
      <c r="P318" s="10"/>
      <c r="Q318" s="11">
        <v>0</v>
      </c>
      <c r="R318" s="10"/>
      <c r="S318" s="11">
        <v>0</v>
      </c>
      <c r="T318" s="10"/>
      <c r="U318" s="11">
        <v>0</v>
      </c>
      <c r="V318">
        <f t="shared" si="4"/>
        <v>0</v>
      </c>
    </row>
    <row r="319" spans="1:22">
      <c r="A319" s="12">
        <v>564</v>
      </c>
      <c r="B319" s="12">
        <v>1</v>
      </c>
      <c r="C319" s="12" t="s">
        <v>441</v>
      </c>
      <c r="D319" s="12" t="s">
        <v>440</v>
      </c>
      <c r="E319" s="12">
        <v>0</v>
      </c>
      <c r="F319" s="12">
        <v>0</v>
      </c>
      <c r="G319" s="12">
        <v>0</v>
      </c>
      <c r="H319" s="12">
        <v>0</v>
      </c>
      <c r="I319" s="12">
        <v>0</v>
      </c>
      <c r="J319" s="10"/>
      <c r="K319" s="10" t="s">
        <v>76</v>
      </c>
      <c r="L319" s="10"/>
      <c r="M319" s="11">
        <v>0</v>
      </c>
      <c r="N319" s="10"/>
      <c r="O319" s="11">
        <v>0</v>
      </c>
      <c r="P319" s="10"/>
      <c r="Q319" s="11">
        <v>0</v>
      </c>
      <c r="R319" s="10"/>
      <c r="S319" s="11">
        <v>0</v>
      </c>
      <c r="T319" s="10"/>
      <c r="U319" s="11">
        <v>0</v>
      </c>
      <c r="V319">
        <f t="shared" si="4"/>
        <v>0</v>
      </c>
    </row>
    <row r="320" spans="1:22">
      <c r="A320" s="12">
        <v>570</v>
      </c>
      <c r="B320" s="12">
        <v>1</v>
      </c>
      <c r="C320" s="12" t="s">
        <v>442</v>
      </c>
      <c r="D320" s="12" t="s">
        <v>442</v>
      </c>
      <c r="E320" s="12">
        <v>0</v>
      </c>
      <c r="F320" s="12">
        <v>0</v>
      </c>
      <c r="G320" s="12">
        <v>3</v>
      </c>
      <c r="H320" s="12">
        <v>2</v>
      </c>
      <c r="I320" s="12">
        <v>0</v>
      </c>
      <c r="J320" s="10"/>
      <c r="K320" s="10" t="s">
        <v>76</v>
      </c>
      <c r="L320" s="10" t="s">
        <v>277</v>
      </c>
      <c r="M320" s="11">
        <v>0</v>
      </c>
      <c r="N320" s="10"/>
      <c r="O320" s="11">
        <v>0</v>
      </c>
      <c r="P320" s="10"/>
      <c r="Q320" s="11">
        <v>0</v>
      </c>
      <c r="R320" s="10"/>
      <c r="S320" s="11">
        <v>0</v>
      </c>
      <c r="T320" s="10"/>
      <c r="U320" s="11">
        <v>0</v>
      </c>
      <c r="V320">
        <f t="shared" si="4"/>
        <v>0</v>
      </c>
    </row>
    <row r="321" spans="1:22">
      <c r="A321" s="12">
        <v>571</v>
      </c>
      <c r="B321" s="12">
        <v>1</v>
      </c>
      <c r="C321" s="12" t="s">
        <v>443</v>
      </c>
      <c r="D321" s="12" t="s">
        <v>444</v>
      </c>
      <c r="E321" s="12">
        <v>0</v>
      </c>
      <c r="F321" s="12">
        <v>0</v>
      </c>
      <c r="G321" s="12">
        <v>3</v>
      </c>
      <c r="H321" s="12">
        <v>2</v>
      </c>
      <c r="I321" s="12">
        <v>0</v>
      </c>
      <c r="J321" s="10"/>
      <c r="K321" s="10" t="s">
        <v>76</v>
      </c>
      <c r="L321" s="10" t="s">
        <v>445</v>
      </c>
      <c r="M321" s="11">
        <v>0</v>
      </c>
      <c r="N321" s="10"/>
      <c r="O321" s="11">
        <v>0</v>
      </c>
      <c r="P321" s="10"/>
      <c r="Q321" s="11">
        <v>0</v>
      </c>
      <c r="R321" s="10"/>
      <c r="S321" s="11">
        <v>0</v>
      </c>
      <c r="T321" s="10"/>
      <c r="U321" s="11">
        <v>0</v>
      </c>
      <c r="V321">
        <f t="shared" si="4"/>
        <v>0</v>
      </c>
    </row>
    <row r="322" spans="1:22">
      <c r="A322" s="12">
        <v>572</v>
      </c>
      <c r="B322" s="12">
        <v>1</v>
      </c>
      <c r="C322" s="12" t="s">
        <v>446</v>
      </c>
      <c r="D322" s="12" t="s">
        <v>446</v>
      </c>
      <c r="E322" s="12">
        <v>0</v>
      </c>
      <c r="F322" s="12">
        <v>0</v>
      </c>
      <c r="G322" s="12">
        <v>3</v>
      </c>
      <c r="H322" s="12">
        <v>2</v>
      </c>
      <c r="I322" s="12">
        <v>0</v>
      </c>
      <c r="J322" s="10"/>
      <c r="K322" s="10" t="s">
        <v>76</v>
      </c>
      <c r="L322" s="10" t="s">
        <v>447</v>
      </c>
      <c r="M322" s="11">
        <v>0</v>
      </c>
      <c r="N322" s="10"/>
      <c r="O322" s="11">
        <v>0</v>
      </c>
      <c r="P322" s="10"/>
      <c r="Q322" s="11">
        <v>0</v>
      </c>
      <c r="R322" s="10"/>
      <c r="S322" s="11">
        <v>0</v>
      </c>
      <c r="T322" s="10"/>
      <c r="U322" s="11">
        <v>0</v>
      </c>
      <c r="V322">
        <f t="shared" ref="V322:V339" si="5">IF(OR(COUNTIF(D322,"*赤*"),COUNTIF(D322,"*キャラ*")),100,0)</f>
        <v>0</v>
      </c>
    </row>
    <row r="323" spans="1:22">
      <c r="A323" s="12">
        <v>573</v>
      </c>
      <c r="B323" s="12">
        <v>1</v>
      </c>
      <c r="C323" s="12" t="s">
        <v>448</v>
      </c>
      <c r="D323" s="12" t="s">
        <v>448</v>
      </c>
      <c r="E323" s="12">
        <v>0</v>
      </c>
      <c r="F323" s="12">
        <v>0</v>
      </c>
      <c r="G323" s="12">
        <v>3</v>
      </c>
      <c r="H323" s="12">
        <v>2</v>
      </c>
      <c r="I323" s="12">
        <v>0</v>
      </c>
      <c r="J323" s="10"/>
      <c r="K323" s="10" t="s">
        <v>76</v>
      </c>
      <c r="L323" s="10" t="s">
        <v>449</v>
      </c>
      <c r="M323" s="11">
        <v>0</v>
      </c>
      <c r="N323" s="10"/>
      <c r="O323" s="11">
        <v>0</v>
      </c>
      <c r="P323" s="10"/>
      <c r="Q323" s="11">
        <v>0</v>
      </c>
      <c r="R323" s="10"/>
      <c r="S323" s="11">
        <v>0</v>
      </c>
      <c r="T323" s="10"/>
      <c r="U323" s="11">
        <v>0</v>
      </c>
      <c r="V323">
        <f t="shared" si="5"/>
        <v>0</v>
      </c>
    </row>
    <row r="324" spans="1:22">
      <c r="A324" s="12">
        <v>574</v>
      </c>
      <c r="B324" s="12">
        <v>1</v>
      </c>
      <c r="C324" s="12" t="s">
        <v>450</v>
      </c>
      <c r="D324" s="12" t="s">
        <v>450</v>
      </c>
      <c r="E324" s="12">
        <v>0</v>
      </c>
      <c r="F324" s="12">
        <v>0</v>
      </c>
      <c r="G324" s="12">
        <v>3</v>
      </c>
      <c r="H324" s="12">
        <v>2</v>
      </c>
      <c r="I324" s="12">
        <v>0</v>
      </c>
      <c r="J324" s="10"/>
      <c r="K324" s="10" t="s">
        <v>76</v>
      </c>
      <c r="L324" s="10" t="s">
        <v>451</v>
      </c>
      <c r="M324" s="11">
        <v>0</v>
      </c>
      <c r="N324" s="10"/>
      <c r="O324" s="11">
        <v>0</v>
      </c>
      <c r="P324" s="10"/>
      <c r="Q324" s="11">
        <v>0</v>
      </c>
      <c r="R324" s="10"/>
      <c r="S324" s="11">
        <v>0</v>
      </c>
      <c r="T324" s="10"/>
      <c r="U324" s="11">
        <v>0</v>
      </c>
      <c r="V324">
        <f t="shared" si="5"/>
        <v>0</v>
      </c>
    </row>
    <row r="325" spans="1:22">
      <c r="A325" s="12">
        <v>575</v>
      </c>
      <c r="B325" s="12">
        <v>1</v>
      </c>
      <c r="C325" s="12" t="s">
        <v>411</v>
      </c>
      <c r="D325" s="12" t="s">
        <v>452</v>
      </c>
      <c r="E325" s="12">
        <v>0</v>
      </c>
      <c r="F325" s="12">
        <v>535</v>
      </c>
      <c r="G325" s="12">
        <v>0</v>
      </c>
      <c r="H325" s="12">
        <v>2</v>
      </c>
      <c r="I325" s="12">
        <v>0</v>
      </c>
      <c r="J325" s="10"/>
      <c r="K325" s="10" t="s">
        <v>76</v>
      </c>
      <c r="L325" s="10" t="s">
        <v>68</v>
      </c>
      <c r="M325" s="11">
        <v>1</v>
      </c>
      <c r="N325" s="10" t="s">
        <v>119</v>
      </c>
      <c r="O325" s="11">
        <v>0</v>
      </c>
      <c r="P325" s="10" t="s">
        <v>77</v>
      </c>
      <c r="Q325" s="11">
        <v>0</v>
      </c>
      <c r="R325" s="10" t="s">
        <v>303</v>
      </c>
      <c r="S325" s="11">
        <v>0</v>
      </c>
      <c r="T325" s="10" t="s">
        <v>304</v>
      </c>
      <c r="U325" s="11">
        <v>0</v>
      </c>
      <c r="V325">
        <f t="shared" si="5"/>
        <v>0</v>
      </c>
    </row>
    <row r="326" spans="1:22">
      <c r="A326" s="12">
        <v>602</v>
      </c>
      <c r="B326" s="12">
        <v>0</v>
      </c>
      <c r="C326" s="12" t="s">
        <v>453</v>
      </c>
      <c r="D326" s="207" t="s">
        <v>270</v>
      </c>
      <c r="E326" s="12">
        <v>0</v>
      </c>
      <c r="F326" s="12">
        <v>0</v>
      </c>
      <c r="G326" s="12">
        <v>3</v>
      </c>
      <c r="H326" s="12">
        <v>0</v>
      </c>
      <c r="I326" s="12">
        <v>0</v>
      </c>
      <c r="J326" s="10"/>
      <c r="K326" s="10" t="s">
        <v>76</v>
      </c>
      <c r="L326" s="10"/>
      <c r="M326" s="11">
        <v>0</v>
      </c>
      <c r="N326" s="10"/>
      <c r="O326" s="11">
        <v>0</v>
      </c>
      <c r="P326" s="10"/>
      <c r="Q326" s="11">
        <v>0</v>
      </c>
      <c r="R326" s="10"/>
      <c r="S326" s="11">
        <v>0</v>
      </c>
      <c r="T326" s="10"/>
      <c r="U326" s="11">
        <v>0</v>
      </c>
      <c r="V326">
        <f t="shared" si="5"/>
        <v>0</v>
      </c>
    </row>
    <row r="327" spans="1:22">
      <c r="A327" s="12">
        <v>603</v>
      </c>
      <c r="B327" s="12">
        <v>1</v>
      </c>
      <c r="C327" s="12" t="s">
        <v>361</v>
      </c>
      <c r="D327" s="12" t="s">
        <v>361</v>
      </c>
      <c r="E327" s="12">
        <v>0</v>
      </c>
      <c r="F327" s="12">
        <v>0</v>
      </c>
      <c r="G327" s="12">
        <v>1</v>
      </c>
      <c r="H327" s="12">
        <v>0</v>
      </c>
      <c r="I327" s="12">
        <v>0</v>
      </c>
      <c r="J327" s="10"/>
      <c r="K327" s="10" t="s">
        <v>76</v>
      </c>
      <c r="L327" s="10"/>
      <c r="M327" s="11">
        <v>0</v>
      </c>
      <c r="N327" s="10"/>
      <c r="O327" s="11">
        <v>0</v>
      </c>
      <c r="P327" s="10"/>
      <c r="Q327" s="11">
        <v>0</v>
      </c>
      <c r="R327" s="10"/>
      <c r="S327" s="11">
        <v>0</v>
      </c>
      <c r="T327" s="10"/>
      <c r="U327" s="11">
        <v>0</v>
      </c>
      <c r="V327">
        <f t="shared" si="5"/>
        <v>0</v>
      </c>
    </row>
    <row r="328" spans="1:22">
      <c r="A328" s="12">
        <v>604</v>
      </c>
      <c r="B328" s="12">
        <v>1</v>
      </c>
      <c r="C328" s="12" t="s">
        <v>454</v>
      </c>
      <c r="D328" s="12" t="s">
        <v>454</v>
      </c>
      <c r="E328" s="12">
        <v>0</v>
      </c>
      <c r="F328" s="12">
        <v>0</v>
      </c>
      <c r="G328" s="12">
        <v>1</v>
      </c>
      <c r="H328" s="12">
        <v>0</v>
      </c>
      <c r="I328" s="12">
        <v>0</v>
      </c>
      <c r="J328" s="10"/>
      <c r="K328" s="10" t="s">
        <v>76</v>
      </c>
      <c r="L328" s="10"/>
      <c r="M328" s="11">
        <v>0</v>
      </c>
      <c r="N328" s="10"/>
      <c r="O328" s="11">
        <v>0</v>
      </c>
      <c r="P328" s="10"/>
      <c r="Q328" s="11">
        <v>0</v>
      </c>
      <c r="R328" s="10"/>
      <c r="S328" s="11">
        <v>0</v>
      </c>
      <c r="T328" s="10"/>
      <c r="U328" s="11">
        <v>0</v>
      </c>
      <c r="V328">
        <f t="shared" si="5"/>
        <v>0</v>
      </c>
    </row>
    <row r="329" spans="1:22">
      <c r="A329" s="12">
        <v>605</v>
      </c>
      <c r="B329" s="12">
        <v>1</v>
      </c>
      <c r="C329" s="12" t="s">
        <v>455</v>
      </c>
      <c r="D329" s="12" t="s">
        <v>455</v>
      </c>
      <c r="E329" s="12">
        <v>0</v>
      </c>
      <c r="F329" s="12">
        <v>606</v>
      </c>
      <c r="G329" s="12">
        <v>1</v>
      </c>
      <c r="H329" s="12">
        <v>0</v>
      </c>
      <c r="I329" s="12">
        <v>0</v>
      </c>
      <c r="J329" s="10"/>
      <c r="K329" s="10" t="s">
        <v>76</v>
      </c>
      <c r="L329" s="10"/>
      <c r="M329" s="11">
        <v>0</v>
      </c>
      <c r="N329" s="10"/>
      <c r="O329" s="11">
        <v>0</v>
      </c>
      <c r="P329" s="10"/>
      <c r="Q329" s="11">
        <v>0</v>
      </c>
      <c r="R329" s="10"/>
      <c r="S329" s="11">
        <v>0</v>
      </c>
      <c r="T329" s="10"/>
      <c r="U329" s="11">
        <v>0</v>
      </c>
      <c r="V329">
        <f t="shared" si="5"/>
        <v>0</v>
      </c>
    </row>
    <row r="330" spans="1:22">
      <c r="A330" s="12">
        <v>606</v>
      </c>
      <c r="B330" s="12">
        <v>1</v>
      </c>
      <c r="C330" s="12" t="s">
        <v>455</v>
      </c>
      <c r="D330" s="12" t="s">
        <v>455</v>
      </c>
      <c r="E330" s="12">
        <v>0</v>
      </c>
      <c r="F330" s="12">
        <v>0</v>
      </c>
      <c r="G330" s="12">
        <v>1</v>
      </c>
      <c r="H330" s="12">
        <v>0</v>
      </c>
      <c r="I330" s="12">
        <v>0</v>
      </c>
      <c r="J330" s="10"/>
      <c r="K330" s="10" t="s">
        <v>76</v>
      </c>
      <c r="L330" s="10"/>
      <c r="M330" s="11">
        <v>0</v>
      </c>
      <c r="N330" s="10"/>
      <c r="O330" s="11">
        <v>0</v>
      </c>
      <c r="P330" s="10"/>
      <c r="Q330" s="11">
        <v>0</v>
      </c>
      <c r="R330" s="10"/>
      <c r="S330" s="11">
        <v>0</v>
      </c>
      <c r="T330" s="10"/>
      <c r="U330" s="11">
        <v>0</v>
      </c>
      <c r="V330">
        <f t="shared" si="5"/>
        <v>0</v>
      </c>
    </row>
    <row r="331" spans="1:22">
      <c r="A331" s="12">
        <v>607</v>
      </c>
      <c r="B331" s="12">
        <v>1</v>
      </c>
      <c r="C331" s="12" t="s">
        <v>456</v>
      </c>
      <c r="D331" s="12" t="s">
        <v>456</v>
      </c>
      <c r="E331" s="12">
        <v>0</v>
      </c>
      <c r="F331" s="12">
        <v>608</v>
      </c>
      <c r="G331" s="12">
        <v>0</v>
      </c>
      <c r="H331" s="12">
        <v>1</v>
      </c>
      <c r="I331" s="12">
        <v>0</v>
      </c>
      <c r="J331" s="10"/>
      <c r="K331" s="10" t="s">
        <v>76</v>
      </c>
      <c r="L331" s="10" t="s">
        <v>68</v>
      </c>
      <c r="M331" s="11">
        <v>1</v>
      </c>
      <c r="N331" s="10" t="s">
        <v>119</v>
      </c>
      <c r="O331" s="11">
        <v>0</v>
      </c>
      <c r="P331" s="10" t="s">
        <v>77</v>
      </c>
      <c r="Q331" s="11">
        <v>0</v>
      </c>
      <c r="R331" s="10" t="s">
        <v>303</v>
      </c>
      <c r="S331" s="11">
        <v>0</v>
      </c>
      <c r="T331" s="10" t="s">
        <v>304</v>
      </c>
      <c r="U331" s="11">
        <v>0</v>
      </c>
      <c r="V331">
        <f t="shared" si="5"/>
        <v>0</v>
      </c>
    </row>
    <row r="332" spans="1:22">
      <c r="A332" s="12">
        <v>608</v>
      </c>
      <c r="B332" s="12">
        <v>1</v>
      </c>
      <c r="C332" s="12" t="s">
        <v>456</v>
      </c>
      <c r="D332" s="12" t="s">
        <v>456</v>
      </c>
      <c r="E332" s="12">
        <v>0</v>
      </c>
      <c r="F332" s="12">
        <v>0</v>
      </c>
      <c r="G332" s="12">
        <v>1</v>
      </c>
      <c r="H332" s="12">
        <v>2</v>
      </c>
      <c r="I332" s="12">
        <v>0</v>
      </c>
      <c r="J332" s="10"/>
      <c r="K332" s="10" t="s">
        <v>76</v>
      </c>
      <c r="L332" s="10"/>
      <c r="M332" s="11">
        <v>0</v>
      </c>
      <c r="N332" s="10"/>
      <c r="O332" s="11">
        <v>0</v>
      </c>
      <c r="P332" s="10"/>
      <c r="Q332" s="11">
        <v>0</v>
      </c>
      <c r="R332" s="10"/>
      <c r="S332" s="11">
        <v>0</v>
      </c>
      <c r="T332" s="10"/>
      <c r="U332" s="11">
        <v>0</v>
      </c>
      <c r="V332">
        <f t="shared" si="5"/>
        <v>0</v>
      </c>
    </row>
    <row r="333" spans="1:22">
      <c r="A333" s="12">
        <v>609</v>
      </c>
      <c r="B333" s="12">
        <v>1</v>
      </c>
      <c r="C333" s="12" t="s">
        <v>457</v>
      </c>
      <c r="D333" s="12" t="s">
        <v>457</v>
      </c>
      <c r="E333" s="12">
        <v>0</v>
      </c>
      <c r="F333" s="12">
        <v>610</v>
      </c>
      <c r="G333" s="12">
        <v>0</v>
      </c>
      <c r="H333" s="12">
        <v>1</v>
      </c>
      <c r="I333" s="12">
        <v>0</v>
      </c>
      <c r="J333" s="10"/>
      <c r="K333" s="10" t="s">
        <v>76</v>
      </c>
      <c r="L333" s="10" t="s">
        <v>68</v>
      </c>
      <c r="M333" s="11">
        <v>1</v>
      </c>
      <c r="N333" s="10" t="s">
        <v>119</v>
      </c>
      <c r="O333" s="11">
        <v>0</v>
      </c>
      <c r="P333" s="10" t="s">
        <v>77</v>
      </c>
      <c r="Q333" s="11">
        <v>0</v>
      </c>
      <c r="R333" s="10" t="s">
        <v>303</v>
      </c>
      <c r="S333" s="11">
        <v>0</v>
      </c>
      <c r="T333" s="10" t="s">
        <v>304</v>
      </c>
      <c r="U333" s="11">
        <v>0</v>
      </c>
      <c r="V333">
        <f t="shared" si="5"/>
        <v>0</v>
      </c>
    </row>
    <row r="334" spans="1:22">
      <c r="A334" s="12">
        <v>610</v>
      </c>
      <c r="B334" s="12">
        <v>1</v>
      </c>
      <c r="C334" s="12" t="s">
        <v>457</v>
      </c>
      <c r="D334" s="12" t="s">
        <v>457</v>
      </c>
      <c r="E334" s="12">
        <v>0</v>
      </c>
      <c r="F334" s="12">
        <v>0</v>
      </c>
      <c r="G334" s="12">
        <v>1</v>
      </c>
      <c r="H334" s="12">
        <v>2</v>
      </c>
      <c r="I334" s="12">
        <v>0</v>
      </c>
      <c r="J334" s="10"/>
      <c r="K334" s="10" t="s">
        <v>76</v>
      </c>
      <c r="L334" s="10"/>
      <c r="M334" s="11">
        <v>0</v>
      </c>
      <c r="N334" s="10"/>
      <c r="O334" s="11">
        <v>0</v>
      </c>
      <c r="P334" s="10"/>
      <c r="Q334" s="11">
        <v>0</v>
      </c>
      <c r="R334" s="10"/>
      <c r="S334" s="11">
        <v>0</v>
      </c>
      <c r="T334" s="10"/>
      <c r="U334" s="11">
        <v>0</v>
      </c>
      <c r="V334">
        <f t="shared" si="5"/>
        <v>0</v>
      </c>
    </row>
    <row r="335" spans="1:22">
      <c r="A335" s="12">
        <v>611</v>
      </c>
      <c r="B335" s="12">
        <v>1</v>
      </c>
      <c r="C335" s="12" t="s">
        <v>458</v>
      </c>
      <c r="D335" s="12" t="s">
        <v>458</v>
      </c>
      <c r="E335" s="12">
        <v>0</v>
      </c>
      <c r="F335" s="12">
        <v>612</v>
      </c>
      <c r="G335" s="12">
        <v>0</v>
      </c>
      <c r="H335" s="12">
        <v>1</v>
      </c>
      <c r="I335" s="12">
        <v>0</v>
      </c>
      <c r="J335" s="10"/>
      <c r="K335" s="10" t="s">
        <v>76</v>
      </c>
      <c r="L335" s="10"/>
      <c r="M335" s="11">
        <v>0</v>
      </c>
      <c r="N335" s="10"/>
      <c r="O335" s="11">
        <v>0</v>
      </c>
      <c r="P335" s="10"/>
      <c r="Q335" s="11">
        <v>0</v>
      </c>
      <c r="R335" s="10"/>
      <c r="S335" s="11">
        <v>0</v>
      </c>
      <c r="T335" s="10"/>
      <c r="U335" s="11">
        <v>0</v>
      </c>
      <c r="V335">
        <f t="shared" si="5"/>
        <v>0</v>
      </c>
    </row>
    <row r="336" spans="1:22">
      <c r="A336" s="12">
        <v>612</v>
      </c>
      <c r="B336" s="12">
        <v>1</v>
      </c>
      <c r="C336" s="12" t="s">
        <v>458</v>
      </c>
      <c r="D336" s="12" t="s">
        <v>458</v>
      </c>
      <c r="E336" s="12">
        <v>0</v>
      </c>
      <c r="F336" s="12">
        <v>0</v>
      </c>
      <c r="G336" s="12">
        <v>1</v>
      </c>
      <c r="H336" s="12">
        <v>2</v>
      </c>
      <c r="I336" s="12">
        <v>0</v>
      </c>
      <c r="J336" s="10"/>
      <c r="K336" s="10" t="s">
        <v>76</v>
      </c>
      <c r="L336" s="10"/>
      <c r="M336" s="11">
        <v>0</v>
      </c>
      <c r="N336" s="10"/>
      <c r="O336" s="11">
        <v>0</v>
      </c>
      <c r="P336" s="10"/>
      <c r="Q336" s="11">
        <v>0</v>
      </c>
      <c r="R336" s="10"/>
      <c r="S336" s="11">
        <v>0</v>
      </c>
      <c r="T336" s="10"/>
      <c r="U336" s="11">
        <v>0</v>
      </c>
      <c r="V336">
        <f t="shared" si="5"/>
        <v>0</v>
      </c>
    </row>
    <row r="337" spans="1:22">
      <c r="A337" s="12">
        <v>613</v>
      </c>
      <c r="B337" s="12">
        <v>1</v>
      </c>
      <c r="C337" s="12" t="s">
        <v>293</v>
      </c>
      <c r="D337" s="12" t="s">
        <v>293</v>
      </c>
      <c r="E337" s="12">
        <v>0</v>
      </c>
      <c r="F337" s="12">
        <v>0</v>
      </c>
      <c r="G337" s="12">
        <v>1</v>
      </c>
      <c r="H337" s="12">
        <v>0</v>
      </c>
      <c r="I337" s="12">
        <v>42</v>
      </c>
      <c r="J337" s="10"/>
      <c r="K337" s="10" t="s">
        <v>76</v>
      </c>
      <c r="L337" s="10"/>
      <c r="M337" s="11">
        <v>0</v>
      </c>
      <c r="N337" s="10"/>
      <c r="O337" s="11">
        <v>0</v>
      </c>
      <c r="P337" s="10"/>
      <c r="Q337" s="11">
        <v>0</v>
      </c>
      <c r="R337" s="10"/>
      <c r="S337" s="11">
        <v>0</v>
      </c>
      <c r="T337" s="10"/>
      <c r="U337" s="11">
        <v>0</v>
      </c>
      <c r="V337">
        <f t="shared" si="5"/>
        <v>0</v>
      </c>
    </row>
    <row r="338" spans="1:22">
      <c r="A338" s="12">
        <v>614</v>
      </c>
      <c r="B338" s="12">
        <v>1</v>
      </c>
      <c r="C338" s="12" t="s">
        <v>459</v>
      </c>
      <c r="D338" s="12" t="s">
        <v>459</v>
      </c>
      <c r="E338" s="12">
        <v>0</v>
      </c>
      <c r="F338" s="12">
        <v>0</v>
      </c>
      <c r="G338" s="12">
        <v>1</v>
      </c>
      <c r="H338" s="12">
        <v>1</v>
      </c>
      <c r="I338" s="12">
        <v>80</v>
      </c>
      <c r="J338" s="10"/>
      <c r="K338" s="10" t="s">
        <v>76</v>
      </c>
      <c r="L338" s="10"/>
      <c r="M338" s="11">
        <v>0</v>
      </c>
      <c r="N338" s="10"/>
      <c r="O338" s="11">
        <v>0</v>
      </c>
      <c r="P338" s="10"/>
      <c r="Q338" s="11">
        <v>0</v>
      </c>
      <c r="R338" s="10"/>
      <c r="S338" s="11">
        <v>0</v>
      </c>
      <c r="T338" s="10"/>
      <c r="U338" s="11">
        <v>0</v>
      </c>
      <c r="V338">
        <f t="shared" si="5"/>
        <v>0</v>
      </c>
    </row>
    <row r="339" spans="1:22">
      <c r="A339" s="12">
        <v>615</v>
      </c>
      <c r="B339" s="12">
        <v>0</v>
      </c>
      <c r="C339" s="12" t="s">
        <v>460</v>
      </c>
      <c r="D339" s="12" t="s">
        <v>460</v>
      </c>
      <c r="E339" s="12">
        <v>0</v>
      </c>
      <c r="F339" s="12">
        <v>0</v>
      </c>
      <c r="G339" s="12">
        <v>0</v>
      </c>
      <c r="H339" s="12">
        <v>0</v>
      </c>
      <c r="I339" s="12">
        <v>0</v>
      </c>
      <c r="J339" s="10"/>
      <c r="K339" s="12" t="s">
        <v>76</v>
      </c>
      <c r="L339" s="10"/>
      <c r="M339" s="11">
        <v>0</v>
      </c>
      <c r="N339" s="10"/>
      <c r="O339" s="11">
        <v>0</v>
      </c>
      <c r="P339" s="10"/>
      <c r="Q339" s="11">
        <v>0</v>
      </c>
      <c r="R339" s="10"/>
      <c r="S339" s="11">
        <v>0</v>
      </c>
      <c r="T339" s="10"/>
      <c r="U339" s="11">
        <v>0</v>
      </c>
      <c r="V339">
        <f t="shared" si="5"/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数出表_Excel【15時】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2025-07-16T01:55:32Z</dcterms:modified>
</cp:coreProperties>
</file>