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88BDED26-A455-4A88-9771-03E46BF3BC12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U180" i="7" l="1"/>
  <c r="EU156" i="7"/>
  <c r="EU162" i="7" s="1"/>
  <c r="EU168" i="7" s="1"/>
  <c r="EU174" i="7" s="1"/>
  <c r="EU153" i="7"/>
  <c r="EU159" i="7" s="1"/>
  <c r="EU165" i="7" s="1"/>
  <c r="EU171" i="7" s="1"/>
  <c r="EU177" i="7" s="1"/>
  <c r="EU126" i="7"/>
  <c r="EU132" i="7" s="1"/>
  <c r="EU138" i="7" s="1"/>
  <c r="EU144" i="7" s="1"/>
  <c r="EU120" i="7"/>
  <c r="EU117" i="7"/>
  <c r="EU123" i="7" s="1"/>
  <c r="EU129" i="7" s="1"/>
  <c r="EU135" i="7" s="1"/>
  <c r="EU141" i="7" s="1"/>
  <c r="EU87" i="7"/>
  <c r="EU93" i="7" s="1"/>
  <c r="EU99" i="7" s="1"/>
  <c r="EU105" i="7" s="1"/>
  <c r="EU84" i="7"/>
  <c r="EU90" i="7" s="1"/>
  <c r="EU96" i="7" s="1"/>
  <c r="EU102" i="7" s="1"/>
  <c r="EU108" i="7" s="1"/>
  <c r="EU81" i="7"/>
  <c r="EU51" i="7"/>
  <c r="EU57" i="7" s="1"/>
  <c r="EU63" i="7" s="1"/>
  <c r="EU69" i="7" s="1"/>
  <c r="EU48" i="7"/>
  <c r="EU54" i="7" s="1"/>
  <c r="EU60" i="7" s="1"/>
  <c r="EU66" i="7" s="1"/>
  <c r="EU72" i="7" s="1"/>
  <c r="EU45" i="7"/>
  <c r="EU44" i="7"/>
  <c r="EU50" i="7" s="1"/>
  <c r="EU56" i="7" s="1"/>
  <c r="EU62" i="7" s="1"/>
  <c r="EU68" i="7" s="1"/>
  <c r="EU47" i="7"/>
  <c r="EU53" i="7" s="1"/>
  <c r="EU59" i="7" s="1"/>
  <c r="EU65" i="7" s="1"/>
  <c r="EU71" i="7" s="1"/>
  <c r="EU49" i="7"/>
  <c r="EU55" i="7" s="1"/>
  <c r="EU61" i="7" s="1"/>
  <c r="EU67" i="7" s="1"/>
  <c r="EU52" i="7"/>
  <c r="EU58" i="7" s="1"/>
  <c r="EU64" i="7" s="1"/>
  <c r="EU70" i="7" s="1"/>
  <c r="EU18" i="7"/>
  <c r="EU24" i="7" s="1"/>
  <c r="EU30" i="7" s="1"/>
  <c r="EU36" i="7" s="1"/>
  <c r="EU12" i="7"/>
  <c r="ES120" i="7"/>
  <c r="EL120" i="7"/>
  <c r="ES113" i="7"/>
  <c r="EL113" i="7"/>
  <c r="ES106" i="7"/>
  <c r="EL106" i="7"/>
  <c r="ES99" i="7"/>
  <c r="EL99" i="7"/>
  <c r="ES92" i="7"/>
  <c r="EL92" i="7"/>
  <c r="ES85" i="7"/>
  <c r="EL85" i="7"/>
  <c r="ED120" i="7"/>
  <c r="DW120" i="7"/>
  <c r="ED113" i="7"/>
  <c r="DW113" i="7"/>
  <c r="ED106" i="7"/>
  <c r="DW106" i="7"/>
  <c r="ED99" i="7"/>
  <c r="DW99" i="7"/>
  <c r="ED92" i="7"/>
  <c r="DW92" i="7"/>
  <c r="ED85" i="7"/>
  <c r="DW85" i="7"/>
  <c r="DO120" i="7"/>
  <c r="DH120" i="7"/>
  <c r="DO113" i="7"/>
  <c r="DH113" i="7"/>
  <c r="DO106" i="7"/>
  <c r="DH106" i="7"/>
  <c r="DO99" i="7"/>
  <c r="DH99" i="7"/>
  <c r="DO92" i="7"/>
  <c r="DH92" i="7"/>
  <c r="DO85" i="7"/>
  <c r="DH85" i="7"/>
  <c r="CZ120" i="7"/>
  <c r="CS120" i="7"/>
  <c r="CZ113" i="7"/>
  <c r="CS113" i="7"/>
  <c r="CZ106" i="7"/>
  <c r="CS106" i="7"/>
  <c r="CZ99" i="7"/>
  <c r="CS99" i="7"/>
  <c r="CZ92" i="7"/>
  <c r="CS92" i="7"/>
  <c r="CZ85" i="7"/>
  <c r="CS85" i="7"/>
  <c r="CK120" i="7"/>
  <c r="CD120" i="7"/>
  <c r="CK113" i="7"/>
  <c r="CD113" i="7"/>
  <c r="CK106" i="7"/>
  <c r="CD106" i="7"/>
  <c r="CK99" i="7"/>
  <c r="CD99" i="7"/>
  <c r="CK92" i="7"/>
  <c r="CD92" i="7"/>
  <c r="CK85" i="7"/>
  <c r="CD85" i="7"/>
  <c r="BV120" i="7"/>
  <c r="BO120" i="7"/>
  <c r="BV113" i="7"/>
  <c r="BO113" i="7"/>
  <c r="BV106" i="7"/>
  <c r="BO106" i="7"/>
  <c r="BV99" i="7"/>
  <c r="BO99" i="7"/>
  <c r="BV92" i="7"/>
  <c r="BO92" i="7"/>
  <c r="BV85" i="7"/>
  <c r="BO85" i="7"/>
  <c r="BG120" i="7"/>
  <c r="AZ120" i="7"/>
  <c r="BG113" i="7"/>
  <c r="AZ113" i="7"/>
  <c r="BG106" i="7"/>
  <c r="AZ106" i="7"/>
  <c r="BG99" i="7"/>
  <c r="AZ99" i="7"/>
  <c r="BG92" i="7"/>
  <c r="AZ92" i="7"/>
  <c r="BG85" i="7"/>
  <c r="AZ85" i="7"/>
  <c r="AR120" i="7"/>
  <c r="AK120" i="7"/>
  <c r="AR113" i="7"/>
  <c r="AK113" i="7"/>
  <c r="AR106" i="7"/>
  <c r="AK106" i="7"/>
  <c r="AR99" i="7"/>
  <c r="AK99" i="7"/>
  <c r="AR92" i="7"/>
  <c r="AK92" i="7"/>
  <c r="AR85" i="7"/>
  <c r="AK85" i="7"/>
  <c r="AC120" i="7"/>
  <c r="V120" i="7"/>
  <c r="AC113" i="7"/>
  <c r="V113" i="7"/>
  <c r="AC106" i="7"/>
  <c r="V106" i="7"/>
  <c r="AC99" i="7"/>
  <c r="V99" i="7"/>
  <c r="AC92" i="7"/>
  <c r="V92" i="7"/>
  <c r="AC85" i="7"/>
  <c r="V85" i="7"/>
  <c r="N120" i="7"/>
  <c r="N113" i="7"/>
  <c r="G120" i="7"/>
  <c r="G113" i="7"/>
  <c r="N106" i="7"/>
  <c r="G106" i="7"/>
  <c r="N99" i="7"/>
  <c r="G99" i="7"/>
  <c r="N85" i="7"/>
  <c r="G85" i="7"/>
  <c r="N92" i="7"/>
  <c r="EU9" i="7"/>
  <c r="EU15" i="7" s="1"/>
  <c r="EU21" i="7" s="1"/>
  <c r="EU27" i="7" s="1"/>
  <c r="EU33" i="7" s="1"/>
  <c r="EU8" i="7"/>
  <c r="EU14" i="7" s="1"/>
  <c r="EU16" i="7"/>
  <c r="EU13" i="7"/>
  <c r="EU11" i="7"/>
  <c r="ES78" i="7"/>
  <c r="EL78" i="7"/>
  <c r="ES71" i="7"/>
  <c r="EL71" i="7"/>
  <c r="ES64" i="7"/>
  <c r="EL64" i="7"/>
  <c r="ES57" i="7"/>
  <c r="EL57" i="7"/>
  <c r="ES50" i="7"/>
  <c r="EL50" i="7"/>
  <c r="ES43" i="7"/>
  <c r="EL43" i="7"/>
  <c r="ED78" i="7"/>
  <c r="DW78" i="7"/>
  <c r="ED71" i="7"/>
  <c r="DW71" i="7"/>
  <c r="ED64" i="7"/>
  <c r="DW64" i="7"/>
  <c r="ED57" i="7"/>
  <c r="DW57" i="7"/>
  <c r="ED50" i="7"/>
  <c r="DW50" i="7"/>
  <c r="ED43" i="7"/>
  <c r="DW43" i="7"/>
  <c r="DO78" i="7"/>
  <c r="DH78" i="7"/>
  <c r="DO71" i="7"/>
  <c r="DH71" i="7"/>
  <c r="DO64" i="7"/>
  <c r="DH64" i="7"/>
  <c r="DO57" i="7"/>
  <c r="DH57" i="7"/>
  <c r="DO50" i="7"/>
  <c r="DH50" i="7"/>
  <c r="DO43" i="7"/>
  <c r="DH43" i="7"/>
  <c r="CZ78" i="7"/>
  <c r="CS78" i="7"/>
  <c r="CZ71" i="7"/>
  <c r="CS71" i="7"/>
  <c r="CZ64" i="7"/>
  <c r="CS64" i="7"/>
  <c r="CZ57" i="7"/>
  <c r="CS57" i="7"/>
  <c r="CZ50" i="7"/>
  <c r="CS50" i="7"/>
  <c r="CZ43" i="7"/>
  <c r="CS43" i="7"/>
  <c r="CK78" i="7"/>
  <c r="CD78" i="7"/>
  <c r="CK71" i="7"/>
  <c r="CD71" i="7"/>
  <c r="CK64" i="7"/>
  <c r="CD64" i="7"/>
  <c r="CK57" i="7"/>
  <c r="CD57" i="7"/>
  <c r="CK50" i="7"/>
  <c r="CD50" i="7"/>
  <c r="CK43" i="7"/>
  <c r="CD43" i="7"/>
  <c r="BV78" i="7"/>
  <c r="BO78" i="7"/>
  <c r="BV71" i="7"/>
  <c r="BO71" i="7"/>
  <c r="BV64" i="7"/>
  <c r="BO64" i="7"/>
  <c r="BV57" i="7"/>
  <c r="BO57" i="7"/>
  <c r="BV50" i="7"/>
  <c r="BO50" i="7"/>
  <c r="BV43" i="7"/>
  <c r="BO43" i="7"/>
  <c r="BG78" i="7"/>
  <c r="AZ78" i="7"/>
  <c r="BG71" i="7"/>
  <c r="AZ71" i="7"/>
  <c r="BG64" i="7"/>
  <c r="AZ64" i="7"/>
  <c r="BG57" i="7"/>
  <c r="AZ57" i="7"/>
  <c r="BG50" i="7"/>
  <c r="AZ50" i="7"/>
  <c r="BG43" i="7"/>
  <c r="AZ43" i="7"/>
  <c r="AR78" i="7"/>
  <c r="AK78" i="7"/>
  <c r="AR71" i="7"/>
  <c r="AK71" i="7"/>
  <c r="AR64" i="7"/>
  <c r="AK64" i="7"/>
  <c r="AR57" i="7"/>
  <c r="AK57" i="7"/>
  <c r="AR50" i="7"/>
  <c r="AK50" i="7"/>
  <c r="AR43" i="7"/>
  <c r="AK43" i="7"/>
  <c r="G92" i="7"/>
  <c r="N78" i="7"/>
  <c r="G78" i="7"/>
  <c r="N71" i="7"/>
  <c r="G71" i="7"/>
  <c r="N64" i="7"/>
  <c r="G64" i="7"/>
  <c r="N57" i="7"/>
  <c r="G57" i="7"/>
  <c r="N50" i="7"/>
  <c r="G50" i="7"/>
  <c r="N43" i="7"/>
  <c r="G43" i="7"/>
  <c r="AC43" i="7"/>
  <c r="V43" i="7"/>
  <c r="AC50" i="7"/>
  <c r="V50" i="7"/>
  <c r="AC57" i="7"/>
  <c r="V57" i="7"/>
  <c r="AC64" i="7"/>
  <c r="V64" i="7"/>
  <c r="AC78" i="7"/>
  <c r="V78" i="7"/>
  <c r="V71" i="7"/>
  <c r="AC71" i="7"/>
  <c r="EU152" i="7"/>
  <c r="EU158" i="7" s="1"/>
  <c r="EU164" i="7" s="1"/>
  <c r="EU170" i="7" s="1"/>
  <c r="EU176" i="7" s="1"/>
  <c r="EU155" i="7"/>
  <c r="EU161" i="7" s="1"/>
  <c r="EU167" i="7" s="1"/>
  <c r="EU173" i="7" s="1"/>
  <c r="EU179" i="7" s="1"/>
  <c r="EU157" i="7"/>
  <c r="EU163" i="7" s="1"/>
  <c r="EU169" i="7" s="1"/>
  <c r="EU175" i="7" s="1"/>
  <c r="EU160" i="7"/>
  <c r="EU166" i="7" s="1"/>
  <c r="EU172" i="7" s="1"/>
  <c r="EU178" i="7" s="1"/>
  <c r="EV181" i="7"/>
  <c r="FG181" i="7"/>
  <c r="EV182" i="7"/>
  <c r="FG182" i="7"/>
  <c r="EV183" i="7"/>
  <c r="FA183" i="7"/>
  <c r="FG183" i="7"/>
  <c r="EV184" i="7"/>
  <c r="EX184" i="7"/>
  <c r="FC184" i="7"/>
  <c r="FD184" i="7"/>
  <c r="FG184" i="7"/>
  <c r="EV185" i="7" a="1"/>
  <c r="EV185" i="7" l="1"/>
  <c r="FC185" i="7" s="1"/>
  <c r="EX185" i="7"/>
  <c r="EX186" i="7" l="1"/>
  <c r="W147" i="2"/>
  <c r="V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W146" i="2" a="1"/>
  <c r="W146" i="2" s="1"/>
  <c r="V146" i="2" a="1"/>
  <c r="V146" i="2" s="1"/>
  <c r="T146" i="2" a="1"/>
  <c r="T146" i="2" s="1"/>
  <c r="S146" i="2" a="1"/>
  <c r="S146" i="2" s="1"/>
  <c r="R146" i="2" a="1"/>
  <c r="R146" i="2" s="1"/>
  <c r="Q146" i="2" a="1"/>
  <c r="Q146" i="2" s="1"/>
  <c r="P146" i="2" a="1"/>
  <c r="P146" i="2" s="1"/>
  <c r="O146" i="2" a="1"/>
  <c r="O146" i="2" s="1"/>
  <c r="N146" i="2" a="1"/>
  <c r="N146" i="2" s="1"/>
  <c r="M146" i="2" a="1"/>
  <c r="M146" i="2" s="1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 s="1"/>
  <c r="E146" i="2" a="1"/>
  <c r="E146" i="2" s="1"/>
  <c r="D146" i="2" a="1"/>
  <c r="D146" i="2" s="1"/>
  <c r="C146" i="2" a="1"/>
  <c r="C146" i="2" s="1"/>
  <c r="B146" i="2" a="1"/>
  <c r="B146" i="2" s="1"/>
  <c r="A146" i="2" a="1"/>
  <c r="A146" i="2" s="1"/>
  <c r="K145" i="2"/>
  <c r="J145" i="2"/>
  <c r="I145" i="2"/>
  <c r="H145" i="2"/>
  <c r="G145" i="2"/>
  <c r="F145" i="2"/>
  <c r="E145" i="2"/>
  <c r="D145" i="2"/>
  <c r="C145" i="2"/>
  <c r="B145" i="2"/>
  <c r="A145" i="2"/>
  <c r="P145" i="2" s="1"/>
  <c r="K144" i="2"/>
  <c r="J144" i="2"/>
  <c r="I144" i="2"/>
  <c r="H144" i="2"/>
  <c r="G144" i="2"/>
  <c r="F144" i="2"/>
  <c r="E144" i="2"/>
  <c r="D144" i="2"/>
  <c r="C144" i="2"/>
  <c r="B144" i="2"/>
  <c r="K143" i="2"/>
  <c r="J143" i="2"/>
  <c r="I143" i="2"/>
  <c r="H143" i="2"/>
  <c r="G143" i="2"/>
  <c r="F143" i="2"/>
  <c r="E143" i="2"/>
  <c r="D143" i="2"/>
  <c r="C143" i="2"/>
  <c r="B143" i="2"/>
  <c r="A143" i="2"/>
  <c r="T143" i="2" s="1"/>
  <c r="K142" i="2"/>
  <c r="J142" i="2"/>
  <c r="I142" i="2"/>
  <c r="H142" i="2"/>
  <c r="G142" i="2"/>
  <c r="F142" i="2"/>
  <c r="E142" i="2"/>
  <c r="D142" i="2"/>
  <c r="C142" i="2"/>
  <c r="B142" i="2"/>
  <c r="K141" i="2"/>
  <c r="J141" i="2"/>
  <c r="I141" i="2"/>
  <c r="H141" i="2"/>
  <c r="G141" i="2"/>
  <c r="F141" i="2"/>
  <c r="E141" i="2"/>
  <c r="D141" i="2"/>
  <c r="C141" i="2"/>
  <c r="B141" i="2"/>
  <c r="A141" i="2"/>
  <c r="P141" i="2" s="1"/>
  <c r="K140" i="2"/>
  <c r="J140" i="2"/>
  <c r="I140" i="2"/>
  <c r="H140" i="2"/>
  <c r="G140" i="2"/>
  <c r="F140" i="2"/>
  <c r="E140" i="2"/>
  <c r="D140" i="2"/>
  <c r="C140" i="2"/>
  <c r="B140" i="2"/>
  <c r="K139" i="2"/>
  <c r="J139" i="2"/>
  <c r="I139" i="2"/>
  <c r="H139" i="2"/>
  <c r="G139" i="2"/>
  <c r="F139" i="2"/>
  <c r="E139" i="2"/>
  <c r="D139" i="2"/>
  <c r="C139" i="2"/>
  <c r="B139" i="2"/>
  <c r="A139" i="2"/>
  <c r="T139" i="2" s="1"/>
  <c r="K138" i="2"/>
  <c r="J138" i="2"/>
  <c r="I138" i="2"/>
  <c r="H138" i="2"/>
  <c r="G138" i="2"/>
  <c r="F138" i="2"/>
  <c r="E138" i="2"/>
  <c r="D138" i="2"/>
  <c r="C138" i="2"/>
  <c r="B138" i="2"/>
  <c r="K137" i="2"/>
  <c r="J137" i="2"/>
  <c r="I137" i="2"/>
  <c r="H137" i="2"/>
  <c r="G137" i="2"/>
  <c r="F137" i="2"/>
  <c r="E137" i="2"/>
  <c r="D137" i="2"/>
  <c r="C137" i="2"/>
  <c r="B137" i="2"/>
  <c r="A137" i="2"/>
  <c r="P137" i="2" s="1"/>
  <c r="K136" i="2"/>
  <c r="J136" i="2"/>
  <c r="I136" i="2"/>
  <c r="H136" i="2"/>
  <c r="G136" i="2"/>
  <c r="F136" i="2"/>
  <c r="E136" i="2"/>
  <c r="D136" i="2"/>
  <c r="C136" i="2"/>
  <c r="B136" i="2"/>
  <c r="V135" i="2"/>
  <c r="O135" i="2"/>
  <c r="K135" i="2"/>
  <c r="J135" i="2"/>
  <c r="I135" i="2"/>
  <c r="H135" i="2"/>
  <c r="G135" i="2"/>
  <c r="F135" i="2"/>
  <c r="E135" i="2"/>
  <c r="D135" i="2"/>
  <c r="C135" i="2"/>
  <c r="B135" i="2"/>
  <c r="A135" i="2"/>
  <c r="T135" i="2" s="1"/>
  <c r="K134" i="2"/>
  <c r="J134" i="2"/>
  <c r="I134" i="2"/>
  <c r="H134" i="2"/>
  <c r="G134" i="2"/>
  <c r="F134" i="2"/>
  <c r="E134" i="2"/>
  <c r="D134" i="2"/>
  <c r="C134" i="2"/>
  <c r="B134" i="2"/>
  <c r="S133" i="2"/>
  <c r="K133" i="2"/>
  <c r="J133" i="2"/>
  <c r="I133" i="2"/>
  <c r="H133" i="2"/>
  <c r="G133" i="2"/>
  <c r="F133" i="2"/>
  <c r="E133" i="2"/>
  <c r="D133" i="2"/>
  <c r="C133" i="2"/>
  <c r="B133" i="2"/>
  <c r="A133" i="2"/>
  <c r="P133" i="2" s="1"/>
  <c r="K132" i="2"/>
  <c r="J132" i="2"/>
  <c r="I132" i="2"/>
  <c r="H132" i="2"/>
  <c r="G132" i="2"/>
  <c r="F132" i="2"/>
  <c r="E132" i="2"/>
  <c r="D132" i="2"/>
  <c r="C132" i="2"/>
  <c r="B132" i="2"/>
  <c r="O131" i="2"/>
  <c r="M131" i="2"/>
  <c r="K131" i="2"/>
  <c r="J131" i="2"/>
  <c r="I131" i="2"/>
  <c r="H131" i="2"/>
  <c r="G131" i="2"/>
  <c r="F131" i="2"/>
  <c r="E131" i="2"/>
  <c r="D131" i="2"/>
  <c r="C131" i="2"/>
  <c r="B131" i="2"/>
  <c r="A131" i="2"/>
  <c r="T131" i="2" s="1"/>
  <c r="K130" i="2"/>
  <c r="J130" i="2"/>
  <c r="I130" i="2"/>
  <c r="H130" i="2"/>
  <c r="G130" i="2"/>
  <c r="F130" i="2"/>
  <c r="E130" i="2"/>
  <c r="D130" i="2"/>
  <c r="C130" i="2"/>
  <c r="B130" i="2"/>
  <c r="K129" i="2"/>
  <c r="J129" i="2"/>
  <c r="I129" i="2"/>
  <c r="H129" i="2"/>
  <c r="G129" i="2"/>
  <c r="F129" i="2"/>
  <c r="E129" i="2"/>
  <c r="D129" i="2"/>
  <c r="C129" i="2"/>
  <c r="B129" i="2"/>
  <c r="A129" i="2"/>
  <c r="P129" i="2" s="1"/>
  <c r="K128" i="2"/>
  <c r="J128" i="2"/>
  <c r="I128" i="2"/>
  <c r="H128" i="2"/>
  <c r="G128" i="2"/>
  <c r="F128" i="2"/>
  <c r="E128" i="2"/>
  <c r="D128" i="2"/>
  <c r="C128" i="2"/>
  <c r="B128" i="2"/>
  <c r="A128" i="2"/>
  <c r="V127" i="2"/>
  <c r="M127" i="2"/>
  <c r="K127" i="2"/>
  <c r="J127" i="2"/>
  <c r="I127" i="2"/>
  <c r="H127" i="2"/>
  <c r="G127" i="2"/>
  <c r="F127" i="2"/>
  <c r="E127" i="2"/>
  <c r="D127" i="2"/>
  <c r="C127" i="2"/>
  <c r="B127" i="2"/>
  <c r="A127" i="2"/>
  <c r="T127" i="2" s="1"/>
  <c r="K126" i="2"/>
  <c r="J126" i="2"/>
  <c r="I126" i="2"/>
  <c r="H126" i="2"/>
  <c r="G126" i="2"/>
  <c r="F126" i="2"/>
  <c r="E126" i="2"/>
  <c r="D126" i="2"/>
  <c r="C126" i="2"/>
  <c r="B126" i="2"/>
  <c r="A126" i="2"/>
  <c r="R126" i="2" s="1"/>
  <c r="K125" i="2"/>
  <c r="J125" i="2"/>
  <c r="I125" i="2"/>
  <c r="H125" i="2"/>
  <c r="G125" i="2"/>
  <c r="F125" i="2"/>
  <c r="E125" i="2"/>
  <c r="D125" i="2"/>
  <c r="C125" i="2"/>
  <c r="B125" i="2"/>
  <c r="A125" i="2"/>
  <c r="P125" i="2" s="1"/>
  <c r="K124" i="2"/>
  <c r="J124" i="2"/>
  <c r="I124" i="2"/>
  <c r="H124" i="2"/>
  <c r="G124" i="2"/>
  <c r="F124" i="2"/>
  <c r="E124" i="2"/>
  <c r="D124" i="2"/>
  <c r="C124" i="2"/>
  <c r="B124" i="2"/>
  <c r="A124" i="2"/>
  <c r="Q124" i="2" s="1"/>
  <c r="K123" i="2"/>
  <c r="J123" i="2"/>
  <c r="I123" i="2"/>
  <c r="H123" i="2"/>
  <c r="G123" i="2"/>
  <c r="F123" i="2"/>
  <c r="E123" i="2"/>
  <c r="D123" i="2"/>
  <c r="C123" i="2"/>
  <c r="B123" i="2"/>
  <c r="A123" i="2"/>
  <c r="T123" i="2" s="1"/>
  <c r="V122" i="2"/>
  <c r="S122" i="2"/>
  <c r="O122" i="2"/>
  <c r="M122" i="2"/>
  <c r="K122" i="2"/>
  <c r="J122" i="2"/>
  <c r="I122" i="2"/>
  <c r="H122" i="2"/>
  <c r="G122" i="2"/>
  <c r="F122" i="2"/>
  <c r="E122" i="2"/>
  <c r="D122" i="2"/>
  <c r="C122" i="2"/>
  <c r="B122" i="2"/>
  <c r="A122" i="2"/>
  <c r="R122" i="2" s="1"/>
  <c r="S121" i="2"/>
  <c r="K121" i="2"/>
  <c r="J121" i="2"/>
  <c r="I121" i="2"/>
  <c r="H121" i="2"/>
  <c r="G121" i="2"/>
  <c r="F121" i="2"/>
  <c r="E121" i="2"/>
  <c r="D121" i="2"/>
  <c r="C121" i="2"/>
  <c r="B121" i="2"/>
  <c r="A121" i="2"/>
  <c r="P121" i="2" s="1"/>
  <c r="K120" i="2"/>
  <c r="J120" i="2"/>
  <c r="I120" i="2"/>
  <c r="H120" i="2"/>
  <c r="G120" i="2"/>
  <c r="F120" i="2"/>
  <c r="E120" i="2"/>
  <c r="D120" i="2"/>
  <c r="C120" i="2"/>
  <c r="B120" i="2"/>
  <c r="A120" i="2"/>
  <c r="O119" i="2"/>
  <c r="M119" i="2"/>
  <c r="K119" i="2"/>
  <c r="J119" i="2"/>
  <c r="I119" i="2"/>
  <c r="H119" i="2"/>
  <c r="G119" i="2"/>
  <c r="F119" i="2"/>
  <c r="E119" i="2"/>
  <c r="D119" i="2"/>
  <c r="C119" i="2"/>
  <c r="B119" i="2"/>
  <c r="A119" i="2"/>
  <c r="T119" i="2" s="1"/>
  <c r="M118" i="2"/>
  <c r="K118" i="2"/>
  <c r="J118" i="2"/>
  <c r="I118" i="2"/>
  <c r="H118" i="2"/>
  <c r="G118" i="2"/>
  <c r="F118" i="2"/>
  <c r="E118" i="2"/>
  <c r="D118" i="2"/>
  <c r="C118" i="2"/>
  <c r="B118" i="2"/>
  <c r="A118" i="2"/>
  <c r="R118" i="2" s="1"/>
  <c r="S117" i="2"/>
  <c r="K117" i="2"/>
  <c r="J117" i="2"/>
  <c r="I117" i="2"/>
  <c r="H117" i="2"/>
  <c r="G117" i="2"/>
  <c r="F117" i="2"/>
  <c r="E117" i="2"/>
  <c r="D117" i="2"/>
  <c r="C117" i="2"/>
  <c r="B117" i="2"/>
  <c r="A117" i="2"/>
  <c r="P117" i="2" s="1"/>
  <c r="K116" i="2"/>
  <c r="J116" i="2"/>
  <c r="I116" i="2"/>
  <c r="H116" i="2"/>
  <c r="G116" i="2"/>
  <c r="F116" i="2"/>
  <c r="E116" i="2"/>
  <c r="D116" i="2"/>
  <c r="C116" i="2"/>
  <c r="B116" i="2"/>
  <c r="A116" i="2"/>
  <c r="Q116" i="2" s="1"/>
  <c r="K115" i="2"/>
  <c r="J115" i="2"/>
  <c r="I115" i="2"/>
  <c r="H115" i="2"/>
  <c r="G115" i="2"/>
  <c r="F115" i="2"/>
  <c r="E115" i="2"/>
  <c r="D115" i="2"/>
  <c r="C115" i="2"/>
  <c r="B115" i="2"/>
  <c r="A115" i="2"/>
  <c r="T115" i="2" s="1"/>
  <c r="V114" i="2"/>
  <c r="K114" i="2"/>
  <c r="J114" i="2"/>
  <c r="I114" i="2"/>
  <c r="H114" i="2"/>
  <c r="G114" i="2"/>
  <c r="F114" i="2"/>
  <c r="E114" i="2"/>
  <c r="D114" i="2"/>
  <c r="C114" i="2"/>
  <c r="B114" i="2"/>
  <c r="A114" i="2"/>
  <c r="R114" i="2" s="1"/>
  <c r="S113" i="2"/>
  <c r="K113" i="2"/>
  <c r="J113" i="2"/>
  <c r="I113" i="2"/>
  <c r="H113" i="2"/>
  <c r="G113" i="2"/>
  <c r="F113" i="2"/>
  <c r="E113" i="2"/>
  <c r="D113" i="2"/>
  <c r="C113" i="2"/>
  <c r="B113" i="2"/>
  <c r="A113" i="2"/>
  <c r="P113" i="2" s="1"/>
  <c r="K112" i="2"/>
  <c r="J112" i="2"/>
  <c r="I112" i="2"/>
  <c r="H112" i="2"/>
  <c r="G112" i="2"/>
  <c r="F112" i="2"/>
  <c r="E112" i="2"/>
  <c r="D112" i="2"/>
  <c r="C112" i="2"/>
  <c r="B112" i="2"/>
  <c r="A112" i="2"/>
  <c r="Q112" i="2" s="1"/>
  <c r="V111" i="2"/>
  <c r="O111" i="2"/>
  <c r="K111" i="2"/>
  <c r="J111" i="2"/>
  <c r="I111" i="2"/>
  <c r="H111" i="2"/>
  <c r="G111" i="2"/>
  <c r="F111" i="2"/>
  <c r="E111" i="2"/>
  <c r="D111" i="2"/>
  <c r="C111" i="2"/>
  <c r="B111" i="2"/>
  <c r="A111" i="2"/>
  <c r="T111" i="2" s="1"/>
  <c r="S110" i="2"/>
  <c r="O110" i="2"/>
  <c r="M110" i="2"/>
  <c r="K110" i="2"/>
  <c r="J110" i="2"/>
  <c r="I110" i="2"/>
  <c r="H110" i="2"/>
  <c r="G110" i="2"/>
  <c r="F110" i="2"/>
  <c r="E110" i="2"/>
  <c r="D110" i="2"/>
  <c r="C110" i="2"/>
  <c r="B110" i="2"/>
  <c r="A110" i="2"/>
  <c r="R110" i="2" s="1"/>
  <c r="K109" i="2"/>
  <c r="J109" i="2"/>
  <c r="I109" i="2"/>
  <c r="H109" i="2"/>
  <c r="G109" i="2"/>
  <c r="F109" i="2"/>
  <c r="E109" i="2"/>
  <c r="D109" i="2"/>
  <c r="C109" i="2"/>
  <c r="B109" i="2"/>
  <c r="A109" i="2"/>
  <c r="S109" i="2" s="1"/>
  <c r="K108" i="2"/>
  <c r="J108" i="2"/>
  <c r="I108" i="2"/>
  <c r="H108" i="2"/>
  <c r="G108" i="2"/>
  <c r="F108" i="2"/>
  <c r="E108" i="2"/>
  <c r="D108" i="2"/>
  <c r="C108" i="2"/>
  <c r="B108" i="2"/>
  <c r="A108" i="2"/>
  <c r="K107" i="2"/>
  <c r="J107" i="2"/>
  <c r="I107" i="2"/>
  <c r="H107" i="2"/>
  <c r="G107" i="2"/>
  <c r="F107" i="2"/>
  <c r="E107" i="2"/>
  <c r="D107" i="2"/>
  <c r="C107" i="2"/>
  <c r="B107" i="2"/>
  <c r="A107" i="2"/>
  <c r="S106" i="2"/>
  <c r="O106" i="2"/>
  <c r="K106" i="2"/>
  <c r="J106" i="2"/>
  <c r="I106" i="2"/>
  <c r="H106" i="2"/>
  <c r="G106" i="2"/>
  <c r="F106" i="2"/>
  <c r="E106" i="2"/>
  <c r="D106" i="2"/>
  <c r="C106" i="2"/>
  <c r="B106" i="2"/>
  <c r="A106" i="2"/>
  <c r="R106" i="2" s="1"/>
  <c r="K105" i="2"/>
  <c r="J105" i="2"/>
  <c r="I105" i="2"/>
  <c r="H105" i="2"/>
  <c r="G105" i="2"/>
  <c r="F105" i="2"/>
  <c r="E105" i="2"/>
  <c r="D105" i="2"/>
  <c r="C105" i="2"/>
  <c r="B105" i="2"/>
  <c r="A105" i="2"/>
  <c r="S105" i="2" s="1"/>
  <c r="K104" i="2"/>
  <c r="J104" i="2"/>
  <c r="I104" i="2"/>
  <c r="H104" i="2"/>
  <c r="G104" i="2"/>
  <c r="F104" i="2"/>
  <c r="E104" i="2"/>
  <c r="D104" i="2"/>
  <c r="C104" i="2"/>
  <c r="B104" i="2"/>
  <c r="A104" i="2"/>
  <c r="S104" i="2" s="1"/>
  <c r="Q103" i="2"/>
  <c r="M103" i="2"/>
  <c r="K103" i="2"/>
  <c r="J103" i="2"/>
  <c r="I103" i="2"/>
  <c r="H103" i="2"/>
  <c r="G103" i="2"/>
  <c r="F103" i="2"/>
  <c r="E103" i="2"/>
  <c r="D103" i="2"/>
  <c r="C103" i="2"/>
  <c r="B103" i="2"/>
  <c r="A103" i="2"/>
  <c r="O103" i="2" s="1"/>
  <c r="K102" i="2"/>
  <c r="J102" i="2"/>
  <c r="I102" i="2"/>
  <c r="H102" i="2"/>
  <c r="G102" i="2"/>
  <c r="F102" i="2"/>
  <c r="E102" i="2"/>
  <c r="D102" i="2"/>
  <c r="C102" i="2"/>
  <c r="B102" i="2"/>
  <c r="A102" i="2"/>
  <c r="S102" i="2" s="1"/>
  <c r="V101" i="2"/>
  <c r="M101" i="2"/>
  <c r="K101" i="2"/>
  <c r="J101" i="2"/>
  <c r="I101" i="2"/>
  <c r="H101" i="2"/>
  <c r="G101" i="2"/>
  <c r="F101" i="2"/>
  <c r="E101" i="2"/>
  <c r="D101" i="2"/>
  <c r="C101" i="2"/>
  <c r="B101" i="2"/>
  <c r="A101" i="2"/>
  <c r="S101" i="2" s="1"/>
  <c r="V100" i="2"/>
  <c r="M100" i="2"/>
  <c r="K100" i="2"/>
  <c r="J100" i="2"/>
  <c r="I100" i="2"/>
  <c r="H100" i="2"/>
  <c r="G100" i="2"/>
  <c r="F100" i="2"/>
  <c r="E100" i="2"/>
  <c r="D100" i="2"/>
  <c r="C100" i="2"/>
  <c r="B100" i="2"/>
  <c r="A100" i="2"/>
  <c r="S100" i="2" s="1"/>
  <c r="K99" i="2"/>
  <c r="J99" i="2"/>
  <c r="I99" i="2"/>
  <c r="H99" i="2"/>
  <c r="G99" i="2"/>
  <c r="F99" i="2"/>
  <c r="E99" i="2"/>
  <c r="D99" i="2"/>
  <c r="C99" i="2"/>
  <c r="B99" i="2"/>
  <c r="A99" i="2"/>
  <c r="S99" i="2" s="1"/>
  <c r="V98" i="2"/>
  <c r="K98" i="2"/>
  <c r="J98" i="2"/>
  <c r="I98" i="2"/>
  <c r="H98" i="2"/>
  <c r="G98" i="2"/>
  <c r="F98" i="2"/>
  <c r="E98" i="2"/>
  <c r="D98" i="2"/>
  <c r="C98" i="2"/>
  <c r="B98" i="2"/>
  <c r="A98" i="2"/>
  <c r="S98" i="2" s="1"/>
  <c r="O97" i="2"/>
  <c r="L97" i="2"/>
  <c r="K97" i="2"/>
  <c r="J97" i="2"/>
  <c r="I97" i="2"/>
  <c r="H97" i="2"/>
  <c r="G97" i="2"/>
  <c r="F97" i="2"/>
  <c r="E97" i="2"/>
  <c r="D97" i="2"/>
  <c r="C97" i="2"/>
  <c r="B97" i="2"/>
  <c r="A97" i="2"/>
  <c r="S97" i="2" s="1"/>
  <c r="K96" i="2"/>
  <c r="J96" i="2"/>
  <c r="I96" i="2"/>
  <c r="H96" i="2"/>
  <c r="G96" i="2"/>
  <c r="F96" i="2"/>
  <c r="E96" i="2"/>
  <c r="D96" i="2"/>
  <c r="C96" i="2"/>
  <c r="B96" i="2"/>
  <c r="A96" i="2"/>
  <c r="S96" i="2" s="1"/>
  <c r="Q95" i="2"/>
  <c r="O95" i="2"/>
  <c r="K95" i="2"/>
  <c r="J95" i="2"/>
  <c r="I95" i="2"/>
  <c r="H95" i="2"/>
  <c r="G95" i="2"/>
  <c r="F95" i="2"/>
  <c r="E95" i="2"/>
  <c r="D95" i="2"/>
  <c r="C95" i="2"/>
  <c r="B95" i="2"/>
  <c r="A95" i="2"/>
  <c r="R95" i="2" s="1"/>
  <c r="V94" i="2"/>
  <c r="Q94" i="2"/>
  <c r="K94" i="2"/>
  <c r="J94" i="2"/>
  <c r="I94" i="2"/>
  <c r="H94" i="2"/>
  <c r="G94" i="2"/>
  <c r="F94" i="2"/>
  <c r="E94" i="2"/>
  <c r="D94" i="2"/>
  <c r="C94" i="2"/>
  <c r="B94" i="2"/>
  <c r="A94" i="2"/>
  <c r="P94" i="2" s="1"/>
  <c r="K93" i="2"/>
  <c r="J93" i="2"/>
  <c r="I93" i="2"/>
  <c r="H93" i="2"/>
  <c r="G93" i="2"/>
  <c r="F93" i="2"/>
  <c r="E93" i="2"/>
  <c r="D93" i="2"/>
  <c r="C93" i="2"/>
  <c r="B93" i="2"/>
  <c r="A93" i="2"/>
  <c r="R93" i="2" s="1"/>
  <c r="T92" i="2"/>
  <c r="L92" i="2"/>
  <c r="K92" i="2"/>
  <c r="J92" i="2"/>
  <c r="I92" i="2"/>
  <c r="H92" i="2"/>
  <c r="G92" i="2"/>
  <c r="F92" i="2"/>
  <c r="E92" i="2"/>
  <c r="D92" i="2"/>
  <c r="C92" i="2"/>
  <c r="B92" i="2"/>
  <c r="A92" i="2"/>
  <c r="Q92" i="2" s="1"/>
  <c r="K91" i="2"/>
  <c r="J91" i="2"/>
  <c r="I91" i="2"/>
  <c r="H91" i="2"/>
  <c r="G91" i="2"/>
  <c r="F91" i="2"/>
  <c r="E91" i="2"/>
  <c r="D91" i="2"/>
  <c r="C91" i="2"/>
  <c r="B91" i="2"/>
  <c r="A91" i="2"/>
  <c r="R91" i="2" s="1"/>
  <c r="K90" i="2"/>
  <c r="J90" i="2"/>
  <c r="I90" i="2"/>
  <c r="H90" i="2"/>
  <c r="G90" i="2"/>
  <c r="F90" i="2"/>
  <c r="E90" i="2"/>
  <c r="D90" i="2"/>
  <c r="C90" i="2"/>
  <c r="B90" i="2"/>
  <c r="A90" i="2"/>
  <c r="K89" i="2"/>
  <c r="J89" i="2"/>
  <c r="I89" i="2"/>
  <c r="H89" i="2"/>
  <c r="G89" i="2"/>
  <c r="F89" i="2"/>
  <c r="E89" i="2"/>
  <c r="D89" i="2"/>
  <c r="C89" i="2"/>
  <c r="B89" i="2"/>
  <c r="A89" i="2"/>
  <c r="W89" i="2" s="1"/>
  <c r="T88" i="2"/>
  <c r="K88" i="2"/>
  <c r="J88" i="2"/>
  <c r="I88" i="2"/>
  <c r="H88" i="2"/>
  <c r="G88" i="2"/>
  <c r="F88" i="2"/>
  <c r="E88" i="2"/>
  <c r="D88" i="2"/>
  <c r="C88" i="2"/>
  <c r="B88" i="2"/>
  <c r="A88" i="2"/>
  <c r="Q88" i="2" s="1"/>
  <c r="K87" i="2"/>
  <c r="J87" i="2"/>
  <c r="I87" i="2"/>
  <c r="H87" i="2"/>
  <c r="G87" i="2"/>
  <c r="F87" i="2"/>
  <c r="E87" i="2"/>
  <c r="D87" i="2"/>
  <c r="C87" i="2"/>
  <c r="B87" i="2"/>
  <c r="A87" i="2"/>
  <c r="R87" i="2" s="1"/>
  <c r="K86" i="2"/>
  <c r="J86" i="2"/>
  <c r="I86" i="2"/>
  <c r="H86" i="2"/>
  <c r="G86" i="2"/>
  <c r="F86" i="2"/>
  <c r="E86" i="2"/>
  <c r="D86" i="2"/>
  <c r="C86" i="2"/>
  <c r="B86" i="2"/>
  <c r="A86" i="2"/>
  <c r="V85" i="2"/>
  <c r="K85" i="2"/>
  <c r="J85" i="2"/>
  <c r="I85" i="2"/>
  <c r="H85" i="2"/>
  <c r="G85" i="2"/>
  <c r="F85" i="2"/>
  <c r="E85" i="2"/>
  <c r="D85" i="2"/>
  <c r="C85" i="2"/>
  <c r="B85" i="2"/>
  <c r="A85" i="2"/>
  <c r="W85" i="2" s="1"/>
  <c r="V84" i="2"/>
  <c r="T84" i="2"/>
  <c r="S84" i="2"/>
  <c r="K84" i="2"/>
  <c r="J84" i="2"/>
  <c r="I84" i="2"/>
  <c r="H84" i="2"/>
  <c r="G84" i="2"/>
  <c r="F84" i="2"/>
  <c r="E84" i="2"/>
  <c r="D84" i="2"/>
  <c r="C84" i="2"/>
  <c r="B84" i="2"/>
  <c r="A84" i="2"/>
  <c r="Q84" i="2" s="1"/>
  <c r="S83" i="2"/>
  <c r="K83" i="2"/>
  <c r="J83" i="2"/>
  <c r="I83" i="2"/>
  <c r="H83" i="2"/>
  <c r="G83" i="2"/>
  <c r="F83" i="2"/>
  <c r="E83" i="2"/>
  <c r="D83" i="2"/>
  <c r="C83" i="2"/>
  <c r="B83" i="2"/>
  <c r="A83" i="2"/>
  <c r="R83" i="2" s="1"/>
  <c r="K82" i="2"/>
  <c r="J82" i="2"/>
  <c r="I82" i="2"/>
  <c r="H82" i="2"/>
  <c r="G82" i="2"/>
  <c r="F82" i="2"/>
  <c r="E82" i="2"/>
  <c r="D82" i="2"/>
  <c r="C82" i="2"/>
  <c r="B82" i="2"/>
  <c r="A82" i="2"/>
  <c r="O81" i="2"/>
  <c r="K81" i="2"/>
  <c r="J81" i="2"/>
  <c r="I81" i="2"/>
  <c r="H81" i="2"/>
  <c r="G81" i="2"/>
  <c r="F81" i="2"/>
  <c r="E81" i="2"/>
  <c r="D81" i="2"/>
  <c r="C81" i="2"/>
  <c r="B81" i="2"/>
  <c r="A81" i="2"/>
  <c r="W81" i="2" s="1"/>
  <c r="T80" i="2"/>
  <c r="S80" i="2"/>
  <c r="O80" i="2"/>
  <c r="K80" i="2"/>
  <c r="J80" i="2"/>
  <c r="I80" i="2"/>
  <c r="H80" i="2"/>
  <c r="G80" i="2"/>
  <c r="F80" i="2"/>
  <c r="E80" i="2"/>
  <c r="D80" i="2"/>
  <c r="C80" i="2"/>
  <c r="B80" i="2"/>
  <c r="A80" i="2"/>
  <c r="R80" i="2" s="1"/>
  <c r="S79" i="2"/>
  <c r="K79" i="2"/>
  <c r="J79" i="2"/>
  <c r="I79" i="2"/>
  <c r="H79" i="2"/>
  <c r="G79" i="2"/>
  <c r="F79" i="2"/>
  <c r="E79" i="2"/>
  <c r="D79" i="2"/>
  <c r="C79" i="2"/>
  <c r="B79" i="2"/>
  <c r="A79" i="2"/>
  <c r="R79" i="2" s="1"/>
  <c r="K78" i="2"/>
  <c r="J78" i="2"/>
  <c r="I78" i="2"/>
  <c r="H78" i="2"/>
  <c r="G78" i="2"/>
  <c r="F78" i="2"/>
  <c r="E78" i="2"/>
  <c r="D78" i="2"/>
  <c r="C78" i="2"/>
  <c r="B78" i="2"/>
  <c r="A78" i="2"/>
  <c r="Q78" i="2" s="1"/>
  <c r="V77" i="2"/>
  <c r="O77" i="2"/>
  <c r="M77" i="2"/>
  <c r="K77" i="2"/>
  <c r="J77" i="2"/>
  <c r="I77" i="2"/>
  <c r="H77" i="2"/>
  <c r="G77" i="2"/>
  <c r="F77" i="2"/>
  <c r="E77" i="2"/>
  <c r="D77" i="2"/>
  <c r="C77" i="2"/>
  <c r="B77" i="2"/>
  <c r="A77" i="2"/>
  <c r="W77" i="2" s="1"/>
  <c r="T76" i="2"/>
  <c r="S76" i="2"/>
  <c r="M76" i="2"/>
  <c r="K76" i="2"/>
  <c r="J76" i="2"/>
  <c r="I76" i="2"/>
  <c r="H76" i="2"/>
  <c r="G76" i="2"/>
  <c r="F76" i="2"/>
  <c r="E76" i="2"/>
  <c r="D76" i="2"/>
  <c r="C76" i="2"/>
  <c r="B76" i="2"/>
  <c r="A76" i="2"/>
  <c r="R76" i="2" s="1"/>
  <c r="K75" i="2"/>
  <c r="J75" i="2"/>
  <c r="I75" i="2"/>
  <c r="H75" i="2"/>
  <c r="G75" i="2"/>
  <c r="F75" i="2"/>
  <c r="E75" i="2"/>
  <c r="D75" i="2"/>
  <c r="C75" i="2"/>
  <c r="B75" i="2"/>
  <c r="A75" i="2"/>
  <c r="R75" i="2" s="1"/>
  <c r="K74" i="2"/>
  <c r="J74" i="2"/>
  <c r="I74" i="2"/>
  <c r="H74" i="2"/>
  <c r="G74" i="2"/>
  <c r="F74" i="2"/>
  <c r="E74" i="2"/>
  <c r="D74" i="2"/>
  <c r="C74" i="2"/>
  <c r="B74" i="2"/>
  <c r="A74" i="2"/>
  <c r="Q74" i="2" s="1"/>
  <c r="V73" i="2"/>
  <c r="O73" i="2"/>
  <c r="M73" i="2"/>
  <c r="K73" i="2"/>
  <c r="J73" i="2"/>
  <c r="I73" i="2"/>
  <c r="H73" i="2"/>
  <c r="G73" i="2"/>
  <c r="F73" i="2"/>
  <c r="E73" i="2"/>
  <c r="D73" i="2"/>
  <c r="C73" i="2"/>
  <c r="B73" i="2"/>
  <c r="A73" i="2"/>
  <c r="W73" i="2" s="1"/>
  <c r="T72" i="2"/>
  <c r="O72" i="2"/>
  <c r="M72" i="2"/>
  <c r="L72" i="2"/>
  <c r="K72" i="2"/>
  <c r="J72" i="2"/>
  <c r="I72" i="2"/>
  <c r="H72" i="2"/>
  <c r="G72" i="2"/>
  <c r="F72" i="2"/>
  <c r="E72" i="2"/>
  <c r="D72" i="2"/>
  <c r="C72" i="2"/>
  <c r="B72" i="2"/>
  <c r="A72" i="2"/>
  <c r="R72" i="2" s="1"/>
  <c r="K71" i="2"/>
  <c r="J71" i="2"/>
  <c r="I71" i="2"/>
  <c r="H71" i="2"/>
  <c r="G71" i="2"/>
  <c r="F71" i="2"/>
  <c r="E71" i="2"/>
  <c r="D71" i="2"/>
  <c r="C71" i="2"/>
  <c r="B71" i="2"/>
  <c r="A71" i="2"/>
  <c r="R71" i="2" s="1"/>
  <c r="Q70" i="2"/>
  <c r="K70" i="2"/>
  <c r="J70" i="2"/>
  <c r="I70" i="2"/>
  <c r="H70" i="2"/>
  <c r="G70" i="2"/>
  <c r="F70" i="2"/>
  <c r="E70" i="2"/>
  <c r="D70" i="2"/>
  <c r="C70" i="2"/>
  <c r="B70" i="2"/>
  <c r="A70" i="2"/>
  <c r="V69" i="2"/>
  <c r="O69" i="2"/>
  <c r="M69" i="2"/>
  <c r="K69" i="2"/>
  <c r="J69" i="2"/>
  <c r="I69" i="2"/>
  <c r="H69" i="2"/>
  <c r="G69" i="2"/>
  <c r="F69" i="2"/>
  <c r="E69" i="2"/>
  <c r="D69" i="2"/>
  <c r="C69" i="2"/>
  <c r="B69" i="2"/>
  <c r="A69" i="2"/>
  <c r="W69" i="2" s="1"/>
  <c r="T68" i="2"/>
  <c r="S68" i="2"/>
  <c r="O68" i="2"/>
  <c r="M68" i="2"/>
  <c r="L68" i="2"/>
  <c r="K68" i="2"/>
  <c r="J68" i="2"/>
  <c r="I68" i="2"/>
  <c r="H68" i="2"/>
  <c r="G68" i="2"/>
  <c r="F68" i="2"/>
  <c r="E68" i="2"/>
  <c r="D68" i="2"/>
  <c r="C68" i="2"/>
  <c r="B68" i="2"/>
  <c r="A68" i="2"/>
  <c r="R68" i="2" s="1"/>
  <c r="K67" i="2"/>
  <c r="J67" i="2"/>
  <c r="I67" i="2"/>
  <c r="H67" i="2"/>
  <c r="G67" i="2"/>
  <c r="F67" i="2"/>
  <c r="E67" i="2"/>
  <c r="D67" i="2"/>
  <c r="C67" i="2"/>
  <c r="B67" i="2"/>
  <c r="A67" i="2"/>
  <c r="R67" i="2" s="1"/>
  <c r="K66" i="2"/>
  <c r="J66" i="2"/>
  <c r="I66" i="2"/>
  <c r="H66" i="2"/>
  <c r="G66" i="2"/>
  <c r="F66" i="2"/>
  <c r="E66" i="2"/>
  <c r="D66" i="2"/>
  <c r="C66" i="2"/>
  <c r="B66" i="2"/>
  <c r="A66" i="2"/>
  <c r="K65" i="2"/>
  <c r="J65" i="2"/>
  <c r="I65" i="2"/>
  <c r="H65" i="2"/>
  <c r="G65" i="2"/>
  <c r="F65" i="2"/>
  <c r="E65" i="2"/>
  <c r="D65" i="2"/>
  <c r="C65" i="2"/>
  <c r="B65" i="2"/>
  <c r="A65" i="2"/>
  <c r="W65" i="2" s="1"/>
  <c r="T64" i="2"/>
  <c r="K64" i="2"/>
  <c r="J64" i="2"/>
  <c r="I64" i="2"/>
  <c r="H64" i="2"/>
  <c r="G64" i="2"/>
  <c r="F64" i="2"/>
  <c r="E64" i="2"/>
  <c r="D64" i="2"/>
  <c r="C64" i="2"/>
  <c r="B64" i="2"/>
  <c r="A64" i="2"/>
  <c r="R64" i="2" s="1"/>
  <c r="K63" i="2"/>
  <c r="J63" i="2"/>
  <c r="I63" i="2"/>
  <c r="H63" i="2"/>
  <c r="G63" i="2"/>
  <c r="F63" i="2"/>
  <c r="E63" i="2"/>
  <c r="D63" i="2"/>
  <c r="C63" i="2"/>
  <c r="B63" i="2"/>
  <c r="A63" i="2"/>
  <c r="S63" i="2" s="1"/>
  <c r="K62" i="2"/>
  <c r="J62" i="2"/>
  <c r="I62" i="2"/>
  <c r="H62" i="2"/>
  <c r="G62" i="2"/>
  <c r="F62" i="2"/>
  <c r="E62" i="2"/>
  <c r="D62" i="2"/>
  <c r="C62" i="2"/>
  <c r="B62" i="2"/>
  <c r="A62" i="2"/>
  <c r="Q62" i="2" s="1"/>
  <c r="V61" i="2"/>
  <c r="K61" i="2"/>
  <c r="J61" i="2"/>
  <c r="I61" i="2"/>
  <c r="H61" i="2"/>
  <c r="G61" i="2"/>
  <c r="F61" i="2"/>
  <c r="E61" i="2"/>
  <c r="D61" i="2"/>
  <c r="C61" i="2"/>
  <c r="B61" i="2"/>
  <c r="A61" i="2"/>
  <c r="W61" i="2" s="1"/>
  <c r="T60" i="2"/>
  <c r="S60" i="2"/>
  <c r="K60" i="2"/>
  <c r="J60" i="2"/>
  <c r="I60" i="2"/>
  <c r="H60" i="2"/>
  <c r="G60" i="2"/>
  <c r="F60" i="2"/>
  <c r="E60" i="2"/>
  <c r="D60" i="2"/>
  <c r="C60" i="2"/>
  <c r="B60" i="2"/>
  <c r="A60" i="2"/>
  <c r="R60" i="2" s="1"/>
  <c r="V59" i="2"/>
  <c r="S59" i="2"/>
  <c r="K59" i="2"/>
  <c r="J59" i="2"/>
  <c r="I59" i="2"/>
  <c r="H59" i="2"/>
  <c r="G59" i="2"/>
  <c r="F59" i="2"/>
  <c r="E59" i="2"/>
  <c r="D59" i="2"/>
  <c r="C59" i="2"/>
  <c r="B59" i="2"/>
  <c r="A59" i="2"/>
  <c r="Q59" i="2" s="1"/>
  <c r="S58" i="2"/>
  <c r="Q58" i="2"/>
  <c r="O58" i="2"/>
  <c r="K58" i="2"/>
  <c r="J58" i="2"/>
  <c r="I58" i="2"/>
  <c r="H58" i="2"/>
  <c r="G58" i="2"/>
  <c r="F58" i="2"/>
  <c r="E58" i="2"/>
  <c r="D58" i="2"/>
  <c r="C58" i="2"/>
  <c r="B58" i="2"/>
  <c r="A58" i="2"/>
  <c r="K57" i="2"/>
  <c r="J57" i="2"/>
  <c r="I57" i="2"/>
  <c r="H57" i="2"/>
  <c r="G57" i="2"/>
  <c r="F57" i="2"/>
  <c r="E57" i="2"/>
  <c r="D57" i="2"/>
  <c r="C57" i="2"/>
  <c r="B57" i="2"/>
  <c r="A57" i="2"/>
  <c r="Q57" i="2" s="1"/>
  <c r="T56" i="2"/>
  <c r="K56" i="2"/>
  <c r="J56" i="2"/>
  <c r="I56" i="2"/>
  <c r="H56" i="2"/>
  <c r="G56" i="2"/>
  <c r="F56" i="2"/>
  <c r="E56" i="2"/>
  <c r="D56" i="2"/>
  <c r="C56" i="2"/>
  <c r="B56" i="2"/>
  <c r="A56" i="2"/>
  <c r="S56" i="2" s="1"/>
  <c r="Q55" i="2"/>
  <c r="K55" i="2"/>
  <c r="J55" i="2"/>
  <c r="I55" i="2"/>
  <c r="H55" i="2"/>
  <c r="G55" i="2"/>
  <c r="F55" i="2"/>
  <c r="E55" i="2"/>
  <c r="D55" i="2"/>
  <c r="C55" i="2"/>
  <c r="B55" i="2"/>
  <c r="A55" i="2"/>
  <c r="R55" i="2" s="1"/>
  <c r="V54" i="2"/>
  <c r="Q54" i="2"/>
  <c r="P54" i="2"/>
  <c r="K54" i="2"/>
  <c r="J54" i="2"/>
  <c r="I54" i="2"/>
  <c r="H54" i="2"/>
  <c r="G54" i="2"/>
  <c r="F54" i="2"/>
  <c r="E54" i="2"/>
  <c r="D54" i="2"/>
  <c r="C54" i="2"/>
  <c r="B54" i="2"/>
  <c r="A54" i="2"/>
  <c r="O54" i="2" s="1"/>
  <c r="P53" i="2"/>
  <c r="K53" i="2"/>
  <c r="J53" i="2"/>
  <c r="I53" i="2"/>
  <c r="H53" i="2"/>
  <c r="G53" i="2"/>
  <c r="F53" i="2"/>
  <c r="E53" i="2"/>
  <c r="D53" i="2"/>
  <c r="C53" i="2"/>
  <c r="B53" i="2"/>
  <c r="A53" i="2"/>
  <c r="R53" i="2" s="1"/>
  <c r="O52" i="2"/>
  <c r="K52" i="2"/>
  <c r="J52" i="2"/>
  <c r="I52" i="2"/>
  <c r="H52" i="2"/>
  <c r="G52" i="2"/>
  <c r="F52" i="2"/>
  <c r="E52" i="2"/>
  <c r="D52" i="2"/>
  <c r="C52" i="2"/>
  <c r="B52" i="2"/>
  <c r="A52" i="2"/>
  <c r="P52" i="2" s="1"/>
  <c r="T51" i="2"/>
  <c r="K51" i="2"/>
  <c r="J51" i="2"/>
  <c r="I51" i="2"/>
  <c r="H51" i="2"/>
  <c r="G51" i="2"/>
  <c r="F51" i="2"/>
  <c r="E51" i="2"/>
  <c r="D51" i="2"/>
  <c r="C51" i="2"/>
  <c r="B51" i="2"/>
  <c r="A51" i="2"/>
  <c r="M51" i="2" s="1"/>
  <c r="K50" i="2"/>
  <c r="J50" i="2"/>
  <c r="I50" i="2"/>
  <c r="H50" i="2"/>
  <c r="G50" i="2"/>
  <c r="F50" i="2"/>
  <c r="E50" i="2"/>
  <c r="D50" i="2"/>
  <c r="C50" i="2"/>
  <c r="B50" i="2"/>
  <c r="A50" i="2"/>
  <c r="Q50" i="2" s="1"/>
  <c r="V49" i="2"/>
  <c r="O49" i="2"/>
  <c r="N49" i="2"/>
  <c r="L49" i="2"/>
  <c r="K49" i="2"/>
  <c r="J49" i="2"/>
  <c r="I49" i="2"/>
  <c r="H49" i="2"/>
  <c r="G49" i="2"/>
  <c r="F49" i="2"/>
  <c r="E49" i="2"/>
  <c r="D49" i="2"/>
  <c r="C49" i="2"/>
  <c r="B49" i="2"/>
  <c r="A49" i="2"/>
  <c r="R49" i="2" s="1"/>
  <c r="T48" i="2"/>
  <c r="K48" i="2"/>
  <c r="J48" i="2"/>
  <c r="I48" i="2"/>
  <c r="H48" i="2"/>
  <c r="G48" i="2"/>
  <c r="F48" i="2"/>
  <c r="E48" i="2"/>
  <c r="D48" i="2"/>
  <c r="C48" i="2"/>
  <c r="B48" i="2"/>
  <c r="A48" i="2"/>
  <c r="R48" i="2" s="1"/>
  <c r="K47" i="2"/>
  <c r="J47" i="2"/>
  <c r="I47" i="2"/>
  <c r="H47" i="2"/>
  <c r="G47" i="2"/>
  <c r="F47" i="2"/>
  <c r="E47" i="2"/>
  <c r="D47" i="2"/>
  <c r="C47" i="2"/>
  <c r="B47" i="2"/>
  <c r="A47" i="2"/>
  <c r="O47" i="2" s="1"/>
  <c r="V46" i="2"/>
  <c r="K46" i="2"/>
  <c r="J46" i="2"/>
  <c r="I46" i="2"/>
  <c r="H46" i="2"/>
  <c r="G46" i="2"/>
  <c r="F46" i="2"/>
  <c r="E46" i="2"/>
  <c r="D46" i="2"/>
  <c r="C46" i="2"/>
  <c r="B46" i="2"/>
  <c r="A46" i="2"/>
  <c r="P46" i="2" s="1"/>
  <c r="K45" i="2"/>
  <c r="J45" i="2"/>
  <c r="I45" i="2"/>
  <c r="H45" i="2"/>
  <c r="G45" i="2"/>
  <c r="F45" i="2"/>
  <c r="E45" i="2"/>
  <c r="D45" i="2"/>
  <c r="C45" i="2"/>
  <c r="B45" i="2"/>
  <c r="A45" i="2"/>
  <c r="S45" i="2" s="1"/>
  <c r="K44" i="2"/>
  <c r="J44" i="2"/>
  <c r="I44" i="2"/>
  <c r="H44" i="2"/>
  <c r="G44" i="2"/>
  <c r="F44" i="2"/>
  <c r="E44" i="2"/>
  <c r="D44" i="2"/>
  <c r="C44" i="2"/>
  <c r="B44" i="2"/>
  <c r="A44" i="2"/>
  <c r="Q44" i="2" s="1"/>
  <c r="V43" i="2"/>
  <c r="P43" i="2"/>
  <c r="K43" i="2"/>
  <c r="J43" i="2"/>
  <c r="I43" i="2"/>
  <c r="H43" i="2"/>
  <c r="G43" i="2"/>
  <c r="F43" i="2"/>
  <c r="E43" i="2"/>
  <c r="D43" i="2"/>
  <c r="C43" i="2"/>
  <c r="B43" i="2"/>
  <c r="A43" i="2"/>
  <c r="R43" i="2" s="1"/>
  <c r="W42" i="2"/>
  <c r="V42" i="2"/>
  <c r="S42" i="2"/>
  <c r="K42" i="2"/>
  <c r="J42" i="2"/>
  <c r="I42" i="2"/>
  <c r="H42" i="2"/>
  <c r="G42" i="2"/>
  <c r="F42" i="2"/>
  <c r="E42" i="2"/>
  <c r="D42" i="2"/>
  <c r="C42" i="2"/>
  <c r="B42" i="2"/>
  <c r="A42" i="2"/>
  <c r="P42" i="2" s="1"/>
  <c r="K41" i="2"/>
  <c r="J41" i="2"/>
  <c r="I41" i="2"/>
  <c r="H41" i="2"/>
  <c r="G41" i="2"/>
  <c r="F41" i="2"/>
  <c r="E41" i="2"/>
  <c r="D41" i="2"/>
  <c r="C41" i="2"/>
  <c r="B41" i="2"/>
  <c r="A41" i="2"/>
  <c r="Q41" i="2" s="1"/>
  <c r="K40" i="2"/>
  <c r="J40" i="2"/>
  <c r="I40" i="2"/>
  <c r="H40" i="2"/>
  <c r="G40" i="2"/>
  <c r="F40" i="2"/>
  <c r="E40" i="2"/>
  <c r="D40" i="2"/>
  <c r="C40" i="2"/>
  <c r="B40" i="2"/>
  <c r="A40" i="2"/>
  <c r="L3" i="2" a="1"/>
  <c r="L3" i="2" s="1"/>
  <c r="V2" i="2"/>
  <c r="A2" i="2"/>
  <c r="A7" i="2" a="1"/>
  <c r="A6" i="2" a="1"/>
  <c r="L64" i="2" l="1"/>
  <c r="S72" i="2"/>
  <c r="S75" i="2"/>
  <c r="V80" i="2"/>
  <c r="L88" i="2"/>
  <c r="M92" i="2"/>
  <c r="Q105" i="2"/>
  <c r="V106" i="2"/>
  <c r="V53" i="2"/>
  <c r="V60" i="2"/>
  <c r="W53" i="2"/>
  <c r="O51" i="2"/>
  <c r="V57" i="2"/>
  <c r="O62" i="2"/>
  <c r="M64" i="2"/>
  <c r="M65" i="2"/>
  <c r="S71" i="2"/>
  <c r="V76" i="2"/>
  <c r="L84" i="2"/>
  <c r="M88" i="2"/>
  <c r="O92" i="2"/>
  <c r="M93" i="2"/>
  <c r="M96" i="2"/>
  <c r="V97" i="2"/>
  <c r="M102" i="2"/>
  <c r="V103" i="2"/>
  <c r="V105" i="2"/>
  <c r="V110" i="2"/>
  <c r="O118" i="2"/>
  <c r="V119" i="2"/>
  <c r="M126" i="2"/>
  <c r="O127" i="2"/>
  <c r="S129" i="2"/>
  <c r="V131" i="2"/>
  <c r="M143" i="2"/>
  <c r="S145" i="2"/>
  <c r="V64" i="2"/>
  <c r="O44" i="2"/>
  <c r="M46" i="2"/>
  <c r="M47" i="2"/>
  <c r="L53" i="2"/>
  <c r="L56" i="2"/>
  <c r="L60" i="2"/>
  <c r="O64" i="2"/>
  <c r="O65" i="2"/>
  <c r="S67" i="2"/>
  <c r="V72" i="2"/>
  <c r="M84" i="2"/>
  <c r="O88" i="2"/>
  <c r="M89" i="2"/>
  <c r="R92" i="2"/>
  <c r="O93" i="2"/>
  <c r="O96" i="2"/>
  <c r="M99" i="2"/>
  <c r="Q102" i="2"/>
  <c r="Q109" i="2"/>
  <c r="M115" i="2"/>
  <c r="S118" i="2"/>
  <c r="O126" i="2"/>
  <c r="O143" i="2"/>
  <c r="M42" i="2"/>
  <c r="M43" i="2"/>
  <c r="N46" i="2"/>
  <c r="P47" i="2"/>
  <c r="M53" i="2"/>
  <c r="M55" i="2"/>
  <c r="M56" i="2"/>
  <c r="M59" i="2"/>
  <c r="M60" i="2"/>
  <c r="M61" i="2"/>
  <c r="S64" i="2"/>
  <c r="V65" i="2"/>
  <c r="V68" i="2"/>
  <c r="L80" i="2"/>
  <c r="O84" i="2"/>
  <c r="M85" i="2"/>
  <c r="R88" i="2"/>
  <c r="O89" i="2"/>
  <c r="S91" i="2"/>
  <c r="S92" i="2"/>
  <c r="W93" i="2"/>
  <c r="R96" i="2"/>
  <c r="V99" i="2"/>
  <c r="V102" i="2"/>
  <c r="O112" i="2"/>
  <c r="M114" i="2"/>
  <c r="O115" i="2"/>
  <c r="V118" i="2"/>
  <c r="M123" i="2"/>
  <c r="S126" i="2"/>
  <c r="M139" i="2"/>
  <c r="S141" i="2"/>
  <c r="V143" i="2"/>
  <c r="N42" i="2"/>
  <c r="O43" i="2"/>
  <c r="S46" i="2"/>
  <c r="Q47" i="2"/>
  <c r="P50" i="2"/>
  <c r="O53" i="2"/>
  <c r="N54" i="2"/>
  <c r="O55" i="2"/>
  <c r="O56" i="2"/>
  <c r="O60" i="2"/>
  <c r="O61" i="2"/>
  <c r="L76" i="2"/>
  <c r="M80" i="2"/>
  <c r="M81" i="2"/>
  <c r="R84" i="2"/>
  <c r="O85" i="2"/>
  <c r="S87" i="2"/>
  <c r="S88" i="2"/>
  <c r="V89" i="2"/>
  <c r="O114" i="2"/>
  <c r="V115" i="2"/>
  <c r="O123" i="2"/>
  <c r="V126" i="2"/>
  <c r="O139" i="2"/>
  <c r="V92" i="2"/>
  <c r="M98" i="2"/>
  <c r="M106" i="2"/>
  <c r="M111" i="2"/>
  <c r="S114" i="2"/>
  <c r="V123" i="2"/>
  <c r="S125" i="2"/>
  <c r="M135" i="2"/>
  <c r="S137" i="2"/>
  <c r="V139" i="2"/>
  <c r="W46" i="2"/>
  <c r="S53" i="2"/>
  <c r="V55" i="2"/>
  <c r="O76" i="2"/>
  <c r="V81" i="2"/>
  <c r="V88" i="2"/>
  <c r="A6" i="2"/>
  <c r="G6" i="2" s="1"/>
  <c r="A7" i="2"/>
  <c r="T40" i="2"/>
  <c r="L40" i="2"/>
  <c r="S40" i="2"/>
  <c r="P40" i="2"/>
  <c r="W40" i="2"/>
  <c r="N40" i="2"/>
  <c r="V40" i="2"/>
  <c r="M40" i="2"/>
  <c r="Q40" i="2"/>
  <c r="O40" i="2"/>
  <c r="R40" i="2"/>
  <c r="L41" i="2"/>
  <c r="W41" i="2"/>
  <c r="N41" i="2"/>
  <c r="V41" i="2"/>
  <c r="M41" i="2"/>
  <c r="R41" i="2"/>
  <c r="P41" i="2"/>
  <c r="O41" i="2"/>
  <c r="T41" i="2"/>
  <c r="S41" i="2"/>
  <c r="Q45" i="2"/>
  <c r="P48" i="2"/>
  <c r="N48" i="2"/>
  <c r="W48" i="2"/>
  <c r="M48" i="2"/>
  <c r="V48" i="2"/>
  <c r="L48" i="2"/>
  <c r="S48" i="2"/>
  <c r="Q48" i="2"/>
  <c r="O48" i="2"/>
  <c r="W45" i="2"/>
  <c r="N45" i="2"/>
  <c r="V45" i="2"/>
  <c r="M45" i="2"/>
  <c r="T45" i="2"/>
  <c r="L45" i="2"/>
  <c r="R45" i="2"/>
  <c r="P45" i="2"/>
  <c r="O45" i="2"/>
  <c r="T44" i="2"/>
  <c r="L44" i="2"/>
  <c r="S44" i="2"/>
  <c r="R44" i="2"/>
  <c r="P44" i="2"/>
  <c r="W44" i="2"/>
  <c r="N44" i="2"/>
  <c r="V44" i="2"/>
  <c r="M44" i="2"/>
  <c r="Q42" i="2"/>
  <c r="S43" i="2"/>
  <c r="Q46" i="2"/>
  <c r="T47" i="2"/>
  <c r="S49" i="2"/>
  <c r="N50" i="2"/>
  <c r="W51" i="2"/>
  <c r="N51" i="2"/>
  <c r="R51" i="2"/>
  <c r="M52" i="2"/>
  <c r="W52" i="2"/>
  <c r="W54" i="2"/>
  <c r="O57" i="2"/>
  <c r="P66" i="2"/>
  <c r="O66" i="2"/>
  <c r="W66" i="2"/>
  <c r="N66" i="2"/>
  <c r="V66" i="2"/>
  <c r="M66" i="2"/>
  <c r="T66" i="2"/>
  <c r="L66" i="2"/>
  <c r="S66" i="2"/>
  <c r="R66" i="2"/>
  <c r="R42" i="2"/>
  <c r="L43" i="2"/>
  <c r="T43" i="2"/>
  <c r="R46" i="2"/>
  <c r="L47" i="2"/>
  <c r="V47" i="2"/>
  <c r="T49" i="2"/>
  <c r="O50" i="2"/>
  <c r="S51" i="2"/>
  <c r="N52" i="2"/>
  <c r="Q53" i="2"/>
  <c r="M54" i="2"/>
  <c r="W55" i="2"/>
  <c r="N55" i="2"/>
  <c r="T55" i="2"/>
  <c r="L55" i="2"/>
  <c r="S55" i="2"/>
  <c r="R59" i="2"/>
  <c r="P59" i="2"/>
  <c r="O59" i="2"/>
  <c r="W59" i="2"/>
  <c r="N59" i="2"/>
  <c r="T59" i="2"/>
  <c r="L59" i="2"/>
  <c r="L42" i="2"/>
  <c r="T42" i="2"/>
  <c r="N43" i="2"/>
  <c r="W43" i="2"/>
  <c r="L46" i="2"/>
  <c r="T46" i="2"/>
  <c r="M49" i="2"/>
  <c r="W49" i="2"/>
  <c r="L51" i="2"/>
  <c r="V51" i="2"/>
  <c r="Q52" i="2"/>
  <c r="T53" i="2"/>
  <c r="R56" i="2"/>
  <c r="Q56" i="2"/>
  <c r="P56" i="2"/>
  <c r="W56" i="2"/>
  <c r="N56" i="2"/>
  <c r="V56" i="2"/>
  <c r="P58" i="2"/>
  <c r="W58" i="2"/>
  <c r="N58" i="2"/>
  <c r="V58" i="2"/>
  <c r="M58" i="2"/>
  <c r="T58" i="2"/>
  <c r="L58" i="2"/>
  <c r="R58" i="2"/>
  <c r="Q66" i="2"/>
  <c r="T50" i="2"/>
  <c r="L50" i="2"/>
  <c r="R50" i="2"/>
  <c r="R52" i="2"/>
  <c r="W57" i="2"/>
  <c r="N57" i="2"/>
  <c r="T57" i="2"/>
  <c r="L57" i="2"/>
  <c r="S57" i="2"/>
  <c r="R57" i="2"/>
  <c r="P57" i="2"/>
  <c r="R63" i="2"/>
  <c r="P63" i="2"/>
  <c r="O63" i="2"/>
  <c r="W63" i="2"/>
  <c r="N63" i="2"/>
  <c r="V63" i="2"/>
  <c r="M63" i="2"/>
  <c r="T63" i="2"/>
  <c r="L63" i="2"/>
  <c r="P82" i="2"/>
  <c r="O82" i="2"/>
  <c r="W82" i="2"/>
  <c r="N82" i="2"/>
  <c r="V82" i="2"/>
  <c r="M82" i="2"/>
  <c r="T82" i="2"/>
  <c r="L82" i="2"/>
  <c r="S82" i="2"/>
  <c r="R82" i="2"/>
  <c r="P86" i="2"/>
  <c r="O86" i="2"/>
  <c r="W86" i="2"/>
  <c r="N86" i="2"/>
  <c r="V86" i="2"/>
  <c r="M86" i="2"/>
  <c r="T86" i="2"/>
  <c r="L86" i="2"/>
  <c r="S86" i="2"/>
  <c r="R86" i="2"/>
  <c r="P90" i="2"/>
  <c r="O90" i="2"/>
  <c r="W90" i="2"/>
  <c r="N90" i="2"/>
  <c r="V90" i="2"/>
  <c r="M90" i="2"/>
  <c r="T90" i="2"/>
  <c r="L90" i="2"/>
  <c r="S90" i="2"/>
  <c r="R90" i="2"/>
  <c r="W108" i="2"/>
  <c r="N108" i="2"/>
  <c r="V108" i="2"/>
  <c r="M108" i="2"/>
  <c r="T108" i="2"/>
  <c r="L108" i="2"/>
  <c r="S108" i="2"/>
  <c r="R108" i="2"/>
  <c r="P108" i="2"/>
  <c r="Q108" i="2"/>
  <c r="O108" i="2"/>
  <c r="S50" i="2"/>
  <c r="S52" i="2"/>
  <c r="P78" i="2"/>
  <c r="O78" i="2"/>
  <c r="W78" i="2"/>
  <c r="N78" i="2"/>
  <c r="V78" i="2"/>
  <c r="M78" i="2"/>
  <c r="T78" i="2"/>
  <c r="L78" i="2"/>
  <c r="S78" i="2"/>
  <c r="R78" i="2"/>
  <c r="O42" i="2"/>
  <c r="Q43" i="2"/>
  <c r="O46" i="2"/>
  <c r="W47" i="2"/>
  <c r="N47" i="2"/>
  <c r="R47" i="2"/>
  <c r="P49" i="2"/>
  <c r="V50" i="2"/>
  <c r="P51" i="2"/>
  <c r="T52" i="2"/>
  <c r="N53" i="2"/>
  <c r="T54" i="2"/>
  <c r="L54" i="2"/>
  <c r="R54" i="2"/>
  <c r="S54" i="2"/>
  <c r="P55" i="2"/>
  <c r="P74" i="2"/>
  <c r="O74" i="2"/>
  <c r="W74" i="2"/>
  <c r="N74" i="2"/>
  <c r="V74" i="2"/>
  <c r="M74" i="2"/>
  <c r="T74" i="2"/>
  <c r="L74" i="2"/>
  <c r="S74" i="2"/>
  <c r="R74" i="2"/>
  <c r="S47" i="2"/>
  <c r="Q49" i="2"/>
  <c r="M50" i="2"/>
  <c r="W50" i="2"/>
  <c r="Q51" i="2"/>
  <c r="L52" i="2"/>
  <c r="V52" i="2"/>
  <c r="M57" i="2"/>
  <c r="P62" i="2"/>
  <c r="W62" i="2"/>
  <c r="N62" i="2"/>
  <c r="V62" i="2"/>
  <c r="M62" i="2"/>
  <c r="T62" i="2"/>
  <c r="L62" i="2"/>
  <c r="S62" i="2"/>
  <c r="R62" i="2"/>
  <c r="Q63" i="2"/>
  <c r="P70" i="2"/>
  <c r="O70" i="2"/>
  <c r="W70" i="2"/>
  <c r="N70" i="2"/>
  <c r="V70" i="2"/>
  <c r="M70" i="2"/>
  <c r="T70" i="2"/>
  <c r="L70" i="2"/>
  <c r="S70" i="2"/>
  <c r="R70" i="2"/>
  <c r="Q82" i="2"/>
  <c r="Q86" i="2"/>
  <c r="Q90" i="2"/>
  <c r="N60" i="2"/>
  <c r="W60" i="2"/>
  <c r="P61" i="2"/>
  <c r="N64" i="2"/>
  <c r="W64" i="2"/>
  <c r="P65" i="2"/>
  <c r="L67" i="2"/>
  <c r="T67" i="2"/>
  <c r="N68" i="2"/>
  <c r="W68" i="2"/>
  <c r="P69" i="2"/>
  <c r="L71" i="2"/>
  <c r="T71" i="2"/>
  <c r="N72" i="2"/>
  <c r="W72" i="2"/>
  <c r="P73" i="2"/>
  <c r="L75" i="2"/>
  <c r="T75" i="2"/>
  <c r="N76" i="2"/>
  <c r="W76" i="2"/>
  <c r="P77" i="2"/>
  <c r="L79" i="2"/>
  <c r="T79" i="2"/>
  <c r="N80" i="2"/>
  <c r="W80" i="2"/>
  <c r="P81" i="2"/>
  <c r="L83" i="2"/>
  <c r="T83" i="2"/>
  <c r="N84" i="2"/>
  <c r="W84" i="2"/>
  <c r="P85" i="2"/>
  <c r="L87" i="2"/>
  <c r="T87" i="2"/>
  <c r="N88" i="2"/>
  <c r="W88" i="2"/>
  <c r="P89" i="2"/>
  <c r="L91" i="2"/>
  <c r="T91" i="2"/>
  <c r="N92" i="2"/>
  <c r="W92" i="2"/>
  <c r="P93" i="2"/>
  <c r="W94" i="2"/>
  <c r="Q96" i="2"/>
  <c r="M97" i="2"/>
  <c r="O104" i="2"/>
  <c r="Q61" i="2"/>
  <c r="Q65" i="2"/>
  <c r="M67" i="2"/>
  <c r="V67" i="2"/>
  <c r="Q69" i="2"/>
  <c r="M71" i="2"/>
  <c r="V71" i="2"/>
  <c r="Q73" i="2"/>
  <c r="M75" i="2"/>
  <c r="V75" i="2"/>
  <c r="Q77" i="2"/>
  <c r="M79" i="2"/>
  <c r="V79" i="2"/>
  <c r="Q81" i="2"/>
  <c r="M83" i="2"/>
  <c r="V83" i="2"/>
  <c r="Q85" i="2"/>
  <c r="M87" i="2"/>
  <c r="V87" i="2"/>
  <c r="Q89" i="2"/>
  <c r="M91" i="2"/>
  <c r="V91" i="2"/>
  <c r="Q93" i="2"/>
  <c r="M94" i="2"/>
  <c r="T95" i="2"/>
  <c r="L95" i="2"/>
  <c r="W95" i="2"/>
  <c r="N95" i="2"/>
  <c r="S95" i="2"/>
  <c r="Q104" i="2"/>
  <c r="T107" i="2"/>
  <c r="L107" i="2"/>
  <c r="S107" i="2"/>
  <c r="R107" i="2"/>
  <c r="Q107" i="2"/>
  <c r="P107" i="2"/>
  <c r="W107" i="2"/>
  <c r="N107" i="2"/>
  <c r="W120" i="2"/>
  <c r="N120" i="2"/>
  <c r="V120" i="2"/>
  <c r="M120" i="2"/>
  <c r="T120" i="2"/>
  <c r="L120" i="2"/>
  <c r="S120" i="2"/>
  <c r="R120" i="2"/>
  <c r="P120" i="2"/>
  <c r="O120" i="2"/>
  <c r="P60" i="2"/>
  <c r="R61" i="2"/>
  <c r="P64" i="2"/>
  <c r="R65" i="2"/>
  <c r="N67" i="2"/>
  <c r="W67" i="2"/>
  <c r="P68" i="2"/>
  <c r="R69" i="2"/>
  <c r="N71" i="2"/>
  <c r="W71" i="2"/>
  <c r="P72" i="2"/>
  <c r="R73" i="2"/>
  <c r="N75" i="2"/>
  <c r="W75" i="2"/>
  <c r="P76" i="2"/>
  <c r="R77" i="2"/>
  <c r="N79" i="2"/>
  <c r="W79" i="2"/>
  <c r="P80" i="2"/>
  <c r="R81" i="2"/>
  <c r="N83" i="2"/>
  <c r="W83" i="2"/>
  <c r="P84" i="2"/>
  <c r="R85" i="2"/>
  <c r="N87" i="2"/>
  <c r="W87" i="2"/>
  <c r="P88" i="2"/>
  <c r="R89" i="2"/>
  <c r="N91" i="2"/>
  <c r="W91" i="2"/>
  <c r="P92" i="2"/>
  <c r="S93" i="2"/>
  <c r="N94" i="2"/>
  <c r="V95" i="2"/>
  <c r="Q97" i="2"/>
  <c r="O98" i="2"/>
  <c r="O99" i="2"/>
  <c r="O100" i="2"/>
  <c r="O101" i="2"/>
  <c r="O102" i="2"/>
  <c r="Q60" i="2"/>
  <c r="S61" i="2"/>
  <c r="Q64" i="2"/>
  <c r="S65" i="2"/>
  <c r="O67" i="2"/>
  <c r="Q68" i="2"/>
  <c r="S69" i="2"/>
  <c r="O71" i="2"/>
  <c r="Q72" i="2"/>
  <c r="S73" i="2"/>
  <c r="O75" i="2"/>
  <c r="Q76" i="2"/>
  <c r="S77" i="2"/>
  <c r="O79" i="2"/>
  <c r="Q80" i="2"/>
  <c r="S81" i="2"/>
  <c r="O83" i="2"/>
  <c r="S85" i="2"/>
  <c r="O87" i="2"/>
  <c r="S89" i="2"/>
  <c r="O91" i="2"/>
  <c r="T93" i="2"/>
  <c r="O94" i="2"/>
  <c r="W96" i="2"/>
  <c r="N96" i="2"/>
  <c r="T96" i="2"/>
  <c r="L96" i="2"/>
  <c r="P96" i="2"/>
  <c r="V96" i="2"/>
  <c r="Q98" i="2"/>
  <c r="Q99" i="2"/>
  <c r="Q100" i="2"/>
  <c r="Q101" i="2"/>
  <c r="P105" i="2"/>
  <c r="O105" i="2"/>
  <c r="W105" i="2"/>
  <c r="N105" i="2"/>
  <c r="T105" i="2"/>
  <c r="L105" i="2"/>
  <c r="R105" i="2"/>
  <c r="W128" i="2"/>
  <c r="N128" i="2"/>
  <c r="A130" i="2"/>
  <c r="V128" i="2"/>
  <c r="M128" i="2"/>
  <c r="T128" i="2"/>
  <c r="L128" i="2"/>
  <c r="S128" i="2"/>
  <c r="R128" i="2"/>
  <c r="P128" i="2"/>
  <c r="O128" i="2"/>
  <c r="L61" i="2"/>
  <c r="T61" i="2"/>
  <c r="L65" i="2"/>
  <c r="T65" i="2"/>
  <c r="P67" i="2"/>
  <c r="L69" i="2"/>
  <c r="T69" i="2"/>
  <c r="P71" i="2"/>
  <c r="L73" i="2"/>
  <c r="T73" i="2"/>
  <c r="P75" i="2"/>
  <c r="L77" i="2"/>
  <c r="T77" i="2"/>
  <c r="P79" i="2"/>
  <c r="L81" i="2"/>
  <c r="T81" i="2"/>
  <c r="P83" i="2"/>
  <c r="L85" i="2"/>
  <c r="T85" i="2"/>
  <c r="P87" i="2"/>
  <c r="L89" i="2"/>
  <c r="T89" i="2"/>
  <c r="P91" i="2"/>
  <c r="L93" i="2"/>
  <c r="V93" i="2"/>
  <c r="M95" i="2"/>
  <c r="P97" i="2"/>
  <c r="W97" i="2"/>
  <c r="N97" i="2"/>
  <c r="R97" i="2"/>
  <c r="T97" i="2"/>
  <c r="M107" i="2"/>
  <c r="P109" i="2"/>
  <c r="O109" i="2"/>
  <c r="W109" i="2"/>
  <c r="N109" i="2"/>
  <c r="V109" i="2"/>
  <c r="M109" i="2"/>
  <c r="T109" i="2"/>
  <c r="L109" i="2"/>
  <c r="R109" i="2"/>
  <c r="W116" i="2"/>
  <c r="N116" i="2"/>
  <c r="V116" i="2"/>
  <c r="M116" i="2"/>
  <c r="T116" i="2"/>
  <c r="L116" i="2"/>
  <c r="S116" i="2"/>
  <c r="R116" i="2"/>
  <c r="P116" i="2"/>
  <c r="O116" i="2"/>
  <c r="Q120" i="2"/>
  <c r="Q67" i="2"/>
  <c r="Q71" i="2"/>
  <c r="Q75" i="2"/>
  <c r="Q79" i="2"/>
  <c r="Q83" i="2"/>
  <c r="Q87" i="2"/>
  <c r="Q91" i="2"/>
  <c r="W104" i="2"/>
  <c r="N104" i="2"/>
  <c r="V104" i="2"/>
  <c r="M104" i="2"/>
  <c r="T104" i="2"/>
  <c r="L104" i="2"/>
  <c r="R104" i="2"/>
  <c r="P104" i="2"/>
  <c r="O107" i="2"/>
  <c r="N61" i="2"/>
  <c r="N65" i="2"/>
  <c r="N69" i="2"/>
  <c r="N73" i="2"/>
  <c r="N77" i="2"/>
  <c r="N81" i="2"/>
  <c r="N85" i="2"/>
  <c r="N89" i="2"/>
  <c r="N93" i="2"/>
  <c r="R94" i="2"/>
  <c r="T94" i="2"/>
  <c r="L94" i="2"/>
  <c r="S94" i="2"/>
  <c r="P95" i="2"/>
  <c r="R98" i="2"/>
  <c r="P98" i="2"/>
  <c r="W98" i="2"/>
  <c r="N98" i="2"/>
  <c r="T98" i="2"/>
  <c r="L98" i="2"/>
  <c r="T99" i="2"/>
  <c r="L99" i="2"/>
  <c r="R99" i="2"/>
  <c r="P99" i="2"/>
  <c r="W99" i="2"/>
  <c r="N99" i="2"/>
  <c r="W100" i="2"/>
  <c r="N100" i="2"/>
  <c r="T100" i="2"/>
  <c r="L100" i="2"/>
  <c r="R100" i="2"/>
  <c r="P100" i="2"/>
  <c r="P101" i="2"/>
  <c r="W101" i="2"/>
  <c r="N101" i="2"/>
  <c r="T101" i="2"/>
  <c r="L101" i="2"/>
  <c r="R101" i="2"/>
  <c r="R102" i="2"/>
  <c r="P102" i="2"/>
  <c r="W102" i="2"/>
  <c r="N102" i="2"/>
  <c r="T102" i="2"/>
  <c r="L102" i="2"/>
  <c r="T103" i="2"/>
  <c r="L103" i="2"/>
  <c r="S103" i="2"/>
  <c r="R103" i="2"/>
  <c r="P103" i="2"/>
  <c r="W103" i="2"/>
  <c r="N103" i="2"/>
  <c r="M105" i="2"/>
  <c r="V107" i="2"/>
  <c r="W112" i="2"/>
  <c r="N112" i="2"/>
  <c r="V112" i="2"/>
  <c r="M112" i="2"/>
  <c r="T112" i="2"/>
  <c r="L112" i="2"/>
  <c r="S112" i="2"/>
  <c r="R112" i="2"/>
  <c r="P112" i="2"/>
  <c r="W124" i="2"/>
  <c r="N124" i="2"/>
  <c r="V124" i="2"/>
  <c r="M124" i="2"/>
  <c r="T124" i="2"/>
  <c r="L124" i="2"/>
  <c r="S124" i="2"/>
  <c r="R124" i="2"/>
  <c r="P124" i="2"/>
  <c r="O124" i="2"/>
  <c r="Q128" i="2"/>
  <c r="Q113" i="2"/>
  <c r="Q117" i="2"/>
  <c r="Q121" i="2"/>
  <c r="Q125" i="2"/>
  <c r="Q129" i="2"/>
  <c r="Q133" i="2"/>
  <c r="Q137" i="2"/>
  <c r="Q141" i="2"/>
  <c r="Q145" i="2"/>
  <c r="L106" i="2"/>
  <c r="T106" i="2"/>
  <c r="L110" i="2"/>
  <c r="T110" i="2"/>
  <c r="N111" i="2"/>
  <c r="W111" i="2"/>
  <c r="R113" i="2"/>
  <c r="L114" i="2"/>
  <c r="T114" i="2"/>
  <c r="N115" i="2"/>
  <c r="W115" i="2"/>
  <c r="R117" i="2"/>
  <c r="L118" i="2"/>
  <c r="T118" i="2"/>
  <c r="N119" i="2"/>
  <c r="W119" i="2"/>
  <c r="R121" i="2"/>
  <c r="L122" i="2"/>
  <c r="T122" i="2"/>
  <c r="N123" i="2"/>
  <c r="W123" i="2"/>
  <c r="R125" i="2"/>
  <c r="L126" i="2"/>
  <c r="T126" i="2"/>
  <c r="N127" i="2"/>
  <c r="W127" i="2"/>
  <c r="R129" i="2"/>
  <c r="N131" i="2"/>
  <c r="W131" i="2"/>
  <c r="R133" i="2"/>
  <c r="N135" i="2"/>
  <c r="W135" i="2"/>
  <c r="R137" i="2"/>
  <c r="N139" i="2"/>
  <c r="W139" i="2"/>
  <c r="R141" i="2"/>
  <c r="N143" i="2"/>
  <c r="W143" i="2"/>
  <c r="R145" i="2"/>
  <c r="N106" i="2"/>
  <c r="W106" i="2"/>
  <c r="N110" i="2"/>
  <c r="W110" i="2"/>
  <c r="P111" i="2"/>
  <c r="L113" i="2"/>
  <c r="T113" i="2"/>
  <c r="N114" i="2"/>
  <c r="W114" i="2"/>
  <c r="P115" i="2"/>
  <c r="L117" i="2"/>
  <c r="T117" i="2"/>
  <c r="N118" i="2"/>
  <c r="W118" i="2"/>
  <c r="P119" i="2"/>
  <c r="L121" i="2"/>
  <c r="T121" i="2"/>
  <c r="N122" i="2"/>
  <c r="W122" i="2"/>
  <c r="P123" i="2"/>
  <c r="L125" i="2"/>
  <c r="T125" i="2"/>
  <c r="N126" i="2"/>
  <c r="W126" i="2"/>
  <c r="P127" i="2"/>
  <c r="L129" i="2"/>
  <c r="T129" i="2"/>
  <c r="P131" i="2"/>
  <c r="L133" i="2"/>
  <c r="T133" i="2"/>
  <c r="P135" i="2"/>
  <c r="L137" i="2"/>
  <c r="T137" i="2"/>
  <c r="P139" i="2"/>
  <c r="L141" i="2"/>
  <c r="T141" i="2"/>
  <c r="P143" i="2"/>
  <c r="L145" i="2"/>
  <c r="T145" i="2"/>
  <c r="Q111" i="2"/>
  <c r="M113" i="2"/>
  <c r="V113" i="2"/>
  <c r="Q115" i="2"/>
  <c r="M117" i="2"/>
  <c r="V117" i="2"/>
  <c r="Q119" i="2"/>
  <c r="M121" i="2"/>
  <c r="V121" i="2"/>
  <c r="Q123" i="2"/>
  <c r="M125" i="2"/>
  <c r="V125" i="2"/>
  <c r="Q127" i="2"/>
  <c r="M129" i="2"/>
  <c r="V129" i="2"/>
  <c r="Q131" i="2"/>
  <c r="M133" i="2"/>
  <c r="V133" i="2"/>
  <c r="Q135" i="2"/>
  <c r="M137" i="2"/>
  <c r="V137" i="2"/>
  <c r="Q139" i="2"/>
  <c r="M141" i="2"/>
  <c r="V141" i="2"/>
  <c r="Q143" i="2"/>
  <c r="M145" i="2"/>
  <c r="V145" i="2"/>
  <c r="P106" i="2"/>
  <c r="P110" i="2"/>
  <c r="R111" i="2"/>
  <c r="N113" i="2"/>
  <c r="W113" i="2"/>
  <c r="P114" i="2"/>
  <c r="R115" i="2"/>
  <c r="N117" i="2"/>
  <c r="W117" i="2"/>
  <c r="P118" i="2"/>
  <c r="R119" i="2"/>
  <c r="N121" i="2"/>
  <c r="W121" i="2"/>
  <c r="P122" i="2"/>
  <c r="R123" i="2"/>
  <c r="N125" i="2"/>
  <c r="W125" i="2"/>
  <c r="P126" i="2"/>
  <c r="R127" i="2"/>
  <c r="N129" i="2"/>
  <c r="W129" i="2"/>
  <c r="R131" i="2"/>
  <c r="N133" i="2"/>
  <c r="W133" i="2"/>
  <c r="R135" i="2"/>
  <c r="N137" i="2"/>
  <c r="W137" i="2"/>
  <c r="R139" i="2"/>
  <c r="N141" i="2"/>
  <c r="W141" i="2"/>
  <c r="R143" i="2"/>
  <c r="N145" i="2"/>
  <c r="W145" i="2"/>
  <c r="Q106" i="2"/>
  <c r="Q110" i="2"/>
  <c r="S111" i="2"/>
  <c r="O113" i="2"/>
  <c r="Q114" i="2"/>
  <c r="S115" i="2"/>
  <c r="O117" i="2"/>
  <c r="Q118" i="2"/>
  <c r="S119" i="2"/>
  <c r="O121" i="2"/>
  <c r="Q122" i="2"/>
  <c r="S123" i="2"/>
  <c r="O125" i="2"/>
  <c r="Q126" i="2"/>
  <c r="S127" i="2"/>
  <c r="O129" i="2"/>
  <c r="S131" i="2"/>
  <c r="O133" i="2"/>
  <c r="S135" i="2"/>
  <c r="O137" i="2"/>
  <c r="S139" i="2"/>
  <c r="O141" i="2"/>
  <c r="S143" i="2"/>
  <c r="O145" i="2"/>
  <c r="L111" i="2"/>
  <c r="L115" i="2"/>
  <c r="L119" i="2"/>
  <c r="L123" i="2"/>
  <c r="L127" i="2"/>
  <c r="L131" i="2"/>
  <c r="L135" i="2"/>
  <c r="L139" i="2"/>
  <c r="L143" i="2"/>
  <c r="M5" i="2"/>
  <c r="M4" i="2" s="1"/>
  <c r="R130" i="2" l="1"/>
  <c r="Q130" i="2"/>
  <c r="P130" i="2"/>
  <c r="O130" i="2"/>
  <c r="W130" i="2"/>
  <c r="N130" i="2"/>
  <c r="T130" i="2"/>
  <c r="L130" i="2"/>
  <c r="S130" i="2"/>
  <c r="V130" i="2"/>
  <c r="A132" i="2"/>
  <c r="M130" i="2"/>
  <c r="A9" i="2" a="1"/>
  <c r="A9" i="2" s="1"/>
  <c r="G9" i="2" s="1"/>
  <c r="W7" i="2"/>
  <c r="O7" i="2"/>
  <c r="G7" i="2"/>
  <c r="M7" i="2"/>
  <c r="E7" i="2"/>
  <c r="V7" i="2"/>
  <c r="K7" i="2"/>
  <c r="L7" i="2"/>
  <c r="B7" i="2"/>
  <c r="S7" i="2"/>
  <c r="F7" i="2"/>
  <c r="J7" i="2"/>
  <c r="U7" i="2" s="1"/>
  <c r="T7" i="2"/>
  <c r="C7" i="2"/>
  <c r="R7" i="2"/>
  <c r="P7" i="2"/>
  <c r="Q7" i="2"/>
  <c r="N7" i="2"/>
  <c r="I7" i="2"/>
  <c r="H7" i="2"/>
  <c r="D7" i="2"/>
  <c r="W6" i="2"/>
  <c r="O6" i="2"/>
  <c r="M6" i="2"/>
  <c r="E6" i="2"/>
  <c r="N6" i="2"/>
  <c r="C6" i="2"/>
  <c r="A8" i="2" a="1"/>
  <c r="A8" i="2" s="1"/>
  <c r="G8" i="2" s="1"/>
  <c r="P6" i="2"/>
  <c r="D6" i="2"/>
  <c r="Q6" i="2"/>
  <c r="T6" i="2"/>
  <c r="H6" i="2"/>
  <c r="I6" i="2"/>
  <c r="F6" i="2"/>
  <c r="S6" i="2"/>
  <c r="V6" i="2"/>
  <c r="B6" i="2"/>
  <c r="R6" i="2"/>
  <c r="L6" i="2"/>
  <c r="K6" i="2"/>
  <c r="J6" i="2"/>
  <c r="U6" i="2" s="1"/>
  <c r="M3" i="2" a="1"/>
  <c r="M9" i="2" l="1"/>
  <c r="I9" i="2"/>
  <c r="M8" i="2"/>
  <c r="I8" i="2"/>
  <c r="M3" i="2"/>
  <c r="N5" i="2" s="1"/>
  <c r="P9" i="2"/>
  <c r="H9" i="2"/>
  <c r="A11" i="2" a="1"/>
  <c r="A11" i="2" s="1"/>
  <c r="G11" i="2" s="1"/>
  <c r="W9" i="2"/>
  <c r="N9" i="2"/>
  <c r="F9" i="2"/>
  <c r="R9" i="2"/>
  <c r="S9" i="2"/>
  <c r="O9" i="2"/>
  <c r="B9" i="2"/>
  <c r="V9" i="2"/>
  <c r="E9" i="2"/>
  <c r="L9" i="2"/>
  <c r="K9" i="2"/>
  <c r="J9" i="2"/>
  <c r="C9" i="2"/>
  <c r="T9" i="2"/>
  <c r="Q9" i="2"/>
  <c r="D9" i="2"/>
  <c r="W132" i="2"/>
  <c r="N132" i="2"/>
  <c r="A134" i="2"/>
  <c r="V132" i="2"/>
  <c r="M132" i="2"/>
  <c r="T132" i="2"/>
  <c r="L132" i="2"/>
  <c r="S132" i="2"/>
  <c r="R132" i="2"/>
  <c r="P132" i="2"/>
  <c r="O132" i="2"/>
  <c r="Q132" i="2"/>
  <c r="O8" i="2"/>
  <c r="V8" i="2"/>
  <c r="E8" i="2"/>
  <c r="S8" i="2"/>
  <c r="T8" i="2"/>
  <c r="J8" i="2"/>
  <c r="K8" i="2"/>
  <c r="P8" i="2"/>
  <c r="B8" i="2"/>
  <c r="Q8" i="2"/>
  <c r="N8" i="2"/>
  <c r="H8" i="2"/>
  <c r="L8" i="2"/>
  <c r="A10" i="2" a="1"/>
  <c r="A10" i="2" s="1"/>
  <c r="G10" i="2" s="1"/>
  <c r="F8" i="2"/>
  <c r="D8" i="2"/>
  <c r="W8" i="2"/>
  <c r="C8" i="2"/>
  <c r="R8" i="2"/>
  <c r="M11" i="2" l="1"/>
  <c r="J11" i="2"/>
  <c r="M10" i="2"/>
  <c r="J10" i="2"/>
  <c r="R134" i="2"/>
  <c r="Q134" i="2"/>
  <c r="P134" i="2"/>
  <c r="O134" i="2"/>
  <c r="W134" i="2"/>
  <c r="N134" i="2"/>
  <c r="T134" i="2"/>
  <c r="L134" i="2"/>
  <c r="S134" i="2"/>
  <c r="V134" i="2"/>
  <c r="M134" i="2"/>
  <c r="A136" i="2"/>
  <c r="Q10" i="2"/>
  <c r="I10" i="2"/>
  <c r="O10" i="2"/>
  <c r="P10" i="2"/>
  <c r="E10" i="2"/>
  <c r="R10" i="2"/>
  <c r="F10" i="2"/>
  <c r="V10" i="2"/>
  <c r="H10" i="2"/>
  <c r="L10" i="2"/>
  <c r="B10" i="2"/>
  <c r="W10" i="2"/>
  <c r="C10" i="2"/>
  <c r="S10" i="2"/>
  <c r="N10" i="2"/>
  <c r="T10" i="2"/>
  <c r="A12" i="2" a="1"/>
  <c r="A12" i="2" s="1"/>
  <c r="L12" i="2" s="1"/>
  <c r="K10" i="2"/>
  <c r="D10" i="2"/>
  <c r="R11" i="2"/>
  <c r="B11" i="2"/>
  <c r="P11" i="2"/>
  <c r="H11" i="2"/>
  <c r="A13" i="2" a="1"/>
  <c r="A13" i="2" s="1"/>
  <c r="L13" i="2" s="1"/>
  <c r="N11" i="2"/>
  <c r="D11" i="2"/>
  <c r="O11" i="2"/>
  <c r="E11" i="2"/>
  <c r="L11" i="2"/>
  <c r="S11" i="2"/>
  <c r="C11" i="2"/>
  <c r="W11" i="2"/>
  <c r="F11" i="2"/>
  <c r="V11" i="2"/>
  <c r="Q11" i="2"/>
  <c r="T11" i="2"/>
  <c r="K11" i="2"/>
  <c r="I11" i="2"/>
  <c r="N4" i="2"/>
  <c r="T13" i="2" l="1"/>
  <c r="D13" i="2"/>
  <c r="R13" i="2"/>
  <c r="J13" i="2"/>
  <c r="B13" i="2"/>
  <c r="W13" i="2"/>
  <c r="K13" i="2"/>
  <c r="M13" i="2"/>
  <c r="H13" i="2"/>
  <c r="O13" i="2"/>
  <c r="P13" i="2"/>
  <c r="N13" i="2"/>
  <c r="G13" i="2"/>
  <c r="I13" i="2"/>
  <c r="F13" i="2"/>
  <c r="A15" i="2" a="1"/>
  <c r="A15" i="2" s="1"/>
  <c r="L15" i="2" s="1"/>
  <c r="V13" i="2"/>
  <c r="E13" i="2"/>
  <c r="S13" i="2"/>
  <c r="C13" i="2"/>
  <c r="Q13" i="2"/>
  <c r="S12" i="2"/>
  <c r="K12" i="2"/>
  <c r="C12" i="2"/>
  <c r="Q12" i="2"/>
  <c r="I12" i="2"/>
  <c r="M12" i="2"/>
  <c r="B12" i="2"/>
  <c r="A14" i="2" a="1"/>
  <c r="A14" i="2" s="1"/>
  <c r="L14" i="2" s="1"/>
  <c r="N12" i="2"/>
  <c r="D12" i="2"/>
  <c r="R12" i="2"/>
  <c r="E12" i="2"/>
  <c r="W12" i="2"/>
  <c r="H12" i="2"/>
  <c r="T12" i="2"/>
  <c r="P12" i="2"/>
  <c r="O12" i="2"/>
  <c r="J12" i="2"/>
  <c r="G12" i="2"/>
  <c r="F12" i="2"/>
  <c r="V12" i="2"/>
  <c r="W136" i="2"/>
  <c r="N136" i="2"/>
  <c r="A138" i="2"/>
  <c r="V136" i="2"/>
  <c r="M136" i="2"/>
  <c r="T136" i="2"/>
  <c r="L136" i="2"/>
  <c r="S136" i="2"/>
  <c r="R136" i="2"/>
  <c r="P136" i="2"/>
  <c r="O136" i="2"/>
  <c r="Q136" i="2"/>
  <c r="N3" i="2" a="1"/>
  <c r="N3" i="2" l="1"/>
  <c r="V14" i="2"/>
  <c r="M14" i="2"/>
  <c r="E14" i="2"/>
  <c r="S14" i="2"/>
  <c r="K14" i="2"/>
  <c r="C14" i="2"/>
  <c r="T14" i="2"/>
  <c r="I14" i="2"/>
  <c r="W14" i="2"/>
  <c r="J14" i="2"/>
  <c r="O14" i="2"/>
  <c r="N14" i="2"/>
  <c r="R14" i="2"/>
  <c r="F14" i="2"/>
  <c r="H14" i="2"/>
  <c r="G14" i="2"/>
  <c r="B14" i="2"/>
  <c r="A16" i="2" a="1"/>
  <c r="A16" i="2" s="1"/>
  <c r="Q14" i="2"/>
  <c r="P14" i="2"/>
  <c r="D14" i="2"/>
  <c r="R138" i="2"/>
  <c r="Q138" i="2"/>
  <c r="P138" i="2"/>
  <c r="O138" i="2"/>
  <c r="W138" i="2"/>
  <c r="N138" i="2"/>
  <c r="T138" i="2"/>
  <c r="L138" i="2"/>
  <c r="S138" i="2"/>
  <c r="V138" i="2"/>
  <c r="A140" i="2"/>
  <c r="M138" i="2"/>
  <c r="A17" i="2" a="1"/>
  <c r="A17" i="2" s="1"/>
  <c r="W15" i="2"/>
  <c r="N15" i="2"/>
  <c r="F15" i="2"/>
  <c r="T15" i="2"/>
  <c r="D15" i="2"/>
  <c r="R15" i="2"/>
  <c r="H15" i="2"/>
  <c r="S15" i="2"/>
  <c r="I15" i="2"/>
  <c r="V15" i="2"/>
  <c r="E15" i="2"/>
  <c r="Q15" i="2"/>
  <c r="C15" i="2"/>
  <c r="K15" i="2"/>
  <c r="M15" i="2"/>
  <c r="J15" i="2"/>
  <c r="B15" i="2"/>
  <c r="G15" i="2"/>
  <c r="P15" i="2"/>
  <c r="O15" i="2"/>
  <c r="P17" i="2" l="1"/>
  <c r="H17" i="2"/>
  <c r="A19" i="2" a="1"/>
  <c r="A19" i="2" s="1"/>
  <c r="W17" i="2"/>
  <c r="N17" i="2"/>
  <c r="F17" i="2"/>
  <c r="O17" i="2"/>
  <c r="D17" i="2"/>
  <c r="Q17" i="2"/>
  <c r="E17" i="2"/>
  <c r="R17" i="2"/>
  <c r="B17" i="2"/>
  <c r="M17" i="2"/>
  <c r="V17" i="2"/>
  <c r="I17" i="2"/>
  <c r="K17" i="2"/>
  <c r="J17" i="2"/>
  <c r="C17" i="2"/>
  <c r="G17" i="2"/>
  <c r="T17" i="2"/>
  <c r="S17" i="2"/>
  <c r="L17" i="2"/>
  <c r="O16" i="2"/>
  <c r="G16" i="2"/>
  <c r="V16" i="2"/>
  <c r="M16" i="2"/>
  <c r="E16" i="2"/>
  <c r="Q16" i="2"/>
  <c r="F16" i="2"/>
  <c r="R16" i="2"/>
  <c r="H16" i="2"/>
  <c r="K16" i="2"/>
  <c r="J16" i="2"/>
  <c r="P16" i="2"/>
  <c r="B16" i="2"/>
  <c r="L16" i="2"/>
  <c r="I16" i="2"/>
  <c r="D16" i="2"/>
  <c r="A18" i="2" a="1"/>
  <c r="A18" i="2" s="1"/>
  <c r="W16" i="2"/>
  <c r="T16" i="2"/>
  <c r="C16" i="2"/>
  <c r="S16" i="2"/>
  <c r="N16" i="2"/>
  <c r="W140" i="2"/>
  <c r="N140" i="2"/>
  <c r="A142" i="2"/>
  <c r="V140" i="2"/>
  <c r="M140" i="2"/>
  <c r="T140" i="2"/>
  <c r="L140" i="2"/>
  <c r="S140" i="2"/>
  <c r="R140" i="2"/>
  <c r="P140" i="2"/>
  <c r="O140" i="2"/>
  <c r="Q140" i="2"/>
  <c r="O5" i="2"/>
  <c r="O4" i="2" s="1"/>
  <c r="R142" i="2" l="1"/>
  <c r="Q142" i="2"/>
  <c r="P142" i="2"/>
  <c r="O142" i="2"/>
  <c r="W142" i="2"/>
  <c r="N142" i="2"/>
  <c r="T142" i="2"/>
  <c r="L142" i="2"/>
  <c r="S142" i="2"/>
  <c r="V142" i="2"/>
  <c r="A144" i="2"/>
  <c r="M142" i="2"/>
  <c r="Q18" i="2"/>
  <c r="I18" i="2"/>
  <c r="O18" i="2"/>
  <c r="G18" i="2"/>
  <c r="M18" i="2"/>
  <c r="C18" i="2"/>
  <c r="A20" i="2" a="1"/>
  <c r="A20" i="2" s="1"/>
  <c r="N18" i="2"/>
  <c r="D18" i="2"/>
  <c r="V18" i="2"/>
  <c r="H18" i="2"/>
  <c r="T18" i="2"/>
  <c r="F18" i="2"/>
  <c r="L18" i="2"/>
  <c r="K18" i="2"/>
  <c r="J18" i="2"/>
  <c r="B18" i="2"/>
  <c r="E18" i="2"/>
  <c r="W18" i="2"/>
  <c r="S18" i="2"/>
  <c r="R18" i="2"/>
  <c r="P18" i="2"/>
  <c r="R19" i="2"/>
  <c r="J19" i="2"/>
  <c r="B19" i="2"/>
  <c r="P19" i="2"/>
  <c r="H19" i="2"/>
  <c r="W19" i="2"/>
  <c r="L19" i="2"/>
  <c r="M19" i="2"/>
  <c r="C19" i="2"/>
  <c r="N19" i="2"/>
  <c r="K19" i="2"/>
  <c r="S19" i="2"/>
  <c r="E19" i="2"/>
  <c r="I19" i="2"/>
  <c r="G19" i="2"/>
  <c r="F19" i="2"/>
  <c r="A21" i="2" a="1"/>
  <c r="A21" i="2" s="1"/>
  <c r="V19" i="2"/>
  <c r="T19" i="2"/>
  <c r="D19" i="2"/>
  <c r="Q19" i="2"/>
  <c r="O19" i="2"/>
  <c r="O3" i="2" a="1"/>
  <c r="O3" i="2" l="1"/>
  <c r="S20" i="2"/>
  <c r="K20" i="2"/>
  <c r="C20" i="2"/>
  <c r="Q20" i="2"/>
  <c r="I20" i="2"/>
  <c r="V20" i="2"/>
  <c r="J20" i="2"/>
  <c r="W20" i="2"/>
  <c r="L20" i="2"/>
  <c r="R20" i="2"/>
  <c r="E20" i="2"/>
  <c r="A22" i="2" a="1"/>
  <c r="A22" i="2" s="1"/>
  <c r="P20" i="2"/>
  <c r="D20" i="2"/>
  <c r="H20" i="2"/>
  <c r="M20" i="2"/>
  <c r="G20" i="2"/>
  <c r="B20" i="2"/>
  <c r="F20" i="2"/>
  <c r="T20" i="2"/>
  <c r="O20" i="2"/>
  <c r="N20" i="2"/>
  <c r="T21" i="2"/>
  <c r="L21" i="2"/>
  <c r="D21" i="2"/>
  <c r="R21" i="2"/>
  <c r="J21" i="2"/>
  <c r="B21" i="2"/>
  <c r="S21" i="2"/>
  <c r="H21" i="2"/>
  <c r="V21" i="2"/>
  <c r="I21" i="2"/>
  <c r="K21" i="2"/>
  <c r="G21" i="2"/>
  <c r="O21" i="2"/>
  <c r="M21" i="2"/>
  <c r="F21" i="2"/>
  <c r="E21" i="2"/>
  <c r="A23" i="2" a="1"/>
  <c r="A23" i="2" s="1"/>
  <c r="W21" i="2"/>
  <c r="Q21" i="2"/>
  <c r="C21" i="2"/>
  <c r="P21" i="2"/>
  <c r="N21" i="2"/>
  <c r="W144" i="2"/>
  <c r="N144" i="2"/>
  <c r="V144" i="2"/>
  <c r="M144" i="2"/>
  <c r="T144" i="2"/>
  <c r="L144" i="2"/>
  <c r="S144" i="2"/>
  <c r="R144" i="2"/>
  <c r="P144" i="2"/>
  <c r="O144" i="2"/>
  <c r="Q144" i="2"/>
  <c r="V22" i="2" l="1"/>
  <c r="M22" i="2"/>
  <c r="E22" i="2"/>
  <c r="S22" i="2"/>
  <c r="K22" i="2"/>
  <c r="C22" i="2"/>
  <c r="Q22" i="2"/>
  <c r="G22" i="2"/>
  <c r="R22" i="2"/>
  <c r="H22" i="2"/>
  <c r="O22" i="2"/>
  <c r="N22" i="2"/>
  <c r="W22" i="2"/>
  <c r="F22" i="2"/>
  <c r="J22" i="2"/>
  <c r="I22" i="2"/>
  <c r="D22" i="2"/>
  <c r="A24" i="2" a="1"/>
  <c r="A24" i="2" s="1"/>
  <c r="T22" i="2"/>
  <c r="P22" i="2"/>
  <c r="L22" i="2"/>
  <c r="B22" i="2"/>
  <c r="A25" i="2" a="1"/>
  <c r="A25" i="2" s="1"/>
  <c r="W23" i="2"/>
  <c r="N23" i="2"/>
  <c r="F23" i="2"/>
  <c r="T23" i="2"/>
  <c r="L23" i="2"/>
  <c r="D23" i="2"/>
  <c r="P23" i="2"/>
  <c r="E23" i="2"/>
  <c r="Q23" i="2"/>
  <c r="G23" i="2"/>
  <c r="V23" i="2"/>
  <c r="H23" i="2"/>
  <c r="S23" i="2"/>
  <c r="C23" i="2"/>
  <c r="K23" i="2"/>
  <c r="J23" i="2"/>
  <c r="I23" i="2"/>
  <c r="B23" i="2"/>
  <c r="R23" i="2"/>
  <c r="O23" i="2"/>
  <c r="M23" i="2"/>
  <c r="P5" i="2"/>
  <c r="P4" i="2" s="1"/>
  <c r="P25" i="2" l="1"/>
  <c r="H25" i="2"/>
  <c r="A27" i="2" a="1"/>
  <c r="A27" i="2" s="1"/>
  <c r="W25" i="2"/>
  <c r="N25" i="2"/>
  <c r="F25" i="2"/>
  <c r="V25" i="2"/>
  <c r="M25" i="2"/>
  <c r="E25" i="2"/>
  <c r="R25" i="2"/>
  <c r="D25" i="2"/>
  <c r="S25" i="2"/>
  <c r="G25" i="2"/>
  <c r="I25" i="2"/>
  <c r="C25" i="2"/>
  <c r="L25" i="2"/>
  <c r="O25" i="2"/>
  <c r="K25" i="2"/>
  <c r="J25" i="2"/>
  <c r="B25" i="2"/>
  <c r="T25" i="2"/>
  <c r="Q25" i="2"/>
  <c r="O24" i="2"/>
  <c r="G24" i="2"/>
  <c r="V24" i="2"/>
  <c r="M24" i="2"/>
  <c r="E24" i="2"/>
  <c r="T24" i="2"/>
  <c r="L24" i="2"/>
  <c r="P24" i="2"/>
  <c r="C24" i="2"/>
  <c r="Q24" i="2"/>
  <c r="D24" i="2"/>
  <c r="K24" i="2"/>
  <c r="A26" i="2" a="1"/>
  <c r="A26" i="2" s="1"/>
  <c r="J24" i="2"/>
  <c r="S24" i="2"/>
  <c r="B24" i="2"/>
  <c r="I24" i="2"/>
  <c r="H24" i="2"/>
  <c r="F24" i="2"/>
  <c r="W24" i="2"/>
  <c r="R24" i="2"/>
  <c r="N24" i="2"/>
  <c r="P3" i="2" a="1"/>
  <c r="P3" i="2" l="1"/>
  <c r="R27" i="2"/>
  <c r="J27" i="2"/>
  <c r="B27" i="2"/>
  <c r="P27" i="2"/>
  <c r="H27" i="2"/>
  <c r="O27" i="2"/>
  <c r="G27" i="2"/>
  <c r="W27" i="2"/>
  <c r="K27" i="2"/>
  <c r="L27" i="2"/>
  <c r="M27" i="2"/>
  <c r="I27" i="2"/>
  <c r="S27" i="2"/>
  <c r="C27" i="2"/>
  <c r="V27" i="2"/>
  <c r="T27" i="2"/>
  <c r="A29" i="2" a="1"/>
  <c r="A29" i="2" s="1"/>
  <c r="Q27" i="2"/>
  <c r="F27" i="2"/>
  <c r="E27" i="2"/>
  <c r="N27" i="2"/>
  <c r="D27" i="2"/>
  <c r="Q26" i="2"/>
  <c r="I26" i="2"/>
  <c r="O26" i="2"/>
  <c r="G26" i="2"/>
  <c r="A28" i="2" a="1"/>
  <c r="A28" i="2" s="1"/>
  <c r="W26" i="2"/>
  <c r="N26" i="2"/>
  <c r="F26" i="2"/>
  <c r="T26" i="2"/>
  <c r="H26" i="2"/>
  <c r="V26" i="2"/>
  <c r="J26" i="2"/>
  <c r="R26" i="2"/>
  <c r="B26" i="2"/>
  <c r="P26" i="2"/>
  <c r="E26" i="2"/>
  <c r="S26" i="2"/>
  <c r="M26" i="2"/>
  <c r="K26" i="2"/>
  <c r="L26" i="2"/>
  <c r="D26" i="2"/>
  <c r="C26" i="2"/>
  <c r="S28" i="2" l="1"/>
  <c r="K28" i="2"/>
  <c r="C28" i="2"/>
  <c r="Q28" i="2"/>
  <c r="I28" i="2"/>
  <c r="P28" i="2"/>
  <c r="H28" i="2"/>
  <c r="M28" i="2"/>
  <c r="N28" i="2"/>
  <c r="B28" i="2"/>
  <c r="W28" i="2"/>
  <c r="F28" i="2"/>
  <c r="V28" i="2"/>
  <c r="E28" i="2"/>
  <c r="A30" i="2" a="1"/>
  <c r="A30" i="2" s="1"/>
  <c r="L28" i="2"/>
  <c r="R28" i="2"/>
  <c r="T28" i="2"/>
  <c r="O28" i="2"/>
  <c r="J28" i="2"/>
  <c r="G28" i="2"/>
  <c r="D28" i="2"/>
  <c r="T29" i="2"/>
  <c r="L29" i="2"/>
  <c r="D29" i="2"/>
  <c r="R29" i="2"/>
  <c r="J29" i="2"/>
  <c r="B29" i="2"/>
  <c r="Q29" i="2"/>
  <c r="I29" i="2"/>
  <c r="O29" i="2"/>
  <c r="C29" i="2"/>
  <c r="P29" i="2"/>
  <c r="E29" i="2"/>
  <c r="S29" i="2"/>
  <c r="N29" i="2"/>
  <c r="A31" i="2" a="1"/>
  <c r="A31" i="2" s="1"/>
  <c r="G29" i="2"/>
  <c r="F29" i="2"/>
  <c r="V29" i="2"/>
  <c r="M29" i="2"/>
  <c r="W29" i="2"/>
  <c r="K29" i="2"/>
  <c r="H29" i="2"/>
  <c r="Q5" i="2"/>
  <c r="Q4" i="2" s="1"/>
  <c r="Q3" i="2" a="1"/>
  <c r="Q3" i="2" l="1"/>
  <c r="V30" i="2"/>
  <c r="M30" i="2"/>
  <c r="E30" i="2"/>
  <c r="S30" i="2"/>
  <c r="K30" i="2"/>
  <c r="C30" i="2"/>
  <c r="R30" i="2"/>
  <c r="J30" i="2"/>
  <c r="B30" i="2"/>
  <c r="Q30" i="2"/>
  <c r="F30" i="2"/>
  <c r="P30" i="2"/>
  <c r="D30" i="2"/>
  <c r="A32" i="2" a="1"/>
  <c r="A32" i="2" s="1"/>
  <c r="T30" i="2"/>
  <c r="G30" i="2"/>
  <c r="N30" i="2"/>
  <c r="L30" i="2"/>
  <c r="I30" i="2"/>
  <c r="H30" i="2"/>
  <c r="W30" i="2"/>
  <c r="O30" i="2"/>
  <c r="A33" i="2" a="1"/>
  <c r="A33" i="2" s="1"/>
  <c r="W31" i="2"/>
  <c r="N31" i="2"/>
  <c r="F31" i="2"/>
  <c r="T31" i="2"/>
  <c r="L31" i="2"/>
  <c r="D31" i="2"/>
  <c r="S31" i="2"/>
  <c r="K31" i="2"/>
  <c r="C31" i="2"/>
  <c r="V31" i="2"/>
  <c r="H31" i="2"/>
  <c r="R31" i="2"/>
  <c r="G31" i="2"/>
  <c r="I31" i="2"/>
  <c r="M31" i="2"/>
  <c r="J31" i="2"/>
  <c r="Q31" i="2"/>
  <c r="P31" i="2"/>
  <c r="E31" i="2"/>
  <c r="O31" i="2"/>
  <c r="B31" i="2"/>
  <c r="R5" i="2" l="1"/>
  <c r="R4" i="2" s="1"/>
  <c r="P33" i="2"/>
  <c r="H33" i="2"/>
  <c r="A35" i="2" a="1"/>
  <c r="A35" i="2" s="1"/>
  <c r="W33" i="2"/>
  <c r="N33" i="2"/>
  <c r="F33" i="2"/>
  <c r="V33" i="2"/>
  <c r="M33" i="2"/>
  <c r="E33" i="2"/>
  <c r="L33" i="2"/>
  <c r="K33" i="2"/>
  <c r="O33" i="2"/>
  <c r="B33" i="2"/>
  <c r="G33" i="2"/>
  <c r="D33" i="2"/>
  <c r="Q33" i="2"/>
  <c r="I33" i="2"/>
  <c r="C33" i="2"/>
  <c r="T33" i="2"/>
  <c r="S33" i="2"/>
  <c r="R33" i="2"/>
  <c r="J33" i="2"/>
  <c r="O32" i="2"/>
  <c r="G32" i="2"/>
  <c r="V32" i="2"/>
  <c r="M32" i="2"/>
  <c r="E32" i="2"/>
  <c r="T32" i="2"/>
  <c r="L32" i="2"/>
  <c r="D32" i="2"/>
  <c r="J32" i="2"/>
  <c r="W32" i="2"/>
  <c r="I32" i="2"/>
  <c r="K32" i="2"/>
  <c r="H32" i="2"/>
  <c r="A34" i="2" a="1"/>
  <c r="A34" i="2" s="1"/>
  <c r="F32" i="2"/>
  <c r="Q32" i="2"/>
  <c r="R32" i="2"/>
  <c r="S32" i="2"/>
  <c r="P32" i="2"/>
  <c r="N32" i="2"/>
  <c r="C32" i="2"/>
  <c r="B32" i="2"/>
  <c r="R3" i="2" a="1"/>
  <c r="R3" i="2" l="1"/>
  <c r="Q34" i="2"/>
  <c r="I34" i="2"/>
  <c r="O34" i="2"/>
  <c r="G34" i="2"/>
  <c r="A36" i="2" a="1"/>
  <c r="A36" i="2" s="1"/>
  <c r="W34" i="2"/>
  <c r="N34" i="2"/>
  <c r="F34" i="2"/>
  <c r="P34" i="2"/>
  <c r="C34" i="2"/>
  <c r="M34" i="2"/>
  <c r="B34" i="2"/>
  <c r="R34" i="2"/>
  <c r="D34" i="2"/>
  <c r="E34" i="2"/>
  <c r="V34" i="2"/>
  <c r="K34" i="2"/>
  <c r="S34" i="2"/>
  <c r="H34" i="2"/>
  <c r="L34" i="2"/>
  <c r="J34" i="2"/>
  <c r="T34" i="2"/>
  <c r="R35" i="2"/>
  <c r="J35" i="2"/>
  <c r="B35" i="2"/>
  <c r="P35" i="2"/>
  <c r="H35" i="2"/>
  <c r="O35" i="2"/>
  <c r="G35" i="2"/>
  <c r="S35" i="2"/>
  <c r="E35" i="2"/>
  <c r="Q35" i="2"/>
  <c r="D35" i="2"/>
  <c r="T35" i="2"/>
  <c r="F35" i="2"/>
  <c r="W35" i="2"/>
  <c r="V35" i="2"/>
  <c r="K35" i="2"/>
  <c r="M35" i="2"/>
  <c r="N35" i="2"/>
  <c r="A37" i="2" a="1"/>
  <c r="A37" i="2" s="1"/>
  <c r="L35" i="2"/>
  <c r="I35" i="2"/>
  <c r="C35" i="2"/>
  <c r="R1" i="2" a="1"/>
  <c r="R1" i="2" s="1"/>
  <c r="S36" i="2" l="1"/>
  <c r="K36" i="2"/>
  <c r="C36" i="2"/>
  <c r="Q36" i="2"/>
  <c r="I36" i="2"/>
  <c r="P36" i="2"/>
  <c r="H36" i="2"/>
  <c r="A38" i="2" a="1"/>
  <c r="A38" i="2" s="1"/>
  <c r="V36" i="2"/>
  <c r="G36" i="2"/>
  <c r="F36" i="2"/>
  <c r="T36" i="2"/>
  <c r="W36" i="2"/>
  <c r="J36" i="2"/>
  <c r="R36" i="2"/>
  <c r="O36" i="2"/>
  <c r="E36" i="2"/>
  <c r="D36" i="2"/>
  <c r="B36" i="2"/>
  <c r="N36" i="2"/>
  <c r="M36" i="2"/>
  <c r="L36" i="2"/>
  <c r="T37" i="2"/>
  <c r="L37" i="2"/>
  <c r="D37" i="2"/>
  <c r="R37" i="2"/>
  <c r="J37" i="2"/>
  <c r="B37" i="2"/>
  <c r="Q37" i="2"/>
  <c r="I37" i="2"/>
  <c r="K37" i="2"/>
  <c r="W37" i="2"/>
  <c r="H37" i="2"/>
  <c r="M37" i="2"/>
  <c r="P37" i="2"/>
  <c r="O37" i="2"/>
  <c r="E37" i="2"/>
  <c r="A39" i="2" a="1"/>
  <c r="A39" i="2" s="1"/>
  <c r="N37" i="2"/>
  <c r="G37" i="2"/>
  <c r="F37" i="2"/>
  <c r="C37" i="2"/>
  <c r="V37" i="2"/>
  <c r="S37" i="2"/>
  <c r="W39" i="2" l="1"/>
  <c r="N39" i="2"/>
  <c r="F39" i="2"/>
  <c r="T39" i="2"/>
  <c r="L39" i="2"/>
  <c r="D39" i="2"/>
  <c r="S39" i="2"/>
  <c r="K39" i="2"/>
  <c r="C39" i="2"/>
  <c r="P39" i="2"/>
  <c r="B39" i="2"/>
  <c r="O39" i="2"/>
  <c r="Q39" i="2"/>
  <c r="E39" i="2"/>
  <c r="J39" i="2"/>
  <c r="I39" i="2"/>
  <c r="V39" i="2"/>
  <c r="R39" i="2"/>
  <c r="M39" i="2"/>
  <c r="H39" i="2"/>
  <c r="G39" i="2"/>
  <c r="V38" i="2"/>
  <c r="M38" i="2"/>
  <c r="E38" i="2"/>
  <c r="S38" i="2"/>
  <c r="K38" i="2"/>
  <c r="C38" i="2"/>
  <c r="R38" i="2"/>
  <c r="J38" i="2"/>
  <c r="B38" i="2"/>
  <c r="N38" i="2"/>
  <c r="L38" i="2"/>
  <c r="O38" i="2"/>
  <c r="P38" i="2"/>
  <c r="I38" i="2"/>
  <c r="W38" i="2"/>
  <c r="D38" i="2"/>
  <c r="T38" i="2"/>
  <c r="Q38" i="2"/>
  <c r="G38" i="2"/>
  <c r="F38" i="2"/>
  <c r="H38" i="2"/>
  <c r="S5" i="2" l="1"/>
  <c r="S1" i="2" s="1" a="1"/>
  <c r="S1" i="2" s="1"/>
  <c r="S4" i="2" l="1"/>
  <c r="S3" i="2" a="1"/>
  <c r="S3" i="2" l="1"/>
  <c r="AJ3" i="3" s="1"/>
  <c r="AK3" i="3" s="1"/>
  <c r="FA228" i="7"/>
  <c r="FB227" i="7"/>
  <c r="FA226" i="7"/>
  <c r="EV226" i="7"/>
  <c r="FH226" i="7" s="1"/>
  <c r="FG226" i="7" s="1"/>
  <c r="FB225" i="7"/>
  <c r="EV225" i="7"/>
  <c r="FH225" i="7" s="1"/>
  <c r="FG225" i="7" s="1"/>
  <c r="FF224" i="7"/>
  <c r="FE224" i="7"/>
  <c r="FD224" i="7"/>
  <c r="FC224" i="7"/>
  <c r="FA224" i="7"/>
  <c r="EZ224" i="7"/>
  <c r="EY224" i="7"/>
  <c r="FF223" i="7"/>
  <c r="FE223" i="7"/>
  <c r="FD223" i="7"/>
  <c r="FC223" i="7"/>
  <c r="FA223" i="7"/>
  <c r="EZ223" i="7"/>
  <c r="EY223" i="7"/>
  <c r="FF222" i="7"/>
  <c r="FE222" i="7"/>
  <c r="FD222" i="7"/>
  <c r="FC222" i="7"/>
  <c r="FA222" i="7"/>
  <c r="EZ222" i="7"/>
  <c r="EY222" i="7"/>
  <c r="FF221" i="7"/>
  <c r="FE221" i="7"/>
  <c r="FD221" i="7"/>
  <c r="FC221" i="7"/>
  <c r="FA221" i="7"/>
  <c r="EZ221" i="7"/>
  <c r="EY221" i="7"/>
  <c r="FF220" i="7"/>
  <c r="FE220" i="7"/>
  <c r="FD220" i="7"/>
  <c r="FC220" i="7"/>
  <c r="FA220" i="7"/>
  <c r="EZ220" i="7"/>
  <c r="EY220" i="7"/>
  <c r="FF219" i="7"/>
  <c r="FE219" i="7"/>
  <c r="FD219" i="7"/>
  <c r="FC219" i="7"/>
  <c r="FA219" i="7"/>
  <c r="EZ219" i="7"/>
  <c r="EY219" i="7"/>
  <c r="FF218" i="7"/>
  <c r="FE218" i="7"/>
  <c r="FD218" i="7"/>
  <c r="FC218" i="7"/>
  <c r="FA218" i="7"/>
  <c r="EZ218" i="7"/>
  <c r="EY218" i="7"/>
  <c r="FF217" i="7"/>
  <c r="FE217" i="7"/>
  <c r="FD217" i="7"/>
  <c r="FC217" i="7"/>
  <c r="FA217" i="7"/>
  <c r="EZ217" i="7"/>
  <c r="EY217" i="7"/>
  <c r="EX216" i="7"/>
  <c r="EX215" i="7"/>
  <c r="EX214" i="7"/>
  <c r="EX213" i="7"/>
  <c r="EX212" i="7"/>
  <c r="EX211" i="7"/>
  <c r="EX210" i="7"/>
  <c r="EX209" i="7"/>
  <c r="EX208" i="7"/>
  <c r="EX207" i="7"/>
  <c r="EX206" i="7"/>
  <c r="EX205" i="7"/>
  <c r="EX204" i="7"/>
  <c r="EX203" i="7"/>
  <c r="EX202" i="7"/>
  <c r="EX201" i="7"/>
  <c r="EX200" i="7"/>
  <c r="EX199" i="7"/>
  <c r="EX198" i="7"/>
  <c r="EX197" i="7"/>
  <c r="EX196" i="7"/>
  <c r="EX195" i="7"/>
  <c r="EX194" i="7"/>
  <c r="EX193" i="7"/>
  <c r="EX192" i="7"/>
  <c r="EX191" i="7"/>
  <c r="EX190" i="7"/>
  <c r="EX189" i="7"/>
  <c r="EX188" i="7"/>
  <c r="EX187" i="7"/>
  <c r="EU124" i="7"/>
  <c r="EU130" i="7" s="1"/>
  <c r="EU136" i="7" s="1"/>
  <c r="EU142" i="7" s="1"/>
  <c r="EU121" i="7"/>
  <c r="EU127" i="7" s="1"/>
  <c r="EU133" i="7" s="1"/>
  <c r="EU139" i="7" s="1"/>
  <c r="EU119" i="7"/>
  <c r="EU125" i="7" s="1"/>
  <c r="EU131" i="7" s="1"/>
  <c r="EU137" i="7" s="1"/>
  <c r="EU143" i="7" s="1"/>
  <c r="EU116" i="7"/>
  <c r="EU122" i="7" s="1"/>
  <c r="EU128" i="7" s="1"/>
  <c r="EU134" i="7" s="1"/>
  <c r="EU140" i="7" s="1"/>
  <c r="EU88" i="7"/>
  <c r="EU94" i="7" s="1"/>
  <c r="EU100" i="7" s="1"/>
  <c r="EU106" i="7" s="1"/>
  <c r="EU85" i="7"/>
  <c r="EU91" i="7" s="1"/>
  <c r="EU97" i="7" s="1"/>
  <c r="EU103" i="7" s="1"/>
  <c r="EU83" i="7"/>
  <c r="EU89" i="7" s="1"/>
  <c r="EU95" i="7" s="1"/>
  <c r="EU101" i="7" s="1"/>
  <c r="EU107" i="7" s="1"/>
  <c r="EU80" i="7"/>
  <c r="EU86" i="7" s="1"/>
  <c r="EU92" i="7" s="1"/>
  <c r="EU98" i="7" s="1"/>
  <c r="EU104" i="7" s="1"/>
  <c r="EU22" i="7"/>
  <c r="EU28" i="7" s="1"/>
  <c r="EU34" i="7" s="1"/>
  <c r="EU19" i="7"/>
  <c r="EU25" i="7" s="1"/>
  <c r="EU31" i="7" s="1"/>
  <c r="EU17" i="7"/>
  <c r="EU23" i="7" s="1"/>
  <c r="EU29" i="7" s="1"/>
  <c r="EU35" i="7" s="1"/>
  <c r="EU20" i="7"/>
  <c r="EU26" i="7" s="1"/>
  <c r="EU32" i="7" s="1"/>
  <c r="B6" i="6"/>
  <c r="M8" i="4"/>
  <c r="N8" i="4" s="1"/>
  <c r="H8" i="4" s="1"/>
  <c r="I8" i="4" s="1"/>
  <c r="L8" i="4"/>
  <c r="G8" i="4" s="1"/>
  <c r="E8" i="4"/>
  <c r="A8" i="4"/>
  <c r="N7" i="4"/>
  <c r="M7" i="4"/>
  <c r="L7" i="4"/>
  <c r="E7" i="4"/>
  <c r="A7" i="4"/>
  <c r="N6" i="4"/>
  <c r="M6" i="4"/>
  <c r="L6" i="4"/>
  <c r="G6" i="4" s="1"/>
  <c r="H6" i="4"/>
  <c r="I6" i="4" s="1"/>
  <c r="E6" i="4"/>
  <c r="A6" i="4"/>
  <c r="E5" i="4"/>
  <c r="A5" i="4"/>
  <c r="N4" i="4"/>
  <c r="H4" i="4" s="1"/>
  <c r="I4" i="4" s="1"/>
  <c r="M4" i="4"/>
  <c r="L4" i="4"/>
  <c r="G4" i="4" s="1"/>
  <c r="E4" i="4"/>
  <c r="A4" i="4"/>
  <c r="M3" i="4"/>
  <c r="N3" i="4" s="1"/>
  <c r="L3" i="4"/>
  <c r="G3" i="4" s="1"/>
  <c r="E3" i="4"/>
  <c r="A3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K150" i="3"/>
  <c r="D4" i="4" s="1"/>
  <c r="I150" i="3"/>
  <c r="D3" i="4" s="1"/>
  <c r="G150" i="3"/>
  <c r="D2" i="4" s="1"/>
  <c r="E150" i="3"/>
  <c r="C150" i="3"/>
  <c r="AL149" i="3"/>
  <c r="AJ149" i="3"/>
  <c r="AH149" i="3"/>
  <c r="AF149" i="3"/>
  <c r="AD149" i="3"/>
  <c r="AB149" i="3"/>
  <c r="Z149" i="3"/>
  <c r="X149" i="3"/>
  <c r="V149" i="3"/>
  <c r="R149" i="3"/>
  <c r="P149" i="3"/>
  <c r="N149" i="3"/>
  <c r="J149" i="3"/>
  <c r="H149" i="3"/>
  <c r="AN147" i="3"/>
  <c r="AM147" i="3"/>
  <c r="AL147" i="3"/>
  <c r="A147" i="3"/>
  <c r="AN146" i="3"/>
  <c r="AM146" i="3"/>
  <c r="AL146" i="3"/>
  <c r="A146" i="3"/>
  <c r="AN145" i="3"/>
  <c r="AM145" i="3"/>
  <c r="AN144" i="3"/>
  <c r="AM144" i="3"/>
  <c r="AN143" i="3"/>
  <c r="AM143" i="3"/>
  <c r="AN142" i="3"/>
  <c r="AM142" i="3"/>
  <c r="AN141" i="3"/>
  <c r="AM141" i="3"/>
  <c r="AN140" i="3"/>
  <c r="AM140" i="3"/>
  <c r="AN139" i="3"/>
  <c r="AM139" i="3"/>
  <c r="AN138" i="3"/>
  <c r="AM138" i="3"/>
  <c r="AN137" i="3"/>
  <c r="AM137" i="3"/>
  <c r="AN136" i="3"/>
  <c r="AM136" i="3"/>
  <c r="AN135" i="3"/>
  <c r="AM135" i="3"/>
  <c r="AN134" i="3"/>
  <c r="AM134" i="3"/>
  <c r="AN133" i="3"/>
  <c r="AM133" i="3"/>
  <c r="AN132" i="3"/>
  <c r="AM132" i="3"/>
  <c r="AN131" i="3"/>
  <c r="AM131" i="3"/>
  <c r="AN130" i="3"/>
  <c r="AM130" i="3"/>
  <c r="AN129" i="3"/>
  <c r="AM129" i="3"/>
  <c r="AN128" i="3"/>
  <c r="AM128" i="3"/>
  <c r="AN127" i="3"/>
  <c r="AM127" i="3"/>
  <c r="AN126" i="3"/>
  <c r="AM126" i="3"/>
  <c r="AN125" i="3"/>
  <c r="AM125" i="3"/>
  <c r="AN124" i="3"/>
  <c r="AM124" i="3"/>
  <c r="AN123" i="3"/>
  <c r="AM123" i="3"/>
  <c r="AN122" i="3"/>
  <c r="AM122" i="3"/>
  <c r="AN121" i="3"/>
  <c r="AM121" i="3"/>
  <c r="AN120" i="3"/>
  <c r="AM120" i="3"/>
  <c r="AN119" i="3"/>
  <c r="AM119" i="3"/>
  <c r="AN118" i="3"/>
  <c r="AM118" i="3"/>
  <c r="AN117" i="3"/>
  <c r="AM117" i="3"/>
  <c r="AN116" i="3"/>
  <c r="AM116" i="3"/>
  <c r="AN115" i="3"/>
  <c r="AM115" i="3"/>
  <c r="AN114" i="3"/>
  <c r="AM114" i="3"/>
  <c r="AN113" i="3"/>
  <c r="AM113" i="3"/>
  <c r="AN112" i="3"/>
  <c r="AM112" i="3"/>
  <c r="AN111" i="3"/>
  <c r="AM111" i="3"/>
  <c r="AN110" i="3"/>
  <c r="AM110" i="3"/>
  <c r="AN109" i="3"/>
  <c r="AM109" i="3"/>
  <c r="AN108" i="3"/>
  <c r="AM108" i="3"/>
  <c r="AN107" i="3"/>
  <c r="AM107" i="3"/>
  <c r="AN106" i="3"/>
  <c r="AM106" i="3"/>
  <c r="AN105" i="3"/>
  <c r="AM105" i="3"/>
  <c r="AN104" i="3"/>
  <c r="AM104" i="3"/>
  <c r="AN103" i="3"/>
  <c r="AM103" i="3"/>
  <c r="AN102" i="3"/>
  <c r="AM102" i="3"/>
  <c r="AN101" i="3"/>
  <c r="AM101" i="3"/>
  <c r="AN100" i="3"/>
  <c r="AM100" i="3"/>
  <c r="AN99" i="3"/>
  <c r="AM99" i="3"/>
  <c r="AN98" i="3"/>
  <c r="AM98" i="3"/>
  <c r="AN97" i="3"/>
  <c r="AM97" i="3"/>
  <c r="AN96" i="3"/>
  <c r="AM96" i="3"/>
  <c r="AN95" i="3"/>
  <c r="AM95" i="3"/>
  <c r="AN94" i="3"/>
  <c r="AM94" i="3"/>
  <c r="AN93" i="3"/>
  <c r="AM93" i="3"/>
  <c r="AN92" i="3"/>
  <c r="AM92" i="3"/>
  <c r="AN91" i="3"/>
  <c r="AM91" i="3"/>
  <c r="AN90" i="3"/>
  <c r="AM90" i="3"/>
  <c r="AN89" i="3"/>
  <c r="AM89" i="3"/>
  <c r="AN88" i="3"/>
  <c r="AM88" i="3"/>
  <c r="AN87" i="3"/>
  <c r="AM87" i="3"/>
  <c r="AN86" i="3"/>
  <c r="AM86" i="3"/>
  <c r="AN85" i="3"/>
  <c r="AM85" i="3"/>
  <c r="AN84" i="3"/>
  <c r="AM84" i="3"/>
  <c r="AN83" i="3"/>
  <c r="AM83" i="3"/>
  <c r="AN82" i="3"/>
  <c r="AM82" i="3"/>
  <c r="AN81" i="3"/>
  <c r="AM81" i="3"/>
  <c r="AN80" i="3"/>
  <c r="AM80" i="3"/>
  <c r="AN79" i="3"/>
  <c r="AM79" i="3"/>
  <c r="AN78" i="3"/>
  <c r="AM78" i="3"/>
  <c r="AN77" i="3"/>
  <c r="AM77" i="3"/>
  <c r="AN76" i="3"/>
  <c r="AM76" i="3"/>
  <c r="AN75" i="3"/>
  <c r="AM75" i="3"/>
  <c r="AN74" i="3"/>
  <c r="AM74" i="3"/>
  <c r="AN73" i="3"/>
  <c r="AM73" i="3"/>
  <c r="AN72" i="3"/>
  <c r="AM72" i="3"/>
  <c r="AN71" i="3"/>
  <c r="AM71" i="3"/>
  <c r="AN70" i="3"/>
  <c r="AM70" i="3"/>
  <c r="AN69" i="3"/>
  <c r="AM69" i="3"/>
  <c r="AN68" i="3"/>
  <c r="AM68" i="3"/>
  <c r="AN67" i="3"/>
  <c r="AM67" i="3"/>
  <c r="AN66" i="3"/>
  <c r="AM66" i="3"/>
  <c r="AN65" i="3"/>
  <c r="AM65" i="3"/>
  <c r="AN64" i="3"/>
  <c r="AM64" i="3"/>
  <c r="AN63" i="3"/>
  <c r="AM63" i="3"/>
  <c r="AN62" i="3"/>
  <c r="AM62" i="3"/>
  <c r="AN61" i="3"/>
  <c r="AM61" i="3"/>
  <c r="AN60" i="3"/>
  <c r="AM60" i="3"/>
  <c r="AN59" i="3"/>
  <c r="AM59" i="3"/>
  <c r="AN58" i="3"/>
  <c r="AM58" i="3"/>
  <c r="AN57" i="3"/>
  <c r="AM57" i="3"/>
  <c r="AN56" i="3"/>
  <c r="AM56" i="3"/>
  <c r="AN55" i="3"/>
  <c r="AM55" i="3"/>
  <c r="AN54" i="3"/>
  <c r="AM54" i="3"/>
  <c r="AN53" i="3"/>
  <c r="AM53" i="3"/>
  <c r="AN52" i="3"/>
  <c r="AM52" i="3"/>
  <c r="AN51" i="3"/>
  <c r="AM51" i="3"/>
  <c r="AN50" i="3"/>
  <c r="AM50" i="3"/>
  <c r="AN49" i="3"/>
  <c r="AM49" i="3"/>
  <c r="AN48" i="3"/>
  <c r="AM48" i="3"/>
  <c r="AN47" i="3"/>
  <c r="AM47" i="3"/>
  <c r="AN46" i="3"/>
  <c r="AM46" i="3"/>
  <c r="AN45" i="3"/>
  <c r="AM45" i="3"/>
  <c r="AN44" i="3"/>
  <c r="AM44" i="3"/>
  <c r="AN43" i="3"/>
  <c r="AM43" i="3"/>
  <c r="AN42" i="3"/>
  <c r="AM42" i="3"/>
  <c r="AN41" i="3"/>
  <c r="AM41" i="3"/>
  <c r="AN40" i="3"/>
  <c r="AM40" i="3"/>
  <c r="AN39" i="3"/>
  <c r="AM39" i="3"/>
  <c r="AN38" i="3"/>
  <c r="AM38" i="3"/>
  <c r="AN37" i="3"/>
  <c r="AM37" i="3"/>
  <c r="AN36" i="3"/>
  <c r="AM36" i="3"/>
  <c r="AN35" i="3"/>
  <c r="AM35" i="3"/>
  <c r="AN34" i="3"/>
  <c r="AM34" i="3"/>
  <c r="AN33" i="3"/>
  <c r="AM33" i="3"/>
  <c r="AN32" i="3"/>
  <c r="AM32" i="3"/>
  <c r="AN31" i="3"/>
  <c r="AM31" i="3"/>
  <c r="AN30" i="3"/>
  <c r="AM30" i="3"/>
  <c r="AN29" i="3"/>
  <c r="AM29" i="3"/>
  <c r="AN28" i="3"/>
  <c r="AM28" i="3"/>
  <c r="AN27" i="3"/>
  <c r="AM27" i="3"/>
  <c r="AN26" i="3"/>
  <c r="AM26" i="3"/>
  <c r="AN25" i="3"/>
  <c r="AM25" i="3"/>
  <c r="AN24" i="3"/>
  <c r="AM24" i="3"/>
  <c r="AN23" i="3"/>
  <c r="AM23" i="3"/>
  <c r="AN22" i="3"/>
  <c r="AM22" i="3"/>
  <c r="AN21" i="3"/>
  <c r="AM21" i="3"/>
  <c r="AN20" i="3"/>
  <c r="AM20" i="3"/>
  <c r="AN19" i="3"/>
  <c r="AM19" i="3"/>
  <c r="AN18" i="3"/>
  <c r="AM18" i="3"/>
  <c r="AN17" i="3"/>
  <c r="AM17" i="3"/>
  <c r="AN16" i="3"/>
  <c r="AM16" i="3"/>
  <c r="AN15" i="3"/>
  <c r="AM15" i="3"/>
  <c r="AN14" i="3"/>
  <c r="AM14" i="3"/>
  <c r="AN13" i="3"/>
  <c r="AM13" i="3"/>
  <c r="AN12" i="3"/>
  <c r="AM12" i="3"/>
  <c r="AN11" i="3"/>
  <c r="AM11" i="3"/>
  <c r="AN10" i="3"/>
  <c r="AM10" i="3"/>
  <c r="AN9" i="3"/>
  <c r="AM9" i="3"/>
  <c r="AN8" i="3"/>
  <c r="AM8" i="3"/>
  <c r="AN7" i="3"/>
  <c r="AM7" i="3"/>
  <c r="AN6" i="3"/>
  <c r="AM6" i="3"/>
  <c r="AH3" i="3"/>
  <c r="AI3" i="3" s="1"/>
  <c r="AF3" i="3"/>
  <c r="AH4" i="3" s="1"/>
  <c r="AD3" i="3"/>
  <c r="AF4" i="3" s="1"/>
  <c r="AB3" i="3"/>
  <c r="AD4" i="3" s="1"/>
  <c r="Z3" i="3"/>
  <c r="AA3" i="3" s="1"/>
  <c r="X3" i="3"/>
  <c r="V3" i="3"/>
  <c r="W3" i="3" s="1"/>
  <c r="AM2" i="3"/>
  <c r="A2" i="3"/>
  <c r="B1" i="7" a="1"/>
  <c r="EV215" i="7" a="1"/>
  <c r="B4" i="5" a="1"/>
  <c r="EV205" i="7" a="1"/>
  <c r="FA196" i="7" a="1"/>
  <c r="EV189" i="7" a="1"/>
  <c r="A6" i="3" a="1"/>
  <c r="EV193" i="7" a="1"/>
  <c r="FA213" i="7" a="1"/>
  <c r="EV203" i="7" a="1"/>
  <c r="FA202" i="7" a="1"/>
  <c r="EV214" i="7" a="1"/>
  <c r="B6" i="5" a="1"/>
  <c r="EV197" i="7" a="1"/>
  <c r="E7" i="6" a="1"/>
  <c r="H1" i="6" a="1"/>
  <c r="FA214" i="7" a="1"/>
  <c r="EV216" i="7" a="1"/>
  <c r="FA194" i="7" a="1"/>
  <c r="EV196" i="7" a="1"/>
  <c r="A7" i="3" a="1"/>
  <c r="EV201" i="7" a="1"/>
  <c r="B7" i="5" a="1"/>
  <c r="EV204" i="7" a="1"/>
  <c r="EV194" i="7" a="1"/>
  <c r="EV190" i="7" a="1"/>
  <c r="FA215" i="7" a="1"/>
  <c r="FA195" i="7" a="1"/>
  <c r="FA204" i="7" a="1"/>
  <c r="EV212" i="7" a="1"/>
  <c r="FA216" i="7" a="1"/>
  <c r="FA203" i="7" a="1"/>
  <c r="FA212" i="7" a="1"/>
  <c r="B3" i="6" a="1"/>
  <c r="EV210" i="7" a="1"/>
  <c r="EV211" i="7" a="1"/>
  <c r="F8" i="6" a="1"/>
  <c r="H2" i="6" a="1"/>
  <c r="B5" i="5" a="1"/>
  <c r="EV209" i="7" a="1"/>
  <c r="EV202" i="7" a="1"/>
  <c r="F2" i="6" a="1"/>
  <c r="B3" i="5" a="1"/>
  <c r="FA190" i="7" a="1"/>
  <c r="B8" i="5" a="1"/>
  <c r="B1" i="5" a="1"/>
  <c r="EV195" i="7" a="1"/>
  <c r="FA210" i="7" a="1"/>
  <c r="FA211" i="7" a="1"/>
  <c r="B2" i="5" a="1"/>
  <c r="E1" i="6" a="1"/>
  <c r="G7" i="4" l="1"/>
  <c r="D5" i="4"/>
  <c r="Y3" i="3"/>
  <c r="AJ4" i="3"/>
  <c r="AB4" i="3"/>
  <c r="Z4" i="3"/>
  <c r="B1" i="7"/>
  <c r="A6" i="3"/>
  <c r="A7" i="3"/>
  <c r="B4" i="5"/>
  <c r="B3" i="5"/>
  <c r="E1" i="6"/>
  <c r="B2" i="5"/>
  <c r="B8" i="5"/>
  <c r="B6" i="5"/>
  <c r="H2" i="6"/>
  <c r="B1" i="5"/>
  <c r="B5" i="5"/>
  <c r="H1" i="6"/>
  <c r="B7" i="5"/>
  <c r="B3" i="6"/>
  <c r="F8" i="6"/>
  <c r="F2" i="6"/>
  <c r="FB226" i="7" s="1"/>
  <c r="E7" i="6"/>
  <c r="EV197" i="7"/>
  <c r="FA204" i="7"/>
  <c r="EV215" i="7"/>
  <c r="EV195" i="7"/>
  <c r="EV196" i="7"/>
  <c r="FA202" i="7"/>
  <c r="FA203" i="7"/>
  <c r="FA213" i="7"/>
  <c r="EV193" i="7"/>
  <c r="EV194" i="7"/>
  <c r="EV211" i="7"/>
  <c r="FA215" i="7"/>
  <c r="EV189" i="7"/>
  <c r="EV190" i="7"/>
  <c r="FA196" i="7"/>
  <c r="EV205" i="7"/>
  <c r="FA194" i="7"/>
  <c r="FA195" i="7"/>
  <c r="EV203" i="7"/>
  <c r="EV204" i="7"/>
  <c r="EV210" i="7"/>
  <c r="EV201" i="7"/>
  <c r="EV202" i="7"/>
  <c r="EV209" i="7"/>
  <c r="FA190" i="7"/>
  <c r="FA211" i="7"/>
  <c r="FA210" i="7"/>
  <c r="FA212" i="7"/>
  <c r="FA214" i="7"/>
  <c r="FA216" i="7"/>
  <c r="EV212" i="7"/>
  <c r="EV214" i="7"/>
  <c r="EV216" i="7"/>
  <c r="AC3" i="3"/>
  <c r="AE3" i="3"/>
  <c r="AG3" i="3"/>
  <c r="X4" i="3"/>
  <c r="H3" i="4"/>
  <c r="H7" i="4"/>
  <c r="EV206" i="7" a="1"/>
  <c r="FA206" i="7" a="1"/>
  <c r="EV191" i="7" a="1"/>
  <c r="EV207" i="7" a="1"/>
  <c r="FA191" i="7" a="1"/>
  <c r="G1" i="7" a="1"/>
  <c r="FA207" i="7" a="1"/>
  <c r="FA206" i="7" l="1"/>
  <c r="EV206" i="7"/>
  <c r="G89" i="7"/>
  <c r="DH103" i="7"/>
  <c r="DW110" i="7"/>
  <c r="ES117" i="7"/>
  <c r="EL110" i="7"/>
  <c r="EL96" i="7"/>
  <c r="ES110" i="7"/>
  <c r="ES103" i="7"/>
  <c r="EL124" i="7"/>
  <c r="EL117" i="7"/>
  <c r="ES96" i="7"/>
  <c r="EL89" i="7"/>
  <c r="ES124" i="7"/>
  <c r="ES89" i="7"/>
  <c r="EL103" i="7"/>
  <c r="ED117" i="7"/>
  <c r="DW96" i="7"/>
  <c r="ED103" i="7"/>
  <c r="ED110" i="7"/>
  <c r="DW124" i="7"/>
  <c r="DW89" i="7"/>
  <c r="ED96" i="7"/>
  <c r="DW117" i="7"/>
  <c r="ED124" i="7"/>
  <c r="ED89" i="7"/>
  <c r="DW103" i="7"/>
  <c r="DO117" i="7"/>
  <c r="DO103" i="7"/>
  <c r="CS103" i="7"/>
  <c r="DH110" i="7"/>
  <c r="DO110" i="7"/>
  <c r="DH96" i="7"/>
  <c r="DH117" i="7"/>
  <c r="DH89" i="7"/>
  <c r="DH124" i="7"/>
  <c r="DO96" i="7"/>
  <c r="DO89" i="7"/>
  <c r="DO124" i="7"/>
  <c r="CZ117" i="7"/>
  <c r="CS110" i="7"/>
  <c r="CZ110" i="7"/>
  <c r="CS96" i="7"/>
  <c r="CZ103" i="7"/>
  <c r="CS124" i="7"/>
  <c r="CS117" i="7"/>
  <c r="CZ96" i="7"/>
  <c r="CS89" i="7"/>
  <c r="CZ124" i="7"/>
  <c r="CZ89" i="7"/>
  <c r="CD110" i="7"/>
  <c r="CK117" i="7"/>
  <c r="CK110" i="7"/>
  <c r="CD96" i="7"/>
  <c r="BV110" i="7"/>
  <c r="CD89" i="7"/>
  <c r="CD124" i="7"/>
  <c r="CD117" i="7"/>
  <c r="CK96" i="7"/>
  <c r="CD103" i="7"/>
  <c r="CK124" i="7"/>
  <c r="CK89" i="7"/>
  <c r="CK103" i="7"/>
  <c r="BO103" i="7"/>
  <c r="BV96" i="7"/>
  <c r="BO110" i="7"/>
  <c r="G110" i="7"/>
  <c r="BG103" i="7"/>
  <c r="BG117" i="7"/>
  <c r="BO96" i="7"/>
  <c r="BV103" i="7"/>
  <c r="BO124" i="7"/>
  <c r="BO117" i="7"/>
  <c r="BO89" i="7"/>
  <c r="BV89" i="7"/>
  <c r="BV124" i="7"/>
  <c r="BV117" i="7"/>
  <c r="AZ110" i="7"/>
  <c r="BG110" i="7"/>
  <c r="AZ89" i="7"/>
  <c r="AZ124" i="7"/>
  <c r="AZ117" i="7"/>
  <c r="BG96" i="7"/>
  <c r="AZ96" i="7"/>
  <c r="BG124" i="7"/>
  <c r="BG89" i="7"/>
  <c r="AZ103" i="7"/>
  <c r="AC124" i="7"/>
  <c r="AK110" i="7"/>
  <c r="AR103" i="7"/>
  <c r="AK103" i="7"/>
  <c r="AC117" i="7"/>
  <c r="AR110" i="7"/>
  <c r="AK96" i="7"/>
  <c r="AK117" i="7"/>
  <c r="AK124" i="7"/>
  <c r="AK89" i="7"/>
  <c r="AR96" i="7"/>
  <c r="AR89" i="7"/>
  <c r="AR124" i="7"/>
  <c r="AR117" i="7"/>
  <c r="AC103" i="7"/>
  <c r="V110" i="7"/>
  <c r="AC110" i="7"/>
  <c r="V124" i="7"/>
  <c r="V89" i="7"/>
  <c r="V96" i="7"/>
  <c r="AC96" i="7"/>
  <c r="V117" i="7"/>
  <c r="AC89" i="7"/>
  <c r="V103" i="7"/>
  <c r="N124" i="7"/>
  <c r="N117" i="7"/>
  <c r="G117" i="7"/>
  <c r="G124" i="7"/>
  <c r="N110" i="7"/>
  <c r="N103" i="7"/>
  <c r="N89" i="7"/>
  <c r="G103" i="7"/>
  <c r="N96" i="7"/>
  <c r="DH54" i="7"/>
  <c r="EL61" i="7"/>
  <c r="EL82" i="7"/>
  <c r="EL47" i="7"/>
  <c r="EL68" i="7"/>
  <c r="ES54" i="7"/>
  <c r="ES82" i="7"/>
  <c r="EL75" i="7"/>
  <c r="ES47" i="7"/>
  <c r="EL54" i="7"/>
  <c r="ES61" i="7"/>
  <c r="ES68" i="7"/>
  <c r="ES75" i="7"/>
  <c r="DW82" i="7"/>
  <c r="DW75" i="7"/>
  <c r="ED68" i="7"/>
  <c r="ED54" i="7"/>
  <c r="ED47" i="7"/>
  <c r="ED82" i="7"/>
  <c r="DW47" i="7"/>
  <c r="DW61" i="7"/>
  <c r="DW54" i="7"/>
  <c r="ED61" i="7"/>
  <c r="DW68" i="7"/>
  <c r="ED75" i="7"/>
  <c r="CZ75" i="7"/>
  <c r="CZ47" i="7"/>
  <c r="DH61" i="7"/>
  <c r="DH47" i="7"/>
  <c r="DH82" i="7"/>
  <c r="DO47" i="7"/>
  <c r="DH68" i="7"/>
  <c r="DO82" i="7"/>
  <c r="DO54" i="7"/>
  <c r="DO68" i="7"/>
  <c r="DH75" i="7"/>
  <c r="DO61" i="7"/>
  <c r="DO75" i="7"/>
  <c r="CS75" i="7"/>
  <c r="CS61" i="7"/>
  <c r="CS54" i="7"/>
  <c r="CZ82" i="7"/>
  <c r="CS82" i="7"/>
  <c r="CZ54" i="7"/>
  <c r="CK82" i="7"/>
  <c r="CZ68" i="7"/>
  <c r="CS68" i="7"/>
  <c r="CS47" i="7"/>
  <c r="CZ61" i="7"/>
  <c r="CD75" i="7"/>
  <c r="CK68" i="7"/>
  <c r="CK47" i="7"/>
  <c r="CK54" i="7"/>
  <c r="CD47" i="7"/>
  <c r="CD82" i="7"/>
  <c r="CK61" i="7"/>
  <c r="CD61" i="7"/>
  <c r="CD54" i="7"/>
  <c r="CK75" i="7"/>
  <c r="CD68" i="7"/>
  <c r="BO54" i="7"/>
  <c r="BO82" i="7"/>
  <c r="BO68" i="7"/>
  <c r="BO61" i="7"/>
  <c r="BV54" i="7"/>
  <c r="BV68" i="7"/>
  <c r="BV82" i="7"/>
  <c r="BO47" i="7"/>
  <c r="AK68" i="7"/>
  <c r="BV47" i="7"/>
  <c r="BV61" i="7"/>
  <c r="BO75" i="7"/>
  <c r="BV75" i="7"/>
  <c r="AZ68" i="7"/>
  <c r="BG47" i="7"/>
  <c r="AZ47" i="7"/>
  <c r="BG54" i="7"/>
  <c r="AZ54" i="7"/>
  <c r="AZ75" i="7"/>
  <c r="AZ61" i="7"/>
  <c r="BG68" i="7"/>
  <c r="AR54" i="7"/>
  <c r="AZ82" i="7"/>
  <c r="BG61" i="7"/>
  <c r="BG75" i="7"/>
  <c r="BG82" i="7"/>
  <c r="AR47" i="7"/>
  <c r="AK54" i="7"/>
  <c r="G82" i="7"/>
  <c r="AR68" i="7"/>
  <c r="AR82" i="7"/>
  <c r="AK47" i="7"/>
  <c r="AK61" i="7"/>
  <c r="AR75" i="7"/>
  <c r="AR61" i="7"/>
  <c r="N82" i="7"/>
  <c r="AK82" i="7"/>
  <c r="AK75" i="7"/>
  <c r="G68" i="7"/>
  <c r="G61" i="7"/>
  <c r="N68" i="7"/>
  <c r="G75" i="7"/>
  <c r="N47" i="7"/>
  <c r="G96" i="7"/>
  <c r="N54" i="7"/>
  <c r="G54" i="7"/>
  <c r="G47" i="7"/>
  <c r="N61" i="7"/>
  <c r="N75" i="7"/>
  <c r="AC47" i="7"/>
  <c r="V68" i="7"/>
  <c r="V47" i="7"/>
  <c r="V61" i="7"/>
  <c r="V54" i="7"/>
  <c r="AC54" i="7"/>
  <c r="AC61" i="7"/>
  <c r="V82" i="7"/>
  <c r="AC68" i="7"/>
  <c r="AC82" i="7"/>
  <c r="V75" i="7"/>
  <c r="AC75" i="7"/>
  <c r="BV19" i="7"/>
  <c r="EL19" i="7"/>
  <c r="DW40" i="7"/>
  <c r="DH5" i="7"/>
  <c r="AK19" i="7"/>
  <c r="AC40" i="7"/>
  <c r="ED19" i="7"/>
  <c r="DH12" i="7"/>
  <c r="BO5" i="7"/>
  <c r="DW12" i="7"/>
  <c r="CS40" i="7"/>
  <c r="V12" i="7"/>
  <c r="DH33" i="7"/>
  <c r="AZ40" i="7"/>
  <c r="AR12" i="7"/>
  <c r="AC12" i="7"/>
  <c r="G33" i="7"/>
  <c r="AC5" i="7"/>
  <c r="V5" i="7"/>
  <c r="N33" i="7"/>
  <c r="BG12" i="7"/>
  <c r="V19" i="7"/>
  <c r="CD33" i="7"/>
  <c r="EL12" i="7"/>
  <c r="AR5" i="7"/>
  <c r="BG5" i="7"/>
  <c r="CZ12" i="7"/>
  <c r="CD5" i="7"/>
  <c r="G26" i="7"/>
  <c r="CS19" i="7"/>
  <c r="AZ19" i="7"/>
  <c r="G19" i="7"/>
  <c r="BG40" i="7"/>
  <c r="BO33" i="7"/>
  <c r="BV33" i="7"/>
  <c r="EL33" i="7"/>
  <c r="V40" i="7"/>
  <c r="ES40" i="7"/>
  <c r="DH40" i="7"/>
  <c r="CK5" i="7"/>
  <c r="CZ5" i="7"/>
  <c r="DO5" i="7"/>
  <c r="DO26" i="7"/>
  <c r="EL5" i="7"/>
  <c r="ES26" i="7"/>
  <c r="AC26" i="7"/>
  <c r="DH19" i="7"/>
  <c r="BO19" i="7"/>
  <c r="BG33" i="7"/>
  <c r="DW33" i="7"/>
  <c r="ED33" i="7"/>
  <c r="DO40" i="7"/>
  <c r="EL40" i="7"/>
  <c r="ES5" i="7"/>
  <c r="BV12" i="7"/>
  <c r="N12" i="7"/>
  <c r="N5" i="7"/>
  <c r="AK12" i="7"/>
  <c r="AC19" i="7"/>
  <c r="AR19" i="7"/>
  <c r="BG26" i="7"/>
  <c r="DW19" i="7"/>
  <c r="DO33" i="7"/>
  <c r="CD40" i="7"/>
  <c r="CK40" i="7"/>
  <c r="AR40" i="7"/>
  <c r="AK5" i="7"/>
  <c r="DO19" i="7"/>
  <c r="CK12" i="7"/>
  <c r="BV5" i="7"/>
  <c r="ED12" i="7"/>
  <c r="CK19" i="7"/>
  <c r="CZ19" i="7"/>
  <c r="CS33" i="7"/>
  <c r="CS26" i="7"/>
  <c r="BO40" i="7"/>
  <c r="AC33" i="7"/>
  <c r="AR26" i="7"/>
  <c r="CZ40" i="7"/>
  <c r="CS5" i="7"/>
  <c r="AZ5" i="7"/>
  <c r="G5" i="7"/>
  <c r="ED5" i="7"/>
  <c r="N19" i="7"/>
  <c r="ES19" i="7"/>
  <c r="AK26" i="7"/>
  <c r="CK26" i="7"/>
  <c r="AZ26" i="7"/>
  <c r="N26" i="7"/>
  <c r="CD26" i="7"/>
  <c r="CK33" i="7"/>
  <c r="CZ26" i="7"/>
  <c r="N40" i="7"/>
  <c r="AK33" i="7"/>
  <c r="G12" i="7"/>
  <c r="DH26" i="7"/>
  <c r="BO26" i="7"/>
  <c r="BV26" i="7"/>
  <c r="EL26" i="7"/>
  <c r="ES33" i="7"/>
  <c r="AR33" i="7"/>
  <c r="BV40" i="7"/>
  <c r="V26" i="7"/>
  <c r="BG19" i="7"/>
  <c r="ES12" i="7"/>
  <c r="CD12" i="7"/>
  <c r="DW5" i="7"/>
  <c r="DO12" i="7"/>
  <c r="CD19" i="7"/>
  <c r="CS12" i="7"/>
  <c r="AZ12" i="7"/>
  <c r="BO12" i="7"/>
  <c r="AZ33" i="7"/>
  <c r="DW26" i="7"/>
  <c r="ED26" i="7"/>
  <c r="V33" i="7"/>
  <c r="G40" i="7"/>
  <c r="CZ33" i="7"/>
  <c r="ED40" i="7"/>
  <c r="AK40" i="7"/>
  <c r="G1" i="7"/>
  <c r="FA191" i="7"/>
  <c r="EV191" i="7"/>
  <c r="FA207" i="7"/>
  <c r="EV207" i="7"/>
  <c r="I3" i="4"/>
  <c r="EY216" i="7"/>
  <c r="EZ216" i="7" s="1"/>
  <c r="FC216" i="7"/>
  <c r="FD211" i="7"/>
  <c r="FE211" i="7" s="1"/>
  <c r="FH211" i="7"/>
  <c r="FG211" i="7" s="1"/>
  <c r="FD195" i="7"/>
  <c r="FE195" i="7" s="1"/>
  <c r="FH195" i="7"/>
  <c r="FG195" i="7" s="1"/>
  <c r="FD215" i="7"/>
  <c r="FE215" i="7" s="1"/>
  <c r="FH215" i="7"/>
  <c r="FG215" i="7" s="1"/>
  <c r="EY196" i="7"/>
  <c r="EZ196" i="7" s="1"/>
  <c r="FC196" i="7"/>
  <c r="EW226" i="7"/>
  <c r="G2" i="6"/>
  <c r="FA225" i="7"/>
  <c r="C9" i="4"/>
  <c r="EY214" i="7"/>
  <c r="EZ214" i="7" s="1"/>
  <c r="FC214" i="7"/>
  <c r="FD190" i="7"/>
  <c r="FE190" i="7" s="1"/>
  <c r="FH190" i="7"/>
  <c r="FG190" i="7" s="1"/>
  <c r="FD194" i="7"/>
  <c r="FE194" i="7" s="1"/>
  <c r="FH194" i="7"/>
  <c r="FG194" i="7" s="1"/>
  <c r="FC211" i="7"/>
  <c r="EY211" i="7"/>
  <c r="EZ211" i="7" s="1"/>
  <c r="FC195" i="7"/>
  <c r="EY195" i="7"/>
  <c r="EZ195" i="7" s="1"/>
  <c r="EY212" i="7"/>
  <c r="EZ212" i="7" s="1"/>
  <c r="FC212" i="7"/>
  <c r="FC209" i="7"/>
  <c r="EY206" i="7"/>
  <c r="EZ206" i="7" s="1"/>
  <c r="FC206" i="7"/>
  <c r="FD216" i="7"/>
  <c r="FE216" i="7" s="1"/>
  <c r="FH216" i="7"/>
  <c r="FG216" i="7" s="1"/>
  <c r="EY202" i="7"/>
  <c r="EZ202" i="7" s="1"/>
  <c r="FC202" i="7"/>
  <c r="EY194" i="7"/>
  <c r="EZ194" i="7" s="1"/>
  <c r="FC194" i="7"/>
  <c r="FC215" i="7"/>
  <c r="EY215" i="7"/>
  <c r="EZ215" i="7" s="1"/>
  <c r="FD214" i="7"/>
  <c r="FE214" i="7" s="1"/>
  <c r="FH214" i="7"/>
  <c r="FG214" i="7" s="1"/>
  <c r="FC201" i="7"/>
  <c r="FC205" i="7"/>
  <c r="FC193" i="7"/>
  <c r="FD204" i="7"/>
  <c r="FE204" i="7" s="1"/>
  <c r="FH204" i="7"/>
  <c r="FG204" i="7" s="1"/>
  <c r="FA227" i="7"/>
  <c r="A7" i="6"/>
  <c r="FD212" i="7"/>
  <c r="FE212" i="7" s="1"/>
  <c r="FH212" i="7"/>
  <c r="FG212" i="7" s="1"/>
  <c r="EY210" i="7"/>
  <c r="EZ210" i="7" s="1"/>
  <c r="FC210" i="7"/>
  <c r="FD196" i="7"/>
  <c r="FE196" i="7" s="1"/>
  <c r="FH196" i="7"/>
  <c r="FG196" i="7" s="1"/>
  <c r="FD213" i="7"/>
  <c r="FE213" i="7" s="1"/>
  <c r="FH213" i="7"/>
  <c r="FG213" i="7" s="1"/>
  <c r="FC197" i="7"/>
  <c r="FB228" i="7"/>
  <c r="A8" i="6"/>
  <c r="A9" i="3" a="1"/>
  <c r="A9" i="3" s="1"/>
  <c r="AB7" i="3"/>
  <c r="L7" i="3"/>
  <c r="Z7" i="3"/>
  <c r="J7" i="3"/>
  <c r="X7" i="3"/>
  <c r="H7" i="3"/>
  <c r="AF7" i="3"/>
  <c r="AL7" i="3"/>
  <c r="V7" i="3"/>
  <c r="F7" i="3"/>
  <c r="AJ7" i="3"/>
  <c r="T7" i="3"/>
  <c r="D7" i="3"/>
  <c r="AH7" i="3"/>
  <c r="R7" i="3"/>
  <c r="B7" i="3"/>
  <c r="P7" i="3"/>
  <c r="AD7" i="3"/>
  <c r="N7" i="3"/>
  <c r="FD210" i="7"/>
  <c r="FE210" i="7" s="1"/>
  <c r="FH210" i="7"/>
  <c r="FG210" i="7" s="1"/>
  <c r="EY204" i="7"/>
  <c r="EZ204" i="7" s="1"/>
  <c r="FC204" i="7"/>
  <c r="EY190" i="7"/>
  <c r="EZ190" i="7" s="1"/>
  <c r="FC190" i="7"/>
  <c r="FD203" i="7"/>
  <c r="FE203" i="7" s="1"/>
  <c r="FH203" i="7"/>
  <c r="FG203" i="7" s="1"/>
  <c r="E3" i="6"/>
  <c r="FA181" i="7" s="1"/>
  <c r="E4" i="6"/>
  <c r="FA182" i="7" s="1"/>
  <c r="EW225" i="7"/>
  <c r="G1" i="6"/>
  <c r="FC225" i="7" s="1"/>
  <c r="I7" i="4"/>
  <c r="FD206" i="7"/>
  <c r="FE206" i="7" s="1"/>
  <c r="FH206" i="7"/>
  <c r="FG206" i="7" s="1"/>
  <c r="FC203" i="7"/>
  <c r="EY203" i="7"/>
  <c r="EZ203" i="7" s="1"/>
  <c r="FC189" i="7"/>
  <c r="FD202" i="7"/>
  <c r="FE202" i="7" s="1"/>
  <c r="FH202" i="7"/>
  <c r="FG202" i="7" s="1"/>
  <c r="Z6" i="3"/>
  <c r="J6" i="3"/>
  <c r="X6" i="3"/>
  <c r="AL6" i="3"/>
  <c r="B6" i="3"/>
  <c r="AD6" i="3"/>
  <c r="H6" i="3"/>
  <c r="V6" i="3"/>
  <c r="F6" i="3"/>
  <c r="R6" i="3"/>
  <c r="N6" i="3"/>
  <c r="AJ6" i="3"/>
  <c r="T6" i="3"/>
  <c r="D6" i="3"/>
  <c r="AH6" i="3"/>
  <c r="AF6" i="3"/>
  <c r="P6" i="3"/>
  <c r="A8" i="3" a="1"/>
  <c r="A8" i="3" s="1"/>
  <c r="AB6" i="3"/>
  <c r="L6" i="3"/>
  <c r="EV192" i="7" a="1"/>
  <c r="B3" i="7" a="1"/>
  <c r="C2" i="7" a="1"/>
  <c r="FA192" i="7" a="1"/>
  <c r="FA208" i="7" a="1"/>
  <c r="EV208" i="7" a="1"/>
  <c r="H1" i="7" a="1"/>
  <c r="B3" i="7" l="1"/>
  <c r="C2" i="7"/>
  <c r="H1" i="7"/>
  <c r="FA208" i="7"/>
  <c r="EV208" i="7"/>
  <c r="FA192" i="7"/>
  <c r="EV192" i="7"/>
  <c r="J1" i="6"/>
  <c r="FE225" i="7" s="1"/>
  <c r="FC207" i="7"/>
  <c r="EY207" i="7"/>
  <c r="EZ207" i="7" s="1"/>
  <c r="AF9" i="3"/>
  <c r="P9" i="3"/>
  <c r="AJ9" i="3"/>
  <c r="AD9" i="3"/>
  <c r="N9" i="3"/>
  <c r="A11" i="3" a="1"/>
  <c r="A11" i="3" s="1"/>
  <c r="AB9" i="3"/>
  <c r="L9" i="3"/>
  <c r="D9" i="3"/>
  <c r="Z9" i="3"/>
  <c r="J9" i="3"/>
  <c r="X9" i="3"/>
  <c r="H9" i="3"/>
  <c r="AL9" i="3"/>
  <c r="V9" i="3"/>
  <c r="F9" i="3"/>
  <c r="T9" i="3"/>
  <c r="AH9" i="3"/>
  <c r="R9" i="3"/>
  <c r="B9" i="3"/>
  <c r="EV228" i="7"/>
  <c r="FH228" i="7" s="1"/>
  <c r="FG228" i="7" s="1"/>
  <c r="G8" i="6"/>
  <c r="H8" i="6" a="1"/>
  <c r="H8" i="6" s="1"/>
  <c r="EW228" i="7" s="1"/>
  <c r="FD207" i="7"/>
  <c r="FE207" i="7" s="1"/>
  <c r="FH207" i="7"/>
  <c r="FG207" i="7" s="1"/>
  <c r="AD8" i="3"/>
  <c r="N8" i="3"/>
  <c r="B8" i="3"/>
  <c r="A10" i="3" a="1"/>
  <c r="A10" i="3" s="1"/>
  <c r="AB8" i="3"/>
  <c r="L8" i="3"/>
  <c r="AH8" i="3"/>
  <c r="Z8" i="3"/>
  <c r="J8" i="3"/>
  <c r="X8" i="3"/>
  <c r="H8" i="3"/>
  <c r="AL8" i="3"/>
  <c r="V8" i="3"/>
  <c r="F8" i="3"/>
  <c r="AJ8" i="3"/>
  <c r="T8" i="3"/>
  <c r="D8" i="3"/>
  <c r="R8" i="3"/>
  <c r="AF8" i="3"/>
  <c r="P8" i="3"/>
  <c r="EV227" i="7"/>
  <c r="FH227" i="7" s="1"/>
  <c r="FG227" i="7" s="1"/>
  <c r="FC191" i="7"/>
  <c r="EY191" i="7"/>
  <c r="EZ191" i="7" s="1"/>
  <c r="FC226" i="7"/>
  <c r="J2" i="6"/>
  <c r="FE226" i="7" s="1"/>
  <c r="FD191" i="7"/>
  <c r="FE191" i="7" s="1"/>
  <c r="FH191" i="7"/>
  <c r="FG191" i="7" s="1"/>
  <c r="H7" i="6" a="1"/>
  <c r="B43" i="7" a="1"/>
  <c r="G88" i="7" a="1"/>
  <c r="H2" i="7" a="1"/>
  <c r="G88" i="7" l="1"/>
  <c r="B43" i="7"/>
  <c r="G46" i="7" a="1"/>
  <c r="G46" i="7" s="1"/>
  <c r="C1" i="7"/>
  <c r="H7" i="6"/>
  <c r="H2" i="7"/>
  <c r="EY192" i="7"/>
  <c r="EZ192" i="7" s="1"/>
  <c r="FC192" i="7"/>
  <c r="FD192" i="7"/>
  <c r="FE192" i="7" s="1"/>
  <c r="FH192" i="7"/>
  <c r="FG192" i="7" s="1"/>
  <c r="EY208" i="7"/>
  <c r="EZ208" i="7" s="1"/>
  <c r="FC208" i="7"/>
  <c r="FD208" i="7"/>
  <c r="FE208" i="7" s="1"/>
  <c r="FH208" i="7"/>
  <c r="FG208" i="7" s="1"/>
  <c r="AH10" i="3"/>
  <c r="R10" i="3"/>
  <c r="B10" i="3"/>
  <c r="AF10" i="3"/>
  <c r="P10" i="3"/>
  <c r="V10" i="3"/>
  <c r="AD10" i="3"/>
  <c r="N10" i="3"/>
  <c r="A12" i="3" a="1"/>
  <c r="A12" i="3" s="1"/>
  <c r="AB10" i="3"/>
  <c r="L10" i="3"/>
  <c r="Z10" i="3"/>
  <c r="J10" i="3"/>
  <c r="X10" i="3"/>
  <c r="H10" i="3"/>
  <c r="AL10" i="3"/>
  <c r="F10" i="3"/>
  <c r="AJ10" i="3"/>
  <c r="T10" i="3"/>
  <c r="D10" i="3"/>
  <c r="G4" i="7" a="1"/>
  <c r="G4" i="7" s="1"/>
  <c r="FC228" i="7"/>
  <c r="J8" i="6"/>
  <c r="FE228" i="7" s="1"/>
  <c r="AJ11" i="3"/>
  <c r="T11" i="3"/>
  <c r="D11" i="3"/>
  <c r="AH11" i="3"/>
  <c r="R11" i="3"/>
  <c r="B11" i="3"/>
  <c r="AF11" i="3"/>
  <c r="P11" i="3"/>
  <c r="H11" i="3"/>
  <c r="AD11" i="3"/>
  <c r="N11" i="3"/>
  <c r="A13" i="3" a="1"/>
  <c r="A13" i="3" s="1"/>
  <c r="AB11" i="3"/>
  <c r="L11" i="3"/>
  <c r="Z11" i="3"/>
  <c r="J11" i="3"/>
  <c r="X11" i="3"/>
  <c r="AL11" i="3"/>
  <c r="V11" i="3"/>
  <c r="F11" i="3"/>
  <c r="I1" i="7" a="1"/>
  <c r="G3" i="7" a="1"/>
  <c r="B85" i="7" a="1"/>
  <c r="B85" i="7" l="1"/>
  <c r="G3" i="7"/>
  <c r="EW227" i="7"/>
  <c r="G7" i="6"/>
  <c r="I1" i="7"/>
  <c r="X13" i="3"/>
  <c r="H13" i="3"/>
  <c r="AL13" i="3"/>
  <c r="V13" i="3"/>
  <c r="F13" i="3"/>
  <c r="AJ13" i="3"/>
  <c r="T13" i="3"/>
  <c r="D13" i="3"/>
  <c r="AH13" i="3"/>
  <c r="R13" i="3"/>
  <c r="B13" i="3"/>
  <c r="AF13" i="3"/>
  <c r="P13" i="3"/>
  <c r="AD13" i="3"/>
  <c r="N13" i="3"/>
  <c r="A15" i="3" a="1"/>
  <c r="A15" i="3" s="1"/>
  <c r="AB13" i="3"/>
  <c r="L13" i="3"/>
  <c r="Z13" i="3"/>
  <c r="J13" i="3"/>
  <c r="AL12" i="3"/>
  <c r="V12" i="3"/>
  <c r="F12" i="3"/>
  <c r="AJ12" i="3"/>
  <c r="T12" i="3"/>
  <c r="D12" i="3"/>
  <c r="AH12" i="3"/>
  <c r="R12" i="3"/>
  <c r="B12" i="3"/>
  <c r="AF12" i="3"/>
  <c r="P12" i="3"/>
  <c r="AD12" i="3"/>
  <c r="N12" i="3"/>
  <c r="A14" i="3" a="1"/>
  <c r="A14" i="3" s="1"/>
  <c r="AB12" i="3"/>
  <c r="L12" i="3"/>
  <c r="Z12" i="3"/>
  <c r="J12" i="3"/>
  <c r="X12" i="3"/>
  <c r="H12" i="3"/>
  <c r="N1" i="7" a="1"/>
  <c r="C44" i="7" a="1"/>
  <c r="C44" i="7" l="1"/>
  <c r="FC227" i="7"/>
  <c r="J7" i="6"/>
  <c r="FE227" i="7" s="1"/>
  <c r="N1" i="7"/>
  <c r="A17" i="3" a="1"/>
  <c r="A17" i="3" s="1"/>
  <c r="AB15" i="3"/>
  <c r="L15" i="3"/>
  <c r="Z15" i="3"/>
  <c r="J15" i="3"/>
  <c r="X15" i="3"/>
  <c r="H15" i="3"/>
  <c r="AL15" i="3"/>
  <c r="V15" i="3"/>
  <c r="F15" i="3"/>
  <c r="AJ15" i="3"/>
  <c r="T15" i="3"/>
  <c r="D15" i="3"/>
  <c r="AH15" i="3"/>
  <c r="R15" i="3"/>
  <c r="B15" i="3"/>
  <c r="AF15" i="3"/>
  <c r="P15" i="3"/>
  <c r="AD15" i="3"/>
  <c r="N15" i="3"/>
  <c r="Z14" i="3"/>
  <c r="J14" i="3"/>
  <c r="X14" i="3"/>
  <c r="H14" i="3"/>
  <c r="AL14" i="3"/>
  <c r="V14" i="3"/>
  <c r="F14" i="3"/>
  <c r="AJ14" i="3"/>
  <c r="T14" i="3"/>
  <c r="D14" i="3"/>
  <c r="AH14" i="3"/>
  <c r="R14" i="3"/>
  <c r="B14" i="3"/>
  <c r="AF14" i="3"/>
  <c r="P14" i="3"/>
  <c r="AD14" i="3"/>
  <c r="N14" i="3"/>
  <c r="A16" i="3" a="1"/>
  <c r="A16" i="3" s="1"/>
  <c r="AB14" i="3"/>
  <c r="L14" i="3"/>
  <c r="I3" i="7" a="1"/>
  <c r="J2" i="7" a="1"/>
  <c r="J2" i="7" l="1"/>
  <c r="I3" i="7"/>
  <c r="AD16" i="3"/>
  <c r="N16" i="3"/>
  <c r="A18" i="3" a="1"/>
  <c r="A18" i="3" s="1"/>
  <c r="AB16" i="3"/>
  <c r="L16" i="3"/>
  <c r="Z16" i="3"/>
  <c r="J16" i="3"/>
  <c r="X16" i="3"/>
  <c r="H16" i="3"/>
  <c r="AL16" i="3"/>
  <c r="V16" i="3"/>
  <c r="F16" i="3"/>
  <c r="AJ16" i="3"/>
  <c r="T16" i="3"/>
  <c r="D16" i="3"/>
  <c r="AH16" i="3"/>
  <c r="R16" i="3"/>
  <c r="B16" i="3"/>
  <c r="AF16" i="3"/>
  <c r="P16" i="3"/>
  <c r="AF17" i="3"/>
  <c r="P17" i="3"/>
  <c r="AD17" i="3"/>
  <c r="N17" i="3"/>
  <c r="A19" i="3" a="1"/>
  <c r="A19" i="3" s="1"/>
  <c r="AB17" i="3"/>
  <c r="L17" i="3"/>
  <c r="Z17" i="3"/>
  <c r="J17" i="3"/>
  <c r="X17" i="3"/>
  <c r="H17" i="3"/>
  <c r="AL17" i="3"/>
  <c r="V17" i="3"/>
  <c r="F17" i="3"/>
  <c r="AJ17" i="3"/>
  <c r="T17" i="3"/>
  <c r="D17" i="3"/>
  <c r="AH17" i="3"/>
  <c r="R17" i="3"/>
  <c r="B17" i="3"/>
  <c r="C46" i="7" a="1"/>
  <c r="J4" i="7" a="1"/>
  <c r="A8" i="7" a="1"/>
  <c r="N88" i="7" a="1"/>
  <c r="I43" i="7" a="1"/>
  <c r="N88" i="7" l="1"/>
  <c r="C46" i="7"/>
  <c r="I43" i="7"/>
  <c r="N46" i="7" a="1"/>
  <c r="N46" i="7" s="1"/>
  <c r="J4" i="7"/>
  <c r="FA4" i="7" s="1"/>
  <c r="A8" i="7"/>
  <c r="N4" i="7" a="1"/>
  <c r="N4" i="7" s="1"/>
  <c r="I6" i="7"/>
  <c r="J1" i="7"/>
  <c r="EV4" i="7" s="1"/>
  <c r="EW4" i="7"/>
  <c r="L3" i="7"/>
  <c r="M6" i="7"/>
  <c r="J3" i="7"/>
  <c r="K6" i="7"/>
  <c r="J6" i="7"/>
  <c r="FC4" i="7" s="1"/>
  <c r="AJ19" i="3"/>
  <c r="T19" i="3"/>
  <c r="D19" i="3"/>
  <c r="AH19" i="3"/>
  <c r="R19" i="3"/>
  <c r="B19" i="3"/>
  <c r="AF19" i="3"/>
  <c r="P19" i="3"/>
  <c r="AD19" i="3"/>
  <c r="N19" i="3"/>
  <c r="A21" i="3" a="1"/>
  <c r="A21" i="3" s="1"/>
  <c r="AB19" i="3"/>
  <c r="L19" i="3"/>
  <c r="Z19" i="3"/>
  <c r="J19" i="3"/>
  <c r="X19" i="3"/>
  <c r="H19" i="3"/>
  <c r="AL19" i="3"/>
  <c r="V19" i="3"/>
  <c r="F19" i="3"/>
  <c r="AH18" i="3"/>
  <c r="R18" i="3"/>
  <c r="B18" i="3"/>
  <c r="AF18" i="3"/>
  <c r="P18" i="3"/>
  <c r="AD18" i="3"/>
  <c r="N18" i="3"/>
  <c r="A20" i="3" a="1"/>
  <c r="A20" i="3" s="1"/>
  <c r="AB18" i="3"/>
  <c r="L18" i="3"/>
  <c r="Z18" i="3"/>
  <c r="J18" i="3"/>
  <c r="X18" i="3"/>
  <c r="H18" i="3"/>
  <c r="AL18" i="3"/>
  <c r="V18" i="3"/>
  <c r="F18" i="3"/>
  <c r="AJ18" i="3"/>
  <c r="T18" i="3"/>
  <c r="D18" i="3"/>
  <c r="M2" i="7" a="1"/>
  <c r="I2" i="7" a="1"/>
  <c r="B44" i="7" a="1"/>
  <c r="A9" i="7" a="1"/>
  <c r="I85" i="7" a="1"/>
  <c r="I85" i="7" l="1"/>
  <c r="B44" i="7"/>
  <c r="F48" i="7"/>
  <c r="D48" i="7"/>
  <c r="B48" i="7"/>
  <c r="C45" i="7"/>
  <c r="C48" i="7"/>
  <c r="E45" i="7"/>
  <c r="C43" i="7"/>
  <c r="K7" i="7"/>
  <c r="FE4" i="7" s="1"/>
  <c r="I7" i="7"/>
  <c r="FD4" i="7" s="1"/>
  <c r="M2" i="7"/>
  <c r="EY4" i="7" s="1"/>
  <c r="I2" i="7"/>
  <c r="A9" i="7"/>
  <c r="X21" i="3"/>
  <c r="H21" i="3"/>
  <c r="AL21" i="3"/>
  <c r="V21" i="3"/>
  <c r="F21" i="3"/>
  <c r="AJ21" i="3"/>
  <c r="T21" i="3"/>
  <c r="D21" i="3"/>
  <c r="AH21" i="3"/>
  <c r="R21" i="3"/>
  <c r="B21" i="3"/>
  <c r="AF21" i="3"/>
  <c r="P21" i="3"/>
  <c r="AD21" i="3"/>
  <c r="N21" i="3"/>
  <c r="A23" i="3" a="1"/>
  <c r="A23" i="3" s="1"/>
  <c r="AB21" i="3"/>
  <c r="L21" i="3"/>
  <c r="Z21" i="3"/>
  <c r="J21" i="3"/>
  <c r="AL20" i="3"/>
  <c r="V20" i="3"/>
  <c r="F20" i="3"/>
  <c r="AJ20" i="3"/>
  <c r="T20" i="3"/>
  <c r="D20" i="3"/>
  <c r="AH20" i="3"/>
  <c r="R20" i="3"/>
  <c r="B20" i="3"/>
  <c r="AF20" i="3"/>
  <c r="P20" i="3"/>
  <c r="AD20" i="3"/>
  <c r="N20" i="3"/>
  <c r="A22" i="3" a="1"/>
  <c r="A22" i="3" s="1"/>
  <c r="AB20" i="3"/>
  <c r="L20" i="3"/>
  <c r="Z20" i="3"/>
  <c r="J20" i="3"/>
  <c r="X20" i="3"/>
  <c r="H20" i="3"/>
  <c r="B8" i="7" a="1"/>
  <c r="L2" i="7" a="1"/>
  <c r="N3" i="7" a="1"/>
  <c r="E46" i="7" a="1"/>
  <c r="J44" i="7" a="1"/>
  <c r="EV2" i="7" a="1"/>
  <c r="C86" i="7" a="1"/>
  <c r="D49" i="7" l="1"/>
  <c r="C86" i="7"/>
  <c r="EV2" i="7"/>
  <c r="J44" i="7"/>
  <c r="E46" i="7"/>
  <c r="B49" i="7"/>
  <c r="N2" i="7"/>
  <c r="EZ4" i="7" s="1"/>
  <c r="N3" i="7"/>
  <c r="M7" i="7" s="1"/>
  <c r="FF4" i="7" s="1"/>
  <c r="L2" i="7"/>
  <c r="EX4" i="7" s="1"/>
  <c r="B8" i="7"/>
  <c r="A25" i="3" a="1"/>
  <c r="A25" i="3" s="1"/>
  <c r="AB23" i="3"/>
  <c r="L23" i="3"/>
  <c r="Z23" i="3"/>
  <c r="J23" i="3"/>
  <c r="X23" i="3"/>
  <c r="H23" i="3"/>
  <c r="AL23" i="3"/>
  <c r="V23" i="3"/>
  <c r="F23" i="3"/>
  <c r="AJ23" i="3"/>
  <c r="T23" i="3"/>
  <c r="D23" i="3"/>
  <c r="AH23" i="3"/>
  <c r="R23" i="3"/>
  <c r="B23" i="3"/>
  <c r="AF23" i="3"/>
  <c r="P23" i="3"/>
  <c r="AD23" i="3"/>
  <c r="N23" i="3"/>
  <c r="Z22" i="3"/>
  <c r="J22" i="3"/>
  <c r="X22" i="3"/>
  <c r="H22" i="3"/>
  <c r="AL22" i="3"/>
  <c r="V22" i="3"/>
  <c r="F22" i="3"/>
  <c r="AJ22" i="3"/>
  <c r="T22" i="3"/>
  <c r="D22" i="3"/>
  <c r="AH22" i="3"/>
  <c r="R22" i="3"/>
  <c r="B22" i="3"/>
  <c r="AF22" i="3"/>
  <c r="P22" i="3"/>
  <c r="AD22" i="3"/>
  <c r="N22" i="3"/>
  <c r="A24" i="3" a="1"/>
  <c r="A24" i="3" s="1"/>
  <c r="AB22" i="3"/>
  <c r="L22" i="3"/>
  <c r="B45" i="7" a="1"/>
  <c r="EW3" i="7" a="1"/>
  <c r="G8" i="7" a="1"/>
  <c r="L88" i="7" l="1" a="1"/>
  <c r="L88" i="7" s="1"/>
  <c r="C88" i="7" a="1"/>
  <c r="C88" i="7" s="1"/>
  <c r="F86" i="7" a="1"/>
  <c r="F86" i="7" s="1"/>
  <c r="EW3" i="7"/>
  <c r="B45" i="7"/>
  <c r="G8" i="7"/>
  <c r="AD24" i="3"/>
  <c r="N24" i="3"/>
  <c r="A26" i="3" a="1"/>
  <c r="A26" i="3" s="1"/>
  <c r="AB24" i="3"/>
  <c r="L24" i="3"/>
  <c r="Z24" i="3"/>
  <c r="J24" i="3"/>
  <c r="X24" i="3"/>
  <c r="H24" i="3"/>
  <c r="AL24" i="3"/>
  <c r="V24" i="3"/>
  <c r="F24" i="3"/>
  <c r="AJ24" i="3"/>
  <c r="T24" i="3"/>
  <c r="D24" i="3"/>
  <c r="AH24" i="3"/>
  <c r="R24" i="3"/>
  <c r="B24" i="3"/>
  <c r="AF24" i="3"/>
  <c r="P24" i="3"/>
  <c r="AF25" i="3"/>
  <c r="P25" i="3"/>
  <c r="AD25" i="3"/>
  <c r="N25" i="3"/>
  <c r="A27" i="3" a="1"/>
  <c r="A27" i="3" s="1"/>
  <c r="AB25" i="3"/>
  <c r="L25" i="3"/>
  <c r="Z25" i="3"/>
  <c r="J25" i="3"/>
  <c r="X25" i="3"/>
  <c r="H25" i="3"/>
  <c r="AL25" i="3"/>
  <c r="V25" i="3"/>
  <c r="F25" i="3"/>
  <c r="AJ25" i="3"/>
  <c r="T25" i="3"/>
  <c r="D25" i="3"/>
  <c r="AH25" i="3"/>
  <c r="R25" i="3"/>
  <c r="B25" i="3"/>
  <c r="J46" i="7" a="1"/>
  <c r="G45" i="7" a="1"/>
  <c r="C9" i="7" a="1"/>
  <c r="B10" i="7" a="1"/>
  <c r="G86" i="7" l="1"/>
  <c r="E87" i="7"/>
  <c r="C87" i="7"/>
  <c r="B91" i="7"/>
  <c r="F90" i="7"/>
  <c r="D90" i="7"/>
  <c r="C90" i="7"/>
  <c r="B90" i="7"/>
  <c r="C85" i="7"/>
  <c r="B86" i="7" a="1"/>
  <c r="B86" i="7" s="1"/>
  <c r="J46" i="7"/>
  <c r="G45" i="7"/>
  <c r="F49" i="7" s="1"/>
  <c r="B10" i="7"/>
  <c r="C9" i="7"/>
  <c r="AJ27" i="3"/>
  <c r="T27" i="3"/>
  <c r="D27" i="3"/>
  <c r="AH27" i="3"/>
  <c r="R27" i="3"/>
  <c r="B27" i="3"/>
  <c r="AF27" i="3"/>
  <c r="P27" i="3"/>
  <c r="AD27" i="3"/>
  <c r="N27" i="3"/>
  <c r="A29" i="3" a="1"/>
  <c r="A29" i="3" s="1"/>
  <c r="AB27" i="3"/>
  <c r="L27" i="3"/>
  <c r="Z27" i="3"/>
  <c r="J27" i="3"/>
  <c r="X27" i="3"/>
  <c r="H27" i="3"/>
  <c r="AL27" i="3"/>
  <c r="V27" i="3"/>
  <c r="F27" i="3"/>
  <c r="AH26" i="3"/>
  <c r="R26" i="3"/>
  <c r="B26" i="3"/>
  <c r="AF26" i="3"/>
  <c r="P26" i="3"/>
  <c r="AD26" i="3"/>
  <c r="N26" i="3"/>
  <c r="A28" i="3" a="1"/>
  <c r="A28" i="3" s="1"/>
  <c r="AB26" i="3"/>
  <c r="L26" i="3"/>
  <c r="Z26" i="3"/>
  <c r="J26" i="3"/>
  <c r="X26" i="3"/>
  <c r="H26" i="3"/>
  <c r="AL26" i="3"/>
  <c r="V26" i="3"/>
  <c r="F26" i="3"/>
  <c r="AJ26" i="3"/>
  <c r="T26" i="3"/>
  <c r="D26" i="3"/>
  <c r="H8" i="7" a="1"/>
  <c r="L4" i="7" a="1"/>
  <c r="C11" i="7" a="1"/>
  <c r="E88" i="7" a="1"/>
  <c r="FA3" i="7" a="1"/>
  <c r="I44" i="7" a="1"/>
  <c r="B50" i="7" a="1"/>
  <c r="G95" i="7" a="1"/>
  <c r="EW7" i="7" a="1"/>
  <c r="M48" i="7" l="1"/>
  <c r="F44" i="7" a="1"/>
  <c r="F44" i="7" s="1"/>
  <c r="E86" i="7" a="1"/>
  <c r="E86" i="7" s="1"/>
  <c r="D91" i="7"/>
  <c r="E88" i="7"/>
  <c r="F91" i="7"/>
  <c r="B87" i="7" a="1"/>
  <c r="B87" i="7" s="1"/>
  <c r="G87" i="7" a="1"/>
  <c r="G87" i="7" s="1"/>
  <c r="L45" i="7"/>
  <c r="J43" i="7"/>
  <c r="I45" i="7" s="1" a="1"/>
  <c r="K48" i="7"/>
  <c r="J48" i="7"/>
  <c r="I44" i="7"/>
  <c r="I48" i="7"/>
  <c r="J45" i="7"/>
  <c r="FA3" i="7"/>
  <c r="G95" i="7"/>
  <c r="B50" i="7"/>
  <c r="G53" i="7" a="1"/>
  <c r="G53" i="7" s="1"/>
  <c r="C11" i="7"/>
  <c r="L4" i="7"/>
  <c r="FB4" i="7" s="1"/>
  <c r="FH4" i="7" s="1" a="1"/>
  <c r="FH4" i="7" s="1"/>
  <c r="FG4" i="7" s="1"/>
  <c r="H8" i="7"/>
  <c r="EW7" i="7"/>
  <c r="C13" i="7"/>
  <c r="C10" i="7"/>
  <c r="D13" i="7"/>
  <c r="B13" i="7"/>
  <c r="C8" i="7"/>
  <c r="F13" i="7"/>
  <c r="E10" i="7"/>
  <c r="G11" i="7" a="1"/>
  <c r="G11" i="7" s="1"/>
  <c r="AL28" i="3"/>
  <c r="V28" i="3"/>
  <c r="F28" i="3"/>
  <c r="AJ28" i="3"/>
  <c r="T28" i="3"/>
  <c r="D28" i="3"/>
  <c r="AH28" i="3"/>
  <c r="R28" i="3"/>
  <c r="B28" i="3"/>
  <c r="AF28" i="3"/>
  <c r="P28" i="3"/>
  <c r="AD28" i="3"/>
  <c r="N28" i="3"/>
  <c r="A30" i="3" a="1"/>
  <c r="A30" i="3" s="1"/>
  <c r="AB28" i="3"/>
  <c r="L28" i="3"/>
  <c r="Z28" i="3"/>
  <c r="J28" i="3"/>
  <c r="X28" i="3"/>
  <c r="H28" i="3"/>
  <c r="X29" i="3"/>
  <c r="H29" i="3"/>
  <c r="AL29" i="3"/>
  <c r="V29" i="3"/>
  <c r="F29" i="3"/>
  <c r="AJ29" i="3"/>
  <c r="T29" i="3"/>
  <c r="D29" i="3"/>
  <c r="AH29" i="3"/>
  <c r="R29" i="3"/>
  <c r="B29" i="3"/>
  <c r="AF29" i="3"/>
  <c r="P29" i="3"/>
  <c r="AD29" i="3"/>
  <c r="N29" i="3"/>
  <c r="A31" i="3" a="1"/>
  <c r="A31" i="3" s="1"/>
  <c r="AB29" i="3"/>
  <c r="L29" i="3"/>
  <c r="Z29" i="3"/>
  <c r="J29" i="3"/>
  <c r="M44" i="7" a="1"/>
  <c r="F9" i="7" a="1"/>
  <c r="L46" i="7" a="1"/>
  <c r="FA7" i="7" a="1"/>
  <c r="H9" i="7" a="1"/>
  <c r="FC3" i="7" a="1"/>
  <c r="EV7" i="7" a="1"/>
  <c r="FD3" i="7" a="1"/>
  <c r="FC7" i="7" a="1"/>
  <c r="EV3" i="7" a="1"/>
  <c r="B92" i="7" a="1"/>
  <c r="FE3" i="7" a="1"/>
  <c r="J86" i="7" a="1"/>
  <c r="G44" i="7" l="1"/>
  <c r="E44" i="7" a="1"/>
  <c r="E44" i="7" s="1"/>
  <c r="K49" i="7"/>
  <c r="J86" i="7"/>
  <c r="I49" i="7"/>
  <c r="M44" i="7"/>
  <c r="I45" i="7"/>
  <c r="L46" i="7"/>
  <c r="FD3" i="7"/>
  <c r="FC3" i="7"/>
  <c r="EV3" i="7"/>
  <c r="FE3" i="7"/>
  <c r="B92" i="7"/>
  <c r="D14" i="7"/>
  <c r="FA7" i="7"/>
  <c r="F9" i="7"/>
  <c r="B14" i="7"/>
  <c r="FC7" i="7"/>
  <c r="EV7" i="7"/>
  <c r="H9" i="7"/>
  <c r="Z30" i="3"/>
  <c r="J30" i="3"/>
  <c r="X30" i="3"/>
  <c r="H30" i="3"/>
  <c r="AL30" i="3"/>
  <c r="V30" i="3"/>
  <c r="F30" i="3"/>
  <c r="AJ30" i="3"/>
  <c r="T30" i="3"/>
  <c r="D30" i="3"/>
  <c r="AH30" i="3"/>
  <c r="R30" i="3"/>
  <c r="B30" i="3"/>
  <c r="AF30" i="3"/>
  <c r="P30" i="3"/>
  <c r="AD30" i="3"/>
  <c r="N30" i="3"/>
  <c r="A32" i="3" a="1"/>
  <c r="A32" i="3" s="1"/>
  <c r="AB30" i="3"/>
  <c r="L30" i="3"/>
  <c r="A33" i="3" a="1"/>
  <c r="A33" i="3" s="1"/>
  <c r="AB31" i="3"/>
  <c r="L31" i="3"/>
  <c r="Z31" i="3"/>
  <c r="J31" i="3"/>
  <c r="X31" i="3"/>
  <c r="H31" i="3"/>
  <c r="AL31" i="3"/>
  <c r="V31" i="3"/>
  <c r="F31" i="3"/>
  <c r="AJ31" i="3"/>
  <c r="T31" i="3"/>
  <c r="D31" i="3"/>
  <c r="AH31" i="3"/>
  <c r="R31" i="3"/>
  <c r="B31" i="3"/>
  <c r="AF31" i="3"/>
  <c r="P31" i="3"/>
  <c r="AD31" i="3"/>
  <c r="N31" i="3"/>
  <c r="N45" i="7" a="1"/>
  <c r="G10" i="7" a="1"/>
  <c r="I8" i="7" a="1"/>
  <c r="B9" i="7" a="1"/>
  <c r="C51" i="7" a="1"/>
  <c r="EY7" i="7" a="1"/>
  <c r="EW6" i="7" a="1"/>
  <c r="FD7" i="7" a="1"/>
  <c r="FE7" i="7" a="1"/>
  <c r="FB3" i="7" a="1"/>
  <c r="G9" i="7" l="1"/>
  <c r="J88" i="7" a="1"/>
  <c r="J88" i="7" s="1"/>
  <c r="M86" i="7" a="1"/>
  <c r="M86" i="7" s="1"/>
  <c r="EW6" i="7"/>
  <c r="N45" i="7"/>
  <c r="M49" i="7" s="1"/>
  <c r="N44" i="7"/>
  <c r="FB3" i="7"/>
  <c r="C51" i="7"/>
  <c r="FE7" i="7"/>
  <c r="FD7" i="7"/>
  <c r="B9" i="7"/>
  <c r="EY7" i="7"/>
  <c r="G10" i="7"/>
  <c r="F14" i="7" s="1"/>
  <c r="I8" i="7"/>
  <c r="AF33" i="3"/>
  <c r="P33" i="3"/>
  <c r="AD33" i="3"/>
  <c r="N33" i="3"/>
  <c r="A35" i="3" a="1"/>
  <c r="A35" i="3" s="1"/>
  <c r="AB33" i="3"/>
  <c r="L33" i="3"/>
  <c r="Z33" i="3"/>
  <c r="J33" i="3"/>
  <c r="X33" i="3"/>
  <c r="H33" i="3"/>
  <c r="AL33" i="3"/>
  <c r="V33" i="3"/>
  <c r="F33" i="3"/>
  <c r="AJ33" i="3"/>
  <c r="T33" i="3"/>
  <c r="D33" i="3"/>
  <c r="AH33" i="3"/>
  <c r="R33" i="3"/>
  <c r="B33" i="3"/>
  <c r="AD32" i="3"/>
  <c r="N32" i="3"/>
  <c r="A34" i="3" a="1"/>
  <c r="A34" i="3" s="1"/>
  <c r="AB32" i="3"/>
  <c r="L32" i="3"/>
  <c r="Z32" i="3"/>
  <c r="J32" i="3"/>
  <c r="X32" i="3"/>
  <c r="H32" i="3"/>
  <c r="AL32" i="3"/>
  <c r="V32" i="3"/>
  <c r="F32" i="3"/>
  <c r="AJ32" i="3"/>
  <c r="T32" i="3"/>
  <c r="D32" i="3"/>
  <c r="AH32" i="3"/>
  <c r="R32" i="3"/>
  <c r="B32" i="3"/>
  <c r="AF32" i="3"/>
  <c r="P32" i="3"/>
  <c r="L44" i="7" a="1"/>
  <c r="E9" i="7" a="1"/>
  <c r="N8" i="7" a="1"/>
  <c r="FF3" i="7" a="1"/>
  <c r="FA6" i="7" a="1"/>
  <c r="FF7" i="7" a="1"/>
  <c r="EZ7" i="7" a="1"/>
  <c r="EZ7" i="7" l="1"/>
  <c r="N86" i="7"/>
  <c r="L87" i="7"/>
  <c r="I90" i="7"/>
  <c r="J85" i="7"/>
  <c r="J87" i="7"/>
  <c r="I91" i="7"/>
  <c r="K90" i="7"/>
  <c r="M90" i="7"/>
  <c r="J90" i="7"/>
  <c r="I86" i="7" a="1"/>
  <c r="I86" i="7" s="1"/>
  <c r="FA6" i="7"/>
  <c r="L44" i="7"/>
  <c r="FF3" i="7"/>
  <c r="E9" i="7"/>
  <c r="FF7" i="7"/>
  <c r="N8" i="7"/>
  <c r="AH34" i="3"/>
  <c r="R34" i="3"/>
  <c r="B34" i="3"/>
  <c r="AF34" i="3"/>
  <c r="P34" i="3"/>
  <c r="AD34" i="3"/>
  <c r="N34" i="3"/>
  <c r="A36" i="3" a="1"/>
  <c r="A36" i="3" s="1"/>
  <c r="AB34" i="3"/>
  <c r="L34" i="3"/>
  <c r="Z34" i="3"/>
  <c r="J34" i="3"/>
  <c r="X34" i="3"/>
  <c r="H34" i="3"/>
  <c r="AL34" i="3"/>
  <c r="V34" i="3"/>
  <c r="F34" i="3"/>
  <c r="AJ34" i="3"/>
  <c r="T34" i="3"/>
  <c r="D34" i="3"/>
  <c r="AJ35" i="3"/>
  <c r="T35" i="3"/>
  <c r="D35" i="3"/>
  <c r="AH35" i="3"/>
  <c r="R35" i="3"/>
  <c r="B35" i="3"/>
  <c r="AF35" i="3"/>
  <c r="P35" i="3"/>
  <c r="AD35" i="3"/>
  <c r="N35" i="3"/>
  <c r="A37" i="3" a="1"/>
  <c r="A37" i="3" s="1"/>
  <c r="AB35" i="3"/>
  <c r="L35" i="3"/>
  <c r="Z35" i="3"/>
  <c r="J35" i="3"/>
  <c r="X35" i="3"/>
  <c r="H35" i="3"/>
  <c r="AL35" i="3"/>
  <c r="V35" i="3"/>
  <c r="F35" i="3"/>
  <c r="C53" i="7" a="1"/>
  <c r="EX7" i="7" a="1"/>
  <c r="EV6" i="7" a="1"/>
  <c r="FC6" i="7" a="1"/>
  <c r="FD6" i="7" a="1"/>
  <c r="J9" i="7" a="1"/>
  <c r="EY3" i="7" a="1"/>
  <c r="I10" i="7" a="1"/>
  <c r="L86" i="7" l="1" a="1"/>
  <c r="L86" i="7" s="1"/>
  <c r="K91" i="7"/>
  <c r="M91" i="7"/>
  <c r="N87" i="7" a="1"/>
  <c r="N87" i="7" s="1"/>
  <c r="I87" i="7" a="1"/>
  <c r="I87" i="7" s="1"/>
  <c r="C53" i="7"/>
  <c r="EV6" i="7"/>
  <c r="FC6" i="7"/>
  <c r="FD6" i="7"/>
  <c r="EY3" i="7"/>
  <c r="EX7" i="7"/>
  <c r="J9" i="7"/>
  <c r="I10" i="7"/>
  <c r="X37" i="3"/>
  <c r="H37" i="3"/>
  <c r="AL37" i="3"/>
  <c r="V37" i="3"/>
  <c r="F37" i="3"/>
  <c r="AJ37" i="3"/>
  <c r="T37" i="3"/>
  <c r="D37" i="3"/>
  <c r="AH37" i="3"/>
  <c r="R37" i="3"/>
  <c r="B37" i="3"/>
  <c r="AF37" i="3"/>
  <c r="P37" i="3"/>
  <c r="AD37" i="3"/>
  <c r="N37" i="3"/>
  <c r="A39" i="3" a="1"/>
  <c r="A39" i="3" s="1"/>
  <c r="AB37" i="3"/>
  <c r="L37" i="3"/>
  <c r="Z37" i="3"/>
  <c r="J37" i="3"/>
  <c r="AL36" i="3"/>
  <c r="V36" i="3"/>
  <c r="F36" i="3"/>
  <c r="AJ36" i="3"/>
  <c r="T36" i="3"/>
  <c r="D36" i="3"/>
  <c r="AH36" i="3"/>
  <c r="R36" i="3"/>
  <c r="B36" i="3"/>
  <c r="AF36" i="3"/>
  <c r="P36" i="3"/>
  <c r="AD36" i="3"/>
  <c r="N36" i="3"/>
  <c r="A38" i="3" a="1"/>
  <c r="A38" i="3" s="1"/>
  <c r="AB36" i="3"/>
  <c r="L36" i="3"/>
  <c r="Z36" i="3"/>
  <c r="J36" i="3"/>
  <c r="X36" i="3"/>
  <c r="H36" i="3"/>
  <c r="E11" i="7" a="1"/>
  <c r="A15" i="7" a="1"/>
  <c r="EY6" i="7" a="1"/>
  <c r="EZ3" i="7" a="1"/>
  <c r="EX3" i="7" a="1"/>
  <c r="FB6" i="7" a="1"/>
  <c r="I50" i="7" a="1"/>
  <c r="FE6" i="7" a="1"/>
  <c r="B51" i="7" a="1"/>
  <c r="EW10" i="7" a="1"/>
  <c r="FE6" i="7" l="1"/>
  <c r="B55" i="7"/>
  <c r="C52" i="7"/>
  <c r="D55" i="7"/>
  <c r="C50" i="7"/>
  <c r="B52" i="7" s="1" a="1"/>
  <c r="F55" i="7"/>
  <c r="E52" i="7"/>
  <c r="C55" i="7"/>
  <c r="B51" i="7"/>
  <c r="EY6" i="7"/>
  <c r="FB6" i="7"/>
  <c r="EX3" i="7"/>
  <c r="EZ3" i="7"/>
  <c r="I50" i="7"/>
  <c r="E11" i="7"/>
  <c r="A15" i="7"/>
  <c r="EW10" i="7"/>
  <c r="J13" i="7"/>
  <c r="I13" i="7"/>
  <c r="J10" i="7"/>
  <c r="J8" i="7"/>
  <c r="L10" i="7"/>
  <c r="M13" i="7"/>
  <c r="K13" i="7"/>
  <c r="Z38" i="3"/>
  <c r="J38" i="3"/>
  <c r="X38" i="3"/>
  <c r="H38" i="3"/>
  <c r="AL38" i="3"/>
  <c r="V38" i="3"/>
  <c r="F38" i="3"/>
  <c r="AJ38" i="3"/>
  <c r="T38" i="3"/>
  <c r="D38" i="3"/>
  <c r="AH38" i="3"/>
  <c r="R38" i="3"/>
  <c r="B38" i="3"/>
  <c r="AF38" i="3"/>
  <c r="P38" i="3"/>
  <c r="AD38" i="3"/>
  <c r="N38" i="3"/>
  <c r="A40" i="3" a="1"/>
  <c r="A40" i="3" s="1"/>
  <c r="AB38" i="3"/>
  <c r="L38" i="3"/>
  <c r="A41" i="3" a="1"/>
  <c r="A41" i="3" s="1"/>
  <c r="AB39" i="3"/>
  <c r="L39" i="3"/>
  <c r="Z39" i="3"/>
  <c r="J39" i="3"/>
  <c r="X39" i="3"/>
  <c r="H39" i="3"/>
  <c r="AL39" i="3"/>
  <c r="V39" i="3"/>
  <c r="F39" i="3"/>
  <c r="AJ39" i="3"/>
  <c r="T39" i="3"/>
  <c r="D39" i="3"/>
  <c r="AH39" i="3"/>
  <c r="R39" i="3"/>
  <c r="B39" i="3"/>
  <c r="AF39" i="3"/>
  <c r="P39" i="3"/>
  <c r="AD39" i="3"/>
  <c r="N39" i="3"/>
  <c r="F51" i="7" a="1"/>
  <c r="E53" i="7" a="1"/>
  <c r="M9" i="7" a="1"/>
  <c r="J11" i="7" a="1"/>
  <c r="N11" i="7" a="1"/>
  <c r="I92" i="7" a="1"/>
  <c r="FC10" i="7" a="1"/>
  <c r="FB7" i="7" a="1"/>
  <c r="C93" i="7" a="1"/>
  <c r="A16" i="7" a="1"/>
  <c r="FF6" i="7" a="1"/>
  <c r="EV10" i="7" a="1"/>
  <c r="EZ6" i="7" a="1"/>
  <c r="D56" i="7" l="1"/>
  <c r="I92" i="7"/>
  <c r="C93" i="7"/>
  <c r="B56" i="7"/>
  <c r="F51" i="7"/>
  <c r="B52" i="7"/>
  <c r="E53" i="7"/>
  <c r="EZ6" i="7"/>
  <c r="FF6" i="7"/>
  <c r="FH3" i="7" a="1"/>
  <c r="FH3" i="7" s="1"/>
  <c r="FG3" i="7" s="1"/>
  <c r="M9" i="7"/>
  <c r="J11" i="7"/>
  <c r="N11" i="7"/>
  <c r="FB7" i="7"/>
  <c r="FH7" i="7" s="1" a="1"/>
  <c r="FH7" i="7" s="1"/>
  <c r="FG7" i="7" s="1"/>
  <c r="FC10" i="7"/>
  <c r="A16" i="7"/>
  <c r="EV10" i="7"/>
  <c r="AF41" i="3"/>
  <c r="P41" i="3"/>
  <c r="AD41" i="3"/>
  <c r="N41" i="3"/>
  <c r="A43" i="3" a="1"/>
  <c r="A43" i="3" s="1"/>
  <c r="AB41" i="3"/>
  <c r="L41" i="3"/>
  <c r="Z41" i="3"/>
  <c r="J41" i="3"/>
  <c r="X41" i="3"/>
  <c r="H41" i="3"/>
  <c r="AL41" i="3"/>
  <c r="V41" i="3"/>
  <c r="F41" i="3"/>
  <c r="AJ41" i="3"/>
  <c r="T41" i="3"/>
  <c r="D41" i="3"/>
  <c r="AH41" i="3"/>
  <c r="R41" i="3"/>
  <c r="B41" i="3"/>
  <c r="AD40" i="3"/>
  <c r="N40" i="3"/>
  <c r="A42" i="3" a="1"/>
  <c r="A42" i="3" s="1"/>
  <c r="AB40" i="3"/>
  <c r="L40" i="3"/>
  <c r="Z40" i="3"/>
  <c r="J40" i="3"/>
  <c r="X40" i="3"/>
  <c r="H40" i="3"/>
  <c r="AL40" i="3"/>
  <c r="V40" i="3"/>
  <c r="F40" i="3"/>
  <c r="AJ40" i="3"/>
  <c r="T40" i="3"/>
  <c r="D40" i="3"/>
  <c r="AH40" i="3"/>
  <c r="R40" i="3"/>
  <c r="B40" i="3"/>
  <c r="AF40" i="3"/>
  <c r="P40" i="3"/>
  <c r="C95" i="7" a="1"/>
  <c r="G52" i="7" a="1"/>
  <c r="I9" i="7" a="1"/>
  <c r="B15" i="7" a="1"/>
  <c r="L9" i="7" a="1"/>
  <c r="N10" i="7" a="1"/>
  <c r="EW9" i="7" a="1"/>
  <c r="FA10" i="7" a="1"/>
  <c r="EY10" i="7" a="1"/>
  <c r="EX6" i="7" a="1"/>
  <c r="J51" i="7" a="1"/>
  <c r="N9" i="7" l="1"/>
  <c r="K14" i="7"/>
  <c r="EW9" i="7"/>
  <c r="C95" i="7"/>
  <c r="G52" i="7"/>
  <c r="F56" i="7" s="1"/>
  <c r="G51" i="7"/>
  <c r="EX6" i="7"/>
  <c r="FH6" i="7" s="1" a="1"/>
  <c r="FH6" i="7" s="1"/>
  <c r="FG6" i="7" s="1"/>
  <c r="J51" i="7"/>
  <c r="I14" i="7"/>
  <c r="N10" i="7"/>
  <c r="M14" i="7" s="1"/>
  <c r="L9" i="7"/>
  <c r="FA10" i="7"/>
  <c r="I9" i="7"/>
  <c r="EY10" i="7"/>
  <c r="B15" i="7"/>
  <c r="AJ43" i="3"/>
  <c r="A45" i="3" a="1"/>
  <c r="A45" i="3" s="1"/>
  <c r="AB43" i="3"/>
  <c r="L43" i="3"/>
  <c r="V43" i="3"/>
  <c r="D43" i="3"/>
  <c r="T43" i="3"/>
  <c r="B43" i="3"/>
  <c r="AL43" i="3"/>
  <c r="R43" i="3"/>
  <c r="AH43" i="3"/>
  <c r="P43" i="3"/>
  <c r="AF43" i="3"/>
  <c r="N43" i="3"/>
  <c r="AD43" i="3"/>
  <c r="J43" i="3"/>
  <c r="Z43" i="3"/>
  <c r="H43" i="3"/>
  <c r="X43" i="3"/>
  <c r="F43" i="3"/>
  <c r="AH42" i="3"/>
  <c r="R42" i="3"/>
  <c r="B42" i="3"/>
  <c r="AF42" i="3"/>
  <c r="P42" i="3"/>
  <c r="AD42" i="3"/>
  <c r="N42" i="3"/>
  <c r="AB42" i="3"/>
  <c r="L42" i="3"/>
  <c r="Z42" i="3"/>
  <c r="J42" i="3"/>
  <c r="X42" i="3"/>
  <c r="H42" i="3"/>
  <c r="AL42" i="3"/>
  <c r="V42" i="3"/>
  <c r="F42" i="3"/>
  <c r="A44" i="3" a="1"/>
  <c r="A44" i="3" s="1"/>
  <c r="AJ42" i="3"/>
  <c r="T42" i="3"/>
  <c r="D42" i="3"/>
  <c r="B93" i="7" a="1"/>
  <c r="E51" i="7" a="1"/>
  <c r="EZ10" i="7" a="1"/>
  <c r="FA9" i="7" a="1"/>
  <c r="G15" i="7" a="1"/>
  <c r="FD10" i="7" a="1"/>
  <c r="FF10" i="7" a="1"/>
  <c r="FE10" i="7" a="1"/>
  <c r="EX10" i="7" a="1"/>
  <c r="EZ10" i="7" l="1"/>
  <c r="FE10" i="7"/>
  <c r="C94" i="7"/>
  <c r="C92" i="7"/>
  <c r="B94" i="7" s="1" a="1"/>
  <c r="B97" i="7"/>
  <c r="E94" i="7"/>
  <c r="F97" i="7"/>
  <c r="C97" i="7"/>
  <c r="D97" i="7"/>
  <c r="B93" i="7"/>
  <c r="FA9" i="7"/>
  <c r="E51" i="7"/>
  <c r="FD10" i="7"/>
  <c r="EX10" i="7"/>
  <c r="FF10" i="7"/>
  <c r="G15" i="7"/>
  <c r="X45" i="3"/>
  <c r="H45" i="3"/>
  <c r="AL45" i="3"/>
  <c r="V45" i="3"/>
  <c r="AH45" i="3"/>
  <c r="R45" i="3"/>
  <c r="B45" i="3"/>
  <c r="AF45" i="3"/>
  <c r="P45" i="3"/>
  <c r="AB45" i="3"/>
  <c r="Z45" i="3"/>
  <c r="T45" i="3"/>
  <c r="N45" i="3"/>
  <c r="L45" i="3"/>
  <c r="A47" i="3" a="1"/>
  <c r="A47" i="3" s="1"/>
  <c r="J45" i="3"/>
  <c r="AJ45" i="3"/>
  <c r="F45" i="3"/>
  <c r="AD45" i="3"/>
  <c r="D45" i="3"/>
  <c r="AL44" i="3"/>
  <c r="V44" i="3"/>
  <c r="F44" i="3"/>
  <c r="AF44" i="3"/>
  <c r="P44" i="3"/>
  <c r="AD44" i="3"/>
  <c r="N44" i="3"/>
  <c r="T44" i="3"/>
  <c r="R44" i="3"/>
  <c r="A46" i="3" a="1"/>
  <c r="A46" i="3" s="1"/>
  <c r="L44" i="3"/>
  <c r="AJ44" i="3"/>
  <c r="J44" i="3"/>
  <c r="AH44" i="3"/>
  <c r="H44" i="3"/>
  <c r="AB44" i="3"/>
  <c r="D44" i="3"/>
  <c r="Z44" i="3"/>
  <c r="B44" i="3"/>
  <c r="X44" i="3"/>
  <c r="F93" i="7" a="1"/>
  <c r="E95" i="7" a="1"/>
  <c r="J53" i="7" a="1"/>
  <c r="EV9" i="7" a="1"/>
  <c r="FC9" i="7" a="1"/>
  <c r="B17" i="7" a="1"/>
  <c r="C16" i="7" a="1"/>
  <c r="D98" i="7" l="1"/>
  <c r="F93" i="7"/>
  <c r="E93" i="7" s="1" a="1"/>
  <c r="EV9" i="7"/>
  <c r="FC9" i="7"/>
  <c r="B98" i="7"/>
  <c r="B94" i="7"/>
  <c r="E95" i="7"/>
  <c r="J53" i="7"/>
  <c r="C16" i="7"/>
  <c r="B17" i="7"/>
  <c r="A49" i="3" a="1"/>
  <c r="A49" i="3" s="1"/>
  <c r="AB47" i="3"/>
  <c r="L47" i="3"/>
  <c r="Z47" i="3"/>
  <c r="J47" i="3"/>
  <c r="AL47" i="3"/>
  <c r="V47" i="3"/>
  <c r="F47" i="3"/>
  <c r="AJ47" i="3"/>
  <c r="T47" i="3"/>
  <c r="D47" i="3"/>
  <c r="R47" i="3"/>
  <c r="P47" i="3"/>
  <c r="N47" i="3"/>
  <c r="H47" i="3"/>
  <c r="AH47" i="3"/>
  <c r="B47" i="3"/>
  <c r="AF47" i="3"/>
  <c r="AD47" i="3"/>
  <c r="X47" i="3"/>
  <c r="Z46" i="3"/>
  <c r="J46" i="3"/>
  <c r="X46" i="3"/>
  <c r="H46" i="3"/>
  <c r="AJ46" i="3"/>
  <c r="T46" i="3"/>
  <c r="D46" i="3"/>
  <c r="AH46" i="3"/>
  <c r="R46" i="3"/>
  <c r="B46" i="3"/>
  <c r="L46" i="3"/>
  <c r="A48" i="3" a="1"/>
  <c r="A48" i="3" s="1"/>
  <c r="AL46" i="3"/>
  <c r="F46" i="3"/>
  <c r="AF46" i="3"/>
  <c r="AD46" i="3"/>
  <c r="AB46" i="3"/>
  <c r="V46" i="3"/>
  <c r="P46" i="3"/>
  <c r="N46" i="3"/>
  <c r="G94" i="7" a="1"/>
  <c r="C18" i="7" a="1"/>
  <c r="H15" i="7" a="1"/>
  <c r="L11" i="7" a="1"/>
  <c r="I51" i="7" a="1"/>
  <c r="B57" i="7" a="1"/>
  <c r="FD9" i="7" a="1"/>
  <c r="EW13" i="7" a="1"/>
  <c r="FE9" i="7" a="1"/>
  <c r="EY9" i="7" a="1"/>
  <c r="FB9" i="7" a="1"/>
  <c r="FE9" i="7" l="1"/>
  <c r="G93" i="7"/>
  <c r="E93" i="7"/>
  <c r="EY9" i="7"/>
  <c r="FD9" i="7"/>
  <c r="FB9" i="7"/>
  <c r="G94" i="7"/>
  <c r="F98" i="7" s="1"/>
  <c r="B57" i="7"/>
  <c r="I51" i="7"/>
  <c r="M55" i="7"/>
  <c r="L52" i="7"/>
  <c r="J55" i="7"/>
  <c r="I55" i="7"/>
  <c r="J50" i="7"/>
  <c r="K55" i="7"/>
  <c r="J52" i="7"/>
  <c r="L11" i="7"/>
  <c r="C18" i="7"/>
  <c r="H15" i="7"/>
  <c r="EW13" i="7"/>
  <c r="E17" i="7"/>
  <c r="F20" i="7"/>
  <c r="D20" i="7"/>
  <c r="C20" i="7"/>
  <c r="B20" i="7"/>
  <c r="C15" i="7"/>
  <c r="C17" i="7"/>
  <c r="AF49" i="3"/>
  <c r="P49" i="3"/>
  <c r="AD49" i="3"/>
  <c r="N49" i="3"/>
  <c r="A51" i="3" a="1"/>
  <c r="A51" i="3" s="1"/>
  <c r="AB49" i="3"/>
  <c r="L49" i="3"/>
  <c r="Z49" i="3"/>
  <c r="J49" i="3"/>
  <c r="X49" i="3"/>
  <c r="H49" i="3"/>
  <c r="T49" i="3"/>
  <c r="R49" i="3"/>
  <c r="F49" i="3"/>
  <c r="D49" i="3"/>
  <c r="AL49" i="3"/>
  <c r="B49" i="3"/>
  <c r="AJ49" i="3"/>
  <c r="AH49" i="3"/>
  <c r="V49" i="3"/>
  <c r="AD48" i="3"/>
  <c r="N48" i="3"/>
  <c r="A50" i="3" a="1"/>
  <c r="A50" i="3" s="1"/>
  <c r="AB48" i="3"/>
  <c r="L48" i="3"/>
  <c r="X48" i="3"/>
  <c r="H48" i="3"/>
  <c r="AL48" i="3"/>
  <c r="V48" i="3"/>
  <c r="F48" i="3"/>
  <c r="AH48" i="3"/>
  <c r="B48" i="3"/>
  <c r="AF48" i="3"/>
  <c r="Z48" i="3"/>
  <c r="T48" i="3"/>
  <c r="R48" i="3"/>
  <c r="P48" i="3"/>
  <c r="J48" i="3"/>
  <c r="AJ48" i="3"/>
  <c r="D48" i="3"/>
  <c r="L53" i="7" a="1"/>
  <c r="F16" i="7" a="1"/>
  <c r="FC13" i="7" a="1"/>
  <c r="J93" i="7" a="1"/>
  <c r="EX9" i="7" a="1"/>
  <c r="FF9" i="7" a="1"/>
  <c r="FB10" i="7" a="1"/>
  <c r="H16" i="7" a="1"/>
  <c r="EZ9" i="7" a="1"/>
  <c r="FA13" i="7" a="1"/>
  <c r="B99" i="7" a="1"/>
  <c r="EV13" i="7" a="1"/>
  <c r="EZ9" i="7" l="1"/>
  <c r="K56" i="7"/>
  <c r="B99" i="7"/>
  <c r="J93" i="7"/>
  <c r="EX9" i="7"/>
  <c r="FF9" i="7"/>
  <c r="I56" i="7"/>
  <c r="L53" i="7"/>
  <c r="B21" i="7"/>
  <c r="D21" i="7"/>
  <c r="F16" i="7"/>
  <c r="FA13" i="7"/>
  <c r="FB10" i="7"/>
  <c r="FH10" i="7" s="1" a="1"/>
  <c r="FH10" i="7" s="1"/>
  <c r="FG10" i="7" s="1"/>
  <c r="EV13" i="7"/>
  <c r="H16" i="7"/>
  <c r="FC13" i="7"/>
  <c r="AH50" i="3"/>
  <c r="R50" i="3"/>
  <c r="B50" i="3"/>
  <c r="AF50" i="3"/>
  <c r="P50" i="3"/>
  <c r="AD50" i="3"/>
  <c r="N50" i="3"/>
  <c r="A52" i="3" a="1"/>
  <c r="A52" i="3" s="1"/>
  <c r="AB50" i="3"/>
  <c r="L50" i="3"/>
  <c r="Z50" i="3"/>
  <c r="J50" i="3"/>
  <c r="AL50" i="3"/>
  <c r="F50" i="3"/>
  <c r="D50" i="3"/>
  <c r="AJ50" i="3"/>
  <c r="X50" i="3"/>
  <c r="V50" i="3"/>
  <c r="T50" i="3"/>
  <c r="H50" i="3"/>
  <c r="AJ51" i="3"/>
  <c r="T51" i="3"/>
  <c r="D51" i="3"/>
  <c r="AH51" i="3"/>
  <c r="R51" i="3"/>
  <c r="B51" i="3"/>
  <c r="AF51" i="3"/>
  <c r="P51" i="3"/>
  <c r="AD51" i="3"/>
  <c r="N51" i="3"/>
  <c r="A53" i="3" a="1"/>
  <c r="A53" i="3" s="1"/>
  <c r="AB51" i="3"/>
  <c r="L51" i="3"/>
  <c r="X51" i="3"/>
  <c r="H51" i="3"/>
  <c r="F51" i="3"/>
  <c r="AL51" i="3"/>
  <c r="Z51" i="3"/>
  <c r="V51" i="3"/>
  <c r="J51" i="3"/>
  <c r="I52" i="7" a="1"/>
  <c r="M51" i="7" a="1"/>
  <c r="I15" i="7" a="1"/>
  <c r="G17" i="7" a="1"/>
  <c r="G18" i="7" a="1"/>
  <c r="E16" i="7" a="1"/>
  <c r="B16" i="7" a="1"/>
  <c r="EW12" i="7" a="1"/>
  <c r="C58" i="7" a="1"/>
  <c r="FD13" i="7" a="1"/>
  <c r="FE13" i="7" a="1"/>
  <c r="EY13" i="7" a="1"/>
  <c r="G16" i="7" l="1"/>
  <c r="EW12" i="7"/>
  <c r="FH9" i="7" a="1"/>
  <c r="FH9" i="7" s="1"/>
  <c r="FG9" i="7" s="1"/>
  <c r="J95" i="7" a="1"/>
  <c r="J95" i="7" s="1"/>
  <c r="M93" i="7" a="1"/>
  <c r="M93" i="7" s="1"/>
  <c r="M51" i="7"/>
  <c r="I52" i="7"/>
  <c r="C58" i="7"/>
  <c r="FD13" i="7"/>
  <c r="FE13" i="7"/>
  <c r="G17" i="7"/>
  <c r="B16" i="7"/>
  <c r="G18" i="7"/>
  <c r="E16" i="7"/>
  <c r="EY13" i="7"/>
  <c r="I15" i="7"/>
  <c r="X53" i="3"/>
  <c r="H53" i="3"/>
  <c r="AL53" i="3"/>
  <c r="V53" i="3"/>
  <c r="F53" i="3"/>
  <c r="AJ53" i="3"/>
  <c r="T53" i="3"/>
  <c r="D53" i="3"/>
  <c r="AH53" i="3"/>
  <c r="R53" i="3"/>
  <c r="B53" i="3"/>
  <c r="AF53" i="3"/>
  <c r="P53" i="3"/>
  <c r="A55" i="3" a="1"/>
  <c r="A55" i="3" s="1"/>
  <c r="AB53" i="3"/>
  <c r="L53" i="3"/>
  <c r="Z53" i="3"/>
  <c r="N53" i="3"/>
  <c r="J53" i="3"/>
  <c r="AD53" i="3"/>
  <c r="AL52" i="3"/>
  <c r="V52" i="3"/>
  <c r="F52" i="3"/>
  <c r="AJ52" i="3"/>
  <c r="T52" i="3"/>
  <c r="D52" i="3"/>
  <c r="AH52" i="3"/>
  <c r="R52" i="3"/>
  <c r="B52" i="3"/>
  <c r="AF52" i="3"/>
  <c r="P52" i="3"/>
  <c r="AD52" i="3"/>
  <c r="N52" i="3"/>
  <c r="A54" i="3" a="1"/>
  <c r="A54" i="3" s="1"/>
  <c r="Z52" i="3"/>
  <c r="J52" i="3"/>
  <c r="L52" i="3"/>
  <c r="H52" i="3"/>
  <c r="AB52" i="3"/>
  <c r="X52" i="3"/>
  <c r="EZ13" i="7" a="1"/>
  <c r="FA12" i="7" a="1"/>
  <c r="EY12" i="7" a="1"/>
  <c r="EX13" i="7" a="1"/>
  <c r="N15" i="7" a="1"/>
  <c r="EZ13" i="7" l="1"/>
  <c r="E102" i="7" a="1"/>
  <c r="E102" i="7" s="1"/>
  <c r="EY12" i="7"/>
  <c r="FA12" i="7"/>
  <c r="N93" i="7"/>
  <c r="L94" i="7"/>
  <c r="J94" i="7"/>
  <c r="I98" i="7"/>
  <c r="M97" i="7"/>
  <c r="K97" i="7"/>
  <c r="J97" i="7"/>
  <c r="I97" i="7"/>
  <c r="J92" i="7"/>
  <c r="I93" i="7" a="1"/>
  <c r="I93" i="7" s="1"/>
  <c r="C60" i="7" a="1"/>
  <c r="C60" i="7" s="1"/>
  <c r="F58" i="7" a="1"/>
  <c r="F58" i="7" s="1"/>
  <c r="N51" i="7"/>
  <c r="EX13" i="7"/>
  <c r="F21" i="7"/>
  <c r="N15" i="7"/>
  <c r="Z54" i="3"/>
  <c r="J54" i="3"/>
  <c r="X54" i="3"/>
  <c r="H54" i="3"/>
  <c r="AL54" i="3"/>
  <c r="V54" i="3"/>
  <c r="F54" i="3"/>
  <c r="AJ54" i="3"/>
  <c r="T54" i="3"/>
  <c r="D54" i="3"/>
  <c r="AH54" i="3"/>
  <c r="R54" i="3"/>
  <c r="B54" i="3"/>
  <c r="AF54" i="3"/>
  <c r="P54" i="3"/>
  <c r="AD54" i="3"/>
  <c r="N54" i="3"/>
  <c r="A56" i="3" a="1"/>
  <c r="A56" i="3" s="1"/>
  <c r="AB54" i="3"/>
  <c r="L54" i="3"/>
  <c r="A57" i="3" a="1"/>
  <c r="A57" i="3" s="1"/>
  <c r="AB55" i="3"/>
  <c r="L55" i="3"/>
  <c r="Z55" i="3"/>
  <c r="J55" i="3"/>
  <c r="X55" i="3"/>
  <c r="H55" i="3"/>
  <c r="AL55" i="3"/>
  <c r="V55" i="3"/>
  <c r="F55" i="3"/>
  <c r="AJ55" i="3"/>
  <c r="T55" i="3"/>
  <c r="D55" i="3"/>
  <c r="AH55" i="3"/>
  <c r="R55" i="3"/>
  <c r="B55" i="3"/>
  <c r="AF55" i="3"/>
  <c r="P55" i="3"/>
  <c r="AD55" i="3"/>
  <c r="N55" i="3"/>
  <c r="L95" i="7" a="1"/>
  <c r="N52" i="7" a="1"/>
  <c r="L51" i="7" a="1"/>
  <c r="N53" i="7" a="1"/>
  <c r="FD12" i="7" a="1"/>
  <c r="FF13" i="7" a="1"/>
  <c r="B58" i="7" a="1"/>
  <c r="N95" i="7" a="1"/>
  <c r="J16" i="7" a="1"/>
  <c r="FB15" i="7" a="1"/>
  <c r="EV12" i="7" a="1"/>
  <c r="FC12" i="7" a="1"/>
  <c r="EZ12" i="7" a="1"/>
  <c r="I17" i="7" a="1"/>
  <c r="FB15" i="7" l="1"/>
  <c r="FD12" i="7"/>
  <c r="EV12" i="7"/>
  <c r="EZ12" i="7"/>
  <c r="FC12" i="7"/>
  <c r="K98" i="7"/>
  <c r="L95" i="7"/>
  <c r="N95" i="7"/>
  <c r="M98" i="7"/>
  <c r="I94" i="7" a="1"/>
  <c r="I94" i="7" s="1"/>
  <c r="N94" i="7" a="1"/>
  <c r="N94" i="7" s="1"/>
  <c r="L93" i="7" a="1"/>
  <c r="L93" i="7" s="1"/>
  <c r="L51" i="7"/>
  <c r="N53" i="7"/>
  <c r="N52" i="7"/>
  <c r="B58" i="7"/>
  <c r="G58" i="7"/>
  <c r="F62" i="7"/>
  <c r="B62" i="7"/>
  <c r="C57" i="7"/>
  <c r="B63" i="7"/>
  <c r="C62" i="7"/>
  <c r="D62" i="7"/>
  <c r="E59" i="7"/>
  <c r="C59" i="7"/>
  <c r="FF13" i="7"/>
  <c r="J16" i="7"/>
  <c r="I17" i="7"/>
  <c r="AF57" i="3"/>
  <c r="P57" i="3"/>
  <c r="AD57" i="3"/>
  <c r="N57" i="3"/>
  <c r="A59" i="3" a="1"/>
  <c r="A59" i="3" s="1"/>
  <c r="AB57" i="3"/>
  <c r="L57" i="3"/>
  <c r="Z57" i="3"/>
  <c r="J57" i="3"/>
  <c r="X57" i="3"/>
  <c r="H57" i="3"/>
  <c r="AL57" i="3"/>
  <c r="V57" i="3"/>
  <c r="F57" i="3"/>
  <c r="AJ57" i="3"/>
  <c r="T57" i="3"/>
  <c r="D57" i="3"/>
  <c r="AH57" i="3"/>
  <c r="R57" i="3"/>
  <c r="B57" i="3"/>
  <c r="AD56" i="3"/>
  <c r="N56" i="3"/>
  <c r="A58" i="3" a="1"/>
  <c r="A58" i="3" s="1"/>
  <c r="AB56" i="3"/>
  <c r="L56" i="3"/>
  <c r="Z56" i="3"/>
  <c r="J56" i="3"/>
  <c r="X56" i="3"/>
  <c r="H56" i="3"/>
  <c r="AL56" i="3"/>
  <c r="V56" i="3"/>
  <c r="F56" i="3"/>
  <c r="AJ56" i="3"/>
  <c r="T56" i="3"/>
  <c r="D56" i="3"/>
  <c r="AH56" i="3"/>
  <c r="R56" i="3"/>
  <c r="B56" i="3"/>
  <c r="AF56" i="3"/>
  <c r="P56" i="3"/>
  <c r="E18" i="7" a="1"/>
  <c r="E60" i="7" a="1"/>
  <c r="J18" i="7" a="1"/>
  <c r="A22" i="7" a="1"/>
  <c r="C100" i="7" a="1"/>
  <c r="I57" i="7" a="1"/>
  <c r="FB12" i="7" a="1"/>
  <c r="FF12" i="7" a="1"/>
  <c r="EX12" i="7" a="1"/>
  <c r="FE12" i="7" a="1"/>
  <c r="EW16" i="7" a="1"/>
  <c r="D63" i="7" l="1"/>
  <c r="FF12" i="7"/>
  <c r="FE12" i="7"/>
  <c r="EX12" i="7"/>
  <c r="FB12" i="7"/>
  <c r="C100" i="7"/>
  <c r="E58" i="7" a="1"/>
  <c r="E58" i="7" s="1"/>
  <c r="M56" i="7"/>
  <c r="I57" i="7"/>
  <c r="E60" i="7"/>
  <c r="B59" i="7" a="1"/>
  <c r="B59" i="7" s="1"/>
  <c r="F63" i="7"/>
  <c r="G59" i="7" a="1"/>
  <c r="G59" i="7" s="1"/>
  <c r="G60" i="7" a="1"/>
  <c r="G60" i="7" s="1"/>
  <c r="J18" i="7"/>
  <c r="E18" i="7"/>
  <c r="EW16" i="7"/>
  <c r="A22" i="7"/>
  <c r="J20" i="7"/>
  <c r="L17" i="7"/>
  <c r="J15" i="7"/>
  <c r="I20" i="7"/>
  <c r="J17" i="7"/>
  <c r="M20" i="7"/>
  <c r="K20" i="7"/>
  <c r="AH58" i="3"/>
  <c r="R58" i="3"/>
  <c r="B58" i="3"/>
  <c r="AF58" i="3"/>
  <c r="P58" i="3"/>
  <c r="AD58" i="3"/>
  <c r="N58" i="3"/>
  <c r="A60" i="3" a="1"/>
  <c r="A60" i="3" s="1"/>
  <c r="AB58" i="3"/>
  <c r="L58" i="3"/>
  <c r="Z58" i="3"/>
  <c r="J58" i="3"/>
  <c r="X58" i="3"/>
  <c r="H58" i="3"/>
  <c r="AL58" i="3"/>
  <c r="V58" i="3"/>
  <c r="F58" i="3"/>
  <c r="T58" i="3"/>
  <c r="D58" i="3"/>
  <c r="AJ58" i="3"/>
  <c r="AJ59" i="3"/>
  <c r="T59" i="3"/>
  <c r="D59" i="3"/>
  <c r="AH59" i="3"/>
  <c r="R59" i="3"/>
  <c r="B59" i="3"/>
  <c r="AF59" i="3"/>
  <c r="P59" i="3"/>
  <c r="AD59" i="3"/>
  <c r="N59" i="3"/>
  <c r="A61" i="3" a="1"/>
  <c r="A61" i="3" s="1"/>
  <c r="AB59" i="3"/>
  <c r="L59" i="3"/>
  <c r="Z59" i="3"/>
  <c r="J59" i="3"/>
  <c r="X59" i="3"/>
  <c r="H59" i="3"/>
  <c r="AL59" i="3"/>
  <c r="V59" i="3"/>
  <c r="F59" i="3"/>
  <c r="M16" i="7" a="1"/>
  <c r="FC16" i="7" a="1"/>
  <c r="EW15" i="7" a="1"/>
  <c r="FB13" i="7" a="1"/>
  <c r="I99" i="7" a="1"/>
  <c r="EV16" i="7" a="1"/>
  <c r="FA16" i="7" a="1"/>
  <c r="A23" i="7" a="1"/>
  <c r="EW15" i="7" l="1"/>
  <c r="FH12" i="7" a="1"/>
  <c r="FH12" i="7" s="1"/>
  <c r="FG12" i="7" s="1"/>
  <c r="I99" i="7"/>
  <c r="C102" i="7" a="1"/>
  <c r="C102" i="7" s="1"/>
  <c r="F100" i="7" a="1"/>
  <c r="F100" i="7" s="1"/>
  <c r="K21" i="7"/>
  <c r="M16" i="7"/>
  <c r="FB13" i="7"/>
  <c r="FH13" i="7" s="1" a="1"/>
  <c r="FH13" i="7" s="1"/>
  <c r="FG13" i="7" s="1"/>
  <c r="FA16" i="7"/>
  <c r="I21" i="7"/>
  <c r="FC16" i="7"/>
  <c r="A23" i="7"/>
  <c r="EV16" i="7"/>
  <c r="X61" i="3"/>
  <c r="H61" i="3"/>
  <c r="AL61" i="3"/>
  <c r="V61" i="3"/>
  <c r="F61" i="3"/>
  <c r="AJ61" i="3"/>
  <c r="T61" i="3"/>
  <c r="D61" i="3"/>
  <c r="AH61" i="3"/>
  <c r="R61" i="3"/>
  <c r="B61" i="3"/>
  <c r="AF61" i="3"/>
  <c r="P61" i="3"/>
  <c r="AD61" i="3"/>
  <c r="N61" i="3"/>
  <c r="A63" i="3" a="1"/>
  <c r="A63" i="3" s="1"/>
  <c r="AB61" i="3"/>
  <c r="L61" i="3"/>
  <c r="Z61" i="3"/>
  <c r="J61" i="3"/>
  <c r="AL60" i="3"/>
  <c r="V60" i="3"/>
  <c r="F60" i="3"/>
  <c r="AJ60" i="3"/>
  <c r="T60" i="3"/>
  <c r="D60" i="3"/>
  <c r="AH60" i="3"/>
  <c r="R60" i="3"/>
  <c r="B60" i="3"/>
  <c r="AF60" i="3"/>
  <c r="P60" i="3"/>
  <c r="AD60" i="3"/>
  <c r="N60" i="3"/>
  <c r="A62" i="3" a="1"/>
  <c r="A62" i="3" s="1"/>
  <c r="AB60" i="3"/>
  <c r="L60" i="3"/>
  <c r="Z60" i="3"/>
  <c r="J60" i="3"/>
  <c r="X60" i="3"/>
  <c r="H60" i="3"/>
  <c r="N18" i="7" a="1"/>
  <c r="I16" i="7" a="1"/>
  <c r="B22" i="7" a="1"/>
  <c r="N17" i="7" a="1"/>
  <c r="L16" i="7" a="1"/>
  <c r="J58" i="7" a="1"/>
  <c r="FD16" i="7" a="1"/>
  <c r="FE16" i="7" a="1"/>
  <c r="FA15" i="7" a="1"/>
  <c r="EY16" i="7" a="1"/>
  <c r="EY15" i="7" a="1"/>
  <c r="N18" i="7" l="1"/>
  <c r="N16" i="7"/>
  <c r="EY15" i="7"/>
  <c r="FA15" i="7"/>
  <c r="G100" i="7"/>
  <c r="E101" i="7"/>
  <c r="C101" i="7"/>
  <c r="B105" i="7"/>
  <c r="F104" i="7"/>
  <c r="D104" i="7"/>
  <c r="C104" i="7"/>
  <c r="B104" i="7"/>
  <c r="C99" i="7"/>
  <c r="B100" i="7" a="1"/>
  <c r="B100" i="7" s="1"/>
  <c r="J58" i="7"/>
  <c r="FE16" i="7"/>
  <c r="L16" i="7"/>
  <c r="FD16" i="7"/>
  <c r="N17" i="7"/>
  <c r="I16" i="7"/>
  <c r="EY16" i="7"/>
  <c r="B22" i="7"/>
  <c r="Z62" i="3"/>
  <c r="J62" i="3"/>
  <c r="X62" i="3"/>
  <c r="H62" i="3"/>
  <c r="AL62" i="3"/>
  <c r="V62" i="3"/>
  <c r="F62" i="3"/>
  <c r="AJ62" i="3"/>
  <c r="T62" i="3"/>
  <c r="D62" i="3"/>
  <c r="AH62" i="3"/>
  <c r="R62" i="3"/>
  <c r="B62" i="3"/>
  <c r="AF62" i="3"/>
  <c r="P62" i="3"/>
  <c r="AD62" i="3"/>
  <c r="N62" i="3"/>
  <c r="A64" i="3" a="1"/>
  <c r="A64" i="3" s="1"/>
  <c r="AB62" i="3"/>
  <c r="L62" i="3"/>
  <c r="A65" i="3" a="1"/>
  <c r="A65" i="3" s="1"/>
  <c r="AB63" i="3"/>
  <c r="L63" i="3"/>
  <c r="Z63" i="3"/>
  <c r="J63" i="3"/>
  <c r="X63" i="3"/>
  <c r="H63" i="3"/>
  <c r="AL63" i="3"/>
  <c r="V63" i="3"/>
  <c r="F63" i="3"/>
  <c r="AJ63" i="3"/>
  <c r="T63" i="3"/>
  <c r="D63" i="3"/>
  <c r="AH63" i="3"/>
  <c r="R63" i="3"/>
  <c r="B63" i="3"/>
  <c r="AF63" i="3"/>
  <c r="P63" i="3"/>
  <c r="AD63" i="3"/>
  <c r="N63" i="3"/>
  <c r="FD15" i="7" a="1"/>
  <c r="G102" i="7" a="1"/>
  <c r="G22" i="7" a="1"/>
  <c r="EZ15" i="7" a="1"/>
  <c r="EV15" i="7" a="1"/>
  <c r="EX16" i="7" a="1"/>
  <c r="EZ16" i="7" a="1"/>
  <c r="FC15" i="7" a="1"/>
  <c r="M21" i="7" l="1"/>
  <c r="EZ16" i="7"/>
  <c r="L102" i="7" a="1"/>
  <c r="L102" i="7" s="1"/>
  <c r="FD15" i="7"/>
  <c r="EV15" i="7"/>
  <c r="EZ15" i="7"/>
  <c r="FC15" i="7"/>
  <c r="E100" i="7" a="1"/>
  <c r="E100" i="7" s="1"/>
  <c r="D105" i="7"/>
  <c r="G102" i="7"/>
  <c r="F105" i="7"/>
  <c r="B101" i="7" a="1"/>
  <c r="B101" i="7" s="1"/>
  <c r="G101" i="7" a="1"/>
  <c r="G101" i="7" s="1"/>
  <c r="M58" i="7" a="1"/>
  <c r="M58" i="7" s="1"/>
  <c r="J60" i="7" a="1"/>
  <c r="J60" i="7" s="1"/>
  <c r="EX16" i="7"/>
  <c r="G22" i="7"/>
  <c r="AF65" i="3"/>
  <c r="P65" i="3"/>
  <c r="AD65" i="3"/>
  <c r="N65" i="3"/>
  <c r="A67" i="3" a="1"/>
  <c r="A67" i="3" s="1"/>
  <c r="AB65" i="3"/>
  <c r="L65" i="3"/>
  <c r="Z65" i="3"/>
  <c r="J65" i="3"/>
  <c r="X65" i="3"/>
  <c r="H65" i="3"/>
  <c r="AL65" i="3"/>
  <c r="V65" i="3"/>
  <c r="F65" i="3"/>
  <c r="AJ65" i="3"/>
  <c r="T65" i="3"/>
  <c r="D65" i="3"/>
  <c r="AH65" i="3"/>
  <c r="R65" i="3"/>
  <c r="B65" i="3"/>
  <c r="AD64" i="3"/>
  <c r="N64" i="3"/>
  <c r="A66" i="3" a="1"/>
  <c r="A66" i="3" s="1"/>
  <c r="AB64" i="3"/>
  <c r="L64" i="3"/>
  <c r="Z64" i="3"/>
  <c r="J64" i="3"/>
  <c r="X64" i="3"/>
  <c r="H64" i="3"/>
  <c r="AL64" i="3"/>
  <c r="V64" i="3"/>
  <c r="F64" i="3"/>
  <c r="AJ64" i="3"/>
  <c r="T64" i="3"/>
  <c r="D64" i="3"/>
  <c r="AH64" i="3"/>
  <c r="R64" i="3"/>
  <c r="B64" i="3"/>
  <c r="AF64" i="3"/>
  <c r="P64" i="3"/>
  <c r="FF16" i="7" a="1"/>
  <c r="FB18" i="7" a="1"/>
  <c r="EX15" i="7" a="1"/>
  <c r="FE15" i="7" a="1"/>
  <c r="FF15" i="7" a="1"/>
  <c r="I58" i="7" a="1"/>
  <c r="B24" i="7" a="1"/>
  <c r="C23" i="7" a="1"/>
  <c r="FF16" i="7" l="1"/>
  <c r="FB18" i="7"/>
  <c r="FF15" i="7"/>
  <c r="FE15" i="7"/>
  <c r="EX15" i="7"/>
  <c r="I58" i="7"/>
  <c r="M62" i="7"/>
  <c r="L59" i="7"/>
  <c r="J62" i="7"/>
  <c r="I63" i="7"/>
  <c r="I62" i="7"/>
  <c r="J57" i="7"/>
  <c r="J59" i="7"/>
  <c r="K62" i="7"/>
  <c r="N58" i="7"/>
  <c r="B24" i="7"/>
  <c r="C23" i="7"/>
  <c r="AH66" i="3"/>
  <c r="R66" i="3"/>
  <c r="B66" i="3"/>
  <c r="AF66" i="3"/>
  <c r="P66" i="3"/>
  <c r="AD66" i="3"/>
  <c r="N66" i="3"/>
  <c r="A68" i="3" a="1"/>
  <c r="A68" i="3" s="1"/>
  <c r="AB66" i="3"/>
  <c r="L66" i="3"/>
  <c r="Z66" i="3"/>
  <c r="J66" i="3"/>
  <c r="X66" i="3"/>
  <c r="H66" i="3"/>
  <c r="AL66" i="3"/>
  <c r="V66" i="3"/>
  <c r="F66" i="3"/>
  <c r="AJ66" i="3"/>
  <c r="T66" i="3"/>
  <c r="D66" i="3"/>
  <c r="AJ67" i="3"/>
  <c r="T67" i="3"/>
  <c r="D67" i="3"/>
  <c r="AH67" i="3"/>
  <c r="R67" i="3"/>
  <c r="B67" i="3"/>
  <c r="AF67" i="3"/>
  <c r="P67" i="3"/>
  <c r="AD67" i="3"/>
  <c r="N67" i="3"/>
  <c r="A69" i="3" a="1"/>
  <c r="A69" i="3" s="1"/>
  <c r="AB67" i="3"/>
  <c r="L67" i="3"/>
  <c r="Z67" i="3"/>
  <c r="J67" i="3"/>
  <c r="X67" i="3"/>
  <c r="H67" i="3"/>
  <c r="AL67" i="3"/>
  <c r="V67" i="3"/>
  <c r="F67" i="3"/>
  <c r="L60" i="7" a="1"/>
  <c r="H22" i="7" a="1"/>
  <c r="L18" i="7" a="1"/>
  <c r="C25" i="7" a="1"/>
  <c r="G109" i="7" a="1"/>
  <c r="J100" i="7" a="1"/>
  <c r="B64" i="7" a="1"/>
  <c r="EW19" i="7" a="1"/>
  <c r="K63" i="7" l="1"/>
  <c r="FH15" i="7" a="1"/>
  <c r="FH15" i="7" s="1"/>
  <c r="FG15" i="7" s="1"/>
  <c r="G109" i="7"/>
  <c r="J100" i="7"/>
  <c r="L58" i="7" a="1"/>
  <c r="L58" i="7" s="1"/>
  <c r="B64" i="7"/>
  <c r="L60" i="7"/>
  <c r="G67" i="7" a="1"/>
  <c r="G67" i="7" s="1"/>
  <c r="M63" i="7"/>
  <c r="N59" i="7" a="1"/>
  <c r="N59" i="7" s="1"/>
  <c r="I59" i="7" a="1"/>
  <c r="I59" i="7" s="1"/>
  <c r="N60" i="7" a="1"/>
  <c r="N60" i="7" s="1"/>
  <c r="C25" i="7"/>
  <c r="L18" i="7"/>
  <c r="H22" i="7"/>
  <c r="EW19" i="7"/>
  <c r="B27" i="7"/>
  <c r="C22" i="7"/>
  <c r="D27" i="7"/>
  <c r="C27" i="7"/>
  <c r="F27" i="7"/>
  <c r="E24" i="7"/>
  <c r="C24" i="7"/>
  <c r="G25" i="7" a="1"/>
  <c r="G25" i="7" s="1"/>
  <c r="AL68" i="3"/>
  <c r="V68" i="3"/>
  <c r="F68" i="3"/>
  <c r="AJ68" i="3"/>
  <c r="T68" i="3"/>
  <c r="D68" i="3"/>
  <c r="AH68" i="3"/>
  <c r="R68" i="3"/>
  <c r="B68" i="3"/>
  <c r="AF68" i="3"/>
  <c r="P68" i="3"/>
  <c r="AD68" i="3"/>
  <c r="N68" i="3"/>
  <c r="A70" i="3" a="1"/>
  <c r="A70" i="3" s="1"/>
  <c r="AB68" i="3"/>
  <c r="L68" i="3"/>
  <c r="Z68" i="3"/>
  <c r="J68" i="3"/>
  <c r="X68" i="3"/>
  <c r="H68" i="3"/>
  <c r="X69" i="3"/>
  <c r="H69" i="3"/>
  <c r="AL69" i="3"/>
  <c r="V69" i="3"/>
  <c r="F69" i="3"/>
  <c r="AJ69" i="3"/>
  <c r="T69" i="3"/>
  <c r="D69" i="3"/>
  <c r="AH69" i="3"/>
  <c r="R69" i="3"/>
  <c r="B69" i="3"/>
  <c r="AF69" i="3"/>
  <c r="P69" i="3"/>
  <c r="AD69" i="3"/>
  <c r="N69" i="3"/>
  <c r="A71" i="3" a="1"/>
  <c r="A71" i="3" s="1"/>
  <c r="AB69" i="3"/>
  <c r="L69" i="3"/>
  <c r="Z69" i="3"/>
  <c r="J69" i="3"/>
  <c r="F23" i="7" a="1"/>
  <c r="EW18" i="7" a="1"/>
  <c r="B106" i="7" a="1"/>
  <c r="FB16" i="7" a="1"/>
  <c r="H23" i="7" a="1"/>
  <c r="FC19" i="7" a="1"/>
  <c r="FA19" i="7" a="1"/>
  <c r="EV19" i="7" a="1"/>
  <c r="EW18" i="7" l="1"/>
  <c r="B106" i="7"/>
  <c r="J102" i="7" a="1"/>
  <c r="J102" i="7" s="1"/>
  <c r="M100" i="7" a="1"/>
  <c r="M100" i="7" s="1"/>
  <c r="B28" i="7"/>
  <c r="F23" i="7"/>
  <c r="FB16" i="7"/>
  <c r="FH16" i="7" s="1" a="1"/>
  <c r="FH16" i="7" s="1"/>
  <c r="FG16" i="7" s="1"/>
  <c r="FA19" i="7"/>
  <c r="FC19" i="7"/>
  <c r="EV19" i="7"/>
  <c r="H23" i="7"/>
  <c r="D28" i="7"/>
  <c r="A73" i="3" a="1"/>
  <c r="A73" i="3" s="1"/>
  <c r="AB71" i="3"/>
  <c r="L71" i="3"/>
  <c r="Z71" i="3"/>
  <c r="J71" i="3"/>
  <c r="X71" i="3"/>
  <c r="H71" i="3"/>
  <c r="AL71" i="3"/>
  <c r="V71" i="3"/>
  <c r="F71" i="3"/>
  <c r="AJ71" i="3"/>
  <c r="T71" i="3"/>
  <c r="D71" i="3"/>
  <c r="AH71" i="3"/>
  <c r="R71" i="3"/>
  <c r="B71" i="3"/>
  <c r="AF71" i="3"/>
  <c r="P71" i="3"/>
  <c r="AD71" i="3"/>
  <c r="N71" i="3"/>
  <c r="Z70" i="3"/>
  <c r="J70" i="3"/>
  <c r="X70" i="3"/>
  <c r="H70" i="3"/>
  <c r="AL70" i="3"/>
  <c r="V70" i="3"/>
  <c r="F70" i="3"/>
  <c r="AJ70" i="3"/>
  <c r="T70" i="3"/>
  <c r="D70" i="3"/>
  <c r="AH70" i="3"/>
  <c r="R70" i="3"/>
  <c r="B70" i="3"/>
  <c r="AF70" i="3"/>
  <c r="P70" i="3"/>
  <c r="AD70" i="3"/>
  <c r="N70" i="3"/>
  <c r="A72" i="3" a="1"/>
  <c r="A72" i="3" s="1"/>
  <c r="AB70" i="3"/>
  <c r="L70" i="3"/>
  <c r="B23" i="7" a="1"/>
  <c r="I22" i="7" a="1"/>
  <c r="E23" i="7" a="1"/>
  <c r="G24" i="7" a="1"/>
  <c r="FA18" i="7" a="1"/>
  <c r="FD19" i="7" a="1"/>
  <c r="FE19" i="7" a="1"/>
  <c r="EY18" i="7" a="1"/>
  <c r="EY19" i="7" a="1"/>
  <c r="C65" i="7" a="1"/>
  <c r="G23" i="7" l="1"/>
  <c r="EY18" i="7"/>
  <c r="FA18" i="7"/>
  <c r="N100" i="7"/>
  <c r="L101" i="7"/>
  <c r="J101" i="7"/>
  <c r="I105" i="7"/>
  <c r="M104" i="7"/>
  <c r="K104" i="7"/>
  <c r="J104" i="7"/>
  <c r="I104" i="7"/>
  <c r="J99" i="7"/>
  <c r="I100" i="7" a="1"/>
  <c r="I100" i="7" s="1"/>
  <c r="C65" i="7"/>
  <c r="FD19" i="7"/>
  <c r="B23" i="7"/>
  <c r="G24" i="7"/>
  <c r="F28" i="7" s="1"/>
  <c r="E23" i="7"/>
  <c r="EY19" i="7"/>
  <c r="FE19" i="7"/>
  <c r="I22" i="7"/>
  <c r="AD72" i="3"/>
  <c r="N72" i="3"/>
  <c r="A74" i="3" a="1"/>
  <c r="A74" i="3" s="1"/>
  <c r="AB72" i="3"/>
  <c r="L72" i="3"/>
  <c r="Z72" i="3"/>
  <c r="J72" i="3"/>
  <c r="X72" i="3"/>
  <c r="H72" i="3"/>
  <c r="AL72" i="3"/>
  <c r="V72" i="3"/>
  <c r="F72" i="3"/>
  <c r="AJ72" i="3"/>
  <c r="T72" i="3"/>
  <c r="D72" i="3"/>
  <c r="AH72" i="3"/>
  <c r="R72" i="3"/>
  <c r="B72" i="3"/>
  <c r="AF72" i="3"/>
  <c r="P72" i="3"/>
  <c r="AF73" i="3"/>
  <c r="P73" i="3"/>
  <c r="AD73" i="3"/>
  <c r="N73" i="3"/>
  <c r="A75" i="3" a="1"/>
  <c r="A75" i="3" s="1"/>
  <c r="AB73" i="3"/>
  <c r="L73" i="3"/>
  <c r="Z73" i="3"/>
  <c r="J73" i="3"/>
  <c r="X73" i="3"/>
  <c r="H73" i="3"/>
  <c r="AL73" i="3"/>
  <c r="V73" i="3"/>
  <c r="F73" i="3"/>
  <c r="AJ73" i="3"/>
  <c r="T73" i="3"/>
  <c r="D73" i="3"/>
  <c r="AH73" i="3"/>
  <c r="R73" i="3"/>
  <c r="B73" i="3"/>
  <c r="EV18" i="7" a="1"/>
  <c r="FF19" i="7" a="1"/>
  <c r="FD18" i="7" a="1"/>
  <c r="N102" i="7" a="1"/>
  <c r="N22" i="7" a="1"/>
  <c r="EZ19" i="7" a="1"/>
  <c r="EX19" i="7" a="1"/>
  <c r="EZ18" i="7" a="1"/>
  <c r="FC18" i="7" a="1"/>
  <c r="EZ19" i="7" l="1"/>
  <c r="E109" i="7" a="1"/>
  <c r="E109" i="7" s="1"/>
  <c r="FD18" i="7"/>
  <c r="EV18" i="7"/>
  <c r="EZ18" i="7"/>
  <c r="FC18" i="7"/>
  <c r="K105" i="7"/>
  <c r="N102" i="7"/>
  <c r="M105" i="7"/>
  <c r="N101" i="7" a="1"/>
  <c r="N101" i="7" s="1"/>
  <c r="I101" i="7" a="1"/>
  <c r="I101" i="7" s="1"/>
  <c r="L100" i="7" a="1"/>
  <c r="L100" i="7" s="1"/>
  <c r="F65" i="7" a="1"/>
  <c r="F65" i="7" s="1"/>
  <c r="C67" i="7" a="1"/>
  <c r="C67" i="7" s="1"/>
  <c r="EX19" i="7"/>
  <c r="FF19" i="7"/>
  <c r="N22" i="7"/>
  <c r="AH74" i="3"/>
  <c r="R74" i="3"/>
  <c r="B74" i="3"/>
  <c r="AF74" i="3"/>
  <c r="P74" i="3"/>
  <c r="AD74" i="3"/>
  <c r="N74" i="3"/>
  <c r="A76" i="3" a="1"/>
  <c r="A76" i="3" s="1"/>
  <c r="AB74" i="3"/>
  <c r="L74" i="3"/>
  <c r="Z74" i="3"/>
  <c r="J74" i="3"/>
  <c r="X74" i="3"/>
  <c r="H74" i="3"/>
  <c r="AL74" i="3"/>
  <c r="V74" i="3"/>
  <c r="F74" i="3"/>
  <c r="AJ74" i="3"/>
  <c r="T74" i="3"/>
  <c r="D74" i="3"/>
  <c r="AJ75" i="3"/>
  <c r="T75" i="3"/>
  <c r="D75" i="3"/>
  <c r="AH75" i="3"/>
  <c r="R75" i="3"/>
  <c r="B75" i="3"/>
  <c r="AF75" i="3"/>
  <c r="P75" i="3"/>
  <c r="AD75" i="3"/>
  <c r="N75" i="3"/>
  <c r="A77" i="3" a="1"/>
  <c r="A77" i="3" s="1"/>
  <c r="AB75" i="3"/>
  <c r="L75" i="3"/>
  <c r="Z75" i="3"/>
  <c r="J75" i="3"/>
  <c r="X75" i="3"/>
  <c r="H75" i="3"/>
  <c r="AL75" i="3"/>
  <c r="V75" i="3"/>
  <c r="F75" i="3"/>
  <c r="B65" i="7" a="1"/>
  <c r="EX18" i="7" a="1"/>
  <c r="FE18" i="7" a="1"/>
  <c r="FF18" i="7" a="1"/>
  <c r="J23" i="7" a="1"/>
  <c r="FB21" i="7" a="1"/>
  <c r="I24" i="7" a="1"/>
  <c r="FB21" i="7" l="1"/>
  <c r="FF18" i="7"/>
  <c r="FE18" i="7"/>
  <c r="EX18" i="7"/>
  <c r="B65" i="7"/>
  <c r="F69" i="7"/>
  <c r="C69" i="7"/>
  <c r="E66" i="7"/>
  <c r="B70" i="7"/>
  <c r="D69" i="7"/>
  <c r="C66" i="7"/>
  <c r="B69" i="7"/>
  <c r="C64" i="7"/>
  <c r="G65" i="7"/>
  <c r="J23" i="7"/>
  <c r="I24" i="7"/>
  <c r="X77" i="3"/>
  <c r="H77" i="3"/>
  <c r="AL77" i="3"/>
  <c r="V77" i="3"/>
  <c r="F77" i="3"/>
  <c r="AJ77" i="3"/>
  <c r="T77" i="3"/>
  <c r="D77" i="3"/>
  <c r="AH77" i="3"/>
  <c r="R77" i="3"/>
  <c r="B77" i="3"/>
  <c r="AF77" i="3"/>
  <c r="P77" i="3"/>
  <c r="AD77" i="3"/>
  <c r="N77" i="3"/>
  <c r="A79" i="3" a="1"/>
  <c r="A79" i="3" s="1"/>
  <c r="AB77" i="3"/>
  <c r="L77" i="3"/>
  <c r="Z77" i="3"/>
  <c r="J77" i="3"/>
  <c r="AL76" i="3"/>
  <c r="V76" i="3"/>
  <c r="F76" i="3"/>
  <c r="AJ76" i="3"/>
  <c r="T76" i="3"/>
  <c r="D76" i="3"/>
  <c r="AH76" i="3"/>
  <c r="R76" i="3"/>
  <c r="B76" i="3"/>
  <c r="AF76" i="3"/>
  <c r="P76" i="3"/>
  <c r="AD76" i="3"/>
  <c r="N76" i="3"/>
  <c r="A78" i="3" a="1"/>
  <c r="A78" i="3" s="1"/>
  <c r="AB76" i="3"/>
  <c r="L76" i="3"/>
  <c r="Z76" i="3"/>
  <c r="J76" i="3"/>
  <c r="X76" i="3"/>
  <c r="H76" i="3"/>
  <c r="E67" i="7" a="1"/>
  <c r="A29" i="7" a="1"/>
  <c r="E25" i="7" a="1"/>
  <c r="J25" i="7" a="1"/>
  <c r="N109" i="7" a="1"/>
  <c r="I64" i="7" a="1"/>
  <c r="C107" i="7" a="1"/>
  <c r="EW22" i="7" a="1"/>
  <c r="D70" i="7" l="1"/>
  <c r="FH18" i="7" a="1"/>
  <c r="FH18" i="7" s="1"/>
  <c r="FG18" i="7" s="1"/>
  <c r="N109" i="7"/>
  <c r="C107" i="7"/>
  <c r="E65" i="7" a="1"/>
  <c r="E65" i="7" s="1"/>
  <c r="I64" i="7"/>
  <c r="E67" i="7"/>
  <c r="N67" i="7" a="1"/>
  <c r="N67" i="7" s="1"/>
  <c r="G66" i="7" a="1"/>
  <c r="G66" i="7" s="1"/>
  <c r="F70" i="7"/>
  <c r="B66" i="7" a="1"/>
  <c r="B66" i="7" s="1"/>
  <c r="E25" i="7"/>
  <c r="J25" i="7"/>
  <c r="EW22" i="7"/>
  <c r="A29" i="7"/>
  <c r="N25" i="7" a="1"/>
  <c r="N25" i="7" s="1"/>
  <c r="J22" i="7"/>
  <c r="M27" i="7"/>
  <c r="K27" i="7"/>
  <c r="J27" i="7"/>
  <c r="I27" i="7"/>
  <c r="L24" i="7"/>
  <c r="J24" i="7"/>
  <c r="A81" i="3" a="1"/>
  <c r="A81" i="3" s="1"/>
  <c r="AB79" i="3"/>
  <c r="L79" i="3"/>
  <c r="Z79" i="3"/>
  <c r="J79" i="3"/>
  <c r="X79" i="3"/>
  <c r="H79" i="3"/>
  <c r="AL79" i="3"/>
  <c r="V79" i="3"/>
  <c r="F79" i="3"/>
  <c r="AJ79" i="3"/>
  <c r="T79" i="3"/>
  <c r="D79" i="3"/>
  <c r="AH79" i="3"/>
  <c r="R79" i="3"/>
  <c r="B79" i="3"/>
  <c r="AF79" i="3"/>
  <c r="P79" i="3"/>
  <c r="AD79" i="3"/>
  <c r="N79" i="3"/>
  <c r="Z78" i="3"/>
  <c r="J78" i="3"/>
  <c r="X78" i="3"/>
  <c r="H78" i="3"/>
  <c r="AL78" i="3"/>
  <c r="V78" i="3"/>
  <c r="F78" i="3"/>
  <c r="AJ78" i="3"/>
  <c r="T78" i="3"/>
  <c r="D78" i="3"/>
  <c r="AH78" i="3"/>
  <c r="R78" i="3"/>
  <c r="B78" i="3"/>
  <c r="AF78" i="3"/>
  <c r="P78" i="3"/>
  <c r="AD78" i="3"/>
  <c r="N78" i="3"/>
  <c r="A80" i="3" a="1"/>
  <c r="A80" i="3" s="1"/>
  <c r="AB78" i="3"/>
  <c r="L78" i="3"/>
  <c r="M23" i="7" a="1"/>
  <c r="I106" i="7" a="1"/>
  <c r="A30" i="7" a="1"/>
  <c r="FC22" i="7" a="1"/>
  <c r="EW21" i="7" a="1"/>
  <c r="EV22" i="7" a="1"/>
  <c r="FB19" i="7" a="1"/>
  <c r="FA22" i="7" a="1"/>
  <c r="EW21" i="7" l="1"/>
  <c r="I106" i="7"/>
  <c r="C109" i="7" a="1"/>
  <c r="C109" i="7" s="1"/>
  <c r="F107" i="7" a="1"/>
  <c r="F107" i="7" s="1"/>
  <c r="I28" i="7"/>
  <c r="M23" i="7"/>
  <c r="FA22" i="7"/>
  <c r="FB19" i="7"/>
  <c r="FH19" i="7" s="1" a="1"/>
  <c r="FH19" i="7" s="1"/>
  <c r="FG19" i="7" s="1"/>
  <c r="FC22" i="7"/>
  <c r="A30" i="7"/>
  <c r="EV22" i="7"/>
  <c r="K28" i="7"/>
  <c r="AF81" i="3"/>
  <c r="P81" i="3"/>
  <c r="AD81" i="3"/>
  <c r="N81" i="3"/>
  <c r="A83" i="3" a="1"/>
  <c r="A83" i="3" s="1"/>
  <c r="AB81" i="3"/>
  <c r="L81" i="3"/>
  <c r="Z81" i="3"/>
  <c r="J81" i="3"/>
  <c r="X81" i="3"/>
  <c r="H81" i="3"/>
  <c r="AL81" i="3"/>
  <c r="V81" i="3"/>
  <c r="F81" i="3"/>
  <c r="AJ81" i="3"/>
  <c r="T81" i="3"/>
  <c r="D81" i="3"/>
  <c r="AH81" i="3"/>
  <c r="R81" i="3"/>
  <c r="B81" i="3"/>
  <c r="AD80" i="3"/>
  <c r="N80" i="3"/>
  <c r="A82" i="3" a="1"/>
  <c r="A82" i="3" s="1"/>
  <c r="AB80" i="3"/>
  <c r="L80" i="3"/>
  <c r="Z80" i="3"/>
  <c r="J80" i="3"/>
  <c r="X80" i="3"/>
  <c r="H80" i="3"/>
  <c r="AL80" i="3"/>
  <c r="V80" i="3"/>
  <c r="F80" i="3"/>
  <c r="AJ80" i="3"/>
  <c r="T80" i="3"/>
  <c r="D80" i="3"/>
  <c r="AH80" i="3"/>
  <c r="R80" i="3"/>
  <c r="B80" i="3"/>
  <c r="AF80" i="3"/>
  <c r="P80" i="3"/>
  <c r="N24" i="7" a="1"/>
  <c r="B29" i="7" a="1"/>
  <c r="I23" i="7" a="1"/>
  <c r="L23" i="7" a="1"/>
  <c r="EY22" i="7" a="1"/>
  <c r="FA21" i="7" a="1"/>
  <c r="FE22" i="7" a="1"/>
  <c r="EY21" i="7" a="1"/>
  <c r="FD22" i="7" a="1"/>
  <c r="J65" i="7" a="1"/>
  <c r="N23" i="7" l="1"/>
  <c r="EY21" i="7"/>
  <c r="FA21" i="7"/>
  <c r="G107" i="7"/>
  <c r="E108" i="7"/>
  <c r="C108" i="7"/>
  <c r="B111" i="7"/>
  <c r="B112" i="7"/>
  <c r="F111" i="7"/>
  <c r="D111" i="7"/>
  <c r="C111" i="7"/>
  <c r="C106" i="7"/>
  <c r="B107" i="7" a="1"/>
  <c r="B107" i="7" s="1"/>
  <c r="J65" i="7"/>
  <c r="FD22" i="7"/>
  <c r="N24" i="7"/>
  <c r="M28" i="7" s="1"/>
  <c r="I23" i="7"/>
  <c r="L23" i="7"/>
  <c r="EY22" i="7"/>
  <c r="FE22" i="7"/>
  <c r="B29" i="7"/>
  <c r="AH82" i="3"/>
  <c r="R82" i="3"/>
  <c r="B82" i="3"/>
  <c r="AF82" i="3"/>
  <c r="P82" i="3"/>
  <c r="AD82" i="3"/>
  <c r="N82" i="3"/>
  <c r="A84" i="3" a="1"/>
  <c r="A84" i="3" s="1"/>
  <c r="AB82" i="3"/>
  <c r="L82" i="3"/>
  <c r="Z82" i="3"/>
  <c r="J82" i="3"/>
  <c r="X82" i="3"/>
  <c r="H82" i="3"/>
  <c r="AL82" i="3"/>
  <c r="V82" i="3"/>
  <c r="F82" i="3"/>
  <c r="AJ82" i="3"/>
  <c r="T82" i="3"/>
  <c r="D82" i="3"/>
  <c r="AJ83" i="3"/>
  <c r="T83" i="3"/>
  <c r="D83" i="3"/>
  <c r="AH83" i="3"/>
  <c r="R83" i="3"/>
  <c r="B83" i="3"/>
  <c r="AF83" i="3"/>
  <c r="P83" i="3"/>
  <c r="AD83" i="3"/>
  <c r="N83" i="3"/>
  <c r="A85" i="3" a="1"/>
  <c r="A85" i="3" s="1"/>
  <c r="AB83" i="3"/>
  <c r="L83" i="3"/>
  <c r="Z83" i="3"/>
  <c r="J83" i="3"/>
  <c r="X83" i="3"/>
  <c r="H83" i="3"/>
  <c r="AL83" i="3"/>
  <c r="V83" i="3"/>
  <c r="F83" i="3"/>
  <c r="EV21" i="7" a="1"/>
  <c r="FD21" i="7" a="1"/>
  <c r="FF22" i="7" a="1"/>
  <c r="EX22" i="7" a="1"/>
  <c r="G29" i="7" a="1"/>
  <c r="EZ22" i="7" a="1"/>
  <c r="FC21" i="7" a="1"/>
  <c r="EZ21" i="7" a="1"/>
  <c r="EZ22" i="7" l="1"/>
  <c r="L109" i="7" a="1"/>
  <c r="L109" i="7" s="1"/>
  <c r="FD21" i="7"/>
  <c r="EV21" i="7"/>
  <c r="EZ21" i="7"/>
  <c r="FC21" i="7"/>
  <c r="D112" i="7"/>
  <c r="F112" i="7"/>
  <c r="G108" i="7" a="1"/>
  <c r="G108" i="7" s="1"/>
  <c r="B108" i="7" a="1"/>
  <c r="B108" i="7" s="1"/>
  <c r="E107" i="7" a="1"/>
  <c r="E107" i="7" s="1"/>
  <c r="M65" i="7" a="1"/>
  <c r="M65" i="7" s="1"/>
  <c r="J67" i="7" a="1"/>
  <c r="J67" i="7" s="1"/>
  <c r="EX22" i="7"/>
  <c r="FF22" i="7"/>
  <c r="G29" i="7"/>
  <c r="X85" i="3"/>
  <c r="H85" i="3"/>
  <c r="AL85" i="3"/>
  <c r="V85" i="3"/>
  <c r="F85" i="3"/>
  <c r="AJ85" i="3"/>
  <c r="T85" i="3"/>
  <c r="D85" i="3"/>
  <c r="AH85" i="3"/>
  <c r="R85" i="3"/>
  <c r="B85" i="3"/>
  <c r="AF85" i="3"/>
  <c r="P85" i="3"/>
  <c r="AD85" i="3"/>
  <c r="N85" i="3"/>
  <c r="A87" i="3" a="1"/>
  <c r="A87" i="3" s="1"/>
  <c r="AB85" i="3"/>
  <c r="L85" i="3"/>
  <c r="Z85" i="3"/>
  <c r="J85" i="3"/>
  <c r="AL84" i="3"/>
  <c r="V84" i="3"/>
  <c r="F84" i="3"/>
  <c r="AJ84" i="3"/>
  <c r="T84" i="3"/>
  <c r="D84" i="3"/>
  <c r="AH84" i="3"/>
  <c r="R84" i="3"/>
  <c r="B84" i="3"/>
  <c r="AF84" i="3"/>
  <c r="P84" i="3"/>
  <c r="AD84" i="3"/>
  <c r="N84" i="3"/>
  <c r="A86" i="3" a="1"/>
  <c r="A86" i="3" s="1"/>
  <c r="AB84" i="3"/>
  <c r="L84" i="3"/>
  <c r="Z84" i="3"/>
  <c r="J84" i="3"/>
  <c r="X84" i="3"/>
  <c r="H84" i="3"/>
  <c r="FB24" i="7" a="1"/>
  <c r="EX21" i="7" a="1"/>
  <c r="FF21" i="7" a="1"/>
  <c r="FE21" i="7" a="1"/>
  <c r="I65" i="7" a="1"/>
  <c r="B31" i="7" a="1"/>
  <c r="C30" i="7" a="1"/>
  <c r="FB24" i="7" l="1"/>
  <c r="FF21" i="7"/>
  <c r="FE21" i="7"/>
  <c r="EX21" i="7"/>
  <c r="I65" i="7"/>
  <c r="J69" i="7"/>
  <c r="I70" i="7"/>
  <c r="L66" i="7"/>
  <c r="M69" i="7"/>
  <c r="J66" i="7"/>
  <c r="K69" i="7"/>
  <c r="I69" i="7"/>
  <c r="J64" i="7"/>
  <c r="N65" i="7"/>
  <c r="B31" i="7"/>
  <c r="C30" i="7"/>
  <c r="A89" i="3" a="1"/>
  <c r="A89" i="3" s="1"/>
  <c r="AB87" i="3"/>
  <c r="L87" i="3"/>
  <c r="Z87" i="3"/>
  <c r="J87" i="3"/>
  <c r="X87" i="3"/>
  <c r="H87" i="3"/>
  <c r="AL87" i="3"/>
  <c r="V87" i="3"/>
  <c r="F87" i="3"/>
  <c r="AJ87" i="3"/>
  <c r="T87" i="3"/>
  <c r="D87" i="3"/>
  <c r="AH87" i="3"/>
  <c r="R87" i="3"/>
  <c r="B87" i="3"/>
  <c r="AF87" i="3"/>
  <c r="P87" i="3"/>
  <c r="AD87" i="3"/>
  <c r="N87" i="3"/>
  <c r="Z86" i="3"/>
  <c r="J86" i="3"/>
  <c r="X86" i="3"/>
  <c r="H86" i="3"/>
  <c r="AL86" i="3"/>
  <c r="V86" i="3"/>
  <c r="F86" i="3"/>
  <c r="AJ86" i="3"/>
  <c r="T86" i="3"/>
  <c r="D86" i="3"/>
  <c r="AH86" i="3"/>
  <c r="R86" i="3"/>
  <c r="B86" i="3"/>
  <c r="AF86" i="3"/>
  <c r="P86" i="3"/>
  <c r="AD86" i="3"/>
  <c r="N86" i="3"/>
  <c r="A88" i="3" a="1"/>
  <c r="A88" i="3" s="1"/>
  <c r="AB86" i="3"/>
  <c r="L86" i="3"/>
  <c r="L67" i="7" a="1"/>
  <c r="L25" i="7" a="1"/>
  <c r="H29" i="7" a="1"/>
  <c r="C32" i="7" a="1"/>
  <c r="EW25" i="7" a="1"/>
  <c r="J107" i="7" a="1"/>
  <c r="B71" i="7" a="1"/>
  <c r="K70" i="7" l="1"/>
  <c r="FH21" i="7" a="1"/>
  <c r="FH21" i="7" s="1"/>
  <c r="FG21" i="7" s="1"/>
  <c r="J107" i="7"/>
  <c r="L65" i="7" a="1"/>
  <c r="L65" i="7" s="1"/>
  <c r="B71" i="7"/>
  <c r="L67" i="7"/>
  <c r="M70" i="7"/>
  <c r="I66" i="7" a="1"/>
  <c r="I66" i="7" s="1"/>
  <c r="N66" i="7" a="1"/>
  <c r="N66" i="7" s="1"/>
  <c r="C32" i="7"/>
  <c r="L25" i="7"/>
  <c r="H29" i="7"/>
  <c r="EW25" i="7"/>
  <c r="D34" i="7"/>
  <c r="C29" i="7"/>
  <c r="B34" i="7"/>
  <c r="E31" i="7"/>
  <c r="C31" i="7"/>
  <c r="C34" i="7"/>
  <c r="F34" i="7"/>
  <c r="AF89" i="3"/>
  <c r="P89" i="3"/>
  <c r="AD89" i="3"/>
  <c r="N89" i="3"/>
  <c r="A91" i="3" a="1"/>
  <c r="A91" i="3" s="1"/>
  <c r="AB89" i="3"/>
  <c r="L89" i="3"/>
  <c r="Z89" i="3"/>
  <c r="J89" i="3"/>
  <c r="X89" i="3"/>
  <c r="H89" i="3"/>
  <c r="AL89" i="3"/>
  <c r="V89" i="3"/>
  <c r="F89" i="3"/>
  <c r="AJ89" i="3"/>
  <c r="T89" i="3"/>
  <c r="D89" i="3"/>
  <c r="AH89" i="3"/>
  <c r="R89" i="3"/>
  <c r="B89" i="3"/>
  <c r="AD88" i="3"/>
  <c r="N88" i="3"/>
  <c r="A90" i="3" a="1"/>
  <c r="A90" i="3" s="1"/>
  <c r="AB88" i="3"/>
  <c r="L88" i="3"/>
  <c r="Z88" i="3"/>
  <c r="J88" i="3"/>
  <c r="X88" i="3"/>
  <c r="H88" i="3"/>
  <c r="AL88" i="3"/>
  <c r="V88" i="3"/>
  <c r="F88" i="3"/>
  <c r="AJ88" i="3"/>
  <c r="T88" i="3"/>
  <c r="D88" i="3"/>
  <c r="AH88" i="3"/>
  <c r="R88" i="3"/>
  <c r="B88" i="3"/>
  <c r="AF88" i="3"/>
  <c r="P88" i="3"/>
  <c r="F30" i="7" a="1"/>
  <c r="H30" i="7" a="1"/>
  <c r="EW24" i="7" a="1"/>
  <c r="FA25" i="7" a="1"/>
  <c r="B113" i="7" a="1"/>
  <c r="FC25" i="7" a="1"/>
  <c r="EV25" i="7" a="1"/>
  <c r="FB22" i="7" a="1"/>
  <c r="EW24" i="7" l="1"/>
  <c r="B113" i="7"/>
  <c r="J109" i="7" a="1"/>
  <c r="J109" i="7" s="1"/>
  <c r="M107" i="7" a="1"/>
  <c r="M107" i="7" s="1"/>
  <c r="D35" i="7"/>
  <c r="F30" i="7"/>
  <c r="FB22" i="7"/>
  <c r="FH22" i="7" s="1" a="1"/>
  <c r="FH22" i="7" s="1"/>
  <c r="FG22" i="7" s="1"/>
  <c r="FA25" i="7"/>
  <c r="B35" i="7"/>
  <c r="EV25" i="7"/>
  <c r="FC25" i="7"/>
  <c r="H30" i="7"/>
  <c r="AJ91" i="3"/>
  <c r="T91" i="3"/>
  <c r="D91" i="3"/>
  <c r="AH91" i="3"/>
  <c r="R91" i="3"/>
  <c r="B91" i="3"/>
  <c r="AF91" i="3"/>
  <c r="P91" i="3"/>
  <c r="AD91" i="3"/>
  <c r="N91" i="3"/>
  <c r="A93" i="3" a="1"/>
  <c r="A93" i="3" s="1"/>
  <c r="AB91" i="3"/>
  <c r="L91" i="3"/>
  <c r="Z91" i="3"/>
  <c r="J91" i="3"/>
  <c r="X91" i="3"/>
  <c r="H91" i="3"/>
  <c r="AL91" i="3"/>
  <c r="V91" i="3"/>
  <c r="F91" i="3"/>
  <c r="AH90" i="3"/>
  <c r="R90" i="3"/>
  <c r="B90" i="3"/>
  <c r="AF90" i="3"/>
  <c r="P90" i="3"/>
  <c r="AD90" i="3"/>
  <c r="N90" i="3"/>
  <c r="A92" i="3" a="1"/>
  <c r="A92" i="3" s="1"/>
  <c r="AB90" i="3"/>
  <c r="L90" i="3"/>
  <c r="Z90" i="3"/>
  <c r="J90" i="3"/>
  <c r="X90" i="3"/>
  <c r="H90" i="3"/>
  <c r="AL90" i="3"/>
  <c r="V90" i="3"/>
  <c r="F90" i="3"/>
  <c r="AJ90" i="3"/>
  <c r="T90" i="3"/>
  <c r="D90" i="3"/>
  <c r="G32" i="7" a="1"/>
  <c r="I29" i="7" a="1"/>
  <c r="G31" i="7" a="1"/>
  <c r="E30" i="7" a="1"/>
  <c r="B30" i="7" a="1"/>
  <c r="FE25" i="7" a="1"/>
  <c r="FA24" i="7" a="1"/>
  <c r="EY25" i="7" a="1"/>
  <c r="EY24" i="7" a="1"/>
  <c r="FD25" i="7" a="1"/>
  <c r="C72" i="7" a="1"/>
  <c r="G32" i="7" l="1"/>
  <c r="G30" i="7"/>
  <c r="EY24" i="7"/>
  <c r="FA24" i="7"/>
  <c r="N107" i="7"/>
  <c r="L108" i="7"/>
  <c r="J108" i="7"/>
  <c r="I112" i="7"/>
  <c r="M111" i="7"/>
  <c r="K111" i="7"/>
  <c r="J111" i="7"/>
  <c r="I111" i="7"/>
  <c r="J106" i="7"/>
  <c r="I107" i="7" a="1"/>
  <c r="I107" i="7" s="1"/>
  <c r="C72" i="7"/>
  <c r="FE25" i="7"/>
  <c r="G31" i="7"/>
  <c r="F35" i="7" s="1"/>
  <c r="B30" i="7"/>
  <c r="FD25" i="7"/>
  <c r="E30" i="7"/>
  <c r="EY25" i="7"/>
  <c r="I29" i="7"/>
  <c r="AL92" i="3"/>
  <c r="V92" i="3"/>
  <c r="F92" i="3"/>
  <c r="AJ92" i="3"/>
  <c r="T92" i="3"/>
  <c r="D92" i="3"/>
  <c r="AH92" i="3"/>
  <c r="R92" i="3"/>
  <c r="B92" i="3"/>
  <c r="AF92" i="3"/>
  <c r="P92" i="3"/>
  <c r="AD92" i="3"/>
  <c r="N92" i="3"/>
  <c r="A94" i="3" a="1"/>
  <c r="A94" i="3" s="1"/>
  <c r="AB92" i="3"/>
  <c r="L92" i="3"/>
  <c r="Z92" i="3"/>
  <c r="J92" i="3"/>
  <c r="X92" i="3"/>
  <c r="H92" i="3"/>
  <c r="X93" i="3"/>
  <c r="H93" i="3"/>
  <c r="AL93" i="3"/>
  <c r="V93" i="3"/>
  <c r="F93" i="3"/>
  <c r="AJ93" i="3"/>
  <c r="T93" i="3"/>
  <c r="D93" i="3"/>
  <c r="AH93" i="3"/>
  <c r="R93" i="3"/>
  <c r="B93" i="3"/>
  <c r="AF93" i="3"/>
  <c r="P93" i="3"/>
  <c r="AD93" i="3"/>
  <c r="N93" i="3"/>
  <c r="A95" i="3" a="1"/>
  <c r="A95" i="3" s="1"/>
  <c r="AB93" i="3"/>
  <c r="L93" i="3"/>
  <c r="Z93" i="3"/>
  <c r="J93" i="3"/>
  <c r="EV24" i="7" a="1"/>
  <c r="FD24" i="7" a="1"/>
  <c r="EZ24" i="7" a="1"/>
  <c r="FF25" i="7" a="1"/>
  <c r="EX25" i="7" a="1"/>
  <c r="N29" i="7" a="1"/>
  <c r="FC24" i="7" a="1"/>
  <c r="EZ25" i="7" a="1"/>
  <c r="EZ25" i="7" l="1"/>
  <c r="E116" i="7" a="1"/>
  <c r="E116" i="7" s="1"/>
  <c r="FD24" i="7"/>
  <c r="EV24" i="7"/>
  <c r="EZ24" i="7"/>
  <c r="FC24" i="7"/>
  <c r="K112" i="7"/>
  <c r="M112" i="7"/>
  <c r="I108" i="7" a="1"/>
  <c r="I108" i="7" s="1"/>
  <c r="N108" i="7" a="1"/>
  <c r="N108" i="7" s="1"/>
  <c r="L107" i="7" a="1"/>
  <c r="L107" i="7" s="1"/>
  <c r="F72" i="7" a="1"/>
  <c r="F72" i="7" s="1"/>
  <c r="C74" i="7" a="1"/>
  <c r="C74" i="7" s="1"/>
  <c r="EX25" i="7"/>
  <c r="FF25" i="7"/>
  <c r="N29" i="7"/>
  <c r="Z94" i="3"/>
  <c r="J94" i="3"/>
  <c r="X94" i="3"/>
  <c r="H94" i="3"/>
  <c r="AL94" i="3"/>
  <c r="V94" i="3"/>
  <c r="F94" i="3"/>
  <c r="AJ94" i="3"/>
  <c r="T94" i="3"/>
  <c r="D94" i="3"/>
  <c r="AH94" i="3"/>
  <c r="R94" i="3"/>
  <c r="B94" i="3"/>
  <c r="AF94" i="3"/>
  <c r="P94" i="3"/>
  <c r="AD94" i="3"/>
  <c r="N94" i="3"/>
  <c r="A96" i="3" a="1"/>
  <c r="A96" i="3" s="1"/>
  <c r="AB94" i="3"/>
  <c r="L94" i="3"/>
  <c r="A97" i="3" a="1"/>
  <c r="A97" i="3" s="1"/>
  <c r="AB95" i="3"/>
  <c r="L95" i="3"/>
  <c r="Z95" i="3"/>
  <c r="J95" i="3"/>
  <c r="X95" i="3"/>
  <c r="H95" i="3"/>
  <c r="AL95" i="3"/>
  <c r="V95" i="3"/>
  <c r="F95" i="3"/>
  <c r="AJ95" i="3"/>
  <c r="T95" i="3"/>
  <c r="D95" i="3"/>
  <c r="AH95" i="3"/>
  <c r="R95" i="3"/>
  <c r="B95" i="3"/>
  <c r="AF95" i="3"/>
  <c r="P95" i="3"/>
  <c r="AD95" i="3"/>
  <c r="N95" i="3"/>
  <c r="FB27" i="7" a="1"/>
  <c r="FE24" i="7" a="1"/>
  <c r="B72" i="7" a="1"/>
  <c r="J30" i="7" a="1"/>
  <c r="EX24" i="7" a="1"/>
  <c r="FF24" i="7" a="1"/>
  <c r="I31" i="7" a="1"/>
  <c r="FB27" i="7" l="1"/>
  <c r="FF24" i="7"/>
  <c r="FE24" i="7"/>
  <c r="EX24" i="7"/>
  <c r="B72" i="7"/>
  <c r="F76" i="7"/>
  <c r="C76" i="7"/>
  <c r="E73" i="7"/>
  <c r="D76" i="7"/>
  <c r="C73" i="7"/>
  <c r="B76" i="7"/>
  <c r="C71" i="7"/>
  <c r="B77" i="7"/>
  <c r="G72" i="7"/>
  <c r="I31" i="7"/>
  <c r="J30" i="7"/>
  <c r="AF97" i="3"/>
  <c r="P97" i="3"/>
  <c r="AD97" i="3"/>
  <c r="N97" i="3"/>
  <c r="A99" i="3" a="1"/>
  <c r="A99" i="3" s="1"/>
  <c r="AB97" i="3"/>
  <c r="L97" i="3"/>
  <c r="Z97" i="3"/>
  <c r="J97" i="3"/>
  <c r="X97" i="3"/>
  <c r="H97" i="3"/>
  <c r="AL97" i="3"/>
  <c r="V97" i="3"/>
  <c r="F97" i="3"/>
  <c r="AJ97" i="3"/>
  <c r="T97" i="3"/>
  <c r="D97" i="3"/>
  <c r="AH97" i="3"/>
  <c r="R97" i="3"/>
  <c r="B97" i="3"/>
  <c r="AD96" i="3"/>
  <c r="N96" i="3"/>
  <c r="A98" i="3" a="1"/>
  <c r="A98" i="3" s="1"/>
  <c r="AB96" i="3"/>
  <c r="L96" i="3"/>
  <c r="Z96" i="3"/>
  <c r="J96" i="3"/>
  <c r="X96" i="3"/>
  <c r="H96" i="3"/>
  <c r="AL96" i="3"/>
  <c r="V96" i="3"/>
  <c r="F96" i="3"/>
  <c r="AJ96" i="3"/>
  <c r="T96" i="3"/>
  <c r="D96" i="3"/>
  <c r="AH96" i="3"/>
  <c r="R96" i="3"/>
  <c r="B96" i="3"/>
  <c r="AF96" i="3"/>
  <c r="P96" i="3"/>
  <c r="J32" i="7" a="1"/>
  <c r="E74" i="7" a="1"/>
  <c r="A36" i="7" a="1"/>
  <c r="E32" i="7" a="1"/>
  <c r="EW28" i="7" a="1"/>
  <c r="I71" i="7" a="1"/>
  <c r="C114" i="7" a="1"/>
  <c r="D77" i="7" l="1"/>
  <c r="FH24" i="7" a="1"/>
  <c r="FH24" i="7" s="1"/>
  <c r="FG24" i="7" s="1"/>
  <c r="C114" i="7"/>
  <c r="E72" i="7" a="1"/>
  <c r="E72" i="7" s="1"/>
  <c r="I71" i="7"/>
  <c r="E74" i="7"/>
  <c r="G73" i="7" a="1"/>
  <c r="G73" i="7" s="1"/>
  <c r="B73" i="7" a="1"/>
  <c r="B73" i="7" s="1"/>
  <c r="F77" i="7"/>
  <c r="G74" i="7" a="1"/>
  <c r="G74" i="7" s="1"/>
  <c r="E32" i="7"/>
  <c r="J32" i="7"/>
  <c r="A36" i="7"/>
  <c r="EW28" i="7"/>
  <c r="K34" i="7"/>
  <c r="L31" i="7"/>
  <c r="J34" i="7"/>
  <c r="J31" i="7"/>
  <c r="I34" i="7"/>
  <c r="J29" i="7"/>
  <c r="M34" i="7"/>
  <c r="AH98" i="3"/>
  <c r="R98" i="3"/>
  <c r="B98" i="3"/>
  <c r="AF98" i="3"/>
  <c r="P98" i="3"/>
  <c r="AD98" i="3"/>
  <c r="N98" i="3"/>
  <c r="A100" i="3" a="1"/>
  <c r="A100" i="3" s="1"/>
  <c r="AB98" i="3"/>
  <c r="L98" i="3"/>
  <c r="Z98" i="3"/>
  <c r="J98" i="3"/>
  <c r="X98" i="3"/>
  <c r="H98" i="3"/>
  <c r="AL98" i="3"/>
  <c r="V98" i="3"/>
  <c r="F98" i="3"/>
  <c r="AJ98" i="3"/>
  <c r="T98" i="3"/>
  <c r="D98" i="3"/>
  <c r="AJ99" i="3"/>
  <c r="T99" i="3"/>
  <c r="D99" i="3"/>
  <c r="AH99" i="3"/>
  <c r="R99" i="3"/>
  <c r="B99" i="3"/>
  <c r="AF99" i="3"/>
  <c r="P99" i="3"/>
  <c r="AD99" i="3"/>
  <c r="N99" i="3"/>
  <c r="A101" i="3" a="1"/>
  <c r="A101" i="3" s="1"/>
  <c r="AB99" i="3"/>
  <c r="L99" i="3"/>
  <c r="Z99" i="3"/>
  <c r="J99" i="3"/>
  <c r="X99" i="3"/>
  <c r="H99" i="3"/>
  <c r="AL99" i="3"/>
  <c r="V99" i="3"/>
  <c r="F99" i="3"/>
  <c r="N32" i="7" a="1"/>
  <c r="EV28" i="7" a="1"/>
  <c r="EW27" i="7" a="1"/>
  <c r="FC28" i="7" a="1"/>
  <c r="FB25" i="7" a="1"/>
  <c r="I113" i="7" a="1"/>
  <c r="FA28" i="7" a="1"/>
  <c r="A37" i="7" a="1"/>
  <c r="EW27" i="7" l="1"/>
  <c r="I113" i="7"/>
  <c r="C116" i="7" a="1"/>
  <c r="C116" i="7" s="1"/>
  <c r="F114" i="7" a="1"/>
  <c r="F114" i="7" s="1"/>
  <c r="I35" i="7"/>
  <c r="N32" i="7"/>
  <c r="FA28" i="7"/>
  <c r="FB25" i="7"/>
  <c r="FH25" i="7" s="1" a="1"/>
  <c r="FH25" i="7" s="1"/>
  <c r="FG25" i="7" s="1"/>
  <c r="FC28" i="7"/>
  <c r="EV28" i="7"/>
  <c r="A37" i="7"/>
  <c r="K35" i="7"/>
  <c r="X101" i="3"/>
  <c r="H101" i="3"/>
  <c r="AL101" i="3"/>
  <c r="V101" i="3"/>
  <c r="F101" i="3"/>
  <c r="AJ101" i="3"/>
  <c r="T101" i="3"/>
  <c r="D101" i="3"/>
  <c r="AH101" i="3"/>
  <c r="R101" i="3"/>
  <c r="B101" i="3"/>
  <c r="AF101" i="3"/>
  <c r="P101" i="3"/>
  <c r="AD101" i="3"/>
  <c r="N101" i="3"/>
  <c r="A103" i="3" a="1"/>
  <c r="A103" i="3" s="1"/>
  <c r="AB101" i="3"/>
  <c r="L101" i="3"/>
  <c r="Z101" i="3"/>
  <c r="J101" i="3"/>
  <c r="AL100" i="3"/>
  <c r="V100" i="3"/>
  <c r="F100" i="3"/>
  <c r="AJ100" i="3"/>
  <c r="T100" i="3"/>
  <c r="D100" i="3"/>
  <c r="AH100" i="3"/>
  <c r="R100" i="3"/>
  <c r="B100" i="3"/>
  <c r="AF100" i="3"/>
  <c r="P100" i="3"/>
  <c r="AD100" i="3"/>
  <c r="N100" i="3"/>
  <c r="A102" i="3" a="1"/>
  <c r="A102" i="3" s="1"/>
  <c r="AB100" i="3"/>
  <c r="L100" i="3"/>
  <c r="Z100" i="3"/>
  <c r="J100" i="3"/>
  <c r="X100" i="3"/>
  <c r="H100" i="3"/>
  <c r="N31" i="7" a="1"/>
  <c r="I30" i="7" a="1"/>
  <c r="B36" i="7" a="1"/>
  <c r="FE28" i="7" a="1"/>
  <c r="FA27" i="7" a="1"/>
  <c r="EY27" i="7" a="1"/>
  <c r="J72" i="7" a="1"/>
  <c r="FD28" i="7" a="1"/>
  <c r="EY27" i="7" l="1"/>
  <c r="FA27" i="7"/>
  <c r="G114" i="7"/>
  <c r="E115" i="7"/>
  <c r="C115" i="7"/>
  <c r="B119" i="7"/>
  <c r="F118" i="7"/>
  <c r="D118" i="7"/>
  <c r="C118" i="7"/>
  <c r="B118" i="7"/>
  <c r="C113" i="7"/>
  <c r="B114" i="7" a="1"/>
  <c r="B114" i="7" s="1"/>
  <c r="FD28" i="7"/>
  <c r="J72" i="7"/>
  <c r="N31" i="7"/>
  <c r="M35" i="7" s="1"/>
  <c r="I30" i="7"/>
  <c r="FE28" i="7"/>
  <c r="B36" i="7"/>
  <c r="A105" i="3" a="1"/>
  <c r="A105" i="3" s="1"/>
  <c r="AB103" i="3"/>
  <c r="L103" i="3"/>
  <c r="Z103" i="3"/>
  <c r="J103" i="3"/>
  <c r="X103" i="3"/>
  <c r="H103" i="3"/>
  <c r="AL103" i="3"/>
  <c r="V103" i="3"/>
  <c r="F103" i="3"/>
  <c r="AJ103" i="3"/>
  <c r="T103" i="3"/>
  <c r="D103" i="3"/>
  <c r="AH103" i="3"/>
  <c r="R103" i="3"/>
  <c r="B103" i="3"/>
  <c r="AF103" i="3"/>
  <c r="P103" i="3"/>
  <c r="AD103" i="3"/>
  <c r="N103" i="3"/>
  <c r="Z102" i="3"/>
  <c r="J102" i="3"/>
  <c r="X102" i="3"/>
  <c r="H102" i="3"/>
  <c r="AL102" i="3"/>
  <c r="V102" i="3"/>
  <c r="F102" i="3"/>
  <c r="AJ102" i="3"/>
  <c r="T102" i="3"/>
  <c r="D102" i="3"/>
  <c r="AH102" i="3"/>
  <c r="R102" i="3"/>
  <c r="B102" i="3"/>
  <c r="AF102" i="3"/>
  <c r="P102" i="3"/>
  <c r="AD102" i="3"/>
  <c r="N102" i="3"/>
  <c r="A104" i="3" a="1"/>
  <c r="A104" i="3" s="1"/>
  <c r="AB102" i="3"/>
  <c r="L102" i="3"/>
  <c r="M30" i="7" a="1"/>
  <c r="G36" i="7" a="1"/>
  <c r="FF28" i="7" a="1"/>
  <c r="FC27" i="7" a="1"/>
  <c r="EZ27" i="7" a="1"/>
  <c r="EV27" i="7" a="1"/>
  <c r="FD27" i="7" a="1"/>
  <c r="G116" i="7" a="1"/>
  <c r="L116" i="7" l="1" a="1"/>
  <c r="L116" i="7" s="1"/>
  <c r="FD27" i="7"/>
  <c r="EV27" i="7"/>
  <c r="EZ27" i="7"/>
  <c r="FC27" i="7"/>
  <c r="E114" i="7" a="1"/>
  <c r="E114" i="7" s="1"/>
  <c r="D119" i="7"/>
  <c r="G116" i="7"/>
  <c r="F119" i="7"/>
  <c r="G115" i="7" a="1"/>
  <c r="G115" i="7" s="1"/>
  <c r="B115" i="7" a="1"/>
  <c r="B115" i="7" s="1"/>
  <c r="M72" i="7" a="1"/>
  <c r="M72" i="7" s="1"/>
  <c r="J74" i="7" a="1"/>
  <c r="J74" i="7" s="1"/>
  <c r="M30" i="7"/>
  <c r="FF28" i="7"/>
  <c r="G36" i="7"/>
  <c r="AD104" i="3"/>
  <c r="N104" i="3"/>
  <c r="A106" i="3" a="1"/>
  <c r="A106" i="3" s="1"/>
  <c r="AB104" i="3"/>
  <c r="L104" i="3"/>
  <c r="Z104" i="3"/>
  <c r="J104" i="3"/>
  <c r="X104" i="3"/>
  <c r="H104" i="3"/>
  <c r="AL104" i="3"/>
  <c r="V104" i="3"/>
  <c r="F104" i="3"/>
  <c r="AJ104" i="3"/>
  <c r="T104" i="3"/>
  <c r="D104" i="3"/>
  <c r="AH104" i="3"/>
  <c r="R104" i="3"/>
  <c r="B104" i="3"/>
  <c r="AF104" i="3"/>
  <c r="P104" i="3"/>
  <c r="AF105" i="3"/>
  <c r="P105" i="3"/>
  <c r="AD105" i="3"/>
  <c r="N105" i="3"/>
  <c r="A107" i="3" a="1"/>
  <c r="A107" i="3" s="1"/>
  <c r="AB105" i="3"/>
  <c r="L105" i="3"/>
  <c r="Z105" i="3"/>
  <c r="J105" i="3"/>
  <c r="X105" i="3"/>
  <c r="H105" i="3"/>
  <c r="AL105" i="3"/>
  <c r="V105" i="3"/>
  <c r="F105" i="3"/>
  <c r="AJ105" i="3"/>
  <c r="T105" i="3"/>
  <c r="D105" i="3"/>
  <c r="AH105" i="3"/>
  <c r="R105" i="3"/>
  <c r="B105" i="3"/>
  <c r="FB30" i="7" a="1"/>
  <c r="FF27" i="7" a="1"/>
  <c r="FE27" i="7" a="1"/>
  <c r="EY28" i="7" a="1"/>
  <c r="C37" i="7" a="1"/>
  <c r="EX27" i="7" a="1"/>
  <c r="I72" i="7" a="1"/>
  <c r="B38" i="7" a="1"/>
  <c r="FB30" i="7" l="1"/>
  <c r="FE27" i="7"/>
  <c r="EX27" i="7"/>
  <c r="FF27" i="7"/>
  <c r="I72" i="7"/>
  <c r="I77" i="7"/>
  <c r="M76" i="7"/>
  <c r="L73" i="7"/>
  <c r="I76" i="7"/>
  <c r="J71" i="7"/>
  <c r="J73" i="7"/>
  <c r="J76" i="7"/>
  <c r="K76" i="7"/>
  <c r="N72" i="7"/>
  <c r="EY28" i="7"/>
  <c r="N30" i="7"/>
  <c r="L30" i="7" a="1"/>
  <c r="L30" i="7" s="1"/>
  <c r="B38" i="7"/>
  <c r="C37" i="7"/>
  <c r="AH106" i="3"/>
  <c r="R106" i="3"/>
  <c r="B106" i="3"/>
  <c r="AF106" i="3"/>
  <c r="P106" i="3"/>
  <c r="AD106" i="3"/>
  <c r="N106" i="3"/>
  <c r="A108" i="3" a="1"/>
  <c r="A108" i="3" s="1"/>
  <c r="AB106" i="3"/>
  <c r="L106" i="3"/>
  <c r="Z106" i="3"/>
  <c r="J106" i="3"/>
  <c r="X106" i="3"/>
  <c r="H106" i="3"/>
  <c r="AL106" i="3"/>
  <c r="V106" i="3"/>
  <c r="F106" i="3"/>
  <c r="AJ106" i="3"/>
  <c r="T106" i="3"/>
  <c r="D106" i="3"/>
  <c r="AJ107" i="3"/>
  <c r="T107" i="3"/>
  <c r="D107" i="3"/>
  <c r="AH107" i="3"/>
  <c r="R107" i="3"/>
  <c r="B107" i="3"/>
  <c r="AF107" i="3"/>
  <c r="P107" i="3"/>
  <c r="AD107" i="3"/>
  <c r="N107" i="3"/>
  <c r="A109" i="3" a="1"/>
  <c r="A109" i="3" s="1"/>
  <c r="AB107" i="3"/>
  <c r="L107" i="3"/>
  <c r="Z107" i="3"/>
  <c r="J107" i="3"/>
  <c r="X107" i="3"/>
  <c r="H107" i="3"/>
  <c r="AL107" i="3"/>
  <c r="V107" i="3"/>
  <c r="F107" i="3"/>
  <c r="L74" i="7" a="1"/>
  <c r="L32" i="7" a="1"/>
  <c r="H36" i="7" a="1"/>
  <c r="EW31" i="7" a="1"/>
  <c r="EX28" i="7" a="1"/>
  <c r="J114" i="7" a="1"/>
  <c r="EZ28" i="7" a="1"/>
  <c r="G123" i="7" a="1"/>
  <c r="B78" i="7" a="1"/>
  <c r="K77" i="7" l="1"/>
  <c r="FH27" i="7" a="1"/>
  <c r="FH27" i="7" s="1"/>
  <c r="FG27" i="7" s="1"/>
  <c r="J114" i="7"/>
  <c r="G123" i="7"/>
  <c r="B78" i="7"/>
  <c r="L74" i="7"/>
  <c r="M77" i="7"/>
  <c r="N73" i="7" a="1"/>
  <c r="N73" i="7" s="1"/>
  <c r="I73" i="7" a="1"/>
  <c r="I73" i="7" s="1"/>
  <c r="N74" i="7" a="1"/>
  <c r="N74" i="7" s="1"/>
  <c r="L72" i="7" a="1"/>
  <c r="L72" i="7" s="1"/>
  <c r="G81" i="7" a="1"/>
  <c r="G81" i="7" s="1"/>
  <c r="L32" i="7"/>
  <c r="EX28" i="7"/>
  <c r="EZ28" i="7"/>
  <c r="EW31" i="7"/>
  <c r="H36" i="7"/>
  <c r="G39" i="7" a="1"/>
  <c r="G39" i="7" s="1"/>
  <c r="E38" i="7"/>
  <c r="F41" i="7"/>
  <c r="C41" i="7"/>
  <c r="C38" i="7"/>
  <c r="B41" i="7"/>
  <c r="C36" i="7"/>
  <c r="D41" i="7"/>
  <c r="X109" i="3"/>
  <c r="H109" i="3"/>
  <c r="AL109" i="3"/>
  <c r="V109" i="3"/>
  <c r="F109" i="3"/>
  <c r="AJ109" i="3"/>
  <c r="T109" i="3"/>
  <c r="D109" i="3"/>
  <c r="AH109" i="3"/>
  <c r="R109" i="3"/>
  <c r="B109" i="3"/>
  <c r="AF109" i="3"/>
  <c r="P109" i="3"/>
  <c r="AD109" i="3"/>
  <c r="N109" i="3"/>
  <c r="A111" i="3" a="1"/>
  <c r="A111" i="3" s="1"/>
  <c r="AB109" i="3"/>
  <c r="L109" i="3"/>
  <c r="Z109" i="3"/>
  <c r="J109" i="3"/>
  <c r="AL108" i="3"/>
  <c r="V108" i="3"/>
  <c r="F108" i="3"/>
  <c r="AJ108" i="3"/>
  <c r="T108" i="3"/>
  <c r="D108" i="3"/>
  <c r="AH108" i="3"/>
  <c r="R108" i="3"/>
  <c r="B108" i="3"/>
  <c r="AF108" i="3"/>
  <c r="P108" i="3"/>
  <c r="AD108" i="3"/>
  <c r="N108" i="3"/>
  <c r="A110" i="3" a="1"/>
  <c r="A110" i="3" s="1"/>
  <c r="AB108" i="3"/>
  <c r="L108" i="3"/>
  <c r="Z108" i="3"/>
  <c r="J108" i="3"/>
  <c r="X108" i="3"/>
  <c r="H108" i="3"/>
  <c r="F37" i="7" a="1"/>
  <c r="C39" i="7" a="1"/>
  <c r="B120" i="7" a="1"/>
  <c r="EV31" i="7" a="1"/>
  <c r="FC31" i="7" a="1"/>
  <c r="FB28" i="7" a="1"/>
  <c r="EW30" i="7" a="1"/>
  <c r="H37" i="7" a="1"/>
  <c r="EW30" i="7" l="1"/>
  <c r="J116" i="7" a="1"/>
  <c r="J116" i="7" s="1"/>
  <c r="M114" i="7" a="1"/>
  <c r="M114" i="7" s="1"/>
  <c r="B120" i="7"/>
  <c r="F37" i="7"/>
  <c r="C39" i="7"/>
  <c r="FB28" i="7"/>
  <c r="FH28" i="7" s="1" a="1"/>
  <c r="FH28" i="7" s="1"/>
  <c r="FG28" i="7" s="1"/>
  <c r="FC31" i="7"/>
  <c r="H37" i="7"/>
  <c r="EV31" i="7"/>
  <c r="Z110" i="3"/>
  <c r="J110" i="3"/>
  <c r="X110" i="3"/>
  <c r="H110" i="3"/>
  <c r="AL110" i="3"/>
  <c r="V110" i="3"/>
  <c r="F110" i="3"/>
  <c r="AJ110" i="3"/>
  <c r="T110" i="3"/>
  <c r="D110" i="3"/>
  <c r="AH110" i="3"/>
  <c r="R110" i="3"/>
  <c r="B110" i="3"/>
  <c r="AF110" i="3"/>
  <c r="P110" i="3"/>
  <c r="AD110" i="3"/>
  <c r="N110" i="3"/>
  <c r="A112" i="3" a="1"/>
  <c r="A112" i="3" s="1"/>
  <c r="AB110" i="3"/>
  <c r="L110" i="3"/>
  <c r="A113" i="3" a="1"/>
  <c r="A113" i="3" s="1"/>
  <c r="AB111" i="3"/>
  <c r="L111" i="3"/>
  <c r="Z111" i="3"/>
  <c r="J111" i="3"/>
  <c r="X111" i="3"/>
  <c r="H111" i="3"/>
  <c r="AL111" i="3"/>
  <c r="V111" i="3"/>
  <c r="F111" i="3"/>
  <c r="AJ111" i="3"/>
  <c r="T111" i="3"/>
  <c r="D111" i="3"/>
  <c r="AH111" i="3"/>
  <c r="R111" i="3"/>
  <c r="B111" i="3"/>
  <c r="AF111" i="3"/>
  <c r="P111" i="3"/>
  <c r="AD111" i="3"/>
  <c r="N111" i="3"/>
  <c r="B37" i="7" a="1"/>
  <c r="E37" i="7" a="1"/>
  <c r="G38" i="7" a="1"/>
  <c r="I36" i="7" a="1"/>
  <c r="EY31" i="7" a="1"/>
  <c r="C79" i="7" a="1"/>
  <c r="FA30" i="7" a="1"/>
  <c r="FA31" i="7" a="1"/>
  <c r="EY30" i="7" a="1"/>
  <c r="G37" i="7" l="1"/>
  <c r="B42" i="7"/>
  <c r="EY30" i="7"/>
  <c r="FA30" i="7"/>
  <c r="N114" i="7"/>
  <c r="L115" i="7"/>
  <c r="J115" i="7"/>
  <c r="I119" i="7"/>
  <c r="M118" i="7"/>
  <c r="K118" i="7"/>
  <c r="J118" i="7"/>
  <c r="I118" i="7"/>
  <c r="J113" i="7"/>
  <c r="I114" i="7" a="1"/>
  <c r="I114" i="7" s="1"/>
  <c r="C79" i="7"/>
  <c r="B37" i="7"/>
  <c r="G38" i="7"/>
  <c r="E37" i="7"/>
  <c r="FA31" i="7"/>
  <c r="EY31" i="7"/>
  <c r="D42" i="7"/>
  <c r="I36" i="7"/>
  <c r="AF113" i="3"/>
  <c r="P113" i="3"/>
  <c r="AD113" i="3"/>
  <c r="N113" i="3"/>
  <c r="A115" i="3" a="1"/>
  <c r="A115" i="3" s="1"/>
  <c r="AB113" i="3"/>
  <c r="L113" i="3"/>
  <c r="Z113" i="3"/>
  <c r="J113" i="3"/>
  <c r="X113" i="3"/>
  <c r="H113" i="3"/>
  <c r="AL113" i="3"/>
  <c r="V113" i="3"/>
  <c r="F113" i="3"/>
  <c r="AJ113" i="3"/>
  <c r="T113" i="3"/>
  <c r="D113" i="3"/>
  <c r="AH113" i="3"/>
  <c r="R113" i="3"/>
  <c r="B113" i="3"/>
  <c r="AD112" i="3"/>
  <c r="N112" i="3"/>
  <c r="A114" i="3" a="1"/>
  <c r="A114" i="3" s="1"/>
  <c r="AB112" i="3"/>
  <c r="L112" i="3"/>
  <c r="Z112" i="3"/>
  <c r="J112" i="3"/>
  <c r="X112" i="3"/>
  <c r="H112" i="3"/>
  <c r="AL112" i="3"/>
  <c r="V112" i="3"/>
  <c r="F112" i="3"/>
  <c r="AJ112" i="3"/>
  <c r="T112" i="3"/>
  <c r="D112" i="3"/>
  <c r="AH112" i="3"/>
  <c r="R112" i="3"/>
  <c r="B112" i="3"/>
  <c r="AF112" i="3"/>
  <c r="P112" i="3"/>
  <c r="FC30" i="7" a="1"/>
  <c r="EZ30" i="7" a="1"/>
  <c r="FD30" i="7" a="1"/>
  <c r="EV30" i="7" a="1"/>
  <c r="N116" i="7" a="1"/>
  <c r="EX31" i="7" a="1"/>
  <c r="EZ31" i="7" a="1"/>
  <c r="FE31" i="7" a="1"/>
  <c r="FD31" i="7" a="1"/>
  <c r="N36" i="7" a="1"/>
  <c r="FD31" i="7" l="1"/>
  <c r="EZ31" i="7"/>
  <c r="E123" i="7" a="1"/>
  <c r="E123" i="7" s="1"/>
  <c r="F42" i="7"/>
  <c r="FD30" i="7"/>
  <c r="EV30" i="7"/>
  <c r="EZ30" i="7"/>
  <c r="FC30" i="7"/>
  <c r="K119" i="7"/>
  <c r="N116" i="7"/>
  <c r="M119" i="7"/>
  <c r="I115" i="7" a="1"/>
  <c r="I115" i="7" s="1"/>
  <c r="N115" i="7" a="1"/>
  <c r="N115" i="7" s="1"/>
  <c r="L114" i="7" a="1"/>
  <c r="L114" i="7" s="1"/>
  <c r="F79" i="7" a="1"/>
  <c r="F79" i="7" s="1"/>
  <c r="C81" i="7" a="1"/>
  <c r="C81" i="7" s="1"/>
  <c r="FE31" i="7"/>
  <c r="EX31" i="7"/>
  <c r="N36" i="7"/>
  <c r="AH114" i="3"/>
  <c r="R114" i="3"/>
  <c r="B114" i="3"/>
  <c r="AF114" i="3"/>
  <c r="P114" i="3"/>
  <c r="AD114" i="3"/>
  <c r="N114" i="3"/>
  <c r="A116" i="3" a="1"/>
  <c r="A116" i="3" s="1"/>
  <c r="AB114" i="3"/>
  <c r="L114" i="3"/>
  <c r="Z114" i="3"/>
  <c r="J114" i="3"/>
  <c r="X114" i="3"/>
  <c r="H114" i="3"/>
  <c r="AL114" i="3"/>
  <c r="V114" i="3"/>
  <c r="F114" i="3"/>
  <c r="AJ114" i="3"/>
  <c r="T114" i="3"/>
  <c r="D114" i="3"/>
  <c r="AJ115" i="3"/>
  <c r="T115" i="3"/>
  <c r="D115" i="3"/>
  <c r="AH115" i="3"/>
  <c r="R115" i="3"/>
  <c r="B115" i="3"/>
  <c r="AF115" i="3"/>
  <c r="P115" i="3"/>
  <c r="AD115" i="3"/>
  <c r="N115" i="3"/>
  <c r="A117" i="3" a="1"/>
  <c r="A117" i="3" s="1"/>
  <c r="AB115" i="3"/>
  <c r="L115" i="3"/>
  <c r="Z115" i="3"/>
  <c r="J115" i="3"/>
  <c r="X115" i="3"/>
  <c r="H115" i="3"/>
  <c r="AL115" i="3"/>
  <c r="V115" i="3"/>
  <c r="F115" i="3"/>
  <c r="B79" i="7" a="1"/>
  <c r="I38" i="7" a="1"/>
  <c r="FB33" i="7" a="1"/>
  <c r="FF30" i="7" a="1"/>
  <c r="J37" i="7" a="1"/>
  <c r="FF31" i="7" a="1"/>
  <c r="EX30" i="7" a="1"/>
  <c r="FE30" i="7" a="1"/>
  <c r="FF31" i="7" l="1"/>
  <c r="FB33" i="7"/>
  <c r="FF30" i="7"/>
  <c r="FE30" i="7"/>
  <c r="EX30" i="7"/>
  <c r="B79" i="7"/>
  <c r="C83" i="7"/>
  <c r="E80" i="7"/>
  <c r="B83" i="7"/>
  <c r="C78" i="7"/>
  <c r="D83" i="7"/>
  <c r="B84" i="7"/>
  <c r="C80" i="7"/>
  <c r="F83" i="7"/>
  <c r="G79" i="7"/>
  <c r="J37" i="7"/>
  <c r="I38" i="7"/>
  <c r="X117" i="3"/>
  <c r="H117" i="3"/>
  <c r="AL117" i="3"/>
  <c r="V117" i="3"/>
  <c r="F117" i="3"/>
  <c r="AJ117" i="3"/>
  <c r="T117" i="3"/>
  <c r="D117" i="3"/>
  <c r="AH117" i="3"/>
  <c r="R117" i="3"/>
  <c r="B117" i="3"/>
  <c r="AF117" i="3"/>
  <c r="P117" i="3"/>
  <c r="AD117" i="3"/>
  <c r="N117" i="3"/>
  <c r="A119" i="3" a="1"/>
  <c r="A119" i="3" s="1"/>
  <c r="AB117" i="3"/>
  <c r="L117" i="3"/>
  <c r="Z117" i="3"/>
  <c r="J117" i="3"/>
  <c r="AL116" i="3"/>
  <c r="V116" i="3"/>
  <c r="F116" i="3"/>
  <c r="AJ116" i="3"/>
  <c r="T116" i="3"/>
  <c r="D116" i="3"/>
  <c r="AH116" i="3"/>
  <c r="R116" i="3"/>
  <c r="B116" i="3"/>
  <c r="AF116" i="3"/>
  <c r="P116" i="3"/>
  <c r="AD116" i="3"/>
  <c r="N116" i="3"/>
  <c r="A118" i="3" a="1"/>
  <c r="A118" i="3" s="1"/>
  <c r="AB116" i="3"/>
  <c r="L116" i="3"/>
  <c r="Z116" i="3"/>
  <c r="J116" i="3"/>
  <c r="X116" i="3"/>
  <c r="H116" i="3"/>
  <c r="E81" i="7" a="1"/>
  <c r="E39" i="7" a="1"/>
  <c r="P1" i="7" a="1"/>
  <c r="N123" i="7" a="1"/>
  <c r="I78" i="7" a="1"/>
  <c r="EW34" i="7" a="1"/>
  <c r="C121" i="7" a="1"/>
  <c r="D84" i="7" l="1"/>
  <c r="FH30" i="7" a="1"/>
  <c r="FH30" i="7" s="1"/>
  <c r="FG30" i="7" s="1"/>
  <c r="N123" i="7"/>
  <c r="C121" i="7"/>
  <c r="I78" i="7"/>
  <c r="E81" i="7"/>
  <c r="B80" i="7" a="1"/>
  <c r="B80" i="7" s="1"/>
  <c r="F84" i="7"/>
  <c r="G80" i="7" a="1"/>
  <c r="G80" i="7" s="1"/>
  <c r="N81" i="7" a="1"/>
  <c r="N81" i="7" s="1"/>
  <c r="E79" i="7" a="1"/>
  <c r="E79" i="7" s="1"/>
  <c r="E39" i="7"/>
  <c r="P1" i="7"/>
  <c r="EW34" i="7"/>
  <c r="N39" i="7" a="1"/>
  <c r="N39" i="7" s="1"/>
  <c r="J36" i="7"/>
  <c r="L38" i="7"/>
  <c r="M41" i="7"/>
  <c r="J38" i="7"/>
  <c r="K41" i="7"/>
  <c r="J41" i="7"/>
  <c r="I41" i="7"/>
  <c r="Z118" i="3"/>
  <c r="J118" i="3"/>
  <c r="X118" i="3"/>
  <c r="H118" i="3"/>
  <c r="AL118" i="3"/>
  <c r="V118" i="3"/>
  <c r="F118" i="3"/>
  <c r="AJ118" i="3"/>
  <c r="T118" i="3"/>
  <c r="D118" i="3"/>
  <c r="AH118" i="3"/>
  <c r="R118" i="3"/>
  <c r="B118" i="3"/>
  <c r="AF118" i="3"/>
  <c r="P118" i="3"/>
  <c r="AD118" i="3"/>
  <c r="N118" i="3"/>
  <c r="A120" i="3" a="1"/>
  <c r="A120" i="3" s="1"/>
  <c r="AB118" i="3"/>
  <c r="L118" i="3"/>
  <c r="A121" i="3" a="1"/>
  <c r="A121" i="3" s="1"/>
  <c r="AB119" i="3"/>
  <c r="L119" i="3"/>
  <c r="Z119" i="3"/>
  <c r="J119" i="3"/>
  <c r="X119" i="3"/>
  <c r="H119" i="3"/>
  <c r="AL119" i="3"/>
  <c r="V119" i="3"/>
  <c r="F119" i="3"/>
  <c r="AJ119" i="3"/>
  <c r="T119" i="3"/>
  <c r="D119" i="3"/>
  <c r="AH119" i="3"/>
  <c r="R119" i="3"/>
  <c r="B119" i="3"/>
  <c r="AF119" i="3"/>
  <c r="P119" i="3"/>
  <c r="AD119" i="3"/>
  <c r="N119" i="3"/>
  <c r="J39" i="7" a="1"/>
  <c r="M37" i="7" a="1"/>
  <c r="FB31" i="7" a="1"/>
  <c r="EW33" i="7" a="1"/>
  <c r="FC34" i="7" a="1"/>
  <c r="I120" i="7" a="1"/>
  <c r="P2" i="7" a="1"/>
  <c r="EV34" i="7" a="1"/>
  <c r="M37" i="7" l="1"/>
  <c r="N37" i="7" s="1"/>
  <c r="J39" i="7"/>
  <c r="K42" i="7" s="1"/>
  <c r="EW33" i="7"/>
  <c r="I120" i="7"/>
  <c r="C123" i="7" a="1"/>
  <c r="C123" i="7" s="1"/>
  <c r="F121" i="7" a="1"/>
  <c r="F121" i="7" s="1"/>
  <c r="FB31" i="7"/>
  <c r="FH31" i="7" s="1" a="1"/>
  <c r="FH31" i="7" s="1"/>
  <c r="FG31" i="7" s="1"/>
  <c r="EV34" i="7"/>
  <c r="P2" i="7"/>
  <c r="FC34" i="7"/>
  <c r="AF121" i="3"/>
  <c r="P121" i="3"/>
  <c r="AD121" i="3"/>
  <c r="N121" i="3"/>
  <c r="A123" i="3" a="1"/>
  <c r="A123" i="3" s="1"/>
  <c r="AB121" i="3"/>
  <c r="L121" i="3"/>
  <c r="Z121" i="3"/>
  <c r="J121" i="3"/>
  <c r="X121" i="3"/>
  <c r="H121" i="3"/>
  <c r="AL121" i="3"/>
  <c r="V121" i="3"/>
  <c r="F121" i="3"/>
  <c r="AJ121" i="3"/>
  <c r="T121" i="3"/>
  <c r="D121" i="3"/>
  <c r="AH121" i="3"/>
  <c r="R121" i="3"/>
  <c r="B121" i="3"/>
  <c r="AD120" i="3"/>
  <c r="N120" i="3"/>
  <c r="A122" i="3" a="1"/>
  <c r="A122" i="3" s="1"/>
  <c r="AB120" i="3"/>
  <c r="L120" i="3"/>
  <c r="Z120" i="3"/>
  <c r="J120" i="3"/>
  <c r="X120" i="3"/>
  <c r="H120" i="3"/>
  <c r="AL120" i="3"/>
  <c r="V120" i="3"/>
  <c r="F120" i="3"/>
  <c r="AJ120" i="3"/>
  <c r="T120" i="3"/>
  <c r="D120" i="3"/>
  <c r="AH120" i="3"/>
  <c r="R120" i="3"/>
  <c r="B120" i="3"/>
  <c r="AF120" i="3"/>
  <c r="P120" i="3"/>
  <c r="EY34" i="7" a="1"/>
  <c r="L37" i="7" a="1"/>
  <c r="FA34" i="7" a="1"/>
  <c r="N38" i="7" a="1"/>
  <c r="I37" i="7" a="1"/>
  <c r="Q1" i="7" a="1"/>
  <c r="FA33" i="7" a="1"/>
  <c r="J79" i="7" a="1"/>
  <c r="EY33" i="7" a="1"/>
  <c r="FE34" i="7" a="1"/>
  <c r="EZ34" i="7" a="1"/>
  <c r="I37" i="7" l="1"/>
  <c r="N38" i="7"/>
  <c r="M42" i="7" s="1"/>
  <c r="FA34" i="7"/>
  <c r="L37" i="7"/>
  <c r="EY34" i="7"/>
  <c r="I42" i="7"/>
  <c r="EY33" i="7"/>
  <c r="FA33" i="7"/>
  <c r="G121" i="7"/>
  <c r="E122" i="7"/>
  <c r="B126" i="7"/>
  <c r="F125" i="7"/>
  <c r="C125" i="7"/>
  <c r="C122" i="7"/>
  <c r="D125" i="7"/>
  <c r="B125" i="7"/>
  <c r="C120" i="7"/>
  <c r="B121" i="7" a="1"/>
  <c r="B121" i="7" s="1"/>
  <c r="J79" i="7"/>
  <c r="FE34" i="7"/>
  <c r="Q1" i="7"/>
  <c r="EZ34" i="7"/>
  <c r="AH122" i="3"/>
  <c r="R122" i="3"/>
  <c r="B122" i="3"/>
  <c r="AF122" i="3"/>
  <c r="P122" i="3"/>
  <c r="AD122" i="3"/>
  <c r="N122" i="3"/>
  <c r="A124" i="3" a="1"/>
  <c r="A124" i="3" s="1"/>
  <c r="AB122" i="3"/>
  <c r="L122" i="3"/>
  <c r="Z122" i="3"/>
  <c r="J122" i="3"/>
  <c r="X122" i="3"/>
  <c r="H122" i="3"/>
  <c r="AL122" i="3"/>
  <c r="V122" i="3"/>
  <c r="F122" i="3"/>
  <c r="AJ122" i="3"/>
  <c r="T122" i="3"/>
  <c r="D122" i="3"/>
  <c r="AJ123" i="3"/>
  <c r="T123" i="3"/>
  <c r="D123" i="3"/>
  <c r="AH123" i="3"/>
  <c r="R123" i="3"/>
  <c r="B123" i="3"/>
  <c r="AF123" i="3"/>
  <c r="P123" i="3"/>
  <c r="AD123" i="3"/>
  <c r="N123" i="3"/>
  <c r="A125" i="3" a="1"/>
  <c r="A125" i="3" s="1"/>
  <c r="AB123" i="3"/>
  <c r="L123" i="3"/>
  <c r="Z123" i="3"/>
  <c r="J123" i="3"/>
  <c r="X123" i="3"/>
  <c r="H123" i="3"/>
  <c r="AL123" i="3"/>
  <c r="V123" i="3"/>
  <c r="F123" i="3"/>
  <c r="EX34" i="7" a="1"/>
  <c r="FD34" i="7" a="1"/>
  <c r="FF34" i="7" a="1"/>
  <c r="V1" i="7" a="1"/>
  <c r="EZ33" i="7" a="1"/>
  <c r="FC33" i="7" a="1"/>
  <c r="EV33" i="7" a="1"/>
  <c r="FD33" i="7" a="1"/>
  <c r="FD34" i="7" l="1"/>
  <c r="EX34" i="7"/>
  <c r="FF34" i="7"/>
  <c r="L123" i="7" a="1"/>
  <c r="L123" i="7" s="1"/>
  <c r="FC33" i="7"/>
  <c r="FD33" i="7"/>
  <c r="EV33" i="7"/>
  <c r="EZ33" i="7"/>
  <c r="D126" i="7"/>
  <c r="E121" i="7" a="1"/>
  <c r="E121" i="7" s="1"/>
  <c r="F126" i="7"/>
  <c r="B122" i="7" a="1"/>
  <c r="B122" i="7" s="1"/>
  <c r="G122" i="7" a="1"/>
  <c r="G122" i="7" s="1"/>
  <c r="M79" i="7" a="1"/>
  <c r="M79" i="7" s="1"/>
  <c r="J81" i="7" a="1"/>
  <c r="J81" i="7" s="1"/>
  <c r="V1" i="7"/>
  <c r="AL124" i="3"/>
  <c r="V124" i="3"/>
  <c r="F124" i="3"/>
  <c r="AJ124" i="3"/>
  <c r="T124" i="3"/>
  <c r="D124" i="3"/>
  <c r="AH124" i="3"/>
  <c r="R124" i="3"/>
  <c r="B124" i="3"/>
  <c r="AF124" i="3"/>
  <c r="P124" i="3"/>
  <c r="AD124" i="3"/>
  <c r="N124" i="3"/>
  <c r="A126" i="3" a="1"/>
  <c r="A126" i="3" s="1"/>
  <c r="AB124" i="3"/>
  <c r="L124" i="3"/>
  <c r="Z124" i="3"/>
  <c r="J124" i="3"/>
  <c r="X124" i="3"/>
  <c r="H124" i="3"/>
  <c r="X125" i="3"/>
  <c r="H125" i="3"/>
  <c r="AL125" i="3"/>
  <c r="V125" i="3"/>
  <c r="F125" i="3"/>
  <c r="AJ125" i="3"/>
  <c r="T125" i="3"/>
  <c r="D125" i="3"/>
  <c r="AH125" i="3"/>
  <c r="R125" i="3"/>
  <c r="B125" i="3"/>
  <c r="AF125" i="3"/>
  <c r="P125" i="3"/>
  <c r="AD125" i="3"/>
  <c r="N125" i="3"/>
  <c r="A127" i="3" a="1"/>
  <c r="A127" i="3" s="1"/>
  <c r="AB125" i="3"/>
  <c r="L125" i="3"/>
  <c r="Z125" i="3"/>
  <c r="J125" i="3"/>
  <c r="FE33" i="7" a="1"/>
  <c r="Q3" i="7" a="1"/>
  <c r="EX33" i="7" a="1"/>
  <c r="FF33" i="7" a="1"/>
  <c r="I79" i="7" a="1"/>
  <c r="Q43" i="7" a="1"/>
  <c r="R2" i="7" a="1"/>
  <c r="W1" i="7" a="1"/>
  <c r="FB36" i="7" a="1"/>
  <c r="FB36" i="7" l="1"/>
  <c r="FF33" i="7"/>
  <c r="EX33" i="7"/>
  <c r="FE33" i="7"/>
  <c r="I79" i="7"/>
  <c r="M83" i="7"/>
  <c r="L80" i="7"/>
  <c r="J83" i="7"/>
  <c r="I84" i="7"/>
  <c r="J80" i="7"/>
  <c r="K83" i="7"/>
  <c r="I83" i="7"/>
  <c r="J78" i="7"/>
  <c r="N79" i="7"/>
  <c r="Q43" i="7"/>
  <c r="Q3" i="7"/>
  <c r="W1" i="7"/>
  <c r="R2" i="7"/>
  <c r="EW37" i="7" s="1"/>
  <c r="Z126" i="3"/>
  <c r="J126" i="3"/>
  <c r="X126" i="3"/>
  <c r="H126" i="3"/>
  <c r="AL126" i="3"/>
  <c r="V126" i="3"/>
  <c r="F126" i="3"/>
  <c r="AJ126" i="3"/>
  <c r="T126" i="3"/>
  <c r="D126" i="3"/>
  <c r="AH126" i="3"/>
  <c r="R126" i="3"/>
  <c r="B126" i="3"/>
  <c r="AF126" i="3"/>
  <c r="P126" i="3"/>
  <c r="AD126" i="3"/>
  <c r="N126" i="3"/>
  <c r="A128" i="3" a="1"/>
  <c r="A128" i="3" s="1"/>
  <c r="AB126" i="3"/>
  <c r="L126" i="3"/>
  <c r="A129" i="3" a="1"/>
  <c r="A129" i="3" s="1"/>
  <c r="AB127" i="3"/>
  <c r="L127" i="3"/>
  <c r="Z127" i="3"/>
  <c r="J127" i="3"/>
  <c r="X127" i="3"/>
  <c r="H127" i="3"/>
  <c r="AL127" i="3"/>
  <c r="V127" i="3"/>
  <c r="F127" i="3"/>
  <c r="AJ127" i="3"/>
  <c r="T127" i="3"/>
  <c r="D127" i="3"/>
  <c r="AH127" i="3"/>
  <c r="R127" i="3"/>
  <c r="B127" i="3"/>
  <c r="AF127" i="3"/>
  <c r="P127" i="3"/>
  <c r="AD127" i="3"/>
  <c r="N127" i="3"/>
  <c r="L39" i="7" a="1"/>
  <c r="L81" i="7" a="1"/>
  <c r="V88" i="7" a="1"/>
  <c r="J121" i="7" a="1"/>
  <c r="W2" i="7" a="1"/>
  <c r="Q85" i="7" a="1"/>
  <c r="L81" i="7" l="1"/>
  <c r="L39" i="7"/>
  <c r="K84" i="7"/>
  <c r="FH33" i="7" a="1"/>
  <c r="FH33" i="7" s="1"/>
  <c r="FG33" i="7" s="1"/>
  <c r="V88" i="7"/>
  <c r="Q85" i="7"/>
  <c r="J121" i="7"/>
  <c r="L79" i="7" a="1"/>
  <c r="L79" i="7" s="1"/>
  <c r="M84" i="7"/>
  <c r="N80" i="7" a="1"/>
  <c r="N80" i="7" s="1"/>
  <c r="I80" i="7" a="1"/>
  <c r="I80" i="7" s="1"/>
  <c r="V46" i="7" a="1"/>
  <c r="V46" i="7" s="1"/>
  <c r="W2" i="7"/>
  <c r="U6" i="7"/>
  <c r="R1" i="7"/>
  <c r="EV37" i="7" s="1"/>
  <c r="S6" i="7"/>
  <c r="R6" i="7"/>
  <c r="FC37" i="7" s="1"/>
  <c r="T3" i="7"/>
  <c r="Q6" i="7"/>
  <c r="R3" i="7"/>
  <c r="V4" i="7" a="1"/>
  <c r="V4" i="7" s="1"/>
  <c r="AF129" i="3"/>
  <c r="P129" i="3"/>
  <c r="AD129" i="3"/>
  <c r="N129" i="3"/>
  <c r="A131" i="3" a="1"/>
  <c r="A131" i="3" s="1"/>
  <c r="AB129" i="3"/>
  <c r="L129" i="3"/>
  <c r="Z129" i="3"/>
  <c r="J129" i="3"/>
  <c r="X129" i="3"/>
  <c r="H129" i="3"/>
  <c r="AL129" i="3"/>
  <c r="V129" i="3"/>
  <c r="F129" i="3"/>
  <c r="AJ129" i="3"/>
  <c r="T129" i="3"/>
  <c r="D129" i="3"/>
  <c r="AH129" i="3"/>
  <c r="R129" i="3"/>
  <c r="B129" i="3"/>
  <c r="AD128" i="3"/>
  <c r="N128" i="3"/>
  <c r="A130" i="3" a="1"/>
  <c r="A130" i="3" s="1"/>
  <c r="AB128" i="3"/>
  <c r="L128" i="3"/>
  <c r="Z128" i="3"/>
  <c r="J128" i="3"/>
  <c r="X128" i="3"/>
  <c r="H128" i="3"/>
  <c r="AL128" i="3"/>
  <c r="V128" i="3"/>
  <c r="F128" i="3"/>
  <c r="AJ128" i="3"/>
  <c r="T128" i="3"/>
  <c r="D128" i="3"/>
  <c r="AH128" i="3"/>
  <c r="R128" i="3"/>
  <c r="B128" i="3"/>
  <c r="AF128" i="3"/>
  <c r="P128" i="3"/>
  <c r="FB35" i="7" a="1"/>
  <c r="FB34" i="7" a="1"/>
  <c r="R4" i="7" a="1"/>
  <c r="U2" i="7" a="1"/>
  <c r="X1" i="7" a="1"/>
  <c r="EW36" i="7" a="1"/>
  <c r="R44" i="7" a="1"/>
  <c r="FB34" i="7" l="1"/>
  <c r="FH34" i="7" s="1" a="1"/>
  <c r="FH34" i="7" s="1"/>
  <c r="FG34" i="7" s="1"/>
  <c r="FB35" i="7"/>
  <c r="EW36" i="7"/>
  <c r="M121" i="7" a="1"/>
  <c r="M121" i="7" s="1"/>
  <c r="J123" i="7" a="1"/>
  <c r="J123" i="7" s="1"/>
  <c r="R44" i="7"/>
  <c r="U2" i="7"/>
  <c r="R4" i="7"/>
  <c r="X1" i="7"/>
  <c r="AJ131" i="3"/>
  <c r="T131" i="3"/>
  <c r="D131" i="3"/>
  <c r="AH131" i="3"/>
  <c r="R131" i="3"/>
  <c r="B131" i="3"/>
  <c r="AF131" i="3"/>
  <c r="P131" i="3"/>
  <c r="AD131" i="3"/>
  <c r="N131" i="3"/>
  <c r="A133" i="3" a="1"/>
  <c r="A133" i="3" s="1"/>
  <c r="AB131" i="3"/>
  <c r="L131" i="3"/>
  <c r="Z131" i="3"/>
  <c r="J131" i="3"/>
  <c r="X131" i="3"/>
  <c r="H131" i="3"/>
  <c r="AL131" i="3"/>
  <c r="V131" i="3"/>
  <c r="F131" i="3"/>
  <c r="AH130" i="3"/>
  <c r="R130" i="3"/>
  <c r="B130" i="3"/>
  <c r="AF130" i="3"/>
  <c r="P130" i="3"/>
  <c r="AD130" i="3"/>
  <c r="N130" i="3"/>
  <c r="A132" i="3" a="1"/>
  <c r="A132" i="3" s="1"/>
  <c r="AB130" i="3"/>
  <c r="L130" i="3"/>
  <c r="Z130" i="3"/>
  <c r="J130" i="3"/>
  <c r="X130" i="3"/>
  <c r="H130" i="3"/>
  <c r="AL130" i="3"/>
  <c r="V130" i="3"/>
  <c r="F130" i="3"/>
  <c r="AJ130" i="3"/>
  <c r="T130" i="3"/>
  <c r="D130" i="3"/>
  <c r="Q2" i="7" a="1"/>
  <c r="V3" i="7" a="1"/>
  <c r="T2" i="7" a="1"/>
  <c r="EY36" i="7" a="1"/>
  <c r="FA36" i="7" a="1"/>
  <c r="AC1" i="7" a="1"/>
  <c r="EW38" i="7" a="1"/>
  <c r="EW38" i="7" l="1"/>
  <c r="S7" i="7"/>
  <c r="FE37" i="7" s="1"/>
  <c r="FA37" i="7"/>
  <c r="V2" i="7"/>
  <c r="EZ37" i="7" s="1"/>
  <c r="EY37" i="7"/>
  <c r="T88" i="7" a="1"/>
  <c r="T88" i="7" s="1"/>
  <c r="FA36" i="7"/>
  <c r="EY36" i="7"/>
  <c r="L122" i="7"/>
  <c r="J122" i="7"/>
  <c r="I126" i="7"/>
  <c r="M125" i="7"/>
  <c r="K125" i="7"/>
  <c r="I125" i="7"/>
  <c r="J120" i="7"/>
  <c r="J125" i="7"/>
  <c r="I121" i="7" a="1"/>
  <c r="I121" i="7" s="1"/>
  <c r="N121" i="7"/>
  <c r="R46" i="7" a="1"/>
  <c r="R46" i="7" s="1"/>
  <c r="U44" i="7" a="1"/>
  <c r="U44" i="7" s="1"/>
  <c r="Q7" i="7"/>
  <c r="FD37" i="7" s="1"/>
  <c r="V3" i="7"/>
  <c r="U7" i="7" s="1"/>
  <c r="FF37" i="7" s="1"/>
  <c r="Q2" i="7"/>
  <c r="T2" i="7"/>
  <c r="EX37" i="7" s="1"/>
  <c r="AC1" i="7"/>
  <c r="AL132" i="3"/>
  <c r="V132" i="3"/>
  <c r="F132" i="3"/>
  <c r="AJ132" i="3"/>
  <c r="T132" i="3"/>
  <c r="D132" i="3"/>
  <c r="AH132" i="3"/>
  <c r="R132" i="3"/>
  <c r="B132" i="3"/>
  <c r="AF132" i="3"/>
  <c r="P132" i="3"/>
  <c r="AD132" i="3"/>
  <c r="N132" i="3"/>
  <c r="A134" i="3" a="1"/>
  <c r="A134" i="3" s="1"/>
  <c r="AB132" i="3"/>
  <c r="L132" i="3"/>
  <c r="Z132" i="3"/>
  <c r="J132" i="3"/>
  <c r="X132" i="3"/>
  <c r="H132" i="3"/>
  <c r="X133" i="3"/>
  <c r="H133" i="3"/>
  <c r="AL133" i="3"/>
  <c r="V133" i="3"/>
  <c r="F133" i="3"/>
  <c r="AJ133" i="3"/>
  <c r="T133" i="3"/>
  <c r="D133" i="3"/>
  <c r="AH133" i="3"/>
  <c r="R133" i="3"/>
  <c r="B133" i="3"/>
  <c r="AF133" i="3"/>
  <c r="P133" i="3"/>
  <c r="AD133" i="3"/>
  <c r="N133" i="3"/>
  <c r="A135" i="3" a="1"/>
  <c r="A135" i="3" s="1"/>
  <c r="AB133" i="3"/>
  <c r="L133" i="3"/>
  <c r="Z133" i="3"/>
  <c r="J133" i="3"/>
  <c r="FA38" i="7" a="1"/>
  <c r="Y2" i="7" a="1"/>
  <c r="EZ36" i="7" a="1"/>
  <c r="EV36" i="7" a="1"/>
  <c r="FD36" i="7" a="1"/>
  <c r="X43" i="7" a="1"/>
  <c r="EY38" i="7" a="1"/>
  <c r="X3" i="7" a="1"/>
  <c r="FC36" i="7" a="1"/>
  <c r="Q44" i="7" a="1"/>
  <c r="EY38" i="7" l="1"/>
  <c r="FA38" i="7"/>
  <c r="FD36" i="7"/>
  <c r="EZ36" i="7"/>
  <c r="FC36" i="7"/>
  <c r="EV36" i="7"/>
  <c r="K126" i="7"/>
  <c r="M126" i="7"/>
  <c r="I122" i="7" a="1"/>
  <c r="I122" i="7" s="1"/>
  <c r="N122" i="7" a="1"/>
  <c r="N122" i="7" s="1"/>
  <c r="L121" i="7" a="1"/>
  <c r="L121" i="7" s="1"/>
  <c r="X43" i="7"/>
  <c r="Q44" i="7"/>
  <c r="V44" i="7"/>
  <c r="R43" i="7"/>
  <c r="U48" i="7"/>
  <c r="S48" i="7"/>
  <c r="R48" i="7"/>
  <c r="T45" i="7"/>
  <c r="Q49" i="7"/>
  <c r="Q48" i="7"/>
  <c r="R45" i="7"/>
  <c r="X3" i="7"/>
  <c r="Y2" i="7"/>
  <c r="EW40" i="7" s="1"/>
  <c r="Z134" i="3"/>
  <c r="J134" i="3"/>
  <c r="X134" i="3"/>
  <c r="H134" i="3"/>
  <c r="AL134" i="3"/>
  <c r="V134" i="3"/>
  <c r="F134" i="3"/>
  <c r="AJ134" i="3"/>
  <c r="T134" i="3"/>
  <c r="D134" i="3"/>
  <c r="AH134" i="3"/>
  <c r="R134" i="3"/>
  <c r="B134" i="3"/>
  <c r="AF134" i="3"/>
  <c r="P134" i="3"/>
  <c r="AD134" i="3"/>
  <c r="N134" i="3"/>
  <c r="A136" i="3" a="1"/>
  <c r="A136" i="3" s="1"/>
  <c r="AB134" i="3"/>
  <c r="L134" i="3"/>
  <c r="A137" i="3" a="1"/>
  <c r="A137" i="3" s="1"/>
  <c r="AB135" i="3"/>
  <c r="L135" i="3"/>
  <c r="Z135" i="3"/>
  <c r="J135" i="3"/>
  <c r="X135" i="3"/>
  <c r="H135" i="3"/>
  <c r="AL135" i="3"/>
  <c r="V135" i="3"/>
  <c r="F135" i="3"/>
  <c r="AJ135" i="3"/>
  <c r="T135" i="3"/>
  <c r="D135" i="3"/>
  <c r="AH135" i="3"/>
  <c r="R135" i="3"/>
  <c r="B135" i="3"/>
  <c r="AF135" i="3"/>
  <c r="P135" i="3"/>
  <c r="AD135" i="3"/>
  <c r="N135" i="3"/>
  <c r="T46" i="7" a="1"/>
  <c r="P8" i="7" a="1"/>
  <c r="T4" i="7" a="1"/>
  <c r="FC38" i="7" a="1"/>
  <c r="X85" i="7" a="1"/>
  <c r="FD38" i="7" a="1"/>
  <c r="EV38" i="7" a="1"/>
  <c r="AC88" i="7" a="1"/>
  <c r="EZ38" i="7" a="1"/>
  <c r="EX36" i="7" a="1"/>
  <c r="FF36" i="7" a="1"/>
  <c r="FE36" i="7" a="1"/>
  <c r="R86" i="7" a="1"/>
  <c r="EV38" i="7" l="1"/>
  <c r="EZ38" i="7"/>
  <c r="FD38" i="7"/>
  <c r="FC38" i="7"/>
  <c r="S49" i="7"/>
  <c r="FE36" i="7"/>
  <c r="FF36" i="7"/>
  <c r="EX36" i="7"/>
  <c r="AC88" i="7"/>
  <c r="X85" i="7"/>
  <c r="R86" i="7"/>
  <c r="T46" i="7"/>
  <c r="AC46" i="7" a="1"/>
  <c r="AC46" i="7" s="1"/>
  <c r="Q45" i="7" a="1"/>
  <c r="Q45" i="7" s="1"/>
  <c r="U49" i="7"/>
  <c r="V45" i="7" a="1"/>
  <c r="V45" i="7" s="1"/>
  <c r="T44" i="7" a="1"/>
  <c r="T44" i="7" s="1"/>
  <c r="T4" i="7"/>
  <c r="FB37" i="7" s="1"/>
  <c r="FH37" i="7" s="1" a="1"/>
  <c r="FH37" i="7" s="1"/>
  <c r="FG37" i="7" s="1"/>
  <c r="P8" i="7"/>
  <c r="AA3" i="7"/>
  <c r="Z6" i="7"/>
  <c r="Y3" i="7"/>
  <c r="Y6" i="7"/>
  <c r="FC40" i="7" s="1"/>
  <c r="X6" i="7"/>
  <c r="AB6" i="7"/>
  <c r="Y1" i="7"/>
  <c r="EV40" i="7" s="1"/>
  <c r="AC4" i="7" a="1"/>
  <c r="AC4" i="7" s="1"/>
  <c r="AF137" i="3"/>
  <c r="P137" i="3"/>
  <c r="AD137" i="3"/>
  <c r="N137" i="3"/>
  <c r="A139" i="3" a="1"/>
  <c r="A139" i="3" s="1"/>
  <c r="AB137" i="3"/>
  <c r="L137" i="3"/>
  <c r="Z137" i="3"/>
  <c r="J137" i="3"/>
  <c r="X137" i="3"/>
  <c r="H137" i="3"/>
  <c r="AL137" i="3"/>
  <c r="V137" i="3"/>
  <c r="F137" i="3"/>
  <c r="AJ137" i="3"/>
  <c r="T137" i="3"/>
  <c r="D137" i="3"/>
  <c r="AH137" i="3"/>
  <c r="R137" i="3"/>
  <c r="B137" i="3"/>
  <c r="AD136" i="3"/>
  <c r="N136" i="3"/>
  <c r="A138" i="3" a="1"/>
  <c r="A138" i="3" s="1"/>
  <c r="AB136" i="3"/>
  <c r="L136" i="3"/>
  <c r="Z136" i="3"/>
  <c r="J136" i="3"/>
  <c r="X136" i="3"/>
  <c r="H136" i="3"/>
  <c r="AL136" i="3"/>
  <c r="V136" i="3"/>
  <c r="F136" i="3"/>
  <c r="AJ136" i="3"/>
  <c r="T136" i="3"/>
  <c r="D136" i="3"/>
  <c r="AH136" i="3"/>
  <c r="R136" i="3"/>
  <c r="B136" i="3"/>
  <c r="AF136" i="3"/>
  <c r="P136" i="3"/>
  <c r="Y4" i="7" a="1"/>
  <c r="AB2" i="7" a="1"/>
  <c r="FF38" i="7" a="1"/>
  <c r="Y44" i="7" a="1"/>
  <c r="P9" i="7" a="1"/>
  <c r="FB39" i="7" a="1"/>
  <c r="EW39" i="7" a="1"/>
  <c r="EX38" i="7" a="1"/>
  <c r="FB38" i="7" a="1"/>
  <c r="FE38" i="7" a="1"/>
  <c r="Y4" i="7" l="1"/>
  <c r="FA40" i="7" s="1"/>
  <c r="EW39" i="7"/>
  <c r="FB39" i="7"/>
  <c r="FF38" i="7"/>
  <c r="FE38" i="7"/>
  <c r="FB38" i="7"/>
  <c r="EX38" i="7"/>
  <c r="FH36" i="7" a="1"/>
  <c r="FH36" i="7" s="1"/>
  <c r="FG36" i="7" s="1"/>
  <c r="R88" i="7" a="1"/>
  <c r="R88" i="7" s="1"/>
  <c r="U86" i="7" a="1"/>
  <c r="U86" i="7" s="1"/>
  <c r="Y44" i="7"/>
  <c r="AB2" i="7"/>
  <c r="EY40" i="7" s="1"/>
  <c r="P9" i="7"/>
  <c r="AJ139" i="3"/>
  <c r="T139" i="3"/>
  <c r="D139" i="3"/>
  <c r="AH139" i="3"/>
  <c r="R139" i="3"/>
  <c r="B139" i="3"/>
  <c r="AF139" i="3"/>
  <c r="P139" i="3"/>
  <c r="AD139" i="3"/>
  <c r="N139" i="3"/>
  <c r="A141" i="3" a="1"/>
  <c r="A141" i="3" s="1"/>
  <c r="AB139" i="3"/>
  <c r="L139" i="3"/>
  <c r="Z139" i="3"/>
  <c r="J139" i="3"/>
  <c r="X139" i="3"/>
  <c r="H139" i="3"/>
  <c r="AL139" i="3"/>
  <c r="V139" i="3"/>
  <c r="F139" i="3"/>
  <c r="AH138" i="3"/>
  <c r="R138" i="3"/>
  <c r="B138" i="3"/>
  <c r="AF138" i="3"/>
  <c r="P138" i="3"/>
  <c r="AD138" i="3"/>
  <c r="N138" i="3"/>
  <c r="A140" i="3" a="1"/>
  <c r="A140" i="3" s="1"/>
  <c r="AB138" i="3"/>
  <c r="L138" i="3"/>
  <c r="Z138" i="3"/>
  <c r="J138" i="3"/>
  <c r="X138" i="3"/>
  <c r="H138" i="3"/>
  <c r="AL138" i="3"/>
  <c r="V138" i="3"/>
  <c r="F138" i="3"/>
  <c r="AJ138" i="3"/>
  <c r="T138" i="3"/>
  <c r="D138" i="3"/>
  <c r="AC3" i="7" a="1"/>
  <c r="AA2" i="7" a="1"/>
  <c r="X2" i="7" a="1"/>
  <c r="Q8" i="7" a="1"/>
  <c r="EW41" i="7" a="1"/>
  <c r="FA39" i="7" a="1"/>
  <c r="EY39" i="7" a="1"/>
  <c r="Z7" i="7" l="1"/>
  <c r="FE40" i="7" s="1"/>
  <c r="X7" i="7"/>
  <c r="FD40" i="7" s="1"/>
  <c r="EY39" i="7"/>
  <c r="FA39" i="7"/>
  <c r="FH38" i="7" a="1"/>
  <c r="FH38" i="7" s="1"/>
  <c r="FG38" i="7" s="1"/>
  <c r="EW41" i="7"/>
  <c r="AA88" i="7" a="1"/>
  <c r="AA88" i="7" s="1"/>
  <c r="V86" i="7"/>
  <c r="Q91" i="7"/>
  <c r="R87" i="7"/>
  <c r="R85" i="7"/>
  <c r="Q90" i="7"/>
  <c r="U90" i="7"/>
  <c r="S90" i="7"/>
  <c r="R90" i="7"/>
  <c r="T87" i="7"/>
  <c r="Q86" i="7" a="1"/>
  <c r="Q86" i="7" s="1"/>
  <c r="AB44" i="7" a="1"/>
  <c r="AB44" i="7" s="1"/>
  <c r="Y46" i="7" a="1"/>
  <c r="Y46" i="7" s="1"/>
  <c r="X2" i="7"/>
  <c r="AC2" i="7"/>
  <c r="EZ40" i="7" s="1"/>
  <c r="AA2" i="7"/>
  <c r="EX40" i="7" s="1"/>
  <c r="AC3" i="7"/>
  <c r="AB7" i="7" s="1"/>
  <c r="FF40" i="7" s="1"/>
  <c r="Q8" i="7"/>
  <c r="AL140" i="3"/>
  <c r="V140" i="3"/>
  <c r="F140" i="3"/>
  <c r="AJ140" i="3"/>
  <c r="T140" i="3"/>
  <c r="D140" i="3"/>
  <c r="AH140" i="3"/>
  <c r="R140" i="3"/>
  <c r="B140" i="3"/>
  <c r="AF140" i="3"/>
  <c r="P140" i="3"/>
  <c r="AD140" i="3"/>
  <c r="N140" i="3"/>
  <c r="A142" i="3" a="1"/>
  <c r="A142" i="3" s="1"/>
  <c r="AB140" i="3"/>
  <c r="L140" i="3"/>
  <c r="Z140" i="3"/>
  <c r="J140" i="3"/>
  <c r="X140" i="3"/>
  <c r="H140" i="3"/>
  <c r="X141" i="3"/>
  <c r="H141" i="3"/>
  <c r="AL141" i="3"/>
  <c r="V141" i="3"/>
  <c r="F141" i="3"/>
  <c r="AJ141" i="3"/>
  <c r="T141" i="3"/>
  <c r="D141" i="3"/>
  <c r="AH141" i="3"/>
  <c r="R141" i="3"/>
  <c r="B141" i="3"/>
  <c r="AF141" i="3"/>
  <c r="P141" i="3"/>
  <c r="AD141" i="3"/>
  <c r="N141" i="3"/>
  <c r="A143" i="3" a="1"/>
  <c r="A143" i="3" s="1"/>
  <c r="AB141" i="3"/>
  <c r="L141" i="3"/>
  <c r="Z141" i="3"/>
  <c r="J141" i="3"/>
  <c r="EZ39" i="7" a="1"/>
  <c r="EY41" i="7" a="1"/>
  <c r="FA41" i="7" a="1"/>
  <c r="V8" i="7" a="1"/>
  <c r="EV39" i="7" a="1"/>
  <c r="X44" i="7" a="1"/>
  <c r="FC39" i="7" a="1"/>
  <c r="FD39" i="7" a="1"/>
  <c r="FD39" i="7" l="1"/>
  <c r="EZ39" i="7"/>
  <c r="FC39" i="7"/>
  <c r="EV39" i="7"/>
  <c r="S91" i="7"/>
  <c r="T86" i="7" a="1"/>
  <c r="T86" i="7" s="1"/>
  <c r="FA41" i="7"/>
  <c r="EY41" i="7"/>
  <c r="Q87" i="7" a="1"/>
  <c r="Q87" i="7" s="1"/>
  <c r="U91" i="7"/>
  <c r="V87" i="7" a="1"/>
  <c r="V87" i="7" s="1"/>
  <c r="X44" i="7"/>
  <c r="Y48" i="7"/>
  <c r="Z48" i="7"/>
  <c r="Y45" i="7"/>
  <c r="X48" i="7"/>
  <c r="X49" i="7"/>
  <c r="Y43" i="7"/>
  <c r="AA45" i="7"/>
  <c r="AB48" i="7"/>
  <c r="AC44" i="7"/>
  <c r="V8" i="7"/>
  <c r="Z142" i="3"/>
  <c r="J142" i="3"/>
  <c r="X142" i="3"/>
  <c r="H142" i="3"/>
  <c r="AL142" i="3"/>
  <c r="V142" i="3"/>
  <c r="F142" i="3"/>
  <c r="AJ142" i="3"/>
  <c r="T142" i="3"/>
  <c r="D142" i="3"/>
  <c r="AH142" i="3"/>
  <c r="R142" i="3"/>
  <c r="B142" i="3"/>
  <c r="AF142" i="3"/>
  <c r="P142" i="3"/>
  <c r="AD142" i="3"/>
  <c r="N142" i="3"/>
  <c r="A144" i="3" a="1"/>
  <c r="A144" i="3" s="1"/>
  <c r="AB142" i="3"/>
  <c r="L142" i="3"/>
  <c r="A145" i="3" a="1"/>
  <c r="A145" i="3" s="1"/>
  <c r="AB143" i="3"/>
  <c r="L143" i="3"/>
  <c r="Z143" i="3"/>
  <c r="J143" i="3"/>
  <c r="X143" i="3"/>
  <c r="H143" i="3"/>
  <c r="AL143" i="3"/>
  <c r="V143" i="3"/>
  <c r="F143" i="3"/>
  <c r="AJ143" i="3"/>
  <c r="T143" i="3"/>
  <c r="D143" i="3"/>
  <c r="AH143" i="3"/>
  <c r="R143" i="3"/>
  <c r="B143" i="3"/>
  <c r="AF143" i="3"/>
  <c r="P143" i="3"/>
  <c r="AD143" i="3"/>
  <c r="N143" i="3"/>
  <c r="AA46" i="7" a="1"/>
  <c r="FE39" i="7" a="1"/>
  <c r="Q10" i="7" a="1"/>
  <c r="FF39" i="7" a="1"/>
  <c r="FD41" i="7" a="1"/>
  <c r="EV41" i="7" a="1"/>
  <c r="EZ41" i="7" a="1"/>
  <c r="Y86" i="7" a="1"/>
  <c r="EX39" i="7" a="1"/>
  <c r="Q50" i="7" a="1"/>
  <c r="R9" i="7" a="1"/>
  <c r="FC41" i="7" a="1"/>
  <c r="FE39" i="7" l="1"/>
  <c r="EX39" i="7"/>
  <c r="FF39" i="7"/>
  <c r="EZ41" i="7"/>
  <c r="FC41" i="7"/>
  <c r="EV41" i="7"/>
  <c r="FD41" i="7"/>
  <c r="Z49" i="7"/>
  <c r="Y86" i="7"/>
  <c r="AA46" i="7"/>
  <c r="AB49" i="7"/>
  <c r="X45" i="7" a="1"/>
  <c r="X45" i="7" s="1"/>
  <c r="AC45" i="7" a="1"/>
  <c r="AC45" i="7" s="1"/>
  <c r="AA44" i="7" a="1"/>
  <c r="AA44" i="7" s="1"/>
  <c r="Q50" i="7"/>
  <c r="R9" i="7"/>
  <c r="Q10" i="7"/>
  <c r="AL145" i="3"/>
  <c r="AF145" i="3"/>
  <c r="P145" i="3"/>
  <c r="AD145" i="3"/>
  <c r="N145" i="3"/>
  <c r="AB145" i="3"/>
  <c r="L145" i="3"/>
  <c r="Z145" i="3"/>
  <c r="J145" i="3"/>
  <c r="X145" i="3"/>
  <c r="H145" i="3"/>
  <c r="V145" i="3"/>
  <c r="F145" i="3"/>
  <c r="AJ145" i="3"/>
  <c r="T145" i="3"/>
  <c r="D145" i="3"/>
  <c r="AH145" i="3"/>
  <c r="R145" i="3"/>
  <c r="B145" i="3"/>
  <c r="AD144" i="3"/>
  <c r="N144" i="3"/>
  <c r="AB144" i="3"/>
  <c r="L144" i="3"/>
  <c r="Z144" i="3"/>
  <c r="J144" i="3"/>
  <c r="X144" i="3"/>
  <c r="H144" i="3"/>
  <c r="AL144" i="3"/>
  <c r="V144" i="3"/>
  <c r="F144" i="3"/>
  <c r="AJ144" i="3"/>
  <c r="T144" i="3"/>
  <c r="D144" i="3"/>
  <c r="AH144" i="3"/>
  <c r="R144" i="3"/>
  <c r="B144" i="3"/>
  <c r="AF144" i="3"/>
  <c r="P144" i="3"/>
  <c r="W8" i="7" a="1"/>
  <c r="AA4" i="7" a="1"/>
  <c r="EW42" i="7" a="1"/>
  <c r="FB42" i="7" a="1"/>
  <c r="I1" i="6"/>
  <c r="FE41" i="7" a="1"/>
  <c r="FB41" i="7" a="1"/>
  <c r="FF41" i="7" a="1"/>
  <c r="V95" i="7" a="1"/>
  <c r="EX41" i="7" a="1"/>
  <c r="I2" i="6"/>
  <c r="EW43" i="7" a="1"/>
  <c r="Q92" i="7" a="1"/>
  <c r="EW43" i="7" l="1"/>
  <c r="EW42" i="7"/>
  <c r="FB42" i="7"/>
  <c r="FH39" i="7" a="1"/>
  <c r="FH39" i="7" s="1"/>
  <c r="FG39" i="7" s="1"/>
  <c r="FF41" i="7"/>
  <c r="FB41" i="7"/>
  <c r="EX41" i="7"/>
  <c r="FE41" i="7"/>
  <c r="Q92" i="7"/>
  <c r="V95" i="7"/>
  <c r="AB86" i="7" a="1"/>
  <c r="AB86" i="7" s="1"/>
  <c r="Y88" i="7" a="1"/>
  <c r="Y88" i="7" s="1"/>
  <c r="V53" i="7" a="1"/>
  <c r="V53" i="7" s="1"/>
  <c r="AA4" i="7"/>
  <c r="FB40" i="7" s="1"/>
  <c r="FH40" i="7" s="1" a="1"/>
  <c r="FH40" i="7" s="1"/>
  <c r="FG40" i="7" s="1"/>
  <c r="W8" i="7"/>
  <c r="V11" i="7" a="1"/>
  <c r="V11" i="7" s="1"/>
  <c r="R10" i="7"/>
  <c r="Q13" i="7"/>
  <c r="U13" i="7"/>
  <c r="S13" i="7"/>
  <c r="T10" i="7"/>
  <c r="R13" i="7"/>
  <c r="R8" i="7"/>
  <c r="EX225" i="7"/>
  <c r="A9" i="4"/>
  <c r="EX226" i="7"/>
  <c r="T146" i="3" a="1"/>
  <c r="T146" i="3" s="1"/>
  <c r="T147" i="3" a="1"/>
  <c r="T147" i="3" s="1"/>
  <c r="L146" i="3" a="1"/>
  <c r="L146" i="3" s="1"/>
  <c r="L149" i="3" s="1"/>
  <c r="L147" i="3" a="1"/>
  <c r="L147" i="3" s="1"/>
  <c r="AJ146" i="3" a="1"/>
  <c r="AJ146" i="3" s="1"/>
  <c r="AJ147" i="3" a="1"/>
  <c r="AJ147" i="3" s="1"/>
  <c r="AB147" i="3" a="1"/>
  <c r="AB147" i="3" s="1"/>
  <c r="AB146" i="3" a="1"/>
  <c r="AB146" i="3" s="1"/>
  <c r="F147" i="3" a="1"/>
  <c r="F147" i="3" s="1"/>
  <c r="F146" i="3" a="1"/>
  <c r="F146" i="3" s="1"/>
  <c r="N147" i="3" a="1"/>
  <c r="N147" i="3" s="1"/>
  <c r="N146" i="3" a="1"/>
  <c r="N146" i="3" s="1"/>
  <c r="V146" i="3" a="1"/>
  <c r="V146" i="3" s="1"/>
  <c r="V147" i="3" a="1"/>
  <c r="V147" i="3" s="1"/>
  <c r="AD146" i="3" a="1"/>
  <c r="AD146" i="3" s="1"/>
  <c r="AD147" i="3" a="1"/>
  <c r="AD147" i="3" s="1"/>
  <c r="D147" i="3" a="1"/>
  <c r="D147" i="3" s="1"/>
  <c r="D146" i="3" a="1"/>
  <c r="D146" i="3" s="1"/>
  <c r="B147" i="3" a="1"/>
  <c r="B147" i="3" s="1"/>
  <c r="B146" i="3" a="1"/>
  <c r="B146" i="3" s="1"/>
  <c r="H147" i="3" a="1"/>
  <c r="H147" i="3" s="1"/>
  <c r="H146" i="3" a="1"/>
  <c r="H146" i="3" s="1"/>
  <c r="C3" i="4" s="1"/>
  <c r="K3" i="4" s="1"/>
  <c r="F3" i="4" s="1"/>
  <c r="P147" i="3" a="1"/>
  <c r="P147" i="3" s="1"/>
  <c r="P146" i="3" a="1"/>
  <c r="P146" i="3" s="1"/>
  <c r="C6" i="4" s="1"/>
  <c r="K6" i="4" s="1"/>
  <c r="F6" i="4" s="1"/>
  <c r="R147" i="3" a="1"/>
  <c r="R147" i="3" s="1"/>
  <c r="R146" i="3" a="1"/>
  <c r="R146" i="3" s="1"/>
  <c r="C7" i="4" s="1"/>
  <c r="K7" i="4" s="1"/>
  <c r="F7" i="4" s="1"/>
  <c r="X147" i="3" a="1"/>
  <c r="X147" i="3" s="1"/>
  <c r="X146" i="3" a="1"/>
  <c r="X146" i="3" s="1"/>
  <c r="AF147" i="3" a="1"/>
  <c r="AF147" i="3" s="1"/>
  <c r="AF146" i="3" a="1"/>
  <c r="AF146" i="3" s="1"/>
  <c r="AH146" i="3" a="1"/>
  <c r="AH146" i="3" s="1"/>
  <c r="AH147" i="3" a="1"/>
  <c r="AH147" i="3" s="1"/>
  <c r="J147" i="3" a="1"/>
  <c r="J147" i="3" s="1"/>
  <c r="J146" i="3" a="1"/>
  <c r="J146" i="3" s="1"/>
  <c r="C4" i="4" s="1"/>
  <c r="K4" i="4" s="1"/>
  <c r="F4" i="4" s="1"/>
  <c r="Z146" i="3" a="1"/>
  <c r="Z146" i="3" s="1"/>
  <c r="Z147" i="3" a="1"/>
  <c r="Z147" i="3" s="1"/>
  <c r="R11" i="7" a="1"/>
  <c r="U9" i="7" a="1"/>
  <c r="FA201" i="7" a="1"/>
  <c r="EV213" i="7" a="1"/>
  <c r="FC43" i="7" a="1"/>
  <c r="FA42" i="7" a="1"/>
  <c r="FA189" i="7" a="1"/>
  <c r="EY42" i="7" a="1"/>
  <c r="W9" i="7" a="1"/>
  <c r="FA193" i="7" a="1"/>
  <c r="EV43" i="7" a="1"/>
  <c r="FA205" i="7" a="1"/>
  <c r="R51" i="7" a="1"/>
  <c r="C8" i="4" l="1"/>
  <c r="K8" i="4" s="1"/>
  <c r="F8" i="4" s="1"/>
  <c r="T149" i="3"/>
  <c r="EV43" i="7"/>
  <c r="FC43" i="7"/>
  <c r="EY42" i="7"/>
  <c r="FA42" i="7"/>
  <c r="FH41" i="7" a="1"/>
  <c r="FH41" i="7" s="1"/>
  <c r="FG41" i="7" s="1"/>
  <c r="AB90" i="7"/>
  <c r="AA87" i="7"/>
  <c r="Z90" i="7"/>
  <c r="Y87" i="7"/>
  <c r="Y90" i="7"/>
  <c r="X90" i="7"/>
  <c r="X91" i="7"/>
  <c r="Y85" i="7"/>
  <c r="X86" i="7" a="1"/>
  <c r="X86" i="7" s="1"/>
  <c r="AC86" i="7"/>
  <c r="R51" i="7"/>
  <c r="U9" i="7"/>
  <c r="R11" i="7"/>
  <c r="W9" i="7"/>
  <c r="FA205" i="7"/>
  <c r="FA201" i="7"/>
  <c r="FA193" i="7"/>
  <c r="FA189" i="7"/>
  <c r="EV213" i="7"/>
  <c r="E6" i="6"/>
  <c r="FA184" i="7" s="1"/>
  <c r="C5" i="4"/>
  <c r="M5" i="4" s="1"/>
  <c r="F149" i="3"/>
  <c r="C2" i="4"/>
  <c r="M2" i="4" s="1"/>
  <c r="FA209" i="7" a="1"/>
  <c r="X8" i="7" a="1"/>
  <c r="V10" i="7" a="1"/>
  <c r="T9" i="7" a="1"/>
  <c r="Q9" i="7" a="1"/>
  <c r="EV42" i="7" a="1"/>
  <c r="FD42" i="7" a="1"/>
  <c r="EZ42" i="7" a="1"/>
  <c r="EW44" i="7" a="1"/>
  <c r="FA43" i="7" a="1"/>
  <c r="EY43" i="7" a="1"/>
  <c r="FC42" i="7" a="1"/>
  <c r="FA209" i="7" l="1"/>
  <c r="FD209" i="7" s="1"/>
  <c r="FE209" i="7" s="1"/>
  <c r="N5" i="4"/>
  <c r="H5" i="4" s="1"/>
  <c r="K5" i="4"/>
  <c r="L5" i="4"/>
  <c r="G5" i="4" s="1"/>
  <c r="N2" i="4"/>
  <c r="H2" i="4" s="1"/>
  <c r="EY43" i="7"/>
  <c r="EW44" i="7"/>
  <c r="FA43" i="7"/>
  <c r="EV42" i="7"/>
  <c r="EZ42" i="7"/>
  <c r="FD42" i="7"/>
  <c r="FC42" i="7"/>
  <c r="AA86" i="7" a="1"/>
  <c r="AA86" i="7" s="1"/>
  <c r="Z91" i="7"/>
  <c r="S14" i="7"/>
  <c r="V9" i="7"/>
  <c r="T95" i="7" a="1"/>
  <c r="T95" i="7" s="1"/>
  <c r="AC87" i="7" a="1"/>
  <c r="AC87" i="7" s="1"/>
  <c r="AB91" i="7"/>
  <c r="X87" i="7" a="1"/>
  <c r="X87" i="7" s="1"/>
  <c r="R53" i="7" a="1"/>
  <c r="R53" i="7" s="1"/>
  <c r="U51" i="7" a="1"/>
  <c r="U51" i="7" s="1"/>
  <c r="L2" i="4"/>
  <c r="G2" i="4" s="1"/>
  <c r="K2" i="4"/>
  <c r="Q14" i="7"/>
  <c r="Q9" i="7"/>
  <c r="V10" i="7"/>
  <c r="U14" i="7" s="1"/>
  <c r="T9" i="7"/>
  <c r="X8" i="7"/>
  <c r="C6" i="6"/>
  <c r="EY184" i="7" s="1"/>
  <c r="FC213" i="7"/>
  <c r="EY213" i="7"/>
  <c r="EZ213" i="7" s="1"/>
  <c r="FD201" i="7"/>
  <c r="FE201" i="7" s="1"/>
  <c r="FH201" i="7"/>
  <c r="FG201" i="7" s="1"/>
  <c r="EY201" i="7"/>
  <c r="EZ201" i="7" s="1"/>
  <c r="FD189" i="7"/>
  <c r="FE189" i="7" s="1"/>
  <c r="FH189" i="7"/>
  <c r="FG189" i="7" s="1"/>
  <c r="EY189" i="7"/>
  <c r="EZ189" i="7" s="1"/>
  <c r="FD193" i="7"/>
  <c r="FE193" i="7" s="1"/>
  <c r="FH193" i="7"/>
  <c r="FG193" i="7" s="1"/>
  <c r="EY193" i="7"/>
  <c r="EZ193" i="7" s="1"/>
  <c r="FD205" i="7"/>
  <c r="FE205" i="7" s="1"/>
  <c r="FH205" i="7"/>
  <c r="FG205" i="7" s="1"/>
  <c r="EY205" i="7"/>
  <c r="EZ205" i="7" s="1"/>
  <c r="EV199" i="7" a="1"/>
  <c r="FA199" i="7" a="1"/>
  <c r="FA198" i="7" a="1"/>
  <c r="EV198" i="7" a="1"/>
  <c r="EV187" i="7" a="1"/>
  <c r="FA187" i="7" a="1"/>
  <c r="FA186" i="7" a="1"/>
  <c r="EV186" i="7" a="1"/>
  <c r="FF43" i="7" a="1"/>
  <c r="FB45" i="7" a="1"/>
  <c r="EX42" i="7" a="1"/>
  <c r="EY44" i="7" a="1"/>
  <c r="FF42" i="7" a="1"/>
  <c r="FE43" i="7" a="1"/>
  <c r="Q51" i="7" a="1"/>
  <c r="EZ43" i="7" a="1"/>
  <c r="FD43" i="7" a="1"/>
  <c r="AC8" i="7" a="1"/>
  <c r="EX43" i="7" a="1"/>
  <c r="FA44" i="7" a="1"/>
  <c r="FE42" i="7" a="1"/>
  <c r="EY209" i="7" l="1"/>
  <c r="EZ209" i="7" s="1"/>
  <c r="FH209" i="7"/>
  <c r="FG209" i="7" s="1"/>
  <c r="FA199" i="7"/>
  <c r="EV199" i="7"/>
  <c r="I5" i="4"/>
  <c r="EV198" i="7"/>
  <c r="FA198" i="7"/>
  <c r="F5" i="4"/>
  <c r="FA187" i="7"/>
  <c r="EV187" i="7"/>
  <c r="I2" i="4"/>
  <c r="F2" i="4"/>
  <c r="EV186" i="7"/>
  <c r="FA186" i="7"/>
  <c r="FB45" i="7"/>
  <c r="EX43" i="7"/>
  <c r="FF43" i="7"/>
  <c r="FD43" i="7"/>
  <c r="EZ43" i="7"/>
  <c r="FE43" i="7"/>
  <c r="EY44" i="7"/>
  <c r="FA44" i="7"/>
  <c r="FF42" i="7"/>
  <c r="FE42" i="7"/>
  <c r="EX42" i="7"/>
  <c r="Q51" i="7"/>
  <c r="V51" i="7"/>
  <c r="U55" i="7"/>
  <c r="R50" i="7"/>
  <c r="S55" i="7"/>
  <c r="R55" i="7"/>
  <c r="T52" i="7"/>
  <c r="Q56" i="7"/>
  <c r="Q55" i="7"/>
  <c r="R52" i="7"/>
  <c r="AC8" i="7"/>
  <c r="D6" i="6"/>
  <c r="EZ184" i="7" s="1"/>
  <c r="FA200" i="7" a="1"/>
  <c r="EV200" i="7" a="1"/>
  <c r="FA197" i="7" a="1"/>
  <c r="FA188" i="7" a="1"/>
  <c r="EV188" i="7" a="1"/>
  <c r="FA185" i="7" a="1"/>
  <c r="T53" i="7" a="1"/>
  <c r="Y9" i="7" a="1"/>
  <c r="X50" i="7" a="1"/>
  <c r="EZ44" i="7" a="1"/>
  <c r="FC44" i="7" a="1"/>
  <c r="FD44" i="7" a="1"/>
  <c r="EV44" i="7" a="1"/>
  <c r="X10" i="7" a="1"/>
  <c r="R93" i="7" a="1"/>
  <c r="EV200" i="7" l="1"/>
  <c r="FA200" i="7"/>
  <c r="EY199" i="7"/>
  <c r="EZ199" i="7" s="1"/>
  <c r="FC199" i="7"/>
  <c r="FD199" i="7" s="1"/>
  <c r="FE199" i="7" s="1"/>
  <c r="FH199" i="7"/>
  <c r="FG199" i="7" s="1"/>
  <c r="FA197" i="7"/>
  <c r="EY198" i="7"/>
  <c r="EZ198" i="7" s="1"/>
  <c r="FC198" i="7"/>
  <c r="FD198" i="7" s="1"/>
  <c r="FE198" i="7" s="1"/>
  <c r="FH198" i="7"/>
  <c r="FG198" i="7" s="1"/>
  <c r="EV188" i="7"/>
  <c r="FA188" i="7"/>
  <c r="FC187" i="7"/>
  <c r="FD187" i="7" s="1"/>
  <c r="FE187" i="7" s="1"/>
  <c r="EY187" i="7"/>
  <c r="EZ187" i="7" s="1"/>
  <c r="FH187" i="7"/>
  <c r="FG187" i="7" s="1"/>
  <c r="FA185" i="7"/>
  <c r="FD185" i="7" s="1"/>
  <c r="FE185" i="7" s="1"/>
  <c r="FH186" i="7"/>
  <c r="FG186" i="7" s="1"/>
  <c r="EY186" i="7"/>
  <c r="EZ186" i="7" s="1"/>
  <c r="FC186" i="7"/>
  <c r="FD186" i="7" s="1"/>
  <c r="FE186" i="7" s="1"/>
  <c r="FD44" i="7"/>
  <c r="FC44" i="7"/>
  <c r="EZ44" i="7"/>
  <c r="EV44" i="7"/>
  <c r="FH42" i="7" a="1"/>
  <c r="FH42" i="7" s="1"/>
  <c r="FG42" i="7" s="1"/>
  <c r="S56" i="7"/>
  <c r="R93" i="7"/>
  <c r="T51" i="7" a="1"/>
  <c r="T51" i="7" s="1"/>
  <c r="X50" i="7"/>
  <c r="T53" i="7"/>
  <c r="U56" i="7"/>
  <c r="V52" i="7" a="1"/>
  <c r="V52" i="7" s="1"/>
  <c r="Q52" i="7" a="1"/>
  <c r="Q52" i="7" s="1"/>
  <c r="EY185" i="7"/>
  <c r="EZ185" i="7" s="1"/>
  <c r="X10" i="7"/>
  <c r="Y9" i="7"/>
  <c r="T11" i="7" a="1"/>
  <c r="Y11" i="7" a="1"/>
  <c r="P15" i="7" a="1"/>
  <c r="X92" i="7" a="1"/>
  <c r="AC95" i="7" a="1"/>
  <c r="EW45" i="7" a="1"/>
  <c r="FB44" i="7" a="1"/>
  <c r="EW46" i="7" a="1"/>
  <c r="EX44" i="7" a="1"/>
  <c r="FE44" i="7" a="1"/>
  <c r="FF44" i="7" a="1"/>
  <c r="FH185" i="7" l="1"/>
  <c r="FG185" i="7" s="1"/>
  <c r="FH200" i="7"/>
  <c r="FG200" i="7" s="1"/>
  <c r="FD200" i="7"/>
  <c r="FE200" i="7" s="1"/>
  <c r="EY200" i="7"/>
  <c r="EZ200" i="7" s="1"/>
  <c r="FC200" i="7"/>
  <c r="EY197" i="7"/>
  <c r="EZ197" i="7" s="1"/>
  <c r="FD197" i="7"/>
  <c r="FE197" i="7" s="1"/>
  <c r="FH197" i="7"/>
  <c r="FG197" i="7" s="1"/>
  <c r="FD188" i="7"/>
  <c r="FE188" i="7" s="1"/>
  <c r="FH188" i="7"/>
  <c r="FG188" i="7" s="1"/>
  <c r="EY188" i="7"/>
  <c r="EZ188" i="7" s="1"/>
  <c r="FC188" i="7"/>
  <c r="EW45" i="7"/>
  <c r="FE44" i="7"/>
  <c r="FF44" i="7"/>
  <c r="EW46" i="7"/>
  <c r="FB44" i="7"/>
  <c r="EX44" i="7"/>
  <c r="AC95" i="7"/>
  <c r="X92" i="7"/>
  <c r="R95" i="7" a="1"/>
  <c r="R95" i="7" s="1"/>
  <c r="U93" i="7" a="1"/>
  <c r="U93" i="7" s="1"/>
  <c r="AC53" i="7" a="1"/>
  <c r="AC53" i="7" s="1"/>
  <c r="T11" i="7"/>
  <c r="Y11" i="7"/>
  <c r="P15" i="7"/>
  <c r="AC11" i="7" a="1"/>
  <c r="AC11" i="7" s="1"/>
  <c r="AB13" i="7"/>
  <c r="Z13" i="7"/>
  <c r="Y8" i="7"/>
  <c r="X13" i="7"/>
  <c r="Y10" i="7"/>
  <c r="Y13" i="7"/>
  <c r="AA10" i="7"/>
  <c r="AB9" i="7" a="1"/>
  <c r="FC46" i="7" a="1"/>
  <c r="FB43" i="7" a="1"/>
  <c r="FA45" i="7" a="1"/>
  <c r="FA46" i="7" a="1"/>
  <c r="EV46" i="7" a="1"/>
  <c r="EY45" i="7" a="1"/>
  <c r="Y51" i="7" a="1"/>
  <c r="P16" i="7" a="1"/>
  <c r="EY45" i="7" l="1"/>
  <c r="FA45" i="7"/>
  <c r="FH44" i="7" a="1"/>
  <c r="FH44" i="7" s="1"/>
  <c r="FG44" i="7" s="1"/>
  <c r="EV46" i="7"/>
  <c r="FA46" i="7"/>
  <c r="FB43" i="7"/>
  <c r="FH43" i="7" s="1" a="1"/>
  <c r="FH43" i="7" s="1"/>
  <c r="FG43" i="7" s="1"/>
  <c r="FC46" i="7"/>
  <c r="R92" i="7"/>
  <c r="U97" i="7"/>
  <c r="S97" i="7"/>
  <c r="R97" i="7"/>
  <c r="T94" i="7"/>
  <c r="Q98" i="7"/>
  <c r="Q97" i="7"/>
  <c r="R94" i="7"/>
  <c r="Q93" i="7" a="1"/>
  <c r="Q93" i="7" s="1"/>
  <c r="V93" i="7"/>
  <c r="Y51" i="7"/>
  <c r="Z14" i="7"/>
  <c r="AB9" i="7"/>
  <c r="X14" i="7"/>
  <c r="P16" i="7"/>
  <c r="X9" i="7" a="1"/>
  <c r="Q15" i="7" a="1"/>
  <c r="AC10" i="7" a="1"/>
  <c r="FD45" i="7" a="1"/>
  <c r="FD46" i="7" a="1"/>
  <c r="FE46" i="7" a="1"/>
  <c r="EY46" i="7" a="1"/>
  <c r="EW47" i="7" a="1"/>
  <c r="EZ45" i="7" a="1"/>
  <c r="EV45" i="7" a="1"/>
  <c r="FC45" i="7" a="1"/>
  <c r="EV45" i="7" l="1"/>
  <c r="FD45" i="7"/>
  <c r="FC45" i="7"/>
  <c r="EZ45" i="7"/>
  <c r="T93" i="7" a="1"/>
  <c r="T93" i="7" s="1"/>
  <c r="S98" i="7"/>
  <c r="EW47" i="7"/>
  <c r="EY46" i="7"/>
  <c r="FE46" i="7"/>
  <c r="FD46" i="7"/>
  <c r="AA95" i="7" a="1"/>
  <c r="AA95" i="7" s="1"/>
  <c r="AC9" i="7"/>
  <c r="Q94" i="7" a="1"/>
  <c r="Q94" i="7" s="1"/>
  <c r="U98" i="7"/>
  <c r="V94" i="7" a="1"/>
  <c r="V94" i="7" s="1"/>
  <c r="AB51" i="7" a="1"/>
  <c r="AB51" i="7" s="1"/>
  <c r="Y53" i="7" a="1"/>
  <c r="Y53" i="7" s="1"/>
  <c r="AC10" i="7"/>
  <c r="AB14" i="7" s="1"/>
  <c r="X9" i="7"/>
  <c r="Q15" i="7"/>
  <c r="AA9" i="7" a="1"/>
  <c r="EY47" i="7" a="1"/>
  <c r="FF46" i="7" a="1"/>
  <c r="FA47" i="7" a="1"/>
  <c r="FF45" i="7" a="1"/>
  <c r="EZ46" i="7" a="1"/>
  <c r="FB48" i="7" a="1"/>
  <c r="X51" i="7" a="1"/>
  <c r="EX45" i="7" a="1"/>
  <c r="V15" i="7" a="1"/>
  <c r="FE45" i="7" a="1"/>
  <c r="FB48" i="7" l="1"/>
  <c r="FE45" i="7"/>
  <c r="EX45" i="7"/>
  <c r="FF45" i="7"/>
  <c r="EZ46" i="7"/>
  <c r="FF46" i="7"/>
  <c r="FA47" i="7"/>
  <c r="EY47" i="7"/>
  <c r="X51" i="7"/>
  <c r="Y55" i="7"/>
  <c r="X55" i="7"/>
  <c r="X56" i="7"/>
  <c r="Y50" i="7"/>
  <c r="Z55" i="7"/>
  <c r="Y52" i="7"/>
  <c r="AA52" i="7"/>
  <c r="AB55" i="7"/>
  <c r="AC51" i="7"/>
  <c r="AA9" i="7"/>
  <c r="V15" i="7"/>
  <c r="AA53" i="7" a="1"/>
  <c r="EZ47" i="7" a="1"/>
  <c r="Q57" i="7" a="1"/>
  <c r="Y93" i="7" a="1"/>
  <c r="EV47" i="7" a="1"/>
  <c r="EX46" i="7" a="1"/>
  <c r="FD47" i="7" a="1"/>
  <c r="R16" i="7" a="1"/>
  <c r="FC47" i="7" a="1"/>
  <c r="Q17" i="7" a="1"/>
  <c r="FH45" i="7" l="1" a="1"/>
  <c r="FH45" i="7" s="1"/>
  <c r="FG45" i="7" s="1"/>
  <c r="EZ47" i="7"/>
  <c r="FD47" i="7"/>
  <c r="EX46" i="7"/>
  <c r="FC47" i="7"/>
  <c r="EV47" i="7"/>
  <c r="Z56" i="7"/>
  <c r="Y93" i="7"/>
  <c r="AA51" i="7" a="1"/>
  <c r="AA51" i="7" s="1"/>
  <c r="AA53" i="7"/>
  <c r="AB56" i="7"/>
  <c r="X52" i="7" a="1"/>
  <c r="X52" i="7" s="1"/>
  <c r="AC52" i="7" a="1"/>
  <c r="AC52" i="7" s="1"/>
  <c r="Q57" i="7"/>
  <c r="R16" i="7"/>
  <c r="Q17" i="7"/>
  <c r="W15" i="7" a="1"/>
  <c r="AA11" i="7" a="1"/>
  <c r="R18" i="7" a="1"/>
  <c r="FB47" i="7" a="1"/>
  <c r="EW48" i="7" a="1"/>
  <c r="EW49" i="7" a="1"/>
  <c r="V102" i="7" a="1"/>
  <c r="FF47" i="7" a="1"/>
  <c r="Q99" i="7" a="1"/>
  <c r="FE47" i="7" a="1"/>
  <c r="EX47" i="7" a="1"/>
  <c r="EW48" i="7" l="1"/>
  <c r="EX47" i="7"/>
  <c r="FE47" i="7"/>
  <c r="FF47" i="7"/>
  <c r="EW49" i="7"/>
  <c r="FB47" i="7"/>
  <c r="Q99" i="7"/>
  <c r="V102" i="7"/>
  <c r="AB93" i="7" a="1"/>
  <c r="AB93" i="7" s="1"/>
  <c r="Y95" i="7" a="1"/>
  <c r="Y95" i="7" s="1"/>
  <c r="V60" i="7" a="1"/>
  <c r="V60" i="7" s="1"/>
  <c r="AA11" i="7"/>
  <c r="R18" i="7"/>
  <c r="W15" i="7"/>
  <c r="V18" i="7" a="1"/>
  <c r="V18" i="7" s="1"/>
  <c r="U20" i="7"/>
  <c r="S20" i="7"/>
  <c r="R17" i="7"/>
  <c r="R20" i="7"/>
  <c r="Q20" i="7"/>
  <c r="T17" i="7"/>
  <c r="R15" i="7"/>
  <c r="U16" i="7" a="1"/>
  <c r="FB46" i="7" a="1"/>
  <c r="FA49" i="7" a="1"/>
  <c r="EV49" i="7" a="1"/>
  <c r="FC49" i="7" a="1"/>
  <c r="R58" i="7" a="1"/>
  <c r="EY48" i="7" a="1"/>
  <c r="W16" i="7" a="1"/>
  <c r="FA48" i="7" a="1"/>
  <c r="FH47" i="7" l="1" a="1"/>
  <c r="FH47" i="7" s="1"/>
  <c r="FG47" i="7" s="1"/>
  <c r="FA48" i="7"/>
  <c r="EY48" i="7"/>
  <c r="FC49" i="7"/>
  <c r="EV49" i="7"/>
  <c r="FA49" i="7"/>
  <c r="FB46" i="7"/>
  <c r="FH46" i="7" s="1" a="1"/>
  <c r="FH46" i="7" s="1"/>
  <c r="FG46" i="7" s="1"/>
  <c r="Y97" i="7"/>
  <c r="Z97" i="7"/>
  <c r="X97" i="7"/>
  <c r="Y94" i="7"/>
  <c r="X98" i="7"/>
  <c r="Y92" i="7"/>
  <c r="AB97" i="7"/>
  <c r="AA94" i="7"/>
  <c r="X93" i="7" a="1"/>
  <c r="X93" i="7" s="1"/>
  <c r="AC93" i="7"/>
  <c r="R58" i="7"/>
  <c r="U16" i="7"/>
  <c r="Q21" i="7"/>
  <c r="W16" i="7"/>
  <c r="S21" i="7"/>
  <c r="V17" i="7" a="1"/>
  <c r="Q16" i="7" a="1"/>
  <c r="X15" i="7" a="1"/>
  <c r="FD48" i="7" a="1"/>
  <c r="EZ48" i="7" a="1"/>
  <c r="EW50" i="7" a="1"/>
  <c r="FE49" i="7" a="1"/>
  <c r="EV48" i="7" a="1"/>
  <c r="EY49" i="7" a="1"/>
  <c r="FC48" i="7" a="1"/>
  <c r="FD49" i="7" a="1"/>
  <c r="FD48" i="7" l="1"/>
  <c r="EZ48" i="7"/>
  <c r="FC48" i="7"/>
  <c r="EV48" i="7"/>
  <c r="Z98" i="7"/>
  <c r="AA93" i="7" a="1"/>
  <c r="AA93" i="7" s="1"/>
  <c r="FD49" i="7"/>
  <c r="EY49" i="7"/>
  <c r="FE49" i="7"/>
  <c r="EW50" i="7"/>
  <c r="T102" i="7" a="1"/>
  <c r="T102" i="7" s="1"/>
  <c r="V16" i="7"/>
  <c r="AB98" i="7"/>
  <c r="X94" i="7" a="1"/>
  <c r="X94" i="7" s="1"/>
  <c r="AC94" i="7" a="1"/>
  <c r="AC94" i="7" s="1"/>
  <c r="R60" i="7" a="1"/>
  <c r="R60" i="7" s="1"/>
  <c r="U58" i="7" a="1"/>
  <c r="U58" i="7" s="1"/>
  <c r="V17" i="7"/>
  <c r="U21" i="7" s="1"/>
  <c r="Q16" i="7"/>
  <c r="X15" i="7"/>
  <c r="T16" i="7" a="1"/>
  <c r="FA50" i="7" a="1"/>
  <c r="EY50" i="7" a="1"/>
  <c r="FB51" i="7" a="1"/>
  <c r="Q58" i="7" a="1"/>
  <c r="EX48" i="7" a="1"/>
  <c r="FF49" i="7" a="1"/>
  <c r="EZ49" i="7" a="1"/>
  <c r="FF48" i="7" a="1"/>
  <c r="FE48" i="7" a="1"/>
  <c r="AC15" i="7" a="1"/>
  <c r="FB51" i="7" l="1"/>
  <c r="EX48" i="7"/>
  <c r="FE48" i="7"/>
  <c r="FF48" i="7"/>
  <c r="EZ49" i="7"/>
  <c r="FF49" i="7"/>
  <c r="EY50" i="7"/>
  <c r="FA50" i="7"/>
  <c r="Q58" i="7"/>
  <c r="V58" i="7"/>
  <c r="R57" i="7"/>
  <c r="U62" i="7"/>
  <c r="S62" i="7"/>
  <c r="Q62" i="7"/>
  <c r="R59" i="7"/>
  <c r="R62" i="7"/>
  <c r="T59" i="7"/>
  <c r="Q63" i="7"/>
  <c r="T16" i="7"/>
  <c r="AC15" i="7"/>
  <c r="T60" i="7" a="1"/>
  <c r="FD50" i="7" a="1"/>
  <c r="R100" i="7" a="1"/>
  <c r="X17" i="7" a="1"/>
  <c r="EV50" i="7" a="1"/>
  <c r="X57" i="7" a="1"/>
  <c r="EZ50" i="7" a="1"/>
  <c r="EX49" i="7" a="1"/>
  <c r="FC50" i="7" a="1"/>
  <c r="Y16" i="7" a="1"/>
  <c r="FH48" i="7" l="1" a="1"/>
  <c r="FH48" i="7" s="1"/>
  <c r="FG48" i="7" s="1"/>
  <c r="FD50" i="7"/>
  <c r="EX49" i="7"/>
  <c r="EV50" i="7"/>
  <c r="EZ50" i="7"/>
  <c r="FC50" i="7"/>
  <c r="S63" i="7"/>
  <c r="R100" i="7"/>
  <c r="T58" i="7" a="1"/>
  <c r="T58" i="7" s="1"/>
  <c r="T60" i="7"/>
  <c r="X57" i="7"/>
  <c r="Q59" i="7" a="1"/>
  <c r="Q59" i="7" s="1"/>
  <c r="U63" i="7"/>
  <c r="V59" i="7" a="1"/>
  <c r="V59" i="7" s="1"/>
  <c r="Y16" i="7"/>
  <c r="X17" i="7"/>
  <c r="T18" i="7" a="1"/>
  <c r="P22" i="7" a="1"/>
  <c r="FF50" i="7" a="1"/>
  <c r="FE50" i="7" a="1"/>
  <c r="EW52" i="7" a="1"/>
  <c r="FB50" i="7" a="1"/>
  <c r="EX50" i="7" a="1"/>
  <c r="EW51" i="7" a="1"/>
  <c r="AC102" i="7" a="1"/>
  <c r="X99" i="7" a="1"/>
  <c r="EW51" i="7" l="1"/>
  <c r="EX50" i="7"/>
  <c r="FB50" i="7"/>
  <c r="EW52" i="7"/>
  <c r="FE50" i="7"/>
  <c r="FF50" i="7"/>
  <c r="X99" i="7"/>
  <c r="AC102" i="7"/>
  <c r="R102" i="7" a="1"/>
  <c r="R102" i="7" s="1"/>
  <c r="U100" i="7" a="1"/>
  <c r="U100" i="7" s="1"/>
  <c r="AC60" i="7" a="1"/>
  <c r="AC60" i="7" s="1"/>
  <c r="T18" i="7"/>
  <c r="P22" i="7"/>
  <c r="Y17" i="7"/>
  <c r="AB20" i="7"/>
  <c r="Z20" i="7"/>
  <c r="Y20" i="7"/>
  <c r="X20" i="7"/>
  <c r="Y15" i="7"/>
  <c r="AA17" i="7"/>
  <c r="AC18" i="7" a="1"/>
  <c r="AC18" i="7" s="1"/>
  <c r="AB16" i="7" a="1"/>
  <c r="Y18" i="7" a="1"/>
  <c r="FC52" i="7" a="1"/>
  <c r="FB49" i="7" a="1"/>
  <c r="FA51" i="7" a="1"/>
  <c r="P23" i="7" a="1"/>
  <c r="EY51" i="7" a="1"/>
  <c r="EV52" i="7" a="1"/>
  <c r="Y58" i="7" a="1"/>
  <c r="EY51" i="7" l="1"/>
  <c r="FA51" i="7"/>
  <c r="FH50" i="7" a="1"/>
  <c r="FH50" i="7" s="1"/>
  <c r="FG50" i="7" s="1"/>
  <c r="FB49" i="7"/>
  <c r="FH49" i="7" s="1" a="1"/>
  <c r="FH49" i="7" s="1"/>
  <c r="FG49" i="7" s="1"/>
  <c r="FC52" i="7"/>
  <c r="EV52" i="7"/>
  <c r="U104" i="7"/>
  <c r="S104" i="7"/>
  <c r="R104" i="7"/>
  <c r="T101" i="7"/>
  <c r="Q105" i="7"/>
  <c r="Q104" i="7"/>
  <c r="R101" i="7"/>
  <c r="R99" i="7"/>
  <c r="Q100" i="7" a="1"/>
  <c r="Q100" i="7" s="1"/>
  <c r="V100" i="7"/>
  <c r="Y58" i="7"/>
  <c r="AB16" i="7"/>
  <c r="Y18" i="7"/>
  <c r="P23" i="7"/>
  <c r="X16" i="7" a="1"/>
  <c r="Q22" i="7" a="1"/>
  <c r="AC17" i="7" a="1"/>
  <c r="EW53" i="7" a="1"/>
  <c r="EY52" i="7" a="1"/>
  <c r="EV51" i="7" a="1"/>
  <c r="FA52" i="7" a="1"/>
  <c r="FC51" i="7" a="1"/>
  <c r="FD51" i="7" a="1"/>
  <c r="EZ51" i="7" a="1"/>
  <c r="EZ51" i="7" l="1"/>
  <c r="EV51" i="7"/>
  <c r="FD51" i="7"/>
  <c r="FC51" i="7"/>
  <c r="T100" i="7" a="1"/>
  <c r="T100" i="7" s="1"/>
  <c r="S105" i="7"/>
  <c r="FA52" i="7"/>
  <c r="EY52" i="7"/>
  <c r="EW53" i="7"/>
  <c r="X21" i="7"/>
  <c r="AC16" i="7"/>
  <c r="AA102" i="7" a="1"/>
  <c r="AA102" i="7" s="1"/>
  <c r="U105" i="7"/>
  <c r="V101" i="7" a="1"/>
  <c r="V101" i="7" s="1"/>
  <c r="Q101" i="7" a="1"/>
  <c r="Q101" i="7" s="1"/>
  <c r="AB58" i="7" a="1"/>
  <c r="AB58" i="7" s="1"/>
  <c r="Y60" i="7" a="1"/>
  <c r="Y60" i="7" s="1"/>
  <c r="Z21" i="7"/>
  <c r="AC17" i="7"/>
  <c r="AB21" i="7" s="1"/>
  <c r="X16" i="7"/>
  <c r="Q22" i="7"/>
  <c r="AA16" i="7" a="1"/>
  <c r="FE51" i="7" a="1"/>
  <c r="EZ52" i="7" a="1"/>
  <c r="FB54" i="7" a="1"/>
  <c r="FD52" i="7" a="1"/>
  <c r="V22" i="7" a="1"/>
  <c r="FF52" i="7" a="1"/>
  <c r="EY53" i="7" a="1"/>
  <c r="FA53" i="7" a="1"/>
  <c r="FF51" i="7" a="1"/>
  <c r="FE52" i="7" a="1"/>
  <c r="EX51" i="7" a="1"/>
  <c r="X58" i="7" a="1"/>
  <c r="FB54" i="7" l="1"/>
  <c r="FE51" i="7"/>
  <c r="EX51" i="7"/>
  <c r="FF51" i="7"/>
  <c r="FE52" i="7"/>
  <c r="FD52" i="7"/>
  <c r="EY53" i="7"/>
  <c r="FF52" i="7"/>
  <c r="EZ52" i="7"/>
  <c r="FA53" i="7"/>
  <c r="X58" i="7"/>
  <c r="Y62" i="7"/>
  <c r="AA59" i="7"/>
  <c r="Y59" i="7"/>
  <c r="X62" i="7"/>
  <c r="X63" i="7"/>
  <c r="Z62" i="7"/>
  <c r="Y57" i="7"/>
  <c r="AB62" i="7"/>
  <c r="AC58" i="7"/>
  <c r="AA16" i="7"/>
  <c r="V22" i="7"/>
  <c r="AA60" i="7" a="1"/>
  <c r="FC53" i="7" a="1"/>
  <c r="EX52" i="7" a="1"/>
  <c r="EZ53" i="7" a="1"/>
  <c r="Y100" i="7" a="1"/>
  <c r="Q64" i="7" a="1"/>
  <c r="Q24" i="7" a="1"/>
  <c r="EV53" i="7" a="1"/>
  <c r="FD53" i="7" a="1"/>
  <c r="R23" i="7" a="1"/>
  <c r="FH51" i="7" l="1" a="1"/>
  <c r="FH51" i="7" s="1"/>
  <c r="FG51" i="7" s="1"/>
  <c r="EZ53" i="7"/>
  <c r="EX52" i="7"/>
  <c r="FC53" i="7"/>
  <c r="EV53" i="7"/>
  <c r="FD53" i="7"/>
  <c r="Z63" i="7"/>
  <c r="Y100" i="7"/>
  <c r="AA58" i="7" a="1"/>
  <c r="AA58" i="7" s="1"/>
  <c r="AA60" i="7"/>
  <c r="AB63" i="7"/>
  <c r="X59" i="7" a="1"/>
  <c r="X59" i="7" s="1"/>
  <c r="AC59" i="7" a="1"/>
  <c r="AC59" i="7" s="1"/>
  <c r="Q64" i="7"/>
  <c r="R23" i="7"/>
  <c r="Q24" i="7"/>
  <c r="W22" i="7" a="1"/>
  <c r="AA18" i="7" a="1"/>
  <c r="FF53" i="7" a="1"/>
  <c r="FE53" i="7" a="1"/>
  <c r="FB53" i="7" a="1"/>
  <c r="EX53" i="7" a="1"/>
  <c r="V109" i="7" a="1"/>
  <c r="Q106" i="7" a="1"/>
  <c r="EW54" i="7" a="1"/>
  <c r="EW55" i="7" a="1"/>
  <c r="EW54" i="7" l="1"/>
  <c r="EX53" i="7"/>
  <c r="FE53" i="7"/>
  <c r="EW55" i="7"/>
  <c r="FF53" i="7"/>
  <c r="FB53" i="7"/>
  <c r="Q106" i="7"/>
  <c r="V109" i="7"/>
  <c r="AB100" i="7" a="1"/>
  <c r="AB100" i="7" s="1"/>
  <c r="Y102" i="7" a="1"/>
  <c r="Y102" i="7" s="1"/>
  <c r="V67" i="7" a="1"/>
  <c r="V67" i="7" s="1"/>
  <c r="AA18" i="7"/>
  <c r="W22" i="7"/>
  <c r="V25" i="7" a="1"/>
  <c r="V25" i="7" s="1"/>
  <c r="R24" i="7"/>
  <c r="Q27" i="7"/>
  <c r="R22" i="7"/>
  <c r="T24" i="7"/>
  <c r="S27" i="7"/>
  <c r="U27" i="7"/>
  <c r="R27" i="7"/>
  <c r="U23" i="7" a="1"/>
  <c r="R25" i="7" a="1"/>
  <c r="FC55" i="7" a="1"/>
  <c r="FB52" i="7" a="1"/>
  <c r="R65" i="7" a="1"/>
  <c r="EY54" i="7" a="1"/>
  <c r="W23" i="7" a="1"/>
  <c r="FA54" i="7" a="1"/>
  <c r="EV55" i="7" a="1"/>
  <c r="FA54" i="7" l="1"/>
  <c r="EY54" i="7"/>
  <c r="FH53" i="7" a="1"/>
  <c r="FH53" i="7" s="1"/>
  <c r="FG53" i="7" s="1"/>
  <c r="FB52" i="7"/>
  <c r="FH52" i="7" s="1" a="1"/>
  <c r="FH52" i="7" s="1"/>
  <c r="FG52" i="7" s="1"/>
  <c r="FC55" i="7"/>
  <c r="EV55" i="7"/>
  <c r="AC100" i="7"/>
  <c r="X105" i="7"/>
  <c r="Y99" i="7"/>
  <c r="X104" i="7"/>
  <c r="AB104" i="7"/>
  <c r="AA101" i="7"/>
  <c r="Z104" i="7"/>
  <c r="Y101" i="7"/>
  <c r="Y104" i="7"/>
  <c r="X100" i="7" a="1"/>
  <c r="X100" i="7" s="1"/>
  <c r="R65" i="7"/>
  <c r="U23" i="7"/>
  <c r="R25" i="7"/>
  <c r="W23" i="7"/>
  <c r="X22" i="7" a="1"/>
  <c r="Q23" i="7" a="1"/>
  <c r="V24" i="7" a="1"/>
  <c r="T23" i="7" a="1"/>
  <c r="EY55" i="7" a="1"/>
  <c r="FA55" i="7" a="1"/>
  <c r="EW56" i="7" a="1"/>
  <c r="FC54" i="7" a="1"/>
  <c r="FD54" i="7" a="1"/>
  <c r="EV54" i="7" a="1"/>
  <c r="EZ54" i="7" a="1"/>
  <c r="FD54" i="7" l="1"/>
  <c r="FC54" i="7"/>
  <c r="EZ54" i="7"/>
  <c r="EV54" i="7"/>
  <c r="Z105" i="7"/>
  <c r="AA100" i="7" a="1"/>
  <c r="AA100" i="7" s="1"/>
  <c r="EW56" i="7"/>
  <c r="FA55" i="7"/>
  <c r="EY55" i="7"/>
  <c r="T109" i="7" a="1"/>
  <c r="T109" i="7" s="1"/>
  <c r="X101" i="7" a="1"/>
  <c r="X101" i="7" s="1"/>
  <c r="AC101" i="7" a="1"/>
  <c r="AC101" i="7" s="1"/>
  <c r="AB105" i="7"/>
  <c r="R67" i="7" a="1"/>
  <c r="R67" i="7" s="1"/>
  <c r="U65" i="7" a="1"/>
  <c r="U65" i="7" s="1"/>
  <c r="Q28" i="7"/>
  <c r="V23" i="7"/>
  <c r="T23" i="7"/>
  <c r="V24" i="7"/>
  <c r="U28" i="7" s="1"/>
  <c r="Q23" i="7"/>
  <c r="S28" i="7"/>
  <c r="X22" i="7"/>
  <c r="EX55" i="7" a="1"/>
  <c r="FE54" i="7" a="1"/>
  <c r="FA56" i="7" a="1"/>
  <c r="EY56" i="7" a="1"/>
  <c r="FD55" i="7" a="1"/>
  <c r="FB57" i="7" a="1"/>
  <c r="EZ55" i="7" a="1"/>
  <c r="FF54" i="7" a="1"/>
  <c r="FE55" i="7" a="1"/>
  <c r="EX54" i="7" a="1"/>
  <c r="FF55" i="7" a="1"/>
  <c r="Q65" i="7" a="1"/>
  <c r="AC22" i="7" a="1"/>
  <c r="FB57" i="7" l="1"/>
  <c r="FE54" i="7"/>
  <c r="EX54" i="7"/>
  <c r="FF54" i="7"/>
  <c r="FF55" i="7"/>
  <c r="FE55" i="7"/>
  <c r="EZ55" i="7"/>
  <c r="EX55" i="7"/>
  <c r="FD55" i="7"/>
  <c r="EY56" i="7"/>
  <c r="FA56" i="7"/>
  <c r="Q65" i="7"/>
  <c r="V65" i="7"/>
  <c r="U69" i="7"/>
  <c r="R64" i="7"/>
  <c r="S69" i="7"/>
  <c r="R69" i="7"/>
  <c r="T66" i="7"/>
  <c r="Q70" i="7"/>
  <c r="Q69" i="7"/>
  <c r="R66" i="7"/>
  <c r="AC22" i="7"/>
  <c r="T67" i="7" a="1"/>
  <c r="R107" i="7" a="1"/>
  <c r="X24" i="7" a="1"/>
  <c r="X64" i="7" a="1"/>
  <c r="FC56" i="7" a="1"/>
  <c r="FD56" i="7" a="1"/>
  <c r="EZ56" i="7" a="1"/>
  <c r="EV56" i="7" a="1"/>
  <c r="Y23" i="7" a="1"/>
  <c r="FH54" i="7" l="1" a="1"/>
  <c r="FH54" i="7" s="1"/>
  <c r="FG54" i="7" s="1"/>
  <c r="EZ56" i="7"/>
  <c r="FD56" i="7"/>
  <c r="FC56" i="7"/>
  <c r="EV56" i="7"/>
  <c r="S70" i="7"/>
  <c r="R107" i="7"/>
  <c r="T65" i="7" a="1"/>
  <c r="T65" i="7" s="1"/>
  <c r="X64" i="7"/>
  <c r="T67" i="7"/>
  <c r="Q66" i="7" a="1"/>
  <c r="Q66" i="7" s="1"/>
  <c r="U70" i="7"/>
  <c r="V66" i="7" a="1"/>
  <c r="V66" i="7" s="1"/>
  <c r="Y23" i="7"/>
  <c r="X24" i="7"/>
  <c r="P29" i="7" a="1"/>
  <c r="T25" i="7" a="1"/>
  <c r="Y25" i="7" a="1"/>
  <c r="FB56" i="7" a="1"/>
  <c r="FF56" i="7" a="1"/>
  <c r="FE56" i="7" a="1"/>
  <c r="EW58" i="7" a="1"/>
  <c r="EX56" i="7" a="1"/>
  <c r="AC109" i="7" a="1"/>
  <c r="X106" i="7" a="1"/>
  <c r="EW57" i="7" a="1"/>
  <c r="EW57" i="7" l="1"/>
  <c r="EX56" i="7"/>
  <c r="EW58" i="7"/>
  <c r="FE56" i="7"/>
  <c r="FF56" i="7"/>
  <c r="FB56" i="7"/>
  <c r="X106" i="7"/>
  <c r="AC109" i="7"/>
  <c r="R109" i="7" a="1"/>
  <c r="R109" i="7" s="1"/>
  <c r="U107" i="7" a="1"/>
  <c r="U107" i="7" s="1"/>
  <c r="AC67" i="7" a="1"/>
  <c r="AC67" i="7" s="1"/>
  <c r="T25" i="7"/>
  <c r="Y25" i="7"/>
  <c r="P29" i="7"/>
  <c r="Y24" i="7"/>
  <c r="Y22" i="7"/>
  <c r="X27" i="7"/>
  <c r="AB27" i="7"/>
  <c r="Z27" i="7"/>
  <c r="AA24" i="7"/>
  <c r="Y27" i="7"/>
  <c r="AC25" i="7" a="1"/>
  <c r="AC25" i="7" s="1"/>
  <c r="AB23" i="7" a="1"/>
  <c r="FC58" i="7" a="1"/>
  <c r="EV58" i="7" a="1"/>
  <c r="Y65" i="7" a="1"/>
  <c r="FA57" i="7" a="1"/>
  <c r="P30" i="7" a="1"/>
  <c r="EY57" i="7" a="1"/>
  <c r="FB55" i="7" a="1"/>
  <c r="FA58" i="7" a="1"/>
  <c r="EY57" i="7" l="1"/>
  <c r="FA57" i="7"/>
  <c r="FH56" i="7" a="1"/>
  <c r="FH56" i="7" s="1"/>
  <c r="FG56" i="7" s="1"/>
  <c r="EV58" i="7"/>
  <c r="FC58" i="7"/>
  <c r="FA58" i="7"/>
  <c r="FB55" i="7"/>
  <c r="FH55" i="7" s="1" a="1"/>
  <c r="FH55" i="7" s="1"/>
  <c r="FG55" i="7" s="1"/>
  <c r="R111" i="7"/>
  <c r="T108" i="7"/>
  <c r="Q112" i="7"/>
  <c r="Q111" i="7"/>
  <c r="R108" i="7"/>
  <c r="R106" i="7"/>
  <c r="U111" i="7"/>
  <c r="S111" i="7"/>
  <c r="Q107" i="7" a="1"/>
  <c r="Q107" i="7" s="1"/>
  <c r="V107" i="7"/>
  <c r="Y65" i="7"/>
  <c r="X28" i="7"/>
  <c r="AB23" i="7"/>
  <c r="P30" i="7"/>
  <c r="Z28" i="7"/>
  <c r="Q29" i="7" a="1"/>
  <c r="X23" i="7" a="1"/>
  <c r="AA23" i="7" a="1"/>
  <c r="AC24" i="7" a="1"/>
  <c r="EV57" i="7" a="1"/>
  <c r="EY58" i="7" a="1"/>
  <c r="FE58" i="7" a="1"/>
  <c r="FD58" i="7" a="1"/>
  <c r="EZ57" i="7" a="1"/>
  <c r="FC57" i="7" a="1"/>
  <c r="EW59" i="7" a="1"/>
  <c r="FD57" i="7" a="1"/>
  <c r="FC57" i="7" l="1"/>
  <c r="EV57" i="7"/>
  <c r="FD57" i="7"/>
  <c r="EZ57" i="7"/>
  <c r="S112" i="7"/>
  <c r="T107" i="7" a="1"/>
  <c r="T107" i="7" s="1"/>
  <c r="FD58" i="7"/>
  <c r="EW59" i="7"/>
  <c r="FE58" i="7"/>
  <c r="EY58" i="7"/>
  <c r="AA109" i="7" a="1"/>
  <c r="AA109" i="7" s="1"/>
  <c r="Q108" i="7" a="1"/>
  <c r="Q108" i="7" s="1"/>
  <c r="U112" i="7"/>
  <c r="V108" i="7" a="1"/>
  <c r="V108" i="7" s="1"/>
  <c r="AB65" i="7" a="1"/>
  <c r="AB65" i="7" s="1"/>
  <c r="Y67" i="7" a="1"/>
  <c r="Y67" i="7" s="1"/>
  <c r="AC23" i="7"/>
  <c r="AC24" i="7"/>
  <c r="AB28" i="7" s="1"/>
  <c r="X23" i="7"/>
  <c r="AA23" i="7"/>
  <c r="Q29" i="7"/>
  <c r="FE57" i="7" a="1"/>
  <c r="FF58" i="7" a="1"/>
  <c r="EY59" i="7" a="1"/>
  <c r="FA59" i="7" a="1"/>
  <c r="EZ58" i="7" a="1"/>
  <c r="EX58" i="7" a="1"/>
  <c r="V29" i="7" a="1"/>
  <c r="FB60" i="7" a="1"/>
  <c r="EX57" i="7" a="1"/>
  <c r="FF57" i="7" a="1"/>
  <c r="X65" i="7" a="1"/>
  <c r="FB60" i="7" l="1"/>
  <c r="FE57" i="7"/>
  <c r="EX57" i="7"/>
  <c r="FF57" i="7"/>
  <c r="EX58" i="7"/>
  <c r="EZ58" i="7"/>
  <c r="FA59" i="7"/>
  <c r="EY59" i="7"/>
  <c r="FF58" i="7"/>
  <c r="X65" i="7"/>
  <c r="Y69" i="7"/>
  <c r="X69" i="7"/>
  <c r="X70" i="7"/>
  <c r="Z69" i="7"/>
  <c r="Y66" i="7"/>
  <c r="Y64" i="7"/>
  <c r="AA66" i="7"/>
  <c r="AB69" i="7"/>
  <c r="AC65" i="7"/>
  <c r="V29" i="7"/>
  <c r="AA67" i="7" a="1"/>
  <c r="Y107" i="7" a="1"/>
  <c r="Q71" i="7" a="1"/>
  <c r="EZ59" i="7" a="1"/>
  <c r="Q31" i="7" a="1"/>
  <c r="FC59" i="7" a="1"/>
  <c r="FD59" i="7" a="1"/>
  <c r="R30" i="7" a="1"/>
  <c r="EV59" i="7" a="1"/>
  <c r="FH57" i="7" l="1" a="1"/>
  <c r="FH57" i="7" s="1"/>
  <c r="FG57" i="7" s="1"/>
  <c r="FD59" i="7"/>
  <c r="FC59" i="7"/>
  <c r="EZ59" i="7"/>
  <c r="EV59" i="7"/>
  <c r="Z70" i="7"/>
  <c r="Y107" i="7"/>
  <c r="AA65" i="7" a="1"/>
  <c r="AA65" i="7" s="1"/>
  <c r="AA67" i="7"/>
  <c r="AB70" i="7"/>
  <c r="X66" i="7" a="1"/>
  <c r="X66" i="7" s="1"/>
  <c r="AC66" i="7" a="1"/>
  <c r="AC66" i="7" s="1"/>
  <c r="Q71" i="7"/>
  <c r="Q31" i="7"/>
  <c r="R30" i="7"/>
  <c r="W29" i="7" a="1"/>
  <c r="AA25" i="7" a="1"/>
  <c r="R32" i="7" a="1"/>
  <c r="FB59" i="7" a="1"/>
  <c r="FF59" i="7" a="1"/>
  <c r="EW61" i="7" a="1"/>
  <c r="EX59" i="7" a="1"/>
  <c r="FE59" i="7" a="1"/>
  <c r="Q113" i="7" a="1"/>
  <c r="V116" i="7" a="1"/>
  <c r="EW60" i="7" a="1"/>
  <c r="EW60" i="7" l="1"/>
  <c r="EX59" i="7"/>
  <c r="EW61" i="7"/>
  <c r="FE59" i="7"/>
  <c r="FF59" i="7"/>
  <c r="FB59" i="7"/>
  <c r="V116" i="7"/>
  <c r="Q113" i="7"/>
  <c r="Y109" i="7" a="1"/>
  <c r="Y109" i="7" s="1"/>
  <c r="AB107" i="7" a="1"/>
  <c r="AB107" i="7" s="1"/>
  <c r="V74" i="7" a="1"/>
  <c r="V74" i="7" s="1"/>
  <c r="R32" i="7"/>
  <c r="AA25" i="7"/>
  <c r="W29" i="7"/>
  <c r="R29" i="7"/>
  <c r="Q34" i="7"/>
  <c r="R34" i="7"/>
  <c r="T31" i="7"/>
  <c r="U34" i="7"/>
  <c r="R31" i="7"/>
  <c r="S34" i="7"/>
  <c r="V32" i="7" a="1"/>
  <c r="V32" i="7" s="1"/>
  <c r="U30" i="7" a="1"/>
  <c r="FC61" i="7" a="1"/>
  <c r="FA61" i="7" a="1"/>
  <c r="FB58" i="7" a="1"/>
  <c r="EV61" i="7" a="1"/>
  <c r="R72" i="7" a="1"/>
  <c r="FA60" i="7" a="1"/>
  <c r="W30" i="7" a="1"/>
  <c r="EY60" i="7" a="1"/>
  <c r="EY60" i="7" l="1"/>
  <c r="FA60" i="7"/>
  <c r="FH59" i="7" a="1"/>
  <c r="FH59" i="7" s="1"/>
  <c r="FG59" i="7" s="1"/>
  <c r="EV61" i="7"/>
  <c r="FB58" i="7"/>
  <c r="FH58" i="7" s="1" a="1"/>
  <c r="FH58" i="7" s="1"/>
  <c r="FG58" i="7" s="1"/>
  <c r="FA61" i="7"/>
  <c r="FC61" i="7"/>
  <c r="Y106" i="7"/>
  <c r="AB111" i="7"/>
  <c r="AA108" i="7"/>
  <c r="Z111" i="7"/>
  <c r="Y108" i="7"/>
  <c r="Y111" i="7"/>
  <c r="X111" i="7"/>
  <c r="X112" i="7"/>
  <c r="X107" i="7" a="1"/>
  <c r="X107" i="7" s="1"/>
  <c r="AC107" i="7"/>
  <c r="R72" i="7"/>
  <c r="Q35" i="7"/>
  <c r="U30" i="7"/>
  <c r="W30" i="7"/>
  <c r="S35" i="7"/>
  <c r="Q30" i="7" a="1"/>
  <c r="T30" i="7" a="1"/>
  <c r="X29" i="7" a="1"/>
  <c r="V31" i="7" a="1"/>
  <c r="FC60" i="7" a="1"/>
  <c r="EV60" i="7" a="1"/>
  <c r="EW62" i="7" a="1"/>
  <c r="FD61" i="7" a="1"/>
  <c r="EZ60" i="7" a="1"/>
  <c r="FD60" i="7" a="1"/>
  <c r="EY61" i="7" a="1"/>
  <c r="FE61" i="7" a="1"/>
  <c r="EV60" i="7" l="1"/>
  <c r="FC60" i="7"/>
  <c r="FD60" i="7"/>
  <c r="EZ60" i="7"/>
  <c r="AA107" i="7" a="1"/>
  <c r="AA107" i="7" s="1"/>
  <c r="Z112" i="7"/>
  <c r="FD61" i="7"/>
  <c r="EW62" i="7"/>
  <c r="FE61" i="7"/>
  <c r="EY61" i="7"/>
  <c r="V30" i="7"/>
  <c r="AC108" i="7" a="1"/>
  <c r="AC108" i="7" s="1"/>
  <c r="AB112" i="7"/>
  <c r="X108" i="7" a="1"/>
  <c r="X108" i="7" s="1"/>
  <c r="Q30" i="7"/>
  <c r="V31" i="7"/>
  <c r="U35" i="7" s="1"/>
  <c r="T30" i="7"/>
  <c r="X29" i="7"/>
  <c r="R74" i="7" a="1"/>
  <c r="EX60" i="7" a="1"/>
  <c r="EX61" i="7" a="1"/>
  <c r="FF60" i="7" a="1"/>
  <c r="AC29" i="7" a="1"/>
  <c r="FF61" i="7" a="1"/>
  <c r="EZ61" i="7" a="1"/>
  <c r="FE60" i="7" a="1"/>
  <c r="R74" i="7" l="1"/>
  <c r="T73" i="7" s="1"/>
  <c r="EX60" i="7"/>
  <c r="FF60" i="7"/>
  <c r="FE60" i="7"/>
  <c r="EX61" i="7"/>
  <c r="EZ61" i="7"/>
  <c r="FF61" i="7"/>
  <c r="AC29" i="7"/>
  <c r="Q72" i="7" a="1"/>
  <c r="FA62" i="7" a="1"/>
  <c r="Y30" i="7" a="1"/>
  <c r="X31" i="7" a="1"/>
  <c r="X71" i="7" a="1"/>
  <c r="R71" i="7" l="1"/>
  <c r="U76" i="7"/>
  <c r="FA62" i="7"/>
  <c r="Q72" i="7"/>
  <c r="R76" i="7"/>
  <c r="R73" i="7"/>
  <c r="S76" i="7"/>
  <c r="Q76" i="7"/>
  <c r="FH60" i="7" a="1"/>
  <c r="FH60" i="7" s="1"/>
  <c r="FG60" i="7" s="1"/>
  <c r="X71" i="7"/>
  <c r="X31" i="7"/>
  <c r="Y30" i="7"/>
  <c r="EV62" i="7" a="1"/>
  <c r="R114" i="7" a="1"/>
  <c r="U72" i="7" a="1"/>
  <c r="T74" i="7" a="1"/>
  <c r="Q73" i="7" a="1"/>
  <c r="FC62" i="7" a="1"/>
  <c r="P36" i="7" a="1"/>
  <c r="T32" i="7" a="1"/>
  <c r="Y32" i="7" a="1"/>
  <c r="EW64" i="7" a="1"/>
  <c r="AC116" i="7" a="1"/>
  <c r="X113" i="7" a="1"/>
  <c r="U72" i="7" l="1"/>
  <c r="R114" i="7"/>
  <c r="EV62" i="7"/>
  <c r="FC62" i="7"/>
  <c r="Q73" i="7"/>
  <c r="T74" i="7"/>
  <c r="Q77" i="7"/>
  <c r="S77" i="7"/>
  <c r="V72" i="7"/>
  <c r="EW64" i="7"/>
  <c r="X113" i="7"/>
  <c r="AC116" i="7"/>
  <c r="AC74" i="7" a="1"/>
  <c r="AC74" i="7" s="1"/>
  <c r="T32" i="7"/>
  <c r="Y32" i="7"/>
  <c r="P36" i="7"/>
  <c r="AC32" i="7" a="1"/>
  <c r="AC32" i="7" s="1"/>
  <c r="X34" i="7"/>
  <c r="AA31" i="7"/>
  <c r="Y29" i="7"/>
  <c r="Y31" i="7"/>
  <c r="AB34" i="7"/>
  <c r="Y34" i="7"/>
  <c r="Z34" i="7"/>
  <c r="T72" i="7" a="1"/>
  <c r="EY62" i="7" a="1"/>
  <c r="EW63" i="7" a="1"/>
  <c r="V73" i="7" a="1"/>
  <c r="FB62" i="7" a="1"/>
  <c r="FD62" i="7" a="1"/>
  <c r="FE62" i="7" a="1"/>
  <c r="EZ62" i="7" a="1"/>
  <c r="R116" i="7" a="1"/>
  <c r="AB30" i="7" a="1"/>
  <c r="FB61" i="7" a="1"/>
  <c r="FC64" i="7" a="1"/>
  <c r="Y72" i="7" a="1"/>
  <c r="EV64" i="7" a="1"/>
  <c r="FA64" i="7" a="1"/>
  <c r="P37" i="7" a="1"/>
  <c r="EW63" i="7" l="1"/>
  <c r="EY62" i="7"/>
  <c r="T72" i="7"/>
  <c r="R116" i="7"/>
  <c r="R113" i="7" s="1"/>
  <c r="EZ62" i="7"/>
  <c r="FE62" i="7"/>
  <c r="FD62" i="7"/>
  <c r="FB62" i="7"/>
  <c r="V73" i="7"/>
  <c r="U77" i="7" s="1"/>
  <c r="FA64" i="7"/>
  <c r="EV64" i="7"/>
  <c r="FC64" i="7"/>
  <c r="FB61" i="7"/>
  <c r="FH61" i="7" s="1" a="1"/>
  <c r="FH61" i="7" s="1"/>
  <c r="FG61" i="7" s="1"/>
  <c r="Y72" i="7"/>
  <c r="X35" i="7"/>
  <c r="AB30" i="7"/>
  <c r="P37" i="7"/>
  <c r="Z35" i="7"/>
  <c r="EX62" i="7" a="1"/>
  <c r="FA63" i="7" a="1"/>
  <c r="Q114" i="7" a="1"/>
  <c r="FF62" i="7" a="1"/>
  <c r="U114" i="7" a="1"/>
  <c r="Q36" i="7" a="1"/>
  <c r="AA30" i="7" a="1"/>
  <c r="X30" i="7" a="1"/>
  <c r="AC31" i="7" a="1"/>
  <c r="FE64" i="7" a="1"/>
  <c r="EY64" i="7" a="1"/>
  <c r="EV63" i="7" a="1"/>
  <c r="EW65" i="7" a="1"/>
  <c r="FD64" i="7" a="1"/>
  <c r="EX62" i="7" l="1"/>
  <c r="R115" i="7"/>
  <c r="Q118" i="7"/>
  <c r="S118" i="7"/>
  <c r="T115" i="7"/>
  <c r="R118" i="7"/>
  <c r="U118" i="7"/>
  <c r="U114" i="7"/>
  <c r="FF62" i="7"/>
  <c r="FH62" i="7" s="1" a="1"/>
  <c r="FH62" i="7" s="1"/>
  <c r="FG62" i="7" s="1"/>
  <c r="Q114" i="7"/>
  <c r="FA63" i="7"/>
  <c r="EV63" i="7"/>
  <c r="FD64" i="7"/>
  <c r="EW65" i="7"/>
  <c r="EY64" i="7"/>
  <c r="FE64" i="7"/>
  <c r="AC30" i="7"/>
  <c r="AC31" i="7"/>
  <c r="AB35" i="7" s="1"/>
  <c r="X30" i="7"/>
  <c r="AA30" i="7"/>
  <c r="Q36" i="7"/>
  <c r="FC63" i="7" a="1"/>
  <c r="EY63" i="7" a="1"/>
  <c r="T116" i="7" a="1"/>
  <c r="T114" i="7" a="1"/>
  <c r="Q115" i="7" a="1"/>
  <c r="Y74" i="7" a="1"/>
  <c r="V36" i="7" a="1"/>
  <c r="EZ64" i="7" a="1"/>
  <c r="EX64" i="7" a="1"/>
  <c r="FF64" i="7" a="1"/>
  <c r="FC63" i="7" l="1"/>
  <c r="Q119" i="7"/>
  <c r="S119" i="7"/>
  <c r="Q115" i="7"/>
  <c r="T114" i="7"/>
  <c r="T116" i="7"/>
  <c r="EY63" i="7"/>
  <c r="V114" i="7"/>
  <c r="FF64" i="7"/>
  <c r="EX64" i="7"/>
  <c r="EZ64" i="7"/>
  <c r="Y74" i="7"/>
  <c r="V36" i="7"/>
  <c r="FE63" i="7" a="1"/>
  <c r="FD63" i="7" a="1"/>
  <c r="V115" i="7" a="1"/>
  <c r="EZ63" i="7" a="1"/>
  <c r="EX63" i="7" a="1"/>
  <c r="FB63" i="7" a="1"/>
  <c r="FA65" i="7" a="1"/>
  <c r="Q78" i="7" a="1"/>
  <c r="Q38" i="7" a="1"/>
  <c r="X72" i="7" a="1"/>
  <c r="R37" i="7" a="1"/>
  <c r="FD63" i="7" l="1"/>
  <c r="FE63" i="7"/>
  <c r="FB63" i="7"/>
  <c r="EX63" i="7"/>
  <c r="EZ63" i="7"/>
  <c r="V115" i="7"/>
  <c r="U119" i="7" s="1"/>
  <c r="FA65" i="7"/>
  <c r="Q78" i="7"/>
  <c r="X72" i="7"/>
  <c r="AA73" i="7"/>
  <c r="Y73" i="7"/>
  <c r="Z76" i="7"/>
  <c r="Y76" i="7"/>
  <c r="AB76" i="7"/>
  <c r="X76" i="7"/>
  <c r="Y71" i="7"/>
  <c r="Q38" i="7"/>
  <c r="R37" i="7"/>
  <c r="FF63" i="7" a="1"/>
  <c r="AA74" i="7" a="1"/>
  <c r="W36" i="7" a="1"/>
  <c r="AA32" i="7" a="1"/>
  <c r="R39" i="7" a="1"/>
  <c r="V123" i="7" a="1"/>
  <c r="Y114" i="7" a="1"/>
  <c r="FC65" i="7" a="1"/>
  <c r="EV65" i="7" a="1"/>
  <c r="EW67" i="7" a="1"/>
  <c r="Q120" i="7" a="1"/>
  <c r="FF63" i="7" l="1"/>
  <c r="FH63" i="7" s="1" a="1"/>
  <c r="FH63" i="7" s="1"/>
  <c r="FG63" i="7" s="1"/>
  <c r="EW67" i="7"/>
  <c r="EV65" i="7"/>
  <c r="FC65" i="7"/>
  <c r="Z77" i="7"/>
  <c r="Y114" i="7"/>
  <c r="V123" i="7"/>
  <c r="Q120" i="7"/>
  <c r="V81" i="7" a="1"/>
  <c r="V81" i="7" s="1"/>
  <c r="AA74" i="7"/>
  <c r="X77" i="7"/>
  <c r="R39" i="7"/>
  <c r="AA32" i="7"/>
  <c r="W36" i="7"/>
  <c r="R41" i="7"/>
  <c r="Q41" i="7"/>
  <c r="T38" i="7"/>
  <c r="U41" i="7"/>
  <c r="R36" i="7"/>
  <c r="S41" i="7"/>
  <c r="R38" i="7"/>
  <c r="V39" i="7" a="1"/>
  <c r="V39" i="7" s="1"/>
  <c r="AB72" i="7" a="1"/>
  <c r="X73" i="7" a="1"/>
  <c r="U37" i="7" a="1"/>
  <c r="EV67" i="7" a="1"/>
  <c r="FC67" i="7" a="1"/>
  <c r="W37" i="7" a="1"/>
  <c r="FA67" i="7" a="1"/>
  <c r="FB65" i="7" a="1"/>
  <c r="FD65" i="7" a="1"/>
  <c r="FB64" i="7" a="1"/>
  <c r="FE65" i="7" a="1"/>
  <c r="EW66" i="7" a="1"/>
  <c r="R79" i="7" a="1"/>
  <c r="EW66" i="7" l="1"/>
  <c r="FE65" i="7"/>
  <c r="FB64" i="7"/>
  <c r="FH64" i="7" s="1" a="1"/>
  <c r="FH64" i="7" s="1"/>
  <c r="FG64" i="7" s="1"/>
  <c r="FA67" i="7"/>
  <c r="FC67" i="7"/>
  <c r="EV67" i="7"/>
  <c r="FD65" i="7"/>
  <c r="FB65" i="7"/>
  <c r="R79" i="7"/>
  <c r="AB72" i="7"/>
  <c r="X73" i="7"/>
  <c r="Q42" i="7"/>
  <c r="U37" i="7"/>
  <c r="W37" i="7"/>
  <c r="S42" i="7"/>
  <c r="V38" i="7" a="1"/>
  <c r="X36" i="7" a="1"/>
  <c r="T37" i="7" a="1"/>
  <c r="Q37" i="7" a="1"/>
  <c r="Y116" i="7" a="1"/>
  <c r="AC73" i="7" a="1"/>
  <c r="EY65" i="7" a="1"/>
  <c r="FD67" i="7" a="1"/>
  <c r="EW68" i="7" a="1"/>
  <c r="EY67" i="7" a="1"/>
  <c r="FE67" i="7" a="1"/>
  <c r="FE67" i="7" l="1"/>
  <c r="EY67" i="7"/>
  <c r="FD67" i="7"/>
  <c r="EY65" i="7"/>
  <c r="EW68" i="7"/>
  <c r="V37" i="7"/>
  <c r="T123" i="7" a="1"/>
  <c r="T123" i="7" s="1"/>
  <c r="Y116" i="7"/>
  <c r="R81" i="7" a="1"/>
  <c r="R81" i="7" s="1"/>
  <c r="U79" i="7" a="1"/>
  <c r="U79" i="7" s="1"/>
  <c r="AC73" i="7"/>
  <c r="AB77" i="7" s="1"/>
  <c r="AC72" i="7"/>
  <c r="Q37" i="7"/>
  <c r="T37" i="7"/>
  <c r="V38" i="7"/>
  <c r="U42" i="7" s="1"/>
  <c r="X36" i="7"/>
  <c r="AA72" i="7" a="1"/>
  <c r="FB69" i="7" a="1"/>
  <c r="EX67" i="7" a="1"/>
  <c r="FA66" i="7" a="1"/>
  <c r="Q79" i="7" a="1"/>
  <c r="EZ67" i="7" a="1"/>
  <c r="AC36" i="7" a="1"/>
  <c r="FA68" i="7" a="1"/>
  <c r="FF65" i="7" a="1"/>
  <c r="EZ65" i="7" a="1"/>
  <c r="FF67" i="7" a="1"/>
  <c r="EY68" i="7" a="1"/>
  <c r="FB69" i="7" l="1"/>
  <c r="FA66" i="7"/>
  <c r="EX67" i="7"/>
  <c r="FF67" i="7"/>
  <c r="EZ65" i="7"/>
  <c r="FF65" i="7"/>
  <c r="FA68" i="7"/>
  <c r="EZ67" i="7"/>
  <c r="EY68" i="7"/>
  <c r="AB118" i="7"/>
  <c r="AA115" i="7"/>
  <c r="Z118" i="7"/>
  <c r="Y115" i="7"/>
  <c r="Y118" i="7"/>
  <c r="X118" i="7"/>
  <c r="Y113" i="7"/>
  <c r="Q79" i="7"/>
  <c r="U83" i="7"/>
  <c r="R78" i="7"/>
  <c r="T79" i="7" s="1" a="1"/>
  <c r="T79" i="7" s="1"/>
  <c r="S83" i="7"/>
  <c r="R83" i="7"/>
  <c r="T80" i="7"/>
  <c r="Q84" i="7"/>
  <c r="Q83" i="7"/>
  <c r="R80" i="7"/>
  <c r="V79" i="7"/>
  <c r="AA72" i="7"/>
  <c r="AC36" i="7"/>
  <c r="X114" i="7" a="1"/>
  <c r="T81" i="7" a="1"/>
  <c r="EV68" i="7" a="1"/>
  <c r="FC68" i="7" a="1"/>
  <c r="Y37" i="7" a="1"/>
  <c r="EX68" i="7" a="1"/>
  <c r="EZ68" i="7" a="1"/>
  <c r="FC66" i="7" a="1"/>
  <c r="EV66" i="7" a="1"/>
  <c r="R121" i="7" a="1"/>
  <c r="EX65" i="7" a="1"/>
  <c r="FD68" i="7" a="1"/>
  <c r="X78" i="7" a="1"/>
  <c r="X38" i="7" a="1"/>
  <c r="EV66" i="7" l="1"/>
  <c r="FC66" i="7"/>
  <c r="Z119" i="7"/>
  <c r="EX68" i="7"/>
  <c r="EZ68" i="7"/>
  <c r="FC68" i="7"/>
  <c r="EV68" i="7"/>
  <c r="FD68" i="7"/>
  <c r="EX65" i="7"/>
  <c r="FH65" i="7" s="1" a="1"/>
  <c r="FH65" i="7" s="1"/>
  <c r="FG65" i="7" s="1"/>
  <c r="S84" i="7"/>
  <c r="R121" i="7"/>
  <c r="X114" i="7"/>
  <c r="X119" i="7"/>
  <c r="X78" i="7"/>
  <c r="T81" i="7"/>
  <c r="Q80" i="7" a="1"/>
  <c r="Q80" i="7" s="1"/>
  <c r="U84" i="7"/>
  <c r="V80" i="7" a="1"/>
  <c r="V80" i="7" s="1"/>
  <c r="X38" i="7"/>
  <c r="Y37" i="7"/>
  <c r="T39" i="7" a="1"/>
  <c r="Y39" i="7" a="1"/>
  <c r="AB114" i="7" a="1"/>
  <c r="X115" i="7" a="1"/>
  <c r="AE1" i="7" a="1"/>
  <c r="AA116" i="7" a="1"/>
  <c r="FB68" i="7" a="1"/>
  <c r="EW69" i="7" a="1"/>
  <c r="FE66" i="7" a="1"/>
  <c r="EW70" i="7" a="1"/>
  <c r="FE68" i="7" a="1"/>
  <c r="FF68" i="7" a="1"/>
  <c r="FD66" i="7" a="1"/>
  <c r="X120" i="7" a="1"/>
  <c r="AC123" i="7" a="1"/>
  <c r="EW69" i="7" l="1"/>
  <c r="FD66" i="7"/>
  <c r="FE66" i="7"/>
  <c r="FF68" i="7"/>
  <c r="FE68" i="7"/>
  <c r="FB68" i="7"/>
  <c r="EW70" i="7"/>
  <c r="AA116" i="7"/>
  <c r="X120" i="7"/>
  <c r="AB114" i="7"/>
  <c r="AC123" i="7"/>
  <c r="X115" i="7"/>
  <c r="R123" i="7" a="1"/>
  <c r="R123" i="7" s="1"/>
  <c r="U121" i="7" a="1"/>
  <c r="U121" i="7" s="1"/>
  <c r="AC81" i="7" a="1"/>
  <c r="AC81" i="7" s="1"/>
  <c r="Y39" i="7"/>
  <c r="T39" i="7"/>
  <c r="AE1" i="7"/>
  <c r="AC39" i="7" a="1"/>
  <c r="AC39" i="7" s="1"/>
  <c r="Y38" i="7"/>
  <c r="Y41" i="7"/>
  <c r="AB41" i="7"/>
  <c r="Z41" i="7"/>
  <c r="X41" i="7"/>
  <c r="Y36" i="7"/>
  <c r="AA38" i="7"/>
  <c r="AB37" i="7" a="1"/>
  <c r="AC115" i="7" a="1"/>
  <c r="EV70" i="7" a="1"/>
  <c r="FC70" i="7" a="1"/>
  <c r="FA69" i="7" a="1"/>
  <c r="EY69" i="7" a="1"/>
  <c r="Y79" i="7" a="1"/>
  <c r="FB66" i="7" a="1"/>
  <c r="FA70" i="7" a="1"/>
  <c r="FB67" i="7" a="1"/>
  <c r="EY66" i="7" a="1"/>
  <c r="AE2" i="7" a="1"/>
  <c r="EY69" i="7" l="1"/>
  <c r="FA69" i="7"/>
  <c r="FB66" i="7"/>
  <c r="EY66" i="7"/>
  <c r="FH68" i="7" a="1"/>
  <c r="FH68" i="7" s="1"/>
  <c r="FG68" i="7" s="1"/>
  <c r="FC70" i="7"/>
  <c r="EV70" i="7"/>
  <c r="FB67" i="7"/>
  <c r="FH67" i="7" s="1" a="1"/>
  <c r="FH67" i="7" s="1"/>
  <c r="FG67" i="7" s="1"/>
  <c r="FA70" i="7"/>
  <c r="AC115" i="7"/>
  <c r="AB119" i="7" s="1"/>
  <c r="V121" i="7"/>
  <c r="U125" i="7"/>
  <c r="S125" i="7"/>
  <c r="R125" i="7"/>
  <c r="T122" i="7"/>
  <c r="Q126" i="7"/>
  <c r="Q125" i="7"/>
  <c r="R122" i="7"/>
  <c r="R120" i="7"/>
  <c r="Q121" i="7" a="1"/>
  <c r="Q121" i="7" s="1"/>
  <c r="AC114" i="7"/>
  <c r="X42" i="7"/>
  <c r="Y79" i="7"/>
  <c r="AB37" i="7"/>
  <c r="AE2" i="7"/>
  <c r="Z42" i="7"/>
  <c r="AA114" i="7" a="1"/>
  <c r="AC38" i="7" a="1"/>
  <c r="X37" i="7" a="1"/>
  <c r="AF1" i="7" a="1"/>
  <c r="AA37" i="7" a="1"/>
  <c r="FD70" i="7" a="1"/>
  <c r="EW71" i="7" a="1"/>
  <c r="FC69" i="7" a="1"/>
  <c r="EY70" i="7" a="1"/>
  <c r="EZ69" i="7" a="1"/>
  <c r="FE70" i="7" a="1"/>
  <c r="FD69" i="7" a="1"/>
  <c r="EZ66" i="7" a="1"/>
  <c r="FF66" i="7" a="1"/>
  <c r="EV69" i="7" a="1"/>
  <c r="FD69" i="7" l="1"/>
  <c r="EV69" i="7"/>
  <c r="EZ69" i="7"/>
  <c r="FC69" i="7"/>
  <c r="T121" i="7" a="1"/>
  <c r="T121" i="7" s="1"/>
  <c r="S126" i="7"/>
  <c r="FF66" i="7"/>
  <c r="EZ66" i="7"/>
  <c r="FE70" i="7"/>
  <c r="EY70" i="7"/>
  <c r="EW71" i="7"/>
  <c r="FD70" i="7"/>
  <c r="AA123" i="7" a="1"/>
  <c r="AA123" i="7" s="1"/>
  <c r="AC37" i="7"/>
  <c r="AA114" i="7"/>
  <c r="U126" i="7"/>
  <c r="V122" i="7" a="1"/>
  <c r="V122" i="7" s="1"/>
  <c r="Q122" i="7" a="1"/>
  <c r="Q122" i="7" s="1"/>
  <c r="AB79" i="7" a="1"/>
  <c r="AB79" i="7" s="1"/>
  <c r="Y81" i="7" a="1"/>
  <c r="Y81" i="7" s="1"/>
  <c r="AA37" i="7"/>
  <c r="X37" i="7"/>
  <c r="AC38" i="7"/>
  <c r="AB42" i="7" s="1"/>
  <c r="AF1" i="7"/>
  <c r="FB72" i="7" a="1"/>
  <c r="EZ70" i="7" a="1"/>
  <c r="EX69" i="7" a="1"/>
  <c r="FF70" i="7" a="1"/>
  <c r="FE69" i="7" a="1"/>
  <c r="X79" i="7" a="1"/>
  <c r="EX66" i="7" a="1"/>
  <c r="FA71" i="7" a="1"/>
  <c r="EY71" i="7" a="1"/>
  <c r="EX70" i="7" a="1"/>
  <c r="FF69" i="7" a="1"/>
  <c r="AK1" i="7" a="1"/>
  <c r="FB72" i="7" l="1"/>
  <c r="FF69" i="7"/>
  <c r="FE69" i="7"/>
  <c r="EX69" i="7"/>
  <c r="EX66" i="7"/>
  <c r="FH66" i="7" s="1" a="1"/>
  <c r="FH66" i="7" s="1"/>
  <c r="FG66" i="7" s="1"/>
  <c r="FF70" i="7"/>
  <c r="EZ70" i="7"/>
  <c r="EX70" i="7"/>
  <c r="EY71" i="7"/>
  <c r="FA71" i="7"/>
  <c r="X79" i="7"/>
  <c r="Y83" i="7"/>
  <c r="AB83" i="7"/>
  <c r="X83" i="7"/>
  <c r="X84" i="7"/>
  <c r="AA80" i="7"/>
  <c r="Y80" i="7"/>
  <c r="Y78" i="7"/>
  <c r="Z83" i="7"/>
  <c r="AC79" i="7"/>
  <c r="AK1" i="7"/>
  <c r="AA81" i="7" a="1"/>
  <c r="EZ71" i="7" a="1"/>
  <c r="Y121" i="7" a="1"/>
  <c r="AG2" i="7" a="1"/>
  <c r="FD71" i="7" a="1"/>
  <c r="AF3" i="7" a="1"/>
  <c r="EV71" i="7" a="1"/>
  <c r="FC71" i="7" a="1"/>
  <c r="AL1" i="7" a="1"/>
  <c r="FH69" i="7" l="1" a="1"/>
  <c r="FH69" i="7" s="1"/>
  <c r="FG69" i="7" s="1"/>
  <c r="EZ71" i="7"/>
  <c r="FC71" i="7"/>
  <c r="EV71" i="7"/>
  <c r="FD71" i="7"/>
  <c r="Z84" i="7"/>
  <c r="Y121" i="7"/>
  <c r="AA79" i="7" a="1"/>
  <c r="AA79" i="7" s="1"/>
  <c r="AA81" i="7"/>
  <c r="AB84" i="7"/>
  <c r="X80" i="7" a="1"/>
  <c r="X80" i="7" s="1"/>
  <c r="AC80" i="7" a="1"/>
  <c r="AC80" i="7" s="1"/>
  <c r="AL1" i="7"/>
  <c r="AF3" i="7"/>
  <c r="AG2" i="7"/>
  <c r="AG4" i="7" a="1"/>
  <c r="AA39" i="7" a="1"/>
  <c r="FB71" i="7" a="1"/>
  <c r="AL2" i="7" a="1"/>
  <c r="EX71" i="7" a="1"/>
  <c r="FF71" i="7" a="1"/>
  <c r="AF43" i="7" a="1"/>
  <c r="EW72" i="7" a="1"/>
  <c r="FE71" i="7" a="1"/>
  <c r="AK88" i="7" a="1"/>
  <c r="EW72" i="7" l="1"/>
  <c r="FE71" i="7"/>
  <c r="FF71" i="7"/>
  <c r="EX71" i="7"/>
  <c r="FB71" i="7"/>
  <c r="AK88" i="7"/>
  <c r="AB121" i="7" a="1"/>
  <c r="AB121" i="7" s="1"/>
  <c r="Y123" i="7" a="1"/>
  <c r="Y123" i="7" s="1"/>
  <c r="AF43" i="7"/>
  <c r="AK46" i="7" a="1"/>
  <c r="AK46" i="7" s="1"/>
  <c r="AG4" i="7"/>
  <c r="FA73" i="7" s="1"/>
  <c r="AA39" i="7"/>
  <c r="AL2" i="7"/>
  <c r="AI3" i="7"/>
  <c r="AG3" i="7"/>
  <c r="AJ6" i="7"/>
  <c r="AG1" i="7"/>
  <c r="AH6" i="7"/>
  <c r="EW73" i="7"/>
  <c r="AF6" i="7"/>
  <c r="AG6" i="7"/>
  <c r="FC73" i="7" s="1"/>
  <c r="AK4" i="7" a="1"/>
  <c r="AK4" i="7" s="1"/>
  <c r="AF2" i="7" a="1"/>
  <c r="AM1" i="7" a="1"/>
  <c r="AJ2" i="7" a="1"/>
  <c r="AK3" i="7" a="1"/>
  <c r="FB70" i="7" a="1"/>
  <c r="AF85" i="7" a="1"/>
  <c r="FA72" i="7" a="1"/>
  <c r="EY72" i="7" a="1"/>
  <c r="EY72" i="7" l="1"/>
  <c r="FA72" i="7"/>
  <c r="FH71" i="7" a="1"/>
  <c r="FH71" i="7" s="1"/>
  <c r="FG71" i="7" s="1"/>
  <c r="FB70" i="7"/>
  <c r="FH70" i="7" s="1" a="1"/>
  <c r="FH70" i="7" s="1"/>
  <c r="FG70" i="7" s="1"/>
  <c r="AF85" i="7"/>
  <c r="Y125" i="7"/>
  <c r="X125" i="7"/>
  <c r="X126" i="7"/>
  <c r="Y120" i="7"/>
  <c r="Y122" i="7"/>
  <c r="AB125" i="7"/>
  <c r="AA122" i="7"/>
  <c r="Z125" i="7"/>
  <c r="X121" i="7" a="1"/>
  <c r="X121" i="7" s="1"/>
  <c r="AC121" i="7"/>
  <c r="AK3" i="7"/>
  <c r="AJ2" i="7"/>
  <c r="AK2" i="7" s="1"/>
  <c r="EZ73" i="7" s="1"/>
  <c r="AF2" i="7"/>
  <c r="AH7" i="7"/>
  <c r="FE73" i="7" s="1"/>
  <c r="AF7" i="7"/>
  <c r="FD73" i="7" s="1"/>
  <c r="AM1" i="7"/>
  <c r="EV73" i="7"/>
  <c r="FC72" i="7" a="1"/>
  <c r="FD72" i="7" a="1"/>
  <c r="EZ72" i="7" a="1"/>
  <c r="EV72" i="7" a="1"/>
  <c r="AG44" i="7" a="1"/>
  <c r="AR1" i="7" a="1"/>
  <c r="FD72" i="7" l="1"/>
  <c r="FC72" i="7"/>
  <c r="EV72" i="7"/>
  <c r="EZ72" i="7"/>
  <c r="Z126" i="7"/>
  <c r="AB126" i="7"/>
  <c r="X122" i="7" a="1"/>
  <c r="X122" i="7" s="1"/>
  <c r="AC122" i="7" a="1"/>
  <c r="AC122" i="7" s="1"/>
  <c r="AA121" i="7" a="1"/>
  <c r="AA121" i="7" s="1"/>
  <c r="AG44" i="7"/>
  <c r="EY73" i="7"/>
  <c r="AJ7" i="7"/>
  <c r="FF73" i="7" s="1"/>
  <c r="AR1" i="7"/>
  <c r="AI2" i="7" a="1"/>
  <c r="AM3" i="7" a="1"/>
  <c r="EX72" i="7" a="1"/>
  <c r="FF72" i="7" a="1"/>
  <c r="AN2" i="7" a="1"/>
  <c r="FE72" i="7" a="1"/>
  <c r="AI88" i="7" l="1" a="1"/>
  <c r="AI88" i="7" s="1"/>
  <c r="FE72" i="7"/>
  <c r="FF72" i="7"/>
  <c r="EX72" i="7"/>
  <c r="AG46" i="7" a="1"/>
  <c r="AG46" i="7" s="1"/>
  <c r="AJ44" i="7" a="1"/>
  <c r="AJ44" i="7" s="1"/>
  <c r="AI2" i="7"/>
  <c r="EX73" i="7" s="1"/>
  <c r="AN2" i="7"/>
  <c r="AM3" i="7"/>
  <c r="AI4" i="7" a="1"/>
  <c r="AE8" i="7" a="1"/>
  <c r="AN4" i="7" a="1"/>
  <c r="AF44" i="7" a="1"/>
  <c r="AR88" i="7" a="1"/>
  <c r="AM43" i="7" a="1"/>
  <c r="FH72" i="7" l="1" a="1"/>
  <c r="FH72" i="7" s="1"/>
  <c r="FG72" i="7" s="1"/>
  <c r="AR88" i="7"/>
  <c r="AF44" i="7"/>
  <c r="AM43" i="7"/>
  <c r="AR46" i="7" a="1"/>
  <c r="AR46" i="7" s="1"/>
  <c r="AG48" i="7"/>
  <c r="AF49" i="7"/>
  <c r="AF48" i="7"/>
  <c r="AJ48" i="7"/>
  <c r="AI45" i="7"/>
  <c r="AG43" i="7"/>
  <c r="AH48" i="7"/>
  <c r="AG45" i="7"/>
  <c r="AK44" i="7"/>
  <c r="AN4" i="7"/>
  <c r="FA76" i="7" s="1"/>
  <c r="AI4" i="7"/>
  <c r="FB73" i="7" s="1"/>
  <c r="FH73" i="7" s="1" a="1"/>
  <c r="FH73" i="7" s="1"/>
  <c r="FG73" i="7" s="1"/>
  <c r="AE8" i="7"/>
  <c r="AR4" i="7" a="1"/>
  <c r="AR4" i="7" s="1"/>
  <c r="AP3" i="7"/>
  <c r="AN3" i="7"/>
  <c r="EW76" i="7"/>
  <c r="AN1" i="7"/>
  <c r="AQ6" i="7"/>
  <c r="AO6" i="7"/>
  <c r="AM6" i="7"/>
  <c r="AN6" i="7"/>
  <c r="FC76" i="7" s="1"/>
  <c r="AQ2" i="7" a="1"/>
  <c r="AI46" i="7" a="1"/>
  <c r="AE9" i="7" a="1"/>
  <c r="AG86" i="7" a="1"/>
  <c r="AM85" i="7" a="1"/>
  <c r="AH49" i="7" l="1"/>
  <c r="AM85" i="7"/>
  <c r="AG86" i="7"/>
  <c r="AI44" i="7" a="1"/>
  <c r="AI44" i="7" s="1"/>
  <c r="AI46" i="7"/>
  <c r="AF45" i="7" a="1"/>
  <c r="AF45" i="7" s="1"/>
  <c r="AJ49" i="7"/>
  <c r="AK45" i="7" a="1"/>
  <c r="AK45" i="7" s="1"/>
  <c r="AQ2" i="7"/>
  <c r="AR2" i="7" s="1"/>
  <c r="EZ76" i="7" s="1"/>
  <c r="AM7" i="7"/>
  <c r="FD76" i="7" s="1"/>
  <c r="AE9" i="7"/>
  <c r="AO7" i="7"/>
  <c r="FE76" i="7" s="1"/>
  <c r="EV76" i="7"/>
  <c r="AM2" i="7" a="1"/>
  <c r="AP2" i="7" a="1"/>
  <c r="AF8" i="7" a="1"/>
  <c r="AR3" i="7" a="1"/>
  <c r="FB75" i="7" a="1"/>
  <c r="EW75" i="7" a="1"/>
  <c r="AN44" i="7" a="1"/>
  <c r="AM2" i="7" l="1"/>
  <c r="EW75" i="7"/>
  <c r="FB75" i="7"/>
  <c r="AG88" i="7" a="1"/>
  <c r="AG88" i="7" s="1"/>
  <c r="AJ86" i="7" a="1"/>
  <c r="AJ86" i="7" s="1"/>
  <c r="AN44" i="7"/>
  <c r="EY76" i="7"/>
  <c r="AP2" i="7"/>
  <c r="EX76" i="7" s="1"/>
  <c r="AR3" i="7"/>
  <c r="AQ7" i="7" s="1"/>
  <c r="FF76" i="7" s="1"/>
  <c r="AF8" i="7"/>
  <c r="EY75" i="7" a="1"/>
  <c r="FA75" i="7" a="1"/>
  <c r="AK8" i="7" a="1"/>
  <c r="AP88" i="7" l="1" a="1"/>
  <c r="AP88" i="7" s="1"/>
  <c r="FA75" i="7"/>
  <c r="EY75" i="7"/>
  <c r="AK86" i="7"/>
  <c r="AJ90" i="7"/>
  <c r="AG90" i="7"/>
  <c r="AI87" i="7"/>
  <c r="AF90" i="7"/>
  <c r="AG87" i="7"/>
  <c r="AF91" i="7"/>
  <c r="AG85" i="7"/>
  <c r="AH90" i="7"/>
  <c r="AF86" i="7" a="1"/>
  <c r="AF86" i="7" s="1"/>
  <c r="AN46" i="7" a="1"/>
  <c r="AN46" i="7" s="1"/>
  <c r="AQ44" i="7" a="1"/>
  <c r="AQ44" i="7" s="1"/>
  <c r="AK8" i="7"/>
  <c r="FC75" i="7" a="1"/>
  <c r="FD75" i="7" a="1"/>
  <c r="AM44" i="7" a="1"/>
  <c r="EV75" i="7" a="1"/>
  <c r="EZ75" i="7" a="1"/>
  <c r="AG9" i="7" a="1"/>
  <c r="AF10" i="7" a="1"/>
  <c r="FD75" i="7" l="1"/>
  <c r="FC75" i="7"/>
  <c r="EZ75" i="7"/>
  <c r="EV75" i="7"/>
  <c r="AH91" i="7"/>
  <c r="AJ91" i="7"/>
  <c r="AF87" i="7" a="1"/>
  <c r="AF87" i="7" s="1"/>
  <c r="AK87" i="7" a="1"/>
  <c r="AK87" i="7" s="1"/>
  <c r="AI86" i="7" a="1"/>
  <c r="AI86" i="7" s="1"/>
  <c r="AM44" i="7"/>
  <c r="AR44" i="7"/>
  <c r="AN48" i="7"/>
  <c r="AP45" i="7"/>
  <c r="AN45" i="7"/>
  <c r="AM48" i="7"/>
  <c r="AM49" i="7"/>
  <c r="AO48" i="7"/>
  <c r="AN43" i="7"/>
  <c r="AQ48" i="7"/>
  <c r="AF10" i="7"/>
  <c r="AG9" i="7"/>
  <c r="AL8" i="7" a="1"/>
  <c r="AP46" i="7" a="1"/>
  <c r="AG11" i="7" a="1"/>
  <c r="AP4" i="7" a="1"/>
  <c r="AN86" i="7" a="1"/>
  <c r="AF50" i="7" a="1"/>
  <c r="FF75" i="7" a="1"/>
  <c r="EX75" i="7" a="1"/>
  <c r="EW79" i="7" a="1"/>
  <c r="AK95" i="7" a="1"/>
  <c r="FE75" i="7" a="1"/>
  <c r="AO49" i="7" l="1"/>
  <c r="EX75" i="7"/>
  <c r="FF75" i="7"/>
  <c r="FE75" i="7"/>
  <c r="AN86" i="7"/>
  <c r="AK95" i="7"/>
  <c r="AF50" i="7"/>
  <c r="AP46" i="7"/>
  <c r="AQ49" i="7"/>
  <c r="AM45" i="7" a="1"/>
  <c r="AM45" i="7" s="1"/>
  <c r="AR45" i="7" a="1"/>
  <c r="AR45" i="7" s="1"/>
  <c r="AP44" i="7" a="1"/>
  <c r="AP44" i="7" s="1"/>
  <c r="AK53" i="7" a="1"/>
  <c r="AK53" i="7" s="1"/>
  <c r="AG11" i="7"/>
  <c r="AP4" i="7"/>
  <c r="FB76" i="7" s="1"/>
  <c r="FH76" i="7" s="1" a="1"/>
  <c r="FH76" i="7" s="1"/>
  <c r="FG76" i="7" s="1"/>
  <c r="AL8" i="7"/>
  <c r="EW79" i="7"/>
  <c r="AI10" i="7"/>
  <c r="AG8" i="7"/>
  <c r="AG13" i="7"/>
  <c r="AG10" i="7"/>
  <c r="AJ13" i="7"/>
  <c r="AH13" i="7"/>
  <c r="AF13" i="7"/>
  <c r="AK11" i="7" a="1"/>
  <c r="AK11" i="7" s="1"/>
  <c r="AJ9" i="7" a="1"/>
  <c r="FA79" i="7" a="1"/>
  <c r="FB78" i="7" a="1"/>
  <c r="AF92" i="7" a="1"/>
  <c r="EW78" i="7" a="1"/>
  <c r="AL9" i="7" a="1"/>
  <c r="EV79" i="7" a="1"/>
  <c r="FC79" i="7" a="1"/>
  <c r="FH75" i="7" l="1" a="1"/>
  <c r="FH75" i="7" s="1"/>
  <c r="FG75" i="7" s="1"/>
  <c r="EW78" i="7"/>
  <c r="FB78" i="7"/>
  <c r="AF92" i="7"/>
  <c r="AQ86" i="7" a="1"/>
  <c r="AQ86" i="7" s="1"/>
  <c r="AN88" i="7" a="1"/>
  <c r="AN88" i="7" s="1"/>
  <c r="AF14" i="7"/>
  <c r="AJ9" i="7"/>
  <c r="FA79" i="7"/>
  <c r="AH14" i="7"/>
  <c r="FC79" i="7"/>
  <c r="AL9" i="7"/>
  <c r="EV79" i="7"/>
  <c r="AK10" i="7" a="1"/>
  <c r="AF9" i="7" a="1"/>
  <c r="AM8" i="7" a="1"/>
  <c r="AI9" i="7" a="1"/>
  <c r="EY79" i="7" a="1"/>
  <c r="FA78" i="7" a="1"/>
  <c r="FE79" i="7" a="1"/>
  <c r="EY78" i="7" a="1"/>
  <c r="FD79" i="7" a="1"/>
  <c r="AG51" i="7" a="1"/>
  <c r="EY78" i="7" l="1"/>
  <c r="FA78" i="7"/>
  <c r="AR86" i="7"/>
  <c r="AQ90" i="7"/>
  <c r="AP87" i="7"/>
  <c r="AN90" i="7"/>
  <c r="AM90" i="7"/>
  <c r="AM91" i="7"/>
  <c r="AN85" i="7"/>
  <c r="AO90" i="7"/>
  <c r="AN87" i="7"/>
  <c r="AM86" i="7" a="1"/>
  <c r="AM86" i="7" s="1"/>
  <c r="AG51" i="7"/>
  <c r="AI95" i="7" s="1" a="1"/>
  <c r="AI95" i="7" s="1"/>
  <c r="AK9" i="7"/>
  <c r="FD79" i="7"/>
  <c r="AI9" i="7"/>
  <c r="AF9" i="7"/>
  <c r="AK10" i="7"/>
  <c r="AJ14" i="7" s="1"/>
  <c r="FE79" i="7"/>
  <c r="EY79" i="7"/>
  <c r="AM8" i="7"/>
  <c r="EZ78" i="7" a="1"/>
  <c r="EZ79" i="7" a="1"/>
  <c r="FC78" i="7" a="1"/>
  <c r="EX79" i="7" a="1"/>
  <c r="FF79" i="7" a="1"/>
  <c r="FB81" i="7" a="1"/>
  <c r="AR8" i="7" a="1"/>
  <c r="EV78" i="7" a="1"/>
  <c r="FD78" i="7" a="1"/>
  <c r="FB81" i="7" l="1"/>
  <c r="EZ78" i="7"/>
  <c r="FD78" i="7"/>
  <c r="FC78" i="7"/>
  <c r="EV78" i="7"/>
  <c r="AO91" i="7"/>
  <c r="AP86" i="7" a="1"/>
  <c r="AP86" i="7" s="1"/>
  <c r="AQ91" i="7"/>
  <c r="AM87" i="7" a="1"/>
  <c r="AM87" i="7" s="1"/>
  <c r="AR87" i="7" a="1"/>
  <c r="AR87" i="7" s="1"/>
  <c r="AJ51" i="7" a="1"/>
  <c r="AJ51" i="7" s="1"/>
  <c r="AG53" i="7" a="1"/>
  <c r="AG53" i="7" s="1"/>
  <c r="EZ79" i="7"/>
  <c r="FF79" i="7"/>
  <c r="EX79" i="7"/>
  <c r="AR8" i="7"/>
  <c r="FF78" i="7" a="1"/>
  <c r="AF51" i="7" a="1"/>
  <c r="EX78" i="7" a="1"/>
  <c r="FE78" i="7" a="1"/>
  <c r="AN9" i="7" a="1"/>
  <c r="AM10" i="7" a="1"/>
  <c r="FE78" i="7" l="1"/>
  <c r="FF78" i="7"/>
  <c r="EX78" i="7"/>
  <c r="AF51" i="7"/>
  <c r="AK51" i="7"/>
  <c r="AG55" i="7"/>
  <c r="AH56" i="7" s="1"/>
  <c r="AI52" i="7"/>
  <c r="AJ55" i="7"/>
  <c r="AF55" i="7"/>
  <c r="AH55" i="7"/>
  <c r="AG52" i="7"/>
  <c r="AG50" i="7"/>
  <c r="AF56" i="7"/>
  <c r="AM10" i="7"/>
  <c r="AN9" i="7"/>
  <c r="AI11" i="7" a="1"/>
  <c r="AE15" i="7" a="1"/>
  <c r="AI53" i="7" a="1"/>
  <c r="AN11" i="7" a="1"/>
  <c r="AR95" i="7" a="1"/>
  <c r="AM50" i="7" a="1"/>
  <c r="EW82" i="7" a="1"/>
  <c r="AG93" i="7" a="1"/>
  <c r="FH78" i="7" l="1" a="1"/>
  <c r="FH78" i="7" s="1"/>
  <c r="FG78" i="7" s="1"/>
  <c r="AR95" i="7"/>
  <c r="AG93" i="7"/>
  <c r="AI51" i="7" a="1"/>
  <c r="AI51" i="7" s="1"/>
  <c r="AM50" i="7"/>
  <c r="AI53" i="7"/>
  <c r="AR53" i="7" a="1"/>
  <c r="AR53" i="7" s="1"/>
  <c r="AJ56" i="7"/>
  <c r="AK52" i="7" a="1"/>
  <c r="AK52" i="7" s="1"/>
  <c r="AF52" i="7" a="1"/>
  <c r="AF52" i="7" s="1"/>
  <c r="AI11" i="7"/>
  <c r="AN11" i="7"/>
  <c r="EW82" i="7"/>
  <c r="AE15" i="7"/>
  <c r="AO13" i="7"/>
  <c r="AN13" i="7"/>
  <c r="AN8" i="7"/>
  <c r="AM13" i="7"/>
  <c r="AN10" i="7"/>
  <c r="AP10" i="7"/>
  <c r="AQ13" i="7"/>
  <c r="AR11" i="7" a="1"/>
  <c r="AR11" i="7" s="1"/>
  <c r="AQ9" i="7" a="1"/>
  <c r="EW81" i="7" a="1"/>
  <c r="FC82" i="7" a="1"/>
  <c r="FB79" i="7" a="1"/>
  <c r="EV82" i="7" a="1"/>
  <c r="FA82" i="7" a="1"/>
  <c r="AM92" i="7" a="1"/>
  <c r="AE16" i="7" a="1"/>
  <c r="EW81" i="7" l="1"/>
  <c r="AM92" i="7"/>
  <c r="AG95" i="7" a="1"/>
  <c r="AG95" i="7" s="1"/>
  <c r="AJ93" i="7" a="1"/>
  <c r="AJ93" i="7" s="1"/>
  <c r="AM14" i="7"/>
  <c r="AQ9" i="7"/>
  <c r="AR9" i="7" s="1"/>
  <c r="FA82" i="7"/>
  <c r="FB79" i="7"/>
  <c r="FH79" i="7" s="1" a="1"/>
  <c r="FH79" i="7" s="1"/>
  <c r="FG79" i="7" s="1"/>
  <c r="AO14" i="7"/>
  <c r="EV82" i="7"/>
  <c r="AE16" i="7"/>
  <c r="FC82" i="7"/>
  <c r="AR10" i="7" a="1"/>
  <c r="AM9" i="7" a="1"/>
  <c r="AF15" i="7" a="1"/>
  <c r="EY81" i="7" a="1"/>
  <c r="FE82" i="7" a="1"/>
  <c r="EZ82" i="7" a="1"/>
  <c r="FD82" i="7" a="1"/>
  <c r="FA81" i="7" a="1"/>
  <c r="EY82" i="7" a="1"/>
  <c r="AN51" i="7" a="1"/>
  <c r="EY81" i="7" l="1"/>
  <c r="FA81" i="7"/>
  <c r="AF97" i="7"/>
  <c r="AG94" i="7"/>
  <c r="AJ97" i="7"/>
  <c r="AH97" i="7"/>
  <c r="AF98" i="7"/>
  <c r="AG97" i="7"/>
  <c r="AI94" i="7"/>
  <c r="AG92" i="7"/>
  <c r="AF93" i="7" a="1"/>
  <c r="AF93" i="7" s="1"/>
  <c r="AK93" i="7"/>
  <c r="AN51" i="7"/>
  <c r="AP95" i="7" s="1" a="1"/>
  <c r="AP95" i="7" s="1"/>
  <c r="FD82" i="7"/>
  <c r="AM9" i="7"/>
  <c r="AR10" i="7"/>
  <c r="AQ14" i="7" s="1"/>
  <c r="FE82" i="7"/>
  <c r="EY82" i="7"/>
  <c r="AF15" i="7"/>
  <c r="EZ82" i="7"/>
  <c r="AP9" i="7" a="1"/>
  <c r="FD81" i="7" a="1"/>
  <c r="EZ81" i="7" a="1"/>
  <c r="FC81" i="7" a="1"/>
  <c r="EV81" i="7" a="1"/>
  <c r="FF82" i="7" a="1"/>
  <c r="AK15" i="7" a="1"/>
  <c r="FB84" i="7" a="1"/>
  <c r="AP9" i="7" l="1"/>
  <c r="FB84" i="7"/>
  <c r="FC81" i="7"/>
  <c r="EZ81" i="7"/>
  <c r="FD81" i="7"/>
  <c r="EV81" i="7"/>
  <c r="AH98" i="7"/>
  <c r="AI93" i="7" a="1"/>
  <c r="AI93" i="7" s="1"/>
  <c r="AK94" i="7" a="1"/>
  <c r="AK94" i="7" s="1"/>
  <c r="AJ98" i="7"/>
  <c r="AF94" i="7" a="1"/>
  <c r="AF94" i="7" s="1"/>
  <c r="AQ51" i="7" a="1"/>
  <c r="AQ51" i="7" s="1"/>
  <c r="AN53" i="7" a="1"/>
  <c r="AN53" i="7" s="1"/>
  <c r="FF82" i="7"/>
  <c r="AK15" i="7"/>
  <c r="EX82" i="7" a="1"/>
  <c r="FF81" i="7" a="1"/>
  <c r="EX81" i="7" a="1"/>
  <c r="AM51" i="7" a="1"/>
  <c r="AG16" i="7" a="1"/>
  <c r="FE81" i="7" a="1"/>
  <c r="AF17" i="7" a="1"/>
  <c r="EX82" i="7" l="1"/>
  <c r="EX81" i="7"/>
  <c r="FF81" i="7"/>
  <c r="FE81" i="7"/>
  <c r="AM51" i="7"/>
  <c r="AR51" i="7"/>
  <c r="AQ55" i="7"/>
  <c r="AP52" i="7"/>
  <c r="AN55" i="7"/>
  <c r="AO56" i="7" s="1"/>
  <c r="AM56" i="7"/>
  <c r="AN52" i="7"/>
  <c r="AO55" i="7"/>
  <c r="AM55" i="7"/>
  <c r="AN50" i="7"/>
  <c r="AF17" i="7"/>
  <c r="AG16" i="7"/>
  <c r="AP53" i="7" a="1"/>
  <c r="AL15" i="7" a="1"/>
  <c r="AP11" i="7" a="1"/>
  <c r="AG18" i="7" a="1"/>
  <c r="AN93" i="7" a="1"/>
  <c r="AF57" i="7" a="1"/>
  <c r="EW85" i="7" a="1"/>
  <c r="AK102" i="7" a="1"/>
  <c r="FH81" i="7" l="1" a="1"/>
  <c r="FH81" i="7" s="1"/>
  <c r="FG81" i="7" s="1"/>
  <c r="AN93" i="7"/>
  <c r="AK102" i="7"/>
  <c r="AP51" i="7" a="1"/>
  <c r="AP51" i="7" s="1"/>
  <c r="AF57" i="7"/>
  <c r="AP53" i="7"/>
  <c r="AK60" i="7" a="1"/>
  <c r="AK60" i="7" s="1"/>
  <c r="AQ56" i="7"/>
  <c r="AR52" i="7" a="1"/>
  <c r="AR52" i="7" s="1"/>
  <c r="AM52" i="7" a="1"/>
  <c r="AM52" i="7" s="1"/>
  <c r="AG18" i="7"/>
  <c r="AP11" i="7"/>
  <c r="AL15" i="7"/>
  <c r="EW85" i="7"/>
  <c r="AG15" i="7"/>
  <c r="AJ20" i="7"/>
  <c r="AH20" i="7"/>
  <c r="AG20" i="7"/>
  <c r="AF20" i="7"/>
  <c r="AI17" i="7"/>
  <c r="AG17" i="7"/>
  <c r="AK18" i="7" a="1"/>
  <c r="AK18" i="7" s="1"/>
  <c r="AJ16" i="7" a="1"/>
  <c r="EV85" i="7" a="1"/>
  <c r="FB82" i="7" a="1"/>
  <c r="AL16" i="7" a="1"/>
  <c r="FA85" i="7" a="1"/>
  <c r="AF99" i="7" a="1"/>
  <c r="FC85" i="7" a="1"/>
  <c r="EW84" i="7" a="1"/>
  <c r="EW84" i="7" l="1"/>
  <c r="AF99" i="7"/>
  <c r="AQ93" i="7" a="1"/>
  <c r="AQ93" i="7" s="1"/>
  <c r="AN95" i="7" a="1"/>
  <c r="AN95" i="7" s="1"/>
  <c r="AH21" i="7"/>
  <c r="AJ16" i="7"/>
  <c r="AK16" i="7" s="1"/>
  <c r="FB82" i="7"/>
  <c r="FH82" i="7" s="1" a="1"/>
  <c r="FH82" i="7" s="1"/>
  <c r="FG82" i="7" s="1"/>
  <c r="FA85" i="7"/>
  <c r="AF21" i="7"/>
  <c r="AL16" i="7"/>
  <c r="FC85" i="7"/>
  <c r="EV85" i="7"/>
  <c r="AK17" i="7" a="1"/>
  <c r="AF16" i="7" a="1"/>
  <c r="AM15" i="7" a="1"/>
  <c r="FE85" i="7" a="1"/>
  <c r="EZ85" i="7" a="1"/>
  <c r="FA84" i="7" a="1"/>
  <c r="EY85" i="7" a="1"/>
  <c r="EY84" i="7" a="1"/>
  <c r="FD85" i="7" a="1"/>
  <c r="AG58" i="7" a="1"/>
  <c r="EY84" i="7" l="1"/>
  <c r="FA84" i="7"/>
  <c r="AN97" i="7"/>
  <c r="AM97" i="7"/>
  <c r="AM98" i="7"/>
  <c r="AN92" i="7"/>
  <c r="AQ97" i="7"/>
  <c r="AP94" i="7"/>
  <c r="AN94" i="7"/>
  <c r="AO97" i="7"/>
  <c r="AM93" i="7" a="1"/>
  <c r="AM93" i="7" s="1"/>
  <c r="AR93" i="7"/>
  <c r="AG58" i="7"/>
  <c r="AI102" i="7" s="1" a="1"/>
  <c r="AI102" i="7" s="1"/>
  <c r="FE85" i="7"/>
  <c r="AF16" i="7"/>
  <c r="FD85" i="7"/>
  <c r="AK17" i="7"/>
  <c r="AJ21" i="7" s="1"/>
  <c r="EY85" i="7"/>
  <c r="AM15" i="7"/>
  <c r="EZ85" i="7"/>
  <c r="AI16" i="7" a="1"/>
  <c r="FC84" i="7" a="1"/>
  <c r="FF85" i="7" a="1"/>
  <c r="AR15" i="7" a="1"/>
  <c r="FB87" i="7" a="1"/>
  <c r="EV84" i="7" a="1"/>
  <c r="FD84" i="7" a="1"/>
  <c r="EZ84" i="7" a="1"/>
  <c r="AI16" i="7" l="1"/>
  <c r="FB87" i="7"/>
  <c r="FC84" i="7"/>
  <c r="FD84" i="7"/>
  <c r="EV84" i="7"/>
  <c r="EZ84" i="7"/>
  <c r="AO98" i="7"/>
  <c r="AP93" i="7" a="1"/>
  <c r="AP93" i="7" s="1"/>
  <c r="AQ98" i="7"/>
  <c r="AM94" i="7" a="1"/>
  <c r="AM94" i="7" s="1"/>
  <c r="AR94" i="7" a="1"/>
  <c r="AR94" i="7" s="1"/>
  <c r="AJ58" i="7" a="1"/>
  <c r="AJ58" i="7" s="1"/>
  <c r="AG60" i="7" a="1"/>
  <c r="AG60" i="7" s="1"/>
  <c r="FF85" i="7"/>
  <c r="AR15" i="7"/>
  <c r="EX85" i="7" a="1"/>
  <c r="EX84" i="7" a="1"/>
  <c r="FF84" i="7" a="1"/>
  <c r="AF58" i="7" a="1"/>
  <c r="FE84" i="7" a="1"/>
  <c r="AN16" i="7" a="1"/>
  <c r="AM17" i="7" a="1"/>
  <c r="EX85" i="7" l="1"/>
  <c r="FF84" i="7"/>
  <c r="EX84" i="7"/>
  <c r="FE84" i="7"/>
  <c r="AF58" i="7"/>
  <c r="AK58" i="7"/>
  <c r="AJ62" i="7"/>
  <c r="AG62" i="7"/>
  <c r="AH63" i="7" s="1"/>
  <c r="AI59" i="7"/>
  <c r="AG57" i="7"/>
  <c r="AF63" i="7"/>
  <c r="AG59" i="7"/>
  <c r="AF62" i="7"/>
  <c r="AH62" i="7"/>
  <c r="AN16" i="7"/>
  <c r="AM17" i="7"/>
  <c r="AI60" i="7" a="1"/>
  <c r="AI18" i="7" a="1"/>
  <c r="AE22" i="7" a="1"/>
  <c r="AG100" i="7" a="1"/>
  <c r="AM57" i="7" a="1"/>
  <c r="EW88" i="7" a="1"/>
  <c r="AR102" i="7" a="1"/>
  <c r="FH84" i="7" l="1" a="1"/>
  <c r="FH84" i="7" s="1"/>
  <c r="FG84" i="7" s="1"/>
  <c r="AG100" i="7"/>
  <c r="AR102" i="7"/>
  <c r="AM57" i="7"/>
  <c r="AI60" i="7"/>
  <c r="AJ63" i="7"/>
  <c r="AK59" i="7" a="1"/>
  <c r="AK59" i="7" s="1"/>
  <c r="AF59" i="7" a="1"/>
  <c r="AF59" i="7" s="1"/>
  <c r="AR60" i="7" a="1"/>
  <c r="AR60" i="7" s="1"/>
  <c r="AI58" i="7" a="1"/>
  <c r="AI58" i="7" s="1"/>
  <c r="AI18" i="7"/>
  <c r="AE22" i="7"/>
  <c r="EW88" i="7"/>
  <c r="AN17" i="7"/>
  <c r="AQ20" i="7"/>
  <c r="AO20" i="7"/>
  <c r="AP17" i="7"/>
  <c r="AN20" i="7"/>
  <c r="AM20" i="7"/>
  <c r="AN15" i="7"/>
  <c r="AR18" i="7" a="1"/>
  <c r="AR18" i="7" s="1"/>
  <c r="AN18" i="7" a="1"/>
  <c r="AQ16" i="7" a="1"/>
  <c r="FC88" i="7" a="1"/>
  <c r="EV88" i="7" a="1"/>
  <c r="AE23" i="7" a="1"/>
  <c r="EW87" i="7" a="1"/>
  <c r="FB85" i="7" a="1"/>
  <c r="AM99" i="7" a="1"/>
  <c r="EW87" i="7" l="1"/>
  <c r="AM99" i="7"/>
  <c r="AG102" i="7" a="1"/>
  <c r="AG102" i="7" s="1"/>
  <c r="AJ100" i="7" a="1"/>
  <c r="AJ100" i="7" s="1"/>
  <c r="AQ16" i="7"/>
  <c r="AN18" i="7"/>
  <c r="FB85" i="7"/>
  <c r="FH85" i="7" s="1" a="1"/>
  <c r="FH85" i="7" s="1"/>
  <c r="FG85" i="7" s="1"/>
  <c r="EV88" i="7"/>
  <c r="FC88" i="7"/>
  <c r="AE23" i="7"/>
  <c r="AF22" i="7" a="1"/>
  <c r="AM16" i="7" a="1"/>
  <c r="AR17" i="7" a="1"/>
  <c r="AP16" i="7" a="1"/>
  <c r="EY88" i="7" a="1"/>
  <c r="FA87" i="7" a="1"/>
  <c r="FA88" i="7" a="1"/>
  <c r="EY87" i="7" a="1"/>
  <c r="AN58" i="7" a="1"/>
  <c r="EY87" i="7" l="1"/>
  <c r="FA87" i="7"/>
  <c r="AK100" i="7"/>
  <c r="AJ104" i="7"/>
  <c r="AH104" i="7"/>
  <c r="AG104" i="7"/>
  <c r="AI101" i="7"/>
  <c r="AF105" i="7"/>
  <c r="AF104" i="7"/>
  <c r="AG101" i="7"/>
  <c r="AG99" i="7"/>
  <c r="AF100" i="7" a="1"/>
  <c r="AF100" i="7" s="1"/>
  <c r="AN58" i="7"/>
  <c r="AP102" i="7" s="1" a="1"/>
  <c r="AP102" i="7" s="1"/>
  <c r="AR16" i="7"/>
  <c r="AO21" i="7"/>
  <c r="AM21" i="7"/>
  <c r="AP16" i="7"/>
  <c r="AR17" i="7"/>
  <c r="AQ21" i="7" s="1"/>
  <c r="AM16" i="7"/>
  <c r="FA88" i="7"/>
  <c r="EY88" i="7"/>
  <c r="AF22" i="7"/>
  <c r="EZ87" i="7" a="1"/>
  <c r="EX88" i="7" a="1"/>
  <c r="FD87" i="7" a="1"/>
  <c r="EV87" i="7" a="1"/>
  <c r="EZ88" i="7" a="1"/>
  <c r="FE88" i="7" a="1"/>
  <c r="FD88" i="7" a="1"/>
  <c r="FB90" i="7" a="1"/>
  <c r="O5" i="5" a="1"/>
  <c r="FC87" i="7" a="1"/>
  <c r="FF88" i="7" a="1"/>
  <c r="AK22" i="7" a="1"/>
  <c r="FB90" i="7" l="1"/>
  <c r="EV87" i="7"/>
  <c r="FD87" i="7"/>
  <c r="EZ87" i="7"/>
  <c r="FC87" i="7"/>
  <c r="AI100" i="7" a="1"/>
  <c r="AI100" i="7" s="1"/>
  <c r="AH105" i="7"/>
  <c r="AJ105" i="7"/>
  <c r="AK101" i="7" a="1"/>
  <c r="AK101" i="7" s="1"/>
  <c r="AF101" i="7" a="1"/>
  <c r="AF101" i="7" s="1"/>
  <c r="AQ58" i="7" a="1"/>
  <c r="AQ58" i="7" s="1"/>
  <c r="AN60" i="7" a="1"/>
  <c r="AN60" i="7" s="1"/>
  <c r="FE88" i="7"/>
  <c r="EZ88" i="7"/>
  <c r="FD88" i="7"/>
  <c r="FF88" i="7"/>
  <c r="EX88" i="7"/>
  <c r="AK22" i="7"/>
  <c r="O5" i="5"/>
  <c r="O4" i="5" a="1"/>
  <c r="AF24" i="7" a="1"/>
  <c r="O13" i="5" a="1"/>
  <c r="EX87" i="7" a="1"/>
  <c r="FF87" i="7" a="1"/>
  <c r="AG23" i="7" a="1"/>
  <c r="FE87" i="7" a="1"/>
  <c r="AM58" i="7" a="1"/>
  <c r="FF87" i="7" l="1"/>
  <c r="FE87" i="7"/>
  <c r="EX87" i="7"/>
  <c r="AM58" i="7"/>
  <c r="AQ62" i="7"/>
  <c r="AP59" i="7"/>
  <c r="AN62" i="7"/>
  <c r="AO63" i="7" s="1"/>
  <c r="AM63" i="7"/>
  <c r="AN57" i="7"/>
  <c r="AO62" i="7"/>
  <c r="AM62" i="7"/>
  <c r="AN59" i="7"/>
  <c r="AR58" i="7"/>
  <c r="O13" i="5"/>
  <c r="AG23" i="7"/>
  <c r="AF24" i="7"/>
  <c r="O4" i="5"/>
  <c r="AP60" i="7" a="1"/>
  <c r="AL22" i="7" a="1"/>
  <c r="AP18" i="7" a="1"/>
  <c r="AG25" i="7" a="1"/>
  <c r="EW91" i="7" a="1"/>
  <c r="AN100" i="7" a="1"/>
  <c r="AK109" i="7" a="1"/>
  <c r="AF64" i="7" a="1"/>
  <c r="O3" i="5" a="1"/>
  <c r="O12" i="5" a="1"/>
  <c r="O21" i="5" a="1"/>
  <c r="FH87" i="7" l="1" a="1"/>
  <c r="FH87" i="7" s="1"/>
  <c r="FG87" i="7" s="1"/>
  <c r="AN100" i="7"/>
  <c r="AK109" i="7"/>
  <c r="AP58" i="7" a="1"/>
  <c r="AP58" i="7" s="1"/>
  <c r="AF64" i="7"/>
  <c r="AP60" i="7"/>
  <c r="AQ63" i="7"/>
  <c r="AR59" i="7" a="1"/>
  <c r="AR59" i="7" s="1"/>
  <c r="AM59" i="7" a="1"/>
  <c r="AM59" i="7" s="1"/>
  <c r="AK67" i="7" a="1"/>
  <c r="AK67" i="7" s="1"/>
  <c r="AP18" i="7"/>
  <c r="O12" i="5"/>
  <c r="O20" i="5" s="1" a="1"/>
  <c r="O20" i="5" s="1"/>
  <c r="AG25" i="7"/>
  <c r="O21" i="5"/>
  <c r="EW91" i="7"/>
  <c r="AL22" i="7"/>
  <c r="AK25" i="7" a="1"/>
  <c r="AK25" i="7" s="1"/>
  <c r="AG22" i="7"/>
  <c r="AI24" i="7"/>
  <c r="AG27" i="7"/>
  <c r="AH27" i="7"/>
  <c r="AG24" i="7"/>
  <c r="AF27" i="7"/>
  <c r="AJ27" i="7"/>
  <c r="O3" i="5"/>
  <c r="AJ23" i="7" a="1"/>
  <c r="EW90" i="7" a="1"/>
  <c r="FC91" i="7" a="1"/>
  <c r="AF106" i="7" a="1"/>
  <c r="FB88" i="7" a="1"/>
  <c r="AL23" i="7" a="1"/>
  <c r="FA91" i="7" a="1"/>
  <c r="O2" i="5" a="1"/>
  <c r="EV91" i="7" a="1"/>
  <c r="O11" i="5" a="1"/>
  <c r="EW90" i="7" l="1"/>
  <c r="AF106" i="7"/>
  <c r="AQ100" i="7" a="1"/>
  <c r="AQ100" i="7" s="1"/>
  <c r="AN102" i="7" a="1"/>
  <c r="AN102" i="7" s="1"/>
  <c r="AH28" i="7"/>
  <c r="O11" i="5"/>
  <c r="AJ23" i="7"/>
  <c r="AK23" i="7" s="1"/>
  <c r="FA91" i="7"/>
  <c r="FB88" i="7"/>
  <c r="FH88" i="7" s="1" a="1"/>
  <c r="FH88" i="7" s="1"/>
  <c r="FG88" i="7" s="1"/>
  <c r="AF28" i="7"/>
  <c r="AL23" i="7"/>
  <c r="FC91" i="7"/>
  <c r="EV91" i="7"/>
  <c r="O2" i="5"/>
  <c r="AI23" i="7" a="1"/>
  <c r="AK24" i="7" a="1"/>
  <c r="AM22" i="7" a="1"/>
  <c r="AF23" i="7" a="1"/>
  <c r="FD91" i="7" a="1"/>
  <c r="O1" i="5" a="1"/>
  <c r="FA90" i="7" a="1"/>
  <c r="FE91" i="7" a="1"/>
  <c r="EY90" i="7" a="1"/>
  <c r="EZ91" i="7" a="1"/>
  <c r="AG65" i="7" a="1"/>
  <c r="O10" i="5" a="1"/>
  <c r="O19" i="5" a="1"/>
  <c r="EY91" i="7" a="1"/>
  <c r="EY90" i="7" l="1"/>
  <c r="FA90" i="7"/>
  <c r="AM105" i="7"/>
  <c r="AN99" i="7"/>
  <c r="AP100" i="7" s="1" a="1"/>
  <c r="AP100" i="7" s="1"/>
  <c r="AN101" i="7"/>
  <c r="AQ104" i="7"/>
  <c r="AP101" i="7"/>
  <c r="AO104" i="7"/>
  <c r="AN104" i="7"/>
  <c r="AM104" i="7"/>
  <c r="AM100" i="7" a="1"/>
  <c r="AM100" i="7" s="1"/>
  <c r="AR100" i="7"/>
  <c r="AG65" i="7"/>
  <c r="AI109" i="7" s="1" a="1"/>
  <c r="AI109" i="7" s="1"/>
  <c r="FE91" i="7"/>
  <c r="AI23" i="7"/>
  <c r="FD91" i="7"/>
  <c r="O10" i="5"/>
  <c r="O18" i="5" s="1" a="1"/>
  <c r="O18" i="5" s="1"/>
  <c r="AF23" i="7"/>
  <c r="EY91" i="7"/>
  <c r="AK24" i="7"/>
  <c r="AJ28" i="7" s="1"/>
  <c r="O19" i="5"/>
  <c r="EZ91" i="7"/>
  <c r="AM22" i="7"/>
  <c r="O1" i="5"/>
  <c r="O9" i="5" s="1" a="1"/>
  <c r="O9" i="5" s="1"/>
  <c r="O17" i="5" s="1" a="1"/>
  <c r="O17" i="5" s="1"/>
  <c r="FB93" i="7" a="1"/>
  <c r="FC90" i="7" a="1"/>
  <c r="O7" i="5" a="1"/>
  <c r="EX90" i="7" a="1"/>
  <c r="EV90" i="7" a="1"/>
  <c r="EX91" i="7" a="1"/>
  <c r="FF91" i="7" a="1"/>
  <c r="AR22" i="7" a="1"/>
  <c r="EZ90" i="7" a="1"/>
  <c r="FD90" i="7" a="1"/>
  <c r="FB93" i="7" l="1"/>
  <c r="FD90" i="7"/>
  <c r="EZ90" i="7"/>
  <c r="EX90" i="7"/>
  <c r="EV90" i="7"/>
  <c r="FC90" i="7"/>
  <c r="AO105" i="7"/>
  <c r="AR101" i="7" a="1"/>
  <c r="AR101" i="7" s="1"/>
  <c r="AQ105" i="7"/>
  <c r="AM101" i="7" a="1"/>
  <c r="AM101" i="7" s="1"/>
  <c r="AG67" i="7" a="1"/>
  <c r="AG67" i="7" s="1"/>
  <c r="AJ65" i="7" a="1"/>
  <c r="AJ65" i="7" s="1"/>
  <c r="FF91" i="7"/>
  <c r="EX91" i="7"/>
  <c r="AR22" i="7"/>
  <c r="O7" i="5"/>
  <c r="FE90" i="7" a="1"/>
  <c r="FF90" i="7" a="1"/>
  <c r="AF65" i="7" a="1"/>
  <c r="O6" i="5" a="1"/>
  <c r="AM24" i="7" a="1"/>
  <c r="AN23" i="7" a="1"/>
  <c r="O15" i="5" a="1"/>
  <c r="FF90" i="7" l="1"/>
  <c r="FE90" i="7"/>
  <c r="AF65" i="7"/>
  <c r="AK65" i="7"/>
  <c r="AJ69" i="7"/>
  <c r="AG69" i="7"/>
  <c r="AH70" i="7" s="1"/>
  <c r="AI66" i="7"/>
  <c r="AG64" i="7"/>
  <c r="AH69" i="7"/>
  <c r="AF69" i="7"/>
  <c r="AF70" i="7"/>
  <c r="AG66" i="7"/>
  <c r="O15" i="5"/>
  <c r="O23" i="5" s="1" a="1"/>
  <c r="O23" i="5" s="1"/>
  <c r="AM24" i="7"/>
  <c r="AN23" i="7"/>
  <c r="O6" i="5"/>
  <c r="AI67" i="7" a="1"/>
  <c r="AI25" i="7" a="1"/>
  <c r="AE29" i="7" a="1"/>
  <c r="AN25" i="7" a="1"/>
  <c r="AG107" i="7" a="1"/>
  <c r="O8" i="5" a="1"/>
  <c r="AR109" i="7" a="1"/>
  <c r="AM64" i="7" a="1"/>
  <c r="EW94" i="7" a="1"/>
  <c r="O14" i="5" a="1"/>
  <c r="FH90" i="7" l="1" a="1"/>
  <c r="FH90" i="7" s="1"/>
  <c r="FG90" i="7" s="1"/>
  <c r="AR109" i="7"/>
  <c r="AG107" i="7"/>
  <c r="AM64" i="7"/>
  <c r="AI67" i="7"/>
  <c r="AR67" i="7" a="1"/>
  <c r="AR67" i="7" s="1"/>
  <c r="AJ70" i="7"/>
  <c r="AK66" i="7" a="1"/>
  <c r="AK66" i="7" s="1"/>
  <c r="AF66" i="7" a="1"/>
  <c r="AF66" i="7" s="1"/>
  <c r="AI65" i="7" a="1"/>
  <c r="AI65" i="7" s="1"/>
  <c r="O14" i="5"/>
  <c r="O22" i="5" s="1" a="1"/>
  <c r="O22" i="5" s="1"/>
  <c r="AN25" i="7"/>
  <c r="AI25" i="7"/>
  <c r="EW94" i="7"/>
  <c r="AE29" i="7"/>
  <c r="AN27" i="7"/>
  <c r="AN24" i="7"/>
  <c r="AN22" i="7"/>
  <c r="AM27" i="7"/>
  <c r="AP24" i="7"/>
  <c r="AQ27" i="7"/>
  <c r="AO27" i="7"/>
  <c r="AR25" i="7" a="1"/>
  <c r="AR25" i="7" s="1"/>
  <c r="O8" i="5"/>
  <c r="O16" i="5" s="1" a="1"/>
  <c r="O16" i="5" s="1"/>
  <c r="O24" i="5" s="1" a="1"/>
  <c r="O24" i="5" s="1"/>
  <c r="B13" i="5" a="1"/>
  <c r="B13" i="5" s="1"/>
  <c r="B15" i="5" a="1"/>
  <c r="B15" i="5" s="1"/>
  <c r="B10" i="5" a="1"/>
  <c r="B10" i="5" s="1"/>
  <c r="B12" i="5" a="1"/>
  <c r="B12" i="5" s="1"/>
  <c r="B11" i="5" a="1"/>
  <c r="B11" i="5" s="1"/>
  <c r="B19" i="5" s="1" a="1"/>
  <c r="B19" i="5" s="1"/>
  <c r="F19" i="5" s="1" a="1"/>
  <c r="F19" i="5" s="1"/>
  <c r="A19" i="5" s="1" a="1"/>
  <c r="A19" i="5" s="1"/>
  <c r="B9" i="5" a="1"/>
  <c r="B9" i="5" s="1"/>
  <c r="F3" i="5" a="1"/>
  <c r="F8" i="5" a="1"/>
  <c r="F7" i="5" a="1"/>
  <c r="F5" i="5" a="1"/>
  <c r="F6" i="5" a="1"/>
  <c r="AQ23" i="7" a="1"/>
  <c r="EV94" i="7" a="1"/>
  <c r="AM106" i="7" a="1"/>
  <c r="AE30" i="7" a="1"/>
  <c r="FC94" i="7" a="1"/>
  <c r="FB91" i="7" a="1"/>
  <c r="EW93" i="7" a="1"/>
  <c r="F1" i="5" a="1"/>
  <c r="F2" i="5" a="1"/>
  <c r="F4" i="5" a="1"/>
  <c r="FA94" i="7" a="1"/>
  <c r="EW93" i="7" l="1"/>
  <c r="AM106" i="7"/>
  <c r="AG109" i="7" a="1"/>
  <c r="AG109" i="7" s="1"/>
  <c r="AJ107" i="7" a="1"/>
  <c r="AJ107" i="7" s="1"/>
  <c r="AM28" i="7"/>
  <c r="B14" i="5" a="1"/>
  <c r="B14" i="5" s="1"/>
  <c r="F14" i="5" s="1" a="1"/>
  <c r="F14" i="5" s="1"/>
  <c r="A14" i="5" s="1" a="1"/>
  <c r="A14" i="5" s="1"/>
  <c r="AQ23" i="7"/>
  <c r="FB91" i="7"/>
  <c r="FH91" i="7" s="1" a="1"/>
  <c r="FH91" i="7" s="1"/>
  <c r="FG91" i="7" s="1"/>
  <c r="FA94" i="7"/>
  <c r="F11" i="5" a="1"/>
  <c r="F11" i="5" s="1"/>
  <c r="A11" i="5" s="1" a="1"/>
  <c r="A11" i="5" s="1"/>
  <c r="F6" i="5"/>
  <c r="F5" i="5"/>
  <c r="A5" i="5" s="1" a="1"/>
  <c r="A5" i="5" s="1"/>
  <c r="F1" i="5"/>
  <c r="A1" i="5" s="1" a="1"/>
  <c r="A1" i="5" s="1"/>
  <c r="F7" i="5"/>
  <c r="A7" i="5" s="1" a="1"/>
  <c r="A7" i="5" s="1"/>
  <c r="F4" i="5"/>
  <c r="F8" i="5"/>
  <c r="A8" i="5" s="1" a="1"/>
  <c r="A8" i="5" s="1"/>
  <c r="AE30" i="7"/>
  <c r="F2" i="5"/>
  <c r="EV94" i="7"/>
  <c r="F3" i="5"/>
  <c r="A3" i="5" s="1" a="1"/>
  <c r="A3" i="5" s="1"/>
  <c r="FC94" i="7"/>
  <c r="B17" i="5" a="1"/>
  <c r="B17" i="5" s="1"/>
  <c r="F17" i="5" s="1" a="1"/>
  <c r="F17" i="5" s="1"/>
  <c r="A17" i="5" s="1" a="1"/>
  <c r="A17" i="5" s="1"/>
  <c r="F9" i="5" a="1"/>
  <c r="F9" i="5" s="1"/>
  <c r="A9" i="5" s="1" a="1"/>
  <c r="A9" i="5" s="1"/>
  <c r="B21" i="5" a="1"/>
  <c r="B21" i="5" s="1"/>
  <c r="F21" i="5" s="1" a="1"/>
  <c r="F21" i="5" s="1"/>
  <c r="A21" i="5" s="1" a="1"/>
  <c r="A21" i="5" s="1"/>
  <c r="F13" i="5" a="1"/>
  <c r="F13" i="5" s="1"/>
  <c r="A13" i="5" s="1" a="1"/>
  <c r="A13" i="5" s="1"/>
  <c r="F10" i="5" a="1"/>
  <c r="F10" i="5" s="1"/>
  <c r="A10" i="5" s="1" a="1"/>
  <c r="A10" i="5" s="1"/>
  <c r="B18" i="5" a="1"/>
  <c r="B18" i="5" s="1"/>
  <c r="F18" i="5" s="1" a="1"/>
  <c r="F18" i="5" s="1"/>
  <c r="A18" i="5" s="1" a="1"/>
  <c r="A18" i="5" s="1"/>
  <c r="B16" i="5" a="1"/>
  <c r="B16" i="5" s="1"/>
  <c r="F15" i="5" a="1"/>
  <c r="F15" i="5" s="1"/>
  <c r="A15" i="5" s="1" a="1"/>
  <c r="A15" i="5" s="1"/>
  <c r="B23" i="5" a="1"/>
  <c r="B23" i="5" s="1"/>
  <c r="F23" i="5" s="1" a="1"/>
  <c r="F23" i="5" s="1"/>
  <c r="A23" i="5" s="1" a="1"/>
  <c r="A23" i="5" s="1"/>
  <c r="F12" i="5" a="1"/>
  <c r="F12" i="5" s="1"/>
  <c r="A12" i="5" s="1" a="1"/>
  <c r="A12" i="5" s="1"/>
  <c r="B20" i="5" a="1"/>
  <c r="B20" i="5" s="1"/>
  <c r="F20" i="5" s="1" a="1"/>
  <c r="F20" i="5" s="1"/>
  <c r="A20" i="5" s="1" a="1"/>
  <c r="A20" i="5" s="1"/>
  <c r="AO28" i="7"/>
  <c r="A6" i="5" a="1"/>
  <c r="AF29" i="7" a="1"/>
  <c r="AM23" i="7" a="1"/>
  <c r="AP23" i="7" a="1"/>
  <c r="AR24" i="7" a="1"/>
  <c r="FA93" i="7" a="1"/>
  <c r="A4" i="5" a="1"/>
  <c r="EY93" i="7" a="1"/>
  <c r="FD94" i="7" a="1"/>
  <c r="AN65" i="7" a="1"/>
  <c r="A2" i="5" a="1"/>
  <c r="EY94" i="7" a="1"/>
  <c r="FE94" i="7" a="1"/>
  <c r="EY93" i="7" l="1"/>
  <c r="FA93" i="7"/>
  <c r="AK107" i="7"/>
  <c r="AG111" i="7"/>
  <c r="AI108" i="7"/>
  <c r="AF112" i="7"/>
  <c r="AF111" i="7"/>
  <c r="AG108" i="7"/>
  <c r="AG106" i="7"/>
  <c r="AJ111" i="7"/>
  <c r="AH111" i="7"/>
  <c r="AF107" i="7" a="1"/>
  <c r="AF107" i="7" s="1"/>
  <c r="AN65" i="7"/>
  <c r="AP109" i="7" s="1" a="1"/>
  <c r="AP109" i="7" s="1"/>
  <c r="AR23" i="7"/>
  <c r="FD94" i="7"/>
  <c r="B22" i="5" a="1"/>
  <c r="B22" i="5" s="1"/>
  <c r="F22" i="5" s="1" a="1"/>
  <c r="F22" i="5" s="1"/>
  <c r="A22" i="5" s="1" a="1"/>
  <c r="A22" i="5" s="1"/>
  <c r="A6" i="5"/>
  <c r="AM23" i="7"/>
  <c r="A2" i="5"/>
  <c r="A4" i="5"/>
  <c r="AR24" i="7"/>
  <c r="AQ28" i="7" s="1"/>
  <c r="AP23" i="7"/>
  <c r="EY94" i="7"/>
  <c r="FE94" i="7"/>
  <c r="AF29" i="7"/>
  <c r="B24" i="5" a="1"/>
  <c r="B24" i="5" s="1"/>
  <c r="F16" i="5" a="1"/>
  <c r="F16" i="5" s="1"/>
  <c r="A16" i="5" s="1" a="1"/>
  <c r="A16" i="5" s="1"/>
  <c r="FF94" i="7" a="1"/>
  <c r="EZ94" i="7" a="1"/>
  <c r="EX94" i="7" a="1"/>
  <c r="EV93" i="7" a="1"/>
  <c r="EZ93" i="7" a="1"/>
  <c r="FC93" i="7" a="1"/>
  <c r="FD93" i="7" a="1"/>
  <c r="FB96" i="7" a="1"/>
  <c r="AK29" i="7" a="1"/>
  <c r="FB96" i="7" l="1"/>
  <c r="FD93" i="7"/>
  <c r="FC93" i="7"/>
  <c r="EZ93" i="7"/>
  <c r="EV93" i="7"/>
  <c r="AH112" i="7"/>
  <c r="AI107" i="7" a="1"/>
  <c r="AI107" i="7" s="1"/>
  <c r="AF108" i="7" a="1"/>
  <c r="AF108" i="7" s="1"/>
  <c r="AJ112" i="7"/>
  <c r="AK108" i="7" a="1"/>
  <c r="AK108" i="7" s="1"/>
  <c r="AQ65" i="7" a="1"/>
  <c r="AQ65" i="7" s="1"/>
  <c r="AN67" i="7" a="1"/>
  <c r="AN67" i="7" s="1"/>
  <c r="FB217" i="7" a="1"/>
  <c r="FB217" i="7" s="1"/>
  <c r="FH217" i="7" s="1"/>
  <c r="FG217" i="7" s="1"/>
  <c r="EZ94" i="7"/>
  <c r="FB218" i="7" a="1"/>
  <c r="FB218" i="7" s="1"/>
  <c r="FH218" i="7" s="1"/>
  <c r="FG218" i="7" s="1"/>
  <c r="FF94" i="7"/>
  <c r="EX94" i="7"/>
  <c r="FB219" i="7" a="1"/>
  <c r="FB219" i="7" s="1"/>
  <c r="FH219" i="7" s="1"/>
  <c r="FG219" i="7" s="1"/>
  <c r="AK29" i="7"/>
  <c r="EW218" i="7" a="1"/>
  <c r="EW218" i="7" s="1"/>
  <c r="EW223" i="7" a="1"/>
  <c r="EW223" i="7" s="1"/>
  <c r="R5" i="5" a="1"/>
  <c r="R5" i="5" s="1"/>
  <c r="EW220" i="7" a="1"/>
  <c r="EW220" i="7" s="1"/>
  <c r="EW221" i="7" a="1"/>
  <c r="EW221" i="7" s="1"/>
  <c r="EV223" i="7" a="1"/>
  <c r="EV223" i="7" s="1"/>
  <c r="F24" i="5" a="1"/>
  <c r="F24" i="5" s="1"/>
  <c r="A24" i="5" s="1" a="1"/>
  <c r="A24" i="5" s="1"/>
  <c r="EV222" i="7" a="1"/>
  <c r="EV222" i="7" s="1"/>
  <c r="EW217" i="7" a="1"/>
  <c r="EW217" i="7" s="1"/>
  <c r="EV219" i="7" a="1"/>
  <c r="EV219" i="7" s="1"/>
  <c r="R9" i="5" a="1"/>
  <c r="R9" i="5" s="1"/>
  <c r="EW219" i="7" a="1"/>
  <c r="EW219" i="7" s="1"/>
  <c r="EW224" i="7" a="1"/>
  <c r="EW224" i="7" s="1"/>
  <c r="EV224" i="7" a="1"/>
  <c r="EV224" i="7" s="1"/>
  <c r="FB221" i="7" a="1"/>
  <c r="FB221" i="7" s="1"/>
  <c r="FH221" i="7" s="1"/>
  <c r="FG221" i="7" s="1"/>
  <c r="FB222" i="7" a="1"/>
  <c r="FB222" i="7" s="1"/>
  <c r="FH222" i="7" s="1"/>
  <c r="FG222" i="7" s="1"/>
  <c r="EV221" i="7" a="1"/>
  <c r="EV221" i="7" s="1"/>
  <c r="FB224" i="7" a="1"/>
  <c r="FB224" i="7" s="1"/>
  <c r="FH224" i="7" s="1"/>
  <c r="FG224" i="7" s="1"/>
  <c r="EV220" i="7" a="1"/>
  <c r="EV220" i="7" s="1"/>
  <c r="R6" i="5" a="1"/>
  <c r="R6" i="5" s="1"/>
  <c r="EV217" i="7" a="1"/>
  <c r="EV217" i="7" s="1"/>
  <c r="EW222" i="7" a="1"/>
  <c r="EW222" i="7" s="1"/>
  <c r="FB223" i="7" a="1"/>
  <c r="FB223" i="7" s="1"/>
  <c r="FH223" i="7" s="1"/>
  <c r="FG223" i="7" s="1"/>
  <c r="EV218" i="7" a="1"/>
  <c r="EV218" i="7" s="1"/>
  <c r="R8" i="5" a="1"/>
  <c r="R8" i="5" s="1"/>
  <c r="FB220" i="7" a="1"/>
  <c r="FB220" i="7" s="1"/>
  <c r="FH220" i="7" s="1"/>
  <c r="FG220" i="7" s="1"/>
  <c r="R7" i="5" a="1"/>
  <c r="R7" i="5" s="1"/>
  <c r="AF31" i="7" a="1"/>
  <c r="AG30" i="7" a="1"/>
  <c r="FE93" i="7" a="1"/>
  <c r="EX93" i="7" a="1"/>
  <c r="AM65" i="7" a="1"/>
  <c r="FF93" i="7" a="1"/>
  <c r="EX93" i="7" l="1"/>
  <c r="FE93" i="7"/>
  <c r="FF93" i="7"/>
  <c r="AM65" i="7"/>
  <c r="AR65" i="7"/>
  <c r="AN69" i="7"/>
  <c r="AO70" i="7" s="1"/>
  <c r="AM70" i="7"/>
  <c r="AQ69" i="7"/>
  <c r="AP66" i="7"/>
  <c r="AM69" i="7"/>
  <c r="AO69" i="7"/>
  <c r="AN64" i="7"/>
  <c r="AN66" i="7"/>
  <c r="AF31" i="7"/>
  <c r="AG30" i="7"/>
  <c r="AP25" i="7" a="1"/>
  <c r="AL29" i="7" a="1"/>
  <c r="AG32" i="7" a="1"/>
  <c r="AP67" i="7" a="1"/>
  <c r="AK116" i="7" a="1"/>
  <c r="AF71" i="7" a="1"/>
  <c r="EW97" i="7" a="1"/>
  <c r="AN107" i="7" a="1"/>
  <c r="FH93" i="7" l="1" a="1"/>
  <c r="FH93" i="7" s="1"/>
  <c r="FG93" i="7" s="1"/>
  <c r="AK116" i="7"/>
  <c r="AN107" i="7"/>
  <c r="AP65" i="7" a="1"/>
  <c r="AP65" i="7" s="1"/>
  <c r="AF71" i="7"/>
  <c r="AP67" i="7"/>
  <c r="AK74" i="7" a="1"/>
  <c r="AK74" i="7" s="1"/>
  <c r="AQ70" i="7"/>
  <c r="AR66" i="7" a="1"/>
  <c r="AR66" i="7" s="1"/>
  <c r="AM66" i="7" a="1"/>
  <c r="AM66" i="7" s="1"/>
  <c r="AG32" i="7"/>
  <c r="AP25" i="7"/>
  <c r="EW97" i="7"/>
  <c r="AL29" i="7"/>
  <c r="AH34" i="7"/>
  <c r="AI31" i="7"/>
  <c r="AF34" i="7"/>
  <c r="AG31" i="7"/>
  <c r="AG34" i="7"/>
  <c r="AG29" i="7"/>
  <c r="AJ34" i="7"/>
  <c r="AK32" i="7" a="1"/>
  <c r="AK32" i="7" s="1"/>
  <c r="AJ30" i="7" a="1"/>
  <c r="EV97" i="7" a="1"/>
  <c r="FC97" i="7" a="1"/>
  <c r="AL30" i="7" a="1"/>
  <c r="FA97" i="7" a="1"/>
  <c r="EW96" i="7" a="1"/>
  <c r="AF113" i="7" a="1"/>
  <c r="FB94" i="7" a="1"/>
  <c r="EW96" i="7" l="1"/>
  <c r="AF113" i="7"/>
  <c r="AN109" i="7" a="1"/>
  <c r="AN109" i="7" s="1"/>
  <c r="AQ107" i="7" a="1"/>
  <c r="AQ107" i="7" s="1"/>
  <c r="AF35" i="7"/>
  <c r="FB94" i="7"/>
  <c r="FH94" i="7" s="1" a="1"/>
  <c r="FH94" i="7" s="1"/>
  <c r="FG94" i="7" s="1"/>
  <c r="AJ30" i="7"/>
  <c r="FA97" i="7"/>
  <c r="FC97" i="7"/>
  <c r="AL30" i="7"/>
  <c r="EV97" i="7"/>
  <c r="AH35" i="7"/>
  <c r="AK31" i="7" a="1"/>
  <c r="AF30" i="7" a="1"/>
  <c r="AM29" i="7" a="1"/>
  <c r="AI30" i="7" a="1"/>
  <c r="FD97" i="7" a="1"/>
  <c r="FA96" i="7" a="1"/>
  <c r="EY97" i="7" a="1"/>
  <c r="EY96" i="7" a="1"/>
  <c r="FE97" i="7" a="1"/>
  <c r="AG72" i="7" a="1"/>
  <c r="EY96" i="7" l="1"/>
  <c r="FA96" i="7"/>
  <c r="AR107" i="7"/>
  <c r="AQ111" i="7"/>
  <c r="AP108" i="7"/>
  <c r="AM111" i="7"/>
  <c r="AO111" i="7"/>
  <c r="AN108" i="7"/>
  <c r="AN111" i="7"/>
  <c r="AM112" i="7"/>
  <c r="AN106" i="7"/>
  <c r="AM107" i="7" a="1"/>
  <c r="AM107" i="7" s="1"/>
  <c r="AG72" i="7"/>
  <c r="AI116" i="7" s="1" a="1"/>
  <c r="AI116" i="7" s="1"/>
  <c r="FD97" i="7"/>
  <c r="AK30" i="7"/>
  <c r="AF30" i="7"/>
  <c r="AI30" i="7"/>
  <c r="AK31" i="7"/>
  <c r="AJ35" i="7" s="1"/>
  <c r="EY97" i="7"/>
  <c r="FE97" i="7"/>
  <c r="AM29" i="7"/>
  <c r="EV96" i="7" a="1"/>
  <c r="EZ96" i="7" a="1"/>
  <c r="EZ97" i="7" a="1"/>
  <c r="EX97" i="7" a="1"/>
  <c r="FF97" i="7" a="1"/>
  <c r="FB99" i="7" a="1"/>
  <c r="FC96" i="7" a="1"/>
  <c r="FD96" i="7" a="1"/>
  <c r="AR29" i="7" a="1"/>
  <c r="FB99" i="7" l="1"/>
  <c r="EZ96" i="7"/>
  <c r="EV96" i="7"/>
  <c r="FD96" i="7"/>
  <c r="FC96" i="7"/>
  <c r="AO112" i="7"/>
  <c r="AR108" i="7" a="1"/>
  <c r="AR108" i="7" s="1"/>
  <c r="AQ112" i="7"/>
  <c r="AM108" i="7" a="1"/>
  <c r="AM108" i="7" s="1"/>
  <c r="AP107" i="7" a="1"/>
  <c r="AP107" i="7" s="1"/>
  <c r="AJ72" i="7" a="1"/>
  <c r="AJ72" i="7" s="1"/>
  <c r="AG74" i="7" a="1"/>
  <c r="AG74" i="7" s="1"/>
  <c r="EZ97" i="7"/>
  <c r="FF97" i="7"/>
  <c r="EX97" i="7"/>
  <c r="AR29" i="7"/>
  <c r="EX96" i="7" a="1"/>
  <c r="AM31" i="7" a="1"/>
  <c r="AN30" i="7" a="1"/>
  <c r="FE96" i="7" a="1"/>
  <c r="FF96" i="7" a="1"/>
  <c r="AF72" i="7" a="1"/>
  <c r="FF96" i="7" l="1"/>
  <c r="FE96" i="7"/>
  <c r="EX96" i="7"/>
  <c r="AF72" i="7"/>
  <c r="AJ76" i="7"/>
  <c r="AG76" i="7"/>
  <c r="AH77" i="7" s="1"/>
  <c r="AI73" i="7"/>
  <c r="AG71" i="7"/>
  <c r="AF77" i="7"/>
  <c r="AG73" i="7"/>
  <c r="AH76" i="7"/>
  <c r="AF76" i="7"/>
  <c r="AK72" i="7"/>
  <c r="AN30" i="7"/>
  <c r="AM31" i="7"/>
  <c r="AN32" i="7" a="1"/>
  <c r="AI32" i="7" a="1"/>
  <c r="AE36" i="7" a="1"/>
  <c r="AI74" i="7" a="1"/>
  <c r="AG114" i="7" a="1"/>
  <c r="AM71" i="7" a="1"/>
  <c r="EW100" i="7" a="1"/>
  <c r="AR116" i="7" a="1"/>
  <c r="FH96" i="7" l="1" a="1"/>
  <c r="FH96" i="7" s="1"/>
  <c r="FG96" i="7" s="1"/>
  <c r="AG114" i="7"/>
  <c r="AR116" i="7"/>
  <c r="AI72" i="7" a="1"/>
  <c r="AI72" i="7" s="1"/>
  <c r="AM71" i="7"/>
  <c r="AI74" i="7"/>
  <c r="AJ77" i="7"/>
  <c r="AK73" i="7" a="1"/>
  <c r="AK73" i="7" s="1"/>
  <c r="AF73" i="7" a="1"/>
  <c r="AF73" i="7" s="1"/>
  <c r="AR74" i="7" a="1"/>
  <c r="AR74" i="7" s="1"/>
  <c r="AN32" i="7"/>
  <c r="AI32" i="7"/>
  <c r="EW100" i="7"/>
  <c r="AE36" i="7"/>
  <c r="AM34" i="7"/>
  <c r="AQ34" i="7"/>
  <c r="AO34" i="7"/>
  <c r="AP31" i="7"/>
  <c r="AN34" i="7"/>
  <c r="AN31" i="7"/>
  <c r="AN29" i="7"/>
  <c r="AR32" i="7" a="1"/>
  <c r="AR32" i="7" s="1"/>
  <c r="AQ30" i="7" a="1"/>
  <c r="EV100" i="7" a="1"/>
  <c r="FA100" i="7" a="1"/>
  <c r="FB97" i="7" a="1"/>
  <c r="AM113" i="7" a="1"/>
  <c r="FC100" i="7" a="1"/>
  <c r="AE37" i="7" a="1"/>
  <c r="EW99" i="7" a="1"/>
  <c r="EW99" i="7" l="1"/>
  <c r="AM113" i="7"/>
  <c r="AG116" i="7" a="1"/>
  <c r="AG116" i="7" s="1"/>
  <c r="AJ114" i="7" a="1"/>
  <c r="AJ114" i="7" s="1"/>
  <c r="AO35" i="7"/>
  <c r="FB97" i="7"/>
  <c r="FH97" i="7" s="1" a="1"/>
  <c r="FH97" i="7" s="1"/>
  <c r="FG97" i="7" s="1"/>
  <c r="AQ30" i="7"/>
  <c r="FA100" i="7"/>
  <c r="AM35" i="7"/>
  <c r="AE37" i="7"/>
  <c r="EV100" i="7"/>
  <c r="FC100" i="7"/>
  <c r="AR31" i="7" a="1"/>
  <c r="AM30" i="7" a="1"/>
  <c r="AP30" i="7" a="1"/>
  <c r="AF36" i="7" a="1"/>
  <c r="FE100" i="7" a="1"/>
  <c r="FA99" i="7" a="1"/>
  <c r="EY100" i="7" a="1"/>
  <c r="AN72" i="7" a="1"/>
  <c r="EY99" i="7" a="1"/>
  <c r="FD100" i="7" a="1"/>
  <c r="EY99" i="7" l="1"/>
  <c r="FA99" i="7"/>
  <c r="AG113" i="7"/>
  <c r="AH118" i="7"/>
  <c r="AJ118" i="7"/>
  <c r="AG118" i="7"/>
  <c r="AI115" i="7"/>
  <c r="AF119" i="7"/>
  <c r="AF118" i="7"/>
  <c r="AG115" i="7"/>
  <c r="AF114" i="7" a="1"/>
  <c r="AF114" i="7" s="1"/>
  <c r="AK114" i="7"/>
  <c r="AN72" i="7"/>
  <c r="AP116" i="7" s="1" a="1"/>
  <c r="AP116" i="7" s="1"/>
  <c r="FE100" i="7"/>
  <c r="AR30" i="7"/>
  <c r="AM30" i="7"/>
  <c r="AP30" i="7"/>
  <c r="FD100" i="7"/>
  <c r="EY100" i="7"/>
  <c r="AR31" i="7"/>
  <c r="AQ35" i="7" s="1"/>
  <c r="AF36" i="7"/>
  <c r="FC99" i="7" a="1"/>
  <c r="FD99" i="7" a="1"/>
  <c r="EX100" i="7" a="1"/>
  <c r="AK36" i="7" a="1"/>
  <c r="EZ99" i="7" a="1"/>
  <c r="EZ100" i="7" a="1"/>
  <c r="EV99" i="7" a="1"/>
  <c r="FF100" i="7" a="1"/>
  <c r="FB102" i="7" a="1"/>
  <c r="FB102" i="7" l="1"/>
  <c r="FD99" i="7"/>
  <c r="FC99" i="7"/>
  <c r="EV99" i="7"/>
  <c r="EZ99" i="7"/>
  <c r="AH119" i="7"/>
  <c r="AI114" i="7" a="1"/>
  <c r="AI114" i="7" s="1"/>
  <c r="AF115" i="7" a="1"/>
  <c r="AF115" i="7" s="1"/>
  <c r="AJ119" i="7"/>
  <c r="AK115" i="7" a="1"/>
  <c r="AK115" i="7" s="1"/>
  <c r="AQ72" i="7" a="1"/>
  <c r="AQ72" i="7" s="1"/>
  <c r="AN74" i="7" a="1"/>
  <c r="AN74" i="7" s="1"/>
  <c r="EZ100" i="7"/>
  <c r="FF100" i="7"/>
  <c r="EX100" i="7"/>
  <c r="AK36" i="7"/>
  <c r="FE99" i="7" a="1"/>
  <c r="AM72" i="7" a="1"/>
  <c r="EX99" i="7" a="1"/>
  <c r="FF99" i="7" a="1"/>
  <c r="AG37" i="7" a="1"/>
  <c r="AF38" i="7" a="1"/>
  <c r="FF99" i="7" l="1"/>
  <c r="EX99" i="7"/>
  <c r="FE99" i="7"/>
  <c r="AM72" i="7"/>
  <c r="AM77" i="7"/>
  <c r="AQ76" i="7"/>
  <c r="AP73" i="7"/>
  <c r="AN76" i="7"/>
  <c r="AO77" i="7" s="1"/>
  <c r="AN73" i="7"/>
  <c r="AM76" i="7"/>
  <c r="AN71" i="7"/>
  <c r="AO76" i="7"/>
  <c r="AR72" i="7"/>
  <c r="AF38" i="7"/>
  <c r="AG37" i="7"/>
  <c r="AP74" i="7" a="1"/>
  <c r="AP32" i="7" a="1"/>
  <c r="AL36" i="7" a="1"/>
  <c r="AG39" i="7" a="1"/>
  <c r="AF78" i="7" a="1"/>
  <c r="AK123" i="7" a="1"/>
  <c r="AN114" i="7" a="1"/>
  <c r="EW103" i="7" a="1"/>
  <c r="FH99" i="7" l="1" a="1"/>
  <c r="FH99" i="7" s="1"/>
  <c r="FG99" i="7" s="1"/>
  <c r="AN114" i="7"/>
  <c r="AK123" i="7"/>
  <c r="AP72" i="7" a="1"/>
  <c r="AP72" i="7" s="1"/>
  <c r="AF78" i="7"/>
  <c r="AP74" i="7"/>
  <c r="AQ77" i="7"/>
  <c r="AM73" i="7" a="1"/>
  <c r="AM73" i="7" s="1"/>
  <c r="AR73" i="7" a="1"/>
  <c r="AR73" i="7" s="1"/>
  <c r="AK81" i="7" a="1"/>
  <c r="AK81" i="7" s="1"/>
  <c r="AP32" i="7"/>
  <c r="AG39" i="7"/>
  <c r="EW103" i="7"/>
  <c r="AL36" i="7"/>
  <c r="AH41" i="7"/>
  <c r="AG41" i="7"/>
  <c r="AF41" i="7"/>
  <c r="AG38" i="7"/>
  <c r="AG36" i="7"/>
  <c r="AJ41" i="7"/>
  <c r="AI38" i="7"/>
  <c r="AK39" i="7" a="1"/>
  <c r="AK39" i="7" s="1"/>
  <c r="AJ37" i="7" a="1"/>
  <c r="EV103" i="7" a="1"/>
  <c r="FC103" i="7" a="1"/>
  <c r="FB100" i="7" a="1"/>
  <c r="AL37" i="7" a="1"/>
  <c r="FA103" i="7" a="1"/>
  <c r="EW102" i="7" a="1"/>
  <c r="AF120" i="7" a="1"/>
  <c r="EW102" i="7" l="1"/>
  <c r="AF120" i="7"/>
  <c r="AQ114" i="7" a="1"/>
  <c r="AQ114" i="7" s="1"/>
  <c r="AN116" i="7" a="1"/>
  <c r="AN116" i="7" s="1"/>
  <c r="AF42" i="7"/>
  <c r="FA103" i="7"/>
  <c r="AJ37" i="7"/>
  <c r="FB100" i="7"/>
  <c r="FH100" i="7" s="1" a="1"/>
  <c r="FH100" i="7" s="1"/>
  <c r="FG100" i="7" s="1"/>
  <c r="AL37" i="7"/>
  <c r="FC103" i="7"/>
  <c r="EV103" i="7"/>
  <c r="AH42" i="7"/>
  <c r="AF37" i="7" a="1"/>
  <c r="AK38" i="7" a="1"/>
  <c r="AM36" i="7" a="1"/>
  <c r="AI37" i="7" a="1"/>
  <c r="FD103" i="7" a="1"/>
  <c r="EY103" i="7" a="1"/>
  <c r="EY102" i="7" a="1"/>
  <c r="FE103" i="7" a="1"/>
  <c r="FA102" i="7" a="1"/>
  <c r="AG79" i="7" a="1"/>
  <c r="EY102" i="7" l="1"/>
  <c r="FA102" i="7"/>
  <c r="AQ118" i="7"/>
  <c r="AP115" i="7"/>
  <c r="AO118" i="7"/>
  <c r="AN115" i="7"/>
  <c r="AN118" i="7"/>
  <c r="AN113" i="7"/>
  <c r="AM118" i="7"/>
  <c r="AM119" i="7"/>
  <c r="AM114" i="7" a="1"/>
  <c r="AM114" i="7" s="1"/>
  <c r="AR114" i="7"/>
  <c r="AG79" i="7"/>
  <c r="AI123" i="7" s="1" a="1"/>
  <c r="AI123" i="7" s="1"/>
  <c r="FD103" i="7"/>
  <c r="AK37" i="7"/>
  <c r="AK38" i="7"/>
  <c r="AJ42" i="7" s="1"/>
  <c r="AF37" i="7"/>
  <c r="AI37" i="7"/>
  <c r="EY103" i="7"/>
  <c r="FE103" i="7"/>
  <c r="AM36" i="7"/>
  <c r="EV102" i="7" a="1"/>
  <c r="FC102" i="7" a="1"/>
  <c r="EX103" i="7" a="1"/>
  <c r="FB105" i="7" a="1"/>
  <c r="AR36" i="7" a="1"/>
  <c r="FD102" i="7" a="1"/>
  <c r="FF103" i="7" a="1"/>
  <c r="EZ102" i="7" a="1"/>
  <c r="EZ103" i="7" a="1"/>
  <c r="FB105" i="7" l="1"/>
  <c r="FC102" i="7"/>
  <c r="EV102" i="7"/>
  <c r="FD102" i="7"/>
  <c r="EZ102" i="7"/>
  <c r="AO119" i="7"/>
  <c r="AP114" i="7" a="1"/>
  <c r="AP114" i="7" s="1"/>
  <c r="AQ119" i="7"/>
  <c r="AM115" i="7" a="1"/>
  <c r="AM115" i="7" s="1"/>
  <c r="AR115" i="7" a="1"/>
  <c r="AR115" i="7" s="1"/>
  <c r="AJ79" i="7" a="1"/>
  <c r="AJ79" i="7" s="1"/>
  <c r="AG81" i="7" a="1"/>
  <c r="AG81" i="7" s="1"/>
  <c r="EZ103" i="7"/>
  <c r="EX103" i="7"/>
  <c r="FF103" i="7"/>
  <c r="AR36" i="7"/>
  <c r="FE102" i="7" a="1"/>
  <c r="EX102" i="7" a="1"/>
  <c r="FF102" i="7" a="1"/>
  <c r="AF79" i="7" a="1"/>
  <c r="AN37" i="7" a="1"/>
  <c r="AM38" i="7" a="1"/>
  <c r="FF102" i="7" l="1"/>
  <c r="EX102" i="7"/>
  <c r="FE102" i="7"/>
  <c r="AF79" i="7"/>
  <c r="AG83" i="7"/>
  <c r="AH84" i="7" s="1"/>
  <c r="AI80" i="7"/>
  <c r="AJ83" i="7"/>
  <c r="AG80" i="7"/>
  <c r="AG78" i="7"/>
  <c r="AF84" i="7"/>
  <c r="AF83" i="7"/>
  <c r="AH83" i="7"/>
  <c r="AK79" i="7"/>
  <c r="AM38" i="7"/>
  <c r="AN37" i="7"/>
  <c r="AP81" i="7" s="1" a="1"/>
  <c r="AP81" i="7" s="1"/>
  <c r="AI39" i="7" a="1"/>
  <c r="AI81" i="7" a="1"/>
  <c r="AT1" i="7" a="1"/>
  <c r="AR123" i="7" a="1"/>
  <c r="AG121" i="7" a="1"/>
  <c r="EW106" i="7" a="1"/>
  <c r="AM78" i="7" a="1"/>
  <c r="AM78" i="7" l="1"/>
  <c r="FH102" i="7" a="1"/>
  <c r="FH102" i="7" s="1"/>
  <c r="FG102" i="7" s="1"/>
  <c r="AG121" i="7"/>
  <c r="AR123" i="7"/>
  <c r="AI81" i="7"/>
  <c r="AJ84" i="7"/>
  <c r="AF80" i="7" a="1"/>
  <c r="AF80" i="7" s="1"/>
  <c r="AK80" i="7" a="1"/>
  <c r="AK80" i="7" s="1"/>
  <c r="AR81" i="7" a="1"/>
  <c r="AR81" i="7" s="1"/>
  <c r="AI79" i="7" a="1"/>
  <c r="AI79" i="7" s="1"/>
  <c r="AN39" i="7" a="1"/>
  <c r="AN39" i="7" s="1"/>
  <c r="AI39" i="7"/>
  <c r="EW106" i="7"/>
  <c r="AT1" i="7"/>
  <c r="AM41" i="7"/>
  <c r="AN41" i="7"/>
  <c r="AN36" i="7"/>
  <c r="AQ37" i="7" a="1"/>
  <c r="AQ37" i="7" s="1"/>
  <c r="AO41" i="7"/>
  <c r="AQ41" i="7"/>
  <c r="AN38" i="7"/>
  <c r="AP38" i="7"/>
  <c r="AR39" i="7" a="1"/>
  <c r="AR39" i="7" s="1"/>
  <c r="EW105" i="7" a="1"/>
  <c r="FA106" i="7" a="1"/>
  <c r="FB103" i="7" a="1"/>
  <c r="AN79" i="7" a="1"/>
  <c r="FB107" i="7" a="1"/>
  <c r="AT2" i="7" a="1"/>
  <c r="EV106" i="7" a="1"/>
  <c r="EY106" i="7" a="1"/>
  <c r="FC106" i="7" a="1"/>
  <c r="AM120" i="7" a="1"/>
  <c r="AM120" i="7" l="1"/>
  <c r="EW105" i="7"/>
  <c r="AG123" i="7" a="1"/>
  <c r="AG123" i="7" s="1"/>
  <c r="AJ121" i="7" a="1"/>
  <c r="AJ121" i="7" s="1"/>
  <c r="AN79" i="7"/>
  <c r="AP123" i="7" s="1" a="1"/>
  <c r="AP123" i="7" s="1"/>
  <c r="FA106" i="7"/>
  <c r="AO42" i="7"/>
  <c r="AM42" i="7"/>
  <c r="FB103" i="7"/>
  <c r="FH103" i="7" s="1" a="1"/>
  <c r="FH103" i="7" s="1"/>
  <c r="FG103" i="7" s="1"/>
  <c r="EV106" i="7"/>
  <c r="AT2" i="7"/>
  <c r="FC106" i="7"/>
  <c r="EY106" i="7"/>
  <c r="FB107" i="7"/>
  <c r="AR38" i="7" a="1"/>
  <c r="AR38" i="7" s="1"/>
  <c r="AQ42" i="7" s="1"/>
  <c r="AM37" i="7" a="1"/>
  <c r="AM37" i="7" s="1"/>
  <c r="AP37" i="7" a="1"/>
  <c r="AP37" i="7" s="1"/>
  <c r="AR37" i="7"/>
  <c r="AU1" i="7" a="1"/>
  <c r="EZ106" i="7" a="1"/>
  <c r="FD106" i="7" a="1"/>
  <c r="EX106" i="7" a="1"/>
  <c r="FF106" i="7" a="1"/>
  <c r="FB108" i="7" a="1"/>
  <c r="FE106" i="7" a="1"/>
  <c r="FA105" i="7" a="1"/>
  <c r="EY105" i="7" a="1"/>
  <c r="FB108" i="7" l="1"/>
  <c r="EY105" i="7"/>
  <c r="FA105" i="7"/>
  <c r="AK121" i="7"/>
  <c r="AJ125" i="7"/>
  <c r="AH125" i="7"/>
  <c r="AG125" i="7"/>
  <c r="AI122" i="7"/>
  <c r="AF126" i="7"/>
  <c r="AF125" i="7"/>
  <c r="AG122" i="7"/>
  <c r="AG120" i="7"/>
  <c r="AF121" i="7" a="1"/>
  <c r="AF121" i="7" s="1"/>
  <c r="AQ79" i="7" a="1"/>
  <c r="AQ79" i="7" s="1"/>
  <c r="AN81" i="7" a="1"/>
  <c r="AN81" i="7" s="1"/>
  <c r="FD106" i="7"/>
  <c r="FE106" i="7"/>
  <c r="EZ106" i="7"/>
  <c r="EX106" i="7"/>
  <c r="AU1" i="7"/>
  <c r="FF106" i="7"/>
  <c r="EV105" i="7" a="1"/>
  <c r="AM79" i="7" a="1"/>
  <c r="EZ105" i="7" a="1"/>
  <c r="FC105" i="7" a="1"/>
  <c r="FD105" i="7" a="1"/>
  <c r="AZ1" i="7" a="1"/>
  <c r="EV105" i="7" l="1"/>
  <c r="FD105" i="7"/>
  <c r="FC105" i="7"/>
  <c r="EZ105" i="7"/>
  <c r="AH126" i="7"/>
  <c r="AJ126" i="7"/>
  <c r="AK122" i="7" a="1"/>
  <c r="AK122" i="7" s="1"/>
  <c r="AF122" i="7" a="1"/>
  <c r="AF122" i="7" s="1"/>
  <c r="AI121" i="7" a="1"/>
  <c r="AI121" i="7" s="1"/>
  <c r="AM79" i="7"/>
  <c r="AQ83" i="7"/>
  <c r="AP80" i="7"/>
  <c r="AO83" i="7"/>
  <c r="AN83" i="7"/>
  <c r="AO84" i="7" s="1"/>
  <c r="AM84" i="7"/>
  <c r="AN80" i="7"/>
  <c r="AM83" i="7"/>
  <c r="AN78" i="7"/>
  <c r="AR79" i="7"/>
  <c r="FH106" i="7" a="1"/>
  <c r="FH106" i="7" s="1"/>
  <c r="FG106" i="7" s="1"/>
  <c r="AZ1" i="7"/>
  <c r="AN121" i="7" a="1"/>
  <c r="AV2" i="7" a="1"/>
  <c r="FF105" i="7" a="1"/>
  <c r="EX105" i="7" a="1"/>
  <c r="FE105" i="7" a="1"/>
  <c r="BA1" i="7" a="1"/>
  <c r="EX105" i="7" l="1"/>
  <c r="FF105" i="7"/>
  <c r="FE105" i="7"/>
  <c r="AN121" i="7"/>
  <c r="AP79" i="7" a="1"/>
  <c r="AP79" i="7" s="1"/>
  <c r="AQ84" i="7"/>
  <c r="AR80" i="7" a="1"/>
  <c r="AR80" i="7" s="1"/>
  <c r="AM80" i="7" a="1"/>
  <c r="AM80" i="7" s="1"/>
  <c r="AV2" i="7"/>
  <c r="BA1" i="7"/>
  <c r="AP39" i="7" a="1"/>
  <c r="AP39" i="7" s="1"/>
  <c r="AU3" i="7" a="1"/>
  <c r="BA2" i="7" a="1"/>
  <c r="FB106" i="7" a="1"/>
  <c r="EW108" i="7" a="1"/>
  <c r="AU43" i="7" a="1"/>
  <c r="AU3" i="7" l="1"/>
  <c r="AZ46" i="7" s="1" a="1"/>
  <c r="AZ46" i="7" s="1"/>
  <c r="FH105" i="7" a="1"/>
  <c r="FH105" i="7" s="1"/>
  <c r="FG105" i="7" s="1"/>
  <c r="EW108" i="7"/>
  <c r="AQ121" i="7" a="1"/>
  <c r="AQ121" i="7" s="1"/>
  <c r="AN123" i="7" a="1"/>
  <c r="AN123" i="7" s="1"/>
  <c r="AU43" i="7"/>
  <c r="BA2" i="7"/>
  <c r="FB106" i="7"/>
  <c r="AZ4" i="7" a="1"/>
  <c r="AZ4" i="7" s="1"/>
  <c r="AW6" i="7"/>
  <c r="AV6" i="7"/>
  <c r="FC109" i="7" s="1"/>
  <c r="AX3" i="7"/>
  <c r="EW109" i="7"/>
  <c r="AV3" i="7"/>
  <c r="AU6" i="7"/>
  <c r="AV1" i="7"/>
  <c r="AY6" i="7"/>
  <c r="AY2" i="7" a="1"/>
  <c r="BB1" i="7" a="1"/>
  <c r="AV4" i="7" a="1"/>
  <c r="AZ88" i="7" a="1"/>
  <c r="EY108" i="7" a="1"/>
  <c r="AU85" i="7" a="1"/>
  <c r="FA108" i="7" a="1"/>
  <c r="AZ88" i="7" l="1"/>
  <c r="AY2" i="7"/>
  <c r="AZ2" i="7" s="1"/>
  <c r="EZ109" i="7" s="1"/>
  <c r="AV4" i="7"/>
  <c r="FA109" i="7" s="1"/>
  <c r="FA108" i="7"/>
  <c r="EY108" i="7"/>
  <c r="AU85" i="7"/>
  <c r="AN125" i="7"/>
  <c r="AM125" i="7"/>
  <c r="AM126" i="7"/>
  <c r="AN120" i="7"/>
  <c r="AQ125" i="7"/>
  <c r="AP122" i="7"/>
  <c r="AO125" i="7"/>
  <c r="AN122" i="7"/>
  <c r="AM121" i="7" a="1"/>
  <c r="AM121" i="7" s="1"/>
  <c r="AR121" i="7"/>
  <c r="BB1" i="7"/>
  <c r="EV109" i="7"/>
  <c r="AZ3" i="7" a="1"/>
  <c r="AX2" i="7" a="1"/>
  <c r="FD108" i="7" a="1"/>
  <c r="AV44" i="7" a="1"/>
  <c r="BG1" i="7" a="1"/>
  <c r="EZ108" i="7" a="1"/>
  <c r="EV108" i="7" a="1"/>
  <c r="FC108" i="7" a="1"/>
  <c r="AU7" i="7" l="1"/>
  <c r="FD109" i="7" s="1"/>
  <c r="EY109" i="7"/>
  <c r="AW7" i="7"/>
  <c r="FE109" i="7" s="1"/>
  <c r="AX2" i="7"/>
  <c r="EX109" i="7" s="1"/>
  <c r="AZ3" i="7"/>
  <c r="AY7" i="7" s="1"/>
  <c r="FF109" i="7" s="1"/>
  <c r="FD108" i="7"/>
  <c r="EV108" i="7"/>
  <c r="FC108" i="7"/>
  <c r="EZ108" i="7"/>
  <c r="AP121" i="7" a="1"/>
  <c r="AP121" i="7" s="1"/>
  <c r="AO126" i="7"/>
  <c r="AQ126" i="7"/>
  <c r="AM122" i="7" a="1"/>
  <c r="AM122" i="7" s="1"/>
  <c r="AR122" i="7" a="1"/>
  <c r="AR122" i="7" s="1"/>
  <c r="AV44" i="7"/>
  <c r="BG1" i="7"/>
  <c r="AU2" i="7" a="1"/>
  <c r="FF108" i="7" a="1"/>
  <c r="FE108" i="7" a="1"/>
  <c r="BB3" i="7" a="1"/>
  <c r="EX108" i="7" a="1"/>
  <c r="EW110" i="7" a="1"/>
  <c r="BC2" i="7" a="1"/>
  <c r="AU2" i="7" l="1"/>
  <c r="AX88" i="7" a="1"/>
  <c r="AX88" i="7" s="1"/>
  <c r="FE108" i="7"/>
  <c r="EX108" i="7"/>
  <c r="FF108" i="7"/>
  <c r="EW110" i="7"/>
  <c r="AV46" i="7" a="1"/>
  <c r="AV46" i="7" s="1"/>
  <c r="AY44" i="7" a="1"/>
  <c r="AY44" i="7" s="1"/>
  <c r="BB3" i="7"/>
  <c r="BC2" i="7"/>
  <c r="AX4" i="7" a="1"/>
  <c r="AT8" i="7" a="1"/>
  <c r="EY110" i="7" a="1"/>
  <c r="AU44" i="7" a="1"/>
  <c r="FA110" i="7" a="1"/>
  <c r="BB43" i="7" a="1"/>
  <c r="FB111" i="7" a="1"/>
  <c r="BG88" i="7" a="1"/>
  <c r="AX4" i="7" l="1"/>
  <c r="FB109" i="7" s="1"/>
  <c r="FH109" i="7" s="1" a="1"/>
  <c r="FH109" i="7" s="1"/>
  <c r="FG109" i="7" s="1"/>
  <c r="AU44" i="7"/>
  <c r="FB111" i="7"/>
  <c r="FH108" i="7" a="1"/>
  <c r="FH108" i="7" s="1"/>
  <c r="FG108" i="7" s="1"/>
  <c r="BG88" i="7"/>
  <c r="EY110" i="7"/>
  <c r="FA110" i="7"/>
  <c r="BB43" i="7"/>
  <c r="BG46" i="7" a="1"/>
  <c r="BG46" i="7" s="1"/>
  <c r="BC4" i="7" a="1"/>
  <c r="BC4" i="7" s="1"/>
  <c r="BB2" i="7" s="1" a="1"/>
  <c r="BB2" i="7" s="1"/>
  <c r="BE46" i="7" a="1"/>
  <c r="BE46" i="7" s="1"/>
  <c r="AZ44" i="7"/>
  <c r="AV43" i="7"/>
  <c r="AV48" i="7"/>
  <c r="AX45" i="7"/>
  <c r="AY48" i="7"/>
  <c r="AW48" i="7"/>
  <c r="AU49" i="7"/>
  <c r="AU48" i="7"/>
  <c r="AV45" i="7"/>
  <c r="BF2" i="7" a="1"/>
  <c r="BF2" i="7" s="1"/>
  <c r="BC1" i="7"/>
  <c r="BG3" i="7" s="1" a="1"/>
  <c r="BG3" i="7" s="1"/>
  <c r="AT8" i="7"/>
  <c r="BG4" i="7" a="1"/>
  <c r="BG4" i="7" s="1"/>
  <c r="BC6" i="7"/>
  <c r="FC112" i="7" s="1"/>
  <c r="EW112" i="7"/>
  <c r="BB6" i="7"/>
  <c r="BF6" i="7"/>
  <c r="BE3" i="7"/>
  <c r="BD6" i="7"/>
  <c r="BC3" i="7"/>
  <c r="AX46" i="7" a="1"/>
  <c r="BB85" i="7" a="1"/>
  <c r="EV110" i="7" a="1"/>
  <c r="EZ110" i="7" a="1"/>
  <c r="FC110" i="7" a="1"/>
  <c r="FB113" i="7" a="1"/>
  <c r="AT9" i="7" a="1"/>
  <c r="AV86" i="7" a="1"/>
  <c r="FD110" i="7" a="1"/>
  <c r="AX46" i="7" l="1"/>
  <c r="BB85" i="7"/>
  <c r="AV86" i="7"/>
  <c r="AX44" i="7" a="1"/>
  <c r="AX44" i="7" s="1"/>
  <c r="FC110" i="7"/>
  <c r="EV110" i="7"/>
  <c r="EZ110" i="7"/>
  <c r="FD110" i="7"/>
  <c r="AW49" i="7"/>
  <c r="AU45" i="7" a="1"/>
  <c r="AU45" i="7" s="1"/>
  <c r="AY49" i="7"/>
  <c r="AZ45" i="7" a="1"/>
  <c r="AZ45" i="7" s="1"/>
  <c r="FA112" i="7"/>
  <c r="BB7" i="7"/>
  <c r="FD112" i="7" s="1"/>
  <c r="BE2" i="7" a="1"/>
  <c r="BE2" i="7" s="1"/>
  <c r="EX112" i="7" s="1"/>
  <c r="BD7" i="7"/>
  <c r="FE112" i="7" s="1"/>
  <c r="FB113" i="7"/>
  <c r="AT9" i="7"/>
  <c r="EY112" i="7"/>
  <c r="BG2" i="7"/>
  <c r="EZ112" i="7" s="1"/>
  <c r="EV112" i="7"/>
  <c r="BF7" i="7"/>
  <c r="FF112" i="7" s="1"/>
  <c r="AU8" i="7" a="1"/>
  <c r="EX110" i="7" a="1"/>
  <c r="FF110" i="7" a="1"/>
  <c r="BC44" i="7" a="1"/>
  <c r="FE110" i="7" a="1"/>
  <c r="FB110" i="7" a="1"/>
  <c r="EW111" i="7" a="1"/>
  <c r="FB110" i="7" l="1"/>
  <c r="EW111" i="7"/>
  <c r="EX110" i="7"/>
  <c r="AV88" i="7" a="1"/>
  <c r="AV88" i="7" s="1"/>
  <c r="AU86" i="7" s="1" a="1"/>
  <c r="AU86" i="7" s="1"/>
  <c r="AY86" i="7" a="1"/>
  <c r="AY86" i="7" s="1"/>
  <c r="FE110" i="7"/>
  <c r="BC44" i="7"/>
  <c r="FF110" i="7"/>
  <c r="AU8" i="7"/>
  <c r="FH112" i="7" a="1"/>
  <c r="FH112" i="7" s="1"/>
  <c r="FG112" i="7" s="1"/>
  <c r="FA111" i="7" a="1"/>
  <c r="EY111" i="7" a="1"/>
  <c r="EW113" i="7" a="1"/>
  <c r="AZ8" i="7" a="1"/>
  <c r="BE88" i="7" l="1" a="1"/>
  <c r="BE88" i="7" s="1"/>
  <c r="EY111" i="7"/>
  <c r="FA111" i="7"/>
  <c r="AV85" i="7"/>
  <c r="AV87" i="7"/>
  <c r="AU90" i="7"/>
  <c r="AY90" i="7"/>
  <c r="AW90" i="7"/>
  <c r="AU91" i="7"/>
  <c r="AV90" i="7"/>
  <c r="AX87" i="7"/>
  <c r="AZ86" i="7"/>
  <c r="FH110" i="7" a="1"/>
  <c r="FH110" i="7" s="1"/>
  <c r="FG110" i="7" s="1"/>
  <c r="EW113" i="7"/>
  <c r="BF44" i="7" a="1"/>
  <c r="BF44" i="7" s="1"/>
  <c r="BC46" i="7" a="1"/>
  <c r="BC46" i="7" s="1"/>
  <c r="AZ8" i="7"/>
  <c r="EY113" i="7" a="1"/>
  <c r="BB44" i="7" a="1"/>
  <c r="AV9" i="7" a="1"/>
  <c r="FC111" i="7" a="1"/>
  <c r="EV111" i="7" a="1"/>
  <c r="EZ111" i="7" a="1"/>
  <c r="FD111" i="7" a="1"/>
  <c r="FA113" i="7" a="1"/>
  <c r="FB114" i="7" a="1"/>
  <c r="AU10" i="7" a="1"/>
  <c r="BB44" i="7" l="1"/>
  <c r="FB114" i="7"/>
  <c r="FD111" i="7"/>
  <c r="EZ111" i="7"/>
  <c r="EV111" i="7"/>
  <c r="FC111" i="7"/>
  <c r="AX86" i="7" a="1"/>
  <c r="AX86" i="7" s="1"/>
  <c r="AW91" i="7"/>
  <c r="AU87" i="7" a="1"/>
  <c r="AU87" i="7" s="1"/>
  <c r="AY91" i="7"/>
  <c r="AZ87" i="7" a="1"/>
  <c r="AZ87" i="7" s="1"/>
  <c r="EY113" i="7"/>
  <c r="FA113" i="7"/>
  <c r="BG44" i="7"/>
  <c r="BD48" i="7"/>
  <c r="BC45" i="7"/>
  <c r="BF48" i="7"/>
  <c r="BC48" i="7"/>
  <c r="BB48" i="7"/>
  <c r="BB49" i="7"/>
  <c r="BE45" i="7"/>
  <c r="BC43" i="7"/>
  <c r="AU10" i="7"/>
  <c r="AV9" i="7"/>
  <c r="AX53" i="7" s="1" a="1"/>
  <c r="AX53" i="7" s="1"/>
  <c r="BE4" i="7" a="1"/>
  <c r="BE4" i="7" s="1"/>
  <c r="FB112" i="7" s="1"/>
  <c r="BA8" i="7" a="1"/>
  <c r="FC113" i="7" a="1"/>
  <c r="EX111" i="7" a="1"/>
  <c r="EZ113" i="7" a="1"/>
  <c r="FE111" i="7" a="1"/>
  <c r="AU50" i="7" a="1"/>
  <c r="FF111" i="7" a="1"/>
  <c r="BC86" i="7" a="1"/>
  <c r="EW115" i="7" a="1"/>
  <c r="AZ95" i="7" a="1"/>
  <c r="FD113" i="7" a="1"/>
  <c r="EV113" i="7" a="1"/>
  <c r="FF111" i="7" l="1"/>
  <c r="FE111" i="7"/>
  <c r="EX111" i="7"/>
  <c r="AZ95" i="7"/>
  <c r="BC86" i="7"/>
  <c r="BE44" i="7" a="1"/>
  <c r="BE44" i="7" s="1"/>
  <c r="AU50" i="7"/>
  <c r="EZ113" i="7"/>
  <c r="FC113" i="7"/>
  <c r="EV113" i="7"/>
  <c r="FD113" i="7"/>
  <c r="AZ53" i="7" a="1"/>
  <c r="AZ53" i="7" s="1"/>
  <c r="BF49" i="7"/>
  <c r="BB45" i="7" a="1"/>
  <c r="BB45" i="7" s="1"/>
  <c r="BG45" i="7" a="1"/>
  <c r="BG45" i="7" s="1"/>
  <c r="BD49" i="7"/>
  <c r="AV11" i="7" a="1"/>
  <c r="AV11" i="7" s="1"/>
  <c r="EW115" i="7"/>
  <c r="BA8" i="7"/>
  <c r="AV13" i="7"/>
  <c r="AX10" i="7"/>
  <c r="AY9" i="7" a="1"/>
  <c r="AY9" i="7" s="1"/>
  <c r="AV8" i="7"/>
  <c r="AY13" i="7"/>
  <c r="AW13" i="7"/>
  <c r="AV10" i="7"/>
  <c r="AU13" i="7"/>
  <c r="AZ11" i="7" a="1"/>
  <c r="AZ11" i="7" s="1"/>
  <c r="FC115" i="7" a="1"/>
  <c r="EY115" i="7" a="1"/>
  <c r="FA115" i="7" a="1"/>
  <c r="EX113" i="7" a="1"/>
  <c r="FB116" i="7" a="1"/>
  <c r="EV115" i="7" a="1"/>
  <c r="EW114" i="7" a="1"/>
  <c r="BA9" i="7" a="1"/>
  <c r="FF113" i="7" a="1"/>
  <c r="FE113" i="7" a="1"/>
  <c r="AU92" i="7" a="1"/>
  <c r="FH111" i="7" l="1" a="1"/>
  <c r="FH111" i="7" s="1"/>
  <c r="FG111" i="7" s="1"/>
  <c r="EW114" i="7"/>
  <c r="AU92" i="7"/>
  <c r="EX113" i="7"/>
  <c r="BF86" i="7" a="1"/>
  <c r="BF86" i="7" s="1"/>
  <c r="BC88" i="7" a="1"/>
  <c r="BC88" i="7" s="1"/>
  <c r="BB86" i="7" s="1" a="1"/>
  <c r="BB86" i="7" s="1"/>
  <c r="FE113" i="7"/>
  <c r="FF113" i="7"/>
  <c r="FA115" i="7"/>
  <c r="AW14" i="7"/>
  <c r="AU14" i="7"/>
  <c r="EV115" i="7"/>
  <c r="FB116" i="7"/>
  <c r="EY115" i="7"/>
  <c r="BA9" i="7"/>
  <c r="FC115" i="7"/>
  <c r="AZ10" i="7" a="1"/>
  <c r="AZ10" i="7" s="1"/>
  <c r="AY14" i="7" s="1"/>
  <c r="AU9" i="7" a="1"/>
  <c r="AU9" i="7" s="1"/>
  <c r="AX9" i="7" a="1"/>
  <c r="AX9" i="7" s="1"/>
  <c r="AZ9" i="7"/>
  <c r="BB8" i="7" a="1"/>
  <c r="EX115" i="7" a="1"/>
  <c r="EZ115" i="7" a="1"/>
  <c r="FD115" i="7" a="1"/>
  <c r="FE115" i="7" a="1"/>
  <c r="FA114" i="7" a="1"/>
  <c r="FF115" i="7" a="1"/>
  <c r="EY114" i="7" a="1"/>
  <c r="AV51" i="7" a="1"/>
  <c r="EY114" i="7" l="1"/>
  <c r="FA114" i="7"/>
  <c r="BF90" i="7"/>
  <c r="BE87" i="7"/>
  <c r="BD90" i="7"/>
  <c r="BC87" i="7"/>
  <c r="BC90" i="7"/>
  <c r="BB90" i="7"/>
  <c r="BB91" i="7"/>
  <c r="BC85" i="7"/>
  <c r="BG86" i="7"/>
  <c r="FH113" i="7" a="1"/>
  <c r="FH113" i="7" s="1"/>
  <c r="FG113" i="7" s="1"/>
  <c r="AV51" i="7"/>
  <c r="AX95" i="7" s="1" a="1"/>
  <c r="AX95" i="7" s="1"/>
  <c r="FD115" i="7"/>
  <c r="FE115" i="7"/>
  <c r="BB8" i="7"/>
  <c r="EZ115" i="7"/>
  <c r="EX115" i="7"/>
  <c r="FF115" i="7"/>
  <c r="EW116" i="7" a="1"/>
  <c r="FB117" i="7" a="1"/>
  <c r="FD114" i="7" a="1"/>
  <c r="EV114" i="7" a="1"/>
  <c r="EZ114" i="7" a="1"/>
  <c r="FC114" i="7" a="1"/>
  <c r="BG8" i="7" a="1"/>
  <c r="FB117" i="7" l="1"/>
  <c r="FC114" i="7"/>
  <c r="EZ114" i="7"/>
  <c r="EV114" i="7"/>
  <c r="FD114" i="7"/>
  <c r="BD91" i="7"/>
  <c r="BE86" i="7" a="1"/>
  <c r="BE86" i="7" s="1"/>
  <c r="BF91" i="7"/>
  <c r="BG87" i="7" a="1"/>
  <c r="BG87" i="7" s="1"/>
  <c r="BB87" i="7" a="1"/>
  <c r="BB87" i="7" s="1"/>
  <c r="EW116" i="7"/>
  <c r="AY51" i="7" a="1"/>
  <c r="AY51" i="7" s="1"/>
  <c r="AV53" i="7" a="1"/>
  <c r="AV53" i="7" s="1"/>
  <c r="FH115" i="7" a="1"/>
  <c r="FH115" i="7" s="1"/>
  <c r="FG115" i="7" s="1"/>
  <c r="BG8" i="7"/>
  <c r="FE114" i="7" a="1"/>
  <c r="FA116" i="7" a="1"/>
  <c r="BC9" i="7" a="1"/>
  <c r="EX114" i="7" a="1"/>
  <c r="EY116" i="7" a="1"/>
  <c r="FF114" i="7" a="1"/>
  <c r="BB10" i="7" a="1"/>
  <c r="AU51" i="7" a="1"/>
  <c r="AU51" i="7" l="1"/>
  <c r="FF114" i="7"/>
  <c r="EX114" i="7"/>
  <c r="FE114" i="7"/>
  <c r="FA116" i="7"/>
  <c r="EY116" i="7"/>
  <c r="AV55" i="7"/>
  <c r="AX52" i="7"/>
  <c r="AY55" i="7"/>
  <c r="AU56" i="7"/>
  <c r="AV52" i="7"/>
  <c r="AW55" i="7"/>
  <c r="AU55" i="7"/>
  <c r="AV50" i="7"/>
  <c r="AX51" i="7" s="1" a="1"/>
  <c r="AX51" i="7" s="1"/>
  <c r="AZ51" i="7"/>
  <c r="BB10" i="7"/>
  <c r="BC9" i="7"/>
  <c r="BE53" i="7" s="1" a="1"/>
  <c r="BE53" i="7" s="1"/>
  <c r="AX11" i="7" a="1"/>
  <c r="AX11" i="7" s="1"/>
  <c r="AT15" i="7" a="1"/>
  <c r="FD116" i="7" a="1"/>
  <c r="FB115" i="7" a="1"/>
  <c r="EW118" i="7" a="1"/>
  <c r="FC116" i="7" a="1"/>
  <c r="BG95" i="7" a="1"/>
  <c r="AV93" i="7" a="1"/>
  <c r="EX116" i="7" a="1"/>
  <c r="EV116" i="7" a="1"/>
  <c r="EZ116" i="7" a="1"/>
  <c r="BB50" i="7" a="1"/>
  <c r="FH114" i="7" l="1" a="1"/>
  <c r="FH114" i="7" s="1"/>
  <c r="FG114" i="7" s="1"/>
  <c r="BG95" i="7"/>
  <c r="AV93" i="7"/>
  <c r="FD116" i="7"/>
  <c r="BB50" i="7"/>
  <c r="EZ116" i="7"/>
  <c r="FC116" i="7"/>
  <c r="EV116" i="7"/>
  <c r="BG53" i="7" a="1"/>
  <c r="BG53" i="7" s="1"/>
  <c r="AY56" i="7"/>
  <c r="AZ52" i="7" a="1"/>
  <c r="AZ52" i="7" s="1"/>
  <c r="AU52" i="7" a="1"/>
  <c r="AU52" i="7" s="1"/>
  <c r="AW56" i="7"/>
  <c r="EX116" i="7"/>
  <c r="AT15" i="7"/>
  <c r="FB115" i="7"/>
  <c r="EW118" i="7"/>
  <c r="BG11" i="7" a="1"/>
  <c r="BG11" i="7" s="1"/>
  <c r="BB13" i="7"/>
  <c r="BF9" i="7" a="1"/>
  <c r="BF9" i="7" s="1"/>
  <c r="BF13" i="7"/>
  <c r="BD13" i="7"/>
  <c r="BC13" i="7"/>
  <c r="BE10" i="7"/>
  <c r="BC8" i="7"/>
  <c r="BC10" i="7"/>
  <c r="BC11" i="7" a="1"/>
  <c r="BC11" i="7" s="1"/>
  <c r="FA118" i="7" a="1"/>
  <c r="AT16" i="7" a="1"/>
  <c r="EY118" i="7" a="1"/>
  <c r="FE116" i="7" a="1"/>
  <c r="FC118" i="7" a="1"/>
  <c r="FF116" i="7" a="1"/>
  <c r="FB119" i="7" a="1"/>
  <c r="EV118" i="7" a="1"/>
  <c r="EW117" i="7" a="1"/>
  <c r="BB92" i="7" a="1"/>
  <c r="EW117" i="7" l="1"/>
  <c r="BB92" i="7"/>
  <c r="AV95" i="7" a="1"/>
  <c r="AV95" i="7" s="1"/>
  <c r="AU93" i="7" s="1" a="1"/>
  <c r="AU93" i="7" s="1"/>
  <c r="AY93" i="7" a="1"/>
  <c r="AY93" i="7" s="1"/>
  <c r="FF116" i="7"/>
  <c r="FE116" i="7"/>
  <c r="FB119" i="7"/>
  <c r="EV118" i="7"/>
  <c r="FC118" i="7"/>
  <c r="EY118" i="7"/>
  <c r="FA118" i="7"/>
  <c r="AT16" i="7"/>
  <c r="BB9" i="7" a="1"/>
  <c r="BB9" i="7" s="1"/>
  <c r="BG10" i="7" a="1"/>
  <c r="BG10" i="7" s="1"/>
  <c r="BF14" i="7" s="1"/>
  <c r="BG9" i="7"/>
  <c r="BE9" i="7" a="1"/>
  <c r="BE9" i="7" s="1"/>
  <c r="BB14" i="7"/>
  <c r="BD14" i="7"/>
  <c r="AU15" i="7" a="1"/>
  <c r="EZ118" i="7" a="1"/>
  <c r="FE118" i="7" a="1"/>
  <c r="FA117" i="7" a="1"/>
  <c r="FF118" i="7" a="1"/>
  <c r="EY117" i="7" a="1"/>
  <c r="BC51" i="7" a="1"/>
  <c r="EX118" i="7" a="1"/>
  <c r="FD118" i="7" a="1"/>
  <c r="EY117" i="7" l="1"/>
  <c r="FA117" i="7"/>
  <c r="AZ93" i="7"/>
  <c r="AY97" i="7"/>
  <c r="AV92" i="7"/>
  <c r="AW97" i="7"/>
  <c r="AV97" i="7"/>
  <c r="AX94" i="7"/>
  <c r="AU98" i="7"/>
  <c r="AV94" i="7"/>
  <c r="AU97" i="7"/>
  <c r="FH116" i="7" a="1"/>
  <c r="FH116" i="7" s="1"/>
  <c r="FG116" i="7" s="1"/>
  <c r="BC51" i="7"/>
  <c r="BE95" i="7" s="1" a="1"/>
  <c r="BE95" i="7" s="1"/>
  <c r="FE118" i="7"/>
  <c r="AU15" i="7"/>
  <c r="FD118" i="7"/>
  <c r="EZ118" i="7"/>
  <c r="EX118" i="7"/>
  <c r="FF118" i="7"/>
  <c r="EW119" i="7" a="1"/>
  <c r="FB120" i="7" a="1"/>
  <c r="EV117" i="7" a="1"/>
  <c r="FC117" i="7" a="1"/>
  <c r="FD117" i="7" a="1"/>
  <c r="EZ117" i="7" a="1"/>
  <c r="AZ15" i="7" a="1"/>
  <c r="FB120" i="7" l="1"/>
  <c r="FC117" i="7"/>
  <c r="EV117" i="7"/>
  <c r="EZ117" i="7"/>
  <c r="FD117" i="7"/>
  <c r="AW98" i="7"/>
  <c r="AY98" i="7"/>
  <c r="AZ94" i="7" a="1"/>
  <c r="AZ94" i="7" s="1"/>
  <c r="AU94" i="7" a="1"/>
  <c r="AU94" i="7" s="1"/>
  <c r="AX93" i="7" a="1"/>
  <c r="AX93" i="7" s="1"/>
  <c r="EW119" i="7"/>
  <c r="BF51" i="7" a="1"/>
  <c r="BF51" i="7" s="1"/>
  <c r="BC53" i="7" a="1"/>
  <c r="BC53" i="7" s="1"/>
  <c r="FH118" i="7" a="1"/>
  <c r="FH118" i="7" s="1"/>
  <c r="FG118" i="7" s="1"/>
  <c r="AZ15" i="7"/>
  <c r="EX117" i="7" a="1"/>
  <c r="FF117" i="7" a="1"/>
  <c r="FE117" i="7" a="1"/>
  <c r="BB51" i="7" a="1"/>
  <c r="EY119" i="7" a="1"/>
  <c r="FA119" i="7" a="1"/>
  <c r="AU17" i="7" a="1"/>
  <c r="AV16" i="7" a="1"/>
  <c r="BB51" i="7" l="1"/>
  <c r="FE117" i="7"/>
  <c r="FF117" i="7"/>
  <c r="EX117" i="7"/>
  <c r="FA119" i="7"/>
  <c r="EY119" i="7"/>
  <c r="BF55" i="7"/>
  <c r="BC55" i="7"/>
  <c r="BB56" i="7"/>
  <c r="BC52" i="7"/>
  <c r="BD55" i="7"/>
  <c r="BB55" i="7"/>
  <c r="BC50" i="7"/>
  <c r="BE52" i="7"/>
  <c r="BG51" i="7"/>
  <c r="AV16" i="7"/>
  <c r="AX60" i="7" s="1" a="1"/>
  <c r="AX60" i="7" s="1"/>
  <c r="AU17" i="7"/>
  <c r="BE11" i="7" a="1"/>
  <c r="BE11" i="7" s="1"/>
  <c r="BA15" i="7" a="1"/>
  <c r="AU57" i="7" a="1"/>
  <c r="BC93" i="7" a="1"/>
  <c r="AZ102" i="7" a="1"/>
  <c r="EW121" i="7" a="1"/>
  <c r="EV119" i="7" a="1"/>
  <c r="FC119" i="7" a="1"/>
  <c r="FD119" i="7" a="1"/>
  <c r="EZ119" i="7" a="1"/>
  <c r="FB118" i="7" a="1"/>
  <c r="FH117" i="7" l="1" a="1"/>
  <c r="FH117" i="7" s="1"/>
  <c r="FG117" i="7" s="1"/>
  <c r="AZ102" i="7"/>
  <c r="BC93" i="7"/>
  <c r="BE51" i="7" a="1"/>
  <c r="BE51" i="7" s="1"/>
  <c r="AU57" i="7"/>
  <c r="EZ119" i="7"/>
  <c r="FD119" i="7"/>
  <c r="FC119" i="7"/>
  <c r="EV119" i="7"/>
  <c r="AZ60" i="7" a="1"/>
  <c r="AZ60" i="7" s="1"/>
  <c r="BD56" i="7"/>
  <c r="BF56" i="7"/>
  <c r="BB52" i="7" a="1"/>
  <c r="BB52" i="7" s="1"/>
  <c r="BG52" i="7" a="1"/>
  <c r="BG52" i="7" s="1"/>
  <c r="BA15" i="7"/>
  <c r="FB118" i="7"/>
  <c r="EW121" i="7"/>
  <c r="AZ18" i="7" a="1"/>
  <c r="AZ18" i="7" s="1"/>
  <c r="AV17" i="7"/>
  <c r="AV15" i="7"/>
  <c r="AV20" i="7"/>
  <c r="AU20" i="7"/>
  <c r="AY16" i="7" a="1"/>
  <c r="AY16" i="7" s="1"/>
  <c r="AX17" i="7"/>
  <c r="AW20" i="7"/>
  <c r="AY20" i="7"/>
  <c r="AV18" i="7" a="1"/>
  <c r="AV18" i="7" s="1"/>
  <c r="EV121" i="7" a="1"/>
  <c r="FA121" i="7" a="1"/>
  <c r="EX119" i="7" a="1"/>
  <c r="FC121" i="7" a="1"/>
  <c r="AU99" i="7" a="1"/>
  <c r="BA16" i="7" a="1"/>
  <c r="FE119" i="7" a="1"/>
  <c r="FF119" i="7" a="1"/>
  <c r="EY121" i="7" a="1"/>
  <c r="FB122" i="7" a="1"/>
  <c r="EW120" i="7" a="1"/>
  <c r="EW120" i="7" l="1"/>
  <c r="AU99" i="7"/>
  <c r="EX119" i="7"/>
  <c r="BF93" i="7" a="1"/>
  <c r="BF93" i="7" s="1"/>
  <c r="BC95" i="7" a="1"/>
  <c r="BC95" i="7" s="1"/>
  <c r="BB93" i="7" s="1" a="1"/>
  <c r="BB93" i="7" s="1"/>
  <c r="FF119" i="7"/>
  <c r="FE119" i="7"/>
  <c r="EY121" i="7"/>
  <c r="FB122" i="7"/>
  <c r="FC121" i="7"/>
  <c r="EV121" i="7"/>
  <c r="FA121" i="7"/>
  <c r="BA16" i="7"/>
  <c r="AZ16" i="7"/>
  <c r="AX16" i="7" a="1"/>
  <c r="AX16" i="7" s="1"/>
  <c r="AZ17" i="7" a="1"/>
  <c r="AZ17" i="7" s="1"/>
  <c r="AY21" i="7" s="1"/>
  <c r="AU16" i="7" a="1"/>
  <c r="AU16" i="7" s="1"/>
  <c r="AU21" i="7"/>
  <c r="AW21" i="7"/>
  <c r="BB15" i="7" a="1"/>
  <c r="FF121" i="7" a="1"/>
  <c r="EX121" i="7" a="1"/>
  <c r="FE121" i="7" a="1"/>
  <c r="FA120" i="7" a="1"/>
  <c r="EZ121" i="7" a="1"/>
  <c r="EY120" i="7" a="1"/>
  <c r="AV58" i="7" a="1"/>
  <c r="FD121" i="7" a="1"/>
  <c r="EY120" i="7" l="1"/>
  <c r="FA120" i="7"/>
  <c r="BC97" i="7"/>
  <c r="BB97" i="7"/>
  <c r="BB98" i="7"/>
  <c r="BC92" i="7"/>
  <c r="BC94" i="7"/>
  <c r="BD97" i="7"/>
  <c r="BF97" i="7"/>
  <c r="BE94" i="7"/>
  <c r="BG93" i="7"/>
  <c r="FH119" i="7" a="1"/>
  <c r="FH119" i="7" s="1"/>
  <c r="FG119" i="7" s="1"/>
  <c r="AV58" i="7"/>
  <c r="AX102" i="7" s="1" a="1"/>
  <c r="AX102" i="7" s="1"/>
  <c r="EZ121" i="7"/>
  <c r="BB15" i="7"/>
  <c r="FE121" i="7"/>
  <c r="FD121" i="7"/>
  <c r="EX121" i="7"/>
  <c r="FF121" i="7"/>
  <c r="EW122" i="7" a="1"/>
  <c r="BG15" i="7" a="1"/>
  <c r="FC120" i="7" a="1"/>
  <c r="EZ120" i="7" a="1"/>
  <c r="FD120" i="7" a="1"/>
  <c r="EV120" i="7" a="1"/>
  <c r="FB123" i="7" a="1"/>
  <c r="FB123" i="7" l="1"/>
  <c r="EV120" i="7"/>
  <c r="FD120" i="7"/>
  <c r="EZ120" i="7"/>
  <c r="FC120" i="7"/>
  <c r="BD98" i="7"/>
  <c r="BF98" i="7"/>
  <c r="BB94" i="7" a="1"/>
  <c r="BB94" i="7" s="1"/>
  <c r="BG94" i="7" a="1"/>
  <c r="BG94" i="7" s="1"/>
  <c r="BE93" i="7" a="1"/>
  <c r="BE93" i="7" s="1"/>
  <c r="EW122" i="7"/>
  <c r="AV60" i="7" a="1"/>
  <c r="AV60" i="7" s="1"/>
  <c r="AY58" i="7" a="1"/>
  <c r="AY58" i="7" s="1"/>
  <c r="FH121" i="7" a="1"/>
  <c r="FH121" i="7" s="1"/>
  <c r="FG121" i="7" s="1"/>
  <c r="BG15" i="7"/>
  <c r="EX120" i="7" a="1"/>
  <c r="FF120" i="7" a="1"/>
  <c r="FE120" i="7" a="1"/>
  <c r="FA122" i="7" a="1"/>
  <c r="BC16" i="7" a="1"/>
  <c r="EY122" i="7" a="1"/>
  <c r="AU58" i="7" a="1"/>
  <c r="BB17" i="7" a="1"/>
  <c r="AU58" i="7" l="1"/>
  <c r="FE120" i="7"/>
  <c r="FF120" i="7"/>
  <c r="EX120" i="7"/>
  <c r="EY122" i="7"/>
  <c r="FA122" i="7"/>
  <c r="AZ58" i="7"/>
  <c r="AY62" i="7"/>
  <c r="AV62" i="7"/>
  <c r="AX59" i="7"/>
  <c r="AW62" i="7"/>
  <c r="AU62" i="7"/>
  <c r="AV57" i="7"/>
  <c r="AX58" i="7" s="1" a="1"/>
  <c r="AX58" i="7" s="1"/>
  <c r="AV59" i="7"/>
  <c r="AU63" i="7"/>
  <c r="BC16" i="7"/>
  <c r="BE60" i="7" s="1" a="1"/>
  <c r="BE60" i="7" s="1"/>
  <c r="BB17" i="7"/>
  <c r="AX18" i="7" a="1"/>
  <c r="AX18" i="7" s="1"/>
  <c r="AT22" i="7" a="1"/>
  <c r="BB57" i="7" a="1"/>
  <c r="AV100" i="7" a="1"/>
  <c r="EW124" i="7" a="1"/>
  <c r="EX122" i="7" a="1"/>
  <c r="EV122" i="7" a="1"/>
  <c r="EZ122" i="7" a="1"/>
  <c r="FB121" i="7" a="1"/>
  <c r="FD122" i="7" a="1"/>
  <c r="FC122" i="7" a="1"/>
  <c r="BG102" i="7" a="1"/>
  <c r="FH120" i="7" l="1" a="1"/>
  <c r="FH120" i="7" s="1"/>
  <c r="FG120" i="7" s="1"/>
  <c r="BG102" i="7"/>
  <c r="AV100" i="7"/>
  <c r="BB57" i="7"/>
  <c r="FC122" i="7"/>
  <c r="FD122" i="7"/>
  <c r="EV122" i="7"/>
  <c r="EZ122" i="7"/>
  <c r="AW63" i="7"/>
  <c r="BG60" i="7" a="1"/>
  <c r="BG60" i="7" s="1"/>
  <c r="AY63" i="7"/>
  <c r="AZ59" i="7" a="1"/>
  <c r="AZ59" i="7" s="1"/>
  <c r="AU59" i="7" a="1"/>
  <c r="AU59" i="7" s="1"/>
  <c r="AT22" i="7"/>
  <c r="EX122" i="7"/>
  <c r="EW124" i="7"/>
  <c r="FB121" i="7"/>
  <c r="BG18" i="7" a="1"/>
  <c r="BG18" i="7" s="1"/>
  <c r="BE17" i="7"/>
  <c r="BC20" i="7"/>
  <c r="BB20" i="7"/>
  <c r="BC17" i="7"/>
  <c r="BF20" i="7"/>
  <c r="BD20" i="7"/>
  <c r="BF16" i="7" a="1"/>
  <c r="BF16" i="7" s="1"/>
  <c r="BC15" i="7"/>
  <c r="BC18" i="7" a="1"/>
  <c r="BC18" i="7" s="1"/>
  <c r="EW123" i="7" a="1"/>
  <c r="FA124" i="7" a="1"/>
  <c r="BB99" i="7" a="1"/>
  <c r="AT23" i="7" a="1"/>
  <c r="FE122" i="7" a="1"/>
  <c r="FF122" i="7" a="1"/>
  <c r="FB125" i="7" a="1"/>
  <c r="EY124" i="7" a="1"/>
  <c r="FC124" i="7" a="1"/>
  <c r="EV124" i="7" a="1"/>
  <c r="EW123" i="7" l="1"/>
  <c r="BB99" i="7"/>
  <c r="AV102" i="7" a="1"/>
  <c r="AV102" i="7" s="1"/>
  <c r="AU100" i="7" s="1" a="1"/>
  <c r="AU100" i="7" s="1"/>
  <c r="AY100" i="7" a="1"/>
  <c r="AY100" i="7" s="1"/>
  <c r="FF122" i="7"/>
  <c r="FE122" i="7"/>
  <c r="FB125" i="7"/>
  <c r="EV124" i="7"/>
  <c r="FA124" i="7"/>
  <c r="FC124" i="7"/>
  <c r="EY124" i="7"/>
  <c r="AT23" i="7"/>
  <c r="BG17" i="7" a="1"/>
  <c r="BG17" i="7" s="1"/>
  <c r="BF21" i="7" s="1"/>
  <c r="BB16" i="7" a="1"/>
  <c r="BB16" i="7" s="1"/>
  <c r="BB21" i="7"/>
  <c r="BD21" i="7"/>
  <c r="BE16" i="7" a="1"/>
  <c r="BE16" i="7" s="1"/>
  <c r="BG16" i="7"/>
  <c r="AU22" i="7" a="1"/>
  <c r="EZ124" i="7" a="1"/>
  <c r="EX124" i="7" a="1"/>
  <c r="BC58" i="7" a="1"/>
  <c r="FE124" i="7" a="1"/>
  <c r="FD124" i="7" a="1"/>
  <c r="FA123" i="7" a="1"/>
  <c r="FF124" i="7" a="1"/>
  <c r="EY123" i="7" a="1"/>
  <c r="EY123" i="7" l="1"/>
  <c r="FA123" i="7"/>
  <c r="AZ100" i="7"/>
  <c r="AY104" i="7"/>
  <c r="AW104" i="7"/>
  <c r="AV104" i="7"/>
  <c r="AX101" i="7"/>
  <c r="AU105" i="7"/>
  <c r="AU104" i="7"/>
  <c r="AV101" i="7"/>
  <c r="AV99" i="7"/>
  <c r="FH122" i="7" a="1"/>
  <c r="FH122" i="7" s="1"/>
  <c r="FG122" i="7" s="1"/>
  <c r="BC58" i="7"/>
  <c r="BE102" i="7" s="1" a="1"/>
  <c r="BE102" i="7" s="1"/>
  <c r="AU22" i="7"/>
  <c r="EX124" i="7"/>
  <c r="EZ124" i="7"/>
  <c r="FE124" i="7"/>
  <c r="FD124" i="7"/>
  <c r="FF124" i="7"/>
  <c r="EW125" i="7" a="1"/>
  <c r="FC123" i="7" a="1"/>
  <c r="FD123" i="7" a="1"/>
  <c r="FB126" i="7" a="1"/>
  <c r="EZ123" i="7" a="1"/>
  <c r="EV123" i="7" a="1"/>
  <c r="AZ22" i="7" a="1"/>
  <c r="FB126" i="7" l="1"/>
  <c r="FD123" i="7"/>
  <c r="FC123" i="7"/>
  <c r="EV123" i="7"/>
  <c r="EZ123" i="7"/>
  <c r="AW105" i="7"/>
  <c r="AX100" i="7" a="1"/>
  <c r="AX100" i="7" s="1"/>
  <c r="AY105" i="7"/>
  <c r="AZ101" i="7" a="1"/>
  <c r="AZ101" i="7" s="1"/>
  <c r="AU101" i="7" a="1"/>
  <c r="AU101" i="7" s="1"/>
  <c r="EW125" i="7"/>
  <c r="BF58" i="7" a="1"/>
  <c r="BF58" i="7" s="1"/>
  <c r="BC60" i="7" a="1"/>
  <c r="BC60" i="7" s="1"/>
  <c r="FH124" i="7" a="1"/>
  <c r="FH124" i="7" s="1"/>
  <c r="FG124" i="7" s="1"/>
  <c r="AZ22" i="7"/>
  <c r="EX123" i="7" a="1"/>
  <c r="FF123" i="7" a="1"/>
  <c r="BB58" i="7" a="1"/>
  <c r="FE123" i="7" a="1"/>
  <c r="FA125" i="7" a="1"/>
  <c r="EY125" i="7" a="1"/>
  <c r="AV23" i="7" a="1"/>
  <c r="AU24" i="7" a="1"/>
  <c r="BB58" i="7" l="1"/>
  <c r="FE123" i="7"/>
  <c r="FF123" i="7"/>
  <c r="EX123" i="7"/>
  <c r="EY125" i="7"/>
  <c r="FA125" i="7"/>
  <c r="BG58" i="7"/>
  <c r="BF62" i="7"/>
  <c r="BE59" i="7"/>
  <c r="BC62" i="7"/>
  <c r="BD63" i="7" s="1"/>
  <c r="BB63" i="7"/>
  <c r="BC57" i="7"/>
  <c r="BC59" i="7"/>
  <c r="BB62" i="7"/>
  <c r="BD62" i="7"/>
  <c r="AU24" i="7"/>
  <c r="AV23" i="7"/>
  <c r="AX67" i="7" s="1" a="1"/>
  <c r="AX67" i="7" s="1"/>
  <c r="BE18" i="7" a="1"/>
  <c r="BE18" i="7" s="1"/>
  <c r="BA22" i="7" a="1"/>
  <c r="AZ109" i="7" a="1"/>
  <c r="FB124" i="7" a="1"/>
  <c r="EW127" i="7" a="1"/>
  <c r="BC100" i="7" a="1"/>
  <c r="FC125" i="7" a="1"/>
  <c r="FE125" i="7" a="1"/>
  <c r="EZ125" i="7" a="1"/>
  <c r="FD125" i="7" a="1"/>
  <c r="EV125" i="7" a="1"/>
  <c r="AU64" i="7" a="1"/>
  <c r="FH123" i="7" l="1" a="1"/>
  <c r="FH123" i="7" s="1"/>
  <c r="FG123" i="7" s="1"/>
  <c r="BC100" i="7"/>
  <c r="AZ109" i="7"/>
  <c r="BE58" i="7" a="1"/>
  <c r="BE58" i="7" s="1"/>
  <c r="FD125" i="7"/>
  <c r="AU64" i="7"/>
  <c r="EV125" i="7"/>
  <c r="EZ125" i="7"/>
  <c r="FC125" i="7"/>
  <c r="BF63" i="7"/>
  <c r="BG59" i="7" a="1"/>
  <c r="BG59" i="7" s="1"/>
  <c r="BB59" i="7" a="1"/>
  <c r="BB59" i="7" s="1"/>
  <c r="AZ67" i="7" a="1"/>
  <c r="AZ67" i="7" s="1"/>
  <c r="EW127" i="7"/>
  <c r="AV25" i="7" a="1"/>
  <c r="AV25" i="7" s="1"/>
  <c r="FE125" i="7"/>
  <c r="FB124" i="7"/>
  <c r="BA22" i="7"/>
  <c r="AZ25" i="7" a="1"/>
  <c r="AZ25" i="7" s="1"/>
  <c r="AV27" i="7"/>
  <c r="AX24" i="7"/>
  <c r="AV22" i="7"/>
  <c r="AU27" i="7"/>
  <c r="AV24" i="7"/>
  <c r="AW27" i="7"/>
  <c r="AY27" i="7"/>
  <c r="AY23" i="7" a="1"/>
  <c r="AY23" i="7" s="1"/>
  <c r="FC127" i="7" a="1"/>
  <c r="EW126" i="7" a="1"/>
  <c r="EX125" i="7" a="1"/>
  <c r="EV127" i="7" a="1"/>
  <c r="EY127" i="7" a="1"/>
  <c r="FA127" i="7" a="1"/>
  <c r="AU106" i="7" a="1"/>
  <c r="FF125" i="7" a="1"/>
  <c r="BA23" i="7" a="1"/>
  <c r="FB128" i="7" a="1"/>
  <c r="EW126" i="7" l="1"/>
  <c r="AU106" i="7"/>
  <c r="EX125" i="7"/>
  <c r="BF100" i="7" a="1"/>
  <c r="BF100" i="7" s="1"/>
  <c r="BC102" i="7" a="1"/>
  <c r="BC102" i="7" s="1"/>
  <c r="BB100" i="7" s="1" a="1"/>
  <c r="BB100" i="7" s="1"/>
  <c r="FF125" i="7"/>
  <c r="EV127" i="7"/>
  <c r="EY127" i="7"/>
  <c r="FC127" i="7"/>
  <c r="FA127" i="7"/>
  <c r="FB128" i="7"/>
  <c r="AU28" i="7"/>
  <c r="AW28" i="7"/>
  <c r="BA23" i="7"/>
  <c r="AU23" i="7" a="1"/>
  <c r="AU23" i="7" s="1"/>
  <c r="AZ24" i="7" a="1"/>
  <c r="AZ24" i="7" s="1"/>
  <c r="AY28" i="7" s="1"/>
  <c r="AZ23" i="7"/>
  <c r="AX23" i="7" a="1"/>
  <c r="AX23" i="7" s="1"/>
  <c r="BB22" i="7" a="1"/>
  <c r="FD127" i="7" a="1"/>
  <c r="AV65" i="7" a="1"/>
  <c r="EZ127" i="7" a="1"/>
  <c r="FF127" i="7" a="1"/>
  <c r="EX127" i="7" a="1"/>
  <c r="EY126" i="7" a="1"/>
  <c r="FE127" i="7" a="1"/>
  <c r="FA126" i="7" a="1"/>
  <c r="FA126" i="7" l="1"/>
  <c r="EY126" i="7"/>
  <c r="FH125" i="7" a="1"/>
  <c r="FH125" i="7" s="1"/>
  <c r="FG125" i="7" s="1"/>
  <c r="BB105" i="7"/>
  <c r="BC99" i="7"/>
  <c r="BF104" i="7"/>
  <c r="BE101" i="7"/>
  <c r="BC101" i="7"/>
  <c r="BB104" i="7"/>
  <c r="BD104" i="7"/>
  <c r="BC104" i="7"/>
  <c r="BG100" i="7"/>
  <c r="AV65" i="7"/>
  <c r="AX109" i="7" s="1" a="1"/>
  <c r="AX109" i="7" s="1"/>
  <c r="FF127" i="7"/>
  <c r="EZ127" i="7"/>
  <c r="FE127" i="7"/>
  <c r="EX127" i="7"/>
  <c r="FD127" i="7"/>
  <c r="BB22" i="7"/>
  <c r="EW128" i="7" a="1"/>
  <c r="FC126" i="7" a="1"/>
  <c r="EZ126" i="7" a="1"/>
  <c r="EV126" i="7" a="1"/>
  <c r="FD126" i="7" a="1"/>
  <c r="FB129" i="7" a="1"/>
  <c r="BG22" i="7" a="1"/>
  <c r="FB129" i="7" l="1"/>
  <c r="FD126" i="7"/>
  <c r="EV126" i="7"/>
  <c r="EZ126" i="7"/>
  <c r="FC126" i="7"/>
  <c r="BE100" i="7" a="1"/>
  <c r="BE100" i="7" s="1"/>
  <c r="BD105" i="7"/>
  <c r="BG101" i="7" a="1"/>
  <c r="BG101" i="7" s="1"/>
  <c r="BB101" i="7" a="1"/>
  <c r="BB101" i="7" s="1"/>
  <c r="BF105" i="7"/>
  <c r="EW128" i="7"/>
  <c r="AY65" i="7" a="1"/>
  <c r="AY65" i="7" s="1"/>
  <c r="AV67" i="7" a="1"/>
  <c r="AV67" i="7" s="1"/>
  <c r="FH127" i="7" a="1"/>
  <c r="FH127" i="7" s="1"/>
  <c r="FG127" i="7" s="1"/>
  <c r="BG22" i="7"/>
  <c r="FF126" i="7" a="1"/>
  <c r="EX126" i="7" a="1"/>
  <c r="FE126" i="7" a="1"/>
  <c r="FA128" i="7" a="1"/>
  <c r="EY128" i="7" a="1"/>
  <c r="BC23" i="7" a="1"/>
  <c r="BB24" i="7" a="1"/>
  <c r="AU65" i="7" a="1"/>
  <c r="AU65" i="7" l="1"/>
  <c r="FE126" i="7"/>
  <c r="EX126" i="7"/>
  <c r="FF126" i="7"/>
  <c r="EY128" i="7"/>
  <c r="FA128" i="7"/>
  <c r="AZ65" i="7"/>
  <c r="AY69" i="7"/>
  <c r="AV69" i="7"/>
  <c r="AX66" i="7"/>
  <c r="AV64" i="7"/>
  <c r="AU70" i="7"/>
  <c r="AV66" i="7"/>
  <c r="AW69" i="7"/>
  <c r="AU69" i="7"/>
  <c r="BB24" i="7"/>
  <c r="BC23" i="7"/>
  <c r="BE67" i="7" s="1" a="1"/>
  <c r="BE67" i="7" s="1"/>
  <c r="AX25" i="7" a="1"/>
  <c r="AX25" i="7" s="1"/>
  <c r="AT29" i="7" a="1"/>
  <c r="EZ128" i="7" a="1"/>
  <c r="EW130" i="7" a="1"/>
  <c r="BB64" i="7" a="1"/>
  <c r="BB65" i="7" a="1"/>
  <c r="BG109" i="7" a="1"/>
  <c r="AV107" i="7" a="1"/>
  <c r="FB127" i="7" a="1"/>
  <c r="EV128" i="7" a="1"/>
  <c r="FD128" i="7" a="1"/>
  <c r="FC128" i="7" a="1"/>
  <c r="FH126" i="7" l="1" a="1"/>
  <c r="FH126" i="7" s="1"/>
  <c r="FG126" i="7" s="1"/>
  <c r="AV107" i="7"/>
  <c r="BG109" i="7"/>
  <c r="AX65" i="7" a="1"/>
  <c r="AX65" i="7" s="1"/>
  <c r="BB107" i="7" a="1"/>
  <c r="BB107" i="7" s="1"/>
  <c r="BB65" i="7"/>
  <c r="EZ128" i="7"/>
  <c r="BB64" i="7"/>
  <c r="FC128" i="7"/>
  <c r="FD128" i="7"/>
  <c r="EV128" i="7"/>
  <c r="BG67" i="7" a="1"/>
  <c r="BG67" i="7" s="1"/>
  <c r="AW70" i="7"/>
  <c r="AY70" i="7"/>
  <c r="AZ66" i="7" a="1"/>
  <c r="AZ66" i="7" s="1"/>
  <c r="AU66" i="7" a="1"/>
  <c r="AU66" i="7" s="1"/>
  <c r="EW130" i="7"/>
  <c r="FB127" i="7"/>
  <c r="BC25" i="7" a="1"/>
  <c r="BC25" i="7" s="1"/>
  <c r="AT29" i="7"/>
  <c r="BD27" i="7"/>
  <c r="BE24" i="7"/>
  <c r="BC27" i="7"/>
  <c r="BB27" i="7"/>
  <c r="BC22" i="7"/>
  <c r="BC24" i="7"/>
  <c r="BF27" i="7"/>
  <c r="BF23" i="7" a="1"/>
  <c r="BF23" i="7" s="1"/>
  <c r="BG25" i="7" a="1"/>
  <c r="BG25" i="7" s="1"/>
  <c r="EW129" i="7" a="1"/>
  <c r="FB131" i="7" a="1"/>
  <c r="EX128" i="7" a="1"/>
  <c r="FA130" i="7" a="1"/>
  <c r="BB106" i="7" a="1"/>
  <c r="FC130" i="7" a="1"/>
  <c r="FE128" i="7" a="1"/>
  <c r="FF128" i="7" a="1"/>
  <c r="AT30" i="7" a="1"/>
  <c r="EV130" i="7" a="1"/>
  <c r="EY130" i="7" a="1"/>
  <c r="EW129" i="7" l="1"/>
  <c r="BB106" i="7"/>
  <c r="EX128" i="7"/>
  <c r="AY107" i="7" a="1"/>
  <c r="AY107" i="7" s="1"/>
  <c r="AV109" i="7" a="1"/>
  <c r="AV109" i="7" s="1"/>
  <c r="AU107" i="7" s="1" a="1"/>
  <c r="AU107" i="7" s="1"/>
  <c r="FF128" i="7"/>
  <c r="FE128" i="7"/>
  <c r="FA130" i="7"/>
  <c r="EV130" i="7"/>
  <c r="FC130" i="7"/>
  <c r="FB131" i="7"/>
  <c r="EY130" i="7"/>
  <c r="BD28" i="7"/>
  <c r="BB28" i="7"/>
  <c r="AT30" i="7"/>
  <c r="BB23" i="7" a="1"/>
  <c r="BB23" i="7" s="1"/>
  <c r="BG24" i="7" a="1"/>
  <c r="BG24" i="7" s="1"/>
  <c r="BF28" i="7" s="1"/>
  <c r="BE23" i="7" a="1"/>
  <c r="BE23" i="7" s="1"/>
  <c r="BG23" i="7"/>
  <c r="AU29" i="7" a="1"/>
  <c r="FD130" i="7" a="1"/>
  <c r="BC65" i="7" a="1"/>
  <c r="FA129" i="7" a="1"/>
  <c r="EX130" i="7" a="1"/>
  <c r="FF130" i="7" a="1"/>
  <c r="EZ130" i="7" a="1"/>
  <c r="EY129" i="7" a="1"/>
  <c r="FE130" i="7" a="1"/>
  <c r="FA129" i="7" l="1"/>
  <c r="EY129" i="7"/>
  <c r="AZ107" i="7"/>
  <c r="AV111" i="7"/>
  <c r="AX108" i="7"/>
  <c r="AU112" i="7"/>
  <c r="AU111" i="7"/>
  <c r="AV108" i="7"/>
  <c r="AV106" i="7"/>
  <c r="AW111" i="7"/>
  <c r="AY111" i="7"/>
  <c r="FH128" i="7" a="1"/>
  <c r="FH128" i="7" s="1"/>
  <c r="FG128" i="7" s="1"/>
  <c r="BC65" i="7"/>
  <c r="BE109" i="7" s="1" a="1"/>
  <c r="BE109" i="7" s="1"/>
  <c r="FD130" i="7"/>
  <c r="EX130" i="7"/>
  <c r="FF130" i="7"/>
  <c r="EZ130" i="7"/>
  <c r="FE130" i="7"/>
  <c r="AU29" i="7"/>
  <c r="EW131" i="7" a="1"/>
  <c r="FB132" i="7" a="1"/>
  <c r="EV129" i="7" a="1"/>
  <c r="FC129" i="7" a="1"/>
  <c r="FD129" i="7" a="1"/>
  <c r="EZ129" i="7" a="1"/>
  <c r="AZ29" i="7" a="1"/>
  <c r="FB132" i="7" l="1"/>
  <c r="EZ129" i="7"/>
  <c r="FD129" i="7"/>
  <c r="FC129" i="7"/>
  <c r="EV129" i="7"/>
  <c r="AW112" i="7"/>
  <c r="AY112" i="7"/>
  <c r="AU108" i="7" a="1"/>
  <c r="AU108" i="7" s="1"/>
  <c r="AZ108" i="7" a="1"/>
  <c r="AZ108" i="7" s="1"/>
  <c r="AX107" i="7" a="1"/>
  <c r="AX107" i="7" s="1"/>
  <c r="EW131" i="7"/>
  <c r="BF65" i="7" a="1"/>
  <c r="BF65" i="7" s="1"/>
  <c r="BC67" i="7" a="1"/>
  <c r="BC67" i="7" s="1"/>
  <c r="FH130" i="7" a="1"/>
  <c r="FH130" i="7" s="1"/>
  <c r="FG130" i="7" s="1"/>
  <c r="AZ29" i="7"/>
  <c r="FE129" i="7" a="1"/>
  <c r="AU31" i="7" a="1"/>
  <c r="EY131" i="7" a="1"/>
  <c r="EX129" i="7" a="1"/>
  <c r="FF129" i="7" a="1"/>
  <c r="FA131" i="7" a="1"/>
  <c r="AV30" i="7" a="1"/>
  <c r="FF129" i="7" l="1"/>
  <c r="FE129" i="7"/>
  <c r="EX129" i="7"/>
  <c r="EY131" i="7"/>
  <c r="FA131" i="7"/>
  <c r="BG65" i="7"/>
  <c r="BC69" i="7"/>
  <c r="BB70" i="7"/>
  <c r="BF69" i="7"/>
  <c r="BE66" i="7"/>
  <c r="BC66" i="7"/>
  <c r="BD69" i="7"/>
  <c r="BB69" i="7"/>
  <c r="BC64" i="7"/>
  <c r="BE65" i="7" s="1" a="1"/>
  <c r="BE65" i="7" s="1"/>
  <c r="AU31" i="7"/>
  <c r="AV30" i="7"/>
  <c r="AX74" i="7" s="1" a="1"/>
  <c r="AX74" i="7" s="1"/>
  <c r="BE25" i="7" a="1"/>
  <c r="BE25" i="7" s="1"/>
  <c r="BA29" i="7" a="1"/>
  <c r="AU71" i="7" a="1"/>
  <c r="BC107" i="7" a="1"/>
  <c r="EV131" i="7" a="1"/>
  <c r="AZ116" i="7" a="1"/>
  <c r="EZ131" i="7" a="1"/>
  <c r="FB130" i="7" a="1"/>
  <c r="EX131" i="7" a="1"/>
  <c r="EW133" i="7" a="1"/>
  <c r="FC131" i="7" a="1"/>
  <c r="FD131" i="7" a="1"/>
  <c r="AU72" i="7" a="1"/>
  <c r="FH129" i="7" l="1" a="1"/>
  <c r="FH129" i="7" s="1"/>
  <c r="FG129" i="7" s="1"/>
  <c r="AZ116" i="7"/>
  <c r="BC107" i="7"/>
  <c r="AU114" i="7" a="1"/>
  <c r="AU114" i="7" s="1"/>
  <c r="EV131" i="7"/>
  <c r="AU71" i="7"/>
  <c r="FD131" i="7"/>
  <c r="AU72" i="7"/>
  <c r="FC131" i="7"/>
  <c r="EX131" i="7"/>
  <c r="EZ131" i="7"/>
  <c r="BF70" i="7"/>
  <c r="BB66" i="7" a="1"/>
  <c r="BB66" i="7" s="1"/>
  <c r="BG66" i="7" a="1"/>
  <c r="BG66" i="7" s="1"/>
  <c r="AZ74" i="7" a="1"/>
  <c r="AZ74" i="7" s="1"/>
  <c r="BD70" i="7"/>
  <c r="EW133" i="7"/>
  <c r="FB130" i="7"/>
  <c r="BA29" i="7"/>
  <c r="AV34" i="7"/>
  <c r="AX31" i="7"/>
  <c r="AY30" i="7" a="1"/>
  <c r="AY30" i="7" s="1"/>
  <c r="AV29" i="7"/>
  <c r="AY34" i="7"/>
  <c r="AV31" i="7"/>
  <c r="AW34" i="7"/>
  <c r="AU34" i="7"/>
  <c r="AZ32" i="7" a="1"/>
  <c r="AZ32" i="7" s="1"/>
  <c r="AV32" i="7" a="1"/>
  <c r="AV32" i="7" s="1"/>
  <c r="FE131" i="7" a="1"/>
  <c r="EY133" i="7" a="1"/>
  <c r="FA133" i="7" a="1"/>
  <c r="FB134" i="7" a="1"/>
  <c r="EV133" i="7" a="1"/>
  <c r="EW132" i="7" a="1"/>
  <c r="FC133" i="7" a="1"/>
  <c r="FF131" i="7" a="1"/>
  <c r="AU113" i="7" a="1"/>
  <c r="BA30" i="7" a="1"/>
  <c r="EW132" i="7" l="1"/>
  <c r="AU113" i="7"/>
  <c r="BC109" i="7" a="1"/>
  <c r="BC109" i="7" s="1"/>
  <c r="BF107" i="7" a="1"/>
  <c r="BF107" i="7" s="1"/>
  <c r="FE131" i="7"/>
  <c r="FF131" i="7"/>
  <c r="FA133" i="7"/>
  <c r="FC133" i="7"/>
  <c r="EV133" i="7"/>
  <c r="FB134" i="7"/>
  <c r="EY133" i="7"/>
  <c r="BA30" i="7"/>
  <c r="AZ30" i="7"/>
  <c r="AX30" i="7" a="1"/>
  <c r="AX30" i="7" s="1"/>
  <c r="AU35" i="7"/>
  <c r="AW35" i="7"/>
  <c r="AU30" i="7" a="1"/>
  <c r="AU30" i="7" s="1"/>
  <c r="AZ31" i="7" a="1"/>
  <c r="AZ31" i="7" s="1"/>
  <c r="AY35" i="7" s="1"/>
  <c r="BB29" i="7" a="1"/>
  <c r="FE133" i="7" a="1"/>
  <c r="FF133" i="7" a="1"/>
  <c r="FA132" i="7" a="1"/>
  <c r="FD133" i="7" a="1"/>
  <c r="EY132" i="7" a="1"/>
  <c r="AV72" i="7" a="1"/>
  <c r="EX133" i="7" a="1"/>
  <c r="EZ133" i="7" a="1"/>
  <c r="EY132" i="7" l="1"/>
  <c r="FA132" i="7"/>
  <c r="BG107" i="7"/>
  <c r="BF111" i="7"/>
  <c r="BE108" i="7"/>
  <c r="BD111" i="7"/>
  <c r="BC108" i="7"/>
  <c r="BC111" i="7"/>
  <c r="BB111" i="7"/>
  <c r="BC106" i="7"/>
  <c r="BB112" i="7"/>
  <c r="FH131" i="7" a="1"/>
  <c r="FH131" i="7" s="1"/>
  <c r="FG131" i="7" s="1"/>
  <c r="AV72" i="7"/>
  <c r="AX116" i="7" s="1" a="1"/>
  <c r="AX116" i="7" s="1"/>
  <c r="FE133" i="7"/>
  <c r="EZ133" i="7"/>
  <c r="EX133" i="7"/>
  <c r="FD133" i="7"/>
  <c r="FF133" i="7"/>
  <c r="BB29" i="7"/>
  <c r="EW134" i="7" a="1"/>
  <c r="FB135" i="7" a="1"/>
  <c r="EV132" i="7" a="1"/>
  <c r="EZ132" i="7" a="1"/>
  <c r="FC132" i="7" a="1"/>
  <c r="FD132" i="7" a="1"/>
  <c r="BG29" i="7" a="1"/>
  <c r="FB135" i="7" l="1"/>
  <c r="FC132" i="7"/>
  <c r="FD132" i="7"/>
  <c r="EZ132" i="7"/>
  <c r="EV132" i="7"/>
  <c r="BD112" i="7"/>
  <c r="BE107" i="7" a="1"/>
  <c r="BE107" i="7" s="1"/>
  <c r="BG108" i="7" a="1"/>
  <c r="BG108" i="7" s="1"/>
  <c r="BF112" i="7"/>
  <c r="BB108" i="7" a="1"/>
  <c r="BB108" i="7" s="1"/>
  <c r="EW134" i="7"/>
  <c r="AV74" i="7" a="1"/>
  <c r="AV74" i="7" s="1"/>
  <c r="AY72" i="7" a="1"/>
  <c r="AY72" i="7" s="1"/>
  <c r="FH133" i="7" a="1"/>
  <c r="FH133" i="7" s="1"/>
  <c r="FG133" i="7" s="1"/>
  <c r="BG29" i="7"/>
  <c r="EY134" i="7" a="1"/>
  <c r="BC30" i="7" a="1"/>
  <c r="EX132" i="7" a="1"/>
  <c r="BB31" i="7" a="1"/>
  <c r="FF132" i="7" a="1"/>
  <c r="FE132" i="7" a="1"/>
  <c r="FA134" i="7" a="1"/>
  <c r="EX132" i="7" l="1"/>
  <c r="FE132" i="7"/>
  <c r="FF132" i="7"/>
  <c r="EY134" i="7"/>
  <c r="FA134" i="7"/>
  <c r="AZ72" i="7"/>
  <c r="AY76" i="7"/>
  <c r="AV76" i="7"/>
  <c r="AX73" i="7"/>
  <c r="AW76" i="7"/>
  <c r="AU76" i="7"/>
  <c r="AV71" i="7"/>
  <c r="AX72" i="7" s="1" a="1"/>
  <c r="AX72" i="7" s="1"/>
  <c r="AU77" i="7"/>
  <c r="AV73" i="7"/>
  <c r="BB31" i="7"/>
  <c r="BC30" i="7"/>
  <c r="BE74" i="7" s="1" a="1"/>
  <c r="BE74" i="7" s="1"/>
  <c r="AX32" i="7" a="1"/>
  <c r="AX32" i="7" s="1"/>
  <c r="AT36" i="7" a="1"/>
  <c r="BB72" i="7" a="1"/>
  <c r="AV114" i="7" a="1"/>
  <c r="EX134" i="7" a="1"/>
  <c r="EV134" i="7" a="1"/>
  <c r="FD134" i="7" a="1"/>
  <c r="BB71" i="7" a="1"/>
  <c r="FC134" i="7" a="1"/>
  <c r="EZ134" i="7" a="1"/>
  <c r="BG116" i="7" a="1"/>
  <c r="EW136" i="7" a="1"/>
  <c r="FB133" i="7" a="1"/>
  <c r="FH132" i="7" l="1" a="1"/>
  <c r="FH132" i="7" s="1"/>
  <c r="FG132" i="7" s="1"/>
  <c r="BG116" i="7"/>
  <c r="AV114" i="7"/>
  <c r="BB114" i="7" a="1"/>
  <c r="BB114" i="7" s="1"/>
  <c r="BB72" i="7"/>
  <c r="EZ134" i="7"/>
  <c r="FC134" i="7"/>
  <c r="FD134" i="7"/>
  <c r="EV134" i="7"/>
  <c r="BB71" i="7"/>
  <c r="BG74" i="7" a="1"/>
  <c r="BG74" i="7" s="1"/>
  <c r="AW77" i="7"/>
  <c r="AU73" i="7" a="1"/>
  <c r="AU73" i="7" s="1"/>
  <c r="AY77" i="7"/>
  <c r="AZ73" i="7" a="1"/>
  <c r="AZ73" i="7" s="1"/>
  <c r="EX134" i="7"/>
  <c r="EW136" i="7"/>
  <c r="FB133" i="7"/>
  <c r="BC32" i="7" a="1"/>
  <c r="BC32" i="7" s="1"/>
  <c r="AT36" i="7"/>
  <c r="BG32" i="7" a="1"/>
  <c r="BG32" i="7" s="1"/>
  <c r="BC29" i="7"/>
  <c r="BF30" i="7" a="1"/>
  <c r="BF30" i="7" s="1"/>
  <c r="BC31" i="7"/>
  <c r="BF34" i="7"/>
  <c r="BD34" i="7"/>
  <c r="BC34" i="7"/>
  <c r="BB34" i="7"/>
  <c r="BE31" i="7"/>
  <c r="FF134" i="7" a="1"/>
  <c r="AT37" i="7" a="1"/>
  <c r="FA136" i="7" a="1"/>
  <c r="FC136" i="7" a="1"/>
  <c r="EW135" i="7" a="1"/>
  <c r="EY136" i="7" a="1"/>
  <c r="EV136" i="7" a="1"/>
  <c r="FE134" i="7" a="1"/>
  <c r="BB113" i="7" a="1"/>
  <c r="FB137" i="7" a="1"/>
  <c r="EW135" i="7" l="1"/>
  <c r="BB113" i="7"/>
  <c r="AV116" i="7" a="1"/>
  <c r="AV116" i="7" s="1"/>
  <c r="AY114" i="7" a="1"/>
  <c r="AY114" i="7" s="1"/>
  <c r="FF134" i="7"/>
  <c r="FE134" i="7"/>
  <c r="FA136" i="7"/>
  <c r="EY136" i="7"/>
  <c r="EV136" i="7"/>
  <c r="FB137" i="7"/>
  <c r="FC136" i="7"/>
  <c r="BD35" i="7"/>
  <c r="BB35" i="7"/>
  <c r="AT37" i="7"/>
  <c r="BE30" i="7" a="1"/>
  <c r="BE30" i="7" s="1"/>
  <c r="BG30" i="7"/>
  <c r="BB30" i="7" a="1"/>
  <c r="BB30" i="7" s="1"/>
  <c r="BG31" i="7" a="1"/>
  <c r="BG31" i="7" s="1"/>
  <c r="BF35" i="7" s="1"/>
  <c r="AU36" i="7" a="1"/>
  <c r="FD136" i="7" a="1"/>
  <c r="EZ136" i="7" a="1"/>
  <c r="EY135" i="7" a="1"/>
  <c r="EX136" i="7" a="1"/>
  <c r="BC72" i="7" a="1"/>
  <c r="FA135" i="7" a="1"/>
  <c r="FF136" i="7" a="1"/>
  <c r="FE136" i="7" a="1"/>
  <c r="FA135" i="7" l="1"/>
  <c r="EY135" i="7"/>
  <c r="AZ114" i="7"/>
  <c r="AV113" i="7"/>
  <c r="AY118" i="7"/>
  <c r="AW118" i="7"/>
  <c r="AV115" i="7"/>
  <c r="AV118" i="7"/>
  <c r="AX115" i="7"/>
  <c r="AU119" i="7"/>
  <c r="AU118" i="7"/>
  <c r="FH134" i="7" a="1"/>
  <c r="FH134" i="7" s="1"/>
  <c r="FG134" i="7" s="1"/>
  <c r="BC72" i="7"/>
  <c r="BE116" i="7" s="1" a="1"/>
  <c r="BE116" i="7" s="1"/>
  <c r="EX136" i="7"/>
  <c r="FF136" i="7"/>
  <c r="EZ136" i="7"/>
  <c r="FD136" i="7"/>
  <c r="FE136" i="7"/>
  <c r="AU36" i="7"/>
  <c r="EW137" i="7" a="1"/>
  <c r="FB138" i="7" a="1"/>
  <c r="EZ135" i="7" a="1"/>
  <c r="FD135" i="7" a="1"/>
  <c r="EV135" i="7" a="1"/>
  <c r="FC135" i="7" a="1"/>
  <c r="AZ36" i="7" a="1"/>
  <c r="FB138" i="7" l="1"/>
  <c r="FC135" i="7"/>
  <c r="EV135" i="7"/>
  <c r="FD135" i="7"/>
  <c r="EZ135" i="7"/>
  <c r="AW119" i="7"/>
  <c r="AX114" i="7" a="1"/>
  <c r="AX114" i="7" s="1"/>
  <c r="AU115" i="7" a="1"/>
  <c r="AU115" i="7" s="1"/>
  <c r="AY119" i="7"/>
  <c r="AZ115" i="7" a="1"/>
  <c r="AZ115" i="7" s="1"/>
  <c r="EW137" i="7"/>
  <c r="BF72" i="7" a="1"/>
  <c r="BF72" i="7" s="1"/>
  <c r="BC74" i="7" a="1"/>
  <c r="BC74" i="7" s="1"/>
  <c r="FH136" i="7" a="1"/>
  <c r="FH136" i="7" s="1"/>
  <c r="FG136" i="7" s="1"/>
  <c r="AZ36" i="7"/>
  <c r="FE135" i="7" a="1"/>
  <c r="EX135" i="7" a="1"/>
  <c r="FF135" i="7" a="1"/>
  <c r="FA137" i="7" a="1"/>
  <c r="EY137" i="7" a="1"/>
  <c r="AV37" i="7" a="1"/>
  <c r="EX135" i="7" l="1"/>
  <c r="FE135" i="7"/>
  <c r="FF135" i="7"/>
  <c r="EY137" i="7"/>
  <c r="FA137" i="7"/>
  <c r="BG72" i="7"/>
  <c r="BB77" i="7"/>
  <c r="BF76" i="7"/>
  <c r="BE73" i="7"/>
  <c r="BC76" i="7"/>
  <c r="BD76" i="7"/>
  <c r="BB76" i="7"/>
  <c r="BC71" i="7"/>
  <c r="BC73" i="7"/>
  <c r="AV37" i="7"/>
  <c r="AX81" i="7" s="1" a="1"/>
  <c r="AX81" i="7" s="1"/>
  <c r="BE32" i="7" a="1"/>
  <c r="BE32" i="7" s="1"/>
  <c r="BA36" i="7" a="1"/>
  <c r="AU38" i="7" a="1"/>
  <c r="AU78" i="7" a="1"/>
  <c r="FC137" i="7" a="1"/>
  <c r="BC114" i="7" a="1"/>
  <c r="EW139" i="7" a="1"/>
  <c r="EV137" i="7" a="1"/>
  <c r="FB136" i="7" a="1"/>
  <c r="EZ137" i="7" a="1"/>
  <c r="FD137" i="7" a="1"/>
  <c r="AU38" i="7" l="1"/>
  <c r="AU121" i="7" s="1" a="1"/>
  <c r="AU121" i="7" s="1"/>
  <c r="FH135" i="7" a="1"/>
  <c r="FH135" i="7" s="1"/>
  <c r="FG135" i="7" s="1"/>
  <c r="BC114" i="7"/>
  <c r="BE72" i="7" a="1"/>
  <c r="BE72" i="7" s="1"/>
  <c r="FC137" i="7"/>
  <c r="AU78" i="7"/>
  <c r="FD137" i="7"/>
  <c r="EZ137" i="7"/>
  <c r="EV137" i="7"/>
  <c r="BD77" i="7"/>
  <c r="BF77" i="7"/>
  <c r="BG73" i="7" a="1"/>
  <c r="BG73" i="7" s="1"/>
  <c r="BB73" i="7" a="1"/>
  <c r="BB73" i="7" s="1"/>
  <c r="EW139" i="7"/>
  <c r="FB136" i="7"/>
  <c r="AV39" i="7" a="1"/>
  <c r="AV39" i="7" s="1"/>
  <c r="BA36" i="7"/>
  <c r="AV41" i="7"/>
  <c r="AU41" i="7"/>
  <c r="AX38" i="7"/>
  <c r="AY41" i="7"/>
  <c r="AW41" i="7"/>
  <c r="AY37" i="7" a="1"/>
  <c r="AY37" i="7" s="1"/>
  <c r="AV38" i="7"/>
  <c r="AV36" i="7"/>
  <c r="AZ39" i="7" a="1"/>
  <c r="AZ39" i="7" s="1"/>
  <c r="AU79" i="7" a="1"/>
  <c r="AZ123" i="7" a="1"/>
  <c r="AU120" i="7" a="1"/>
  <c r="FE137" i="7" a="1"/>
  <c r="FF137" i="7" a="1"/>
  <c r="BA37" i="7" a="1"/>
  <c r="FC139" i="7" a="1"/>
  <c r="FA139" i="7" a="1"/>
  <c r="EW138" i="7" a="1"/>
  <c r="FB140" i="7" a="1"/>
  <c r="EX137" i="7" a="1"/>
  <c r="EY139" i="7" a="1"/>
  <c r="EV139" i="7" a="1"/>
  <c r="AZ81" i="7" l="1" a="1"/>
  <c r="AZ81" i="7" s="1"/>
  <c r="AZ123" i="7"/>
  <c r="AU79" i="7"/>
  <c r="EW138" i="7"/>
  <c r="AU120" i="7"/>
  <c r="EX137" i="7"/>
  <c r="BF114" i="7" a="1"/>
  <c r="BF114" i="7" s="1"/>
  <c r="BC116" i="7" a="1"/>
  <c r="BC116" i="7" s="1"/>
  <c r="FF137" i="7"/>
  <c r="FE137" i="7"/>
  <c r="FA139" i="7"/>
  <c r="FB140" i="7"/>
  <c r="EY139" i="7"/>
  <c r="EV139" i="7"/>
  <c r="FC139" i="7"/>
  <c r="AU42" i="7"/>
  <c r="BA37" i="7"/>
  <c r="AX37" i="7" a="1"/>
  <c r="AX37" i="7" s="1"/>
  <c r="AZ37" i="7"/>
  <c r="AU37" i="7" a="1"/>
  <c r="AU37" i="7" s="1"/>
  <c r="AZ38" i="7" a="1"/>
  <c r="AZ38" i="7" s="1"/>
  <c r="AY42" i="7" s="1"/>
  <c r="AW42" i="7"/>
  <c r="BB36" i="7" a="1"/>
  <c r="FF139" i="7" a="1"/>
  <c r="EX139" i="7" a="1"/>
  <c r="EZ139" i="7" a="1"/>
  <c r="EY138" i="7" a="1"/>
  <c r="FA138" i="7" a="1"/>
  <c r="AV79" i="7" a="1"/>
  <c r="FD139" i="7" a="1"/>
  <c r="FE139" i="7" a="1"/>
  <c r="FA138" i="7" l="1"/>
  <c r="EY138" i="7"/>
  <c r="BF118" i="7"/>
  <c r="BE115" i="7"/>
  <c r="BD118" i="7"/>
  <c r="BC115" i="7"/>
  <c r="BC118" i="7"/>
  <c r="BB118" i="7"/>
  <c r="BB119" i="7"/>
  <c r="BC113" i="7"/>
  <c r="BG114" i="7"/>
  <c r="FH137" i="7" a="1"/>
  <c r="FH137" i="7" s="1"/>
  <c r="FG137" i="7" s="1"/>
  <c r="AV79" i="7"/>
  <c r="AX123" i="7" s="1" a="1"/>
  <c r="AX123" i="7" s="1"/>
  <c r="EZ139" i="7"/>
  <c r="FF139" i="7"/>
  <c r="EX139" i="7"/>
  <c r="FE139" i="7"/>
  <c r="FD139" i="7"/>
  <c r="BB36" i="7"/>
  <c r="EV138" i="7" a="1"/>
  <c r="FC138" i="7" a="1"/>
  <c r="EW140" i="7" a="1"/>
  <c r="BG36" i="7" a="1"/>
  <c r="FB141" i="7" a="1"/>
  <c r="FD138" i="7" a="1"/>
  <c r="EZ138" i="7" a="1"/>
  <c r="FB141" i="7" l="1"/>
  <c r="FC138" i="7"/>
  <c r="EV138" i="7"/>
  <c r="EZ138" i="7"/>
  <c r="FD138" i="7"/>
  <c r="BD119" i="7"/>
  <c r="BE114" i="7" a="1"/>
  <c r="BE114" i="7" s="1"/>
  <c r="BF119" i="7"/>
  <c r="BB115" i="7" a="1"/>
  <c r="BB115" i="7" s="1"/>
  <c r="BG115" i="7" a="1"/>
  <c r="BG115" i="7" s="1"/>
  <c r="EW140" i="7"/>
  <c r="AY79" i="7" a="1"/>
  <c r="AY79" i="7" s="1"/>
  <c r="AV81" i="7" a="1"/>
  <c r="AV81" i="7" s="1"/>
  <c r="FH139" i="7" a="1"/>
  <c r="FH139" i="7" s="1"/>
  <c r="FG139" i="7" s="1"/>
  <c r="BG36" i="7"/>
  <c r="FF138" i="7" a="1"/>
  <c r="EY140" i="7" a="1"/>
  <c r="FA140" i="7" a="1"/>
  <c r="BC37" i="7" a="1"/>
  <c r="FE138" i="7" a="1"/>
  <c r="EX138" i="7" a="1"/>
  <c r="BB38" i="7" a="1"/>
  <c r="FF138" i="7" l="1"/>
  <c r="EX138" i="7"/>
  <c r="FE138" i="7"/>
  <c r="FA140" i="7"/>
  <c r="EY140" i="7"/>
  <c r="AV83" i="7"/>
  <c r="AX80" i="7"/>
  <c r="AY83" i="7"/>
  <c r="AU83" i="7"/>
  <c r="AV78" i="7"/>
  <c r="AU84" i="7"/>
  <c r="AV80" i="7"/>
  <c r="AW83" i="7"/>
  <c r="AZ79" i="7"/>
  <c r="BB38" i="7"/>
  <c r="BC37" i="7"/>
  <c r="BE81" i="7" s="1" a="1"/>
  <c r="BE81" i="7" s="1"/>
  <c r="AX39" i="7" a="1"/>
  <c r="AX39" i="7" s="1"/>
  <c r="BI1" i="7" a="1"/>
  <c r="EZ140" i="7" a="1"/>
  <c r="BG123" i="7" a="1"/>
  <c r="EW142" i="7" a="1"/>
  <c r="FD140" i="7" a="1"/>
  <c r="FB139" i="7" a="1"/>
  <c r="FC140" i="7" a="1"/>
  <c r="BB79" i="7" a="1"/>
  <c r="BB78" i="7" a="1"/>
  <c r="EV140" i="7" a="1"/>
  <c r="AV121" i="7" a="1"/>
  <c r="FH138" i="7" l="1" a="1"/>
  <c r="FH138" i="7" s="1"/>
  <c r="FG138" i="7" s="1"/>
  <c r="AV121" i="7"/>
  <c r="BG123" i="7"/>
  <c r="AX79" i="7" a="1"/>
  <c r="AX79" i="7" s="1"/>
  <c r="BB121" i="7" a="1"/>
  <c r="BB121" i="7" s="1"/>
  <c r="EZ140" i="7"/>
  <c r="EV140" i="7"/>
  <c r="BB78" i="7"/>
  <c r="BB79" i="7"/>
  <c r="FC140" i="7"/>
  <c r="FD140" i="7"/>
  <c r="AY84" i="7"/>
  <c r="AZ80" i="7" a="1"/>
  <c r="AZ80" i="7" s="1"/>
  <c r="AU80" i="7" a="1"/>
  <c r="AU80" i="7" s="1"/>
  <c r="BG81" i="7" a="1"/>
  <c r="BG81" i="7" s="1"/>
  <c r="AW84" i="7"/>
  <c r="EW142" i="7"/>
  <c r="FB139" i="7"/>
  <c r="BC39" i="7" a="1"/>
  <c r="BC39" i="7" s="1"/>
  <c r="BI1" i="7"/>
  <c r="BG39" i="7" a="1"/>
  <c r="BG39" i="7" s="1"/>
  <c r="BB41" i="7"/>
  <c r="BF37" i="7" a="1"/>
  <c r="BF37" i="7" s="1"/>
  <c r="BE38" i="7"/>
  <c r="BC38" i="7"/>
  <c r="BC36" i="7"/>
  <c r="BC41" i="7"/>
  <c r="BD41" i="7"/>
  <c r="BF41" i="7"/>
  <c r="FF140" i="7" a="1"/>
  <c r="FC142" i="7" a="1"/>
  <c r="EW141" i="7" a="1"/>
  <c r="FA142" i="7" a="1"/>
  <c r="FE140" i="7" a="1"/>
  <c r="BI2" i="7" a="1"/>
  <c r="FB143" i="7" a="1"/>
  <c r="EX140" i="7" a="1"/>
  <c r="EV142" i="7" a="1"/>
  <c r="BB120" i="7" a="1"/>
  <c r="EY142" i="7" a="1"/>
  <c r="EW141" i="7" l="1"/>
  <c r="BB120" i="7"/>
  <c r="EX140" i="7"/>
  <c r="AV123" i="7" a="1"/>
  <c r="AV123" i="7" s="1"/>
  <c r="AY121" i="7" a="1"/>
  <c r="AY121" i="7" s="1"/>
  <c r="FE140" i="7"/>
  <c r="FF140" i="7"/>
  <c r="EY142" i="7"/>
  <c r="FA142" i="7"/>
  <c r="FB143" i="7"/>
  <c r="FC142" i="7"/>
  <c r="EV142" i="7"/>
  <c r="BD42" i="7"/>
  <c r="BB42" i="7"/>
  <c r="BI2" i="7"/>
  <c r="BG37" i="7"/>
  <c r="BE37" i="7" a="1"/>
  <c r="BE37" i="7" s="1"/>
  <c r="BB37" i="7" a="1"/>
  <c r="BB37" i="7" s="1"/>
  <c r="BG38" i="7" a="1"/>
  <c r="BG38" i="7" s="1"/>
  <c r="BF42" i="7" s="1"/>
  <c r="BJ1" i="7" a="1"/>
  <c r="FF142" i="7" a="1"/>
  <c r="FA141" i="7" a="1"/>
  <c r="BC79" i="7" a="1"/>
  <c r="EZ142" i="7" a="1"/>
  <c r="EX142" i="7" a="1"/>
  <c r="FE142" i="7" a="1"/>
  <c r="FD142" i="7" a="1"/>
  <c r="EY141" i="7" a="1"/>
  <c r="EY141" i="7" l="1"/>
  <c r="FA141" i="7"/>
  <c r="AZ121" i="7"/>
  <c r="AY125" i="7"/>
  <c r="AW125" i="7"/>
  <c r="AV125" i="7"/>
  <c r="AX122" i="7"/>
  <c r="AU126" i="7"/>
  <c r="AU125" i="7"/>
  <c r="AV122" i="7"/>
  <c r="AV120" i="7"/>
  <c r="FH140" i="7" a="1"/>
  <c r="FH140" i="7" s="1"/>
  <c r="FG140" i="7" s="1"/>
  <c r="BC79" i="7"/>
  <c r="BE123" i="7" s="1" a="1"/>
  <c r="BE123" i="7" s="1"/>
  <c r="FF142" i="7"/>
  <c r="EX142" i="7"/>
  <c r="EZ142" i="7"/>
  <c r="FD142" i="7"/>
  <c r="FE142" i="7"/>
  <c r="BJ1" i="7"/>
  <c r="EW143" i="7" a="1"/>
  <c r="EZ141" i="7" a="1"/>
  <c r="FC141" i="7" a="1"/>
  <c r="FD141" i="7" a="1"/>
  <c r="FB144" i="7" a="1"/>
  <c r="EV141" i="7" a="1"/>
  <c r="BO1" i="7" a="1"/>
  <c r="FB144" i="7" l="1"/>
  <c r="FD141" i="7"/>
  <c r="FC141" i="7"/>
  <c r="EV141" i="7"/>
  <c r="EZ141" i="7"/>
  <c r="AW126" i="7"/>
  <c r="AX121" i="7" a="1"/>
  <c r="AX121" i="7" s="1"/>
  <c r="AY126" i="7"/>
  <c r="AZ122" i="7" a="1"/>
  <c r="AZ122" i="7" s="1"/>
  <c r="AU122" i="7" a="1"/>
  <c r="AU122" i="7" s="1"/>
  <c r="EW143" i="7"/>
  <c r="BF79" i="7" a="1"/>
  <c r="BF79" i="7" s="1"/>
  <c r="BC81" i="7" a="1"/>
  <c r="BC81" i="7" s="1"/>
  <c r="FH142" i="7" a="1"/>
  <c r="FH142" i="7" s="1"/>
  <c r="FG142" i="7" s="1"/>
  <c r="BO1" i="7"/>
  <c r="FE141" i="7" a="1"/>
  <c r="EX141" i="7" a="1"/>
  <c r="FA143" i="7" a="1"/>
  <c r="EY143" i="7" a="1"/>
  <c r="BK2" i="7" a="1"/>
  <c r="FF141" i="7" a="1"/>
  <c r="BP1" i="7" a="1"/>
  <c r="EX141" i="7" l="1"/>
  <c r="FE141" i="7"/>
  <c r="FF141" i="7"/>
  <c r="EY143" i="7"/>
  <c r="FA143" i="7"/>
  <c r="BG79" i="7"/>
  <c r="BF83" i="7"/>
  <c r="BE80" i="7"/>
  <c r="BC83" i="7"/>
  <c r="BD84" i="7" s="1"/>
  <c r="BB84" i="7"/>
  <c r="BC78" i="7"/>
  <c r="BC80" i="7"/>
  <c r="BD83" i="7"/>
  <c r="BB83" i="7"/>
  <c r="BK2" i="7"/>
  <c r="BP1" i="7"/>
  <c r="BE39" i="7" a="1"/>
  <c r="BE39" i="7" s="1"/>
  <c r="BJ3" i="7" a="1"/>
  <c r="EZ143" i="7" a="1"/>
  <c r="FC143" i="7" a="1"/>
  <c r="FD143" i="7" a="1"/>
  <c r="BP2" i="7" a="1"/>
  <c r="FB142" i="7" a="1"/>
  <c r="FE143" i="7" a="1"/>
  <c r="BJ43" i="7" a="1"/>
  <c r="EV143" i="7" a="1"/>
  <c r="BC121" i="7" a="1"/>
  <c r="BJ3" i="7" l="1"/>
  <c r="BO4" i="7" s="1" a="1"/>
  <c r="BO4" i="7" s="1"/>
  <c r="FH141" i="7" a="1"/>
  <c r="FH141" i="7" s="1"/>
  <c r="FG141" i="7" s="1"/>
  <c r="BC121" i="7"/>
  <c r="BE79" i="7" a="1"/>
  <c r="BE79" i="7" s="1"/>
  <c r="BJ43" i="7"/>
  <c r="EW145" i="7"/>
  <c r="BM46" i="7" a="1"/>
  <c r="BM46" i="7" s="1"/>
  <c r="FD143" i="7"/>
  <c r="FC143" i="7"/>
  <c r="EZ143" i="7"/>
  <c r="EV143" i="7"/>
  <c r="BF84" i="7"/>
  <c r="BG80" i="7" a="1"/>
  <c r="BG80" i="7" s="1"/>
  <c r="BB80" i="7" a="1"/>
  <c r="BB80" i="7" s="1"/>
  <c r="FE143" i="7"/>
  <c r="FB142" i="7"/>
  <c r="BK4" i="7" a="1"/>
  <c r="BK4" i="7" s="1"/>
  <c r="FA145" i="7" s="1"/>
  <c r="BP2" i="7"/>
  <c r="BN2" i="7" a="1"/>
  <c r="BN2" i="7" s="1"/>
  <c r="EY145" i="7" s="1"/>
  <c r="BM3" i="7"/>
  <c r="BK1" i="7"/>
  <c r="EV145" i="7" s="1"/>
  <c r="BK3" i="7"/>
  <c r="BN6" i="7"/>
  <c r="BL6" i="7"/>
  <c r="BK6" i="7"/>
  <c r="FC145" i="7" s="1"/>
  <c r="BJ6" i="7"/>
  <c r="BQ1" i="7" a="1"/>
  <c r="BJ44" i="7" a="1"/>
  <c r="BO88" i="7" a="1"/>
  <c r="BJ85" i="7" a="1"/>
  <c r="EX143" i="7" a="1"/>
  <c r="FF143" i="7" a="1"/>
  <c r="FB146" i="7" a="1"/>
  <c r="EW144" i="7" a="1"/>
  <c r="BO46" i="7" l="1" a="1"/>
  <c r="BO46" i="7" s="1"/>
  <c r="BJ86" i="7" a="1"/>
  <c r="BJ86" i="7" s="1"/>
  <c r="BO88" i="7"/>
  <c r="BJ44" i="7"/>
  <c r="EW144" i="7"/>
  <c r="BJ85" i="7"/>
  <c r="EX143" i="7"/>
  <c r="BF121" i="7" a="1"/>
  <c r="BF121" i="7" s="1"/>
  <c r="BC123" i="7" a="1"/>
  <c r="BC123" i="7" s="1"/>
  <c r="FF143" i="7"/>
  <c r="FB146" i="7"/>
  <c r="BJ7" i="7"/>
  <c r="FD145" i="7" s="1"/>
  <c r="BJ2" i="7" a="1"/>
  <c r="BJ2" i="7" s="1"/>
  <c r="BQ1" i="7"/>
  <c r="BL7" i="7"/>
  <c r="FE145" i="7" s="1"/>
  <c r="BO3" i="7" a="1"/>
  <c r="BO3" i="7" s="1"/>
  <c r="BN7" i="7" s="1"/>
  <c r="FF145" i="7" s="1"/>
  <c r="BO2" i="7"/>
  <c r="EZ145" i="7" s="1"/>
  <c r="BM2" i="7" a="1"/>
  <c r="BM2" i="7" s="1"/>
  <c r="EX145" i="7" s="1"/>
  <c r="EY144" i="7" a="1"/>
  <c r="BK44" i="7" a="1"/>
  <c r="FA144" i="7" a="1"/>
  <c r="BV1" i="7" a="1"/>
  <c r="FA144" i="7" l="1"/>
  <c r="EY144" i="7"/>
  <c r="FH143" i="7" a="1"/>
  <c r="FH143" i="7" s="1"/>
  <c r="FG143" i="7" s="1"/>
  <c r="BG121" i="7"/>
  <c r="BC125" i="7"/>
  <c r="BB125" i="7"/>
  <c r="BB126" i="7"/>
  <c r="BC120" i="7"/>
  <c r="BC122" i="7"/>
  <c r="BF125" i="7"/>
  <c r="BE122" i="7"/>
  <c r="BD125" i="7"/>
  <c r="BK44" i="7"/>
  <c r="FH145" i="7" a="1"/>
  <c r="FH145" i="7" s="1"/>
  <c r="FG145" i="7" s="1"/>
  <c r="BV1" i="7"/>
  <c r="EZ144" i="7" a="1"/>
  <c r="EV144" i="7" a="1"/>
  <c r="EW146" i="7" a="1"/>
  <c r="FD144" i="7" a="1"/>
  <c r="FC144" i="7" a="1"/>
  <c r="BR2" i="7" a="1"/>
  <c r="BQ3" i="7" a="1"/>
  <c r="BM88" i="7" l="1" a="1"/>
  <c r="BM88" i="7" s="1"/>
  <c r="EV144" i="7"/>
  <c r="FD144" i="7"/>
  <c r="EZ144" i="7"/>
  <c r="FC144" i="7"/>
  <c r="BE121" i="7" a="1"/>
  <c r="BE121" i="7" s="1"/>
  <c r="BD126" i="7"/>
  <c r="BF126" i="7"/>
  <c r="BB122" i="7" a="1"/>
  <c r="BB122" i="7" s="1"/>
  <c r="BG122" i="7" a="1"/>
  <c r="BG122" i="7" s="1"/>
  <c r="EW146" i="7"/>
  <c r="BK46" i="7" a="1"/>
  <c r="BK46" i="7" s="1"/>
  <c r="BN44" i="7" a="1"/>
  <c r="BN44" i="7" s="1"/>
  <c r="BQ3" i="7"/>
  <c r="BR2" i="7"/>
  <c r="BM4" i="7" a="1"/>
  <c r="BM4" i="7" s="1"/>
  <c r="FB145" i="7" s="1"/>
  <c r="BI8" i="7" a="1"/>
  <c r="FB147" i="7" a="1"/>
  <c r="EY146" i="7" a="1"/>
  <c r="BQ43" i="7" a="1"/>
  <c r="EX144" i="7" a="1"/>
  <c r="BV88" i="7" a="1"/>
  <c r="FE144" i="7" a="1"/>
  <c r="FF144" i="7" a="1"/>
  <c r="FA146" i="7" a="1"/>
  <c r="BQ44" i="7" a="1"/>
  <c r="FB147" i="7" l="1"/>
  <c r="FF144" i="7"/>
  <c r="FE144" i="7"/>
  <c r="EX144" i="7"/>
  <c r="BV88" i="7"/>
  <c r="BQ86" i="7" a="1"/>
  <c r="BQ86" i="7" s="1"/>
  <c r="EY146" i="7"/>
  <c r="BQ44" i="7"/>
  <c r="FA146" i="7"/>
  <c r="BQ43" i="7"/>
  <c r="EW148" i="7"/>
  <c r="BT46" i="7" a="1"/>
  <c r="BT46" i="7" s="1"/>
  <c r="BO44" i="7"/>
  <c r="BV46" i="7" a="1"/>
  <c r="BV46" i="7" s="1"/>
  <c r="BK48" i="7"/>
  <c r="BM45" i="7"/>
  <c r="BJ49" i="7"/>
  <c r="BJ48" i="7"/>
  <c r="BK45" i="7"/>
  <c r="BK43" i="7"/>
  <c r="BL48" i="7"/>
  <c r="BN48" i="7"/>
  <c r="BR4" i="7" a="1"/>
  <c r="BR4" i="7" s="1"/>
  <c r="FA148" i="7" s="1"/>
  <c r="BI8" i="7"/>
  <c r="BV4" i="7" a="1"/>
  <c r="BV4" i="7" s="1"/>
  <c r="BS6" i="7"/>
  <c r="BR6" i="7"/>
  <c r="FC148" i="7" s="1"/>
  <c r="BQ6" i="7"/>
  <c r="BR1" i="7"/>
  <c r="EV148" i="7" s="1"/>
  <c r="BT3" i="7"/>
  <c r="BU2" i="7" a="1"/>
  <c r="BU2" i="7" s="1"/>
  <c r="EY148" i="7" s="1"/>
  <c r="BU6" i="7"/>
  <c r="BR3" i="7"/>
  <c r="FB149" i="7" a="1"/>
  <c r="FD146" i="7" a="1"/>
  <c r="BK86" i="7" a="1"/>
  <c r="EZ146" i="7" a="1"/>
  <c r="EV146" i="7" a="1"/>
  <c r="BQ85" i="7" a="1"/>
  <c r="FC146" i="7" a="1"/>
  <c r="BI9" i="7" a="1"/>
  <c r="FH144" i="7" l="1" a="1"/>
  <c r="FH144" i="7" s="1"/>
  <c r="FG144" i="7" s="1"/>
  <c r="BQ85" i="7"/>
  <c r="BK86" i="7"/>
  <c r="BM44" i="7" a="1"/>
  <c r="BM44" i="7" s="1"/>
  <c r="FC146" i="7"/>
  <c r="FD146" i="7"/>
  <c r="EV146" i="7"/>
  <c r="EZ146" i="7"/>
  <c r="BJ45" i="7" a="1"/>
  <c r="BJ45" i="7" s="1"/>
  <c r="BO45" i="7" a="1"/>
  <c r="BO45" i="7" s="1"/>
  <c r="BN49" i="7"/>
  <c r="BL49" i="7"/>
  <c r="BQ2" i="7" a="1"/>
  <c r="BQ2" i="7" s="1"/>
  <c r="BQ7" i="7"/>
  <c r="FD148" i="7" s="1"/>
  <c r="FB149" i="7"/>
  <c r="BS7" i="7"/>
  <c r="FE148" i="7" s="1"/>
  <c r="BI9" i="7"/>
  <c r="BV2" i="7"/>
  <c r="EZ148" i="7" s="1"/>
  <c r="BT2" i="7" a="1"/>
  <c r="BT2" i="7" s="1"/>
  <c r="EX148" i="7" s="1"/>
  <c r="BV3" i="7" a="1"/>
  <c r="BV3" i="7" s="1"/>
  <c r="BU7" i="7" s="1"/>
  <c r="FF148" i="7" s="1"/>
  <c r="BJ8" i="7" a="1"/>
  <c r="BR44" i="7" a="1"/>
  <c r="EW147" i="7" a="1"/>
  <c r="EX146" i="7" a="1"/>
  <c r="FF146" i="7" a="1"/>
  <c r="FE146" i="7" a="1"/>
  <c r="FH148" i="7" l="1" a="1"/>
  <c r="FH148" i="7" s="1"/>
  <c r="FG148" i="7" s="1"/>
  <c r="EW147" i="7"/>
  <c r="EX146" i="7"/>
  <c r="BK88" i="7" a="1"/>
  <c r="BK88" i="7" s="1"/>
  <c r="BN86" i="7" a="1"/>
  <c r="BN86" i="7" s="1"/>
  <c r="BR44" i="7"/>
  <c r="FE146" i="7"/>
  <c r="FF146" i="7"/>
  <c r="BJ8" i="7"/>
  <c r="FA147" i="7" a="1"/>
  <c r="EY147" i="7" a="1"/>
  <c r="EW149" i="7" a="1"/>
  <c r="BO8" i="7" a="1"/>
  <c r="BT88" i="7" l="1" a="1"/>
  <c r="BT88" i="7" s="1"/>
  <c r="EY147" i="7"/>
  <c r="FA147" i="7"/>
  <c r="BO86" i="7"/>
  <c r="BK85" i="7"/>
  <c r="BK87" i="7"/>
  <c r="BJ90" i="7"/>
  <c r="BN90" i="7"/>
  <c r="BL90" i="7"/>
  <c r="BK90" i="7"/>
  <c r="BM87" i="7"/>
  <c r="BJ91" i="7"/>
  <c r="FH146" i="7" a="1"/>
  <c r="FH146" i="7" s="1"/>
  <c r="FG146" i="7" s="1"/>
  <c r="EW149" i="7"/>
  <c r="BR46" i="7" a="1"/>
  <c r="BR46" i="7" s="1"/>
  <c r="BU44" i="7" a="1"/>
  <c r="BU44" i="7" s="1"/>
  <c r="BO8" i="7"/>
  <c r="BK9" i="7" a="1"/>
  <c r="FB150" i="7" a="1"/>
  <c r="BJ10" i="7" a="1"/>
  <c r="EV147" i="7" a="1"/>
  <c r="FC147" i="7" a="1"/>
  <c r="EZ147" i="7" a="1"/>
  <c r="FA149" i="7" a="1"/>
  <c r="FD147" i="7" a="1"/>
  <c r="EY149" i="7" a="1"/>
  <c r="FB150" i="7" l="1"/>
  <c r="FD147" i="7"/>
  <c r="EV147" i="7"/>
  <c r="EZ147" i="7"/>
  <c r="FC147" i="7"/>
  <c r="BM86" i="7" a="1"/>
  <c r="BM86" i="7" s="1"/>
  <c r="BL91" i="7"/>
  <c r="BJ87" i="7" a="1"/>
  <c r="BJ87" i="7" s="1"/>
  <c r="BN91" i="7"/>
  <c r="BO87" i="7" a="1"/>
  <c r="BO87" i="7" s="1"/>
  <c r="FA149" i="7"/>
  <c r="EY149" i="7"/>
  <c r="BR43" i="7"/>
  <c r="BU48" i="7"/>
  <c r="BT45" i="7"/>
  <c r="BS48" i="7"/>
  <c r="BR45" i="7"/>
  <c r="BR48" i="7"/>
  <c r="BQ48" i="7"/>
  <c r="BQ49" i="7"/>
  <c r="BT44" i="7" a="1"/>
  <c r="BT44" i="7" s="1"/>
  <c r="BV44" i="7"/>
  <c r="BK9" i="7"/>
  <c r="BM53" i="7" s="1" a="1"/>
  <c r="BM53" i="7" s="1"/>
  <c r="BJ10" i="7"/>
  <c r="BT4" i="7" a="1"/>
  <c r="BT4" i="7" s="1"/>
  <c r="FB148" i="7" s="1"/>
  <c r="BP8" i="7" a="1"/>
  <c r="FD149" i="7" a="1"/>
  <c r="BR86" i="7" a="1"/>
  <c r="EW151" i="7" a="1"/>
  <c r="EX149" i="7" a="1"/>
  <c r="EV149" i="7" a="1"/>
  <c r="FF147" i="7" a="1"/>
  <c r="EZ149" i="7" a="1"/>
  <c r="FE147" i="7" a="1"/>
  <c r="FC149" i="7" a="1"/>
  <c r="BO95" i="7" a="1"/>
  <c r="EX147" i="7" a="1"/>
  <c r="BJ51" i="7" a="1"/>
  <c r="BJ50" i="7" a="1"/>
  <c r="FE147" i="7" l="1"/>
  <c r="EX147" i="7"/>
  <c r="FF147" i="7"/>
  <c r="BR86" i="7"/>
  <c r="BO95" i="7"/>
  <c r="BJ93" i="7" a="1"/>
  <c r="BJ93" i="7" s="1"/>
  <c r="FC149" i="7"/>
  <c r="BJ51" i="7"/>
  <c r="EZ149" i="7"/>
  <c r="FD149" i="7"/>
  <c r="EV149" i="7"/>
  <c r="BJ50" i="7"/>
  <c r="BO53" i="7" a="1"/>
  <c r="BO53" i="7" s="1"/>
  <c r="BU49" i="7"/>
  <c r="BV45" i="7" a="1"/>
  <c r="BV45" i="7" s="1"/>
  <c r="BQ45" i="7" a="1"/>
  <c r="BQ45" i="7" s="1"/>
  <c r="BS49" i="7"/>
  <c r="EX149" i="7"/>
  <c r="EW151" i="7"/>
  <c r="BK11" i="7" a="1"/>
  <c r="BK11" i="7" s="1"/>
  <c r="BP8" i="7"/>
  <c r="BO11" i="7" a="1"/>
  <c r="BO11" i="7" s="1"/>
  <c r="BK13" i="7"/>
  <c r="BK10" i="7"/>
  <c r="BN9" i="7" a="1"/>
  <c r="BN9" i="7" s="1"/>
  <c r="BL13" i="7"/>
  <c r="BJ13" i="7"/>
  <c r="BK8" i="7"/>
  <c r="BM10" i="7"/>
  <c r="BN13" i="7"/>
  <c r="FE149" i="7" a="1"/>
  <c r="FF149" i="7" a="1"/>
  <c r="FC151" i="7" a="1"/>
  <c r="EV151" i="7" a="1"/>
  <c r="BJ92" i="7" a="1"/>
  <c r="EY151" i="7" a="1"/>
  <c r="FB152" i="7" a="1"/>
  <c r="EW150" i="7" a="1"/>
  <c r="FA151" i="7" a="1"/>
  <c r="BP9" i="7" a="1"/>
  <c r="EW150" i="7" l="1"/>
  <c r="FH147" i="7" a="1"/>
  <c r="FH147" i="7" s="1"/>
  <c r="FG147" i="7" s="1"/>
  <c r="BJ92" i="7"/>
  <c r="BU86" i="7" a="1"/>
  <c r="BU86" i="7" s="1"/>
  <c r="BR88" i="7" a="1"/>
  <c r="BR88" i="7" s="1"/>
  <c r="FF149" i="7"/>
  <c r="FE149" i="7"/>
  <c r="EY151" i="7"/>
  <c r="FA151" i="7"/>
  <c r="FB152" i="7"/>
  <c r="FC151" i="7"/>
  <c r="EV151" i="7"/>
  <c r="BJ14" i="7"/>
  <c r="BL14" i="7"/>
  <c r="BP9" i="7"/>
  <c r="BM9" i="7" a="1"/>
  <c r="BM9" i="7" s="1"/>
  <c r="BO9" i="7"/>
  <c r="BO10" i="7" a="1"/>
  <c r="BO10" i="7" s="1"/>
  <c r="BN14" i="7" s="1"/>
  <c r="BJ9" i="7" a="1"/>
  <c r="BJ9" i="7" s="1"/>
  <c r="BQ8" i="7" a="1"/>
  <c r="EX151" i="7" a="1"/>
  <c r="FF151" i="7" a="1"/>
  <c r="FA150" i="7" a="1"/>
  <c r="FE151" i="7" a="1"/>
  <c r="BK51" i="7" a="1"/>
  <c r="FD151" i="7" a="1"/>
  <c r="EZ151" i="7" a="1"/>
  <c r="EY150" i="7" a="1"/>
  <c r="EY150" i="7" l="1"/>
  <c r="FA150" i="7"/>
  <c r="BU90" i="7"/>
  <c r="BT87" i="7"/>
  <c r="BS90" i="7"/>
  <c r="BR87" i="7"/>
  <c r="BR90" i="7"/>
  <c r="BQ90" i="7"/>
  <c r="BQ91" i="7"/>
  <c r="BR85" i="7"/>
  <c r="BV86" i="7"/>
  <c r="FH149" i="7" a="1"/>
  <c r="FH149" i="7" s="1"/>
  <c r="FG149" i="7" s="1"/>
  <c r="BK51" i="7"/>
  <c r="BM95" i="7" s="1" a="1"/>
  <c r="BM95" i="7" s="1"/>
  <c r="FF151" i="7"/>
  <c r="EZ151" i="7"/>
  <c r="EX151" i="7"/>
  <c r="FD151" i="7"/>
  <c r="FE151" i="7"/>
  <c r="BQ8" i="7"/>
  <c r="EW152" i="7" a="1"/>
  <c r="FB153" i="7" a="1"/>
  <c r="EZ150" i="7" a="1"/>
  <c r="EV150" i="7" a="1"/>
  <c r="FC150" i="7" a="1"/>
  <c r="FD150" i="7" a="1"/>
  <c r="BV8" i="7" a="1"/>
  <c r="FB153" i="7" l="1"/>
  <c r="FC150" i="7"/>
  <c r="EV150" i="7"/>
  <c r="EZ150" i="7"/>
  <c r="FD150" i="7"/>
  <c r="BS91" i="7"/>
  <c r="BT86" i="7" a="1"/>
  <c r="BT86" i="7" s="1"/>
  <c r="BU91" i="7"/>
  <c r="BQ87" i="7" a="1"/>
  <c r="BQ87" i="7" s="1"/>
  <c r="BV87" i="7" a="1"/>
  <c r="BV87" i="7" s="1"/>
  <c r="EW152" i="7"/>
  <c r="BK53" i="7" a="1"/>
  <c r="BK53" i="7" s="1"/>
  <c r="BN51" i="7" a="1"/>
  <c r="BN51" i="7" s="1"/>
  <c r="FH151" i="7" a="1"/>
  <c r="FH151" i="7" s="1"/>
  <c r="FG151" i="7" s="1"/>
  <c r="BV8" i="7"/>
  <c r="FF150" i="7" a="1"/>
  <c r="EX150" i="7" a="1"/>
  <c r="FA152" i="7" a="1"/>
  <c r="EY152" i="7" a="1"/>
  <c r="FE150" i="7" a="1"/>
  <c r="BR9" i="7" a="1"/>
  <c r="BQ10" i="7" a="1"/>
  <c r="EX150" i="7" l="1"/>
  <c r="FF150" i="7"/>
  <c r="FE150" i="7"/>
  <c r="EY152" i="7"/>
  <c r="FA152" i="7"/>
  <c r="BO51" i="7"/>
  <c r="BK55" i="7"/>
  <c r="BM52" i="7"/>
  <c r="BN55" i="7"/>
  <c r="BL55" i="7"/>
  <c r="BJ55" i="7"/>
  <c r="BK50" i="7"/>
  <c r="BM51" i="7" s="1" a="1"/>
  <c r="BM51" i="7" s="1"/>
  <c r="BJ56" i="7"/>
  <c r="BK52" i="7"/>
  <c r="BR9" i="7"/>
  <c r="BT53" i="7" s="1" a="1"/>
  <c r="BT53" i="7" s="1"/>
  <c r="BQ10" i="7"/>
  <c r="BM11" i="7" a="1"/>
  <c r="BM11" i="7" s="1"/>
  <c r="BI15" i="7" a="1"/>
  <c r="EV152" i="7" a="1"/>
  <c r="FB151" i="7" a="1"/>
  <c r="BV95" i="7" a="1"/>
  <c r="EW154" i="7" a="1"/>
  <c r="EZ152" i="7" a="1"/>
  <c r="EX152" i="7" a="1"/>
  <c r="FD152" i="7" a="1"/>
  <c r="FC152" i="7" a="1"/>
  <c r="BQ50" i="7" a="1"/>
  <c r="BQ51" i="7" a="1"/>
  <c r="BK93" i="7" a="1"/>
  <c r="FH150" i="7" l="1" a="1"/>
  <c r="FH150" i="7" s="1"/>
  <c r="FG150" i="7" s="1"/>
  <c r="BV95" i="7"/>
  <c r="BK93" i="7"/>
  <c r="BQ93" i="7" a="1"/>
  <c r="BQ93" i="7" s="1"/>
  <c r="BQ51" i="7"/>
  <c r="FC152" i="7"/>
  <c r="BQ50" i="7"/>
  <c r="FD152" i="7"/>
  <c r="EV152" i="7"/>
  <c r="EZ152" i="7"/>
  <c r="BV53" i="7" a="1"/>
  <c r="BV53" i="7" s="1"/>
  <c r="BL56" i="7"/>
  <c r="BJ52" i="7" a="1"/>
  <c r="BJ52" i="7" s="1"/>
  <c r="BN56" i="7"/>
  <c r="BO52" i="7" a="1"/>
  <c r="BO52" i="7" s="1"/>
  <c r="EW154" i="7"/>
  <c r="FB151" i="7"/>
  <c r="EX152" i="7"/>
  <c r="BR11" i="7" a="1"/>
  <c r="BR11" i="7" s="1"/>
  <c r="BI15" i="7"/>
  <c r="BV11" i="7" a="1"/>
  <c r="BV11" i="7" s="1"/>
  <c r="BQ13" i="7"/>
  <c r="BR10" i="7"/>
  <c r="BS13" i="7"/>
  <c r="BR13" i="7"/>
  <c r="BT10" i="7"/>
  <c r="BR8" i="7"/>
  <c r="BU13" i="7"/>
  <c r="BU9" i="7" a="1"/>
  <c r="BU9" i="7" s="1"/>
  <c r="FF152" i="7" a="1"/>
  <c r="BI16" i="7" a="1"/>
  <c r="FB155" i="7" a="1"/>
  <c r="FC154" i="7" a="1"/>
  <c r="EV154" i="7" a="1"/>
  <c r="FA154" i="7" a="1"/>
  <c r="EW153" i="7" a="1"/>
  <c r="BQ92" i="7" a="1"/>
  <c r="EY154" i="7" a="1"/>
  <c r="FE152" i="7" a="1"/>
  <c r="EW153" i="7" l="1"/>
  <c r="BQ92" i="7"/>
  <c r="BK95" i="7" a="1"/>
  <c r="BK95" i="7" s="1"/>
  <c r="BN93" i="7" a="1"/>
  <c r="BN93" i="7" s="1"/>
  <c r="FF152" i="7"/>
  <c r="FE152" i="7"/>
  <c r="FC154" i="7"/>
  <c r="FB155" i="7"/>
  <c r="FA154" i="7"/>
  <c r="EY154" i="7"/>
  <c r="EV154" i="7"/>
  <c r="BQ14" i="7"/>
  <c r="BS14" i="7"/>
  <c r="BI16" i="7"/>
  <c r="BQ9" i="7" a="1"/>
  <c r="BQ9" i="7" s="1"/>
  <c r="BV10" i="7" a="1"/>
  <c r="BV10" i="7" s="1"/>
  <c r="BU14" i="7" s="1"/>
  <c r="BV9" i="7"/>
  <c r="BT9" i="7" a="1"/>
  <c r="BT9" i="7" s="1"/>
  <c r="BJ15" i="7" a="1"/>
  <c r="EZ154" i="7" a="1"/>
  <c r="FA153" i="7" a="1"/>
  <c r="FE154" i="7" a="1"/>
  <c r="FF154" i="7" a="1"/>
  <c r="EX154" i="7" a="1"/>
  <c r="EY153" i="7" a="1"/>
  <c r="FD154" i="7" a="1"/>
  <c r="BR51" i="7" a="1"/>
  <c r="FA153" i="7" l="1"/>
  <c r="EY153" i="7"/>
  <c r="BO93" i="7"/>
  <c r="BN97" i="7"/>
  <c r="BL97" i="7"/>
  <c r="BK92" i="7"/>
  <c r="BK97" i="7"/>
  <c r="BM94" i="7"/>
  <c r="BJ98" i="7"/>
  <c r="BJ97" i="7"/>
  <c r="BK94" i="7"/>
  <c r="FH152" i="7" a="1"/>
  <c r="FH152" i="7" s="1"/>
  <c r="FG152" i="7" s="1"/>
  <c r="BR51" i="7"/>
  <c r="BT95" i="7" s="1" a="1"/>
  <c r="BT95" i="7" s="1"/>
  <c r="EZ154" i="7"/>
  <c r="FF154" i="7"/>
  <c r="FE154" i="7"/>
  <c r="EX154" i="7"/>
  <c r="FD154" i="7"/>
  <c r="BJ15" i="7"/>
  <c r="EV153" i="7" a="1"/>
  <c r="FC153" i="7" a="1"/>
  <c r="EZ153" i="7" a="1"/>
  <c r="EW155" i="7" a="1"/>
  <c r="BO15" i="7" a="1"/>
  <c r="FB156" i="7" a="1"/>
  <c r="FD153" i="7" a="1"/>
  <c r="FB156" i="7" l="1"/>
  <c r="EZ153" i="7"/>
  <c r="FC153" i="7"/>
  <c r="EV153" i="7"/>
  <c r="FD153" i="7"/>
  <c r="BL98" i="7"/>
  <c r="BM93" i="7" a="1"/>
  <c r="BM93" i="7" s="1"/>
  <c r="BN98" i="7"/>
  <c r="BO94" i="7" a="1"/>
  <c r="BO94" i="7" s="1"/>
  <c r="BJ94" i="7" a="1"/>
  <c r="BJ94" i="7" s="1"/>
  <c r="EW155" i="7"/>
  <c r="BU51" i="7" a="1"/>
  <c r="BU51" i="7" s="1"/>
  <c r="BR53" i="7" a="1"/>
  <c r="BR53" i="7" s="1"/>
  <c r="FH154" i="7" a="1"/>
  <c r="FH154" i="7" s="1"/>
  <c r="FG154" i="7" s="1"/>
  <c r="BO15" i="7"/>
  <c r="EX153" i="7" a="1"/>
  <c r="FF153" i="7" a="1"/>
  <c r="FA155" i="7" a="1"/>
  <c r="BK16" i="7" a="1"/>
  <c r="EY155" i="7" a="1"/>
  <c r="FE153" i="7" a="1"/>
  <c r="BJ17" i="7" a="1"/>
  <c r="FF153" i="7" l="1"/>
  <c r="EX153" i="7"/>
  <c r="FE153" i="7"/>
  <c r="FA155" i="7"/>
  <c r="EY155" i="7"/>
  <c r="BU55" i="7"/>
  <c r="BT52" i="7"/>
  <c r="BR55" i="7"/>
  <c r="BQ56" i="7"/>
  <c r="BQ55" i="7"/>
  <c r="BR52" i="7"/>
  <c r="BS55" i="7"/>
  <c r="BR50" i="7"/>
  <c r="BT51" i="7" a="1"/>
  <c r="BT51" i="7" s="1"/>
  <c r="BV51" i="7"/>
  <c r="BK16" i="7"/>
  <c r="BM60" i="7" s="1" a="1"/>
  <c r="BM60" i="7" s="1"/>
  <c r="BJ17" i="7"/>
  <c r="BT11" i="7" a="1"/>
  <c r="BT11" i="7" s="1"/>
  <c r="BP15" i="7" a="1"/>
  <c r="FD155" i="7" a="1"/>
  <c r="BR93" i="7" a="1"/>
  <c r="EX155" i="7" a="1"/>
  <c r="FC155" i="7" a="1"/>
  <c r="EW157" i="7" a="1"/>
  <c r="BJ57" i="7" a="1"/>
  <c r="BO102" i="7" a="1"/>
  <c r="EZ155" i="7" a="1"/>
  <c r="FB154" i="7" a="1"/>
  <c r="EV155" i="7" a="1"/>
  <c r="BJ58" i="7" a="1"/>
  <c r="FH153" i="7" l="1" a="1"/>
  <c r="FH153" i="7" s="1"/>
  <c r="FG153" i="7" s="1"/>
  <c r="BO102" i="7"/>
  <c r="BR93" i="7"/>
  <c r="BJ100" i="7" a="1"/>
  <c r="BJ100" i="7" s="1"/>
  <c r="BJ57" i="7"/>
  <c r="FD155" i="7"/>
  <c r="BJ58" i="7"/>
  <c r="EV155" i="7"/>
  <c r="EZ155" i="7"/>
  <c r="FC155" i="7"/>
  <c r="BO60" i="7" a="1"/>
  <c r="BO60" i="7" s="1"/>
  <c r="BU56" i="7"/>
  <c r="BV52" i="7" a="1"/>
  <c r="BV52" i="7" s="1"/>
  <c r="BQ52" i="7" a="1"/>
  <c r="BQ52" i="7" s="1"/>
  <c r="BS56" i="7"/>
  <c r="EW157" i="7"/>
  <c r="EX155" i="7"/>
  <c r="FB154" i="7"/>
  <c r="BK18" i="7" a="1"/>
  <c r="BK18" i="7" s="1"/>
  <c r="BP15" i="7"/>
  <c r="BO18" i="7" a="1"/>
  <c r="BO18" i="7" s="1"/>
  <c r="BK20" i="7"/>
  <c r="BJ20" i="7"/>
  <c r="BK15" i="7"/>
  <c r="BN20" i="7"/>
  <c r="BK17" i="7"/>
  <c r="BN16" i="7" a="1"/>
  <c r="BN16" i="7" s="1"/>
  <c r="BL20" i="7"/>
  <c r="BM17" i="7"/>
  <c r="FE155" i="7" a="1"/>
  <c r="BP16" i="7" a="1"/>
  <c r="FB158" i="7" a="1"/>
  <c r="EW156" i="7" a="1"/>
  <c r="FA157" i="7" a="1"/>
  <c r="FC157" i="7" a="1"/>
  <c r="FF155" i="7" a="1"/>
  <c r="EY157" i="7" a="1"/>
  <c r="BJ99" i="7" a="1"/>
  <c r="EV157" i="7" a="1"/>
  <c r="EW156" i="7" l="1"/>
  <c r="BJ99" i="7"/>
  <c r="BU93" i="7" a="1"/>
  <c r="BU93" i="7" s="1"/>
  <c r="BR95" i="7" a="1"/>
  <c r="BR95" i="7" s="1"/>
  <c r="FE155" i="7"/>
  <c r="FF155" i="7"/>
  <c r="EV157" i="7"/>
  <c r="FC157" i="7"/>
  <c r="FA157" i="7"/>
  <c r="FB158" i="7"/>
  <c r="EY157" i="7"/>
  <c r="BJ21" i="7"/>
  <c r="BP16" i="7"/>
  <c r="BJ16" i="7" a="1"/>
  <c r="BJ16" i="7" s="1"/>
  <c r="BO17" i="7" a="1"/>
  <c r="BO17" i="7" s="1"/>
  <c r="BN21" i="7" s="1"/>
  <c r="BO16" i="7"/>
  <c r="BM16" i="7" a="1"/>
  <c r="BM16" i="7" s="1"/>
  <c r="BL21" i="7"/>
  <c r="BQ15" i="7" a="1"/>
  <c r="FD157" i="7" a="1"/>
  <c r="FA156" i="7" a="1"/>
  <c r="FF157" i="7" a="1"/>
  <c r="BK58" i="7" a="1"/>
  <c r="EZ157" i="7" a="1"/>
  <c r="EX157" i="7" a="1"/>
  <c r="EY156" i="7" a="1"/>
  <c r="FE157" i="7" a="1"/>
  <c r="EY156" i="7" l="1"/>
  <c r="FA156" i="7"/>
  <c r="BR97" i="7"/>
  <c r="BQ97" i="7"/>
  <c r="BU97" i="7"/>
  <c r="BT94" i="7"/>
  <c r="BS97" i="7"/>
  <c r="BQ98" i="7"/>
  <c r="BR92" i="7"/>
  <c r="BR94" i="7"/>
  <c r="BV93" i="7"/>
  <c r="FH155" i="7" a="1"/>
  <c r="FH155" i="7" s="1"/>
  <c r="FG155" i="7" s="1"/>
  <c r="BK58" i="7"/>
  <c r="BM102" i="7" s="1" a="1"/>
  <c r="BM102" i="7" s="1"/>
  <c r="EX157" i="7"/>
  <c r="EZ157" i="7"/>
  <c r="FF157" i="7"/>
  <c r="FE157" i="7"/>
  <c r="FD157" i="7"/>
  <c r="BQ15" i="7"/>
  <c r="EW158" i="7" a="1"/>
  <c r="FC156" i="7" a="1"/>
  <c r="FD156" i="7" a="1"/>
  <c r="FB159" i="7" a="1"/>
  <c r="EV156" i="7" a="1"/>
  <c r="EZ156" i="7" a="1"/>
  <c r="BV15" i="7" a="1"/>
  <c r="FB159" i="7" l="1"/>
  <c r="FD156" i="7"/>
  <c r="FC156" i="7"/>
  <c r="EZ156" i="7"/>
  <c r="EV156" i="7"/>
  <c r="BS98" i="7"/>
  <c r="BT93" i="7" a="1"/>
  <c r="BT93" i="7" s="1"/>
  <c r="BU98" i="7"/>
  <c r="BQ94" i="7" a="1"/>
  <c r="BQ94" i="7" s="1"/>
  <c r="BV94" i="7" a="1"/>
  <c r="BV94" i="7" s="1"/>
  <c r="EW158" i="7"/>
  <c r="BN58" i="7" a="1"/>
  <c r="BN58" i="7" s="1"/>
  <c r="BK60" i="7" a="1"/>
  <c r="BK60" i="7" s="1"/>
  <c r="FH157" i="7" a="1"/>
  <c r="FH157" i="7" s="1"/>
  <c r="FG157" i="7" s="1"/>
  <c r="BV15" i="7"/>
  <c r="EX156" i="7" a="1"/>
  <c r="FF156" i="7" a="1"/>
  <c r="EY158" i="7" a="1"/>
  <c r="FA158" i="7" a="1"/>
  <c r="BR16" i="7" a="1"/>
  <c r="BQ17" i="7" a="1"/>
  <c r="FE156" i="7" a="1"/>
  <c r="FF156" i="7" l="1"/>
  <c r="EX156" i="7"/>
  <c r="FE156" i="7"/>
  <c r="FA158" i="7"/>
  <c r="EY158" i="7"/>
  <c r="BN62" i="7"/>
  <c r="BK62" i="7"/>
  <c r="BM59" i="7"/>
  <c r="BJ62" i="7"/>
  <c r="BK57" i="7"/>
  <c r="BM58" i="7" s="1" a="1"/>
  <c r="BM58" i="7" s="1"/>
  <c r="BJ63" i="7"/>
  <c r="BK59" i="7"/>
  <c r="BL62" i="7"/>
  <c r="BO58" i="7"/>
  <c r="BR16" i="7"/>
  <c r="BT60" i="7" s="1" a="1"/>
  <c r="BT60" i="7" s="1"/>
  <c r="BQ17" i="7"/>
  <c r="BM18" i="7" a="1"/>
  <c r="BM18" i="7" s="1"/>
  <c r="BI22" i="7" a="1"/>
  <c r="BQ58" i="7" a="1"/>
  <c r="FC158" i="7" a="1"/>
  <c r="BK100" i="7" a="1"/>
  <c r="EX158" i="7" a="1"/>
  <c r="BV102" i="7" a="1"/>
  <c r="FD158" i="7" a="1"/>
  <c r="FB157" i="7" a="1"/>
  <c r="BQ57" i="7" a="1"/>
  <c r="EZ158" i="7" a="1"/>
  <c r="EV158" i="7" a="1"/>
  <c r="EW160" i="7" a="1"/>
  <c r="FH156" i="7" l="1" a="1"/>
  <c r="FH156" i="7" s="1"/>
  <c r="FG156" i="7" s="1"/>
  <c r="BV102" i="7"/>
  <c r="BK100" i="7"/>
  <c r="BQ100" i="7" a="1"/>
  <c r="BQ100" i="7" s="1"/>
  <c r="EX158" i="7"/>
  <c r="FC158" i="7"/>
  <c r="BQ58" i="7"/>
  <c r="EZ158" i="7"/>
  <c r="BQ57" i="7"/>
  <c r="FD158" i="7"/>
  <c r="EV158" i="7"/>
  <c r="BV60" i="7" a="1"/>
  <c r="BV60" i="7" s="1"/>
  <c r="BL63" i="7"/>
  <c r="BN63" i="7"/>
  <c r="BO59" i="7" a="1"/>
  <c r="BO59" i="7" s="1"/>
  <c r="BJ59" i="7" a="1"/>
  <c r="BJ59" i="7" s="1"/>
  <c r="EW160" i="7"/>
  <c r="FB157" i="7"/>
  <c r="BR18" i="7" a="1"/>
  <c r="BR18" i="7" s="1"/>
  <c r="BI22" i="7"/>
  <c r="BV18" i="7" a="1"/>
  <c r="BV18" i="7" s="1"/>
  <c r="BU16" i="7" a="1"/>
  <c r="BU16" i="7" s="1"/>
  <c r="BU20" i="7"/>
  <c r="BS20" i="7"/>
  <c r="BT17" i="7"/>
  <c r="BR20" i="7"/>
  <c r="BR15" i="7"/>
  <c r="BQ20" i="7"/>
  <c r="BR17" i="7"/>
  <c r="FF158" i="7" a="1"/>
  <c r="FC160" i="7" a="1"/>
  <c r="EY160" i="7" a="1"/>
  <c r="FA160" i="7" a="1"/>
  <c r="EW159" i="7" a="1"/>
  <c r="EV160" i="7" a="1"/>
  <c r="FB161" i="7" a="1"/>
  <c r="BQ99" i="7" a="1"/>
  <c r="BI23" i="7" a="1"/>
  <c r="FE158" i="7" a="1"/>
  <c r="EW159" i="7" l="1"/>
  <c r="BQ99" i="7"/>
  <c r="BK102" i="7" a="1"/>
  <c r="BK102" i="7" s="1"/>
  <c r="BN100" i="7" a="1"/>
  <c r="BN100" i="7" s="1"/>
  <c r="FF158" i="7"/>
  <c r="FE158" i="7"/>
  <c r="FB161" i="7"/>
  <c r="FA160" i="7"/>
  <c r="EY160" i="7"/>
  <c r="FC160" i="7"/>
  <c r="EV160" i="7"/>
  <c r="BS21" i="7"/>
  <c r="BQ21" i="7"/>
  <c r="BI23" i="7"/>
  <c r="BT16" i="7" a="1"/>
  <c r="BT16" i="7" s="1"/>
  <c r="BV16" i="7"/>
  <c r="BQ16" i="7" a="1"/>
  <c r="BQ16" i="7" s="1"/>
  <c r="BV17" i="7" a="1"/>
  <c r="BV17" i="7" s="1"/>
  <c r="BU21" i="7" s="1"/>
  <c r="BJ22" i="7" a="1"/>
  <c r="FE160" i="7" a="1"/>
  <c r="EZ160" i="7" a="1"/>
  <c r="EY159" i="7" a="1"/>
  <c r="FF160" i="7" a="1"/>
  <c r="FA159" i="7" a="1"/>
  <c r="BR58" i="7" a="1"/>
  <c r="FD160" i="7" a="1"/>
  <c r="EX160" i="7" a="1"/>
  <c r="FA159" i="7" l="1"/>
  <c r="EY159" i="7"/>
  <c r="BO100" i="7"/>
  <c r="BN104" i="7"/>
  <c r="BL104" i="7"/>
  <c r="BK104" i="7"/>
  <c r="BM101" i="7"/>
  <c r="BJ105" i="7"/>
  <c r="BJ104" i="7"/>
  <c r="BK101" i="7"/>
  <c r="BK99" i="7"/>
  <c r="FH158" i="7" a="1"/>
  <c r="FH158" i="7" s="1"/>
  <c r="FG158" i="7" s="1"/>
  <c r="BR58" i="7"/>
  <c r="BT102" i="7" s="1" a="1"/>
  <c r="BT102" i="7" s="1"/>
  <c r="EX160" i="7"/>
  <c r="FD160" i="7"/>
  <c r="FE160" i="7"/>
  <c r="EZ160" i="7"/>
  <c r="FF160" i="7"/>
  <c r="BJ22" i="7"/>
  <c r="FC159" i="7" a="1"/>
  <c r="EV159" i="7" a="1"/>
  <c r="EW161" i="7" a="1"/>
  <c r="BO22" i="7" a="1"/>
  <c r="EZ159" i="7" a="1"/>
  <c r="FB162" i="7" a="1"/>
  <c r="FD159" i="7" a="1"/>
  <c r="EV159" i="7" l="1"/>
  <c r="FC159" i="7"/>
  <c r="FD159" i="7"/>
  <c r="FB162" i="7"/>
  <c r="EZ159" i="7"/>
  <c r="BM100" i="7" a="1"/>
  <c r="BM100" i="7" s="1"/>
  <c r="BL105" i="7"/>
  <c r="BN105" i="7"/>
  <c r="BO101" i="7" a="1"/>
  <c r="BO101" i="7" s="1"/>
  <c r="BJ101" i="7" a="1"/>
  <c r="BJ101" i="7" s="1"/>
  <c r="EW161" i="7"/>
  <c r="BU58" i="7" a="1"/>
  <c r="BU58" i="7" s="1"/>
  <c r="BR60" i="7" a="1"/>
  <c r="BR60" i="7" s="1"/>
  <c r="FH160" i="7" a="1"/>
  <c r="FH160" i="7" s="1"/>
  <c r="FG160" i="7" s="1"/>
  <c r="BO22" i="7"/>
  <c r="EX159" i="7" a="1"/>
  <c r="FE159" i="7" a="1"/>
  <c r="EY161" i="7" a="1"/>
  <c r="FA161" i="7" a="1"/>
  <c r="BK23" i="7" a="1"/>
  <c r="BJ24" i="7" a="1"/>
  <c r="FF159" i="7" a="1"/>
  <c r="FE159" i="7" l="1"/>
  <c r="EX159" i="7"/>
  <c r="FF159" i="7"/>
  <c r="FA161" i="7"/>
  <c r="EY161" i="7"/>
  <c r="BU62" i="7"/>
  <c r="BT59" i="7"/>
  <c r="BR62" i="7"/>
  <c r="BS63" i="7" s="1"/>
  <c r="BQ63" i="7"/>
  <c r="BR59" i="7"/>
  <c r="BR57" i="7"/>
  <c r="BS62" i="7"/>
  <c r="BQ62" i="7"/>
  <c r="BV58" i="7"/>
  <c r="BJ24" i="7"/>
  <c r="BK23" i="7"/>
  <c r="BM67" i="7" s="1" a="1"/>
  <c r="BM67" i="7" s="1"/>
  <c r="BT18" i="7" a="1"/>
  <c r="BT18" i="7" s="1"/>
  <c r="BP22" i="7" a="1"/>
  <c r="BO109" i="7" a="1"/>
  <c r="BR100" i="7" a="1"/>
  <c r="FB160" i="7" a="1"/>
  <c r="EV161" i="7" a="1"/>
  <c r="EW163" i="7" a="1"/>
  <c r="EZ161" i="7" a="1"/>
  <c r="FE161" i="7" a="1"/>
  <c r="BJ65" i="7" a="1"/>
  <c r="FC161" i="7" a="1"/>
  <c r="FD161" i="7" a="1"/>
  <c r="BJ64" i="7" a="1"/>
  <c r="FH159" i="7" l="1" a="1"/>
  <c r="FH159" i="7" s="1"/>
  <c r="FG159" i="7" s="1"/>
  <c r="BR100" i="7"/>
  <c r="BO109" i="7"/>
  <c r="BT58" i="7" a="1"/>
  <c r="BT58" i="7" s="1"/>
  <c r="BJ107" i="7" a="1"/>
  <c r="BJ107" i="7" s="1"/>
  <c r="BJ64" i="7"/>
  <c r="FD161" i="7"/>
  <c r="FC161" i="7"/>
  <c r="BJ65" i="7"/>
  <c r="EZ161" i="7"/>
  <c r="EV161" i="7"/>
  <c r="BO67" i="7" a="1"/>
  <c r="BO67" i="7" s="1"/>
  <c r="BU63" i="7"/>
  <c r="BQ59" i="7" a="1"/>
  <c r="BQ59" i="7" s="1"/>
  <c r="BV59" i="7" a="1"/>
  <c r="BV59" i="7" s="1"/>
  <c r="FE161" i="7"/>
  <c r="EW163" i="7"/>
  <c r="FB160" i="7"/>
  <c r="BK25" i="7" a="1"/>
  <c r="BK25" i="7" s="1"/>
  <c r="BP22" i="7"/>
  <c r="BO25" i="7" a="1"/>
  <c r="BO25" i="7" s="1"/>
  <c r="BK24" i="7"/>
  <c r="BN23" i="7" a="1"/>
  <c r="BN23" i="7" s="1"/>
  <c r="BK22" i="7"/>
  <c r="BK27" i="7"/>
  <c r="BM24" i="7"/>
  <c r="BL27" i="7"/>
  <c r="BN27" i="7"/>
  <c r="BJ27" i="7"/>
  <c r="FF161" i="7" a="1"/>
  <c r="BP23" i="7" a="1"/>
  <c r="FB164" i="7" a="1"/>
  <c r="EW162" i="7" a="1"/>
  <c r="FA163" i="7" a="1"/>
  <c r="FC163" i="7" a="1"/>
  <c r="EX161" i="7" a="1"/>
  <c r="EY163" i="7" a="1"/>
  <c r="BJ106" i="7" a="1"/>
  <c r="EV163" i="7" a="1"/>
  <c r="EW162" i="7" l="1"/>
  <c r="BJ106" i="7"/>
  <c r="EX161" i="7"/>
  <c r="BU100" i="7" a="1"/>
  <c r="BU100" i="7" s="1"/>
  <c r="BR102" i="7" a="1"/>
  <c r="BR102" i="7" s="1"/>
  <c r="FF161" i="7"/>
  <c r="FA163" i="7"/>
  <c r="FC163" i="7"/>
  <c r="FB164" i="7"/>
  <c r="EV163" i="7"/>
  <c r="EY163" i="7"/>
  <c r="BJ28" i="7"/>
  <c r="BP23" i="7"/>
  <c r="BM23" i="7" a="1"/>
  <c r="BM23" i="7" s="1"/>
  <c r="BO23" i="7"/>
  <c r="BO24" i="7" a="1"/>
  <c r="BO24" i="7" s="1"/>
  <c r="BN28" i="7" s="1"/>
  <c r="BJ23" i="7" a="1"/>
  <c r="BJ23" i="7" s="1"/>
  <c r="BL28" i="7"/>
  <c r="BQ22" i="7" a="1"/>
  <c r="FD163" i="7" a="1"/>
  <c r="FE163" i="7" a="1"/>
  <c r="EY162" i="7" a="1"/>
  <c r="EX163" i="7" a="1"/>
  <c r="BK65" i="7" a="1"/>
  <c r="FA162" i="7" a="1"/>
  <c r="EZ163" i="7" a="1"/>
  <c r="FF163" i="7" a="1"/>
  <c r="FA162" i="7" l="1"/>
  <c r="EY162" i="7"/>
  <c r="FH161" i="7" a="1"/>
  <c r="FH161" i="7" s="1"/>
  <c r="FG161" i="7" s="1"/>
  <c r="BV100" i="7"/>
  <c r="BQ105" i="7"/>
  <c r="BR99" i="7"/>
  <c r="BU104" i="7"/>
  <c r="BT101" i="7"/>
  <c r="BR104" i="7"/>
  <c r="BQ104" i="7"/>
  <c r="BS104" i="7"/>
  <c r="BR101" i="7"/>
  <c r="BK65" i="7"/>
  <c r="BM109" i="7" s="1" a="1"/>
  <c r="BM109" i="7" s="1"/>
  <c r="FF163" i="7"/>
  <c r="EZ163" i="7"/>
  <c r="EX163" i="7"/>
  <c r="FE163" i="7"/>
  <c r="FD163" i="7"/>
  <c r="BQ22" i="7"/>
  <c r="EW164" i="7" a="1"/>
  <c r="FB165" i="7" a="1"/>
  <c r="EZ162" i="7" a="1"/>
  <c r="FC162" i="7" a="1"/>
  <c r="FD162" i="7" a="1"/>
  <c r="EV162" i="7" a="1"/>
  <c r="BV22" i="7" a="1"/>
  <c r="FB165" i="7" l="1"/>
  <c r="EV162" i="7"/>
  <c r="FD162" i="7"/>
  <c r="EZ162" i="7"/>
  <c r="FC162" i="7"/>
  <c r="BT100" i="7" a="1"/>
  <c r="BT100" i="7" s="1"/>
  <c r="BS105" i="7"/>
  <c r="BU105" i="7"/>
  <c r="BV101" i="7" a="1"/>
  <c r="BV101" i="7" s="1"/>
  <c r="BQ101" i="7" a="1"/>
  <c r="BQ101" i="7" s="1"/>
  <c r="EW164" i="7"/>
  <c r="BK67" i="7" a="1"/>
  <c r="BK67" i="7" s="1"/>
  <c r="BN65" i="7" a="1"/>
  <c r="BN65" i="7" s="1"/>
  <c r="FH163" i="7" a="1"/>
  <c r="FH163" i="7" s="1"/>
  <c r="FG163" i="7" s="1"/>
  <c r="BV22" i="7"/>
  <c r="EX162" i="7" a="1"/>
  <c r="FE162" i="7" a="1"/>
  <c r="FA164" i="7" a="1"/>
  <c r="BR23" i="7" a="1"/>
  <c r="EY164" i="7" a="1"/>
  <c r="FF162" i="7" a="1"/>
  <c r="BQ24" i="7" a="1"/>
  <c r="FE162" i="7" l="1"/>
  <c r="EX162" i="7"/>
  <c r="FF162" i="7"/>
  <c r="FA164" i="7"/>
  <c r="EY164" i="7"/>
  <c r="BN69" i="7"/>
  <c r="BK69" i="7"/>
  <c r="BM66" i="7"/>
  <c r="BJ70" i="7"/>
  <c r="BK66" i="7"/>
  <c r="BL69" i="7"/>
  <c r="BJ69" i="7"/>
  <c r="BK64" i="7"/>
  <c r="BM65" i="7" s="1" a="1"/>
  <c r="BM65" i="7" s="1"/>
  <c r="BO65" i="7"/>
  <c r="BQ24" i="7"/>
  <c r="BR23" i="7"/>
  <c r="BT67" i="7" s="1" a="1"/>
  <c r="BT67" i="7" s="1"/>
  <c r="BM25" i="7" a="1"/>
  <c r="BM25" i="7" s="1"/>
  <c r="BI29" i="7" a="1"/>
  <c r="EX164" i="7" a="1"/>
  <c r="BK107" i="7" a="1"/>
  <c r="BV109" i="7" a="1"/>
  <c r="FC164" i="7" a="1"/>
  <c r="EV164" i="7" a="1"/>
  <c r="BQ64" i="7" a="1"/>
  <c r="FD164" i="7" a="1"/>
  <c r="EZ164" i="7" a="1"/>
  <c r="BQ65" i="7" a="1"/>
  <c r="FB163" i="7" a="1"/>
  <c r="EW166" i="7" a="1"/>
  <c r="FH162" i="7" l="1" a="1"/>
  <c r="FH162" i="7" s="1"/>
  <c r="FG162" i="7" s="1"/>
  <c r="BV109" i="7"/>
  <c r="BK107" i="7"/>
  <c r="BQ107" i="7" a="1"/>
  <c r="BQ107" i="7" s="1"/>
  <c r="BQ65" i="7"/>
  <c r="EZ164" i="7"/>
  <c r="FD164" i="7"/>
  <c r="BQ64" i="7"/>
  <c r="FC164" i="7"/>
  <c r="EV164" i="7"/>
  <c r="BV67" i="7" a="1"/>
  <c r="BV67" i="7" s="1"/>
  <c r="BL70" i="7"/>
  <c r="BJ66" i="7" a="1"/>
  <c r="BJ66" i="7" s="1"/>
  <c r="BN70" i="7"/>
  <c r="BO66" i="7" a="1"/>
  <c r="BO66" i="7" s="1"/>
  <c r="EW166" i="7"/>
  <c r="EX164" i="7"/>
  <c r="FB163" i="7"/>
  <c r="BR25" i="7" a="1"/>
  <c r="BR25" i="7" s="1"/>
  <c r="BI29" i="7"/>
  <c r="BV25" i="7" a="1"/>
  <c r="BV25" i="7" s="1"/>
  <c r="BU27" i="7"/>
  <c r="BS27" i="7"/>
  <c r="BQ27" i="7"/>
  <c r="BR27" i="7"/>
  <c r="BU23" i="7" a="1"/>
  <c r="BU23" i="7" s="1"/>
  <c r="BR22" i="7"/>
  <c r="BT24" i="7"/>
  <c r="BR24" i="7"/>
  <c r="FF164" i="7" a="1"/>
  <c r="EV166" i="7" a="1"/>
  <c r="FB167" i="7" a="1"/>
  <c r="FA166" i="7" a="1"/>
  <c r="BI30" i="7" a="1"/>
  <c r="EY166" i="7" a="1"/>
  <c r="FE164" i="7" a="1"/>
  <c r="EW165" i="7" a="1"/>
  <c r="FC166" i="7" a="1"/>
  <c r="BQ106" i="7" a="1"/>
  <c r="EW165" i="7" l="1"/>
  <c r="BQ106" i="7"/>
  <c r="BK109" i="7" a="1"/>
  <c r="BK109" i="7" s="1"/>
  <c r="BN107" i="7" a="1"/>
  <c r="BN107" i="7" s="1"/>
  <c r="FF164" i="7"/>
  <c r="FE164" i="7"/>
  <c r="EY166" i="7"/>
  <c r="FA166" i="7"/>
  <c r="FC166" i="7"/>
  <c r="FB167" i="7"/>
  <c r="EV166" i="7"/>
  <c r="BQ28" i="7"/>
  <c r="BI30" i="7"/>
  <c r="BV24" i="7" a="1"/>
  <c r="BV24" i="7" s="1"/>
  <c r="BU28" i="7" s="1"/>
  <c r="BQ23" i="7" a="1"/>
  <c r="BQ23" i="7" s="1"/>
  <c r="BT23" i="7" a="1"/>
  <c r="BT23" i="7" s="1"/>
  <c r="BV23" i="7"/>
  <c r="BS28" i="7"/>
  <c r="BJ29" i="7" a="1"/>
  <c r="EX166" i="7" a="1"/>
  <c r="FD166" i="7" a="1"/>
  <c r="FA165" i="7" a="1"/>
  <c r="EY165" i="7" a="1"/>
  <c r="FE166" i="7" a="1"/>
  <c r="FF166" i="7" a="1"/>
  <c r="EZ166" i="7" a="1"/>
  <c r="BR65" i="7" a="1"/>
  <c r="FA165" i="7" l="1"/>
  <c r="EY165" i="7"/>
  <c r="BO107" i="7"/>
  <c r="BK111" i="7"/>
  <c r="BM108" i="7"/>
  <c r="BJ112" i="7"/>
  <c r="BJ111" i="7"/>
  <c r="BK108" i="7"/>
  <c r="BK106" i="7"/>
  <c r="BL111" i="7"/>
  <c r="BN111" i="7"/>
  <c r="FH164" i="7" a="1"/>
  <c r="FH164" i="7" s="1"/>
  <c r="FG164" i="7" s="1"/>
  <c r="BR65" i="7"/>
  <c r="BT109" i="7" s="1" a="1"/>
  <c r="BT109" i="7" s="1"/>
  <c r="EX166" i="7"/>
  <c r="FF166" i="7"/>
  <c r="EZ166" i="7"/>
  <c r="FE166" i="7"/>
  <c r="FD166" i="7"/>
  <c r="BJ29" i="7"/>
  <c r="FB168" i="7" a="1"/>
  <c r="EV165" i="7" a="1"/>
  <c r="EZ165" i="7" a="1"/>
  <c r="EW167" i="7" a="1"/>
  <c r="FC165" i="7" a="1"/>
  <c r="FD165" i="7" a="1"/>
  <c r="BO29" i="7" a="1"/>
  <c r="FB168" i="7" l="1"/>
  <c r="FD165" i="7"/>
  <c r="EZ165" i="7"/>
  <c r="FC165" i="7"/>
  <c r="EV165" i="7"/>
  <c r="BL112" i="7"/>
  <c r="BJ108" i="7" a="1"/>
  <c r="BJ108" i="7" s="1"/>
  <c r="BO108" i="7" a="1"/>
  <c r="BO108" i="7" s="1"/>
  <c r="BN112" i="7"/>
  <c r="BM107" i="7" a="1"/>
  <c r="BM107" i="7" s="1"/>
  <c r="EW167" i="7"/>
  <c r="BU65" i="7" a="1"/>
  <c r="BU65" i="7" s="1"/>
  <c r="BR67" i="7" a="1"/>
  <c r="BR67" i="7" s="1"/>
  <c r="FH166" i="7" a="1"/>
  <c r="FH166" i="7" s="1"/>
  <c r="FG166" i="7" s="1"/>
  <c r="BO29" i="7"/>
  <c r="FE165" i="7" a="1"/>
  <c r="FF165" i="7" a="1"/>
  <c r="EY167" i="7" a="1"/>
  <c r="FA167" i="7" a="1"/>
  <c r="BK30" i="7" a="1"/>
  <c r="EX165" i="7" a="1"/>
  <c r="BJ31" i="7" a="1"/>
  <c r="FF165" i="7" l="1"/>
  <c r="FE165" i="7"/>
  <c r="EX165" i="7"/>
  <c r="FA167" i="7"/>
  <c r="EY167" i="7"/>
  <c r="BR69" i="7"/>
  <c r="BQ70" i="7"/>
  <c r="BU69" i="7"/>
  <c r="BT66" i="7"/>
  <c r="BS69" i="7"/>
  <c r="BQ69" i="7"/>
  <c r="BR64" i="7"/>
  <c r="BT65" i="7" s="1" a="1"/>
  <c r="BT65" i="7" s="1"/>
  <c r="BR66" i="7"/>
  <c r="BV65" i="7"/>
  <c r="BJ31" i="7"/>
  <c r="BK30" i="7"/>
  <c r="BM74" i="7" s="1" a="1"/>
  <c r="BM74" i="7" s="1"/>
  <c r="BT25" i="7" a="1"/>
  <c r="BT25" i="7" s="1"/>
  <c r="BP29" i="7" a="1"/>
  <c r="BJ71" i="7" a="1"/>
  <c r="BR107" i="7" a="1"/>
  <c r="EX167" i="7" a="1"/>
  <c r="FB166" i="7" a="1"/>
  <c r="EW169" i="7" a="1"/>
  <c r="BO116" i="7" a="1"/>
  <c r="BJ72" i="7" a="1"/>
  <c r="EZ167" i="7" a="1"/>
  <c r="FC167" i="7" a="1"/>
  <c r="FD167" i="7" a="1"/>
  <c r="EV167" i="7" a="1"/>
  <c r="FH165" i="7" l="1" a="1"/>
  <c r="FH165" i="7" s="1"/>
  <c r="FG165" i="7" s="1"/>
  <c r="BO116" i="7"/>
  <c r="BR107" i="7"/>
  <c r="BJ114" i="7" a="1"/>
  <c r="BJ114" i="7" s="1"/>
  <c r="BJ71" i="7"/>
  <c r="FD167" i="7"/>
  <c r="FC167" i="7"/>
  <c r="EZ167" i="7"/>
  <c r="BJ72" i="7"/>
  <c r="EV167" i="7"/>
  <c r="BO74" i="7" a="1"/>
  <c r="BO74" i="7" s="1"/>
  <c r="BS70" i="7"/>
  <c r="BU70" i="7"/>
  <c r="BV66" i="7" a="1"/>
  <c r="BV66" i="7" s="1"/>
  <c r="BQ66" i="7" a="1"/>
  <c r="BQ66" i="7" s="1"/>
  <c r="EX167" i="7"/>
  <c r="FB166" i="7"/>
  <c r="EW169" i="7"/>
  <c r="BK32" i="7" a="1"/>
  <c r="BK32" i="7" s="1"/>
  <c r="BP29" i="7"/>
  <c r="BL34" i="7"/>
  <c r="BN30" i="7" a="1"/>
  <c r="BN30" i="7" s="1"/>
  <c r="BK29" i="7"/>
  <c r="BM31" i="7"/>
  <c r="BK31" i="7"/>
  <c r="BJ34" i="7"/>
  <c r="BN34" i="7"/>
  <c r="BK34" i="7"/>
  <c r="BO32" i="7" a="1"/>
  <c r="BO32" i="7" s="1"/>
  <c r="FE167" i="7" a="1"/>
  <c r="BP30" i="7" a="1"/>
  <c r="EV169" i="7" a="1"/>
  <c r="FC169" i="7" a="1"/>
  <c r="FA169" i="7" a="1"/>
  <c r="EY169" i="7" a="1"/>
  <c r="BJ113" i="7" a="1"/>
  <c r="EW168" i="7" a="1"/>
  <c r="FB170" i="7" a="1"/>
  <c r="FF167" i="7" a="1"/>
  <c r="EW168" i="7" l="1"/>
  <c r="BJ113" i="7"/>
  <c r="BR109" i="7" a="1"/>
  <c r="BR109" i="7" s="1"/>
  <c r="BU107" i="7" a="1"/>
  <c r="BU107" i="7" s="1"/>
  <c r="FE167" i="7"/>
  <c r="FF167" i="7"/>
  <c r="FA169" i="7"/>
  <c r="EV169" i="7"/>
  <c r="FB170" i="7"/>
  <c r="EY169" i="7"/>
  <c r="FC169" i="7"/>
  <c r="BJ35" i="7"/>
  <c r="BP30" i="7"/>
  <c r="BL35" i="7"/>
  <c r="BO30" i="7"/>
  <c r="BM30" i="7" a="1"/>
  <c r="BM30" i="7" s="1"/>
  <c r="BO31" i="7" a="1"/>
  <c r="BO31" i="7" s="1"/>
  <c r="BN35" i="7" s="1"/>
  <c r="BJ30" i="7" a="1"/>
  <c r="BJ30" i="7" s="1"/>
  <c r="BQ29" i="7" a="1"/>
  <c r="FD169" i="7" a="1"/>
  <c r="EY168" i="7" a="1"/>
  <c r="EZ169" i="7" a="1"/>
  <c r="FA168" i="7" a="1"/>
  <c r="FE169" i="7" a="1"/>
  <c r="BK72" i="7" a="1"/>
  <c r="EX169" i="7" a="1"/>
  <c r="FF169" i="7" a="1"/>
  <c r="FH167" i="7" l="1" a="1"/>
  <c r="FH167" i="7" s="1"/>
  <c r="FG167" i="7" s="1"/>
  <c r="FA168" i="7"/>
  <c r="EY168" i="7"/>
  <c r="BV107" i="7"/>
  <c r="BQ112" i="7"/>
  <c r="BU111" i="7"/>
  <c r="BT108" i="7"/>
  <c r="BS111" i="7"/>
  <c r="BR108" i="7"/>
  <c r="BR106" i="7"/>
  <c r="BR111" i="7"/>
  <c r="BQ111" i="7"/>
  <c r="BK72" i="7"/>
  <c r="BM116" i="7" s="1" a="1"/>
  <c r="BM116" i="7" s="1"/>
  <c r="FF169" i="7"/>
  <c r="EX169" i="7"/>
  <c r="FE169" i="7"/>
  <c r="EZ169" i="7"/>
  <c r="FD169" i="7"/>
  <c r="BQ29" i="7"/>
  <c r="FB171" i="7" a="1"/>
  <c r="EV168" i="7" a="1"/>
  <c r="FC168" i="7" a="1"/>
  <c r="FD168" i="7" a="1"/>
  <c r="EZ168" i="7" a="1"/>
  <c r="EW170" i="7" a="1"/>
  <c r="BV29" i="7" a="1"/>
  <c r="FB171" i="7" l="1"/>
  <c r="FD168" i="7"/>
  <c r="EZ168" i="7"/>
  <c r="FC168" i="7"/>
  <c r="EV168" i="7"/>
  <c r="BS112" i="7"/>
  <c r="BT107" i="7" a="1"/>
  <c r="BT107" i="7" s="1"/>
  <c r="BV108" i="7" a="1"/>
  <c r="BV108" i="7" s="1"/>
  <c r="BU112" i="7"/>
  <c r="BQ108" i="7" a="1"/>
  <c r="BQ108" i="7" s="1"/>
  <c r="EW170" i="7"/>
  <c r="BK74" i="7" a="1"/>
  <c r="BK74" i="7" s="1"/>
  <c r="BN72" i="7" a="1"/>
  <c r="BN72" i="7" s="1"/>
  <c r="FH169" i="7" a="1"/>
  <c r="FH169" i="7" s="1"/>
  <c r="FG169" i="7" s="1"/>
  <c r="BV29" i="7"/>
  <c r="EX168" i="7" a="1"/>
  <c r="EY170" i="7" a="1"/>
  <c r="BR30" i="7" a="1"/>
  <c r="FF168" i="7" a="1"/>
  <c r="FA170" i="7" a="1"/>
  <c r="FE168" i="7" a="1"/>
  <c r="BQ31" i="7" a="1"/>
  <c r="FF168" i="7" l="1"/>
  <c r="EX168" i="7"/>
  <c r="FE168" i="7"/>
  <c r="EY170" i="7"/>
  <c r="FA170" i="7"/>
  <c r="BO72" i="7"/>
  <c r="BN76" i="7"/>
  <c r="BK76" i="7"/>
  <c r="BM73" i="7"/>
  <c r="BL76" i="7"/>
  <c r="BJ76" i="7"/>
  <c r="BK71" i="7"/>
  <c r="BM72" i="7" s="1" a="1"/>
  <c r="BM72" i="7" s="1"/>
  <c r="BJ77" i="7"/>
  <c r="BK73" i="7"/>
  <c r="BR30" i="7"/>
  <c r="BT74" i="7" s="1" a="1"/>
  <c r="BT74" i="7" s="1"/>
  <c r="BQ31" i="7"/>
  <c r="BM32" i="7" a="1"/>
  <c r="BM32" i="7" s="1"/>
  <c r="BI36" i="7" a="1"/>
  <c r="BK114" i="7" a="1"/>
  <c r="BV116" i="7" a="1"/>
  <c r="EW172" i="7" a="1"/>
  <c r="EV170" i="7" a="1"/>
  <c r="FB169" i="7" a="1"/>
  <c r="FC170" i="7" a="1"/>
  <c r="FD170" i="7" a="1"/>
  <c r="BQ72" i="7" a="1"/>
  <c r="BQ71" i="7" a="1"/>
  <c r="EZ170" i="7" a="1"/>
  <c r="EX170" i="7" a="1"/>
  <c r="FH168" i="7" l="1" a="1"/>
  <c r="FH168" i="7" s="1"/>
  <c r="FG168" i="7" s="1"/>
  <c r="BV116" i="7"/>
  <c r="BK114" i="7"/>
  <c r="BQ114" i="7" a="1"/>
  <c r="BQ114" i="7" s="1"/>
  <c r="BQ71" i="7"/>
  <c r="FC170" i="7"/>
  <c r="BQ72" i="7"/>
  <c r="FD170" i="7"/>
  <c r="EV170" i="7"/>
  <c r="EZ170" i="7"/>
  <c r="BL77" i="7"/>
  <c r="BV74" i="7" a="1"/>
  <c r="BV74" i="7" s="1"/>
  <c r="BN77" i="7"/>
  <c r="BO73" i="7" a="1"/>
  <c r="BO73" i="7" s="1"/>
  <c r="BJ73" i="7" a="1"/>
  <c r="BJ73" i="7" s="1"/>
  <c r="EW172" i="7"/>
  <c r="EX170" i="7"/>
  <c r="FB169" i="7"/>
  <c r="BR32" i="7" a="1"/>
  <c r="BR32" i="7" s="1"/>
  <c r="BI36" i="7"/>
  <c r="BV32" i="7" a="1"/>
  <c r="BV32" i="7" s="1"/>
  <c r="BT31" i="7"/>
  <c r="BR34" i="7"/>
  <c r="BR31" i="7"/>
  <c r="BU30" i="7" a="1"/>
  <c r="BU30" i="7" s="1"/>
  <c r="BQ34" i="7"/>
  <c r="BR29" i="7"/>
  <c r="BU34" i="7"/>
  <c r="BS34" i="7"/>
  <c r="FE170" i="7" a="1"/>
  <c r="BI37" i="7" a="1"/>
  <c r="FC172" i="7" a="1"/>
  <c r="EY172" i="7" a="1"/>
  <c r="BQ113" i="7" a="1"/>
  <c r="FF170" i="7" a="1"/>
  <c r="FB173" i="7" a="1"/>
  <c r="EV172" i="7" a="1"/>
  <c r="FA172" i="7" a="1"/>
  <c r="EW171" i="7" a="1"/>
  <c r="EW171" i="7" l="1"/>
  <c r="BQ113" i="7"/>
  <c r="BK116" i="7" a="1"/>
  <c r="BK116" i="7" s="1"/>
  <c r="BN114" i="7" a="1"/>
  <c r="BN114" i="7" s="1"/>
  <c r="FE170" i="7"/>
  <c r="FF170" i="7"/>
  <c r="EY172" i="7"/>
  <c r="FA172" i="7"/>
  <c r="EV172" i="7"/>
  <c r="FB173" i="7"/>
  <c r="FC172" i="7"/>
  <c r="BQ35" i="7"/>
  <c r="BI37" i="7"/>
  <c r="BS35" i="7"/>
  <c r="BT30" i="7" a="1"/>
  <c r="BT30" i="7" s="1"/>
  <c r="BV30" i="7"/>
  <c r="BV31" i="7" a="1"/>
  <c r="BV31" i="7" s="1"/>
  <c r="BU35" i="7" s="1"/>
  <c r="BQ30" i="7" a="1"/>
  <c r="BQ30" i="7" s="1"/>
  <c r="BJ36" i="7" a="1"/>
  <c r="EZ172" i="7" a="1"/>
  <c r="FF172" i="7" a="1"/>
  <c r="FE172" i="7" a="1"/>
  <c r="EY171" i="7" a="1"/>
  <c r="FD172" i="7" a="1"/>
  <c r="FA171" i="7" a="1"/>
  <c r="EX172" i="7" a="1"/>
  <c r="BR72" i="7" a="1"/>
  <c r="FA171" i="7" l="1"/>
  <c r="EY171" i="7"/>
  <c r="BO114" i="7"/>
  <c r="BK118" i="7"/>
  <c r="BM115" i="7"/>
  <c r="BK113" i="7"/>
  <c r="BJ119" i="7"/>
  <c r="BJ118" i="7"/>
  <c r="BN118" i="7"/>
  <c r="BK115" i="7"/>
  <c r="BL118" i="7"/>
  <c r="FH170" i="7" a="1"/>
  <c r="FH170" i="7" s="1"/>
  <c r="FG170" i="7" s="1"/>
  <c r="BR72" i="7"/>
  <c r="BT116" i="7" s="1" a="1"/>
  <c r="BT116" i="7" s="1"/>
  <c r="FF172" i="7"/>
  <c r="EZ172" i="7"/>
  <c r="FD172" i="7"/>
  <c r="EX172" i="7"/>
  <c r="FE172" i="7"/>
  <c r="BJ36" i="7"/>
  <c r="EW173" i="7" a="1"/>
  <c r="FB174" i="7" a="1"/>
  <c r="EZ171" i="7" a="1"/>
  <c r="FC171" i="7" a="1"/>
  <c r="FD171" i="7" a="1"/>
  <c r="EV171" i="7" a="1"/>
  <c r="BO36" i="7" a="1"/>
  <c r="FB174" i="7" l="1"/>
  <c r="FD171" i="7"/>
  <c r="EZ171" i="7"/>
  <c r="EV171" i="7"/>
  <c r="FC171" i="7"/>
  <c r="BM114" i="7" a="1"/>
  <c r="BM114" i="7" s="1"/>
  <c r="BL119" i="7"/>
  <c r="BJ115" i="7" a="1"/>
  <c r="BJ115" i="7" s="1"/>
  <c r="BN119" i="7"/>
  <c r="BO115" i="7" a="1"/>
  <c r="BO115" i="7" s="1"/>
  <c r="EW173" i="7"/>
  <c r="BU72" i="7" a="1"/>
  <c r="BU72" i="7" s="1"/>
  <c r="BR74" i="7" a="1"/>
  <c r="BR74" i="7" s="1"/>
  <c r="FH172" i="7" a="1"/>
  <c r="FH172" i="7" s="1"/>
  <c r="FG172" i="7" s="1"/>
  <c r="BO36" i="7"/>
  <c r="FE171" i="7" a="1"/>
  <c r="FF171" i="7" a="1"/>
  <c r="FA173" i="7" a="1"/>
  <c r="EY173" i="7" a="1"/>
  <c r="BK37" i="7" a="1"/>
  <c r="EX171" i="7" a="1"/>
  <c r="BJ38" i="7" a="1"/>
  <c r="FF171" i="7" l="1"/>
  <c r="FE171" i="7"/>
  <c r="EX171" i="7"/>
  <c r="EY173" i="7"/>
  <c r="FA173" i="7"/>
  <c r="BV72" i="7"/>
  <c r="BQ77" i="7"/>
  <c r="BU76" i="7"/>
  <c r="BT73" i="7"/>
  <c r="BR76" i="7"/>
  <c r="BS77" i="7" s="1"/>
  <c r="BR71" i="7"/>
  <c r="BR73" i="7"/>
  <c r="BQ76" i="7"/>
  <c r="BS76" i="7"/>
  <c r="BJ38" i="7"/>
  <c r="BK37" i="7"/>
  <c r="BM81" i="7" s="1" a="1"/>
  <c r="BM81" i="7" s="1"/>
  <c r="BT32" i="7" a="1"/>
  <c r="BT32" i="7" s="1"/>
  <c r="BP36" i="7" a="1"/>
  <c r="EZ173" i="7" a="1"/>
  <c r="BO123" i="7" a="1"/>
  <c r="BR114" i="7" a="1"/>
  <c r="EV173" i="7" a="1"/>
  <c r="EW175" i="7" a="1"/>
  <c r="FE173" i="7" a="1"/>
  <c r="FC173" i="7" a="1"/>
  <c r="FB172" i="7" a="1"/>
  <c r="BJ79" i="7" a="1"/>
  <c r="FD173" i="7" a="1"/>
  <c r="BJ78" i="7" a="1"/>
  <c r="FH171" i="7" l="1" a="1"/>
  <c r="FH171" i="7" s="1"/>
  <c r="FG171" i="7" s="1"/>
  <c r="BR114" i="7"/>
  <c r="BO123" i="7"/>
  <c r="BT72" i="7" a="1"/>
  <c r="BT72" i="7" s="1"/>
  <c r="BJ121" i="7" a="1"/>
  <c r="BJ121" i="7" s="1"/>
  <c r="EZ173" i="7"/>
  <c r="BJ78" i="7"/>
  <c r="FD173" i="7"/>
  <c r="BJ79" i="7"/>
  <c r="FC173" i="7"/>
  <c r="EV173" i="7"/>
  <c r="BO81" i="7" a="1"/>
  <c r="BO81" i="7" s="1"/>
  <c r="BU77" i="7"/>
  <c r="BV73" i="7" a="1"/>
  <c r="BV73" i="7" s="1"/>
  <c r="BQ73" i="7" a="1"/>
  <c r="BQ73" i="7" s="1"/>
  <c r="EW175" i="7"/>
  <c r="FE173" i="7"/>
  <c r="FB172" i="7"/>
  <c r="BP36" i="7"/>
  <c r="BO39" i="7" a="1"/>
  <c r="BO39" i="7" s="1"/>
  <c r="BL41" i="7"/>
  <c r="BK41" i="7"/>
  <c r="BJ41" i="7"/>
  <c r="BM38" i="7"/>
  <c r="BN37" i="7" a="1"/>
  <c r="BN37" i="7" s="1"/>
  <c r="BK38" i="7"/>
  <c r="BN41" i="7"/>
  <c r="BK36" i="7"/>
  <c r="BK39" i="7" a="1"/>
  <c r="BK39" i="7" s="1"/>
  <c r="FF173" i="7" a="1"/>
  <c r="BP37" i="7" a="1"/>
  <c r="EY175" i="7" a="1"/>
  <c r="FA175" i="7" a="1"/>
  <c r="EW174" i="7" a="1"/>
  <c r="FB176" i="7" a="1"/>
  <c r="EX173" i="7" a="1"/>
  <c r="EV175" i="7" a="1"/>
  <c r="FC175" i="7" a="1"/>
  <c r="BJ120" i="7" a="1"/>
  <c r="EW174" i="7" l="1"/>
  <c r="BJ120" i="7"/>
  <c r="EX173" i="7"/>
  <c r="BR116" i="7" a="1"/>
  <c r="BR116" i="7" s="1"/>
  <c r="BU114" i="7" a="1"/>
  <c r="BU114" i="7" s="1"/>
  <c r="FF173" i="7"/>
  <c r="EY175" i="7"/>
  <c r="FC175" i="7"/>
  <c r="FA175" i="7"/>
  <c r="EV175" i="7"/>
  <c r="FB176" i="7"/>
  <c r="BP37" i="7"/>
  <c r="BM37" i="7" a="1"/>
  <c r="BM37" i="7" s="1"/>
  <c r="BO37" i="7"/>
  <c r="BJ42" i="7"/>
  <c r="BL42" i="7"/>
  <c r="BO38" i="7" a="1"/>
  <c r="BO38" i="7" s="1"/>
  <c r="BN42" i="7" s="1"/>
  <c r="BJ37" i="7" a="1"/>
  <c r="BJ37" i="7" s="1"/>
  <c r="BQ36" i="7" a="1"/>
  <c r="FE175" i="7" a="1"/>
  <c r="EX175" i="7" a="1"/>
  <c r="EY174" i="7" a="1"/>
  <c r="FA174" i="7" a="1"/>
  <c r="EZ175" i="7" a="1"/>
  <c r="FD175" i="7" a="1"/>
  <c r="BK79" i="7" a="1"/>
  <c r="FF175" i="7" a="1"/>
  <c r="EY174" i="7" l="1"/>
  <c r="FA174" i="7"/>
  <c r="FH173" i="7" a="1"/>
  <c r="FH173" i="7" s="1"/>
  <c r="FG173" i="7" s="1"/>
  <c r="BV114" i="7"/>
  <c r="BU118" i="7"/>
  <c r="BT115" i="7"/>
  <c r="BS118" i="7"/>
  <c r="BR115" i="7"/>
  <c r="BR118" i="7"/>
  <c r="BQ118" i="7"/>
  <c r="BQ119" i="7"/>
  <c r="BR113" i="7"/>
  <c r="BK79" i="7"/>
  <c r="BM123" i="7" s="1" a="1"/>
  <c r="BM123" i="7" s="1"/>
  <c r="FE175" i="7"/>
  <c r="FF175" i="7"/>
  <c r="FD175" i="7"/>
  <c r="EZ175" i="7"/>
  <c r="EX175" i="7"/>
  <c r="BQ36" i="7"/>
  <c r="EW176" i="7" a="1"/>
  <c r="FB177" i="7" a="1"/>
  <c r="FC174" i="7" a="1"/>
  <c r="EZ174" i="7" a="1"/>
  <c r="EV174" i="7" a="1"/>
  <c r="FD174" i="7" a="1"/>
  <c r="BV36" i="7" a="1"/>
  <c r="FB177" i="7" l="1"/>
  <c r="FD174" i="7"/>
  <c r="EV174" i="7"/>
  <c r="EZ174" i="7"/>
  <c r="FC174" i="7"/>
  <c r="BT114" i="7" a="1"/>
  <c r="BT114" i="7" s="1"/>
  <c r="BS119" i="7"/>
  <c r="BV115" i="7" a="1"/>
  <c r="BV115" i="7" s="1"/>
  <c r="BU119" i="7"/>
  <c r="BQ115" i="7" a="1"/>
  <c r="BQ115" i="7" s="1"/>
  <c r="EW176" i="7"/>
  <c r="BN79" i="7" a="1"/>
  <c r="BN79" i="7" s="1"/>
  <c r="BK81" i="7" a="1"/>
  <c r="BK81" i="7" s="1"/>
  <c r="FH175" i="7" a="1"/>
  <c r="FH175" i="7" s="1"/>
  <c r="FG175" i="7" s="1"/>
  <c r="BV36" i="7"/>
  <c r="FE174" i="7" a="1"/>
  <c r="EX174" i="7" a="1"/>
  <c r="FF174" i="7" a="1"/>
  <c r="EY176" i="7" a="1"/>
  <c r="FA176" i="7" a="1"/>
  <c r="BR37" i="7" a="1"/>
  <c r="BQ38" i="7" a="1"/>
  <c r="FF174" i="7" l="1"/>
  <c r="FE174" i="7"/>
  <c r="EX174" i="7"/>
  <c r="FA176" i="7"/>
  <c r="EY176" i="7"/>
  <c r="BK83" i="7"/>
  <c r="BM80" i="7"/>
  <c r="BN83" i="7"/>
  <c r="BK78" i="7"/>
  <c r="BJ84" i="7"/>
  <c r="BK80" i="7"/>
  <c r="BL83" i="7"/>
  <c r="BJ83" i="7"/>
  <c r="BO79" i="7"/>
  <c r="BR37" i="7"/>
  <c r="BT81" i="7" s="1" a="1"/>
  <c r="BT81" i="7" s="1"/>
  <c r="BQ38" i="7"/>
  <c r="BM39" i="7" a="1"/>
  <c r="BM39" i="7" s="1"/>
  <c r="BX1" i="7" a="1"/>
  <c r="EZ176" i="7" a="1"/>
  <c r="FB175" i="7" a="1"/>
  <c r="EW178" i="7" a="1"/>
  <c r="BK121" i="7" a="1"/>
  <c r="EV176" i="7" a="1"/>
  <c r="FD176" i="7" a="1"/>
  <c r="BQ79" i="7" a="1"/>
  <c r="FC176" i="7" a="1"/>
  <c r="BV123" i="7" a="1"/>
  <c r="BQ78" i="7" a="1"/>
  <c r="FH174" i="7" l="1" a="1"/>
  <c r="FH174" i="7" s="1"/>
  <c r="FG174" i="7" s="1"/>
  <c r="BV123" i="7"/>
  <c r="BK121" i="7"/>
  <c r="BQ121" i="7" a="1"/>
  <c r="BQ121" i="7" s="1"/>
  <c r="BM79" i="7" a="1"/>
  <c r="BM79" i="7" s="1"/>
  <c r="EZ176" i="7"/>
  <c r="FC176" i="7"/>
  <c r="BQ79" i="7"/>
  <c r="BQ78" i="7"/>
  <c r="FD176" i="7"/>
  <c r="EV176" i="7"/>
  <c r="BV81" i="7" a="1"/>
  <c r="BV81" i="7" s="1"/>
  <c r="BL84" i="7"/>
  <c r="BN84" i="7"/>
  <c r="BO80" i="7" a="1"/>
  <c r="BO80" i="7" s="1"/>
  <c r="BJ80" i="7" a="1"/>
  <c r="BJ80" i="7" s="1"/>
  <c r="EW178" i="7"/>
  <c r="FB175" i="7"/>
  <c r="BR39" i="7" a="1"/>
  <c r="BR39" i="7" s="1"/>
  <c r="BX1" i="7"/>
  <c r="BV39" i="7" a="1"/>
  <c r="BV39" i="7" s="1"/>
  <c r="BQ41" i="7"/>
  <c r="BR38" i="7"/>
  <c r="BR41" i="7"/>
  <c r="BR36" i="7"/>
  <c r="BT38" i="7"/>
  <c r="BU41" i="7"/>
  <c r="BU37" i="7" a="1"/>
  <c r="BU37" i="7" s="1"/>
  <c r="BS41" i="7"/>
  <c r="FF176" i="7" a="1"/>
  <c r="BX2" i="7" a="1"/>
  <c r="EY178" i="7" a="1"/>
  <c r="FC178" i="7" a="1"/>
  <c r="EV178" i="7" a="1"/>
  <c r="EW177" i="7" a="1"/>
  <c r="FA178" i="7" a="1"/>
  <c r="EX176" i="7" a="1"/>
  <c r="FB179" i="7" a="1"/>
  <c r="BQ120" i="7" a="1"/>
  <c r="FE176" i="7" a="1"/>
  <c r="EW177" i="7" l="1"/>
  <c r="BQ120" i="7"/>
  <c r="EX176" i="7"/>
  <c r="BK123" i="7" a="1"/>
  <c r="BK123" i="7" s="1"/>
  <c r="BN121" i="7" a="1"/>
  <c r="BN121" i="7" s="1"/>
  <c r="FF176" i="7"/>
  <c r="FE176" i="7"/>
  <c r="EV178" i="7"/>
  <c r="FA178" i="7"/>
  <c r="FC178" i="7"/>
  <c r="FB179" i="7"/>
  <c r="EY178" i="7"/>
  <c r="BS42" i="7"/>
  <c r="BQ42" i="7"/>
  <c r="BX2" i="7"/>
  <c r="BV37" i="7"/>
  <c r="BT37" i="7" a="1"/>
  <c r="BT37" i="7" s="1"/>
  <c r="BV38" i="7" a="1"/>
  <c r="BV38" i="7" s="1"/>
  <c r="BU42" i="7" s="1"/>
  <c r="BQ37" i="7" a="1"/>
  <c r="BQ37" i="7" s="1"/>
  <c r="BY1" i="7" a="1"/>
  <c r="EZ178" i="7" a="1"/>
  <c r="FA177" i="7" a="1"/>
  <c r="EY177" i="7" a="1"/>
  <c r="BR79" i="7" a="1"/>
  <c r="EX178" i="7" a="1"/>
  <c r="FE178" i="7" a="1"/>
  <c r="FD178" i="7" a="1"/>
  <c r="FF178" i="7" a="1"/>
  <c r="EY177" i="7" l="1"/>
  <c r="FA177" i="7"/>
  <c r="BK120" i="7"/>
  <c r="BN125" i="7"/>
  <c r="BL125" i="7"/>
  <c r="BK125" i="7"/>
  <c r="BM122" i="7"/>
  <c r="BJ126" i="7"/>
  <c r="BJ125" i="7"/>
  <c r="BK122" i="7"/>
  <c r="BO121" i="7"/>
  <c r="FH176" i="7" a="1"/>
  <c r="FH176" i="7" s="1"/>
  <c r="FG176" i="7" s="1"/>
  <c r="BR79" i="7"/>
  <c r="BT123" i="7" s="1" a="1"/>
  <c r="BT123" i="7" s="1"/>
  <c r="FE178" i="7"/>
  <c r="EX178" i="7"/>
  <c r="EZ178" i="7"/>
  <c r="FD178" i="7"/>
  <c r="FF178" i="7"/>
  <c r="BY1" i="7"/>
  <c r="EV177" i="7" a="1"/>
  <c r="FC177" i="7" a="1"/>
  <c r="EZ177" i="7" a="1"/>
  <c r="EW179" i="7" a="1"/>
  <c r="FD177" i="7" a="1"/>
  <c r="FB180" i="7" a="1"/>
  <c r="CD1" i="7" a="1"/>
  <c r="FB180" i="7" l="1"/>
  <c r="FC177" i="7"/>
  <c r="EV177" i="7"/>
  <c r="FD177" i="7"/>
  <c r="EZ177" i="7"/>
  <c r="BL126" i="7"/>
  <c r="BM121" i="7" a="1"/>
  <c r="BM121" i="7" s="1"/>
  <c r="BN126" i="7"/>
  <c r="BO122" i="7" a="1"/>
  <c r="BO122" i="7" s="1"/>
  <c r="BJ122" i="7" a="1"/>
  <c r="BJ122" i="7" s="1"/>
  <c r="EW179" i="7"/>
  <c r="BU79" i="7" a="1"/>
  <c r="BU79" i="7" s="1"/>
  <c r="BR81" i="7" a="1"/>
  <c r="BR81" i="7" s="1"/>
  <c r="FH178" i="7" a="1"/>
  <c r="FH178" i="7" s="1"/>
  <c r="FG178" i="7" s="1"/>
  <c r="CD1" i="7"/>
  <c r="EX177" i="7" a="1"/>
  <c r="FF177" i="7" a="1"/>
  <c r="EY179" i="7" a="1"/>
  <c r="FA179" i="7" a="1"/>
  <c r="CE1" i="7" a="1"/>
  <c r="FE177" i="7" a="1"/>
  <c r="BZ2" i="7" a="1"/>
  <c r="BY3" i="7" a="1"/>
  <c r="FF177" i="7" l="1"/>
  <c r="EX177" i="7"/>
  <c r="FE177" i="7"/>
  <c r="FA179" i="7"/>
  <c r="EY179" i="7"/>
  <c r="BU83" i="7"/>
  <c r="BT80" i="7"/>
  <c r="BR83" i="7"/>
  <c r="BS84" i="7" s="1"/>
  <c r="BQ84" i="7"/>
  <c r="BR80" i="7"/>
  <c r="BS83" i="7"/>
  <c r="BQ83" i="7"/>
  <c r="BR78" i="7"/>
  <c r="BT79" i="7" a="1"/>
  <c r="BT79" i="7" s="1"/>
  <c r="BV79" i="7"/>
  <c r="BZ2" i="7"/>
  <c r="BY3" i="7"/>
  <c r="CE1" i="7"/>
  <c r="BT39" i="7" a="1"/>
  <c r="BT39" i="7" s="1"/>
  <c r="FC179" i="7" a="1"/>
  <c r="FD179" i="7" a="1"/>
  <c r="CD88" i="7" a="1"/>
  <c r="EZ179" i="7" a="1"/>
  <c r="EX179" i="7" a="1"/>
  <c r="EV179" i="7" a="1"/>
  <c r="BR121" i="7" a="1"/>
  <c r="CE2" i="7" a="1"/>
  <c r="FB178" i="7" a="1"/>
  <c r="FE179" i="7" a="1"/>
  <c r="BY43" i="7" a="1"/>
  <c r="BY44" i="7" a="1"/>
  <c r="FH177" i="7" l="1" a="1"/>
  <c r="FH177" i="7" s="1"/>
  <c r="FG177" i="7" s="1"/>
  <c r="CD88" i="7"/>
  <c r="BY86" i="7" a="1"/>
  <c r="BY86" i="7" s="1"/>
  <c r="BR121" i="7"/>
  <c r="BY44" i="7"/>
  <c r="BY43" i="7"/>
  <c r="BZ4" i="7" a="1"/>
  <c r="BZ4" i="7" s="1"/>
  <c r="BY2" i="7" s="1" a="1"/>
  <c r="BY2" i="7" s="1"/>
  <c r="CB46" i="7" a="1"/>
  <c r="CB46" i="7" s="1"/>
  <c r="CD46" i="7" a="1"/>
  <c r="CD46" i="7" s="1"/>
  <c r="FD179" i="7"/>
  <c r="EZ179" i="7"/>
  <c r="FC179" i="7"/>
  <c r="EV179" i="7"/>
  <c r="BU84" i="7"/>
  <c r="BQ80" i="7" a="1"/>
  <c r="BQ80" i="7" s="1"/>
  <c r="BV80" i="7" a="1"/>
  <c r="BV80" i="7" s="1"/>
  <c r="EX179" i="7"/>
  <c r="FE179" i="7"/>
  <c r="FB178" i="7"/>
  <c r="CE2" i="7"/>
  <c r="CD4" i="7" a="1"/>
  <c r="CD4" i="7" s="1"/>
  <c r="BZ3" i="7"/>
  <c r="BY6" i="7"/>
  <c r="CC2" i="7" a="1"/>
  <c r="CC2" i="7" s="1"/>
  <c r="CC6" i="7"/>
  <c r="BZ1" i="7"/>
  <c r="CA6" i="7"/>
  <c r="BZ6" i="7"/>
  <c r="CB3" i="7"/>
  <c r="CF1" i="7" a="1"/>
  <c r="FF179" i="7" a="1"/>
  <c r="EW180" i="7" a="1"/>
  <c r="BY85" i="7" a="1"/>
  <c r="EW180" i="7" l="1"/>
  <c r="BY85" i="7"/>
  <c r="BU121" i="7" a="1"/>
  <c r="BU121" i="7" s="1"/>
  <c r="BR123" i="7" a="1"/>
  <c r="BR123" i="7" s="1"/>
  <c r="BY7" i="7"/>
  <c r="CA7" i="7"/>
  <c r="FF179" i="7"/>
  <c r="FH179" i="7" s="1" a="1"/>
  <c r="FH179" i="7" s="1"/>
  <c r="FG179" i="7" s="1"/>
  <c r="CF1" i="7"/>
  <c r="CD3" i="7" a="1"/>
  <c r="CD3" i="7" s="1"/>
  <c r="CC7" i="7" s="1"/>
  <c r="CD2" i="7"/>
  <c r="CB2" i="7" a="1"/>
  <c r="CB2" i="7" s="1"/>
  <c r="EY180" i="7" a="1"/>
  <c r="BZ44" i="7" a="1"/>
  <c r="FA180" i="7" a="1"/>
  <c r="CK1" i="7" a="1"/>
  <c r="EY180" i="7" l="1"/>
  <c r="FA180" i="7"/>
  <c r="BR125" i="7"/>
  <c r="BQ125" i="7"/>
  <c r="BS125" i="7"/>
  <c r="BQ126" i="7"/>
  <c r="BU125" i="7"/>
  <c r="BR120" i="7"/>
  <c r="BR122" i="7"/>
  <c r="BT122" i="7"/>
  <c r="BV121" i="7"/>
  <c r="BZ44" i="7"/>
  <c r="CB88" i="7" s="1" a="1"/>
  <c r="CB88" i="7" s="1"/>
  <c r="CK1" i="7"/>
  <c r="CG2" i="7" a="1"/>
  <c r="EV180" i="7" a="1"/>
  <c r="FC180" i="7" a="1"/>
  <c r="FD180" i="7" a="1"/>
  <c r="EZ180" i="7" a="1"/>
  <c r="CF3" i="7" a="1"/>
  <c r="EZ180" i="7" l="1"/>
  <c r="EV180" i="7"/>
  <c r="FC180" i="7"/>
  <c r="FD180" i="7"/>
  <c r="BT121" i="7" a="1"/>
  <c r="BT121" i="7" s="1"/>
  <c r="BS126" i="7"/>
  <c r="BU126" i="7"/>
  <c r="BQ122" i="7" a="1"/>
  <c r="BQ122" i="7" s="1"/>
  <c r="BV122" i="7" a="1"/>
  <c r="BV122" i="7" s="1"/>
  <c r="BZ46" i="7" a="1"/>
  <c r="BZ46" i="7" s="1"/>
  <c r="CC44" i="7" a="1"/>
  <c r="CC44" i="7" s="1"/>
  <c r="CF3" i="7"/>
  <c r="CG2" i="7"/>
  <c r="CB4" i="7" a="1"/>
  <c r="CB4" i="7" s="1"/>
  <c r="BX8" i="7" a="1"/>
  <c r="FF180" i="7" a="1"/>
  <c r="CK88" i="7" a="1"/>
  <c r="CF44" i="7" a="1"/>
  <c r="EX180" i="7" a="1"/>
  <c r="FE180" i="7" a="1"/>
  <c r="CF43" i="7" a="1"/>
  <c r="FF180" i="7" l="1"/>
  <c r="FE180" i="7"/>
  <c r="EX180" i="7"/>
  <c r="CK88" i="7"/>
  <c r="CF86" i="7" a="1"/>
  <c r="CF86" i="7" s="1"/>
  <c r="CF44" i="7"/>
  <c r="CF43" i="7"/>
  <c r="CK46" i="7" a="1"/>
  <c r="CK46" i="7" s="1"/>
  <c r="CJ2" i="7" a="1"/>
  <c r="CJ2" i="7" s="1"/>
  <c r="CI46" i="7" a="1"/>
  <c r="CI46" i="7" s="1"/>
  <c r="CD44" i="7"/>
  <c r="CA48" i="7"/>
  <c r="CC48" i="7"/>
  <c r="BZ43" i="7"/>
  <c r="BZ48" i="7"/>
  <c r="CA49" i="7" s="1"/>
  <c r="CB45" i="7"/>
  <c r="BY49" i="7"/>
  <c r="BY48" i="7"/>
  <c r="BZ45" i="7"/>
  <c r="CG4" i="7" a="1"/>
  <c r="CG4" i="7" s="1"/>
  <c r="CF7" i="7" s="1"/>
  <c r="BX8" i="7"/>
  <c r="CG6" i="7"/>
  <c r="CF6" i="7"/>
  <c r="CG1" i="7"/>
  <c r="CK3" i="7" s="1" a="1"/>
  <c r="CK3" i="7" s="1"/>
  <c r="CJ6" i="7"/>
  <c r="CI3" i="7"/>
  <c r="CG3" i="7"/>
  <c r="CH6" i="7"/>
  <c r="CK4" i="7" a="1"/>
  <c r="CK4" i="7" s="1"/>
  <c r="BX9" i="7" a="1"/>
  <c r="BZ86" i="7" a="1"/>
  <c r="CF85" i="7" a="1"/>
  <c r="FH180" i="7" l="1" a="1"/>
  <c r="FH180" i="7" s="1"/>
  <c r="FG180" i="7" s="1"/>
  <c r="CF85" i="7"/>
  <c r="BZ86" i="7"/>
  <c r="CD45" i="7" a="1"/>
  <c r="CD45" i="7" s="1"/>
  <c r="CC49" i="7"/>
  <c r="BY45" i="7" a="1"/>
  <c r="BY45" i="7" s="1"/>
  <c r="CB44" i="7" a="1"/>
  <c r="CB44" i="7" s="1"/>
  <c r="CH7" i="7"/>
  <c r="CF2" i="7" a="1"/>
  <c r="CF2" i="7" s="1"/>
  <c r="CI2" i="7" a="1"/>
  <c r="CI2" i="7" s="1"/>
  <c r="BX9" i="7"/>
  <c r="CK2" i="7"/>
  <c r="CJ7" i="7"/>
  <c r="BY8" i="7" a="1"/>
  <c r="CG44" i="7" a="1"/>
  <c r="BZ88" i="7" l="1" a="1"/>
  <c r="BZ88" i="7" s="1"/>
  <c r="CC86" i="7" a="1"/>
  <c r="CC86" i="7" s="1"/>
  <c r="CG44" i="7"/>
  <c r="CI88" i="7" s="1" a="1"/>
  <c r="CI88" i="7" s="1"/>
  <c r="BY8" i="7"/>
  <c r="CD8" i="7" a="1"/>
  <c r="CD86" i="7" l="1"/>
  <c r="BZ85" i="7"/>
  <c r="CB86" i="7" s="1" a="1"/>
  <c r="CB86" i="7" s="1"/>
  <c r="BY90" i="7"/>
  <c r="CA90" i="7"/>
  <c r="CC90" i="7"/>
  <c r="BZ90" i="7"/>
  <c r="CA91" i="7" s="1"/>
  <c r="CB87" i="7"/>
  <c r="BY91" i="7"/>
  <c r="BZ87" i="7"/>
  <c r="CJ44" i="7" a="1"/>
  <c r="CJ44" i="7" s="1"/>
  <c r="CG46" i="7" a="1"/>
  <c r="CG46" i="7" s="1"/>
  <c r="CD8" i="7"/>
  <c r="BY10" i="7" a="1"/>
  <c r="BZ9" i="7" a="1"/>
  <c r="BY87" i="7" l="1" a="1"/>
  <c r="BY87" i="7" s="1"/>
  <c r="CD87" i="7" a="1"/>
  <c r="CD87" i="7" s="1"/>
  <c r="CC91" i="7"/>
  <c r="CK44" i="7"/>
  <c r="CG48" i="7"/>
  <c r="CH49" i="7" s="1"/>
  <c r="CF48" i="7"/>
  <c r="CF49" i="7"/>
  <c r="CG43" i="7"/>
  <c r="CG45" i="7"/>
  <c r="CJ48" i="7"/>
  <c r="CI45" i="7"/>
  <c r="CH48" i="7"/>
  <c r="BZ9" i="7"/>
  <c r="BY10" i="7"/>
  <c r="CI4" i="7" a="1"/>
  <c r="CI4" i="7" s="1"/>
  <c r="CE8" i="7" a="1"/>
  <c r="CG86" i="7" a="1"/>
  <c r="BY51" i="7" a="1"/>
  <c r="CD95" i="7" a="1"/>
  <c r="BY50" i="7" a="1"/>
  <c r="CG86" i="7" l="1"/>
  <c r="CD95" i="7"/>
  <c r="CI44" i="7" a="1"/>
  <c r="CI44" i="7" s="1"/>
  <c r="BY93" i="7" a="1"/>
  <c r="BY93" i="7" s="1"/>
  <c r="BY51" i="7"/>
  <c r="BY50" i="7"/>
  <c r="BZ11" i="7" a="1"/>
  <c r="BZ11" i="7" s="1"/>
  <c r="BY14" i="7" s="1"/>
  <c r="CB53" i="7" a="1"/>
  <c r="CB53" i="7" s="1"/>
  <c r="CJ49" i="7"/>
  <c r="CF45" i="7" a="1"/>
  <c r="CF45" i="7" s="1"/>
  <c r="CK45" i="7" a="1"/>
  <c r="CK45" i="7" s="1"/>
  <c r="CD53" i="7" a="1"/>
  <c r="CD53" i="7" s="1"/>
  <c r="CE8" i="7"/>
  <c r="CD11" i="7" a="1"/>
  <c r="CD11" i="7" s="1"/>
  <c r="CB10" i="7"/>
  <c r="CC9" i="7" a="1"/>
  <c r="CC9" i="7" s="1"/>
  <c r="BZ8" i="7"/>
  <c r="CC13" i="7"/>
  <c r="BZ13" i="7"/>
  <c r="CA13" i="7"/>
  <c r="BZ10" i="7"/>
  <c r="BY13" i="7"/>
  <c r="BY92" i="7" a="1"/>
  <c r="CE9" i="7" a="1"/>
  <c r="BY92" i="7" l="1"/>
  <c r="CJ86" i="7" a="1"/>
  <c r="CJ86" i="7" s="1"/>
  <c r="CG88" i="7" a="1"/>
  <c r="CG88" i="7" s="1"/>
  <c r="CA14" i="7"/>
  <c r="CE9" i="7"/>
  <c r="CD10" i="7" a="1"/>
  <c r="CD10" i="7" s="1"/>
  <c r="CC14" i="7" s="1"/>
  <c r="BY9" i="7" a="1"/>
  <c r="BY9" i="7" s="1"/>
  <c r="CD9" i="7"/>
  <c r="CB9" i="7" a="1"/>
  <c r="CB9" i="7" s="1"/>
  <c r="CF8" i="7" a="1"/>
  <c r="BZ51" i="7" a="1"/>
  <c r="CJ90" i="7" l="1"/>
  <c r="CI87" i="7"/>
  <c r="CH90" i="7"/>
  <c r="CG87" i="7"/>
  <c r="CG90" i="7"/>
  <c r="CH91" i="7" s="1"/>
  <c r="CG85" i="7"/>
  <c r="CI86" i="7" s="1" a="1"/>
  <c r="CI86" i="7" s="1"/>
  <c r="CF90" i="7"/>
  <c r="CF91" i="7"/>
  <c r="CK86" i="7"/>
  <c r="BZ51" i="7"/>
  <c r="CB95" i="7" s="1" a="1"/>
  <c r="CB95" i="7" s="1"/>
  <c r="CF8" i="7"/>
  <c r="CK8" i="7" a="1"/>
  <c r="CK87" i="7" l="1" a="1"/>
  <c r="CK87" i="7" s="1"/>
  <c r="CJ91" i="7"/>
  <c r="CF87" i="7" a="1"/>
  <c r="CF87" i="7" s="1"/>
  <c r="BZ53" i="7" a="1"/>
  <c r="BZ53" i="7" s="1"/>
  <c r="CC51" i="7" a="1"/>
  <c r="CC51" i="7" s="1"/>
  <c r="CK8" i="7"/>
  <c r="CG9" i="7" a="1"/>
  <c r="CF10" i="7" a="1"/>
  <c r="BZ55" i="7" l="1"/>
  <c r="CA56" i="7" s="1"/>
  <c r="CB52" i="7"/>
  <c r="CC55" i="7"/>
  <c r="BZ52" i="7"/>
  <c r="BY56" i="7"/>
  <c r="CA55" i="7"/>
  <c r="BZ50" i="7"/>
  <c r="BY55" i="7"/>
  <c r="CD51" i="7"/>
  <c r="CG9" i="7"/>
  <c r="CF10" i="7"/>
  <c r="CB11" i="7" a="1"/>
  <c r="CB11" i="7" s="1"/>
  <c r="BX15" i="7" a="1"/>
  <c r="BZ93" i="7" a="1"/>
  <c r="CK95" i="7" a="1"/>
  <c r="CF50" i="7" a="1"/>
  <c r="CF51" i="7" a="1"/>
  <c r="BZ93" i="7" l="1"/>
  <c r="CK95" i="7"/>
  <c r="CB51" i="7" a="1"/>
  <c r="CB51" i="7" s="1"/>
  <c r="CF93" i="7" a="1"/>
  <c r="CF93" i="7" s="1"/>
  <c r="CF51" i="7"/>
  <c r="CF50" i="7"/>
  <c r="CC56" i="7"/>
  <c r="BY52" i="7" a="1"/>
  <c r="BY52" i="7" s="1"/>
  <c r="CD52" i="7" a="1"/>
  <c r="CD52" i="7" s="1"/>
  <c r="CK53" i="7" a="1"/>
  <c r="CK53" i="7" s="1"/>
  <c r="CG11" i="7" a="1"/>
  <c r="CG11" i="7" s="1"/>
  <c r="CF14" i="7" s="1"/>
  <c r="CI53" i="7" a="1"/>
  <c r="CI53" i="7" s="1"/>
  <c r="BX15" i="7"/>
  <c r="CK11" i="7" a="1"/>
  <c r="CK11" i="7" s="1"/>
  <c r="CF13" i="7"/>
  <c r="CJ13" i="7"/>
  <c r="CH13" i="7"/>
  <c r="CG8" i="7"/>
  <c r="CG13" i="7"/>
  <c r="CI10" i="7"/>
  <c r="CJ9" i="7" a="1"/>
  <c r="CJ9" i="7" s="1"/>
  <c r="CG10" i="7"/>
  <c r="CF92" i="7" a="1"/>
  <c r="BX16" i="7" a="1"/>
  <c r="CF92" i="7" l="1"/>
  <c r="BZ95" i="7" a="1"/>
  <c r="BZ95" i="7" s="1"/>
  <c r="CC93" i="7" a="1"/>
  <c r="CC93" i="7" s="1"/>
  <c r="CH14" i="7"/>
  <c r="BX16" i="7"/>
  <c r="CI9" i="7" a="1"/>
  <c r="CI9" i="7" s="1"/>
  <c r="CK9" i="7"/>
  <c r="CK10" i="7" a="1"/>
  <c r="CK10" i="7" s="1"/>
  <c r="CJ14" i="7" s="1"/>
  <c r="CF9" i="7" a="1"/>
  <c r="CF9" i="7" s="1"/>
  <c r="BY15" i="7" a="1"/>
  <c r="CG51" i="7" a="1"/>
  <c r="CD93" i="7" l="1"/>
  <c r="CC97" i="7"/>
  <c r="BY98" i="7"/>
  <c r="BY97" i="7"/>
  <c r="BZ94" i="7"/>
  <c r="CA97" i="7"/>
  <c r="BZ97" i="7"/>
  <c r="CA98" i="7" s="1"/>
  <c r="CB94" i="7"/>
  <c r="BZ92" i="7"/>
  <c r="CB93" i="7" s="1" a="1"/>
  <c r="CB93" i="7" s="1"/>
  <c r="CG51" i="7"/>
  <c r="CI95" i="7" s="1" a="1"/>
  <c r="CI95" i="7" s="1"/>
  <c r="BY15" i="7"/>
  <c r="CD15" i="7" a="1"/>
  <c r="BY94" i="7" l="1" a="1"/>
  <c r="BY94" i="7" s="1"/>
  <c r="CC98" i="7"/>
  <c r="CD94" i="7" a="1"/>
  <c r="CD94" i="7" s="1"/>
  <c r="CJ51" i="7" a="1"/>
  <c r="CJ51" i="7" s="1"/>
  <c r="CG53" i="7" a="1"/>
  <c r="CG53" i="7" s="1"/>
  <c r="CD15" i="7"/>
  <c r="BY17" i="7" a="1"/>
  <c r="BZ16" i="7" a="1"/>
  <c r="CJ55" i="7" l="1"/>
  <c r="CG55" i="7"/>
  <c r="CH56" i="7" s="1"/>
  <c r="CF56" i="7"/>
  <c r="CG52" i="7"/>
  <c r="CG50" i="7"/>
  <c r="CI52" i="7"/>
  <c r="CH55" i="7"/>
  <c r="CF55" i="7"/>
  <c r="CK51" i="7"/>
  <c r="BY17" i="7"/>
  <c r="BZ16" i="7"/>
  <c r="CI11" i="7" a="1"/>
  <c r="CI11" i="7" s="1"/>
  <c r="CE15" i="7" a="1"/>
  <c r="CD102" i="7" a="1"/>
  <c r="BY57" i="7" a="1"/>
  <c r="BY58" i="7" a="1"/>
  <c r="CG93" i="7" a="1"/>
  <c r="CG93" i="7" l="1"/>
  <c r="CD102" i="7"/>
  <c r="CI51" i="7" a="1"/>
  <c r="CI51" i="7" s="1"/>
  <c r="BY100" i="7" a="1"/>
  <c r="BY100" i="7" s="1"/>
  <c r="BY58" i="7"/>
  <c r="BY57" i="7"/>
  <c r="BZ18" i="7" a="1"/>
  <c r="BZ18" i="7" s="1"/>
  <c r="BY21" i="7" s="1"/>
  <c r="CB60" i="7" a="1"/>
  <c r="CB60" i="7" s="1"/>
  <c r="CD60" i="7" a="1"/>
  <c r="CD60" i="7" s="1"/>
  <c r="CJ56" i="7"/>
  <c r="CK52" i="7" a="1"/>
  <c r="CK52" i="7" s="1"/>
  <c r="CF52" i="7" a="1"/>
  <c r="CF52" i="7" s="1"/>
  <c r="CE15" i="7"/>
  <c r="BZ20" i="7"/>
  <c r="BY20" i="7"/>
  <c r="BZ15" i="7"/>
  <c r="CB17" i="7"/>
  <c r="CC16" i="7" a="1"/>
  <c r="CC16" i="7" s="1"/>
  <c r="CC20" i="7"/>
  <c r="CA20" i="7"/>
  <c r="BZ17" i="7"/>
  <c r="CD18" i="7" a="1"/>
  <c r="CD18" i="7" s="1"/>
  <c r="CE16" i="7" a="1"/>
  <c r="BY99" i="7" a="1"/>
  <c r="BY99" i="7" l="1"/>
  <c r="CJ93" i="7" a="1"/>
  <c r="CJ93" i="7" s="1"/>
  <c r="CG95" i="7" a="1"/>
  <c r="CG95" i="7" s="1"/>
  <c r="CA21" i="7"/>
  <c r="CE16" i="7"/>
  <c r="BY16" i="7" a="1"/>
  <c r="BY16" i="7" s="1"/>
  <c r="CD17" i="7" a="1"/>
  <c r="CD17" i="7" s="1"/>
  <c r="CC21" i="7" s="1"/>
  <c r="CD16" i="7"/>
  <c r="CB16" i="7" a="1"/>
  <c r="CB16" i="7" s="1"/>
  <c r="CF15" i="7" a="1"/>
  <c r="BZ58" i="7" a="1"/>
  <c r="CG97" i="7" l="1"/>
  <c r="CH98" i="7" s="1"/>
  <c r="CG94" i="7"/>
  <c r="CF97" i="7"/>
  <c r="CF98" i="7"/>
  <c r="CG92" i="7"/>
  <c r="CI93" i="7" s="1" a="1"/>
  <c r="CI93" i="7" s="1"/>
  <c r="CH97" i="7"/>
  <c r="CJ97" i="7"/>
  <c r="CI94" i="7"/>
  <c r="CK93" i="7"/>
  <c r="BZ58" i="7"/>
  <c r="CB102" i="7" s="1" a="1"/>
  <c r="CB102" i="7" s="1"/>
  <c r="CF15" i="7"/>
  <c r="CK15" i="7" a="1"/>
  <c r="CJ98" i="7" l="1"/>
  <c r="CF94" i="7" a="1"/>
  <c r="CF94" i="7" s="1"/>
  <c r="CK94" i="7" a="1"/>
  <c r="CK94" i="7" s="1"/>
  <c r="BZ60" i="7" a="1"/>
  <c r="BZ60" i="7" s="1"/>
  <c r="CC58" i="7" a="1"/>
  <c r="CC58" i="7" s="1"/>
  <c r="CK15" i="7"/>
  <c r="CF17" i="7" a="1"/>
  <c r="CG16" i="7" a="1"/>
  <c r="CD58" i="7" l="1"/>
  <c r="CC62" i="7"/>
  <c r="BZ62" i="7"/>
  <c r="CA63" i="7" s="1"/>
  <c r="CB59" i="7"/>
  <c r="BY63" i="7"/>
  <c r="BZ59" i="7"/>
  <c r="CA62" i="7"/>
  <c r="BY62" i="7"/>
  <c r="BZ57" i="7"/>
  <c r="CF17" i="7"/>
  <c r="CG16" i="7"/>
  <c r="CB18" i="7" a="1"/>
  <c r="CB18" i="7" s="1"/>
  <c r="BX22" i="7" a="1"/>
  <c r="BZ100" i="7" a="1"/>
  <c r="CK102" i="7" a="1"/>
  <c r="CF57" i="7" a="1"/>
  <c r="CF58" i="7" a="1"/>
  <c r="CK102" i="7" l="1"/>
  <c r="BZ100" i="7"/>
  <c r="CF100" i="7" a="1"/>
  <c r="CF100" i="7" s="1"/>
  <c r="CB58" i="7" a="1"/>
  <c r="CB58" i="7" s="1"/>
  <c r="CF58" i="7"/>
  <c r="CF57" i="7"/>
  <c r="CG18" i="7" a="1"/>
  <c r="CG18" i="7" s="1"/>
  <c r="CF21" i="7" s="1"/>
  <c r="CI60" i="7" a="1"/>
  <c r="CI60" i="7" s="1"/>
  <c r="CK60" i="7" a="1"/>
  <c r="CK60" i="7" s="1"/>
  <c r="BY59" i="7" a="1"/>
  <c r="BY59" i="7" s="1"/>
  <c r="CC63" i="7"/>
  <c r="CD59" i="7" a="1"/>
  <c r="CD59" i="7" s="1"/>
  <c r="BX22" i="7"/>
  <c r="CG15" i="7"/>
  <c r="CF20" i="7"/>
  <c r="CJ16" i="7" a="1"/>
  <c r="CJ16" i="7" s="1"/>
  <c r="CG17" i="7"/>
  <c r="CJ20" i="7"/>
  <c r="CH20" i="7"/>
  <c r="CI17" i="7"/>
  <c r="CG20" i="7"/>
  <c r="CK18" i="7" a="1"/>
  <c r="CK18" i="7" s="1"/>
  <c r="BX23" i="7" a="1"/>
  <c r="CF99" i="7" a="1"/>
  <c r="CF99" i="7" l="1"/>
  <c r="BZ102" i="7" a="1"/>
  <c r="BZ102" i="7" s="1"/>
  <c r="CC100" i="7" a="1"/>
  <c r="CC100" i="7" s="1"/>
  <c r="CH21" i="7"/>
  <c r="BX23" i="7"/>
  <c r="CF16" i="7" a="1"/>
  <c r="CF16" i="7" s="1"/>
  <c r="CK17" i="7" a="1"/>
  <c r="CK17" i="7" s="1"/>
  <c r="CJ21" i="7" s="1"/>
  <c r="CI16" i="7" a="1"/>
  <c r="CI16" i="7" s="1"/>
  <c r="CK16" i="7"/>
  <c r="BY22" i="7" a="1"/>
  <c r="CG58" i="7" a="1"/>
  <c r="CD100" i="7" l="1"/>
  <c r="CC104" i="7"/>
  <c r="CA104" i="7"/>
  <c r="BZ104" i="7"/>
  <c r="CA105" i="7" s="1"/>
  <c r="CB101" i="7"/>
  <c r="BZ99" i="7"/>
  <c r="BY105" i="7"/>
  <c r="BY104" i="7"/>
  <c r="BZ101" i="7"/>
  <c r="CG58" i="7"/>
  <c r="CI102" i="7" s="1" a="1"/>
  <c r="CI102" i="7" s="1"/>
  <c r="BY22" i="7"/>
  <c r="CD22" i="7" a="1"/>
  <c r="CC105" i="7" l="1"/>
  <c r="CD101" i="7" a="1"/>
  <c r="CD101" i="7" s="1"/>
  <c r="BY101" i="7" a="1"/>
  <c r="BY101" i="7" s="1"/>
  <c r="CB100" i="7" a="1"/>
  <c r="CB100" i="7" s="1"/>
  <c r="CJ58" i="7" a="1"/>
  <c r="CJ58" i="7" s="1"/>
  <c r="CG60" i="7" a="1"/>
  <c r="CG60" i="7" s="1"/>
  <c r="CD22" i="7"/>
  <c r="BZ23" i="7" a="1"/>
  <c r="BY24" i="7" a="1"/>
  <c r="CK58" i="7" l="1"/>
  <c r="CJ62" i="7"/>
  <c r="CI59" i="7"/>
  <c r="CG62" i="7"/>
  <c r="CH63" i="7" s="1"/>
  <c r="CF63" i="7"/>
  <c r="CH62" i="7"/>
  <c r="CF62" i="7"/>
  <c r="CG57" i="7"/>
  <c r="CG59" i="7"/>
  <c r="BZ23" i="7"/>
  <c r="BY24" i="7"/>
  <c r="CI18" i="7" a="1"/>
  <c r="CI18" i="7" s="1"/>
  <c r="CE22" i="7" a="1"/>
  <c r="CD109" i="7" a="1"/>
  <c r="CG100" i="7" a="1"/>
  <c r="BY64" i="7" a="1"/>
  <c r="BY65" i="7" a="1"/>
  <c r="CG100" i="7" l="1"/>
  <c r="CD109" i="7"/>
  <c r="CI58" i="7" a="1"/>
  <c r="CI58" i="7" s="1"/>
  <c r="BY107" i="7" a="1"/>
  <c r="BY107" i="7" s="1"/>
  <c r="BY65" i="7"/>
  <c r="BY64" i="7"/>
  <c r="CD67" i="7" a="1"/>
  <c r="CD67" i="7" s="1"/>
  <c r="BZ25" i="7" a="1"/>
  <c r="BZ25" i="7" s="1"/>
  <c r="BY28" i="7" s="1"/>
  <c r="CB67" i="7" a="1"/>
  <c r="CB67" i="7" s="1"/>
  <c r="CJ63" i="7"/>
  <c r="CK59" i="7" a="1"/>
  <c r="CK59" i="7" s="1"/>
  <c r="CF59" i="7" a="1"/>
  <c r="CF59" i="7" s="1"/>
  <c r="CE22" i="7"/>
  <c r="CD25" i="7" a="1"/>
  <c r="CD25" i="7" s="1"/>
  <c r="CC27" i="7"/>
  <c r="BZ27" i="7"/>
  <c r="BY27" i="7"/>
  <c r="CB24" i="7"/>
  <c r="CC23" i="7" a="1"/>
  <c r="CC23" i="7" s="1"/>
  <c r="BZ24" i="7"/>
  <c r="BZ22" i="7"/>
  <c r="CA27" i="7"/>
  <c r="BY106" i="7" a="1"/>
  <c r="CE23" i="7" a="1"/>
  <c r="BY106" i="7" l="1"/>
  <c r="CJ100" i="7" a="1"/>
  <c r="CJ100" i="7" s="1"/>
  <c r="CG102" i="7" a="1"/>
  <c r="CG102" i="7" s="1"/>
  <c r="CA28" i="7"/>
  <c r="CE23" i="7"/>
  <c r="CD23" i="7"/>
  <c r="CB23" i="7" a="1"/>
  <c r="CB23" i="7" s="1"/>
  <c r="CD24" i="7" a="1"/>
  <c r="CD24" i="7" s="1"/>
  <c r="CC28" i="7" s="1"/>
  <c r="BY23" i="7" a="1"/>
  <c r="BY23" i="7" s="1"/>
  <c r="CF22" i="7" a="1"/>
  <c r="BZ65" i="7" a="1"/>
  <c r="CF105" i="7" l="1"/>
  <c r="CG99" i="7"/>
  <c r="CI100" i="7" s="1" a="1"/>
  <c r="CI100" i="7" s="1"/>
  <c r="CH104" i="7"/>
  <c r="CG101" i="7"/>
  <c r="CJ104" i="7"/>
  <c r="CI101" i="7"/>
  <c r="CG104" i="7"/>
  <c r="CH105" i="7" s="1"/>
  <c r="CF104" i="7"/>
  <c r="CK100" i="7"/>
  <c r="BZ65" i="7"/>
  <c r="CB109" i="7" s="1" a="1"/>
  <c r="CB109" i="7" s="1"/>
  <c r="CF22" i="7"/>
  <c r="CK22" i="7" a="1"/>
  <c r="CF101" i="7" l="1" a="1"/>
  <c r="CF101" i="7" s="1"/>
  <c r="CK101" i="7" a="1"/>
  <c r="CK101" i="7" s="1"/>
  <c r="CJ105" i="7"/>
  <c r="CC65" i="7" a="1"/>
  <c r="CC65" i="7" s="1"/>
  <c r="BZ67" i="7" a="1"/>
  <c r="BZ67" i="7" s="1"/>
  <c r="CK22" i="7"/>
  <c r="CG23" i="7" a="1"/>
  <c r="CF24" i="7" a="1"/>
  <c r="CC69" i="7" l="1"/>
  <c r="BZ69" i="7"/>
  <c r="CA70" i="7" s="1"/>
  <c r="CB66" i="7"/>
  <c r="BY69" i="7"/>
  <c r="CA69" i="7"/>
  <c r="BZ64" i="7"/>
  <c r="BY70" i="7"/>
  <c r="BZ66" i="7"/>
  <c r="CD65" i="7"/>
  <c r="CG23" i="7"/>
  <c r="CF24" i="7"/>
  <c r="CB25" i="7" a="1"/>
  <c r="CB25" i="7" s="1"/>
  <c r="BX29" i="7" a="1"/>
  <c r="CK109" i="7" a="1"/>
  <c r="BZ107" i="7" a="1"/>
  <c r="CF64" i="7" a="1"/>
  <c r="CF65" i="7" a="1"/>
  <c r="BZ107" i="7" l="1"/>
  <c r="CK109" i="7"/>
  <c r="CB65" i="7" a="1"/>
  <c r="CB65" i="7" s="1"/>
  <c r="CF107" i="7" a="1"/>
  <c r="CF107" i="7" s="1"/>
  <c r="CF65" i="7"/>
  <c r="CF64" i="7"/>
  <c r="CK67" i="7" a="1"/>
  <c r="CK67" i="7" s="1"/>
  <c r="CC70" i="7"/>
  <c r="CD66" i="7" a="1"/>
  <c r="CD66" i="7" s="1"/>
  <c r="BY66" i="7" a="1"/>
  <c r="BY66" i="7" s="1"/>
  <c r="CG25" i="7" a="1"/>
  <c r="CG25" i="7" s="1"/>
  <c r="CF28" i="7" s="1"/>
  <c r="CI67" i="7" a="1"/>
  <c r="CI67" i="7" s="1"/>
  <c r="BX29" i="7"/>
  <c r="CK25" i="7" a="1"/>
  <c r="CK25" i="7" s="1"/>
  <c r="CH27" i="7"/>
  <c r="CI24" i="7"/>
  <c r="CG27" i="7"/>
  <c r="CG24" i="7"/>
  <c r="CJ23" i="7" a="1"/>
  <c r="CJ23" i="7" s="1"/>
  <c r="CF27" i="7"/>
  <c r="CJ27" i="7"/>
  <c r="CG22" i="7"/>
  <c r="CF106" i="7" a="1"/>
  <c r="BX30" i="7" a="1"/>
  <c r="CF106" i="7" l="1"/>
  <c r="BZ109" i="7" a="1"/>
  <c r="BZ109" i="7" s="1"/>
  <c r="CC107" i="7" a="1"/>
  <c r="CC107" i="7" s="1"/>
  <c r="CH28" i="7"/>
  <c r="BX30" i="7"/>
  <c r="CF23" i="7" a="1"/>
  <c r="CF23" i="7" s="1"/>
  <c r="CK24" i="7" a="1"/>
  <c r="CK24" i="7" s="1"/>
  <c r="CJ28" i="7" s="1"/>
  <c r="CK23" i="7"/>
  <c r="CI23" i="7" a="1"/>
  <c r="CI23" i="7" s="1"/>
  <c r="BY29" i="7" a="1"/>
  <c r="CG65" i="7" a="1"/>
  <c r="CD107" i="7" l="1"/>
  <c r="BZ111" i="7"/>
  <c r="CA112" i="7" s="1"/>
  <c r="CB108" i="7"/>
  <c r="BY112" i="7"/>
  <c r="BY111" i="7"/>
  <c r="BZ108" i="7"/>
  <c r="BZ106" i="7"/>
  <c r="CC111" i="7"/>
  <c r="CA111" i="7"/>
  <c r="CG65" i="7"/>
  <c r="CI109" i="7" s="1" a="1"/>
  <c r="CI109" i="7" s="1"/>
  <c r="BY29" i="7"/>
  <c r="CD29" i="7" a="1"/>
  <c r="CD108" i="7" l="1" a="1"/>
  <c r="CD108" i="7" s="1"/>
  <c r="BY108" i="7" a="1"/>
  <c r="BY108" i="7" s="1"/>
  <c r="CC112" i="7"/>
  <c r="CB107" i="7" a="1"/>
  <c r="CB107" i="7" s="1"/>
  <c r="CJ65" i="7" a="1"/>
  <c r="CJ65" i="7" s="1"/>
  <c r="CG67" i="7" a="1"/>
  <c r="CG67" i="7" s="1"/>
  <c r="CD29" i="7"/>
  <c r="BZ30" i="7" a="1"/>
  <c r="BY31" i="7" a="1"/>
  <c r="CK65" i="7" l="1"/>
  <c r="CG69" i="7"/>
  <c r="CH70" i="7" s="1"/>
  <c r="CF70" i="7"/>
  <c r="CJ69" i="7"/>
  <c r="CI66" i="7"/>
  <c r="CG64" i="7"/>
  <c r="CG66" i="7"/>
  <c r="CH69" i="7"/>
  <c r="CF69" i="7"/>
  <c r="BZ30" i="7"/>
  <c r="CB74" i="7" s="1" a="1"/>
  <c r="CB74" i="7" s="1"/>
  <c r="BY31" i="7"/>
  <c r="CI25" i="7" a="1"/>
  <c r="CI25" i="7" s="1"/>
  <c r="CE29" i="7" a="1"/>
  <c r="CD116" i="7" a="1"/>
  <c r="CG107" i="7" a="1"/>
  <c r="BY72" i="7" a="1"/>
  <c r="BY71" i="7" a="1"/>
  <c r="CG107" i="7" l="1"/>
  <c r="CD116" i="7"/>
  <c r="CI65" i="7" a="1"/>
  <c r="CI65" i="7" s="1"/>
  <c r="BY114" i="7" a="1"/>
  <c r="BY114" i="7" s="1"/>
  <c r="BY71" i="7"/>
  <c r="BY72" i="7"/>
  <c r="CJ70" i="7"/>
  <c r="CK66" i="7" a="1"/>
  <c r="CK66" i="7" s="1"/>
  <c r="CF66" i="7" a="1"/>
  <c r="CF66" i="7" s="1"/>
  <c r="CD74" i="7" a="1"/>
  <c r="CD74" i="7" s="1"/>
  <c r="CE29" i="7"/>
  <c r="CD32" i="7" a="1"/>
  <c r="CD32" i="7" s="1"/>
  <c r="BZ31" i="7"/>
  <c r="CA34" i="7"/>
  <c r="BZ29" i="7"/>
  <c r="CC30" i="7" a="1"/>
  <c r="CC30" i="7" s="1"/>
  <c r="BY34" i="7"/>
  <c r="BZ34" i="7"/>
  <c r="CB31" i="7"/>
  <c r="CC34" i="7"/>
  <c r="BZ32" i="7" a="1"/>
  <c r="BZ32" i="7" s="1"/>
  <c r="BY35" i="7" s="1"/>
  <c r="BY113" i="7" a="1"/>
  <c r="CE30" i="7" a="1"/>
  <c r="BY113" i="7" l="1"/>
  <c r="CG109" i="7" a="1"/>
  <c r="CG109" i="7" s="1"/>
  <c r="CJ107" i="7" a="1"/>
  <c r="CJ107" i="7" s="1"/>
  <c r="CE30" i="7"/>
  <c r="CD30" i="7"/>
  <c r="CB30" i="7" a="1"/>
  <c r="CB30" i="7" s="1"/>
  <c r="CA35" i="7"/>
  <c r="CD31" i="7" a="1"/>
  <c r="CD31" i="7" s="1"/>
  <c r="CC35" i="7" s="1"/>
  <c r="BY30" i="7" a="1"/>
  <c r="BY30" i="7" s="1"/>
  <c r="CF29" i="7" a="1"/>
  <c r="BZ72" i="7" a="1"/>
  <c r="CK107" i="7" l="1"/>
  <c r="CJ111" i="7"/>
  <c r="CI108" i="7"/>
  <c r="CF111" i="7"/>
  <c r="CH111" i="7"/>
  <c r="CG108" i="7"/>
  <c r="CG111" i="7"/>
  <c r="CH112" i="7" s="1"/>
  <c r="CF112" i="7"/>
  <c r="CG106" i="7"/>
  <c r="CI107" i="7" s="1" a="1"/>
  <c r="CI107" i="7" s="1"/>
  <c r="BZ72" i="7"/>
  <c r="CB116" i="7" s="1" a="1"/>
  <c r="CB116" i="7" s="1"/>
  <c r="CF29" i="7"/>
  <c r="CK29" i="7" a="1"/>
  <c r="CF108" i="7" l="1" a="1"/>
  <c r="CF108" i="7" s="1"/>
  <c r="CK108" i="7" a="1"/>
  <c r="CK108" i="7" s="1"/>
  <c r="CJ112" i="7"/>
  <c r="CC72" i="7" a="1"/>
  <c r="CC72" i="7" s="1"/>
  <c r="BZ74" i="7" a="1"/>
  <c r="BZ74" i="7" s="1"/>
  <c r="CK29" i="7"/>
  <c r="CG30" i="7" a="1"/>
  <c r="CF31" i="7" a="1"/>
  <c r="CD72" i="7" l="1"/>
  <c r="CC76" i="7"/>
  <c r="BZ76" i="7"/>
  <c r="CA77" i="7" s="1"/>
  <c r="CB73" i="7"/>
  <c r="BZ71" i="7"/>
  <c r="BY77" i="7"/>
  <c r="BZ73" i="7"/>
  <c r="CA76" i="7"/>
  <c r="BY76" i="7"/>
  <c r="CG30" i="7"/>
  <c r="CF31" i="7"/>
  <c r="CB32" i="7" a="1"/>
  <c r="CB32" i="7" s="1"/>
  <c r="BX36" i="7" a="1"/>
  <c r="CK116" i="7" a="1"/>
  <c r="BZ114" i="7" a="1"/>
  <c r="CF72" i="7" a="1"/>
  <c r="CF71" i="7" a="1"/>
  <c r="BZ114" i="7" l="1"/>
  <c r="CK116" i="7"/>
  <c r="CB72" i="7" a="1"/>
  <c r="CB72" i="7" s="1"/>
  <c r="CF114" i="7" a="1"/>
  <c r="CF114" i="7" s="1"/>
  <c r="CF71" i="7"/>
  <c r="CF72" i="7"/>
  <c r="CG32" i="7" a="1"/>
  <c r="CG32" i="7" s="1"/>
  <c r="CF35" i="7" s="1"/>
  <c r="CI74" i="7" a="1"/>
  <c r="CI74" i="7" s="1"/>
  <c r="CC77" i="7"/>
  <c r="CD73" i="7" a="1"/>
  <c r="CD73" i="7" s="1"/>
  <c r="BY73" i="7" a="1"/>
  <c r="BY73" i="7" s="1"/>
  <c r="CK74" i="7" a="1"/>
  <c r="CK74" i="7" s="1"/>
  <c r="BX36" i="7"/>
  <c r="CK32" i="7" a="1"/>
  <c r="CK32" i="7" s="1"/>
  <c r="CJ30" i="7" a="1"/>
  <c r="CJ30" i="7" s="1"/>
  <c r="CI31" i="7"/>
  <c r="CG29" i="7"/>
  <c r="CG31" i="7"/>
  <c r="CJ34" i="7"/>
  <c r="CH34" i="7"/>
  <c r="CG34" i="7"/>
  <c r="CF34" i="7"/>
  <c r="CF113" i="7" a="1"/>
  <c r="BX37" i="7" a="1"/>
  <c r="CF113" i="7" l="1"/>
  <c r="BZ116" i="7" a="1"/>
  <c r="BZ116" i="7" s="1"/>
  <c r="CC114" i="7" a="1"/>
  <c r="CC114" i="7" s="1"/>
  <c r="CH35" i="7"/>
  <c r="BX37" i="7"/>
  <c r="CI30" i="7" a="1"/>
  <c r="CI30" i="7" s="1"/>
  <c r="CK30" i="7"/>
  <c r="CF30" i="7" a="1"/>
  <c r="CF30" i="7" s="1"/>
  <c r="CK31" i="7" a="1"/>
  <c r="CK31" i="7" s="1"/>
  <c r="CJ35" i="7" s="1"/>
  <c r="BY36" i="7" a="1"/>
  <c r="CG72" i="7" a="1"/>
  <c r="CD114" i="7" l="1"/>
  <c r="BZ113" i="7"/>
  <c r="CB114" i="7" s="1" a="1"/>
  <c r="CB114" i="7" s="1"/>
  <c r="CA118" i="7"/>
  <c r="CC118" i="7"/>
  <c r="BZ118" i="7"/>
  <c r="CA119" i="7" s="1"/>
  <c r="CB115" i="7"/>
  <c r="BY119" i="7"/>
  <c r="BY118" i="7"/>
  <c r="BZ115" i="7"/>
  <c r="CG72" i="7"/>
  <c r="CI116" i="7" s="1" a="1"/>
  <c r="CI116" i="7" s="1"/>
  <c r="BY36" i="7"/>
  <c r="CD36" i="7" a="1"/>
  <c r="BY115" i="7" l="1" a="1"/>
  <c r="BY115" i="7" s="1"/>
  <c r="CC119" i="7"/>
  <c r="CD115" i="7" a="1"/>
  <c r="CD115" i="7" s="1"/>
  <c r="CJ72" i="7" a="1"/>
  <c r="CJ72" i="7" s="1"/>
  <c r="CG74" i="7" a="1"/>
  <c r="CG74" i="7" s="1"/>
  <c r="CD36" i="7"/>
  <c r="BZ37" i="7" a="1"/>
  <c r="BY38" i="7" a="1"/>
  <c r="CK72" i="7" l="1"/>
  <c r="CF77" i="7"/>
  <c r="CJ76" i="7"/>
  <c r="CI73" i="7"/>
  <c r="CG76" i="7"/>
  <c r="CH77" i="7" s="1"/>
  <c r="CH76" i="7"/>
  <c r="CF76" i="7"/>
  <c r="CG71" i="7"/>
  <c r="CG73" i="7"/>
  <c r="BY38" i="7"/>
  <c r="BZ37" i="7"/>
  <c r="CB81" i="7" s="1" a="1"/>
  <c r="CB81" i="7" s="1"/>
  <c r="CI32" i="7" a="1"/>
  <c r="CI32" i="7" s="1"/>
  <c r="CE36" i="7" a="1"/>
  <c r="CG114" i="7" a="1"/>
  <c r="CD123" i="7" a="1"/>
  <c r="BY78" i="7" a="1"/>
  <c r="BY79" i="7" a="1"/>
  <c r="CG114" i="7" l="1"/>
  <c r="CD123" i="7"/>
  <c r="BY121" i="7" a="1"/>
  <c r="BY121" i="7" s="1"/>
  <c r="BY78" i="7"/>
  <c r="BY79" i="7"/>
  <c r="CD81" i="7" a="1"/>
  <c r="CD81" i="7" s="1"/>
  <c r="CJ77" i="7"/>
  <c r="CF73" i="7" a="1"/>
  <c r="CF73" i="7" s="1"/>
  <c r="CK73" i="7" a="1"/>
  <c r="CK73" i="7" s="1"/>
  <c r="CI72" i="7" a="1"/>
  <c r="CI72" i="7" s="1"/>
  <c r="CE36" i="7"/>
  <c r="CA41" i="7"/>
  <c r="BZ38" i="7"/>
  <c r="BZ41" i="7"/>
  <c r="BY41" i="7"/>
  <c r="CB38" i="7"/>
  <c r="CC37" i="7" a="1"/>
  <c r="CC37" i="7" s="1"/>
  <c r="CC41" i="7"/>
  <c r="BZ36" i="7"/>
  <c r="CD39" i="7" a="1"/>
  <c r="CD39" i="7" s="1"/>
  <c r="BZ39" i="7" a="1"/>
  <c r="BZ39" i="7" s="1"/>
  <c r="BY42" i="7" s="1"/>
  <c r="BY120" i="7" a="1"/>
  <c r="CE37" i="7" a="1"/>
  <c r="BY120" i="7" l="1"/>
  <c r="CJ114" i="7" a="1"/>
  <c r="CJ114" i="7" s="1"/>
  <c r="CG116" i="7" a="1"/>
  <c r="CG116" i="7" s="1"/>
  <c r="CE37" i="7"/>
  <c r="CD38" i="7" a="1"/>
  <c r="CD38" i="7" s="1"/>
  <c r="CC42" i="7" s="1"/>
  <c r="BY37" i="7" a="1"/>
  <c r="BY37" i="7" s="1"/>
  <c r="CA42" i="7"/>
  <c r="CD37" i="7"/>
  <c r="CB37" i="7" a="1"/>
  <c r="CB37" i="7" s="1"/>
  <c r="CF36" i="7" a="1"/>
  <c r="BZ79" i="7" a="1"/>
  <c r="CJ118" i="7" l="1"/>
  <c r="CI115" i="7"/>
  <c r="CH118" i="7"/>
  <c r="CG115" i="7"/>
  <c r="CG118" i="7"/>
  <c r="CH119" i="7" s="1"/>
  <c r="CG113" i="7"/>
  <c r="CI114" i="7" s="1" a="1"/>
  <c r="CI114" i="7" s="1"/>
  <c r="CF118" i="7"/>
  <c r="CF119" i="7"/>
  <c r="CK114" i="7"/>
  <c r="BZ79" i="7"/>
  <c r="CB123" i="7" s="1" a="1"/>
  <c r="CB123" i="7" s="1"/>
  <c r="CF36" i="7"/>
  <c r="CK36" i="7" a="1"/>
  <c r="CJ119" i="7" l="1"/>
  <c r="CF115" i="7" a="1"/>
  <c r="CF115" i="7" s="1"/>
  <c r="CK115" i="7" a="1"/>
  <c r="CK115" i="7" s="1"/>
  <c r="BZ81" i="7" a="1"/>
  <c r="BZ81" i="7" s="1"/>
  <c r="CC79" i="7" a="1"/>
  <c r="CC79" i="7" s="1"/>
  <c r="CK36" i="7"/>
  <c r="CG37" i="7" a="1"/>
  <c r="CF38" i="7" a="1"/>
  <c r="CD79" i="7" l="1"/>
  <c r="BZ83" i="7"/>
  <c r="CA84" i="7" s="1"/>
  <c r="CB80" i="7"/>
  <c r="CC83" i="7"/>
  <c r="CA83" i="7"/>
  <c r="BY83" i="7"/>
  <c r="BZ78" i="7"/>
  <c r="BY84" i="7"/>
  <c r="BZ80" i="7"/>
  <c r="CG37" i="7"/>
  <c r="CF38" i="7"/>
  <c r="CB39" i="7" a="1"/>
  <c r="CB39" i="7" s="1"/>
  <c r="CM1" i="7" a="1"/>
  <c r="BZ121" i="7" a="1"/>
  <c r="CK123" i="7" a="1"/>
  <c r="CF78" i="7" a="1"/>
  <c r="CF79" i="7" a="1"/>
  <c r="CK123" i="7" l="1"/>
  <c r="BZ121" i="7"/>
  <c r="CF121" i="7" a="1"/>
  <c r="CF121" i="7" s="1"/>
  <c r="CB79" i="7" a="1"/>
  <c r="CB79" i="7" s="1"/>
  <c r="CF79" i="7"/>
  <c r="CF78" i="7"/>
  <c r="CK81" i="7" a="1"/>
  <c r="CK81" i="7" s="1"/>
  <c r="CG39" i="7" a="1"/>
  <c r="CG39" i="7" s="1"/>
  <c r="CF42" i="7" s="1"/>
  <c r="CI81" i="7" a="1"/>
  <c r="CI81" i="7" s="1"/>
  <c r="BY80" i="7" a="1"/>
  <c r="BY80" i="7" s="1"/>
  <c r="CC84" i="7"/>
  <c r="CD80" i="7" a="1"/>
  <c r="CD80" i="7" s="1"/>
  <c r="CM1" i="7"/>
  <c r="CK39" i="7" a="1"/>
  <c r="CK39" i="7" s="1"/>
  <c r="CI38" i="7"/>
  <c r="CG38" i="7"/>
  <c r="CG41" i="7"/>
  <c r="CJ41" i="7"/>
  <c r="CH41" i="7"/>
  <c r="CF41" i="7"/>
  <c r="CG36" i="7"/>
  <c r="CJ37" i="7" a="1"/>
  <c r="CJ37" i="7" s="1"/>
  <c r="CF120" i="7" a="1"/>
  <c r="CM2" i="7" a="1"/>
  <c r="CF120" i="7" l="1"/>
  <c r="BZ123" i="7" a="1"/>
  <c r="BZ123" i="7" s="1"/>
  <c r="CC121" i="7" a="1"/>
  <c r="CC121" i="7" s="1"/>
  <c r="CH42" i="7"/>
  <c r="CM2" i="7"/>
  <c r="CI37" i="7" a="1"/>
  <c r="CI37" i="7" s="1"/>
  <c r="CK37" i="7"/>
  <c r="CF37" i="7" a="1"/>
  <c r="CF37" i="7" s="1"/>
  <c r="CK38" i="7" a="1"/>
  <c r="CK38" i="7" s="1"/>
  <c r="CJ42" i="7" s="1"/>
  <c r="CN1" i="7" a="1"/>
  <c r="CG79" i="7" a="1"/>
  <c r="CD121" i="7" l="1"/>
  <c r="CC125" i="7"/>
  <c r="BY125" i="7"/>
  <c r="CA125" i="7"/>
  <c r="BZ125" i="7"/>
  <c r="CA126" i="7" s="1"/>
  <c r="CB122" i="7"/>
  <c r="BY126" i="7"/>
  <c r="BZ122" i="7"/>
  <c r="BZ120" i="7"/>
  <c r="CB121" i="7" s="1" a="1"/>
  <c r="CB121" i="7" s="1"/>
  <c r="CG79" i="7"/>
  <c r="CI123" i="7" s="1" a="1"/>
  <c r="CI123" i="7" s="1"/>
  <c r="CN1" i="7"/>
  <c r="CS1" i="7" a="1"/>
  <c r="CC126" i="7" l="1"/>
  <c r="CD122" i="7" a="1"/>
  <c r="CD122" i="7" s="1"/>
  <c r="BY122" i="7" a="1"/>
  <c r="BY122" i="7" s="1"/>
  <c r="CJ79" i="7" a="1"/>
  <c r="CJ79" i="7" s="1"/>
  <c r="CG81" i="7" a="1"/>
  <c r="CG81" i="7" s="1"/>
  <c r="CS1" i="7"/>
  <c r="CN3" i="7" a="1"/>
  <c r="CO2" i="7" a="1"/>
  <c r="CT1" i="7" a="1"/>
  <c r="CJ83" i="7" l="1"/>
  <c r="CI80" i="7"/>
  <c r="CG83" i="7"/>
  <c r="CH84" i="7" s="1"/>
  <c r="CF84" i="7"/>
  <c r="CF83" i="7"/>
  <c r="CG78" i="7"/>
  <c r="CI79" i="7" s="1" a="1"/>
  <c r="CI79" i="7" s="1"/>
  <c r="CG80" i="7"/>
  <c r="CH83" i="7"/>
  <c r="CK79" i="7"/>
  <c r="CT1" i="7"/>
  <c r="CN3" i="7"/>
  <c r="CO2" i="7"/>
  <c r="CI39" i="7" a="1"/>
  <c r="CI39" i="7" s="1"/>
  <c r="CN44" i="7" a="1"/>
  <c r="CT2" i="7" a="1"/>
  <c r="CN43" i="7" a="1"/>
  <c r="CS88" i="7" a="1"/>
  <c r="CG121" i="7" a="1"/>
  <c r="CS88" i="7" l="1"/>
  <c r="CN86" i="7" a="1"/>
  <c r="CN86" i="7" s="1"/>
  <c r="CG121" i="7"/>
  <c r="CN44" i="7"/>
  <c r="CN43" i="7"/>
  <c r="CO4" i="7" a="1"/>
  <c r="CO4" i="7" s="1"/>
  <c r="CN2" i="7" s="1" a="1"/>
  <c r="CN2" i="7" s="1"/>
  <c r="CQ46" i="7" a="1"/>
  <c r="CQ46" i="7" s="1"/>
  <c r="CS46" i="7" a="1"/>
  <c r="CS46" i="7" s="1"/>
  <c r="CJ84" i="7"/>
  <c r="CK80" i="7" a="1"/>
  <c r="CK80" i="7" s="1"/>
  <c r="CF80" i="7" a="1"/>
  <c r="CF80" i="7" s="1"/>
  <c r="CT2" i="7"/>
  <c r="CR6" i="7"/>
  <c r="CP6" i="7"/>
  <c r="CO6" i="7"/>
  <c r="CO1" i="7"/>
  <c r="CN6" i="7"/>
  <c r="CQ3" i="7"/>
  <c r="CR2" i="7" a="1"/>
  <c r="CR2" i="7" s="1"/>
  <c r="CO3" i="7"/>
  <c r="CS4" i="7" a="1"/>
  <c r="CS4" i="7" s="1"/>
  <c r="CU1" i="7" a="1"/>
  <c r="CN85" i="7" a="1"/>
  <c r="CN85" i="7" l="1"/>
  <c r="CJ121" i="7" a="1"/>
  <c r="CJ121" i="7" s="1"/>
  <c r="CG123" i="7" a="1"/>
  <c r="CG123" i="7" s="1"/>
  <c r="CP7" i="7"/>
  <c r="CN7" i="7"/>
  <c r="CU1" i="7"/>
  <c r="CS3" i="7" a="1"/>
  <c r="CS3" i="7" s="1"/>
  <c r="CR7" i="7" s="1"/>
  <c r="CS2" i="7"/>
  <c r="CQ2" i="7" a="1"/>
  <c r="CQ2" i="7" s="1"/>
  <c r="CZ1" i="7" a="1"/>
  <c r="CO44" i="7" a="1"/>
  <c r="CG125" i="7" l="1"/>
  <c r="CH126" i="7" s="1"/>
  <c r="CF125" i="7"/>
  <c r="CF126" i="7"/>
  <c r="CG120" i="7"/>
  <c r="CI121" i="7" s="1" a="1"/>
  <c r="CI121" i="7" s="1"/>
  <c r="CJ125" i="7"/>
  <c r="CI122" i="7"/>
  <c r="CH125" i="7"/>
  <c r="CG122" i="7"/>
  <c r="CK121" i="7"/>
  <c r="CO44" i="7"/>
  <c r="CQ88" i="7" s="1" a="1"/>
  <c r="CQ88" i="7" s="1"/>
  <c r="CZ1" i="7"/>
  <c r="CV2" i="7" a="1"/>
  <c r="CU3" i="7" a="1"/>
  <c r="CJ126" i="7" l="1"/>
  <c r="CF122" i="7" a="1"/>
  <c r="CF122" i="7" s="1"/>
  <c r="CK122" i="7" a="1"/>
  <c r="CK122" i="7" s="1"/>
  <c r="CO46" i="7" a="1"/>
  <c r="CO46" i="7" s="1"/>
  <c r="CR44" i="7" a="1"/>
  <c r="CR44" i="7" s="1"/>
  <c r="CU3" i="7"/>
  <c r="CV2" i="7"/>
  <c r="CQ4" i="7" a="1"/>
  <c r="CQ4" i="7" s="1"/>
  <c r="CM8" i="7" a="1"/>
  <c r="CZ88" i="7" a="1"/>
  <c r="CU43" i="7" a="1"/>
  <c r="CU44" i="7" a="1"/>
  <c r="CZ88" i="7" l="1"/>
  <c r="CU86" i="7" a="1"/>
  <c r="CU86" i="7" s="1"/>
  <c r="CU44" i="7"/>
  <c r="CU43" i="7"/>
  <c r="CZ46" i="7" a="1"/>
  <c r="CZ46" i="7" s="1"/>
  <c r="CS44" i="7"/>
  <c r="CV4" i="7" a="1"/>
  <c r="CV4" i="7" s="1"/>
  <c r="CU7" i="7" s="1"/>
  <c r="CX46" i="7" a="1"/>
  <c r="CX46" i="7" s="1"/>
  <c r="CN49" i="7"/>
  <c r="CN48" i="7"/>
  <c r="CO45" i="7"/>
  <c r="CO43" i="7"/>
  <c r="CQ44" i="7" s="1" a="1"/>
  <c r="CQ44" i="7" s="1"/>
  <c r="CR48" i="7"/>
  <c r="CO48" i="7"/>
  <c r="CP49" i="7" s="1"/>
  <c r="CQ45" i="7"/>
  <c r="CP48" i="7"/>
  <c r="CM8" i="7"/>
  <c r="CX3" i="7"/>
  <c r="CV3" i="7"/>
  <c r="CV1" i="7"/>
  <c r="CV6" i="7"/>
  <c r="CY6" i="7"/>
  <c r="CU6" i="7"/>
  <c r="CY2" i="7" a="1"/>
  <c r="CY2" i="7" s="1"/>
  <c r="CW6" i="7"/>
  <c r="CZ4" i="7" a="1"/>
  <c r="CZ4" i="7" s="1"/>
  <c r="CU85" i="7" a="1"/>
  <c r="CM9" i="7" a="1"/>
  <c r="CO86" i="7" a="1"/>
  <c r="CO86" i="7" l="1"/>
  <c r="CU85" i="7"/>
  <c r="CU2" i="7" a="1"/>
  <c r="CU2" i="7" s="1"/>
  <c r="CW7" i="7"/>
  <c r="CN45" i="7" a="1"/>
  <c r="CN45" i="7" s="1"/>
  <c r="CR49" i="7"/>
  <c r="CS45" i="7" a="1"/>
  <c r="CS45" i="7" s="1"/>
  <c r="CM9" i="7"/>
  <c r="CX2" i="7" a="1"/>
  <c r="CX2" i="7" s="1"/>
  <c r="CZ2" i="7"/>
  <c r="CZ3" i="7" a="1"/>
  <c r="CZ3" i="7" s="1"/>
  <c r="CY7" i="7" s="1"/>
  <c r="CN8" i="7" a="1"/>
  <c r="CV44" i="7" a="1"/>
  <c r="CO88" i="7" l="1" a="1"/>
  <c r="CO88" i="7" s="1"/>
  <c r="CR86" i="7" a="1"/>
  <c r="CR86" i="7" s="1"/>
  <c r="CV44" i="7"/>
  <c r="CX88" i="7" s="1" a="1"/>
  <c r="CX88" i="7" s="1"/>
  <c r="CN8" i="7"/>
  <c r="CS8" i="7" a="1"/>
  <c r="CS86" i="7" l="1"/>
  <c r="CO85" i="7"/>
  <c r="CQ86" i="7" s="1" a="1"/>
  <c r="CQ86" i="7" s="1"/>
  <c r="CN91" i="7"/>
  <c r="CO87" i="7"/>
  <c r="CR90" i="7"/>
  <c r="CP90" i="7"/>
  <c r="CN90" i="7"/>
  <c r="CO90" i="7"/>
  <c r="CP91" i="7" s="1"/>
  <c r="CQ87" i="7"/>
  <c r="CV46" i="7" a="1"/>
  <c r="CV46" i="7" s="1"/>
  <c r="CY44" i="7" a="1"/>
  <c r="CY44" i="7" s="1"/>
  <c r="CS8" i="7"/>
  <c r="CN10" i="7" a="1"/>
  <c r="CO9" i="7" a="1"/>
  <c r="CN87" i="7" l="1" a="1"/>
  <c r="CN87" i="7" s="1"/>
  <c r="CR91" i="7"/>
  <c r="CS87" i="7" a="1"/>
  <c r="CS87" i="7" s="1"/>
  <c r="CU49" i="7"/>
  <c r="CY48" i="7"/>
  <c r="CX45" i="7"/>
  <c r="CV48" i="7"/>
  <c r="CW49" i="7" s="1"/>
  <c r="CW48" i="7"/>
  <c r="CV45" i="7"/>
  <c r="CU48" i="7"/>
  <c r="CV43" i="7"/>
  <c r="CX44" i="7" s="1" a="1"/>
  <c r="CX44" i="7" s="1"/>
  <c r="CZ44" i="7"/>
  <c r="CN10" i="7"/>
  <c r="CO9" i="7"/>
  <c r="CQ53" i="7" s="1" a="1"/>
  <c r="CQ53" i="7" s="1"/>
  <c r="CX4" i="7" a="1"/>
  <c r="CX4" i="7" s="1"/>
  <c r="CT8" i="7" a="1"/>
  <c r="CV86" i="7" a="1"/>
  <c r="CN50" i="7" a="1"/>
  <c r="CS95" i="7" a="1"/>
  <c r="CN51" i="7" a="1"/>
  <c r="CS95" i="7" l="1"/>
  <c r="CV86" i="7"/>
  <c r="CN93" i="7" a="1"/>
  <c r="CN93" i="7" s="1"/>
  <c r="CN51" i="7"/>
  <c r="CN50" i="7"/>
  <c r="CZ45" i="7" a="1"/>
  <c r="CZ45" i="7" s="1"/>
  <c r="CY49" i="7"/>
  <c r="CU45" i="7" a="1"/>
  <c r="CU45" i="7" s="1"/>
  <c r="CS53" i="7" a="1"/>
  <c r="CS53" i="7" s="1"/>
  <c r="CT8" i="7"/>
  <c r="CR9" i="7" a="1"/>
  <c r="CR9" i="7" s="1"/>
  <c r="CO8" i="7"/>
  <c r="CP13" i="7"/>
  <c r="CN13" i="7"/>
  <c r="CR13" i="7"/>
  <c r="CQ10" i="7"/>
  <c r="CO13" i="7"/>
  <c r="CO10" i="7"/>
  <c r="CO11" i="7" a="1"/>
  <c r="CO11" i="7" s="1"/>
  <c r="CN14" i="7" s="1"/>
  <c r="CS11" i="7" a="1"/>
  <c r="CS11" i="7" s="1"/>
  <c r="CN92" i="7" a="1"/>
  <c r="CT9" i="7" a="1"/>
  <c r="CN92" i="7" l="1"/>
  <c r="CY86" i="7" a="1"/>
  <c r="CY86" i="7" s="1"/>
  <c r="CV88" i="7" a="1"/>
  <c r="CV88" i="7" s="1"/>
  <c r="CT9" i="7"/>
  <c r="CN9" i="7" a="1"/>
  <c r="CN9" i="7" s="1"/>
  <c r="CS10" i="7" a="1"/>
  <c r="CS10" i="7" s="1"/>
  <c r="CR14" i="7" s="1"/>
  <c r="CS9" i="7"/>
  <c r="CQ9" i="7" a="1"/>
  <c r="CQ9" i="7" s="1"/>
  <c r="CP14" i="7"/>
  <c r="CU8" i="7" a="1"/>
  <c r="CO51" i="7" a="1"/>
  <c r="CY90" i="7" l="1"/>
  <c r="CX87" i="7"/>
  <c r="CW90" i="7"/>
  <c r="CV87" i="7"/>
  <c r="CV90" i="7"/>
  <c r="CW91" i="7" s="1"/>
  <c r="CU90" i="7"/>
  <c r="CU91" i="7"/>
  <c r="CV85" i="7"/>
  <c r="CX86" i="7" s="1" a="1"/>
  <c r="CX86" i="7" s="1"/>
  <c r="CZ86" i="7"/>
  <c r="CO51" i="7"/>
  <c r="CQ95" i="7" s="1" a="1"/>
  <c r="CQ95" i="7" s="1"/>
  <c r="CU8" i="7"/>
  <c r="CZ8" i="7" a="1"/>
  <c r="CY91" i="7" l="1"/>
  <c r="CU87" i="7" a="1"/>
  <c r="CU87" i="7" s="1"/>
  <c r="CZ87" i="7" a="1"/>
  <c r="CZ87" i="7" s="1"/>
  <c r="CO53" i="7" a="1"/>
  <c r="CO53" i="7" s="1"/>
  <c r="CR51" i="7" a="1"/>
  <c r="CR51" i="7" s="1"/>
  <c r="CZ8" i="7"/>
  <c r="CV9" i="7" a="1"/>
  <c r="CU10" i="7" a="1"/>
  <c r="CP55" i="7" l="1"/>
  <c r="CO50" i="7"/>
  <c r="CO55" i="7"/>
  <c r="CP56" i="7" s="1"/>
  <c r="CN55" i="7"/>
  <c r="CQ52" i="7"/>
  <c r="CR55" i="7"/>
  <c r="CN56" i="7"/>
  <c r="CO52" i="7"/>
  <c r="CS51" i="7"/>
  <c r="CU10" i="7"/>
  <c r="CV9" i="7"/>
  <c r="CQ11" i="7" a="1"/>
  <c r="CQ11" i="7" s="1"/>
  <c r="CM15" i="7" a="1"/>
  <c r="CZ95" i="7" a="1"/>
  <c r="CU51" i="7" a="1"/>
  <c r="CU50" i="7" a="1"/>
  <c r="CO93" i="7" a="1"/>
  <c r="CO93" i="7" l="1"/>
  <c r="CZ95" i="7"/>
  <c r="CQ51" i="7" a="1"/>
  <c r="CQ51" i="7" s="1"/>
  <c r="CU93" i="7" a="1"/>
  <c r="CU93" i="7" s="1"/>
  <c r="CU51" i="7"/>
  <c r="CU50" i="7"/>
  <c r="CV11" i="7" a="1"/>
  <c r="CV11" i="7" s="1"/>
  <c r="CU14" i="7" s="1"/>
  <c r="CX53" i="7" a="1"/>
  <c r="CX53" i="7" s="1"/>
  <c r="CZ53" i="7" a="1"/>
  <c r="CZ53" i="7" s="1"/>
  <c r="CR56" i="7"/>
  <c r="CS52" i="7" a="1"/>
  <c r="CS52" i="7" s="1"/>
  <c r="CN52" i="7" a="1"/>
  <c r="CN52" i="7" s="1"/>
  <c r="CM15" i="7"/>
  <c r="CZ11" i="7" a="1"/>
  <c r="CZ11" i="7" s="1"/>
  <c r="CV10" i="7"/>
  <c r="CY9" i="7" a="1"/>
  <c r="CY9" i="7" s="1"/>
  <c r="CU13" i="7"/>
  <c r="CX10" i="7"/>
  <c r="CY13" i="7"/>
  <c r="CV13" i="7"/>
  <c r="CV8" i="7"/>
  <c r="CW13" i="7"/>
  <c r="CM16" i="7" a="1"/>
  <c r="CU92" i="7" a="1"/>
  <c r="CU92" i="7" l="1"/>
  <c r="CO95" i="7" a="1"/>
  <c r="CO95" i="7" s="1"/>
  <c r="CR93" i="7" a="1"/>
  <c r="CR93" i="7" s="1"/>
  <c r="CW14" i="7"/>
  <c r="CM16" i="7"/>
  <c r="CU9" i="7" a="1"/>
  <c r="CU9" i="7" s="1"/>
  <c r="CZ10" i="7" a="1"/>
  <c r="CZ10" i="7" s="1"/>
  <c r="CY14" i="7" s="1"/>
  <c r="CX9" i="7" a="1"/>
  <c r="CX9" i="7" s="1"/>
  <c r="CZ9" i="7"/>
  <c r="CN15" i="7" a="1"/>
  <c r="CV51" i="7" a="1"/>
  <c r="CS93" i="7" l="1"/>
  <c r="CR97" i="7"/>
  <c r="CP97" i="7"/>
  <c r="CO97" i="7"/>
  <c r="CP98" i="7" s="1"/>
  <c r="CQ94" i="7"/>
  <c r="CO92" i="7"/>
  <c r="CQ93" i="7" s="1" a="1"/>
  <c r="CQ93" i="7" s="1"/>
  <c r="CN98" i="7"/>
  <c r="CN97" i="7"/>
  <c r="CO94" i="7"/>
  <c r="CV51" i="7"/>
  <c r="CX95" i="7" s="1" a="1"/>
  <c r="CX95" i="7" s="1"/>
  <c r="CN15" i="7"/>
  <c r="CS15" i="7" a="1"/>
  <c r="CR98" i="7" l="1"/>
  <c r="CS94" i="7" a="1"/>
  <c r="CS94" i="7" s="1"/>
  <c r="CN94" i="7" a="1"/>
  <c r="CN94" i="7" s="1"/>
  <c r="CV53" i="7" a="1"/>
  <c r="CV53" i="7" s="1"/>
  <c r="CY51" i="7" a="1"/>
  <c r="CY51" i="7" s="1"/>
  <c r="CS15" i="7"/>
  <c r="CO16" i="7" a="1"/>
  <c r="CN17" i="7" a="1"/>
  <c r="CY55" i="7" l="1"/>
  <c r="CX52" i="7"/>
  <c r="CV55" i="7"/>
  <c r="CW56" i="7" s="1"/>
  <c r="CU56" i="7"/>
  <c r="CW55" i="7"/>
  <c r="CV50" i="7"/>
  <c r="CV52" i="7"/>
  <c r="CU55" i="7"/>
  <c r="CZ51" i="7"/>
  <c r="CN17" i="7"/>
  <c r="CO16" i="7"/>
  <c r="CX11" i="7" a="1"/>
  <c r="CX11" i="7" s="1"/>
  <c r="CT15" i="7" a="1"/>
  <c r="CV93" i="7" a="1"/>
  <c r="CN58" i="7" a="1"/>
  <c r="CS102" i="7" a="1"/>
  <c r="CN57" i="7" a="1"/>
  <c r="CV93" i="7" l="1"/>
  <c r="CS102" i="7"/>
  <c r="CX51" i="7" a="1"/>
  <c r="CX51" i="7" s="1"/>
  <c r="CN100" i="7" a="1"/>
  <c r="CN100" i="7" s="1"/>
  <c r="CN58" i="7"/>
  <c r="CN57" i="7"/>
  <c r="CO18" i="7" a="1"/>
  <c r="CO18" i="7" s="1"/>
  <c r="CN21" i="7" s="1"/>
  <c r="CQ60" i="7" a="1"/>
  <c r="CQ60" i="7" s="1"/>
  <c r="CY56" i="7"/>
  <c r="CU52" i="7" a="1"/>
  <c r="CU52" i="7" s="1"/>
  <c r="CZ52" i="7" a="1"/>
  <c r="CZ52" i="7" s="1"/>
  <c r="CS60" i="7" a="1"/>
  <c r="CS60" i="7" s="1"/>
  <c r="CT15" i="7"/>
  <c r="CN20" i="7"/>
  <c r="CO17" i="7"/>
  <c r="CQ17" i="7"/>
  <c r="CR16" i="7" a="1"/>
  <c r="CR16" i="7" s="1"/>
  <c r="CO15" i="7"/>
  <c r="CR20" i="7"/>
  <c r="CP20" i="7"/>
  <c r="CO20" i="7"/>
  <c r="CS18" i="7" a="1"/>
  <c r="CS18" i="7" s="1"/>
  <c r="CN99" i="7" a="1"/>
  <c r="CT16" i="7" a="1"/>
  <c r="CN99" i="7" l="1"/>
  <c r="CY93" i="7" a="1"/>
  <c r="CY93" i="7" s="1"/>
  <c r="CV95" i="7" a="1"/>
  <c r="CV95" i="7" s="1"/>
  <c r="CP21" i="7"/>
  <c r="CT16" i="7"/>
  <c r="CS17" i="7" a="1"/>
  <c r="CS17" i="7" s="1"/>
  <c r="CR21" i="7" s="1"/>
  <c r="CN16" i="7" a="1"/>
  <c r="CN16" i="7" s="1"/>
  <c r="CQ16" i="7" a="1"/>
  <c r="CQ16" i="7" s="1"/>
  <c r="CS16" i="7"/>
  <c r="CU15" i="7" a="1"/>
  <c r="CO58" i="7" a="1"/>
  <c r="CV97" i="7" l="1"/>
  <c r="CW98" i="7" s="1"/>
  <c r="CU97" i="7"/>
  <c r="CU98" i="7"/>
  <c r="CV92" i="7"/>
  <c r="CX93" i="7" s="1" a="1"/>
  <c r="CX93" i="7" s="1"/>
  <c r="CW97" i="7"/>
  <c r="CV94" i="7"/>
  <c r="CY97" i="7"/>
  <c r="CX94" i="7"/>
  <c r="CZ93" i="7"/>
  <c r="CO58" i="7"/>
  <c r="CQ102" i="7" s="1" a="1"/>
  <c r="CQ102" i="7" s="1"/>
  <c r="CU15" i="7"/>
  <c r="CZ15" i="7" a="1"/>
  <c r="CY98" i="7" l="1"/>
  <c r="CU94" i="7" a="1"/>
  <c r="CU94" i="7" s="1"/>
  <c r="CZ94" i="7" a="1"/>
  <c r="CZ94" i="7" s="1"/>
  <c r="CR58" i="7" a="1"/>
  <c r="CR58" i="7" s="1"/>
  <c r="CO60" i="7" a="1"/>
  <c r="CO60" i="7" s="1"/>
  <c r="CZ15" i="7"/>
  <c r="CV16" i="7" a="1"/>
  <c r="CU17" i="7" a="1"/>
  <c r="CR62" i="7" l="1"/>
  <c r="CO62" i="7"/>
  <c r="CP63" i="7" s="1"/>
  <c r="CQ59" i="7"/>
  <c r="CP62" i="7"/>
  <c r="CO59" i="7"/>
  <c r="CN62" i="7"/>
  <c r="CN63" i="7"/>
  <c r="CO57" i="7"/>
  <c r="CS58" i="7"/>
  <c r="CV16" i="7"/>
  <c r="CU17" i="7"/>
  <c r="CQ18" i="7" a="1"/>
  <c r="CQ18" i="7" s="1"/>
  <c r="CM22" i="7" a="1"/>
  <c r="CZ102" i="7" a="1"/>
  <c r="CU58" i="7" a="1"/>
  <c r="CO100" i="7" a="1"/>
  <c r="CU57" i="7" a="1"/>
  <c r="CO100" i="7" l="1"/>
  <c r="CZ102" i="7"/>
  <c r="CQ58" i="7" a="1"/>
  <c r="CQ58" i="7" s="1"/>
  <c r="CU100" i="7" a="1"/>
  <c r="CU100" i="7" s="1"/>
  <c r="CU58" i="7"/>
  <c r="CU57" i="7"/>
  <c r="CV18" i="7" a="1"/>
  <c r="CV18" i="7" s="1"/>
  <c r="CU21" i="7" s="1"/>
  <c r="CX60" i="7" a="1"/>
  <c r="CX60" i="7" s="1"/>
  <c r="CZ60" i="7" a="1"/>
  <c r="CZ60" i="7" s="1"/>
  <c r="CS59" i="7" a="1"/>
  <c r="CS59" i="7" s="1"/>
  <c r="CN59" i="7" a="1"/>
  <c r="CN59" i="7" s="1"/>
  <c r="CR63" i="7"/>
  <c r="CM22" i="7"/>
  <c r="CZ18" i="7" a="1"/>
  <c r="CZ18" i="7" s="1"/>
  <c r="CV20" i="7"/>
  <c r="CV15" i="7"/>
  <c r="CU20" i="7"/>
  <c r="CV17" i="7"/>
  <c r="CY16" i="7" a="1"/>
  <c r="CY16" i="7" s="1"/>
  <c r="CY20" i="7"/>
  <c r="CW20" i="7"/>
  <c r="CX17" i="7"/>
  <c r="CU99" i="7" a="1"/>
  <c r="CM23" i="7" a="1"/>
  <c r="CU99" i="7" l="1"/>
  <c r="CO102" i="7" a="1"/>
  <c r="CO102" i="7" s="1"/>
  <c r="CR100" i="7" a="1"/>
  <c r="CR100" i="7" s="1"/>
  <c r="CW21" i="7"/>
  <c r="CM23" i="7"/>
  <c r="CX16" i="7" a="1"/>
  <c r="CX16" i="7" s="1"/>
  <c r="CZ16" i="7"/>
  <c r="CU16" i="7" a="1"/>
  <c r="CU16" i="7" s="1"/>
  <c r="CZ17" i="7" a="1"/>
  <c r="CZ17" i="7" s="1"/>
  <c r="CY21" i="7" s="1"/>
  <c r="CN22" i="7" a="1"/>
  <c r="CV58" i="7" a="1"/>
  <c r="CS100" i="7" l="1"/>
  <c r="CR104" i="7"/>
  <c r="CP104" i="7"/>
  <c r="CO104" i="7"/>
  <c r="CP105" i="7" s="1"/>
  <c r="CQ101" i="7"/>
  <c r="CN105" i="7"/>
  <c r="CN104" i="7"/>
  <c r="CO101" i="7"/>
  <c r="CO99" i="7"/>
  <c r="CQ100" i="7" s="1" a="1"/>
  <c r="CQ100" i="7" s="1"/>
  <c r="CV58" i="7"/>
  <c r="CX102" i="7" s="1" a="1"/>
  <c r="CX102" i="7" s="1"/>
  <c r="CN22" i="7"/>
  <c r="CS22" i="7" a="1"/>
  <c r="CR105" i="7" l="1"/>
  <c r="CS101" i="7" a="1"/>
  <c r="CS101" i="7" s="1"/>
  <c r="CN101" i="7" a="1"/>
  <c r="CN101" i="7" s="1"/>
  <c r="CY58" i="7" a="1"/>
  <c r="CY58" i="7" s="1"/>
  <c r="CV60" i="7" a="1"/>
  <c r="CV60" i="7" s="1"/>
  <c r="CS22" i="7"/>
  <c r="CO23" i="7" a="1"/>
  <c r="CN24" i="7" a="1"/>
  <c r="CZ58" i="7" l="1"/>
  <c r="CV62" i="7"/>
  <c r="CW63" i="7" s="1"/>
  <c r="CU63" i="7"/>
  <c r="CU62" i="7"/>
  <c r="CX59" i="7"/>
  <c r="CV57" i="7"/>
  <c r="CY62" i="7"/>
  <c r="CV59" i="7"/>
  <c r="CW62" i="7"/>
  <c r="CN24" i="7"/>
  <c r="CO23" i="7"/>
  <c r="CX18" i="7" a="1"/>
  <c r="CX18" i="7" s="1"/>
  <c r="CT22" i="7" a="1"/>
  <c r="CV100" i="7" a="1"/>
  <c r="CN64" i="7" a="1"/>
  <c r="CS109" i="7" a="1"/>
  <c r="CN65" i="7" a="1"/>
  <c r="CV100" i="7" l="1"/>
  <c r="CS109" i="7"/>
  <c r="CX58" i="7" a="1"/>
  <c r="CX58" i="7" s="1"/>
  <c r="CN107" i="7" a="1"/>
  <c r="CN107" i="7" s="1"/>
  <c r="CN65" i="7"/>
  <c r="CN64" i="7"/>
  <c r="CS67" i="7" a="1"/>
  <c r="CS67" i="7" s="1"/>
  <c r="CO25" i="7" a="1"/>
  <c r="CO25" i="7" s="1"/>
  <c r="CN28" i="7" s="1"/>
  <c r="CQ67" i="7" a="1"/>
  <c r="CQ67" i="7" s="1"/>
  <c r="CY63" i="7"/>
  <c r="CU59" i="7" a="1"/>
  <c r="CU59" i="7" s="1"/>
  <c r="CZ59" i="7" a="1"/>
  <c r="CZ59" i="7" s="1"/>
  <c r="CT22" i="7"/>
  <c r="CO22" i="7"/>
  <c r="CO27" i="7"/>
  <c r="CN27" i="7"/>
  <c r="CQ24" i="7"/>
  <c r="CO24" i="7"/>
  <c r="CR23" i="7" a="1"/>
  <c r="CR23" i="7" s="1"/>
  <c r="CR27" i="7"/>
  <c r="CP27" i="7"/>
  <c r="CS25" i="7" a="1"/>
  <c r="CS25" i="7" s="1"/>
  <c r="CN106" i="7" a="1"/>
  <c r="CT23" i="7" a="1"/>
  <c r="CN106" i="7" l="1"/>
  <c r="CY100" i="7" a="1"/>
  <c r="CY100" i="7" s="1"/>
  <c r="CV102" i="7" a="1"/>
  <c r="CV102" i="7" s="1"/>
  <c r="CP28" i="7"/>
  <c r="CT23" i="7"/>
  <c r="CS24" i="7" a="1"/>
  <c r="CS24" i="7" s="1"/>
  <c r="CR28" i="7" s="1"/>
  <c r="CN23" i="7" a="1"/>
  <c r="CN23" i="7" s="1"/>
  <c r="CS23" i="7"/>
  <c r="CQ23" i="7" a="1"/>
  <c r="CQ23" i="7" s="1"/>
  <c r="CU22" i="7" a="1"/>
  <c r="CO65" i="7" a="1"/>
  <c r="CU105" i="7" l="1"/>
  <c r="CV99" i="7"/>
  <c r="CX100" i="7" s="1" a="1"/>
  <c r="CX100" i="7" s="1"/>
  <c r="CU104" i="7"/>
  <c r="CY104" i="7"/>
  <c r="CX101" i="7"/>
  <c r="CW104" i="7"/>
  <c r="CV101" i="7"/>
  <c r="CV104" i="7"/>
  <c r="CW105" i="7" s="1"/>
  <c r="CZ100" i="7"/>
  <c r="CO65" i="7"/>
  <c r="CQ109" i="7" s="1" a="1"/>
  <c r="CQ109" i="7" s="1"/>
  <c r="CU22" i="7"/>
  <c r="CZ22" i="7" a="1"/>
  <c r="CZ101" i="7" l="1" a="1"/>
  <c r="CZ101" i="7" s="1"/>
  <c r="CU101" i="7" a="1"/>
  <c r="CU101" i="7" s="1"/>
  <c r="CY105" i="7"/>
  <c r="CO67" i="7" a="1"/>
  <c r="CO67" i="7" s="1"/>
  <c r="CR65" i="7" a="1"/>
  <c r="CR65" i="7" s="1"/>
  <c r="CZ22" i="7"/>
  <c r="CV23" i="7" a="1"/>
  <c r="CU24" i="7" a="1"/>
  <c r="CS65" i="7" l="1"/>
  <c r="CR69" i="7"/>
  <c r="CO69" i="7"/>
  <c r="CP70" i="7" s="1"/>
  <c r="CQ66" i="7"/>
  <c r="CO64" i="7"/>
  <c r="CN70" i="7"/>
  <c r="CP69" i="7"/>
  <c r="CO66" i="7"/>
  <c r="CN69" i="7"/>
  <c r="CV23" i="7"/>
  <c r="CU24" i="7"/>
  <c r="CQ25" i="7" a="1"/>
  <c r="CQ25" i="7" s="1"/>
  <c r="CM29" i="7" a="1"/>
  <c r="CO107" i="7" a="1"/>
  <c r="CU65" i="7" a="1"/>
  <c r="CZ109" i="7" a="1"/>
  <c r="CU64" i="7" a="1"/>
  <c r="CO107" i="7" l="1"/>
  <c r="CZ109" i="7"/>
  <c r="CU107" i="7" a="1"/>
  <c r="CU107" i="7" s="1"/>
  <c r="CU65" i="7"/>
  <c r="CU64" i="7"/>
  <c r="CZ67" i="7" a="1"/>
  <c r="CZ67" i="7" s="1"/>
  <c r="CV25" i="7" a="1"/>
  <c r="CV25" i="7" s="1"/>
  <c r="CU28" i="7" s="1"/>
  <c r="CX67" i="7" a="1"/>
  <c r="CX67" i="7" s="1"/>
  <c r="CR70" i="7"/>
  <c r="CS66" i="7" a="1"/>
  <c r="CS66" i="7" s="1"/>
  <c r="CN66" i="7" a="1"/>
  <c r="CN66" i="7" s="1"/>
  <c r="CQ65" i="7" a="1"/>
  <c r="CQ65" i="7" s="1"/>
  <c r="CM29" i="7"/>
  <c r="CV24" i="7"/>
  <c r="CY27" i="7"/>
  <c r="CW27" i="7"/>
  <c r="CX24" i="7"/>
  <c r="CV27" i="7"/>
  <c r="CY23" i="7" a="1"/>
  <c r="CY23" i="7" s="1"/>
  <c r="CU27" i="7"/>
  <c r="CV22" i="7"/>
  <c r="CZ25" i="7" a="1"/>
  <c r="CZ25" i="7" s="1"/>
  <c r="CU106" i="7" a="1"/>
  <c r="CM30" i="7" a="1"/>
  <c r="CU106" i="7" l="1"/>
  <c r="CO109" i="7" a="1"/>
  <c r="CO109" i="7" s="1"/>
  <c r="CR107" i="7" a="1"/>
  <c r="CR107" i="7" s="1"/>
  <c r="CW28" i="7"/>
  <c r="CM30" i="7"/>
  <c r="CZ23" i="7"/>
  <c r="CX23" i="7" a="1"/>
  <c r="CX23" i="7" s="1"/>
  <c r="CU23" i="7" a="1"/>
  <c r="CU23" i="7" s="1"/>
  <c r="CZ24" i="7" a="1"/>
  <c r="CZ24" i="7" s="1"/>
  <c r="CY28" i="7" s="1"/>
  <c r="CN29" i="7" a="1"/>
  <c r="CV65" i="7" a="1"/>
  <c r="CS107" i="7" l="1"/>
  <c r="CO111" i="7"/>
  <c r="CP112" i="7" s="1"/>
  <c r="CQ108" i="7"/>
  <c r="CN112" i="7"/>
  <c r="CN111" i="7"/>
  <c r="CO108" i="7"/>
  <c r="CO106" i="7"/>
  <c r="CP111" i="7"/>
  <c r="CR111" i="7"/>
  <c r="CV65" i="7"/>
  <c r="CX109" i="7" s="1" a="1"/>
  <c r="CX109" i="7" s="1"/>
  <c r="CN29" i="7"/>
  <c r="CS29" i="7" a="1"/>
  <c r="CN108" i="7" l="1" a="1"/>
  <c r="CN108" i="7" s="1"/>
  <c r="CR112" i="7"/>
  <c r="CS108" i="7" a="1"/>
  <c r="CS108" i="7" s="1"/>
  <c r="CQ107" i="7" a="1"/>
  <c r="CQ107" i="7" s="1"/>
  <c r="CY65" i="7" a="1"/>
  <c r="CY65" i="7" s="1"/>
  <c r="CV67" i="7" a="1"/>
  <c r="CV67" i="7" s="1"/>
  <c r="CS29" i="7"/>
  <c r="CO30" i="7" a="1"/>
  <c r="CN31" i="7" a="1"/>
  <c r="CU70" i="7" l="1"/>
  <c r="CY69" i="7"/>
  <c r="CX66" i="7"/>
  <c r="CU69" i="7"/>
  <c r="CV64" i="7"/>
  <c r="CV66" i="7"/>
  <c r="CW69" i="7"/>
  <c r="CV69" i="7"/>
  <c r="CW70" i="7" s="1"/>
  <c r="CZ65" i="7"/>
  <c r="CN31" i="7"/>
  <c r="CO30" i="7"/>
  <c r="CX25" i="7" a="1"/>
  <c r="CX25" i="7" s="1"/>
  <c r="CT29" i="7" a="1"/>
  <c r="CV107" i="7" a="1"/>
  <c r="CS116" i="7" a="1"/>
  <c r="CN71" i="7" a="1"/>
  <c r="CN72" i="7" a="1"/>
  <c r="CV107" i="7" l="1"/>
  <c r="CS116" i="7"/>
  <c r="CN114" i="7" a="1"/>
  <c r="CN114" i="7" s="1"/>
  <c r="CN72" i="7"/>
  <c r="CN71" i="7"/>
  <c r="CO32" i="7" a="1"/>
  <c r="CO32" i="7" s="1"/>
  <c r="CN35" i="7" s="1"/>
  <c r="CQ74" i="7" a="1"/>
  <c r="CQ74" i="7" s="1"/>
  <c r="CS74" i="7" a="1"/>
  <c r="CS74" i="7" s="1"/>
  <c r="CZ66" i="7" a="1"/>
  <c r="CZ66" i="7" s="1"/>
  <c r="CY70" i="7"/>
  <c r="CU66" i="7" a="1"/>
  <c r="CU66" i="7" s="1"/>
  <c r="CX65" i="7" a="1"/>
  <c r="CX65" i="7" s="1"/>
  <c r="CT29" i="7"/>
  <c r="CR30" i="7" a="1"/>
  <c r="CR30" i="7" s="1"/>
  <c r="CO29" i="7"/>
  <c r="CR34" i="7"/>
  <c r="CP34" i="7"/>
  <c r="CN34" i="7"/>
  <c r="CQ31" i="7"/>
  <c r="CO31" i="7"/>
  <c r="CO34" i="7"/>
  <c r="CS32" i="7" a="1"/>
  <c r="CS32" i="7" s="1"/>
  <c r="CT30" i="7" a="1"/>
  <c r="CN113" i="7" a="1"/>
  <c r="CN113" i="7" l="1"/>
  <c r="CV109" i="7" a="1"/>
  <c r="CV109" i="7" s="1"/>
  <c r="CY107" i="7" a="1"/>
  <c r="CY107" i="7" s="1"/>
  <c r="CP35" i="7"/>
  <c r="CT30" i="7"/>
  <c r="CS31" i="7" a="1"/>
  <c r="CS31" i="7" s="1"/>
  <c r="CR35" i="7" s="1"/>
  <c r="CN30" i="7" a="1"/>
  <c r="CN30" i="7" s="1"/>
  <c r="CQ30" i="7" a="1"/>
  <c r="CQ30" i="7" s="1"/>
  <c r="CS30" i="7"/>
  <c r="CU29" i="7" a="1"/>
  <c r="CO72" i="7" a="1"/>
  <c r="CZ107" i="7" l="1"/>
  <c r="CV106" i="7"/>
  <c r="CX107" i="7" s="1" a="1"/>
  <c r="CX107" i="7" s="1"/>
  <c r="CY111" i="7"/>
  <c r="CX108" i="7"/>
  <c r="CW111" i="7"/>
  <c r="CV108" i="7"/>
  <c r="CV111" i="7"/>
  <c r="CW112" i="7" s="1"/>
  <c r="CU111" i="7"/>
  <c r="CU112" i="7"/>
  <c r="CO72" i="7"/>
  <c r="CQ116" i="7" s="1" a="1"/>
  <c r="CQ116" i="7" s="1"/>
  <c r="CU29" i="7"/>
  <c r="CZ29" i="7" a="1"/>
  <c r="CZ108" i="7" l="1" a="1"/>
  <c r="CZ108" i="7" s="1"/>
  <c r="CY112" i="7"/>
  <c r="CU108" i="7" a="1"/>
  <c r="CU108" i="7" s="1"/>
  <c r="CR72" i="7" a="1"/>
  <c r="CR72" i="7" s="1"/>
  <c r="CO74" i="7" a="1"/>
  <c r="CO74" i="7" s="1"/>
  <c r="CZ29" i="7"/>
  <c r="CV30" i="7" a="1"/>
  <c r="CU31" i="7" a="1"/>
  <c r="CS72" i="7" l="1"/>
  <c r="CO76" i="7"/>
  <c r="CP77" i="7" s="1"/>
  <c r="CQ73" i="7"/>
  <c r="CN77" i="7"/>
  <c r="CN76" i="7"/>
  <c r="CR76" i="7"/>
  <c r="CO71" i="7"/>
  <c r="CP76" i="7"/>
  <c r="CO73" i="7"/>
  <c r="CU31" i="7"/>
  <c r="CV30" i="7"/>
  <c r="CQ32" i="7" a="1"/>
  <c r="CQ32" i="7" s="1"/>
  <c r="CM36" i="7" a="1"/>
  <c r="CO114" i="7" a="1"/>
  <c r="CZ116" i="7" a="1"/>
  <c r="CU71" i="7" a="1"/>
  <c r="CU72" i="7" a="1"/>
  <c r="CO114" i="7" l="1"/>
  <c r="CZ116" i="7"/>
  <c r="CQ72" i="7" a="1"/>
  <c r="CQ72" i="7" s="1"/>
  <c r="CU114" i="7" a="1"/>
  <c r="CU114" i="7" s="1"/>
  <c r="CU72" i="7"/>
  <c r="CU71" i="7"/>
  <c r="CV32" i="7" a="1"/>
  <c r="CV32" i="7" s="1"/>
  <c r="CU35" i="7" s="1"/>
  <c r="CX74" i="7" a="1"/>
  <c r="CX74" i="7" s="1"/>
  <c r="CZ74" i="7" a="1"/>
  <c r="CZ74" i="7" s="1"/>
  <c r="CN73" i="7" a="1"/>
  <c r="CN73" i="7" s="1"/>
  <c r="CS73" i="7" a="1"/>
  <c r="CS73" i="7" s="1"/>
  <c r="CR77" i="7"/>
  <c r="CM36" i="7"/>
  <c r="CV29" i="7"/>
  <c r="CU34" i="7"/>
  <c r="CY30" i="7" a="1"/>
  <c r="CY30" i="7" s="1"/>
  <c r="CY34" i="7"/>
  <c r="CW34" i="7"/>
  <c r="CX31" i="7"/>
  <c r="CV31" i="7"/>
  <c r="CV34" i="7"/>
  <c r="CZ32" i="7" a="1"/>
  <c r="CZ32" i="7" s="1"/>
  <c r="CU113" i="7" a="1"/>
  <c r="CM37" i="7" a="1"/>
  <c r="CU113" i="7" l="1"/>
  <c r="CO116" i="7" a="1"/>
  <c r="CO116" i="7" s="1"/>
  <c r="CR114" i="7" a="1"/>
  <c r="CR114" i="7" s="1"/>
  <c r="CW35" i="7"/>
  <c r="CM37" i="7"/>
  <c r="CU30" i="7" a="1"/>
  <c r="CU30" i="7" s="1"/>
  <c r="CZ31" i="7" a="1"/>
  <c r="CZ31" i="7" s="1"/>
  <c r="CY35" i="7" s="1"/>
  <c r="CZ30" i="7"/>
  <c r="CX30" i="7" a="1"/>
  <c r="CX30" i="7" s="1"/>
  <c r="CN36" i="7" a="1"/>
  <c r="CV72" i="7" a="1"/>
  <c r="CS114" i="7" l="1"/>
  <c r="CO113" i="7"/>
  <c r="CQ114" i="7" s="1" a="1"/>
  <c r="CQ114" i="7" s="1"/>
  <c r="CR118" i="7"/>
  <c r="CN119" i="7"/>
  <c r="CP118" i="7"/>
  <c r="CO118" i="7"/>
  <c r="CP119" i="7" s="1"/>
  <c r="CQ115" i="7"/>
  <c r="CN118" i="7"/>
  <c r="CO115" i="7"/>
  <c r="CV72" i="7"/>
  <c r="CX116" i="7" s="1" a="1"/>
  <c r="CX116" i="7" s="1"/>
  <c r="CN36" i="7"/>
  <c r="CS36" i="7" a="1"/>
  <c r="CN115" i="7" l="1" a="1"/>
  <c r="CN115" i="7" s="1"/>
  <c r="CR119" i="7"/>
  <c r="CS115" i="7" a="1"/>
  <c r="CS115" i="7" s="1"/>
  <c r="CY72" i="7" a="1"/>
  <c r="CY72" i="7" s="1"/>
  <c r="CV74" i="7" a="1"/>
  <c r="CV74" i="7" s="1"/>
  <c r="CS36" i="7"/>
  <c r="CO37" i="7" a="1"/>
  <c r="CN38" i="7" a="1"/>
  <c r="CY76" i="7" l="1"/>
  <c r="CX73" i="7"/>
  <c r="CV76" i="7"/>
  <c r="CW77" i="7" s="1"/>
  <c r="CV73" i="7"/>
  <c r="CW76" i="7"/>
  <c r="CU76" i="7"/>
  <c r="CV71" i="7"/>
  <c r="CU77" i="7"/>
  <c r="CZ72" i="7"/>
  <c r="CO37" i="7"/>
  <c r="CN38" i="7"/>
  <c r="CX32" i="7" a="1"/>
  <c r="CX32" i="7" s="1"/>
  <c r="CT36" i="7" a="1"/>
  <c r="CS123" i="7" a="1"/>
  <c r="CN79" i="7" a="1"/>
  <c r="CV114" i="7" a="1"/>
  <c r="CN78" i="7" a="1"/>
  <c r="CV114" i="7" l="1"/>
  <c r="CS123" i="7"/>
  <c r="CN121" i="7" a="1"/>
  <c r="CN121" i="7" s="1"/>
  <c r="CN79" i="7"/>
  <c r="CN78" i="7"/>
  <c r="CY77" i="7"/>
  <c r="CU73" i="7" a="1"/>
  <c r="CU73" i="7" s="1"/>
  <c r="CZ73" i="7" a="1"/>
  <c r="CZ73" i="7" s="1"/>
  <c r="CO39" i="7" a="1"/>
  <c r="CO39" i="7" s="1"/>
  <c r="CN42" i="7" s="1"/>
  <c r="CQ81" i="7" a="1"/>
  <c r="CQ81" i="7" s="1"/>
  <c r="CS81" i="7" a="1"/>
  <c r="CS81" i="7" s="1"/>
  <c r="CX72" i="7" a="1"/>
  <c r="CX72" i="7" s="1"/>
  <c r="CT36" i="7"/>
  <c r="CS39" i="7" a="1"/>
  <c r="CS39" i="7" s="1"/>
  <c r="CQ38" i="7"/>
  <c r="CR37" i="7" a="1"/>
  <c r="CR37" i="7" s="1"/>
  <c r="CO38" i="7"/>
  <c r="CN41" i="7"/>
  <c r="CO36" i="7"/>
  <c r="CO41" i="7"/>
  <c r="CR41" i="7"/>
  <c r="CP41" i="7"/>
  <c r="CN120" i="7" a="1"/>
  <c r="CT37" i="7" a="1"/>
  <c r="CN120" i="7" l="1"/>
  <c r="CY114" i="7" a="1"/>
  <c r="CY114" i="7" s="1"/>
  <c r="CV116" i="7" a="1"/>
  <c r="CV116" i="7" s="1"/>
  <c r="CP42" i="7"/>
  <c r="CT37" i="7"/>
  <c r="CS37" i="7"/>
  <c r="CQ37" i="7" a="1"/>
  <c r="CQ37" i="7" s="1"/>
  <c r="CS38" i="7" a="1"/>
  <c r="CS38" i="7" s="1"/>
  <c r="CR42" i="7" s="1"/>
  <c r="CN37" i="7" a="1"/>
  <c r="CN37" i="7" s="1"/>
  <c r="CU36" i="7" a="1"/>
  <c r="CO79" i="7" a="1"/>
  <c r="CY118" i="7" l="1"/>
  <c r="CX115" i="7"/>
  <c r="CW118" i="7"/>
  <c r="CV115" i="7"/>
  <c r="CV118" i="7"/>
  <c r="CW119" i="7" s="1"/>
  <c r="CU118" i="7"/>
  <c r="CU119" i="7"/>
  <c r="CV113" i="7"/>
  <c r="CX114" i="7" s="1" a="1"/>
  <c r="CX114" i="7" s="1"/>
  <c r="CZ114" i="7"/>
  <c r="CO79" i="7"/>
  <c r="CQ123" i="7" s="1" a="1"/>
  <c r="CQ123" i="7" s="1"/>
  <c r="CU36" i="7"/>
  <c r="CZ36" i="7" a="1"/>
  <c r="CY119" i="7" l="1"/>
  <c r="CU115" i="7" a="1"/>
  <c r="CU115" i="7" s="1"/>
  <c r="CZ115" i="7" a="1"/>
  <c r="CZ115" i="7" s="1"/>
  <c r="CR79" i="7" a="1"/>
  <c r="CR79" i="7" s="1"/>
  <c r="CO81" i="7" a="1"/>
  <c r="CO81" i="7" s="1"/>
  <c r="CZ36" i="7"/>
  <c r="CU38" i="7" a="1"/>
  <c r="CV37" i="7" a="1"/>
  <c r="CS79" i="7" l="1"/>
  <c r="CR83" i="7"/>
  <c r="CP83" i="7"/>
  <c r="CQ80" i="7"/>
  <c r="CO83" i="7"/>
  <c r="CP84" i="7" s="1"/>
  <c r="CO80" i="7"/>
  <c r="CN83" i="7"/>
  <c r="CO78" i="7"/>
  <c r="CN84" i="7"/>
  <c r="CU38" i="7"/>
  <c r="CV37" i="7"/>
  <c r="CX81" i="7" s="1" a="1"/>
  <c r="CX81" i="7" s="1"/>
  <c r="CQ39" i="7" a="1"/>
  <c r="CQ39" i="7" s="1"/>
  <c r="DB1" i="7" a="1"/>
  <c r="CU78" i="7" a="1"/>
  <c r="CZ123" i="7" a="1"/>
  <c r="CO121" i="7" a="1"/>
  <c r="CU79" i="7" a="1"/>
  <c r="CO121" i="7" l="1"/>
  <c r="CZ123" i="7"/>
  <c r="CU121" i="7" a="1"/>
  <c r="CU121" i="7" s="1"/>
  <c r="CU79" i="7"/>
  <c r="CU78" i="7"/>
  <c r="CZ81" i="7" a="1"/>
  <c r="CZ81" i="7" s="1"/>
  <c r="CN80" i="7" a="1"/>
  <c r="CN80" i="7" s="1"/>
  <c r="CR84" i="7"/>
  <c r="CS80" i="7" a="1"/>
  <c r="CS80" i="7" s="1"/>
  <c r="CQ79" i="7" a="1"/>
  <c r="CQ79" i="7" s="1"/>
  <c r="DB1" i="7"/>
  <c r="CV38" i="7"/>
  <c r="CY37" i="7" a="1"/>
  <c r="CY37" i="7" s="1"/>
  <c r="CV41" i="7"/>
  <c r="CX38" i="7"/>
  <c r="CV36" i="7"/>
  <c r="CY41" i="7"/>
  <c r="CW41" i="7"/>
  <c r="CU41" i="7"/>
  <c r="CZ39" i="7" a="1"/>
  <c r="CZ39" i="7" s="1"/>
  <c r="CV39" i="7" a="1"/>
  <c r="CV39" i="7" s="1"/>
  <c r="CU42" i="7" s="1"/>
  <c r="DB2" i="7" a="1"/>
  <c r="CU120" i="7" a="1"/>
  <c r="CU120" i="7" l="1"/>
  <c r="CO123" i="7" a="1"/>
  <c r="CO123" i="7" s="1"/>
  <c r="CR121" i="7" a="1"/>
  <c r="CR121" i="7" s="1"/>
  <c r="DB2" i="7"/>
  <c r="CW42" i="7"/>
  <c r="CZ37" i="7"/>
  <c r="CX37" i="7" a="1"/>
  <c r="CX37" i="7" s="1"/>
  <c r="CZ38" i="7" a="1"/>
  <c r="CZ38" i="7" s="1"/>
  <c r="CY42" i="7" s="1"/>
  <c r="CU37" i="7" a="1"/>
  <c r="CU37" i="7" s="1"/>
  <c r="DC1" i="7" a="1"/>
  <c r="CV79" i="7" a="1"/>
  <c r="CS121" i="7" l="1"/>
  <c r="CR125" i="7"/>
  <c r="CP125" i="7"/>
  <c r="CO120" i="7"/>
  <c r="CQ121" i="7" s="1" a="1"/>
  <c r="CQ121" i="7" s="1"/>
  <c r="CO125" i="7"/>
  <c r="CP126" i="7" s="1"/>
  <c r="CQ122" i="7"/>
  <c r="CN126" i="7"/>
  <c r="CN125" i="7"/>
  <c r="CO122" i="7"/>
  <c r="CV79" i="7"/>
  <c r="CX123" i="7" s="1" a="1"/>
  <c r="CX123" i="7" s="1"/>
  <c r="DC1" i="7"/>
  <c r="DH1" i="7" a="1"/>
  <c r="CR126" i="7" l="1"/>
  <c r="CS122" i="7" a="1"/>
  <c r="CS122" i="7" s="1"/>
  <c r="CN122" i="7" a="1"/>
  <c r="CN122" i="7" s="1"/>
  <c r="CY79" i="7" a="1"/>
  <c r="CY79" i="7" s="1"/>
  <c r="CV81" i="7" a="1"/>
  <c r="CV81" i="7" s="1"/>
  <c r="DH1" i="7"/>
  <c r="DI1" i="7" a="1"/>
  <c r="DD2" i="7" a="1"/>
  <c r="DC3" i="7" a="1"/>
  <c r="CZ79" i="7" l="1"/>
  <c r="CY83" i="7"/>
  <c r="CX80" i="7"/>
  <c r="CV83" i="7"/>
  <c r="CW84" i="7" s="1"/>
  <c r="CU84" i="7"/>
  <c r="CV78" i="7"/>
  <c r="CU83" i="7"/>
  <c r="CV80" i="7"/>
  <c r="CW83" i="7"/>
  <c r="DC3" i="7"/>
  <c r="DD2" i="7"/>
  <c r="DI1" i="7"/>
  <c r="CX39" i="7" a="1"/>
  <c r="CX39" i="7" s="1"/>
  <c r="DC44" i="7" a="1"/>
  <c r="CV121" i="7" a="1"/>
  <c r="DI2" i="7" a="1"/>
  <c r="DH88" i="7" a="1"/>
  <c r="DC43" i="7" a="1"/>
  <c r="DH88" i="7" l="1"/>
  <c r="DC86" i="7" a="1"/>
  <c r="DC86" i="7" s="1"/>
  <c r="CV121" i="7"/>
  <c r="CX79" i="7" a="1"/>
  <c r="CX79" i="7" s="1"/>
  <c r="DC44" i="7"/>
  <c r="DC43" i="7"/>
  <c r="DD4" i="7" a="1"/>
  <c r="DD4" i="7" s="1"/>
  <c r="DC2" i="7" s="1" a="1"/>
  <c r="DC2" i="7" s="1"/>
  <c r="DF46" i="7" a="1"/>
  <c r="DF46" i="7" s="1"/>
  <c r="DH46" i="7" a="1"/>
  <c r="DH46" i="7" s="1"/>
  <c r="CY84" i="7"/>
  <c r="CZ80" i="7" a="1"/>
  <c r="CZ80" i="7" s="1"/>
  <c r="CU80" i="7" a="1"/>
  <c r="CU80" i="7" s="1"/>
  <c r="DI2" i="7"/>
  <c r="DF3" i="7"/>
  <c r="DD3" i="7"/>
  <c r="DC6" i="7"/>
  <c r="DD1" i="7"/>
  <c r="DG6" i="7"/>
  <c r="DE6" i="7"/>
  <c r="DG2" i="7" a="1"/>
  <c r="DG2" i="7" s="1"/>
  <c r="DD6" i="7"/>
  <c r="DH4" i="7" a="1"/>
  <c r="DH4" i="7" s="1"/>
  <c r="DJ1" i="7" a="1"/>
  <c r="DC85" i="7" a="1"/>
  <c r="DC85" i="7" l="1"/>
  <c r="CY121" i="7" a="1"/>
  <c r="CY121" i="7" s="1"/>
  <c r="CV123" i="7" a="1"/>
  <c r="CV123" i="7" s="1"/>
  <c r="DE7" i="7"/>
  <c r="DC7" i="7"/>
  <c r="DJ1" i="7"/>
  <c r="DH3" i="7" a="1"/>
  <c r="DH3" i="7" s="1"/>
  <c r="DG7" i="7" s="1"/>
  <c r="DH2" i="7"/>
  <c r="DF2" i="7" a="1"/>
  <c r="DF2" i="7" s="1"/>
  <c r="DD44" i="7" a="1"/>
  <c r="DO1" i="7" a="1"/>
  <c r="CV125" i="7" l="1"/>
  <c r="CW126" i="7" s="1"/>
  <c r="CU125" i="7"/>
  <c r="CU126" i="7"/>
  <c r="CV120" i="7"/>
  <c r="CX121" i="7" s="1" a="1"/>
  <c r="CX121" i="7" s="1"/>
  <c r="CY125" i="7"/>
  <c r="CX122" i="7"/>
  <c r="CW125" i="7"/>
  <c r="CV122" i="7"/>
  <c r="CZ121" i="7"/>
  <c r="DD44" i="7"/>
  <c r="DF88" i="7" s="1" a="1"/>
  <c r="DF88" i="7" s="1"/>
  <c r="DO1" i="7"/>
  <c r="DK2" i="7" a="1"/>
  <c r="DJ3" i="7" a="1"/>
  <c r="CY126" i="7" l="1"/>
  <c r="CU122" i="7" a="1"/>
  <c r="CU122" i="7" s="1"/>
  <c r="CZ122" i="7" a="1"/>
  <c r="CZ122" i="7" s="1"/>
  <c r="DD46" i="7" a="1"/>
  <c r="DD46" i="7" s="1"/>
  <c r="DG44" i="7" a="1"/>
  <c r="DG44" i="7" s="1"/>
  <c r="DJ3" i="7"/>
  <c r="DK2" i="7"/>
  <c r="DF4" i="7" a="1"/>
  <c r="DF4" i="7" s="1"/>
  <c r="DB8" i="7" a="1"/>
  <c r="DJ44" i="7" a="1"/>
  <c r="DJ43" i="7" a="1"/>
  <c r="DO88" i="7" a="1"/>
  <c r="DO88" i="7" l="1"/>
  <c r="DJ86" i="7" a="1"/>
  <c r="DJ86" i="7" s="1"/>
  <c r="DJ44" i="7"/>
  <c r="DJ43" i="7"/>
  <c r="DH44" i="7"/>
  <c r="DK4" i="7" a="1"/>
  <c r="DK4" i="7" s="1"/>
  <c r="DJ2" i="7" s="1" a="1"/>
  <c r="DJ2" i="7" s="1"/>
  <c r="DM46" i="7" a="1"/>
  <c r="DM46" i="7" s="1"/>
  <c r="DO46" i="7" a="1"/>
  <c r="DO46" i="7" s="1"/>
  <c r="DD43" i="7"/>
  <c r="DG48" i="7"/>
  <c r="DE48" i="7"/>
  <c r="DD45" i="7"/>
  <c r="DC49" i="7"/>
  <c r="DD48" i="7"/>
  <c r="DE49" i="7" s="1"/>
  <c r="DC48" i="7"/>
  <c r="DF45" i="7"/>
  <c r="DB8" i="7"/>
  <c r="DM3" i="7"/>
  <c r="DL6" i="7"/>
  <c r="DK3" i="7"/>
  <c r="DK1" i="7"/>
  <c r="DK6" i="7"/>
  <c r="DN2" i="7" a="1"/>
  <c r="DN2" i="7" s="1"/>
  <c r="DJ6" i="7"/>
  <c r="DN6" i="7"/>
  <c r="DO4" i="7" a="1"/>
  <c r="DO4" i="7" s="1"/>
  <c r="DD86" i="7" a="1"/>
  <c r="DJ85" i="7" a="1"/>
  <c r="DB9" i="7" a="1"/>
  <c r="DJ85" i="7" l="1"/>
  <c r="DD86" i="7"/>
  <c r="DF44" i="7" a="1"/>
  <c r="DF44" i="7" s="1"/>
  <c r="DJ7" i="7"/>
  <c r="DC45" i="7" a="1"/>
  <c r="DC45" i="7" s="1"/>
  <c r="DH45" i="7" a="1"/>
  <c r="DH45" i="7" s="1"/>
  <c r="DG49" i="7"/>
  <c r="DL7" i="7"/>
  <c r="DB9" i="7"/>
  <c r="DO2" i="7"/>
  <c r="DM2" i="7" a="1"/>
  <c r="DM2" i="7" s="1"/>
  <c r="DO3" i="7" a="1"/>
  <c r="DO3" i="7" s="1"/>
  <c r="DN7" i="7" s="1"/>
  <c r="DC8" i="7" a="1"/>
  <c r="DK44" i="7" a="1"/>
  <c r="DG86" i="7" l="1" a="1"/>
  <c r="DG86" i="7" s="1"/>
  <c r="DD88" i="7" a="1"/>
  <c r="DD88" i="7" s="1"/>
  <c r="DK44" i="7"/>
  <c r="DM88" i="7" s="1" a="1"/>
  <c r="DM88" i="7" s="1"/>
  <c r="DC8" i="7"/>
  <c r="DH8" i="7" a="1"/>
  <c r="DD85" i="7" l="1"/>
  <c r="DF86" i="7" s="1" a="1"/>
  <c r="DF86" i="7" s="1"/>
  <c r="DC91" i="7"/>
  <c r="DE90" i="7"/>
  <c r="DC90" i="7"/>
  <c r="DD87" i="7"/>
  <c r="DG90" i="7"/>
  <c r="DD90" i="7"/>
  <c r="DE91" i="7" s="1"/>
  <c r="DF87" i="7"/>
  <c r="DH86" i="7"/>
  <c r="DN44" i="7" a="1"/>
  <c r="DN44" i="7" s="1"/>
  <c r="DK46" i="7" a="1"/>
  <c r="DK46" i="7" s="1"/>
  <c r="DH8" i="7"/>
  <c r="DD9" i="7" a="1"/>
  <c r="DC10" i="7" a="1"/>
  <c r="DC87" i="7" l="1" a="1"/>
  <c r="DC87" i="7" s="1"/>
  <c r="DG91" i="7"/>
  <c r="DH87" i="7" a="1"/>
  <c r="DH87" i="7" s="1"/>
  <c r="DL48" i="7"/>
  <c r="DK45" i="7"/>
  <c r="DJ49" i="7"/>
  <c r="DK48" i="7"/>
  <c r="DL49" i="7" s="1"/>
  <c r="DK43" i="7"/>
  <c r="DM44" i="7" s="1" a="1"/>
  <c r="DM44" i="7" s="1"/>
  <c r="DJ48" i="7"/>
  <c r="DN48" i="7"/>
  <c r="DM45" i="7"/>
  <c r="DO44" i="7"/>
  <c r="DD9" i="7"/>
  <c r="DC10" i="7"/>
  <c r="DM4" i="7" a="1"/>
  <c r="DM4" i="7" s="1"/>
  <c r="DI8" i="7" a="1"/>
  <c r="DC51" i="7" a="1"/>
  <c r="DC50" i="7" a="1"/>
  <c r="DH95" i="7" a="1"/>
  <c r="DK86" i="7" a="1"/>
  <c r="DK86" i="7" l="1"/>
  <c r="DH95" i="7"/>
  <c r="DC93" i="7" a="1"/>
  <c r="DC93" i="7" s="1"/>
  <c r="DC51" i="7"/>
  <c r="DC50" i="7"/>
  <c r="DH53" i="7" a="1"/>
  <c r="DH53" i="7" s="1"/>
  <c r="DN49" i="7"/>
  <c r="DJ45" i="7" a="1"/>
  <c r="DJ45" i="7" s="1"/>
  <c r="DO45" i="7" a="1"/>
  <c r="DO45" i="7" s="1"/>
  <c r="DD11" i="7" a="1"/>
  <c r="DD11" i="7" s="1"/>
  <c r="DC14" i="7" s="1"/>
  <c r="DF53" i="7" a="1"/>
  <c r="DF53" i="7" s="1"/>
  <c r="DI8" i="7"/>
  <c r="DH11" i="7" a="1"/>
  <c r="DH11" i="7" s="1"/>
  <c r="DF10" i="7"/>
  <c r="DE13" i="7"/>
  <c r="DD10" i="7"/>
  <c r="DC13" i="7"/>
  <c r="DG13" i="7"/>
  <c r="DD13" i="7"/>
  <c r="DG9" i="7" a="1"/>
  <c r="DG9" i="7" s="1"/>
  <c r="DD8" i="7"/>
  <c r="DI9" i="7" a="1"/>
  <c r="DC92" i="7" a="1"/>
  <c r="DC92" i="7" l="1"/>
  <c r="DK88" i="7" a="1"/>
  <c r="DK88" i="7" s="1"/>
  <c r="DN86" i="7" a="1"/>
  <c r="DN86" i="7" s="1"/>
  <c r="DE14" i="7"/>
  <c r="DI9" i="7"/>
  <c r="DH10" i="7" a="1"/>
  <c r="DH10" i="7" s="1"/>
  <c r="DG14" i="7" s="1"/>
  <c r="DC9" i="7" a="1"/>
  <c r="DC9" i="7" s="1"/>
  <c r="DH9" i="7"/>
  <c r="DF9" i="7" a="1"/>
  <c r="DF9" i="7" s="1"/>
  <c r="DJ8" i="7" a="1"/>
  <c r="DD51" i="7" a="1"/>
  <c r="DO86" i="7" l="1"/>
  <c r="DN90" i="7"/>
  <c r="DM87" i="7"/>
  <c r="DL90" i="7"/>
  <c r="DK87" i="7"/>
  <c r="DK90" i="7"/>
  <c r="DL91" i="7" s="1"/>
  <c r="DJ90" i="7"/>
  <c r="DK85" i="7"/>
  <c r="DM86" i="7" s="1" a="1"/>
  <c r="DM86" i="7" s="1"/>
  <c r="DJ91" i="7"/>
  <c r="DD51" i="7"/>
  <c r="DF95" i="7" s="1" a="1"/>
  <c r="DF95" i="7" s="1"/>
  <c r="DJ8" i="7"/>
  <c r="DO8" i="7" a="1"/>
  <c r="DN91" i="7" l="1"/>
  <c r="DJ87" i="7" a="1"/>
  <c r="DJ87" i="7" s="1"/>
  <c r="DO87" i="7" a="1"/>
  <c r="DO87" i="7" s="1"/>
  <c r="DD53" i="7" a="1"/>
  <c r="DD53" i="7" s="1"/>
  <c r="DG51" i="7" a="1"/>
  <c r="DG51" i="7" s="1"/>
  <c r="DO8" i="7"/>
  <c r="DJ10" i="7" a="1"/>
  <c r="DK9" i="7" a="1"/>
  <c r="DH51" i="7" l="1"/>
  <c r="DG55" i="7"/>
  <c r="DD55" i="7"/>
  <c r="DE56" i="7" s="1"/>
  <c r="DD50" i="7"/>
  <c r="DC56" i="7"/>
  <c r="DD52" i="7"/>
  <c r="DC55" i="7"/>
  <c r="DF52" i="7"/>
  <c r="DE55" i="7"/>
  <c r="DJ10" i="7"/>
  <c r="DK9" i="7"/>
  <c r="DM53" i="7" s="1" a="1"/>
  <c r="DM53" i="7" s="1"/>
  <c r="DF11" i="7" a="1"/>
  <c r="DF11" i="7" s="1"/>
  <c r="DB15" i="7" a="1"/>
  <c r="DO95" i="7" a="1"/>
  <c r="DD93" i="7" a="1"/>
  <c r="DJ51" i="7" a="1"/>
  <c r="DJ50" i="7" a="1"/>
  <c r="DD93" i="7" l="1"/>
  <c r="DO95" i="7"/>
  <c r="DF51" i="7" a="1"/>
  <c r="DF51" i="7" s="1"/>
  <c r="DJ93" i="7" a="1"/>
  <c r="DJ93" i="7" s="1"/>
  <c r="DJ50" i="7"/>
  <c r="DJ51" i="7"/>
  <c r="DH52" i="7" a="1"/>
  <c r="DH52" i="7" s="1"/>
  <c r="DG56" i="7"/>
  <c r="DC52" i="7" a="1"/>
  <c r="DC52" i="7" s="1"/>
  <c r="DO53" i="7" a="1"/>
  <c r="DO53" i="7" s="1"/>
  <c r="DB15" i="7"/>
  <c r="DL13" i="7"/>
  <c r="DK13" i="7"/>
  <c r="DM10" i="7"/>
  <c r="DN9" i="7" a="1"/>
  <c r="DN9" i="7" s="1"/>
  <c r="DK10" i="7"/>
  <c r="DK8" i="7"/>
  <c r="DJ13" i="7"/>
  <c r="DN13" i="7"/>
  <c r="DK11" i="7" a="1"/>
  <c r="DK11" i="7" s="1"/>
  <c r="DJ14" i="7" s="1"/>
  <c r="DO11" i="7" a="1"/>
  <c r="DO11" i="7" s="1"/>
  <c r="DB16" i="7" a="1"/>
  <c r="DJ92" i="7" a="1"/>
  <c r="DJ92" i="7" l="1"/>
  <c r="DD95" i="7" a="1"/>
  <c r="DD95" i="7" s="1"/>
  <c r="DG93" i="7" a="1"/>
  <c r="DG93" i="7" s="1"/>
  <c r="DB16" i="7"/>
  <c r="DJ9" i="7" a="1"/>
  <c r="DJ9" i="7" s="1"/>
  <c r="DO10" i="7" a="1"/>
  <c r="DO10" i="7" s="1"/>
  <c r="DN14" i="7" s="1"/>
  <c r="DO9" i="7"/>
  <c r="DM9" i="7" a="1"/>
  <c r="DM9" i="7" s="1"/>
  <c r="DL14" i="7"/>
  <c r="DC15" i="7" a="1"/>
  <c r="DK51" i="7" a="1"/>
  <c r="DH93" i="7" l="1"/>
  <c r="DC98" i="7"/>
  <c r="DG97" i="7"/>
  <c r="DC97" i="7"/>
  <c r="DD94" i="7"/>
  <c r="DE97" i="7"/>
  <c r="DD92" i="7"/>
  <c r="DF93" i="7" s="1" a="1"/>
  <c r="DF93" i="7" s="1"/>
  <c r="DD97" i="7"/>
  <c r="DE98" i="7" s="1"/>
  <c r="DF94" i="7"/>
  <c r="DK51" i="7"/>
  <c r="DM95" i="7" s="1" a="1"/>
  <c r="DM95" i="7" s="1"/>
  <c r="DC15" i="7"/>
  <c r="DH15" i="7" a="1"/>
  <c r="DC94" i="7" l="1" a="1"/>
  <c r="DC94" i="7" s="1"/>
  <c r="DG98" i="7"/>
  <c r="DH94" i="7" a="1"/>
  <c r="DH94" i="7" s="1"/>
  <c r="DN51" i="7" a="1"/>
  <c r="DN51" i="7" s="1"/>
  <c r="DK53" i="7" a="1"/>
  <c r="DK53" i="7" s="1"/>
  <c r="DH15" i="7"/>
  <c r="DC17" i="7" a="1"/>
  <c r="DD16" i="7" a="1"/>
  <c r="DO51" i="7" l="1"/>
  <c r="DK55" i="7"/>
  <c r="DL56" i="7" s="1"/>
  <c r="DJ56" i="7"/>
  <c r="DK50" i="7"/>
  <c r="DN55" i="7"/>
  <c r="DK52" i="7"/>
  <c r="DJ55" i="7"/>
  <c r="DM52" i="7"/>
  <c r="DL55" i="7"/>
  <c r="DC17" i="7"/>
  <c r="DD16" i="7"/>
  <c r="DF60" i="7" s="1" a="1"/>
  <c r="DF60" i="7" s="1"/>
  <c r="DM11" i="7" a="1"/>
  <c r="DM11" i="7" s="1"/>
  <c r="DI15" i="7" a="1"/>
  <c r="DH102" i="7" a="1"/>
  <c r="DK93" i="7" a="1"/>
  <c r="DC57" i="7" a="1"/>
  <c r="DC58" i="7" a="1"/>
  <c r="DD18" i="7" l="1" a="1"/>
  <c r="DD18" i="7" s="1"/>
  <c r="DC21" i="7" s="1"/>
  <c r="DK93" i="7"/>
  <c r="DH102" i="7"/>
  <c r="DM51" i="7" a="1"/>
  <c r="DM51" i="7" s="1"/>
  <c r="DC100" i="7" a="1"/>
  <c r="DC100" i="7" s="1"/>
  <c r="DC58" i="7"/>
  <c r="DC57" i="7"/>
  <c r="DN56" i="7"/>
  <c r="DJ52" i="7" a="1"/>
  <c r="DJ52" i="7" s="1"/>
  <c r="DO52" i="7" a="1"/>
  <c r="DO52" i="7" s="1"/>
  <c r="DH60" i="7" a="1"/>
  <c r="DH60" i="7" s="1"/>
  <c r="DI15" i="7"/>
  <c r="DC20" i="7"/>
  <c r="DG16" i="7" a="1"/>
  <c r="DG16" i="7" s="1"/>
  <c r="DF17" i="7"/>
  <c r="DG20" i="7"/>
  <c r="DE20" i="7"/>
  <c r="DD17" i="7"/>
  <c r="DD15" i="7"/>
  <c r="DD20" i="7"/>
  <c r="DH18" i="7" a="1"/>
  <c r="DH18" i="7" s="1"/>
  <c r="DI16" i="7" a="1"/>
  <c r="DC99" i="7" a="1"/>
  <c r="DE21" i="7" l="1"/>
  <c r="DC99" i="7"/>
  <c r="DN93" i="7" a="1"/>
  <c r="DN93" i="7" s="1"/>
  <c r="DK95" i="7" a="1"/>
  <c r="DK95" i="7" s="1"/>
  <c r="DI16" i="7"/>
  <c r="DC16" i="7" a="1"/>
  <c r="DC16" i="7" s="1"/>
  <c r="DH17" i="7" a="1"/>
  <c r="DH17" i="7" s="1"/>
  <c r="DG21" i="7" s="1"/>
  <c r="DH16" i="7"/>
  <c r="DF16" i="7" a="1"/>
  <c r="DF16" i="7" s="1"/>
  <c r="DJ15" i="7" a="1"/>
  <c r="DD58" i="7" a="1"/>
  <c r="DK97" i="7" l="1"/>
  <c r="DL98" i="7" s="1"/>
  <c r="DJ97" i="7"/>
  <c r="DJ98" i="7"/>
  <c r="DK92" i="7"/>
  <c r="DM93" i="7" s="1" a="1"/>
  <c r="DM93" i="7" s="1"/>
  <c r="DK94" i="7"/>
  <c r="DL97" i="7"/>
  <c r="DN97" i="7"/>
  <c r="DM94" i="7"/>
  <c r="DO93" i="7"/>
  <c r="DD58" i="7"/>
  <c r="DF102" i="7" s="1" a="1"/>
  <c r="DF102" i="7" s="1"/>
  <c r="DJ15" i="7"/>
  <c r="DO15" i="7" a="1"/>
  <c r="DN98" i="7" l="1"/>
  <c r="DO94" i="7" a="1"/>
  <c r="DO94" i="7" s="1"/>
  <c r="DJ94" i="7" a="1"/>
  <c r="DJ94" i="7" s="1"/>
  <c r="DG58" i="7" a="1"/>
  <c r="DG58" i="7" s="1"/>
  <c r="DD60" i="7" a="1"/>
  <c r="DD60" i="7" s="1"/>
  <c r="DO15" i="7"/>
  <c r="DJ17" i="7" a="1"/>
  <c r="DK16" i="7" a="1"/>
  <c r="DG62" i="7" l="1"/>
  <c r="DD62" i="7"/>
  <c r="DE63" i="7" s="1"/>
  <c r="DF59" i="7"/>
  <c r="DC63" i="7"/>
  <c r="DE62" i="7"/>
  <c r="DD59" i="7"/>
  <c r="DC62" i="7"/>
  <c r="DD57" i="7"/>
  <c r="DH58" i="7"/>
  <c r="DJ17" i="7"/>
  <c r="DK16" i="7"/>
  <c r="DM60" i="7" s="1" a="1"/>
  <c r="DM60" i="7" s="1"/>
  <c r="DF18" i="7" a="1"/>
  <c r="DF18" i="7" s="1"/>
  <c r="DB22" i="7" a="1"/>
  <c r="DJ58" i="7" a="1"/>
  <c r="DO102" i="7" a="1"/>
  <c r="DD100" i="7" a="1"/>
  <c r="DJ57" i="7" a="1"/>
  <c r="DD100" i="7" l="1"/>
  <c r="DO102" i="7"/>
  <c r="DF58" i="7" a="1"/>
  <c r="DF58" i="7" s="1"/>
  <c r="DJ100" i="7" a="1"/>
  <c r="DJ100" i="7" s="1"/>
  <c r="DJ58" i="7"/>
  <c r="DJ57" i="7"/>
  <c r="DO60" i="7" a="1"/>
  <c r="DO60" i="7" s="1"/>
  <c r="DK18" i="7" a="1"/>
  <c r="DK18" i="7" s="1"/>
  <c r="DJ21" i="7" s="1"/>
  <c r="DH59" i="7" a="1"/>
  <c r="DH59" i="7" s="1"/>
  <c r="DC59" i="7" a="1"/>
  <c r="DC59" i="7" s="1"/>
  <c r="DG63" i="7"/>
  <c r="DB22" i="7"/>
  <c r="DM17" i="7"/>
  <c r="DK17" i="7"/>
  <c r="DN20" i="7"/>
  <c r="DL20" i="7"/>
  <c r="DN16" i="7" a="1"/>
  <c r="DN16" i="7" s="1"/>
  <c r="DK20" i="7"/>
  <c r="DJ20" i="7"/>
  <c r="DK15" i="7"/>
  <c r="DO18" i="7" a="1"/>
  <c r="DO18" i="7" s="1"/>
  <c r="DB23" i="7" a="1"/>
  <c r="DJ99" i="7" a="1"/>
  <c r="DJ99" i="7" l="1"/>
  <c r="DD102" i="7" a="1"/>
  <c r="DD102" i="7" s="1"/>
  <c r="DG100" i="7" a="1"/>
  <c r="DG100" i="7" s="1"/>
  <c r="DL21" i="7"/>
  <c r="DB23" i="7"/>
  <c r="DJ16" i="7" a="1"/>
  <c r="DJ16" i="7" s="1"/>
  <c r="DO17" i="7" a="1"/>
  <c r="DO17" i="7" s="1"/>
  <c r="DN21" i="7" s="1"/>
  <c r="DM16" i="7" a="1"/>
  <c r="DM16" i="7" s="1"/>
  <c r="DO16" i="7"/>
  <c r="DC22" i="7" a="1"/>
  <c r="DK58" i="7" a="1"/>
  <c r="DH100" i="7" l="1"/>
  <c r="DG104" i="7"/>
  <c r="DE104" i="7"/>
  <c r="DD104" i="7"/>
  <c r="DE105" i="7" s="1"/>
  <c r="DF101" i="7"/>
  <c r="DD99" i="7"/>
  <c r="DC105" i="7"/>
  <c r="DC104" i="7"/>
  <c r="DD101" i="7"/>
  <c r="DK58" i="7"/>
  <c r="DM102" i="7" s="1" a="1"/>
  <c r="DM102" i="7" s="1"/>
  <c r="DC22" i="7"/>
  <c r="DH22" i="7" a="1"/>
  <c r="DG105" i="7" l="1"/>
  <c r="DH101" i="7" a="1"/>
  <c r="DH101" i="7" s="1"/>
  <c r="DC101" i="7" a="1"/>
  <c r="DC101" i="7" s="1"/>
  <c r="DF100" i="7" a="1"/>
  <c r="DF100" i="7" s="1"/>
  <c r="DN58" i="7" a="1"/>
  <c r="DN58" i="7" s="1"/>
  <c r="DK60" i="7" a="1"/>
  <c r="DK60" i="7" s="1"/>
  <c r="DH22" i="7"/>
  <c r="DD23" i="7" a="1"/>
  <c r="DC24" i="7" a="1"/>
  <c r="DN62" i="7" l="1"/>
  <c r="DM59" i="7"/>
  <c r="DJ63" i="7"/>
  <c r="DK59" i="7"/>
  <c r="DL62" i="7"/>
  <c r="DJ62" i="7"/>
  <c r="DK57" i="7"/>
  <c r="DK62" i="7"/>
  <c r="DL63" i="7" s="1"/>
  <c r="DO58" i="7"/>
  <c r="DC24" i="7"/>
  <c r="DD23" i="7"/>
  <c r="DF67" i="7" s="1" a="1"/>
  <c r="DF67" i="7" s="1"/>
  <c r="DM18" i="7" a="1"/>
  <c r="DM18" i="7" s="1"/>
  <c r="DI22" i="7" a="1"/>
  <c r="DH109" i="7" a="1"/>
  <c r="DC64" i="7" a="1"/>
  <c r="DK100" i="7" a="1"/>
  <c r="DC65" i="7" a="1"/>
  <c r="DH109" i="7" l="1"/>
  <c r="DK100" i="7"/>
  <c r="DC107" i="7" a="1"/>
  <c r="DC107" i="7" s="1"/>
  <c r="DM58" i="7" a="1"/>
  <c r="DM58" i="7" s="1"/>
  <c r="DC65" i="7"/>
  <c r="DC64" i="7"/>
  <c r="DJ59" i="7" a="1"/>
  <c r="DJ59" i="7" s="1"/>
  <c r="DN63" i="7"/>
  <c r="DO59" i="7" a="1"/>
  <c r="DO59" i="7" s="1"/>
  <c r="DH67" i="7" a="1"/>
  <c r="DH67" i="7" s="1"/>
  <c r="DD25" i="7" a="1"/>
  <c r="DD25" i="7" s="1"/>
  <c r="DC28" i="7" s="1"/>
  <c r="DI22" i="7"/>
  <c r="DG27" i="7"/>
  <c r="DF24" i="7"/>
  <c r="DD24" i="7"/>
  <c r="DG23" i="7" a="1"/>
  <c r="DG23" i="7" s="1"/>
  <c r="DD22" i="7"/>
  <c r="DD27" i="7"/>
  <c r="DE27" i="7"/>
  <c r="DC27" i="7"/>
  <c r="DH25" i="7" a="1"/>
  <c r="DH25" i="7" s="1"/>
  <c r="DC106" i="7" a="1"/>
  <c r="DI23" i="7" a="1"/>
  <c r="DC106" i="7" l="1"/>
  <c r="DN100" i="7" a="1"/>
  <c r="DN100" i="7" s="1"/>
  <c r="DK102" i="7" a="1"/>
  <c r="DK102" i="7" s="1"/>
  <c r="DE28" i="7"/>
  <c r="DI23" i="7"/>
  <c r="DH24" i="7" a="1"/>
  <c r="DH24" i="7" s="1"/>
  <c r="DG28" i="7" s="1"/>
  <c r="DC23" i="7" a="1"/>
  <c r="DC23" i="7" s="1"/>
  <c r="DF23" i="7" a="1"/>
  <c r="DF23" i="7" s="1"/>
  <c r="DH23" i="7"/>
  <c r="DJ22" i="7" a="1"/>
  <c r="DD65" i="7" a="1"/>
  <c r="DJ105" i="7" l="1"/>
  <c r="DK99" i="7"/>
  <c r="DM100" i="7" s="1" a="1"/>
  <c r="DM100" i="7" s="1"/>
  <c r="DK101" i="7"/>
  <c r="DL104" i="7"/>
  <c r="DN104" i="7"/>
  <c r="DM101" i="7"/>
  <c r="DK104" i="7"/>
  <c r="DL105" i="7" s="1"/>
  <c r="DJ104" i="7"/>
  <c r="DO100" i="7"/>
  <c r="DD65" i="7"/>
  <c r="DF109" i="7" s="1" a="1"/>
  <c r="DF109" i="7" s="1"/>
  <c r="DJ22" i="7"/>
  <c r="DO22" i="7" a="1"/>
  <c r="DO101" i="7" l="1" a="1"/>
  <c r="DO101" i="7" s="1"/>
  <c r="DJ101" i="7" a="1"/>
  <c r="DJ101" i="7" s="1"/>
  <c r="DN105" i="7"/>
  <c r="DG65" i="7" a="1"/>
  <c r="DG65" i="7" s="1"/>
  <c r="DD67" i="7" a="1"/>
  <c r="DD67" i="7" s="1"/>
  <c r="DO22" i="7"/>
  <c r="DK23" i="7" a="1"/>
  <c r="DJ24" i="7" a="1"/>
  <c r="DH65" i="7" l="1"/>
  <c r="DD69" i="7"/>
  <c r="DE70" i="7" s="1"/>
  <c r="DF66" i="7"/>
  <c r="DD64" i="7"/>
  <c r="DG69" i="7"/>
  <c r="DC69" i="7"/>
  <c r="DE69" i="7"/>
  <c r="DD66" i="7"/>
  <c r="DC70" i="7"/>
  <c r="DK23" i="7"/>
  <c r="DJ24" i="7"/>
  <c r="DF25" i="7" a="1"/>
  <c r="DF25" i="7" s="1"/>
  <c r="DB29" i="7" a="1"/>
  <c r="DD107" i="7" a="1"/>
  <c r="DO109" i="7" a="1"/>
  <c r="DJ64" i="7" a="1"/>
  <c r="DJ65" i="7" a="1"/>
  <c r="DO109" i="7" l="1"/>
  <c r="DD107" i="7"/>
  <c r="DJ107" i="7" a="1"/>
  <c r="DJ107" i="7" s="1"/>
  <c r="DF65" i="7" a="1"/>
  <c r="DF65" i="7" s="1"/>
  <c r="DJ65" i="7"/>
  <c r="DJ64" i="7"/>
  <c r="DC66" i="7" a="1"/>
  <c r="DC66" i="7" s="1"/>
  <c r="DH66" i="7" a="1"/>
  <c r="DH66" i="7" s="1"/>
  <c r="DG70" i="7"/>
  <c r="DO67" i="7" a="1"/>
  <c r="DO67" i="7" s="1"/>
  <c r="DK25" i="7" a="1"/>
  <c r="DK25" i="7" s="1"/>
  <c r="DJ28" i="7" s="1"/>
  <c r="DM67" i="7" a="1"/>
  <c r="DM67" i="7" s="1"/>
  <c r="DB29" i="7"/>
  <c r="DO25" i="7" a="1"/>
  <c r="DO25" i="7" s="1"/>
  <c r="DK27" i="7"/>
  <c r="DK24" i="7"/>
  <c r="DK22" i="7"/>
  <c r="DJ27" i="7"/>
  <c r="DL27" i="7"/>
  <c r="DN23" i="7" a="1"/>
  <c r="DN23" i="7" s="1"/>
  <c r="DM24" i="7"/>
  <c r="DN27" i="7"/>
  <c r="DB30" i="7" a="1"/>
  <c r="DJ106" i="7" a="1"/>
  <c r="DJ106" i="7" l="1"/>
  <c r="DD109" i="7" a="1"/>
  <c r="DD109" i="7" s="1"/>
  <c r="DG107" i="7" a="1"/>
  <c r="DG107" i="7" s="1"/>
  <c r="DL28" i="7"/>
  <c r="DB30" i="7"/>
  <c r="DO24" i="7" a="1"/>
  <c r="DO24" i="7" s="1"/>
  <c r="DN28" i="7" s="1"/>
  <c r="DJ23" i="7" a="1"/>
  <c r="DJ23" i="7" s="1"/>
  <c r="DM23" i="7" a="1"/>
  <c r="DM23" i="7" s="1"/>
  <c r="DO23" i="7"/>
  <c r="DC29" i="7" a="1"/>
  <c r="DK65" i="7" a="1"/>
  <c r="DH107" i="7" l="1"/>
  <c r="DD111" i="7"/>
  <c r="DE112" i="7" s="1"/>
  <c r="DF108" i="7"/>
  <c r="DC112" i="7"/>
  <c r="DC111" i="7"/>
  <c r="DD108" i="7"/>
  <c r="DD106" i="7"/>
  <c r="DG111" i="7"/>
  <c r="DE111" i="7"/>
  <c r="DK65" i="7"/>
  <c r="DM109" i="7" s="1" a="1"/>
  <c r="DM109" i="7" s="1"/>
  <c r="DC29" i="7"/>
  <c r="DH29" i="7" a="1"/>
  <c r="DC108" i="7" l="1" a="1"/>
  <c r="DC108" i="7" s="1"/>
  <c r="DG112" i="7"/>
  <c r="DH108" i="7" a="1"/>
  <c r="DH108" i="7" s="1"/>
  <c r="DF107" i="7" a="1"/>
  <c r="DF107" i="7" s="1"/>
  <c r="DK67" i="7" a="1"/>
  <c r="DK67" i="7" s="1"/>
  <c r="DN65" i="7" a="1"/>
  <c r="DN65" i="7" s="1"/>
  <c r="DH29" i="7"/>
  <c r="DC31" i="7" a="1"/>
  <c r="DD30" i="7" a="1"/>
  <c r="DO65" i="7" l="1"/>
  <c r="DK69" i="7"/>
  <c r="DL70" i="7" s="1"/>
  <c r="DN69" i="7"/>
  <c r="DM66" i="7"/>
  <c r="DJ69" i="7"/>
  <c r="DK64" i="7"/>
  <c r="DJ70" i="7"/>
  <c r="DL69" i="7"/>
  <c r="DK66" i="7"/>
  <c r="DC31" i="7"/>
  <c r="DD30" i="7"/>
  <c r="DF74" i="7" s="1" a="1"/>
  <c r="DF74" i="7" s="1"/>
  <c r="DM25" i="7" a="1"/>
  <c r="DM25" i="7" s="1"/>
  <c r="DI29" i="7" a="1"/>
  <c r="DH116" i="7" a="1"/>
  <c r="DK107" i="7" a="1"/>
  <c r="DC72" i="7" a="1"/>
  <c r="DC71" i="7" a="1"/>
  <c r="DK107" i="7" l="1"/>
  <c r="DH116" i="7"/>
  <c r="DC114" i="7" a="1"/>
  <c r="DC114" i="7" s="1"/>
  <c r="DC71" i="7"/>
  <c r="DC72" i="7"/>
  <c r="DN70" i="7"/>
  <c r="DJ66" i="7" a="1"/>
  <c r="DJ66" i="7" s="1"/>
  <c r="DO66" i="7" a="1"/>
  <c r="DO66" i="7" s="1"/>
  <c r="DH74" i="7" a="1"/>
  <c r="DH74" i="7" s="1"/>
  <c r="DM65" i="7" a="1"/>
  <c r="DM65" i="7" s="1"/>
  <c r="DI29" i="7"/>
  <c r="DC34" i="7"/>
  <c r="DD34" i="7"/>
  <c r="DF31" i="7"/>
  <c r="DG30" i="7" a="1"/>
  <c r="DG30" i="7" s="1"/>
  <c r="DD29" i="7"/>
  <c r="DG34" i="7"/>
  <c r="DD31" i="7"/>
  <c r="DE34" i="7"/>
  <c r="DH32" i="7" a="1"/>
  <c r="DH32" i="7" s="1"/>
  <c r="DD32" i="7" a="1"/>
  <c r="DD32" i="7" s="1"/>
  <c r="DC35" i="7" s="1"/>
  <c r="DC113" i="7" a="1"/>
  <c r="DI30" i="7" a="1"/>
  <c r="DC113" i="7" l="1"/>
  <c r="DK109" i="7" a="1"/>
  <c r="DK109" i="7" s="1"/>
  <c r="DN107" i="7" a="1"/>
  <c r="DN107" i="7" s="1"/>
  <c r="DI30" i="7"/>
  <c r="DE35" i="7"/>
  <c r="DF30" i="7" a="1"/>
  <c r="DF30" i="7" s="1"/>
  <c r="DH30" i="7"/>
  <c r="DC30" i="7" a="1"/>
  <c r="DC30" i="7" s="1"/>
  <c r="DH31" i="7" a="1"/>
  <c r="DH31" i="7" s="1"/>
  <c r="DG35" i="7" s="1"/>
  <c r="DJ29" i="7" a="1"/>
  <c r="DD72" i="7" a="1"/>
  <c r="DO107" i="7" l="1"/>
  <c r="DK106" i="7"/>
  <c r="DM107" i="7" s="1" a="1"/>
  <c r="DM107" i="7" s="1"/>
  <c r="DN111" i="7"/>
  <c r="DM108" i="7"/>
  <c r="DJ111" i="7"/>
  <c r="DL111" i="7"/>
  <c r="DK108" i="7"/>
  <c r="DK111" i="7"/>
  <c r="DL112" i="7" s="1"/>
  <c r="DJ112" i="7"/>
  <c r="DD72" i="7"/>
  <c r="DF116" i="7" s="1" a="1"/>
  <c r="DF116" i="7" s="1"/>
  <c r="DJ29" i="7"/>
  <c r="DO29" i="7" a="1"/>
  <c r="DO108" i="7" l="1" a="1"/>
  <c r="DO108" i="7" s="1"/>
  <c r="DJ108" i="7" a="1"/>
  <c r="DJ108" i="7" s="1"/>
  <c r="DN112" i="7"/>
  <c r="DD74" i="7" a="1"/>
  <c r="DD74" i="7" s="1"/>
  <c r="DG72" i="7" a="1"/>
  <c r="DG72" i="7" s="1"/>
  <c r="DO29" i="7"/>
  <c r="DK30" i="7" a="1"/>
  <c r="DJ31" i="7" a="1"/>
  <c r="DG76" i="7" l="1"/>
  <c r="DD76" i="7"/>
  <c r="DE77" i="7" s="1"/>
  <c r="DF73" i="7"/>
  <c r="DD71" i="7"/>
  <c r="DE76" i="7"/>
  <c r="DC76" i="7"/>
  <c r="DC77" i="7"/>
  <c r="DD73" i="7"/>
  <c r="DH72" i="7"/>
  <c r="DK30" i="7"/>
  <c r="DJ31" i="7"/>
  <c r="DF32" i="7" a="1"/>
  <c r="DF32" i="7" s="1"/>
  <c r="DB36" i="7" a="1"/>
  <c r="DO116" i="7" a="1"/>
  <c r="DD114" i="7" a="1"/>
  <c r="DJ71" i="7" a="1"/>
  <c r="DJ72" i="7" a="1"/>
  <c r="DD114" i="7" l="1"/>
  <c r="DO116" i="7"/>
  <c r="DF72" i="7" a="1"/>
  <c r="DF72" i="7" s="1"/>
  <c r="DJ114" i="7" a="1"/>
  <c r="DJ114" i="7" s="1"/>
  <c r="DJ72" i="7"/>
  <c r="DJ71" i="7"/>
  <c r="DO74" i="7" a="1"/>
  <c r="DO74" i="7" s="1"/>
  <c r="DK32" i="7" a="1"/>
  <c r="DK32" i="7" s="1"/>
  <c r="DJ35" i="7" s="1"/>
  <c r="DM74" i="7" a="1"/>
  <c r="DM74" i="7" s="1"/>
  <c r="DC73" i="7" a="1"/>
  <c r="DC73" i="7" s="1"/>
  <c r="DG77" i="7"/>
  <c r="DH73" i="7" a="1"/>
  <c r="DH73" i="7" s="1"/>
  <c r="DB36" i="7"/>
  <c r="DO32" i="7" a="1"/>
  <c r="DO32" i="7" s="1"/>
  <c r="DL34" i="7"/>
  <c r="DK34" i="7"/>
  <c r="DJ34" i="7"/>
  <c r="DM31" i="7"/>
  <c r="DK31" i="7"/>
  <c r="DN30" i="7" a="1"/>
  <c r="DN30" i="7" s="1"/>
  <c r="DN34" i="7"/>
  <c r="DK29" i="7"/>
  <c r="DB37" i="7" a="1"/>
  <c r="DJ113" i="7" a="1"/>
  <c r="DJ113" i="7" l="1"/>
  <c r="DD116" i="7" a="1"/>
  <c r="DD116" i="7" s="1"/>
  <c r="DG114" i="7" a="1"/>
  <c r="DG114" i="7" s="1"/>
  <c r="DL35" i="7"/>
  <c r="DB37" i="7"/>
  <c r="DJ30" i="7" a="1"/>
  <c r="DJ30" i="7" s="1"/>
  <c r="DO31" i="7" a="1"/>
  <c r="DO31" i="7" s="1"/>
  <c r="DN35" i="7" s="1"/>
  <c r="DM30" i="7" a="1"/>
  <c r="DM30" i="7" s="1"/>
  <c r="DO30" i="7"/>
  <c r="DC36" i="7" a="1"/>
  <c r="DK72" i="7" a="1"/>
  <c r="DH114" i="7" l="1"/>
  <c r="DD113" i="7"/>
  <c r="DF114" i="7" s="1" a="1"/>
  <c r="DF114" i="7" s="1"/>
  <c r="DE118" i="7"/>
  <c r="DG118" i="7"/>
  <c r="DD118" i="7"/>
  <c r="DE119" i="7" s="1"/>
  <c r="DF115" i="7"/>
  <c r="DC119" i="7"/>
  <c r="DC118" i="7"/>
  <c r="DD115" i="7"/>
  <c r="DK72" i="7"/>
  <c r="DM116" i="7" s="1" a="1"/>
  <c r="DM116" i="7" s="1"/>
  <c r="DC36" i="7"/>
  <c r="DH36" i="7" a="1"/>
  <c r="DC115" i="7" l="1" a="1"/>
  <c r="DC115" i="7" s="1"/>
  <c r="DG119" i="7"/>
  <c r="DH115" i="7" a="1"/>
  <c r="DH115" i="7" s="1"/>
  <c r="DN72" i="7" a="1"/>
  <c r="DN72" i="7" s="1"/>
  <c r="DK74" i="7" a="1"/>
  <c r="DK74" i="7" s="1"/>
  <c r="DH36" i="7"/>
  <c r="DC38" i="7" a="1"/>
  <c r="DJ77" i="7" l="1"/>
  <c r="DN76" i="7"/>
  <c r="DM73" i="7"/>
  <c r="DK76" i="7"/>
  <c r="DL77" i="7" s="1"/>
  <c r="DL76" i="7"/>
  <c r="DJ76" i="7"/>
  <c r="DK73" i="7"/>
  <c r="DK71" i="7"/>
  <c r="DO72" i="7"/>
  <c r="DC38" i="7"/>
  <c r="DM32" i="7" a="1"/>
  <c r="DM32" i="7" s="1"/>
  <c r="DI36" i="7" a="1"/>
  <c r="DD37" i="7" a="1"/>
  <c r="DH123" i="7" a="1"/>
  <c r="DK114" i="7" a="1"/>
  <c r="DC78" i="7" a="1"/>
  <c r="DC79" i="7" a="1"/>
  <c r="DD37" i="7" l="1"/>
  <c r="DG41" i="7" s="1"/>
  <c r="DK114" i="7"/>
  <c r="DH123" i="7"/>
  <c r="DM72" i="7" a="1"/>
  <c r="DM72" i="7" s="1"/>
  <c r="DC121" i="7" a="1"/>
  <c r="DC121" i="7" s="1"/>
  <c r="DC79" i="7"/>
  <c r="DC78" i="7"/>
  <c r="DN77" i="7"/>
  <c r="DO73" i="7" a="1"/>
  <c r="DO73" i="7" s="1"/>
  <c r="DJ73" i="7" a="1"/>
  <c r="DJ73" i="7" s="1"/>
  <c r="DH81" i="7" a="1"/>
  <c r="DH81" i="7" s="1"/>
  <c r="DI36" i="7"/>
  <c r="DH39" i="7" a="1"/>
  <c r="DH39" i="7" s="1"/>
  <c r="DI37" i="7" a="1"/>
  <c r="DC120" i="7" a="1"/>
  <c r="DD41" i="7" l="1"/>
  <c r="DF81" i="7" a="1"/>
  <c r="DF81" i="7" s="1"/>
  <c r="DD38" i="7"/>
  <c r="DG37" i="7" a="1"/>
  <c r="DG37" i="7" s="1"/>
  <c r="DH37" i="7" s="1"/>
  <c r="DC41" i="7"/>
  <c r="DD36" i="7"/>
  <c r="DC37" i="7" s="1" a="1"/>
  <c r="DC37" i="7" s="1"/>
  <c r="DF38" i="7"/>
  <c r="DE41" i="7"/>
  <c r="DD39" i="7" a="1"/>
  <c r="DD39" i="7" s="1"/>
  <c r="DC42" i="7" s="1"/>
  <c r="DC120" i="7"/>
  <c r="DN114" i="7" a="1"/>
  <c r="DN114" i="7" s="1"/>
  <c r="DK116" i="7" a="1"/>
  <c r="DK116" i="7" s="1"/>
  <c r="DI37" i="7"/>
  <c r="DJ36" i="7" a="1"/>
  <c r="DD79" i="7" a="1"/>
  <c r="DF37" i="7" l="1" a="1"/>
  <c r="DF37" i="7" s="1"/>
  <c r="DE42" i="7"/>
  <c r="DH38" i="7" a="1"/>
  <c r="DH38" i="7" s="1"/>
  <c r="DG42" i="7" s="1"/>
  <c r="DN118" i="7"/>
  <c r="DM115" i="7"/>
  <c r="DL118" i="7"/>
  <c r="DK115" i="7"/>
  <c r="DK118" i="7"/>
  <c r="DL119" i="7" s="1"/>
  <c r="DK113" i="7"/>
  <c r="DM114" i="7" s="1" a="1"/>
  <c r="DM114" i="7" s="1"/>
  <c r="DJ118" i="7"/>
  <c r="DJ119" i="7"/>
  <c r="DO114" i="7"/>
  <c r="DD79" i="7"/>
  <c r="DF123" i="7" s="1" a="1"/>
  <c r="DF123" i="7" s="1"/>
  <c r="DJ36" i="7"/>
  <c r="DO36" i="7" a="1"/>
  <c r="DN119" i="7" l="1"/>
  <c r="DJ115" i="7" a="1"/>
  <c r="DJ115" i="7" s="1"/>
  <c r="DO115" i="7" a="1"/>
  <c r="DO115" i="7" s="1"/>
  <c r="DG79" i="7" a="1"/>
  <c r="DG79" i="7" s="1"/>
  <c r="DD81" i="7" a="1"/>
  <c r="DD81" i="7" s="1"/>
  <c r="DO36" i="7"/>
  <c r="DK37" i="7" a="1"/>
  <c r="DJ38" i="7" a="1"/>
  <c r="DH79" i="7" l="1"/>
  <c r="DD83" i="7"/>
  <c r="DE84" i="7" s="1"/>
  <c r="DF80" i="7"/>
  <c r="DG83" i="7"/>
  <c r="DE83" i="7"/>
  <c r="DD78" i="7"/>
  <c r="DD80" i="7"/>
  <c r="DC83" i="7"/>
  <c r="DC84" i="7"/>
  <c r="DK37" i="7"/>
  <c r="DJ38" i="7"/>
  <c r="DF39" i="7" a="1"/>
  <c r="DF39" i="7" s="1"/>
  <c r="DQ1" i="7" a="1"/>
  <c r="DO123" i="7" a="1"/>
  <c r="DD121" i="7" a="1"/>
  <c r="DJ78" i="7" a="1"/>
  <c r="DJ79" i="7" a="1"/>
  <c r="DD121" i="7" l="1"/>
  <c r="DO123" i="7"/>
  <c r="DF79" i="7" a="1"/>
  <c r="DF79" i="7" s="1"/>
  <c r="DJ121" i="7" a="1"/>
  <c r="DJ121" i="7" s="1"/>
  <c r="DJ79" i="7"/>
  <c r="DJ78" i="7"/>
  <c r="DO81" i="7" a="1"/>
  <c r="DO81" i="7" s="1"/>
  <c r="DK39" i="7" a="1"/>
  <c r="DK39" i="7" s="1"/>
  <c r="DJ42" i="7" s="1"/>
  <c r="DM81" i="7" a="1"/>
  <c r="DM81" i="7" s="1"/>
  <c r="DH80" i="7" a="1"/>
  <c r="DH80" i="7" s="1"/>
  <c r="DG84" i="7"/>
  <c r="DC80" i="7" a="1"/>
  <c r="DC80" i="7" s="1"/>
  <c r="DQ1" i="7"/>
  <c r="DO39" i="7" a="1"/>
  <c r="DO39" i="7" s="1"/>
  <c r="DK41" i="7"/>
  <c r="DN41" i="7"/>
  <c r="DK36" i="7"/>
  <c r="DL41" i="7"/>
  <c r="DJ41" i="7"/>
  <c r="DN37" i="7" a="1"/>
  <c r="DN37" i="7" s="1"/>
  <c r="DM38" i="7"/>
  <c r="DK38" i="7"/>
  <c r="DJ120" i="7" a="1"/>
  <c r="DQ2" i="7" a="1"/>
  <c r="DJ120" i="7" l="1"/>
  <c r="DD123" i="7" a="1"/>
  <c r="DD123" i="7" s="1"/>
  <c r="DG121" i="7" a="1"/>
  <c r="DG121" i="7" s="1"/>
  <c r="DL42" i="7"/>
  <c r="DQ2" i="7"/>
  <c r="DJ37" i="7" a="1"/>
  <c r="DJ37" i="7" s="1"/>
  <c r="DO38" i="7" a="1"/>
  <c r="DO38" i="7" s="1"/>
  <c r="DN42" i="7" s="1"/>
  <c r="DM37" i="7" a="1"/>
  <c r="DM37" i="7" s="1"/>
  <c r="DO37" i="7"/>
  <c r="DR1" i="7" a="1"/>
  <c r="DK79" i="7" a="1"/>
  <c r="DH121" i="7" l="1"/>
  <c r="DG125" i="7"/>
  <c r="DE125" i="7"/>
  <c r="DD125" i="7"/>
  <c r="DE126" i="7" s="1"/>
  <c r="DF122" i="7"/>
  <c r="DC126" i="7"/>
  <c r="DC125" i="7"/>
  <c r="DD122" i="7"/>
  <c r="DD120" i="7"/>
  <c r="DF121" i="7" s="1" a="1"/>
  <c r="DF121" i="7" s="1"/>
  <c r="DK79" i="7"/>
  <c r="DM123" i="7" s="1" a="1"/>
  <c r="DM123" i="7" s="1"/>
  <c r="DR1" i="7"/>
  <c r="DW1" i="7" a="1"/>
  <c r="DG126" i="7" l="1"/>
  <c r="DH122" i="7" a="1"/>
  <c r="DH122" i="7" s="1"/>
  <c r="DC122" i="7" a="1"/>
  <c r="DC122" i="7" s="1"/>
  <c r="DN79" i="7" a="1"/>
  <c r="DN79" i="7" s="1"/>
  <c r="DK81" i="7" a="1"/>
  <c r="DK81" i="7" s="1"/>
  <c r="DW1" i="7"/>
  <c r="DX1" i="7" a="1"/>
  <c r="DS2" i="7" a="1"/>
  <c r="DR3" i="7" a="1"/>
  <c r="DO79" i="7" l="1"/>
  <c r="DN83" i="7"/>
  <c r="DM80" i="7"/>
  <c r="DL83" i="7"/>
  <c r="DK83" i="7"/>
  <c r="DL84" i="7" s="1"/>
  <c r="DJ84" i="7"/>
  <c r="DK78" i="7"/>
  <c r="DK80" i="7"/>
  <c r="DJ83" i="7"/>
  <c r="DX1" i="7"/>
  <c r="DS2" i="7"/>
  <c r="DU46" i="7" s="1" a="1"/>
  <c r="DU46" i="7" s="1"/>
  <c r="DR3" i="7"/>
  <c r="DM39" i="7" a="1"/>
  <c r="DM39" i="7" s="1"/>
  <c r="DR44" i="7" a="1"/>
  <c r="DK121" i="7" a="1"/>
  <c r="DX2" i="7" a="1"/>
  <c r="DR43" i="7" a="1"/>
  <c r="DW88" i="7" a="1"/>
  <c r="DW88" i="7" l="1"/>
  <c r="DR86" i="7" a="1"/>
  <c r="DR86" i="7" s="1"/>
  <c r="DK121" i="7"/>
  <c r="DM79" i="7" a="1"/>
  <c r="DM79" i="7" s="1"/>
  <c r="DR44" i="7"/>
  <c r="DR43" i="7"/>
  <c r="DW46" i="7" a="1"/>
  <c r="DW46" i="7" s="1"/>
  <c r="DN84" i="7"/>
  <c r="DO80" i="7" a="1"/>
  <c r="DO80" i="7" s="1"/>
  <c r="DJ80" i="7" a="1"/>
  <c r="DJ80" i="7" s="1"/>
  <c r="DX2" i="7"/>
  <c r="DW4" i="7" a="1"/>
  <c r="DW4" i="7" s="1"/>
  <c r="DV2" i="7" a="1"/>
  <c r="DV2" i="7" s="1"/>
  <c r="DU3" i="7"/>
  <c r="DS1" i="7"/>
  <c r="DS3" i="7"/>
  <c r="DV6" i="7"/>
  <c r="DR6" i="7"/>
  <c r="DT6" i="7"/>
  <c r="DS6" i="7"/>
  <c r="DS4" i="7" a="1"/>
  <c r="DS4" i="7" s="1"/>
  <c r="DY1" i="7" a="1"/>
  <c r="DR85" i="7" a="1"/>
  <c r="DR85" i="7" l="1"/>
  <c r="DN121" i="7" a="1"/>
  <c r="DN121" i="7" s="1"/>
  <c r="DK123" i="7" a="1"/>
  <c r="DK123" i="7" s="1"/>
  <c r="DY1" i="7"/>
  <c r="DR2" i="7" a="1"/>
  <c r="DR2" i="7" s="1"/>
  <c r="DR7" i="7"/>
  <c r="DW2" i="7"/>
  <c r="DU2" i="7" a="1"/>
  <c r="DU2" i="7" s="1"/>
  <c r="DW3" i="7" a="1"/>
  <c r="DW3" i="7" s="1"/>
  <c r="DV7" i="7" s="1"/>
  <c r="DT7" i="7"/>
  <c r="ED1" i="7" a="1"/>
  <c r="DS44" i="7" a="1"/>
  <c r="DK125" i="7" l="1"/>
  <c r="DL126" i="7" s="1"/>
  <c r="DJ125" i="7"/>
  <c r="DJ126" i="7"/>
  <c r="DK120" i="7"/>
  <c r="DM121" i="7" s="1" a="1"/>
  <c r="DM121" i="7" s="1"/>
  <c r="DN125" i="7"/>
  <c r="DM122" i="7"/>
  <c r="DL125" i="7"/>
  <c r="DK122" i="7"/>
  <c r="DO121" i="7"/>
  <c r="DS44" i="7"/>
  <c r="DU88" i="7" s="1" a="1"/>
  <c r="DU88" i="7" s="1"/>
  <c r="ED1" i="7"/>
  <c r="DZ2" i="7" a="1"/>
  <c r="DY3" i="7" a="1"/>
  <c r="DN126" i="7" l="1"/>
  <c r="DJ122" i="7" a="1"/>
  <c r="DJ122" i="7" s="1"/>
  <c r="DO122" i="7" a="1"/>
  <c r="DO122" i="7" s="1"/>
  <c r="DS46" i="7" a="1"/>
  <c r="DS46" i="7" s="1"/>
  <c r="DV44" i="7" a="1"/>
  <c r="DV44" i="7" s="1"/>
  <c r="DZ2" i="7"/>
  <c r="DY3" i="7"/>
  <c r="DU4" i="7" a="1"/>
  <c r="DU4" i="7" s="1"/>
  <c r="DQ8" i="7" a="1"/>
  <c r="DY43" i="7" a="1"/>
  <c r="DY44" i="7" a="1"/>
  <c r="ED88" i="7" a="1"/>
  <c r="ED88" i="7" l="1"/>
  <c r="DY86" i="7" a="1"/>
  <c r="DY86" i="7" s="1"/>
  <c r="DY44" i="7"/>
  <c r="DY43" i="7"/>
  <c r="DW44" i="7"/>
  <c r="DU44" i="7" a="1"/>
  <c r="DU44" i="7" s="1"/>
  <c r="DV48" i="7"/>
  <c r="DT48" i="7"/>
  <c r="DR49" i="7"/>
  <c r="DS48" i="7"/>
  <c r="DT49" i="7" s="1"/>
  <c r="DU45" i="7"/>
  <c r="DR48" i="7"/>
  <c r="DS43" i="7"/>
  <c r="DS45" i="7"/>
  <c r="ED46" i="7" a="1"/>
  <c r="ED46" i="7" s="1"/>
  <c r="DZ4" i="7" a="1"/>
  <c r="DZ4" i="7" s="1"/>
  <c r="DY7" i="7" s="1"/>
  <c r="EB46" i="7" a="1"/>
  <c r="EB46" i="7" s="1"/>
  <c r="DQ8" i="7"/>
  <c r="ED4" i="7" a="1"/>
  <c r="ED4" i="7" s="1"/>
  <c r="DZ1" i="7"/>
  <c r="EB3" i="7"/>
  <c r="EC2" i="7" a="1"/>
  <c r="EC2" i="7" s="1"/>
  <c r="DZ3" i="7"/>
  <c r="EC6" i="7"/>
  <c r="EA6" i="7"/>
  <c r="DZ6" i="7"/>
  <c r="DY6" i="7"/>
  <c r="DY85" i="7" a="1"/>
  <c r="DS86" i="7" a="1"/>
  <c r="DQ9" i="7" a="1"/>
  <c r="DY85" i="7" l="1"/>
  <c r="DS86" i="7"/>
  <c r="DY2" i="7" a="1"/>
  <c r="DY2" i="7" s="1"/>
  <c r="EA7" i="7"/>
  <c r="DV49" i="7"/>
  <c r="DW45" i="7" a="1"/>
  <c r="DW45" i="7" s="1"/>
  <c r="DR45" i="7" a="1"/>
  <c r="DR45" i="7" s="1"/>
  <c r="DQ9" i="7"/>
  <c r="ED3" i="7" a="1"/>
  <c r="ED3" i="7" s="1"/>
  <c r="EC7" i="7" s="1"/>
  <c r="ED2" i="7"/>
  <c r="EB2" i="7" a="1"/>
  <c r="EB2" i="7" s="1"/>
  <c r="DR8" i="7" a="1"/>
  <c r="DZ44" i="7" a="1"/>
  <c r="DS88" i="7" l="1" a="1"/>
  <c r="DS88" i="7" s="1"/>
  <c r="DV86" i="7" a="1"/>
  <c r="DV86" i="7" s="1"/>
  <c r="DZ44" i="7"/>
  <c r="EB88" i="7" s="1" a="1"/>
  <c r="EB88" i="7" s="1"/>
  <c r="DR8" i="7"/>
  <c r="DW8" i="7" a="1"/>
  <c r="DW86" i="7" l="1"/>
  <c r="DS85" i="7"/>
  <c r="DU86" i="7" s="1" a="1"/>
  <c r="DU86" i="7" s="1"/>
  <c r="DR91" i="7"/>
  <c r="DR90" i="7"/>
  <c r="DS87" i="7"/>
  <c r="DV90" i="7"/>
  <c r="DT90" i="7"/>
  <c r="DS90" i="7"/>
  <c r="DT91" i="7" s="1"/>
  <c r="DU87" i="7"/>
  <c r="EC44" i="7" a="1"/>
  <c r="EC44" i="7" s="1"/>
  <c r="DZ46" i="7" a="1"/>
  <c r="DZ46" i="7" s="1"/>
  <c r="DW8" i="7"/>
  <c r="DS9" i="7" a="1"/>
  <c r="DR10" i="7" a="1"/>
  <c r="DR87" i="7" l="1" a="1"/>
  <c r="DR87" i="7" s="1"/>
  <c r="DV91" i="7"/>
  <c r="DW87" i="7" a="1"/>
  <c r="DW87" i="7" s="1"/>
  <c r="DZ48" i="7"/>
  <c r="EA49" i="7" s="1"/>
  <c r="DY48" i="7"/>
  <c r="DY49" i="7"/>
  <c r="DZ43" i="7"/>
  <c r="EB45" i="7"/>
  <c r="EC48" i="7"/>
  <c r="DZ45" i="7"/>
  <c r="EA48" i="7"/>
  <c r="ED44" i="7"/>
  <c r="EB44" i="7" a="1"/>
  <c r="EB44" i="7" s="1"/>
  <c r="DR10" i="7"/>
  <c r="DS9" i="7"/>
  <c r="DU53" i="7" s="1" a="1"/>
  <c r="DU53" i="7" s="1"/>
  <c r="EB4" i="7" a="1"/>
  <c r="EB4" i="7" s="1"/>
  <c r="DX8" i="7" a="1"/>
  <c r="DR50" i="7" a="1"/>
  <c r="DR51" i="7" a="1"/>
  <c r="DZ86" i="7" a="1"/>
  <c r="DW95" i="7" a="1"/>
  <c r="DW95" i="7" l="1"/>
  <c r="DZ86" i="7"/>
  <c r="DR93" i="7" a="1"/>
  <c r="DR93" i="7" s="1"/>
  <c r="DR51" i="7"/>
  <c r="DR50" i="7"/>
  <c r="EC49" i="7"/>
  <c r="DY45" i="7" a="1"/>
  <c r="DY45" i="7" s="1"/>
  <c r="ED45" i="7" a="1"/>
  <c r="ED45" i="7" s="1"/>
  <c r="DW53" i="7" a="1"/>
  <c r="DW53" i="7" s="1"/>
  <c r="DX8" i="7"/>
  <c r="DS10" i="7"/>
  <c r="DV9" i="7" a="1"/>
  <c r="DV9" i="7" s="1"/>
  <c r="DT13" i="7"/>
  <c r="DR13" i="7"/>
  <c r="DS8" i="7"/>
  <c r="DV13" i="7"/>
  <c r="DU10" i="7"/>
  <c r="DS13" i="7"/>
  <c r="DS11" i="7" a="1"/>
  <c r="DS11" i="7" s="1"/>
  <c r="DR14" i="7" s="1"/>
  <c r="DW11" i="7" a="1"/>
  <c r="DW11" i="7" s="1"/>
  <c r="DR92" i="7" a="1"/>
  <c r="DX9" i="7" a="1"/>
  <c r="DR92" i="7" l="1"/>
  <c r="DZ88" i="7" a="1"/>
  <c r="DZ88" i="7" s="1"/>
  <c r="EC86" i="7" a="1"/>
  <c r="EC86" i="7" s="1"/>
  <c r="DX9" i="7"/>
  <c r="DT14" i="7"/>
  <c r="DW10" i="7" a="1"/>
  <c r="DW10" i="7" s="1"/>
  <c r="DV14" i="7" s="1"/>
  <c r="DR9" i="7" a="1"/>
  <c r="DR9" i="7" s="1"/>
  <c r="DW9" i="7"/>
  <c r="DU9" i="7" a="1"/>
  <c r="DU9" i="7" s="1"/>
  <c r="DY8" i="7" a="1"/>
  <c r="DS51" i="7" a="1"/>
  <c r="ED86" i="7" l="1"/>
  <c r="EC90" i="7"/>
  <c r="EB87" i="7"/>
  <c r="EA90" i="7"/>
  <c r="DZ87" i="7"/>
  <c r="DZ90" i="7"/>
  <c r="EA91" i="7" s="1"/>
  <c r="DZ85" i="7"/>
  <c r="EB86" i="7" s="1" a="1"/>
  <c r="EB86" i="7" s="1"/>
  <c r="DY90" i="7"/>
  <c r="DY91" i="7"/>
  <c r="DS51" i="7"/>
  <c r="DU95" i="7" s="1" a="1"/>
  <c r="DU95" i="7" s="1"/>
  <c r="DY8" i="7"/>
  <c r="ED8" i="7" a="1"/>
  <c r="EC91" i="7" l="1"/>
  <c r="DY87" i="7" a="1"/>
  <c r="DY87" i="7" s="1"/>
  <c r="ED87" i="7" a="1"/>
  <c r="ED87" i="7" s="1"/>
  <c r="DS53" i="7" a="1"/>
  <c r="DS53" i="7" s="1"/>
  <c r="DV51" i="7" a="1"/>
  <c r="DV51" i="7" s="1"/>
  <c r="ED8" i="7"/>
  <c r="DZ9" i="7" a="1"/>
  <c r="DY10" i="7" a="1"/>
  <c r="DS55" i="7" l="1"/>
  <c r="DT56" i="7" s="1"/>
  <c r="DU52" i="7"/>
  <c r="DS52" i="7"/>
  <c r="DR56" i="7"/>
  <c r="DV55" i="7"/>
  <c r="DT55" i="7"/>
  <c r="DR55" i="7"/>
  <c r="DS50" i="7"/>
  <c r="DW51" i="7"/>
  <c r="DZ9" i="7"/>
  <c r="DY10" i="7"/>
  <c r="DU11" i="7" a="1"/>
  <c r="DU11" i="7" s="1"/>
  <c r="DQ15" i="7" a="1"/>
  <c r="ED95" i="7" a="1"/>
  <c r="DS93" i="7" a="1"/>
  <c r="DY51" i="7" a="1"/>
  <c r="DY50" i="7" a="1"/>
  <c r="DS93" i="7" l="1"/>
  <c r="ED95" i="7"/>
  <c r="DU51" i="7" a="1"/>
  <c r="DU51" i="7" s="1"/>
  <c r="DY93" i="7" a="1"/>
  <c r="DY93" i="7" s="1"/>
  <c r="DY51" i="7"/>
  <c r="DY50" i="7"/>
  <c r="ED53" i="7" a="1"/>
  <c r="ED53" i="7" s="1"/>
  <c r="DZ11" i="7" a="1"/>
  <c r="DZ11" i="7" s="1"/>
  <c r="DY14" i="7" s="1"/>
  <c r="EB53" i="7" a="1"/>
  <c r="EB53" i="7" s="1"/>
  <c r="DV56" i="7"/>
  <c r="DR52" i="7" a="1"/>
  <c r="DR52" i="7" s="1"/>
  <c r="DW52" i="7" a="1"/>
  <c r="DW52" i="7" s="1"/>
  <c r="DQ15" i="7"/>
  <c r="ED11" i="7" a="1"/>
  <c r="ED11" i="7" s="1"/>
  <c r="EA13" i="7"/>
  <c r="DZ13" i="7"/>
  <c r="DY13" i="7"/>
  <c r="DZ10" i="7"/>
  <c r="EC9" i="7" a="1"/>
  <c r="EC9" i="7" s="1"/>
  <c r="DZ8" i="7"/>
  <c r="EB10" i="7"/>
  <c r="EC13" i="7"/>
  <c r="DQ16" i="7" a="1"/>
  <c r="DY92" i="7" a="1"/>
  <c r="DY92" i="7" l="1"/>
  <c r="DS95" i="7" a="1"/>
  <c r="DS95" i="7" s="1"/>
  <c r="DV93" i="7" a="1"/>
  <c r="DV93" i="7" s="1"/>
  <c r="EA14" i="7"/>
  <c r="DQ16" i="7"/>
  <c r="DY9" i="7" a="1"/>
  <c r="DY9" i="7" s="1"/>
  <c r="ED10" i="7" a="1"/>
  <c r="ED10" i="7" s="1"/>
  <c r="EC14" i="7" s="1"/>
  <c r="ED9" i="7"/>
  <c r="EB9" i="7" a="1"/>
  <c r="EB9" i="7" s="1"/>
  <c r="DR15" i="7" a="1"/>
  <c r="DZ51" i="7" a="1"/>
  <c r="DW93" i="7" l="1"/>
  <c r="DV97" i="7"/>
  <c r="DT97" i="7"/>
  <c r="DS92" i="7"/>
  <c r="DU93" i="7" s="1" a="1"/>
  <c r="DU93" i="7" s="1"/>
  <c r="DS97" i="7"/>
  <c r="DT98" i="7" s="1"/>
  <c r="DU94" i="7"/>
  <c r="DR98" i="7"/>
  <c r="DR97" i="7"/>
  <c r="DS94" i="7"/>
  <c r="DZ51" i="7"/>
  <c r="EB95" i="7" s="1" a="1"/>
  <c r="EB95" i="7" s="1"/>
  <c r="DR15" i="7"/>
  <c r="DW15" i="7" a="1"/>
  <c r="DV98" i="7" l="1"/>
  <c r="DW94" i="7" a="1"/>
  <c r="DW94" i="7" s="1"/>
  <c r="DR94" i="7" a="1"/>
  <c r="DR94" i="7" s="1"/>
  <c r="DZ53" i="7" a="1"/>
  <c r="DZ53" i="7" s="1"/>
  <c r="EC51" i="7" a="1"/>
  <c r="EC51" i="7" s="1"/>
  <c r="DW15" i="7"/>
  <c r="DS16" i="7" a="1"/>
  <c r="DR17" i="7" a="1"/>
  <c r="ED51" i="7" l="1"/>
  <c r="EC55" i="7"/>
  <c r="DZ55" i="7"/>
  <c r="EA56" i="7" s="1"/>
  <c r="DY56" i="7"/>
  <c r="DZ50" i="7"/>
  <c r="EA55" i="7"/>
  <c r="EB52" i="7"/>
  <c r="DY55" i="7"/>
  <c r="DZ52" i="7"/>
  <c r="DR17" i="7"/>
  <c r="DS16" i="7"/>
  <c r="EB11" i="7" a="1"/>
  <c r="EB11" i="7" s="1"/>
  <c r="DX15" i="7" a="1"/>
  <c r="DW102" i="7" a="1"/>
  <c r="DR58" i="7" a="1"/>
  <c r="DZ93" i="7" a="1"/>
  <c r="DR57" i="7" a="1"/>
  <c r="DZ93" i="7" l="1"/>
  <c r="DW102" i="7"/>
  <c r="DR100" i="7" a="1"/>
  <c r="DR100" i="7" s="1"/>
  <c r="DR58" i="7"/>
  <c r="DR57" i="7"/>
  <c r="DS18" i="7" a="1"/>
  <c r="DS18" i="7" s="1"/>
  <c r="DR21" i="7" s="1"/>
  <c r="DU60" i="7" a="1"/>
  <c r="DU60" i="7" s="1"/>
  <c r="DW60" i="7" a="1"/>
  <c r="DW60" i="7" s="1"/>
  <c r="EC56" i="7"/>
  <c r="ED52" i="7" a="1"/>
  <c r="ED52" i="7" s="1"/>
  <c r="DY52" i="7" a="1"/>
  <c r="DY52" i="7" s="1"/>
  <c r="EB51" i="7" a="1"/>
  <c r="EB51" i="7" s="1"/>
  <c r="DX15" i="7"/>
  <c r="DS15" i="7"/>
  <c r="DS17" i="7"/>
  <c r="DU17" i="7"/>
  <c r="DV16" i="7" a="1"/>
  <c r="DV16" i="7" s="1"/>
  <c r="DV20" i="7"/>
  <c r="DT20" i="7"/>
  <c r="DS20" i="7"/>
  <c r="DR20" i="7"/>
  <c r="DW18" i="7" a="1"/>
  <c r="DW18" i="7" s="1"/>
  <c r="DX16" i="7" a="1"/>
  <c r="DR99" i="7" a="1"/>
  <c r="DR99" i="7" l="1"/>
  <c r="EC93" i="7" a="1"/>
  <c r="EC93" i="7" s="1"/>
  <c r="DZ95" i="7" a="1"/>
  <c r="DZ95" i="7" s="1"/>
  <c r="DT21" i="7"/>
  <c r="DX16" i="7"/>
  <c r="DR16" i="7" a="1"/>
  <c r="DR16" i="7" s="1"/>
  <c r="DW17" i="7" a="1"/>
  <c r="DW17" i="7" s="1"/>
  <c r="DV21" i="7" s="1"/>
  <c r="DU16" i="7" a="1"/>
  <c r="DU16" i="7" s="1"/>
  <c r="DW16" i="7"/>
  <c r="DY15" i="7" a="1"/>
  <c r="DS58" i="7" a="1"/>
  <c r="DZ97" i="7" l="1"/>
  <c r="EA98" i="7" s="1"/>
  <c r="DY97" i="7"/>
  <c r="DY98" i="7"/>
  <c r="DZ92" i="7"/>
  <c r="EB93" i="7" s="1" a="1"/>
  <c r="EB93" i="7" s="1"/>
  <c r="DZ94" i="7"/>
  <c r="EA97" i="7"/>
  <c r="EC97" i="7"/>
  <c r="EB94" i="7"/>
  <c r="ED93" i="7"/>
  <c r="DS58" i="7"/>
  <c r="DU102" i="7" s="1" a="1"/>
  <c r="DU102" i="7" s="1"/>
  <c r="DY15" i="7"/>
  <c r="ED15" i="7" a="1"/>
  <c r="EC98" i="7" l="1"/>
  <c r="DY94" i="7" a="1"/>
  <c r="DY94" i="7" s="1"/>
  <c r="ED94" i="7" a="1"/>
  <c r="ED94" i="7" s="1"/>
  <c r="DV58" i="7" a="1"/>
  <c r="DV58" i="7" s="1"/>
  <c r="DS60" i="7" a="1"/>
  <c r="DS60" i="7" s="1"/>
  <c r="ED15" i="7"/>
  <c r="DY17" i="7" a="1"/>
  <c r="DZ16" i="7" a="1"/>
  <c r="DV62" i="7" l="1"/>
  <c r="DT62" i="7"/>
  <c r="DU59" i="7"/>
  <c r="DS62" i="7"/>
  <c r="DT63" i="7" s="1"/>
  <c r="DS59" i="7"/>
  <c r="DS57" i="7"/>
  <c r="DR62" i="7"/>
  <c r="DR63" i="7"/>
  <c r="DW58" i="7"/>
  <c r="DZ16" i="7"/>
  <c r="DY17" i="7"/>
  <c r="DU18" i="7" a="1"/>
  <c r="DU18" i="7" s="1"/>
  <c r="DQ22" i="7" a="1"/>
  <c r="ED102" i="7" a="1"/>
  <c r="DS100" i="7" a="1"/>
  <c r="DY58" i="7" a="1"/>
  <c r="DY57" i="7" a="1"/>
  <c r="DS100" i="7" l="1"/>
  <c r="ED102" i="7"/>
  <c r="DU58" i="7" a="1"/>
  <c r="DU58" i="7" s="1"/>
  <c r="DY100" i="7" a="1"/>
  <c r="DY100" i="7" s="1"/>
  <c r="DY58" i="7"/>
  <c r="DY57" i="7"/>
  <c r="DZ18" i="7" a="1"/>
  <c r="DZ18" i="7" s="1"/>
  <c r="DY21" i="7" s="1"/>
  <c r="EB60" i="7" a="1"/>
  <c r="EB60" i="7" s="1"/>
  <c r="ED60" i="7" a="1"/>
  <c r="ED60" i="7" s="1"/>
  <c r="DW59" i="7" a="1"/>
  <c r="DW59" i="7" s="1"/>
  <c r="DV63" i="7"/>
  <c r="DR59" i="7" a="1"/>
  <c r="DR59" i="7" s="1"/>
  <c r="DQ22" i="7"/>
  <c r="ED18" i="7" a="1"/>
  <c r="ED18" i="7" s="1"/>
  <c r="DZ15" i="7"/>
  <c r="EB17" i="7"/>
  <c r="DY20" i="7"/>
  <c r="DZ17" i="7"/>
  <c r="EA20" i="7"/>
  <c r="EC16" i="7" a="1"/>
  <c r="EC16" i="7" s="1"/>
  <c r="EC20" i="7"/>
  <c r="DZ20" i="7"/>
  <c r="DQ23" i="7" a="1"/>
  <c r="DY99" i="7" a="1"/>
  <c r="DY99" i="7" l="1"/>
  <c r="DS102" i="7" a="1"/>
  <c r="DS102" i="7" s="1"/>
  <c r="DV100" i="7" a="1"/>
  <c r="DV100" i="7" s="1"/>
  <c r="EA21" i="7"/>
  <c r="DQ23" i="7"/>
  <c r="ED17" i="7" a="1"/>
  <c r="ED17" i="7" s="1"/>
  <c r="EC21" i="7" s="1"/>
  <c r="DY16" i="7" a="1"/>
  <c r="DY16" i="7" s="1"/>
  <c r="EB16" i="7" a="1"/>
  <c r="EB16" i="7" s="1"/>
  <c r="ED16" i="7"/>
  <c r="DR22" i="7" a="1"/>
  <c r="DZ58" i="7" a="1"/>
  <c r="DW100" i="7" l="1"/>
  <c r="DV104" i="7"/>
  <c r="DT104" i="7"/>
  <c r="DS104" i="7"/>
  <c r="DT105" i="7" s="1"/>
  <c r="DU101" i="7"/>
  <c r="DR105" i="7"/>
  <c r="DR104" i="7"/>
  <c r="DS101" i="7"/>
  <c r="DS99" i="7"/>
  <c r="DU100" i="7" s="1" a="1"/>
  <c r="DU100" i="7" s="1"/>
  <c r="DZ58" i="7"/>
  <c r="EB102" i="7" s="1" a="1"/>
  <c r="EB102" i="7" s="1"/>
  <c r="DR22" i="7"/>
  <c r="DW22" i="7" a="1"/>
  <c r="DV105" i="7" l="1"/>
  <c r="DW101" i="7" a="1"/>
  <c r="DW101" i="7" s="1"/>
  <c r="DR101" i="7" a="1"/>
  <c r="DR101" i="7" s="1"/>
  <c r="EC58" i="7" a="1"/>
  <c r="EC58" i="7" s="1"/>
  <c r="DZ60" i="7" a="1"/>
  <c r="DZ60" i="7" s="1"/>
  <c r="DW22" i="7"/>
  <c r="DR24" i="7" a="1"/>
  <c r="DS23" i="7" a="1"/>
  <c r="ED58" i="7" l="1"/>
  <c r="EC62" i="7"/>
  <c r="EB59" i="7"/>
  <c r="DZ62" i="7"/>
  <c r="EA63" i="7" s="1"/>
  <c r="DY63" i="7"/>
  <c r="EA62" i="7"/>
  <c r="DY62" i="7"/>
  <c r="DZ57" i="7"/>
  <c r="DZ59" i="7"/>
  <c r="DS23" i="7"/>
  <c r="DR24" i="7"/>
  <c r="EB18" i="7" a="1"/>
  <c r="EB18" i="7" s="1"/>
  <c r="DX22" i="7" a="1"/>
  <c r="DR65" i="7" a="1"/>
  <c r="DZ100" i="7" a="1"/>
  <c r="DW109" i="7" a="1"/>
  <c r="DR64" i="7" a="1"/>
  <c r="DZ100" i="7" l="1"/>
  <c r="DW109" i="7"/>
  <c r="EB58" i="7" a="1"/>
  <c r="EB58" i="7" s="1"/>
  <c r="DR107" i="7" a="1"/>
  <c r="DR107" i="7" s="1"/>
  <c r="DR65" i="7"/>
  <c r="DR64" i="7"/>
  <c r="DS25" i="7" a="1"/>
  <c r="DS25" i="7" s="1"/>
  <c r="DR28" i="7" s="1"/>
  <c r="DU67" i="7" a="1"/>
  <c r="DU67" i="7" s="1"/>
  <c r="DW67" i="7" a="1"/>
  <c r="DW67" i="7" s="1"/>
  <c r="EC63" i="7"/>
  <c r="DY59" i="7" a="1"/>
  <c r="DY59" i="7" s="1"/>
  <c r="ED59" i="7" a="1"/>
  <c r="ED59" i="7" s="1"/>
  <c r="DX22" i="7"/>
  <c r="DW25" i="7" a="1"/>
  <c r="DW25" i="7" s="1"/>
  <c r="DS27" i="7"/>
  <c r="DR27" i="7"/>
  <c r="DS22" i="7"/>
  <c r="DU24" i="7"/>
  <c r="DS24" i="7"/>
  <c r="DT27" i="7"/>
  <c r="DV23" i="7" a="1"/>
  <c r="DV23" i="7" s="1"/>
  <c r="DV27" i="7"/>
  <c r="DR106" i="7" a="1"/>
  <c r="DX23" i="7" a="1"/>
  <c r="DR106" i="7" l="1"/>
  <c r="EC100" i="7" a="1"/>
  <c r="EC100" i="7" s="1"/>
  <c r="DZ102" i="7" a="1"/>
  <c r="DZ102" i="7" s="1"/>
  <c r="DT28" i="7"/>
  <c r="DX23" i="7"/>
  <c r="DW23" i="7"/>
  <c r="DU23" i="7" a="1"/>
  <c r="DU23" i="7" s="1"/>
  <c r="DW24" i="7" a="1"/>
  <c r="DW24" i="7" s="1"/>
  <c r="DV28" i="7" s="1"/>
  <c r="DR23" i="7" a="1"/>
  <c r="DR23" i="7" s="1"/>
  <c r="DY22" i="7" a="1"/>
  <c r="DS65" i="7" a="1"/>
  <c r="DY105" i="7" l="1"/>
  <c r="DZ99" i="7"/>
  <c r="EB100" i="7" s="1" a="1"/>
  <c r="EB100" i="7" s="1"/>
  <c r="EC104" i="7"/>
  <c r="EB101" i="7"/>
  <c r="EA104" i="7"/>
  <c r="DZ101" i="7"/>
  <c r="DZ104" i="7"/>
  <c r="EA105" i="7" s="1"/>
  <c r="DY104" i="7"/>
  <c r="ED100" i="7"/>
  <c r="DS65" i="7"/>
  <c r="DU109" i="7" s="1" a="1"/>
  <c r="DU109" i="7" s="1"/>
  <c r="DY22" i="7"/>
  <c r="ED22" i="7" a="1"/>
  <c r="ED101" i="7" l="1" a="1"/>
  <c r="ED101" i="7" s="1"/>
  <c r="EC105" i="7"/>
  <c r="DY101" i="7" a="1"/>
  <c r="DY101" i="7" s="1"/>
  <c r="DV65" i="7" a="1"/>
  <c r="DV65" i="7" s="1"/>
  <c r="DS67" i="7" a="1"/>
  <c r="DS67" i="7" s="1"/>
  <c r="ED22" i="7"/>
  <c r="DY24" i="7" a="1"/>
  <c r="DZ23" i="7" a="1"/>
  <c r="DV69" i="7" l="1"/>
  <c r="DS69" i="7"/>
  <c r="DT70" i="7" s="1"/>
  <c r="DU66" i="7"/>
  <c r="DT69" i="7"/>
  <c r="DS66" i="7"/>
  <c r="DR69" i="7"/>
  <c r="DS64" i="7"/>
  <c r="DR70" i="7"/>
  <c r="DW65" i="7"/>
  <c r="DZ23" i="7"/>
  <c r="DY24" i="7"/>
  <c r="DU25" i="7" a="1"/>
  <c r="DU25" i="7" s="1"/>
  <c r="DQ29" i="7" a="1"/>
  <c r="ED109" i="7" a="1"/>
  <c r="DS107" i="7" a="1"/>
  <c r="DY64" i="7" a="1"/>
  <c r="DY65" i="7" a="1"/>
  <c r="DS107" i="7" l="1"/>
  <c r="ED109" i="7"/>
  <c r="DU65" i="7" a="1"/>
  <c r="DU65" i="7" s="1"/>
  <c r="DY107" i="7" a="1"/>
  <c r="DY107" i="7" s="1"/>
  <c r="DY65" i="7"/>
  <c r="DY64" i="7"/>
  <c r="DR66" i="7" a="1"/>
  <c r="DR66" i="7" s="1"/>
  <c r="DV70" i="7"/>
  <c r="DW66" i="7" a="1"/>
  <c r="DW66" i="7" s="1"/>
  <c r="DZ25" i="7" a="1"/>
  <c r="DZ25" i="7" s="1"/>
  <c r="DY28" i="7" s="1"/>
  <c r="EB67" i="7" a="1"/>
  <c r="EB67" i="7" s="1"/>
  <c r="ED67" i="7" a="1"/>
  <c r="ED67" i="7" s="1"/>
  <c r="DQ29" i="7"/>
  <c r="DY27" i="7"/>
  <c r="EC23" i="7" a="1"/>
  <c r="EC23" i="7" s="1"/>
  <c r="DZ22" i="7"/>
  <c r="EC27" i="7"/>
  <c r="EA27" i="7"/>
  <c r="DZ27" i="7"/>
  <c r="EB24" i="7"/>
  <c r="DZ24" i="7"/>
  <c r="ED25" i="7" a="1"/>
  <c r="ED25" i="7" s="1"/>
  <c r="DQ30" i="7" a="1"/>
  <c r="DY106" i="7" a="1"/>
  <c r="DY106" i="7" l="1"/>
  <c r="DV107" i="7" a="1"/>
  <c r="DV107" i="7" s="1"/>
  <c r="DS109" i="7" a="1"/>
  <c r="DS109" i="7" s="1"/>
  <c r="EA28" i="7"/>
  <c r="DQ30" i="7"/>
  <c r="DY23" i="7" a="1"/>
  <c r="DY23" i="7" s="1"/>
  <c r="ED24" i="7" a="1"/>
  <c r="ED24" i="7" s="1"/>
  <c r="EC28" i="7" s="1"/>
  <c r="ED23" i="7"/>
  <c r="EB23" i="7" a="1"/>
  <c r="EB23" i="7" s="1"/>
  <c r="DR29" i="7" a="1"/>
  <c r="DZ65" i="7" a="1"/>
  <c r="DS111" i="7" l="1"/>
  <c r="DT112" i="7" s="1"/>
  <c r="DU108" i="7"/>
  <c r="DR112" i="7"/>
  <c r="DR111" i="7"/>
  <c r="DS108" i="7"/>
  <c r="DS106" i="7"/>
  <c r="DU107" i="7" s="1" a="1"/>
  <c r="DU107" i="7" s="1"/>
  <c r="DV111" i="7"/>
  <c r="DT111" i="7"/>
  <c r="DW107" i="7"/>
  <c r="DZ65" i="7"/>
  <c r="EB109" i="7" s="1" a="1"/>
  <c r="EB109" i="7" s="1"/>
  <c r="DR29" i="7"/>
  <c r="DW29" i="7" a="1"/>
  <c r="DR108" i="7" l="1" a="1"/>
  <c r="DR108" i="7" s="1"/>
  <c r="DW108" i="7" a="1"/>
  <c r="DW108" i="7" s="1"/>
  <c r="DV112" i="7"/>
  <c r="EC65" i="7" a="1"/>
  <c r="EC65" i="7" s="1"/>
  <c r="DZ67" i="7" a="1"/>
  <c r="DZ67" i="7" s="1"/>
  <c r="DW29" i="7"/>
  <c r="DS30" i="7" a="1"/>
  <c r="DR31" i="7" a="1"/>
  <c r="DZ69" i="7" l="1"/>
  <c r="EA70" i="7" s="1"/>
  <c r="DY70" i="7"/>
  <c r="EC69" i="7"/>
  <c r="DZ66" i="7"/>
  <c r="EB66" i="7"/>
  <c r="DY69" i="7"/>
  <c r="DZ64" i="7"/>
  <c r="EA69" i="7"/>
  <c r="ED65" i="7"/>
  <c r="DS30" i="7"/>
  <c r="DR31" i="7"/>
  <c r="EB25" i="7" a="1"/>
  <c r="EB25" i="7" s="1"/>
  <c r="DX29" i="7" a="1"/>
  <c r="DR71" i="7" a="1"/>
  <c r="DZ107" i="7" a="1"/>
  <c r="DW116" i="7" a="1"/>
  <c r="DR72" i="7" a="1"/>
  <c r="DZ107" i="7" l="1"/>
  <c r="DW116" i="7"/>
  <c r="EB65" i="7" a="1"/>
  <c r="EB65" i="7" s="1"/>
  <c r="DR114" i="7" a="1"/>
  <c r="DR114" i="7" s="1"/>
  <c r="DR72" i="7"/>
  <c r="DR71" i="7"/>
  <c r="DW74" i="7" a="1"/>
  <c r="DW74" i="7" s="1"/>
  <c r="DS32" i="7" a="1"/>
  <c r="DS32" i="7" s="1"/>
  <c r="DR35" i="7" s="1"/>
  <c r="DU74" i="7" a="1"/>
  <c r="DU74" i="7" s="1"/>
  <c r="EC70" i="7"/>
  <c r="ED66" i="7" a="1"/>
  <c r="ED66" i="7" s="1"/>
  <c r="DY66" i="7" a="1"/>
  <c r="DY66" i="7" s="1"/>
  <c r="DX29" i="7"/>
  <c r="DW32" i="7" a="1"/>
  <c r="DW32" i="7" s="1"/>
  <c r="DV34" i="7"/>
  <c r="DT34" i="7"/>
  <c r="DV30" i="7" a="1"/>
  <c r="DV30" i="7" s="1"/>
  <c r="DS29" i="7"/>
  <c r="DU31" i="7"/>
  <c r="DR34" i="7"/>
  <c r="DS31" i="7"/>
  <c r="DS34" i="7"/>
  <c r="DR113" i="7" a="1"/>
  <c r="DX30" i="7" a="1"/>
  <c r="DR113" i="7" l="1"/>
  <c r="DZ109" i="7" a="1"/>
  <c r="DZ109" i="7" s="1"/>
  <c r="EC107" i="7" a="1"/>
  <c r="EC107" i="7" s="1"/>
  <c r="DT35" i="7"/>
  <c r="DX30" i="7"/>
  <c r="DW30" i="7"/>
  <c r="DU30" i="7" a="1"/>
  <c r="DU30" i="7" s="1"/>
  <c r="DR30" i="7" a="1"/>
  <c r="DR30" i="7" s="1"/>
  <c r="DW31" i="7" a="1"/>
  <c r="DW31" i="7" s="1"/>
  <c r="DV35" i="7" s="1"/>
  <c r="DY29" i="7" a="1"/>
  <c r="DS72" i="7" a="1"/>
  <c r="ED107" i="7" l="1"/>
  <c r="EC111" i="7"/>
  <c r="EB108" i="7"/>
  <c r="EA111" i="7"/>
  <c r="DZ108" i="7"/>
  <c r="DZ111" i="7"/>
  <c r="EA112" i="7" s="1"/>
  <c r="DY111" i="7"/>
  <c r="DY112" i="7"/>
  <c r="DZ106" i="7"/>
  <c r="EB107" i="7" s="1" a="1"/>
  <c r="EB107" i="7" s="1"/>
  <c r="DS72" i="7"/>
  <c r="DU116" i="7" s="1" a="1"/>
  <c r="DU116" i="7" s="1"/>
  <c r="DY29" i="7"/>
  <c r="ED29" i="7" a="1"/>
  <c r="ED108" i="7" l="1" a="1"/>
  <c r="ED108" i="7" s="1"/>
  <c r="EC112" i="7"/>
  <c r="DY108" i="7" a="1"/>
  <c r="DY108" i="7" s="1"/>
  <c r="DV72" i="7" a="1"/>
  <c r="DV72" i="7" s="1"/>
  <c r="DS74" i="7" a="1"/>
  <c r="DS74" i="7" s="1"/>
  <c r="ED29" i="7"/>
  <c r="DZ30" i="7" a="1"/>
  <c r="DY31" i="7" a="1"/>
  <c r="DV76" i="7" l="1"/>
  <c r="DS76" i="7"/>
  <c r="DT77" i="7" s="1"/>
  <c r="DU73" i="7"/>
  <c r="DR77" i="7"/>
  <c r="DT76" i="7"/>
  <c r="DS73" i="7"/>
  <c r="DR76" i="7"/>
  <c r="DS71" i="7"/>
  <c r="DW72" i="7"/>
  <c r="DY31" i="7"/>
  <c r="DZ30" i="7"/>
  <c r="EB74" i="7" s="1" a="1"/>
  <c r="EB74" i="7" s="1"/>
  <c r="DU32" i="7" a="1"/>
  <c r="DU32" i="7" s="1"/>
  <c r="DQ36" i="7" a="1"/>
  <c r="DS114" i="7" a="1"/>
  <c r="DY72" i="7" a="1"/>
  <c r="DY71" i="7" a="1"/>
  <c r="ED116" i="7" a="1"/>
  <c r="DS114" i="7" l="1"/>
  <c r="ED116" i="7"/>
  <c r="DU72" i="7" a="1"/>
  <c r="DU72" i="7" s="1"/>
  <c r="DY114" i="7" a="1"/>
  <c r="DY114" i="7" s="1"/>
  <c r="DY72" i="7"/>
  <c r="DY71" i="7"/>
  <c r="ED74" i="7" a="1"/>
  <c r="ED74" i="7" s="1"/>
  <c r="DZ32" i="7" a="1"/>
  <c r="DZ32" i="7" s="1"/>
  <c r="DY35" i="7" s="1"/>
  <c r="DV77" i="7"/>
  <c r="DW73" i="7" a="1"/>
  <c r="DW73" i="7" s="1"/>
  <c r="DR73" i="7" a="1"/>
  <c r="DR73" i="7" s="1"/>
  <c r="DQ36" i="7"/>
  <c r="DZ34" i="7"/>
  <c r="DZ31" i="7"/>
  <c r="EC30" i="7" a="1"/>
  <c r="EC30" i="7" s="1"/>
  <c r="DY34" i="7"/>
  <c r="EA34" i="7"/>
  <c r="DZ29" i="7"/>
  <c r="EB31" i="7"/>
  <c r="EC34" i="7"/>
  <c r="ED32" i="7" a="1"/>
  <c r="ED32" i="7" s="1"/>
  <c r="DY113" i="7" a="1"/>
  <c r="DQ37" i="7" a="1"/>
  <c r="DY113" i="7" l="1"/>
  <c r="DS116" i="7" a="1"/>
  <c r="DS116" i="7" s="1"/>
  <c r="DV114" i="7" a="1"/>
  <c r="DV114" i="7" s="1"/>
  <c r="EA35" i="7"/>
  <c r="DQ37" i="7"/>
  <c r="ED31" i="7" a="1"/>
  <c r="ED31" i="7" s="1"/>
  <c r="EC35" i="7" s="1"/>
  <c r="DY30" i="7" a="1"/>
  <c r="DY30" i="7" s="1"/>
  <c r="ED30" i="7"/>
  <c r="EB30" i="7" a="1"/>
  <c r="EB30" i="7" s="1"/>
  <c r="DR36" i="7" a="1"/>
  <c r="DZ72" i="7" a="1"/>
  <c r="DW114" i="7" l="1"/>
  <c r="DS113" i="7"/>
  <c r="DU114" i="7" s="1" a="1"/>
  <c r="DU114" i="7" s="1"/>
  <c r="DR119" i="7"/>
  <c r="DV118" i="7"/>
  <c r="DT118" i="7"/>
  <c r="DS118" i="7"/>
  <c r="DT119" i="7" s="1"/>
  <c r="DU115" i="7"/>
  <c r="DR118" i="7"/>
  <c r="DS115" i="7"/>
  <c r="DZ72" i="7"/>
  <c r="EB116" i="7" s="1" a="1"/>
  <c r="EB116" i="7" s="1"/>
  <c r="DR36" i="7"/>
  <c r="DW36" i="7" a="1"/>
  <c r="DR115" i="7" l="1" a="1"/>
  <c r="DR115" i="7" s="1"/>
  <c r="DV119" i="7"/>
  <c r="DW115" i="7" a="1"/>
  <c r="DW115" i="7" s="1"/>
  <c r="EC72" i="7" a="1"/>
  <c r="EC72" i="7" s="1"/>
  <c r="DZ74" i="7" a="1"/>
  <c r="DZ74" i="7" s="1"/>
  <c r="DW36" i="7"/>
  <c r="DS37" i="7" a="1"/>
  <c r="DR38" i="7" a="1"/>
  <c r="DY77" i="7" l="1"/>
  <c r="EC76" i="7"/>
  <c r="EB73" i="7"/>
  <c r="DZ73" i="7"/>
  <c r="EA76" i="7"/>
  <c r="DZ76" i="7"/>
  <c r="EA77" i="7" s="1"/>
  <c r="DY76" i="7"/>
  <c r="DZ71" i="7"/>
  <c r="ED72" i="7"/>
  <c r="DR38" i="7"/>
  <c r="DS37" i="7"/>
  <c r="DU81" i="7" s="1" a="1"/>
  <c r="DU81" i="7" s="1"/>
  <c r="EB32" i="7" a="1"/>
  <c r="EB32" i="7" s="1"/>
  <c r="DX36" i="7" a="1"/>
  <c r="DZ114" i="7" a="1"/>
  <c r="DR79" i="7" a="1"/>
  <c r="DR78" i="7" a="1"/>
  <c r="DW123" i="7" a="1"/>
  <c r="DZ114" i="7" l="1"/>
  <c r="DW123" i="7"/>
  <c r="EB72" i="7" a="1"/>
  <c r="EB72" i="7" s="1"/>
  <c r="DR121" i="7" a="1"/>
  <c r="DR121" i="7" s="1"/>
  <c r="DR79" i="7"/>
  <c r="DR78" i="7"/>
  <c r="ED73" i="7" a="1"/>
  <c r="ED73" i="7" s="1"/>
  <c r="DY73" i="7" a="1"/>
  <c r="DY73" i="7" s="1"/>
  <c r="EC77" i="7"/>
  <c r="DW81" i="7" a="1"/>
  <c r="DW81" i="7" s="1"/>
  <c r="DS39" i="7" a="1"/>
  <c r="DS39" i="7" s="1"/>
  <c r="DR42" i="7" s="1"/>
  <c r="DX36" i="7"/>
  <c r="DU38" i="7"/>
  <c r="DS38" i="7"/>
  <c r="DV41" i="7"/>
  <c r="DT41" i="7"/>
  <c r="DS41" i="7"/>
  <c r="DV37" i="7" a="1"/>
  <c r="DV37" i="7" s="1"/>
  <c r="DR41" i="7"/>
  <c r="DS36" i="7"/>
  <c r="DW39" i="7" a="1"/>
  <c r="DW39" i="7" s="1"/>
  <c r="DR120" i="7" a="1"/>
  <c r="DX37" i="7" a="1"/>
  <c r="DR120" i="7" l="1"/>
  <c r="EC114" i="7" a="1"/>
  <c r="EC114" i="7" s="1"/>
  <c r="DZ116" i="7" a="1"/>
  <c r="DZ116" i="7" s="1"/>
  <c r="DT42" i="7"/>
  <c r="DX37" i="7"/>
  <c r="DU37" i="7" a="1"/>
  <c r="DU37" i="7" s="1"/>
  <c r="DW37" i="7"/>
  <c r="DW38" i="7" a="1"/>
  <c r="DW38" i="7" s="1"/>
  <c r="DV42" i="7" s="1"/>
  <c r="DR37" i="7" a="1"/>
  <c r="DR37" i="7" s="1"/>
  <c r="DY36" i="7" a="1"/>
  <c r="DS79" i="7" a="1"/>
  <c r="EC118" i="7" l="1"/>
  <c r="EB115" i="7"/>
  <c r="EA118" i="7"/>
  <c r="DZ115" i="7"/>
  <c r="DZ118" i="7"/>
  <c r="EA119" i="7" s="1"/>
  <c r="DY118" i="7"/>
  <c r="DY119" i="7"/>
  <c r="DZ113" i="7"/>
  <c r="EB114" i="7" s="1" a="1"/>
  <c r="EB114" i="7" s="1"/>
  <c r="ED114" i="7"/>
  <c r="DS79" i="7"/>
  <c r="DU123" i="7" s="1" a="1"/>
  <c r="DU123" i="7" s="1"/>
  <c r="DY36" i="7"/>
  <c r="ED36" i="7" a="1"/>
  <c r="EC119" i="7" l="1"/>
  <c r="ED115" i="7" a="1"/>
  <c r="ED115" i="7" s="1"/>
  <c r="DY115" i="7" a="1"/>
  <c r="DY115" i="7" s="1"/>
  <c r="DS81" i="7" a="1"/>
  <c r="DS81" i="7" s="1"/>
  <c r="DV79" i="7" a="1"/>
  <c r="DV79" i="7" s="1"/>
  <c r="ED36" i="7"/>
  <c r="DZ37" i="7" a="1"/>
  <c r="DY38" i="7" a="1"/>
  <c r="DS83" i="7" l="1"/>
  <c r="DT84" i="7" s="1"/>
  <c r="DU80" i="7"/>
  <c r="DV83" i="7"/>
  <c r="DT83" i="7"/>
  <c r="DS80" i="7"/>
  <c r="DR83" i="7"/>
  <c r="DS78" i="7"/>
  <c r="DR84" i="7"/>
  <c r="DW79" i="7"/>
  <c r="DZ37" i="7"/>
  <c r="EB81" i="7" s="1" a="1"/>
  <c r="EB81" i="7" s="1"/>
  <c r="DY38" i="7"/>
  <c r="DU39" i="7" a="1"/>
  <c r="DU39" i="7" s="1"/>
  <c r="EF1" i="7" a="1"/>
  <c r="ED123" i="7" a="1"/>
  <c r="DY79" i="7" a="1"/>
  <c r="DS121" i="7" a="1"/>
  <c r="DY78" i="7" a="1"/>
  <c r="ED123" i="7" l="1"/>
  <c r="DS121" i="7"/>
  <c r="DY121" i="7" a="1"/>
  <c r="DY121" i="7" s="1"/>
  <c r="DY79" i="7"/>
  <c r="DY78" i="7"/>
  <c r="ED81" i="7" a="1"/>
  <c r="ED81" i="7" s="1"/>
  <c r="DW80" i="7" a="1"/>
  <c r="DW80" i="7" s="1"/>
  <c r="DR80" i="7" a="1"/>
  <c r="DR80" i="7" s="1"/>
  <c r="DV84" i="7"/>
  <c r="DU79" i="7" a="1"/>
  <c r="DU79" i="7" s="1"/>
  <c r="EF1" i="7"/>
  <c r="ED39" i="7" a="1"/>
  <c r="ED39" i="7" s="1"/>
  <c r="EA41" i="7"/>
  <c r="DY41" i="7"/>
  <c r="EB38" i="7"/>
  <c r="EC37" i="7" a="1"/>
  <c r="EC37" i="7" s="1"/>
  <c r="DZ41" i="7"/>
  <c r="DZ38" i="7"/>
  <c r="DZ36" i="7"/>
  <c r="EC41" i="7"/>
  <c r="DZ39" i="7" a="1"/>
  <c r="DZ39" i="7" s="1"/>
  <c r="DY42" i="7" s="1"/>
  <c r="EF2" i="7" a="1"/>
  <c r="DY120" i="7" a="1"/>
  <c r="DY120" i="7" l="1"/>
  <c r="DS123" i="7" a="1"/>
  <c r="DS123" i="7" s="1"/>
  <c r="DV121" i="7" a="1"/>
  <c r="DV121" i="7" s="1"/>
  <c r="EA42" i="7"/>
  <c r="EF2" i="7"/>
  <c r="DY37" i="7" a="1"/>
  <c r="DY37" i="7" s="1"/>
  <c r="ED38" i="7" a="1"/>
  <c r="ED38" i="7" s="1"/>
  <c r="EC42" i="7" s="1"/>
  <c r="EB37" i="7" a="1"/>
  <c r="EB37" i="7" s="1"/>
  <c r="ED37" i="7"/>
  <c r="EG1" i="7" a="1"/>
  <c r="DZ79" i="7" a="1"/>
  <c r="DW121" i="7" l="1"/>
  <c r="DV125" i="7"/>
  <c r="DT125" i="7"/>
  <c r="DS125" i="7"/>
  <c r="DT126" i="7" s="1"/>
  <c r="DU122" i="7"/>
  <c r="DR126" i="7"/>
  <c r="DR125" i="7"/>
  <c r="DS122" i="7"/>
  <c r="DS120" i="7"/>
  <c r="DU121" i="7" s="1" a="1"/>
  <c r="DU121" i="7" s="1"/>
  <c r="DZ79" i="7"/>
  <c r="EB123" i="7" s="1" a="1"/>
  <c r="EB123" i="7" s="1"/>
  <c r="EG1" i="7"/>
  <c r="EL1" i="7" a="1"/>
  <c r="DV126" i="7" l="1"/>
  <c r="DW122" i="7" a="1"/>
  <c r="DW122" i="7" s="1"/>
  <c r="DR122" i="7" a="1"/>
  <c r="DR122" i="7" s="1"/>
  <c r="DZ81" i="7" a="1"/>
  <c r="DZ81" i="7" s="1"/>
  <c r="EC79" i="7" a="1"/>
  <c r="EC79" i="7" s="1"/>
  <c r="EL1" i="7"/>
  <c r="EH2" i="7" a="1"/>
  <c r="EG3" i="7" a="1"/>
  <c r="EC83" i="7" l="1"/>
  <c r="EB80" i="7"/>
  <c r="DZ83" i="7"/>
  <c r="EA84" i="7" s="1"/>
  <c r="EA83" i="7"/>
  <c r="DY83" i="7"/>
  <c r="DZ78" i="7"/>
  <c r="DY84" i="7"/>
  <c r="DZ80" i="7"/>
  <c r="ED79" i="7"/>
  <c r="EH2" i="7"/>
  <c r="EG3" i="7"/>
  <c r="EB39" i="7" a="1"/>
  <c r="EB39" i="7" s="1"/>
  <c r="EM1" i="7" a="1"/>
  <c r="EG43" i="7" a="1"/>
  <c r="EG44" i="7" a="1"/>
  <c r="EL88" i="7" a="1"/>
  <c r="DZ121" i="7" a="1"/>
  <c r="EM1" i="7" l="1"/>
  <c r="EL88" i="7"/>
  <c r="EG86" i="7" a="1"/>
  <c r="EG86" i="7" s="1"/>
  <c r="DZ121" i="7"/>
  <c r="EB79" i="7" a="1"/>
  <c r="EB79" i="7" s="1"/>
  <c r="EG44" i="7"/>
  <c r="EG43" i="7"/>
  <c r="EH4" i="7" a="1"/>
  <c r="EH4" i="7" s="1"/>
  <c r="EG7" i="7" s="1"/>
  <c r="EJ46" i="7" a="1"/>
  <c r="EJ46" i="7" s="1"/>
  <c r="EL46" i="7" a="1"/>
  <c r="EL46" i="7" s="1"/>
  <c r="EC84" i="7"/>
  <c r="DY80" i="7" a="1"/>
  <c r="DY80" i="7" s="1"/>
  <c r="ED80" i="7" a="1"/>
  <c r="ED80" i="7" s="1"/>
  <c r="EL4" i="7" a="1"/>
  <c r="EL4" i="7" s="1"/>
  <c r="EH6" i="7"/>
  <c r="EJ3" i="7"/>
  <c r="EG6" i="7"/>
  <c r="EH3" i="7"/>
  <c r="EH1" i="7"/>
  <c r="EK2" i="7" a="1"/>
  <c r="EK2" i="7" s="1"/>
  <c r="EI6" i="7"/>
  <c r="EK6" i="7"/>
  <c r="EM2" i="7" a="1"/>
  <c r="EG85" i="7" a="1"/>
  <c r="EM2" i="7" l="1"/>
  <c r="EG85" i="7"/>
  <c r="EC121" i="7" a="1"/>
  <c r="EC121" i="7" s="1"/>
  <c r="DZ123" i="7" a="1"/>
  <c r="DZ123" i="7" s="1"/>
  <c r="EI7" i="7"/>
  <c r="EG2" i="7" a="1"/>
  <c r="EG2" i="7" s="1"/>
  <c r="EL2" i="7"/>
  <c r="EJ2" i="7" a="1"/>
  <c r="EJ2" i="7" s="1"/>
  <c r="EL3" i="7" a="1"/>
  <c r="EL3" i="7" s="1"/>
  <c r="EK7" i="7" s="1"/>
  <c r="EN1" i="7" a="1"/>
  <c r="EH44" i="7" a="1"/>
  <c r="EN1" i="7" l="1"/>
  <c r="DZ125" i="7"/>
  <c r="EA126" i="7" s="1"/>
  <c r="DY125" i="7"/>
  <c r="DY126" i="7"/>
  <c r="DZ122" i="7"/>
  <c r="DZ120" i="7"/>
  <c r="EB121" i="7" s="1" a="1"/>
  <c r="EB121" i="7" s="1"/>
  <c r="EC125" i="7"/>
  <c r="EB122" i="7"/>
  <c r="EA125" i="7"/>
  <c r="ED121" i="7"/>
  <c r="EH44" i="7"/>
  <c r="EJ88" i="7" s="1" a="1"/>
  <c r="EJ88" i="7" s="1"/>
  <c r="ES1" i="7" a="1"/>
  <c r="ES1" i="7" l="1"/>
  <c r="EJ4" i="7" s="1" a="1"/>
  <c r="EJ4" i="7" s="1"/>
  <c r="EC126" i="7"/>
  <c r="DY122" i="7" a="1"/>
  <c r="DY122" i="7" s="1"/>
  <c r="ED122" i="7" a="1"/>
  <c r="ED122" i="7" s="1"/>
  <c r="EH46" i="7" a="1"/>
  <c r="EH46" i="7" s="1"/>
  <c r="EK44" i="7" a="1"/>
  <c r="EK44" i="7" s="1"/>
  <c r="EO2" i="7" a="1"/>
  <c r="EN3" i="7" a="1"/>
  <c r="EF8" i="7" a="1"/>
  <c r="EN43" i="7" a="1"/>
  <c r="EN3" i="7" l="1"/>
  <c r="EN86" i="7" s="1" a="1"/>
  <c r="EN86" i="7" s="1"/>
  <c r="EO2" i="7"/>
  <c r="EQ46" i="7" s="1" a="1"/>
  <c r="EQ46" i="7" s="1"/>
  <c r="EN43" i="7"/>
  <c r="EL44" i="7"/>
  <c r="EH43" i="7"/>
  <c r="EJ44" i="7" s="1" a="1"/>
  <c r="EJ44" i="7" s="1"/>
  <c r="EG48" i="7"/>
  <c r="EH45" i="7"/>
  <c r="EK48" i="7"/>
  <c r="EH48" i="7"/>
  <c r="EI49" i="7" s="1"/>
  <c r="EJ45" i="7"/>
  <c r="EG49" i="7"/>
  <c r="EI48" i="7"/>
  <c r="EF8" i="7"/>
  <c r="ES88" i="7" a="1"/>
  <c r="EN44" i="7" a="1"/>
  <c r="EH86" i="7" a="1"/>
  <c r="EF9" i="7" a="1"/>
  <c r="EN85" i="7" a="1"/>
  <c r="ES4" i="7" l="1" a="1"/>
  <c r="ES4" i="7" s="1"/>
  <c r="EO3" i="7"/>
  <c r="EO4" i="7" a="1"/>
  <c r="EO4" i="7" s="1"/>
  <c r="EN2" i="7" s="1" a="1"/>
  <c r="EN2" i="7" s="1"/>
  <c r="EP6" i="7"/>
  <c r="EQ3" i="7"/>
  <c r="EO1" i="7"/>
  <c r="ES3" i="7" s="1" a="1"/>
  <c r="ES3" i="7" s="1"/>
  <c r="ER6" i="7"/>
  <c r="EO6" i="7"/>
  <c r="EN44" i="7"/>
  <c r="ES88" i="7"/>
  <c r="ER2" i="7" a="1"/>
  <c r="ER2" i="7" s="1"/>
  <c r="EQ2" i="7" s="1" a="1"/>
  <c r="EQ2" i="7" s="1"/>
  <c r="EN6" i="7"/>
  <c r="ES46" i="7" a="1"/>
  <c r="ES46" i="7" s="1"/>
  <c r="EH86" i="7"/>
  <c r="EN85" i="7"/>
  <c r="EG45" i="7" a="1"/>
  <c r="EG45" i="7" s="1"/>
  <c r="EK49" i="7"/>
  <c r="EL45" i="7" a="1"/>
  <c r="EL45" i="7" s="1"/>
  <c r="EF9" i="7"/>
  <c r="EG8" i="7" a="1"/>
  <c r="EO44" i="7" a="1"/>
  <c r="ER7" i="7" l="1"/>
  <c r="EN7" i="7"/>
  <c r="EP7" i="7"/>
  <c r="ES2" i="7"/>
  <c r="EH88" i="7" a="1"/>
  <c r="EH88" i="7" s="1"/>
  <c r="EK86" i="7" a="1"/>
  <c r="EK86" i="7" s="1"/>
  <c r="EO44" i="7"/>
  <c r="EQ88" i="7" s="1" a="1"/>
  <c r="EQ88" i="7" s="1"/>
  <c r="EG8" i="7"/>
  <c r="EL8" i="7" a="1"/>
  <c r="EL86" i="7" l="1"/>
  <c r="EH87" i="7"/>
  <c r="EH85" i="7"/>
  <c r="EJ86" i="7" s="1" a="1"/>
  <c r="EJ86" i="7" s="1"/>
  <c r="EG90" i="7"/>
  <c r="EK90" i="7"/>
  <c r="EI90" i="7"/>
  <c r="EG91" i="7"/>
  <c r="EH90" i="7"/>
  <c r="EI91" i="7" s="1"/>
  <c r="EJ87" i="7"/>
  <c r="EO46" i="7" a="1"/>
  <c r="EO46" i="7" s="1"/>
  <c r="ER44" i="7" a="1"/>
  <c r="ER44" i="7" s="1"/>
  <c r="EL8" i="7"/>
  <c r="EG10" i="7" a="1"/>
  <c r="EH9" i="7" a="1"/>
  <c r="EG87" i="7" l="1" a="1"/>
  <c r="EG87" i="7" s="1"/>
  <c r="EK91" i="7"/>
  <c r="EL87" i="7" a="1"/>
  <c r="EL87" i="7" s="1"/>
  <c r="ES44" i="7"/>
  <c r="ER48" i="7"/>
  <c r="EQ45" i="7"/>
  <c r="EP48" i="7"/>
  <c r="EO45" i="7"/>
  <c r="EO48" i="7"/>
  <c r="EP49" i="7" s="1"/>
  <c r="EN48" i="7"/>
  <c r="EN49" i="7"/>
  <c r="EO43" i="7"/>
  <c r="EG10" i="7"/>
  <c r="EH9" i="7"/>
  <c r="EJ53" i="7" s="1" a="1"/>
  <c r="EJ53" i="7" s="1"/>
  <c r="EQ4" i="7" a="1"/>
  <c r="EQ4" i="7" s="1"/>
  <c r="EM8" i="7" a="1"/>
  <c r="EL95" i="7" a="1"/>
  <c r="EG51" i="7" a="1"/>
  <c r="EG50" i="7" a="1"/>
  <c r="EO86" i="7" a="1"/>
  <c r="EL95" i="7" l="1"/>
  <c r="EO86" i="7"/>
  <c r="EG93" i="7" a="1"/>
  <c r="EG93" i="7" s="1"/>
  <c r="EQ44" i="7" a="1"/>
  <c r="EQ44" i="7" s="1"/>
  <c r="EG50" i="7"/>
  <c r="EG51" i="7"/>
  <c r="ER49" i="7"/>
  <c r="ES45" i="7" a="1"/>
  <c r="ES45" i="7" s="1"/>
  <c r="EN45" i="7" a="1"/>
  <c r="EN45" i="7" s="1"/>
  <c r="EH11" i="7" a="1"/>
  <c r="EH11" i="7" s="1"/>
  <c r="EG14" i="7" s="1"/>
  <c r="EL53" i="7" a="1"/>
  <c r="EL53" i="7" s="1"/>
  <c r="EM8" i="7"/>
  <c r="EI13" i="7"/>
  <c r="EH10" i="7"/>
  <c r="EG13" i="7"/>
  <c r="EK13" i="7"/>
  <c r="EH13" i="7"/>
  <c r="EH8" i="7"/>
  <c r="EJ10" i="7"/>
  <c r="EK9" i="7" a="1"/>
  <c r="EK9" i="7" s="1"/>
  <c r="EL11" i="7" a="1"/>
  <c r="EL11" i="7" s="1"/>
  <c r="EG92" i="7" a="1"/>
  <c r="EM9" i="7" a="1"/>
  <c r="EG92" i="7" l="1"/>
  <c r="ER86" i="7" a="1"/>
  <c r="ER86" i="7" s="1"/>
  <c r="EO88" i="7" a="1"/>
  <c r="EO88" i="7" s="1"/>
  <c r="EI14" i="7"/>
  <c r="EM9" i="7"/>
  <c r="EG9" i="7" a="1"/>
  <c r="EG9" i="7" s="1"/>
  <c r="EL10" i="7" a="1"/>
  <c r="EL10" i="7" s="1"/>
  <c r="EK14" i="7" s="1"/>
  <c r="EJ9" i="7" a="1"/>
  <c r="EJ9" i="7" s="1"/>
  <c r="EL9" i="7"/>
  <c r="EN8" i="7" a="1"/>
  <c r="EH51" i="7" a="1"/>
  <c r="ER90" i="7" l="1"/>
  <c r="EQ87" i="7"/>
  <c r="EP90" i="7"/>
  <c r="EO87" i="7"/>
  <c r="EO90" i="7"/>
  <c r="EP91" i="7" s="1"/>
  <c r="EN90" i="7"/>
  <c r="EN91" i="7"/>
  <c r="EO85" i="7"/>
  <c r="EQ86" i="7" s="1" a="1"/>
  <c r="EQ86" i="7" s="1"/>
  <c r="ES86" i="7"/>
  <c r="EH51" i="7"/>
  <c r="EJ95" i="7" s="1" a="1"/>
  <c r="EJ95" i="7" s="1"/>
  <c r="EN8" i="7"/>
  <c r="ES8" i="7" a="1"/>
  <c r="ER91" i="7" l="1"/>
  <c r="EN87" i="7" a="1"/>
  <c r="EN87" i="7" s="1"/>
  <c r="ES87" i="7" a="1"/>
  <c r="ES87" i="7" s="1"/>
  <c r="EH53" i="7" a="1"/>
  <c r="EH53" i="7" s="1"/>
  <c r="EK51" i="7" a="1"/>
  <c r="EK51" i="7" s="1"/>
  <c r="ES8" i="7"/>
  <c r="EO9" i="7" a="1"/>
  <c r="EN10" i="7" a="1"/>
  <c r="EL51" i="7" l="1"/>
  <c r="EH55" i="7"/>
  <c r="EI56" i="7" s="1"/>
  <c r="EJ52" i="7"/>
  <c r="EH50" i="7"/>
  <c r="EI55" i="7"/>
  <c r="EG56" i="7"/>
  <c r="EH52" i="7"/>
  <c r="EG55" i="7"/>
  <c r="EK55" i="7"/>
  <c r="EN10" i="7"/>
  <c r="EO9" i="7"/>
  <c r="EQ53" i="7" s="1" a="1"/>
  <c r="EQ53" i="7" s="1"/>
  <c r="EJ11" i="7" a="1"/>
  <c r="EJ11" i="7" s="1"/>
  <c r="EF15" i="7" a="1"/>
  <c r="EH93" i="7" a="1"/>
  <c r="EN51" i="7" a="1"/>
  <c r="ES95" i="7" a="1"/>
  <c r="EN50" i="7" a="1"/>
  <c r="EH93" i="7" l="1"/>
  <c r="ES95" i="7"/>
  <c r="EN93" i="7" a="1"/>
  <c r="EN93" i="7" s="1"/>
  <c r="EN51" i="7"/>
  <c r="EN50" i="7"/>
  <c r="EK56" i="7"/>
  <c r="EG52" i="7" a="1"/>
  <c r="EG52" i="7" s="1"/>
  <c r="EL52" i="7" a="1"/>
  <c r="EL52" i="7" s="1"/>
  <c r="ES53" i="7" a="1"/>
  <c r="ES53" i="7" s="1"/>
  <c r="EJ51" i="7" a="1"/>
  <c r="EJ51" i="7" s="1"/>
  <c r="EF15" i="7"/>
  <c r="ER13" i="7"/>
  <c r="EP13" i="7"/>
  <c r="EN13" i="7"/>
  <c r="ER9" i="7" a="1"/>
  <c r="ER9" i="7" s="1"/>
  <c r="EO13" i="7"/>
  <c r="EQ10" i="7"/>
  <c r="EO8" i="7"/>
  <c r="EO10" i="7"/>
  <c r="EO11" i="7" a="1"/>
  <c r="EO11" i="7" s="1"/>
  <c r="EN14" i="7" s="1"/>
  <c r="ES11" i="7" a="1"/>
  <c r="ES11" i="7" s="1"/>
  <c r="EF16" i="7" a="1"/>
  <c r="EN92" i="7" a="1"/>
  <c r="EN92" i="7" l="1"/>
  <c r="EH95" i="7" a="1"/>
  <c r="EH95" i="7" s="1"/>
  <c r="EK93" i="7" a="1"/>
  <c r="EK93" i="7" s="1"/>
  <c r="EF16" i="7"/>
  <c r="EQ9" i="7" a="1"/>
  <c r="EQ9" i="7" s="1"/>
  <c r="ES9" i="7"/>
  <c r="EP14" i="7"/>
  <c r="EN9" i="7" a="1"/>
  <c r="EN9" i="7" s="1"/>
  <c r="ES10" i="7" a="1"/>
  <c r="ES10" i="7" s="1"/>
  <c r="ER14" i="7" s="1"/>
  <c r="EG15" i="7" a="1"/>
  <c r="EO51" i="7" a="1"/>
  <c r="EL93" i="7" l="1"/>
  <c r="EK97" i="7"/>
  <c r="EI97" i="7"/>
  <c r="EH92" i="7"/>
  <c r="EJ93" i="7" s="1" a="1"/>
  <c r="EJ93" i="7" s="1"/>
  <c r="EH97" i="7"/>
  <c r="EI98" i="7" s="1"/>
  <c r="EJ94" i="7"/>
  <c r="EG98" i="7"/>
  <c r="EG97" i="7"/>
  <c r="EH94" i="7"/>
  <c r="EO51" i="7"/>
  <c r="EQ95" i="7" s="1" a="1"/>
  <c r="EQ95" i="7" s="1"/>
  <c r="EG15" i="7"/>
  <c r="EL15" i="7" a="1"/>
  <c r="EK98" i="7" l="1"/>
  <c r="EL94" i="7" a="1"/>
  <c r="EL94" i="7" s="1"/>
  <c r="EG94" i="7" a="1"/>
  <c r="EG94" i="7" s="1"/>
  <c r="ER51" i="7" a="1"/>
  <c r="ER51" i="7" s="1"/>
  <c r="EO53" i="7" a="1"/>
  <c r="EO53" i="7" s="1"/>
  <c r="EL15" i="7"/>
  <c r="EH16" i="7" a="1"/>
  <c r="EG17" i="7" a="1"/>
  <c r="ER55" i="7" l="1"/>
  <c r="EQ52" i="7"/>
  <c r="EO55" i="7"/>
  <c r="EP56" i="7" s="1"/>
  <c r="EN56" i="7"/>
  <c r="EO52" i="7"/>
  <c r="EP55" i="7"/>
  <c r="EN55" i="7"/>
  <c r="EO50" i="7"/>
  <c r="ES51" i="7"/>
  <c r="EH16" i="7"/>
  <c r="EG17" i="7"/>
  <c r="EQ11" i="7" a="1"/>
  <c r="EQ11" i="7" s="1"/>
  <c r="EM15" i="7" a="1"/>
  <c r="EL102" i="7" a="1"/>
  <c r="EO93" i="7" a="1"/>
  <c r="EG57" i="7" a="1"/>
  <c r="EG58" i="7" a="1"/>
  <c r="EO93" i="7" l="1"/>
  <c r="EL102" i="7"/>
  <c r="EQ51" i="7" a="1"/>
  <c r="EQ51" i="7" s="1"/>
  <c r="EG100" i="7" a="1"/>
  <c r="EG100" i="7" s="1"/>
  <c r="EG58" i="7"/>
  <c r="EG57" i="7"/>
  <c r="EL60" i="7" a="1"/>
  <c r="EL60" i="7" s="1"/>
  <c r="EH18" i="7" a="1"/>
  <c r="EH18" i="7" s="1"/>
  <c r="EG21" i="7" s="1"/>
  <c r="EJ60" i="7" a="1"/>
  <c r="EJ60" i="7" s="1"/>
  <c r="ER56" i="7"/>
  <c r="ES52" i="7" a="1"/>
  <c r="ES52" i="7" s="1"/>
  <c r="EN52" i="7" a="1"/>
  <c r="EN52" i="7" s="1"/>
  <c r="EM15" i="7"/>
  <c r="EL18" i="7" a="1"/>
  <c r="EL18" i="7" s="1"/>
  <c r="EH17" i="7"/>
  <c r="EH20" i="7"/>
  <c r="EG20" i="7"/>
  <c r="EH15" i="7"/>
  <c r="EJ17" i="7"/>
  <c r="EK16" i="7" a="1"/>
  <c r="EK16" i="7" s="1"/>
  <c r="EK20" i="7"/>
  <c r="EI20" i="7"/>
  <c r="EM16" i="7" a="1"/>
  <c r="EG99" i="7" a="1"/>
  <c r="EG99" i="7" l="1"/>
  <c r="ER93" i="7" a="1"/>
  <c r="ER93" i="7" s="1"/>
  <c r="EO95" i="7" a="1"/>
  <c r="EO95" i="7" s="1"/>
  <c r="EI21" i="7"/>
  <c r="EM16" i="7"/>
  <c r="EG16" i="7" a="1"/>
  <c r="EG16" i="7" s="1"/>
  <c r="EL17" i="7" a="1"/>
  <c r="EL17" i="7" s="1"/>
  <c r="EK21" i="7" s="1"/>
  <c r="EJ16" i="7" a="1"/>
  <c r="EJ16" i="7" s="1"/>
  <c r="EL16" i="7"/>
  <c r="EN15" i="7" a="1"/>
  <c r="EH58" i="7" a="1"/>
  <c r="EO97" i="7" l="1"/>
  <c r="EP98" i="7" s="1"/>
  <c r="EN97" i="7"/>
  <c r="EN98" i="7"/>
  <c r="EO92" i="7"/>
  <c r="EQ93" i="7" s="1" a="1"/>
  <c r="EQ93" i="7" s="1"/>
  <c r="EP97" i="7"/>
  <c r="EO94" i="7"/>
  <c r="ER97" i="7"/>
  <c r="EQ94" i="7"/>
  <c r="ES93" i="7"/>
  <c r="EH58" i="7"/>
  <c r="EJ102" i="7" s="1" a="1"/>
  <c r="EJ102" i="7" s="1"/>
  <c r="EN15" i="7"/>
  <c r="ES15" i="7" a="1"/>
  <c r="ER98" i="7" l="1"/>
  <c r="EN94" i="7" a="1"/>
  <c r="EN94" i="7" s="1"/>
  <c r="ES94" i="7" a="1"/>
  <c r="ES94" i="7" s="1"/>
  <c r="EK58" i="7" a="1"/>
  <c r="EK58" i="7" s="1"/>
  <c r="EH60" i="7" a="1"/>
  <c r="EH60" i="7" s="1"/>
  <c r="ES15" i="7"/>
  <c r="EN17" i="7" a="1"/>
  <c r="EO16" i="7" a="1"/>
  <c r="EL58" i="7" l="1"/>
  <c r="EK62" i="7"/>
  <c r="EI62" i="7"/>
  <c r="EJ59" i="7"/>
  <c r="EH62" i="7"/>
  <c r="EI63" i="7" s="1"/>
  <c r="EH59" i="7"/>
  <c r="EG62" i="7"/>
  <c r="EH57" i="7"/>
  <c r="EJ58" i="7" s="1" a="1"/>
  <c r="EJ58" i="7" s="1"/>
  <c r="EG63" i="7"/>
  <c r="EN17" i="7"/>
  <c r="EO16" i="7"/>
  <c r="EJ18" i="7" a="1"/>
  <c r="EJ18" i="7" s="1"/>
  <c r="EF22" i="7" a="1"/>
  <c r="EH100" i="7" a="1"/>
  <c r="ES102" i="7" a="1"/>
  <c r="EN57" i="7" a="1"/>
  <c r="EN58" i="7" a="1"/>
  <c r="ES102" i="7" l="1"/>
  <c r="EH100" i="7"/>
  <c r="EN100" i="7" a="1"/>
  <c r="EN100" i="7" s="1"/>
  <c r="EN58" i="7"/>
  <c r="EN57" i="7"/>
  <c r="EO18" i="7" a="1"/>
  <c r="EO18" i="7" s="1"/>
  <c r="EN21" i="7" s="1"/>
  <c r="EQ60" i="7" a="1"/>
  <c r="EQ60" i="7" s="1"/>
  <c r="ES60" i="7" a="1"/>
  <c r="ES60" i="7" s="1"/>
  <c r="EL59" i="7" a="1"/>
  <c r="EL59" i="7" s="1"/>
  <c r="EG59" i="7" a="1"/>
  <c r="EG59" i="7" s="1"/>
  <c r="EK63" i="7"/>
  <c r="EF22" i="7"/>
  <c r="EP20" i="7"/>
  <c r="EO20" i="7"/>
  <c r="EO15" i="7"/>
  <c r="EN20" i="7"/>
  <c r="ER16" i="7" a="1"/>
  <c r="ER16" i="7" s="1"/>
  <c r="EQ17" i="7"/>
  <c r="ER20" i="7"/>
  <c r="EO17" i="7"/>
  <c r="ES18" i="7" a="1"/>
  <c r="ES18" i="7" s="1"/>
  <c r="EN99" i="7" a="1"/>
  <c r="EF23" i="7" a="1"/>
  <c r="EN99" i="7" l="1"/>
  <c r="EH102" i="7" a="1"/>
  <c r="EH102" i="7" s="1"/>
  <c r="EK100" i="7" a="1"/>
  <c r="EK100" i="7" s="1"/>
  <c r="EP21" i="7"/>
  <c r="EF23" i="7"/>
  <c r="ES17" i="7" a="1"/>
  <c r="ES17" i="7" s="1"/>
  <c r="ER21" i="7" s="1"/>
  <c r="EN16" i="7" a="1"/>
  <c r="EN16" i="7" s="1"/>
  <c r="EQ16" i="7" a="1"/>
  <c r="EQ16" i="7" s="1"/>
  <c r="ES16" i="7"/>
  <c r="EG22" i="7" a="1"/>
  <c r="EO58" i="7" a="1"/>
  <c r="EL100" i="7" l="1"/>
  <c r="EK104" i="7"/>
  <c r="EI104" i="7"/>
  <c r="EH104" i="7"/>
  <c r="EI105" i="7" s="1"/>
  <c r="EJ101" i="7"/>
  <c r="EG105" i="7"/>
  <c r="EG104" i="7"/>
  <c r="EH101" i="7"/>
  <c r="EH99" i="7"/>
  <c r="EJ100" i="7" s="1" a="1"/>
  <c r="EJ100" i="7" s="1"/>
  <c r="EO58" i="7"/>
  <c r="EQ102" i="7" s="1" a="1"/>
  <c r="EQ102" i="7" s="1"/>
  <c r="EG22" i="7"/>
  <c r="EL22" i="7" a="1"/>
  <c r="EK105" i="7" l="1"/>
  <c r="EL101" i="7" a="1"/>
  <c r="EL101" i="7" s="1"/>
  <c r="EG101" i="7" a="1"/>
  <c r="EG101" i="7" s="1"/>
  <c r="ER58" i="7" a="1"/>
  <c r="ER58" i="7" s="1"/>
  <c r="EO60" i="7" a="1"/>
  <c r="EO60" i="7" s="1"/>
  <c r="EL22" i="7"/>
  <c r="EG24" i="7" a="1"/>
  <c r="EH23" i="7" a="1"/>
  <c r="ER62" i="7" l="1"/>
  <c r="EQ59" i="7"/>
  <c r="EO62" i="7"/>
  <c r="EP63" i="7" s="1"/>
  <c r="EN63" i="7"/>
  <c r="EP62" i="7"/>
  <c r="EN62" i="7"/>
  <c r="EO57" i="7"/>
  <c r="EO59" i="7"/>
  <c r="ES58" i="7"/>
  <c r="EH23" i="7"/>
  <c r="EG24" i="7"/>
  <c r="EQ18" i="7" a="1"/>
  <c r="EQ18" i="7" s="1"/>
  <c r="EM22" i="7" a="1"/>
  <c r="EL109" i="7" a="1"/>
  <c r="EO100" i="7" a="1"/>
  <c r="EG64" i="7" a="1"/>
  <c r="EG65" i="7" a="1"/>
  <c r="EO100" i="7" l="1"/>
  <c r="EL109" i="7"/>
  <c r="EQ58" i="7" a="1"/>
  <c r="EQ58" i="7" s="1"/>
  <c r="EG107" i="7" a="1"/>
  <c r="EG107" i="7" s="1"/>
  <c r="EG65" i="7"/>
  <c r="EG64" i="7"/>
  <c r="ER63" i="7"/>
  <c r="EN59" i="7" a="1"/>
  <c r="EN59" i="7" s="1"/>
  <c r="ES59" i="7" a="1"/>
  <c r="ES59" i="7" s="1"/>
  <c r="EH25" i="7" a="1"/>
  <c r="EH25" i="7" s="1"/>
  <c r="EG28" i="7" s="1"/>
  <c r="EJ67" i="7" a="1"/>
  <c r="EJ67" i="7" s="1"/>
  <c r="EL67" i="7" a="1"/>
  <c r="EL67" i="7" s="1"/>
  <c r="EM22" i="7"/>
  <c r="EL25" i="7" a="1"/>
  <c r="EL25" i="7" s="1"/>
  <c r="EJ24" i="7"/>
  <c r="EH24" i="7"/>
  <c r="EH22" i="7"/>
  <c r="EI27" i="7"/>
  <c r="EK27" i="7"/>
  <c r="EH27" i="7"/>
  <c r="EK23" i="7" a="1"/>
  <c r="EK23" i="7" s="1"/>
  <c r="EG27" i="7"/>
  <c r="EM23" i="7" a="1"/>
  <c r="EG106" i="7" a="1"/>
  <c r="EG106" i="7" l="1"/>
  <c r="ER100" i="7" a="1"/>
  <c r="ER100" i="7" s="1"/>
  <c r="EO102" i="7" a="1"/>
  <c r="EO102" i="7" s="1"/>
  <c r="EI28" i="7"/>
  <c r="EM23" i="7"/>
  <c r="EG23" i="7" a="1"/>
  <c r="EG23" i="7" s="1"/>
  <c r="EL24" i="7" a="1"/>
  <c r="EL24" i="7" s="1"/>
  <c r="EK28" i="7" s="1"/>
  <c r="EL23" i="7"/>
  <c r="EJ23" i="7" a="1"/>
  <c r="EJ23" i="7" s="1"/>
  <c r="EN22" i="7" a="1"/>
  <c r="EH65" i="7" a="1"/>
  <c r="EN105" i="7" l="1"/>
  <c r="EO99" i="7"/>
  <c r="EQ100" i="7" s="1" a="1"/>
  <c r="EQ100" i="7" s="1"/>
  <c r="ER104" i="7"/>
  <c r="EQ101" i="7"/>
  <c r="EO101" i="7"/>
  <c r="EP104" i="7"/>
  <c r="EO104" i="7"/>
  <c r="EP105" i="7" s="1"/>
  <c r="EN104" i="7"/>
  <c r="ES100" i="7"/>
  <c r="EH65" i="7"/>
  <c r="EJ109" i="7" s="1" a="1"/>
  <c r="EJ109" i="7" s="1"/>
  <c r="EN22" i="7"/>
  <c r="ES22" i="7" a="1"/>
  <c r="ES101" i="7" l="1" a="1"/>
  <c r="ES101" i="7" s="1"/>
  <c r="ER105" i="7"/>
  <c r="EN101" i="7" a="1"/>
  <c r="EN101" i="7" s="1"/>
  <c r="EK65" i="7" a="1"/>
  <c r="EK65" i="7" s="1"/>
  <c r="EH67" i="7" a="1"/>
  <c r="EH67" i="7" s="1"/>
  <c r="ES22" i="7"/>
  <c r="EO23" i="7" a="1"/>
  <c r="EN24" i="7" a="1"/>
  <c r="EK69" i="7" l="1"/>
  <c r="EH69" i="7"/>
  <c r="EI70" i="7" s="1"/>
  <c r="EJ66" i="7"/>
  <c r="EI69" i="7"/>
  <c r="EH66" i="7"/>
  <c r="EG69" i="7"/>
  <c r="EH64" i="7"/>
  <c r="EG70" i="7"/>
  <c r="EL65" i="7"/>
  <c r="EN24" i="7"/>
  <c r="EO23" i="7"/>
  <c r="EQ67" i="7" s="1" a="1"/>
  <c r="EQ67" i="7" s="1"/>
  <c r="EJ25" i="7" a="1"/>
  <c r="EJ25" i="7" s="1"/>
  <c r="EF29" i="7" a="1"/>
  <c r="EN65" i="7" a="1"/>
  <c r="ES109" i="7" a="1"/>
  <c r="EH107" i="7" a="1"/>
  <c r="EN64" i="7" a="1"/>
  <c r="EO25" i="7" l="1" a="1"/>
  <c r="EO25" i="7" s="1"/>
  <c r="EN28" i="7" s="1"/>
  <c r="EH107" i="7"/>
  <c r="ES109" i="7"/>
  <c r="EJ65" i="7" a="1"/>
  <c r="EJ65" i="7" s="1"/>
  <c r="EN107" i="7" a="1"/>
  <c r="EN107" i="7" s="1"/>
  <c r="EN65" i="7"/>
  <c r="EN64" i="7"/>
  <c r="EG66" i="7" a="1"/>
  <c r="EG66" i="7" s="1"/>
  <c r="EK70" i="7"/>
  <c r="EL66" i="7" a="1"/>
  <c r="EL66" i="7" s="1"/>
  <c r="ES67" i="7" a="1"/>
  <c r="ES67" i="7" s="1"/>
  <c r="EF29" i="7"/>
  <c r="EO27" i="7"/>
  <c r="ER23" i="7" a="1"/>
  <c r="ER23" i="7" s="1"/>
  <c r="EO24" i="7"/>
  <c r="EO22" i="7"/>
  <c r="EN27" i="7"/>
  <c r="ER27" i="7"/>
  <c r="EP27" i="7"/>
  <c r="EQ24" i="7"/>
  <c r="ES25" i="7" a="1"/>
  <c r="ES25" i="7" s="1"/>
  <c r="EN106" i="7" a="1"/>
  <c r="EF30" i="7" a="1"/>
  <c r="EP28" i="7" l="1"/>
  <c r="EN106" i="7"/>
  <c r="EH109" i="7" a="1"/>
  <c r="EH109" i="7" s="1"/>
  <c r="EK107" i="7" a="1"/>
  <c r="EK107" i="7" s="1"/>
  <c r="EF30" i="7"/>
  <c r="ES24" i="7" a="1"/>
  <c r="ES24" i="7" s="1"/>
  <c r="ER28" i="7" s="1"/>
  <c r="EN23" i="7" a="1"/>
  <c r="EN23" i="7" s="1"/>
  <c r="EQ23" i="7" a="1"/>
  <c r="EQ23" i="7" s="1"/>
  <c r="ES23" i="7"/>
  <c r="EG29" i="7" a="1"/>
  <c r="EO65" i="7" a="1"/>
  <c r="EL107" i="7" l="1"/>
  <c r="EH111" i="7"/>
  <c r="EI112" i="7" s="1"/>
  <c r="EJ108" i="7"/>
  <c r="EG112" i="7"/>
  <c r="EG111" i="7"/>
  <c r="EH108" i="7"/>
  <c r="EH106" i="7"/>
  <c r="EK111" i="7"/>
  <c r="EI111" i="7"/>
  <c r="EO65" i="7"/>
  <c r="EQ109" i="7" s="1" a="1"/>
  <c r="EQ109" i="7" s="1"/>
  <c r="EG29" i="7"/>
  <c r="EL29" i="7" a="1"/>
  <c r="EG108" i="7" l="1" a="1"/>
  <c r="EG108" i="7" s="1"/>
  <c r="EK112" i="7"/>
  <c r="EL108" i="7" a="1"/>
  <c r="EL108" i="7" s="1"/>
  <c r="EJ107" i="7" a="1"/>
  <c r="EJ107" i="7" s="1"/>
  <c r="ER65" i="7" a="1"/>
  <c r="ER65" i="7" s="1"/>
  <c r="EO67" i="7" a="1"/>
  <c r="EO67" i="7" s="1"/>
  <c r="EL29" i="7"/>
  <c r="EG31" i="7" a="1"/>
  <c r="EH30" i="7" a="1"/>
  <c r="EO69" i="7" l="1"/>
  <c r="EP70" i="7" s="1"/>
  <c r="EN70" i="7"/>
  <c r="EN69" i="7"/>
  <c r="EO64" i="7"/>
  <c r="EQ65" i="7" s="1" a="1"/>
  <c r="EQ65" i="7" s="1"/>
  <c r="EQ66" i="7"/>
  <c r="ER69" i="7"/>
  <c r="EO66" i="7"/>
  <c r="EP69" i="7"/>
  <c r="ES65" i="7"/>
  <c r="EH30" i="7"/>
  <c r="EG31" i="7"/>
  <c r="EQ25" i="7" a="1"/>
  <c r="EQ25" i="7" s="1"/>
  <c r="EM29" i="7" a="1"/>
  <c r="EG72" i="7" a="1"/>
  <c r="EG71" i="7" a="1"/>
  <c r="EO107" i="7" a="1"/>
  <c r="EL116" i="7" a="1"/>
  <c r="EL116" i="7" l="1"/>
  <c r="EO107" i="7"/>
  <c r="EG114" i="7" a="1"/>
  <c r="EG114" i="7" s="1"/>
  <c r="EG72" i="7"/>
  <c r="EG71" i="7"/>
  <c r="EH32" i="7" a="1"/>
  <c r="EH32" i="7" s="1"/>
  <c r="EG35" i="7" s="1"/>
  <c r="EJ74" i="7" a="1"/>
  <c r="EJ74" i="7" s="1"/>
  <c r="EL74" i="7" a="1"/>
  <c r="EL74" i="7" s="1"/>
  <c r="ER70" i="7"/>
  <c r="EN66" i="7" a="1"/>
  <c r="EN66" i="7" s="1"/>
  <c r="ES66" i="7" a="1"/>
  <c r="ES66" i="7" s="1"/>
  <c r="EM29" i="7"/>
  <c r="EL32" i="7" a="1"/>
  <c r="EL32" i="7" s="1"/>
  <c r="EJ31" i="7"/>
  <c r="EK34" i="7"/>
  <c r="EH31" i="7"/>
  <c r="EI34" i="7"/>
  <c r="EG34" i="7"/>
  <c r="EH29" i="7"/>
  <c r="EH34" i="7"/>
  <c r="EK30" i="7" a="1"/>
  <c r="EK30" i="7" s="1"/>
  <c r="EG113" i="7" a="1"/>
  <c r="EM30" i="7" a="1"/>
  <c r="EG113" i="7" l="1"/>
  <c r="EO109" i="7" a="1"/>
  <c r="EO109" i="7" s="1"/>
  <c r="ER107" i="7" a="1"/>
  <c r="ER107" i="7" s="1"/>
  <c r="EI35" i="7"/>
  <c r="EM30" i="7"/>
  <c r="EL30" i="7"/>
  <c r="EJ30" i="7" a="1"/>
  <c r="EJ30" i="7" s="1"/>
  <c r="EL31" i="7" a="1"/>
  <c r="EL31" i="7" s="1"/>
  <c r="EK35" i="7" s="1"/>
  <c r="EG30" i="7" a="1"/>
  <c r="EG30" i="7" s="1"/>
  <c r="EN29" i="7" a="1"/>
  <c r="EH72" i="7" a="1"/>
  <c r="ES107" i="7" l="1"/>
  <c r="ER111" i="7"/>
  <c r="EQ108" i="7"/>
  <c r="EP111" i="7"/>
  <c r="EO108" i="7"/>
  <c r="EO111" i="7"/>
  <c r="EP112" i="7" s="1"/>
  <c r="EN111" i="7"/>
  <c r="EN112" i="7"/>
  <c r="EO106" i="7"/>
  <c r="EQ107" i="7" s="1" a="1"/>
  <c r="EQ107" i="7" s="1"/>
  <c r="EH72" i="7"/>
  <c r="EJ116" i="7" s="1" a="1"/>
  <c r="EJ116" i="7" s="1"/>
  <c r="EN29" i="7"/>
  <c r="ES29" i="7" a="1"/>
  <c r="ES108" i="7" l="1" a="1"/>
  <c r="ES108" i="7" s="1"/>
  <c r="ER112" i="7"/>
  <c r="EN108" i="7" a="1"/>
  <c r="EN108" i="7" s="1"/>
  <c r="EK72" i="7" a="1"/>
  <c r="EK72" i="7" s="1"/>
  <c r="EH74" i="7" a="1"/>
  <c r="EH74" i="7" s="1"/>
  <c r="ES29" i="7"/>
  <c r="EO30" i="7" a="1"/>
  <c r="EL72" i="7" l="1"/>
  <c r="EK76" i="7"/>
  <c r="EH76" i="7"/>
  <c r="EI77" i="7" s="1"/>
  <c r="EJ73" i="7"/>
  <c r="EG76" i="7"/>
  <c r="EG77" i="7"/>
  <c r="EH71" i="7"/>
  <c r="EI76" i="7"/>
  <c r="EH73" i="7"/>
  <c r="EO30" i="7"/>
  <c r="EQ74" i="7" s="1" a="1"/>
  <c r="EQ74" i="7" s="1"/>
  <c r="EJ32" i="7" a="1"/>
  <c r="EJ32" i="7" s="1"/>
  <c r="EF36" i="7" a="1"/>
  <c r="EN31" i="7" a="1"/>
  <c r="EH114" i="7" a="1"/>
  <c r="EN71" i="7" a="1"/>
  <c r="EN31" i="7" l="1"/>
  <c r="EN114" i="7" s="1" a="1"/>
  <c r="EN114" i="7" s="1"/>
  <c r="EH114" i="7"/>
  <c r="EJ72" i="7" a="1"/>
  <c r="EJ72" i="7" s="1"/>
  <c r="EN71" i="7"/>
  <c r="EK77" i="7"/>
  <c r="EG73" i="7" a="1"/>
  <c r="EG73" i="7" s="1"/>
  <c r="EL73" i="7" a="1"/>
  <c r="EL73" i="7" s="1"/>
  <c r="EO32" i="7" a="1"/>
  <c r="EO32" i="7" s="1"/>
  <c r="EN35" i="7" s="1"/>
  <c r="EF36" i="7"/>
  <c r="EO34" i="7"/>
  <c r="EN34" i="7"/>
  <c r="ER30" i="7" a="1"/>
  <c r="ER30" i="7" s="1"/>
  <c r="EP34" i="7"/>
  <c r="EQ31" i="7"/>
  <c r="ER34" i="7"/>
  <c r="EO29" i="7"/>
  <c r="EO31" i="7"/>
  <c r="EN72" i="7" a="1"/>
  <c r="ES116" i="7" a="1"/>
  <c r="EN113" i="7" a="1"/>
  <c r="EF37" i="7" a="1"/>
  <c r="ES74" i="7" l="1" a="1"/>
  <c r="ES74" i="7" s="1"/>
  <c r="ES32" i="7" a="1"/>
  <c r="ES32" i="7" s="1"/>
  <c r="ES116" i="7"/>
  <c r="EN72" i="7"/>
  <c r="EN113" i="7"/>
  <c r="EH116" i="7" a="1"/>
  <c r="EH116" i="7" s="1"/>
  <c r="EK114" i="7" a="1"/>
  <c r="EK114" i="7" s="1"/>
  <c r="EP35" i="7"/>
  <c r="EF37" i="7"/>
  <c r="EQ30" i="7" a="1"/>
  <c r="EQ30" i="7" s="1"/>
  <c r="ES30" i="7"/>
  <c r="EN30" i="7" a="1"/>
  <c r="EN30" i="7" s="1"/>
  <c r="ES31" i="7" a="1"/>
  <c r="ES31" i="7" s="1"/>
  <c r="EG36" i="7" a="1"/>
  <c r="EO72" i="7" a="1"/>
  <c r="ER35" i="7" l="1"/>
  <c r="EL114" i="7"/>
  <c r="EH113" i="7"/>
  <c r="EJ114" i="7" s="1" a="1"/>
  <c r="EJ114" i="7" s="1"/>
  <c r="EK118" i="7"/>
  <c r="EI118" i="7"/>
  <c r="EH115" i="7"/>
  <c r="EH118" i="7"/>
  <c r="EI119" i="7" s="1"/>
  <c r="EJ115" i="7"/>
  <c r="EG119" i="7"/>
  <c r="EG118" i="7"/>
  <c r="EO72" i="7"/>
  <c r="EQ116" i="7" s="1" a="1"/>
  <c r="EQ116" i="7" s="1"/>
  <c r="EG36" i="7"/>
  <c r="EL36" i="7" a="1"/>
  <c r="EG115" i="7" l="1" a="1"/>
  <c r="EG115" i="7" s="1"/>
  <c r="EK119" i="7"/>
  <c r="EL115" i="7" a="1"/>
  <c r="EL115" i="7" s="1"/>
  <c r="ER72" i="7" a="1"/>
  <c r="ER72" i="7" s="1"/>
  <c r="EO74" i="7" a="1"/>
  <c r="EO74" i="7" s="1"/>
  <c r="EL36" i="7"/>
  <c r="EH37" i="7" a="1"/>
  <c r="ES72" i="7" l="1"/>
  <c r="EN77" i="7"/>
  <c r="ER76" i="7"/>
  <c r="EQ73" i="7"/>
  <c r="EO73" i="7"/>
  <c r="EP76" i="7"/>
  <c r="EO76" i="7"/>
  <c r="EP77" i="7" s="1"/>
  <c r="EN76" i="7"/>
  <c r="EO71" i="7"/>
  <c r="EH37" i="7"/>
  <c r="EJ81" i="7" s="1" a="1"/>
  <c r="EJ81" i="7" s="1"/>
  <c r="EQ32" i="7" a="1"/>
  <c r="EQ32" i="7" s="1"/>
  <c r="EM36" i="7" a="1"/>
  <c r="EG38" i="7" a="1"/>
  <c r="EG78" i="7" a="1"/>
  <c r="EO114" i="7" a="1"/>
  <c r="EG38" i="7" l="1"/>
  <c r="EL81" i="7" s="1" a="1"/>
  <c r="EL81" i="7" s="1"/>
  <c r="EO114" i="7"/>
  <c r="EQ72" i="7" a="1"/>
  <c r="EQ72" i="7" s="1"/>
  <c r="EH39" i="7" a="1"/>
  <c r="EH39" i="7" s="1"/>
  <c r="EG42" i="7" s="1"/>
  <c r="EG78" i="7"/>
  <c r="ES73" i="7" a="1"/>
  <c r="ES73" i="7" s="1"/>
  <c r="EN73" i="7" a="1"/>
  <c r="EN73" i="7" s="1"/>
  <c r="ER77" i="7"/>
  <c r="EM36" i="7"/>
  <c r="EK41" i="7"/>
  <c r="EH36" i="7"/>
  <c r="EJ38" i="7"/>
  <c r="EK37" i="7" a="1"/>
  <c r="EK37" i="7" s="1"/>
  <c r="EI41" i="7"/>
  <c r="EH38" i="7"/>
  <c r="EH41" i="7"/>
  <c r="EG41" i="7"/>
  <c r="EG79" i="7" a="1"/>
  <c r="EL123" i="7" a="1"/>
  <c r="EG120" i="7" a="1"/>
  <c r="EM37" i="7" a="1"/>
  <c r="EL39" i="7" l="1" a="1"/>
  <c r="EL39" i="7" s="1"/>
  <c r="EG121" i="7" a="1"/>
  <c r="EG121" i="7" s="1"/>
  <c r="EL123" i="7"/>
  <c r="EG79" i="7"/>
  <c r="EG120" i="7"/>
  <c r="ER114" i="7" a="1"/>
  <c r="ER114" i="7" s="1"/>
  <c r="EO116" i="7" a="1"/>
  <c r="EO116" i="7" s="1"/>
  <c r="EI42" i="7"/>
  <c r="EM37" i="7"/>
  <c r="EL37" i="7"/>
  <c r="EJ37" i="7" a="1"/>
  <c r="EJ37" i="7" s="1"/>
  <c r="EL38" i="7" a="1"/>
  <c r="EL38" i="7" s="1"/>
  <c r="EG37" i="7" a="1"/>
  <c r="EG37" i="7" s="1"/>
  <c r="EN36" i="7" a="1"/>
  <c r="EH79" i="7" a="1"/>
  <c r="EK42" i="7" l="1"/>
  <c r="ER118" i="7"/>
  <c r="EQ115" i="7"/>
  <c r="EP118" i="7"/>
  <c r="EO115" i="7"/>
  <c r="EO118" i="7"/>
  <c r="EP119" i="7" s="1"/>
  <c r="EN118" i="7"/>
  <c r="EN119" i="7"/>
  <c r="EO113" i="7"/>
  <c r="EQ114" i="7" s="1" a="1"/>
  <c r="EQ114" i="7" s="1"/>
  <c r="ES114" i="7"/>
  <c r="EH79" i="7"/>
  <c r="EJ123" i="7" s="1" a="1"/>
  <c r="EJ123" i="7" s="1"/>
  <c r="EN36" i="7"/>
  <c r="ES36" i="7" a="1"/>
  <c r="ER119" i="7" l="1"/>
  <c r="EN115" i="7" a="1"/>
  <c r="EN115" i="7" s="1"/>
  <c r="ES115" i="7" a="1"/>
  <c r="ES115" i="7" s="1"/>
  <c r="EK79" i="7" a="1"/>
  <c r="EK79" i="7" s="1"/>
  <c r="EH81" i="7" a="1"/>
  <c r="EH81" i="7" s="1"/>
  <c r="ES36" i="7"/>
  <c r="EO37" i="7" a="1"/>
  <c r="EN38" i="7" a="1"/>
  <c r="EH83" i="7" l="1"/>
  <c r="EI84" i="7" s="1"/>
  <c r="EJ80" i="7"/>
  <c r="EK83" i="7"/>
  <c r="EI83" i="7"/>
  <c r="EH80" i="7"/>
  <c r="EG84" i="7"/>
  <c r="EG83" i="7"/>
  <c r="EH78" i="7"/>
  <c r="EL79" i="7"/>
  <c r="EO37" i="7"/>
  <c r="EN38" i="7"/>
  <c r="EJ39" i="7" a="1"/>
  <c r="EJ39" i="7" s="1"/>
  <c r="EN78" i="7" a="1"/>
  <c r="ES123" i="7" a="1"/>
  <c r="EH121" i="7" a="1"/>
  <c r="EN79" i="7" a="1"/>
  <c r="ES123" i="7" l="1"/>
  <c r="EH121" i="7"/>
  <c r="EN121" i="7" a="1"/>
  <c r="EN121" i="7" s="1"/>
  <c r="EJ79" i="7" a="1"/>
  <c r="EJ79" i="7" s="1"/>
  <c r="EN79" i="7"/>
  <c r="EN78" i="7"/>
  <c r="EO39" i="7" a="1"/>
  <c r="EO39" i="7" s="1"/>
  <c r="EN42" i="7" s="1"/>
  <c r="EQ81" i="7" a="1"/>
  <c r="EQ81" i="7" s="1"/>
  <c r="ES81" i="7" a="1"/>
  <c r="ES81" i="7" s="1"/>
  <c r="EK84" i="7"/>
  <c r="EL80" i="7" a="1"/>
  <c r="EL80" i="7" s="1"/>
  <c r="EG80" i="7" a="1"/>
  <c r="EG80" i="7" s="1"/>
  <c r="ES39" i="7" a="1"/>
  <c r="ES39" i="7" s="1"/>
  <c r="EP41" i="7"/>
  <c r="EN41" i="7"/>
  <c r="EO36" i="7"/>
  <c r="ER37" i="7" a="1"/>
  <c r="ER37" i="7" s="1"/>
  <c r="EQ38" i="7"/>
  <c r="EO38" i="7"/>
  <c r="EO41" i="7"/>
  <c r="ER41" i="7"/>
  <c r="EN120" i="7" a="1"/>
  <c r="EN120" i="7" l="1"/>
  <c r="EH123" i="7" a="1"/>
  <c r="EH123" i="7" s="1"/>
  <c r="EK121" i="7" a="1"/>
  <c r="EK121" i="7" s="1"/>
  <c r="EP42" i="7"/>
  <c r="EQ37" i="7" a="1"/>
  <c r="EQ37" i="7" s="1"/>
  <c r="ES37" i="7"/>
  <c r="EN37" i="7" a="1"/>
  <c r="EN37" i="7" s="1"/>
  <c r="ES38" i="7" a="1"/>
  <c r="ES38" i="7" s="1"/>
  <c r="ER42" i="7" s="1"/>
  <c r="EO79" i="7" a="1"/>
  <c r="EL121" i="7" l="1"/>
  <c r="EK125" i="7"/>
  <c r="EI125" i="7"/>
  <c r="EH125" i="7"/>
  <c r="EI126" i="7" s="1"/>
  <c r="EJ122" i="7"/>
  <c r="EH120" i="7"/>
  <c r="EG126" i="7"/>
  <c r="EG125" i="7"/>
  <c r="EH122" i="7"/>
  <c r="EO79" i="7"/>
  <c r="EQ123" i="7" s="1" a="1"/>
  <c r="EQ123" i="7" s="1"/>
  <c r="C3" i="7"/>
  <c r="F6" i="7"/>
  <c r="D6" i="7"/>
  <c r="EW1" i="7"/>
  <c r="C6" i="7"/>
  <c r="FC1" i="7" s="1"/>
  <c r="E3" i="7"/>
  <c r="B6" i="7"/>
  <c r="EV1" i="7"/>
  <c r="C4" i="7" a="1"/>
  <c r="EG122" i="7" l="1" a="1"/>
  <c r="EG122" i="7" s="1"/>
  <c r="EK126" i="7"/>
  <c r="EL122" i="7" a="1"/>
  <c r="EL122" i="7" s="1"/>
  <c r="EJ121" i="7" a="1"/>
  <c r="EJ121" i="7" s="1"/>
  <c r="EO81" i="7" a="1"/>
  <c r="EO81" i="7" s="1"/>
  <c r="ER79" i="7" a="1"/>
  <c r="ER79" i="7" s="1"/>
  <c r="C4" i="7"/>
  <c r="B7" i="7" s="1"/>
  <c r="FD1" i="7" s="1"/>
  <c r="F7" i="7"/>
  <c r="D7" i="7" l="1"/>
  <c r="FE1" i="7" s="1"/>
  <c r="F2" i="7" a="1"/>
  <c r="F2" i="7" s="1"/>
  <c r="E2" i="7" s="1" a="1"/>
  <c r="E2" i="7" s="1"/>
  <c r="EX1" i="7" s="1"/>
  <c r="ER83" i="7"/>
  <c r="EQ80" i="7"/>
  <c r="EO83" i="7"/>
  <c r="EP84" i="7" s="1"/>
  <c r="EP83" i="7"/>
  <c r="EN83" i="7"/>
  <c r="EO78" i="7"/>
  <c r="EO80" i="7"/>
  <c r="EN84" i="7"/>
  <c r="ES79" i="7"/>
  <c r="FA1" i="7"/>
  <c r="FF1" i="7"/>
  <c r="B2" i="7" a="1"/>
  <c r="EO121" i="7" a="1"/>
  <c r="B2" i="7" l="1"/>
  <c r="EO121" i="7"/>
  <c r="EQ79" i="7" a="1"/>
  <c r="EQ79" i="7" s="1"/>
  <c r="G2" i="7"/>
  <c r="EZ1" i="7" s="1"/>
  <c r="EY1" i="7"/>
  <c r="ER84" i="7"/>
  <c r="EN80" i="7" a="1"/>
  <c r="EN80" i="7" s="1"/>
  <c r="ES80" i="7" a="1"/>
  <c r="ES80" i="7" s="1"/>
  <c r="E4" i="7" a="1"/>
  <c r="EW2" i="7" a="1"/>
  <c r="E4" i="7" l="1"/>
  <c r="FB1" i="7" s="1"/>
  <c r="FH1" i="7" a="1"/>
  <c r="FH1" i="7" s="1"/>
  <c r="FG1" i="7" s="1"/>
  <c r="ER121" i="7" a="1"/>
  <c r="ER121" i="7" s="1"/>
  <c r="EO123" i="7" a="1"/>
  <c r="EO123" i="7" s="1"/>
  <c r="EW2" i="7"/>
  <c r="FA2" i="7" a="1"/>
  <c r="ES121" i="7" l="1"/>
  <c r="EO125" i="7"/>
  <c r="EP126" i="7" s="1"/>
  <c r="EN125" i="7"/>
  <c r="EN126" i="7"/>
  <c r="EO120" i="7"/>
  <c r="EQ121" i="7" s="1" a="1"/>
  <c r="EQ121" i="7" s="1"/>
  <c r="ER125" i="7"/>
  <c r="EQ122" i="7"/>
  <c r="EP125" i="7"/>
  <c r="EO122" i="7"/>
  <c r="FA2" i="7"/>
  <c r="FC2" i="7" a="1"/>
  <c r="ER126" i="7" l="1"/>
  <c r="EN122" i="7" a="1"/>
  <c r="EN122" i="7" s="1"/>
  <c r="ES122" i="7" a="1"/>
  <c r="ES122" i="7" s="1"/>
  <c r="FC2" i="7"/>
  <c r="FB2" i="7" a="1"/>
  <c r="FD2" i="7" a="1"/>
  <c r="FE2" i="7" a="1"/>
  <c r="FD2" i="7" l="1"/>
  <c r="FE2" i="7"/>
  <c r="FB2" i="7"/>
  <c r="EW5" i="7" a="1"/>
  <c r="FF2" i="7" a="1"/>
  <c r="FF2" i="7" l="1"/>
  <c r="EW5" i="7"/>
  <c r="FA5" i="7" a="1"/>
  <c r="EY2" i="7" a="1"/>
  <c r="EY5" i="7" a="1"/>
  <c r="EY2" i="7" l="1"/>
  <c r="EY5" i="7"/>
  <c r="FA5" i="7"/>
  <c r="EZ5" i="7" a="1"/>
  <c r="EX5" i="7" a="1"/>
  <c r="EV5" i="7" a="1"/>
  <c r="FC5" i="7" a="1"/>
  <c r="FD5" i="7" a="1"/>
  <c r="EX2" i="7" a="1"/>
  <c r="EZ2" i="7" a="1"/>
  <c r="EZ2" i="7" l="1"/>
  <c r="EX2" i="7"/>
  <c r="FD5" i="7"/>
  <c r="FC5" i="7"/>
  <c r="EV5" i="7"/>
  <c r="EX5" i="7"/>
  <c r="EZ5" i="7"/>
  <c r="FF5" i="7" a="1"/>
  <c r="FE5" i="7" a="1"/>
  <c r="FB5" i="7" a="1"/>
  <c r="FH2" i="7" l="1" a="1"/>
  <c r="FH2" i="7" s="1"/>
  <c r="FG2" i="7" s="1"/>
  <c r="FE5" i="7"/>
  <c r="FB5" i="7"/>
  <c r="FF5" i="7"/>
  <c r="FH5" i="7" l="1" a="1"/>
  <c r="FH5" i="7" s="1"/>
  <c r="FG5" i="7" s="1"/>
  <c r="EW11" i="7" a="1"/>
  <c r="EW11" i="7" l="1"/>
  <c r="FA11" i="7" a="1"/>
  <c r="FA11" i="7" l="1"/>
  <c r="EV11" i="7" a="1"/>
  <c r="FC11" i="7" a="1"/>
  <c r="EV11" i="7" l="1"/>
  <c r="FC11" i="7"/>
  <c r="FE11" i="7" a="1"/>
  <c r="FB11" i="7" a="1"/>
  <c r="FD11" i="7" a="1"/>
  <c r="EY11" i="7" a="1"/>
  <c r="FE11" i="7" l="1"/>
  <c r="FB11" i="7"/>
  <c r="FD11" i="7"/>
  <c r="EY11" i="7"/>
  <c r="FA14" i="7" a="1"/>
  <c r="FF11" i="7" a="1"/>
  <c r="EW14" i="7" a="1"/>
  <c r="EY14" i="7" a="1"/>
  <c r="EZ11" i="7" a="1"/>
  <c r="EZ14" i="7" a="1"/>
  <c r="EX11" i="7" a="1"/>
  <c r="EW14" i="7" l="1"/>
  <c r="EX11" i="7"/>
  <c r="EZ11" i="7"/>
  <c r="FA14" i="7"/>
  <c r="EY14" i="7"/>
  <c r="FF11" i="7"/>
  <c r="EZ14" i="7"/>
  <c r="EV14" i="7" a="1"/>
  <c r="FD14" i="7" a="1"/>
  <c r="FC14" i="7" a="1"/>
  <c r="FH11" i="7" l="1" a="1"/>
  <c r="FH11" i="7" s="1"/>
  <c r="FG11" i="7" s="1"/>
  <c r="FC14" i="7"/>
  <c r="EV14" i="7"/>
  <c r="FD14" i="7"/>
  <c r="FB14" i="7" a="1"/>
  <c r="EX14" i="7" a="1"/>
  <c r="FF14" i="7" a="1"/>
  <c r="FE14" i="7" a="1"/>
  <c r="FB14" i="7" l="1"/>
  <c r="EX14" i="7"/>
  <c r="FF14" i="7"/>
  <c r="FE14" i="7"/>
  <c r="FA17" i="7" a="1"/>
  <c r="EZ17" i="7" a="1"/>
  <c r="EY17" i="7" a="1"/>
  <c r="EW17" i="7" a="1"/>
  <c r="FH14" i="7" l="1" a="1"/>
  <c r="FH14" i="7" s="1"/>
  <c r="FG14" i="7" s="1"/>
  <c r="EW17" i="7"/>
  <c r="EY17" i="7"/>
  <c r="FA17" i="7"/>
  <c r="EZ17" i="7"/>
  <c r="EV17" i="7" a="1"/>
  <c r="EX17" i="7" a="1"/>
  <c r="FC17" i="7" a="1"/>
  <c r="FE17" i="7" a="1"/>
  <c r="FD17" i="7" a="1"/>
  <c r="FD17" i="7" l="1"/>
  <c r="EX17" i="7"/>
  <c r="FC17" i="7"/>
  <c r="EV17" i="7"/>
  <c r="FE17" i="7"/>
  <c r="FB17" i="7" a="1"/>
  <c r="FF17" i="7" a="1"/>
  <c r="FB17" i="7" l="1"/>
  <c r="FF17" i="7"/>
  <c r="EY20" i="7" a="1"/>
  <c r="FA20" i="7" a="1"/>
  <c r="EZ20" i="7" a="1"/>
  <c r="EW20" i="7" a="1"/>
  <c r="FH17" i="7" l="1" a="1"/>
  <c r="FH17" i="7" s="1"/>
  <c r="FG17" i="7" s="1"/>
  <c r="EY20" i="7"/>
  <c r="EW20" i="7"/>
  <c r="EZ20" i="7"/>
  <c r="FA20" i="7"/>
  <c r="FD20" i="7" a="1"/>
  <c r="EV20" i="7" a="1"/>
  <c r="FC20" i="7" a="1"/>
  <c r="FD20" i="7" l="1"/>
  <c r="FC20" i="7"/>
  <c r="EV20" i="7"/>
  <c r="EX20" i="7" a="1"/>
  <c r="FB20" i="7" a="1"/>
  <c r="FF20" i="7" a="1"/>
  <c r="FE20" i="7" a="1"/>
  <c r="FB20" i="7" l="1"/>
  <c r="FE20" i="7"/>
  <c r="FF20" i="7"/>
  <c r="EX20" i="7"/>
  <c r="EZ23" i="7" a="1"/>
  <c r="EW23" i="7" a="1"/>
  <c r="EY23" i="7" a="1"/>
  <c r="FA23" i="7" a="1"/>
  <c r="FH20" i="7" l="1" a="1"/>
  <c r="FH20" i="7" s="1"/>
  <c r="FG20" i="7" s="1"/>
  <c r="EY23" i="7"/>
  <c r="EW23" i="7"/>
  <c r="EZ23" i="7"/>
  <c r="FA23" i="7"/>
  <c r="EV23" i="7" a="1"/>
  <c r="FC23" i="7" a="1"/>
  <c r="FD23" i="7" a="1"/>
  <c r="FC23" i="7" l="1"/>
  <c r="FD23" i="7"/>
  <c r="EV23" i="7"/>
  <c r="FB23" i="7" a="1"/>
  <c r="FF23" i="7" a="1"/>
  <c r="EX23" i="7" a="1"/>
  <c r="FE23" i="7" a="1"/>
  <c r="FB23" i="7" l="1"/>
  <c r="FE23" i="7"/>
  <c r="EX23" i="7"/>
  <c r="FF23" i="7"/>
  <c r="EW26" i="7" a="1"/>
  <c r="FA26" i="7" a="1"/>
  <c r="FH23" i="7" l="1" a="1"/>
  <c r="FH23" i="7" s="1"/>
  <c r="FG23" i="7" s="1"/>
  <c r="EW26" i="7"/>
  <c r="FA26" i="7"/>
  <c r="FB26" i="7" a="1"/>
  <c r="EZ26" i="7" a="1"/>
  <c r="FD26" i="7" a="1"/>
  <c r="EY26" i="7" a="1"/>
  <c r="EV26" i="7" a="1"/>
  <c r="FC26" i="7" a="1"/>
  <c r="FB26" i="7" l="1"/>
  <c r="EY26" i="7"/>
  <c r="FD26" i="7"/>
  <c r="FC26" i="7"/>
  <c r="EV26" i="7"/>
  <c r="EZ26" i="7"/>
  <c r="EZ29" i="7" a="1"/>
  <c r="FF26" i="7" a="1"/>
  <c r="FA29" i="7" a="1"/>
  <c r="EY29" i="7" a="1"/>
  <c r="EX26" i="7" a="1"/>
  <c r="EW29" i="7" a="1"/>
  <c r="FE26" i="7" a="1"/>
  <c r="EW29" i="7" l="1"/>
  <c r="FF26" i="7"/>
  <c r="EX26" i="7"/>
  <c r="FE26" i="7"/>
  <c r="EY29" i="7"/>
  <c r="FA29" i="7"/>
  <c r="EZ29" i="7"/>
  <c r="EV29" i="7" a="1"/>
  <c r="FC29" i="7" a="1"/>
  <c r="FD29" i="7" a="1"/>
  <c r="FH26" i="7" l="1" a="1"/>
  <c r="FH26" i="7" s="1"/>
  <c r="FG26" i="7" s="1"/>
  <c r="FC29" i="7"/>
  <c r="FD29" i="7"/>
  <c r="EV29" i="7"/>
  <c r="FB29" i="7" a="1"/>
  <c r="EX29" i="7" a="1"/>
  <c r="FF29" i="7" a="1"/>
  <c r="FE29" i="7" a="1"/>
  <c r="FB29" i="7" l="1"/>
  <c r="FE29" i="7"/>
  <c r="FF29" i="7"/>
  <c r="EX29" i="7"/>
  <c r="EW32" i="7" a="1"/>
  <c r="FH29" i="7" l="1" a="1"/>
  <c r="FH29" i="7" s="1"/>
  <c r="FG29" i="7" s="1"/>
  <c r="EW32" i="7"/>
  <c r="EY32" i="7" a="1"/>
  <c r="EZ32" i="7" a="1"/>
  <c r="FA32" i="7" a="1"/>
  <c r="EY32" i="7" l="1"/>
  <c r="EZ32" i="7"/>
  <c r="FA32" i="7"/>
  <c r="FC32" i="7" a="1"/>
  <c r="FD32" i="7" a="1"/>
  <c r="EV32" i="7" a="1"/>
  <c r="EX32" i="7" a="1"/>
  <c r="FC32" i="7" l="1"/>
  <c r="EX32" i="7"/>
  <c r="EV32" i="7"/>
  <c r="FD32" i="7"/>
  <c r="FB32" i="7" a="1"/>
  <c r="FF32" i="7" a="1"/>
  <c r="FE32" i="7" a="1"/>
  <c r="FB32" i="7" l="1"/>
  <c r="FE32" i="7"/>
  <c r="FF32" i="7"/>
  <c r="EY35" i="7" a="1"/>
  <c r="FD35" i="7" a="1"/>
  <c r="FC35" i="7" a="1"/>
  <c r="EV35" i="7" a="1"/>
  <c r="EX35" i="7" a="1"/>
  <c r="FF35" i="7" a="1"/>
  <c r="FE35" i="7" a="1"/>
  <c r="EW35" i="7" a="1"/>
  <c r="FA35" i="7" a="1"/>
  <c r="EZ35" i="7" a="1"/>
  <c r="FH32" i="7" l="1" a="1"/>
  <c r="FH32" i="7" s="1"/>
  <c r="FG32" i="7" s="1"/>
  <c r="FA35" i="7"/>
  <c r="FC35" i="7"/>
  <c r="FD35" i="7"/>
  <c r="FE35" i="7"/>
  <c r="EY35" i="7"/>
  <c r="FF35" i="7"/>
  <c r="EZ35" i="7"/>
  <c r="EX35" i="7"/>
  <c r="EV35" i="7"/>
  <c r="EW35" i="7"/>
  <c r="FH35" i="7" l="1" a="1"/>
  <c r="FH35" i="7" s="1"/>
  <c r="FG35" i="7" s="1"/>
  <c r="EW74" i="7" a="1"/>
  <c r="EW74" i="7" l="1"/>
  <c r="FA74" i="7" a="1"/>
  <c r="EY74" i="7" a="1"/>
  <c r="EY74" i="7" l="1"/>
  <c r="FA74" i="7"/>
  <c r="FC74" i="7" a="1"/>
  <c r="EZ74" i="7" a="1"/>
  <c r="EV74" i="7" a="1"/>
  <c r="FD74" i="7" a="1"/>
  <c r="FC74" i="7" l="1"/>
  <c r="FD74" i="7"/>
  <c r="EV74" i="7"/>
  <c r="EZ74" i="7"/>
  <c r="FE74" i="7" a="1"/>
  <c r="EX74" i="7" a="1"/>
  <c r="FF74" i="7" a="1"/>
  <c r="FB74" i="7" a="1"/>
  <c r="FF74" i="7" l="1"/>
  <c r="FE74" i="7"/>
  <c r="EX74" i="7"/>
  <c r="FB74" i="7"/>
  <c r="EW77" i="7" a="1"/>
  <c r="FH74" i="7" l="1" a="1"/>
  <c r="FH74" i="7" s="1"/>
  <c r="FG74" i="7" s="1"/>
  <c r="EW77" i="7"/>
  <c r="FA77" i="7" a="1"/>
  <c r="EY77" i="7" a="1"/>
  <c r="FA77" i="7" l="1"/>
  <c r="EY77" i="7"/>
  <c r="EV77" i="7" a="1"/>
  <c r="FD77" i="7" a="1"/>
  <c r="EZ77" i="7" a="1"/>
  <c r="FC77" i="7" a="1"/>
  <c r="FD77" i="7" l="1"/>
  <c r="EV77" i="7"/>
  <c r="EZ77" i="7"/>
  <c r="FC77" i="7"/>
  <c r="EX77" i="7" a="1"/>
  <c r="FE77" i="7" a="1"/>
  <c r="FF77" i="7" a="1"/>
  <c r="FB77" i="7" a="1"/>
  <c r="FB77" i="7" l="1"/>
  <c r="FE77" i="7"/>
  <c r="EX77" i="7"/>
  <c r="FF77" i="7"/>
  <c r="EW80" i="7" a="1"/>
  <c r="FH77" i="7" l="1" a="1"/>
  <c r="FH77" i="7" s="1"/>
  <c r="FG77" i="7" s="1"/>
  <c r="EW80" i="7"/>
  <c r="FA80" i="7" a="1"/>
  <c r="EY80" i="7" a="1"/>
  <c r="EY80" i="7" l="1"/>
  <c r="FA80" i="7"/>
  <c r="EX80" i="7" a="1"/>
  <c r="EZ80" i="7" a="1"/>
  <c r="FC80" i="7" a="1"/>
  <c r="FD80" i="7" a="1"/>
  <c r="EV80" i="7" a="1"/>
  <c r="FC80" i="7" l="1"/>
  <c r="EZ80" i="7"/>
  <c r="EX80" i="7"/>
  <c r="FD80" i="7"/>
  <c r="EV80" i="7"/>
  <c r="FB80" i="7" a="1"/>
  <c r="FF80" i="7" a="1"/>
  <c r="FE80" i="7" a="1"/>
  <c r="FE80" i="7" l="1"/>
  <c r="FF80" i="7"/>
  <c r="FB80" i="7"/>
  <c r="EW83" i="7" a="1"/>
  <c r="FH80" i="7" l="1" a="1"/>
  <c r="FH80" i="7" s="1"/>
  <c r="FG80" i="7" s="1"/>
  <c r="EW83" i="7"/>
  <c r="FA83" i="7" a="1"/>
  <c r="EY83" i="7" a="1"/>
  <c r="FA83" i="7" l="1"/>
  <c r="EY83" i="7"/>
  <c r="FC83" i="7" a="1"/>
  <c r="EZ83" i="7" a="1"/>
  <c r="FE83" i="7" a="1"/>
  <c r="EX83" i="7" a="1"/>
  <c r="EV83" i="7" a="1"/>
  <c r="FD83" i="7" a="1"/>
  <c r="FE83" i="7" l="1"/>
  <c r="FD83" i="7"/>
  <c r="EZ83" i="7"/>
  <c r="FC83" i="7"/>
  <c r="EX83" i="7"/>
  <c r="EV83" i="7"/>
  <c r="FB83" i="7" a="1"/>
  <c r="FF83" i="7" a="1"/>
  <c r="FF83" i="7" l="1"/>
  <c r="FB83" i="7"/>
  <c r="EW86" i="7" a="1"/>
  <c r="FH83" i="7" l="1" a="1"/>
  <c r="FH83" i="7" s="1"/>
  <c r="FG83" i="7" s="1"/>
  <c r="EW86" i="7"/>
  <c r="EY86" i="7" a="1"/>
  <c r="FA86" i="7" a="1"/>
  <c r="FA86" i="7" l="1"/>
  <c r="EY86" i="7"/>
  <c r="EV86" i="7" a="1"/>
  <c r="FE86" i="7" a="1"/>
  <c r="FC86" i="7" a="1"/>
  <c r="EX86" i="7" a="1"/>
  <c r="FD86" i="7" a="1"/>
  <c r="EZ86" i="7" a="1"/>
  <c r="EX86" i="7" l="1"/>
  <c r="FC86" i="7"/>
  <c r="FE86" i="7"/>
  <c r="EV86" i="7"/>
  <c r="EZ86" i="7"/>
  <c r="FD86" i="7"/>
  <c r="FB86" i="7" a="1"/>
  <c r="FF86" i="7" a="1"/>
  <c r="FF86" i="7" l="1"/>
  <c r="FB86" i="7"/>
  <c r="EW89" i="7" a="1"/>
  <c r="FH86" i="7" l="1" a="1"/>
  <c r="FH86" i="7" s="1"/>
  <c r="FG86" i="7" s="1"/>
  <c r="EW89" i="7"/>
  <c r="FA89" i="7" a="1"/>
  <c r="EY89" i="7" a="1"/>
  <c r="FA89" i="7" l="1"/>
  <c r="EY89" i="7"/>
  <c r="EZ89" i="7" a="1"/>
  <c r="EX89" i="7" a="1"/>
  <c r="FD89" i="7" a="1"/>
  <c r="FC89" i="7" a="1"/>
  <c r="EV89" i="7" a="1"/>
  <c r="FC89" i="7" l="1"/>
  <c r="EZ89" i="7"/>
  <c r="EX89" i="7"/>
  <c r="FD89" i="7"/>
  <c r="EV89" i="7"/>
  <c r="FE89" i="7" a="1"/>
  <c r="FB89" i="7" a="1"/>
  <c r="FF89" i="7" a="1"/>
  <c r="FF89" i="7" l="1"/>
  <c r="FE89" i="7"/>
  <c r="FB89" i="7"/>
  <c r="EW92" i="7" a="1"/>
  <c r="FH89" i="7" l="1" a="1"/>
  <c r="FH89" i="7" s="1"/>
  <c r="FG89" i="7" s="1"/>
  <c r="EW92" i="7"/>
  <c r="FA92" i="7" a="1"/>
  <c r="EY92" i="7" a="1"/>
  <c r="FA92" i="7" l="1"/>
  <c r="EY92" i="7"/>
  <c r="EV92" i="7" a="1"/>
  <c r="EZ92" i="7" a="1"/>
  <c r="FC92" i="7" a="1"/>
  <c r="FD92" i="7" a="1"/>
  <c r="EV92" i="7" l="1"/>
  <c r="EZ92" i="7"/>
  <c r="FD92" i="7"/>
  <c r="FC92" i="7"/>
  <c r="EX92" i="7" a="1"/>
  <c r="FF92" i="7" a="1"/>
  <c r="FB92" i="7" a="1"/>
  <c r="FE92" i="7" a="1"/>
  <c r="FF92" i="7" l="1"/>
  <c r="FE92" i="7"/>
  <c r="EX92" i="7"/>
  <c r="FB92" i="7"/>
  <c r="EW95" i="7" a="1"/>
  <c r="FH92" i="7" l="1" a="1"/>
  <c r="FH92" i="7" s="1"/>
  <c r="FG92" i="7" s="1"/>
  <c r="EW95" i="7"/>
  <c r="FA95" i="7" a="1"/>
  <c r="EY95" i="7" a="1"/>
  <c r="EY95" i="7" l="1"/>
  <c r="FA95" i="7"/>
  <c r="EV95" i="7" a="1"/>
  <c r="FD95" i="7" a="1"/>
  <c r="FC95" i="7" a="1"/>
  <c r="EZ95" i="7" a="1"/>
  <c r="FE95" i="7" a="1"/>
  <c r="EX95" i="7" a="1"/>
  <c r="FE95" i="7" l="1"/>
  <c r="FD95" i="7"/>
  <c r="EV95" i="7"/>
  <c r="EZ95" i="7"/>
  <c r="EX95" i="7"/>
  <c r="FC95" i="7"/>
  <c r="FF95" i="7" a="1"/>
  <c r="FB95" i="7" a="1"/>
  <c r="FF95" i="7" l="1"/>
  <c r="FB95" i="7"/>
  <c r="EW98" i="7" a="1"/>
  <c r="FH95" i="7" l="1" a="1"/>
  <c r="FH95" i="7" s="1"/>
  <c r="FG95" i="7" s="1"/>
  <c r="EW98" i="7"/>
  <c r="FA98" i="7" a="1"/>
  <c r="EY98" i="7" a="1"/>
  <c r="EY98" i="7" l="1"/>
  <c r="FA98" i="7"/>
  <c r="EZ98" i="7" a="1"/>
  <c r="FC98" i="7" a="1"/>
  <c r="FD98" i="7" a="1"/>
  <c r="EV98" i="7" a="1"/>
  <c r="EX98" i="7" a="1"/>
  <c r="FD98" i="7" l="1"/>
  <c r="FC98" i="7"/>
  <c r="EZ98" i="7"/>
  <c r="EX98" i="7"/>
  <c r="EV98" i="7"/>
  <c r="FE98" i="7" a="1"/>
  <c r="FB98" i="7" a="1"/>
  <c r="FF98" i="7" a="1"/>
  <c r="FE98" i="7" l="1"/>
  <c r="FF98" i="7"/>
  <c r="FB98" i="7"/>
  <c r="EW101" i="7" a="1"/>
  <c r="FH98" i="7" l="1" a="1"/>
  <c r="FH98" i="7" s="1"/>
  <c r="FG98" i="7" s="1"/>
  <c r="EW101" i="7"/>
  <c r="EY101" i="7" a="1"/>
  <c r="FA101" i="7" a="1"/>
  <c r="FA101" i="7" l="1"/>
  <c r="EY101" i="7"/>
  <c r="EV101" i="7" a="1"/>
  <c r="FE101" i="7" a="1"/>
  <c r="EZ101" i="7" a="1"/>
  <c r="FC101" i="7" a="1"/>
  <c r="FD101" i="7" a="1"/>
  <c r="FE101" i="7" l="1"/>
  <c r="EV101" i="7"/>
  <c r="EZ101" i="7"/>
  <c r="FD101" i="7"/>
  <c r="FC101" i="7"/>
  <c r="FB101" i="7" a="1"/>
  <c r="FF101" i="7" a="1"/>
  <c r="EX101" i="7" a="1"/>
  <c r="FB101" i="7" l="1"/>
  <c r="EX101" i="7"/>
  <c r="FF101" i="7"/>
  <c r="EW104" i="7" a="1"/>
  <c r="FH101" i="7" l="1" a="1"/>
  <c r="FH101" i="7" s="1"/>
  <c r="FG101" i="7" s="1"/>
  <c r="EW104" i="7"/>
  <c r="EY104" i="7" a="1"/>
  <c r="FA104" i="7" a="1"/>
  <c r="EY104" i="7" l="1"/>
  <c r="FA104" i="7"/>
  <c r="FE104" i="7" a="1"/>
  <c r="FC104" i="7" a="1"/>
  <c r="FD104" i="7" a="1"/>
  <c r="EZ104" i="7" a="1"/>
  <c r="EV104" i="7" a="1"/>
  <c r="EX104" i="7" a="1"/>
  <c r="EX104" i="7" l="1"/>
  <c r="FE104" i="7"/>
  <c r="FC104" i="7"/>
  <c r="EZ104" i="7"/>
  <c r="EV104" i="7"/>
  <c r="FD104" i="7"/>
  <c r="FF104" i="7" a="1"/>
  <c r="EW107" i="7" a="1"/>
  <c r="FB104" i="7" a="1"/>
  <c r="EW107" i="7" l="1"/>
  <c r="FB104" i="7"/>
  <c r="FF104" i="7"/>
  <c r="EY107" i="7" a="1"/>
  <c r="FA107" i="7" a="1"/>
  <c r="FH104" i="7" l="1" a="1"/>
  <c r="FH104" i="7" s="1"/>
  <c r="FG104" i="7" s="1"/>
  <c r="FA107" i="7"/>
  <c r="EY107" i="7"/>
  <c r="FD107" i="7" a="1"/>
  <c r="FC107" i="7" a="1"/>
  <c r="EV107" i="7" a="1"/>
  <c r="EZ107" i="7" a="1"/>
  <c r="EX107" i="7" a="1"/>
  <c r="FC107" i="7" l="1"/>
  <c r="EV107" i="7"/>
  <c r="FD107" i="7"/>
  <c r="EX107" i="7"/>
  <c r="EZ107" i="7"/>
  <c r="FE107" i="7" a="1"/>
  <c r="FF107" i="7" a="1"/>
  <c r="FE107" i="7" l="1"/>
  <c r="FF107" i="7"/>
  <c r="FH107" i="7" l="1" a="1"/>
  <c r="FH107" i="7" s="1"/>
  <c r="FG107" i="7" s="1"/>
  <c r="EQ39" i="7" l="1" a="1"/>
  <c r="EQ39" i="7" s="1"/>
  <c r="EW8" i="7" a="1"/>
  <c r="EW8" i="7" l="1"/>
  <c r="FA8" i="7" a="1"/>
  <c r="EY8" i="7" a="1"/>
  <c r="FC8" i="7" a="1"/>
  <c r="FA8" i="7" l="1"/>
  <c r="FC8" i="7"/>
  <c r="EY8" i="7"/>
  <c r="FE8" i="7" a="1"/>
  <c r="FD8" i="7" a="1"/>
  <c r="EV8" i="7" a="1"/>
  <c r="EX8" i="7" a="1"/>
  <c r="EZ8" i="7" a="1"/>
  <c r="FE8" i="7" l="1"/>
  <c r="EV8" i="7"/>
  <c r="FD8" i="7"/>
  <c r="EZ8" i="7"/>
  <c r="EX8" i="7"/>
  <c r="FB8" i="7" a="1"/>
  <c r="FF8" i="7" a="1"/>
  <c r="FF8" i="7" l="1"/>
  <c r="FB8" i="7"/>
  <c r="FH8" i="7" l="1" a="1"/>
  <c r="FH8" i="7" s="1"/>
  <c r="FG8" i="7" s="1"/>
  <c r="FI94" i="7" l="1" a="1"/>
  <c r="FI94" i="7" s="1"/>
  <c r="FS94" i="7" s="1" a="1"/>
  <c r="FS94" i="7" s="1"/>
  <c r="FI53" i="7" a="1"/>
  <c r="FI53" i="7" s="1"/>
  <c r="FI106" i="7" a="1"/>
  <c r="FI106" i="7" s="1"/>
  <c r="FS106" i="7" s="1" a="1"/>
  <c r="FS106" i="7" s="1"/>
  <c r="FI42" i="7" a="1"/>
  <c r="FI42" i="7" s="1"/>
  <c r="FI15" i="7" a="1"/>
  <c r="FI15" i="7" s="1"/>
  <c r="FI46" i="7" a="1"/>
  <c r="FI46" i="7" s="1"/>
  <c r="FI26" i="7" a="1"/>
  <c r="FI26" i="7" s="1"/>
  <c r="FI20" i="7" a="1"/>
  <c r="FI20" i="7" s="1"/>
  <c r="FK94" i="7" a="1"/>
  <c r="FK94" i="7" s="1"/>
  <c r="FI69" i="7" a="1"/>
  <c r="FI69" i="7" s="1"/>
  <c r="FL69" i="7" s="1" a="1"/>
  <c r="FL69" i="7" s="1"/>
  <c r="FI97" i="7" a="1"/>
  <c r="FI97" i="7" s="1"/>
  <c r="FM97" i="7" s="1" a="1"/>
  <c r="FM97" i="7" s="1"/>
  <c r="FI2" i="7" a="1"/>
  <c r="FI2" i="7" s="1"/>
  <c r="FI45" i="7" a="1"/>
  <c r="FI45" i="7" s="1"/>
  <c r="FI3" i="7" a="1"/>
  <c r="FI3" i="7" s="1"/>
  <c r="FI22" i="7" a="1"/>
  <c r="FI22" i="7" s="1"/>
  <c r="FI13" i="7" a="1"/>
  <c r="FI13" i="7" s="1"/>
  <c r="FI50" i="7" a="1"/>
  <c r="FI50" i="7" s="1"/>
  <c r="FI111" i="7" a="1"/>
  <c r="FI111" i="7" s="1"/>
  <c r="FN111" i="7" s="1" a="1"/>
  <c r="FN111" i="7" s="1"/>
  <c r="FI8" i="7" a="1"/>
  <c r="FI8" i="7" s="1"/>
  <c r="FI57" i="7" a="1"/>
  <c r="FI57" i="7" s="1"/>
  <c r="FQ57" i="7" s="1" a="1"/>
  <c r="FQ57" i="7" s="1"/>
  <c r="FI60" i="7" a="1"/>
  <c r="FI60" i="7" s="1"/>
  <c r="FL60" i="7" s="1" a="1"/>
  <c r="FL60" i="7" s="1"/>
  <c r="FI76" i="7" a="1"/>
  <c r="FI76" i="7" s="1"/>
  <c r="FQ76" i="7" s="1" a="1"/>
  <c r="FQ76" i="7" s="1"/>
  <c r="FI100" i="7" a="1"/>
  <c r="FI100" i="7" s="1"/>
  <c r="FM100" i="7" s="1" a="1"/>
  <c r="FM100" i="7" s="1"/>
  <c r="FI114" i="7" a="1"/>
  <c r="FI114" i="7" s="1"/>
  <c r="FO114" i="7" s="1" a="1"/>
  <c r="FO114" i="7" s="1"/>
  <c r="FI12" i="7" a="1"/>
  <c r="FI12" i="7" s="1"/>
  <c r="FI47" i="7" a="1"/>
  <c r="FI47" i="7" s="1"/>
  <c r="FI88" i="7" a="1"/>
  <c r="FI88" i="7" s="1"/>
  <c r="FM88" i="7" s="1" a="1"/>
  <c r="FM88" i="7" s="1"/>
  <c r="FI113" i="7" a="1"/>
  <c r="FI113" i="7" s="1"/>
  <c r="FS113" i="7" s="1" a="1"/>
  <c r="FS113" i="7" s="1"/>
  <c r="FI81" i="7" a="1"/>
  <c r="FI81" i="7" s="1"/>
  <c r="FM81" i="7" s="1" a="1"/>
  <c r="FM81" i="7" s="1"/>
  <c r="FI70" i="7" a="1"/>
  <c r="FI70" i="7" s="1"/>
  <c r="FR70" i="7" s="1" a="1"/>
  <c r="FR70" i="7" s="1"/>
  <c r="FI116" i="7" a="1"/>
  <c r="FI116" i="7" s="1"/>
  <c r="FO116" i="7" s="1" a="1"/>
  <c r="FO116" i="7" s="1"/>
  <c r="FI73" i="7" a="1"/>
  <c r="FI73" i="7" s="1"/>
  <c r="FJ73" i="7" s="1" a="1"/>
  <c r="FJ73" i="7" s="1"/>
  <c r="FI84" i="7" a="1"/>
  <c r="FI84" i="7" s="1"/>
  <c r="FQ84" i="7" s="1" a="1"/>
  <c r="FQ84" i="7" s="1"/>
  <c r="FI96" i="7" a="1"/>
  <c r="FI96" i="7" s="1"/>
  <c r="FN96" i="7" s="1" a="1"/>
  <c r="FN96" i="7" s="1"/>
  <c r="FI115" i="7" a="1"/>
  <c r="FI115" i="7" s="1"/>
  <c r="FQ115" i="7" s="1" a="1"/>
  <c r="FQ115" i="7" s="1"/>
  <c r="FI105" i="7" a="1"/>
  <c r="FI105" i="7" s="1"/>
  <c r="FL105" i="7" s="1" a="1"/>
  <c r="FL105" i="7" s="1"/>
  <c r="FI120" i="7" a="1"/>
  <c r="FI120" i="7" s="1"/>
  <c r="FR120" i="7" s="1" a="1"/>
  <c r="FR120" i="7" s="1"/>
  <c r="FI68" i="7" a="1"/>
  <c r="FI68" i="7" s="1"/>
  <c r="FP68" i="7" s="1" a="1"/>
  <c r="FP68" i="7" s="1"/>
  <c r="FI72" i="7" a="1"/>
  <c r="FI72" i="7" s="1"/>
  <c r="FQ72" i="7" s="1" a="1"/>
  <c r="FQ72" i="7" s="1"/>
  <c r="FI63" i="7" a="1"/>
  <c r="FI63" i="7" s="1"/>
  <c r="FS63" i="7" s="1" a="1"/>
  <c r="FS63" i="7" s="1"/>
  <c r="FI74" i="7" a="1"/>
  <c r="FI74" i="7" s="1"/>
  <c r="FK74" i="7" s="1" a="1"/>
  <c r="FK74" i="7" s="1"/>
  <c r="FI117" i="7" a="1"/>
  <c r="FI117" i="7" s="1"/>
  <c r="FK117" i="7" s="1" a="1"/>
  <c r="FK117" i="7" s="1"/>
  <c r="FI65" i="7" a="1"/>
  <c r="FI65" i="7" s="1"/>
  <c r="FR65" i="7" s="1" a="1"/>
  <c r="FR65" i="7" s="1"/>
  <c r="FI89" i="7" a="1"/>
  <c r="FI89" i="7" s="1"/>
  <c r="FN89" i="7" s="1" a="1"/>
  <c r="FN89" i="7" s="1"/>
  <c r="FI118" i="7" a="1"/>
  <c r="FI118" i="7" s="1"/>
  <c r="FJ118" i="7" s="1" a="1"/>
  <c r="FJ118" i="7" s="1"/>
  <c r="FI110" i="7" a="1"/>
  <c r="FI110" i="7" s="1"/>
  <c r="FK110" i="7" s="1" a="1"/>
  <c r="FK110" i="7" s="1"/>
  <c r="FI80" i="7" a="1"/>
  <c r="FI80" i="7" s="1"/>
  <c r="FP80" i="7" s="1" a="1"/>
  <c r="FP80" i="7" s="1"/>
  <c r="FI93" i="7" a="1"/>
  <c r="FI93" i="7" s="1"/>
  <c r="FM93" i="7" s="1" a="1"/>
  <c r="FM93" i="7" s="1"/>
  <c r="FI112" i="7" a="1"/>
  <c r="FI112" i="7" s="1"/>
  <c r="FP112" i="7" s="1" a="1"/>
  <c r="FP112" i="7" s="1"/>
  <c r="FI107" i="7" a="1"/>
  <c r="FI107" i="7" s="1"/>
  <c r="FS107" i="7" s="1" a="1"/>
  <c r="FS107" i="7" s="1"/>
  <c r="FI103" i="7" a="1"/>
  <c r="FI103" i="7" s="1"/>
  <c r="FJ103" i="7" s="1" a="1"/>
  <c r="FJ103" i="7" s="1"/>
  <c r="FI66" i="7" a="1"/>
  <c r="FI66" i="7" s="1"/>
  <c r="FS66" i="7" s="1" a="1"/>
  <c r="FS66" i="7" s="1"/>
  <c r="FI61" i="7" a="1"/>
  <c r="FI61" i="7" s="1"/>
  <c r="FR61" i="7" s="1" a="1"/>
  <c r="FR61" i="7" s="1"/>
  <c r="FI75" i="7" a="1"/>
  <c r="FI75" i="7" s="1"/>
  <c r="FL75" i="7" s="1" a="1"/>
  <c r="FL75" i="7" s="1"/>
  <c r="FI64" i="7" a="1"/>
  <c r="FI64" i="7" s="1"/>
  <c r="FO64" i="7" s="1" a="1"/>
  <c r="FO64" i="7" s="1"/>
  <c r="FI62" i="7" a="1"/>
  <c r="FI62" i="7" s="1"/>
  <c r="FS62" i="7" s="1" a="1"/>
  <c r="FS62" i="7" s="1"/>
  <c r="FI78" i="7" a="1"/>
  <c r="FI78" i="7" s="1"/>
  <c r="FJ78" i="7" s="1" a="1"/>
  <c r="FJ78" i="7" s="1"/>
  <c r="FI87" i="7" a="1"/>
  <c r="FI87" i="7" s="1"/>
  <c r="FS87" i="7" s="1" a="1"/>
  <c r="FS87" i="7" s="1"/>
  <c r="FI85" i="7" a="1"/>
  <c r="FI85" i="7" s="1"/>
  <c r="FQ85" i="7" s="1" a="1"/>
  <c r="FQ85" i="7" s="1"/>
  <c r="FI121" i="7" a="1"/>
  <c r="FI121" i="7" s="1"/>
  <c r="FJ121" i="7" s="1" a="1"/>
  <c r="FJ121" i="7" s="1"/>
  <c r="FI92" i="7" a="1"/>
  <c r="FI92" i="7" s="1"/>
  <c r="FJ92" i="7" s="1" a="1"/>
  <c r="FJ92" i="7" s="1"/>
  <c r="FI119" i="7" a="1"/>
  <c r="FI119" i="7" s="1"/>
  <c r="FM119" i="7" s="1" a="1"/>
  <c r="FM119" i="7" s="1"/>
  <c r="FI102" i="7" a="1"/>
  <c r="FI102" i="7" s="1"/>
  <c r="FO102" i="7" s="1" a="1"/>
  <c r="FO102" i="7" s="1"/>
  <c r="FI108" i="7" a="1"/>
  <c r="FI108" i="7" s="1"/>
  <c r="FJ108" i="7" s="1" a="1"/>
  <c r="FJ108" i="7" s="1"/>
  <c r="FI67" i="7" a="1"/>
  <c r="FI67" i="7" s="1"/>
  <c r="FQ67" i="7" s="1" a="1"/>
  <c r="FQ67" i="7" s="1"/>
  <c r="FI99" i="7" a="1"/>
  <c r="FI99" i="7" s="1"/>
  <c r="FR99" i="7" s="1" a="1"/>
  <c r="FR99" i="7" s="1"/>
  <c r="FI109" i="7" a="1"/>
  <c r="FI109" i="7" s="1"/>
  <c r="FR109" i="7" s="1" a="1"/>
  <c r="FR109" i="7" s="1"/>
  <c r="FI98" i="7" a="1"/>
  <c r="FI98" i="7" s="1"/>
  <c r="FJ98" i="7" s="1" a="1"/>
  <c r="FJ98" i="7" s="1"/>
  <c r="FI95" i="7" a="1"/>
  <c r="FI95" i="7" s="1"/>
  <c r="FS95" i="7" s="1" a="1"/>
  <c r="FS95" i="7" s="1"/>
  <c r="FI104" i="7" a="1"/>
  <c r="FI104" i="7" s="1"/>
  <c r="FS104" i="7" s="1" a="1"/>
  <c r="FS104" i="7" s="1"/>
  <c r="FI101" i="7" a="1"/>
  <c r="FI101" i="7" s="1"/>
  <c r="FL101" i="7" s="1" a="1"/>
  <c r="FL101" i="7" s="1"/>
  <c r="FI82" i="7" a="1"/>
  <c r="FI82" i="7" s="1"/>
  <c r="FO82" i="7" s="1" a="1"/>
  <c r="FO82" i="7" s="1"/>
  <c r="FI83" i="7" a="1"/>
  <c r="FI83" i="7" s="1"/>
  <c r="FS83" i="7" s="1" a="1"/>
  <c r="FS83" i="7" s="1"/>
  <c r="FI90" i="7" a="1"/>
  <c r="FI90" i="7" s="1"/>
  <c r="FN90" i="7" s="1" a="1"/>
  <c r="FN90" i="7" s="1"/>
  <c r="FI91" i="7" a="1"/>
  <c r="FI91" i="7" s="1"/>
  <c r="FO91" i="7" s="1" a="1"/>
  <c r="FO91" i="7" s="1"/>
  <c r="FI56" i="7" a="1"/>
  <c r="FI56" i="7" s="1"/>
  <c r="FS56" i="7" s="1" a="1"/>
  <c r="FS56" i="7" s="1"/>
  <c r="FI54" i="7" a="1"/>
  <c r="FI54" i="7" s="1"/>
  <c r="FI49" i="7" a="1"/>
  <c r="FI49" i="7" s="1"/>
  <c r="FI77" i="7" a="1"/>
  <c r="FI77" i="7" s="1"/>
  <c r="FN77" i="7" s="1" a="1"/>
  <c r="FN77" i="7" s="1"/>
  <c r="FI86" i="7" a="1"/>
  <c r="FI86" i="7" s="1"/>
  <c r="FM86" i="7" s="1" a="1"/>
  <c r="FM86" i="7" s="1"/>
  <c r="FI17" i="7" a="1"/>
  <c r="FI17" i="7" s="1"/>
  <c r="FI52" i="7" a="1"/>
  <c r="FI52" i="7" s="1"/>
  <c r="FI32" i="7" a="1"/>
  <c r="FI32" i="7" s="1"/>
  <c r="FI79" i="7" a="1"/>
  <c r="FI79" i="7" s="1"/>
  <c r="FQ79" i="7" s="1" a="1"/>
  <c r="FQ79" i="7" s="1"/>
  <c r="FI71" i="7" a="1"/>
  <c r="FI71" i="7" s="1"/>
  <c r="FN71" i="7" s="1" a="1"/>
  <c r="FN71" i="7" s="1"/>
  <c r="FI6" i="7" a="1"/>
  <c r="FI6" i="7" s="1"/>
  <c r="FI38" i="7" a="1"/>
  <c r="FI38" i="7" s="1"/>
  <c r="FI7" i="7" a="1"/>
  <c r="FI7" i="7" s="1"/>
  <c r="FI48" i="7" a="1"/>
  <c r="FI48" i="7" s="1"/>
  <c r="FI4" i="7" a="1"/>
  <c r="FI4" i="7" s="1"/>
  <c r="FI24" i="7" a="1"/>
  <c r="FI24" i="7" s="1"/>
  <c r="FI9" i="7" a="1"/>
  <c r="FI9" i="7" s="1"/>
  <c r="FI30" i="7" a="1"/>
  <c r="FI30" i="7" s="1"/>
  <c r="FI43" i="7" a="1"/>
  <c r="FI43" i="7" s="1"/>
  <c r="FI51" i="7" a="1"/>
  <c r="FI51" i="7" s="1"/>
  <c r="FI58" i="7" a="1"/>
  <c r="FI58" i="7" s="1"/>
  <c r="FL58" i="7" s="1" a="1"/>
  <c r="FL58" i="7" s="1"/>
  <c r="FI39" i="7" a="1"/>
  <c r="FI39" i="7" s="1"/>
  <c r="FI27" i="7" a="1"/>
  <c r="FI27" i="7" s="1"/>
  <c r="FI11" i="7" a="1"/>
  <c r="FI11" i="7" s="1"/>
  <c r="FI34" i="7" a="1"/>
  <c r="FI34" i="7" s="1"/>
  <c r="FI21" i="7" a="1"/>
  <c r="FI21" i="7" s="1"/>
  <c r="FI18" i="7" a="1"/>
  <c r="FI18" i="7" s="1"/>
  <c r="FI55" i="7" a="1"/>
  <c r="FI55" i="7" s="1"/>
  <c r="FM55" i="7" s="1" a="1"/>
  <c r="FM55" i="7" s="1"/>
  <c r="FI25" i="7" a="1"/>
  <c r="FI25" i="7" s="1"/>
  <c r="FI14" i="7" a="1"/>
  <c r="FI14" i="7" s="1"/>
  <c r="FI31" i="7" a="1"/>
  <c r="FI31" i="7" s="1"/>
  <c r="FI28" i="7" a="1"/>
  <c r="FI28" i="7" s="1"/>
  <c r="FI40" i="7" a="1"/>
  <c r="FI40" i="7" s="1"/>
  <c r="FI23" i="7" a="1"/>
  <c r="FI23" i="7" s="1"/>
  <c r="FI10" i="7" a="1"/>
  <c r="FI10" i="7" s="1"/>
  <c r="FI16" i="7" a="1"/>
  <c r="FI16" i="7" s="1"/>
  <c r="FI44" i="7" a="1"/>
  <c r="FI44" i="7" s="1"/>
  <c r="FI36" i="7" a="1"/>
  <c r="FI36" i="7" s="1"/>
  <c r="FI1" i="7" a="1"/>
  <c r="FI1" i="7" s="1"/>
  <c r="FI35" i="7" a="1"/>
  <c r="FI35" i="7" s="1"/>
  <c r="FI41" i="7" a="1"/>
  <c r="FI41" i="7" s="1"/>
  <c r="FI29" i="7" a="1"/>
  <c r="FI29" i="7" s="1"/>
  <c r="FI33" i="7" a="1"/>
  <c r="FI33" i="7" s="1"/>
  <c r="FI37" i="7" a="1"/>
  <c r="FI37" i="7" s="1"/>
  <c r="FI59" i="7" a="1"/>
  <c r="FI59" i="7" s="1"/>
  <c r="FI19" i="7" a="1"/>
  <c r="FI19" i="7" s="1"/>
  <c r="FI5" i="7" a="1"/>
  <c r="FI5" i="7" s="1"/>
  <c r="FQ111" i="7" a="1"/>
  <c r="FQ111" i="7" s="1"/>
  <c r="FM111" i="7" a="1"/>
  <c r="FM111" i="7" s="1"/>
  <c r="FK111" i="7" a="1"/>
  <c r="FK111" i="7" s="1"/>
  <c r="FJ111" i="7" a="1"/>
  <c r="FJ111" i="7" s="1"/>
  <c r="FO111" i="7" a="1"/>
  <c r="FO111" i="7" s="1"/>
  <c r="FL111" i="7" a="1"/>
  <c r="FL111" i="7" s="1"/>
  <c r="FS111" i="7" a="1"/>
  <c r="FS111" i="7" s="1"/>
  <c r="FP111" i="7" a="1"/>
  <c r="FP111" i="7" s="1"/>
  <c r="FR111" i="7" a="1"/>
  <c r="FR111" i="7" s="1"/>
  <c r="FN69" i="7" a="1"/>
  <c r="FN69" i="7" s="1"/>
  <c r="FP69" i="7" a="1"/>
  <c r="FP69" i="7" s="1"/>
  <c r="FM69" i="7" a="1"/>
  <c r="FM69" i="7" s="1"/>
  <c r="FS69" i="7" a="1"/>
  <c r="FS69" i="7" s="1"/>
  <c r="FJ69" i="7" a="1"/>
  <c r="FJ69" i="7" s="1"/>
  <c r="FQ69" i="7" a="1"/>
  <c r="FQ69" i="7" s="1"/>
  <c r="FO69" i="7" a="1"/>
  <c r="FO69" i="7" s="1"/>
  <c r="FR69" i="7" a="1"/>
  <c r="FR69" i="7" s="1"/>
  <c r="FK69" i="7" a="1"/>
  <c r="FK69" i="7" s="1"/>
  <c r="FL54" i="7" a="1"/>
  <c r="FL53" i="7" a="1"/>
  <c r="FN53" i="7" a="1"/>
  <c r="FO53" i="7" a="1"/>
  <c r="FR53" i="7" a="1"/>
  <c r="FS53" i="7" a="1"/>
  <c r="FP53" i="7" a="1"/>
  <c r="FQ53" i="7" a="1"/>
  <c r="FO51" i="7" a="1"/>
  <c r="FL50" i="7" a="1"/>
  <c r="FS51" i="7" a="1"/>
  <c r="FN50" i="7" a="1"/>
  <c r="FK52" i="7" a="1"/>
  <c r="FJ50" i="7" a="1"/>
  <c r="FO50" i="7" a="1"/>
  <c r="FS50" i="7" a="1"/>
  <c r="FQ51" i="7" a="1"/>
  <c r="FR50" i="7" a="1"/>
  <c r="FR51" i="7" a="1"/>
  <c r="FK50" i="7" a="1"/>
  <c r="FN51" i="7" a="1"/>
  <c r="FP50" i="7" a="1"/>
  <c r="FP51" i="7" a="1"/>
  <c r="FJ51" i="7" a="1"/>
  <c r="FQ50" i="7" a="1"/>
  <c r="FN42" i="7" a="1"/>
  <c r="FR46" i="7" a="1"/>
  <c r="FP22" i="7" a="1"/>
  <c r="FR22" i="7" a="1"/>
  <c r="FJ49" i="7" a="1"/>
  <c r="FS17" i="7" a="1"/>
  <c r="FL32" i="7" a="1"/>
  <c r="FQ38" i="7" a="1"/>
  <c r="FO48" i="7" a="1"/>
  <c r="FO24" i="7" a="1"/>
  <c r="FS30" i="7" a="1"/>
  <c r="FK43" i="7" a="1"/>
  <c r="FQ39" i="7" a="1"/>
  <c r="FK27" i="7" a="1"/>
  <c r="FL21" i="7" a="1"/>
  <c r="FP21" i="7" a="1"/>
  <c r="FP18" i="7" a="1"/>
  <c r="FP14" i="7" a="1"/>
  <c r="FJ31" i="7" a="1"/>
  <c r="FS28" i="7" a="1"/>
  <c r="FN23" i="7" a="1"/>
  <c r="FR16" i="7" a="1"/>
  <c r="FO36" i="7" a="1"/>
  <c r="FR35" i="7" a="1"/>
  <c r="FO29" i="7" a="1"/>
  <c r="FS29" i="7" a="1"/>
  <c r="FN37" i="7" a="1"/>
  <c r="FJ19" i="7" a="1"/>
  <c r="FR15" i="7" a="1"/>
  <c r="FR18" i="7" a="1"/>
  <c r="FP31" i="7" a="1"/>
  <c r="FO23" i="7" a="1"/>
  <c r="FN16" i="7" a="1"/>
  <c r="FS35" i="7" a="1"/>
  <c r="FJ33" i="7" a="1"/>
  <c r="FL19" i="7" a="1"/>
  <c r="FS47" i="7" a="1"/>
  <c r="FJ45" i="7" a="1"/>
  <c r="FK47" i="7" a="1"/>
  <c r="FQ14" i="7" a="1"/>
  <c r="FL29" i="7" a="1"/>
  <c r="FL15" i="7" a="1"/>
  <c r="FQ26" i="7" a="1"/>
  <c r="FN32" i="7" a="1"/>
  <c r="FO34" i="7" a="1"/>
  <c r="FQ28" i="7" a="1"/>
  <c r="FJ41" i="7" a="1"/>
  <c r="FK15" i="7" a="1"/>
  <c r="FJ42" i="7" a="1"/>
  <c r="FP46" i="7" a="1"/>
  <c r="FQ22" i="7" a="1"/>
  <c r="FO49" i="7" a="1"/>
  <c r="FL49" i="7" a="1"/>
  <c r="FP17" i="7" a="1"/>
  <c r="FO32" i="7" a="1"/>
  <c r="FJ38" i="7" a="1"/>
  <c r="FK48" i="7" a="1"/>
  <c r="FR24" i="7" a="1"/>
  <c r="FO30" i="7" a="1"/>
  <c r="FJ43" i="7" a="1"/>
  <c r="FK39" i="7" a="1"/>
  <c r="FN27" i="7" a="1"/>
  <c r="FN21" i="7" a="1"/>
  <c r="FJ18" i="7" a="1"/>
  <c r="FL14" i="7" a="1"/>
  <c r="FO28" i="7" a="1"/>
  <c r="FN36" i="7" a="1"/>
  <c r="FP29" i="7" a="1"/>
  <c r="FJ37" i="7" a="1"/>
  <c r="FQ15" i="7" a="1"/>
  <c r="FL26" i="7" a="1"/>
  <c r="FO21" i="7" a="1"/>
  <c r="FP23" i="7" a="1"/>
  <c r="FP19" i="7" a="1"/>
  <c r="FJ26" i="7" a="1"/>
  <c r="FL46" i="7" a="1"/>
  <c r="FK49" i="7" a="1"/>
  <c r="FQ30" i="7" a="1"/>
  <c r="FN18" i="7" a="1"/>
  <c r="FK16" i="7" a="1"/>
  <c r="FK37" i="7" a="1"/>
  <c r="FJ20" i="7" a="1"/>
  <c r="FS42" i="7" a="1"/>
  <c r="FO46" i="7" a="1"/>
  <c r="FJ22" i="7" a="1"/>
  <c r="FR49" i="7" a="1"/>
  <c r="FN17" i="7" a="1"/>
  <c r="FR17" i="7" a="1"/>
  <c r="FS32" i="7" a="1"/>
  <c r="FP38" i="7" a="1"/>
  <c r="FP48" i="7" a="1"/>
  <c r="FQ24" i="7" a="1"/>
  <c r="FK30" i="7" a="1"/>
  <c r="FL43" i="7" a="1"/>
  <c r="FS39" i="7" a="1"/>
  <c r="FO27" i="7" a="1"/>
  <c r="FR21" i="7" a="1"/>
  <c r="FO18" i="7" a="1"/>
  <c r="FO14" i="7" a="1"/>
  <c r="FL31" i="7" a="1"/>
  <c r="FN28" i="7" a="1"/>
  <c r="FS23" i="7" a="1"/>
  <c r="FJ16" i="7" a="1"/>
  <c r="FP36" i="7" a="1"/>
  <c r="FO35" i="7" a="1"/>
  <c r="FJ29" i="7" a="1"/>
  <c r="FL33" i="7" a="1"/>
  <c r="FN19" i="7" a="1"/>
  <c r="FO19" i="7" a="1"/>
  <c r="FS33" i="7" a="1"/>
  <c r="FL47" i="7" a="1"/>
  <c r="FP47" i="7" a="1"/>
  <c r="FR47" i="7" a="1"/>
  <c r="FP28" i="7" a="1"/>
  <c r="FK35" i="7" a="1"/>
  <c r="FP15" i="7" a="1"/>
  <c r="FP42" i="7" a="1"/>
  <c r="FK17" i="7" a="1"/>
  <c r="FS43" i="7" a="1"/>
  <c r="FS25" i="7" a="1"/>
  <c r="FR44" i="7" a="1"/>
  <c r="FR19" i="7" a="1"/>
  <c r="FQ20" i="7" a="1"/>
  <c r="FN34" i="7" a="1"/>
  <c r="FS40" i="7" a="1"/>
  <c r="FO41" i="7" a="1"/>
  <c r="FR42" i="7" a="1"/>
  <c r="FQ46" i="7" a="1"/>
  <c r="FO22" i="7" a="1"/>
  <c r="FP49" i="7" a="1"/>
  <c r="FO17" i="7" a="1"/>
  <c r="FQ32" i="7" a="1"/>
  <c r="FJ32" i="7" a="1"/>
  <c r="FJ48" i="7" a="1"/>
  <c r="FS48" i="7" a="1"/>
  <c r="FS24" i="7" a="1"/>
  <c r="FP30" i="7" a="1"/>
  <c r="FR43" i="7" a="1"/>
  <c r="FR39" i="7" a="1"/>
  <c r="FR27" i="7" a="1"/>
  <c r="FJ21" i="7" a="1"/>
  <c r="FL18" i="7" a="1"/>
  <c r="FK14" i="7" a="1"/>
  <c r="FR14" i="7" a="1"/>
  <c r="FO31" i="7" a="1"/>
  <c r="FJ28" i="7" a="1"/>
  <c r="FJ23" i="7" a="1"/>
  <c r="FK36" i="7" a="1"/>
  <c r="FL35" i="7" a="1"/>
  <c r="FQ29" i="7" a="1"/>
  <c r="FS19" i="7" a="1"/>
  <c r="FN47" i="7" a="1"/>
  <c r="FJ47" i="7" a="1"/>
  <c r="FS18" i="7" a="1"/>
  <c r="FL36" i="7" a="1"/>
  <c r="FQ47" i="7" a="1"/>
  <c r="FS26" i="7" a="1"/>
  <c r="FK13" i="7" a="1"/>
  <c r="FN48" i="7" a="1"/>
  <c r="FN39" i="7" a="1"/>
  <c r="FN14" i="7" a="1"/>
  <c r="FQ36" i="7" a="1"/>
  <c r="FP26" i="7" a="1"/>
  <c r="FO42" i="7" a="1"/>
  <c r="FK42" i="7" a="1"/>
  <c r="FS46" i="7" a="1"/>
  <c r="FS22" i="7" a="1"/>
  <c r="FS49" i="7" a="1"/>
  <c r="FJ17" i="7" a="1"/>
  <c r="FK32" i="7" a="1"/>
  <c r="FS38" i="7" a="1"/>
  <c r="FL48" i="7" a="1"/>
  <c r="FP24" i="7" a="1"/>
  <c r="FK24" i="7" a="1"/>
  <c r="FN30" i="7" a="1"/>
  <c r="FQ43" i="7" a="1"/>
  <c r="FP39" i="7" a="1"/>
  <c r="FQ27" i="7" a="1"/>
  <c r="FS21" i="7" a="1"/>
  <c r="FK18" i="7" a="1"/>
  <c r="FS14" i="7" a="1"/>
  <c r="FQ31" i="7" a="1"/>
  <c r="FK31" i="7" a="1"/>
  <c r="FL28" i="7" a="1"/>
  <c r="FL23" i="7" a="1"/>
  <c r="FJ36" i="7" a="1"/>
  <c r="FR36" i="7" a="1"/>
  <c r="FP35" i="7" a="1"/>
  <c r="FR29" i="7" a="1"/>
  <c r="FR33" i="7" a="1"/>
  <c r="FQ19" i="7" a="1"/>
  <c r="FO47" i="7" a="1"/>
  <c r="FR45" i="7" a="1"/>
  <c r="FQ45" i="7" a="1"/>
  <c r="FO45" i="7" a="1"/>
  <c r="FP45" i="7" a="1"/>
  <c r="FK45" i="7" a="1"/>
  <c r="FL45" i="7" a="1"/>
  <c r="FL39" i="7" a="1"/>
  <c r="FS31" i="7" a="1"/>
  <c r="FQ35" i="7" a="1"/>
  <c r="FS45" i="7" a="1"/>
  <c r="FK26" i="7" a="1"/>
  <c r="FK22" i="7" a="1"/>
  <c r="FN24" i="7" a="1"/>
  <c r="FQ21" i="7" a="1"/>
  <c r="FK23" i="7" a="1"/>
  <c r="FK29" i="7" a="1"/>
  <c r="FO15" i="7" a="1"/>
  <c r="FN33" i="7" a="1"/>
  <c r="FQ42" i="7" a="1"/>
  <c r="FN15" i="7" a="1"/>
  <c r="FJ46" i="7" a="1"/>
  <c r="FL22" i="7" a="1"/>
  <c r="FQ49" i="7" a="1"/>
  <c r="FL17" i="7" a="1"/>
  <c r="FP32" i="7" a="1"/>
  <c r="FO38" i="7" a="1"/>
  <c r="FQ48" i="7" a="1"/>
  <c r="FJ24" i="7" a="1"/>
  <c r="FJ30" i="7" a="1"/>
  <c r="FL30" i="7" a="1"/>
  <c r="FN43" i="7" a="1"/>
  <c r="FJ39" i="7" a="1"/>
  <c r="FP27" i="7" a="1"/>
  <c r="FK28" i="7" a="1"/>
  <c r="FP33" i="7" a="1"/>
  <c r="FS15" i="7" a="1"/>
  <c r="FR38" i="7" a="1"/>
  <c r="FP16" i="7" a="1"/>
  <c r="FS37" i="7" a="1"/>
  <c r="FL42" i="7" a="1"/>
  <c r="FN46" i="7" a="1"/>
  <c r="FK46" i="7" a="1"/>
  <c r="FN22" i="7" a="1"/>
  <c r="FN49" i="7" a="1"/>
  <c r="FQ17" i="7" a="1"/>
  <c r="FR32" i="7" a="1"/>
  <c r="FL38" i="7" a="1"/>
  <c r="FR48" i="7" a="1"/>
  <c r="FL24" i="7" a="1"/>
  <c r="FR30" i="7" a="1"/>
  <c r="FO43" i="7" a="1"/>
  <c r="FP43" i="7" a="1"/>
  <c r="FO39" i="7" a="1"/>
  <c r="FJ27" i="7" a="1"/>
  <c r="FS27" i="7" a="1"/>
  <c r="FK21" i="7" a="1"/>
  <c r="FQ18" i="7" a="1"/>
  <c r="FJ14" i="7" a="1"/>
  <c r="FR31" i="7" a="1"/>
  <c r="FR28" i="7" a="1"/>
  <c r="FQ23" i="7" a="1"/>
  <c r="FR23" i="7" a="1"/>
  <c r="FS36" i="7" a="1"/>
  <c r="FN35" i="7" a="1"/>
  <c r="FN41" i="7" a="1"/>
  <c r="FN29" i="7" a="1"/>
  <c r="FK33" i="7" a="1"/>
  <c r="FK19" i="7" a="1"/>
  <c r="FN45" i="7" a="1"/>
  <c r="FJ15" i="7" a="1"/>
  <c r="FO26" i="7" a="1"/>
  <c r="FR26" i="7" a="1"/>
  <c r="FJ13" i="7" a="1"/>
  <c r="FN38" i="7" a="1"/>
  <c r="FL27" i="7" a="1"/>
  <c r="FN31" i="7" a="1"/>
  <c r="FJ35" i="7" a="1"/>
  <c r="FN26" i="7" a="1"/>
  <c r="FN20" i="7" a="1"/>
  <c r="FO13" i="7" a="1"/>
  <c r="FN44" i="7" a="1"/>
  <c r="FK25" i="7" a="1"/>
  <c r="FO3" i="7" a="1"/>
  <c r="FP8" i="7" a="1"/>
  <c r="FQ3" i="7" a="1"/>
  <c r="FN12" i="7" a="1"/>
  <c r="FK6" i="7" a="1"/>
  <c r="FS12" i="7" a="1"/>
  <c r="FS4" i="7" a="1"/>
  <c r="FQ11" i="7" a="1"/>
  <c r="FJ3" i="7" a="1"/>
  <c r="FP12" i="7" a="1"/>
  <c r="FN6" i="7" a="1"/>
  <c r="FK7" i="7" a="1"/>
  <c r="FQ4" i="7" a="1"/>
  <c r="FS11" i="7" a="1"/>
  <c r="FR1" i="7" a="1"/>
  <c r="FQ5" i="7" a="1"/>
  <c r="FP3" i="7" a="1"/>
  <c r="FR6" i="7" a="1"/>
  <c r="FL4" i="7" a="1"/>
  <c r="FP11" i="7" a="1"/>
  <c r="FS10" i="7" a="1"/>
  <c r="FL3" i="7" a="1"/>
  <c r="FK12" i="7" a="1"/>
  <c r="FJ6" i="7" a="1"/>
  <c r="FO7" i="7" a="1"/>
  <c r="FR4" i="7" a="1"/>
  <c r="FK11" i="7" a="1"/>
  <c r="FS1" i="7" a="1"/>
  <c r="FN5" i="7" a="1"/>
  <c r="FS8" i="7" a="1"/>
  <c r="FO8" i="7" a="1"/>
  <c r="FR3" i="7" a="1"/>
  <c r="FJ12" i="7" a="1"/>
  <c r="FQ6" i="7" a="1"/>
  <c r="FR7" i="7" a="1"/>
  <c r="FN4" i="7" a="1"/>
  <c r="FJ11" i="7" a="1"/>
  <c r="FL10" i="7" a="1"/>
  <c r="FQ10" i="7" a="1"/>
  <c r="FL1" i="7" a="1"/>
  <c r="FO5" i="7" a="1"/>
  <c r="FK3" i="7" a="1"/>
  <c r="FR12" i="7" a="1"/>
  <c r="FS6" i="7" a="1"/>
  <c r="FP7" i="7" a="1"/>
  <c r="FK4" i="7" a="1"/>
  <c r="FR11" i="7" a="1"/>
  <c r="FR10" i="7" a="1"/>
  <c r="FR5" i="7" a="1"/>
  <c r="FL8" i="7" a="1"/>
  <c r="FK8" i="7" a="1"/>
  <c r="FQ1" i="7" a="1"/>
  <c r="FJ8" i="7" a="1"/>
  <c r="FQ12" i="7" a="1"/>
  <c r="FP5" i="7" a="1"/>
  <c r="FN3" i="7" a="1"/>
  <c r="FL12" i="7" a="1"/>
  <c r="FO6" i="7" a="1"/>
  <c r="FL6" i="7" a="1"/>
  <c r="FJ7" i="7" a="1"/>
  <c r="FO4" i="7" a="1"/>
  <c r="FL11" i="7" a="1"/>
  <c r="FO10" i="7" a="1"/>
  <c r="FK1" i="7" a="1"/>
  <c r="FK5" i="7" a="1"/>
  <c r="FR8" i="7" a="1"/>
  <c r="FS3" i="7" a="1"/>
  <c r="FO12" i="7" a="1"/>
  <c r="FP6" i="7" a="1"/>
  <c r="FL7" i="7" a="1"/>
  <c r="FJ4" i="7" a="1"/>
  <c r="FO11" i="7" a="1"/>
  <c r="FN10" i="7" a="1"/>
  <c r="FJ1" i="7" a="1"/>
  <c r="FJ5" i="7" a="1"/>
  <c r="FL5" i="7" a="1"/>
  <c r="FN7" i="7" a="1"/>
  <c r="FS7" i="7" a="1"/>
  <c r="FP4" i="7" a="1"/>
  <c r="FN11" i="7" a="1"/>
  <c r="FP10" i="7" a="1"/>
  <c r="FP1" i="7" a="1"/>
  <c r="FN1" i="7" a="1"/>
  <c r="FS5" i="7" a="1"/>
  <c r="FN8" i="7" a="1"/>
  <c r="FQ8" i="7" a="1"/>
  <c r="FQ7" i="7" a="1"/>
  <c r="FQ9" i="7" a="1"/>
  <c r="FO1" i="7" a="1"/>
  <c r="FQ2" i="7" a="1"/>
  <c r="FO9" i="7" a="1"/>
  <c r="FK10" i="7" a="1"/>
  <c r="FN94" i="7" l="1" a="1"/>
  <c r="FN94" i="7" s="1"/>
  <c r="FR94" i="7" a="1"/>
  <c r="FR94" i="7" s="1"/>
  <c r="FR97" i="7" a="1"/>
  <c r="FR97" i="7" s="1"/>
  <c r="FK106" i="7" a="1"/>
  <c r="FK106" i="7" s="1"/>
  <c r="FL106" i="7" a="1"/>
  <c r="FL106" i="7" s="1"/>
  <c r="FR106" i="7" a="1"/>
  <c r="FR106" i="7" s="1"/>
  <c r="FS97" i="7" a="1"/>
  <c r="FS97" i="7" s="1"/>
  <c r="FP106" i="7" a="1"/>
  <c r="FP106" i="7" s="1"/>
  <c r="FN106" i="7" a="1"/>
  <c r="FN106" i="7" s="1"/>
  <c r="FO106" i="7" a="1"/>
  <c r="FO106" i="7" s="1"/>
  <c r="FQ106" i="7" a="1"/>
  <c r="FQ106" i="7" s="1"/>
  <c r="FM106" i="7" a="1"/>
  <c r="FM106" i="7" s="1"/>
  <c r="FJ106" i="7" a="1"/>
  <c r="FJ106" i="7" s="1"/>
  <c r="FJ76" i="7" a="1"/>
  <c r="FJ76" i="7" s="1"/>
  <c r="FR68" i="7" a="1"/>
  <c r="FR68" i="7" s="1"/>
  <c r="FO70" i="7" a="1"/>
  <c r="FO70" i="7" s="1"/>
  <c r="FN70" i="7" a="1"/>
  <c r="FN70" i="7" s="1"/>
  <c r="FM76" i="7" a="1"/>
  <c r="FM76" i="7" s="1"/>
  <c r="FS70" i="7" a="1"/>
  <c r="FS70" i="7" s="1"/>
  <c r="FO68" i="7" a="1"/>
  <c r="FO68" i="7" s="1"/>
  <c r="FL70" i="7" a="1"/>
  <c r="FL70" i="7" s="1"/>
  <c r="FR76" i="7" a="1"/>
  <c r="FR76" i="7" s="1"/>
  <c r="FJ70" i="7" a="1"/>
  <c r="FJ70" i="7" s="1"/>
  <c r="FJ68" i="7" a="1"/>
  <c r="FJ68" i="7" s="1"/>
  <c r="FM70" i="7" a="1"/>
  <c r="FM70" i="7" s="1"/>
  <c r="FL76" i="7" a="1"/>
  <c r="FL76" i="7" s="1"/>
  <c r="FK68" i="7" a="1"/>
  <c r="FK68" i="7" s="1"/>
  <c r="FN68" i="7" a="1"/>
  <c r="FN68" i="7" s="1"/>
  <c r="FP76" i="7" a="1"/>
  <c r="FP76" i="7" s="1"/>
  <c r="FL68" i="7" a="1"/>
  <c r="FL68" i="7" s="1"/>
  <c r="FP70" i="7" a="1"/>
  <c r="FP70" i="7" s="1"/>
  <c r="FK76" i="7" a="1"/>
  <c r="FK76" i="7" s="1"/>
  <c r="FM68" i="7" a="1"/>
  <c r="FM68" i="7" s="1"/>
  <c r="FK70" i="7" a="1"/>
  <c r="FK70" i="7" s="1"/>
  <c r="FS76" i="7" a="1"/>
  <c r="FS76" i="7" s="1"/>
  <c r="FO76" i="7" a="1"/>
  <c r="FO76" i="7" s="1"/>
  <c r="FQ68" i="7" a="1"/>
  <c r="FQ68" i="7" s="1"/>
  <c r="FQ70" i="7" a="1"/>
  <c r="FQ70" i="7" s="1"/>
  <c r="FN76" i="7" a="1"/>
  <c r="FN76" i="7" s="1"/>
  <c r="FS68" i="7" a="1"/>
  <c r="FS68" i="7" s="1"/>
  <c r="FQ94" i="7" a="1"/>
  <c r="FQ94" i="7" s="1"/>
  <c r="FQ81" i="7" a="1"/>
  <c r="FQ81" i="7" s="1"/>
  <c r="FN120" i="7" a="1"/>
  <c r="FN120" i="7" s="1"/>
  <c r="FN92" i="7" a="1"/>
  <c r="FN92" i="7" s="1"/>
  <c r="FP81" i="7" a="1"/>
  <c r="FP81" i="7" s="1"/>
  <c r="FQ120" i="7" a="1"/>
  <c r="FQ120" i="7" s="1"/>
  <c r="FN60" i="7" a="1"/>
  <c r="FN60" i="7" s="1"/>
  <c r="FR81" i="7" a="1"/>
  <c r="FR81" i="7" s="1"/>
  <c r="FJ60" i="7" a="1"/>
  <c r="FJ60" i="7" s="1"/>
  <c r="FO60" i="7" a="1"/>
  <c r="FO60" i="7" s="1"/>
  <c r="FK61" i="7" a="1"/>
  <c r="FK61" i="7" s="1"/>
  <c r="FM94" i="7" a="1"/>
  <c r="FM94" i="7" s="1"/>
  <c r="FJ94" i="7" a="1"/>
  <c r="FJ94" i="7" s="1"/>
  <c r="FL94" i="7" a="1"/>
  <c r="FL94" i="7" s="1"/>
  <c r="FP94" i="7" a="1"/>
  <c r="FP94" i="7" s="1"/>
  <c r="FO94" i="7" a="1"/>
  <c r="FO94" i="7" s="1"/>
  <c r="FP97" i="7" a="1"/>
  <c r="FP97" i="7" s="1"/>
  <c r="FQ97" i="7" a="1"/>
  <c r="FQ97" i="7" s="1"/>
  <c r="FJ97" i="7" a="1"/>
  <c r="FJ97" i="7" s="1"/>
  <c r="FK97" i="7" a="1"/>
  <c r="FK97" i="7" s="1"/>
  <c r="FL66" i="7" a="1"/>
  <c r="FL66" i="7" s="1"/>
  <c r="FS89" i="7" a="1"/>
  <c r="FS89" i="7" s="1"/>
  <c r="FO97" i="7" a="1"/>
  <c r="FO97" i="7" s="1"/>
  <c r="FK57" i="7" a="1"/>
  <c r="FK57" i="7" s="1"/>
  <c r="FL97" i="7" a="1"/>
  <c r="FL97" i="7" s="1"/>
  <c r="FN97" i="7" a="1"/>
  <c r="FN97" i="7" s="1"/>
  <c r="FO95" i="7" a="1"/>
  <c r="FO95" i="7" s="1"/>
  <c r="FQ61" i="7" a="1"/>
  <c r="FQ61" i="7" s="1"/>
  <c r="FQ104" i="7" a="1"/>
  <c r="FQ104" i="7" s="1"/>
  <c r="FO107" i="7" a="1"/>
  <c r="FO107" i="7" s="1"/>
  <c r="FO117" i="7" a="1"/>
  <c r="FO117" i="7" s="1"/>
  <c r="FM117" i="7" a="1"/>
  <c r="FM117" i="7" s="1"/>
  <c r="FJ117" i="7" a="1"/>
  <c r="FJ117" i="7" s="1"/>
  <c r="FO115" i="7" a="1"/>
  <c r="FO115" i="7" s="1"/>
  <c r="FM115" i="7" a="1"/>
  <c r="FM115" i="7" s="1"/>
  <c r="FP115" i="7" a="1"/>
  <c r="FP115" i="7" s="1"/>
  <c r="FJ88" i="7" a="1"/>
  <c r="FJ88" i="7" s="1"/>
  <c r="FR88" i="7" a="1"/>
  <c r="FR88" i="7" s="1"/>
  <c r="FS85" i="7" a="1"/>
  <c r="FS85" i="7" s="1"/>
  <c r="FK88" i="7" a="1"/>
  <c r="FK88" i="7" s="1"/>
  <c r="FL88" i="7" a="1"/>
  <c r="FL88" i="7" s="1"/>
  <c r="FN88" i="7" a="1"/>
  <c r="FN88" i="7" s="1"/>
  <c r="FO88" i="7" a="1"/>
  <c r="FO88" i="7" s="1"/>
  <c r="FL115" i="7" a="1"/>
  <c r="FL115" i="7" s="1"/>
  <c r="FP65" i="7" a="1"/>
  <c r="FP65" i="7" s="1"/>
  <c r="FR115" i="7" a="1"/>
  <c r="FR115" i="7" s="1"/>
  <c r="FK115" i="7" a="1"/>
  <c r="FK115" i="7" s="1"/>
  <c r="FJ115" i="7" a="1"/>
  <c r="FJ115" i="7" s="1"/>
  <c r="FN115" i="7" a="1"/>
  <c r="FN115" i="7" s="1"/>
  <c r="FS115" i="7" a="1"/>
  <c r="FS115" i="7" s="1"/>
  <c r="FQ88" i="7" a="1"/>
  <c r="FQ88" i="7" s="1"/>
  <c r="FS88" i="7" a="1"/>
  <c r="FS88" i="7" s="1"/>
  <c r="FP88" i="7" a="1"/>
  <c r="FP88" i="7" s="1"/>
  <c r="FN72" i="7" a="1"/>
  <c r="FN72" i="7" s="1"/>
  <c r="FK100" i="7" a="1"/>
  <c r="FK100" i="7" s="1"/>
  <c r="FL54" i="7"/>
  <c r="FS72" i="7" a="1"/>
  <c r="FS72" i="7" s="1"/>
  <c r="FO53" i="7"/>
  <c r="FR53" i="7"/>
  <c r="FN53" i="7"/>
  <c r="FL53" i="7"/>
  <c r="FS53" i="7"/>
  <c r="FQ53" i="7"/>
  <c r="FP53" i="7"/>
  <c r="FK52" i="7"/>
  <c r="FL104" i="7" a="1"/>
  <c r="FL104" i="7" s="1"/>
  <c r="FS116" i="7" a="1"/>
  <c r="FS116" i="7" s="1"/>
  <c r="FK80" i="7" a="1"/>
  <c r="FK80" i="7" s="1"/>
  <c r="FR93" i="7" a="1"/>
  <c r="FR93" i="7" s="1"/>
  <c r="FS101" i="7" a="1"/>
  <c r="FS101" i="7" s="1"/>
  <c r="FO71" i="7" a="1"/>
  <c r="FO71" i="7" s="1"/>
  <c r="FR114" i="7" a="1"/>
  <c r="FR114" i="7" s="1"/>
  <c r="FN101" i="7" a="1"/>
  <c r="FN101" i="7" s="1"/>
  <c r="FR77" i="7" a="1"/>
  <c r="FR77" i="7" s="1"/>
  <c r="FO100" i="7" a="1"/>
  <c r="FO100" i="7" s="1"/>
  <c r="FJ80" i="7" a="1"/>
  <c r="FJ80" i="7" s="1"/>
  <c r="FK64" i="7" a="1"/>
  <c r="FK64" i="7" s="1"/>
  <c r="FO72" i="7" a="1"/>
  <c r="FO72" i="7" s="1"/>
  <c r="FN102" i="7" a="1"/>
  <c r="FN102" i="7" s="1"/>
  <c r="FP64" i="7" a="1"/>
  <c r="FP64" i="7" s="1"/>
  <c r="FS80" i="7" a="1"/>
  <c r="FS80" i="7" s="1"/>
  <c r="FR101" i="7" a="1"/>
  <c r="FR101" i="7" s="1"/>
  <c r="FK116" i="7" a="1"/>
  <c r="FK116" i="7" s="1"/>
  <c r="FQ77" i="7" a="1"/>
  <c r="FQ77" i="7" s="1"/>
  <c r="FR73" i="7" a="1"/>
  <c r="FR73" i="7" s="1"/>
  <c r="FJ102" i="7" a="1"/>
  <c r="FJ102" i="7" s="1"/>
  <c r="FR116" i="7" a="1"/>
  <c r="FR116" i="7" s="1"/>
  <c r="FN121" i="7" a="1"/>
  <c r="FN121" i="7" s="1"/>
  <c r="FR98" i="7" a="1"/>
  <c r="FR98" i="7" s="1"/>
  <c r="FL73" i="7" a="1"/>
  <c r="FL73" i="7" s="1"/>
  <c r="FM73" i="7" a="1"/>
  <c r="FM73" i="7" s="1"/>
  <c r="FQ114" i="7" a="1"/>
  <c r="FQ114" i="7" s="1"/>
  <c r="FM114" i="7" a="1"/>
  <c r="FM114" i="7" s="1"/>
  <c r="FK93" i="7" a="1"/>
  <c r="FK93" i="7" s="1"/>
  <c r="FP73" i="7" a="1"/>
  <c r="FP73" i="7" s="1"/>
  <c r="FJ114" i="7" a="1"/>
  <c r="FJ114" i="7" s="1"/>
  <c r="FL100" i="7" a="1"/>
  <c r="FL100" i="7" s="1"/>
  <c r="FL80" i="7" a="1"/>
  <c r="FL80" i="7" s="1"/>
  <c r="FQ102" i="7" a="1"/>
  <c r="FQ102" i="7" s="1"/>
  <c r="FQ101" i="7" a="1"/>
  <c r="FQ101" i="7" s="1"/>
  <c r="FL116" i="7" a="1"/>
  <c r="FL116" i="7" s="1"/>
  <c r="FM116" i="7" a="1"/>
  <c r="FM116" i="7" s="1"/>
  <c r="FQ100" i="7" a="1"/>
  <c r="FQ100" i="7" s="1"/>
  <c r="FQ80" i="7" a="1"/>
  <c r="FQ80" i="7" s="1"/>
  <c r="FQ64" i="7" a="1"/>
  <c r="FQ64" i="7" s="1"/>
  <c r="FK102" i="7" a="1"/>
  <c r="FK102" i="7" s="1"/>
  <c r="FN100" i="7" a="1"/>
  <c r="FN100" i="7" s="1"/>
  <c r="FJ100" i="7" a="1"/>
  <c r="FJ100" i="7" s="1"/>
  <c r="FN64" i="7" a="1"/>
  <c r="FN64" i="7" s="1"/>
  <c r="FS102" i="7" a="1"/>
  <c r="FS102" i="7" s="1"/>
  <c r="FK72" i="7" a="1"/>
  <c r="FK72" i="7" s="1"/>
  <c r="FP100" i="7" a="1"/>
  <c r="FP100" i="7" s="1"/>
  <c r="FL64" i="7" a="1"/>
  <c r="FL64" i="7" s="1"/>
  <c r="FP101" i="7" a="1"/>
  <c r="FP101" i="7" s="1"/>
  <c r="FP102" i="7" a="1"/>
  <c r="FP102" i="7" s="1"/>
  <c r="FP116" i="7" a="1"/>
  <c r="FP116" i="7" s="1"/>
  <c r="FN80" i="7" a="1"/>
  <c r="FN80" i="7" s="1"/>
  <c r="FM102" i="7" a="1"/>
  <c r="FM102" i="7" s="1"/>
  <c r="FM72" i="7" a="1"/>
  <c r="FM72" i="7" s="1"/>
  <c r="FJ116" i="7" a="1"/>
  <c r="FJ116" i="7" s="1"/>
  <c r="FJ64" i="7" a="1"/>
  <c r="FJ64" i="7" s="1"/>
  <c r="FS64" i="7" a="1"/>
  <c r="FS64" i="7" s="1"/>
  <c r="FS100" i="7" a="1"/>
  <c r="FS100" i="7" s="1"/>
  <c r="FR80" i="7" a="1"/>
  <c r="FR80" i="7" s="1"/>
  <c r="FO80" i="7" a="1"/>
  <c r="FO80" i="7" s="1"/>
  <c r="FR102" i="7" a="1"/>
  <c r="FR102" i="7" s="1"/>
  <c r="FL72" i="7" a="1"/>
  <c r="FL72" i="7" s="1"/>
  <c r="FJ72" i="7" a="1"/>
  <c r="FJ72" i="7" s="1"/>
  <c r="FN116" i="7" a="1"/>
  <c r="FN116" i="7" s="1"/>
  <c r="FR100" i="7" a="1"/>
  <c r="FR100" i="7" s="1"/>
  <c r="FM80" i="7" a="1"/>
  <c r="FM80" i="7" s="1"/>
  <c r="FM64" i="7" a="1"/>
  <c r="FM64" i="7" s="1"/>
  <c r="FR64" i="7" a="1"/>
  <c r="FR64" i="7" s="1"/>
  <c r="FL102" i="7" a="1"/>
  <c r="FL102" i="7" s="1"/>
  <c r="FR72" i="7" a="1"/>
  <c r="FR72" i="7" s="1"/>
  <c r="FP72" i="7" a="1"/>
  <c r="FP72" i="7" s="1"/>
  <c r="FQ116" i="7" a="1"/>
  <c r="FQ116" i="7" s="1"/>
  <c r="FM101" i="7" a="1"/>
  <c r="FM101" i="7" s="1"/>
  <c r="FK77" i="7" a="1"/>
  <c r="FK77" i="7" s="1"/>
  <c r="FJ77" i="7" a="1"/>
  <c r="FJ77" i="7" s="1"/>
  <c r="FJ101" i="7" a="1"/>
  <c r="FJ101" i="7" s="1"/>
  <c r="FP77" i="7" a="1"/>
  <c r="FP77" i="7" s="1"/>
  <c r="FS77" i="7" a="1"/>
  <c r="FS77" i="7" s="1"/>
  <c r="FO101" i="7" a="1"/>
  <c r="FO101" i="7" s="1"/>
  <c r="FO77" i="7" a="1"/>
  <c r="FO77" i="7" s="1"/>
  <c r="FL77" i="7" a="1"/>
  <c r="FL77" i="7" s="1"/>
  <c r="FK101" i="7" a="1"/>
  <c r="FK101" i="7" s="1"/>
  <c r="FM77" i="7" a="1"/>
  <c r="FM77" i="7" s="1"/>
  <c r="FL86" i="7" a="1"/>
  <c r="FL86" i="7" s="1"/>
  <c r="FK73" i="7" a="1"/>
  <c r="FK73" i="7" s="1"/>
  <c r="FN73" i="7" a="1"/>
  <c r="FN73" i="7" s="1"/>
  <c r="FK114" i="7" a="1"/>
  <c r="FK114" i="7" s="1"/>
  <c r="FQ73" i="7" a="1"/>
  <c r="FQ73" i="7" s="1"/>
  <c r="FS114" i="7" a="1"/>
  <c r="FS114" i="7" s="1"/>
  <c r="FP114" i="7" a="1"/>
  <c r="FP114" i="7" s="1"/>
  <c r="FS73" i="7" a="1"/>
  <c r="FS73" i="7" s="1"/>
  <c r="FK62" i="7" a="1"/>
  <c r="FK62" i="7" s="1"/>
  <c r="FO73" i="7" a="1"/>
  <c r="FO73" i="7" s="1"/>
  <c r="FN114" i="7" a="1"/>
  <c r="FN114" i="7" s="1"/>
  <c r="FL114" i="7" a="1"/>
  <c r="FL114" i="7" s="1"/>
  <c r="FQ62" i="7" a="1"/>
  <c r="FQ62" i="7" s="1"/>
  <c r="FK86" i="7" a="1"/>
  <c r="FK86" i="7" s="1"/>
  <c r="FO63" i="7" a="1"/>
  <c r="FO63" i="7" s="1"/>
  <c r="FR84" i="7" a="1"/>
  <c r="FR84" i="7" s="1"/>
  <c r="FJ84" i="7" a="1"/>
  <c r="FJ84" i="7" s="1"/>
  <c r="FS84" i="7" a="1"/>
  <c r="FS84" i="7" s="1"/>
  <c r="FN84" i="7" a="1"/>
  <c r="FN84" i="7" s="1"/>
  <c r="FR74" i="7" a="1"/>
  <c r="FR74" i="7" s="1"/>
  <c r="FK84" i="7" a="1"/>
  <c r="FK84" i="7" s="1"/>
  <c r="FK46" i="7"/>
  <c r="FJ46" i="7"/>
  <c r="FS46" i="7"/>
  <c r="FQ46" i="7"/>
  <c r="FO46" i="7"/>
  <c r="FP46" i="7"/>
  <c r="FR46" i="7"/>
  <c r="FL46" i="7"/>
  <c r="FN46" i="7"/>
  <c r="FN15" i="7"/>
  <c r="FK42" i="7"/>
  <c r="FR42" i="7"/>
  <c r="FS42" i="7"/>
  <c r="FJ42" i="7"/>
  <c r="FN42" i="7"/>
  <c r="FP42" i="7"/>
  <c r="FL42" i="7"/>
  <c r="FQ42" i="7"/>
  <c r="FO42" i="7"/>
  <c r="FS120" i="7" a="1"/>
  <c r="FS120" i="7" s="1"/>
  <c r="FQ118" i="7" a="1"/>
  <c r="FQ118" i="7" s="1"/>
  <c r="FS60" i="7" a="1"/>
  <c r="FS60" i="7" s="1"/>
  <c r="FR60" i="7" a="1"/>
  <c r="FR60" i="7" s="1"/>
  <c r="FN95" i="7" a="1"/>
  <c r="FN95" i="7" s="1"/>
  <c r="FS81" i="7" a="1"/>
  <c r="FS81" i="7" s="1"/>
  <c r="FM92" i="7" a="1"/>
  <c r="FM92" i="7" s="1"/>
  <c r="FK92" i="7" a="1"/>
  <c r="FK92" i="7" s="1"/>
  <c r="FQ71" i="7" a="1"/>
  <c r="FQ71" i="7" s="1"/>
  <c r="FP118" i="7" a="1"/>
  <c r="FP118" i="7" s="1"/>
  <c r="FO61" i="7" a="1"/>
  <c r="FO61" i="7" s="1"/>
  <c r="FM95" i="7" a="1"/>
  <c r="FM95" i="7" s="1"/>
  <c r="FN118" i="7" a="1"/>
  <c r="FN118" i="7" s="1"/>
  <c r="FK60" i="7" a="1"/>
  <c r="FK60" i="7" s="1"/>
  <c r="FQ95" i="7" a="1"/>
  <c r="FQ95" i="7" s="1"/>
  <c r="FR91" i="7" a="1"/>
  <c r="FR91" i="7" s="1"/>
  <c r="FP71" i="7" a="1"/>
  <c r="FP71" i="7" s="1"/>
  <c r="FM71" i="7" a="1"/>
  <c r="FM71" i="7" s="1"/>
  <c r="FK95" i="7" a="1"/>
  <c r="FK95" i="7" s="1"/>
  <c r="FO92" i="7" a="1"/>
  <c r="FO92" i="7" s="1"/>
  <c r="FL71" i="7" a="1"/>
  <c r="FL71" i="7" s="1"/>
  <c r="FO118" i="7" a="1"/>
  <c r="FO118" i="7" s="1"/>
  <c r="FP92" i="7" a="1"/>
  <c r="FP92" i="7" s="1"/>
  <c r="FS92" i="7" a="1"/>
  <c r="FS92" i="7" s="1"/>
  <c r="FS71" i="7" a="1"/>
  <c r="FS71" i="7" s="1"/>
  <c r="FJ95" i="7" a="1"/>
  <c r="FJ95" i="7" s="1"/>
  <c r="FR118" i="7" a="1"/>
  <c r="FR118" i="7" s="1"/>
  <c r="FM118" i="7" a="1"/>
  <c r="FM118" i="7" s="1"/>
  <c r="FS61" i="7" a="1"/>
  <c r="FS61" i="7" s="1"/>
  <c r="FP120" i="7" a="1"/>
  <c r="FP120" i="7" s="1"/>
  <c r="FO120" i="7" a="1"/>
  <c r="FO120" i="7" s="1"/>
  <c r="FL61" i="7" a="1"/>
  <c r="FL61" i="7" s="1"/>
  <c r="FN81" i="7" a="1"/>
  <c r="FN81" i="7" s="1"/>
  <c r="FJ120" i="7" a="1"/>
  <c r="FJ120" i="7" s="1"/>
  <c r="FK112" i="7" a="1"/>
  <c r="FK112" i="7" s="1"/>
  <c r="FN61" i="7" a="1"/>
  <c r="FN61" i="7" s="1"/>
  <c r="FL67" i="7" a="1"/>
  <c r="FL67" i="7" s="1"/>
  <c r="FP95" i="7" a="1"/>
  <c r="FP95" i="7" s="1"/>
  <c r="FL95" i="7" a="1"/>
  <c r="FL95" i="7" s="1"/>
  <c r="FR95" i="7" a="1"/>
  <c r="FR95" i="7" s="1"/>
  <c r="FR92" i="7" a="1"/>
  <c r="FR92" i="7" s="1"/>
  <c r="FK78" i="7" a="1"/>
  <c r="FK78" i="7" s="1"/>
  <c r="FK71" i="7" a="1"/>
  <c r="FK71" i="7" s="1"/>
  <c r="FJ85" i="7" a="1"/>
  <c r="FJ85" i="7" s="1"/>
  <c r="FL120" i="7" a="1"/>
  <c r="FL120" i="7" s="1"/>
  <c r="FM120" i="7" a="1"/>
  <c r="FM120" i="7" s="1"/>
  <c r="FP67" i="7" a="1"/>
  <c r="FP67" i="7" s="1"/>
  <c r="FQ60" i="7" a="1"/>
  <c r="FQ60" i="7" s="1"/>
  <c r="FP61" i="7" a="1"/>
  <c r="FP61" i="7" s="1"/>
  <c r="FL109" i="7" a="1"/>
  <c r="FL109" i="7" s="1"/>
  <c r="FJ81" i="7" a="1"/>
  <c r="FJ81" i="7" s="1"/>
  <c r="FK81" i="7" a="1"/>
  <c r="FK81" i="7" s="1"/>
  <c r="FL81" i="7" a="1"/>
  <c r="FL81" i="7" s="1"/>
  <c r="FP84" i="7" a="1"/>
  <c r="FP84" i="7" s="1"/>
  <c r="FM84" i="7" a="1"/>
  <c r="FM84" i="7" s="1"/>
  <c r="FQ92" i="7" a="1"/>
  <c r="FQ92" i="7" s="1"/>
  <c r="FJ71" i="7" a="1"/>
  <c r="FJ71" i="7" s="1"/>
  <c r="FR71" i="7" a="1"/>
  <c r="FR71" i="7" s="1"/>
  <c r="FL118" i="7" a="1"/>
  <c r="FL118" i="7" s="1"/>
  <c r="FK120" i="7" a="1"/>
  <c r="FK120" i="7" s="1"/>
  <c r="FJ112" i="7" a="1"/>
  <c r="FJ112" i="7" s="1"/>
  <c r="FM60" i="7" a="1"/>
  <c r="FM60" i="7" s="1"/>
  <c r="FP60" i="7" a="1"/>
  <c r="FP60" i="7" s="1"/>
  <c r="FM61" i="7" a="1"/>
  <c r="FM61" i="7" s="1"/>
  <c r="FO81" i="7" a="1"/>
  <c r="FO81" i="7" s="1"/>
  <c r="FM109" i="7" a="1"/>
  <c r="FM109" i="7" s="1"/>
  <c r="FL84" i="7" a="1"/>
  <c r="FL84" i="7" s="1"/>
  <c r="FO84" i="7" a="1"/>
  <c r="FO84" i="7" s="1"/>
  <c r="FK118" i="7" a="1"/>
  <c r="FK118" i="7" s="1"/>
  <c r="FS118" i="7" a="1"/>
  <c r="FS118" i="7" s="1"/>
  <c r="FL92" i="7" a="1"/>
  <c r="FL92" i="7" s="1"/>
  <c r="FM54" i="7" a="1"/>
  <c r="FM54" i="7" s="1"/>
  <c r="FP85" i="7" a="1"/>
  <c r="FP85" i="7" s="1"/>
  <c r="FJ61" i="7" a="1"/>
  <c r="FJ61" i="7" s="1"/>
  <c r="FR22" i="7"/>
  <c r="FK22" i="7"/>
  <c r="FN22" i="7"/>
  <c r="FL22" i="7"/>
  <c r="FS22" i="7"/>
  <c r="FO22" i="7"/>
  <c r="FJ22" i="7"/>
  <c r="FQ22" i="7"/>
  <c r="FP22" i="7"/>
  <c r="FK13" i="7"/>
  <c r="FO13" i="7"/>
  <c r="FJ13" i="7"/>
  <c r="FS3" i="7"/>
  <c r="FN3" i="7"/>
  <c r="FK3" i="7"/>
  <c r="FR3" i="7"/>
  <c r="FL3" i="7"/>
  <c r="FP3" i="7"/>
  <c r="FJ3" i="7"/>
  <c r="FQ3" i="7"/>
  <c r="FO3" i="7"/>
  <c r="FR57" i="7" a="1"/>
  <c r="FR57" i="7" s="1"/>
  <c r="FN66" i="7" a="1"/>
  <c r="FN66" i="7" s="1"/>
  <c r="FM105" i="7" a="1"/>
  <c r="FM105" i="7" s="1"/>
  <c r="FL56" i="7" a="1"/>
  <c r="FL56" i="7" s="1"/>
  <c r="FK98" i="7" a="1"/>
  <c r="FK98" i="7" s="1"/>
  <c r="FO89" i="7" a="1"/>
  <c r="FO89" i="7" s="1"/>
  <c r="FP89" i="7" a="1"/>
  <c r="FP89" i="7" s="1"/>
  <c r="FL79" i="7" a="1"/>
  <c r="FL79" i="7" s="1"/>
  <c r="FJ57" i="7" a="1"/>
  <c r="FJ57" i="7" s="1"/>
  <c r="FR105" i="7" a="1"/>
  <c r="FR105" i="7" s="1"/>
  <c r="FJ105" i="7" a="1"/>
  <c r="FJ105" i="7" s="1"/>
  <c r="FP56" i="7" a="1"/>
  <c r="FP56" i="7" s="1"/>
  <c r="FL89" i="7" a="1"/>
  <c r="FL89" i="7" s="1"/>
  <c r="FP79" i="7" a="1"/>
  <c r="FP79" i="7" s="1"/>
  <c r="FR56" i="7" a="1"/>
  <c r="FR56" i="7" s="1"/>
  <c r="FJ56" i="7" a="1"/>
  <c r="FJ56" i="7" s="1"/>
  <c r="FR89" i="7" a="1"/>
  <c r="FR89" i="7" s="1"/>
  <c r="FO57" i="7" a="1"/>
  <c r="FO57" i="7" s="1"/>
  <c r="FK66" i="7" a="1"/>
  <c r="FK66" i="7" s="1"/>
  <c r="FR66" i="7" a="1"/>
  <c r="FR66" i="7" s="1"/>
  <c r="FO56" i="7" a="1"/>
  <c r="FO56" i="7" s="1"/>
  <c r="FJ79" i="7" a="1"/>
  <c r="FJ79" i="7" s="1"/>
  <c r="FR79" i="7" a="1"/>
  <c r="FR79" i="7" s="1"/>
  <c r="FQ113" i="7" a="1"/>
  <c r="FQ113" i="7" s="1"/>
  <c r="FO113" i="7" a="1"/>
  <c r="FO113" i="7" s="1"/>
  <c r="FM56" i="7" a="1"/>
  <c r="FM56" i="7" s="1"/>
  <c r="FN56" i="7" a="1"/>
  <c r="FN56" i="7" s="1"/>
  <c r="FM98" i="7" a="1"/>
  <c r="FM98" i="7" s="1"/>
  <c r="FS57" i="7" a="1"/>
  <c r="FS57" i="7" s="1"/>
  <c r="FP66" i="7" a="1"/>
  <c r="FP66" i="7" s="1"/>
  <c r="FN98" i="7" a="1"/>
  <c r="FN98" i="7" s="1"/>
  <c r="FL57" i="7" a="1"/>
  <c r="FL57" i="7" s="1"/>
  <c r="FS105" i="7" a="1"/>
  <c r="FS105" i="7" s="1"/>
  <c r="FN79" i="7" a="1"/>
  <c r="FN79" i="7" s="1"/>
  <c r="FO79" i="7" a="1"/>
  <c r="FO79" i="7" s="1"/>
  <c r="FJ113" i="7" a="1"/>
  <c r="FJ113" i="7" s="1"/>
  <c r="FQ56" i="7" a="1"/>
  <c r="FQ56" i="7" s="1"/>
  <c r="FQ105" i="7" a="1"/>
  <c r="FQ105" i="7" s="1"/>
  <c r="FM57" i="7" a="1"/>
  <c r="FM57" i="7" s="1"/>
  <c r="FN57" i="7" a="1"/>
  <c r="FN57" i="7" s="1"/>
  <c r="FN105" i="7" a="1"/>
  <c r="FN105" i="7" s="1"/>
  <c r="FQ66" i="7" a="1"/>
  <c r="FQ66" i="7" s="1"/>
  <c r="FJ89" i="7" a="1"/>
  <c r="FJ89" i="7" s="1"/>
  <c r="FS79" i="7" a="1"/>
  <c r="FS79" i="7" s="1"/>
  <c r="FM79" i="7" a="1"/>
  <c r="FM79" i="7" s="1"/>
  <c r="FN113" i="7" a="1"/>
  <c r="FN113" i="7" s="1"/>
  <c r="FM113" i="7" a="1"/>
  <c r="FM113" i="7" s="1"/>
  <c r="FP113" i="7" a="1"/>
  <c r="FP113" i="7" s="1"/>
  <c r="FK56" i="7" a="1"/>
  <c r="FK56" i="7" s="1"/>
  <c r="FJ66" i="7" a="1"/>
  <c r="FJ66" i="7" s="1"/>
  <c r="FK113" i="7" a="1"/>
  <c r="FK113" i="7" s="1"/>
  <c r="FO98" i="7" a="1"/>
  <c r="FO98" i="7" s="1"/>
  <c r="FQ98" i="7" a="1"/>
  <c r="FQ98" i="7" s="1"/>
  <c r="FK79" i="7" a="1"/>
  <c r="FK79" i="7" s="1"/>
  <c r="FM89" i="7" a="1"/>
  <c r="FM89" i="7" s="1"/>
  <c r="FR113" i="7" a="1"/>
  <c r="FR113" i="7" s="1"/>
  <c r="FP57" i="7" a="1"/>
  <c r="FP57" i="7" s="1"/>
  <c r="FK105" i="7" a="1"/>
  <c r="FK105" i="7" s="1"/>
  <c r="FO105" i="7" a="1"/>
  <c r="FO105" i="7" s="1"/>
  <c r="FP105" i="7" a="1"/>
  <c r="FP105" i="7" s="1"/>
  <c r="FO66" i="7" a="1"/>
  <c r="FO66" i="7" s="1"/>
  <c r="FM66" i="7" a="1"/>
  <c r="FM66" i="7" s="1"/>
  <c r="FQ89" i="7" a="1"/>
  <c r="FQ89" i="7" s="1"/>
  <c r="FL113" i="7" a="1"/>
  <c r="FL113" i="7" s="1"/>
  <c r="FL98" i="7" a="1"/>
  <c r="FL98" i="7" s="1"/>
  <c r="FP98" i="7" a="1"/>
  <c r="FP98" i="7" s="1"/>
  <c r="FS98" i="7" a="1"/>
  <c r="FS98" i="7" s="1"/>
  <c r="FK89" i="7" a="1"/>
  <c r="FK89" i="7" s="1"/>
  <c r="FS12" i="7"/>
  <c r="FP12" i="7"/>
  <c r="FN12" i="7"/>
  <c r="FO12" i="7"/>
  <c r="FL12" i="7"/>
  <c r="FR12" i="7"/>
  <c r="FJ12" i="7"/>
  <c r="FK12" i="7"/>
  <c r="FQ12" i="7"/>
  <c r="FS96" i="7" a="1"/>
  <c r="FS96" i="7" s="1"/>
  <c r="FQ117" i="7" a="1"/>
  <c r="FQ117" i="7" s="1"/>
  <c r="FK107" i="7" a="1"/>
  <c r="FK107" i="7" s="1"/>
  <c r="FR107" i="7" a="1"/>
  <c r="FR107" i="7" s="1"/>
  <c r="FP96" i="7" a="1"/>
  <c r="FP96" i="7" s="1"/>
  <c r="FL117" i="7" a="1"/>
  <c r="FL117" i="7" s="1"/>
  <c r="FQ107" i="7" a="1"/>
  <c r="FQ107" i="7" s="1"/>
  <c r="FJ107" i="7" a="1"/>
  <c r="FJ107" i="7" s="1"/>
  <c r="FJ96" i="7" a="1"/>
  <c r="FJ96" i="7" s="1"/>
  <c r="FM96" i="7" a="1"/>
  <c r="FM96" i="7" s="1"/>
  <c r="FP117" i="7" a="1"/>
  <c r="FP117" i="7" s="1"/>
  <c r="FM107" i="7" a="1"/>
  <c r="FM107" i="7" s="1"/>
  <c r="FP107" i="7" a="1"/>
  <c r="FP107" i="7" s="1"/>
  <c r="FR117" i="7" a="1"/>
  <c r="FR117" i="7" s="1"/>
  <c r="FO96" i="7" a="1"/>
  <c r="FO96" i="7" s="1"/>
  <c r="FK96" i="7" a="1"/>
  <c r="FK96" i="7" s="1"/>
  <c r="FL96" i="7" a="1"/>
  <c r="FL96" i="7" s="1"/>
  <c r="FQ96" i="7" a="1"/>
  <c r="FQ96" i="7" s="1"/>
  <c r="FN107" i="7" a="1"/>
  <c r="FN107" i="7" s="1"/>
  <c r="FR96" i="7" a="1"/>
  <c r="FR96" i="7" s="1"/>
  <c r="FS117" i="7" a="1"/>
  <c r="FS117" i="7" s="1"/>
  <c r="FN117" i="7" a="1"/>
  <c r="FN117" i="7" s="1"/>
  <c r="FL107" i="7" a="1"/>
  <c r="FL107" i="7" s="1"/>
  <c r="FP86" i="7" a="1"/>
  <c r="FP86" i="7" s="1"/>
  <c r="FO108" i="7" a="1"/>
  <c r="FO108" i="7" s="1"/>
  <c r="FP108" i="7" a="1"/>
  <c r="FP108" i="7" s="1"/>
  <c r="FK82" i="7" a="1"/>
  <c r="FK82" i="7" s="1"/>
  <c r="FO58" i="7" a="1"/>
  <c r="FO58" i="7" s="1"/>
  <c r="FO86" i="7" a="1"/>
  <c r="FO86" i="7" s="1"/>
  <c r="FQ86" i="7" a="1"/>
  <c r="FQ86" i="7" s="1"/>
  <c r="FJ63" i="7" a="1"/>
  <c r="FJ63" i="7" s="1"/>
  <c r="FK63" i="7" a="1"/>
  <c r="FK63" i="7" s="1"/>
  <c r="FJ82" i="7" a="1"/>
  <c r="FJ82" i="7" s="1"/>
  <c r="FL63" i="7" a="1"/>
  <c r="FL63" i="7" s="1"/>
  <c r="FJ58" i="7" a="1"/>
  <c r="FJ58" i="7" s="1"/>
  <c r="FK58" i="7" a="1"/>
  <c r="FK58" i="7" s="1"/>
  <c r="FN58" i="7" a="1"/>
  <c r="FN58" i="7" s="1"/>
  <c r="FM58" i="7" a="1"/>
  <c r="FM58" i="7" s="1"/>
  <c r="FL62" i="7" a="1"/>
  <c r="FL62" i="7" s="1"/>
  <c r="FJ62" i="7" a="1"/>
  <c r="FJ62" i="7" s="1"/>
  <c r="FP93" i="7" a="1"/>
  <c r="FP93" i="7" s="1"/>
  <c r="FR86" i="7" a="1"/>
  <c r="FR86" i="7" s="1"/>
  <c r="FP63" i="7" a="1"/>
  <c r="FP63" i="7" s="1"/>
  <c r="FL82" i="7" a="1"/>
  <c r="FL82" i="7" s="1"/>
  <c r="FN82" i="7" a="1"/>
  <c r="FN82" i="7" s="1"/>
  <c r="FR58" i="7" a="1"/>
  <c r="FR58" i="7" s="1"/>
  <c r="FS58" i="7" a="1"/>
  <c r="FS58" i="7" s="1"/>
  <c r="FS93" i="7" a="1"/>
  <c r="FS93" i="7" s="1"/>
  <c r="FK108" i="7" a="1"/>
  <c r="FK108" i="7" s="1"/>
  <c r="FR108" i="7" a="1"/>
  <c r="FR108" i="7" s="1"/>
  <c r="FJ86" i="7" a="1"/>
  <c r="FJ86" i="7" s="1"/>
  <c r="FS108" i="7" a="1"/>
  <c r="FS108" i="7" s="1"/>
  <c r="FR63" i="7" a="1"/>
  <c r="FR63" i="7" s="1"/>
  <c r="FO62" i="7" a="1"/>
  <c r="FO62" i="7" s="1"/>
  <c r="FM63" i="7" a="1"/>
  <c r="FM63" i="7" s="1"/>
  <c r="FP82" i="7" a="1"/>
  <c r="FP82" i="7" s="1"/>
  <c r="FJ93" i="7" a="1"/>
  <c r="FJ93" i="7" s="1"/>
  <c r="FM62" i="7" a="1"/>
  <c r="FM62" i="7" s="1"/>
  <c r="FQ93" i="7" a="1"/>
  <c r="FQ93" i="7" s="1"/>
  <c r="FS86" i="7" a="1"/>
  <c r="FS86" i="7" s="1"/>
  <c r="FP58" i="7" a="1"/>
  <c r="FP58" i="7" s="1"/>
  <c r="FN108" i="7" a="1"/>
  <c r="FN108" i="7" s="1"/>
  <c r="FM108" i="7" a="1"/>
  <c r="FM108" i="7" s="1"/>
  <c r="FQ63" i="7" a="1"/>
  <c r="FQ63" i="7" s="1"/>
  <c r="FN63" i="7" a="1"/>
  <c r="FN63" i="7" s="1"/>
  <c r="FS82" i="7" a="1"/>
  <c r="FS82" i="7" s="1"/>
  <c r="FR82" i="7" a="1"/>
  <c r="FR82" i="7" s="1"/>
  <c r="FQ82" i="7" a="1"/>
  <c r="FQ82" i="7" s="1"/>
  <c r="FM82" i="7" a="1"/>
  <c r="FM82" i="7" s="1"/>
  <c r="FN86" i="7" a="1"/>
  <c r="FN86" i="7" s="1"/>
  <c r="FL93" i="7" a="1"/>
  <c r="FL93" i="7" s="1"/>
  <c r="FQ108" i="7" a="1"/>
  <c r="FQ108" i="7" s="1"/>
  <c r="FP62" i="7" a="1"/>
  <c r="FP62" i="7" s="1"/>
  <c r="FN62" i="7" a="1"/>
  <c r="FN62" i="7" s="1"/>
  <c r="FR62" i="7" a="1"/>
  <c r="FR62" i="7" s="1"/>
  <c r="FO93" i="7" a="1"/>
  <c r="FO93" i="7" s="1"/>
  <c r="FN93" i="7" a="1"/>
  <c r="FN93" i="7" s="1"/>
  <c r="FL108" i="7" a="1"/>
  <c r="FL108" i="7" s="1"/>
  <c r="FQ58" i="7" a="1"/>
  <c r="FQ58" i="7" s="1"/>
  <c r="FJ65" i="7" a="1"/>
  <c r="FJ65" i="7" s="1"/>
  <c r="FL65" i="7" a="1"/>
  <c r="FL65" i="7" s="1"/>
  <c r="FN65" i="7" a="1"/>
  <c r="FN65" i="7" s="1"/>
  <c r="FN67" i="7" a="1"/>
  <c r="FN67" i="7" s="1"/>
  <c r="FQ109" i="7" a="1"/>
  <c r="FQ109" i="7" s="1"/>
  <c r="FP109" i="7" a="1"/>
  <c r="FP109" i="7" s="1"/>
  <c r="FQ103" i="7" a="1"/>
  <c r="FQ103" i="7" s="1"/>
  <c r="FJ74" i="7" a="1"/>
  <c r="FJ74" i="7" s="1"/>
  <c r="FL91" i="7" a="1"/>
  <c r="FL91" i="7" s="1"/>
  <c r="FN91" i="7" a="1"/>
  <c r="FN91" i="7" s="1"/>
  <c r="FR112" i="7" a="1"/>
  <c r="FR112" i="7" s="1"/>
  <c r="FO83" i="7" a="1"/>
  <c r="FO83" i="7" s="1"/>
  <c r="FS91" i="7" a="1"/>
  <c r="FS91" i="7" s="1"/>
  <c r="FR103" i="7" a="1"/>
  <c r="FR103" i="7" s="1"/>
  <c r="FN85" i="7" a="1"/>
  <c r="FN85" i="7" s="1"/>
  <c r="FQ91" i="7" a="1"/>
  <c r="FQ91" i="7" s="1"/>
  <c r="FO112" i="7" a="1"/>
  <c r="FO112" i="7" s="1"/>
  <c r="FN112" i="7" a="1"/>
  <c r="FN112" i="7" s="1"/>
  <c r="FS67" i="7" a="1"/>
  <c r="FS67" i="7" s="1"/>
  <c r="FQ74" i="7" a="1"/>
  <c r="FQ74" i="7" s="1"/>
  <c r="FP83" i="7" a="1"/>
  <c r="FP83" i="7" s="1"/>
  <c r="FS78" i="7" a="1"/>
  <c r="FS78" i="7" s="1"/>
  <c r="FM83" i="7" a="1"/>
  <c r="FM83" i="7" s="1"/>
  <c r="FL78" i="7" a="1"/>
  <c r="FL78" i="7" s="1"/>
  <c r="FO85" i="7" a="1"/>
  <c r="FO85" i="7" s="1"/>
  <c r="FO109" i="7" a="1"/>
  <c r="FO109" i="7" s="1"/>
  <c r="FR83" i="7" a="1"/>
  <c r="FR83" i="7" s="1"/>
  <c r="FL103" i="7" a="1"/>
  <c r="FL103" i="7" s="1"/>
  <c r="FO103" i="7" a="1"/>
  <c r="FO103" i="7" s="1"/>
  <c r="FP103" i="7" a="1"/>
  <c r="FP103" i="7" s="1"/>
  <c r="FP91" i="7" a="1"/>
  <c r="FP91" i="7" s="1"/>
  <c r="FM112" i="7" a="1"/>
  <c r="FM112" i="7" s="1"/>
  <c r="FO67" i="7" a="1"/>
  <c r="FO67" i="7" s="1"/>
  <c r="FO74" i="7" a="1"/>
  <c r="FO74" i="7" s="1"/>
  <c r="FM103" i="7" a="1"/>
  <c r="FM103" i="7" s="1"/>
  <c r="FJ83" i="7" a="1"/>
  <c r="FJ83" i="7" s="1"/>
  <c r="FQ65" i="7" a="1"/>
  <c r="FQ65" i="7" s="1"/>
  <c r="FJ67" i="7" a="1"/>
  <c r="FJ67" i="7" s="1"/>
  <c r="FS103" i="7" a="1"/>
  <c r="FS103" i="7" s="1"/>
  <c r="FS74" i="7" a="1"/>
  <c r="FS74" i="7" s="1"/>
  <c r="FR78" i="7" a="1"/>
  <c r="FR78" i="7" s="1"/>
  <c r="FO78" i="7" a="1"/>
  <c r="FO78" i="7" s="1"/>
  <c r="FN78" i="7" a="1"/>
  <c r="FN78" i="7" s="1"/>
  <c r="FQ83" i="7" a="1"/>
  <c r="FQ83" i="7" s="1"/>
  <c r="FP78" i="7" a="1"/>
  <c r="FP78" i="7" s="1"/>
  <c r="FR85" i="7" a="1"/>
  <c r="FR85" i="7" s="1"/>
  <c r="FK91" i="7" a="1"/>
  <c r="FK91" i="7" s="1"/>
  <c r="FK65" i="7" a="1"/>
  <c r="FK65" i="7" s="1"/>
  <c r="FQ112" i="7" a="1"/>
  <c r="FQ112" i="7" s="1"/>
  <c r="FS112" i="7" a="1"/>
  <c r="FS112" i="7" s="1"/>
  <c r="FL112" i="7" a="1"/>
  <c r="FL112" i="7" s="1"/>
  <c r="FO65" i="7" a="1"/>
  <c r="FO65" i="7" s="1"/>
  <c r="FS109" i="7" a="1"/>
  <c r="FS109" i="7" s="1"/>
  <c r="FS65" i="7" a="1"/>
  <c r="FS65" i="7" s="1"/>
  <c r="FK67" i="7" a="1"/>
  <c r="FK67" i="7" s="1"/>
  <c r="FK109" i="7" a="1"/>
  <c r="FK109" i="7" s="1"/>
  <c r="FN103" i="7" a="1"/>
  <c r="FN103" i="7" s="1"/>
  <c r="FN109" i="7" a="1"/>
  <c r="FN109" i="7" s="1"/>
  <c r="FN74" i="7" a="1"/>
  <c r="FN74" i="7" s="1"/>
  <c r="FL74" i="7" a="1"/>
  <c r="FL74" i="7" s="1"/>
  <c r="FR67" i="7" a="1"/>
  <c r="FR67" i="7" s="1"/>
  <c r="FQ78" i="7" a="1"/>
  <c r="FQ78" i="7" s="1"/>
  <c r="FL83" i="7" a="1"/>
  <c r="FL83" i="7" s="1"/>
  <c r="FM78" i="7" a="1"/>
  <c r="FM78" i="7" s="1"/>
  <c r="FL85" i="7" a="1"/>
  <c r="FL85" i="7" s="1"/>
  <c r="FM85" i="7" a="1"/>
  <c r="FM85" i="7" s="1"/>
  <c r="FK103" i="7" a="1"/>
  <c r="FK103" i="7" s="1"/>
  <c r="FM65" i="7" a="1"/>
  <c r="FM65" i="7" s="1"/>
  <c r="FM91" i="7" a="1"/>
  <c r="FM91" i="7" s="1"/>
  <c r="FJ91" i="7" a="1"/>
  <c r="FJ91" i="7" s="1"/>
  <c r="FK85" i="7" a="1"/>
  <c r="FK85" i="7" s="1"/>
  <c r="FM67" i="7" a="1"/>
  <c r="FM67" i="7" s="1"/>
  <c r="FJ109" i="7" a="1"/>
  <c r="FJ109" i="7" s="1"/>
  <c r="FP74" i="7" a="1"/>
  <c r="FP74" i="7" s="1"/>
  <c r="FM74" i="7" a="1"/>
  <c r="FM74" i="7" s="1"/>
  <c r="FJ119" i="7" a="1"/>
  <c r="FJ119" i="7" s="1"/>
  <c r="FO119" i="7" a="1"/>
  <c r="FO119" i="7" s="1"/>
  <c r="FM110" i="7" a="1"/>
  <c r="FM110" i="7" s="1"/>
  <c r="FQ110" i="7" a="1"/>
  <c r="FQ110" i="7" s="1"/>
  <c r="FP104" i="7" a="1"/>
  <c r="FP104" i="7" s="1"/>
  <c r="FJ104" i="7" a="1"/>
  <c r="FJ104" i="7" s="1"/>
  <c r="FK75" i="7" a="1"/>
  <c r="FK75" i="7" s="1"/>
  <c r="FQ119" i="7" a="1"/>
  <c r="FQ119" i="7" s="1"/>
  <c r="FO110" i="7" a="1"/>
  <c r="FO110" i="7" s="1"/>
  <c r="FJ75" i="7" a="1"/>
  <c r="FJ75" i="7" s="1"/>
  <c r="FS75" i="7" a="1"/>
  <c r="FS75" i="7" s="1"/>
  <c r="FR119" i="7" a="1"/>
  <c r="FR119" i="7" s="1"/>
  <c r="FO104" i="7" a="1"/>
  <c r="FO104" i="7" s="1"/>
  <c r="FN75" i="7" a="1"/>
  <c r="FN75" i="7" s="1"/>
  <c r="FQ75" i="7" a="1"/>
  <c r="FQ75" i="7" s="1"/>
  <c r="FS119" i="7" a="1"/>
  <c r="FS119" i="7" s="1"/>
  <c r="FK104" i="7" a="1"/>
  <c r="FK104" i="7" s="1"/>
  <c r="FM104" i="7" a="1"/>
  <c r="FM104" i="7" s="1"/>
  <c r="FM75" i="7" a="1"/>
  <c r="FM75" i="7" s="1"/>
  <c r="FR104" i="7" a="1"/>
  <c r="FR104" i="7" s="1"/>
  <c r="FK119" i="7" a="1"/>
  <c r="FK119" i="7" s="1"/>
  <c r="FL119" i="7" a="1"/>
  <c r="FL119" i="7" s="1"/>
  <c r="FN119" i="7" a="1"/>
  <c r="FN119" i="7" s="1"/>
  <c r="FR75" i="7" a="1"/>
  <c r="FR75" i="7" s="1"/>
  <c r="FO75" i="7" a="1"/>
  <c r="FO75" i="7" s="1"/>
  <c r="FJ110" i="7" a="1"/>
  <c r="FJ110" i="7" s="1"/>
  <c r="FS110" i="7" a="1"/>
  <c r="FS110" i="7" s="1"/>
  <c r="FP110" i="7" a="1"/>
  <c r="FP110" i="7" s="1"/>
  <c r="FN104" i="7" a="1"/>
  <c r="FN104" i="7" s="1"/>
  <c r="FP75" i="7" a="1"/>
  <c r="FP75" i="7" s="1"/>
  <c r="FP119" i="7" a="1"/>
  <c r="FP119" i="7" s="1"/>
  <c r="FN110" i="7" a="1"/>
  <c r="FN110" i="7" s="1"/>
  <c r="FR110" i="7" a="1"/>
  <c r="FR110" i="7" s="1"/>
  <c r="FL110" i="7" a="1"/>
  <c r="FL110" i="7" s="1"/>
  <c r="FP99" i="7" a="1"/>
  <c r="FP99" i="7" s="1"/>
  <c r="FM99" i="7" a="1"/>
  <c r="FM99" i="7" s="1"/>
  <c r="FQ90" i="7" a="1"/>
  <c r="FQ90" i="7" s="1"/>
  <c r="FJ90" i="7" a="1"/>
  <c r="FJ90" i="7" s="1"/>
  <c r="FO90" i="7" a="1"/>
  <c r="FO90" i="7" s="1"/>
  <c r="FN99" i="7" a="1"/>
  <c r="FN99" i="7" s="1"/>
  <c r="FJ99" i="7" a="1"/>
  <c r="FJ99" i="7" s="1"/>
  <c r="FR90" i="7" a="1"/>
  <c r="FR90" i="7" s="1"/>
  <c r="FM90" i="7" a="1"/>
  <c r="FM90" i="7" s="1"/>
  <c r="FP90" i="7" a="1"/>
  <c r="FP90" i="7" s="1"/>
  <c r="FL99" i="7" a="1"/>
  <c r="FL99" i="7" s="1"/>
  <c r="FK87" i="7" a="1"/>
  <c r="FK87" i="7" s="1"/>
  <c r="FP87" i="7" a="1"/>
  <c r="FP87" i="7" s="1"/>
  <c r="FN87" i="7" a="1"/>
  <c r="FN87" i="7" s="1"/>
  <c r="FQ87" i="7" a="1"/>
  <c r="FQ87" i="7" s="1"/>
  <c r="FK90" i="7" a="1"/>
  <c r="FK90" i="7" s="1"/>
  <c r="FL87" i="7" a="1"/>
  <c r="FL87" i="7" s="1"/>
  <c r="FL90" i="7" a="1"/>
  <c r="FL90" i="7" s="1"/>
  <c r="FQ99" i="7" a="1"/>
  <c r="FQ99" i="7" s="1"/>
  <c r="FK99" i="7" a="1"/>
  <c r="FK99" i="7" s="1"/>
  <c r="FO99" i="7" a="1"/>
  <c r="FO99" i="7" s="1"/>
  <c r="FR87" i="7" a="1"/>
  <c r="FR87" i="7" s="1"/>
  <c r="FM87" i="7" a="1"/>
  <c r="FM87" i="7" s="1"/>
  <c r="FS99" i="7" a="1"/>
  <c r="FS99" i="7" s="1"/>
  <c r="FS90" i="7" a="1"/>
  <c r="FS90" i="7" s="1"/>
  <c r="FJ87" i="7" a="1"/>
  <c r="FJ87" i="7" s="1"/>
  <c r="FO87" i="7" a="1"/>
  <c r="FO87" i="7" s="1"/>
  <c r="FL55" i="7" a="1"/>
  <c r="FL55" i="7" s="1"/>
  <c r="FP55" i="7" a="1"/>
  <c r="FP55" i="7" s="1"/>
  <c r="FN55" i="7" a="1"/>
  <c r="FN55" i="7" s="1"/>
  <c r="FJ55" i="7" a="1"/>
  <c r="FJ55" i="7" s="1"/>
  <c r="FQ55" i="7" a="1"/>
  <c r="FQ55" i="7" s="1"/>
  <c r="FO55" i="7" a="1"/>
  <c r="FO55" i="7" s="1"/>
  <c r="FS55" i="7" a="1"/>
  <c r="FS55" i="7" s="1"/>
  <c r="FR55" i="7" a="1"/>
  <c r="FR55" i="7" s="1"/>
  <c r="FK55" i="7" a="1"/>
  <c r="FK55" i="7" s="1"/>
  <c r="FN83" i="7" a="1"/>
  <c r="FN83" i="7" s="1"/>
  <c r="FK83" i="7" a="1"/>
  <c r="FK83" i="7" s="1"/>
  <c r="FL49" i="7"/>
  <c r="FJ49" i="7"/>
  <c r="FK49" i="7"/>
  <c r="FN49" i="7"/>
  <c r="FQ49" i="7"/>
  <c r="FS49" i="7"/>
  <c r="FP49" i="7"/>
  <c r="FR49" i="7"/>
  <c r="FO49" i="7"/>
  <c r="FJ32" i="7"/>
  <c r="FS32" i="7"/>
  <c r="FO32" i="7"/>
  <c r="FL32" i="7"/>
  <c r="FM32" i="7" s="1" a="1"/>
  <c r="FM32" i="7" s="1"/>
  <c r="FN32" i="7"/>
  <c r="FR32" i="7"/>
  <c r="FP32" i="7"/>
  <c r="FK32" i="7"/>
  <c r="FQ32" i="7"/>
  <c r="FR17" i="7"/>
  <c r="FP17" i="7"/>
  <c r="FS17" i="7"/>
  <c r="FK17" i="7"/>
  <c r="FQ17" i="7"/>
  <c r="FL17" i="7"/>
  <c r="FM17" i="7" s="1" a="1"/>
  <c r="FM17" i="7" s="1"/>
  <c r="FJ17" i="7"/>
  <c r="FO17" i="7"/>
  <c r="FN17" i="7"/>
  <c r="FK24" i="7"/>
  <c r="FS24" i="7"/>
  <c r="FQ24" i="7"/>
  <c r="FR24" i="7"/>
  <c r="FO24" i="7"/>
  <c r="FN24" i="7"/>
  <c r="FL24" i="7"/>
  <c r="FJ24" i="7"/>
  <c r="FP24" i="7"/>
  <c r="FL4" i="7"/>
  <c r="FQ4" i="7"/>
  <c r="FP4" i="7"/>
  <c r="FJ4" i="7"/>
  <c r="FO4" i="7"/>
  <c r="FK4" i="7"/>
  <c r="FN4" i="7"/>
  <c r="FR4" i="7"/>
  <c r="FS4" i="7"/>
  <c r="FS48" i="7"/>
  <c r="FP48" i="7"/>
  <c r="FK48" i="7"/>
  <c r="FO48" i="7"/>
  <c r="FN48" i="7"/>
  <c r="FR48" i="7"/>
  <c r="FQ48" i="7"/>
  <c r="FL48" i="7"/>
  <c r="FJ48" i="7"/>
  <c r="FS7" i="7"/>
  <c r="FL7" i="7"/>
  <c r="FJ7" i="7"/>
  <c r="FP7" i="7"/>
  <c r="FR7" i="7"/>
  <c r="FO7" i="7"/>
  <c r="FQ7" i="7"/>
  <c r="FK7" i="7"/>
  <c r="FN7" i="7"/>
  <c r="FP38" i="7"/>
  <c r="FJ38" i="7"/>
  <c r="FQ38" i="7"/>
  <c r="FN38" i="7"/>
  <c r="FL38" i="7"/>
  <c r="FM38" i="7" s="1" a="1"/>
  <c r="FM38" i="7" s="1"/>
  <c r="FR38" i="7"/>
  <c r="FO38" i="7"/>
  <c r="FS38" i="7"/>
  <c r="FL6" i="7"/>
  <c r="FS6" i="7"/>
  <c r="FQ6" i="7"/>
  <c r="FJ6" i="7"/>
  <c r="FR6" i="7"/>
  <c r="FN6" i="7"/>
  <c r="FK6" i="7"/>
  <c r="FP6" i="7"/>
  <c r="FO6" i="7"/>
  <c r="FS51" i="7"/>
  <c r="FO51" i="7"/>
  <c r="FN51" i="7"/>
  <c r="FJ51" i="7"/>
  <c r="FP51" i="7"/>
  <c r="FR51" i="7"/>
  <c r="FQ51" i="7"/>
  <c r="FP43" i="7"/>
  <c r="FN43" i="7"/>
  <c r="FQ43" i="7"/>
  <c r="FR43" i="7"/>
  <c r="FL43" i="7"/>
  <c r="FJ43" i="7"/>
  <c r="FK43" i="7"/>
  <c r="FS43" i="7"/>
  <c r="FO43" i="7"/>
  <c r="FL30" i="7"/>
  <c r="FM30" i="7" s="1" a="1"/>
  <c r="FM30" i="7" s="1"/>
  <c r="FN30" i="7"/>
  <c r="FP30" i="7"/>
  <c r="FK30" i="7"/>
  <c r="FO30" i="7"/>
  <c r="FS30" i="7"/>
  <c r="FQ30" i="7"/>
  <c r="FR30" i="7"/>
  <c r="FJ30" i="7"/>
  <c r="FQ9" i="7"/>
  <c r="FO9" i="7"/>
  <c r="FP11" i="7"/>
  <c r="FS11" i="7"/>
  <c r="FN11" i="7"/>
  <c r="FO11" i="7"/>
  <c r="FL11" i="7"/>
  <c r="FR11" i="7"/>
  <c r="FJ11" i="7"/>
  <c r="FK11" i="7"/>
  <c r="FQ11" i="7"/>
  <c r="FS27" i="7"/>
  <c r="FP27" i="7"/>
  <c r="FQ27" i="7"/>
  <c r="FR27" i="7"/>
  <c r="FO27" i="7"/>
  <c r="FN27" i="7"/>
  <c r="FK27" i="7"/>
  <c r="FL27" i="7"/>
  <c r="FM27" i="7" s="1" a="1"/>
  <c r="FM27" i="7" s="1"/>
  <c r="FJ27" i="7"/>
  <c r="FL39" i="7"/>
  <c r="FM39" i="7" s="1" a="1"/>
  <c r="FM39" i="7" s="1"/>
  <c r="FP39" i="7"/>
  <c r="FR39" i="7"/>
  <c r="FS39" i="7"/>
  <c r="FK39" i="7"/>
  <c r="FQ39" i="7"/>
  <c r="FN39" i="7"/>
  <c r="FO39" i="7"/>
  <c r="FJ39" i="7"/>
  <c r="FK25" i="7"/>
  <c r="FS25" i="7"/>
  <c r="FJ18" i="7"/>
  <c r="FP18" i="7"/>
  <c r="FN18" i="7"/>
  <c r="FQ18" i="7"/>
  <c r="FS18" i="7"/>
  <c r="FK18" i="7"/>
  <c r="FL18" i="7"/>
  <c r="FM18" i="7" s="1" a="1"/>
  <c r="FO18" i="7"/>
  <c r="FR18" i="7"/>
  <c r="FP21" i="7"/>
  <c r="FQ21" i="7"/>
  <c r="FK21" i="7"/>
  <c r="FO21" i="7"/>
  <c r="FS21" i="7"/>
  <c r="FJ21" i="7"/>
  <c r="FR21" i="7"/>
  <c r="FN21" i="7"/>
  <c r="FL21" i="7"/>
  <c r="FM21" i="7" s="1" a="1"/>
  <c r="FO34" i="7"/>
  <c r="FN34" i="7"/>
  <c r="FS40" i="7"/>
  <c r="FK28" i="7"/>
  <c r="FL28" i="7"/>
  <c r="FM28" i="7" s="1" a="1"/>
  <c r="FM28" i="7" s="1"/>
  <c r="FJ28" i="7"/>
  <c r="FN28" i="7"/>
  <c r="FO28" i="7"/>
  <c r="FS28" i="7"/>
  <c r="FQ28" i="7"/>
  <c r="FR28" i="7"/>
  <c r="FP28" i="7"/>
  <c r="FK31" i="7"/>
  <c r="FO31" i="7"/>
  <c r="FL31" i="7"/>
  <c r="FM31" i="7" s="1" a="1"/>
  <c r="FM31" i="7" s="1"/>
  <c r="FP31" i="7"/>
  <c r="FJ31" i="7"/>
  <c r="FN31" i="7"/>
  <c r="FR31" i="7"/>
  <c r="FS31" i="7"/>
  <c r="FQ31" i="7"/>
  <c r="FR14" i="7"/>
  <c r="FO14" i="7"/>
  <c r="FL14" i="7"/>
  <c r="FM14" i="7" s="1" a="1"/>
  <c r="FP14" i="7"/>
  <c r="FN14" i="7"/>
  <c r="FJ14" i="7"/>
  <c r="FQ14" i="7"/>
  <c r="FS14" i="7"/>
  <c r="FK14" i="7"/>
  <c r="FQ10" i="7"/>
  <c r="FS10" i="7"/>
  <c r="FK10" i="7"/>
  <c r="FP10" i="7"/>
  <c r="FN10" i="7"/>
  <c r="FO10" i="7"/>
  <c r="FR10" i="7"/>
  <c r="FL10" i="7"/>
  <c r="FR23" i="7"/>
  <c r="FP23" i="7"/>
  <c r="FL23" i="7"/>
  <c r="FM23" i="7" s="1" a="1"/>
  <c r="FM23" i="7" s="1"/>
  <c r="FJ23" i="7"/>
  <c r="FS23" i="7"/>
  <c r="FO23" i="7"/>
  <c r="FN23" i="7"/>
  <c r="FK23" i="7"/>
  <c r="FQ23" i="7"/>
  <c r="FN1" i="7"/>
  <c r="FJ1" i="7"/>
  <c r="FK1" i="7"/>
  <c r="FQ1" i="7"/>
  <c r="FL1" i="7"/>
  <c r="FS1" i="7"/>
  <c r="FO1" i="7"/>
  <c r="FR1" i="7"/>
  <c r="FP1" i="7"/>
  <c r="FR36" i="7"/>
  <c r="FK36" i="7"/>
  <c r="FP36" i="7"/>
  <c r="FN36" i="7"/>
  <c r="FO36" i="7"/>
  <c r="FQ36" i="7"/>
  <c r="FS36" i="7"/>
  <c r="FL36" i="7"/>
  <c r="FM36" i="7" s="1" a="1"/>
  <c r="FM36" i="7" s="1"/>
  <c r="FJ36" i="7"/>
  <c r="FN44" i="7"/>
  <c r="FR44" i="7"/>
  <c r="FJ16" i="7"/>
  <c r="FN16" i="7"/>
  <c r="FP16" i="7"/>
  <c r="FR16" i="7"/>
  <c r="FK16" i="7"/>
  <c r="FS29" i="7"/>
  <c r="FK29" i="7"/>
  <c r="FN29" i="7"/>
  <c r="FL29" i="7"/>
  <c r="FM29" i="7" s="1" a="1"/>
  <c r="FM29" i="7" s="1"/>
  <c r="FR29" i="7"/>
  <c r="FQ29" i="7"/>
  <c r="FJ29" i="7"/>
  <c r="FP29" i="7"/>
  <c r="FO29" i="7"/>
  <c r="FJ41" i="7"/>
  <c r="FO41" i="7"/>
  <c r="FN41" i="7"/>
  <c r="FK35" i="7"/>
  <c r="FP35" i="7"/>
  <c r="FL35" i="7"/>
  <c r="FM35" i="7" s="1" a="1"/>
  <c r="FM35" i="7" s="1"/>
  <c r="FO35" i="7"/>
  <c r="FS35" i="7"/>
  <c r="FR35" i="7"/>
  <c r="FJ35" i="7"/>
  <c r="FN35" i="7"/>
  <c r="FQ35" i="7"/>
  <c r="FL5" i="7"/>
  <c r="FK5" i="7"/>
  <c r="FR5" i="7"/>
  <c r="FO5" i="7"/>
  <c r="FN5" i="7"/>
  <c r="FP5" i="7"/>
  <c r="FQ5" i="7"/>
  <c r="FS5" i="7"/>
  <c r="FJ5" i="7"/>
  <c r="FO19" i="7"/>
  <c r="FL19" i="7"/>
  <c r="FM19" i="7" s="1" a="1"/>
  <c r="FJ19" i="7"/>
  <c r="FR19" i="7"/>
  <c r="FK19" i="7"/>
  <c r="FP19" i="7"/>
  <c r="FQ19" i="7"/>
  <c r="FS19" i="7"/>
  <c r="FN19" i="7"/>
  <c r="FJ37" i="7"/>
  <c r="FN37" i="7"/>
  <c r="FS37" i="7"/>
  <c r="FK37" i="7"/>
  <c r="FK33" i="7"/>
  <c r="FP33" i="7"/>
  <c r="FN33" i="7"/>
  <c r="FR33" i="7"/>
  <c r="FS33" i="7"/>
  <c r="FL33" i="7"/>
  <c r="FM33" i="7" s="1" a="1"/>
  <c r="FM33" i="7" s="1"/>
  <c r="FJ33" i="7"/>
  <c r="FK59" i="7" a="1"/>
  <c r="FK59" i="7" s="1"/>
  <c r="FN59" i="7" a="1"/>
  <c r="FN59" i="7" s="1"/>
  <c r="FO59" i="7" a="1"/>
  <c r="FO59" i="7" s="1"/>
  <c r="FM59" i="7" a="1"/>
  <c r="FM59" i="7" s="1"/>
  <c r="FJ59" i="7" a="1"/>
  <c r="FJ59" i="7" s="1"/>
  <c r="FQ59" i="7" a="1"/>
  <c r="FQ59" i="7" s="1"/>
  <c r="FL59" i="7" a="1"/>
  <c r="FL59" i="7" s="1"/>
  <c r="FR59" i="7" a="1"/>
  <c r="FR59" i="7" s="1"/>
  <c r="FS59" i="7" a="1"/>
  <c r="FS59" i="7" s="1"/>
  <c r="FP59" i="7" a="1"/>
  <c r="FP59" i="7" s="1"/>
  <c r="FO50" i="7"/>
  <c r="FS26" i="7"/>
  <c r="FL45" i="7"/>
  <c r="FK47" i="7"/>
  <c r="FN50" i="7"/>
  <c r="FL50" i="7"/>
  <c r="FQ20" i="7"/>
  <c r="FR26" i="7"/>
  <c r="FJ26" i="7"/>
  <c r="FK45" i="7"/>
  <c r="FR47" i="7"/>
  <c r="FP50" i="7"/>
  <c r="FJ45" i="7"/>
  <c r="FJ20" i="7"/>
  <c r="FK26" i="7"/>
  <c r="FS15" i="7"/>
  <c r="FP45" i="7"/>
  <c r="FJ47" i="7"/>
  <c r="FQ50" i="7"/>
  <c r="FL26" i="7"/>
  <c r="FM26" i="7" s="1" a="1"/>
  <c r="FO15" i="7"/>
  <c r="FQ26" i="7"/>
  <c r="FP15" i="7"/>
  <c r="FO45" i="7"/>
  <c r="FP47" i="7"/>
  <c r="FK50" i="7"/>
  <c r="FS47" i="7"/>
  <c r="FK15" i="7"/>
  <c r="FO26" i="7"/>
  <c r="FL15" i="7"/>
  <c r="FM15" i="7" s="1" a="1"/>
  <c r="FQ45" i="7"/>
  <c r="FN47" i="7"/>
  <c r="FR50" i="7"/>
  <c r="FQ15" i="7"/>
  <c r="FR15" i="7"/>
  <c r="FP26" i="7"/>
  <c r="FJ15" i="7"/>
  <c r="FS45" i="7"/>
  <c r="FR45" i="7"/>
  <c r="FL47" i="7"/>
  <c r="FS50" i="7"/>
  <c r="FN20" i="7"/>
  <c r="FN26" i="7"/>
  <c r="FN45" i="7"/>
  <c r="FQ47" i="7"/>
  <c r="FO47" i="7"/>
  <c r="FJ50" i="7"/>
  <c r="FK8" i="7"/>
  <c r="FO8" i="7"/>
  <c r="FP8" i="7"/>
  <c r="FQ8" i="7"/>
  <c r="FR8" i="7"/>
  <c r="FJ8" i="7"/>
  <c r="FS8" i="7"/>
  <c r="FQ2" i="7"/>
  <c r="FN8" i="7"/>
  <c r="FL8" i="7"/>
  <c r="FM22" i="7" a="1"/>
  <c r="FM3" i="7" a="1"/>
  <c r="FM10" i="7" a="1"/>
  <c r="FM53" i="7" a="1"/>
  <c r="FQ54" i="7" a="1"/>
  <c r="FK54" i="7" a="1"/>
  <c r="FP54" i="7" a="1"/>
  <c r="FN54" i="7" a="1"/>
  <c r="FR54" i="7" a="1"/>
  <c r="FJ54" i="7" a="1"/>
  <c r="FS54" i="7" a="1"/>
  <c r="FO54" i="7" a="1"/>
  <c r="FJ53" i="7" a="1"/>
  <c r="FM47" i="7" a="1"/>
  <c r="FK53" i="7" a="1"/>
  <c r="FK51" i="7" a="1"/>
  <c r="FJ52" i="7" a="1"/>
  <c r="FL51" i="7" a="1"/>
  <c r="FL52" i="7" a="1"/>
  <c r="FM50" i="7" a="1"/>
  <c r="FQ52" i="7" a="1"/>
  <c r="FP52" i="7" a="1"/>
  <c r="FR52" i="7" a="1"/>
  <c r="FM46" i="7" a="1"/>
  <c r="FN52" i="7" a="1"/>
  <c r="FO52" i="7" a="1"/>
  <c r="FS52" i="7" a="1"/>
  <c r="FK44" i="7" a="1"/>
  <c r="FJ44" i="7" a="1"/>
  <c r="FL25" i="7" a="1"/>
  <c r="FP20" i="7" a="1"/>
  <c r="FQ41" i="7" a="1"/>
  <c r="FJ40" i="7" a="1"/>
  <c r="FL16" i="7" a="1"/>
  <c r="FS34" i="7" a="1"/>
  <c r="FM42" i="7" a="1"/>
  <c r="FL44" i="7" a="1"/>
  <c r="FO25" i="7" a="1"/>
  <c r="FQ44" i="7" a="1"/>
  <c r="FQ13" i="7" a="1"/>
  <c r="FR20" i="7" a="1"/>
  <c r="FQ16" i="7" a="1"/>
  <c r="FJ34" i="7" a="1"/>
  <c r="FN40" i="7" a="1"/>
  <c r="FK34" i="7" a="1"/>
  <c r="FL20" i="7" a="1"/>
  <c r="FP13" i="7" a="1"/>
  <c r="FJ25" i="7" a="1"/>
  <c r="FK20" i="7" a="1"/>
  <c r="FR40" i="7" a="1"/>
  <c r="FL40" i="7" a="1"/>
  <c r="FR34" i="7" a="1"/>
  <c r="FQ25" i="7" a="1"/>
  <c r="FL13" i="7" a="1"/>
  <c r="FS13" i="7" a="1"/>
  <c r="FS44" i="7" a="1"/>
  <c r="FR37" i="7" a="1"/>
  <c r="FP34" i="7" a="1"/>
  <c r="FL41" i="7" a="1"/>
  <c r="FO37" i="7" a="1"/>
  <c r="FK38" i="7" a="1"/>
  <c r="FP37" i="7" a="1"/>
  <c r="FK40" i="7" a="1"/>
  <c r="FM1" i="7" a="1"/>
  <c r="FM45" i="7" a="1"/>
  <c r="FP25" i="7" a="1"/>
  <c r="FN25" i="7" a="1"/>
  <c r="FN13" i="7" a="1"/>
  <c r="FQ40" i="7" a="1"/>
  <c r="FQ33" i="7" a="1"/>
  <c r="FL34" i="7" a="1"/>
  <c r="FR41" i="7" a="1"/>
  <c r="FM24" i="7" a="1"/>
  <c r="FM49" i="7" a="1"/>
  <c r="FO33" i="7" a="1"/>
  <c r="FR13" i="7" a="1"/>
  <c r="FP44" i="7" a="1"/>
  <c r="FS20" i="7" a="1"/>
  <c r="FQ34" i="7" a="1"/>
  <c r="FP41" i="7" a="1"/>
  <c r="FL37" i="7" a="1"/>
  <c r="FS16" i="7" a="1"/>
  <c r="FM48" i="7" a="1"/>
  <c r="FK41" i="7" a="1"/>
  <c r="FO44" i="7" a="1"/>
  <c r="FR25" i="7" a="1"/>
  <c r="FO20" i="7" a="1"/>
  <c r="FQ37" i="7" a="1"/>
  <c r="FO16" i="7" a="1"/>
  <c r="FS41" i="7" a="1"/>
  <c r="FO40" i="7" a="1"/>
  <c r="FM43" i="7" a="1"/>
  <c r="FP40" i="7" a="1"/>
  <c r="FN2" i="7" a="1"/>
  <c r="FM5" i="7" a="1"/>
  <c r="FM7" i="7" a="1"/>
  <c r="FJ10" i="7" a="1"/>
  <c r="FS2" i="7" a="1"/>
  <c r="FM11" i="7" a="1"/>
  <c r="FN9" i="7" a="1"/>
  <c r="FS9" i="7" a="1"/>
  <c r="FR9" i="7" a="1"/>
  <c r="FK9" i="7" a="1"/>
  <c r="FR2" i="7" a="1"/>
  <c r="FP9" i="7" a="1"/>
  <c r="FM12" i="7" a="1"/>
  <c r="FL2" i="7" a="1"/>
  <c r="FP2" i="7" a="1"/>
  <c r="FO2" i="7" a="1"/>
  <c r="FK2" i="7" a="1"/>
  <c r="FJ2" i="7" a="1"/>
  <c r="FJ9" i="7" a="1"/>
  <c r="FL9" i="7" a="1"/>
  <c r="FM4" i="7" a="1"/>
  <c r="FM8" i="7" a="1"/>
  <c r="FM6" i="7" a="1"/>
  <c r="FK53" i="7" l="1"/>
  <c r="FJ53" i="7"/>
  <c r="FL51" i="7"/>
  <c r="FK51" i="7"/>
  <c r="FP40" i="7"/>
  <c r="FO40" i="7"/>
  <c r="FS41" i="7"/>
  <c r="FO16" i="7"/>
  <c r="FQ37" i="7"/>
  <c r="FO20" i="7"/>
  <c r="FR25" i="7"/>
  <c r="FO44" i="7"/>
  <c r="FK41" i="7"/>
  <c r="FS16" i="7"/>
  <c r="FL37" i="7"/>
  <c r="FM37" i="7" s="1" a="1"/>
  <c r="FM37" i="7" s="1"/>
  <c r="FP41" i="7"/>
  <c r="FQ34" i="7"/>
  <c r="FS20" i="7"/>
  <c r="FP44" i="7"/>
  <c r="FR13" i="7"/>
  <c r="FO33" i="7"/>
  <c r="FR41" i="7"/>
  <c r="FL34" i="7"/>
  <c r="FM34" i="7" s="1" a="1"/>
  <c r="FM34" i="7" s="1"/>
  <c r="FQ33" i="7"/>
  <c r="FQ40" i="7"/>
  <c r="FN13" i="7"/>
  <c r="FN25" i="7"/>
  <c r="FP25" i="7"/>
  <c r="FK40" i="7"/>
  <c r="FP37" i="7"/>
  <c r="FK38" i="7"/>
  <c r="FO37" i="7"/>
  <c r="FL41" i="7"/>
  <c r="FP34" i="7"/>
  <c r="FR37" i="7"/>
  <c r="FS44" i="7"/>
  <c r="FS13" i="7"/>
  <c r="FL13" i="7"/>
  <c r="FQ25" i="7"/>
  <c r="FR34" i="7"/>
  <c r="FL40" i="7"/>
  <c r="FM40" i="7" s="1" a="1"/>
  <c r="FM40" i="7" s="1"/>
  <c r="FR40" i="7"/>
  <c r="FK20" i="7"/>
  <c r="FJ25" i="7"/>
  <c r="FP13" i="7"/>
  <c r="FL20" i="7"/>
  <c r="FM20" i="7" s="1" a="1"/>
  <c r="FM20" i="7" s="1"/>
  <c r="FK34" i="7"/>
  <c r="FN40" i="7"/>
  <c r="FJ34" i="7"/>
  <c r="FQ16" i="7"/>
  <c r="FR20" i="7"/>
  <c r="FQ13" i="7"/>
  <c r="FQ44" i="7"/>
  <c r="FO25" i="7"/>
  <c r="FL44" i="7"/>
  <c r="FS34" i="7"/>
  <c r="FL16" i="7"/>
  <c r="FM16" i="7" s="1" a="1"/>
  <c r="FM16" i="7" s="1"/>
  <c r="FJ40" i="7"/>
  <c r="FQ41" i="7"/>
  <c r="FP20" i="7"/>
  <c r="FL25" i="7"/>
  <c r="FJ44" i="7"/>
  <c r="FK44" i="7"/>
  <c r="FL9" i="7"/>
  <c r="FJ9" i="7"/>
  <c r="FJ2" i="7"/>
  <c r="FK2" i="7"/>
  <c r="FO2" i="7"/>
  <c r="FP2" i="7"/>
  <c r="FL2" i="7"/>
  <c r="FP9" i="7"/>
  <c r="FR2" i="7"/>
  <c r="FK9" i="7"/>
  <c r="FR9" i="7"/>
  <c r="FS9" i="7"/>
  <c r="FN9" i="7"/>
  <c r="FS2" i="7"/>
  <c r="FJ10" i="7"/>
  <c r="FN2" i="7"/>
  <c r="FM21" i="7"/>
  <c r="FM24" i="7"/>
  <c r="FM18" i="7"/>
  <c r="FM22" i="7"/>
  <c r="FM26" i="7"/>
  <c r="FM19" i="7"/>
  <c r="FN54" i="7"/>
  <c r="FQ54" i="7"/>
  <c r="FM53" i="7"/>
  <c r="FO54" i="7"/>
  <c r="FS54" i="7"/>
  <c r="FR54" i="7"/>
  <c r="FM15" i="7"/>
  <c r="FP54" i="7"/>
  <c r="FJ54" i="7"/>
  <c r="FK54" i="7"/>
  <c r="FM47" i="7"/>
  <c r="FO52" i="7"/>
  <c r="FM3" i="7"/>
  <c r="FN52" i="7"/>
  <c r="FR52" i="7"/>
  <c r="FP52" i="7"/>
  <c r="FQ52" i="7"/>
  <c r="FL52" i="7"/>
  <c r="FJ52" i="7"/>
  <c r="FM14" i="7"/>
  <c r="FM10" i="7"/>
  <c r="FS52" i="7"/>
  <c r="FM46" i="7"/>
  <c r="FM42" i="7"/>
  <c r="FM12" i="7"/>
  <c r="FM49" i="7"/>
  <c r="FM6" i="7"/>
  <c r="FM7" i="7"/>
  <c r="FM48" i="7"/>
  <c r="FM4" i="7"/>
  <c r="FM43" i="7"/>
  <c r="FM11" i="7"/>
  <c r="FM1" i="7"/>
  <c r="FM5" i="7"/>
  <c r="FM45" i="7"/>
  <c r="FM50" i="7"/>
  <c r="FM8" i="7"/>
  <c r="FM52" i="7" a="1"/>
  <c r="FM13" i="7" a="1"/>
  <c r="FM51" i="7" a="1"/>
  <c r="FM25" i="7" a="1"/>
  <c r="FM2" i="7" a="1"/>
  <c r="FM44" i="7" a="1"/>
  <c r="FM41" i="7" a="1"/>
  <c r="FM9" i="7" a="1"/>
  <c r="B2" i="8"/>
  <c r="C2" i="8" a="1"/>
  <c r="FM25" i="7" l="1"/>
  <c r="FM51" i="7"/>
  <c r="FM13" i="7"/>
  <c r="FM9" i="7"/>
  <c r="FM41" i="7"/>
  <c r="FM44" i="7"/>
  <c r="FM2" i="7"/>
  <c r="C2" i="8"/>
  <c r="H1" i="8"/>
  <c r="FM52" i="7"/>
  <c r="C1" i="8" a="1"/>
  <c r="C4" i="8" a="1"/>
  <c r="C4" i="8" l="1"/>
  <c r="C1" i="8"/>
  <c r="B1" i="8" s="1"/>
  <c r="F4" i="8" a="1"/>
  <c r="C3" i="8" a="1"/>
  <c r="I2" i="8"/>
  <c r="F7" i="8" a="1"/>
  <c r="F6" i="8" a="1"/>
  <c r="G1" i="8" a="1"/>
  <c r="F2" i="8" a="1"/>
  <c r="C6" i="8" a="1"/>
  <c r="F3" i="8" a="1"/>
  <c r="B6" i="8" a="1"/>
  <c r="D6" i="8" a="1"/>
  <c r="J2" i="8" a="1"/>
  <c r="J2" i="8" l="1"/>
  <c r="A9" i="8"/>
  <c r="C3" i="8"/>
  <c r="F4" i="8"/>
  <c r="F3" i="8"/>
  <c r="F6" i="8"/>
  <c r="F7" i="8"/>
  <c r="B6" i="8"/>
  <c r="C6" i="8"/>
  <c r="F2" i="8"/>
  <c r="G1" i="8"/>
  <c r="D6" i="8"/>
  <c r="J1" i="8" a="1"/>
  <c r="J4" i="8" a="1"/>
  <c r="B10" i="8"/>
  <c r="C10" i="8" s="1" a="1"/>
  <c r="J4" i="8" l="1"/>
  <c r="J1" i="8"/>
  <c r="C10" i="8"/>
  <c r="H9" i="8"/>
  <c r="B7" i="8"/>
  <c r="D7" i="8"/>
  <c r="J6" i="8" a="1"/>
  <c r="C12" i="8" a="1"/>
  <c r="K6" i="8" a="1"/>
  <c r="C9" i="8" a="1"/>
  <c r="M3" i="8" a="1"/>
  <c r="M2" i="8" a="1"/>
  <c r="M6" i="8" a="1"/>
  <c r="I6" i="8" a="1"/>
  <c r="J3" i="8" a="1"/>
  <c r="N1" i="8" a="1"/>
  <c r="I1" i="8" l="1"/>
  <c r="C9" i="8"/>
  <c r="J3" i="8"/>
  <c r="M6" i="8"/>
  <c r="M2" i="8"/>
  <c r="M3" i="8"/>
  <c r="N1" i="8"/>
  <c r="C12" i="8"/>
  <c r="I6" i="8"/>
  <c r="K6" i="8"/>
  <c r="J6" i="8"/>
  <c r="M4" i="8" a="1"/>
  <c r="M7" i="8" a="1"/>
  <c r="I10" i="8"/>
  <c r="J10" i="8" s="1" a="1"/>
  <c r="M7" i="8" l="1"/>
  <c r="M4" i="8"/>
  <c r="J10" i="8"/>
  <c r="A17" i="8"/>
  <c r="K7" i="8"/>
  <c r="I7" i="8"/>
  <c r="B9" i="8"/>
  <c r="F14" i="8" a="1"/>
  <c r="G9" i="8" a="1"/>
  <c r="C11" i="8" a="1"/>
  <c r="F10" i="8" a="1"/>
  <c r="F12" i="8" a="1"/>
  <c r="C14" i="8" a="1"/>
  <c r="D14" i="8" a="1"/>
  <c r="J12" i="8" a="1"/>
  <c r="F15" i="8" a="1"/>
  <c r="J9" i="8" a="1"/>
  <c r="F11" i="8" a="1"/>
  <c r="B14" i="8" a="1"/>
  <c r="J9" i="8" l="1"/>
  <c r="C14" i="8"/>
  <c r="F10" i="8"/>
  <c r="G9" i="8"/>
  <c r="F11" i="8"/>
  <c r="F15" i="8"/>
  <c r="J12" i="8"/>
  <c r="B14" i="8"/>
  <c r="D14" i="8"/>
  <c r="F12" i="8"/>
  <c r="C11" i="8"/>
  <c r="F14" i="8"/>
  <c r="B18" i="8"/>
  <c r="C18" i="8" s="1" a="1"/>
  <c r="H17" i="8" l="1"/>
  <c r="C18" i="8"/>
  <c r="I9" i="8"/>
  <c r="D15" i="8"/>
  <c r="B15" i="8"/>
  <c r="M14" i="8" a="1"/>
  <c r="N9" i="8" a="1"/>
  <c r="M10" i="8" a="1"/>
  <c r="J14" i="8" a="1"/>
  <c r="M15" i="8" a="1"/>
  <c r="J11" i="8" a="1"/>
  <c r="M12" i="8" a="1"/>
  <c r="I14" i="8" a="1"/>
  <c r="K14" i="8" a="1"/>
  <c r="M11" i="8" a="1"/>
  <c r="C17" i="8" a="1"/>
  <c r="C20" i="8" a="1"/>
  <c r="C17" i="8" l="1"/>
  <c r="N9" i="8"/>
  <c r="K14" i="8"/>
  <c r="J11" i="8"/>
  <c r="J14" i="8"/>
  <c r="M11" i="8"/>
  <c r="M10" i="8"/>
  <c r="I14" i="8"/>
  <c r="M12" i="8"/>
  <c r="M14" i="8"/>
  <c r="C20" i="8"/>
  <c r="M15" i="8"/>
  <c r="I18" i="8"/>
  <c r="J18" i="8" s="1" a="1"/>
  <c r="J18" i="8" l="1"/>
  <c r="A25" i="8"/>
  <c r="I15" i="8"/>
  <c r="K15" i="8"/>
  <c r="B17" i="8"/>
  <c r="F22" i="8" a="1"/>
  <c r="B22" i="8" a="1"/>
  <c r="F23" i="8" a="1"/>
  <c r="C19" i="8" a="1"/>
  <c r="F19" i="8" a="1"/>
  <c r="J17" i="8" a="1"/>
  <c r="G17" i="8" a="1"/>
  <c r="C22" i="8" a="1"/>
  <c r="D22" i="8" a="1"/>
  <c r="F20" i="8" a="1"/>
  <c r="F18" i="8" a="1"/>
  <c r="J20" i="8" a="1"/>
  <c r="J17" i="8" l="1"/>
  <c r="B22" i="8"/>
  <c r="F18" i="8"/>
  <c r="D22" i="8"/>
  <c r="G17" i="8"/>
  <c r="F19" i="8"/>
  <c r="C19" i="8"/>
  <c r="J20" i="8"/>
  <c r="F23" i="8"/>
  <c r="F22" i="8"/>
  <c r="F20" i="8"/>
  <c r="C22" i="8"/>
  <c r="B26" i="8"/>
  <c r="C26" i="8" a="1"/>
  <c r="C26" i="8" l="1"/>
  <c r="H25" i="8"/>
  <c r="B23" i="8"/>
  <c r="D23" i="8"/>
  <c r="I17" i="8"/>
  <c r="I22" i="8" a="1"/>
  <c r="J22" i="8" a="1"/>
  <c r="C28" i="8" a="1"/>
  <c r="M19" i="8" a="1"/>
  <c r="J19" i="8" a="1"/>
  <c r="C25" i="8" a="1"/>
  <c r="K22" i="8" a="1"/>
  <c r="M20" i="8" a="1"/>
  <c r="M23" i="8" a="1"/>
  <c r="M18" i="8" a="1"/>
  <c r="N17" i="8" a="1"/>
  <c r="M22" i="8" a="1"/>
  <c r="C25" i="8" l="1"/>
  <c r="J22" i="8"/>
  <c r="M22" i="8"/>
  <c r="M23" i="8"/>
  <c r="K22" i="8"/>
  <c r="J19" i="8"/>
  <c r="M18" i="8"/>
  <c r="M19" i="8"/>
  <c r="C28" i="8"/>
  <c r="I22" i="8"/>
  <c r="N17" i="8"/>
  <c r="M20" i="8"/>
  <c r="I26" i="8"/>
  <c r="J26" i="8" a="1"/>
  <c r="J26" i="8" l="1"/>
  <c r="A33" i="8"/>
  <c r="B25" i="8"/>
  <c r="I23" i="8"/>
  <c r="K23" i="8"/>
  <c r="B30" i="8" a="1"/>
  <c r="F26" i="8" a="1"/>
  <c r="C27" i="8" a="1"/>
  <c r="J28" i="8" a="1"/>
  <c r="F27" i="8" a="1"/>
  <c r="J25" i="8" a="1"/>
  <c r="F28" i="8" a="1"/>
  <c r="F30" i="8" a="1"/>
  <c r="F31" i="8" a="1"/>
  <c r="G25" i="8" a="1"/>
  <c r="D30" i="8" a="1"/>
  <c r="C30" i="8" a="1"/>
  <c r="J25" i="8" l="1"/>
  <c r="C30" i="8"/>
  <c r="D30" i="8"/>
  <c r="F31" i="8"/>
  <c r="F28" i="8"/>
  <c r="F27" i="8"/>
  <c r="J28" i="8"/>
  <c r="C27" i="8"/>
  <c r="F26" i="8"/>
  <c r="B30" i="8"/>
  <c r="G25" i="8"/>
  <c r="F30" i="8"/>
  <c r="B34" i="8"/>
  <c r="C34" i="8" a="1"/>
  <c r="C34" i="8" l="1"/>
  <c r="H33" i="8"/>
  <c r="I25" i="8"/>
  <c r="B31" i="8"/>
  <c r="D31" i="8"/>
  <c r="M30" i="8" a="1"/>
  <c r="J30" i="8" a="1"/>
  <c r="C36" i="8" a="1"/>
  <c r="M26" i="8" a="1"/>
  <c r="J27" i="8" a="1"/>
  <c r="C33" i="8" a="1"/>
  <c r="M31" i="8" a="1"/>
  <c r="K30" i="8" a="1"/>
  <c r="N25" i="8" a="1"/>
  <c r="M27" i="8" a="1"/>
  <c r="M28" i="8" a="1"/>
  <c r="I30" i="8" a="1"/>
  <c r="C33" i="8" l="1"/>
  <c r="J30" i="8"/>
  <c r="M27" i="8"/>
  <c r="I30" i="8"/>
  <c r="M31" i="8"/>
  <c r="J27" i="8"/>
  <c r="M26" i="8"/>
  <c r="N25" i="8"/>
  <c r="C36" i="8"/>
  <c r="M30" i="8"/>
  <c r="K30" i="8"/>
  <c r="M28" i="8"/>
  <c r="I34" i="8"/>
  <c r="J34" i="8" s="1" a="1"/>
  <c r="J34" i="8" l="1"/>
  <c r="A41" i="8"/>
  <c r="B33" i="8"/>
  <c r="K31" i="8"/>
  <c r="I31" i="8"/>
  <c r="C35" i="8" a="1"/>
  <c r="F38" i="8" a="1"/>
  <c r="F39" i="8" a="1"/>
  <c r="J36" i="8" a="1"/>
  <c r="D38" i="8" a="1"/>
  <c r="B38" i="8" a="1"/>
  <c r="F34" i="8" a="1"/>
  <c r="F35" i="8" a="1"/>
  <c r="C38" i="8" a="1"/>
  <c r="J33" i="8" a="1"/>
  <c r="F36" i="8" a="1"/>
  <c r="G33" i="8" a="1"/>
  <c r="J33" i="8" l="1"/>
  <c r="C35" i="8"/>
  <c r="F39" i="8"/>
  <c r="G33" i="8"/>
  <c r="C38" i="8"/>
  <c r="F36" i="8"/>
  <c r="F35" i="8"/>
  <c r="F34" i="8"/>
  <c r="J36" i="8"/>
  <c r="B38" i="8"/>
  <c r="F38" i="8"/>
  <c r="D38" i="8"/>
  <c r="B42" i="8"/>
  <c r="C42" i="8" a="1"/>
  <c r="D39" i="8" l="1"/>
  <c r="B39" i="8"/>
  <c r="C42" i="8"/>
  <c r="H41" i="8"/>
  <c r="I33" i="8"/>
  <c r="J35" i="8" a="1"/>
  <c r="C41" i="8" a="1"/>
  <c r="M34" i="8" a="1"/>
  <c r="K38" i="8" a="1"/>
  <c r="M38" i="8" a="1"/>
  <c r="M35" i="8" a="1"/>
  <c r="J38" i="8" a="1"/>
  <c r="N33" i="8" a="1"/>
  <c r="M36" i="8" a="1"/>
  <c r="M39" i="8" a="1"/>
  <c r="C44" i="8" a="1"/>
  <c r="I38" i="8" a="1"/>
  <c r="C41" i="8" l="1"/>
  <c r="J35" i="8"/>
  <c r="M38" i="8"/>
  <c r="K38" i="8"/>
  <c r="I38" i="8"/>
  <c r="N33" i="8"/>
  <c r="C44" i="8"/>
  <c r="M39" i="8"/>
  <c r="M36" i="8"/>
  <c r="J38" i="8"/>
  <c r="M35" i="8"/>
  <c r="M34" i="8"/>
  <c r="I42" i="8"/>
  <c r="J42" i="8" a="1"/>
  <c r="J42" i="8" l="1"/>
  <c r="P1" i="8"/>
  <c r="B41" i="8"/>
  <c r="I39" i="8"/>
  <c r="K39" i="8"/>
  <c r="B46" i="8" a="1"/>
  <c r="F44" i="8" a="1"/>
  <c r="J44" i="8" a="1"/>
  <c r="C46" i="8" a="1"/>
  <c r="F43" i="8" a="1"/>
  <c r="D46" i="8" a="1"/>
  <c r="J41" i="8" a="1"/>
  <c r="F46" i="8" a="1"/>
  <c r="G41" i="8" a="1"/>
  <c r="F42" i="8" a="1"/>
  <c r="C43" i="8" a="1"/>
  <c r="F47" i="8" a="1"/>
  <c r="J41" i="8" l="1"/>
  <c r="C43" i="8"/>
  <c r="F44" i="8"/>
  <c r="F42" i="8"/>
  <c r="G41" i="8"/>
  <c r="F46" i="8"/>
  <c r="D46" i="8"/>
  <c r="F43" i="8"/>
  <c r="C46" i="8"/>
  <c r="J44" i="8"/>
  <c r="B46" i="8"/>
  <c r="F47" i="8"/>
  <c r="Q2" i="8"/>
  <c r="R2" i="8" a="1"/>
  <c r="R2" i="8" l="1"/>
  <c r="W1" i="8"/>
  <c r="I41" i="8"/>
  <c r="B47" i="8"/>
  <c r="D47" i="8"/>
  <c r="J43" i="8" a="1"/>
  <c r="I46" i="8" a="1"/>
  <c r="M43" i="8" a="1"/>
  <c r="K46" i="8" a="1"/>
  <c r="M46" i="8" a="1"/>
  <c r="J46" i="8" a="1"/>
  <c r="R4" i="8" a="1"/>
  <c r="M47" i="8" a="1"/>
  <c r="N41" i="8" a="1"/>
  <c r="M42" i="8" a="1"/>
  <c r="M44" i="8" a="1"/>
  <c r="R1" i="8" a="1"/>
  <c r="R1" i="8" l="1"/>
  <c r="M43" i="8"/>
  <c r="M42" i="8"/>
  <c r="J43" i="8"/>
  <c r="J46" i="8"/>
  <c r="M44" i="8"/>
  <c r="M47" i="8"/>
  <c r="M46" i="8"/>
  <c r="K46" i="8"/>
  <c r="I46" i="8"/>
  <c r="R4" i="8"/>
  <c r="N41" i="8"/>
  <c r="X2" i="8"/>
  <c r="Y2" i="8" a="1"/>
  <c r="Y2" i="8" l="1"/>
  <c r="P9" i="8"/>
  <c r="K47" i="8"/>
  <c r="I47" i="8"/>
  <c r="Q1" i="8"/>
  <c r="U3" i="8" a="1"/>
  <c r="R6" i="8" a="1"/>
  <c r="U7" i="8" a="1"/>
  <c r="U2" i="8" a="1"/>
  <c r="Q6" i="8" a="1"/>
  <c r="U4" i="8" a="1"/>
  <c r="U6" i="8" a="1"/>
  <c r="V1" i="8" a="1"/>
  <c r="R3" i="8" a="1"/>
  <c r="S6" i="8" a="1"/>
  <c r="Y1" i="8" a="1"/>
  <c r="Y4" i="8" a="1"/>
  <c r="Y1" i="8" l="1"/>
  <c r="R3" i="8"/>
  <c r="V1" i="8"/>
  <c r="U4" i="8"/>
  <c r="Q6" i="8"/>
  <c r="U2" i="8"/>
  <c r="Y4" i="8"/>
  <c r="U7" i="8"/>
  <c r="R6" i="8"/>
  <c r="U3" i="8"/>
  <c r="S6" i="8"/>
  <c r="U6" i="8"/>
  <c r="Q10" i="8"/>
  <c r="R10" i="8" s="1" a="1"/>
  <c r="S7" i="8" l="1"/>
  <c r="Q7" i="8"/>
  <c r="R10" i="8"/>
  <c r="W9" i="8"/>
  <c r="X1" i="8"/>
  <c r="Y3" i="8" a="1"/>
  <c r="AB4" i="8" a="1"/>
  <c r="AB7" i="8" a="1"/>
  <c r="AB6" i="8" a="1"/>
  <c r="X6" i="8" a="1"/>
  <c r="Y6" i="8" a="1"/>
  <c r="AB2" i="8" a="1"/>
  <c r="AC1" i="8" a="1"/>
  <c r="AB3" i="8" a="1"/>
  <c r="Z6" i="8" a="1"/>
  <c r="R9" i="8" a="1"/>
  <c r="R12" i="8" a="1"/>
  <c r="R9" i="8" l="1"/>
  <c r="Y6" i="8"/>
  <c r="X6" i="8"/>
  <c r="AB3" i="8"/>
  <c r="AC1" i="8"/>
  <c r="AB2" i="8"/>
  <c r="AB6" i="8"/>
  <c r="Y3" i="8"/>
  <c r="R12" i="8"/>
  <c r="AB7" i="8"/>
  <c r="Z6" i="8"/>
  <c r="AB4" i="8"/>
  <c r="X10" i="8"/>
  <c r="Y10" i="8" a="1"/>
  <c r="Y10" i="8" l="1"/>
  <c r="P17" i="8"/>
  <c r="Q9" i="8"/>
  <c r="X7" i="8"/>
  <c r="Z7" i="8"/>
  <c r="S14" i="8" a="1"/>
  <c r="R11" i="8" a="1"/>
  <c r="U12" i="8" a="1"/>
  <c r="V9" i="8" a="1"/>
  <c r="Q14" i="8" a="1"/>
  <c r="U15" i="8" a="1"/>
  <c r="U10" i="8" a="1"/>
  <c r="U14" i="8" a="1"/>
  <c r="U11" i="8" a="1"/>
  <c r="R14" i="8" a="1"/>
  <c r="Y12" i="8" a="1"/>
  <c r="Y9" i="8" a="1"/>
  <c r="Y9" i="8" l="1"/>
  <c r="Q14" i="8"/>
  <c r="V9" i="8"/>
  <c r="U14" i="8"/>
  <c r="U10" i="8"/>
  <c r="U12" i="8"/>
  <c r="R11" i="8"/>
  <c r="S14" i="8"/>
  <c r="U15" i="8"/>
  <c r="R14" i="8"/>
  <c r="U11" i="8"/>
  <c r="Y12" i="8"/>
  <c r="Q18" i="8"/>
  <c r="R18" i="8" a="1"/>
  <c r="S15" i="8" l="1"/>
  <c r="Q15" i="8"/>
  <c r="R18" i="8"/>
  <c r="W17" i="8"/>
  <c r="X9" i="8"/>
  <c r="Z14" i="8" a="1"/>
  <c r="X14" i="8" a="1"/>
  <c r="AC9" i="8" a="1"/>
  <c r="AB14" i="8" a="1"/>
  <c r="AB11" i="8" a="1"/>
  <c r="AB10" i="8" a="1"/>
  <c r="AB15" i="8" a="1"/>
  <c r="Y11" i="8" a="1"/>
  <c r="Y14" i="8" a="1"/>
  <c r="AB12" i="8" a="1"/>
  <c r="R20" i="8" a="1"/>
  <c r="R17" i="8" a="1"/>
  <c r="R17" i="8" l="1"/>
  <c r="Y11" i="8"/>
  <c r="AB10" i="8"/>
  <c r="AB12" i="8"/>
  <c r="AB14" i="8"/>
  <c r="AC9" i="8"/>
  <c r="X14" i="8"/>
  <c r="Z14" i="8"/>
  <c r="Y14" i="8"/>
  <c r="AB15" i="8"/>
  <c r="AB11" i="8"/>
  <c r="R20" i="8"/>
  <c r="X18" i="8"/>
  <c r="Y18" i="8" a="1"/>
  <c r="Z15" i="8" l="1"/>
  <c r="X15" i="8"/>
  <c r="Y18" i="8"/>
  <c r="P25" i="8"/>
  <c r="Q17" i="8"/>
  <c r="R22" i="8" a="1"/>
  <c r="U20" i="8" a="1"/>
  <c r="S22" i="8" a="1"/>
  <c r="U19" i="8" a="1"/>
  <c r="U23" i="8" a="1"/>
  <c r="U22" i="8" a="1"/>
  <c r="R19" i="8" a="1"/>
  <c r="Q22" i="8" a="1"/>
  <c r="U18" i="8" a="1"/>
  <c r="V17" i="8" a="1"/>
  <c r="Y20" i="8" a="1"/>
  <c r="Y17" i="8" a="1"/>
  <c r="Y17" i="8" l="1"/>
  <c r="U19" i="8"/>
  <c r="Q22" i="8"/>
  <c r="U22" i="8"/>
  <c r="S22" i="8"/>
  <c r="U23" i="8"/>
  <c r="U20" i="8"/>
  <c r="R22" i="8"/>
  <c r="U18" i="8"/>
  <c r="V17" i="8"/>
  <c r="R19" i="8"/>
  <c r="Y20" i="8"/>
  <c r="Q26" i="8"/>
  <c r="R26" i="8" a="1"/>
  <c r="Q23" i="8" l="1"/>
  <c r="S23" i="8"/>
  <c r="R26" i="8"/>
  <c r="W25" i="8"/>
  <c r="X17" i="8"/>
  <c r="AB20" i="8" a="1"/>
  <c r="Z22" i="8" a="1"/>
  <c r="AB23" i="8" a="1"/>
  <c r="AB19" i="8" a="1"/>
  <c r="X22" i="8" a="1"/>
  <c r="AB18" i="8" a="1"/>
  <c r="AC17" i="8" a="1"/>
  <c r="AB22" i="8" a="1"/>
  <c r="Y19" i="8" a="1"/>
  <c r="Y22" i="8" a="1"/>
  <c r="R25" i="8" a="1"/>
  <c r="R28" i="8" a="1"/>
  <c r="R25" i="8" l="1"/>
  <c r="Y19" i="8"/>
  <c r="AB18" i="8"/>
  <c r="AB19" i="8"/>
  <c r="AC17" i="8"/>
  <c r="AB23" i="8"/>
  <c r="Z22" i="8"/>
  <c r="AB20" i="8"/>
  <c r="Y22" i="8"/>
  <c r="AB22" i="8"/>
  <c r="X22" i="8"/>
  <c r="R28" i="8"/>
  <c r="X26" i="8"/>
  <c r="Y26" i="8" s="1" a="1"/>
  <c r="X23" i="8" l="1"/>
  <c r="Z23" i="8"/>
  <c r="Y26" i="8"/>
  <c r="P33" i="8"/>
  <c r="Q25" i="8"/>
  <c r="U30" i="8" a="1"/>
  <c r="R30" i="8" a="1"/>
  <c r="U26" i="8" a="1"/>
  <c r="U28" i="8" a="1"/>
  <c r="S30" i="8" a="1"/>
  <c r="V25" i="8" a="1"/>
  <c r="U31" i="8" a="1"/>
  <c r="R27" i="8" a="1"/>
  <c r="U27" i="8" a="1"/>
  <c r="Q30" i="8" a="1"/>
  <c r="Y28" i="8" a="1"/>
  <c r="Y25" i="8" a="1"/>
  <c r="Y25" i="8" l="1"/>
  <c r="U31" i="8"/>
  <c r="U30" i="8"/>
  <c r="Q30" i="8"/>
  <c r="U28" i="8"/>
  <c r="U26" i="8"/>
  <c r="R30" i="8"/>
  <c r="U27" i="8"/>
  <c r="R27" i="8"/>
  <c r="V25" i="8"/>
  <c r="S30" i="8"/>
  <c r="Y28" i="8"/>
  <c r="Q34" i="8"/>
  <c r="R34" i="8" a="1"/>
  <c r="S31" i="8" l="1"/>
  <c r="Q31" i="8"/>
  <c r="R34" i="8"/>
  <c r="W33" i="8"/>
  <c r="X25" i="8"/>
  <c r="Z30" i="8" a="1"/>
  <c r="AB31" i="8" a="1"/>
  <c r="Y27" i="8" a="1"/>
  <c r="X30" i="8" a="1"/>
  <c r="Y30" i="8" a="1"/>
  <c r="AB28" i="8" a="1"/>
  <c r="AB26" i="8" a="1"/>
  <c r="AC25" i="8" a="1"/>
  <c r="AB30" i="8" a="1"/>
  <c r="AB27" i="8" a="1"/>
  <c r="R33" i="8" a="1"/>
  <c r="R36" i="8" a="1"/>
  <c r="R33" i="8" l="1"/>
  <c r="AB31" i="8"/>
  <c r="AB27" i="8"/>
  <c r="AC25" i="8"/>
  <c r="X30" i="8"/>
  <c r="AB26" i="8"/>
  <c r="AB28" i="8"/>
  <c r="Y27" i="8"/>
  <c r="Y30" i="8"/>
  <c r="Z30" i="8"/>
  <c r="AB30" i="8"/>
  <c r="R36" i="8"/>
  <c r="X34" i="8"/>
  <c r="Y34" i="8" a="1"/>
  <c r="X31" i="8" l="1"/>
  <c r="Z31" i="8"/>
  <c r="Y34" i="8"/>
  <c r="P41" i="8"/>
  <c r="Q33" i="8"/>
  <c r="U35" i="8" a="1"/>
  <c r="S38" i="8" a="1"/>
  <c r="U34" i="8" a="1"/>
  <c r="U36" i="8" a="1"/>
  <c r="R38" i="8" a="1"/>
  <c r="U39" i="8" a="1"/>
  <c r="U38" i="8" a="1"/>
  <c r="V33" i="8" a="1"/>
  <c r="R35" i="8" a="1"/>
  <c r="Q38" i="8" a="1"/>
  <c r="Y36" i="8" a="1"/>
  <c r="Y33" i="8" a="1"/>
  <c r="Y33" i="8" l="1"/>
  <c r="V33" i="8"/>
  <c r="U39" i="8"/>
  <c r="U36" i="8"/>
  <c r="U34" i="8"/>
  <c r="S38" i="8"/>
  <c r="U35" i="8"/>
  <c r="Q38" i="8"/>
  <c r="R35" i="8"/>
  <c r="U38" i="8"/>
  <c r="R38" i="8"/>
  <c r="Y36" i="8"/>
  <c r="Q42" i="8"/>
  <c r="R42" i="8" s="1" a="1"/>
  <c r="Q39" i="8" l="1"/>
  <c r="S39" i="8"/>
  <c r="R42" i="8"/>
  <c r="W41" i="8"/>
  <c r="X33" i="8"/>
  <c r="AB36" i="8" a="1"/>
  <c r="X38" i="8" a="1"/>
  <c r="AC33" i="8" a="1"/>
  <c r="Z38" i="8" a="1"/>
  <c r="AB38" i="8" a="1"/>
  <c r="Y38" i="8" a="1"/>
  <c r="AB34" i="8" a="1"/>
  <c r="AB39" i="8" a="1"/>
  <c r="Y35" i="8" a="1"/>
  <c r="AB35" i="8" a="1"/>
  <c r="R41" i="8" a="1"/>
  <c r="R44" i="8" a="1"/>
  <c r="R41" i="8" l="1"/>
  <c r="AB35" i="8"/>
  <c r="Y35" i="8"/>
  <c r="AB34" i="8"/>
  <c r="X38" i="8"/>
  <c r="Y38" i="8"/>
  <c r="AC33" i="8"/>
  <c r="AB36" i="8"/>
  <c r="AB38" i="8"/>
  <c r="Z38" i="8"/>
  <c r="AB39" i="8"/>
  <c r="R44" i="8"/>
  <c r="X42" i="8"/>
  <c r="Y42" i="8" a="1"/>
  <c r="Z39" i="8" l="1"/>
  <c r="X39" i="8"/>
  <c r="Y42" i="8"/>
  <c r="AE1" i="8"/>
  <c r="Q41" i="8"/>
  <c r="U42" i="8" a="1"/>
  <c r="R43" i="8" a="1"/>
  <c r="S46" i="8" a="1"/>
  <c r="U43" i="8" a="1"/>
  <c r="V41" i="8" a="1"/>
  <c r="R46" i="8" a="1"/>
  <c r="Q46" i="8" a="1"/>
  <c r="U44" i="8" a="1"/>
  <c r="U46" i="8" a="1"/>
  <c r="U47" i="8" a="1"/>
  <c r="Y41" i="8" a="1"/>
  <c r="Y44" i="8" a="1"/>
  <c r="Y41" i="8" l="1"/>
  <c r="U46" i="8"/>
  <c r="S46" i="8"/>
  <c r="R43" i="8"/>
  <c r="Q46" i="8"/>
  <c r="R46" i="8"/>
  <c r="V41" i="8"/>
  <c r="U42" i="8"/>
  <c r="U43" i="8"/>
  <c r="U47" i="8"/>
  <c r="U44" i="8"/>
  <c r="Y44" i="8"/>
  <c r="AF2" i="8"/>
  <c r="AG2" i="8" a="1"/>
  <c r="AG2" i="8" l="1"/>
  <c r="AL1" i="8"/>
  <c r="Q47" i="8"/>
  <c r="S47" i="8"/>
  <c r="X41" i="8"/>
  <c r="X46" i="8" a="1"/>
  <c r="Z46" i="8" a="1"/>
  <c r="AB44" i="8" a="1"/>
  <c r="AB42" i="8" a="1"/>
  <c r="Y46" i="8" a="1"/>
  <c r="AB46" i="8" a="1"/>
  <c r="Y43" i="8" a="1"/>
  <c r="AC41" i="8" a="1"/>
  <c r="AB47" i="8" a="1"/>
  <c r="AB43" i="8" a="1"/>
  <c r="AG4" i="8" a="1"/>
  <c r="AG1" i="8" a="1"/>
  <c r="AG1" i="8" l="1"/>
  <c r="AG4" i="8"/>
  <c r="AB42" i="8"/>
  <c r="AB44" i="8"/>
  <c r="Y43" i="8"/>
  <c r="Z46" i="8"/>
  <c r="AB46" i="8"/>
  <c r="Y46" i="8"/>
  <c r="X46" i="8"/>
  <c r="AC41" i="8"/>
  <c r="AB47" i="8"/>
  <c r="AB43" i="8"/>
  <c r="AM2" i="8"/>
  <c r="AN2" i="8" a="1"/>
  <c r="AN2" i="8" l="1"/>
  <c r="AF1" i="8"/>
  <c r="X47" i="8"/>
  <c r="Z47" i="8"/>
  <c r="AE9" i="8"/>
  <c r="AJ2" i="8" a="1"/>
  <c r="AK1" i="8" a="1"/>
  <c r="AF6" i="8" a="1"/>
  <c r="AG3" i="8" a="1"/>
  <c r="AH6" i="8" a="1"/>
  <c r="AJ4" i="8" a="1"/>
  <c r="AJ3" i="8" a="1"/>
  <c r="AG6" i="8" a="1"/>
  <c r="AJ7" i="8" a="1"/>
  <c r="AJ6" i="8" a="1"/>
  <c r="AN4" i="8" a="1"/>
  <c r="AN1" i="8" a="1"/>
  <c r="AJ4" i="8" l="1"/>
  <c r="AG6" i="8"/>
  <c r="AJ6" i="8"/>
  <c r="AG3" i="8"/>
  <c r="AF6" i="8"/>
  <c r="AN1" i="8"/>
  <c r="AK1" i="8"/>
  <c r="AJ2" i="8"/>
  <c r="AN4" i="8"/>
  <c r="AJ3" i="8"/>
  <c r="AJ7" i="8"/>
  <c r="AH6" i="8"/>
  <c r="AF10" i="8"/>
  <c r="AG10" i="8" a="1"/>
  <c r="AG10" i="8" l="1"/>
  <c r="AL9" i="8"/>
  <c r="AM1" i="8"/>
  <c r="AF7" i="8"/>
  <c r="AH7" i="8"/>
  <c r="AN3" i="8" a="1"/>
  <c r="AR1" i="8" a="1"/>
  <c r="AN6" i="8" a="1"/>
  <c r="AQ3" i="8" a="1"/>
  <c r="AQ2" i="8" a="1"/>
  <c r="AQ6" i="8" a="1"/>
  <c r="AM6" i="8" a="1"/>
  <c r="AQ4" i="8" a="1"/>
  <c r="AO6" i="8" a="1"/>
  <c r="AQ7" i="8" a="1"/>
  <c r="AG12" i="8" a="1"/>
  <c r="AG9" i="8" a="1"/>
  <c r="AQ6" i="8" l="1"/>
  <c r="AQ7" i="8"/>
  <c r="AO6" i="8"/>
  <c r="AQ4" i="8"/>
  <c r="AN6" i="8"/>
  <c r="AR1" i="8"/>
  <c r="AN3" i="8"/>
  <c r="AM6" i="8"/>
  <c r="AG12" i="8"/>
  <c r="AQ2" i="8"/>
  <c r="AQ3" i="8"/>
  <c r="AG9" i="8"/>
  <c r="AM10" i="8"/>
  <c r="AN10" i="8" s="1" a="1"/>
  <c r="AN10" i="8" l="1"/>
  <c r="AE17" i="8"/>
  <c r="AO7" i="8"/>
  <c r="AM7" i="8"/>
  <c r="AF9" i="8"/>
  <c r="AG11" i="8" a="1"/>
  <c r="AJ12" i="8" a="1"/>
  <c r="AJ11" i="8" a="1"/>
  <c r="AG14" i="8" a="1"/>
  <c r="AJ15" i="8" a="1"/>
  <c r="AH14" i="8" a="1"/>
  <c r="AF14" i="8" a="1"/>
  <c r="AJ10" i="8" a="1"/>
  <c r="AJ14" i="8" a="1"/>
  <c r="AK9" i="8" a="1"/>
  <c r="AN12" i="8" a="1"/>
  <c r="AN9" i="8" a="1"/>
  <c r="AF14" i="8" l="1"/>
  <c r="AJ15" i="8"/>
  <c r="AJ11" i="8"/>
  <c r="AK9" i="8"/>
  <c r="AJ14" i="8"/>
  <c r="AJ12" i="8"/>
  <c r="AG11" i="8"/>
  <c r="AJ10" i="8"/>
  <c r="AN12" i="8"/>
  <c r="AN9" i="8"/>
  <c r="AH14" i="8"/>
  <c r="AG14" i="8"/>
  <c r="AF18" i="8"/>
  <c r="AG18" i="8" s="1" a="1"/>
  <c r="AG18" i="8" l="1"/>
  <c r="AL17" i="8"/>
  <c r="AH15" i="8"/>
  <c r="AF15" i="8"/>
  <c r="AM9" i="8"/>
  <c r="AQ14" i="8" a="1"/>
  <c r="AQ15" i="8" a="1"/>
  <c r="AN14" i="8" a="1"/>
  <c r="AO14" i="8" a="1"/>
  <c r="AQ10" i="8" a="1"/>
  <c r="AQ12" i="8" a="1"/>
  <c r="AR9" i="8" a="1"/>
  <c r="AQ11" i="8" a="1"/>
  <c r="AM14" i="8" a="1"/>
  <c r="AN11" i="8" a="1"/>
  <c r="AG20" i="8" a="1"/>
  <c r="AG17" i="8" a="1"/>
  <c r="AQ12" i="8" l="1"/>
  <c r="AQ15" i="8"/>
  <c r="AN14" i="8"/>
  <c r="AQ14" i="8"/>
  <c r="AN11" i="8"/>
  <c r="AM14" i="8"/>
  <c r="AG20" i="8"/>
  <c r="AQ11" i="8"/>
  <c r="AR9" i="8"/>
  <c r="AG17" i="8"/>
  <c r="AQ10" i="8"/>
  <c r="AO14" i="8"/>
  <c r="AM18" i="8"/>
  <c r="AN18" i="8" s="1" a="1"/>
  <c r="AN18" i="8" l="1"/>
  <c r="AE25" i="8"/>
  <c r="AM15" i="8"/>
  <c r="AO15" i="8"/>
  <c r="AF17" i="8"/>
  <c r="AF22" i="8" a="1"/>
  <c r="AG19" i="8" a="1"/>
  <c r="AJ20" i="8" a="1"/>
  <c r="AG22" i="8" a="1"/>
  <c r="AK17" i="8" a="1"/>
  <c r="AJ23" i="8" a="1"/>
  <c r="AJ22" i="8" a="1"/>
  <c r="AJ18" i="8" a="1"/>
  <c r="AJ19" i="8" a="1"/>
  <c r="AH22" i="8" a="1"/>
  <c r="AN20" i="8" a="1"/>
  <c r="AN17" i="8" a="1"/>
  <c r="AJ19" i="8" l="1"/>
  <c r="AG22" i="8"/>
  <c r="AN17" i="8"/>
  <c r="AJ20" i="8"/>
  <c r="AJ23" i="8"/>
  <c r="AN20" i="8"/>
  <c r="AG19" i="8"/>
  <c r="AH22" i="8"/>
  <c r="AF22" i="8"/>
  <c r="AK17" i="8"/>
  <c r="AJ18" i="8"/>
  <c r="AJ22" i="8"/>
  <c r="AF26" i="8"/>
  <c r="AG26" i="8" a="1"/>
  <c r="AG26" i="8" l="1"/>
  <c r="AL25" i="8"/>
  <c r="AM17" i="8"/>
  <c r="AF23" i="8"/>
  <c r="AH23" i="8"/>
  <c r="AO22" i="8" a="1"/>
  <c r="AQ22" i="8" a="1"/>
  <c r="AQ20" i="8" a="1"/>
  <c r="AQ23" i="8" a="1"/>
  <c r="AM22" i="8" a="1"/>
  <c r="AN19" i="8" a="1"/>
  <c r="AQ19" i="8" a="1"/>
  <c r="AQ18" i="8" a="1"/>
  <c r="AR17" i="8" a="1"/>
  <c r="AN22" i="8" a="1"/>
  <c r="AG28" i="8" a="1"/>
  <c r="AG25" i="8" a="1"/>
  <c r="AN19" i="8" l="1"/>
  <c r="AG25" i="8"/>
  <c r="AQ23" i="8"/>
  <c r="AQ22" i="8"/>
  <c r="AO22" i="8"/>
  <c r="AG28" i="8"/>
  <c r="AN22" i="8"/>
  <c r="AR17" i="8"/>
  <c r="AQ18" i="8"/>
  <c r="AQ19" i="8"/>
  <c r="AM22" i="8"/>
  <c r="AQ20" i="8"/>
  <c r="AM26" i="8"/>
  <c r="AN26" i="8" a="1"/>
  <c r="AN26" i="8" l="1"/>
  <c r="AE33" i="8"/>
  <c r="AO23" i="8"/>
  <c r="AM23" i="8"/>
  <c r="AF25" i="8"/>
  <c r="AJ30" i="8" a="1"/>
  <c r="AH30" i="8" a="1"/>
  <c r="AG30" i="8" a="1"/>
  <c r="AG27" i="8" a="1"/>
  <c r="AJ28" i="8" a="1"/>
  <c r="AJ26" i="8" a="1"/>
  <c r="AJ31" i="8" a="1"/>
  <c r="AF30" i="8" a="1"/>
  <c r="AJ27" i="8" a="1"/>
  <c r="AK25" i="8" a="1"/>
  <c r="AN25" i="8" a="1"/>
  <c r="AN28" i="8" a="1"/>
  <c r="AK25" i="8" l="1"/>
  <c r="AJ31" i="8"/>
  <c r="AG30" i="8"/>
  <c r="AN28" i="8"/>
  <c r="AJ28" i="8"/>
  <c r="AG27" i="8"/>
  <c r="AN25" i="8"/>
  <c r="AH30" i="8"/>
  <c r="AJ30" i="8"/>
  <c r="AF30" i="8"/>
  <c r="AJ27" i="8"/>
  <c r="AJ26" i="8"/>
  <c r="AF34" i="8"/>
  <c r="AG34" i="8" a="1"/>
  <c r="AG34" i="8" l="1"/>
  <c r="AL33" i="8"/>
  <c r="AM25" i="8"/>
  <c r="AH31" i="8"/>
  <c r="AF31" i="8"/>
  <c r="AQ26" i="8" a="1"/>
  <c r="AM30" i="8" a="1"/>
  <c r="AQ31" i="8" a="1"/>
  <c r="AQ28" i="8" a="1"/>
  <c r="AO30" i="8" a="1"/>
  <c r="AR25" i="8" a="1"/>
  <c r="AQ30" i="8" a="1"/>
  <c r="AN30" i="8" a="1"/>
  <c r="AQ27" i="8" a="1"/>
  <c r="AN27" i="8" a="1"/>
  <c r="AG33" i="8" a="1"/>
  <c r="AG36" i="8" a="1"/>
  <c r="AN27" i="8" l="1"/>
  <c r="AN30" i="8"/>
  <c r="AR25" i="8"/>
  <c r="AO30" i="8"/>
  <c r="AG36" i="8"/>
  <c r="AQ31" i="8"/>
  <c r="AM30" i="8"/>
  <c r="AG33" i="8"/>
  <c r="AQ26" i="8"/>
  <c r="AQ27" i="8"/>
  <c r="AQ28" i="8"/>
  <c r="AQ30" i="8"/>
  <c r="AM34" i="8"/>
  <c r="AN34" i="8" a="1"/>
  <c r="AN34" i="8" l="1"/>
  <c r="AE41" i="8"/>
  <c r="AF33" i="8"/>
  <c r="AM31" i="8"/>
  <c r="AO31" i="8"/>
  <c r="AF38" i="8" a="1"/>
  <c r="AH38" i="8" a="1"/>
  <c r="AJ38" i="8" a="1"/>
  <c r="AJ39" i="8" a="1"/>
  <c r="AG35" i="8" a="1"/>
  <c r="AK33" i="8" a="1"/>
  <c r="AJ36" i="8" a="1"/>
  <c r="AJ34" i="8" a="1"/>
  <c r="AG38" i="8" a="1"/>
  <c r="AJ35" i="8" a="1"/>
  <c r="AN36" i="8" a="1"/>
  <c r="AN33" i="8" a="1"/>
  <c r="AK33" i="8" l="1"/>
  <c r="AG35" i="8"/>
  <c r="AN33" i="8"/>
  <c r="AN36" i="8"/>
  <c r="AG38" i="8"/>
  <c r="AJ39" i="8"/>
  <c r="AJ38" i="8"/>
  <c r="AH38" i="8"/>
  <c r="AF38" i="8"/>
  <c r="AJ34" i="8"/>
  <c r="AJ35" i="8"/>
  <c r="AJ36" i="8"/>
  <c r="AF42" i="8"/>
  <c r="AG42" i="8" a="1"/>
  <c r="AG42" i="8" l="1"/>
  <c r="AL41" i="8"/>
  <c r="AF39" i="8"/>
  <c r="AH39" i="8"/>
  <c r="AM33" i="8"/>
  <c r="AQ35" i="8" a="1"/>
  <c r="AR33" i="8" a="1"/>
  <c r="AN38" i="8" a="1"/>
  <c r="AO38" i="8" a="1"/>
  <c r="AQ38" i="8" a="1"/>
  <c r="AM38" i="8" a="1"/>
  <c r="AQ34" i="8" a="1"/>
  <c r="AQ36" i="8" a="1"/>
  <c r="AQ39" i="8" a="1"/>
  <c r="AN35" i="8" a="1"/>
  <c r="AG41" i="8" a="1"/>
  <c r="AG44" i="8" a="1"/>
  <c r="AM38" i="8" l="1"/>
  <c r="AG41" i="8"/>
  <c r="AQ38" i="8"/>
  <c r="AN38" i="8"/>
  <c r="AG44" i="8"/>
  <c r="AQ39" i="8"/>
  <c r="AQ34" i="8"/>
  <c r="AR33" i="8"/>
  <c r="AQ35" i="8"/>
  <c r="AN35" i="8"/>
  <c r="AQ36" i="8"/>
  <c r="AO38" i="8"/>
  <c r="AM42" i="8"/>
  <c r="AN42" i="8" s="1" a="1"/>
  <c r="AN42" i="8" l="1"/>
  <c r="AT1" i="8"/>
  <c r="AO39" i="8"/>
  <c r="AM39" i="8"/>
  <c r="AF41" i="8"/>
  <c r="AJ43" i="8" a="1"/>
  <c r="AF46" i="8" a="1"/>
  <c r="AG43" i="8" a="1"/>
  <c r="AH46" i="8" a="1"/>
  <c r="AJ44" i="8" a="1"/>
  <c r="AG46" i="8" a="1"/>
  <c r="AJ42" i="8" a="1"/>
  <c r="AJ47" i="8" a="1"/>
  <c r="AJ46" i="8" a="1"/>
  <c r="AK41" i="8" a="1"/>
  <c r="AN41" i="8" a="1"/>
  <c r="AN44" i="8" a="1"/>
  <c r="AG46" i="8" l="1"/>
  <c r="AN41" i="8"/>
  <c r="AH46" i="8"/>
  <c r="AG43" i="8"/>
  <c r="AN44" i="8"/>
  <c r="AJ47" i="8"/>
  <c r="AJ42" i="8"/>
  <c r="AF46" i="8"/>
  <c r="AJ43" i="8"/>
  <c r="AK41" i="8"/>
  <c r="AJ44" i="8"/>
  <c r="AJ46" i="8"/>
  <c r="AU2" i="8"/>
  <c r="AV2" i="8" a="1"/>
  <c r="AV2" i="8" l="1"/>
  <c r="BA1" i="8"/>
  <c r="AM41" i="8"/>
  <c r="AH47" i="8"/>
  <c r="AF47" i="8"/>
  <c r="AQ44" i="8" a="1"/>
  <c r="AQ46" i="8" a="1"/>
  <c r="AQ43" i="8" a="1"/>
  <c r="AN46" i="8" a="1"/>
  <c r="AN43" i="8" a="1"/>
  <c r="AM46" i="8" a="1"/>
  <c r="AQ42" i="8" a="1"/>
  <c r="AO46" i="8" a="1"/>
  <c r="AQ47" i="8" a="1"/>
  <c r="AR41" i="8" a="1"/>
  <c r="AV4" i="8" a="1"/>
  <c r="AV1" i="8" a="1"/>
  <c r="AV1" i="8" l="1"/>
  <c r="AV4" i="8"/>
  <c r="AN43" i="8"/>
  <c r="AR41" i="8"/>
  <c r="AO46" i="8"/>
  <c r="AQ42" i="8"/>
  <c r="AQ43" i="8"/>
  <c r="AQ46" i="8"/>
  <c r="AQ44" i="8"/>
  <c r="AM46" i="8"/>
  <c r="AN46" i="8"/>
  <c r="AQ47" i="8"/>
  <c r="BB2" i="8"/>
  <c r="BC2" i="8" s="1" a="1"/>
  <c r="BC2" i="8" l="1"/>
  <c r="AT9" i="8"/>
  <c r="AU1" i="8"/>
  <c r="AM47" i="8"/>
  <c r="AO47" i="8"/>
  <c r="AY3" i="8" a="1"/>
  <c r="AU6" i="8" a="1"/>
  <c r="AY2" i="8" a="1"/>
  <c r="AY6" i="8" a="1"/>
  <c r="AZ1" i="8" a="1"/>
  <c r="AW6" i="8" a="1"/>
  <c r="AV6" i="8" a="1"/>
  <c r="AV3" i="8" a="1"/>
  <c r="AY7" i="8" a="1"/>
  <c r="AY4" i="8" a="1"/>
  <c r="BC1" i="8" a="1"/>
  <c r="BC4" i="8" a="1"/>
  <c r="AU6" i="8" l="1"/>
  <c r="AY4" i="8"/>
  <c r="AY7" i="8"/>
  <c r="BC1" i="8"/>
  <c r="AV3" i="8"/>
  <c r="AY2" i="8"/>
  <c r="BC4" i="8"/>
  <c r="AV6" i="8"/>
  <c r="AW6" i="8"/>
  <c r="AZ1" i="8"/>
  <c r="AY3" i="8"/>
  <c r="AY6" i="8"/>
  <c r="AU10" i="8"/>
  <c r="AV10" i="8" a="1"/>
  <c r="AV10" i="8" l="1"/>
  <c r="BA9" i="8"/>
  <c r="AU7" i="8"/>
  <c r="AW7" i="8"/>
  <c r="BB1" i="8"/>
  <c r="BF6" i="8" a="1"/>
  <c r="BC6" i="8" a="1"/>
  <c r="BF2" i="8" a="1"/>
  <c r="BF4" i="8" a="1"/>
  <c r="BD6" i="8" a="1"/>
  <c r="BB6" i="8" a="1"/>
  <c r="BG1" i="8" a="1"/>
  <c r="BC3" i="8" a="1"/>
  <c r="BF7" i="8" a="1"/>
  <c r="BF3" i="8" a="1"/>
  <c r="AV9" i="8" a="1"/>
  <c r="AV12" i="8" a="1"/>
  <c r="BC3" i="8" l="1"/>
  <c r="BD6" i="8"/>
  <c r="BF4" i="8"/>
  <c r="BF2" i="8"/>
  <c r="BF3" i="8"/>
  <c r="AV12" i="8"/>
  <c r="BC6" i="8"/>
  <c r="BF6" i="8"/>
  <c r="AV9" i="8"/>
  <c r="BF7" i="8"/>
  <c r="BG1" i="8"/>
  <c r="BB6" i="8"/>
  <c r="BB10" i="8"/>
  <c r="BC10" i="8" s="1" a="1"/>
  <c r="BC10" i="8" l="1"/>
  <c r="AT17" i="8"/>
  <c r="BB7" i="8"/>
  <c r="BD7" i="8"/>
  <c r="AU9" i="8"/>
  <c r="AY15" i="8" a="1"/>
  <c r="AY14" i="8" a="1"/>
  <c r="AU14" i="8" a="1"/>
  <c r="AV11" i="8" a="1"/>
  <c r="AV14" i="8" a="1"/>
  <c r="AY12" i="8" a="1"/>
  <c r="AY11" i="8" a="1"/>
  <c r="AY10" i="8" a="1"/>
  <c r="AW14" i="8" a="1"/>
  <c r="AZ9" i="8" a="1"/>
  <c r="BC9" i="8" a="1"/>
  <c r="BC12" i="8" a="1"/>
  <c r="AU14" i="8" l="1"/>
  <c r="AZ9" i="8"/>
  <c r="AV14" i="8"/>
  <c r="BC12" i="8"/>
  <c r="AV11" i="8"/>
  <c r="AY15" i="8"/>
  <c r="BC9" i="8"/>
  <c r="AY10" i="8"/>
  <c r="AY11" i="8"/>
  <c r="AY12" i="8"/>
  <c r="AY14" i="8"/>
  <c r="AW14" i="8"/>
  <c r="AU18" i="8"/>
  <c r="AV18" i="8" a="1"/>
  <c r="AV18" i="8" l="1"/>
  <c r="BA17" i="8"/>
  <c r="BB9" i="8"/>
  <c r="AU15" i="8"/>
  <c r="AW15" i="8"/>
  <c r="BF11" i="8" a="1"/>
  <c r="BF10" i="8" a="1"/>
  <c r="BG9" i="8" a="1"/>
  <c r="BD14" i="8" a="1"/>
  <c r="BF15" i="8" a="1"/>
  <c r="BB14" i="8" a="1"/>
  <c r="BF12" i="8" a="1"/>
  <c r="BC14" i="8" a="1"/>
  <c r="BC11" i="8" a="1"/>
  <c r="BF14" i="8" a="1"/>
  <c r="AV20" i="8" a="1"/>
  <c r="AV17" i="8" a="1"/>
  <c r="BC14" i="8" l="1"/>
  <c r="BF12" i="8"/>
  <c r="BF15" i="8"/>
  <c r="AV20" i="8"/>
  <c r="BD14" i="8"/>
  <c r="BG9" i="8"/>
  <c r="AV17" i="8"/>
  <c r="BF10" i="8"/>
  <c r="BF11" i="8"/>
  <c r="BF14" i="8"/>
  <c r="BC11" i="8"/>
  <c r="BB14" i="8"/>
  <c r="BB18" i="8"/>
  <c r="BC18" i="8" a="1"/>
  <c r="BC18" i="8" l="1"/>
  <c r="AT25" i="8"/>
  <c r="AU17" i="8"/>
  <c r="BD15" i="8"/>
  <c r="BB15" i="8"/>
  <c r="AY18" i="8" a="1"/>
  <c r="AZ17" i="8" a="1"/>
  <c r="AY23" i="8" a="1"/>
  <c r="AU22" i="8" a="1"/>
  <c r="AV22" i="8" a="1"/>
  <c r="AY19" i="8" a="1"/>
  <c r="AY20" i="8" a="1"/>
  <c r="AV19" i="8" a="1"/>
  <c r="AW22" i="8" a="1"/>
  <c r="AY22" i="8" a="1"/>
  <c r="BC20" i="8" a="1"/>
  <c r="BC17" i="8" a="1"/>
  <c r="AY22" i="8" l="1"/>
  <c r="AV19" i="8"/>
  <c r="BC17" i="8"/>
  <c r="AW22" i="8"/>
  <c r="AY20" i="8"/>
  <c r="BC20" i="8"/>
  <c r="AU22" i="8"/>
  <c r="AZ17" i="8"/>
  <c r="AY18" i="8"/>
  <c r="AY19" i="8"/>
  <c r="AV22" i="8"/>
  <c r="AY23" i="8"/>
  <c r="AU26" i="8"/>
  <c r="AV26" i="8" a="1"/>
  <c r="AV26" i="8" l="1"/>
  <c r="BA25" i="8"/>
  <c r="AU23" i="8"/>
  <c r="AW23" i="8"/>
  <c r="BB17" i="8"/>
  <c r="BC19" i="8" a="1"/>
  <c r="BF20" i="8" a="1"/>
  <c r="BF18" i="8" a="1"/>
  <c r="BD22" i="8" a="1"/>
  <c r="BC22" i="8" a="1"/>
  <c r="BB22" i="8" a="1"/>
  <c r="BF23" i="8" a="1"/>
  <c r="BG17" i="8" a="1"/>
  <c r="BF19" i="8" a="1"/>
  <c r="BF22" i="8" a="1"/>
  <c r="AV28" i="8" a="1"/>
  <c r="AV25" i="8" a="1"/>
  <c r="BG17" i="8" l="1"/>
  <c r="AV25" i="8"/>
  <c r="BD22" i="8"/>
  <c r="BF18" i="8"/>
  <c r="BF19" i="8"/>
  <c r="BB22" i="8"/>
  <c r="BF20" i="8"/>
  <c r="AV28" i="8"/>
  <c r="BC19" i="8"/>
  <c r="BF22" i="8"/>
  <c r="BC22" i="8"/>
  <c r="BF23" i="8"/>
  <c r="BB26" i="8"/>
  <c r="BC26" i="8" a="1"/>
  <c r="BC26" i="8" l="1"/>
  <c r="AT33" i="8"/>
  <c r="BD23" i="8"/>
  <c r="BB23" i="8"/>
  <c r="AU25" i="8"/>
  <c r="AW30" i="8" a="1"/>
  <c r="AU30" i="8" a="1"/>
  <c r="AV27" i="8" a="1"/>
  <c r="AY27" i="8" a="1"/>
  <c r="AY30" i="8" a="1"/>
  <c r="AY31" i="8" a="1"/>
  <c r="AV30" i="8" a="1"/>
  <c r="AZ25" i="8" a="1"/>
  <c r="AY26" i="8" a="1"/>
  <c r="AY28" i="8" a="1"/>
  <c r="BC25" i="8" a="1"/>
  <c r="BC28" i="8" a="1"/>
  <c r="AY30" i="8" l="1"/>
  <c r="AY28" i="8"/>
  <c r="AZ25" i="8"/>
  <c r="AV30" i="8"/>
  <c r="BC28" i="8"/>
  <c r="AV27" i="8"/>
  <c r="BC25" i="8"/>
  <c r="AU30" i="8"/>
  <c r="AW30" i="8"/>
  <c r="AY31" i="8"/>
  <c r="AY27" i="8"/>
  <c r="AY26" i="8"/>
  <c r="AU34" i="8"/>
  <c r="AV34" i="8" a="1"/>
  <c r="AV34" i="8" l="1"/>
  <c r="BA33" i="8"/>
  <c r="BB25" i="8"/>
  <c r="AU31" i="8"/>
  <c r="AW31" i="8"/>
  <c r="BF31" i="8" a="1"/>
  <c r="BF26" i="8" a="1"/>
  <c r="BC30" i="8" a="1"/>
  <c r="BB30" i="8" a="1"/>
  <c r="BF27" i="8" a="1"/>
  <c r="BD30" i="8" a="1"/>
  <c r="BF28" i="8" a="1"/>
  <c r="BC27" i="8" a="1"/>
  <c r="BG25" i="8" a="1"/>
  <c r="BF30" i="8" a="1"/>
  <c r="AV33" i="8" a="1"/>
  <c r="AV36" i="8" a="1"/>
  <c r="BD30" i="8" l="1"/>
  <c r="BF30" i="8"/>
  <c r="BC30" i="8"/>
  <c r="BB30" i="8"/>
  <c r="BF26" i="8"/>
  <c r="AV36" i="8"/>
  <c r="AV33" i="8"/>
  <c r="BF31" i="8"/>
  <c r="BG25" i="8"/>
  <c r="BC27" i="8"/>
  <c r="BF27" i="8"/>
  <c r="BF28" i="8"/>
  <c r="BB34" i="8"/>
  <c r="BC34" i="8" a="1"/>
  <c r="BC34" i="8" l="1"/>
  <c r="AT41" i="8"/>
  <c r="AU33" i="8"/>
  <c r="BB31" i="8"/>
  <c r="BD31" i="8"/>
  <c r="AV35" i="8" a="1"/>
  <c r="AU38" i="8" a="1"/>
  <c r="AY35" i="8" a="1"/>
  <c r="AY36" i="8" a="1"/>
  <c r="AY34" i="8" a="1"/>
  <c r="AY39" i="8" a="1"/>
  <c r="AZ33" i="8" a="1"/>
  <c r="AW38" i="8" a="1"/>
  <c r="AV38" i="8" a="1"/>
  <c r="AY38" i="8" a="1"/>
  <c r="BC36" i="8" a="1"/>
  <c r="BC33" i="8" a="1"/>
  <c r="AW38" i="8" l="1"/>
  <c r="AV35" i="8"/>
  <c r="AY34" i="8"/>
  <c r="AY36" i="8"/>
  <c r="BC33" i="8"/>
  <c r="AY35" i="8"/>
  <c r="BC36" i="8"/>
  <c r="AY38" i="8"/>
  <c r="AU38" i="8"/>
  <c r="AV38" i="8"/>
  <c r="AZ33" i="8"/>
  <c r="AY39" i="8"/>
  <c r="AU42" i="8"/>
  <c r="AV42" i="8" a="1"/>
  <c r="AV42" i="8" l="1"/>
  <c r="BA41" i="8"/>
  <c r="BB33" i="8"/>
  <c r="AU39" i="8"/>
  <c r="AW39" i="8"/>
  <c r="BC35" i="8" a="1"/>
  <c r="BF34" i="8" a="1"/>
  <c r="BB38" i="8" a="1"/>
  <c r="BF39" i="8" a="1"/>
  <c r="BD38" i="8" a="1"/>
  <c r="BF38" i="8" a="1"/>
  <c r="BF35" i="8" a="1"/>
  <c r="BG33" i="8" a="1"/>
  <c r="BF36" i="8" a="1"/>
  <c r="BC38" i="8" a="1"/>
  <c r="AV44" i="8" a="1"/>
  <c r="AV41" i="8" a="1"/>
  <c r="BC35" i="8" l="1"/>
  <c r="BF36" i="8"/>
  <c r="AV44" i="8"/>
  <c r="AV41" i="8"/>
  <c r="BF35" i="8"/>
  <c r="BF38" i="8"/>
  <c r="BD38" i="8"/>
  <c r="BF39" i="8"/>
  <c r="BB38" i="8"/>
  <c r="BC38" i="8"/>
  <c r="BF34" i="8"/>
  <c r="BG33" i="8"/>
  <c r="BB42" i="8"/>
  <c r="BC42" i="8" s="1" a="1"/>
  <c r="BD39" i="8" l="1"/>
  <c r="BB39" i="8"/>
  <c r="BC42" i="8"/>
  <c r="BI1" i="8"/>
  <c r="AU41" i="8"/>
  <c r="AY44" i="8" a="1"/>
  <c r="AU46" i="8" a="1"/>
  <c r="AY46" i="8" a="1"/>
  <c r="AV43" i="8" a="1"/>
  <c r="AZ41" i="8" a="1"/>
  <c r="AW46" i="8" a="1"/>
  <c r="AV46" i="8" a="1"/>
  <c r="AY47" i="8" a="1"/>
  <c r="AY42" i="8" a="1"/>
  <c r="AY43" i="8" a="1"/>
  <c r="BC41" i="8" a="1"/>
  <c r="BC44" i="8" a="1"/>
  <c r="AV43" i="8" l="1"/>
  <c r="AW46" i="8"/>
  <c r="AZ41" i="8"/>
  <c r="AY46" i="8"/>
  <c r="AU46" i="8"/>
  <c r="AY44" i="8"/>
  <c r="AY47" i="8"/>
  <c r="BC41" i="8"/>
  <c r="AY43" i="8"/>
  <c r="AV46" i="8"/>
  <c r="BC44" i="8"/>
  <c r="AY42" i="8"/>
  <c r="BJ2" i="8"/>
  <c r="BK2" i="8" a="1"/>
  <c r="AW47" i="8" l="1"/>
  <c r="AU47" i="8"/>
  <c r="BK2" i="8"/>
  <c r="BP1" i="8"/>
  <c r="BB47" i="8"/>
  <c r="BC43" i="8" a="1"/>
  <c r="BC43" i="8" s="1"/>
  <c r="BB41" i="8"/>
  <c r="BC46" i="8" a="1"/>
  <c r="BF44" i="8" a="1"/>
  <c r="BF47" i="8" a="1"/>
  <c r="BB46" i="8" a="1"/>
  <c r="BF46" i="8" a="1"/>
  <c r="BF43" i="8" a="1"/>
  <c r="BF42" i="8" a="1"/>
  <c r="BD46" i="8" a="1"/>
  <c r="BG41" i="8" a="1"/>
  <c r="BK1" i="8" a="1"/>
  <c r="BK4" i="8" a="1"/>
  <c r="BK1" i="8" l="1"/>
  <c r="BK4" i="8"/>
  <c r="BD46" i="8"/>
  <c r="BF42" i="8"/>
  <c r="BF43" i="8"/>
  <c r="BF46" i="8"/>
  <c r="BF44" i="8"/>
  <c r="BB46" i="8"/>
  <c r="BF47" i="8"/>
  <c r="BC46" i="8"/>
  <c r="BD47" i="8" s="1"/>
  <c r="BG41" i="8"/>
  <c r="BQ2" i="8"/>
  <c r="BR2" i="8" a="1"/>
  <c r="BR2" i="8" l="1"/>
  <c r="BI9" i="8"/>
  <c r="BJ1" i="8"/>
  <c r="BN7" i="8" a="1"/>
  <c r="BJ6" i="8" a="1"/>
  <c r="BN2" i="8" a="1"/>
  <c r="BL6" i="8" a="1"/>
  <c r="BK6" i="8" a="1"/>
  <c r="BK3" i="8" a="1"/>
  <c r="BN3" i="8" a="1"/>
  <c r="BN6" i="8" a="1"/>
  <c r="BN4" i="8" a="1"/>
  <c r="BO1" i="8" a="1"/>
  <c r="BR4" i="8" a="1"/>
  <c r="BR1" i="8" a="1"/>
  <c r="BL6" i="8" l="1"/>
  <c r="BJ6" i="8"/>
  <c r="BN3" i="8"/>
  <c r="BK3" i="8"/>
  <c r="BO1" i="8"/>
  <c r="BR4" i="8"/>
  <c r="BN4" i="8"/>
  <c r="BN6" i="8"/>
  <c r="BR1" i="8"/>
  <c r="BK6" i="8"/>
  <c r="BN2" i="8"/>
  <c r="BN7" i="8"/>
  <c r="BJ10" i="8"/>
  <c r="BK10" i="8" a="1"/>
  <c r="BK10" i="8" l="1"/>
  <c r="BP9" i="8"/>
  <c r="BJ7" i="8"/>
  <c r="BL7" i="8"/>
  <c r="BQ1" i="8"/>
  <c r="BR3" i="8" a="1"/>
  <c r="BV1" i="8" a="1"/>
  <c r="BU6" i="8" a="1"/>
  <c r="BU2" i="8" a="1"/>
  <c r="BQ6" i="8" a="1"/>
  <c r="BU4" i="8" a="1"/>
  <c r="BU7" i="8" a="1"/>
  <c r="BU3" i="8" a="1"/>
  <c r="BR6" i="8" a="1"/>
  <c r="BS6" i="8" a="1"/>
  <c r="BK12" i="8" a="1"/>
  <c r="BK9" i="8" a="1"/>
  <c r="BR3" i="8" l="1"/>
  <c r="BR6" i="8"/>
  <c r="BU3" i="8"/>
  <c r="BU4" i="8"/>
  <c r="BK9" i="8"/>
  <c r="BU7" i="8"/>
  <c r="BK12" i="8"/>
  <c r="BS6" i="8"/>
  <c r="BU2" i="8"/>
  <c r="BU6" i="8"/>
  <c r="BV1" i="8"/>
  <c r="BQ6" i="8"/>
  <c r="BQ10" i="8"/>
  <c r="BR10" i="8" a="1"/>
  <c r="BS7" i="8" l="1"/>
  <c r="BQ7" i="8"/>
  <c r="BR10" i="8"/>
  <c r="BI17" i="8"/>
  <c r="BJ9" i="8"/>
  <c r="BJ14" i="8" a="1"/>
  <c r="BK14" i="8" a="1"/>
  <c r="BL14" i="8" a="1"/>
  <c r="BN14" i="8" a="1"/>
  <c r="BN12" i="8" a="1"/>
  <c r="BK11" i="8" a="1"/>
  <c r="BN15" i="8" a="1"/>
  <c r="BN11" i="8" a="1"/>
  <c r="BN10" i="8" a="1"/>
  <c r="BO9" i="8" a="1"/>
  <c r="BR9" i="8" a="1"/>
  <c r="BR12" i="8" a="1"/>
  <c r="BN14" i="8" l="1"/>
  <c r="BN15" i="8"/>
  <c r="BR12" i="8"/>
  <c r="BR9" i="8"/>
  <c r="BO9" i="8"/>
  <c r="BK11" i="8"/>
  <c r="BJ14" i="8"/>
  <c r="BN10" i="8"/>
  <c r="BN11" i="8"/>
  <c r="BN12" i="8"/>
  <c r="BL14" i="8"/>
  <c r="BK14" i="8"/>
  <c r="BJ18" i="8"/>
  <c r="BK18" i="8" s="1" a="1"/>
  <c r="BK18" i="8" l="1"/>
  <c r="BP17" i="8"/>
  <c r="BL15" i="8"/>
  <c r="BJ15" i="8"/>
  <c r="BQ9" i="8"/>
  <c r="BU11" i="8" a="1"/>
  <c r="BU12" i="8" a="1"/>
  <c r="BR14" i="8" a="1"/>
  <c r="BV9" i="8" a="1"/>
  <c r="BS14" i="8" a="1"/>
  <c r="BU14" i="8" a="1"/>
  <c r="BR11" i="8" a="1"/>
  <c r="BU10" i="8" a="1"/>
  <c r="BQ14" i="8" a="1"/>
  <c r="BU15" i="8" a="1"/>
  <c r="BK17" i="8" a="1"/>
  <c r="BK20" i="8" a="1"/>
  <c r="BU15" i="8" l="1"/>
  <c r="BQ14" i="8"/>
  <c r="BU10" i="8"/>
  <c r="BR11" i="8"/>
  <c r="BU14" i="8"/>
  <c r="BS14" i="8"/>
  <c r="BV9" i="8"/>
  <c r="BR14" i="8"/>
  <c r="BU12" i="8"/>
  <c r="BU11" i="8"/>
  <c r="BK20" i="8"/>
  <c r="BK17" i="8"/>
  <c r="BQ18" i="8"/>
  <c r="BR18" i="8" a="1"/>
  <c r="BS15" i="8" l="1"/>
  <c r="BQ15" i="8"/>
  <c r="BR18" i="8"/>
  <c r="BI25" i="8"/>
  <c r="BJ17" i="8"/>
  <c r="BJ22" i="8" a="1"/>
  <c r="BN18" i="8" a="1"/>
  <c r="BN23" i="8" a="1"/>
  <c r="BN22" i="8" a="1"/>
  <c r="BK22" i="8" a="1"/>
  <c r="BN20" i="8" a="1"/>
  <c r="BO17" i="8" a="1"/>
  <c r="BK19" i="8" a="1"/>
  <c r="BN19" i="8" a="1"/>
  <c r="BL22" i="8" a="1"/>
  <c r="BR20" i="8" a="1"/>
  <c r="BR17" i="8" a="1"/>
  <c r="BL22" i="8" l="1"/>
  <c r="BN19" i="8"/>
  <c r="BK19" i="8"/>
  <c r="BO17" i="8"/>
  <c r="BN20" i="8"/>
  <c r="BK22" i="8"/>
  <c r="BN22" i="8"/>
  <c r="BN23" i="8"/>
  <c r="BN18" i="8"/>
  <c r="BJ22" i="8"/>
  <c r="BR17" i="8"/>
  <c r="BR20" i="8"/>
  <c r="BJ26" i="8"/>
  <c r="BK26" i="8" a="1"/>
  <c r="BL23" i="8" l="1"/>
  <c r="BJ23" i="8"/>
  <c r="BK26" i="8"/>
  <c r="BP25" i="8"/>
  <c r="BQ23" i="8"/>
  <c r="BU23" i="8" a="1"/>
  <c r="BU23" i="8" s="1"/>
  <c r="BU22" i="8" a="1"/>
  <c r="BU22" i="8" s="1"/>
  <c r="BU20" i="8" a="1"/>
  <c r="BU20" i="8" s="1"/>
  <c r="BU19" i="8" a="1"/>
  <c r="BU19" i="8" s="1"/>
  <c r="BU18" i="8" a="1"/>
  <c r="BU18" i="8" s="1"/>
  <c r="BS22" i="8" a="1"/>
  <c r="BS22" i="8" s="1"/>
  <c r="BR19" i="8" a="1"/>
  <c r="BR19" i="8" s="1"/>
  <c r="BV17" i="8" a="1"/>
  <c r="BV17" i="8" s="1"/>
  <c r="BQ22" i="8" a="1"/>
  <c r="BQ22" i="8" s="1"/>
  <c r="BQ17" i="8"/>
  <c r="BR22" i="8" a="1"/>
  <c r="BR22" i="8" s="1"/>
  <c r="BS23" i="8" s="1"/>
  <c r="BK28" i="8" a="1"/>
  <c r="BK25" i="8" a="1"/>
  <c r="BK25" i="8" l="1"/>
  <c r="BK28" i="8"/>
  <c r="BQ26" i="8"/>
  <c r="BR26" i="8" a="1"/>
  <c r="BR26" i="8" l="1"/>
  <c r="BI33" i="8"/>
  <c r="BJ31" i="8"/>
  <c r="BN26" i="8" a="1"/>
  <c r="BN26" i="8" s="1"/>
  <c r="BJ30" i="8" a="1"/>
  <c r="BJ30" i="8" s="1"/>
  <c r="BK27" i="8" a="1"/>
  <c r="BK27" i="8" s="1"/>
  <c r="BL30" i="8" a="1"/>
  <c r="BL30" i="8" s="1"/>
  <c r="BN30" i="8" a="1"/>
  <c r="BN30" i="8" s="1"/>
  <c r="BO25" i="8" a="1"/>
  <c r="BO25" i="8" s="1"/>
  <c r="BJ25" i="8"/>
  <c r="BK30" i="8" a="1"/>
  <c r="BK30" i="8" s="1"/>
  <c r="BL31" i="8" s="1"/>
  <c r="BN28" i="8" a="1"/>
  <c r="BN28" i="8" s="1"/>
  <c r="BN27" i="8" a="1"/>
  <c r="BN27" i="8" s="1"/>
  <c r="BN31" i="8" a="1"/>
  <c r="BN31" i="8" s="1"/>
  <c r="BR25" i="8" a="1"/>
  <c r="BR28" i="8" a="1"/>
  <c r="BR25" i="8" l="1"/>
  <c r="BR28" i="8"/>
  <c r="BJ34" i="8"/>
  <c r="BK34" i="8" a="1"/>
  <c r="BK34" i="8" l="1"/>
  <c r="BP33" i="8"/>
  <c r="BQ31" i="8"/>
  <c r="BQ25" i="8"/>
  <c r="BQ30" i="8" a="1"/>
  <c r="BQ30" i="8" s="1"/>
  <c r="BR27" i="8" a="1"/>
  <c r="BR27" i="8" s="1"/>
  <c r="BV25" i="8" a="1"/>
  <c r="BV25" i="8" s="1"/>
  <c r="BU31" i="8" a="1"/>
  <c r="BU31" i="8" s="1"/>
  <c r="BU30" i="8" a="1"/>
  <c r="BU30" i="8" s="1"/>
  <c r="BU28" i="8" a="1"/>
  <c r="BU28" i="8" s="1"/>
  <c r="BU27" i="8" a="1"/>
  <c r="BU27" i="8" s="1"/>
  <c r="BU26" i="8" a="1"/>
  <c r="BU26" i="8" s="1"/>
  <c r="BS30" i="8" a="1"/>
  <c r="BS30" i="8" s="1"/>
  <c r="BR30" i="8" a="1"/>
  <c r="BR30" i="8" s="1"/>
  <c r="BS31" i="8" s="1"/>
  <c r="BK33" i="8" a="1"/>
  <c r="BK36" i="8" a="1"/>
  <c r="BK36" i="8" l="1"/>
  <c r="BK33" i="8"/>
  <c r="BQ34" i="8"/>
  <c r="BR34" i="8" a="1"/>
  <c r="BR34" i="8" l="1"/>
  <c r="BI41" i="8"/>
  <c r="BL38" i="8" a="1"/>
  <c r="BL38" i="8" s="1"/>
  <c r="BJ33" i="8"/>
  <c r="BN39" i="8" a="1"/>
  <c r="BN39" i="8" s="1"/>
  <c r="BK38" i="8" a="1"/>
  <c r="BK38" i="8" s="1"/>
  <c r="BL39" i="8" s="1"/>
  <c r="BN36" i="8" a="1"/>
  <c r="BN36" i="8" s="1"/>
  <c r="BN35" i="8" a="1"/>
  <c r="BN35" i="8" s="1"/>
  <c r="BN38" i="8" a="1"/>
  <c r="BN38" i="8" s="1"/>
  <c r="BN34" i="8" a="1"/>
  <c r="BN34" i="8" s="1"/>
  <c r="BJ38" i="8" a="1"/>
  <c r="BJ38" i="8" s="1"/>
  <c r="BK35" i="8" a="1"/>
  <c r="BK35" i="8" s="1"/>
  <c r="BO33" i="8" a="1"/>
  <c r="BO33" i="8" s="1"/>
  <c r="BJ39" i="8"/>
  <c r="BR36" i="8" a="1"/>
  <c r="BR33" i="8" a="1"/>
  <c r="BR33" i="8" l="1"/>
  <c r="BR36" i="8"/>
  <c r="BJ42" i="8"/>
  <c r="BK42" i="8" s="1" a="1"/>
  <c r="BK42" i="8" l="1"/>
  <c r="BP41" i="8"/>
  <c r="BQ39" i="8"/>
  <c r="BS38" i="8" a="1"/>
  <c r="BS38" i="8" s="1"/>
  <c r="BR35" i="8" a="1"/>
  <c r="BR35" i="8" s="1"/>
  <c r="BV33" i="8" a="1"/>
  <c r="BV33" i="8" s="1"/>
  <c r="BR38" i="8" a="1"/>
  <c r="BR38" i="8" s="1"/>
  <c r="BS39" i="8" s="1"/>
  <c r="BU39" i="8" a="1"/>
  <c r="BU39" i="8" s="1"/>
  <c r="BU35" i="8" a="1"/>
  <c r="BU35" i="8" s="1"/>
  <c r="BQ33" i="8"/>
  <c r="BU38" i="8" a="1"/>
  <c r="BU38" i="8" s="1"/>
  <c r="BU36" i="8" a="1"/>
  <c r="BU36" i="8" s="1"/>
  <c r="BU34" i="8" a="1"/>
  <c r="BU34" i="8" s="1"/>
  <c r="BQ38" i="8" a="1"/>
  <c r="BQ38" i="8" s="1"/>
  <c r="BK44" i="8" a="1"/>
  <c r="BK41" i="8" a="1"/>
  <c r="BK44" i="8" l="1"/>
  <c r="BK41" i="8"/>
  <c r="BQ42" i="8"/>
  <c r="BR42" i="8" a="1"/>
  <c r="BR42" i="8" l="1"/>
  <c r="BX1" i="8"/>
  <c r="BN46" i="8" a="1"/>
  <c r="BN46" i="8" s="1"/>
  <c r="BO41" i="8" a="1"/>
  <c r="BO41" i="8" s="1"/>
  <c r="BN43" i="8" a="1"/>
  <c r="BN43" i="8" s="1"/>
  <c r="BL46" i="8" a="1"/>
  <c r="BL46" i="8" s="1"/>
  <c r="BN47" i="8" a="1"/>
  <c r="BN47" i="8" s="1"/>
  <c r="BN44" i="8" a="1"/>
  <c r="BN44" i="8" s="1"/>
  <c r="BN42" i="8" a="1"/>
  <c r="BN42" i="8" s="1"/>
  <c r="BJ41" i="8"/>
  <c r="BK46" i="8" a="1"/>
  <c r="BK46" i="8" s="1"/>
  <c r="BL47" i="8" s="1"/>
  <c r="BJ46" i="8" a="1"/>
  <c r="BJ46" i="8" s="1"/>
  <c r="BK43" i="8" a="1"/>
  <c r="BK43" i="8" s="1"/>
  <c r="BJ47" i="8"/>
  <c r="BR44" i="8" a="1"/>
  <c r="BR41" i="8" a="1"/>
  <c r="BR41" i="8" l="1"/>
  <c r="BR44" i="8"/>
  <c r="BY2" i="8"/>
  <c r="BZ2" i="8" a="1"/>
  <c r="BZ2" i="8" l="1"/>
  <c r="CE1" i="8"/>
  <c r="BQ47" i="8"/>
  <c r="BQ41" i="8"/>
  <c r="BU47" i="8" a="1"/>
  <c r="BU47" i="8" s="1"/>
  <c r="BU46" i="8" a="1"/>
  <c r="BU46" i="8" s="1"/>
  <c r="BU44" i="8" a="1"/>
  <c r="BU44" i="8" s="1"/>
  <c r="BU43" i="8" a="1"/>
  <c r="BU43" i="8" s="1"/>
  <c r="BU42" i="8" a="1"/>
  <c r="BU42" i="8" s="1"/>
  <c r="BR46" i="8" a="1"/>
  <c r="BR46" i="8" s="1"/>
  <c r="BS47" i="8" s="1"/>
  <c r="BS46" i="8" a="1"/>
  <c r="BS46" i="8" s="1"/>
  <c r="BR43" i="8" a="1"/>
  <c r="BR43" i="8" s="1"/>
  <c r="BV41" i="8" a="1"/>
  <c r="BV41" i="8" s="1"/>
  <c r="BQ46" i="8" a="1"/>
  <c r="BQ46" i="8" s="1"/>
  <c r="BZ1" i="8" a="1"/>
  <c r="BZ4" i="8" a="1"/>
  <c r="BZ1" i="8" l="1"/>
  <c r="BZ4" i="8"/>
  <c r="CF2" i="8"/>
  <c r="CG2" i="8" a="1"/>
  <c r="CG2" i="8" l="1"/>
  <c r="BX9" i="8"/>
  <c r="BY7" i="8"/>
  <c r="BY6" i="8" a="1"/>
  <c r="BY6" i="8" s="1"/>
  <c r="BZ3" i="8" a="1"/>
  <c r="BZ3" i="8" s="1"/>
  <c r="CC6" i="8" a="1"/>
  <c r="CC6" i="8" s="1"/>
  <c r="CD1" i="8" a="1"/>
  <c r="CD1" i="8" s="1"/>
  <c r="CC4" i="8" a="1"/>
  <c r="CC4" i="8" s="1"/>
  <c r="CC3" i="8" a="1"/>
  <c r="CC3" i="8" s="1"/>
  <c r="CA6" i="8" a="1"/>
  <c r="CA6" i="8" s="1"/>
  <c r="CC7" i="8" a="1"/>
  <c r="CC7" i="8" s="1"/>
  <c r="CC2" i="8" a="1"/>
  <c r="CC2" i="8" s="1"/>
  <c r="BY1" i="8"/>
  <c r="BZ6" i="8" a="1"/>
  <c r="BZ6" i="8" s="1"/>
  <c r="CA7" i="8" s="1"/>
  <c r="CG1" i="8" a="1"/>
  <c r="CG4" i="8" a="1"/>
  <c r="CG4" i="8" l="1"/>
  <c r="CG1" i="8"/>
  <c r="BY10" i="8"/>
  <c r="BZ10" i="8" a="1"/>
  <c r="BZ10" i="8" l="1"/>
  <c r="CE9" i="8"/>
  <c r="CF6" i="8" a="1"/>
  <c r="CF6" i="8" s="1"/>
  <c r="CF1" i="8"/>
  <c r="CG6" i="8" a="1"/>
  <c r="CG6" i="8" s="1"/>
  <c r="CH7" i="8" s="1"/>
  <c r="CJ7" i="8" a="1"/>
  <c r="CJ7" i="8" s="1"/>
  <c r="CJ6" i="8" a="1"/>
  <c r="CJ6" i="8" s="1"/>
  <c r="CJ4" i="8" a="1"/>
  <c r="CJ4" i="8" s="1"/>
  <c r="CJ3" i="8" a="1"/>
  <c r="CJ3" i="8" s="1"/>
  <c r="CJ2" i="8" a="1"/>
  <c r="CJ2" i="8" s="1"/>
  <c r="CH6" i="8" a="1"/>
  <c r="CH6" i="8" s="1"/>
  <c r="CG3" i="8" a="1"/>
  <c r="CG3" i="8" s="1"/>
  <c r="CK1" i="8" a="1"/>
  <c r="CK1" i="8" s="1"/>
  <c r="CF7" i="8"/>
  <c r="BZ9" i="8" a="1"/>
  <c r="BZ12" i="8" a="1"/>
  <c r="BZ12" i="8" l="1"/>
  <c r="BZ9" i="8"/>
  <c r="CF10" i="8"/>
  <c r="CG10" i="8" a="1"/>
  <c r="CG10" i="8" l="1"/>
  <c r="BX17" i="8"/>
  <c r="BY9" i="8"/>
  <c r="CA14" i="8" a="1"/>
  <c r="CA14" i="8" s="1"/>
  <c r="CC15" i="8" a="1"/>
  <c r="CC15" i="8" s="1"/>
  <c r="BZ14" i="8" a="1"/>
  <c r="BZ14" i="8" s="1"/>
  <c r="CA15" i="8" s="1"/>
  <c r="CC12" i="8" a="1"/>
  <c r="CC12" i="8" s="1"/>
  <c r="CC11" i="8" a="1"/>
  <c r="CC11" i="8" s="1"/>
  <c r="CC10" i="8" a="1"/>
  <c r="CC10" i="8" s="1"/>
  <c r="BY14" i="8" a="1"/>
  <c r="BY14" i="8" s="1"/>
  <c r="BZ11" i="8" a="1"/>
  <c r="BZ11" i="8" s="1"/>
  <c r="CC14" i="8" a="1"/>
  <c r="CC14" i="8" s="1"/>
  <c r="CD9" i="8" a="1"/>
  <c r="CD9" i="8" s="1"/>
  <c r="BY15" i="8"/>
  <c r="CG9" i="8" a="1"/>
  <c r="CG12" i="8" a="1"/>
  <c r="CG9" i="8" l="1"/>
  <c r="CG12" i="8"/>
  <c r="BY18" i="8"/>
  <c r="BZ18" i="8" a="1"/>
  <c r="BZ18" i="8" l="1"/>
  <c r="CE17" i="8"/>
  <c r="CF15" i="8"/>
  <c r="CG14" i="8" a="1"/>
  <c r="CG14" i="8" s="1"/>
  <c r="CH15" i="8" s="1"/>
  <c r="CF9" i="8"/>
  <c r="CH14" i="8" a="1"/>
  <c r="CH14" i="8" s="1"/>
  <c r="CF14" i="8" a="1"/>
  <c r="CF14" i="8" s="1"/>
  <c r="CG11" i="8" a="1"/>
  <c r="CG11" i="8" s="1"/>
  <c r="CJ15" i="8" a="1"/>
  <c r="CJ15" i="8" s="1"/>
  <c r="CJ14" i="8" a="1"/>
  <c r="CJ14" i="8" s="1"/>
  <c r="CJ12" i="8" a="1"/>
  <c r="CJ12" i="8" s="1"/>
  <c r="CJ11" i="8" a="1"/>
  <c r="CJ11" i="8" s="1"/>
  <c r="CJ10" i="8" a="1"/>
  <c r="CJ10" i="8" s="1"/>
  <c r="CK9" i="8" a="1"/>
  <c r="CK9" i="8" s="1"/>
  <c r="BZ17" i="8" a="1"/>
  <c r="BZ20" i="8" a="1"/>
  <c r="BZ20" i="8" l="1"/>
  <c r="BZ17" i="8"/>
  <c r="CF18" i="8"/>
  <c r="CG18" i="8" a="1"/>
  <c r="CG18" i="8" l="1"/>
  <c r="BX25" i="8"/>
  <c r="CC22" i="8" a="1"/>
  <c r="CC22" i="8" s="1"/>
  <c r="CD17" i="8" a="1"/>
  <c r="CD17" i="8" s="1"/>
  <c r="BZ19" i="8" a="1"/>
  <c r="BZ19" i="8" s="1"/>
  <c r="CA22" i="8" a="1"/>
  <c r="CA22" i="8" s="1"/>
  <c r="BY22" i="8" a="1"/>
  <c r="BY22" i="8" s="1"/>
  <c r="BY17" i="8"/>
  <c r="CC23" i="8" a="1"/>
  <c r="CC23" i="8" s="1"/>
  <c r="BZ22" i="8" a="1"/>
  <c r="BZ22" i="8" s="1"/>
  <c r="CA23" i="8" s="1"/>
  <c r="CC20" i="8" a="1"/>
  <c r="CC20" i="8" s="1"/>
  <c r="CC19" i="8" a="1"/>
  <c r="CC19" i="8" s="1"/>
  <c r="CC18" i="8" a="1"/>
  <c r="CC18" i="8" s="1"/>
  <c r="BY23" i="8"/>
  <c r="CG20" i="8" a="1"/>
  <c r="CG17" i="8" a="1"/>
  <c r="CG17" i="8" l="1"/>
  <c r="CG20" i="8"/>
  <c r="BY26" i="8"/>
  <c r="BZ26" i="8" a="1"/>
  <c r="BZ26" i="8" l="1"/>
  <c r="CE25" i="8"/>
  <c r="CF23" i="8"/>
  <c r="CJ23" i="8" a="1"/>
  <c r="CJ23" i="8" s="1"/>
  <c r="CJ22" i="8" a="1"/>
  <c r="CJ22" i="8" s="1"/>
  <c r="CJ20" i="8" a="1"/>
  <c r="CJ20" i="8" s="1"/>
  <c r="CJ19" i="8" a="1"/>
  <c r="CJ19" i="8" s="1"/>
  <c r="CJ18" i="8" a="1"/>
  <c r="CJ18" i="8" s="1"/>
  <c r="CF22" i="8" a="1"/>
  <c r="CF22" i="8" s="1"/>
  <c r="CH22" i="8" a="1"/>
  <c r="CH22" i="8" s="1"/>
  <c r="CG19" i="8" a="1"/>
  <c r="CG19" i="8" s="1"/>
  <c r="CK17" i="8" a="1"/>
  <c r="CK17" i="8" s="1"/>
  <c r="CG22" i="8" a="1"/>
  <c r="CG22" i="8" s="1"/>
  <c r="CH23" i="8" s="1"/>
  <c r="CF17" i="8"/>
  <c r="BZ28" i="8" a="1"/>
  <c r="BZ25" i="8" a="1"/>
  <c r="BZ25" i="8" l="1"/>
  <c r="BZ28" i="8"/>
  <c r="CF26" i="8"/>
  <c r="CG26" i="8" s="1" a="1"/>
  <c r="CG26" i="8" l="1"/>
  <c r="BX33" i="8"/>
  <c r="BY31" i="8"/>
  <c r="CC26" i="8" a="1"/>
  <c r="CC26" i="8" s="1"/>
  <c r="CC31" i="8" a="1"/>
  <c r="CC31" i="8" s="1"/>
  <c r="BY30" i="8" a="1"/>
  <c r="BY30" i="8" s="1"/>
  <c r="BZ27" i="8" a="1"/>
  <c r="BZ27" i="8" s="1"/>
  <c r="CC27" i="8" a="1"/>
  <c r="CC27" i="8" s="1"/>
  <c r="BZ30" i="8" a="1"/>
  <c r="BZ30" i="8" s="1"/>
  <c r="CA31" i="8" s="1"/>
  <c r="CC30" i="8" a="1"/>
  <c r="CC30" i="8" s="1"/>
  <c r="CD25" i="8" a="1"/>
  <c r="CD25" i="8" s="1"/>
  <c r="CA30" i="8" a="1"/>
  <c r="CA30" i="8" s="1"/>
  <c r="BY25" i="8"/>
  <c r="CC28" i="8" a="1"/>
  <c r="CC28" i="8" s="1"/>
  <c r="CG25" i="8" a="1"/>
  <c r="CG28" i="8" a="1"/>
  <c r="CG28" i="8" l="1"/>
  <c r="CG25" i="8"/>
  <c r="BY34" i="8"/>
  <c r="BZ34" i="8" a="1"/>
  <c r="BZ34" i="8" l="1"/>
  <c r="CE33" i="8"/>
  <c r="CF25" i="8"/>
  <c r="CF30" i="8" a="1"/>
  <c r="CF30" i="8" s="1"/>
  <c r="CJ31" i="8" a="1"/>
  <c r="CJ31" i="8" s="1"/>
  <c r="CJ30" i="8" a="1"/>
  <c r="CJ30" i="8" s="1"/>
  <c r="CJ28" i="8" a="1"/>
  <c r="CJ28" i="8" s="1"/>
  <c r="CJ27" i="8" a="1"/>
  <c r="CJ27" i="8" s="1"/>
  <c r="CJ26" i="8" a="1"/>
  <c r="CJ26" i="8" s="1"/>
  <c r="CG30" i="8" a="1"/>
  <c r="CG30" i="8" s="1"/>
  <c r="CH31" i="8" s="1"/>
  <c r="CH30" i="8" a="1"/>
  <c r="CH30" i="8" s="1"/>
  <c r="CG27" i="8" a="1"/>
  <c r="CG27" i="8" s="1"/>
  <c r="CK25" i="8" a="1"/>
  <c r="CK25" i="8" s="1"/>
  <c r="CF31" i="8"/>
  <c r="BZ36" i="8" a="1"/>
  <c r="BZ33" i="8" a="1"/>
  <c r="BZ36" i="8" l="1"/>
  <c r="BZ33" i="8"/>
  <c r="CF34" i="8"/>
  <c r="CG34" i="8" a="1"/>
  <c r="CG34" i="8" l="1"/>
  <c r="BX41" i="8"/>
  <c r="CA38" i="8" a="1"/>
  <c r="CA38" i="8" s="1"/>
  <c r="BY33" i="8"/>
  <c r="CC38" i="8" a="1"/>
  <c r="CC38" i="8" s="1"/>
  <c r="CD33" i="8" a="1"/>
  <c r="CD33" i="8" s="1"/>
  <c r="CC39" i="8" a="1"/>
  <c r="CC39" i="8" s="1"/>
  <c r="BZ38" i="8" a="1"/>
  <c r="BZ38" i="8" s="1"/>
  <c r="CA39" i="8" s="1"/>
  <c r="CC36" i="8" a="1"/>
  <c r="CC36" i="8" s="1"/>
  <c r="CC35" i="8" a="1"/>
  <c r="CC35" i="8" s="1"/>
  <c r="CC34" i="8" a="1"/>
  <c r="CC34" i="8" s="1"/>
  <c r="BY38" i="8" a="1"/>
  <c r="BY38" i="8" s="1"/>
  <c r="BZ35" i="8" a="1"/>
  <c r="BZ35" i="8" s="1"/>
  <c r="BY39" i="8"/>
  <c r="CG33" i="8" a="1"/>
  <c r="CG36" i="8" a="1"/>
  <c r="CG33" i="8" l="1"/>
  <c r="CG36" i="8"/>
  <c r="BY42" i="8"/>
  <c r="BZ42" i="8" a="1"/>
  <c r="BZ42" i="8" l="1"/>
  <c r="CE41" i="8"/>
  <c r="CF39" i="8"/>
  <c r="CH38" i="8" a="1"/>
  <c r="CH38" i="8" s="1"/>
  <c r="CG35" i="8" a="1"/>
  <c r="CG35" i="8" s="1"/>
  <c r="CK33" i="8" a="1"/>
  <c r="CK33" i="8" s="1"/>
  <c r="CJ34" i="8" a="1"/>
  <c r="CJ34" i="8" s="1"/>
  <c r="CJ39" i="8" a="1"/>
  <c r="CJ39" i="8" s="1"/>
  <c r="CJ35" i="8" a="1"/>
  <c r="CJ35" i="8" s="1"/>
  <c r="CG38" i="8" a="1"/>
  <c r="CG38" i="8" s="1"/>
  <c r="CH39" i="8" s="1"/>
  <c r="CF33" i="8"/>
  <c r="CF38" i="8" a="1"/>
  <c r="CF38" i="8" s="1"/>
  <c r="CJ38" i="8" a="1"/>
  <c r="CJ38" i="8" s="1"/>
  <c r="CJ36" i="8" a="1"/>
  <c r="CJ36" i="8" s="1"/>
  <c r="BZ44" i="8" a="1"/>
  <c r="BZ41" i="8" a="1"/>
  <c r="BZ44" i="8" l="1"/>
  <c r="BZ41" i="8"/>
  <c r="CF42" i="8"/>
  <c r="CG42" i="8" s="1" a="1"/>
  <c r="CG42" i="8" l="1"/>
  <c r="CM1" i="8"/>
  <c r="BY46" i="8" a="1"/>
  <c r="BY46" i="8" s="1"/>
  <c r="CC46" i="8" a="1"/>
  <c r="CC46" i="8" s="1"/>
  <c r="CD41" i="8" a="1"/>
  <c r="CD41" i="8" s="1"/>
  <c r="CC42" i="8" a="1"/>
  <c r="CC42" i="8" s="1"/>
  <c r="BZ43" i="8" a="1"/>
  <c r="BZ43" i="8" s="1"/>
  <c r="CA46" i="8" a="1"/>
  <c r="CA46" i="8" s="1"/>
  <c r="BY41" i="8"/>
  <c r="CC47" i="8" a="1"/>
  <c r="CC47" i="8" s="1"/>
  <c r="BZ46" i="8" a="1"/>
  <c r="BZ46" i="8" s="1"/>
  <c r="CA47" i="8" s="1"/>
  <c r="CC44" i="8" a="1"/>
  <c r="CC44" i="8" s="1"/>
  <c r="CC43" i="8" a="1"/>
  <c r="CC43" i="8" s="1"/>
  <c r="BY47" i="8"/>
  <c r="CG41" i="8" a="1"/>
  <c r="CG44" i="8" a="1"/>
  <c r="CG41" i="8" l="1"/>
  <c r="CG44" i="8"/>
  <c r="CN2" i="8"/>
  <c r="CO2" i="8" a="1"/>
  <c r="CO2" i="8" l="1"/>
  <c r="CT1" i="8"/>
  <c r="CF47" i="8"/>
  <c r="CJ47" i="8" a="1"/>
  <c r="CJ47" i="8" s="1"/>
  <c r="CJ46" i="8" a="1"/>
  <c r="CJ46" i="8" s="1"/>
  <c r="CJ44" i="8" a="1"/>
  <c r="CJ44" i="8" s="1"/>
  <c r="CJ43" i="8" a="1"/>
  <c r="CJ43" i="8" s="1"/>
  <c r="CJ42" i="8" a="1"/>
  <c r="CJ42" i="8" s="1"/>
  <c r="CF46" i="8" a="1"/>
  <c r="CF46" i="8" s="1"/>
  <c r="CH46" i="8" a="1"/>
  <c r="CH46" i="8" s="1"/>
  <c r="CG43" i="8" a="1"/>
  <c r="CG43" i="8" s="1"/>
  <c r="CK41" i="8" a="1"/>
  <c r="CK41" i="8" s="1"/>
  <c r="CG46" i="8" a="1"/>
  <c r="CG46" i="8" s="1"/>
  <c r="CH47" i="8" s="1"/>
  <c r="CF41" i="8"/>
  <c r="CO1" i="8" a="1"/>
  <c r="CO4" i="8" a="1"/>
  <c r="CO4" i="8" l="1"/>
  <c r="CO1" i="8"/>
  <c r="CU2" i="8"/>
  <c r="CV2" i="8" a="1"/>
  <c r="CV2" i="8" l="1"/>
  <c r="CM9" i="8"/>
  <c r="CN6" i="8" a="1"/>
  <c r="CN6" i="8" s="1"/>
  <c r="CO3" i="8" a="1"/>
  <c r="CO3" i="8" s="1"/>
  <c r="CO6" i="8" a="1"/>
  <c r="CO6" i="8" s="1"/>
  <c r="CP7" i="8" s="1"/>
  <c r="CR7" i="8" a="1"/>
  <c r="CR7" i="8" s="1"/>
  <c r="CR6" i="8" a="1"/>
  <c r="CR6" i="8" s="1"/>
  <c r="CS1" i="8" a="1"/>
  <c r="CS1" i="8" s="1"/>
  <c r="CR3" i="8" a="1"/>
  <c r="CR3" i="8" s="1"/>
  <c r="CN1" i="8"/>
  <c r="CR2" i="8" a="1"/>
  <c r="CR2" i="8" s="1"/>
  <c r="CP6" i="8" a="1"/>
  <c r="CP6" i="8" s="1"/>
  <c r="CR4" i="8" a="1"/>
  <c r="CR4" i="8" s="1"/>
  <c r="CN7" i="8"/>
  <c r="CV4" i="8" a="1"/>
  <c r="CV1" i="8" a="1"/>
  <c r="CV4" i="8" l="1"/>
  <c r="CV1" i="8"/>
  <c r="CN10" i="8"/>
  <c r="CO10" i="8" a="1"/>
  <c r="CO10" i="8" l="1"/>
  <c r="CT9" i="8"/>
  <c r="CU6" i="8" a="1"/>
  <c r="CU6" i="8" s="1"/>
  <c r="CU1" i="8"/>
  <c r="CY7" i="8" a="1"/>
  <c r="CY7" i="8" s="1"/>
  <c r="CY6" i="8" a="1"/>
  <c r="CY6" i="8" s="1"/>
  <c r="CY4" i="8" a="1"/>
  <c r="CY4" i="8" s="1"/>
  <c r="CY3" i="8" a="1"/>
  <c r="CY3" i="8" s="1"/>
  <c r="CY2" i="8" a="1"/>
  <c r="CY2" i="8" s="1"/>
  <c r="CV6" i="8" a="1"/>
  <c r="CV6" i="8" s="1"/>
  <c r="CW7" i="8" s="1"/>
  <c r="CW6" i="8" a="1"/>
  <c r="CW6" i="8" s="1"/>
  <c r="CV3" i="8" a="1"/>
  <c r="CV3" i="8" s="1"/>
  <c r="CZ1" i="8" a="1"/>
  <c r="CZ1" i="8" s="1"/>
  <c r="CU7" i="8"/>
  <c r="CO12" i="8" a="1"/>
  <c r="CO9" i="8" a="1"/>
  <c r="CO12" i="8" l="1"/>
  <c r="CO9" i="8"/>
  <c r="CU10" i="8"/>
  <c r="CV10" i="8" a="1"/>
  <c r="CV10" i="8" l="1"/>
  <c r="CM17" i="8"/>
  <c r="CN9" i="8"/>
  <c r="CR15" i="8" a="1"/>
  <c r="CR15" i="8" s="1"/>
  <c r="CO14" i="8" a="1"/>
  <c r="CO14" i="8" s="1"/>
  <c r="CP15" i="8" s="1"/>
  <c r="CR12" i="8" a="1"/>
  <c r="CR12" i="8" s="1"/>
  <c r="CR11" i="8" a="1"/>
  <c r="CR11" i="8" s="1"/>
  <c r="CS9" i="8" a="1"/>
  <c r="CS9" i="8" s="1"/>
  <c r="CR10" i="8" a="1"/>
  <c r="CR10" i="8" s="1"/>
  <c r="CP14" i="8" a="1"/>
  <c r="CP14" i="8" s="1"/>
  <c r="CN14" i="8" a="1"/>
  <c r="CN14" i="8" s="1"/>
  <c r="CO11" i="8" a="1"/>
  <c r="CO11" i="8" s="1"/>
  <c r="CR14" i="8" a="1"/>
  <c r="CR14" i="8" s="1"/>
  <c r="CN15" i="8"/>
  <c r="CV9" i="8" a="1"/>
  <c r="CV12" i="8" a="1"/>
  <c r="CV12" i="8" l="1"/>
  <c r="CV9" i="8"/>
  <c r="CN18" i="8"/>
  <c r="CO18" i="8" s="1" a="1"/>
  <c r="CO18" i="8" l="1"/>
  <c r="CT17" i="8"/>
  <c r="CY11" i="8" a="1"/>
  <c r="CY11" i="8" s="1"/>
  <c r="CV14" i="8" a="1"/>
  <c r="CV14" i="8" s="1"/>
  <c r="CW15" i="8" s="1"/>
  <c r="CY12" i="8" a="1"/>
  <c r="CY12" i="8" s="1"/>
  <c r="CU9" i="8"/>
  <c r="CY15" i="8" a="1"/>
  <c r="CY15" i="8" s="1"/>
  <c r="CU14" i="8" a="1"/>
  <c r="CU14" i="8" s="1"/>
  <c r="CW14" i="8" a="1"/>
  <c r="CW14" i="8" s="1"/>
  <c r="CZ9" i="8" a="1"/>
  <c r="CZ9" i="8" s="1"/>
  <c r="CY14" i="8" a="1"/>
  <c r="CY14" i="8" s="1"/>
  <c r="CY10" i="8" a="1"/>
  <c r="CY10" i="8" s="1"/>
  <c r="CV11" i="8" a="1"/>
  <c r="CV11" i="8" s="1"/>
  <c r="CU15" i="8"/>
  <c r="CO17" i="8" a="1"/>
  <c r="CO20" i="8" a="1"/>
  <c r="CO20" i="8" l="1"/>
  <c r="CO17" i="8"/>
  <c r="CU18" i="8"/>
  <c r="CV18" i="8" a="1"/>
  <c r="CV18" i="8" l="1"/>
  <c r="CM25" i="8"/>
  <c r="CR22" i="8" a="1"/>
  <c r="CR22" i="8" s="1"/>
  <c r="CS17" i="8" a="1"/>
  <c r="CS17" i="8" s="1"/>
  <c r="CR18" i="8" a="1"/>
  <c r="CR18" i="8" s="1"/>
  <c r="CP22" i="8" a="1"/>
  <c r="CP22" i="8" s="1"/>
  <c r="CN17" i="8"/>
  <c r="CO19" i="8" a="1"/>
  <c r="CO19" i="8" s="1"/>
  <c r="CR23" i="8" a="1"/>
  <c r="CR23" i="8" s="1"/>
  <c r="CO22" i="8" a="1"/>
  <c r="CO22" i="8" s="1"/>
  <c r="CP23" i="8" s="1"/>
  <c r="CR20" i="8" a="1"/>
  <c r="CR20" i="8" s="1"/>
  <c r="CR19" i="8" a="1"/>
  <c r="CR19" i="8" s="1"/>
  <c r="CN22" i="8" a="1"/>
  <c r="CN22" i="8" s="1"/>
  <c r="CN23" i="8"/>
  <c r="CV17" i="8" a="1"/>
  <c r="CV20" i="8" a="1"/>
  <c r="CV17" i="8" l="1"/>
  <c r="CV20" i="8"/>
  <c r="CN26" i="8"/>
  <c r="CO26" i="8" a="1"/>
  <c r="CO26" i="8" l="1"/>
  <c r="CT25" i="8"/>
  <c r="CU23" i="8"/>
  <c r="CY23" i="8" a="1"/>
  <c r="CY23" i="8" s="1"/>
  <c r="CY22" i="8" a="1"/>
  <c r="CY22" i="8" s="1"/>
  <c r="CY20" i="8" a="1"/>
  <c r="CY20" i="8" s="1"/>
  <c r="CY19" i="8" a="1"/>
  <c r="CY19" i="8" s="1"/>
  <c r="CY18" i="8" a="1"/>
  <c r="CY18" i="8" s="1"/>
  <c r="CU17" i="8"/>
  <c r="CU22" i="8" a="1"/>
  <c r="CU22" i="8" s="1"/>
  <c r="CW22" i="8" a="1"/>
  <c r="CW22" i="8" s="1"/>
  <c r="CV19" i="8" a="1"/>
  <c r="CV19" i="8" s="1"/>
  <c r="CZ17" i="8" a="1"/>
  <c r="CZ17" i="8" s="1"/>
  <c r="CV22" i="8" a="1"/>
  <c r="CV22" i="8" s="1"/>
  <c r="CW23" i="8" s="1"/>
  <c r="CO28" i="8" a="1"/>
  <c r="CO25" i="8" a="1"/>
  <c r="CO25" i="8" l="1"/>
  <c r="CO28" i="8"/>
  <c r="CU26" i="8"/>
  <c r="CV26" i="8" a="1"/>
  <c r="CV26" i="8" l="1"/>
  <c r="CM33" i="8"/>
  <c r="CN31" i="8"/>
  <c r="CR26" i="8" a="1"/>
  <c r="CR26" i="8" s="1"/>
  <c r="CP30" i="8" a="1"/>
  <c r="CP30" i="8" s="1"/>
  <c r="CN30" i="8" a="1"/>
  <c r="CN30" i="8" s="1"/>
  <c r="CO27" i="8" a="1"/>
  <c r="CO27" i="8" s="1"/>
  <c r="CR31" i="8" a="1"/>
  <c r="CR31" i="8" s="1"/>
  <c r="CR27" i="8" a="1"/>
  <c r="CR27" i="8" s="1"/>
  <c r="CR30" i="8" a="1"/>
  <c r="CR30" i="8" s="1"/>
  <c r="CS25" i="8" a="1"/>
  <c r="CS25" i="8" s="1"/>
  <c r="CN25" i="8"/>
  <c r="CO30" i="8" a="1"/>
  <c r="CO30" i="8" s="1"/>
  <c r="CP31" i="8" s="1"/>
  <c r="CR28" i="8" a="1"/>
  <c r="CR28" i="8" s="1"/>
  <c r="CV25" i="8" a="1"/>
  <c r="CV28" i="8" a="1"/>
  <c r="CV28" i="8" l="1"/>
  <c r="CV25" i="8"/>
  <c r="CN34" i="8"/>
  <c r="CO34" i="8" a="1"/>
  <c r="CO34" i="8" l="1"/>
  <c r="CT33" i="8"/>
  <c r="CU25" i="8"/>
  <c r="CV30" i="8" a="1"/>
  <c r="CV30" i="8" s="1"/>
  <c r="CW31" i="8" s="1"/>
  <c r="CU30" i="8" a="1"/>
  <c r="CU30" i="8" s="1"/>
  <c r="CV27" i="8" a="1"/>
  <c r="CV27" i="8" s="1"/>
  <c r="CZ25" i="8" a="1"/>
  <c r="CZ25" i="8" s="1"/>
  <c r="CY31" i="8" a="1"/>
  <c r="CY31" i="8" s="1"/>
  <c r="CY30" i="8" a="1"/>
  <c r="CY30" i="8" s="1"/>
  <c r="CY28" i="8" a="1"/>
  <c r="CY28" i="8" s="1"/>
  <c r="CY27" i="8" a="1"/>
  <c r="CY27" i="8" s="1"/>
  <c r="CY26" i="8" a="1"/>
  <c r="CY26" i="8" s="1"/>
  <c r="CW30" i="8" a="1"/>
  <c r="CW30" i="8" s="1"/>
  <c r="CU31" i="8"/>
  <c r="CO36" i="8" a="1"/>
  <c r="CO33" i="8" a="1"/>
  <c r="CO36" i="8" l="1"/>
  <c r="CO33" i="8"/>
  <c r="CU34" i="8"/>
  <c r="CV34" i="8" a="1"/>
  <c r="CV34" i="8" l="1"/>
  <c r="CM41" i="8"/>
  <c r="CP38" i="8" a="1"/>
  <c r="CP38" i="8" s="1"/>
  <c r="CN33" i="8"/>
  <c r="CR39" i="8" a="1"/>
  <c r="CR39" i="8" s="1"/>
  <c r="CO38" i="8" a="1"/>
  <c r="CO38" i="8" s="1"/>
  <c r="CP39" i="8" s="1"/>
  <c r="CR36" i="8" a="1"/>
  <c r="CR36" i="8" s="1"/>
  <c r="CR35" i="8" a="1"/>
  <c r="CR35" i="8" s="1"/>
  <c r="CS33" i="8" a="1"/>
  <c r="CS33" i="8" s="1"/>
  <c r="CR34" i="8" a="1"/>
  <c r="CR34" i="8" s="1"/>
  <c r="CN38" i="8" a="1"/>
  <c r="CN38" i="8" s="1"/>
  <c r="CO35" i="8" a="1"/>
  <c r="CO35" i="8" s="1"/>
  <c r="CR38" i="8" a="1"/>
  <c r="CR38" i="8" s="1"/>
  <c r="CN39" i="8"/>
  <c r="CV36" i="8" a="1"/>
  <c r="CV33" i="8" a="1"/>
  <c r="CV33" i="8" l="1"/>
  <c r="CV36" i="8"/>
  <c r="CN42" i="8"/>
  <c r="CO42" i="8" a="1"/>
  <c r="CO42" i="8" l="1"/>
  <c r="CT41" i="8"/>
  <c r="CU39" i="8"/>
  <c r="CW38" i="8" a="1"/>
  <c r="CW38" i="8" s="1"/>
  <c r="CV35" i="8" a="1"/>
  <c r="CV35" i="8" s="1"/>
  <c r="CZ33" i="8" a="1"/>
  <c r="CZ33" i="8" s="1"/>
  <c r="CY38" i="8" a="1"/>
  <c r="CY38" i="8" s="1"/>
  <c r="CY35" i="8" a="1"/>
  <c r="CY35" i="8" s="1"/>
  <c r="CY39" i="8" a="1"/>
  <c r="CY39" i="8" s="1"/>
  <c r="CV38" i="8" a="1"/>
  <c r="CV38" i="8" s="1"/>
  <c r="CW39" i="8" s="1"/>
  <c r="CU33" i="8"/>
  <c r="CY36" i="8" a="1"/>
  <c r="CY36" i="8" s="1"/>
  <c r="CU38" i="8" a="1"/>
  <c r="CU38" i="8" s="1"/>
  <c r="CY34" i="8" a="1"/>
  <c r="CY34" i="8" s="1"/>
  <c r="CO44" i="8" a="1"/>
  <c r="CO41" i="8" a="1"/>
  <c r="CO44" i="8" l="1"/>
  <c r="CO41" i="8"/>
  <c r="CU42" i="8"/>
  <c r="CV42" i="8" a="1"/>
  <c r="CV42" i="8" l="1"/>
  <c r="DB1" i="8"/>
  <c r="CR43" i="8" a="1"/>
  <c r="CR43" i="8" s="1"/>
  <c r="CR46" i="8" a="1"/>
  <c r="CR46" i="8" s="1"/>
  <c r="CS41" i="8" a="1"/>
  <c r="CS41" i="8" s="1"/>
  <c r="CO46" i="8" a="1"/>
  <c r="CO46" i="8" s="1"/>
  <c r="CP47" i="8" s="1"/>
  <c r="CN46" i="8" a="1"/>
  <c r="CN46" i="8" s="1"/>
  <c r="CR44" i="8" a="1"/>
  <c r="CR44" i="8" s="1"/>
  <c r="CO43" i="8" a="1"/>
  <c r="CO43" i="8" s="1"/>
  <c r="CP46" i="8" a="1"/>
  <c r="CP46" i="8" s="1"/>
  <c r="CN41" i="8"/>
  <c r="CR47" i="8" a="1"/>
  <c r="CR47" i="8" s="1"/>
  <c r="CR42" i="8" a="1"/>
  <c r="CR42" i="8" s="1"/>
  <c r="CN47" i="8"/>
  <c r="CV44" i="8" a="1"/>
  <c r="CV41" i="8" a="1"/>
  <c r="CV44" i="8" l="1"/>
  <c r="CV41" i="8"/>
  <c r="DC2" i="8"/>
  <c r="DD2" i="8" a="1"/>
  <c r="DD2" i="8" l="1"/>
  <c r="DI1" i="8"/>
  <c r="CU41" i="8"/>
  <c r="CU46" i="8" a="1"/>
  <c r="CU46" i="8" s="1"/>
  <c r="CY47" i="8" a="1"/>
  <c r="CY47" i="8" s="1"/>
  <c r="CY46" i="8" a="1"/>
  <c r="CY46" i="8" s="1"/>
  <c r="CY44" i="8" a="1"/>
  <c r="CY44" i="8" s="1"/>
  <c r="CY43" i="8" a="1"/>
  <c r="CY43" i="8" s="1"/>
  <c r="CY42" i="8" a="1"/>
  <c r="CY42" i="8" s="1"/>
  <c r="CW46" i="8" a="1"/>
  <c r="CW46" i="8" s="1"/>
  <c r="CV43" i="8" a="1"/>
  <c r="CV43" i="8" s="1"/>
  <c r="CZ41" i="8" a="1"/>
  <c r="CZ41" i="8" s="1"/>
  <c r="CV46" i="8" a="1"/>
  <c r="CV46" i="8" s="1"/>
  <c r="CW47" i="8" s="1"/>
  <c r="CU47" i="8"/>
  <c r="DD4" i="8" a="1"/>
  <c r="DD1" i="8" a="1"/>
  <c r="DD4" i="8" l="1"/>
  <c r="DD1" i="8"/>
  <c r="DJ2" i="8"/>
  <c r="DK2" i="8" s="1" a="1"/>
  <c r="DK2" i="8" l="1"/>
  <c r="DB9" i="8"/>
  <c r="DC6" i="8" a="1"/>
  <c r="DC6" i="8" s="1"/>
  <c r="DD3" i="8" a="1"/>
  <c r="DD3" i="8" s="1"/>
  <c r="DG2" i="8" a="1"/>
  <c r="DG2" i="8" s="1"/>
  <c r="DG6" i="8" a="1"/>
  <c r="DG6" i="8" s="1"/>
  <c r="DH1" i="8" a="1"/>
  <c r="DH1" i="8" s="1"/>
  <c r="DC1" i="8"/>
  <c r="DE6" i="8" a="1"/>
  <c r="DE6" i="8" s="1"/>
  <c r="DG7" i="8" a="1"/>
  <c r="DG7" i="8" s="1"/>
  <c r="DD6" i="8" a="1"/>
  <c r="DD6" i="8" s="1"/>
  <c r="DE7" i="8" s="1"/>
  <c r="DG4" i="8" a="1"/>
  <c r="DG4" i="8" s="1"/>
  <c r="DG3" i="8" a="1"/>
  <c r="DG3" i="8" s="1"/>
  <c r="DC7" i="8"/>
  <c r="DK1" i="8" a="1"/>
  <c r="DK4" i="8" a="1"/>
  <c r="DK1" i="8" l="1"/>
  <c r="DK4" i="8"/>
  <c r="DC10" i="8"/>
  <c r="DD10" i="8" a="1"/>
  <c r="DD10" i="8" l="1"/>
  <c r="DI9" i="8"/>
  <c r="DJ7" i="8"/>
  <c r="DJ6" i="8" a="1"/>
  <c r="DJ6" i="8" s="1"/>
  <c r="DJ1" i="8"/>
  <c r="DN7" i="8" a="1"/>
  <c r="DN7" i="8" s="1"/>
  <c r="DN6" i="8" a="1"/>
  <c r="DN6" i="8" s="1"/>
  <c r="DN4" i="8" a="1"/>
  <c r="DN4" i="8" s="1"/>
  <c r="DN3" i="8" a="1"/>
  <c r="DN3" i="8" s="1"/>
  <c r="DN2" i="8" a="1"/>
  <c r="DN2" i="8" s="1"/>
  <c r="DL6" i="8" a="1"/>
  <c r="DL6" i="8" s="1"/>
  <c r="DK3" i="8" a="1"/>
  <c r="DK3" i="8" s="1"/>
  <c r="DO1" i="8" a="1"/>
  <c r="DO1" i="8" s="1"/>
  <c r="DK6" i="8" a="1"/>
  <c r="DK6" i="8" s="1"/>
  <c r="DL7" i="8" s="1"/>
  <c r="DD12" i="8" a="1"/>
  <c r="DD9" i="8" a="1"/>
  <c r="DD9" i="8" l="1"/>
  <c r="DD12" i="8"/>
  <c r="DJ10" i="8"/>
  <c r="DK10" i="8" a="1"/>
  <c r="DK10" i="8" l="1"/>
  <c r="DB17" i="8"/>
  <c r="DC15" i="8"/>
  <c r="DC9" i="8"/>
  <c r="DG15" i="8" a="1"/>
  <c r="DG15" i="8" s="1"/>
  <c r="DD14" i="8" a="1"/>
  <c r="DD14" i="8" s="1"/>
  <c r="DE15" i="8" s="1"/>
  <c r="DG12" i="8" a="1"/>
  <c r="DG12" i="8" s="1"/>
  <c r="DG11" i="8" a="1"/>
  <c r="DG11" i="8" s="1"/>
  <c r="DG10" i="8" a="1"/>
  <c r="DG10" i="8" s="1"/>
  <c r="DH9" i="8" a="1"/>
  <c r="DH9" i="8" s="1"/>
  <c r="DC14" i="8" a="1"/>
  <c r="DC14" i="8" s="1"/>
  <c r="DD11" i="8" a="1"/>
  <c r="DD11" i="8" s="1"/>
  <c r="DG14" i="8" a="1"/>
  <c r="DG14" i="8" s="1"/>
  <c r="DE14" i="8" a="1"/>
  <c r="DE14" i="8" s="1"/>
  <c r="DK12" i="8" a="1"/>
  <c r="DK9" i="8" a="1"/>
  <c r="DK12" i="8" l="1"/>
  <c r="DK9" i="8"/>
  <c r="DC18" i="8"/>
  <c r="DD18" i="8" a="1"/>
  <c r="DD18" i="8" l="1"/>
  <c r="DI17" i="8"/>
  <c r="DN12" i="8" a="1"/>
  <c r="DN12" i="8" s="1"/>
  <c r="DN10" i="8" a="1"/>
  <c r="DN10" i="8" s="1"/>
  <c r="DK11" i="8" a="1"/>
  <c r="DK11" i="8" s="1"/>
  <c r="DK14" i="8" a="1"/>
  <c r="DK14" i="8" s="1"/>
  <c r="DL15" i="8" s="1"/>
  <c r="DN11" i="8" a="1"/>
  <c r="DN11" i="8" s="1"/>
  <c r="DJ9" i="8"/>
  <c r="DN14" i="8" a="1"/>
  <c r="DN14" i="8" s="1"/>
  <c r="DJ14" i="8" a="1"/>
  <c r="DJ14" i="8" s="1"/>
  <c r="DO9" i="8" a="1"/>
  <c r="DO9" i="8" s="1"/>
  <c r="DN15" i="8" a="1"/>
  <c r="DN15" i="8" s="1"/>
  <c r="DL14" i="8" a="1"/>
  <c r="DL14" i="8" s="1"/>
  <c r="DJ15" i="8"/>
  <c r="DD20" i="8" a="1"/>
  <c r="DD17" i="8" a="1"/>
  <c r="DD20" i="8" l="1"/>
  <c r="DD17" i="8"/>
  <c r="DJ18" i="8"/>
  <c r="DK18" i="8" a="1"/>
  <c r="DK18" i="8" l="1"/>
  <c r="DB25" i="8"/>
  <c r="DG22" i="8" a="1"/>
  <c r="DG22" i="8" s="1"/>
  <c r="DH17" i="8" a="1"/>
  <c r="DH17" i="8" s="1"/>
  <c r="DG18" i="8" a="1"/>
  <c r="DG18" i="8" s="1"/>
  <c r="DE22" i="8" a="1"/>
  <c r="DE22" i="8" s="1"/>
  <c r="DC17" i="8"/>
  <c r="DG23" i="8" a="1"/>
  <c r="DG23" i="8" s="1"/>
  <c r="DD22" i="8" a="1"/>
  <c r="DD22" i="8" s="1"/>
  <c r="DE23" i="8" s="1"/>
  <c r="DG20" i="8" a="1"/>
  <c r="DG20" i="8" s="1"/>
  <c r="DG19" i="8" a="1"/>
  <c r="DG19" i="8" s="1"/>
  <c r="DC22" i="8" a="1"/>
  <c r="DC22" i="8" s="1"/>
  <c r="DD19" i="8" a="1"/>
  <c r="DD19" i="8" s="1"/>
  <c r="DC23" i="8"/>
  <c r="DK17" i="8" a="1"/>
  <c r="DK20" i="8" a="1"/>
  <c r="DK17" i="8" l="1"/>
  <c r="DK20" i="8"/>
  <c r="DC26" i="8"/>
  <c r="DD26" i="8" a="1"/>
  <c r="DD26" i="8" l="1"/>
  <c r="DI25" i="8"/>
  <c r="DJ23" i="8"/>
  <c r="DN23" i="8" a="1"/>
  <c r="DN23" i="8" s="1"/>
  <c r="DN22" i="8" a="1"/>
  <c r="DN22" i="8" s="1"/>
  <c r="DN20" i="8" a="1"/>
  <c r="DN20" i="8" s="1"/>
  <c r="DN19" i="8" a="1"/>
  <c r="DN19" i="8" s="1"/>
  <c r="DN18" i="8" a="1"/>
  <c r="DN18" i="8" s="1"/>
  <c r="DJ17" i="8"/>
  <c r="DL22" i="8" a="1"/>
  <c r="DL22" i="8" s="1"/>
  <c r="DK19" i="8" a="1"/>
  <c r="DK19" i="8" s="1"/>
  <c r="DO17" i="8" a="1"/>
  <c r="DO17" i="8" s="1"/>
  <c r="DK22" i="8" a="1"/>
  <c r="DK22" i="8" s="1"/>
  <c r="DL23" i="8" s="1"/>
  <c r="DJ22" i="8" a="1"/>
  <c r="DJ22" i="8" s="1"/>
  <c r="DD25" i="8" a="1"/>
  <c r="DD28" i="8" a="1"/>
  <c r="DD25" i="8" l="1"/>
  <c r="DD28" i="8"/>
  <c r="DJ26" i="8"/>
  <c r="DK26" i="8" a="1"/>
  <c r="DK26" i="8" l="1"/>
  <c r="DB33" i="8"/>
  <c r="DC31" i="8"/>
  <c r="DG26" i="8" a="1"/>
  <c r="DG26" i="8" s="1"/>
  <c r="DC30" i="8" a="1"/>
  <c r="DC30" i="8" s="1"/>
  <c r="DD27" i="8" a="1"/>
  <c r="DD27" i="8" s="1"/>
  <c r="DG30" i="8" a="1"/>
  <c r="DG30" i="8" s="1"/>
  <c r="DH25" i="8" a="1"/>
  <c r="DH25" i="8" s="1"/>
  <c r="DE30" i="8" a="1"/>
  <c r="DE30" i="8" s="1"/>
  <c r="DC25" i="8"/>
  <c r="DG31" i="8" a="1"/>
  <c r="DG31" i="8" s="1"/>
  <c r="DD30" i="8" a="1"/>
  <c r="DD30" i="8" s="1"/>
  <c r="DE31" i="8" s="1"/>
  <c r="DG28" i="8" a="1"/>
  <c r="DG28" i="8" s="1"/>
  <c r="DG27" i="8" a="1"/>
  <c r="DG27" i="8" s="1"/>
  <c r="DK25" i="8" a="1"/>
  <c r="DK28" i="8" a="1"/>
  <c r="DK25" i="8" l="1"/>
  <c r="DK28" i="8"/>
  <c r="DC34" i="8"/>
  <c r="DD34" i="8" s="1" a="1"/>
  <c r="DD34" i="8" l="1"/>
  <c r="DI33" i="8"/>
  <c r="DJ31" i="8"/>
  <c r="DJ25" i="8"/>
  <c r="DJ30" i="8" a="1"/>
  <c r="DJ30" i="8" s="1"/>
  <c r="DK27" i="8" a="1"/>
  <c r="DK27" i="8" s="1"/>
  <c r="DN31" i="8" a="1"/>
  <c r="DN31" i="8" s="1"/>
  <c r="DN30" i="8" a="1"/>
  <c r="DN30" i="8" s="1"/>
  <c r="DN28" i="8" a="1"/>
  <c r="DN28" i="8" s="1"/>
  <c r="DN27" i="8" a="1"/>
  <c r="DN27" i="8" s="1"/>
  <c r="DN26" i="8" a="1"/>
  <c r="DN26" i="8" s="1"/>
  <c r="DL30" i="8" a="1"/>
  <c r="DL30" i="8" s="1"/>
  <c r="DO25" i="8" a="1"/>
  <c r="DO25" i="8" s="1"/>
  <c r="DK30" i="8" a="1"/>
  <c r="DK30" i="8" s="1"/>
  <c r="DL31" i="8" s="1"/>
  <c r="DD36" i="8" a="1"/>
  <c r="DD33" i="8" a="1"/>
  <c r="DD36" i="8" l="1"/>
  <c r="DD33" i="8"/>
  <c r="DJ34" i="8"/>
  <c r="DK34" i="8" a="1"/>
  <c r="DK34" i="8" l="1"/>
  <c r="DB41" i="8"/>
  <c r="DE38" i="8" a="1"/>
  <c r="DE38" i="8" s="1"/>
  <c r="DC33" i="8"/>
  <c r="DG39" i="8" a="1"/>
  <c r="DG39" i="8" s="1"/>
  <c r="DD38" i="8" a="1"/>
  <c r="DD38" i="8" s="1"/>
  <c r="DE39" i="8" s="1"/>
  <c r="DG36" i="8" a="1"/>
  <c r="DG36" i="8" s="1"/>
  <c r="DG35" i="8" a="1"/>
  <c r="DG35" i="8" s="1"/>
  <c r="DG34" i="8" a="1"/>
  <c r="DG34" i="8" s="1"/>
  <c r="DC38" i="8" a="1"/>
  <c r="DC38" i="8" s="1"/>
  <c r="DD35" i="8" a="1"/>
  <c r="DD35" i="8" s="1"/>
  <c r="DG38" i="8" a="1"/>
  <c r="DG38" i="8" s="1"/>
  <c r="DH33" i="8" a="1"/>
  <c r="DH33" i="8" s="1"/>
  <c r="DC39" i="8"/>
  <c r="DK36" i="8" a="1"/>
  <c r="DK33" i="8" a="1"/>
  <c r="DK33" i="8" l="1"/>
  <c r="DK36" i="8"/>
  <c r="DC42" i="8"/>
  <c r="DD42" i="8" s="1" a="1"/>
  <c r="DD42" i="8" l="1"/>
  <c r="DI41" i="8"/>
  <c r="DJ39" i="8"/>
  <c r="DL38" i="8" a="1"/>
  <c r="DL38" i="8" s="1"/>
  <c r="DK35" i="8" a="1"/>
  <c r="DK35" i="8" s="1"/>
  <c r="DO33" i="8" a="1"/>
  <c r="DO33" i="8" s="1"/>
  <c r="DK38" i="8" a="1"/>
  <c r="DK38" i="8" s="1"/>
  <c r="DL39" i="8" s="1"/>
  <c r="DJ33" i="8"/>
  <c r="DJ38" i="8" a="1"/>
  <c r="DJ38" i="8" s="1"/>
  <c r="DN39" i="8" a="1"/>
  <c r="DN39" i="8" s="1"/>
  <c r="DN38" i="8" a="1"/>
  <c r="DN38" i="8" s="1"/>
  <c r="DN36" i="8" a="1"/>
  <c r="DN36" i="8" s="1"/>
  <c r="DN35" i="8" a="1"/>
  <c r="DN35" i="8" s="1"/>
  <c r="DN34" i="8" a="1"/>
  <c r="DN34" i="8" s="1"/>
  <c r="DD44" i="8" a="1"/>
  <c r="DD41" i="8" a="1"/>
  <c r="DD44" i="8" l="1"/>
  <c r="DD41" i="8"/>
  <c r="DJ42" i="8"/>
  <c r="DK42" i="8" a="1"/>
  <c r="DK42" i="8" l="1"/>
  <c r="DQ1" i="8"/>
  <c r="DG44" i="8" a="1"/>
  <c r="DG44" i="8" s="1"/>
  <c r="DG46" i="8" a="1"/>
  <c r="DG46" i="8" s="1"/>
  <c r="DH41" i="8" a="1"/>
  <c r="DH41" i="8" s="1"/>
  <c r="DD46" i="8" a="1"/>
  <c r="DD46" i="8" s="1"/>
  <c r="DE47" i="8" s="1"/>
  <c r="DG43" i="8" a="1"/>
  <c r="DG43" i="8" s="1"/>
  <c r="DE46" i="8" a="1"/>
  <c r="DE46" i="8" s="1"/>
  <c r="DG47" i="8" a="1"/>
  <c r="DG47" i="8" s="1"/>
  <c r="DC41" i="8"/>
  <c r="DG42" i="8" a="1"/>
  <c r="DG42" i="8" s="1"/>
  <c r="DC46" i="8" a="1"/>
  <c r="DC46" i="8" s="1"/>
  <c r="DD43" i="8" a="1"/>
  <c r="DD43" i="8" s="1"/>
  <c r="DC47" i="8"/>
  <c r="DK44" i="8" a="1"/>
  <c r="DK41" i="8" a="1"/>
  <c r="DK44" i="8" l="1"/>
  <c r="DK41" i="8"/>
  <c r="DR2" i="8"/>
  <c r="DS2" i="8" a="1"/>
  <c r="DS2" i="8" l="1"/>
  <c r="DX1" i="8"/>
  <c r="DN47" i="8" a="1"/>
  <c r="DN47" i="8" s="1"/>
  <c r="DN46" i="8" a="1"/>
  <c r="DN46" i="8" s="1"/>
  <c r="DN44" i="8" a="1"/>
  <c r="DN44" i="8" s="1"/>
  <c r="DN43" i="8" a="1"/>
  <c r="DN43" i="8" s="1"/>
  <c r="DN42" i="8" a="1"/>
  <c r="DN42" i="8" s="1"/>
  <c r="DL46" i="8" a="1"/>
  <c r="DL46" i="8" s="1"/>
  <c r="DK43" i="8" a="1"/>
  <c r="DK43" i="8" s="1"/>
  <c r="DO41" i="8" a="1"/>
  <c r="DO41" i="8" s="1"/>
  <c r="DK46" i="8" a="1"/>
  <c r="DK46" i="8" s="1"/>
  <c r="DL47" i="8" s="1"/>
  <c r="DJ41" i="8"/>
  <c r="DJ46" i="8" a="1"/>
  <c r="DJ46" i="8" s="1"/>
  <c r="DJ47" i="8"/>
  <c r="DS4" i="8" a="1"/>
  <c r="DS1" i="8" a="1"/>
  <c r="DS1" i="8" l="1"/>
  <c r="DS4" i="8"/>
  <c r="DY2" i="8"/>
  <c r="DZ2" i="8" a="1"/>
  <c r="DZ2" i="8" l="1"/>
  <c r="DQ9" i="8"/>
  <c r="DR7" i="8"/>
  <c r="DR6" i="8" a="1"/>
  <c r="DR6" i="8" s="1"/>
  <c r="DS3" i="8" a="1"/>
  <c r="DS3" i="8" s="1"/>
  <c r="DV6" i="8" a="1"/>
  <c r="DV6" i="8" s="1"/>
  <c r="DW1" i="8" a="1"/>
  <c r="DW1" i="8" s="1"/>
  <c r="DT6" i="8" a="1"/>
  <c r="DT6" i="8" s="1"/>
  <c r="DV2" i="8" a="1"/>
  <c r="DV2" i="8" s="1"/>
  <c r="DR1" i="8"/>
  <c r="DV7" i="8" a="1"/>
  <c r="DV7" i="8" s="1"/>
  <c r="DS6" i="8" a="1"/>
  <c r="DS6" i="8" s="1"/>
  <c r="DT7" i="8" s="1"/>
  <c r="DV4" i="8" a="1"/>
  <c r="DV4" i="8" s="1"/>
  <c r="DV3" i="8" a="1"/>
  <c r="DV3" i="8" s="1"/>
  <c r="DZ1" i="8" a="1"/>
  <c r="DZ4" i="8" a="1"/>
  <c r="DZ4" i="8" l="1"/>
  <c r="DZ1" i="8"/>
  <c r="DR10" i="8"/>
  <c r="DS10" i="8" s="1" a="1"/>
  <c r="DS10" i="8" l="1"/>
  <c r="DX9" i="8"/>
  <c r="DY6" i="8" a="1"/>
  <c r="DY6" i="8" s="1"/>
  <c r="EC7" i="8" a="1"/>
  <c r="EC7" i="8" s="1"/>
  <c r="EC6" i="8" a="1"/>
  <c r="EC6" i="8" s="1"/>
  <c r="EC4" i="8" a="1"/>
  <c r="EC4" i="8" s="1"/>
  <c r="EC3" i="8" a="1"/>
  <c r="EC3" i="8" s="1"/>
  <c r="EC2" i="8" a="1"/>
  <c r="EC2" i="8" s="1"/>
  <c r="EA6" i="8" a="1"/>
  <c r="EA6" i="8" s="1"/>
  <c r="DZ3" i="8" a="1"/>
  <c r="DZ3" i="8" s="1"/>
  <c r="ED1" i="8" a="1"/>
  <c r="ED1" i="8" s="1"/>
  <c r="DY1" i="8"/>
  <c r="DZ6" i="8" a="1"/>
  <c r="DZ6" i="8" s="1"/>
  <c r="EA7" i="8" s="1"/>
  <c r="DY7" i="8"/>
  <c r="DS9" i="8" a="1"/>
  <c r="DS12" i="8" a="1"/>
  <c r="DS9" i="8" l="1"/>
  <c r="DS12" i="8"/>
  <c r="DY10" i="8"/>
  <c r="DZ10" i="8" a="1"/>
  <c r="DZ10" i="8" l="1"/>
  <c r="DQ17" i="8"/>
  <c r="DR15" i="8"/>
  <c r="DR9" i="8"/>
  <c r="DV15" i="8" a="1"/>
  <c r="DV15" i="8" s="1"/>
  <c r="DS14" i="8" a="1"/>
  <c r="DS14" i="8" s="1"/>
  <c r="DT15" i="8" s="1"/>
  <c r="DV12" i="8" a="1"/>
  <c r="DV12" i="8" s="1"/>
  <c r="DV11" i="8" a="1"/>
  <c r="DV11" i="8" s="1"/>
  <c r="DT14" i="8" a="1"/>
  <c r="DT14" i="8" s="1"/>
  <c r="DV10" i="8" a="1"/>
  <c r="DV10" i="8" s="1"/>
  <c r="DR14" i="8" a="1"/>
  <c r="DR14" i="8" s="1"/>
  <c r="DS11" i="8" a="1"/>
  <c r="DS11" i="8" s="1"/>
  <c r="DV14" i="8" a="1"/>
  <c r="DV14" i="8" s="1"/>
  <c r="DW9" i="8" a="1"/>
  <c r="DW9" i="8" s="1"/>
  <c r="DZ12" i="8" a="1"/>
  <c r="DZ9" i="8" a="1"/>
  <c r="DZ9" i="8" l="1"/>
  <c r="DZ12" i="8"/>
  <c r="DR18" i="8"/>
  <c r="DS18" i="8" a="1"/>
  <c r="DS18" i="8" l="1"/>
  <c r="DX17" i="8"/>
  <c r="DY15" i="8"/>
  <c r="DZ14" i="8" a="1"/>
  <c r="DZ14" i="8" s="1"/>
  <c r="EA15" i="8" s="1"/>
  <c r="DY9" i="8"/>
  <c r="DZ11" i="8" a="1"/>
  <c r="DZ11" i="8" s="1"/>
  <c r="DY14" i="8" a="1"/>
  <c r="DY14" i="8" s="1"/>
  <c r="EC15" i="8" a="1"/>
  <c r="EC15" i="8" s="1"/>
  <c r="EC14" i="8" a="1"/>
  <c r="EC14" i="8" s="1"/>
  <c r="EC12" i="8" a="1"/>
  <c r="EC12" i="8" s="1"/>
  <c r="EC11" i="8" a="1"/>
  <c r="EC11" i="8" s="1"/>
  <c r="EC10" i="8" a="1"/>
  <c r="EC10" i="8" s="1"/>
  <c r="ED9" i="8" a="1"/>
  <c r="ED9" i="8" s="1"/>
  <c r="EA14" i="8" a="1"/>
  <c r="EA14" i="8" s="1"/>
  <c r="DS20" i="8" a="1"/>
  <c r="DS17" i="8" a="1"/>
  <c r="DS20" i="8" l="1"/>
  <c r="DS17" i="8"/>
  <c r="DY18" i="8"/>
  <c r="DZ18" i="8" a="1"/>
  <c r="DZ18" i="8" l="1"/>
  <c r="DQ25" i="8"/>
  <c r="DV22" i="8" a="1"/>
  <c r="DV22" i="8" s="1"/>
  <c r="DW17" i="8" a="1"/>
  <c r="DW17" i="8" s="1"/>
  <c r="DT22" i="8" a="1"/>
  <c r="DT22" i="8" s="1"/>
  <c r="DR17" i="8"/>
  <c r="DV23" i="8" a="1"/>
  <c r="DV23" i="8" s="1"/>
  <c r="DS22" i="8" a="1"/>
  <c r="DS22" i="8" s="1"/>
  <c r="DT23" i="8" s="1"/>
  <c r="DV20" i="8" a="1"/>
  <c r="DV20" i="8" s="1"/>
  <c r="DV19" i="8" a="1"/>
  <c r="DV19" i="8" s="1"/>
  <c r="DV18" i="8" a="1"/>
  <c r="DV18" i="8" s="1"/>
  <c r="DR22" i="8" a="1"/>
  <c r="DR22" i="8" s="1"/>
  <c r="DS19" i="8" a="1"/>
  <c r="DS19" i="8" s="1"/>
  <c r="DR23" i="8"/>
  <c r="DZ17" i="8" a="1"/>
  <c r="DZ20" i="8" a="1"/>
  <c r="DZ17" i="8" l="1"/>
  <c r="DZ20" i="8"/>
  <c r="DR26" i="8"/>
  <c r="DS26" i="8" a="1"/>
  <c r="DS26" i="8" l="1"/>
  <c r="DX25" i="8"/>
  <c r="DY23" i="8"/>
  <c r="EC23" i="8" a="1"/>
  <c r="EC23" i="8" s="1"/>
  <c r="EC22" i="8" a="1"/>
  <c r="EC22" i="8" s="1"/>
  <c r="EC20" i="8" a="1"/>
  <c r="EC20" i="8" s="1"/>
  <c r="EC19" i="8" a="1"/>
  <c r="EC19" i="8" s="1"/>
  <c r="EC18" i="8" a="1"/>
  <c r="EC18" i="8" s="1"/>
  <c r="EA22" i="8" a="1"/>
  <c r="EA22" i="8" s="1"/>
  <c r="DZ19" i="8" a="1"/>
  <c r="DZ19" i="8" s="1"/>
  <c r="ED17" i="8" a="1"/>
  <c r="ED17" i="8" s="1"/>
  <c r="DZ22" i="8" a="1"/>
  <c r="DZ22" i="8" s="1"/>
  <c r="EA23" i="8" s="1"/>
  <c r="DY17" i="8"/>
  <c r="DY22" i="8" a="1"/>
  <c r="DY22" i="8" s="1"/>
  <c r="DS25" i="8" a="1"/>
  <c r="DS28" i="8" a="1"/>
  <c r="DS25" i="8" l="1"/>
  <c r="DS28" i="8"/>
  <c r="DY26" i="8"/>
  <c r="DZ26" i="8" a="1"/>
  <c r="DZ26" i="8" l="1"/>
  <c r="DQ33" i="8"/>
  <c r="DR31" i="8"/>
  <c r="DV26" i="8" a="1"/>
  <c r="DV26" i="8" s="1"/>
  <c r="DV31" i="8" a="1"/>
  <c r="DV31" i="8" s="1"/>
  <c r="DR30" i="8" a="1"/>
  <c r="DR30" i="8" s="1"/>
  <c r="DS27" i="8" a="1"/>
  <c r="DS27" i="8" s="1"/>
  <c r="DV28" i="8" a="1"/>
  <c r="DV28" i="8" s="1"/>
  <c r="DV30" i="8" a="1"/>
  <c r="DV30" i="8" s="1"/>
  <c r="DW25" i="8" a="1"/>
  <c r="DW25" i="8" s="1"/>
  <c r="DV27" i="8" a="1"/>
  <c r="DV27" i="8" s="1"/>
  <c r="DT30" i="8" a="1"/>
  <c r="DT30" i="8" s="1"/>
  <c r="DS30" i="8" a="1"/>
  <c r="DS30" i="8" s="1"/>
  <c r="DT31" i="8" s="1"/>
  <c r="DR25" i="8"/>
  <c r="DZ28" i="8" a="1"/>
  <c r="DZ25" i="8" a="1"/>
  <c r="DZ28" i="8" l="1"/>
  <c r="DZ25" i="8"/>
  <c r="DR34" i="8"/>
  <c r="DS34" i="8" s="1" a="1"/>
  <c r="DS34" i="8" l="1"/>
  <c r="DX33" i="8"/>
  <c r="DY25" i="8"/>
  <c r="DY30" i="8" a="1"/>
  <c r="DY30" i="8" s="1"/>
  <c r="DZ30" i="8" a="1"/>
  <c r="DZ30" i="8" s="1"/>
  <c r="EA31" i="8" s="1"/>
  <c r="EC31" i="8" a="1"/>
  <c r="EC31" i="8" s="1"/>
  <c r="EC30" i="8" a="1"/>
  <c r="EC30" i="8" s="1"/>
  <c r="EC28" i="8" a="1"/>
  <c r="EC28" i="8" s="1"/>
  <c r="EC27" i="8" a="1"/>
  <c r="EC27" i="8" s="1"/>
  <c r="EC26" i="8" a="1"/>
  <c r="EC26" i="8" s="1"/>
  <c r="EA30" i="8" a="1"/>
  <c r="EA30" i="8" s="1"/>
  <c r="DZ27" i="8" a="1"/>
  <c r="DZ27" i="8" s="1"/>
  <c r="ED25" i="8" a="1"/>
  <c r="ED25" i="8" s="1"/>
  <c r="DY31" i="8"/>
  <c r="DS33" i="8" a="1"/>
  <c r="DS36" i="8" a="1"/>
  <c r="DS36" i="8" l="1"/>
  <c r="DS33" i="8"/>
  <c r="DY34" i="8"/>
  <c r="DZ34" i="8" a="1"/>
  <c r="DZ34" i="8" l="1"/>
  <c r="DQ41" i="8"/>
  <c r="DT38" i="8" a="1"/>
  <c r="DT38" i="8" s="1"/>
  <c r="DR33" i="8"/>
  <c r="DV39" i="8" a="1"/>
  <c r="DV39" i="8" s="1"/>
  <c r="DS38" i="8" a="1"/>
  <c r="DS38" i="8" s="1"/>
  <c r="DT39" i="8" s="1"/>
  <c r="DV36" i="8" a="1"/>
  <c r="DV36" i="8" s="1"/>
  <c r="DV35" i="8" a="1"/>
  <c r="DV35" i="8" s="1"/>
  <c r="DV34" i="8" a="1"/>
  <c r="DV34" i="8" s="1"/>
  <c r="DR38" i="8" a="1"/>
  <c r="DR38" i="8" s="1"/>
  <c r="DS35" i="8" a="1"/>
  <c r="DS35" i="8" s="1"/>
  <c r="DV38" i="8" a="1"/>
  <c r="DV38" i="8" s="1"/>
  <c r="DW33" i="8" a="1"/>
  <c r="DW33" i="8" s="1"/>
  <c r="DR39" i="8"/>
  <c r="DZ33" i="8" a="1"/>
  <c r="DZ36" i="8" a="1"/>
  <c r="DZ33" i="8" l="1"/>
  <c r="DZ36" i="8"/>
  <c r="DR42" i="8"/>
  <c r="DS42" i="8" a="1"/>
  <c r="DS42" i="8" l="1"/>
  <c r="DX41" i="8"/>
  <c r="DY39" i="8"/>
  <c r="EA38" i="8" a="1"/>
  <c r="EA38" i="8" s="1"/>
  <c r="DZ35" i="8" a="1"/>
  <c r="DZ35" i="8" s="1"/>
  <c r="ED33" i="8" a="1"/>
  <c r="ED33" i="8" s="1"/>
  <c r="DZ38" i="8" a="1"/>
  <c r="DZ38" i="8" s="1"/>
  <c r="EA39" i="8" s="1"/>
  <c r="DY33" i="8"/>
  <c r="DY38" i="8" a="1"/>
  <c r="DY38" i="8" s="1"/>
  <c r="EC39" i="8" a="1"/>
  <c r="EC39" i="8" s="1"/>
  <c r="EC38" i="8" a="1"/>
  <c r="EC38" i="8" s="1"/>
  <c r="EC36" i="8" a="1"/>
  <c r="EC36" i="8" s="1"/>
  <c r="EC35" i="8" a="1"/>
  <c r="EC35" i="8" s="1"/>
  <c r="EC34" i="8" a="1"/>
  <c r="EC34" i="8" s="1"/>
  <c r="DS44" i="8" a="1"/>
  <c r="DS41" i="8" a="1"/>
  <c r="DS44" i="8" l="1"/>
  <c r="DS41" i="8"/>
  <c r="DY42" i="8"/>
  <c r="DZ42" i="8" a="1"/>
  <c r="DZ42" i="8" l="1"/>
  <c r="EF1" i="8"/>
  <c r="DV46" i="8" a="1"/>
  <c r="DV46" i="8" s="1"/>
  <c r="DW41" i="8" a="1"/>
  <c r="DW41" i="8" s="1"/>
  <c r="DS43" i="8" a="1"/>
  <c r="DS43" i="8" s="1"/>
  <c r="DT46" i="8" a="1"/>
  <c r="DT46" i="8" s="1"/>
  <c r="DR41" i="8"/>
  <c r="DV47" i="8" a="1"/>
  <c r="DV47" i="8" s="1"/>
  <c r="DS46" i="8" a="1"/>
  <c r="DS46" i="8" s="1"/>
  <c r="DT47" i="8" s="1"/>
  <c r="DV44" i="8" a="1"/>
  <c r="DV44" i="8" s="1"/>
  <c r="DV43" i="8" a="1"/>
  <c r="DV43" i="8" s="1"/>
  <c r="DR46" i="8" a="1"/>
  <c r="DR46" i="8" s="1"/>
  <c r="DV42" i="8" a="1"/>
  <c r="DV42" i="8" s="1"/>
  <c r="DR47" i="8"/>
  <c r="DZ41" i="8" a="1"/>
  <c r="DZ44" i="8" a="1"/>
  <c r="DZ41" i="8" l="1"/>
  <c r="DZ44" i="8"/>
  <c r="EG2" i="8"/>
  <c r="EH2" i="8" a="1"/>
  <c r="EH2" i="8" l="1"/>
  <c r="EM1" i="8"/>
  <c r="EC47" i="8" a="1"/>
  <c r="EC47" i="8" s="1"/>
  <c r="EC46" i="8" a="1"/>
  <c r="EC46" i="8" s="1"/>
  <c r="EC44" i="8" a="1"/>
  <c r="EC44" i="8" s="1"/>
  <c r="EC43" i="8" a="1"/>
  <c r="EC43" i="8" s="1"/>
  <c r="EC42" i="8" a="1"/>
  <c r="EC42" i="8" s="1"/>
  <c r="EA46" i="8" a="1"/>
  <c r="EA46" i="8" s="1"/>
  <c r="DZ43" i="8" a="1"/>
  <c r="DZ43" i="8" s="1"/>
  <c r="ED41" i="8" a="1"/>
  <c r="ED41" i="8" s="1"/>
  <c r="DY46" i="8" a="1"/>
  <c r="DY46" i="8" s="1"/>
  <c r="DZ46" i="8" a="1"/>
  <c r="DZ46" i="8" s="1"/>
  <c r="EA47" i="8" s="1"/>
  <c r="DY41" i="8"/>
  <c r="DY47" i="8"/>
  <c r="EH4" i="8" a="1"/>
  <c r="EH1" i="8" a="1"/>
  <c r="EH4" i="8" l="1"/>
  <c r="EH1" i="8"/>
  <c r="EN2" i="8"/>
  <c r="EO2" i="8" a="1"/>
  <c r="EO2" i="8" l="1"/>
  <c r="EF9" i="8"/>
  <c r="EG6" i="8" a="1"/>
  <c r="EG6" i="8" s="1"/>
  <c r="EH3" i="8" a="1"/>
  <c r="EH3" i="8" s="1"/>
  <c r="EG1" i="8"/>
  <c r="EK2" i="8" a="1"/>
  <c r="EK2" i="8" s="1"/>
  <c r="EK6" i="8" a="1"/>
  <c r="EK6" i="8" s="1"/>
  <c r="EL1" i="8" a="1"/>
  <c r="EL1" i="8" s="1"/>
  <c r="EI6" i="8" a="1"/>
  <c r="EI6" i="8" s="1"/>
  <c r="EK7" i="8" a="1"/>
  <c r="EK7" i="8" s="1"/>
  <c r="EH6" i="8" a="1"/>
  <c r="EH6" i="8" s="1"/>
  <c r="EI7" i="8" s="1"/>
  <c r="EK4" i="8" a="1"/>
  <c r="EK4" i="8" s="1"/>
  <c r="EK3" i="8" a="1"/>
  <c r="EK3" i="8" s="1"/>
  <c r="EG7" i="8"/>
  <c r="EO1" i="8" a="1"/>
  <c r="EO4" i="8" a="1"/>
  <c r="EO1" i="8" l="1"/>
  <c r="EO4" i="8"/>
  <c r="EG10" i="8"/>
  <c r="EH10" i="8" s="1" a="1"/>
  <c r="EH10" i="8" l="1"/>
  <c r="EM9" i="8"/>
  <c r="EN7" i="8"/>
  <c r="EN6" i="8" a="1"/>
  <c r="EN6" i="8" s="1"/>
  <c r="ER7" i="8" a="1"/>
  <c r="ER7" i="8" s="1"/>
  <c r="ER6" i="8" a="1"/>
  <c r="ER6" i="8" s="1"/>
  <c r="ER4" i="8" a="1"/>
  <c r="ER4" i="8" s="1"/>
  <c r="ER3" i="8" a="1"/>
  <c r="ER3" i="8" s="1"/>
  <c r="ER2" i="8" a="1"/>
  <c r="ER2" i="8" s="1"/>
  <c r="EP6" i="8" a="1"/>
  <c r="EP6" i="8" s="1"/>
  <c r="EO3" i="8" a="1"/>
  <c r="EO3" i="8" s="1"/>
  <c r="ES1" i="8" a="1"/>
  <c r="ES1" i="8" s="1"/>
  <c r="EO6" i="8" a="1"/>
  <c r="EO6" i="8" s="1"/>
  <c r="EP7" i="8" s="1"/>
  <c r="EN1" i="8"/>
  <c r="EH9" i="8" a="1"/>
  <c r="EH12" i="8" a="1"/>
  <c r="EH12" i="8" l="1"/>
  <c r="EH9" i="8"/>
  <c r="EN10" i="8"/>
  <c r="EO10" i="8" s="1" a="1"/>
  <c r="EO10" i="8" l="1"/>
  <c r="EF17" i="8"/>
  <c r="EG9" i="8"/>
  <c r="EK15" i="8" a="1"/>
  <c r="EK15" i="8" s="1"/>
  <c r="EH14" i="8" a="1"/>
  <c r="EH14" i="8" s="1"/>
  <c r="EI15" i="8" s="1"/>
  <c r="EK12" i="8" a="1"/>
  <c r="EK12" i="8" s="1"/>
  <c r="EK11" i="8" a="1"/>
  <c r="EK11" i="8" s="1"/>
  <c r="EI14" i="8" a="1"/>
  <c r="EI14" i="8" s="1"/>
  <c r="EK10" i="8" a="1"/>
  <c r="EK10" i="8" s="1"/>
  <c r="EK14" i="8" a="1"/>
  <c r="EK14" i="8" s="1"/>
  <c r="EG14" i="8" a="1"/>
  <c r="EG14" i="8" s="1"/>
  <c r="EH11" i="8" a="1"/>
  <c r="EH11" i="8" s="1"/>
  <c r="EL9" i="8" a="1"/>
  <c r="EL9" i="8" s="1"/>
  <c r="EG15" i="8"/>
  <c r="EO9" i="8" a="1"/>
  <c r="EO12" i="8" a="1"/>
  <c r="EO12" i="8" l="1"/>
  <c r="EO9" i="8"/>
  <c r="EG18" i="8"/>
  <c r="EH18" i="8" a="1"/>
  <c r="EH18" i="8" l="1"/>
  <c r="EM17" i="8"/>
  <c r="ER15" i="8" a="1"/>
  <c r="ER15" i="8" s="1"/>
  <c r="ER10" i="8" a="1"/>
  <c r="ER10" i="8" s="1"/>
  <c r="ES9" i="8" a="1"/>
  <c r="ES9" i="8" s="1"/>
  <c r="EO14" i="8" a="1"/>
  <c r="EO14" i="8" s="1"/>
  <c r="EP15" i="8" s="1"/>
  <c r="ER12" i="8" a="1"/>
  <c r="ER12" i="8" s="1"/>
  <c r="EN9" i="8"/>
  <c r="EN14" i="8" a="1"/>
  <c r="EN14" i="8" s="1"/>
  <c r="ER11" i="8" a="1"/>
  <c r="ER11" i="8" s="1"/>
  <c r="ER14" i="8" a="1"/>
  <c r="ER14" i="8" s="1"/>
  <c r="EP14" i="8" a="1"/>
  <c r="EP14" i="8" s="1"/>
  <c r="EO11" i="8" a="1"/>
  <c r="EO11" i="8" s="1"/>
  <c r="EN15" i="8"/>
  <c r="EH17" i="8" a="1"/>
  <c r="EH20" i="8" a="1"/>
  <c r="EH20" i="8" l="1"/>
  <c r="EH17" i="8"/>
  <c r="EN18" i="8"/>
  <c r="EO18" i="8" a="1"/>
  <c r="EO18" i="8" l="1"/>
  <c r="EF25" i="8"/>
  <c r="EK22" i="8" a="1"/>
  <c r="EK22" i="8" s="1"/>
  <c r="EL17" i="8" a="1"/>
  <c r="EL17" i="8" s="1"/>
  <c r="EI22" i="8" a="1"/>
  <c r="EI22" i="8" s="1"/>
  <c r="EG17" i="8"/>
  <c r="EK18" i="8" a="1"/>
  <c r="EK18" i="8" s="1"/>
  <c r="EK23" i="8" a="1"/>
  <c r="EK23" i="8" s="1"/>
  <c r="EH22" i="8" a="1"/>
  <c r="EH22" i="8" s="1"/>
  <c r="EI23" i="8" s="1"/>
  <c r="EK20" i="8" a="1"/>
  <c r="EK20" i="8" s="1"/>
  <c r="EK19" i="8" a="1"/>
  <c r="EK19" i="8" s="1"/>
  <c r="EG22" i="8" a="1"/>
  <c r="EG22" i="8" s="1"/>
  <c r="EH19" i="8" a="1"/>
  <c r="EH19" i="8" s="1"/>
  <c r="EG23" i="8"/>
  <c r="EO17" i="8" a="1"/>
  <c r="EO20" i="8" a="1"/>
  <c r="EO17" i="8" l="1"/>
  <c r="EO20" i="8"/>
  <c r="EG26" i="8"/>
  <c r="EH26" i="8" a="1"/>
  <c r="EH26" i="8" l="1"/>
  <c r="EM25" i="8"/>
  <c r="EN23" i="8"/>
  <c r="ER23" i="8" a="1"/>
  <c r="ER23" i="8" s="1"/>
  <c r="ER22" i="8" a="1"/>
  <c r="ER22" i="8" s="1"/>
  <c r="ER20" i="8" a="1"/>
  <c r="ER20" i="8" s="1"/>
  <c r="ER19" i="8" a="1"/>
  <c r="ER19" i="8" s="1"/>
  <c r="ER18" i="8" a="1"/>
  <c r="ER18" i="8" s="1"/>
  <c r="EP22" i="8" a="1"/>
  <c r="EP22" i="8" s="1"/>
  <c r="EO19" i="8" a="1"/>
  <c r="EO19" i="8" s="1"/>
  <c r="ES17" i="8" a="1"/>
  <c r="ES17" i="8" s="1"/>
  <c r="EN17" i="8"/>
  <c r="EO22" i="8" a="1"/>
  <c r="EO22" i="8" s="1"/>
  <c r="EP23" i="8" s="1"/>
  <c r="EN22" i="8" a="1"/>
  <c r="EN22" i="8" s="1"/>
  <c r="EH28" i="8" a="1"/>
  <c r="EH25" i="8" a="1"/>
  <c r="EH25" i="8" l="1"/>
  <c r="EH28" i="8"/>
  <c r="EN26" i="8"/>
  <c r="EO26" i="8" a="1"/>
  <c r="EO26" i="8" l="1"/>
  <c r="EF33" i="8"/>
  <c r="EG31" i="8"/>
  <c r="EK26" i="8" a="1"/>
  <c r="EK26" i="8" s="1"/>
  <c r="EG30" i="8" a="1"/>
  <c r="EG30" i="8" s="1"/>
  <c r="EH27" i="8" a="1"/>
  <c r="EH27" i="8" s="1"/>
  <c r="EK30" i="8" a="1"/>
  <c r="EK30" i="8" s="1"/>
  <c r="EL25" i="8" a="1"/>
  <c r="EL25" i="8" s="1"/>
  <c r="EI30" i="8" a="1"/>
  <c r="EI30" i="8" s="1"/>
  <c r="EG25" i="8"/>
  <c r="EK31" i="8" a="1"/>
  <c r="EK31" i="8" s="1"/>
  <c r="EH30" i="8" a="1"/>
  <c r="EH30" i="8" s="1"/>
  <c r="EI31" i="8" s="1"/>
  <c r="EK28" i="8" a="1"/>
  <c r="EK28" i="8" s="1"/>
  <c r="EK27" i="8" a="1"/>
  <c r="EK27" i="8" s="1"/>
  <c r="EO28" i="8" a="1"/>
  <c r="EO25" i="8" a="1"/>
  <c r="EO25" i="8" l="1"/>
  <c r="EO28" i="8"/>
  <c r="EG34" i="8"/>
  <c r="EH34" i="8" s="1" a="1"/>
  <c r="EH34" i="8" l="1"/>
  <c r="EM33" i="8"/>
  <c r="EN31" i="8"/>
  <c r="EN25" i="8"/>
  <c r="EP30" i="8" a="1"/>
  <c r="EP30" i="8" s="1"/>
  <c r="ES25" i="8" a="1"/>
  <c r="ES25" i="8" s="1"/>
  <c r="EN30" i="8" a="1"/>
  <c r="EN30" i="8" s="1"/>
  <c r="ER31" i="8" a="1"/>
  <c r="ER31" i="8" s="1"/>
  <c r="ER30" i="8" a="1"/>
  <c r="ER30" i="8" s="1"/>
  <c r="ER28" i="8" a="1"/>
  <c r="ER28" i="8" s="1"/>
  <c r="ER27" i="8" a="1"/>
  <c r="ER27" i="8" s="1"/>
  <c r="ER26" i="8" a="1"/>
  <c r="ER26" i="8" s="1"/>
  <c r="EO27" i="8" a="1"/>
  <c r="EO27" i="8" s="1"/>
  <c r="EO30" i="8" a="1"/>
  <c r="EO30" i="8" s="1"/>
  <c r="EP31" i="8" s="1"/>
  <c r="EH36" i="8" a="1"/>
  <c r="EH33" i="8" a="1"/>
  <c r="EH33" i="8" l="1"/>
  <c r="EH36" i="8"/>
  <c r="EN34" i="8"/>
  <c r="EO34" i="8" a="1"/>
  <c r="EO34" i="8" l="1"/>
  <c r="EF41" i="8"/>
  <c r="EG39" i="8"/>
  <c r="EI38" i="8" a="1"/>
  <c r="EI38" i="8" s="1"/>
  <c r="EG33" i="8"/>
  <c r="EK39" i="8" a="1"/>
  <c r="EK39" i="8" s="1"/>
  <c r="EH38" i="8" a="1"/>
  <c r="EH38" i="8" s="1"/>
  <c r="EI39" i="8" s="1"/>
  <c r="EK36" i="8" a="1"/>
  <c r="EK36" i="8" s="1"/>
  <c r="EK35" i="8" a="1"/>
  <c r="EK35" i="8" s="1"/>
  <c r="EK34" i="8" a="1"/>
  <c r="EK34" i="8" s="1"/>
  <c r="EG38" i="8" a="1"/>
  <c r="EG38" i="8" s="1"/>
  <c r="EH35" i="8" a="1"/>
  <c r="EH35" i="8" s="1"/>
  <c r="EK38" i="8" a="1"/>
  <c r="EK38" i="8" s="1"/>
  <c r="EL33" i="8" a="1"/>
  <c r="EL33" i="8" s="1"/>
  <c r="EO36" i="8" a="1"/>
  <c r="EO33" i="8" a="1"/>
  <c r="EO36" i="8" l="1"/>
  <c r="EO33" i="8"/>
  <c r="EG42" i="8"/>
  <c r="EH42" i="8" a="1"/>
  <c r="EH42" i="8" l="1"/>
  <c r="EM41" i="8"/>
  <c r="EP38" i="8" a="1"/>
  <c r="EP38" i="8" s="1"/>
  <c r="EO35" i="8" a="1"/>
  <c r="EO35" i="8" s="1"/>
  <c r="ES33" i="8" a="1"/>
  <c r="ES33" i="8" s="1"/>
  <c r="EO38" i="8" a="1"/>
  <c r="EO38" i="8" s="1"/>
  <c r="EP39" i="8" s="1"/>
  <c r="EN33" i="8"/>
  <c r="EN38" i="8" a="1"/>
  <c r="EN38" i="8" s="1"/>
  <c r="ER39" i="8" a="1"/>
  <c r="ER39" i="8" s="1"/>
  <c r="ER38" i="8" a="1"/>
  <c r="ER38" i="8" s="1"/>
  <c r="ER36" i="8" a="1"/>
  <c r="ER36" i="8" s="1"/>
  <c r="ER35" i="8" a="1"/>
  <c r="ER35" i="8" s="1"/>
  <c r="ER34" i="8" a="1"/>
  <c r="ER34" i="8" s="1"/>
  <c r="EN39" i="8"/>
  <c r="EH41" i="8" a="1"/>
  <c r="EH44" i="8" a="1"/>
  <c r="EH44" i="8" l="1"/>
  <c r="EH41" i="8"/>
  <c r="EN42" i="8"/>
  <c r="EO42" i="8" a="1"/>
  <c r="EO42" i="8" l="1"/>
  <c r="EK43" i="8" a="1"/>
  <c r="EK43" i="8" s="1"/>
  <c r="EK46" i="8" a="1"/>
  <c r="EK46" i="8" s="1"/>
  <c r="EL41" i="8" a="1"/>
  <c r="EL41" i="8" s="1"/>
  <c r="EH46" i="8" a="1"/>
  <c r="EH46" i="8" s="1"/>
  <c r="EI47" i="8" s="1"/>
  <c r="EK44" i="8" a="1"/>
  <c r="EK44" i="8" s="1"/>
  <c r="EI46" i="8" a="1"/>
  <c r="EI46" i="8" s="1"/>
  <c r="EK47" i="8" a="1"/>
  <c r="EK47" i="8" s="1"/>
  <c r="EG41" i="8"/>
  <c r="EK42" i="8" a="1"/>
  <c r="EK42" i="8" s="1"/>
  <c r="EG46" i="8" a="1"/>
  <c r="EG46" i="8" s="1"/>
  <c r="EH43" i="8" a="1"/>
  <c r="EH43" i="8" s="1"/>
  <c r="EG47" i="8"/>
  <c r="EO44" i="8" a="1"/>
  <c r="EO41" i="8" a="1"/>
  <c r="EO44" i="8" l="1"/>
  <c r="EO41" i="8"/>
  <c r="ER47" i="8" l="1" a="1"/>
  <c r="ER47" i="8" s="1"/>
  <c r="ER46" i="8" a="1"/>
  <c r="ER46" i="8" s="1"/>
  <c r="ER44" i="8" a="1"/>
  <c r="ER44" i="8" s="1"/>
  <c r="ER43" i="8" a="1"/>
  <c r="ER43" i="8" s="1"/>
  <c r="ER42" i="8" a="1"/>
  <c r="ER42" i="8" s="1"/>
  <c r="EP46" i="8" a="1"/>
  <c r="EP46" i="8" s="1"/>
  <c r="EO43" i="8" a="1"/>
  <c r="EO43" i="8" s="1"/>
  <c r="ES41" i="8" a="1"/>
  <c r="ES41" i="8" s="1"/>
  <c r="EO46" i="8" a="1"/>
  <c r="EO46" i="8" s="1"/>
  <c r="EP47" i="8" s="1"/>
  <c r="EN41" i="8"/>
  <c r="EN46" i="8" a="1"/>
  <c r="EN46" i="8" s="1"/>
  <c r="EN47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<sst xmlns="http://schemas.openxmlformats.org/spreadsheetml/2006/main" count="1330" uniqueCount="476">
  <si>
    <t>＊＊＊</t>
  </si>
  <si>
    <t>数出表</t>
  </si>
  <si>
    <t>上段：園児、下段：先生</t>
  </si>
  <si>
    <t>作成日</t>
  </si>
  <si>
    <t>オレンジ</t>
  </si>
  <si>
    <t>カレー</t>
  </si>
  <si>
    <t>おやつ</t>
  </si>
  <si>
    <t>園名</t>
  </si>
  <si>
    <t>飯あり</t>
  </si>
  <si>
    <t>飯なし</t>
  </si>
  <si>
    <t>おにぎり</t>
  </si>
  <si>
    <t>三角</t>
  </si>
  <si>
    <t>半俵</t>
  </si>
  <si>
    <t>社食</t>
  </si>
  <si>
    <t>プチコンク</t>
  </si>
  <si>
    <t>アレルギーの数を入力してください。</t>
  </si>
  <si>
    <t>キャラ弁（学食）</t>
  </si>
  <si>
    <t>キャラ弁当</t>
  </si>
  <si>
    <t>赤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</si>
  <si>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</si>
  <si>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</si>
  <si>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</si>
  <si>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</si>
  <si>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</si>
  <si>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</si>
  <si>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</si>
  <si>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</si>
  <si>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</si>
  <si>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</si>
  <si>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</si>
  <si>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</si>
  <si>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</si>
  <si>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</si>
  <si>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</si>
  <si>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</si>
  <si>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</si>
  <si>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</si>
  <si>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</si>
  <si>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</si>
  <si>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</si>
  <si>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</si>
  <si>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</si>
  <si>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</si>
  <si>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</si>
  <si>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</si>
  <si>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</si>
  <si>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</si>
  <si>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</si>
  <si>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</si>
  <si>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</si>
  <si>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</si>
  <si>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</si>
  <si>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</si>
  <si>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</si>
  <si>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</si>
  <si>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</si>
  <si>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</si>
  <si>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</si>
  <si>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</si>
  <si>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</si>
  <si>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</si>
  <si>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</si>
  <si>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</si>
  <si>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</si>
  <si>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パン</t>
  </si>
  <si>
    <t>ごはん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</si>
  <si>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</si>
  <si>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</si>
  <si>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</si>
  <si>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</si>
  <si>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</si>
  <si>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</si>
  <si>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</si>
  <si>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</si>
  <si>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皿</t>
  </si>
  <si>
    <t>ビーフシチュー　先生</t>
  </si>
  <si>
    <t>弁当　前日キャンセル30％</t>
  </si>
  <si>
    <t>弁当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</si>
  <si>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</si>
  <si>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</si>
  <si>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</si>
  <si>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</si>
  <si>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</si>
  <si>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</si>
  <si>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</si>
  <si>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</si>
  <si>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</si>
  <si>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</si>
  <si>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</si>
  <si>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</si>
  <si>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</si>
  <si>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</si>
  <si>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</si>
  <si>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</si>
  <si>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</si>
  <si>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</si>
  <si>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</si>
  <si>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</si>
  <si>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</si>
  <si>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</si>
  <si>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</si>
  <si>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</si>
  <si>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</si>
  <si>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カレー　園児</t>
  </si>
  <si>
    <t>ルウ</t>
  </si>
  <si>
    <t>カレー　先生</t>
  </si>
  <si>
    <t>ハヤシ　園児</t>
  </si>
  <si>
    <t>ハヤシ</t>
  </si>
  <si>
    <t>ハヤシ　先生</t>
  </si>
  <si>
    <t>シチュー　園児</t>
  </si>
  <si>
    <t>シチュー</t>
  </si>
  <si>
    <t>シチュー　先生</t>
  </si>
  <si>
    <t>カップ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</si>
  <si>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</si>
  <si>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</si>
  <si>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</si>
  <si>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</si>
  <si>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</si>
  <si>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</si>
  <si>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</si>
  <si>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</si>
  <si>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</si>
  <si>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</si>
  <si>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</si>
  <si>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</si>
  <si>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</si>
  <si>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</si>
  <si>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</si>
  <si>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</si>
  <si>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</si>
  <si>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</si>
  <si>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</si>
  <si>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</si>
  <si>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</si>
  <si>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</si>
  <si>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牛丼</t>
  </si>
  <si>
    <t>寿司飯　園児</t>
  </si>
  <si>
    <t>寿司飯</t>
  </si>
  <si>
    <t>寿司飯　先生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</si>
  <si>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</si>
  <si>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</si>
  <si>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</si>
  <si>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</si>
  <si>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</si>
  <si>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</si>
  <si>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</si>
  <si>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</si>
  <si>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</si>
  <si>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</si>
  <si>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</si>
  <si>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</si>
  <si>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</si>
  <si>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</si>
  <si>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</si>
  <si>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</si>
  <si>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</si>
  <si>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</si>
  <si>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</si>
  <si>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</si>
  <si>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</si>
  <si>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</si>
  <si>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</si>
  <si>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</si>
  <si>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</si>
  <si>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お茶</t>
  </si>
  <si>
    <t>牛乳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</si>
  <si>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</si>
  <si>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</si>
  <si>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</si>
  <si>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</si>
  <si>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</si>
  <si>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</si>
  <si>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</si>
  <si>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もち米</t>
  </si>
  <si>
    <t>砂糖</t>
  </si>
  <si>
    <t>そうめん</t>
  </si>
  <si>
    <t>ごはんとスープ</t>
  </si>
  <si>
    <t>おちゃわん</t>
  </si>
  <si>
    <t>お弁当</t>
  </si>
  <si>
    <t>消費税</t>
  </si>
  <si>
    <t>チーズ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</si>
  <si>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</si>
  <si>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</si>
  <si>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</si>
  <si>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</si>
  <si>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</si>
  <si>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</si>
  <si>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</si>
  <si>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</si>
  <si>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パイン缶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</si>
  <si>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</si>
  <si>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</si>
  <si>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</si>
  <si>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</si>
  <si>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</si>
  <si>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</si>
  <si>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</si>
  <si>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</si>
  <si>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</si>
  <si>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</si>
  <si>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</si>
  <si>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</si>
  <si>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</si>
  <si>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</si>
  <si>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</si>
  <si>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</si>
  <si>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</si>
  <si>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</si>
  <si>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</si>
  <si>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</si>
  <si>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</si>
  <si>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</si>
  <si>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</si>
  <si>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</si>
  <si>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</si>
  <si>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</si>
  <si>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</si>
  <si>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</si>
  <si>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</si>
  <si>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</si>
  <si>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</si>
  <si>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</si>
  <si>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</si>
  <si>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</si>
  <si>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</si>
  <si>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</si>
  <si>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</si>
  <si>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</si>
  <si>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</si>
  <si>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</si>
  <si>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</si>
  <si>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</si>
  <si>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</si>
  <si>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</si>
  <si>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</si>
  <si>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</si>
  <si>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</si>
  <si>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</si>
  <si>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</si>
  <si>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</si>
  <si>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</si>
  <si>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</si>
  <si>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</si>
  <si>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</si>
  <si>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</si>
  <si>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</si>
  <si>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</si>
  <si>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</si>
  <si>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</si>
  <si>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</si>
  <si>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</si>
  <si>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</si>
  <si>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</si>
  <si>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</si>
  <si>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</si>
  <si>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</si>
  <si>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</si>
  <si>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</si>
  <si>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</si>
  <si>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</si>
  <si>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</si>
  <si>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</si>
  <si>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</si>
  <si>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</si>
  <si>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</si>
  <si>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</si>
  <si>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</si>
  <si>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</si>
  <si>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</si>
  <si>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</si>
  <si>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</si>
  <si>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</si>
  <si>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</si>
  <si>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</si>
  <si>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</si>
  <si>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</si>
  <si>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</si>
  <si>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</si>
  <si>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</si>
  <si>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</si>
  <si>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</si>
  <si>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</si>
  <si>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</si>
  <si>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</si>
  <si>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</si>
  <si>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</si>
  <si>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</si>
  <si>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</si>
  <si>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</si>
  <si>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</si>
  <si>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</si>
  <si>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</si>
  <si>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</si>
  <si>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</si>
  <si>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</si>
  <si>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</si>
  <si>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</si>
  <si>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</si>
  <si>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</si>
  <si>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</si>
  <si>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</si>
  <si>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</si>
  <si>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</si>
  <si>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</si>
  <si>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</si>
  <si>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</si>
  <si>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</si>
  <si>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</si>
  <si>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</si>
  <si>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</si>
  <si>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</si>
  <si>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</si>
  <si>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</si>
  <si>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</si>
  <si>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</si>
  <si>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</si>
  <si>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</si>
  <si>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</si>
  <si>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</si>
  <si>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</si>
  <si>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</si>
  <si>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</si>
  <si>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</si>
  <si>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</si>
  <si>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</si>
  <si>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</si>
  <si>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</si>
  <si>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</si>
  <si>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</si>
  <si>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</si>
  <si>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</si>
  <si>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</si>
  <si>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</si>
  <si>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</si>
  <si>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</si>
  <si>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</si>
  <si>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</si>
  <si>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</si>
  <si>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</si>
  <si>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</si>
  <si>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</si>
  <si>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</si>
  <si>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</si>
  <si>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</si>
  <si>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</si>
  <si>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</si>
  <si>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</si>
  <si>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</si>
  <si>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</si>
  <si>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</si>
  <si>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</si>
  <si>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</si>
  <si>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</si>
  <si>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</si>
  <si>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</si>
  <si>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</si>
  <si>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</si>
  <si>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</si>
  <si>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</si>
  <si>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</si>
  <si>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</si>
  <si>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</si>
  <si>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パック弁当</t>
  </si>
  <si>
    <t>ハム</t>
  </si>
  <si>
    <t>ガトーショコラ</t>
  </si>
  <si>
    <t>桜もち</t>
  </si>
  <si>
    <t>お弁当用袋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</si>
  <si>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</si>
  <si>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</si>
  <si>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</si>
  <si>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</si>
  <si>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</si>
  <si>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</si>
  <si>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</si>
  <si>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</si>
  <si>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</si>
  <si>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</si>
  <si>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</si>
  <si>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</si>
  <si>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</si>
  <si>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</si>
  <si>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</si>
  <si>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</si>
  <si>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</si>
  <si>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</si>
  <si>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</si>
  <si>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</si>
  <si>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</si>
  <si>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</si>
  <si>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</si>
  <si>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</si>
  <si>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</si>
  <si>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</si>
  <si>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</si>
  <si>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</si>
  <si>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</si>
  <si>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</si>
  <si>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</si>
  <si>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</si>
  <si>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</si>
  <si>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</si>
  <si>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</si>
  <si>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</si>
  <si>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</si>
  <si>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</si>
  <si>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</si>
  <si>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</si>
  <si>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</si>
  <si>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</si>
  <si>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 クッキー　先生</t>
  </si>
  <si>
    <t>めん給食　園児</t>
  </si>
  <si>
    <t>めん給食　先生</t>
  </si>
  <si>
    <t>ミルクロールパン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</si>
  <si>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</si>
  <si>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</si>
  <si>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</si>
  <si>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</si>
  <si>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</si>
  <si>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</si>
  <si>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</si>
  <si>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</si>
  <si>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</si>
  <si>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</si>
  <si>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</si>
  <si>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</si>
  <si>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</si>
  <si>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</si>
  <si>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</si>
  <si>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</si>
  <si>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</si>
  <si>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</si>
  <si>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</si>
  <si>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</si>
  <si>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</si>
  <si>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</si>
  <si>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</si>
  <si>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</si>
  <si>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</si>
  <si>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</si>
  <si>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</si>
  <si>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</si>
  <si>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</si>
  <si>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r>
      <t>頭準備数</t>
    </r>
    <r>
      <rPr>
        <sz val="11"/>
        <color rgb="FFFF0000"/>
        <rFont val="游ゴシック"/>
        <family val="3"/>
        <charset val="128"/>
        <scheme val="minor"/>
      </rPr>
      <t>（赤の数字）</t>
    </r>
    <rPh sb="0" eb="1">
      <t>アタマ</t>
    </rPh>
    <rPh sb="1" eb="3">
      <t>ジュンビ</t>
    </rPh>
    <rPh sb="3" eb="4">
      <t>スウ</t>
    </rPh>
    <rPh sb="5" eb="6">
      <t>アカ</t>
    </rPh>
    <rPh sb="7" eb="9">
      <t>スウジ</t>
    </rPh>
    <phoneticPr fontId="1"/>
  </si>
  <si>
    <t>弁当札の要・不要</t>
    <rPh sb="0" eb="3">
      <t>ベントウフダ</t>
    </rPh>
    <rPh sb="4" eb="5">
      <t>ヨウ</t>
    </rPh>
    <rPh sb="6" eb="8">
      <t>フヨウ</t>
    </rPh>
    <phoneticPr fontId="1"/>
  </si>
  <si>
    <t>要</t>
    <rPh sb="0" eb="1">
      <t>ヨウ</t>
    </rPh>
    <phoneticPr fontId="1"/>
  </si>
  <si>
    <t>不要</t>
    <rPh sb="0" eb="2">
      <t>フヨウ</t>
    </rPh>
    <phoneticPr fontId="1"/>
  </si>
  <si>
    <t>弁当　前日キャンセル30％</t>
    <phoneticPr fontId="1"/>
  </si>
  <si>
    <t>弁当　前日キャンセル50％</t>
    <phoneticPr fontId="1"/>
  </si>
  <si>
    <t>キャラ　パン　</t>
    <phoneticPr fontId="1"/>
  </si>
  <si>
    <t>キャラ　パン　　先生</t>
    <phoneticPr fontId="1"/>
  </si>
  <si>
    <t>デザート</t>
    <phoneticPr fontId="1"/>
  </si>
  <si>
    <t>ケーキ</t>
    <phoneticPr fontId="1"/>
  </si>
  <si>
    <t>ジャム</t>
    <phoneticPr fontId="1"/>
  </si>
  <si>
    <t>焼きそば</t>
    <phoneticPr fontId="1"/>
  </si>
  <si>
    <t>パンランチ</t>
    <phoneticPr fontId="1"/>
  </si>
  <si>
    <t>パンランチ　先生</t>
    <phoneticPr fontId="1"/>
  </si>
  <si>
    <t>フライドポテト</t>
    <phoneticPr fontId="1"/>
  </si>
  <si>
    <t>パック弁当　　園児</t>
    <rPh sb="7" eb="9">
      <t>エンジ</t>
    </rPh>
    <phoneticPr fontId="1"/>
  </si>
  <si>
    <t>パック弁当　　先生</t>
    <rPh sb="7" eb="9">
      <t>センセイ</t>
    </rPh>
    <phoneticPr fontId="1"/>
  </si>
  <si>
    <t>パック弁当</t>
    <phoneticPr fontId="1"/>
  </si>
  <si>
    <t>特別ランチ</t>
    <phoneticPr fontId="1"/>
  </si>
  <si>
    <t>おやつ</t>
    <phoneticPr fontId="1"/>
  </si>
  <si>
    <t>ゼリー</t>
    <phoneticPr fontId="1"/>
  </si>
  <si>
    <t>ひなあられセット</t>
    <phoneticPr fontId="1"/>
  </si>
  <si>
    <t>おかしセット</t>
    <phoneticPr fontId="1"/>
  </si>
  <si>
    <t>お別れ会</t>
    <phoneticPr fontId="1"/>
  </si>
  <si>
    <t>クリスマス　クッキー</t>
    <phoneticPr fontId="1"/>
  </si>
  <si>
    <t>めん給食</t>
    <phoneticPr fontId="1"/>
  </si>
  <si>
    <t>どんぶり給食</t>
    <phoneticPr fontId="1"/>
  </si>
  <si>
    <t>具材</t>
    <rPh sb="0" eb="2">
      <t>グザイ</t>
    </rPh>
    <phoneticPr fontId="1"/>
  </si>
  <si>
    <t>汁もの</t>
    <rPh sb="0" eb="1">
      <t>シル</t>
    </rPh>
    <phoneticPr fontId="1"/>
  </si>
  <si>
    <t>どんぶり</t>
    <phoneticPr fontId="1"/>
  </si>
  <si>
    <t>おわん</t>
    <phoneticPr fontId="1"/>
  </si>
  <si>
    <t>配膳スマ</t>
  </si>
  <si>
    <t>不要</t>
  </si>
  <si>
    <t>配膳ぶろ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</si>
</sst>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0"/>
      <name val="游ゴシック"/>
      <family val="2"/>
      <charset val="128"/>
      <scheme val="minor"/>
    </font>
    <font>
      <b/>
      <sz val="12"/>
      <color rgb="FF000000"/>
      <name val="游ゴシック"/>
      <family val="3"/>
      <charset val="128"/>
    </font>
    <font>
      <b/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19" fillId="0" borderId="0" xfId="0" applyFont="1" applyAlignment="1"/>
    <xf numFmtId="0" fontId="11" fillId="0" borderId="0" xfId="0" applyFont="1" applyAlignment="1"/>
    <xf numFmtId="0" fontId="21" fillId="0" borderId="0" xfId="0" applyFont="1" applyAlignment="1"/>
    <xf numFmtId="0" fontId="21" fillId="0" borderId="6" xfId="0" applyFont="1" applyBorder="1">
      <alignment vertical="center"/>
    </xf>
    <xf numFmtId="0" fontId="21" fillId="0" borderId="0" xfId="0" applyFont="1">
      <alignment vertical="center"/>
    </xf>
    <xf numFmtId="0" fontId="21" fillId="6" borderId="0" xfId="0" applyFont="1" applyFill="1">
      <alignment vertical="center"/>
    </xf>
    <xf numFmtId="176" fontId="21" fillId="6" borderId="0" xfId="0" applyNumberFormat="1" applyFont="1" applyFill="1">
      <alignment vertical="center"/>
    </xf>
    <xf numFmtId="0" fontId="21" fillId="0" borderId="11" xfId="0" applyFont="1" applyBorder="1" applyAlignment="1"/>
    <xf numFmtId="0" fontId="21" fillId="0" borderId="0" xfId="0" applyFont="1" applyAlignment="1">
      <alignment wrapText="1"/>
    </xf>
    <xf numFmtId="176" fontId="21" fillId="0" borderId="0" xfId="0" applyNumberFormat="1" applyFont="1" applyAlignment="1">
      <alignment horizontal="right" vertical="center"/>
    </xf>
    <xf numFmtId="0" fontId="21" fillId="0" borderId="11" xfId="0" applyFont="1" applyBorder="1">
      <alignment vertical="center"/>
    </xf>
    <xf numFmtId="0" fontId="22" fillId="0" borderId="0" xfId="0" applyFont="1" applyAlignment="1"/>
    <xf numFmtId="0" fontId="22" fillId="0" borderId="11" xfId="0" applyFont="1" applyBorder="1">
      <alignment vertical="center"/>
    </xf>
    <xf numFmtId="0" fontId="22" fillId="0" borderId="0" xfId="0" applyFont="1">
      <alignment vertical="center"/>
    </xf>
    <xf numFmtId="0" fontId="22" fillId="0" borderId="9" xfId="0" applyFont="1" applyBorder="1">
      <alignment vertical="center"/>
    </xf>
    <xf numFmtId="0" fontId="21" fillId="0" borderId="11" xfId="0" applyFont="1" applyBorder="1" applyAlignment="1">
      <alignment vertical="top"/>
    </xf>
    <xf numFmtId="0" fontId="21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24" fillId="0" borderId="8" xfId="0" applyFont="1" applyBorder="1">
      <alignment vertical="center"/>
    </xf>
    <xf numFmtId="0" fontId="24" fillId="0" borderId="12" xfId="0" applyFont="1" applyBorder="1" applyAlignment="1">
      <alignment horizontal="left" vertical="center"/>
    </xf>
    <xf numFmtId="0" fontId="24" fillId="0" borderId="12" xfId="0" applyFont="1" applyBorder="1">
      <alignment vertical="center"/>
    </xf>
    <xf numFmtId="0" fontId="24" fillId="0" borderId="10" xfId="0" applyFont="1" applyBorder="1">
      <alignment vertical="center"/>
    </xf>
    <xf numFmtId="0" fontId="24" fillId="0" borderId="0" xfId="0" applyFont="1" applyAlignment="1"/>
    <xf numFmtId="0" fontId="22" fillId="2" borderId="0" xfId="0" applyFont="1" applyFill="1">
      <alignment vertical="center"/>
    </xf>
    <xf numFmtId="0" fontId="22" fillId="2" borderId="0" xfId="0" applyFont="1" applyFill="1" applyAlignment="1"/>
    <xf numFmtId="0" fontId="6" fillId="0" borderId="0" xfId="0" applyFont="1" applyAlignment="1"/>
    <xf numFmtId="0" fontId="22" fillId="7" borderId="0" xfId="0" applyFont="1" applyFill="1">
      <alignment vertical="center"/>
    </xf>
    <xf numFmtId="0" fontId="22" fillId="7" borderId="0" xfId="0" applyFont="1" applyFill="1" applyAlignment="1"/>
    <xf numFmtId="0" fontId="22" fillId="7" borderId="0" xfId="0" applyFont="1" applyFill="1" applyAlignment="1">
      <alignment horizontal="right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25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5" fillId="0" borderId="3" xfId="0" applyFont="1" applyBorder="1" applyAlignment="1">
      <alignment horizontal="center" vertical="center"/>
    </xf>
    <xf numFmtId="0" fontId="22" fillId="9" borderId="0" xfId="0" applyFont="1" applyFill="1">
      <alignment vertical="center"/>
    </xf>
    <xf numFmtId="0" fontId="22" fillId="9" borderId="0" xfId="0" applyFont="1" applyFill="1" applyAlignment="1"/>
    <xf numFmtId="0" fontId="22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9" borderId="0" xfId="0" applyFill="1">
      <alignment vertical="center"/>
    </xf>
    <xf numFmtId="0" fontId="22" fillId="10" borderId="0" xfId="0" applyFont="1" applyFill="1">
      <alignment vertical="center"/>
    </xf>
    <xf numFmtId="0" fontId="22" fillId="10" borderId="0" xfId="0" applyFont="1" applyFill="1" applyAlignment="1"/>
    <xf numFmtId="0" fontId="26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16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8" fillId="0" borderId="2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6" borderId="6" xfId="0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/>
    </xf>
    <xf numFmtId="0" fontId="28" fillId="0" borderId="22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/>
    </xf>
    <xf numFmtId="0" fontId="28" fillId="9" borderId="0" xfId="0" applyFont="1" applyFill="1" applyAlignment="1">
      <alignment horizontal="center" vertical="center"/>
    </xf>
    <xf numFmtId="0" fontId="28" fillId="9" borderId="16" xfId="0" applyFont="1" applyFill="1" applyBorder="1" applyAlignment="1">
      <alignment horizontal="center" vertical="center"/>
    </xf>
    <xf numFmtId="0" fontId="28" fillId="9" borderId="15" xfId="0" applyFont="1" applyFill="1" applyBorder="1" applyAlignment="1">
      <alignment horizontal="center" vertical="center"/>
    </xf>
    <xf numFmtId="0" fontId="28" fillId="9" borderId="22" xfId="0" applyFont="1" applyFill="1" applyBorder="1" applyAlignment="1">
      <alignment horizontal="center" vertical="center"/>
    </xf>
    <xf numFmtId="0" fontId="28" fillId="8" borderId="1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/>
    </xf>
    <xf numFmtId="0" fontId="29" fillId="6" borderId="2" xfId="0" applyFont="1" applyFill="1" applyBorder="1" applyAlignment="1">
      <alignment horizontal="center"/>
    </xf>
    <xf numFmtId="0" fontId="29" fillId="6" borderId="28" xfId="0" applyFont="1" applyFill="1" applyBorder="1" applyAlignment="1">
      <alignment horizontal="center"/>
    </xf>
    <xf numFmtId="0" fontId="30" fillId="8" borderId="1" xfId="0" applyFont="1" applyFill="1" applyBorder="1" applyAlignment="1">
      <alignment horizontal="center" vertical="center"/>
    </xf>
    <xf numFmtId="0" fontId="31" fillId="6" borderId="18" xfId="0" applyFont="1" applyFill="1" applyBorder="1" applyAlignment="1">
      <alignment horizontal="center" vertical="center"/>
    </xf>
    <xf numFmtId="0" fontId="31" fillId="6" borderId="1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31" fillId="6" borderId="18" xfId="0" applyFont="1" applyFill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28" xfId="0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8" fillId="0" borderId="21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177" fontId="28" fillId="0" borderId="6" xfId="0" applyNumberFormat="1" applyFont="1" applyBorder="1" applyAlignment="1">
      <alignment horizontal="center" vertical="center"/>
    </xf>
    <xf numFmtId="177" fontId="28" fillId="0" borderId="7" xfId="0" applyNumberFormat="1" applyFont="1" applyBorder="1" applyAlignment="1">
      <alignment horizontal="center" vertical="center"/>
    </xf>
    <xf numFmtId="177" fontId="28" fillId="0" borderId="19" xfId="0" applyNumberFormat="1" applyFont="1" applyBorder="1" applyAlignment="1">
      <alignment horizontal="center" vertical="center"/>
    </xf>
    <xf numFmtId="0" fontId="28" fillId="6" borderId="30" xfId="0" applyFont="1" applyFill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32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4" fillId="0" borderId="0" xfId="0" applyFont="1">
      <alignment vertical="center"/>
    </xf>
    <xf numFmtId="0" fontId="34" fillId="0" borderId="3" xfId="0" applyFont="1" applyBorder="1">
      <alignment vertical="center"/>
    </xf>
    <xf numFmtId="0" fontId="34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6" xfId="0" applyFont="1" applyBorder="1">
      <alignment vertical="center"/>
    </xf>
    <xf numFmtId="0" fontId="34" fillId="0" borderId="9" xfId="0" applyFont="1" applyBorder="1">
      <alignment vertical="center"/>
    </xf>
    <xf numFmtId="0" fontId="34" fillId="0" borderId="0" xfId="0" applyFont="1" applyAlignment="1"/>
    <xf numFmtId="0" fontId="34" fillId="9" borderId="0" xfId="0" applyFont="1" applyFill="1" applyAlignment="1">
      <alignment horizontal="center" vertical="center"/>
    </xf>
    <xf numFmtId="0" fontId="35" fillId="0" borderId="1" xfId="0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37" fillId="0" borderId="0" xfId="0" applyFont="1" applyAlignment="1"/>
    <xf numFmtId="0" fontId="34" fillId="0" borderId="13" xfId="0" applyFont="1" applyBorder="1" applyAlignment="1">
      <alignment horizontal="left" vertical="center"/>
    </xf>
    <xf numFmtId="0" fontId="38" fillId="0" borderId="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1" fillId="0" borderId="17" xfId="0" applyFont="1" applyBorder="1" applyAlignment="1">
      <alignment horizontal="right" vertical="center"/>
    </xf>
    <xf numFmtId="0" fontId="39" fillId="0" borderId="14" xfId="0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7" xfId="0" applyFont="1" applyBorder="1">
      <alignment vertical="center"/>
    </xf>
    <xf numFmtId="0" fontId="34" fillId="0" borderId="8" xfId="0" applyFont="1" applyBorder="1">
      <alignment vertical="center"/>
    </xf>
    <xf numFmtId="0" fontId="34" fillId="0" borderId="2" xfId="0" applyFont="1" applyBorder="1" applyAlignment="1">
      <alignment horizontal="center" vertical="center"/>
    </xf>
    <xf numFmtId="0" fontId="34" fillId="0" borderId="18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42" fillId="0" borderId="28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34" fillId="0" borderId="2" xfId="0" applyFont="1" applyBorder="1">
      <alignment vertical="center"/>
    </xf>
    <xf numFmtId="0" fontId="34" fillId="0" borderId="0" xfId="0" applyFont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40" fillId="5" borderId="13" xfId="0" applyFont="1" applyFill="1" applyBorder="1" applyAlignment="1">
      <alignment horizontal="center" vertical="center"/>
    </xf>
    <xf numFmtId="0" fontId="40" fillId="6" borderId="28" xfId="0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0" fontId="34" fillId="0" borderId="16" xfId="0" applyFont="1" applyBorder="1">
      <alignment vertical="center"/>
    </xf>
    <xf numFmtId="0" fontId="34" fillId="0" borderId="21" xfId="0" applyFont="1" applyBorder="1" applyAlignment="1">
      <alignment horizontal="center" vertical="center"/>
    </xf>
    <xf numFmtId="0" fontId="34" fillId="0" borderId="7" xfId="0" applyFont="1" applyBorder="1" applyAlignment="1">
      <alignment horizontal="left" vertical="center"/>
    </xf>
    <xf numFmtId="0" fontId="34" fillId="0" borderId="8" xfId="0" applyFont="1" applyBorder="1" applyAlignment="1">
      <alignment horizontal="left" vertical="center"/>
    </xf>
    <xf numFmtId="0" fontId="34" fillId="0" borderId="15" xfId="0" applyFont="1" applyBorder="1" applyAlignment="1">
      <alignment horizontal="left" vertical="center"/>
    </xf>
    <xf numFmtId="0" fontId="34" fillId="0" borderId="10" xfId="0" applyFont="1" applyBorder="1" applyAlignment="1">
      <alignment horizontal="left" vertical="center"/>
    </xf>
    <xf numFmtId="0" fontId="34" fillId="0" borderId="15" xfId="0" applyFont="1" applyBorder="1">
      <alignment vertical="center"/>
    </xf>
    <xf numFmtId="0" fontId="34" fillId="0" borderId="10" xfId="0" applyFont="1" applyBorder="1">
      <alignment vertical="center"/>
    </xf>
    <xf numFmtId="0" fontId="34" fillId="0" borderId="2" xfId="0" applyFont="1" applyBorder="1" applyAlignment="1"/>
    <xf numFmtId="0" fontId="34" fillId="0" borderId="1" xfId="0" applyFont="1" applyBorder="1" applyAlignment="1"/>
    <xf numFmtId="0" fontId="40" fillId="0" borderId="0" xfId="0" applyFont="1" applyAlignment="1"/>
    <xf numFmtId="0" fontId="43" fillId="0" borderId="8" xfId="0" applyFont="1" applyBorder="1">
      <alignment vertical="center"/>
    </xf>
    <xf numFmtId="0" fontId="0" fillId="11" borderId="4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2" xfId="0" applyFill="1" applyBorder="1">
      <alignment vertical="center"/>
    </xf>
    <xf numFmtId="0" fontId="29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9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29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21" fillId="0" borderId="0" xfId="0" applyFont="1" applyAlignment="1">
      <alignment horizont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22" fillId="0" borderId="0" xfId="0" applyFont="1" applyAlignment="1"/>
    <xf numFmtId="0" fontId="0" fillId="0" borderId="15" xfId="0" applyBorder="1" applyAlignment="1"/>
    <xf numFmtId="0" fontId="23" fillId="0" borderId="15" xfId="0" applyFon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3" fillId="0" borderId="7" xfId="0" applyFont="1" applyBorder="1" applyAlignment="1">
      <alignment horizontal="left"/>
    </xf>
    <xf numFmtId="0" fontId="34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9" borderId="0" xfId="0" applyFont="1" applyFill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/>
    </xf>
    <xf numFmtId="0" fontId="26" fillId="0" borderId="0" xfId="0" applyFon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167640</xdr:colOff>
          <xdr:row>0</xdr:row>
          <xdr:rowOff>76200</xdr:rowOff>
        </xdr:from>
        <xdr:to>
          <xdr:col>39</xdr:col>
          <xdr:colOff>967740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1165860</xdr:colOff>
          <xdr:row>0</xdr:row>
          <xdr:rowOff>60960</xdr:rowOff>
        </xdr:from>
        <xdr:to>
          <xdr:col>39</xdr:col>
          <xdr:colOff>1905000</xdr:colOff>
          <xdr:row>1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81643</xdr:colOff>
      <xdr:row>0</xdr:row>
      <xdr:rowOff>1823353</xdr:rowOff>
    </xdr:from>
    <xdr:to>
      <xdr:col>2</xdr:col>
      <xdr:colOff>1973036</xdr:colOff>
      <xdr:row>0</xdr:row>
      <xdr:rowOff>3905245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5F1C72-6C3E-465D-A531-DFA1CB45DD41}"/>
            </a:ext>
          </a:extLst>
        </xdr:cNvPr>
        <xdr:cNvSpPr txBox="1"/>
      </xdr:nvSpPr>
      <xdr:spPr>
        <a:xfrm>
          <a:off x="81643" y="1823353"/>
          <a:ext cx="2744833" cy="20818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商品区分</a:t>
          </a:r>
          <a:endParaRPr kumimoji="1" lang="en-US" altLang="ja-JP" sz="1100"/>
        </a:p>
        <a:p>
          <a:r>
            <a:rPr kumimoji="1" lang="en-US" altLang="ja-JP" sz="1100"/>
            <a:t>0</a:t>
          </a:r>
          <a:r>
            <a:rPr kumimoji="1" lang="ja-JP" altLang="en-US" sz="1100"/>
            <a:t>：商品</a:t>
          </a:r>
          <a:endParaRPr kumimoji="1" lang="en-US" altLang="ja-JP" sz="1100"/>
        </a:p>
        <a:p>
          <a:r>
            <a:rPr kumimoji="1" lang="ja-JP" altLang="en-US" sz="1100"/>
            <a:t>　→売上計上時に使用</a:t>
          </a:r>
          <a:endParaRPr kumimoji="1" lang="en-US" altLang="ja-JP" sz="1100"/>
        </a:p>
        <a:p>
          <a:r>
            <a:rPr kumimoji="1" lang="en-US" altLang="ja-JP" sz="1100"/>
            <a:t>1</a:t>
          </a:r>
          <a:r>
            <a:rPr kumimoji="1" lang="ja-JP" altLang="en-US" sz="1100"/>
            <a:t>：商品受注</a:t>
          </a:r>
          <a:endParaRPr kumimoji="1" lang="en-US" altLang="ja-JP" sz="1100"/>
        </a:p>
        <a:p>
          <a:r>
            <a:rPr kumimoji="1" lang="ja-JP" altLang="en-US" sz="1100"/>
            <a:t>　→売上・数出表・弁当札・シール</a:t>
          </a:r>
          <a:endParaRPr kumimoji="1" lang="en-US" altLang="ja-JP" sz="1100"/>
        </a:p>
        <a:p>
          <a:r>
            <a:rPr kumimoji="1" lang="ja-JP" altLang="en-US" sz="1100"/>
            <a:t>　　いろいろに使用</a:t>
          </a:r>
          <a:endParaRPr kumimoji="1" lang="en-US" altLang="ja-JP" sz="1100"/>
        </a:p>
        <a:p>
          <a:r>
            <a:rPr kumimoji="1" lang="en-US" altLang="ja-JP" sz="1100"/>
            <a:t>2</a:t>
          </a:r>
          <a:r>
            <a:rPr kumimoji="1" lang="ja-JP" altLang="en-US" sz="1100"/>
            <a:t>：受注のみ</a:t>
          </a:r>
          <a:endParaRPr kumimoji="1" lang="en-US" altLang="ja-JP" sz="1100"/>
        </a:p>
        <a:p>
          <a:r>
            <a:rPr kumimoji="1" lang="ja-JP" altLang="en-US" sz="1100"/>
            <a:t>　→シール用</a:t>
          </a:r>
        </a:p>
      </xdr:txBody>
    </xdr:sp>
    <xdr:clientData/>
  </xdr:twoCellAnchor>
  <xdr:twoCellAnchor>
    <xdr:from>
      <xdr:col>2</xdr:col>
      <xdr:colOff>2053316</xdr:colOff>
      <xdr:row>0</xdr:row>
      <xdr:rowOff>1817910</xdr:rowOff>
    </xdr:from>
    <xdr:to>
      <xdr:col>5</xdr:col>
      <xdr:colOff>285749</xdr:colOff>
      <xdr:row>0</xdr:row>
      <xdr:rowOff>3905245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3D381E54-5292-4B6E-B7D6-D08ACEA8C4E0}"/>
            </a:ext>
          </a:extLst>
        </xdr:cNvPr>
        <xdr:cNvSpPr txBox="1"/>
      </xdr:nvSpPr>
      <xdr:spPr>
        <a:xfrm>
          <a:off x="2906756" y="1817910"/>
          <a:ext cx="3170193" cy="20873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商品名：</a:t>
          </a:r>
          <a:endParaRPr kumimoji="1" lang="en-US" altLang="ja-JP" sz="1100"/>
        </a:p>
        <a:p>
          <a:r>
            <a:rPr kumimoji="1" lang="ja-JP" altLang="en-US" sz="1100"/>
            <a:t>納品書に表記される名称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商品予定名：</a:t>
          </a:r>
          <a:endParaRPr kumimoji="1" lang="en-US" altLang="ja-JP" sz="1100"/>
        </a:p>
        <a:p>
          <a:r>
            <a:rPr kumimoji="1" lang="ja-JP" altLang="en-US" sz="1100"/>
            <a:t>数出表、弁当札、シールに表記される名称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先生用商品</a:t>
          </a:r>
          <a:r>
            <a:rPr kumimoji="1" lang="en-US" altLang="ja-JP" sz="1100"/>
            <a:t>CD</a:t>
          </a:r>
          <a:r>
            <a:rPr kumimoji="1" lang="ja-JP" altLang="en-US" sz="1100"/>
            <a:t>：</a:t>
          </a:r>
          <a:endParaRPr kumimoji="1" lang="en-US" altLang="ja-JP" sz="1100"/>
        </a:p>
        <a:p>
          <a:r>
            <a:rPr kumimoji="1" lang="ja-JP" altLang="en-US" sz="1100"/>
            <a:t>納品書、売上計上時に対になる番号</a:t>
          </a:r>
        </a:p>
      </xdr:txBody>
    </xdr:sp>
    <xdr:clientData/>
  </xdr:twoCellAnchor>
  <xdr:twoCellAnchor>
    <xdr:from>
      <xdr:col>6</xdr:col>
      <xdr:colOff>13605</xdr:colOff>
      <xdr:row>0</xdr:row>
      <xdr:rowOff>1809750</xdr:rowOff>
    </xdr:from>
    <xdr:to>
      <xdr:col>14</xdr:col>
      <xdr:colOff>272143</xdr:colOff>
      <xdr:row>0</xdr:row>
      <xdr:rowOff>3905245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EEC3DEA6-0572-4AEA-A892-84FD1CF41A51}"/>
            </a:ext>
          </a:extLst>
        </xdr:cNvPr>
        <xdr:cNvSpPr txBox="1"/>
      </xdr:nvSpPr>
      <xdr:spPr>
        <a:xfrm>
          <a:off x="6231525" y="1809750"/>
          <a:ext cx="5089618" cy="20954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弁当区分：</a:t>
          </a:r>
          <a:endParaRPr kumimoji="1" lang="en-US" altLang="ja-JP" sz="1100"/>
        </a:p>
        <a:p>
          <a:r>
            <a:rPr kumimoji="1" lang="en-US" altLang="ja-JP" sz="1100"/>
            <a:t>0</a:t>
          </a:r>
          <a:r>
            <a:rPr kumimoji="1" lang="ja-JP" altLang="en-US" sz="1100"/>
            <a:t>：日替わり　→　弁当札が出る</a:t>
          </a:r>
          <a:endParaRPr kumimoji="1" lang="en-US" altLang="ja-JP" sz="1100"/>
        </a:p>
        <a:p>
          <a:r>
            <a:rPr kumimoji="1" lang="en-US" altLang="ja-JP" sz="1100"/>
            <a:t>1</a:t>
          </a:r>
          <a:r>
            <a:rPr kumimoji="1" lang="ja-JP" altLang="en-US" sz="1100"/>
            <a:t>：日替わり以外　→　シールが出る</a:t>
          </a:r>
          <a:endParaRPr kumimoji="1" lang="en-US" altLang="ja-JP" sz="1100"/>
        </a:p>
        <a:p>
          <a:r>
            <a:rPr kumimoji="1" lang="en-US" altLang="ja-JP" sz="1100"/>
            <a:t>2</a:t>
          </a:r>
          <a:r>
            <a:rPr kumimoji="1" lang="ja-JP" altLang="en-US" sz="1100"/>
            <a:t>：容器準備　→　数出表に上がらない・容器準備一覧表にあがる</a:t>
          </a:r>
          <a:endParaRPr kumimoji="1" lang="en-US" altLang="ja-JP" sz="1100"/>
        </a:p>
        <a:p>
          <a:r>
            <a:rPr kumimoji="1" lang="en-US" altLang="ja-JP" sz="1100"/>
            <a:t>3</a:t>
          </a:r>
          <a:r>
            <a:rPr kumimoji="1" lang="ja-JP" altLang="en-US" sz="1100"/>
            <a:t>：おやつ　→　数出表のおやつの行にあがる</a:t>
          </a:r>
          <a:endParaRPr kumimoji="1" lang="en-US" altLang="ja-JP" sz="1100"/>
        </a:p>
        <a:p>
          <a:r>
            <a:rPr kumimoji="1" lang="en-US" altLang="ja-JP" sz="1100"/>
            <a:t>4</a:t>
          </a:r>
          <a:r>
            <a:rPr kumimoji="1" lang="ja-JP" altLang="en-US" sz="1100"/>
            <a:t>：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日替わり以外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（飯なし）　→　？？？</a:t>
          </a:r>
          <a:endParaRPr kumimoji="1" lang="en-US" altLang="ja-JP" sz="1100"/>
        </a:p>
        <a:p>
          <a:endParaRPr kumimoji="1" lang="ja-JP" altLang="en-US" sz="1100"/>
        </a:p>
      </xdr:txBody>
    </xdr:sp>
    <xdr:clientData/>
  </xdr:twoCellAnchor>
  <xdr:twoCellAnchor>
    <xdr:from>
      <xdr:col>0</xdr:col>
      <xdr:colOff>68036</xdr:colOff>
      <xdr:row>0</xdr:row>
      <xdr:rowOff>557893</xdr:rowOff>
    </xdr:from>
    <xdr:to>
      <xdr:col>3</xdr:col>
      <xdr:colOff>326571</xdr:colOff>
      <xdr:row>0</xdr:row>
      <xdr:rowOff>1768924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DC8B2A23-E810-42FF-BCBF-BF29169430CA}"/>
            </a:ext>
          </a:extLst>
        </xdr:cNvPr>
        <xdr:cNvSpPr txBox="1"/>
      </xdr:nvSpPr>
      <xdr:spPr>
        <a:xfrm>
          <a:off x="68036" y="557893"/>
          <a:ext cx="3367495" cy="12110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商品</a:t>
          </a:r>
          <a:r>
            <a:rPr kumimoji="1" lang="en-US" altLang="ja-JP" sz="1100"/>
            <a:t>CD</a:t>
          </a:r>
        </a:p>
        <a:p>
          <a:r>
            <a:rPr kumimoji="1" lang="en-US" altLang="ja-JP" sz="1100"/>
            <a:t>1</a:t>
          </a:r>
          <a:r>
            <a:rPr kumimoji="1" lang="ja-JP" altLang="en-US" sz="1100"/>
            <a:t>～</a:t>
          </a:r>
          <a:r>
            <a:rPr kumimoji="1" lang="en-US" altLang="ja-JP" sz="1100"/>
            <a:t>199</a:t>
          </a:r>
          <a:r>
            <a:rPr kumimoji="1" lang="ja-JP" altLang="en-US" sz="1100"/>
            <a:t>、</a:t>
          </a:r>
          <a:r>
            <a:rPr kumimoji="1" lang="en-US" altLang="ja-JP" sz="1100"/>
            <a:t>400</a:t>
          </a:r>
          <a:r>
            <a:rPr kumimoji="1" lang="ja-JP" altLang="en-US" sz="1100"/>
            <a:t>～　→　商品区分</a:t>
          </a:r>
          <a:r>
            <a:rPr kumimoji="1" lang="en-US" altLang="ja-JP" sz="1100"/>
            <a:t>0</a:t>
          </a:r>
          <a:r>
            <a:rPr kumimoji="1" lang="ja-JP" altLang="en-US" sz="1100"/>
            <a:t>・</a:t>
          </a:r>
          <a:r>
            <a:rPr kumimoji="1" lang="en-US" altLang="ja-JP" sz="1100"/>
            <a:t>1</a:t>
          </a:r>
          <a:r>
            <a:rPr kumimoji="1" lang="ja-JP" altLang="en-US" sz="1100"/>
            <a:t>で使う</a:t>
          </a:r>
          <a:endParaRPr kumimoji="1" lang="en-US" altLang="ja-JP" sz="1100"/>
        </a:p>
        <a:p>
          <a:r>
            <a:rPr kumimoji="1" lang="en-US" altLang="ja-JP" sz="1100"/>
            <a:t>200</a:t>
          </a:r>
          <a:r>
            <a:rPr kumimoji="1" lang="ja-JP" altLang="en-US" sz="1100"/>
            <a:t>～</a:t>
          </a:r>
          <a:r>
            <a:rPr kumimoji="1" lang="en-US" altLang="ja-JP" sz="1100"/>
            <a:t>299</a:t>
          </a:r>
          <a:r>
            <a:rPr kumimoji="1" lang="ja-JP" altLang="en-US" sz="1100"/>
            <a:t>　→　シールで使う</a:t>
          </a:r>
          <a:endParaRPr kumimoji="1" lang="en-US" altLang="ja-JP" sz="1100"/>
        </a:p>
        <a:p>
          <a:r>
            <a:rPr kumimoji="1" lang="en-US" altLang="ja-JP" sz="1100"/>
            <a:t>300</a:t>
          </a:r>
          <a:r>
            <a:rPr kumimoji="1" lang="ja-JP" altLang="en-US" sz="1100"/>
            <a:t>～</a:t>
          </a:r>
          <a:r>
            <a:rPr kumimoji="1" lang="en-US" altLang="ja-JP" sz="1100"/>
            <a:t>399</a:t>
          </a:r>
          <a:r>
            <a:rPr kumimoji="1" lang="ja-JP" altLang="en-US" sz="1100"/>
            <a:t>　→　容器準備一覧で使う</a:t>
          </a:r>
        </a:p>
      </xdr:txBody>
    </xdr:sp>
    <xdr:clientData/>
  </xdr:twoCellAnchor>
  <xdr:twoCellAnchor>
    <xdr:from>
      <xdr:col>14</xdr:col>
      <xdr:colOff>394607</xdr:colOff>
      <xdr:row>0</xdr:row>
      <xdr:rowOff>1809750</xdr:rowOff>
    </xdr:from>
    <xdr:to>
      <xdr:col>20</xdr:col>
      <xdr:colOff>27213</xdr:colOff>
      <xdr:row>0</xdr:row>
      <xdr:rowOff>3020781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D4B63C11-5193-47F1-9968-9F312C3A71A3}"/>
            </a:ext>
          </a:extLst>
        </xdr:cNvPr>
        <xdr:cNvSpPr txBox="1"/>
      </xdr:nvSpPr>
      <xdr:spPr>
        <a:xfrm>
          <a:off x="11443607" y="1809750"/>
          <a:ext cx="3335926" cy="12110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出力区分：</a:t>
          </a:r>
          <a:endParaRPr kumimoji="1" lang="en-US" altLang="ja-JP" sz="1100"/>
        </a:p>
        <a:p>
          <a:r>
            <a:rPr kumimoji="1" lang="en-US" altLang="ja-JP" sz="1100"/>
            <a:t>0</a:t>
          </a:r>
          <a:r>
            <a:rPr kumimoji="1" lang="ja-JP" altLang="en-US" sz="1100"/>
            <a:t>：出力しない　→　弁当札、シール出ない</a:t>
          </a:r>
          <a:endParaRPr kumimoji="1" lang="en-US" altLang="ja-JP" sz="1100"/>
        </a:p>
        <a:p>
          <a:r>
            <a:rPr kumimoji="1" lang="en-US" altLang="ja-JP" sz="1100"/>
            <a:t>1</a:t>
          </a:r>
          <a:r>
            <a:rPr kumimoji="1" lang="ja-JP" altLang="en-US" sz="1100"/>
            <a:t>：弁当札出力　→　弁当札が出る</a:t>
          </a:r>
          <a:endParaRPr kumimoji="1" lang="en-US" altLang="ja-JP" sz="1100"/>
        </a:p>
        <a:p>
          <a:r>
            <a:rPr kumimoji="1" lang="en-US" altLang="ja-JP" sz="1100"/>
            <a:t>2</a:t>
          </a:r>
          <a:r>
            <a:rPr kumimoji="1" lang="ja-JP" altLang="en-US" sz="1100"/>
            <a:t>：クラス分け出力　→　シールが出る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R3" sqref="R3"/>
    </sheetView>
  </sheetViews>
  <sheetFormatPr defaultRowHeight="18" x14ac:dyDescent="0.45"/>
  <cols>
    <col min="1" max="1" width="26.69921875" style="53" customWidth="1"/>
    <col min="2" max="11" width="8.796875" style="52" customWidth="1"/>
    <col min="12" max="20" width="11.3984375" style="54" customWidth="1"/>
    <col min="21" max="21" width="11.3984375" style="54" hidden="1" customWidth="1"/>
    <col min="22" max="22" width="32.796875" style="120" customWidth="1"/>
    <col min="23" max="23" width="27.69921875" style="53" customWidth="1"/>
  </cols>
  <sheetData>
    <row r="1" spans="1:23" x14ac:dyDescent="0.45">
      <c r="A1"/>
      <c r="L1" s="52"/>
      <c r="M1" s="52"/>
      <c r="N1" s="52"/>
      <c r="O1" s="52"/>
      <c r="P1" s="52"/>
      <c r="Q1" s="52"/>
      <c r="R1" s="52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2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2"/>
      <c r="U1" s="52"/>
      <c r="V1" s="115"/>
      <c r="W1"/>
    </row>
    <row r="2" spans="1:23" s="13" customFormat="1" ht="26.4" customHeight="1" x14ac:dyDescent="0.45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39" t="s">
        <v>0</v>
      </c>
      <c r="J2" s="39"/>
      <c r="K2" s="39" t="s">
        <v>1</v>
      </c>
      <c r="L2" s="39"/>
      <c r="M2" s="39" t="s">
        <v>0</v>
      </c>
      <c r="N2" s="14"/>
      <c r="O2"/>
      <c r="P2"/>
      <c r="Q2"/>
      <c r="R2" t="s">
        <v>2</v>
      </c>
      <c r="S2"/>
      <c r="T2" t="s">
        <v>3</v>
      </c>
      <c r="U2" t="s">
        <v>3</v>
      </c>
      <c r="V2" s="116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46" t="s">
        <v>16</v>
      </c>
      <c r="C3" s="47" t="s">
        <v>16</v>
      </c>
      <c r="D3" s="46" t="s">
        <v>17</v>
      </c>
      <c r="E3" s="48" t="s">
        <v>17</v>
      </c>
      <c r="F3" s="47" t="s">
        <v>17</v>
      </c>
      <c r="G3" s="46" t="s">
        <v>18</v>
      </c>
      <c r="H3" s="48" t="s">
        <v>18</v>
      </c>
      <c r="I3" s="48" t="s">
        <v>18</v>
      </c>
      <c r="J3" s="48" t="s">
        <v>18</v>
      </c>
      <c r="K3" s="47" t="s">
        <v>18</v>
      </c>
      <c r="L3" s="111" t="str" cm="1">
        <f t="array" ref="L3">IFERROR(
INDEX(商品マスタ一覧!$D$1:$D$340,
MATCH(TRUE, ISNUMBER(SEARCH(LEFT(SUBSTITUTE(SUBSTITUTE(_xlfn.TEXTJOIN("", TRUE, 貼り付け用!$L$3:$Z$3), "　", "")," ",""),3),SUBSTITUTE(SUBSTITUTE(商品マスタ一覧!$D$1:$D$340, "　", "")," ",""))), 0)), "")</f>
        <v>商品予定名</v>
      </c>
      <c r="M3" s="111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商品マスタ一覧!$D$1:$D$340,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商品マスタ一覧!$D$1:$D$340, 0)+1) &amp; ":D437"), "　", "")," ",""))), 0))),"")</f>
        <v/>
      </c>
      <c r="N3" s="111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商品マスタ一覧!$D$1:$D$340,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商品マスタ一覧!$D$1:$D$340, 0)+1) &amp; ":D437"), "　", "")," ",""))), 0))),"")</f>
        <v/>
      </c>
      <c r="O3" s="111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商品マスタ一覧!$D$1:$D$340,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商品マスタ一覧!$D$1:$D$340, 0)+1) &amp; ":D437"), "　", "")," ",""))), 0))),"")</f>
        <v/>
      </c>
      <c r="P3" s="111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商品マスタ一覧!$D$1:$D$340,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商品マスタ一覧!$D$1:$D$340, 0)+1) &amp; ":D437"), "　", "")," ",""))), 0))),"")</f>
        <v/>
      </c>
      <c r="Q3" s="111" t="str" cm="1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商品マスタ一覧!$D$1:$D$340,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商品マスタ一覧!$D$1:$D$340, 0)+1) &amp; ":D437"), "　", "")," ",""))), 0))),"")</f>
        <v/>
      </c>
      <c r="R3" s="111" t="str" cm="1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商品マスタ一覧!$D$1:$D$340,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商品マスタ一覧!$D$1:$D$340, 0)+1) &amp; ":D437"), "　", "")," ",""))), 0))),"")</f>
        <v/>
      </c>
      <c r="S3" s="111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商品マスタ一覧!$D$1:$D$340,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商品マスタ一覧!$D$1:$D$340, 0)+1) &amp; ":D437"), "　", "")," ",""))), 0))),"")</f>
        <v/>
      </c>
      <c r="T3" s="108" t="s">
        <v>6</v>
      </c>
      <c r="U3" s="19"/>
      <c r="V3" s="117"/>
      <c r="W3" s="6"/>
    </row>
    <row r="4" spans="1:23" x14ac:dyDescent="0.45">
      <c r="A4" s="2" t="s">
        <v>7</v>
      </c>
      <c r="B4" s="17" t="s">
        <v>8</v>
      </c>
      <c r="C4" s="17" t="s">
        <v>8</v>
      </c>
      <c r="D4" s="17" t="s">
        <v>8</v>
      </c>
      <c r="E4" s="17" t="s">
        <v>10</v>
      </c>
      <c r="F4" s="17" t="s">
        <v>9</v>
      </c>
      <c r="G4" s="17" t="s">
        <v>8</v>
      </c>
      <c r="H4" s="17" t="s">
        <v>8</v>
      </c>
      <c r="I4" s="17" t="s">
        <v>10</v>
      </c>
      <c r="J4" s="17" t="s">
        <v>10</v>
      </c>
      <c r="K4" s="17" t="s">
        <v>9</v>
      </c>
      <c r="L4" s="108"/>
      <c r="M4" s="108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08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08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08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08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08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08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08"/>
      <c r="U4" s="42"/>
      <c r="V4" s="118"/>
      <c r="W4" s="1"/>
    </row>
    <row r="5" spans="1:23" x14ac:dyDescent="0.45">
      <c r="A5" s="3"/>
      <c r="B5" s="17">
        <v>100</v>
      </c>
      <c r="C5" s="17">
        <v>150</v>
      </c>
      <c r="D5" s="17">
        <v>120</v>
      </c>
      <c r="E5" s="17" t="s">
        <v>11</v>
      </c>
      <c r="F5" s="17"/>
      <c r="G5" s="17">
        <v>120</v>
      </c>
      <c r="H5" s="17">
        <v>100</v>
      </c>
      <c r="I5" s="17" t="s">
        <v>11</v>
      </c>
      <c r="J5" s="17" t="s">
        <v>12</v>
      </c>
      <c r="K5" s="17"/>
      <c r="L5" s="108"/>
      <c r="M5" s="108" t="str">
        <f>SUBSTITUTE(SUBSTITUTE(L3,"　","")," ","")</f>
        <v>商品予定名</v>
      </c>
      <c r="N5" s="108" t="str">
        <f ca="1">SUBSTITUTE(SUBSTITUTE(M3,"　","")," ","")</f>
        <v/>
      </c>
      <c r="O5" s="108" t="str">
        <f t="shared" ref="O5:S5" ca="1" si="0">SUBSTITUTE(SUBSTITUTE(N3,"　","")," ","")</f>
        <v/>
      </c>
      <c r="P5" s="108" t="str">
        <f t="shared" ca="1" si="0"/>
        <v/>
      </c>
      <c r="Q5" s="108" t="str">
        <f t="shared" ca="1" si="0"/>
        <v/>
      </c>
      <c r="R5" s="108" t="str">
        <f ca="1">SUBSTITUTE(SUBSTITUTE(Q3,"　","")," ","")</f>
        <v/>
      </c>
      <c r="S5" s="108" t="str">
        <f t="shared" ca="1" si="0"/>
        <v/>
      </c>
      <c r="T5" s="108"/>
      <c r="U5" s="43"/>
      <c r="V5" s="118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19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19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119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4"/>
      <c r="V9" s="119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119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4"/>
      <c r="V11" s="119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119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4"/>
      <c r="V13" s="119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119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4"/>
      <c r="V15" s="119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119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4"/>
      <c r="V17" s="119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119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4"/>
      <c r="V19" s="119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119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4"/>
      <c r="V21" s="119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119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4"/>
      <c r="V23" s="119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119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4"/>
      <c r="V25" s="119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119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4"/>
      <c r="V27" s="119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119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4"/>
      <c r="V29" s="119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119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4"/>
      <c r="V31" s="119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119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4"/>
      <c r="V33" s="119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119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4"/>
      <c r="V35" s="119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119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4"/>
      <c r="V37" s="119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119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4"/>
      <c r="V39" s="119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119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4"/>
      <c r="V41" s="119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119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4"/>
      <c r="V43" s="119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119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4"/>
      <c r="V45" s="119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119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4"/>
      <c r="V47" s="119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119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4"/>
      <c r="V49" s="119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119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4"/>
      <c r="V51" s="119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119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4"/>
      <c r="V53" s="119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119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4"/>
      <c r="V55" s="119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119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4"/>
      <c r="V57" s="119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119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4"/>
      <c r="V59" s="119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119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4"/>
      <c r="V61" s="119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119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4"/>
      <c r="V63" s="119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119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4"/>
      <c r="V65" s="119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119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4"/>
      <c r="V67" s="119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119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4"/>
      <c r="V69" s="119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119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4"/>
      <c r="V71" s="119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119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4"/>
      <c r="V73" s="119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119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4"/>
      <c r="V75" s="119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119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4"/>
      <c r="V77" s="119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119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4"/>
      <c r="V79" s="119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119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4"/>
      <c r="V81" s="119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119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4"/>
      <c r="V83" s="119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119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4"/>
      <c r="V85" s="119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119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4"/>
      <c r="V87" s="119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119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4"/>
      <c r="V89" s="119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119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4"/>
      <c r="V91" s="119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119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4"/>
      <c r="V93" s="119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119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4"/>
      <c r="V95" s="119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119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4"/>
      <c r="V97" s="119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119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4"/>
      <c r="V99" s="119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119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4"/>
      <c r="V101" s="119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119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4"/>
      <c r="V103" s="119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119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4"/>
      <c r="V105" s="119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119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4"/>
      <c r="V107" s="119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119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4"/>
      <c r="V109" s="119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119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4"/>
      <c r="V111" s="119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119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4"/>
      <c r="V113" s="119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119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4"/>
      <c r="V115" s="119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119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4"/>
      <c r="V117" s="119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119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4"/>
      <c r="V119" s="119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119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4"/>
      <c r="V121" s="119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119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4"/>
      <c r="V123" s="119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119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4"/>
      <c r="V125" s="119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119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4"/>
      <c r="V127" s="119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119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4"/>
      <c r="V129" s="119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119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4"/>
      <c r="V131" s="119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119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4"/>
      <c r="V133" s="119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119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4"/>
      <c r="V135" s="119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119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4"/>
      <c r="V137" s="119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119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4"/>
      <c r="V139" s="119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119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4"/>
      <c r="V141" s="119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119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4"/>
      <c r="V143" s="119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119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4"/>
      <c r="V145" s="119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109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0"/>
      <c r="V147" s="110" t="e">
        <f>IF(INDEX(貼り付け用!U:U, MATCH("*【合計】*", 貼り付け用!$A:$A, 0))&lt;&gt;0,
INDEX(貼り付け用!U:U, MATCH("*【合計】*", 貼り付け用!$A:$A, 0)),"")</f>
        <v>#N/A</v>
      </c>
      <c r="W147" s="41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N154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I1" sqref="AI1:AI1048576"/>
    </sheetView>
  </sheetViews>
  <sheetFormatPr defaultRowHeight="16.2" customHeight="1" x14ac:dyDescent="0.35"/>
  <cols>
    <col min="1" max="1" width="26.69921875" style="186" customWidth="1"/>
    <col min="2" max="2" width="10.59765625" style="125" customWidth="1"/>
    <col min="3" max="3" width="5.09765625" style="125" customWidth="1"/>
    <col min="4" max="4" width="10.59765625" style="125" customWidth="1"/>
    <col min="5" max="5" width="5.09765625" style="125" customWidth="1"/>
    <col min="6" max="6" width="10.8984375" style="126" customWidth="1"/>
    <col min="7" max="7" width="5.09765625" style="125" customWidth="1"/>
    <col min="8" max="8" width="10.59765625" style="125" customWidth="1"/>
    <col min="9" max="9" width="5.09765625" style="125" customWidth="1"/>
    <col min="10" max="10" width="10.59765625" style="125" customWidth="1"/>
    <col min="11" max="11" width="5.09765625" style="271" customWidth="1"/>
    <col min="12" max="12" width="10.59765625" style="126" customWidth="1"/>
    <col min="13" max="13" width="5.09765625" style="271" customWidth="1"/>
    <col min="14" max="14" width="10.59765625" style="271" customWidth="1"/>
    <col min="15" max="15" width="5.09765625" style="271" customWidth="1"/>
    <col min="16" max="16" width="10.59765625" style="271" customWidth="1"/>
    <col min="17" max="17" width="5.09765625" style="271" customWidth="1"/>
    <col min="18" max="18" width="10.59765625" style="271" customWidth="1"/>
    <col min="19" max="19" width="5.09765625" style="271" customWidth="1"/>
    <col min="20" max="20" width="10.59765625" style="271" customWidth="1"/>
    <col min="21" max="21" width="5.09765625" style="271" customWidth="1"/>
    <col min="22" max="22" width="10.59765625" style="129" customWidth="1"/>
    <col min="23" max="23" width="5.09765625" style="127" customWidth="1"/>
    <col min="24" max="24" width="10.59765625" style="274" customWidth="1"/>
    <col min="25" max="25" width="5.09765625" style="271" customWidth="1"/>
    <col min="26" max="26" width="10.59765625" style="129" customWidth="1"/>
    <col min="27" max="27" width="5.09765625" style="127" customWidth="1"/>
    <col min="28" max="28" width="10.59765625" style="169" customWidth="1"/>
    <col min="29" max="29" width="5.09765625" style="125" customWidth="1"/>
    <col min="30" max="30" width="10.59765625" style="129" customWidth="1"/>
    <col min="31" max="31" width="5.09765625" style="127" customWidth="1"/>
    <col min="32" max="32" width="10.59765625" style="169" customWidth="1"/>
    <col min="33" max="33" width="5.09765625" style="125" customWidth="1"/>
    <col min="34" max="34" width="10.59765625" style="129" customWidth="1"/>
    <col min="35" max="35" width="5.09765625" style="127" customWidth="1"/>
    <col min="36" max="36" width="10.59765625" style="169" customWidth="1"/>
    <col min="37" max="37" width="5.09765625" style="125" customWidth="1"/>
    <col min="38" max="38" width="11.3984375" style="130" customWidth="1"/>
    <col min="39" max="39" width="32.796875" style="186" customWidth="1"/>
    <col min="40" max="40" width="27.69921875" style="186" customWidth="1"/>
    <col min="41" max="43" width="8.796875" style="124" customWidth="1"/>
    <col min="44" max="16384" width="8.796875" style="124"/>
  </cols>
  <sheetData>
    <row r="1" spans="1:40" s="180" customFormat="1" ht="16.2" customHeight="1" x14ac:dyDescent="0.45">
      <c r="B1" s="214"/>
      <c r="C1" s="214"/>
      <c r="D1" s="214"/>
      <c r="E1" s="214"/>
      <c r="F1" s="215"/>
      <c r="G1" s="214"/>
      <c r="H1" s="214"/>
      <c r="I1" s="214"/>
      <c r="J1" s="214"/>
      <c r="K1" s="268"/>
      <c r="L1" s="215"/>
      <c r="M1" s="268"/>
      <c r="N1" s="268"/>
      <c r="O1" s="268"/>
      <c r="P1" s="268"/>
      <c r="Q1" s="268"/>
      <c r="R1" s="268"/>
      <c r="S1" s="268"/>
      <c r="T1" s="268"/>
      <c r="U1" s="268"/>
      <c r="V1" s="215"/>
      <c r="W1" s="216"/>
      <c r="X1" s="268"/>
      <c r="Y1" s="268"/>
      <c r="Z1" s="215"/>
      <c r="AA1" s="216"/>
      <c r="AB1" s="214"/>
      <c r="AC1" s="214"/>
      <c r="AD1" s="215"/>
      <c r="AE1" s="216"/>
      <c r="AF1" s="214"/>
      <c r="AG1" s="214"/>
      <c r="AH1" s="215"/>
      <c r="AI1" s="216"/>
      <c r="AJ1" s="214"/>
      <c r="AK1" s="217"/>
      <c r="AL1" s="218"/>
      <c r="AM1" s="219" t="s">
        <v>15</v>
      </c>
    </row>
    <row r="2" spans="1:40" s="180" customFormat="1" ht="16.2" customHeight="1" x14ac:dyDescent="0.45">
      <c r="A2" s="180" t="str">
        <f>貼り付け用!A2&amp;"　"&amp;貼り付け用!B2&amp;"　"&amp;貼り付け用!C2</f>
        <v>　　</v>
      </c>
      <c r="B2" s="214"/>
      <c r="C2" s="214"/>
      <c r="D2" s="214"/>
      <c r="E2" s="214"/>
      <c r="F2" s="215"/>
      <c r="G2" s="214"/>
      <c r="H2" s="214"/>
      <c r="I2" s="214"/>
      <c r="J2" s="214"/>
      <c r="K2" s="268"/>
      <c r="L2" s="215"/>
      <c r="M2" s="268"/>
      <c r="N2" s="268"/>
      <c r="O2" s="268"/>
      <c r="P2" s="268" t="s">
        <v>0</v>
      </c>
      <c r="Q2" s="268"/>
      <c r="R2" s="268"/>
      <c r="S2" s="268"/>
      <c r="T2" s="268" t="s">
        <v>1</v>
      </c>
      <c r="U2" s="268"/>
      <c r="V2" s="215"/>
      <c r="W2" s="216"/>
      <c r="X2" s="268" t="s">
        <v>0</v>
      </c>
      <c r="Y2" s="268"/>
      <c r="Z2" s="215"/>
      <c r="AA2" s="216"/>
      <c r="AB2" s="214" t="s">
        <v>2</v>
      </c>
      <c r="AC2" s="214"/>
      <c r="AD2" s="215"/>
      <c r="AE2" s="216"/>
      <c r="AF2" s="214"/>
      <c r="AG2" s="214"/>
      <c r="AH2" s="220"/>
      <c r="AI2" s="216"/>
      <c r="AJ2" s="214"/>
      <c r="AK2" s="214"/>
      <c r="AL2" s="221" t="s">
        <v>3</v>
      </c>
      <c r="AM2" s="180" t="str">
        <f>貼り付け用!T2&amp;"　"&amp;貼り付け用!U2&amp;"　"&amp;貼り付け用!V2&amp;"　"&amp;貼り付け用!W2</f>
        <v>　　　</v>
      </c>
    </row>
    <row r="3" spans="1:40" s="180" customFormat="1" ht="16.2" customHeight="1" x14ac:dyDescent="0.45">
      <c r="A3" s="181"/>
      <c r="B3" s="191" t="s">
        <v>16</v>
      </c>
      <c r="C3" s="192"/>
      <c r="D3" s="193" t="s">
        <v>16</v>
      </c>
      <c r="E3" s="194"/>
      <c r="F3" s="195" t="s">
        <v>17</v>
      </c>
      <c r="G3" s="196"/>
      <c r="H3" s="196" t="s">
        <v>17</v>
      </c>
      <c r="I3" s="196"/>
      <c r="J3" s="196" t="s">
        <v>17</v>
      </c>
      <c r="K3" s="196"/>
      <c r="L3" s="272" t="s">
        <v>18</v>
      </c>
      <c r="M3" s="196"/>
      <c r="N3" s="196" t="s">
        <v>18</v>
      </c>
      <c r="O3" s="196"/>
      <c r="P3" s="196" t="s">
        <v>18</v>
      </c>
      <c r="Q3" s="196"/>
      <c r="R3" s="196" t="s">
        <v>18</v>
      </c>
      <c r="S3" s="196"/>
      <c r="T3" s="196" t="s">
        <v>18</v>
      </c>
      <c r="U3" s="196"/>
      <c r="V3" s="198" t="str">
        <f>数出表_Excel!L3</f>
        <v>商品予定名</v>
      </c>
      <c r="W3" s="197">
        <f>IF(V3&lt;&gt;"",0,"")</f>
        <v>0</v>
      </c>
      <c r="X3" s="199" t="str">
        <f ca="1">数出表_Excel!M3</f>
        <v/>
      </c>
      <c r="Y3" s="197" t="str">
        <f ca="1">IF(X3&lt;&gt;"",0,"")</f>
        <v/>
      </c>
      <c r="Z3" s="198" t="str">
        <f ca="1">数出表_Excel!N3</f>
        <v/>
      </c>
      <c r="AA3" s="197" t="str">
        <f ca="1">IF(Z3&lt;&gt;"",0,"")</f>
        <v/>
      </c>
      <c r="AB3" s="199" t="str">
        <f ca="1">数出表_Excel!O3</f>
        <v/>
      </c>
      <c r="AC3" s="197" t="str">
        <f ca="1">IF(AB3&lt;&gt;"",0,"")</f>
        <v/>
      </c>
      <c r="AD3" s="198" t="str">
        <f ca="1">数出表_Excel!P3</f>
        <v/>
      </c>
      <c r="AE3" s="197" t="str">
        <f ca="1">IF(AD3&lt;&gt;"",0,"")</f>
        <v/>
      </c>
      <c r="AF3" s="200" t="str">
        <f ca="1">数出表_Excel!Q3</f>
        <v/>
      </c>
      <c r="AG3" s="201" t="str">
        <f ca="1">IF(AF3&lt;&gt;"",0,"")</f>
        <v/>
      </c>
      <c r="AH3" s="198" t="str">
        <f ca="1">数出表_Excel!R3</f>
        <v/>
      </c>
      <c r="AI3" s="197" t="str">
        <f ca="1">IF(AH3&lt;&gt;"",0,"")</f>
        <v/>
      </c>
      <c r="AJ3" s="200" t="str">
        <f ca="1">数出表_Excel!S3</f>
        <v/>
      </c>
      <c r="AK3" s="201" t="str">
        <f ca="1">IF(AJ3&lt;&gt;"",0,"")</f>
        <v/>
      </c>
      <c r="AL3" s="202" t="s">
        <v>6</v>
      </c>
      <c r="AM3" s="203"/>
      <c r="AN3" s="204"/>
    </row>
    <row r="4" spans="1:40" s="180" customFormat="1" ht="16.2" customHeight="1" x14ac:dyDescent="0.45">
      <c r="A4" s="182" t="s">
        <v>7</v>
      </c>
      <c r="B4" s="205" t="s">
        <v>8</v>
      </c>
      <c r="C4" s="205"/>
      <c r="D4" s="205" t="s">
        <v>8</v>
      </c>
      <c r="E4" s="200"/>
      <c r="F4" s="206" t="s">
        <v>8</v>
      </c>
      <c r="G4" s="205"/>
      <c r="H4" s="205" t="s">
        <v>10</v>
      </c>
      <c r="I4" s="205"/>
      <c r="J4" s="205" t="s">
        <v>9</v>
      </c>
      <c r="K4" s="200"/>
      <c r="L4" s="206" t="s">
        <v>8</v>
      </c>
      <c r="M4" s="205"/>
      <c r="N4" s="205" t="s">
        <v>8</v>
      </c>
      <c r="O4" s="205"/>
      <c r="P4" s="205" t="s">
        <v>10</v>
      </c>
      <c r="Q4" s="205"/>
      <c r="R4" s="205" t="s">
        <v>10</v>
      </c>
      <c r="S4" s="205"/>
      <c r="T4" s="205" t="s">
        <v>9</v>
      </c>
      <c r="U4" s="200"/>
      <c r="V4" s="208"/>
      <c r="W4" s="207"/>
      <c r="X4" s="20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200"/>
      <c r="Z4" s="210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207"/>
      <c r="AB4" s="20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200"/>
      <c r="AD4" s="210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207"/>
      <c r="AF4" s="20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200"/>
      <c r="AH4" s="210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207"/>
      <c r="AJ4" s="20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200"/>
      <c r="AL4" s="211"/>
      <c r="AM4" s="212"/>
      <c r="AN4" s="213"/>
    </row>
    <row r="5" spans="1:40" ht="16.2" customHeight="1" x14ac:dyDescent="0.45">
      <c r="A5" s="183"/>
      <c r="B5" s="131">
        <v>100</v>
      </c>
      <c r="C5" s="131"/>
      <c r="D5" s="131">
        <v>150</v>
      </c>
      <c r="E5" s="132"/>
      <c r="F5" s="133">
        <v>120</v>
      </c>
      <c r="G5" s="131"/>
      <c r="H5" s="131" t="s">
        <v>11</v>
      </c>
      <c r="I5" s="131"/>
      <c r="J5" s="131"/>
      <c r="K5" s="132"/>
      <c r="L5" s="133">
        <v>120</v>
      </c>
      <c r="M5" s="131"/>
      <c r="N5" s="131">
        <v>100</v>
      </c>
      <c r="O5" s="131"/>
      <c r="P5" s="131" t="s">
        <v>11</v>
      </c>
      <c r="Q5" s="131"/>
      <c r="R5" s="131" t="s">
        <v>12</v>
      </c>
      <c r="S5" s="131"/>
      <c r="T5" s="131"/>
      <c r="U5" s="132"/>
      <c r="V5" s="133"/>
      <c r="W5" s="134"/>
      <c r="X5" s="131"/>
      <c r="Y5" s="132"/>
      <c r="Z5" s="133"/>
      <c r="AA5" s="134"/>
      <c r="AB5" s="131"/>
      <c r="AC5" s="132"/>
      <c r="AD5" s="133"/>
      <c r="AE5" s="134"/>
      <c r="AF5" s="131"/>
      <c r="AG5" s="132"/>
      <c r="AH5" s="133"/>
      <c r="AI5" s="134"/>
      <c r="AJ5" s="131"/>
      <c r="AK5" s="132"/>
      <c r="AL5" s="135"/>
      <c r="AM5" s="212"/>
      <c r="AN5" s="213"/>
    </row>
    <row r="6" spans="1:40" ht="16.2" customHeight="1" x14ac:dyDescent="0.45">
      <c r="A6" s="18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72" t="str">
        <f ca="1">IFERROR(VALUE(IF(VLOOKUP($A6,数出表_Excel!$A$6:$T$150,COLUMN()/2+1,FALSE)=0,"",VLOOKUP($A6,数出表_Excel!$A$6:$T$150,COLUMN()/2+1,FALSE))),"")</f>
        <v/>
      </c>
      <c r="C6" s="137"/>
      <c r="D6" s="172" t="str">
        <f ca="1">IFERROR(VALUE(IF(VLOOKUP($A6,数出表_Excel!$A$6:$T$150,COLUMN()/2+1,FALSE)=0,"",VLOOKUP($A6,数出表_Excel!$A$6:$T$150,COLUMN()/2+1,FALSE))),"")</f>
        <v/>
      </c>
      <c r="E6" s="137"/>
      <c r="F6" s="174" t="str">
        <f ca="1">IFERROR(VALUE(IF(VLOOKUP($A6,数出表_Excel!$A$6:$T$150,COLUMN()/2+1,FALSE)=0,"",VLOOKUP($A6,数出表_Excel!$A$6:$T$150,COLUMN()/2+1,FALSE))),"")</f>
        <v/>
      </c>
      <c r="G6" s="137"/>
      <c r="H6" s="172" t="str">
        <f ca="1">IFERROR(VALUE(IF(VLOOKUP($A6,数出表_Excel!$A$6:$T$150,COLUMN()/2+1,FALSE)=0,"",VLOOKUP($A6,数出表_Excel!$A$6:$T$150,COLUMN()/2+1,FALSE))),"")</f>
        <v/>
      </c>
      <c r="I6" s="137"/>
      <c r="J6" s="172" t="str">
        <f ca="1">IFERROR(VALUE(IF(VLOOKUP($A6,数出表_Excel!$A$6:$T$150,COLUMN()/2+1,FALSE)=0,"",VLOOKUP($A6,数出表_Excel!$A$6:$T$150,COLUMN()/2+1,FALSE))),"")</f>
        <v/>
      </c>
      <c r="K6" s="137"/>
      <c r="L6" s="174" t="str">
        <f ca="1">IFERROR(VALUE(IF(VLOOKUP($A6,数出表_Excel!$A$6:$T$150,COLUMN()/2+1,FALSE)=0,"",VLOOKUP($A6,数出表_Excel!$A$6:$T$150,COLUMN()/2+1,FALSE))),"")</f>
        <v/>
      </c>
      <c r="M6" s="137"/>
      <c r="N6" s="172" t="str">
        <f ca="1">IFERROR(VALUE(IF(VLOOKUP($A6,数出表_Excel!$A$6:$T$150,COLUMN()/2+1,FALSE)=0,"",VLOOKUP($A6,数出表_Excel!$A$6:$T$150,COLUMN()/2+1,FALSE))),"")</f>
        <v/>
      </c>
      <c r="O6" s="137"/>
      <c r="P6" s="172" t="str">
        <f ca="1">IFERROR(VALUE(IF(VLOOKUP($A6,数出表_Excel!$A$6:$T$150,COLUMN()/2+1,FALSE)=0,"",VLOOKUP($A6,数出表_Excel!$A$6:$T$150,COLUMN()/2+1,FALSE))),"")</f>
        <v/>
      </c>
      <c r="Q6" s="137"/>
      <c r="R6" s="172" t="str">
        <f ca="1">IFERROR(VALUE(IF(VLOOKUP($A6,数出表_Excel!$A$6:$T$150,COLUMN()/2+1,FALSE)=0,"",VLOOKUP($A6,数出表_Excel!$A$6:$T$150,COLUMN()/2+1,FALSE))),"")</f>
        <v/>
      </c>
      <c r="S6" s="137"/>
      <c r="T6" s="172" t="str">
        <f ca="1">IFERROR(VALUE(IF(VLOOKUP($A6,数出表_Excel!$A$6:$T$150,COLUMN()/2+1,FALSE)=0,"",VLOOKUP($A6,数出表_Excel!$A$6:$T$150,COLUMN()/2+1,FALSE))),"")</f>
        <v/>
      </c>
      <c r="U6" s="137"/>
      <c r="V6" s="174" t="str">
        <f ca="1">IFERROR(VALUE(IF(VLOOKUP($A6,数出表_Excel!$A$6:$T$150,COLUMN()/2+1,FALSE)=0,"",VLOOKUP($A6,数出表_Excel!$A$6:$T$150,COLUMN()/2+1,FALSE))),"")</f>
        <v/>
      </c>
      <c r="W6" s="137"/>
      <c r="X6" s="174" t="str">
        <f ca="1">IFERROR(VALUE(IF(VLOOKUP($A6,数出表_Excel!$A$6:$T$150,COLUMN()/2+1,FALSE)=0,"",VLOOKUP($A6,数出表_Excel!$A$6:$T$150,COLUMN()/2+1,FALSE))),"")</f>
        <v/>
      </c>
      <c r="Y6" s="137"/>
      <c r="Z6" s="174" t="str">
        <f ca="1">IFERROR(VALUE(IF(VLOOKUP($A6,数出表_Excel!$A$6:$T$150,COLUMN()/2+1,FALSE)=0,"",VLOOKUP($A6,数出表_Excel!$A$6:$T$150,COLUMN()/2+1,FALSE))),"")</f>
        <v/>
      </c>
      <c r="AA6" s="175"/>
      <c r="AB6" s="173" t="str">
        <f ca="1">IFERROR(VALUE(IF(VLOOKUP($A6,数出表_Excel!$A$6:$T$150,COLUMN()/2+1,FALSE)=0,"",VLOOKUP($A6,数出表_Excel!$A$6:$T$150,COLUMN()/2+1,FALSE))),"")</f>
        <v/>
      </c>
      <c r="AC6" s="137"/>
      <c r="AD6" s="174" t="str">
        <f ca="1">IFERROR(VALUE(IF(VLOOKUP($A6,数出表_Excel!$A$6:$T$150,COLUMN()/2+1,FALSE)=0,"",VLOOKUP($A6,数出表_Excel!$A$6:$T$150,COLUMN()/2+1,FALSE))),"")</f>
        <v/>
      </c>
      <c r="AE6" s="137"/>
      <c r="AF6" s="174" t="str">
        <f ca="1">IFERROR(VALUE(IF(VLOOKUP($A6,数出表_Excel!$A$6:$T$150,COLUMN()/2+1,FALSE)=0,"",VLOOKUP($A6,数出表_Excel!$A$6:$T$150,COLUMN()/2+1,FALSE))),"")</f>
        <v/>
      </c>
      <c r="AG6" s="137"/>
      <c r="AH6" s="174" t="str">
        <f ca="1">IFERROR(VALUE(IF(VLOOKUP($A6,数出表_Excel!$A$6:$T$150,COLUMN()/2+1,FALSE)=0,"",VLOOKUP($A6,数出表_Excel!$A$6:$T$150,COLUMN()/2+1,FALSE))),"")</f>
        <v/>
      </c>
      <c r="AI6" s="175"/>
      <c r="AJ6" s="173" t="str">
        <f ca="1">IFERROR(VALUE(IF(VLOOKUP($A6,数出表_Excel!$A$6:$T$150,COLUMN()/2+1,FALSE)=0,"",VLOOKUP($A6,数出表_Excel!$A$6:$T$150,COLUMN()/2+1,FALSE))),"")</f>
        <v/>
      </c>
      <c r="AK6" s="137"/>
      <c r="AL6" s="141" t="e">
        <f ca="1">IF(A6&lt;&gt;"",
IF(VLOOKUP($A6,数出表_Excel!$A$6:$T$150,COLUMN()/2+1,FALSE)=0,"",VLOOKUP($A6,数出表_Excel!$A$6:$T$150,COLUMN()/2+1,FALSE)),"")</f>
        <v>#N/A</v>
      </c>
      <c r="AM6" s="222" t="e">
        <f ca="1">数出表_Excel!V6</f>
        <v>#N/A</v>
      </c>
      <c r="AN6" s="223" t="e">
        <f ca="1">数出表_Excel!W6</f>
        <v>#N/A</v>
      </c>
    </row>
    <row r="7" spans="1:40" ht="16.2" customHeight="1" x14ac:dyDescent="0.45">
      <c r="A7" s="185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138" t="str">
        <f ca="1">IFERROR(VALUE(IF(VLOOKUP($A7,数出表_Excel!$A$6:$T$150,COLUMN()/2+1,FALSE)=0,"",VLOOKUP($A7,数出表_Excel!$A$6:$T$150,COLUMN()/2+1,FALSE))),"")</f>
        <v/>
      </c>
      <c r="C7" s="138"/>
      <c r="D7" s="138" t="str">
        <f ca="1">IFERROR(VALUE(IF(VLOOKUP($A7,数出表_Excel!$A$6:$T$150,COLUMN()/2+1,FALSE)=0,"",VLOOKUP($A7,数出表_Excel!$A$6:$T$150,COLUMN()/2+1,FALSE))),"")</f>
        <v/>
      </c>
      <c r="E7" s="138"/>
      <c r="F7" s="142" t="str">
        <f ca="1">IFERROR(VALUE(IF(VLOOKUP($A7,数出表_Excel!$A$6:$T$150,COLUMN()/2+1,FALSE)=0,"",VLOOKUP($A7,数出表_Excel!$A$6:$T$150,COLUMN()/2+1,FALSE))),"")</f>
        <v/>
      </c>
      <c r="G7" s="138"/>
      <c r="H7" s="138" t="str">
        <f ca="1">IFERROR(VALUE(IF(VLOOKUP($A7,数出表_Excel!$A$6:$T$150,COLUMN()/2+1,FALSE)=0,"",VLOOKUP($A7,数出表_Excel!$A$6:$T$150,COLUMN()/2+1,FALSE))),"")</f>
        <v/>
      </c>
      <c r="I7" s="138"/>
      <c r="J7" s="138" t="str">
        <f ca="1">IFERROR(VALUE(IF(VLOOKUP($A7,数出表_Excel!$A$6:$T$150,COLUMN()/2+1,FALSE)=0,"",VLOOKUP($A7,数出表_Excel!$A$6:$T$150,COLUMN()/2+1,FALSE))),"")</f>
        <v/>
      </c>
      <c r="K7" s="138"/>
      <c r="L7" s="142" t="str">
        <f ca="1">IFERROR(VALUE(IF(VLOOKUP($A7,数出表_Excel!$A$6:$T$150,COLUMN()/2+1,FALSE)=0,"",VLOOKUP($A7,数出表_Excel!$A$6:$T$150,COLUMN()/2+1,FALSE))),"")</f>
        <v/>
      </c>
      <c r="M7" s="138"/>
      <c r="N7" s="138" t="str">
        <f ca="1">IFERROR(VALUE(IF(VLOOKUP($A7,数出表_Excel!$A$6:$T$150,COLUMN()/2+1,FALSE)=0,"",VLOOKUP($A7,数出表_Excel!$A$6:$T$150,COLUMN()/2+1,FALSE))),"")</f>
        <v/>
      </c>
      <c r="O7" s="138"/>
      <c r="P7" s="138" t="str">
        <f ca="1">IFERROR(VALUE(IF(VLOOKUP($A7,数出表_Excel!$A$6:$T$150,COLUMN()/2+1,FALSE)=0,"",VLOOKUP($A7,数出表_Excel!$A$6:$T$150,COLUMN()/2+1,FALSE))),"")</f>
        <v/>
      </c>
      <c r="Q7" s="138"/>
      <c r="R7" s="138" t="str">
        <f ca="1">IFERROR(VALUE(IF(VLOOKUP($A7,数出表_Excel!$A$6:$T$150,COLUMN()/2+1,FALSE)=0,"",VLOOKUP($A7,数出表_Excel!$A$6:$T$150,COLUMN()/2+1,FALSE))),"")</f>
        <v/>
      </c>
      <c r="S7" s="138"/>
      <c r="T7" s="138" t="str">
        <f ca="1">IFERROR(VALUE(IF(VLOOKUP($A7,数出表_Excel!$A$6:$T$150,COLUMN()/2+1,FALSE)=0,"",VLOOKUP($A7,数出表_Excel!$A$6:$T$150,COLUMN()/2+1,FALSE))),"")</f>
        <v/>
      </c>
      <c r="U7" s="138"/>
      <c r="V7" s="142" t="str">
        <f ca="1">IFERROR(VALUE(IF(VLOOKUP($A7,数出表_Excel!$A$6:$T$150,COLUMN()/2+1,FALSE)=0,"",VLOOKUP($A7,数出表_Excel!$A$6:$T$150,COLUMN()/2+1,FALSE))),"")</f>
        <v/>
      </c>
      <c r="W7" s="138"/>
      <c r="X7" s="142" t="str">
        <f ca="1">IFERROR(VALUE(IF(VLOOKUP($A7,数出表_Excel!$A$6:$T$150,COLUMN()/2+1,FALSE)=0,"",VLOOKUP($A7,数出表_Excel!$A$6:$T$150,COLUMN()/2+1,FALSE))),"")</f>
        <v/>
      </c>
      <c r="Y7" s="138"/>
      <c r="Z7" s="142" t="str">
        <f ca="1">IFERROR(VALUE(IF(VLOOKUP($A7,数出表_Excel!$A$6:$T$150,COLUMN()/2+1,FALSE)=0,"",VLOOKUP($A7,数出表_Excel!$A$6:$T$150,COLUMN()/2+1,FALSE))),"")</f>
        <v/>
      </c>
      <c r="AA7" s="176"/>
      <c r="AB7" s="143" t="str">
        <f ca="1">IFERROR(VALUE(IF(VLOOKUP($A7,数出表_Excel!$A$6:$T$150,COLUMN()/2+1,FALSE)=0,"",VLOOKUP($A7,数出表_Excel!$A$6:$T$150,COLUMN()/2+1,FALSE))),"")</f>
        <v/>
      </c>
      <c r="AC7" s="138"/>
      <c r="AD7" s="142" t="str">
        <f ca="1">IFERROR(VALUE(IF(VLOOKUP($A7,数出表_Excel!$A$6:$T$150,COLUMN()/2+1,FALSE)=0,"",VLOOKUP($A7,数出表_Excel!$A$6:$T$150,COLUMN()/2+1,FALSE))),"")</f>
        <v/>
      </c>
      <c r="AE7" s="138"/>
      <c r="AF7" s="142" t="str">
        <f ca="1">IFERROR(VALUE(IF(VLOOKUP($A7,数出表_Excel!$A$6:$T$150,COLUMN()/2+1,FALSE)=0,"",VLOOKUP($A7,数出表_Excel!$A$6:$T$150,COLUMN()/2+1,FALSE))),"")</f>
        <v/>
      </c>
      <c r="AG7" s="138"/>
      <c r="AH7" s="142" t="str">
        <f ca="1">IFERROR(VALUE(IF(VLOOKUP($A7,数出表_Excel!$A$6:$T$150,COLUMN()/2+1,FALSE)=0,"",VLOOKUP($A7,数出表_Excel!$A$6:$T$150,COLUMN()/2+1,FALSE))),"")</f>
        <v/>
      </c>
      <c r="AI7" s="176"/>
      <c r="AJ7" s="143" t="str">
        <f ca="1">IFERROR(VALUE(IF(VLOOKUP($A7,数出表_Excel!$A$6:$T$150,COLUMN()/2+1,FALSE)=0,"",VLOOKUP($A7,数出表_Excel!$A$6:$T$150,COLUMN()/2+1,FALSE))),"")</f>
        <v/>
      </c>
      <c r="AK7" s="138"/>
      <c r="AL7" s="144" t="e">
        <f ca="1">IF(A7&lt;&gt;"",
IF(VLOOKUP($A7,数出表_Excel!$A$6:$T$150,COLUMN()/2+1,FALSE)=0,"",VLOOKUP($A7,数出表_Excel!$A$6:$T$150,COLUMN()/2+1,FALSE)),"")</f>
        <v>#N/A</v>
      </c>
      <c r="AM7" s="224" t="e">
        <f ca="1">数出表_Excel!V7</f>
        <v>#N/A</v>
      </c>
      <c r="AN7" s="225" t="e">
        <f ca="1">数出表_Excel!W7</f>
        <v>#N/A</v>
      </c>
    </row>
    <row r="8" spans="1:40" ht="16.2" customHeight="1" x14ac:dyDescent="0.45">
      <c r="A8" s="184" t="e">
        <f t="array" aca="1" ref="A8" ca="1">IF(OR(COUNTIF(A6,"*10002*"),COUNTIF(A6,"")),"",INDEX(貼り付け用!$A:$A,MATCH(A6,貼り付け用!$A:$A,0)+2,0))</f>
        <v>#N/A</v>
      </c>
      <c r="B8" s="172" t="str">
        <f ca="1">IFERROR(VALUE(IF(VLOOKUP($A8,数出表_Excel!$A$6:$T$150,COLUMN()/2+1,FALSE)=0,"",VLOOKUP($A8,数出表_Excel!$A$6:$T$150,COLUMN()/2+1,FALSE))),"")</f>
        <v/>
      </c>
      <c r="C8" s="137"/>
      <c r="D8" s="172" t="str">
        <f ca="1">IFERROR(VALUE(IF(VLOOKUP($A8,数出表_Excel!$A$6:$T$150,COLUMN()/2+1,FALSE)=0,"",VLOOKUP($A8,数出表_Excel!$A$6:$T$150,COLUMN()/2+1,FALSE))),"")</f>
        <v/>
      </c>
      <c r="E8" s="137"/>
      <c r="F8" s="174" t="str">
        <f ca="1">IFERROR(VALUE(IF(VLOOKUP($A8,数出表_Excel!$A$6:$T$150,COLUMN()/2+1,FALSE)=0,"",VLOOKUP($A8,数出表_Excel!$A$6:$T$150,COLUMN()/2+1,FALSE))),"")</f>
        <v/>
      </c>
      <c r="G8" s="137"/>
      <c r="H8" s="172" t="str">
        <f ca="1">IFERROR(VALUE(IF(VLOOKUP($A8,数出表_Excel!$A$6:$T$150,COLUMN()/2+1,FALSE)=0,"",VLOOKUP($A8,数出表_Excel!$A$6:$T$150,COLUMN()/2+1,FALSE))),"")</f>
        <v/>
      </c>
      <c r="I8" s="137"/>
      <c r="J8" s="172" t="str">
        <f ca="1">IFERROR(VALUE(IF(VLOOKUP($A8,数出表_Excel!$A$6:$T$150,COLUMN()/2+1,FALSE)=0,"",VLOOKUP($A8,数出表_Excel!$A$6:$T$150,COLUMN()/2+1,FALSE))),"")</f>
        <v/>
      </c>
      <c r="K8" s="137"/>
      <c r="L8" s="174" t="str">
        <f ca="1">IFERROR(VALUE(IF(VLOOKUP($A8,数出表_Excel!$A$6:$T$150,COLUMN()/2+1,FALSE)=0,"",VLOOKUP($A8,数出表_Excel!$A$6:$T$150,COLUMN()/2+1,FALSE))),"")</f>
        <v/>
      </c>
      <c r="M8" s="137"/>
      <c r="N8" s="172" t="str">
        <f ca="1">IFERROR(VALUE(IF(VLOOKUP($A8,数出表_Excel!$A$6:$T$150,COLUMN()/2+1,FALSE)=0,"",VLOOKUP($A8,数出表_Excel!$A$6:$T$150,COLUMN()/2+1,FALSE))),"")</f>
        <v/>
      </c>
      <c r="O8" s="137"/>
      <c r="P8" s="172" t="str">
        <f ca="1">IFERROR(VALUE(IF(VLOOKUP($A8,数出表_Excel!$A$6:$T$150,COLUMN()/2+1,FALSE)=0,"",VLOOKUP($A8,数出表_Excel!$A$6:$T$150,COLUMN()/2+1,FALSE))),"")</f>
        <v/>
      </c>
      <c r="Q8" s="137"/>
      <c r="R8" s="172" t="str">
        <f ca="1">IFERROR(VALUE(IF(VLOOKUP($A8,数出表_Excel!$A$6:$T$150,COLUMN()/2+1,FALSE)=0,"",VLOOKUP($A8,数出表_Excel!$A$6:$T$150,COLUMN()/2+1,FALSE))),"")</f>
        <v/>
      </c>
      <c r="S8" s="137"/>
      <c r="T8" s="172" t="str">
        <f ca="1">IFERROR(VALUE(IF(VLOOKUP($A8,数出表_Excel!$A$6:$T$150,COLUMN()/2+1,FALSE)=0,"",VLOOKUP($A8,数出表_Excel!$A$6:$T$150,COLUMN()/2+1,FALSE))),"")</f>
        <v/>
      </c>
      <c r="U8" s="137"/>
      <c r="V8" s="174" t="str">
        <f ca="1">IFERROR(VALUE(IF(VLOOKUP($A8,数出表_Excel!$A$6:$T$150,COLUMN()/2+1,FALSE)=0,"",VLOOKUP($A8,数出表_Excel!$A$6:$T$150,COLUMN()/2+1,FALSE))),"")</f>
        <v/>
      </c>
      <c r="W8" s="137"/>
      <c r="X8" s="174" t="str">
        <f ca="1">IFERROR(VALUE(IF(VLOOKUP($A8,数出表_Excel!$A$6:$T$150,COLUMN()/2+1,FALSE)=0,"",VLOOKUP($A8,数出表_Excel!$A$6:$T$150,COLUMN()/2+1,FALSE))),"")</f>
        <v/>
      </c>
      <c r="Y8" s="137"/>
      <c r="Z8" s="174" t="str">
        <f ca="1">IFERROR(VALUE(IF(VLOOKUP($A8,数出表_Excel!$A$6:$T$150,COLUMN()/2+1,FALSE)=0,"",VLOOKUP($A8,数出表_Excel!$A$6:$T$150,COLUMN()/2+1,FALSE))),"")</f>
        <v/>
      </c>
      <c r="AA8" s="175"/>
      <c r="AB8" s="173" t="str">
        <f ca="1">IFERROR(VALUE(IF(VLOOKUP($A8,数出表_Excel!$A$6:$T$150,COLUMN()/2+1,FALSE)=0,"",VLOOKUP($A8,数出表_Excel!$A$6:$T$150,COLUMN()/2+1,FALSE))),"")</f>
        <v/>
      </c>
      <c r="AC8" s="137"/>
      <c r="AD8" s="174" t="str">
        <f ca="1">IFERROR(VALUE(IF(VLOOKUP($A8,数出表_Excel!$A$6:$T$150,COLUMN()/2+1,FALSE)=0,"",VLOOKUP($A8,数出表_Excel!$A$6:$T$150,COLUMN()/2+1,FALSE))),"")</f>
        <v/>
      </c>
      <c r="AE8" s="137"/>
      <c r="AF8" s="174" t="str">
        <f ca="1">IFERROR(VALUE(IF(VLOOKUP($A8,数出表_Excel!$A$6:$T$150,COLUMN()/2+1,FALSE)=0,"",VLOOKUP($A8,数出表_Excel!$A$6:$T$150,COLUMN()/2+1,FALSE))),"")</f>
        <v/>
      </c>
      <c r="AG8" s="137"/>
      <c r="AH8" s="174" t="str">
        <f ca="1">IFERROR(VALUE(IF(VLOOKUP($A8,数出表_Excel!$A$6:$T$150,COLUMN()/2+1,FALSE)=0,"",VLOOKUP($A8,数出表_Excel!$A$6:$T$150,COLUMN()/2+1,FALSE))),"")</f>
        <v/>
      </c>
      <c r="AI8" s="175"/>
      <c r="AJ8" s="173" t="str">
        <f ca="1">IFERROR(VALUE(IF(VLOOKUP($A8,数出表_Excel!$A$6:$T$150,COLUMN()/2+1,FALSE)=0,"",VLOOKUP($A8,数出表_Excel!$A$6:$T$150,COLUMN()/2+1,FALSE))),"")</f>
        <v/>
      </c>
      <c r="AK8" s="137"/>
      <c r="AL8" s="141" t="e">
        <f ca="1">IF(A8&lt;&gt;"",
IF(VLOOKUP($A8,数出表_Excel!$A$6:$T$150,COLUMN()/2+1,FALSE)=0,"",VLOOKUP($A8,数出表_Excel!$A$6:$T$150,COLUMN()/2+1,FALSE)),"")</f>
        <v>#N/A</v>
      </c>
      <c r="AM8" s="222" t="e">
        <f ca="1">数出表_Excel!V8</f>
        <v>#N/A</v>
      </c>
      <c r="AN8" s="223" t="e">
        <f ca="1">数出表_Excel!W8</f>
        <v>#N/A</v>
      </c>
    </row>
    <row r="9" spans="1:40" ht="16.2" customHeight="1" x14ac:dyDescent="0.45">
      <c r="A9" s="185" t="e">
        <f t="array" aca="1" ref="A9" ca="1">IF(OR(COUNTIF(A7,"*1000*"),COUNTIF(A7,"")),"",INDEX(貼り付け用!$A:$A,MATCH(A7,貼り付け用!$A:$A,0)+2,0))</f>
        <v>#N/A</v>
      </c>
      <c r="B9" s="138" t="str">
        <f ca="1">IFERROR(VALUE(IF(VLOOKUP($A9,数出表_Excel!$A$6:$T$150,COLUMN()/2+1,FALSE)=0,"",VLOOKUP($A9,数出表_Excel!$A$6:$T$150,COLUMN()/2+1,FALSE))),"")</f>
        <v/>
      </c>
      <c r="C9" s="138"/>
      <c r="D9" s="138" t="str">
        <f ca="1">IFERROR(VALUE(IF(VLOOKUP($A9,数出表_Excel!$A$6:$T$150,COLUMN()/2+1,FALSE)=0,"",VLOOKUP($A9,数出表_Excel!$A$6:$T$150,COLUMN()/2+1,FALSE))),"")</f>
        <v/>
      </c>
      <c r="E9" s="138"/>
      <c r="F9" s="142" t="str">
        <f ca="1">IFERROR(VALUE(IF(VLOOKUP($A9,数出表_Excel!$A$6:$T$150,COLUMN()/2+1,FALSE)=0,"",VLOOKUP($A9,数出表_Excel!$A$6:$T$150,COLUMN()/2+1,FALSE))),"")</f>
        <v/>
      </c>
      <c r="G9" s="138"/>
      <c r="H9" s="138" t="str">
        <f ca="1">IFERROR(VALUE(IF(VLOOKUP($A9,数出表_Excel!$A$6:$T$150,COLUMN()/2+1,FALSE)=0,"",VLOOKUP($A9,数出表_Excel!$A$6:$T$150,COLUMN()/2+1,FALSE))),"")</f>
        <v/>
      </c>
      <c r="I9" s="138"/>
      <c r="J9" s="138" t="str">
        <f ca="1">IFERROR(VALUE(IF(VLOOKUP($A9,数出表_Excel!$A$6:$T$150,COLUMN()/2+1,FALSE)=0,"",VLOOKUP($A9,数出表_Excel!$A$6:$T$150,COLUMN()/2+1,FALSE))),"")</f>
        <v/>
      </c>
      <c r="K9" s="138"/>
      <c r="L9" s="142" t="str">
        <f ca="1">IFERROR(VALUE(IF(VLOOKUP($A9,数出表_Excel!$A$6:$T$150,COLUMN()/2+1,FALSE)=0,"",VLOOKUP($A9,数出表_Excel!$A$6:$T$150,COLUMN()/2+1,FALSE))),"")</f>
        <v/>
      </c>
      <c r="M9" s="138"/>
      <c r="N9" s="138" t="str">
        <f ca="1">IFERROR(VALUE(IF(VLOOKUP($A9,数出表_Excel!$A$6:$T$150,COLUMN()/2+1,FALSE)=0,"",VLOOKUP($A9,数出表_Excel!$A$6:$T$150,COLUMN()/2+1,FALSE))),"")</f>
        <v/>
      </c>
      <c r="O9" s="138"/>
      <c r="P9" s="138" t="str">
        <f ca="1">IFERROR(VALUE(IF(VLOOKUP($A9,数出表_Excel!$A$6:$T$150,COLUMN()/2+1,FALSE)=0,"",VLOOKUP($A9,数出表_Excel!$A$6:$T$150,COLUMN()/2+1,FALSE))),"")</f>
        <v/>
      </c>
      <c r="Q9" s="138"/>
      <c r="R9" s="138" t="str">
        <f ca="1">IFERROR(VALUE(IF(VLOOKUP($A9,数出表_Excel!$A$6:$T$150,COLUMN()/2+1,FALSE)=0,"",VLOOKUP($A9,数出表_Excel!$A$6:$T$150,COLUMN()/2+1,FALSE))),"")</f>
        <v/>
      </c>
      <c r="S9" s="138"/>
      <c r="T9" s="138" t="str">
        <f ca="1">IFERROR(VALUE(IF(VLOOKUP($A9,数出表_Excel!$A$6:$T$150,COLUMN()/2+1,FALSE)=0,"",VLOOKUP($A9,数出表_Excel!$A$6:$T$150,COLUMN()/2+1,FALSE))),"")</f>
        <v/>
      </c>
      <c r="U9" s="138"/>
      <c r="V9" s="142" t="str">
        <f ca="1">IFERROR(VALUE(IF(VLOOKUP($A9,数出表_Excel!$A$6:$T$150,COLUMN()/2+1,FALSE)=0,"",VLOOKUP($A9,数出表_Excel!$A$6:$T$150,COLUMN()/2+1,FALSE))),"")</f>
        <v/>
      </c>
      <c r="W9" s="138"/>
      <c r="X9" s="142" t="str">
        <f ca="1">IFERROR(VALUE(IF(VLOOKUP($A9,数出表_Excel!$A$6:$T$150,COLUMN()/2+1,FALSE)=0,"",VLOOKUP($A9,数出表_Excel!$A$6:$T$150,COLUMN()/2+1,FALSE))),"")</f>
        <v/>
      </c>
      <c r="Y9" s="138"/>
      <c r="Z9" s="142" t="str">
        <f ca="1">IFERROR(VALUE(IF(VLOOKUP($A9,数出表_Excel!$A$6:$T$150,COLUMN()/2+1,FALSE)=0,"",VLOOKUP($A9,数出表_Excel!$A$6:$T$150,COLUMN()/2+1,FALSE))),"")</f>
        <v/>
      </c>
      <c r="AA9" s="176"/>
      <c r="AB9" s="143" t="str">
        <f ca="1">IFERROR(VALUE(IF(VLOOKUP($A9,数出表_Excel!$A$6:$T$150,COLUMN()/2+1,FALSE)=0,"",VLOOKUP($A9,数出表_Excel!$A$6:$T$150,COLUMN()/2+1,FALSE))),"")</f>
        <v/>
      </c>
      <c r="AC9" s="138"/>
      <c r="AD9" s="142" t="str">
        <f ca="1">IFERROR(VALUE(IF(VLOOKUP($A9,数出表_Excel!$A$6:$T$150,COLUMN()/2+1,FALSE)=0,"",VLOOKUP($A9,数出表_Excel!$A$6:$T$150,COLUMN()/2+1,FALSE))),"")</f>
        <v/>
      </c>
      <c r="AE9" s="138"/>
      <c r="AF9" s="142" t="str">
        <f ca="1">IFERROR(VALUE(IF(VLOOKUP($A9,数出表_Excel!$A$6:$T$150,COLUMN()/2+1,FALSE)=0,"",VLOOKUP($A9,数出表_Excel!$A$6:$T$150,COLUMN()/2+1,FALSE))),"")</f>
        <v/>
      </c>
      <c r="AG9" s="138"/>
      <c r="AH9" s="142" t="str">
        <f ca="1">IFERROR(VALUE(IF(VLOOKUP($A9,数出表_Excel!$A$6:$T$150,COLUMN()/2+1,FALSE)=0,"",VLOOKUP($A9,数出表_Excel!$A$6:$T$150,COLUMN()/2+1,FALSE))),"")</f>
        <v/>
      </c>
      <c r="AI9" s="176"/>
      <c r="AJ9" s="143" t="str">
        <f ca="1">IFERROR(VALUE(IF(VLOOKUP($A9,数出表_Excel!$A$6:$T$150,COLUMN()/2+1,FALSE)=0,"",VLOOKUP($A9,数出表_Excel!$A$6:$T$150,COLUMN()/2+1,FALSE))),"")</f>
        <v/>
      </c>
      <c r="AK9" s="138"/>
      <c r="AL9" s="144" t="e">
        <f ca="1">IF(A9&lt;&gt;"",
IF(VLOOKUP($A9,数出表_Excel!$A$6:$T$150,COLUMN()/2+1,FALSE)=0,"",VLOOKUP($A9,数出表_Excel!$A$6:$T$150,COLUMN()/2+1,FALSE)),"")</f>
        <v>#N/A</v>
      </c>
      <c r="AM9" s="224" t="e">
        <f ca="1">数出表_Excel!V9</f>
        <v>#N/A</v>
      </c>
      <c r="AN9" s="225" t="e">
        <f ca="1">数出表_Excel!W9</f>
        <v>#N/A</v>
      </c>
    </row>
    <row r="10" spans="1:40" ht="16.2" customHeight="1" x14ac:dyDescent="0.45">
      <c r="A10" s="184" t="e">
        <f t="array" aca="1" ref="A10" ca="1">IF(OR(COUNTIF(A8,"*10002*"),COUNTIF(A8,"")),"",INDEX(貼り付け用!$A:$A,MATCH(A8,貼り付け用!$A:$A,0)+2,0))</f>
        <v>#N/A</v>
      </c>
      <c r="B10" s="172" t="str">
        <f ca="1">IFERROR(VALUE(IF(VLOOKUP($A10,数出表_Excel!$A$6:$T$150,COLUMN()/2+1,FALSE)=0,"",VLOOKUP($A10,数出表_Excel!$A$6:$T$150,COLUMN()/2+1,FALSE))),"")</f>
        <v/>
      </c>
      <c r="C10" s="137"/>
      <c r="D10" s="172" t="str">
        <f ca="1">IFERROR(VALUE(IF(VLOOKUP($A10,数出表_Excel!$A$6:$T$150,COLUMN()/2+1,FALSE)=0,"",VLOOKUP($A10,数出表_Excel!$A$6:$T$150,COLUMN()/2+1,FALSE))),"")</f>
        <v/>
      </c>
      <c r="E10" s="137"/>
      <c r="F10" s="174" t="str">
        <f ca="1">IFERROR(VALUE(IF(VLOOKUP($A10,数出表_Excel!$A$6:$T$150,COLUMN()/2+1,FALSE)=0,"",VLOOKUP($A10,数出表_Excel!$A$6:$T$150,COLUMN()/2+1,FALSE))),"")</f>
        <v/>
      </c>
      <c r="G10" s="137"/>
      <c r="H10" s="172" t="str">
        <f ca="1">IFERROR(VALUE(IF(VLOOKUP($A10,数出表_Excel!$A$6:$T$150,COLUMN()/2+1,FALSE)=0,"",VLOOKUP($A10,数出表_Excel!$A$6:$T$150,COLUMN()/2+1,FALSE))),"")</f>
        <v/>
      </c>
      <c r="I10" s="137"/>
      <c r="J10" s="172" t="str">
        <f ca="1">IFERROR(VALUE(IF(VLOOKUP($A10,数出表_Excel!$A$6:$T$150,COLUMN()/2+1,FALSE)=0,"",VLOOKUP($A10,数出表_Excel!$A$6:$T$150,COLUMN()/2+1,FALSE))),"")</f>
        <v/>
      </c>
      <c r="K10" s="137"/>
      <c r="L10" s="174" t="str">
        <f ca="1">IFERROR(VALUE(IF(VLOOKUP($A10,数出表_Excel!$A$6:$T$150,COLUMN()/2+1,FALSE)=0,"",VLOOKUP($A10,数出表_Excel!$A$6:$T$150,COLUMN()/2+1,FALSE))),"")</f>
        <v/>
      </c>
      <c r="M10" s="137"/>
      <c r="N10" s="172" t="str">
        <f ca="1">IFERROR(VALUE(IF(VLOOKUP($A10,数出表_Excel!$A$6:$T$150,COLUMN()/2+1,FALSE)=0,"",VLOOKUP($A10,数出表_Excel!$A$6:$T$150,COLUMN()/2+1,FALSE))),"")</f>
        <v/>
      </c>
      <c r="O10" s="137"/>
      <c r="P10" s="172" t="str">
        <f ca="1">IFERROR(VALUE(IF(VLOOKUP($A10,数出表_Excel!$A$6:$T$150,COLUMN()/2+1,FALSE)=0,"",VLOOKUP($A10,数出表_Excel!$A$6:$T$150,COLUMN()/2+1,FALSE))),"")</f>
        <v/>
      </c>
      <c r="Q10" s="137"/>
      <c r="R10" s="172" t="str">
        <f ca="1">IFERROR(VALUE(IF(VLOOKUP($A10,数出表_Excel!$A$6:$T$150,COLUMN()/2+1,FALSE)=0,"",VLOOKUP($A10,数出表_Excel!$A$6:$T$150,COLUMN()/2+1,FALSE))),"")</f>
        <v/>
      </c>
      <c r="S10" s="137"/>
      <c r="T10" s="172" t="str">
        <f ca="1">IFERROR(VALUE(IF(VLOOKUP($A10,数出表_Excel!$A$6:$T$150,COLUMN()/2+1,FALSE)=0,"",VLOOKUP($A10,数出表_Excel!$A$6:$T$150,COLUMN()/2+1,FALSE))),"")</f>
        <v/>
      </c>
      <c r="U10" s="137"/>
      <c r="V10" s="174" t="str">
        <f ca="1">IFERROR(VALUE(IF(VLOOKUP($A10,数出表_Excel!$A$6:$T$150,COLUMN()/2+1,FALSE)=0,"",VLOOKUP($A10,数出表_Excel!$A$6:$T$150,COLUMN()/2+1,FALSE))),"")</f>
        <v/>
      </c>
      <c r="W10" s="137"/>
      <c r="X10" s="174" t="str">
        <f ca="1">IFERROR(VALUE(IF(VLOOKUP($A10,数出表_Excel!$A$6:$T$150,COLUMN()/2+1,FALSE)=0,"",VLOOKUP($A10,数出表_Excel!$A$6:$T$150,COLUMN()/2+1,FALSE))),"")</f>
        <v/>
      </c>
      <c r="Y10" s="137"/>
      <c r="Z10" s="174" t="str">
        <f ca="1">IFERROR(VALUE(IF(VLOOKUP($A10,数出表_Excel!$A$6:$T$150,COLUMN()/2+1,FALSE)=0,"",VLOOKUP($A10,数出表_Excel!$A$6:$T$150,COLUMN()/2+1,FALSE))),"")</f>
        <v/>
      </c>
      <c r="AA10" s="175"/>
      <c r="AB10" s="173" t="str">
        <f ca="1">IFERROR(VALUE(IF(VLOOKUP($A10,数出表_Excel!$A$6:$T$150,COLUMN()/2+1,FALSE)=0,"",VLOOKUP($A10,数出表_Excel!$A$6:$T$150,COLUMN()/2+1,FALSE))),"")</f>
        <v/>
      </c>
      <c r="AC10" s="137"/>
      <c r="AD10" s="174" t="str">
        <f ca="1">IFERROR(VALUE(IF(VLOOKUP($A10,数出表_Excel!$A$6:$T$150,COLUMN()/2+1,FALSE)=0,"",VLOOKUP($A10,数出表_Excel!$A$6:$T$150,COLUMN()/2+1,FALSE))),"")</f>
        <v/>
      </c>
      <c r="AE10" s="137"/>
      <c r="AF10" s="174" t="str">
        <f ca="1">IFERROR(VALUE(IF(VLOOKUP($A10,数出表_Excel!$A$6:$T$150,COLUMN()/2+1,FALSE)=0,"",VLOOKUP($A10,数出表_Excel!$A$6:$T$150,COLUMN()/2+1,FALSE))),"")</f>
        <v/>
      </c>
      <c r="AG10" s="137"/>
      <c r="AH10" s="174" t="str">
        <f ca="1">IFERROR(VALUE(IF(VLOOKUP($A10,数出表_Excel!$A$6:$T$150,COLUMN()/2+1,FALSE)=0,"",VLOOKUP($A10,数出表_Excel!$A$6:$T$150,COLUMN()/2+1,FALSE))),"")</f>
        <v/>
      </c>
      <c r="AI10" s="175"/>
      <c r="AJ10" s="173" t="str">
        <f ca="1">IFERROR(VALUE(IF(VLOOKUP($A10,数出表_Excel!$A$6:$T$150,COLUMN()/2+1,FALSE)=0,"",VLOOKUP($A10,数出表_Excel!$A$6:$T$150,COLUMN()/2+1,FALSE))),"")</f>
        <v/>
      </c>
      <c r="AK10" s="137"/>
      <c r="AL10" s="141" t="e">
        <f ca="1">IF(A10&lt;&gt;"",
IF(VLOOKUP($A10,数出表_Excel!$A$6:$T$150,COLUMN()/2+1,FALSE)=0,"",VLOOKUP($A10,数出表_Excel!$A$6:$T$150,COLUMN()/2+1,FALSE)),"")</f>
        <v>#N/A</v>
      </c>
      <c r="AM10" s="222" t="e">
        <f ca="1">数出表_Excel!V10</f>
        <v>#N/A</v>
      </c>
      <c r="AN10" s="223" t="e">
        <f ca="1">数出表_Excel!W10</f>
        <v>#N/A</v>
      </c>
    </row>
    <row r="11" spans="1:40" ht="16.2" customHeight="1" x14ac:dyDescent="0.45">
      <c r="A11" s="185" t="e">
        <f t="array" aca="1" ref="A11" ca="1">IF(OR(COUNTIF(A9,"*1000*"),COUNTIF(A9,"")),"",INDEX(貼り付け用!$A:$A,MATCH(A9,貼り付け用!$A:$A,0)+2,0))</f>
        <v>#N/A</v>
      </c>
      <c r="B11" s="138" t="str">
        <f ca="1">IFERROR(VALUE(IF(VLOOKUP($A11,数出表_Excel!$A$6:$T$150,COLUMN()/2+1,FALSE)=0,"",VLOOKUP($A11,数出表_Excel!$A$6:$T$150,COLUMN()/2+1,FALSE))),"")</f>
        <v/>
      </c>
      <c r="C11" s="138"/>
      <c r="D11" s="138" t="str">
        <f ca="1">IFERROR(VALUE(IF(VLOOKUP($A11,数出表_Excel!$A$6:$T$150,COLUMN()/2+1,FALSE)=0,"",VLOOKUP($A11,数出表_Excel!$A$6:$T$150,COLUMN()/2+1,FALSE))),"")</f>
        <v/>
      </c>
      <c r="E11" s="138"/>
      <c r="F11" s="142" t="str">
        <f ca="1">IFERROR(VALUE(IF(VLOOKUP($A11,数出表_Excel!$A$6:$T$150,COLUMN()/2+1,FALSE)=0,"",VLOOKUP($A11,数出表_Excel!$A$6:$T$150,COLUMN()/2+1,FALSE))),"")</f>
        <v/>
      </c>
      <c r="G11" s="138"/>
      <c r="H11" s="138" t="str">
        <f ca="1">IFERROR(VALUE(IF(VLOOKUP($A11,数出表_Excel!$A$6:$T$150,COLUMN()/2+1,FALSE)=0,"",VLOOKUP($A11,数出表_Excel!$A$6:$T$150,COLUMN()/2+1,FALSE))),"")</f>
        <v/>
      </c>
      <c r="I11" s="138"/>
      <c r="J11" s="138" t="str">
        <f ca="1">IFERROR(VALUE(IF(VLOOKUP($A11,数出表_Excel!$A$6:$T$150,COLUMN()/2+1,FALSE)=0,"",VLOOKUP($A11,数出表_Excel!$A$6:$T$150,COLUMN()/2+1,FALSE))),"")</f>
        <v/>
      </c>
      <c r="K11" s="138"/>
      <c r="L11" s="142" t="str">
        <f ca="1">IFERROR(VALUE(IF(VLOOKUP($A11,数出表_Excel!$A$6:$T$150,COLUMN()/2+1,FALSE)=0,"",VLOOKUP($A11,数出表_Excel!$A$6:$T$150,COLUMN()/2+1,FALSE))),"")</f>
        <v/>
      </c>
      <c r="M11" s="138"/>
      <c r="N11" s="138" t="str">
        <f ca="1">IFERROR(VALUE(IF(VLOOKUP($A11,数出表_Excel!$A$6:$T$150,COLUMN()/2+1,FALSE)=0,"",VLOOKUP($A11,数出表_Excel!$A$6:$T$150,COLUMN()/2+1,FALSE))),"")</f>
        <v/>
      </c>
      <c r="O11" s="138"/>
      <c r="P11" s="138" t="str">
        <f ca="1">IFERROR(VALUE(IF(VLOOKUP($A11,数出表_Excel!$A$6:$T$150,COLUMN()/2+1,FALSE)=0,"",VLOOKUP($A11,数出表_Excel!$A$6:$T$150,COLUMN()/2+1,FALSE))),"")</f>
        <v/>
      </c>
      <c r="Q11" s="138"/>
      <c r="R11" s="138" t="str">
        <f ca="1">IFERROR(VALUE(IF(VLOOKUP($A11,数出表_Excel!$A$6:$T$150,COLUMN()/2+1,FALSE)=0,"",VLOOKUP($A11,数出表_Excel!$A$6:$T$150,COLUMN()/2+1,FALSE))),"")</f>
        <v/>
      </c>
      <c r="S11" s="138"/>
      <c r="T11" s="138" t="str">
        <f ca="1">IFERROR(VALUE(IF(VLOOKUP($A11,数出表_Excel!$A$6:$T$150,COLUMN()/2+1,FALSE)=0,"",VLOOKUP($A11,数出表_Excel!$A$6:$T$150,COLUMN()/2+1,FALSE))),"")</f>
        <v/>
      </c>
      <c r="U11" s="138"/>
      <c r="V11" s="142" t="str">
        <f ca="1">IFERROR(VALUE(IF(VLOOKUP($A11,数出表_Excel!$A$6:$T$150,COLUMN()/2+1,FALSE)=0,"",VLOOKUP($A11,数出表_Excel!$A$6:$T$150,COLUMN()/2+1,FALSE))),"")</f>
        <v/>
      </c>
      <c r="W11" s="138"/>
      <c r="X11" s="142" t="str">
        <f ca="1">IFERROR(VALUE(IF(VLOOKUP($A11,数出表_Excel!$A$6:$T$150,COLUMN()/2+1,FALSE)=0,"",VLOOKUP($A11,数出表_Excel!$A$6:$T$150,COLUMN()/2+1,FALSE))),"")</f>
        <v/>
      </c>
      <c r="Y11" s="138"/>
      <c r="Z11" s="142" t="str">
        <f ca="1">IFERROR(VALUE(IF(VLOOKUP($A11,数出表_Excel!$A$6:$T$150,COLUMN()/2+1,FALSE)=0,"",VLOOKUP($A11,数出表_Excel!$A$6:$T$150,COLUMN()/2+1,FALSE))),"")</f>
        <v/>
      </c>
      <c r="AA11" s="176"/>
      <c r="AB11" s="143" t="str">
        <f ca="1">IFERROR(VALUE(IF(VLOOKUP($A11,数出表_Excel!$A$6:$T$150,COLUMN()/2+1,FALSE)=0,"",VLOOKUP($A11,数出表_Excel!$A$6:$T$150,COLUMN()/2+1,FALSE))),"")</f>
        <v/>
      </c>
      <c r="AC11" s="138"/>
      <c r="AD11" s="142" t="str">
        <f ca="1">IFERROR(VALUE(IF(VLOOKUP($A11,数出表_Excel!$A$6:$T$150,COLUMN()/2+1,FALSE)=0,"",VLOOKUP($A11,数出表_Excel!$A$6:$T$150,COLUMN()/2+1,FALSE))),"")</f>
        <v/>
      </c>
      <c r="AE11" s="138"/>
      <c r="AF11" s="142" t="str">
        <f ca="1">IFERROR(VALUE(IF(VLOOKUP($A11,数出表_Excel!$A$6:$T$150,COLUMN()/2+1,FALSE)=0,"",VLOOKUP($A11,数出表_Excel!$A$6:$T$150,COLUMN()/2+1,FALSE))),"")</f>
        <v/>
      </c>
      <c r="AG11" s="138"/>
      <c r="AH11" s="142" t="str">
        <f ca="1">IFERROR(VALUE(IF(VLOOKUP($A11,数出表_Excel!$A$6:$T$150,COLUMN()/2+1,FALSE)=0,"",VLOOKUP($A11,数出表_Excel!$A$6:$T$150,COLUMN()/2+1,FALSE))),"")</f>
        <v/>
      </c>
      <c r="AI11" s="176"/>
      <c r="AJ11" s="143" t="str">
        <f ca="1">IFERROR(VALUE(IF(VLOOKUP($A11,数出表_Excel!$A$6:$T$150,COLUMN()/2+1,FALSE)=0,"",VLOOKUP($A11,数出表_Excel!$A$6:$T$150,COLUMN()/2+1,FALSE))),"")</f>
        <v/>
      </c>
      <c r="AK11" s="138"/>
      <c r="AL11" s="144" t="e">
        <f ca="1">IF(A11&lt;&gt;"",
IF(VLOOKUP($A11,数出表_Excel!$A$6:$T$150,COLUMN()/2+1,FALSE)=0,"",VLOOKUP($A11,数出表_Excel!$A$6:$T$150,COLUMN()/2+1,FALSE)),"")</f>
        <v>#N/A</v>
      </c>
      <c r="AM11" s="224" t="e">
        <f ca="1">数出表_Excel!V11</f>
        <v>#N/A</v>
      </c>
      <c r="AN11" s="225" t="e">
        <f ca="1">数出表_Excel!W11</f>
        <v>#N/A</v>
      </c>
    </row>
    <row r="12" spans="1:40" ht="16.2" customHeight="1" x14ac:dyDescent="0.45">
      <c r="A12" s="184" t="e">
        <f t="array" aca="1" ref="A12" ca="1">IF(OR(COUNTIF(A10,"*10002*"),COUNTIF(A10,"")),"",INDEX(貼り付け用!$A:$A,MATCH(A10,貼り付け用!$A:$A,0)+2,0))</f>
        <v>#N/A</v>
      </c>
      <c r="B12" s="172" t="str">
        <f ca="1">IFERROR(VALUE(IF(VLOOKUP($A12,数出表_Excel!$A$6:$T$150,COLUMN()/2+1,FALSE)=0,"",VLOOKUP($A12,数出表_Excel!$A$6:$T$150,COLUMN()/2+1,FALSE))),"")</f>
        <v/>
      </c>
      <c r="C12" s="137"/>
      <c r="D12" s="172" t="str">
        <f ca="1">IFERROR(VALUE(IF(VLOOKUP($A12,数出表_Excel!$A$6:$T$150,COLUMN()/2+1,FALSE)=0,"",VLOOKUP($A12,数出表_Excel!$A$6:$T$150,COLUMN()/2+1,FALSE))),"")</f>
        <v/>
      </c>
      <c r="E12" s="137"/>
      <c r="F12" s="174" t="str">
        <f ca="1">IFERROR(VALUE(IF(VLOOKUP($A12,数出表_Excel!$A$6:$T$150,COLUMN()/2+1,FALSE)=0,"",VLOOKUP($A12,数出表_Excel!$A$6:$T$150,COLUMN()/2+1,FALSE))),"")</f>
        <v/>
      </c>
      <c r="G12" s="137"/>
      <c r="H12" s="172" t="str">
        <f ca="1">IFERROR(VALUE(IF(VLOOKUP($A12,数出表_Excel!$A$6:$T$150,COLUMN()/2+1,FALSE)=0,"",VLOOKUP($A12,数出表_Excel!$A$6:$T$150,COLUMN()/2+1,FALSE))),"")</f>
        <v/>
      </c>
      <c r="I12" s="137"/>
      <c r="J12" s="172" t="str">
        <f ca="1">IFERROR(VALUE(IF(VLOOKUP($A12,数出表_Excel!$A$6:$T$150,COLUMN()/2+1,FALSE)=0,"",VLOOKUP($A12,数出表_Excel!$A$6:$T$150,COLUMN()/2+1,FALSE))),"")</f>
        <v/>
      </c>
      <c r="K12" s="137"/>
      <c r="L12" s="174" t="str">
        <f ca="1">IFERROR(VALUE(IF(VLOOKUP($A12,数出表_Excel!$A$6:$T$150,COLUMN()/2+1,FALSE)=0,"",VLOOKUP($A12,数出表_Excel!$A$6:$T$150,COLUMN()/2+1,FALSE))),"")</f>
        <v/>
      </c>
      <c r="M12" s="137"/>
      <c r="N12" s="172" t="str">
        <f ca="1">IFERROR(VALUE(IF(VLOOKUP($A12,数出表_Excel!$A$6:$T$150,COLUMN()/2+1,FALSE)=0,"",VLOOKUP($A12,数出表_Excel!$A$6:$T$150,COLUMN()/2+1,FALSE))),"")</f>
        <v/>
      </c>
      <c r="O12" s="137"/>
      <c r="P12" s="172" t="str">
        <f ca="1">IFERROR(VALUE(IF(VLOOKUP($A12,数出表_Excel!$A$6:$T$150,COLUMN()/2+1,FALSE)=0,"",VLOOKUP($A12,数出表_Excel!$A$6:$T$150,COLUMN()/2+1,FALSE))),"")</f>
        <v/>
      </c>
      <c r="Q12" s="137"/>
      <c r="R12" s="172" t="str">
        <f ca="1">IFERROR(VALUE(IF(VLOOKUP($A12,数出表_Excel!$A$6:$T$150,COLUMN()/2+1,FALSE)=0,"",VLOOKUP($A12,数出表_Excel!$A$6:$T$150,COLUMN()/2+1,FALSE))),"")</f>
        <v/>
      </c>
      <c r="S12" s="137"/>
      <c r="T12" s="172" t="str">
        <f ca="1">IFERROR(VALUE(IF(VLOOKUP($A12,数出表_Excel!$A$6:$T$150,COLUMN()/2+1,FALSE)=0,"",VLOOKUP($A12,数出表_Excel!$A$6:$T$150,COLUMN()/2+1,FALSE))),"")</f>
        <v/>
      </c>
      <c r="U12" s="137"/>
      <c r="V12" s="174" t="str">
        <f ca="1">IFERROR(VALUE(IF(VLOOKUP($A12,数出表_Excel!$A$6:$T$150,COLUMN()/2+1,FALSE)=0,"",VLOOKUP($A12,数出表_Excel!$A$6:$T$150,COLUMN()/2+1,FALSE))),"")</f>
        <v/>
      </c>
      <c r="W12" s="137"/>
      <c r="X12" s="174" t="str">
        <f ca="1">IFERROR(VALUE(IF(VLOOKUP($A12,数出表_Excel!$A$6:$T$150,COLUMN()/2+1,FALSE)=0,"",VLOOKUP($A12,数出表_Excel!$A$6:$T$150,COLUMN()/2+1,FALSE))),"")</f>
        <v/>
      </c>
      <c r="Y12" s="137"/>
      <c r="Z12" s="174" t="str">
        <f ca="1">IFERROR(VALUE(IF(VLOOKUP($A12,数出表_Excel!$A$6:$T$150,COLUMN()/2+1,FALSE)=0,"",VLOOKUP($A12,数出表_Excel!$A$6:$T$150,COLUMN()/2+1,FALSE))),"")</f>
        <v/>
      </c>
      <c r="AA12" s="175"/>
      <c r="AB12" s="173" t="str">
        <f ca="1">IFERROR(VALUE(IF(VLOOKUP($A12,数出表_Excel!$A$6:$T$150,COLUMN()/2+1,FALSE)=0,"",VLOOKUP($A12,数出表_Excel!$A$6:$T$150,COLUMN()/2+1,FALSE))),"")</f>
        <v/>
      </c>
      <c r="AC12" s="137"/>
      <c r="AD12" s="174" t="str">
        <f ca="1">IFERROR(VALUE(IF(VLOOKUP($A12,数出表_Excel!$A$6:$T$150,COLUMN()/2+1,FALSE)=0,"",VLOOKUP($A12,数出表_Excel!$A$6:$T$150,COLUMN()/2+1,FALSE))),"")</f>
        <v/>
      </c>
      <c r="AE12" s="137"/>
      <c r="AF12" s="174" t="str">
        <f ca="1">IFERROR(VALUE(IF(VLOOKUP($A12,数出表_Excel!$A$6:$T$150,COLUMN()/2+1,FALSE)=0,"",VLOOKUP($A12,数出表_Excel!$A$6:$T$150,COLUMN()/2+1,FALSE))),"")</f>
        <v/>
      </c>
      <c r="AG12" s="137"/>
      <c r="AH12" s="174" t="str">
        <f ca="1">IFERROR(VALUE(IF(VLOOKUP($A12,数出表_Excel!$A$6:$T$150,COLUMN()/2+1,FALSE)=0,"",VLOOKUP($A12,数出表_Excel!$A$6:$T$150,COLUMN()/2+1,FALSE))),"")</f>
        <v/>
      </c>
      <c r="AI12" s="175"/>
      <c r="AJ12" s="173" t="str">
        <f ca="1">IFERROR(VALUE(IF(VLOOKUP($A12,数出表_Excel!$A$6:$T$150,COLUMN()/2+1,FALSE)=0,"",VLOOKUP($A12,数出表_Excel!$A$6:$T$150,COLUMN()/2+1,FALSE))),"")</f>
        <v/>
      </c>
      <c r="AK12" s="137"/>
      <c r="AL12" s="141" t="e">
        <f ca="1">IF(A12&lt;&gt;"",
IF(VLOOKUP($A12,数出表_Excel!$A$6:$T$150,COLUMN()/2+1,FALSE)=0,"",VLOOKUP($A12,数出表_Excel!$A$6:$T$150,COLUMN()/2+1,FALSE)),"")</f>
        <v>#N/A</v>
      </c>
      <c r="AM12" s="222" t="e">
        <f ca="1">数出表_Excel!V12</f>
        <v>#N/A</v>
      </c>
      <c r="AN12" s="223" t="e">
        <f ca="1">数出表_Excel!W12</f>
        <v>#N/A</v>
      </c>
    </row>
    <row r="13" spans="1:40" ht="16.2" customHeight="1" x14ac:dyDescent="0.45">
      <c r="A13" s="185" t="e">
        <f t="array" aca="1" ref="A13" ca="1">IF(OR(COUNTIF(A11,"*1000*"),COUNTIF(A11,"")),"",INDEX(貼り付け用!$A:$A,MATCH(A11,貼り付け用!$A:$A,0)+2,0))</f>
        <v>#N/A</v>
      </c>
      <c r="B13" s="138" t="str">
        <f ca="1">IFERROR(VALUE(IF(VLOOKUP($A13,数出表_Excel!$A$6:$T$150,COLUMN()/2+1,FALSE)=0,"",VLOOKUP($A13,数出表_Excel!$A$6:$T$150,COLUMN()/2+1,FALSE))),"")</f>
        <v/>
      </c>
      <c r="C13" s="138"/>
      <c r="D13" s="138" t="str">
        <f ca="1">IFERROR(VALUE(IF(VLOOKUP($A13,数出表_Excel!$A$6:$T$150,COLUMN()/2+1,FALSE)=0,"",VLOOKUP($A13,数出表_Excel!$A$6:$T$150,COLUMN()/2+1,FALSE))),"")</f>
        <v/>
      </c>
      <c r="E13" s="138"/>
      <c r="F13" s="142" t="str">
        <f ca="1">IFERROR(VALUE(IF(VLOOKUP($A13,数出表_Excel!$A$6:$T$150,COLUMN()/2+1,FALSE)=0,"",VLOOKUP($A13,数出表_Excel!$A$6:$T$150,COLUMN()/2+1,FALSE))),"")</f>
        <v/>
      </c>
      <c r="G13" s="138"/>
      <c r="H13" s="138" t="str">
        <f ca="1">IFERROR(VALUE(IF(VLOOKUP($A13,数出表_Excel!$A$6:$T$150,COLUMN()/2+1,FALSE)=0,"",VLOOKUP($A13,数出表_Excel!$A$6:$T$150,COLUMN()/2+1,FALSE))),"")</f>
        <v/>
      </c>
      <c r="I13" s="138"/>
      <c r="J13" s="138" t="str">
        <f ca="1">IFERROR(VALUE(IF(VLOOKUP($A13,数出表_Excel!$A$6:$T$150,COLUMN()/2+1,FALSE)=0,"",VLOOKUP($A13,数出表_Excel!$A$6:$T$150,COLUMN()/2+1,FALSE))),"")</f>
        <v/>
      </c>
      <c r="K13" s="138"/>
      <c r="L13" s="142" t="str">
        <f ca="1">IFERROR(VALUE(IF(VLOOKUP($A13,数出表_Excel!$A$6:$T$150,COLUMN()/2+1,FALSE)=0,"",VLOOKUP($A13,数出表_Excel!$A$6:$T$150,COLUMN()/2+1,FALSE))),"")</f>
        <v/>
      </c>
      <c r="M13" s="138"/>
      <c r="N13" s="138" t="str">
        <f ca="1">IFERROR(VALUE(IF(VLOOKUP($A13,数出表_Excel!$A$6:$T$150,COLUMN()/2+1,FALSE)=0,"",VLOOKUP($A13,数出表_Excel!$A$6:$T$150,COLUMN()/2+1,FALSE))),"")</f>
        <v/>
      </c>
      <c r="O13" s="138"/>
      <c r="P13" s="138" t="str">
        <f ca="1">IFERROR(VALUE(IF(VLOOKUP($A13,数出表_Excel!$A$6:$T$150,COLUMN()/2+1,FALSE)=0,"",VLOOKUP($A13,数出表_Excel!$A$6:$T$150,COLUMN()/2+1,FALSE))),"")</f>
        <v/>
      </c>
      <c r="Q13" s="138"/>
      <c r="R13" s="138" t="str">
        <f ca="1">IFERROR(VALUE(IF(VLOOKUP($A13,数出表_Excel!$A$6:$T$150,COLUMN()/2+1,FALSE)=0,"",VLOOKUP($A13,数出表_Excel!$A$6:$T$150,COLUMN()/2+1,FALSE))),"")</f>
        <v/>
      </c>
      <c r="S13" s="138"/>
      <c r="T13" s="138" t="str">
        <f ca="1">IFERROR(VALUE(IF(VLOOKUP($A13,数出表_Excel!$A$6:$T$150,COLUMN()/2+1,FALSE)=0,"",VLOOKUP($A13,数出表_Excel!$A$6:$T$150,COLUMN()/2+1,FALSE))),"")</f>
        <v/>
      </c>
      <c r="U13" s="138"/>
      <c r="V13" s="142" t="str">
        <f ca="1">IFERROR(VALUE(IF(VLOOKUP($A13,数出表_Excel!$A$6:$T$150,COLUMN()/2+1,FALSE)=0,"",VLOOKUP($A13,数出表_Excel!$A$6:$T$150,COLUMN()/2+1,FALSE))),"")</f>
        <v/>
      </c>
      <c r="W13" s="138"/>
      <c r="X13" s="142" t="str">
        <f ca="1">IFERROR(VALUE(IF(VLOOKUP($A13,数出表_Excel!$A$6:$T$150,COLUMN()/2+1,FALSE)=0,"",VLOOKUP($A13,数出表_Excel!$A$6:$T$150,COLUMN()/2+1,FALSE))),"")</f>
        <v/>
      </c>
      <c r="Y13" s="138"/>
      <c r="Z13" s="142" t="str">
        <f ca="1">IFERROR(VALUE(IF(VLOOKUP($A13,数出表_Excel!$A$6:$T$150,COLUMN()/2+1,FALSE)=0,"",VLOOKUP($A13,数出表_Excel!$A$6:$T$150,COLUMN()/2+1,FALSE))),"")</f>
        <v/>
      </c>
      <c r="AA13" s="176"/>
      <c r="AB13" s="143" t="str">
        <f ca="1">IFERROR(VALUE(IF(VLOOKUP($A13,数出表_Excel!$A$6:$T$150,COLUMN()/2+1,FALSE)=0,"",VLOOKUP($A13,数出表_Excel!$A$6:$T$150,COLUMN()/2+1,FALSE))),"")</f>
        <v/>
      </c>
      <c r="AC13" s="138"/>
      <c r="AD13" s="142" t="str">
        <f ca="1">IFERROR(VALUE(IF(VLOOKUP($A13,数出表_Excel!$A$6:$T$150,COLUMN()/2+1,FALSE)=0,"",VLOOKUP($A13,数出表_Excel!$A$6:$T$150,COLUMN()/2+1,FALSE))),"")</f>
        <v/>
      </c>
      <c r="AE13" s="138"/>
      <c r="AF13" s="142" t="str">
        <f ca="1">IFERROR(VALUE(IF(VLOOKUP($A13,数出表_Excel!$A$6:$T$150,COLUMN()/2+1,FALSE)=0,"",VLOOKUP($A13,数出表_Excel!$A$6:$T$150,COLUMN()/2+1,FALSE))),"")</f>
        <v/>
      </c>
      <c r="AG13" s="138"/>
      <c r="AH13" s="142" t="str">
        <f ca="1">IFERROR(VALUE(IF(VLOOKUP($A13,数出表_Excel!$A$6:$T$150,COLUMN()/2+1,FALSE)=0,"",VLOOKUP($A13,数出表_Excel!$A$6:$T$150,COLUMN()/2+1,FALSE))),"")</f>
        <v/>
      </c>
      <c r="AI13" s="176"/>
      <c r="AJ13" s="143" t="str">
        <f ca="1">IFERROR(VALUE(IF(VLOOKUP($A13,数出表_Excel!$A$6:$T$150,COLUMN()/2+1,FALSE)=0,"",VLOOKUP($A13,数出表_Excel!$A$6:$T$150,COLUMN()/2+1,FALSE))),"")</f>
        <v/>
      </c>
      <c r="AK13" s="138"/>
      <c r="AL13" s="144" t="e">
        <f ca="1">IF(A13&lt;&gt;"",
IF(VLOOKUP($A13,数出表_Excel!$A$6:$T$150,COLUMN()/2+1,FALSE)=0,"",VLOOKUP($A13,数出表_Excel!$A$6:$T$150,COLUMN()/2+1,FALSE)),"")</f>
        <v>#N/A</v>
      </c>
      <c r="AM13" s="224" t="e">
        <f ca="1">数出表_Excel!V13</f>
        <v>#N/A</v>
      </c>
      <c r="AN13" s="225" t="e">
        <f ca="1">数出表_Excel!W13</f>
        <v>#N/A</v>
      </c>
    </row>
    <row r="14" spans="1:40" ht="16.2" customHeight="1" x14ac:dyDescent="0.45">
      <c r="A14" s="184" t="e">
        <f t="array" aca="1" ref="A14" ca="1">IF(OR(COUNTIF(A12,"*10002*"),COUNTIF(A12,"")),"",INDEX(貼り付け用!$A:$A,MATCH(A12,貼り付け用!$A:$A,0)+2,0))</f>
        <v>#N/A</v>
      </c>
      <c r="B14" s="172" t="str">
        <f ca="1">IFERROR(VALUE(IF(VLOOKUP($A14,数出表_Excel!$A$6:$T$150,COLUMN()/2+1,FALSE)=0,"",VLOOKUP($A14,数出表_Excel!$A$6:$T$150,COLUMN()/2+1,FALSE))),"")</f>
        <v/>
      </c>
      <c r="C14" s="137"/>
      <c r="D14" s="172" t="str">
        <f ca="1">IFERROR(VALUE(IF(VLOOKUP($A14,数出表_Excel!$A$6:$T$150,COLUMN()/2+1,FALSE)=0,"",VLOOKUP($A14,数出表_Excel!$A$6:$T$150,COLUMN()/2+1,FALSE))),"")</f>
        <v/>
      </c>
      <c r="E14" s="137"/>
      <c r="F14" s="174" t="str">
        <f ca="1">IFERROR(VALUE(IF(VLOOKUP($A14,数出表_Excel!$A$6:$T$150,COLUMN()/2+1,FALSE)=0,"",VLOOKUP($A14,数出表_Excel!$A$6:$T$150,COLUMN()/2+1,FALSE))),"")</f>
        <v/>
      </c>
      <c r="G14" s="137"/>
      <c r="H14" s="172" t="str">
        <f ca="1">IFERROR(VALUE(IF(VLOOKUP($A14,数出表_Excel!$A$6:$T$150,COLUMN()/2+1,FALSE)=0,"",VLOOKUP($A14,数出表_Excel!$A$6:$T$150,COLUMN()/2+1,FALSE))),"")</f>
        <v/>
      </c>
      <c r="I14" s="137"/>
      <c r="J14" s="172" t="str">
        <f ca="1">IFERROR(VALUE(IF(VLOOKUP($A14,数出表_Excel!$A$6:$T$150,COLUMN()/2+1,FALSE)=0,"",VLOOKUP($A14,数出表_Excel!$A$6:$T$150,COLUMN()/2+1,FALSE))),"")</f>
        <v/>
      </c>
      <c r="K14" s="137"/>
      <c r="L14" s="174" t="str">
        <f ca="1">IFERROR(VALUE(IF(VLOOKUP($A14,数出表_Excel!$A$6:$T$150,COLUMN()/2+1,FALSE)=0,"",VLOOKUP($A14,数出表_Excel!$A$6:$T$150,COLUMN()/2+1,FALSE))),"")</f>
        <v/>
      </c>
      <c r="M14" s="137"/>
      <c r="N14" s="172" t="str">
        <f ca="1">IFERROR(VALUE(IF(VLOOKUP($A14,数出表_Excel!$A$6:$T$150,COLUMN()/2+1,FALSE)=0,"",VLOOKUP($A14,数出表_Excel!$A$6:$T$150,COLUMN()/2+1,FALSE))),"")</f>
        <v/>
      </c>
      <c r="O14" s="137"/>
      <c r="P14" s="172" t="str">
        <f ca="1">IFERROR(VALUE(IF(VLOOKUP($A14,数出表_Excel!$A$6:$T$150,COLUMN()/2+1,FALSE)=0,"",VLOOKUP($A14,数出表_Excel!$A$6:$T$150,COLUMN()/2+1,FALSE))),"")</f>
        <v/>
      </c>
      <c r="Q14" s="137"/>
      <c r="R14" s="172" t="str">
        <f ca="1">IFERROR(VALUE(IF(VLOOKUP($A14,数出表_Excel!$A$6:$T$150,COLUMN()/2+1,FALSE)=0,"",VLOOKUP($A14,数出表_Excel!$A$6:$T$150,COLUMN()/2+1,FALSE))),"")</f>
        <v/>
      </c>
      <c r="S14" s="137"/>
      <c r="T14" s="172" t="str">
        <f ca="1">IFERROR(VALUE(IF(VLOOKUP($A14,数出表_Excel!$A$6:$T$150,COLUMN()/2+1,FALSE)=0,"",VLOOKUP($A14,数出表_Excel!$A$6:$T$150,COLUMN()/2+1,FALSE))),"")</f>
        <v/>
      </c>
      <c r="U14" s="137"/>
      <c r="V14" s="174" t="str">
        <f ca="1">IFERROR(VALUE(IF(VLOOKUP($A14,数出表_Excel!$A$6:$T$150,COLUMN()/2+1,FALSE)=0,"",VLOOKUP($A14,数出表_Excel!$A$6:$T$150,COLUMN()/2+1,FALSE))),"")</f>
        <v/>
      </c>
      <c r="W14" s="137"/>
      <c r="X14" s="174" t="str">
        <f ca="1">IFERROR(VALUE(IF(VLOOKUP($A14,数出表_Excel!$A$6:$T$150,COLUMN()/2+1,FALSE)=0,"",VLOOKUP($A14,数出表_Excel!$A$6:$T$150,COLUMN()/2+1,FALSE))),"")</f>
        <v/>
      </c>
      <c r="Y14" s="137"/>
      <c r="Z14" s="174" t="str">
        <f ca="1">IFERROR(VALUE(IF(VLOOKUP($A14,数出表_Excel!$A$6:$T$150,COLUMN()/2+1,FALSE)=0,"",VLOOKUP($A14,数出表_Excel!$A$6:$T$150,COLUMN()/2+1,FALSE))),"")</f>
        <v/>
      </c>
      <c r="AA14" s="175"/>
      <c r="AB14" s="173" t="str">
        <f ca="1">IFERROR(VALUE(IF(VLOOKUP($A14,数出表_Excel!$A$6:$T$150,COLUMN()/2+1,FALSE)=0,"",VLOOKUP($A14,数出表_Excel!$A$6:$T$150,COLUMN()/2+1,FALSE))),"")</f>
        <v/>
      </c>
      <c r="AC14" s="137"/>
      <c r="AD14" s="174" t="str">
        <f ca="1">IFERROR(VALUE(IF(VLOOKUP($A14,数出表_Excel!$A$6:$T$150,COLUMN()/2+1,FALSE)=0,"",VLOOKUP($A14,数出表_Excel!$A$6:$T$150,COLUMN()/2+1,FALSE))),"")</f>
        <v/>
      </c>
      <c r="AE14" s="137"/>
      <c r="AF14" s="174" t="str">
        <f ca="1">IFERROR(VALUE(IF(VLOOKUP($A14,数出表_Excel!$A$6:$T$150,COLUMN()/2+1,FALSE)=0,"",VLOOKUP($A14,数出表_Excel!$A$6:$T$150,COLUMN()/2+1,FALSE))),"")</f>
        <v/>
      </c>
      <c r="AG14" s="137"/>
      <c r="AH14" s="174" t="str">
        <f ca="1">IFERROR(VALUE(IF(VLOOKUP($A14,数出表_Excel!$A$6:$T$150,COLUMN()/2+1,FALSE)=0,"",VLOOKUP($A14,数出表_Excel!$A$6:$T$150,COLUMN()/2+1,FALSE))),"")</f>
        <v/>
      </c>
      <c r="AI14" s="175"/>
      <c r="AJ14" s="173" t="str">
        <f ca="1">IFERROR(VALUE(IF(VLOOKUP($A14,数出表_Excel!$A$6:$T$150,COLUMN()/2+1,FALSE)=0,"",VLOOKUP($A14,数出表_Excel!$A$6:$T$150,COLUMN()/2+1,FALSE))),"")</f>
        <v/>
      </c>
      <c r="AK14" s="137"/>
      <c r="AL14" s="141" t="e">
        <f ca="1">IF(A14&lt;&gt;"",
IF(VLOOKUP($A14,数出表_Excel!$A$6:$T$150,COLUMN()/2+1,FALSE)=0,"",VLOOKUP($A14,数出表_Excel!$A$6:$T$150,COLUMN()/2+1,FALSE)),"")</f>
        <v>#N/A</v>
      </c>
      <c r="AM14" s="222" t="e">
        <f ca="1">数出表_Excel!V14</f>
        <v>#N/A</v>
      </c>
      <c r="AN14" s="223" t="e">
        <f ca="1">数出表_Excel!W14</f>
        <v>#N/A</v>
      </c>
    </row>
    <row r="15" spans="1:40" ht="16.2" customHeight="1" x14ac:dyDescent="0.45">
      <c r="A15" s="185" t="e">
        <f t="array" aca="1" ref="A15" ca="1">IF(OR(COUNTIF(A13,"*1000*"),COUNTIF(A13,"")),"",INDEX(貼り付け用!$A:$A,MATCH(A13,貼り付け用!$A:$A,0)+2,0))</f>
        <v>#N/A</v>
      </c>
      <c r="B15" s="138" t="str">
        <f ca="1">IFERROR(VALUE(IF(VLOOKUP($A15,数出表_Excel!$A$6:$T$150,COLUMN()/2+1,FALSE)=0,"",VLOOKUP($A15,数出表_Excel!$A$6:$T$150,COLUMN()/2+1,FALSE))),"")</f>
        <v/>
      </c>
      <c r="C15" s="138"/>
      <c r="D15" s="138" t="str">
        <f ca="1">IFERROR(VALUE(IF(VLOOKUP($A15,数出表_Excel!$A$6:$T$150,COLUMN()/2+1,FALSE)=0,"",VLOOKUP($A15,数出表_Excel!$A$6:$T$150,COLUMN()/2+1,FALSE))),"")</f>
        <v/>
      </c>
      <c r="E15" s="138"/>
      <c r="F15" s="142" t="str">
        <f ca="1">IFERROR(VALUE(IF(VLOOKUP($A15,数出表_Excel!$A$6:$T$150,COLUMN()/2+1,FALSE)=0,"",VLOOKUP($A15,数出表_Excel!$A$6:$T$150,COLUMN()/2+1,FALSE))),"")</f>
        <v/>
      </c>
      <c r="G15" s="138"/>
      <c r="H15" s="138" t="str">
        <f ca="1">IFERROR(VALUE(IF(VLOOKUP($A15,数出表_Excel!$A$6:$T$150,COLUMN()/2+1,FALSE)=0,"",VLOOKUP($A15,数出表_Excel!$A$6:$T$150,COLUMN()/2+1,FALSE))),"")</f>
        <v/>
      </c>
      <c r="I15" s="138"/>
      <c r="J15" s="138" t="str">
        <f ca="1">IFERROR(VALUE(IF(VLOOKUP($A15,数出表_Excel!$A$6:$T$150,COLUMN()/2+1,FALSE)=0,"",VLOOKUP($A15,数出表_Excel!$A$6:$T$150,COLUMN()/2+1,FALSE))),"")</f>
        <v/>
      </c>
      <c r="K15" s="138"/>
      <c r="L15" s="142" t="str">
        <f ca="1">IFERROR(VALUE(IF(VLOOKUP($A15,数出表_Excel!$A$6:$T$150,COLUMN()/2+1,FALSE)=0,"",VLOOKUP($A15,数出表_Excel!$A$6:$T$150,COLUMN()/2+1,FALSE))),"")</f>
        <v/>
      </c>
      <c r="M15" s="138"/>
      <c r="N15" s="138" t="str">
        <f ca="1">IFERROR(VALUE(IF(VLOOKUP($A15,数出表_Excel!$A$6:$T$150,COLUMN()/2+1,FALSE)=0,"",VLOOKUP($A15,数出表_Excel!$A$6:$T$150,COLUMN()/2+1,FALSE))),"")</f>
        <v/>
      </c>
      <c r="O15" s="138"/>
      <c r="P15" s="138" t="str">
        <f ca="1">IFERROR(VALUE(IF(VLOOKUP($A15,数出表_Excel!$A$6:$T$150,COLUMN()/2+1,FALSE)=0,"",VLOOKUP($A15,数出表_Excel!$A$6:$T$150,COLUMN()/2+1,FALSE))),"")</f>
        <v/>
      </c>
      <c r="Q15" s="138"/>
      <c r="R15" s="138" t="str">
        <f ca="1">IFERROR(VALUE(IF(VLOOKUP($A15,数出表_Excel!$A$6:$T$150,COLUMN()/2+1,FALSE)=0,"",VLOOKUP($A15,数出表_Excel!$A$6:$T$150,COLUMN()/2+1,FALSE))),"")</f>
        <v/>
      </c>
      <c r="S15" s="138"/>
      <c r="T15" s="138" t="str">
        <f ca="1">IFERROR(VALUE(IF(VLOOKUP($A15,数出表_Excel!$A$6:$T$150,COLUMN()/2+1,FALSE)=0,"",VLOOKUP($A15,数出表_Excel!$A$6:$T$150,COLUMN()/2+1,FALSE))),"")</f>
        <v/>
      </c>
      <c r="U15" s="138"/>
      <c r="V15" s="142" t="str">
        <f ca="1">IFERROR(VALUE(IF(VLOOKUP($A15,数出表_Excel!$A$6:$T$150,COLUMN()/2+1,FALSE)=0,"",VLOOKUP($A15,数出表_Excel!$A$6:$T$150,COLUMN()/2+1,FALSE))),"")</f>
        <v/>
      </c>
      <c r="W15" s="138"/>
      <c r="X15" s="142" t="str">
        <f ca="1">IFERROR(VALUE(IF(VLOOKUP($A15,数出表_Excel!$A$6:$T$150,COLUMN()/2+1,FALSE)=0,"",VLOOKUP($A15,数出表_Excel!$A$6:$T$150,COLUMN()/2+1,FALSE))),"")</f>
        <v/>
      </c>
      <c r="Y15" s="138"/>
      <c r="Z15" s="142" t="str">
        <f ca="1">IFERROR(VALUE(IF(VLOOKUP($A15,数出表_Excel!$A$6:$T$150,COLUMN()/2+1,FALSE)=0,"",VLOOKUP($A15,数出表_Excel!$A$6:$T$150,COLUMN()/2+1,FALSE))),"")</f>
        <v/>
      </c>
      <c r="AA15" s="176"/>
      <c r="AB15" s="143" t="str">
        <f ca="1">IFERROR(VALUE(IF(VLOOKUP($A15,数出表_Excel!$A$6:$T$150,COLUMN()/2+1,FALSE)=0,"",VLOOKUP($A15,数出表_Excel!$A$6:$T$150,COLUMN()/2+1,FALSE))),"")</f>
        <v/>
      </c>
      <c r="AC15" s="138"/>
      <c r="AD15" s="142" t="str">
        <f ca="1">IFERROR(VALUE(IF(VLOOKUP($A15,数出表_Excel!$A$6:$T$150,COLUMN()/2+1,FALSE)=0,"",VLOOKUP($A15,数出表_Excel!$A$6:$T$150,COLUMN()/2+1,FALSE))),"")</f>
        <v/>
      </c>
      <c r="AE15" s="138"/>
      <c r="AF15" s="142" t="str">
        <f ca="1">IFERROR(VALUE(IF(VLOOKUP($A15,数出表_Excel!$A$6:$T$150,COLUMN()/2+1,FALSE)=0,"",VLOOKUP($A15,数出表_Excel!$A$6:$T$150,COLUMN()/2+1,FALSE))),"")</f>
        <v/>
      </c>
      <c r="AG15" s="138"/>
      <c r="AH15" s="142" t="str">
        <f ca="1">IFERROR(VALUE(IF(VLOOKUP($A15,数出表_Excel!$A$6:$T$150,COLUMN()/2+1,FALSE)=0,"",VLOOKUP($A15,数出表_Excel!$A$6:$T$150,COLUMN()/2+1,FALSE))),"")</f>
        <v/>
      </c>
      <c r="AI15" s="176"/>
      <c r="AJ15" s="143" t="str">
        <f ca="1">IFERROR(VALUE(IF(VLOOKUP($A15,数出表_Excel!$A$6:$T$150,COLUMN()/2+1,FALSE)=0,"",VLOOKUP($A15,数出表_Excel!$A$6:$T$150,COLUMN()/2+1,FALSE))),"")</f>
        <v/>
      </c>
      <c r="AK15" s="138"/>
      <c r="AL15" s="144" t="e">
        <f ca="1">IF(A15&lt;&gt;"",
IF(VLOOKUP($A15,数出表_Excel!$A$6:$T$150,COLUMN()/2+1,FALSE)=0,"",VLOOKUP($A15,数出表_Excel!$A$6:$T$150,COLUMN()/2+1,FALSE)),"")</f>
        <v>#N/A</v>
      </c>
      <c r="AM15" s="224" t="e">
        <f ca="1">数出表_Excel!V15</f>
        <v>#N/A</v>
      </c>
      <c r="AN15" s="225" t="e">
        <f ca="1">数出表_Excel!W15</f>
        <v>#N/A</v>
      </c>
    </row>
    <row r="16" spans="1:40" ht="16.2" customHeight="1" x14ac:dyDescent="0.45">
      <c r="A16" s="184" t="e">
        <f t="array" aca="1" ref="A16" ca="1">IF(OR(COUNTIF(A14,"*10002*"),COUNTIF(A14,"")),"",INDEX(貼り付け用!$A:$A,MATCH(A14,貼り付け用!$A:$A,0)+2,0))</f>
        <v>#N/A</v>
      </c>
      <c r="B16" s="172" t="str">
        <f ca="1">IFERROR(VALUE(IF(VLOOKUP($A16,数出表_Excel!$A$6:$T$150,COLUMN()/2+1,FALSE)=0,"",VLOOKUP($A16,数出表_Excel!$A$6:$T$150,COLUMN()/2+1,FALSE))),"")</f>
        <v/>
      </c>
      <c r="C16" s="137"/>
      <c r="D16" s="172" t="str">
        <f ca="1">IFERROR(VALUE(IF(VLOOKUP($A16,数出表_Excel!$A$6:$T$150,COLUMN()/2+1,FALSE)=0,"",VLOOKUP($A16,数出表_Excel!$A$6:$T$150,COLUMN()/2+1,FALSE))),"")</f>
        <v/>
      </c>
      <c r="E16" s="137"/>
      <c r="F16" s="174" t="str">
        <f ca="1">IFERROR(VALUE(IF(VLOOKUP($A16,数出表_Excel!$A$6:$T$150,COLUMN()/2+1,FALSE)=0,"",VLOOKUP($A16,数出表_Excel!$A$6:$T$150,COLUMN()/2+1,FALSE))),"")</f>
        <v/>
      </c>
      <c r="G16" s="137"/>
      <c r="H16" s="172" t="str">
        <f ca="1">IFERROR(VALUE(IF(VLOOKUP($A16,数出表_Excel!$A$6:$T$150,COLUMN()/2+1,FALSE)=0,"",VLOOKUP($A16,数出表_Excel!$A$6:$T$150,COLUMN()/2+1,FALSE))),"")</f>
        <v/>
      </c>
      <c r="I16" s="137"/>
      <c r="J16" s="172" t="str">
        <f ca="1">IFERROR(VALUE(IF(VLOOKUP($A16,数出表_Excel!$A$6:$T$150,COLUMN()/2+1,FALSE)=0,"",VLOOKUP($A16,数出表_Excel!$A$6:$T$150,COLUMN()/2+1,FALSE))),"")</f>
        <v/>
      </c>
      <c r="K16" s="137"/>
      <c r="L16" s="174" t="str">
        <f ca="1">IFERROR(VALUE(IF(VLOOKUP($A16,数出表_Excel!$A$6:$T$150,COLUMN()/2+1,FALSE)=0,"",VLOOKUP($A16,数出表_Excel!$A$6:$T$150,COLUMN()/2+1,FALSE))),"")</f>
        <v/>
      </c>
      <c r="M16" s="137"/>
      <c r="N16" s="172" t="str">
        <f ca="1">IFERROR(VALUE(IF(VLOOKUP($A16,数出表_Excel!$A$6:$T$150,COLUMN()/2+1,FALSE)=0,"",VLOOKUP($A16,数出表_Excel!$A$6:$T$150,COLUMN()/2+1,FALSE))),"")</f>
        <v/>
      </c>
      <c r="O16" s="137"/>
      <c r="P16" s="172" t="str">
        <f ca="1">IFERROR(VALUE(IF(VLOOKUP($A16,数出表_Excel!$A$6:$T$150,COLUMN()/2+1,FALSE)=0,"",VLOOKUP($A16,数出表_Excel!$A$6:$T$150,COLUMN()/2+1,FALSE))),"")</f>
        <v/>
      </c>
      <c r="Q16" s="137"/>
      <c r="R16" s="172" t="str">
        <f ca="1">IFERROR(VALUE(IF(VLOOKUP($A16,数出表_Excel!$A$6:$T$150,COLUMN()/2+1,FALSE)=0,"",VLOOKUP($A16,数出表_Excel!$A$6:$T$150,COLUMN()/2+1,FALSE))),"")</f>
        <v/>
      </c>
      <c r="S16" s="137"/>
      <c r="T16" s="172" t="str">
        <f ca="1">IFERROR(VALUE(IF(VLOOKUP($A16,数出表_Excel!$A$6:$T$150,COLUMN()/2+1,FALSE)=0,"",VLOOKUP($A16,数出表_Excel!$A$6:$T$150,COLUMN()/2+1,FALSE))),"")</f>
        <v/>
      </c>
      <c r="U16" s="137"/>
      <c r="V16" s="174" t="str">
        <f ca="1">IFERROR(VALUE(IF(VLOOKUP($A16,数出表_Excel!$A$6:$T$150,COLUMN()/2+1,FALSE)=0,"",VLOOKUP($A16,数出表_Excel!$A$6:$T$150,COLUMN()/2+1,FALSE))),"")</f>
        <v/>
      </c>
      <c r="W16" s="137"/>
      <c r="X16" s="174" t="str">
        <f ca="1">IFERROR(VALUE(IF(VLOOKUP($A16,数出表_Excel!$A$6:$T$150,COLUMN()/2+1,FALSE)=0,"",VLOOKUP($A16,数出表_Excel!$A$6:$T$150,COLUMN()/2+1,FALSE))),"")</f>
        <v/>
      </c>
      <c r="Y16" s="137"/>
      <c r="Z16" s="174" t="str">
        <f ca="1">IFERROR(VALUE(IF(VLOOKUP($A16,数出表_Excel!$A$6:$T$150,COLUMN()/2+1,FALSE)=0,"",VLOOKUP($A16,数出表_Excel!$A$6:$T$150,COLUMN()/2+1,FALSE))),"")</f>
        <v/>
      </c>
      <c r="AA16" s="175"/>
      <c r="AB16" s="173" t="str">
        <f ca="1">IFERROR(VALUE(IF(VLOOKUP($A16,数出表_Excel!$A$6:$T$150,COLUMN()/2+1,FALSE)=0,"",VLOOKUP($A16,数出表_Excel!$A$6:$T$150,COLUMN()/2+1,FALSE))),"")</f>
        <v/>
      </c>
      <c r="AC16" s="137"/>
      <c r="AD16" s="174" t="str">
        <f ca="1">IFERROR(VALUE(IF(VLOOKUP($A16,数出表_Excel!$A$6:$T$150,COLUMN()/2+1,FALSE)=0,"",VLOOKUP($A16,数出表_Excel!$A$6:$T$150,COLUMN()/2+1,FALSE))),"")</f>
        <v/>
      </c>
      <c r="AE16" s="137"/>
      <c r="AF16" s="174" t="str">
        <f ca="1">IFERROR(VALUE(IF(VLOOKUP($A16,数出表_Excel!$A$6:$T$150,COLUMN()/2+1,FALSE)=0,"",VLOOKUP($A16,数出表_Excel!$A$6:$T$150,COLUMN()/2+1,FALSE))),"")</f>
        <v/>
      </c>
      <c r="AG16" s="137"/>
      <c r="AH16" s="174" t="str">
        <f ca="1">IFERROR(VALUE(IF(VLOOKUP($A16,数出表_Excel!$A$6:$T$150,COLUMN()/2+1,FALSE)=0,"",VLOOKUP($A16,数出表_Excel!$A$6:$T$150,COLUMN()/2+1,FALSE))),"")</f>
        <v/>
      </c>
      <c r="AI16" s="175"/>
      <c r="AJ16" s="173" t="str">
        <f ca="1">IFERROR(VALUE(IF(VLOOKUP($A16,数出表_Excel!$A$6:$T$150,COLUMN()/2+1,FALSE)=0,"",VLOOKUP($A16,数出表_Excel!$A$6:$T$150,COLUMN()/2+1,FALSE))),"")</f>
        <v/>
      </c>
      <c r="AK16" s="137"/>
      <c r="AL16" s="141" t="e">
        <f ca="1">IF(A16&lt;&gt;"",
IF(VLOOKUP($A16,数出表_Excel!$A$6:$T$150,COLUMN()/2+1,FALSE)=0,"",VLOOKUP($A16,数出表_Excel!$A$6:$T$150,COLUMN()/2+1,FALSE)),"")</f>
        <v>#N/A</v>
      </c>
      <c r="AM16" s="222" t="e">
        <f ca="1">数出表_Excel!V16</f>
        <v>#N/A</v>
      </c>
      <c r="AN16" s="223" t="e">
        <f ca="1">数出表_Excel!W16</f>
        <v>#N/A</v>
      </c>
    </row>
    <row r="17" spans="1:40" ht="16.2" customHeight="1" x14ac:dyDescent="0.45">
      <c r="A17" s="185" t="e">
        <f t="array" aca="1" ref="A17" ca="1">IF(OR(COUNTIF(A15,"*1000*"),COUNTIF(A15,"")),"",INDEX(貼り付け用!$A:$A,MATCH(A15,貼り付け用!$A:$A,0)+2,0))</f>
        <v>#N/A</v>
      </c>
      <c r="B17" s="138" t="str">
        <f ca="1">IFERROR(VALUE(IF(VLOOKUP($A17,数出表_Excel!$A$6:$T$150,COLUMN()/2+1,FALSE)=0,"",VLOOKUP($A17,数出表_Excel!$A$6:$T$150,COLUMN()/2+1,FALSE))),"")</f>
        <v/>
      </c>
      <c r="C17" s="138"/>
      <c r="D17" s="138" t="str">
        <f ca="1">IFERROR(VALUE(IF(VLOOKUP($A17,数出表_Excel!$A$6:$T$150,COLUMN()/2+1,FALSE)=0,"",VLOOKUP($A17,数出表_Excel!$A$6:$T$150,COLUMN()/2+1,FALSE))),"")</f>
        <v/>
      </c>
      <c r="E17" s="138"/>
      <c r="F17" s="142" t="str">
        <f ca="1">IFERROR(VALUE(IF(VLOOKUP($A17,数出表_Excel!$A$6:$T$150,COLUMN()/2+1,FALSE)=0,"",VLOOKUP($A17,数出表_Excel!$A$6:$T$150,COLUMN()/2+1,FALSE))),"")</f>
        <v/>
      </c>
      <c r="G17" s="138"/>
      <c r="H17" s="138" t="str">
        <f ca="1">IFERROR(VALUE(IF(VLOOKUP($A17,数出表_Excel!$A$6:$T$150,COLUMN()/2+1,FALSE)=0,"",VLOOKUP($A17,数出表_Excel!$A$6:$T$150,COLUMN()/2+1,FALSE))),"")</f>
        <v/>
      </c>
      <c r="I17" s="138"/>
      <c r="J17" s="138" t="str">
        <f ca="1">IFERROR(VALUE(IF(VLOOKUP($A17,数出表_Excel!$A$6:$T$150,COLUMN()/2+1,FALSE)=0,"",VLOOKUP($A17,数出表_Excel!$A$6:$T$150,COLUMN()/2+1,FALSE))),"")</f>
        <v/>
      </c>
      <c r="K17" s="138"/>
      <c r="L17" s="142" t="str">
        <f ca="1">IFERROR(VALUE(IF(VLOOKUP($A17,数出表_Excel!$A$6:$T$150,COLUMN()/2+1,FALSE)=0,"",VLOOKUP($A17,数出表_Excel!$A$6:$T$150,COLUMN()/2+1,FALSE))),"")</f>
        <v/>
      </c>
      <c r="M17" s="138"/>
      <c r="N17" s="138" t="str">
        <f ca="1">IFERROR(VALUE(IF(VLOOKUP($A17,数出表_Excel!$A$6:$T$150,COLUMN()/2+1,FALSE)=0,"",VLOOKUP($A17,数出表_Excel!$A$6:$T$150,COLUMN()/2+1,FALSE))),"")</f>
        <v/>
      </c>
      <c r="O17" s="138"/>
      <c r="P17" s="138" t="str">
        <f ca="1">IFERROR(VALUE(IF(VLOOKUP($A17,数出表_Excel!$A$6:$T$150,COLUMN()/2+1,FALSE)=0,"",VLOOKUP($A17,数出表_Excel!$A$6:$T$150,COLUMN()/2+1,FALSE))),"")</f>
        <v/>
      </c>
      <c r="Q17" s="138"/>
      <c r="R17" s="138" t="str">
        <f ca="1">IFERROR(VALUE(IF(VLOOKUP($A17,数出表_Excel!$A$6:$T$150,COLUMN()/2+1,FALSE)=0,"",VLOOKUP($A17,数出表_Excel!$A$6:$T$150,COLUMN()/2+1,FALSE))),"")</f>
        <v/>
      </c>
      <c r="S17" s="138"/>
      <c r="T17" s="138" t="str">
        <f ca="1">IFERROR(VALUE(IF(VLOOKUP($A17,数出表_Excel!$A$6:$T$150,COLUMN()/2+1,FALSE)=0,"",VLOOKUP($A17,数出表_Excel!$A$6:$T$150,COLUMN()/2+1,FALSE))),"")</f>
        <v/>
      </c>
      <c r="U17" s="138"/>
      <c r="V17" s="142" t="str">
        <f ca="1">IFERROR(VALUE(IF(VLOOKUP($A17,数出表_Excel!$A$6:$T$150,COLUMN()/2+1,FALSE)=0,"",VLOOKUP($A17,数出表_Excel!$A$6:$T$150,COLUMN()/2+1,FALSE))),"")</f>
        <v/>
      </c>
      <c r="W17" s="138"/>
      <c r="X17" s="142" t="str">
        <f ca="1">IFERROR(VALUE(IF(VLOOKUP($A17,数出表_Excel!$A$6:$T$150,COLUMN()/2+1,FALSE)=0,"",VLOOKUP($A17,数出表_Excel!$A$6:$T$150,COLUMN()/2+1,FALSE))),"")</f>
        <v/>
      </c>
      <c r="Y17" s="138"/>
      <c r="Z17" s="142" t="str">
        <f ca="1">IFERROR(VALUE(IF(VLOOKUP($A17,数出表_Excel!$A$6:$T$150,COLUMN()/2+1,FALSE)=0,"",VLOOKUP($A17,数出表_Excel!$A$6:$T$150,COLUMN()/2+1,FALSE))),"")</f>
        <v/>
      </c>
      <c r="AA17" s="176"/>
      <c r="AB17" s="143" t="str">
        <f ca="1">IFERROR(VALUE(IF(VLOOKUP($A17,数出表_Excel!$A$6:$T$150,COLUMN()/2+1,FALSE)=0,"",VLOOKUP($A17,数出表_Excel!$A$6:$T$150,COLUMN()/2+1,FALSE))),"")</f>
        <v/>
      </c>
      <c r="AC17" s="138"/>
      <c r="AD17" s="142" t="str">
        <f ca="1">IFERROR(VALUE(IF(VLOOKUP($A17,数出表_Excel!$A$6:$T$150,COLUMN()/2+1,FALSE)=0,"",VLOOKUP($A17,数出表_Excel!$A$6:$T$150,COLUMN()/2+1,FALSE))),"")</f>
        <v/>
      </c>
      <c r="AE17" s="138"/>
      <c r="AF17" s="142" t="str">
        <f ca="1">IFERROR(VALUE(IF(VLOOKUP($A17,数出表_Excel!$A$6:$T$150,COLUMN()/2+1,FALSE)=0,"",VLOOKUP($A17,数出表_Excel!$A$6:$T$150,COLUMN()/2+1,FALSE))),"")</f>
        <v/>
      </c>
      <c r="AG17" s="138"/>
      <c r="AH17" s="142" t="str">
        <f ca="1">IFERROR(VALUE(IF(VLOOKUP($A17,数出表_Excel!$A$6:$T$150,COLUMN()/2+1,FALSE)=0,"",VLOOKUP($A17,数出表_Excel!$A$6:$T$150,COLUMN()/2+1,FALSE))),"")</f>
        <v/>
      </c>
      <c r="AI17" s="176"/>
      <c r="AJ17" s="143" t="str">
        <f ca="1">IFERROR(VALUE(IF(VLOOKUP($A17,数出表_Excel!$A$6:$T$150,COLUMN()/2+1,FALSE)=0,"",VLOOKUP($A17,数出表_Excel!$A$6:$T$150,COLUMN()/2+1,FALSE))),"")</f>
        <v/>
      </c>
      <c r="AK17" s="138"/>
      <c r="AL17" s="144" t="e">
        <f ca="1">IF(A17&lt;&gt;"",
IF(VLOOKUP($A17,数出表_Excel!$A$6:$T$150,COLUMN()/2+1,FALSE)=0,"",VLOOKUP($A17,数出表_Excel!$A$6:$T$150,COLUMN()/2+1,FALSE)),"")</f>
        <v>#N/A</v>
      </c>
      <c r="AM17" s="224" t="e">
        <f ca="1">数出表_Excel!V17</f>
        <v>#N/A</v>
      </c>
      <c r="AN17" s="225" t="e">
        <f ca="1">数出表_Excel!W17</f>
        <v>#N/A</v>
      </c>
    </row>
    <row r="18" spans="1:40" ht="16.2" customHeight="1" x14ac:dyDescent="0.45">
      <c r="A18" s="184" t="e">
        <f t="array" aca="1" ref="A18" ca="1">IF(OR(COUNTIF(A16,"*10002*"),COUNTIF(A16,"")),"",INDEX(貼り付け用!$A:$A,MATCH(A16,貼り付け用!$A:$A,0)+2,0))</f>
        <v>#N/A</v>
      </c>
      <c r="B18" s="172" t="str">
        <f ca="1">IFERROR(VALUE(IF(VLOOKUP($A18,数出表_Excel!$A$6:$T$150,COLUMN()/2+1,FALSE)=0,"",VLOOKUP($A18,数出表_Excel!$A$6:$T$150,COLUMN()/2+1,FALSE))),"")</f>
        <v/>
      </c>
      <c r="C18" s="137"/>
      <c r="D18" s="172" t="str">
        <f ca="1">IFERROR(VALUE(IF(VLOOKUP($A18,数出表_Excel!$A$6:$T$150,COLUMN()/2+1,FALSE)=0,"",VLOOKUP($A18,数出表_Excel!$A$6:$T$150,COLUMN()/2+1,FALSE))),"")</f>
        <v/>
      </c>
      <c r="E18" s="137"/>
      <c r="F18" s="174" t="str">
        <f ca="1">IFERROR(VALUE(IF(VLOOKUP($A18,数出表_Excel!$A$6:$T$150,COLUMN()/2+1,FALSE)=0,"",VLOOKUP($A18,数出表_Excel!$A$6:$T$150,COLUMN()/2+1,FALSE))),"")</f>
        <v/>
      </c>
      <c r="G18" s="137"/>
      <c r="H18" s="172" t="str">
        <f ca="1">IFERROR(VALUE(IF(VLOOKUP($A18,数出表_Excel!$A$6:$T$150,COLUMN()/2+1,FALSE)=0,"",VLOOKUP($A18,数出表_Excel!$A$6:$T$150,COLUMN()/2+1,FALSE))),"")</f>
        <v/>
      </c>
      <c r="I18" s="137"/>
      <c r="J18" s="172" t="str">
        <f ca="1">IFERROR(VALUE(IF(VLOOKUP($A18,数出表_Excel!$A$6:$T$150,COLUMN()/2+1,FALSE)=0,"",VLOOKUP($A18,数出表_Excel!$A$6:$T$150,COLUMN()/2+1,FALSE))),"")</f>
        <v/>
      </c>
      <c r="K18" s="137"/>
      <c r="L18" s="174" t="str">
        <f ca="1">IFERROR(VALUE(IF(VLOOKUP($A18,数出表_Excel!$A$6:$T$150,COLUMN()/2+1,FALSE)=0,"",VLOOKUP($A18,数出表_Excel!$A$6:$T$150,COLUMN()/2+1,FALSE))),"")</f>
        <v/>
      </c>
      <c r="M18" s="137"/>
      <c r="N18" s="172" t="str">
        <f ca="1">IFERROR(VALUE(IF(VLOOKUP($A18,数出表_Excel!$A$6:$T$150,COLUMN()/2+1,FALSE)=0,"",VLOOKUP($A18,数出表_Excel!$A$6:$T$150,COLUMN()/2+1,FALSE))),"")</f>
        <v/>
      </c>
      <c r="O18" s="137"/>
      <c r="P18" s="172" t="str">
        <f ca="1">IFERROR(VALUE(IF(VLOOKUP($A18,数出表_Excel!$A$6:$T$150,COLUMN()/2+1,FALSE)=0,"",VLOOKUP($A18,数出表_Excel!$A$6:$T$150,COLUMN()/2+1,FALSE))),"")</f>
        <v/>
      </c>
      <c r="Q18" s="137"/>
      <c r="R18" s="172" t="str">
        <f ca="1">IFERROR(VALUE(IF(VLOOKUP($A18,数出表_Excel!$A$6:$T$150,COLUMN()/2+1,FALSE)=0,"",VLOOKUP($A18,数出表_Excel!$A$6:$T$150,COLUMN()/2+1,FALSE))),"")</f>
        <v/>
      </c>
      <c r="S18" s="137"/>
      <c r="T18" s="172" t="str">
        <f ca="1">IFERROR(VALUE(IF(VLOOKUP($A18,数出表_Excel!$A$6:$T$150,COLUMN()/2+1,FALSE)=0,"",VLOOKUP($A18,数出表_Excel!$A$6:$T$150,COLUMN()/2+1,FALSE))),"")</f>
        <v/>
      </c>
      <c r="U18" s="137"/>
      <c r="V18" s="174" t="str">
        <f ca="1">IFERROR(VALUE(IF(VLOOKUP($A18,数出表_Excel!$A$6:$T$150,COLUMN()/2+1,FALSE)=0,"",VLOOKUP($A18,数出表_Excel!$A$6:$T$150,COLUMN()/2+1,FALSE))),"")</f>
        <v/>
      </c>
      <c r="W18" s="137"/>
      <c r="X18" s="174" t="str">
        <f ca="1">IFERROR(VALUE(IF(VLOOKUP($A18,数出表_Excel!$A$6:$T$150,COLUMN()/2+1,FALSE)=0,"",VLOOKUP($A18,数出表_Excel!$A$6:$T$150,COLUMN()/2+1,FALSE))),"")</f>
        <v/>
      </c>
      <c r="Y18" s="137"/>
      <c r="Z18" s="174" t="str">
        <f ca="1">IFERROR(VALUE(IF(VLOOKUP($A18,数出表_Excel!$A$6:$T$150,COLUMN()/2+1,FALSE)=0,"",VLOOKUP($A18,数出表_Excel!$A$6:$T$150,COLUMN()/2+1,FALSE))),"")</f>
        <v/>
      </c>
      <c r="AA18" s="175"/>
      <c r="AB18" s="173" t="str">
        <f ca="1">IFERROR(VALUE(IF(VLOOKUP($A18,数出表_Excel!$A$6:$T$150,COLUMN()/2+1,FALSE)=0,"",VLOOKUP($A18,数出表_Excel!$A$6:$T$150,COLUMN()/2+1,FALSE))),"")</f>
        <v/>
      </c>
      <c r="AC18" s="137"/>
      <c r="AD18" s="174" t="str">
        <f ca="1">IFERROR(VALUE(IF(VLOOKUP($A18,数出表_Excel!$A$6:$T$150,COLUMN()/2+1,FALSE)=0,"",VLOOKUP($A18,数出表_Excel!$A$6:$T$150,COLUMN()/2+1,FALSE))),"")</f>
        <v/>
      </c>
      <c r="AE18" s="137"/>
      <c r="AF18" s="174" t="str">
        <f ca="1">IFERROR(VALUE(IF(VLOOKUP($A18,数出表_Excel!$A$6:$T$150,COLUMN()/2+1,FALSE)=0,"",VLOOKUP($A18,数出表_Excel!$A$6:$T$150,COLUMN()/2+1,FALSE))),"")</f>
        <v/>
      </c>
      <c r="AG18" s="137"/>
      <c r="AH18" s="174" t="str">
        <f ca="1">IFERROR(VALUE(IF(VLOOKUP($A18,数出表_Excel!$A$6:$T$150,COLUMN()/2+1,FALSE)=0,"",VLOOKUP($A18,数出表_Excel!$A$6:$T$150,COLUMN()/2+1,FALSE))),"")</f>
        <v/>
      </c>
      <c r="AI18" s="175"/>
      <c r="AJ18" s="173" t="str">
        <f ca="1">IFERROR(VALUE(IF(VLOOKUP($A18,数出表_Excel!$A$6:$T$150,COLUMN()/2+1,FALSE)=0,"",VLOOKUP($A18,数出表_Excel!$A$6:$T$150,COLUMN()/2+1,FALSE))),"")</f>
        <v/>
      </c>
      <c r="AK18" s="137"/>
      <c r="AL18" s="141" t="e">
        <f ca="1">IF(A18&lt;&gt;"",
IF(VLOOKUP($A18,数出表_Excel!$A$6:$T$150,COLUMN()/2+1,FALSE)=0,"",VLOOKUP($A18,数出表_Excel!$A$6:$T$150,COLUMN()/2+1,FALSE)),"")</f>
        <v>#N/A</v>
      </c>
      <c r="AM18" s="222" t="e">
        <f ca="1">数出表_Excel!V18</f>
        <v>#N/A</v>
      </c>
      <c r="AN18" s="223" t="e">
        <f ca="1">数出表_Excel!W18</f>
        <v>#N/A</v>
      </c>
    </row>
    <row r="19" spans="1:40" ht="16.2" customHeight="1" x14ac:dyDescent="0.45">
      <c r="A19" s="185" t="e">
        <f t="array" aca="1" ref="A19" ca="1">IF(OR(COUNTIF(A17,"*1000*"),COUNTIF(A17,"")),"",INDEX(貼り付け用!$A:$A,MATCH(A17,貼り付け用!$A:$A,0)+2,0))</f>
        <v>#N/A</v>
      </c>
      <c r="B19" s="138" t="str">
        <f ca="1">IFERROR(VALUE(IF(VLOOKUP($A19,数出表_Excel!$A$6:$T$150,COLUMN()/2+1,FALSE)=0,"",VLOOKUP($A19,数出表_Excel!$A$6:$T$150,COLUMN()/2+1,FALSE))),"")</f>
        <v/>
      </c>
      <c r="C19" s="138"/>
      <c r="D19" s="138" t="str">
        <f ca="1">IFERROR(VALUE(IF(VLOOKUP($A19,数出表_Excel!$A$6:$T$150,COLUMN()/2+1,FALSE)=0,"",VLOOKUP($A19,数出表_Excel!$A$6:$T$150,COLUMN()/2+1,FALSE))),"")</f>
        <v/>
      </c>
      <c r="E19" s="138"/>
      <c r="F19" s="142" t="str">
        <f ca="1">IFERROR(VALUE(IF(VLOOKUP($A19,数出表_Excel!$A$6:$T$150,COLUMN()/2+1,FALSE)=0,"",VLOOKUP($A19,数出表_Excel!$A$6:$T$150,COLUMN()/2+1,FALSE))),"")</f>
        <v/>
      </c>
      <c r="G19" s="138"/>
      <c r="H19" s="138" t="str">
        <f ca="1">IFERROR(VALUE(IF(VLOOKUP($A19,数出表_Excel!$A$6:$T$150,COLUMN()/2+1,FALSE)=0,"",VLOOKUP($A19,数出表_Excel!$A$6:$T$150,COLUMN()/2+1,FALSE))),"")</f>
        <v/>
      </c>
      <c r="I19" s="138"/>
      <c r="J19" s="138" t="str">
        <f ca="1">IFERROR(VALUE(IF(VLOOKUP($A19,数出表_Excel!$A$6:$T$150,COLUMN()/2+1,FALSE)=0,"",VLOOKUP($A19,数出表_Excel!$A$6:$T$150,COLUMN()/2+1,FALSE))),"")</f>
        <v/>
      </c>
      <c r="K19" s="138"/>
      <c r="L19" s="142" t="str">
        <f ca="1">IFERROR(VALUE(IF(VLOOKUP($A19,数出表_Excel!$A$6:$T$150,COLUMN()/2+1,FALSE)=0,"",VLOOKUP($A19,数出表_Excel!$A$6:$T$150,COLUMN()/2+1,FALSE))),"")</f>
        <v/>
      </c>
      <c r="M19" s="138"/>
      <c r="N19" s="138" t="str">
        <f ca="1">IFERROR(VALUE(IF(VLOOKUP($A19,数出表_Excel!$A$6:$T$150,COLUMN()/2+1,FALSE)=0,"",VLOOKUP($A19,数出表_Excel!$A$6:$T$150,COLUMN()/2+1,FALSE))),"")</f>
        <v/>
      </c>
      <c r="O19" s="138"/>
      <c r="P19" s="138" t="str">
        <f ca="1">IFERROR(VALUE(IF(VLOOKUP($A19,数出表_Excel!$A$6:$T$150,COLUMN()/2+1,FALSE)=0,"",VLOOKUP($A19,数出表_Excel!$A$6:$T$150,COLUMN()/2+1,FALSE))),"")</f>
        <v/>
      </c>
      <c r="Q19" s="138"/>
      <c r="R19" s="138" t="str">
        <f ca="1">IFERROR(VALUE(IF(VLOOKUP($A19,数出表_Excel!$A$6:$T$150,COLUMN()/2+1,FALSE)=0,"",VLOOKUP($A19,数出表_Excel!$A$6:$T$150,COLUMN()/2+1,FALSE))),"")</f>
        <v/>
      </c>
      <c r="S19" s="138"/>
      <c r="T19" s="138" t="str">
        <f ca="1">IFERROR(VALUE(IF(VLOOKUP($A19,数出表_Excel!$A$6:$T$150,COLUMN()/2+1,FALSE)=0,"",VLOOKUP($A19,数出表_Excel!$A$6:$T$150,COLUMN()/2+1,FALSE))),"")</f>
        <v/>
      </c>
      <c r="U19" s="138"/>
      <c r="V19" s="142" t="str">
        <f ca="1">IFERROR(VALUE(IF(VLOOKUP($A19,数出表_Excel!$A$6:$T$150,COLUMN()/2+1,FALSE)=0,"",VLOOKUP($A19,数出表_Excel!$A$6:$T$150,COLUMN()/2+1,FALSE))),"")</f>
        <v/>
      </c>
      <c r="W19" s="138"/>
      <c r="X19" s="142" t="str">
        <f ca="1">IFERROR(VALUE(IF(VLOOKUP($A19,数出表_Excel!$A$6:$T$150,COLUMN()/2+1,FALSE)=0,"",VLOOKUP($A19,数出表_Excel!$A$6:$T$150,COLUMN()/2+1,FALSE))),"")</f>
        <v/>
      </c>
      <c r="Y19" s="138"/>
      <c r="Z19" s="142" t="str">
        <f ca="1">IFERROR(VALUE(IF(VLOOKUP($A19,数出表_Excel!$A$6:$T$150,COLUMN()/2+1,FALSE)=0,"",VLOOKUP($A19,数出表_Excel!$A$6:$T$150,COLUMN()/2+1,FALSE))),"")</f>
        <v/>
      </c>
      <c r="AA19" s="176"/>
      <c r="AB19" s="143" t="str">
        <f ca="1">IFERROR(VALUE(IF(VLOOKUP($A19,数出表_Excel!$A$6:$T$150,COLUMN()/2+1,FALSE)=0,"",VLOOKUP($A19,数出表_Excel!$A$6:$T$150,COLUMN()/2+1,FALSE))),"")</f>
        <v/>
      </c>
      <c r="AC19" s="138"/>
      <c r="AD19" s="142" t="str">
        <f ca="1">IFERROR(VALUE(IF(VLOOKUP($A19,数出表_Excel!$A$6:$T$150,COLUMN()/2+1,FALSE)=0,"",VLOOKUP($A19,数出表_Excel!$A$6:$T$150,COLUMN()/2+1,FALSE))),"")</f>
        <v/>
      </c>
      <c r="AE19" s="138"/>
      <c r="AF19" s="142" t="str">
        <f ca="1">IFERROR(VALUE(IF(VLOOKUP($A19,数出表_Excel!$A$6:$T$150,COLUMN()/2+1,FALSE)=0,"",VLOOKUP($A19,数出表_Excel!$A$6:$T$150,COLUMN()/2+1,FALSE))),"")</f>
        <v/>
      </c>
      <c r="AG19" s="138"/>
      <c r="AH19" s="142" t="str">
        <f ca="1">IFERROR(VALUE(IF(VLOOKUP($A19,数出表_Excel!$A$6:$T$150,COLUMN()/2+1,FALSE)=0,"",VLOOKUP($A19,数出表_Excel!$A$6:$T$150,COLUMN()/2+1,FALSE))),"")</f>
        <v/>
      </c>
      <c r="AI19" s="176"/>
      <c r="AJ19" s="143" t="str">
        <f ca="1">IFERROR(VALUE(IF(VLOOKUP($A19,数出表_Excel!$A$6:$T$150,COLUMN()/2+1,FALSE)=0,"",VLOOKUP($A19,数出表_Excel!$A$6:$T$150,COLUMN()/2+1,FALSE))),"")</f>
        <v/>
      </c>
      <c r="AK19" s="138"/>
      <c r="AL19" s="144" t="e">
        <f ca="1">IF(A19&lt;&gt;"",
IF(VLOOKUP($A19,数出表_Excel!$A$6:$T$150,COLUMN()/2+1,FALSE)=0,"",VLOOKUP($A19,数出表_Excel!$A$6:$T$150,COLUMN()/2+1,FALSE)),"")</f>
        <v>#N/A</v>
      </c>
      <c r="AM19" s="224" t="e">
        <f ca="1">数出表_Excel!V19</f>
        <v>#N/A</v>
      </c>
      <c r="AN19" s="225" t="e">
        <f ca="1">数出表_Excel!W19</f>
        <v>#N/A</v>
      </c>
    </row>
    <row r="20" spans="1:40" ht="16.2" customHeight="1" x14ac:dyDescent="0.45">
      <c r="A20" s="184" t="e">
        <f t="array" aca="1" ref="A20" ca="1">IF(OR(COUNTIF(A18,"*10002*"),COUNTIF(A18,"")),"",INDEX(貼り付け用!$A:$A,MATCH(A18,貼り付け用!$A:$A,0)+2,0))</f>
        <v>#N/A</v>
      </c>
      <c r="B20" s="172" t="str">
        <f ca="1">IFERROR(VALUE(IF(VLOOKUP($A20,数出表_Excel!$A$6:$T$150,COLUMN()/2+1,FALSE)=0,"",VLOOKUP($A20,数出表_Excel!$A$6:$T$150,COLUMN()/2+1,FALSE))),"")</f>
        <v/>
      </c>
      <c r="C20" s="137"/>
      <c r="D20" s="172" t="str">
        <f ca="1">IFERROR(VALUE(IF(VLOOKUP($A20,数出表_Excel!$A$6:$T$150,COLUMN()/2+1,FALSE)=0,"",VLOOKUP($A20,数出表_Excel!$A$6:$T$150,COLUMN()/2+1,FALSE))),"")</f>
        <v/>
      </c>
      <c r="E20" s="137"/>
      <c r="F20" s="174" t="str">
        <f ca="1">IFERROR(VALUE(IF(VLOOKUP($A20,数出表_Excel!$A$6:$T$150,COLUMN()/2+1,FALSE)=0,"",VLOOKUP($A20,数出表_Excel!$A$6:$T$150,COLUMN()/2+1,FALSE))),"")</f>
        <v/>
      </c>
      <c r="G20" s="137"/>
      <c r="H20" s="172" t="str">
        <f ca="1">IFERROR(VALUE(IF(VLOOKUP($A20,数出表_Excel!$A$6:$T$150,COLUMN()/2+1,FALSE)=0,"",VLOOKUP($A20,数出表_Excel!$A$6:$T$150,COLUMN()/2+1,FALSE))),"")</f>
        <v/>
      </c>
      <c r="I20" s="137"/>
      <c r="J20" s="172" t="str">
        <f ca="1">IFERROR(VALUE(IF(VLOOKUP($A20,数出表_Excel!$A$6:$T$150,COLUMN()/2+1,FALSE)=0,"",VLOOKUP($A20,数出表_Excel!$A$6:$T$150,COLUMN()/2+1,FALSE))),"")</f>
        <v/>
      </c>
      <c r="K20" s="137"/>
      <c r="L20" s="174" t="str">
        <f ca="1">IFERROR(VALUE(IF(VLOOKUP($A20,数出表_Excel!$A$6:$T$150,COLUMN()/2+1,FALSE)=0,"",VLOOKUP($A20,数出表_Excel!$A$6:$T$150,COLUMN()/2+1,FALSE))),"")</f>
        <v/>
      </c>
      <c r="M20" s="137"/>
      <c r="N20" s="172" t="str">
        <f ca="1">IFERROR(VALUE(IF(VLOOKUP($A20,数出表_Excel!$A$6:$T$150,COLUMN()/2+1,FALSE)=0,"",VLOOKUP($A20,数出表_Excel!$A$6:$T$150,COLUMN()/2+1,FALSE))),"")</f>
        <v/>
      </c>
      <c r="O20" s="137"/>
      <c r="P20" s="172" t="str">
        <f ca="1">IFERROR(VALUE(IF(VLOOKUP($A20,数出表_Excel!$A$6:$T$150,COLUMN()/2+1,FALSE)=0,"",VLOOKUP($A20,数出表_Excel!$A$6:$T$150,COLUMN()/2+1,FALSE))),"")</f>
        <v/>
      </c>
      <c r="Q20" s="137"/>
      <c r="R20" s="172" t="str">
        <f ca="1">IFERROR(VALUE(IF(VLOOKUP($A20,数出表_Excel!$A$6:$T$150,COLUMN()/2+1,FALSE)=0,"",VLOOKUP($A20,数出表_Excel!$A$6:$T$150,COLUMN()/2+1,FALSE))),"")</f>
        <v/>
      </c>
      <c r="S20" s="137"/>
      <c r="T20" s="172" t="str">
        <f ca="1">IFERROR(VALUE(IF(VLOOKUP($A20,数出表_Excel!$A$6:$T$150,COLUMN()/2+1,FALSE)=0,"",VLOOKUP($A20,数出表_Excel!$A$6:$T$150,COLUMN()/2+1,FALSE))),"")</f>
        <v/>
      </c>
      <c r="U20" s="137"/>
      <c r="V20" s="174" t="str">
        <f ca="1">IFERROR(VALUE(IF(VLOOKUP($A20,数出表_Excel!$A$6:$T$150,COLUMN()/2+1,FALSE)=0,"",VLOOKUP($A20,数出表_Excel!$A$6:$T$150,COLUMN()/2+1,FALSE))),"")</f>
        <v/>
      </c>
      <c r="W20" s="137"/>
      <c r="X20" s="174" t="str">
        <f ca="1">IFERROR(VALUE(IF(VLOOKUP($A20,数出表_Excel!$A$6:$T$150,COLUMN()/2+1,FALSE)=0,"",VLOOKUP($A20,数出表_Excel!$A$6:$T$150,COLUMN()/2+1,FALSE))),"")</f>
        <v/>
      </c>
      <c r="Y20" s="137"/>
      <c r="Z20" s="174" t="str">
        <f ca="1">IFERROR(VALUE(IF(VLOOKUP($A20,数出表_Excel!$A$6:$T$150,COLUMN()/2+1,FALSE)=0,"",VLOOKUP($A20,数出表_Excel!$A$6:$T$150,COLUMN()/2+1,FALSE))),"")</f>
        <v/>
      </c>
      <c r="AA20" s="175"/>
      <c r="AB20" s="173" t="str">
        <f ca="1">IFERROR(VALUE(IF(VLOOKUP($A20,数出表_Excel!$A$6:$T$150,COLUMN()/2+1,FALSE)=0,"",VLOOKUP($A20,数出表_Excel!$A$6:$T$150,COLUMN()/2+1,FALSE))),"")</f>
        <v/>
      </c>
      <c r="AC20" s="137"/>
      <c r="AD20" s="174" t="str">
        <f ca="1">IFERROR(VALUE(IF(VLOOKUP($A20,数出表_Excel!$A$6:$T$150,COLUMN()/2+1,FALSE)=0,"",VLOOKUP($A20,数出表_Excel!$A$6:$T$150,COLUMN()/2+1,FALSE))),"")</f>
        <v/>
      </c>
      <c r="AE20" s="137"/>
      <c r="AF20" s="174" t="str">
        <f ca="1">IFERROR(VALUE(IF(VLOOKUP($A20,数出表_Excel!$A$6:$T$150,COLUMN()/2+1,FALSE)=0,"",VLOOKUP($A20,数出表_Excel!$A$6:$T$150,COLUMN()/2+1,FALSE))),"")</f>
        <v/>
      </c>
      <c r="AG20" s="137"/>
      <c r="AH20" s="174" t="str">
        <f ca="1">IFERROR(VALUE(IF(VLOOKUP($A20,数出表_Excel!$A$6:$T$150,COLUMN()/2+1,FALSE)=0,"",VLOOKUP($A20,数出表_Excel!$A$6:$T$150,COLUMN()/2+1,FALSE))),"")</f>
        <v/>
      </c>
      <c r="AI20" s="175"/>
      <c r="AJ20" s="173" t="str">
        <f ca="1">IFERROR(VALUE(IF(VLOOKUP($A20,数出表_Excel!$A$6:$T$150,COLUMN()/2+1,FALSE)=0,"",VLOOKUP($A20,数出表_Excel!$A$6:$T$150,COLUMN()/2+1,FALSE))),"")</f>
        <v/>
      </c>
      <c r="AK20" s="137"/>
      <c r="AL20" s="141" t="e">
        <f ca="1">IF(A20&lt;&gt;"",
IF(VLOOKUP($A20,数出表_Excel!$A$6:$T$150,COLUMN()/2+1,FALSE)=0,"",VLOOKUP($A20,数出表_Excel!$A$6:$T$150,COLUMN()/2+1,FALSE)),"")</f>
        <v>#N/A</v>
      </c>
      <c r="AM20" s="222" t="e">
        <f ca="1">数出表_Excel!V20</f>
        <v>#N/A</v>
      </c>
      <c r="AN20" s="223" t="e">
        <f ca="1">数出表_Excel!W20</f>
        <v>#N/A</v>
      </c>
    </row>
    <row r="21" spans="1:40" ht="16.2" customHeight="1" x14ac:dyDescent="0.45">
      <c r="A21" s="185" t="e">
        <f t="array" aca="1" ref="A21" ca="1">IF(OR(COUNTIF(A19,"*1000*"),COUNTIF(A19,"")),"",INDEX(貼り付け用!$A:$A,MATCH(A19,貼り付け用!$A:$A,0)+2,0))</f>
        <v>#N/A</v>
      </c>
      <c r="B21" s="138" t="str">
        <f ca="1">IFERROR(VALUE(IF(VLOOKUP($A21,数出表_Excel!$A$6:$T$150,COLUMN()/2+1,FALSE)=0,"",VLOOKUP($A21,数出表_Excel!$A$6:$T$150,COLUMN()/2+1,FALSE))),"")</f>
        <v/>
      </c>
      <c r="C21" s="138"/>
      <c r="D21" s="138" t="str">
        <f ca="1">IFERROR(VALUE(IF(VLOOKUP($A21,数出表_Excel!$A$6:$T$150,COLUMN()/2+1,FALSE)=0,"",VLOOKUP($A21,数出表_Excel!$A$6:$T$150,COLUMN()/2+1,FALSE))),"")</f>
        <v/>
      </c>
      <c r="E21" s="138"/>
      <c r="F21" s="142" t="str">
        <f ca="1">IFERROR(VALUE(IF(VLOOKUP($A21,数出表_Excel!$A$6:$T$150,COLUMN()/2+1,FALSE)=0,"",VLOOKUP($A21,数出表_Excel!$A$6:$T$150,COLUMN()/2+1,FALSE))),"")</f>
        <v/>
      </c>
      <c r="G21" s="138"/>
      <c r="H21" s="138" t="str">
        <f ca="1">IFERROR(VALUE(IF(VLOOKUP($A21,数出表_Excel!$A$6:$T$150,COLUMN()/2+1,FALSE)=0,"",VLOOKUP($A21,数出表_Excel!$A$6:$T$150,COLUMN()/2+1,FALSE))),"")</f>
        <v/>
      </c>
      <c r="I21" s="138"/>
      <c r="J21" s="138" t="str">
        <f ca="1">IFERROR(VALUE(IF(VLOOKUP($A21,数出表_Excel!$A$6:$T$150,COLUMN()/2+1,FALSE)=0,"",VLOOKUP($A21,数出表_Excel!$A$6:$T$150,COLUMN()/2+1,FALSE))),"")</f>
        <v/>
      </c>
      <c r="K21" s="138"/>
      <c r="L21" s="142" t="str">
        <f ca="1">IFERROR(VALUE(IF(VLOOKUP($A21,数出表_Excel!$A$6:$T$150,COLUMN()/2+1,FALSE)=0,"",VLOOKUP($A21,数出表_Excel!$A$6:$T$150,COLUMN()/2+1,FALSE))),"")</f>
        <v/>
      </c>
      <c r="M21" s="138"/>
      <c r="N21" s="138" t="str">
        <f ca="1">IFERROR(VALUE(IF(VLOOKUP($A21,数出表_Excel!$A$6:$T$150,COLUMN()/2+1,FALSE)=0,"",VLOOKUP($A21,数出表_Excel!$A$6:$T$150,COLUMN()/2+1,FALSE))),"")</f>
        <v/>
      </c>
      <c r="O21" s="138"/>
      <c r="P21" s="138" t="str">
        <f ca="1">IFERROR(VALUE(IF(VLOOKUP($A21,数出表_Excel!$A$6:$T$150,COLUMN()/2+1,FALSE)=0,"",VLOOKUP($A21,数出表_Excel!$A$6:$T$150,COLUMN()/2+1,FALSE))),"")</f>
        <v/>
      </c>
      <c r="Q21" s="138"/>
      <c r="R21" s="138" t="str">
        <f ca="1">IFERROR(VALUE(IF(VLOOKUP($A21,数出表_Excel!$A$6:$T$150,COLUMN()/2+1,FALSE)=0,"",VLOOKUP($A21,数出表_Excel!$A$6:$T$150,COLUMN()/2+1,FALSE))),"")</f>
        <v/>
      </c>
      <c r="S21" s="138"/>
      <c r="T21" s="138" t="str">
        <f ca="1">IFERROR(VALUE(IF(VLOOKUP($A21,数出表_Excel!$A$6:$T$150,COLUMN()/2+1,FALSE)=0,"",VLOOKUP($A21,数出表_Excel!$A$6:$T$150,COLUMN()/2+1,FALSE))),"")</f>
        <v/>
      </c>
      <c r="U21" s="138"/>
      <c r="V21" s="142" t="str">
        <f ca="1">IFERROR(VALUE(IF(VLOOKUP($A21,数出表_Excel!$A$6:$T$150,COLUMN()/2+1,FALSE)=0,"",VLOOKUP($A21,数出表_Excel!$A$6:$T$150,COLUMN()/2+1,FALSE))),"")</f>
        <v/>
      </c>
      <c r="W21" s="138"/>
      <c r="X21" s="142" t="str">
        <f ca="1">IFERROR(VALUE(IF(VLOOKUP($A21,数出表_Excel!$A$6:$T$150,COLUMN()/2+1,FALSE)=0,"",VLOOKUP($A21,数出表_Excel!$A$6:$T$150,COLUMN()/2+1,FALSE))),"")</f>
        <v/>
      </c>
      <c r="Y21" s="138"/>
      <c r="Z21" s="142" t="str">
        <f ca="1">IFERROR(VALUE(IF(VLOOKUP($A21,数出表_Excel!$A$6:$T$150,COLUMN()/2+1,FALSE)=0,"",VLOOKUP($A21,数出表_Excel!$A$6:$T$150,COLUMN()/2+1,FALSE))),"")</f>
        <v/>
      </c>
      <c r="AA21" s="176"/>
      <c r="AB21" s="143" t="str">
        <f ca="1">IFERROR(VALUE(IF(VLOOKUP($A21,数出表_Excel!$A$6:$T$150,COLUMN()/2+1,FALSE)=0,"",VLOOKUP($A21,数出表_Excel!$A$6:$T$150,COLUMN()/2+1,FALSE))),"")</f>
        <v/>
      </c>
      <c r="AC21" s="138"/>
      <c r="AD21" s="142" t="str">
        <f ca="1">IFERROR(VALUE(IF(VLOOKUP($A21,数出表_Excel!$A$6:$T$150,COLUMN()/2+1,FALSE)=0,"",VLOOKUP($A21,数出表_Excel!$A$6:$T$150,COLUMN()/2+1,FALSE))),"")</f>
        <v/>
      </c>
      <c r="AE21" s="138"/>
      <c r="AF21" s="142" t="str">
        <f ca="1">IFERROR(VALUE(IF(VLOOKUP($A21,数出表_Excel!$A$6:$T$150,COLUMN()/2+1,FALSE)=0,"",VLOOKUP($A21,数出表_Excel!$A$6:$T$150,COLUMN()/2+1,FALSE))),"")</f>
        <v/>
      </c>
      <c r="AG21" s="138"/>
      <c r="AH21" s="142" t="str">
        <f ca="1">IFERROR(VALUE(IF(VLOOKUP($A21,数出表_Excel!$A$6:$T$150,COLUMN()/2+1,FALSE)=0,"",VLOOKUP($A21,数出表_Excel!$A$6:$T$150,COLUMN()/2+1,FALSE))),"")</f>
        <v/>
      </c>
      <c r="AI21" s="176"/>
      <c r="AJ21" s="143" t="str">
        <f ca="1">IFERROR(VALUE(IF(VLOOKUP($A21,数出表_Excel!$A$6:$T$150,COLUMN()/2+1,FALSE)=0,"",VLOOKUP($A21,数出表_Excel!$A$6:$T$150,COLUMN()/2+1,FALSE))),"")</f>
        <v/>
      </c>
      <c r="AK21" s="138"/>
      <c r="AL21" s="144" t="e">
        <f ca="1">IF(A21&lt;&gt;"",
IF(VLOOKUP($A21,数出表_Excel!$A$6:$T$150,COLUMN()/2+1,FALSE)=0,"",VLOOKUP($A21,数出表_Excel!$A$6:$T$150,COLUMN()/2+1,FALSE)),"")</f>
        <v>#N/A</v>
      </c>
      <c r="AM21" s="224" t="e">
        <f ca="1">数出表_Excel!V21</f>
        <v>#N/A</v>
      </c>
      <c r="AN21" s="225" t="e">
        <f ca="1">数出表_Excel!W21</f>
        <v>#N/A</v>
      </c>
    </row>
    <row r="22" spans="1:40" ht="16.2" customHeight="1" x14ac:dyDescent="0.45">
      <c r="A22" s="184" t="e">
        <f t="array" aca="1" ref="A22" ca="1">IF(OR(COUNTIF(A20,"*10002*"),COUNTIF(A20,"")),"",INDEX(貼り付け用!$A:$A,MATCH(A20,貼り付け用!$A:$A,0)+2,0))</f>
        <v>#N/A</v>
      </c>
      <c r="B22" s="172" t="str">
        <f ca="1">IFERROR(VALUE(IF(VLOOKUP($A22,数出表_Excel!$A$6:$T$150,COLUMN()/2+1,FALSE)=0,"",VLOOKUP($A22,数出表_Excel!$A$6:$T$150,COLUMN()/2+1,FALSE))),"")</f>
        <v/>
      </c>
      <c r="C22" s="137"/>
      <c r="D22" s="172" t="str">
        <f ca="1">IFERROR(VALUE(IF(VLOOKUP($A22,数出表_Excel!$A$6:$T$150,COLUMN()/2+1,FALSE)=0,"",VLOOKUP($A22,数出表_Excel!$A$6:$T$150,COLUMN()/2+1,FALSE))),"")</f>
        <v/>
      </c>
      <c r="E22" s="137"/>
      <c r="F22" s="174" t="str">
        <f ca="1">IFERROR(VALUE(IF(VLOOKUP($A22,数出表_Excel!$A$6:$T$150,COLUMN()/2+1,FALSE)=0,"",VLOOKUP($A22,数出表_Excel!$A$6:$T$150,COLUMN()/2+1,FALSE))),"")</f>
        <v/>
      </c>
      <c r="G22" s="137"/>
      <c r="H22" s="172" t="str">
        <f ca="1">IFERROR(VALUE(IF(VLOOKUP($A22,数出表_Excel!$A$6:$T$150,COLUMN()/2+1,FALSE)=0,"",VLOOKUP($A22,数出表_Excel!$A$6:$T$150,COLUMN()/2+1,FALSE))),"")</f>
        <v/>
      </c>
      <c r="I22" s="137"/>
      <c r="J22" s="172" t="str">
        <f ca="1">IFERROR(VALUE(IF(VLOOKUP($A22,数出表_Excel!$A$6:$T$150,COLUMN()/2+1,FALSE)=0,"",VLOOKUP($A22,数出表_Excel!$A$6:$T$150,COLUMN()/2+1,FALSE))),"")</f>
        <v/>
      </c>
      <c r="K22" s="137"/>
      <c r="L22" s="174" t="str">
        <f ca="1">IFERROR(VALUE(IF(VLOOKUP($A22,数出表_Excel!$A$6:$T$150,COLUMN()/2+1,FALSE)=0,"",VLOOKUP($A22,数出表_Excel!$A$6:$T$150,COLUMN()/2+1,FALSE))),"")</f>
        <v/>
      </c>
      <c r="M22" s="137"/>
      <c r="N22" s="172" t="str">
        <f ca="1">IFERROR(VALUE(IF(VLOOKUP($A22,数出表_Excel!$A$6:$T$150,COLUMN()/2+1,FALSE)=0,"",VLOOKUP($A22,数出表_Excel!$A$6:$T$150,COLUMN()/2+1,FALSE))),"")</f>
        <v/>
      </c>
      <c r="O22" s="137"/>
      <c r="P22" s="172" t="str">
        <f ca="1">IFERROR(VALUE(IF(VLOOKUP($A22,数出表_Excel!$A$6:$T$150,COLUMN()/2+1,FALSE)=0,"",VLOOKUP($A22,数出表_Excel!$A$6:$T$150,COLUMN()/2+1,FALSE))),"")</f>
        <v/>
      </c>
      <c r="Q22" s="137"/>
      <c r="R22" s="172" t="str">
        <f ca="1">IFERROR(VALUE(IF(VLOOKUP($A22,数出表_Excel!$A$6:$T$150,COLUMN()/2+1,FALSE)=0,"",VLOOKUP($A22,数出表_Excel!$A$6:$T$150,COLUMN()/2+1,FALSE))),"")</f>
        <v/>
      </c>
      <c r="S22" s="137"/>
      <c r="T22" s="172" t="str">
        <f ca="1">IFERROR(VALUE(IF(VLOOKUP($A22,数出表_Excel!$A$6:$T$150,COLUMN()/2+1,FALSE)=0,"",VLOOKUP($A22,数出表_Excel!$A$6:$T$150,COLUMN()/2+1,FALSE))),"")</f>
        <v/>
      </c>
      <c r="U22" s="137"/>
      <c r="V22" s="174" t="str">
        <f ca="1">IFERROR(VALUE(IF(VLOOKUP($A22,数出表_Excel!$A$6:$T$150,COLUMN()/2+1,FALSE)=0,"",VLOOKUP($A22,数出表_Excel!$A$6:$T$150,COLUMN()/2+1,FALSE))),"")</f>
        <v/>
      </c>
      <c r="W22" s="137"/>
      <c r="X22" s="174" t="str">
        <f ca="1">IFERROR(VALUE(IF(VLOOKUP($A22,数出表_Excel!$A$6:$T$150,COLUMN()/2+1,FALSE)=0,"",VLOOKUP($A22,数出表_Excel!$A$6:$T$150,COLUMN()/2+1,FALSE))),"")</f>
        <v/>
      </c>
      <c r="Y22" s="137"/>
      <c r="Z22" s="174" t="str">
        <f ca="1">IFERROR(VALUE(IF(VLOOKUP($A22,数出表_Excel!$A$6:$T$150,COLUMN()/2+1,FALSE)=0,"",VLOOKUP($A22,数出表_Excel!$A$6:$T$150,COLUMN()/2+1,FALSE))),"")</f>
        <v/>
      </c>
      <c r="AA22" s="175"/>
      <c r="AB22" s="173" t="str">
        <f ca="1">IFERROR(VALUE(IF(VLOOKUP($A22,数出表_Excel!$A$6:$T$150,COLUMN()/2+1,FALSE)=0,"",VLOOKUP($A22,数出表_Excel!$A$6:$T$150,COLUMN()/2+1,FALSE))),"")</f>
        <v/>
      </c>
      <c r="AC22" s="137"/>
      <c r="AD22" s="174" t="str">
        <f ca="1">IFERROR(VALUE(IF(VLOOKUP($A22,数出表_Excel!$A$6:$T$150,COLUMN()/2+1,FALSE)=0,"",VLOOKUP($A22,数出表_Excel!$A$6:$T$150,COLUMN()/2+1,FALSE))),"")</f>
        <v/>
      </c>
      <c r="AE22" s="137"/>
      <c r="AF22" s="174" t="str">
        <f ca="1">IFERROR(VALUE(IF(VLOOKUP($A22,数出表_Excel!$A$6:$T$150,COLUMN()/2+1,FALSE)=0,"",VLOOKUP($A22,数出表_Excel!$A$6:$T$150,COLUMN()/2+1,FALSE))),"")</f>
        <v/>
      </c>
      <c r="AG22" s="137"/>
      <c r="AH22" s="174" t="str">
        <f ca="1">IFERROR(VALUE(IF(VLOOKUP($A22,数出表_Excel!$A$6:$T$150,COLUMN()/2+1,FALSE)=0,"",VLOOKUP($A22,数出表_Excel!$A$6:$T$150,COLUMN()/2+1,FALSE))),"")</f>
        <v/>
      </c>
      <c r="AI22" s="175"/>
      <c r="AJ22" s="173" t="str">
        <f ca="1">IFERROR(VALUE(IF(VLOOKUP($A22,数出表_Excel!$A$6:$T$150,COLUMN()/2+1,FALSE)=0,"",VLOOKUP($A22,数出表_Excel!$A$6:$T$150,COLUMN()/2+1,FALSE))),"")</f>
        <v/>
      </c>
      <c r="AK22" s="137"/>
      <c r="AL22" s="141" t="e">
        <f ca="1">IF(A22&lt;&gt;"",
IF(VLOOKUP($A22,数出表_Excel!$A$6:$T$150,COLUMN()/2+1,FALSE)=0,"",VLOOKUP($A22,数出表_Excel!$A$6:$T$150,COLUMN()/2+1,FALSE)),"")</f>
        <v>#N/A</v>
      </c>
      <c r="AM22" s="222" t="e">
        <f ca="1">数出表_Excel!V22</f>
        <v>#N/A</v>
      </c>
      <c r="AN22" s="223" t="e">
        <f ca="1">数出表_Excel!W22</f>
        <v>#N/A</v>
      </c>
    </row>
    <row r="23" spans="1:40" ht="16.2" customHeight="1" x14ac:dyDescent="0.45">
      <c r="A23" s="185" t="e">
        <f t="array" aca="1" ref="A23" ca="1">IF(OR(COUNTIF(A21,"*1000*"),COUNTIF(A21,"")),"",INDEX(貼り付け用!$A:$A,MATCH(A21,貼り付け用!$A:$A,0)+2,0))</f>
        <v>#N/A</v>
      </c>
      <c r="B23" s="138" t="str">
        <f ca="1">IFERROR(VALUE(IF(VLOOKUP($A23,数出表_Excel!$A$6:$T$150,COLUMN()/2+1,FALSE)=0,"",VLOOKUP($A23,数出表_Excel!$A$6:$T$150,COLUMN()/2+1,FALSE))),"")</f>
        <v/>
      </c>
      <c r="C23" s="138"/>
      <c r="D23" s="138" t="str">
        <f ca="1">IFERROR(VALUE(IF(VLOOKUP($A23,数出表_Excel!$A$6:$T$150,COLUMN()/2+1,FALSE)=0,"",VLOOKUP($A23,数出表_Excel!$A$6:$T$150,COLUMN()/2+1,FALSE))),"")</f>
        <v/>
      </c>
      <c r="E23" s="138"/>
      <c r="F23" s="142" t="str">
        <f ca="1">IFERROR(VALUE(IF(VLOOKUP($A23,数出表_Excel!$A$6:$T$150,COLUMN()/2+1,FALSE)=0,"",VLOOKUP($A23,数出表_Excel!$A$6:$T$150,COLUMN()/2+1,FALSE))),"")</f>
        <v/>
      </c>
      <c r="G23" s="138"/>
      <c r="H23" s="138" t="str">
        <f ca="1">IFERROR(VALUE(IF(VLOOKUP($A23,数出表_Excel!$A$6:$T$150,COLUMN()/2+1,FALSE)=0,"",VLOOKUP($A23,数出表_Excel!$A$6:$T$150,COLUMN()/2+1,FALSE))),"")</f>
        <v/>
      </c>
      <c r="I23" s="138"/>
      <c r="J23" s="138" t="str">
        <f ca="1">IFERROR(VALUE(IF(VLOOKUP($A23,数出表_Excel!$A$6:$T$150,COLUMN()/2+1,FALSE)=0,"",VLOOKUP($A23,数出表_Excel!$A$6:$T$150,COLUMN()/2+1,FALSE))),"")</f>
        <v/>
      </c>
      <c r="K23" s="138"/>
      <c r="L23" s="142" t="str">
        <f ca="1">IFERROR(VALUE(IF(VLOOKUP($A23,数出表_Excel!$A$6:$T$150,COLUMN()/2+1,FALSE)=0,"",VLOOKUP($A23,数出表_Excel!$A$6:$T$150,COLUMN()/2+1,FALSE))),"")</f>
        <v/>
      </c>
      <c r="M23" s="138"/>
      <c r="N23" s="138" t="str">
        <f ca="1">IFERROR(VALUE(IF(VLOOKUP($A23,数出表_Excel!$A$6:$T$150,COLUMN()/2+1,FALSE)=0,"",VLOOKUP($A23,数出表_Excel!$A$6:$T$150,COLUMN()/2+1,FALSE))),"")</f>
        <v/>
      </c>
      <c r="O23" s="138"/>
      <c r="P23" s="138" t="str">
        <f ca="1">IFERROR(VALUE(IF(VLOOKUP($A23,数出表_Excel!$A$6:$T$150,COLUMN()/2+1,FALSE)=0,"",VLOOKUP($A23,数出表_Excel!$A$6:$T$150,COLUMN()/2+1,FALSE))),"")</f>
        <v/>
      </c>
      <c r="Q23" s="138"/>
      <c r="R23" s="138" t="str">
        <f ca="1">IFERROR(VALUE(IF(VLOOKUP($A23,数出表_Excel!$A$6:$T$150,COLUMN()/2+1,FALSE)=0,"",VLOOKUP($A23,数出表_Excel!$A$6:$T$150,COLUMN()/2+1,FALSE))),"")</f>
        <v/>
      </c>
      <c r="S23" s="138"/>
      <c r="T23" s="138" t="str">
        <f ca="1">IFERROR(VALUE(IF(VLOOKUP($A23,数出表_Excel!$A$6:$T$150,COLUMN()/2+1,FALSE)=0,"",VLOOKUP($A23,数出表_Excel!$A$6:$T$150,COLUMN()/2+1,FALSE))),"")</f>
        <v/>
      </c>
      <c r="U23" s="138"/>
      <c r="V23" s="142" t="str">
        <f ca="1">IFERROR(VALUE(IF(VLOOKUP($A23,数出表_Excel!$A$6:$T$150,COLUMN()/2+1,FALSE)=0,"",VLOOKUP($A23,数出表_Excel!$A$6:$T$150,COLUMN()/2+1,FALSE))),"")</f>
        <v/>
      </c>
      <c r="W23" s="138"/>
      <c r="X23" s="142" t="str">
        <f ca="1">IFERROR(VALUE(IF(VLOOKUP($A23,数出表_Excel!$A$6:$T$150,COLUMN()/2+1,FALSE)=0,"",VLOOKUP($A23,数出表_Excel!$A$6:$T$150,COLUMN()/2+1,FALSE))),"")</f>
        <v/>
      </c>
      <c r="Y23" s="138"/>
      <c r="Z23" s="142" t="str">
        <f ca="1">IFERROR(VALUE(IF(VLOOKUP($A23,数出表_Excel!$A$6:$T$150,COLUMN()/2+1,FALSE)=0,"",VLOOKUP($A23,数出表_Excel!$A$6:$T$150,COLUMN()/2+1,FALSE))),"")</f>
        <v/>
      </c>
      <c r="AA23" s="176"/>
      <c r="AB23" s="143" t="str">
        <f ca="1">IFERROR(VALUE(IF(VLOOKUP($A23,数出表_Excel!$A$6:$T$150,COLUMN()/2+1,FALSE)=0,"",VLOOKUP($A23,数出表_Excel!$A$6:$T$150,COLUMN()/2+1,FALSE))),"")</f>
        <v/>
      </c>
      <c r="AC23" s="138"/>
      <c r="AD23" s="142" t="str">
        <f ca="1">IFERROR(VALUE(IF(VLOOKUP($A23,数出表_Excel!$A$6:$T$150,COLUMN()/2+1,FALSE)=0,"",VLOOKUP($A23,数出表_Excel!$A$6:$T$150,COLUMN()/2+1,FALSE))),"")</f>
        <v/>
      </c>
      <c r="AE23" s="138"/>
      <c r="AF23" s="142" t="str">
        <f ca="1">IFERROR(VALUE(IF(VLOOKUP($A23,数出表_Excel!$A$6:$T$150,COLUMN()/2+1,FALSE)=0,"",VLOOKUP($A23,数出表_Excel!$A$6:$T$150,COLUMN()/2+1,FALSE))),"")</f>
        <v/>
      </c>
      <c r="AG23" s="138"/>
      <c r="AH23" s="142" t="str">
        <f ca="1">IFERROR(VALUE(IF(VLOOKUP($A23,数出表_Excel!$A$6:$T$150,COLUMN()/2+1,FALSE)=0,"",VLOOKUP($A23,数出表_Excel!$A$6:$T$150,COLUMN()/2+1,FALSE))),"")</f>
        <v/>
      </c>
      <c r="AI23" s="176"/>
      <c r="AJ23" s="143" t="str">
        <f ca="1">IFERROR(VALUE(IF(VLOOKUP($A23,数出表_Excel!$A$6:$T$150,COLUMN()/2+1,FALSE)=0,"",VLOOKUP($A23,数出表_Excel!$A$6:$T$150,COLUMN()/2+1,FALSE))),"")</f>
        <v/>
      </c>
      <c r="AK23" s="138"/>
      <c r="AL23" s="144" t="e">
        <f ca="1">IF(A23&lt;&gt;"",
IF(VLOOKUP($A23,数出表_Excel!$A$6:$T$150,COLUMN()/2+1,FALSE)=0,"",VLOOKUP($A23,数出表_Excel!$A$6:$T$150,COLUMN()/2+1,FALSE)),"")</f>
        <v>#N/A</v>
      </c>
      <c r="AM23" s="224" t="e">
        <f ca="1">数出表_Excel!V23</f>
        <v>#N/A</v>
      </c>
      <c r="AN23" s="225" t="e">
        <f ca="1">数出表_Excel!W23</f>
        <v>#N/A</v>
      </c>
    </row>
    <row r="24" spans="1:40" ht="16.2" customHeight="1" x14ac:dyDescent="0.45">
      <c r="A24" s="184" t="e">
        <f t="array" aca="1" ref="A24" ca="1">IF(OR(COUNTIF(A22,"*10002*"),COUNTIF(A22,"")),"",INDEX(貼り付け用!$A:$A,MATCH(A22,貼り付け用!$A:$A,0)+2,0))</f>
        <v>#N/A</v>
      </c>
      <c r="B24" s="172" t="str">
        <f ca="1">IFERROR(VALUE(IF(VLOOKUP($A24,数出表_Excel!$A$6:$T$150,COLUMN()/2+1,FALSE)=0,"",VLOOKUP($A24,数出表_Excel!$A$6:$T$150,COLUMN()/2+1,FALSE))),"")</f>
        <v/>
      </c>
      <c r="C24" s="137"/>
      <c r="D24" s="172" t="str">
        <f ca="1">IFERROR(VALUE(IF(VLOOKUP($A24,数出表_Excel!$A$6:$T$150,COLUMN()/2+1,FALSE)=0,"",VLOOKUP($A24,数出表_Excel!$A$6:$T$150,COLUMN()/2+1,FALSE))),"")</f>
        <v/>
      </c>
      <c r="E24" s="137"/>
      <c r="F24" s="174" t="str">
        <f ca="1">IFERROR(VALUE(IF(VLOOKUP($A24,数出表_Excel!$A$6:$T$150,COLUMN()/2+1,FALSE)=0,"",VLOOKUP($A24,数出表_Excel!$A$6:$T$150,COLUMN()/2+1,FALSE))),"")</f>
        <v/>
      </c>
      <c r="G24" s="137"/>
      <c r="H24" s="172" t="str">
        <f ca="1">IFERROR(VALUE(IF(VLOOKUP($A24,数出表_Excel!$A$6:$T$150,COLUMN()/2+1,FALSE)=0,"",VLOOKUP($A24,数出表_Excel!$A$6:$T$150,COLUMN()/2+1,FALSE))),"")</f>
        <v/>
      </c>
      <c r="I24" s="137"/>
      <c r="J24" s="172" t="str">
        <f ca="1">IFERROR(VALUE(IF(VLOOKUP($A24,数出表_Excel!$A$6:$T$150,COLUMN()/2+1,FALSE)=0,"",VLOOKUP($A24,数出表_Excel!$A$6:$T$150,COLUMN()/2+1,FALSE))),"")</f>
        <v/>
      </c>
      <c r="K24" s="137"/>
      <c r="L24" s="174" t="str">
        <f ca="1">IFERROR(VALUE(IF(VLOOKUP($A24,数出表_Excel!$A$6:$T$150,COLUMN()/2+1,FALSE)=0,"",VLOOKUP($A24,数出表_Excel!$A$6:$T$150,COLUMN()/2+1,FALSE))),"")</f>
        <v/>
      </c>
      <c r="M24" s="137"/>
      <c r="N24" s="172" t="str">
        <f ca="1">IFERROR(VALUE(IF(VLOOKUP($A24,数出表_Excel!$A$6:$T$150,COLUMN()/2+1,FALSE)=0,"",VLOOKUP($A24,数出表_Excel!$A$6:$T$150,COLUMN()/2+1,FALSE))),"")</f>
        <v/>
      </c>
      <c r="O24" s="137"/>
      <c r="P24" s="172" t="str">
        <f ca="1">IFERROR(VALUE(IF(VLOOKUP($A24,数出表_Excel!$A$6:$T$150,COLUMN()/2+1,FALSE)=0,"",VLOOKUP($A24,数出表_Excel!$A$6:$T$150,COLUMN()/2+1,FALSE))),"")</f>
        <v/>
      </c>
      <c r="Q24" s="137"/>
      <c r="R24" s="172" t="str">
        <f ca="1">IFERROR(VALUE(IF(VLOOKUP($A24,数出表_Excel!$A$6:$T$150,COLUMN()/2+1,FALSE)=0,"",VLOOKUP($A24,数出表_Excel!$A$6:$T$150,COLUMN()/2+1,FALSE))),"")</f>
        <v/>
      </c>
      <c r="S24" s="137"/>
      <c r="T24" s="172" t="str">
        <f ca="1">IFERROR(VALUE(IF(VLOOKUP($A24,数出表_Excel!$A$6:$T$150,COLUMN()/2+1,FALSE)=0,"",VLOOKUP($A24,数出表_Excel!$A$6:$T$150,COLUMN()/2+1,FALSE))),"")</f>
        <v/>
      </c>
      <c r="U24" s="137"/>
      <c r="V24" s="174" t="str">
        <f ca="1">IFERROR(VALUE(IF(VLOOKUP($A24,数出表_Excel!$A$6:$T$150,COLUMN()/2+1,FALSE)=0,"",VLOOKUP($A24,数出表_Excel!$A$6:$T$150,COLUMN()/2+1,FALSE))),"")</f>
        <v/>
      </c>
      <c r="W24" s="137"/>
      <c r="X24" s="174" t="str">
        <f ca="1">IFERROR(VALUE(IF(VLOOKUP($A24,数出表_Excel!$A$6:$T$150,COLUMN()/2+1,FALSE)=0,"",VLOOKUP($A24,数出表_Excel!$A$6:$T$150,COLUMN()/2+1,FALSE))),"")</f>
        <v/>
      </c>
      <c r="Y24" s="137"/>
      <c r="Z24" s="174" t="str">
        <f ca="1">IFERROR(VALUE(IF(VLOOKUP($A24,数出表_Excel!$A$6:$T$150,COLUMN()/2+1,FALSE)=0,"",VLOOKUP($A24,数出表_Excel!$A$6:$T$150,COLUMN()/2+1,FALSE))),"")</f>
        <v/>
      </c>
      <c r="AA24" s="175"/>
      <c r="AB24" s="173" t="str">
        <f ca="1">IFERROR(VALUE(IF(VLOOKUP($A24,数出表_Excel!$A$6:$T$150,COLUMN()/2+1,FALSE)=0,"",VLOOKUP($A24,数出表_Excel!$A$6:$T$150,COLUMN()/2+1,FALSE))),"")</f>
        <v/>
      </c>
      <c r="AC24" s="137"/>
      <c r="AD24" s="174" t="str">
        <f ca="1">IFERROR(VALUE(IF(VLOOKUP($A24,数出表_Excel!$A$6:$T$150,COLUMN()/2+1,FALSE)=0,"",VLOOKUP($A24,数出表_Excel!$A$6:$T$150,COLUMN()/2+1,FALSE))),"")</f>
        <v/>
      </c>
      <c r="AE24" s="137"/>
      <c r="AF24" s="174" t="str">
        <f ca="1">IFERROR(VALUE(IF(VLOOKUP($A24,数出表_Excel!$A$6:$T$150,COLUMN()/2+1,FALSE)=0,"",VLOOKUP($A24,数出表_Excel!$A$6:$T$150,COLUMN()/2+1,FALSE))),"")</f>
        <v/>
      </c>
      <c r="AG24" s="137"/>
      <c r="AH24" s="174" t="str">
        <f ca="1">IFERROR(VALUE(IF(VLOOKUP($A24,数出表_Excel!$A$6:$T$150,COLUMN()/2+1,FALSE)=0,"",VLOOKUP($A24,数出表_Excel!$A$6:$T$150,COLUMN()/2+1,FALSE))),"")</f>
        <v/>
      </c>
      <c r="AI24" s="175"/>
      <c r="AJ24" s="173" t="str">
        <f ca="1">IFERROR(VALUE(IF(VLOOKUP($A24,数出表_Excel!$A$6:$T$150,COLUMN()/2+1,FALSE)=0,"",VLOOKUP($A24,数出表_Excel!$A$6:$T$150,COLUMN()/2+1,FALSE))),"")</f>
        <v/>
      </c>
      <c r="AK24" s="137"/>
      <c r="AL24" s="141" t="e">
        <f ca="1">IF(A24&lt;&gt;"",
IF(VLOOKUP($A24,数出表_Excel!$A$6:$T$150,COLUMN()/2+1,FALSE)=0,"",VLOOKUP($A24,数出表_Excel!$A$6:$T$150,COLUMN()/2+1,FALSE)),"")</f>
        <v>#N/A</v>
      </c>
      <c r="AM24" s="222" t="e">
        <f ca="1">数出表_Excel!V24</f>
        <v>#N/A</v>
      </c>
      <c r="AN24" s="223" t="e">
        <f ca="1">数出表_Excel!W24</f>
        <v>#N/A</v>
      </c>
    </row>
    <row r="25" spans="1:40" ht="16.2" customHeight="1" x14ac:dyDescent="0.45">
      <c r="A25" s="185" t="e">
        <f t="array" aca="1" ref="A25" ca="1">IF(OR(COUNTIF(A23,"*1000*"),COUNTIF(A23,"")),"",INDEX(貼り付け用!$A:$A,MATCH(A23,貼り付け用!$A:$A,0)+2,0))</f>
        <v>#N/A</v>
      </c>
      <c r="B25" s="138" t="str">
        <f ca="1">IFERROR(VALUE(IF(VLOOKUP($A25,数出表_Excel!$A$6:$T$150,COLUMN()/2+1,FALSE)=0,"",VLOOKUP($A25,数出表_Excel!$A$6:$T$150,COLUMN()/2+1,FALSE))),"")</f>
        <v/>
      </c>
      <c r="C25" s="138"/>
      <c r="D25" s="138" t="str">
        <f ca="1">IFERROR(VALUE(IF(VLOOKUP($A25,数出表_Excel!$A$6:$T$150,COLUMN()/2+1,FALSE)=0,"",VLOOKUP($A25,数出表_Excel!$A$6:$T$150,COLUMN()/2+1,FALSE))),"")</f>
        <v/>
      </c>
      <c r="E25" s="138"/>
      <c r="F25" s="142" t="str">
        <f ca="1">IFERROR(VALUE(IF(VLOOKUP($A25,数出表_Excel!$A$6:$T$150,COLUMN()/2+1,FALSE)=0,"",VLOOKUP($A25,数出表_Excel!$A$6:$T$150,COLUMN()/2+1,FALSE))),"")</f>
        <v/>
      </c>
      <c r="G25" s="138"/>
      <c r="H25" s="138" t="str">
        <f ca="1">IFERROR(VALUE(IF(VLOOKUP($A25,数出表_Excel!$A$6:$T$150,COLUMN()/2+1,FALSE)=0,"",VLOOKUP($A25,数出表_Excel!$A$6:$T$150,COLUMN()/2+1,FALSE))),"")</f>
        <v/>
      </c>
      <c r="I25" s="138"/>
      <c r="J25" s="138" t="str">
        <f ca="1">IFERROR(VALUE(IF(VLOOKUP($A25,数出表_Excel!$A$6:$T$150,COLUMN()/2+1,FALSE)=0,"",VLOOKUP($A25,数出表_Excel!$A$6:$T$150,COLUMN()/2+1,FALSE))),"")</f>
        <v/>
      </c>
      <c r="K25" s="138"/>
      <c r="L25" s="142" t="str">
        <f ca="1">IFERROR(VALUE(IF(VLOOKUP($A25,数出表_Excel!$A$6:$T$150,COLUMN()/2+1,FALSE)=0,"",VLOOKUP($A25,数出表_Excel!$A$6:$T$150,COLUMN()/2+1,FALSE))),"")</f>
        <v/>
      </c>
      <c r="M25" s="138"/>
      <c r="N25" s="138" t="str">
        <f ca="1">IFERROR(VALUE(IF(VLOOKUP($A25,数出表_Excel!$A$6:$T$150,COLUMN()/2+1,FALSE)=0,"",VLOOKUP($A25,数出表_Excel!$A$6:$T$150,COLUMN()/2+1,FALSE))),"")</f>
        <v/>
      </c>
      <c r="O25" s="138"/>
      <c r="P25" s="138" t="str">
        <f ca="1">IFERROR(VALUE(IF(VLOOKUP($A25,数出表_Excel!$A$6:$T$150,COLUMN()/2+1,FALSE)=0,"",VLOOKUP($A25,数出表_Excel!$A$6:$T$150,COLUMN()/2+1,FALSE))),"")</f>
        <v/>
      </c>
      <c r="Q25" s="138"/>
      <c r="R25" s="138" t="str">
        <f ca="1">IFERROR(VALUE(IF(VLOOKUP($A25,数出表_Excel!$A$6:$T$150,COLUMN()/2+1,FALSE)=0,"",VLOOKUP($A25,数出表_Excel!$A$6:$T$150,COLUMN()/2+1,FALSE))),"")</f>
        <v/>
      </c>
      <c r="S25" s="138"/>
      <c r="T25" s="138" t="str">
        <f ca="1">IFERROR(VALUE(IF(VLOOKUP($A25,数出表_Excel!$A$6:$T$150,COLUMN()/2+1,FALSE)=0,"",VLOOKUP($A25,数出表_Excel!$A$6:$T$150,COLUMN()/2+1,FALSE))),"")</f>
        <v/>
      </c>
      <c r="U25" s="138"/>
      <c r="V25" s="142" t="str">
        <f ca="1">IFERROR(VALUE(IF(VLOOKUP($A25,数出表_Excel!$A$6:$T$150,COLUMN()/2+1,FALSE)=0,"",VLOOKUP($A25,数出表_Excel!$A$6:$T$150,COLUMN()/2+1,FALSE))),"")</f>
        <v/>
      </c>
      <c r="W25" s="138"/>
      <c r="X25" s="142" t="str">
        <f ca="1">IFERROR(VALUE(IF(VLOOKUP($A25,数出表_Excel!$A$6:$T$150,COLUMN()/2+1,FALSE)=0,"",VLOOKUP($A25,数出表_Excel!$A$6:$T$150,COLUMN()/2+1,FALSE))),"")</f>
        <v/>
      </c>
      <c r="Y25" s="138"/>
      <c r="Z25" s="142" t="str">
        <f ca="1">IFERROR(VALUE(IF(VLOOKUP($A25,数出表_Excel!$A$6:$T$150,COLUMN()/2+1,FALSE)=0,"",VLOOKUP($A25,数出表_Excel!$A$6:$T$150,COLUMN()/2+1,FALSE))),"")</f>
        <v/>
      </c>
      <c r="AA25" s="176"/>
      <c r="AB25" s="143" t="str">
        <f ca="1">IFERROR(VALUE(IF(VLOOKUP($A25,数出表_Excel!$A$6:$T$150,COLUMN()/2+1,FALSE)=0,"",VLOOKUP($A25,数出表_Excel!$A$6:$T$150,COLUMN()/2+1,FALSE))),"")</f>
        <v/>
      </c>
      <c r="AC25" s="138"/>
      <c r="AD25" s="142" t="str">
        <f ca="1">IFERROR(VALUE(IF(VLOOKUP($A25,数出表_Excel!$A$6:$T$150,COLUMN()/2+1,FALSE)=0,"",VLOOKUP($A25,数出表_Excel!$A$6:$T$150,COLUMN()/2+1,FALSE))),"")</f>
        <v/>
      </c>
      <c r="AE25" s="138"/>
      <c r="AF25" s="142" t="str">
        <f ca="1">IFERROR(VALUE(IF(VLOOKUP($A25,数出表_Excel!$A$6:$T$150,COLUMN()/2+1,FALSE)=0,"",VLOOKUP($A25,数出表_Excel!$A$6:$T$150,COLUMN()/2+1,FALSE))),"")</f>
        <v/>
      </c>
      <c r="AG25" s="138"/>
      <c r="AH25" s="142" t="str">
        <f ca="1">IFERROR(VALUE(IF(VLOOKUP($A25,数出表_Excel!$A$6:$T$150,COLUMN()/2+1,FALSE)=0,"",VLOOKUP($A25,数出表_Excel!$A$6:$T$150,COLUMN()/2+1,FALSE))),"")</f>
        <v/>
      </c>
      <c r="AI25" s="176"/>
      <c r="AJ25" s="143" t="str">
        <f ca="1">IFERROR(VALUE(IF(VLOOKUP($A25,数出表_Excel!$A$6:$T$150,COLUMN()/2+1,FALSE)=0,"",VLOOKUP($A25,数出表_Excel!$A$6:$T$150,COLUMN()/2+1,FALSE))),"")</f>
        <v/>
      </c>
      <c r="AK25" s="138"/>
      <c r="AL25" s="144" t="e">
        <f ca="1">IF(A25&lt;&gt;"",
IF(VLOOKUP($A25,数出表_Excel!$A$6:$T$150,COLUMN()/2+1,FALSE)=0,"",VLOOKUP($A25,数出表_Excel!$A$6:$T$150,COLUMN()/2+1,FALSE)),"")</f>
        <v>#N/A</v>
      </c>
      <c r="AM25" s="224" t="e">
        <f ca="1">数出表_Excel!V25</f>
        <v>#N/A</v>
      </c>
      <c r="AN25" s="225" t="e">
        <f ca="1">数出表_Excel!W25</f>
        <v>#N/A</v>
      </c>
    </row>
    <row r="26" spans="1:40" ht="16.2" customHeight="1" x14ac:dyDescent="0.45">
      <c r="A26" s="184" t="e">
        <f t="array" aca="1" ref="A26" ca="1">IF(OR(COUNTIF(A24,"*10002*"),COUNTIF(A24,"")),"",INDEX(貼り付け用!$A:$A,MATCH(A24,貼り付け用!$A:$A,0)+2,0))</f>
        <v>#N/A</v>
      </c>
      <c r="B26" s="172" t="str">
        <f ca="1">IFERROR(VALUE(IF(VLOOKUP($A26,数出表_Excel!$A$6:$T$150,COLUMN()/2+1,FALSE)=0,"",VLOOKUP($A26,数出表_Excel!$A$6:$T$150,COLUMN()/2+1,FALSE))),"")</f>
        <v/>
      </c>
      <c r="C26" s="137"/>
      <c r="D26" s="172" t="str">
        <f ca="1">IFERROR(VALUE(IF(VLOOKUP($A26,数出表_Excel!$A$6:$T$150,COLUMN()/2+1,FALSE)=0,"",VLOOKUP($A26,数出表_Excel!$A$6:$T$150,COLUMN()/2+1,FALSE))),"")</f>
        <v/>
      </c>
      <c r="E26" s="137"/>
      <c r="F26" s="174" t="str">
        <f ca="1">IFERROR(VALUE(IF(VLOOKUP($A26,数出表_Excel!$A$6:$T$150,COLUMN()/2+1,FALSE)=0,"",VLOOKUP($A26,数出表_Excel!$A$6:$T$150,COLUMN()/2+1,FALSE))),"")</f>
        <v/>
      </c>
      <c r="G26" s="137"/>
      <c r="H26" s="172" t="str">
        <f ca="1">IFERROR(VALUE(IF(VLOOKUP($A26,数出表_Excel!$A$6:$T$150,COLUMN()/2+1,FALSE)=0,"",VLOOKUP($A26,数出表_Excel!$A$6:$T$150,COLUMN()/2+1,FALSE))),"")</f>
        <v/>
      </c>
      <c r="I26" s="137"/>
      <c r="J26" s="172" t="str">
        <f ca="1">IFERROR(VALUE(IF(VLOOKUP($A26,数出表_Excel!$A$6:$T$150,COLUMN()/2+1,FALSE)=0,"",VLOOKUP($A26,数出表_Excel!$A$6:$T$150,COLUMN()/2+1,FALSE))),"")</f>
        <v/>
      </c>
      <c r="K26" s="137"/>
      <c r="L26" s="174" t="str">
        <f ca="1">IFERROR(VALUE(IF(VLOOKUP($A26,数出表_Excel!$A$6:$T$150,COLUMN()/2+1,FALSE)=0,"",VLOOKUP($A26,数出表_Excel!$A$6:$T$150,COLUMN()/2+1,FALSE))),"")</f>
        <v/>
      </c>
      <c r="M26" s="137"/>
      <c r="N26" s="172" t="str">
        <f ca="1">IFERROR(VALUE(IF(VLOOKUP($A26,数出表_Excel!$A$6:$T$150,COLUMN()/2+1,FALSE)=0,"",VLOOKUP($A26,数出表_Excel!$A$6:$T$150,COLUMN()/2+1,FALSE))),"")</f>
        <v/>
      </c>
      <c r="O26" s="137"/>
      <c r="P26" s="172" t="str">
        <f ca="1">IFERROR(VALUE(IF(VLOOKUP($A26,数出表_Excel!$A$6:$T$150,COLUMN()/2+1,FALSE)=0,"",VLOOKUP($A26,数出表_Excel!$A$6:$T$150,COLUMN()/2+1,FALSE))),"")</f>
        <v/>
      </c>
      <c r="Q26" s="137"/>
      <c r="R26" s="172" t="str">
        <f ca="1">IFERROR(VALUE(IF(VLOOKUP($A26,数出表_Excel!$A$6:$T$150,COLUMN()/2+1,FALSE)=0,"",VLOOKUP($A26,数出表_Excel!$A$6:$T$150,COLUMN()/2+1,FALSE))),"")</f>
        <v/>
      </c>
      <c r="S26" s="137"/>
      <c r="T26" s="172" t="str">
        <f ca="1">IFERROR(VALUE(IF(VLOOKUP($A26,数出表_Excel!$A$6:$T$150,COLUMN()/2+1,FALSE)=0,"",VLOOKUP($A26,数出表_Excel!$A$6:$T$150,COLUMN()/2+1,FALSE))),"")</f>
        <v/>
      </c>
      <c r="U26" s="137"/>
      <c r="V26" s="174" t="str">
        <f ca="1">IFERROR(VALUE(IF(VLOOKUP($A26,数出表_Excel!$A$6:$T$150,COLUMN()/2+1,FALSE)=0,"",VLOOKUP($A26,数出表_Excel!$A$6:$T$150,COLUMN()/2+1,FALSE))),"")</f>
        <v/>
      </c>
      <c r="W26" s="137"/>
      <c r="X26" s="174" t="str">
        <f ca="1">IFERROR(VALUE(IF(VLOOKUP($A26,数出表_Excel!$A$6:$T$150,COLUMN()/2+1,FALSE)=0,"",VLOOKUP($A26,数出表_Excel!$A$6:$T$150,COLUMN()/2+1,FALSE))),"")</f>
        <v/>
      </c>
      <c r="Y26" s="137"/>
      <c r="Z26" s="174" t="str">
        <f ca="1">IFERROR(VALUE(IF(VLOOKUP($A26,数出表_Excel!$A$6:$T$150,COLUMN()/2+1,FALSE)=0,"",VLOOKUP($A26,数出表_Excel!$A$6:$T$150,COLUMN()/2+1,FALSE))),"")</f>
        <v/>
      </c>
      <c r="AA26" s="175"/>
      <c r="AB26" s="173" t="str">
        <f ca="1">IFERROR(VALUE(IF(VLOOKUP($A26,数出表_Excel!$A$6:$T$150,COLUMN()/2+1,FALSE)=0,"",VLOOKUP($A26,数出表_Excel!$A$6:$T$150,COLUMN()/2+1,FALSE))),"")</f>
        <v/>
      </c>
      <c r="AC26" s="137"/>
      <c r="AD26" s="174" t="str">
        <f ca="1">IFERROR(VALUE(IF(VLOOKUP($A26,数出表_Excel!$A$6:$T$150,COLUMN()/2+1,FALSE)=0,"",VLOOKUP($A26,数出表_Excel!$A$6:$T$150,COLUMN()/2+1,FALSE))),"")</f>
        <v/>
      </c>
      <c r="AE26" s="137"/>
      <c r="AF26" s="174" t="str">
        <f ca="1">IFERROR(VALUE(IF(VLOOKUP($A26,数出表_Excel!$A$6:$T$150,COLUMN()/2+1,FALSE)=0,"",VLOOKUP($A26,数出表_Excel!$A$6:$T$150,COLUMN()/2+1,FALSE))),"")</f>
        <v/>
      </c>
      <c r="AG26" s="137"/>
      <c r="AH26" s="174" t="str">
        <f ca="1">IFERROR(VALUE(IF(VLOOKUP($A26,数出表_Excel!$A$6:$T$150,COLUMN()/2+1,FALSE)=0,"",VLOOKUP($A26,数出表_Excel!$A$6:$T$150,COLUMN()/2+1,FALSE))),"")</f>
        <v/>
      </c>
      <c r="AI26" s="175"/>
      <c r="AJ26" s="173" t="str">
        <f ca="1">IFERROR(VALUE(IF(VLOOKUP($A26,数出表_Excel!$A$6:$T$150,COLUMN()/2+1,FALSE)=0,"",VLOOKUP($A26,数出表_Excel!$A$6:$T$150,COLUMN()/2+1,FALSE))),"")</f>
        <v/>
      </c>
      <c r="AK26" s="137"/>
      <c r="AL26" s="141" t="e">
        <f ca="1">IF(A26&lt;&gt;"",
IF(VLOOKUP($A26,数出表_Excel!$A$6:$T$150,COLUMN()/2+1,FALSE)=0,"",VLOOKUP($A26,数出表_Excel!$A$6:$T$150,COLUMN()/2+1,FALSE)),"")</f>
        <v>#N/A</v>
      </c>
      <c r="AM26" s="222" t="e">
        <f ca="1">数出表_Excel!V26</f>
        <v>#N/A</v>
      </c>
      <c r="AN26" s="223" t="e">
        <f ca="1">数出表_Excel!W26</f>
        <v>#N/A</v>
      </c>
    </row>
    <row r="27" spans="1:40" ht="16.2" customHeight="1" x14ac:dyDescent="0.45">
      <c r="A27" s="185" t="e">
        <f t="array" aca="1" ref="A27" ca="1">IF(OR(COUNTIF(A25,"*1000*"),COUNTIF(A25,"")),"",INDEX(貼り付け用!$A:$A,MATCH(A25,貼り付け用!$A:$A,0)+2,0))</f>
        <v>#N/A</v>
      </c>
      <c r="B27" s="138" t="str">
        <f ca="1">IFERROR(VALUE(IF(VLOOKUP($A27,数出表_Excel!$A$6:$T$150,COLUMN()/2+1,FALSE)=0,"",VLOOKUP($A27,数出表_Excel!$A$6:$T$150,COLUMN()/2+1,FALSE))),"")</f>
        <v/>
      </c>
      <c r="C27" s="138"/>
      <c r="D27" s="138" t="str">
        <f ca="1">IFERROR(VALUE(IF(VLOOKUP($A27,数出表_Excel!$A$6:$T$150,COLUMN()/2+1,FALSE)=0,"",VLOOKUP($A27,数出表_Excel!$A$6:$T$150,COLUMN()/2+1,FALSE))),"")</f>
        <v/>
      </c>
      <c r="E27" s="138"/>
      <c r="F27" s="142" t="str">
        <f ca="1">IFERROR(VALUE(IF(VLOOKUP($A27,数出表_Excel!$A$6:$T$150,COLUMN()/2+1,FALSE)=0,"",VLOOKUP($A27,数出表_Excel!$A$6:$T$150,COLUMN()/2+1,FALSE))),"")</f>
        <v/>
      </c>
      <c r="G27" s="138"/>
      <c r="H27" s="138" t="str">
        <f ca="1">IFERROR(VALUE(IF(VLOOKUP($A27,数出表_Excel!$A$6:$T$150,COLUMN()/2+1,FALSE)=0,"",VLOOKUP($A27,数出表_Excel!$A$6:$T$150,COLUMN()/2+1,FALSE))),"")</f>
        <v/>
      </c>
      <c r="I27" s="138"/>
      <c r="J27" s="138" t="str">
        <f ca="1">IFERROR(VALUE(IF(VLOOKUP($A27,数出表_Excel!$A$6:$T$150,COLUMN()/2+1,FALSE)=0,"",VLOOKUP($A27,数出表_Excel!$A$6:$T$150,COLUMN()/2+1,FALSE))),"")</f>
        <v/>
      </c>
      <c r="K27" s="138"/>
      <c r="L27" s="142" t="str">
        <f ca="1">IFERROR(VALUE(IF(VLOOKUP($A27,数出表_Excel!$A$6:$T$150,COLUMN()/2+1,FALSE)=0,"",VLOOKUP($A27,数出表_Excel!$A$6:$T$150,COLUMN()/2+1,FALSE))),"")</f>
        <v/>
      </c>
      <c r="M27" s="138"/>
      <c r="N27" s="138" t="str">
        <f ca="1">IFERROR(VALUE(IF(VLOOKUP($A27,数出表_Excel!$A$6:$T$150,COLUMN()/2+1,FALSE)=0,"",VLOOKUP($A27,数出表_Excel!$A$6:$T$150,COLUMN()/2+1,FALSE))),"")</f>
        <v/>
      </c>
      <c r="O27" s="138"/>
      <c r="P27" s="138" t="str">
        <f ca="1">IFERROR(VALUE(IF(VLOOKUP($A27,数出表_Excel!$A$6:$T$150,COLUMN()/2+1,FALSE)=0,"",VLOOKUP($A27,数出表_Excel!$A$6:$T$150,COLUMN()/2+1,FALSE))),"")</f>
        <v/>
      </c>
      <c r="Q27" s="138"/>
      <c r="R27" s="138" t="str">
        <f ca="1">IFERROR(VALUE(IF(VLOOKUP($A27,数出表_Excel!$A$6:$T$150,COLUMN()/2+1,FALSE)=0,"",VLOOKUP($A27,数出表_Excel!$A$6:$T$150,COLUMN()/2+1,FALSE))),"")</f>
        <v/>
      </c>
      <c r="S27" s="138"/>
      <c r="T27" s="138" t="str">
        <f ca="1">IFERROR(VALUE(IF(VLOOKUP($A27,数出表_Excel!$A$6:$T$150,COLUMN()/2+1,FALSE)=0,"",VLOOKUP($A27,数出表_Excel!$A$6:$T$150,COLUMN()/2+1,FALSE))),"")</f>
        <v/>
      </c>
      <c r="U27" s="138"/>
      <c r="V27" s="142" t="str">
        <f ca="1">IFERROR(VALUE(IF(VLOOKUP($A27,数出表_Excel!$A$6:$T$150,COLUMN()/2+1,FALSE)=0,"",VLOOKUP($A27,数出表_Excel!$A$6:$T$150,COLUMN()/2+1,FALSE))),"")</f>
        <v/>
      </c>
      <c r="W27" s="138"/>
      <c r="X27" s="142" t="str">
        <f ca="1">IFERROR(VALUE(IF(VLOOKUP($A27,数出表_Excel!$A$6:$T$150,COLUMN()/2+1,FALSE)=0,"",VLOOKUP($A27,数出表_Excel!$A$6:$T$150,COLUMN()/2+1,FALSE))),"")</f>
        <v/>
      </c>
      <c r="Y27" s="138"/>
      <c r="Z27" s="142" t="str">
        <f ca="1">IFERROR(VALUE(IF(VLOOKUP($A27,数出表_Excel!$A$6:$T$150,COLUMN()/2+1,FALSE)=0,"",VLOOKUP($A27,数出表_Excel!$A$6:$T$150,COLUMN()/2+1,FALSE))),"")</f>
        <v/>
      </c>
      <c r="AA27" s="176"/>
      <c r="AB27" s="143" t="str">
        <f ca="1">IFERROR(VALUE(IF(VLOOKUP($A27,数出表_Excel!$A$6:$T$150,COLUMN()/2+1,FALSE)=0,"",VLOOKUP($A27,数出表_Excel!$A$6:$T$150,COLUMN()/2+1,FALSE))),"")</f>
        <v/>
      </c>
      <c r="AC27" s="138"/>
      <c r="AD27" s="142" t="str">
        <f ca="1">IFERROR(VALUE(IF(VLOOKUP($A27,数出表_Excel!$A$6:$T$150,COLUMN()/2+1,FALSE)=0,"",VLOOKUP($A27,数出表_Excel!$A$6:$T$150,COLUMN()/2+1,FALSE))),"")</f>
        <v/>
      </c>
      <c r="AE27" s="138"/>
      <c r="AF27" s="142" t="str">
        <f ca="1">IFERROR(VALUE(IF(VLOOKUP($A27,数出表_Excel!$A$6:$T$150,COLUMN()/2+1,FALSE)=0,"",VLOOKUP($A27,数出表_Excel!$A$6:$T$150,COLUMN()/2+1,FALSE))),"")</f>
        <v/>
      </c>
      <c r="AG27" s="138"/>
      <c r="AH27" s="142" t="str">
        <f ca="1">IFERROR(VALUE(IF(VLOOKUP($A27,数出表_Excel!$A$6:$T$150,COLUMN()/2+1,FALSE)=0,"",VLOOKUP($A27,数出表_Excel!$A$6:$T$150,COLUMN()/2+1,FALSE))),"")</f>
        <v/>
      </c>
      <c r="AI27" s="176"/>
      <c r="AJ27" s="143" t="str">
        <f ca="1">IFERROR(VALUE(IF(VLOOKUP($A27,数出表_Excel!$A$6:$T$150,COLUMN()/2+1,FALSE)=0,"",VLOOKUP($A27,数出表_Excel!$A$6:$T$150,COLUMN()/2+1,FALSE))),"")</f>
        <v/>
      </c>
      <c r="AK27" s="138"/>
      <c r="AL27" s="144" t="e">
        <f ca="1">IF(A27&lt;&gt;"",
IF(VLOOKUP($A27,数出表_Excel!$A$6:$T$150,COLUMN()/2+1,FALSE)=0,"",VLOOKUP($A27,数出表_Excel!$A$6:$T$150,COLUMN()/2+1,FALSE)),"")</f>
        <v>#N/A</v>
      </c>
      <c r="AM27" s="224" t="e">
        <f ca="1">数出表_Excel!V27</f>
        <v>#N/A</v>
      </c>
      <c r="AN27" s="225" t="e">
        <f ca="1">数出表_Excel!W27</f>
        <v>#N/A</v>
      </c>
    </row>
    <row r="28" spans="1:40" ht="16.2" customHeight="1" x14ac:dyDescent="0.45">
      <c r="A28" s="184" t="e">
        <f t="array" aca="1" ref="A28" ca="1">IF(OR(COUNTIF(A26,"*10002*"),COUNTIF(A26,"")),"",INDEX(貼り付け用!$A:$A,MATCH(A26,貼り付け用!$A:$A,0)+2,0))</f>
        <v>#N/A</v>
      </c>
      <c r="B28" s="172" t="str">
        <f ca="1">IFERROR(VALUE(IF(VLOOKUP($A28,数出表_Excel!$A$6:$T$150,COLUMN()/2+1,FALSE)=0,"",VLOOKUP($A28,数出表_Excel!$A$6:$T$150,COLUMN()/2+1,FALSE))),"")</f>
        <v/>
      </c>
      <c r="C28" s="137"/>
      <c r="D28" s="172" t="str">
        <f ca="1">IFERROR(VALUE(IF(VLOOKUP($A28,数出表_Excel!$A$6:$T$150,COLUMN()/2+1,FALSE)=0,"",VLOOKUP($A28,数出表_Excel!$A$6:$T$150,COLUMN()/2+1,FALSE))),"")</f>
        <v/>
      </c>
      <c r="E28" s="137"/>
      <c r="F28" s="174" t="str">
        <f ca="1">IFERROR(VALUE(IF(VLOOKUP($A28,数出表_Excel!$A$6:$T$150,COLUMN()/2+1,FALSE)=0,"",VLOOKUP($A28,数出表_Excel!$A$6:$T$150,COLUMN()/2+1,FALSE))),"")</f>
        <v/>
      </c>
      <c r="G28" s="137"/>
      <c r="H28" s="172" t="str">
        <f ca="1">IFERROR(VALUE(IF(VLOOKUP($A28,数出表_Excel!$A$6:$T$150,COLUMN()/2+1,FALSE)=0,"",VLOOKUP($A28,数出表_Excel!$A$6:$T$150,COLUMN()/2+1,FALSE))),"")</f>
        <v/>
      </c>
      <c r="I28" s="137"/>
      <c r="J28" s="172" t="str">
        <f ca="1">IFERROR(VALUE(IF(VLOOKUP($A28,数出表_Excel!$A$6:$T$150,COLUMN()/2+1,FALSE)=0,"",VLOOKUP($A28,数出表_Excel!$A$6:$T$150,COLUMN()/2+1,FALSE))),"")</f>
        <v/>
      </c>
      <c r="K28" s="137"/>
      <c r="L28" s="174" t="str">
        <f ca="1">IFERROR(VALUE(IF(VLOOKUP($A28,数出表_Excel!$A$6:$T$150,COLUMN()/2+1,FALSE)=0,"",VLOOKUP($A28,数出表_Excel!$A$6:$T$150,COLUMN()/2+1,FALSE))),"")</f>
        <v/>
      </c>
      <c r="M28" s="137"/>
      <c r="N28" s="172" t="str">
        <f ca="1">IFERROR(VALUE(IF(VLOOKUP($A28,数出表_Excel!$A$6:$T$150,COLUMN()/2+1,FALSE)=0,"",VLOOKUP($A28,数出表_Excel!$A$6:$T$150,COLUMN()/2+1,FALSE))),"")</f>
        <v/>
      </c>
      <c r="O28" s="137"/>
      <c r="P28" s="172" t="str">
        <f ca="1">IFERROR(VALUE(IF(VLOOKUP($A28,数出表_Excel!$A$6:$T$150,COLUMN()/2+1,FALSE)=0,"",VLOOKUP($A28,数出表_Excel!$A$6:$T$150,COLUMN()/2+1,FALSE))),"")</f>
        <v/>
      </c>
      <c r="Q28" s="137"/>
      <c r="R28" s="172" t="str">
        <f ca="1">IFERROR(VALUE(IF(VLOOKUP($A28,数出表_Excel!$A$6:$T$150,COLUMN()/2+1,FALSE)=0,"",VLOOKUP($A28,数出表_Excel!$A$6:$T$150,COLUMN()/2+1,FALSE))),"")</f>
        <v/>
      </c>
      <c r="S28" s="137"/>
      <c r="T28" s="172" t="str">
        <f ca="1">IFERROR(VALUE(IF(VLOOKUP($A28,数出表_Excel!$A$6:$T$150,COLUMN()/2+1,FALSE)=0,"",VLOOKUP($A28,数出表_Excel!$A$6:$T$150,COLUMN()/2+1,FALSE))),"")</f>
        <v/>
      </c>
      <c r="U28" s="137"/>
      <c r="V28" s="174" t="str">
        <f ca="1">IFERROR(VALUE(IF(VLOOKUP($A28,数出表_Excel!$A$6:$T$150,COLUMN()/2+1,FALSE)=0,"",VLOOKUP($A28,数出表_Excel!$A$6:$T$150,COLUMN()/2+1,FALSE))),"")</f>
        <v/>
      </c>
      <c r="W28" s="137"/>
      <c r="X28" s="174" t="str">
        <f ca="1">IFERROR(VALUE(IF(VLOOKUP($A28,数出表_Excel!$A$6:$T$150,COLUMN()/2+1,FALSE)=0,"",VLOOKUP($A28,数出表_Excel!$A$6:$T$150,COLUMN()/2+1,FALSE))),"")</f>
        <v/>
      </c>
      <c r="Y28" s="137"/>
      <c r="Z28" s="174" t="str">
        <f ca="1">IFERROR(VALUE(IF(VLOOKUP($A28,数出表_Excel!$A$6:$T$150,COLUMN()/2+1,FALSE)=0,"",VLOOKUP($A28,数出表_Excel!$A$6:$T$150,COLUMN()/2+1,FALSE))),"")</f>
        <v/>
      </c>
      <c r="AA28" s="175"/>
      <c r="AB28" s="173" t="str">
        <f ca="1">IFERROR(VALUE(IF(VLOOKUP($A28,数出表_Excel!$A$6:$T$150,COLUMN()/2+1,FALSE)=0,"",VLOOKUP($A28,数出表_Excel!$A$6:$T$150,COLUMN()/2+1,FALSE))),"")</f>
        <v/>
      </c>
      <c r="AC28" s="137"/>
      <c r="AD28" s="174" t="str">
        <f ca="1">IFERROR(VALUE(IF(VLOOKUP($A28,数出表_Excel!$A$6:$T$150,COLUMN()/2+1,FALSE)=0,"",VLOOKUP($A28,数出表_Excel!$A$6:$T$150,COLUMN()/2+1,FALSE))),"")</f>
        <v/>
      </c>
      <c r="AE28" s="137"/>
      <c r="AF28" s="174" t="str">
        <f ca="1">IFERROR(VALUE(IF(VLOOKUP($A28,数出表_Excel!$A$6:$T$150,COLUMN()/2+1,FALSE)=0,"",VLOOKUP($A28,数出表_Excel!$A$6:$T$150,COLUMN()/2+1,FALSE))),"")</f>
        <v/>
      </c>
      <c r="AG28" s="137"/>
      <c r="AH28" s="174" t="str">
        <f ca="1">IFERROR(VALUE(IF(VLOOKUP($A28,数出表_Excel!$A$6:$T$150,COLUMN()/2+1,FALSE)=0,"",VLOOKUP($A28,数出表_Excel!$A$6:$T$150,COLUMN()/2+1,FALSE))),"")</f>
        <v/>
      </c>
      <c r="AI28" s="175"/>
      <c r="AJ28" s="173" t="str">
        <f ca="1">IFERROR(VALUE(IF(VLOOKUP($A28,数出表_Excel!$A$6:$T$150,COLUMN()/2+1,FALSE)=0,"",VLOOKUP($A28,数出表_Excel!$A$6:$T$150,COLUMN()/2+1,FALSE))),"")</f>
        <v/>
      </c>
      <c r="AK28" s="137"/>
      <c r="AL28" s="141" t="e">
        <f ca="1">IF(A28&lt;&gt;"",
IF(VLOOKUP($A28,数出表_Excel!$A$6:$T$150,COLUMN()/2+1,FALSE)=0,"",VLOOKUP($A28,数出表_Excel!$A$6:$T$150,COLUMN()/2+1,FALSE)),"")</f>
        <v>#N/A</v>
      </c>
      <c r="AM28" s="222" t="e">
        <f ca="1">数出表_Excel!V28</f>
        <v>#N/A</v>
      </c>
      <c r="AN28" s="223" t="e">
        <f ca="1">数出表_Excel!W28</f>
        <v>#N/A</v>
      </c>
    </row>
    <row r="29" spans="1:40" ht="16.2" customHeight="1" x14ac:dyDescent="0.45">
      <c r="A29" s="185" t="e">
        <f t="array" aca="1" ref="A29" ca="1">IF(OR(COUNTIF(A27,"*1000*"),COUNTIF(A27,"")),"",INDEX(貼り付け用!$A:$A,MATCH(A27,貼り付け用!$A:$A,0)+2,0))</f>
        <v>#N/A</v>
      </c>
      <c r="B29" s="138" t="str">
        <f ca="1">IFERROR(VALUE(IF(VLOOKUP($A29,数出表_Excel!$A$6:$T$150,COLUMN()/2+1,FALSE)=0,"",VLOOKUP($A29,数出表_Excel!$A$6:$T$150,COLUMN()/2+1,FALSE))),"")</f>
        <v/>
      </c>
      <c r="C29" s="138"/>
      <c r="D29" s="138" t="str">
        <f ca="1">IFERROR(VALUE(IF(VLOOKUP($A29,数出表_Excel!$A$6:$T$150,COLUMN()/2+1,FALSE)=0,"",VLOOKUP($A29,数出表_Excel!$A$6:$T$150,COLUMN()/2+1,FALSE))),"")</f>
        <v/>
      </c>
      <c r="E29" s="138"/>
      <c r="F29" s="142" t="str">
        <f ca="1">IFERROR(VALUE(IF(VLOOKUP($A29,数出表_Excel!$A$6:$T$150,COLUMN()/2+1,FALSE)=0,"",VLOOKUP($A29,数出表_Excel!$A$6:$T$150,COLUMN()/2+1,FALSE))),"")</f>
        <v/>
      </c>
      <c r="G29" s="138"/>
      <c r="H29" s="138" t="str">
        <f ca="1">IFERROR(VALUE(IF(VLOOKUP($A29,数出表_Excel!$A$6:$T$150,COLUMN()/2+1,FALSE)=0,"",VLOOKUP($A29,数出表_Excel!$A$6:$T$150,COLUMN()/2+1,FALSE))),"")</f>
        <v/>
      </c>
      <c r="I29" s="138"/>
      <c r="J29" s="138" t="str">
        <f ca="1">IFERROR(VALUE(IF(VLOOKUP($A29,数出表_Excel!$A$6:$T$150,COLUMN()/2+1,FALSE)=0,"",VLOOKUP($A29,数出表_Excel!$A$6:$T$150,COLUMN()/2+1,FALSE))),"")</f>
        <v/>
      </c>
      <c r="K29" s="138"/>
      <c r="L29" s="142" t="str">
        <f ca="1">IFERROR(VALUE(IF(VLOOKUP($A29,数出表_Excel!$A$6:$T$150,COLUMN()/2+1,FALSE)=0,"",VLOOKUP($A29,数出表_Excel!$A$6:$T$150,COLUMN()/2+1,FALSE))),"")</f>
        <v/>
      </c>
      <c r="M29" s="138"/>
      <c r="N29" s="138" t="str">
        <f ca="1">IFERROR(VALUE(IF(VLOOKUP($A29,数出表_Excel!$A$6:$T$150,COLUMN()/2+1,FALSE)=0,"",VLOOKUP($A29,数出表_Excel!$A$6:$T$150,COLUMN()/2+1,FALSE))),"")</f>
        <v/>
      </c>
      <c r="O29" s="138"/>
      <c r="P29" s="138" t="str">
        <f ca="1">IFERROR(VALUE(IF(VLOOKUP($A29,数出表_Excel!$A$6:$T$150,COLUMN()/2+1,FALSE)=0,"",VLOOKUP($A29,数出表_Excel!$A$6:$T$150,COLUMN()/2+1,FALSE))),"")</f>
        <v/>
      </c>
      <c r="Q29" s="138"/>
      <c r="R29" s="138" t="str">
        <f ca="1">IFERROR(VALUE(IF(VLOOKUP($A29,数出表_Excel!$A$6:$T$150,COLUMN()/2+1,FALSE)=0,"",VLOOKUP($A29,数出表_Excel!$A$6:$T$150,COLUMN()/2+1,FALSE))),"")</f>
        <v/>
      </c>
      <c r="S29" s="138"/>
      <c r="T29" s="138" t="str">
        <f ca="1">IFERROR(VALUE(IF(VLOOKUP($A29,数出表_Excel!$A$6:$T$150,COLUMN()/2+1,FALSE)=0,"",VLOOKUP($A29,数出表_Excel!$A$6:$T$150,COLUMN()/2+1,FALSE))),"")</f>
        <v/>
      </c>
      <c r="U29" s="138"/>
      <c r="V29" s="142" t="str">
        <f ca="1">IFERROR(VALUE(IF(VLOOKUP($A29,数出表_Excel!$A$6:$T$150,COLUMN()/2+1,FALSE)=0,"",VLOOKUP($A29,数出表_Excel!$A$6:$T$150,COLUMN()/2+1,FALSE))),"")</f>
        <v/>
      </c>
      <c r="W29" s="138"/>
      <c r="X29" s="142" t="str">
        <f ca="1">IFERROR(VALUE(IF(VLOOKUP($A29,数出表_Excel!$A$6:$T$150,COLUMN()/2+1,FALSE)=0,"",VLOOKUP($A29,数出表_Excel!$A$6:$T$150,COLUMN()/2+1,FALSE))),"")</f>
        <v/>
      </c>
      <c r="Y29" s="138"/>
      <c r="Z29" s="142" t="str">
        <f ca="1">IFERROR(VALUE(IF(VLOOKUP($A29,数出表_Excel!$A$6:$T$150,COLUMN()/2+1,FALSE)=0,"",VLOOKUP($A29,数出表_Excel!$A$6:$T$150,COLUMN()/2+1,FALSE))),"")</f>
        <v/>
      </c>
      <c r="AA29" s="176"/>
      <c r="AB29" s="143" t="str">
        <f ca="1">IFERROR(VALUE(IF(VLOOKUP($A29,数出表_Excel!$A$6:$T$150,COLUMN()/2+1,FALSE)=0,"",VLOOKUP($A29,数出表_Excel!$A$6:$T$150,COLUMN()/2+1,FALSE))),"")</f>
        <v/>
      </c>
      <c r="AC29" s="138"/>
      <c r="AD29" s="142" t="str">
        <f ca="1">IFERROR(VALUE(IF(VLOOKUP($A29,数出表_Excel!$A$6:$T$150,COLUMN()/2+1,FALSE)=0,"",VLOOKUP($A29,数出表_Excel!$A$6:$T$150,COLUMN()/2+1,FALSE))),"")</f>
        <v/>
      </c>
      <c r="AE29" s="138"/>
      <c r="AF29" s="142" t="str">
        <f ca="1">IFERROR(VALUE(IF(VLOOKUP($A29,数出表_Excel!$A$6:$T$150,COLUMN()/2+1,FALSE)=0,"",VLOOKUP($A29,数出表_Excel!$A$6:$T$150,COLUMN()/2+1,FALSE))),"")</f>
        <v/>
      </c>
      <c r="AG29" s="138"/>
      <c r="AH29" s="142" t="str">
        <f ca="1">IFERROR(VALUE(IF(VLOOKUP($A29,数出表_Excel!$A$6:$T$150,COLUMN()/2+1,FALSE)=0,"",VLOOKUP($A29,数出表_Excel!$A$6:$T$150,COLUMN()/2+1,FALSE))),"")</f>
        <v/>
      </c>
      <c r="AI29" s="176"/>
      <c r="AJ29" s="143" t="str">
        <f ca="1">IFERROR(VALUE(IF(VLOOKUP($A29,数出表_Excel!$A$6:$T$150,COLUMN()/2+1,FALSE)=0,"",VLOOKUP($A29,数出表_Excel!$A$6:$T$150,COLUMN()/2+1,FALSE))),"")</f>
        <v/>
      </c>
      <c r="AK29" s="138"/>
      <c r="AL29" s="144" t="e">
        <f ca="1">IF(A29&lt;&gt;"",
IF(VLOOKUP($A29,数出表_Excel!$A$6:$T$150,COLUMN()/2+1,FALSE)=0,"",VLOOKUP($A29,数出表_Excel!$A$6:$T$150,COLUMN()/2+1,FALSE)),"")</f>
        <v>#N/A</v>
      </c>
      <c r="AM29" s="224" t="e">
        <f ca="1">数出表_Excel!V29</f>
        <v>#N/A</v>
      </c>
      <c r="AN29" s="225" t="e">
        <f ca="1">数出表_Excel!W29</f>
        <v>#N/A</v>
      </c>
    </row>
    <row r="30" spans="1:40" ht="16.2" customHeight="1" x14ac:dyDescent="0.45">
      <c r="A30" s="184" t="e">
        <f t="array" aca="1" ref="A30" ca="1">IF(OR(COUNTIF(A28,"*10002*"),COUNTIF(A28,"")),"",INDEX(貼り付け用!$A:$A,MATCH(A28,貼り付け用!$A:$A,0)+2,0))</f>
        <v>#N/A</v>
      </c>
      <c r="B30" s="172" t="str">
        <f ca="1">IFERROR(VALUE(IF(VLOOKUP($A30,数出表_Excel!$A$6:$T$150,COLUMN()/2+1,FALSE)=0,"",VLOOKUP($A30,数出表_Excel!$A$6:$T$150,COLUMN()/2+1,FALSE))),"")</f>
        <v/>
      </c>
      <c r="C30" s="137"/>
      <c r="D30" s="172" t="str">
        <f ca="1">IFERROR(VALUE(IF(VLOOKUP($A30,数出表_Excel!$A$6:$T$150,COLUMN()/2+1,FALSE)=0,"",VLOOKUP($A30,数出表_Excel!$A$6:$T$150,COLUMN()/2+1,FALSE))),"")</f>
        <v/>
      </c>
      <c r="E30" s="137"/>
      <c r="F30" s="174" t="str">
        <f ca="1">IFERROR(VALUE(IF(VLOOKUP($A30,数出表_Excel!$A$6:$T$150,COLUMN()/2+1,FALSE)=0,"",VLOOKUP($A30,数出表_Excel!$A$6:$T$150,COLUMN()/2+1,FALSE))),"")</f>
        <v/>
      </c>
      <c r="G30" s="137"/>
      <c r="H30" s="172" t="str">
        <f ca="1">IFERROR(VALUE(IF(VLOOKUP($A30,数出表_Excel!$A$6:$T$150,COLUMN()/2+1,FALSE)=0,"",VLOOKUP($A30,数出表_Excel!$A$6:$T$150,COLUMN()/2+1,FALSE))),"")</f>
        <v/>
      </c>
      <c r="I30" s="137"/>
      <c r="J30" s="172" t="str">
        <f ca="1">IFERROR(VALUE(IF(VLOOKUP($A30,数出表_Excel!$A$6:$T$150,COLUMN()/2+1,FALSE)=0,"",VLOOKUP($A30,数出表_Excel!$A$6:$T$150,COLUMN()/2+1,FALSE))),"")</f>
        <v/>
      </c>
      <c r="K30" s="137"/>
      <c r="L30" s="174" t="str">
        <f ca="1">IFERROR(VALUE(IF(VLOOKUP($A30,数出表_Excel!$A$6:$T$150,COLUMN()/2+1,FALSE)=0,"",VLOOKUP($A30,数出表_Excel!$A$6:$T$150,COLUMN()/2+1,FALSE))),"")</f>
        <v/>
      </c>
      <c r="M30" s="137"/>
      <c r="N30" s="172" t="str">
        <f ca="1">IFERROR(VALUE(IF(VLOOKUP($A30,数出表_Excel!$A$6:$T$150,COLUMN()/2+1,FALSE)=0,"",VLOOKUP($A30,数出表_Excel!$A$6:$T$150,COLUMN()/2+1,FALSE))),"")</f>
        <v/>
      </c>
      <c r="O30" s="137"/>
      <c r="P30" s="172" t="str">
        <f ca="1">IFERROR(VALUE(IF(VLOOKUP($A30,数出表_Excel!$A$6:$T$150,COLUMN()/2+1,FALSE)=0,"",VLOOKUP($A30,数出表_Excel!$A$6:$T$150,COLUMN()/2+1,FALSE))),"")</f>
        <v/>
      </c>
      <c r="Q30" s="137"/>
      <c r="R30" s="172" t="str">
        <f ca="1">IFERROR(VALUE(IF(VLOOKUP($A30,数出表_Excel!$A$6:$T$150,COLUMN()/2+1,FALSE)=0,"",VLOOKUP($A30,数出表_Excel!$A$6:$T$150,COLUMN()/2+1,FALSE))),"")</f>
        <v/>
      </c>
      <c r="S30" s="137"/>
      <c r="T30" s="172" t="str">
        <f ca="1">IFERROR(VALUE(IF(VLOOKUP($A30,数出表_Excel!$A$6:$T$150,COLUMN()/2+1,FALSE)=0,"",VLOOKUP($A30,数出表_Excel!$A$6:$T$150,COLUMN()/2+1,FALSE))),"")</f>
        <v/>
      </c>
      <c r="U30" s="137"/>
      <c r="V30" s="174" t="str">
        <f ca="1">IFERROR(VALUE(IF(VLOOKUP($A30,数出表_Excel!$A$6:$T$150,COLUMN()/2+1,FALSE)=0,"",VLOOKUP($A30,数出表_Excel!$A$6:$T$150,COLUMN()/2+1,FALSE))),"")</f>
        <v/>
      </c>
      <c r="W30" s="137"/>
      <c r="X30" s="174" t="str">
        <f ca="1">IFERROR(VALUE(IF(VLOOKUP($A30,数出表_Excel!$A$6:$T$150,COLUMN()/2+1,FALSE)=0,"",VLOOKUP($A30,数出表_Excel!$A$6:$T$150,COLUMN()/2+1,FALSE))),"")</f>
        <v/>
      </c>
      <c r="Y30" s="137"/>
      <c r="Z30" s="174" t="str">
        <f ca="1">IFERROR(VALUE(IF(VLOOKUP($A30,数出表_Excel!$A$6:$T$150,COLUMN()/2+1,FALSE)=0,"",VLOOKUP($A30,数出表_Excel!$A$6:$T$150,COLUMN()/2+1,FALSE))),"")</f>
        <v/>
      </c>
      <c r="AA30" s="175"/>
      <c r="AB30" s="173" t="str">
        <f ca="1">IFERROR(VALUE(IF(VLOOKUP($A30,数出表_Excel!$A$6:$T$150,COLUMN()/2+1,FALSE)=0,"",VLOOKUP($A30,数出表_Excel!$A$6:$T$150,COLUMN()/2+1,FALSE))),"")</f>
        <v/>
      </c>
      <c r="AC30" s="137"/>
      <c r="AD30" s="174" t="str">
        <f ca="1">IFERROR(VALUE(IF(VLOOKUP($A30,数出表_Excel!$A$6:$T$150,COLUMN()/2+1,FALSE)=0,"",VLOOKUP($A30,数出表_Excel!$A$6:$T$150,COLUMN()/2+1,FALSE))),"")</f>
        <v/>
      </c>
      <c r="AE30" s="137"/>
      <c r="AF30" s="174" t="str">
        <f ca="1">IFERROR(VALUE(IF(VLOOKUP($A30,数出表_Excel!$A$6:$T$150,COLUMN()/2+1,FALSE)=0,"",VLOOKUP($A30,数出表_Excel!$A$6:$T$150,COLUMN()/2+1,FALSE))),"")</f>
        <v/>
      </c>
      <c r="AG30" s="137"/>
      <c r="AH30" s="174" t="str">
        <f ca="1">IFERROR(VALUE(IF(VLOOKUP($A30,数出表_Excel!$A$6:$T$150,COLUMN()/2+1,FALSE)=0,"",VLOOKUP($A30,数出表_Excel!$A$6:$T$150,COLUMN()/2+1,FALSE))),"")</f>
        <v/>
      </c>
      <c r="AI30" s="175"/>
      <c r="AJ30" s="173" t="str">
        <f ca="1">IFERROR(VALUE(IF(VLOOKUP($A30,数出表_Excel!$A$6:$T$150,COLUMN()/2+1,FALSE)=0,"",VLOOKUP($A30,数出表_Excel!$A$6:$T$150,COLUMN()/2+1,FALSE))),"")</f>
        <v/>
      </c>
      <c r="AK30" s="137"/>
      <c r="AL30" s="141" t="e">
        <f ca="1">IF(A30&lt;&gt;"",
IF(VLOOKUP($A30,数出表_Excel!$A$6:$T$150,COLUMN()/2+1,FALSE)=0,"",VLOOKUP($A30,数出表_Excel!$A$6:$T$150,COLUMN()/2+1,FALSE)),"")</f>
        <v>#N/A</v>
      </c>
      <c r="AM30" s="222" t="e">
        <f ca="1">数出表_Excel!V30</f>
        <v>#N/A</v>
      </c>
      <c r="AN30" s="223" t="e">
        <f ca="1">数出表_Excel!W30</f>
        <v>#N/A</v>
      </c>
    </row>
    <row r="31" spans="1:40" ht="16.2" customHeight="1" x14ac:dyDescent="0.45">
      <c r="A31" s="185" t="e">
        <f t="array" aca="1" ref="A31" ca="1">IF(OR(COUNTIF(A29,"*1000*"),COUNTIF(A29,"")),"",INDEX(貼り付け用!$A:$A,MATCH(A29,貼り付け用!$A:$A,0)+2,0))</f>
        <v>#N/A</v>
      </c>
      <c r="B31" s="138" t="str">
        <f ca="1">IFERROR(VALUE(IF(VLOOKUP($A31,数出表_Excel!$A$6:$T$150,COLUMN()/2+1,FALSE)=0,"",VLOOKUP($A31,数出表_Excel!$A$6:$T$150,COLUMN()/2+1,FALSE))),"")</f>
        <v/>
      </c>
      <c r="C31" s="138"/>
      <c r="D31" s="138" t="str">
        <f ca="1">IFERROR(VALUE(IF(VLOOKUP($A31,数出表_Excel!$A$6:$T$150,COLUMN()/2+1,FALSE)=0,"",VLOOKUP($A31,数出表_Excel!$A$6:$T$150,COLUMN()/2+1,FALSE))),"")</f>
        <v/>
      </c>
      <c r="E31" s="138"/>
      <c r="F31" s="142" t="str">
        <f ca="1">IFERROR(VALUE(IF(VLOOKUP($A31,数出表_Excel!$A$6:$T$150,COLUMN()/2+1,FALSE)=0,"",VLOOKUP($A31,数出表_Excel!$A$6:$T$150,COLUMN()/2+1,FALSE))),"")</f>
        <v/>
      </c>
      <c r="G31" s="138"/>
      <c r="H31" s="138" t="str">
        <f ca="1">IFERROR(VALUE(IF(VLOOKUP($A31,数出表_Excel!$A$6:$T$150,COLUMN()/2+1,FALSE)=0,"",VLOOKUP($A31,数出表_Excel!$A$6:$T$150,COLUMN()/2+1,FALSE))),"")</f>
        <v/>
      </c>
      <c r="I31" s="138"/>
      <c r="J31" s="138" t="str">
        <f ca="1">IFERROR(VALUE(IF(VLOOKUP($A31,数出表_Excel!$A$6:$T$150,COLUMN()/2+1,FALSE)=0,"",VLOOKUP($A31,数出表_Excel!$A$6:$T$150,COLUMN()/2+1,FALSE))),"")</f>
        <v/>
      </c>
      <c r="K31" s="138"/>
      <c r="L31" s="142" t="str">
        <f ca="1">IFERROR(VALUE(IF(VLOOKUP($A31,数出表_Excel!$A$6:$T$150,COLUMN()/2+1,FALSE)=0,"",VLOOKUP($A31,数出表_Excel!$A$6:$T$150,COLUMN()/2+1,FALSE))),"")</f>
        <v/>
      </c>
      <c r="M31" s="138"/>
      <c r="N31" s="138" t="str">
        <f ca="1">IFERROR(VALUE(IF(VLOOKUP($A31,数出表_Excel!$A$6:$T$150,COLUMN()/2+1,FALSE)=0,"",VLOOKUP($A31,数出表_Excel!$A$6:$T$150,COLUMN()/2+1,FALSE))),"")</f>
        <v/>
      </c>
      <c r="O31" s="138"/>
      <c r="P31" s="138" t="str">
        <f ca="1">IFERROR(VALUE(IF(VLOOKUP($A31,数出表_Excel!$A$6:$T$150,COLUMN()/2+1,FALSE)=0,"",VLOOKUP($A31,数出表_Excel!$A$6:$T$150,COLUMN()/2+1,FALSE))),"")</f>
        <v/>
      </c>
      <c r="Q31" s="138"/>
      <c r="R31" s="138" t="str">
        <f ca="1">IFERROR(VALUE(IF(VLOOKUP($A31,数出表_Excel!$A$6:$T$150,COLUMN()/2+1,FALSE)=0,"",VLOOKUP($A31,数出表_Excel!$A$6:$T$150,COLUMN()/2+1,FALSE))),"")</f>
        <v/>
      </c>
      <c r="S31" s="138"/>
      <c r="T31" s="138" t="str">
        <f ca="1">IFERROR(VALUE(IF(VLOOKUP($A31,数出表_Excel!$A$6:$T$150,COLUMN()/2+1,FALSE)=0,"",VLOOKUP($A31,数出表_Excel!$A$6:$T$150,COLUMN()/2+1,FALSE))),"")</f>
        <v/>
      </c>
      <c r="U31" s="138"/>
      <c r="V31" s="142" t="str">
        <f ca="1">IFERROR(VALUE(IF(VLOOKUP($A31,数出表_Excel!$A$6:$T$150,COLUMN()/2+1,FALSE)=0,"",VLOOKUP($A31,数出表_Excel!$A$6:$T$150,COLUMN()/2+1,FALSE))),"")</f>
        <v/>
      </c>
      <c r="W31" s="138"/>
      <c r="X31" s="142" t="str">
        <f ca="1">IFERROR(VALUE(IF(VLOOKUP($A31,数出表_Excel!$A$6:$T$150,COLUMN()/2+1,FALSE)=0,"",VLOOKUP($A31,数出表_Excel!$A$6:$T$150,COLUMN()/2+1,FALSE))),"")</f>
        <v/>
      </c>
      <c r="Y31" s="138"/>
      <c r="Z31" s="142" t="str">
        <f ca="1">IFERROR(VALUE(IF(VLOOKUP($A31,数出表_Excel!$A$6:$T$150,COLUMN()/2+1,FALSE)=0,"",VLOOKUP($A31,数出表_Excel!$A$6:$T$150,COLUMN()/2+1,FALSE))),"")</f>
        <v/>
      </c>
      <c r="AA31" s="176"/>
      <c r="AB31" s="143" t="str">
        <f ca="1">IFERROR(VALUE(IF(VLOOKUP($A31,数出表_Excel!$A$6:$T$150,COLUMN()/2+1,FALSE)=0,"",VLOOKUP($A31,数出表_Excel!$A$6:$T$150,COLUMN()/2+1,FALSE))),"")</f>
        <v/>
      </c>
      <c r="AC31" s="138"/>
      <c r="AD31" s="142" t="str">
        <f ca="1">IFERROR(VALUE(IF(VLOOKUP($A31,数出表_Excel!$A$6:$T$150,COLUMN()/2+1,FALSE)=0,"",VLOOKUP($A31,数出表_Excel!$A$6:$T$150,COLUMN()/2+1,FALSE))),"")</f>
        <v/>
      </c>
      <c r="AE31" s="138"/>
      <c r="AF31" s="142" t="str">
        <f ca="1">IFERROR(VALUE(IF(VLOOKUP($A31,数出表_Excel!$A$6:$T$150,COLUMN()/2+1,FALSE)=0,"",VLOOKUP($A31,数出表_Excel!$A$6:$T$150,COLUMN()/2+1,FALSE))),"")</f>
        <v/>
      </c>
      <c r="AG31" s="138"/>
      <c r="AH31" s="142" t="str">
        <f ca="1">IFERROR(VALUE(IF(VLOOKUP($A31,数出表_Excel!$A$6:$T$150,COLUMN()/2+1,FALSE)=0,"",VLOOKUP($A31,数出表_Excel!$A$6:$T$150,COLUMN()/2+1,FALSE))),"")</f>
        <v/>
      </c>
      <c r="AI31" s="176"/>
      <c r="AJ31" s="143" t="str">
        <f ca="1">IFERROR(VALUE(IF(VLOOKUP($A31,数出表_Excel!$A$6:$T$150,COLUMN()/2+1,FALSE)=0,"",VLOOKUP($A31,数出表_Excel!$A$6:$T$150,COLUMN()/2+1,FALSE))),"")</f>
        <v/>
      </c>
      <c r="AK31" s="138"/>
      <c r="AL31" s="144" t="e">
        <f ca="1">IF(A31&lt;&gt;"",
IF(VLOOKUP($A31,数出表_Excel!$A$6:$T$150,COLUMN()/2+1,FALSE)=0,"",VLOOKUP($A31,数出表_Excel!$A$6:$T$150,COLUMN()/2+1,FALSE)),"")</f>
        <v>#N/A</v>
      </c>
      <c r="AM31" s="224" t="e">
        <f ca="1">数出表_Excel!V31</f>
        <v>#N/A</v>
      </c>
      <c r="AN31" s="225" t="e">
        <f ca="1">数出表_Excel!W31</f>
        <v>#N/A</v>
      </c>
    </row>
    <row r="32" spans="1:40" ht="16.2" customHeight="1" x14ac:dyDescent="0.45">
      <c r="A32" s="184" t="e">
        <f t="array" aca="1" ref="A32" ca="1">IF(OR(COUNTIF(A30,"*10002*"),COUNTIF(A30,"")),"",INDEX(貼り付け用!$A:$A,MATCH(A30,貼り付け用!$A:$A,0)+2,0))</f>
        <v>#N/A</v>
      </c>
      <c r="B32" s="172" t="str">
        <f ca="1">IFERROR(VALUE(IF(VLOOKUP($A32,数出表_Excel!$A$6:$T$150,COLUMN()/2+1,FALSE)=0,"",VLOOKUP($A32,数出表_Excel!$A$6:$T$150,COLUMN()/2+1,FALSE))),"")</f>
        <v/>
      </c>
      <c r="C32" s="137"/>
      <c r="D32" s="172" t="str">
        <f ca="1">IFERROR(VALUE(IF(VLOOKUP($A32,数出表_Excel!$A$6:$T$150,COLUMN()/2+1,FALSE)=0,"",VLOOKUP($A32,数出表_Excel!$A$6:$T$150,COLUMN()/2+1,FALSE))),"")</f>
        <v/>
      </c>
      <c r="E32" s="137"/>
      <c r="F32" s="174" t="str">
        <f ca="1">IFERROR(VALUE(IF(VLOOKUP($A32,数出表_Excel!$A$6:$T$150,COLUMN()/2+1,FALSE)=0,"",VLOOKUP($A32,数出表_Excel!$A$6:$T$150,COLUMN()/2+1,FALSE))),"")</f>
        <v/>
      </c>
      <c r="G32" s="137"/>
      <c r="H32" s="172" t="str">
        <f ca="1">IFERROR(VALUE(IF(VLOOKUP($A32,数出表_Excel!$A$6:$T$150,COLUMN()/2+1,FALSE)=0,"",VLOOKUP($A32,数出表_Excel!$A$6:$T$150,COLUMN()/2+1,FALSE))),"")</f>
        <v/>
      </c>
      <c r="I32" s="137"/>
      <c r="J32" s="172" t="str">
        <f ca="1">IFERROR(VALUE(IF(VLOOKUP($A32,数出表_Excel!$A$6:$T$150,COLUMN()/2+1,FALSE)=0,"",VLOOKUP($A32,数出表_Excel!$A$6:$T$150,COLUMN()/2+1,FALSE))),"")</f>
        <v/>
      </c>
      <c r="K32" s="137"/>
      <c r="L32" s="174" t="str">
        <f ca="1">IFERROR(VALUE(IF(VLOOKUP($A32,数出表_Excel!$A$6:$T$150,COLUMN()/2+1,FALSE)=0,"",VLOOKUP($A32,数出表_Excel!$A$6:$T$150,COLUMN()/2+1,FALSE))),"")</f>
        <v/>
      </c>
      <c r="M32" s="137"/>
      <c r="N32" s="172" t="str">
        <f ca="1">IFERROR(VALUE(IF(VLOOKUP($A32,数出表_Excel!$A$6:$T$150,COLUMN()/2+1,FALSE)=0,"",VLOOKUP($A32,数出表_Excel!$A$6:$T$150,COLUMN()/2+1,FALSE))),"")</f>
        <v/>
      </c>
      <c r="O32" s="137"/>
      <c r="P32" s="172" t="str">
        <f ca="1">IFERROR(VALUE(IF(VLOOKUP($A32,数出表_Excel!$A$6:$T$150,COLUMN()/2+1,FALSE)=0,"",VLOOKUP($A32,数出表_Excel!$A$6:$T$150,COLUMN()/2+1,FALSE))),"")</f>
        <v/>
      </c>
      <c r="Q32" s="137"/>
      <c r="R32" s="172" t="str">
        <f ca="1">IFERROR(VALUE(IF(VLOOKUP($A32,数出表_Excel!$A$6:$T$150,COLUMN()/2+1,FALSE)=0,"",VLOOKUP($A32,数出表_Excel!$A$6:$T$150,COLUMN()/2+1,FALSE))),"")</f>
        <v/>
      </c>
      <c r="S32" s="137"/>
      <c r="T32" s="172" t="str">
        <f ca="1">IFERROR(VALUE(IF(VLOOKUP($A32,数出表_Excel!$A$6:$T$150,COLUMN()/2+1,FALSE)=0,"",VLOOKUP($A32,数出表_Excel!$A$6:$T$150,COLUMN()/2+1,FALSE))),"")</f>
        <v/>
      </c>
      <c r="U32" s="137"/>
      <c r="V32" s="174" t="str">
        <f ca="1">IFERROR(VALUE(IF(VLOOKUP($A32,数出表_Excel!$A$6:$T$150,COLUMN()/2+1,FALSE)=0,"",VLOOKUP($A32,数出表_Excel!$A$6:$T$150,COLUMN()/2+1,FALSE))),"")</f>
        <v/>
      </c>
      <c r="W32" s="137"/>
      <c r="X32" s="174" t="str">
        <f ca="1">IFERROR(VALUE(IF(VLOOKUP($A32,数出表_Excel!$A$6:$T$150,COLUMN()/2+1,FALSE)=0,"",VLOOKUP($A32,数出表_Excel!$A$6:$T$150,COLUMN()/2+1,FALSE))),"")</f>
        <v/>
      </c>
      <c r="Y32" s="137"/>
      <c r="Z32" s="174" t="str">
        <f ca="1">IFERROR(VALUE(IF(VLOOKUP($A32,数出表_Excel!$A$6:$T$150,COLUMN()/2+1,FALSE)=0,"",VLOOKUP($A32,数出表_Excel!$A$6:$T$150,COLUMN()/2+1,FALSE))),"")</f>
        <v/>
      </c>
      <c r="AA32" s="175"/>
      <c r="AB32" s="173" t="str">
        <f ca="1">IFERROR(VALUE(IF(VLOOKUP($A32,数出表_Excel!$A$6:$T$150,COLUMN()/2+1,FALSE)=0,"",VLOOKUP($A32,数出表_Excel!$A$6:$T$150,COLUMN()/2+1,FALSE))),"")</f>
        <v/>
      </c>
      <c r="AC32" s="137"/>
      <c r="AD32" s="174" t="str">
        <f ca="1">IFERROR(VALUE(IF(VLOOKUP($A32,数出表_Excel!$A$6:$T$150,COLUMN()/2+1,FALSE)=0,"",VLOOKUP($A32,数出表_Excel!$A$6:$T$150,COLUMN()/2+1,FALSE))),"")</f>
        <v/>
      </c>
      <c r="AE32" s="137"/>
      <c r="AF32" s="174" t="str">
        <f ca="1">IFERROR(VALUE(IF(VLOOKUP($A32,数出表_Excel!$A$6:$T$150,COLUMN()/2+1,FALSE)=0,"",VLOOKUP($A32,数出表_Excel!$A$6:$T$150,COLUMN()/2+1,FALSE))),"")</f>
        <v/>
      </c>
      <c r="AG32" s="137"/>
      <c r="AH32" s="174" t="str">
        <f ca="1">IFERROR(VALUE(IF(VLOOKUP($A32,数出表_Excel!$A$6:$T$150,COLUMN()/2+1,FALSE)=0,"",VLOOKUP($A32,数出表_Excel!$A$6:$T$150,COLUMN()/2+1,FALSE))),"")</f>
        <v/>
      </c>
      <c r="AI32" s="175"/>
      <c r="AJ32" s="173" t="str">
        <f ca="1">IFERROR(VALUE(IF(VLOOKUP($A32,数出表_Excel!$A$6:$T$150,COLUMN()/2+1,FALSE)=0,"",VLOOKUP($A32,数出表_Excel!$A$6:$T$150,COLUMN()/2+1,FALSE))),"")</f>
        <v/>
      </c>
      <c r="AK32" s="137"/>
      <c r="AL32" s="141" t="e">
        <f ca="1">IF(A32&lt;&gt;"",
IF(VLOOKUP($A32,数出表_Excel!$A$6:$T$150,COLUMN()/2+1,FALSE)=0,"",VLOOKUP($A32,数出表_Excel!$A$6:$T$150,COLUMN()/2+1,FALSE)),"")</f>
        <v>#N/A</v>
      </c>
      <c r="AM32" s="222" t="e">
        <f ca="1">数出表_Excel!V32</f>
        <v>#N/A</v>
      </c>
      <c r="AN32" s="223" t="e">
        <f ca="1">数出表_Excel!W32</f>
        <v>#N/A</v>
      </c>
    </row>
    <row r="33" spans="1:40" ht="16.2" customHeight="1" x14ac:dyDescent="0.45">
      <c r="A33" s="185" t="e">
        <f t="array" aca="1" ref="A33" ca="1">IF(OR(COUNTIF(A31,"*1000*"),COUNTIF(A31,"")),"",INDEX(貼り付け用!$A:$A,MATCH(A31,貼り付け用!$A:$A,0)+2,0))</f>
        <v>#N/A</v>
      </c>
      <c r="B33" s="138" t="str">
        <f ca="1">IFERROR(VALUE(IF(VLOOKUP($A33,数出表_Excel!$A$6:$T$150,COLUMN()/2+1,FALSE)=0,"",VLOOKUP($A33,数出表_Excel!$A$6:$T$150,COLUMN()/2+1,FALSE))),"")</f>
        <v/>
      </c>
      <c r="C33" s="138"/>
      <c r="D33" s="138" t="str">
        <f ca="1">IFERROR(VALUE(IF(VLOOKUP($A33,数出表_Excel!$A$6:$T$150,COLUMN()/2+1,FALSE)=0,"",VLOOKUP($A33,数出表_Excel!$A$6:$T$150,COLUMN()/2+1,FALSE))),"")</f>
        <v/>
      </c>
      <c r="E33" s="138"/>
      <c r="F33" s="142" t="str">
        <f ca="1">IFERROR(VALUE(IF(VLOOKUP($A33,数出表_Excel!$A$6:$T$150,COLUMN()/2+1,FALSE)=0,"",VLOOKUP($A33,数出表_Excel!$A$6:$T$150,COLUMN()/2+1,FALSE))),"")</f>
        <v/>
      </c>
      <c r="G33" s="138"/>
      <c r="H33" s="138" t="str">
        <f ca="1">IFERROR(VALUE(IF(VLOOKUP($A33,数出表_Excel!$A$6:$T$150,COLUMN()/2+1,FALSE)=0,"",VLOOKUP($A33,数出表_Excel!$A$6:$T$150,COLUMN()/2+1,FALSE))),"")</f>
        <v/>
      </c>
      <c r="I33" s="138"/>
      <c r="J33" s="138" t="str">
        <f ca="1">IFERROR(VALUE(IF(VLOOKUP($A33,数出表_Excel!$A$6:$T$150,COLUMN()/2+1,FALSE)=0,"",VLOOKUP($A33,数出表_Excel!$A$6:$T$150,COLUMN()/2+1,FALSE))),"")</f>
        <v/>
      </c>
      <c r="K33" s="138"/>
      <c r="L33" s="142" t="str">
        <f ca="1">IFERROR(VALUE(IF(VLOOKUP($A33,数出表_Excel!$A$6:$T$150,COLUMN()/2+1,FALSE)=0,"",VLOOKUP($A33,数出表_Excel!$A$6:$T$150,COLUMN()/2+1,FALSE))),"")</f>
        <v/>
      </c>
      <c r="M33" s="138"/>
      <c r="N33" s="138" t="str">
        <f ca="1">IFERROR(VALUE(IF(VLOOKUP($A33,数出表_Excel!$A$6:$T$150,COLUMN()/2+1,FALSE)=0,"",VLOOKUP($A33,数出表_Excel!$A$6:$T$150,COLUMN()/2+1,FALSE))),"")</f>
        <v/>
      </c>
      <c r="O33" s="138"/>
      <c r="P33" s="138" t="str">
        <f ca="1">IFERROR(VALUE(IF(VLOOKUP($A33,数出表_Excel!$A$6:$T$150,COLUMN()/2+1,FALSE)=0,"",VLOOKUP($A33,数出表_Excel!$A$6:$T$150,COLUMN()/2+1,FALSE))),"")</f>
        <v/>
      </c>
      <c r="Q33" s="138"/>
      <c r="R33" s="138" t="str">
        <f ca="1">IFERROR(VALUE(IF(VLOOKUP($A33,数出表_Excel!$A$6:$T$150,COLUMN()/2+1,FALSE)=0,"",VLOOKUP($A33,数出表_Excel!$A$6:$T$150,COLUMN()/2+1,FALSE))),"")</f>
        <v/>
      </c>
      <c r="S33" s="138"/>
      <c r="T33" s="138" t="str">
        <f ca="1">IFERROR(VALUE(IF(VLOOKUP($A33,数出表_Excel!$A$6:$T$150,COLUMN()/2+1,FALSE)=0,"",VLOOKUP($A33,数出表_Excel!$A$6:$T$150,COLUMN()/2+1,FALSE))),"")</f>
        <v/>
      </c>
      <c r="U33" s="138"/>
      <c r="V33" s="142" t="str">
        <f ca="1">IFERROR(VALUE(IF(VLOOKUP($A33,数出表_Excel!$A$6:$T$150,COLUMN()/2+1,FALSE)=0,"",VLOOKUP($A33,数出表_Excel!$A$6:$T$150,COLUMN()/2+1,FALSE))),"")</f>
        <v/>
      </c>
      <c r="W33" s="138"/>
      <c r="X33" s="142" t="str">
        <f ca="1">IFERROR(VALUE(IF(VLOOKUP($A33,数出表_Excel!$A$6:$T$150,COLUMN()/2+1,FALSE)=0,"",VLOOKUP($A33,数出表_Excel!$A$6:$T$150,COLUMN()/2+1,FALSE))),"")</f>
        <v/>
      </c>
      <c r="Y33" s="138"/>
      <c r="Z33" s="142" t="str">
        <f ca="1">IFERROR(VALUE(IF(VLOOKUP($A33,数出表_Excel!$A$6:$T$150,COLUMN()/2+1,FALSE)=0,"",VLOOKUP($A33,数出表_Excel!$A$6:$T$150,COLUMN()/2+1,FALSE))),"")</f>
        <v/>
      </c>
      <c r="AA33" s="176"/>
      <c r="AB33" s="143" t="str">
        <f ca="1">IFERROR(VALUE(IF(VLOOKUP($A33,数出表_Excel!$A$6:$T$150,COLUMN()/2+1,FALSE)=0,"",VLOOKUP($A33,数出表_Excel!$A$6:$T$150,COLUMN()/2+1,FALSE))),"")</f>
        <v/>
      </c>
      <c r="AC33" s="138"/>
      <c r="AD33" s="142" t="str">
        <f ca="1">IFERROR(VALUE(IF(VLOOKUP($A33,数出表_Excel!$A$6:$T$150,COLUMN()/2+1,FALSE)=0,"",VLOOKUP($A33,数出表_Excel!$A$6:$T$150,COLUMN()/2+1,FALSE))),"")</f>
        <v/>
      </c>
      <c r="AE33" s="138"/>
      <c r="AF33" s="142" t="str">
        <f ca="1">IFERROR(VALUE(IF(VLOOKUP($A33,数出表_Excel!$A$6:$T$150,COLUMN()/2+1,FALSE)=0,"",VLOOKUP($A33,数出表_Excel!$A$6:$T$150,COLUMN()/2+1,FALSE))),"")</f>
        <v/>
      </c>
      <c r="AG33" s="138"/>
      <c r="AH33" s="142" t="str">
        <f ca="1">IFERROR(VALUE(IF(VLOOKUP($A33,数出表_Excel!$A$6:$T$150,COLUMN()/2+1,FALSE)=0,"",VLOOKUP($A33,数出表_Excel!$A$6:$T$150,COLUMN()/2+1,FALSE))),"")</f>
        <v/>
      </c>
      <c r="AI33" s="176"/>
      <c r="AJ33" s="143" t="str">
        <f ca="1">IFERROR(VALUE(IF(VLOOKUP($A33,数出表_Excel!$A$6:$T$150,COLUMN()/2+1,FALSE)=0,"",VLOOKUP($A33,数出表_Excel!$A$6:$T$150,COLUMN()/2+1,FALSE))),"")</f>
        <v/>
      </c>
      <c r="AK33" s="138"/>
      <c r="AL33" s="144" t="e">
        <f ca="1">IF(A33&lt;&gt;"",
IF(VLOOKUP($A33,数出表_Excel!$A$6:$T$150,COLUMN()/2+1,FALSE)=0,"",VLOOKUP($A33,数出表_Excel!$A$6:$T$150,COLUMN()/2+1,FALSE)),"")</f>
        <v>#N/A</v>
      </c>
      <c r="AM33" s="224" t="e">
        <f ca="1">数出表_Excel!V33</f>
        <v>#N/A</v>
      </c>
      <c r="AN33" s="225" t="e">
        <f ca="1">数出表_Excel!W33</f>
        <v>#N/A</v>
      </c>
    </row>
    <row r="34" spans="1:40" ht="16.2" customHeight="1" x14ac:dyDescent="0.45">
      <c r="A34" s="184" t="e">
        <f t="array" aca="1" ref="A34" ca="1">IF(OR(COUNTIF(A32,"*10002*"),COUNTIF(A32,"")),"",INDEX(貼り付け用!$A:$A,MATCH(A32,貼り付け用!$A:$A,0)+2,0))</f>
        <v>#N/A</v>
      </c>
      <c r="B34" s="172" t="str">
        <f ca="1">IFERROR(VALUE(IF(VLOOKUP($A34,数出表_Excel!$A$6:$T$150,COLUMN()/2+1,FALSE)=0,"",VLOOKUP($A34,数出表_Excel!$A$6:$T$150,COLUMN()/2+1,FALSE))),"")</f>
        <v/>
      </c>
      <c r="C34" s="137"/>
      <c r="D34" s="172" t="str">
        <f ca="1">IFERROR(VALUE(IF(VLOOKUP($A34,数出表_Excel!$A$6:$T$150,COLUMN()/2+1,FALSE)=0,"",VLOOKUP($A34,数出表_Excel!$A$6:$T$150,COLUMN()/2+1,FALSE))),"")</f>
        <v/>
      </c>
      <c r="E34" s="137"/>
      <c r="F34" s="174" t="str">
        <f ca="1">IFERROR(VALUE(IF(VLOOKUP($A34,数出表_Excel!$A$6:$T$150,COLUMN()/2+1,FALSE)=0,"",VLOOKUP($A34,数出表_Excel!$A$6:$T$150,COLUMN()/2+1,FALSE))),"")</f>
        <v/>
      </c>
      <c r="G34" s="137"/>
      <c r="H34" s="172" t="str">
        <f ca="1">IFERROR(VALUE(IF(VLOOKUP($A34,数出表_Excel!$A$6:$T$150,COLUMN()/2+1,FALSE)=0,"",VLOOKUP($A34,数出表_Excel!$A$6:$T$150,COLUMN()/2+1,FALSE))),"")</f>
        <v/>
      </c>
      <c r="I34" s="137"/>
      <c r="J34" s="172" t="str">
        <f ca="1">IFERROR(VALUE(IF(VLOOKUP($A34,数出表_Excel!$A$6:$T$150,COLUMN()/2+1,FALSE)=0,"",VLOOKUP($A34,数出表_Excel!$A$6:$T$150,COLUMN()/2+1,FALSE))),"")</f>
        <v/>
      </c>
      <c r="K34" s="137"/>
      <c r="L34" s="174" t="str">
        <f ca="1">IFERROR(VALUE(IF(VLOOKUP($A34,数出表_Excel!$A$6:$T$150,COLUMN()/2+1,FALSE)=0,"",VLOOKUP($A34,数出表_Excel!$A$6:$T$150,COLUMN()/2+1,FALSE))),"")</f>
        <v/>
      </c>
      <c r="M34" s="137"/>
      <c r="N34" s="172" t="str">
        <f ca="1">IFERROR(VALUE(IF(VLOOKUP($A34,数出表_Excel!$A$6:$T$150,COLUMN()/2+1,FALSE)=0,"",VLOOKUP($A34,数出表_Excel!$A$6:$T$150,COLUMN()/2+1,FALSE))),"")</f>
        <v/>
      </c>
      <c r="O34" s="137"/>
      <c r="P34" s="172" t="str">
        <f ca="1">IFERROR(VALUE(IF(VLOOKUP($A34,数出表_Excel!$A$6:$T$150,COLUMN()/2+1,FALSE)=0,"",VLOOKUP($A34,数出表_Excel!$A$6:$T$150,COLUMN()/2+1,FALSE))),"")</f>
        <v/>
      </c>
      <c r="Q34" s="137"/>
      <c r="R34" s="172" t="str">
        <f ca="1">IFERROR(VALUE(IF(VLOOKUP($A34,数出表_Excel!$A$6:$T$150,COLUMN()/2+1,FALSE)=0,"",VLOOKUP($A34,数出表_Excel!$A$6:$T$150,COLUMN()/2+1,FALSE))),"")</f>
        <v/>
      </c>
      <c r="S34" s="137"/>
      <c r="T34" s="172" t="str">
        <f ca="1">IFERROR(VALUE(IF(VLOOKUP($A34,数出表_Excel!$A$6:$T$150,COLUMN()/2+1,FALSE)=0,"",VLOOKUP($A34,数出表_Excel!$A$6:$T$150,COLUMN()/2+1,FALSE))),"")</f>
        <v/>
      </c>
      <c r="U34" s="137"/>
      <c r="V34" s="174" t="str">
        <f ca="1">IFERROR(VALUE(IF(VLOOKUP($A34,数出表_Excel!$A$6:$T$150,COLUMN()/2+1,FALSE)=0,"",VLOOKUP($A34,数出表_Excel!$A$6:$T$150,COLUMN()/2+1,FALSE))),"")</f>
        <v/>
      </c>
      <c r="W34" s="137"/>
      <c r="X34" s="174" t="str">
        <f ca="1">IFERROR(VALUE(IF(VLOOKUP($A34,数出表_Excel!$A$6:$T$150,COLUMN()/2+1,FALSE)=0,"",VLOOKUP($A34,数出表_Excel!$A$6:$T$150,COLUMN()/2+1,FALSE))),"")</f>
        <v/>
      </c>
      <c r="Y34" s="137"/>
      <c r="Z34" s="174" t="str">
        <f ca="1">IFERROR(VALUE(IF(VLOOKUP($A34,数出表_Excel!$A$6:$T$150,COLUMN()/2+1,FALSE)=0,"",VLOOKUP($A34,数出表_Excel!$A$6:$T$150,COLUMN()/2+1,FALSE))),"")</f>
        <v/>
      </c>
      <c r="AA34" s="175"/>
      <c r="AB34" s="173" t="str">
        <f ca="1">IFERROR(VALUE(IF(VLOOKUP($A34,数出表_Excel!$A$6:$T$150,COLUMN()/2+1,FALSE)=0,"",VLOOKUP($A34,数出表_Excel!$A$6:$T$150,COLUMN()/2+1,FALSE))),"")</f>
        <v/>
      </c>
      <c r="AC34" s="137"/>
      <c r="AD34" s="174" t="str">
        <f ca="1">IFERROR(VALUE(IF(VLOOKUP($A34,数出表_Excel!$A$6:$T$150,COLUMN()/2+1,FALSE)=0,"",VLOOKUP($A34,数出表_Excel!$A$6:$T$150,COLUMN()/2+1,FALSE))),"")</f>
        <v/>
      </c>
      <c r="AE34" s="137"/>
      <c r="AF34" s="174" t="str">
        <f ca="1">IFERROR(VALUE(IF(VLOOKUP($A34,数出表_Excel!$A$6:$T$150,COLUMN()/2+1,FALSE)=0,"",VLOOKUP($A34,数出表_Excel!$A$6:$T$150,COLUMN()/2+1,FALSE))),"")</f>
        <v/>
      </c>
      <c r="AG34" s="137"/>
      <c r="AH34" s="174" t="str">
        <f ca="1">IFERROR(VALUE(IF(VLOOKUP($A34,数出表_Excel!$A$6:$T$150,COLUMN()/2+1,FALSE)=0,"",VLOOKUP($A34,数出表_Excel!$A$6:$T$150,COLUMN()/2+1,FALSE))),"")</f>
        <v/>
      </c>
      <c r="AI34" s="175"/>
      <c r="AJ34" s="173" t="str">
        <f ca="1">IFERROR(VALUE(IF(VLOOKUP($A34,数出表_Excel!$A$6:$T$150,COLUMN()/2+1,FALSE)=0,"",VLOOKUP($A34,数出表_Excel!$A$6:$T$150,COLUMN()/2+1,FALSE))),"")</f>
        <v/>
      </c>
      <c r="AK34" s="137"/>
      <c r="AL34" s="141" t="e">
        <f ca="1">IF(A34&lt;&gt;"",
IF(VLOOKUP($A34,数出表_Excel!$A$6:$T$150,COLUMN()/2+1,FALSE)=0,"",VLOOKUP($A34,数出表_Excel!$A$6:$T$150,COLUMN()/2+1,FALSE)),"")</f>
        <v>#N/A</v>
      </c>
      <c r="AM34" s="222" t="e">
        <f ca="1">数出表_Excel!V34</f>
        <v>#N/A</v>
      </c>
      <c r="AN34" s="223" t="e">
        <f ca="1">数出表_Excel!W34</f>
        <v>#N/A</v>
      </c>
    </row>
    <row r="35" spans="1:40" ht="16.2" customHeight="1" x14ac:dyDescent="0.45">
      <c r="A35" s="185" t="e">
        <f t="array" aca="1" ref="A35" ca="1">IF(OR(COUNTIF(A33,"*1000*"),COUNTIF(A33,"")),"",INDEX(貼り付け用!$A:$A,MATCH(A33,貼り付け用!$A:$A,0)+2,0))</f>
        <v>#N/A</v>
      </c>
      <c r="B35" s="138" t="str">
        <f ca="1">IFERROR(VALUE(IF(VLOOKUP($A35,数出表_Excel!$A$6:$T$150,COLUMN()/2+1,FALSE)=0,"",VLOOKUP($A35,数出表_Excel!$A$6:$T$150,COLUMN()/2+1,FALSE))),"")</f>
        <v/>
      </c>
      <c r="C35" s="138"/>
      <c r="D35" s="138" t="str">
        <f ca="1">IFERROR(VALUE(IF(VLOOKUP($A35,数出表_Excel!$A$6:$T$150,COLUMN()/2+1,FALSE)=0,"",VLOOKUP($A35,数出表_Excel!$A$6:$T$150,COLUMN()/2+1,FALSE))),"")</f>
        <v/>
      </c>
      <c r="E35" s="138"/>
      <c r="F35" s="142" t="str">
        <f ca="1">IFERROR(VALUE(IF(VLOOKUP($A35,数出表_Excel!$A$6:$T$150,COLUMN()/2+1,FALSE)=0,"",VLOOKUP($A35,数出表_Excel!$A$6:$T$150,COLUMN()/2+1,FALSE))),"")</f>
        <v/>
      </c>
      <c r="G35" s="138"/>
      <c r="H35" s="138" t="str">
        <f ca="1">IFERROR(VALUE(IF(VLOOKUP($A35,数出表_Excel!$A$6:$T$150,COLUMN()/2+1,FALSE)=0,"",VLOOKUP($A35,数出表_Excel!$A$6:$T$150,COLUMN()/2+1,FALSE))),"")</f>
        <v/>
      </c>
      <c r="I35" s="138"/>
      <c r="J35" s="138" t="str">
        <f ca="1">IFERROR(VALUE(IF(VLOOKUP($A35,数出表_Excel!$A$6:$T$150,COLUMN()/2+1,FALSE)=0,"",VLOOKUP($A35,数出表_Excel!$A$6:$T$150,COLUMN()/2+1,FALSE))),"")</f>
        <v/>
      </c>
      <c r="K35" s="138"/>
      <c r="L35" s="142" t="str">
        <f ca="1">IFERROR(VALUE(IF(VLOOKUP($A35,数出表_Excel!$A$6:$T$150,COLUMN()/2+1,FALSE)=0,"",VLOOKUP($A35,数出表_Excel!$A$6:$T$150,COLUMN()/2+1,FALSE))),"")</f>
        <v/>
      </c>
      <c r="M35" s="138"/>
      <c r="N35" s="138" t="str">
        <f ca="1">IFERROR(VALUE(IF(VLOOKUP($A35,数出表_Excel!$A$6:$T$150,COLUMN()/2+1,FALSE)=0,"",VLOOKUP($A35,数出表_Excel!$A$6:$T$150,COLUMN()/2+1,FALSE))),"")</f>
        <v/>
      </c>
      <c r="O35" s="138"/>
      <c r="P35" s="138" t="str">
        <f ca="1">IFERROR(VALUE(IF(VLOOKUP($A35,数出表_Excel!$A$6:$T$150,COLUMN()/2+1,FALSE)=0,"",VLOOKUP($A35,数出表_Excel!$A$6:$T$150,COLUMN()/2+1,FALSE))),"")</f>
        <v/>
      </c>
      <c r="Q35" s="138"/>
      <c r="R35" s="138" t="str">
        <f ca="1">IFERROR(VALUE(IF(VLOOKUP($A35,数出表_Excel!$A$6:$T$150,COLUMN()/2+1,FALSE)=0,"",VLOOKUP($A35,数出表_Excel!$A$6:$T$150,COLUMN()/2+1,FALSE))),"")</f>
        <v/>
      </c>
      <c r="S35" s="138"/>
      <c r="T35" s="138" t="str">
        <f ca="1">IFERROR(VALUE(IF(VLOOKUP($A35,数出表_Excel!$A$6:$T$150,COLUMN()/2+1,FALSE)=0,"",VLOOKUP($A35,数出表_Excel!$A$6:$T$150,COLUMN()/2+1,FALSE))),"")</f>
        <v/>
      </c>
      <c r="U35" s="138"/>
      <c r="V35" s="142" t="str">
        <f ca="1">IFERROR(VALUE(IF(VLOOKUP($A35,数出表_Excel!$A$6:$T$150,COLUMN()/2+1,FALSE)=0,"",VLOOKUP($A35,数出表_Excel!$A$6:$T$150,COLUMN()/2+1,FALSE))),"")</f>
        <v/>
      </c>
      <c r="W35" s="138"/>
      <c r="X35" s="142" t="str">
        <f ca="1">IFERROR(VALUE(IF(VLOOKUP($A35,数出表_Excel!$A$6:$T$150,COLUMN()/2+1,FALSE)=0,"",VLOOKUP($A35,数出表_Excel!$A$6:$T$150,COLUMN()/2+1,FALSE))),"")</f>
        <v/>
      </c>
      <c r="Y35" s="138"/>
      <c r="Z35" s="142" t="str">
        <f ca="1">IFERROR(VALUE(IF(VLOOKUP($A35,数出表_Excel!$A$6:$T$150,COLUMN()/2+1,FALSE)=0,"",VLOOKUP($A35,数出表_Excel!$A$6:$T$150,COLUMN()/2+1,FALSE))),"")</f>
        <v/>
      </c>
      <c r="AA35" s="176"/>
      <c r="AB35" s="143" t="str">
        <f ca="1">IFERROR(VALUE(IF(VLOOKUP($A35,数出表_Excel!$A$6:$T$150,COLUMN()/2+1,FALSE)=0,"",VLOOKUP($A35,数出表_Excel!$A$6:$T$150,COLUMN()/2+1,FALSE))),"")</f>
        <v/>
      </c>
      <c r="AC35" s="138"/>
      <c r="AD35" s="142" t="str">
        <f ca="1">IFERROR(VALUE(IF(VLOOKUP($A35,数出表_Excel!$A$6:$T$150,COLUMN()/2+1,FALSE)=0,"",VLOOKUP($A35,数出表_Excel!$A$6:$T$150,COLUMN()/2+1,FALSE))),"")</f>
        <v/>
      </c>
      <c r="AE35" s="138"/>
      <c r="AF35" s="142" t="str">
        <f ca="1">IFERROR(VALUE(IF(VLOOKUP($A35,数出表_Excel!$A$6:$T$150,COLUMN()/2+1,FALSE)=0,"",VLOOKUP($A35,数出表_Excel!$A$6:$T$150,COLUMN()/2+1,FALSE))),"")</f>
        <v/>
      </c>
      <c r="AG35" s="138"/>
      <c r="AH35" s="142" t="str">
        <f ca="1">IFERROR(VALUE(IF(VLOOKUP($A35,数出表_Excel!$A$6:$T$150,COLUMN()/2+1,FALSE)=0,"",VLOOKUP($A35,数出表_Excel!$A$6:$T$150,COLUMN()/2+1,FALSE))),"")</f>
        <v/>
      </c>
      <c r="AI35" s="176"/>
      <c r="AJ35" s="143" t="str">
        <f ca="1">IFERROR(VALUE(IF(VLOOKUP($A35,数出表_Excel!$A$6:$T$150,COLUMN()/2+1,FALSE)=0,"",VLOOKUP($A35,数出表_Excel!$A$6:$T$150,COLUMN()/2+1,FALSE))),"")</f>
        <v/>
      </c>
      <c r="AK35" s="138"/>
      <c r="AL35" s="144" t="e">
        <f ca="1">IF(A35&lt;&gt;"",
IF(VLOOKUP($A35,数出表_Excel!$A$6:$T$150,COLUMN()/2+1,FALSE)=0,"",VLOOKUP($A35,数出表_Excel!$A$6:$T$150,COLUMN()/2+1,FALSE)),"")</f>
        <v>#N/A</v>
      </c>
      <c r="AM35" s="224" t="e">
        <f ca="1">数出表_Excel!V35</f>
        <v>#N/A</v>
      </c>
      <c r="AN35" s="225" t="e">
        <f ca="1">数出表_Excel!W35</f>
        <v>#N/A</v>
      </c>
    </row>
    <row r="36" spans="1:40" ht="16.2" customHeight="1" x14ac:dyDescent="0.45">
      <c r="A36" s="184" t="e">
        <f t="array" aca="1" ref="A36" ca="1">IF(OR(COUNTIF(A34,"*10002*"),COUNTIF(A34,"")),"",INDEX(貼り付け用!$A:$A,MATCH(A34,貼り付け用!$A:$A,0)+2,0))</f>
        <v>#N/A</v>
      </c>
      <c r="B36" s="172" t="str">
        <f ca="1">IFERROR(VALUE(IF(VLOOKUP($A36,数出表_Excel!$A$6:$T$150,COLUMN()/2+1,FALSE)=0,"",VLOOKUP($A36,数出表_Excel!$A$6:$T$150,COLUMN()/2+1,FALSE))),"")</f>
        <v/>
      </c>
      <c r="C36" s="137"/>
      <c r="D36" s="172" t="str">
        <f ca="1">IFERROR(VALUE(IF(VLOOKUP($A36,数出表_Excel!$A$6:$T$150,COLUMN()/2+1,FALSE)=0,"",VLOOKUP($A36,数出表_Excel!$A$6:$T$150,COLUMN()/2+1,FALSE))),"")</f>
        <v/>
      </c>
      <c r="E36" s="137"/>
      <c r="F36" s="174" t="str">
        <f ca="1">IFERROR(VALUE(IF(VLOOKUP($A36,数出表_Excel!$A$6:$T$150,COLUMN()/2+1,FALSE)=0,"",VLOOKUP($A36,数出表_Excel!$A$6:$T$150,COLUMN()/2+1,FALSE))),"")</f>
        <v/>
      </c>
      <c r="G36" s="137"/>
      <c r="H36" s="172" t="str">
        <f ca="1">IFERROR(VALUE(IF(VLOOKUP($A36,数出表_Excel!$A$6:$T$150,COLUMN()/2+1,FALSE)=0,"",VLOOKUP($A36,数出表_Excel!$A$6:$T$150,COLUMN()/2+1,FALSE))),"")</f>
        <v/>
      </c>
      <c r="I36" s="137"/>
      <c r="J36" s="172" t="str">
        <f ca="1">IFERROR(VALUE(IF(VLOOKUP($A36,数出表_Excel!$A$6:$T$150,COLUMN()/2+1,FALSE)=0,"",VLOOKUP($A36,数出表_Excel!$A$6:$T$150,COLUMN()/2+1,FALSE))),"")</f>
        <v/>
      </c>
      <c r="K36" s="137"/>
      <c r="L36" s="174" t="str">
        <f ca="1">IFERROR(VALUE(IF(VLOOKUP($A36,数出表_Excel!$A$6:$T$150,COLUMN()/2+1,FALSE)=0,"",VLOOKUP($A36,数出表_Excel!$A$6:$T$150,COLUMN()/2+1,FALSE))),"")</f>
        <v/>
      </c>
      <c r="M36" s="137"/>
      <c r="N36" s="172" t="str">
        <f ca="1">IFERROR(VALUE(IF(VLOOKUP($A36,数出表_Excel!$A$6:$T$150,COLUMN()/2+1,FALSE)=0,"",VLOOKUP($A36,数出表_Excel!$A$6:$T$150,COLUMN()/2+1,FALSE))),"")</f>
        <v/>
      </c>
      <c r="O36" s="137"/>
      <c r="P36" s="172" t="str">
        <f ca="1">IFERROR(VALUE(IF(VLOOKUP($A36,数出表_Excel!$A$6:$T$150,COLUMN()/2+1,FALSE)=0,"",VLOOKUP($A36,数出表_Excel!$A$6:$T$150,COLUMN()/2+1,FALSE))),"")</f>
        <v/>
      </c>
      <c r="Q36" s="137"/>
      <c r="R36" s="172" t="str">
        <f ca="1">IFERROR(VALUE(IF(VLOOKUP($A36,数出表_Excel!$A$6:$T$150,COLUMN()/2+1,FALSE)=0,"",VLOOKUP($A36,数出表_Excel!$A$6:$T$150,COLUMN()/2+1,FALSE))),"")</f>
        <v/>
      </c>
      <c r="S36" s="137"/>
      <c r="T36" s="172" t="str">
        <f ca="1">IFERROR(VALUE(IF(VLOOKUP($A36,数出表_Excel!$A$6:$T$150,COLUMN()/2+1,FALSE)=0,"",VLOOKUP($A36,数出表_Excel!$A$6:$T$150,COLUMN()/2+1,FALSE))),"")</f>
        <v/>
      </c>
      <c r="U36" s="137"/>
      <c r="V36" s="174" t="str">
        <f ca="1">IFERROR(VALUE(IF(VLOOKUP($A36,数出表_Excel!$A$6:$T$150,COLUMN()/2+1,FALSE)=0,"",VLOOKUP($A36,数出表_Excel!$A$6:$T$150,COLUMN()/2+1,FALSE))),"")</f>
        <v/>
      </c>
      <c r="W36" s="137"/>
      <c r="X36" s="174" t="str">
        <f ca="1">IFERROR(VALUE(IF(VLOOKUP($A36,数出表_Excel!$A$6:$T$150,COLUMN()/2+1,FALSE)=0,"",VLOOKUP($A36,数出表_Excel!$A$6:$T$150,COLUMN()/2+1,FALSE))),"")</f>
        <v/>
      </c>
      <c r="Y36" s="137"/>
      <c r="Z36" s="174" t="str">
        <f ca="1">IFERROR(VALUE(IF(VLOOKUP($A36,数出表_Excel!$A$6:$T$150,COLUMN()/2+1,FALSE)=0,"",VLOOKUP($A36,数出表_Excel!$A$6:$T$150,COLUMN()/2+1,FALSE))),"")</f>
        <v/>
      </c>
      <c r="AA36" s="175"/>
      <c r="AB36" s="173" t="str">
        <f ca="1">IFERROR(VALUE(IF(VLOOKUP($A36,数出表_Excel!$A$6:$T$150,COLUMN()/2+1,FALSE)=0,"",VLOOKUP($A36,数出表_Excel!$A$6:$T$150,COLUMN()/2+1,FALSE))),"")</f>
        <v/>
      </c>
      <c r="AC36" s="137"/>
      <c r="AD36" s="174" t="str">
        <f ca="1">IFERROR(VALUE(IF(VLOOKUP($A36,数出表_Excel!$A$6:$T$150,COLUMN()/2+1,FALSE)=0,"",VLOOKUP($A36,数出表_Excel!$A$6:$T$150,COLUMN()/2+1,FALSE))),"")</f>
        <v/>
      </c>
      <c r="AE36" s="137"/>
      <c r="AF36" s="174" t="str">
        <f ca="1">IFERROR(VALUE(IF(VLOOKUP($A36,数出表_Excel!$A$6:$T$150,COLUMN()/2+1,FALSE)=0,"",VLOOKUP($A36,数出表_Excel!$A$6:$T$150,COLUMN()/2+1,FALSE))),"")</f>
        <v/>
      </c>
      <c r="AG36" s="137"/>
      <c r="AH36" s="174" t="str">
        <f ca="1">IFERROR(VALUE(IF(VLOOKUP($A36,数出表_Excel!$A$6:$T$150,COLUMN()/2+1,FALSE)=0,"",VLOOKUP($A36,数出表_Excel!$A$6:$T$150,COLUMN()/2+1,FALSE))),"")</f>
        <v/>
      </c>
      <c r="AI36" s="175"/>
      <c r="AJ36" s="173" t="str">
        <f ca="1">IFERROR(VALUE(IF(VLOOKUP($A36,数出表_Excel!$A$6:$T$150,COLUMN()/2+1,FALSE)=0,"",VLOOKUP($A36,数出表_Excel!$A$6:$T$150,COLUMN()/2+1,FALSE))),"")</f>
        <v/>
      </c>
      <c r="AK36" s="137"/>
      <c r="AL36" s="141" t="e">
        <f ca="1">IF(A36&lt;&gt;"",
IF(VLOOKUP($A36,数出表_Excel!$A$6:$T$150,COLUMN()/2+1,FALSE)=0,"",VLOOKUP($A36,数出表_Excel!$A$6:$T$150,COLUMN()/2+1,FALSE)),"")</f>
        <v>#N/A</v>
      </c>
      <c r="AM36" s="222" t="e">
        <f ca="1">数出表_Excel!V36</f>
        <v>#N/A</v>
      </c>
      <c r="AN36" s="223" t="e">
        <f ca="1">数出表_Excel!W36</f>
        <v>#N/A</v>
      </c>
    </row>
    <row r="37" spans="1:40" ht="16.2" customHeight="1" x14ac:dyDescent="0.45">
      <c r="A37" s="185" t="e">
        <f t="array" aca="1" ref="A37" ca="1">IF(OR(COUNTIF(A35,"*1000*"),COUNTIF(A35,"")),"",INDEX(貼り付け用!$A:$A,MATCH(A35,貼り付け用!$A:$A,0)+2,0))</f>
        <v>#N/A</v>
      </c>
      <c r="B37" s="138" t="str">
        <f ca="1">IFERROR(VALUE(IF(VLOOKUP($A37,数出表_Excel!$A$6:$T$150,COLUMN()/2+1,FALSE)=0,"",VLOOKUP($A37,数出表_Excel!$A$6:$T$150,COLUMN()/2+1,FALSE))),"")</f>
        <v/>
      </c>
      <c r="C37" s="138"/>
      <c r="D37" s="138" t="str">
        <f ca="1">IFERROR(VALUE(IF(VLOOKUP($A37,数出表_Excel!$A$6:$T$150,COLUMN()/2+1,FALSE)=0,"",VLOOKUP($A37,数出表_Excel!$A$6:$T$150,COLUMN()/2+1,FALSE))),"")</f>
        <v/>
      </c>
      <c r="E37" s="138"/>
      <c r="F37" s="142" t="str">
        <f ca="1">IFERROR(VALUE(IF(VLOOKUP($A37,数出表_Excel!$A$6:$T$150,COLUMN()/2+1,FALSE)=0,"",VLOOKUP($A37,数出表_Excel!$A$6:$T$150,COLUMN()/2+1,FALSE))),"")</f>
        <v/>
      </c>
      <c r="G37" s="138"/>
      <c r="H37" s="138" t="str">
        <f ca="1">IFERROR(VALUE(IF(VLOOKUP($A37,数出表_Excel!$A$6:$T$150,COLUMN()/2+1,FALSE)=0,"",VLOOKUP($A37,数出表_Excel!$A$6:$T$150,COLUMN()/2+1,FALSE))),"")</f>
        <v/>
      </c>
      <c r="I37" s="138"/>
      <c r="J37" s="138" t="str">
        <f ca="1">IFERROR(VALUE(IF(VLOOKUP($A37,数出表_Excel!$A$6:$T$150,COLUMN()/2+1,FALSE)=0,"",VLOOKUP($A37,数出表_Excel!$A$6:$T$150,COLUMN()/2+1,FALSE))),"")</f>
        <v/>
      </c>
      <c r="K37" s="138"/>
      <c r="L37" s="142" t="str">
        <f ca="1">IFERROR(VALUE(IF(VLOOKUP($A37,数出表_Excel!$A$6:$T$150,COLUMN()/2+1,FALSE)=0,"",VLOOKUP($A37,数出表_Excel!$A$6:$T$150,COLUMN()/2+1,FALSE))),"")</f>
        <v/>
      </c>
      <c r="M37" s="138"/>
      <c r="N37" s="138" t="str">
        <f ca="1">IFERROR(VALUE(IF(VLOOKUP($A37,数出表_Excel!$A$6:$T$150,COLUMN()/2+1,FALSE)=0,"",VLOOKUP($A37,数出表_Excel!$A$6:$T$150,COLUMN()/2+1,FALSE))),"")</f>
        <v/>
      </c>
      <c r="O37" s="138"/>
      <c r="P37" s="138" t="str">
        <f ca="1">IFERROR(VALUE(IF(VLOOKUP($A37,数出表_Excel!$A$6:$T$150,COLUMN()/2+1,FALSE)=0,"",VLOOKUP($A37,数出表_Excel!$A$6:$T$150,COLUMN()/2+1,FALSE))),"")</f>
        <v/>
      </c>
      <c r="Q37" s="138"/>
      <c r="R37" s="138" t="str">
        <f ca="1">IFERROR(VALUE(IF(VLOOKUP($A37,数出表_Excel!$A$6:$T$150,COLUMN()/2+1,FALSE)=0,"",VLOOKUP($A37,数出表_Excel!$A$6:$T$150,COLUMN()/2+1,FALSE))),"")</f>
        <v/>
      </c>
      <c r="S37" s="138"/>
      <c r="T37" s="138" t="str">
        <f ca="1">IFERROR(VALUE(IF(VLOOKUP($A37,数出表_Excel!$A$6:$T$150,COLUMN()/2+1,FALSE)=0,"",VLOOKUP($A37,数出表_Excel!$A$6:$T$150,COLUMN()/2+1,FALSE))),"")</f>
        <v/>
      </c>
      <c r="U37" s="138"/>
      <c r="V37" s="142" t="str">
        <f ca="1">IFERROR(VALUE(IF(VLOOKUP($A37,数出表_Excel!$A$6:$T$150,COLUMN()/2+1,FALSE)=0,"",VLOOKUP($A37,数出表_Excel!$A$6:$T$150,COLUMN()/2+1,FALSE))),"")</f>
        <v/>
      </c>
      <c r="W37" s="138"/>
      <c r="X37" s="142" t="str">
        <f ca="1">IFERROR(VALUE(IF(VLOOKUP($A37,数出表_Excel!$A$6:$T$150,COLUMN()/2+1,FALSE)=0,"",VLOOKUP($A37,数出表_Excel!$A$6:$T$150,COLUMN()/2+1,FALSE))),"")</f>
        <v/>
      </c>
      <c r="Y37" s="138"/>
      <c r="Z37" s="142" t="str">
        <f ca="1">IFERROR(VALUE(IF(VLOOKUP($A37,数出表_Excel!$A$6:$T$150,COLUMN()/2+1,FALSE)=0,"",VLOOKUP($A37,数出表_Excel!$A$6:$T$150,COLUMN()/2+1,FALSE))),"")</f>
        <v/>
      </c>
      <c r="AA37" s="176"/>
      <c r="AB37" s="143" t="str">
        <f ca="1">IFERROR(VALUE(IF(VLOOKUP($A37,数出表_Excel!$A$6:$T$150,COLUMN()/2+1,FALSE)=0,"",VLOOKUP($A37,数出表_Excel!$A$6:$T$150,COLUMN()/2+1,FALSE))),"")</f>
        <v/>
      </c>
      <c r="AC37" s="138"/>
      <c r="AD37" s="142" t="str">
        <f ca="1">IFERROR(VALUE(IF(VLOOKUP($A37,数出表_Excel!$A$6:$T$150,COLUMN()/2+1,FALSE)=0,"",VLOOKUP($A37,数出表_Excel!$A$6:$T$150,COLUMN()/2+1,FALSE))),"")</f>
        <v/>
      </c>
      <c r="AE37" s="138"/>
      <c r="AF37" s="142" t="str">
        <f ca="1">IFERROR(VALUE(IF(VLOOKUP($A37,数出表_Excel!$A$6:$T$150,COLUMN()/2+1,FALSE)=0,"",VLOOKUP($A37,数出表_Excel!$A$6:$T$150,COLUMN()/2+1,FALSE))),"")</f>
        <v/>
      </c>
      <c r="AG37" s="138"/>
      <c r="AH37" s="142" t="str">
        <f ca="1">IFERROR(VALUE(IF(VLOOKUP($A37,数出表_Excel!$A$6:$T$150,COLUMN()/2+1,FALSE)=0,"",VLOOKUP($A37,数出表_Excel!$A$6:$T$150,COLUMN()/2+1,FALSE))),"")</f>
        <v/>
      </c>
      <c r="AI37" s="176"/>
      <c r="AJ37" s="143" t="str">
        <f ca="1">IFERROR(VALUE(IF(VLOOKUP($A37,数出表_Excel!$A$6:$T$150,COLUMN()/2+1,FALSE)=0,"",VLOOKUP($A37,数出表_Excel!$A$6:$T$150,COLUMN()/2+1,FALSE))),"")</f>
        <v/>
      </c>
      <c r="AK37" s="138"/>
      <c r="AL37" s="144" t="e">
        <f ca="1">IF(A37&lt;&gt;"",
IF(VLOOKUP($A37,数出表_Excel!$A$6:$T$150,COLUMN()/2+1,FALSE)=0,"",VLOOKUP($A37,数出表_Excel!$A$6:$T$150,COLUMN()/2+1,FALSE)),"")</f>
        <v>#N/A</v>
      </c>
      <c r="AM37" s="224" t="e">
        <f ca="1">数出表_Excel!V37</f>
        <v>#N/A</v>
      </c>
      <c r="AN37" s="225" t="e">
        <f ca="1">数出表_Excel!W37</f>
        <v>#N/A</v>
      </c>
    </row>
    <row r="38" spans="1:40" ht="16.2" customHeight="1" x14ac:dyDescent="0.45">
      <c r="A38" s="184" t="e">
        <f t="array" aca="1" ref="A38" ca="1">IF(OR(COUNTIF(A36,"*10002*"),COUNTIF(A36,"")),"",INDEX(貼り付け用!$A:$A,MATCH(A36,貼り付け用!$A:$A,0)+2,0))</f>
        <v>#N/A</v>
      </c>
      <c r="B38" s="172" t="str">
        <f ca="1">IFERROR(VALUE(IF(VLOOKUP($A38,数出表_Excel!$A$6:$T$150,COLUMN()/2+1,FALSE)=0,"",VLOOKUP($A38,数出表_Excel!$A$6:$T$150,COLUMN()/2+1,FALSE))),"")</f>
        <v/>
      </c>
      <c r="C38" s="137"/>
      <c r="D38" s="172" t="str">
        <f ca="1">IFERROR(VALUE(IF(VLOOKUP($A38,数出表_Excel!$A$6:$T$150,COLUMN()/2+1,FALSE)=0,"",VLOOKUP($A38,数出表_Excel!$A$6:$T$150,COLUMN()/2+1,FALSE))),"")</f>
        <v/>
      </c>
      <c r="E38" s="137"/>
      <c r="F38" s="174" t="str">
        <f ca="1">IFERROR(VALUE(IF(VLOOKUP($A38,数出表_Excel!$A$6:$T$150,COLUMN()/2+1,FALSE)=0,"",VLOOKUP($A38,数出表_Excel!$A$6:$T$150,COLUMN()/2+1,FALSE))),"")</f>
        <v/>
      </c>
      <c r="G38" s="137"/>
      <c r="H38" s="172" t="str">
        <f ca="1">IFERROR(VALUE(IF(VLOOKUP($A38,数出表_Excel!$A$6:$T$150,COLUMN()/2+1,FALSE)=0,"",VLOOKUP($A38,数出表_Excel!$A$6:$T$150,COLUMN()/2+1,FALSE))),"")</f>
        <v/>
      </c>
      <c r="I38" s="137"/>
      <c r="J38" s="172" t="str">
        <f ca="1">IFERROR(VALUE(IF(VLOOKUP($A38,数出表_Excel!$A$6:$T$150,COLUMN()/2+1,FALSE)=0,"",VLOOKUP($A38,数出表_Excel!$A$6:$T$150,COLUMN()/2+1,FALSE))),"")</f>
        <v/>
      </c>
      <c r="K38" s="137"/>
      <c r="L38" s="174" t="str">
        <f ca="1">IFERROR(VALUE(IF(VLOOKUP($A38,数出表_Excel!$A$6:$T$150,COLUMN()/2+1,FALSE)=0,"",VLOOKUP($A38,数出表_Excel!$A$6:$T$150,COLUMN()/2+1,FALSE))),"")</f>
        <v/>
      </c>
      <c r="M38" s="137"/>
      <c r="N38" s="172" t="str">
        <f ca="1">IFERROR(VALUE(IF(VLOOKUP($A38,数出表_Excel!$A$6:$T$150,COLUMN()/2+1,FALSE)=0,"",VLOOKUP($A38,数出表_Excel!$A$6:$T$150,COLUMN()/2+1,FALSE))),"")</f>
        <v/>
      </c>
      <c r="O38" s="137"/>
      <c r="P38" s="172" t="str">
        <f ca="1">IFERROR(VALUE(IF(VLOOKUP($A38,数出表_Excel!$A$6:$T$150,COLUMN()/2+1,FALSE)=0,"",VLOOKUP($A38,数出表_Excel!$A$6:$T$150,COLUMN()/2+1,FALSE))),"")</f>
        <v/>
      </c>
      <c r="Q38" s="137"/>
      <c r="R38" s="172" t="str">
        <f ca="1">IFERROR(VALUE(IF(VLOOKUP($A38,数出表_Excel!$A$6:$T$150,COLUMN()/2+1,FALSE)=0,"",VLOOKUP($A38,数出表_Excel!$A$6:$T$150,COLUMN()/2+1,FALSE))),"")</f>
        <v/>
      </c>
      <c r="S38" s="137"/>
      <c r="T38" s="172" t="str">
        <f ca="1">IFERROR(VALUE(IF(VLOOKUP($A38,数出表_Excel!$A$6:$T$150,COLUMN()/2+1,FALSE)=0,"",VLOOKUP($A38,数出表_Excel!$A$6:$T$150,COLUMN()/2+1,FALSE))),"")</f>
        <v/>
      </c>
      <c r="U38" s="137"/>
      <c r="V38" s="174" t="str">
        <f ca="1">IFERROR(VALUE(IF(VLOOKUP($A38,数出表_Excel!$A$6:$T$150,COLUMN()/2+1,FALSE)=0,"",VLOOKUP($A38,数出表_Excel!$A$6:$T$150,COLUMN()/2+1,FALSE))),"")</f>
        <v/>
      </c>
      <c r="W38" s="137"/>
      <c r="X38" s="174" t="str">
        <f ca="1">IFERROR(VALUE(IF(VLOOKUP($A38,数出表_Excel!$A$6:$T$150,COLUMN()/2+1,FALSE)=0,"",VLOOKUP($A38,数出表_Excel!$A$6:$T$150,COLUMN()/2+1,FALSE))),"")</f>
        <v/>
      </c>
      <c r="Y38" s="137"/>
      <c r="Z38" s="174" t="str">
        <f ca="1">IFERROR(VALUE(IF(VLOOKUP($A38,数出表_Excel!$A$6:$T$150,COLUMN()/2+1,FALSE)=0,"",VLOOKUP($A38,数出表_Excel!$A$6:$T$150,COLUMN()/2+1,FALSE))),"")</f>
        <v/>
      </c>
      <c r="AA38" s="175"/>
      <c r="AB38" s="173" t="str">
        <f ca="1">IFERROR(VALUE(IF(VLOOKUP($A38,数出表_Excel!$A$6:$T$150,COLUMN()/2+1,FALSE)=0,"",VLOOKUP($A38,数出表_Excel!$A$6:$T$150,COLUMN()/2+1,FALSE))),"")</f>
        <v/>
      </c>
      <c r="AC38" s="137"/>
      <c r="AD38" s="174" t="str">
        <f ca="1">IFERROR(VALUE(IF(VLOOKUP($A38,数出表_Excel!$A$6:$T$150,COLUMN()/2+1,FALSE)=0,"",VLOOKUP($A38,数出表_Excel!$A$6:$T$150,COLUMN()/2+1,FALSE))),"")</f>
        <v/>
      </c>
      <c r="AE38" s="137"/>
      <c r="AF38" s="174" t="str">
        <f ca="1">IFERROR(VALUE(IF(VLOOKUP($A38,数出表_Excel!$A$6:$T$150,COLUMN()/2+1,FALSE)=0,"",VLOOKUP($A38,数出表_Excel!$A$6:$T$150,COLUMN()/2+1,FALSE))),"")</f>
        <v/>
      </c>
      <c r="AG38" s="137"/>
      <c r="AH38" s="174" t="str">
        <f ca="1">IFERROR(VALUE(IF(VLOOKUP($A38,数出表_Excel!$A$6:$T$150,COLUMN()/2+1,FALSE)=0,"",VLOOKUP($A38,数出表_Excel!$A$6:$T$150,COLUMN()/2+1,FALSE))),"")</f>
        <v/>
      </c>
      <c r="AI38" s="175"/>
      <c r="AJ38" s="173" t="str">
        <f ca="1">IFERROR(VALUE(IF(VLOOKUP($A38,数出表_Excel!$A$6:$T$150,COLUMN()/2+1,FALSE)=0,"",VLOOKUP($A38,数出表_Excel!$A$6:$T$150,COLUMN()/2+1,FALSE))),"")</f>
        <v/>
      </c>
      <c r="AK38" s="137"/>
      <c r="AL38" s="141" t="e">
        <f ca="1">IF(A38&lt;&gt;"",
IF(VLOOKUP($A38,数出表_Excel!$A$6:$T$150,COLUMN()/2+1,FALSE)=0,"",VLOOKUP($A38,数出表_Excel!$A$6:$T$150,COLUMN()/2+1,FALSE)),"")</f>
        <v>#N/A</v>
      </c>
      <c r="AM38" s="222" t="e">
        <f ca="1">数出表_Excel!V38</f>
        <v>#N/A</v>
      </c>
      <c r="AN38" s="223" t="e">
        <f ca="1">数出表_Excel!W38</f>
        <v>#N/A</v>
      </c>
    </row>
    <row r="39" spans="1:40" ht="16.2" customHeight="1" x14ac:dyDescent="0.45">
      <c r="A39" s="185" t="e">
        <f t="array" aca="1" ref="A39" ca="1">IF(OR(COUNTIF(A37,"*1000*"),COUNTIF(A37,"")),"",INDEX(貼り付け用!$A:$A,MATCH(A37,貼り付け用!$A:$A,0)+2,0))</f>
        <v>#N/A</v>
      </c>
      <c r="B39" s="138" t="str">
        <f ca="1">IFERROR(VALUE(IF(VLOOKUP($A39,数出表_Excel!$A$6:$T$150,COLUMN()/2+1,FALSE)=0,"",VLOOKUP($A39,数出表_Excel!$A$6:$T$150,COLUMN()/2+1,FALSE))),"")</f>
        <v/>
      </c>
      <c r="C39" s="138"/>
      <c r="D39" s="138" t="str">
        <f ca="1">IFERROR(VALUE(IF(VLOOKUP($A39,数出表_Excel!$A$6:$T$150,COLUMN()/2+1,FALSE)=0,"",VLOOKUP($A39,数出表_Excel!$A$6:$T$150,COLUMN()/2+1,FALSE))),"")</f>
        <v/>
      </c>
      <c r="E39" s="138"/>
      <c r="F39" s="142" t="str">
        <f ca="1">IFERROR(VALUE(IF(VLOOKUP($A39,数出表_Excel!$A$6:$T$150,COLUMN()/2+1,FALSE)=0,"",VLOOKUP($A39,数出表_Excel!$A$6:$T$150,COLUMN()/2+1,FALSE))),"")</f>
        <v/>
      </c>
      <c r="G39" s="138"/>
      <c r="H39" s="138" t="str">
        <f ca="1">IFERROR(VALUE(IF(VLOOKUP($A39,数出表_Excel!$A$6:$T$150,COLUMN()/2+1,FALSE)=0,"",VLOOKUP($A39,数出表_Excel!$A$6:$T$150,COLUMN()/2+1,FALSE))),"")</f>
        <v/>
      </c>
      <c r="I39" s="138"/>
      <c r="J39" s="138" t="str">
        <f ca="1">IFERROR(VALUE(IF(VLOOKUP($A39,数出表_Excel!$A$6:$T$150,COLUMN()/2+1,FALSE)=0,"",VLOOKUP($A39,数出表_Excel!$A$6:$T$150,COLUMN()/2+1,FALSE))),"")</f>
        <v/>
      </c>
      <c r="K39" s="138"/>
      <c r="L39" s="142" t="str">
        <f ca="1">IFERROR(VALUE(IF(VLOOKUP($A39,数出表_Excel!$A$6:$T$150,COLUMN()/2+1,FALSE)=0,"",VLOOKUP($A39,数出表_Excel!$A$6:$T$150,COLUMN()/2+1,FALSE))),"")</f>
        <v/>
      </c>
      <c r="M39" s="138"/>
      <c r="N39" s="138" t="str">
        <f ca="1">IFERROR(VALUE(IF(VLOOKUP($A39,数出表_Excel!$A$6:$T$150,COLUMN()/2+1,FALSE)=0,"",VLOOKUP($A39,数出表_Excel!$A$6:$T$150,COLUMN()/2+1,FALSE))),"")</f>
        <v/>
      </c>
      <c r="O39" s="138"/>
      <c r="P39" s="138" t="str">
        <f ca="1">IFERROR(VALUE(IF(VLOOKUP($A39,数出表_Excel!$A$6:$T$150,COLUMN()/2+1,FALSE)=0,"",VLOOKUP($A39,数出表_Excel!$A$6:$T$150,COLUMN()/2+1,FALSE))),"")</f>
        <v/>
      </c>
      <c r="Q39" s="138"/>
      <c r="R39" s="138" t="str">
        <f ca="1">IFERROR(VALUE(IF(VLOOKUP($A39,数出表_Excel!$A$6:$T$150,COLUMN()/2+1,FALSE)=0,"",VLOOKUP($A39,数出表_Excel!$A$6:$T$150,COLUMN()/2+1,FALSE))),"")</f>
        <v/>
      </c>
      <c r="S39" s="138"/>
      <c r="T39" s="138" t="str">
        <f ca="1">IFERROR(VALUE(IF(VLOOKUP($A39,数出表_Excel!$A$6:$T$150,COLUMN()/2+1,FALSE)=0,"",VLOOKUP($A39,数出表_Excel!$A$6:$T$150,COLUMN()/2+1,FALSE))),"")</f>
        <v/>
      </c>
      <c r="U39" s="138"/>
      <c r="V39" s="142" t="str">
        <f ca="1">IFERROR(VALUE(IF(VLOOKUP($A39,数出表_Excel!$A$6:$T$150,COLUMN()/2+1,FALSE)=0,"",VLOOKUP($A39,数出表_Excel!$A$6:$T$150,COLUMN()/2+1,FALSE))),"")</f>
        <v/>
      </c>
      <c r="W39" s="138"/>
      <c r="X39" s="142" t="str">
        <f ca="1">IFERROR(VALUE(IF(VLOOKUP($A39,数出表_Excel!$A$6:$T$150,COLUMN()/2+1,FALSE)=0,"",VLOOKUP($A39,数出表_Excel!$A$6:$T$150,COLUMN()/2+1,FALSE))),"")</f>
        <v/>
      </c>
      <c r="Y39" s="138"/>
      <c r="Z39" s="142" t="str">
        <f ca="1">IFERROR(VALUE(IF(VLOOKUP($A39,数出表_Excel!$A$6:$T$150,COLUMN()/2+1,FALSE)=0,"",VLOOKUP($A39,数出表_Excel!$A$6:$T$150,COLUMN()/2+1,FALSE))),"")</f>
        <v/>
      </c>
      <c r="AA39" s="176"/>
      <c r="AB39" s="143" t="str">
        <f ca="1">IFERROR(VALUE(IF(VLOOKUP($A39,数出表_Excel!$A$6:$T$150,COLUMN()/2+1,FALSE)=0,"",VLOOKUP($A39,数出表_Excel!$A$6:$T$150,COLUMN()/2+1,FALSE))),"")</f>
        <v/>
      </c>
      <c r="AC39" s="138"/>
      <c r="AD39" s="142" t="str">
        <f ca="1">IFERROR(VALUE(IF(VLOOKUP($A39,数出表_Excel!$A$6:$T$150,COLUMN()/2+1,FALSE)=0,"",VLOOKUP($A39,数出表_Excel!$A$6:$T$150,COLUMN()/2+1,FALSE))),"")</f>
        <v/>
      </c>
      <c r="AE39" s="138"/>
      <c r="AF39" s="142" t="str">
        <f ca="1">IFERROR(VALUE(IF(VLOOKUP($A39,数出表_Excel!$A$6:$T$150,COLUMN()/2+1,FALSE)=0,"",VLOOKUP($A39,数出表_Excel!$A$6:$T$150,COLUMN()/2+1,FALSE))),"")</f>
        <v/>
      </c>
      <c r="AG39" s="138"/>
      <c r="AH39" s="142" t="str">
        <f ca="1">IFERROR(VALUE(IF(VLOOKUP($A39,数出表_Excel!$A$6:$T$150,COLUMN()/2+1,FALSE)=0,"",VLOOKUP($A39,数出表_Excel!$A$6:$T$150,COLUMN()/2+1,FALSE))),"")</f>
        <v/>
      </c>
      <c r="AI39" s="176"/>
      <c r="AJ39" s="143" t="str">
        <f ca="1">IFERROR(VALUE(IF(VLOOKUP($A39,数出表_Excel!$A$6:$T$150,COLUMN()/2+1,FALSE)=0,"",VLOOKUP($A39,数出表_Excel!$A$6:$T$150,COLUMN()/2+1,FALSE))),"")</f>
        <v/>
      </c>
      <c r="AK39" s="138"/>
      <c r="AL39" s="144" t="e">
        <f ca="1">IF(A39&lt;&gt;"",
IF(VLOOKUP($A39,数出表_Excel!$A$6:$T$150,COLUMN()/2+1,FALSE)=0,"",VLOOKUP($A39,数出表_Excel!$A$6:$T$150,COLUMN()/2+1,FALSE)),"")</f>
        <v>#N/A</v>
      </c>
      <c r="AM39" s="224" t="e">
        <f ca="1">数出表_Excel!V39</f>
        <v>#N/A</v>
      </c>
      <c r="AN39" s="225" t="e">
        <f ca="1">数出表_Excel!W39</f>
        <v>#N/A</v>
      </c>
    </row>
    <row r="40" spans="1:40" ht="16.2" customHeight="1" x14ac:dyDescent="0.45">
      <c r="A40" s="184" t="e">
        <f t="array" aca="1" ref="A40" ca="1">IF(OR(COUNTIF(A38,"*10002*"),COUNTIF(A38,"")),"",INDEX(貼り付け用!$A:$A,MATCH(A38,貼り付け用!$A:$A,0)+2,0))</f>
        <v>#N/A</v>
      </c>
      <c r="B40" s="172" t="str">
        <f ca="1">IFERROR(VALUE(IF(VLOOKUP($A40,数出表_Excel!$A$6:$T$150,COLUMN()/2+1,FALSE)=0,"",VLOOKUP($A40,数出表_Excel!$A$6:$T$150,COLUMN()/2+1,FALSE))),"")</f>
        <v/>
      </c>
      <c r="C40" s="137"/>
      <c r="D40" s="172" t="str">
        <f ca="1">IFERROR(VALUE(IF(VLOOKUP($A40,数出表_Excel!$A$6:$T$150,COLUMN()/2+1,FALSE)=0,"",VLOOKUP($A40,数出表_Excel!$A$6:$T$150,COLUMN()/2+1,FALSE))),"")</f>
        <v/>
      </c>
      <c r="E40" s="137"/>
      <c r="F40" s="174" t="str">
        <f ca="1">IFERROR(VALUE(IF(VLOOKUP($A40,数出表_Excel!$A$6:$T$150,COLUMN()/2+1,FALSE)=0,"",VLOOKUP($A40,数出表_Excel!$A$6:$T$150,COLUMN()/2+1,FALSE))),"")</f>
        <v/>
      </c>
      <c r="G40" s="137"/>
      <c r="H40" s="172" t="str">
        <f ca="1">IFERROR(VALUE(IF(VLOOKUP($A40,数出表_Excel!$A$6:$T$150,COLUMN()/2+1,FALSE)=0,"",VLOOKUP($A40,数出表_Excel!$A$6:$T$150,COLUMN()/2+1,FALSE))),"")</f>
        <v/>
      </c>
      <c r="I40" s="137"/>
      <c r="J40" s="172" t="str">
        <f ca="1">IFERROR(VALUE(IF(VLOOKUP($A40,数出表_Excel!$A$6:$T$150,COLUMN()/2+1,FALSE)=0,"",VLOOKUP($A40,数出表_Excel!$A$6:$T$150,COLUMN()/2+1,FALSE))),"")</f>
        <v/>
      </c>
      <c r="K40" s="137"/>
      <c r="L40" s="174" t="str">
        <f ca="1">IFERROR(VALUE(IF(VLOOKUP($A40,数出表_Excel!$A$6:$T$150,COLUMN()/2+1,FALSE)=0,"",VLOOKUP($A40,数出表_Excel!$A$6:$T$150,COLUMN()/2+1,FALSE))),"")</f>
        <v/>
      </c>
      <c r="M40" s="137"/>
      <c r="N40" s="172" t="str">
        <f ca="1">IFERROR(VALUE(IF(VLOOKUP($A40,数出表_Excel!$A$6:$T$150,COLUMN()/2+1,FALSE)=0,"",VLOOKUP($A40,数出表_Excel!$A$6:$T$150,COLUMN()/2+1,FALSE))),"")</f>
        <v/>
      </c>
      <c r="O40" s="137"/>
      <c r="P40" s="172" t="str">
        <f ca="1">IFERROR(VALUE(IF(VLOOKUP($A40,数出表_Excel!$A$6:$T$150,COLUMN()/2+1,FALSE)=0,"",VLOOKUP($A40,数出表_Excel!$A$6:$T$150,COLUMN()/2+1,FALSE))),"")</f>
        <v/>
      </c>
      <c r="Q40" s="137"/>
      <c r="R40" s="172" t="str">
        <f ca="1">IFERROR(VALUE(IF(VLOOKUP($A40,数出表_Excel!$A$6:$T$150,COLUMN()/2+1,FALSE)=0,"",VLOOKUP($A40,数出表_Excel!$A$6:$T$150,COLUMN()/2+1,FALSE))),"")</f>
        <v/>
      </c>
      <c r="S40" s="137"/>
      <c r="T40" s="172" t="str">
        <f ca="1">IFERROR(VALUE(IF(VLOOKUP($A40,数出表_Excel!$A$6:$T$150,COLUMN()/2+1,FALSE)=0,"",VLOOKUP($A40,数出表_Excel!$A$6:$T$150,COLUMN()/2+1,FALSE))),"")</f>
        <v/>
      </c>
      <c r="U40" s="137"/>
      <c r="V40" s="174" t="str">
        <f ca="1">IFERROR(VALUE(IF(VLOOKUP($A40,数出表_Excel!$A$6:$T$150,COLUMN()/2+1,FALSE)=0,"",VLOOKUP($A40,数出表_Excel!$A$6:$T$150,COLUMN()/2+1,FALSE))),"")</f>
        <v/>
      </c>
      <c r="W40" s="137"/>
      <c r="X40" s="174" t="str">
        <f ca="1">IFERROR(VALUE(IF(VLOOKUP($A40,数出表_Excel!$A$6:$T$150,COLUMN()/2+1,FALSE)=0,"",VLOOKUP($A40,数出表_Excel!$A$6:$T$150,COLUMN()/2+1,FALSE))),"")</f>
        <v/>
      </c>
      <c r="Y40" s="137"/>
      <c r="Z40" s="174" t="str">
        <f ca="1">IFERROR(VALUE(IF(VLOOKUP($A40,数出表_Excel!$A$6:$T$150,COLUMN()/2+1,FALSE)=0,"",VLOOKUP($A40,数出表_Excel!$A$6:$T$150,COLUMN()/2+1,FALSE))),"")</f>
        <v/>
      </c>
      <c r="AA40" s="175"/>
      <c r="AB40" s="173" t="str">
        <f ca="1">IFERROR(VALUE(IF(VLOOKUP($A40,数出表_Excel!$A$6:$T$150,COLUMN()/2+1,FALSE)=0,"",VLOOKUP($A40,数出表_Excel!$A$6:$T$150,COLUMN()/2+1,FALSE))),"")</f>
        <v/>
      </c>
      <c r="AC40" s="137"/>
      <c r="AD40" s="174" t="str">
        <f ca="1">IFERROR(VALUE(IF(VLOOKUP($A40,数出表_Excel!$A$6:$T$150,COLUMN()/2+1,FALSE)=0,"",VLOOKUP($A40,数出表_Excel!$A$6:$T$150,COLUMN()/2+1,FALSE))),"")</f>
        <v/>
      </c>
      <c r="AE40" s="137"/>
      <c r="AF40" s="174" t="str">
        <f ca="1">IFERROR(VALUE(IF(VLOOKUP($A40,数出表_Excel!$A$6:$T$150,COLUMN()/2+1,FALSE)=0,"",VLOOKUP($A40,数出表_Excel!$A$6:$T$150,COLUMN()/2+1,FALSE))),"")</f>
        <v/>
      </c>
      <c r="AG40" s="137"/>
      <c r="AH40" s="174" t="str">
        <f ca="1">IFERROR(VALUE(IF(VLOOKUP($A40,数出表_Excel!$A$6:$T$150,COLUMN()/2+1,FALSE)=0,"",VLOOKUP($A40,数出表_Excel!$A$6:$T$150,COLUMN()/2+1,FALSE))),"")</f>
        <v/>
      </c>
      <c r="AI40" s="175"/>
      <c r="AJ40" s="173" t="str">
        <f ca="1">IFERROR(VALUE(IF(VLOOKUP($A40,数出表_Excel!$A$6:$T$150,COLUMN()/2+1,FALSE)=0,"",VLOOKUP($A40,数出表_Excel!$A$6:$T$150,COLUMN()/2+1,FALSE))),"")</f>
        <v/>
      </c>
      <c r="AK40" s="137"/>
      <c r="AL40" s="141" t="e">
        <f ca="1">IF(A40&lt;&gt;"",
IF(VLOOKUP($A40,数出表_Excel!$A$6:$T$150,COLUMN()/2+1,FALSE)=0,"",VLOOKUP($A40,数出表_Excel!$A$6:$T$150,COLUMN()/2+1,FALSE)),"")</f>
        <v>#N/A</v>
      </c>
      <c r="AM40" s="222" t="e">
        <f>数出表_Excel!V40</f>
        <v>#N/A</v>
      </c>
      <c r="AN40" s="223" t="e">
        <f>数出表_Excel!W40</f>
        <v>#N/A</v>
      </c>
    </row>
    <row r="41" spans="1:40" ht="16.2" customHeight="1" x14ac:dyDescent="0.45">
      <c r="A41" s="185" t="e">
        <f t="array" aca="1" ref="A41" ca="1">IF(OR(COUNTIF(A39,"*1000*"),COUNTIF(A39,"")),"",INDEX(貼り付け用!$A:$A,MATCH(A39,貼り付け用!$A:$A,0)+2,0))</f>
        <v>#N/A</v>
      </c>
      <c r="B41" s="138" t="str">
        <f ca="1">IFERROR(VALUE(IF(VLOOKUP($A41,数出表_Excel!$A$6:$T$150,COLUMN()/2+1,FALSE)=0,"",VLOOKUP($A41,数出表_Excel!$A$6:$T$150,COLUMN()/2+1,FALSE))),"")</f>
        <v/>
      </c>
      <c r="C41" s="138"/>
      <c r="D41" s="138" t="str">
        <f ca="1">IFERROR(VALUE(IF(VLOOKUP($A41,数出表_Excel!$A$6:$T$150,COLUMN()/2+1,FALSE)=0,"",VLOOKUP($A41,数出表_Excel!$A$6:$T$150,COLUMN()/2+1,FALSE))),"")</f>
        <v/>
      </c>
      <c r="E41" s="138"/>
      <c r="F41" s="142" t="str">
        <f ca="1">IFERROR(VALUE(IF(VLOOKUP($A41,数出表_Excel!$A$6:$T$150,COLUMN()/2+1,FALSE)=0,"",VLOOKUP($A41,数出表_Excel!$A$6:$T$150,COLUMN()/2+1,FALSE))),"")</f>
        <v/>
      </c>
      <c r="G41" s="138"/>
      <c r="H41" s="138" t="str">
        <f ca="1">IFERROR(VALUE(IF(VLOOKUP($A41,数出表_Excel!$A$6:$T$150,COLUMN()/2+1,FALSE)=0,"",VLOOKUP($A41,数出表_Excel!$A$6:$T$150,COLUMN()/2+1,FALSE))),"")</f>
        <v/>
      </c>
      <c r="I41" s="138"/>
      <c r="J41" s="138" t="str">
        <f ca="1">IFERROR(VALUE(IF(VLOOKUP($A41,数出表_Excel!$A$6:$T$150,COLUMN()/2+1,FALSE)=0,"",VLOOKUP($A41,数出表_Excel!$A$6:$T$150,COLUMN()/2+1,FALSE))),"")</f>
        <v/>
      </c>
      <c r="K41" s="138"/>
      <c r="L41" s="142" t="str">
        <f ca="1">IFERROR(VALUE(IF(VLOOKUP($A41,数出表_Excel!$A$6:$T$150,COLUMN()/2+1,FALSE)=0,"",VLOOKUP($A41,数出表_Excel!$A$6:$T$150,COLUMN()/2+1,FALSE))),"")</f>
        <v/>
      </c>
      <c r="M41" s="138"/>
      <c r="N41" s="138" t="str">
        <f ca="1">IFERROR(VALUE(IF(VLOOKUP($A41,数出表_Excel!$A$6:$T$150,COLUMN()/2+1,FALSE)=0,"",VLOOKUP($A41,数出表_Excel!$A$6:$T$150,COLUMN()/2+1,FALSE))),"")</f>
        <v/>
      </c>
      <c r="O41" s="138"/>
      <c r="P41" s="138" t="str">
        <f ca="1">IFERROR(VALUE(IF(VLOOKUP($A41,数出表_Excel!$A$6:$T$150,COLUMN()/2+1,FALSE)=0,"",VLOOKUP($A41,数出表_Excel!$A$6:$T$150,COLUMN()/2+1,FALSE))),"")</f>
        <v/>
      </c>
      <c r="Q41" s="138"/>
      <c r="R41" s="138" t="str">
        <f ca="1">IFERROR(VALUE(IF(VLOOKUP($A41,数出表_Excel!$A$6:$T$150,COLUMN()/2+1,FALSE)=0,"",VLOOKUP($A41,数出表_Excel!$A$6:$T$150,COLUMN()/2+1,FALSE))),"")</f>
        <v/>
      </c>
      <c r="S41" s="138"/>
      <c r="T41" s="138" t="str">
        <f ca="1">IFERROR(VALUE(IF(VLOOKUP($A41,数出表_Excel!$A$6:$T$150,COLUMN()/2+1,FALSE)=0,"",VLOOKUP($A41,数出表_Excel!$A$6:$T$150,COLUMN()/2+1,FALSE))),"")</f>
        <v/>
      </c>
      <c r="U41" s="138"/>
      <c r="V41" s="142" t="str">
        <f ca="1">IFERROR(VALUE(IF(VLOOKUP($A41,数出表_Excel!$A$6:$T$150,COLUMN()/2+1,FALSE)=0,"",VLOOKUP($A41,数出表_Excel!$A$6:$T$150,COLUMN()/2+1,FALSE))),"")</f>
        <v/>
      </c>
      <c r="W41" s="138"/>
      <c r="X41" s="142" t="str">
        <f ca="1">IFERROR(VALUE(IF(VLOOKUP($A41,数出表_Excel!$A$6:$T$150,COLUMN()/2+1,FALSE)=0,"",VLOOKUP($A41,数出表_Excel!$A$6:$T$150,COLUMN()/2+1,FALSE))),"")</f>
        <v/>
      </c>
      <c r="Y41" s="138"/>
      <c r="Z41" s="142" t="str">
        <f ca="1">IFERROR(VALUE(IF(VLOOKUP($A41,数出表_Excel!$A$6:$T$150,COLUMN()/2+1,FALSE)=0,"",VLOOKUP($A41,数出表_Excel!$A$6:$T$150,COLUMN()/2+1,FALSE))),"")</f>
        <v/>
      </c>
      <c r="AA41" s="176"/>
      <c r="AB41" s="143" t="str">
        <f ca="1">IFERROR(VALUE(IF(VLOOKUP($A41,数出表_Excel!$A$6:$T$150,COLUMN()/2+1,FALSE)=0,"",VLOOKUP($A41,数出表_Excel!$A$6:$T$150,COLUMN()/2+1,FALSE))),"")</f>
        <v/>
      </c>
      <c r="AC41" s="138"/>
      <c r="AD41" s="142" t="str">
        <f ca="1">IFERROR(VALUE(IF(VLOOKUP($A41,数出表_Excel!$A$6:$T$150,COLUMN()/2+1,FALSE)=0,"",VLOOKUP($A41,数出表_Excel!$A$6:$T$150,COLUMN()/2+1,FALSE))),"")</f>
        <v/>
      </c>
      <c r="AE41" s="138"/>
      <c r="AF41" s="142" t="str">
        <f ca="1">IFERROR(VALUE(IF(VLOOKUP($A41,数出表_Excel!$A$6:$T$150,COLUMN()/2+1,FALSE)=0,"",VLOOKUP($A41,数出表_Excel!$A$6:$T$150,COLUMN()/2+1,FALSE))),"")</f>
        <v/>
      </c>
      <c r="AG41" s="138"/>
      <c r="AH41" s="142" t="str">
        <f ca="1">IFERROR(VALUE(IF(VLOOKUP($A41,数出表_Excel!$A$6:$T$150,COLUMN()/2+1,FALSE)=0,"",VLOOKUP($A41,数出表_Excel!$A$6:$T$150,COLUMN()/2+1,FALSE))),"")</f>
        <v/>
      </c>
      <c r="AI41" s="176"/>
      <c r="AJ41" s="143" t="str">
        <f ca="1">IFERROR(VALUE(IF(VLOOKUP($A41,数出表_Excel!$A$6:$T$150,COLUMN()/2+1,FALSE)=0,"",VLOOKUP($A41,数出表_Excel!$A$6:$T$150,COLUMN()/2+1,FALSE))),"")</f>
        <v/>
      </c>
      <c r="AK41" s="138"/>
      <c r="AL41" s="144" t="e">
        <f ca="1">IF(A41&lt;&gt;"",
IF(VLOOKUP($A41,数出表_Excel!$A$6:$T$150,COLUMN()/2+1,FALSE)=0,"",VLOOKUP($A41,数出表_Excel!$A$6:$T$150,COLUMN()/2+1,FALSE)),"")</f>
        <v>#N/A</v>
      </c>
      <c r="AM41" s="224" t="e">
        <f>数出表_Excel!V41</f>
        <v>#N/A</v>
      </c>
      <c r="AN41" s="225" t="e">
        <f>数出表_Excel!W41</f>
        <v>#N/A</v>
      </c>
    </row>
    <row r="42" spans="1:40" ht="16.2" customHeight="1" x14ac:dyDescent="0.45">
      <c r="A42" s="184" t="e">
        <f t="array" aca="1" ref="A42" ca="1">IF(OR(COUNTIF(A40,"*10002*"),COUNTIF(A40,"")),"",INDEX(貼り付け用!$A:$A,MATCH(A40,貼り付け用!$A:$A,0)+2,0))</f>
        <v>#N/A</v>
      </c>
      <c r="B42" s="172" t="str">
        <f ca="1">IFERROR(VALUE(IF(VLOOKUP($A42,数出表_Excel!$A$6:$T$150,COLUMN()/2+1,FALSE)=0,"",VLOOKUP($A42,数出表_Excel!$A$6:$T$150,COLUMN()/2+1,FALSE))),"")</f>
        <v/>
      </c>
      <c r="C42" s="137"/>
      <c r="D42" s="172" t="str">
        <f ca="1">IFERROR(VALUE(IF(VLOOKUP($A42,数出表_Excel!$A$6:$T$150,COLUMN()/2+1,FALSE)=0,"",VLOOKUP($A42,数出表_Excel!$A$6:$T$150,COLUMN()/2+1,FALSE))),"")</f>
        <v/>
      </c>
      <c r="E42" s="137"/>
      <c r="F42" s="174" t="str">
        <f ca="1">IFERROR(VALUE(IF(VLOOKUP($A42,数出表_Excel!$A$6:$T$150,COLUMN()/2+1,FALSE)=0,"",VLOOKUP($A42,数出表_Excel!$A$6:$T$150,COLUMN()/2+1,FALSE))),"")</f>
        <v/>
      </c>
      <c r="G42" s="137"/>
      <c r="H42" s="172" t="str">
        <f ca="1">IFERROR(VALUE(IF(VLOOKUP($A42,数出表_Excel!$A$6:$T$150,COLUMN()/2+1,FALSE)=0,"",VLOOKUP($A42,数出表_Excel!$A$6:$T$150,COLUMN()/2+1,FALSE))),"")</f>
        <v/>
      </c>
      <c r="I42" s="137"/>
      <c r="J42" s="172" t="str">
        <f ca="1">IFERROR(VALUE(IF(VLOOKUP($A42,数出表_Excel!$A$6:$T$150,COLUMN()/2+1,FALSE)=0,"",VLOOKUP($A42,数出表_Excel!$A$6:$T$150,COLUMN()/2+1,FALSE))),"")</f>
        <v/>
      </c>
      <c r="K42" s="137"/>
      <c r="L42" s="174" t="str">
        <f ca="1">IFERROR(VALUE(IF(VLOOKUP($A42,数出表_Excel!$A$6:$T$150,COLUMN()/2+1,FALSE)=0,"",VLOOKUP($A42,数出表_Excel!$A$6:$T$150,COLUMN()/2+1,FALSE))),"")</f>
        <v/>
      </c>
      <c r="M42" s="137"/>
      <c r="N42" s="172" t="str">
        <f ca="1">IFERROR(VALUE(IF(VLOOKUP($A42,数出表_Excel!$A$6:$T$150,COLUMN()/2+1,FALSE)=0,"",VLOOKUP($A42,数出表_Excel!$A$6:$T$150,COLUMN()/2+1,FALSE))),"")</f>
        <v/>
      </c>
      <c r="O42" s="137"/>
      <c r="P42" s="172" t="str">
        <f ca="1">IFERROR(VALUE(IF(VLOOKUP($A42,数出表_Excel!$A$6:$T$150,COLUMN()/2+1,FALSE)=0,"",VLOOKUP($A42,数出表_Excel!$A$6:$T$150,COLUMN()/2+1,FALSE))),"")</f>
        <v/>
      </c>
      <c r="Q42" s="137"/>
      <c r="R42" s="172" t="str">
        <f ca="1">IFERROR(VALUE(IF(VLOOKUP($A42,数出表_Excel!$A$6:$T$150,COLUMN()/2+1,FALSE)=0,"",VLOOKUP($A42,数出表_Excel!$A$6:$T$150,COLUMN()/2+1,FALSE))),"")</f>
        <v/>
      </c>
      <c r="S42" s="137"/>
      <c r="T42" s="172" t="str">
        <f ca="1">IFERROR(VALUE(IF(VLOOKUP($A42,数出表_Excel!$A$6:$T$150,COLUMN()/2+1,FALSE)=0,"",VLOOKUP($A42,数出表_Excel!$A$6:$T$150,COLUMN()/2+1,FALSE))),"")</f>
        <v/>
      </c>
      <c r="U42" s="137"/>
      <c r="V42" s="174" t="str">
        <f ca="1">IFERROR(VALUE(IF(VLOOKUP($A42,数出表_Excel!$A$6:$T$150,COLUMN()/2+1,FALSE)=0,"",VLOOKUP($A42,数出表_Excel!$A$6:$T$150,COLUMN()/2+1,FALSE))),"")</f>
        <v/>
      </c>
      <c r="W42" s="137"/>
      <c r="X42" s="174" t="str">
        <f ca="1">IFERROR(VALUE(IF(VLOOKUP($A42,数出表_Excel!$A$6:$T$150,COLUMN()/2+1,FALSE)=0,"",VLOOKUP($A42,数出表_Excel!$A$6:$T$150,COLUMN()/2+1,FALSE))),"")</f>
        <v/>
      </c>
      <c r="Y42" s="137"/>
      <c r="Z42" s="174" t="str">
        <f ca="1">IFERROR(VALUE(IF(VLOOKUP($A42,数出表_Excel!$A$6:$T$150,COLUMN()/2+1,FALSE)=0,"",VLOOKUP($A42,数出表_Excel!$A$6:$T$150,COLUMN()/2+1,FALSE))),"")</f>
        <v/>
      </c>
      <c r="AA42" s="175"/>
      <c r="AB42" s="173" t="str">
        <f ca="1">IFERROR(VALUE(IF(VLOOKUP($A42,数出表_Excel!$A$6:$T$150,COLUMN()/2+1,FALSE)=0,"",VLOOKUP($A42,数出表_Excel!$A$6:$T$150,COLUMN()/2+1,FALSE))),"")</f>
        <v/>
      </c>
      <c r="AC42" s="137"/>
      <c r="AD42" s="174" t="str">
        <f ca="1">IFERROR(VALUE(IF(VLOOKUP($A42,数出表_Excel!$A$6:$T$150,COLUMN()/2+1,FALSE)=0,"",VLOOKUP($A42,数出表_Excel!$A$6:$T$150,COLUMN()/2+1,FALSE))),"")</f>
        <v/>
      </c>
      <c r="AE42" s="137"/>
      <c r="AF42" s="174" t="str">
        <f ca="1">IFERROR(VALUE(IF(VLOOKUP($A42,数出表_Excel!$A$6:$T$150,COLUMN()/2+1,FALSE)=0,"",VLOOKUP($A42,数出表_Excel!$A$6:$T$150,COLUMN()/2+1,FALSE))),"")</f>
        <v/>
      </c>
      <c r="AG42" s="137"/>
      <c r="AH42" s="174" t="str">
        <f ca="1">IFERROR(VALUE(IF(VLOOKUP($A42,数出表_Excel!$A$6:$T$150,COLUMN()/2+1,FALSE)=0,"",VLOOKUP($A42,数出表_Excel!$A$6:$T$150,COLUMN()/2+1,FALSE))),"")</f>
        <v/>
      </c>
      <c r="AI42" s="175"/>
      <c r="AJ42" s="173" t="str">
        <f ca="1">IFERROR(VALUE(IF(VLOOKUP($A42,数出表_Excel!$A$6:$T$150,COLUMN()/2+1,FALSE)=0,"",VLOOKUP($A42,数出表_Excel!$A$6:$T$150,COLUMN()/2+1,FALSE))),"")</f>
        <v/>
      </c>
      <c r="AK42" s="137"/>
      <c r="AL42" s="141" t="e">
        <f ca="1">IF(A42&lt;&gt;"",
IF(VLOOKUP($A42,数出表_Excel!$A$6:$T$150,COLUMN()/2+1,FALSE)=0,"",VLOOKUP($A42,数出表_Excel!$A$6:$T$150,COLUMN()/2+1,FALSE)),"")</f>
        <v>#N/A</v>
      </c>
      <c r="AM42" s="222" t="e">
        <f>数出表_Excel!V42</f>
        <v>#N/A</v>
      </c>
      <c r="AN42" s="223" t="e">
        <f>数出表_Excel!W42</f>
        <v>#N/A</v>
      </c>
    </row>
    <row r="43" spans="1:40" ht="16.2" customHeight="1" x14ac:dyDescent="0.45">
      <c r="A43" s="185" t="e">
        <f t="array" aca="1" ref="A43" ca="1">IF(OR(COUNTIF(A41,"*1000*"),COUNTIF(A41,"")),"",INDEX(貼り付け用!$A:$A,MATCH(A41,貼り付け用!$A:$A,0)+2,0))</f>
        <v>#N/A</v>
      </c>
      <c r="B43" s="138" t="str">
        <f ca="1">IFERROR(VALUE(IF(VLOOKUP($A43,数出表_Excel!$A$6:$T$150,COLUMN()/2+1,FALSE)=0,"",VLOOKUP($A43,数出表_Excel!$A$6:$T$150,COLUMN()/2+1,FALSE))),"")</f>
        <v/>
      </c>
      <c r="C43" s="138"/>
      <c r="D43" s="138" t="str">
        <f ca="1">IFERROR(VALUE(IF(VLOOKUP($A43,数出表_Excel!$A$6:$T$150,COLUMN()/2+1,FALSE)=0,"",VLOOKUP($A43,数出表_Excel!$A$6:$T$150,COLUMN()/2+1,FALSE))),"")</f>
        <v/>
      </c>
      <c r="E43" s="138"/>
      <c r="F43" s="142" t="str">
        <f ca="1">IFERROR(VALUE(IF(VLOOKUP($A43,数出表_Excel!$A$6:$T$150,COLUMN()/2+1,FALSE)=0,"",VLOOKUP($A43,数出表_Excel!$A$6:$T$150,COLUMN()/2+1,FALSE))),"")</f>
        <v/>
      </c>
      <c r="G43" s="138"/>
      <c r="H43" s="138" t="str">
        <f ca="1">IFERROR(VALUE(IF(VLOOKUP($A43,数出表_Excel!$A$6:$T$150,COLUMN()/2+1,FALSE)=0,"",VLOOKUP($A43,数出表_Excel!$A$6:$T$150,COLUMN()/2+1,FALSE))),"")</f>
        <v/>
      </c>
      <c r="I43" s="138"/>
      <c r="J43" s="138" t="str">
        <f ca="1">IFERROR(VALUE(IF(VLOOKUP($A43,数出表_Excel!$A$6:$T$150,COLUMN()/2+1,FALSE)=0,"",VLOOKUP($A43,数出表_Excel!$A$6:$T$150,COLUMN()/2+1,FALSE))),"")</f>
        <v/>
      </c>
      <c r="K43" s="138"/>
      <c r="L43" s="142" t="str">
        <f ca="1">IFERROR(VALUE(IF(VLOOKUP($A43,数出表_Excel!$A$6:$T$150,COLUMN()/2+1,FALSE)=0,"",VLOOKUP($A43,数出表_Excel!$A$6:$T$150,COLUMN()/2+1,FALSE))),"")</f>
        <v/>
      </c>
      <c r="M43" s="138"/>
      <c r="N43" s="138" t="str">
        <f ca="1">IFERROR(VALUE(IF(VLOOKUP($A43,数出表_Excel!$A$6:$T$150,COLUMN()/2+1,FALSE)=0,"",VLOOKUP($A43,数出表_Excel!$A$6:$T$150,COLUMN()/2+1,FALSE))),"")</f>
        <v/>
      </c>
      <c r="O43" s="138"/>
      <c r="P43" s="138" t="str">
        <f ca="1">IFERROR(VALUE(IF(VLOOKUP($A43,数出表_Excel!$A$6:$T$150,COLUMN()/2+1,FALSE)=0,"",VLOOKUP($A43,数出表_Excel!$A$6:$T$150,COLUMN()/2+1,FALSE))),"")</f>
        <v/>
      </c>
      <c r="Q43" s="138"/>
      <c r="R43" s="138" t="str">
        <f ca="1">IFERROR(VALUE(IF(VLOOKUP($A43,数出表_Excel!$A$6:$T$150,COLUMN()/2+1,FALSE)=0,"",VLOOKUP($A43,数出表_Excel!$A$6:$T$150,COLUMN()/2+1,FALSE))),"")</f>
        <v/>
      </c>
      <c r="S43" s="138"/>
      <c r="T43" s="138" t="str">
        <f ca="1">IFERROR(VALUE(IF(VLOOKUP($A43,数出表_Excel!$A$6:$T$150,COLUMN()/2+1,FALSE)=0,"",VLOOKUP($A43,数出表_Excel!$A$6:$T$150,COLUMN()/2+1,FALSE))),"")</f>
        <v/>
      </c>
      <c r="U43" s="138"/>
      <c r="V43" s="142" t="str">
        <f ca="1">IFERROR(VALUE(IF(VLOOKUP($A43,数出表_Excel!$A$6:$T$150,COLUMN()/2+1,FALSE)=0,"",VLOOKUP($A43,数出表_Excel!$A$6:$T$150,COLUMN()/2+1,FALSE))),"")</f>
        <v/>
      </c>
      <c r="W43" s="138"/>
      <c r="X43" s="142" t="str">
        <f ca="1">IFERROR(VALUE(IF(VLOOKUP($A43,数出表_Excel!$A$6:$T$150,COLUMN()/2+1,FALSE)=0,"",VLOOKUP($A43,数出表_Excel!$A$6:$T$150,COLUMN()/2+1,FALSE))),"")</f>
        <v/>
      </c>
      <c r="Y43" s="138"/>
      <c r="Z43" s="142" t="str">
        <f ca="1">IFERROR(VALUE(IF(VLOOKUP($A43,数出表_Excel!$A$6:$T$150,COLUMN()/2+1,FALSE)=0,"",VLOOKUP($A43,数出表_Excel!$A$6:$T$150,COLUMN()/2+1,FALSE))),"")</f>
        <v/>
      </c>
      <c r="AA43" s="176"/>
      <c r="AB43" s="143" t="str">
        <f ca="1">IFERROR(VALUE(IF(VLOOKUP($A43,数出表_Excel!$A$6:$T$150,COLUMN()/2+1,FALSE)=0,"",VLOOKUP($A43,数出表_Excel!$A$6:$T$150,COLUMN()/2+1,FALSE))),"")</f>
        <v/>
      </c>
      <c r="AC43" s="138"/>
      <c r="AD43" s="142" t="str">
        <f ca="1">IFERROR(VALUE(IF(VLOOKUP($A43,数出表_Excel!$A$6:$T$150,COLUMN()/2+1,FALSE)=0,"",VLOOKUP($A43,数出表_Excel!$A$6:$T$150,COLUMN()/2+1,FALSE))),"")</f>
        <v/>
      </c>
      <c r="AE43" s="138"/>
      <c r="AF43" s="142" t="str">
        <f ca="1">IFERROR(VALUE(IF(VLOOKUP($A43,数出表_Excel!$A$6:$T$150,COLUMN()/2+1,FALSE)=0,"",VLOOKUP($A43,数出表_Excel!$A$6:$T$150,COLUMN()/2+1,FALSE))),"")</f>
        <v/>
      </c>
      <c r="AG43" s="138"/>
      <c r="AH43" s="142" t="str">
        <f ca="1">IFERROR(VALUE(IF(VLOOKUP($A43,数出表_Excel!$A$6:$T$150,COLUMN()/2+1,FALSE)=0,"",VLOOKUP($A43,数出表_Excel!$A$6:$T$150,COLUMN()/2+1,FALSE))),"")</f>
        <v/>
      </c>
      <c r="AI43" s="176"/>
      <c r="AJ43" s="143" t="str">
        <f ca="1">IFERROR(VALUE(IF(VLOOKUP($A43,数出表_Excel!$A$6:$T$150,COLUMN()/2+1,FALSE)=0,"",VLOOKUP($A43,数出表_Excel!$A$6:$T$150,COLUMN()/2+1,FALSE))),"")</f>
        <v/>
      </c>
      <c r="AK43" s="138"/>
      <c r="AL43" s="144" t="e">
        <f ca="1">IF(A43&lt;&gt;"",
IF(VLOOKUP($A43,数出表_Excel!$A$6:$T$150,COLUMN()/2+1,FALSE)=0,"",VLOOKUP($A43,数出表_Excel!$A$6:$T$150,COLUMN()/2+1,FALSE)),"")</f>
        <v>#N/A</v>
      </c>
      <c r="AM43" s="224" t="e">
        <f>数出表_Excel!V43</f>
        <v>#N/A</v>
      </c>
      <c r="AN43" s="225" t="e">
        <f>数出表_Excel!W43</f>
        <v>#N/A</v>
      </c>
    </row>
    <row r="44" spans="1:40" ht="16.2" customHeight="1" x14ac:dyDescent="0.45">
      <c r="A44" s="184" t="e">
        <f t="array" aca="1" ref="A44" ca="1">IF(OR(COUNTIF(A42,"*10002*"),COUNTIF(A42,"")),"",INDEX(貼り付け用!$A:$A,MATCH(A42,貼り付け用!$A:$A,0)+2,0))</f>
        <v>#N/A</v>
      </c>
      <c r="B44" s="172" t="str">
        <f ca="1">IFERROR(VALUE(IF(VLOOKUP($A44,数出表_Excel!$A$6:$T$150,COLUMN()/2+1,FALSE)=0,"",VLOOKUP($A44,数出表_Excel!$A$6:$T$150,COLUMN()/2+1,FALSE))),"")</f>
        <v/>
      </c>
      <c r="C44" s="137"/>
      <c r="D44" s="172" t="str">
        <f ca="1">IFERROR(VALUE(IF(VLOOKUP($A44,数出表_Excel!$A$6:$T$150,COLUMN()/2+1,FALSE)=0,"",VLOOKUP($A44,数出表_Excel!$A$6:$T$150,COLUMN()/2+1,FALSE))),"")</f>
        <v/>
      </c>
      <c r="E44" s="137"/>
      <c r="F44" s="174" t="str">
        <f ca="1">IFERROR(VALUE(IF(VLOOKUP($A44,数出表_Excel!$A$6:$T$150,COLUMN()/2+1,FALSE)=0,"",VLOOKUP($A44,数出表_Excel!$A$6:$T$150,COLUMN()/2+1,FALSE))),"")</f>
        <v/>
      </c>
      <c r="G44" s="137"/>
      <c r="H44" s="172" t="str">
        <f ca="1">IFERROR(VALUE(IF(VLOOKUP($A44,数出表_Excel!$A$6:$T$150,COLUMN()/2+1,FALSE)=0,"",VLOOKUP($A44,数出表_Excel!$A$6:$T$150,COLUMN()/2+1,FALSE))),"")</f>
        <v/>
      </c>
      <c r="I44" s="137"/>
      <c r="J44" s="172" t="str">
        <f ca="1">IFERROR(VALUE(IF(VLOOKUP($A44,数出表_Excel!$A$6:$T$150,COLUMN()/2+1,FALSE)=0,"",VLOOKUP($A44,数出表_Excel!$A$6:$T$150,COLUMN()/2+1,FALSE))),"")</f>
        <v/>
      </c>
      <c r="K44" s="137"/>
      <c r="L44" s="174" t="str">
        <f ca="1">IFERROR(VALUE(IF(VLOOKUP($A44,数出表_Excel!$A$6:$T$150,COLUMN()/2+1,FALSE)=0,"",VLOOKUP($A44,数出表_Excel!$A$6:$T$150,COLUMN()/2+1,FALSE))),"")</f>
        <v/>
      </c>
      <c r="M44" s="137"/>
      <c r="N44" s="172" t="str">
        <f ca="1">IFERROR(VALUE(IF(VLOOKUP($A44,数出表_Excel!$A$6:$T$150,COLUMN()/2+1,FALSE)=0,"",VLOOKUP($A44,数出表_Excel!$A$6:$T$150,COLUMN()/2+1,FALSE))),"")</f>
        <v/>
      </c>
      <c r="O44" s="137"/>
      <c r="P44" s="172" t="str">
        <f ca="1">IFERROR(VALUE(IF(VLOOKUP($A44,数出表_Excel!$A$6:$T$150,COLUMN()/2+1,FALSE)=0,"",VLOOKUP($A44,数出表_Excel!$A$6:$T$150,COLUMN()/2+1,FALSE))),"")</f>
        <v/>
      </c>
      <c r="Q44" s="137"/>
      <c r="R44" s="172" t="str">
        <f ca="1">IFERROR(VALUE(IF(VLOOKUP($A44,数出表_Excel!$A$6:$T$150,COLUMN()/2+1,FALSE)=0,"",VLOOKUP($A44,数出表_Excel!$A$6:$T$150,COLUMN()/2+1,FALSE))),"")</f>
        <v/>
      </c>
      <c r="S44" s="137"/>
      <c r="T44" s="172" t="str">
        <f ca="1">IFERROR(VALUE(IF(VLOOKUP($A44,数出表_Excel!$A$6:$T$150,COLUMN()/2+1,FALSE)=0,"",VLOOKUP($A44,数出表_Excel!$A$6:$T$150,COLUMN()/2+1,FALSE))),"")</f>
        <v/>
      </c>
      <c r="U44" s="137"/>
      <c r="V44" s="174" t="str">
        <f ca="1">IFERROR(VALUE(IF(VLOOKUP($A44,数出表_Excel!$A$6:$T$150,COLUMN()/2+1,FALSE)=0,"",VLOOKUP($A44,数出表_Excel!$A$6:$T$150,COLUMN()/2+1,FALSE))),"")</f>
        <v/>
      </c>
      <c r="W44" s="137"/>
      <c r="X44" s="174" t="str">
        <f ca="1">IFERROR(VALUE(IF(VLOOKUP($A44,数出表_Excel!$A$6:$T$150,COLUMN()/2+1,FALSE)=0,"",VLOOKUP($A44,数出表_Excel!$A$6:$T$150,COLUMN()/2+1,FALSE))),"")</f>
        <v/>
      </c>
      <c r="Y44" s="137"/>
      <c r="Z44" s="174" t="str">
        <f ca="1">IFERROR(VALUE(IF(VLOOKUP($A44,数出表_Excel!$A$6:$T$150,COLUMN()/2+1,FALSE)=0,"",VLOOKUP($A44,数出表_Excel!$A$6:$T$150,COLUMN()/2+1,FALSE))),"")</f>
        <v/>
      </c>
      <c r="AA44" s="175"/>
      <c r="AB44" s="173" t="str">
        <f ca="1">IFERROR(VALUE(IF(VLOOKUP($A44,数出表_Excel!$A$6:$T$150,COLUMN()/2+1,FALSE)=0,"",VLOOKUP($A44,数出表_Excel!$A$6:$T$150,COLUMN()/2+1,FALSE))),"")</f>
        <v/>
      </c>
      <c r="AC44" s="137"/>
      <c r="AD44" s="174" t="str">
        <f ca="1">IFERROR(VALUE(IF(VLOOKUP($A44,数出表_Excel!$A$6:$T$150,COLUMN()/2+1,FALSE)=0,"",VLOOKUP($A44,数出表_Excel!$A$6:$T$150,COLUMN()/2+1,FALSE))),"")</f>
        <v/>
      </c>
      <c r="AE44" s="137"/>
      <c r="AF44" s="174" t="str">
        <f ca="1">IFERROR(VALUE(IF(VLOOKUP($A44,数出表_Excel!$A$6:$T$150,COLUMN()/2+1,FALSE)=0,"",VLOOKUP($A44,数出表_Excel!$A$6:$T$150,COLUMN()/2+1,FALSE))),"")</f>
        <v/>
      </c>
      <c r="AG44" s="137"/>
      <c r="AH44" s="174" t="str">
        <f ca="1">IFERROR(VALUE(IF(VLOOKUP($A44,数出表_Excel!$A$6:$T$150,COLUMN()/2+1,FALSE)=0,"",VLOOKUP($A44,数出表_Excel!$A$6:$T$150,COLUMN()/2+1,FALSE))),"")</f>
        <v/>
      </c>
      <c r="AI44" s="175"/>
      <c r="AJ44" s="173" t="str">
        <f ca="1">IFERROR(VALUE(IF(VLOOKUP($A44,数出表_Excel!$A$6:$T$150,COLUMN()/2+1,FALSE)=0,"",VLOOKUP($A44,数出表_Excel!$A$6:$T$150,COLUMN()/2+1,FALSE))),"")</f>
        <v/>
      </c>
      <c r="AK44" s="137"/>
      <c r="AL44" s="141" t="e">
        <f ca="1">IF(A44&lt;&gt;"",
IF(VLOOKUP($A44,数出表_Excel!$A$6:$T$150,COLUMN()/2+1,FALSE)=0,"",VLOOKUP($A44,数出表_Excel!$A$6:$T$150,COLUMN()/2+1,FALSE)),"")</f>
        <v>#N/A</v>
      </c>
      <c r="AM44" s="222" t="e">
        <f>数出表_Excel!V44</f>
        <v>#N/A</v>
      </c>
      <c r="AN44" s="223" t="e">
        <f>数出表_Excel!W44</f>
        <v>#N/A</v>
      </c>
    </row>
    <row r="45" spans="1:40" ht="16.2" customHeight="1" x14ac:dyDescent="0.45">
      <c r="A45" s="185" t="e">
        <f t="array" aca="1" ref="A45" ca="1">IF(OR(COUNTIF(A43,"*1000*"),COUNTIF(A43,"")),"",INDEX(貼り付け用!$A:$A,MATCH(A43,貼り付け用!$A:$A,0)+2,0))</f>
        <v>#N/A</v>
      </c>
      <c r="B45" s="138" t="str">
        <f ca="1">IFERROR(VALUE(IF(VLOOKUP($A45,数出表_Excel!$A$6:$T$150,COLUMN()/2+1,FALSE)=0,"",VLOOKUP($A45,数出表_Excel!$A$6:$T$150,COLUMN()/2+1,FALSE))),"")</f>
        <v/>
      </c>
      <c r="C45" s="138"/>
      <c r="D45" s="138" t="str">
        <f ca="1">IFERROR(VALUE(IF(VLOOKUP($A45,数出表_Excel!$A$6:$T$150,COLUMN()/2+1,FALSE)=0,"",VLOOKUP($A45,数出表_Excel!$A$6:$T$150,COLUMN()/2+1,FALSE))),"")</f>
        <v/>
      </c>
      <c r="E45" s="138"/>
      <c r="F45" s="142" t="str">
        <f ca="1">IFERROR(VALUE(IF(VLOOKUP($A45,数出表_Excel!$A$6:$T$150,COLUMN()/2+1,FALSE)=0,"",VLOOKUP($A45,数出表_Excel!$A$6:$T$150,COLUMN()/2+1,FALSE))),"")</f>
        <v/>
      </c>
      <c r="G45" s="138"/>
      <c r="H45" s="138" t="str">
        <f ca="1">IFERROR(VALUE(IF(VLOOKUP($A45,数出表_Excel!$A$6:$T$150,COLUMN()/2+1,FALSE)=0,"",VLOOKUP($A45,数出表_Excel!$A$6:$T$150,COLUMN()/2+1,FALSE))),"")</f>
        <v/>
      </c>
      <c r="I45" s="138"/>
      <c r="J45" s="138" t="str">
        <f ca="1">IFERROR(VALUE(IF(VLOOKUP($A45,数出表_Excel!$A$6:$T$150,COLUMN()/2+1,FALSE)=0,"",VLOOKUP($A45,数出表_Excel!$A$6:$T$150,COLUMN()/2+1,FALSE))),"")</f>
        <v/>
      </c>
      <c r="K45" s="138"/>
      <c r="L45" s="142" t="str">
        <f ca="1">IFERROR(VALUE(IF(VLOOKUP($A45,数出表_Excel!$A$6:$T$150,COLUMN()/2+1,FALSE)=0,"",VLOOKUP($A45,数出表_Excel!$A$6:$T$150,COLUMN()/2+1,FALSE))),"")</f>
        <v/>
      </c>
      <c r="M45" s="138"/>
      <c r="N45" s="138" t="str">
        <f ca="1">IFERROR(VALUE(IF(VLOOKUP($A45,数出表_Excel!$A$6:$T$150,COLUMN()/2+1,FALSE)=0,"",VLOOKUP($A45,数出表_Excel!$A$6:$T$150,COLUMN()/2+1,FALSE))),"")</f>
        <v/>
      </c>
      <c r="O45" s="138"/>
      <c r="P45" s="138" t="str">
        <f ca="1">IFERROR(VALUE(IF(VLOOKUP($A45,数出表_Excel!$A$6:$T$150,COLUMN()/2+1,FALSE)=0,"",VLOOKUP($A45,数出表_Excel!$A$6:$T$150,COLUMN()/2+1,FALSE))),"")</f>
        <v/>
      </c>
      <c r="Q45" s="138"/>
      <c r="R45" s="138" t="str">
        <f ca="1">IFERROR(VALUE(IF(VLOOKUP($A45,数出表_Excel!$A$6:$T$150,COLUMN()/2+1,FALSE)=0,"",VLOOKUP($A45,数出表_Excel!$A$6:$T$150,COLUMN()/2+1,FALSE))),"")</f>
        <v/>
      </c>
      <c r="S45" s="138"/>
      <c r="T45" s="138" t="str">
        <f ca="1">IFERROR(VALUE(IF(VLOOKUP($A45,数出表_Excel!$A$6:$T$150,COLUMN()/2+1,FALSE)=0,"",VLOOKUP($A45,数出表_Excel!$A$6:$T$150,COLUMN()/2+1,FALSE))),"")</f>
        <v/>
      </c>
      <c r="U45" s="138"/>
      <c r="V45" s="142" t="str">
        <f ca="1">IFERROR(VALUE(IF(VLOOKUP($A45,数出表_Excel!$A$6:$T$150,COLUMN()/2+1,FALSE)=0,"",VLOOKUP($A45,数出表_Excel!$A$6:$T$150,COLUMN()/2+1,FALSE))),"")</f>
        <v/>
      </c>
      <c r="W45" s="138"/>
      <c r="X45" s="142" t="str">
        <f ca="1">IFERROR(VALUE(IF(VLOOKUP($A45,数出表_Excel!$A$6:$T$150,COLUMN()/2+1,FALSE)=0,"",VLOOKUP($A45,数出表_Excel!$A$6:$T$150,COLUMN()/2+1,FALSE))),"")</f>
        <v/>
      </c>
      <c r="Y45" s="138"/>
      <c r="Z45" s="142" t="str">
        <f ca="1">IFERROR(VALUE(IF(VLOOKUP($A45,数出表_Excel!$A$6:$T$150,COLUMN()/2+1,FALSE)=0,"",VLOOKUP($A45,数出表_Excel!$A$6:$T$150,COLUMN()/2+1,FALSE))),"")</f>
        <v/>
      </c>
      <c r="AA45" s="176"/>
      <c r="AB45" s="143" t="str">
        <f ca="1">IFERROR(VALUE(IF(VLOOKUP($A45,数出表_Excel!$A$6:$T$150,COLUMN()/2+1,FALSE)=0,"",VLOOKUP($A45,数出表_Excel!$A$6:$T$150,COLUMN()/2+1,FALSE))),"")</f>
        <v/>
      </c>
      <c r="AC45" s="138"/>
      <c r="AD45" s="142" t="str">
        <f ca="1">IFERROR(VALUE(IF(VLOOKUP($A45,数出表_Excel!$A$6:$T$150,COLUMN()/2+1,FALSE)=0,"",VLOOKUP($A45,数出表_Excel!$A$6:$T$150,COLUMN()/2+1,FALSE))),"")</f>
        <v/>
      </c>
      <c r="AE45" s="138"/>
      <c r="AF45" s="142" t="str">
        <f ca="1">IFERROR(VALUE(IF(VLOOKUP($A45,数出表_Excel!$A$6:$T$150,COLUMN()/2+1,FALSE)=0,"",VLOOKUP($A45,数出表_Excel!$A$6:$T$150,COLUMN()/2+1,FALSE))),"")</f>
        <v/>
      </c>
      <c r="AG45" s="138"/>
      <c r="AH45" s="142" t="str">
        <f ca="1">IFERROR(VALUE(IF(VLOOKUP($A45,数出表_Excel!$A$6:$T$150,COLUMN()/2+1,FALSE)=0,"",VLOOKUP($A45,数出表_Excel!$A$6:$T$150,COLUMN()/2+1,FALSE))),"")</f>
        <v/>
      </c>
      <c r="AI45" s="176"/>
      <c r="AJ45" s="143" t="str">
        <f ca="1">IFERROR(VALUE(IF(VLOOKUP($A45,数出表_Excel!$A$6:$T$150,COLUMN()/2+1,FALSE)=0,"",VLOOKUP($A45,数出表_Excel!$A$6:$T$150,COLUMN()/2+1,FALSE))),"")</f>
        <v/>
      </c>
      <c r="AK45" s="138"/>
      <c r="AL45" s="144" t="e">
        <f ca="1">IF(A45&lt;&gt;"",
IF(VLOOKUP($A45,数出表_Excel!$A$6:$T$150,COLUMN()/2+1,FALSE)=0,"",VLOOKUP($A45,数出表_Excel!$A$6:$T$150,COLUMN()/2+1,FALSE)),"")</f>
        <v>#N/A</v>
      </c>
      <c r="AM45" s="224" t="e">
        <f>数出表_Excel!V45</f>
        <v>#N/A</v>
      </c>
      <c r="AN45" s="225" t="e">
        <f>数出表_Excel!W45</f>
        <v>#N/A</v>
      </c>
    </row>
    <row r="46" spans="1:40" ht="16.2" customHeight="1" x14ac:dyDescent="0.45">
      <c r="A46" s="184" t="e">
        <f t="array" aca="1" ref="A46" ca="1">IF(OR(COUNTIF(A44,"*10002*"),COUNTIF(A44,"")),"",INDEX(貼り付け用!$A:$A,MATCH(A44,貼り付け用!$A:$A,0)+2,0))</f>
        <v>#N/A</v>
      </c>
      <c r="B46" s="172" t="str">
        <f ca="1">IFERROR(VALUE(IF(VLOOKUP($A46,数出表_Excel!$A$6:$T$150,COLUMN()/2+1,FALSE)=0,"",VLOOKUP($A46,数出表_Excel!$A$6:$T$150,COLUMN()/2+1,FALSE))),"")</f>
        <v/>
      </c>
      <c r="C46" s="137"/>
      <c r="D46" s="172" t="str">
        <f ca="1">IFERROR(VALUE(IF(VLOOKUP($A46,数出表_Excel!$A$6:$T$150,COLUMN()/2+1,FALSE)=0,"",VLOOKUP($A46,数出表_Excel!$A$6:$T$150,COLUMN()/2+1,FALSE))),"")</f>
        <v/>
      </c>
      <c r="E46" s="137"/>
      <c r="F46" s="174" t="str">
        <f ca="1">IFERROR(VALUE(IF(VLOOKUP($A46,数出表_Excel!$A$6:$T$150,COLUMN()/2+1,FALSE)=0,"",VLOOKUP($A46,数出表_Excel!$A$6:$T$150,COLUMN()/2+1,FALSE))),"")</f>
        <v/>
      </c>
      <c r="G46" s="137"/>
      <c r="H46" s="172" t="str">
        <f ca="1">IFERROR(VALUE(IF(VLOOKUP($A46,数出表_Excel!$A$6:$T$150,COLUMN()/2+1,FALSE)=0,"",VLOOKUP($A46,数出表_Excel!$A$6:$T$150,COLUMN()/2+1,FALSE))),"")</f>
        <v/>
      </c>
      <c r="I46" s="137"/>
      <c r="J46" s="172" t="str">
        <f ca="1">IFERROR(VALUE(IF(VLOOKUP($A46,数出表_Excel!$A$6:$T$150,COLUMN()/2+1,FALSE)=0,"",VLOOKUP($A46,数出表_Excel!$A$6:$T$150,COLUMN()/2+1,FALSE))),"")</f>
        <v/>
      </c>
      <c r="K46" s="137"/>
      <c r="L46" s="174" t="str">
        <f ca="1">IFERROR(VALUE(IF(VLOOKUP($A46,数出表_Excel!$A$6:$T$150,COLUMN()/2+1,FALSE)=0,"",VLOOKUP($A46,数出表_Excel!$A$6:$T$150,COLUMN()/2+1,FALSE))),"")</f>
        <v/>
      </c>
      <c r="M46" s="137"/>
      <c r="N46" s="172" t="str">
        <f ca="1">IFERROR(VALUE(IF(VLOOKUP($A46,数出表_Excel!$A$6:$T$150,COLUMN()/2+1,FALSE)=0,"",VLOOKUP($A46,数出表_Excel!$A$6:$T$150,COLUMN()/2+1,FALSE))),"")</f>
        <v/>
      </c>
      <c r="O46" s="137"/>
      <c r="P46" s="172" t="str">
        <f ca="1">IFERROR(VALUE(IF(VLOOKUP($A46,数出表_Excel!$A$6:$T$150,COLUMN()/2+1,FALSE)=0,"",VLOOKUP($A46,数出表_Excel!$A$6:$T$150,COLUMN()/2+1,FALSE))),"")</f>
        <v/>
      </c>
      <c r="Q46" s="137"/>
      <c r="R46" s="172" t="str">
        <f ca="1">IFERROR(VALUE(IF(VLOOKUP($A46,数出表_Excel!$A$6:$T$150,COLUMN()/2+1,FALSE)=0,"",VLOOKUP($A46,数出表_Excel!$A$6:$T$150,COLUMN()/2+1,FALSE))),"")</f>
        <v/>
      </c>
      <c r="S46" s="137"/>
      <c r="T46" s="172" t="str">
        <f ca="1">IFERROR(VALUE(IF(VLOOKUP($A46,数出表_Excel!$A$6:$T$150,COLUMN()/2+1,FALSE)=0,"",VLOOKUP($A46,数出表_Excel!$A$6:$T$150,COLUMN()/2+1,FALSE))),"")</f>
        <v/>
      </c>
      <c r="U46" s="137"/>
      <c r="V46" s="174" t="str">
        <f ca="1">IFERROR(VALUE(IF(VLOOKUP($A46,数出表_Excel!$A$6:$T$150,COLUMN()/2+1,FALSE)=0,"",VLOOKUP($A46,数出表_Excel!$A$6:$T$150,COLUMN()/2+1,FALSE))),"")</f>
        <v/>
      </c>
      <c r="W46" s="137"/>
      <c r="X46" s="174" t="str">
        <f ca="1">IFERROR(VALUE(IF(VLOOKUP($A46,数出表_Excel!$A$6:$T$150,COLUMN()/2+1,FALSE)=0,"",VLOOKUP($A46,数出表_Excel!$A$6:$T$150,COLUMN()/2+1,FALSE))),"")</f>
        <v/>
      </c>
      <c r="Y46" s="137"/>
      <c r="Z46" s="174" t="str">
        <f ca="1">IFERROR(VALUE(IF(VLOOKUP($A46,数出表_Excel!$A$6:$T$150,COLUMN()/2+1,FALSE)=0,"",VLOOKUP($A46,数出表_Excel!$A$6:$T$150,COLUMN()/2+1,FALSE))),"")</f>
        <v/>
      </c>
      <c r="AA46" s="175"/>
      <c r="AB46" s="173" t="str">
        <f ca="1">IFERROR(VALUE(IF(VLOOKUP($A46,数出表_Excel!$A$6:$T$150,COLUMN()/2+1,FALSE)=0,"",VLOOKUP($A46,数出表_Excel!$A$6:$T$150,COLUMN()/2+1,FALSE))),"")</f>
        <v/>
      </c>
      <c r="AC46" s="137"/>
      <c r="AD46" s="174" t="str">
        <f ca="1">IFERROR(VALUE(IF(VLOOKUP($A46,数出表_Excel!$A$6:$T$150,COLUMN()/2+1,FALSE)=0,"",VLOOKUP($A46,数出表_Excel!$A$6:$T$150,COLUMN()/2+1,FALSE))),"")</f>
        <v/>
      </c>
      <c r="AE46" s="137"/>
      <c r="AF46" s="174" t="str">
        <f ca="1">IFERROR(VALUE(IF(VLOOKUP($A46,数出表_Excel!$A$6:$T$150,COLUMN()/2+1,FALSE)=0,"",VLOOKUP($A46,数出表_Excel!$A$6:$T$150,COLUMN()/2+1,FALSE))),"")</f>
        <v/>
      </c>
      <c r="AG46" s="137"/>
      <c r="AH46" s="174" t="str">
        <f ca="1">IFERROR(VALUE(IF(VLOOKUP($A46,数出表_Excel!$A$6:$T$150,COLUMN()/2+1,FALSE)=0,"",VLOOKUP($A46,数出表_Excel!$A$6:$T$150,COLUMN()/2+1,FALSE))),"")</f>
        <v/>
      </c>
      <c r="AI46" s="175"/>
      <c r="AJ46" s="173" t="str">
        <f ca="1">IFERROR(VALUE(IF(VLOOKUP($A46,数出表_Excel!$A$6:$T$150,COLUMN()/2+1,FALSE)=0,"",VLOOKUP($A46,数出表_Excel!$A$6:$T$150,COLUMN()/2+1,FALSE))),"")</f>
        <v/>
      </c>
      <c r="AK46" s="137"/>
      <c r="AL46" s="141" t="e">
        <f ca="1">IF(A46&lt;&gt;"",
IF(VLOOKUP($A46,数出表_Excel!$A$6:$T$150,COLUMN()/2+1,FALSE)=0,"",VLOOKUP($A46,数出表_Excel!$A$6:$T$150,COLUMN()/2+1,FALSE)),"")</f>
        <v>#N/A</v>
      </c>
      <c r="AM46" s="222" t="e">
        <f>数出表_Excel!V46</f>
        <v>#N/A</v>
      </c>
      <c r="AN46" s="223" t="e">
        <f>数出表_Excel!W46</f>
        <v>#N/A</v>
      </c>
    </row>
    <row r="47" spans="1:40" ht="16.2" customHeight="1" x14ac:dyDescent="0.45">
      <c r="A47" s="185" t="e">
        <f t="array" aca="1" ref="A47" ca="1">IF(OR(COUNTIF(A45,"*1000*"),COUNTIF(A45,"")),"",INDEX(貼り付け用!$A:$A,MATCH(A45,貼り付け用!$A:$A,0)+2,0))</f>
        <v>#N/A</v>
      </c>
      <c r="B47" s="138" t="str">
        <f ca="1">IFERROR(VALUE(IF(VLOOKUP($A47,数出表_Excel!$A$6:$T$150,COLUMN()/2+1,FALSE)=0,"",VLOOKUP($A47,数出表_Excel!$A$6:$T$150,COLUMN()/2+1,FALSE))),"")</f>
        <v/>
      </c>
      <c r="C47" s="138"/>
      <c r="D47" s="138" t="str">
        <f ca="1">IFERROR(VALUE(IF(VLOOKUP($A47,数出表_Excel!$A$6:$T$150,COLUMN()/2+1,FALSE)=0,"",VLOOKUP($A47,数出表_Excel!$A$6:$T$150,COLUMN()/2+1,FALSE))),"")</f>
        <v/>
      </c>
      <c r="E47" s="138"/>
      <c r="F47" s="142" t="str">
        <f ca="1">IFERROR(VALUE(IF(VLOOKUP($A47,数出表_Excel!$A$6:$T$150,COLUMN()/2+1,FALSE)=0,"",VLOOKUP($A47,数出表_Excel!$A$6:$T$150,COLUMN()/2+1,FALSE))),"")</f>
        <v/>
      </c>
      <c r="G47" s="138"/>
      <c r="H47" s="138" t="str">
        <f ca="1">IFERROR(VALUE(IF(VLOOKUP($A47,数出表_Excel!$A$6:$T$150,COLUMN()/2+1,FALSE)=0,"",VLOOKUP($A47,数出表_Excel!$A$6:$T$150,COLUMN()/2+1,FALSE))),"")</f>
        <v/>
      </c>
      <c r="I47" s="138"/>
      <c r="J47" s="138" t="str">
        <f ca="1">IFERROR(VALUE(IF(VLOOKUP($A47,数出表_Excel!$A$6:$T$150,COLUMN()/2+1,FALSE)=0,"",VLOOKUP($A47,数出表_Excel!$A$6:$T$150,COLUMN()/2+1,FALSE))),"")</f>
        <v/>
      </c>
      <c r="K47" s="138"/>
      <c r="L47" s="142" t="str">
        <f ca="1">IFERROR(VALUE(IF(VLOOKUP($A47,数出表_Excel!$A$6:$T$150,COLUMN()/2+1,FALSE)=0,"",VLOOKUP($A47,数出表_Excel!$A$6:$T$150,COLUMN()/2+1,FALSE))),"")</f>
        <v/>
      </c>
      <c r="M47" s="138"/>
      <c r="N47" s="138" t="str">
        <f ca="1">IFERROR(VALUE(IF(VLOOKUP($A47,数出表_Excel!$A$6:$T$150,COLUMN()/2+1,FALSE)=0,"",VLOOKUP($A47,数出表_Excel!$A$6:$T$150,COLUMN()/2+1,FALSE))),"")</f>
        <v/>
      </c>
      <c r="O47" s="138"/>
      <c r="P47" s="138" t="str">
        <f ca="1">IFERROR(VALUE(IF(VLOOKUP($A47,数出表_Excel!$A$6:$T$150,COLUMN()/2+1,FALSE)=0,"",VLOOKUP($A47,数出表_Excel!$A$6:$T$150,COLUMN()/2+1,FALSE))),"")</f>
        <v/>
      </c>
      <c r="Q47" s="138"/>
      <c r="R47" s="138" t="str">
        <f ca="1">IFERROR(VALUE(IF(VLOOKUP($A47,数出表_Excel!$A$6:$T$150,COLUMN()/2+1,FALSE)=0,"",VLOOKUP($A47,数出表_Excel!$A$6:$T$150,COLUMN()/2+1,FALSE))),"")</f>
        <v/>
      </c>
      <c r="S47" s="138"/>
      <c r="T47" s="138" t="str">
        <f ca="1">IFERROR(VALUE(IF(VLOOKUP($A47,数出表_Excel!$A$6:$T$150,COLUMN()/2+1,FALSE)=0,"",VLOOKUP($A47,数出表_Excel!$A$6:$T$150,COLUMN()/2+1,FALSE))),"")</f>
        <v/>
      </c>
      <c r="U47" s="138"/>
      <c r="V47" s="142" t="str">
        <f ca="1">IFERROR(VALUE(IF(VLOOKUP($A47,数出表_Excel!$A$6:$T$150,COLUMN()/2+1,FALSE)=0,"",VLOOKUP($A47,数出表_Excel!$A$6:$T$150,COLUMN()/2+1,FALSE))),"")</f>
        <v/>
      </c>
      <c r="W47" s="138"/>
      <c r="X47" s="142" t="str">
        <f ca="1">IFERROR(VALUE(IF(VLOOKUP($A47,数出表_Excel!$A$6:$T$150,COLUMN()/2+1,FALSE)=0,"",VLOOKUP($A47,数出表_Excel!$A$6:$T$150,COLUMN()/2+1,FALSE))),"")</f>
        <v/>
      </c>
      <c r="Y47" s="138"/>
      <c r="Z47" s="142" t="str">
        <f ca="1">IFERROR(VALUE(IF(VLOOKUP($A47,数出表_Excel!$A$6:$T$150,COLUMN()/2+1,FALSE)=0,"",VLOOKUP($A47,数出表_Excel!$A$6:$T$150,COLUMN()/2+1,FALSE))),"")</f>
        <v/>
      </c>
      <c r="AA47" s="176"/>
      <c r="AB47" s="143" t="str">
        <f ca="1">IFERROR(VALUE(IF(VLOOKUP($A47,数出表_Excel!$A$6:$T$150,COLUMN()/2+1,FALSE)=0,"",VLOOKUP($A47,数出表_Excel!$A$6:$T$150,COLUMN()/2+1,FALSE))),"")</f>
        <v/>
      </c>
      <c r="AC47" s="138"/>
      <c r="AD47" s="142" t="str">
        <f ca="1">IFERROR(VALUE(IF(VLOOKUP($A47,数出表_Excel!$A$6:$T$150,COLUMN()/2+1,FALSE)=0,"",VLOOKUP($A47,数出表_Excel!$A$6:$T$150,COLUMN()/2+1,FALSE))),"")</f>
        <v/>
      </c>
      <c r="AE47" s="138"/>
      <c r="AF47" s="142" t="str">
        <f ca="1">IFERROR(VALUE(IF(VLOOKUP($A47,数出表_Excel!$A$6:$T$150,COLUMN()/2+1,FALSE)=0,"",VLOOKUP($A47,数出表_Excel!$A$6:$T$150,COLUMN()/2+1,FALSE))),"")</f>
        <v/>
      </c>
      <c r="AG47" s="138"/>
      <c r="AH47" s="142" t="str">
        <f ca="1">IFERROR(VALUE(IF(VLOOKUP($A47,数出表_Excel!$A$6:$T$150,COLUMN()/2+1,FALSE)=0,"",VLOOKUP($A47,数出表_Excel!$A$6:$T$150,COLUMN()/2+1,FALSE))),"")</f>
        <v/>
      </c>
      <c r="AI47" s="176"/>
      <c r="AJ47" s="143" t="str">
        <f ca="1">IFERROR(VALUE(IF(VLOOKUP($A47,数出表_Excel!$A$6:$T$150,COLUMN()/2+1,FALSE)=0,"",VLOOKUP($A47,数出表_Excel!$A$6:$T$150,COLUMN()/2+1,FALSE))),"")</f>
        <v/>
      </c>
      <c r="AK47" s="138"/>
      <c r="AL47" s="144" t="e">
        <f ca="1">IF(A47&lt;&gt;"",
IF(VLOOKUP($A47,数出表_Excel!$A$6:$T$150,COLUMN()/2+1,FALSE)=0,"",VLOOKUP($A47,数出表_Excel!$A$6:$T$150,COLUMN()/2+1,FALSE)),"")</f>
        <v>#N/A</v>
      </c>
      <c r="AM47" s="224" t="e">
        <f>数出表_Excel!V47</f>
        <v>#N/A</v>
      </c>
      <c r="AN47" s="225" t="e">
        <f>数出表_Excel!W47</f>
        <v>#N/A</v>
      </c>
    </row>
    <row r="48" spans="1:40" ht="16.2" customHeight="1" x14ac:dyDescent="0.45">
      <c r="A48" s="184" t="e">
        <f t="array" aca="1" ref="A48" ca="1">IF(OR(COUNTIF(A46,"*10002*"),COUNTIF(A46,"")),"",INDEX(貼り付け用!$A:$A,MATCH(A46,貼り付け用!$A:$A,0)+2,0))</f>
        <v>#N/A</v>
      </c>
      <c r="B48" s="172" t="str">
        <f ca="1">IFERROR(VALUE(IF(VLOOKUP($A48,数出表_Excel!$A$6:$T$150,COLUMN()/2+1,FALSE)=0,"",VLOOKUP($A48,数出表_Excel!$A$6:$T$150,COLUMN()/2+1,FALSE))),"")</f>
        <v/>
      </c>
      <c r="C48" s="137"/>
      <c r="D48" s="172" t="str">
        <f ca="1">IFERROR(VALUE(IF(VLOOKUP($A48,数出表_Excel!$A$6:$T$150,COLUMN()/2+1,FALSE)=0,"",VLOOKUP($A48,数出表_Excel!$A$6:$T$150,COLUMN()/2+1,FALSE))),"")</f>
        <v/>
      </c>
      <c r="E48" s="137"/>
      <c r="F48" s="174" t="str">
        <f ca="1">IFERROR(VALUE(IF(VLOOKUP($A48,数出表_Excel!$A$6:$T$150,COLUMN()/2+1,FALSE)=0,"",VLOOKUP($A48,数出表_Excel!$A$6:$T$150,COLUMN()/2+1,FALSE))),"")</f>
        <v/>
      </c>
      <c r="G48" s="137"/>
      <c r="H48" s="172" t="str">
        <f ca="1">IFERROR(VALUE(IF(VLOOKUP($A48,数出表_Excel!$A$6:$T$150,COLUMN()/2+1,FALSE)=0,"",VLOOKUP($A48,数出表_Excel!$A$6:$T$150,COLUMN()/2+1,FALSE))),"")</f>
        <v/>
      </c>
      <c r="I48" s="137"/>
      <c r="J48" s="172" t="str">
        <f ca="1">IFERROR(VALUE(IF(VLOOKUP($A48,数出表_Excel!$A$6:$T$150,COLUMN()/2+1,FALSE)=0,"",VLOOKUP($A48,数出表_Excel!$A$6:$T$150,COLUMN()/2+1,FALSE))),"")</f>
        <v/>
      </c>
      <c r="K48" s="137"/>
      <c r="L48" s="174" t="str">
        <f ca="1">IFERROR(VALUE(IF(VLOOKUP($A48,数出表_Excel!$A$6:$T$150,COLUMN()/2+1,FALSE)=0,"",VLOOKUP($A48,数出表_Excel!$A$6:$T$150,COLUMN()/2+1,FALSE))),"")</f>
        <v/>
      </c>
      <c r="M48" s="137"/>
      <c r="N48" s="172" t="str">
        <f ca="1">IFERROR(VALUE(IF(VLOOKUP($A48,数出表_Excel!$A$6:$T$150,COLUMN()/2+1,FALSE)=0,"",VLOOKUP($A48,数出表_Excel!$A$6:$T$150,COLUMN()/2+1,FALSE))),"")</f>
        <v/>
      </c>
      <c r="O48" s="137"/>
      <c r="P48" s="172" t="str">
        <f ca="1">IFERROR(VALUE(IF(VLOOKUP($A48,数出表_Excel!$A$6:$T$150,COLUMN()/2+1,FALSE)=0,"",VLOOKUP($A48,数出表_Excel!$A$6:$T$150,COLUMN()/2+1,FALSE))),"")</f>
        <v/>
      </c>
      <c r="Q48" s="137"/>
      <c r="R48" s="172" t="str">
        <f ca="1">IFERROR(VALUE(IF(VLOOKUP($A48,数出表_Excel!$A$6:$T$150,COLUMN()/2+1,FALSE)=0,"",VLOOKUP($A48,数出表_Excel!$A$6:$T$150,COLUMN()/2+1,FALSE))),"")</f>
        <v/>
      </c>
      <c r="S48" s="137"/>
      <c r="T48" s="172" t="str">
        <f ca="1">IFERROR(VALUE(IF(VLOOKUP($A48,数出表_Excel!$A$6:$T$150,COLUMN()/2+1,FALSE)=0,"",VLOOKUP($A48,数出表_Excel!$A$6:$T$150,COLUMN()/2+1,FALSE))),"")</f>
        <v/>
      </c>
      <c r="U48" s="137"/>
      <c r="V48" s="174" t="str">
        <f ca="1">IFERROR(VALUE(IF(VLOOKUP($A48,数出表_Excel!$A$6:$T$150,COLUMN()/2+1,FALSE)=0,"",VLOOKUP($A48,数出表_Excel!$A$6:$T$150,COLUMN()/2+1,FALSE))),"")</f>
        <v/>
      </c>
      <c r="W48" s="137"/>
      <c r="X48" s="174" t="str">
        <f ca="1">IFERROR(VALUE(IF(VLOOKUP($A48,数出表_Excel!$A$6:$T$150,COLUMN()/2+1,FALSE)=0,"",VLOOKUP($A48,数出表_Excel!$A$6:$T$150,COLUMN()/2+1,FALSE))),"")</f>
        <v/>
      </c>
      <c r="Y48" s="137"/>
      <c r="Z48" s="174" t="str">
        <f ca="1">IFERROR(VALUE(IF(VLOOKUP($A48,数出表_Excel!$A$6:$T$150,COLUMN()/2+1,FALSE)=0,"",VLOOKUP($A48,数出表_Excel!$A$6:$T$150,COLUMN()/2+1,FALSE))),"")</f>
        <v/>
      </c>
      <c r="AA48" s="175"/>
      <c r="AB48" s="173" t="str">
        <f ca="1">IFERROR(VALUE(IF(VLOOKUP($A48,数出表_Excel!$A$6:$T$150,COLUMN()/2+1,FALSE)=0,"",VLOOKUP($A48,数出表_Excel!$A$6:$T$150,COLUMN()/2+1,FALSE))),"")</f>
        <v/>
      </c>
      <c r="AC48" s="137"/>
      <c r="AD48" s="174" t="str">
        <f ca="1">IFERROR(VALUE(IF(VLOOKUP($A48,数出表_Excel!$A$6:$T$150,COLUMN()/2+1,FALSE)=0,"",VLOOKUP($A48,数出表_Excel!$A$6:$T$150,COLUMN()/2+1,FALSE))),"")</f>
        <v/>
      </c>
      <c r="AE48" s="137"/>
      <c r="AF48" s="174" t="str">
        <f ca="1">IFERROR(VALUE(IF(VLOOKUP($A48,数出表_Excel!$A$6:$T$150,COLUMN()/2+1,FALSE)=0,"",VLOOKUP($A48,数出表_Excel!$A$6:$T$150,COLUMN()/2+1,FALSE))),"")</f>
        <v/>
      </c>
      <c r="AG48" s="137"/>
      <c r="AH48" s="174" t="str">
        <f ca="1">IFERROR(VALUE(IF(VLOOKUP($A48,数出表_Excel!$A$6:$T$150,COLUMN()/2+1,FALSE)=0,"",VLOOKUP($A48,数出表_Excel!$A$6:$T$150,COLUMN()/2+1,FALSE))),"")</f>
        <v/>
      </c>
      <c r="AI48" s="175"/>
      <c r="AJ48" s="173" t="str">
        <f ca="1">IFERROR(VALUE(IF(VLOOKUP($A48,数出表_Excel!$A$6:$T$150,COLUMN()/2+1,FALSE)=0,"",VLOOKUP($A48,数出表_Excel!$A$6:$T$150,COLUMN()/2+1,FALSE))),"")</f>
        <v/>
      </c>
      <c r="AK48" s="137"/>
      <c r="AL48" s="141" t="e">
        <f ca="1">IF(A48&lt;&gt;"",
IF(VLOOKUP($A48,数出表_Excel!$A$6:$T$150,COLUMN()/2+1,FALSE)=0,"",VLOOKUP($A48,数出表_Excel!$A$6:$T$150,COLUMN()/2+1,FALSE)),"")</f>
        <v>#N/A</v>
      </c>
      <c r="AM48" s="222" t="e">
        <f>数出表_Excel!V48</f>
        <v>#N/A</v>
      </c>
      <c r="AN48" s="223" t="e">
        <f>数出表_Excel!W48</f>
        <v>#N/A</v>
      </c>
    </row>
    <row r="49" spans="1:40" ht="16.2" customHeight="1" x14ac:dyDescent="0.45">
      <c r="A49" s="185" t="e">
        <f t="array" aca="1" ref="A49" ca="1">IF(OR(COUNTIF(A47,"*1000*"),COUNTIF(A47,"")),"",INDEX(貼り付け用!$A:$A,MATCH(A47,貼り付け用!$A:$A,0)+2,0))</f>
        <v>#N/A</v>
      </c>
      <c r="B49" s="138" t="str">
        <f ca="1">IFERROR(VALUE(IF(VLOOKUP($A49,数出表_Excel!$A$6:$T$150,COLUMN()/2+1,FALSE)=0,"",VLOOKUP($A49,数出表_Excel!$A$6:$T$150,COLUMN()/2+1,FALSE))),"")</f>
        <v/>
      </c>
      <c r="C49" s="138"/>
      <c r="D49" s="138" t="str">
        <f ca="1">IFERROR(VALUE(IF(VLOOKUP($A49,数出表_Excel!$A$6:$T$150,COLUMN()/2+1,FALSE)=0,"",VLOOKUP($A49,数出表_Excel!$A$6:$T$150,COLUMN()/2+1,FALSE))),"")</f>
        <v/>
      </c>
      <c r="E49" s="138"/>
      <c r="F49" s="142" t="str">
        <f ca="1">IFERROR(VALUE(IF(VLOOKUP($A49,数出表_Excel!$A$6:$T$150,COLUMN()/2+1,FALSE)=0,"",VLOOKUP($A49,数出表_Excel!$A$6:$T$150,COLUMN()/2+1,FALSE))),"")</f>
        <v/>
      </c>
      <c r="G49" s="138"/>
      <c r="H49" s="138" t="str">
        <f ca="1">IFERROR(VALUE(IF(VLOOKUP($A49,数出表_Excel!$A$6:$T$150,COLUMN()/2+1,FALSE)=0,"",VLOOKUP($A49,数出表_Excel!$A$6:$T$150,COLUMN()/2+1,FALSE))),"")</f>
        <v/>
      </c>
      <c r="I49" s="138"/>
      <c r="J49" s="138" t="str">
        <f ca="1">IFERROR(VALUE(IF(VLOOKUP($A49,数出表_Excel!$A$6:$T$150,COLUMN()/2+1,FALSE)=0,"",VLOOKUP($A49,数出表_Excel!$A$6:$T$150,COLUMN()/2+1,FALSE))),"")</f>
        <v/>
      </c>
      <c r="K49" s="138"/>
      <c r="L49" s="142" t="str">
        <f ca="1">IFERROR(VALUE(IF(VLOOKUP($A49,数出表_Excel!$A$6:$T$150,COLUMN()/2+1,FALSE)=0,"",VLOOKUP($A49,数出表_Excel!$A$6:$T$150,COLUMN()/2+1,FALSE))),"")</f>
        <v/>
      </c>
      <c r="M49" s="138"/>
      <c r="N49" s="138" t="str">
        <f ca="1">IFERROR(VALUE(IF(VLOOKUP($A49,数出表_Excel!$A$6:$T$150,COLUMN()/2+1,FALSE)=0,"",VLOOKUP($A49,数出表_Excel!$A$6:$T$150,COLUMN()/2+1,FALSE))),"")</f>
        <v/>
      </c>
      <c r="O49" s="138"/>
      <c r="P49" s="138" t="str">
        <f ca="1">IFERROR(VALUE(IF(VLOOKUP($A49,数出表_Excel!$A$6:$T$150,COLUMN()/2+1,FALSE)=0,"",VLOOKUP($A49,数出表_Excel!$A$6:$T$150,COLUMN()/2+1,FALSE))),"")</f>
        <v/>
      </c>
      <c r="Q49" s="138"/>
      <c r="R49" s="138" t="str">
        <f ca="1">IFERROR(VALUE(IF(VLOOKUP($A49,数出表_Excel!$A$6:$T$150,COLUMN()/2+1,FALSE)=0,"",VLOOKUP($A49,数出表_Excel!$A$6:$T$150,COLUMN()/2+1,FALSE))),"")</f>
        <v/>
      </c>
      <c r="S49" s="138"/>
      <c r="T49" s="138" t="str">
        <f ca="1">IFERROR(VALUE(IF(VLOOKUP($A49,数出表_Excel!$A$6:$T$150,COLUMN()/2+1,FALSE)=0,"",VLOOKUP($A49,数出表_Excel!$A$6:$T$150,COLUMN()/2+1,FALSE))),"")</f>
        <v/>
      </c>
      <c r="U49" s="138"/>
      <c r="V49" s="142" t="str">
        <f ca="1">IFERROR(VALUE(IF(VLOOKUP($A49,数出表_Excel!$A$6:$T$150,COLUMN()/2+1,FALSE)=0,"",VLOOKUP($A49,数出表_Excel!$A$6:$T$150,COLUMN()/2+1,FALSE))),"")</f>
        <v/>
      </c>
      <c r="W49" s="138"/>
      <c r="X49" s="142" t="str">
        <f ca="1">IFERROR(VALUE(IF(VLOOKUP($A49,数出表_Excel!$A$6:$T$150,COLUMN()/2+1,FALSE)=0,"",VLOOKUP($A49,数出表_Excel!$A$6:$T$150,COLUMN()/2+1,FALSE))),"")</f>
        <v/>
      </c>
      <c r="Y49" s="138"/>
      <c r="Z49" s="142" t="str">
        <f ca="1">IFERROR(VALUE(IF(VLOOKUP($A49,数出表_Excel!$A$6:$T$150,COLUMN()/2+1,FALSE)=0,"",VLOOKUP($A49,数出表_Excel!$A$6:$T$150,COLUMN()/2+1,FALSE))),"")</f>
        <v/>
      </c>
      <c r="AA49" s="176"/>
      <c r="AB49" s="143" t="str">
        <f ca="1">IFERROR(VALUE(IF(VLOOKUP($A49,数出表_Excel!$A$6:$T$150,COLUMN()/2+1,FALSE)=0,"",VLOOKUP($A49,数出表_Excel!$A$6:$T$150,COLUMN()/2+1,FALSE))),"")</f>
        <v/>
      </c>
      <c r="AC49" s="138"/>
      <c r="AD49" s="142" t="str">
        <f ca="1">IFERROR(VALUE(IF(VLOOKUP($A49,数出表_Excel!$A$6:$T$150,COLUMN()/2+1,FALSE)=0,"",VLOOKUP($A49,数出表_Excel!$A$6:$T$150,COLUMN()/2+1,FALSE))),"")</f>
        <v/>
      </c>
      <c r="AE49" s="138"/>
      <c r="AF49" s="142" t="str">
        <f ca="1">IFERROR(VALUE(IF(VLOOKUP($A49,数出表_Excel!$A$6:$T$150,COLUMN()/2+1,FALSE)=0,"",VLOOKUP($A49,数出表_Excel!$A$6:$T$150,COLUMN()/2+1,FALSE))),"")</f>
        <v/>
      </c>
      <c r="AG49" s="138"/>
      <c r="AH49" s="142" t="str">
        <f ca="1">IFERROR(VALUE(IF(VLOOKUP($A49,数出表_Excel!$A$6:$T$150,COLUMN()/2+1,FALSE)=0,"",VLOOKUP($A49,数出表_Excel!$A$6:$T$150,COLUMN()/2+1,FALSE))),"")</f>
        <v/>
      </c>
      <c r="AI49" s="176"/>
      <c r="AJ49" s="143" t="str">
        <f ca="1">IFERROR(VALUE(IF(VLOOKUP($A49,数出表_Excel!$A$6:$T$150,COLUMN()/2+1,FALSE)=0,"",VLOOKUP($A49,数出表_Excel!$A$6:$T$150,COLUMN()/2+1,FALSE))),"")</f>
        <v/>
      </c>
      <c r="AK49" s="138"/>
      <c r="AL49" s="144" t="e">
        <f ca="1">IF(A49&lt;&gt;"",
IF(VLOOKUP($A49,数出表_Excel!$A$6:$T$150,COLUMN()/2+1,FALSE)=0,"",VLOOKUP($A49,数出表_Excel!$A$6:$T$150,COLUMN()/2+1,FALSE)),"")</f>
        <v>#N/A</v>
      </c>
      <c r="AM49" s="224" t="e">
        <f>数出表_Excel!V49</f>
        <v>#N/A</v>
      </c>
      <c r="AN49" s="225" t="e">
        <f>数出表_Excel!W49</f>
        <v>#N/A</v>
      </c>
    </row>
    <row r="50" spans="1:40" ht="16.2" customHeight="1" x14ac:dyDescent="0.45">
      <c r="A50" s="184" t="e">
        <f t="array" aca="1" ref="A50" ca="1">IF(OR(COUNTIF(A48,"*10002*"),COUNTIF(A48,"")),"",INDEX(貼り付け用!$A:$A,MATCH(A48,貼り付け用!$A:$A,0)+2,0))</f>
        <v>#N/A</v>
      </c>
      <c r="B50" s="172" t="str">
        <f ca="1">IFERROR(VALUE(IF(VLOOKUP($A50,数出表_Excel!$A$6:$T$150,COLUMN()/2+1,FALSE)=0,"",VLOOKUP($A50,数出表_Excel!$A$6:$T$150,COLUMN()/2+1,FALSE))),"")</f>
        <v/>
      </c>
      <c r="C50" s="137"/>
      <c r="D50" s="172" t="str">
        <f ca="1">IFERROR(VALUE(IF(VLOOKUP($A50,数出表_Excel!$A$6:$T$150,COLUMN()/2+1,FALSE)=0,"",VLOOKUP($A50,数出表_Excel!$A$6:$T$150,COLUMN()/2+1,FALSE))),"")</f>
        <v/>
      </c>
      <c r="E50" s="137"/>
      <c r="F50" s="174" t="str">
        <f ca="1">IFERROR(VALUE(IF(VLOOKUP($A50,数出表_Excel!$A$6:$T$150,COLUMN()/2+1,FALSE)=0,"",VLOOKUP($A50,数出表_Excel!$A$6:$T$150,COLUMN()/2+1,FALSE))),"")</f>
        <v/>
      </c>
      <c r="G50" s="137"/>
      <c r="H50" s="172" t="str">
        <f ca="1">IFERROR(VALUE(IF(VLOOKUP($A50,数出表_Excel!$A$6:$T$150,COLUMN()/2+1,FALSE)=0,"",VLOOKUP($A50,数出表_Excel!$A$6:$T$150,COLUMN()/2+1,FALSE))),"")</f>
        <v/>
      </c>
      <c r="I50" s="137"/>
      <c r="J50" s="172" t="str">
        <f ca="1">IFERROR(VALUE(IF(VLOOKUP($A50,数出表_Excel!$A$6:$T$150,COLUMN()/2+1,FALSE)=0,"",VLOOKUP($A50,数出表_Excel!$A$6:$T$150,COLUMN()/2+1,FALSE))),"")</f>
        <v/>
      </c>
      <c r="K50" s="137"/>
      <c r="L50" s="174" t="str">
        <f ca="1">IFERROR(VALUE(IF(VLOOKUP($A50,数出表_Excel!$A$6:$T$150,COLUMN()/2+1,FALSE)=0,"",VLOOKUP($A50,数出表_Excel!$A$6:$T$150,COLUMN()/2+1,FALSE))),"")</f>
        <v/>
      </c>
      <c r="M50" s="137"/>
      <c r="N50" s="172" t="str">
        <f ca="1">IFERROR(VALUE(IF(VLOOKUP($A50,数出表_Excel!$A$6:$T$150,COLUMN()/2+1,FALSE)=0,"",VLOOKUP($A50,数出表_Excel!$A$6:$T$150,COLUMN()/2+1,FALSE))),"")</f>
        <v/>
      </c>
      <c r="O50" s="137"/>
      <c r="P50" s="172" t="str">
        <f ca="1">IFERROR(VALUE(IF(VLOOKUP($A50,数出表_Excel!$A$6:$T$150,COLUMN()/2+1,FALSE)=0,"",VLOOKUP($A50,数出表_Excel!$A$6:$T$150,COLUMN()/2+1,FALSE))),"")</f>
        <v/>
      </c>
      <c r="Q50" s="137"/>
      <c r="R50" s="172" t="str">
        <f ca="1">IFERROR(VALUE(IF(VLOOKUP($A50,数出表_Excel!$A$6:$T$150,COLUMN()/2+1,FALSE)=0,"",VLOOKUP($A50,数出表_Excel!$A$6:$T$150,COLUMN()/2+1,FALSE))),"")</f>
        <v/>
      </c>
      <c r="S50" s="137"/>
      <c r="T50" s="172" t="str">
        <f ca="1">IFERROR(VALUE(IF(VLOOKUP($A50,数出表_Excel!$A$6:$T$150,COLUMN()/2+1,FALSE)=0,"",VLOOKUP($A50,数出表_Excel!$A$6:$T$150,COLUMN()/2+1,FALSE))),"")</f>
        <v/>
      </c>
      <c r="U50" s="137"/>
      <c r="V50" s="174" t="str">
        <f ca="1">IFERROR(VALUE(IF(VLOOKUP($A50,数出表_Excel!$A$6:$T$150,COLUMN()/2+1,FALSE)=0,"",VLOOKUP($A50,数出表_Excel!$A$6:$T$150,COLUMN()/2+1,FALSE))),"")</f>
        <v/>
      </c>
      <c r="W50" s="137"/>
      <c r="X50" s="174" t="str">
        <f ca="1">IFERROR(VALUE(IF(VLOOKUP($A50,数出表_Excel!$A$6:$T$150,COLUMN()/2+1,FALSE)=0,"",VLOOKUP($A50,数出表_Excel!$A$6:$T$150,COLUMN()/2+1,FALSE))),"")</f>
        <v/>
      </c>
      <c r="Y50" s="137"/>
      <c r="Z50" s="174" t="str">
        <f ca="1">IFERROR(VALUE(IF(VLOOKUP($A50,数出表_Excel!$A$6:$T$150,COLUMN()/2+1,FALSE)=0,"",VLOOKUP($A50,数出表_Excel!$A$6:$T$150,COLUMN()/2+1,FALSE))),"")</f>
        <v/>
      </c>
      <c r="AA50" s="175"/>
      <c r="AB50" s="173" t="str">
        <f ca="1">IFERROR(VALUE(IF(VLOOKUP($A50,数出表_Excel!$A$6:$T$150,COLUMN()/2+1,FALSE)=0,"",VLOOKUP($A50,数出表_Excel!$A$6:$T$150,COLUMN()/2+1,FALSE))),"")</f>
        <v/>
      </c>
      <c r="AC50" s="137"/>
      <c r="AD50" s="174" t="str">
        <f ca="1">IFERROR(VALUE(IF(VLOOKUP($A50,数出表_Excel!$A$6:$T$150,COLUMN()/2+1,FALSE)=0,"",VLOOKUP($A50,数出表_Excel!$A$6:$T$150,COLUMN()/2+1,FALSE))),"")</f>
        <v/>
      </c>
      <c r="AE50" s="137"/>
      <c r="AF50" s="174" t="str">
        <f ca="1">IFERROR(VALUE(IF(VLOOKUP($A50,数出表_Excel!$A$6:$T$150,COLUMN()/2+1,FALSE)=0,"",VLOOKUP($A50,数出表_Excel!$A$6:$T$150,COLUMN()/2+1,FALSE))),"")</f>
        <v/>
      </c>
      <c r="AG50" s="137"/>
      <c r="AH50" s="174" t="str">
        <f ca="1">IFERROR(VALUE(IF(VLOOKUP($A50,数出表_Excel!$A$6:$T$150,COLUMN()/2+1,FALSE)=0,"",VLOOKUP($A50,数出表_Excel!$A$6:$T$150,COLUMN()/2+1,FALSE))),"")</f>
        <v/>
      </c>
      <c r="AI50" s="175"/>
      <c r="AJ50" s="173" t="str">
        <f ca="1">IFERROR(VALUE(IF(VLOOKUP($A50,数出表_Excel!$A$6:$T$150,COLUMN()/2+1,FALSE)=0,"",VLOOKUP($A50,数出表_Excel!$A$6:$T$150,COLUMN()/2+1,FALSE))),"")</f>
        <v/>
      </c>
      <c r="AK50" s="137"/>
      <c r="AL50" s="141" t="e">
        <f ca="1">IF(A50&lt;&gt;"",
IF(VLOOKUP($A50,数出表_Excel!$A$6:$T$150,COLUMN()/2+1,FALSE)=0,"",VLOOKUP($A50,数出表_Excel!$A$6:$T$150,COLUMN()/2+1,FALSE)),"")</f>
        <v>#N/A</v>
      </c>
      <c r="AM50" s="222" t="e">
        <f>数出表_Excel!V50</f>
        <v>#N/A</v>
      </c>
      <c r="AN50" s="223" t="e">
        <f>数出表_Excel!W50</f>
        <v>#N/A</v>
      </c>
    </row>
    <row r="51" spans="1:40" ht="16.2" customHeight="1" x14ac:dyDescent="0.45">
      <c r="A51" s="185" t="e">
        <f t="array" aca="1" ref="A51" ca="1">IF(OR(COUNTIF(A49,"*1000*"),COUNTIF(A49,"")),"",INDEX(貼り付け用!$A:$A,MATCH(A49,貼り付け用!$A:$A,0)+2,0))</f>
        <v>#N/A</v>
      </c>
      <c r="B51" s="138" t="str">
        <f ca="1">IFERROR(VALUE(IF(VLOOKUP($A51,数出表_Excel!$A$6:$T$150,COLUMN()/2+1,FALSE)=0,"",VLOOKUP($A51,数出表_Excel!$A$6:$T$150,COLUMN()/2+1,FALSE))),"")</f>
        <v/>
      </c>
      <c r="C51" s="138"/>
      <c r="D51" s="138" t="str">
        <f ca="1">IFERROR(VALUE(IF(VLOOKUP($A51,数出表_Excel!$A$6:$T$150,COLUMN()/2+1,FALSE)=0,"",VLOOKUP($A51,数出表_Excel!$A$6:$T$150,COLUMN()/2+1,FALSE))),"")</f>
        <v/>
      </c>
      <c r="E51" s="138"/>
      <c r="F51" s="142" t="str">
        <f ca="1">IFERROR(VALUE(IF(VLOOKUP($A51,数出表_Excel!$A$6:$T$150,COLUMN()/2+1,FALSE)=0,"",VLOOKUP($A51,数出表_Excel!$A$6:$T$150,COLUMN()/2+1,FALSE))),"")</f>
        <v/>
      </c>
      <c r="G51" s="138"/>
      <c r="H51" s="138" t="str">
        <f ca="1">IFERROR(VALUE(IF(VLOOKUP($A51,数出表_Excel!$A$6:$T$150,COLUMN()/2+1,FALSE)=0,"",VLOOKUP($A51,数出表_Excel!$A$6:$T$150,COLUMN()/2+1,FALSE))),"")</f>
        <v/>
      </c>
      <c r="I51" s="138"/>
      <c r="J51" s="138" t="str">
        <f ca="1">IFERROR(VALUE(IF(VLOOKUP($A51,数出表_Excel!$A$6:$T$150,COLUMN()/2+1,FALSE)=0,"",VLOOKUP($A51,数出表_Excel!$A$6:$T$150,COLUMN()/2+1,FALSE))),"")</f>
        <v/>
      </c>
      <c r="K51" s="138"/>
      <c r="L51" s="142" t="str">
        <f ca="1">IFERROR(VALUE(IF(VLOOKUP($A51,数出表_Excel!$A$6:$T$150,COLUMN()/2+1,FALSE)=0,"",VLOOKUP($A51,数出表_Excel!$A$6:$T$150,COLUMN()/2+1,FALSE))),"")</f>
        <v/>
      </c>
      <c r="M51" s="138"/>
      <c r="N51" s="138" t="str">
        <f ca="1">IFERROR(VALUE(IF(VLOOKUP($A51,数出表_Excel!$A$6:$T$150,COLUMN()/2+1,FALSE)=0,"",VLOOKUP($A51,数出表_Excel!$A$6:$T$150,COLUMN()/2+1,FALSE))),"")</f>
        <v/>
      </c>
      <c r="O51" s="138"/>
      <c r="P51" s="138" t="str">
        <f ca="1">IFERROR(VALUE(IF(VLOOKUP($A51,数出表_Excel!$A$6:$T$150,COLUMN()/2+1,FALSE)=0,"",VLOOKUP($A51,数出表_Excel!$A$6:$T$150,COLUMN()/2+1,FALSE))),"")</f>
        <v/>
      </c>
      <c r="Q51" s="138"/>
      <c r="R51" s="138" t="str">
        <f ca="1">IFERROR(VALUE(IF(VLOOKUP($A51,数出表_Excel!$A$6:$T$150,COLUMN()/2+1,FALSE)=0,"",VLOOKUP($A51,数出表_Excel!$A$6:$T$150,COLUMN()/2+1,FALSE))),"")</f>
        <v/>
      </c>
      <c r="S51" s="138"/>
      <c r="T51" s="138" t="str">
        <f ca="1">IFERROR(VALUE(IF(VLOOKUP($A51,数出表_Excel!$A$6:$T$150,COLUMN()/2+1,FALSE)=0,"",VLOOKUP($A51,数出表_Excel!$A$6:$T$150,COLUMN()/2+1,FALSE))),"")</f>
        <v/>
      </c>
      <c r="U51" s="138"/>
      <c r="V51" s="142" t="str">
        <f ca="1">IFERROR(VALUE(IF(VLOOKUP($A51,数出表_Excel!$A$6:$T$150,COLUMN()/2+1,FALSE)=0,"",VLOOKUP($A51,数出表_Excel!$A$6:$T$150,COLUMN()/2+1,FALSE))),"")</f>
        <v/>
      </c>
      <c r="W51" s="138"/>
      <c r="X51" s="142" t="str">
        <f ca="1">IFERROR(VALUE(IF(VLOOKUP($A51,数出表_Excel!$A$6:$T$150,COLUMN()/2+1,FALSE)=0,"",VLOOKUP($A51,数出表_Excel!$A$6:$T$150,COLUMN()/2+1,FALSE))),"")</f>
        <v/>
      </c>
      <c r="Y51" s="138"/>
      <c r="Z51" s="142" t="str">
        <f ca="1">IFERROR(VALUE(IF(VLOOKUP($A51,数出表_Excel!$A$6:$T$150,COLUMN()/2+1,FALSE)=0,"",VLOOKUP($A51,数出表_Excel!$A$6:$T$150,COLUMN()/2+1,FALSE))),"")</f>
        <v/>
      </c>
      <c r="AA51" s="176"/>
      <c r="AB51" s="143" t="str">
        <f ca="1">IFERROR(VALUE(IF(VLOOKUP($A51,数出表_Excel!$A$6:$T$150,COLUMN()/2+1,FALSE)=0,"",VLOOKUP($A51,数出表_Excel!$A$6:$T$150,COLUMN()/2+1,FALSE))),"")</f>
        <v/>
      </c>
      <c r="AC51" s="138"/>
      <c r="AD51" s="142" t="str">
        <f ca="1">IFERROR(VALUE(IF(VLOOKUP($A51,数出表_Excel!$A$6:$T$150,COLUMN()/2+1,FALSE)=0,"",VLOOKUP($A51,数出表_Excel!$A$6:$T$150,COLUMN()/2+1,FALSE))),"")</f>
        <v/>
      </c>
      <c r="AE51" s="138"/>
      <c r="AF51" s="142" t="str">
        <f ca="1">IFERROR(VALUE(IF(VLOOKUP($A51,数出表_Excel!$A$6:$T$150,COLUMN()/2+1,FALSE)=0,"",VLOOKUP($A51,数出表_Excel!$A$6:$T$150,COLUMN()/2+1,FALSE))),"")</f>
        <v/>
      </c>
      <c r="AG51" s="138"/>
      <c r="AH51" s="142" t="str">
        <f ca="1">IFERROR(VALUE(IF(VLOOKUP($A51,数出表_Excel!$A$6:$T$150,COLUMN()/2+1,FALSE)=0,"",VLOOKUP($A51,数出表_Excel!$A$6:$T$150,COLUMN()/2+1,FALSE))),"")</f>
        <v/>
      </c>
      <c r="AI51" s="176"/>
      <c r="AJ51" s="143" t="str">
        <f ca="1">IFERROR(VALUE(IF(VLOOKUP($A51,数出表_Excel!$A$6:$T$150,COLUMN()/2+1,FALSE)=0,"",VLOOKUP($A51,数出表_Excel!$A$6:$T$150,COLUMN()/2+1,FALSE))),"")</f>
        <v/>
      </c>
      <c r="AK51" s="138"/>
      <c r="AL51" s="144" t="e">
        <f ca="1">IF(A51&lt;&gt;"",
IF(VLOOKUP($A51,数出表_Excel!$A$6:$T$150,COLUMN()/2+1,FALSE)=0,"",VLOOKUP($A51,数出表_Excel!$A$6:$T$150,COLUMN()/2+1,FALSE)),"")</f>
        <v>#N/A</v>
      </c>
      <c r="AM51" s="224" t="e">
        <f>数出表_Excel!V51</f>
        <v>#N/A</v>
      </c>
      <c r="AN51" s="225" t="e">
        <f>数出表_Excel!W51</f>
        <v>#N/A</v>
      </c>
    </row>
    <row r="52" spans="1:40" ht="16.2" customHeight="1" x14ac:dyDescent="0.45">
      <c r="A52" s="184" t="e">
        <f t="array" aca="1" ref="A52" ca="1">IF(OR(COUNTIF(A50,"*10002*"),COUNTIF(A50,"")),"",INDEX(貼り付け用!$A:$A,MATCH(A50,貼り付け用!$A:$A,0)+2,0))</f>
        <v>#N/A</v>
      </c>
      <c r="B52" s="172" t="str">
        <f ca="1">IFERROR(VALUE(IF(VLOOKUP($A52,数出表_Excel!$A$6:$T$150,COLUMN()/2+1,FALSE)=0,"",VLOOKUP($A52,数出表_Excel!$A$6:$T$150,COLUMN()/2+1,FALSE))),"")</f>
        <v/>
      </c>
      <c r="C52" s="137"/>
      <c r="D52" s="172" t="str">
        <f ca="1">IFERROR(VALUE(IF(VLOOKUP($A52,数出表_Excel!$A$6:$T$150,COLUMN()/2+1,FALSE)=0,"",VLOOKUP($A52,数出表_Excel!$A$6:$T$150,COLUMN()/2+1,FALSE))),"")</f>
        <v/>
      </c>
      <c r="E52" s="137"/>
      <c r="F52" s="174" t="str">
        <f ca="1">IFERROR(VALUE(IF(VLOOKUP($A52,数出表_Excel!$A$6:$T$150,COLUMN()/2+1,FALSE)=0,"",VLOOKUP($A52,数出表_Excel!$A$6:$T$150,COLUMN()/2+1,FALSE))),"")</f>
        <v/>
      </c>
      <c r="G52" s="137"/>
      <c r="H52" s="172" t="str">
        <f ca="1">IFERROR(VALUE(IF(VLOOKUP($A52,数出表_Excel!$A$6:$T$150,COLUMN()/2+1,FALSE)=0,"",VLOOKUP($A52,数出表_Excel!$A$6:$T$150,COLUMN()/2+1,FALSE))),"")</f>
        <v/>
      </c>
      <c r="I52" s="137"/>
      <c r="J52" s="172" t="str">
        <f ca="1">IFERROR(VALUE(IF(VLOOKUP($A52,数出表_Excel!$A$6:$T$150,COLUMN()/2+1,FALSE)=0,"",VLOOKUP($A52,数出表_Excel!$A$6:$T$150,COLUMN()/2+1,FALSE))),"")</f>
        <v/>
      </c>
      <c r="K52" s="137"/>
      <c r="L52" s="174" t="str">
        <f ca="1">IFERROR(VALUE(IF(VLOOKUP($A52,数出表_Excel!$A$6:$T$150,COLUMN()/2+1,FALSE)=0,"",VLOOKUP($A52,数出表_Excel!$A$6:$T$150,COLUMN()/2+1,FALSE))),"")</f>
        <v/>
      </c>
      <c r="M52" s="137"/>
      <c r="N52" s="172" t="str">
        <f ca="1">IFERROR(VALUE(IF(VLOOKUP($A52,数出表_Excel!$A$6:$T$150,COLUMN()/2+1,FALSE)=0,"",VLOOKUP($A52,数出表_Excel!$A$6:$T$150,COLUMN()/2+1,FALSE))),"")</f>
        <v/>
      </c>
      <c r="O52" s="137"/>
      <c r="P52" s="172" t="str">
        <f ca="1">IFERROR(VALUE(IF(VLOOKUP($A52,数出表_Excel!$A$6:$T$150,COLUMN()/2+1,FALSE)=0,"",VLOOKUP($A52,数出表_Excel!$A$6:$T$150,COLUMN()/2+1,FALSE))),"")</f>
        <v/>
      </c>
      <c r="Q52" s="137"/>
      <c r="R52" s="172" t="str">
        <f ca="1">IFERROR(VALUE(IF(VLOOKUP($A52,数出表_Excel!$A$6:$T$150,COLUMN()/2+1,FALSE)=0,"",VLOOKUP($A52,数出表_Excel!$A$6:$T$150,COLUMN()/2+1,FALSE))),"")</f>
        <v/>
      </c>
      <c r="S52" s="137"/>
      <c r="T52" s="172" t="str">
        <f ca="1">IFERROR(VALUE(IF(VLOOKUP($A52,数出表_Excel!$A$6:$T$150,COLUMN()/2+1,FALSE)=0,"",VLOOKUP($A52,数出表_Excel!$A$6:$T$150,COLUMN()/2+1,FALSE))),"")</f>
        <v/>
      </c>
      <c r="U52" s="137"/>
      <c r="V52" s="174" t="str">
        <f ca="1">IFERROR(VALUE(IF(VLOOKUP($A52,数出表_Excel!$A$6:$T$150,COLUMN()/2+1,FALSE)=0,"",VLOOKUP($A52,数出表_Excel!$A$6:$T$150,COLUMN()/2+1,FALSE))),"")</f>
        <v/>
      </c>
      <c r="W52" s="137"/>
      <c r="X52" s="174" t="str">
        <f ca="1">IFERROR(VALUE(IF(VLOOKUP($A52,数出表_Excel!$A$6:$T$150,COLUMN()/2+1,FALSE)=0,"",VLOOKUP($A52,数出表_Excel!$A$6:$T$150,COLUMN()/2+1,FALSE))),"")</f>
        <v/>
      </c>
      <c r="Y52" s="137"/>
      <c r="Z52" s="174" t="str">
        <f ca="1">IFERROR(VALUE(IF(VLOOKUP($A52,数出表_Excel!$A$6:$T$150,COLUMN()/2+1,FALSE)=0,"",VLOOKUP($A52,数出表_Excel!$A$6:$T$150,COLUMN()/2+1,FALSE))),"")</f>
        <v/>
      </c>
      <c r="AA52" s="175"/>
      <c r="AB52" s="173" t="str">
        <f ca="1">IFERROR(VALUE(IF(VLOOKUP($A52,数出表_Excel!$A$6:$T$150,COLUMN()/2+1,FALSE)=0,"",VLOOKUP($A52,数出表_Excel!$A$6:$T$150,COLUMN()/2+1,FALSE))),"")</f>
        <v/>
      </c>
      <c r="AC52" s="137"/>
      <c r="AD52" s="174" t="str">
        <f ca="1">IFERROR(VALUE(IF(VLOOKUP($A52,数出表_Excel!$A$6:$T$150,COLUMN()/2+1,FALSE)=0,"",VLOOKUP($A52,数出表_Excel!$A$6:$T$150,COLUMN()/2+1,FALSE))),"")</f>
        <v/>
      </c>
      <c r="AE52" s="137"/>
      <c r="AF52" s="174" t="str">
        <f ca="1">IFERROR(VALUE(IF(VLOOKUP($A52,数出表_Excel!$A$6:$T$150,COLUMN()/2+1,FALSE)=0,"",VLOOKUP($A52,数出表_Excel!$A$6:$T$150,COLUMN()/2+1,FALSE))),"")</f>
        <v/>
      </c>
      <c r="AG52" s="137"/>
      <c r="AH52" s="174" t="str">
        <f ca="1">IFERROR(VALUE(IF(VLOOKUP($A52,数出表_Excel!$A$6:$T$150,COLUMN()/2+1,FALSE)=0,"",VLOOKUP($A52,数出表_Excel!$A$6:$T$150,COLUMN()/2+1,FALSE))),"")</f>
        <v/>
      </c>
      <c r="AI52" s="175"/>
      <c r="AJ52" s="173" t="str">
        <f ca="1">IFERROR(VALUE(IF(VLOOKUP($A52,数出表_Excel!$A$6:$T$150,COLUMN()/2+1,FALSE)=0,"",VLOOKUP($A52,数出表_Excel!$A$6:$T$150,COLUMN()/2+1,FALSE))),"")</f>
        <v/>
      </c>
      <c r="AK52" s="137"/>
      <c r="AL52" s="141" t="e">
        <f ca="1">IF(A52&lt;&gt;"",
IF(VLOOKUP($A52,数出表_Excel!$A$6:$T$150,COLUMN()/2+1,FALSE)=0,"",VLOOKUP($A52,数出表_Excel!$A$6:$T$150,COLUMN()/2+1,FALSE)),"")</f>
        <v>#N/A</v>
      </c>
      <c r="AM52" s="222" t="e">
        <f>数出表_Excel!V52</f>
        <v>#N/A</v>
      </c>
      <c r="AN52" s="223" t="e">
        <f>数出表_Excel!W52</f>
        <v>#N/A</v>
      </c>
    </row>
    <row r="53" spans="1:40" ht="16.2" customHeight="1" x14ac:dyDescent="0.45">
      <c r="A53" s="185" t="e">
        <f t="array" aca="1" ref="A53" ca="1">IF(OR(COUNTIF(A51,"*1000*"),COUNTIF(A51,"")),"",INDEX(貼り付け用!$A:$A,MATCH(A51,貼り付け用!$A:$A,0)+2,0))</f>
        <v>#N/A</v>
      </c>
      <c r="B53" s="138" t="str">
        <f ca="1">IFERROR(VALUE(IF(VLOOKUP($A53,数出表_Excel!$A$6:$T$150,COLUMN()/2+1,FALSE)=0,"",VLOOKUP($A53,数出表_Excel!$A$6:$T$150,COLUMN()/2+1,FALSE))),"")</f>
        <v/>
      </c>
      <c r="C53" s="138"/>
      <c r="D53" s="138" t="str">
        <f ca="1">IFERROR(VALUE(IF(VLOOKUP($A53,数出表_Excel!$A$6:$T$150,COLUMN()/2+1,FALSE)=0,"",VLOOKUP($A53,数出表_Excel!$A$6:$T$150,COLUMN()/2+1,FALSE))),"")</f>
        <v/>
      </c>
      <c r="E53" s="138"/>
      <c r="F53" s="142" t="str">
        <f ca="1">IFERROR(VALUE(IF(VLOOKUP($A53,数出表_Excel!$A$6:$T$150,COLUMN()/2+1,FALSE)=0,"",VLOOKUP($A53,数出表_Excel!$A$6:$T$150,COLUMN()/2+1,FALSE))),"")</f>
        <v/>
      </c>
      <c r="G53" s="138"/>
      <c r="H53" s="138" t="str">
        <f ca="1">IFERROR(VALUE(IF(VLOOKUP($A53,数出表_Excel!$A$6:$T$150,COLUMN()/2+1,FALSE)=0,"",VLOOKUP($A53,数出表_Excel!$A$6:$T$150,COLUMN()/2+1,FALSE))),"")</f>
        <v/>
      </c>
      <c r="I53" s="138"/>
      <c r="J53" s="138" t="str">
        <f ca="1">IFERROR(VALUE(IF(VLOOKUP($A53,数出表_Excel!$A$6:$T$150,COLUMN()/2+1,FALSE)=0,"",VLOOKUP($A53,数出表_Excel!$A$6:$T$150,COLUMN()/2+1,FALSE))),"")</f>
        <v/>
      </c>
      <c r="K53" s="138"/>
      <c r="L53" s="142" t="str">
        <f ca="1">IFERROR(VALUE(IF(VLOOKUP($A53,数出表_Excel!$A$6:$T$150,COLUMN()/2+1,FALSE)=0,"",VLOOKUP($A53,数出表_Excel!$A$6:$T$150,COLUMN()/2+1,FALSE))),"")</f>
        <v/>
      </c>
      <c r="M53" s="138"/>
      <c r="N53" s="138" t="str">
        <f ca="1">IFERROR(VALUE(IF(VLOOKUP($A53,数出表_Excel!$A$6:$T$150,COLUMN()/2+1,FALSE)=0,"",VLOOKUP($A53,数出表_Excel!$A$6:$T$150,COLUMN()/2+1,FALSE))),"")</f>
        <v/>
      </c>
      <c r="O53" s="138"/>
      <c r="P53" s="138" t="str">
        <f ca="1">IFERROR(VALUE(IF(VLOOKUP($A53,数出表_Excel!$A$6:$T$150,COLUMN()/2+1,FALSE)=0,"",VLOOKUP($A53,数出表_Excel!$A$6:$T$150,COLUMN()/2+1,FALSE))),"")</f>
        <v/>
      </c>
      <c r="Q53" s="138"/>
      <c r="R53" s="138" t="str">
        <f ca="1">IFERROR(VALUE(IF(VLOOKUP($A53,数出表_Excel!$A$6:$T$150,COLUMN()/2+1,FALSE)=0,"",VLOOKUP($A53,数出表_Excel!$A$6:$T$150,COLUMN()/2+1,FALSE))),"")</f>
        <v/>
      </c>
      <c r="S53" s="138"/>
      <c r="T53" s="138" t="str">
        <f ca="1">IFERROR(VALUE(IF(VLOOKUP($A53,数出表_Excel!$A$6:$T$150,COLUMN()/2+1,FALSE)=0,"",VLOOKUP($A53,数出表_Excel!$A$6:$T$150,COLUMN()/2+1,FALSE))),"")</f>
        <v/>
      </c>
      <c r="U53" s="138"/>
      <c r="V53" s="142" t="str">
        <f ca="1">IFERROR(VALUE(IF(VLOOKUP($A53,数出表_Excel!$A$6:$T$150,COLUMN()/2+1,FALSE)=0,"",VLOOKUP($A53,数出表_Excel!$A$6:$T$150,COLUMN()/2+1,FALSE))),"")</f>
        <v/>
      </c>
      <c r="W53" s="138"/>
      <c r="X53" s="142" t="str">
        <f ca="1">IFERROR(VALUE(IF(VLOOKUP($A53,数出表_Excel!$A$6:$T$150,COLUMN()/2+1,FALSE)=0,"",VLOOKUP($A53,数出表_Excel!$A$6:$T$150,COLUMN()/2+1,FALSE))),"")</f>
        <v/>
      </c>
      <c r="Y53" s="138"/>
      <c r="Z53" s="142" t="str">
        <f ca="1">IFERROR(VALUE(IF(VLOOKUP($A53,数出表_Excel!$A$6:$T$150,COLUMN()/2+1,FALSE)=0,"",VLOOKUP($A53,数出表_Excel!$A$6:$T$150,COLUMN()/2+1,FALSE))),"")</f>
        <v/>
      </c>
      <c r="AA53" s="176"/>
      <c r="AB53" s="143" t="str">
        <f ca="1">IFERROR(VALUE(IF(VLOOKUP($A53,数出表_Excel!$A$6:$T$150,COLUMN()/2+1,FALSE)=0,"",VLOOKUP($A53,数出表_Excel!$A$6:$T$150,COLUMN()/2+1,FALSE))),"")</f>
        <v/>
      </c>
      <c r="AC53" s="138"/>
      <c r="AD53" s="142" t="str">
        <f ca="1">IFERROR(VALUE(IF(VLOOKUP($A53,数出表_Excel!$A$6:$T$150,COLUMN()/2+1,FALSE)=0,"",VLOOKUP($A53,数出表_Excel!$A$6:$T$150,COLUMN()/2+1,FALSE))),"")</f>
        <v/>
      </c>
      <c r="AE53" s="138"/>
      <c r="AF53" s="142" t="str">
        <f ca="1">IFERROR(VALUE(IF(VLOOKUP($A53,数出表_Excel!$A$6:$T$150,COLUMN()/2+1,FALSE)=0,"",VLOOKUP($A53,数出表_Excel!$A$6:$T$150,COLUMN()/2+1,FALSE))),"")</f>
        <v/>
      </c>
      <c r="AG53" s="138"/>
      <c r="AH53" s="142" t="str">
        <f ca="1">IFERROR(VALUE(IF(VLOOKUP($A53,数出表_Excel!$A$6:$T$150,COLUMN()/2+1,FALSE)=0,"",VLOOKUP($A53,数出表_Excel!$A$6:$T$150,COLUMN()/2+1,FALSE))),"")</f>
        <v/>
      </c>
      <c r="AI53" s="176"/>
      <c r="AJ53" s="143" t="str">
        <f ca="1">IFERROR(VALUE(IF(VLOOKUP($A53,数出表_Excel!$A$6:$T$150,COLUMN()/2+1,FALSE)=0,"",VLOOKUP($A53,数出表_Excel!$A$6:$T$150,COLUMN()/2+1,FALSE))),"")</f>
        <v/>
      </c>
      <c r="AK53" s="138"/>
      <c r="AL53" s="144" t="e">
        <f ca="1">IF(A53&lt;&gt;"",
IF(VLOOKUP($A53,数出表_Excel!$A$6:$T$150,COLUMN()/2+1,FALSE)=0,"",VLOOKUP($A53,数出表_Excel!$A$6:$T$150,COLUMN()/2+1,FALSE)),"")</f>
        <v>#N/A</v>
      </c>
      <c r="AM53" s="224" t="e">
        <f>数出表_Excel!V53</f>
        <v>#N/A</v>
      </c>
      <c r="AN53" s="225" t="e">
        <f>数出表_Excel!W53</f>
        <v>#N/A</v>
      </c>
    </row>
    <row r="54" spans="1:40" ht="16.2" customHeight="1" x14ac:dyDescent="0.45">
      <c r="A54" s="184" t="e">
        <f t="array" aca="1" ref="A54" ca="1">IF(OR(COUNTIF(A52,"*10002*"),COUNTIF(A52,"")),"",INDEX(貼り付け用!$A:$A,MATCH(A52,貼り付け用!$A:$A,0)+2,0))</f>
        <v>#N/A</v>
      </c>
      <c r="B54" s="172" t="str">
        <f ca="1">IFERROR(VALUE(IF(VLOOKUP($A54,数出表_Excel!$A$6:$T$150,COLUMN()/2+1,FALSE)=0,"",VLOOKUP($A54,数出表_Excel!$A$6:$T$150,COLUMN()/2+1,FALSE))),"")</f>
        <v/>
      </c>
      <c r="C54" s="137"/>
      <c r="D54" s="172" t="str">
        <f ca="1">IFERROR(VALUE(IF(VLOOKUP($A54,数出表_Excel!$A$6:$T$150,COLUMN()/2+1,FALSE)=0,"",VLOOKUP($A54,数出表_Excel!$A$6:$T$150,COLUMN()/2+1,FALSE))),"")</f>
        <v/>
      </c>
      <c r="E54" s="137"/>
      <c r="F54" s="174" t="str">
        <f ca="1">IFERROR(VALUE(IF(VLOOKUP($A54,数出表_Excel!$A$6:$T$150,COLUMN()/2+1,FALSE)=0,"",VLOOKUP($A54,数出表_Excel!$A$6:$T$150,COLUMN()/2+1,FALSE))),"")</f>
        <v/>
      </c>
      <c r="G54" s="137"/>
      <c r="H54" s="172" t="str">
        <f ca="1">IFERROR(VALUE(IF(VLOOKUP($A54,数出表_Excel!$A$6:$T$150,COLUMN()/2+1,FALSE)=0,"",VLOOKUP($A54,数出表_Excel!$A$6:$T$150,COLUMN()/2+1,FALSE))),"")</f>
        <v/>
      </c>
      <c r="I54" s="137"/>
      <c r="J54" s="172" t="str">
        <f ca="1">IFERROR(VALUE(IF(VLOOKUP($A54,数出表_Excel!$A$6:$T$150,COLUMN()/2+1,FALSE)=0,"",VLOOKUP($A54,数出表_Excel!$A$6:$T$150,COLUMN()/2+1,FALSE))),"")</f>
        <v/>
      </c>
      <c r="K54" s="137"/>
      <c r="L54" s="174" t="str">
        <f ca="1">IFERROR(VALUE(IF(VLOOKUP($A54,数出表_Excel!$A$6:$T$150,COLUMN()/2+1,FALSE)=0,"",VLOOKUP($A54,数出表_Excel!$A$6:$T$150,COLUMN()/2+1,FALSE))),"")</f>
        <v/>
      </c>
      <c r="M54" s="137"/>
      <c r="N54" s="172" t="str">
        <f ca="1">IFERROR(VALUE(IF(VLOOKUP($A54,数出表_Excel!$A$6:$T$150,COLUMN()/2+1,FALSE)=0,"",VLOOKUP($A54,数出表_Excel!$A$6:$T$150,COLUMN()/2+1,FALSE))),"")</f>
        <v/>
      </c>
      <c r="O54" s="137"/>
      <c r="P54" s="172" t="str">
        <f ca="1">IFERROR(VALUE(IF(VLOOKUP($A54,数出表_Excel!$A$6:$T$150,COLUMN()/2+1,FALSE)=0,"",VLOOKUP($A54,数出表_Excel!$A$6:$T$150,COLUMN()/2+1,FALSE))),"")</f>
        <v/>
      </c>
      <c r="Q54" s="137"/>
      <c r="R54" s="172" t="str">
        <f ca="1">IFERROR(VALUE(IF(VLOOKUP($A54,数出表_Excel!$A$6:$T$150,COLUMN()/2+1,FALSE)=0,"",VLOOKUP($A54,数出表_Excel!$A$6:$T$150,COLUMN()/2+1,FALSE))),"")</f>
        <v/>
      </c>
      <c r="S54" s="137"/>
      <c r="T54" s="172" t="str">
        <f ca="1">IFERROR(VALUE(IF(VLOOKUP($A54,数出表_Excel!$A$6:$T$150,COLUMN()/2+1,FALSE)=0,"",VLOOKUP($A54,数出表_Excel!$A$6:$T$150,COLUMN()/2+1,FALSE))),"")</f>
        <v/>
      </c>
      <c r="U54" s="137"/>
      <c r="V54" s="174" t="str">
        <f ca="1">IFERROR(VALUE(IF(VLOOKUP($A54,数出表_Excel!$A$6:$T$150,COLUMN()/2+1,FALSE)=0,"",VLOOKUP($A54,数出表_Excel!$A$6:$T$150,COLUMN()/2+1,FALSE))),"")</f>
        <v/>
      </c>
      <c r="W54" s="137"/>
      <c r="X54" s="174" t="str">
        <f ca="1">IFERROR(VALUE(IF(VLOOKUP($A54,数出表_Excel!$A$6:$T$150,COLUMN()/2+1,FALSE)=0,"",VLOOKUP($A54,数出表_Excel!$A$6:$T$150,COLUMN()/2+1,FALSE))),"")</f>
        <v/>
      </c>
      <c r="Y54" s="137"/>
      <c r="Z54" s="174" t="str">
        <f ca="1">IFERROR(VALUE(IF(VLOOKUP($A54,数出表_Excel!$A$6:$T$150,COLUMN()/2+1,FALSE)=0,"",VLOOKUP($A54,数出表_Excel!$A$6:$T$150,COLUMN()/2+1,FALSE))),"")</f>
        <v/>
      </c>
      <c r="AA54" s="175"/>
      <c r="AB54" s="173" t="str">
        <f ca="1">IFERROR(VALUE(IF(VLOOKUP($A54,数出表_Excel!$A$6:$T$150,COLUMN()/2+1,FALSE)=0,"",VLOOKUP($A54,数出表_Excel!$A$6:$T$150,COLUMN()/2+1,FALSE))),"")</f>
        <v/>
      </c>
      <c r="AC54" s="137"/>
      <c r="AD54" s="174" t="str">
        <f ca="1">IFERROR(VALUE(IF(VLOOKUP($A54,数出表_Excel!$A$6:$T$150,COLUMN()/2+1,FALSE)=0,"",VLOOKUP($A54,数出表_Excel!$A$6:$T$150,COLUMN()/2+1,FALSE))),"")</f>
        <v/>
      </c>
      <c r="AE54" s="137"/>
      <c r="AF54" s="174" t="str">
        <f ca="1">IFERROR(VALUE(IF(VLOOKUP($A54,数出表_Excel!$A$6:$T$150,COLUMN()/2+1,FALSE)=0,"",VLOOKUP($A54,数出表_Excel!$A$6:$T$150,COLUMN()/2+1,FALSE))),"")</f>
        <v/>
      </c>
      <c r="AG54" s="137"/>
      <c r="AH54" s="174" t="str">
        <f ca="1">IFERROR(VALUE(IF(VLOOKUP($A54,数出表_Excel!$A$6:$T$150,COLUMN()/2+1,FALSE)=0,"",VLOOKUP($A54,数出表_Excel!$A$6:$T$150,COLUMN()/2+1,FALSE))),"")</f>
        <v/>
      </c>
      <c r="AI54" s="175"/>
      <c r="AJ54" s="173" t="str">
        <f ca="1">IFERROR(VALUE(IF(VLOOKUP($A54,数出表_Excel!$A$6:$T$150,COLUMN()/2+1,FALSE)=0,"",VLOOKUP($A54,数出表_Excel!$A$6:$T$150,COLUMN()/2+1,FALSE))),"")</f>
        <v/>
      </c>
      <c r="AK54" s="137"/>
      <c r="AL54" s="141" t="e">
        <f ca="1">IF(A54&lt;&gt;"",
IF(VLOOKUP($A54,数出表_Excel!$A$6:$T$150,COLUMN()/2+1,FALSE)=0,"",VLOOKUP($A54,数出表_Excel!$A$6:$T$150,COLUMN()/2+1,FALSE)),"")</f>
        <v>#N/A</v>
      </c>
      <c r="AM54" s="222" t="e">
        <f>数出表_Excel!V54</f>
        <v>#N/A</v>
      </c>
      <c r="AN54" s="223" t="e">
        <f>数出表_Excel!W54</f>
        <v>#N/A</v>
      </c>
    </row>
    <row r="55" spans="1:40" ht="16.2" customHeight="1" x14ac:dyDescent="0.45">
      <c r="A55" s="185" t="e">
        <f t="array" aca="1" ref="A55" ca="1">IF(OR(COUNTIF(A53,"*1000*"),COUNTIF(A53,"")),"",INDEX(貼り付け用!$A:$A,MATCH(A53,貼り付け用!$A:$A,0)+2,0))</f>
        <v>#N/A</v>
      </c>
      <c r="B55" s="138" t="str">
        <f ca="1">IFERROR(VALUE(IF(VLOOKUP($A55,数出表_Excel!$A$6:$T$150,COLUMN()/2+1,FALSE)=0,"",VLOOKUP($A55,数出表_Excel!$A$6:$T$150,COLUMN()/2+1,FALSE))),"")</f>
        <v/>
      </c>
      <c r="C55" s="138"/>
      <c r="D55" s="138" t="str">
        <f ca="1">IFERROR(VALUE(IF(VLOOKUP($A55,数出表_Excel!$A$6:$T$150,COLUMN()/2+1,FALSE)=0,"",VLOOKUP($A55,数出表_Excel!$A$6:$T$150,COLUMN()/2+1,FALSE))),"")</f>
        <v/>
      </c>
      <c r="E55" s="138"/>
      <c r="F55" s="142" t="str">
        <f ca="1">IFERROR(VALUE(IF(VLOOKUP($A55,数出表_Excel!$A$6:$T$150,COLUMN()/2+1,FALSE)=0,"",VLOOKUP($A55,数出表_Excel!$A$6:$T$150,COLUMN()/2+1,FALSE))),"")</f>
        <v/>
      </c>
      <c r="G55" s="138"/>
      <c r="H55" s="138" t="str">
        <f ca="1">IFERROR(VALUE(IF(VLOOKUP($A55,数出表_Excel!$A$6:$T$150,COLUMN()/2+1,FALSE)=0,"",VLOOKUP($A55,数出表_Excel!$A$6:$T$150,COLUMN()/2+1,FALSE))),"")</f>
        <v/>
      </c>
      <c r="I55" s="138"/>
      <c r="J55" s="138" t="str">
        <f ca="1">IFERROR(VALUE(IF(VLOOKUP($A55,数出表_Excel!$A$6:$T$150,COLUMN()/2+1,FALSE)=0,"",VLOOKUP($A55,数出表_Excel!$A$6:$T$150,COLUMN()/2+1,FALSE))),"")</f>
        <v/>
      </c>
      <c r="K55" s="138"/>
      <c r="L55" s="142" t="str">
        <f ca="1">IFERROR(VALUE(IF(VLOOKUP($A55,数出表_Excel!$A$6:$T$150,COLUMN()/2+1,FALSE)=0,"",VLOOKUP($A55,数出表_Excel!$A$6:$T$150,COLUMN()/2+1,FALSE))),"")</f>
        <v/>
      </c>
      <c r="M55" s="138"/>
      <c r="N55" s="138" t="str">
        <f ca="1">IFERROR(VALUE(IF(VLOOKUP($A55,数出表_Excel!$A$6:$T$150,COLUMN()/2+1,FALSE)=0,"",VLOOKUP($A55,数出表_Excel!$A$6:$T$150,COLUMN()/2+1,FALSE))),"")</f>
        <v/>
      </c>
      <c r="O55" s="138"/>
      <c r="P55" s="138" t="str">
        <f ca="1">IFERROR(VALUE(IF(VLOOKUP($A55,数出表_Excel!$A$6:$T$150,COLUMN()/2+1,FALSE)=0,"",VLOOKUP($A55,数出表_Excel!$A$6:$T$150,COLUMN()/2+1,FALSE))),"")</f>
        <v/>
      </c>
      <c r="Q55" s="138"/>
      <c r="R55" s="138" t="str">
        <f ca="1">IFERROR(VALUE(IF(VLOOKUP($A55,数出表_Excel!$A$6:$T$150,COLUMN()/2+1,FALSE)=0,"",VLOOKUP($A55,数出表_Excel!$A$6:$T$150,COLUMN()/2+1,FALSE))),"")</f>
        <v/>
      </c>
      <c r="S55" s="138"/>
      <c r="T55" s="138" t="str">
        <f ca="1">IFERROR(VALUE(IF(VLOOKUP($A55,数出表_Excel!$A$6:$T$150,COLUMN()/2+1,FALSE)=0,"",VLOOKUP($A55,数出表_Excel!$A$6:$T$150,COLUMN()/2+1,FALSE))),"")</f>
        <v/>
      </c>
      <c r="U55" s="138"/>
      <c r="V55" s="142" t="str">
        <f ca="1">IFERROR(VALUE(IF(VLOOKUP($A55,数出表_Excel!$A$6:$T$150,COLUMN()/2+1,FALSE)=0,"",VLOOKUP($A55,数出表_Excel!$A$6:$T$150,COLUMN()/2+1,FALSE))),"")</f>
        <v/>
      </c>
      <c r="W55" s="138"/>
      <c r="X55" s="142" t="str">
        <f ca="1">IFERROR(VALUE(IF(VLOOKUP($A55,数出表_Excel!$A$6:$T$150,COLUMN()/2+1,FALSE)=0,"",VLOOKUP($A55,数出表_Excel!$A$6:$T$150,COLUMN()/2+1,FALSE))),"")</f>
        <v/>
      </c>
      <c r="Y55" s="138"/>
      <c r="Z55" s="142" t="str">
        <f ca="1">IFERROR(VALUE(IF(VLOOKUP($A55,数出表_Excel!$A$6:$T$150,COLUMN()/2+1,FALSE)=0,"",VLOOKUP($A55,数出表_Excel!$A$6:$T$150,COLUMN()/2+1,FALSE))),"")</f>
        <v/>
      </c>
      <c r="AA55" s="176"/>
      <c r="AB55" s="143" t="str">
        <f ca="1">IFERROR(VALUE(IF(VLOOKUP($A55,数出表_Excel!$A$6:$T$150,COLUMN()/2+1,FALSE)=0,"",VLOOKUP($A55,数出表_Excel!$A$6:$T$150,COLUMN()/2+1,FALSE))),"")</f>
        <v/>
      </c>
      <c r="AC55" s="138"/>
      <c r="AD55" s="142" t="str">
        <f ca="1">IFERROR(VALUE(IF(VLOOKUP($A55,数出表_Excel!$A$6:$T$150,COLUMN()/2+1,FALSE)=0,"",VLOOKUP($A55,数出表_Excel!$A$6:$T$150,COLUMN()/2+1,FALSE))),"")</f>
        <v/>
      </c>
      <c r="AE55" s="138"/>
      <c r="AF55" s="142" t="str">
        <f ca="1">IFERROR(VALUE(IF(VLOOKUP($A55,数出表_Excel!$A$6:$T$150,COLUMN()/2+1,FALSE)=0,"",VLOOKUP($A55,数出表_Excel!$A$6:$T$150,COLUMN()/2+1,FALSE))),"")</f>
        <v/>
      </c>
      <c r="AG55" s="138"/>
      <c r="AH55" s="142" t="str">
        <f ca="1">IFERROR(VALUE(IF(VLOOKUP($A55,数出表_Excel!$A$6:$T$150,COLUMN()/2+1,FALSE)=0,"",VLOOKUP($A55,数出表_Excel!$A$6:$T$150,COLUMN()/2+1,FALSE))),"")</f>
        <v/>
      </c>
      <c r="AI55" s="176"/>
      <c r="AJ55" s="143" t="str">
        <f ca="1">IFERROR(VALUE(IF(VLOOKUP($A55,数出表_Excel!$A$6:$T$150,COLUMN()/2+1,FALSE)=0,"",VLOOKUP($A55,数出表_Excel!$A$6:$T$150,COLUMN()/2+1,FALSE))),"")</f>
        <v/>
      </c>
      <c r="AK55" s="138"/>
      <c r="AL55" s="144" t="e">
        <f ca="1">IF(A55&lt;&gt;"",
IF(VLOOKUP($A55,数出表_Excel!$A$6:$T$150,COLUMN()/2+1,FALSE)=0,"",VLOOKUP($A55,数出表_Excel!$A$6:$T$150,COLUMN()/2+1,FALSE)),"")</f>
        <v>#N/A</v>
      </c>
      <c r="AM55" s="224" t="e">
        <f>数出表_Excel!V55</f>
        <v>#N/A</v>
      </c>
      <c r="AN55" s="225" t="e">
        <f>数出表_Excel!W55</f>
        <v>#N/A</v>
      </c>
    </row>
    <row r="56" spans="1:40" ht="16.2" customHeight="1" x14ac:dyDescent="0.45">
      <c r="A56" s="184" t="e">
        <f t="array" aca="1" ref="A56" ca="1">IF(OR(COUNTIF(A54,"*10002*"),COUNTIF(A54,"")),"",INDEX(貼り付け用!$A:$A,MATCH(A54,貼り付け用!$A:$A,0)+2,0))</f>
        <v>#N/A</v>
      </c>
      <c r="B56" s="172" t="str">
        <f ca="1">IFERROR(VALUE(IF(VLOOKUP($A56,数出表_Excel!$A$6:$T$150,COLUMN()/2+1,FALSE)=0,"",VLOOKUP($A56,数出表_Excel!$A$6:$T$150,COLUMN()/2+1,FALSE))),"")</f>
        <v/>
      </c>
      <c r="C56" s="137"/>
      <c r="D56" s="172" t="str">
        <f ca="1">IFERROR(VALUE(IF(VLOOKUP($A56,数出表_Excel!$A$6:$T$150,COLUMN()/2+1,FALSE)=0,"",VLOOKUP($A56,数出表_Excel!$A$6:$T$150,COLUMN()/2+1,FALSE))),"")</f>
        <v/>
      </c>
      <c r="E56" s="137"/>
      <c r="F56" s="174" t="str">
        <f ca="1">IFERROR(VALUE(IF(VLOOKUP($A56,数出表_Excel!$A$6:$T$150,COLUMN()/2+1,FALSE)=0,"",VLOOKUP($A56,数出表_Excel!$A$6:$T$150,COLUMN()/2+1,FALSE))),"")</f>
        <v/>
      </c>
      <c r="G56" s="137"/>
      <c r="H56" s="172" t="str">
        <f ca="1">IFERROR(VALUE(IF(VLOOKUP($A56,数出表_Excel!$A$6:$T$150,COLUMN()/2+1,FALSE)=0,"",VLOOKUP($A56,数出表_Excel!$A$6:$T$150,COLUMN()/2+1,FALSE))),"")</f>
        <v/>
      </c>
      <c r="I56" s="137"/>
      <c r="J56" s="172" t="str">
        <f ca="1">IFERROR(VALUE(IF(VLOOKUP($A56,数出表_Excel!$A$6:$T$150,COLUMN()/2+1,FALSE)=0,"",VLOOKUP($A56,数出表_Excel!$A$6:$T$150,COLUMN()/2+1,FALSE))),"")</f>
        <v/>
      </c>
      <c r="K56" s="137"/>
      <c r="L56" s="174" t="str">
        <f ca="1">IFERROR(VALUE(IF(VLOOKUP($A56,数出表_Excel!$A$6:$T$150,COLUMN()/2+1,FALSE)=0,"",VLOOKUP($A56,数出表_Excel!$A$6:$T$150,COLUMN()/2+1,FALSE))),"")</f>
        <v/>
      </c>
      <c r="M56" s="137"/>
      <c r="N56" s="172" t="str">
        <f ca="1">IFERROR(VALUE(IF(VLOOKUP($A56,数出表_Excel!$A$6:$T$150,COLUMN()/2+1,FALSE)=0,"",VLOOKUP($A56,数出表_Excel!$A$6:$T$150,COLUMN()/2+1,FALSE))),"")</f>
        <v/>
      </c>
      <c r="O56" s="137"/>
      <c r="P56" s="172" t="str">
        <f ca="1">IFERROR(VALUE(IF(VLOOKUP($A56,数出表_Excel!$A$6:$T$150,COLUMN()/2+1,FALSE)=0,"",VLOOKUP($A56,数出表_Excel!$A$6:$T$150,COLUMN()/2+1,FALSE))),"")</f>
        <v/>
      </c>
      <c r="Q56" s="137"/>
      <c r="R56" s="172" t="str">
        <f ca="1">IFERROR(VALUE(IF(VLOOKUP($A56,数出表_Excel!$A$6:$T$150,COLUMN()/2+1,FALSE)=0,"",VLOOKUP($A56,数出表_Excel!$A$6:$T$150,COLUMN()/2+1,FALSE))),"")</f>
        <v/>
      </c>
      <c r="S56" s="137"/>
      <c r="T56" s="172" t="str">
        <f ca="1">IFERROR(VALUE(IF(VLOOKUP($A56,数出表_Excel!$A$6:$T$150,COLUMN()/2+1,FALSE)=0,"",VLOOKUP($A56,数出表_Excel!$A$6:$T$150,COLUMN()/2+1,FALSE))),"")</f>
        <v/>
      </c>
      <c r="U56" s="137"/>
      <c r="V56" s="174" t="str">
        <f ca="1">IFERROR(VALUE(IF(VLOOKUP($A56,数出表_Excel!$A$6:$T$150,COLUMN()/2+1,FALSE)=0,"",VLOOKUP($A56,数出表_Excel!$A$6:$T$150,COLUMN()/2+1,FALSE))),"")</f>
        <v/>
      </c>
      <c r="W56" s="137"/>
      <c r="X56" s="174" t="str">
        <f ca="1">IFERROR(VALUE(IF(VLOOKUP($A56,数出表_Excel!$A$6:$T$150,COLUMN()/2+1,FALSE)=0,"",VLOOKUP($A56,数出表_Excel!$A$6:$T$150,COLUMN()/2+1,FALSE))),"")</f>
        <v/>
      </c>
      <c r="Y56" s="137"/>
      <c r="Z56" s="174" t="str">
        <f ca="1">IFERROR(VALUE(IF(VLOOKUP($A56,数出表_Excel!$A$6:$T$150,COLUMN()/2+1,FALSE)=0,"",VLOOKUP($A56,数出表_Excel!$A$6:$T$150,COLUMN()/2+1,FALSE))),"")</f>
        <v/>
      </c>
      <c r="AA56" s="175"/>
      <c r="AB56" s="173" t="str">
        <f ca="1">IFERROR(VALUE(IF(VLOOKUP($A56,数出表_Excel!$A$6:$T$150,COLUMN()/2+1,FALSE)=0,"",VLOOKUP($A56,数出表_Excel!$A$6:$T$150,COLUMN()/2+1,FALSE))),"")</f>
        <v/>
      </c>
      <c r="AC56" s="137"/>
      <c r="AD56" s="174" t="str">
        <f ca="1">IFERROR(VALUE(IF(VLOOKUP($A56,数出表_Excel!$A$6:$T$150,COLUMN()/2+1,FALSE)=0,"",VLOOKUP($A56,数出表_Excel!$A$6:$T$150,COLUMN()/2+1,FALSE))),"")</f>
        <v/>
      </c>
      <c r="AE56" s="137"/>
      <c r="AF56" s="174" t="str">
        <f ca="1">IFERROR(VALUE(IF(VLOOKUP($A56,数出表_Excel!$A$6:$T$150,COLUMN()/2+1,FALSE)=0,"",VLOOKUP($A56,数出表_Excel!$A$6:$T$150,COLUMN()/2+1,FALSE))),"")</f>
        <v/>
      </c>
      <c r="AG56" s="137"/>
      <c r="AH56" s="174" t="str">
        <f ca="1">IFERROR(VALUE(IF(VLOOKUP($A56,数出表_Excel!$A$6:$T$150,COLUMN()/2+1,FALSE)=0,"",VLOOKUP($A56,数出表_Excel!$A$6:$T$150,COLUMN()/2+1,FALSE))),"")</f>
        <v/>
      </c>
      <c r="AI56" s="175"/>
      <c r="AJ56" s="173" t="str">
        <f ca="1">IFERROR(VALUE(IF(VLOOKUP($A56,数出表_Excel!$A$6:$T$150,COLUMN()/2+1,FALSE)=0,"",VLOOKUP($A56,数出表_Excel!$A$6:$T$150,COLUMN()/2+1,FALSE))),"")</f>
        <v/>
      </c>
      <c r="AK56" s="137"/>
      <c r="AL56" s="141" t="e">
        <f ca="1">IF(A56&lt;&gt;"",
IF(VLOOKUP($A56,数出表_Excel!$A$6:$T$150,COLUMN()/2+1,FALSE)=0,"",VLOOKUP($A56,数出表_Excel!$A$6:$T$150,COLUMN()/2+1,FALSE)),"")</f>
        <v>#N/A</v>
      </c>
      <c r="AM56" s="222" t="e">
        <f>数出表_Excel!V56</f>
        <v>#N/A</v>
      </c>
      <c r="AN56" s="223" t="e">
        <f>数出表_Excel!W56</f>
        <v>#N/A</v>
      </c>
    </row>
    <row r="57" spans="1:40" ht="16.2" customHeight="1" x14ac:dyDescent="0.45">
      <c r="A57" s="185" t="e">
        <f t="array" aca="1" ref="A57" ca="1">IF(OR(COUNTIF(A55,"*1000*"),COUNTIF(A55,"")),"",INDEX(貼り付け用!$A:$A,MATCH(A55,貼り付け用!$A:$A,0)+2,0))</f>
        <v>#N/A</v>
      </c>
      <c r="B57" s="138" t="str">
        <f ca="1">IFERROR(VALUE(IF(VLOOKUP($A57,数出表_Excel!$A$6:$T$150,COLUMN()/2+1,FALSE)=0,"",VLOOKUP($A57,数出表_Excel!$A$6:$T$150,COLUMN()/2+1,FALSE))),"")</f>
        <v/>
      </c>
      <c r="C57" s="138"/>
      <c r="D57" s="138" t="str">
        <f ca="1">IFERROR(VALUE(IF(VLOOKUP($A57,数出表_Excel!$A$6:$T$150,COLUMN()/2+1,FALSE)=0,"",VLOOKUP($A57,数出表_Excel!$A$6:$T$150,COLUMN()/2+1,FALSE))),"")</f>
        <v/>
      </c>
      <c r="E57" s="138"/>
      <c r="F57" s="142" t="str">
        <f ca="1">IFERROR(VALUE(IF(VLOOKUP($A57,数出表_Excel!$A$6:$T$150,COLUMN()/2+1,FALSE)=0,"",VLOOKUP($A57,数出表_Excel!$A$6:$T$150,COLUMN()/2+1,FALSE))),"")</f>
        <v/>
      </c>
      <c r="G57" s="138"/>
      <c r="H57" s="138" t="str">
        <f ca="1">IFERROR(VALUE(IF(VLOOKUP($A57,数出表_Excel!$A$6:$T$150,COLUMN()/2+1,FALSE)=0,"",VLOOKUP($A57,数出表_Excel!$A$6:$T$150,COLUMN()/2+1,FALSE))),"")</f>
        <v/>
      </c>
      <c r="I57" s="138"/>
      <c r="J57" s="138" t="str">
        <f ca="1">IFERROR(VALUE(IF(VLOOKUP($A57,数出表_Excel!$A$6:$T$150,COLUMN()/2+1,FALSE)=0,"",VLOOKUP($A57,数出表_Excel!$A$6:$T$150,COLUMN()/2+1,FALSE))),"")</f>
        <v/>
      </c>
      <c r="K57" s="138"/>
      <c r="L57" s="142" t="str">
        <f ca="1">IFERROR(VALUE(IF(VLOOKUP($A57,数出表_Excel!$A$6:$T$150,COLUMN()/2+1,FALSE)=0,"",VLOOKUP($A57,数出表_Excel!$A$6:$T$150,COLUMN()/2+1,FALSE))),"")</f>
        <v/>
      </c>
      <c r="M57" s="138"/>
      <c r="N57" s="138" t="str">
        <f ca="1">IFERROR(VALUE(IF(VLOOKUP($A57,数出表_Excel!$A$6:$T$150,COLUMN()/2+1,FALSE)=0,"",VLOOKUP($A57,数出表_Excel!$A$6:$T$150,COLUMN()/2+1,FALSE))),"")</f>
        <v/>
      </c>
      <c r="O57" s="138"/>
      <c r="P57" s="138" t="str">
        <f ca="1">IFERROR(VALUE(IF(VLOOKUP($A57,数出表_Excel!$A$6:$T$150,COLUMN()/2+1,FALSE)=0,"",VLOOKUP($A57,数出表_Excel!$A$6:$T$150,COLUMN()/2+1,FALSE))),"")</f>
        <v/>
      </c>
      <c r="Q57" s="138"/>
      <c r="R57" s="138" t="str">
        <f ca="1">IFERROR(VALUE(IF(VLOOKUP($A57,数出表_Excel!$A$6:$T$150,COLUMN()/2+1,FALSE)=0,"",VLOOKUP($A57,数出表_Excel!$A$6:$T$150,COLUMN()/2+1,FALSE))),"")</f>
        <v/>
      </c>
      <c r="S57" s="138"/>
      <c r="T57" s="138" t="str">
        <f ca="1">IFERROR(VALUE(IF(VLOOKUP($A57,数出表_Excel!$A$6:$T$150,COLUMN()/2+1,FALSE)=0,"",VLOOKUP($A57,数出表_Excel!$A$6:$T$150,COLUMN()/2+1,FALSE))),"")</f>
        <v/>
      </c>
      <c r="U57" s="138"/>
      <c r="V57" s="142" t="str">
        <f ca="1">IFERROR(VALUE(IF(VLOOKUP($A57,数出表_Excel!$A$6:$T$150,COLUMN()/2+1,FALSE)=0,"",VLOOKUP($A57,数出表_Excel!$A$6:$T$150,COLUMN()/2+1,FALSE))),"")</f>
        <v/>
      </c>
      <c r="W57" s="138"/>
      <c r="X57" s="142" t="str">
        <f ca="1">IFERROR(VALUE(IF(VLOOKUP($A57,数出表_Excel!$A$6:$T$150,COLUMN()/2+1,FALSE)=0,"",VLOOKUP($A57,数出表_Excel!$A$6:$T$150,COLUMN()/2+1,FALSE))),"")</f>
        <v/>
      </c>
      <c r="Y57" s="138"/>
      <c r="Z57" s="142" t="str">
        <f ca="1">IFERROR(VALUE(IF(VLOOKUP($A57,数出表_Excel!$A$6:$T$150,COLUMN()/2+1,FALSE)=0,"",VLOOKUP($A57,数出表_Excel!$A$6:$T$150,COLUMN()/2+1,FALSE))),"")</f>
        <v/>
      </c>
      <c r="AA57" s="176"/>
      <c r="AB57" s="143" t="str">
        <f ca="1">IFERROR(VALUE(IF(VLOOKUP($A57,数出表_Excel!$A$6:$T$150,COLUMN()/2+1,FALSE)=0,"",VLOOKUP($A57,数出表_Excel!$A$6:$T$150,COLUMN()/2+1,FALSE))),"")</f>
        <v/>
      </c>
      <c r="AC57" s="138"/>
      <c r="AD57" s="142" t="str">
        <f ca="1">IFERROR(VALUE(IF(VLOOKUP($A57,数出表_Excel!$A$6:$T$150,COLUMN()/2+1,FALSE)=0,"",VLOOKUP($A57,数出表_Excel!$A$6:$T$150,COLUMN()/2+1,FALSE))),"")</f>
        <v/>
      </c>
      <c r="AE57" s="138"/>
      <c r="AF57" s="142" t="str">
        <f ca="1">IFERROR(VALUE(IF(VLOOKUP($A57,数出表_Excel!$A$6:$T$150,COLUMN()/2+1,FALSE)=0,"",VLOOKUP($A57,数出表_Excel!$A$6:$T$150,COLUMN()/2+1,FALSE))),"")</f>
        <v/>
      </c>
      <c r="AG57" s="138"/>
      <c r="AH57" s="142" t="str">
        <f ca="1">IFERROR(VALUE(IF(VLOOKUP($A57,数出表_Excel!$A$6:$T$150,COLUMN()/2+1,FALSE)=0,"",VLOOKUP($A57,数出表_Excel!$A$6:$T$150,COLUMN()/2+1,FALSE))),"")</f>
        <v/>
      </c>
      <c r="AI57" s="176"/>
      <c r="AJ57" s="143" t="str">
        <f ca="1">IFERROR(VALUE(IF(VLOOKUP($A57,数出表_Excel!$A$6:$T$150,COLUMN()/2+1,FALSE)=0,"",VLOOKUP($A57,数出表_Excel!$A$6:$T$150,COLUMN()/2+1,FALSE))),"")</f>
        <v/>
      </c>
      <c r="AK57" s="138"/>
      <c r="AL57" s="144" t="e">
        <f ca="1">IF(A57&lt;&gt;"",
IF(VLOOKUP($A57,数出表_Excel!$A$6:$T$150,COLUMN()/2+1,FALSE)=0,"",VLOOKUP($A57,数出表_Excel!$A$6:$T$150,COLUMN()/2+1,FALSE)),"")</f>
        <v>#N/A</v>
      </c>
      <c r="AM57" s="224" t="e">
        <f>数出表_Excel!V57</f>
        <v>#N/A</v>
      </c>
      <c r="AN57" s="225" t="e">
        <f>数出表_Excel!W57</f>
        <v>#N/A</v>
      </c>
    </row>
    <row r="58" spans="1:40" ht="16.2" customHeight="1" x14ac:dyDescent="0.45">
      <c r="A58" s="184" t="e">
        <f t="array" aca="1" ref="A58" ca="1">IF(OR(COUNTIF(A56,"*10002*"),COUNTIF(A56,"")),"",INDEX(貼り付け用!$A:$A,MATCH(A56,貼り付け用!$A:$A,0)+2,0))</f>
        <v>#N/A</v>
      </c>
      <c r="B58" s="172" t="str">
        <f ca="1">IFERROR(VALUE(IF(VLOOKUP($A58,数出表_Excel!$A$6:$T$150,COLUMN()/2+1,FALSE)=0,"",VLOOKUP($A58,数出表_Excel!$A$6:$T$150,COLUMN()/2+1,FALSE))),"")</f>
        <v/>
      </c>
      <c r="C58" s="137"/>
      <c r="D58" s="172" t="str">
        <f ca="1">IFERROR(VALUE(IF(VLOOKUP($A58,数出表_Excel!$A$6:$T$150,COLUMN()/2+1,FALSE)=0,"",VLOOKUP($A58,数出表_Excel!$A$6:$T$150,COLUMN()/2+1,FALSE))),"")</f>
        <v/>
      </c>
      <c r="E58" s="137"/>
      <c r="F58" s="174" t="str">
        <f ca="1">IFERROR(VALUE(IF(VLOOKUP($A58,数出表_Excel!$A$6:$T$150,COLUMN()/2+1,FALSE)=0,"",VLOOKUP($A58,数出表_Excel!$A$6:$T$150,COLUMN()/2+1,FALSE))),"")</f>
        <v/>
      </c>
      <c r="G58" s="137"/>
      <c r="H58" s="172" t="str">
        <f ca="1">IFERROR(VALUE(IF(VLOOKUP($A58,数出表_Excel!$A$6:$T$150,COLUMN()/2+1,FALSE)=0,"",VLOOKUP($A58,数出表_Excel!$A$6:$T$150,COLUMN()/2+1,FALSE))),"")</f>
        <v/>
      </c>
      <c r="I58" s="137"/>
      <c r="J58" s="172" t="str">
        <f ca="1">IFERROR(VALUE(IF(VLOOKUP($A58,数出表_Excel!$A$6:$T$150,COLUMN()/2+1,FALSE)=0,"",VLOOKUP($A58,数出表_Excel!$A$6:$T$150,COLUMN()/2+1,FALSE))),"")</f>
        <v/>
      </c>
      <c r="K58" s="137"/>
      <c r="L58" s="174" t="str">
        <f ca="1">IFERROR(VALUE(IF(VLOOKUP($A58,数出表_Excel!$A$6:$T$150,COLUMN()/2+1,FALSE)=0,"",VLOOKUP($A58,数出表_Excel!$A$6:$T$150,COLUMN()/2+1,FALSE))),"")</f>
        <v/>
      </c>
      <c r="M58" s="137"/>
      <c r="N58" s="172" t="str">
        <f ca="1">IFERROR(VALUE(IF(VLOOKUP($A58,数出表_Excel!$A$6:$T$150,COLUMN()/2+1,FALSE)=0,"",VLOOKUP($A58,数出表_Excel!$A$6:$T$150,COLUMN()/2+1,FALSE))),"")</f>
        <v/>
      </c>
      <c r="O58" s="137"/>
      <c r="P58" s="172" t="str">
        <f ca="1">IFERROR(VALUE(IF(VLOOKUP($A58,数出表_Excel!$A$6:$T$150,COLUMN()/2+1,FALSE)=0,"",VLOOKUP($A58,数出表_Excel!$A$6:$T$150,COLUMN()/2+1,FALSE))),"")</f>
        <v/>
      </c>
      <c r="Q58" s="137"/>
      <c r="R58" s="172" t="str">
        <f ca="1">IFERROR(VALUE(IF(VLOOKUP($A58,数出表_Excel!$A$6:$T$150,COLUMN()/2+1,FALSE)=0,"",VLOOKUP($A58,数出表_Excel!$A$6:$T$150,COLUMN()/2+1,FALSE))),"")</f>
        <v/>
      </c>
      <c r="S58" s="137"/>
      <c r="T58" s="172" t="str">
        <f ca="1">IFERROR(VALUE(IF(VLOOKUP($A58,数出表_Excel!$A$6:$T$150,COLUMN()/2+1,FALSE)=0,"",VLOOKUP($A58,数出表_Excel!$A$6:$T$150,COLUMN()/2+1,FALSE))),"")</f>
        <v/>
      </c>
      <c r="U58" s="137"/>
      <c r="V58" s="174" t="str">
        <f ca="1">IFERROR(VALUE(IF(VLOOKUP($A58,数出表_Excel!$A$6:$T$150,COLUMN()/2+1,FALSE)=0,"",VLOOKUP($A58,数出表_Excel!$A$6:$T$150,COLUMN()/2+1,FALSE))),"")</f>
        <v/>
      </c>
      <c r="W58" s="137"/>
      <c r="X58" s="174" t="str">
        <f ca="1">IFERROR(VALUE(IF(VLOOKUP($A58,数出表_Excel!$A$6:$T$150,COLUMN()/2+1,FALSE)=0,"",VLOOKUP($A58,数出表_Excel!$A$6:$T$150,COLUMN()/2+1,FALSE))),"")</f>
        <v/>
      </c>
      <c r="Y58" s="137"/>
      <c r="Z58" s="174" t="str">
        <f ca="1">IFERROR(VALUE(IF(VLOOKUP($A58,数出表_Excel!$A$6:$T$150,COLUMN()/2+1,FALSE)=0,"",VLOOKUP($A58,数出表_Excel!$A$6:$T$150,COLUMN()/2+1,FALSE))),"")</f>
        <v/>
      </c>
      <c r="AA58" s="175"/>
      <c r="AB58" s="173" t="str">
        <f ca="1">IFERROR(VALUE(IF(VLOOKUP($A58,数出表_Excel!$A$6:$T$150,COLUMN()/2+1,FALSE)=0,"",VLOOKUP($A58,数出表_Excel!$A$6:$T$150,COLUMN()/2+1,FALSE))),"")</f>
        <v/>
      </c>
      <c r="AC58" s="137"/>
      <c r="AD58" s="174" t="str">
        <f ca="1">IFERROR(VALUE(IF(VLOOKUP($A58,数出表_Excel!$A$6:$T$150,COLUMN()/2+1,FALSE)=0,"",VLOOKUP($A58,数出表_Excel!$A$6:$T$150,COLUMN()/2+1,FALSE))),"")</f>
        <v/>
      </c>
      <c r="AE58" s="137"/>
      <c r="AF58" s="174" t="str">
        <f ca="1">IFERROR(VALUE(IF(VLOOKUP($A58,数出表_Excel!$A$6:$T$150,COLUMN()/2+1,FALSE)=0,"",VLOOKUP($A58,数出表_Excel!$A$6:$T$150,COLUMN()/2+1,FALSE))),"")</f>
        <v/>
      </c>
      <c r="AG58" s="137"/>
      <c r="AH58" s="174" t="str">
        <f ca="1">IFERROR(VALUE(IF(VLOOKUP($A58,数出表_Excel!$A$6:$T$150,COLUMN()/2+1,FALSE)=0,"",VLOOKUP($A58,数出表_Excel!$A$6:$T$150,COLUMN()/2+1,FALSE))),"")</f>
        <v/>
      </c>
      <c r="AI58" s="175"/>
      <c r="AJ58" s="173" t="str">
        <f ca="1">IFERROR(VALUE(IF(VLOOKUP($A58,数出表_Excel!$A$6:$T$150,COLUMN()/2+1,FALSE)=0,"",VLOOKUP($A58,数出表_Excel!$A$6:$T$150,COLUMN()/2+1,FALSE))),"")</f>
        <v/>
      </c>
      <c r="AK58" s="137"/>
      <c r="AL58" s="141" t="e">
        <f ca="1">IF(A58&lt;&gt;"",
IF(VLOOKUP($A58,数出表_Excel!$A$6:$T$150,COLUMN()/2+1,FALSE)=0,"",VLOOKUP($A58,数出表_Excel!$A$6:$T$150,COLUMN()/2+1,FALSE)),"")</f>
        <v>#N/A</v>
      </c>
      <c r="AM58" s="222" t="e">
        <f>数出表_Excel!V58</f>
        <v>#N/A</v>
      </c>
      <c r="AN58" s="223" t="e">
        <f>数出表_Excel!W58</f>
        <v>#N/A</v>
      </c>
    </row>
    <row r="59" spans="1:40" ht="16.2" customHeight="1" x14ac:dyDescent="0.45">
      <c r="A59" s="185" t="e">
        <f t="array" aca="1" ref="A59" ca="1">IF(OR(COUNTIF(A57,"*1000*"),COUNTIF(A57,"")),"",INDEX(貼り付け用!$A:$A,MATCH(A57,貼り付け用!$A:$A,0)+2,0))</f>
        <v>#N/A</v>
      </c>
      <c r="B59" s="138" t="str">
        <f ca="1">IFERROR(VALUE(IF(VLOOKUP($A59,数出表_Excel!$A$6:$T$150,COLUMN()/2+1,FALSE)=0,"",VLOOKUP($A59,数出表_Excel!$A$6:$T$150,COLUMN()/2+1,FALSE))),"")</f>
        <v/>
      </c>
      <c r="C59" s="138"/>
      <c r="D59" s="138" t="str">
        <f ca="1">IFERROR(VALUE(IF(VLOOKUP($A59,数出表_Excel!$A$6:$T$150,COLUMN()/2+1,FALSE)=0,"",VLOOKUP($A59,数出表_Excel!$A$6:$T$150,COLUMN()/2+1,FALSE))),"")</f>
        <v/>
      </c>
      <c r="E59" s="138"/>
      <c r="F59" s="142" t="str">
        <f ca="1">IFERROR(VALUE(IF(VLOOKUP($A59,数出表_Excel!$A$6:$T$150,COLUMN()/2+1,FALSE)=0,"",VLOOKUP($A59,数出表_Excel!$A$6:$T$150,COLUMN()/2+1,FALSE))),"")</f>
        <v/>
      </c>
      <c r="G59" s="138"/>
      <c r="H59" s="138" t="str">
        <f ca="1">IFERROR(VALUE(IF(VLOOKUP($A59,数出表_Excel!$A$6:$T$150,COLUMN()/2+1,FALSE)=0,"",VLOOKUP($A59,数出表_Excel!$A$6:$T$150,COLUMN()/2+1,FALSE))),"")</f>
        <v/>
      </c>
      <c r="I59" s="138"/>
      <c r="J59" s="138" t="str">
        <f ca="1">IFERROR(VALUE(IF(VLOOKUP($A59,数出表_Excel!$A$6:$T$150,COLUMN()/2+1,FALSE)=0,"",VLOOKUP($A59,数出表_Excel!$A$6:$T$150,COLUMN()/2+1,FALSE))),"")</f>
        <v/>
      </c>
      <c r="K59" s="138"/>
      <c r="L59" s="142" t="str">
        <f ca="1">IFERROR(VALUE(IF(VLOOKUP($A59,数出表_Excel!$A$6:$T$150,COLUMN()/2+1,FALSE)=0,"",VLOOKUP($A59,数出表_Excel!$A$6:$T$150,COLUMN()/2+1,FALSE))),"")</f>
        <v/>
      </c>
      <c r="M59" s="138"/>
      <c r="N59" s="138" t="str">
        <f ca="1">IFERROR(VALUE(IF(VLOOKUP($A59,数出表_Excel!$A$6:$T$150,COLUMN()/2+1,FALSE)=0,"",VLOOKUP($A59,数出表_Excel!$A$6:$T$150,COLUMN()/2+1,FALSE))),"")</f>
        <v/>
      </c>
      <c r="O59" s="138"/>
      <c r="P59" s="138" t="str">
        <f ca="1">IFERROR(VALUE(IF(VLOOKUP($A59,数出表_Excel!$A$6:$T$150,COLUMN()/2+1,FALSE)=0,"",VLOOKUP($A59,数出表_Excel!$A$6:$T$150,COLUMN()/2+1,FALSE))),"")</f>
        <v/>
      </c>
      <c r="Q59" s="138"/>
      <c r="R59" s="138" t="str">
        <f ca="1">IFERROR(VALUE(IF(VLOOKUP($A59,数出表_Excel!$A$6:$T$150,COLUMN()/2+1,FALSE)=0,"",VLOOKUP($A59,数出表_Excel!$A$6:$T$150,COLUMN()/2+1,FALSE))),"")</f>
        <v/>
      </c>
      <c r="S59" s="138"/>
      <c r="T59" s="138" t="str">
        <f ca="1">IFERROR(VALUE(IF(VLOOKUP($A59,数出表_Excel!$A$6:$T$150,COLUMN()/2+1,FALSE)=0,"",VLOOKUP($A59,数出表_Excel!$A$6:$T$150,COLUMN()/2+1,FALSE))),"")</f>
        <v/>
      </c>
      <c r="U59" s="138"/>
      <c r="V59" s="142" t="str">
        <f ca="1">IFERROR(VALUE(IF(VLOOKUP($A59,数出表_Excel!$A$6:$T$150,COLUMN()/2+1,FALSE)=0,"",VLOOKUP($A59,数出表_Excel!$A$6:$T$150,COLUMN()/2+1,FALSE))),"")</f>
        <v/>
      </c>
      <c r="W59" s="138"/>
      <c r="X59" s="142" t="str">
        <f ca="1">IFERROR(VALUE(IF(VLOOKUP($A59,数出表_Excel!$A$6:$T$150,COLUMN()/2+1,FALSE)=0,"",VLOOKUP($A59,数出表_Excel!$A$6:$T$150,COLUMN()/2+1,FALSE))),"")</f>
        <v/>
      </c>
      <c r="Y59" s="138"/>
      <c r="Z59" s="142" t="str">
        <f ca="1">IFERROR(VALUE(IF(VLOOKUP($A59,数出表_Excel!$A$6:$T$150,COLUMN()/2+1,FALSE)=0,"",VLOOKUP($A59,数出表_Excel!$A$6:$T$150,COLUMN()/2+1,FALSE))),"")</f>
        <v/>
      </c>
      <c r="AA59" s="176"/>
      <c r="AB59" s="143" t="str">
        <f ca="1">IFERROR(VALUE(IF(VLOOKUP($A59,数出表_Excel!$A$6:$T$150,COLUMN()/2+1,FALSE)=0,"",VLOOKUP($A59,数出表_Excel!$A$6:$T$150,COLUMN()/2+1,FALSE))),"")</f>
        <v/>
      </c>
      <c r="AC59" s="138"/>
      <c r="AD59" s="142" t="str">
        <f ca="1">IFERROR(VALUE(IF(VLOOKUP($A59,数出表_Excel!$A$6:$T$150,COLUMN()/2+1,FALSE)=0,"",VLOOKUP($A59,数出表_Excel!$A$6:$T$150,COLUMN()/2+1,FALSE))),"")</f>
        <v/>
      </c>
      <c r="AE59" s="138"/>
      <c r="AF59" s="142" t="str">
        <f ca="1">IFERROR(VALUE(IF(VLOOKUP($A59,数出表_Excel!$A$6:$T$150,COLUMN()/2+1,FALSE)=0,"",VLOOKUP($A59,数出表_Excel!$A$6:$T$150,COLUMN()/2+1,FALSE))),"")</f>
        <v/>
      </c>
      <c r="AG59" s="138"/>
      <c r="AH59" s="142" t="str">
        <f ca="1">IFERROR(VALUE(IF(VLOOKUP($A59,数出表_Excel!$A$6:$T$150,COLUMN()/2+1,FALSE)=0,"",VLOOKUP($A59,数出表_Excel!$A$6:$T$150,COLUMN()/2+1,FALSE))),"")</f>
        <v/>
      </c>
      <c r="AI59" s="176"/>
      <c r="AJ59" s="143" t="str">
        <f ca="1">IFERROR(VALUE(IF(VLOOKUP($A59,数出表_Excel!$A$6:$T$150,COLUMN()/2+1,FALSE)=0,"",VLOOKUP($A59,数出表_Excel!$A$6:$T$150,COLUMN()/2+1,FALSE))),"")</f>
        <v/>
      </c>
      <c r="AK59" s="138"/>
      <c r="AL59" s="144" t="e">
        <f ca="1">IF(A59&lt;&gt;"",
IF(VLOOKUP($A59,数出表_Excel!$A$6:$T$150,COLUMN()/2+1,FALSE)=0,"",VLOOKUP($A59,数出表_Excel!$A$6:$T$150,COLUMN()/2+1,FALSE)),"")</f>
        <v>#N/A</v>
      </c>
      <c r="AM59" s="224" t="e">
        <f>数出表_Excel!V59</f>
        <v>#N/A</v>
      </c>
      <c r="AN59" s="225" t="e">
        <f>数出表_Excel!W59</f>
        <v>#N/A</v>
      </c>
    </row>
    <row r="60" spans="1:40" ht="16.2" customHeight="1" x14ac:dyDescent="0.45">
      <c r="A60" s="184" t="e">
        <f t="array" aca="1" ref="A60" ca="1">IF(OR(COUNTIF(A58,"*10002*"),COUNTIF(A58,"")),"",INDEX(貼り付け用!$A:$A,MATCH(A58,貼り付け用!$A:$A,0)+2,0))</f>
        <v>#N/A</v>
      </c>
      <c r="B60" s="172" t="str">
        <f ca="1">IFERROR(VALUE(IF(VLOOKUP($A60,数出表_Excel!$A$6:$T$150,COLUMN()/2+1,FALSE)=0,"",VLOOKUP($A60,数出表_Excel!$A$6:$T$150,COLUMN()/2+1,FALSE))),"")</f>
        <v/>
      </c>
      <c r="C60" s="137"/>
      <c r="D60" s="172" t="str">
        <f ca="1">IFERROR(VALUE(IF(VLOOKUP($A60,数出表_Excel!$A$6:$T$150,COLUMN()/2+1,FALSE)=0,"",VLOOKUP($A60,数出表_Excel!$A$6:$T$150,COLUMN()/2+1,FALSE))),"")</f>
        <v/>
      </c>
      <c r="E60" s="137"/>
      <c r="F60" s="174" t="str">
        <f ca="1">IFERROR(VALUE(IF(VLOOKUP($A60,数出表_Excel!$A$6:$T$150,COLUMN()/2+1,FALSE)=0,"",VLOOKUP($A60,数出表_Excel!$A$6:$T$150,COLUMN()/2+1,FALSE))),"")</f>
        <v/>
      </c>
      <c r="G60" s="137"/>
      <c r="H60" s="172" t="str">
        <f ca="1">IFERROR(VALUE(IF(VLOOKUP($A60,数出表_Excel!$A$6:$T$150,COLUMN()/2+1,FALSE)=0,"",VLOOKUP($A60,数出表_Excel!$A$6:$T$150,COLUMN()/2+1,FALSE))),"")</f>
        <v/>
      </c>
      <c r="I60" s="137"/>
      <c r="J60" s="172" t="str">
        <f ca="1">IFERROR(VALUE(IF(VLOOKUP($A60,数出表_Excel!$A$6:$T$150,COLUMN()/2+1,FALSE)=0,"",VLOOKUP($A60,数出表_Excel!$A$6:$T$150,COLUMN()/2+1,FALSE))),"")</f>
        <v/>
      </c>
      <c r="K60" s="137"/>
      <c r="L60" s="174" t="str">
        <f ca="1">IFERROR(VALUE(IF(VLOOKUP($A60,数出表_Excel!$A$6:$T$150,COLUMN()/2+1,FALSE)=0,"",VLOOKUP($A60,数出表_Excel!$A$6:$T$150,COLUMN()/2+1,FALSE))),"")</f>
        <v/>
      </c>
      <c r="M60" s="137"/>
      <c r="N60" s="172" t="str">
        <f ca="1">IFERROR(VALUE(IF(VLOOKUP($A60,数出表_Excel!$A$6:$T$150,COLUMN()/2+1,FALSE)=0,"",VLOOKUP($A60,数出表_Excel!$A$6:$T$150,COLUMN()/2+1,FALSE))),"")</f>
        <v/>
      </c>
      <c r="O60" s="137"/>
      <c r="P60" s="172" t="str">
        <f ca="1">IFERROR(VALUE(IF(VLOOKUP($A60,数出表_Excel!$A$6:$T$150,COLUMN()/2+1,FALSE)=0,"",VLOOKUP($A60,数出表_Excel!$A$6:$T$150,COLUMN()/2+1,FALSE))),"")</f>
        <v/>
      </c>
      <c r="Q60" s="137"/>
      <c r="R60" s="172" t="str">
        <f ca="1">IFERROR(VALUE(IF(VLOOKUP($A60,数出表_Excel!$A$6:$T$150,COLUMN()/2+1,FALSE)=0,"",VLOOKUP($A60,数出表_Excel!$A$6:$T$150,COLUMN()/2+1,FALSE))),"")</f>
        <v/>
      </c>
      <c r="S60" s="137"/>
      <c r="T60" s="172" t="str">
        <f ca="1">IFERROR(VALUE(IF(VLOOKUP($A60,数出表_Excel!$A$6:$T$150,COLUMN()/2+1,FALSE)=0,"",VLOOKUP($A60,数出表_Excel!$A$6:$T$150,COLUMN()/2+1,FALSE))),"")</f>
        <v/>
      </c>
      <c r="U60" s="137"/>
      <c r="V60" s="174" t="str">
        <f ca="1">IFERROR(VALUE(IF(VLOOKUP($A60,数出表_Excel!$A$6:$T$150,COLUMN()/2+1,FALSE)=0,"",VLOOKUP($A60,数出表_Excel!$A$6:$T$150,COLUMN()/2+1,FALSE))),"")</f>
        <v/>
      </c>
      <c r="W60" s="137"/>
      <c r="X60" s="174" t="str">
        <f ca="1">IFERROR(VALUE(IF(VLOOKUP($A60,数出表_Excel!$A$6:$T$150,COLUMN()/2+1,FALSE)=0,"",VLOOKUP($A60,数出表_Excel!$A$6:$T$150,COLUMN()/2+1,FALSE))),"")</f>
        <v/>
      </c>
      <c r="Y60" s="137"/>
      <c r="Z60" s="174" t="str">
        <f ca="1">IFERROR(VALUE(IF(VLOOKUP($A60,数出表_Excel!$A$6:$T$150,COLUMN()/2+1,FALSE)=0,"",VLOOKUP($A60,数出表_Excel!$A$6:$T$150,COLUMN()/2+1,FALSE))),"")</f>
        <v/>
      </c>
      <c r="AA60" s="175"/>
      <c r="AB60" s="173" t="str">
        <f ca="1">IFERROR(VALUE(IF(VLOOKUP($A60,数出表_Excel!$A$6:$T$150,COLUMN()/2+1,FALSE)=0,"",VLOOKUP($A60,数出表_Excel!$A$6:$T$150,COLUMN()/2+1,FALSE))),"")</f>
        <v/>
      </c>
      <c r="AC60" s="137"/>
      <c r="AD60" s="174" t="str">
        <f ca="1">IFERROR(VALUE(IF(VLOOKUP($A60,数出表_Excel!$A$6:$T$150,COLUMN()/2+1,FALSE)=0,"",VLOOKUP($A60,数出表_Excel!$A$6:$T$150,COLUMN()/2+1,FALSE))),"")</f>
        <v/>
      </c>
      <c r="AE60" s="137"/>
      <c r="AF60" s="174" t="str">
        <f ca="1">IFERROR(VALUE(IF(VLOOKUP($A60,数出表_Excel!$A$6:$T$150,COLUMN()/2+1,FALSE)=0,"",VLOOKUP($A60,数出表_Excel!$A$6:$T$150,COLUMN()/2+1,FALSE))),"")</f>
        <v/>
      </c>
      <c r="AG60" s="137"/>
      <c r="AH60" s="174" t="str">
        <f ca="1">IFERROR(VALUE(IF(VLOOKUP($A60,数出表_Excel!$A$6:$T$150,COLUMN()/2+1,FALSE)=0,"",VLOOKUP($A60,数出表_Excel!$A$6:$T$150,COLUMN()/2+1,FALSE))),"")</f>
        <v/>
      </c>
      <c r="AI60" s="175"/>
      <c r="AJ60" s="173" t="str">
        <f ca="1">IFERROR(VALUE(IF(VLOOKUP($A60,数出表_Excel!$A$6:$T$150,COLUMN()/2+1,FALSE)=0,"",VLOOKUP($A60,数出表_Excel!$A$6:$T$150,COLUMN()/2+1,FALSE))),"")</f>
        <v/>
      </c>
      <c r="AK60" s="137"/>
      <c r="AL60" s="141" t="e">
        <f ca="1">IF(A60&lt;&gt;"",
IF(VLOOKUP($A60,数出表_Excel!$A$6:$T$150,COLUMN()/2+1,FALSE)=0,"",VLOOKUP($A60,数出表_Excel!$A$6:$T$150,COLUMN()/2+1,FALSE)),"")</f>
        <v>#N/A</v>
      </c>
      <c r="AM60" s="222" t="e">
        <f>数出表_Excel!V60</f>
        <v>#N/A</v>
      </c>
      <c r="AN60" s="223" t="e">
        <f>数出表_Excel!W60</f>
        <v>#N/A</v>
      </c>
    </row>
    <row r="61" spans="1:40" ht="16.2" customHeight="1" x14ac:dyDescent="0.45">
      <c r="A61" s="185" t="e">
        <f t="array" aca="1" ref="A61" ca="1">IF(OR(COUNTIF(A59,"*1000*"),COUNTIF(A59,"")),"",INDEX(貼り付け用!$A:$A,MATCH(A59,貼り付け用!$A:$A,0)+2,0))</f>
        <v>#N/A</v>
      </c>
      <c r="B61" s="138" t="str">
        <f ca="1">IFERROR(VALUE(IF(VLOOKUP($A61,数出表_Excel!$A$6:$T$150,COLUMN()/2+1,FALSE)=0,"",VLOOKUP($A61,数出表_Excel!$A$6:$T$150,COLUMN()/2+1,FALSE))),"")</f>
        <v/>
      </c>
      <c r="C61" s="138"/>
      <c r="D61" s="138" t="str">
        <f ca="1">IFERROR(VALUE(IF(VLOOKUP($A61,数出表_Excel!$A$6:$T$150,COLUMN()/2+1,FALSE)=0,"",VLOOKUP($A61,数出表_Excel!$A$6:$T$150,COLUMN()/2+1,FALSE))),"")</f>
        <v/>
      </c>
      <c r="E61" s="138"/>
      <c r="F61" s="142" t="str">
        <f ca="1">IFERROR(VALUE(IF(VLOOKUP($A61,数出表_Excel!$A$6:$T$150,COLUMN()/2+1,FALSE)=0,"",VLOOKUP($A61,数出表_Excel!$A$6:$T$150,COLUMN()/2+1,FALSE))),"")</f>
        <v/>
      </c>
      <c r="G61" s="138"/>
      <c r="H61" s="138" t="str">
        <f ca="1">IFERROR(VALUE(IF(VLOOKUP($A61,数出表_Excel!$A$6:$T$150,COLUMN()/2+1,FALSE)=0,"",VLOOKUP($A61,数出表_Excel!$A$6:$T$150,COLUMN()/2+1,FALSE))),"")</f>
        <v/>
      </c>
      <c r="I61" s="138"/>
      <c r="J61" s="138" t="str">
        <f ca="1">IFERROR(VALUE(IF(VLOOKUP($A61,数出表_Excel!$A$6:$T$150,COLUMN()/2+1,FALSE)=0,"",VLOOKUP($A61,数出表_Excel!$A$6:$T$150,COLUMN()/2+1,FALSE))),"")</f>
        <v/>
      </c>
      <c r="K61" s="138"/>
      <c r="L61" s="142" t="str">
        <f ca="1">IFERROR(VALUE(IF(VLOOKUP($A61,数出表_Excel!$A$6:$T$150,COLUMN()/2+1,FALSE)=0,"",VLOOKUP($A61,数出表_Excel!$A$6:$T$150,COLUMN()/2+1,FALSE))),"")</f>
        <v/>
      </c>
      <c r="M61" s="138"/>
      <c r="N61" s="138" t="str">
        <f ca="1">IFERROR(VALUE(IF(VLOOKUP($A61,数出表_Excel!$A$6:$T$150,COLUMN()/2+1,FALSE)=0,"",VLOOKUP($A61,数出表_Excel!$A$6:$T$150,COLUMN()/2+1,FALSE))),"")</f>
        <v/>
      </c>
      <c r="O61" s="138"/>
      <c r="P61" s="138" t="str">
        <f ca="1">IFERROR(VALUE(IF(VLOOKUP($A61,数出表_Excel!$A$6:$T$150,COLUMN()/2+1,FALSE)=0,"",VLOOKUP($A61,数出表_Excel!$A$6:$T$150,COLUMN()/2+1,FALSE))),"")</f>
        <v/>
      </c>
      <c r="Q61" s="138"/>
      <c r="R61" s="138" t="str">
        <f ca="1">IFERROR(VALUE(IF(VLOOKUP($A61,数出表_Excel!$A$6:$T$150,COLUMN()/2+1,FALSE)=0,"",VLOOKUP($A61,数出表_Excel!$A$6:$T$150,COLUMN()/2+1,FALSE))),"")</f>
        <v/>
      </c>
      <c r="S61" s="138"/>
      <c r="T61" s="138" t="str">
        <f ca="1">IFERROR(VALUE(IF(VLOOKUP($A61,数出表_Excel!$A$6:$T$150,COLUMN()/2+1,FALSE)=0,"",VLOOKUP($A61,数出表_Excel!$A$6:$T$150,COLUMN()/2+1,FALSE))),"")</f>
        <v/>
      </c>
      <c r="U61" s="138"/>
      <c r="V61" s="142" t="str">
        <f ca="1">IFERROR(VALUE(IF(VLOOKUP($A61,数出表_Excel!$A$6:$T$150,COLUMN()/2+1,FALSE)=0,"",VLOOKUP($A61,数出表_Excel!$A$6:$T$150,COLUMN()/2+1,FALSE))),"")</f>
        <v/>
      </c>
      <c r="W61" s="138"/>
      <c r="X61" s="142" t="str">
        <f ca="1">IFERROR(VALUE(IF(VLOOKUP($A61,数出表_Excel!$A$6:$T$150,COLUMN()/2+1,FALSE)=0,"",VLOOKUP($A61,数出表_Excel!$A$6:$T$150,COLUMN()/2+1,FALSE))),"")</f>
        <v/>
      </c>
      <c r="Y61" s="138"/>
      <c r="Z61" s="142" t="str">
        <f ca="1">IFERROR(VALUE(IF(VLOOKUP($A61,数出表_Excel!$A$6:$T$150,COLUMN()/2+1,FALSE)=0,"",VLOOKUP($A61,数出表_Excel!$A$6:$T$150,COLUMN()/2+1,FALSE))),"")</f>
        <v/>
      </c>
      <c r="AA61" s="176"/>
      <c r="AB61" s="143" t="str">
        <f ca="1">IFERROR(VALUE(IF(VLOOKUP($A61,数出表_Excel!$A$6:$T$150,COLUMN()/2+1,FALSE)=0,"",VLOOKUP($A61,数出表_Excel!$A$6:$T$150,COLUMN()/2+1,FALSE))),"")</f>
        <v/>
      </c>
      <c r="AC61" s="138"/>
      <c r="AD61" s="142" t="str">
        <f ca="1">IFERROR(VALUE(IF(VLOOKUP($A61,数出表_Excel!$A$6:$T$150,COLUMN()/2+1,FALSE)=0,"",VLOOKUP($A61,数出表_Excel!$A$6:$T$150,COLUMN()/2+1,FALSE))),"")</f>
        <v/>
      </c>
      <c r="AE61" s="138"/>
      <c r="AF61" s="142" t="str">
        <f ca="1">IFERROR(VALUE(IF(VLOOKUP($A61,数出表_Excel!$A$6:$T$150,COLUMN()/2+1,FALSE)=0,"",VLOOKUP($A61,数出表_Excel!$A$6:$T$150,COLUMN()/2+1,FALSE))),"")</f>
        <v/>
      </c>
      <c r="AG61" s="138"/>
      <c r="AH61" s="142" t="str">
        <f ca="1">IFERROR(VALUE(IF(VLOOKUP($A61,数出表_Excel!$A$6:$T$150,COLUMN()/2+1,FALSE)=0,"",VLOOKUP($A61,数出表_Excel!$A$6:$T$150,COLUMN()/2+1,FALSE))),"")</f>
        <v/>
      </c>
      <c r="AI61" s="176"/>
      <c r="AJ61" s="143" t="str">
        <f ca="1">IFERROR(VALUE(IF(VLOOKUP($A61,数出表_Excel!$A$6:$T$150,COLUMN()/2+1,FALSE)=0,"",VLOOKUP($A61,数出表_Excel!$A$6:$T$150,COLUMN()/2+1,FALSE))),"")</f>
        <v/>
      </c>
      <c r="AK61" s="138"/>
      <c r="AL61" s="144" t="e">
        <f ca="1">IF(A61&lt;&gt;"",
IF(VLOOKUP($A61,数出表_Excel!$A$6:$T$150,COLUMN()/2+1,FALSE)=0,"",VLOOKUP($A61,数出表_Excel!$A$6:$T$150,COLUMN()/2+1,FALSE)),"")</f>
        <v>#N/A</v>
      </c>
      <c r="AM61" s="224" t="e">
        <f>数出表_Excel!V61</f>
        <v>#N/A</v>
      </c>
      <c r="AN61" s="225" t="e">
        <f>数出表_Excel!W61</f>
        <v>#N/A</v>
      </c>
    </row>
    <row r="62" spans="1:40" ht="16.2" customHeight="1" x14ac:dyDescent="0.45">
      <c r="A62" s="184" t="e">
        <f t="array" aca="1" ref="A62" ca="1">IF(OR(COUNTIF(A60,"*10002*"),COUNTIF(A60,"")),"",INDEX(貼り付け用!$A:$A,MATCH(A60,貼り付け用!$A:$A,0)+2,0))</f>
        <v>#N/A</v>
      </c>
      <c r="B62" s="172" t="str">
        <f ca="1">IFERROR(VALUE(IF(VLOOKUP($A62,数出表_Excel!$A$6:$T$150,COLUMN()/2+1,FALSE)=0,"",VLOOKUP($A62,数出表_Excel!$A$6:$T$150,COLUMN()/2+1,FALSE))),"")</f>
        <v/>
      </c>
      <c r="C62" s="137"/>
      <c r="D62" s="172" t="str">
        <f ca="1">IFERROR(VALUE(IF(VLOOKUP($A62,数出表_Excel!$A$6:$T$150,COLUMN()/2+1,FALSE)=0,"",VLOOKUP($A62,数出表_Excel!$A$6:$T$150,COLUMN()/2+1,FALSE))),"")</f>
        <v/>
      </c>
      <c r="E62" s="137"/>
      <c r="F62" s="174" t="str">
        <f ca="1">IFERROR(VALUE(IF(VLOOKUP($A62,数出表_Excel!$A$6:$T$150,COLUMN()/2+1,FALSE)=0,"",VLOOKUP($A62,数出表_Excel!$A$6:$T$150,COLUMN()/2+1,FALSE))),"")</f>
        <v/>
      </c>
      <c r="G62" s="137"/>
      <c r="H62" s="172" t="str">
        <f ca="1">IFERROR(VALUE(IF(VLOOKUP($A62,数出表_Excel!$A$6:$T$150,COLUMN()/2+1,FALSE)=0,"",VLOOKUP($A62,数出表_Excel!$A$6:$T$150,COLUMN()/2+1,FALSE))),"")</f>
        <v/>
      </c>
      <c r="I62" s="137"/>
      <c r="J62" s="172" t="str">
        <f ca="1">IFERROR(VALUE(IF(VLOOKUP($A62,数出表_Excel!$A$6:$T$150,COLUMN()/2+1,FALSE)=0,"",VLOOKUP($A62,数出表_Excel!$A$6:$T$150,COLUMN()/2+1,FALSE))),"")</f>
        <v/>
      </c>
      <c r="K62" s="137"/>
      <c r="L62" s="174" t="str">
        <f ca="1">IFERROR(VALUE(IF(VLOOKUP($A62,数出表_Excel!$A$6:$T$150,COLUMN()/2+1,FALSE)=0,"",VLOOKUP($A62,数出表_Excel!$A$6:$T$150,COLUMN()/2+1,FALSE))),"")</f>
        <v/>
      </c>
      <c r="M62" s="137"/>
      <c r="N62" s="172" t="str">
        <f ca="1">IFERROR(VALUE(IF(VLOOKUP($A62,数出表_Excel!$A$6:$T$150,COLUMN()/2+1,FALSE)=0,"",VLOOKUP($A62,数出表_Excel!$A$6:$T$150,COLUMN()/2+1,FALSE))),"")</f>
        <v/>
      </c>
      <c r="O62" s="137"/>
      <c r="P62" s="172" t="str">
        <f ca="1">IFERROR(VALUE(IF(VLOOKUP($A62,数出表_Excel!$A$6:$T$150,COLUMN()/2+1,FALSE)=0,"",VLOOKUP($A62,数出表_Excel!$A$6:$T$150,COLUMN()/2+1,FALSE))),"")</f>
        <v/>
      </c>
      <c r="Q62" s="137"/>
      <c r="R62" s="172" t="str">
        <f ca="1">IFERROR(VALUE(IF(VLOOKUP($A62,数出表_Excel!$A$6:$T$150,COLUMN()/2+1,FALSE)=0,"",VLOOKUP($A62,数出表_Excel!$A$6:$T$150,COLUMN()/2+1,FALSE))),"")</f>
        <v/>
      </c>
      <c r="S62" s="137"/>
      <c r="T62" s="172" t="str">
        <f ca="1">IFERROR(VALUE(IF(VLOOKUP($A62,数出表_Excel!$A$6:$T$150,COLUMN()/2+1,FALSE)=0,"",VLOOKUP($A62,数出表_Excel!$A$6:$T$150,COLUMN()/2+1,FALSE))),"")</f>
        <v/>
      </c>
      <c r="U62" s="137"/>
      <c r="V62" s="174" t="str">
        <f ca="1">IFERROR(VALUE(IF(VLOOKUP($A62,数出表_Excel!$A$6:$T$150,COLUMN()/2+1,FALSE)=0,"",VLOOKUP($A62,数出表_Excel!$A$6:$T$150,COLUMN()/2+1,FALSE))),"")</f>
        <v/>
      </c>
      <c r="W62" s="137"/>
      <c r="X62" s="174" t="str">
        <f ca="1">IFERROR(VALUE(IF(VLOOKUP($A62,数出表_Excel!$A$6:$T$150,COLUMN()/2+1,FALSE)=0,"",VLOOKUP($A62,数出表_Excel!$A$6:$T$150,COLUMN()/2+1,FALSE))),"")</f>
        <v/>
      </c>
      <c r="Y62" s="137"/>
      <c r="Z62" s="174" t="str">
        <f ca="1">IFERROR(VALUE(IF(VLOOKUP($A62,数出表_Excel!$A$6:$T$150,COLUMN()/2+1,FALSE)=0,"",VLOOKUP($A62,数出表_Excel!$A$6:$T$150,COLUMN()/2+1,FALSE))),"")</f>
        <v/>
      </c>
      <c r="AA62" s="175"/>
      <c r="AB62" s="173" t="str">
        <f ca="1">IFERROR(VALUE(IF(VLOOKUP($A62,数出表_Excel!$A$6:$T$150,COLUMN()/2+1,FALSE)=0,"",VLOOKUP($A62,数出表_Excel!$A$6:$T$150,COLUMN()/2+1,FALSE))),"")</f>
        <v/>
      </c>
      <c r="AC62" s="137"/>
      <c r="AD62" s="174" t="str">
        <f ca="1">IFERROR(VALUE(IF(VLOOKUP($A62,数出表_Excel!$A$6:$T$150,COLUMN()/2+1,FALSE)=0,"",VLOOKUP($A62,数出表_Excel!$A$6:$T$150,COLUMN()/2+1,FALSE))),"")</f>
        <v/>
      </c>
      <c r="AE62" s="137"/>
      <c r="AF62" s="174" t="str">
        <f ca="1">IFERROR(VALUE(IF(VLOOKUP($A62,数出表_Excel!$A$6:$T$150,COLUMN()/2+1,FALSE)=0,"",VLOOKUP($A62,数出表_Excel!$A$6:$T$150,COLUMN()/2+1,FALSE))),"")</f>
        <v/>
      </c>
      <c r="AG62" s="137"/>
      <c r="AH62" s="174" t="str">
        <f ca="1">IFERROR(VALUE(IF(VLOOKUP($A62,数出表_Excel!$A$6:$T$150,COLUMN()/2+1,FALSE)=0,"",VLOOKUP($A62,数出表_Excel!$A$6:$T$150,COLUMN()/2+1,FALSE))),"")</f>
        <v/>
      </c>
      <c r="AI62" s="175"/>
      <c r="AJ62" s="173" t="str">
        <f ca="1">IFERROR(VALUE(IF(VLOOKUP($A62,数出表_Excel!$A$6:$T$150,COLUMN()/2+1,FALSE)=0,"",VLOOKUP($A62,数出表_Excel!$A$6:$T$150,COLUMN()/2+1,FALSE))),"")</f>
        <v/>
      </c>
      <c r="AK62" s="137"/>
      <c r="AL62" s="141" t="e">
        <f ca="1">IF(A62&lt;&gt;"",
IF(VLOOKUP($A62,数出表_Excel!$A$6:$T$150,COLUMN()/2+1,FALSE)=0,"",VLOOKUP($A62,数出表_Excel!$A$6:$T$150,COLUMN()/2+1,FALSE)),"")</f>
        <v>#N/A</v>
      </c>
      <c r="AM62" s="222" t="e">
        <f>数出表_Excel!V62</f>
        <v>#N/A</v>
      </c>
      <c r="AN62" s="223" t="e">
        <f>数出表_Excel!W62</f>
        <v>#N/A</v>
      </c>
    </row>
    <row r="63" spans="1:40" ht="16.2" customHeight="1" x14ac:dyDescent="0.45">
      <c r="A63" s="185" t="e">
        <f t="array" aca="1" ref="A63" ca="1">IF(OR(COUNTIF(A61,"*1000*"),COUNTIF(A61,"")),"",INDEX(貼り付け用!$A:$A,MATCH(A61,貼り付け用!$A:$A,0)+2,0))</f>
        <v>#N/A</v>
      </c>
      <c r="B63" s="138" t="str">
        <f ca="1">IFERROR(VALUE(IF(VLOOKUP($A63,数出表_Excel!$A$6:$T$150,COLUMN()/2+1,FALSE)=0,"",VLOOKUP($A63,数出表_Excel!$A$6:$T$150,COLUMN()/2+1,FALSE))),"")</f>
        <v/>
      </c>
      <c r="C63" s="138"/>
      <c r="D63" s="138" t="str">
        <f ca="1">IFERROR(VALUE(IF(VLOOKUP($A63,数出表_Excel!$A$6:$T$150,COLUMN()/2+1,FALSE)=0,"",VLOOKUP($A63,数出表_Excel!$A$6:$T$150,COLUMN()/2+1,FALSE))),"")</f>
        <v/>
      </c>
      <c r="E63" s="138"/>
      <c r="F63" s="142" t="str">
        <f ca="1">IFERROR(VALUE(IF(VLOOKUP($A63,数出表_Excel!$A$6:$T$150,COLUMN()/2+1,FALSE)=0,"",VLOOKUP($A63,数出表_Excel!$A$6:$T$150,COLUMN()/2+1,FALSE))),"")</f>
        <v/>
      </c>
      <c r="G63" s="138"/>
      <c r="H63" s="138" t="str">
        <f ca="1">IFERROR(VALUE(IF(VLOOKUP($A63,数出表_Excel!$A$6:$T$150,COLUMN()/2+1,FALSE)=0,"",VLOOKUP($A63,数出表_Excel!$A$6:$T$150,COLUMN()/2+1,FALSE))),"")</f>
        <v/>
      </c>
      <c r="I63" s="138"/>
      <c r="J63" s="138" t="str">
        <f ca="1">IFERROR(VALUE(IF(VLOOKUP($A63,数出表_Excel!$A$6:$T$150,COLUMN()/2+1,FALSE)=0,"",VLOOKUP($A63,数出表_Excel!$A$6:$T$150,COLUMN()/2+1,FALSE))),"")</f>
        <v/>
      </c>
      <c r="K63" s="138"/>
      <c r="L63" s="142" t="str">
        <f ca="1">IFERROR(VALUE(IF(VLOOKUP($A63,数出表_Excel!$A$6:$T$150,COLUMN()/2+1,FALSE)=0,"",VLOOKUP($A63,数出表_Excel!$A$6:$T$150,COLUMN()/2+1,FALSE))),"")</f>
        <v/>
      </c>
      <c r="M63" s="138"/>
      <c r="N63" s="138" t="str">
        <f ca="1">IFERROR(VALUE(IF(VLOOKUP($A63,数出表_Excel!$A$6:$T$150,COLUMN()/2+1,FALSE)=0,"",VLOOKUP($A63,数出表_Excel!$A$6:$T$150,COLUMN()/2+1,FALSE))),"")</f>
        <v/>
      </c>
      <c r="O63" s="138"/>
      <c r="P63" s="138" t="str">
        <f ca="1">IFERROR(VALUE(IF(VLOOKUP($A63,数出表_Excel!$A$6:$T$150,COLUMN()/2+1,FALSE)=0,"",VLOOKUP($A63,数出表_Excel!$A$6:$T$150,COLUMN()/2+1,FALSE))),"")</f>
        <v/>
      </c>
      <c r="Q63" s="138"/>
      <c r="R63" s="138" t="str">
        <f ca="1">IFERROR(VALUE(IF(VLOOKUP($A63,数出表_Excel!$A$6:$T$150,COLUMN()/2+1,FALSE)=0,"",VLOOKUP($A63,数出表_Excel!$A$6:$T$150,COLUMN()/2+1,FALSE))),"")</f>
        <v/>
      </c>
      <c r="S63" s="138"/>
      <c r="T63" s="138" t="str">
        <f ca="1">IFERROR(VALUE(IF(VLOOKUP($A63,数出表_Excel!$A$6:$T$150,COLUMN()/2+1,FALSE)=0,"",VLOOKUP($A63,数出表_Excel!$A$6:$T$150,COLUMN()/2+1,FALSE))),"")</f>
        <v/>
      </c>
      <c r="U63" s="138"/>
      <c r="V63" s="142" t="str">
        <f ca="1">IFERROR(VALUE(IF(VLOOKUP($A63,数出表_Excel!$A$6:$T$150,COLUMN()/2+1,FALSE)=0,"",VLOOKUP($A63,数出表_Excel!$A$6:$T$150,COLUMN()/2+1,FALSE))),"")</f>
        <v/>
      </c>
      <c r="W63" s="138"/>
      <c r="X63" s="142" t="str">
        <f ca="1">IFERROR(VALUE(IF(VLOOKUP($A63,数出表_Excel!$A$6:$T$150,COLUMN()/2+1,FALSE)=0,"",VLOOKUP($A63,数出表_Excel!$A$6:$T$150,COLUMN()/2+1,FALSE))),"")</f>
        <v/>
      </c>
      <c r="Y63" s="138"/>
      <c r="Z63" s="142" t="str">
        <f ca="1">IFERROR(VALUE(IF(VLOOKUP($A63,数出表_Excel!$A$6:$T$150,COLUMN()/2+1,FALSE)=0,"",VLOOKUP($A63,数出表_Excel!$A$6:$T$150,COLUMN()/2+1,FALSE))),"")</f>
        <v/>
      </c>
      <c r="AA63" s="176"/>
      <c r="AB63" s="143" t="str">
        <f ca="1">IFERROR(VALUE(IF(VLOOKUP($A63,数出表_Excel!$A$6:$T$150,COLUMN()/2+1,FALSE)=0,"",VLOOKUP($A63,数出表_Excel!$A$6:$T$150,COLUMN()/2+1,FALSE))),"")</f>
        <v/>
      </c>
      <c r="AC63" s="138"/>
      <c r="AD63" s="142" t="str">
        <f ca="1">IFERROR(VALUE(IF(VLOOKUP($A63,数出表_Excel!$A$6:$T$150,COLUMN()/2+1,FALSE)=0,"",VLOOKUP($A63,数出表_Excel!$A$6:$T$150,COLUMN()/2+1,FALSE))),"")</f>
        <v/>
      </c>
      <c r="AE63" s="138"/>
      <c r="AF63" s="142" t="str">
        <f ca="1">IFERROR(VALUE(IF(VLOOKUP($A63,数出表_Excel!$A$6:$T$150,COLUMN()/2+1,FALSE)=0,"",VLOOKUP($A63,数出表_Excel!$A$6:$T$150,COLUMN()/2+1,FALSE))),"")</f>
        <v/>
      </c>
      <c r="AG63" s="138"/>
      <c r="AH63" s="142" t="str">
        <f ca="1">IFERROR(VALUE(IF(VLOOKUP($A63,数出表_Excel!$A$6:$T$150,COLUMN()/2+1,FALSE)=0,"",VLOOKUP($A63,数出表_Excel!$A$6:$T$150,COLUMN()/2+1,FALSE))),"")</f>
        <v/>
      </c>
      <c r="AI63" s="176"/>
      <c r="AJ63" s="143" t="str">
        <f ca="1">IFERROR(VALUE(IF(VLOOKUP($A63,数出表_Excel!$A$6:$T$150,COLUMN()/2+1,FALSE)=0,"",VLOOKUP($A63,数出表_Excel!$A$6:$T$150,COLUMN()/2+1,FALSE))),"")</f>
        <v/>
      </c>
      <c r="AK63" s="138"/>
      <c r="AL63" s="144" t="e">
        <f ca="1">IF(A63&lt;&gt;"",
IF(VLOOKUP($A63,数出表_Excel!$A$6:$T$150,COLUMN()/2+1,FALSE)=0,"",VLOOKUP($A63,数出表_Excel!$A$6:$T$150,COLUMN()/2+1,FALSE)),"")</f>
        <v>#N/A</v>
      </c>
      <c r="AM63" s="224" t="e">
        <f>数出表_Excel!V63</f>
        <v>#N/A</v>
      </c>
      <c r="AN63" s="225" t="e">
        <f>数出表_Excel!W63</f>
        <v>#N/A</v>
      </c>
    </row>
    <row r="64" spans="1:40" ht="16.2" customHeight="1" x14ac:dyDescent="0.45">
      <c r="A64" s="184" t="e">
        <f t="array" aca="1" ref="A64" ca="1">IF(OR(COUNTIF(A62,"*10002*"),COUNTIF(A62,"")),"",INDEX(貼り付け用!$A:$A,MATCH(A62,貼り付け用!$A:$A,0)+2,0))</f>
        <v>#N/A</v>
      </c>
      <c r="B64" s="172" t="str">
        <f ca="1">IFERROR(VALUE(IF(VLOOKUP($A64,数出表_Excel!$A$6:$T$150,COLUMN()/2+1,FALSE)=0,"",VLOOKUP($A64,数出表_Excel!$A$6:$T$150,COLUMN()/2+1,FALSE))),"")</f>
        <v/>
      </c>
      <c r="C64" s="137"/>
      <c r="D64" s="172" t="str">
        <f ca="1">IFERROR(VALUE(IF(VLOOKUP($A64,数出表_Excel!$A$6:$T$150,COLUMN()/2+1,FALSE)=0,"",VLOOKUP($A64,数出表_Excel!$A$6:$T$150,COLUMN()/2+1,FALSE))),"")</f>
        <v/>
      </c>
      <c r="E64" s="137"/>
      <c r="F64" s="174" t="str">
        <f ca="1">IFERROR(VALUE(IF(VLOOKUP($A64,数出表_Excel!$A$6:$T$150,COLUMN()/2+1,FALSE)=0,"",VLOOKUP($A64,数出表_Excel!$A$6:$T$150,COLUMN()/2+1,FALSE))),"")</f>
        <v/>
      </c>
      <c r="G64" s="137"/>
      <c r="H64" s="172" t="str">
        <f ca="1">IFERROR(VALUE(IF(VLOOKUP($A64,数出表_Excel!$A$6:$T$150,COLUMN()/2+1,FALSE)=0,"",VLOOKUP($A64,数出表_Excel!$A$6:$T$150,COLUMN()/2+1,FALSE))),"")</f>
        <v/>
      </c>
      <c r="I64" s="137"/>
      <c r="J64" s="172" t="str">
        <f ca="1">IFERROR(VALUE(IF(VLOOKUP($A64,数出表_Excel!$A$6:$T$150,COLUMN()/2+1,FALSE)=0,"",VLOOKUP($A64,数出表_Excel!$A$6:$T$150,COLUMN()/2+1,FALSE))),"")</f>
        <v/>
      </c>
      <c r="K64" s="137"/>
      <c r="L64" s="174" t="str">
        <f ca="1">IFERROR(VALUE(IF(VLOOKUP($A64,数出表_Excel!$A$6:$T$150,COLUMN()/2+1,FALSE)=0,"",VLOOKUP($A64,数出表_Excel!$A$6:$T$150,COLUMN()/2+1,FALSE))),"")</f>
        <v/>
      </c>
      <c r="M64" s="137"/>
      <c r="N64" s="172" t="str">
        <f ca="1">IFERROR(VALUE(IF(VLOOKUP($A64,数出表_Excel!$A$6:$T$150,COLUMN()/2+1,FALSE)=0,"",VLOOKUP($A64,数出表_Excel!$A$6:$T$150,COLUMN()/2+1,FALSE))),"")</f>
        <v/>
      </c>
      <c r="O64" s="137"/>
      <c r="P64" s="172" t="str">
        <f ca="1">IFERROR(VALUE(IF(VLOOKUP($A64,数出表_Excel!$A$6:$T$150,COLUMN()/2+1,FALSE)=0,"",VLOOKUP($A64,数出表_Excel!$A$6:$T$150,COLUMN()/2+1,FALSE))),"")</f>
        <v/>
      </c>
      <c r="Q64" s="137"/>
      <c r="R64" s="172" t="str">
        <f ca="1">IFERROR(VALUE(IF(VLOOKUP($A64,数出表_Excel!$A$6:$T$150,COLUMN()/2+1,FALSE)=0,"",VLOOKUP($A64,数出表_Excel!$A$6:$T$150,COLUMN()/2+1,FALSE))),"")</f>
        <v/>
      </c>
      <c r="S64" s="137"/>
      <c r="T64" s="172" t="str">
        <f ca="1">IFERROR(VALUE(IF(VLOOKUP($A64,数出表_Excel!$A$6:$T$150,COLUMN()/2+1,FALSE)=0,"",VLOOKUP($A64,数出表_Excel!$A$6:$T$150,COLUMN()/2+1,FALSE))),"")</f>
        <v/>
      </c>
      <c r="U64" s="137"/>
      <c r="V64" s="174" t="str">
        <f ca="1">IFERROR(VALUE(IF(VLOOKUP($A64,数出表_Excel!$A$6:$T$150,COLUMN()/2+1,FALSE)=0,"",VLOOKUP($A64,数出表_Excel!$A$6:$T$150,COLUMN()/2+1,FALSE))),"")</f>
        <v/>
      </c>
      <c r="W64" s="137"/>
      <c r="X64" s="174" t="str">
        <f ca="1">IFERROR(VALUE(IF(VLOOKUP($A64,数出表_Excel!$A$6:$T$150,COLUMN()/2+1,FALSE)=0,"",VLOOKUP($A64,数出表_Excel!$A$6:$T$150,COLUMN()/2+1,FALSE))),"")</f>
        <v/>
      </c>
      <c r="Y64" s="137"/>
      <c r="Z64" s="174" t="str">
        <f ca="1">IFERROR(VALUE(IF(VLOOKUP($A64,数出表_Excel!$A$6:$T$150,COLUMN()/2+1,FALSE)=0,"",VLOOKUP($A64,数出表_Excel!$A$6:$T$150,COLUMN()/2+1,FALSE))),"")</f>
        <v/>
      </c>
      <c r="AA64" s="175"/>
      <c r="AB64" s="173" t="str">
        <f ca="1">IFERROR(VALUE(IF(VLOOKUP($A64,数出表_Excel!$A$6:$T$150,COLUMN()/2+1,FALSE)=0,"",VLOOKUP($A64,数出表_Excel!$A$6:$T$150,COLUMN()/2+1,FALSE))),"")</f>
        <v/>
      </c>
      <c r="AC64" s="137"/>
      <c r="AD64" s="174" t="str">
        <f ca="1">IFERROR(VALUE(IF(VLOOKUP($A64,数出表_Excel!$A$6:$T$150,COLUMN()/2+1,FALSE)=0,"",VLOOKUP($A64,数出表_Excel!$A$6:$T$150,COLUMN()/2+1,FALSE))),"")</f>
        <v/>
      </c>
      <c r="AE64" s="137"/>
      <c r="AF64" s="174" t="str">
        <f ca="1">IFERROR(VALUE(IF(VLOOKUP($A64,数出表_Excel!$A$6:$T$150,COLUMN()/2+1,FALSE)=0,"",VLOOKUP($A64,数出表_Excel!$A$6:$T$150,COLUMN()/2+1,FALSE))),"")</f>
        <v/>
      </c>
      <c r="AG64" s="137"/>
      <c r="AH64" s="174" t="str">
        <f ca="1">IFERROR(VALUE(IF(VLOOKUP($A64,数出表_Excel!$A$6:$T$150,COLUMN()/2+1,FALSE)=0,"",VLOOKUP($A64,数出表_Excel!$A$6:$T$150,COLUMN()/2+1,FALSE))),"")</f>
        <v/>
      </c>
      <c r="AI64" s="175"/>
      <c r="AJ64" s="173" t="str">
        <f ca="1">IFERROR(VALUE(IF(VLOOKUP($A64,数出表_Excel!$A$6:$T$150,COLUMN()/2+1,FALSE)=0,"",VLOOKUP($A64,数出表_Excel!$A$6:$T$150,COLUMN()/2+1,FALSE))),"")</f>
        <v/>
      </c>
      <c r="AK64" s="137"/>
      <c r="AL64" s="141" t="e">
        <f ca="1">IF(A64&lt;&gt;"",
IF(VLOOKUP($A64,数出表_Excel!$A$6:$T$150,COLUMN()/2+1,FALSE)=0,"",VLOOKUP($A64,数出表_Excel!$A$6:$T$150,COLUMN()/2+1,FALSE)),"")</f>
        <v>#N/A</v>
      </c>
      <c r="AM64" s="222" t="e">
        <f>数出表_Excel!V64</f>
        <v>#N/A</v>
      </c>
      <c r="AN64" s="223" t="e">
        <f>数出表_Excel!W64</f>
        <v>#N/A</v>
      </c>
    </row>
    <row r="65" spans="1:40" ht="16.2" customHeight="1" x14ac:dyDescent="0.45">
      <c r="A65" s="185" t="e">
        <f t="array" aca="1" ref="A65" ca="1">IF(OR(COUNTIF(A63,"*1000*"),COUNTIF(A63,"")),"",INDEX(貼り付け用!$A:$A,MATCH(A63,貼り付け用!$A:$A,0)+2,0))</f>
        <v>#N/A</v>
      </c>
      <c r="B65" s="138" t="str">
        <f ca="1">IFERROR(VALUE(IF(VLOOKUP($A65,数出表_Excel!$A$6:$T$150,COLUMN()/2+1,FALSE)=0,"",VLOOKUP($A65,数出表_Excel!$A$6:$T$150,COLUMN()/2+1,FALSE))),"")</f>
        <v/>
      </c>
      <c r="C65" s="138"/>
      <c r="D65" s="138" t="str">
        <f ca="1">IFERROR(VALUE(IF(VLOOKUP($A65,数出表_Excel!$A$6:$T$150,COLUMN()/2+1,FALSE)=0,"",VLOOKUP($A65,数出表_Excel!$A$6:$T$150,COLUMN()/2+1,FALSE))),"")</f>
        <v/>
      </c>
      <c r="E65" s="138"/>
      <c r="F65" s="142" t="str">
        <f ca="1">IFERROR(VALUE(IF(VLOOKUP($A65,数出表_Excel!$A$6:$T$150,COLUMN()/2+1,FALSE)=0,"",VLOOKUP($A65,数出表_Excel!$A$6:$T$150,COLUMN()/2+1,FALSE))),"")</f>
        <v/>
      </c>
      <c r="G65" s="138"/>
      <c r="H65" s="138" t="str">
        <f ca="1">IFERROR(VALUE(IF(VLOOKUP($A65,数出表_Excel!$A$6:$T$150,COLUMN()/2+1,FALSE)=0,"",VLOOKUP($A65,数出表_Excel!$A$6:$T$150,COLUMN()/2+1,FALSE))),"")</f>
        <v/>
      </c>
      <c r="I65" s="138"/>
      <c r="J65" s="138" t="str">
        <f ca="1">IFERROR(VALUE(IF(VLOOKUP($A65,数出表_Excel!$A$6:$T$150,COLUMN()/2+1,FALSE)=0,"",VLOOKUP($A65,数出表_Excel!$A$6:$T$150,COLUMN()/2+1,FALSE))),"")</f>
        <v/>
      </c>
      <c r="K65" s="138"/>
      <c r="L65" s="142" t="str">
        <f ca="1">IFERROR(VALUE(IF(VLOOKUP($A65,数出表_Excel!$A$6:$T$150,COLUMN()/2+1,FALSE)=0,"",VLOOKUP($A65,数出表_Excel!$A$6:$T$150,COLUMN()/2+1,FALSE))),"")</f>
        <v/>
      </c>
      <c r="M65" s="138"/>
      <c r="N65" s="138" t="str">
        <f ca="1">IFERROR(VALUE(IF(VLOOKUP($A65,数出表_Excel!$A$6:$T$150,COLUMN()/2+1,FALSE)=0,"",VLOOKUP($A65,数出表_Excel!$A$6:$T$150,COLUMN()/2+1,FALSE))),"")</f>
        <v/>
      </c>
      <c r="O65" s="138"/>
      <c r="P65" s="138" t="str">
        <f ca="1">IFERROR(VALUE(IF(VLOOKUP($A65,数出表_Excel!$A$6:$T$150,COLUMN()/2+1,FALSE)=0,"",VLOOKUP($A65,数出表_Excel!$A$6:$T$150,COLUMN()/2+1,FALSE))),"")</f>
        <v/>
      </c>
      <c r="Q65" s="138"/>
      <c r="R65" s="138" t="str">
        <f ca="1">IFERROR(VALUE(IF(VLOOKUP($A65,数出表_Excel!$A$6:$T$150,COLUMN()/2+1,FALSE)=0,"",VLOOKUP($A65,数出表_Excel!$A$6:$T$150,COLUMN()/2+1,FALSE))),"")</f>
        <v/>
      </c>
      <c r="S65" s="138"/>
      <c r="T65" s="138" t="str">
        <f ca="1">IFERROR(VALUE(IF(VLOOKUP($A65,数出表_Excel!$A$6:$T$150,COLUMN()/2+1,FALSE)=0,"",VLOOKUP($A65,数出表_Excel!$A$6:$T$150,COLUMN()/2+1,FALSE))),"")</f>
        <v/>
      </c>
      <c r="U65" s="138"/>
      <c r="V65" s="142" t="str">
        <f ca="1">IFERROR(VALUE(IF(VLOOKUP($A65,数出表_Excel!$A$6:$T$150,COLUMN()/2+1,FALSE)=0,"",VLOOKUP($A65,数出表_Excel!$A$6:$T$150,COLUMN()/2+1,FALSE))),"")</f>
        <v/>
      </c>
      <c r="W65" s="138"/>
      <c r="X65" s="142" t="str">
        <f ca="1">IFERROR(VALUE(IF(VLOOKUP($A65,数出表_Excel!$A$6:$T$150,COLUMN()/2+1,FALSE)=0,"",VLOOKUP($A65,数出表_Excel!$A$6:$T$150,COLUMN()/2+1,FALSE))),"")</f>
        <v/>
      </c>
      <c r="Y65" s="138"/>
      <c r="Z65" s="142" t="str">
        <f ca="1">IFERROR(VALUE(IF(VLOOKUP($A65,数出表_Excel!$A$6:$T$150,COLUMN()/2+1,FALSE)=0,"",VLOOKUP($A65,数出表_Excel!$A$6:$T$150,COLUMN()/2+1,FALSE))),"")</f>
        <v/>
      </c>
      <c r="AA65" s="176"/>
      <c r="AB65" s="143" t="str">
        <f ca="1">IFERROR(VALUE(IF(VLOOKUP($A65,数出表_Excel!$A$6:$T$150,COLUMN()/2+1,FALSE)=0,"",VLOOKUP($A65,数出表_Excel!$A$6:$T$150,COLUMN()/2+1,FALSE))),"")</f>
        <v/>
      </c>
      <c r="AC65" s="138"/>
      <c r="AD65" s="142" t="str">
        <f ca="1">IFERROR(VALUE(IF(VLOOKUP($A65,数出表_Excel!$A$6:$T$150,COLUMN()/2+1,FALSE)=0,"",VLOOKUP($A65,数出表_Excel!$A$6:$T$150,COLUMN()/2+1,FALSE))),"")</f>
        <v/>
      </c>
      <c r="AE65" s="138"/>
      <c r="AF65" s="142" t="str">
        <f ca="1">IFERROR(VALUE(IF(VLOOKUP($A65,数出表_Excel!$A$6:$T$150,COLUMN()/2+1,FALSE)=0,"",VLOOKUP($A65,数出表_Excel!$A$6:$T$150,COLUMN()/2+1,FALSE))),"")</f>
        <v/>
      </c>
      <c r="AG65" s="138"/>
      <c r="AH65" s="142" t="str">
        <f ca="1">IFERROR(VALUE(IF(VLOOKUP($A65,数出表_Excel!$A$6:$T$150,COLUMN()/2+1,FALSE)=0,"",VLOOKUP($A65,数出表_Excel!$A$6:$T$150,COLUMN()/2+1,FALSE))),"")</f>
        <v/>
      </c>
      <c r="AI65" s="176"/>
      <c r="AJ65" s="143" t="str">
        <f ca="1">IFERROR(VALUE(IF(VLOOKUP($A65,数出表_Excel!$A$6:$T$150,COLUMN()/2+1,FALSE)=0,"",VLOOKUP($A65,数出表_Excel!$A$6:$T$150,COLUMN()/2+1,FALSE))),"")</f>
        <v/>
      </c>
      <c r="AK65" s="138"/>
      <c r="AL65" s="144" t="e">
        <f ca="1">IF(A65&lt;&gt;"",
IF(VLOOKUP($A65,数出表_Excel!$A$6:$T$150,COLUMN()/2+1,FALSE)=0,"",VLOOKUP($A65,数出表_Excel!$A$6:$T$150,COLUMN()/2+1,FALSE)),"")</f>
        <v>#N/A</v>
      </c>
      <c r="AM65" s="224" t="e">
        <f>数出表_Excel!V65</f>
        <v>#N/A</v>
      </c>
      <c r="AN65" s="225" t="e">
        <f>数出表_Excel!W65</f>
        <v>#N/A</v>
      </c>
    </row>
    <row r="66" spans="1:40" ht="16.2" customHeight="1" x14ac:dyDescent="0.45">
      <c r="A66" s="184" t="e">
        <f t="array" aca="1" ref="A66" ca="1">IF(OR(COUNTIF(A64,"*10002*"),COUNTIF(A64,"")),"",INDEX(貼り付け用!$A:$A,MATCH(A64,貼り付け用!$A:$A,0)+2,0))</f>
        <v>#N/A</v>
      </c>
      <c r="B66" s="172" t="str">
        <f ca="1">IFERROR(VALUE(IF(VLOOKUP($A66,数出表_Excel!$A$6:$T$150,COLUMN()/2+1,FALSE)=0,"",VLOOKUP($A66,数出表_Excel!$A$6:$T$150,COLUMN()/2+1,FALSE))),"")</f>
        <v/>
      </c>
      <c r="C66" s="137"/>
      <c r="D66" s="172" t="str">
        <f ca="1">IFERROR(VALUE(IF(VLOOKUP($A66,数出表_Excel!$A$6:$T$150,COLUMN()/2+1,FALSE)=0,"",VLOOKUP($A66,数出表_Excel!$A$6:$T$150,COLUMN()/2+1,FALSE))),"")</f>
        <v/>
      </c>
      <c r="E66" s="137"/>
      <c r="F66" s="174" t="str">
        <f ca="1">IFERROR(VALUE(IF(VLOOKUP($A66,数出表_Excel!$A$6:$T$150,COLUMN()/2+1,FALSE)=0,"",VLOOKUP($A66,数出表_Excel!$A$6:$T$150,COLUMN()/2+1,FALSE))),"")</f>
        <v/>
      </c>
      <c r="G66" s="137"/>
      <c r="H66" s="172" t="str">
        <f ca="1">IFERROR(VALUE(IF(VLOOKUP($A66,数出表_Excel!$A$6:$T$150,COLUMN()/2+1,FALSE)=0,"",VLOOKUP($A66,数出表_Excel!$A$6:$T$150,COLUMN()/2+1,FALSE))),"")</f>
        <v/>
      </c>
      <c r="I66" s="137"/>
      <c r="J66" s="172" t="str">
        <f ca="1">IFERROR(VALUE(IF(VLOOKUP($A66,数出表_Excel!$A$6:$T$150,COLUMN()/2+1,FALSE)=0,"",VLOOKUP($A66,数出表_Excel!$A$6:$T$150,COLUMN()/2+1,FALSE))),"")</f>
        <v/>
      </c>
      <c r="K66" s="137"/>
      <c r="L66" s="174" t="str">
        <f ca="1">IFERROR(VALUE(IF(VLOOKUP($A66,数出表_Excel!$A$6:$T$150,COLUMN()/2+1,FALSE)=0,"",VLOOKUP($A66,数出表_Excel!$A$6:$T$150,COLUMN()/2+1,FALSE))),"")</f>
        <v/>
      </c>
      <c r="M66" s="137"/>
      <c r="N66" s="172" t="str">
        <f ca="1">IFERROR(VALUE(IF(VLOOKUP($A66,数出表_Excel!$A$6:$T$150,COLUMN()/2+1,FALSE)=0,"",VLOOKUP($A66,数出表_Excel!$A$6:$T$150,COLUMN()/2+1,FALSE))),"")</f>
        <v/>
      </c>
      <c r="O66" s="137"/>
      <c r="P66" s="172" t="str">
        <f ca="1">IFERROR(VALUE(IF(VLOOKUP($A66,数出表_Excel!$A$6:$T$150,COLUMN()/2+1,FALSE)=0,"",VLOOKUP($A66,数出表_Excel!$A$6:$T$150,COLUMN()/2+1,FALSE))),"")</f>
        <v/>
      </c>
      <c r="Q66" s="137"/>
      <c r="R66" s="172" t="str">
        <f ca="1">IFERROR(VALUE(IF(VLOOKUP($A66,数出表_Excel!$A$6:$T$150,COLUMN()/2+1,FALSE)=0,"",VLOOKUP($A66,数出表_Excel!$A$6:$T$150,COLUMN()/2+1,FALSE))),"")</f>
        <v/>
      </c>
      <c r="S66" s="137"/>
      <c r="T66" s="172" t="str">
        <f ca="1">IFERROR(VALUE(IF(VLOOKUP($A66,数出表_Excel!$A$6:$T$150,COLUMN()/2+1,FALSE)=0,"",VLOOKUP($A66,数出表_Excel!$A$6:$T$150,COLUMN()/2+1,FALSE))),"")</f>
        <v/>
      </c>
      <c r="U66" s="137"/>
      <c r="V66" s="174" t="str">
        <f ca="1">IFERROR(VALUE(IF(VLOOKUP($A66,数出表_Excel!$A$6:$T$150,COLUMN()/2+1,FALSE)=0,"",VLOOKUP($A66,数出表_Excel!$A$6:$T$150,COLUMN()/2+1,FALSE))),"")</f>
        <v/>
      </c>
      <c r="W66" s="137"/>
      <c r="X66" s="174" t="str">
        <f ca="1">IFERROR(VALUE(IF(VLOOKUP($A66,数出表_Excel!$A$6:$T$150,COLUMN()/2+1,FALSE)=0,"",VLOOKUP($A66,数出表_Excel!$A$6:$T$150,COLUMN()/2+1,FALSE))),"")</f>
        <v/>
      </c>
      <c r="Y66" s="137"/>
      <c r="Z66" s="174" t="str">
        <f ca="1">IFERROR(VALUE(IF(VLOOKUP($A66,数出表_Excel!$A$6:$T$150,COLUMN()/2+1,FALSE)=0,"",VLOOKUP($A66,数出表_Excel!$A$6:$T$150,COLUMN()/2+1,FALSE))),"")</f>
        <v/>
      </c>
      <c r="AA66" s="175"/>
      <c r="AB66" s="173" t="str">
        <f ca="1">IFERROR(VALUE(IF(VLOOKUP($A66,数出表_Excel!$A$6:$T$150,COLUMN()/2+1,FALSE)=0,"",VLOOKUP($A66,数出表_Excel!$A$6:$T$150,COLUMN()/2+1,FALSE))),"")</f>
        <v/>
      </c>
      <c r="AC66" s="137"/>
      <c r="AD66" s="174" t="str">
        <f ca="1">IFERROR(VALUE(IF(VLOOKUP($A66,数出表_Excel!$A$6:$T$150,COLUMN()/2+1,FALSE)=0,"",VLOOKUP($A66,数出表_Excel!$A$6:$T$150,COLUMN()/2+1,FALSE))),"")</f>
        <v/>
      </c>
      <c r="AE66" s="137"/>
      <c r="AF66" s="174" t="str">
        <f ca="1">IFERROR(VALUE(IF(VLOOKUP($A66,数出表_Excel!$A$6:$T$150,COLUMN()/2+1,FALSE)=0,"",VLOOKUP($A66,数出表_Excel!$A$6:$T$150,COLUMN()/2+1,FALSE))),"")</f>
        <v/>
      </c>
      <c r="AG66" s="137"/>
      <c r="AH66" s="174" t="str">
        <f ca="1">IFERROR(VALUE(IF(VLOOKUP($A66,数出表_Excel!$A$6:$T$150,COLUMN()/2+1,FALSE)=0,"",VLOOKUP($A66,数出表_Excel!$A$6:$T$150,COLUMN()/2+1,FALSE))),"")</f>
        <v/>
      </c>
      <c r="AI66" s="175"/>
      <c r="AJ66" s="173" t="str">
        <f ca="1">IFERROR(VALUE(IF(VLOOKUP($A66,数出表_Excel!$A$6:$T$150,COLUMN()/2+1,FALSE)=0,"",VLOOKUP($A66,数出表_Excel!$A$6:$T$150,COLUMN()/2+1,FALSE))),"")</f>
        <v/>
      </c>
      <c r="AK66" s="137"/>
      <c r="AL66" s="141" t="e">
        <f ca="1">IF(A66&lt;&gt;"",
IF(VLOOKUP($A66,数出表_Excel!$A$6:$T$150,COLUMN()/2+1,FALSE)=0,"",VLOOKUP($A66,数出表_Excel!$A$6:$T$150,COLUMN()/2+1,FALSE)),"")</f>
        <v>#N/A</v>
      </c>
      <c r="AM66" s="222" t="e">
        <f>数出表_Excel!V66</f>
        <v>#N/A</v>
      </c>
      <c r="AN66" s="223" t="e">
        <f>数出表_Excel!W66</f>
        <v>#N/A</v>
      </c>
    </row>
    <row r="67" spans="1:40" ht="16.2" customHeight="1" x14ac:dyDescent="0.45">
      <c r="A67" s="185" t="e">
        <f t="array" aca="1" ref="A67" ca="1">IF(OR(COUNTIF(A65,"*1000*"),COUNTIF(A65,"")),"",INDEX(貼り付け用!$A:$A,MATCH(A65,貼り付け用!$A:$A,0)+2,0))</f>
        <v>#N/A</v>
      </c>
      <c r="B67" s="138" t="str">
        <f ca="1">IFERROR(VALUE(IF(VLOOKUP($A67,数出表_Excel!$A$6:$T$150,COLUMN()/2+1,FALSE)=0,"",VLOOKUP($A67,数出表_Excel!$A$6:$T$150,COLUMN()/2+1,FALSE))),"")</f>
        <v/>
      </c>
      <c r="C67" s="138"/>
      <c r="D67" s="138" t="str">
        <f ca="1">IFERROR(VALUE(IF(VLOOKUP($A67,数出表_Excel!$A$6:$T$150,COLUMN()/2+1,FALSE)=0,"",VLOOKUP($A67,数出表_Excel!$A$6:$T$150,COLUMN()/2+1,FALSE))),"")</f>
        <v/>
      </c>
      <c r="E67" s="138"/>
      <c r="F67" s="142" t="str">
        <f ca="1">IFERROR(VALUE(IF(VLOOKUP($A67,数出表_Excel!$A$6:$T$150,COLUMN()/2+1,FALSE)=0,"",VLOOKUP($A67,数出表_Excel!$A$6:$T$150,COLUMN()/2+1,FALSE))),"")</f>
        <v/>
      </c>
      <c r="G67" s="138"/>
      <c r="H67" s="138" t="str">
        <f ca="1">IFERROR(VALUE(IF(VLOOKUP($A67,数出表_Excel!$A$6:$T$150,COLUMN()/2+1,FALSE)=0,"",VLOOKUP($A67,数出表_Excel!$A$6:$T$150,COLUMN()/2+1,FALSE))),"")</f>
        <v/>
      </c>
      <c r="I67" s="138"/>
      <c r="J67" s="138" t="str">
        <f ca="1">IFERROR(VALUE(IF(VLOOKUP($A67,数出表_Excel!$A$6:$T$150,COLUMN()/2+1,FALSE)=0,"",VLOOKUP($A67,数出表_Excel!$A$6:$T$150,COLUMN()/2+1,FALSE))),"")</f>
        <v/>
      </c>
      <c r="K67" s="138"/>
      <c r="L67" s="142" t="str">
        <f ca="1">IFERROR(VALUE(IF(VLOOKUP($A67,数出表_Excel!$A$6:$T$150,COLUMN()/2+1,FALSE)=0,"",VLOOKUP($A67,数出表_Excel!$A$6:$T$150,COLUMN()/2+1,FALSE))),"")</f>
        <v/>
      </c>
      <c r="M67" s="138"/>
      <c r="N67" s="138" t="str">
        <f ca="1">IFERROR(VALUE(IF(VLOOKUP($A67,数出表_Excel!$A$6:$T$150,COLUMN()/2+1,FALSE)=0,"",VLOOKUP($A67,数出表_Excel!$A$6:$T$150,COLUMN()/2+1,FALSE))),"")</f>
        <v/>
      </c>
      <c r="O67" s="138"/>
      <c r="P67" s="138" t="str">
        <f ca="1">IFERROR(VALUE(IF(VLOOKUP($A67,数出表_Excel!$A$6:$T$150,COLUMN()/2+1,FALSE)=0,"",VLOOKUP($A67,数出表_Excel!$A$6:$T$150,COLUMN()/2+1,FALSE))),"")</f>
        <v/>
      </c>
      <c r="Q67" s="138"/>
      <c r="R67" s="138" t="str">
        <f ca="1">IFERROR(VALUE(IF(VLOOKUP($A67,数出表_Excel!$A$6:$T$150,COLUMN()/2+1,FALSE)=0,"",VLOOKUP($A67,数出表_Excel!$A$6:$T$150,COLUMN()/2+1,FALSE))),"")</f>
        <v/>
      </c>
      <c r="S67" s="138"/>
      <c r="T67" s="138" t="str">
        <f ca="1">IFERROR(VALUE(IF(VLOOKUP($A67,数出表_Excel!$A$6:$T$150,COLUMN()/2+1,FALSE)=0,"",VLOOKUP($A67,数出表_Excel!$A$6:$T$150,COLUMN()/2+1,FALSE))),"")</f>
        <v/>
      </c>
      <c r="U67" s="138"/>
      <c r="V67" s="142" t="str">
        <f ca="1">IFERROR(VALUE(IF(VLOOKUP($A67,数出表_Excel!$A$6:$T$150,COLUMN()/2+1,FALSE)=0,"",VLOOKUP($A67,数出表_Excel!$A$6:$T$150,COLUMN()/2+1,FALSE))),"")</f>
        <v/>
      </c>
      <c r="W67" s="138"/>
      <c r="X67" s="142" t="str">
        <f ca="1">IFERROR(VALUE(IF(VLOOKUP($A67,数出表_Excel!$A$6:$T$150,COLUMN()/2+1,FALSE)=0,"",VLOOKUP($A67,数出表_Excel!$A$6:$T$150,COLUMN()/2+1,FALSE))),"")</f>
        <v/>
      </c>
      <c r="Y67" s="138"/>
      <c r="Z67" s="142" t="str">
        <f ca="1">IFERROR(VALUE(IF(VLOOKUP($A67,数出表_Excel!$A$6:$T$150,COLUMN()/2+1,FALSE)=0,"",VLOOKUP($A67,数出表_Excel!$A$6:$T$150,COLUMN()/2+1,FALSE))),"")</f>
        <v/>
      </c>
      <c r="AA67" s="176"/>
      <c r="AB67" s="143" t="str">
        <f ca="1">IFERROR(VALUE(IF(VLOOKUP($A67,数出表_Excel!$A$6:$T$150,COLUMN()/2+1,FALSE)=0,"",VLOOKUP($A67,数出表_Excel!$A$6:$T$150,COLUMN()/2+1,FALSE))),"")</f>
        <v/>
      </c>
      <c r="AC67" s="138"/>
      <c r="AD67" s="142" t="str">
        <f ca="1">IFERROR(VALUE(IF(VLOOKUP($A67,数出表_Excel!$A$6:$T$150,COLUMN()/2+1,FALSE)=0,"",VLOOKUP($A67,数出表_Excel!$A$6:$T$150,COLUMN()/2+1,FALSE))),"")</f>
        <v/>
      </c>
      <c r="AE67" s="138"/>
      <c r="AF67" s="142" t="str">
        <f ca="1">IFERROR(VALUE(IF(VLOOKUP($A67,数出表_Excel!$A$6:$T$150,COLUMN()/2+1,FALSE)=0,"",VLOOKUP($A67,数出表_Excel!$A$6:$T$150,COLUMN()/2+1,FALSE))),"")</f>
        <v/>
      </c>
      <c r="AG67" s="138"/>
      <c r="AH67" s="142" t="str">
        <f ca="1">IFERROR(VALUE(IF(VLOOKUP($A67,数出表_Excel!$A$6:$T$150,COLUMN()/2+1,FALSE)=0,"",VLOOKUP($A67,数出表_Excel!$A$6:$T$150,COLUMN()/2+1,FALSE))),"")</f>
        <v/>
      </c>
      <c r="AI67" s="176"/>
      <c r="AJ67" s="143" t="str">
        <f ca="1">IFERROR(VALUE(IF(VLOOKUP($A67,数出表_Excel!$A$6:$T$150,COLUMN()/2+1,FALSE)=0,"",VLOOKUP($A67,数出表_Excel!$A$6:$T$150,COLUMN()/2+1,FALSE))),"")</f>
        <v/>
      </c>
      <c r="AK67" s="138"/>
      <c r="AL67" s="144" t="e">
        <f ca="1">IF(A67&lt;&gt;"",
IF(VLOOKUP($A67,数出表_Excel!$A$6:$T$150,COLUMN()/2+1,FALSE)=0,"",VLOOKUP($A67,数出表_Excel!$A$6:$T$150,COLUMN()/2+1,FALSE)),"")</f>
        <v>#N/A</v>
      </c>
      <c r="AM67" s="224" t="e">
        <f>数出表_Excel!V67</f>
        <v>#N/A</v>
      </c>
      <c r="AN67" s="225" t="e">
        <f>数出表_Excel!W67</f>
        <v>#N/A</v>
      </c>
    </row>
    <row r="68" spans="1:40" ht="16.2" customHeight="1" x14ac:dyDescent="0.45">
      <c r="A68" s="184" t="e">
        <f t="array" aca="1" ref="A68" ca="1">IF(OR(COUNTIF(A66,"*10002*"),COUNTIF(A66,"")),"",INDEX(貼り付け用!$A:$A,MATCH(A66,貼り付け用!$A:$A,0)+2,0))</f>
        <v>#N/A</v>
      </c>
      <c r="B68" s="172" t="str">
        <f ca="1">IFERROR(VALUE(IF(VLOOKUP($A68,数出表_Excel!$A$6:$T$150,COLUMN()/2+1,FALSE)=0,"",VLOOKUP($A68,数出表_Excel!$A$6:$T$150,COLUMN()/2+1,FALSE))),"")</f>
        <v/>
      </c>
      <c r="C68" s="137"/>
      <c r="D68" s="172" t="str">
        <f ca="1">IFERROR(VALUE(IF(VLOOKUP($A68,数出表_Excel!$A$6:$T$150,COLUMN()/2+1,FALSE)=0,"",VLOOKUP($A68,数出表_Excel!$A$6:$T$150,COLUMN()/2+1,FALSE))),"")</f>
        <v/>
      </c>
      <c r="E68" s="137"/>
      <c r="F68" s="174" t="str">
        <f ca="1">IFERROR(VALUE(IF(VLOOKUP($A68,数出表_Excel!$A$6:$T$150,COLUMN()/2+1,FALSE)=0,"",VLOOKUP($A68,数出表_Excel!$A$6:$T$150,COLUMN()/2+1,FALSE))),"")</f>
        <v/>
      </c>
      <c r="G68" s="137"/>
      <c r="H68" s="172" t="str">
        <f ca="1">IFERROR(VALUE(IF(VLOOKUP($A68,数出表_Excel!$A$6:$T$150,COLUMN()/2+1,FALSE)=0,"",VLOOKUP($A68,数出表_Excel!$A$6:$T$150,COLUMN()/2+1,FALSE))),"")</f>
        <v/>
      </c>
      <c r="I68" s="137"/>
      <c r="J68" s="172" t="str">
        <f ca="1">IFERROR(VALUE(IF(VLOOKUP($A68,数出表_Excel!$A$6:$T$150,COLUMN()/2+1,FALSE)=0,"",VLOOKUP($A68,数出表_Excel!$A$6:$T$150,COLUMN()/2+1,FALSE))),"")</f>
        <v/>
      </c>
      <c r="K68" s="137"/>
      <c r="L68" s="174" t="str">
        <f ca="1">IFERROR(VALUE(IF(VLOOKUP($A68,数出表_Excel!$A$6:$T$150,COLUMN()/2+1,FALSE)=0,"",VLOOKUP($A68,数出表_Excel!$A$6:$T$150,COLUMN()/2+1,FALSE))),"")</f>
        <v/>
      </c>
      <c r="M68" s="137"/>
      <c r="N68" s="172" t="str">
        <f ca="1">IFERROR(VALUE(IF(VLOOKUP($A68,数出表_Excel!$A$6:$T$150,COLUMN()/2+1,FALSE)=0,"",VLOOKUP($A68,数出表_Excel!$A$6:$T$150,COLUMN()/2+1,FALSE))),"")</f>
        <v/>
      </c>
      <c r="O68" s="137"/>
      <c r="P68" s="172" t="str">
        <f ca="1">IFERROR(VALUE(IF(VLOOKUP($A68,数出表_Excel!$A$6:$T$150,COLUMN()/2+1,FALSE)=0,"",VLOOKUP($A68,数出表_Excel!$A$6:$T$150,COLUMN()/2+1,FALSE))),"")</f>
        <v/>
      </c>
      <c r="Q68" s="137"/>
      <c r="R68" s="172" t="str">
        <f ca="1">IFERROR(VALUE(IF(VLOOKUP($A68,数出表_Excel!$A$6:$T$150,COLUMN()/2+1,FALSE)=0,"",VLOOKUP($A68,数出表_Excel!$A$6:$T$150,COLUMN()/2+1,FALSE))),"")</f>
        <v/>
      </c>
      <c r="S68" s="137"/>
      <c r="T68" s="172" t="str">
        <f ca="1">IFERROR(VALUE(IF(VLOOKUP($A68,数出表_Excel!$A$6:$T$150,COLUMN()/2+1,FALSE)=0,"",VLOOKUP($A68,数出表_Excel!$A$6:$T$150,COLUMN()/2+1,FALSE))),"")</f>
        <v/>
      </c>
      <c r="U68" s="137"/>
      <c r="V68" s="174" t="str">
        <f ca="1">IFERROR(VALUE(IF(VLOOKUP($A68,数出表_Excel!$A$6:$T$150,COLUMN()/2+1,FALSE)=0,"",VLOOKUP($A68,数出表_Excel!$A$6:$T$150,COLUMN()/2+1,FALSE))),"")</f>
        <v/>
      </c>
      <c r="W68" s="137"/>
      <c r="X68" s="174" t="str">
        <f ca="1">IFERROR(VALUE(IF(VLOOKUP($A68,数出表_Excel!$A$6:$T$150,COLUMN()/2+1,FALSE)=0,"",VLOOKUP($A68,数出表_Excel!$A$6:$T$150,COLUMN()/2+1,FALSE))),"")</f>
        <v/>
      </c>
      <c r="Y68" s="137"/>
      <c r="Z68" s="174" t="str">
        <f ca="1">IFERROR(VALUE(IF(VLOOKUP($A68,数出表_Excel!$A$6:$T$150,COLUMN()/2+1,FALSE)=0,"",VLOOKUP($A68,数出表_Excel!$A$6:$T$150,COLUMN()/2+1,FALSE))),"")</f>
        <v/>
      </c>
      <c r="AA68" s="175"/>
      <c r="AB68" s="173" t="str">
        <f ca="1">IFERROR(VALUE(IF(VLOOKUP($A68,数出表_Excel!$A$6:$T$150,COLUMN()/2+1,FALSE)=0,"",VLOOKUP($A68,数出表_Excel!$A$6:$T$150,COLUMN()/2+1,FALSE))),"")</f>
        <v/>
      </c>
      <c r="AC68" s="137"/>
      <c r="AD68" s="174" t="str">
        <f ca="1">IFERROR(VALUE(IF(VLOOKUP($A68,数出表_Excel!$A$6:$T$150,COLUMN()/2+1,FALSE)=0,"",VLOOKUP($A68,数出表_Excel!$A$6:$T$150,COLUMN()/2+1,FALSE))),"")</f>
        <v/>
      </c>
      <c r="AE68" s="137"/>
      <c r="AF68" s="174" t="str">
        <f ca="1">IFERROR(VALUE(IF(VLOOKUP($A68,数出表_Excel!$A$6:$T$150,COLUMN()/2+1,FALSE)=0,"",VLOOKUP($A68,数出表_Excel!$A$6:$T$150,COLUMN()/2+1,FALSE))),"")</f>
        <v/>
      </c>
      <c r="AG68" s="137"/>
      <c r="AH68" s="174" t="str">
        <f ca="1">IFERROR(VALUE(IF(VLOOKUP($A68,数出表_Excel!$A$6:$T$150,COLUMN()/2+1,FALSE)=0,"",VLOOKUP($A68,数出表_Excel!$A$6:$T$150,COLUMN()/2+1,FALSE))),"")</f>
        <v/>
      </c>
      <c r="AI68" s="175"/>
      <c r="AJ68" s="173" t="str">
        <f ca="1">IFERROR(VALUE(IF(VLOOKUP($A68,数出表_Excel!$A$6:$T$150,COLUMN()/2+1,FALSE)=0,"",VLOOKUP($A68,数出表_Excel!$A$6:$T$150,COLUMN()/2+1,FALSE))),"")</f>
        <v/>
      </c>
      <c r="AK68" s="137"/>
      <c r="AL68" s="141" t="e">
        <f ca="1">IF(A68&lt;&gt;"",
IF(VLOOKUP($A68,数出表_Excel!$A$6:$T$150,COLUMN()/2+1,FALSE)=0,"",VLOOKUP($A68,数出表_Excel!$A$6:$T$150,COLUMN()/2+1,FALSE)),"")</f>
        <v>#N/A</v>
      </c>
      <c r="AM68" s="222" t="e">
        <f>数出表_Excel!V68</f>
        <v>#N/A</v>
      </c>
      <c r="AN68" s="223" t="e">
        <f>数出表_Excel!W68</f>
        <v>#N/A</v>
      </c>
    </row>
    <row r="69" spans="1:40" ht="16.2" customHeight="1" x14ac:dyDescent="0.45">
      <c r="A69" s="185" t="e">
        <f t="array" aca="1" ref="A69" ca="1">IF(OR(COUNTIF(A67,"*1000*"),COUNTIF(A67,"")),"",INDEX(貼り付け用!$A:$A,MATCH(A67,貼り付け用!$A:$A,0)+2,0))</f>
        <v>#N/A</v>
      </c>
      <c r="B69" s="138" t="str">
        <f ca="1">IFERROR(VALUE(IF(VLOOKUP($A69,数出表_Excel!$A$6:$T$150,COLUMN()/2+1,FALSE)=0,"",VLOOKUP($A69,数出表_Excel!$A$6:$T$150,COLUMN()/2+1,FALSE))),"")</f>
        <v/>
      </c>
      <c r="C69" s="138"/>
      <c r="D69" s="138" t="str">
        <f ca="1">IFERROR(VALUE(IF(VLOOKUP($A69,数出表_Excel!$A$6:$T$150,COLUMN()/2+1,FALSE)=0,"",VLOOKUP($A69,数出表_Excel!$A$6:$T$150,COLUMN()/2+1,FALSE))),"")</f>
        <v/>
      </c>
      <c r="E69" s="138"/>
      <c r="F69" s="142" t="str">
        <f ca="1">IFERROR(VALUE(IF(VLOOKUP($A69,数出表_Excel!$A$6:$T$150,COLUMN()/2+1,FALSE)=0,"",VLOOKUP($A69,数出表_Excel!$A$6:$T$150,COLUMN()/2+1,FALSE))),"")</f>
        <v/>
      </c>
      <c r="G69" s="138"/>
      <c r="H69" s="138" t="str">
        <f ca="1">IFERROR(VALUE(IF(VLOOKUP($A69,数出表_Excel!$A$6:$T$150,COLUMN()/2+1,FALSE)=0,"",VLOOKUP($A69,数出表_Excel!$A$6:$T$150,COLUMN()/2+1,FALSE))),"")</f>
        <v/>
      </c>
      <c r="I69" s="138"/>
      <c r="J69" s="138" t="str">
        <f ca="1">IFERROR(VALUE(IF(VLOOKUP($A69,数出表_Excel!$A$6:$T$150,COLUMN()/2+1,FALSE)=0,"",VLOOKUP($A69,数出表_Excel!$A$6:$T$150,COLUMN()/2+1,FALSE))),"")</f>
        <v/>
      </c>
      <c r="K69" s="138"/>
      <c r="L69" s="142" t="str">
        <f ca="1">IFERROR(VALUE(IF(VLOOKUP($A69,数出表_Excel!$A$6:$T$150,COLUMN()/2+1,FALSE)=0,"",VLOOKUP($A69,数出表_Excel!$A$6:$T$150,COLUMN()/2+1,FALSE))),"")</f>
        <v/>
      </c>
      <c r="M69" s="138"/>
      <c r="N69" s="138" t="str">
        <f ca="1">IFERROR(VALUE(IF(VLOOKUP($A69,数出表_Excel!$A$6:$T$150,COLUMN()/2+1,FALSE)=0,"",VLOOKUP($A69,数出表_Excel!$A$6:$T$150,COLUMN()/2+1,FALSE))),"")</f>
        <v/>
      </c>
      <c r="O69" s="138"/>
      <c r="P69" s="138" t="str">
        <f ca="1">IFERROR(VALUE(IF(VLOOKUP($A69,数出表_Excel!$A$6:$T$150,COLUMN()/2+1,FALSE)=0,"",VLOOKUP($A69,数出表_Excel!$A$6:$T$150,COLUMN()/2+1,FALSE))),"")</f>
        <v/>
      </c>
      <c r="Q69" s="138"/>
      <c r="R69" s="138" t="str">
        <f ca="1">IFERROR(VALUE(IF(VLOOKUP($A69,数出表_Excel!$A$6:$T$150,COLUMN()/2+1,FALSE)=0,"",VLOOKUP($A69,数出表_Excel!$A$6:$T$150,COLUMN()/2+1,FALSE))),"")</f>
        <v/>
      </c>
      <c r="S69" s="138"/>
      <c r="T69" s="138" t="str">
        <f ca="1">IFERROR(VALUE(IF(VLOOKUP($A69,数出表_Excel!$A$6:$T$150,COLUMN()/2+1,FALSE)=0,"",VLOOKUP($A69,数出表_Excel!$A$6:$T$150,COLUMN()/2+1,FALSE))),"")</f>
        <v/>
      </c>
      <c r="U69" s="138"/>
      <c r="V69" s="142" t="str">
        <f ca="1">IFERROR(VALUE(IF(VLOOKUP($A69,数出表_Excel!$A$6:$T$150,COLUMN()/2+1,FALSE)=0,"",VLOOKUP($A69,数出表_Excel!$A$6:$T$150,COLUMN()/2+1,FALSE))),"")</f>
        <v/>
      </c>
      <c r="W69" s="138"/>
      <c r="X69" s="142" t="str">
        <f ca="1">IFERROR(VALUE(IF(VLOOKUP($A69,数出表_Excel!$A$6:$T$150,COLUMN()/2+1,FALSE)=0,"",VLOOKUP($A69,数出表_Excel!$A$6:$T$150,COLUMN()/2+1,FALSE))),"")</f>
        <v/>
      </c>
      <c r="Y69" s="138"/>
      <c r="Z69" s="142" t="str">
        <f ca="1">IFERROR(VALUE(IF(VLOOKUP($A69,数出表_Excel!$A$6:$T$150,COLUMN()/2+1,FALSE)=0,"",VLOOKUP($A69,数出表_Excel!$A$6:$T$150,COLUMN()/2+1,FALSE))),"")</f>
        <v/>
      </c>
      <c r="AA69" s="176"/>
      <c r="AB69" s="143" t="str">
        <f ca="1">IFERROR(VALUE(IF(VLOOKUP($A69,数出表_Excel!$A$6:$T$150,COLUMN()/2+1,FALSE)=0,"",VLOOKUP($A69,数出表_Excel!$A$6:$T$150,COLUMN()/2+1,FALSE))),"")</f>
        <v/>
      </c>
      <c r="AC69" s="138"/>
      <c r="AD69" s="142" t="str">
        <f ca="1">IFERROR(VALUE(IF(VLOOKUP($A69,数出表_Excel!$A$6:$T$150,COLUMN()/2+1,FALSE)=0,"",VLOOKUP($A69,数出表_Excel!$A$6:$T$150,COLUMN()/2+1,FALSE))),"")</f>
        <v/>
      </c>
      <c r="AE69" s="138"/>
      <c r="AF69" s="142" t="str">
        <f ca="1">IFERROR(VALUE(IF(VLOOKUP($A69,数出表_Excel!$A$6:$T$150,COLUMN()/2+1,FALSE)=0,"",VLOOKUP($A69,数出表_Excel!$A$6:$T$150,COLUMN()/2+1,FALSE))),"")</f>
        <v/>
      </c>
      <c r="AG69" s="138"/>
      <c r="AH69" s="142" t="str">
        <f ca="1">IFERROR(VALUE(IF(VLOOKUP($A69,数出表_Excel!$A$6:$T$150,COLUMN()/2+1,FALSE)=0,"",VLOOKUP($A69,数出表_Excel!$A$6:$T$150,COLUMN()/2+1,FALSE))),"")</f>
        <v/>
      </c>
      <c r="AI69" s="176"/>
      <c r="AJ69" s="143" t="str">
        <f ca="1">IFERROR(VALUE(IF(VLOOKUP($A69,数出表_Excel!$A$6:$T$150,COLUMN()/2+1,FALSE)=0,"",VLOOKUP($A69,数出表_Excel!$A$6:$T$150,COLUMN()/2+1,FALSE))),"")</f>
        <v/>
      </c>
      <c r="AK69" s="138"/>
      <c r="AL69" s="144" t="e">
        <f ca="1">IF(A69&lt;&gt;"",
IF(VLOOKUP($A69,数出表_Excel!$A$6:$T$150,COLUMN()/2+1,FALSE)=0,"",VLOOKUP($A69,数出表_Excel!$A$6:$T$150,COLUMN()/2+1,FALSE)),"")</f>
        <v>#N/A</v>
      </c>
      <c r="AM69" s="224" t="e">
        <f>数出表_Excel!V69</f>
        <v>#N/A</v>
      </c>
      <c r="AN69" s="225" t="e">
        <f>数出表_Excel!W69</f>
        <v>#N/A</v>
      </c>
    </row>
    <row r="70" spans="1:40" ht="16.2" customHeight="1" x14ac:dyDescent="0.45">
      <c r="A70" s="184" t="e">
        <f t="array" aca="1" ref="A70" ca="1">IF(OR(COUNTIF(A68,"*10002*"),COUNTIF(A68,"")),"",INDEX(貼り付け用!$A:$A,MATCH(A68,貼り付け用!$A:$A,0)+2,0))</f>
        <v>#N/A</v>
      </c>
      <c r="B70" s="172" t="str">
        <f ca="1">IFERROR(VALUE(IF(VLOOKUP($A70,数出表_Excel!$A$6:$T$150,COLUMN()/2+1,FALSE)=0,"",VLOOKUP($A70,数出表_Excel!$A$6:$T$150,COLUMN()/2+1,FALSE))),"")</f>
        <v/>
      </c>
      <c r="C70" s="137"/>
      <c r="D70" s="172" t="str">
        <f ca="1">IFERROR(VALUE(IF(VLOOKUP($A70,数出表_Excel!$A$6:$T$150,COLUMN()/2+1,FALSE)=0,"",VLOOKUP($A70,数出表_Excel!$A$6:$T$150,COLUMN()/2+1,FALSE))),"")</f>
        <v/>
      </c>
      <c r="E70" s="137"/>
      <c r="F70" s="174" t="str">
        <f ca="1">IFERROR(VALUE(IF(VLOOKUP($A70,数出表_Excel!$A$6:$T$150,COLUMN()/2+1,FALSE)=0,"",VLOOKUP($A70,数出表_Excel!$A$6:$T$150,COLUMN()/2+1,FALSE))),"")</f>
        <v/>
      </c>
      <c r="G70" s="137"/>
      <c r="H70" s="172" t="str">
        <f ca="1">IFERROR(VALUE(IF(VLOOKUP($A70,数出表_Excel!$A$6:$T$150,COLUMN()/2+1,FALSE)=0,"",VLOOKUP($A70,数出表_Excel!$A$6:$T$150,COLUMN()/2+1,FALSE))),"")</f>
        <v/>
      </c>
      <c r="I70" s="137"/>
      <c r="J70" s="172" t="str">
        <f ca="1">IFERROR(VALUE(IF(VLOOKUP($A70,数出表_Excel!$A$6:$T$150,COLUMN()/2+1,FALSE)=0,"",VLOOKUP($A70,数出表_Excel!$A$6:$T$150,COLUMN()/2+1,FALSE))),"")</f>
        <v/>
      </c>
      <c r="K70" s="137"/>
      <c r="L70" s="174" t="str">
        <f ca="1">IFERROR(VALUE(IF(VLOOKUP($A70,数出表_Excel!$A$6:$T$150,COLUMN()/2+1,FALSE)=0,"",VLOOKUP($A70,数出表_Excel!$A$6:$T$150,COLUMN()/2+1,FALSE))),"")</f>
        <v/>
      </c>
      <c r="M70" s="137"/>
      <c r="N70" s="172" t="str">
        <f ca="1">IFERROR(VALUE(IF(VLOOKUP($A70,数出表_Excel!$A$6:$T$150,COLUMN()/2+1,FALSE)=0,"",VLOOKUP($A70,数出表_Excel!$A$6:$T$150,COLUMN()/2+1,FALSE))),"")</f>
        <v/>
      </c>
      <c r="O70" s="137"/>
      <c r="P70" s="172" t="str">
        <f ca="1">IFERROR(VALUE(IF(VLOOKUP($A70,数出表_Excel!$A$6:$T$150,COLUMN()/2+1,FALSE)=0,"",VLOOKUP($A70,数出表_Excel!$A$6:$T$150,COLUMN()/2+1,FALSE))),"")</f>
        <v/>
      </c>
      <c r="Q70" s="137"/>
      <c r="R70" s="172" t="str">
        <f ca="1">IFERROR(VALUE(IF(VLOOKUP($A70,数出表_Excel!$A$6:$T$150,COLUMN()/2+1,FALSE)=0,"",VLOOKUP($A70,数出表_Excel!$A$6:$T$150,COLUMN()/2+1,FALSE))),"")</f>
        <v/>
      </c>
      <c r="S70" s="137"/>
      <c r="T70" s="172" t="str">
        <f ca="1">IFERROR(VALUE(IF(VLOOKUP($A70,数出表_Excel!$A$6:$T$150,COLUMN()/2+1,FALSE)=0,"",VLOOKUP($A70,数出表_Excel!$A$6:$T$150,COLUMN()/2+1,FALSE))),"")</f>
        <v/>
      </c>
      <c r="U70" s="137"/>
      <c r="V70" s="174" t="str">
        <f ca="1">IFERROR(VALUE(IF(VLOOKUP($A70,数出表_Excel!$A$6:$T$150,COLUMN()/2+1,FALSE)=0,"",VLOOKUP($A70,数出表_Excel!$A$6:$T$150,COLUMN()/2+1,FALSE))),"")</f>
        <v/>
      </c>
      <c r="W70" s="137"/>
      <c r="X70" s="174" t="str">
        <f ca="1">IFERROR(VALUE(IF(VLOOKUP($A70,数出表_Excel!$A$6:$T$150,COLUMN()/2+1,FALSE)=0,"",VLOOKUP($A70,数出表_Excel!$A$6:$T$150,COLUMN()/2+1,FALSE))),"")</f>
        <v/>
      </c>
      <c r="Y70" s="137"/>
      <c r="Z70" s="174" t="str">
        <f ca="1">IFERROR(VALUE(IF(VLOOKUP($A70,数出表_Excel!$A$6:$T$150,COLUMN()/2+1,FALSE)=0,"",VLOOKUP($A70,数出表_Excel!$A$6:$T$150,COLUMN()/2+1,FALSE))),"")</f>
        <v/>
      </c>
      <c r="AA70" s="175"/>
      <c r="AB70" s="173" t="str">
        <f ca="1">IFERROR(VALUE(IF(VLOOKUP($A70,数出表_Excel!$A$6:$T$150,COLUMN()/2+1,FALSE)=0,"",VLOOKUP($A70,数出表_Excel!$A$6:$T$150,COLUMN()/2+1,FALSE))),"")</f>
        <v/>
      </c>
      <c r="AC70" s="137"/>
      <c r="AD70" s="174" t="str">
        <f ca="1">IFERROR(VALUE(IF(VLOOKUP($A70,数出表_Excel!$A$6:$T$150,COLUMN()/2+1,FALSE)=0,"",VLOOKUP($A70,数出表_Excel!$A$6:$T$150,COLUMN()/2+1,FALSE))),"")</f>
        <v/>
      </c>
      <c r="AE70" s="137"/>
      <c r="AF70" s="174" t="str">
        <f ca="1">IFERROR(VALUE(IF(VLOOKUP($A70,数出表_Excel!$A$6:$T$150,COLUMN()/2+1,FALSE)=0,"",VLOOKUP($A70,数出表_Excel!$A$6:$T$150,COLUMN()/2+1,FALSE))),"")</f>
        <v/>
      </c>
      <c r="AG70" s="137"/>
      <c r="AH70" s="174" t="str">
        <f ca="1">IFERROR(VALUE(IF(VLOOKUP($A70,数出表_Excel!$A$6:$T$150,COLUMN()/2+1,FALSE)=0,"",VLOOKUP($A70,数出表_Excel!$A$6:$T$150,COLUMN()/2+1,FALSE))),"")</f>
        <v/>
      </c>
      <c r="AI70" s="175"/>
      <c r="AJ70" s="173" t="str">
        <f ca="1">IFERROR(VALUE(IF(VLOOKUP($A70,数出表_Excel!$A$6:$T$150,COLUMN()/2+1,FALSE)=0,"",VLOOKUP($A70,数出表_Excel!$A$6:$T$150,COLUMN()/2+1,FALSE))),"")</f>
        <v/>
      </c>
      <c r="AK70" s="137"/>
      <c r="AL70" s="141" t="e">
        <f ca="1">IF(A70&lt;&gt;"",
IF(VLOOKUP($A70,数出表_Excel!$A$6:$T$150,COLUMN()/2+1,FALSE)=0,"",VLOOKUP($A70,数出表_Excel!$A$6:$T$150,COLUMN()/2+1,FALSE)),"")</f>
        <v>#N/A</v>
      </c>
      <c r="AM70" s="222" t="e">
        <f>数出表_Excel!V70</f>
        <v>#N/A</v>
      </c>
      <c r="AN70" s="223" t="e">
        <f>数出表_Excel!W70</f>
        <v>#N/A</v>
      </c>
    </row>
    <row r="71" spans="1:40" ht="16.2" customHeight="1" x14ac:dyDescent="0.45">
      <c r="A71" s="185" t="e">
        <f t="array" aca="1" ref="A71" ca="1">IF(OR(COUNTIF(A69,"*1000*"),COUNTIF(A69,"")),"",INDEX(貼り付け用!$A:$A,MATCH(A69,貼り付け用!$A:$A,0)+2,0))</f>
        <v>#N/A</v>
      </c>
      <c r="B71" s="138" t="str">
        <f ca="1">IFERROR(VALUE(IF(VLOOKUP($A71,数出表_Excel!$A$6:$T$150,COLUMN()/2+1,FALSE)=0,"",VLOOKUP($A71,数出表_Excel!$A$6:$T$150,COLUMN()/2+1,FALSE))),"")</f>
        <v/>
      </c>
      <c r="C71" s="138"/>
      <c r="D71" s="138" t="str">
        <f ca="1">IFERROR(VALUE(IF(VLOOKUP($A71,数出表_Excel!$A$6:$T$150,COLUMN()/2+1,FALSE)=0,"",VLOOKUP($A71,数出表_Excel!$A$6:$T$150,COLUMN()/2+1,FALSE))),"")</f>
        <v/>
      </c>
      <c r="E71" s="138"/>
      <c r="F71" s="142" t="str">
        <f ca="1">IFERROR(VALUE(IF(VLOOKUP($A71,数出表_Excel!$A$6:$T$150,COLUMN()/2+1,FALSE)=0,"",VLOOKUP($A71,数出表_Excel!$A$6:$T$150,COLUMN()/2+1,FALSE))),"")</f>
        <v/>
      </c>
      <c r="G71" s="138"/>
      <c r="H71" s="138" t="str">
        <f ca="1">IFERROR(VALUE(IF(VLOOKUP($A71,数出表_Excel!$A$6:$T$150,COLUMN()/2+1,FALSE)=0,"",VLOOKUP($A71,数出表_Excel!$A$6:$T$150,COLUMN()/2+1,FALSE))),"")</f>
        <v/>
      </c>
      <c r="I71" s="138"/>
      <c r="J71" s="138" t="str">
        <f ca="1">IFERROR(VALUE(IF(VLOOKUP($A71,数出表_Excel!$A$6:$T$150,COLUMN()/2+1,FALSE)=0,"",VLOOKUP($A71,数出表_Excel!$A$6:$T$150,COLUMN()/2+1,FALSE))),"")</f>
        <v/>
      </c>
      <c r="K71" s="138"/>
      <c r="L71" s="142" t="str">
        <f ca="1">IFERROR(VALUE(IF(VLOOKUP($A71,数出表_Excel!$A$6:$T$150,COLUMN()/2+1,FALSE)=0,"",VLOOKUP($A71,数出表_Excel!$A$6:$T$150,COLUMN()/2+1,FALSE))),"")</f>
        <v/>
      </c>
      <c r="M71" s="138"/>
      <c r="N71" s="138" t="str">
        <f ca="1">IFERROR(VALUE(IF(VLOOKUP($A71,数出表_Excel!$A$6:$T$150,COLUMN()/2+1,FALSE)=0,"",VLOOKUP($A71,数出表_Excel!$A$6:$T$150,COLUMN()/2+1,FALSE))),"")</f>
        <v/>
      </c>
      <c r="O71" s="138"/>
      <c r="P71" s="138" t="str">
        <f ca="1">IFERROR(VALUE(IF(VLOOKUP($A71,数出表_Excel!$A$6:$T$150,COLUMN()/2+1,FALSE)=0,"",VLOOKUP($A71,数出表_Excel!$A$6:$T$150,COLUMN()/2+1,FALSE))),"")</f>
        <v/>
      </c>
      <c r="Q71" s="138"/>
      <c r="R71" s="138" t="str">
        <f ca="1">IFERROR(VALUE(IF(VLOOKUP($A71,数出表_Excel!$A$6:$T$150,COLUMN()/2+1,FALSE)=0,"",VLOOKUP($A71,数出表_Excel!$A$6:$T$150,COLUMN()/2+1,FALSE))),"")</f>
        <v/>
      </c>
      <c r="S71" s="138"/>
      <c r="T71" s="138" t="str">
        <f ca="1">IFERROR(VALUE(IF(VLOOKUP($A71,数出表_Excel!$A$6:$T$150,COLUMN()/2+1,FALSE)=0,"",VLOOKUP($A71,数出表_Excel!$A$6:$T$150,COLUMN()/2+1,FALSE))),"")</f>
        <v/>
      </c>
      <c r="U71" s="138"/>
      <c r="V71" s="142" t="str">
        <f ca="1">IFERROR(VALUE(IF(VLOOKUP($A71,数出表_Excel!$A$6:$T$150,COLUMN()/2+1,FALSE)=0,"",VLOOKUP($A71,数出表_Excel!$A$6:$T$150,COLUMN()/2+1,FALSE))),"")</f>
        <v/>
      </c>
      <c r="W71" s="138"/>
      <c r="X71" s="142" t="str">
        <f ca="1">IFERROR(VALUE(IF(VLOOKUP($A71,数出表_Excel!$A$6:$T$150,COLUMN()/2+1,FALSE)=0,"",VLOOKUP($A71,数出表_Excel!$A$6:$T$150,COLUMN()/2+1,FALSE))),"")</f>
        <v/>
      </c>
      <c r="Y71" s="138"/>
      <c r="Z71" s="142" t="str">
        <f ca="1">IFERROR(VALUE(IF(VLOOKUP($A71,数出表_Excel!$A$6:$T$150,COLUMN()/2+1,FALSE)=0,"",VLOOKUP($A71,数出表_Excel!$A$6:$T$150,COLUMN()/2+1,FALSE))),"")</f>
        <v/>
      </c>
      <c r="AA71" s="176"/>
      <c r="AB71" s="143" t="str">
        <f ca="1">IFERROR(VALUE(IF(VLOOKUP($A71,数出表_Excel!$A$6:$T$150,COLUMN()/2+1,FALSE)=0,"",VLOOKUP($A71,数出表_Excel!$A$6:$T$150,COLUMN()/2+1,FALSE))),"")</f>
        <v/>
      </c>
      <c r="AC71" s="138"/>
      <c r="AD71" s="142" t="str">
        <f ca="1">IFERROR(VALUE(IF(VLOOKUP($A71,数出表_Excel!$A$6:$T$150,COLUMN()/2+1,FALSE)=0,"",VLOOKUP($A71,数出表_Excel!$A$6:$T$150,COLUMN()/2+1,FALSE))),"")</f>
        <v/>
      </c>
      <c r="AE71" s="138"/>
      <c r="AF71" s="142" t="str">
        <f ca="1">IFERROR(VALUE(IF(VLOOKUP($A71,数出表_Excel!$A$6:$T$150,COLUMN()/2+1,FALSE)=0,"",VLOOKUP($A71,数出表_Excel!$A$6:$T$150,COLUMN()/2+1,FALSE))),"")</f>
        <v/>
      </c>
      <c r="AG71" s="138"/>
      <c r="AH71" s="142" t="str">
        <f ca="1">IFERROR(VALUE(IF(VLOOKUP($A71,数出表_Excel!$A$6:$T$150,COLUMN()/2+1,FALSE)=0,"",VLOOKUP($A71,数出表_Excel!$A$6:$T$150,COLUMN()/2+1,FALSE))),"")</f>
        <v/>
      </c>
      <c r="AI71" s="176"/>
      <c r="AJ71" s="143" t="str">
        <f ca="1">IFERROR(VALUE(IF(VLOOKUP($A71,数出表_Excel!$A$6:$T$150,COLUMN()/2+1,FALSE)=0,"",VLOOKUP($A71,数出表_Excel!$A$6:$T$150,COLUMN()/2+1,FALSE))),"")</f>
        <v/>
      </c>
      <c r="AK71" s="138"/>
      <c r="AL71" s="144" t="e">
        <f ca="1">IF(A71&lt;&gt;"",
IF(VLOOKUP($A71,数出表_Excel!$A$6:$T$150,COLUMN()/2+1,FALSE)=0,"",VLOOKUP($A71,数出表_Excel!$A$6:$T$150,COLUMN()/2+1,FALSE)),"")</f>
        <v>#N/A</v>
      </c>
      <c r="AM71" s="224" t="e">
        <f>数出表_Excel!V71</f>
        <v>#N/A</v>
      </c>
      <c r="AN71" s="225" t="e">
        <f>数出表_Excel!W71</f>
        <v>#N/A</v>
      </c>
    </row>
    <row r="72" spans="1:40" ht="16.2" customHeight="1" x14ac:dyDescent="0.45">
      <c r="A72" s="184" t="e">
        <f t="array" aca="1" ref="A72" ca="1">IF(OR(COUNTIF(A70,"*10002*"),COUNTIF(A70,"")),"",INDEX(貼り付け用!$A:$A,MATCH(A70,貼り付け用!$A:$A,0)+2,0))</f>
        <v>#N/A</v>
      </c>
      <c r="B72" s="172" t="str">
        <f ca="1">IFERROR(VALUE(IF(VLOOKUP($A72,数出表_Excel!$A$6:$T$150,COLUMN()/2+1,FALSE)=0,"",VLOOKUP($A72,数出表_Excel!$A$6:$T$150,COLUMN()/2+1,FALSE))),"")</f>
        <v/>
      </c>
      <c r="C72" s="137"/>
      <c r="D72" s="172" t="str">
        <f ca="1">IFERROR(VALUE(IF(VLOOKUP($A72,数出表_Excel!$A$6:$T$150,COLUMN()/2+1,FALSE)=0,"",VLOOKUP($A72,数出表_Excel!$A$6:$T$150,COLUMN()/2+1,FALSE))),"")</f>
        <v/>
      </c>
      <c r="E72" s="137"/>
      <c r="F72" s="174" t="str">
        <f ca="1">IFERROR(VALUE(IF(VLOOKUP($A72,数出表_Excel!$A$6:$T$150,COLUMN()/2+1,FALSE)=0,"",VLOOKUP($A72,数出表_Excel!$A$6:$T$150,COLUMN()/2+1,FALSE))),"")</f>
        <v/>
      </c>
      <c r="G72" s="137"/>
      <c r="H72" s="172" t="str">
        <f ca="1">IFERROR(VALUE(IF(VLOOKUP($A72,数出表_Excel!$A$6:$T$150,COLUMN()/2+1,FALSE)=0,"",VLOOKUP($A72,数出表_Excel!$A$6:$T$150,COLUMN()/2+1,FALSE))),"")</f>
        <v/>
      </c>
      <c r="I72" s="137"/>
      <c r="J72" s="172" t="str">
        <f ca="1">IFERROR(VALUE(IF(VLOOKUP($A72,数出表_Excel!$A$6:$T$150,COLUMN()/2+1,FALSE)=0,"",VLOOKUP($A72,数出表_Excel!$A$6:$T$150,COLUMN()/2+1,FALSE))),"")</f>
        <v/>
      </c>
      <c r="K72" s="137"/>
      <c r="L72" s="174" t="str">
        <f ca="1">IFERROR(VALUE(IF(VLOOKUP($A72,数出表_Excel!$A$6:$T$150,COLUMN()/2+1,FALSE)=0,"",VLOOKUP($A72,数出表_Excel!$A$6:$T$150,COLUMN()/2+1,FALSE))),"")</f>
        <v/>
      </c>
      <c r="M72" s="137"/>
      <c r="N72" s="172" t="str">
        <f ca="1">IFERROR(VALUE(IF(VLOOKUP($A72,数出表_Excel!$A$6:$T$150,COLUMN()/2+1,FALSE)=0,"",VLOOKUP($A72,数出表_Excel!$A$6:$T$150,COLUMN()/2+1,FALSE))),"")</f>
        <v/>
      </c>
      <c r="O72" s="137"/>
      <c r="P72" s="172" t="str">
        <f ca="1">IFERROR(VALUE(IF(VLOOKUP($A72,数出表_Excel!$A$6:$T$150,COLUMN()/2+1,FALSE)=0,"",VLOOKUP($A72,数出表_Excel!$A$6:$T$150,COLUMN()/2+1,FALSE))),"")</f>
        <v/>
      </c>
      <c r="Q72" s="137"/>
      <c r="R72" s="172" t="str">
        <f ca="1">IFERROR(VALUE(IF(VLOOKUP($A72,数出表_Excel!$A$6:$T$150,COLUMN()/2+1,FALSE)=0,"",VLOOKUP($A72,数出表_Excel!$A$6:$T$150,COLUMN()/2+1,FALSE))),"")</f>
        <v/>
      </c>
      <c r="S72" s="137"/>
      <c r="T72" s="172" t="str">
        <f ca="1">IFERROR(VALUE(IF(VLOOKUP($A72,数出表_Excel!$A$6:$T$150,COLUMN()/2+1,FALSE)=0,"",VLOOKUP($A72,数出表_Excel!$A$6:$T$150,COLUMN()/2+1,FALSE))),"")</f>
        <v/>
      </c>
      <c r="U72" s="137"/>
      <c r="V72" s="174" t="str">
        <f ca="1">IFERROR(VALUE(IF(VLOOKUP($A72,数出表_Excel!$A$6:$T$150,COLUMN()/2+1,FALSE)=0,"",VLOOKUP($A72,数出表_Excel!$A$6:$T$150,COLUMN()/2+1,FALSE))),"")</f>
        <v/>
      </c>
      <c r="W72" s="137"/>
      <c r="X72" s="174" t="str">
        <f ca="1">IFERROR(VALUE(IF(VLOOKUP($A72,数出表_Excel!$A$6:$T$150,COLUMN()/2+1,FALSE)=0,"",VLOOKUP($A72,数出表_Excel!$A$6:$T$150,COLUMN()/2+1,FALSE))),"")</f>
        <v/>
      </c>
      <c r="Y72" s="137"/>
      <c r="Z72" s="174" t="str">
        <f ca="1">IFERROR(VALUE(IF(VLOOKUP($A72,数出表_Excel!$A$6:$T$150,COLUMN()/2+1,FALSE)=0,"",VLOOKUP($A72,数出表_Excel!$A$6:$T$150,COLUMN()/2+1,FALSE))),"")</f>
        <v/>
      </c>
      <c r="AA72" s="175"/>
      <c r="AB72" s="173" t="str">
        <f ca="1">IFERROR(VALUE(IF(VLOOKUP($A72,数出表_Excel!$A$6:$T$150,COLUMN()/2+1,FALSE)=0,"",VLOOKUP($A72,数出表_Excel!$A$6:$T$150,COLUMN()/2+1,FALSE))),"")</f>
        <v/>
      </c>
      <c r="AC72" s="137"/>
      <c r="AD72" s="174" t="str">
        <f ca="1">IFERROR(VALUE(IF(VLOOKUP($A72,数出表_Excel!$A$6:$T$150,COLUMN()/2+1,FALSE)=0,"",VLOOKUP($A72,数出表_Excel!$A$6:$T$150,COLUMN()/2+1,FALSE))),"")</f>
        <v/>
      </c>
      <c r="AE72" s="137"/>
      <c r="AF72" s="174" t="str">
        <f ca="1">IFERROR(VALUE(IF(VLOOKUP($A72,数出表_Excel!$A$6:$T$150,COLUMN()/2+1,FALSE)=0,"",VLOOKUP($A72,数出表_Excel!$A$6:$T$150,COLUMN()/2+1,FALSE))),"")</f>
        <v/>
      </c>
      <c r="AG72" s="137"/>
      <c r="AH72" s="174" t="str">
        <f ca="1">IFERROR(VALUE(IF(VLOOKUP($A72,数出表_Excel!$A$6:$T$150,COLUMN()/2+1,FALSE)=0,"",VLOOKUP($A72,数出表_Excel!$A$6:$T$150,COLUMN()/2+1,FALSE))),"")</f>
        <v/>
      </c>
      <c r="AI72" s="175"/>
      <c r="AJ72" s="173" t="str">
        <f ca="1">IFERROR(VALUE(IF(VLOOKUP($A72,数出表_Excel!$A$6:$T$150,COLUMN()/2+1,FALSE)=0,"",VLOOKUP($A72,数出表_Excel!$A$6:$T$150,COLUMN()/2+1,FALSE))),"")</f>
        <v/>
      </c>
      <c r="AK72" s="137"/>
      <c r="AL72" s="141" t="e">
        <f ca="1">IF(A72&lt;&gt;"",
IF(VLOOKUP($A72,数出表_Excel!$A$6:$T$150,COLUMN()/2+1,FALSE)=0,"",VLOOKUP($A72,数出表_Excel!$A$6:$T$150,COLUMN()/2+1,FALSE)),"")</f>
        <v>#N/A</v>
      </c>
      <c r="AM72" s="222" t="e">
        <f>数出表_Excel!V72</f>
        <v>#N/A</v>
      </c>
      <c r="AN72" s="223" t="e">
        <f>数出表_Excel!W72</f>
        <v>#N/A</v>
      </c>
    </row>
    <row r="73" spans="1:40" ht="16.2" customHeight="1" x14ac:dyDescent="0.45">
      <c r="A73" s="185" t="e">
        <f t="array" aca="1" ref="A73" ca="1">IF(OR(COUNTIF(A71,"*1000*"),COUNTIF(A71,"")),"",INDEX(貼り付け用!$A:$A,MATCH(A71,貼り付け用!$A:$A,0)+2,0))</f>
        <v>#N/A</v>
      </c>
      <c r="B73" s="138" t="str">
        <f ca="1">IFERROR(VALUE(IF(VLOOKUP($A73,数出表_Excel!$A$6:$T$150,COLUMN()/2+1,FALSE)=0,"",VLOOKUP($A73,数出表_Excel!$A$6:$T$150,COLUMN()/2+1,FALSE))),"")</f>
        <v/>
      </c>
      <c r="C73" s="138"/>
      <c r="D73" s="138" t="str">
        <f ca="1">IFERROR(VALUE(IF(VLOOKUP($A73,数出表_Excel!$A$6:$T$150,COLUMN()/2+1,FALSE)=0,"",VLOOKUP($A73,数出表_Excel!$A$6:$T$150,COLUMN()/2+1,FALSE))),"")</f>
        <v/>
      </c>
      <c r="E73" s="138"/>
      <c r="F73" s="142" t="str">
        <f ca="1">IFERROR(VALUE(IF(VLOOKUP($A73,数出表_Excel!$A$6:$T$150,COLUMN()/2+1,FALSE)=0,"",VLOOKUP($A73,数出表_Excel!$A$6:$T$150,COLUMN()/2+1,FALSE))),"")</f>
        <v/>
      </c>
      <c r="G73" s="138"/>
      <c r="H73" s="138" t="str">
        <f ca="1">IFERROR(VALUE(IF(VLOOKUP($A73,数出表_Excel!$A$6:$T$150,COLUMN()/2+1,FALSE)=0,"",VLOOKUP($A73,数出表_Excel!$A$6:$T$150,COLUMN()/2+1,FALSE))),"")</f>
        <v/>
      </c>
      <c r="I73" s="138"/>
      <c r="J73" s="138" t="str">
        <f ca="1">IFERROR(VALUE(IF(VLOOKUP($A73,数出表_Excel!$A$6:$T$150,COLUMN()/2+1,FALSE)=0,"",VLOOKUP($A73,数出表_Excel!$A$6:$T$150,COLUMN()/2+1,FALSE))),"")</f>
        <v/>
      </c>
      <c r="K73" s="138"/>
      <c r="L73" s="142" t="str">
        <f ca="1">IFERROR(VALUE(IF(VLOOKUP($A73,数出表_Excel!$A$6:$T$150,COLUMN()/2+1,FALSE)=0,"",VLOOKUP($A73,数出表_Excel!$A$6:$T$150,COLUMN()/2+1,FALSE))),"")</f>
        <v/>
      </c>
      <c r="M73" s="138"/>
      <c r="N73" s="138" t="str">
        <f ca="1">IFERROR(VALUE(IF(VLOOKUP($A73,数出表_Excel!$A$6:$T$150,COLUMN()/2+1,FALSE)=0,"",VLOOKUP($A73,数出表_Excel!$A$6:$T$150,COLUMN()/2+1,FALSE))),"")</f>
        <v/>
      </c>
      <c r="O73" s="138"/>
      <c r="P73" s="138" t="str">
        <f ca="1">IFERROR(VALUE(IF(VLOOKUP($A73,数出表_Excel!$A$6:$T$150,COLUMN()/2+1,FALSE)=0,"",VLOOKUP($A73,数出表_Excel!$A$6:$T$150,COLUMN()/2+1,FALSE))),"")</f>
        <v/>
      </c>
      <c r="Q73" s="138"/>
      <c r="R73" s="138" t="str">
        <f ca="1">IFERROR(VALUE(IF(VLOOKUP($A73,数出表_Excel!$A$6:$T$150,COLUMN()/2+1,FALSE)=0,"",VLOOKUP($A73,数出表_Excel!$A$6:$T$150,COLUMN()/2+1,FALSE))),"")</f>
        <v/>
      </c>
      <c r="S73" s="138"/>
      <c r="T73" s="138" t="str">
        <f ca="1">IFERROR(VALUE(IF(VLOOKUP($A73,数出表_Excel!$A$6:$T$150,COLUMN()/2+1,FALSE)=0,"",VLOOKUP($A73,数出表_Excel!$A$6:$T$150,COLUMN()/2+1,FALSE))),"")</f>
        <v/>
      </c>
      <c r="U73" s="138"/>
      <c r="V73" s="142" t="str">
        <f ca="1">IFERROR(VALUE(IF(VLOOKUP($A73,数出表_Excel!$A$6:$T$150,COLUMN()/2+1,FALSE)=0,"",VLOOKUP($A73,数出表_Excel!$A$6:$T$150,COLUMN()/2+1,FALSE))),"")</f>
        <v/>
      </c>
      <c r="W73" s="138"/>
      <c r="X73" s="142" t="str">
        <f ca="1">IFERROR(VALUE(IF(VLOOKUP($A73,数出表_Excel!$A$6:$T$150,COLUMN()/2+1,FALSE)=0,"",VLOOKUP($A73,数出表_Excel!$A$6:$T$150,COLUMN()/2+1,FALSE))),"")</f>
        <v/>
      </c>
      <c r="Y73" s="138"/>
      <c r="Z73" s="142" t="str">
        <f ca="1">IFERROR(VALUE(IF(VLOOKUP($A73,数出表_Excel!$A$6:$T$150,COLUMN()/2+1,FALSE)=0,"",VLOOKUP($A73,数出表_Excel!$A$6:$T$150,COLUMN()/2+1,FALSE))),"")</f>
        <v/>
      </c>
      <c r="AA73" s="176"/>
      <c r="AB73" s="143" t="str">
        <f ca="1">IFERROR(VALUE(IF(VLOOKUP($A73,数出表_Excel!$A$6:$T$150,COLUMN()/2+1,FALSE)=0,"",VLOOKUP($A73,数出表_Excel!$A$6:$T$150,COLUMN()/2+1,FALSE))),"")</f>
        <v/>
      </c>
      <c r="AC73" s="138"/>
      <c r="AD73" s="142" t="str">
        <f ca="1">IFERROR(VALUE(IF(VLOOKUP($A73,数出表_Excel!$A$6:$T$150,COLUMN()/2+1,FALSE)=0,"",VLOOKUP($A73,数出表_Excel!$A$6:$T$150,COLUMN()/2+1,FALSE))),"")</f>
        <v/>
      </c>
      <c r="AE73" s="138"/>
      <c r="AF73" s="142" t="str">
        <f ca="1">IFERROR(VALUE(IF(VLOOKUP($A73,数出表_Excel!$A$6:$T$150,COLUMN()/2+1,FALSE)=0,"",VLOOKUP($A73,数出表_Excel!$A$6:$T$150,COLUMN()/2+1,FALSE))),"")</f>
        <v/>
      </c>
      <c r="AG73" s="138"/>
      <c r="AH73" s="142" t="str">
        <f ca="1">IFERROR(VALUE(IF(VLOOKUP($A73,数出表_Excel!$A$6:$T$150,COLUMN()/2+1,FALSE)=0,"",VLOOKUP($A73,数出表_Excel!$A$6:$T$150,COLUMN()/2+1,FALSE))),"")</f>
        <v/>
      </c>
      <c r="AI73" s="176"/>
      <c r="AJ73" s="143" t="str">
        <f ca="1">IFERROR(VALUE(IF(VLOOKUP($A73,数出表_Excel!$A$6:$T$150,COLUMN()/2+1,FALSE)=0,"",VLOOKUP($A73,数出表_Excel!$A$6:$T$150,COLUMN()/2+1,FALSE))),"")</f>
        <v/>
      </c>
      <c r="AK73" s="138"/>
      <c r="AL73" s="144" t="e">
        <f ca="1">IF(A73&lt;&gt;"",
IF(VLOOKUP($A73,数出表_Excel!$A$6:$T$150,COLUMN()/2+1,FALSE)=0,"",VLOOKUP($A73,数出表_Excel!$A$6:$T$150,COLUMN()/2+1,FALSE)),"")</f>
        <v>#N/A</v>
      </c>
      <c r="AM73" s="224" t="e">
        <f>数出表_Excel!V73</f>
        <v>#N/A</v>
      </c>
      <c r="AN73" s="225" t="e">
        <f>数出表_Excel!W73</f>
        <v>#N/A</v>
      </c>
    </row>
    <row r="74" spans="1:40" ht="16.2" customHeight="1" x14ac:dyDescent="0.45">
      <c r="A74" s="184" t="e">
        <f t="array" aca="1" ref="A74" ca="1">IF(OR(COUNTIF(A72,"*10002*"),COUNTIF(A72,"")),"",INDEX(貼り付け用!$A:$A,MATCH(A72,貼り付け用!$A:$A,0)+2,0))</f>
        <v>#N/A</v>
      </c>
      <c r="B74" s="172" t="str">
        <f ca="1">IFERROR(VALUE(IF(VLOOKUP($A74,数出表_Excel!$A$6:$T$150,COLUMN()/2+1,FALSE)=0,"",VLOOKUP($A74,数出表_Excel!$A$6:$T$150,COLUMN()/2+1,FALSE))),"")</f>
        <v/>
      </c>
      <c r="C74" s="137"/>
      <c r="D74" s="172" t="str">
        <f ca="1">IFERROR(VALUE(IF(VLOOKUP($A74,数出表_Excel!$A$6:$T$150,COLUMN()/2+1,FALSE)=0,"",VLOOKUP($A74,数出表_Excel!$A$6:$T$150,COLUMN()/2+1,FALSE))),"")</f>
        <v/>
      </c>
      <c r="E74" s="137"/>
      <c r="F74" s="174" t="str">
        <f ca="1">IFERROR(VALUE(IF(VLOOKUP($A74,数出表_Excel!$A$6:$T$150,COLUMN()/2+1,FALSE)=0,"",VLOOKUP($A74,数出表_Excel!$A$6:$T$150,COLUMN()/2+1,FALSE))),"")</f>
        <v/>
      </c>
      <c r="G74" s="137"/>
      <c r="H74" s="172" t="str">
        <f ca="1">IFERROR(VALUE(IF(VLOOKUP($A74,数出表_Excel!$A$6:$T$150,COLUMN()/2+1,FALSE)=0,"",VLOOKUP($A74,数出表_Excel!$A$6:$T$150,COLUMN()/2+1,FALSE))),"")</f>
        <v/>
      </c>
      <c r="I74" s="137"/>
      <c r="J74" s="172" t="str">
        <f ca="1">IFERROR(VALUE(IF(VLOOKUP($A74,数出表_Excel!$A$6:$T$150,COLUMN()/2+1,FALSE)=0,"",VLOOKUP($A74,数出表_Excel!$A$6:$T$150,COLUMN()/2+1,FALSE))),"")</f>
        <v/>
      </c>
      <c r="K74" s="137"/>
      <c r="L74" s="174" t="str">
        <f ca="1">IFERROR(VALUE(IF(VLOOKUP($A74,数出表_Excel!$A$6:$T$150,COLUMN()/2+1,FALSE)=0,"",VLOOKUP($A74,数出表_Excel!$A$6:$T$150,COLUMN()/2+1,FALSE))),"")</f>
        <v/>
      </c>
      <c r="M74" s="137"/>
      <c r="N74" s="172" t="str">
        <f ca="1">IFERROR(VALUE(IF(VLOOKUP($A74,数出表_Excel!$A$6:$T$150,COLUMN()/2+1,FALSE)=0,"",VLOOKUP($A74,数出表_Excel!$A$6:$T$150,COLUMN()/2+1,FALSE))),"")</f>
        <v/>
      </c>
      <c r="O74" s="137"/>
      <c r="P74" s="172" t="str">
        <f ca="1">IFERROR(VALUE(IF(VLOOKUP($A74,数出表_Excel!$A$6:$T$150,COLUMN()/2+1,FALSE)=0,"",VLOOKUP($A74,数出表_Excel!$A$6:$T$150,COLUMN()/2+1,FALSE))),"")</f>
        <v/>
      </c>
      <c r="Q74" s="137"/>
      <c r="R74" s="172" t="str">
        <f ca="1">IFERROR(VALUE(IF(VLOOKUP($A74,数出表_Excel!$A$6:$T$150,COLUMN()/2+1,FALSE)=0,"",VLOOKUP($A74,数出表_Excel!$A$6:$T$150,COLUMN()/2+1,FALSE))),"")</f>
        <v/>
      </c>
      <c r="S74" s="137"/>
      <c r="T74" s="172" t="str">
        <f ca="1">IFERROR(VALUE(IF(VLOOKUP($A74,数出表_Excel!$A$6:$T$150,COLUMN()/2+1,FALSE)=0,"",VLOOKUP($A74,数出表_Excel!$A$6:$T$150,COLUMN()/2+1,FALSE))),"")</f>
        <v/>
      </c>
      <c r="U74" s="137"/>
      <c r="V74" s="174" t="str">
        <f ca="1">IFERROR(VALUE(IF(VLOOKUP($A74,数出表_Excel!$A$6:$T$150,COLUMN()/2+1,FALSE)=0,"",VLOOKUP($A74,数出表_Excel!$A$6:$T$150,COLUMN()/2+1,FALSE))),"")</f>
        <v/>
      </c>
      <c r="W74" s="137"/>
      <c r="X74" s="174" t="str">
        <f ca="1">IFERROR(VALUE(IF(VLOOKUP($A74,数出表_Excel!$A$6:$T$150,COLUMN()/2+1,FALSE)=0,"",VLOOKUP($A74,数出表_Excel!$A$6:$T$150,COLUMN()/2+1,FALSE))),"")</f>
        <v/>
      </c>
      <c r="Y74" s="137"/>
      <c r="Z74" s="174" t="str">
        <f ca="1">IFERROR(VALUE(IF(VLOOKUP($A74,数出表_Excel!$A$6:$T$150,COLUMN()/2+1,FALSE)=0,"",VLOOKUP($A74,数出表_Excel!$A$6:$T$150,COLUMN()/2+1,FALSE))),"")</f>
        <v/>
      </c>
      <c r="AA74" s="175"/>
      <c r="AB74" s="173" t="str">
        <f ca="1">IFERROR(VALUE(IF(VLOOKUP($A74,数出表_Excel!$A$6:$T$150,COLUMN()/2+1,FALSE)=0,"",VLOOKUP($A74,数出表_Excel!$A$6:$T$150,COLUMN()/2+1,FALSE))),"")</f>
        <v/>
      </c>
      <c r="AC74" s="137"/>
      <c r="AD74" s="174" t="str">
        <f ca="1">IFERROR(VALUE(IF(VLOOKUP($A74,数出表_Excel!$A$6:$T$150,COLUMN()/2+1,FALSE)=0,"",VLOOKUP($A74,数出表_Excel!$A$6:$T$150,COLUMN()/2+1,FALSE))),"")</f>
        <v/>
      </c>
      <c r="AE74" s="137"/>
      <c r="AF74" s="174" t="str">
        <f ca="1">IFERROR(VALUE(IF(VLOOKUP($A74,数出表_Excel!$A$6:$T$150,COLUMN()/2+1,FALSE)=0,"",VLOOKUP($A74,数出表_Excel!$A$6:$T$150,COLUMN()/2+1,FALSE))),"")</f>
        <v/>
      </c>
      <c r="AG74" s="137"/>
      <c r="AH74" s="174" t="str">
        <f ca="1">IFERROR(VALUE(IF(VLOOKUP($A74,数出表_Excel!$A$6:$T$150,COLUMN()/2+1,FALSE)=0,"",VLOOKUP($A74,数出表_Excel!$A$6:$T$150,COLUMN()/2+1,FALSE))),"")</f>
        <v/>
      </c>
      <c r="AI74" s="175"/>
      <c r="AJ74" s="173" t="str">
        <f ca="1">IFERROR(VALUE(IF(VLOOKUP($A74,数出表_Excel!$A$6:$T$150,COLUMN()/2+1,FALSE)=0,"",VLOOKUP($A74,数出表_Excel!$A$6:$T$150,COLUMN()/2+1,FALSE))),"")</f>
        <v/>
      </c>
      <c r="AK74" s="137"/>
      <c r="AL74" s="141" t="e">
        <f ca="1">IF(A74&lt;&gt;"",
IF(VLOOKUP($A74,数出表_Excel!$A$6:$T$150,COLUMN()/2+1,FALSE)=0,"",VLOOKUP($A74,数出表_Excel!$A$6:$T$150,COLUMN()/2+1,FALSE)),"")</f>
        <v>#N/A</v>
      </c>
      <c r="AM74" s="222" t="e">
        <f>数出表_Excel!V74</f>
        <v>#N/A</v>
      </c>
      <c r="AN74" s="223" t="e">
        <f>数出表_Excel!W74</f>
        <v>#N/A</v>
      </c>
    </row>
    <row r="75" spans="1:40" ht="16.2" customHeight="1" x14ac:dyDescent="0.45">
      <c r="A75" s="185" t="e">
        <f t="array" aca="1" ref="A75" ca="1">IF(OR(COUNTIF(A73,"*1000*"),COUNTIF(A73,"")),"",INDEX(貼り付け用!$A:$A,MATCH(A73,貼り付け用!$A:$A,0)+2,0))</f>
        <v>#N/A</v>
      </c>
      <c r="B75" s="138" t="str">
        <f ca="1">IFERROR(VALUE(IF(VLOOKUP($A75,数出表_Excel!$A$6:$T$150,COLUMN()/2+1,FALSE)=0,"",VLOOKUP($A75,数出表_Excel!$A$6:$T$150,COLUMN()/2+1,FALSE))),"")</f>
        <v/>
      </c>
      <c r="C75" s="138"/>
      <c r="D75" s="138" t="str">
        <f ca="1">IFERROR(VALUE(IF(VLOOKUP($A75,数出表_Excel!$A$6:$T$150,COLUMN()/2+1,FALSE)=0,"",VLOOKUP($A75,数出表_Excel!$A$6:$T$150,COLUMN()/2+1,FALSE))),"")</f>
        <v/>
      </c>
      <c r="E75" s="138"/>
      <c r="F75" s="142" t="str">
        <f ca="1">IFERROR(VALUE(IF(VLOOKUP($A75,数出表_Excel!$A$6:$T$150,COLUMN()/2+1,FALSE)=0,"",VLOOKUP($A75,数出表_Excel!$A$6:$T$150,COLUMN()/2+1,FALSE))),"")</f>
        <v/>
      </c>
      <c r="G75" s="138"/>
      <c r="H75" s="138" t="str">
        <f ca="1">IFERROR(VALUE(IF(VLOOKUP($A75,数出表_Excel!$A$6:$T$150,COLUMN()/2+1,FALSE)=0,"",VLOOKUP($A75,数出表_Excel!$A$6:$T$150,COLUMN()/2+1,FALSE))),"")</f>
        <v/>
      </c>
      <c r="I75" s="138"/>
      <c r="J75" s="138" t="str">
        <f ca="1">IFERROR(VALUE(IF(VLOOKUP($A75,数出表_Excel!$A$6:$T$150,COLUMN()/2+1,FALSE)=0,"",VLOOKUP($A75,数出表_Excel!$A$6:$T$150,COLUMN()/2+1,FALSE))),"")</f>
        <v/>
      </c>
      <c r="K75" s="138"/>
      <c r="L75" s="142" t="str">
        <f ca="1">IFERROR(VALUE(IF(VLOOKUP($A75,数出表_Excel!$A$6:$T$150,COLUMN()/2+1,FALSE)=0,"",VLOOKUP($A75,数出表_Excel!$A$6:$T$150,COLUMN()/2+1,FALSE))),"")</f>
        <v/>
      </c>
      <c r="M75" s="138"/>
      <c r="N75" s="138" t="str">
        <f ca="1">IFERROR(VALUE(IF(VLOOKUP($A75,数出表_Excel!$A$6:$T$150,COLUMN()/2+1,FALSE)=0,"",VLOOKUP($A75,数出表_Excel!$A$6:$T$150,COLUMN()/2+1,FALSE))),"")</f>
        <v/>
      </c>
      <c r="O75" s="138"/>
      <c r="P75" s="138" t="str">
        <f ca="1">IFERROR(VALUE(IF(VLOOKUP($A75,数出表_Excel!$A$6:$T$150,COLUMN()/2+1,FALSE)=0,"",VLOOKUP($A75,数出表_Excel!$A$6:$T$150,COLUMN()/2+1,FALSE))),"")</f>
        <v/>
      </c>
      <c r="Q75" s="138"/>
      <c r="R75" s="138" t="str">
        <f ca="1">IFERROR(VALUE(IF(VLOOKUP($A75,数出表_Excel!$A$6:$T$150,COLUMN()/2+1,FALSE)=0,"",VLOOKUP($A75,数出表_Excel!$A$6:$T$150,COLUMN()/2+1,FALSE))),"")</f>
        <v/>
      </c>
      <c r="S75" s="138"/>
      <c r="T75" s="138" t="str">
        <f ca="1">IFERROR(VALUE(IF(VLOOKUP($A75,数出表_Excel!$A$6:$T$150,COLUMN()/2+1,FALSE)=0,"",VLOOKUP($A75,数出表_Excel!$A$6:$T$150,COLUMN()/2+1,FALSE))),"")</f>
        <v/>
      </c>
      <c r="U75" s="138"/>
      <c r="V75" s="142" t="str">
        <f ca="1">IFERROR(VALUE(IF(VLOOKUP($A75,数出表_Excel!$A$6:$T$150,COLUMN()/2+1,FALSE)=0,"",VLOOKUP($A75,数出表_Excel!$A$6:$T$150,COLUMN()/2+1,FALSE))),"")</f>
        <v/>
      </c>
      <c r="W75" s="138"/>
      <c r="X75" s="142" t="str">
        <f ca="1">IFERROR(VALUE(IF(VLOOKUP($A75,数出表_Excel!$A$6:$T$150,COLUMN()/2+1,FALSE)=0,"",VLOOKUP($A75,数出表_Excel!$A$6:$T$150,COLUMN()/2+1,FALSE))),"")</f>
        <v/>
      </c>
      <c r="Y75" s="138"/>
      <c r="Z75" s="142" t="str">
        <f ca="1">IFERROR(VALUE(IF(VLOOKUP($A75,数出表_Excel!$A$6:$T$150,COLUMN()/2+1,FALSE)=0,"",VLOOKUP($A75,数出表_Excel!$A$6:$T$150,COLUMN()/2+1,FALSE))),"")</f>
        <v/>
      </c>
      <c r="AA75" s="176"/>
      <c r="AB75" s="143" t="str">
        <f ca="1">IFERROR(VALUE(IF(VLOOKUP($A75,数出表_Excel!$A$6:$T$150,COLUMN()/2+1,FALSE)=0,"",VLOOKUP($A75,数出表_Excel!$A$6:$T$150,COLUMN()/2+1,FALSE))),"")</f>
        <v/>
      </c>
      <c r="AC75" s="138"/>
      <c r="AD75" s="142" t="str">
        <f ca="1">IFERROR(VALUE(IF(VLOOKUP($A75,数出表_Excel!$A$6:$T$150,COLUMN()/2+1,FALSE)=0,"",VLOOKUP($A75,数出表_Excel!$A$6:$T$150,COLUMN()/2+1,FALSE))),"")</f>
        <v/>
      </c>
      <c r="AE75" s="138"/>
      <c r="AF75" s="142" t="str">
        <f ca="1">IFERROR(VALUE(IF(VLOOKUP($A75,数出表_Excel!$A$6:$T$150,COLUMN()/2+1,FALSE)=0,"",VLOOKUP($A75,数出表_Excel!$A$6:$T$150,COLUMN()/2+1,FALSE))),"")</f>
        <v/>
      </c>
      <c r="AG75" s="138"/>
      <c r="AH75" s="142" t="str">
        <f ca="1">IFERROR(VALUE(IF(VLOOKUP($A75,数出表_Excel!$A$6:$T$150,COLUMN()/2+1,FALSE)=0,"",VLOOKUP($A75,数出表_Excel!$A$6:$T$150,COLUMN()/2+1,FALSE))),"")</f>
        <v/>
      </c>
      <c r="AI75" s="176"/>
      <c r="AJ75" s="143" t="str">
        <f ca="1">IFERROR(VALUE(IF(VLOOKUP($A75,数出表_Excel!$A$6:$T$150,COLUMN()/2+1,FALSE)=0,"",VLOOKUP($A75,数出表_Excel!$A$6:$T$150,COLUMN()/2+1,FALSE))),"")</f>
        <v/>
      </c>
      <c r="AK75" s="138"/>
      <c r="AL75" s="144" t="e">
        <f ca="1">IF(A75&lt;&gt;"",
IF(VLOOKUP($A75,数出表_Excel!$A$6:$T$150,COLUMN()/2+1,FALSE)=0,"",VLOOKUP($A75,数出表_Excel!$A$6:$T$150,COLUMN()/2+1,FALSE)),"")</f>
        <v>#N/A</v>
      </c>
      <c r="AM75" s="224" t="e">
        <f>数出表_Excel!V75</f>
        <v>#N/A</v>
      </c>
      <c r="AN75" s="225" t="e">
        <f>数出表_Excel!W75</f>
        <v>#N/A</v>
      </c>
    </row>
    <row r="76" spans="1:40" ht="16.2" customHeight="1" x14ac:dyDescent="0.45">
      <c r="A76" s="184" t="e">
        <f t="array" aca="1" ref="A76" ca="1">IF(OR(COUNTIF(A74,"*10002*"),COUNTIF(A74,"")),"",INDEX(貼り付け用!$A:$A,MATCH(A74,貼り付け用!$A:$A,0)+2,0))</f>
        <v>#N/A</v>
      </c>
      <c r="B76" s="172" t="str">
        <f ca="1">IFERROR(VALUE(IF(VLOOKUP($A76,数出表_Excel!$A$6:$T$150,COLUMN()/2+1,FALSE)=0,"",VLOOKUP($A76,数出表_Excel!$A$6:$T$150,COLUMN()/2+1,FALSE))),"")</f>
        <v/>
      </c>
      <c r="C76" s="137"/>
      <c r="D76" s="172" t="str">
        <f ca="1">IFERROR(VALUE(IF(VLOOKUP($A76,数出表_Excel!$A$6:$T$150,COLUMN()/2+1,FALSE)=0,"",VLOOKUP($A76,数出表_Excel!$A$6:$T$150,COLUMN()/2+1,FALSE))),"")</f>
        <v/>
      </c>
      <c r="E76" s="137"/>
      <c r="F76" s="174" t="str">
        <f ca="1">IFERROR(VALUE(IF(VLOOKUP($A76,数出表_Excel!$A$6:$T$150,COLUMN()/2+1,FALSE)=0,"",VLOOKUP($A76,数出表_Excel!$A$6:$T$150,COLUMN()/2+1,FALSE))),"")</f>
        <v/>
      </c>
      <c r="G76" s="137"/>
      <c r="H76" s="172" t="str">
        <f ca="1">IFERROR(VALUE(IF(VLOOKUP($A76,数出表_Excel!$A$6:$T$150,COLUMN()/2+1,FALSE)=0,"",VLOOKUP($A76,数出表_Excel!$A$6:$T$150,COLUMN()/2+1,FALSE))),"")</f>
        <v/>
      </c>
      <c r="I76" s="137"/>
      <c r="J76" s="172" t="str">
        <f ca="1">IFERROR(VALUE(IF(VLOOKUP($A76,数出表_Excel!$A$6:$T$150,COLUMN()/2+1,FALSE)=0,"",VLOOKUP($A76,数出表_Excel!$A$6:$T$150,COLUMN()/2+1,FALSE))),"")</f>
        <v/>
      </c>
      <c r="K76" s="137"/>
      <c r="L76" s="174" t="str">
        <f ca="1">IFERROR(VALUE(IF(VLOOKUP($A76,数出表_Excel!$A$6:$T$150,COLUMN()/2+1,FALSE)=0,"",VLOOKUP($A76,数出表_Excel!$A$6:$T$150,COLUMN()/2+1,FALSE))),"")</f>
        <v/>
      </c>
      <c r="M76" s="137"/>
      <c r="N76" s="172" t="str">
        <f ca="1">IFERROR(VALUE(IF(VLOOKUP($A76,数出表_Excel!$A$6:$T$150,COLUMN()/2+1,FALSE)=0,"",VLOOKUP($A76,数出表_Excel!$A$6:$T$150,COLUMN()/2+1,FALSE))),"")</f>
        <v/>
      </c>
      <c r="O76" s="137"/>
      <c r="P76" s="172" t="str">
        <f ca="1">IFERROR(VALUE(IF(VLOOKUP($A76,数出表_Excel!$A$6:$T$150,COLUMN()/2+1,FALSE)=0,"",VLOOKUP($A76,数出表_Excel!$A$6:$T$150,COLUMN()/2+1,FALSE))),"")</f>
        <v/>
      </c>
      <c r="Q76" s="137"/>
      <c r="R76" s="172" t="str">
        <f ca="1">IFERROR(VALUE(IF(VLOOKUP($A76,数出表_Excel!$A$6:$T$150,COLUMN()/2+1,FALSE)=0,"",VLOOKUP($A76,数出表_Excel!$A$6:$T$150,COLUMN()/2+1,FALSE))),"")</f>
        <v/>
      </c>
      <c r="S76" s="137"/>
      <c r="T76" s="172" t="str">
        <f ca="1">IFERROR(VALUE(IF(VLOOKUP($A76,数出表_Excel!$A$6:$T$150,COLUMN()/2+1,FALSE)=0,"",VLOOKUP($A76,数出表_Excel!$A$6:$T$150,COLUMN()/2+1,FALSE))),"")</f>
        <v/>
      </c>
      <c r="U76" s="137"/>
      <c r="V76" s="174" t="str">
        <f ca="1">IFERROR(VALUE(IF(VLOOKUP($A76,数出表_Excel!$A$6:$T$150,COLUMN()/2+1,FALSE)=0,"",VLOOKUP($A76,数出表_Excel!$A$6:$T$150,COLUMN()/2+1,FALSE))),"")</f>
        <v/>
      </c>
      <c r="W76" s="137"/>
      <c r="X76" s="174" t="str">
        <f ca="1">IFERROR(VALUE(IF(VLOOKUP($A76,数出表_Excel!$A$6:$T$150,COLUMN()/2+1,FALSE)=0,"",VLOOKUP($A76,数出表_Excel!$A$6:$T$150,COLUMN()/2+1,FALSE))),"")</f>
        <v/>
      </c>
      <c r="Y76" s="137"/>
      <c r="Z76" s="174" t="str">
        <f ca="1">IFERROR(VALUE(IF(VLOOKUP($A76,数出表_Excel!$A$6:$T$150,COLUMN()/2+1,FALSE)=0,"",VLOOKUP($A76,数出表_Excel!$A$6:$T$150,COLUMN()/2+1,FALSE))),"")</f>
        <v/>
      </c>
      <c r="AA76" s="175"/>
      <c r="AB76" s="173" t="str">
        <f ca="1">IFERROR(VALUE(IF(VLOOKUP($A76,数出表_Excel!$A$6:$T$150,COLUMN()/2+1,FALSE)=0,"",VLOOKUP($A76,数出表_Excel!$A$6:$T$150,COLUMN()/2+1,FALSE))),"")</f>
        <v/>
      </c>
      <c r="AC76" s="137"/>
      <c r="AD76" s="174" t="str">
        <f ca="1">IFERROR(VALUE(IF(VLOOKUP($A76,数出表_Excel!$A$6:$T$150,COLUMN()/2+1,FALSE)=0,"",VLOOKUP($A76,数出表_Excel!$A$6:$T$150,COLUMN()/2+1,FALSE))),"")</f>
        <v/>
      </c>
      <c r="AE76" s="137"/>
      <c r="AF76" s="174" t="str">
        <f ca="1">IFERROR(VALUE(IF(VLOOKUP($A76,数出表_Excel!$A$6:$T$150,COLUMN()/2+1,FALSE)=0,"",VLOOKUP($A76,数出表_Excel!$A$6:$T$150,COLUMN()/2+1,FALSE))),"")</f>
        <v/>
      </c>
      <c r="AG76" s="137"/>
      <c r="AH76" s="174" t="str">
        <f ca="1">IFERROR(VALUE(IF(VLOOKUP($A76,数出表_Excel!$A$6:$T$150,COLUMN()/2+1,FALSE)=0,"",VLOOKUP($A76,数出表_Excel!$A$6:$T$150,COLUMN()/2+1,FALSE))),"")</f>
        <v/>
      </c>
      <c r="AI76" s="175"/>
      <c r="AJ76" s="173" t="str">
        <f ca="1">IFERROR(VALUE(IF(VLOOKUP($A76,数出表_Excel!$A$6:$T$150,COLUMN()/2+1,FALSE)=0,"",VLOOKUP($A76,数出表_Excel!$A$6:$T$150,COLUMN()/2+1,FALSE))),"")</f>
        <v/>
      </c>
      <c r="AK76" s="137"/>
      <c r="AL76" s="141" t="e">
        <f ca="1">IF(A76&lt;&gt;"",
IF(VLOOKUP($A76,数出表_Excel!$A$6:$T$150,COLUMN()/2+1,FALSE)=0,"",VLOOKUP($A76,数出表_Excel!$A$6:$T$150,COLUMN()/2+1,FALSE)),"")</f>
        <v>#N/A</v>
      </c>
      <c r="AM76" s="222" t="e">
        <f>数出表_Excel!V76</f>
        <v>#N/A</v>
      </c>
      <c r="AN76" s="223" t="e">
        <f>数出表_Excel!W76</f>
        <v>#N/A</v>
      </c>
    </row>
    <row r="77" spans="1:40" ht="16.2" customHeight="1" x14ac:dyDescent="0.45">
      <c r="A77" s="185" t="e">
        <f t="array" aca="1" ref="A77" ca="1">IF(OR(COUNTIF(A75,"*1000*"),COUNTIF(A75,"")),"",INDEX(貼り付け用!$A:$A,MATCH(A75,貼り付け用!$A:$A,0)+2,0))</f>
        <v>#N/A</v>
      </c>
      <c r="B77" s="138" t="str">
        <f ca="1">IFERROR(VALUE(IF(VLOOKUP($A77,数出表_Excel!$A$6:$T$150,COLUMN()/2+1,FALSE)=0,"",VLOOKUP($A77,数出表_Excel!$A$6:$T$150,COLUMN()/2+1,FALSE))),"")</f>
        <v/>
      </c>
      <c r="C77" s="138"/>
      <c r="D77" s="138" t="str">
        <f ca="1">IFERROR(VALUE(IF(VLOOKUP($A77,数出表_Excel!$A$6:$T$150,COLUMN()/2+1,FALSE)=0,"",VLOOKUP($A77,数出表_Excel!$A$6:$T$150,COLUMN()/2+1,FALSE))),"")</f>
        <v/>
      </c>
      <c r="E77" s="138"/>
      <c r="F77" s="142" t="str">
        <f ca="1">IFERROR(VALUE(IF(VLOOKUP($A77,数出表_Excel!$A$6:$T$150,COLUMN()/2+1,FALSE)=0,"",VLOOKUP($A77,数出表_Excel!$A$6:$T$150,COLUMN()/2+1,FALSE))),"")</f>
        <v/>
      </c>
      <c r="G77" s="138"/>
      <c r="H77" s="138" t="str">
        <f ca="1">IFERROR(VALUE(IF(VLOOKUP($A77,数出表_Excel!$A$6:$T$150,COLUMN()/2+1,FALSE)=0,"",VLOOKUP($A77,数出表_Excel!$A$6:$T$150,COLUMN()/2+1,FALSE))),"")</f>
        <v/>
      </c>
      <c r="I77" s="138"/>
      <c r="J77" s="138" t="str">
        <f ca="1">IFERROR(VALUE(IF(VLOOKUP($A77,数出表_Excel!$A$6:$T$150,COLUMN()/2+1,FALSE)=0,"",VLOOKUP($A77,数出表_Excel!$A$6:$T$150,COLUMN()/2+1,FALSE))),"")</f>
        <v/>
      </c>
      <c r="K77" s="138"/>
      <c r="L77" s="142" t="str">
        <f ca="1">IFERROR(VALUE(IF(VLOOKUP($A77,数出表_Excel!$A$6:$T$150,COLUMN()/2+1,FALSE)=0,"",VLOOKUP($A77,数出表_Excel!$A$6:$T$150,COLUMN()/2+1,FALSE))),"")</f>
        <v/>
      </c>
      <c r="M77" s="138"/>
      <c r="N77" s="138" t="str">
        <f ca="1">IFERROR(VALUE(IF(VLOOKUP($A77,数出表_Excel!$A$6:$T$150,COLUMN()/2+1,FALSE)=0,"",VLOOKUP($A77,数出表_Excel!$A$6:$T$150,COLUMN()/2+1,FALSE))),"")</f>
        <v/>
      </c>
      <c r="O77" s="138"/>
      <c r="P77" s="138" t="str">
        <f ca="1">IFERROR(VALUE(IF(VLOOKUP($A77,数出表_Excel!$A$6:$T$150,COLUMN()/2+1,FALSE)=0,"",VLOOKUP($A77,数出表_Excel!$A$6:$T$150,COLUMN()/2+1,FALSE))),"")</f>
        <v/>
      </c>
      <c r="Q77" s="138"/>
      <c r="R77" s="138" t="str">
        <f ca="1">IFERROR(VALUE(IF(VLOOKUP($A77,数出表_Excel!$A$6:$T$150,COLUMN()/2+1,FALSE)=0,"",VLOOKUP($A77,数出表_Excel!$A$6:$T$150,COLUMN()/2+1,FALSE))),"")</f>
        <v/>
      </c>
      <c r="S77" s="138"/>
      <c r="T77" s="138" t="str">
        <f ca="1">IFERROR(VALUE(IF(VLOOKUP($A77,数出表_Excel!$A$6:$T$150,COLUMN()/2+1,FALSE)=0,"",VLOOKUP($A77,数出表_Excel!$A$6:$T$150,COLUMN()/2+1,FALSE))),"")</f>
        <v/>
      </c>
      <c r="U77" s="138"/>
      <c r="V77" s="142" t="str">
        <f ca="1">IFERROR(VALUE(IF(VLOOKUP($A77,数出表_Excel!$A$6:$T$150,COLUMN()/2+1,FALSE)=0,"",VLOOKUP($A77,数出表_Excel!$A$6:$T$150,COLUMN()/2+1,FALSE))),"")</f>
        <v/>
      </c>
      <c r="W77" s="138"/>
      <c r="X77" s="142" t="str">
        <f ca="1">IFERROR(VALUE(IF(VLOOKUP($A77,数出表_Excel!$A$6:$T$150,COLUMN()/2+1,FALSE)=0,"",VLOOKUP($A77,数出表_Excel!$A$6:$T$150,COLUMN()/2+1,FALSE))),"")</f>
        <v/>
      </c>
      <c r="Y77" s="138"/>
      <c r="Z77" s="142" t="str">
        <f ca="1">IFERROR(VALUE(IF(VLOOKUP($A77,数出表_Excel!$A$6:$T$150,COLUMN()/2+1,FALSE)=0,"",VLOOKUP($A77,数出表_Excel!$A$6:$T$150,COLUMN()/2+1,FALSE))),"")</f>
        <v/>
      </c>
      <c r="AA77" s="176"/>
      <c r="AB77" s="143" t="str">
        <f ca="1">IFERROR(VALUE(IF(VLOOKUP($A77,数出表_Excel!$A$6:$T$150,COLUMN()/2+1,FALSE)=0,"",VLOOKUP($A77,数出表_Excel!$A$6:$T$150,COLUMN()/2+1,FALSE))),"")</f>
        <v/>
      </c>
      <c r="AC77" s="138"/>
      <c r="AD77" s="142" t="str">
        <f ca="1">IFERROR(VALUE(IF(VLOOKUP($A77,数出表_Excel!$A$6:$T$150,COLUMN()/2+1,FALSE)=0,"",VLOOKUP($A77,数出表_Excel!$A$6:$T$150,COLUMN()/2+1,FALSE))),"")</f>
        <v/>
      </c>
      <c r="AE77" s="138"/>
      <c r="AF77" s="142" t="str">
        <f ca="1">IFERROR(VALUE(IF(VLOOKUP($A77,数出表_Excel!$A$6:$T$150,COLUMN()/2+1,FALSE)=0,"",VLOOKUP($A77,数出表_Excel!$A$6:$T$150,COLUMN()/2+1,FALSE))),"")</f>
        <v/>
      </c>
      <c r="AG77" s="138"/>
      <c r="AH77" s="142" t="str">
        <f ca="1">IFERROR(VALUE(IF(VLOOKUP($A77,数出表_Excel!$A$6:$T$150,COLUMN()/2+1,FALSE)=0,"",VLOOKUP($A77,数出表_Excel!$A$6:$T$150,COLUMN()/2+1,FALSE))),"")</f>
        <v/>
      </c>
      <c r="AI77" s="176"/>
      <c r="AJ77" s="143" t="str">
        <f ca="1">IFERROR(VALUE(IF(VLOOKUP($A77,数出表_Excel!$A$6:$T$150,COLUMN()/2+1,FALSE)=0,"",VLOOKUP($A77,数出表_Excel!$A$6:$T$150,COLUMN()/2+1,FALSE))),"")</f>
        <v/>
      </c>
      <c r="AK77" s="138"/>
      <c r="AL77" s="144" t="e">
        <f ca="1">IF(A77&lt;&gt;"",
IF(VLOOKUP($A77,数出表_Excel!$A$6:$T$150,COLUMN()/2+1,FALSE)=0,"",VLOOKUP($A77,数出表_Excel!$A$6:$T$150,COLUMN()/2+1,FALSE)),"")</f>
        <v>#N/A</v>
      </c>
      <c r="AM77" s="224" t="e">
        <f>数出表_Excel!V77</f>
        <v>#N/A</v>
      </c>
      <c r="AN77" s="225" t="e">
        <f>数出表_Excel!W77</f>
        <v>#N/A</v>
      </c>
    </row>
    <row r="78" spans="1:40" ht="16.2" customHeight="1" x14ac:dyDescent="0.45">
      <c r="A78" s="184" t="e">
        <f t="array" aca="1" ref="A78" ca="1">IF(OR(COUNTIF(A76,"*10002*"),COUNTIF(A76,"")),"",INDEX(貼り付け用!$A:$A,MATCH(A76,貼り付け用!$A:$A,0)+2,0))</f>
        <v>#N/A</v>
      </c>
      <c r="B78" s="172" t="str">
        <f ca="1">IFERROR(VALUE(IF(VLOOKUP($A78,数出表_Excel!$A$6:$T$150,COLUMN()/2+1,FALSE)=0,"",VLOOKUP($A78,数出表_Excel!$A$6:$T$150,COLUMN()/2+1,FALSE))),"")</f>
        <v/>
      </c>
      <c r="C78" s="137"/>
      <c r="D78" s="172" t="str">
        <f ca="1">IFERROR(VALUE(IF(VLOOKUP($A78,数出表_Excel!$A$6:$T$150,COLUMN()/2+1,FALSE)=0,"",VLOOKUP($A78,数出表_Excel!$A$6:$T$150,COLUMN()/2+1,FALSE))),"")</f>
        <v/>
      </c>
      <c r="E78" s="137"/>
      <c r="F78" s="174" t="str">
        <f ca="1">IFERROR(VALUE(IF(VLOOKUP($A78,数出表_Excel!$A$6:$T$150,COLUMN()/2+1,FALSE)=0,"",VLOOKUP($A78,数出表_Excel!$A$6:$T$150,COLUMN()/2+1,FALSE))),"")</f>
        <v/>
      </c>
      <c r="G78" s="137"/>
      <c r="H78" s="172" t="str">
        <f ca="1">IFERROR(VALUE(IF(VLOOKUP($A78,数出表_Excel!$A$6:$T$150,COLUMN()/2+1,FALSE)=0,"",VLOOKUP($A78,数出表_Excel!$A$6:$T$150,COLUMN()/2+1,FALSE))),"")</f>
        <v/>
      </c>
      <c r="I78" s="137"/>
      <c r="J78" s="172" t="str">
        <f ca="1">IFERROR(VALUE(IF(VLOOKUP($A78,数出表_Excel!$A$6:$T$150,COLUMN()/2+1,FALSE)=0,"",VLOOKUP($A78,数出表_Excel!$A$6:$T$150,COLUMN()/2+1,FALSE))),"")</f>
        <v/>
      </c>
      <c r="K78" s="137"/>
      <c r="L78" s="174" t="str">
        <f ca="1">IFERROR(VALUE(IF(VLOOKUP($A78,数出表_Excel!$A$6:$T$150,COLUMN()/2+1,FALSE)=0,"",VLOOKUP($A78,数出表_Excel!$A$6:$T$150,COLUMN()/2+1,FALSE))),"")</f>
        <v/>
      </c>
      <c r="M78" s="137"/>
      <c r="N78" s="172" t="str">
        <f ca="1">IFERROR(VALUE(IF(VLOOKUP($A78,数出表_Excel!$A$6:$T$150,COLUMN()/2+1,FALSE)=0,"",VLOOKUP($A78,数出表_Excel!$A$6:$T$150,COLUMN()/2+1,FALSE))),"")</f>
        <v/>
      </c>
      <c r="O78" s="137"/>
      <c r="P78" s="172" t="str">
        <f ca="1">IFERROR(VALUE(IF(VLOOKUP($A78,数出表_Excel!$A$6:$T$150,COLUMN()/2+1,FALSE)=0,"",VLOOKUP($A78,数出表_Excel!$A$6:$T$150,COLUMN()/2+1,FALSE))),"")</f>
        <v/>
      </c>
      <c r="Q78" s="137"/>
      <c r="R78" s="172" t="str">
        <f ca="1">IFERROR(VALUE(IF(VLOOKUP($A78,数出表_Excel!$A$6:$T$150,COLUMN()/2+1,FALSE)=0,"",VLOOKUP($A78,数出表_Excel!$A$6:$T$150,COLUMN()/2+1,FALSE))),"")</f>
        <v/>
      </c>
      <c r="S78" s="137"/>
      <c r="T78" s="172" t="str">
        <f ca="1">IFERROR(VALUE(IF(VLOOKUP($A78,数出表_Excel!$A$6:$T$150,COLUMN()/2+1,FALSE)=0,"",VLOOKUP($A78,数出表_Excel!$A$6:$T$150,COLUMN()/2+1,FALSE))),"")</f>
        <v/>
      </c>
      <c r="U78" s="137"/>
      <c r="V78" s="174" t="str">
        <f ca="1">IFERROR(VALUE(IF(VLOOKUP($A78,数出表_Excel!$A$6:$T$150,COLUMN()/2+1,FALSE)=0,"",VLOOKUP($A78,数出表_Excel!$A$6:$T$150,COLUMN()/2+1,FALSE))),"")</f>
        <v/>
      </c>
      <c r="W78" s="137"/>
      <c r="X78" s="174" t="str">
        <f ca="1">IFERROR(VALUE(IF(VLOOKUP($A78,数出表_Excel!$A$6:$T$150,COLUMN()/2+1,FALSE)=0,"",VLOOKUP($A78,数出表_Excel!$A$6:$T$150,COLUMN()/2+1,FALSE))),"")</f>
        <v/>
      </c>
      <c r="Y78" s="137"/>
      <c r="Z78" s="174" t="str">
        <f ca="1">IFERROR(VALUE(IF(VLOOKUP($A78,数出表_Excel!$A$6:$T$150,COLUMN()/2+1,FALSE)=0,"",VLOOKUP($A78,数出表_Excel!$A$6:$T$150,COLUMN()/2+1,FALSE))),"")</f>
        <v/>
      </c>
      <c r="AA78" s="175"/>
      <c r="AB78" s="173" t="str">
        <f ca="1">IFERROR(VALUE(IF(VLOOKUP($A78,数出表_Excel!$A$6:$T$150,COLUMN()/2+1,FALSE)=0,"",VLOOKUP($A78,数出表_Excel!$A$6:$T$150,COLUMN()/2+1,FALSE))),"")</f>
        <v/>
      </c>
      <c r="AC78" s="137"/>
      <c r="AD78" s="174" t="str">
        <f ca="1">IFERROR(VALUE(IF(VLOOKUP($A78,数出表_Excel!$A$6:$T$150,COLUMN()/2+1,FALSE)=0,"",VLOOKUP($A78,数出表_Excel!$A$6:$T$150,COLUMN()/2+1,FALSE))),"")</f>
        <v/>
      </c>
      <c r="AE78" s="137"/>
      <c r="AF78" s="174" t="str">
        <f ca="1">IFERROR(VALUE(IF(VLOOKUP($A78,数出表_Excel!$A$6:$T$150,COLUMN()/2+1,FALSE)=0,"",VLOOKUP($A78,数出表_Excel!$A$6:$T$150,COLUMN()/2+1,FALSE))),"")</f>
        <v/>
      </c>
      <c r="AG78" s="137"/>
      <c r="AH78" s="174" t="str">
        <f ca="1">IFERROR(VALUE(IF(VLOOKUP($A78,数出表_Excel!$A$6:$T$150,COLUMN()/2+1,FALSE)=0,"",VLOOKUP($A78,数出表_Excel!$A$6:$T$150,COLUMN()/2+1,FALSE))),"")</f>
        <v/>
      </c>
      <c r="AI78" s="175"/>
      <c r="AJ78" s="173" t="str">
        <f ca="1">IFERROR(VALUE(IF(VLOOKUP($A78,数出表_Excel!$A$6:$T$150,COLUMN()/2+1,FALSE)=0,"",VLOOKUP($A78,数出表_Excel!$A$6:$T$150,COLUMN()/2+1,FALSE))),"")</f>
        <v/>
      </c>
      <c r="AK78" s="137"/>
      <c r="AL78" s="141" t="e">
        <f ca="1">IF(A78&lt;&gt;"",
IF(VLOOKUP($A78,数出表_Excel!$A$6:$T$150,COLUMN()/2+1,FALSE)=0,"",VLOOKUP($A78,数出表_Excel!$A$6:$T$150,COLUMN()/2+1,FALSE)),"")</f>
        <v>#N/A</v>
      </c>
      <c r="AM78" s="222" t="e">
        <f>数出表_Excel!V78</f>
        <v>#N/A</v>
      </c>
      <c r="AN78" s="223" t="e">
        <f>数出表_Excel!W78</f>
        <v>#N/A</v>
      </c>
    </row>
    <row r="79" spans="1:40" ht="16.2" customHeight="1" x14ac:dyDescent="0.45">
      <c r="A79" s="185" t="e">
        <f t="array" aca="1" ref="A79" ca="1">IF(OR(COUNTIF(A77,"*1000*"),COUNTIF(A77,"")),"",INDEX(貼り付け用!$A:$A,MATCH(A77,貼り付け用!$A:$A,0)+2,0))</f>
        <v>#N/A</v>
      </c>
      <c r="B79" s="138" t="str">
        <f ca="1">IFERROR(VALUE(IF(VLOOKUP($A79,数出表_Excel!$A$6:$T$150,COLUMN()/2+1,FALSE)=0,"",VLOOKUP($A79,数出表_Excel!$A$6:$T$150,COLUMN()/2+1,FALSE))),"")</f>
        <v/>
      </c>
      <c r="C79" s="138"/>
      <c r="D79" s="138" t="str">
        <f ca="1">IFERROR(VALUE(IF(VLOOKUP($A79,数出表_Excel!$A$6:$T$150,COLUMN()/2+1,FALSE)=0,"",VLOOKUP($A79,数出表_Excel!$A$6:$T$150,COLUMN()/2+1,FALSE))),"")</f>
        <v/>
      </c>
      <c r="E79" s="138"/>
      <c r="F79" s="142" t="str">
        <f ca="1">IFERROR(VALUE(IF(VLOOKUP($A79,数出表_Excel!$A$6:$T$150,COLUMN()/2+1,FALSE)=0,"",VLOOKUP($A79,数出表_Excel!$A$6:$T$150,COLUMN()/2+1,FALSE))),"")</f>
        <v/>
      </c>
      <c r="G79" s="138"/>
      <c r="H79" s="138" t="str">
        <f ca="1">IFERROR(VALUE(IF(VLOOKUP($A79,数出表_Excel!$A$6:$T$150,COLUMN()/2+1,FALSE)=0,"",VLOOKUP($A79,数出表_Excel!$A$6:$T$150,COLUMN()/2+1,FALSE))),"")</f>
        <v/>
      </c>
      <c r="I79" s="138"/>
      <c r="J79" s="138" t="str">
        <f ca="1">IFERROR(VALUE(IF(VLOOKUP($A79,数出表_Excel!$A$6:$T$150,COLUMN()/2+1,FALSE)=0,"",VLOOKUP($A79,数出表_Excel!$A$6:$T$150,COLUMN()/2+1,FALSE))),"")</f>
        <v/>
      </c>
      <c r="K79" s="138"/>
      <c r="L79" s="142" t="str">
        <f ca="1">IFERROR(VALUE(IF(VLOOKUP($A79,数出表_Excel!$A$6:$T$150,COLUMN()/2+1,FALSE)=0,"",VLOOKUP($A79,数出表_Excel!$A$6:$T$150,COLUMN()/2+1,FALSE))),"")</f>
        <v/>
      </c>
      <c r="M79" s="138"/>
      <c r="N79" s="138" t="str">
        <f ca="1">IFERROR(VALUE(IF(VLOOKUP($A79,数出表_Excel!$A$6:$T$150,COLUMN()/2+1,FALSE)=0,"",VLOOKUP($A79,数出表_Excel!$A$6:$T$150,COLUMN()/2+1,FALSE))),"")</f>
        <v/>
      </c>
      <c r="O79" s="138"/>
      <c r="P79" s="138" t="str">
        <f ca="1">IFERROR(VALUE(IF(VLOOKUP($A79,数出表_Excel!$A$6:$T$150,COLUMN()/2+1,FALSE)=0,"",VLOOKUP($A79,数出表_Excel!$A$6:$T$150,COLUMN()/2+1,FALSE))),"")</f>
        <v/>
      </c>
      <c r="Q79" s="138"/>
      <c r="R79" s="138" t="str">
        <f ca="1">IFERROR(VALUE(IF(VLOOKUP($A79,数出表_Excel!$A$6:$T$150,COLUMN()/2+1,FALSE)=0,"",VLOOKUP($A79,数出表_Excel!$A$6:$T$150,COLUMN()/2+1,FALSE))),"")</f>
        <v/>
      </c>
      <c r="S79" s="138"/>
      <c r="T79" s="138" t="str">
        <f ca="1">IFERROR(VALUE(IF(VLOOKUP($A79,数出表_Excel!$A$6:$T$150,COLUMN()/2+1,FALSE)=0,"",VLOOKUP($A79,数出表_Excel!$A$6:$T$150,COLUMN()/2+1,FALSE))),"")</f>
        <v/>
      </c>
      <c r="U79" s="138"/>
      <c r="V79" s="142" t="str">
        <f ca="1">IFERROR(VALUE(IF(VLOOKUP($A79,数出表_Excel!$A$6:$T$150,COLUMN()/2+1,FALSE)=0,"",VLOOKUP($A79,数出表_Excel!$A$6:$T$150,COLUMN()/2+1,FALSE))),"")</f>
        <v/>
      </c>
      <c r="W79" s="138"/>
      <c r="X79" s="142" t="str">
        <f ca="1">IFERROR(VALUE(IF(VLOOKUP($A79,数出表_Excel!$A$6:$T$150,COLUMN()/2+1,FALSE)=0,"",VLOOKUP($A79,数出表_Excel!$A$6:$T$150,COLUMN()/2+1,FALSE))),"")</f>
        <v/>
      </c>
      <c r="Y79" s="138"/>
      <c r="Z79" s="142" t="str">
        <f ca="1">IFERROR(VALUE(IF(VLOOKUP($A79,数出表_Excel!$A$6:$T$150,COLUMN()/2+1,FALSE)=0,"",VLOOKUP($A79,数出表_Excel!$A$6:$T$150,COLUMN()/2+1,FALSE))),"")</f>
        <v/>
      </c>
      <c r="AA79" s="176"/>
      <c r="AB79" s="143" t="str">
        <f ca="1">IFERROR(VALUE(IF(VLOOKUP($A79,数出表_Excel!$A$6:$T$150,COLUMN()/2+1,FALSE)=0,"",VLOOKUP($A79,数出表_Excel!$A$6:$T$150,COLUMN()/2+1,FALSE))),"")</f>
        <v/>
      </c>
      <c r="AC79" s="138"/>
      <c r="AD79" s="142" t="str">
        <f ca="1">IFERROR(VALUE(IF(VLOOKUP($A79,数出表_Excel!$A$6:$T$150,COLUMN()/2+1,FALSE)=0,"",VLOOKUP($A79,数出表_Excel!$A$6:$T$150,COLUMN()/2+1,FALSE))),"")</f>
        <v/>
      </c>
      <c r="AE79" s="138"/>
      <c r="AF79" s="142" t="str">
        <f ca="1">IFERROR(VALUE(IF(VLOOKUP($A79,数出表_Excel!$A$6:$T$150,COLUMN()/2+1,FALSE)=0,"",VLOOKUP($A79,数出表_Excel!$A$6:$T$150,COLUMN()/2+1,FALSE))),"")</f>
        <v/>
      </c>
      <c r="AG79" s="138"/>
      <c r="AH79" s="142" t="str">
        <f ca="1">IFERROR(VALUE(IF(VLOOKUP($A79,数出表_Excel!$A$6:$T$150,COLUMN()/2+1,FALSE)=0,"",VLOOKUP($A79,数出表_Excel!$A$6:$T$150,COLUMN()/2+1,FALSE))),"")</f>
        <v/>
      </c>
      <c r="AI79" s="176"/>
      <c r="AJ79" s="143" t="str">
        <f ca="1">IFERROR(VALUE(IF(VLOOKUP($A79,数出表_Excel!$A$6:$T$150,COLUMN()/2+1,FALSE)=0,"",VLOOKUP($A79,数出表_Excel!$A$6:$T$150,COLUMN()/2+1,FALSE))),"")</f>
        <v/>
      </c>
      <c r="AK79" s="138"/>
      <c r="AL79" s="144" t="e">
        <f ca="1">IF(A79&lt;&gt;"",
IF(VLOOKUP($A79,数出表_Excel!$A$6:$T$150,COLUMN()/2+1,FALSE)=0,"",VLOOKUP($A79,数出表_Excel!$A$6:$T$150,COLUMN()/2+1,FALSE)),"")</f>
        <v>#N/A</v>
      </c>
      <c r="AM79" s="224" t="e">
        <f>数出表_Excel!V79</f>
        <v>#N/A</v>
      </c>
      <c r="AN79" s="225" t="e">
        <f>数出表_Excel!W79</f>
        <v>#N/A</v>
      </c>
    </row>
    <row r="80" spans="1:40" ht="16.2" customHeight="1" x14ac:dyDescent="0.45">
      <c r="A80" s="184" t="e">
        <f t="array" aca="1" ref="A80" ca="1">IF(OR(COUNTIF(A78,"*10002*"),COUNTIF(A78,"")),"",INDEX(貼り付け用!$A:$A,MATCH(A78,貼り付け用!$A:$A,0)+2,0))</f>
        <v>#N/A</v>
      </c>
      <c r="B80" s="172" t="str">
        <f ca="1">IFERROR(VALUE(IF(VLOOKUP($A80,数出表_Excel!$A$6:$T$150,COLUMN()/2+1,FALSE)=0,"",VLOOKUP($A80,数出表_Excel!$A$6:$T$150,COLUMN()/2+1,FALSE))),"")</f>
        <v/>
      </c>
      <c r="C80" s="137"/>
      <c r="D80" s="172" t="str">
        <f ca="1">IFERROR(VALUE(IF(VLOOKUP($A80,数出表_Excel!$A$6:$T$150,COLUMN()/2+1,FALSE)=0,"",VLOOKUP($A80,数出表_Excel!$A$6:$T$150,COLUMN()/2+1,FALSE))),"")</f>
        <v/>
      </c>
      <c r="E80" s="137"/>
      <c r="F80" s="174" t="str">
        <f ca="1">IFERROR(VALUE(IF(VLOOKUP($A80,数出表_Excel!$A$6:$T$150,COLUMN()/2+1,FALSE)=0,"",VLOOKUP($A80,数出表_Excel!$A$6:$T$150,COLUMN()/2+1,FALSE))),"")</f>
        <v/>
      </c>
      <c r="G80" s="137"/>
      <c r="H80" s="172" t="str">
        <f ca="1">IFERROR(VALUE(IF(VLOOKUP($A80,数出表_Excel!$A$6:$T$150,COLUMN()/2+1,FALSE)=0,"",VLOOKUP($A80,数出表_Excel!$A$6:$T$150,COLUMN()/2+1,FALSE))),"")</f>
        <v/>
      </c>
      <c r="I80" s="137"/>
      <c r="J80" s="172" t="str">
        <f ca="1">IFERROR(VALUE(IF(VLOOKUP($A80,数出表_Excel!$A$6:$T$150,COLUMN()/2+1,FALSE)=0,"",VLOOKUP($A80,数出表_Excel!$A$6:$T$150,COLUMN()/2+1,FALSE))),"")</f>
        <v/>
      </c>
      <c r="K80" s="137"/>
      <c r="L80" s="174" t="str">
        <f ca="1">IFERROR(VALUE(IF(VLOOKUP($A80,数出表_Excel!$A$6:$T$150,COLUMN()/2+1,FALSE)=0,"",VLOOKUP($A80,数出表_Excel!$A$6:$T$150,COLUMN()/2+1,FALSE))),"")</f>
        <v/>
      </c>
      <c r="M80" s="137"/>
      <c r="N80" s="172" t="str">
        <f ca="1">IFERROR(VALUE(IF(VLOOKUP($A80,数出表_Excel!$A$6:$T$150,COLUMN()/2+1,FALSE)=0,"",VLOOKUP($A80,数出表_Excel!$A$6:$T$150,COLUMN()/2+1,FALSE))),"")</f>
        <v/>
      </c>
      <c r="O80" s="137"/>
      <c r="P80" s="172" t="str">
        <f ca="1">IFERROR(VALUE(IF(VLOOKUP($A80,数出表_Excel!$A$6:$T$150,COLUMN()/2+1,FALSE)=0,"",VLOOKUP($A80,数出表_Excel!$A$6:$T$150,COLUMN()/2+1,FALSE))),"")</f>
        <v/>
      </c>
      <c r="Q80" s="137"/>
      <c r="R80" s="172" t="str">
        <f ca="1">IFERROR(VALUE(IF(VLOOKUP($A80,数出表_Excel!$A$6:$T$150,COLUMN()/2+1,FALSE)=0,"",VLOOKUP($A80,数出表_Excel!$A$6:$T$150,COLUMN()/2+1,FALSE))),"")</f>
        <v/>
      </c>
      <c r="S80" s="137"/>
      <c r="T80" s="172" t="str">
        <f ca="1">IFERROR(VALUE(IF(VLOOKUP($A80,数出表_Excel!$A$6:$T$150,COLUMN()/2+1,FALSE)=0,"",VLOOKUP($A80,数出表_Excel!$A$6:$T$150,COLUMN()/2+1,FALSE))),"")</f>
        <v/>
      </c>
      <c r="U80" s="137"/>
      <c r="V80" s="174" t="str">
        <f ca="1">IFERROR(VALUE(IF(VLOOKUP($A80,数出表_Excel!$A$6:$T$150,COLUMN()/2+1,FALSE)=0,"",VLOOKUP($A80,数出表_Excel!$A$6:$T$150,COLUMN()/2+1,FALSE))),"")</f>
        <v/>
      </c>
      <c r="W80" s="137"/>
      <c r="X80" s="174" t="str">
        <f ca="1">IFERROR(VALUE(IF(VLOOKUP($A80,数出表_Excel!$A$6:$T$150,COLUMN()/2+1,FALSE)=0,"",VLOOKUP($A80,数出表_Excel!$A$6:$T$150,COLUMN()/2+1,FALSE))),"")</f>
        <v/>
      </c>
      <c r="Y80" s="137"/>
      <c r="Z80" s="174" t="str">
        <f ca="1">IFERROR(VALUE(IF(VLOOKUP($A80,数出表_Excel!$A$6:$T$150,COLUMN()/2+1,FALSE)=0,"",VLOOKUP($A80,数出表_Excel!$A$6:$T$150,COLUMN()/2+1,FALSE))),"")</f>
        <v/>
      </c>
      <c r="AA80" s="175"/>
      <c r="AB80" s="173" t="str">
        <f ca="1">IFERROR(VALUE(IF(VLOOKUP($A80,数出表_Excel!$A$6:$T$150,COLUMN()/2+1,FALSE)=0,"",VLOOKUP($A80,数出表_Excel!$A$6:$T$150,COLUMN()/2+1,FALSE))),"")</f>
        <v/>
      </c>
      <c r="AC80" s="137"/>
      <c r="AD80" s="174" t="str">
        <f ca="1">IFERROR(VALUE(IF(VLOOKUP($A80,数出表_Excel!$A$6:$T$150,COLUMN()/2+1,FALSE)=0,"",VLOOKUP($A80,数出表_Excel!$A$6:$T$150,COLUMN()/2+1,FALSE))),"")</f>
        <v/>
      </c>
      <c r="AE80" s="137"/>
      <c r="AF80" s="174" t="str">
        <f ca="1">IFERROR(VALUE(IF(VLOOKUP($A80,数出表_Excel!$A$6:$T$150,COLUMN()/2+1,FALSE)=0,"",VLOOKUP($A80,数出表_Excel!$A$6:$T$150,COLUMN()/2+1,FALSE))),"")</f>
        <v/>
      </c>
      <c r="AG80" s="137"/>
      <c r="AH80" s="174" t="str">
        <f ca="1">IFERROR(VALUE(IF(VLOOKUP($A80,数出表_Excel!$A$6:$T$150,COLUMN()/2+1,FALSE)=0,"",VLOOKUP($A80,数出表_Excel!$A$6:$T$150,COLUMN()/2+1,FALSE))),"")</f>
        <v/>
      </c>
      <c r="AI80" s="175"/>
      <c r="AJ80" s="173" t="str">
        <f ca="1">IFERROR(VALUE(IF(VLOOKUP($A80,数出表_Excel!$A$6:$T$150,COLUMN()/2+1,FALSE)=0,"",VLOOKUP($A80,数出表_Excel!$A$6:$T$150,COLUMN()/2+1,FALSE))),"")</f>
        <v/>
      </c>
      <c r="AK80" s="137"/>
      <c r="AL80" s="141" t="e">
        <f ca="1">IF(A80&lt;&gt;"",
IF(VLOOKUP($A80,数出表_Excel!$A$6:$T$150,COLUMN()/2+1,FALSE)=0,"",VLOOKUP($A80,数出表_Excel!$A$6:$T$150,COLUMN()/2+1,FALSE)),"")</f>
        <v>#N/A</v>
      </c>
      <c r="AM80" s="222" t="e">
        <f>数出表_Excel!V80</f>
        <v>#N/A</v>
      </c>
      <c r="AN80" s="223" t="e">
        <f>数出表_Excel!W80</f>
        <v>#N/A</v>
      </c>
    </row>
    <row r="81" spans="1:40" ht="16.2" customHeight="1" x14ac:dyDescent="0.45">
      <c r="A81" s="185" t="e">
        <f t="array" aca="1" ref="A81" ca="1">IF(OR(COUNTIF(A79,"*1000*"),COUNTIF(A79,"")),"",INDEX(貼り付け用!$A:$A,MATCH(A79,貼り付け用!$A:$A,0)+2,0))</f>
        <v>#N/A</v>
      </c>
      <c r="B81" s="138" t="str">
        <f ca="1">IFERROR(VALUE(IF(VLOOKUP($A81,数出表_Excel!$A$6:$T$150,COLUMN()/2+1,FALSE)=0,"",VLOOKUP($A81,数出表_Excel!$A$6:$T$150,COLUMN()/2+1,FALSE))),"")</f>
        <v/>
      </c>
      <c r="C81" s="138"/>
      <c r="D81" s="138" t="str">
        <f ca="1">IFERROR(VALUE(IF(VLOOKUP($A81,数出表_Excel!$A$6:$T$150,COLUMN()/2+1,FALSE)=0,"",VLOOKUP($A81,数出表_Excel!$A$6:$T$150,COLUMN()/2+1,FALSE))),"")</f>
        <v/>
      </c>
      <c r="E81" s="138"/>
      <c r="F81" s="142" t="str">
        <f ca="1">IFERROR(VALUE(IF(VLOOKUP($A81,数出表_Excel!$A$6:$T$150,COLUMN()/2+1,FALSE)=0,"",VLOOKUP($A81,数出表_Excel!$A$6:$T$150,COLUMN()/2+1,FALSE))),"")</f>
        <v/>
      </c>
      <c r="G81" s="138"/>
      <c r="H81" s="138" t="str">
        <f ca="1">IFERROR(VALUE(IF(VLOOKUP($A81,数出表_Excel!$A$6:$T$150,COLUMN()/2+1,FALSE)=0,"",VLOOKUP($A81,数出表_Excel!$A$6:$T$150,COLUMN()/2+1,FALSE))),"")</f>
        <v/>
      </c>
      <c r="I81" s="138"/>
      <c r="J81" s="138" t="str">
        <f ca="1">IFERROR(VALUE(IF(VLOOKUP($A81,数出表_Excel!$A$6:$T$150,COLUMN()/2+1,FALSE)=0,"",VLOOKUP($A81,数出表_Excel!$A$6:$T$150,COLUMN()/2+1,FALSE))),"")</f>
        <v/>
      </c>
      <c r="K81" s="138"/>
      <c r="L81" s="142" t="str">
        <f ca="1">IFERROR(VALUE(IF(VLOOKUP($A81,数出表_Excel!$A$6:$T$150,COLUMN()/2+1,FALSE)=0,"",VLOOKUP($A81,数出表_Excel!$A$6:$T$150,COLUMN()/2+1,FALSE))),"")</f>
        <v/>
      </c>
      <c r="M81" s="138"/>
      <c r="N81" s="138" t="str">
        <f ca="1">IFERROR(VALUE(IF(VLOOKUP($A81,数出表_Excel!$A$6:$T$150,COLUMN()/2+1,FALSE)=0,"",VLOOKUP($A81,数出表_Excel!$A$6:$T$150,COLUMN()/2+1,FALSE))),"")</f>
        <v/>
      </c>
      <c r="O81" s="138"/>
      <c r="P81" s="138" t="str">
        <f ca="1">IFERROR(VALUE(IF(VLOOKUP($A81,数出表_Excel!$A$6:$T$150,COLUMN()/2+1,FALSE)=0,"",VLOOKUP($A81,数出表_Excel!$A$6:$T$150,COLUMN()/2+1,FALSE))),"")</f>
        <v/>
      </c>
      <c r="Q81" s="138"/>
      <c r="R81" s="138" t="str">
        <f ca="1">IFERROR(VALUE(IF(VLOOKUP($A81,数出表_Excel!$A$6:$T$150,COLUMN()/2+1,FALSE)=0,"",VLOOKUP($A81,数出表_Excel!$A$6:$T$150,COLUMN()/2+1,FALSE))),"")</f>
        <v/>
      </c>
      <c r="S81" s="138"/>
      <c r="T81" s="138" t="str">
        <f ca="1">IFERROR(VALUE(IF(VLOOKUP($A81,数出表_Excel!$A$6:$T$150,COLUMN()/2+1,FALSE)=0,"",VLOOKUP($A81,数出表_Excel!$A$6:$T$150,COLUMN()/2+1,FALSE))),"")</f>
        <v/>
      </c>
      <c r="U81" s="138"/>
      <c r="V81" s="142" t="str">
        <f ca="1">IFERROR(VALUE(IF(VLOOKUP($A81,数出表_Excel!$A$6:$T$150,COLUMN()/2+1,FALSE)=0,"",VLOOKUP($A81,数出表_Excel!$A$6:$T$150,COLUMN()/2+1,FALSE))),"")</f>
        <v/>
      </c>
      <c r="W81" s="138"/>
      <c r="X81" s="142" t="str">
        <f ca="1">IFERROR(VALUE(IF(VLOOKUP($A81,数出表_Excel!$A$6:$T$150,COLUMN()/2+1,FALSE)=0,"",VLOOKUP($A81,数出表_Excel!$A$6:$T$150,COLUMN()/2+1,FALSE))),"")</f>
        <v/>
      </c>
      <c r="Y81" s="138"/>
      <c r="Z81" s="142" t="str">
        <f ca="1">IFERROR(VALUE(IF(VLOOKUP($A81,数出表_Excel!$A$6:$T$150,COLUMN()/2+1,FALSE)=0,"",VLOOKUP($A81,数出表_Excel!$A$6:$T$150,COLUMN()/2+1,FALSE))),"")</f>
        <v/>
      </c>
      <c r="AA81" s="176"/>
      <c r="AB81" s="143" t="str">
        <f ca="1">IFERROR(VALUE(IF(VLOOKUP($A81,数出表_Excel!$A$6:$T$150,COLUMN()/2+1,FALSE)=0,"",VLOOKUP($A81,数出表_Excel!$A$6:$T$150,COLUMN()/2+1,FALSE))),"")</f>
        <v/>
      </c>
      <c r="AC81" s="138"/>
      <c r="AD81" s="142" t="str">
        <f ca="1">IFERROR(VALUE(IF(VLOOKUP($A81,数出表_Excel!$A$6:$T$150,COLUMN()/2+1,FALSE)=0,"",VLOOKUP($A81,数出表_Excel!$A$6:$T$150,COLUMN()/2+1,FALSE))),"")</f>
        <v/>
      </c>
      <c r="AE81" s="138"/>
      <c r="AF81" s="142" t="str">
        <f ca="1">IFERROR(VALUE(IF(VLOOKUP($A81,数出表_Excel!$A$6:$T$150,COLUMN()/2+1,FALSE)=0,"",VLOOKUP($A81,数出表_Excel!$A$6:$T$150,COLUMN()/2+1,FALSE))),"")</f>
        <v/>
      </c>
      <c r="AG81" s="138"/>
      <c r="AH81" s="142" t="str">
        <f ca="1">IFERROR(VALUE(IF(VLOOKUP($A81,数出表_Excel!$A$6:$T$150,COLUMN()/2+1,FALSE)=0,"",VLOOKUP($A81,数出表_Excel!$A$6:$T$150,COLUMN()/2+1,FALSE))),"")</f>
        <v/>
      </c>
      <c r="AI81" s="176"/>
      <c r="AJ81" s="143" t="str">
        <f ca="1">IFERROR(VALUE(IF(VLOOKUP($A81,数出表_Excel!$A$6:$T$150,COLUMN()/2+1,FALSE)=0,"",VLOOKUP($A81,数出表_Excel!$A$6:$T$150,COLUMN()/2+1,FALSE))),"")</f>
        <v/>
      </c>
      <c r="AK81" s="138"/>
      <c r="AL81" s="144" t="e">
        <f ca="1">IF(A81&lt;&gt;"",
IF(VLOOKUP($A81,数出表_Excel!$A$6:$T$150,COLUMN()/2+1,FALSE)=0,"",VLOOKUP($A81,数出表_Excel!$A$6:$T$150,COLUMN()/2+1,FALSE)),"")</f>
        <v>#N/A</v>
      </c>
      <c r="AM81" s="224" t="e">
        <f>数出表_Excel!V81</f>
        <v>#N/A</v>
      </c>
      <c r="AN81" s="225" t="e">
        <f>数出表_Excel!W81</f>
        <v>#N/A</v>
      </c>
    </row>
    <row r="82" spans="1:40" ht="16.2" customHeight="1" x14ac:dyDescent="0.45">
      <c r="A82" s="184" t="e">
        <f t="array" aca="1" ref="A82" ca="1">IF(OR(COUNTIF(A80,"*10002*"),COUNTIF(A80,"")),"",INDEX(貼り付け用!$A:$A,MATCH(A80,貼り付け用!$A:$A,0)+2,0))</f>
        <v>#N/A</v>
      </c>
      <c r="B82" s="172" t="str">
        <f ca="1">IFERROR(VALUE(IF(VLOOKUP($A82,数出表_Excel!$A$6:$T$150,COLUMN()/2+1,FALSE)=0,"",VLOOKUP($A82,数出表_Excel!$A$6:$T$150,COLUMN()/2+1,FALSE))),"")</f>
        <v/>
      </c>
      <c r="C82" s="137"/>
      <c r="D82" s="172" t="str">
        <f ca="1">IFERROR(VALUE(IF(VLOOKUP($A82,数出表_Excel!$A$6:$T$150,COLUMN()/2+1,FALSE)=0,"",VLOOKUP($A82,数出表_Excel!$A$6:$T$150,COLUMN()/2+1,FALSE))),"")</f>
        <v/>
      </c>
      <c r="E82" s="137"/>
      <c r="F82" s="174" t="str">
        <f ca="1">IFERROR(VALUE(IF(VLOOKUP($A82,数出表_Excel!$A$6:$T$150,COLUMN()/2+1,FALSE)=0,"",VLOOKUP($A82,数出表_Excel!$A$6:$T$150,COLUMN()/2+1,FALSE))),"")</f>
        <v/>
      </c>
      <c r="G82" s="137"/>
      <c r="H82" s="172" t="str">
        <f ca="1">IFERROR(VALUE(IF(VLOOKUP($A82,数出表_Excel!$A$6:$T$150,COLUMN()/2+1,FALSE)=0,"",VLOOKUP($A82,数出表_Excel!$A$6:$T$150,COLUMN()/2+1,FALSE))),"")</f>
        <v/>
      </c>
      <c r="I82" s="137"/>
      <c r="J82" s="172" t="str">
        <f ca="1">IFERROR(VALUE(IF(VLOOKUP($A82,数出表_Excel!$A$6:$T$150,COLUMN()/2+1,FALSE)=0,"",VLOOKUP($A82,数出表_Excel!$A$6:$T$150,COLUMN()/2+1,FALSE))),"")</f>
        <v/>
      </c>
      <c r="K82" s="137"/>
      <c r="L82" s="174" t="str">
        <f ca="1">IFERROR(VALUE(IF(VLOOKUP($A82,数出表_Excel!$A$6:$T$150,COLUMN()/2+1,FALSE)=0,"",VLOOKUP($A82,数出表_Excel!$A$6:$T$150,COLUMN()/2+1,FALSE))),"")</f>
        <v/>
      </c>
      <c r="M82" s="137"/>
      <c r="N82" s="172" t="str">
        <f ca="1">IFERROR(VALUE(IF(VLOOKUP($A82,数出表_Excel!$A$6:$T$150,COLUMN()/2+1,FALSE)=0,"",VLOOKUP($A82,数出表_Excel!$A$6:$T$150,COLUMN()/2+1,FALSE))),"")</f>
        <v/>
      </c>
      <c r="O82" s="137"/>
      <c r="P82" s="172" t="str">
        <f ca="1">IFERROR(VALUE(IF(VLOOKUP($A82,数出表_Excel!$A$6:$T$150,COLUMN()/2+1,FALSE)=0,"",VLOOKUP($A82,数出表_Excel!$A$6:$T$150,COLUMN()/2+1,FALSE))),"")</f>
        <v/>
      </c>
      <c r="Q82" s="137"/>
      <c r="R82" s="172" t="str">
        <f ca="1">IFERROR(VALUE(IF(VLOOKUP($A82,数出表_Excel!$A$6:$T$150,COLUMN()/2+1,FALSE)=0,"",VLOOKUP($A82,数出表_Excel!$A$6:$T$150,COLUMN()/2+1,FALSE))),"")</f>
        <v/>
      </c>
      <c r="S82" s="137"/>
      <c r="T82" s="172" t="str">
        <f ca="1">IFERROR(VALUE(IF(VLOOKUP($A82,数出表_Excel!$A$6:$T$150,COLUMN()/2+1,FALSE)=0,"",VLOOKUP($A82,数出表_Excel!$A$6:$T$150,COLUMN()/2+1,FALSE))),"")</f>
        <v/>
      </c>
      <c r="U82" s="137"/>
      <c r="V82" s="174" t="str">
        <f ca="1">IFERROR(VALUE(IF(VLOOKUP($A82,数出表_Excel!$A$6:$T$150,COLUMN()/2+1,FALSE)=0,"",VLOOKUP($A82,数出表_Excel!$A$6:$T$150,COLUMN()/2+1,FALSE))),"")</f>
        <v/>
      </c>
      <c r="W82" s="137"/>
      <c r="X82" s="174" t="str">
        <f ca="1">IFERROR(VALUE(IF(VLOOKUP($A82,数出表_Excel!$A$6:$T$150,COLUMN()/2+1,FALSE)=0,"",VLOOKUP($A82,数出表_Excel!$A$6:$T$150,COLUMN()/2+1,FALSE))),"")</f>
        <v/>
      </c>
      <c r="Y82" s="137"/>
      <c r="Z82" s="174" t="str">
        <f ca="1">IFERROR(VALUE(IF(VLOOKUP($A82,数出表_Excel!$A$6:$T$150,COLUMN()/2+1,FALSE)=0,"",VLOOKUP($A82,数出表_Excel!$A$6:$T$150,COLUMN()/2+1,FALSE))),"")</f>
        <v/>
      </c>
      <c r="AA82" s="175"/>
      <c r="AB82" s="173" t="str">
        <f ca="1">IFERROR(VALUE(IF(VLOOKUP($A82,数出表_Excel!$A$6:$T$150,COLUMN()/2+1,FALSE)=0,"",VLOOKUP($A82,数出表_Excel!$A$6:$T$150,COLUMN()/2+1,FALSE))),"")</f>
        <v/>
      </c>
      <c r="AC82" s="137"/>
      <c r="AD82" s="174" t="str">
        <f ca="1">IFERROR(VALUE(IF(VLOOKUP($A82,数出表_Excel!$A$6:$T$150,COLUMN()/2+1,FALSE)=0,"",VLOOKUP($A82,数出表_Excel!$A$6:$T$150,COLUMN()/2+1,FALSE))),"")</f>
        <v/>
      </c>
      <c r="AE82" s="137"/>
      <c r="AF82" s="174" t="str">
        <f ca="1">IFERROR(VALUE(IF(VLOOKUP($A82,数出表_Excel!$A$6:$T$150,COLUMN()/2+1,FALSE)=0,"",VLOOKUP($A82,数出表_Excel!$A$6:$T$150,COLUMN()/2+1,FALSE))),"")</f>
        <v/>
      </c>
      <c r="AG82" s="137"/>
      <c r="AH82" s="174" t="str">
        <f ca="1">IFERROR(VALUE(IF(VLOOKUP($A82,数出表_Excel!$A$6:$T$150,COLUMN()/2+1,FALSE)=0,"",VLOOKUP($A82,数出表_Excel!$A$6:$T$150,COLUMN()/2+1,FALSE))),"")</f>
        <v/>
      </c>
      <c r="AI82" s="175"/>
      <c r="AJ82" s="173" t="str">
        <f ca="1">IFERROR(VALUE(IF(VLOOKUP($A82,数出表_Excel!$A$6:$T$150,COLUMN()/2+1,FALSE)=0,"",VLOOKUP($A82,数出表_Excel!$A$6:$T$150,COLUMN()/2+1,FALSE))),"")</f>
        <v/>
      </c>
      <c r="AK82" s="137"/>
      <c r="AL82" s="141" t="e">
        <f ca="1">IF(A82&lt;&gt;"",
IF(VLOOKUP($A82,数出表_Excel!$A$6:$T$150,COLUMN()/2+1,FALSE)=0,"",VLOOKUP($A82,数出表_Excel!$A$6:$T$150,COLUMN()/2+1,FALSE)),"")</f>
        <v>#N/A</v>
      </c>
      <c r="AM82" s="222" t="e">
        <f>数出表_Excel!V82</f>
        <v>#N/A</v>
      </c>
      <c r="AN82" s="223" t="e">
        <f>数出表_Excel!W82</f>
        <v>#N/A</v>
      </c>
    </row>
    <row r="83" spans="1:40" ht="16.2" customHeight="1" x14ac:dyDescent="0.45">
      <c r="A83" s="185" t="e">
        <f t="array" aca="1" ref="A83" ca="1">IF(OR(COUNTIF(A81,"*1000*"),COUNTIF(A81,"")),"",INDEX(貼り付け用!$A:$A,MATCH(A81,貼り付け用!$A:$A,0)+2,0))</f>
        <v>#N/A</v>
      </c>
      <c r="B83" s="138" t="str">
        <f ca="1">IFERROR(VALUE(IF(VLOOKUP($A83,数出表_Excel!$A$6:$T$150,COLUMN()/2+1,FALSE)=0,"",VLOOKUP($A83,数出表_Excel!$A$6:$T$150,COLUMN()/2+1,FALSE))),"")</f>
        <v/>
      </c>
      <c r="C83" s="138"/>
      <c r="D83" s="138" t="str">
        <f ca="1">IFERROR(VALUE(IF(VLOOKUP($A83,数出表_Excel!$A$6:$T$150,COLUMN()/2+1,FALSE)=0,"",VLOOKUP($A83,数出表_Excel!$A$6:$T$150,COLUMN()/2+1,FALSE))),"")</f>
        <v/>
      </c>
      <c r="E83" s="138"/>
      <c r="F83" s="142" t="str">
        <f ca="1">IFERROR(VALUE(IF(VLOOKUP($A83,数出表_Excel!$A$6:$T$150,COLUMN()/2+1,FALSE)=0,"",VLOOKUP($A83,数出表_Excel!$A$6:$T$150,COLUMN()/2+1,FALSE))),"")</f>
        <v/>
      </c>
      <c r="G83" s="138"/>
      <c r="H83" s="138" t="str">
        <f ca="1">IFERROR(VALUE(IF(VLOOKUP($A83,数出表_Excel!$A$6:$T$150,COLUMN()/2+1,FALSE)=0,"",VLOOKUP($A83,数出表_Excel!$A$6:$T$150,COLUMN()/2+1,FALSE))),"")</f>
        <v/>
      </c>
      <c r="I83" s="138"/>
      <c r="J83" s="138" t="str">
        <f ca="1">IFERROR(VALUE(IF(VLOOKUP($A83,数出表_Excel!$A$6:$T$150,COLUMN()/2+1,FALSE)=0,"",VLOOKUP($A83,数出表_Excel!$A$6:$T$150,COLUMN()/2+1,FALSE))),"")</f>
        <v/>
      </c>
      <c r="K83" s="138"/>
      <c r="L83" s="142" t="str">
        <f ca="1">IFERROR(VALUE(IF(VLOOKUP($A83,数出表_Excel!$A$6:$T$150,COLUMN()/2+1,FALSE)=0,"",VLOOKUP($A83,数出表_Excel!$A$6:$T$150,COLUMN()/2+1,FALSE))),"")</f>
        <v/>
      </c>
      <c r="M83" s="138"/>
      <c r="N83" s="138" t="str">
        <f ca="1">IFERROR(VALUE(IF(VLOOKUP($A83,数出表_Excel!$A$6:$T$150,COLUMN()/2+1,FALSE)=0,"",VLOOKUP($A83,数出表_Excel!$A$6:$T$150,COLUMN()/2+1,FALSE))),"")</f>
        <v/>
      </c>
      <c r="O83" s="138"/>
      <c r="P83" s="138" t="str">
        <f ca="1">IFERROR(VALUE(IF(VLOOKUP($A83,数出表_Excel!$A$6:$T$150,COLUMN()/2+1,FALSE)=0,"",VLOOKUP($A83,数出表_Excel!$A$6:$T$150,COLUMN()/2+1,FALSE))),"")</f>
        <v/>
      </c>
      <c r="Q83" s="138"/>
      <c r="R83" s="138" t="str">
        <f ca="1">IFERROR(VALUE(IF(VLOOKUP($A83,数出表_Excel!$A$6:$T$150,COLUMN()/2+1,FALSE)=0,"",VLOOKUP($A83,数出表_Excel!$A$6:$T$150,COLUMN()/2+1,FALSE))),"")</f>
        <v/>
      </c>
      <c r="S83" s="138"/>
      <c r="T83" s="138" t="str">
        <f ca="1">IFERROR(VALUE(IF(VLOOKUP($A83,数出表_Excel!$A$6:$T$150,COLUMN()/2+1,FALSE)=0,"",VLOOKUP($A83,数出表_Excel!$A$6:$T$150,COLUMN()/2+1,FALSE))),"")</f>
        <v/>
      </c>
      <c r="U83" s="138"/>
      <c r="V83" s="142" t="str">
        <f ca="1">IFERROR(VALUE(IF(VLOOKUP($A83,数出表_Excel!$A$6:$T$150,COLUMN()/2+1,FALSE)=0,"",VLOOKUP($A83,数出表_Excel!$A$6:$T$150,COLUMN()/2+1,FALSE))),"")</f>
        <v/>
      </c>
      <c r="W83" s="138"/>
      <c r="X83" s="142" t="str">
        <f ca="1">IFERROR(VALUE(IF(VLOOKUP($A83,数出表_Excel!$A$6:$T$150,COLUMN()/2+1,FALSE)=0,"",VLOOKUP($A83,数出表_Excel!$A$6:$T$150,COLUMN()/2+1,FALSE))),"")</f>
        <v/>
      </c>
      <c r="Y83" s="138"/>
      <c r="Z83" s="142" t="str">
        <f ca="1">IFERROR(VALUE(IF(VLOOKUP($A83,数出表_Excel!$A$6:$T$150,COLUMN()/2+1,FALSE)=0,"",VLOOKUP($A83,数出表_Excel!$A$6:$T$150,COLUMN()/2+1,FALSE))),"")</f>
        <v/>
      </c>
      <c r="AA83" s="176"/>
      <c r="AB83" s="143" t="str">
        <f ca="1">IFERROR(VALUE(IF(VLOOKUP($A83,数出表_Excel!$A$6:$T$150,COLUMN()/2+1,FALSE)=0,"",VLOOKUP($A83,数出表_Excel!$A$6:$T$150,COLUMN()/2+1,FALSE))),"")</f>
        <v/>
      </c>
      <c r="AC83" s="138"/>
      <c r="AD83" s="142" t="str">
        <f ca="1">IFERROR(VALUE(IF(VLOOKUP($A83,数出表_Excel!$A$6:$T$150,COLUMN()/2+1,FALSE)=0,"",VLOOKUP($A83,数出表_Excel!$A$6:$T$150,COLUMN()/2+1,FALSE))),"")</f>
        <v/>
      </c>
      <c r="AE83" s="138"/>
      <c r="AF83" s="142" t="str">
        <f ca="1">IFERROR(VALUE(IF(VLOOKUP($A83,数出表_Excel!$A$6:$T$150,COLUMN()/2+1,FALSE)=0,"",VLOOKUP($A83,数出表_Excel!$A$6:$T$150,COLUMN()/2+1,FALSE))),"")</f>
        <v/>
      </c>
      <c r="AG83" s="138"/>
      <c r="AH83" s="142" t="str">
        <f ca="1">IFERROR(VALUE(IF(VLOOKUP($A83,数出表_Excel!$A$6:$T$150,COLUMN()/2+1,FALSE)=0,"",VLOOKUP($A83,数出表_Excel!$A$6:$T$150,COLUMN()/2+1,FALSE))),"")</f>
        <v/>
      </c>
      <c r="AI83" s="176"/>
      <c r="AJ83" s="143" t="str">
        <f ca="1">IFERROR(VALUE(IF(VLOOKUP($A83,数出表_Excel!$A$6:$T$150,COLUMN()/2+1,FALSE)=0,"",VLOOKUP($A83,数出表_Excel!$A$6:$T$150,COLUMN()/2+1,FALSE))),"")</f>
        <v/>
      </c>
      <c r="AK83" s="138"/>
      <c r="AL83" s="144" t="e">
        <f ca="1">IF(A83&lt;&gt;"",
IF(VLOOKUP($A83,数出表_Excel!$A$6:$T$150,COLUMN()/2+1,FALSE)=0,"",VLOOKUP($A83,数出表_Excel!$A$6:$T$150,COLUMN()/2+1,FALSE)),"")</f>
        <v>#N/A</v>
      </c>
      <c r="AM83" s="224" t="e">
        <f>数出表_Excel!V83</f>
        <v>#N/A</v>
      </c>
      <c r="AN83" s="225" t="e">
        <f>数出表_Excel!W83</f>
        <v>#N/A</v>
      </c>
    </row>
    <row r="84" spans="1:40" ht="16.2" customHeight="1" x14ac:dyDescent="0.45">
      <c r="A84" s="184" t="e">
        <f t="array" aca="1" ref="A84" ca="1">IF(OR(COUNTIF(A82,"*10002*"),COUNTIF(A82,"")),"",INDEX(貼り付け用!$A:$A,MATCH(A82,貼り付け用!$A:$A,0)+2,0))</f>
        <v>#N/A</v>
      </c>
      <c r="B84" s="172" t="str">
        <f ca="1">IFERROR(VALUE(IF(VLOOKUP($A84,数出表_Excel!$A$6:$T$150,COLUMN()/2+1,FALSE)=0,"",VLOOKUP($A84,数出表_Excel!$A$6:$T$150,COLUMN()/2+1,FALSE))),"")</f>
        <v/>
      </c>
      <c r="C84" s="137"/>
      <c r="D84" s="172" t="str">
        <f ca="1">IFERROR(VALUE(IF(VLOOKUP($A84,数出表_Excel!$A$6:$T$150,COLUMN()/2+1,FALSE)=0,"",VLOOKUP($A84,数出表_Excel!$A$6:$T$150,COLUMN()/2+1,FALSE))),"")</f>
        <v/>
      </c>
      <c r="E84" s="137"/>
      <c r="F84" s="174" t="str">
        <f ca="1">IFERROR(VALUE(IF(VLOOKUP($A84,数出表_Excel!$A$6:$T$150,COLUMN()/2+1,FALSE)=0,"",VLOOKUP($A84,数出表_Excel!$A$6:$T$150,COLUMN()/2+1,FALSE))),"")</f>
        <v/>
      </c>
      <c r="G84" s="137"/>
      <c r="H84" s="172" t="str">
        <f ca="1">IFERROR(VALUE(IF(VLOOKUP($A84,数出表_Excel!$A$6:$T$150,COLUMN()/2+1,FALSE)=0,"",VLOOKUP($A84,数出表_Excel!$A$6:$T$150,COLUMN()/2+1,FALSE))),"")</f>
        <v/>
      </c>
      <c r="I84" s="137"/>
      <c r="J84" s="172" t="str">
        <f ca="1">IFERROR(VALUE(IF(VLOOKUP($A84,数出表_Excel!$A$6:$T$150,COLUMN()/2+1,FALSE)=0,"",VLOOKUP($A84,数出表_Excel!$A$6:$T$150,COLUMN()/2+1,FALSE))),"")</f>
        <v/>
      </c>
      <c r="K84" s="137"/>
      <c r="L84" s="174" t="str">
        <f ca="1">IFERROR(VALUE(IF(VLOOKUP($A84,数出表_Excel!$A$6:$T$150,COLUMN()/2+1,FALSE)=0,"",VLOOKUP($A84,数出表_Excel!$A$6:$T$150,COLUMN()/2+1,FALSE))),"")</f>
        <v/>
      </c>
      <c r="M84" s="137"/>
      <c r="N84" s="172" t="str">
        <f ca="1">IFERROR(VALUE(IF(VLOOKUP($A84,数出表_Excel!$A$6:$T$150,COLUMN()/2+1,FALSE)=0,"",VLOOKUP($A84,数出表_Excel!$A$6:$T$150,COLUMN()/2+1,FALSE))),"")</f>
        <v/>
      </c>
      <c r="O84" s="137"/>
      <c r="P84" s="172" t="str">
        <f ca="1">IFERROR(VALUE(IF(VLOOKUP($A84,数出表_Excel!$A$6:$T$150,COLUMN()/2+1,FALSE)=0,"",VLOOKUP($A84,数出表_Excel!$A$6:$T$150,COLUMN()/2+1,FALSE))),"")</f>
        <v/>
      </c>
      <c r="Q84" s="137"/>
      <c r="R84" s="172" t="str">
        <f ca="1">IFERROR(VALUE(IF(VLOOKUP($A84,数出表_Excel!$A$6:$T$150,COLUMN()/2+1,FALSE)=0,"",VLOOKUP($A84,数出表_Excel!$A$6:$T$150,COLUMN()/2+1,FALSE))),"")</f>
        <v/>
      </c>
      <c r="S84" s="137"/>
      <c r="T84" s="172" t="str">
        <f ca="1">IFERROR(VALUE(IF(VLOOKUP($A84,数出表_Excel!$A$6:$T$150,COLUMN()/2+1,FALSE)=0,"",VLOOKUP($A84,数出表_Excel!$A$6:$T$150,COLUMN()/2+1,FALSE))),"")</f>
        <v/>
      </c>
      <c r="U84" s="137"/>
      <c r="V84" s="174" t="str">
        <f ca="1">IFERROR(VALUE(IF(VLOOKUP($A84,数出表_Excel!$A$6:$T$150,COLUMN()/2+1,FALSE)=0,"",VLOOKUP($A84,数出表_Excel!$A$6:$T$150,COLUMN()/2+1,FALSE))),"")</f>
        <v/>
      </c>
      <c r="W84" s="137"/>
      <c r="X84" s="174" t="str">
        <f ca="1">IFERROR(VALUE(IF(VLOOKUP($A84,数出表_Excel!$A$6:$T$150,COLUMN()/2+1,FALSE)=0,"",VLOOKUP($A84,数出表_Excel!$A$6:$T$150,COLUMN()/2+1,FALSE))),"")</f>
        <v/>
      </c>
      <c r="Y84" s="137"/>
      <c r="Z84" s="174" t="str">
        <f ca="1">IFERROR(VALUE(IF(VLOOKUP($A84,数出表_Excel!$A$6:$T$150,COLUMN()/2+1,FALSE)=0,"",VLOOKUP($A84,数出表_Excel!$A$6:$T$150,COLUMN()/2+1,FALSE))),"")</f>
        <v/>
      </c>
      <c r="AA84" s="175"/>
      <c r="AB84" s="173" t="str">
        <f ca="1">IFERROR(VALUE(IF(VLOOKUP($A84,数出表_Excel!$A$6:$T$150,COLUMN()/2+1,FALSE)=0,"",VLOOKUP($A84,数出表_Excel!$A$6:$T$150,COLUMN()/2+1,FALSE))),"")</f>
        <v/>
      </c>
      <c r="AC84" s="137"/>
      <c r="AD84" s="174" t="str">
        <f ca="1">IFERROR(VALUE(IF(VLOOKUP($A84,数出表_Excel!$A$6:$T$150,COLUMN()/2+1,FALSE)=0,"",VLOOKUP($A84,数出表_Excel!$A$6:$T$150,COLUMN()/2+1,FALSE))),"")</f>
        <v/>
      </c>
      <c r="AE84" s="137"/>
      <c r="AF84" s="174" t="str">
        <f ca="1">IFERROR(VALUE(IF(VLOOKUP($A84,数出表_Excel!$A$6:$T$150,COLUMN()/2+1,FALSE)=0,"",VLOOKUP($A84,数出表_Excel!$A$6:$T$150,COLUMN()/2+1,FALSE))),"")</f>
        <v/>
      </c>
      <c r="AG84" s="137"/>
      <c r="AH84" s="174" t="str">
        <f ca="1">IFERROR(VALUE(IF(VLOOKUP($A84,数出表_Excel!$A$6:$T$150,COLUMN()/2+1,FALSE)=0,"",VLOOKUP($A84,数出表_Excel!$A$6:$T$150,COLUMN()/2+1,FALSE))),"")</f>
        <v/>
      </c>
      <c r="AI84" s="175"/>
      <c r="AJ84" s="173" t="str">
        <f ca="1">IFERROR(VALUE(IF(VLOOKUP($A84,数出表_Excel!$A$6:$T$150,COLUMN()/2+1,FALSE)=0,"",VLOOKUP($A84,数出表_Excel!$A$6:$T$150,COLUMN()/2+1,FALSE))),"")</f>
        <v/>
      </c>
      <c r="AK84" s="137"/>
      <c r="AL84" s="141" t="e">
        <f ca="1">IF(A84&lt;&gt;"",
IF(VLOOKUP($A84,数出表_Excel!$A$6:$T$150,COLUMN()/2+1,FALSE)=0,"",VLOOKUP($A84,数出表_Excel!$A$6:$T$150,COLUMN()/2+1,FALSE)),"")</f>
        <v>#N/A</v>
      </c>
      <c r="AM84" s="222" t="e">
        <f>数出表_Excel!V84</f>
        <v>#N/A</v>
      </c>
      <c r="AN84" s="223" t="e">
        <f>数出表_Excel!W84</f>
        <v>#N/A</v>
      </c>
    </row>
    <row r="85" spans="1:40" ht="16.2" customHeight="1" x14ac:dyDescent="0.45">
      <c r="A85" s="185" t="e">
        <f t="array" aca="1" ref="A85" ca="1">IF(OR(COUNTIF(A83,"*1000*"),COUNTIF(A83,"")),"",INDEX(貼り付け用!$A:$A,MATCH(A83,貼り付け用!$A:$A,0)+2,0))</f>
        <v>#N/A</v>
      </c>
      <c r="B85" s="138" t="str">
        <f ca="1">IFERROR(VALUE(IF(VLOOKUP($A85,数出表_Excel!$A$6:$T$150,COLUMN()/2+1,FALSE)=0,"",VLOOKUP($A85,数出表_Excel!$A$6:$T$150,COLUMN()/2+1,FALSE))),"")</f>
        <v/>
      </c>
      <c r="C85" s="138"/>
      <c r="D85" s="138" t="str">
        <f ca="1">IFERROR(VALUE(IF(VLOOKUP($A85,数出表_Excel!$A$6:$T$150,COLUMN()/2+1,FALSE)=0,"",VLOOKUP($A85,数出表_Excel!$A$6:$T$150,COLUMN()/2+1,FALSE))),"")</f>
        <v/>
      </c>
      <c r="E85" s="138"/>
      <c r="F85" s="142" t="str">
        <f ca="1">IFERROR(VALUE(IF(VLOOKUP($A85,数出表_Excel!$A$6:$T$150,COLUMN()/2+1,FALSE)=0,"",VLOOKUP($A85,数出表_Excel!$A$6:$T$150,COLUMN()/2+1,FALSE))),"")</f>
        <v/>
      </c>
      <c r="G85" s="138"/>
      <c r="H85" s="138" t="str">
        <f ca="1">IFERROR(VALUE(IF(VLOOKUP($A85,数出表_Excel!$A$6:$T$150,COLUMN()/2+1,FALSE)=0,"",VLOOKUP($A85,数出表_Excel!$A$6:$T$150,COLUMN()/2+1,FALSE))),"")</f>
        <v/>
      </c>
      <c r="I85" s="138"/>
      <c r="J85" s="138" t="str">
        <f ca="1">IFERROR(VALUE(IF(VLOOKUP($A85,数出表_Excel!$A$6:$T$150,COLUMN()/2+1,FALSE)=0,"",VLOOKUP($A85,数出表_Excel!$A$6:$T$150,COLUMN()/2+1,FALSE))),"")</f>
        <v/>
      </c>
      <c r="K85" s="138"/>
      <c r="L85" s="142" t="str">
        <f ca="1">IFERROR(VALUE(IF(VLOOKUP($A85,数出表_Excel!$A$6:$T$150,COLUMN()/2+1,FALSE)=0,"",VLOOKUP($A85,数出表_Excel!$A$6:$T$150,COLUMN()/2+1,FALSE))),"")</f>
        <v/>
      </c>
      <c r="M85" s="138"/>
      <c r="N85" s="138" t="str">
        <f ca="1">IFERROR(VALUE(IF(VLOOKUP($A85,数出表_Excel!$A$6:$T$150,COLUMN()/2+1,FALSE)=0,"",VLOOKUP($A85,数出表_Excel!$A$6:$T$150,COLUMN()/2+1,FALSE))),"")</f>
        <v/>
      </c>
      <c r="O85" s="138"/>
      <c r="P85" s="138" t="str">
        <f ca="1">IFERROR(VALUE(IF(VLOOKUP($A85,数出表_Excel!$A$6:$T$150,COLUMN()/2+1,FALSE)=0,"",VLOOKUP($A85,数出表_Excel!$A$6:$T$150,COLUMN()/2+1,FALSE))),"")</f>
        <v/>
      </c>
      <c r="Q85" s="138"/>
      <c r="R85" s="138" t="str">
        <f ca="1">IFERROR(VALUE(IF(VLOOKUP($A85,数出表_Excel!$A$6:$T$150,COLUMN()/2+1,FALSE)=0,"",VLOOKUP($A85,数出表_Excel!$A$6:$T$150,COLUMN()/2+1,FALSE))),"")</f>
        <v/>
      </c>
      <c r="S85" s="138"/>
      <c r="T85" s="138" t="str">
        <f ca="1">IFERROR(VALUE(IF(VLOOKUP($A85,数出表_Excel!$A$6:$T$150,COLUMN()/2+1,FALSE)=0,"",VLOOKUP($A85,数出表_Excel!$A$6:$T$150,COLUMN()/2+1,FALSE))),"")</f>
        <v/>
      </c>
      <c r="U85" s="138"/>
      <c r="V85" s="142" t="str">
        <f ca="1">IFERROR(VALUE(IF(VLOOKUP($A85,数出表_Excel!$A$6:$T$150,COLUMN()/2+1,FALSE)=0,"",VLOOKUP($A85,数出表_Excel!$A$6:$T$150,COLUMN()/2+1,FALSE))),"")</f>
        <v/>
      </c>
      <c r="W85" s="138"/>
      <c r="X85" s="142" t="str">
        <f ca="1">IFERROR(VALUE(IF(VLOOKUP($A85,数出表_Excel!$A$6:$T$150,COLUMN()/2+1,FALSE)=0,"",VLOOKUP($A85,数出表_Excel!$A$6:$T$150,COLUMN()/2+1,FALSE))),"")</f>
        <v/>
      </c>
      <c r="Y85" s="138"/>
      <c r="Z85" s="142" t="str">
        <f ca="1">IFERROR(VALUE(IF(VLOOKUP($A85,数出表_Excel!$A$6:$T$150,COLUMN()/2+1,FALSE)=0,"",VLOOKUP($A85,数出表_Excel!$A$6:$T$150,COLUMN()/2+1,FALSE))),"")</f>
        <v/>
      </c>
      <c r="AA85" s="176"/>
      <c r="AB85" s="143" t="str">
        <f ca="1">IFERROR(VALUE(IF(VLOOKUP($A85,数出表_Excel!$A$6:$T$150,COLUMN()/2+1,FALSE)=0,"",VLOOKUP($A85,数出表_Excel!$A$6:$T$150,COLUMN()/2+1,FALSE))),"")</f>
        <v/>
      </c>
      <c r="AC85" s="138"/>
      <c r="AD85" s="142" t="str">
        <f ca="1">IFERROR(VALUE(IF(VLOOKUP($A85,数出表_Excel!$A$6:$T$150,COLUMN()/2+1,FALSE)=0,"",VLOOKUP($A85,数出表_Excel!$A$6:$T$150,COLUMN()/2+1,FALSE))),"")</f>
        <v/>
      </c>
      <c r="AE85" s="138"/>
      <c r="AF85" s="142" t="str">
        <f ca="1">IFERROR(VALUE(IF(VLOOKUP($A85,数出表_Excel!$A$6:$T$150,COLUMN()/2+1,FALSE)=0,"",VLOOKUP($A85,数出表_Excel!$A$6:$T$150,COLUMN()/2+1,FALSE))),"")</f>
        <v/>
      </c>
      <c r="AG85" s="138"/>
      <c r="AH85" s="142" t="str">
        <f ca="1">IFERROR(VALUE(IF(VLOOKUP($A85,数出表_Excel!$A$6:$T$150,COLUMN()/2+1,FALSE)=0,"",VLOOKUP($A85,数出表_Excel!$A$6:$T$150,COLUMN()/2+1,FALSE))),"")</f>
        <v/>
      </c>
      <c r="AI85" s="176"/>
      <c r="AJ85" s="143" t="str">
        <f ca="1">IFERROR(VALUE(IF(VLOOKUP($A85,数出表_Excel!$A$6:$T$150,COLUMN()/2+1,FALSE)=0,"",VLOOKUP($A85,数出表_Excel!$A$6:$T$150,COLUMN()/2+1,FALSE))),"")</f>
        <v/>
      </c>
      <c r="AK85" s="138"/>
      <c r="AL85" s="144" t="e">
        <f ca="1">IF(A85&lt;&gt;"",
IF(VLOOKUP($A85,数出表_Excel!$A$6:$T$150,COLUMN()/2+1,FALSE)=0,"",VLOOKUP($A85,数出表_Excel!$A$6:$T$150,COLUMN()/2+1,FALSE)),"")</f>
        <v>#N/A</v>
      </c>
      <c r="AM85" s="224" t="e">
        <f>数出表_Excel!V85</f>
        <v>#N/A</v>
      </c>
      <c r="AN85" s="225" t="e">
        <f>数出表_Excel!W85</f>
        <v>#N/A</v>
      </c>
    </row>
    <row r="86" spans="1:40" ht="16.2" customHeight="1" x14ac:dyDescent="0.45">
      <c r="A86" s="184" t="e">
        <f t="array" aca="1" ref="A86" ca="1">IF(OR(COUNTIF(A84,"*10002*"),COUNTIF(A84,"")),"",INDEX(貼り付け用!$A:$A,MATCH(A84,貼り付け用!$A:$A,0)+2,0))</f>
        <v>#N/A</v>
      </c>
      <c r="B86" s="172" t="str">
        <f ca="1">IFERROR(VALUE(IF(VLOOKUP($A86,数出表_Excel!$A$6:$T$150,COLUMN()/2+1,FALSE)=0,"",VLOOKUP($A86,数出表_Excel!$A$6:$T$150,COLUMN()/2+1,FALSE))),"")</f>
        <v/>
      </c>
      <c r="C86" s="137"/>
      <c r="D86" s="172" t="str">
        <f ca="1">IFERROR(VALUE(IF(VLOOKUP($A86,数出表_Excel!$A$6:$T$150,COLUMN()/2+1,FALSE)=0,"",VLOOKUP($A86,数出表_Excel!$A$6:$T$150,COLUMN()/2+1,FALSE))),"")</f>
        <v/>
      </c>
      <c r="E86" s="137"/>
      <c r="F86" s="174" t="str">
        <f ca="1">IFERROR(VALUE(IF(VLOOKUP($A86,数出表_Excel!$A$6:$T$150,COLUMN()/2+1,FALSE)=0,"",VLOOKUP($A86,数出表_Excel!$A$6:$T$150,COLUMN()/2+1,FALSE))),"")</f>
        <v/>
      </c>
      <c r="G86" s="137"/>
      <c r="H86" s="172" t="str">
        <f ca="1">IFERROR(VALUE(IF(VLOOKUP($A86,数出表_Excel!$A$6:$T$150,COLUMN()/2+1,FALSE)=0,"",VLOOKUP($A86,数出表_Excel!$A$6:$T$150,COLUMN()/2+1,FALSE))),"")</f>
        <v/>
      </c>
      <c r="I86" s="137"/>
      <c r="J86" s="172" t="str">
        <f ca="1">IFERROR(VALUE(IF(VLOOKUP($A86,数出表_Excel!$A$6:$T$150,COLUMN()/2+1,FALSE)=0,"",VLOOKUP($A86,数出表_Excel!$A$6:$T$150,COLUMN()/2+1,FALSE))),"")</f>
        <v/>
      </c>
      <c r="K86" s="137"/>
      <c r="L86" s="174" t="str">
        <f ca="1">IFERROR(VALUE(IF(VLOOKUP($A86,数出表_Excel!$A$6:$T$150,COLUMN()/2+1,FALSE)=0,"",VLOOKUP($A86,数出表_Excel!$A$6:$T$150,COLUMN()/2+1,FALSE))),"")</f>
        <v/>
      </c>
      <c r="M86" s="137"/>
      <c r="N86" s="172" t="str">
        <f ca="1">IFERROR(VALUE(IF(VLOOKUP($A86,数出表_Excel!$A$6:$T$150,COLUMN()/2+1,FALSE)=0,"",VLOOKUP($A86,数出表_Excel!$A$6:$T$150,COLUMN()/2+1,FALSE))),"")</f>
        <v/>
      </c>
      <c r="O86" s="137"/>
      <c r="P86" s="172" t="str">
        <f ca="1">IFERROR(VALUE(IF(VLOOKUP($A86,数出表_Excel!$A$6:$T$150,COLUMN()/2+1,FALSE)=0,"",VLOOKUP($A86,数出表_Excel!$A$6:$T$150,COLUMN()/2+1,FALSE))),"")</f>
        <v/>
      </c>
      <c r="Q86" s="137"/>
      <c r="R86" s="172" t="str">
        <f ca="1">IFERROR(VALUE(IF(VLOOKUP($A86,数出表_Excel!$A$6:$T$150,COLUMN()/2+1,FALSE)=0,"",VLOOKUP($A86,数出表_Excel!$A$6:$T$150,COLUMN()/2+1,FALSE))),"")</f>
        <v/>
      </c>
      <c r="S86" s="137"/>
      <c r="T86" s="172" t="str">
        <f ca="1">IFERROR(VALUE(IF(VLOOKUP($A86,数出表_Excel!$A$6:$T$150,COLUMN()/2+1,FALSE)=0,"",VLOOKUP($A86,数出表_Excel!$A$6:$T$150,COLUMN()/2+1,FALSE))),"")</f>
        <v/>
      </c>
      <c r="U86" s="137"/>
      <c r="V86" s="174" t="str">
        <f ca="1">IFERROR(VALUE(IF(VLOOKUP($A86,数出表_Excel!$A$6:$T$150,COLUMN()/2+1,FALSE)=0,"",VLOOKUP($A86,数出表_Excel!$A$6:$T$150,COLUMN()/2+1,FALSE))),"")</f>
        <v/>
      </c>
      <c r="W86" s="137"/>
      <c r="X86" s="174" t="str">
        <f ca="1">IFERROR(VALUE(IF(VLOOKUP($A86,数出表_Excel!$A$6:$T$150,COLUMN()/2+1,FALSE)=0,"",VLOOKUP($A86,数出表_Excel!$A$6:$T$150,COLUMN()/2+1,FALSE))),"")</f>
        <v/>
      </c>
      <c r="Y86" s="137"/>
      <c r="Z86" s="174" t="str">
        <f ca="1">IFERROR(VALUE(IF(VLOOKUP($A86,数出表_Excel!$A$6:$T$150,COLUMN()/2+1,FALSE)=0,"",VLOOKUP($A86,数出表_Excel!$A$6:$T$150,COLUMN()/2+1,FALSE))),"")</f>
        <v/>
      </c>
      <c r="AA86" s="175"/>
      <c r="AB86" s="173" t="str">
        <f ca="1">IFERROR(VALUE(IF(VLOOKUP($A86,数出表_Excel!$A$6:$T$150,COLUMN()/2+1,FALSE)=0,"",VLOOKUP($A86,数出表_Excel!$A$6:$T$150,COLUMN()/2+1,FALSE))),"")</f>
        <v/>
      </c>
      <c r="AC86" s="137"/>
      <c r="AD86" s="174" t="str">
        <f ca="1">IFERROR(VALUE(IF(VLOOKUP($A86,数出表_Excel!$A$6:$T$150,COLUMN()/2+1,FALSE)=0,"",VLOOKUP($A86,数出表_Excel!$A$6:$T$150,COLUMN()/2+1,FALSE))),"")</f>
        <v/>
      </c>
      <c r="AE86" s="137"/>
      <c r="AF86" s="174" t="str">
        <f ca="1">IFERROR(VALUE(IF(VLOOKUP($A86,数出表_Excel!$A$6:$T$150,COLUMN()/2+1,FALSE)=0,"",VLOOKUP($A86,数出表_Excel!$A$6:$T$150,COLUMN()/2+1,FALSE))),"")</f>
        <v/>
      </c>
      <c r="AG86" s="137"/>
      <c r="AH86" s="174" t="str">
        <f ca="1">IFERROR(VALUE(IF(VLOOKUP($A86,数出表_Excel!$A$6:$T$150,COLUMN()/2+1,FALSE)=0,"",VLOOKUP($A86,数出表_Excel!$A$6:$T$150,COLUMN()/2+1,FALSE))),"")</f>
        <v/>
      </c>
      <c r="AI86" s="175"/>
      <c r="AJ86" s="173" t="str">
        <f ca="1">IFERROR(VALUE(IF(VLOOKUP($A86,数出表_Excel!$A$6:$T$150,COLUMN()/2+1,FALSE)=0,"",VLOOKUP($A86,数出表_Excel!$A$6:$T$150,COLUMN()/2+1,FALSE))),"")</f>
        <v/>
      </c>
      <c r="AK86" s="137"/>
      <c r="AL86" s="141" t="e">
        <f ca="1">IF(A86&lt;&gt;"",
IF(VLOOKUP($A86,数出表_Excel!$A$6:$T$150,COLUMN()/2+1,FALSE)=0,"",VLOOKUP($A86,数出表_Excel!$A$6:$T$150,COLUMN()/2+1,FALSE)),"")</f>
        <v>#N/A</v>
      </c>
      <c r="AM86" s="222" t="e">
        <f>数出表_Excel!V86</f>
        <v>#N/A</v>
      </c>
      <c r="AN86" s="223" t="e">
        <f>数出表_Excel!W86</f>
        <v>#N/A</v>
      </c>
    </row>
    <row r="87" spans="1:40" ht="16.2" customHeight="1" x14ac:dyDescent="0.45">
      <c r="A87" s="185" t="e">
        <f t="array" aca="1" ref="A87" ca="1">IF(OR(COUNTIF(A85,"*1000*"),COUNTIF(A85,"")),"",INDEX(貼り付け用!$A:$A,MATCH(A85,貼り付け用!$A:$A,0)+2,0))</f>
        <v>#N/A</v>
      </c>
      <c r="B87" s="138" t="str">
        <f ca="1">IFERROR(VALUE(IF(VLOOKUP($A87,数出表_Excel!$A$6:$T$150,COLUMN()/2+1,FALSE)=0,"",VLOOKUP($A87,数出表_Excel!$A$6:$T$150,COLUMN()/2+1,FALSE))),"")</f>
        <v/>
      </c>
      <c r="C87" s="138"/>
      <c r="D87" s="138" t="str">
        <f ca="1">IFERROR(VALUE(IF(VLOOKUP($A87,数出表_Excel!$A$6:$T$150,COLUMN()/2+1,FALSE)=0,"",VLOOKUP($A87,数出表_Excel!$A$6:$T$150,COLUMN()/2+1,FALSE))),"")</f>
        <v/>
      </c>
      <c r="E87" s="138"/>
      <c r="F87" s="142" t="str">
        <f ca="1">IFERROR(VALUE(IF(VLOOKUP($A87,数出表_Excel!$A$6:$T$150,COLUMN()/2+1,FALSE)=0,"",VLOOKUP($A87,数出表_Excel!$A$6:$T$150,COLUMN()/2+1,FALSE))),"")</f>
        <v/>
      </c>
      <c r="G87" s="138"/>
      <c r="H87" s="138" t="str">
        <f ca="1">IFERROR(VALUE(IF(VLOOKUP($A87,数出表_Excel!$A$6:$T$150,COLUMN()/2+1,FALSE)=0,"",VLOOKUP($A87,数出表_Excel!$A$6:$T$150,COLUMN()/2+1,FALSE))),"")</f>
        <v/>
      </c>
      <c r="I87" s="138"/>
      <c r="J87" s="138" t="str">
        <f ca="1">IFERROR(VALUE(IF(VLOOKUP($A87,数出表_Excel!$A$6:$T$150,COLUMN()/2+1,FALSE)=0,"",VLOOKUP($A87,数出表_Excel!$A$6:$T$150,COLUMN()/2+1,FALSE))),"")</f>
        <v/>
      </c>
      <c r="K87" s="138"/>
      <c r="L87" s="142" t="str">
        <f ca="1">IFERROR(VALUE(IF(VLOOKUP($A87,数出表_Excel!$A$6:$T$150,COLUMN()/2+1,FALSE)=0,"",VLOOKUP($A87,数出表_Excel!$A$6:$T$150,COLUMN()/2+1,FALSE))),"")</f>
        <v/>
      </c>
      <c r="M87" s="138"/>
      <c r="N87" s="138" t="str">
        <f ca="1">IFERROR(VALUE(IF(VLOOKUP($A87,数出表_Excel!$A$6:$T$150,COLUMN()/2+1,FALSE)=0,"",VLOOKUP($A87,数出表_Excel!$A$6:$T$150,COLUMN()/2+1,FALSE))),"")</f>
        <v/>
      </c>
      <c r="O87" s="138"/>
      <c r="P87" s="138" t="str">
        <f ca="1">IFERROR(VALUE(IF(VLOOKUP($A87,数出表_Excel!$A$6:$T$150,COLUMN()/2+1,FALSE)=0,"",VLOOKUP($A87,数出表_Excel!$A$6:$T$150,COLUMN()/2+1,FALSE))),"")</f>
        <v/>
      </c>
      <c r="Q87" s="138"/>
      <c r="R87" s="138" t="str">
        <f ca="1">IFERROR(VALUE(IF(VLOOKUP($A87,数出表_Excel!$A$6:$T$150,COLUMN()/2+1,FALSE)=0,"",VLOOKUP($A87,数出表_Excel!$A$6:$T$150,COLUMN()/2+1,FALSE))),"")</f>
        <v/>
      </c>
      <c r="S87" s="138"/>
      <c r="T87" s="138" t="str">
        <f ca="1">IFERROR(VALUE(IF(VLOOKUP($A87,数出表_Excel!$A$6:$T$150,COLUMN()/2+1,FALSE)=0,"",VLOOKUP($A87,数出表_Excel!$A$6:$T$150,COLUMN()/2+1,FALSE))),"")</f>
        <v/>
      </c>
      <c r="U87" s="138"/>
      <c r="V87" s="142" t="str">
        <f ca="1">IFERROR(VALUE(IF(VLOOKUP($A87,数出表_Excel!$A$6:$T$150,COLUMN()/2+1,FALSE)=0,"",VLOOKUP($A87,数出表_Excel!$A$6:$T$150,COLUMN()/2+1,FALSE))),"")</f>
        <v/>
      </c>
      <c r="W87" s="138"/>
      <c r="X87" s="142" t="str">
        <f ca="1">IFERROR(VALUE(IF(VLOOKUP($A87,数出表_Excel!$A$6:$T$150,COLUMN()/2+1,FALSE)=0,"",VLOOKUP($A87,数出表_Excel!$A$6:$T$150,COLUMN()/2+1,FALSE))),"")</f>
        <v/>
      </c>
      <c r="Y87" s="138"/>
      <c r="Z87" s="142" t="str">
        <f ca="1">IFERROR(VALUE(IF(VLOOKUP($A87,数出表_Excel!$A$6:$T$150,COLUMN()/2+1,FALSE)=0,"",VLOOKUP($A87,数出表_Excel!$A$6:$T$150,COLUMN()/2+1,FALSE))),"")</f>
        <v/>
      </c>
      <c r="AA87" s="176"/>
      <c r="AB87" s="143" t="str">
        <f ca="1">IFERROR(VALUE(IF(VLOOKUP($A87,数出表_Excel!$A$6:$T$150,COLUMN()/2+1,FALSE)=0,"",VLOOKUP($A87,数出表_Excel!$A$6:$T$150,COLUMN()/2+1,FALSE))),"")</f>
        <v/>
      </c>
      <c r="AC87" s="138"/>
      <c r="AD87" s="142" t="str">
        <f ca="1">IFERROR(VALUE(IF(VLOOKUP($A87,数出表_Excel!$A$6:$T$150,COLUMN()/2+1,FALSE)=0,"",VLOOKUP($A87,数出表_Excel!$A$6:$T$150,COLUMN()/2+1,FALSE))),"")</f>
        <v/>
      </c>
      <c r="AE87" s="138"/>
      <c r="AF87" s="142" t="str">
        <f ca="1">IFERROR(VALUE(IF(VLOOKUP($A87,数出表_Excel!$A$6:$T$150,COLUMN()/2+1,FALSE)=0,"",VLOOKUP($A87,数出表_Excel!$A$6:$T$150,COLUMN()/2+1,FALSE))),"")</f>
        <v/>
      </c>
      <c r="AG87" s="138"/>
      <c r="AH87" s="142" t="str">
        <f ca="1">IFERROR(VALUE(IF(VLOOKUP($A87,数出表_Excel!$A$6:$T$150,COLUMN()/2+1,FALSE)=0,"",VLOOKUP($A87,数出表_Excel!$A$6:$T$150,COLUMN()/2+1,FALSE))),"")</f>
        <v/>
      </c>
      <c r="AI87" s="176"/>
      <c r="AJ87" s="143" t="str">
        <f ca="1">IFERROR(VALUE(IF(VLOOKUP($A87,数出表_Excel!$A$6:$T$150,COLUMN()/2+1,FALSE)=0,"",VLOOKUP($A87,数出表_Excel!$A$6:$T$150,COLUMN()/2+1,FALSE))),"")</f>
        <v/>
      </c>
      <c r="AK87" s="138"/>
      <c r="AL87" s="144" t="e">
        <f ca="1">IF(A87&lt;&gt;"",
IF(VLOOKUP($A87,数出表_Excel!$A$6:$T$150,COLUMN()/2+1,FALSE)=0,"",VLOOKUP($A87,数出表_Excel!$A$6:$T$150,COLUMN()/2+1,FALSE)),"")</f>
        <v>#N/A</v>
      </c>
      <c r="AM87" s="224" t="e">
        <f>数出表_Excel!V87</f>
        <v>#N/A</v>
      </c>
      <c r="AN87" s="225" t="e">
        <f>数出表_Excel!W87</f>
        <v>#N/A</v>
      </c>
    </row>
    <row r="88" spans="1:40" ht="16.2" customHeight="1" x14ac:dyDescent="0.45">
      <c r="A88" s="184" t="e">
        <f t="array" aca="1" ref="A88" ca="1">IF(OR(COUNTIF(A86,"*10002*"),COUNTIF(A86,"")),"",INDEX(貼り付け用!$A:$A,MATCH(A86,貼り付け用!$A:$A,0)+2,0))</f>
        <v>#N/A</v>
      </c>
      <c r="B88" s="172" t="str">
        <f ca="1">IFERROR(VALUE(IF(VLOOKUP($A88,数出表_Excel!$A$6:$T$150,COLUMN()/2+1,FALSE)=0,"",VLOOKUP($A88,数出表_Excel!$A$6:$T$150,COLUMN()/2+1,FALSE))),"")</f>
        <v/>
      </c>
      <c r="C88" s="137"/>
      <c r="D88" s="172" t="str">
        <f ca="1">IFERROR(VALUE(IF(VLOOKUP($A88,数出表_Excel!$A$6:$T$150,COLUMN()/2+1,FALSE)=0,"",VLOOKUP($A88,数出表_Excel!$A$6:$T$150,COLUMN()/2+1,FALSE))),"")</f>
        <v/>
      </c>
      <c r="E88" s="137"/>
      <c r="F88" s="174" t="str">
        <f ca="1">IFERROR(VALUE(IF(VLOOKUP($A88,数出表_Excel!$A$6:$T$150,COLUMN()/2+1,FALSE)=0,"",VLOOKUP($A88,数出表_Excel!$A$6:$T$150,COLUMN()/2+1,FALSE))),"")</f>
        <v/>
      </c>
      <c r="G88" s="137"/>
      <c r="H88" s="172" t="str">
        <f ca="1">IFERROR(VALUE(IF(VLOOKUP($A88,数出表_Excel!$A$6:$T$150,COLUMN()/2+1,FALSE)=0,"",VLOOKUP($A88,数出表_Excel!$A$6:$T$150,COLUMN()/2+1,FALSE))),"")</f>
        <v/>
      </c>
      <c r="I88" s="137"/>
      <c r="J88" s="172" t="str">
        <f ca="1">IFERROR(VALUE(IF(VLOOKUP($A88,数出表_Excel!$A$6:$T$150,COLUMN()/2+1,FALSE)=0,"",VLOOKUP($A88,数出表_Excel!$A$6:$T$150,COLUMN()/2+1,FALSE))),"")</f>
        <v/>
      </c>
      <c r="K88" s="137"/>
      <c r="L88" s="174" t="str">
        <f ca="1">IFERROR(VALUE(IF(VLOOKUP($A88,数出表_Excel!$A$6:$T$150,COLUMN()/2+1,FALSE)=0,"",VLOOKUP($A88,数出表_Excel!$A$6:$T$150,COLUMN()/2+1,FALSE))),"")</f>
        <v/>
      </c>
      <c r="M88" s="137"/>
      <c r="N88" s="172" t="str">
        <f ca="1">IFERROR(VALUE(IF(VLOOKUP($A88,数出表_Excel!$A$6:$T$150,COLUMN()/2+1,FALSE)=0,"",VLOOKUP($A88,数出表_Excel!$A$6:$T$150,COLUMN()/2+1,FALSE))),"")</f>
        <v/>
      </c>
      <c r="O88" s="137"/>
      <c r="P88" s="172" t="str">
        <f ca="1">IFERROR(VALUE(IF(VLOOKUP($A88,数出表_Excel!$A$6:$T$150,COLUMN()/2+1,FALSE)=0,"",VLOOKUP($A88,数出表_Excel!$A$6:$T$150,COLUMN()/2+1,FALSE))),"")</f>
        <v/>
      </c>
      <c r="Q88" s="137"/>
      <c r="R88" s="172" t="str">
        <f ca="1">IFERROR(VALUE(IF(VLOOKUP($A88,数出表_Excel!$A$6:$T$150,COLUMN()/2+1,FALSE)=0,"",VLOOKUP($A88,数出表_Excel!$A$6:$T$150,COLUMN()/2+1,FALSE))),"")</f>
        <v/>
      </c>
      <c r="S88" s="137"/>
      <c r="T88" s="172" t="str">
        <f ca="1">IFERROR(VALUE(IF(VLOOKUP($A88,数出表_Excel!$A$6:$T$150,COLUMN()/2+1,FALSE)=0,"",VLOOKUP($A88,数出表_Excel!$A$6:$T$150,COLUMN()/2+1,FALSE))),"")</f>
        <v/>
      </c>
      <c r="U88" s="137"/>
      <c r="V88" s="174" t="str">
        <f ca="1">IFERROR(VALUE(IF(VLOOKUP($A88,数出表_Excel!$A$6:$T$150,COLUMN()/2+1,FALSE)=0,"",VLOOKUP($A88,数出表_Excel!$A$6:$T$150,COLUMN()/2+1,FALSE))),"")</f>
        <v/>
      </c>
      <c r="W88" s="137"/>
      <c r="X88" s="174" t="str">
        <f ca="1">IFERROR(VALUE(IF(VLOOKUP($A88,数出表_Excel!$A$6:$T$150,COLUMN()/2+1,FALSE)=0,"",VLOOKUP($A88,数出表_Excel!$A$6:$T$150,COLUMN()/2+1,FALSE))),"")</f>
        <v/>
      </c>
      <c r="Y88" s="137"/>
      <c r="Z88" s="174" t="str">
        <f ca="1">IFERROR(VALUE(IF(VLOOKUP($A88,数出表_Excel!$A$6:$T$150,COLUMN()/2+1,FALSE)=0,"",VLOOKUP($A88,数出表_Excel!$A$6:$T$150,COLUMN()/2+1,FALSE))),"")</f>
        <v/>
      </c>
      <c r="AA88" s="175"/>
      <c r="AB88" s="173" t="str">
        <f ca="1">IFERROR(VALUE(IF(VLOOKUP($A88,数出表_Excel!$A$6:$T$150,COLUMN()/2+1,FALSE)=0,"",VLOOKUP($A88,数出表_Excel!$A$6:$T$150,COLUMN()/2+1,FALSE))),"")</f>
        <v/>
      </c>
      <c r="AC88" s="137"/>
      <c r="AD88" s="174" t="str">
        <f ca="1">IFERROR(VALUE(IF(VLOOKUP($A88,数出表_Excel!$A$6:$T$150,COLUMN()/2+1,FALSE)=0,"",VLOOKUP($A88,数出表_Excel!$A$6:$T$150,COLUMN()/2+1,FALSE))),"")</f>
        <v/>
      </c>
      <c r="AE88" s="137"/>
      <c r="AF88" s="174" t="str">
        <f ca="1">IFERROR(VALUE(IF(VLOOKUP($A88,数出表_Excel!$A$6:$T$150,COLUMN()/2+1,FALSE)=0,"",VLOOKUP($A88,数出表_Excel!$A$6:$T$150,COLUMN()/2+1,FALSE))),"")</f>
        <v/>
      </c>
      <c r="AG88" s="137"/>
      <c r="AH88" s="174" t="str">
        <f ca="1">IFERROR(VALUE(IF(VLOOKUP($A88,数出表_Excel!$A$6:$T$150,COLUMN()/2+1,FALSE)=0,"",VLOOKUP($A88,数出表_Excel!$A$6:$T$150,COLUMN()/2+1,FALSE))),"")</f>
        <v/>
      </c>
      <c r="AI88" s="175"/>
      <c r="AJ88" s="173" t="str">
        <f ca="1">IFERROR(VALUE(IF(VLOOKUP($A88,数出表_Excel!$A$6:$T$150,COLUMN()/2+1,FALSE)=0,"",VLOOKUP($A88,数出表_Excel!$A$6:$T$150,COLUMN()/2+1,FALSE))),"")</f>
        <v/>
      </c>
      <c r="AK88" s="137"/>
      <c r="AL88" s="141" t="e">
        <f ca="1">IF(A88&lt;&gt;"",
IF(VLOOKUP($A88,数出表_Excel!$A$6:$T$150,COLUMN()/2+1,FALSE)=0,"",VLOOKUP($A88,数出表_Excel!$A$6:$T$150,COLUMN()/2+1,FALSE)),"")</f>
        <v>#N/A</v>
      </c>
      <c r="AM88" s="222" t="e">
        <f>数出表_Excel!V88</f>
        <v>#N/A</v>
      </c>
      <c r="AN88" s="223" t="e">
        <f>数出表_Excel!W88</f>
        <v>#N/A</v>
      </c>
    </row>
    <row r="89" spans="1:40" ht="16.2" customHeight="1" x14ac:dyDescent="0.45">
      <c r="A89" s="185" t="e">
        <f t="array" aca="1" ref="A89" ca="1">IF(OR(COUNTIF(A87,"*1000*"),COUNTIF(A87,"")),"",INDEX(貼り付け用!$A:$A,MATCH(A87,貼り付け用!$A:$A,0)+2,0))</f>
        <v>#N/A</v>
      </c>
      <c r="B89" s="138" t="str">
        <f ca="1">IFERROR(VALUE(IF(VLOOKUP($A89,数出表_Excel!$A$6:$T$150,COLUMN()/2+1,FALSE)=0,"",VLOOKUP($A89,数出表_Excel!$A$6:$T$150,COLUMN()/2+1,FALSE))),"")</f>
        <v/>
      </c>
      <c r="C89" s="138"/>
      <c r="D89" s="138" t="str">
        <f ca="1">IFERROR(VALUE(IF(VLOOKUP($A89,数出表_Excel!$A$6:$T$150,COLUMN()/2+1,FALSE)=0,"",VLOOKUP($A89,数出表_Excel!$A$6:$T$150,COLUMN()/2+1,FALSE))),"")</f>
        <v/>
      </c>
      <c r="E89" s="138"/>
      <c r="F89" s="142" t="str">
        <f ca="1">IFERROR(VALUE(IF(VLOOKUP($A89,数出表_Excel!$A$6:$T$150,COLUMN()/2+1,FALSE)=0,"",VLOOKUP($A89,数出表_Excel!$A$6:$T$150,COLUMN()/2+1,FALSE))),"")</f>
        <v/>
      </c>
      <c r="G89" s="138"/>
      <c r="H89" s="138" t="str">
        <f ca="1">IFERROR(VALUE(IF(VLOOKUP($A89,数出表_Excel!$A$6:$T$150,COLUMN()/2+1,FALSE)=0,"",VLOOKUP($A89,数出表_Excel!$A$6:$T$150,COLUMN()/2+1,FALSE))),"")</f>
        <v/>
      </c>
      <c r="I89" s="138"/>
      <c r="J89" s="138" t="str">
        <f ca="1">IFERROR(VALUE(IF(VLOOKUP($A89,数出表_Excel!$A$6:$T$150,COLUMN()/2+1,FALSE)=0,"",VLOOKUP($A89,数出表_Excel!$A$6:$T$150,COLUMN()/2+1,FALSE))),"")</f>
        <v/>
      </c>
      <c r="K89" s="138"/>
      <c r="L89" s="142" t="str">
        <f ca="1">IFERROR(VALUE(IF(VLOOKUP($A89,数出表_Excel!$A$6:$T$150,COLUMN()/2+1,FALSE)=0,"",VLOOKUP($A89,数出表_Excel!$A$6:$T$150,COLUMN()/2+1,FALSE))),"")</f>
        <v/>
      </c>
      <c r="M89" s="138"/>
      <c r="N89" s="138" t="str">
        <f ca="1">IFERROR(VALUE(IF(VLOOKUP($A89,数出表_Excel!$A$6:$T$150,COLUMN()/2+1,FALSE)=0,"",VLOOKUP($A89,数出表_Excel!$A$6:$T$150,COLUMN()/2+1,FALSE))),"")</f>
        <v/>
      </c>
      <c r="O89" s="138"/>
      <c r="P89" s="138" t="str">
        <f ca="1">IFERROR(VALUE(IF(VLOOKUP($A89,数出表_Excel!$A$6:$T$150,COLUMN()/2+1,FALSE)=0,"",VLOOKUP($A89,数出表_Excel!$A$6:$T$150,COLUMN()/2+1,FALSE))),"")</f>
        <v/>
      </c>
      <c r="Q89" s="138"/>
      <c r="R89" s="138" t="str">
        <f ca="1">IFERROR(VALUE(IF(VLOOKUP($A89,数出表_Excel!$A$6:$T$150,COLUMN()/2+1,FALSE)=0,"",VLOOKUP($A89,数出表_Excel!$A$6:$T$150,COLUMN()/2+1,FALSE))),"")</f>
        <v/>
      </c>
      <c r="S89" s="138"/>
      <c r="T89" s="138" t="str">
        <f ca="1">IFERROR(VALUE(IF(VLOOKUP($A89,数出表_Excel!$A$6:$T$150,COLUMN()/2+1,FALSE)=0,"",VLOOKUP($A89,数出表_Excel!$A$6:$T$150,COLUMN()/2+1,FALSE))),"")</f>
        <v/>
      </c>
      <c r="U89" s="138"/>
      <c r="V89" s="142" t="str">
        <f ca="1">IFERROR(VALUE(IF(VLOOKUP($A89,数出表_Excel!$A$6:$T$150,COLUMN()/2+1,FALSE)=0,"",VLOOKUP($A89,数出表_Excel!$A$6:$T$150,COLUMN()/2+1,FALSE))),"")</f>
        <v/>
      </c>
      <c r="W89" s="138"/>
      <c r="X89" s="142" t="str">
        <f ca="1">IFERROR(VALUE(IF(VLOOKUP($A89,数出表_Excel!$A$6:$T$150,COLUMN()/2+1,FALSE)=0,"",VLOOKUP($A89,数出表_Excel!$A$6:$T$150,COLUMN()/2+1,FALSE))),"")</f>
        <v/>
      </c>
      <c r="Y89" s="138"/>
      <c r="Z89" s="142" t="str">
        <f ca="1">IFERROR(VALUE(IF(VLOOKUP($A89,数出表_Excel!$A$6:$T$150,COLUMN()/2+1,FALSE)=0,"",VLOOKUP($A89,数出表_Excel!$A$6:$T$150,COLUMN()/2+1,FALSE))),"")</f>
        <v/>
      </c>
      <c r="AA89" s="176"/>
      <c r="AB89" s="143" t="str">
        <f ca="1">IFERROR(VALUE(IF(VLOOKUP($A89,数出表_Excel!$A$6:$T$150,COLUMN()/2+1,FALSE)=0,"",VLOOKUP($A89,数出表_Excel!$A$6:$T$150,COLUMN()/2+1,FALSE))),"")</f>
        <v/>
      </c>
      <c r="AC89" s="138"/>
      <c r="AD89" s="142" t="str">
        <f ca="1">IFERROR(VALUE(IF(VLOOKUP($A89,数出表_Excel!$A$6:$T$150,COLUMN()/2+1,FALSE)=0,"",VLOOKUP($A89,数出表_Excel!$A$6:$T$150,COLUMN()/2+1,FALSE))),"")</f>
        <v/>
      </c>
      <c r="AE89" s="138"/>
      <c r="AF89" s="142" t="str">
        <f ca="1">IFERROR(VALUE(IF(VLOOKUP($A89,数出表_Excel!$A$6:$T$150,COLUMN()/2+1,FALSE)=0,"",VLOOKUP($A89,数出表_Excel!$A$6:$T$150,COLUMN()/2+1,FALSE))),"")</f>
        <v/>
      </c>
      <c r="AG89" s="138"/>
      <c r="AH89" s="142" t="str">
        <f ca="1">IFERROR(VALUE(IF(VLOOKUP($A89,数出表_Excel!$A$6:$T$150,COLUMN()/2+1,FALSE)=0,"",VLOOKUP($A89,数出表_Excel!$A$6:$T$150,COLUMN()/2+1,FALSE))),"")</f>
        <v/>
      </c>
      <c r="AI89" s="176"/>
      <c r="AJ89" s="143" t="str">
        <f ca="1">IFERROR(VALUE(IF(VLOOKUP($A89,数出表_Excel!$A$6:$T$150,COLUMN()/2+1,FALSE)=0,"",VLOOKUP($A89,数出表_Excel!$A$6:$T$150,COLUMN()/2+1,FALSE))),"")</f>
        <v/>
      </c>
      <c r="AK89" s="138"/>
      <c r="AL89" s="144" t="e">
        <f ca="1">IF(A89&lt;&gt;"",
IF(VLOOKUP($A89,数出表_Excel!$A$6:$T$150,COLUMN()/2+1,FALSE)=0,"",VLOOKUP($A89,数出表_Excel!$A$6:$T$150,COLUMN()/2+1,FALSE)),"")</f>
        <v>#N/A</v>
      </c>
      <c r="AM89" s="224" t="e">
        <f>数出表_Excel!V89</f>
        <v>#N/A</v>
      </c>
      <c r="AN89" s="225" t="e">
        <f>数出表_Excel!W89</f>
        <v>#N/A</v>
      </c>
    </row>
    <row r="90" spans="1:40" ht="16.2" customHeight="1" x14ac:dyDescent="0.45">
      <c r="A90" s="184" t="e">
        <f t="array" aca="1" ref="A90" ca="1">IF(OR(COUNTIF(A88,"*10002*"),COUNTIF(A88,"")),"",INDEX(貼り付け用!$A:$A,MATCH(A88,貼り付け用!$A:$A,0)+2,0))</f>
        <v>#N/A</v>
      </c>
      <c r="B90" s="172" t="str">
        <f ca="1">IFERROR(VALUE(IF(VLOOKUP($A90,数出表_Excel!$A$6:$T$150,COLUMN()/2+1,FALSE)=0,"",VLOOKUP($A90,数出表_Excel!$A$6:$T$150,COLUMN()/2+1,FALSE))),"")</f>
        <v/>
      </c>
      <c r="C90" s="137"/>
      <c r="D90" s="172" t="str">
        <f ca="1">IFERROR(VALUE(IF(VLOOKUP($A90,数出表_Excel!$A$6:$T$150,COLUMN()/2+1,FALSE)=0,"",VLOOKUP($A90,数出表_Excel!$A$6:$T$150,COLUMN()/2+1,FALSE))),"")</f>
        <v/>
      </c>
      <c r="E90" s="137"/>
      <c r="F90" s="174" t="str">
        <f ca="1">IFERROR(VALUE(IF(VLOOKUP($A90,数出表_Excel!$A$6:$T$150,COLUMN()/2+1,FALSE)=0,"",VLOOKUP($A90,数出表_Excel!$A$6:$T$150,COLUMN()/2+1,FALSE))),"")</f>
        <v/>
      </c>
      <c r="G90" s="137"/>
      <c r="H90" s="172" t="str">
        <f ca="1">IFERROR(VALUE(IF(VLOOKUP($A90,数出表_Excel!$A$6:$T$150,COLUMN()/2+1,FALSE)=0,"",VLOOKUP($A90,数出表_Excel!$A$6:$T$150,COLUMN()/2+1,FALSE))),"")</f>
        <v/>
      </c>
      <c r="I90" s="137"/>
      <c r="J90" s="172" t="str">
        <f ca="1">IFERROR(VALUE(IF(VLOOKUP($A90,数出表_Excel!$A$6:$T$150,COLUMN()/2+1,FALSE)=0,"",VLOOKUP($A90,数出表_Excel!$A$6:$T$150,COLUMN()/2+1,FALSE))),"")</f>
        <v/>
      </c>
      <c r="K90" s="137"/>
      <c r="L90" s="174" t="str">
        <f ca="1">IFERROR(VALUE(IF(VLOOKUP($A90,数出表_Excel!$A$6:$T$150,COLUMN()/2+1,FALSE)=0,"",VLOOKUP($A90,数出表_Excel!$A$6:$T$150,COLUMN()/2+1,FALSE))),"")</f>
        <v/>
      </c>
      <c r="M90" s="137"/>
      <c r="N90" s="172" t="str">
        <f ca="1">IFERROR(VALUE(IF(VLOOKUP($A90,数出表_Excel!$A$6:$T$150,COLUMN()/2+1,FALSE)=0,"",VLOOKUP($A90,数出表_Excel!$A$6:$T$150,COLUMN()/2+1,FALSE))),"")</f>
        <v/>
      </c>
      <c r="O90" s="137"/>
      <c r="P90" s="172" t="str">
        <f ca="1">IFERROR(VALUE(IF(VLOOKUP($A90,数出表_Excel!$A$6:$T$150,COLUMN()/2+1,FALSE)=0,"",VLOOKUP($A90,数出表_Excel!$A$6:$T$150,COLUMN()/2+1,FALSE))),"")</f>
        <v/>
      </c>
      <c r="Q90" s="137"/>
      <c r="R90" s="172" t="str">
        <f ca="1">IFERROR(VALUE(IF(VLOOKUP($A90,数出表_Excel!$A$6:$T$150,COLUMN()/2+1,FALSE)=0,"",VLOOKUP($A90,数出表_Excel!$A$6:$T$150,COLUMN()/2+1,FALSE))),"")</f>
        <v/>
      </c>
      <c r="S90" s="137"/>
      <c r="T90" s="172" t="str">
        <f ca="1">IFERROR(VALUE(IF(VLOOKUP($A90,数出表_Excel!$A$6:$T$150,COLUMN()/2+1,FALSE)=0,"",VLOOKUP($A90,数出表_Excel!$A$6:$T$150,COLUMN()/2+1,FALSE))),"")</f>
        <v/>
      </c>
      <c r="U90" s="137"/>
      <c r="V90" s="174" t="str">
        <f ca="1">IFERROR(VALUE(IF(VLOOKUP($A90,数出表_Excel!$A$6:$T$150,COLUMN()/2+1,FALSE)=0,"",VLOOKUP($A90,数出表_Excel!$A$6:$T$150,COLUMN()/2+1,FALSE))),"")</f>
        <v/>
      </c>
      <c r="W90" s="137"/>
      <c r="X90" s="174" t="str">
        <f ca="1">IFERROR(VALUE(IF(VLOOKUP($A90,数出表_Excel!$A$6:$T$150,COLUMN()/2+1,FALSE)=0,"",VLOOKUP($A90,数出表_Excel!$A$6:$T$150,COLUMN()/2+1,FALSE))),"")</f>
        <v/>
      </c>
      <c r="Y90" s="137"/>
      <c r="Z90" s="174" t="str">
        <f ca="1">IFERROR(VALUE(IF(VLOOKUP($A90,数出表_Excel!$A$6:$T$150,COLUMN()/2+1,FALSE)=0,"",VLOOKUP($A90,数出表_Excel!$A$6:$T$150,COLUMN()/2+1,FALSE))),"")</f>
        <v/>
      </c>
      <c r="AA90" s="175"/>
      <c r="AB90" s="173" t="str">
        <f ca="1">IFERROR(VALUE(IF(VLOOKUP($A90,数出表_Excel!$A$6:$T$150,COLUMN()/2+1,FALSE)=0,"",VLOOKUP($A90,数出表_Excel!$A$6:$T$150,COLUMN()/2+1,FALSE))),"")</f>
        <v/>
      </c>
      <c r="AC90" s="137"/>
      <c r="AD90" s="174" t="str">
        <f ca="1">IFERROR(VALUE(IF(VLOOKUP($A90,数出表_Excel!$A$6:$T$150,COLUMN()/2+1,FALSE)=0,"",VLOOKUP($A90,数出表_Excel!$A$6:$T$150,COLUMN()/2+1,FALSE))),"")</f>
        <v/>
      </c>
      <c r="AE90" s="137"/>
      <c r="AF90" s="174" t="str">
        <f ca="1">IFERROR(VALUE(IF(VLOOKUP($A90,数出表_Excel!$A$6:$T$150,COLUMN()/2+1,FALSE)=0,"",VLOOKUP($A90,数出表_Excel!$A$6:$T$150,COLUMN()/2+1,FALSE))),"")</f>
        <v/>
      </c>
      <c r="AG90" s="137"/>
      <c r="AH90" s="174" t="str">
        <f ca="1">IFERROR(VALUE(IF(VLOOKUP($A90,数出表_Excel!$A$6:$T$150,COLUMN()/2+1,FALSE)=0,"",VLOOKUP($A90,数出表_Excel!$A$6:$T$150,COLUMN()/2+1,FALSE))),"")</f>
        <v/>
      </c>
      <c r="AI90" s="175"/>
      <c r="AJ90" s="173" t="str">
        <f ca="1">IFERROR(VALUE(IF(VLOOKUP($A90,数出表_Excel!$A$6:$T$150,COLUMN()/2+1,FALSE)=0,"",VLOOKUP($A90,数出表_Excel!$A$6:$T$150,COLUMN()/2+1,FALSE))),"")</f>
        <v/>
      </c>
      <c r="AK90" s="137"/>
      <c r="AL90" s="141" t="e">
        <f ca="1">IF(A90&lt;&gt;"",
IF(VLOOKUP($A90,数出表_Excel!$A$6:$T$150,COLUMN()/2+1,FALSE)=0,"",VLOOKUP($A90,数出表_Excel!$A$6:$T$150,COLUMN()/2+1,FALSE)),"")</f>
        <v>#N/A</v>
      </c>
      <c r="AM90" s="222" t="e">
        <f>数出表_Excel!V90</f>
        <v>#N/A</v>
      </c>
      <c r="AN90" s="223" t="e">
        <f>数出表_Excel!W90</f>
        <v>#N/A</v>
      </c>
    </row>
    <row r="91" spans="1:40" ht="16.2" customHeight="1" x14ac:dyDescent="0.45">
      <c r="A91" s="185" t="e">
        <f t="array" aca="1" ref="A91" ca="1">IF(OR(COUNTIF(A89,"*1000*"),COUNTIF(A89,"")),"",INDEX(貼り付け用!$A:$A,MATCH(A89,貼り付け用!$A:$A,0)+2,0))</f>
        <v>#N/A</v>
      </c>
      <c r="B91" s="138" t="str">
        <f ca="1">IFERROR(VALUE(IF(VLOOKUP($A91,数出表_Excel!$A$6:$T$150,COLUMN()/2+1,FALSE)=0,"",VLOOKUP($A91,数出表_Excel!$A$6:$T$150,COLUMN()/2+1,FALSE))),"")</f>
        <v/>
      </c>
      <c r="C91" s="138"/>
      <c r="D91" s="138" t="str">
        <f ca="1">IFERROR(VALUE(IF(VLOOKUP($A91,数出表_Excel!$A$6:$T$150,COLUMN()/2+1,FALSE)=0,"",VLOOKUP($A91,数出表_Excel!$A$6:$T$150,COLUMN()/2+1,FALSE))),"")</f>
        <v/>
      </c>
      <c r="E91" s="138"/>
      <c r="F91" s="142" t="str">
        <f ca="1">IFERROR(VALUE(IF(VLOOKUP($A91,数出表_Excel!$A$6:$T$150,COLUMN()/2+1,FALSE)=0,"",VLOOKUP($A91,数出表_Excel!$A$6:$T$150,COLUMN()/2+1,FALSE))),"")</f>
        <v/>
      </c>
      <c r="G91" s="138"/>
      <c r="H91" s="138" t="str">
        <f ca="1">IFERROR(VALUE(IF(VLOOKUP($A91,数出表_Excel!$A$6:$T$150,COLUMN()/2+1,FALSE)=0,"",VLOOKUP($A91,数出表_Excel!$A$6:$T$150,COLUMN()/2+1,FALSE))),"")</f>
        <v/>
      </c>
      <c r="I91" s="138"/>
      <c r="J91" s="138" t="str">
        <f ca="1">IFERROR(VALUE(IF(VLOOKUP($A91,数出表_Excel!$A$6:$T$150,COLUMN()/2+1,FALSE)=0,"",VLOOKUP($A91,数出表_Excel!$A$6:$T$150,COLUMN()/2+1,FALSE))),"")</f>
        <v/>
      </c>
      <c r="K91" s="138"/>
      <c r="L91" s="142" t="str">
        <f ca="1">IFERROR(VALUE(IF(VLOOKUP($A91,数出表_Excel!$A$6:$T$150,COLUMN()/2+1,FALSE)=0,"",VLOOKUP($A91,数出表_Excel!$A$6:$T$150,COLUMN()/2+1,FALSE))),"")</f>
        <v/>
      </c>
      <c r="M91" s="138"/>
      <c r="N91" s="138" t="str">
        <f ca="1">IFERROR(VALUE(IF(VLOOKUP($A91,数出表_Excel!$A$6:$T$150,COLUMN()/2+1,FALSE)=0,"",VLOOKUP($A91,数出表_Excel!$A$6:$T$150,COLUMN()/2+1,FALSE))),"")</f>
        <v/>
      </c>
      <c r="O91" s="138"/>
      <c r="P91" s="138" t="str">
        <f ca="1">IFERROR(VALUE(IF(VLOOKUP($A91,数出表_Excel!$A$6:$T$150,COLUMN()/2+1,FALSE)=0,"",VLOOKUP($A91,数出表_Excel!$A$6:$T$150,COLUMN()/2+1,FALSE))),"")</f>
        <v/>
      </c>
      <c r="Q91" s="138"/>
      <c r="R91" s="138" t="str">
        <f ca="1">IFERROR(VALUE(IF(VLOOKUP($A91,数出表_Excel!$A$6:$T$150,COLUMN()/2+1,FALSE)=0,"",VLOOKUP($A91,数出表_Excel!$A$6:$T$150,COLUMN()/2+1,FALSE))),"")</f>
        <v/>
      </c>
      <c r="S91" s="138"/>
      <c r="T91" s="138" t="str">
        <f ca="1">IFERROR(VALUE(IF(VLOOKUP($A91,数出表_Excel!$A$6:$T$150,COLUMN()/2+1,FALSE)=0,"",VLOOKUP($A91,数出表_Excel!$A$6:$T$150,COLUMN()/2+1,FALSE))),"")</f>
        <v/>
      </c>
      <c r="U91" s="138"/>
      <c r="V91" s="142" t="str">
        <f ca="1">IFERROR(VALUE(IF(VLOOKUP($A91,数出表_Excel!$A$6:$T$150,COLUMN()/2+1,FALSE)=0,"",VLOOKUP($A91,数出表_Excel!$A$6:$T$150,COLUMN()/2+1,FALSE))),"")</f>
        <v/>
      </c>
      <c r="W91" s="138"/>
      <c r="X91" s="142" t="str">
        <f ca="1">IFERROR(VALUE(IF(VLOOKUP($A91,数出表_Excel!$A$6:$T$150,COLUMN()/2+1,FALSE)=0,"",VLOOKUP($A91,数出表_Excel!$A$6:$T$150,COLUMN()/2+1,FALSE))),"")</f>
        <v/>
      </c>
      <c r="Y91" s="138"/>
      <c r="Z91" s="142" t="str">
        <f ca="1">IFERROR(VALUE(IF(VLOOKUP($A91,数出表_Excel!$A$6:$T$150,COLUMN()/2+1,FALSE)=0,"",VLOOKUP($A91,数出表_Excel!$A$6:$T$150,COLUMN()/2+1,FALSE))),"")</f>
        <v/>
      </c>
      <c r="AA91" s="176"/>
      <c r="AB91" s="143" t="str">
        <f ca="1">IFERROR(VALUE(IF(VLOOKUP($A91,数出表_Excel!$A$6:$T$150,COLUMN()/2+1,FALSE)=0,"",VLOOKUP($A91,数出表_Excel!$A$6:$T$150,COLUMN()/2+1,FALSE))),"")</f>
        <v/>
      </c>
      <c r="AC91" s="138"/>
      <c r="AD91" s="142" t="str">
        <f ca="1">IFERROR(VALUE(IF(VLOOKUP($A91,数出表_Excel!$A$6:$T$150,COLUMN()/2+1,FALSE)=0,"",VLOOKUP($A91,数出表_Excel!$A$6:$T$150,COLUMN()/2+1,FALSE))),"")</f>
        <v/>
      </c>
      <c r="AE91" s="138"/>
      <c r="AF91" s="142" t="str">
        <f ca="1">IFERROR(VALUE(IF(VLOOKUP($A91,数出表_Excel!$A$6:$T$150,COLUMN()/2+1,FALSE)=0,"",VLOOKUP($A91,数出表_Excel!$A$6:$T$150,COLUMN()/2+1,FALSE))),"")</f>
        <v/>
      </c>
      <c r="AG91" s="138"/>
      <c r="AH91" s="142" t="str">
        <f ca="1">IFERROR(VALUE(IF(VLOOKUP($A91,数出表_Excel!$A$6:$T$150,COLUMN()/2+1,FALSE)=0,"",VLOOKUP($A91,数出表_Excel!$A$6:$T$150,COLUMN()/2+1,FALSE))),"")</f>
        <v/>
      </c>
      <c r="AI91" s="176"/>
      <c r="AJ91" s="143" t="str">
        <f ca="1">IFERROR(VALUE(IF(VLOOKUP($A91,数出表_Excel!$A$6:$T$150,COLUMN()/2+1,FALSE)=0,"",VLOOKUP($A91,数出表_Excel!$A$6:$T$150,COLUMN()/2+1,FALSE))),"")</f>
        <v/>
      </c>
      <c r="AK91" s="138"/>
      <c r="AL91" s="144" t="e">
        <f ca="1">IF(A91&lt;&gt;"",
IF(VLOOKUP($A91,数出表_Excel!$A$6:$T$150,COLUMN()/2+1,FALSE)=0,"",VLOOKUP($A91,数出表_Excel!$A$6:$T$150,COLUMN()/2+1,FALSE)),"")</f>
        <v>#N/A</v>
      </c>
      <c r="AM91" s="224" t="e">
        <f>数出表_Excel!V91</f>
        <v>#N/A</v>
      </c>
      <c r="AN91" s="225" t="e">
        <f>数出表_Excel!W91</f>
        <v>#N/A</v>
      </c>
    </row>
    <row r="92" spans="1:40" ht="16.2" customHeight="1" x14ac:dyDescent="0.45">
      <c r="A92" s="184" t="e">
        <f t="array" aca="1" ref="A92" ca="1">IF(OR(COUNTIF(A90,"*10002*"),COUNTIF(A90,"")),"",INDEX(貼り付け用!$A:$A,MATCH(A90,貼り付け用!$A:$A,0)+2,0))</f>
        <v>#N/A</v>
      </c>
      <c r="B92" s="172" t="str">
        <f ca="1">IFERROR(VALUE(IF(VLOOKUP($A92,数出表_Excel!$A$6:$T$150,COLUMN()/2+1,FALSE)=0,"",VLOOKUP($A92,数出表_Excel!$A$6:$T$150,COLUMN()/2+1,FALSE))),"")</f>
        <v/>
      </c>
      <c r="C92" s="137"/>
      <c r="D92" s="172" t="str">
        <f ca="1">IFERROR(VALUE(IF(VLOOKUP($A92,数出表_Excel!$A$6:$T$150,COLUMN()/2+1,FALSE)=0,"",VLOOKUP($A92,数出表_Excel!$A$6:$T$150,COLUMN()/2+1,FALSE))),"")</f>
        <v/>
      </c>
      <c r="E92" s="137"/>
      <c r="F92" s="174" t="str">
        <f ca="1">IFERROR(VALUE(IF(VLOOKUP($A92,数出表_Excel!$A$6:$T$150,COLUMN()/2+1,FALSE)=0,"",VLOOKUP($A92,数出表_Excel!$A$6:$T$150,COLUMN()/2+1,FALSE))),"")</f>
        <v/>
      </c>
      <c r="G92" s="137"/>
      <c r="H92" s="172" t="str">
        <f ca="1">IFERROR(VALUE(IF(VLOOKUP($A92,数出表_Excel!$A$6:$T$150,COLUMN()/2+1,FALSE)=0,"",VLOOKUP($A92,数出表_Excel!$A$6:$T$150,COLUMN()/2+1,FALSE))),"")</f>
        <v/>
      </c>
      <c r="I92" s="137"/>
      <c r="J92" s="172" t="str">
        <f ca="1">IFERROR(VALUE(IF(VLOOKUP($A92,数出表_Excel!$A$6:$T$150,COLUMN()/2+1,FALSE)=0,"",VLOOKUP($A92,数出表_Excel!$A$6:$T$150,COLUMN()/2+1,FALSE))),"")</f>
        <v/>
      </c>
      <c r="K92" s="137"/>
      <c r="L92" s="174" t="str">
        <f ca="1">IFERROR(VALUE(IF(VLOOKUP($A92,数出表_Excel!$A$6:$T$150,COLUMN()/2+1,FALSE)=0,"",VLOOKUP($A92,数出表_Excel!$A$6:$T$150,COLUMN()/2+1,FALSE))),"")</f>
        <v/>
      </c>
      <c r="M92" s="137"/>
      <c r="N92" s="172" t="str">
        <f ca="1">IFERROR(VALUE(IF(VLOOKUP($A92,数出表_Excel!$A$6:$T$150,COLUMN()/2+1,FALSE)=0,"",VLOOKUP($A92,数出表_Excel!$A$6:$T$150,COLUMN()/2+1,FALSE))),"")</f>
        <v/>
      </c>
      <c r="O92" s="137"/>
      <c r="P92" s="172" t="str">
        <f ca="1">IFERROR(VALUE(IF(VLOOKUP($A92,数出表_Excel!$A$6:$T$150,COLUMN()/2+1,FALSE)=0,"",VLOOKUP($A92,数出表_Excel!$A$6:$T$150,COLUMN()/2+1,FALSE))),"")</f>
        <v/>
      </c>
      <c r="Q92" s="137"/>
      <c r="R92" s="172" t="str">
        <f ca="1">IFERROR(VALUE(IF(VLOOKUP($A92,数出表_Excel!$A$6:$T$150,COLUMN()/2+1,FALSE)=0,"",VLOOKUP($A92,数出表_Excel!$A$6:$T$150,COLUMN()/2+1,FALSE))),"")</f>
        <v/>
      </c>
      <c r="S92" s="137"/>
      <c r="T92" s="172" t="str">
        <f ca="1">IFERROR(VALUE(IF(VLOOKUP($A92,数出表_Excel!$A$6:$T$150,COLUMN()/2+1,FALSE)=0,"",VLOOKUP($A92,数出表_Excel!$A$6:$T$150,COLUMN()/2+1,FALSE))),"")</f>
        <v/>
      </c>
      <c r="U92" s="137"/>
      <c r="V92" s="174" t="str">
        <f ca="1">IFERROR(VALUE(IF(VLOOKUP($A92,数出表_Excel!$A$6:$T$150,COLUMN()/2+1,FALSE)=0,"",VLOOKUP($A92,数出表_Excel!$A$6:$T$150,COLUMN()/2+1,FALSE))),"")</f>
        <v/>
      </c>
      <c r="W92" s="137"/>
      <c r="X92" s="174" t="str">
        <f ca="1">IFERROR(VALUE(IF(VLOOKUP($A92,数出表_Excel!$A$6:$T$150,COLUMN()/2+1,FALSE)=0,"",VLOOKUP($A92,数出表_Excel!$A$6:$T$150,COLUMN()/2+1,FALSE))),"")</f>
        <v/>
      </c>
      <c r="Y92" s="137"/>
      <c r="Z92" s="174" t="str">
        <f ca="1">IFERROR(VALUE(IF(VLOOKUP($A92,数出表_Excel!$A$6:$T$150,COLUMN()/2+1,FALSE)=0,"",VLOOKUP($A92,数出表_Excel!$A$6:$T$150,COLUMN()/2+1,FALSE))),"")</f>
        <v/>
      </c>
      <c r="AA92" s="175"/>
      <c r="AB92" s="173" t="str">
        <f ca="1">IFERROR(VALUE(IF(VLOOKUP($A92,数出表_Excel!$A$6:$T$150,COLUMN()/2+1,FALSE)=0,"",VLOOKUP($A92,数出表_Excel!$A$6:$T$150,COLUMN()/2+1,FALSE))),"")</f>
        <v/>
      </c>
      <c r="AC92" s="137"/>
      <c r="AD92" s="174" t="str">
        <f ca="1">IFERROR(VALUE(IF(VLOOKUP($A92,数出表_Excel!$A$6:$T$150,COLUMN()/2+1,FALSE)=0,"",VLOOKUP($A92,数出表_Excel!$A$6:$T$150,COLUMN()/2+1,FALSE))),"")</f>
        <v/>
      </c>
      <c r="AE92" s="137"/>
      <c r="AF92" s="174" t="str">
        <f ca="1">IFERROR(VALUE(IF(VLOOKUP($A92,数出表_Excel!$A$6:$T$150,COLUMN()/2+1,FALSE)=0,"",VLOOKUP($A92,数出表_Excel!$A$6:$T$150,COLUMN()/2+1,FALSE))),"")</f>
        <v/>
      </c>
      <c r="AG92" s="137"/>
      <c r="AH92" s="174" t="str">
        <f ca="1">IFERROR(VALUE(IF(VLOOKUP($A92,数出表_Excel!$A$6:$T$150,COLUMN()/2+1,FALSE)=0,"",VLOOKUP($A92,数出表_Excel!$A$6:$T$150,COLUMN()/2+1,FALSE))),"")</f>
        <v/>
      </c>
      <c r="AI92" s="175"/>
      <c r="AJ92" s="173" t="str">
        <f ca="1">IFERROR(VALUE(IF(VLOOKUP($A92,数出表_Excel!$A$6:$T$150,COLUMN()/2+1,FALSE)=0,"",VLOOKUP($A92,数出表_Excel!$A$6:$T$150,COLUMN()/2+1,FALSE))),"")</f>
        <v/>
      </c>
      <c r="AK92" s="137"/>
      <c r="AL92" s="141" t="e">
        <f ca="1">IF(A92&lt;&gt;"",
IF(VLOOKUP($A92,数出表_Excel!$A$6:$T$150,COLUMN()/2+1,FALSE)=0,"",VLOOKUP($A92,数出表_Excel!$A$6:$T$150,COLUMN()/2+1,FALSE)),"")</f>
        <v>#N/A</v>
      </c>
      <c r="AM92" s="222" t="e">
        <f>数出表_Excel!V92</f>
        <v>#N/A</v>
      </c>
      <c r="AN92" s="223" t="e">
        <f>数出表_Excel!W92</f>
        <v>#N/A</v>
      </c>
    </row>
    <row r="93" spans="1:40" ht="16.2" customHeight="1" x14ac:dyDescent="0.45">
      <c r="A93" s="185" t="e">
        <f t="array" aca="1" ref="A93" ca="1">IF(OR(COUNTIF(A91,"*1000*"),COUNTIF(A91,"")),"",INDEX(貼り付け用!$A:$A,MATCH(A91,貼り付け用!$A:$A,0)+2,0))</f>
        <v>#N/A</v>
      </c>
      <c r="B93" s="138" t="str">
        <f ca="1">IFERROR(VALUE(IF(VLOOKUP($A93,数出表_Excel!$A$6:$T$150,COLUMN()/2+1,FALSE)=0,"",VLOOKUP($A93,数出表_Excel!$A$6:$T$150,COLUMN()/2+1,FALSE))),"")</f>
        <v/>
      </c>
      <c r="C93" s="138"/>
      <c r="D93" s="138" t="str">
        <f ca="1">IFERROR(VALUE(IF(VLOOKUP($A93,数出表_Excel!$A$6:$T$150,COLUMN()/2+1,FALSE)=0,"",VLOOKUP($A93,数出表_Excel!$A$6:$T$150,COLUMN()/2+1,FALSE))),"")</f>
        <v/>
      </c>
      <c r="E93" s="138"/>
      <c r="F93" s="142" t="str">
        <f ca="1">IFERROR(VALUE(IF(VLOOKUP($A93,数出表_Excel!$A$6:$T$150,COLUMN()/2+1,FALSE)=0,"",VLOOKUP($A93,数出表_Excel!$A$6:$T$150,COLUMN()/2+1,FALSE))),"")</f>
        <v/>
      </c>
      <c r="G93" s="138"/>
      <c r="H93" s="138" t="str">
        <f ca="1">IFERROR(VALUE(IF(VLOOKUP($A93,数出表_Excel!$A$6:$T$150,COLUMN()/2+1,FALSE)=0,"",VLOOKUP($A93,数出表_Excel!$A$6:$T$150,COLUMN()/2+1,FALSE))),"")</f>
        <v/>
      </c>
      <c r="I93" s="138"/>
      <c r="J93" s="138" t="str">
        <f ca="1">IFERROR(VALUE(IF(VLOOKUP($A93,数出表_Excel!$A$6:$T$150,COLUMN()/2+1,FALSE)=0,"",VLOOKUP($A93,数出表_Excel!$A$6:$T$150,COLUMN()/2+1,FALSE))),"")</f>
        <v/>
      </c>
      <c r="K93" s="138"/>
      <c r="L93" s="142" t="str">
        <f ca="1">IFERROR(VALUE(IF(VLOOKUP($A93,数出表_Excel!$A$6:$T$150,COLUMN()/2+1,FALSE)=0,"",VLOOKUP($A93,数出表_Excel!$A$6:$T$150,COLUMN()/2+1,FALSE))),"")</f>
        <v/>
      </c>
      <c r="M93" s="138"/>
      <c r="N93" s="138" t="str">
        <f ca="1">IFERROR(VALUE(IF(VLOOKUP($A93,数出表_Excel!$A$6:$T$150,COLUMN()/2+1,FALSE)=0,"",VLOOKUP($A93,数出表_Excel!$A$6:$T$150,COLUMN()/2+1,FALSE))),"")</f>
        <v/>
      </c>
      <c r="O93" s="138"/>
      <c r="P93" s="138" t="str">
        <f ca="1">IFERROR(VALUE(IF(VLOOKUP($A93,数出表_Excel!$A$6:$T$150,COLUMN()/2+1,FALSE)=0,"",VLOOKUP($A93,数出表_Excel!$A$6:$T$150,COLUMN()/2+1,FALSE))),"")</f>
        <v/>
      </c>
      <c r="Q93" s="138"/>
      <c r="R93" s="138" t="str">
        <f ca="1">IFERROR(VALUE(IF(VLOOKUP($A93,数出表_Excel!$A$6:$T$150,COLUMN()/2+1,FALSE)=0,"",VLOOKUP($A93,数出表_Excel!$A$6:$T$150,COLUMN()/2+1,FALSE))),"")</f>
        <v/>
      </c>
      <c r="S93" s="138"/>
      <c r="T93" s="138" t="str">
        <f ca="1">IFERROR(VALUE(IF(VLOOKUP($A93,数出表_Excel!$A$6:$T$150,COLUMN()/2+1,FALSE)=0,"",VLOOKUP($A93,数出表_Excel!$A$6:$T$150,COLUMN()/2+1,FALSE))),"")</f>
        <v/>
      </c>
      <c r="U93" s="138"/>
      <c r="V93" s="142" t="str">
        <f ca="1">IFERROR(VALUE(IF(VLOOKUP($A93,数出表_Excel!$A$6:$T$150,COLUMN()/2+1,FALSE)=0,"",VLOOKUP($A93,数出表_Excel!$A$6:$T$150,COLUMN()/2+1,FALSE))),"")</f>
        <v/>
      </c>
      <c r="W93" s="138"/>
      <c r="X93" s="142" t="str">
        <f ca="1">IFERROR(VALUE(IF(VLOOKUP($A93,数出表_Excel!$A$6:$T$150,COLUMN()/2+1,FALSE)=0,"",VLOOKUP($A93,数出表_Excel!$A$6:$T$150,COLUMN()/2+1,FALSE))),"")</f>
        <v/>
      </c>
      <c r="Y93" s="138"/>
      <c r="Z93" s="142" t="str">
        <f ca="1">IFERROR(VALUE(IF(VLOOKUP($A93,数出表_Excel!$A$6:$T$150,COLUMN()/2+1,FALSE)=0,"",VLOOKUP($A93,数出表_Excel!$A$6:$T$150,COLUMN()/2+1,FALSE))),"")</f>
        <v/>
      </c>
      <c r="AA93" s="176"/>
      <c r="AB93" s="143" t="str">
        <f ca="1">IFERROR(VALUE(IF(VLOOKUP($A93,数出表_Excel!$A$6:$T$150,COLUMN()/2+1,FALSE)=0,"",VLOOKUP($A93,数出表_Excel!$A$6:$T$150,COLUMN()/2+1,FALSE))),"")</f>
        <v/>
      </c>
      <c r="AC93" s="138"/>
      <c r="AD93" s="142" t="str">
        <f ca="1">IFERROR(VALUE(IF(VLOOKUP($A93,数出表_Excel!$A$6:$T$150,COLUMN()/2+1,FALSE)=0,"",VLOOKUP($A93,数出表_Excel!$A$6:$T$150,COLUMN()/2+1,FALSE))),"")</f>
        <v/>
      </c>
      <c r="AE93" s="138"/>
      <c r="AF93" s="142" t="str">
        <f ca="1">IFERROR(VALUE(IF(VLOOKUP($A93,数出表_Excel!$A$6:$T$150,COLUMN()/2+1,FALSE)=0,"",VLOOKUP($A93,数出表_Excel!$A$6:$T$150,COLUMN()/2+1,FALSE))),"")</f>
        <v/>
      </c>
      <c r="AG93" s="138"/>
      <c r="AH93" s="142" t="str">
        <f ca="1">IFERROR(VALUE(IF(VLOOKUP($A93,数出表_Excel!$A$6:$T$150,COLUMN()/2+1,FALSE)=0,"",VLOOKUP($A93,数出表_Excel!$A$6:$T$150,COLUMN()/2+1,FALSE))),"")</f>
        <v/>
      </c>
      <c r="AI93" s="176"/>
      <c r="AJ93" s="143" t="str">
        <f ca="1">IFERROR(VALUE(IF(VLOOKUP($A93,数出表_Excel!$A$6:$T$150,COLUMN()/2+1,FALSE)=0,"",VLOOKUP($A93,数出表_Excel!$A$6:$T$150,COLUMN()/2+1,FALSE))),"")</f>
        <v/>
      </c>
      <c r="AK93" s="138"/>
      <c r="AL93" s="144" t="e">
        <f ca="1">IF(A93&lt;&gt;"",
IF(VLOOKUP($A93,数出表_Excel!$A$6:$T$150,COLUMN()/2+1,FALSE)=0,"",VLOOKUP($A93,数出表_Excel!$A$6:$T$150,COLUMN()/2+1,FALSE)),"")</f>
        <v>#N/A</v>
      </c>
      <c r="AM93" s="224" t="e">
        <f>数出表_Excel!V93</f>
        <v>#N/A</v>
      </c>
      <c r="AN93" s="225" t="e">
        <f>数出表_Excel!W93</f>
        <v>#N/A</v>
      </c>
    </row>
    <row r="94" spans="1:40" ht="16.2" customHeight="1" x14ac:dyDescent="0.45">
      <c r="A94" s="184" t="e">
        <f t="array" aca="1" ref="A94" ca="1">IF(OR(COUNTIF(A92,"*10002*"),COUNTIF(A92,"")),"",INDEX(貼り付け用!$A:$A,MATCH(A92,貼り付け用!$A:$A,0)+2,0))</f>
        <v>#N/A</v>
      </c>
      <c r="B94" s="172" t="str">
        <f ca="1">IFERROR(VALUE(IF(VLOOKUP($A94,数出表_Excel!$A$6:$T$150,COLUMN()/2+1,FALSE)=0,"",VLOOKUP($A94,数出表_Excel!$A$6:$T$150,COLUMN()/2+1,FALSE))),"")</f>
        <v/>
      </c>
      <c r="C94" s="137"/>
      <c r="D94" s="172" t="str">
        <f ca="1">IFERROR(VALUE(IF(VLOOKUP($A94,数出表_Excel!$A$6:$T$150,COLUMN()/2+1,FALSE)=0,"",VLOOKUP($A94,数出表_Excel!$A$6:$T$150,COLUMN()/2+1,FALSE))),"")</f>
        <v/>
      </c>
      <c r="E94" s="137"/>
      <c r="F94" s="174" t="str">
        <f ca="1">IFERROR(VALUE(IF(VLOOKUP($A94,数出表_Excel!$A$6:$T$150,COLUMN()/2+1,FALSE)=0,"",VLOOKUP($A94,数出表_Excel!$A$6:$T$150,COLUMN()/2+1,FALSE))),"")</f>
        <v/>
      </c>
      <c r="G94" s="137"/>
      <c r="H94" s="172" t="str">
        <f ca="1">IFERROR(VALUE(IF(VLOOKUP($A94,数出表_Excel!$A$6:$T$150,COLUMN()/2+1,FALSE)=0,"",VLOOKUP($A94,数出表_Excel!$A$6:$T$150,COLUMN()/2+1,FALSE))),"")</f>
        <v/>
      </c>
      <c r="I94" s="137"/>
      <c r="J94" s="172" t="str">
        <f ca="1">IFERROR(VALUE(IF(VLOOKUP($A94,数出表_Excel!$A$6:$T$150,COLUMN()/2+1,FALSE)=0,"",VLOOKUP($A94,数出表_Excel!$A$6:$T$150,COLUMN()/2+1,FALSE))),"")</f>
        <v/>
      </c>
      <c r="K94" s="137"/>
      <c r="L94" s="174" t="str">
        <f ca="1">IFERROR(VALUE(IF(VLOOKUP($A94,数出表_Excel!$A$6:$T$150,COLUMN()/2+1,FALSE)=0,"",VLOOKUP($A94,数出表_Excel!$A$6:$T$150,COLUMN()/2+1,FALSE))),"")</f>
        <v/>
      </c>
      <c r="M94" s="137"/>
      <c r="N94" s="172" t="str">
        <f ca="1">IFERROR(VALUE(IF(VLOOKUP($A94,数出表_Excel!$A$6:$T$150,COLUMN()/2+1,FALSE)=0,"",VLOOKUP($A94,数出表_Excel!$A$6:$T$150,COLUMN()/2+1,FALSE))),"")</f>
        <v/>
      </c>
      <c r="O94" s="137"/>
      <c r="P94" s="172" t="str">
        <f ca="1">IFERROR(VALUE(IF(VLOOKUP($A94,数出表_Excel!$A$6:$T$150,COLUMN()/2+1,FALSE)=0,"",VLOOKUP($A94,数出表_Excel!$A$6:$T$150,COLUMN()/2+1,FALSE))),"")</f>
        <v/>
      </c>
      <c r="Q94" s="137"/>
      <c r="R94" s="172" t="str">
        <f ca="1">IFERROR(VALUE(IF(VLOOKUP($A94,数出表_Excel!$A$6:$T$150,COLUMN()/2+1,FALSE)=0,"",VLOOKUP($A94,数出表_Excel!$A$6:$T$150,COLUMN()/2+1,FALSE))),"")</f>
        <v/>
      </c>
      <c r="S94" s="137"/>
      <c r="T94" s="172" t="str">
        <f ca="1">IFERROR(VALUE(IF(VLOOKUP($A94,数出表_Excel!$A$6:$T$150,COLUMN()/2+1,FALSE)=0,"",VLOOKUP($A94,数出表_Excel!$A$6:$T$150,COLUMN()/2+1,FALSE))),"")</f>
        <v/>
      </c>
      <c r="U94" s="137"/>
      <c r="V94" s="174" t="str">
        <f ca="1">IFERROR(VALUE(IF(VLOOKUP($A94,数出表_Excel!$A$6:$T$150,COLUMN()/2+1,FALSE)=0,"",VLOOKUP($A94,数出表_Excel!$A$6:$T$150,COLUMN()/2+1,FALSE))),"")</f>
        <v/>
      </c>
      <c r="W94" s="137"/>
      <c r="X94" s="174" t="str">
        <f ca="1">IFERROR(VALUE(IF(VLOOKUP($A94,数出表_Excel!$A$6:$T$150,COLUMN()/2+1,FALSE)=0,"",VLOOKUP($A94,数出表_Excel!$A$6:$T$150,COLUMN()/2+1,FALSE))),"")</f>
        <v/>
      </c>
      <c r="Y94" s="137"/>
      <c r="Z94" s="174" t="str">
        <f ca="1">IFERROR(VALUE(IF(VLOOKUP($A94,数出表_Excel!$A$6:$T$150,COLUMN()/2+1,FALSE)=0,"",VLOOKUP($A94,数出表_Excel!$A$6:$T$150,COLUMN()/2+1,FALSE))),"")</f>
        <v/>
      </c>
      <c r="AA94" s="175"/>
      <c r="AB94" s="173" t="str">
        <f ca="1">IFERROR(VALUE(IF(VLOOKUP($A94,数出表_Excel!$A$6:$T$150,COLUMN()/2+1,FALSE)=0,"",VLOOKUP($A94,数出表_Excel!$A$6:$T$150,COLUMN()/2+1,FALSE))),"")</f>
        <v/>
      </c>
      <c r="AC94" s="137"/>
      <c r="AD94" s="174" t="str">
        <f ca="1">IFERROR(VALUE(IF(VLOOKUP($A94,数出表_Excel!$A$6:$T$150,COLUMN()/2+1,FALSE)=0,"",VLOOKUP($A94,数出表_Excel!$A$6:$T$150,COLUMN()/2+1,FALSE))),"")</f>
        <v/>
      </c>
      <c r="AE94" s="137"/>
      <c r="AF94" s="174" t="str">
        <f ca="1">IFERROR(VALUE(IF(VLOOKUP($A94,数出表_Excel!$A$6:$T$150,COLUMN()/2+1,FALSE)=0,"",VLOOKUP($A94,数出表_Excel!$A$6:$T$150,COLUMN()/2+1,FALSE))),"")</f>
        <v/>
      </c>
      <c r="AG94" s="137"/>
      <c r="AH94" s="174" t="str">
        <f ca="1">IFERROR(VALUE(IF(VLOOKUP($A94,数出表_Excel!$A$6:$T$150,COLUMN()/2+1,FALSE)=0,"",VLOOKUP($A94,数出表_Excel!$A$6:$T$150,COLUMN()/2+1,FALSE))),"")</f>
        <v/>
      </c>
      <c r="AI94" s="175"/>
      <c r="AJ94" s="173" t="str">
        <f ca="1">IFERROR(VALUE(IF(VLOOKUP($A94,数出表_Excel!$A$6:$T$150,COLUMN()/2+1,FALSE)=0,"",VLOOKUP($A94,数出表_Excel!$A$6:$T$150,COLUMN()/2+1,FALSE))),"")</f>
        <v/>
      </c>
      <c r="AK94" s="137"/>
      <c r="AL94" s="141" t="e">
        <f ca="1">IF(A94&lt;&gt;"",
IF(VLOOKUP($A94,数出表_Excel!$A$6:$T$150,COLUMN()/2+1,FALSE)=0,"",VLOOKUP($A94,数出表_Excel!$A$6:$T$150,COLUMN()/2+1,FALSE)),"")</f>
        <v>#N/A</v>
      </c>
      <c r="AM94" s="222" t="e">
        <f>数出表_Excel!V94</f>
        <v>#N/A</v>
      </c>
      <c r="AN94" s="223" t="e">
        <f>数出表_Excel!W94</f>
        <v>#N/A</v>
      </c>
    </row>
    <row r="95" spans="1:40" ht="16.2" customHeight="1" x14ac:dyDescent="0.45">
      <c r="A95" s="185" t="e">
        <f t="array" aca="1" ref="A95" ca="1">IF(OR(COUNTIF(A93,"*1000*"),COUNTIF(A93,"")),"",INDEX(貼り付け用!$A:$A,MATCH(A93,貼り付け用!$A:$A,0)+2,0))</f>
        <v>#N/A</v>
      </c>
      <c r="B95" s="138" t="str">
        <f ca="1">IFERROR(VALUE(IF(VLOOKUP($A95,数出表_Excel!$A$6:$T$150,COLUMN()/2+1,FALSE)=0,"",VLOOKUP($A95,数出表_Excel!$A$6:$T$150,COLUMN()/2+1,FALSE))),"")</f>
        <v/>
      </c>
      <c r="C95" s="138"/>
      <c r="D95" s="138" t="str">
        <f ca="1">IFERROR(VALUE(IF(VLOOKUP($A95,数出表_Excel!$A$6:$T$150,COLUMN()/2+1,FALSE)=0,"",VLOOKUP($A95,数出表_Excel!$A$6:$T$150,COLUMN()/2+1,FALSE))),"")</f>
        <v/>
      </c>
      <c r="E95" s="138"/>
      <c r="F95" s="142" t="str">
        <f ca="1">IFERROR(VALUE(IF(VLOOKUP($A95,数出表_Excel!$A$6:$T$150,COLUMN()/2+1,FALSE)=0,"",VLOOKUP($A95,数出表_Excel!$A$6:$T$150,COLUMN()/2+1,FALSE))),"")</f>
        <v/>
      </c>
      <c r="G95" s="138"/>
      <c r="H95" s="138" t="str">
        <f ca="1">IFERROR(VALUE(IF(VLOOKUP($A95,数出表_Excel!$A$6:$T$150,COLUMN()/2+1,FALSE)=0,"",VLOOKUP($A95,数出表_Excel!$A$6:$T$150,COLUMN()/2+1,FALSE))),"")</f>
        <v/>
      </c>
      <c r="I95" s="138"/>
      <c r="J95" s="138" t="str">
        <f ca="1">IFERROR(VALUE(IF(VLOOKUP($A95,数出表_Excel!$A$6:$T$150,COLUMN()/2+1,FALSE)=0,"",VLOOKUP($A95,数出表_Excel!$A$6:$T$150,COLUMN()/2+1,FALSE))),"")</f>
        <v/>
      </c>
      <c r="K95" s="138"/>
      <c r="L95" s="142" t="str">
        <f ca="1">IFERROR(VALUE(IF(VLOOKUP($A95,数出表_Excel!$A$6:$T$150,COLUMN()/2+1,FALSE)=0,"",VLOOKUP($A95,数出表_Excel!$A$6:$T$150,COLUMN()/2+1,FALSE))),"")</f>
        <v/>
      </c>
      <c r="M95" s="138"/>
      <c r="N95" s="138" t="str">
        <f ca="1">IFERROR(VALUE(IF(VLOOKUP($A95,数出表_Excel!$A$6:$T$150,COLUMN()/2+1,FALSE)=0,"",VLOOKUP($A95,数出表_Excel!$A$6:$T$150,COLUMN()/2+1,FALSE))),"")</f>
        <v/>
      </c>
      <c r="O95" s="138"/>
      <c r="P95" s="138" t="str">
        <f ca="1">IFERROR(VALUE(IF(VLOOKUP($A95,数出表_Excel!$A$6:$T$150,COLUMN()/2+1,FALSE)=0,"",VLOOKUP($A95,数出表_Excel!$A$6:$T$150,COLUMN()/2+1,FALSE))),"")</f>
        <v/>
      </c>
      <c r="Q95" s="138"/>
      <c r="R95" s="138" t="str">
        <f ca="1">IFERROR(VALUE(IF(VLOOKUP($A95,数出表_Excel!$A$6:$T$150,COLUMN()/2+1,FALSE)=0,"",VLOOKUP($A95,数出表_Excel!$A$6:$T$150,COLUMN()/2+1,FALSE))),"")</f>
        <v/>
      </c>
      <c r="S95" s="138"/>
      <c r="T95" s="138" t="str">
        <f ca="1">IFERROR(VALUE(IF(VLOOKUP($A95,数出表_Excel!$A$6:$T$150,COLUMN()/2+1,FALSE)=0,"",VLOOKUP($A95,数出表_Excel!$A$6:$T$150,COLUMN()/2+1,FALSE))),"")</f>
        <v/>
      </c>
      <c r="U95" s="138"/>
      <c r="V95" s="142" t="str">
        <f ca="1">IFERROR(VALUE(IF(VLOOKUP($A95,数出表_Excel!$A$6:$T$150,COLUMN()/2+1,FALSE)=0,"",VLOOKUP($A95,数出表_Excel!$A$6:$T$150,COLUMN()/2+1,FALSE))),"")</f>
        <v/>
      </c>
      <c r="W95" s="138"/>
      <c r="X95" s="142" t="str">
        <f ca="1">IFERROR(VALUE(IF(VLOOKUP($A95,数出表_Excel!$A$6:$T$150,COLUMN()/2+1,FALSE)=0,"",VLOOKUP($A95,数出表_Excel!$A$6:$T$150,COLUMN()/2+1,FALSE))),"")</f>
        <v/>
      </c>
      <c r="Y95" s="138"/>
      <c r="Z95" s="142" t="str">
        <f ca="1">IFERROR(VALUE(IF(VLOOKUP($A95,数出表_Excel!$A$6:$T$150,COLUMN()/2+1,FALSE)=0,"",VLOOKUP($A95,数出表_Excel!$A$6:$T$150,COLUMN()/2+1,FALSE))),"")</f>
        <v/>
      </c>
      <c r="AA95" s="176"/>
      <c r="AB95" s="143" t="str">
        <f ca="1">IFERROR(VALUE(IF(VLOOKUP($A95,数出表_Excel!$A$6:$T$150,COLUMN()/2+1,FALSE)=0,"",VLOOKUP($A95,数出表_Excel!$A$6:$T$150,COLUMN()/2+1,FALSE))),"")</f>
        <v/>
      </c>
      <c r="AC95" s="138"/>
      <c r="AD95" s="142" t="str">
        <f ca="1">IFERROR(VALUE(IF(VLOOKUP($A95,数出表_Excel!$A$6:$T$150,COLUMN()/2+1,FALSE)=0,"",VLOOKUP($A95,数出表_Excel!$A$6:$T$150,COLUMN()/2+1,FALSE))),"")</f>
        <v/>
      </c>
      <c r="AE95" s="138"/>
      <c r="AF95" s="142" t="str">
        <f ca="1">IFERROR(VALUE(IF(VLOOKUP($A95,数出表_Excel!$A$6:$T$150,COLUMN()/2+1,FALSE)=0,"",VLOOKUP($A95,数出表_Excel!$A$6:$T$150,COLUMN()/2+1,FALSE))),"")</f>
        <v/>
      </c>
      <c r="AG95" s="138"/>
      <c r="AH95" s="142" t="str">
        <f ca="1">IFERROR(VALUE(IF(VLOOKUP($A95,数出表_Excel!$A$6:$T$150,COLUMN()/2+1,FALSE)=0,"",VLOOKUP($A95,数出表_Excel!$A$6:$T$150,COLUMN()/2+1,FALSE))),"")</f>
        <v/>
      </c>
      <c r="AI95" s="176"/>
      <c r="AJ95" s="143" t="str">
        <f ca="1">IFERROR(VALUE(IF(VLOOKUP($A95,数出表_Excel!$A$6:$T$150,COLUMN()/2+1,FALSE)=0,"",VLOOKUP($A95,数出表_Excel!$A$6:$T$150,COLUMN()/2+1,FALSE))),"")</f>
        <v/>
      </c>
      <c r="AK95" s="138"/>
      <c r="AL95" s="144" t="e">
        <f ca="1">IF(A95&lt;&gt;"",
IF(VLOOKUP($A95,数出表_Excel!$A$6:$T$150,COLUMN()/2+1,FALSE)=0,"",VLOOKUP($A95,数出表_Excel!$A$6:$T$150,COLUMN()/2+1,FALSE)),"")</f>
        <v>#N/A</v>
      </c>
      <c r="AM95" s="224" t="e">
        <f>数出表_Excel!V95</f>
        <v>#N/A</v>
      </c>
      <c r="AN95" s="225" t="e">
        <f>数出表_Excel!W95</f>
        <v>#N/A</v>
      </c>
    </row>
    <row r="96" spans="1:40" ht="16.2" customHeight="1" x14ac:dyDescent="0.45">
      <c r="A96" s="184" t="e">
        <f t="array" aca="1" ref="A96" ca="1">IF(OR(COUNTIF(A94,"*10002*"),COUNTIF(A94,"")),"",INDEX(貼り付け用!$A:$A,MATCH(A94,貼り付け用!$A:$A,0)+2,0))</f>
        <v>#N/A</v>
      </c>
      <c r="B96" s="172" t="str">
        <f ca="1">IFERROR(VALUE(IF(VLOOKUP($A96,数出表_Excel!$A$6:$T$150,COLUMN()/2+1,FALSE)=0,"",VLOOKUP($A96,数出表_Excel!$A$6:$T$150,COLUMN()/2+1,FALSE))),"")</f>
        <v/>
      </c>
      <c r="C96" s="137"/>
      <c r="D96" s="172" t="str">
        <f ca="1">IFERROR(VALUE(IF(VLOOKUP($A96,数出表_Excel!$A$6:$T$150,COLUMN()/2+1,FALSE)=0,"",VLOOKUP($A96,数出表_Excel!$A$6:$T$150,COLUMN()/2+1,FALSE))),"")</f>
        <v/>
      </c>
      <c r="E96" s="137"/>
      <c r="F96" s="174" t="str">
        <f ca="1">IFERROR(VALUE(IF(VLOOKUP($A96,数出表_Excel!$A$6:$T$150,COLUMN()/2+1,FALSE)=0,"",VLOOKUP($A96,数出表_Excel!$A$6:$T$150,COLUMN()/2+1,FALSE))),"")</f>
        <v/>
      </c>
      <c r="G96" s="137"/>
      <c r="H96" s="172" t="str">
        <f ca="1">IFERROR(VALUE(IF(VLOOKUP($A96,数出表_Excel!$A$6:$T$150,COLUMN()/2+1,FALSE)=0,"",VLOOKUP($A96,数出表_Excel!$A$6:$T$150,COLUMN()/2+1,FALSE))),"")</f>
        <v/>
      </c>
      <c r="I96" s="137"/>
      <c r="J96" s="172" t="str">
        <f ca="1">IFERROR(VALUE(IF(VLOOKUP($A96,数出表_Excel!$A$6:$T$150,COLUMN()/2+1,FALSE)=0,"",VLOOKUP($A96,数出表_Excel!$A$6:$T$150,COLUMN()/2+1,FALSE))),"")</f>
        <v/>
      </c>
      <c r="K96" s="137"/>
      <c r="L96" s="174" t="str">
        <f ca="1">IFERROR(VALUE(IF(VLOOKUP($A96,数出表_Excel!$A$6:$T$150,COLUMN()/2+1,FALSE)=0,"",VLOOKUP($A96,数出表_Excel!$A$6:$T$150,COLUMN()/2+1,FALSE))),"")</f>
        <v/>
      </c>
      <c r="M96" s="137"/>
      <c r="N96" s="172" t="str">
        <f ca="1">IFERROR(VALUE(IF(VLOOKUP($A96,数出表_Excel!$A$6:$T$150,COLUMN()/2+1,FALSE)=0,"",VLOOKUP($A96,数出表_Excel!$A$6:$T$150,COLUMN()/2+1,FALSE))),"")</f>
        <v/>
      </c>
      <c r="O96" s="137"/>
      <c r="P96" s="172" t="str">
        <f ca="1">IFERROR(VALUE(IF(VLOOKUP($A96,数出表_Excel!$A$6:$T$150,COLUMN()/2+1,FALSE)=0,"",VLOOKUP($A96,数出表_Excel!$A$6:$T$150,COLUMN()/2+1,FALSE))),"")</f>
        <v/>
      </c>
      <c r="Q96" s="137"/>
      <c r="R96" s="172" t="str">
        <f ca="1">IFERROR(VALUE(IF(VLOOKUP($A96,数出表_Excel!$A$6:$T$150,COLUMN()/2+1,FALSE)=0,"",VLOOKUP($A96,数出表_Excel!$A$6:$T$150,COLUMN()/2+1,FALSE))),"")</f>
        <v/>
      </c>
      <c r="S96" s="137"/>
      <c r="T96" s="172" t="str">
        <f ca="1">IFERROR(VALUE(IF(VLOOKUP($A96,数出表_Excel!$A$6:$T$150,COLUMN()/2+1,FALSE)=0,"",VLOOKUP($A96,数出表_Excel!$A$6:$T$150,COLUMN()/2+1,FALSE))),"")</f>
        <v/>
      </c>
      <c r="U96" s="137"/>
      <c r="V96" s="174" t="str">
        <f ca="1">IFERROR(VALUE(IF(VLOOKUP($A96,数出表_Excel!$A$6:$T$150,COLUMN()/2+1,FALSE)=0,"",VLOOKUP($A96,数出表_Excel!$A$6:$T$150,COLUMN()/2+1,FALSE))),"")</f>
        <v/>
      </c>
      <c r="W96" s="137"/>
      <c r="X96" s="174" t="str">
        <f ca="1">IFERROR(VALUE(IF(VLOOKUP($A96,数出表_Excel!$A$6:$T$150,COLUMN()/2+1,FALSE)=0,"",VLOOKUP($A96,数出表_Excel!$A$6:$T$150,COLUMN()/2+1,FALSE))),"")</f>
        <v/>
      </c>
      <c r="Y96" s="137"/>
      <c r="Z96" s="174" t="str">
        <f ca="1">IFERROR(VALUE(IF(VLOOKUP($A96,数出表_Excel!$A$6:$T$150,COLUMN()/2+1,FALSE)=0,"",VLOOKUP($A96,数出表_Excel!$A$6:$T$150,COLUMN()/2+1,FALSE))),"")</f>
        <v/>
      </c>
      <c r="AA96" s="175"/>
      <c r="AB96" s="173" t="str">
        <f ca="1">IFERROR(VALUE(IF(VLOOKUP($A96,数出表_Excel!$A$6:$T$150,COLUMN()/2+1,FALSE)=0,"",VLOOKUP($A96,数出表_Excel!$A$6:$T$150,COLUMN()/2+1,FALSE))),"")</f>
        <v/>
      </c>
      <c r="AC96" s="137"/>
      <c r="AD96" s="174" t="str">
        <f ca="1">IFERROR(VALUE(IF(VLOOKUP($A96,数出表_Excel!$A$6:$T$150,COLUMN()/2+1,FALSE)=0,"",VLOOKUP($A96,数出表_Excel!$A$6:$T$150,COLUMN()/2+1,FALSE))),"")</f>
        <v/>
      </c>
      <c r="AE96" s="137"/>
      <c r="AF96" s="174" t="str">
        <f ca="1">IFERROR(VALUE(IF(VLOOKUP($A96,数出表_Excel!$A$6:$T$150,COLUMN()/2+1,FALSE)=0,"",VLOOKUP($A96,数出表_Excel!$A$6:$T$150,COLUMN()/2+1,FALSE))),"")</f>
        <v/>
      </c>
      <c r="AG96" s="137"/>
      <c r="AH96" s="174" t="str">
        <f ca="1">IFERROR(VALUE(IF(VLOOKUP($A96,数出表_Excel!$A$6:$T$150,COLUMN()/2+1,FALSE)=0,"",VLOOKUP($A96,数出表_Excel!$A$6:$T$150,COLUMN()/2+1,FALSE))),"")</f>
        <v/>
      </c>
      <c r="AI96" s="175"/>
      <c r="AJ96" s="173" t="str">
        <f ca="1">IFERROR(VALUE(IF(VLOOKUP($A96,数出表_Excel!$A$6:$T$150,COLUMN()/2+1,FALSE)=0,"",VLOOKUP($A96,数出表_Excel!$A$6:$T$150,COLUMN()/2+1,FALSE))),"")</f>
        <v/>
      </c>
      <c r="AK96" s="137"/>
      <c r="AL96" s="141" t="e">
        <f ca="1">IF(A96&lt;&gt;"",
IF(VLOOKUP($A96,数出表_Excel!$A$6:$T$150,COLUMN()/2+1,FALSE)=0,"",VLOOKUP($A96,数出表_Excel!$A$6:$T$150,COLUMN()/2+1,FALSE)),"")</f>
        <v>#N/A</v>
      </c>
      <c r="AM96" s="222" t="e">
        <f>数出表_Excel!V96</f>
        <v>#N/A</v>
      </c>
      <c r="AN96" s="223" t="e">
        <f>数出表_Excel!W96</f>
        <v>#N/A</v>
      </c>
    </row>
    <row r="97" spans="1:40" ht="16.2" customHeight="1" x14ac:dyDescent="0.45">
      <c r="A97" s="185" t="e">
        <f t="array" aca="1" ref="A97" ca="1">IF(OR(COUNTIF(A95,"*1000*"),COUNTIF(A95,"")),"",INDEX(貼り付け用!$A:$A,MATCH(A95,貼り付け用!$A:$A,0)+2,0))</f>
        <v>#N/A</v>
      </c>
      <c r="B97" s="138" t="str">
        <f ca="1">IFERROR(VALUE(IF(VLOOKUP($A97,数出表_Excel!$A$6:$T$150,COLUMN()/2+1,FALSE)=0,"",VLOOKUP($A97,数出表_Excel!$A$6:$T$150,COLUMN()/2+1,FALSE))),"")</f>
        <v/>
      </c>
      <c r="C97" s="138"/>
      <c r="D97" s="138" t="str">
        <f ca="1">IFERROR(VALUE(IF(VLOOKUP($A97,数出表_Excel!$A$6:$T$150,COLUMN()/2+1,FALSE)=0,"",VLOOKUP($A97,数出表_Excel!$A$6:$T$150,COLUMN()/2+1,FALSE))),"")</f>
        <v/>
      </c>
      <c r="E97" s="138"/>
      <c r="F97" s="142" t="str">
        <f ca="1">IFERROR(VALUE(IF(VLOOKUP($A97,数出表_Excel!$A$6:$T$150,COLUMN()/2+1,FALSE)=0,"",VLOOKUP($A97,数出表_Excel!$A$6:$T$150,COLUMN()/2+1,FALSE))),"")</f>
        <v/>
      </c>
      <c r="G97" s="138"/>
      <c r="H97" s="138" t="str">
        <f ca="1">IFERROR(VALUE(IF(VLOOKUP($A97,数出表_Excel!$A$6:$T$150,COLUMN()/2+1,FALSE)=0,"",VLOOKUP($A97,数出表_Excel!$A$6:$T$150,COLUMN()/2+1,FALSE))),"")</f>
        <v/>
      </c>
      <c r="I97" s="138"/>
      <c r="J97" s="138" t="str">
        <f ca="1">IFERROR(VALUE(IF(VLOOKUP($A97,数出表_Excel!$A$6:$T$150,COLUMN()/2+1,FALSE)=0,"",VLOOKUP($A97,数出表_Excel!$A$6:$T$150,COLUMN()/2+1,FALSE))),"")</f>
        <v/>
      </c>
      <c r="K97" s="138"/>
      <c r="L97" s="142" t="str">
        <f ca="1">IFERROR(VALUE(IF(VLOOKUP($A97,数出表_Excel!$A$6:$T$150,COLUMN()/2+1,FALSE)=0,"",VLOOKUP($A97,数出表_Excel!$A$6:$T$150,COLUMN()/2+1,FALSE))),"")</f>
        <v/>
      </c>
      <c r="M97" s="138"/>
      <c r="N97" s="138" t="str">
        <f ca="1">IFERROR(VALUE(IF(VLOOKUP($A97,数出表_Excel!$A$6:$T$150,COLUMN()/2+1,FALSE)=0,"",VLOOKUP($A97,数出表_Excel!$A$6:$T$150,COLUMN()/2+1,FALSE))),"")</f>
        <v/>
      </c>
      <c r="O97" s="138"/>
      <c r="P97" s="138" t="str">
        <f ca="1">IFERROR(VALUE(IF(VLOOKUP($A97,数出表_Excel!$A$6:$T$150,COLUMN()/2+1,FALSE)=0,"",VLOOKUP($A97,数出表_Excel!$A$6:$T$150,COLUMN()/2+1,FALSE))),"")</f>
        <v/>
      </c>
      <c r="Q97" s="138"/>
      <c r="R97" s="138" t="str">
        <f ca="1">IFERROR(VALUE(IF(VLOOKUP($A97,数出表_Excel!$A$6:$T$150,COLUMN()/2+1,FALSE)=0,"",VLOOKUP($A97,数出表_Excel!$A$6:$T$150,COLUMN()/2+1,FALSE))),"")</f>
        <v/>
      </c>
      <c r="S97" s="138"/>
      <c r="T97" s="138" t="str">
        <f ca="1">IFERROR(VALUE(IF(VLOOKUP($A97,数出表_Excel!$A$6:$T$150,COLUMN()/2+1,FALSE)=0,"",VLOOKUP($A97,数出表_Excel!$A$6:$T$150,COLUMN()/2+1,FALSE))),"")</f>
        <v/>
      </c>
      <c r="U97" s="138"/>
      <c r="V97" s="142" t="str">
        <f ca="1">IFERROR(VALUE(IF(VLOOKUP($A97,数出表_Excel!$A$6:$T$150,COLUMN()/2+1,FALSE)=0,"",VLOOKUP($A97,数出表_Excel!$A$6:$T$150,COLUMN()/2+1,FALSE))),"")</f>
        <v/>
      </c>
      <c r="W97" s="138"/>
      <c r="X97" s="142" t="str">
        <f ca="1">IFERROR(VALUE(IF(VLOOKUP($A97,数出表_Excel!$A$6:$T$150,COLUMN()/2+1,FALSE)=0,"",VLOOKUP($A97,数出表_Excel!$A$6:$T$150,COLUMN()/2+1,FALSE))),"")</f>
        <v/>
      </c>
      <c r="Y97" s="138"/>
      <c r="Z97" s="142" t="str">
        <f ca="1">IFERROR(VALUE(IF(VLOOKUP($A97,数出表_Excel!$A$6:$T$150,COLUMN()/2+1,FALSE)=0,"",VLOOKUP($A97,数出表_Excel!$A$6:$T$150,COLUMN()/2+1,FALSE))),"")</f>
        <v/>
      </c>
      <c r="AA97" s="176"/>
      <c r="AB97" s="143" t="str">
        <f ca="1">IFERROR(VALUE(IF(VLOOKUP($A97,数出表_Excel!$A$6:$T$150,COLUMN()/2+1,FALSE)=0,"",VLOOKUP($A97,数出表_Excel!$A$6:$T$150,COLUMN()/2+1,FALSE))),"")</f>
        <v/>
      </c>
      <c r="AC97" s="138"/>
      <c r="AD97" s="142" t="str">
        <f ca="1">IFERROR(VALUE(IF(VLOOKUP($A97,数出表_Excel!$A$6:$T$150,COLUMN()/2+1,FALSE)=0,"",VLOOKUP($A97,数出表_Excel!$A$6:$T$150,COLUMN()/2+1,FALSE))),"")</f>
        <v/>
      </c>
      <c r="AE97" s="138"/>
      <c r="AF97" s="142" t="str">
        <f ca="1">IFERROR(VALUE(IF(VLOOKUP($A97,数出表_Excel!$A$6:$T$150,COLUMN()/2+1,FALSE)=0,"",VLOOKUP($A97,数出表_Excel!$A$6:$T$150,COLUMN()/2+1,FALSE))),"")</f>
        <v/>
      </c>
      <c r="AG97" s="138"/>
      <c r="AH97" s="142" t="str">
        <f ca="1">IFERROR(VALUE(IF(VLOOKUP($A97,数出表_Excel!$A$6:$T$150,COLUMN()/2+1,FALSE)=0,"",VLOOKUP($A97,数出表_Excel!$A$6:$T$150,COLUMN()/2+1,FALSE))),"")</f>
        <v/>
      </c>
      <c r="AI97" s="176"/>
      <c r="AJ97" s="143" t="str">
        <f ca="1">IFERROR(VALUE(IF(VLOOKUP($A97,数出表_Excel!$A$6:$T$150,COLUMN()/2+1,FALSE)=0,"",VLOOKUP($A97,数出表_Excel!$A$6:$T$150,COLUMN()/2+1,FALSE))),"")</f>
        <v/>
      </c>
      <c r="AK97" s="138"/>
      <c r="AL97" s="144" t="e">
        <f ca="1">IF(A97&lt;&gt;"",
IF(VLOOKUP($A97,数出表_Excel!$A$6:$T$150,COLUMN()/2+1,FALSE)=0,"",VLOOKUP($A97,数出表_Excel!$A$6:$T$150,COLUMN()/2+1,FALSE)),"")</f>
        <v>#N/A</v>
      </c>
      <c r="AM97" s="224" t="e">
        <f>数出表_Excel!V97</f>
        <v>#N/A</v>
      </c>
      <c r="AN97" s="225" t="e">
        <f>数出表_Excel!W97</f>
        <v>#N/A</v>
      </c>
    </row>
    <row r="98" spans="1:40" ht="16.2" customHeight="1" x14ac:dyDescent="0.45">
      <c r="A98" s="184" t="e">
        <f t="array" aca="1" ref="A98" ca="1">IF(OR(COUNTIF(A96,"*10002*"),COUNTIF(A96,"")),"",INDEX(貼り付け用!$A:$A,MATCH(A96,貼り付け用!$A:$A,0)+2,0))</f>
        <v>#N/A</v>
      </c>
      <c r="B98" s="172" t="str">
        <f ca="1">IFERROR(VALUE(IF(VLOOKUP($A98,数出表_Excel!$A$6:$T$150,COLUMN()/2+1,FALSE)=0,"",VLOOKUP($A98,数出表_Excel!$A$6:$T$150,COLUMN()/2+1,FALSE))),"")</f>
        <v/>
      </c>
      <c r="C98" s="137"/>
      <c r="D98" s="172" t="str">
        <f ca="1">IFERROR(VALUE(IF(VLOOKUP($A98,数出表_Excel!$A$6:$T$150,COLUMN()/2+1,FALSE)=0,"",VLOOKUP($A98,数出表_Excel!$A$6:$T$150,COLUMN()/2+1,FALSE))),"")</f>
        <v/>
      </c>
      <c r="E98" s="137"/>
      <c r="F98" s="174" t="str">
        <f ca="1">IFERROR(VALUE(IF(VLOOKUP($A98,数出表_Excel!$A$6:$T$150,COLUMN()/2+1,FALSE)=0,"",VLOOKUP($A98,数出表_Excel!$A$6:$T$150,COLUMN()/2+1,FALSE))),"")</f>
        <v/>
      </c>
      <c r="G98" s="137"/>
      <c r="H98" s="172" t="str">
        <f ca="1">IFERROR(VALUE(IF(VLOOKUP($A98,数出表_Excel!$A$6:$T$150,COLUMN()/2+1,FALSE)=0,"",VLOOKUP($A98,数出表_Excel!$A$6:$T$150,COLUMN()/2+1,FALSE))),"")</f>
        <v/>
      </c>
      <c r="I98" s="137"/>
      <c r="J98" s="172" t="str">
        <f ca="1">IFERROR(VALUE(IF(VLOOKUP($A98,数出表_Excel!$A$6:$T$150,COLUMN()/2+1,FALSE)=0,"",VLOOKUP($A98,数出表_Excel!$A$6:$T$150,COLUMN()/2+1,FALSE))),"")</f>
        <v/>
      </c>
      <c r="K98" s="137"/>
      <c r="L98" s="174" t="str">
        <f ca="1">IFERROR(VALUE(IF(VLOOKUP($A98,数出表_Excel!$A$6:$T$150,COLUMN()/2+1,FALSE)=0,"",VLOOKUP($A98,数出表_Excel!$A$6:$T$150,COLUMN()/2+1,FALSE))),"")</f>
        <v/>
      </c>
      <c r="M98" s="137"/>
      <c r="N98" s="172" t="str">
        <f ca="1">IFERROR(VALUE(IF(VLOOKUP($A98,数出表_Excel!$A$6:$T$150,COLUMN()/2+1,FALSE)=0,"",VLOOKUP($A98,数出表_Excel!$A$6:$T$150,COLUMN()/2+1,FALSE))),"")</f>
        <v/>
      </c>
      <c r="O98" s="137"/>
      <c r="P98" s="172" t="str">
        <f ca="1">IFERROR(VALUE(IF(VLOOKUP($A98,数出表_Excel!$A$6:$T$150,COLUMN()/2+1,FALSE)=0,"",VLOOKUP($A98,数出表_Excel!$A$6:$T$150,COLUMN()/2+1,FALSE))),"")</f>
        <v/>
      </c>
      <c r="Q98" s="137"/>
      <c r="R98" s="172" t="str">
        <f ca="1">IFERROR(VALUE(IF(VLOOKUP($A98,数出表_Excel!$A$6:$T$150,COLUMN()/2+1,FALSE)=0,"",VLOOKUP($A98,数出表_Excel!$A$6:$T$150,COLUMN()/2+1,FALSE))),"")</f>
        <v/>
      </c>
      <c r="S98" s="137"/>
      <c r="T98" s="172" t="str">
        <f ca="1">IFERROR(VALUE(IF(VLOOKUP($A98,数出表_Excel!$A$6:$T$150,COLUMN()/2+1,FALSE)=0,"",VLOOKUP($A98,数出表_Excel!$A$6:$T$150,COLUMN()/2+1,FALSE))),"")</f>
        <v/>
      </c>
      <c r="U98" s="137"/>
      <c r="V98" s="174" t="str">
        <f ca="1">IFERROR(VALUE(IF(VLOOKUP($A98,数出表_Excel!$A$6:$T$150,COLUMN()/2+1,FALSE)=0,"",VLOOKUP($A98,数出表_Excel!$A$6:$T$150,COLUMN()/2+1,FALSE))),"")</f>
        <v/>
      </c>
      <c r="W98" s="137"/>
      <c r="X98" s="174" t="str">
        <f ca="1">IFERROR(VALUE(IF(VLOOKUP($A98,数出表_Excel!$A$6:$T$150,COLUMN()/2+1,FALSE)=0,"",VLOOKUP($A98,数出表_Excel!$A$6:$T$150,COLUMN()/2+1,FALSE))),"")</f>
        <v/>
      </c>
      <c r="Y98" s="137"/>
      <c r="Z98" s="174" t="str">
        <f ca="1">IFERROR(VALUE(IF(VLOOKUP($A98,数出表_Excel!$A$6:$T$150,COLUMN()/2+1,FALSE)=0,"",VLOOKUP($A98,数出表_Excel!$A$6:$T$150,COLUMN()/2+1,FALSE))),"")</f>
        <v/>
      </c>
      <c r="AA98" s="175"/>
      <c r="AB98" s="173" t="str">
        <f ca="1">IFERROR(VALUE(IF(VLOOKUP($A98,数出表_Excel!$A$6:$T$150,COLUMN()/2+1,FALSE)=0,"",VLOOKUP($A98,数出表_Excel!$A$6:$T$150,COLUMN()/2+1,FALSE))),"")</f>
        <v/>
      </c>
      <c r="AC98" s="137"/>
      <c r="AD98" s="174" t="str">
        <f ca="1">IFERROR(VALUE(IF(VLOOKUP($A98,数出表_Excel!$A$6:$T$150,COLUMN()/2+1,FALSE)=0,"",VLOOKUP($A98,数出表_Excel!$A$6:$T$150,COLUMN()/2+1,FALSE))),"")</f>
        <v/>
      </c>
      <c r="AE98" s="137"/>
      <c r="AF98" s="174" t="str">
        <f ca="1">IFERROR(VALUE(IF(VLOOKUP($A98,数出表_Excel!$A$6:$T$150,COLUMN()/2+1,FALSE)=0,"",VLOOKUP($A98,数出表_Excel!$A$6:$T$150,COLUMN()/2+1,FALSE))),"")</f>
        <v/>
      </c>
      <c r="AG98" s="137"/>
      <c r="AH98" s="174" t="str">
        <f ca="1">IFERROR(VALUE(IF(VLOOKUP($A98,数出表_Excel!$A$6:$T$150,COLUMN()/2+1,FALSE)=0,"",VLOOKUP($A98,数出表_Excel!$A$6:$T$150,COLUMN()/2+1,FALSE))),"")</f>
        <v/>
      </c>
      <c r="AI98" s="175"/>
      <c r="AJ98" s="173" t="str">
        <f ca="1">IFERROR(VALUE(IF(VLOOKUP($A98,数出表_Excel!$A$6:$T$150,COLUMN()/2+1,FALSE)=0,"",VLOOKUP($A98,数出表_Excel!$A$6:$T$150,COLUMN()/2+1,FALSE))),"")</f>
        <v/>
      </c>
      <c r="AK98" s="137"/>
      <c r="AL98" s="141" t="e">
        <f ca="1">IF(A98&lt;&gt;"",
IF(VLOOKUP($A98,数出表_Excel!$A$6:$T$150,COLUMN()/2+1,FALSE)=0,"",VLOOKUP($A98,数出表_Excel!$A$6:$T$150,COLUMN()/2+1,FALSE)),"")</f>
        <v>#N/A</v>
      </c>
      <c r="AM98" s="222" t="e">
        <f>数出表_Excel!V98</f>
        <v>#N/A</v>
      </c>
      <c r="AN98" s="223" t="e">
        <f>数出表_Excel!W98</f>
        <v>#N/A</v>
      </c>
    </row>
    <row r="99" spans="1:40" ht="16.2" customHeight="1" x14ac:dyDescent="0.45">
      <c r="A99" s="185" t="e">
        <f t="array" aca="1" ref="A99" ca="1">IF(OR(COUNTIF(A97,"*1000*"),COUNTIF(A97,"")),"",INDEX(貼り付け用!$A:$A,MATCH(A97,貼り付け用!$A:$A,0)+2,0))</f>
        <v>#N/A</v>
      </c>
      <c r="B99" s="138" t="str">
        <f ca="1">IFERROR(VALUE(IF(VLOOKUP($A99,数出表_Excel!$A$6:$T$150,COLUMN()/2+1,FALSE)=0,"",VLOOKUP($A99,数出表_Excel!$A$6:$T$150,COLUMN()/2+1,FALSE))),"")</f>
        <v/>
      </c>
      <c r="C99" s="138"/>
      <c r="D99" s="138" t="str">
        <f ca="1">IFERROR(VALUE(IF(VLOOKUP($A99,数出表_Excel!$A$6:$T$150,COLUMN()/2+1,FALSE)=0,"",VLOOKUP($A99,数出表_Excel!$A$6:$T$150,COLUMN()/2+1,FALSE))),"")</f>
        <v/>
      </c>
      <c r="E99" s="138"/>
      <c r="F99" s="142" t="str">
        <f ca="1">IFERROR(VALUE(IF(VLOOKUP($A99,数出表_Excel!$A$6:$T$150,COLUMN()/2+1,FALSE)=0,"",VLOOKUP($A99,数出表_Excel!$A$6:$T$150,COLUMN()/2+1,FALSE))),"")</f>
        <v/>
      </c>
      <c r="G99" s="138"/>
      <c r="H99" s="138" t="str">
        <f ca="1">IFERROR(VALUE(IF(VLOOKUP($A99,数出表_Excel!$A$6:$T$150,COLUMN()/2+1,FALSE)=0,"",VLOOKUP($A99,数出表_Excel!$A$6:$T$150,COLUMN()/2+1,FALSE))),"")</f>
        <v/>
      </c>
      <c r="I99" s="138"/>
      <c r="J99" s="138" t="str">
        <f ca="1">IFERROR(VALUE(IF(VLOOKUP($A99,数出表_Excel!$A$6:$T$150,COLUMN()/2+1,FALSE)=0,"",VLOOKUP($A99,数出表_Excel!$A$6:$T$150,COLUMN()/2+1,FALSE))),"")</f>
        <v/>
      </c>
      <c r="K99" s="138"/>
      <c r="L99" s="142" t="str">
        <f ca="1">IFERROR(VALUE(IF(VLOOKUP($A99,数出表_Excel!$A$6:$T$150,COLUMN()/2+1,FALSE)=0,"",VLOOKUP($A99,数出表_Excel!$A$6:$T$150,COLUMN()/2+1,FALSE))),"")</f>
        <v/>
      </c>
      <c r="M99" s="138"/>
      <c r="N99" s="138" t="str">
        <f ca="1">IFERROR(VALUE(IF(VLOOKUP($A99,数出表_Excel!$A$6:$T$150,COLUMN()/2+1,FALSE)=0,"",VLOOKUP($A99,数出表_Excel!$A$6:$T$150,COLUMN()/2+1,FALSE))),"")</f>
        <v/>
      </c>
      <c r="O99" s="138"/>
      <c r="P99" s="138" t="str">
        <f ca="1">IFERROR(VALUE(IF(VLOOKUP($A99,数出表_Excel!$A$6:$T$150,COLUMN()/2+1,FALSE)=0,"",VLOOKUP($A99,数出表_Excel!$A$6:$T$150,COLUMN()/2+1,FALSE))),"")</f>
        <v/>
      </c>
      <c r="Q99" s="138"/>
      <c r="R99" s="138" t="str">
        <f ca="1">IFERROR(VALUE(IF(VLOOKUP($A99,数出表_Excel!$A$6:$T$150,COLUMN()/2+1,FALSE)=0,"",VLOOKUP($A99,数出表_Excel!$A$6:$T$150,COLUMN()/2+1,FALSE))),"")</f>
        <v/>
      </c>
      <c r="S99" s="138"/>
      <c r="T99" s="138" t="str">
        <f ca="1">IFERROR(VALUE(IF(VLOOKUP($A99,数出表_Excel!$A$6:$T$150,COLUMN()/2+1,FALSE)=0,"",VLOOKUP($A99,数出表_Excel!$A$6:$T$150,COLUMN()/2+1,FALSE))),"")</f>
        <v/>
      </c>
      <c r="U99" s="138"/>
      <c r="V99" s="142" t="str">
        <f ca="1">IFERROR(VALUE(IF(VLOOKUP($A99,数出表_Excel!$A$6:$T$150,COLUMN()/2+1,FALSE)=0,"",VLOOKUP($A99,数出表_Excel!$A$6:$T$150,COLUMN()/2+1,FALSE))),"")</f>
        <v/>
      </c>
      <c r="W99" s="138"/>
      <c r="X99" s="142" t="str">
        <f ca="1">IFERROR(VALUE(IF(VLOOKUP($A99,数出表_Excel!$A$6:$T$150,COLUMN()/2+1,FALSE)=0,"",VLOOKUP($A99,数出表_Excel!$A$6:$T$150,COLUMN()/2+1,FALSE))),"")</f>
        <v/>
      </c>
      <c r="Y99" s="138"/>
      <c r="Z99" s="142" t="str">
        <f ca="1">IFERROR(VALUE(IF(VLOOKUP($A99,数出表_Excel!$A$6:$T$150,COLUMN()/2+1,FALSE)=0,"",VLOOKUP($A99,数出表_Excel!$A$6:$T$150,COLUMN()/2+1,FALSE))),"")</f>
        <v/>
      </c>
      <c r="AA99" s="176"/>
      <c r="AB99" s="143" t="str">
        <f ca="1">IFERROR(VALUE(IF(VLOOKUP($A99,数出表_Excel!$A$6:$T$150,COLUMN()/2+1,FALSE)=0,"",VLOOKUP($A99,数出表_Excel!$A$6:$T$150,COLUMN()/2+1,FALSE))),"")</f>
        <v/>
      </c>
      <c r="AC99" s="138"/>
      <c r="AD99" s="142" t="str">
        <f ca="1">IFERROR(VALUE(IF(VLOOKUP($A99,数出表_Excel!$A$6:$T$150,COLUMN()/2+1,FALSE)=0,"",VLOOKUP($A99,数出表_Excel!$A$6:$T$150,COLUMN()/2+1,FALSE))),"")</f>
        <v/>
      </c>
      <c r="AE99" s="138"/>
      <c r="AF99" s="142" t="str">
        <f ca="1">IFERROR(VALUE(IF(VLOOKUP($A99,数出表_Excel!$A$6:$T$150,COLUMN()/2+1,FALSE)=0,"",VLOOKUP($A99,数出表_Excel!$A$6:$T$150,COLUMN()/2+1,FALSE))),"")</f>
        <v/>
      </c>
      <c r="AG99" s="138"/>
      <c r="AH99" s="142" t="str">
        <f ca="1">IFERROR(VALUE(IF(VLOOKUP($A99,数出表_Excel!$A$6:$T$150,COLUMN()/2+1,FALSE)=0,"",VLOOKUP($A99,数出表_Excel!$A$6:$T$150,COLUMN()/2+1,FALSE))),"")</f>
        <v/>
      </c>
      <c r="AI99" s="176"/>
      <c r="AJ99" s="143" t="str">
        <f ca="1">IFERROR(VALUE(IF(VLOOKUP($A99,数出表_Excel!$A$6:$T$150,COLUMN()/2+1,FALSE)=0,"",VLOOKUP($A99,数出表_Excel!$A$6:$T$150,COLUMN()/2+1,FALSE))),"")</f>
        <v/>
      </c>
      <c r="AK99" s="138"/>
      <c r="AL99" s="144" t="e">
        <f ca="1">IF(A99&lt;&gt;"",
IF(VLOOKUP($A99,数出表_Excel!$A$6:$T$150,COLUMN()/2+1,FALSE)=0,"",VLOOKUP($A99,数出表_Excel!$A$6:$T$150,COLUMN()/2+1,FALSE)),"")</f>
        <v>#N/A</v>
      </c>
      <c r="AM99" s="224" t="e">
        <f>数出表_Excel!V99</f>
        <v>#N/A</v>
      </c>
      <c r="AN99" s="225" t="e">
        <f>数出表_Excel!W99</f>
        <v>#N/A</v>
      </c>
    </row>
    <row r="100" spans="1:40" ht="16.2" customHeight="1" x14ac:dyDescent="0.45">
      <c r="A100" s="184" t="e">
        <f t="array" aca="1" ref="A100" ca="1">IF(OR(COUNTIF(A98,"*10002*"),COUNTIF(A98,"")),"",INDEX(貼り付け用!$A:$A,MATCH(A98,貼り付け用!$A:$A,0)+2,0))</f>
        <v>#N/A</v>
      </c>
      <c r="B100" s="172" t="str">
        <f ca="1">IFERROR(VALUE(IF(VLOOKUP($A100,数出表_Excel!$A$6:$T$150,COLUMN()/2+1,FALSE)=0,"",VLOOKUP($A100,数出表_Excel!$A$6:$T$150,COLUMN()/2+1,FALSE))),"")</f>
        <v/>
      </c>
      <c r="C100" s="137"/>
      <c r="D100" s="172" t="str">
        <f ca="1">IFERROR(VALUE(IF(VLOOKUP($A100,数出表_Excel!$A$6:$T$150,COLUMN()/2+1,FALSE)=0,"",VLOOKUP($A100,数出表_Excel!$A$6:$T$150,COLUMN()/2+1,FALSE))),"")</f>
        <v/>
      </c>
      <c r="E100" s="137"/>
      <c r="F100" s="174" t="str">
        <f ca="1">IFERROR(VALUE(IF(VLOOKUP($A100,数出表_Excel!$A$6:$T$150,COLUMN()/2+1,FALSE)=0,"",VLOOKUP($A100,数出表_Excel!$A$6:$T$150,COLUMN()/2+1,FALSE))),"")</f>
        <v/>
      </c>
      <c r="G100" s="137"/>
      <c r="H100" s="172" t="str">
        <f ca="1">IFERROR(VALUE(IF(VLOOKUP($A100,数出表_Excel!$A$6:$T$150,COLUMN()/2+1,FALSE)=0,"",VLOOKUP($A100,数出表_Excel!$A$6:$T$150,COLUMN()/2+1,FALSE))),"")</f>
        <v/>
      </c>
      <c r="I100" s="137"/>
      <c r="J100" s="172" t="str">
        <f ca="1">IFERROR(VALUE(IF(VLOOKUP($A100,数出表_Excel!$A$6:$T$150,COLUMN()/2+1,FALSE)=0,"",VLOOKUP($A100,数出表_Excel!$A$6:$T$150,COLUMN()/2+1,FALSE))),"")</f>
        <v/>
      </c>
      <c r="K100" s="137"/>
      <c r="L100" s="174" t="str">
        <f ca="1">IFERROR(VALUE(IF(VLOOKUP($A100,数出表_Excel!$A$6:$T$150,COLUMN()/2+1,FALSE)=0,"",VLOOKUP($A100,数出表_Excel!$A$6:$T$150,COLUMN()/2+1,FALSE))),"")</f>
        <v/>
      </c>
      <c r="M100" s="137"/>
      <c r="N100" s="172" t="str">
        <f ca="1">IFERROR(VALUE(IF(VLOOKUP($A100,数出表_Excel!$A$6:$T$150,COLUMN()/2+1,FALSE)=0,"",VLOOKUP($A100,数出表_Excel!$A$6:$T$150,COLUMN()/2+1,FALSE))),"")</f>
        <v/>
      </c>
      <c r="O100" s="137"/>
      <c r="P100" s="172" t="str">
        <f ca="1">IFERROR(VALUE(IF(VLOOKUP($A100,数出表_Excel!$A$6:$T$150,COLUMN()/2+1,FALSE)=0,"",VLOOKUP($A100,数出表_Excel!$A$6:$T$150,COLUMN()/2+1,FALSE))),"")</f>
        <v/>
      </c>
      <c r="Q100" s="137"/>
      <c r="R100" s="172" t="str">
        <f ca="1">IFERROR(VALUE(IF(VLOOKUP($A100,数出表_Excel!$A$6:$T$150,COLUMN()/2+1,FALSE)=0,"",VLOOKUP($A100,数出表_Excel!$A$6:$T$150,COLUMN()/2+1,FALSE))),"")</f>
        <v/>
      </c>
      <c r="S100" s="137"/>
      <c r="T100" s="172" t="str">
        <f ca="1">IFERROR(VALUE(IF(VLOOKUP($A100,数出表_Excel!$A$6:$T$150,COLUMN()/2+1,FALSE)=0,"",VLOOKUP($A100,数出表_Excel!$A$6:$T$150,COLUMN()/2+1,FALSE))),"")</f>
        <v/>
      </c>
      <c r="U100" s="137"/>
      <c r="V100" s="174" t="str">
        <f ca="1">IFERROR(VALUE(IF(VLOOKUP($A100,数出表_Excel!$A$6:$T$150,COLUMN()/2+1,FALSE)=0,"",VLOOKUP($A100,数出表_Excel!$A$6:$T$150,COLUMN()/2+1,FALSE))),"")</f>
        <v/>
      </c>
      <c r="W100" s="137"/>
      <c r="X100" s="174" t="str">
        <f ca="1">IFERROR(VALUE(IF(VLOOKUP($A100,数出表_Excel!$A$6:$T$150,COLUMN()/2+1,FALSE)=0,"",VLOOKUP($A100,数出表_Excel!$A$6:$T$150,COLUMN()/2+1,FALSE))),"")</f>
        <v/>
      </c>
      <c r="Y100" s="137"/>
      <c r="Z100" s="174" t="str">
        <f ca="1">IFERROR(VALUE(IF(VLOOKUP($A100,数出表_Excel!$A$6:$T$150,COLUMN()/2+1,FALSE)=0,"",VLOOKUP($A100,数出表_Excel!$A$6:$T$150,COLUMN()/2+1,FALSE))),"")</f>
        <v/>
      </c>
      <c r="AA100" s="175"/>
      <c r="AB100" s="173" t="str">
        <f ca="1">IFERROR(VALUE(IF(VLOOKUP($A100,数出表_Excel!$A$6:$T$150,COLUMN()/2+1,FALSE)=0,"",VLOOKUP($A100,数出表_Excel!$A$6:$T$150,COLUMN()/2+1,FALSE))),"")</f>
        <v/>
      </c>
      <c r="AC100" s="137"/>
      <c r="AD100" s="174" t="str">
        <f ca="1">IFERROR(VALUE(IF(VLOOKUP($A100,数出表_Excel!$A$6:$T$150,COLUMN()/2+1,FALSE)=0,"",VLOOKUP($A100,数出表_Excel!$A$6:$T$150,COLUMN()/2+1,FALSE))),"")</f>
        <v/>
      </c>
      <c r="AE100" s="137"/>
      <c r="AF100" s="174" t="str">
        <f ca="1">IFERROR(VALUE(IF(VLOOKUP($A100,数出表_Excel!$A$6:$T$150,COLUMN()/2+1,FALSE)=0,"",VLOOKUP($A100,数出表_Excel!$A$6:$T$150,COLUMN()/2+1,FALSE))),"")</f>
        <v/>
      </c>
      <c r="AG100" s="137"/>
      <c r="AH100" s="174" t="str">
        <f ca="1">IFERROR(VALUE(IF(VLOOKUP($A100,数出表_Excel!$A$6:$T$150,COLUMN()/2+1,FALSE)=0,"",VLOOKUP($A100,数出表_Excel!$A$6:$T$150,COLUMN()/2+1,FALSE))),"")</f>
        <v/>
      </c>
      <c r="AI100" s="175"/>
      <c r="AJ100" s="173" t="str">
        <f ca="1">IFERROR(VALUE(IF(VLOOKUP($A100,数出表_Excel!$A$6:$T$150,COLUMN()/2+1,FALSE)=0,"",VLOOKUP($A100,数出表_Excel!$A$6:$T$150,COLUMN()/2+1,FALSE))),"")</f>
        <v/>
      </c>
      <c r="AK100" s="137"/>
      <c r="AL100" s="141" t="e">
        <f ca="1">IF(A100&lt;&gt;"",
IF(VLOOKUP($A100,数出表_Excel!$A$6:$T$150,COLUMN()/2+1,FALSE)=0,"",VLOOKUP($A100,数出表_Excel!$A$6:$T$150,COLUMN()/2+1,FALSE)),"")</f>
        <v>#N/A</v>
      </c>
      <c r="AM100" s="222" t="e">
        <f>数出表_Excel!V100</f>
        <v>#N/A</v>
      </c>
      <c r="AN100" s="223" t="e">
        <f>数出表_Excel!W100</f>
        <v>#N/A</v>
      </c>
    </row>
    <row r="101" spans="1:40" ht="16.2" customHeight="1" x14ac:dyDescent="0.45">
      <c r="A101" s="185" t="e">
        <f t="array" aca="1" ref="A101" ca="1">IF(OR(COUNTIF(A99,"*1000*"),COUNTIF(A99,"")),"",INDEX(貼り付け用!$A:$A,MATCH(A99,貼り付け用!$A:$A,0)+2,0))</f>
        <v>#N/A</v>
      </c>
      <c r="B101" s="138" t="str">
        <f ca="1">IFERROR(VALUE(IF(VLOOKUP($A101,数出表_Excel!$A$6:$T$150,COLUMN()/2+1,FALSE)=0,"",VLOOKUP($A101,数出表_Excel!$A$6:$T$150,COLUMN()/2+1,FALSE))),"")</f>
        <v/>
      </c>
      <c r="C101" s="138"/>
      <c r="D101" s="138" t="str">
        <f ca="1">IFERROR(VALUE(IF(VLOOKUP($A101,数出表_Excel!$A$6:$T$150,COLUMN()/2+1,FALSE)=0,"",VLOOKUP($A101,数出表_Excel!$A$6:$T$150,COLUMN()/2+1,FALSE))),"")</f>
        <v/>
      </c>
      <c r="E101" s="138"/>
      <c r="F101" s="142" t="str">
        <f ca="1">IFERROR(VALUE(IF(VLOOKUP($A101,数出表_Excel!$A$6:$T$150,COLUMN()/2+1,FALSE)=0,"",VLOOKUP($A101,数出表_Excel!$A$6:$T$150,COLUMN()/2+1,FALSE))),"")</f>
        <v/>
      </c>
      <c r="G101" s="138"/>
      <c r="H101" s="138" t="str">
        <f ca="1">IFERROR(VALUE(IF(VLOOKUP($A101,数出表_Excel!$A$6:$T$150,COLUMN()/2+1,FALSE)=0,"",VLOOKUP($A101,数出表_Excel!$A$6:$T$150,COLUMN()/2+1,FALSE))),"")</f>
        <v/>
      </c>
      <c r="I101" s="138"/>
      <c r="J101" s="138" t="str">
        <f ca="1">IFERROR(VALUE(IF(VLOOKUP($A101,数出表_Excel!$A$6:$T$150,COLUMN()/2+1,FALSE)=0,"",VLOOKUP($A101,数出表_Excel!$A$6:$T$150,COLUMN()/2+1,FALSE))),"")</f>
        <v/>
      </c>
      <c r="K101" s="138"/>
      <c r="L101" s="142" t="str">
        <f ca="1">IFERROR(VALUE(IF(VLOOKUP($A101,数出表_Excel!$A$6:$T$150,COLUMN()/2+1,FALSE)=0,"",VLOOKUP($A101,数出表_Excel!$A$6:$T$150,COLUMN()/2+1,FALSE))),"")</f>
        <v/>
      </c>
      <c r="M101" s="138"/>
      <c r="N101" s="138" t="str">
        <f ca="1">IFERROR(VALUE(IF(VLOOKUP($A101,数出表_Excel!$A$6:$T$150,COLUMN()/2+1,FALSE)=0,"",VLOOKUP($A101,数出表_Excel!$A$6:$T$150,COLUMN()/2+1,FALSE))),"")</f>
        <v/>
      </c>
      <c r="O101" s="138"/>
      <c r="P101" s="138" t="str">
        <f ca="1">IFERROR(VALUE(IF(VLOOKUP($A101,数出表_Excel!$A$6:$T$150,COLUMN()/2+1,FALSE)=0,"",VLOOKUP($A101,数出表_Excel!$A$6:$T$150,COLUMN()/2+1,FALSE))),"")</f>
        <v/>
      </c>
      <c r="Q101" s="138"/>
      <c r="R101" s="138" t="str">
        <f ca="1">IFERROR(VALUE(IF(VLOOKUP($A101,数出表_Excel!$A$6:$T$150,COLUMN()/2+1,FALSE)=0,"",VLOOKUP($A101,数出表_Excel!$A$6:$T$150,COLUMN()/2+1,FALSE))),"")</f>
        <v/>
      </c>
      <c r="S101" s="138"/>
      <c r="T101" s="138" t="str">
        <f ca="1">IFERROR(VALUE(IF(VLOOKUP($A101,数出表_Excel!$A$6:$T$150,COLUMN()/2+1,FALSE)=0,"",VLOOKUP($A101,数出表_Excel!$A$6:$T$150,COLUMN()/2+1,FALSE))),"")</f>
        <v/>
      </c>
      <c r="U101" s="138"/>
      <c r="V101" s="142" t="str">
        <f ca="1">IFERROR(VALUE(IF(VLOOKUP($A101,数出表_Excel!$A$6:$T$150,COLUMN()/2+1,FALSE)=0,"",VLOOKUP($A101,数出表_Excel!$A$6:$T$150,COLUMN()/2+1,FALSE))),"")</f>
        <v/>
      </c>
      <c r="W101" s="138"/>
      <c r="X101" s="142" t="str">
        <f ca="1">IFERROR(VALUE(IF(VLOOKUP($A101,数出表_Excel!$A$6:$T$150,COLUMN()/2+1,FALSE)=0,"",VLOOKUP($A101,数出表_Excel!$A$6:$T$150,COLUMN()/2+1,FALSE))),"")</f>
        <v/>
      </c>
      <c r="Y101" s="138"/>
      <c r="Z101" s="142" t="str">
        <f ca="1">IFERROR(VALUE(IF(VLOOKUP($A101,数出表_Excel!$A$6:$T$150,COLUMN()/2+1,FALSE)=0,"",VLOOKUP($A101,数出表_Excel!$A$6:$T$150,COLUMN()/2+1,FALSE))),"")</f>
        <v/>
      </c>
      <c r="AA101" s="176"/>
      <c r="AB101" s="143" t="str">
        <f ca="1">IFERROR(VALUE(IF(VLOOKUP($A101,数出表_Excel!$A$6:$T$150,COLUMN()/2+1,FALSE)=0,"",VLOOKUP($A101,数出表_Excel!$A$6:$T$150,COLUMN()/2+1,FALSE))),"")</f>
        <v/>
      </c>
      <c r="AC101" s="138"/>
      <c r="AD101" s="142" t="str">
        <f ca="1">IFERROR(VALUE(IF(VLOOKUP($A101,数出表_Excel!$A$6:$T$150,COLUMN()/2+1,FALSE)=0,"",VLOOKUP($A101,数出表_Excel!$A$6:$T$150,COLUMN()/2+1,FALSE))),"")</f>
        <v/>
      </c>
      <c r="AE101" s="138"/>
      <c r="AF101" s="142" t="str">
        <f ca="1">IFERROR(VALUE(IF(VLOOKUP($A101,数出表_Excel!$A$6:$T$150,COLUMN()/2+1,FALSE)=0,"",VLOOKUP($A101,数出表_Excel!$A$6:$T$150,COLUMN()/2+1,FALSE))),"")</f>
        <v/>
      </c>
      <c r="AG101" s="138"/>
      <c r="AH101" s="142" t="str">
        <f ca="1">IFERROR(VALUE(IF(VLOOKUP($A101,数出表_Excel!$A$6:$T$150,COLUMN()/2+1,FALSE)=0,"",VLOOKUP($A101,数出表_Excel!$A$6:$T$150,COLUMN()/2+1,FALSE))),"")</f>
        <v/>
      </c>
      <c r="AI101" s="176"/>
      <c r="AJ101" s="143" t="str">
        <f ca="1">IFERROR(VALUE(IF(VLOOKUP($A101,数出表_Excel!$A$6:$T$150,COLUMN()/2+1,FALSE)=0,"",VLOOKUP($A101,数出表_Excel!$A$6:$T$150,COLUMN()/2+1,FALSE))),"")</f>
        <v/>
      </c>
      <c r="AK101" s="138"/>
      <c r="AL101" s="144" t="e">
        <f ca="1">IF(A101&lt;&gt;"",
IF(VLOOKUP($A101,数出表_Excel!$A$6:$T$150,COLUMN()/2+1,FALSE)=0,"",VLOOKUP($A101,数出表_Excel!$A$6:$T$150,COLUMN()/2+1,FALSE)),"")</f>
        <v>#N/A</v>
      </c>
      <c r="AM101" s="224" t="e">
        <f>数出表_Excel!V101</f>
        <v>#N/A</v>
      </c>
      <c r="AN101" s="225" t="e">
        <f>数出表_Excel!W101</f>
        <v>#N/A</v>
      </c>
    </row>
    <row r="102" spans="1:40" ht="16.2" customHeight="1" x14ac:dyDescent="0.45">
      <c r="A102" s="184" t="e">
        <f t="array" aca="1" ref="A102" ca="1">IF(OR(COUNTIF(A100,"*10002*"),COUNTIF(A100,"")),"",INDEX(貼り付け用!$A:$A,MATCH(A100,貼り付け用!$A:$A,0)+2,0))</f>
        <v>#N/A</v>
      </c>
      <c r="B102" s="172" t="str">
        <f ca="1">IFERROR(VALUE(IF(VLOOKUP($A102,数出表_Excel!$A$6:$T$150,COLUMN()/2+1,FALSE)=0,"",VLOOKUP($A102,数出表_Excel!$A$6:$T$150,COLUMN()/2+1,FALSE))),"")</f>
        <v/>
      </c>
      <c r="C102" s="137"/>
      <c r="D102" s="172" t="str">
        <f ca="1">IFERROR(VALUE(IF(VLOOKUP($A102,数出表_Excel!$A$6:$T$150,COLUMN()/2+1,FALSE)=0,"",VLOOKUP($A102,数出表_Excel!$A$6:$T$150,COLUMN()/2+1,FALSE))),"")</f>
        <v/>
      </c>
      <c r="E102" s="137"/>
      <c r="F102" s="174" t="str">
        <f ca="1">IFERROR(VALUE(IF(VLOOKUP($A102,数出表_Excel!$A$6:$T$150,COLUMN()/2+1,FALSE)=0,"",VLOOKUP($A102,数出表_Excel!$A$6:$T$150,COLUMN()/2+1,FALSE))),"")</f>
        <v/>
      </c>
      <c r="G102" s="137"/>
      <c r="H102" s="172" t="str">
        <f ca="1">IFERROR(VALUE(IF(VLOOKUP($A102,数出表_Excel!$A$6:$T$150,COLUMN()/2+1,FALSE)=0,"",VLOOKUP($A102,数出表_Excel!$A$6:$T$150,COLUMN()/2+1,FALSE))),"")</f>
        <v/>
      </c>
      <c r="I102" s="137"/>
      <c r="J102" s="172" t="str">
        <f ca="1">IFERROR(VALUE(IF(VLOOKUP($A102,数出表_Excel!$A$6:$T$150,COLUMN()/2+1,FALSE)=0,"",VLOOKUP($A102,数出表_Excel!$A$6:$T$150,COLUMN()/2+1,FALSE))),"")</f>
        <v/>
      </c>
      <c r="K102" s="137"/>
      <c r="L102" s="174" t="str">
        <f ca="1">IFERROR(VALUE(IF(VLOOKUP($A102,数出表_Excel!$A$6:$T$150,COLUMN()/2+1,FALSE)=0,"",VLOOKUP($A102,数出表_Excel!$A$6:$T$150,COLUMN()/2+1,FALSE))),"")</f>
        <v/>
      </c>
      <c r="M102" s="137"/>
      <c r="N102" s="172" t="str">
        <f ca="1">IFERROR(VALUE(IF(VLOOKUP($A102,数出表_Excel!$A$6:$T$150,COLUMN()/2+1,FALSE)=0,"",VLOOKUP($A102,数出表_Excel!$A$6:$T$150,COLUMN()/2+1,FALSE))),"")</f>
        <v/>
      </c>
      <c r="O102" s="137"/>
      <c r="P102" s="172" t="str">
        <f ca="1">IFERROR(VALUE(IF(VLOOKUP($A102,数出表_Excel!$A$6:$T$150,COLUMN()/2+1,FALSE)=0,"",VLOOKUP($A102,数出表_Excel!$A$6:$T$150,COLUMN()/2+1,FALSE))),"")</f>
        <v/>
      </c>
      <c r="Q102" s="137"/>
      <c r="R102" s="172" t="str">
        <f ca="1">IFERROR(VALUE(IF(VLOOKUP($A102,数出表_Excel!$A$6:$T$150,COLUMN()/2+1,FALSE)=0,"",VLOOKUP($A102,数出表_Excel!$A$6:$T$150,COLUMN()/2+1,FALSE))),"")</f>
        <v/>
      </c>
      <c r="S102" s="137"/>
      <c r="T102" s="172" t="str">
        <f ca="1">IFERROR(VALUE(IF(VLOOKUP($A102,数出表_Excel!$A$6:$T$150,COLUMN()/2+1,FALSE)=0,"",VLOOKUP($A102,数出表_Excel!$A$6:$T$150,COLUMN()/2+1,FALSE))),"")</f>
        <v/>
      </c>
      <c r="U102" s="137"/>
      <c r="V102" s="174" t="str">
        <f ca="1">IFERROR(VALUE(IF(VLOOKUP($A102,数出表_Excel!$A$6:$T$150,COLUMN()/2+1,FALSE)=0,"",VLOOKUP($A102,数出表_Excel!$A$6:$T$150,COLUMN()/2+1,FALSE))),"")</f>
        <v/>
      </c>
      <c r="W102" s="137"/>
      <c r="X102" s="174" t="str">
        <f ca="1">IFERROR(VALUE(IF(VLOOKUP($A102,数出表_Excel!$A$6:$T$150,COLUMN()/2+1,FALSE)=0,"",VLOOKUP($A102,数出表_Excel!$A$6:$T$150,COLUMN()/2+1,FALSE))),"")</f>
        <v/>
      </c>
      <c r="Y102" s="137"/>
      <c r="Z102" s="174" t="str">
        <f ca="1">IFERROR(VALUE(IF(VLOOKUP($A102,数出表_Excel!$A$6:$T$150,COLUMN()/2+1,FALSE)=0,"",VLOOKUP($A102,数出表_Excel!$A$6:$T$150,COLUMN()/2+1,FALSE))),"")</f>
        <v/>
      </c>
      <c r="AA102" s="175"/>
      <c r="AB102" s="173" t="str">
        <f ca="1">IFERROR(VALUE(IF(VLOOKUP($A102,数出表_Excel!$A$6:$T$150,COLUMN()/2+1,FALSE)=0,"",VLOOKUP($A102,数出表_Excel!$A$6:$T$150,COLUMN()/2+1,FALSE))),"")</f>
        <v/>
      </c>
      <c r="AC102" s="137"/>
      <c r="AD102" s="174" t="str">
        <f ca="1">IFERROR(VALUE(IF(VLOOKUP($A102,数出表_Excel!$A$6:$T$150,COLUMN()/2+1,FALSE)=0,"",VLOOKUP($A102,数出表_Excel!$A$6:$T$150,COLUMN()/2+1,FALSE))),"")</f>
        <v/>
      </c>
      <c r="AE102" s="137"/>
      <c r="AF102" s="174" t="str">
        <f ca="1">IFERROR(VALUE(IF(VLOOKUP($A102,数出表_Excel!$A$6:$T$150,COLUMN()/2+1,FALSE)=0,"",VLOOKUP($A102,数出表_Excel!$A$6:$T$150,COLUMN()/2+1,FALSE))),"")</f>
        <v/>
      </c>
      <c r="AG102" s="137"/>
      <c r="AH102" s="174" t="str">
        <f ca="1">IFERROR(VALUE(IF(VLOOKUP($A102,数出表_Excel!$A$6:$T$150,COLUMN()/2+1,FALSE)=0,"",VLOOKUP($A102,数出表_Excel!$A$6:$T$150,COLUMN()/2+1,FALSE))),"")</f>
        <v/>
      </c>
      <c r="AI102" s="175"/>
      <c r="AJ102" s="173" t="str">
        <f ca="1">IFERROR(VALUE(IF(VLOOKUP($A102,数出表_Excel!$A$6:$T$150,COLUMN()/2+1,FALSE)=0,"",VLOOKUP($A102,数出表_Excel!$A$6:$T$150,COLUMN()/2+1,FALSE))),"")</f>
        <v/>
      </c>
      <c r="AK102" s="137"/>
      <c r="AL102" s="141" t="e">
        <f ca="1">IF(A102&lt;&gt;"",
IF(VLOOKUP($A102,数出表_Excel!$A$6:$T$150,COLUMN()/2+1,FALSE)=0,"",VLOOKUP($A102,数出表_Excel!$A$6:$T$150,COLUMN()/2+1,FALSE)),"")</f>
        <v>#N/A</v>
      </c>
      <c r="AM102" s="222" t="e">
        <f>数出表_Excel!V102</f>
        <v>#N/A</v>
      </c>
      <c r="AN102" s="223" t="e">
        <f>数出表_Excel!W102</f>
        <v>#N/A</v>
      </c>
    </row>
    <row r="103" spans="1:40" ht="16.2" customHeight="1" x14ac:dyDescent="0.45">
      <c r="A103" s="185" t="e">
        <f t="array" aca="1" ref="A103" ca="1">IF(OR(COUNTIF(A101,"*1000*"),COUNTIF(A101,"")),"",INDEX(貼り付け用!$A:$A,MATCH(A101,貼り付け用!$A:$A,0)+2,0))</f>
        <v>#N/A</v>
      </c>
      <c r="B103" s="138" t="str">
        <f ca="1">IFERROR(VALUE(IF(VLOOKUP($A103,数出表_Excel!$A$6:$T$150,COLUMN()/2+1,FALSE)=0,"",VLOOKUP($A103,数出表_Excel!$A$6:$T$150,COLUMN()/2+1,FALSE))),"")</f>
        <v/>
      </c>
      <c r="C103" s="138"/>
      <c r="D103" s="138" t="str">
        <f ca="1">IFERROR(VALUE(IF(VLOOKUP($A103,数出表_Excel!$A$6:$T$150,COLUMN()/2+1,FALSE)=0,"",VLOOKUP($A103,数出表_Excel!$A$6:$T$150,COLUMN()/2+1,FALSE))),"")</f>
        <v/>
      </c>
      <c r="E103" s="138"/>
      <c r="F103" s="142" t="str">
        <f ca="1">IFERROR(VALUE(IF(VLOOKUP($A103,数出表_Excel!$A$6:$T$150,COLUMN()/2+1,FALSE)=0,"",VLOOKUP($A103,数出表_Excel!$A$6:$T$150,COLUMN()/2+1,FALSE))),"")</f>
        <v/>
      </c>
      <c r="G103" s="138"/>
      <c r="H103" s="138" t="str">
        <f ca="1">IFERROR(VALUE(IF(VLOOKUP($A103,数出表_Excel!$A$6:$T$150,COLUMN()/2+1,FALSE)=0,"",VLOOKUP($A103,数出表_Excel!$A$6:$T$150,COLUMN()/2+1,FALSE))),"")</f>
        <v/>
      </c>
      <c r="I103" s="138"/>
      <c r="J103" s="138" t="str">
        <f ca="1">IFERROR(VALUE(IF(VLOOKUP($A103,数出表_Excel!$A$6:$T$150,COLUMN()/2+1,FALSE)=0,"",VLOOKUP($A103,数出表_Excel!$A$6:$T$150,COLUMN()/2+1,FALSE))),"")</f>
        <v/>
      </c>
      <c r="K103" s="138"/>
      <c r="L103" s="142" t="str">
        <f ca="1">IFERROR(VALUE(IF(VLOOKUP($A103,数出表_Excel!$A$6:$T$150,COLUMN()/2+1,FALSE)=0,"",VLOOKUP($A103,数出表_Excel!$A$6:$T$150,COLUMN()/2+1,FALSE))),"")</f>
        <v/>
      </c>
      <c r="M103" s="138"/>
      <c r="N103" s="138" t="str">
        <f ca="1">IFERROR(VALUE(IF(VLOOKUP($A103,数出表_Excel!$A$6:$T$150,COLUMN()/2+1,FALSE)=0,"",VLOOKUP($A103,数出表_Excel!$A$6:$T$150,COLUMN()/2+1,FALSE))),"")</f>
        <v/>
      </c>
      <c r="O103" s="138"/>
      <c r="P103" s="138" t="str">
        <f ca="1">IFERROR(VALUE(IF(VLOOKUP($A103,数出表_Excel!$A$6:$T$150,COLUMN()/2+1,FALSE)=0,"",VLOOKUP($A103,数出表_Excel!$A$6:$T$150,COLUMN()/2+1,FALSE))),"")</f>
        <v/>
      </c>
      <c r="Q103" s="138"/>
      <c r="R103" s="138" t="str">
        <f ca="1">IFERROR(VALUE(IF(VLOOKUP($A103,数出表_Excel!$A$6:$T$150,COLUMN()/2+1,FALSE)=0,"",VLOOKUP($A103,数出表_Excel!$A$6:$T$150,COLUMN()/2+1,FALSE))),"")</f>
        <v/>
      </c>
      <c r="S103" s="138"/>
      <c r="T103" s="138" t="str">
        <f ca="1">IFERROR(VALUE(IF(VLOOKUP($A103,数出表_Excel!$A$6:$T$150,COLUMN()/2+1,FALSE)=0,"",VLOOKUP($A103,数出表_Excel!$A$6:$T$150,COLUMN()/2+1,FALSE))),"")</f>
        <v/>
      </c>
      <c r="U103" s="138"/>
      <c r="V103" s="142" t="str">
        <f ca="1">IFERROR(VALUE(IF(VLOOKUP($A103,数出表_Excel!$A$6:$T$150,COLUMN()/2+1,FALSE)=0,"",VLOOKUP($A103,数出表_Excel!$A$6:$T$150,COLUMN()/2+1,FALSE))),"")</f>
        <v/>
      </c>
      <c r="W103" s="138"/>
      <c r="X103" s="142" t="str">
        <f ca="1">IFERROR(VALUE(IF(VLOOKUP($A103,数出表_Excel!$A$6:$T$150,COLUMN()/2+1,FALSE)=0,"",VLOOKUP($A103,数出表_Excel!$A$6:$T$150,COLUMN()/2+1,FALSE))),"")</f>
        <v/>
      </c>
      <c r="Y103" s="138"/>
      <c r="Z103" s="142" t="str">
        <f ca="1">IFERROR(VALUE(IF(VLOOKUP($A103,数出表_Excel!$A$6:$T$150,COLUMN()/2+1,FALSE)=0,"",VLOOKUP($A103,数出表_Excel!$A$6:$T$150,COLUMN()/2+1,FALSE))),"")</f>
        <v/>
      </c>
      <c r="AA103" s="176"/>
      <c r="AB103" s="143" t="str">
        <f ca="1">IFERROR(VALUE(IF(VLOOKUP($A103,数出表_Excel!$A$6:$T$150,COLUMN()/2+1,FALSE)=0,"",VLOOKUP($A103,数出表_Excel!$A$6:$T$150,COLUMN()/2+1,FALSE))),"")</f>
        <v/>
      </c>
      <c r="AC103" s="138"/>
      <c r="AD103" s="142" t="str">
        <f ca="1">IFERROR(VALUE(IF(VLOOKUP($A103,数出表_Excel!$A$6:$T$150,COLUMN()/2+1,FALSE)=0,"",VLOOKUP($A103,数出表_Excel!$A$6:$T$150,COLUMN()/2+1,FALSE))),"")</f>
        <v/>
      </c>
      <c r="AE103" s="138"/>
      <c r="AF103" s="142" t="str">
        <f ca="1">IFERROR(VALUE(IF(VLOOKUP($A103,数出表_Excel!$A$6:$T$150,COLUMN()/2+1,FALSE)=0,"",VLOOKUP($A103,数出表_Excel!$A$6:$T$150,COLUMN()/2+1,FALSE))),"")</f>
        <v/>
      </c>
      <c r="AG103" s="138"/>
      <c r="AH103" s="142" t="str">
        <f ca="1">IFERROR(VALUE(IF(VLOOKUP($A103,数出表_Excel!$A$6:$T$150,COLUMN()/2+1,FALSE)=0,"",VLOOKUP($A103,数出表_Excel!$A$6:$T$150,COLUMN()/2+1,FALSE))),"")</f>
        <v/>
      </c>
      <c r="AI103" s="176"/>
      <c r="AJ103" s="143" t="str">
        <f ca="1">IFERROR(VALUE(IF(VLOOKUP($A103,数出表_Excel!$A$6:$T$150,COLUMN()/2+1,FALSE)=0,"",VLOOKUP($A103,数出表_Excel!$A$6:$T$150,COLUMN()/2+1,FALSE))),"")</f>
        <v/>
      </c>
      <c r="AK103" s="138"/>
      <c r="AL103" s="144" t="e">
        <f ca="1">IF(A103&lt;&gt;"",
IF(VLOOKUP($A103,数出表_Excel!$A$6:$T$150,COLUMN()/2+1,FALSE)=0,"",VLOOKUP($A103,数出表_Excel!$A$6:$T$150,COLUMN()/2+1,FALSE)),"")</f>
        <v>#N/A</v>
      </c>
      <c r="AM103" s="224" t="e">
        <f>数出表_Excel!V103</f>
        <v>#N/A</v>
      </c>
      <c r="AN103" s="225" t="e">
        <f>数出表_Excel!W103</f>
        <v>#N/A</v>
      </c>
    </row>
    <row r="104" spans="1:40" ht="16.2" customHeight="1" x14ac:dyDescent="0.45">
      <c r="A104" s="184" t="e">
        <f t="array" aca="1" ref="A104" ca="1">IF(OR(COUNTIF(A102,"*10002*"),COUNTIF(A102,"")),"",INDEX(貼り付け用!$A:$A,MATCH(A102,貼り付け用!$A:$A,0)+2,0))</f>
        <v>#N/A</v>
      </c>
      <c r="B104" s="172" t="str">
        <f ca="1">IFERROR(VALUE(IF(VLOOKUP($A104,数出表_Excel!$A$6:$T$150,COLUMN()/2+1,FALSE)=0,"",VLOOKUP($A104,数出表_Excel!$A$6:$T$150,COLUMN()/2+1,FALSE))),"")</f>
        <v/>
      </c>
      <c r="C104" s="137"/>
      <c r="D104" s="172" t="str">
        <f ca="1">IFERROR(VALUE(IF(VLOOKUP($A104,数出表_Excel!$A$6:$T$150,COLUMN()/2+1,FALSE)=0,"",VLOOKUP($A104,数出表_Excel!$A$6:$T$150,COLUMN()/2+1,FALSE))),"")</f>
        <v/>
      </c>
      <c r="E104" s="137"/>
      <c r="F104" s="174" t="str">
        <f ca="1">IFERROR(VALUE(IF(VLOOKUP($A104,数出表_Excel!$A$6:$T$150,COLUMN()/2+1,FALSE)=0,"",VLOOKUP($A104,数出表_Excel!$A$6:$T$150,COLUMN()/2+1,FALSE))),"")</f>
        <v/>
      </c>
      <c r="G104" s="137"/>
      <c r="H104" s="172" t="str">
        <f ca="1">IFERROR(VALUE(IF(VLOOKUP($A104,数出表_Excel!$A$6:$T$150,COLUMN()/2+1,FALSE)=0,"",VLOOKUP($A104,数出表_Excel!$A$6:$T$150,COLUMN()/2+1,FALSE))),"")</f>
        <v/>
      </c>
      <c r="I104" s="137"/>
      <c r="J104" s="172" t="str">
        <f ca="1">IFERROR(VALUE(IF(VLOOKUP($A104,数出表_Excel!$A$6:$T$150,COLUMN()/2+1,FALSE)=0,"",VLOOKUP($A104,数出表_Excel!$A$6:$T$150,COLUMN()/2+1,FALSE))),"")</f>
        <v/>
      </c>
      <c r="K104" s="137"/>
      <c r="L104" s="174" t="str">
        <f ca="1">IFERROR(VALUE(IF(VLOOKUP($A104,数出表_Excel!$A$6:$T$150,COLUMN()/2+1,FALSE)=0,"",VLOOKUP($A104,数出表_Excel!$A$6:$T$150,COLUMN()/2+1,FALSE))),"")</f>
        <v/>
      </c>
      <c r="M104" s="137"/>
      <c r="N104" s="172" t="str">
        <f ca="1">IFERROR(VALUE(IF(VLOOKUP($A104,数出表_Excel!$A$6:$T$150,COLUMN()/2+1,FALSE)=0,"",VLOOKUP($A104,数出表_Excel!$A$6:$T$150,COLUMN()/2+1,FALSE))),"")</f>
        <v/>
      </c>
      <c r="O104" s="137"/>
      <c r="P104" s="172" t="str">
        <f ca="1">IFERROR(VALUE(IF(VLOOKUP($A104,数出表_Excel!$A$6:$T$150,COLUMN()/2+1,FALSE)=0,"",VLOOKUP($A104,数出表_Excel!$A$6:$T$150,COLUMN()/2+1,FALSE))),"")</f>
        <v/>
      </c>
      <c r="Q104" s="137"/>
      <c r="R104" s="172" t="str">
        <f ca="1">IFERROR(VALUE(IF(VLOOKUP($A104,数出表_Excel!$A$6:$T$150,COLUMN()/2+1,FALSE)=0,"",VLOOKUP($A104,数出表_Excel!$A$6:$T$150,COLUMN()/2+1,FALSE))),"")</f>
        <v/>
      </c>
      <c r="S104" s="137"/>
      <c r="T104" s="172" t="str">
        <f ca="1">IFERROR(VALUE(IF(VLOOKUP($A104,数出表_Excel!$A$6:$T$150,COLUMN()/2+1,FALSE)=0,"",VLOOKUP($A104,数出表_Excel!$A$6:$T$150,COLUMN()/2+1,FALSE))),"")</f>
        <v/>
      </c>
      <c r="U104" s="137"/>
      <c r="V104" s="174" t="str">
        <f ca="1">IFERROR(VALUE(IF(VLOOKUP($A104,数出表_Excel!$A$6:$T$150,COLUMN()/2+1,FALSE)=0,"",VLOOKUP($A104,数出表_Excel!$A$6:$T$150,COLUMN()/2+1,FALSE))),"")</f>
        <v/>
      </c>
      <c r="W104" s="137"/>
      <c r="X104" s="174" t="str">
        <f ca="1">IFERROR(VALUE(IF(VLOOKUP($A104,数出表_Excel!$A$6:$T$150,COLUMN()/2+1,FALSE)=0,"",VLOOKUP($A104,数出表_Excel!$A$6:$T$150,COLUMN()/2+1,FALSE))),"")</f>
        <v/>
      </c>
      <c r="Y104" s="137"/>
      <c r="Z104" s="174" t="str">
        <f ca="1">IFERROR(VALUE(IF(VLOOKUP($A104,数出表_Excel!$A$6:$T$150,COLUMN()/2+1,FALSE)=0,"",VLOOKUP($A104,数出表_Excel!$A$6:$T$150,COLUMN()/2+1,FALSE))),"")</f>
        <v/>
      </c>
      <c r="AA104" s="175"/>
      <c r="AB104" s="173" t="str">
        <f ca="1">IFERROR(VALUE(IF(VLOOKUP($A104,数出表_Excel!$A$6:$T$150,COLUMN()/2+1,FALSE)=0,"",VLOOKUP($A104,数出表_Excel!$A$6:$T$150,COLUMN()/2+1,FALSE))),"")</f>
        <v/>
      </c>
      <c r="AC104" s="137"/>
      <c r="AD104" s="174" t="str">
        <f ca="1">IFERROR(VALUE(IF(VLOOKUP($A104,数出表_Excel!$A$6:$T$150,COLUMN()/2+1,FALSE)=0,"",VLOOKUP($A104,数出表_Excel!$A$6:$T$150,COLUMN()/2+1,FALSE))),"")</f>
        <v/>
      </c>
      <c r="AE104" s="137"/>
      <c r="AF104" s="174" t="str">
        <f ca="1">IFERROR(VALUE(IF(VLOOKUP($A104,数出表_Excel!$A$6:$T$150,COLUMN()/2+1,FALSE)=0,"",VLOOKUP($A104,数出表_Excel!$A$6:$T$150,COLUMN()/2+1,FALSE))),"")</f>
        <v/>
      </c>
      <c r="AG104" s="137"/>
      <c r="AH104" s="174" t="str">
        <f ca="1">IFERROR(VALUE(IF(VLOOKUP($A104,数出表_Excel!$A$6:$T$150,COLUMN()/2+1,FALSE)=0,"",VLOOKUP($A104,数出表_Excel!$A$6:$T$150,COLUMN()/2+1,FALSE))),"")</f>
        <v/>
      </c>
      <c r="AI104" s="175"/>
      <c r="AJ104" s="173" t="str">
        <f ca="1">IFERROR(VALUE(IF(VLOOKUP($A104,数出表_Excel!$A$6:$T$150,COLUMN()/2+1,FALSE)=0,"",VLOOKUP($A104,数出表_Excel!$A$6:$T$150,COLUMN()/2+1,FALSE))),"")</f>
        <v/>
      </c>
      <c r="AK104" s="137"/>
      <c r="AL104" s="141" t="e">
        <f ca="1">IF(A104&lt;&gt;"",
IF(VLOOKUP($A104,数出表_Excel!$A$6:$T$150,COLUMN()/2+1,FALSE)=0,"",VLOOKUP($A104,数出表_Excel!$A$6:$T$150,COLUMN()/2+1,FALSE)),"")</f>
        <v>#N/A</v>
      </c>
      <c r="AM104" s="222" t="e">
        <f>数出表_Excel!V104</f>
        <v>#N/A</v>
      </c>
      <c r="AN104" s="223" t="e">
        <f>数出表_Excel!W104</f>
        <v>#N/A</v>
      </c>
    </row>
    <row r="105" spans="1:40" ht="16.2" customHeight="1" x14ac:dyDescent="0.45">
      <c r="A105" s="185" t="e">
        <f t="array" aca="1" ref="A105" ca="1">IF(OR(COUNTIF(A103,"*1000*"),COUNTIF(A103,"")),"",INDEX(貼り付け用!$A:$A,MATCH(A103,貼り付け用!$A:$A,0)+2,0))</f>
        <v>#N/A</v>
      </c>
      <c r="B105" s="138" t="str">
        <f ca="1">IFERROR(VALUE(IF(VLOOKUP($A105,数出表_Excel!$A$6:$T$150,COLUMN()/2+1,FALSE)=0,"",VLOOKUP($A105,数出表_Excel!$A$6:$T$150,COLUMN()/2+1,FALSE))),"")</f>
        <v/>
      </c>
      <c r="C105" s="138"/>
      <c r="D105" s="138" t="str">
        <f ca="1">IFERROR(VALUE(IF(VLOOKUP($A105,数出表_Excel!$A$6:$T$150,COLUMN()/2+1,FALSE)=0,"",VLOOKUP($A105,数出表_Excel!$A$6:$T$150,COLUMN()/2+1,FALSE))),"")</f>
        <v/>
      </c>
      <c r="E105" s="138"/>
      <c r="F105" s="142" t="str">
        <f ca="1">IFERROR(VALUE(IF(VLOOKUP($A105,数出表_Excel!$A$6:$T$150,COLUMN()/2+1,FALSE)=0,"",VLOOKUP($A105,数出表_Excel!$A$6:$T$150,COLUMN()/2+1,FALSE))),"")</f>
        <v/>
      </c>
      <c r="G105" s="138"/>
      <c r="H105" s="138" t="str">
        <f ca="1">IFERROR(VALUE(IF(VLOOKUP($A105,数出表_Excel!$A$6:$T$150,COLUMN()/2+1,FALSE)=0,"",VLOOKUP($A105,数出表_Excel!$A$6:$T$150,COLUMN()/2+1,FALSE))),"")</f>
        <v/>
      </c>
      <c r="I105" s="138"/>
      <c r="J105" s="138" t="str">
        <f ca="1">IFERROR(VALUE(IF(VLOOKUP($A105,数出表_Excel!$A$6:$T$150,COLUMN()/2+1,FALSE)=0,"",VLOOKUP($A105,数出表_Excel!$A$6:$T$150,COLUMN()/2+1,FALSE))),"")</f>
        <v/>
      </c>
      <c r="K105" s="138"/>
      <c r="L105" s="142" t="str">
        <f ca="1">IFERROR(VALUE(IF(VLOOKUP($A105,数出表_Excel!$A$6:$T$150,COLUMN()/2+1,FALSE)=0,"",VLOOKUP($A105,数出表_Excel!$A$6:$T$150,COLUMN()/2+1,FALSE))),"")</f>
        <v/>
      </c>
      <c r="M105" s="138"/>
      <c r="N105" s="138" t="str">
        <f ca="1">IFERROR(VALUE(IF(VLOOKUP($A105,数出表_Excel!$A$6:$T$150,COLUMN()/2+1,FALSE)=0,"",VLOOKUP($A105,数出表_Excel!$A$6:$T$150,COLUMN()/2+1,FALSE))),"")</f>
        <v/>
      </c>
      <c r="O105" s="138"/>
      <c r="P105" s="138" t="str">
        <f ca="1">IFERROR(VALUE(IF(VLOOKUP($A105,数出表_Excel!$A$6:$T$150,COLUMN()/2+1,FALSE)=0,"",VLOOKUP($A105,数出表_Excel!$A$6:$T$150,COLUMN()/2+1,FALSE))),"")</f>
        <v/>
      </c>
      <c r="Q105" s="138"/>
      <c r="R105" s="138" t="str">
        <f ca="1">IFERROR(VALUE(IF(VLOOKUP($A105,数出表_Excel!$A$6:$T$150,COLUMN()/2+1,FALSE)=0,"",VLOOKUP($A105,数出表_Excel!$A$6:$T$150,COLUMN()/2+1,FALSE))),"")</f>
        <v/>
      </c>
      <c r="S105" s="138"/>
      <c r="T105" s="138" t="str">
        <f ca="1">IFERROR(VALUE(IF(VLOOKUP($A105,数出表_Excel!$A$6:$T$150,COLUMN()/2+1,FALSE)=0,"",VLOOKUP($A105,数出表_Excel!$A$6:$T$150,COLUMN()/2+1,FALSE))),"")</f>
        <v/>
      </c>
      <c r="U105" s="138"/>
      <c r="V105" s="142" t="str">
        <f ca="1">IFERROR(VALUE(IF(VLOOKUP($A105,数出表_Excel!$A$6:$T$150,COLUMN()/2+1,FALSE)=0,"",VLOOKUP($A105,数出表_Excel!$A$6:$T$150,COLUMN()/2+1,FALSE))),"")</f>
        <v/>
      </c>
      <c r="W105" s="138"/>
      <c r="X105" s="142" t="str">
        <f ca="1">IFERROR(VALUE(IF(VLOOKUP($A105,数出表_Excel!$A$6:$T$150,COLUMN()/2+1,FALSE)=0,"",VLOOKUP($A105,数出表_Excel!$A$6:$T$150,COLUMN()/2+1,FALSE))),"")</f>
        <v/>
      </c>
      <c r="Y105" s="138"/>
      <c r="Z105" s="142" t="str">
        <f ca="1">IFERROR(VALUE(IF(VLOOKUP($A105,数出表_Excel!$A$6:$T$150,COLUMN()/2+1,FALSE)=0,"",VLOOKUP($A105,数出表_Excel!$A$6:$T$150,COLUMN()/2+1,FALSE))),"")</f>
        <v/>
      </c>
      <c r="AA105" s="176"/>
      <c r="AB105" s="143" t="str">
        <f ca="1">IFERROR(VALUE(IF(VLOOKUP($A105,数出表_Excel!$A$6:$T$150,COLUMN()/2+1,FALSE)=0,"",VLOOKUP($A105,数出表_Excel!$A$6:$T$150,COLUMN()/2+1,FALSE))),"")</f>
        <v/>
      </c>
      <c r="AC105" s="138"/>
      <c r="AD105" s="142" t="str">
        <f ca="1">IFERROR(VALUE(IF(VLOOKUP($A105,数出表_Excel!$A$6:$T$150,COLUMN()/2+1,FALSE)=0,"",VLOOKUP($A105,数出表_Excel!$A$6:$T$150,COLUMN()/2+1,FALSE))),"")</f>
        <v/>
      </c>
      <c r="AE105" s="138"/>
      <c r="AF105" s="142" t="str">
        <f ca="1">IFERROR(VALUE(IF(VLOOKUP($A105,数出表_Excel!$A$6:$T$150,COLUMN()/2+1,FALSE)=0,"",VLOOKUP($A105,数出表_Excel!$A$6:$T$150,COLUMN()/2+1,FALSE))),"")</f>
        <v/>
      </c>
      <c r="AG105" s="138"/>
      <c r="AH105" s="142" t="str">
        <f ca="1">IFERROR(VALUE(IF(VLOOKUP($A105,数出表_Excel!$A$6:$T$150,COLUMN()/2+1,FALSE)=0,"",VLOOKUP($A105,数出表_Excel!$A$6:$T$150,COLUMN()/2+1,FALSE))),"")</f>
        <v/>
      </c>
      <c r="AI105" s="176"/>
      <c r="AJ105" s="143" t="str">
        <f ca="1">IFERROR(VALUE(IF(VLOOKUP($A105,数出表_Excel!$A$6:$T$150,COLUMN()/2+1,FALSE)=0,"",VLOOKUP($A105,数出表_Excel!$A$6:$T$150,COLUMN()/2+1,FALSE))),"")</f>
        <v/>
      </c>
      <c r="AK105" s="138"/>
      <c r="AL105" s="144" t="e">
        <f ca="1">IF(A105&lt;&gt;"",
IF(VLOOKUP($A105,数出表_Excel!$A$6:$T$150,COLUMN()/2+1,FALSE)=0,"",VLOOKUP($A105,数出表_Excel!$A$6:$T$150,COLUMN()/2+1,FALSE)),"")</f>
        <v>#N/A</v>
      </c>
      <c r="AM105" s="224" t="e">
        <f>数出表_Excel!V105</f>
        <v>#N/A</v>
      </c>
      <c r="AN105" s="225" t="e">
        <f>数出表_Excel!W105</f>
        <v>#N/A</v>
      </c>
    </row>
    <row r="106" spans="1:40" ht="16.2" customHeight="1" x14ac:dyDescent="0.45">
      <c r="A106" s="184" t="e">
        <f t="array" aca="1" ref="A106" ca="1">IF(OR(COUNTIF(A104,"*10002*"),COUNTIF(A104,"")),"",INDEX(貼り付け用!$A:$A,MATCH(A104,貼り付け用!$A:$A,0)+2,0))</f>
        <v>#N/A</v>
      </c>
      <c r="B106" s="172" t="str">
        <f ca="1">IFERROR(VALUE(IF(VLOOKUP($A106,数出表_Excel!$A$6:$T$150,COLUMN()/2+1,FALSE)=0,"",VLOOKUP($A106,数出表_Excel!$A$6:$T$150,COLUMN()/2+1,FALSE))),"")</f>
        <v/>
      </c>
      <c r="C106" s="137"/>
      <c r="D106" s="172" t="str">
        <f ca="1">IFERROR(VALUE(IF(VLOOKUP($A106,数出表_Excel!$A$6:$T$150,COLUMN()/2+1,FALSE)=0,"",VLOOKUP($A106,数出表_Excel!$A$6:$T$150,COLUMN()/2+1,FALSE))),"")</f>
        <v/>
      </c>
      <c r="E106" s="137"/>
      <c r="F106" s="174" t="str">
        <f ca="1">IFERROR(VALUE(IF(VLOOKUP($A106,数出表_Excel!$A$6:$T$150,COLUMN()/2+1,FALSE)=0,"",VLOOKUP($A106,数出表_Excel!$A$6:$T$150,COLUMN()/2+1,FALSE))),"")</f>
        <v/>
      </c>
      <c r="G106" s="137"/>
      <c r="H106" s="172" t="str">
        <f ca="1">IFERROR(VALUE(IF(VLOOKUP($A106,数出表_Excel!$A$6:$T$150,COLUMN()/2+1,FALSE)=0,"",VLOOKUP($A106,数出表_Excel!$A$6:$T$150,COLUMN()/2+1,FALSE))),"")</f>
        <v/>
      </c>
      <c r="I106" s="137"/>
      <c r="J106" s="172" t="str">
        <f ca="1">IFERROR(VALUE(IF(VLOOKUP($A106,数出表_Excel!$A$6:$T$150,COLUMN()/2+1,FALSE)=0,"",VLOOKUP($A106,数出表_Excel!$A$6:$T$150,COLUMN()/2+1,FALSE))),"")</f>
        <v/>
      </c>
      <c r="K106" s="137"/>
      <c r="L106" s="174" t="str">
        <f ca="1">IFERROR(VALUE(IF(VLOOKUP($A106,数出表_Excel!$A$6:$T$150,COLUMN()/2+1,FALSE)=0,"",VLOOKUP($A106,数出表_Excel!$A$6:$T$150,COLUMN()/2+1,FALSE))),"")</f>
        <v/>
      </c>
      <c r="M106" s="137"/>
      <c r="N106" s="172" t="str">
        <f ca="1">IFERROR(VALUE(IF(VLOOKUP($A106,数出表_Excel!$A$6:$T$150,COLUMN()/2+1,FALSE)=0,"",VLOOKUP($A106,数出表_Excel!$A$6:$T$150,COLUMN()/2+1,FALSE))),"")</f>
        <v/>
      </c>
      <c r="O106" s="137"/>
      <c r="P106" s="172" t="str">
        <f ca="1">IFERROR(VALUE(IF(VLOOKUP($A106,数出表_Excel!$A$6:$T$150,COLUMN()/2+1,FALSE)=0,"",VLOOKUP($A106,数出表_Excel!$A$6:$T$150,COLUMN()/2+1,FALSE))),"")</f>
        <v/>
      </c>
      <c r="Q106" s="137"/>
      <c r="R106" s="172" t="str">
        <f ca="1">IFERROR(VALUE(IF(VLOOKUP($A106,数出表_Excel!$A$6:$T$150,COLUMN()/2+1,FALSE)=0,"",VLOOKUP($A106,数出表_Excel!$A$6:$T$150,COLUMN()/2+1,FALSE))),"")</f>
        <v/>
      </c>
      <c r="S106" s="137"/>
      <c r="T106" s="172" t="str">
        <f ca="1">IFERROR(VALUE(IF(VLOOKUP($A106,数出表_Excel!$A$6:$T$150,COLUMN()/2+1,FALSE)=0,"",VLOOKUP($A106,数出表_Excel!$A$6:$T$150,COLUMN()/2+1,FALSE))),"")</f>
        <v/>
      </c>
      <c r="U106" s="137"/>
      <c r="V106" s="174" t="str">
        <f ca="1">IFERROR(VALUE(IF(VLOOKUP($A106,数出表_Excel!$A$6:$T$150,COLUMN()/2+1,FALSE)=0,"",VLOOKUP($A106,数出表_Excel!$A$6:$T$150,COLUMN()/2+1,FALSE))),"")</f>
        <v/>
      </c>
      <c r="W106" s="137"/>
      <c r="X106" s="174" t="str">
        <f ca="1">IFERROR(VALUE(IF(VLOOKUP($A106,数出表_Excel!$A$6:$T$150,COLUMN()/2+1,FALSE)=0,"",VLOOKUP($A106,数出表_Excel!$A$6:$T$150,COLUMN()/2+1,FALSE))),"")</f>
        <v/>
      </c>
      <c r="Y106" s="137"/>
      <c r="Z106" s="174" t="str">
        <f ca="1">IFERROR(VALUE(IF(VLOOKUP($A106,数出表_Excel!$A$6:$T$150,COLUMN()/2+1,FALSE)=0,"",VLOOKUP($A106,数出表_Excel!$A$6:$T$150,COLUMN()/2+1,FALSE))),"")</f>
        <v/>
      </c>
      <c r="AA106" s="175"/>
      <c r="AB106" s="173" t="str">
        <f ca="1">IFERROR(VALUE(IF(VLOOKUP($A106,数出表_Excel!$A$6:$T$150,COLUMN()/2+1,FALSE)=0,"",VLOOKUP($A106,数出表_Excel!$A$6:$T$150,COLUMN()/2+1,FALSE))),"")</f>
        <v/>
      </c>
      <c r="AC106" s="137"/>
      <c r="AD106" s="174" t="str">
        <f ca="1">IFERROR(VALUE(IF(VLOOKUP($A106,数出表_Excel!$A$6:$T$150,COLUMN()/2+1,FALSE)=0,"",VLOOKUP($A106,数出表_Excel!$A$6:$T$150,COLUMN()/2+1,FALSE))),"")</f>
        <v/>
      </c>
      <c r="AE106" s="137"/>
      <c r="AF106" s="174" t="str">
        <f ca="1">IFERROR(VALUE(IF(VLOOKUP($A106,数出表_Excel!$A$6:$T$150,COLUMN()/2+1,FALSE)=0,"",VLOOKUP($A106,数出表_Excel!$A$6:$T$150,COLUMN()/2+1,FALSE))),"")</f>
        <v/>
      </c>
      <c r="AG106" s="137"/>
      <c r="AH106" s="174" t="str">
        <f ca="1">IFERROR(VALUE(IF(VLOOKUP($A106,数出表_Excel!$A$6:$T$150,COLUMN()/2+1,FALSE)=0,"",VLOOKUP($A106,数出表_Excel!$A$6:$T$150,COLUMN()/2+1,FALSE))),"")</f>
        <v/>
      </c>
      <c r="AI106" s="175"/>
      <c r="AJ106" s="173" t="str">
        <f ca="1">IFERROR(VALUE(IF(VLOOKUP($A106,数出表_Excel!$A$6:$T$150,COLUMN()/2+1,FALSE)=0,"",VLOOKUP($A106,数出表_Excel!$A$6:$T$150,COLUMN()/2+1,FALSE))),"")</f>
        <v/>
      </c>
      <c r="AK106" s="137"/>
      <c r="AL106" s="141" t="e">
        <f ca="1">IF(A106&lt;&gt;"",
IF(VLOOKUP($A106,数出表_Excel!$A$6:$T$150,COLUMN()/2+1,FALSE)=0,"",VLOOKUP($A106,数出表_Excel!$A$6:$T$150,COLUMN()/2+1,FALSE)),"")</f>
        <v>#N/A</v>
      </c>
      <c r="AM106" s="222" t="e">
        <f>数出表_Excel!V106</f>
        <v>#N/A</v>
      </c>
      <c r="AN106" s="223" t="e">
        <f>数出表_Excel!W106</f>
        <v>#N/A</v>
      </c>
    </row>
    <row r="107" spans="1:40" ht="16.2" customHeight="1" x14ac:dyDescent="0.45">
      <c r="A107" s="185" t="e">
        <f t="array" aca="1" ref="A107" ca="1">IF(OR(COUNTIF(A105,"*1000*"),COUNTIF(A105,"")),"",INDEX(貼り付け用!$A:$A,MATCH(A105,貼り付け用!$A:$A,0)+2,0))</f>
        <v>#N/A</v>
      </c>
      <c r="B107" s="138" t="str">
        <f ca="1">IFERROR(VALUE(IF(VLOOKUP($A107,数出表_Excel!$A$6:$T$150,COLUMN()/2+1,FALSE)=0,"",VLOOKUP($A107,数出表_Excel!$A$6:$T$150,COLUMN()/2+1,FALSE))),"")</f>
        <v/>
      </c>
      <c r="C107" s="138"/>
      <c r="D107" s="138" t="str">
        <f ca="1">IFERROR(VALUE(IF(VLOOKUP($A107,数出表_Excel!$A$6:$T$150,COLUMN()/2+1,FALSE)=0,"",VLOOKUP($A107,数出表_Excel!$A$6:$T$150,COLUMN()/2+1,FALSE))),"")</f>
        <v/>
      </c>
      <c r="E107" s="138"/>
      <c r="F107" s="142" t="str">
        <f ca="1">IFERROR(VALUE(IF(VLOOKUP($A107,数出表_Excel!$A$6:$T$150,COLUMN()/2+1,FALSE)=0,"",VLOOKUP($A107,数出表_Excel!$A$6:$T$150,COLUMN()/2+1,FALSE))),"")</f>
        <v/>
      </c>
      <c r="G107" s="138"/>
      <c r="H107" s="138" t="str">
        <f ca="1">IFERROR(VALUE(IF(VLOOKUP($A107,数出表_Excel!$A$6:$T$150,COLUMN()/2+1,FALSE)=0,"",VLOOKUP($A107,数出表_Excel!$A$6:$T$150,COLUMN()/2+1,FALSE))),"")</f>
        <v/>
      </c>
      <c r="I107" s="138"/>
      <c r="J107" s="138" t="str">
        <f ca="1">IFERROR(VALUE(IF(VLOOKUP($A107,数出表_Excel!$A$6:$T$150,COLUMN()/2+1,FALSE)=0,"",VLOOKUP($A107,数出表_Excel!$A$6:$T$150,COLUMN()/2+1,FALSE))),"")</f>
        <v/>
      </c>
      <c r="K107" s="138"/>
      <c r="L107" s="142" t="str">
        <f ca="1">IFERROR(VALUE(IF(VLOOKUP($A107,数出表_Excel!$A$6:$T$150,COLUMN()/2+1,FALSE)=0,"",VLOOKUP($A107,数出表_Excel!$A$6:$T$150,COLUMN()/2+1,FALSE))),"")</f>
        <v/>
      </c>
      <c r="M107" s="138"/>
      <c r="N107" s="138" t="str">
        <f ca="1">IFERROR(VALUE(IF(VLOOKUP($A107,数出表_Excel!$A$6:$T$150,COLUMN()/2+1,FALSE)=0,"",VLOOKUP($A107,数出表_Excel!$A$6:$T$150,COLUMN()/2+1,FALSE))),"")</f>
        <v/>
      </c>
      <c r="O107" s="138"/>
      <c r="P107" s="138" t="str">
        <f ca="1">IFERROR(VALUE(IF(VLOOKUP($A107,数出表_Excel!$A$6:$T$150,COLUMN()/2+1,FALSE)=0,"",VLOOKUP($A107,数出表_Excel!$A$6:$T$150,COLUMN()/2+1,FALSE))),"")</f>
        <v/>
      </c>
      <c r="Q107" s="138"/>
      <c r="R107" s="138" t="str">
        <f ca="1">IFERROR(VALUE(IF(VLOOKUP($A107,数出表_Excel!$A$6:$T$150,COLUMN()/2+1,FALSE)=0,"",VLOOKUP($A107,数出表_Excel!$A$6:$T$150,COLUMN()/2+1,FALSE))),"")</f>
        <v/>
      </c>
      <c r="S107" s="138"/>
      <c r="T107" s="138" t="str">
        <f ca="1">IFERROR(VALUE(IF(VLOOKUP($A107,数出表_Excel!$A$6:$T$150,COLUMN()/2+1,FALSE)=0,"",VLOOKUP($A107,数出表_Excel!$A$6:$T$150,COLUMN()/2+1,FALSE))),"")</f>
        <v/>
      </c>
      <c r="U107" s="138"/>
      <c r="V107" s="142" t="str">
        <f ca="1">IFERROR(VALUE(IF(VLOOKUP($A107,数出表_Excel!$A$6:$T$150,COLUMN()/2+1,FALSE)=0,"",VLOOKUP($A107,数出表_Excel!$A$6:$T$150,COLUMN()/2+1,FALSE))),"")</f>
        <v/>
      </c>
      <c r="W107" s="138"/>
      <c r="X107" s="142" t="str">
        <f ca="1">IFERROR(VALUE(IF(VLOOKUP($A107,数出表_Excel!$A$6:$T$150,COLUMN()/2+1,FALSE)=0,"",VLOOKUP($A107,数出表_Excel!$A$6:$T$150,COLUMN()/2+1,FALSE))),"")</f>
        <v/>
      </c>
      <c r="Y107" s="138"/>
      <c r="Z107" s="142" t="str">
        <f ca="1">IFERROR(VALUE(IF(VLOOKUP($A107,数出表_Excel!$A$6:$T$150,COLUMN()/2+1,FALSE)=0,"",VLOOKUP($A107,数出表_Excel!$A$6:$T$150,COLUMN()/2+1,FALSE))),"")</f>
        <v/>
      </c>
      <c r="AA107" s="176"/>
      <c r="AB107" s="143" t="str">
        <f ca="1">IFERROR(VALUE(IF(VLOOKUP($A107,数出表_Excel!$A$6:$T$150,COLUMN()/2+1,FALSE)=0,"",VLOOKUP($A107,数出表_Excel!$A$6:$T$150,COLUMN()/2+1,FALSE))),"")</f>
        <v/>
      </c>
      <c r="AC107" s="138"/>
      <c r="AD107" s="142" t="str">
        <f ca="1">IFERROR(VALUE(IF(VLOOKUP($A107,数出表_Excel!$A$6:$T$150,COLUMN()/2+1,FALSE)=0,"",VLOOKUP($A107,数出表_Excel!$A$6:$T$150,COLUMN()/2+1,FALSE))),"")</f>
        <v/>
      </c>
      <c r="AE107" s="138"/>
      <c r="AF107" s="142" t="str">
        <f ca="1">IFERROR(VALUE(IF(VLOOKUP($A107,数出表_Excel!$A$6:$T$150,COLUMN()/2+1,FALSE)=0,"",VLOOKUP($A107,数出表_Excel!$A$6:$T$150,COLUMN()/2+1,FALSE))),"")</f>
        <v/>
      </c>
      <c r="AG107" s="138"/>
      <c r="AH107" s="142" t="str">
        <f ca="1">IFERROR(VALUE(IF(VLOOKUP($A107,数出表_Excel!$A$6:$T$150,COLUMN()/2+1,FALSE)=0,"",VLOOKUP($A107,数出表_Excel!$A$6:$T$150,COLUMN()/2+1,FALSE))),"")</f>
        <v/>
      </c>
      <c r="AI107" s="176"/>
      <c r="AJ107" s="143" t="str">
        <f ca="1">IFERROR(VALUE(IF(VLOOKUP($A107,数出表_Excel!$A$6:$T$150,COLUMN()/2+1,FALSE)=0,"",VLOOKUP($A107,数出表_Excel!$A$6:$T$150,COLUMN()/2+1,FALSE))),"")</f>
        <v/>
      </c>
      <c r="AK107" s="138"/>
      <c r="AL107" s="144" t="e">
        <f ca="1">IF(A107&lt;&gt;"",
IF(VLOOKUP($A107,数出表_Excel!$A$6:$T$150,COLUMN()/2+1,FALSE)=0,"",VLOOKUP($A107,数出表_Excel!$A$6:$T$150,COLUMN()/2+1,FALSE)),"")</f>
        <v>#N/A</v>
      </c>
      <c r="AM107" s="224" t="e">
        <f>数出表_Excel!V107</f>
        <v>#N/A</v>
      </c>
      <c r="AN107" s="225" t="e">
        <f>数出表_Excel!W107</f>
        <v>#N/A</v>
      </c>
    </row>
    <row r="108" spans="1:40" ht="16.2" customHeight="1" x14ac:dyDescent="0.45">
      <c r="A108" s="184" t="e">
        <f t="array" aca="1" ref="A108" ca="1">IF(OR(COUNTIF(A106,"*10002*"),COUNTIF(A106,"")),"",INDEX(貼り付け用!$A:$A,MATCH(A106,貼り付け用!$A:$A,0)+2,0))</f>
        <v>#N/A</v>
      </c>
      <c r="B108" s="172" t="str">
        <f ca="1">IFERROR(VALUE(IF(VLOOKUP($A108,数出表_Excel!$A$6:$T$150,COLUMN()/2+1,FALSE)=0,"",VLOOKUP($A108,数出表_Excel!$A$6:$T$150,COLUMN()/2+1,FALSE))),"")</f>
        <v/>
      </c>
      <c r="C108" s="137"/>
      <c r="D108" s="172" t="str">
        <f ca="1">IFERROR(VALUE(IF(VLOOKUP($A108,数出表_Excel!$A$6:$T$150,COLUMN()/2+1,FALSE)=0,"",VLOOKUP($A108,数出表_Excel!$A$6:$T$150,COLUMN()/2+1,FALSE))),"")</f>
        <v/>
      </c>
      <c r="E108" s="137"/>
      <c r="F108" s="174" t="str">
        <f ca="1">IFERROR(VALUE(IF(VLOOKUP($A108,数出表_Excel!$A$6:$T$150,COLUMN()/2+1,FALSE)=0,"",VLOOKUP($A108,数出表_Excel!$A$6:$T$150,COLUMN()/2+1,FALSE))),"")</f>
        <v/>
      </c>
      <c r="G108" s="137"/>
      <c r="H108" s="172" t="str">
        <f ca="1">IFERROR(VALUE(IF(VLOOKUP($A108,数出表_Excel!$A$6:$T$150,COLUMN()/2+1,FALSE)=0,"",VLOOKUP($A108,数出表_Excel!$A$6:$T$150,COLUMN()/2+1,FALSE))),"")</f>
        <v/>
      </c>
      <c r="I108" s="137"/>
      <c r="J108" s="172" t="str">
        <f ca="1">IFERROR(VALUE(IF(VLOOKUP($A108,数出表_Excel!$A$6:$T$150,COLUMN()/2+1,FALSE)=0,"",VLOOKUP($A108,数出表_Excel!$A$6:$T$150,COLUMN()/2+1,FALSE))),"")</f>
        <v/>
      </c>
      <c r="K108" s="137"/>
      <c r="L108" s="174" t="str">
        <f ca="1">IFERROR(VALUE(IF(VLOOKUP($A108,数出表_Excel!$A$6:$T$150,COLUMN()/2+1,FALSE)=0,"",VLOOKUP($A108,数出表_Excel!$A$6:$T$150,COLUMN()/2+1,FALSE))),"")</f>
        <v/>
      </c>
      <c r="M108" s="137"/>
      <c r="N108" s="172" t="str">
        <f ca="1">IFERROR(VALUE(IF(VLOOKUP($A108,数出表_Excel!$A$6:$T$150,COLUMN()/2+1,FALSE)=0,"",VLOOKUP($A108,数出表_Excel!$A$6:$T$150,COLUMN()/2+1,FALSE))),"")</f>
        <v/>
      </c>
      <c r="O108" s="137"/>
      <c r="P108" s="172" t="str">
        <f ca="1">IFERROR(VALUE(IF(VLOOKUP($A108,数出表_Excel!$A$6:$T$150,COLUMN()/2+1,FALSE)=0,"",VLOOKUP($A108,数出表_Excel!$A$6:$T$150,COLUMN()/2+1,FALSE))),"")</f>
        <v/>
      </c>
      <c r="Q108" s="137"/>
      <c r="R108" s="172" t="str">
        <f ca="1">IFERROR(VALUE(IF(VLOOKUP($A108,数出表_Excel!$A$6:$T$150,COLUMN()/2+1,FALSE)=0,"",VLOOKUP($A108,数出表_Excel!$A$6:$T$150,COLUMN()/2+1,FALSE))),"")</f>
        <v/>
      </c>
      <c r="S108" s="137"/>
      <c r="T108" s="172" t="str">
        <f ca="1">IFERROR(VALUE(IF(VLOOKUP($A108,数出表_Excel!$A$6:$T$150,COLUMN()/2+1,FALSE)=0,"",VLOOKUP($A108,数出表_Excel!$A$6:$T$150,COLUMN()/2+1,FALSE))),"")</f>
        <v/>
      </c>
      <c r="U108" s="137"/>
      <c r="V108" s="174" t="str">
        <f ca="1">IFERROR(VALUE(IF(VLOOKUP($A108,数出表_Excel!$A$6:$T$150,COLUMN()/2+1,FALSE)=0,"",VLOOKUP($A108,数出表_Excel!$A$6:$T$150,COLUMN()/2+1,FALSE))),"")</f>
        <v/>
      </c>
      <c r="W108" s="137"/>
      <c r="X108" s="174" t="str">
        <f ca="1">IFERROR(VALUE(IF(VLOOKUP($A108,数出表_Excel!$A$6:$T$150,COLUMN()/2+1,FALSE)=0,"",VLOOKUP($A108,数出表_Excel!$A$6:$T$150,COLUMN()/2+1,FALSE))),"")</f>
        <v/>
      </c>
      <c r="Y108" s="137"/>
      <c r="Z108" s="174" t="str">
        <f ca="1">IFERROR(VALUE(IF(VLOOKUP($A108,数出表_Excel!$A$6:$T$150,COLUMN()/2+1,FALSE)=0,"",VLOOKUP($A108,数出表_Excel!$A$6:$T$150,COLUMN()/2+1,FALSE))),"")</f>
        <v/>
      </c>
      <c r="AA108" s="175"/>
      <c r="AB108" s="173" t="str">
        <f ca="1">IFERROR(VALUE(IF(VLOOKUP($A108,数出表_Excel!$A$6:$T$150,COLUMN()/2+1,FALSE)=0,"",VLOOKUP($A108,数出表_Excel!$A$6:$T$150,COLUMN()/2+1,FALSE))),"")</f>
        <v/>
      </c>
      <c r="AC108" s="137"/>
      <c r="AD108" s="174" t="str">
        <f ca="1">IFERROR(VALUE(IF(VLOOKUP($A108,数出表_Excel!$A$6:$T$150,COLUMN()/2+1,FALSE)=0,"",VLOOKUP($A108,数出表_Excel!$A$6:$T$150,COLUMN()/2+1,FALSE))),"")</f>
        <v/>
      </c>
      <c r="AE108" s="137"/>
      <c r="AF108" s="174" t="str">
        <f ca="1">IFERROR(VALUE(IF(VLOOKUP($A108,数出表_Excel!$A$6:$T$150,COLUMN()/2+1,FALSE)=0,"",VLOOKUP($A108,数出表_Excel!$A$6:$T$150,COLUMN()/2+1,FALSE))),"")</f>
        <v/>
      </c>
      <c r="AG108" s="137"/>
      <c r="AH108" s="174" t="str">
        <f ca="1">IFERROR(VALUE(IF(VLOOKUP($A108,数出表_Excel!$A$6:$T$150,COLUMN()/2+1,FALSE)=0,"",VLOOKUP($A108,数出表_Excel!$A$6:$T$150,COLUMN()/2+1,FALSE))),"")</f>
        <v/>
      </c>
      <c r="AI108" s="175"/>
      <c r="AJ108" s="173" t="str">
        <f ca="1">IFERROR(VALUE(IF(VLOOKUP($A108,数出表_Excel!$A$6:$T$150,COLUMN()/2+1,FALSE)=0,"",VLOOKUP($A108,数出表_Excel!$A$6:$T$150,COLUMN()/2+1,FALSE))),"")</f>
        <v/>
      </c>
      <c r="AK108" s="137"/>
      <c r="AL108" s="141" t="e">
        <f ca="1">IF(A108&lt;&gt;"",
IF(VLOOKUP($A108,数出表_Excel!$A$6:$T$150,COLUMN()/2+1,FALSE)=0,"",VLOOKUP($A108,数出表_Excel!$A$6:$T$150,COLUMN()/2+1,FALSE)),"")</f>
        <v>#N/A</v>
      </c>
      <c r="AM108" s="222" t="e">
        <f>数出表_Excel!V108</f>
        <v>#N/A</v>
      </c>
      <c r="AN108" s="223" t="e">
        <f>数出表_Excel!W108</f>
        <v>#N/A</v>
      </c>
    </row>
    <row r="109" spans="1:40" ht="16.2" customHeight="1" x14ac:dyDescent="0.45">
      <c r="A109" s="185" t="e">
        <f t="array" aca="1" ref="A109" ca="1">IF(OR(COUNTIF(A107,"*1000*"),COUNTIF(A107,"")),"",INDEX(貼り付け用!$A:$A,MATCH(A107,貼り付け用!$A:$A,0)+2,0))</f>
        <v>#N/A</v>
      </c>
      <c r="B109" s="138" t="str">
        <f ca="1">IFERROR(VALUE(IF(VLOOKUP($A109,数出表_Excel!$A$6:$T$150,COLUMN()/2+1,FALSE)=0,"",VLOOKUP($A109,数出表_Excel!$A$6:$T$150,COLUMN()/2+1,FALSE))),"")</f>
        <v/>
      </c>
      <c r="C109" s="138"/>
      <c r="D109" s="138" t="str">
        <f ca="1">IFERROR(VALUE(IF(VLOOKUP($A109,数出表_Excel!$A$6:$T$150,COLUMN()/2+1,FALSE)=0,"",VLOOKUP($A109,数出表_Excel!$A$6:$T$150,COLUMN()/2+1,FALSE))),"")</f>
        <v/>
      </c>
      <c r="E109" s="138"/>
      <c r="F109" s="142" t="str">
        <f ca="1">IFERROR(VALUE(IF(VLOOKUP($A109,数出表_Excel!$A$6:$T$150,COLUMN()/2+1,FALSE)=0,"",VLOOKUP($A109,数出表_Excel!$A$6:$T$150,COLUMN()/2+1,FALSE))),"")</f>
        <v/>
      </c>
      <c r="G109" s="138"/>
      <c r="H109" s="138" t="str">
        <f ca="1">IFERROR(VALUE(IF(VLOOKUP($A109,数出表_Excel!$A$6:$T$150,COLUMN()/2+1,FALSE)=0,"",VLOOKUP($A109,数出表_Excel!$A$6:$T$150,COLUMN()/2+1,FALSE))),"")</f>
        <v/>
      </c>
      <c r="I109" s="138"/>
      <c r="J109" s="138" t="str">
        <f ca="1">IFERROR(VALUE(IF(VLOOKUP($A109,数出表_Excel!$A$6:$T$150,COLUMN()/2+1,FALSE)=0,"",VLOOKUP($A109,数出表_Excel!$A$6:$T$150,COLUMN()/2+1,FALSE))),"")</f>
        <v/>
      </c>
      <c r="K109" s="138"/>
      <c r="L109" s="142" t="str">
        <f ca="1">IFERROR(VALUE(IF(VLOOKUP($A109,数出表_Excel!$A$6:$T$150,COLUMN()/2+1,FALSE)=0,"",VLOOKUP($A109,数出表_Excel!$A$6:$T$150,COLUMN()/2+1,FALSE))),"")</f>
        <v/>
      </c>
      <c r="M109" s="138"/>
      <c r="N109" s="138" t="str">
        <f ca="1">IFERROR(VALUE(IF(VLOOKUP($A109,数出表_Excel!$A$6:$T$150,COLUMN()/2+1,FALSE)=0,"",VLOOKUP($A109,数出表_Excel!$A$6:$T$150,COLUMN()/2+1,FALSE))),"")</f>
        <v/>
      </c>
      <c r="O109" s="138"/>
      <c r="P109" s="138" t="str">
        <f ca="1">IFERROR(VALUE(IF(VLOOKUP($A109,数出表_Excel!$A$6:$T$150,COLUMN()/2+1,FALSE)=0,"",VLOOKUP($A109,数出表_Excel!$A$6:$T$150,COLUMN()/2+1,FALSE))),"")</f>
        <v/>
      </c>
      <c r="Q109" s="138"/>
      <c r="R109" s="138" t="str">
        <f ca="1">IFERROR(VALUE(IF(VLOOKUP($A109,数出表_Excel!$A$6:$T$150,COLUMN()/2+1,FALSE)=0,"",VLOOKUP($A109,数出表_Excel!$A$6:$T$150,COLUMN()/2+1,FALSE))),"")</f>
        <v/>
      </c>
      <c r="S109" s="138"/>
      <c r="T109" s="138" t="str">
        <f ca="1">IFERROR(VALUE(IF(VLOOKUP($A109,数出表_Excel!$A$6:$T$150,COLUMN()/2+1,FALSE)=0,"",VLOOKUP($A109,数出表_Excel!$A$6:$T$150,COLUMN()/2+1,FALSE))),"")</f>
        <v/>
      </c>
      <c r="U109" s="138"/>
      <c r="V109" s="142" t="str">
        <f ca="1">IFERROR(VALUE(IF(VLOOKUP($A109,数出表_Excel!$A$6:$T$150,COLUMN()/2+1,FALSE)=0,"",VLOOKUP($A109,数出表_Excel!$A$6:$T$150,COLUMN()/2+1,FALSE))),"")</f>
        <v/>
      </c>
      <c r="W109" s="138"/>
      <c r="X109" s="142" t="str">
        <f ca="1">IFERROR(VALUE(IF(VLOOKUP($A109,数出表_Excel!$A$6:$T$150,COLUMN()/2+1,FALSE)=0,"",VLOOKUP($A109,数出表_Excel!$A$6:$T$150,COLUMN()/2+1,FALSE))),"")</f>
        <v/>
      </c>
      <c r="Y109" s="138"/>
      <c r="Z109" s="142" t="str">
        <f ca="1">IFERROR(VALUE(IF(VLOOKUP($A109,数出表_Excel!$A$6:$T$150,COLUMN()/2+1,FALSE)=0,"",VLOOKUP($A109,数出表_Excel!$A$6:$T$150,COLUMN()/2+1,FALSE))),"")</f>
        <v/>
      </c>
      <c r="AA109" s="176"/>
      <c r="AB109" s="143" t="str">
        <f ca="1">IFERROR(VALUE(IF(VLOOKUP($A109,数出表_Excel!$A$6:$T$150,COLUMN()/2+1,FALSE)=0,"",VLOOKUP($A109,数出表_Excel!$A$6:$T$150,COLUMN()/2+1,FALSE))),"")</f>
        <v/>
      </c>
      <c r="AC109" s="138"/>
      <c r="AD109" s="142" t="str">
        <f ca="1">IFERROR(VALUE(IF(VLOOKUP($A109,数出表_Excel!$A$6:$T$150,COLUMN()/2+1,FALSE)=0,"",VLOOKUP($A109,数出表_Excel!$A$6:$T$150,COLUMN()/2+1,FALSE))),"")</f>
        <v/>
      </c>
      <c r="AE109" s="138"/>
      <c r="AF109" s="142" t="str">
        <f ca="1">IFERROR(VALUE(IF(VLOOKUP($A109,数出表_Excel!$A$6:$T$150,COLUMN()/2+1,FALSE)=0,"",VLOOKUP($A109,数出表_Excel!$A$6:$T$150,COLUMN()/2+1,FALSE))),"")</f>
        <v/>
      </c>
      <c r="AG109" s="138"/>
      <c r="AH109" s="142" t="str">
        <f ca="1">IFERROR(VALUE(IF(VLOOKUP($A109,数出表_Excel!$A$6:$T$150,COLUMN()/2+1,FALSE)=0,"",VLOOKUP($A109,数出表_Excel!$A$6:$T$150,COLUMN()/2+1,FALSE))),"")</f>
        <v/>
      </c>
      <c r="AI109" s="176"/>
      <c r="AJ109" s="143" t="str">
        <f ca="1">IFERROR(VALUE(IF(VLOOKUP($A109,数出表_Excel!$A$6:$T$150,COLUMN()/2+1,FALSE)=0,"",VLOOKUP($A109,数出表_Excel!$A$6:$T$150,COLUMN()/2+1,FALSE))),"")</f>
        <v/>
      </c>
      <c r="AK109" s="138"/>
      <c r="AL109" s="144" t="e">
        <f ca="1">IF(A109&lt;&gt;"",
IF(VLOOKUP($A109,数出表_Excel!$A$6:$T$150,COLUMN()/2+1,FALSE)=0,"",VLOOKUP($A109,数出表_Excel!$A$6:$T$150,COLUMN()/2+1,FALSE)),"")</f>
        <v>#N/A</v>
      </c>
      <c r="AM109" s="224" t="e">
        <f>数出表_Excel!V109</f>
        <v>#N/A</v>
      </c>
      <c r="AN109" s="225" t="e">
        <f>数出表_Excel!W109</f>
        <v>#N/A</v>
      </c>
    </row>
    <row r="110" spans="1:40" ht="16.2" customHeight="1" x14ac:dyDescent="0.45">
      <c r="A110" s="184" t="e">
        <f t="array" aca="1" ref="A110" ca="1">IF(OR(COUNTIF(A108,"*10002*"),COUNTIF(A108,"")),"",INDEX(貼り付け用!$A:$A,MATCH(A108,貼り付け用!$A:$A,0)+2,0))</f>
        <v>#N/A</v>
      </c>
      <c r="B110" s="172" t="str">
        <f ca="1">IFERROR(VALUE(IF(VLOOKUP($A110,数出表_Excel!$A$6:$T$150,COLUMN()/2+1,FALSE)=0,"",VLOOKUP($A110,数出表_Excel!$A$6:$T$150,COLUMN()/2+1,FALSE))),"")</f>
        <v/>
      </c>
      <c r="C110" s="137"/>
      <c r="D110" s="172" t="str">
        <f ca="1">IFERROR(VALUE(IF(VLOOKUP($A110,数出表_Excel!$A$6:$T$150,COLUMN()/2+1,FALSE)=0,"",VLOOKUP($A110,数出表_Excel!$A$6:$T$150,COLUMN()/2+1,FALSE))),"")</f>
        <v/>
      </c>
      <c r="E110" s="137"/>
      <c r="F110" s="174" t="str">
        <f ca="1">IFERROR(VALUE(IF(VLOOKUP($A110,数出表_Excel!$A$6:$T$150,COLUMN()/2+1,FALSE)=0,"",VLOOKUP($A110,数出表_Excel!$A$6:$T$150,COLUMN()/2+1,FALSE))),"")</f>
        <v/>
      </c>
      <c r="G110" s="137"/>
      <c r="H110" s="172" t="str">
        <f ca="1">IFERROR(VALUE(IF(VLOOKUP($A110,数出表_Excel!$A$6:$T$150,COLUMN()/2+1,FALSE)=0,"",VLOOKUP($A110,数出表_Excel!$A$6:$T$150,COLUMN()/2+1,FALSE))),"")</f>
        <v/>
      </c>
      <c r="I110" s="137"/>
      <c r="J110" s="172" t="str">
        <f ca="1">IFERROR(VALUE(IF(VLOOKUP($A110,数出表_Excel!$A$6:$T$150,COLUMN()/2+1,FALSE)=0,"",VLOOKUP($A110,数出表_Excel!$A$6:$T$150,COLUMN()/2+1,FALSE))),"")</f>
        <v/>
      </c>
      <c r="K110" s="137"/>
      <c r="L110" s="174" t="str">
        <f ca="1">IFERROR(VALUE(IF(VLOOKUP($A110,数出表_Excel!$A$6:$T$150,COLUMN()/2+1,FALSE)=0,"",VLOOKUP($A110,数出表_Excel!$A$6:$T$150,COLUMN()/2+1,FALSE))),"")</f>
        <v/>
      </c>
      <c r="M110" s="137"/>
      <c r="N110" s="172" t="str">
        <f ca="1">IFERROR(VALUE(IF(VLOOKUP($A110,数出表_Excel!$A$6:$T$150,COLUMN()/2+1,FALSE)=0,"",VLOOKUP($A110,数出表_Excel!$A$6:$T$150,COLUMN()/2+1,FALSE))),"")</f>
        <v/>
      </c>
      <c r="O110" s="137"/>
      <c r="P110" s="172" t="str">
        <f ca="1">IFERROR(VALUE(IF(VLOOKUP($A110,数出表_Excel!$A$6:$T$150,COLUMN()/2+1,FALSE)=0,"",VLOOKUP($A110,数出表_Excel!$A$6:$T$150,COLUMN()/2+1,FALSE))),"")</f>
        <v/>
      </c>
      <c r="Q110" s="137"/>
      <c r="R110" s="172" t="str">
        <f ca="1">IFERROR(VALUE(IF(VLOOKUP($A110,数出表_Excel!$A$6:$T$150,COLUMN()/2+1,FALSE)=0,"",VLOOKUP($A110,数出表_Excel!$A$6:$T$150,COLUMN()/2+1,FALSE))),"")</f>
        <v/>
      </c>
      <c r="S110" s="137"/>
      <c r="T110" s="172" t="str">
        <f ca="1">IFERROR(VALUE(IF(VLOOKUP($A110,数出表_Excel!$A$6:$T$150,COLUMN()/2+1,FALSE)=0,"",VLOOKUP($A110,数出表_Excel!$A$6:$T$150,COLUMN()/2+1,FALSE))),"")</f>
        <v/>
      </c>
      <c r="U110" s="137"/>
      <c r="V110" s="174" t="str">
        <f ca="1">IFERROR(VALUE(IF(VLOOKUP($A110,数出表_Excel!$A$6:$T$150,COLUMN()/2+1,FALSE)=0,"",VLOOKUP($A110,数出表_Excel!$A$6:$T$150,COLUMN()/2+1,FALSE))),"")</f>
        <v/>
      </c>
      <c r="W110" s="137"/>
      <c r="X110" s="174" t="str">
        <f ca="1">IFERROR(VALUE(IF(VLOOKUP($A110,数出表_Excel!$A$6:$T$150,COLUMN()/2+1,FALSE)=0,"",VLOOKUP($A110,数出表_Excel!$A$6:$T$150,COLUMN()/2+1,FALSE))),"")</f>
        <v/>
      </c>
      <c r="Y110" s="137"/>
      <c r="Z110" s="174" t="str">
        <f ca="1">IFERROR(VALUE(IF(VLOOKUP($A110,数出表_Excel!$A$6:$T$150,COLUMN()/2+1,FALSE)=0,"",VLOOKUP($A110,数出表_Excel!$A$6:$T$150,COLUMN()/2+1,FALSE))),"")</f>
        <v/>
      </c>
      <c r="AA110" s="175"/>
      <c r="AB110" s="173" t="str">
        <f ca="1">IFERROR(VALUE(IF(VLOOKUP($A110,数出表_Excel!$A$6:$T$150,COLUMN()/2+1,FALSE)=0,"",VLOOKUP($A110,数出表_Excel!$A$6:$T$150,COLUMN()/2+1,FALSE))),"")</f>
        <v/>
      </c>
      <c r="AC110" s="137"/>
      <c r="AD110" s="174" t="str">
        <f ca="1">IFERROR(VALUE(IF(VLOOKUP($A110,数出表_Excel!$A$6:$T$150,COLUMN()/2+1,FALSE)=0,"",VLOOKUP($A110,数出表_Excel!$A$6:$T$150,COLUMN()/2+1,FALSE))),"")</f>
        <v/>
      </c>
      <c r="AE110" s="137"/>
      <c r="AF110" s="174" t="str">
        <f ca="1">IFERROR(VALUE(IF(VLOOKUP($A110,数出表_Excel!$A$6:$T$150,COLUMN()/2+1,FALSE)=0,"",VLOOKUP($A110,数出表_Excel!$A$6:$T$150,COLUMN()/2+1,FALSE))),"")</f>
        <v/>
      </c>
      <c r="AG110" s="137"/>
      <c r="AH110" s="174" t="str">
        <f ca="1">IFERROR(VALUE(IF(VLOOKUP($A110,数出表_Excel!$A$6:$T$150,COLUMN()/2+1,FALSE)=0,"",VLOOKUP($A110,数出表_Excel!$A$6:$T$150,COLUMN()/2+1,FALSE))),"")</f>
        <v/>
      </c>
      <c r="AI110" s="175"/>
      <c r="AJ110" s="173" t="str">
        <f ca="1">IFERROR(VALUE(IF(VLOOKUP($A110,数出表_Excel!$A$6:$T$150,COLUMN()/2+1,FALSE)=0,"",VLOOKUP($A110,数出表_Excel!$A$6:$T$150,COLUMN()/2+1,FALSE))),"")</f>
        <v/>
      </c>
      <c r="AK110" s="137"/>
      <c r="AL110" s="141" t="e">
        <f ca="1">IF(A110&lt;&gt;"",
IF(VLOOKUP($A110,数出表_Excel!$A$6:$T$150,COLUMN()/2+1,FALSE)=0,"",VLOOKUP($A110,数出表_Excel!$A$6:$T$150,COLUMN()/2+1,FALSE)),"")</f>
        <v>#N/A</v>
      </c>
      <c r="AM110" s="222" t="e">
        <f>数出表_Excel!V110</f>
        <v>#N/A</v>
      </c>
      <c r="AN110" s="223" t="e">
        <f>数出表_Excel!W110</f>
        <v>#N/A</v>
      </c>
    </row>
    <row r="111" spans="1:40" ht="16.2" customHeight="1" x14ac:dyDescent="0.45">
      <c r="A111" s="185" t="e">
        <f t="array" aca="1" ref="A111" ca="1">IF(OR(COUNTIF(A109,"*1000*"),COUNTIF(A109,"")),"",INDEX(貼り付け用!$A:$A,MATCH(A109,貼り付け用!$A:$A,0)+2,0))</f>
        <v>#N/A</v>
      </c>
      <c r="B111" s="138" t="str">
        <f ca="1">IFERROR(VALUE(IF(VLOOKUP($A111,数出表_Excel!$A$6:$T$150,COLUMN()/2+1,FALSE)=0,"",VLOOKUP($A111,数出表_Excel!$A$6:$T$150,COLUMN()/2+1,FALSE))),"")</f>
        <v/>
      </c>
      <c r="C111" s="138"/>
      <c r="D111" s="138" t="str">
        <f ca="1">IFERROR(VALUE(IF(VLOOKUP($A111,数出表_Excel!$A$6:$T$150,COLUMN()/2+1,FALSE)=0,"",VLOOKUP($A111,数出表_Excel!$A$6:$T$150,COLUMN()/2+1,FALSE))),"")</f>
        <v/>
      </c>
      <c r="E111" s="138"/>
      <c r="F111" s="142" t="str">
        <f ca="1">IFERROR(VALUE(IF(VLOOKUP($A111,数出表_Excel!$A$6:$T$150,COLUMN()/2+1,FALSE)=0,"",VLOOKUP($A111,数出表_Excel!$A$6:$T$150,COLUMN()/2+1,FALSE))),"")</f>
        <v/>
      </c>
      <c r="G111" s="138"/>
      <c r="H111" s="138" t="str">
        <f ca="1">IFERROR(VALUE(IF(VLOOKUP($A111,数出表_Excel!$A$6:$T$150,COLUMN()/2+1,FALSE)=0,"",VLOOKUP($A111,数出表_Excel!$A$6:$T$150,COLUMN()/2+1,FALSE))),"")</f>
        <v/>
      </c>
      <c r="I111" s="138"/>
      <c r="J111" s="138" t="str">
        <f ca="1">IFERROR(VALUE(IF(VLOOKUP($A111,数出表_Excel!$A$6:$T$150,COLUMN()/2+1,FALSE)=0,"",VLOOKUP($A111,数出表_Excel!$A$6:$T$150,COLUMN()/2+1,FALSE))),"")</f>
        <v/>
      </c>
      <c r="K111" s="138"/>
      <c r="L111" s="142" t="str">
        <f ca="1">IFERROR(VALUE(IF(VLOOKUP($A111,数出表_Excel!$A$6:$T$150,COLUMN()/2+1,FALSE)=0,"",VLOOKUP($A111,数出表_Excel!$A$6:$T$150,COLUMN()/2+1,FALSE))),"")</f>
        <v/>
      </c>
      <c r="M111" s="138"/>
      <c r="N111" s="138" t="str">
        <f ca="1">IFERROR(VALUE(IF(VLOOKUP($A111,数出表_Excel!$A$6:$T$150,COLUMN()/2+1,FALSE)=0,"",VLOOKUP($A111,数出表_Excel!$A$6:$T$150,COLUMN()/2+1,FALSE))),"")</f>
        <v/>
      </c>
      <c r="O111" s="138"/>
      <c r="P111" s="138" t="str">
        <f ca="1">IFERROR(VALUE(IF(VLOOKUP($A111,数出表_Excel!$A$6:$T$150,COLUMN()/2+1,FALSE)=0,"",VLOOKUP($A111,数出表_Excel!$A$6:$T$150,COLUMN()/2+1,FALSE))),"")</f>
        <v/>
      </c>
      <c r="Q111" s="138"/>
      <c r="R111" s="138" t="str">
        <f ca="1">IFERROR(VALUE(IF(VLOOKUP($A111,数出表_Excel!$A$6:$T$150,COLUMN()/2+1,FALSE)=0,"",VLOOKUP($A111,数出表_Excel!$A$6:$T$150,COLUMN()/2+1,FALSE))),"")</f>
        <v/>
      </c>
      <c r="S111" s="138"/>
      <c r="T111" s="138" t="str">
        <f ca="1">IFERROR(VALUE(IF(VLOOKUP($A111,数出表_Excel!$A$6:$T$150,COLUMN()/2+1,FALSE)=0,"",VLOOKUP($A111,数出表_Excel!$A$6:$T$150,COLUMN()/2+1,FALSE))),"")</f>
        <v/>
      </c>
      <c r="U111" s="138"/>
      <c r="V111" s="142" t="str">
        <f ca="1">IFERROR(VALUE(IF(VLOOKUP($A111,数出表_Excel!$A$6:$T$150,COLUMN()/2+1,FALSE)=0,"",VLOOKUP($A111,数出表_Excel!$A$6:$T$150,COLUMN()/2+1,FALSE))),"")</f>
        <v/>
      </c>
      <c r="W111" s="138"/>
      <c r="X111" s="142" t="str">
        <f ca="1">IFERROR(VALUE(IF(VLOOKUP($A111,数出表_Excel!$A$6:$T$150,COLUMN()/2+1,FALSE)=0,"",VLOOKUP($A111,数出表_Excel!$A$6:$T$150,COLUMN()/2+1,FALSE))),"")</f>
        <v/>
      </c>
      <c r="Y111" s="138"/>
      <c r="Z111" s="142" t="str">
        <f ca="1">IFERROR(VALUE(IF(VLOOKUP($A111,数出表_Excel!$A$6:$T$150,COLUMN()/2+1,FALSE)=0,"",VLOOKUP($A111,数出表_Excel!$A$6:$T$150,COLUMN()/2+1,FALSE))),"")</f>
        <v/>
      </c>
      <c r="AA111" s="176"/>
      <c r="AB111" s="143" t="str">
        <f ca="1">IFERROR(VALUE(IF(VLOOKUP($A111,数出表_Excel!$A$6:$T$150,COLUMN()/2+1,FALSE)=0,"",VLOOKUP($A111,数出表_Excel!$A$6:$T$150,COLUMN()/2+1,FALSE))),"")</f>
        <v/>
      </c>
      <c r="AC111" s="138"/>
      <c r="AD111" s="142" t="str">
        <f ca="1">IFERROR(VALUE(IF(VLOOKUP($A111,数出表_Excel!$A$6:$T$150,COLUMN()/2+1,FALSE)=0,"",VLOOKUP($A111,数出表_Excel!$A$6:$T$150,COLUMN()/2+1,FALSE))),"")</f>
        <v/>
      </c>
      <c r="AE111" s="138"/>
      <c r="AF111" s="142" t="str">
        <f ca="1">IFERROR(VALUE(IF(VLOOKUP($A111,数出表_Excel!$A$6:$T$150,COLUMN()/2+1,FALSE)=0,"",VLOOKUP($A111,数出表_Excel!$A$6:$T$150,COLUMN()/2+1,FALSE))),"")</f>
        <v/>
      </c>
      <c r="AG111" s="138"/>
      <c r="AH111" s="142" t="str">
        <f ca="1">IFERROR(VALUE(IF(VLOOKUP($A111,数出表_Excel!$A$6:$T$150,COLUMN()/2+1,FALSE)=0,"",VLOOKUP($A111,数出表_Excel!$A$6:$T$150,COLUMN()/2+1,FALSE))),"")</f>
        <v/>
      </c>
      <c r="AI111" s="176"/>
      <c r="AJ111" s="143" t="str">
        <f ca="1">IFERROR(VALUE(IF(VLOOKUP($A111,数出表_Excel!$A$6:$T$150,COLUMN()/2+1,FALSE)=0,"",VLOOKUP($A111,数出表_Excel!$A$6:$T$150,COLUMN()/2+1,FALSE))),"")</f>
        <v/>
      </c>
      <c r="AK111" s="138"/>
      <c r="AL111" s="144" t="e">
        <f ca="1">IF(A111&lt;&gt;"",
IF(VLOOKUP($A111,数出表_Excel!$A$6:$T$150,COLUMN()/2+1,FALSE)=0,"",VLOOKUP($A111,数出表_Excel!$A$6:$T$150,COLUMN()/2+1,FALSE)),"")</f>
        <v>#N/A</v>
      </c>
      <c r="AM111" s="224" t="e">
        <f>数出表_Excel!V111</f>
        <v>#N/A</v>
      </c>
      <c r="AN111" s="225" t="e">
        <f>数出表_Excel!W111</f>
        <v>#N/A</v>
      </c>
    </row>
    <row r="112" spans="1:40" ht="16.2" customHeight="1" x14ac:dyDescent="0.45">
      <c r="A112" s="184" t="e">
        <f t="array" aca="1" ref="A112" ca="1">IF(OR(COUNTIF(A110,"*10002*"),COUNTIF(A110,"")),"",INDEX(貼り付け用!$A:$A,MATCH(A110,貼り付け用!$A:$A,0)+2,0))</f>
        <v>#N/A</v>
      </c>
      <c r="B112" s="172" t="str">
        <f ca="1">IFERROR(VALUE(IF(VLOOKUP($A112,数出表_Excel!$A$6:$T$150,COLUMN()/2+1,FALSE)=0,"",VLOOKUP($A112,数出表_Excel!$A$6:$T$150,COLUMN()/2+1,FALSE))),"")</f>
        <v/>
      </c>
      <c r="C112" s="137"/>
      <c r="D112" s="172" t="str">
        <f ca="1">IFERROR(VALUE(IF(VLOOKUP($A112,数出表_Excel!$A$6:$T$150,COLUMN()/2+1,FALSE)=0,"",VLOOKUP($A112,数出表_Excel!$A$6:$T$150,COLUMN()/2+1,FALSE))),"")</f>
        <v/>
      </c>
      <c r="E112" s="137"/>
      <c r="F112" s="174" t="str">
        <f ca="1">IFERROR(VALUE(IF(VLOOKUP($A112,数出表_Excel!$A$6:$T$150,COLUMN()/2+1,FALSE)=0,"",VLOOKUP($A112,数出表_Excel!$A$6:$T$150,COLUMN()/2+1,FALSE))),"")</f>
        <v/>
      </c>
      <c r="G112" s="137"/>
      <c r="H112" s="172" t="str">
        <f ca="1">IFERROR(VALUE(IF(VLOOKUP($A112,数出表_Excel!$A$6:$T$150,COLUMN()/2+1,FALSE)=0,"",VLOOKUP($A112,数出表_Excel!$A$6:$T$150,COLUMN()/2+1,FALSE))),"")</f>
        <v/>
      </c>
      <c r="I112" s="137"/>
      <c r="J112" s="172" t="str">
        <f ca="1">IFERROR(VALUE(IF(VLOOKUP($A112,数出表_Excel!$A$6:$T$150,COLUMN()/2+1,FALSE)=0,"",VLOOKUP($A112,数出表_Excel!$A$6:$T$150,COLUMN()/2+1,FALSE))),"")</f>
        <v/>
      </c>
      <c r="K112" s="137"/>
      <c r="L112" s="174" t="str">
        <f ca="1">IFERROR(VALUE(IF(VLOOKUP($A112,数出表_Excel!$A$6:$T$150,COLUMN()/2+1,FALSE)=0,"",VLOOKUP($A112,数出表_Excel!$A$6:$T$150,COLUMN()/2+1,FALSE))),"")</f>
        <v/>
      </c>
      <c r="M112" s="137"/>
      <c r="N112" s="172" t="str">
        <f ca="1">IFERROR(VALUE(IF(VLOOKUP($A112,数出表_Excel!$A$6:$T$150,COLUMN()/2+1,FALSE)=0,"",VLOOKUP($A112,数出表_Excel!$A$6:$T$150,COLUMN()/2+1,FALSE))),"")</f>
        <v/>
      </c>
      <c r="O112" s="137"/>
      <c r="P112" s="172" t="str">
        <f ca="1">IFERROR(VALUE(IF(VLOOKUP($A112,数出表_Excel!$A$6:$T$150,COLUMN()/2+1,FALSE)=0,"",VLOOKUP($A112,数出表_Excel!$A$6:$T$150,COLUMN()/2+1,FALSE))),"")</f>
        <v/>
      </c>
      <c r="Q112" s="137"/>
      <c r="R112" s="172" t="str">
        <f ca="1">IFERROR(VALUE(IF(VLOOKUP($A112,数出表_Excel!$A$6:$T$150,COLUMN()/2+1,FALSE)=0,"",VLOOKUP($A112,数出表_Excel!$A$6:$T$150,COLUMN()/2+1,FALSE))),"")</f>
        <v/>
      </c>
      <c r="S112" s="137"/>
      <c r="T112" s="172" t="str">
        <f ca="1">IFERROR(VALUE(IF(VLOOKUP($A112,数出表_Excel!$A$6:$T$150,COLUMN()/2+1,FALSE)=0,"",VLOOKUP($A112,数出表_Excel!$A$6:$T$150,COLUMN()/2+1,FALSE))),"")</f>
        <v/>
      </c>
      <c r="U112" s="137"/>
      <c r="V112" s="174" t="str">
        <f ca="1">IFERROR(VALUE(IF(VLOOKUP($A112,数出表_Excel!$A$6:$T$150,COLUMN()/2+1,FALSE)=0,"",VLOOKUP($A112,数出表_Excel!$A$6:$T$150,COLUMN()/2+1,FALSE))),"")</f>
        <v/>
      </c>
      <c r="W112" s="137"/>
      <c r="X112" s="174" t="str">
        <f ca="1">IFERROR(VALUE(IF(VLOOKUP($A112,数出表_Excel!$A$6:$T$150,COLUMN()/2+1,FALSE)=0,"",VLOOKUP($A112,数出表_Excel!$A$6:$T$150,COLUMN()/2+1,FALSE))),"")</f>
        <v/>
      </c>
      <c r="Y112" s="137"/>
      <c r="Z112" s="174" t="str">
        <f ca="1">IFERROR(VALUE(IF(VLOOKUP($A112,数出表_Excel!$A$6:$T$150,COLUMN()/2+1,FALSE)=0,"",VLOOKUP($A112,数出表_Excel!$A$6:$T$150,COLUMN()/2+1,FALSE))),"")</f>
        <v/>
      </c>
      <c r="AA112" s="175"/>
      <c r="AB112" s="173" t="str">
        <f ca="1">IFERROR(VALUE(IF(VLOOKUP($A112,数出表_Excel!$A$6:$T$150,COLUMN()/2+1,FALSE)=0,"",VLOOKUP($A112,数出表_Excel!$A$6:$T$150,COLUMN()/2+1,FALSE))),"")</f>
        <v/>
      </c>
      <c r="AC112" s="137"/>
      <c r="AD112" s="174" t="str">
        <f ca="1">IFERROR(VALUE(IF(VLOOKUP($A112,数出表_Excel!$A$6:$T$150,COLUMN()/2+1,FALSE)=0,"",VLOOKUP($A112,数出表_Excel!$A$6:$T$150,COLUMN()/2+1,FALSE))),"")</f>
        <v/>
      </c>
      <c r="AE112" s="137"/>
      <c r="AF112" s="174" t="str">
        <f ca="1">IFERROR(VALUE(IF(VLOOKUP($A112,数出表_Excel!$A$6:$T$150,COLUMN()/2+1,FALSE)=0,"",VLOOKUP($A112,数出表_Excel!$A$6:$T$150,COLUMN()/2+1,FALSE))),"")</f>
        <v/>
      </c>
      <c r="AG112" s="137"/>
      <c r="AH112" s="174" t="str">
        <f ca="1">IFERROR(VALUE(IF(VLOOKUP($A112,数出表_Excel!$A$6:$T$150,COLUMN()/2+1,FALSE)=0,"",VLOOKUP($A112,数出表_Excel!$A$6:$T$150,COLUMN()/2+1,FALSE))),"")</f>
        <v/>
      </c>
      <c r="AI112" s="175"/>
      <c r="AJ112" s="173" t="str">
        <f ca="1">IFERROR(VALUE(IF(VLOOKUP($A112,数出表_Excel!$A$6:$T$150,COLUMN()/2+1,FALSE)=0,"",VLOOKUP($A112,数出表_Excel!$A$6:$T$150,COLUMN()/2+1,FALSE))),"")</f>
        <v/>
      </c>
      <c r="AK112" s="137"/>
      <c r="AL112" s="141" t="e">
        <f ca="1">IF(A112&lt;&gt;"",
IF(VLOOKUP($A112,数出表_Excel!$A$6:$T$150,COLUMN()/2+1,FALSE)=0,"",VLOOKUP($A112,数出表_Excel!$A$6:$T$150,COLUMN()/2+1,FALSE)),"")</f>
        <v>#N/A</v>
      </c>
      <c r="AM112" s="222" t="e">
        <f>数出表_Excel!V112</f>
        <v>#N/A</v>
      </c>
      <c r="AN112" s="223" t="e">
        <f>数出表_Excel!W112</f>
        <v>#N/A</v>
      </c>
    </row>
    <row r="113" spans="1:40" ht="16.2" customHeight="1" x14ac:dyDescent="0.45">
      <c r="A113" s="185" t="e">
        <f t="array" aca="1" ref="A113" ca="1">IF(OR(COUNTIF(A111,"*1000*"),COUNTIF(A111,"")),"",INDEX(貼り付け用!$A:$A,MATCH(A111,貼り付け用!$A:$A,0)+2,0))</f>
        <v>#N/A</v>
      </c>
      <c r="B113" s="138" t="str">
        <f ca="1">IFERROR(VALUE(IF(VLOOKUP($A113,数出表_Excel!$A$6:$T$150,COLUMN()/2+1,FALSE)=0,"",VLOOKUP($A113,数出表_Excel!$A$6:$T$150,COLUMN()/2+1,FALSE))),"")</f>
        <v/>
      </c>
      <c r="C113" s="138"/>
      <c r="D113" s="138" t="str">
        <f ca="1">IFERROR(VALUE(IF(VLOOKUP($A113,数出表_Excel!$A$6:$T$150,COLUMN()/2+1,FALSE)=0,"",VLOOKUP($A113,数出表_Excel!$A$6:$T$150,COLUMN()/2+1,FALSE))),"")</f>
        <v/>
      </c>
      <c r="E113" s="138"/>
      <c r="F113" s="142" t="str">
        <f ca="1">IFERROR(VALUE(IF(VLOOKUP($A113,数出表_Excel!$A$6:$T$150,COLUMN()/2+1,FALSE)=0,"",VLOOKUP($A113,数出表_Excel!$A$6:$T$150,COLUMN()/2+1,FALSE))),"")</f>
        <v/>
      </c>
      <c r="G113" s="138"/>
      <c r="H113" s="138" t="str">
        <f ca="1">IFERROR(VALUE(IF(VLOOKUP($A113,数出表_Excel!$A$6:$T$150,COLUMN()/2+1,FALSE)=0,"",VLOOKUP($A113,数出表_Excel!$A$6:$T$150,COLUMN()/2+1,FALSE))),"")</f>
        <v/>
      </c>
      <c r="I113" s="138"/>
      <c r="J113" s="138" t="str">
        <f ca="1">IFERROR(VALUE(IF(VLOOKUP($A113,数出表_Excel!$A$6:$T$150,COLUMN()/2+1,FALSE)=0,"",VLOOKUP($A113,数出表_Excel!$A$6:$T$150,COLUMN()/2+1,FALSE))),"")</f>
        <v/>
      </c>
      <c r="K113" s="138"/>
      <c r="L113" s="142" t="str">
        <f ca="1">IFERROR(VALUE(IF(VLOOKUP($A113,数出表_Excel!$A$6:$T$150,COLUMN()/2+1,FALSE)=0,"",VLOOKUP($A113,数出表_Excel!$A$6:$T$150,COLUMN()/2+1,FALSE))),"")</f>
        <v/>
      </c>
      <c r="M113" s="138"/>
      <c r="N113" s="138" t="str">
        <f ca="1">IFERROR(VALUE(IF(VLOOKUP($A113,数出表_Excel!$A$6:$T$150,COLUMN()/2+1,FALSE)=0,"",VLOOKUP($A113,数出表_Excel!$A$6:$T$150,COLUMN()/2+1,FALSE))),"")</f>
        <v/>
      </c>
      <c r="O113" s="138"/>
      <c r="P113" s="138" t="str">
        <f ca="1">IFERROR(VALUE(IF(VLOOKUP($A113,数出表_Excel!$A$6:$T$150,COLUMN()/2+1,FALSE)=0,"",VLOOKUP($A113,数出表_Excel!$A$6:$T$150,COLUMN()/2+1,FALSE))),"")</f>
        <v/>
      </c>
      <c r="Q113" s="138"/>
      <c r="R113" s="138" t="str">
        <f ca="1">IFERROR(VALUE(IF(VLOOKUP($A113,数出表_Excel!$A$6:$T$150,COLUMN()/2+1,FALSE)=0,"",VLOOKUP($A113,数出表_Excel!$A$6:$T$150,COLUMN()/2+1,FALSE))),"")</f>
        <v/>
      </c>
      <c r="S113" s="138"/>
      <c r="T113" s="138" t="str">
        <f ca="1">IFERROR(VALUE(IF(VLOOKUP($A113,数出表_Excel!$A$6:$T$150,COLUMN()/2+1,FALSE)=0,"",VLOOKUP($A113,数出表_Excel!$A$6:$T$150,COLUMN()/2+1,FALSE))),"")</f>
        <v/>
      </c>
      <c r="U113" s="138"/>
      <c r="V113" s="142" t="str">
        <f ca="1">IFERROR(VALUE(IF(VLOOKUP($A113,数出表_Excel!$A$6:$T$150,COLUMN()/2+1,FALSE)=0,"",VLOOKUP($A113,数出表_Excel!$A$6:$T$150,COLUMN()/2+1,FALSE))),"")</f>
        <v/>
      </c>
      <c r="W113" s="138"/>
      <c r="X113" s="142" t="str">
        <f ca="1">IFERROR(VALUE(IF(VLOOKUP($A113,数出表_Excel!$A$6:$T$150,COLUMN()/2+1,FALSE)=0,"",VLOOKUP($A113,数出表_Excel!$A$6:$T$150,COLUMN()/2+1,FALSE))),"")</f>
        <v/>
      </c>
      <c r="Y113" s="138"/>
      <c r="Z113" s="142" t="str">
        <f ca="1">IFERROR(VALUE(IF(VLOOKUP($A113,数出表_Excel!$A$6:$T$150,COLUMN()/2+1,FALSE)=0,"",VLOOKUP($A113,数出表_Excel!$A$6:$T$150,COLUMN()/2+1,FALSE))),"")</f>
        <v/>
      </c>
      <c r="AA113" s="176"/>
      <c r="AB113" s="143" t="str">
        <f ca="1">IFERROR(VALUE(IF(VLOOKUP($A113,数出表_Excel!$A$6:$T$150,COLUMN()/2+1,FALSE)=0,"",VLOOKUP($A113,数出表_Excel!$A$6:$T$150,COLUMN()/2+1,FALSE))),"")</f>
        <v/>
      </c>
      <c r="AC113" s="138"/>
      <c r="AD113" s="142" t="str">
        <f ca="1">IFERROR(VALUE(IF(VLOOKUP($A113,数出表_Excel!$A$6:$T$150,COLUMN()/2+1,FALSE)=0,"",VLOOKUP($A113,数出表_Excel!$A$6:$T$150,COLUMN()/2+1,FALSE))),"")</f>
        <v/>
      </c>
      <c r="AE113" s="138"/>
      <c r="AF113" s="142" t="str">
        <f ca="1">IFERROR(VALUE(IF(VLOOKUP($A113,数出表_Excel!$A$6:$T$150,COLUMN()/2+1,FALSE)=0,"",VLOOKUP($A113,数出表_Excel!$A$6:$T$150,COLUMN()/2+1,FALSE))),"")</f>
        <v/>
      </c>
      <c r="AG113" s="138"/>
      <c r="AH113" s="142" t="str">
        <f ca="1">IFERROR(VALUE(IF(VLOOKUP($A113,数出表_Excel!$A$6:$T$150,COLUMN()/2+1,FALSE)=0,"",VLOOKUP($A113,数出表_Excel!$A$6:$T$150,COLUMN()/2+1,FALSE))),"")</f>
        <v/>
      </c>
      <c r="AI113" s="176"/>
      <c r="AJ113" s="143" t="str">
        <f ca="1">IFERROR(VALUE(IF(VLOOKUP($A113,数出表_Excel!$A$6:$T$150,COLUMN()/2+1,FALSE)=0,"",VLOOKUP($A113,数出表_Excel!$A$6:$T$150,COLUMN()/2+1,FALSE))),"")</f>
        <v/>
      </c>
      <c r="AK113" s="138"/>
      <c r="AL113" s="144" t="e">
        <f ca="1">IF(A113&lt;&gt;"",
IF(VLOOKUP($A113,数出表_Excel!$A$6:$T$150,COLUMN()/2+1,FALSE)=0,"",VLOOKUP($A113,数出表_Excel!$A$6:$T$150,COLUMN()/2+1,FALSE)),"")</f>
        <v>#N/A</v>
      </c>
      <c r="AM113" s="224" t="e">
        <f>数出表_Excel!V113</f>
        <v>#N/A</v>
      </c>
      <c r="AN113" s="225" t="e">
        <f>数出表_Excel!W113</f>
        <v>#N/A</v>
      </c>
    </row>
    <row r="114" spans="1:40" ht="16.2" customHeight="1" x14ac:dyDescent="0.45">
      <c r="A114" s="184" t="e">
        <f t="array" aca="1" ref="A114" ca="1">IF(OR(COUNTIF(A112,"*10002*"),COUNTIF(A112,"")),"",INDEX(貼り付け用!$A:$A,MATCH(A112,貼り付け用!$A:$A,0)+2,0))</f>
        <v>#N/A</v>
      </c>
      <c r="B114" s="172" t="str">
        <f ca="1">IFERROR(VALUE(IF(VLOOKUP($A114,数出表_Excel!$A$6:$T$150,COLUMN()/2+1,FALSE)=0,"",VLOOKUP($A114,数出表_Excel!$A$6:$T$150,COLUMN()/2+1,FALSE))),"")</f>
        <v/>
      </c>
      <c r="C114" s="137"/>
      <c r="D114" s="172" t="str">
        <f ca="1">IFERROR(VALUE(IF(VLOOKUP($A114,数出表_Excel!$A$6:$T$150,COLUMN()/2+1,FALSE)=0,"",VLOOKUP($A114,数出表_Excel!$A$6:$T$150,COLUMN()/2+1,FALSE))),"")</f>
        <v/>
      </c>
      <c r="E114" s="137"/>
      <c r="F114" s="174" t="str">
        <f ca="1">IFERROR(VALUE(IF(VLOOKUP($A114,数出表_Excel!$A$6:$T$150,COLUMN()/2+1,FALSE)=0,"",VLOOKUP($A114,数出表_Excel!$A$6:$T$150,COLUMN()/2+1,FALSE))),"")</f>
        <v/>
      </c>
      <c r="G114" s="137"/>
      <c r="H114" s="172" t="str">
        <f ca="1">IFERROR(VALUE(IF(VLOOKUP($A114,数出表_Excel!$A$6:$T$150,COLUMN()/2+1,FALSE)=0,"",VLOOKUP($A114,数出表_Excel!$A$6:$T$150,COLUMN()/2+1,FALSE))),"")</f>
        <v/>
      </c>
      <c r="I114" s="137"/>
      <c r="J114" s="172" t="str">
        <f ca="1">IFERROR(VALUE(IF(VLOOKUP($A114,数出表_Excel!$A$6:$T$150,COLUMN()/2+1,FALSE)=0,"",VLOOKUP($A114,数出表_Excel!$A$6:$T$150,COLUMN()/2+1,FALSE))),"")</f>
        <v/>
      </c>
      <c r="K114" s="137"/>
      <c r="L114" s="174" t="str">
        <f ca="1">IFERROR(VALUE(IF(VLOOKUP($A114,数出表_Excel!$A$6:$T$150,COLUMN()/2+1,FALSE)=0,"",VLOOKUP($A114,数出表_Excel!$A$6:$T$150,COLUMN()/2+1,FALSE))),"")</f>
        <v/>
      </c>
      <c r="M114" s="137"/>
      <c r="N114" s="172" t="str">
        <f ca="1">IFERROR(VALUE(IF(VLOOKUP($A114,数出表_Excel!$A$6:$T$150,COLUMN()/2+1,FALSE)=0,"",VLOOKUP($A114,数出表_Excel!$A$6:$T$150,COLUMN()/2+1,FALSE))),"")</f>
        <v/>
      </c>
      <c r="O114" s="137"/>
      <c r="P114" s="172" t="str">
        <f ca="1">IFERROR(VALUE(IF(VLOOKUP($A114,数出表_Excel!$A$6:$T$150,COLUMN()/2+1,FALSE)=0,"",VLOOKUP($A114,数出表_Excel!$A$6:$T$150,COLUMN()/2+1,FALSE))),"")</f>
        <v/>
      </c>
      <c r="Q114" s="137"/>
      <c r="R114" s="172" t="str">
        <f ca="1">IFERROR(VALUE(IF(VLOOKUP($A114,数出表_Excel!$A$6:$T$150,COLUMN()/2+1,FALSE)=0,"",VLOOKUP($A114,数出表_Excel!$A$6:$T$150,COLUMN()/2+1,FALSE))),"")</f>
        <v/>
      </c>
      <c r="S114" s="137"/>
      <c r="T114" s="172" t="str">
        <f ca="1">IFERROR(VALUE(IF(VLOOKUP($A114,数出表_Excel!$A$6:$T$150,COLUMN()/2+1,FALSE)=0,"",VLOOKUP($A114,数出表_Excel!$A$6:$T$150,COLUMN()/2+1,FALSE))),"")</f>
        <v/>
      </c>
      <c r="U114" s="137"/>
      <c r="V114" s="174" t="str">
        <f ca="1">IFERROR(VALUE(IF(VLOOKUP($A114,数出表_Excel!$A$6:$T$150,COLUMN()/2+1,FALSE)=0,"",VLOOKUP($A114,数出表_Excel!$A$6:$T$150,COLUMN()/2+1,FALSE))),"")</f>
        <v/>
      </c>
      <c r="W114" s="137"/>
      <c r="X114" s="174" t="str">
        <f ca="1">IFERROR(VALUE(IF(VLOOKUP($A114,数出表_Excel!$A$6:$T$150,COLUMN()/2+1,FALSE)=0,"",VLOOKUP($A114,数出表_Excel!$A$6:$T$150,COLUMN()/2+1,FALSE))),"")</f>
        <v/>
      </c>
      <c r="Y114" s="137"/>
      <c r="Z114" s="174" t="str">
        <f ca="1">IFERROR(VALUE(IF(VLOOKUP($A114,数出表_Excel!$A$6:$T$150,COLUMN()/2+1,FALSE)=0,"",VLOOKUP($A114,数出表_Excel!$A$6:$T$150,COLUMN()/2+1,FALSE))),"")</f>
        <v/>
      </c>
      <c r="AA114" s="175"/>
      <c r="AB114" s="173" t="str">
        <f ca="1">IFERROR(VALUE(IF(VLOOKUP($A114,数出表_Excel!$A$6:$T$150,COLUMN()/2+1,FALSE)=0,"",VLOOKUP($A114,数出表_Excel!$A$6:$T$150,COLUMN()/2+1,FALSE))),"")</f>
        <v/>
      </c>
      <c r="AC114" s="137"/>
      <c r="AD114" s="174" t="str">
        <f ca="1">IFERROR(VALUE(IF(VLOOKUP($A114,数出表_Excel!$A$6:$T$150,COLUMN()/2+1,FALSE)=0,"",VLOOKUP($A114,数出表_Excel!$A$6:$T$150,COLUMN()/2+1,FALSE))),"")</f>
        <v/>
      </c>
      <c r="AE114" s="137"/>
      <c r="AF114" s="174" t="str">
        <f ca="1">IFERROR(VALUE(IF(VLOOKUP($A114,数出表_Excel!$A$6:$T$150,COLUMN()/2+1,FALSE)=0,"",VLOOKUP($A114,数出表_Excel!$A$6:$T$150,COLUMN()/2+1,FALSE))),"")</f>
        <v/>
      </c>
      <c r="AG114" s="137"/>
      <c r="AH114" s="174" t="str">
        <f ca="1">IFERROR(VALUE(IF(VLOOKUP($A114,数出表_Excel!$A$6:$T$150,COLUMN()/2+1,FALSE)=0,"",VLOOKUP($A114,数出表_Excel!$A$6:$T$150,COLUMN()/2+1,FALSE))),"")</f>
        <v/>
      </c>
      <c r="AI114" s="175"/>
      <c r="AJ114" s="173" t="str">
        <f ca="1">IFERROR(VALUE(IF(VLOOKUP($A114,数出表_Excel!$A$6:$T$150,COLUMN()/2+1,FALSE)=0,"",VLOOKUP($A114,数出表_Excel!$A$6:$T$150,COLUMN()/2+1,FALSE))),"")</f>
        <v/>
      </c>
      <c r="AK114" s="137"/>
      <c r="AL114" s="141" t="e">
        <f ca="1">IF(A114&lt;&gt;"",
IF(VLOOKUP($A114,数出表_Excel!$A$6:$T$150,COLUMN()/2+1,FALSE)=0,"",VLOOKUP($A114,数出表_Excel!$A$6:$T$150,COLUMN()/2+1,FALSE)),"")</f>
        <v>#N/A</v>
      </c>
      <c r="AM114" s="222" t="e">
        <f>数出表_Excel!V114</f>
        <v>#N/A</v>
      </c>
      <c r="AN114" s="223" t="e">
        <f>数出表_Excel!W114</f>
        <v>#N/A</v>
      </c>
    </row>
    <row r="115" spans="1:40" ht="16.2" customHeight="1" x14ac:dyDescent="0.45">
      <c r="A115" s="185" t="e">
        <f t="array" aca="1" ref="A115" ca="1">IF(OR(COUNTIF(A113,"*1000*"),COUNTIF(A113,"")),"",INDEX(貼り付け用!$A:$A,MATCH(A113,貼り付け用!$A:$A,0)+2,0))</f>
        <v>#N/A</v>
      </c>
      <c r="B115" s="138" t="str">
        <f ca="1">IFERROR(VALUE(IF(VLOOKUP($A115,数出表_Excel!$A$6:$T$150,COLUMN()/2+1,FALSE)=0,"",VLOOKUP($A115,数出表_Excel!$A$6:$T$150,COLUMN()/2+1,FALSE))),"")</f>
        <v/>
      </c>
      <c r="C115" s="138"/>
      <c r="D115" s="138" t="str">
        <f ca="1">IFERROR(VALUE(IF(VLOOKUP($A115,数出表_Excel!$A$6:$T$150,COLUMN()/2+1,FALSE)=0,"",VLOOKUP($A115,数出表_Excel!$A$6:$T$150,COLUMN()/2+1,FALSE))),"")</f>
        <v/>
      </c>
      <c r="E115" s="138"/>
      <c r="F115" s="142" t="str">
        <f ca="1">IFERROR(VALUE(IF(VLOOKUP($A115,数出表_Excel!$A$6:$T$150,COLUMN()/2+1,FALSE)=0,"",VLOOKUP($A115,数出表_Excel!$A$6:$T$150,COLUMN()/2+1,FALSE))),"")</f>
        <v/>
      </c>
      <c r="G115" s="138"/>
      <c r="H115" s="138" t="str">
        <f ca="1">IFERROR(VALUE(IF(VLOOKUP($A115,数出表_Excel!$A$6:$T$150,COLUMN()/2+1,FALSE)=0,"",VLOOKUP($A115,数出表_Excel!$A$6:$T$150,COLUMN()/2+1,FALSE))),"")</f>
        <v/>
      </c>
      <c r="I115" s="138"/>
      <c r="J115" s="138" t="str">
        <f ca="1">IFERROR(VALUE(IF(VLOOKUP($A115,数出表_Excel!$A$6:$T$150,COLUMN()/2+1,FALSE)=0,"",VLOOKUP($A115,数出表_Excel!$A$6:$T$150,COLUMN()/2+1,FALSE))),"")</f>
        <v/>
      </c>
      <c r="K115" s="138"/>
      <c r="L115" s="142" t="str">
        <f ca="1">IFERROR(VALUE(IF(VLOOKUP($A115,数出表_Excel!$A$6:$T$150,COLUMN()/2+1,FALSE)=0,"",VLOOKUP($A115,数出表_Excel!$A$6:$T$150,COLUMN()/2+1,FALSE))),"")</f>
        <v/>
      </c>
      <c r="M115" s="138"/>
      <c r="N115" s="138" t="str">
        <f ca="1">IFERROR(VALUE(IF(VLOOKUP($A115,数出表_Excel!$A$6:$T$150,COLUMN()/2+1,FALSE)=0,"",VLOOKUP($A115,数出表_Excel!$A$6:$T$150,COLUMN()/2+1,FALSE))),"")</f>
        <v/>
      </c>
      <c r="O115" s="138"/>
      <c r="P115" s="138" t="str">
        <f ca="1">IFERROR(VALUE(IF(VLOOKUP($A115,数出表_Excel!$A$6:$T$150,COLUMN()/2+1,FALSE)=0,"",VLOOKUP($A115,数出表_Excel!$A$6:$T$150,COLUMN()/2+1,FALSE))),"")</f>
        <v/>
      </c>
      <c r="Q115" s="138"/>
      <c r="R115" s="138" t="str">
        <f ca="1">IFERROR(VALUE(IF(VLOOKUP($A115,数出表_Excel!$A$6:$T$150,COLUMN()/2+1,FALSE)=0,"",VLOOKUP($A115,数出表_Excel!$A$6:$T$150,COLUMN()/2+1,FALSE))),"")</f>
        <v/>
      </c>
      <c r="S115" s="138"/>
      <c r="T115" s="138" t="str">
        <f ca="1">IFERROR(VALUE(IF(VLOOKUP($A115,数出表_Excel!$A$6:$T$150,COLUMN()/2+1,FALSE)=0,"",VLOOKUP($A115,数出表_Excel!$A$6:$T$150,COLUMN()/2+1,FALSE))),"")</f>
        <v/>
      </c>
      <c r="U115" s="138"/>
      <c r="V115" s="142" t="str">
        <f ca="1">IFERROR(VALUE(IF(VLOOKUP($A115,数出表_Excel!$A$6:$T$150,COLUMN()/2+1,FALSE)=0,"",VLOOKUP($A115,数出表_Excel!$A$6:$T$150,COLUMN()/2+1,FALSE))),"")</f>
        <v/>
      </c>
      <c r="W115" s="138"/>
      <c r="X115" s="142" t="str">
        <f ca="1">IFERROR(VALUE(IF(VLOOKUP($A115,数出表_Excel!$A$6:$T$150,COLUMN()/2+1,FALSE)=0,"",VLOOKUP($A115,数出表_Excel!$A$6:$T$150,COLUMN()/2+1,FALSE))),"")</f>
        <v/>
      </c>
      <c r="Y115" s="138"/>
      <c r="Z115" s="142" t="str">
        <f ca="1">IFERROR(VALUE(IF(VLOOKUP($A115,数出表_Excel!$A$6:$T$150,COLUMN()/2+1,FALSE)=0,"",VLOOKUP($A115,数出表_Excel!$A$6:$T$150,COLUMN()/2+1,FALSE))),"")</f>
        <v/>
      </c>
      <c r="AA115" s="176"/>
      <c r="AB115" s="143" t="str">
        <f ca="1">IFERROR(VALUE(IF(VLOOKUP($A115,数出表_Excel!$A$6:$T$150,COLUMN()/2+1,FALSE)=0,"",VLOOKUP($A115,数出表_Excel!$A$6:$T$150,COLUMN()/2+1,FALSE))),"")</f>
        <v/>
      </c>
      <c r="AC115" s="138"/>
      <c r="AD115" s="142" t="str">
        <f ca="1">IFERROR(VALUE(IF(VLOOKUP($A115,数出表_Excel!$A$6:$T$150,COLUMN()/2+1,FALSE)=0,"",VLOOKUP($A115,数出表_Excel!$A$6:$T$150,COLUMN()/2+1,FALSE))),"")</f>
        <v/>
      </c>
      <c r="AE115" s="138"/>
      <c r="AF115" s="142" t="str">
        <f ca="1">IFERROR(VALUE(IF(VLOOKUP($A115,数出表_Excel!$A$6:$T$150,COLUMN()/2+1,FALSE)=0,"",VLOOKUP($A115,数出表_Excel!$A$6:$T$150,COLUMN()/2+1,FALSE))),"")</f>
        <v/>
      </c>
      <c r="AG115" s="138"/>
      <c r="AH115" s="142" t="str">
        <f ca="1">IFERROR(VALUE(IF(VLOOKUP($A115,数出表_Excel!$A$6:$T$150,COLUMN()/2+1,FALSE)=0,"",VLOOKUP($A115,数出表_Excel!$A$6:$T$150,COLUMN()/2+1,FALSE))),"")</f>
        <v/>
      </c>
      <c r="AI115" s="176"/>
      <c r="AJ115" s="143" t="str">
        <f ca="1">IFERROR(VALUE(IF(VLOOKUP($A115,数出表_Excel!$A$6:$T$150,COLUMN()/2+1,FALSE)=0,"",VLOOKUP($A115,数出表_Excel!$A$6:$T$150,COLUMN()/2+1,FALSE))),"")</f>
        <v/>
      </c>
      <c r="AK115" s="138"/>
      <c r="AL115" s="144" t="e">
        <f ca="1">IF(A115&lt;&gt;"",
IF(VLOOKUP($A115,数出表_Excel!$A$6:$T$150,COLUMN()/2+1,FALSE)=0,"",VLOOKUP($A115,数出表_Excel!$A$6:$T$150,COLUMN()/2+1,FALSE)),"")</f>
        <v>#N/A</v>
      </c>
      <c r="AM115" s="224" t="e">
        <f>数出表_Excel!V115</f>
        <v>#N/A</v>
      </c>
      <c r="AN115" s="225" t="e">
        <f>数出表_Excel!W115</f>
        <v>#N/A</v>
      </c>
    </row>
    <row r="116" spans="1:40" ht="16.2" customHeight="1" x14ac:dyDescent="0.45">
      <c r="A116" s="184" t="e">
        <f t="array" aca="1" ref="A116" ca="1">IF(OR(COUNTIF(A114,"*10002*"),COUNTIF(A114,"")),"",INDEX(貼り付け用!$A:$A,MATCH(A114,貼り付け用!$A:$A,0)+2,0))</f>
        <v>#N/A</v>
      </c>
      <c r="B116" s="172" t="str">
        <f ca="1">IFERROR(VALUE(IF(VLOOKUP($A116,数出表_Excel!$A$6:$T$150,COLUMN()/2+1,FALSE)=0,"",VLOOKUP($A116,数出表_Excel!$A$6:$T$150,COLUMN()/2+1,FALSE))),"")</f>
        <v/>
      </c>
      <c r="C116" s="137"/>
      <c r="D116" s="172" t="str">
        <f ca="1">IFERROR(VALUE(IF(VLOOKUP($A116,数出表_Excel!$A$6:$T$150,COLUMN()/2+1,FALSE)=0,"",VLOOKUP($A116,数出表_Excel!$A$6:$T$150,COLUMN()/2+1,FALSE))),"")</f>
        <v/>
      </c>
      <c r="E116" s="137"/>
      <c r="F116" s="174" t="str">
        <f ca="1">IFERROR(VALUE(IF(VLOOKUP($A116,数出表_Excel!$A$6:$T$150,COLUMN()/2+1,FALSE)=0,"",VLOOKUP($A116,数出表_Excel!$A$6:$T$150,COLUMN()/2+1,FALSE))),"")</f>
        <v/>
      </c>
      <c r="G116" s="137"/>
      <c r="H116" s="172" t="str">
        <f ca="1">IFERROR(VALUE(IF(VLOOKUP($A116,数出表_Excel!$A$6:$T$150,COLUMN()/2+1,FALSE)=0,"",VLOOKUP($A116,数出表_Excel!$A$6:$T$150,COLUMN()/2+1,FALSE))),"")</f>
        <v/>
      </c>
      <c r="I116" s="137"/>
      <c r="J116" s="172" t="str">
        <f ca="1">IFERROR(VALUE(IF(VLOOKUP($A116,数出表_Excel!$A$6:$T$150,COLUMN()/2+1,FALSE)=0,"",VLOOKUP($A116,数出表_Excel!$A$6:$T$150,COLUMN()/2+1,FALSE))),"")</f>
        <v/>
      </c>
      <c r="K116" s="137"/>
      <c r="L116" s="174" t="str">
        <f ca="1">IFERROR(VALUE(IF(VLOOKUP($A116,数出表_Excel!$A$6:$T$150,COLUMN()/2+1,FALSE)=0,"",VLOOKUP($A116,数出表_Excel!$A$6:$T$150,COLUMN()/2+1,FALSE))),"")</f>
        <v/>
      </c>
      <c r="M116" s="137"/>
      <c r="N116" s="172" t="str">
        <f ca="1">IFERROR(VALUE(IF(VLOOKUP($A116,数出表_Excel!$A$6:$T$150,COLUMN()/2+1,FALSE)=0,"",VLOOKUP($A116,数出表_Excel!$A$6:$T$150,COLUMN()/2+1,FALSE))),"")</f>
        <v/>
      </c>
      <c r="O116" s="137"/>
      <c r="P116" s="172" t="str">
        <f ca="1">IFERROR(VALUE(IF(VLOOKUP($A116,数出表_Excel!$A$6:$T$150,COLUMN()/2+1,FALSE)=0,"",VLOOKUP($A116,数出表_Excel!$A$6:$T$150,COLUMN()/2+1,FALSE))),"")</f>
        <v/>
      </c>
      <c r="Q116" s="137"/>
      <c r="R116" s="172" t="str">
        <f ca="1">IFERROR(VALUE(IF(VLOOKUP($A116,数出表_Excel!$A$6:$T$150,COLUMN()/2+1,FALSE)=0,"",VLOOKUP($A116,数出表_Excel!$A$6:$T$150,COLUMN()/2+1,FALSE))),"")</f>
        <v/>
      </c>
      <c r="S116" s="137"/>
      <c r="T116" s="172" t="str">
        <f ca="1">IFERROR(VALUE(IF(VLOOKUP($A116,数出表_Excel!$A$6:$T$150,COLUMN()/2+1,FALSE)=0,"",VLOOKUP($A116,数出表_Excel!$A$6:$T$150,COLUMN()/2+1,FALSE))),"")</f>
        <v/>
      </c>
      <c r="U116" s="137"/>
      <c r="V116" s="174" t="str">
        <f ca="1">IFERROR(VALUE(IF(VLOOKUP($A116,数出表_Excel!$A$6:$T$150,COLUMN()/2+1,FALSE)=0,"",VLOOKUP($A116,数出表_Excel!$A$6:$T$150,COLUMN()/2+1,FALSE))),"")</f>
        <v/>
      </c>
      <c r="W116" s="137"/>
      <c r="X116" s="174" t="str">
        <f ca="1">IFERROR(VALUE(IF(VLOOKUP($A116,数出表_Excel!$A$6:$T$150,COLUMN()/2+1,FALSE)=0,"",VLOOKUP($A116,数出表_Excel!$A$6:$T$150,COLUMN()/2+1,FALSE))),"")</f>
        <v/>
      </c>
      <c r="Y116" s="137"/>
      <c r="Z116" s="174" t="str">
        <f ca="1">IFERROR(VALUE(IF(VLOOKUP($A116,数出表_Excel!$A$6:$T$150,COLUMN()/2+1,FALSE)=0,"",VLOOKUP($A116,数出表_Excel!$A$6:$T$150,COLUMN()/2+1,FALSE))),"")</f>
        <v/>
      </c>
      <c r="AA116" s="175"/>
      <c r="AB116" s="173" t="str">
        <f ca="1">IFERROR(VALUE(IF(VLOOKUP($A116,数出表_Excel!$A$6:$T$150,COLUMN()/2+1,FALSE)=0,"",VLOOKUP($A116,数出表_Excel!$A$6:$T$150,COLUMN()/2+1,FALSE))),"")</f>
        <v/>
      </c>
      <c r="AC116" s="137"/>
      <c r="AD116" s="174" t="str">
        <f ca="1">IFERROR(VALUE(IF(VLOOKUP($A116,数出表_Excel!$A$6:$T$150,COLUMN()/2+1,FALSE)=0,"",VLOOKUP($A116,数出表_Excel!$A$6:$T$150,COLUMN()/2+1,FALSE))),"")</f>
        <v/>
      </c>
      <c r="AE116" s="137"/>
      <c r="AF116" s="174" t="str">
        <f ca="1">IFERROR(VALUE(IF(VLOOKUP($A116,数出表_Excel!$A$6:$T$150,COLUMN()/2+1,FALSE)=0,"",VLOOKUP($A116,数出表_Excel!$A$6:$T$150,COLUMN()/2+1,FALSE))),"")</f>
        <v/>
      </c>
      <c r="AG116" s="137"/>
      <c r="AH116" s="174" t="str">
        <f ca="1">IFERROR(VALUE(IF(VLOOKUP($A116,数出表_Excel!$A$6:$T$150,COLUMN()/2+1,FALSE)=0,"",VLOOKUP($A116,数出表_Excel!$A$6:$T$150,COLUMN()/2+1,FALSE))),"")</f>
        <v/>
      </c>
      <c r="AI116" s="175"/>
      <c r="AJ116" s="173" t="str">
        <f ca="1">IFERROR(VALUE(IF(VLOOKUP($A116,数出表_Excel!$A$6:$T$150,COLUMN()/2+1,FALSE)=0,"",VLOOKUP($A116,数出表_Excel!$A$6:$T$150,COLUMN()/2+1,FALSE))),"")</f>
        <v/>
      </c>
      <c r="AK116" s="137"/>
      <c r="AL116" s="141" t="e">
        <f ca="1">IF(A116&lt;&gt;"",
IF(VLOOKUP($A116,数出表_Excel!$A$6:$T$150,COLUMN()/2+1,FALSE)=0,"",VLOOKUP($A116,数出表_Excel!$A$6:$T$150,COLUMN()/2+1,FALSE)),"")</f>
        <v>#N/A</v>
      </c>
      <c r="AM116" s="222" t="e">
        <f>数出表_Excel!V116</f>
        <v>#N/A</v>
      </c>
      <c r="AN116" s="223" t="e">
        <f>数出表_Excel!W116</f>
        <v>#N/A</v>
      </c>
    </row>
    <row r="117" spans="1:40" ht="16.2" customHeight="1" x14ac:dyDescent="0.45">
      <c r="A117" s="185" t="e">
        <f t="array" aca="1" ref="A117" ca="1">IF(OR(COUNTIF(A115,"*1000*"),COUNTIF(A115,"")),"",INDEX(貼り付け用!$A:$A,MATCH(A115,貼り付け用!$A:$A,0)+2,0))</f>
        <v>#N/A</v>
      </c>
      <c r="B117" s="138" t="str">
        <f ca="1">IFERROR(VALUE(IF(VLOOKUP($A117,数出表_Excel!$A$6:$T$150,COLUMN()/2+1,FALSE)=0,"",VLOOKUP($A117,数出表_Excel!$A$6:$T$150,COLUMN()/2+1,FALSE))),"")</f>
        <v/>
      </c>
      <c r="C117" s="138"/>
      <c r="D117" s="138" t="str">
        <f ca="1">IFERROR(VALUE(IF(VLOOKUP($A117,数出表_Excel!$A$6:$T$150,COLUMN()/2+1,FALSE)=0,"",VLOOKUP($A117,数出表_Excel!$A$6:$T$150,COLUMN()/2+1,FALSE))),"")</f>
        <v/>
      </c>
      <c r="E117" s="138"/>
      <c r="F117" s="142" t="str">
        <f ca="1">IFERROR(VALUE(IF(VLOOKUP($A117,数出表_Excel!$A$6:$T$150,COLUMN()/2+1,FALSE)=0,"",VLOOKUP($A117,数出表_Excel!$A$6:$T$150,COLUMN()/2+1,FALSE))),"")</f>
        <v/>
      </c>
      <c r="G117" s="138"/>
      <c r="H117" s="138" t="str">
        <f ca="1">IFERROR(VALUE(IF(VLOOKUP($A117,数出表_Excel!$A$6:$T$150,COLUMN()/2+1,FALSE)=0,"",VLOOKUP($A117,数出表_Excel!$A$6:$T$150,COLUMN()/2+1,FALSE))),"")</f>
        <v/>
      </c>
      <c r="I117" s="138"/>
      <c r="J117" s="138" t="str">
        <f ca="1">IFERROR(VALUE(IF(VLOOKUP($A117,数出表_Excel!$A$6:$T$150,COLUMN()/2+1,FALSE)=0,"",VLOOKUP($A117,数出表_Excel!$A$6:$T$150,COLUMN()/2+1,FALSE))),"")</f>
        <v/>
      </c>
      <c r="K117" s="138"/>
      <c r="L117" s="142" t="str">
        <f ca="1">IFERROR(VALUE(IF(VLOOKUP($A117,数出表_Excel!$A$6:$T$150,COLUMN()/2+1,FALSE)=0,"",VLOOKUP($A117,数出表_Excel!$A$6:$T$150,COLUMN()/2+1,FALSE))),"")</f>
        <v/>
      </c>
      <c r="M117" s="138"/>
      <c r="N117" s="138" t="str">
        <f ca="1">IFERROR(VALUE(IF(VLOOKUP($A117,数出表_Excel!$A$6:$T$150,COLUMN()/2+1,FALSE)=0,"",VLOOKUP($A117,数出表_Excel!$A$6:$T$150,COLUMN()/2+1,FALSE))),"")</f>
        <v/>
      </c>
      <c r="O117" s="138"/>
      <c r="P117" s="138" t="str">
        <f ca="1">IFERROR(VALUE(IF(VLOOKUP($A117,数出表_Excel!$A$6:$T$150,COLUMN()/2+1,FALSE)=0,"",VLOOKUP($A117,数出表_Excel!$A$6:$T$150,COLUMN()/2+1,FALSE))),"")</f>
        <v/>
      </c>
      <c r="Q117" s="138"/>
      <c r="R117" s="138" t="str">
        <f ca="1">IFERROR(VALUE(IF(VLOOKUP($A117,数出表_Excel!$A$6:$T$150,COLUMN()/2+1,FALSE)=0,"",VLOOKUP($A117,数出表_Excel!$A$6:$T$150,COLUMN()/2+1,FALSE))),"")</f>
        <v/>
      </c>
      <c r="S117" s="138"/>
      <c r="T117" s="138" t="str">
        <f ca="1">IFERROR(VALUE(IF(VLOOKUP($A117,数出表_Excel!$A$6:$T$150,COLUMN()/2+1,FALSE)=0,"",VLOOKUP($A117,数出表_Excel!$A$6:$T$150,COLUMN()/2+1,FALSE))),"")</f>
        <v/>
      </c>
      <c r="U117" s="138"/>
      <c r="V117" s="142" t="str">
        <f ca="1">IFERROR(VALUE(IF(VLOOKUP($A117,数出表_Excel!$A$6:$T$150,COLUMN()/2+1,FALSE)=0,"",VLOOKUP($A117,数出表_Excel!$A$6:$T$150,COLUMN()/2+1,FALSE))),"")</f>
        <v/>
      </c>
      <c r="W117" s="138"/>
      <c r="X117" s="142" t="str">
        <f ca="1">IFERROR(VALUE(IF(VLOOKUP($A117,数出表_Excel!$A$6:$T$150,COLUMN()/2+1,FALSE)=0,"",VLOOKUP($A117,数出表_Excel!$A$6:$T$150,COLUMN()/2+1,FALSE))),"")</f>
        <v/>
      </c>
      <c r="Y117" s="138"/>
      <c r="Z117" s="142" t="str">
        <f ca="1">IFERROR(VALUE(IF(VLOOKUP($A117,数出表_Excel!$A$6:$T$150,COLUMN()/2+1,FALSE)=0,"",VLOOKUP($A117,数出表_Excel!$A$6:$T$150,COLUMN()/2+1,FALSE))),"")</f>
        <v/>
      </c>
      <c r="AA117" s="176"/>
      <c r="AB117" s="143" t="str">
        <f ca="1">IFERROR(VALUE(IF(VLOOKUP($A117,数出表_Excel!$A$6:$T$150,COLUMN()/2+1,FALSE)=0,"",VLOOKUP($A117,数出表_Excel!$A$6:$T$150,COLUMN()/2+1,FALSE))),"")</f>
        <v/>
      </c>
      <c r="AC117" s="138"/>
      <c r="AD117" s="142" t="str">
        <f ca="1">IFERROR(VALUE(IF(VLOOKUP($A117,数出表_Excel!$A$6:$T$150,COLUMN()/2+1,FALSE)=0,"",VLOOKUP($A117,数出表_Excel!$A$6:$T$150,COLUMN()/2+1,FALSE))),"")</f>
        <v/>
      </c>
      <c r="AE117" s="138"/>
      <c r="AF117" s="142" t="str">
        <f ca="1">IFERROR(VALUE(IF(VLOOKUP($A117,数出表_Excel!$A$6:$T$150,COLUMN()/2+1,FALSE)=0,"",VLOOKUP($A117,数出表_Excel!$A$6:$T$150,COLUMN()/2+1,FALSE))),"")</f>
        <v/>
      </c>
      <c r="AG117" s="138"/>
      <c r="AH117" s="142" t="str">
        <f ca="1">IFERROR(VALUE(IF(VLOOKUP($A117,数出表_Excel!$A$6:$T$150,COLUMN()/2+1,FALSE)=0,"",VLOOKUP($A117,数出表_Excel!$A$6:$T$150,COLUMN()/2+1,FALSE))),"")</f>
        <v/>
      </c>
      <c r="AI117" s="176"/>
      <c r="AJ117" s="143" t="str">
        <f ca="1">IFERROR(VALUE(IF(VLOOKUP($A117,数出表_Excel!$A$6:$T$150,COLUMN()/2+1,FALSE)=0,"",VLOOKUP($A117,数出表_Excel!$A$6:$T$150,COLUMN()/2+1,FALSE))),"")</f>
        <v/>
      </c>
      <c r="AK117" s="138"/>
      <c r="AL117" s="144" t="e">
        <f ca="1">IF(A117&lt;&gt;"",
IF(VLOOKUP($A117,数出表_Excel!$A$6:$T$150,COLUMN()/2+1,FALSE)=0,"",VLOOKUP($A117,数出表_Excel!$A$6:$T$150,COLUMN()/2+1,FALSE)),"")</f>
        <v>#N/A</v>
      </c>
      <c r="AM117" s="224" t="e">
        <f>数出表_Excel!V117</f>
        <v>#N/A</v>
      </c>
      <c r="AN117" s="225" t="e">
        <f>数出表_Excel!W117</f>
        <v>#N/A</v>
      </c>
    </row>
    <row r="118" spans="1:40" ht="16.2" customHeight="1" x14ac:dyDescent="0.45">
      <c r="A118" s="184" t="e">
        <f t="array" aca="1" ref="A118" ca="1">IF(OR(COUNTIF(A116,"*10002*"),COUNTIF(A116,"")),"",INDEX(貼り付け用!$A:$A,MATCH(A116,貼り付け用!$A:$A,0)+2,0))</f>
        <v>#N/A</v>
      </c>
      <c r="B118" s="172" t="str">
        <f ca="1">IFERROR(VALUE(IF(VLOOKUP($A118,数出表_Excel!$A$6:$T$150,COLUMN()/2+1,FALSE)=0,"",VLOOKUP($A118,数出表_Excel!$A$6:$T$150,COLUMN()/2+1,FALSE))),"")</f>
        <v/>
      </c>
      <c r="C118" s="137"/>
      <c r="D118" s="172" t="str">
        <f ca="1">IFERROR(VALUE(IF(VLOOKUP($A118,数出表_Excel!$A$6:$T$150,COLUMN()/2+1,FALSE)=0,"",VLOOKUP($A118,数出表_Excel!$A$6:$T$150,COLUMN()/2+1,FALSE))),"")</f>
        <v/>
      </c>
      <c r="E118" s="137"/>
      <c r="F118" s="174" t="str">
        <f ca="1">IFERROR(VALUE(IF(VLOOKUP($A118,数出表_Excel!$A$6:$T$150,COLUMN()/2+1,FALSE)=0,"",VLOOKUP($A118,数出表_Excel!$A$6:$T$150,COLUMN()/2+1,FALSE))),"")</f>
        <v/>
      </c>
      <c r="G118" s="137"/>
      <c r="H118" s="172" t="str">
        <f ca="1">IFERROR(VALUE(IF(VLOOKUP($A118,数出表_Excel!$A$6:$T$150,COLUMN()/2+1,FALSE)=0,"",VLOOKUP($A118,数出表_Excel!$A$6:$T$150,COLUMN()/2+1,FALSE))),"")</f>
        <v/>
      </c>
      <c r="I118" s="137"/>
      <c r="J118" s="172" t="str">
        <f ca="1">IFERROR(VALUE(IF(VLOOKUP($A118,数出表_Excel!$A$6:$T$150,COLUMN()/2+1,FALSE)=0,"",VLOOKUP($A118,数出表_Excel!$A$6:$T$150,COLUMN()/2+1,FALSE))),"")</f>
        <v/>
      </c>
      <c r="K118" s="137"/>
      <c r="L118" s="174" t="str">
        <f ca="1">IFERROR(VALUE(IF(VLOOKUP($A118,数出表_Excel!$A$6:$T$150,COLUMN()/2+1,FALSE)=0,"",VLOOKUP($A118,数出表_Excel!$A$6:$T$150,COLUMN()/2+1,FALSE))),"")</f>
        <v/>
      </c>
      <c r="M118" s="137"/>
      <c r="N118" s="172" t="str">
        <f ca="1">IFERROR(VALUE(IF(VLOOKUP($A118,数出表_Excel!$A$6:$T$150,COLUMN()/2+1,FALSE)=0,"",VLOOKUP($A118,数出表_Excel!$A$6:$T$150,COLUMN()/2+1,FALSE))),"")</f>
        <v/>
      </c>
      <c r="O118" s="137"/>
      <c r="P118" s="172" t="str">
        <f ca="1">IFERROR(VALUE(IF(VLOOKUP($A118,数出表_Excel!$A$6:$T$150,COLUMN()/2+1,FALSE)=0,"",VLOOKUP($A118,数出表_Excel!$A$6:$T$150,COLUMN()/2+1,FALSE))),"")</f>
        <v/>
      </c>
      <c r="Q118" s="137"/>
      <c r="R118" s="172" t="str">
        <f ca="1">IFERROR(VALUE(IF(VLOOKUP($A118,数出表_Excel!$A$6:$T$150,COLUMN()/2+1,FALSE)=0,"",VLOOKUP($A118,数出表_Excel!$A$6:$T$150,COLUMN()/2+1,FALSE))),"")</f>
        <v/>
      </c>
      <c r="S118" s="137"/>
      <c r="T118" s="172" t="str">
        <f ca="1">IFERROR(VALUE(IF(VLOOKUP($A118,数出表_Excel!$A$6:$T$150,COLUMN()/2+1,FALSE)=0,"",VLOOKUP($A118,数出表_Excel!$A$6:$T$150,COLUMN()/2+1,FALSE))),"")</f>
        <v/>
      </c>
      <c r="U118" s="137"/>
      <c r="V118" s="174" t="str">
        <f ca="1">IFERROR(VALUE(IF(VLOOKUP($A118,数出表_Excel!$A$6:$T$150,COLUMN()/2+1,FALSE)=0,"",VLOOKUP($A118,数出表_Excel!$A$6:$T$150,COLUMN()/2+1,FALSE))),"")</f>
        <v/>
      </c>
      <c r="W118" s="137"/>
      <c r="X118" s="174" t="str">
        <f ca="1">IFERROR(VALUE(IF(VLOOKUP($A118,数出表_Excel!$A$6:$T$150,COLUMN()/2+1,FALSE)=0,"",VLOOKUP($A118,数出表_Excel!$A$6:$T$150,COLUMN()/2+1,FALSE))),"")</f>
        <v/>
      </c>
      <c r="Y118" s="137"/>
      <c r="Z118" s="174" t="str">
        <f ca="1">IFERROR(VALUE(IF(VLOOKUP($A118,数出表_Excel!$A$6:$T$150,COLUMN()/2+1,FALSE)=0,"",VLOOKUP($A118,数出表_Excel!$A$6:$T$150,COLUMN()/2+1,FALSE))),"")</f>
        <v/>
      </c>
      <c r="AA118" s="175"/>
      <c r="AB118" s="173" t="str">
        <f ca="1">IFERROR(VALUE(IF(VLOOKUP($A118,数出表_Excel!$A$6:$T$150,COLUMN()/2+1,FALSE)=0,"",VLOOKUP($A118,数出表_Excel!$A$6:$T$150,COLUMN()/2+1,FALSE))),"")</f>
        <v/>
      </c>
      <c r="AC118" s="137"/>
      <c r="AD118" s="174" t="str">
        <f ca="1">IFERROR(VALUE(IF(VLOOKUP($A118,数出表_Excel!$A$6:$T$150,COLUMN()/2+1,FALSE)=0,"",VLOOKUP($A118,数出表_Excel!$A$6:$T$150,COLUMN()/2+1,FALSE))),"")</f>
        <v/>
      </c>
      <c r="AE118" s="137"/>
      <c r="AF118" s="174" t="str">
        <f ca="1">IFERROR(VALUE(IF(VLOOKUP($A118,数出表_Excel!$A$6:$T$150,COLUMN()/2+1,FALSE)=0,"",VLOOKUP($A118,数出表_Excel!$A$6:$T$150,COLUMN()/2+1,FALSE))),"")</f>
        <v/>
      </c>
      <c r="AG118" s="137"/>
      <c r="AH118" s="174" t="str">
        <f ca="1">IFERROR(VALUE(IF(VLOOKUP($A118,数出表_Excel!$A$6:$T$150,COLUMN()/2+1,FALSE)=0,"",VLOOKUP($A118,数出表_Excel!$A$6:$T$150,COLUMN()/2+1,FALSE))),"")</f>
        <v/>
      </c>
      <c r="AI118" s="175"/>
      <c r="AJ118" s="173" t="str">
        <f ca="1">IFERROR(VALUE(IF(VLOOKUP($A118,数出表_Excel!$A$6:$T$150,COLUMN()/2+1,FALSE)=0,"",VLOOKUP($A118,数出表_Excel!$A$6:$T$150,COLUMN()/2+1,FALSE))),"")</f>
        <v/>
      </c>
      <c r="AK118" s="137"/>
      <c r="AL118" s="141" t="e">
        <f ca="1">IF(A118&lt;&gt;"",
IF(VLOOKUP($A118,数出表_Excel!$A$6:$T$150,COLUMN()/2+1,FALSE)=0,"",VLOOKUP($A118,数出表_Excel!$A$6:$T$150,COLUMN()/2+1,FALSE)),"")</f>
        <v>#N/A</v>
      </c>
      <c r="AM118" s="222" t="e">
        <f>数出表_Excel!V118</f>
        <v>#N/A</v>
      </c>
      <c r="AN118" s="223" t="e">
        <f>数出表_Excel!W118</f>
        <v>#N/A</v>
      </c>
    </row>
    <row r="119" spans="1:40" ht="16.2" customHeight="1" x14ac:dyDescent="0.45">
      <c r="A119" s="185" t="e">
        <f t="array" aca="1" ref="A119" ca="1">IF(OR(COUNTIF(A117,"*1000*"),COUNTIF(A117,"")),"",INDEX(貼り付け用!$A:$A,MATCH(A117,貼り付け用!$A:$A,0)+2,0))</f>
        <v>#N/A</v>
      </c>
      <c r="B119" s="138" t="str">
        <f ca="1">IFERROR(VALUE(IF(VLOOKUP($A119,数出表_Excel!$A$6:$T$150,COLUMN()/2+1,FALSE)=0,"",VLOOKUP($A119,数出表_Excel!$A$6:$T$150,COLUMN()/2+1,FALSE))),"")</f>
        <v/>
      </c>
      <c r="C119" s="138"/>
      <c r="D119" s="138" t="str">
        <f ca="1">IFERROR(VALUE(IF(VLOOKUP($A119,数出表_Excel!$A$6:$T$150,COLUMN()/2+1,FALSE)=0,"",VLOOKUP($A119,数出表_Excel!$A$6:$T$150,COLUMN()/2+1,FALSE))),"")</f>
        <v/>
      </c>
      <c r="E119" s="138"/>
      <c r="F119" s="142" t="str">
        <f ca="1">IFERROR(VALUE(IF(VLOOKUP($A119,数出表_Excel!$A$6:$T$150,COLUMN()/2+1,FALSE)=0,"",VLOOKUP($A119,数出表_Excel!$A$6:$T$150,COLUMN()/2+1,FALSE))),"")</f>
        <v/>
      </c>
      <c r="G119" s="138"/>
      <c r="H119" s="138" t="str">
        <f ca="1">IFERROR(VALUE(IF(VLOOKUP($A119,数出表_Excel!$A$6:$T$150,COLUMN()/2+1,FALSE)=0,"",VLOOKUP($A119,数出表_Excel!$A$6:$T$150,COLUMN()/2+1,FALSE))),"")</f>
        <v/>
      </c>
      <c r="I119" s="138"/>
      <c r="J119" s="138" t="str">
        <f ca="1">IFERROR(VALUE(IF(VLOOKUP($A119,数出表_Excel!$A$6:$T$150,COLUMN()/2+1,FALSE)=0,"",VLOOKUP($A119,数出表_Excel!$A$6:$T$150,COLUMN()/2+1,FALSE))),"")</f>
        <v/>
      </c>
      <c r="K119" s="138"/>
      <c r="L119" s="142" t="str">
        <f ca="1">IFERROR(VALUE(IF(VLOOKUP($A119,数出表_Excel!$A$6:$T$150,COLUMN()/2+1,FALSE)=0,"",VLOOKUP($A119,数出表_Excel!$A$6:$T$150,COLUMN()/2+1,FALSE))),"")</f>
        <v/>
      </c>
      <c r="M119" s="138"/>
      <c r="N119" s="138" t="str">
        <f ca="1">IFERROR(VALUE(IF(VLOOKUP($A119,数出表_Excel!$A$6:$T$150,COLUMN()/2+1,FALSE)=0,"",VLOOKUP($A119,数出表_Excel!$A$6:$T$150,COLUMN()/2+1,FALSE))),"")</f>
        <v/>
      </c>
      <c r="O119" s="138"/>
      <c r="P119" s="138" t="str">
        <f ca="1">IFERROR(VALUE(IF(VLOOKUP($A119,数出表_Excel!$A$6:$T$150,COLUMN()/2+1,FALSE)=0,"",VLOOKUP($A119,数出表_Excel!$A$6:$T$150,COLUMN()/2+1,FALSE))),"")</f>
        <v/>
      </c>
      <c r="Q119" s="138"/>
      <c r="R119" s="138" t="str">
        <f ca="1">IFERROR(VALUE(IF(VLOOKUP($A119,数出表_Excel!$A$6:$T$150,COLUMN()/2+1,FALSE)=0,"",VLOOKUP($A119,数出表_Excel!$A$6:$T$150,COLUMN()/2+1,FALSE))),"")</f>
        <v/>
      </c>
      <c r="S119" s="138"/>
      <c r="T119" s="138" t="str">
        <f ca="1">IFERROR(VALUE(IF(VLOOKUP($A119,数出表_Excel!$A$6:$T$150,COLUMN()/2+1,FALSE)=0,"",VLOOKUP($A119,数出表_Excel!$A$6:$T$150,COLUMN()/2+1,FALSE))),"")</f>
        <v/>
      </c>
      <c r="U119" s="138"/>
      <c r="V119" s="142" t="str">
        <f ca="1">IFERROR(VALUE(IF(VLOOKUP($A119,数出表_Excel!$A$6:$T$150,COLUMN()/2+1,FALSE)=0,"",VLOOKUP($A119,数出表_Excel!$A$6:$T$150,COLUMN()/2+1,FALSE))),"")</f>
        <v/>
      </c>
      <c r="W119" s="138"/>
      <c r="X119" s="142" t="str">
        <f ca="1">IFERROR(VALUE(IF(VLOOKUP($A119,数出表_Excel!$A$6:$T$150,COLUMN()/2+1,FALSE)=0,"",VLOOKUP($A119,数出表_Excel!$A$6:$T$150,COLUMN()/2+1,FALSE))),"")</f>
        <v/>
      </c>
      <c r="Y119" s="138"/>
      <c r="Z119" s="142" t="str">
        <f ca="1">IFERROR(VALUE(IF(VLOOKUP($A119,数出表_Excel!$A$6:$T$150,COLUMN()/2+1,FALSE)=0,"",VLOOKUP($A119,数出表_Excel!$A$6:$T$150,COLUMN()/2+1,FALSE))),"")</f>
        <v/>
      </c>
      <c r="AA119" s="176"/>
      <c r="AB119" s="143" t="str">
        <f ca="1">IFERROR(VALUE(IF(VLOOKUP($A119,数出表_Excel!$A$6:$T$150,COLUMN()/2+1,FALSE)=0,"",VLOOKUP($A119,数出表_Excel!$A$6:$T$150,COLUMN()/2+1,FALSE))),"")</f>
        <v/>
      </c>
      <c r="AC119" s="138"/>
      <c r="AD119" s="142" t="str">
        <f ca="1">IFERROR(VALUE(IF(VLOOKUP($A119,数出表_Excel!$A$6:$T$150,COLUMN()/2+1,FALSE)=0,"",VLOOKUP($A119,数出表_Excel!$A$6:$T$150,COLUMN()/2+1,FALSE))),"")</f>
        <v/>
      </c>
      <c r="AE119" s="138"/>
      <c r="AF119" s="142" t="str">
        <f ca="1">IFERROR(VALUE(IF(VLOOKUP($A119,数出表_Excel!$A$6:$T$150,COLUMN()/2+1,FALSE)=0,"",VLOOKUP($A119,数出表_Excel!$A$6:$T$150,COLUMN()/2+1,FALSE))),"")</f>
        <v/>
      </c>
      <c r="AG119" s="138"/>
      <c r="AH119" s="142" t="str">
        <f ca="1">IFERROR(VALUE(IF(VLOOKUP($A119,数出表_Excel!$A$6:$T$150,COLUMN()/2+1,FALSE)=0,"",VLOOKUP($A119,数出表_Excel!$A$6:$T$150,COLUMN()/2+1,FALSE))),"")</f>
        <v/>
      </c>
      <c r="AI119" s="176"/>
      <c r="AJ119" s="143" t="str">
        <f ca="1">IFERROR(VALUE(IF(VLOOKUP($A119,数出表_Excel!$A$6:$T$150,COLUMN()/2+1,FALSE)=0,"",VLOOKUP($A119,数出表_Excel!$A$6:$T$150,COLUMN()/2+1,FALSE))),"")</f>
        <v/>
      </c>
      <c r="AK119" s="138"/>
      <c r="AL119" s="144" t="e">
        <f ca="1">IF(A119&lt;&gt;"",
IF(VLOOKUP($A119,数出表_Excel!$A$6:$T$150,COLUMN()/2+1,FALSE)=0,"",VLOOKUP($A119,数出表_Excel!$A$6:$T$150,COLUMN()/2+1,FALSE)),"")</f>
        <v>#N/A</v>
      </c>
      <c r="AM119" s="224" t="e">
        <f>数出表_Excel!V119</f>
        <v>#N/A</v>
      </c>
      <c r="AN119" s="225" t="e">
        <f>数出表_Excel!W119</f>
        <v>#N/A</v>
      </c>
    </row>
    <row r="120" spans="1:40" ht="16.2" customHeight="1" x14ac:dyDescent="0.45">
      <c r="A120" s="184" t="e">
        <f t="array" aca="1" ref="A120" ca="1">IF(OR(COUNTIF(A118,"*10002*"),COUNTIF(A118,"")),"",INDEX(貼り付け用!$A:$A,MATCH(A118,貼り付け用!$A:$A,0)+2,0))</f>
        <v>#N/A</v>
      </c>
      <c r="B120" s="172" t="str">
        <f ca="1">IFERROR(VALUE(IF(VLOOKUP($A120,数出表_Excel!$A$6:$T$150,COLUMN()/2+1,FALSE)=0,"",VLOOKUP($A120,数出表_Excel!$A$6:$T$150,COLUMN()/2+1,FALSE))),"")</f>
        <v/>
      </c>
      <c r="C120" s="137"/>
      <c r="D120" s="172" t="str">
        <f ca="1">IFERROR(VALUE(IF(VLOOKUP($A120,数出表_Excel!$A$6:$T$150,COLUMN()/2+1,FALSE)=0,"",VLOOKUP($A120,数出表_Excel!$A$6:$T$150,COLUMN()/2+1,FALSE))),"")</f>
        <v/>
      </c>
      <c r="E120" s="137"/>
      <c r="F120" s="174" t="str">
        <f ca="1">IFERROR(VALUE(IF(VLOOKUP($A120,数出表_Excel!$A$6:$T$150,COLUMN()/2+1,FALSE)=0,"",VLOOKUP($A120,数出表_Excel!$A$6:$T$150,COLUMN()/2+1,FALSE))),"")</f>
        <v/>
      </c>
      <c r="G120" s="137"/>
      <c r="H120" s="172" t="str">
        <f ca="1">IFERROR(VALUE(IF(VLOOKUP($A120,数出表_Excel!$A$6:$T$150,COLUMN()/2+1,FALSE)=0,"",VLOOKUP($A120,数出表_Excel!$A$6:$T$150,COLUMN()/2+1,FALSE))),"")</f>
        <v/>
      </c>
      <c r="I120" s="137"/>
      <c r="J120" s="172" t="str">
        <f ca="1">IFERROR(VALUE(IF(VLOOKUP($A120,数出表_Excel!$A$6:$T$150,COLUMN()/2+1,FALSE)=0,"",VLOOKUP($A120,数出表_Excel!$A$6:$T$150,COLUMN()/2+1,FALSE))),"")</f>
        <v/>
      </c>
      <c r="K120" s="137"/>
      <c r="L120" s="174" t="str">
        <f ca="1">IFERROR(VALUE(IF(VLOOKUP($A120,数出表_Excel!$A$6:$T$150,COLUMN()/2+1,FALSE)=0,"",VLOOKUP($A120,数出表_Excel!$A$6:$T$150,COLUMN()/2+1,FALSE))),"")</f>
        <v/>
      </c>
      <c r="M120" s="137"/>
      <c r="N120" s="172" t="str">
        <f ca="1">IFERROR(VALUE(IF(VLOOKUP($A120,数出表_Excel!$A$6:$T$150,COLUMN()/2+1,FALSE)=0,"",VLOOKUP($A120,数出表_Excel!$A$6:$T$150,COLUMN()/2+1,FALSE))),"")</f>
        <v/>
      </c>
      <c r="O120" s="137"/>
      <c r="P120" s="172" t="str">
        <f ca="1">IFERROR(VALUE(IF(VLOOKUP($A120,数出表_Excel!$A$6:$T$150,COLUMN()/2+1,FALSE)=0,"",VLOOKUP($A120,数出表_Excel!$A$6:$T$150,COLUMN()/2+1,FALSE))),"")</f>
        <v/>
      </c>
      <c r="Q120" s="137"/>
      <c r="R120" s="172" t="str">
        <f ca="1">IFERROR(VALUE(IF(VLOOKUP($A120,数出表_Excel!$A$6:$T$150,COLUMN()/2+1,FALSE)=0,"",VLOOKUP($A120,数出表_Excel!$A$6:$T$150,COLUMN()/2+1,FALSE))),"")</f>
        <v/>
      </c>
      <c r="S120" s="137"/>
      <c r="T120" s="172" t="str">
        <f ca="1">IFERROR(VALUE(IF(VLOOKUP($A120,数出表_Excel!$A$6:$T$150,COLUMN()/2+1,FALSE)=0,"",VLOOKUP($A120,数出表_Excel!$A$6:$T$150,COLUMN()/2+1,FALSE))),"")</f>
        <v/>
      </c>
      <c r="U120" s="137"/>
      <c r="V120" s="174" t="str">
        <f ca="1">IFERROR(VALUE(IF(VLOOKUP($A120,数出表_Excel!$A$6:$T$150,COLUMN()/2+1,FALSE)=0,"",VLOOKUP($A120,数出表_Excel!$A$6:$T$150,COLUMN()/2+1,FALSE))),"")</f>
        <v/>
      </c>
      <c r="W120" s="137"/>
      <c r="X120" s="174" t="str">
        <f ca="1">IFERROR(VALUE(IF(VLOOKUP($A120,数出表_Excel!$A$6:$T$150,COLUMN()/2+1,FALSE)=0,"",VLOOKUP($A120,数出表_Excel!$A$6:$T$150,COLUMN()/2+1,FALSE))),"")</f>
        <v/>
      </c>
      <c r="Y120" s="137"/>
      <c r="Z120" s="174" t="str">
        <f ca="1">IFERROR(VALUE(IF(VLOOKUP($A120,数出表_Excel!$A$6:$T$150,COLUMN()/2+1,FALSE)=0,"",VLOOKUP($A120,数出表_Excel!$A$6:$T$150,COLUMN()/2+1,FALSE))),"")</f>
        <v/>
      </c>
      <c r="AA120" s="175"/>
      <c r="AB120" s="173" t="str">
        <f ca="1">IFERROR(VALUE(IF(VLOOKUP($A120,数出表_Excel!$A$6:$T$150,COLUMN()/2+1,FALSE)=0,"",VLOOKUP($A120,数出表_Excel!$A$6:$T$150,COLUMN()/2+1,FALSE))),"")</f>
        <v/>
      </c>
      <c r="AC120" s="137"/>
      <c r="AD120" s="174" t="str">
        <f ca="1">IFERROR(VALUE(IF(VLOOKUP($A120,数出表_Excel!$A$6:$T$150,COLUMN()/2+1,FALSE)=0,"",VLOOKUP($A120,数出表_Excel!$A$6:$T$150,COLUMN()/2+1,FALSE))),"")</f>
        <v/>
      </c>
      <c r="AE120" s="137"/>
      <c r="AF120" s="174" t="str">
        <f ca="1">IFERROR(VALUE(IF(VLOOKUP($A120,数出表_Excel!$A$6:$T$150,COLUMN()/2+1,FALSE)=0,"",VLOOKUP($A120,数出表_Excel!$A$6:$T$150,COLUMN()/2+1,FALSE))),"")</f>
        <v/>
      </c>
      <c r="AG120" s="137"/>
      <c r="AH120" s="174" t="str">
        <f ca="1">IFERROR(VALUE(IF(VLOOKUP($A120,数出表_Excel!$A$6:$T$150,COLUMN()/2+1,FALSE)=0,"",VLOOKUP($A120,数出表_Excel!$A$6:$T$150,COLUMN()/2+1,FALSE))),"")</f>
        <v/>
      </c>
      <c r="AI120" s="175"/>
      <c r="AJ120" s="173" t="str">
        <f ca="1">IFERROR(VALUE(IF(VLOOKUP($A120,数出表_Excel!$A$6:$T$150,COLUMN()/2+1,FALSE)=0,"",VLOOKUP($A120,数出表_Excel!$A$6:$T$150,COLUMN()/2+1,FALSE))),"")</f>
        <v/>
      </c>
      <c r="AK120" s="137"/>
      <c r="AL120" s="141" t="e">
        <f ca="1">IF(A120&lt;&gt;"",
IF(VLOOKUP($A120,数出表_Excel!$A$6:$T$150,COLUMN()/2+1,FALSE)=0,"",VLOOKUP($A120,数出表_Excel!$A$6:$T$150,COLUMN()/2+1,FALSE)),"")</f>
        <v>#N/A</v>
      </c>
      <c r="AM120" s="222" t="e">
        <f>数出表_Excel!V120</f>
        <v>#N/A</v>
      </c>
      <c r="AN120" s="223" t="e">
        <f>数出表_Excel!W120</f>
        <v>#N/A</v>
      </c>
    </row>
    <row r="121" spans="1:40" ht="16.2" customHeight="1" x14ac:dyDescent="0.45">
      <c r="A121" s="185" t="e">
        <f t="array" aca="1" ref="A121" ca="1">IF(OR(COUNTIF(A119,"*1000*"),COUNTIF(A119,"")),"",INDEX(貼り付け用!$A:$A,MATCH(A119,貼り付け用!$A:$A,0)+2,0))</f>
        <v>#N/A</v>
      </c>
      <c r="B121" s="138" t="str">
        <f ca="1">IFERROR(VALUE(IF(VLOOKUP($A121,数出表_Excel!$A$6:$T$150,COLUMN()/2+1,FALSE)=0,"",VLOOKUP($A121,数出表_Excel!$A$6:$T$150,COLUMN()/2+1,FALSE))),"")</f>
        <v/>
      </c>
      <c r="C121" s="138"/>
      <c r="D121" s="138" t="str">
        <f ca="1">IFERROR(VALUE(IF(VLOOKUP($A121,数出表_Excel!$A$6:$T$150,COLUMN()/2+1,FALSE)=0,"",VLOOKUP($A121,数出表_Excel!$A$6:$T$150,COLUMN()/2+1,FALSE))),"")</f>
        <v/>
      </c>
      <c r="E121" s="138"/>
      <c r="F121" s="142" t="str">
        <f ca="1">IFERROR(VALUE(IF(VLOOKUP($A121,数出表_Excel!$A$6:$T$150,COLUMN()/2+1,FALSE)=0,"",VLOOKUP($A121,数出表_Excel!$A$6:$T$150,COLUMN()/2+1,FALSE))),"")</f>
        <v/>
      </c>
      <c r="G121" s="138"/>
      <c r="H121" s="138" t="str">
        <f ca="1">IFERROR(VALUE(IF(VLOOKUP($A121,数出表_Excel!$A$6:$T$150,COLUMN()/2+1,FALSE)=0,"",VLOOKUP($A121,数出表_Excel!$A$6:$T$150,COLUMN()/2+1,FALSE))),"")</f>
        <v/>
      </c>
      <c r="I121" s="138"/>
      <c r="J121" s="138" t="str">
        <f ca="1">IFERROR(VALUE(IF(VLOOKUP($A121,数出表_Excel!$A$6:$T$150,COLUMN()/2+1,FALSE)=0,"",VLOOKUP($A121,数出表_Excel!$A$6:$T$150,COLUMN()/2+1,FALSE))),"")</f>
        <v/>
      </c>
      <c r="K121" s="138"/>
      <c r="L121" s="142" t="str">
        <f ca="1">IFERROR(VALUE(IF(VLOOKUP($A121,数出表_Excel!$A$6:$T$150,COLUMN()/2+1,FALSE)=0,"",VLOOKUP($A121,数出表_Excel!$A$6:$T$150,COLUMN()/2+1,FALSE))),"")</f>
        <v/>
      </c>
      <c r="M121" s="138"/>
      <c r="N121" s="138" t="str">
        <f ca="1">IFERROR(VALUE(IF(VLOOKUP($A121,数出表_Excel!$A$6:$T$150,COLUMN()/2+1,FALSE)=0,"",VLOOKUP($A121,数出表_Excel!$A$6:$T$150,COLUMN()/2+1,FALSE))),"")</f>
        <v/>
      </c>
      <c r="O121" s="138"/>
      <c r="P121" s="138" t="str">
        <f ca="1">IFERROR(VALUE(IF(VLOOKUP($A121,数出表_Excel!$A$6:$T$150,COLUMN()/2+1,FALSE)=0,"",VLOOKUP($A121,数出表_Excel!$A$6:$T$150,COLUMN()/2+1,FALSE))),"")</f>
        <v/>
      </c>
      <c r="Q121" s="138"/>
      <c r="R121" s="138" t="str">
        <f ca="1">IFERROR(VALUE(IF(VLOOKUP($A121,数出表_Excel!$A$6:$T$150,COLUMN()/2+1,FALSE)=0,"",VLOOKUP($A121,数出表_Excel!$A$6:$T$150,COLUMN()/2+1,FALSE))),"")</f>
        <v/>
      </c>
      <c r="S121" s="138"/>
      <c r="T121" s="138" t="str">
        <f ca="1">IFERROR(VALUE(IF(VLOOKUP($A121,数出表_Excel!$A$6:$T$150,COLUMN()/2+1,FALSE)=0,"",VLOOKUP($A121,数出表_Excel!$A$6:$T$150,COLUMN()/2+1,FALSE))),"")</f>
        <v/>
      </c>
      <c r="U121" s="138"/>
      <c r="V121" s="142" t="str">
        <f ca="1">IFERROR(VALUE(IF(VLOOKUP($A121,数出表_Excel!$A$6:$T$150,COLUMN()/2+1,FALSE)=0,"",VLOOKUP($A121,数出表_Excel!$A$6:$T$150,COLUMN()/2+1,FALSE))),"")</f>
        <v/>
      </c>
      <c r="W121" s="138"/>
      <c r="X121" s="142" t="str">
        <f ca="1">IFERROR(VALUE(IF(VLOOKUP($A121,数出表_Excel!$A$6:$T$150,COLUMN()/2+1,FALSE)=0,"",VLOOKUP($A121,数出表_Excel!$A$6:$T$150,COLUMN()/2+1,FALSE))),"")</f>
        <v/>
      </c>
      <c r="Y121" s="138"/>
      <c r="Z121" s="142" t="str">
        <f ca="1">IFERROR(VALUE(IF(VLOOKUP($A121,数出表_Excel!$A$6:$T$150,COLUMN()/2+1,FALSE)=0,"",VLOOKUP($A121,数出表_Excel!$A$6:$T$150,COLUMN()/2+1,FALSE))),"")</f>
        <v/>
      </c>
      <c r="AA121" s="176"/>
      <c r="AB121" s="143" t="str">
        <f ca="1">IFERROR(VALUE(IF(VLOOKUP($A121,数出表_Excel!$A$6:$T$150,COLUMN()/2+1,FALSE)=0,"",VLOOKUP($A121,数出表_Excel!$A$6:$T$150,COLUMN()/2+1,FALSE))),"")</f>
        <v/>
      </c>
      <c r="AC121" s="138"/>
      <c r="AD121" s="142" t="str">
        <f ca="1">IFERROR(VALUE(IF(VLOOKUP($A121,数出表_Excel!$A$6:$T$150,COLUMN()/2+1,FALSE)=0,"",VLOOKUP($A121,数出表_Excel!$A$6:$T$150,COLUMN()/2+1,FALSE))),"")</f>
        <v/>
      </c>
      <c r="AE121" s="138"/>
      <c r="AF121" s="142" t="str">
        <f ca="1">IFERROR(VALUE(IF(VLOOKUP($A121,数出表_Excel!$A$6:$T$150,COLUMN()/2+1,FALSE)=0,"",VLOOKUP($A121,数出表_Excel!$A$6:$T$150,COLUMN()/2+1,FALSE))),"")</f>
        <v/>
      </c>
      <c r="AG121" s="138"/>
      <c r="AH121" s="142" t="str">
        <f ca="1">IFERROR(VALUE(IF(VLOOKUP($A121,数出表_Excel!$A$6:$T$150,COLUMN()/2+1,FALSE)=0,"",VLOOKUP($A121,数出表_Excel!$A$6:$T$150,COLUMN()/2+1,FALSE))),"")</f>
        <v/>
      </c>
      <c r="AI121" s="176"/>
      <c r="AJ121" s="143" t="str">
        <f ca="1">IFERROR(VALUE(IF(VLOOKUP($A121,数出表_Excel!$A$6:$T$150,COLUMN()/2+1,FALSE)=0,"",VLOOKUP($A121,数出表_Excel!$A$6:$T$150,COLUMN()/2+1,FALSE))),"")</f>
        <v/>
      </c>
      <c r="AK121" s="138"/>
      <c r="AL121" s="144" t="e">
        <f ca="1">IF(A121&lt;&gt;"",
IF(VLOOKUP($A121,数出表_Excel!$A$6:$T$150,COLUMN()/2+1,FALSE)=0,"",VLOOKUP($A121,数出表_Excel!$A$6:$T$150,COLUMN()/2+1,FALSE)),"")</f>
        <v>#N/A</v>
      </c>
      <c r="AM121" s="224" t="e">
        <f>数出表_Excel!V121</f>
        <v>#N/A</v>
      </c>
      <c r="AN121" s="225" t="e">
        <f>数出表_Excel!W121</f>
        <v>#N/A</v>
      </c>
    </row>
    <row r="122" spans="1:40" ht="16.2" customHeight="1" x14ac:dyDescent="0.45">
      <c r="A122" s="184" t="e">
        <f t="array" aca="1" ref="A122" ca="1">IF(OR(COUNTIF(A120,"*10002*"),COUNTIF(A120,"")),"",INDEX(貼り付け用!$A:$A,MATCH(A120,貼り付け用!$A:$A,0)+2,0))</f>
        <v>#N/A</v>
      </c>
      <c r="B122" s="172" t="str">
        <f ca="1">IFERROR(VALUE(IF(VLOOKUP($A122,数出表_Excel!$A$6:$T$150,COLUMN()/2+1,FALSE)=0,"",VLOOKUP($A122,数出表_Excel!$A$6:$T$150,COLUMN()/2+1,FALSE))),"")</f>
        <v/>
      </c>
      <c r="C122" s="137"/>
      <c r="D122" s="172" t="str">
        <f ca="1">IFERROR(VALUE(IF(VLOOKUP($A122,数出表_Excel!$A$6:$T$150,COLUMN()/2+1,FALSE)=0,"",VLOOKUP($A122,数出表_Excel!$A$6:$T$150,COLUMN()/2+1,FALSE))),"")</f>
        <v/>
      </c>
      <c r="E122" s="137"/>
      <c r="F122" s="174" t="str">
        <f ca="1">IFERROR(VALUE(IF(VLOOKUP($A122,数出表_Excel!$A$6:$T$150,COLUMN()/2+1,FALSE)=0,"",VLOOKUP($A122,数出表_Excel!$A$6:$T$150,COLUMN()/2+1,FALSE))),"")</f>
        <v/>
      </c>
      <c r="G122" s="137"/>
      <c r="H122" s="172" t="str">
        <f ca="1">IFERROR(VALUE(IF(VLOOKUP($A122,数出表_Excel!$A$6:$T$150,COLUMN()/2+1,FALSE)=0,"",VLOOKUP($A122,数出表_Excel!$A$6:$T$150,COLUMN()/2+1,FALSE))),"")</f>
        <v/>
      </c>
      <c r="I122" s="137"/>
      <c r="J122" s="172" t="str">
        <f ca="1">IFERROR(VALUE(IF(VLOOKUP($A122,数出表_Excel!$A$6:$T$150,COLUMN()/2+1,FALSE)=0,"",VLOOKUP($A122,数出表_Excel!$A$6:$T$150,COLUMN()/2+1,FALSE))),"")</f>
        <v/>
      </c>
      <c r="K122" s="137"/>
      <c r="L122" s="174" t="str">
        <f ca="1">IFERROR(VALUE(IF(VLOOKUP($A122,数出表_Excel!$A$6:$T$150,COLUMN()/2+1,FALSE)=0,"",VLOOKUP($A122,数出表_Excel!$A$6:$T$150,COLUMN()/2+1,FALSE))),"")</f>
        <v/>
      </c>
      <c r="M122" s="137"/>
      <c r="N122" s="172" t="str">
        <f ca="1">IFERROR(VALUE(IF(VLOOKUP($A122,数出表_Excel!$A$6:$T$150,COLUMN()/2+1,FALSE)=0,"",VLOOKUP($A122,数出表_Excel!$A$6:$T$150,COLUMN()/2+1,FALSE))),"")</f>
        <v/>
      </c>
      <c r="O122" s="137"/>
      <c r="P122" s="172" t="str">
        <f ca="1">IFERROR(VALUE(IF(VLOOKUP($A122,数出表_Excel!$A$6:$T$150,COLUMN()/2+1,FALSE)=0,"",VLOOKUP($A122,数出表_Excel!$A$6:$T$150,COLUMN()/2+1,FALSE))),"")</f>
        <v/>
      </c>
      <c r="Q122" s="137"/>
      <c r="R122" s="172" t="str">
        <f ca="1">IFERROR(VALUE(IF(VLOOKUP($A122,数出表_Excel!$A$6:$T$150,COLUMN()/2+1,FALSE)=0,"",VLOOKUP($A122,数出表_Excel!$A$6:$T$150,COLUMN()/2+1,FALSE))),"")</f>
        <v/>
      </c>
      <c r="S122" s="137"/>
      <c r="T122" s="172" t="str">
        <f ca="1">IFERROR(VALUE(IF(VLOOKUP($A122,数出表_Excel!$A$6:$T$150,COLUMN()/2+1,FALSE)=0,"",VLOOKUP($A122,数出表_Excel!$A$6:$T$150,COLUMN()/2+1,FALSE))),"")</f>
        <v/>
      </c>
      <c r="U122" s="137"/>
      <c r="V122" s="174" t="str">
        <f ca="1">IFERROR(VALUE(IF(VLOOKUP($A122,数出表_Excel!$A$6:$T$150,COLUMN()/2+1,FALSE)=0,"",VLOOKUP($A122,数出表_Excel!$A$6:$T$150,COLUMN()/2+1,FALSE))),"")</f>
        <v/>
      </c>
      <c r="W122" s="137"/>
      <c r="X122" s="174" t="str">
        <f ca="1">IFERROR(VALUE(IF(VLOOKUP($A122,数出表_Excel!$A$6:$T$150,COLUMN()/2+1,FALSE)=0,"",VLOOKUP($A122,数出表_Excel!$A$6:$T$150,COLUMN()/2+1,FALSE))),"")</f>
        <v/>
      </c>
      <c r="Y122" s="137"/>
      <c r="Z122" s="174" t="str">
        <f ca="1">IFERROR(VALUE(IF(VLOOKUP($A122,数出表_Excel!$A$6:$T$150,COLUMN()/2+1,FALSE)=0,"",VLOOKUP($A122,数出表_Excel!$A$6:$T$150,COLUMN()/2+1,FALSE))),"")</f>
        <v/>
      </c>
      <c r="AA122" s="175"/>
      <c r="AB122" s="173" t="str">
        <f ca="1">IFERROR(VALUE(IF(VLOOKUP($A122,数出表_Excel!$A$6:$T$150,COLUMN()/2+1,FALSE)=0,"",VLOOKUP($A122,数出表_Excel!$A$6:$T$150,COLUMN()/2+1,FALSE))),"")</f>
        <v/>
      </c>
      <c r="AC122" s="137"/>
      <c r="AD122" s="174" t="str">
        <f ca="1">IFERROR(VALUE(IF(VLOOKUP($A122,数出表_Excel!$A$6:$T$150,COLUMN()/2+1,FALSE)=0,"",VLOOKUP($A122,数出表_Excel!$A$6:$T$150,COLUMN()/2+1,FALSE))),"")</f>
        <v/>
      </c>
      <c r="AE122" s="137"/>
      <c r="AF122" s="174" t="str">
        <f ca="1">IFERROR(VALUE(IF(VLOOKUP($A122,数出表_Excel!$A$6:$T$150,COLUMN()/2+1,FALSE)=0,"",VLOOKUP($A122,数出表_Excel!$A$6:$T$150,COLUMN()/2+1,FALSE))),"")</f>
        <v/>
      </c>
      <c r="AG122" s="137"/>
      <c r="AH122" s="174" t="str">
        <f ca="1">IFERROR(VALUE(IF(VLOOKUP($A122,数出表_Excel!$A$6:$T$150,COLUMN()/2+1,FALSE)=0,"",VLOOKUP($A122,数出表_Excel!$A$6:$T$150,COLUMN()/2+1,FALSE))),"")</f>
        <v/>
      </c>
      <c r="AI122" s="175"/>
      <c r="AJ122" s="173" t="str">
        <f ca="1">IFERROR(VALUE(IF(VLOOKUP($A122,数出表_Excel!$A$6:$T$150,COLUMN()/2+1,FALSE)=0,"",VLOOKUP($A122,数出表_Excel!$A$6:$T$150,COLUMN()/2+1,FALSE))),"")</f>
        <v/>
      </c>
      <c r="AK122" s="137"/>
      <c r="AL122" s="141" t="e">
        <f ca="1">IF(A122&lt;&gt;"",
IF(VLOOKUP($A122,数出表_Excel!$A$6:$T$150,COLUMN()/2+1,FALSE)=0,"",VLOOKUP($A122,数出表_Excel!$A$6:$T$150,COLUMN()/2+1,FALSE)),"")</f>
        <v>#N/A</v>
      </c>
      <c r="AM122" s="222" t="e">
        <f>数出表_Excel!V122</f>
        <v>#N/A</v>
      </c>
      <c r="AN122" s="223" t="e">
        <f>数出表_Excel!W122</f>
        <v>#N/A</v>
      </c>
    </row>
    <row r="123" spans="1:40" ht="16.2" customHeight="1" x14ac:dyDescent="0.45">
      <c r="A123" s="185" t="e">
        <f t="array" aca="1" ref="A123" ca="1">IF(OR(COUNTIF(A121,"*1000*"),COUNTIF(A121,"")),"",INDEX(貼り付け用!$A:$A,MATCH(A121,貼り付け用!$A:$A,0)+2,0))</f>
        <v>#N/A</v>
      </c>
      <c r="B123" s="138" t="str">
        <f ca="1">IFERROR(VALUE(IF(VLOOKUP($A123,数出表_Excel!$A$6:$T$150,COLUMN()/2+1,FALSE)=0,"",VLOOKUP($A123,数出表_Excel!$A$6:$T$150,COLUMN()/2+1,FALSE))),"")</f>
        <v/>
      </c>
      <c r="C123" s="138"/>
      <c r="D123" s="138" t="str">
        <f ca="1">IFERROR(VALUE(IF(VLOOKUP($A123,数出表_Excel!$A$6:$T$150,COLUMN()/2+1,FALSE)=0,"",VLOOKUP($A123,数出表_Excel!$A$6:$T$150,COLUMN()/2+1,FALSE))),"")</f>
        <v/>
      </c>
      <c r="E123" s="138"/>
      <c r="F123" s="142" t="str">
        <f ca="1">IFERROR(VALUE(IF(VLOOKUP($A123,数出表_Excel!$A$6:$T$150,COLUMN()/2+1,FALSE)=0,"",VLOOKUP($A123,数出表_Excel!$A$6:$T$150,COLUMN()/2+1,FALSE))),"")</f>
        <v/>
      </c>
      <c r="G123" s="138"/>
      <c r="H123" s="138" t="str">
        <f ca="1">IFERROR(VALUE(IF(VLOOKUP($A123,数出表_Excel!$A$6:$T$150,COLUMN()/2+1,FALSE)=0,"",VLOOKUP($A123,数出表_Excel!$A$6:$T$150,COLUMN()/2+1,FALSE))),"")</f>
        <v/>
      </c>
      <c r="I123" s="138"/>
      <c r="J123" s="138" t="str">
        <f ca="1">IFERROR(VALUE(IF(VLOOKUP($A123,数出表_Excel!$A$6:$T$150,COLUMN()/2+1,FALSE)=0,"",VLOOKUP($A123,数出表_Excel!$A$6:$T$150,COLUMN()/2+1,FALSE))),"")</f>
        <v/>
      </c>
      <c r="K123" s="138"/>
      <c r="L123" s="142" t="str">
        <f ca="1">IFERROR(VALUE(IF(VLOOKUP($A123,数出表_Excel!$A$6:$T$150,COLUMN()/2+1,FALSE)=0,"",VLOOKUP($A123,数出表_Excel!$A$6:$T$150,COLUMN()/2+1,FALSE))),"")</f>
        <v/>
      </c>
      <c r="M123" s="138"/>
      <c r="N123" s="138" t="str">
        <f ca="1">IFERROR(VALUE(IF(VLOOKUP($A123,数出表_Excel!$A$6:$T$150,COLUMN()/2+1,FALSE)=0,"",VLOOKUP($A123,数出表_Excel!$A$6:$T$150,COLUMN()/2+1,FALSE))),"")</f>
        <v/>
      </c>
      <c r="O123" s="138"/>
      <c r="P123" s="138" t="str">
        <f ca="1">IFERROR(VALUE(IF(VLOOKUP($A123,数出表_Excel!$A$6:$T$150,COLUMN()/2+1,FALSE)=0,"",VLOOKUP($A123,数出表_Excel!$A$6:$T$150,COLUMN()/2+1,FALSE))),"")</f>
        <v/>
      </c>
      <c r="Q123" s="138"/>
      <c r="R123" s="138" t="str">
        <f ca="1">IFERROR(VALUE(IF(VLOOKUP($A123,数出表_Excel!$A$6:$T$150,COLUMN()/2+1,FALSE)=0,"",VLOOKUP($A123,数出表_Excel!$A$6:$T$150,COLUMN()/2+1,FALSE))),"")</f>
        <v/>
      </c>
      <c r="S123" s="138"/>
      <c r="T123" s="138" t="str">
        <f ca="1">IFERROR(VALUE(IF(VLOOKUP($A123,数出表_Excel!$A$6:$T$150,COLUMN()/2+1,FALSE)=0,"",VLOOKUP($A123,数出表_Excel!$A$6:$T$150,COLUMN()/2+1,FALSE))),"")</f>
        <v/>
      </c>
      <c r="U123" s="138"/>
      <c r="V123" s="142" t="str">
        <f ca="1">IFERROR(VALUE(IF(VLOOKUP($A123,数出表_Excel!$A$6:$T$150,COLUMN()/2+1,FALSE)=0,"",VLOOKUP($A123,数出表_Excel!$A$6:$T$150,COLUMN()/2+1,FALSE))),"")</f>
        <v/>
      </c>
      <c r="W123" s="138"/>
      <c r="X123" s="142" t="str">
        <f ca="1">IFERROR(VALUE(IF(VLOOKUP($A123,数出表_Excel!$A$6:$T$150,COLUMN()/2+1,FALSE)=0,"",VLOOKUP($A123,数出表_Excel!$A$6:$T$150,COLUMN()/2+1,FALSE))),"")</f>
        <v/>
      </c>
      <c r="Y123" s="138"/>
      <c r="Z123" s="142" t="str">
        <f ca="1">IFERROR(VALUE(IF(VLOOKUP($A123,数出表_Excel!$A$6:$T$150,COLUMN()/2+1,FALSE)=0,"",VLOOKUP($A123,数出表_Excel!$A$6:$T$150,COLUMN()/2+1,FALSE))),"")</f>
        <v/>
      </c>
      <c r="AA123" s="176"/>
      <c r="AB123" s="143" t="str">
        <f ca="1">IFERROR(VALUE(IF(VLOOKUP($A123,数出表_Excel!$A$6:$T$150,COLUMN()/2+1,FALSE)=0,"",VLOOKUP($A123,数出表_Excel!$A$6:$T$150,COLUMN()/2+1,FALSE))),"")</f>
        <v/>
      </c>
      <c r="AC123" s="138"/>
      <c r="AD123" s="142" t="str">
        <f ca="1">IFERROR(VALUE(IF(VLOOKUP($A123,数出表_Excel!$A$6:$T$150,COLUMN()/2+1,FALSE)=0,"",VLOOKUP($A123,数出表_Excel!$A$6:$T$150,COLUMN()/2+1,FALSE))),"")</f>
        <v/>
      </c>
      <c r="AE123" s="138"/>
      <c r="AF123" s="142" t="str">
        <f ca="1">IFERROR(VALUE(IF(VLOOKUP($A123,数出表_Excel!$A$6:$T$150,COLUMN()/2+1,FALSE)=0,"",VLOOKUP($A123,数出表_Excel!$A$6:$T$150,COLUMN()/2+1,FALSE))),"")</f>
        <v/>
      </c>
      <c r="AG123" s="138"/>
      <c r="AH123" s="142" t="str">
        <f ca="1">IFERROR(VALUE(IF(VLOOKUP($A123,数出表_Excel!$A$6:$T$150,COLUMN()/2+1,FALSE)=0,"",VLOOKUP($A123,数出表_Excel!$A$6:$T$150,COLUMN()/2+1,FALSE))),"")</f>
        <v/>
      </c>
      <c r="AI123" s="176"/>
      <c r="AJ123" s="143" t="str">
        <f ca="1">IFERROR(VALUE(IF(VLOOKUP($A123,数出表_Excel!$A$6:$T$150,COLUMN()/2+1,FALSE)=0,"",VLOOKUP($A123,数出表_Excel!$A$6:$T$150,COLUMN()/2+1,FALSE))),"")</f>
        <v/>
      </c>
      <c r="AK123" s="138"/>
      <c r="AL123" s="144" t="e">
        <f ca="1">IF(A123&lt;&gt;"",
IF(VLOOKUP($A123,数出表_Excel!$A$6:$T$150,COLUMN()/2+1,FALSE)=0,"",VLOOKUP($A123,数出表_Excel!$A$6:$T$150,COLUMN()/2+1,FALSE)),"")</f>
        <v>#N/A</v>
      </c>
      <c r="AM123" s="224" t="e">
        <f>数出表_Excel!V123</f>
        <v>#N/A</v>
      </c>
      <c r="AN123" s="225" t="e">
        <f>数出表_Excel!W123</f>
        <v>#N/A</v>
      </c>
    </row>
    <row r="124" spans="1:40" ht="16.2" customHeight="1" x14ac:dyDescent="0.45">
      <c r="A124" s="184" t="e">
        <f t="array" aca="1" ref="A124" ca="1">IF(OR(COUNTIF(A122,"*10002*"),COUNTIF(A122,"")),"",INDEX(貼り付け用!$A:$A,MATCH(A122,貼り付け用!$A:$A,0)+2,0))</f>
        <v>#N/A</v>
      </c>
      <c r="B124" s="172" t="str">
        <f ca="1">IFERROR(VALUE(IF(VLOOKUP($A124,数出表_Excel!$A$6:$T$150,COLUMN()/2+1,FALSE)=0,"",VLOOKUP($A124,数出表_Excel!$A$6:$T$150,COLUMN()/2+1,FALSE))),"")</f>
        <v/>
      </c>
      <c r="C124" s="137"/>
      <c r="D124" s="172" t="str">
        <f ca="1">IFERROR(VALUE(IF(VLOOKUP($A124,数出表_Excel!$A$6:$T$150,COLUMN()/2+1,FALSE)=0,"",VLOOKUP($A124,数出表_Excel!$A$6:$T$150,COLUMN()/2+1,FALSE))),"")</f>
        <v/>
      </c>
      <c r="E124" s="137"/>
      <c r="F124" s="174" t="str">
        <f ca="1">IFERROR(VALUE(IF(VLOOKUP($A124,数出表_Excel!$A$6:$T$150,COLUMN()/2+1,FALSE)=0,"",VLOOKUP($A124,数出表_Excel!$A$6:$T$150,COLUMN()/2+1,FALSE))),"")</f>
        <v/>
      </c>
      <c r="G124" s="137"/>
      <c r="H124" s="172" t="str">
        <f ca="1">IFERROR(VALUE(IF(VLOOKUP($A124,数出表_Excel!$A$6:$T$150,COLUMN()/2+1,FALSE)=0,"",VLOOKUP($A124,数出表_Excel!$A$6:$T$150,COLUMN()/2+1,FALSE))),"")</f>
        <v/>
      </c>
      <c r="I124" s="137"/>
      <c r="J124" s="172" t="str">
        <f ca="1">IFERROR(VALUE(IF(VLOOKUP($A124,数出表_Excel!$A$6:$T$150,COLUMN()/2+1,FALSE)=0,"",VLOOKUP($A124,数出表_Excel!$A$6:$T$150,COLUMN()/2+1,FALSE))),"")</f>
        <v/>
      </c>
      <c r="K124" s="137"/>
      <c r="L124" s="174" t="str">
        <f ca="1">IFERROR(VALUE(IF(VLOOKUP($A124,数出表_Excel!$A$6:$T$150,COLUMN()/2+1,FALSE)=0,"",VLOOKUP($A124,数出表_Excel!$A$6:$T$150,COLUMN()/2+1,FALSE))),"")</f>
        <v/>
      </c>
      <c r="M124" s="137"/>
      <c r="N124" s="172" t="str">
        <f ca="1">IFERROR(VALUE(IF(VLOOKUP($A124,数出表_Excel!$A$6:$T$150,COLUMN()/2+1,FALSE)=0,"",VLOOKUP($A124,数出表_Excel!$A$6:$T$150,COLUMN()/2+1,FALSE))),"")</f>
        <v/>
      </c>
      <c r="O124" s="137"/>
      <c r="P124" s="172" t="str">
        <f ca="1">IFERROR(VALUE(IF(VLOOKUP($A124,数出表_Excel!$A$6:$T$150,COLUMN()/2+1,FALSE)=0,"",VLOOKUP($A124,数出表_Excel!$A$6:$T$150,COLUMN()/2+1,FALSE))),"")</f>
        <v/>
      </c>
      <c r="Q124" s="137"/>
      <c r="R124" s="172" t="str">
        <f ca="1">IFERROR(VALUE(IF(VLOOKUP($A124,数出表_Excel!$A$6:$T$150,COLUMN()/2+1,FALSE)=0,"",VLOOKUP($A124,数出表_Excel!$A$6:$T$150,COLUMN()/2+1,FALSE))),"")</f>
        <v/>
      </c>
      <c r="S124" s="137"/>
      <c r="T124" s="172" t="str">
        <f ca="1">IFERROR(VALUE(IF(VLOOKUP($A124,数出表_Excel!$A$6:$T$150,COLUMN()/2+1,FALSE)=0,"",VLOOKUP($A124,数出表_Excel!$A$6:$T$150,COLUMN()/2+1,FALSE))),"")</f>
        <v/>
      </c>
      <c r="U124" s="137"/>
      <c r="V124" s="174" t="str">
        <f ca="1">IFERROR(VALUE(IF(VLOOKUP($A124,数出表_Excel!$A$6:$T$150,COLUMN()/2+1,FALSE)=0,"",VLOOKUP($A124,数出表_Excel!$A$6:$T$150,COLUMN()/2+1,FALSE))),"")</f>
        <v/>
      </c>
      <c r="W124" s="137"/>
      <c r="X124" s="174" t="str">
        <f ca="1">IFERROR(VALUE(IF(VLOOKUP($A124,数出表_Excel!$A$6:$T$150,COLUMN()/2+1,FALSE)=0,"",VLOOKUP($A124,数出表_Excel!$A$6:$T$150,COLUMN()/2+1,FALSE))),"")</f>
        <v/>
      </c>
      <c r="Y124" s="137"/>
      <c r="Z124" s="174" t="str">
        <f ca="1">IFERROR(VALUE(IF(VLOOKUP($A124,数出表_Excel!$A$6:$T$150,COLUMN()/2+1,FALSE)=0,"",VLOOKUP($A124,数出表_Excel!$A$6:$T$150,COLUMN()/2+1,FALSE))),"")</f>
        <v/>
      </c>
      <c r="AA124" s="175"/>
      <c r="AB124" s="173" t="str">
        <f ca="1">IFERROR(VALUE(IF(VLOOKUP($A124,数出表_Excel!$A$6:$T$150,COLUMN()/2+1,FALSE)=0,"",VLOOKUP($A124,数出表_Excel!$A$6:$T$150,COLUMN()/2+1,FALSE))),"")</f>
        <v/>
      </c>
      <c r="AC124" s="137"/>
      <c r="AD124" s="174" t="str">
        <f ca="1">IFERROR(VALUE(IF(VLOOKUP($A124,数出表_Excel!$A$6:$T$150,COLUMN()/2+1,FALSE)=0,"",VLOOKUP($A124,数出表_Excel!$A$6:$T$150,COLUMN()/2+1,FALSE))),"")</f>
        <v/>
      </c>
      <c r="AE124" s="137"/>
      <c r="AF124" s="174" t="str">
        <f ca="1">IFERROR(VALUE(IF(VLOOKUP($A124,数出表_Excel!$A$6:$T$150,COLUMN()/2+1,FALSE)=0,"",VLOOKUP($A124,数出表_Excel!$A$6:$T$150,COLUMN()/2+1,FALSE))),"")</f>
        <v/>
      </c>
      <c r="AG124" s="137"/>
      <c r="AH124" s="174" t="str">
        <f ca="1">IFERROR(VALUE(IF(VLOOKUP($A124,数出表_Excel!$A$6:$T$150,COLUMN()/2+1,FALSE)=0,"",VLOOKUP($A124,数出表_Excel!$A$6:$T$150,COLUMN()/2+1,FALSE))),"")</f>
        <v/>
      </c>
      <c r="AI124" s="175"/>
      <c r="AJ124" s="173" t="str">
        <f ca="1">IFERROR(VALUE(IF(VLOOKUP($A124,数出表_Excel!$A$6:$T$150,COLUMN()/2+1,FALSE)=0,"",VLOOKUP($A124,数出表_Excel!$A$6:$T$150,COLUMN()/2+1,FALSE))),"")</f>
        <v/>
      </c>
      <c r="AK124" s="137"/>
      <c r="AL124" s="141" t="e">
        <f ca="1">IF(A124&lt;&gt;"",
IF(VLOOKUP($A124,数出表_Excel!$A$6:$T$150,COLUMN()/2+1,FALSE)=0,"",VLOOKUP($A124,数出表_Excel!$A$6:$T$150,COLUMN()/2+1,FALSE)),"")</f>
        <v>#N/A</v>
      </c>
      <c r="AM124" s="222" t="e">
        <f>数出表_Excel!V124</f>
        <v>#N/A</v>
      </c>
      <c r="AN124" s="223" t="e">
        <f>数出表_Excel!W124</f>
        <v>#N/A</v>
      </c>
    </row>
    <row r="125" spans="1:40" ht="16.2" customHeight="1" x14ac:dyDescent="0.45">
      <c r="A125" s="185" t="e">
        <f t="array" aca="1" ref="A125" ca="1">IF(OR(COUNTIF(A123,"*1000*"),COUNTIF(A123,"")),"",INDEX(貼り付け用!$A:$A,MATCH(A123,貼り付け用!$A:$A,0)+2,0))</f>
        <v>#N/A</v>
      </c>
      <c r="B125" s="138" t="str">
        <f ca="1">IFERROR(VALUE(IF(VLOOKUP($A125,数出表_Excel!$A$6:$T$150,COLUMN()/2+1,FALSE)=0,"",VLOOKUP($A125,数出表_Excel!$A$6:$T$150,COLUMN()/2+1,FALSE))),"")</f>
        <v/>
      </c>
      <c r="C125" s="138"/>
      <c r="D125" s="138" t="str">
        <f ca="1">IFERROR(VALUE(IF(VLOOKUP($A125,数出表_Excel!$A$6:$T$150,COLUMN()/2+1,FALSE)=0,"",VLOOKUP($A125,数出表_Excel!$A$6:$T$150,COLUMN()/2+1,FALSE))),"")</f>
        <v/>
      </c>
      <c r="E125" s="138"/>
      <c r="F125" s="142" t="str">
        <f ca="1">IFERROR(VALUE(IF(VLOOKUP($A125,数出表_Excel!$A$6:$T$150,COLUMN()/2+1,FALSE)=0,"",VLOOKUP($A125,数出表_Excel!$A$6:$T$150,COLUMN()/2+1,FALSE))),"")</f>
        <v/>
      </c>
      <c r="G125" s="138"/>
      <c r="H125" s="138" t="str">
        <f ca="1">IFERROR(VALUE(IF(VLOOKUP($A125,数出表_Excel!$A$6:$T$150,COLUMN()/2+1,FALSE)=0,"",VLOOKUP($A125,数出表_Excel!$A$6:$T$150,COLUMN()/2+1,FALSE))),"")</f>
        <v/>
      </c>
      <c r="I125" s="138"/>
      <c r="J125" s="138" t="str">
        <f ca="1">IFERROR(VALUE(IF(VLOOKUP($A125,数出表_Excel!$A$6:$T$150,COLUMN()/2+1,FALSE)=0,"",VLOOKUP($A125,数出表_Excel!$A$6:$T$150,COLUMN()/2+1,FALSE))),"")</f>
        <v/>
      </c>
      <c r="K125" s="138"/>
      <c r="L125" s="142" t="str">
        <f ca="1">IFERROR(VALUE(IF(VLOOKUP($A125,数出表_Excel!$A$6:$T$150,COLUMN()/2+1,FALSE)=0,"",VLOOKUP($A125,数出表_Excel!$A$6:$T$150,COLUMN()/2+1,FALSE))),"")</f>
        <v/>
      </c>
      <c r="M125" s="138"/>
      <c r="N125" s="138" t="str">
        <f ca="1">IFERROR(VALUE(IF(VLOOKUP($A125,数出表_Excel!$A$6:$T$150,COLUMN()/2+1,FALSE)=0,"",VLOOKUP($A125,数出表_Excel!$A$6:$T$150,COLUMN()/2+1,FALSE))),"")</f>
        <v/>
      </c>
      <c r="O125" s="138"/>
      <c r="P125" s="138" t="str">
        <f ca="1">IFERROR(VALUE(IF(VLOOKUP($A125,数出表_Excel!$A$6:$T$150,COLUMN()/2+1,FALSE)=0,"",VLOOKUP($A125,数出表_Excel!$A$6:$T$150,COLUMN()/2+1,FALSE))),"")</f>
        <v/>
      </c>
      <c r="Q125" s="138"/>
      <c r="R125" s="138" t="str">
        <f ca="1">IFERROR(VALUE(IF(VLOOKUP($A125,数出表_Excel!$A$6:$T$150,COLUMN()/2+1,FALSE)=0,"",VLOOKUP($A125,数出表_Excel!$A$6:$T$150,COLUMN()/2+1,FALSE))),"")</f>
        <v/>
      </c>
      <c r="S125" s="138"/>
      <c r="T125" s="138" t="str">
        <f ca="1">IFERROR(VALUE(IF(VLOOKUP($A125,数出表_Excel!$A$6:$T$150,COLUMN()/2+1,FALSE)=0,"",VLOOKUP($A125,数出表_Excel!$A$6:$T$150,COLUMN()/2+1,FALSE))),"")</f>
        <v/>
      </c>
      <c r="U125" s="138"/>
      <c r="V125" s="142" t="str">
        <f ca="1">IFERROR(VALUE(IF(VLOOKUP($A125,数出表_Excel!$A$6:$T$150,COLUMN()/2+1,FALSE)=0,"",VLOOKUP($A125,数出表_Excel!$A$6:$T$150,COLUMN()/2+1,FALSE))),"")</f>
        <v/>
      </c>
      <c r="W125" s="138"/>
      <c r="X125" s="142" t="str">
        <f ca="1">IFERROR(VALUE(IF(VLOOKUP($A125,数出表_Excel!$A$6:$T$150,COLUMN()/2+1,FALSE)=0,"",VLOOKUP($A125,数出表_Excel!$A$6:$T$150,COLUMN()/2+1,FALSE))),"")</f>
        <v/>
      </c>
      <c r="Y125" s="138"/>
      <c r="Z125" s="142" t="str">
        <f ca="1">IFERROR(VALUE(IF(VLOOKUP($A125,数出表_Excel!$A$6:$T$150,COLUMN()/2+1,FALSE)=0,"",VLOOKUP($A125,数出表_Excel!$A$6:$T$150,COLUMN()/2+1,FALSE))),"")</f>
        <v/>
      </c>
      <c r="AA125" s="176"/>
      <c r="AB125" s="143" t="str">
        <f ca="1">IFERROR(VALUE(IF(VLOOKUP($A125,数出表_Excel!$A$6:$T$150,COLUMN()/2+1,FALSE)=0,"",VLOOKUP($A125,数出表_Excel!$A$6:$T$150,COLUMN()/2+1,FALSE))),"")</f>
        <v/>
      </c>
      <c r="AC125" s="138"/>
      <c r="AD125" s="142" t="str">
        <f ca="1">IFERROR(VALUE(IF(VLOOKUP($A125,数出表_Excel!$A$6:$T$150,COLUMN()/2+1,FALSE)=0,"",VLOOKUP($A125,数出表_Excel!$A$6:$T$150,COLUMN()/2+1,FALSE))),"")</f>
        <v/>
      </c>
      <c r="AE125" s="138"/>
      <c r="AF125" s="142" t="str">
        <f ca="1">IFERROR(VALUE(IF(VLOOKUP($A125,数出表_Excel!$A$6:$T$150,COLUMN()/2+1,FALSE)=0,"",VLOOKUP($A125,数出表_Excel!$A$6:$T$150,COLUMN()/2+1,FALSE))),"")</f>
        <v/>
      </c>
      <c r="AG125" s="138"/>
      <c r="AH125" s="142" t="str">
        <f ca="1">IFERROR(VALUE(IF(VLOOKUP($A125,数出表_Excel!$A$6:$T$150,COLUMN()/2+1,FALSE)=0,"",VLOOKUP($A125,数出表_Excel!$A$6:$T$150,COLUMN()/2+1,FALSE))),"")</f>
        <v/>
      </c>
      <c r="AI125" s="176"/>
      <c r="AJ125" s="143" t="str">
        <f ca="1">IFERROR(VALUE(IF(VLOOKUP($A125,数出表_Excel!$A$6:$T$150,COLUMN()/2+1,FALSE)=0,"",VLOOKUP($A125,数出表_Excel!$A$6:$T$150,COLUMN()/2+1,FALSE))),"")</f>
        <v/>
      </c>
      <c r="AK125" s="138"/>
      <c r="AL125" s="144" t="e">
        <f ca="1">IF(A125&lt;&gt;"",
IF(VLOOKUP($A125,数出表_Excel!$A$6:$T$150,COLUMN()/2+1,FALSE)=0,"",VLOOKUP($A125,数出表_Excel!$A$6:$T$150,COLUMN()/2+1,FALSE)),"")</f>
        <v>#N/A</v>
      </c>
      <c r="AM125" s="224" t="e">
        <f>数出表_Excel!V125</f>
        <v>#N/A</v>
      </c>
      <c r="AN125" s="225" t="e">
        <f>数出表_Excel!W125</f>
        <v>#N/A</v>
      </c>
    </row>
    <row r="126" spans="1:40" ht="16.2" customHeight="1" x14ac:dyDescent="0.45">
      <c r="A126" s="184" t="e">
        <f t="array" aca="1" ref="A126" ca="1">IF(OR(COUNTIF(A124,"*10002*"),COUNTIF(A124,"")),"",INDEX(貼り付け用!$A:$A,MATCH(A124,貼り付け用!$A:$A,0)+2,0))</f>
        <v>#N/A</v>
      </c>
      <c r="B126" s="172" t="str">
        <f ca="1">IFERROR(VALUE(IF(VLOOKUP($A126,数出表_Excel!$A$6:$T$150,COLUMN()/2+1,FALSE)=0,"",VLOOKUP($A126,数出表_Excel!$A$6:$T$150,COLUMN()/2+1,FALSE))),"")</f>
        <v/>
      </c>
      <c r="C126" s="137"/>
      <c r="D126" s="172" t="str">
        <f ca="1">IFERROR(VALUE(IF(VLOOKUP($A126,数出表_Excel!$A$6:$T$150,COLUMN()/2+1,FALSE)=0,"",VLOOKUP($A126,数出表_Excel!$A$6:$T$150,COLUMN()/2+1,FALSE))),"")</f>
        <v/>
      </c>
      <c r="E126" s="137"/>
      <c r="F126" s="174" t="str">
        <f ca="1">IFERROR(VALUE(IF(VLOOKUP($A126,数出表_Excel!$A$6:$T$150,COLUMN()/2+1,FALSE)=0,"",VLOOKUP($A126,数出表_Excel!$A$6:$T$150,COLUMN()/2+1,FALSE))),"")</f>
        <v/>
      </c>
      <c r="G126" s="137"/>
      <c r="H126" s="172" t="str">
        <f ca="1">IFERROR(VALUE(IF(VLOOKUP($A126,数出表_Excel!$A$6:$T$150,COLUMN()/2+1,FALSE)=0,"",VLOOKUP($A126,数出表_Excel!$A$6:$T$150,COLUMN()/2+1,FALSE))),"")</f>
        <v/>
      </c>
      <c r="I126" s="137"/>
      <c r="J126" s="172" t="str">
        <f ca="1">IFERROR(VALUE(IF(VLOOKUP($A126,数出表_Excel!$A$6:$T$150,COLUMN()/2+1,FALSE)=0,"",VLOOKUP($A126,数出表_Excel!$A$6:$T$150,COLUMN()/2+1,FALSE))),"")</f>
        <v/>
      </c>
      <c r="K126" s="137"/>
      <c r="L126" s="174" t="str">
        <f ca="1">IFERROR(VALUE(IF(VLOOKUP($A126,数出表_Excel!$A$6:$T$150,COLUMN()/2+1,FALSE)=0,"",VLOOKUP($A126,数出表_Excel!$A$6:$T$150,COLUMN()/2+1,FALSE))),"")</f>
        <v/>
      </c>
      <c r="M126" s="137"/>
      <c r="N126" s="172" t="str">
        <f ca="1">IFERROR(VALUE(IF(VLOOKUP($A126,数出表_Excel!$A$6:$T$150,COLUMN()/2+1,FALSE)=0,"",VLOOKUP($A126,数出表_Excel!$A$6:$T$150,COLUMN()/2+1,FALSE))),"")</f>
        <v/>
      </c>
      <c r="O126" s="137"/>
      <c r="P126" s="172" t="str">
        <f ca="1">IFERROR(VALUE(IF(VLOOKUP($A126,数出表_Excel!$A$6:$T$150,COLUMN()/2+1,FALSE)=0,"",VLOOKUP($A126,数出表_Excel!$A$6:$T$150,COLUMN()/2+1,FALSE))),"")</f>
        <v/>
      </c>
      <c r="Q126" s="137"/>
      <c r="R126" s="172" t="str">
        <f ca="1">IFERROR(VALUE(IF(VLOOKUP($A126,数出表_Excel!$A$6:$T$150,COLUMN()/2+1,FALSE)=0,"",VLOOKUP($A126,数出表_Excel!$A$6:$T$150,COLUMN()/2+1,FALSE))),"")</f>
        <v/>
      </c>
      <c r="S126" s="137"/>
      <c r="T126" s="172" t="str">
        <f ca="1">IFERROR(VALUE(IF(VLOOKUP($A126,数出表_Excel!$A$6:$T$150,COLUMN()/2+1,FALSE)=0,"",VLOOKUP($A126,数出表_Excel!$A$6:$T$150,COLUMN()/2+1,FALSE))),"")</f>
        <v/>
      </c>
      <c r="U126" s="137"/>
      <c r="V126" s="174" t="str">
        <f ca="1">IFERROR(VALUE(IF(VLOOKUP($A126,数出表_Excel!$A$6:$T$150,COLUMN()/2+1,FALSE)=0,"",VLOOKUP($A126,数出表_Excel!$A$6:$T$150,COLUMN()/2+1,FALSE))),"")</f>
        <v/>
      </c>
      <c r="W126" s="137"/>
      <c r="X126" s="174" t="str">
        <f ca="1">IFERROR(VALUE(IF(VLOOKUP($A126,数出表_Excel!$A$6:$T$150,COLUMN()/2+1,FALSE)=0,"",VLOOKUP($A126,数出表_Excel!$A$6:$T$150,COLUMN()/2+1,FALSE))),"")</f>
        <v/>
      </c>
      <c r="Y126" s="137"/>
      <c r="Z126" s="174" t="str">
        <f ca="1">IFERROR(VALUE(IF(VLOOKUP($A126,数出表_Excel!$A$6:$T$150,COLUMN()/2+1,FALSE)=0,"",VLOOKUP($A126,数出表_Excel!$A$6:$T$150,COLUMN()/2+1,FALSE))),"")</f>
        <v/>
      </c>
      <c r="AA126" s="175"/>
      <c r="AB126" s="173" t="str">
        <f ca="1">IFERROR(VALUE(IF(VLOOKUP($A126,数出表_Excel!$A$6:$T$150,COLUMN()/2+1,FALSE)=0,"",VLOOKUP($A126,数出表_Excel!$A$6:$T$150,COLUMN()/2+1,FALSE))),"")</f>
        <v/>
      </c>
      <c r="AC126" s="137"/>
      <c r="AD126" s="174" t="str">
        <f ca="1">IFERROR(VALUE(IF(VLOOKUP($A126,数出表_Excel!$A$6:$T$150,COLUMN()/2+1,FALSE)=0,"",VLOOKUP($A126,数出表_Excel!$A$6:$T$150,COLUMN()/2+1,FALSE))),"")</f>
        <v/>
      </c>
      <c r="AE126" s="137"/>
      <c r="AF126" s="174" t="str">
        <f ca="1">IFERROR(VALUE(IF(VLOOKUP($A126,数出表_Excel!$A$6:$T$150,COLUMN()/2+1,FALSE)=0,"",VLOOKUP($A126,数出表_Excel!$A$6:$T$150,COLUMN()/2+1,FALSE))),"")</f>
        <v/>
      </c>
      <c r="AG126" s="137"/>
      <c r="AH126" s="174" t="str">
        <f ca="1">IFERROR(VALUE(IF(VLOOKUP($A126,数出表_Excel!$A$6:$T$150,COLUMN()/2+1,FALSE)=0,"",VLOOKUP($A126,数出表_Excel!$A$6:$T$150,COLUMN()/2+1,FALSE))),"")</f>
        <v/>
      </c>
      <c r="AI126" s="175"/>
      <c r="AJ126" s="173" t="str">
        <f ca="1">IFERROR(VALUE(IF(VLOOKUP($A126,数出表_Excel!$A$6:$T$150,COLUMN()/2+1,FALSE)=0,"",VLOOKUP($A126,数出表_Excel!$A$6:$T$150,COLUMN()/2+1,FALSE))),"")</f>
        <v/>
      </c>
      <c r="AK126" s="137"/>
      <c r="AL126" s="141" t="e">
        <f ca="1">IF(A126&lt;&gt;"",
IF(VLOOKUP($A126,数出表_Excel!$A$6:$T$150,COLUMN()/2+1,FALSE)=0,"",VLOOKUP($A126,数出表_Excel!$A$6:$T$150,COLUMN()/2+1,FALSE)),"")</f>
        <v>#N/A</v>
      </c>
      <c r="AM126" s="222" t="e">
        <f>数出表_Excel!V126</f>
        <v>#N/A</v>
      </c>
      <c r="AN126" s="223" t="e">
        <f>数出表_Excel!W126</f>
        <v>#N/A</v>
      </c>
    </row>
    <row r="127" spans="1:40" ht="16.2" customHeight="1" x14ac:dyDescent="0.45">
      <c r="A127" s="185" t="e">
        <f t="array" aca="1" ref="A127" ca="1">IF(OR(COUNTIF(A125,"*1000*"),COUNTIF(A125,"")),"",INDEX(貼り付け用!$A:$A,MATCH(A125,貼り付け用!$A:$A,0)+2,0))</f>
        <v>#N/A</v>
      </c>
      <c r="B127" s="138" t="str">
        <f ca="1">IFERROR(VALUE(IF(VLOOKUP($A127,数出表_Excel!$A$6:$T$150,COLUMN()/2+1,FALSE)=0,"",VLOOKUP($A127,数出表_Excel!$A$6:$T$150,COLUMN()/2+1,FALSE))),"")</f>
        <v/>
      </c>
      <c r="C127" s="138"/>
      <c r="D127" s="138" t="str">
        <f ca="1">IFERROR(VALUE(IF(VLOOKUP($A127,数出表_Excel!$A$6:$T$150,COLUMN()/2+1,FALSE)=0,"",VLOOKUP($A127,数出表_Excel!$A$6:$T$150,COLUMN()/2+1,FALSE))),"")</f>
        <v/>
      </c>
      <c r="E127" s="138"/>
      <c r="F127" s="142" t="str">
        <f ca="1">IFERROR(VALUE(IF(VLOOKUP($A127,数出表_Excel!$A$6:$T$150,COLUMN()/2+1,FALSE)=0,"",VLOOKUP($A127,数出表_Excel!$A$6:$T$150,COLUMN()/2+1,FALSE))),"")</f>
        <v/>
      </c>
      <c r="G127" s="138"/>
      <c r="H127" s="138" t="str">
        <f ca="1">IFERROR(VALUE(IF(VLOOKUP($A127,数出表_Excel!$A$6:$T$150,COLUMN()/2+1,FALSE)=0,"",VLOOKUP($A127,数出表_Excel!$A$6:$T$150,COLUMN()/2+1,FALSE))),"")</f>
        <v/>
      </c>
      <c r="I127" s="138"/>
      <c r="J127" s="138" t="str">
        <f ca="1">IFERROR(VALUE(IF(VLOOKUP($A127,数出表_Excel!$A$6:$T$150,COLUMN()/2+1,FALSE)=0,"",VLOOKUP($A127,数出表_Excel!$A$6:$T$150,COLUMN()/2+1,FALSE))),"")</f>
        <v/>
      </c>
      <c r="K127" s="138"/>
      <c r="L127" s="142" t="str">
        <f ca="1">IFERROR(VALUE(IF(VLOOKUP($A127,数出表_Excel!$A$6:$T$150,COLUMN()/2+1,FALSE)=0,"",VLOOKUP($A127,数出表_Excel!$A$6:$T$150,COLUMN()/2+1,FALSE))),"")</f>
        <v/>
      </c>
      <c r="M127" s="138"/>
      <c r="N127" s="138" t="str">
        <f ca="1">IFERROR(VALUE(IF(VLOOKUP($A127,数出表_Excel!$A$6:$T$150,COLUMN()/2+1,FALSE)=0,"",VLOOKUP($A127,数出表_Excel!$A$6:$T$150,COLUMN()/2+1,FALSE))),"")</f>
        <v/>
      </c>
      <c r="O127" s="138"/>
      <c r="P127" s="138" t="str">
        <f ca="1">IFERROR(VALUE(IF(VLOOKUP($A127,数出表_Excel!$A$6:$T$150,COLUMN()/2+1,FALSE)=0,"",VLOOKUP($A127,数出表_Excel!$A$6:$T$150,COLUMN()/2+1,FALSE))),"")</f>
        <v/>
      </c>
      <c r="Q127" s="138"/>
      <c r="R127" s="138" t="str">
        <f ca="1">IFERROR(VALUE(IF(VLOOKUP($A127,数出表_Excel!$A$6:$T$150,COLUMN()/2+1,FALSE)=0,"",VLOOKUP($A127,数出表_Excel!$A$6:$T$150,COLUMN()/2+1,FALSE))),"")</f>
        <v/>
      </c>
      <c r="S127" s="138"/>
      <c r="T127" s="138" t="str">
        <f ca="1">IFERROR(VALUE(IF(VLOOKUP($A127,数出表_Excel!$A$6:$T$150,COLUMN()/2+1,FALSE)=0,"",VLOOKUP($A127,数出表_Excel!$A$6:$T$150,COLUMN()/2+1,FALSE))),"")</f>
        <v/>
      </c>
      <c r="U127" s="138"/>
      <c r="V127" s="142" t="str">
        <f ca="1">IFERROR(VALUE(IF(VLOOKUP($A127,数出表_Excel!$A$6:$T$150,COLUMN()/2+1,FALSE)=0,"",VLOOKUP($A127,数出表_Excel!$A$6:$T$150,COLUMN()/2+1,FALSE))),"")</f>
        <v/>
      </c>
      <c r="W127" s="138"/>
      <c r="X127" s="142" t="str">
        <f ca="1">IFERROR(VALUE(IF(VLOOKUP($A127,数出表_Excel!$A$6:$T$150,COLUMN()/2+1,FALSE)=0,"",VLOOKUP($A127,数出表_Excel!$A$6:$T$150,COLUMN()/2+1,FALSE))),"")</f>
        <v/>
      </c>
      <c r="Y127" s="138"/>
      <c r="Z127" s="142" t="str">
        <f ca="1">IFERROR(VALUE(IF(VLOOKUP($A127,数出表_Excel!$A$6:$T$150,COLUMN()/2+1,FALSE)=0,"",VLOOKUP($A127,数出表_Excel!$A$6:$T$150,COLUMN()/2+1,FALSE))),"")</f>
        <v/>
      </c>
      <c r="AA127" s="176"/>
      <c r="AB127" s="143" t="str">
        <f ca="1">IFERROR(VALUE(IF(VLOOKUP($A127,数出表_Excel!$A$6:$T$150,COLUMN()/2+1,FALSE)=0,"",VLOOKUP($A127,数出表_Excel!$A$6:$T$150,COLUMN()/2+1,FALSE))),"")</f>
        <v/>
      </c>
      <c r="AC127" s="138"/>
      <c r="AD127" s="142" t="str">
        <f ca="1">IFERROR(VALUE(IF(VLOOKUP($A127,数出表_Excel!$A$6:$T$150,COLUMN()/2+1,FALSE)=0,"",VLOOKUP($A127,数出表_Excel!$A$6:$T$150,COLUMN()/2+1,FALSE))),"")</f>
        <v/>
      </c>
      <c r="AE127" s="138"/>
      <c r="AF127" s="142" t="str">
        <f ca="1">IFERROR(VALUE(IF(VLOOKUP($A127,数出表_Excel!$A$6:$T$150,COLUMN()/2+1,FALSE)=0,"",VLOOKUP($A127,数出表_Excel!$A$6:$T$150,COLUMN()/2+1,FALSE))),"")</f>
        <v/>
      </c>
      <c r="AG127" s="138"/>
      <c r="AH127" s="142" t="str">
        <f ca="1">IFERROR(VALUE(IF(VLOOKUP($A127,数出表_Excel!$A$6:$T$150,COLUMN()/2+1,FALSE)=0,"",VLOOKUP($A127,数出表_Excel!$A$6:$T$150,COLUMN()/2+1,FALSE))),"")</f>
        <v/>
      </c>
      <c r="AI127" s="176"/>
      <c r="AJ127" s="143" t="str">
        <f ca="1">IFERROR(VALUE(IF(VLOOKUP($A127,数出表_Excel!$A$6:$T$150,COLUMN()/2+1,FALSE)=0,"",VLOOKUP($A127,数出表_Excel!$A$6:$T$150,COLUMN()/2+1,FALSE))),"")</f>
        <v/>
      </c>
      <c r="AK127" s="138"/>
      <c r="AL127" s="144" t="e">
        <f ca="1">IF(A127&lt;&gt;"",
IF(VLOOKUP($A127,数出表_Excel!$A$6:$T$150,COLUMN()/2+1,FALSE)=0,"",VLOOKUP($A127,数出表_Excel!$A$6:$T$150,COLUMN()/2+1,FALSE)),"")</f>
        <v>#N/A</v>
      </c>
      <c r="AM127" s="224" t="e">
        <f>数出表_Excel!V127</f>
        <v>#N/A</v>
      </c>
      <c r="AN127" s="225" t="e">
        <f>数出表_Excel!W127</f>
        <v>#N/A</v>
      </c>
    </row>
    <row r="128" spans="1:40" ht="16.2" customHeight="1" x14ac:dyDescent="0.45">
      <c r="A128" s="184" t="e">
        <f t="array" aca="1" ref="A128" ca="1">IF(OR(COUNTIF(A126,"*10002*"),COUNTIF(A126,"")),"",INDEX(貼り付け用!$A:$A,MATCH(A126,貼り付け用!$A:$A,0)+2,0))</f>
        <v>#N/A</v>
      </c>
      <c r="B128" s="172" t="str">
        <f ca="1">IFERROR(VALUE(IF(VLOOKUP($A128,数出表_Excel!$A$6:$T$150,COLUMN()/2+1,FALSE)=0,"",VLOOKUP($A128,数出表_Excel!$A$6:$T$150,COLUMN()/2+1,FALSE))),"")</f>
        <v/>
      </c>
      <c r="C128" s="137"/>
      <c r="D128" s="172" t="str">
        <f ca="1">IFERROR(VALUE(IF(VLOOKUP($A128,数出表_Excel!$A$6:$T$150,COLUMN()/2+1,FALSE)=0,"",VLOOKUP($A128,数出表_Excel!$A$6:$T$150,COLUMN()/2+1,FALSE))),"")</f>
        <v/>
      </c>
      <c r="E128" s="137"/>
      <c r="F128" s="174" t="str">
        <f ca="1">IFERROR(VALUE(IF(VLOOKUP($A128,数出表_Excel!$A$6:$T$150,COLUMN()/2+1,FALSE)=0,"",VLOOKUP($A128,数出表_Excel!$A$6:$T$150,COLUMN()/2+1,FALSE))),"")</f>
        <v/>
      </c>
      <c r="G128" s="137"/>
      <c r="H128" s="172" t="str">
        <f ca="1">IFERROR(VALUE(IF(VLOOKUP($A128,数出表_Excel!$A$6:$T$150,COLUMN()/2+1,FALSE)=0,"",VLOOKUP($A128,数出表_Excel!$A$6:$T$150,COLUMN()/2+1,FALSE))),"")</f>
        <v/>
      </c>
      <c r="I128" s="137"/>
      <c r="J128" s="172" t="str">
        <f ca="1">IFERROR(VALUE(IF(VLOOKUP($A128,数出表_Excel!$A$6:$T$150,COLUMN()/2+1,FALSE)=0,"",VLOOKUP($A128,数出表_Excel!$A$6:$T$150,COLUMN()/2+1,FALSE))),"")</f>
        <v/>
      </c>
      <c r="K128" s="137"/>
      <c r="L128" s="174" t="str">
        <f ca="1">IFERROR(VALUE(IF(VLOOKUP($A128,数出表_Excel!$A$6:$T$150,COLUMN()/2+1,FALSE)=0,"",VLOOKUP($A128,数出表_Excel!$A$6:$T$150,COLUMN()/2+1,FALSE))),"")</f>
        <v/>
      </c>
      <c r="M128" s="137"/>
      <c r="N128" s="172" t="str">
        <f ca="1">IFERROR(VALUE(IF(VLOOKUP($A128,数出表_Excel!$A$6:$T$150,COLUMN()/2+1,FALSE)=0,"",VLOOKUP($A128,数出表_Excel!$A$6:$T$150,COLUMN()/2+1,FALSE))),"")</f>
        <v/>
      </c>
      <c r="O128" s="137"/>
      <c r="P128" s="172" t="str">
        <f ca="1">IFERROR(VALUE(IF(VLOOKUP($A128,数出表_Excel!$A$6:$T$150,COLUMN()/2+1,FALSE)=0,"",VLOOKUP($A128,数出表_Excel!$A$6:$T$150,COLUMN()/2+1,FALSE))),"")</f>
        <v/>
      </c>
      <c r="Q128" s="137"/>
      <c r="R128" s="172" t="str">
        <f ca="1">IFERROR(VALUE(IF(VLOOKUP($A128,数出表_Excel!$A$6:$T$150,COLUMN()/2+1,FALSE)=0,"",VLOOKUP($A128,数出表_Excel!$A$6:$T$150,COLUMN()/2+1,FALSE))),"")</f>
        <v/>
      </c>
      <c r="S128" s="137"/>
      <c r="T128" s="172" t="str">
        <f ca="1">IFERROR(VALUE(IF(VLOOKUP($A128,数出表_Excel!$A$6:$T$150,COLUMN()/2+1,FALSE)=0,"",VLOOKUP($A128,数出表_Excel!$A$6:$T$150,COLUMN()/2+1,FALSE))),"")</f>
        <v/>
      </c>
      <c r="U128" s="137"/>
      <c r="V128" s="174" t="str">
        <f ca="1">IFERROR(VALUE(IF(VLOOKUP($A128,数出表_Excel!$A$6:$T$150,COLUMN()/2+1,FALSE)=0,"",VLOOKUP($A128,数出表_Excel!$A$6:$T$150,COLUMN()/2+1,FALSE))),"")</f>
        <v/>
      </c>
      <c r="W128" s="137"/>
      <c r="X128" s="174" t="str">
        <f ca="1">IFERROR(VALUE(IF(VLOOKUP($A128,数出表_Excel!$A$6:$T$150,COLUMN()/2+1,FALSE)=0,"",VLOOKUP($A128,数出表_Excel!$A$6:$T$150,COLUMN()/2+1,FALSE))),"")</f>
        <v/>
      </c>
      <c r="Y128" s="137"/>
      <c r="Z128" s="174" t="str">
        <f ca="1">IFERROR(VALUE(IF(VLOOKUP($A128,数出表_Excel!$A$6:$T$150,COLUMN()/2+1,FALSE)=0,"",VLOOKUP($A128,数出表_Excel!$A$6:$T$150,COLUMN()/2+1,FALSE))),"")</f>
        <v/>
      </c>
      <c r="AA128" s="175"/>
      <c r="AB128" s="173" t="str">
        <f ca="1">IFERROR(VALUE(IF(VLOOKUP($A128,数出表_Excel!$A$6:$T$150,COLUMN()/2+1,FALSE)=0,"",VLOOKUP($A128,数出表_Excel!$A$6:$T$150,COLUMN()/2+1,FALSE))),"")</f>
        <v/>
      </c>
      <c r="AC128" s="137"/>
      <c r="AD128" s="174" t="str">
        <f ca="1">IFERROR(VALUE(IF(VLOOKUP($A128,数出表_Excel!$A$6:$T$150,COLUMN()/2+1,FALSE)=0,"",VLOOKUP($A128,数出表_Excel!$A$6:$T$150,COLUMN()/2+1,FALSE))),"")</f>
        <v/>
      </c>
      <c r="AE128" s="137"/>
      <c r="AF128" s="174" t="str">
        <f ca="1">IFERROR(VALUE(IF(VLOOKUP($A128,数出表_Excel!$A$6:$T$150,COLUMN()/2+1,FALSE)=0,"",VLOOKUP($A128,数出表_Excel!$A$6:$T$150,COLUMN()/2+1,FALSE))),"")</f>
        <v/>
      </c>
      <c r="AG128" s="137"/>
      <c r="AH128" s="174" t="str">
        <f ca="1">IFERROR(VALUE(IF(VLOOKUP($A128,数出表_Excel!$A$6:$T$150,COLUMN()/2+1,FALSE)=0,"",VLOOKUP($A128,数出表_Excel!$A$6:$T$150,COLUMN()/2+1,FALSE))),"")</f>
        <v/>
      </c>
      <c r="AI128" s="175"/>
      <c r="AJ128" s="173" t="str">
        <f ca="1">IFERROR(VALUE(IF(VLOOKUP($A128,数出表_Excel!$A$6:$T$150,COLUMN()/2+1,FALSE)=0,"",VLOOKUP($A128,数出表_Excel!$A$6:$T$150,COLUMN()/2+1,FALSE))),"")</f>
        <v/>
      </c>
      <c r="AK128" s="137"/>
      <c r="AL128" s="141" t="e">
        <f ca="1">IF(A128&lt;&gt;"",
IF(VLOOKUP($A128,数出表_Excel!$A$6:$T$150,COLUMN()/2+1,FALSE)=0,"",VLOOKUP($A128,数出表_Excel!$A$6:$T$150,COLUMN()/2+1,FALSE)),"")</f>
        <v>#N/A</v>
      </c>
      <c r="AM128" s="222" t="e">
        <f>数出表_Excel!V128</f>
        <v>#N/A</v>
      </c>
      <c r="AN128" s="223" t="e">
        <f>数出表_Excel!W128</f>
        <v>#N/A</v>
      </c>
    </row>
    <row r="129" spans="1:40" ht="16.2" customHeight="1" x14ac:dyDescent="0.45">
      <c r="A129" s="185" t="e">
        <f t="array" aca="1" ref="A129" ca="1">IF(OR(COUNTIF(A127,"*1000*"),COUNTIF(A127,"")),"",INDEX(貼り付け用!$A:$A,MATCH(A127,貼り付け用!$A:$A,0)+2,0))</f>
        <v>#N/A</v>
      </c>
      <c r="B129" s="138" t="str">
        <f ca="1">IFERROR(VALUE(IF(VLOOKUP($A129,数出表_Excel!$A$6:$T$150,COLUMN()/2+1,FALSE)=0,"",VLOOKUP($A129,数出表_Excel!$A$6:$T$150,COLUMN()/2+1,FALSE))),"")</f>
        <v/>
      </c>
      <c r="C129" s="138"/>
      <c r="D129" s="138" t="str">
        <f ca="1">IFERROR(VALUE(IF(VLOOKUP($A129,数出表_Excel!$A$6:$T$150,COLUMN()/2+1,FALSE)=0,"",VLOOKUP($A129,数出表_Excel!$A$6:$T$150,COLUMN()/2+1,FALSE))),"")</f>
        <v/>
      </c>
      <c r="E129" s="138"/>
      <c r="F129" s="142" t="str">
        <f ca="1">IFERROR(VALUE(IF(VLOOKUP($A129,数出表_Excel!$A$6:$T$150,COLUMN()/2+1,FALSE)=0,"",VLOOKUP($A129,数出表_Excel!$A$6:$T$150,COLUMN()/2+1,FALSE))),"")</f>
        <v/>
      </c>
      <c r="G129" s="138"/>
      <c r="H129" s="138" t="str">
        <f ca="1">IFERROR(VALUE(IF(VLOOKUP($A129,数出表_Excel!$A$6:$T$150,COLUMN()/2+1,FALSE)=0,"",VLOOKUP($A129,数出表_Excel!$A$6:$T$150,COLUMN()/2+1,FALSE))),"")</f>
        <v/>
      </c>
      <c r="I129" s="138"/>
      <c r="J129" s="138" t="str">
        <f ca="1">IFERROR(VALUE(IF(VLOOKUP($A129,数出表_Excel!$A$6:$T$150,COLUMN()/2+1,FALSE)=0,"",VLOOKUP($A129,数出表_Excel!$A$6:$T$150,COLUMN()/2+1,FALSE))),"")</f>
        <v/>
      </c>
      <c r="K129" s="138"/>
      <c r="L129" s="142" t="str">
        <f ca="1">IFERROR(VALUE(IF(VLOOKUP($A129,数出表_Excel!$A$6:$T$150,COLUMN()/2+1,FALSE)=0,"",VLOOKUP($A129,数出表_Excel!$A$6:$T$150,COLUMN()/2+1,FALSE))),"")</f>
        <v/>
      </c>
      <c r="M129" s="138"/>
      <c r="N129" s="138" t="str">
        <f ca="1">IFERROR(VALUE(IF(VLOOKUP($A129,数出表_Excel!$A$6:$T$150,COLUMN()/2+1,FALSE)=0,"",VLOOKUP($A129,数出表_Excel!$A$6:$T$150,COLUMN()/2+1,FALSE))),"")</f>
        <v/>
      </c>
      <c r="O129" s="138"/>
      <c r="P129" s="138" t="str">
        <f ca="1">IFERROR(VALUE(IF(VLOOKUP($A129,数出表_Excel!$A$6:$T$150,COLUMN()/2+1,FALSE)=0,"",VLOOKUP($A129,数出表_Excel!$A$6:$T$150,COLUMN()/2+1,FALSE))),"")</f>
        <v/>
      </c>
      <c r="Q129" s="138"/>
      <c r="R129" s="138" t="str">
        <f ca="1">IFERROR(VALUE(IF(VLOOKUP($A129,数出表_Excel!$A$6:$T$150,COLUMN()/2+1,FALSE)=0,"",VLOOKUP($A129,数出表_Excel!$A$6:$T$150,COLUMN()/2+1,FALSE))),"")</f>
        <v/>
      </c>
      <c r="S129" s="138"/>
      <c r="T129" s="138" t="str">
        <f ca="1">IFERROR(VALUE(IF(VLOOKUP($A129,数出表_Excel!$A$6:$T$150,COLUMN()/2+1,FALSE)=0,"",VLOOKUP($A129,数出表_Excel!$A$6:$T$150,COLUMN()/2+1,FALSE))),"")</f>
        <v/>
      </c>
      <c r="U129" s="138"/>
      <c r="V129" s="142" t="str">
        <f ca="1">IFERROR(VALUE(IF(VLOOKUP($A129,数出表_Excel!$A$6:$T$150,COLUMN()/2+1,FALSE)=0,"",VLOOKUP($A129,数出表_Excel!$A$6:$T$150,COLUMN()/2+1,FALSE))),"")</f>
        <v/>
      </c>
      <c r="W129" s="138"/>
      <c r="X129" s="142" t="str">
        <f ca="1">IFERROR(VALUE(IF(VLOOKUP($A129,数出表_Excel!$A$6:$T$150,COLUMN()/2+1,FALSE)=0,"",VLOOKUP($A129,数出表_Excel!$A$6:$T$150,COLUMN()/2+1,FALSE))),"")</f>
        <v/>
      </c>
      <c r="Y129" s="138"/>
      <c r="Z129" s="142" t="str">
        <f ca="1">IFERROR(VALUE(IF(VLOOKUP($A129,数出表_Excel!$A$6:$T$150,COLUMN()/2+1,FALSE)=0,"",VLOOKUP($A129,数出表_Excel!$A$6:$T$150,COLUMN()/2+1,FALSE))),"")</f>
        <v/>
      </c>
      <c r="AA129" s="176"/>
      <c r="AB129" s="143" t="str">
        <f ca="1">IFERROR(VALUE(IF(VLOOKUP($A129,数出表_Excel!$A$6:$T$150,COLUMN()/2+1,FALSE)=0,"",VLOOKUP($A129,数出表_Excel!$A$6:$T$150,COLUMN()/2+1,FALSE))),"")</f>
        <v/>
      </c>
      <c r="AC129" s="138"/>
      <c r="AD129" s="142" t="str">
        <f ca="1">IFERROR(VALUE(IF(VLOOKUP($A129,数出表_Excel!$A$6:$T$150,COLUMN()/2+1,FALSE)=0,"",VLOOKUP($A129,数出表_Excel!$A$6:$T$150,COLUMN()/2+1,FALSE))),"")</f>
        <v/>
      </c>
      <c r="AE129" s="138"/>
      <c r="AF129" s="142" t="str">
        <f ca="1">IFERROR(VALUE(IF(VLOOKUP($A129,数出表_Excel!$A$6:$T$150,COLUMN()/2+1,FALSE)=0,"",VLOOKUP($A129,数出表_Excel!$A$6:$T$150,COLUMN()/2+1,FALSE))),"")</f>
        <v/>
      </c>
      <c r="AG129" s="138"/>
      <c r="AH129" s="142" t="str">
        <f ca="1">IFERROR(VALUE(IF(VLOOKUP($A129,数出表_Excel!$A$6:$T$150,COLUMN()/2+1,FALSE)=0,"",VLOOKUP($A129,数出表_Excel!$A$6:$T$150,COLUMN()/2+1,FALSE))),"")</f>
        <v/>
      </c>
      <c r="AI129" s="176"/>
      <c r="AJ129" s="143" t="str">
        <f ca="1">IFERROR(VALUE(IF(VLOOKUP($A129,数出表_Excel!$A$6:$T$150,COLUMN()/2+1,FALSE)=0,"",VLOOKUP($A129,数出表_Excel!$A$6:$T$150,COLUMN()/2+1,FALSE))),"")</f>
        <v/>
      </c>
      <c r="AK129" s="138"/>
      <c r="AL129" s="144" t="e">
        <f ca="1">IF(A129&lt;&gt;"",
IF(VLOOKUP($A129,数出表_Excel!$A$6:$T$150,COLUMN()/2+1,FALSE)=0,"",VLOOKUP($A129,数出表_Excel!$A$6:$T$150,COLUMN()/2+1,FALSE)),"")</f>
        <v>#N/A</v>
      </c>
      <c r="AM129" s="224" t="e">
        <f>数出表_Excel!V129</f>
        <v>#N/A</v>
      </c>
      <c r="AN129" s="225" t="e">
        <f>数出表_Excel!W129</f>
        <v>#N/A</v>
      </c>
    </row>
    <row r="130" spans="1:40" ht="16.2" customHeight="1" x14ac:dyDescent="0.45">
      <c r="A130" s="184" t="e">
        <f t="array" aca="1" ref="A130" ca="1">IF(OR(COUNTIF(A128,"*10002*"),COUNTIF(A128,"")),"",INDEX(貼り付け用!$A:$A,MATCH(A128,貼り付け用!$A:$A,0)+2,0))</f>
        <v>#N/A</v>
      </c>
      <c r="B130" s="172" t="str">
        <f ca="1">IFERROR(VALUE(IF(VLOOKUP($A130,数出表_Excel!$A$6:$T$150,COLUMN()/2+1,FALSE)=0,"",VLOOKUP($A130,数出表_Excel!$A$6:$T$150,COLUMN()/2+1,FALSE))),"")</f>
        <v/>
      </c>
      <c r="C130" s="137"/>
      <c r="D130" s="172" t="str">
        <f ca="1">IFERROR(VALUE(IF(VLOOKUP($A130,数出表_Excel!$A$6:$T$150,COLUMN()/2+1,FALSE)=0,"",VLOOKUP($A130,数出表_Excel!$A$6:$T$150,COLUMN()/2+1,FALSE))),"")</f>
        <v/>
      </c>
      <c r="E130" s="137"/>
      <c r="F130" s="174" t="str">
        <f ca="1">IFERROR(VALUE(IF(VLOOKUP($A130,数出表_Excel!$A$6:$T$150,COLUMN()/2+1,FALSE)=0,"",VLOOKUP($A130,数出表_Excel!$A$6:$T$150,COLUMN()/2+1,FALSE))),"")</f>
        <v/>
      </c>
      <c r="G130" s="137"/>
      <c r="H130" s="172" t="str">
        <f ca="1">IFERROR(VALUE(IF(VLOOKUP($A130,数出表_Excel!$A$6:$T$150,COLUMN()/2+1,FALSE)=0,"",VLOOKUP($A130,数出表_Excel!$A$6:$T$150,COLUMN()/2+1,FALSE))),"")</f>
        <v/>
      </c>
      <c r="I130" s="137"/>
      <c r="J130" s="172" t="str">
        <f ca="1">IFERROR(VALUE(IF(VLOOKUP($A130,数出表_Excel!$A$6:$T$150,COLUMN()/2+1,FALSE)=0,"",VLOOKUP($A130,数出表_Excel!$A$6:$T$150,COLUMN()/2+1,FALSE))),"")</f>
        <v/>
      </c>
      <c r="K130" s="137"/>
      <c r="L130" s="174" t="str">
        <f ca="1">IFERROR(VALUE(IF(VLOOKUP($A130,数出表_Excel!$A$6:$T$150,COLUMN()/2+1,FALSE)=0,"",VLOOKUP($A130,数出表_Excel!$A$6:$T$150,COLUMN()/2+1,FALSE))),"")</f>
        <v/>
      </c>
      <c r="M130" s="137"/>
      <c r="N130" s="172" t="str">
        <f ca="1">IFERROR(VALUE(IF(VLOOKUP($A130,数出表_Excel!$A$6:$T$150,COLUMN()/2+1,FALSE)=0,"",VLOOKUP($A130,数出表_Excel!$A$6:$T$150,COLUMN()/2+1,FALSE))),"")</f>
        <v/>
      </c>
      <c r="O130" s="137"/>
      <c r="P130" s="172" t="str">
        <f ca="1">IFERROR(VALUE(IF(VLOOKUP($A130,数出表_Excel!$A$6:$T$150,COLUMN()/2+1,FALSE)=0,"",VLOOKUP($A130,数出表_Excel!$A$6:$T$150,COLUMN()/2+1,FALSE))),"")</f>
        <v/>
      </c>
      <c r="Q130" s="137"/>
      <c r="R130" s="172" t="str">
        <f ca="1">IFERROR(VALUE(IF(VLOOKUP($A130,数出表_Excel!$A$6:$T$150,COLUMN()/2+1,FALSE)=0,"",VLOOKUP($A130,数出表_Excel!$A$6:$T$150,COLUMN()/2+1,FALSE))),"")</f>
        <v/>
      </c>
      <c r="S130" s="137"/>
      <c r="T130" s="172" t="str">
        <f ca="1">IFERROR(VALUE(IF(VLOOKUP($A130,数出表_Excel!$A$6:$T$150,COLUMN()/2+1,FALSE)=0,"",VLOOKUP($A130,数出表_Excel!$A$6:$T$150,COLUMN()/2+1,FALSE))),"")</f>
        <v/>
      </c>
      <c r="U130" s="137"/>
      <c r="V130" s="174" t="str">
        <f ca="1">IFERROR(VALUE(IF(VLOOKUP($A130,数出表_Excel!$A$6:$T$150,COLUMN()/2+1,FALSE)=0,"",VLOOKUP($A130,数出表_Excel!$A$6:$T$150,COLUMN()/2+1,FALSE))),"")</f>
        <v/>
      </c>
      <c r="W130" s="137"/>
      <c r="X130" s="174" t="str">
        <f ca="1">IFERROR(VALUE(IF(VLOOKUP($A130,数出表_Excel!$A$6:$T$150,COLUMN()/2+1,FALSE)=0,"",VLOOKUP($A130,数出表_Excel!$A$6:$T$150,COLUMN()/2+1,FALSE))),"")</f>
        <v/>
      </c>
      <c r="Y130" s="137"/>
      <c r="Z130" s="174" t="str">
        <f ca="1">IFERROR(VALUE(IF(VLOOKUP($A130,数出表_Excel!$A$6:$T$150,COLUMN()/2+1,FALSE)=0,"",VLOOKUP($A130,数出表_Excel!$A$6:$T$150,COLUMN()/2+1,FALSE))),"")</f>
        <v/>
      </c>
      <c r="AA130" s="175"/>
      <c r="AB130" s="173" t="str">
        <f ca="1">IFERROR(VALUE(IF(VLOOKUP($A130,数出表_Excel!$A$6:$T$150,COLUMN()/2+1,FALSE)=0,"",VLOOKUP($A130,数出表_Excel!$A$6:$T$150,COLUMN()/2+1,FALSE))),"")</f>
        <v/>
      </c>
      <c r="AC130" s="137"/>
      <c r="AD130" s="174" t="str">
        <f ca="1">IFERROR(VALUE(IF(VLOOKUP($A130,数出表_Excel!$A$6:$T$150,COLUMN()/2+1,FALSE)=0,"",VLOOKUP($A130,数出表_Excel!$A$6:$T$150,COLUMN()/2+1,FALSE))),"")</f>
        <v/>
      </c>
      <c r="AE130" s="137"/>
      <c r="AF130" s="174" t="str">
        <f ca="1">IFERROR(VALUE(IF(VLOOKUP($A130,数出表_Excel!$A$6:$T$150,COLUMN()/2+1,FALSE)=0,"",VLOOKUP($A130,数出表_Excel!$A$6:$T$150,COLUMN()/2+1,FALSE))),"")</f>
        <v/>
      </c>
      <c r="AG130" s="137"/>
      <c r="AH130" s="174" t="str">
        <f ca="1">IFERROR(VALUE(IF(VLOOKUP($A130,数出表_Excel!$A$6:$T$150,COLUMN()/2+1,FALSE)=0,"",VLOOKUP($A130,数出表_Excel!$A$6:$T$150,COLUMN()/2+1,FALSE))),"")</f>
        <v/>
      </c>
      <c r="AI130" s="175"/>
      <c r="AJ130" s="173" t="str">
        <f ca="1">IFERROR(VALUE(IF(VLOOKUP($A130,数出表_Excel!$A$6:$T$150,COLUMN()/2+1,FALSE)=0,"",VLOOKUP($A130,数出表_Excel!$A$6:$T$150,COLUMN()/2+1,FALSE))),"")</f>
        <v/>
      </c>
      <c r="AK130" s="137"/>
      <c r="AL130" s="141" t="e">
        <f ca="1">IF(A130&lt;&gt;"",
IF(VLOOKUP($A130,数出表_Excel!$A$6:$T$150,COLUMN()/2+1,FALSE)=0,"",VLOOKUP($A130,数出表_Excel!$A$6:$T$150,COLUMN()/2+1,FALSE)),"")</f>
        <v>#N/A</v>
      </c>
      <c r="AM130" s="222" t="e">
        <f>数出表_Excel!V130</f>
        <v>#N/A</v>
      </c>
      <c r="AN130" s="223" t="e">
        <f>数出表_Excel!W130</f>
        <v>#N/A</v>
      </c>
    </row>
    <row r="131" spans="1:40" ht="16.2" customHeight="1" x14ac:dyDescent="0.45">
      <c r="A131" s="185" t="e">
        <f t="array" aca="1" ref="A131" ca="1">IF(OR(COUNTIF(A129,"*1000*"),COUNTIF(A129,"")),"",INDEX(貼り付け用!$A:$A,MATCH(A129,貼り付け用!$A:$A,0)+2,0))</f>
        <v>#N/A</v>
      </c>
      <c r="B131" s="138" t="str">
        <f ca="1">IFERROR(VALUE(IF(VLOOKUP($A131,数出表_Excel!$A$6:$T$150,COLUMN()/2+1,FALSE)=0,"",VLOOKUP($A131,数出表_Excel!$A$6:$T$150,COLUMN()/2+1,FALSE))),"")</f>
        <v/>
      </c>
      <c r="C131" s="138"/>
      <c r="D131" s="138" t="str">
        <f ca="1">IFERROR(VALUE(IF(VLOOKUP($A131,数出表_Excel!$A$6:$T$150,COLUMN()/2+1,FALSE)=0,"",VLOOKUP($A131,数出表_Excel!$A$6:$T$150,COLUMN()/2+1,FALSE))),"")</f>
        <v/>
      </c>
      <c r="E131" s="138"/>
      <c r="F131" s="142" t="str">
        <f ca="1">IFERROR(VALUE(IF(VLOOKUP($A131,数出表_Excel!$A$6:$T$150,COLUMN()/2+1,FALSE)=0,"",VLOOKUP($A131,数出表_Excel!$A$6:$T$150,COLUMN()/2+1,FALSE))),"")</f>
        <v/>
      </c>
      <c r="G131" s="138"/>
      <c r="H131" s="138" t="str">
        <f ca="1">IFERROR(VALUE(IF(VLOOKUP($A131,数出表_Excel!$A$6:$T$150,COLUMN()/2+1,FALSE)=0,"",VLOOKUP($A131,数出表_Excel!$A$6:$T$150,COLUMN()/2+1,FALSE))),"")</f>
        <v/>
      </c>
      <c r="I131" s="138"/>
      <c r="J131" s="138" t="str">
        <f ca="1">IFERROR(VALUE(IF(VLOOKUP($A131,数出表_Excel!$A$6:$T$150,COLUMN()/2+1,FALSE)=0,"",VLOOKUP($A131,数出表_Excel!$A$6:$T$150,COLUMN()/2+1,FALSE))),"")</f>
        <v/>
      </c>
      <c r="K131" s="138"/>
      <c r="L131" s="142" t="str">
        <f ca="1">IFERROR(VALUE(IF(VLOOKUP($A131,数出表_Excel!$A$6:$T$150,COLUMN()/2+1,FALSE)=0,"",VLOOKUP($A131,数出表_Excel!$A$6:$T$150,COLUMN()/2+1,FALSE))),"")</f>
        <v/>
      </c>
      <c r="M131" s="138"/>
      <c r="N131" s="138" t="str">
        <f ca="1">IFERROR(VALUE(IF(VLOOKUP($A131,数出表_Excel!$A$6:$T$150,COLUMN()/2+1,FALSE)=0,"",VLOOKUP($A131,数出表_Excel!$A$6:$T$150,COLUMN()/2+1,FALSE))),"")</f>
        <v/>
      </c>
      <c r="O131" s="138"/>
      <c r="P131" s="138" t="str">
        <f ca="1">IFERROR(VALUE(IF(VLOOKUP($A131,数出表_Excel!$A$6:$T$150,COLUMN()/2+1,FALSE)=0,"",VLOOKUP($A131,数出表_Excel!$A$6:$T$150,COLUMN()/2+1,FALSE))),"")</f>
        <v/>
      </c>
      <c r="Q131" s="138"/>
      <c r="R131" s="138" t="str">
        <f ca="1">IFERROR(VALUE(IF(VLOOKUP($A131,数出表_Excel!$A$6:$T$150,COLUMN()/2+1,FALSE)=0,"",VLOOKUP($A131,数出表_Excel!$A$6:$T$150,COLUMN()/2+1,FALSE))),"")</f>
        <v/>
      </c>
      <c r="S131" s="138"/>
      <c r="T131" s="138" t="str">
        <f ca="1">IFERROR(VALUE(IF(VLOOKUP($A131,数出表_Excel!$A$6:$T$150,COLUMN()/2+1,FALSE)=0,"",VLOOKUP($A131,数出表_Excel!$A$6:$T$150,COLUMN()/2+1,FALSE))),"")</f>
        <v/>
      </c>
      <c r="U131" s="138"/>
      <c r="V131" s="142" t="str">
        <f ca="1">IFERROR(VALUE(IF(VLOOKUP($A131,数出表_Excel!$A$6:$T$150,COLUMN()/2+1,FALSE)=0,"",VLOOKUP($A131,数出表_Excel!$A$6:$T$150,COLUMN()/2+1,FALSE))),"")</f>
        <v/>
      </c>
      <c r="W131" s="138"/>
      <c r="X131" s="142" t="str">
        <f ca="1">IFERROR(VALUE(IF(VLOOKUP($A131,数出表_Excel!$A$6:$T$150,COLUMN()/2+1,FALSE)=0,"",VLOOKUP($A131,数出表_Excel!$A$6:$T$150,COLUMN()/2+1,FALSE))),"")</f>
        <v/>
      </c>
      <c r="Y131" s="138"/>
      <c r="Z131" s="142" t="str">
        <f ca="1">IFERROR(VALUE(IF(VLOOKUP($A131,数出表_Excel!$A$6:$T$150,COLUMN()/2+1,FALSE)=0,"",VLOOKUP($A131,数出表_Excel!$A$6:$T$150,COLUMN()/2+1,FALSE))),"")</f>
        <v/>
      </c>
      <c r="AA131" s="176"/>
      <c r="AB131" s="143" t="str">
        <f ca="1">IFERROR(VALUE(IF(VLOOKUP($A131,数出表_Excel!$A$6:$T$150,COLUMN()/2+1,FALSE)=0,"",VLOOKUP($A131,数出表_Excel!$A$6:$T$150,COLUMN()/2+1,FALSE))),"")</f>
        <v/>
      </c>
      <c r="AC131" s="138"/>
      <c r="AD131" s="142" t="str">
        <f ca="1">IFERROR(VALUE(IF(VLOOKUP($A131,数出表_Excel!$A$6:$T$150,COLUMN()/2+1,FALSE)=0,"",VLOOKUP($A131,数出表_Excel!$A$6:$T$150,COLUMN()/2+1,FALSE))),"")</f>
        <v/>
      </c>
      <c r="AE131" s="138"/>
      <c r="AF131" s="142" t="str">
        <f ca="1">IFERROR(VALUE(IF(VLOOKUP($A131,数出表_Excel!$A$6:$T$150,COLUMN()/2+1,FALSE)=0,"",VLOOKUP($A131,数出表_Excel!$A$6:$T$150,COLUMN()/2+1,FALSE))),"")</f>
        <v/>
      </c>
      <c r="AG131" s="138"/>
      <c r="AH131" s="142" t="str">
        <f ca="1">IFERROR(VALUE(IF(VLOOKUP($A131,数出表_Excel!$A$6:$T$150,COLUMN()/2+1,FALSE)=0,"",VLOOKUP($A131,数出表_Excel!$A$6:$T$150,COLUMN()/2+1,FALSE))),"")</f>
        <v/>
      </c>
      <c r="AI131" s="176"/>
      <c r="AJ131" s="143" t="str">
        <f ca="1">IFERROR(VALUE(IF(VLOOKUP($A131,数出表_Excel!$A$6:$T$150,COLUMN()/2+1,FALSE)=0,"",VLOOKUP($A131,数出表_Excel!$A$6:$T$150,COLUMN()/2+1,FALSE))),"")</f>
        <v/>
      </c>
      <c r="AK131" s="138"/>
      <c r="AL131" s="144" t="e">
        <f ca="1">IF(A131&lt;&gt;"",
IF(VLOOKUP($A131,数出表_Excel!$A$6:$T$150,COLUMN()/2+1,FALSE)=0,"",VLOOKUP($A131,数出表_Excel!$A$6:$T$150,COLUMN()/2+1,FALSE)),"")</f>
        <v>#N/A</v>
      </c>
      <c r="AM131" s="224" t="e">
        <f>数出表_Excel!V131</f>
        <v>#N/A</v>
      </c>
      <c r="AN131" s="225" t="e">
        <f>数出表_Excel!W131</f>
        <v>#N/A</v>
      </c>
    </row>
    <row r="132" spans="1:40" ht="16.2" customHeight="1" x14ac:dyDescent="0.45">
      <c r="A132" s="184" t="e">
        <f t="array" aca="1" ref="A132" ca="1">IF(OR(COUNTIF(A130,"*10002*"),COUNTIF(A130,"")),"",INDEX(貼り付け用!$A:$A,MATCH(A130,貼り付け用!$A:$A,0)+2,0))</f>
        <v>#N/A</v>
      </c>
      <c r="B132" s="172" t="str">
        <f ca="1">IFERROR(VALUE(IF(VLOOKUP($A132,数出表_Excel!$A$6:$T$150,COLUMN()/2+1,FALSE)=0,"",VLOOKUP($A132,数出表_Excel!$A$6:$T$150,COLUMN()/2+1,FALSE))),"")</f>
        <v/>
      </c>
      <c r="C132" s="137"/>
      <c r="D132" s="172" t="str">
        <f ca="1">IFERROR(VALUE(IF(VLOOKUP($A132,数出表_Excel!$A$6:$T$150,COLUMN()/2+1,FALSE)=0,"",VLOOKUP($A132,数出表_Excel!$A$6:$T$150,COLUMN()/2+1,FALSE))),"")</f>
        <v/>
      </c>
      <c r="E132" s="137"/>
      <c r="F132" s="174" t="str">
        <f ca="1">IFERROR(VALUE(IF(VLOOKUP($A132,数出表_Excel!$A$6:$T$150,COLUMN()/2+1,FALSE)=0,"",VLOOKUP($A132,数出表_Excel!$A$6:$T$150,COLUMN()/2+1,FALSE))),"")</f>
        <v/>
      </c>
      <c r="G132" s="137"/>
      <c r="H132" s="172" t="str">
        <f ca="1">IFERROR(VALUE(IF(VLOOKUP($A132,数出表_Excel!$A$6:$T$150,COLUMN()/2+1,FALSE)=0,"",VLOOKUP($A132,数出表_Excel!$A$6:$T$150,COLUMN()/2+1,FALSE))),"")</f>
        <v/>
      </c>
      <c r="I132" s="137"/>
      <c r="J132" s="172" t="str">
        <f ca="1">IFERROR(VALUE(IF(VLOOKUP($A132,数出表_Excel!$A$6:$T$150,COLUMN()/2+1,FALSE)=0,"",VLOOKUP($A132,数出表_Excel!$A$6:$T$150,COLUMN()/2+1,FALSE))),"")</f>
        <v/>
      </c>
      <c r="K132" s="137"/>
      <c r="L132" s="174" t="str">
        <f ca="1">IFERROR(VALUE(IF(VLOOKUP($A132,数出表_Excel!$A$6:$T$150,COLUMN()/2+1,FALSE)=0,"",VLOOKUP($A132,数出表_Excel!$A$6:$T$150,COLUMN()/2+1,FALSE))),"")</f>
        <v/>
      </c>
      <c r="M132" s="137"/>
      <c r="N132" s="172" t="str">
        <f ca="1">IFERROR(VALUE(IF(VLOOKUP($A132,数出表_Excel!$A$6:$T$150,COLUMN()/2+1,FALSE)=0,"",VLOOKUP($A132,数出表_Excel!$A$6:$T$150,COLUMN()/2+1,FALSE))),"")</f>
        <v/>
      </c>
      <c r="O132" s="137"/>
      <c r="P132" s="172" t="str">
        <f ca="1">IFERROR(VALUE(IF(VLOOKUP($A132,数出表_Excel!$A$6:$T$150,COLUMN()/2+1,FALSE)=0,"",VLOOKUP($A132,数出表_Excel!$A$6:$T$150,COLUMN()/2+1,FALSE))),"")</f>
        <v/>
      </c>
      <c r="Q132" s="137"/>
      <c r="R132" s="172" t="str">
        <f ca="1">IFERROR(VALUE(IF(VLOOKUP($A132,数出表_Excel!$A$6:$T$150,COLUMN()/2+1,FALSE)=0,"",VLOOKUP($A132,数出表_Excel!$A$6:$T$150,COLUMN()/2+1,FALSE))),"")</f>
        <v/>
      </c>
      <c r="S132" s="137"/>
      <c r="T132" s="172" t="str">
        <f ca="1">IFERROR(VALUE(IF(VLOOKUP($A132,数出表_Excel!$A$6:$T$150,COLUMN()/2+1,FALSE)=0,"",VLOOKUP($A132,数出表_Excel!$A$6:$T$150,COLUMN()/2+1,FALSE))),"")</f>
        <v/>
      </c>
      <c r="U132" s="137"/>
      <c r="V132" s="174" t="str">
        <f ca="1">IFERROR(VALUE(IF(VLOOKUP($A132,数出表_Excel!$A$6:$T$150,COLUMN()/2+1,FALSE)=0,"",VLOOKUP($A132,数出表_Excel!$A$6:$T$150,COLUMN()/2+1,FALSE))),"")</f>
        <v/>
      </c>
      <c r="W132" s="137"/>
      <c r="X132" s="174" t="str">
        <f ca="1">IFERROR(VALUE(IF(VLOOKUP($A132,数出表_Excel!$A$6:$T$150,COLUMN()/2+1,FALSE)=0,"",VLOOKUP($A132,数出表_Excel!$A$6:$T$150,COLUMN()/2+1,FALSE))),"")</f>
        <v/>
      </c>
      <c r="Y132" s="137"/>
      <c r="Z132" s="174" t="str">
        <f ca="1">IFERROR(VALUE(IF(VLOOKUP($A132,数出表_Excel!$A$6:$T$150,COLUMN()/2+1,FALSE)=0,"",VLOOKUP($A132,数出表_Excel!$A$6:$T$150,COLUMN()/2+1,FALSE))),"")</f>
        <v/>
      </c>
      <c r="AA132" s="175"/>
      <c r="AB132" s="173" t="str">
        <f ca="1">IFERROR(VALUE(IF(VLOOKUP($A132,数出表_Excel!$A$6:$T$150,COLUMN()/2+1,FALSE)=0,"",VLOOKUP($A132,数出表_Excel!$A$6:$T$150,COLUMN()/2+1,FALSE))),"")</f>
        <v/>
      </c>
      <c r="AC132" s="137"/>
      <c r="AD132" s="174" t="str">
        <f ca="1">IFERROR(VALUE(IF(VLOOKUP($A132,数出表_Excel!$A$6:$T$150,COLUMN()/2+1,FALSE)=0,"",VLOOKUP($A132,数出表_Excel!$A$6:$T$150,COLUMN()/2+1,FALSE))),"")</f>
        <v/>
      </c>
      <c r="AE132" s="137"/>
      <c r="AF132" s="174" t="str">
        <f ca="1">IFERROR(VALUE(IF(VLOOKUP($A132,数出表_Excel!$A$6:$T$150,COLUMN()/2+1,FALSE)=0,"",VLOOKUP($A132,数出表_Excel!$A$6:$T$150,COLUMN()/2+1,FALSE))),"")</f>
        <v/>
      </c>
      <c r="AG132" s="137"/>
      <c r="AH132" s="174" t="str">
        <f ca="1">IFERROR(VALUE(IF(VLOOKUP($A132,数出表_Excel!$A$6:$T$150,COLUMN()/2+1,FALSE)=0,"",VLOOKUP($A132,数出表_Excel!$A$6:$T$150,COLUMN()/2+1,FALSE))),"")</f>
        <v/>
      </c>
      <c r="AI132" s="175"/>
      <c r="AJ132" s="173" t="str">
        <f ca="1">IFERROR(VALUE(IF(VLOOKUP($A132,数出表_Excel!$A$6:$T$150,COLUMN()/2+1,FALSE)=0,"",VLOOKUP($A132,数出表_Excel!$A$6:$T$150,COLUMN()/2+1,FALSE))),"")</f>
        <v/>
      </c>
      <c r="AK132" s="137"/>
      <c r="AL132" s="141" t="e">
        <f ca="1">IF(A132&lt;&gt;"",
IF(VLOOKUP($A132,数出表_Excel!$A$6:$T$150,COLUMN()/2+1,FALSE)=0,"",VLOOKUP($A132,数出表_Excel!$A$6:$T$150,COLUMN()/2+1,FALSE)),"")</f>
        <v>#N/A</v>
      </c>
      <c r="AM132" s="222" t="e">
        <f>数出表_Excel!V132</f>
        <v>#N/A</v>
      </c>
      <c r="AN132" s="223" t="e">
        <f>数出表_Excel!W132</f>
        <v>#N/A</v>
      </c>
    </row>
    <row r="133" spans="1:40" ht="16.2" customHeight="1" x14ac:dyDescent="0.45">
      <c r="A133" s="185" t="e">
        <f t="array" aca="1" ref="A133" ca="1">IF(OR(COUNTIF(A131,"*1000*"),COUNTIF(A131,"")),"",INDEX(貼り付け用!$A:$A,MATCH(A131,貼り付け用!$A:$A,0)+2,0))</f>
        <v>#N/A</v>
      </c>
      <c r="B133" s="138" t="str">
        <f ca="1">IFERROR(VALUE(IF(VLOOKUP($A133,数出表_Excel!$A$6:$T$150,COLUMN()/2+1,FALSE)=0,"",VLOOKUP($A133,数出表_Excel!$A$6:$T$150,COLUMN()/2+1,FALSE))),"")</f>
        <v/>
      </c>
      <c r="C133" s="138"/>
      <c r="D133" s="138" t="str">
        <f ca="1">IFERROR(VALUE(IF(VLOOKUP($A133,数出表_Excel!$A$6:$T$150,COLUMN()/2+1,FALSE)=0,"",VLOOKUP($A133,数出表_Excel!$A$6:$T$150,COLUMN()/2+1,FALSE))),"")</f>
        <v/>
      </c>
      <c r="E133" s="138"/>
      <c r="F133" s="142" t="str">
        <f ca="1">IFERROR(VALUE(IF(VLOOKUP($A133,数出表_Excel!$A$6:$T$150,COLUMN()/2+1,FALSE)=0,"",VLOOKUP($A133,数出表_Excel!$A$6:$T$150,COLUMN()/2+1,FALSE))),"")</f>
        <v/>
      </c>
      <c r="G133" s="138"/>
      <c r="H133" s="138" t="str">
        <f ca="1">IFERROR(VALUE(IF(VLOOKUP($A133,数出表_Excel!$A$6:$T$150,COLUMN()/2+1,FALSE)=0,"",VLOOKUP($A133,数出表_Excel!$A$6:$T$150,COLUMN()/2+1,FALSE))),"")</f>
        <v/>
      </c>
      <c r="I133" s="138"/>
      <c r="J133" s="138" t="str">
        <f ca="1">IFERROR(VALUE(IF(VLOOKUP($A133,数出表_Excel!$A$6:$T$150,COLUMN()/2+1,FALSE)=0,"",VLOOKUP($A133,数出表_Excel!$A$6:$T$150,COLUMN()/2+1,FALSE))),"")</f>
        <v/>
      </c>
      <c r="K133" s="138"/>
      <c r="L133" s="142" t="str">
        <f ca="1">IFERROR(VALUE(IF(VLOOKUP($A133,数出表_Excel!$A$6:$T$150,COLUMN()/2+1,FALSE)=0,"",VLOOKUP($A133,数出表_Excel!$A$6:$T$150,COLUMN()/2+1,FALSE))),"")</f>
        <v/>
      </c>
      <c r="M133" s="138"/>
      <c r="N133" s="138" t="str">
        <f ca="1">IFERROR(VALUE(IF(VLOOKUP($A133,数出表_Excel!$A$6:$T$150,COLUMN()/2+1,FALSE)=0,"",VLOOKUP($A133,数出表_Excel!$A$6:$T$150,COLUMN()/2+1,FALSE))),"")</f>
        <v/>
      </c>
      <c r="O133" s="138"/>
      <c r="P133" s="138" t="str">
        <f ca="1">IFERROR(VALUE(IF(VLOOKUP($A133,数出表_Excel!$A$6:$T$150,COLUMN()/2+1,FALSE)=0,"",VLOOKUP($A133,数出表_Excel!$A$6:$T$150,COLUMN()/2+1,FALSE))),"")</f>
        <v/>
      </c>
      <c r="Q133" s="138"/>
      <c r="R133" s="138" t="str">
        <f ca="1">IFERROR(VALUE(IF(VLOOKUP($A133,数出表_Excel!$A$6:$T$150,COLUMN()/2+1,FALSE)=0,"",VLOOKUP($A133,数出表_Excel!$A$6:$T$150,COLUMN()/2+1,FALSE))),"")</f>
        <v/>
      </c>
      <c r="S133" s="138"/>
      <c r="T133" s="138" t="str">
        <f ca="1">IFERROR(VALUE(IF(VLOOKUP($A133,数出表_Excel!$A$6:$T$150,COLUMN()/2+1,FALSE)=0,"",VLOOKUP($A133,数出表_Excel!$A$6:$T$150,COLUMN()/2+1,FALSE))),"")</f>
        <v/>
      </c>
      <c r="U133" s="138"/>
      <c r="V133" s="142" t="str">
        <f ca="1">IFERROR(VALUE(IF(VLOOKUP($A133,数出表_Excel!$A$6:$T$150,COLUMN()/2+1,FALSE)=0,"",VLOOKUP($A133,数出表_Excel!$A$6:$T$150,COLUMN()/2+1,FALSE))),"")</f>
        <v/>
      </c>
      <c r="W133" s="138"/>
      <c r="X133" s="142" t="str">
        <f ca="1">IFERROR(VALUE(IF(VLOOKUP($A133,数出表_Excel!$A$6:$T$150,COLUMN()/2+1,FALSE)=0,"",VLOOKUP($A133,数出表_Excel!$A$6:$T$150,COLUMN()/2+1,FALSE))),"")</f>
        <v/>
      </c>
      <c r="Y133" s="138"/>
      <c r="Z133" s="142" t="str">
        <f ca="1">IFERROR(VALUE(IF(VLOOKUP($A133,数出表_Excel!$A$6:$T$150,COLUMN()/2+1,FALSE)=0,"",VLOOKUP($A133,数出表_Excel!$A$6:$T$150,COLUMN()/2+1,FALSE))),"")</f>
        <v/>
      </c>
      <c r="AA133" s="176"/>
      <c r="AB133" s="143" t="str">
        <f ca="1">IFERROR(VALUE(IF(VLOOKUP($A133,数出表_Excel!$A$6:$T$150,COLUMN()/2+1,FALSE)=0,"",VLOOKUP($A133,数出表_Excel!$A$6:$T$150,COLUMN()/2+1,FALSE))),"")</f>
        <v/>
      </c>
      <c r="AC133" s="138"/>
      <c r="AD133" s="142" t="str">
        <f ca="1">IFERROR(VALUE(IF(VLOOKUP($A133,数出表_Excel!$A$6:$T$150,COLUMN()/2+1,FALSE)=0,"",VLOOKUP($A133,数出表_Excel!$A$6:$T$150,COLUMN()/2+1,FALSE))),"")</f>
        <v/>
      </c>
      <c r="AE133" s="138"/>
      <c r="AF133" s="142" t="str">
        <f ca="1">IFERROR(VALUE(IF(VLOOKUP($A133,数出表_Excel!$A$6:$T$150,COLUMN()/2+1,FALSE)=0,"",VLOOKUP($A133,数出表_Excel!$A$6:$T$150,COLUMN()/2+1,FALSE))),"")</f>
        <v/>
      </c>
      <c r="AG133" s="138"/>
      <c r="AH133" s="142" t="str">
        <f ca="1">IFERROR(VALUE(IF(VLOOKUP($A133,数出表_Excel!$A$6:$T$150,COLUMN()/2+1,FALSE)=0,"",VLOOKUP($A133,数出表_Excel!$A$6:$T$150,COLUMN()/2+1,FALSE))),"")</f>
        <v/>
      </c>
      <c r="AI133" s="176"/>
      <c r="AJ133" s="143" t="str">
        <f ca="1">IFERROR(VALUE(IF(VLOOKUP($A133,数出表_Excel!$A$6:$T$150,COLUMN()/2+1,FALSE)=0,"",VLOOKUP($A133,数出表_Excel!$A$6:$T$150,COLUMN()/2+1,FALSE))),"")</f>
        <v/>
      </c>
      <c r="AK133" s="138"/>
      <c r="AL133" s="144" t="e">
        <f ca="1">IF(A133&lt;&gt;"",
IF(VLOOKUP($A133,数出表_Excel!$A$6:$T$150,COLUMN()/2+1,FALSE)=0,"",VLOOKUP($A133,数出表_Excel!$A$6:$T$150,COLUMN()/2+1,FALSE)),"")</f>
        <v>#N/A</v>
      </c>
      <c r="AM133" s="224" t="e">
        <f>数出表_Excel!V133</f>
        <v>#N/A</v>
      </c>
      <c r="AN133" s="225" t="e">
        <f>数出表_Excel!W133</f>
        <v>#N/A</v>
      </c>
    </row>
    <row r="134" spans="1:40" ht="16.2" customHeight="1" x14ac:dyDescent="0.45">
      <c r="A134" s="184" t="e">
        <f t="array" aca="1" ref="A134" ca="1">IF(OR(COUNTIF(A132,"*10002*"),COUNTIF(A132,"")),"",INDEX(貼り付け用!$A:$A,MATCH(A132,貼り付け用!$A:$A,0)+2,0))</f>
        <v>#N/A</v>
      </c>
      <c r="B134" s="172" t="str">
        <f ca="1">IFERROR(VALUE(IF(VLOOKUP($A134,数出表_Excel!$A$6:$T$150,COLUMN()/2+1,FALSE)=0,"",VLOOKUP($A134,数出表_Excel!$A$6:$T$150,COLUMN()/2+1,FALSE))),"")</f>
        <v/>
      </c>
      <c r="C134" s="137"/>
      <c r="D134" s="172" t="str">
        <f ca="1">IFERROR(VALUE(IF(VLOOKUP($A134,数出表_Excel!$A$6:$T$150,COLUMN()/2+1,FALSE)=0,"",VLOOKUP($A134,数出表_Excel!$A$6:$T$150,COLUMN()/2+1,FALSE))),"")</f>
        <v/>
      </c>
      <c r="E134" s="137"/>
      <c r="F134" s="174" t="str">
        <f ca="1">IFERROR(VALUE(IF(VLOOKUP($A134,数出表_Excel!$A$6:$T$150,COLUMN()/2+1,FALSE)=0,"",VLOOKUP($A134,数出表_Excel!$A$6:$T$150,COLUMN()/2+1,FALSE))),"")</f>
        <v/>
      </c>
      <c r="G134" s="137"/>
      <c r="H134" s="172" t="str">
        <f ca="1">IFERROR(VALUE(IF(VLOOKUP($A134,数出表_Excel!$A$6:$T$150,COLUMN()/2+1,FALSE)=0,"",VLOOKUP($A134,数出表_Excel!$A$6:$T$150,COLUMN()/2+1,FALSE))),"")</f>
        <v/>
      </c>
      <c r="I134" s="137"/>
      <c r="J134" s="172" t="str">
        <f ca="1">IFERROR(VALUE(IF(VLOOKUP($A134,数出表_Excel!$A$6:$T$150,COLUMN()/2+1,FALSE)=0,"",VLOOKUP($A134,数出表_Excel!$A$6:$T$150,COLUMN()/2+1,FALSE))),"")</f>
        <v/>
      </c>
      <c r="K134" s="137"/>
      <c r="L134" s="174" t="str">
        <f ca="1">IFERROR(VALUE(IF(VLOOKUP($A134,数出表_Excel!$A$6:$T$150,COLUMN()/2+1,FALSE)=0,"",VLOOKUP($A134,数出表_Excel!$A$6:$T$150,COLUMN()/2+1,FALSE))),"")</f>
        <v/>
      </c>
      <c r="M134" s="137"/>
      <c r="N134" s="172" t="str">
        <f ca="1">IFERROR(VALUE(IF(VLOOKUP($A134,数出表_Excel!$A$6:$T$150,COLUMN()/2+1,FALSE)=0,"",VLOOKUP($A134,数出表_Excel!$A$6:$T$150,COLUMN()/2+1,FALSE))),"")</f>
        <v/>
      </c>
      <c r="O134" s="137"/>
      <c r="P134" s="172" t="str">
        <f ca="1">IFERROR(VALUE(IF(VLOOKUP($A134,数出表_Excel!$A$6:$T$150,COLUMN()/2+1,FALSE)=0,"",VLOOKUP($A134,数出表_Excel!$A$6:$T$150,COLUMN()/2+1,FALSE))),"")</f>
        <v/>
      </c>
      <c r="Q134" s="137"/>
      <c r="R134" s="172" t="str">
        <f ca="1">IFERROR(VALUE(IF(VLOOKUP($A134,数出表_Excel!$A$6:$T$150,COLUMN()/2+1,FALSE)=0,"",VLOOKUP($A134,数出表_Excel!$A$6:$T$150,COLUMN()/2+1,FALSE))),"")</f>
        <v/>
      </c>
      <c r="S134" s="137"/>
      <c r="T134" s="172" t="str">
        <f ca="1">IFERROR(VALUE(IF(VLOOKUP($A134,数出表_Excel!$A$6:$T$150,COLUMN()/2+1,FALSE)=0,"",VLOOKUP($A134,数出表_Excel!$A$6:$T$150,COLUMN()/2+1,FALSE))),"")</f>
        <v/>
      </c>
      <c r="U134" s="137"/>
      <c r="V134" s="174" t="str">
        <f ca="1">IFERROR(VALUE(IF(VLOOKUP($A134,数出表_Excel!$A$6:$T$150,COLUMN()/2+1,FALSE)=0,"",VLOOKUP($A134,数出表_Excel!$A$6:$T$150,COLUMN()/2+1,FALSE))),"")</f>
        <v/>
      </c>
      <c r="W134" s="137"/>
      <c r="X134" s="174" t="str">
        <f ca="1">IFERROR(VALUE(IF(VLOOKUP($A134,数出表_Excel!$A$6:$T$150,COLUMN()/2+1,FALSE)=0,"",VLOOKUP($A134,数出表_Excel!$A$6:$T$150,COLUMN()/2+1,FALSE))),"")</f>
        <v/>
      </c>
      <c r="Y134" s="137"/>
      <c r="Z134" s="174" t="str">
        <f ca="1">IFERROR(VALUE(IF(VLOOKUP($A134,数出表_Excel!$A$6:$T$150,COLUMN()/2+1,FALSE)=0,"",VLOOKUP($A134,数出表_Excel!$A$6:$T$150,COLUMN()/2+1,FALSE))),"")</f>
        <v/>
      </c>
      <c r="AA134" s="175"/>
      <c r="AB134" s="173" t="str">
        <f ca="1">IFERROR(VALUE(IF(VLOOKUP($A134,数出表_Excel!$A$6:$T$150,COLUMN()/2+1,FALSE)=0,"",VLOOKUP($A134,数出表_Excel!$A$6:$T$150,COLUMN()/2+1,FALSE))),"")</f>
        <v/>
      </c>
      <c r="AC134" s="137"/>
      <c r="AD134" s="174" t="str">
        <f ca="1">IFERROR(VALUE(IF(VLOOKUP($A134,数出表_Excel!$A$6:$T$150,COLUMN()/2+1,FALSE)=0,"",VLOOKUP($A134,数出表_Excel!$A$6:$T$150,COLUMN()/2+1,FALSE))),"")</f>
        <v/>
      </c>
      <c r="AE134" s="137"/>
      <c r="AF134" s="174" t="str">
        <f ca="1">IFERROR(VALUE(IF(VLOOKUP($A134,数出表_Excel!$A$6:$T$150,COLUMN()/2+1,FALSE)=0,"",VLOOKUP($A134,数出表_Excel!$A$6:$T$150,COLUMN()/2+1,FALSE))),"")</f>
        <v/>
      </c>
      <c r="AG134" s="137"/>
      <c r="AH134" s="174" t="str">
        <f ca="1">IFERROR(VALUE(IF(VLOOKUP($A134,数出表_Excel!$A$6:$T$150,COLUMN()/2+1,FALSE)=0,"",VLOOKUP($A134,数出表_Excel!$A$6:$T$150,COLUMN()/2+1,FALSE))),"")</f>
        <v/>
      </c>
      <c r="AI134" s="175"/>
      <c r="AJ134" s="173" t="str">
        <f ca="1">IFERROR(VALUE(IF(VLOOKUP($A134,数出表_Excel!$A$6:$T$150,COLUMN()/2+1,FALSE)=0,"",VLOOKUP($A134,数出表_Excel!$A$6:$T$150,COLUMN()/2+1,FALSE))),"")</f>
        <v/>
      </c>
      <c r="AK134" s="137"/>
      <c r="AL134" s="141" t="e">
        <f ca="1">IF(A134&lt;&gt;"",
IF(VLOOKUP($A134,数出表_Excel!$A$6:$T$150,COLUMN()/2+1,FALSE)=0,"",VLOOKUP($A134,数出表_Excel!$A$6:$T$150,COLUMN()/2+1,FALSE)),"")</f>
        <v>#N/A</v>
      </c>
      <c r="AM134" s="222" t="e">
        <f>数出表_Excel!V134</f>
        <v>#N/A</v>
      </c>
      <c r="AN134" s="223" t="e">
        <f>数出表_Excel!W134</f>
        <v>#N/A</v>
      </c>
    </row>
    <row r="135" spans="1:40" ht="16.2" customHeight="1" x14ac:dyDescent="0.45">
      <c r="A135" s="185" t="e">
        <f t="array" aca="1" ref="A135" ca="1">IF(OR(COUNTIF(A133,"*1000*"),COUNTIF(A133,"")),"",INDEX(貼り付け用!$A:$A,MATCH(A133,貼り付け用!$A:$A,0)+2,0))</f>
        <v>#N/A</v>
      </c>
      <c r="B135" s="138" t="str">
        <f ca="1">IFERROR(VALUE(IF(VLOOKUP($A135,数出表_Excel!$A$6:$T$150,COLUMN()/2+1,FALSE)=0,"",VLOOKUP($A135,数出表_Excel!$A$6:$T$150,COLUMN()/2+1,FALSE))),"")</f>
        <v/>
      </c>
      <c r="C135" s="138"/>
      <c r="D135" s="138" t="str">
        <f ca="1">IFERROR(VALUE(IF(VLOOKUP($A135,数出表_Excel!$A$6:$T$150,COLUMN()/2+1,FALSE)=0,"",VLOOKUP($A135,数出表_Excel!$A$6:$T$150,COLUMN()/2+1,FALSE))),"")</f>
        <v/>
      </c>
      <c r="E135" s="138"/>
      <c r="F135" s="142" t="str">
        <f ca="1">IFERROR(VALUE(IF(VLOOKUP($A135,数出表_Excel!$A$6:$T$150,COLUMN()/2+1,FALSE)=0,"",VLOOKUP($A135,数出表_Excel!$A$6:$T$150,COLUMN()/2+1,FALSE))),"")</f>
        <v/>
      </c>
      <c r="G135" s="138"/>
      <c r="H135" s="138" t="str">
        <f ca="1">IFERROR(VALUE(IF(VLOOKUP($A135,数出表_Excel!$A$6:$T$150,COLUMN()/2+1,FALSE)=0,"",VLOOKUP($A135,数出表_Excel!$A$6:$T$150,COLUMN()/2+1,FALSE))),"")</f>
        <v/>
      </c>
      <c r="I135" s="138"/>
      <c r="J135" s="138" t="str">
        <f ca="1">IFERROR(VALUE(IF(VLOOKUP($A135,数出表_Excel!$A$6:$T$150,COLUMN()/2+1,FALSE)=0,"",VLOOKUP($A135,数出表_Excel!$A$6:$T$150,COLUMN()/2+1,FALSE))),"")</f>
        <v/>
      </c>
      <c r="K135" s="138"/>
      <c r="L135" s="142" t="str">
        <f ca="1">IFERROR(VALUE(IF(VLOOKUP($A135,数出表_Excel!$A$6:$T$150,COLUMN()/2+1,FALSE)=0,"",VLOOKUP($A135,数出表_Excel!$A$6:$T$150,COLUMN()/2+1,FALSE))),"")</f>
        <v/>
      </c>
      <c r="M135" s="138"/>
      <c r="N135" s="138" t="str">
        <f ca="1">IFERROR(VALUE(IF(VLOOKUP($A135,数出表_Excel!$A$6:$T$150,COLUMN()/2+1,FALSE)=0,"",VLOOKUP($A135,数出表_Excel!$A$6:$T$150,COLUMN()/2+1,FALSE))),"")</f>
        <v/>
      </c>
      <c r="O135" s="138"/>
      <c r="P135" s="138" t="str">
        <f ca="1">IFERROR(VALUE(IF(VLOOKUP($A135,数出表_Excel!$A$6:$T$150,COLUMN()/2+1,FALSE)=0,"",VLOOKUP($A135,数出表_Excel!$A$6:$T$150,COLUMN()/2+1,FALSE))),"")</f>
        <v/>
      </c>
      <c r="Q135" s="138"/>
      <c r="R135" s="138" t="str">
        <f ca="1">IFERROR(VALUE(IF(VLOOKUP($A135,数出表_Excel!$A$6:$T$150,COLUMN()/2+1,FALSE)=0,"",VLOOKUP($A135,数出表_Excel!$A$6:$T$150,COLUMN()/2+1,FALSE))),"")</f>
        <v/>
      </c>
      <c r="S135" s="138"/>
      <c r="T135" s="138" t="str">
        <f ca="1">IFERROR(VALUE(IF(VLOOKUP($A135,数出表_Excel!$A$6:$T$150,COLUMN()/2+1,FALSE)=0,"",VLOOKUP($A135,数出表_Excel!$A$6:$T$150,COLUMN()/2+1,FALSE))),"")</f>
        <v/>
      </c>
      <c r="U135" s="138"/>
      <c r="V135" s="142" t="str">
        <f ca="1">IFERROR(VALUE(IF(VLOOKUP($A135,数出表_Excel!$A$6:$T$150,COLUMN()/2+1,FALSE)=0,"",VLOOKUP($A135,数出表_Excel!$A$6:$T$150,COLUMN()/2+1,FALSE))),"")</f>
        <v/>
      </c>
      <c r="W135" s="138"/>
      <c r="X135" s="142" t="str">
        <f ca="1">IFERROR(VALUE(IF(VLOOKUP($A135,数出表_Excel!$A$6:$T$150,COLUMN()/2+1,FALSE)=0,"",VLOOKUP($A135,数出表_Excel!$A$6:$T$150,COLUMN()/2+1,FALSE))),"")</f>
        <v/>
      </c>
      <c r="Y135" s="138"/>
      <c r="Z135" s="142" t="str">
        <f ca="1">IFERROR(VALUE(IF(VLOOKUP($A135,数出表_Excel!$A$6:$T$150,COLUMN()/2+1,FALSE)=0,"",VLOOKUP($A135,数出表_Excel!$A$6:$T$150,COLUMN()/2+1,FALSE))),"")</f>
        <v/>
      </c>
      <c r="AA135" s="176"/>
      <c r="AB135" s="143" t="str">
        <f ca="1">IFERROR(VALUE(IF(VLOOKUP($A135,数出表_Excel!$A$6:$T$150,COLUMN()/2+1,FALSE)=0,"",VLOOKUP($A135,数出表_Excel!$A$6:$T$150,COLUMN()/2+1,FALSE))),"")</f>
        <v/>
      </c>
      <c r="AC135" s="138"/>
      <c r="AD135" s="142" t="str">
        <f ca="1">IFERROR(VALUE(IF(VLOOKUP($A135,数出表_Excel!$A$6:$T$150,COLUMN()/2+1,FALSE)=0,"",VLOOKUP($A135,数出表_Excel!$A$6:$T$150,COLUMN()/2+1,FALSE))),"")</f>
        <v/>
      </c>
      <c r="AE135" s="138"/>
      <c r="AF135" s="142" t="str">
        <f ca="1">IFERROR(VALUE(IF(VLOOKUP($A135,数出表_Excel!$A$6:$T$150,COLUMN()/2+1,FALSE)=0,"",VLOOKUP($A135,数出表_Excel!$A$6:$T$150,COLUMN()/2+1,FALSE))),"")</f>
        <v/>
      </c>
      <c r="AG135" s="138"/>
      <c r="AH135" s="142" t="str">
        <f ca="1">IFERROR(VALUE(IF(VLOOKUP($A135,数出表_Excel!$A$6:$T$150,COLUMN()/2+1,FALSE)=0,"",VLOOKUP($A135,数出表_Excel!$A$6:$T$150,COLUMN()/2+1,FALSE))),"")</f>
        <v/>
      </c>
      <c r="AI135" s="176"/>
      <c r="AJ135" s="143" t="str">
        <f ca="1">IFERROR(VALUE(IF(VLOOKUP($A135,数出表_Excel!$A$6:$T$150,COLUMN()/2+1,FALSE)=0,"",VLOOKUP($A135,数出表_Excel!$A$6:$T$150,COLUMN()/2+1,FALSE))),"")</f>
        <v/>
      </c>
      <c r="AK135" s="138"/>
      <c r="AL135" s="144" t="e">
        <f ca="1">IF(A135&lt;&gt;"",
IF(VLOOKUP($A135,数出表_Excel!$A$6:$T$150,COLUMN()/2+1,FALSE)=0,"",VLOOKUP($A135,数出表_Excel!$A$6:$T$150,COLUMN()/2+1,FALSE)),"")</f>
        <v>#N/A</v>
      </c>
      <c r="AM135" s="224" t="e">
        <f>数出表_Excel!V135</f>
        <v>#N/A</v>
      </c>
      <c r="AN135" s="225" t="e">
        <f>数出表_Excel!W135</f>
        <v>#N/A</v>
      </c>
    </row>
    <row r="136" spans="1:40" ht="16.2" customHeight="1" x14ac:dyDescent="0.45">
      <c r="A136" s="184" t="e">
        <f t="array" aca="1" ref="A136" ca="1">IF(OR(COUNTIF(A134,"*10002*"),COUNTIF(A134,"")),"",INDEX(貼り付け用!$A:$A,MATCH(A134,貼り付け用!$A:$A,0)+2,0))</f>
        <v>#N/A</v>
      </c>
      <c r="B136" s="172" t="str">
        <f ca="1">IFERROR(VALUE(IF(VLOOKUP($A136,数出表_Excel!$A$6:$T$150,COLUMN()/2+1,FALSE)=0,"",VLOOKUP($A136,数出表_Excel!$A$6:$T$150,COLUMN()/2+1,FALSE))),"")</f>
        <v/>
      </c>
      <c r="C136" s="137"/>
      <c r="D136" s="172" t="str">
        <f ca="1">IFERROR(VALUE(IF(VLOOKUP($A136,数出表_Excel!$A$6:$T$150,COLUMN()/2+1,FALSE)=0,"",VLOOKUP($A136,数出表_Excel!$A$6:$T$150,COLUMN()/2+1,FALSE))),"")</f>
        <v/>
      </c>
      <c r="E136" s="137"/>
      <c r="F136" s="174" t="str">
        <f ca="1">IFERROR(VALUE(IF(VLOOKUP($A136,数出表_Excel!$A$6:$T$150,COLUMN()/2+1,FALSE)=0,"",VLOOKUP($A136,数出表_Excel!$A$6:$T$150,COLUMN()/2+1,FALSE))),"")</f>
        <v/>
      </c>
      <c r="G136" s="137"/>
      <c r="H136" s="172" t="str">
        <f ca="1">IFERROR(VALUE(IF(VLOOKUP($A136,数出表_Excel!$A$6:$T$150,COLUMN()/2+1,FALSE)=0,"",VLOOKUP($A136,数出表_Excel!$A$6:$T$150,COLUMN()/2+1,FALSE))),"")</f>
        <v/>
      </c>
      <c r="I136" s="137"/>
      <c r="J136" s="172" t="str">
        <f ca="1">IFERROR(VALUE(IF(VLOOKUP($A136,数出表_Excel!$A$6:$T$150,COLUMN()/2+1,FALSE)=0,"",VLOOKUP($A136,数出表_Excel!$A$6:$T$150,COLUMN()/2+1,FALSE))),"")</f>
        <v/>
      </c>
      <c r="K136" s="137"/>
      <c r="L136" s="174" t="str">
        <f ca="1">IFERROR(VALUE(IF(VLOOKUP($A136,数出表_Excel!$A$6:$T$150,COLUMN()/2+1,FALSE)=0,"",VLOOKUP($A136,数出表_Excel!$A$6:$T$150,COLUMN()/2+1,FALSE))),"")</f>
        <v/>
      </c>
      <c r="M136" s="137"/>
      <c r="N136" s="172" t="str">
        <f ca="1">IFERROR(VALUE(IF(VLOOKUP($A136,数出表_Excel!$A$6:$T$150,COLUMN()/2+1,FALSE)=0,"",VLOOKUP($A136,数出表_Excel!$A$6:$T$150,COLUMN()/2+1,FALSE))),"")</f>
        <v/>
      </c>
      <c r="O136" s="137"/>
      <c r="P136" s="172" t="str">
        <f ca="1">IFERROR(VALUE(IF(VLOOKUP($A136,数出表_Excel!$A$6:$T$150,COLUMN()/2+1,FALSE)=0,"",VLOOKUP($A136,数出表_Excel!$A$6:$T$150,COLUMN()/2+1,FALSE))),"")</f>
        <v/>
      </c>
      <c r="Q136" s="137"/>
      <c r="R136" s="172" t="str">
        <f ca="1">IFERROR(VALUE(IF(VLOOKUP($A136,数出表_Excel!$A$6:$T$150,COLUMN()/2+1,FALSE)=0,"",VLOOKUP($A136,数出表_Excel!$A$6:$T$150,COLUMN()/2+1,FALSE))),"")</f>
        <v/>
      </c>
      <c r="S136" s="137"/>
      <c r="T136" s="172" t="str">
        <f ca="1">IFERROR(VALUE(IF(VLOOKUP($A136,数出表_Excel!$A$6:$T$150,COLUMN()/2+1,FALSE)=0,"",VLOOKUP($A136,数出表_Excel!$A$6:$T$150,COLUMN()/2+1,FALSE))),"")</f>
        <v/>
      </c>
      <c r="U136" s="137"/>
      <c r="V136" s="174" t="str">
        <f ca="1">IFERROR(VALUE(IF(VLOOKUP($A136,数出表_Excel!$A$6:$T$150,COLUMN()/2+1,FALSE)=0,"",VLOOKUP($A136,数出表_Excel!$A$6:$T$150,COLUMN()/2+1,FALSE))),"")</f>
        <v/>
      </c>
      <c r="W136" s="137"/>
      <c r="X136" s="174" t="str">
        <f ca="1">IFERROR(VALUE(IF(VLOOKUP($A136,数出表_Excel!$A$6:$T$150,COLUMN()/2+1,FALSE)=0,"",VLOOKUP($A136,数出表_Excel!$A$6:$T$150,COLUMN()/2+1,FALSE))),"")</f>
        <v/>
      </c>
      <c r="Y136" s="137"/>
      <c r="Z136" s="174" t="str">
        <f ca="1">IFERROR(VALUE(IF(VLOOKUP($A136,数出表_Excel!$A$6:$T$150,COLUMN()/2+1,FALSE)=0,"",VLOOKUP($A136,数出表_Excel!$A$6:$T$150,COLUMN()/2+1,FALSE))),"")</f>
        <v/>
      </c>
      <c r="AA136" s="175"/>
      <c r="AB136" s="173" t="str">
        <f ca="1">IFERROR(VALUE(IF(VLOOKUP($A136,数出表_Excel!$A$6:$T$150,COLUMN()/2+1,FALSE)=0,"",VLOOKUP($A136,数出表_Excel!$A$6:$T$150,COLUMN()/2+1,FALSE))),"")</f>
        <v/>
      </c>
      <c r="AC136" s="137"/>
      <c r="AD136" s="174" t="str">
        <f ca="1">IFERROR(VALUE(IF(VLOOKUP($A136,数出表_Excel!$A$6:$T$150,COLUMN()/2+1,FALSE)=0,"",VLOOKUP($A136,数出表_Excel!$A$6:$T$150,COLUMN()/2+1,FALSE))),"")</f>
        <v/>
      </c>
      <c r="AE136" s="137"/>
      <c r="AF136" s="174" t="str">
        <f ca="1">IFERROR(VALUE(IF(VLOOKUP($A136,数出表_Excel!$A$6:$T$150,COLUMN()/2+1,FALSE)=0,"",VLOOKUP($A136,数出表_Excel!$A$6:$T$150,COLUMN()/2+1,FALSE))),"")</f>
        <v/>
      </c>
      <c r="AG136" s="137"/>
      <c r="AH136" s="174" t="str">
        <f ca="1">IFERROR(VALUE(IF(VLOOKUP($A136,数出表_Excel!$A$6:$T$150,COLUMN()/2+1,FALSE)=0,"",VLOOKUP($A136,数出表_Excel!$A$6:$T$150,COLUMN()/2+1,FALSE))),"")</f>
        <v/>
      </c>
      <c r="AI136" s="175"/>
      <c r="AJ136" s="173" t="str">
        <f ca="1">IFERROR(VALUE(IF(VLOOKUP($A136,数出表_Excel!$A$6:$T$150,COLUMN()/2+1,FALSE)=0,"",VLOOKUP($A136,数出表_Excel!$A$6:$T$150,COLUMN()/2+1,FALSE))),"")</f>
        <v/>
      </c>
      <c r="AK136" s="137"/>
      <c r="AL136" s="141" t="e">
        <f ca="1">IF(A136&lt;&gt;"",
IF(VLOOKUP($A136,数出表_Excel!$A$6:$T$150,COLUMN()/2+1,FALSE)=0,"",VLOOKUP($A136,数出表_Excel!$A$6:$T$150,COLUMN()/2+1,FALSE)),"")</f>
        <v>#N/A</v>
      </c>
      <c r="AM136" s="222" t="e">
        <f>数出表_Excel!V136</f>
        <v>#N/A</v>
      </c>
      <c r="AN136" s="223" t="e">
        <f>数出表_Excel!W136</f>
        <v>#N/A</v>
      </c>
    </row>
    <row r="137" spans="1:40" ht="16.2" customHeight="1" x14ac:dyDescent="0.45">
      <c r="A137" s="185" t="e">
        <f t="array" aca="1" ref="A137" ca="1">IF(OR(COUNTIF(A135,"*1000*"),COUNTIF(A135,"")),"",INDEX(貼り付け用!$A:$A,MATCH(A135,貼り付け用!$A:$A,0)+2,0))</f>
        <v>#N/A</v>
      </c>
      <c r="B137" s="138" t="str">
        <f ca="1">IFERROR(VALUE(IF(VLOOKUP($A137,数出表_Excel!$A$6:$T$150,COLUMN()/2+1,FALSE)=0,"",VLOOKUP($A137,数出表_Excel!$A$6:$T$150,COLUMN()/2+1,FALSE))),"")</f>
        <v/>
      </c>
      <c r="C137" s="138"/>
      <c r="D137" s="138" t="str">
        <f ca="1">IFERROR(VALUE(IF(VLOOKUP($A137,数出表_Excel!$A$6:$T$150,COLUMN()/2+1,FALSE)=0,"",VLOOKUP($A137,数出表_Excel!$A$6:$T$150,COLUMN()/2+1,FALSE))),"")</f>
        <v/>
      </c>
      <c r="E137" s="138"/>
      <c r="F137" s="142" t="str">
        <f ca="1">IFERROR(VALUE(IF(VLOOKUP($A137,数出表_Excel!$A$6:$T$150,COLUMN()/2+1,FALSE)=0,"",VLOOKUP($A137,数出表_Excel!$A$6:$T$150,COLUMN()/2+1,FALSE))),"")</f>
        <v/>
      </c>
      <c r="G137" s="138"/>
      <c r="H137" s="138" t="str">
        <f ca="1">IFERROR(VALUE(IF(VLOOKUP($A137,数出表_Excel!$A$6:$T$150,COLUMN()/2+1,FALSE)=0,"",VLOOKUP($A137,数出表_Excel!$A$6:$T$150,COLUMN()/2+1,FALSE))),"")</f>
        <v/>
      </c>
      <c r="I137" s="138"/>
      <c r="J137" s="138" t="str">
        <f ca="1">IFERROR(VALUE(IF(VLOOKUP($A137,数出表_Excel!$A$6:$T$150,COLUMN()/2+1,FALSE)=0,"",VLOOKUP($A137,数出表_Excel!$A$6:$T$150,COLUMN()/2+1,FALSE))),"")</f>
        <v/>
      </c>
      <c r="K137" s="138"/>
      <c r="L137" s="142" t="str">
        <f ca="1">IFERROR(VALUE(IF(VLOOKUP($A137,数出表_Excel!$A$6:$T$150,COLUMN()/2+1,FALSE)=0,"",VLOOKUP($A137,数出表_Excel!$A$6:$T$150,COLUMN()/2+1,FALSE))),"")</f>
        <v/>
      </c>
      <c r="M137" s="138"/>
      <c r="N137" s="138" t="str">
        <f ca="1">IFERROR(VALUE(IF(VLOOKUP($A137,数出表_Excel!$A$6:$T$150,COLUMN()/2+1,FALSE)=0,"",VLOOKUP($A137,数出表_Excel!$A$6:$T$150,COLUMN()/2+1,FALSE))),"")</f>
        <v/>
      </c>
      <c r="O137" s="138"/>
      <c r="P137" s="138" t="str">
        <f ca="1">IFERROR(VALUE(IF(VLOOKUP($A137,数出表_Excel!$A$6:$T$150,COLUMN()/2+1,FALSE)=0,"",VLOOKUP($A137,数出表_Excel!$A$6:$T$150,COLUMN()/2+1,FALSE))),"")</f>
        <v/>
      </c>
      <c r="Q137" s="138"/>
      <c r="R137" s="138" t="str">
        <f ca="1">IFERROR(VALUE(IF(VLOOKUP($A137,数出表_Excel!$A$6:$T$150,COLUMN()/2+1,FALSE)=0,"",VLOOKUP($A137,数出表_Excel!$A$6:$T$150,COLUMN()/2+1,FALSE))),"")</f>
        <v/>
      </c>
      <c r="S137" s="138"/>
      <c r="T137" s="138" t="str">
        <f ca="1">IFERROR(VALUE(IF(VLOOKUP($A137,数出表_Excel!$A$6:$T$150,COLUMN()/2+1,FALSE)=0,"",VLOOKUP($A137,数出表_Excel!$A$6:$T$150,COLUMN()/2+1,FALSE))),"")</f>
        <v/>
      </c>
      <c r="U137" s="138"/>
      <c r="V137" s="142" t="str">
        <f ca="1">IFERROR(VALUE(IF(VLOOKUP($A137,数出表_Excel!$A$6:$T$150,COLUMN()/2+1,FALSE)=0,"",VLOOKUP($A137,数出表_Excel!$A$6:$T$150,COLUMN()/2+1,FALSE))),"")</f>
        <v/>
      </c>
      <c r="W137" s="138"/>
      <c r="X137" s="142" t="str">
        <f ca="1">IFERROR(VALUE(IF(VLOOKUP($A137,数出表_Excel!$A$6:$T$150,COLUMN()/2+1,FALSE)=0,"",VLOOKUP($A137,数出表_Excel!$A$6:$T$150,COLUMN()/2+1,FALSE))),"")</f>
        <v/>
      </c>
      <c r="Y137" s="138"/>
      <c r="Z137" s="142" t="str">
        <f ca="1">IFERROR(VALUE(IF(VLOOKUP($A137,数出表_Excel!$A$6:$T$150,COLUMN()/2+1,FALSE)=0,"",VLOOKUP($A137,数出表_Excel!$A$6:$T$150,COLUMN()/2+1,FALSE))),"")</f>
        <v/>
      </c>
      <c r="AA137" s="176"/>
      <c r="AB137" s="143" t="str">
        <f ca="1">IFERROR(VALUE(IF(VLOOKUP($A137,数出表_Excel!$A$6:$T$150,COLUMN()/2+1,FALSE)=0,"",VLOOKUP($A137,数出表_Excel!$A$6:$T$150,COLUMN()/2+1,FALSE))),"")</f>
        <v/>
      </c>
      <c r="AC137" s="138"/>
      <c r="AD137" s="142" t="str">
        <f ca="1">IFERROR(VALUE(IF(VLOOKUP($A137,数出表_Excel!$A$6:$T$150,COLUMN()/2+1,FALSE)=0,"",VLOOKUP($A137,数出表_Excel!$A$6:$T$150,COLUMN()/2+1,FALSE))),"")</f>
        <v/>
      </c>
      <c r="AE137" s="138"/>
      <c r="AF137" s="142" t="str">
        <f ca="1">IFERROR(VALUE(IF(VLOOKUP($A137,数出表_Excel!$A$6:$T$150,COLUMN()/2+1,FALSE)=0,"",VLOOKUP($A137,数出表_Excel!$A$6:$T$150,COLUMN()/2+1,FALSE))),"")</f>
        <v/>
      </c>
      <c r="AG137" s="138"/>
      <c r="AH137" s="142" t="str">
        <f ca="1">IFERROR(VALUE(IF(VLOOKUP($A137,数出表_Excel!$A$6:$T$150,COLUMN()/2+1,FALSE)=0,"",VLOOKUP($A137,数出表_Excel!$A$6:$T$150,COLUMN()/2+1,FALSE))),"")</f>
        <v/>
      </c>
      <c r="AI137" s="176"/>
      <c r="AJ137" s="143" t="str">
        <f ca="1">IFERROR(VALUE(IF(VLOOKUP($A137,数出表_Excel!$A$6:$T$150,COLUMN()/2+1,FALSE)=0,"",VLOOKUP($A137,数出表_Excel!$A$6:$T$150,COLUMN()/2+1,FALSE))),"")</f>
        <v/>
      </c>
      <c r="AK137" s="138"/>
      <c r="AL137" s="144" t="e">
        <f ca="1">IF(A137&lt;&gt;"",
IF(VLOOKUP($A137,数出表_Excel!$A$6:$T$150,COLUMN()/2+1,FALSE)=0,"",VLOOKUP($A137,数出表_Excel!$A$6:$T$150,COLUMN()/2+1,FALSE)),"")</f>
        <v>#N/A</v>
      </c>
      <c r="AM137" s="224" t="e">
        <f>数出表_Excel!V137</f>
        <v>#N/A</v>
      </c>
      <c r="AN137" s="225" t="e">
        <f>数出表_Excel!W137</f>
        <v>#N/A</v>
      </c>
    </row>
    <row r="138" spans="1:40" ht="16.2" customHeight="1" x14ac:dyDescent="0.45">
      <c r="A138" s="184" t="e">
        <f t="array" aca="1" ref="A138" ca="1">IF(OR(COUNTIF(A136,"*10002*"),COUNTIF(A136,"")),"",INDEX(貼り付け用!$A:$A,MATCH(A136,貼り付け用!$A:$A,0)+2,0))</f>
        <v>#N/A</v>
      </c>
      <c r="B138" s="172" t="str">
        <f ca="1">IFERROR(VALUE(IF(VLOOKUP($A138,数出表_Excel!$A$6:$T$150,COLUMN()/2+1,FALSE)=0,"",VLOOKUP($A138,数出表_Excel!$A$6:$T$150,COLUMN()/2+1,FALSE))),"")</f>
        <v/>
      </c>
      <c r="C138" s="137"/>
      <c r="D138" s="172" t="str">
        <f ca="1">IFERROR(VALUE(IF(VLOOKUP($A138,数出表_Excel!$A$6:$T$150,COLUMN()/2+1,FALSE)=0,"",VLOOKUP($A138,数出表_Excel!$A$6:$T$150,COLUMN()/2+1,FALSE))),"")</f>
        <v/>
      </c>
      <c r="E138" s="137"/>
      <c r="F138" s="174" t="str">
        <f ca="1">IFERROR(VALUE(IF(VLOOKUP($A138,数出表_Excel!$A$6:$T$150,COLUMN()/2+1,FALSE)=0,"",VLOOKUP($A138,数出表_Excel!$A$6:$T$150,COLUMN()/2+1,FALSE))),"")</f>
        <v/>
      </c>
      <c r="G138" s="137"/>
      <c r="H138" s="172" t="str">
        <f ca="1">IFERROR(VALUE(IF(VLOOKUP($A138,数出表_Excel!$A$6:$T$150,COLUMN()/2+1,FALSE)=0,"",VLOOKUP($A138,数出表_Excel!$A$6:$T$150,COLUMN()/2+1,FALSE))),"")</f>
        <v/>
      </c>
      <c r="I138" s="137"/>
      <c r="J138" s="172" t="str">
        <f ca="1">IFERROR(VALUE(IF(VLOOKUP($A138,数出表_Excel!$A$6:$T$150,COLUMN()/2+1,FALSE)=0,"",VLOOKUP($A138,数出表_Excel!$A$6:$T$150,COLUMN()/2+1,FALSE))),"")</f>
        <v/>
      </c>
      <c r="K138" s="137"/>
      <c r="L138" s="174" t="str">
        <f ca="1">IFERROR(VALUE(IF(VLOOKUP($A138,数出表_Excel!$A$6:$T$150,COLUMN()/2+1,FALSE)=0,"",VLOOKUP($A138,数出表_Excel!$A$6:$T$150,COLUMN()/2+1,FALSE))),"")</f>
        <v/>
      </c>
      <c r="M138" s="137"/>
      <c r="N138" s="172" t="str">
        <f ca="1">IFERROR(VALUE(IF(VLOOKUP($A138,数出表_Excel!$A$6:$T$150,COLUMN()/2+1,FALSE)=0,"",VLOOKUP($A138,数出表_Excel!$A$6:$T$150,COLUMN()/2+1,FALSE))),"")</f>
        <v/>
      </c>
      <c r="O138" s="137"/>
      <c r="P138" s="172" t="str">
        <f ca="1">IFERROR(VALUE(IF(VLOOKUP($A138,数出表_Excel!$A$6:$T$150,COLUMN()/2+1,FALSE)=0,"",VLOOKUP($A138,数出表_Excel!$A$6:$T$150,COLUMN()/2+1,FALSE))),"")</f>
        <v/>
      </c>
      <c r="Q138" s="137"/>
      <c r="R138" s="172" t="str">
        <f ca="1">IFERROR(VALUE(IF(VLOOKUP($A138,数出表_Excel!$A$6:$T$150,COLUMN()/2+1,FALSE)=0,"",VLOOKUP($A138,数出表_Excel!$A$6:$T$150,COLUMN()/2+1,FALSE))),"")</f>
        <v/>
      </c>
      <c r="S138" s="137"/>
      <c r="T138" s="172" t="str">
        <f ca="1">IFERROR(VALUE(IF(VLOOKUP($A138,数出表_Excel!$A$6:$T$150,COLUMN()/2+1,FALSE)=0,"",VLOOKUP($A138,数出表_Excel!$A$6:$T$150,COLUMN()/2+1,FALSE))),"")</f>
        <v/>
      </c>
      <c r="U138" s="137"/>
      <c r="V138" s="174" t="str">
        <f ca="1">IFERROR(VALUE(IF(VLOOKUP($A138,数出表_Excel!$A$6:$T$150,COLUMN()/2+1,FALSE)=0,"",VLOOKUP($A138,数出表_Excel!$A$6:$T$150,COLUMN()/2+1,FALSE))),"")</f>
        <v/>
      </c>
      <c r="W138" s="137"/>
      <c r="X138" s="174" t="str">
        <f ca="1">IFERROR(VALUE(IF(VLOOKUP($A138,数出表_Excel!$A$6:$T$150,COLUMN()/2+1,FALSE)=0,"",VLOOKUP($A138,数出表_Excel!$A$6:$T$150,COLUMN()/2+1,FALSE))),"")</f>
        <v/>
      </c>
      <c r="Y138" s="137"/>
      <c r="Z138" s="174" t="str">
        <f ca="1">IFERROR(VALUE(IF(VLOOKUP($A138,数出表_Excel!$A$6:$T$150,COLUMN()/2+1,FALSE)=0,"",VLOOKUP($A138,数出表_Excel!$A$6:$T$150,COLUMN()/2+1,FALSE))),"")</f>
        <v/>
      </c>
      <c r="AA138" s="175"/>
      <c r="AB138" s="173" t="str">
        <f ca="1">IFERROR(VALUE(IF(VLOOKUP($A138,数出表_Excel!$A$6:$T$150,COLUMN()/2+1,FALSE)=0,"",VLOOKUP($A138,数出表_Excel!$A$6:$T$150,COLUMN()/2+1,FALSE))),"")</f>
        <v/>
      </c>
      <c r="AC138" s="137"/>
      <c r="AD138" s="174" t="str">
        <f ca="1">IFERROR(VALUE(IF(VLOOKUP($A138,数出表_Excel!$A$6:$T$150,COLUMN()/2+1,FALSE)=0,"",VLOOKUP($A138,数出表_Excel!$A$6:$T$150,COLUMN()/2+1,FALSE))),"")</f>
        <v/>
      </c>
      <c r="AE138" s="137"/>
      <c r="AF138" s="174" t="str">
        <f ca="1">IFERROR(VALUE(IF(VLOOKUP($A138,数出表_Excel!$A$6:$T$150,COLUMN()/2+1,FALSE)=0,"",VLOOKUP($A138,数出表_Excel!$A$6:$T$150,COLUMN()/2+1,FALSE))),"")</f>
        <v/>
      </c>
      <c r="AG138" s="137"/>
      <c r="AH138" s="174" t="str">
        <f ca="1">IFERROR(VALUE(IF(VLOOKUP($A138,数出表_Excel!$A$6:$T$150,COLUMN()/2+1,FALSE)=0,"",VLOOKUP($A138,数出表_Excel!$A$6:$T$150,COLUMN()/2+1,FALSE))),"")</f>
        <v/>
      </c>
      <c r="AI138" s="175"/>
      <c r="AJ138" s="173" t="str">
        <f ca="1">IFERROR(VALUE(IF(VLOOKUP($A138,数出表_Excel!$A$6:$T$150,COLUMN()/2+1,FALSE)=0,"",VLOOKUP($A138,数出表_Excel!$A$6:$T$150,COLUMN()/2+1,FALSE))),"")</f>
        <v/>
      </c>
      <c r="AK138" s="137"/>
      <c r="AL138" s="141" t="e">
        <f ca="1">IF(A138&lt;&gt;"",
IF(VLOOKUP($A138,数出表_Excel!$A$6:$T$150,COLUMN()/2+1,FALSE)=0,"",VLOOKUP($A138,数出表_Excel!$A$6:$T$150,COLUMN()/2+1,FALSE)),"")</f>
        <v>#N/A</v>
      </c>
      <c r="AM138" s="222" t="e">
        <f>数出表_Excel!V138</f>
        <v>#N/A</v>
      </c>
      <c r="AN138" s="223" t="e">
        <f>数出表_Excel!W138</f>
        <v>#N/A</v>
      </c>
    </row>
    <row r="139" spans="1:40" ht="16.2" customHeight="1" x14ac:dyDescent="0.45">
      <c r="A139" s="185" t="e">
        <f t="array" aca="1" ref="A139" ca="1">IF(OR(COUNTIF(A137,"*1000*"),COUNTIF(A137,"")),"",INDEX(貼り付け用!$A:$A,MATCH(A137,貼り付け用!$A:$A,0)+2,0))</f>
        <v>#N/A</v>
      </c>
      <c r="B139" s="138" t="str">
        <f ca="1">IFERROR(VALUE(IF(VLOOKUP($A139,数出表_Excel!$A$6:$T$150,COLUMN()/2+1,FALSE)=0,"",VLOOKUP($A139,数出表_Excel!$A$6:$T$150,COLUMN()/2+1,FALSE))),"")</f>
        <v/>
      </c>
      <c r="C139" s="138"/>
      <c r="D139" s="138" t="str">
        <f ca="1">IFERROR(VALUE(IF(VLOOKUP($A139,数出表_Excel!$A$6:$T$150,COLUMN()/2+1,FALSE)=0,"",VLOOKUP($A139,数出表_Excel!$A$6:$T$150,COLUMN()/2+1,FALSE))),"")</f>
        <v/>
      </c>
      <c r="E139" s="138"/>
      <c r="F139" s="142" t="str">
        <f ca="1">IFERROR(VALUE(IF(VLOOKUP($A139,数出表_Excel!$A$6:$T$150,COLUMN()/2+1,FALSE)=0,"",VLOOKUP($A139,数出表_Excel!$A$6:$T$150,COLUMN()/2+1,FALSE))),"")</f>
        <v/>
      </c>
      <c r="G139" s="138"/>
      <c r="H139" s="138" t="str">
        <f ca="1">IFERROR(VALUE(IF(VLOOKUP($A139,数出表_Excel!$A$6:$T$150,COLUMN()/2+1,FALSE)=0,"",VLOOKUP($A139,数出表_Excel!$A$6:$T$150,COLUMN()/2+1,FALSE))),"")</f>
        <v/>
      </c>
      <c r="I139" s="138"/>
      <c r="J139" s="138" t="str">
        <f ca="1">IFERROR(VALUE(IF(VLOOKUP($A139,数出表_Excel!$A$6:$T$150,COLUMN()/2+1,FALSE)=0,"",VLOOKUP($A139,数出表_Excel!$A$6:$T$150,COLUMN()/2+1,FALSE))),"")</f>
        <v/>
      </c>
      <c r="K139" s="138"/>
      <c r="L139" s="142" t="str">
        <f ca="1">IFERROR(VALUE(IF(VLOOKUP($A139,数出表_Excel!$A$6:$T$150,COLUMN()/2+1,FALSE)=0,"",VLOOKUP($A139,数出表_Excel!$A$6:$T$150,COLUMN()/2+1,FALSE))),"")</f>
        <v/>
      </c>
      <c r="M139" s="138"/>
      <c r="N139" s="138" t="str">
        <f ca="1">IFERROR(VALUE(IF(VLOOKUP($A139,数出表_Excel!$A$6:$T$150,COLUMN()/2+1,FALSE)=0,"",VLOOKUP($A139,数出表_Excel!$A$6:$T$150,COLUMN()/2+1,FALSE))),"")</f>
        <v/>
      </c>
      <c r="O139" s="138"/>
      <c r="P139" s="138" t="str">
        <f ca="1">IFERROR(VALUE(IF(VLOOKUP($A139,数出表_Excel!$A$6:$T$150,COLUMN()/2+1,FALSE)=0,"",VLOOKUP($A139,数出表_Excel!$A$6:$T$150,COLUMN()/2+1,FALSE))),"")</f>
        <v/>
      </c>
      <c r="Q139" s="138"/>
      <c r="R139" s="138" t="str">
        <f ca="1">IFERROR(VALUE(IF(VLOOKUP($A139,数出表_Excel!$A$6:$T$150,COLUMN()/2+1,FALSE)=0,"",VLOOKUP($A139,数出表_Excel!$A$6:$T$150,COLUMN()/2+1,FALSE))),"")</f>
        <v/>
      </c>
      <c r="S139" s="138"/>
      <c r="T139" s="138" t="str">
        <f ca="1">IFERROR(VALUE(IF(VLOOKUP($A139,数出表_Excel!$A$6:$T$150,COLUMN()/2+1,FALSE)=0,"",VLOOKUP($A139,数出表_Excel!$A$6:$T$150,COLUMN()/2+1,FALSE))),"")</f>
        <v/>
      </c>
      <c r="U139" s="138"/>
      <c r="V139" s="142" t="str">
        <f ca="1">IFERROR(VALUE(IF(VLOOKUP($A139,数出表_Excel!$A$6:$T$150,COLUMN()/2+1,FALSE)=0,"",VLOOKUP($A139,数出表_Excel!$A$6:$T$150,COLUMN()/2+1,FALSE))),"")</f>
        <v/>
      </c>
      <c r="W139" s="138"/>
      <c r="X139" s="142" t="str">
        <f ca="1">IFERROR(VALUE(IF(VLOOKUP($A139,数出表_Excel!$A$6:$T$150,COLUMN()/2+1,FALSE)=0,"",VLOOKUP($A139,数出表_Excel!$A$6:$T$150,COLUMN()/2+1,FALSE))),"")</f>
        <v/>
      </c>
      <c r="Y139" s="138"/>
      <c r="Z139" s="142" t="str">
        <f ca="1">IFERROR(VALUE(IF(VLOOKUP($A139,数出表_Excel!$A$6:$T$150,COLUMN()/2+1,FALSE)=0,"",VLOOKUP($A139,数出表_Excel!$A$6:$T$150,COLUMN()/2+1,FALSE))),"")</f>
        <v/>
      </c>
      <c r="AA139" s="176"/>
      <c r="AB139" s="143" t="str">
        <f ca="1">IFERROR(VALUE(IF(VLOOKUP($A139,数出表_Excel!$A$6:$T$150,COLUMN()/2+1,FALSE)=0,"",VLOOKUP($A139,数出表_Excel!$A$6:$T$150,COLUMN()/2+1,FALSE))),"")</f>
        <v/>
      </c>
      <c r="AC139" s="138"/>
      <c r="AD139" s="142" t="str">
        <f ca="1">IFERROR(VALUE(IF(VLOOKUP($A139,数出表_Excel!$A$6:$T$150,COLUMN()/2+1,FALSE)=0,"",VLOOKUP($A139,数出表_Excel!$A$6:$T$150,COLUMN()/2+1,FALSE))),"")</f>
        <v/>
      </c>
      <c r="AE139" s="138"/>
      <c r="AF139" s="142" t="str">
        <f ca="1">IFERROR(VALUE(IF(VLOOKUP($A139,数出表_Excel!$A$6:$T$150,COLUMN()/2+1,FALSE)=0,"",VLOOKUP($A139,数出表_Excel!$A$6:$T$150,COLUMN()/2+1,FALSE))),"")</f>
        <v/>
      </c>
      <c r="AG139" s="138"/>
      <c r="AH139" s="142" t="str">
        <f ca="1">IFERROR(VALUE(IF(VLOOKUP($A139,数出表_Excel!$A$6:$T$150,COLUMN()/2+1,FALSE)=0,"",VLOOKUP($A139,数出表_Excel!$A$6:$T$150,COLUMN()/2+1,FALSE))),"")</f>
        <v/>
      </c>
      <c r="AI139" s="176"/>
      <c r="AJ139" s="143" t="str">
        <f ca="1">IFERROR(VALUE(IF(VLOOKUP($A139,数出表_Excel!$A$6:$T$150,COLUMN()/2+1,FALSE)=0,"",VLOOKUP($A139,数出表_Excel!$A$6:$T$150,COLUMN()/2+1,FALSE))),"")</f>
        <v/>
      </c>
      <c r="AK139" s="138"/>
      <c r="AL139" s="144" t="e">
        <f ca="1">IF(A139&lt;&gt;"",
IF(VLOOKUP($A139,数出表_Excel!$A$6:$T$150,COLUMN()/2+1,FALSE)=0,"",VLOOKUP($A139,数出表_Excel!$A$6:$T$150,COLUMN()/2+1,FALSE)),"")</f>
        <v>#N/A</v>
      </c>
      <c r="AM139" s="224" t="e">
        <f>数出表_Excel!V139</f>
        <v>#N/A</v>
      </c>
      <c r="AN139" s="225" t="e">
        <f>数出表_Excel!W139</f>
        <v>#N/A</v>
      </c>
    </row>
    <row r="140" spans="1:40" ht="16.2" customHeight="1" x14ac:dyDescent="0.45">
      <c r="A140" s="184" t="e">
        <f t="array" aca="1" ref="A140" ca="1">IF(OR(COUNTIF(A138,"*10002*"),COUNTIF(A138,"")),"",INDEX(貼り付け用!$A:$A,MATCH(A138,貼り付け用!$A:$A,0)+2,0))</f>
        <v>#N/A</v>
      </c>
      <c r="B140" s="172" t="str">
        <f ca="1">IFERROR(VALUE(IF(VLOOKUP($A140,数出表_Excel!$A$6:$T$150,COLUMN()/2+1,FALSE)=0,"",VLOOKUP($A140,数出表_Excel!$A$6:$T$150,COLUMN()/2+1,FALSE))),"")</f>
        <v/>
      </c>
      <c r="C140" s="137"/>
      <c r="D140" s="172" t="str">
        <f ca="1">IFERROR(VALUE(IF(VLOOKUP($A140,数出表_Excel!$A$6:$T$150,COLUMN()/2+1,FALSE)=0,"",VLOOKUP($A140,数出表_Excel!$A$6:$T$150,COLUMN()/2+1,FALSE))),"")</f>
        <v/>
      </c>
      <c r="E140" s="137"/>
      <c r="F140" s="174" t="str">
        <f ca="1">IFERROR(VALUE(IF(VLOOKUP($A140,数出表_Excel!$A$6:$T$150,COLUMN()/2+1,FALSE)=0,"",VLOOKUP($A140,数出表_Excel!$A$6:$T$150,COLUMN()/2+1,FALSE))),"")</f>
        <v/>
      </c>
      <c r="G140" s="137"/>
      <c r="H140" s="172" t="str">
        <f ca="1">IFERROR(VALUE(IF(VLOOKUP($A140,数出表_Excel!$A$6:$T$150,COLUMN()/2+1,FALSE)=0,"",VLOOKUP($A140,数出表_Excel!$A$6:$T$150,COLUMN()/2+1,FALSE))),"")</f>
        <v/>
      </c>
      <c r="I140" s="137"/>
      <c r="J140" s="172" t="str">
        <f ca="1">IFERROR(VALUE(IF(VLOOKUP($A140,数出表_Excel!$A$6:$T$150,COLUMN()/2+1,FALSE)=0,"",VLOOKUP($A140,数出表_Excel!$A$6:$T$150,COLUMN()/2+1,FALSE))),"")</f>
        <v/>
      </c>
      <c r="K140" s="137"/>
      <c r="L140" s="174" t="str">
        <f ca="1">IFERROR(VALUE(IF(VLOOKUP($A140,数出表_Excel!$A$6:$T$150,COLUMN()/2+1,FALSE)=0,"",VLOOKUP($A140,数出表_Excel!$A$6:$T$150,COLUMN()/2+1,FALSE))),"")</f>
        <v/>
      </c>
      <c r="M140" s="137"/>
      <c r="N140" s="172" t="str">
        <f ca="1">IFERROR(VALUE(IF(VLOOKUP($A140,数出表_Excel!$A$6:$T$150,COLUMN()/2+1,FALSE)=0,"",VLOOKUP($A140,数出表_Excel!$A$6:$T$150,COLUMN()/2+1,FALSE))),"")</f>
        <v/>
      </c>
      <c r="O140" s="137"/>
      <c r="P140" s="172" t="str">
        <f ca="1">IFERROR(VALUE(IF(VLOOKUP($A140,数出表_Excel!$A$6:$T$150,COLUMN()/2+1,FALSE)=0,"",VLOOKUP($A140,数出表_Excel!$A$6:$T$150,COLUMN()/2+1,FALSE))),"")</f>
        <v/>
      </c>
      <c r="Q140" s="137"/>
      <c r="R140" s="172" t="str">
        <f ca="1">IFERROR(VALUE(IF(VLOOKUP($A140,数出表_Excel!$A$6:$T$150,COLUMN()/2+1,FALSE)=0,"",VLOOKUP($A140,数出表_Excel!$A$6:$T$150,COLUMN()/2+1,FALSE))),"")</f>
        <v/>
      </c>
      <c r="S140" s="137"/>
      <c r="T140" s="172" t="str">
        <f ca="1">IFERROR(VALUE(IF(VLOOKUP($A140,数出表_Excel!$A$6:$T$150,COLUMN()/2+1,FALSE)=0,"",VLOOKUP($A140,数出表_Excel!$A$6:$T$150,COLUMN()/2+1,FALSE))),"")</f>
        <v/>
      </c>
      <c r="U140" s="137"/>
      <c r="V140" s="174" t="str">
        <f ca="1">IFERROR(VALUE(IF(VLOOKUP($A140,数出表_Excel!$A$6:$T$150,COLUMN()/2+1,FALSE)=0,"",VLOOKUP($A140,数出表_Excel!$A$6:$T$150,COLUMN()/2+1,FALSE))),"")</f>
        <v/>
      </c>
      <c r="W140" s="137"/>
      <c r="X140" s="174" t="str">
        <f ca="1">IFERROR(VALUE(IF(VLOOKUP($A140,数出表_Excel!$A$6:$T$150,COLUMN()/2+1,FALSE)=0,"",VLOOKUP($A140,数出表_Excel!$A$6:$T$150,COLUMN()/2+1,FALSE))),"")</f>
        <v/>
      </c>
      <c r="Y140" s="137"/>
      <c r="Z140" s="174" t="str">
        <f ca="1">IFERROR(VALUE(IF(VLOOKUP($A140,数出表_Excel!$A$6:$T$150,COLUMN()/2+1,FALSE)=0,"",VLOOKUP($A140,数出表_Excel!$A$6:$T$150,COLUMN()/2+1,FALSE))),"")</f>
        <v/>
      </c>
      <c r="AA140" s="175"/>
      <c r="AB140" s="173" t="str">
        <f ca="1">IFERROR(VALUE(IF(VLOOKUP($A140,数出表_Excel!$A$6:$T$150,COLUMN()/2+1,FALSE)=0,"",VLOOKUP($A140,数出表_Excel!$A$6:$T$150,COLUMN()/2+1,FALSE))),"")</f>
        <v/>
      </c>
      <c r="AC140" s="137"/>
      <c r="AD140" s="174" t="str">
        <f ca="1">IFERROR(VALUE(IF(VLOOKUP($A140,数出表_Excel!$A$6:$T$150,COLUMN()/2+1,FALSE)=0,"",VLOOKUP($A140,数出表_Excel!$A$6:$T$150,COLUMN()/2+1,FALSE))),"")</f>
        <v/>
      </c>
      <c r="AE140" s="137"/>
      <c r="AF140" s="174" t="str">
        <f ca="1">IFERROR(VALUE(IF(VLOOKUP($A140,数出表_Excel!$A$6:$T$150,COLUMN()/2+1,FALSE)=0,"",VLOOKUP($A140,数出表_Excel!$A$6:$T$150,COLUMN()/2+1,FALSE))),"")</f>
        <v/>
      </c>
      <c r="AG140" s="137"/>
      <c r="AH140" s="174" t="str">
        <f ca="1">IFERROR(VALUE(IF(VLOOKUP($A140,数出表_Excel!$A$6:$T$150,COLUMN()/2+1,FALSE)=0,"",VLOOKUP($A140,数出表_Excel!$A$6:$T$150,COLUMN()/2+1,FALSE))),"")</f>
        <v/>
      </c>
      <c r="AI140" s="175"/>
      <c r="AJ140" s="173" t="str">
        <f ca="1">IFERROR(VALUE(IF(VLOOKUP($A140,数出表_Excel!$A$6:$T$150,COLUMN()/2+1,FALSE)=0,"",VLOOKUP($A140,数出表_Excel!$A$6:$T$150,COLUMN()/2+1,FALSE))),"")</f>
        <v/>
      </c>
      <c r="AK140" s="137"/>
      <c r="AL140" s="141" t="e">
        <f ca="1">IF(A140&lt;&gt;"",
IF(VLOOKUP($A140,数出表_Excel!$A$6:$T$150,COLUMN()/2+1,FALSE)=0,"",VLOOKUP($A140,数出表_Excel!$A$6:$T$150,COLUMN()/2+1,FALSE)),"")</f>
        <v>#N/A</v>
      </c>
      <c r="AM140" s="222" t="e">
        <f>数出表_Excel!V140</f>
        <v>#N/A</v>
      </c>
      <c r="AN140" s="223" t="e">
        <f>数出表_Excel!W140</f>
        <v>#N/A</v>
      </c>
    </row>
    <row r="141" spans="1:40" ht="16.2" customHeight="1" x14ac:dyDescent="0.45">
      <c r="A141" s="185" t="e">
        <f t="array" aca="1" ref="A141" ca="1">IF(OR(COUNTIF(A139,"*1000*"),COUNTIF(A139,"")),"",INDEX(貼り付け用!$A:$A,MATCH(A139,貼り付け用!$A:$A,0)+2,0))</f>
        <v>#N/A</v>
      </c>
      <c r="B141" s="138" t="str">
        <f ca="1">IFERROR(VALUE(IF(VLOOKUP($A141,数出表_Excel!$A$6:$T$150,COLUMN()/2+1,FALSE)=0,"",VLOOKUP($A141,数出表_Excel!$A$6:$T$150,COLUMN()/2+1,FALSE))),"")</f>
        <v/>
      </c>
      <c r="C141" s="138"/>
      <c r="D141" s="138" t="str">
        <f ca="1">IFERROR(VALUE(IF(VLOOKUP($A141,数出表_Excel!$A$6:$T$150,COLUMN()/2+1,FALSE)=0,"",VLOOKUP($A141,数出表_Excel!$A$6:$T$150,COLUMN()/2+1,FALSE))),"")</f>
        <v/>
      </c>
      <c r="E141" s="138"/>
      <c r="F141" s="142" t="str">
        <f ca="1">IFERROR(VALUE(IF(VLOOKUP($A141,数出表_Excel!$A$6:$T$150,COLUMN()/2+1,FALSE)=0,"",VLOOKUP($A141,数出表_Excel!$A$6:$T$150,COLUMN()/2+1,FALSE))),"")</f>
        <v/>
      </c>
      <c r="G141" s="138"/>
      <c r="H141" s="138" t="str">
        <f ca="1">IFERROR(VALUE(IF(VLOOKUP($A141,数出表_Excel!$A$6:$T$150,COLUMN()/2+1,FALSE)=0,"",VLOOKUP($A141,数出表_Excel!$A$6:$T$150,COLUMN()/2+1,FALSE))),"")</f>
        <v/>
      </c>
      <c r="I141" s="138"/>
      <c r="J141" s="138" t="str">
        <f ca="1">IFERROR(VALUE(IF(VLOOKUP($A141,数出表_Excel!$A$6:$T$150,COLUMN()/2+1,FALSE)=0,"",VLOOKUP($A141,数出表_Excel!$A$6:$T$150,COLUMN()/2+1,FALSE))),"")</f>
        <v/>
      </c>
      <c r="K141" s="138"/>
      <c r="L141" s="142" t="str">
        <f ca="1">IFERROR(VALUE(IF(VLOOKUP($A141,数出表_Excel!$A$6:$T$150,COLUMN()/2+1,FALSE)=0,"",VLOOKUP($A141,数出表_Excel!$A$6:$T$150,COLUMN()/2+1,FALSE))),"")</f>
        <v/>
      </c>
      <c r="M141" s="138"/>
      <c r="N141" s="138" t="str">
        <f ca="1">IFERROR(VALUE(IF(VLOOKUP($A141,数出表_Excel!$A$6:$T$150,COLUMN()/2+1,FALSE)=0,"",VLOOKUP($A141,数出表_Excel!$A$6:$T$150,COLUMN()/2+1,FALSE))),"")</f>
        <v/>
      </c>
      <c r="O141" s="138"/>
      <c r="P141" s="138" t="str">
        <f ca="1">IFERROR(VALUE(IF(VLOOKUP($A141,数出表_Excel!$A$6:$T$150,COLUMN()/2+1,FALSE)=0,"",VLOOKUP($A141,数出表_Excel!$A$6:$T$150,COLUMN()/2+1,FALSE))),"")</f>
        <v/>
      </c>
      <c r="Q141" s="138"/>
      <c r="R141" s="138" t="str">
        <f ca="1">IFERROR(VALUE(IF(VLOOKUP($A141,数出表_Excel!$A$6:$T$150,COLUMN()/2+1,FALSE)=0,"",VLOOKUP($A141,数出表_Excel!$A$6:$T$150,COLUMN()/2+1,FALSE))),"")</f>
        <v/>
      </c>
      <c r="S141" s="138"/>
      <c r="T141" s="138" t="str">
        <f ca="1">IFERROR(VALUE(IF(VLOOKUP($A141,数出表_Excel!$A$6:$T$150,COLUMN()/2+1,FALSE)=0,"",VLOOKUP($A141,数出表_Excel!$A$6:$T$150,COLUMN()/2+1,FALSE))),"")</f>
        <v/>
      </c>
      <c r="U141" s="138"/>
      <c r="V141" s="142" t="str">
        <f ca="1">IFERROR(VALUE(IF(VLOOKUP($A141,数出表_Excel!$A$6:$T$150,COLUMN()/2+1,FALSE)=0,"",VLOOKUP($A141,数出表_Excel!$A$6:$T$150,COLUMN()/2+1,FALSE))),"")</f>
        <v/>
      </c>
      <c r="W141" s="138"/>
      <c r="X141" s="142" t="str">
        <f ca="1">IFERROR(VALUE(IF(VLOOKUP($A141,数出表_Excel!$A$6:$T$150,COLUMN()/2+1,FALSE)=0,"",VLOOKUP($A141,数出表_Excel!$A$6:$T$150,COLUMN()/2+1,FALSE))),"")</f>
        <v/>
      </c>
      <c r="Y141" s="138"/>
      <c r="Z141" s="142" t="str">
        <f ca="1">IFERROR(VALUE(IF(VLOOKUP($A141,数出表_Excel!$A$6:$T$150,COLUMN()/2+1,FALSE)=0,"",VLOOKUP($A141,数出表_Excel!$A$6:$T$150,COLUMN()/2+1,FALSE))),"")</f>
        <v/>
      </c>
      <c r="AA141" s="176"/>
      <c r="AB141" s="143" t="str">
        <f ca="1">IFERROR(VALUE(IF(VLOOKUP($A141,数出表_Excel!$A$6:$T$150,COLUMN()/2+1,FALSE)=0,"",VLOOKUP($A141,数出表_Excel!$A$6:$T$150,COLUMN()/2+1,FALSE))),"")</f>
        <v/>
      </c>
      <c r="AC141" s="138"/>
      <c r="AD141" s="142" t="str">
        <f ca="1">IFERROR(VALUE(IF(VLOOKUP($A141,数出表_Excel!$A$6:$T$150,COLUMN()/2+1,FALSE)=0,"",VLOOKUP($A141,数出表_Excel!$A$6:$T$150,COLUMN()/2+1,FALSE))),"")</f>
        <v/>
      </c>
      <c r="AE141" s="138"/>
      <c r="AF141" s="142" t="str">
        <f ca="1">IFERROR(VALUE(IF(VLOOKUP($A141,数出表_Excel!$A$6:$T$150,COLUMN()/2+1,FALSE)=0,"",VLOOKUP($A141,数出表_Excel!$A$6:$T$150,COLUMN()/2+1,FALSE))),"")</f>
        <v/>
      </c>
      <c r="AG141" s="138"/>
      <c r="AH141" s="142" t="str">
        <f ca="1">IFERROR(VALUE(IF(VLOOKUP($A141,数出表_Excel!$A$6:$T$150,COLUMN()/2+1,FALSE)=0,"",VLOOKUP($A141,数出表_Excel!$A$6:$T$150,COLUMN()/2+1,FALSE))),"")</f>
        <v/>
      </c>
      <c r="AI141" s="176"/>
      <c r="AJ141" s="143" t="str">
        <f ca="1">IFERROR(VALUE(IF(VLOOKUP($A141,数出表_Excel!$A$6:$T$150,COLUMN()/2+1,FALSE)=0,"",VLOOKUP($A141,数出表_Excel!$A$6:$T$150,COLUMN()/2+1,FALSE))),"")</f>
        <v/>
      </c>
      <c r="AK141" s="138"/>
      <c r="AL141" s="144" t="e">
        <f ca="1">IF(A141&lt;&gt;"",
IF(VLOOKUP($A141,数出表_Excel!$A$6:$T$150,COLUMN()/2+1,FALSE)=0,"",VLOOKUP($A141,数出表_Excel!$A$6:$T$150,COLUMN()/2+1,FALSE)),"")</f>
        <v>#N/A</v>
      </c>
      <c r="AM141" s="224" t="e">
        <f>数出表_Excel!V141</f>
        <v>#N/A</v>
      </c>
      <c r="AN141" s="225" t="e">
        <f>数出表_Excel!W141</f>
        <v>#N/A</v>
      </c>
    </row>
    <row r="142" spans="1:40" ht="16.2" customHeight="1" x14ac:dyDescent="0.45">
      <c r="A142" s="184" t="e">
        <f t="array" aca="1" ref="A142" ca="1">IF(OR(COUNTIF(A140,"*10002*"),COUNTIF(A140,"")),"",INDEX(貼り付け用!$A:$A,MATCH(A140,貼り付け用!$A:$A,0)+2,0))</f>
        <v>#N/A</v>
      </c>
      <c r="B142" s="172" t="str">
        <f ca="1">IFERROR(VALUE(IF(VLOOKUP($A142,数出表_Excel!$A$6:$T$150,COLUMN()/2+1,FALSE)=0,"",VLOOKUP($A142,数出表_Excel!$A$6:$T$150,COLUMN()/2+1,FALSE))),"")</f>
        <v/>
      </c>
      <c r="C142" s="137"/>
      <c r="D142" s="172" t="str">
        <f ca="1">IFERROR(VALUE(IF(VLOOKUP($A142,数出表_Excel!$A$6:$T$150,COLUMN()/2+1,FALSE)=0,"",VLOOKUP($A142,数出表_Excel!$A$6:$T$150,COLUMN()/2+1,FALSE))),"")</f>
        <v/>
      </c>
      <c r="E142" s="137"/>
      <c r="F142" s="174" t="str">
        <f ca="1">IFERROR(VALUE(IF(VLOOKUP($A142,数出表_Excel!$A$6:$T$150,COLUMN()/2+1,FALSE)=0,"",VLOOKUP($A142,数出表_Excel!$A$6:$T$150,COLUMN()/2+1,FALSE))),"")</f>
        <v/>
      </c>
      <c r="G142" s="137"/>
      <c r="H142" s="172" t="str">
        <f ca="1">IFERROR(VALUE(IF(VLOOKUP($A142,数出表_Excel!$A$6:$T$150,COLUMN()/2+1,FALSE)=0,"",VLOOKUP($A142,数出表_Excel!$A$6:$T$150,COLUMN()/2+1,FALSE))),"")</f>
        <v/>
      </c>
      <c r="I142" s="137"/>
      <c r="J142" s="172" t="str">
        <f ca="1">IFERROR(VALUE(IF(VLOOKUP($A142,数出表_Excel!$A$6:$T$150,COLUMN()/2+1,FALSE)=0,"",VLOOKUP($A142,数出表_Excel!$A$6:$T$150,COLUMN()/2+1,FALSE))),"")</f>
        <v/>
      </c>
      <c r="K142" s="137"/>
      <c r="L142" s="174" t="str">
        <f ca="1">IFERROR(VALUE(IF(VLOOKUP($A142,数出表_Excel!$A$6:$T$150,COLUMN()/2+1,FALSE)=0,"",VLOOKUP($A142,数出表_Excel!$A$6:$T$150,COLUMN()/2+1,FALSE))),"")</f>
        <v/>
      </c>
      <c r="M142" s="137"/>
      <c r="N142" s="172" t="str">
        <f ca="1">IFERROR(VALUE(IF(VLOOKUP($A142,数出表_Excel!$A$6:$T$150,COLUMN()/2+1,FALSE)=0,"",VLOOKUP($A142,数出表_Excel!$A$6:$T$150,COLUMN()/2+1,FALSE))),"")</f>
        <v/>
      </c>
      <c r="O142" s="137"/>
      <c r="P142" s="172" t="str">
        <f ca="1">IFERROR(VALUE(IF(VLOOKUP($A142,数出表_Excel!$A$6:$T$150,COLUMN()/2+1,FALSE)=0,"",VLOOKUP($A142,数出表_Excel!$A$6:$T$150,COLUMN()/2+1,FALSE))),"")</f>
        <v/>
      </c>
      <c r="Q142" s="137"/>
      <c r="R142" s="172" t="str">
        <f ca="1">IFERROR(VALUE(IF(VLOOKUP($A142,数出表_Excel!$A$6:$T$150,COLUMN()/2+1,FALSE)=0,"",VLOOKUP($A142,数出表_Excel!$A$6:$T$150,COLUMN()/2+1,FALSE))),"")</f>
        <v/>
      </c>
      <c r="S142" s="137"/>
      <c r="T142" s="172" t="str">
        <f ca="1">IFERROR(VALUE(IF(VLOOKUP($A142,数出表_Excel!$A$6:$T$150,COLUMN()/2+1,FALSE)=0,"",VLOOKUP($A142,数出表_Excel!$A$6:$T$150,COLUMN()/2+1,FALSE))),"")</f>
        <v/>
      </c>
      <c r="U142" s="137"/>
      <c r="V142" s="174" t="str">
        <f ca="1">IFERROR(VALUE(IF(VLOOKUP($A142,数出表_Excel!$A$6:$T$150,COLUMN()/2+1,FALSE)=0,"",VLOOKUP($A142,数出表_Excel!$A$6:$T$150,COLUMN()/2+1,FALSE))),"")</f>
        <v/>
      </c>
      <c r="W142" s="137"/>
      <c r="X142" s="174" t="str">
        <f ca="1">IFERROR(VALUE(IF(VLOOKUP($A142,数出表_Excel!$A$6:$T$150,COLUMN()/2+1,FALSE)=0,"",VLOOKUP($A142,数出表_Excel!$A$6:$T$150,COLUMN()/2+1,FALSE))),"")</f>
        <v/>
      </c>
      <c r="Y142" s="137"/>
      <c r="Z142" s="174" t="str">
        <f ca="1">IFERROR(VALUE(IF(VLOOKUP($A142,数出表_Excel!$A$6:$T$150,COLUMN()/2+1,FALSE)=0,"",VLOOKUP($A142,数出表_Excel!$A$6:$T$150,COLUMN()/2+1,FALSE))),"")</f>
        <v/>
      </c>
      <c r="AA142" s="175"/>
      <c r="AB142" s="173" t="str">
        <f ca="1">IFERROR(VALUE(IF(VLOOKUP($A142,数出表_Excel!$A$6:$T$150,COLUMN()/2+1,FALSE)=0,"",VLOOKUP($A142,数出表_Excel!$A$6:$T$150,COLUMN()/2+1,FALSE))),"")</f>
        <v/>
      </c>
      <c r="AC142" s="137"/>
      <c r="AD142" s="174" t="str">
        <f ca="1">IFERROR(VALUE(IF(VLOOKUP($A142,数出表_Excel!$A$6:$T$150,COLUMN()/2+1,FALSE)=0,"",VLOOKUP($A142,数出表_Excel!$A$6:$T$150,COLUMN()/2+1,FALSE))),"")</f>
        <v/>
      </c>
      <c r="AE142" s="137"/>
      <c r="AF142" s="174" t="str">
        <f ca="1">IFERROR(VALUE(IF(VLOOKUP($A142,数出表_Excel!$A$6:$T$150,COLUMN()/2+1,FALSE)=0,"",VLOOKUP($A142,数出表_Excel!$A$6:$T$150,COLUMN()/2+1,FALSE))),"")</f>
        <v/>
      </c>
      <c r="AG142" s="137"/>
      <c r="AH142" s="174" t="str">
        <f ca="1">IFERROR(VALUE(IF(VLOOKUP($A142,数出表_Excel!$A$6:$T$150,COLUMN()/2+1,FALSE)=0,"",VLOOKUP($A142,数出表_Excel!$A$6:$T$150,COLUMN()/2+1,FALSE))),"")</f>
        <v/>
      </c>
      <c r="AI142" s="175"/>
      <c r="AJ142" s="173" t="str">
        <f ca="1">IFERROR(VALUE(IF(VLOOKUP($A142,数出表_Excel!$A$6:$T$150,COLUMN()/2+1,FALSE)=0,"",VLOOKUP($A142,数出表_Excel!$A$6:$T$150,COLUMN()/2+1,FALSE))),"")</f>
        <v/>
      </c>
      <c r="AK142" s="137"/>
      <c r="AL142" s="141" t="e">
        <f ca="1">IF(A142&lt;&gt;"",
IF(VLOOKUP($A142,数出表_Excel!$A$6:$T$150,COLUMN()/2+1,FALSE)=0,"",VLOOKUP($A142,数出表_Excel!$A$6:$T$150,COLUMN()/2+1,FALSE)),"")</f>
        <v>#N/A</v>
      </c>
      <c r="AM142" s="222" t="e">
        <f>数出表_Excel!V142</f>
        <v>#N/A</v>
      </c>
      <c r="AN142" s="223" t="e">
        <f>数出表_Excel!W142</f>
        <v>#N/A</v>
      </c>
    </row>
    <row r="143" spans="1:40" ht="16.2" customHeight="1" x14ac:dyDescent="0.45">
      <c r="A143" s="185" t="e">
        <f t="array" aca="1" ref="A143" ca="1">IF(OR(COUNTIF(A141,"*1000*"),COUNTIF(A141,"")),"",INDEX(貼り付け用!$A:$A,MATCH(A141,貼り付け用!$A:$A,0)+2,0))</f>
        <v>#N/A</v>
      </c>
      <c r="B143" s="138" t="str">
        <f ca="1">IFERROR(VALUE(IF(VLOOKUP($A143,数出表_Excel!$A$6:$T$150,COLUMN()/2+1,FALSE)=0,"",VLOOKUP($A143,数出表_Excel!$A$6:$T$150,COLUMN()/2+1,FALSE))),"")</f>
        <v/>
      </c>
      <c r="C143" s="138"/>
      <c r="D143" s="138" t="str">
        <f ca="1">IFERROR(VALUE(IF(VLOOKUP($A143,数出表_Excel!$A$6:$T$150,COLUMN()/2+1,FALSE)=0,"",VLOOKUP($A143,数出表_Excel!$A$6:$T$150,COLUMN()/2+1,FALSE))),"")</f>
        <v/>
      </c>
      <c r="E143" s="138"/>
      <c r="F143" s="142" t="str">
        <f ca="1">IFERROR(VALUE(IF(VLOOKUP($A143,数出表_Excel!$A$6:$T$150,COLUMN()/2+1,FALSE)=0,"",VLOOKUP($A143,数出表_Excel!$A$6:$T$150,COLUMN()/2+1,FALSE))),"")</f>
        <v/>
      </c>
      <c r="G143" s="138"/>
      <c r="H143" s="138" t="str">
        <f ca="1">IFERROR(VALUE(IF(VLOOKUP($A143,数出表_Excel!$A$6:$T$150,COLUMN()/2+1,FALSE)=0,"",VLOOKUP($A143,数出表_Excel!$A$6:$T$150,COLUMN()/2+1,FALSE))),"")</f>
        <v/>
      </c>
      <c r="I143" s="138"/>
      <c r="J143" s="138" t="str">
        <f ca="1">IFERROR(VALUE(IF(VLOOKUP($A143,数出表_Excel!$A$6:$T$150,COLUMN()/2+1,FALSE)=0,"",VLOOKUP($A143,数出表_Excel!$A$6:$T$150,COLUMN()/2+1,FALSE))),"")</f>
        <v/>
      </c>
      <c r="K143" s="138"/>
      <c r="L143" s="142" t="str">
        <f ca="1">IFERROR(VALUE(IF(VLOOKUP($A143,数出表_Excel!$A$6:$T$150,COLUMN()/2+1,FALSE)=0,"",VLOOKUP($A143,数出表_Excel!$A$6:$T$150,COLUMN()/2+1,FALSE))),"")</f>
        <v/>
      </c>
      <c r="M143" s="138"/>
      <c r="N143" s="138" t="str">
        <f ca="1">IFERROR(VALUE(IF(VLOOKUP($A143,数出表_Excel!$A$6:$T$150,COLUMN()/2+1,FALSE)=0,"",VLOOKUP($A143,数出表_Excel!$A$6:$T$150,COLUMN()/2+1,FALSE))),"")</f>
        <v/>
      </c>
      <c r="O143" s="138"/>
      <c r="P143" s="138" t="str">
        <f ca="1">IFERROR(VALUE(IF(VLOOKUP($A143,数出表_Excel!$A$6:$T$150,COLUMN()/2+1,FALSE)=0,"",VLOOKUP($A143,数出表_Excel!$A$6:$T$150,COLUMN()/2+1,FALSE))),"")</f>
        <v/>
      </c>
      <c r="Q143" s="138"/>
      <c r="R143" s="138" t="str">
        <f ca="1">IFERROR(VALUE(IF(VLOOKUP($A143,数出表_Excel!$A$6:$T$150,COLUMN()/2+1,FALSE)=0,"",VLOOKUP($A143,数出表_Excel!$A$6:$T$150,COLUMN()/2+1,FALSE))),"")</f>
        <v/>
      </c>
      <c r="S143" s="138"/>
      <c r="T143" s="138" t="str">
        <f ca="1">IFERROR(VALUE(IF(VLOOKUP($A143,数出表_Excel!$A$6:$T$150,COLUMN()/2+1,FALSE)=0,"",VLOOKUP($A143,数出表_Excel!$A$6:$T$150,COLUMN()/2+1,FALSE))),"")</f>
        <v/>
      </c>
      <c r="U143" s="138"/>
      <c r="V143" s="142" t="str">
        <f ca="1">IFERROR(VALUE(IF(VLOOKUP($A143,数出表_Excel!$A$6:$T$150,COLUMN()/2+1,FALSE)=0,"",VLOOKUP($A143,数出表_Excel!$A$6:$T$150,COLUMN()/2+1,FALSE))),"")</f>
        <v/>
      </c>
      <c r="W143" s="138"/>
      <c r="X143" s="142" t="str">
        <f ca="1">IFERROR(VALUE(IF(VLOOKUP($A143,数出表_Excel!$A$6:$T$150,COLUMN()/2+1,FALSE)=0,"",VLOOKUP($A143,数出表_Excel!$A$6:$T$150,COLUMN()/2+1,FALSE))),"")</f>
        <v/>
      </c>
      <c r="Y143" s="138"/>
      <c r="Z143" s="142" t="str">
        <f ca="1">IFERROR(VALUE(IF(VLOOKUP($A143,数出表_Excel!$A$6:$T$150,COLUMN()/2+1,FALSE)=0,"",VLOOKUP($A143,数出表_Excel!$A$6:$T$150,COLUMN()/2+1,FALSE))),"")</f>
        <v/>
      </c>
      <c r="AA143" s="176"/>
      <c r="AB143" s="143" t="str">
        <f ca="1">IFERROR(VALUE(IF(VLOOKUP($A143,数出表_Excel!$A$6:$T$150,COLUMN()/2+1,FALSE)=0,"",VLOOKUP($A143,数出表_Excel!$A$6:$T$150,COLUMN()/2+1,FALSE))),"")</f>
        <v/>
      </c>
      <c r="AC143" s="138"/>
      <c r="AD143" s="142" t="str">
        <f ca="1">IFERROR(VALUE(IF(VLOOKUP($A143,数出表_Excel!$A$6:$T$150,COLUMN()/2+1,FALSE)=0,"",VLOOKUP($A143,数出表_Excel!$A$6:$T$150,COLUMN()/2+1,FALSE))),"")</f>
        <v/>
      </c>
      <c r="AE143" s="138"/>
      <c r="AF143" s="142" t="str">
        <f ca="1">IFERROR(VALUE(IF(VLOOKUP($A143,数出表_Excel!$A$6:$T$150,COLUMN()/2+1,FALSE)=0,"",VLOOKUP($A143,数出表_Excel!$A$6:$T$150,COLUMN()/2+1,FALSE))),"")</f>
        <v/>
      </c>
      <c r="AG143" s="138"/>
      <c r="AH143" s="142" t="str">
        <f ca="1">IFERROR(VALUE(IF(VLOOKUP($A143,数出表_Excel!$A$6:$T$150,COLUMN()/2+1,FALSE)=0,"",VLOOKUP($A143,数出表_Excel!$A$6:$T$150,COLUMN()/2+1,FALSE))),"")</f>
        <v/>
      </c>
      <c r="AI143" s="176"/>
      <c r="AJ143" s="143" t="str">
        <f ca="1">IFERROR(VALUE(IF(VLOOKUP($A143,数出表_Excel!$A$6:$T$150,COLUMN()/2+1,FALSE)=0,"",VLOOKUP($A143,数出表_Excel!$A$6:$T$150,COLUMN()/2+1,FALSE))),"")</f>
        <v/>
      </c>
      <c r="AK143" s="138"/>
      <c r="AL143" s="144" t="e">
        <f ca="1">IF(A143&lt;&gt;"",
IF(VLOOKUP($A143,数出表_Excel!$A$6:$T$150,COLUMN()/2+1,FALSE)=0,"",VLOOKUP($A143,数出表_Excel!$A$6:$T$150,COLUMN()/2+1,FALSE)),"")</f>
        <v>#N/A</v>
      </c>
      <c r="AM143" s="224" t="e">
        <f>数出表_Excel!V143</f>
        <v>#N/A</v>
      </c>
      <c r="AN143" s="225" t="e">
        <f>数出表_Excel!W143</f>
        <v>#N/A</v>
      </c>
    </row>
    <row r="144" spans="1:40" ht="16.2" customHeight="1" x14ac:dyDescent="0.45">
      <c r="A144" s="184" t="e">
        <f t="array" aca="1" ref="A144" ca="1">IF(OR(COUNTIF(A142,"*10002*"),COUNTIF(A142,"")),"",INDEX(貼り付け用!$A:$A,MATCH(A142,貼り付け用!$A:$A,0)+2,0))</f>
        <v>#N/A</v>
      </c>
      <c r="B144" s="172" t="str">
        <f ca="1">IFERROR(VALUE(IF(VLOOKUP($A144,数出表_Excel!$A$6:$T$150,COLUMN()/2+1,FALSE)=0,"",VLOOKUP($A144,数出表_Excel!$A$6:$T$150,COLUMN()/2+1,FALSE))),"")</f>
        <v/>
      </c>
      <c r="C144" s="137"/>
      <c r="D144" s="172" t="str">
        <f ca="1">IFERROR(VALUE(IF(VLOOKUP($A144,数出表_Excel!$A$6:$T$150,COLUMN()/2+1,FALSE)=0,"",VLOOKUP($A144,数出表_Excel!$A$6:$T$150,COLUMN()/2+1,FALSE))),"")</f>
        <v/>
      </c>
      <c r="E144" s="137"/>
      <c r="F144" s="174" t="str">
        <f ca="1">IFERROR(VALUE(IF(VLOOKUP($A144,数出表_Excel!$A$6:$T$150,COLUMN()/2+1,FALSE)=0,"",VLOOKUP($A144,数出表_Excel!$A$6:$T$150,COLUMN()/2+1,FALSE))),"")</f>
        <v/>
      </c>
      <c r="G144" s="137"/>
      <c r="H144" s="172" t="str">
        <f ca="1">IFERROR(VALUE(IF(VLOOKUP($A144,数出表_Excel!$A$6:$T$150,COLUMN()/2+1,FALSE)=0,"",VLOOKUP($A144,数出表_Excel!$A$6:$T$150,COLUMN()/2+1,FALSE))),"")</f>
        <v/>
      </c>
      <c r="I144" s="137"/>
      <c r="J144" s="172" t="str">
        <f ca="1">IFERROR(VALUE(IF(VLOOKUP($A144,数出表_Excel!$A$6:$T$150,COLUMN()/2+1,FALSE)=0,"",VLOOKUP($A144,数出表_Excel!$A$6:$T$150,COLUMN()/2+1,FALSE))),"")</f>
        <v/>
      </c>
      <c r="K144" s="137"/>
      <c r="L144" s="174" t="str">
        <f ca="1">IFERROR(VALUE(IF(VLOOKUP($A144,数出表_Excel!$A$6:$T$150,COLUMN()/2+1,FALSE)=0,"",VLOOKUP($A144,数出表_Excel!$A$6:$T$150,COLUMN()/2+1,FALSE))),"")</f>
        <v/>
      </c>
      <c r="M144" s="137"/>
      <c r="N144" s="172" t="str">
        <f ca="1">IFERROR(VALUE(IF(VLOOKUP($A144,数出表_Excel!$A$6:$T$150,COLUMN()/2+1,FALSE)=0,"",VLOOKUP($A144,数出表_Excel!$A$6:$T$150,COLUMN()/2+1,FALSE))),"")</f>
        <v/>
      </c>
      <c r="O144" s="137"/>
      <c r="P144" s="172" t="str">
        <f ca="1">IFERROR(VALUE(IF(VLOOKUP($A144,数出表_Excel!$A$6:$T$150,COLUMN()/2+1,FALSE)=0,"",VLOOKUP($A144,数出表_Excel!$A$6:$T$150,COLUMN()/2+1,FALSE))),"")</f>
        <v/>
      </c>
      <c r="Q144" s="137"/>
      <c r="R144" s="172" t="str">
        <f ca="1">IFERROR(VALUE(IF(VLOOKUP($A144,数出表_Excel!$A$6:$T$150,COLUMN()/2+1,FALSE)=0,"",VLOOKUP($A144,数出表_Excel!$A$6:$T$150,COLUMN()/2+1,FALSE))),"")</f>
        <v/>
      </c>
      <c r="S144" s="137"/>
      <c r="T144" s="172" t="str">
        <f ca="1">IFERROR(VALUE(IF(VLOOKUP($A144,数出表_Excel!$A$6:$T$150,COLUMN()/2+1,FALSE)=0,"",VLOOKUP($A144,数出表_Excel!$A$6:$T$150,COLUMN()/2+1,FALSE))),"")</f>
        <v/>
      </c>
      <c r="U144" s="137"/>
      <c r="V144" s="174" t="str">
        <f ca="1">IFERROR(VALUE(IF(VLOOKUP($A144,数出表_Excel!$A$6:$T$150,COLUMN()/2+1,FALSE)=0,"",VLOOKUP($A144,数出表_Excel!$A$6:$T$150,COLUMN()/2+1,FALSE))),"")</f>
        <v/>
      </c>
      <c r="W144" s="137"/>
      <c r="X144" s="174" t="str">
        <f ca="1">IFERROR(VALUE(IF(VLOOKUP($A144,数出表_Excel!$A$6:$T$150,COLUMN()/2+1,FALSE)=0,"",VLOOKUP($A144,数出表_Excel!$A$6:$T$150,COLUMN()/2+1,FALSE))),"")</f>
        <v/>
      </c>
      <c r="Y144" s="137"/>
      <c r="Z144" s="174" t="str">
        <f ca="1">IFERROR(VALUE(IF(VLOOKUP($A144,数出表_Excel!$A$6:$T$150,COLUMN()/2+1,FALSE)=0,"",VLOOKUP($A144,数出表_Excel!$A$6:$T$150,COLUMN()/2+1,FALSE))),"")</f>
        <v/>
      </c>
      <c r="AA144" s="175"/>
      <c r="AB144" s="173" t="str">
        <f ca="1">IFERROR(VALUE(IF(VLOOKUP($A144,数出表_Excel!$A$6:$T$150,COLUMN()/2+1,FALSE)=0,"",VLOOKUP($A144,数出表_Excel!$A$6:$T$150,COLUMN()/2+1,FALSE))),"")</f>
        <v/>
      </c>
      <c r="AC144" s="137"/>
      <c r="AD144" s="174" t="str">
        <f ca="1">IFERROR(VALUE(IF(VLOOKUP($A144,数出表_Excel!$A$6:$T$150,COLUMN()/2+1,FALSE)=0,"",VLOOKUP($A144,数出表_Excel!$A$6:$T$150,COLUMN()/2+1,FALSE))),"")</f>
        <v/>
      </c>
      <c r="AE144" s="137"/>
      <c r="AF144" s="174" t="str">
        <f ca="1">IFERROR(VALUE(IF(VLOOKUP($A144,数出表_Excel!$A$6:$T$150,COLUMN()/2+1,FALSE)=0,"",VLOOKUP($A144,数出表_Excel!$A$6:$T$150,COLUMN()/2+1,FALSE))),"")</f>
        <v/>
      </c>
      <c r="AG144" s="137"/>
      <c r="AH144" s="174" t="str">
        <f ca="1">IFERROR(VALUE(IF(VLOOKUP($A144,数出表_Excel!$A$6:$T$150,COLUMN()/2+1,FALSE)=0,"",VLOOKUP($A144,数出表_Excel!$A$6:$T$150,COLUMN()/2+1,FALSE))),"")</f>
        <v/>
      </c>
      <c r="AI144" s="175"/>
      <c r="AJ144" s="173" t="str">
        <f ca="1">IFERROR(VALUE(IF(VLOOKUP($A144,数出表_Excel!$A$6:$T$150,COLUMN()/2+1,FALSE)=0,"",VLOOKUP($A144,数出表_Excel!$A$6:$T$150,COLUMN()/2+1,FALSE))),"")</f>
        <v/>
      </c>
      <c r="AK144" s="137"/>
      <c r="AL144" s="141" t="e">
        <f ca="1">IF(A144&lt;&gt;"",
IF(VLOOKUP($A144,数出表_Excel!$A$6:$T$150,COLUMN()/2+1,FALSE)=0,"",VLOOKUP($A144,数出表_Excel!$A$6:$T$150,COLUMN()/2+1,FALSE)),"")</f>
        <v>#N/A</v>
      </c>
      <c r="AM144" s="222" t="e">
        <f>数出表_Excel!V144</f>
        <v>#N/A</v>
      </c>
      <c r="AN144" s="223" t="e">
        <f>数出表_Excel!W144</f>
        <v>#N/A</v>
      </c>
    </row>
    <row r="145" spans="1:40" ht="16.2" customHeight="1" x14ac:dyDescent="0.45">
      <c r="A145" s="185" t="e">
        <f t="array" aca="1" ref="A145" ca="1">IF(OR(COUNTIF(A143,"*1000*"),COUNTIF(A143,"")),"",INDEX(貼り付け用!$A:$A,MATCH(A143,貼り付け用!$A:$A,0)+2,0))</f>
        <v>#N/A</v>
      </c>
      <c r="B145" s="138" t="str">
        <f ca="1">IFERROR(VALUE(IF(VLOOKUP($A145,数出表_Excel!$A$6:$T$150,COLUMN()/2+1,FALSE)=0,"",VLOOKUP($A145,数出表_Excel!$A$6:$T$150,COLUMN()/2+1,FALSE))),"")</f>
        <v/>
      </c>
      <c r="C145" s="138"/>
      <c r="D145" s="138" t="str">
        <f ca="1">IFERROR(VALUE(IF(VLOOKUP($A145,数出表_Excel!$A$6:$T$150,COLUMN()/2+1,FALSE)=0,"",VLOOKUP($A145,数出表_Excel!$A$6:$T$150,COLUMN()/2+1,FALSE))),"")</f>
        <v/>
      </c>
      <c r="E145" s="138"/>
      <c r="F145" s="142" t="str">
        <f ca="1">IFERROR(VALUE(IF(VLOOKUP($A145,数出表_Excel!$A$6:$T$150,COLUMN()/2+1,FALSE)=0,"",VLOOKUP($A145,数出表_Excel!$A$6:$T$150,COLUMN()/2+1,FALSE))),"")</f>
        <v/>
      </c>
      <c r="G145" s="138"/>
      <c r="H145" s="138" t="str">
        <f ca="1">IFERROR(VALUE(IF(VLOOKUP($A145,数出表_Excel!$A$6:$T$150,COLUMN()/2+1,FALSE)=0,"",VLOOKUP($A145,数出表_Excel!$A$6:$T$150,COLUMN()/2+1,FALSE))),"")</f>
        <v/>
      </c>
      <c r="I145" s="138"/>
      <c r="J145" s="138" t="str">
        <f ca="1">IFERROR(VALUE(IF(VLOOKUP($A145,数出表_Excel!$A$6:$T$150,COLUMN()/2+1,FALSE)=0,"",VLOOKUP($A145,数出表_Excel!$A$6:$T$150,COLUMN()/2+1,FALSE))),"")</f>
        <v/>
      </c>
      <c r="K145" s="138"/>
      <c r="L145" s="142" t="str">
        <f ca="1">IFERROR(VALUE(IF(VLOOKUP($A145,数出表_Excel!$A$6:$T$150,COLUMN()/2+1,FALSE)=0,"",VLOOKUP($A145,数出表_Excel!$A$6:$T$150,COLUMN()/2+1,FALSE))),"")</f>
        <v/>
      </c>
      <c r="M145" s="138"/>
      <c r="N145" s="138" t="str">
        <f ca="1">IFERROR(VALUE(IF(VLOOKUP($A145,数出表_Excel!$A$6:$T$150,COLUMN()/2+1,FALSE)=0,"",VLOOKUP($A145,数出表_Excel!$A$6:$T$150,COLUMN()/2+1,FALSE))),"")</f>
        <v/>
      </c>
      <c r="O145" s="138"/>
      <c r="P145" s="138" t="str">
        <f ca="1">IFERROR(VALUE(IF(VLOOKUP($A145,数出表_Excel!$A$6:$T$150,COLUMN()/2+1,FALSE)=0,"",VLOOKUP($A145,数出表_Excel!$A$6:$T$150,COLUMN()/2+1,FALSE))),"")</f>
        <v/>
      </c>
      <c r="Q145" s="138"/>
      <c r="R145" s="138" t="str">
        <f ca="1">IFERROR(VALUE(IF(VLOOKUP($A145,数出表_Excel!$A$6:$T$150,COLUMN()/2+1,FALSE)=0,"",VLOOKUP($A145,数出表_Excel!$A$6:$T$150,COLUMN()/2+1,FALSE))),"")</f>
        <v/>
      </c>
      <c r="S145" s="138"/>
      <c r="T145" s="138" t="str">
        <f ca="1">IFERROR(VALUE(IF(VLOOKUP($A145,数出表_Excel!$A$6:$T$150,COLUMN()/2+1,FALSE)=0,"",VLOOKUP($A145,数出表_Excel!$A$6:$T$150,COLUMN()/2+1,FALSE))),"")</f>
        <v/>
      </c>
      <c r="U145" s="138"/>
      <c r="V145" s="142" t="str">
        <f ca="1">IFERROR(VALUE(IF(VLOOKUP($A145,数出表_Excel!$A$6:$T$150,COLUMN()/2+1,FALSE)=0,"",VLOOKUP($A145,数出表_Excel!$A$6:$T$150,COLUMN()/2+1,FALSE))),"")</f>
        <v/>
      </c>
      <c r="W145" s="138"/>
      <c r="X145" s="142" t="str">
        <f ca="1">IFERROR(VALUE(IF(VLOOKUP($A145,数出表_Excel!$A$6:$T$150,COLUMN()/2+1,FALSE)=0,"",VLOOKUP($A145,数出表_Excel!$A$6:$T$150,COLUMN()/2+1,FALSE))),"")</f>
        <v/>
      </c>
      <c r="Y145" s="138"/>
      <c r="Z145" s="142" t="str">
        <f ca="1">IFERROR(VALUE(IF(VLOOKUP($A145,数出表_Excel!$A$6:$T$150,COLUMN()/2+1,FALSE)=0,"",VLOOKUP($A145,数出表_Excel!$A$6:$T$150,COLUMN()/2+1,FALSE))),"")</f>
        <v/>
      </c>
      <c r="AA145" s="176"/>
      <c r="AB145" s="143" t="str">
        <f ca="1">IFERROR(VALUE(IF(VLOOKUP($A145,数出表_Excel!$A$6:$T$150,COLUMN()/2+1,FALSE)=0,"",VLOOKUP($A145,数出表_Excel!$A$6:$T$150,COLUMN()/2+1,FALSE))),"")</f>
        <v/>
      </c>
      <c r="AC145" s="138"/>
      <c r="AD145" s="142" t="str">
        <f ca="1">IFERROR(VALUE(IF(VLOOKUP($A145,数出表_Excel!$A$6:$T$150,COLUMN()/2+1,FALSE)=0,"",VLOOKUP($A145,数出表_Excel!$A$6:$T$150,COLUMN()/2+1,FALSE))),"")</f>
        <v/>
      </c>
      <c r="AE145" s="138"/>
      <c r="AF145" s="142" t="str">
        <f ca="1">IFERROR(VALUE(IF(VLOOKUP($A145,数出表_Excel!$A$6:$T$150,COLUMN()/2+1,FALSE)=0,"",VLOOKUP($A145,数出表_Excel!$A$6:$T$150,COLUMN()/2+1,FALSE))),"")</f>
        <v/>
      </c>
      <c r="AG145" s="138"/>
      <c r="AH145" s="142" t="str">
        <f ca="1">IFERROR(VALUE(IF(VLOOKUP($A145,数出表_Excel!$A$6:$T$150,COLUMN()/2+1,FALSE)=0,"",VLOOKUP($A145,数出表_Excel!$A$6:$T$150,COLUMN()/2+1,FALSE))),"")</f>
        <v/>
      </c>
      <c r="AI145" s="176"/>
      <c r="AJ145" s="143" t="str">
        <f ca="1">IFERROR(VALUE(IF(VLOOKUP($A145,数出表_Excel!$A$6:$T$150,COLUMN()/2+1,FALSE)=0,"",VLOOKUP($A145,数出表_Excel!$A$6:$T$150,COLUMN()/2+1,FALSE))),"")</f>
        <v/>
      </c>
      <c r="AK145" s="138"/>
      <c r="AL145" s="144" t="e">
        <f ca="1">IF(A145&lt;&gt;"",
IF(VLOOKUP($A145,数出表_Excel!$A$6:$T$150,COLUMN()/2+1,FALSE)=0,"",VLOOKUP($A145,数出表_Excel!$A$6:$T$150,COLUMN()/2+1,FALSE)),"")</f>
        <v>#N/A</v>
      </c>
      <c r="AM145" s="224" t="e">
        <f>数出表_Excel!V145</f>
        <v>#N/A</v>
      </c>
      <c r="AN145" s="225" t="e">
        <f>数出表_Excel!W145</f>
        <v>#N/A</v>
      </c>
    </row>
    <row r="146" spans="1:40" ht="16.2" customHeight="1" x14ac:dyDescent="0.45">
      <c r="A146" s="184" t="e">
        <f>数出表_Excel!A146</f>
        <v>#N/A</v>
      </c>
      <c r="B146" s="136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71"/>
      <c r="D146" s="136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71"/>
      <c r="F146" s="139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71"/>
      <c r="H146" s="136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71"/>
      <c r="J146" s="136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71"/>
      <c r="L146" s="139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71"/>
      <c r="N146" s="136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71"/>
      <c r="P146" s="136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71"/>
      <c r="R146" s="136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71"/>
      <c r="T146" s="136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71"/>
      <c r="V146" s="139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71"/>
      <c r="X146" s="140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71"/>
      <c r="Z146" s="139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77"/>
      <c r="AB146" s="140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71"/>
      <c r="AD146" s="139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71"/>
      <c r="AF146" s="140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71"/>
      <c r="AH146" s="139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77"/>
      <c r="AJ146" s="140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71"/>
      <c r="AL146" s="141" t="e">
        <f>数出表_Excel!T146</f>
        <v>#N/A</v>
      </c>
      <c r="AM146" s="203" t="e">
        <f>数出表_Excel!V146</f>
        <v>#N/A</v>
      </c>
      <c r="AN146" s="204" t="e">
        <f>数出表_Excel!W146</f>
        <v>#N/A</v>
      </c>
    </row>
    <row r="147" spans="1:40" ht="16.2" customHeight="1" x14ac:dyDescent="0.45">
      <c r="A147" s="185" t="e">
        <f>数出表_Excel!A147</f>
        <v>#N/A</v>
      </c>
      <c r="B147" s="138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38"/>
      <c r="D147" s="138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138"/>
      <c r="F147" s="142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138"/>
      <c r="H147" s="138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38"/>
      <c r="J147" s="138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138"/>
      <c r="L147" s="142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38"/>
      <c r="N147" s="138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138"/>
      <c r="P147" s="138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38"/>
      <c r="R147" s="138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138"/>
      <c r="T147" s="138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38"/>
      <c r="V147" s="142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138"/>
      <c r="X147" s="143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38"/>
      <c r="Z147" s="142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76"/>
      <c r="AB147" s="143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38"/>
      <c r="AD147" s="142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138"/>
      <c r="AF147" s="143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38"/>
      <c r="AH147" s="142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76"/>
      <c r="AJ147" s="143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38"/>
      <c r="AL147" s="144" t="e">
        <f>数出表_Excel!T147</f>
        <v>#N/A</v>
      </c>
      <c r="AM147" s="226" t="e">
        <f>数出表_Excel!V147</f>
        <v>#N/A</v>
      </c>
      <c r="AN147" s="227" t="e">
        <f>数出表_Excel!W147</f>
        <v>#N/A</v>
      </c>
    </row>
    <row r="148" spans="1:40" ht="16.2" customHeight="1" x14ac:dyDescent="0.45">
      <c r="B148" s="145"/>
      <c r="C148" s="145"/>
      <c r="D148" s="145"/>
      <c r="E148" s="145"/>
      <c r="F148" s="146"/>
      <c r="G148" s="145"/>
      <c r="H148" s="145"/>
      <c r="I148" s="145"/>
      <c r="J148" s="145"/>
      <c r="K148" s="269"/>
      <c r="L148" s="146"/>
      <c r="M148" s="269"/>
      <c r="N148" s="269"/>
      <c r="O148" s="269"/>
      <c r="P148" s="269"/>
      <c r="Q148" s="269"/>
      <c r="R148" s="269"/>
      <c r="S148" s="269"/>
      <c r="T148" s="269"/>
      <c r="U148" s="269"/>
      <c r="V148" s="147"/>
      <c r="W148" s="148"/>
      <c r="X148" s="273"/>
      <c r="Y148" s="269"/>
      <c r="Z148" s="147"/>
      <c r="AA148" s="148"/>
      <c r="AB148" s="168"/>
      <c r="AC148" s="145"/>
      <c r="AD148" s="147"/>
      <c r="AE148" s="148"/>
      <c r="AF148" s="168"/>
      <c r="AG148" s="145"/>
      <c r="AH148" s="147"/>
      <c r="AI148" s="148"/>
      <c r="AJ148" s="168"/>
      <c r="AK148" s="145"/>
      <c r="AL148" s="149"/>
    </row>
    <row r="149" spans="1:40" ht="23.4" customHeight="1" x14ac:dyDescent="0.2">
      <c r="A149" s="187" t="s">
        <v>19</v>
      </c>
      <c r="B149" s="150"/>
      <c r="C149" s="150"/>
      <c r="D149" s="150"/>
      <c r="E149" s="150"/>
      <c r="F149" s="151" t="str">
        <f>IF(OR(F150&lt;&gt;"",F153&lt;&gt;""),F146-F150-F151-F152-F153,"")</f>
        <v/>
      </c>
      <c r="G149" s="152"/>
      <c r="H149" s="150" t="str">
        <f>IF(OR(H150&lt;&gt;"",H153&lt;&gt;""),H146-H150-H151-H152-H153,"")</f>
        <v/>
      </c>
      <c r="I149" s="152"/>
      <c r="J149" s="150" t="str">
        <f>IF(OR(J150&lt;&gt;"",J153&lt;&gt;""),J146-J150-J151-J152-J153,"")</f>
        <v/>
      </c>
      <c r="K149" s="270"/>
      <c r="L149" s="151" t="str">
        <f>IF(OR(L150&lt;&gt;"",L153&lt;&gt;""),L146-L150-L151-L152-L153,"")</f>
        <v/>
      </c>
      <c r="M149" s="152"/>
      <c r="N149" s="270" t="str">
        <f>IF(OR(N150&lt;&gt;"",N153&lt;&gt;""),N146-N150-N151-N152-N153,"")</f>
        <v/>
      </c>
      <c r="O149" s="152"/>
      <c r="P149" s="270" t="str">
        <f>IF(OR(P150&lt;&gt;"",P153&lt;&gt;""),P146-P150-P151-P152-P153,"")</f>
        <v/>
      </c>
      <c r="Q149" s="152"/>
      <c r="R149" s="270" t="str">
        <f>IF(OR(R150&lt;&gt;"",R153&lt;&gt;""),R146-R150-R151-R152-R153,"")</f>
        <v/>
      </c>
      <c r="S149" s="152"/>
      <c r="T149" s="270" t="str">
        <f>IF(OR(T150&lt;&gt;"",T153&lt;&gt;""),T146-T150-T151-T152-T153,"")</f>
        <v/>
      </c>
      <c r="U149" s="270"/>
      <c r="V149" s="151" t="str">
        <f>IF(OR(V150&lt;&gt;"",V153&lt;&gt;""),V146-V150-V151-V152-V153,"")</f>
        <v/>
      </c>
      <c r="W149" s="153"/>
      <c r="X149" s="270" t="str">
        <f>IF(OR(X150&lt;&gt;"",X153&lt;&gt;""),X146-X150-X151-X152-X153,"")</f>
        <v/>
      </c>
      <c r="Y149" s="270"/>
      <c r="Z149" s="151" t="str">
        <f>IF(OR(Z150&lt;&gt;"",Z153&lt;&gt;""),Z146-Z150-Z151-Z152-Z153,"")</f>
        <v/>
      </c>
      <c r="AA149" s="153"/>
      <c r="AB149" s="150" t="str">
        <f>IF(OR(AB150&lt;&gt;"",AB153&lt;&gt;""),AB146-AB150-AB151-AB152-AB153,"")</f>
        <v/>
      </c>
      <c r="AC149" s="150"/>
      <c r="AD149" s="151" t="str">
        <f>IF(OR(AD150&lt;&gt;"",AD153&lt;&gt;""),AD146-AD150-AD151-AD152-AD153,"")</f>
        <v/>
      </c>
      <c r="AE149" s="153"/>
      <c r="AF149" s="150" t="str">
        <f>IF(OR(AF150&lt;&gt;"",AF153&lt;&gt;""),AF146-AF150-AF151-AF152-AF153,"")</f>
        <v/>
      </c>
      <c r="AG149" s="150"/>
      <c r="AH149" s="151" t="str">
        <f>IF(OR(AH150&lt;&gt;"",AH153&lt;&gt;""),AH146-AH150-AH151-AH152-AH153,"")</f>
        <v/>
      </c>
      <c r="AI149" s="153"/>
      <c r="AJ149" s="150" t="str">
        <f>IF(OR(AJ150&lt;&gt;"",AJ153&lt;&gt;""),AJ146-AJ150-AJ151-AJ152-AJ153,"")</f>
        <v/>
      </c>
      <c r="AK149" s="150"/>
      <c r="AL149" s="170" t="str">
        <f>IF(OR(AL150&lt;&gt;"",AL153&lt;&gt;""),AL146-AL150-AL151-AL152-AL153,"")</f>
        <v/>
      </c>
    </row>
    <row r="150" spans="1:40" ht="16.2" customHeight="1" x14ac:dyDescent="0.45">
      <c r="A150" s="188" t="s">
        <v>20</v>
      </c>
      <c r="B150" s="154"/>
      <c r="C150" s="241">
        <f>SUM(C6:C145)</f>
        <v>0</v>
      </c>
      <c r="D150" s="154"/>
      <c r="E150" s="235">
        <f>SUM(E6:E145)</f>
        <v>0</v>
      </c>
      <c r="F150" s="155"/>
      <c r="G150" s="241">
        <f>SUM(G6:G145)</f>
        <v>0</v>
      </c>
      <c r="H150" s="156"/>
      <c r="I150" s="241">
        <f>SUM(I6:I145)</f>
        <v>0</v>
      </c>
      <c r="J150" s="156"/>
      <c r="K150" s="235">
        <f>SUM(K6:K145)</f>
        <v>0</v>
      </c>
      <c r="L150" s="155"/>
      <c r="M150" s="241">
        <f>SUM(M6:M145)</f>
        <v>0</v>
      </c>
      <c r="N150" s="154"/>
      <c r="O150" s="241">
        <f>SUM(O6:O145)</f>
        <v>0</v>
      </c>
      <c r="P150" s="156"/>
      <c r="Q150" s="241">
        <f>SUM(Q6:Q145)</f>
        <v>0</v>
      </c>
      <c r="R150" s="156"/>
      <c r="S150" s="241">
        <f>SUM(S6:S145)</f>
        <v>0</v>
      </c>
      <c r="T150" s="156"/>
      <c r="U150" s="235">
        <f>SUM(U6:U145)</f>
        <v>0</v>
      </c>
      <c r="V150" s="155"/>
      <c r="W150" s="238">
        <f>SUM(W6:W145)</f>
        <v>0</v>
      </c>
      <c r="X150" s="157"/>
      <c r="Y150" s="235">
        <f>SUM(Y6:Y145)</f>
        <v>0</v>
      </c>
      <c r="Z150" s="155"/>
      <c r="AA150" s="238">
        <f>SUM(AA6:AA145)</f>
        <v>0</v>
      </c>
      <c r="AB150" s="157"/>
      <c r="AC150" s="235">
        <f>SUM(AC6:AC145)</f>
        <v>0</v>
      </c>
      <c r="AD150" s="155"/>
      <c r="AE150" s="238">
        <f>SUM(AE6:AE145)</f>
        <v>0</v>
      </c>
      <c r="AF150" s="159"/>
      <c r="AG150" s="235">
        <f>SUM(AG6:AG145)</f>
        <v>0</v>
      </c>
      <c r="AH150" s="158"/>
      <c r="AI150" s="238">
        <f>SUM(AI6:AI145)</f>
        <v>0</v>
      </c>
      <c r="AJ150" s="159"/>
      <c r="AK150" s="235">
        <f>SUM(AK6:AK145)</f>
        <v>0</v>
      </c>
      <c r="AL150" s="160"/>
      <c r="AM150" s="228"/>
      <c r="AN150" s="229"/>
    </row>
    <row r="151" spans="1:40" ht="16.2" customHeight="1" x14ac:dyDescent="0.45">
      <c r="A151" s="188" t="s">
        <v>21</v>
      </c>
      <c r="B151" s="154"/>
      <c r="C151" s="242"/>
      <c r="D151" s="154"/>
      <c r="E151" s="236"/>
      <c r="F151" s="155"/>
      <c r="G151" s="242"/>
      <c r="H151" s="156"/>
      <c r="I151" s="242"/>
      <c r="J151" s="156"/>
      <c r="K151" s="236"/>
      <c r="L151" s="155"/>
      <c r="M151" s="242"/>
      <c r="N151" s="154"/>
      <c r="O151" s="242"/>
      <c r="P151" s="156"/>
      <c r="Q151" s="242"/>
      <c r="R151" s="156"/>
      <c r="S151" s="242"/>
      <c r="T151" s="156"/>
      <c r="U151" s="236"/>
      <c r="V151" s="155"/>
      <c r="W151" s="239"/>
      <c r="X151" s="157"/>
      <c r="Y151" s="236"/>
      <c r="Z151" s="155"/>
      <c r="AA151" s="239"/>
      <c r="AB151" s="157"/>
      <c r="AC151" s="236"/>
      <c r="AD151" s="155"/>
      <c r="AE151" s="239"/>
      <c r="AF151" s="159"/>
      <c r="AG151" s="236"/>
      <c r="AH151" s="158"/>
      <c r="AI151" s="239"/>
      <c r="AJ151" s="159"/>
      <c r="AK151" s="236"/>
      <c r="AL151" s="160"/>
      <c r="AM151" s="228"/>
      <c r="AN151" s="229"/>
    </row>
    <row r="152" spans="1:40" ht="16.2" customHeight="1" x14ac:dyDescent="0.45">
      <c r="A152" s="188" t="s">
        <v>22</v>
      </c>
      <c r="B152" s="154"/>
      <c r="C152" s="242"/>
      <c r="D152" s="154"/>
      <c r="E152" s="236"/>
      <c r="F152" s="155"/>
      <c r="G152" s="242"/>
      <c r="H152" s="156"/>
      <c r="I152" s="242"/>
      <c r="J152" s="156"/>
      <c r="K152" s="236"/>
      <c r="L152" s="155"/>
      <c r="M152" s="242"/>
      <c r="N152" s="154"/>
      <c r="O152" s="242"/>
      <c r="P152" s="156"/>
      <c r="Q152" s="242"/>
      <c r="R152" s="156"/>
      <c r="S152" s="242"/>
      <c r="T152" s="156"/>
      <c r="U152" s="236"/>
      <c r="V152" s="155"/>
      <c r="W152" s="239"/>
      <c r="X152" s="157"/>
      <c r="Y152" s="236"/>
      <c r="Z152" s="155"/>
      <c r="AA152" s="239"/>
      <c r="AB152" s="157"/>
      <c r="AC152" s="236"/>
      <c r="AD152" s="155"/>
      <c r="AE152" s="239"/>
      <c r="AF152" s="159"/>
      <c r="AG152" s="236"/>
      <c r="AH152" s="158"/>
      <c r="AI152" s="239"/>
      <c r="AJ152" s="159"/>
      <c r="AK152" s="236"/>
      <c r="AL152" s="160"/>
    </row>
    <row r="153" spans="1:40" s="128" customFormat="1" ht="16.2" customHeight="1" x14ac:dyDescent="0.45">
      <c r="A153" s="189" t="s">
        <v>23</v>
      </c>
      <c r="B153" s="161"/>
      <c r="C153" s="243"/>
      <c r="D153" s="161"/>
      <c r="E153" s="237"/>
      <c r="F153" s="162"/>
      <c r="G153" s="243"/>
      <c r="H153" s="163"/>
      <c r="I153" s="243"/>
      <c r="J153" s="163"/>
      <c r="K153" s="237"/>
      <c r="L153" s="162"/>
      <c r="M153" s="243"/>
      <c r="N153" s="161"/>
      <c r="O153" s="243"/>
      <c r="P153" s="163"/>
      <c r="Q153" s="243"/>
      <c r="R153" s="163"/>
      <c r="S153" s="243"/>
      <c r="T153" s="163"/>
      <c r="U153" s="237"/>
      <c r="V153" s="162"/>
      <c r="W153" s="240"/>
      <c r="X153" s="164"/>
      <c r="Y153" s="237"/>
      <c r="Z153" s="162"/>
      <c r="AA153" s="240"/>
      <c r="AB153" s="164"/>
      <c r="AC153" s="237"/>
      <c r="AD153" s="162"/>
      <c r="AE153" s="240"/>
      <c r="AF153" s="166"/>
      <c r="AG153" s="237"/>
      <c r="AH153" s="165"/>
      <c r="AI153" s="240"/>
      <c r="AJ153" s="166"/>
      <c r="AK153" s="237"/>
      <c r="AL153" s="167"/>
      <c r="AM153" s="230"/>
      <c r="AN153" s="230"/>
    </row>
    <row r="154" spans="1:40" ht="16.2" customHeight="1" x14ac:dyDescent="0.35">
      <c r="A154" s="190" t="s">
        <v>24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ideEmptyRowsAndColumns">
                <anchor moveWithCells="1" sizeWithCells="1">
                  <from>
                    <xdr:col>39</xdr:col>
                    <xdr:colOff>167640</xdr:colOff>
                    <xdr:row>0</xdr:row>
                    <xdr:rowOff>76200</xdr:rowOff>
                  </from>
                  <to>
                    <xdr:col>39</xdr:col>
                    <xdr:colOff>967740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AllRowsAndColumns">
                <anchor moveWithCells="1" sizeWithCells="1">
                  <from>
                    <xdr:col>39</xdr:col>
                    <xdr:colOff>1165860</xdr:colOff>
                    <xdr:row>0</xdr:row>
                    <xdr:rowOff>60960</xdr:rowOff>
                  </from>
                  <to>
                    <xdr:col>39</xdr:col>
                    <xdr:colOff>1905000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3" customWidth="1"/>
    <col min="10" max="10" width="8.796875" style="121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R24"/>
  <sheetViews>
    <sheetView workbookViewId="0">
      <selection activeCell="E7" sqref="E7"/>
    </sheetView>
  </sheetViews>
  <sheetFormatPr defaultRowHeight="18" x14ac:dyDescent="0.45"/>
  <cols>
    <col min="1" max="1" width="17.3984375" style="53" customWidth="1"/>
  </cols>
  <sheetData>
    <row r="1" spans="1:18" x14ac:dyDescent="0.45">
      <c r="A1" s="121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121" t="str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商品予定名</v>
      </c>
      <c r="C1" s="121"/>
      <c r="D1" s="121"/>
      <c r="E1" s="121"/>
      <c r="F1" s="121" t="e">
        <f t="array" aca="1" ref="F1" ca="1">IF(B1&lt;&gt;"",
INDIRECT("'数出表_Excel（アレルギー入力）'!"&amp;P1&amp;O1&amp;""),"")</f>
        <v>#REF!</v>
      </c>
      <c r="G1" s="121"/>
      <c r="H1" s="121"/>
      <c r="I1" s="121"/>
      <c r="J1" s="121"/>
      <c r="K1" s="121"/>
      <c r="L1" s="121"/>
      <c r="M1" s="121"/>
      <c r="N1" s="121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25</v>
      </c>
    </row>
    <row r="2" spans="1:18" x14ac:dyDescent="0.45">
      <c r="A2" s="121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121" t="str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/>
      </c>
      <c r="C2" s="121"/>
      <c r="D2" s="121"/>
      <c r="E2" s="121"/>
      <c r="F2" s="121" t="str">
        <f t="array" aca="1" ref="F2" ca="1">IF(B2&lt;&gt;"",
INDIRECT("'数出表_Excel（アレルギー入力）'!"&amp;P2&amp;O2&amp;""),"")</f>
        <v/>
      </c>
      <c r="G2" s="121"/>
      <c r="H2" s="121"/>
      <c r="I2" s="121"/>
      <c r="J2" s="121"/>
      <c r="K2" s="121"/>
      <c r="L2" s="121"/>
      <c r="M2" s="121"/>
      <c r="N2" s="121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26</v>
      </c>
    </row>
    <row r="3" spans="1:18" x14ac:dyDescent="0.45">
      <c r="A3" s="121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121" t="str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/>
      </c>
      <c r="C3" s="121"/>
      <c r="D3" s="121"/>
      <c r="E3" s="121"/>
      <c r="F3" s="121" t="str">
        <f t="array" aca="1" ref="F3" ca="1">IF(B3&lt;&gt;"",
INDIRECT("'数出表_Excel（アレルギー入力）'!"&amp;P3&amp;O3&amp;""),"")</f>
        <v/>
      </c>
      <c r="G3" s="121"/>
      <c r="H3" s="121"/>
      <c r="I3" s="121"/>
      <c r="J3" s="121"/>
      <c r="K3" s="121"/>
      <c r="L3" s="121"/>
      <c r="M3" s="121"/>
      <c r="N3" s="121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27</v>
      </c>
    </row>
    <row r="4" spans="1:18" x14ac:dyDescent="0.45">
      <c r="A4" s="121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121" t="str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/>
      </c>
      <c r="C4" s="121"/>
      <c r="D4" s="121"/>
      <c r="E4" s="121"/>
      <c r="F4" s="121" t="str">
        <f t="array" aca="1" ref="F4" ca="1">IF(B4&lt;&gt;"",
INDIRECT("'数出表_Excel（アレルギー入力）'!"&amp;P4&amp;O4&amp;""),"")</f>
        <v/>
      </c>
      <c r="G4" s="121"/>
      <c r="H4" s="121"/>
      <c r="I4" s="121"/>
      <c r="J4" s="121"/>
      <c r="K4" s="121"/>
      <c r="L4" s="121"/>
      <c r="M4" s="121"/>
      <c r="N4" s="121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28</v>
      </c>
    </row>
    <row r="5" spans="1:18" x14ac:dyDescent="0.45">
      <c r="A5" s="121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121" t="str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/>
      </c>
      <c r="C5" s="121"/>
      <c r="D5" s="121"/>
      <c r="E5" s="121"/>
      <c r="F5" s="121" t="str">
        <f t="array" aca="1" ref="F5" ca="1">IF(B5&lt;&gt;"",
INDIRECT("'数出表_Excel（アレルギー入力）'!"&amp;P5&amp;O5&amp;""),"")</f>
        <v/>
      </c>
      <c r="G5" s="121"/>
      <c r="H5" s="121"/>
      <c r="I5" s="121"/>
      <c r="J5" s="121"/>
      <c r="K5" s="121"/>
      <c r="L5" s="121"/>
      <c r="M5" s="121"/>
      <c r="N5" s="121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29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121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121" t="str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/>
      </c>
      <c r="C6" s="121"/>
      <c r="D6" s="121"/>
      <c r="E6" s="121"/>
      <c r="F6" s="121" t="str">
        <f t="array" aca="1" ref="F6" ca="1">IF(B6&lt;&gt;"",
INDIRECT("'数出表_Excel（アレルギー入力）'!"&amp;P6&amp;O6&amp;""),"")</f>
        <v/>
      </c>
      <c r="G6" s="121"/>
      <c r="H6" s="121"/>
      <c r="I6" s="121"/>
      <c r="J6" s="121"/>
      <c r="K6" s="121"/>
      <c r="L6" s="121"/>
      <c r="M6" s="121"/>
      <c r="N6" s="121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30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121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121" t="str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/>
      </c>
      <c r="C7" s="121"/>
      <c r="D7" s="121"/>
      <c r="E7" s="121"/>
      <c r="F7" s="121" t="str">
        <f t="array" aca="1" ref="F7" ca="1">IF(B7&lt;&gt;"",
INDIRECT("'数出表_Excel（アレルギー入力）'!"&amp;P7&amp;O7&amp;""),"")</f>
        <v/>
      </c>
      <c r="G7" s="121"/>
      <c r="H7" s="121"/>
      <c r="I7" s="121"/>
      <c r="J7" s="121"/>
      <c r="K7" s="121"/>
      <c r="L7" s="121"/>
      <c r="M7" s="121"/>
      <c r="N7" s="121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31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121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121" t="str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/>
      </c>
      <c r="C8" s="121"/>
      <c r="D8" s="121"/>
      <c r="E8" s="121"/>
      <c r="F8" s="121" t="str">
        <f t="array" aca="1" ref="F8" ca="1">IF(B8&lt;&gt;"",
INDIRECT("'数出表_Excel（アレルギー入力）'!"&amp;P8&amp;O8&amp;""),"")</f>
        <v/>
      </c>
      <c r="G8" s="121"/>
      <c r="H8" s="121"/>
      <c r="I8" s="121"/>
      <c r="J8" s="121"/>
      <c r="K8" s="121"/>
      <c r="L8" s="121"/>
      <c r="M8" s="121"/>
      <c r="N8" s="121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32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78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78" t="str">
        <f t="array" aca="1" ref="B9" ca="1">IF(AND(B1&lt;&gt;"",O9&lt;&gt;0),
IF(INDIRECT("'数出表_Excel（アレルギー入力）'!"&amp;P9&amp;"147")&lt;&gt;F1,B1,""),"")</f>
        <v/>
      </c>
      <c r="C9" s="178"/>
      <c r="D9" s="178"/>
      <c r="E9" s="178"/>
      <c r="F9" s="178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78"/>
      <c r="H9" s="178"/>
      <c r="I9" s="178"/>
      <c r="J9" s="178"/>
      <c r="K9" s="178"/>
      <c r="L9" s="178"/>
      <c r="M9" s="178"/>
      <c r="N9" s="178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25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78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78" t="str">
        <f t="array" aca="1" ref="B10" ca="1">IF(AND(B2&lt;&gt;"",O10&lt;&gt;0),
IF(INDIRECT("'数出表_Excel（アレルギー入力）'!"&amp;P10&amp;"147")&lt;&gt;F2,B2,""),"")</f>
        <v/>
      </c>
      <c r="C10" s="178"/>
      <c r="D10" s="178"/>
      <c r="E10" s="178"/>
      <c r="F10" s="178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78"/>
      <c r="H10" s="178"/>
      <c r="I10" s="178"/>
      <c r="J10" s="178"/>
      <c r="K10" s="178"/>
      <c r="L10" s="178"/>
      <c r="M10" s="178"/>
      <c r="N10" s="178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26</v>
      </c>
    </row>
    <row r="11" spans="1:18" x14ac:dyDescent="0.45">
      <c r="A11" s="178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78" t="str">
        <f t="array" aca="1" ref="B11" ca="1">IF(AND(B3&lt;&gt;"",O11&lt;&gt;0),
IF(INDIRECT("'数出表_Excel（アレルギー入力）'!"&amp;P11&amp;"147")&lt;&gt;F3,B3,""),"")</f>
        <v/>
      </c>
      <c r="C11" s="178"/>
      <c r="D11" s="178"/>
      <c r="E11" s="178"/>
      <c r="F11" s="178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78"/>
      <c r="H11" s="178"/>
      <c r="I11" s="178"/>
      <c r="J11" s="178"/>
      <c r="K11" s="178"/>
      <c r="L11" s="178"/>
      <c r="M11" s="178"/>
      <c r="N11" s="178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27</v>
      </c>
    </row>
    <row r="12" spans="1:18" x14ac:dyDescent="0.45">
      <c r="A12" s="178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78" t="str">
        <f t="array" aca="1" ref="B12" ca="1">IF(AND(B4&lt;&gt;"",O12&lt;&gt;0),
IF(INDIRECT("'数出表_Excel（アレルギー入力）'!"&amp;P12&amp;"147")&lt;&gt;F4,B4,""),"")</f>
        <v/>
      </c>
      <c r="C12" s="178"/>
      <c r="D12" s="178"/>
      <c r="E12" s="178"/>
      <c r="F12" s="178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78"/>
      <c r="H12" s="178"/>
      <c r="I12" s="178"/>
      <c r="J12" s="178"/>
      <c r="K12" s="178"/>
      <c r="L12" s="178"/>
      <c r="M12" s="178"/>
      <c r="N12" s="178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28</v>
      </c>
    </row>
    <row r="13" spans="1:18" x14ac:dyDescent="0.45">
      <c r="A13" s="178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78" t="str">
        <f t="array" aca="1" ref="B13" ca="1">IF(AND(B5&lt;&gt;"",O13&lt;&gt;0),
IF(INDIRECT("'数出表_Excel（アレルギー入力）'!"&amp;P13&amp;"147")&lt;&gt;F5,B5,""),"")</f>
        <v/>
      </c>
      <c r="C13" s="178"/>
      <c r="D13" s="178"/>
      <c r="E13" s="178"/>
      <c r="F13" s="178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78"/>
      <c r="H13" s="178"/>
      <c r="I13" s="178"/>
      <c r="J13" s="178"/>
      <c r="K13" s="178"/>
      <c r="L13" s="178"/>
      <c r="M13" s="178"/>
      <c r="N13" s="178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29</v>
      </c>
    </row>
    <row r="14" spans="1:18" x14ac:dyDescent="0.45">
      <c r="A14" s="178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78" t="str">
        <f t="array" aca="1" ref="B14" ca="1">IF(AND(B6&lt;&gt;"",O14&lt;&gt;0),
IF(INDIRECT("'数出表_Excel（アレルギー入力）'!"&amp;P14&amp;"147")&lt;&gt;F6,B6,""),"")</f>
        <v/>
      </c>
      <c r="C14" s="178"/>
      <c r="D14" s="178"/>
      <c r="E14" s="178"/>
      <c r="F14" s="178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78"/>
      <c r="H14" s="178"/>
      <c r="I14" s="178"/>
      <c r="J14" s="178"/>
      <c r="K14" s="178"/>
      <c r="L14" s="178"/>
      <c r="M14" s="178"/>
      <c r="N14" s="178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30</v>
      </c>
    </row>
    <row r="15" spans="1:18" x14ac:dyDescent="0.45">
      <c r="A15" s="178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78" t="str">
        <f t="array" aca="1" ref="B15" ca="1">IF(AND(B7&lt;&gt;"",O15&lt;&gt;0),
IF(INDIRECT("'数出表_Excel（アレルギー入力）'!"&amp;P15&amp;"147")&lt;&gt;F7,B7,""),"")</f>
        <v/>
      </c>
      <c r="C15" s="178"/>
      <c r="D15" s="178"/>
      <c r="E15" s="178"/>
      <c r="F15" s="178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78"/>
      <c r="H15" s="178"/>
      <c r="I15" s="178"/>
      <c r="J15" s="178"/>
      <c r="K15" s="178"/>
      <c r="L15" s="178"/>
      <c r="M15" s="178"/>
      <c r="N15" s="178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31</v>
      </c>
    </row>
    <row r="16" spans="1:18" x14ac:dyDescent="0.45">
      <c r="A16" s="178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78" t="str">
        <f t="array" aca="1" ref="B16" ca="1">IF(AND(B8&lt;&gt;"",O16&lt;&gt;0),
IF(INDIRECT("'数出表_Excel（アレルギー入力）'!"&amp;P16&amp;"147")&lt;&gt;F8,B8,""),"")</f>
        <v/>
      </c>
      <c r="C16" s="178"/>
      <c r="D16" s="178"/>
      <c r="E16" s="178"/>
      <c r="F16" s="178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78"/>
      <c r="H16" s="178"/>
      <c r="I16" s="178"/>
      <c r="J16" s="178"/>
      <c r="K16" s="178"/>
      <c r="L16" s="178"/>
      <c r="M16" s="178"/>
      <c r="N16" s="178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32</v>
      </c>
    </row>
    <row r="17" spans="1:16" x14ac:dyDescent="0.45">
      <c r="A17" s="179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79" t="str">
        <f t="array" aca="1" ref="B17" ca="1">IF(AND(B9&lt;&gt;"",O17&lt;&gt;0),
IF(INDIRECT("'数出表_Excel（アレルギー入力）'!"&amp;P17&amp;"147")&lt;&gt;F9,B9,""),"")</f>
        <v/>
      </c>
      <c r="C17" s="179"/>
      <c r="D17" s="179"/>
      <c r="E17" s="179"/>
      <c r="F17" s="179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79"/>
      <c r="H17" s="179"/>
      <c r="I17" s="179"/>
      <c r="J17" s="179"/>
      <c r="K17" s="179"/>
      <c r="L17" s="179"/>
      <c r="M17" s="179"/>
      <c r="N17" s="179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25</v>
      </c>
    </row>
    <row r="18" spans="1:16" x14ac:dyDescent="0.45">
      <c r="A18" s="179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79" t="str">
        <f t="array" aca="1" ref="B18" ca="1">IF(AND(B10&lt;&gt;"",O18&lt;&gt;0),
IF(INDIRECT("'数出表_Excel（アレルギー入力）'!"&amp;P18&amp;"147")&lt;&gt;F10,B10,""),"")</f>
        <v/>
      </c>
      <c r="C18" s="179"/>
      <c r="D18" s="179"/>
      <c r="E18" s="179"/>
      <c r="F18" s="179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79"/>
      <c r="H18" s="179"/>
      <c r="I18" s="179"/>
      <c r="J18" s="179"/>
      <c r="K18" s="179"/>
      <c r="L18" s="179"/>
      <c r="M18" s="179"/>
      <c r="N18" s="179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26</v>
      </c>
    </row>
    <row r="19" spans="1:16" x14ac:dyDescent="0.45">
      <c r="A19" s="179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79" t="str">
        <f t="array" aca="1" ref="B19" ca="1">IF(AND(B11&lt;&gt;"",O19&lt;&gt;0),
IF(INDIRECT("'数出表_Excel（アレルギー入力）'!"&amp;P19&amp;"147")&lt;&gt;F11,B11,""),"")</f>
        <v/>
      </c>
      <c r="C19" s="179"/>
      <c r="D19" s="179"/>
      <c r="E19" s="179"/>
      <c r="F19" s="179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79"/>
      <c r="H19" s="179"/>
      <c r="I19" s="179"/>
      <c r="J19" s="179"/>
      <c r="K19" s="179"/>
      <c r="L19" s="179"/>
      <c r="M19" s="179"/>
      <c r="N19" s="179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27</v>
      </c>
    </row>
    <row r="20" spans="1:16" x14ac:dyDescent="0.45">
      <c r="A20" s="179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79" t="str">
        <f t="array" aca="1" ref="B20" ca="1">IF(AND(B12&lt;&gt;"",O20&lt;&gt;0),
IF(INDIRECT("'数出表_Excel（アレルギー入力）'!"&amp;P20&amp;"147")&lt;&gt;F12,B12,""),"")</f>
        <v/>
      </c>
      <c r="C20" s="179"/>
      <c r="D20" s="179"/>
      <c r="E20" s="179"/>
      <c r="F20" s="179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79"/>
      <c r="H20" s="179"/>
      <c r="I20" s="179"/>
      <c r="J20" s="179"/>
      <c r="K20" s="179"/>
      <c r="L20" s="179"/>
      <c r="M20" s="179"/>
      <c r="N20" s="179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28</v>
      </c>
    </row>
    <row r="21" spans="1:16" x14ac:dyDescent="0.45">
      <c r="A21" s="179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79" t="str">
        <f t="array" aca="1" ref="B21" ca="1">IF(AND(B13&lt;&gt;"",O21&lt;&gt;0),
IF(INDIRECT("'数出表_Excel（アレルギー入力）'!"&amp;P21&amp;"147")&lt;&gt;F13,B13,""),"")</f>
        <v/>
      </c>
      <c r="C21" s="179"/>
      <c r="D21" s="179"/>
      <c r="E21" s="179"/>
      <c r="F21" s="179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79"/>
      <c r="H21" s="179"/>
      <c r="I21" s="179"/>
      <c r="J21" s="179"/>
      <c r="K21" s="179"/>
      <c r="L21" s="179"/>
      <c r="M21" s="179"/>
      <c r="N21" s="179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29</v>
      </c>
    </row>
    <row r="22" spans="1:16" x14ac:dyDescent="0.45">
      <c r="A22" s="179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79" t="str">
        <f t="array" aca="1" ref="B22" ca="1">IF(AND(B14&lt;&gt;"",O22&lt;&gt;0),
IF(INDIRECT("'数出表_Excel（アレルギー入力）'!"&amp;P22&amp;"147")&lt;&gt;F14,B14,""),"")</f>
        <v/>
      </c>
      <c r="C22" s="179"/>
      <c r="D22" s="179"/>
      <c r="E22" s="179"/>
      <c r="F22" s="179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79"/>
      <c r="H22" s="179"/>
      <c r="I22" s="179"/>
      <c r="J22" s="179"/>
      <c r="K22" s="179"/>
      <c r="L22" s="179"/>
      <c r="M22" s="179"/>
      <c r="N22" s="179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30</v>
      </c>
    </row>
    <row r="23" spans="1:16" x14ac:dyDescent="0.45">
      <c r="A23" s="179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79" t="str">
        <f t="array" aca="1" ref="B23" ca="1">IF(AND(B15&lt;&gt;"",O23&lt;&gt;0),
IF(INDIRECT("'数出表_Excel（アレルギー入力）'!"&amp;P23&amp;"147")&lt;&gt;F15,B15,""),"")</f>
        <v/>
      </c>
      <c r="C23" s="179"/>
      <c r="D23" s="179"/>
      <c r="E23" s="179"/>
      <c r="F23" s="179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79"/>
      <c r="H23" s="179"/>
      <c r="I23" s="179"/>
      <c r="J23" s="179"/>
      <c r="K23" s="179"/>
      <c r="L23" s="179"/>
      <c r="M23" s="179"/>
      <c r="N23" s="179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31</v>
      </c>
    </row>
    <row r="24" spans="1:16" x14ac:dyDescent="0.45">
      <c r="A24" s="179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79" t="str">
        <f t="array" aca="1" ref="B24" ca="1">IF(AND(B16&lt;&gt;"",O24&lt;&gt;0),
IF(INDIRECT("'数出表_Excel（アレルギー入力）'!"&amp;P24&amp;"147")&lt;&gt;F16,B16,""),"")</f>
        <v/>
      </c>
      <c r="C24" s="179"/>
      <c r="D24" s="179"/>
      <c r="E24" s="179"/>
      <c r="F24" s="179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79"/>
      <c r="H24" s="179"/>
      <c r="I24" s="179"/>
      <c r="J24" s="179"/>
      <c r="K24" s="179"/>
      <c r="L24" s="179"/>
      <c r="M24" s="179"/>
      <c r="N24" s="179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8"/>
  <sheetViews>
    <sheetView workbookViewId="0">
      <selection activeCell="F8" sqref="F8"/>
    </sheetView>
  </sheetViews>
  <sheetFormatPr defaultRowHeight="18" x14ac:dyDescent="0.45"/>
  <sheetData>
    <row r="1" spans="1:10" x14ac:dyDescent="0.45">
      <c r="A1" t="s">
        <v>13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13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33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34</v>
      </c>
      <c r="E4" t="e">
        <f ca="1">MID(B3,FIND("新日本",B3)+3,FIND("ニシム",B3)-1-(FIND("新日本",B3)+3))</f>
        <v>#N/A</v>
      </c>
    </row>
    <row r="5" spans="1:10" x14ac:dyDescent="0.45">
      <c r="A5" t="s">
        <v>35</v>
      </c>
      <c r="E5">
        <v>2</v>
      </c>
    </row>
    <row r="6" spans="1:10" x14ac:dyDescent="0.45">
      <c r="A6" t="s">
        <v>36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VLOOKUP(H7,商品マスタ一覧!$D:$I,6,FALSE)),""),"")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VLOOKUP(H8,商品マスタ一覧!$D:$I,6,FALSE)),""),"")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228"/>
  <sheetViews>
    <sheetView zoomScale="55" zoomScaleNormal="55" zoomScalePageLayoutView="55" workbookViewId="0">
      <selection activeCell="P129" sqref="P129"/>
    </sheetView>
  </sheetViews>
  <sheetFormatPr defaultRowHeight="18" x14ac:dyDescent="0.45"/>
  <cols>
    <col min="1" max="1" width="6.3984375" style="85" customWidth="1"/>
    <col min="2" max="6" width="7.19921875" style="85" customWidth="1"/>
    <col min="7" max="7" width="7.59765625" style="99" customWidth="1"/>
    <col min="8" max="9" width="7.59765625" style="85" customWidth="1"/>
    <col min="10" max="13" width="7.19921875" style="85" customWidth="1"/>
    <col min="14" max="14" width="7.19921875" style="94" customWidth="1"/>
    <col min="15" max="15" width="3.59765625" style="85" customWidth="1"/>
    <col min="16" max="16" width="7" style="85" customWidth="1"/>
    <col min="17" max="21" width="7.19921875" style="85" customWidth="1"/>
    <col min="22" max="22" width="7.59765625" style="99" customWidth="1"/>
    <col min="23" max="24" width="7.59765625" style="85" customWidth="1"/>
    <col min="25" max="28" width="7.19921875" style="85" customWidth="1"/>
    <col min="29" max="29" width="7.19921875" style="94" customWidth="1"/>
    <col min="30" max="30" width="3.59765625" style="85" customWidth="1"/>
    <col min="31" max="31" width="7" style="85" customWidth="1"/>
    <col min="32" max="36" width="7.19921875" style="85" customWidth="1"/>
    <col min="37" max="37" width="7.59765625" style="99" customWidth="1"/>
    <col min="38" max="39" width="7.59765625" style="85" customWidth="1"/>
    <col min="40" max="43" width="7.19921875" style="85" customWidth="1"/>
    <col min="44" max="44" width="7.19921875" style="94" customWidth="1"/>
    <col min="45" max="45" width="3.59765625" style="85" customWidth="1"/>
    <col min="46" max="46" width="7" style="85" customWidth="1"/>
    <col min="47" max="51" width="7.19921875" style="85" customWidth="1"/>
    <col min="52" max="52" width="7.59765625" style="99" customWidth="1"/>
    <col min="53" max="54" width="7.59765625" style="85" customWidth="1"/>
    <col min="55" max="58" width="7.19921875" style="85" customWidth="1"/>
    <col min="59" max="59" width="7.19921875" style="94" customWidth="1"/>
    <col min="60" max="60" width="3.59765625" style="85" customWidth="1"/>
    <col min="61" max="61" width="7" style="85" customWidth="1"/>
    <col min="62" max="66" width="7.19921875" style="85" customWidth="1"/>
    <col min="67" max="67" width="7.59765625" style="99" customWidth="1"/>
    <col min="68" max="69" width="7.59765625" style="85" customWidth="1"/>
    <col min="70" max="73" width="7.19921875" style="85" customWidth="1"/>
    <col min="74" max="74" width="7.19921875" style="94" customWidth="1"/>
    <col min="75" max="75" width="3.59765625" style="85" customWidth="1"/>
    <col min="76" max="76" width="7" style="85" customWidth="1"/>
    <col min="77" max="81" width="7.19921875" style="85" customWidth="1"/>
    <col min="82" max="82" width="7.59765625" style="99" customWidth="1"/>
    <col min="83" max="84" width="7.59765625" style="85" customWidth="1"/>
    <col min="85" max="88" width="7.19921875" style="85" customWidth="1"/>
    <col min="89" max="89" width="7.19921875" style="94" customWidth="1"/>
    <col min="90" max="90" width="3.59765625" style="85" customWidth="1"/>
    <col min="91" max="91" width="7" style="85" customWidth="1"/>
    <col min="92" max="96" width="7.19921875" style="85" customWidth="1"/>
    <col min="97" max="97" width="7.59765625" style="99" customWidth="1"/>
    <col min="98" max="99" width="7.59765625" style="85" customWidth="1"/>
    <col min="100" max="103" width="7.19921875" style="85" customWidth="1"/>
    <col min="104" max="104" width="7.19921875" style="94" customWidth="1"/>
    <col min="105" max="105" width="3.59765625" style="85" customWidth="1"/>
    <col min="106" max="106" width="7" style="85" customWidth="1"/>
    <col min="107" max="111" width="7.19921875" style="85" customWidth="1"/>
    <col min="112" max="112" width="7.59765625" style="99" customWidth="1"/>
    <col min="113" max="114" width="7.59765625" style="85" customWidth="1"/>
    <col min="115" max="118" width="7.19921875" style="85" customWidth="1"/>
    <col min="119" max="119" width="7.19921875" style="94" customWidth="1"/>
    <col min="120" max="120" width="3.59765625" style="85" customWidth="1"/>
    <col min="121" max="121" width="7" style="85" customWidth="1"/>
    <col min="122" max="126" width="7.19921875" style="85" customWidth="1"/>
    <col min="127" max="127" width="7.59765625" style="99" customWidth="1"/>
    <col min="128" max="129" width="7.59765625" style="85" customWidth="1"/>
    <col min="130" max="133" width="7.19921875" style="85" customWidth="1"/>
    <col min="134" max="134" width="7.19921875" style="94" customWidth="1"/>
    <col min="135" max="135" width="3.59765625" style="85" customWidth="1"/>
    <col min="136" max="136" width="7" style="85" customWidth="1"/>
    <col min="137" max="141" width="7.19921875" style="85" customWidth="1"/>
    <col min="142" max="142" width="7.59765625" style="99" customWidth="1"/>
    <col min="143" max="144" width="7.59765625" style="85" customWidth="1"/>
    <col min="145" max="148" width="7.19921875" style="85" customWidth="1"/>
    <col min="149" max="150" width="7.19921875" style="94" customWidth="1"/>
    <col min="151" max="151" width="8.796875" style="87" customWidth="1"/>
    <col min="152" max="152" width="17.09765625" style="85" bestFit="1" customWidth="1"/>
    <col min="153" max="156" width="11.69921875" style="85" customWidth="1"/>
    <col min="157" max="165" width="8.796875" style="87" customWidth="1"/>
    <col min="166" max="166" width="39.3984375" style="85" bestFit="1" customWidth="1"/>
    <col min="167" max="168" width="8.796875" style="87" customWidth="1"/>
    <col min="169" max="169" width="17.69921875" style="87" customWidth="1"/>
    <col min="170" max="185" width="8.796875" style="87" customWidth="1"/>
    <col min="186" max="16384" width="8.796875" style="87"/>
  </cols>
  <sheetData>
    <row r="1" spans="1:175" s="78" customFormat="1" ht="18" customHeight="1" x14ac:dyDescent="0.55000000000000004">
      <c r="A1" s="76">
        <v>7</v>
      </c>
      <c r="B1" s="77">
        <f t="array" aca="1" ref="B1" ca="1">GetResult(A1)</f>
        <v>7</v>
      </c>
      <c r="C1" s="247" t="str">
        <f ca="1">IF(C2&lt;&gt;"",
IF(LEFT(G1,2)="博多",
LEFT(G1,FIND("週",G1)-1),
G1),"")</f>
        <v/>
      </c>
      <c r="D1" s="248"/>
      <c r="E1" s="248"/>
      <c r="F1" s="248"/>
      <c r="G1" s="95" t="e">
        <f t="array" aca="1" ref="G1" ca="1">INDIRECT("数出表_Excel!A"&amp;B1)</f>
        <v>#N/A</v>
      </c>
      <c r="H1" s="76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77" t="e">
        <f t="array" aca="1" ref="I1" ca="1">GetResult(H2)</f>
        <v>#VALUE!</v>
      </c>
      <c r="J1" s="247" t="str">
        <f ca="1">IF(J2&lt;&gt;"",
IF(LEFT(N1,2)="博多",
LEFT(N1,FIND("週",N1)-1),
N1),"")</f>
        <v/>
      </c>
      <c r="K1" s="248"/>
      <c r="L1" s="248"/>
      <c r="M1" s="248"/>
      <c r="N1" s="91" t="e">
        <f t="array" aca="1" ref="N1" ca="1">INDIRECT("数出表_Excel!A"&amp;I1)</f>
        <v>#VALUE!</v>
      </c>
      <c r="O1" s="76"/>
      <c r="P1" s="76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77" t="e">
        <f t="array" aca="1" ref="Q1" ca="1">GetResult(P2)</f>
        <v>#VALUE!</v>
      </c>
      <c r="R1" s="247" t="str">
        <f ca="1">IF(R2&lt;&gt;"",
IF(LEFT(V1,2)="博多",
LEFT(V1,FIND("週",V1)-1),
V1),"")</f>
        <v/>
      </c>
      <c r="S1" s="248"/>
      <c r="T1" s="248"/>
      <c r="U1" s="248"/>
      <c r="V1" s="95" t="e">
        <f t="array" aca="1" ref="V1" ca="1">INDIRECT("数出表_Excel!A"&amp;Q1)</f>
        <v>#VALUE!</v>
      </c>
      <c r="W1" s="76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77" t="e">
        <f t="array" aca="1" ref="X1" ca="1">GetResult(W2)</f>
        <v>#VALUE!</v>
      </c>
      <c r="Y1" s="247" t="str">
        <f ca="1">IF(Y2&lt;&gt;"",
IF(LEFT(AC1,2)="博多",
LEFT(AC1,FIND("週",AC1)-1),
AC1),"")</f>
        <v/>
      </c>
      <c r="Z1" s="248"/>
      <c r="AA1" s="248"/>
      <c r="AB1" s="248"/>
      <c r="AC1" s="91" t="e">
        <f t="array" aca="1" ref="AC1" ca="1">INDIRECT("数出表_Excel!A"&amp;X1)</f>
        <v>#VALUE!</v>
      </c>
      <c r="AD1" s="76"/>
      <c r="AE1" s="76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77" t="e">
        <f t="array" aca="1" ref="AF1" ca="1">GetResult(AE2)</f>
        <v>#VALUE!</v>
      </c>
      <c r="AG1" s="247" t="str">
        <f ca="1">IF(AG2&lt;&gt;"",
IF(LEFT(AK1,2)="博多",
LEFT(AK1,FIND("週",AK1)-1),
AK1),"")</f>
        <v/>
      </c>
      <c r="AH1" s="248"/>
      <c r="AI1" s="248"/>
      <c r="AJ1" s="248"/>
      <c r="AK1" s="95" t="e">
        <f t="array" aca="1" ref="AK1" ca="1">INDIRECT("数出表_Excel!A"&amp;AF1)</f>
        <v>#VALUE!</v>
      </c>
      <c r="AL1" s="76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77" t="e">
        <f t="array" aca="1" ref="AM1" ca="1">GetResult(AL2)</f>
        <v>#VALUE!</v>
      </c>
      <c r="AN1" s="247" t="str">
        <f ca="1">IF(AN2&lt;&gt;"",
IF(LEFT(AR1,2)="博多",
LEFT(AR1,FIND("週",AR1)-1),
AR1),"")</f>
        <v/>
      </c>
      <c r="AO1" s="248"/>
      <c r="AP1" s="248"/>
      <c r="AQ1" s="248"/>
      <c r="AR1" s="91" t="e">
        <f t="array" aca="1" ref="AR1" ca="1">INDIRECT("数出表_Excel!A"&amp;AM1)</f>
        <v>#VALUE!</v>
      </c>
      <c r="AS1" s="76"/>
      <c r="AT1" s="76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77" t="e">
        <f t="array" aca="1" ref="AU1" ca="1">GetResult(AT2)</f>
        <v>#VALUE!</v>
      </c>
      <c r="AV1" s="247" t="str">
        <f ca="1">IF(AV2&lt;&gt;"",
IF(LEFT(AZ1,2)="博多",
LEFT(AZ1,FIND("週",AZ1)-1),
AZ1),"")</f>
        <v/>
      </c>
      <c r="AW1" s="248"/>
      <c r="AX1" s="248"/>
      <c r="AY1" s="248"/>
      <c r="AZ1" s="95" t="e">
        <f t="array" aca="1" ref="AZ1" ca="1">INDIRECT("数出表_Excel!A"&amp;AU1)</f>
        <v>#VALUE!</v>
      </c>
      <c r="BA1" s="76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77" t="e">
        <f t="array" aca="1" ref="BB1" ca="1">GetResult(BA2)</f>
        <v>#VALUE!</v>
      </c>
      <c r="BC1" s="247" t="str">
        <f ca="1">IF(BC2&lt;&gt;"",
IF(LEFT(BG1,2)="博多",
LEFT(BG1,FIND("週",BG1)-1),
BG1),"")</f>
        <v/>
      </c>
      <c r="BD1" s="248"/>
      <c r="BE1" s="248"/>
      <c r="BF1" s="248"/>
      <c r="BG1" s="91" t="e">
        <f t="array" aca="1" ref="BG1" ca="1">INDIRECT("数出表_Excel!A"&amp;BB1)</f>
        <v>#VALUE!</v>
      </c>
      <c r="BH1" s="76"/>
      <c r="BI1" s="76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77" t="e">
        <f t="array" aca="1" ref="BJ1" ca="1">GetResult(BI2)</f>
        <v>#VALUE!</v>
      </c>
      <c r="BK1" s="247" t="str">
        <f ca="1">IF(BK2&lt;&gt;"",
IF(LEFT(BO1,2)="博多",
LEFT(BO1,FIND("週",BO1)-1),
BO1),"")</f>
        <v/>
      </c>
      <c r="BL1" s="248"/>
      <c r="BM1" s="248"/>
      <c r="BN1" s="248"/>
      <c r="BO1" s="95" t="e">
        <f t="array" aca="1" ref="BO1" ca="1">INDIRECT("数出表_Excel!A"&amp;BJ1)</f>
        <v>#VALUE!</v>
      </c>
      <c r="BP1" s="76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77" t="e">
        <f t="array" aca="1" ref="BQ1" ca="1">GetResult(BP2)</f>
        <v>#VALUE!</v>
      </c>
      <c r="BR1" s="247" t="str">
        <f ca="1">IF(BR2&lt;&gt;"",
IF(LEFT(BV1,2)="博多",
LEFT(BV1,FIND("週",BV1)-1),
BV1),"")</f>
        <v/>
      </c>
      <c r="BS1" s="248"/>
      <c r="BT1" s="248"/>
      <c r="BU1" s="248"/>
      <c r="BV1" s="91" t="e">
        <f t="array" aca="1" ref="BV1" ca="1">INDIRECT("数出表_Excel!A"&amp;BQ1)</f>
        <v>#VALUE!</v>
      </c>
      <c r="BW1" s="76"/>
      <c r="BX1" s="76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77" t="e">
        <f t="array" aca="1" ref="BY1" ca="1">GetResult(BX2)</f>
        <v>#VALUE!</v>
      </c>
      <c r="BZ1" s="247" t="str">
        <f ca="1">IF(BZ2&lt;&gt;"",
IF(LEFT(CD1,2)="博多",
LEFT(CD1,FIND("週",CD1)-1),
CD1),"")</f>
        <v/>
      </c>
      <c r="CA1" s="248"/>
      <c r="CB1" s="248"/>
      <c r="CC1" s="248"/>
      <c r="CD1" s="95" t="e">
        <f t="array" aca="1" ref="CD1" ca="1">INDIRECT("数出表_Excel!A"&amp;BY1)</f>
        <v>#VALUE!</v>
      </c>
      <c r="CE1" s="76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77" t="e">
        <f t="array" aca="1" ref="CF1" ca="1">GetResult(CE2)</f>
        <v>#VALUE!</v>
      </c>
      <c r="CG1" s="247" t="str">
        <f ca="1">IF(CG2&lt;&gt;"",
IF(LEFT(CK1,2)="博多",
LEFT(CK1,FIND("週",CK1)-1),
CK1),"")</f>
        <v/>
      </c>
      <c r="CH1" s="248"/>
      <c r="CI1" s="248"/>
      <c r="CJ1" s="248"/>
      <c r="CK1" s="91" t="e">
        <f t="array" aca="1" ref="CK1" ca="1">INDIRECT("数出表_Excel!A"&amp;CF1)</f>
        <v>#VALUE!</v>
      </c>
      <c r="CL1" s="76"/>
      <c r="CM1" s="76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77" t="e">
        <f t="array" aca="1" ref="CN1" ca="1">GetResult(CM2)</f>
        <v>#VALUE!</v>
      </c>
      <c r="CO1" s="247" t="str">
        <f ca="1">IF(CO2&lt;&gt;"",
IF(LEFT(CS1,2)="博多",
LEFT(CS1,FIND("週",CS1)-1),
CS1),"")</f>
        <v/>
      </c>
      <c r="CP1" s="248"/>
      <c r="CQ1" s="248"/>
      <c r="CR1" s="248"/>
      <c r="CS1" s="95" t="e">
        <f t="array" aca="1" ref="CS1" ca="1">INDIRECT("数出表_Excel!A"&amp;CN1)</f>
        <v>#VALUE!</v>
      </c>
      <c r="CT1" s="76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77" t="e">
        <f t="array" aca="1" ref="CU1" ca="1">GetResult(CT2)</f>
        <v>#VALUE!</v>
      </c>
      <c r="CV1" s="247" t="str">
        <f ca="1">IF(CV2&lt;&gt;"",
IF(LEFT(CZ1,2)="博多",
LEFT(CZ1,FIND("週",CZ1)-1),
CZ1),"")</f>
        <v/>
      </c>
      <c r="CW1" s="248"/>
      <c r="CX1" s="248"/>
      <c r="CY1" s="248"/>
      <c r="CZ1" s="91" t="e">
        <f t="array" aca="1" ref="CZ1" ca="1">INDIRECT("数出表_Excel!A"&amp;CU1)</f>
        <v>#VALUE!</v>
      </c>
      <c r="DA1" s="76"/>
      <c r="DB1" s="76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77" t="e">
        <f t="array" aca="1" ref="DC1" ca="1">GetResult(DB2)</f>
        <v>#VALUE!</v>
      </c>
      <c r="DD1" s="247" t="str">
        <f ca="1">IF(DD2&lt;&gt;"",
IF(LEFT(DH1,2)="博多",
LEFT(DH1,FIND("週",DH1)-1),
DH1),"")</f>
        <v/>
      </c>
      <c r="DE1" s="248"/>
      <c r="DF1" s="248"/>
      <c r="DG1" s="248"/>
      <c r="DH1" s="95" t="e">
        <f t="array" aca="1" ref="DH1" ca="1">INDIRECT("数出表_Excel!A"&amp;DC1)</f>
        <v>#VALUE!</v>
      </c>
      <c r="DI1" s="76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77" t="e">
        <f t="array" aca="1" ref="DJ1" ca="1">GetResult(DI2)</f>
        <v>#VALUE!</v>
      </c>
      <c r="DK1" s="247" t="str">
        <f ca="1">IF(DK2&lt;&gt;"",
IF(LEFT(DO1,2)="博多",
LEFT(DO1,FIND("週",DO1)-1),
DO1),"")</f>
        <v/>
      </c>
      <c r="DL1" s="248"/>
      <c r="DM1" s="248"/>
      <c r="DN1" s="248"/>
      <c r="DO1" s="91" t="e">
        <f t="array" aca="1" ref="DO1" ca="1">INDIRECT("数出表_Excel!A"&amp;DJ1)</f>
        <v>#VALUE!</v>
      </c>
      <c r="DP1" s="76"/>
      <c r="DQ1" s="76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77" t="e">
        <f t="array" aca="1" ref="DR1" ca="1">GetResult(DQ2)</f>
        <v>#VALUE!</v>
      </c>
      <c r="DS1" s="247" t="str">
        <f ca="1">IF(DS2&lt;&gt;"",
IF(LEFT(DW1,2)="博多",
LEFT(DW1,FIND("週",DW1)-1),
DW1),"")</f>
        <v/>
      </c>
      <c r="DT1" s="248"/>
      <c r="DU1" s="248"/>
      <c r="DV1" s="248"/>
      <c r="DW1" s="95" t="e">
        <f t="array" aca="1" ref="DW1" ca="1">INDIRECT("数出表_Excel!A"&amp;DR1)</f>
        <v>#VALUE!</v>
      </c>
      <c r="DX1" s="76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77" t="e">
        <f t="array" aca="1" ref="DY1" ca="1">GetResult(DX2)</f>
        <v>#VALUE!</v>
      </c>
      <c r="DZ1" s="247" t="str">
        <f ca="1">IF(DZ2&lt;&gt;"",
IF(LEFT(ED1,2)="博多",
LEFT(ED1,FIND("週",ED1)-1),
ED1),"")</f>
        <v/>
      </c>
      <c r="EA1" s="248"/>
      <c r="EB1" s="248"/>
      <c r="EC1" s="248"/>
      <c r="ED1" s="91" t="e">
        <f t="array" aca="1" ref="ED1" ca="1">INDIRECT("数出表_Excel!A"&amp;DY1)</f>
        <v>#VALUE!</v>
      </c>
      <c r="EE1" s="76"/>
      <c r="EF1" s="76" t="e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77" t="e">
        <f t="array" aca="1" ref="EG1" ca="1">GetResult(EF2)</f>
        <v>#VALUE!</v>
      </c>
      <c r="EH1" s="247" t="str">
        <f ca="1">IF(EH2&lt;&gt;"",
IF(LEFT(EL1,2)="博多",
LEFT(EL1,FIND("週",EL1)-1),
EL1),"")</f>
        <v/>
      </c>
      <c r="EI1" s="248"/>
      <c r="EJ1" s="248"/>
      <c r="EK1" s="248"/>
      <c r="EL1" s="95" t="e">
        <f t="array" aca="1" ref="EL1" ca="1">INDIRECT("数出表_Excel!A"&amp;EG1)</f>
        <v>#VALUE!</v>
      </c>
      <c r="EM1" s="76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77" t="e">
        <f t="array" aca="1" ref="EN1" ca="1">GetResult(EM2)</f>
        <v>#VALUE!</v>
      </c>
      <c r="EO1" s="247" t="str">
        <f ca="1">IF(EO2&lt;&gt;"",
IF(LEFT(ES1,2)="博多",
LEFT(ES1,FIND("週",ES1)-1),
ES1),"")</f>
        <v/>
      </c>
      <c r="EP1" s="248"/>
      <c r="EQ1" s="248"/>
      <c r="ER1" s="248"/>
      <c r="ES1" s="91" t="e">
        <f t="array" aca="1" ref="ES1" ca="1">INDIRECT("数出表_Excel!A"&amp;EN1)</f>
        <v>#VALUE!</v>
      </c>
      <c r="ET1" s="106"/>
      <c r="EV1" s="79" t="str">
        <f ca="1">C1</f>
        <v/>
      </c>
      <c r="EW1" s="79" t="str">
        <f ca="1">C2</f>
        <v/>
      </c>
      <c r="EX1" s="79" t="str">
        <f ca="1">E2</f>
        <v/>
      </c>
      <c r="EY1" s="80" t="str">
        <f ca="1">F2</f>
        <v/>
      </c>
      <c r="EZ1" s="80" t="str">
        <f ca="1">G2</f>
        <v/>
      </c>
      <c r="FA1" s="79" t="e">
        <f ca="1">C4</f>
        <v>#VALUE!</v>
      </c>
      <c r="FB1" s="79" t="str">
        <f ca="1">E4</f>
        <v/>
      </c>
      <c r="FC1" s="79" t="str">
        <f ca="1">C6</f>
        <v/>
      </c>
      <c r="FD1" s="79" t="e">
        <f ca="1">B7</f>
        <v>#VALUE!</v>
      </c>
      <c r="FE1" s="79" t="str">
        <f ca="1">D7</f>
        <v/>
      </c>
      <c r="FF1" s="79" t="e">
        <f ca="1">F7</f>
        <v>#N/A</v>
      </c>
      <c r="FG1" s="78">
        <f t="shared" ref="FG1:FG2" ca="1" si="0">IF(COUNTIF(FH1,"TRUE"),ROW(),0)</f>
        <v>0</v>
      </c>
      <c r="FH1" s="78" t="e">
        <f t="array" aca="1" ref="FH1" ca="1">IF(COUNTIF(EV1,"社食"),"FALSE",SUMPRODUCT((LEN(EV1:FF1)&gt;0)*1)&gt;0)</f>
        <v>#VALUE!</v>
      </c>
      <c r="FI1" s="78">
        <f t="array" aca="1" ref="FI1" ca="1">IFERROR(SMALL(IF(FG$1:FG$228&lt;&gt;0,FG$1:FG$228),ROW(A1)),"")</f>
        <v>181</v>
      </c>
      <c r="FJ1" s="78" t="str">
        <f t="array" aca="1" ref="FJ1" ca="1">IF($FI1&lt;&gt;"",
INDIRECT(""&amp;IF(COLUMN(EV1)&lt;=26,CHAR(COLUMN(EV1)+64),CHAR(INT((COLUMN(EV1)-1)/26)+64)&amp;CHAR(MOD(COLUMN(EV1)-1,26)+65))&amp;$FI1&amp;""),"")</f>
        <v>ニシム</v>
      </c>
      <c r="FK1" s="78">
        <f t="array" aca="1" ref="FK1" ca="1">IF($FI1&lt;&gt;"",
INDIRECT(""&amp;IF(COLUMN(EW1)&lt;=26,CHAR(COLUMN(EW1)+64),CHAR(INT((COLUMN(EW1)-1)/26)+64)&amp;CHAR(MOD(COLUMN(EW1)-1,26)+65))&amp;$FI1&amp;""),"")</f>
        <v>0</v>
      </c>
      <c r="FL1" s="78">
        <f t="array" aca="1" ref="FL1" ca="1">IF($FI1&lt;&gt;"",
INDIRECT(""&amp;IF(COLUMN(EX1)&lt;=26,CHAR(COLUMN(EX1)+64),CHAR(INT((COLUMN(EX1)-1)/26)+64)&amp;CHAR(MOD(COLUMN(EX1)-1,26)+65))&amp;$FI1&amp;""),"")</f>
        <v>0</v>
      </c>
      <c r="FM1" s="78" t="str">
        <f t="array" aca="1" ref="FM1" ca="1">IF($FI1&lt;&gt;"",
IF(FL1="",
IF(INDIRECT("EY"&amp;$FI1&amp;"")&lt;&gt;"",
INDIRECT("EY"&amp;$FI1&amp;"")&amp;"箱"
&amp;INDIRECT("EZ"&amp;$FI1&amp;""),""),""),"")</f>
        <v/>
      </c>
      <c r="FN1" s="78" t="e">
        <f t="array" aca="1" ref="FN1" ca="1">IF($FI1&lt;&gt;"",
INDIRECT(""&amp;IF(COLUMN(FA1)&lt;=26,CHAR(COLUMN(FA1)+64),CHAR(INT((COLUMN(FA1)-1)/26)+64)&amp;CHAR(MOD(COLUMN(FA1)-1,26)+65))&amp;$FI1&amp;""),"")</f>
        <v>#N/A</v>
      </c>
      <c r="FO1" s="78">
        <f t="array" aca="1" ref="FO1" ca="1">IF($FI1&lt;&gt;"",
INDIRECT(""&amp;IF(COLUMN(FB1)&lt;=26,CHAR(COLUMN(FB1)+64),CHAR(INT((COLUMN(FB1)-1)/26)+64)&amp;CHAR(MOD(COLUMN(FB1)-1,26)+65))&amp;$FI1&amp;""),"")</f>
        <v>0</v>
      </c>
      <c r="FP1" s="78">
        <f t="array" aca="1" ref="FP1" ca="1">IF($FI1&lt;&gt;"",
INDIRECT(""&amp;IF(COLUMN(FC1)&lt;=26,CHAR(COLUMN(FC1)+64),CHAR(INT((COLUMN(FC1)-1)/26)+64)&amp;CHAR(MOD(COLUMN(FC1)-1,26)+65))&amp;$FI1&amp;""),"")</f>
        <v>0</v>
      </c>
      <c r="FQ1" s="78">
        <f t="array" aca="1" ref="FQ1" ca="1">IF($FI1&lt;&gt;"",
INDIRECT(""&amp;IF(COLUMN(FD1)&lt;=26,CHAR(COLUMN(FD1)+64),CHAR(INT((COLUMN(FD1)-1)/26)+64)&amp;CHAR(MOD(COLUMN(FD1)-1,26)+65))&amp;$FI1&amp;""),"")</f>
        <v>0</v>
      </c>
      <c r="FR1" s="78">
        <f t="array" aca="1" ref="FR1" ca="1">IF($FI1&lt;&gt;"",
INDIRECT(""&amp;IF(COLUMN(FE1)&lt;=26,CHAR(COLUMN(FE1)+64),CHAR(INT((COLUMN(FE1)-1)/26)+64)&amp;CHAR(MOD(COLUMN(FE1)-1,26)+65))&amp;$FI1&amp;""),"")</f>
        <v>0</v>
      </c>
      <c r="FS1" s="78">
        <f t="array" aca="1" ref="FS1" ca="1">IF($FI1&lt;&gt;"",
INDIRECT(""&amp;IF(COLUMN(FF1)&lt;=26,CHAR(COLUMN(FF1)+64),CHAR(INT((COLUMN(FF1)-1)/26)+64)&amp;CHAR(MOD(COLUMN(FF1)-1,26)+65))&amp;$FI1&amp;""),"")</f>
        <v>0</v>
      </c>
    </row>
    <row r="2" spans="1:175" s="78" customFormat="1" ht="18" customHeight="1" x14ac:dyDescent="0.55000000000000004">
      <c r="A2" s="76"/>
      <c r="B2" s="81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58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76"/>
      <c r="E2" s="82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83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96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76" t="e">
        <f t="array" aca="1" ref="H2" ca="1">IF(INDIRECT("数出表_Excel!A"&amp;GetResult(H1))="社食",
GetResult(H1)+2,GetResult(H1))</f>
        <v>#VALUE!</v>
      </c>
      <c r="I2" s="81" t="e">
        <f t="array" aca="1" ref="I2" ca="1">IF(J4&lt;&gt;"",MATCH(TRUE,INDIRECT("数出表_Excel!B"&amp;MATCH(N1,数出表_Excel!$A:$A,0)-1&amp;":U"&amp;MATCH(N1,数出表_Excel!$A:$A,0)-1&amp;"")&lt;&gt;"",0)+1,"")</f>
        <v>#N/A</v>
      </c>
      <c r="J2" s="58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76"/>
      <c r="L2" s="82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83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92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76"/>
      <c r="P2" s="76" t="e">
        <f t="array" aca="1" ref="P2" ca="1">IF(INDIRECT("数出表_Excel!A"&amp;GetResult(P1))="社食",
GetResult(P1)+2,GetResult(P1))</f>
        <v>#VALUE!</v>
      </c>
      <c r="Q2" s="81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58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76"/>
      <c r="T2" s="82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83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96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76" t="e">
        <f t="array" aca="1" ref="W2" ca="1">IF(INDIRECT("数出表_Excel!A"&amp;GetResult(W1))="社食",
GetResult(W1)+2,GetResult(W1))</f>
        <v>#VALUE!</v>
      </c>
      <c r="X2" s="81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58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76"/>
      <c r="AA2" s="82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83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92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76"/>
      <c r="AE2" s="76" t="e">
        <f t="array" aca="1" ref="AE2" ca="1">IF(INDIRECT("数出表_Excel!A"&amp;GetResult(AE1))="社食",
GetResult(AE1)+2,GetResult(AE1))</f>
        <v>#VALUE!</v>
      </c>
      <c r="AF2" s="81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58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76"/>
      <c r="AI2" s="82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83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96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76" t="e">
        <f t="array" aca="1" ref="AL2" ca="1">IF(INDIRECT("数出表_Excel!A"&amp;GetResult(AL1))="社食",
GetResult(AL1)+2,GetResult(AL1))</f>
        <v>#VALUE!</v>
      </c>
      <c r="AM2" s="81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58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76"/>
      <c r="AP2" s="82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83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92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76"/>
      <c r="AT2" s="76" t="e">
        <f t="array" aca="1" ref="AT2" ca="1">IF(INDIRECT("数出表_Excel!A"&amp;GetResult(AT1))="社食",
GetResult(AT1)+2,GetResult(AT1))</f>
        <v>#VALUE!</v>
      </c>
      <c r="AU2" s="81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58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76"/>
      <c r="AX2" s="82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83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96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76" t="e">
        <f t="array" aca="1" ref="BA2" ca="1">IF(INDIRECT("数出表_Excel!A"&amp;GetResult(BA1))="社食",
GetResult(BA1)+2,GetResult(BA1))</f>
        <v>#VALUE!</v>
      </c>
      <c r="BB2" s="81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58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76"/>
      <c r="BE2" s="82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83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92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76"/>
      <c r="BI2" s="76" t="e">
        <f t="array" aca="1" ref="BI2" ca="1">IF(INDIRECT("数出表_Excel!A"&amp;GetResult(BI1))="社食",
GetResult(BI1)+2,GetResult(BI1))</f>
        <v>#VALUE!</v>
      </c>
      <c r="BJ2" s="81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58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76"/>
      <c r="BM2" s="82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83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96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76" t="e">
        <f t="array" aca="1" ref="BP2" ca="1">IF(INDIRECT("数出表_Excel!A"&amp;GetResult(BP1))="社食",
GetResult(BP1)+2,GetResult(BP1))</f>
        <v>#VALUE!</v>
      </c>
      <c r="BQ2" s="81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58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76"/>
      <c r="BT2" s="82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83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92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76"/>
      <c r="BX2" s="76" t="e">
        <f t="array" aca="1" ref="BX2" ca="1">IF(INDIRECT("数出表_Excel!A"&amp;GetResult(BX1))="社食",
GetResult(BX1)+2,GetResult(BX1))</f>
        <v>#VALUE!</v>
      </c>
      <c r="BY2" s="81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58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76"/>
      <c r="CB2" s="82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83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96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76" t="e">
        <f t="array" aca="1" ref="CE2" ca="1">IF(INDIRECT("数出表_Excel!A"&amp;GetResult(CE1))="社食",
GetResult(CE1)+2,GetResult(CE1))</f>
        <v>#VALUE!</v>
      </c>
      <c r="CF2" s="81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58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76"/>
      <c r="CI2" s="82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83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92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76"/>
      <c r="CM2" s="76" t="e">
        <f t="array" aca="1" ref="CM2" ca="1">IF(INDIRECT("数出表_Excel!A"&amp;GetResult(CM1))="社食",
GetResult(CM1)+2,GetResult(CM1))</f>
        <v>#VALUE!</v>
      </c>
      <c r="CN2" s="81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58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76"/>
      <c r="CQ2" s="82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83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96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76" t="e">
        <f t="array" aca="1" ref="CT2" ca="1">IF(INDIRECT("数出表_Excel!A"&amp;GetResult(CT1))="社食",
GetResult(CT1)+2,GetResult(CT1))</f>
        <v>#VALUE!</v>
      </c>
      <c r="CU2" s="81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58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76"/>
      <c r="CX2" s="82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83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92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76"/>
      <c r="DB2" s="76" t="e">
        <f t="array" aca="1" ref="DB2" ca="1">IF(INDIRECT("数出表_Excel!A"&amp;GetResult(DB1))="社食",
GetResult(DB1)+2,GetResult(DB1))</f>
        <v>#VALUE!</v>
      </c>
      <c r="DC2" s="81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58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76"/>
      <c r="DF2" s="82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83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96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76" t="e">
        <f t="array" aca="1" ref="DI2" ca="1">IF(INDIRECT("数出表_Excel!A"&amp;GetResult(DI1))="社食",
GetResult(DI1)+2,GetResult(DI1))</f>
        <v>#VALUE!</v>
      </c>
      <c r="DJ2" s="81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58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76"/>
      <c r="DM2" s="82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83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92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76"/>
      <c r="DQ2" s="76" t="e">
        <f t="array" aca="1" ref="DQ2" ca="1">IF(INDIRECT("数出表_Excel!A"&amp;GetResult(DQ1))="社食",
GetResult(DQ1)+2,GetResult(DQ1))</f>
        <v>#VALUE!</v>
      </c>
      <c r="DR2" s="81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58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76"/>
      <c r="DU2" s="82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83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96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76" t="e">
        <f t="array" aca="1" ref="DX2" ca="1">IF(INDIRECT("数出表_Excel!A"&amp;GetResult(DX1))="社食",
GetResult(DX1)+2,GetResult(DX1))</f>
        <v>#VALUE!</v>
      </c>
      <c r="DY2" s="81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58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76"/>
      <c r="EB2" s="82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83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92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76"/>
      <c r="EF2" s="76" t="e">
        <f t="array" aca="1" ref="EF2" ca="1">IF(INDIRECT("数出表_Excel!A"&amp;GetResult(EF1))="社食",
GetResult(EF1)+2,GetResult(EF1))</f>
        <v>#VALUE!</v>
      </c>
      <c r="EG2" s="81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58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76"/>
      <c r="EJ2" s="82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83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96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76" t="e">
        <f t="array" aca="1" ref="EM2" ca="1">IF(INDIRECT("数出表_Excel!A"&amp;GetResult(EM1))="社食",
GetResult(EM1)+2,GetResult(EM1))</f>
        <v>#VALUE!</v>
      </c>
      <c r="EN2" s="81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58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76"/>
      <c r="EQ2" s="82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83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92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07"/>
      <c r="EU2" s="78">
        <v>42</v>
      </c>
      <c r="EV2" s="78" t="str" cm="1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78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78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78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78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78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78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78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78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78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78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78">
        <f t="shared" ca="1" si="0"/>
        <v>0</v>
      </c>
      <c r="FH2" s="78" t="b">
        <f t="array" aca="1" ref="FH2" ca="1">SUMPRODUCT((LEN(EV2:FF2)&gt;0)*1)&gt;0</f>
        <v>0</v>
      </c>
      <c r="FI2" s="78">
        <f t="array" aca="1" ref="FI2" ca="1">IFERROR(SMALL(IF(FG$1:FG$228&lt;&gt;0,FG$1:FG$228),ROW(A2)),"")</f>
        <v>182</v>
      </c>
      <c r="FJ2" s="78" t="str">
        <f t="array" aca="1" ref="FJ2" ca="1">IF($FI2&lt;&gt;"",
INDIRECT(""&amp;IF(COLUMN(EV2)&lt;=26,CHAR(COLUMN(EV2)+64),CHAR(INT((COLUMN(EV2)-1)/26)+64)&amp;CHAR(MOD(COLUMN(EV2)-1,26)+65))&amp;$FI2&amp;""),"")</f>
        <v>新日本製薬</v>
      </c>
      <c r="FK2" s="78">
        <f t="array" aca="1" ref="FK2" ca="1">IF($FI2&lt;&gt;"",
INDIRECT(""&amp;IF(COLUMN(EW2)&lt;=26,CHAR(COLUMN(EW2)+64),CHAR(INT((COLUMN(EW2)-1)/26)+64)&amp;CHAR(MOD(COLUMN(EW2)-1,26)+65))&amp;$FI2&amp;""),"")</f>
        <v>0</v>
      </c>
      <c r="FL2" s="78">
        <f t="array" aca="1" ref="FL2" ca="1">IF($FI2&lt;&gt;"",
INDIRECT(""&amp;IF(COLUMN(EX2)&lt;=26,CHAR(COLUMN(EX2)+64),CHAR(INT((COLUMN(EX2)-1)/26)+64)&amp;CHAR(MOD(COLUMN(EX2)-1,26)+65))&amp;$FI2&amp;""),"")</f>
        <v>0</v>
      </c>
      <c r="FM2" s="78" t="str">
        <f t="array" aca="1" ref="FM2" ca="1">IF($FI2&lt;&gt;"",
IF(FL2="",
IF(INDIRECT("EY"&amp;$FI2&amp;"")&lt;&gt;"",
INDIRECT("EY"&amp;$FI2&amp;"")&amp;"箱"
&amp;INDIRECT("EZ"&amp;$FI2&amp;""),""),""),"")</f>
        <v/>
      </c>
      <c r="FN2" s="78" t="e">
        <f t="array" aca="1" ref="FN2" ca="1">IF($FI2&lt;&gt;"",
INDIRECT(""&amp;IF(COLUMN(FA2)&lt;=26,CHAR(COLUMN(FA2)+64),CHAR(INT((COLUMN(FA2)-1)/26)+64)&amp;CHAR(MOD(COLUMN(FA2)-1,26)+65))&amp;$FI2&amp;""),"")</f>
        <v>#N/A</v>
      </c>
      <c r="FO2" s="78">
        <f t="array" aca="1" ref="FO2" ca="1">IF($FI2&lt;&gt;"",
INDIRECT(""&amp;IF(COLUMN(FB2)&lt;=26,CHAR(COLUMN(FB2)+64),CHAR(INT((COLUMN(FB2)-1)/26)+64)&amp;CHAR(MOD(COLUMN(FB2)-1,26)+65))&amp;$FI2&amp;""),"")</f>
        <v>0</v>
      </c>
      <c r="FP2" s="78">
        <f t="array" aca="1" ref="FP2" ca="1">IF($FI2&lt;&gt;"",
INDIRECT(""&amp;IF(COLUMN(FC2)&lt;=26,CHAR(COLUMN(FC2)+64),CHAR(INT((COLUMN(FC2)-1)/26)+64)&amp;CHAR(MOD(COLUMN(FC2)-1,26)+65))&amp;$FI2&amp;""),"")</f>
        <v>0</v>
      </c>
      <c r="FQ2" s="78">
        <f t="array" aca="1" ref="FQ2" ca="1">IF($FI2&lt;&gt;"",
INDIRECT(""&amp;IF(COLUMN(FD2)&lt;=26,CHAR(COLUMN(FD2)+64),CHAR(INT((COLUMN(FD2)-1)/26)+64)&amp;CHAR(MOD(COLUMN(FD2)-1,26)+65))&amp;$FI2&amp;""),"")</f>
        <v>0</v>
      </c>
      <c r="FR2" s="78">
        <f t="array" aca="1" ref="FR2" ca="1">IF($FI2&lt;&gt;"",
INDIRECT(""&amp;IF(COLUMN(FE2)&lt;=26,CHAR(COLUMN(FE2)+64),CHAR(INT((COLUMN(FE2)-1)/26)+64)&amp;CHAR(MOD(COLUMN(FE2)-1,26)+65))&amp;$FI2&amp;""),"")</f>
        <v>0</v>
      </c>
      <c r="FS2" s="78">
        <f t="array" aca="1" ref="FS2" ca="1">IF($FI2&lt;&gt;"",
INDIRECT(""&amp;IF(COLUMN(FF2)&lt;=26,CHAR(COLUMN(FF2)+64),CHAR(INT((COLUMN(FF2)-1)/26)+64)&amp;CHAR(MOD(COLUMN(FF2)-1,26)+65))&amp;$FI2&amp;""),"")</f>
        <v>0</v>
      </c>
    </row>
    <row r="3" spans="1:175" s="78" customFormat="1" ht="22.2" customHeight="1" x14ac:dyDescent="0.55000000000000004">
      <c r="A3" s="76"/>
      <c r="B3" s="84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49" t="str">
        <f ca="1">IF(C2&lt;&gt;"",
"園児","")</f>
        <v/>
      </c>
      <c r="D3" s="250"/>
      <c r="E3" s="251" t="str">
        <f ca="1">IF(C2&lt;&gt;"",
"先生","")</f>
        <v/>
      </c>
      <c r="F3" s="250"/>
      <c r="G3" s="97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76"/>
      <c r="I3" s="84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249" t="str">
        <f ca="1">IF(J2&lt;&gt;"",
"園児","")</f>
        <v/>
      </c>
      <c r="K3" s="250"/>
      <c r="L3" s="251" t="str">
        <f ca="1">IF(J2&lt;&gt;"",
"先生","")</f>
        <v/>
      </c>
      <c r="M3" s="250"/>
      <c r="N3" s="97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76"/>
      <c r="P3" s="76"/>
      <c r="Q3" s="84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249" t="str">
        <f ca="1">IF(R2&lt;&gt;"",
"園児","")</f>
        <v/>
      </c>
      <c r="S3" s="250"/>
      <c r="T3" s="251" t="str">
        <f ca="1">IF(R2&lt;&gt;"",
"先生","")</f>
        <v/>
      </c>
      <c r="U3" s="250"/>
      <c r="V3" s="97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76"/>
      <c r="X3" s="84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249" t="str">
        <f ca="1">IF(Y2&lt;&gt;"",
"園児","")</f>
        <v/>
      </c>
      <c r="Z3" s="250"/>
      <c r="AA3" s="251" t="str">
        <f ca="1">IF(Y2&lt;&gt;"",
"先生","")</f>
        <v/>
      </c>
      <c r="AB3" s="250"/>
      <c r="AC3" s="97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76"/>
      <c r="AE3" s="76"/>
      <c r="AF3" s="84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249" t="str">
        <f ca="1">IF(AG2&lt;&gt;"",
"園児","")</f>
        <v/>
      </c>
      <c r="AH3" s="250"/>
      <c r="AI3" s="251" t="str">
        <f ca="1">IF(AG2&lt;&gt;"",
"先生","")</f>
        <v/>
      </c>
      <c r="AJ3" s="250"/>
      <c r="AK3" s="97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76"/>
      <c r="AM3" s="84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249" t="str">
        <f ca="1">IF(AN2&lt;&gt;"",
"園児","")</f>
        <v/>
      </c>
      <c r="AO3" s="250"/>
      <c r="AP3" s="251" t="str">
        <f ca="1">IF(AN2&lt;&gt;"",
"先生","")</f>
        <v/>
      </c>
      <c r="AQ3" s="250"/>
      <c r="AR3" s="97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76"/>
      <c r="AT3" s="76"/>
      <c r="AU3" s="84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249" t="str">
        <f ca="1">IF(AV2&lt;&gt;"",
"園児","")</f>
        <v/>
      </c>
      <c r="AW3" s="250"/>
      <c r="AX3" s="251" t="str">
        <f ca="1">IF(AV2&lt;&gt;"",
"先生","")</f>
        <v/>
      </c>
      <c r="AY3" s="250"/>
      <c r="AZ3" s="97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76"/>
      <c r="BB3" s="84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249" t="str">
        <f ca="1">IF(BC2&lt;&gt;"",
"園児","")</f>
        <v/>
      </c>
      <c r="BD3" s="250"/>
      <c r="BE3" s="251" t="str">
        <f ca="1">IF(BC2&lt;&gt;"",
"先生","")</f>
        <v/>
      </c>
      <c r="BF3" s="250"/>
      <c r="BG3" s="97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76"/>
      <c r="BI3" s="76"/>
      <c r="BJ3" s="84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249" t="str">
        <f ca="1">IF(BK2&lt;&gt;"",
"園児","")</f>
        <v/>
      </c>
      <c r="BL3" s="250"/>
      <c r="BM3" s="251" t="str">
        <f ca="1">IF(BK2&lt;&gt;"",
"先生","")</f>
        <v/>
      </c>
      <c r="BN3" s="250"/>
      <c r="BO3" s="97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76"/>
      <c r="BQ3" s="84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249" t="str">
        <f ca="1">IF(BR2&lt;&gt;"",
"園児","")</f>
        <v/>
      </c>
      <c r="BS3" s="250"/>
      <c r="BT3" s="251" t="str">
        <f ca="1">IF(BR2&lt;&gt;"",
"先生","")</f>
        <v/>
      </c>
      <c r="BU3" s="250"/>
      <c r="BV3" s="97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76"/>
      <c r="BX3" s="76"/>
      <c r="BY3" s="84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249" t="str">
        <f ca="1">IF(BZ2&lt;&gt;"",
"園児","")</f>
        <v/>
      </c>
      <c r="CA3" s="250"/>
      <c r="CB3" s="251" t="str">
        <f ca="1">IF(BZ2&lt;&gt;"",
"先生","")</f>
        <v/>
      </c>
      <c r="CC3" s="250"/>
      <c r="CD3" s="97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76"/>
      <c r="CF3" s="84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249" t="str">
        <f ca="1">IF(CG2&lt;&gt;"",
"園児","")</f>
        <v/>
      </c>
      <c r="CH3" s="250"/>
      <c r="CI3" s="251" t="str">
        <f ca="1">IF(CG2&lt;&gt;"",
"先生","")</f>
        <v/>
      </c>
      <c r="CJ3" s="250"/>
      <c r="CK3" s="97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76"/>
      <c r="CM3" s="76"/>
      <c r="CN3" s="84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249" t="str">
        <f ca="1">IF(CO2&lt;&gt;"",
"園児","")</f>
        <v/>
      </c>
      <c r="CP3" s="250"/>
      <c r="CQ3" s="251" t="str">
        <f ca="1">IF(CO2&lt;&gt;"",
"先生","")</f>
        <v/>
      </c>
      <c r="CR3" s="250"/>
      <c r="CS3" s="97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76"/>
      <c r="CU3" s="84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249" t="str">
        <f ca="1">IF(CV2&lt;&gt;"",
"園児","")</f>
        <v/>
      </c>
      <c r="CW3" s="250"/>
      <c r="CX3" s="251" t="str">
        <f ca="1">IF(CV2&lt;&gt;"",
"先生","")</f>
        <v/>
      </c>
      <c r="CY3" s="250"/>
      <c r="CZ3" s="97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76"/>
      <c r="DB3" s="76"/>
      <c r="DC3" s="84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249" t="str">
        <f ca="1">IF(DD2&lt;&gt;"",
"園児","")</f>
        <v/>
      </c>
      <c r="DE3" s="250"/>
      <c r="DF3" s="251" t="str">
        <f ca="1">IF(DD2&lt;&gt;"",
"先生","")</f>
        <v/>
      </c>
      <c r="DG3" s="250"/>
      <c r="DH3" s="97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76"/>
      <c r="DJ3" s="84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249" t="str">
        <f ca="1">IF(DK2&lt;&gt;"",
"園児","")</f>
        <v/>
      </c>
      <c r="DL3" s="250"/>
      <c r="DM3" s="251" t="str">
        <f ca="1">IF(DK2&lt;&gt;"",
"先生","")</f>
        <v/>
      </c>
      <c r="DN3" s="250"/>
      <c r="DO3" s="97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76"/>
      <c r="DQ3" s="76"/>
      <c r="DR3" s="84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249" t="str">
        <f ca="1">IF(DS2&lt;&gt;"",
"園児","")</f>
        <v/>
      </c>
      <c r="DT3" s="250"/>
      <c r="DU3" s="251" t="str">
        <f ca="1">IF(DS2&lt;&gt;"",
"先生","")</f>
        <v/>
      </c>
      <c r="DV3" s="250"/>
      <c r="DW3" s="97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76"/>
      <c r="DY3" s="84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249" t="str">
        <f ca="1">IF(DZ2&lt;&gt;"",
"園児","")</f>
        <v/>
      </c>
      <c r="EA3" s="250"/>
      <c r="EB3" s="251" t="str">
        <f ca="1">IF(DZ2&lt;&gt;"",
"先生","")</f>
        <v/>
      </c>
      <c r="EC3" s="250"/>
      <c r="ED3" s="97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76"/>
      <c r="EF3" s="76"/>
      <c r="EG3" s="84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249" t="str">
        <f ca="1">IF(EH2&lt;&gt;"",
"園児","")</f>
        <v/>
      </c>
      <c r="EI3" s="250"/>
      <c r="EJ3" s="251" t="str">
        <f ca="1">IF(EH2&lt;&gt;"",
"先生","")</f>
        <v/>
      </c>
      <c r="EK3" s="250"/>
      <c r="EL3" s="97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76"/>
      <c r="EN3" s="84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249" t="str">
        <f ca="1">IF(EO2&lt;&gt;"",
"園児","")</f>
        <v/>
      </c>
      <c r="EP3" s="250"/>
      <c r="EQ3" s="251" t="str">
        <f ca="1">IF(EO2&lt;&gt;"",
"先生","")</f>
        <v/>
      </c>
      <c r="ER3" s="250"/>
      <c r="ES3" s="97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06"/>
      <c r="EU3" s="78">
        <v>84</v>
      </c>
      <c r="EV3" s="78" t="str" cm="1">
        <f t="array" aca="1" ref="EV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LEN(SUBSTITUTE(_xlfn.FORMULATEXT(EV$1),"=","")))+$EU3)</f>
        <v/>
      </c>
      <c r="EW3" s="78" t="str">
        <f t="array" aca="1" ref="EW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LEN(SUBSTITUTE(_xlfn.FORMULATEXT(EW$1),"=","")))+$EU3)</f>
        <v/>
      </c>
      <c r="EX3" s="78" t="str">
        <f t="array" aca="1" ref="EX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LEN(SUBSTITUTE(_xlfn.FORMULATEXT(EX$1),"=","")))+$EU3)</f>
        <v/>
      </c>
      <c r="EY3" s="78" t="str">
        <f t="array" aca="1" ref="EY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LEN(SUBSTITUTE(_xlfn.FORMULATEXT(EY$1),"=","")))+$EU3)</f>
        <v/>
      </c>
      <c r="EZ3" s="78" t="str">
        <f t="array" aca="1" ref="EZ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LEN(SUBSTITUTE(_xlfn.FORMULATEXT(EZ$1),"=","")))+$EU3)</f>
        <v/>
      </c>
      <c r="FA3" s="78" t="str">
        <f t="array" aca="1" ref="FA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LEN(SUBSTITUTE(_xlfn.FORMULATEXT(FA$1),"=","")))+$EU3)</f>
        <v/>
      </c>
      <c r="FB3" s="78" t="str">
        <f t="array" aca="1" ref="FB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LEN(SUBSTITUTE(_xlfn.FORMULATEXT(FB$1),"=","")))+$EU3)</f>
        <v/>
      </c>
      <c r="FC3" s="78" t="str">
        <f t="array" aca="1" ref="FC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LEN(SUBSTITUTE(_xlfn.FORMULATEXT(FC$1),"=","")))+$EU3)</f>
        <v/>
      </c>
      <c r="FD3" s="78" t="str">
        <f t="array" aca="1" ref="FD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LEN(SUBSTITUTE(_xlfn.FORMULATEXT(FD$1),"=","")))+$EU3)</f>
        <v/>
      </c>
      <c r="FE3" s="78" t="str">
        <f t="array" aca="1" ref="FE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LEN(SUBSTITUTE(_xlfn.FORMULATEXT(FE$1),"=","")))+$EU3)</f>
        <v/>
      </c>
      <c r="FF3" s="78" t="str">
        <f t="array" aca="1" ref="FF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LEN(SUBSTITUTE(_xlfn.FORMULATEXT(FF$1),"=","")))+$EU3)</f>
        <v/>
      </c>
      <c r="FG3" s="78">
        <f t="shared" ref="FG3" ca="1" si="1">IF(COUNTIF(FH3,"TRUE"),ROW(),0)</f>
        <v>0</v>
      </c>
      <c r="FH3" s="78" t="b">
        <f t="array" aca="1" ref="FH3" ca="1">SUMPRODUCT((LEN(EV3:FF3)&gt;0)*1)&gt;0</f>
        <v>0</v>
      </c>
      <c r="FI3" s="78">
        <f t="array" aca="1" ref="FI3" ca="1">IFERROR(SMALL(IF(FG$1:FG$228&lt;&gt;0,FG$1:FG$228),ROW(A3)),"")</f>
        <v>183</v>
      </c>
      <c r="FJ3" s="78" t="str">
        <f t="array" aca="1" ref="FJ3" ca="1">IF($FI3&lt;&gt;"",
INDIRECT(""&amp;IF(COLUMN(EV4)&lt;=26,CHAR(COLUMN(EV4)+64),CHAR(INT((COLUMN(EV4)-1)/26)+64)&amp;CHAR(MOD(COLUMN(EV4)-1,26)+65))&amp;$FI3&amp;""),"")</f>
        <v>配送</v>
      </c>
      <c r="FK3" s="78">
        <f t="array" aca="1" ref="FK3" ca="1">IF($FI3&lt;&gt;"",
INDIRECT(""&amp;IF(COLUMN(EW4)&lt;=26,CHAR(COLUMN(EW4)+64),CHAR(INT((COLUMN(EW4)-1)/26)+64)&amp;CHAR(MOD(COLUMN(EW4)-1,26)+65))&amp;$FI3&amp;""),"")</f>
        <v>0</v>
      </c>
      <c r="FL3" s="78">
        <f t="array" aca="1" ref="FL3" ca="1">IF($FI3&lt;&gt;"",
INDIRECT(""&amp;IF(COLUMN(EX4)&lt;=26,CHAR(COLUMN(EX4)+64),CHAR(INT((COLUMN(EX4)-1)/26)+64)&amp;CHAR(MOD(COLUMN(EX4)-1,26)+65))&amp;$FI3&amp;""),"")</f>
        <v>0</v>
      </c>
      <c r="FM3" s="78" t="str">
        <f t="array" aca="1" ref="FM3" ca="1">IF($FI3&lt;&gt;"",
IF(FL3="",
IF(INDIRECT("EY"&amp;$FI3&amp;"")&lt;&gt;"",
INDIRECT("EY"&amp;$FI3&amp;"")&amp;"箱"
&amp;INDIRECT("EZ"&amp;$FI3&amp;""),""),""),"")</f>
        <v/>
      </c>
      <c r="FN3" s="78">
        <f t="array" aca="1" ref="FN3" ca="1">IF($FI3&lt;&gt;"",
INDIRECT(""&amp;IF(COLUMN(FA4)&lt;=26,CHAR(COLUMN(FA4)+64),CHAR(INT((COLUMN(FA4)-1)/26)+64)&amp;CHAR(MOD(COLUMN(FA4)-1,26)+65))&amp;$FI3&amp;""),"")</f>
        <v>2</v>
      </c>
      <c r="FO3" s="78">
        <f t="array" aca="1" ref="FO3" ca="1">IF($FI3&lt;&gt;"",
INDIRECT(""&amp;IF(COLUMN(FB4)&lt;=26,CHAR(COLUMN(FB4)+64),CHAR(INT((COLUMN(FB4)-1)/26)+64)&amp;CHAR(MOD(COLUMN(FB4)-1,26)+65))&amp;$FI3&amp;""),"")</f>
        <v>0</v>
      </c>
      <c r="FP3" s="78">
        <f t="array" aca="1" ref="FP3" ca="1">IF($FI3&lt;&gt;"",
INDIRECT(""&amp;IF(COLUMN(FC4)&lt;=26,CHAR(COLUMN(FC4)+64),CHAR(INT((COLUMN(FC4)-1)/26)+64)&amp;CHAR(MOD(COLUMN(FC4)-1,26)+65))&amp;$FI3&amp;""),"")</f>
        <v>0</v>
      </c>
      <c r="FQ3" s="78">
        <f t="array" aca="1" ref="FQ3" ca="1">IF($FI3&lt;&gt;"",
INDIRECT(""&amp;IF(COLUMN(FD4)&lt;=26,CHAR(COLUMN(FD4)+64),CHAR(INT((COLUMN(FD4)-1)/26)+64)&amp;CHAR(MOD(COLUMN(FD4)-1,26)+65))&amp;$FI3&amp;""),"")</f>
        <v>0</v>
      </c>
      <c r="FR3" s="78">
        <f t="array" aca="1" ref="FR3" ca="1">IF($FI3&lt;&gt;"",
INDIRECT(""&amp;IF(COLUMN(FE4)&lt;=26,CHAR(COLUMN(FE4)+64),CHAR(INT((COLUMN(FE4)-1)/26)+64)&amp;CHAR(MOD(COLUMN(FE4)-1,26)+65))&amp;$FI3&amp;""),"")</f>
        <v>0</v>
      </c>
      <c r="FS3" s="78">
        <f t="array" aca="1" ref="FS3" ca="1">IF($FI3&lt;&gt;"",
INDIRECT(""&amp;IF(COLUMN(FF4)&lt;=26,CHAR(COLUMN(FF4)+64),CHAR(INT((COLUMN(FF4)-1)/26)+64)&amp;CHAR(MOD(COLUMN(FF4)-1,26)+65))&amp;$FI3&amp;""),"")</f>
        <v>0</v>
      </c>
    </row>
    <row r="4" spans="1:175" ht="18" customHeight="1" x14ac:dyDescent="0.45">
      <c r="B4" s="86"/>
      <c r="C4" s="252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53"/>
      <c r="E4" s="255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53"/>
      <c r="G4" s="97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86"/>
      <c r="J4" s="252" t="e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#N/A</v>
      </c>
      <c r="K4" s="253"/>
      <c r="L4" s="255" t="e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>#VALUE!</v>
      </c>
      <c r="M4" s="253"/>
      <c r="N4" s="97" t="e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#VALUE!</v>
      </c>
      <c r="Q4" s="86"/>
      <c r="R4" s="252" t="e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253"/>
      <c r="T4" s="255" t="e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253"/>
      <c r="V4" s="97" t="e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#VALUE!</v>
      </c>
      <c r="X4" s="86"/>
      <c r="Y4" s="252" t="e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253"/>
      <c r="AA4" s="255" t="e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253"/>
      <c r="AC4" s="97" t="e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#VALUE!</v>
      </c>
      <c r="AF4" s="86"/>
      <c r="AG4" s="252" t="e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253"/>
      <c r="AI4" s="255" t="e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253"/>
      <c r="AK4" s="97" t="e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#VALUE!</v>
      </c>
      <c r="AM4" s="86"/>
      <c r="AN4" s="252" t="e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253"/>
      <c r="AP4" s="255" t="e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253"/>
      <c r="AR4" s="97" t="e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#VALUE!</v>
      </c>
      <c r="AU4" s="86"/>
      <c r="AV4" s="252" t="e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253"/>
      <c r="AX4" s="255" t="e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253"/>
      <c r="AZ4" s="97" t="e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#VALUE!</v>
      </c>
      <c r="BB4" s="86"/>
      <c r="BC4" s="252" t="e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253"/>
      <c r="BE4" s="255" t="e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253"/>
      <c r="BG4" s="97" t="e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#VALUE!</v>
      </c>
      <c r="BJ4" s="86"/>
      <c r="BK4" s="252" t="e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253"/>
      <c r="BM4" s="255" t="e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253"/>
      <c r="BO4" s="97" t="e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#VALUE!</v>
      </c>
      <c r="BQ4" s="86"/>
      <c r="BR4" s="252" t="e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253"/>
      <c r="BT4" s="255" t="e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253"/>
      <c r="BV4" s="97" t="e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#VALUE!</v>
      </c>
      <c r="BY4" s="86"/>
      <c r="BZ4" s="252" t="e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253"/>
      <c r="CB4" s="255" t="e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253"/>
      <c r="CD4" s="97" t="e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0)),0),""),0)</f>
        <v>#VALUE!</v>
      </c>
      <c r="CF4" s="86"/>
      <c r="CG4" s="252" t="e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253"/>
      <c r="CI4" s="255" t="e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253"/>
      <c r="CK4" s="97" t="e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0)),0),""),0)</f>
        <v>#VALUE!</v>
      </c>
      <c r="CN4" s="86"/>
      <c r="CO4" s="252" t="e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253"/>
      <c r="CQ4" s="255" t="e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253"/>
      <c r="CS4" s="97" t="e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0)),0),""),0)</f>
        <v>#VALUE!</v>
      </c>
      <c r="CU4" s="86"/>
      <c r="CV4" s="252" t="e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253"/>
      <c r="CX4" s="255" t="e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253"/>
      <c r="CZ4" s="97" t="e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0)),0),""),0)</f>
        <v>#VALUE!</v>
      </c>
      <c r="DC4" s="86"/>
      <c r="DD4" s="252" t="e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253"/>
      <c r="DF4" s="255" t="e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253"/>
      <c r="DH4" s="97" t="e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0)),0),""),0)</f>
        <v>#VALUE!</v>
      </c>
      <c r="DJ4" s="86"/>
      <c r="DK4" s="252" t="e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253"/>
      <c r="DM4" s="255" t="e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253"/>
      <c r="DO4" s="97" t="e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0)),0),""),0)</f>
        <v>#VALUE!</v>
      </c>
      <c r="DR4" s="86"/>
      <c r="DS4" s="252" t="e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253"/>
      <c r="DU4" s="255" t="e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253"/>
      <c r="DW4" s="97" t="e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0)),0),""),0)</f>
        <v>#VALUE!</v>
      </c>
      <c r="DY4" s="86"/>
      <c r="DZ4" s="252" t="e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253"/>
      <c r="EB4" s="255" t="e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253"/>
      <c r="ED4" s="97" t="e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0)),0),""),0)</f>
        <v>#VALUE!</v>
      </c>
      <c r="EG4" s="86"/>
      <c r="EH4" s="252" t="e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253"/>
      <c r="EJ4" s="255" t="e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253"/>
      <c r="EL4" s="97" t="e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0)),0),""),0)</f>
        <v>#VALUE!</v>
      </c>
      <c r="EN4" s="86"/>
      <c r="EO4" s="252" t="e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253"/>
      <c r="EQ4" s="255" t="e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253"/>
      <c r="ES4" s="97" t="e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0)),0),""),0)</f>
        <v>#VALUE!</v>
      </c>
      <c r="ET4" s="106"/>
      <c r="EU4" s="78"/>
      <c r="EV4" s="79" t="str">
        <f ca="1">J1</f>
        <v/>
      </c>
      <c r="EW4" s="79" t="str">
        <f ca="1">J2</f>
        <v/>
      </c>
      <c r="EX4" s="79" t="str">
        <f ca="1">L2</f>
        <v/>
      </c>
      <c r="EY4" s="80" t="str">
        <f ca="1">M2</f>
        <v/>
      </c>
      <c r="EZ4" s="80" t="str">
        <f ca="1">N2</f>
        <v/>
      </c>
      <c r="FA4" s="79" t="e">
        <f ca="1">J4</f>
        <v>#N/A</v>
      </c>
      <c r="FB4" s="79" t="e">
        <f ca="1">L4</f>
        <v>#VALUE!</v>
      </c>
      <c r="FC4" s="79" t="str">
        <f ca="1">J6</f>
        <v/>
      </c>
      <c r="FD4" s="79" t="e">
        <f ca="1">I7</f>
        <v>#N/A</v>
      </c>
      <c r="FE4" s="79" t="str">
        <f ca="1">K7</f>
        <v/>
      </c>
      <c r="FF4" s="79" t="e">
        <f ca="1">M7</f>
        <v>#VALUE!</v>
      </c>
      <c r="FG4" s="78">
        <f t="shared" ref="FG4:FG48" ca="1" si="2">IF(COUNTIF(FH4,"TRUE"),ROW(),0)</f>
        <v>0</v>
      </c>
      <c r="FH4" s="78" t="e">
        <f t="array" aca="1" ref="FH4" ca="1">SUMPRODUCT((LEN(EV4:FF4)&gt;0)*1)&gt;0</f>
        <v>#N/A</v>
      </c>
      <c r="FI4" s="78">
        <f t="array" aca="1" ref="FI4" ca="1">IFERROR(SMALL(IF(FG$1:FG$228&lt;&gt;0,FG$1:FG$228),ROW(A4)),"")</f>
        <v>184</v>
      </c>
      <c r="FJ4" s="78" t="str">
        <f t="array" aca="1" ref="FJ4" ca="1">IF($FI4&lt;&gt;"",
INDIRECT(""&amp;IF(COLUMN(EV5)&lt;=26,CHAR(COLUMN(EV5)+64),CHAR(INT((COLUMN(EV5)-1)/26)+64)&amp;CHAR(MOD(COLUMN(EV5)-1,26)+65))&amp;$FI4&amp;""),"")</f>
        <v>先生用</v>
      </c>
      <c r="FK4" s="78">
        <f t="array" aca="1" ref="FK4" ca="1">IF($FI4&lt;&gt;"",
INDIRECT(""&amp;IF(COLUMN(EW5)&lt;=26,CHAR(COLUMN(EW5)+64),CHAR(INT((COLUMN(EW5)-1)/26)+64)&amp;CHAR(MOD(COLUMN(EW5)-1,26)+65))&amp;$FI4&amp;""),"")</f>
        <v>0</v>
      </c>
      <c r="FL4" s="78" t="str">
        <f t="array" aca="1" ref="FL4" ca="1">IF($FI4&lt;&gt;"",
INDIRECT(""&amp;IF(COLUMN(EX5)&lt;=26,CHAR(COLUMN(EX5)+64),CHAR(INT((COLUMN(EX5)-1)/26)+64)&amp;CHAR(MOD(COLUMN(EX5)-1,26)+65))&amp;$FI4&amp;""),"")</f>
        <v/>
      </c>
      <c r="FM4" s="78" t="e">
        <f t="array" aca="1" ref="FM4" ca="1">IF($FI4&lt;&gt;"",
IF(FL4="",
IF(INDIRECT("EY"&amp;$FI4&amp;"")&lt;&gt;"",
INDIRECT("EY"&amp;$FI4&amp;"")&amp;"箱"
&amp;INDIRECT("EZ"&amp;$FI4&amp;""),""),""),"")</f>
        <v>#N/A</v>
      </c>
      <c r="FN4" s="78" t="e">
        <f t="array" aca="1" ref="FN4" ca="1">IF($FI4&lt;&gt;"",
INDIRECT(""&amp;IF(COLUMN(FA5)&lt;=26,CHAR(COLUMN(FA5)+64),CHAR(INT((COLUMN(FA5)-1)/26)+64)&amp;CHAR(MOD(COLUMN(FA5)-1,26)+65))&amp;$FI4&amp;""),"")</f>
        <v>#N/A</v>
      </c>
      <c r="FO4" s="78">
        <f t="array" aca="1" ref="FO4" ca="1">IF($FI4&lt;&gt;"",
INDIRECT(""&amp;IF(COLUMN(FB5)&lt;=26,CHAR(COLUMN(FB5)+64),CHAR(INT((COLUMN(FB5)-1)/26)+64)&amp;CHAR(MOD(COLUMN(FB5)-1,26)+65))&amp;$FI4&amp;""),"")</f>
        <v>0</v>
      </c>
      <c r="FP4" s="78">
        <f t="array" aca="1" ref="FP4" ca="1">IF($FI4&lt;&gt;"",
INDIRECT(""&amp;IF(COLUMN(FC5)&lt;=26,CHAR(COLUMN(FC5)+64),CHAR(INT((COLUMN(FC5)-1)/26)+64)&amp;CHAR(MOD(COLUMN(FC5)-1,26)+65))&amp;$FI4&amp;""),"")</f>
        <v>12</v>
      </c>
      <c r="FQ4" s="78">
        <f t="array" aca="1" ref="FQ4" ca="1">IF($FI4&lt;&gt;"",
INDIRECT(""&amp;IF(COLUMN(FD5)&lt;=26,CHAR(COLUMN(FD5)+64),CHAR(INT((COLUMN(FD5)-1)/26)+64)&amp;CHAR(MOD(COLUMN(FD5)-1,26)+65))&amp;$FI4&amp;""),"")</f>
        <v>30</v>
      </c>
      <c r="FR4" s="78">
        <f t="array" aca="1" ref="FR4" ca="1">IF($FI4&lt;&gt;"",
INDIRECT(""&amp;IF(COLUMN(FE5)&lt;=26,CHAR(COLUMN(FE5)+64),CHAR(INT((COLUMN(FE5)-1)/26)+64)&amp;CHAR(MOD(COLUMN(FE5)-1,26)+65))&amp;$FI4&amp;""),"")</f>
        <v>0</v>
      </c>
      <c r="FS4" s="78">
        <f t="array" aca="1" ref="FS4" ca="1">IF($FI4&lt;&gt;"",
INDIRECT(""&amp;IF(COLUMN(FF5)&lt;=26,CHAR(COLUMN(FF5)+64),CHAR(INT((COLUMN(FF5)-1)/26)+64)&amp;CHAR(MOD(COLUMN(FF5)-1,26)+65))&amp;$FI4&amp;""),"")</f>
        <v>0</v>
      </c>
    </row>
    <row r="5" spans="1:175" ht="18" customHeight="1" x14ac:dyDescent="0.45">
      <c r="B5" s="114" t="s">
        <v>37</v>
      </c>
      <c r="C5" s="254"/>
      <c r="D5" s="254"/>
      <c r="E5" s="254"/>
      <c r="F5" s="254"/>
      <c r="G5" s="98" t="str">
        <f ca="1">SUBSTITUTE(SUBSTITUTE(ADDRESS(1,MATCH("おやつ",'数出表_Excel（アレルギー入力）'!$3:$3,0)),1,""),"$","")</f>
        <v>AL</v>
      </c>
      <c r="I5" s="114" t="s">
        <v>37</v>
      </c>
      <c r="J5" s="254"/>
      <c r="K5" s="254"/>
      <c r="L5" s="254"/>
      <c r="M5" s="254"/>
      <c r="N5" s="98" t="str">
        <f ca="1">SUBSTITUTE(SUBSTITUTE(ADDRESS(1,MATCH("おやつ",'数出表_Excel（アレルギー入力）'!$3:$3,0)),1,""),"$","")</f>
        <v>AL</v>
      </c>
      <c r="Q5" s="114" t="s">
        <v>37</v>
      </c>
      <c r="R5" s="254"/>
      <c r="S5" s="254"/>
      <c r="T5" s="254"/>
      <c r="U5" s="254"/>
      <c r="V5" s="98" t="str">
        <f ca="1">SUBSTITUTE(SUBSTITUTE(ADDRESS(1,MATCH("おやつ",'数出表_Excel（アレルギー入力）'!$3:$3,0)),1,""),"$","")</f>
        <v>AL</v>
      </c>
      <c r="X5" s="114" t="s">
        <v>37</v>
      </c>
      <c r="Y5" s="254"/>
      <c r="Z5" s="254"/>
      <c r="AA5" s="254"/>
      <c r="AB5" s="254"/>
      <c r="AC5" s="98" t="str">
        <f ca="1">SUBSTITUTE(SUBSTITUTE(ADDRESS(1,MATCH("おやつ",'数出表_Excel（アレルギー入力）'!$3:$3,0)),1,""),"$","")</f>
        <v>AL</v>
      </c>
      <c r="AF5" s="114" t="s">
        <v>37</v>
      </c>
      <c r="AG5" s="254"/>
      <c r="AH5" s="254"/>
      <c r="AI5" s="254"/>
      <c r="AJ5" s="254"/>
      <c r="AK5" s="98" t="str">
        <f ca="1">SUBSTITUTE(SUBSTITUTE(ADDRESS(1,MATCH("おやつ",'数出表_Excel（アレルギー入力）'!$3:$3,0)),1,""),"$","")</f>
        <v>AL</v>
      </c>
      <c r="AM5" s="114" t="s">
        <v>37</v>
      </c>
      <c r="AN5" s="254"/>
      <c r="AO5" s="254"/>
      <c r="AP5" s="254"/>
      <c r="AQ5" s="254"/>
      <c r="AR5" s="98" t="str">
        <f ca="1">SUBSTITUTE(SUBSTITUTE(ADDRESS(1,MATCH("おやつ",'数出表_Excel（アレルギー入力）'!$3:$3,0)),1,""),"$","")</f>
        <v>AL</v>
      </c>
      <c r="AU5" s="114" t="s">
        <v>37</v>
      </c>
      <c r="AV5" s="254"/>
      <c r="AW5" s="254"/>
      <c r="AX5" s="254"/>
      <c r="AY5" s="254"/>
      <c r="AZ5" s="98" t="str">
        <f ca="1">SUBSTITUTE(SUBSTITUTE(ADDRESS(1,MATCH("おやつ",'数出表_Excel（アレルギー入力）'!$3:$3,0)),1,""),"$","")</f>
        <v>AL</v>
      </c>
      <c r="BB5" s="114" t="s">
        <v>37</v>
      </c>
      <c r="BC5" s="254"/>
      <c r="BD5" s="254"/>
      <c r="BE5" s="254"/>
      <c r="BF5" s="254"/>
      <c r="BG5" s="98" t="str">
        <f ca="1">SUBSTITUTE(SUBSTITUTE(ADDRESS(1,MATCH("おやつ",'数出表_Excel（アレルギー入力）'!$3:$3,0)),1,""),"$","")</f>
        <v>AL</v>
      </c>
      <c r="BJ5" s="114" t="s">
        <v>37</v>
      </c>
      <c r="BK5" s="254"/>
      <c r="BL5" s="254"/>
      <c r="BM5" s="254"/>
      <c r="BN5" s="254"/>
      <c r="BO5" s="98" t="str">
        <f ca="1">SUBSTITUTE(SUBSTITUTE(ADDRESS(1,MATCH("おやつ",'数出表_Excel（アレルギー入力）'!$3:$3,0)),1,""),"$","")</f>
        <v>AL</v>
      </c>
      <c r="BQ5" s="114" t="s">
        <v>37</v>
      </c>
      <c r="BR5" s="254"/>
      <c r="BS5" s="254"/>
      <c r="BT5" s="254"/>
      <c r="BU5" s="254"/>
      <c r="BV5" s="98" t="str">
        <f ca="1">SUBSTITUTE(SUBSTITUTE(ADDRESS(1,MATCH("おやつ",'数出表_Excel（アレルギー入力）'!$3:$3,0)),1,""),"$","")</f>
        <v>AL</v>
      </c>
      <c r="BY5" s="114" t="s">
        <v>37</v>
      </c>
      <c r="BZ5" s="254"/>
      <c r="CA5" s="254"/>
      <c r="CB5" s="254"/>
      <c r="CC5" s="254"/>
      <c r="CD5" s="98" t="str">
        <f ca="1">SUBSTITUTE(SUBSTITUTE(ADDRESS(1,MATCH("おやつ",'数出表_Excel（アレルギー入力）'!$3:$3,0)),1,""),"$","")</f>
        <v>AL</v>
      </c>
      <c r="CF5" s="114" t="s">
        <v>37</v>
      </c>
      <c r="CG5" s="254"/>
      <c r="CH5" s="254"/>
      <c r="CI5" s="254"/>
      <c r="CJ5" s="254"/>
      <c r="CK5" s="98" t="str">
        <f ca="1">SUBSTITUTE(SUBSTITUTE(ADDRESS(1,MATCH("おやつ",'数出表_Excel（アレルギー入力）'!$3:$3,0)),1,""),"$","")</f>
        <v>AL</v>
      </c>
      <c r="CN5" s="114" t="s">
        <v>37</v>
      </c>
      <c r="CO5" s="254"/>
      <c r="CP5" s="254"/>
      <c r="CQ5" s="254"/>
      <c r="CR5" s="254"/>
      <c r="CS5" s="98" t="str">
        <f ca="1">SUBSTITUTE(SUBSTITUTE(ADDRESS(1,MATCH("おやつ",'数出表_Excel（アレルギー入力）'!$3:$3,0)),1,""),"$","")</f>
        <v>AL</v>
      </c>
      <c r="CU5" s="114" t="s">
        <v>37</v>
      </c>
      <c r="CV5" s="254"/>
      <c r="CW5" s="254"/>
      <c r="CX5" s="254"/>
      <c r="CY5" s="254"/>
      <c r="CZ5" s="98" t="str">
        <f ca="1">SUBSTITUTE(SUBSTITUTE(ADDRESS(1,MATCH("おやつ",'数出表_Excel（アレルギー入力）'!$3:$3,0)),1,""),"$","")</f>
        <v>AL</v>
      </c>
      <c r="DC5" s="114" t="s">
        <v>37</v>
      </c>
      <c r="DD5" s="254"/>
      <c r="DE5" s="254"/>
      <c r="DF5" s="254"/>
      <c r="DG5" s="254"/>
      <c r="DH5" s="98" t="str">
        <f ca="1">SUBSTITUTE(SUBSTITUTE(ADDRESS(1,MATCH("おやつ",'数出表_Excel（アレルギー入力）'!$3:$3,0)),1,""),"$","")</f>
        <v>AL</v>
      </c>
      <c r="DJ5" s="114" t="s">
        <v>37</v>
      </c>
      <c r="DK5" s="254"/>
      <c r="DL5" s="254"/>
      <c r="DM5" s="254"/>
      <c r="DN5" s="254"/>
      <c r="DO5" s="98" t="str">
        <f ca="1">SUBSTITUTE(SUBSTITUTE(ADDRESS(1,MATCH("おやつ",'数出表_Excel（アレルギー入力）'!$3:$3,0)),1,""),"$","")</f>
        <v>AL</v>
      </c>
      <c r="DR5" s="114" t="s">
        <v>37</v>
      </c>
      <c r="DS5" s="254"/>
      <c r="DT5" s="254"/>
      <c r="DU5" s="254"/>
      <c r="DV5" s="254"/>
      <c r="DW5" s="98" t="str">
        <f ca="1">SUBSTITUTE(SUBSTITUTE(ADDRESS(1,MATCH("おやつ",'数出表_Excel（アレルギー入力）'!$3:$3,0)),1,""),"$","")</f>
        <v>AL</v>
      </c>
      <c r="DY5" s="114" t="s">
        <v>37</v>
      </c>
      <c r="DZ5" s="254"/>
      <c r="EA5" s="254"/>
      <c r="EB5" s="254"/>
      <c r="EC5" s="254"/>
      <c r="ED5" s="98" t="str">
        <f ca="1">SUBSTITUTE(SUBSTITUTE(ADDRESS(1,MATCH("おやつ",'数出表_Excel（アレルギー入力）'!$3:$3,0)),1,""),"$","")</f>
        <v>AL</v>
      </c>
      <c r="EG5" s="114" t="s">
        <v>37</v>
      </c>
      <c r="EH5" s="254"/>
      <c r="EI5" s="254"/>
      <c r="EJ5" s="254"/>
      <c r="EK5" s="254"/>
      <c r="EL5" s="98" t="str">
        <f ca="1">SUBSTITUTE(SUBSTITUTE(ADDRESS(1,MATCH("おやつ",'数出表_Excel（アレルギー入力）'!$3:$3,0)),1,""),"$","")</f>
        <v>AL</v>
      </c>
      <c r="EN5" s="114" t="s">
        <v>37</v>
      </c>
      <c r="EO5" s="254"/>
      <c r="EP5" s="254"/>
      <c r="EQ5" s="254"/>
      <c r="ER5" s="254"/>
      <c r="ES5" s="98" t="str">
        <f ca="1">SUBSTITUTE(SUBSTITUTE(ADDRESS(1,MATCH("おやつ",'数出表_Excel（アレルギー入力）'!$3:$3,0)),1,""),"$","")</f>
        <v>AL</v>
      </c>
      <c r="ET5" s="106"/>
      <c r="EU5" s="78">
        <v>42</v>
      </c>
      <c r="EV5" s="78" t="str">
        <f t="array" aca="1" ref="EV5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LEN(SUBSTITUTE(_xlfn.FORMULATEXT(EV$4),"=","")))+$EU5)</f>
        <v/>
      </c>
      <c r="EW5" s="78" t="str">
        <f t="array" aca="1" ref="EW5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LEN(SUBSTITUTE(_xlfn.FORMULATEXT(EW$4),"=","")))+$EU5)</f>
        <v/>
      </c>
      <c r="EX5" s="78" t="str">
        <f t="array" aca="1" ref="EX5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LEN(SUBSTITUTE(_xlfn.FORMULATEXT(EX$4),"=","")))+$EU5)</f>
        <v/>
      </c>
      <c r="EY5" s="78" t="str">
        <f t="array" aca="1" ref="EY5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LEN(SUBSTITUTE(_xlfn.FORMULATEXT(EY$4),"=","")))+$EU5)</f>
        <v/>
      </c>
      <c r="EZ5" s="78" t="str">
        <f t="array" aca="1" ref="EZ5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LEN(SUBSTITUTE(_xlfn.FORMULATEXT(EZ$4),"=","")))+$EU5)</f>
        <v/>
      </c>
      <c r="FA5" s="78" t="str">
        <f t="array" aca="1" ref="FA5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LEN(SUBSTITUTE(_xlfn.FORMULATEXT(FA$4),"=","")))+$EU5)</f>
        <v/>
      </c>
      <c r="FB5" s="78" t="str">
        <f t="array" aca="1" ref="FB5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LEN(SUBSTITUTE(_xlfn.FORMULATEXT(FB$4),"=","")))+$EU5)</f>
        <v/>
      </c>
      <c r="FC5" s="78" t="str">
        <f t="array" aca="1" ref="FC5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LEN(SUBSTITUTE(_xlfn.FORMULATEXT(FC$4),"=","")))+$EU5)</f>
        <v/>
      </c>
      <c r="FD5" s="78" t="str">
        <f t="array" aca="1" ref="FD5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LEN(SUBSTITUTE(_xlfn.FORMULATEXT(FD$4),"=","")))+$EU5)</f>
        <v/>
      </c>
      <c r="FE5" s="78" t="str">
        <f t="array" aca="1" ref="FE5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LEN(SUBSTITUTE(_xlfn.FORMULATEXT(FE$4),"=","")))+$EU5)</f>
        <v/>
      </c>
      <c r="FF5" s="78" t="str">
        <f t="array" aca="1" ref="FF5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LEN(SUBSTITUTE(_xlfn.FORMULATEXT(FF$4),"=","")))+$EU5)</f>
        <v/>
      </c>
      <c r="FG5" s="78">
        <f t="shared" ca="1" si="2"/>
        <v>0</v>
      </c>
      <c r="FH5" s="78" t="b">
        <f t="array" aca="1" ref="FH5" ca="1">SUMPRODUCT((LEN(EV5:FF5)&gt;0)*1)&gt;0</f>
        <v>0</v>
      </c>
      <c r="FI5" s="78">
        <f t="array" aca="1" ref="FI5" ca="1">IFERROR(SMALL(IF(FG$1:FG$228&lt;&gt;0,FG$1:FG$228),ROW(A5)),"")</f>
        <v>225</v>
      </c>
      <c r="FJ5" s="78" t="str">
        <f t="array" aca="1" ref="FJ5" ca="1">IF($FI5&lt;&gt;"",
INDIRECT(""&amp;IF(COLUMN(EV7)&lt;=26,CHAR(COLUMN(EV7)+64),CHAR(INT((COLUMN(EV7)-1)/26)+64)&amp;CHAR(MOD(COLUMN(EV7)-1,26)+65))&amp;$FI5&amp;""),"")</f>
        <v>社食</v>
      </c>
      <c r="FK5" s="78" t="str">
        <f t="array" aca="1" ref="FK5" ca="1">IF($FI5&lt;&gt;"",
INDIRECT(""&amp;IF(COLUMN(EW7)&lt;=26,CHAR(COLUMN(EW7)+64),CHAR(INT((COLUMN(EW7)-1)/26)+64)&amp;CHAR(MOD(COLUMN(EW7)-1,26)+65))&amp;$FI5&amp;""),"")</f>
        <v/>
      </c>
      <c r="FL5" s="78" t="str">
        <f t="array" aca="1" ref="FL5" ca="1">IF($FI5&lt;&gt;"",
INDIRECT(""&amp;IF(COLUMN(EX7)&lt;=26,CHAR(COLUMN(EX7)+64),CHAR(INT((COLUMN(EX7)-1)/26)+64)&amp;CHAR(MOD(COLUMN(EX7)-1,26)+65))&amp;$FI5&amp;""),"")</f>
        <v/>
      </c>
      <c r="FM5" s="78" t="str">
        <f t="array" aca="1" ref="FM5" ca="1">IF($FI5&lt;&gt;"",
IF(FL5="",
IF(INDIRECT("EY"&amp;$FI5&amp;"")&lt;&gt;"",
INDIRECT("EY"&amp;$FI5&amp;"")&amp;"箱"
&amp;INDIRECT("EZ"&amp;$FI5&amp;""),""),""),"")</f>
        <v/>
      </c>
      <c r="FN5" s="78" t="e">
        <f t="array" aca="1" ref="FN5" ca="1">IF($FI5&lt;&gt;"",
INDIRECT(""&amp;IF(COLUMN(FA7)&lt;=26,CHAR(COLUMN(FA7)+64),CHAR(INT((COLUMN(FA7)-1)/26)+64)&amp;CHAR(MOD(COLUMN(FA7)-1,26)+65))&amp;$FI5&amp;""),"")</f>
        <v>#N/A</v>
      </c>
      <c r="FO5" s="78" t="str">
        <f t="array" aca="1" ref="FO5" ca="1">IF($FI5&lt;&gt;"",
INDIRECT(""&amp;IF(COLUMN(FB7)&lt;=26,CHAR(COLUMN(FB7)+64),CHAR(INT((COLUMN(FB7)-1)/26)+64)&amp;CHAR(MOD(COLUMN(FB7)-1,26)+65))&amp;$FI5&amp;""),"")</f>
        <v/>
      </c>
      <c r="FP5" s="78" t="e">
        <f t="array" aca="1" ref="FP5" ca="1">IF($FI5&lt;&gt;"",
INDIRECT(""&amp;IF(COLUMN(FC7)&lt;=26,CHAR(COLUMN(FC7)+64),CHAR(INT((COLUMN(FC7)-1)/26)+64)&amp;CHAR(MOD(COLUMN(FC7)-1,26)+65))&amp;$FI5&amp;""),"")</f>
        <v>#N/A</v>
      </c>
      <c r="FQ5" s="78">
        <f t="array" aca="1" ref="FQ5" ca="1">IF($FI5&lt;&gt;"",
INDIRECT(""&amp;IF(COLUMN(FD7)&lt;=26,CHAR(COLUMN(FD7)+64),CHAR(INT((COLUMN(FD7)-1)/26)+64)&amp;CHAR(MOD(COLUMN(FD7)-1,26)+65))&amp;$FI5&amp;""),"")</f>
        <v>0</v>
      </c>
      <c r="FR5" s="78" t="str">
        <f t="array" aca="1" ref="FR5" ca="1">IF($FI5&lt;&gt;"",
INDIRECT(""&amp;IF(COLUMN(FE7)&lt;=26,CHAR(COLUMN(FE7)+64),CHAR(INT((COLUMN(FE7)-1)/26)+64)&amp;CHAR(MOD(COLUMN(FE7)-1,26)+65))&amp;$FI5&amp;""),"")</f>
        <v/>
      </c>
      <c r="FS5" s="78">
        <f t="array" aca="1" ref="FS5" ca="1">IF($FI5&lt;&gt;"",
INDIRECT(""&amp;IF(COLUMN(FF7)&lt;=26,CHAR(COLUMN(FF7)+64),CHAR(INT((COLUMN(FF7)-1)/26)+64)&amp;CHAR(MOD(COLUMN(FF7)-1,26)+65))&amp;$FI5&amp;""),"")</f>
        <v>0</v>
      </c>
    </row>
    <row r="6" spans="1:175" s="78" customFormat="1" ht="22.2" customHeight="1" x14ac:dyDescent="0.55000000000000004">
      <c r="A6" s="76"/>
      <c r="B6" s="89" t="str">
        <f ca="1">IF(C2&lt;&gt;"",
"パン箱","")</f>
        <v/>
      </c>
      <c r="C6" s="90" t="str">
        <f ca="1">IF(C2&lt;&gt;"",
IF(OR(COUNTIF('盛付札（関数）'!C2,"*キャラ*"),COUNTIF('盛付札（関数）'!C2,"*赤*")),24,
VLOOKUP('盛付札（関数）'!C2,商品マスタ一覧!$D:$I,6,FALSE)),"")</f>
        <v/>
      </c>
      <c r="D6" s="89" t="str">
        <f ca="1">IF(C2&lt;&gt;"",
" 端数","")</f>
        <v/>
      </c>
      <c r="E6" s="90"/>
      <c r="F6" s="89" t="str">
        <f ca="1">IF(C2&lt;&gt;"",
"アレルギー","")</f>
        <v/>
      </c>
      <c r="G6" s="97"/>
      <c r="H6" s="76"/>
      <c r="I6" s="89" t="str">
        <f ca="1">IF(J2&lt;&gt;"",
"パン箱","")</f>
        <v/>
      </c>
      <c r="J6" s="90" t="str">
        <f ca="1">IF(J2&lt;&gt;"",
IF(OR(COUNTIF('盛付札（関数）'!J2,"*キャラ*"),COUNTIF('盛付札（関数）'!J2,"*赤*")),24,
VLOOKUP('盛付札（関数）'!J2,商品マスタ一覧!$D:$I,6,FALSE)),"")</f>
        <v/>
      </c>
      <c r="K6" s="89" t="str">
        <f ca="1">IF(J2&lt;&gt;"",
" 端数","")</f>
        <v/>
      </c>
      <c r="L6" s="90"/>
      <c r="M6" s="89" t="str">
        <f ca="1">IF(J2&lt;&gt;"",
"アレルギー","")</f>
        <v/>
      </c>
      <c r="N6" s="93"/>
      <c r="O6" s="76"/>
      <c r="P6" s="76"/>
      <c r="Q6" s="89" t="str">
        <f ca="1">IF(R2&lt;&gt;"",
"パン箱","")</f>
        <v/>
      </c>
      <c r="R6" s="90" t="str">
        <f ca="1">IF(R2&lt;&gt;"",
IF(OR(COUNTIF('盛付札（関数）'!R2,"*キャラ*"),COUNTIF('盛付札（関数）'!R2,"*赤*")),24,
VLOOKUP('盛付札（関数）'!R2,商品マスタ一覧!$D:$I,6,FALSE)),"")</f>
        <v/>
      </c>
      <c r="S6" s="89" t="str">
        <f ca="1">IF(R2&lt;&gt;"",
" 端数","")</f>
        <v/>
      </c>
      <c r="T6" s="90"/>
      <c r="U6" s="89" t="str">
        <f ca="1">IF(R2&lt;&gt;"",
"アレルギー","")</f>
        <v/>
      </c>
      <c r="V6" s="97"/>
      <c r="W6" s="76"/>
      <c r="X6" s="89" t="str">
        <f ca="1">IF(Y2&lt;&gt;"",
"パン箱","")</f>
        <v/>
      </c>
      <c r="Y6" s="90" t="str">
        <f ca="1">IF(Y2&lt;&gt;"",
IF(OR(COUNTIF('盛付札（関数）'!Y2,"*キャラ*"),COUNTIF('盛付札（関数）'!Y2,"*赤*")),24,
VLOOKUP('盛付札（関数）'!Y2,商品マスタ一覧!$D:$I,6,FALSE)),"")</f>
        <v/>
      </c>
      <c r="Z6" s="89" t="str">
        <f ca="1">IF(Y2&lt;&gt;"",
" 端数","")</f>
        <v/>
      </c>
      <c r="AA6" s="90"/>
      <c r="AB6" s="89" t="str">
        <f ca="1">IF(Y2&lt;&gt;"",
"アレルギー","")</f>
        <v/>
      </c>
      <c r="AC6" s="93"/>
      <c r="AD6" s="76"/>
      <c r="AE6" s="76"/>
      <c r="AF6" s="89" t="str">
        <f ca="1">IF(AG2&lt;&gt;"",
"パン箱","")</f>
        <v/>
      </c>
      <c r="AG6" s="90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89" t="str">
        <f ca="1">IF(AG2&lt;&gt;"",
" 端数","")</f>
        <v/>
      </c>
      <c r="AI6" s="90"/>
      <c r="AJ6" s="89" t="str">
        <f ca="1">IF(AG2&lt;&gt;"",
"アレルギー","")</f>
        <v/>
      </c>
      <c r="AK6" s="97"/>
      <c r="AL6" s="76"/>
      <c r="AM6" s="89" t="str">
        <f ca="1">IF(AN2&lt;&gt;"",
"パン箱","")</f>
        <v/>
      </c>
      <c r="AN6" s="90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89" t="str">
        <f ca="1">IF(AN2&lt;&gt;"",
" 端数","")</f>
        <v/>
      </c>
      <c r="AP6" s="90"/>
      <c r="AQ6" s="89" t="str">
        <f ca="1">IF(AN2&lt;&gt;"",
"アレルギー","")</f>
        <v/>
      </c>
      <c r="AR6" s="93"/>
      <c r="AS6" s="76"/>
      <c r="AT6" s="76"/>
      <c r="AU6" s="89" t="str">
        <f ca="1">IF(AV2&lt;&gt;"",
"パン箱","")</f>
        <v/>
      </c>
      <c r="AV6" s="90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89" t="str">
        <f ca="1">IF(AV2&lt;&gt;"",
" 端数","")</f>
        <v/>
      </c>
      <c r="AX6" s="90"/>
      <c r="AY6" s="89" t="str">
        <f ca="1">IF(AV2&lt;&gt;"",
"アレルギー","")</f>
        <v/>
      </c>
      <c r="AZ6" s="97"/>
      <c r="BA6" s="76"/>
      <c r="BB6" s="89" t="str">
        <f ca="1">IF(BC2&lt;&gt;"",
"パン箱","")</f>
        <v/>
      </c>
      <c r="BC6" s="90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89" t="str">
        <f ca="1">IF(BC2&lt;&gt;"",
" 端数","")</f>
        <v/>
      </c>
      <c r="BE6" s="90"/>
      <c r="BF6" s="89" t="str">
        <f ca="1">IF(BC2&lt;&gt;"",
"アレルギー","")</f>
        <v/>
      </c>
      <c r="BG6" s="93"/>
      <c r="BH6" s="76"/>
      <c r="BI6" s="76"/>
      <c r="BJ6" s="89" t="str">
        <f ca="1">IF(BK2&lt;&gt;"",
"パン箱","")</f>
        <v/>
      </c>
      <c r="BK6" s="90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89" t="str">
        <f ca="1">IF(BK2&lt;&gt;"",
" 端数","")</f>
        <v/>
      </c>
      <c r="BM6" s="90"/>
      <c r="BN6" s="89" t="str">
        <f ca="1">IF(BK2&lt;&gt;"",
"アレルギー","")</f>
        <v/>
      </c>
      <c r="BO6" s="97"/>
      <c r="BP6" s="76"/>
      <c r="BQ6" s="89" t="str">
        <f ca="1">IF(BR2&lt;&gt;"",
"パン箱","")</f>
        <v/>
      </c>
      <c r="BR6" s="90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89" t="str">
        <f ca="1">IF(BR2&lt;&gt;"",
" 端数","")</f>
        <v/>
      </c>
      <c r="BT6" s="90"/>
      <c r="BU6" s="89" t="str">
        <f ca="1">IF(BR2&lt;&gt;"",
"アレルギー","")</f>
        <v/>
      </c>
      <c r="BV6" s="93"/>
      <c r="BW6" s="76"/>
      <c r="BX6" s="76"/>
      <c r="BY6" s="89" t="str">
        <f ca="1">IF(BZ2&lt;&gt;"",
"パン箱","")</f>
        <v/>
      </c>
      <c r="BZ6" s="90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89" t="str">
        <f ca="1">IF(BZ2&lt;&gt;"",
" 端数","")</f>
        <v/>
      </c>
      <c r="CB6" s="90"/>
      <c r="CC6" s="89" t="str">
        <f ca="1">IF(BZ2&lt;&gt;"",
"アレルギー","")</f>
        <v/>
      </c>
      <c r="CD6" s="97"/>
      <c r="CE6" s="76"/>
      <c r="CF6" s="89" t="str">
        <f ca="1">IF(CG2&lt;&gt;"",
"パン箱","")</f>
        <v/>
      </c>
      <c r="CG6" s="90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89" t="str">
        <f ca="1">IF(CG2&lt;&gt;"",
" 端数","")</f>
        <v/>
      </c>
      <c r="CI6" s="90"/>
      <c r="CJ6" s="89" t="str">
        <f ca="1">IF(CG2&lt;&gt;"",
"アレルギー","")</f>
        <v/>
      </c>
      <c r="CK6" s="93"/>
      <c r="CL6" s="76"/>
      <c r="CM6" s="76"/>
      <c r="CN6" s="89" t="str">
        <f ca="1">IF(CO2&lt;&gt;"",
"パン箱","")</f>
        <v/>
      </c>
      <c r="CO6" s="90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89" t="str">
        <f ca="1">IF(CO2&lt;&gt;"",
" 端数","")</f>
        <v/>
      </c>
      <c r="CQ6" s="90"/>
      <c r="CR6" s="89" t="str">
        <f ca="1">IF(CO2&lt;&gt;"",
"アレルギー","")</f>
        <v/>
      </c>
      <c r="CS6" s="97"/>
      <c r="CT6" s="76"/>
      <c r="CU6" s="89" t="str">
        <f ca="1">IF(CV2&lt;&gt;"",
"パン箱","")</f>
        <v/>
      </c>
      <c r="CV6" s="90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89" t="str">
        <f ca="1">IF(CV2&lt;&gt;"",
" 端数","")</f>
        <v/>
      </c>
      <c r="CX6" s="90"/>
      <c r="CY6" s="89" t="str">
        <f ca="1">IF(CV2&lt;&gt;"",
"アレルギー","")</f>
        <v/>
      </c>
      <c r="CZ6" s="93"/>
      <c r="DA6" s="76"/>
      <c r="DB6" s="76"/>
      <c r="DC6" s="89" t="str">
        <f ca="1">IF(DD2&lt;&gt;"",
"パン箱","")</f>
        <v/>
      </c>
      <c r="DD6" s="90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89" t="str">
        <f ca="1">IF(DD2&lt;&gt;"",
" 端数","")</f>
        <v/>
      </c>
      <c r="DF6" s="90"/>
      <c r="DG6" s="89" t="str">
        <f ca="1">IF(DD2&lt;&gt;"",
"アレルギー","")</f>
        <v/>
      </c>
      <c r="DH6" s="97"/>
      <c r="DI6" s="76"/>
      <c r="DJ6" s="89" t="str">
        <f ca="1">IF(DK2&lt;&gt;"",
"パン箱","")</f>
        <v/>
      </c>
      <c r="DK6" s="90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89" t="str">
        <f ca="1">IF(DK2&lt;&gt;"",
" 端数","")</f>
        <v/>
      </c>
      <c r="DM6" s="90"/>
      <c r="DN6" s="89" t="str">
        <f ca="1">IF(DK2&lt;&gt;"",
"アレルギー","")</f>
        <v/>
      </c>
      <c r="DO6" s="93"/>
      <c r="DP6" s="76"/>
      <c r="DQ6" s="76"/>
      <c r="DR6" s="89" t="str">
        <f ca="1">IF(DS2&lt;&gt;"",
"パン箱","")</f>
        <v/>
      </c>
      <c r="DS6" s="90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89" t="str">
        <f ca="1">IF(DS2&lt;&gt;"",
" 端数","")</f>
        <v/>
      </c>
      <c r="DU6" s="90"/>
      <c r="DV6" s="89" t="str">
        <f ca="1">IF(DS2&lt;&gt;"",
"アレルギー","")</f>
        <v/>
      </c>
      <c r="DW6" s="97"/>
      <c r="DX6" s="76"/>
      <c r="DY6" s="89" t="str">
        <f ca="1">IF(DZ2&lt;&gt;"",
"パン箱","")</f>
        <v/>
      </c>
      <c r="DZ6" s="90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89" t="str">
        <f ca="1">IF(DZ2&lt;&gt;"",
" 端数","")</f>
        <v/>
      </c>
      <c r="EB6" s="90"/>
      <c r="EC6" s="89" t="str">
        <f ca="1">IF(DZ2&lt;&gt;"",
"アレルギー","")</f>
        <v/>
      </c>
      <c r="ED6" s="93"/>
      <c r="EE6" s="76"/>
      <c r="EF6" s="76"/>
      <c r="EG6" s="89" t="str">
        <f ca="1">IF(EH2&lt;&gt;"",
"パン箱","")</f>
        <v/>
      </c>
      <c r="EH6" s="90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89" t="str">
        <f ca="1">IF(EH2&lt;&gt;"",
" 端数","")</f>
        <v/>
      </c>
      <c r="EJ6" s="90"/>
      <c r="EK6" s="89" t="str">
        <f ca="1">IF(EH2&lt;&gt;"",
"アレルギー","")</f>
        <v/>
      </c>
      <c r="EL6" s="97"/>
      <c r="EM6" s="76"/>
      <c r="EN6" s="89" t="str">
        <f ca="1">IF(EO2&lt;&gt;"",
"パン箱","")</f>
        <v/>
      </c>
      <c r="EO6" s="90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89" t="str">
        <f ca="1">IF(EO2&lt;&gt;"",
" 端数","")</f>
        <v/>
      </c>
      <c r="EQ6" s="90"/>
      <c r="ER6" s="89" t="str">
        <f ca="1">IF(EO2&lt;&gt;"",
"アレルギー","")</f>
        <v/>
      </c>
      <c r="ES6" s="93"/>
      <c r="ET6" s="106"/>
      <c r="EU6" s="78">
        <v>84</v>
      </c>
      <c r="EV6" s="78" t="str">
        <f t="array" aca="1" ref="EV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LEN(SUBSTITUTE(_xlfn.FORMULATEXT(EV$4),"=","")))+$EU6)</f>
        <v/>
      </c>
      <c r="EW6" s="78" t="str">
        <f t="array" aca="1" ref="EW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LEN(SUBSTITUTE(_xlfn.FORMULATEXT(EW$4),"=","")))+$EU6)</f>
        <v/>
      </c>
      <c r="EX6" s="78" t="str">
        <f t="array" aca="1" ref="EX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LEN(SUBSTITUTE(_xlfn.FORMULATEXT(EX$4),"=","")))+$EU6)</f>
        <v/>
      </c>
      <c r="EY6" s="78" t="str">
        <f t="array" aca="1" ref="EY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LEN(SUBSTITUTE(_xlfn.FORMULATEXT(EY$4),"=","")))+$EU6)</f>
        <v/>
      </c>
      <c r="EZ6" s="78" t="str">
        <f t="array" aca="1" ref="EZ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LEN(SUBSTITUTE(_xlfn.FORMULATEXT(EZ$4),"=","")))+$EU6)</f>
        <v/>
      </c>
      <c r="FA6" s="78" t="str">
        <f t="array" aca="1" ref="FA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LEN(SUBSTITUTE(_xlfn.FORMULATEXT(FA$4),"=","")))+$EU6)</f>
        <v/>
      </c>
      <c r="FB6" s="78" t="str">
        <f t="array" aca="1" ref="FB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LEN(SUBSTITUTE(_xlfn.FORMULATEXT(FB$4),"=","")))+$EU6)</f>
        <v/>
      </c>
      <c r="FC6" s="78" t="str">
        <f t="array" aca="1" ref="FC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LEN(SUBSTITUTE(_xlfn.FORMULATEXT(FC$4),"=","")))+$EU6)</f>
        <v/>
      </c>
      <c r="FD6" s="78" t="str">
        <f t="array" aca="1" ref="FD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LEN(SUBSTITUTE(_xlfn.FORMULATEXT(FD$4),"=","")))+$EU6)</f>
        <v/>
      </c>
      <c r="FE6" s="78" t="str">
        <f t="array" aca="1" ref="FE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LEN(SUBSTITUTE(_xlfn.FORMULATEXT(FE$4),"=","")))+$EU6)</f>
        <v/>
      </c>
      <c r="FF6" s="78" t="str">
        <f t="array" aca="1" ref="FF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LEN(SUBSTITUTE(_xlfn.FORMULATEXT(FF$4),"=","")))+$EU6)</f>
        <v/>
      </c>
      <c r="FG6" s="78">
        <f t="shared" ca="1" si="2"/>
        <v>0</v>
      </c>
      <c r="FH6" s="78" t="b">
        <f t="array" aca="1" ref="FH6" ca="1">SUMPRODUCT((LEN(EV6:FF6)&gt;0)*1)&gt;0</f>
        <v>0</v>
      </c>
      <c r="FI6" s="78">
        <f t="array" aca="1" ref="FI6" ca="1">IFERROR(SMALL(IF(FG$1:FG$228&lt;&gt;0,FG$1:FG$228),ROW(A6)),"")</f>
        <v>226</v>
      </c>
      <c r="FJ6" s="78" t="str">
        <f t="array" aca="1" ref="FJ6" ca="1">IF($FI6&lt;&gt;"",
INDIRECT(""&amp;IF(COLUMN(EV8)&lt;=26,CHAR(COLUMN(EV8)+64),CHAR(INT((COLUMN(EV8)-1)/26)+64)&amp;CHAR(MOD(COLUMN(EV8)-1,26)+65))&amp;$FI6&amp;""),"")</f>
        <v>社食</v>
      </c>
      <c r="FK6" s="78" t="str">
        <f t="array" aca="1" ref="FK6" ca="1">IF($FI6&lt;&gt;"",
INDIRECT(""&amp;IF(COLUMN(EW8)&lt;=26,CHAR(COLUMN(EW8)+64),CHAR(INT((COLUMN(EW8)-1)/26)+64)&amp;CHAR(MOD(COLUMN(EW8)-1,26)+65))&amp;$FI6&amp;""),"")</f>
        <v/>
      </c>
      <c r="FL6" s="78" t="str">
        <f t="array" aca="1" ref="FL6" ca="1">IF($FI6&lt;&gt;"",
INDIRECT(""&amp;IF(COLUMN(EX8)&lt;=26,CHAR(COLUMN(EX8)+64),CHAR(INT((COLUMN(EX8)-1)/26)+64)&amp;CHAR(MOD(COLUMN(EX8)-1,26)+65))&amp;$FI6&amp;""),"")</f>
        <v/>
      </c>
      <c r="FM6" s="78" t="str">
        <f t="array" aca="1" ref="FM6" ca="1">IF($FI6&lt;&gt;"",
IF(FL6="",
IF(INDIRECT("EY"&amp;$FI6&amp;"")&lt;&gt;"",
INDIRECT("EY"&amp;$FI6&amp;"")&amp;"箱"
&amp;INDIRECT("EZ"&amp;$FI6&amp;""),""),""),"")</f>
        <v/>
      </c>
      <c r="FN6" s="78" t="str">
        <f t="array" aca="1" ref="FN6" ca="1">IF($FI6&lt;&gt;"",
INDIRECT(""&amp;IF(COLUMN(FA8)&lt;=26,CHAR(COLUMN(FA8)+64),CHAR(INT((COLUMN(FA8)-1)/26)+64)&amp;CHAR(MOD(COLUMN(FA8)-1,26)+65))&amp;$FI6&amp;""),"")</f>
        <v/>
      </c>
      <c r="FO6" s="78" t="e">
        <f t="array" aca="1" ref="FO6" ca="1">IF($FI6&lt;&gt;"",
INDIRECT(""&amp;IF(COLUMN(FB8)&lt;=26,CHAR(COLUMN(FB8)+64),CHAR(INT((COLUMN(FB8)-1)/26)+64)&amp;CHAR(MOD(COLUMN(FB8)-1,26)+65))&amp;$FI6&amp;""),"")</f>
        <v>#N/A</v>
      </c>
      <c r="FP6" s="78" t="e">
        <f t="array" aca="1" ref="FP6" ca="1">IF($FI6&lt;&gt;"",
INDIRECT(""&amp;IF(COLUMN(FC8)&lt;=26,CHAR(COLUMN(FC8)+64),CHAR(INT((COLUMN(FC8)-1)/26)+64)&amp;CHAR(MOD(COLUMN(FC8)-1,26)+65))&amp;$FI6&amp;""),"")</f>
        <v>#N/A</v>
      </c>
      <c r="FQ6" s="78">
        <f t="array" aca="1" ref="FQ6" ca="1">IF($FI6&lt;&gt;"",
INDIRECT(""&amp;IF(COLUMN(FD8)&lt;=26,CHAR(COLUMN(FD8)+64),CHAR(INT((COLUMN(FD8)-1)/26)+64)&amp;CHAR(MOD(COLUMN(FD8)-1,26)+65))&amp;$FI6&amp;""),"")</f>
        <v>0</v>
      </c>
      <c r="FR6" s="78" t="str">
        <f t="array" aca="1" ref="FR6" ca="1">IF($FI6&lt;&gt;"",
INDIRECT(""&amp;IF(COLUMN(FE8)&lt;=26,CHAR(COLUMN(FE8)+64),CHAR(INT((COLUMN(FE8)-1)/26)+64)&amp;CHAR(MOD(COLUMN(FE8)-1,26)+65))&amp;$FI6&amp;""),"")</f>
        <v/>
      </c>
      <c r="FS6" s="78">
        <f t="array" aca="1" ref="FS6" ca="1">IF($FI6&lt;&gt;"",
INDIRECT(""&amp;IF(COLUMN(FF8)&lt;=26,CHAR(COLUMN(FF8)+64),CHAR(INT((COLUMN(FF8)-1)/26)+64)&amp;CHAR(MOD(COLUMN(FF8)-1,26)+65))&amp;$FI6&amp;""),"")</f>
        <v>0</v>
      </c>
    </row>
    <row r="7" spans="1:175" ht="21" customHeight="1" x14ac:dyDescent="0.45">
      <c r="B7" s="244" t="e">
        <f ca="1">IF(C4&lt;&gt;"",
IFERROR(INT(C4/C6),""),"")</f>
        <v>#VALUE!</v>
      </c>
      <c r="C7" s="245"/>
      <c r="D7" s="244" t="str">
        <f ca="1">IFERROR(MOD(C4,C6),"")</f>
        <v/>
      </c>
      <c r="E7" s="245"/>
      <c r="F7" s="246" t="e">
        <f ca="1">G3+G4</f>
        <v>#N/A</v>
      </c>
      <c r="G7" s="245"/>
      <c r="I7" s="244" t="e">
        <f ca="1">IF(J4&lt;&gt;"",
IFERROR(INT(J4/J6),""),"")</f>
        <v>#N/A</v>
      </c>
      <c r="J7" s="245"/>
      <c r="K7" s="244" t="str">
        <f ca="1">IFERROR(MOD(J4,J6),"")</f>
        <v/>
      </c>
      <c r="L7" s="245"/>
      <c r="M7" s="246" t="e">
        <f ca="1">N3+N4</f>
        <v>#VALUE!</v>
      </c>
      <c r="N7" s="245"/>
      <c r="Q7" s="244" t="e">
        <f ca="1">IF(R4&lt;&gt;"",
IFERROR(INT(R4/R6),""),"")</f>
        <v>#VALUE!</v>
      </c>
      <c r="R7" s="245"/>
      <c r="S7" s="244" t="str">
        <f ca="1">IFERROR(MOD(R4,R6),"")</f>
        <v/>
      </c>
      <c r="T7" s="245"/>
      <c r="U7" s="246" t="e">
        <f ca="1">V3+V4</f>
        <v>#VALUE!</v>
      </c>
      <c r="V7" s="245"/>
      <c r="X7" s="244" t="e">
        <f ca="1">IF(Y4&lt;&gt;"",
IFERROR(INT(Y4/Y6),""),"")</f>
        <v>#VALUE!</v>
      </c>
      <c r="Y7" s="245"/>
      <c r="Z7" s="244" t="str">
        <f ca="1">IFERROR(MOD(Y4,Y6),"")</f>
        <v/>
      </c>
      <c r="AA7" s="245"/>
      <c r="AB7" s="246" t="e">
        <f ca="1">AC3+AC4</f>
        <v>#VALUE!</v>
      </c>
      <c r="AC7" s="245"/>
      <c r="AF7" s="244" t="e">
        <f ca="1">IF(AG4&lt;&gt;"",
IFERROR(INT(AG4/AG6),""),"")</f>
        <v>#VALUE!</v>
      </c>
      <c r="AG7" s="245"/>
      <c r="AH7" s="244" t="str">
        <f ca="1">IFERROR(MOD(AG4,AG6),"")</f>
        <v/>
      </c>
      <c r="AI7" s="245"/>
      <c r="AJ7" s="246" t="e">
        <f ca="1">AK3+AK4</f>
        <v>#VALUE!</v>
      </c>
      <c r="AK7" s="245"/>
      <c r="AM7" s="244" t="e">
        <f ca="1">IF(AN4&lt;&gt;"",
IFERROR(INT(AN4/AN6),""),"")</f>
        <v>#VALUE!</v>
      </c>
      <c r="AN7" s="245"/>
      <c r="AO7" s="244" t="str">
        <f ca="1">IFERROR(MOD(AN4,AN6),"")</f>
        <v/>
      </c>
      <c r="AP7" s="245"/>
      <c r="AQ7" s="246" t="e">
        <f ca="1">AR3+AR4</f>
        <v>#VALUE!</v>
      </c>
      <c r="AR7" s="245"/>
      <c r="AU7" s="244" t="e">
        <f ca="1">IF(AV4&lt;&gt;"",
IFERROR(INT(AV4/AV6),""),"")</f>
        <v>#VALUE!</v>
      </c>
      <c r="AV7" s="245"/>
      <c r="AW7" s="244" t="str">
        <f ca="1">IFERROR(MOD(AV4,AV6),"")</f>
        <v/>
      </c>
      <c r="AX7" s="245"/>
      <c r="AY7" s="246" t="e">
        <f ca="1">AZ3+AZ4</f>
        <v>#VALUE!</v>
      </c>
      <c r="AZ7" s="245"/>
      <c r="BB7" s="244" t="e">
        <f ca="1">IF(BC4&lt;&gt;"",
IFERROR(INT(BC4/BC6),""),"")</f>
        <v>#VALUE!</v>
      </c>
      <c r="BC7" s="245"/>
      <c r="BD7" s="244" t="str">
        <f ca="1">IFERROR(MOD(BC4,BC6),"")</f>
        <v/>
      </c>
      <c r="BE7" s="245"/>
      <c r="BF7" s="246" t="e">
        <f ca="1">BG3+BG4</f>
        <v>#VALUE!</v>
      </c>
      <c r="BG7" s="245"/>
      <c r="BJ7" s="244" t="e">
        <f ca="1">IF(BK4&lt;&gt;"",
IFERROR(INT(BK4/BK6),""),"")</f>
        <v>#VALUE!</v>
      </c>
      <c r="BK7" s="245"/>
      <c r="BL7" s="244" t="str">
        <f ca="1">IFERROR(MOD(BK4,BK6),"")</f>
        <v/>
      </c>
      <c r="BM7" s="245"/>
      <c r="BN7" s="246" t="e">
        <f ca="1">BO3+BO4</f>
        <v>#VALUE!</v>
      </c>
      <c r="BO7" s="245"/>
      <c r="BQ7" s="244" t="e">
        <f ca="1">IF(BR4&lt;&gt;"",
IFERROR(INT(BR4/BR6),""),"")</f>
        <v>#VALUE!</v>
      </c>
      <c r="BR7" s="245"/>
      <c r="BS7" s="244" t="str">
        <f ca="1">IFERROR(MOD(BR4,BR6),"")</f>
        <v/>
      </c>
      <c r="BT7" s="245"/>
      <c r="BU7" s="246" t="e">
        <f ca="1">BV3+BV4</f>
        <v>#VALUE!</v>
      </c>
      <c r="BV7" s="245"/>
      <c r="BY7" s="244" t="e">
        <f ca="1">IF(BZ4&lt;&gt;"",
IFERROR(INT(BZ4/BZ6),""),"")</f>
        <v>#VALUE!</v>
      </c>
      <c r="BZ7" s="245"/>
      <c r="CA7" s="244" t="str">
        <f ca="1">IFERROR(MOD(BZ4,BZ6),"")</f>
        <v/>
      </c>
      <c r="CB7" s="245"/>
      <c r="CC7" s="246" t="e">
        <f ca="1">CD3+CD4</f>
        <v>#VALUE!</v>
      </c>
      <c r="CD7" s="245"/>
      <c r="CF7" s="244" t="e">
        <f ca="1">IF(CG4&lt;&gt;"",
IFERROR(INT(CG4/CG6),""),"")</f>
        <v>#VALUE!</v>
      </c>
      <c r="CG7" s="245"/>
      <c r="CH7" s="244" t="str">
        <f ca="1">IFERROR(MOD(CG4,CG6),"")</f>
        <v/>
      </c>
      <c r="CI7" s="245"/>
      <c r="CJ7" s="246" t="e">
        <f ca="1">CK3+CK4</f>
        <v>#VALUE!</v>
      </c>
      <c r="CK7" s="245"/>
      <c r="CN7" s="244" t="e">
        <f ca="1">IF(CO4&lt;&gt;"",
IFERROR(INT(CO4/CO6),""),"")</f>
        <v>#VALUE!</v>
      </c>
      <c r="CO7" s="245"/>
      <c r="CP7" s="244" t="str">
        <f ca="1">IFERROR(MOD(CO4,CO6),"")</f>
        <v/>
      </c>
      <c r="CQ7" s="245"/>
      <c r="CR7" s="246" t="e">
        <f ca="1">CS3+CS4</f>
        <v>#VALUE!</v>
      </c>
      <c r="CS7" s="245"/>
      <c r="CU7" s="244" t="e">
        <f ca="1">IF(CV4&lt;&gt;"",
IFERROR(INT(CV4/CV6),""),"")</f>
        <v>#VALUE!</v>
      </c>
      <c r="CV7" s="245"/>
      <c r="CW7" s="244" t="str">
        <f ca="1">IFERROR(MOD(CV4,CV6),"")</f>
        <v/>
      </c>
      <c r="CX7" s="245"/>
      <c r="CY7" s="246" t="e">
        <f ca="1">CZ3+CZ4</f>
        <v>#VALUE!</v>
      </c>
      <c r="CZ7" s="245"/>
      <c r="DC7" s="244" t="e">
        <f ca="1">IF(DD4&lt;&gt;"",
IFERROR(INT(DD4/DD6),""),"")</f>
        <v>#VALUE!</v>
      </c>
      <c r="DD7" s="245"/>
      <c r="DE7" s="244" t="str">
        <f ca="1">IFERROR(MOD(DD4,DD6),"")</f>
        <v/>
      </c>
      <c r="DF7" s="245"/>
      <c r="DG7" s="246" t="e">
        <f ca="1">DH3+DH4</f>
        <v>#VALUE!</v>
      </c>
      <c r="DH7" s="245"/>
      <c r="DJ7" s="244" t="e">
        <f ca="1">IF(DK4&lt;&gt;"",
IFERROR(INT(DK4/DK6),""),"")</f>
        <v>#VALUE!</v>
      </c>
      <c r="DK7" s="245"/>
      <c r="DL7" s="244" t="str">
        <f ca="1">IFERROR(MOD(DK4,DK6),"")</f>
        <v/>
      </c>
      <c r="DM7" s="245"/>
      <c r="DN7" s="246" t="e">
        <f ca="1">DO3+DO4</f>
        <v>#VALUE!</v>
      </c>
      <c r="DO7" s="245"/>
      <c r="DR7" s="244" t="e">
        <f ca="1">IF(DS4&lt;&gt;"",
IFERROR(INT(DS4/DS6),""),"")</f>
        <v>#VALUE!</v>
      </c>
      <c r="DS7" s="245"/>
      <c r="DT7" s="244" t="str">
        <f ca="1">IFERROR(MOD(DS4,DS6),"")</f>
        <v/>
      </c>
      <c r="DU7" s="245"/>
      <c r="DV7" s="246" t="e">
        <f ca="1">DW3+DW4</f>
        <v>#VALUE!</v>
      </c>
      <c r="DW7" s="245"/>
      <c r="DY7" s="244" t="e">
        <f ca="1">IF(DZ4&lt;&gt;"",
IFERROR(INT(DZ4/DZ6),""),"")</f>
        <v>#VALUE!</v>
      </c>
      <c r="DZ7" s="245"/>
      <c r="EA7" s="244" t="str">
        <f ca="1">IFERROR(MOD(DZ4,DZ6),"")</f>
        <v/>
      </c>
      <c r="EB7" s="245"/>
      <c r="EC7" s="246" t="e">
        <f ca="1">ED3+ED4</f>
        <v>#VALUE!</v>
      </c>
      <c r="ED7" s="245"/>
      <c r="EG7" s="244" t="e">
        <f ca="1">IF(EH4&lt;&gt;"",
IFERROR(INT(EH4/EH6),""),"")</f>
        <v>#VALUE!</v>
      </c>
      <c r="EH7" s="245"/>
      <c r="EI7" s="244" t="str">
        <f ca="1">IFERROR(MOD(EH4,EH6),"")</f>
        <v/>
      </c>
      <c r="EJ7" s="245"/>
      <c r="EK7" s="246" t="e">
        <f ca="1">EL3+EL4</f>
        <v>#VALUE!</v>
      </c>
      <c r="EL7" s="245"/>
      <c r="EN7" s="244" t="e">
        <f ca="1">IF(EO4&lt;&gt;"",
IFERROR(INT(EO4/EO6),""),"")</f>
        <v>#VALUE!</v>
      </c>
      <c r="EO7" s="245"/>
      <c r="EP7" s="244" t="str">
        <f ca="1">IFERROR(MOD(EO4,EO6),"")</f>
        <v/>
      </c>
      <c r="EQ7" s="245"/>
      <c r="ER7" s="246" t="e">
        <f ca="1">ES3+ES4</f>
        <v>#VALUE!</v>
      </c>
      <c r="ES7" s="245"/>
      <c r="ET7" s="71"/>
      <c r="EU7" s="87">
        <v>7</v>
      </c>
      <c r="EV7" s="78" t="str">
        <f t="array" aca="1" ref="EV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LEN(SUBSTITUTE(_xlfn.FORMULATEXT(EV$1),"=","")))+$EU7)</f>
        <v/>
      </c>
      <c r="EW7" s="78" t="str">
        <f t="array" aca="1" ref="EW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LEN(SUBSTITUTE(_xlfn.FORMULATEXT(EW$1),"=","")))+$EU7)</f>
        <v/>
      </c>
      <c r="EX7" s="78" t="str">
        <f t="array" aca="1" ref="EX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LEN(SUBSTITUTE(_xlfn.FORMULATEXT(EX$1),"=","")))+$EU7)</f>
        <v/>
      </c>
      <c r="EY7" s="78" t="str">
        <f t="array" aca="1" ref="EY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LEN(SUBSTITUTE(_xlfn.FORMULATEXT(EY$1),"=","")))+$EU7)</f>
        <v/>
      </c>
      <c r="EZ7" s="78" t="str">
        <f t="array" aca="1" ref="EZ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LEN(SUBSTITUTE(_xlfn.FORMULATEXT(EZ$1),"=","")))+$EU7)</f>
        <v/>
      </c>
      <c r="FA7" s="78" t="e">
        <f t="array" aca="1" ref="FA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LEN(SUBSTITUTE(_xlfn.FORMULATEXT(FA$1),"=","")))+$EU7)</f>
        <v>#VALUE!</v>
      </c>
      <c r="FB7" s="78" t="e">
        <f t="array" aca="1" ref="FB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LEN(SUBSTITUTE(_xlfn.FORMULATEXT(FB$1),"=","")))+$EU7)</f>
        <v>#VALUE!</v>
      </c>
      <c r="FC7" s="78" t="str">
        <f t="array" aca="1" ref="FC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LEN(SUBSTITUTE(_xlfn.FORMULATEXT(FC$1),"=","")))+$EU7)</f>
        <v/>
      </c>
      <c r="FD7" s="78" t="e">
        <f t="array" aca="1" ref="FD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LEN(SUBSTITUTE(_xlfn.FORMULATEXT(FD$1),"=","")))+$EU7)</f>
        <v>#VALUE!</v>
      </c>
      <c r="FE7" s="78" t="str">
        <f t="array" aca="1" ref="FE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LEN(SUBSTITUTE(_xlfn.FORMULATEXT(FE$1),"=","")))+$EU7)</f>
        <v/>
      </c>
      <c r="FF7" s="78" t="e">
        <f t="array" aca="1" ref="FF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LEN(SUBSTITUTE(_xlfn.FORMULATEXT(FF$1),"=","")))+$EU7)</f>
        <v>#VALUE!</v>
      </c>
      <c r="FG7" s="78">
        <f t="shared" ca="1" si="2"/>
        <v>0</v>
      </c>
      <c r="FH7" s="78" t="e">
        <f t="array" aca="1" ref="FH7" ca="1">SUMPRODUCT((LEN(EV7:FF7)&gt;0)*1)&gt;0</f>
        <v>#VALUE!</v>
      </c>
      <c r="FI7" s="78" t="str">
        <f t="array" aca="1" ref="FI7" ca="1">IFERROR(SMALL(IF(FG$1:FG$228&lt;&gt;0,FG$1:FG$228),ROW(A7)),"")</f>
        <v/>
      </c>
      <c r="FJ7" s="78" t="str">
        <f t="array" aca="1" ref="FJ7" ca="1">IF($FI7&lt;&gt;"",
INDIRECT(""&amp;IF(COLUMN(EV10)&lt;=26,CHAR(COLUMN(EV10)+64),CHAR(INT((COLUMN(EV10)-1)/26)+64)&amp;CHAR(MOD(COLUMN(EV10)-1,26)+65))&amp;$FI7&amp;""),"")</f>
        <v/>
      </c>
      <c r="FK7" s="78" t="str">
        <f t="array" aca="1" ref="FK7" ca="1">IF($FI7&lt;&gt;"",
INDIRECT(""&amp;IF(COLUMN(EW10)&lt;=26,CHAR(COLUMN(EW10)+64),CHAR(INT((COLUMN(EW10)-1)/26)+64)&amp;CHAR(MOD(COLUMN(EW10)-1,26)+65))&amp;$FI7&amp;""),"")</f>
        <v/>
      </c>
      <c r="FL7" s="78" t="str">
        <f t="array" aca="1" ref="FL7" ca="1">IF($FI7&lt;&gt;"",
INDIRECT(""&amp;IF(COLUMN(EX10)&lt;=26,CHAR(COLUMN(EX10)+64),CHAR(INT((COLUMN(EX10)-1)/26)+64)&amp;CHAR(MOD(COLUMN(EX10)-1,26)+65))&amp;$FI7&amp;""),"")</f>
        <v/>
      </c>
      <c r="FM7" s="78" t="str">
        <f t="array" aca="1" ref="FM7" ca="1">IF($FI7&lt;&gt;"",
IF(FL7="",
IF(INDIRECT("EY"&amp;$FI7&amp;"")&lt;&gt;"",
INDIRECT("EY"&amp;$FI7&amp;"")&amp;"箱"
&amp;INDIRECT("EZ"&amp;$FI7&amp;""),""),""),"")</f>
        <v/>
      </c>
      <c r="FN7" s="78" t="str">
        <f t="array" aca="1" ref="FN7" ca="1">IF($FI7&lt;&gt;"",
INDIRECT(""&amp;IF(COLUMN(FA10)&lt;=26,CHAR(COLUMN(FA10)+64),CHAR(INT((COLUMN(FA10)-1)/26)+64)&amp;CHAR(MOD(COLUMN(FA10)-1,26)+65))&amp;$FI7&amp;""),"")</f>
        <v/>
      </c>
      <c r="FO7" s="78" t="str">
        <f t="array" aca="1" ref="FO7" ca="1">IF($FI7&lt;&gt;"",
INDIRECT(""&amp;IF(COLUMN(FB10)&lt;=26,CHAR(COLUMN(FB10)+64),CHAR(INT((COLUMN(FB10)-1)/26)+64)&amp;CHAR(MOD(COLUMN(FB10)-1,26)+65))&amp;$FI7&amp;""),"")</f>
        <v/>
      </c>
      <c r="FP7" s="78" t="str">
        <f t="array" aca="1" ref="FP7" ca="1">IF($FI7&lt;&gt;"",
INDIRECT(""&amp;IF(COLUMN(FC10)&lt;=26,CHAR(COLUMN(FC10)+64),CHAR(INT((COLUMN(FC10)-1)/26)+64)&amp;CHAR(MOD(COLUMN(FC10)-1,26)+65))&amp;$FI7&amp;""),"")</f>
        <v/>
      </c>
      <c r="FQ7" s="78" t="str">
        <f t="array" aca="1" ref="FQ7" ca="1">IF($FI7&lt;&gt;"",
INDIRECT(""&amp;IF(COLUMN(FD10)&lt;=26,CHAR(COLUMN(FD10)+64),CHAR(INT((COLUMN(FD10)-1)/26)+64)&amp;CHAR(MOD(COLUMN(FD10)-1,26)+65))&amp;$FI7&amp;""),"")</f>
        <v/>
      </c>
      <c r="FR7" s="78" t="str">
        <f t="array" aca="1" ref="FR7" ca="1">IF($FI7&lt;&gt;"",
INDIRECT(""&amp;IF(COLUMN(FE10)&lt;=26,CHAR(COLUMN(FE10)+64),CHAR(INT((COLUMN(FE10)-1)/26)+64)&amp;CHAR(MOD(COLUMN(FE10)-1,26)+65))&amp;$FI7&amp;""),"")</f>
        <v/>
      </c>
      <c r="FS7" s="78" t="str">
        <f t="array" aca="1" ref="FS7" ca="1">IF($FI7&lt;&gt;"",
INDIRECT(""&amp;IF(COLUMN(FF10)&lt;=26,CHAR(COLUMN(FF10)+64),CHAR(INT((COLUMN(FF10)-1)/26)+64)&amp;CHAR(MOD(COLUMN(FF10)-1,26)+65))&amp;$FI7&amp;""),"")</f>
        <v/>
      </c>
    </row>
    <row r="8" spans="1:175" s="78" customFormat="1" ht="18" customHeight="1" x14ac:dyDescent="0.55000000000000004">
      <c r="A8" s="76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77" t="e">
        <f t="array" aca="1" ref="B8" ca="1">GetResult(A9)</f>
        <v>#VALUE!</v>
      </c>
      <c r="C8" s="247" t="str">
        <f ca="1">IF(C9&lt;&gt;"",
IF(LEFT(G8,2)="博多",
LEFT(G8,FIND("週",G8)-1),
G8),"")</f>
        <v/>
      </c>
      <c r="D8" s="248"/>
      <c r="E8" s="248"/>
      <c r="F8" s="248"/>
      <c r="G8" s="95" t="e">
        <f t="array" aca="1" ref="G8" ca="1">INDIRECT("数出表_Excel!A"&amp;B8)</f>
        <v>#VALUE!</v>
      </c>
      <c r="H8" s="76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77" t="e">
        <f t="array" aca="1" ref="I8" ca="1">GetResult(H9)</f>
        <v>#VALUE!</v>
      </c>
      <c r="J8" s="247" t="str">
        <f ca="1">IF(J9&lt;&gt;"",
IF(LEFT(N8,2)="博多",
LEFT(N8,FIND("週",N8)-1),
N8),"")</f>
        <v/>
      </c>
      <c r="K8" s="248"/>
      <c r="L8" s="248"/>
      <c r="M8" s="248"/>
      <c r="N8" s="91" t="e">
        <f t="array" aca="1" ref="N8" ca="1">INDIRECT("数出表_Excel!A"&amp;I8)</f>
        <v>#VALUE!</v>
      </c>
      <c r="O8" s="76"/>
      <c r="P8" s="76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77" t="e">
        <f t="array" aca="1" ref="Q8" ca="1">GetResult(P9)</f>
        <v>#VALUE!</v>
      </c>
      <c r="R8" s="247" t="str">
        <f ca="1">IF(R9&lt;&gt;"",
IF(LEFT(V8,2)="博多",
LEFT(V8,FIND("週",V8)-1),
V8),"")</f>
        <v/>
      </c>
      <c r="S8" s="248"/>
      <c r="T8" s="248"/>
      <c r="U8" s="248"/>
      <c r="V8" s="95" t="e">
        <f t="array" aca="1" ref="V8" ca="1">INDIRECT("数出表_Excel!A"&amp;Q8)</f>
        <v>#VALUE!</v>
      </c>
      <c r="W8" s="76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77" t="e">
        <f t="array" aca="1" ref="X8" ca="1">GetResult(W9)</f>
        <v>#VALUE!</v>
      </c>
      <c r="Y8" s="247" t="str">
        <f ca="1">IF(Y9&lt;&gt;"",
IF(LEFT(AC8,2)="博多",
LEFT(AC8,FIND("週",AC8)-1),
AC8),"")</f>
        <v/>
      </c>
      <c r="Z8" s="248"/>
      <c r="AA8" s="248"/>
      <c r="AB8" s="248"/>
      <c r="AC8" s="91" t="e">
        <f t="array" aca="1" ref="AC8" ca="1">INDIRECT("数出表_Excel!A"&amp;X8)</f>
        <v>#VALUE!</v>
      </c>
      <c r="AD8" s="76"/>
      <c r="AE8" s="76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77" t="e">
        <f t="array" aca="1" ref="AF8" ca="1">GetResult(AE9)</f>
        <v>#VALUE!</v>
      </c>
      <c r="AG8" s="247" t="str">
        <f ca="1">IF(AG9&lt;&gt;"",
IF(LEFT(AK8,2)="博多",
LEFT(AK8,FIND("週",AK8)-1),
AK8),"")</f>
        <v/>
      </c>
      <c r="AH8" s="248"/>
      <c r="AI8" s="248"/>
      <c r="AJ8" s="248"/>
      <c r="AK8" s="95" t="e">
        <f t="array" aca="1" ref="AK8" ca="1">INDIRECT("数出表_Excel!A"&amp;AF8)</f>
        <v>#VALUE!</v>
      </c>
      <c r="AL8" s="76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77" t="e">
        <f t="array" aca="1" ref="AM8" ca="1">GetResult(AL9)</f>
        <v>#VALUE!</v>
      </c>
      <c r="AN8" s="247" t="str">
        <f ca="1">IF(AN9&lt;&gt;"",
IF(LEFT(AR8,2)="博多",
LEFT(AR8,FIND("週",AR8)-1),
AR8),"")</f>
        <v/>
      </c>
      <c r="AO8" s="248"/>
      <c r="AP8" s="248"/>
      <c r="AQ8" s="248"/>
      <c r="AR8" s="91" t="e">
        <f t="array" aca="1" ref="AR8" ca="1">INDIRECT("数出表_Excel!A"&amp;AM8)</f>
        <v>#VALUE!</v>
      </c>
      <c r="AS8" s="76"/>
      <c r="AT8" s="76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77" t="e">
        <f t="array" aca="1" ref="AU8" ca="1">GetResult(AT9)</f>
        <v>#VALUE!</v>
      </c>
      <c r="AV8" s="247" t="str">
        <f ca="1">IF(AV9&lt;&gt;"",
IF(LEFT(AZ8,2)="博多",
LEFT(AZ8,FIND("週",AZ8)-1),
AZ8),"")</f>
        <v/>
      </c>
      <c r="AW8" s="248"/>
      <c r="AX8" s="248"/>
      <c r="AY8" s="248"/>
      <c r="AZ8" s="95" t="e">
        <f t="array" aca="1" ref="AZ8" ca="1">INDIRECT("数出表_Excel!A"&amp;AU8)</f>
        <v>#VALUE!</v>
      </c>
      <c r="BA8" s="76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77" t="e">
        <f t="array" aca="1" ref="BB8" ca="1">GetResult(BA9)</f>
        <v>#VALUE!</v>
      </c>
      <c r="BC8" s="247" t="str">
        <f ca="1">IF(BC9&lt;&gt;"",
IF(LEFT(BG8,2)="博多",
LEFT(BG8,FIND("週",BG8)-1),
BG8),"")</f>
        <v/>
      </c>
      <c r="BD8" s="248"/>
      <c r="BE8" s="248"/>
      <c r="BF8" s="248"/>
      <c r="BG8" s="91" t="e">
        <f t="array" aca="1" ref="BG8" ca="1">INDIRECT("数出表_Excel!A"&amp;BB8)</f>
        <v>#VALUE!</v>
      </c>
      <c r="BH8" s="76"/>
      <c r="BI8" s="76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77" t="e">
        <f t="array" aca="1" ref="BJ8" ca="1">GetResult(BI9)</f>
        <v>#VALUE!</v>
      </c>
      <c r="BK8" s="247" t="str">
        <f ca="1">IF(BK9&lt;&gt;"",
IF(LEFT(BO8,2)="博多",
LEFT(BO8,FIND("週",BO8)-1),
BO8),"")</f>
        <v/>
      </c>
      <c r="BL8" s="248"/>
      <c r="BM8" s="248"/>
      <c r="BN8" s="248"/>
      <c r="BO8" s="95" t="e">
        <f t="array" aca="1" ref="BO8" ca="1">INDIRECT("数出表_Excel!A"&amp;BJ8)</f>
        <v>#VALUE!</v>
      </c>
      <c r="BP8" s="76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77" t="e">
        <f t="array" aca="1" ref="BQ8" ca="1">GetResult(BP9)</f>
        <v>#VALUE!</v>
      </c>
      <c r="BR8" s="247" t="str">
        <f ca="1">IF(BR9&lt;&gt;"",
IF(LEFT(BV8,2)="博多",
LEFT(BV8,FIND("週",BV8)-1),
BV8),"")</f>
        <v/>
      </c>
      <c r="BS8" s="248"/>
      <c r="BT8" s="248"/>
      <c r="BU8" s="248"/>
      <c r="BV8" s="91" t="e">
        <f t="array" aca="1" ref="BV8" ca="1">INDIRECT("数出表_Excel!A"&amp;BQ8)</f>
        <v>#VALUE!</v>
      </c>
      <c r="BW8" s="76"/>
      <c r="BX8" s="76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77" t="e">
        <f t="array" aca="1" ref="BY8" ca="1">GetResult(BX9)</f>
        <v>#VALUE!</v>
      </c>
      <c r="BZ8" s="247" t="str">
        <f ca="1">IF(BZ9&lt;&gt;"",
IF(LEFT(CD8,2)="博多",
LEFT(CD8,FIND("週",CD8)-1),
CD8),"")</f>
        <v/>
      </c>
      <c r="CA8" s="248"/>
      <c r="CB8" s="248"/>
      <c r="CC8" s="248"/>
      <c r="CD8" s="95" t="e">
        <f t="array" aca="1" ref="CD8" ca="1">INDIRECT("数出表_Excel!A"&amp;BY8)</f>
        <v>#VALUE!</v>
      </c>
      <c r="CE8" s="76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77" t="e">
        <f t="array" aca="1" ref="CF8" ca="1">GetResult(CE9)</f>
        <v>#VALUE!</v>
      </c>
      <c r="CG8" s="247" t="str">
        <f ca="1">IF(CG9&lt;&gt;"",
IF(LEFT(CK8,2)="博多",
LEFT(CK8,FIND("週",CK8)-1),
CK8),"")</f>
        <v/>
      </c>
      <c r="CH8" s="248"/>
      <c r="CI8" s="248"/>
      <c r="CJ8" s="248"/>
      <c r="CK8" s="91" t="e">
        <f t="array" aca="1" ref="CK8" ca="1">INDIRECT("数出表_Excel!A"&amp;CF8)</f>
        <v>#VALUE!</v>
      </c>
      <c r="CL8" s="76"/>
      <c r="CM8" s="76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77" t="e">
        <f t="array" aca="1" ref="CN8" ca="1">GetResult(CM9)</f>
        <v>#VALUE!</v>
      </c>
      <c r="CO8" s="247" t="str">
        <f ca="1">IF(CO9&lt;&gt;"",
IF(LEFT(CS8,2)="博多",
LEFT(CS8,FIND("週",CS8)-1),
CS8),"")</f>
        <v/>
      </c>
      <c r="CP8" s="248"/>
      <c r="CQ8" s="248"/>
      <c r="CR8" s="248"/>
      <c r="CS8" s="95" t="e">
        <f t="array" aca="1" ref="CS8" ca="1">INDIRECT("数出表_Excel!A"&amp;CN8)</f>
        <v>#VALUE!</v>
      </c>
      <c r="CT8" s="76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77" t="e">
        <f t="array" aca="1" ref="CU8" ca="1">GetResult(CT9)</f>
        <v>#VALUE!</v>
      </c>
      <c r="CV8" s="247" t="str">
        <f ca="1">IF(CV9&lt;&gt;"",
IF(LEFT(CZ8,2)="博多",
LEFT(CZ8,FIND("週",CZ8)-1),
CZ8),"")</f>
        <v/>
      </c>
      <c r="CW8" s="248"/>
      <c r="CX8" s="248"/>
      <c r="CY8" s="248"/>
      <c r="CZ8" s="91" t="e">
        <f t="array" aca="1" ref="CZ8" ca="1">INDIRECT("数出表_Excel!A"&amp;CU8)</f>
        <v>#VALUE!</v>
      </c>
      <c r="DA8" s="76"/>
      <c r="DB8" s="76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77" t="e">
        <f t="array" aca="1" ref="DC8" ca="1">GetResult(DB9)</f>
        <v>#VALUE!</v>
      </c>
      <c r="DD8" s="247" t="str">
        <f ca="1">IF(DD9&lt;&gt;"",
IF(LEFT(DH8,2)="博多",
LEFT(DH8,FIND("週",DH8)-1),
DH8),"")</f>
        <v/>
      </c>
      <c r="DE8" s="248"/>
      <c r="DF8" s="248"/>
      <c r="DG8" s="248"/>
      <c r="DH8" s="95" t="e">
        <f t="array" aca="1" ref="DH8" ca="1">INDIRECT("数出表_Excel!A"&amp;DC8)</f>
        <v>#VALUE!</v>
      </c>
      <c r="DI8" s="76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77" t="e">
        <f t="array" aca="1" ref="DJ8" ca="1">GetResult(DI9)</f>
        <v>#VALUE!</v>
      </c>
      <c r="DK8" s="247" t="str">
        <f ca="1">IF(DK9&lt;&gt;"",
IF(LEFT(DO8,2)="博多",
LEFT(DO8,FIND("週",DO8)-1),
DO8),"")</f>
        <v/>
      </c>
      <c r="DL8" s="248"/>
      <c r="DM8" s="248"/>
      <c r="DN8" s="248"/>
      <c r="DO8" s="91" t="e">
        <f t="array" aca="1" ref="DO8" ca="1">INDIRECT("数出表_Excel!A"&amp;DJ8)</f>
        <v>#VALUE!</v>
      </c>
      <c r="DP8" s="76"/>
      <c r="DQ8" s="76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77" t="e">
        <f t="array" aca="1" ref="DR8" ca="1">GetResult(DQ9)</f>
        <v>#VALUE!</v>
      </c>
      <c r="DS8" s="247" t="str">
        <f ca="1">IF(DS9&lt;&gt;"",
IF(LEFT(DW8,2)="博多",
LEFT(DW8,FIND("週",DW8)-1),
DW8),"")</f>
        <v/>
      </c>
      <c r="DT8" s="248"/>
      <c r="DU8" s="248"/>
      <c r="DV8" s="248"/>
      <c r="DW8" s="95" t="e">
        <f t="array" aca="1" ref="DW8" ca="1">INDIRECT("数出表_Excel!A"&amp;DR8)</f>
        <v>#VALUE!</v>
      </c>
      <c r="DX8" s="76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77" t="e">
        <f t="array" aca="1" ref="DY8" ca="1">GetResult(DX9)</f>
        <v>#VALUE!</v>
      </c>
      <c r="DZ8" s="247" t="str">
        <f ca="1">IF(DZ9&lt;&gt;"",
IF(LEFT(ED8,2)="博多",
LEFT(ED8,FIND("週",ED8)-1),
ED8),"")</f>
        <v/>
      </c>
      <c r="EA8" s="248"/>
      <c r="EB8" s="248"/>
      <c r="EC8" s="248"/>
      <c r="ED8" s="91" t="e">
        <f t="array" aca="1" ref="ED8" ca="1">INDIRECT("数出表_Excel!A"&amp;DY8)</f>
        <v>#VALUE!</v>
      </c>
      <c r="EE8" s="76"/>
      <c r="EF8" s="76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77" t="e">
        <f t="array" aca="1" ref="EG8" ca="1">GetResult(EF9)</f>
        <v>#VALUE!</v>
      </c>
      <c r="EH8" s="247" t="str">
        <f ca="1">IF(EH9&lt;&gt;"",
IF(LEFT(EL8,2)="博多",
LEFT(EL8,FIND("週",EL8)-1),
EL8),"")</f>
        <v/>
      </c>
      <c r="EI8" s="248"/>
      <c r="EJ8" s="248"/>
      <c r="EK8" s="248"/>
      <c r="EL8" s="95" t="e">
        <f t="array" aca="1" ref="EL8" ca="1">INDIRECT("数出表_Excel!A"&amp;EG8)</f>
        <v>#VALUE!</v>
      </c>
      <c r="EM8" s="76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77" t="e">
        <f t="array" aca="1" ref="EN8" ca="1">GetResult(EM9)</f>
        <v>#VALUE!</v>
      </c>
      <c r="EO8" s="247" t="str">
        <f ca="1">IF(EO9&lt;&gt;"",
IF(LEFT(ES8,2)="博多",
LEFT(ES8,FIND("週",ES8)-1),
ES8),"")</f>
        <v/>
      </c>
      <c r="EP8" s="248"/>
      <c r="EQ8" s="248"/>
      <c r="ER8" s="248"/>
      <c r="ES8" s="91" t="e">
        <f t="array" aca="1" ref="ES8" ca="1">INDIRECT("数出表_Excel!A"&amp;EN8)</f>
        <v>#VALUE!</v>
      </c>
      <c r="ET8" s="106"/>
      <c r="EU8" s="78">
        <f>EU2+7</f>
        <v>49</v>
      </c>
      <c r="EV8" s="78" t="str">
        <f t="array" aca="1" ref="EV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LEN(SUBSTITUTE(_xlfn.FORMULATEXT(EV$1),"=","")))+$EU8)</f>
        <v/>
      </c>
      <c r="EW8" s="78" t="str">
        <f t="array" aca="1" ref="EW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LEN(SUBSTITUTE(_xlfn.FORMULATEXT(EW$1),"=","")))+$EU8)</f>
        <v/>
      </c>
      <c r="EX8" s="78" t="str">
        <f t="array" aca="1" ref="EX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LEN(SUBSTITUTE(_xlfn.FORMULATEXT(EX$1),"=","")))+$EU8)</f>
        <v/>
      </c>
      <c r="EY8" s="78" t="str">
        <f t="array" aca="1" ref="EY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LEN(SUBSTITUTE(_xlfn.FORMULATEXT(EY$1),"=","")))+$EU8)</f>
        <v/>
      </c>
      <c r="EZ8" s="78" t="str">
        <f t="array" aca="1" ref="EZ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LEN(SUBSTITUTE(_xlfn.FORMULATEXT(EZ$1),"=","")))+$EU8)</f>
        <v/>
      </c>
      <c r="FA8" s="78" t="str">
        <f t="array" aca="1" ref="FA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LEN(SUBSTITUTE(_xlfn.FORMULATEXT(FA$1),"=","")))+$EU8)</f>
        <v/>
      </c>
      <c r="FB8" s="78" t="str">
        <f t="array" aca="1" ref="FB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LEN(SUBSTITUTE(_xlfn.FORMULATEXT(FB$1),"=","")))+$EU8)</f>
        <v/>
      </c>
      <c r="FC8" s="78" t="str">
        <f t="array" aca="1" ref="FC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LEN(SUBSTITUTE(_xlfn.FORMULATEXT(FC$1),"=","")))+$EU8)</f>
        <v/>
      </c>
      <c r="FD8" s="78" t="str">
        <f t="array" aca="1" ref="FD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LEN(SUBSTITUTE(_xlfn.FORMULATEXT(FD$1),"=","")))+$EU8)</f>
        <v/>
      </c>
      <c r="FE8" s="78" t="str">
        <f t="array" aca="1" ref="FE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LEN(SUBSTITUTE(_xlfn.FORMULATEXT(FE$1),"=","")))+$EU8)</f>
        <v/>
      </c>
      <c r="FF8" s="78" t="str">
        <f t="array" aca="1" ref="FF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LEN(SUBSTITUTE(_xlfn.FORMULATEXT(FF$1),"=","")))+$EU8)</f>
        <v/>
      </c>
      <c r="FG8" s="78">
        <f t="shared" ca="1" si="2"/>
        <v>0</v>
      </c>
      <c r="FH8" s="78" t="b">
        <f t="array" aca="1" ref="FH8" ca="1">SUMPRODUCT((LEN(EV8:FF8)&gt;0)*1)&gt;0</f>
        <v>0</v>
      </c>
      <c r="FI8" s="78" t="str">
        <f t="array" aca="1" ref="FI8" ca="1">IFERROR(SMALL(IF(FG$1:FG$228&lt;&gt;0,FG$1:FG$228),ROW(A8)),"")</f>
        <v/>
      </c>
      <c r="FJ8" s="78" t="str">
        <f t="array" aca="1" ref="FJ8" ca="1">IF($FI8&lt;&gt;"",
INDIRECT(""&amp;IF(COLUMN(EV11)&lt;=26,CHAR(COLUMN(EV11)+64),CHAR(INT((COLUMN(EV11)-1)/26)+64)&amp;CHAR(MOD(COLUMN(EV11)-1,26)+65))&amp;$FI8&amp;""),"")</f>
        <v/>
      </c>
      <c r="FK8" s="78" t="str">
        <f t="array" aca="1" ref="FK8" ca="1">IF($FI8&lt;&gt;"",
INDIRECT(""&amp;IF(COLUMN(EW11)&lt;=26,CHAR(COLUMN(EW11)+64),CHAR(INT((COLUMN(EW11)-1)/26)+64)&amp;CHAR(MOD(COLUMN(EW11)-1,26)+65))&amp;$FI8&amp;""),"")</f>
        <v/>
      </c>
      <c r="FL8" s="78" t="str">
        <f t="array" aca="1" ref="FL8" ca="1">IF($FI8&lt;&gt;"",
INDIRECT(""&amp;IF(COLUMN(EX11)&lt;=26,CHAR(COLUMN(EX11)+64),CHAR(INT((COLUMN(EX11)-1)/26)+64)&amp;CHAR(MOD(COLUMN(EX11)-1,26)+65))&amp;$FI8&amp;""),"")</f>
        <v/>
      </c>
      <c r="FM8" s="78" t="str">
        <f t="array" aca="1" ref="FM8" ca="1">IF($FI8&lt;&gt;"",
IF(FL8="",
IF(INDIRECT("EY"&amp;$FI8&amp;"")&lt;&gt;"",
INDIRECT("EY"&amp;$FI8&amp;"")&amp;"箱"
&amp;INDIRECT("EZ"&amp;$FI8&amp;""),""),""),"")</f>
        <v/>
      </c>
      <c r="FN8" s="78" t="str">
        <f t="array" aca="1" ref="FN8" ca="1">IF($FI8&lt;&gt;"",
INDIRECT(""&amp;IF(COLUMN(FA11)&lt;=26,CHAR(COLUMN(FA11)+64),CHAR(INT((COLUMN(FA11)-1)/26)+64)&amp;CHAR(MOD(COLUMN(FA11)-1,26)+65))&amp;$FI8&amp;""),"")</f>
        <v/>
      </c>
      <c r="FO8" s="78" t="str">
        <f t="array" aca="1" ref="FO8" ca="1">IF($FI8&lt;&gt;"",
INDIRECT(""&amp;IF(COLUMN(FB11)&lt;=26,CHAR(COLUMN(FB11)+64),CHAR(INT((COLUMN(FB11)-1)/26)+64)&amp;CHAR(MOD(COLUMN(FB11)-1,26)+65))&amp;$FI8&amp;""),"")</f>
        <v/>
      </c>
      <c r="FP8" s="78" t="str">
        <f t="array" aca="1" ref="FP8" ca="1">IF($FI8&lt;&gt;"",
INDIRECT(""&amp;IF(COLUMN(FC11)&lt;=26,CHAR(COLUMN(FC11)+64),CHAR(INT((COLUMN(FC11)-1)/26)+64)&amp;CHAR(MOD(COLUMN(FC11)-1,26)+65))&amp;$FI8&amp;""),"")</f>
        <v/>
      </c>
      <c r="FQ8" s="78" t="str">
        <f t="array" aca="1" ref="FQ8" ca="1">IF($FI8&lt;&gt;"",
INDIRECT(""&amp;IF(COLUMN(FD11)&lt;=26,CHAR(COLUMN(FD11)+64),CHAR(INT((COLUMN(FD11)-1)/26)+64)&amp;CHAR(MOD(COLUMN(FD11)-1,26)+65))&amp;$FI8&amp;""),"")</f>
        <v/>
      </c>
      <c r="FR8" s="78" t="str">
        <f t="array" aca="1" ref="FR8" ca="1">IF($FI8&lt;&gt;"",
INDIRECT(""&amp;IF(COLUMN(FE11)&lt;=26,CHAR(COLUMN(FE11)+64),CHAR(INT((COLUMN(FE11)-1)/26)+64)&amp;CHAR(MOD(COLUMN(FE11)-1,26)+65))&amp;$FI8&amp;""),"")</f>
        <v/>
      </c>
      <c r="FS8" s="78" t="str">
        <f t="array" aca="1" ref="FS8" ca="1">IF($FI8&lt;&gt;"",
INDIRECT(""&amp;IF(COLUMN(FF11)&lt;=26,CHAR(COLUMN(FF11)+64),CHAR(INT((COLUMN(FF11)-1)/26)+64)&amp;CHAR(MOD(COLUMN(FF11)-1,26)+65))&amp;$FI8&amp;""),"")</f>
        <v/>
      </c>
    </row>
    <row r="9" spans="1:175" s="78" customFormat="1" ht="18" customHeight="1" x14ac:dyDescent="0.55000000000000004">
      <c r="A9" s="76" t="e">
        <f t="array" aca="1" ref="A9" ca="1">IF(INDIRECT("数出表_Excel!A"&amp;GetResult(A8))="社食",
GetResult(A8)+2,GetResult(A8))</f>
        <v>#VALUE!</v>
      </c>
      <c r="B9" s="81" t="str">
        <f t="array" aca="1" ref="B9" ca="1">IF(C8&lt;&gt;"",MATCH(TRUE,INDIRECT("数出表_Excel!B"&amp;MATCH(G8,数出表_Excel!$A:$A,0)-1&amp;":U"&amp;MATCH(G8,数出表_Excel!$A:$A,0)-1&amp;"")&lt;&gt;"",0)+1,"")</f>
        <v/>
      </c>
      <c r="C9" s="58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76"/>
      <c r="E9" s="82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83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96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76" t="e">
        <f t="array" aca="1" ref="H9" ca="1">IF(INDIRECT("数出表_Excel!A"&amp;GetResult(H8))="社食",
GetResult(H8)+2,GetResult(H8))</f>
        <v>#VALUE!</v>
      </c>
      <c r="I9" s="81" t="str">
        <f t="array" aca="1" ref="I9" ca="1">IF(J8&lt;&gt;"",MATCH(TRUE,INDIRECT("数出表_Excel!B"&amp;MATCH(N8,数出表_Excel!$A:$A,0)-1&amp;":U"&amp;MATCH(N8,数出表_Excel!$A:$A,0)-1&amp;"")&lt;&gt;"",0)+1,"")</f>
        <v/>
      </c>
      <c r="J9" s="58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76"/>
      <c r="L9" s="82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83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92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76"/>
      <c r="P9" s="76" t="e">
        <f t="array" aca="1" ref="P9" ca="1">IF(INDIRECT("数出表_Excel!A"&amp;GetResult(P8))="社食",
GetResult(P8)+2,GetResult(P8))</f>
        <v>#VALUE!</v>
      </c>
      <c r="Q9" s="81" t="str">
        <f t="array" aca="1" ref="Q9" ca="1">IF(R8&lt;&gt;"",MATCH(TRUE,INDIRECT("数出表_Excel!B"&amp;MATCH(V8,数出表_Excel!$A:$A,0)-1&amp;":U"&amp;MATCH(V8,数出表_Excel!$A:$A,0)-1&amp;"")&lt;&gt;"",0)+1,"")</f>
        <v/>
      </c>
      <c r="R9" s="58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76"/>
      <c r="T9" s="82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83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96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76" t="e">
        <f t="array" aca="1" ref="W9" ca="1">IF(INDIRECT("数出表_Excel!A"&amp;GetResult(W8))="社食",
GetResult(W8)+2,GetResult(W8))</f>
        <v>#VALUE!</v>
      </c>
      <c r="X9" s="81" t="str">
        <f t="array" aca="1" ref="X9" ca="1">IF(Y8&lt;&gt;"",MATCH(TRUE,INDIRECT("数出表_Excel!B"&amp;MATCH(AC8,数出表_Excel!$A:$A,0)-1&amp;":U"&amp;MATCH(AC8,数出表_Excel!$A:$A,0)-1&amp;"")&lt;&gt;"",0)+1,"")</f>
        <v/>
      </c>
      <c r="Y9" s="58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76"/>
      <c r="AA9" s="82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83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92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76"/>
      <c r="AE9" s="76" t="e">
        <f t="array" aca="1" ref="AE9" ca="1">IF(INDIRECT("数出表_Excel!A"&amp;GetResult(AE8))="社食",
GetResult(AE8)+2,GetResult(AE8))</f>
        <v>#VALUE!</v>
      </c>
      <c r="AF9" s="81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58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76"/>
      <c r="AI9" s="82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83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96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76" t="e">
        <f t="array" aca="1" ref="AL9" ca="1">IF(INDIRECT("数出表_Excel!A"&amp;GetResult(AL8))="社食",
GetResult(AL8)+2,GetResult(AL8))</f>
        <v>#VALUE!</v>
      </c>
      <c r="AM9" s="81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58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76"/>
      <c r="AP9" s="82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83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92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76"/>
      <c r="AT9" s="76" t="e">
        <f t="array" aca="1" ref="AT9" ca="1">IF(INDIRECT("数出表_Excel!A"&amp;GetResult(AT8))="社食",
GetResult(AT8)+2,GetResult(AT8))</f>
        <v>#VALUE!</v>
      </c>
      <c r="AU9" s="81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58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76"/>
      <c r="AX9" s="82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83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96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76" t="e">
        <f t="array" aca="1" ref="BA9" ca="1">IF(INDIRECT("数出表_Excel!A"&amp;GetResult(BA8))="社食",
GetResult(BA8)+2,GetResult(BA8))</f>
        <v>#VALUE!</v>
      </c>
      <c r="BB9" s="81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58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76"/>
      <c r="BE9" s="82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83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92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76"/>
      <c r="BI9" s="76" t="e">
        <f t="array" aca="1" ref="BI9" ca="1">IF(INDIRECT("数出表_Excel!A"&amp;GetResult(BI8))="社食",
GetResult(BI8)+2,GetResult(BI8))</f>
        <v>#VALUE!</v>
      </c>
      <c r="BJ9" s="81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58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76"/>
      <c r="BM9" s="82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83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96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76" t="e">
        <f t="array" aca="1" ref="BP9" ca="1">IF(INDIRECT("数出表_Excel!A"&amp;GetResult(BP8))="社食",
GetResult(BP8)+2,GetResult(BP8))</f>
        <v>#VALUE!</v>
      </c>
      <c r="BQ9" s="81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58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76"/>
      <c r="BT9" s="82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83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92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76"/>
      <c r="BX9" s="76" t="e">
        <f t="array" aca="1" ref="BX9" ca="1">IF(INDIRECT("数出表_Excel!A"&amp;GetResult(BX8))="社食",
GetResult(BX8)+2,GetResult(BX8))</f>
        <v>#VALUE!</v>
      </c>
      <c r="BY9" s="81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58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76"/>
      <c r="CB9" s="82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83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96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76" t="e">
        <f t="array" aca="1" ref="CE9" ca="1">IF(INDIRECT("数出表_Excel!A"&amp;GetResult(CE8))="社食",
GetResult(CE8)+2,GetResult(CE8))</f>
        <v>#VALUE!</v>
      </c>
      <c r="CF9" s="81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58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76"/>
      <c r="CI9" s="82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83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92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76"/>
      <c r="CM9" s="76" t="e">
        <f t="array" aca="1" ref="CM9" ca="1">IF(INDIRECT("数出表_Excel!A"&amp;GetResult(CM8))="社食",
GetResult(CM8)+2,GetResult(CM8))</f>
        <v>#VALUE!</v>
      </c>
      <c r="CN9" s="81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58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76"/>
      <c r="CQ9" s="82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83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96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76" t="e">
        <f t="array" aca="1" ref="CT9" ca="1">IF(INDIRECT("数出表_Excel!A"&amp;GetResult(CT8))="社食",
GetResult(CT8)+2,GetResult(CT8))</f>
        <v>#VALUE!</v>
      </c>
      <c r="CU9" s="81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58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76"/>
      <c r="CX9" s="82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83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92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76"/>
      <c r="DB9" s="76" t="e">
        <f t="array" aca="1" ref="DB9" ca="1">IF(INDIRECT("数出表_Excel!A"&amp;GetResult(DB8))="社食",
GetResult(DB8)+2,GetResult(DB8))</f>
        <v>#VALUE!</v>
      </c>
      <c r="DC9" s="81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58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76"/>
      <c r="DF9" s="82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83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96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76" t="e">
        <f t="array" aca="1" ref="DI9" ca="1">IF(INDIRECT("数出表_Excel!A"&amp;GetResult(DI8))="社食",
GetResult(DI8)+2,GetResult(DI8))</f>
        <v>#VALUE!</v>
      </c>
      <c r="DJ9" s="81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58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76"/>
      <c r="DM9" s="82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83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92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76"/>
      <c r="DQ9" s="76" t="e">
        <f t="array" aca="1" ref="DQ9" ca="1">IF(INDIRECT("数出表_Excel!A"&amp;GetResult(DQ8))="社食",
GetResult(DQ8)+2,GetResult(DQ8))</f>
        <v>#VALUE!</v>
      </c>
      <c r="DR9" s="81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58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76"/>
      <c r="DU9" s="82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83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96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76" t="e">
        <f t="array" aca="1" ref="DX9" ca="1">IF(INDIRECT("数出表_Excel!A"&amp;GetResult(DX8))="社食",
GetResult(DX8)+2,GetResult(DX8))</f>
        <v>#VALUE!</v>
      </c>
      <c r="DY9" s="81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58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76"/>
      <c r="EB9" s="82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83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92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76"/>
      <c r="EF9" s="76" t="e">
        <f t="array" aca="1" ref="EF9" ca="1">IF(INDIRECT("数出表_Excel!A"&amp;GetResult(EF8))="社食",
GetResult(EF8)+2,GetResult(EF8))</f>
        <v>#VALUE!</v>
      </c>
      <c r="EG9" s="81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58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76"/>
      <c r="EJ9" s="82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83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96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76" t="e">
        <f t="array" aca="1" ref="EM9" ca="1">IF(INDIRECT("数出表_Excel!A"&amp;GetResult(EM8))="社食",
GetResult(EM8)+2,GetResult(EM8))</f>
        <v>#VALUE!</v>
      </c>
      <c r="EN9" s="81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58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76"/>
      <c r="EQ9" s="82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83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92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07"/>
      <c r="EU9" s="78">
        <f>EU3+7</f>
        <v>91</v>
      </c>
      <c r="EV9" s="78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78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78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78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78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78" t="str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/>
      </c>
      <c r="FB9" s="78" t="str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/>
      </c>
      <c r="FC9" s="78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78" t="str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/>
      </c>
      <c r="FE9" s="78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78" t="str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/>
      </c>
      <c r="FG9" s="78">
        <f t="shared" ca="1" si="2"/>
        <v>0</v>
      </c>
      <c r="FH9" s="78" t="b">
        <f t="array" aca="1" ref="FH9" ca="1">SUMPRODUCT((LEN(EV9:FF9)&gt;0)*1)&gt;0</f>
        <v>0</v>
      </c>
      <c r="FI9" s="78" t="str">
        <f t="array" aca="1" ref="FI9" ca="1">IFERROR(SMALL(IF(FG$1:FG$228&lt;&gt;0,FG$1:FG$228),ROW(A9)),"")</f>
        <v/>
      </c>
      <c r="FJ9" s="78" t="str">
        <f t="array" aca="1" ref="FJ9" ca="1">IF($FI9&lt;&gt;"",
INDIRECT(""&amp;IF(COLUMN(EV13)&lt;=26,CHAR(COLUMN(EV13)+64),CHAR(INT((COLUMN(EV13)-1)/26)+64)&amp;CHAR(MOD(COLUMN(EV13)-1,26)+65))&amp;$FI9&amp;""),"")</f>
        <v/>
      </c>
      <c r="FK9" s="78" t="str">
        <f t="array" aca="1" ref="FK9" ca="1">IF($FI9&lt;&gt;"",
INDIRECT(""&amp;IF(COLUMN(EW13)&lt;=26,CHAR(COLUMN(EW13)+64),CHAR(INT((COLUMN(EW13)-1)/26)+64)&amp;CHAR(MOD(COLUMN(EW13)-1,26)+65))&amp;$FI9&amp;""),"")</f>
        <v/>
      </c>
      <c r="FL9" s="78" t="str">
        <f t="array" aca="1" ref="FL9" ca="1">IF($FI9&lt;&gt;"",
INDIRECT(""&amp;IF(COLUMN(EX13)&lt;=26,CHAR(COLUMN(EX13)+64),CHAR(INT((COLUMN(EX13)-1)/26)+64)&amp;CHAR(MOD(COLUMN(EX13)-1,26)+65))&amp;$FI9&amp;""),"")</f>
        <v/>
      </c>
      <c r="FM9" s="78" t="str">
        <f t="array" aca="1" ref="FM9" ca="1">IF($FI9&lt;&gt;"",
IF(FL9="",
IF(INDIRECT("EY"&amp;$FI9&amp;"")&lt;&gt;"",
INDIRECT("EY"&amp;$FI9&amp;"")&amp;"箱"
&amp;INDIRECT("EZ"&amp;$FI9&amp;""),""),""),"")</f>
        <v/>
      </c>
      <c r="FN9" s="78" t="str">
        <f t="array" aca="1" ref="FN9" ca="1">IF($FI9&lt;&gt;"",
INDIRECT(""&amp;IF(COLUMN(FA13)&lt;=26,CHAR(COLUMN(FA13)+64),CHAR(INT((COLUMN(FA13)-1)/26)+64)&amp;CHAR(MOD(COLUMN(FA13)-1,26)+65))&amp;$FI9&amp;""),"")</f>
        <v/>
      </c>
      <c r="FO9" s="78" t="str">
        <f t="array" aca="1" ref="FO9" ca="1">IF($FI9&lt;&gt;"",
INDIRECT(""&amp;IF(COLUMN(FB13)&lt;=26,CHAR(COLUMN(FB13)+64),CHAR(INT((COLUMN(FB13)-1)/26)+64)&amp;CHAR(MOD(COLUMN(FB13)-1,26)+65))&amp;$FI9&amp;""),"")</f>
        <v/>
      </c>
      <c r="FP9" s="78" t="str">
        <f t="array" aca="1" ref="FP9" ca="1">IF($FI9&lt;&gt;"",
INDIRECT(""&amp;IF(COLUMN(FC13)&lt;=26,CHAR(COLUMN(FC13)+64),CHAR(INT((COLUMN(FC13)-1)/26)+64)&amp;CHAR(MOD(COLUMN(FC13)-1,26)+65))&amp;$FI9&amp;""),"")</f>
        <v/>
      </c>
      <c r="FQ9" s="78" t="str">
        <f t="array" aca="1" ref="FQ9" ca="1">IF($FI9&lt;&gt;"",
INDIRECT(""&amp;IF(COLUMN(FD13)&lt;=26,CHAR(COLUMN(FD13)+64),CHAR(INT((COLUMN(FD13)-1)/26)+64)&amp;CHAR(MOD(COLUMN(FD13)-1,26)+65))&amp;$FI9&amp;""),"")</f>
        <v/>
      </c>
      <c r="FR9" s="78" t="str">
        <f t="array" aca="1" ref="FR9" ca="1">IF($FI9&lt;&gt;"",
INDIRECT(""&amp;IF(COLUMN(FE13)&lt;=26,CHAR(COLUMN(FE13)+64),CHAR(INT((COLUMN(FE13)-1)/26)+64)&amp;CHAR(MOD(COLUMN(FE13)-1,26)+65))&amp;$FI9&amp;""),"")</f>
        <v/>
      </c>
      <c r="FS9" s="78" t="str">
        <f t="array" aca="1" ref="FS9" ca="1">IF($FI9&lt;&gt;"",
INDIRECT(""&amp;IF(COLUMN(FF13)&lt;=26,CHAR(COLUMN(FF13)+64),CHAR(INT((COLUMN(FF13)-1)/26)+64)&amp;CHAR(MOD(COLUMN(FF13)-1,26)+65))&amp;$FI9&amp;""),"")</f>
        <v/>
      </c>
    </row>
    <row r="10" spans="1:175" s="78" customFormat="1" ht="22.2" customHeight="1" x14ac:dyDescent="0.55000000000000004">
      <c r="A10" s="76"/>
      <c r="B10" s="84" t="e">
        <f t="array" aca="1" ref="B10" ca="1">IF(AND(LEFT(G8,2)="博多",
LEFT(INDIRECT("数出表_Excel!A"&amp;MATCH(G8,数出表_Excel!$A:$A,0)-1),2)
=LEFT(INDIRECT("数出表_Excel!A"&amp;MATCH(G8,数出表_Excel!$A:$A,0)+1),2)),100,
IF(AND(LEFT(G8,3)="奈良屋",
LEFT(INDIRECT("数出表_Excel!A"&amp;MATCH(G8,数出表_Excel!$A:$A,0)-1),2)
=LEFT(INDIRECT("数出表_Excel!A"&amp;MATCH(G8,数出表_Excel!$A:$A,0)+1),2)),200,""))</f>
        <v>#VALUE!</v>
      </c>
      <c r="C10" s="249" t="str">
        <f ca="1">IF(C9&lt;&gt;"",
"園児","")</f>
        <v/>
      </c>
      <c r="D10" s="250"/>
      <c r="E10" s="251" t="str">
        <f ca="1">IF(C9&lt;&gt;"",
"先生","")</f>
        <v/>
      </c>
      <c r="F10" s="250"/>
      <c r="G10" s="97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76"/>
      <c r="I10" s="84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249" t="str">
        <f ca="1">IF(J9&lt;&gt;"",
"園児","")</f>
        <v/>
      </c>
      <c r="K10" s="250"/>
      <c r="L10" s="251" t="str">
        <f ca="1">IF(J9&lt;&gt;"",
"先生","")</f>
        <v/>
      </c>
      <c r="M10" s="250"/>
      <c r="N10" s="97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76"/>
      <c r="P10" s="76"/>
      <c r="Q10" s="84" t="e">
        <f t="array" aca="1" ref="Q10" ca="1">IF(AND(LEFT(V8,2)="博多",
LEFT(INDIRECT("数出表_Excel!A"&amp;MATCH(V8,数出表_Excel!$A:$A,0)-1),2)
=LEFT(INDIRECT("数出表_Excel!A"&amp;MATCH(V8,数出表_Excel!$A:$A,0)+1),2)),100,
IF(AND(LEFT(V8,3)="奈良屋",
LEFT(INDIRECT("数出表_Excel!A"&amp;MATCH(V8,数出表_Excel!$A:$A,0)-1),2)
=LEFT(INDIRECT("数出表_Excel!A"&amp;MATCH(V8,数出表_Excel!$A:$A,0)+1),2)),200,""))</f>
        <v>#VALUE!</v>
      </c>
      <c r="R10" s="249" t="str">
        <f ca="1">IF(R9&lt;&gt;"",
"園児","")</f>
        <v/>
      </c>
      <c r="S10" s="250"/>
      <c r="T10" s="251" t="str">
        <f ca="1">IF(R9&lt;&gt;"",
"先生","")</f>
        <v/>
      </c>
      <c r="U10" s="250"/>
      <c r="V10" s="97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76"/>
      <c r="X10" s="84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249" t="str">
        <f ca="1">IF(Y9&lt;&gt;"",
"園児","")</f>
        <v/>
      </c>
      <c r="Z10" s="250"/>
      <c r="AA10" s="251" t="str">
        <f ca="1">IF(Y9&lt;&gt;"",
"先生","")</f>
        <v/>
      </c>
      <c r="AB10" s="250"/>
      <c r="AC10" s="97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76"/>
      <c r="AE10" s="76"/>
      <c r="AF10" s="84" t="e">
        <f t="array" aca="1" ref="AF10" ca="1">IF(AND(LEFT(AK8,2)="博多",
LEFT(INDIRECT("数出表_Excel!A"&amp;MATCH(AK8,数出表_Excel!$A:$A,0)-1),2)
=LEFT(INDIRECT("数出表_Excel!A"&amp;MATCH(AK8,数出表_Excel!$A:$A,0)+1),2)),100,
IF(AND(LEFT(AK8,3)="奈良屋",
LEFT(INDIRECT("数出表_Excel!A"&amp;MATCH(AK8,数出表_Excel!$A:$A,0)-1),2)
=LEFT(INDIRECT("数出表_Excel!A"&amp;MATCH(AK8,数出表_Excel!$A:$A,0)+1),2)),200,""))</f>
        <v>#VALUE!</v>
      </c>
      <c r="AG10" s="249" t="str">
        <f ca="1">IF(AG9&lt;&gt;"",
"園児","")</f>
        <v/>
      </c>
      <c r="AH10" s="250"/>
      <c r="AI10" s="251" t="str">
        <f ca="1">IF(AG9&lt;&gt;"",
"先生","")</f>
        <v/>
      </c>
      <c r="AJ10" s="250"/>
      <c r="AK10" s="97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76"/>
      <c r="AM10" s="84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249" t="str">
        <f ca="1">IF(AN9&lt;&gt;"",
"園児","")</f>
        <v/>
      </c>
      <c r="AO10" s="250"/>
      <c r="AP10" s="251" t="str">
        <f ca="1">IF(AN9&lt;&gt;"",
"先生","")</f>
        <v/>
      </c>
      <c r="AQ10" s="250"/>
      <c r="AR10" s="97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76"/>
      <c r="AT10" s="76"/>
      <c r="AU10" s="84" t="e">
        <f t="array" aca="1" ref="AU10" ca="1">IF(AND(LEFT(AZ8,2)="博多",
LEFT(INDIRECT("数出表_Excel!A"&amp;MATCH(AZ8,数出表_Excel!$A:$A,0)-1),2)
=LEFT(INDIRECT("数出表_Excel!A"&amp;MATCH(AZ8,数出表_Excel!$A:$A,0)+1),2)),100,
IF(AND(LEFT(AZ8,3)="奈良屋",
LEFT(INDIRECT("数出表_Excel!A"&amp;MATCH(AZ8,数出表_Excel!$A:$A,0)-1),2)
=LEFT(INDIRECT("数出表_Excel!A"&amp;MATCH(AZ8,数出表_Excel!$A:$A,0)+1),2)),200,""))</f>
        <v>#VALUE!</v>
      </c>
      <c r="AV10" s="249" t="str">
        <f ca="1">IF(AV9&lt;&gt;"",
"園児","")</f>
        <v/>
      </c>
      <c r="AW10" s="250"/>
      <c r="AX10" s="251" t="str">
        <f ca="1">IF(AV9&lt;&gt;"",
"先生","")</f>
        <v/>
      </c>
      <c r="AY10" s="250"/>
      <c r="AZ10" s="97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76"/>
      <c r="BB10" s="84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249" t="str">
        <f ca="1">IF(BC9&lt;&gt;"",
"園児","")</f>
        <v/>
      </c>
      <c r="BD10" s="250"/>
      <c r="BE10" s="251" t="str">
        <f ca="1">IF(BC9&lt;&gt;"",
"先生","")</f>
        <v/>
      </c>
      <c r="BF10" s="250"/>
      <c r="BG10" s="97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76"/>
      <c r="BI10" s="76"/>
      <c r="BJ10" s="84" t="e">
        <f t="array" aca="1" ref="BJ10" ca="1">IF(AND(LEFT(BO8,2)="博多",
LEFT(INDIRECT("数出表_Excel!A"&amp;MATCH(BO8,数出表_Excel!$A:$A,0)-1),2)
=LEFT(INDIRECT("数出表_Excel!A"&amp;MATCH(BO8,数出表_Excel!$A:$A,0)+1),2)),100,
IF(AND(LEFT(BO8,3)="奈良屋",
LEFT(INDIRECT("数出表_Excel!A"&amp;MATCH(BO8,数出表_Excel!$A:$A,0)-1),2)
=LEFT(INDIRECT("数出表_Excel!A"&amp;MATCH(BO8,数出表_Excel!$A:$A,0)+1),2)),200,""))</f>
        <v>#VALUE!</v>
      </c>
      <c r="BK10" s="249" t="str">
        <f ca="1">IF(BK9&lt;&gt;"",
"園児","")</f>
        <v/>
      </c>
      <c r="BL10" s="250"/>
      <c r="BM10" s="251" t="str">
        <f ca="1">IF(BK9&lt;&gt;"",
"先生","")</f>
        <v/>
      </c>
      <c r="BN10" s="250"/>
      <c r="BO10" s="97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76"/>
      <c r="BQ10" s="84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249" t="str">
        <f ca="1">IF(BR9&lt;&gt;"",
"園児","")</f>
        <v/>
      </c>
      <c r="BS10" s="250"/>
      <c r="BT10" s="251" t="str">
        <f ca="1">IF(BR9&lt;&gt;"",
"先生","")</f>
        <v/>
      </c>
      <c r="BU10" s="250"/>
      <c r="BV10" s="97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76"/>
      <c r="BX10" s="76"/>
      <c r="BY10" s="84" t="e">
        <f t="array" aca="1" ref="BY10" ca="1">IF(AND(LEFT(CD8,2)="博多",
LEFT(INDIRECT("数出表_Excel!A"&amp;MATCH(CD8,数出表_Excel!$A:$A,0)-1),2)
=LEFT(INDIRECT("数出表_Excel!A"&amp;MATCH(CD8,数出表_Excel!$A:$A,0)+1),2)),100,
IF(AND(LEFT(CD8,3)="奈良屋",
LEFT(INDIRECT("数出表_Excel!A"&amp;MATCH(CD8,数出表_Excel!$A:$A,0)-1),2)
=LEFT(INDIRECT("数出表_Excel!A"&amp;MATCH(CD8,数出表_Excel!$A:$A,0)+1),2)),200,""))</f>
        <v>#VALUE!</v>
      </c>
      <c r="BZ10" s="249" t="str">
        <f ca="1">IF(BZ9&lt;&gt;"",
"園児","")</f>
        <v/>
      </c>
      <c r="CA10" s="250"/>
      <c r="CB10" s="251" t="str">
        <f ca="1">IF(BZ9&lt;&gt;"",
"先生","")</f>
        <v/>
      </c>
      <c r="CC10" s="250"/>
      <c r="CD10" s="97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76"/>
      <c r="CF10" s="84" t="e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249" t="str">
        <f ca="1">IF(CG9&lt;&gt;"",
"園児","")</f>
        <v/>
      </c>
      <c r="CH10" s="250"/>
      <c r="CI10" s="251" t="str">
        <f ca="1">IF(CG9&lt;&gt;"",
"先生","")</f>
        <v/>
      </c>
      <c r="CJ10" s="250"/>
      <c r="CK10" s="97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76"/>
      <c r="CM10" s="76"/>
      <c r="CN10" s="84" t="e">
        <f t="array" aca="1" ref="CN10" ca="1">IF(AND(LEFT(CS8,2)="博多",
LEFT(INDIRECT("数出表_Excel!A"&amp;MATCH(CS8,数出表_Excel!$A:$A,0)-1),2)
=LEFT(INDIRECT("数出表_Excel!A"&amp;MATCH(CS8,数出表_Excel!$A:$A,0)+1),2)),100,
IF(AND(LEFT(CS8,3)="奈良屋",
LEFT(INDIRECT("数出表_Excel!A"&amp;MATCH(CS8,数出表_Excel!$A:$A,0)-1),2)
=LEFT(INDIRECT("数出表_Excel!A"&amp;MATCH(CS8,数出表_Excel!$A:$A,0)+1),2)),200,""))</f>
        <v>#VALUE!</v>
      </c>
      <c r="CO10" s="249" t="str">
        <f ca="1">IF(CO9&lt;&gt;"",
"園児","")</f>
        <v/>
      </c>
      <c r="CP10" s="250"/>
      <c r="CQ10" s="251" t="str">
        <f ca="1">IF(CO9&lt;&gt;"",
"先生","")</f>
        <v/>
      </c>
      <c r="CR10" s="250"/>
      <c r="CS10" s="97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76"/>
      <c r="CU10" s="84" t="e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249" t="str">
        <f ca="1">IF(CV9&lt;&gt;"",
"園児","")</f>
        <v/>
      </c>
      <c r="CW10" s="250"/>
      <c r="CX10" s="251" t="str">
        <f ca="1">IF(CV9&lt;&gt;"",
"先生","")</f>
        <v/>
      </c>
      <c r="CY10" s="250"/>
      <c r="CZ10" s="97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76"/>
      <c r="DB10" s="76"/>
      <c r="DC10" s="84" t="e">
        <f t="array" aca="1" ref="DC10" ca="1">IF(AND(LEFT(DH8,2)="博多",
LEFT(INDIRECT("数出表_Excel!A"&amp;MATCH(DH8,数出表_Excel!$A:$A,0)-1),2)
=LEFT(INDIRECT("数出表_Excel!A"&amp;MATCH(DH8,数出表_Excel!$A:$A,0)+1),2)),100,
IF(AND(LEFT(DH8,3)="奈良屋",
LEFT(INDIRECT("数出表_Excel!A"&amp;MATCH(DH8,数出表_Excel!$A:$A,0)-1),2)
=LEFT(INDIRECT("数出表_Excel!A"&amp;MATCH(DH8,数出表_Excel!$A:$A,0)+1),2)),200,""))</f>
        <v>#VALUE!</v>
      </c>
      <c r="DD10" s="249" t="str">
        <f ca="1">IF(DD9&lt;&gt;"",
"園児","")</f>
        <v/>
      </c>
      <c r="DE10" s="250"/>
      <c r="DF10" s="251" t="str">
        <f ca="1">IF(DD9&lt;&gt;"",
"先生","")</f>
        <v/>
      </c>
      <c r="DG10" s="250"/>
      <c r="DH10" s="97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76"/>
      <c r="DJ10" s="84" t="e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249" t="str">
        <f ca="1">IF(DK9&lt;&gt;"",
"園児","")</f>
        <v/>
      </c>
      <c r="DL10" s="250"/>
      <c r="DM10" s="251" t="str">
        <f ca="1">IF(DK9&lt;&gt;"",
"先生","")</f>
        <v/>
      </c>
      <c r="DN10" s="250"/>
      <c r="DO10" s="97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76"/>
      <c r="DQ10" s="76"/>
      <c r="DR10" s="84" t="e">
        <f t="array" aca="1" ref="DR10" ca="1">IF(AND(LEFT(DW8,2)="博多",
LEFT(INDIRECT("数出表_Excel!A"&amp;MATCH(DW8,数出表_Excel!$A:$A,0)-1),2)
=LEFT(INDIRECT("数出表_Excel!A"&amp;MATCH(DW8,数出表_Excel!$A:$A,0)+1),2)),100,
IF(AND(LEFT(DW8,3)="奈良屋",
LEFT(INDIRECT("数出表_Excel!A"&amp;MATCH(DW8,数出表_Excel!$A:$A,0)-1),2)
=LEFT(INDIRECT("数出表_Excel!A"&amp;MATCH(DW8,数出表_Excel!$A:$A,0)+1),2)),200,""))</f>
        <v>#VALUE!</v>
      </c>
      <c r="DS10" s="249" t="str">
        <f ca="1">IF(DS9&lt;&gt;"",
"園児","")</f>
        <v/>
      </c>
      <c r="DT10" s="250"/>
      <c r="DU10" s="251" t="str">
        <f ca="1">IF(DS9&lt;&gt;"",
"先生","")</f>
        <v/>
      </c>
      <c r="DV10" s="250"/>
      <c r="DW10" s="97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76"/>
      <c r="DY10" s="84" t="e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249" t="str">
        <f ca="1">IF(DZ9&lt;&gt;"",
"園児","")</f>
        <v/>
      </c>
      <c r="EA10" s="250"/>
      <c r="EB10" s="251" t="str">
        <f ca="1">IF(DZ9&lt;&gt;"",
"先生","")</f>
        <v/>
      </c>
      <c r="EC10" s="250"/>
      <c r="ED10" s="97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76"/>
      <c r="EF10" s="76"/>
      <c r="EG10" s="84" t="e">
        <f t="array" aca="1" ref="EG10" ca="1">IF(AND(LEFT(EL8,2)="博多",
LEFT(INDIRECT("数出表_Excel!A"&amp;MATCH(EL8,数出表_Excel!$A:$A,0)-1),2)
=LEFT(INDIRECT("数出表_Excel!A"&amp;MATCH(EL8,数出表_Excel!$A:$A,0)+1),2)),100,
IF(AND(LEFT(EL8,3)="奈良屋",
LEFT(INDIRECT("数出表_Excel!A"&amp;MATCH(EL8,数出表_Excel!$A:$A,0)-1),2)
=LEFT(INDIRECT("数出表_Excel!A"&amp;MATCH(EL8,数出表_Excel!$A:$A,0)+1),2)),200,""))</f>
        <v>#VALUE!</v>
      </c>
      <c r="EH10" s="249" t="str">
        <f ca="1">IF(EH9&lt;&gt;"",
"園児","")</f>
        <v/>
      </c>
      <c r="EI10" s="250"/>
      <c r="EJ10" s="251" t="str">
        <f ca="1">IF(EH9&lt;&gt;"",
"先生","")</f>
        <v/>
      </c>
      <c r="EK10" s="250"/>
      <c r="EL10" s="97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76"/>
      <c r="EN10" s="84" t="e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249" t="str">
        <f ca="1">IF(EO9&lt;&gt;"",
"園児","")</f>
        <v/>
      </c>
      <c r="EP10" s="250"/>
      <c r="EQ10" s="251" t="str">
        <f ca="1">IF(EO9&lt;&gt;"",
"先生","")</f>
        <v/>
      </c>
      <c r="ER10" s="250"/>
      <c r="ES10" s="97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06"/>
      <c r="EU10" s="78">
        <v>7</v>
      </c>
      <c r="EV10" s="78" t="str">
        <f t="array" aca="1" ref="EV10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LEN(SUBSTITUTE(_xlfn.FORMULATEXT(EV$4),"=","")))+$EU10)</f>
        <v/>
      </c>
      <c r="EW10" s="78" t="str">
        <f t="array" aca="1" ref="EW10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LEN(SUBSTITUTE(_xlfn.FORMULATEXT(EW$4),"=","")))+$EU10)</f>
        <v/>
      </c>
      <c r="EX10" s="78" t="str">
        <f t="array" aca="1" ref="EX10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LEN(SUBSTITUTE(_xlfn.FORMULATEXT(EX$4),"=","")))+$EU10)</f>
        <v/>
      </c>
      <c r="EY10" s="78" t="str">
        <f t="array" aca="1" ref="EY10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LEN(SUBSTITUTE(_xlfn.FORMULATEXT(EY$4),"=","")))+$EU10)</f>
        <v/>
      </c>
      <c r="EZ10" s="78" t="str">
        <f t="array" aca="1" ref="EZ10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LEN(SUBSTITUTE(_xlfn.FORMULATEXT(EZ$4),"=","")))+$EU10)</f>
        <v/>
      </c>
      <c r="FA10" s="78" t="e">
        <f t="array" aca="1" ref="FA10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LEN(SUBSTITUTE(_xlfn.FORMULATEXT(FA$4),"=","")))+$EU10)</f>
        <v>#VALUE!</v>
      </c>
      <c r="FB10" s="78" t="e">
        <f t="array" aca="1" ref="FB10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LEN(SUBSTITUTE(_xlfn.FORMULATEXT(FB$4),"=","")))+$EU10)</f>
        <v>#VALUE!</v>
      </c>
      <c r="FC10" s="78" t="str">
        <f t="array" aca="1" ref="FC10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LEN(SUBSTITUTE(_xlfn.FORMULATEXT(FC$4),"=","")))+$EU10)</f>
        <v/>
      </c>
      <c r="FD10" s="78" t="e">
        <f t="array" aca="1" ref="FD10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LEN(SUBSTITUTE(_xlfn.FORMULATEXT(FD$4),"=","")))+$EU10)</f>
        <v>#VALUE!</v>
      </c>
      <c r="FE10" s="78" t="str">
        <f t="array" aca="1" ref="FE10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LEN(SUBSTITUTE(_xlfn.FORMULATEXT(FE$4),"=","")))+$EU10)</f>
        <v/>
      </c>
      <c r="FF10" s="78" t="e">
        <f t="array" aca="1" ref="FF10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LEN(SUBSTITUTE(_xlfn.FORMULATEXT(FF$4),"=","")))+$EU10)</f>
        <v>#VALUE!</v>
      </c>
      <c r="FG10" s="78">
        <f t="shared" ca="1" si="2"/>
        <v>0</v>
      </c>
      <c r="FH10" s="78" t="e">
        <f t="array" aca="1" ref="FH10" ca="1">SUMPRODUCT((LEN(EV10:FF10)&gt;0)*1)&gt;0</f>
        <v>#VALUE!</v>
      </c>
      <c r="FI10" s="78" t="str">
        <f t="array" aca="1" ref="FI10" ca="1">IFERROR(SMALL(IF(FG$1:FG$228&lt;&gt;0,FG$1:FG$228),ROW(A10)),"")</f>
        <v/>
      </c>
      <c r="FJ10" s="78" t="str">
        <f t="array" aca="1" ref="FJ10" ca="1">IF($FI10&lt;&gt;"",
INDIRECT(""&amp;IF(COLUMN(EV14)&lt;=26,CHAR(COLUMN(EV14)+64),CHAR(INT((COLUMN(EV14)-1)/26)+64)&amp;CHAR(MOD(COLUMN(EV14)-1,26)+65))&amp;$FI10&amp;""),"")</f>
        <v/>
      </c>
      <c r="FK10" s="78" t="str">
        <f t="array" aca="1" ref="FK10" ca="1">IF($FI10&lt;&gt;"",
INDIRECT(""&amp;IF(COLUMN(EW14)&lt;=26,CHAR(COLUMN(EW14)+64),CHAR(INT((COLUMN(EW14)-1)/26)+64)&amp;CHAR(MOD(COLUMN(EW14)-1,26)+65))&amp;$FI10&amp;""),"")</f>
        <v/>
      </c>
      <c r="FL10" s="78" t="str">
        <f t="array" aca="1" ref="FL10" ca="1">IF($FI10&lt;&gt;"",
INDIRECT(""&amp;IF(COLUMN(EX14)&lt;=26,CHAR(COLUMN(EX14)+64),CHAR(INT((COLUMN(EX14)-1)/26)+64)&amp;CHAR(MOD(COLUMN(EX14)-1,26)+65))&amp;$FI10&amp;""),"")</f>
        <v/>
      </c>
      <c r="FM10" s="78" t="str">
        <f t="array" aca="1" ref="FM10" ca="1">IF($FI10&lt;&gt;"",
IF(FL10="",
IF(INDIRECT("EY"&amp;$FI10&amp;"")&lt;&gt;"",
INDIRECT("EY"&amp;$FI10&amp;"")&amp;"箱"
&amp;INDIRECT("EZ"&amp;$FI10&amp;""),""),""),"")</f>
        <v/>
      </c>
      <c r="FN10" s="78" t="str">
        <f t="array" aca="1" ref="FN10" ca="1">IF($FI10&lt;&gt;"",
INDIRECT(""&amp;IF(COLUMN(FA14)&lt;=26,CHAR(COLUMN(FA14)+64),CHAR(INT((COLUMN(FA14)-1)/26)+64)&amp;CHAR(MOD(COLUMN(FA14)-1,26)+65))&amp;$FI10&amp;""),"")</f>
        <v/>
      </c>
      <c r="FO10" s="78" t="str">
        <f t="array" aca="1" ref="FO10" ca="1">IF($FI10&lt;&gt;"",
INDIRECT(""&amp;IF(COLUMN(FB14)&lt;=26,CHAR(COLUMN(FB14)+64),CHAR(INT((COLUMN(FB14)-1)/26)+64)&amp;CHAR(MOD(COLUMN(FB14)-1,26)+65))&amp;$FI10&amp;""),"")</f>
        <v/>
      </c>
      <c r="FP10" s="78" t="str">
        <f t="array" aca="1" ref="FP10" ca="1">IF($FI10&lt;&gt;"",
INDIRECT(""&amp;IF(COLUMN(FC14)&lt;=26,CHAR(COLUMN(FC14)+64),CHAR(INT((COLUMN(FC14)-1)/26)+64)&amp;CHAR(MOD(COLUMN(FC14)-1,26)+65))&amp;$FI10&amp;""),"")</f>
        <v/>
      </c>
      <c r="FQ10" s="78" t="str">
        <f t="array" aca="1" ref="FQ10" ca="1">IF($FI10&lt;&gt;"",
INDIRECT(""&amp;IF(COLUMN(FD14)&lt;=26,CHAR(COLUMN(FD14)+64),CHAR(INT((COLUMN(FD14)-1)/26)+64)&amp;CHAR(MOD(COLUMN(FD14)-1,26)+65))&amp;$FI10&amp;""),"")</f>
        <v/>
      </c>
      <c r="FR10" s="78" t="str">
        <f t="array" aca="1" ref="FR10" ca="1">IF($FI10&lt;&gt;"",
INDIRECT(""&amp;IF(COLUMN(FE14)&lt;=26,CHAR(COLUMN(FE14)+64),CHAR(INT((COLUMN(FE14)-1)/26)+64)&amp;CHAR(MOD(COLUMN(FE14)-1,26)+65))&amp;$FI10&amp;""),"")</f>
        <v/>
      </c>
      <c r="FS10" s="78" t="str">
        <f t="array" aca="1" ref="FS10" ca="1">IF($FI10&lt;&gt;"",
INDIRECT(""&amp;IF(COLUMN(FF14)&lt;=26,CHAR(COLUMN(FF14)+64),CHAR(INT((COLUMN(FF14)-1)/26)+64)&amp;CHAR(MOD(COLUMN(FF14)-1,26)+65))&amp;$FI10&amp;""),"")</f>
        <v/>
      </c>
    </row>
    <row r="11" spans="1:175" ht="18" customHeight="1" x14ac:dyDescent="0.45">
      <c r="B11" s="86"/>
      <c r="C11" s="252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253"/>
      <c r="E11" s="255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253"/>
      <c r="G11" s="97" t="e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#VALUE!</v>
      </c>
      <c r="I11" s="86"/>
      <c r="J11" s="252" t="e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253"/>
      <c r="L11" s="255" t="e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253"/>
      <c r="N11" s="97" t="e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#VALUE!</v>
      </c>
      <c r="Q11" s="86"/>
      <c r="R11" s="252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253"/>
      <c r="T11" s="255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253"/>
      <c r="V11" s="97" t="e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#VALUE!</v>
      </c>
      <c r="X11" s="86"/>
      <c r="Y11" s="252" t="e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253"/>
      <c r="AA11" s="255" t="e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253"/>
      <c r="AC11" s="97" t="e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#VALUE!</v>
      </c>
      <c r="AF11" s="86"/>
      <c r="AG11" s="252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253"/>
      <c r="AI11" s="255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253"/>
      <c r="AK11" s="97" t="e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#VALUE!</v>
      </c>
      <c r="AM11" s="86"/>
      <c r="AN11" s="252" t="e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253"/>
      <c r="AP11" s="255" t="e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253"/>
      <c r="AR11" s="97" t="e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#VALUE!</v>
      </c>
      <c r="AU11" s="86"/>
      <c r="AV11" s="252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253"/>
      <c r="AX11" s="255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253"/>
      <c r="AZ11" s="97" t="e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#VALUE!</v>
      </c>
      <c r="BB11" s="86"/>
      <c r="BC11" s="252" t="e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253"/>
      <c r="BE11" s="255" t="e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253"/>
      <c r="BG11" s="97" t="e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#VALUE!</v>
      </c>
      <c r="BJ11" s="86"/>
      <c r="BK11" s="252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253"/>
      <c r="BM11" s="255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253"/>
      <c r="BO11" s="97" t="e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#VALUE!</v>
      </c>
      <c r="BQ11" s="86"/>
      <c r="BR11" s="252" t="e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253"/>
      <c r="BT11" s="255" t="e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253"/>
      <c r="BV11" s="97" t="e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#VALUE!</v>
      </c>
      <c r="BY11" s="86"/>
      <c r="BZ11" s="252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253"/>
      <c r="CB11" s="255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253"/>
      <c r="CD11" s="97" t="e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0)),0),""),0)</f>
        <v>#VALUE!</v>
      </c>
      <c r="CF11" s="86"/>
      <c r="CG11" s="252" t="e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253"/>
      <c r="CI11" s="255" t="e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253"/>
      <c r="CK11" s="97" t="e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0)),0),""),0)</f>
        <v>#VALUE!</v>
      </c>
      <c r="CN11" s="86"/>
      <c r="CO11" s="252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253"/>
      <c r="CQ11" s="255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253"/>
      <c r="CS11" s="97" t="e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0)),0),""),0)</f>
        <v>#VALUE!</v>
      </c>
      <c r="CU11" s="86"/>
      <c r="CV11" s="252" t="e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253"/>
      <c r="CX11" s="255" t="e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253"/>
      <c r="CZ11" s="97" t="e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0)),0),""),0)</f>
        <v>#VALUE!</v>
      </c>
      <c r="DC11" s="86"/>
      <c r="DD11" s="252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253"/>
      <c r="DF11" s="255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253"/>
      <c r="DH11" s="97" t="e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0)),0),""),0)</f>
        <v>#VALUE!</v>
      </c>
      <c r="DJ11" s="86"/>
      <c r="DK11" s="252" t="e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253"/>
      <c r="DM11" s="255" t="e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253"/>
      <c r="DO11" s="97" t="e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0)),0),""),0)</f>
        <v>#VALUE!</v>
      </c>
      <c r="DR11" s="86"/>
      <c r="DS11" s="252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253"/>
      <c r="DU11" s="255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253"/>
      <c r="DW11" s="97" t="e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0)),0),""),0)</f>
        <v>#VALUE!</v>
      </c>
      <c r="DY11" s="86"/>
      <c r="DZ11" s="252" t="e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253"/>
      <c r="EB11" s="255" t="e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253"/>
      <c r="ED11" s="97" t="e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0)),0),""),0)</f>
        <v>#VALUE!</v>
      </c>
      <c r="EG11" s="86"/>
      <c r="EH11" s="252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253"/>
      <c r="EJ11" s="255" t="e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253"/>
      <c r="EL11" s="97" t="e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0)),0),""),0)</f>
        <v>#VALUE!</v>
      </c>
      <c r="EN11" s="86"/>
      <c r="EO11" s="252" t="e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253"/>
      <c r="EQ11" s="255" t="e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253"/>
      <c r="ES11" s="97" t="e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0)),0),""),0)</f>
        <v>#VALUE!</v>
      </c>
      <c r="ET11" s="106"/>
      <c r="EU11" s="78">
        <f t="shared" ref="EU11:EU36" si="3">EU5+7</f>
        <v>49</v>
      </c>
      <c r="EV11" s="78" t="str">
        <f t="array" aca="1" ref="EV11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LEN(SUBSTITUTE(_xlfn.FORMULATEXT(EV$4),"=","")))+$EU11)</f>
        <v/>
      </c>
      <c r="EW11" s="78" t="str">
        <f t="array" aca="1" ref="EW11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LEN(SUBSTITUTE(_xlfn.FORMULATEXT(EW$4),"=","")))+$EU11)</f>
        <v/>
      </c>
      <c r="EX11" s="78" t="str">
        <f t="array" aca="1" ref="EX11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LEN(SUBSTITUTE(_xlfn.FORMULATEXT(EX$4),"=","")))+$EU11)</f>
        <v/>
      </c>
      <c r="EY11" s="78" t="str">
        <f t="array" aca="1" ref="EY11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LEN(SUBSTITUTE(_xlfn.FORMULATEXT(EY$4),"=","")))+$EU11)</f>
        <v/>
      </c>
      <c r="EZ11" s="78" t="str">
        <f t="array" aca="1" ref="EZ11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LEN(SUBSTITUTE(_xlfn.FORMULATEXT(EZ$4),"=","")))+$EU11)</f>
        <v/>
      </c>
      <c r="FA11" s="78" t="str">
        <f t="array" aca="1" ref="FA11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LEN(SUBSTITUTE(_xlfn.FORMULATEXT(FA$4),"=","")))+$EU11)</f>
        <v/>
      </c>
      <c r="FB11" s="78" t="str">
        <f t="array" aca="1" ref="FB11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LEN(SUBSTITUTE(_xlfn.FORMULATEXT(FB$4),"=","")))+$EU11)</f>
        <v/>
      </c>
      <c r="FC11" s="78" t="str">
        <f t="array" aca="1" ref="FC11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LEN(SUBSTITUTE(_xlfn.FORMULATEXT(FC$4),"=","")))+$EU11)</f>
        <v/>
      </c>
      <c r="FD11" s="78" t="str">
        <f t="array" aca="1" ref="FD11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LEN(SUBSTITUTE(_xlfn.FORMULATEXT(FD$4),"=","")))+$EU11)</f>
        <v/>
      </c>
      <c r="FE11" s="78" t="str">
        <f t="array" aca="1" ref="FE11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LEN(SUBSTITUTE(_xlfn.FORMULATEXT(FE$4),"=","")))+$EU11)</f>
        <v/>
      </c>
      <c r="FF11" s="78" t="str">
        <f t="array" aca="1" ref="FF11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LEN(SUBSTITUTE(_xlfn.FORMULATEXT(FF$4),"=","")))+$EU11)</f>
        <v/>
      </c>
      <c r="FG11" s="78">
        <f t="shared" ca="1" si="2"/>
        <v>0</v>
      </c>
      <c r="FH11" s="78" t="b">
        <f t="array" aca="1" ref="FH11" ca="1">SUMPRODUCT((LEN(EV11:FF11)&gt;0)*1)&gt;0</f>
        <v>0</v>
      </c>
      <c r="FI11" s="78" t="str">
        <f t="array" aca="1" ref="FI11" ca="1">IFERROR(SMALL(IF(FG$1:FG$228&lt;&gt;0,FG$1:FG$228),ROW(A11)),"")</f>
        <v/>
      </c>
      <c r="FJ11" s="78" t="str">
        <f t="array" aca="1" ref="FJ11" ca="1">IF($FI11&lt;&gt;"",
INDIRECT(""&amp;IF(COLUMN(EV16)&lt;=26,CHAR(COLUMN(EV16)+64),CHAR(INT((COLUMN(EV16)-1)/26)+64)&amp;CHAR(MOD(COLUMN(EV16)-1,26)+65))&amp;$FI11&amp;""),"")</f>
        <v/>
      </c>
      <c r="FK11" s="78" t="str">
        <f t="array" aca="1" ref="FK11" ca="1">IF($FI11&lt;&gt;"",
INDIRECT(""&amp;IF(COLUMN(EW16)&lt;=26,CHAR(COLUMN(EW16)+64),CHAR(INT((COLUMN(EW16)-1)/26)+64)&amp;CHAR(MOD(COLUMN(EW16)-1,26)+65))&amp;$FI11&amp;""),"")</f>
        <v/>
      </c>
      <c r="FL11" s="78" t="str">
        <f t="array" aca="1" ref="FL11" ca="1">IF($FI11&lt;&gt;"",
INDIRECT(""&amp;IF(COLUMN(EX16)&lt;=26,CHAR(COLUMN(EX16)+64),CHAR(INT((COLUMN(EX16)-1)/26)+64)&amp;CHAR(MOD(COLUMN(EX16)-1,26)+65))&amp;$FI11&amp;""),"")</f>
        <v/>
      </c>
      <c r="FM11" s="78" t="str">
        <f t="array" aca="1" ref="FM11" ca="1">IF($FI11&lt;&gt;"",
IF(FL11="",
IF(INDIRECT("EY"&amp;$FI11&amp;"")&lt;&gt;"",
INDIRECT("EY"&amp;$FI11&amp;"")&amp;"箱"
&amp;INDIRECT("EZ"&amp;$FI11&amp;""),""),""),"")</f>
        <v/>
      </c>
      <c r="FN11" s="78" t="str">
        <f t="array" aca="1" ref="FN11" ca="1">IF($FI11&lt;&gt;"",
INDIRECT(""&amp;IF(COLUMN(FA16)&lt;=26,CHAR(COLUMN(FA16)+64),CHAR(INT((COLUMN(FA16)-1)/26)+64)&amp;CHAR(MOD(COLUMN(FA16)-1,26)+65))&amp;$FI11&amp;""),"")</f>
        <v/>
      </c>
      <c r="FO11" s="78" t="str">
        <f t="array" aca="1" ref="FO11" ca="1">IF($FI11&lt;&gt;"",
INDIRECT(""&amp;IF(COLUMN(FB16)&lt;=26,CHAR(COLUMN(FB16)+64),CHAR(INT((COLUMN(FB16)-1)/26)+64)&amp;CHAR(MOD(COLUMN(FB16)-1,26)+65))&amp;$FI11&amp;""),"")</f>
        <v/>
      </c>
      <c r="FP11" s="78" t="str">
        <f t="array" aca="1" ref="FP11" ca="1">IF($FI11&lt;&gt;"",
INDIRECT(""&amp;IF(COLUMN(FC16)&lt;=26,CHAR(COLUMN(FC16)+64),CHAR(INT((COLUMN(FC16)-1)/26)+64)&amp;CHAR(MOD(COLUMN(FC16)-1,26)+65))&amp;$FI11&amp;""),"")</f>
        <v/>
      </c>
      <c r="FQ11" s="78" t="str">
        <f t="array" aca="1" ref="FQ11" ca="1">IF($FI11&lt;&gt;"",
INDIRECT(""&amp;IF(COLUMN(FD16)&lt;=26,CHAR(COLUMN(FD16)+64),CHAR(INT((COLUMN(FD16)-1)/26)+64)&amp;CHAR(MOD(COLUMN(FD16)-1,26)+65))&amp;$FI11&amp;""),"")</f>
        <v/>
      </c>
      <c r="FR11" s="78" t="str">
        <f t="array" aca="1" ref="FR11" ca="1">IF($FI11&lt;&gt;"",
INDIRECT(""&amp;IF(COLUMN(FE16)&lt;=26,CHAR(COLUMN(FE16)+64),CHAR(INT((COLUMN(FE16)-1)/26)+64)&amp;CHAR(MOD(COLUMN(FE16)-1,26)+65))&amp;$FI11&amp;""),"")</f>
        <v/>
      </c>
      <c r="FS11" s="78" t="str">
        <f t="array" aca="1" ref="FS11" ca="1">IF($FI11&lt;&gt;"",
INDIRECT(""&amp;IF(COLUMN(FF16)&lt;=26,CHAR(COLUMN(FF16)+64),CHAR(INT((COLUMN(FF16)-1)/26)+64)&amp;CHAR(MOD(COLUMN(FF16)-1,26)+65))&amp;$FI11&amp;""),"")</f>
        <v/>
      </c>
    </row>
    <row r="12" spans="1:175" ht="18" customHeight="1" x14ac:dyDescent="0.45">
      <c r="B12" s="114" t="s">
        <v>37</v>
      </c>
      <c r="C12" s="254"/>
      <c r="D12" s="254"/>
      <c r="E12" s="254"/>
      <c r="F12" s="254"/>
      <c r="G12" s="98" t="str">
        <f ca="1">SUBSTITUTE(SUBSTITUTE(ADDRESS(1,MATCH("おやつ",'数出表_Excel（アレルギー入力）'!$3:$3,0)),1,""),"$","")</f>
        <v>AL</v>
      </c>
      <c r="I12" s="114" t="s">
        <v>37</v>
      </c>
      <c r="J12" s="254"/>
      <c r="K12" s="254"/>
      <c r="L12" s="254"/>
      <c r="M12" s="254"/>
      <c r="N12" s="98" t="str">
        <f ca="1">SUBSTITUTE(SUBSTITUTE(ADDRESS(1,MATCH("おやつ",'数出表_Excel（アレルギー入力）'!$3:$3,0)),1,""),"$","")</f>
        <v>AL</v>
      </c>
      <c r="Q12" s="114" t="s">
        <v>37</v>
      </c>
      <c r="R12" s="254"/>
      <c r="S12" s="254"/>
      <c r="T12" s="254"/>
      <c r="U12" s="254"/>
      <c r="V12" s="98" t="str">
        <f ca="1">SUBSTITUTE(SUBSTITUTE(ADDRESS(1,MATCH("おやつ",'数出表_Excel（アレルギー入力）'!$3:$3,0)),1,""),"$","")</f>
        <v>AL</v>
      </c>
      <c r="X12" s="114" t="s">
        <v>37</v>
      </c>
      <c r="Y12" s="254"/>
      <c r="Z12" s="254"/>
      <c r="AA12" s="254"/>
      <c r="AB12" s="254"/>
      <c r="AC12" s="98" t="str">
        <f ca="1">SUBSTITUTE(SUBSTITUTE(ADDRESS(1,MATCH("おやつ",'数出表_Excel（アレルギー入力）'!$3:$3,0)),1,""),"$","")</f>
        <v>AL</v>
      </c>
      <c r="AF12" s="114" t="s">
        <v>37</v>
      </c>
      <c r="AG12" s="254"/>
      <c r="AH12" s="254"/>
      <c r="AI12" s="254"/>
      <c r="AJ12" s="254"/>
      <c r="AK12" s="98" t="str">
        <f ca="1">SUBSTITUTE(SUBSTITUTE(ADDRESS(1,MATCH("おやつ",'数出表_Excel（アレルギー入力）'!$3:$3,0)),1,""),"$","")</f>
        <v>AL</v>
      </c>
      <c r="AM12" s="114" t="s">
        <v>37</v>
      </c>
      <c r="AN12" s="254"/>
      <c r="AO12" s="254"/>
      <c r="AP12" s="254"/>
      <c r="AQ12" s="254"/>
      <c r="AR12" s="98" t="str">
        <f ca="1">SUBSTITUTE(SUBSTITUTE(ADDRESS(1,MATCH("おやつ",'数出表_Excel（アレルギー入力）'!$3:$3,0)),1,""),"$","")</f>
        <v>AL</v>
      </c>
      <c r="AU12" s="114" t="s">
        <v>37</v>
      </c>
      <c r="AV12" s="254"/>
      <c r="AW12" s="254"/>
      <c r="AX12" s="254"/>
      <c r="AY12" s="254"/>
      <c r="AZ12" s="98" t="str">
        <f ca="1">SUBSTITUTE(SUBSTITUTE(ADDRESS(1,MATCH("おやつ",'数出表_Excel（アレルギー入力）'!$3:$3,0)),1,""),"$","")</f>
        <v>AL</v>
      </c>
      <c r="BB12" s="114" t="s">
        <v>37</v>
      </c>
      <c r="BC12" s="254"/>
      <c r="BD12" s="254"/>
      <c r="BE12" s="254"/>
      <c r="BF12" s="254"/>
      <c r="BG12" s="98" t="str">
        <f ca="1">SUBSTITUTE(SUBSTITUTE(ADDRESS(1,MATCH("おやつ",'数出表_Excel（アレルギー入力）'!$3:$3,0)),1,""),"$","")</f>
        <v>AL</v>
      </c>
      <c r="BJ12" s="114" t="s">
        <v>37</v>
      </c>
      <c r="BK12" s="254"/>
      <c r="BL12" s="254"/>
      <c r="BM12" s="254"/>
      <c r="BN12" s="254"/>
      <c r="BO12" s="98" t="str">
        <f ca="1">SUBSTITUTE(SUBSTITUTE(ADDRESS(1,MATCH("おやつ",'数出表_Excel（アレルギー入力）'!$3:$3,0)),1,""),"$","")</f>
        <v>AL</v>
      </c>
      <c r="BQ12" s="114" t="s">
        <v>37</v>
      </c>
      <c r="BR12" s="254"/>
      <c r="BS12" s="254"/>
      <c r="BT12" s="254"/>
      <c r="BU12" s="254"/>
      <c r="BV12" s="98" t="str">
        <f ca="1">SUBSTITUTE(SUBSTITUTE(ADDRESS(1,MATCH("おやつ",'数出表_Excel（アレルギー入力）'!$3:$3,0)),1,""),"$","")</f>
        <v>AL</v>
      </c>
      <c r="BY12" s="114" t="s">
        <v>37</v>
      </c>
      <c r="BZ12" s="254"/>
      <c r="CA12" s="254"/>
      <c r="CB12" s="254"/>
      <c r="CC12" s="254"/>
      <c r="CD12" s="98" t="str">
        <f ca="1">SUBSTITUTE(SUBSTITUTE(ADDRESS(1,MATCH("おやつ",'数出表_Excel（アレルギー入力）'!$3:$3,0)),1,""),"$","")</f>
        <v>AL</v>
      </c>
      <c r="CF12" s="114" t="s">
        <v>37</v>
      </c>
      <c r="CG12" s="254"/>
      <c r="CH12" s="254"/>
      <c r="CI12" s="254"/>
      <c r="CJ12" s="254"/>
      <c r="CK12" s="98" t="str">
        <f ca="1">SUBSTITUTE(SUBSTITUTE(ADDRESS(1,MATCH("おやつ",'数出表_Excel（アレルギー入力）'!$3:$3,0)),1,""),"$","")</f>
        <v>AL</v>
      </c>
      <c r="CN12" s="114" t="s">
        <v>37</v>
      </c>
      <c r="CO12" s="254"/>
      <c r="CP12" s="254"/>
      <c r="CQ12" s="254"/>
      <c r="CR12" s="254"/>
      <c r="CS12" s="98" t="str">
        <f ca="1">SUBSTITUTE(SUBSTITUTE(ADDRESS(1,MATCH("おやつ",'数出表_Excel（アレルギー入力）'!$3:$3,0)),1,""),"$","")</f>
        <v>AL</v>
      </c>
      <c r="CU12" s="114" t="s">
        <v>37</v>
      </c>
      <c r="CV12" s="254"/>
      <c r="CW12" s="254"/>
      <c r="CX12" s="254"/>
      <c r="CY12" s="254"/>
      <c r="CZ12" s="98" t="str">
        <f ca="1">SUBSTITUTE(SUBSTITUTE(ADDRESS(1,MATCH("おやつ",'数出表_Excel（アレルギー入力）'!$3:$3,0)),1,""),"$","")</f>
        <v>AL</v>
      </c>
      <c r="DC12" s="114" t="s">
        <v>37</v>
      </c>
      <c r="DD12" s="254"/>
      <c r="DE12" s="254"/>
      <c r="DF12" s="254"/>
      <c r="DG12" s="254"/>
      <c r="DH12" s="98" t="str">
        <f ca="1">SUBSTITUTE(SUBSTITUTE(ADDRESS(1,MATCH("おやつ",'数出表_Excel（アレルギー入力）'!$3:$3,0)),1,""),"$","")</f>
        <v>AL</v>
      </c>
      <c r="DJ12" s="114" t="s">
        <v>37</v>
      </c>
      <c r="DK12" s="254"/>
      <c r="DL12" s="254"/>
      <c r="DM12" s="254"/>
      <c r="DN12" s="254"/>
      <c r="DO12" s="98" t="str">
        <f ca="1">SUBSTITUTE(SUBSTITUTE(ADDRESS(1,MATCH("おやつ",'数出表_Excel（アレルギー入力）'!$3:$3,0)),1,""),"$","")</f>
        <v>AL</v>
      </c>
      <c r="DR12" s="114" t="s">
        <v>37</v>
      </c>
      <c r="DS12" s="254"/>
      <c r="DT12" s="254"/>
      <c r="DU12" s="254"/>
      <c r="DV12" s="254"/>
      <c r="DW12" s="98" t="str">
        <f ca="1">SUBSTITUTE(SUBSTITUTE(ADDRESS(1,MATCH("おやつ",'数出表_Excel（アレルギー入力）'!$3:$3,0)),1,""),"$","")</f>
        <v>AL</v>
      </c>
      <c r="DY12" s="114" t="s">
        <v>37</v>
      </c>
      <c r="DZ12" s="254"/>
      <c r="EA12" s="254"/>
      <c r="EB12" s="254"/>
      <c r="EC12" s="254"/>
      <c r="ED12" s="98" t="str">
        <f ca="1">SUBSTITUTE(SUBSTITUTE(ADDRESS(1,MATCH("おやつ",'数出表_Excel（アレルギー入力）'!$3:$3,0)),1,""),"$","")</f>
        <v>AL</v>
      </c>
      <c r="EG12" s="114" t="s">
        <v>37</v>
      </c>
      <c r="EH12" s="254"/>
      <c r="EI12" s="254"/>
      <c r="EJ12" s="254"/>
      <c r="EK12" s="254"/>
      <c r="EL12" s="98" t="str">
        <f ca="1">SUBSTITUTE(SUBSTITUTE(ADDRESS(1,MATCH("おやつ",'数出表_Excel（アレルギー入力）'!$3:$3,0)),1,""),"$","")</f>
        <v>AL</v>
      </c>
      <c r="EN12" s="114" t="s">
        <v>37</v>
      </c>
      <c r="EO12" s="254"/>
      <c r="EP12" s="254"/>
      <c r="EQ12" s="254"/>
      <c r="ER12" s="254"/>
      <c r="ES12" s="98" t="str">
        <f ca="1">SUBSTITUTE(SUBSTITUTE(ADDRESS(1,MATCH("おやつ",'数出表_Excel（アレルギー入力）'!$3:$3,0)),1,""),"$","")</f>
        <v>AL</v>
      </c>
      <c r="ET12" s="106"/>
      <c r="EU12" s="78">
        <f t="shared" si="3"/>
        <v>91</v>
      </c>
      <c r="EV12" s="78" t="str">
        <f t="array" aca="1" ref="EV12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LEN(SUBSTITUTE(_xlfn.FORMULATEXT(EV$4),"=","")))+$EU12)</f>
        <v/>
      </c>
      <c r="EW12" s="78" t="str">
        <f t="array" aca="1" ref="EW12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LEN(SUBSTITUTE(_xlfn.FORMULATEXT(EW$4),"=","")))+$EU12)</f>
        <v/>
      </c>
      <c r="EX12" s="78" t="str">
        <f t="array" aca="1" ref="EX12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LEN(SUBSTITUTE(_xlfn.FORMULATEXT(EX$4),"=","")))+$EU12)</f>
        <v/>
      </c>
      <c r="EY12" s="78" t="str">
        <f t="array" aca="1" ref="EY12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LEN(SUBSTITUTE(_xlfn.FORMULATEXT(EY$4),"=","")))+$EU12)</f>
        <v/>
      </c>
      <c r="EZ12" s="78" t="str">
        <f t="array" aca="1" ref="EZ12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LEN(SUBSTITUTE(_xlfn.FORMULATEXT(EZ$4),"=","")))+$EU12)</f>
        <v/>
      </c>
      <c r="FA12" s="78" t="str">
        <f t="array" aca="1" ref="FA12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LEN(SUBSTITUTE(_xlfn.FORMULATEXT(FA$4),"=","")))+$EU12)</f>
        <v/>
      </c>
      <c r="FB12" s="78" t="str">
        <f t="array" aca="1" ref="FB12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LEN(SUBSTITUTE(_xlfn.FORMULATEXT(FB$4),"=","")))+$EU12)</f>
        <v/>
      </c>
      <c r="FC12" s="78" t="str">
        <f t="array" aca="1" ref="FC12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LEN(SUBSTITUTE(_xlfn.FORMULATEXT(FC$4),"=","")))+$EU12)</f>
        <v/>
      </c>
      <c r="FD12" s="78" t="str">
        <f t="array" aca="1" ref="FD12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LEN(SUBSTITUTE(_xlfn.FORMULATEXT(FD$4),"=","")))+$EU12)</f>
        <v/>
      </c>
      <c r="FE12" s="78" t="str">
        <f t="array" aca="1" ref="FE12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LEN(SUBSTITUTE(_xlfn.FORMULATEXT(FE$4),"=","")))+$EU12)</f>
        <v/>
      </c>
      <c r="FF12" s="78" t="str">
        <f t="array" aca="1" ref="FF12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LEN(SUBSTITUTE(_xlfn.FORMULATEXT(FF$4),"=","")))+$EU12)</f>
        <v/>
      </c>
      <c r="FG12" s="78">
        <f t="shared" ca="1" si="2"/>
        <v>0</v>
      </c>
      <c r="FH12" s="78" t="b">
        <f t="array" aca="1" ref="FH12" ca="1">SUMPRODUCT((LEN(EV12:FF12)&gt;0)*1)&gt;0</f>
        <v>0</v>
      </c>
      <c r="FI12" s="78" t="str">
        <f t="array" aca="1" ref="FI12" ca="1">IFERROR(SMALL(IF(FG$1:FG$228&lt;&gt;0,FG$1:FG$228),ROW(A12)),"")</f>
        <v/>
      </c>
      <c r="FJ12" s="78" t="str">
        <f t="array" aca="1" ref="FJ12" ca="1">IF($FI12&lt;&gt;"",
INDIRECT(""&amp;IF(COLUMN(EV17)&lt;=26,CHAR(COLUMN(EV17)+64),CHAR(INT((COLUMN(EV17)-1)/26)+64)&amp;CHAR(MOD(COLUMN(EV17)-1,26)+65))&amp;$FI12&amp;""),"")</f>
        <v/>
      </c>
      <c r="FK12" s="78" t="str">
        <f t="array" aca="1" ref="FK12" ca="1">IF($FI12&lt;&gt;"",
INDIRECT(""&amp;IF(COLUMN(EW17)&lt;=26,CHAR(COLUMN(EW17)+64),CHAR(INT((COLUMN(EW17)-1)/26)+64)&amp;CHAR(MOD(COLUMN(EW17)-1,26)+65))&amp;$FI12&amp;""),"")</f>
        <v/>
      </c>
      <c r="FL12" s="78" t="str">
        <f t="array" aca="1" ref="FL12" ca="1">IF($FI12&lt;&gt;"",
INDIRECT(""&amp;IF(COLUMN(EX17)&lt;=26,CHAR(COLUMN(EX17)+64),CHAR(INT((COLUMN(EX17)-1)/26)+64)&amp;CHAR(MOD(COLUMN(EX17)-1,26)+65))&amp;$FI12&amp;""),"")</f>
        <v/>
      </c>
      <c r="FM12" s="78" t="str">
        <f t="array" aca="1" ref="FM12" ca="1">IF($FI12&lt;&gt;"",
IF(FL12="",
IF(INDIRECT("EY"&amp;$FI12&amp;"")&lt;&gt;"",
INDIRECT("EY"&amp;$FI12&amp;"")&amp;"箱"
&amp;INDIRECT("EZ"&amp;$FI12&amp;""),""),""),"")</f>
        <v/>
      </c>
      <c r="FN12" s="78" t="str">
        <f t="array" aca="1" ref="FN12" ca="1">IF($FI12&lt;&gt;"",
INDIRECT(""&amp;IF(COLUMN(FA17)&lt;=26,CHAR(COLUMN(FA17)+64),CHAR(INT((COLUMN(FA17)-1)/26)+64)&amp;CHAR(MOD(COLUMN(FA17)-1,26)+65))&amp;$FI12&amp;""),"")</f>
        <v/>
      </c>
      <c r="FO12" s="78" t="str">
        <f t="array" aca="1" ref="FO12" ca="1">IF($FI12&lt;&gt;"",
INDIRECT(""&amp;IF(COLUMN(FB17)&lt;=26,CHAR(COLUMN(FB17)+64),CHAR(INT((COLUMN(FB17)-1)/26)+64)&amp;CHAR(MOD(COLUMN(FB17)-1,26)+65))&amp;$FI12&amp;""),"")</f>
        <v/>
      </c>
      <c r="FP12" s="78" t="str">
        <f t="array" aca="1" ref="FP12" ca="1">IF($FI12&lt;&gt;"",
INDIRECT(""&amp;IF(COLUMN(FC17)&lt;=26,CHAR(COLUMN(FC17)+64),CHAR(INT((COLUMN(FC17)-1)/26)+64)&amp;CHAR(MOD(COLUMN(FC17)-1,26)+65))&amp;$FI12&amp;""),"")</f>
        <v/>
      </c>
      <c r="FQ12" s="78" t="str">
        <f t="array" aca="1" ref="FQ12" ca="1">IF($FI12&lt;&gt;"",
INDIRECT(""&amp;IF(COLUMN(FD17)&lt;=26,CHAR(COLUMN(FD17)+64),CHAR(INT((COLUMN(FD17)-1)/26)+64)&amp;CHAR(MOD(COLUMN(FD17)-1,26)+65))&amp;$FI12&amp;""),"")</f>
        <v/>
      </c>
      <c r="FR12" s="78" t="str">
        <f t="array" aca="1" ref="FR12" ca="1">IF($FI12&lt;&gt;"",
INDIRECT(""&amp;IF(COLUMN(FE17)&lt;=26,CHAR(COLUMN(FE17)+64),CHAR(INT((COLUMN(FE17)-1)/26)+64)&amp;CHAR(MOD(COLUMN(FE17)-1,26)+65))&amp;$FI12&amp;""),"")</f>
        <v/>
      </c>
      <c r="FS12" s="78" t="str">
        <f t="array" aca="1" ref="FS12" ca="1">IF($FI12&lt;&gt;"",
INDIRECT(""&amp;IF(COLUMN(FF17)&lt;=26,CHAR(COLUMN(FF17)+64),CHAR(INT((COLUMN(FF17)-1)/26)+64)&amp;CHAR(MOD(COLUMN(FF17)-1,26)+65))&amp;$FI12&amp;""),"")</f>
        <v/>
      </c>
    </row>
    <row r="13" spans="1:175" s="78" customFormat="1" ht="22.2" customHeight="1" x14ac:dyDescent="0.55000000000000004">
      <c r="A13" s="76"/>
      <c r="B13" s="89" t="str">
        <f ca="1">IF(C9&lt;&gt;"",
"パン箱","")</f>
        <v/>
      </c>
      <c r="C13" s="90" t="str">
        <f ca="1">IF(C9&lt;&gt;"",
IF(OR(COUNTIF('盛付札（関数）'!C9,"*キャラ*"),COUNTIF('盛付札（関数）'!C9,"*赤*")),24,
VLOOKUP('盛付札（関数）'!C9,商品マスタ一覧!$D:$I,6,FALSE)),"")</f>
        <v/>
      </c>
      <c r="D13" s="89" t="str">
        <f ca="1">IF(C9&lt;&gt;"",
" 端数","")</f>
        <v/>
      </c>
      <c r="E13" s="90"/>
      <c r="F13" s="89" t="str">
        <f ca="1">IF(C9&lt;&gt;"",
"アレルギー","")</f>
        <v/>
      </c>
      <c r="G13" s="97"/>
      <c r="H13" s="76"/>
      <c r="I13" s="89" t="str">
        <f ca="1">IF(J9&lt;&gt;"",
"パン箱","")</f>
        <v/>
      </c>
      <c r="J13" s="90" t="str">
        <f ca="1">IF(J9&lt;&gt;"",
IF(OR(COUNTIF('盛付札（関数）'!J9,"*キャラ*"),COUNTIF('盛付札（関数）'!J9,"*赤*")),24,
VLOOKUP('盛付札（関数）'!J9,商品マスタ一覧!$D:$I,6,FALSE)),"")</f>
        <v/>
      </c>
      <c r="K13" s="89" t="str">
        <f ca="1">IF(J9&lt;&gt;"",
" 端数","")</f>
        <v/>
      </c>
      <c r="L13" s="90"/>
      <c r="M13" s="89" t="str">
        <f ca="1">IF(J9&lt;&gt;"",
"アレルギー","")</f>
        <v/>
      </c>
      <c r="N13" s="97"/>
      <c r="O13" s="76"/>
      <c r="P13" s="76"/>
      <c r="Q13" s="89" t="str">
        <f ca="1">IF(R9&lt;&gt;"",
"パン箱","")</f>
        <v/>
      </c>
      <c r="R13" s="90" t="str">
        <f ca="1">IF(R9&lt;&gt;"",
IF(OR(COUNTIF('盛付札（関数）'!R9,"*キャラ*"),COUNTIF('盛付札（関数）'!R9,"*赤*")),24,
VLOOKUP('盛付札（関数）'!R9,商品マスタ一覧!$D:$I,6,FALSE)),"")</f>
        <v/>
      </c>
      <c r="S13" s="89" t="str">
        <f ca="1">IF(R9&lt;&gt;"",
" 端数","")</f>
        <v/>
      </c>
      <c r="T13" s="90"/>
      <c r="U13" s="89" t="str">
        <f ca="1">IF(R9&lt;&gt;"",
"アレルギー","")</f>
        <v/>
      </c>
      <c r="V13" s="97"/>
      <c r="W13" s="76"/>
      <c r="X13" s="89" t="str">
        <f ca="1">IF(Y9&lt;&gt;"",
"パン箱","")</f>
        <v/>
      </c>
      <c r="Y13" s="90" t="str">
        <f ca="1">IF(Y9&lt;&gt;"",
IF(OR(COUNTIF('盛付札（関数）'!Y9,"*キャラ*"),COUNTIF('盛付札（関数）'!Y9,"*赤*")),24,
VLOOKUP('盛付札（関数）'!Y9,商品マスタ一覧!$D:$I,6,FALSE)),"")</f>
        <v/>
      </c>
      <c r="Z13" s="89" t="str">
        <f ca="1">IF(Y9&lt;&gt;"",
" 端数","")</f>
        <v/>
      </c>
      <c r="AA13" s="90"/>
      <c r="AB13" s="89" t="str">
        <f ca="1">IF(Y9&lt;&gt;"",
"アレルギー","")</f>
        <v/>
      </c>
      <c r="AC13" s="97"/>
      <c r="AD13" s="76"/>
      <c r="AE13" s="76"/>
      <c r="AF13" s="89" t="str">
        <f ca="1">IF(AG9&lt;&gt;"",
"パン箱","")</f>
        <v/>
      </c>
      <c r="AG13" s="90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89" t="str">
        <f ca="1">IF(AG9&lt;&gt;"",
" 端数","")</f>
        <v/>
      </c>
      <c r="AI13" s="90"/>
      <c r="AJ13" s="89" t="str">
        <f ca="1">IF(AG9&lt;&gt;"",
"アレルギー","")</f>
        <v/>
      </c>
      <c r="AK13" s="97"/>
      <c r="AL13" s="76"/>
      <c r="AM13" s="89" t="str">
        <f ca="1">IF(AN9&lt;&gt;"",
"パン箱","")</f>
        <v/>
      </c>
      <c r="AN13" s="90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89" t="str">
        <f ca="1">IF(AN9&lt;&gt;"",
" 端数","")</f>
        <v/>
      </c>
      <c r="AP13" s="90"/>
      <c r="AQ13" s="89" t="str">
        <f ca="1">IF(AN9&lt;&gt;"",
"アレルギー","")</f>
        <v/>
      </c>
      <c r="AR13" s="97"/>
      <c r="AS13" s="76"/>
      <c r="AT13" s="76"/>
      <c r="AU13" s="89" t="str">
        <f ca="1">IF(AV9&lt;&gt;"",
"パン箱","")</f>
        <v/>
      </c>
      <c r="AV13" s="90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89" t="str">
        <f ca="1">IF(AV9&lt;&gt;"",
" 端数","")</f>
        <v/>
      </c>
      <c r="AX13" s="90"/>
      <c r="AY13" s="89" t="str">
        <f ca="1">IF(AV9&lt;&gt;"",
"アレルギー","")</f>
        <v/>
      </c>
      <c r="AZ13" s="97"/>
      <c r="BA13" s="76"/>
      <c r="BB13" s="89" t="str">
        <f ca="1">IF(BC9&lt;&gt;"",
"パン箱","")</f>
        <v/>
      </c>
      <c r="BC13" s="90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89" t="str">
        <f ca="1">IF(BC9&lt;&gt;"",
" 端数","")</f>
        <v/>
      </c>
      <c r="BE13" s="90"/>
      <c r="BF13" s="89" t="str">
        <f ca="1">IF(BC9&lt;&gt;"",
"アレルギー","")</f>
        <v/>
      </c>
      <c r="BG13" s="97"/>
      <c r="BH13" s="76"/>
      <c r="BI13" s="76"/>
      <c r="BJ13" s="89" t="str">
        <f ca="1">IF(BK9&lt;&gt;"",
"パン箱","")</f>
        <v/>
      </c>
      <c r="BK13" s="90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89" t="str">
        <f ca="1">IF(BK9&lt;&gt;"",
" 端数","")</f>
        <v/>
      </c>
      <c r="BM13" s="90"/>
      <c r="BN13" s="89" t="str">
        <f ca="1">IF(BK9&lt;&gt;"",
"アレルギー","")</f>
        <v/>
      </c>
      <c r="BO13" s="97"/>
      <c r="BP13" s="76"/>
      <c r="BQ13" s="89" t="str">
        <f ca="1">IF(BR9&lt;&gt;"",
"パン箱","")</f>
        <v/>
      </c>
      <c r="BR13" s="90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89" t="str">
        <f ca="1">IF(BR9&lt;&gt;"",
" 端数","")</f>
        <v/>
      </c>
      <c r="BT13" s="90"/>
      <c r="BU13" s="89" t="str">
        <f ca="1">IF(BR9&lt;&gt;"",
"アレルギー","")</f>
        <v/>
      </c>
      <c r="BV13" s="97"/>
      <c r="BW13" s="76"/>
      <c r="BX13" s="76"/>
      <c r="BY13" s="89" t="str">
        <f ca="1">IF(BZ9&lt;&gt;"",
"パン箱","")</f>
        <v/>
      </c>
      <c r="BZ13" s="90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89" t="str">
        <f ca="1">IF(BZ9&lt;&gt;"",
" 端数","")</f>
        <v/>
      </c>
      <c r="CB13" s="90"/>
      <c r="CC13" s="89" t="str">
        <f ca="1">IF(BZ9&lt;&gt;"",
"アレルギー","")</f>
        <v/>
      </c>
      <c r="CD13" s="97"/>
      <c r="CE13" s="76"/>
      <c r="CF13" s="89" t="str">
        <f ca="1">IF(CG9&lt;&gt;"",
"パン箱","")</f>
        <v/>
      </c>
      <c r="CG13" s="90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89" t="str">
        <f ca="1">IF(CG9&lt;&gt;"",
" 端数","")</f>
        <v/>
      </c>
      <c r="CI13" s="90"/>
      <c r="CJ13" s="89" t="str">
        <f ca="1">IF(CG9&lt;&gt;"",
"アレルギー","")</f>
        <v/>
      </c>
      <c r="CK13" s="97"/>
      <c r="CL13" s="76"/>
      <c r="CM13" s="76"/>
      <c r="CN13" s="89" t="str">
        <f ca="1">IF(CO9&lt;&gt;"",
"パン箱","")</f>
        <v/>
      </c>
      <c r="CO13" s="90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89" t="str">
        <f ca="1">IF(CO9&lt;&gt;"",
" 端数","")</f>
        <v/>
      </c>
      <c r="CQ13" s="90"/>
      <c r="CR13" s="89" t="str">
        <f ca="1">IF(CO9&lt;&gt;"",
"アレルギー","")</f>
        <v/>
      </c>
      <c r="CS13" s="97"/>
      <c r="CT13" s="76"/>
      <c r="CU13" s="89" t="str">
        <f ca="1">IF(CV9&lt;&gt;"",
"パン箱","")</f>
        <v/>
      </c>
      <c r="CV13" s="90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89" t="str">
        <f ca="1">IF(CV9&lt;&gt;"",
" 端数","")</f>
        <v/>
      </c>
      <c r="CX13" s="90"/>
      <c r="CY13" s="89" t="str">
        <f ca="1">IF(CV9&lt;&gt;"",
"アレルギー","")</f>
        <v/>
      </c>
      <c r="CZ13" s="97"/>
      <c r="DA13" s="76"/>
      <c r="DB13" s="76"/>
      <c r="DC13" s="89" t="str">
        <f ca="1">IF(DD9&lt;&gt;"",
"パン箱","")</f>
        <v/>
      </c>
      <c r="DD13" s="90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89" t="str">
        <f ca="1">IF(DD9&lt;&gt;"",
" 端数","")</f>
        <v/>
      </c>
      <c r="DF13" s="90"/>
      <c r="DG13" s="89" t="str">
        <f ca="1">IF(DD9&lt;&gt;"",
"アレルギー","")</f>
        <v/>
      </c>
      <c r="DH13" s="97"/>
      <c r="DI13" s="76"/>
      <c r="DJ13" s="89" t="str">
        <f ca="1">IF(DK9&lt;&gt;"",
"パン箱","")</f>
        <v/>
      </c>
      <c r="DK13" s="90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89" t="str">
        <f ca="1">IF(DK9&lt;&gt;"",
" 端数","")</f>
        <v/>
      </c>
      <c r="DM13" s="90"/>
      <c r="DN13" s="89" t="str">
        <f ca="1">IF(DK9&lt;&gt;"",
"アレルギー","")</f>
        <v/>
      </c>
      <c r="DO13" s="97"/>
      <c r="DP13" s="76"/>
      <c r="DQ13" s="76"/>
      <c r="DR13" s="89" t="str">
        <f ca="1">IF(DS9&lt;&gt;"",
"パン箱","")</f>
        <v/>
      </c>
      <c r="DS13" s="90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89" t="str">
        <f ca="1">IF(DS9&lt;&gt;"",
" 端数","")</f>
        <v/>
      </c>
      <c r="DU13" s="90"/>
      <c r="DV13" s="89" t="str">
        <f ca="1">IF(DS9&lt;&gt;"",
"アレルギー","")</f>
        <v/>
      </c>
      <c r="DW13" s="97"/>
      <c r="DX13" s="76"/>
      <c r="DY13" s="89" t="str">
        <f ca="1">IF(DZ9&lt;&gt;"",
"パン箱","")</f>
        <v/>
      </c>
      <c r="DZ13" s="90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89" t="str">
        <f ca="1">IF(DZ9&lt;&gt;"",
" 端数","")</f>
        <v/>
      </c>
      <c r="EB13" s="90"/>
      <c r="EC13" s="89" t="str">
        <f ca="1">IF(DZ9&lt;&gt;"",
"アレルギー","")</f>
        <v/>
      </c>
      <c r="ED13" s="97"/>
      <c r="EE13" s="76"/>
      <c r="EF13" s="76"/>
      <c r="EG13" s="89" t="str">
        <f ca="1">IF(EH9&lt;&gt;"",
"パン箱","")</f>
        <v/>
      </c>
      <c r="EH13" s="90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89" t="str">
        <f ca="1">IF(EH9&lt;&gt;"",
" 端数","")</f>
        <v/>
      </c>
      <c r="EJ13" s="90"/>
      <c r="EK13" s="89" t="str">
        <f ca="1">IF(EH9&lt;&gt;"",
"アレルギー","")</f>
        <v/>
      </c>
      <c r="EL13" s="97"/>
      <c r="EM13" s="76"/>
      <c r="EN13" s="89" t="str">
        <f ca="1">IF(EO9&lt;&gt;"",
"パン箱","")</f>
        <v/>
      </c>
      <c r="EO13" s="90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89" t="str">
        <f ca="1">IF(EO9&lt;&gt;"",
" 端数","")</f>
        <v/>
      </c>
      <c r="EQ13" s="90"/>
      <c r="ER13" s="89" t="str">
        <f ca="1">IF(EO9&lt;&gt;"",
"アレルギー","")</f>
        <v/>
      </c>
      <c r="ES13" s="97"/>
      <c r="ET13" s="106"/>
      <c r="EU13" s="78">
        <f t="shared" si="3"/>
        <v>14</v>
      </c>
      <c r="EV13" s="78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78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78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78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78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78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78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78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78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78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78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78">
        <f t="shared" ca="1" si="2"/>
        <v>0</v>
      </c>
      <c r="FH13" s="78" t="e">
        <f t="array" aca="1" ref="FH13" ca="1">SUMPRODUCT((LEN(EV13:FF13)&gt;0)*1)&gt;0</f>
        <v>#VALUE!</v>
      </c>
      <c r="FI13" s="78" t="str">
        <f t="array" aca="1" ref="FI13" ca="1">IFERROR(SMALL(IF(FG$1:FG$228&lt;&gt;0,FG$1:FG$228),ROW(A13)),"")</f>
        <v/>
      </c>
      <c r="FJ13" s="78" t="str">
        <f t="array" aca="1" ref="FJ13" ca="1">IF($FI13&lt;&gt;"",
INDIRECT(""&amp;IF(COLUMN(EV19)&lt;=26,CHAR(COLUMN(EV19)+64),CHAR(INT((COLUMN(EV19)-1)/26)+64)&amp;CHAR(MOD(COLUMN(EV19)-1,26)+65))&amp;$FI13&amp;""),"")</f>
        <v/>
      </c>
      <c r="FK13" s="78" t="str">
        <f t="array" aca="1" ref="FK13" ca="1">IF($FI13&lt;&gt;"",
INDIRECT(""&amp;IF(COLUMN(EW19)&lt;=26,CHAR(COLUMN(EW19)+64),CHAR(INT((COLUMN(EW19)-1)/26)+64)&amp;CHAR(MOD(COLUMN(EW19)-1,26)+65))&amp;$FI13&amp;""),"")</f>
        <v/>
      </c>
      <c r="FL13" s="78" t="str">
        <f t="array" aca="1" ref="FL13" ca="1">IF($FI13&lt;&gt;"",
INDIRECT(""&amp;IF(COLUMN(EX19)&lt;=26,CHAR(COLUMN(EX19)+64),CHAR(INT((COLUMN(EX19)-1)/26)+64)&amp;CHAR(MOD(COLUMN(EX19)-1,26)+65))&amp;$FI13&amp;""),"")</f>
        <v/>
      </c>
      <c r="FM13" s="78" t="str">
        <f t="array" aca="1" ref="FM13" ca="1">IF($FI13&lt;&gt;"",
IF(FL13="",
IF(INDIRECT("EY"&amp;$FI13&amp;"")&lt;&gt;"",
INDIRECT("EY"&amp;$FI13&amp;"")&amp;"箱"
&amp;INDIRECT("EZ"&amp;$FI13&amp;""),""),""),"")</f>
        <v/>
      </c>
      <c r="FN13" s="78" t="str">
        <f t="array" aca="1" ref="FN13" ca="1">IF($FI13&lt;&gt;"",
INDIRECT(""&amp;IF(COLUMN(FA19)&lt;=26,CHAR(COLUMN(FA19)+64),CHAR(INT((COLUMN(FA19)-1)/26)+64)&amp;CHAR(MOD(COLUMN(FA19)-1,26)+65))&amp;$FI13&amp;""),"")</f>
        <v/>
      </c>
      <c r="FO13" s="78" t="str">
        <f t="array" aca="1" ref="FO13" ca="1">IF($FI13&lt;&gt;"",
INDIRECT(""&amp;IF(COLUMN(FB19)&lt;=26,CHAR(COLUMN(FB19)+64),CHAR(INT((COLUMN(FB19)-1)/26)+64)&amp;CHAR(MOD(COLUMN(FB19)-1,26)+65))&amp;$FI13&amp;""),"")</f>
        <v/>
      </c>
      <c r="FP13" s="78" t="str">
        <f t="array" aca="1" ref="FP13" ca="1">IF($FI13&lt;&gt;"",
INDIRECT(""&amp;IF(COLUMN(FC19)&lt;=26,CHAR(COLUMN(FC19)+64),CHAR(INT((COLUMN(FC19)-1)/26)+64)&amp;CHAR(MOD(COLUMN(FC19)-1,26)+65))&amp;$FI13&amp;""),"")</f>
        <v/>
      </c>
      <c r="FQ13" s="78" t="str">
        <f t="array" aca="1" ref="FQ13" ca="1">IF($FI13&lt;&gt;"",
INDIRECT(""&amp;IF(COLUMN(FD19)&lt;=26,CHAR(COLUMN(FD19)+64),CHAR(INT((COLUMN(FD19)-1)/26)+64)&amp;CHAR(MOD(COLUMN(FD19)-1,26)+65))&amp;$FI13&amp;""),"")</f>
        <v/>
      </c>
      <c r="FR13" s="78" t="str">
        <f t="array" aca="1" ref="FR13" ca="1">IF($FI13&lt;&gt;"",
INDIRECT(""&amp;IF(COLUMN(FE19)&lt;=26,CHAR(COLUMN(FE19)+64),CHAR(INT((COLUMN(FE19)-1)/26)+64)&amp;CHAR(MOD(COLUMN(FE19)-1,26)+65))&amp;$FI13&amp;""),"")</f>
        <v/>
      </c>
      <c r="FS13" s="78" t="str">
        <f t="array" aca="1" ref="FS13" ca="1">IF($FI13&lt;&gt;"",
INDIRECT(""&amp;IF(COLUMN(FF19)&lt;=26,CHAR(COLUMN(FF19)+64),CHAR(INT((COLUMN(FF19)-1)/26)+64)&amp;CHAR(MOD(COLUMN(FF19)-1,26)+65))&amp;$FI13&amp;""),"")</f>
        <v/>
      </c>
    </row>
    <row r="14" spans="1:175" ht="21" customHeight="1" x14ac:dyDescent="0.45">
      <c r="B14" s="244" t="e">
        <f ca="1">IF(C11&lt;&gt;"",
IFERROR(INT(C11/C13),""),"")</f>
        <v>#VALUE!</v>
      </c>
      <c r="C14" s="245"/>
      <c r="D14" s="244" t="str">
        <f ca="1">IFERROR(MOD(C11,C13),"")</f>
        <v/>
      </c>
      <c r="E14" s="245"/>
      <c r="F14" s="246" t="e">
        <f ca="1">G10+G11</f>
        <v>#VALUE!</v>
      </c>
      <c r="G14" s="245"/>
      <c r="I14" s="244" t="e">
        <f ca="1">IF(J11&lt;&gt;"",
IFERROR(INT(J11/J13),""),"")</f>
        <v>#VALUE!</v>
      </c>
      <c r="J14" s="245"/>
      <c r="K14" s="244" t="str">
        <f ca="1">IFERROR(MOD(J11,J13),"")</f>
        <v/>
      </c>
      <c r="L14" s="245"/>
      <c r="M14" s="246" t="e">
        <f ca="1">N10+N11</f>
        <v>#VALUE!</v>
      </c>
      <c r="N14" s="245"/>
      <c r="Q14" s="244" t="e">
        <f ca="1">IF(R11&lt;&gt;"",
IFERROR(INT(R11/R13),""),"")</f>
        <v>#VALUE!</v>
      </c>
      <c r="R14" s="245"/>
      <c r="S14" s="244" t="str">
        <f ca="1">IFERROR(MOD(R11,R13),"")</f>
        <v/>
      </c>
      <c r="T14" s="245"/>
      <c r="U14" s="246" t="e">
        <f ca="1">V10+V11</f>
        <v>#VALUE!</v>
      </c>
      <c r="V14" s="245"/>
      <c r="X14" s="244" t="e">
        <f ca="1">IF(Y11&lt;&gt;"",
IFERROR(INT(Y11/Y13),""),"")</f>
        <v>#VALUE!</v>
      </c>
      <c r="Y14" s="245"/>
      <c r="Z14" s="244" t="str">
        <f ca="1">IFERROR(MOD(Y11,Y13),"")</f>
        <v/>
      </c>
      <c r="AA14" s="245"/>
      <c r="AB14" s="246" t="e">
        <f ca="1">AC10+AC11</f>
        <v>#VALUE!</v>
      </c>
      <c r="AC14" s="245"/>
      <c r="AF14" s="244" t="e">
        <f ca="1">IF(AG11&lt;&gt;"",
IFERROR(INT(AG11/AG13),""),"")</f>
        <v>#VALUE!</v>
      </c>
      <c r="AG14" s="245"/>
      <c r="AH14" s="244" t="str">
        <f ca="1">IFERROR(MOD(AG11,AG13),"")</f>
        <v/>
      </c>
      <c r="AI14" s="245"/>
      <c r="AJ14" s="246" t="e">
        <f ca="1">AK10+AK11</f>
        <v>#VALUE!</v>
      </c>
      <c r="AK14" s="245"/>
      <c r="AM14" s="244" t="e">
        <f ca="1">IF(AN11&lt;&gt;"",
IFERROR(INT(AN11/AN13),""),"")</f>
        <v>#VALUE!</v>
      </c>
      <c r="AN14" s="245"/>
      <c r="AO14" s="244" t="str">
        <f ca="1">IFERROR(MOD(AN11,AN13),"")</f>
        <v/>
      </c>
      <c r="AP14" s="245"/>
      <c r="AQ14" s="246" t="e">
        <f ca="1">AR10+AR11</f>
        <v>#VALUE!</v>
      </c>
      <c r="AR14" s="245"/>
      <c r="AU14" s="244" t="e">
        <f ca="1">IF(AV11&lt;&gt;"",
IFERROR(INT(AV11/AV13),""),"")</f>
        <v>#VALUE!</v>
      </c>
      <c r="AV14" s="245"/>
      <c r="AW14" s="244" t="str">
        <f ca="1">IFERROR(MOD(AV11,AV13),"")</f>
        <v/>
      </c>
      <c r="AX14" s="245"/>
      <c r="AY14" s="246" t="e">
        <f ca="1">AZ10+AZ11</f>
        <v>#VALUE!</v>
      </c>
      <c r="AZ14" s="245"/>
      <c r="BB14" s="244" t="e">
        <f ca="1">IF(BC11&lt;&gt;"",
IFERROR(INT(BC11/BC13),""),"")</f>
        <v>#VALUE!</v>
      </c>
      <c r="BC14" s="245"/>
      <c r="BD14" s="244" t="str">
        <f ca="1">IFERROR(MOD(BC11,BC13),"")</f>
        <v/>
      </c>
      <c r="BE14" s="245"/>
      <c r="BF14" s="246" t="e">
        <f ca="1">BG10+BG11</f>
        <v>#VALUE!</v>
      </c>
      <c r="BG14" s="245"/>
      <c r="BJ14" s="244" t="e">
        <f ca="1">IF(BK11&lt;&gt;"",
IFERROR(INT(BK11/BK13),""),"")</f>
        <v>#VALUE!</v>
      </c>
      <c r="BK14" s="245"/>
      <c r="BL14" s="244" t="str">
        <f ca="1">IFERROR(MOD(BK11,BK13),"")</f>
        <v/>
      </c>
      <c r="BM14" s="245"/>
      <c r="BN14" s="246" t="e">
        <f ca="1">BO10+BO11</f>
        <v>#VALUE!</v>
      </c>
      <c r="BO14" s="245"/>
      <c r="BQ14" s="244" t="e">
        <f ca="1">IF(BR11&lt;&gt;"",
IFERROR(INT(BR11/BR13),""),"")</f>
        <v>#VALUE!</v>
      </c>
      <c r="BR14" s="245"/>
      <c r="BS14" s="244" t="str">
        <f ca="1">IFERROR(MOD(BR11,BR13),"")</f>
        <v/>
      </c>
      <c r="BT14" s="245"/>
      <c r="BU14" s="246" t="e">
        <f ca="1">BV10+BV11</f>
        <v>#VALUE!</v>
      </c>
      <c r="BV14" s="245"/>
      <c r="BY14" s="244" t="e">
        <f ca="1">IF(BZ11&lt;&gt;"",
IFERROR(INT(BZ11/BZ13),""),"")</f>
        <v>#VALUE!</v>
      </c>
      <c r="BZ14" s="245"/>
      <c r="CA14" s="244" t="str">
        <f ca="1">IFERROR(MOD(BZ11,BZ13),"")</f>
        <v/>
      </c>
      <c r="CB14" s="245"/>
      <c r="CC14" s="246" t="e">
        <f ca="1">CD10+CD11</f>
        <v>#VALUE!</v>
      </c>
      <c r="CD14" s="245"/>
      <c r="CF14" s="244" t="e">
        <f ca="1">IF(CG11&lt;&gt;"",
IFERROR(INT(CG11/CG13),""),"")</f>
        <v>#VALUE!</v>
      </c>
      <c r="CG14" s="245"/>
      <c r="CH14" s="244" t="str">
        <f ca="1">IFERROR(MOD(CG11,CG13),"")</f>
        <v/>
      </c>
      <c r="CI14" s="245"/>
      <c r="CJ14" s="246" t="e">
        <f ca="1">CK10+CK11</f>
        <v>#VALUE!</v>
      </c>
      <c r="CK14" s="245"/>
      <c r="CN14" s="244" t="e">
        <f ca="1">IF(CO11&lt;&gt;"",
IFERROR(INT(CO11/CO13),""),"")</f>
        <v>#VALUE!</v>
      </c>
      <c r="CO14" s="245"/>
      <c r="CP14" s="244" t="str">
        <f ca="1">IFERROR(MOD(CO11,CO13),"")</f>
        <v/>
      </c>
      <c r="CQ14" s="245"/>
      <c r="CR14" s="246" t="e">
        <f ca="1">CS10+CS11</f>
        <v>#VALUE!</v>
      </c>
      <c r="CS14" s="245"/>
      <c r="CU14" s="244" t="e">
        <f ca="1">IF(CV11&lt;&gt;"",
IFERROR(INT(CV11/CV13),""),"")</f>
        <v>#VALUE!</v>
      </c>
      <c r="CV14" s="245"/>
      <c r="CW14" s="244" t="str">
        <f ca="1">IFERROR(MOD(CV11,CV13),"")</f>
        <v/>
      </c>
      <c r="CX14" s="245"/>
      <c r="CY14" s="246" t="e">
        <f ca="1">CZ10+CZ11</f>
        <v>#VALUE!</v>
      </c>
      <c r="CZ14" s="245"/>
      <c r="DC14" s="244" t="e">
        <f ca="1">IF(DD11&lt;&gt;"",
IFERROR(INT(DD11/DD13),""),"")</f>
        <v>#VALUE!</v>
      </c>
      <c r="DD14" s="245"/>
      <c r="DE14" s="244" t="str">
        <f ca="1">IFERROR(MOD(DD11,DD13),"")</f>
        <v/>
      </c>
      <c r="DF14" s="245"/>
      <c r="DG14" s="246" t="e">
        <f ca="1">DH10+DH11</f>
        <v>#VALUE!</v>
      </c>
      <c r="DH14" s="245"/>
      <c r="DJ14" s="244" t="e">
        <f ca="1">IF(DK11&lt;&gt;"",
IFERROR(INT(DK11/DK13),""),"")</f>
        <v>#VALUE!</v>
      </c>
      <c r="DK14" s="245"/>
      <c r="DL14" s="244" t="str">
        <f ca="1">IFERROR(MOD(DK11,DK13),"")</f>
        <v/>
      </c>
      <c r="DM14" s="245"/>
      <c r="DN14" s="246" t="e">
        <f ca="1">DO10+DO11</f>
        <v>#VALUE!</v>
      </c>
      <c r="DO14" s="245"/>
      <c r="DR14" s="244" t="e">
        <f ca="1">IF(DS11&lt;&gt;"",
IFERROR(INT(DS11/DS13),""),"")</f>
        <v>#VALUE!</v>
      </c>
      <c r="DS14" s="245"/>
      <c r="DT14" s="244" t="str">
        <f ca="1">IFERROR(MOD(DS11,DS13),"")</f>
        <v/>
      </c>
      <c r="DU14" s="245"/>
      <c r="DV14" s="246" t="e">
        <f ca="1">DW10+DW11</f>
        <v>#VALUE!</v>
      </c>
      <c r="DW14" s="245"/>
      <c r="DY14" s="244" t="e">
        <f ca="1">IF(DZ11&lt;&gt;"",
IFERROR(INT(DZ11/DZ13),""),"")</f>
        <v>#VALUE!</v>
      </c>
      <c r="DZ14" s="245"/>
      <c r="EA14" s="244" t="str">
        <f ca="1">IFERROR(MOD(DZ11,DZ13),"")</f>
        <v/>
      </c>
      <c r="EB14" s="245"/>
      <c r="EC14" s="246" t="e">
        <f ca="1">ED10+ED11</f>
        <v>#VALUE!</v>
      </c>
      <c r="ED14" s="245"/>
      <c r="EG14" s="244" t="e">
        <f ca="1">IF(EH11&lt;&gt;"",
IFERROR(INT(EH11/EH13),""),"")</f>
        <v>#VALUE!</v>
      </c>
      <c r="EH14" s="245"/>
      <c r="EI14" s="244" t="str">
        <f ca="1">IFERROR(MOD(EH11,EH13),"")</f>
        <v/>
      </c>
      <c r="EJ14" s="245"/>
      <c r="EK14" s="246" t="e">
        <f ca="1">EL10+EL11</f>
        <v>#VALUE!</v>
      </c>
      <c r="EL14" s="245"/>
      <c r="EN14" s="244" t="e">
        <f ca="1">IF(EO11&lt;&gt;"",
IFERROR(INT(EO11/EO13),""),"")</f>
        <v>#VALUE!</v>
      </c>
      <c r="EO14" s="245"/>
      <c r="EP14" s="244" t="str">
        <f ca="1">IFERROR(MOD(EO11,EO13),"")</f>
        <v/>
      </c>
      <c r="EQ14" s="245"/>
      <c r="ER14" s="246" t="e">
        <f ca="1">ES10+ES11</f>
        <v>#VALUE!</v>
      </c>
      <c r="ES14" s="245"/>
      <c r="ET14" s="71"/>
      <c r="EU14" s="78">
        <f t="shared" si="3"/>
        <v>56</v>
      </c>
      <c r="EV14" s="78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78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78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78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78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78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78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78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78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78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78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78">
        <f t="shared" ca="1" si="2"/>
        <v>0</v>
      </c>
      <c r="FH14" s="78" t="b">
        <f t="array" aca="1" ref="FH14" ca="1">SUMPRODUCT((LEN(EV14:FF14)&gt;0)*1)&gt;0</f>
        <v>0</v>
      </c>
      <c r="FI14" s="78" t="str">
        <f t="array" aca="1" ref="FI14" ca="1">IFERROR(SMALL(IF(FG$1:FG$228&lt;&gt;0,FG$1:FG$228),ROW(A14)),"")</f>
        <v/>
      </c>
      <c r="FJ14" s="78" t="str">
        <f t="array" aca="1" ref="FJ14" ca="1">IF($FI14&lt;&gt;"",
INDIRECT(""&amp;IF(COLUMN(EV20)&lt;=26,CHAR(COLUMN(EV20)+64),CHAR(INT((COLUMN(EV20)-1)/26)+64)&amp;CHAR(MOD(COLUMN(EV20)-1,26)+65))&amp;$FI14&amp;""),"")</f>
        <v/>
      </c>
      <c r="FK14" s="78" t="str">
        <f t="array" aca="1" ref="FK14" ca="1">IF($FI14&lt;&gt;"",
INDIRECT(""&amp;IF(COLUMN(EW20)&lt;=26,CHAR(COLUMN(EW20)+64),CHAR(INT((COLUMN(EW20)-1)/26)+64)&amp;CHAR(MOD(COLUMN(EW20)-1,26)+65))&amp;$FI14&amp;""),"")</f>
        <v/>
      </c>
      <c r="FL14" s="78" t="str">
        <f t="array" aca="1" ref="FL14" ca="1">IF($FI14&lt;&gt;"",
INDIRECT(""&amp;IF(COLUMN(EX20)&lt;=26,CHAR(COLUMN(EX20)+64),CHAR(INT((COLUMN(EX20)-1)/26)+64)&amp;CHAR(MOD(COLUMN(EX20)-1,26)+65))&amp;$FI14&amp;""),"")</f>
        <v/>
      </c>
      <c r="FM14" s="78" t="str">
        <f t="array" aca="1" ref="FM14" ca="1">IF($FI14&lt;&gt;"",
IF(FL14="",
IF(INDIRECT("EY"&amp;$FI14&amp;"")&lt;&gt;"",
INDIRECT("EY"&amp;$FI14&amp;"")&amp;"箱"
&amp;INDIRECT("EZ"&amp;$FI14&amp;""),""),""),"")</f>
        <v/>
      </c>
      <c r="FN14" s="78" t="str">
        <f t="array" aca="1" ref="FN14" ca="1">IF($FI14&lt;&gt;"",
INDIRECT(""&amp;IF(COLUMN(FA20)&lt;=26,CHAR(COLUMN(FA20)+64),CHAR(INT((COLUMN(FA20)-1)/26)+64)&amp;CHAR(MOD(COLUMN(FA20)-1,26)+65))&amp;$FI14&amp;""),"")</f>
        <v/>
      </c>
      <c r="FO14" s="78" t="str">
        <f t="array" aca="1" ref="FO14" ca="1">IF($FI14&lt;&gt;"",
INDIRECT(""&amp;IF(COLUMN(FB20)&lt;=26,CHAR(COLUMN(FB20)+64),CHAR(INT((COLUMN(FB20)-1)/26)+64)&amp;CHAR(MOD(COLUMN(FB20)-1,26)+65))&amp;$FI14&amp;""),"")</f>
        <v/>
      </c>
      <c r="FP14" s="78" t="str">
        <f t="array" aca="1" ref="FP14" ca="1">IF($FI14&lt;&gt;"",
INDIRECT(""&amp;IF(COLUMN(FC20)&lt;=26,CHAR(COLUMN(FC20)+64),CHAR(INT((COLUMN(FC20)-1)/26)+64)&amp;CHAR(MOD(COLUMN(FC20)-1,26)+65))&amp;$FI14&amp;""),"")</f>
        <v/>
      </c>
      <c r="FQ14" s="78" t="str">
        <f t="array" aca="1" ref="FQ14" ca="1">IF($FI14&lt;&gt;"",
INDIRECT(""&amp;IF(COLUMN(FD20)&lt;=26,CHAR(COLUMN(FD20)+64),CHAR(INT((COLUMN(FD20)-1)/26)+64)&amp;CHAR(MOD(COLUMN(FD20)-1,26)+65))&amp;$FI14&amp;""),"")</f>
        <v/>
      </c>
      <c r="FR14" s="78" t="str">
        <f t="array" aca="1" ref="FR14" ca="1">IF($FI14&lt;&gt;"",
INDIRECT(""&amp;IF(COLUMN(FE20)&lt;=26,CHAR(COLUMN(FE20)+64),CHAR(INT((COLUMN(FE20)-1)/26)+64)&amp;CHAR(MOD(COLUMN(FE20)-1,26)+65))&amp;$FI14&amp;""),"")</f>
        <v/>
      </c>
      <c r="FS14" s="78" t="str">
        <f t="array" aca="1" ref="FS14" ca="1">IF($FI14&lt;&gt;"",
INDIRECT(""&amp;IF(COLUMN(FF20)&lt;=26,CHAR(COLUMN(FF20)+64),CHAR(INT((COLUMN(FF20)-1)/26)+64)&amp;CHAR(MOD(COLUMN(FF20)-1,26)+65))&amp;$FI14&amp;""),"")</f>
        <v/>
      </c>
    </row>
    <row r="15" spans="1:175" s="78" customFormat="1" ht="18" customHeight="1" x14ac:dyDescent="0.55000000000000004">
      <c r="A15" s="76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77" t="e">
        <f t="array" aca="1" ref="B15" ca="1">GetResult(A16)</f>
        <v>#VALUE!</v>
      </c>
      <c r="C15" s="247" t="str">
        <f ca="1">IF(C16&lt;&gt;"",
IF(LEFT(G15,2)="博多",
LEFT(G15,FIND("週",G15)-1),
G15),"")</f>
        <v/>
      </c>
      <c r="D15" s="248"/>
      <c r="E15" s="248"/>
      <c r="F15" s="248"/>
      <c r="G15" s="95" t="e">
        <f t="array" aca="1" ref="G15" ca="1">INDIRECT("数出表_Excel!A"&amp;B15)</f>
        <v>#VALUE!</v>
      </c>
      <c r="H15" s="76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77" t="e">
        <f t="array" aca="1" ref="I15" ca="1">GetResult(H16)</f>
        <v>#VALUE!</v>
      </c>
      <c r="J15" s="247" t="str">
        <f ca="1">IF(J16&lt;&gt;"",
IF(LEFT(N15,2)="博多",
LEFT(N15,FIND("週",N15)-1),
N15),"")</f>
        <v/>
      </c>
      <c r="K15" s="248"/>
      <c r="L15" s="248"/>
      <c r="M15" s="248"/>
      <c r="N15" s="91" t="e">
        <f t="array" aca="1" ref="N15" ca="1">INDIRECT("数出表_Excel!A"&amp;I15)</f>
        <v>#VALUE!</v>
      </c>
      <c r="O15" s="76"/>
      <c r="P15" s="76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77" t="e">
        <f t="array" aca="1" ref="Q15" ca="1">GetResult(P16)</f>
        <v>#VALUE!</v>
      </c>
      <c r="R15" s="247" t="str">
        <f ca="1">IF(R16&lt;&gt;"",
IF(LEFT(V15,2)="博多",
LEFT(V15,FIND("週",V15)-1),
V15),"")</f>
        <v/>
      </c>
      <c r="S15" s="248"/>
      <c r="T15" s="248"/>
      <c r="U15" s="248"/>
      <c r="V15" s="95" t="e">
        <f t="array" aca="1" ref="V15" ca="1">INDIRECT("数出表_Excel!A"&amp;Q15)</f>
        <v>#VALUE!</v>
      </c>
      <c r="W15" s="76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77" t="e">
        <f t="array" aca="1" ref="X15" ca="1">GetResult(W16)</f>
        <v>#VALUE!</v>
      </c>
      <c r="Y15" s="247" t="str">
        <f ca="1">IF(Y16&lt;&gt;"",
IF(LEFT(AC15,2)="博多",
LEFT(AC15,FIND("週",AC15)-1),
AC15),"")</f>
        <v/>
      </c>
      <c r="Z15" s="248"/>
      <c r="AA15" s="248"/>
      <c r="AB15" s="248"/>
      <c r="AC15" s="91" t="e">
        <f t="array" aca="1" ref="AC15" ca="1">INDIRECT("数出表_Excel!A"&amp;X15)</f>
        <v>#VALUE!</v>
      </c>
      <c r="AD15" s="76"/>
      <c r="AE15" s="76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77" t="e">
        <f t="array" aca="1" ref="AF15" ca="1">GetResult(AE16)</f>
        <v>#VALUE!</v>
      </c>
      <c r="AG15" s="247" t="str">
        <f ca="1">IF(AG16&lt;&gt;"",
IF(LEFT(AK15,2)="博多",
LEFT(AK15,FIND("週",AK15)-1),
AK15),"")</f>
        <v/>
      </c>
      <c r="AH15" s="248"/>
      <c r="AI15" s="248"/>
      <c r="AJ15" s="248"/>
      <c r="AK15" s="95" t="e">
        <f t="array" aca="1" ref="AK15" ca="1">INDIRECT("数出表_Excel!A"&amp;AF15)</f>
        <v>#VALUE!</v>
      </c>
      <c r="AL15" s="76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77" t="e">
        <f t="array" aca="1" ref="AM15" ca="1">GetResult(AL16)</f>
        <v>#VALUE!</v>
      </c>
      <c r="AN15" s="247" t="str">
        <f ca="1">IF(AN16&lt;&gt;"",
IF(LEFT(AR15,2)="博多",
LEFT(AR15,FIND("週",AR15)-1),
AR15),"")</f>
        <v/>
      </c>
      <c r="AO15" s="248"/>
      <c r="AP15" s="248"/>
      <c r="AQ15" s="248"/>
      <c r="AR15" s="91" t="e">
        <f t="array" aca="1" ref="AR15" ca="1">INDIRECT("数出表_Excel!A"&amp;AM15)</f>
        <v>#VALUE!</v>
      </c>
      <c r="AS15" s="76"/>
      <c r="AT15" s="76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77" t="e">
        <f t="array" aca="1" ref="AU15" ca="1">GetResult(AT16)</f>
        <v>#VALUE!</v>
      </c>
      <c r="AV15" s="247" t="str">
        <f ca="1">IF(AV16&lt;&gt;"",
IF(LEFT(AZ15,2)="博多",
LEFT(AZ15,FIND("週",AZ15)-1),
AZ15),"")</f>
        <v/>
      </c>
      <c r="AW15" s="248"/>
      <c r="AX15" s="248"/>
      <c r="AY15" s="248"/>
      <c r="AZ15" s="95" t="e">
        <f t="array" aca="1" ref="AZ15" ca="1">INDIRECT("数出表_Excel!A"&amp;AU15)</f>
        <v>#VALUE!</v>
      </c>
      <c r="BA15" s="76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77" t="e">
        <f t="array" aca="1" ref="BB15" ca="1">GetResult(BA16)</f>
        <v>#VALUE!</v>
      </c>
      <c r="BC15" s="247" t="str">
        <f ca="1">IF(BC16&lt;&gt;"",
IF(LEFT(BG15,2)="博多",
LEFT(BG15,FIND("週",BG15)-1),
BG15),"")</f>
        <v/>
      </c>
      <c r="BD15" s="248"/>
      <c r="BE15" s="248"/>
      <c r="BF15" s="248"/>
      <c r="BG15" s="91" t="e">
        <f t="array" aca="1" ref="BG15" ca="1">INDIRECT("数出表_Excel!A"&amp;BB15)</f>
        <v>#VALUE!</v>
      </c>
      <c r="BH15" s="76"/>
      <c r="BI15" s="76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77" t="e">
        <f t="array" aca="1" ref="BJ15" ca="1">GetResult(BI16)</f>
        <v>#VALUE!</v>
      </c>
      <c r="BK15" s="247" t="str">
        <f ca="1">IF(BK16&lt;&gt;"",
IF(LEFT(BO15,2)="博多",
LEFT(BO15,FIND("週",BO15)-1),
BO15),"")</f>
        <v/>
      </c>
      <c r="BL15" s="248"/>
      <c r="BM15" s="248"/>
      <c r="BN15" s="248"/>
      <c r="BO15" s="95" t="e">
        <f t="array" aca="1" ref="BO15" ca="1">INDIRECT("数出表_Excel!A"&amp;BJ15)</f>
        <v>#VALUE!</v>
      </c>
      <c r="BP15" s="76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77" t="e">
        <f t="array" aca="1" ref="BQ15" ca="1">GetResult(BP16)</f>
        <v>#VALUE!</v>
      </c>
      <c r="BR15" s="247" t="str">
        <f ca="1">IF(BR16&lt;&gt;"",
IF(LEFT(BV15,2)="博多",
LEFT(BV15,FIND("週",BV15)-1),
BV15),"")</f>
        <v/>
      </c>
      <c r="BS15" s="248"/>
      <c r="BT15" s="248"/>
      <c r="BU15" s="248"/>
      <c r="BV15" s="91" t="e">
        <f t="array" aca="1" ref="BV15" ca="1">INDIRECT("数出表_Excel!A"&amp;BQ15)</f>
        <v>#VALUE!</v>
      </c>
      <c r="BW15" s="76"/>
      <c r="BX15" s="76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77" t="e">
        <f t="array" aca="1" ref="BY15" ca="1">GetResult(BX16)</f>
        <v>#VALUE!</v>
      </c>
      <c r="BZ15" s="247" t="str">
        <f ca="1">IF(BZ16&lt;&gt;"",
IF(LEFT(CD15,2)="博多",
LEFT(CD15,FIND("週",CD15)-1),
CD15),"")</f>
        <v/>
      </c>
      <c r="CA15" s="248"/>
      <c r="CB15" s="248"/>
      <c r="CC15" s="248"/>
      <c r="CD15" s="95" t="e">
        <f t="array" aca="1" ref="CD15" ca="1">INDIRECT("数出表_Excel!A"&amp;BY15)</f>
        <v>#VALUE!</v>
      </c>
      <c r="CE15" s="76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77" t="e">
        <f t="array" aca="1" ref="CF15" ca="1">GetResult(CE16)</f>
        <v>#VALUE!</v>
      </c>
      <c r="CG15" s="247" t="str">
        <f ca="1">IF(CG16&lt;&gt;"",
IF(LEFT(CK15,2)="博多",
LEFT(CK15,FIND("週",CK15)-1),
CK15),"")</f>
        <v/>
      </c>
      <c r="CH15" s="248"/>
      <c r="CI15" s="248"/>
      <c r="CJ15" s="248"/>
      <c r="CK15" s="91" t="e">
        <f t="array" aca="1" ref="CK15" ca="1">INDIRECT("数出表_Excel!A"&amp;CF15)</f>
        <v>#VALUE!</v>
      </c>
      <c r="CL15" s="76"/>
      <c r="CM15" s="76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77" t="e">
        <f t="array" aca="1" ref="CN15" ca="1">GetResult(CM16)</f>
        <v>#VALUE!</v>
      </c>
      <c r="CO15" s="247" t="str">
        <f ca="1">IF(CO16&lt;&gt;"",
IF(LEFT(CS15,2)="博多",
LEFT(CS15,FIND("週",CS15)-1),
CS15),"")</f>
        <v/>
      </c>
      <c r="CP15" s="248"/>
      <c r="CQ15" s="248"/>
      <c r="CR15" s="248"/>
      <c r="CS15" s="95" t="e">
        <f t="array" aca="1" ref="CS15" ca="1">INDIRECT("数出表_Excel!A"&amp;CN15)</f>
        <v>#VALUE!</v>
      </c>
      <c r="CT15" s="76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77" t="e">
        <f t="array" aca="1" ref="CU15" ca="1">GetResult(CT16)</f>
        <v>#VALUE!</v>
      </c>
      <c r="CV15" s="247" t="str">
        <f ca="1">IF(CV16&lt;&gt;"",
IF(LEFT(CZ15,2)="博多",
LEFT(CZ15,FIND("週",CZ15)-1),
CZ15),"")</f>
        <v/>
      </c>
      <c r="CW15" s="248"/>
      <c r="CX15" s="248"/>
      <c r="CY15" s="248"/>
      <c r="CZ15" s="91" t="e">
        <f t="array" aca="1" ref="CZ15" ca="1">INDIRECT("数出表_Excel!A"&amp;CU15)</f>
        <v>#VALUE!</v>
      </c>
      <c r="DA15" s="76"/>
      <c r="DB15" s="76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77" t="e">
        <f t="array" aca="1" ref="DC15" ca="1">GetResult(DB16)</f>
        <v>#VALUE!</v>
      </c>
      <c r="DD15" s="247" t="str">
        <f ca="1">IF(DD16&lt;&gt;"",
IF(LEFT(DH15,2)="博多",
LEFT(DH15,FIND("週",DH15)-1),
DH15),"")</f>
        <v/>
      </c>
      <c r="DE15" s="248"/>
      <c r="DF15" s="248"/>
      <c r="DG15" s="248"/>
      <c r="DH15" s="95" t="e">
        <f t="array" aca="1" ref="DH15" ca="1">INDIRECT("数出表_Excel!A"&amp;DC15)</f>
        <v>#VALUE!</v>
      </c>
      <c r="DI15" s="76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77" t="e">
        <f t="array" aca="1" ref="DJ15" ca="1">GetResult(DI16)</f>
        <v>#VALUE!</v>
      </c>
      <c r="DK15" s="247" t="str">
        <f ca="1">IF(DK16&lt;&gt;"",
IF(LEFT(DO15,2)="博多",
LEFT(DO15,FIND("週",DO15)-1),
DO15),"")</f>
        <v/>
      </c>
      <c r="DL15" s="248"/>
      <c r="DM15" s="248"/>
      <c r="DN15" s="248"/>
      <c r="DO15" s="91" t="e">
        <f t="array" aca="1" ref="DO15" ca="1">INDIRECT("数出表_Excel!A"&amp;DJ15)</f>
        <v>#VALUE!</v>
      </c>
      <c r="DP15" s="76"/>
      <c r="DQ15" s="76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77" t="e">
        <f t="array" aca="1" ref="DR15" ca="1">GetResult(DQ16)</f>
        <v>#VALUE!</v>
      </c>
      <c r="DS15" s="247" t="str">
        <f ca="1">IF(DS16&lt;&gt;"",
IF(LEFT(DW15,2)="博多",
LEFT(DW15,FIND("週",DW15)-1),
DW15),"")</f>
        <v/>
      </c>
      <c r="DT15" s="248"/>
      <c r="DU15" s="248"/>
      <c r="DV15" s="248"/>
      <c r="DW15" s="95" t="e">
        <f t="array" aca="1" ref="DW15" ca="1">INDIRECT("数出表_Excel!A"&amp;DR15)</f>
        <v>#VALUE!</v>
      </c>
      <c r="DX15" s="76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77" t="e">
        <f t="array" aca="1" ref="DY15" ca="1">GetResult(DX16)</f>
        <v>#VALUE!</v>
      </c>
      <c r="DZ15" s="247" t="str">
        <f ca="1">IF(DZ16&lt;&gt;"",
IF(LEFT(ED15,2)="博多",
LEFT(ED15,FIND("週",ED15)-1),
ED15),"")</f>
        <v/>
      </c>
      <c r="EA15" s="248"/>
      <c r="EB15" s="248"/>
      <c r="EC15" s="248"/>
      <c r="ED15" s="91" t="e">
        <f t="array" aca="1" ref="ED15" ca="1">INDIRECT("数出表_Excel!A"&amp;DY15)</f>
        <v>#VALUE!</v>
      </c>
      <c r="EE15" s="76"/>
      <c r="EF15" s="76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77" t="e">
        <f t="array" aca="1" ref="EG15" ca="1">GetResult(EF16)</f>
        <v>#VALUE!</v>
      </c>
      <c r="EH15" s="247" t="str">
        <f ca="1">IF(EH16&lt;&gt;"",
IF(LEFT(EL15,2)="博多",
LEFT(EL15,FIND("週",EL15)-1),
EL15),"")</f>
        <v/>
      </c>
      <c r="EI15" s="248"/>
      <c r="EJ15" s="248"/>
      <c r="EK15" s="248"/>
      <c r="EL15" s="95" t="e">
        <f t="array" aca="1" ref="EL15" ca="1">INDIRECT("数出表_Excel!A"&amp;EG15)</f>
        <v>#VALUE!</v>
      </c>
      <c r="EM15" s="76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77" t="e">
        <f t="array" aca="1" ref="EN15" ca="1">GetResult(EM16)</f>
        <v>#VALUE!</v>
      </c>
      <c r="EO15" s="247" t="str">
        <f ca="1">IF(EO16&lt;&gt;"",
IF(LEFT(ES15,2)="博多",
LEFT(ES15,FIND("週",ES15)-1),
ES15),"")</f>
        <v/>
      </c>
      <c r="EP15" s="248"/>
      <c r="EQ15" s="248"/>
      <c r="ER15" s="248"/>
      <c r="ES15" s="91" t="e">
        <f t="array" aca="1" ref="ES15" ca="1">INDIRECT("数出表_Excel!A"&amp;EN15)</f>
        <v>#VALUE!</v>
      </c>
      <c r="ET15" s="106"/>
      <c r="EU15" s="78">
        <f t="shared" si="3"/>
        <v>98</v>
      </c>
      <c r="EV15" s="78" t="str">
        <f t="array" aca="1" ref="EV1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LEN(SUBSTITUTE(_xlfn.FORMULATEXT(EV$1),"=","")))+$EU15)</f>
        <v/>
      </c>
      <c r="EW15" s="78" t="str">
        <f t="array" aca="1" ref="EW1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LEN(SUBSTITUTE(_xlfn.FORMULATEXT(EW$1),"=","")))+$EU15)</f>
        <v/>
      </c>
      <c r="EX15" s="78" t="str">
        <f t="array" aca="1" ref="EX1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LEN(SUBSTITUTE(_xlfn.FORMULATEXT(EX$1),"=","")))+$EU15)</f>
        <v/>
      </c>
      <c r="EY15" s="78" t="str">
        <f t="array" aca="1" ref="EY1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LEN(SUBSTITUTE(_xlfn.FORMULATEXT(EY$1),"=","")))+$EU15)</f>
        <v/>
      </c>
      <c r="EZ15" s="78" t="str">
        <f t="array" aca="1" ref="EZ1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LEN(SUBSTITUTE(_xlfn.FORMULATEXT(EZ$1),"=","")))+$EU15)</f>
        <v/>
      </c>
      <c r="FA15" s="78" t="str">
        <f t="array" aca="1" ref="FA1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LEN(SUBSTITUTE(_xlfn.FORMULATEXT(FA$1),"=","")))+$EU15)</f>
        <v/>
      </c>
      <c r="FB15" s="78" t="str">
        <f t="array" aca="1" ref="FB1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LEN(SUBSTITUTE(_xlfn.FORMULATEXT(FB$1),"=","")))+$EU15)</f>
        <v/>
      </c>
      <c r="FC15" s="78" t="str">
        <f t="array" aca="1" ref="FC1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LEN(SUBSTITUTE(_xlfn.FORMULATEXT(FC$1),"=","")))+$EU15)</f>
        <v/>
      </c>
      <c r="FD15" s="78" t="str">
        <f t="array" aca="1" ref="FD1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LEN(SUBSTITUTE(_xlfn.FORMULATEXT(FD$1),"=","")))+$EU15)</f>
        <v/>
      </c>
      <c r="FE15" s="78" t="str">
        <f t="array" aca="1" ref="FE1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LEN(SUBSTITUTE(_xlfn.FORMULATEXT(FE$1),"=","")))+$EU15)</f>
        <v/>
      </c>
      <c r="FF15" s="78" t="str">
        <f t="array" aca="1" ref="FF1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LEN(SUBSTITUTE(_xlfn.FORMULATEXT(FF$1),"=","")))+$EU15)</f>
        <v/>
      </c>
      <c r="FG15" s="78">
        <f t="shared" ca="1" si="2"/>
        <v>0</v>
      </c>
      <c r="FH15" s="78" t="b">
        <f t="array" aca="1" ref="FH15" ca="1">SUMPRODUCT((LEN(EV15:FF15)&gt;0)*1)&gt;0</f>
        <v>0</v>
      </c>
      <c r="FI15" s="78" t="str">
        <f t="array" aca="1" ref="FI15" ca="1">IFERROR(SMALL(IF(FG$1:FG$228&lt;&gt;0,FG$1:FG$228),ROW(A15)),"")</f>
        <v/>
      </c>
      <c r="FJ15" s="78" t="str">
        <f t="array" aca="1" ref="FJ15" ca="1">IF($FI15&lt;&gt;"",
INDIRECT(""&amp;IF(COLUMN(EV22)&lt;=26,CHAR(COLUMN(EV22)+64),CHAR(INT((COLUMN(EV22)-1)/26)+64)&amp;CHAR(MOD(COLUMN(EV22)-1,26)+65))&amp;$FI15&amp;""),"")</f>
        <v/>
      </c>
      <c r="FK15" s="78" t="str">
        <f t="array" aca="1" ref="FK15" ca="1">IF($FI15&lt;&gt;"",
INDIRECT(""&amp;IF(COLUMN(EW22)&lt;=26,CHAR(COLUMN(EW22)+64),CHAR(INT((COLUMN(EW22)-1)/26)+64)&amp;CHAR(MOD(COLUMN(EW22)-1,26)+65))&amp;$FI15&amp;""),"")</f>
        <v/>
      </c>
      <c r="FL15" s="78" t="str">
        <f t="array" aca="1" ref="FL15" ca="1">IF($FI15&lt;&gt;"",
INDIRECT(""&amp;IF(COLUMN(EX22)&lt;=26,CHAR(COLUMN(EX22)+64),CHAR(INT((COLUMN(EX22)-1)/26)+64)&amp;CHAR(MOD(COLUMN(EX22)-1,26)+65))&amp;$FI15&amp;""),"")</f>
        <v/>
      </c>
      <c r="FM15" s="78" t="str">
        <f t="array" aca="1" ref="FM15" ca="1">IF($FI15&lt;&gt;"",
IF(FL15="",
IF(INDIRECT("EY"&amp;$FI15&amp;"")&lt;&gt;"",
INDIRECT("EY"&amp;$FI15&amp;"")&amp;"箱"
&amp;INDIRECT("EZ"&amp;$FI15&amp;""),""),""),"")</f>
        <v/>
      </c>
      <c r="FN15" s="78" t="str">
        <f t="array" aca="1" ref="FN15" ca="1">IF($FI15&lt;&gt;"",
INDIRECT(""&amp;IF(COLUMN(FA22)&lt;=26,CHAR(COLUMN(FA22)+64),CHAR(INT((COLUMN(FA22)-1)/26)+64)&amp;CHAR(MOD(COLUMN(FA22)-1,26)+65))&amp;$FI15&amp;""),"")</f>
        <v/>
      </c>
      <c r="FO15" s="78" t="str">
        <f t="array" aca="1" ref="FO15" ca="1">IF($FI15&lt;&gt;"",
INDIRECT(""&amp;IF(COLUMN(FB22)&lt;=26,CHAR(COLUMN(FB22)+64),CHAR(INT((COLUMN(FB22)-1)/26)+64)&amp;CHAR(MOD(COLUMN(FB22)-1,26)+65))&amp;$FI15&amp;""),"")</f>
        <v/>
      </c>
      <c r="FP15" s="78" t="str">
        <f t="array" aca="1" ref="FP15" ca="1">IF($FI15&lt;&gt;"",
INDIRECT(""&amp;IF(COLUMN(FC22)&lt;=26,CHAR(COLUMN(FC22)+64),CHAR(INT((COLUMN(FC22)-1)/26)+64)&amp;CHAR(MOD(COLUMN(FC22)-1,26)+65))&amp;$FI15&amp;""),"")</f>
        <v/>
      </c>
      <c r="FQ15" s="78" t="str">
        <f t="array" aca="1" ref="FQ15" ca="1">IF($FI15&lt;&gt;"",
INDIRECT(""&amp;IF(COLUMN(FD22)&lt;=26,CHAR(COLUMN(FD22)+64),CHAR(INT((COLUMN(FD22)-1)/26)+64)&amp;CHAR(MOD(COLUMN(FD22)-1,26)+65))&amp;$FI15&amp;""),"")</f>
        <v/>
      </c>
      <c r="FR15" s="78" t="str">
        <f t="array" aca="1" ref="FR15" ca="1">IF($FI15&lt;&gt;"",
INDIRECT(""&amp;IF(COLUMN(FE22)&lt;=26,CHAR(COLUMN(FE22)+64),CHAR(INT((COLUMN(FE22)-1)/26)+64)&amp;CHAR(MOD(COLUMN(FE22)-1,26)+65))&amp;$FI15&amp;""),"")</f>
        <v/>
      </c>
      <c r="FS15" s="78" t="str">
        <f t="array" aca="1" ref="FS15" ca="1">IF($FI15&lt;&gt;"",
INDIRECT(""&amp;IF(COLUMN(FF22)&lt;=26,CHAR(COLUMN(FF22)+64),CHAR(INT((COLUMN(FF22)-1)/26)+64)&amp;CHAR(MOD(COLUMN(FF22)-1,26)+65))&amp;$FI15&amp;""),"")</f>
        <v/>
      </c>
    </row>
    <row r="16" spans="1:175" s="78" customFormat="1" ht="18" customHeight="1" x14ac:dyDescent="0.55000000000000004">
      <c r="A16" s="76" t="e">
        <f t="array" aca="1" ref="A16" ca="1">IF(INDIRECT("数出表_Excel!A"&amp;GetResult(A15))="社食",
GetResult(A15)+2,GetResult(A15))</f>
        <v>#VALUE!</v>
      </c>
      <c r="B16" s="81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58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76"/>
      <c r="E16" s="82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83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96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76" t="e">
        <f t="array" aca="1" ref="H16" ca="1">IF(INDIRECT("数出表_Excel!A"&amp;GetResult(H15))="社食",
GetResult(H15)+2,GetResult(H15))</f>
        <v>#VALUE!</v>
      </c>
      <c r="I16" s="81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58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76"/>
      <c r="L16" s="82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83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92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76"/>
      <c r="P16" s="76" t="e">
        <f t="array" aca="1" ref="P16" ca="1">IF(INDIRECT("数出表_Excel!A"&amp;GetResult(P15))="社食",
GetResult(P15)+2,GetResult(P15))</f>
        <v>#VALUE!</v>
      </c>
      <c r="Q16" s="81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58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76"/>
      <c r="T16" s="82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83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96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76" t="e">
        <f t="array" aca="1" ref="W16" ca="1">IF(INDIRECT("数出表_Excel!A"&amp;GetResult(W15))="社食",
GetResult(W15)+2,GetResult(W15))</f>
        <v>#VALUE!</v>
      </c>
      <c r="X16" s="81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58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76"/>
      <c r="AA16" s="82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83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92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76"/>
      <c r="AE16" s="76" t="e">
        <f t="array" aca="1" ref="AE16" ca="1">IF(INDIRECT("数出表_Excel!A"&amp;GetResult(AE15))="社食",
GetResult(AE15)+2,GetResult(AE15))</f>
        <v>#VALUE!</v>
      </c>
      <c r="AF16" s="81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58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76"/>
      <c r="AI16" s="82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83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96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76" t="e">
        <f t="array" aca="1" ref="AL16" ca="1">IF(INDIRECT("数出表_Excel!A"&amp;GetResult(AL15))="社食",
GetResult(AL15)+2,GetResult(AL15))</f>
        <v>#VALUE!</v>
      </c>
      <c r="AM16" s="81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58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76"/>
      <c r="AP16" s="82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83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92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76"/>
      <c r="AT16" s="76" t="e">
        <f t="array" aca="1" ref="AT16" ca="1">IF(INDIRECT("数出表_Excel!A"&amp;GetResult(AT15))="社食",
GetResult(AT15)+2,GetResult(AT15))</f>
        <v>#VALUE!</v>
      </c>
      <c r="AU16" s="81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58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76"/>
      <c r="AX16" s="82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83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96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76" t="e">
        <f t="array" aca="1" ref="BA16" ca="1">IF(INDIRECT("数出表_Excel!A"&amp;GetResult(BA15))="社食",
GetResult(BA15)+2,GetResult(BA15))</f>
        <v>#VALUE!</v>
      </c>
      <c r="BB16" s="81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58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76"/>
      <c r="BE16" s="82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83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92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76"/>
      <c r="BI16" s="76" t="e">
        <f t="array" aca="1" ref="BI16" ca="1">IF(INDIRECT("数出表_Excel!A"&amp;GetResult(BI15))="社食",
GetResult(BI15)+2,GetResult(BI15))</f>
        <v>#VALUE!</v>
      </c>
      <c r="BJ16" s="81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58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76"/>
      <c r="BM16" s="82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83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96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76" t="e">
        <f t="array" aca="1" ref="BP16" ca="1">IF(INDIRECT("数出表_Excel!A"&amp;GetResult(BP15))="社食",
GetResult(BP15)+2,GetResult(BP15))</f>
        <v>#VALUE!</v>
      </c>
      <c r="BQ16" s="81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58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76"/>
      <c r="BT16" s="82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83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92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76"/>
      <c r="BX16" s="76" t="e">
        <f t="array" aca="1" ref="BX16" ca="1">IF(INDIRECT("数出表_Excel!A"&amp;GetResult(BX15))="社食",
GetResult(BX15)+2,GetResult(BX15))</f>
        <v>#VALUE!</v>
      </c>
      <c r="BY16" s="81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58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76"/>
      <c r="CB16" s="82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83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96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76" t="e">
        <f t="array" aca="1" ref="CE16" ca="1">IF(INDIRECT("数出表_Excel!A"&amp;GetResult(CE15))="社食",
GetResult(CE15)+2,GetResult(CE15))</f>
        <v>#VALUE!</v>
      </c>
      <c r="CF16" s="81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58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76"/>
      <c r="CI16" s="82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83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92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76"/>
      <c r="CM16" s="76" t="e">
        <f t="array" aca="1" ref="CM16" ca="1">IF(INDIRECT("数出表_Excel!A"&amp;GetResult(CM15))="社食",
GetResult(CM15)+2,GetResult(CM15))</f>
        <v>#VALUE!</v>
      </c>
      <c r="CN16" s="81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58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76"/>
      <c r="CQ16" s="82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83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96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76" t="e">
        <f t="array" aca="1" ref="CT16" ca="1">IF(INDIRECT("数出表_Excel!A"&amp;GetResult(CT15))="社食",
GetResult(CT15)+2,GetResult(CT15))</f>
        <v>#VALUE!</v>
      </c>
      <c r="CU16" s="81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58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76"/>
      <c r="CX16" s="82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83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92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76"/>
      <c r="DB16" s="76" t="e">
        <f t="array" aca="1" ref="DB16" ca="1">IF(INDIRECT("数出表_Excel!A"&amp;GetResult(DB15))="社食",
GetResult(DB15)+2,GetResult(DB15))</f>
        <v>#VALUE!</v>
      </c>
      <c r="DC16" s="81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58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76"/>
      <c r="DF16" s="82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83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96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76" t="e">
        <f t="array" aca="1" ref="DI16" ca="1">IF(INDIRECT("数出表_Excel!A"&amp;GetResult(DI15))="社食",
GetResult(DI15)+2,GetResult(DI15))</f>
        <v>#VALUE!</v>
      </c>
      <c r="DJ16" s="81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58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76"/>
      <c r="DM16" s="82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83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92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76"/>
      <c r="DQ16" s="76" t="e">
        <f t="array" aca="1" ref="DQ16" ca="1">IF(INDIRECT("数出表_Excel!A"&amp;GetResult(DQ15))="社食",
GetResult(DQ15)+2,GetResult(DQ15))</f>
        <v>#VALUE!</v>
      </c>
      <c r="DR16" s="81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58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76"/>
      <c r="DU16" s="82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83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96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76" t="e">
        <f t="array" aca="1" ref="DX16" ca="1">IF(INDIRECT("数出表_Excel!A"&amp;GetResult(DX15))="社食",
GetResult(DX15)+2,GetResult(DX15))</f>
        <v>#VALUE!</v>
      </c>
      <c r="DY16" s="81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58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76"/>
      <c r="EB16" s="82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83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92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76"/>
      <c r="EF16" s="76" t="e">
        <f t="array" aca="1" ref="EF16" ca="1">IF(INDIRECT("数出表_Excel!A"&amp;GetResult(EF15))="社食",
GetResult(EF15)+2,GetResult(EF15))</f>
        <v>#VALUE!</v>
      </c>
      <c r="EG16" s="81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58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76"/>
      <c r="EJ16" s="82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83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96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76" t="e">
        <f t="array" aca="1" ref="EM16" ca="1">IF(INDIRECT("数出表_Excel!A"&amp;GetResult(EM15))="社食",
GetResult(EM15)+2,GetResult(EM15))</f>
        <v>#VALUE!</v>
      </c>
      <c r="EN16" s="81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58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76"/>
      <c r="EQ16" s="82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83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92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07"/>
      <c r="EU16" s="87">
        <f t="shared" si="3"/>
        <v>14</v>
      </c>
      <c r="EV16" s="78" t="str">
        <f t="array" aca="1" ref="EV1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LEN(SUBSTITUTE(_xlfn.FORMULATEXT(EV$4),"=","")))+$EU16)</f>
        <v/>
      </c>
      <c r="EW16" s="78" t="str">
        <f t="array" aca="1" ref="EW1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LEN(SUBSTITUTE(_xlfn.FORMULATEXT(EW$4),"=","")))+$EU16)</f>
        <v/>
      </c>
      <c r="EX16" s="78" t="str">
        <f t="array" aca="1" ref="EX1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LEN(SUBSTITUTE(_xlfn.FORMULATEXT(EX$4),"=","")))+$EU16)</f>
        <v/>
      </c>
      <c r="EY16" s="78" t="str">
        <f t="array" aca="1" ref="EY1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LEN(SUBSTITUTE(_xlfn.FORMULATEXT(EY$4),"=","")))+$EU16)</f>
        <v/>
      </c>
      <c r="EZ16" s="78" t="str">
        <f t="array" aca="1" ref="EZ1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LEN(SUBSTITUTE(_xlfn.FORMULATEXT(EZ$4),"=","")))+$EU16)</f>
        <v/>
      </c>
      <c r="FA16" s="78" t="e">
        <f t="array" aca="1" ref="FA1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LEN(SUBSTITUTE(_xlfn.FORMULATEXT(FA$4),"=","")))+$EU16)</f>
        <v>#VALUE!</v>
      </c>
      <c r="FB16" s="78" t="e">
        <f t="array" aca="1" ref="FB1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LEN(SUBSTITUTE(_xlfn.FORMULATEXT(FB$4),"=","")))+$EU16)</f>
        <v>#VALUE!</v>
      </c>
      <c r="FC16" s="78" t="str">
        <f t="array" aca="1" ref="FC1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LEN(SUBSTITUTE(_xlfn.FORMULATEXT(FC$4),"=","")))+$EU16)</f>
        <v/>
      </c>
      <c r="FD16" s="78" t="e">
        <f t="array" aca="1" ref="FD1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LEN(SUBSTITUTE(_xlfn.FORMULATEXT(FD$4),"=","")))+$EU16)</f>
        <v>#VALUE!</v>
      </c>
      <c r="FE16" s="78" t="str">
        <f t="array" aca="1" ref="FE1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LEN(SUBSTITUTE(_xlfn.FORMULATEXT(FE$4),"=","")))+$EU16)</f>
        <v/>
      </c>
      <c r="FF16" s="78" t="e">
        <f t="array" aca="1" ref="FF1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LEN(SUBSTITUTE(_xlfn.FORMULATEXT(FF$4),"=","")))+$EU16)</f>
        <v>#VALUE!</v>
      </c>
      <c r="FG16" s="78">
        <f t="shared" ca="1" si="2"/>
        <v>0</v>
      </c>
      <c r="FH16" s="78" t="e">
        <f t="array" aca="1" ref="FH16" ca="1">SUMPRODUCT((LEN(EV16:FF16)&gt;0)*1)&gt;0</f>
        <v>#VALUE!</v>
      </c>
      <c r="FI16" s="78" t="str">
        <f t="array" aca="1" ref="FI16" ca="1">IFERROR(SMALL(IF(FG$1:FG$228&lt;&gt;0,FG$1:FG$228),ROW(A16)),"")</f>
        <v/>
      </c>
      <c r="FJ16" s="78" t="str">
        <f t="array" aca="1" ref="FJ16" ca="1">IF($FI16&lt;&gt;"",
INDIRECT(""&amp;IF(COLUMN(EV23)&lt;=26,CHAR(COLUMN(EV23)+64),CHAR(INT((COLUMN(EV23)-1)/26)+64)&amp;CHAR(MOD(COLUMN(EV23)-1,26)+65))&amp;$FI16&amp;""),"")</f>
        <v/>
      </c>
      <c r="FK16" s="78" t="str">
        <f t="array" aca="1" ref="FK16" ca="1">IF($FI16&lt;&gt;"",
INDIRECT(""&amp;IF(COLUMN(EW23)&lt;=26,CHAR(COLUMN(EW23)+64),CHAR(INT((COLUMN(EW23)-1)/26)+64)&amp;CHAR(MOD(COLUMN(EW23)-1,26)+65))&amp;$FI16&amp;""),"")</f>
        <v/>
      </c>
      <c r="FL16" s="78" t="str">
        <f t="array" aca="1" ref="FL16" ca="1">IF($FI16&lt;&gt;"",
INDIRECT(""&amp;IF(COLUMN(EX23)&lt;=26,CHAR(COLUMN(EX23)+64),CHAR(INT((COLUMN(EX23)-1)/26)+64)&amp;CHAR(MOD(COLUMN(EX23)-1,26)+65))&amp;$FI16&amp;""),"")</f>
        <v/>
      </c>
      <c r="FM16" s="78" t="str">
        <f t="array" aca="1" ref="FM16" ca="1">IF($FI16&lt;&gt;"",
IF(FL16="",
IF(INDIRECT("EY"&amp;$FI16&amp;"")&lt;&gt;"",
INDIRECT("EY"&amp;$FI16&amp;"")&amp;"箱"
&amp;INDIRECT("EZ"&amp;$FI16&amp;""),""),""),"")</f>
        <v/>
      </c>
      <c r="FN16" s="78" t="str">
        <f t="array" aca="1" ref="FN16" ca="1">IF($FI16&lt;&gt;"",
INDIRECT(""&amp;IF(COLUMN(FA23)&lt;=26,CHAR(COLUMN(FA23)+64),CHAR(INT((COLUMN(FA23)-1)/26)+64)&amp;CHAR(MOD(COLUMN(FA23)-1,26)+65))&amp;$FI16&amp;""),"")</f>
        <v/>
      </c>
      <c r="FO16" s="78" t="str">
        <f t="array" aca="1" ref="FO16" ca="1">IF($FI16&lt;&gt;"",
INDIRECT(""&amp;IF(COLUMN(FB23)&lt;=26,CHAR(COLUMN(FB23)+64),CHAR(INT((COLUMN(FB23)-1)/26)+64)&amp;CHAR(MOD(COLUMN(FB23)-1,26)+65))&amp;$FI16&amp;""),"")</f>
        <v/>
      </c>
      <c r="FP16" s="78" t="str">
        <f t="array" aca="1" ref="FP16" ca="1">IF($FI16&lt;&gt;"",
INDIRECT(""&amp;IF(COLUMN(FC23)&lt;=26,CHAR(COLUMN(FC23)+64),CHAR(INT((COLUMN(FC23)-1)/26)+64)&amp;CHAR(MOD(COLUMN(FC23)-1,26)+65))&amp;$FI16&amp;""),"")</f>
        <v/>
      </c>
      <c r="FQ16" s="78" t="str">
        <f t="array" aca="1" ref="FQ16" ca="1">IF($FI16&lt;&gt;"",
INDIRECT(""&amp;IF(COLUMN(FD23)&lt;=26,CHAR(COLUMN(FD23)+64),CHAR(INT((COLUMN(FD23)-1)/26)+64)&amp;CHAR(MOD(COLUMN(FD23)-1,26)+65))&amp;$FI16&amp;""),"")</f>
        <v/>
      </c>
      <c r="FR16" s="78" t="str">
        <f t="array" aca="1" ref="FR16" ca="1">IF($FI16&lt;&gt;"",
INDIRECT(""&amp;IF(COLUMN(FE23)&lt;=26,CHAR(COLUMN(FE23)+64),CHAR(INT((COLUMN(FE23)-1)/26)+64)&amp;CHAR(MOD(COLUMN(FE23)-1,26)+65))&amp;$FI16&amp;""),"")</f>
        <v/>
      </c>
      <c r="FS16" s="78" t="str">
        <f t="array" aca="1" ref="FS16" ca="1">IF($FI16&lt;&gt;"",
INDIRECT(""&amp;IF(COLUMN(FF23)&lt;=26,CHAR(COLUMN(FF23)+64),CHAR(INT((COLUMN(FF23)-1)/26)+64)&amp;CHAR(MOD(COLUMN(FF23)-1,26)+65))&amp;$FI16&amp;""),"")</f>
        <v/>
      </c>
    </row>
    <row r="17" spans="1:175" s="78" customFormat="1" ht="22.2" customHeight="1" x14ac:dyDescent="0.55000000000000004">
      <c r="A17" s="76"/>
      <c r="B17" s="84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249" t="str">
        <f ca="1">IF(C16&lt;&gt;"",
"園児","")</f>
        <v/>
      </c>
      <c r="D17" s="250"/>
      <c r="E17" s="251" t="str">
        <f ca="1">IF(C16&lt;&gt;"",
"先生","")</f>
        <v/>
      </c>
      <c r="F17" s="250"/>
      <c r="G17" s="97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76"/>
      <c r="I17" s="84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249" t="str">
        <f ca="1">IF(J16&lt;&gt;"",
"園児","")</f>
        <v/>
      </c>
      <c r="K17" s="250"/>
      <c r="L17" s="251" t="str">
        <f ca="1">IF(J16&lt;&gt;"",
"先生","")</f>
        <v/>
      </c>
      <c r="M17" s="250"/>
      <c r="N17" s="97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76"/>
      <c r="P17" s="76"/>
      <c r="Q17" s="84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249" t="str">
        <f ca="1">IF(R16&lt;&gt;"",
"園児","")</f>
        <v/>
      </c>
      <c r="S17" s="250"/>
      <c r="T17" s="251" t="str">
        <f ca="1">IF(R16&lt;&gt;"",
"先生","")</f>
        <v/>
      </c>
      <c r="U17" s="250"/>
      <c r="V17" s="97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76"/>
      <c r="X17" s="84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249" t="str">
        <f ca="1">IF(Y16&lt;&gt;"",
"園児","")</f>
        <v/>
      </c>
      <c r="Z17" s="250"/>
      <c r="AA17" s="251" t="str">
        <f ca="1">IF(Y16&lt;&gt;"",
"先生","")</f>
        <v/>
      </c>
      <c r="AB17" s="250"/>
      <c r="AC17" s="97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76"/>
      <c r="AE17" s="76"/>
      <c r="AF17" s="84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249" t="str">
        <f ca="1">IF(AG16&lt;&gt;"",
"園児","")</f>
        <v/>
      </c>
      <c r="AH17" s="250"/>
      <c r="AI17" s="251" t="str">
        <f ca="1">IF(AG16&lt;&gt;"",
"先生","")</f>
        <v/>
      </c>
      <c r="AJ17" s="250"/>
      <c r="AK17" s="97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76"/>
      <c r="AM17" s="84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249" t="str">
        <f ca="1">IF(AN16&lt;&gt;"",
"園児","")</f>
        <v/>
      </c>
      <c r="AO17" s="250"/>
      <c r="AP17" s="251" t="str">
        <f ca="1">IF(AN16&lt;&gt;"",
"先生","")</f>
        <v/>
      </c>
      <c r="AQ17" s="250"/>
      <c r="AR17" s="97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76"/>
      <c r="AT17" s="76"/>
      <c r="AU17" s="84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249" t="str">
        <f ca="1">IF(AV16&lt;&gt;"",
"園児","")</f>
        <v/>
      </c>
      <c r="AW17" s="250"/>
      <c r="AX17" s="251" t="str">
        <f ca="1">IF(AV16&lt;&gt;"",
"先生","")</f>
        <v/>
      </c>
      <c r="AY17" s="250"/>
      <c r="AZ17" s="97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76"/>
      <c r="BB17" s="84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249" t="str">
        <f ca="1">IF(BC16&lt;&gt;"",
"園児","")</f>
        <v/>
      </c>
      <c r="BD17" s="250"/>
      <c r="BE17" s="251" t="str">
        <f ca="1">IF(BC16&lt;&gt;"",
"先生","")</f>
        <v/>
      </c>
      <c r="BF17" s="250"/>
      <c r="BG17" s="97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76"/>
      <c r="BI17" s="76"/>
      <c r="BJ17" s="84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249" t="str">
        <f ca="1">IF(BK16&lt;&gt;"",
"園児","")</f>
        <v/>
      </c>
      <c r="BL17" s="250"/>
      <c r="BM17" s="251" t="str">
        <f ca="1">IF(BK16&lt;&gt;"",
"先生","")</f>
        <v/>
      </c>
      <c r="BN17" s="250"/>
      <c r="BO17" s="97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76"/>
      <c r="BQ17" s="84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249" t="str">
        <f ca="1">IF(BR16&lt;&gt;"",
"園児","")</f>
        <v/>
      </c>
      <c r="BS17" s="250"/>
      <c r="BT17" s="251" t="str">
        <f ca="1">IF(BR16&lt;&gt;"",
"先生","")</f>
        <v/>
      </c>
      <c r="BU17" s="250"/>
      <c r="BV17" s="97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76"/>
      <c r="BX17" s="76"/>
      <c r="BY17" s="84" t="e">
        <f t="array" aca="1" ref="BY17" ca="1">IF(AND(LEFT(CD15,2)="博多",
LEFT(INDIRECT("数出表_Excel!A"&amp;MATCH(CD15,数出表_Excel!$A:$A,0)-1),2)
=LEFT(INDIRECT("数出表_Excel!A"&amp;MATCH(CD15,数出表_Excel!$A:$A,0)+1),2)),100,
IF(AND(LEFT(CD15,3)="奈良屋",
LEFT(INDIRECT("数出表_Excel!A"&amp;MATCH(CD15,数出表_Excel!$A:$A,0)-1),2)
=LEFT(INDIRECT("数出表_Excel!A"&amp;MATCH(CD15,数出表_Excel!$A:$A,0)+1),2)),200,""))</f>
        <v>#VALUE!</v>
      </c>
      <c r="BZ17" s="249" t="str">
        <f ca="1">IF(BZ16&lt;&gt;"",
"園児","")</f>
        <v/>
      </c>
      <c r="CA17" s="250"/>
      <c r="CB17" s="251" t="str">
        <f ca="1">IF(BZ16&lt;&gt;"",
"先生","")</f>
        <v/>
      </c>
      <c r="CC17" s="250"/>
      <c r="CD17" s="97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76"/>
      <c r="CF17" s="84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249" t="str">
        <f ca="1">IF(CG16&lt;&gt;"",
"園児","")</f>
        <v/>
      </c>
      <c r="CH17" s="250"/>
      <c r="CI17" s="251" t="str">
        <f ca="1">IF(CG16&lt;&gt;"",
"先生","")</f>
        <v/>
      </c>
      <c r="CJ17" s="250"/>
      <c r="CK17" s="97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76"/>
      <c r="CM17" s="76"/>
      <c r="CN17" s="84" t="e">
        <f t="array" aca="1" ref="CN17" ca="1">IF(AND(LEFT(CS15,2)="博多",
LEFT(INDIRECT("数出表_Excel!A"&amp;MATCH(CS15,数出表_Excel!$A:$A,0)-1),2)
=LEFT(INDIRECT("数出表_Excel!A"&amp;MATCH(CS15,数出表_Excel!$A:$A,0)+1),2)),100,
IF(AND(LEFT(CS15,3)="奈良屋",
LEFT(INDIRECT("数出表_Excel!A"&amp;MATCH(CS15,数出表_Excel!$A:$A,0)-1),2)
=LEFT(INDIRECT("数出表_Excel!A"&amp;MATCH(CS15,数出表_Excel!$A:$A,0)+1),2)),200,""))</f>
        <v>#VALUE!</v>
      </c>
      <c r="CO17" s="249" t="str">
        <f ca="1">IF(CO16&lt;&gt;"",
"園児","")</f>
        <v/>
      </c>
      <c r="CP17" s="250"/>
      <c r="CQ17" s="251" t="str">
        <f ca="1">IF(CO16&lt;&gt;"",
"先生","")</f>
        <v/>
      </c>
      <c r="CR17" s="250"/>
      <c r="CS17" s="97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76"/>
      <c r="CU17" s="84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249" t="str">
        <f ca="1">IF(CV16&lt;&gt;"",
"園児","")</f>
        <v/>
      </c>
      <c r="CW17" s="250"/>
      <c r="CX17" s="251" t="str">
        <f ca="1">IF(CV16&lt;&gt;"",
"先生","")</f>
        <v/>
      </c>
      <c r="CY17" s="250"/>
      <c r="CZ17" s="97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76"/>
      <c r="DB17" s="76"/>
      <c r="DC17" s="84" t="e">
        <f t="array" aca="1" ref="DC17" ca="1">IF(AND(LEFT(DH15,2)="博多",
LEFT(INDIRECT("数出表_Excel!A"&amp;MATCH(DH15,数出表_Excel!$A:$A,0)-1),2)
=LEFT(INDIRECT("数出表_Excel!A"&amp;MATCH(DH15,数出表_Excel!$A:$A,0)+1),2)),100,
IF(AND(LEFT(DH15,3)="奈良屋",
LEFT(INDIRECT("数出表_Excel!A"&amp;MATCH(DH15,数出表_Excel!$A:$A,0)-1),2)
=LEFT(INDIRECT("数出表_Excel!A"&amp;MATCH(DH15,数出表_Excel!$A:$A,0)+1),2)),200,""))</f>
        <v>#VALUE!</v>
      </c>
      <c r="DD17" s="249" t="str">
        <f ca="1">IF(DD16&lt;&gt;"",
"園児","")</f>
        <v/>
      </c>
      <c r="DE17" s="250"/>
      <c r="DF17" s="251" t="str">
        <f ca="1">IF(DD16&lt;&gt;"",
"先生","")</f>
        <v/>
      </c>
      <c r="DG17" s="250"/>
      <c r="DH17" s="97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76"/>
      <c r="DJ17" s="84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249" t="str">
        <f ca="1">IF(DK16&lt;&gt;"",
"園児","")</f>
        <v/>
      </c>
      <c r="DL17" s="250"/>
      <c r="DM17" s="251" t="str">
        <f ca="1">IF(DK16&lt;&gt;"",
"先生","")</f>
        <v/>
      </c>
      <c r="DN17" s="250"/>
      <c r="DO17" s="97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76"/>
      <c r="DQ17" s="76"/>
      <c r="DR17" s="84" t="e">
        <f t="array" aca="1" ref="DR17" ca="1">IF(AND(LEFT(DW15,2)="博多",
LEFT(INDIRECT("数出表_Excel!A"&amp;MATCH(DW15,数出表_Excel!$A:$A,0)-1),2)
=LEFT(INDIRECT("数出表_Excel!A"&amp;MATCH(DW15,数出表_Excel!$A:$A,0)+1),2)),100,
IF(AND(LEFT(DW15,3)="奈良屋",
LEFT(INDIRECT("数出表_Excel!A"&amp;MATCH(DW15,数出表_Excel!$A:$A,0)-1),2)
=LEFT(INDIRECT("数出表_Excel!A"&amp;MATCH(DW15,数出表_Excel!$A:$A,0)+1),2)),200,""))</f>
        <v>#VALUE!</v>
      </c>
      <c r="DS17" s="249" t="str">
        <f ca="1">IF(DS16&lt;&gt;"",
"園児","")</f>
        <v/>
      </c>
      <c r="DT17" s="250"/>
      <c r="DU17" s="251" t="str">
        <f ca="1">IF(DS16&lt;&gt;"",
"先生","")</f>
        <v/>
      </c>
      <c r="DV17" s="250"/>
      <c r="DW17" s="97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76"/>
      <c r="DY17" s="84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249" t="str">
        <f ca="1">IF(DZ16&lt;&gt;"",
"園児","")</f>
        <v/>
      </c>
      <c r="EA17" s="250"/>
      <c r="EB17" s="251" t="str">
        <f ca="1">IF(DZ16&lt;&gt;"",
"先生","")</f>
        <v/>
      </c>
      <c r="EC17" s="250"/>
      <c r="ED17" s="97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76"/>
      <c r="EF17" s="76"/>
      <c r="EG17" s="84" t="e">
        <f t="array" aca="1" ref="EG17" ca="1">IF(AND(LEFT(EL15,2)="博多",
LEFT(INDIRECT("数出表_Excel!A"&amp;MATCH(EL15,数出表_Excel!$A:$A,0)-1),2)
=LEFT(INDIRECT("数出表_Excel!A"&amp;MATCH(EL15,数出表_Excel!$A:$A,0)+1),2)),100,
IF(AND(LEFT(EL15,3)="奈良屋",
LEFT(INDIRECT("数出表_Excel!A"&amp;MATCH(EL15,数出表_Excel!$A:$A,0)-1),2)
=LEFT(INDIRECT("数出表_Excel!A"&amp;MATCH(EL15,数出表_Excel!$A:$A,0)+1),2)),200,""))</f>
        <v>#VALUE!</v>
      </c>
      <c r="EH17" s="249" t="str">
        <f ca="1">IF(EH16&lt;&gt;"",
"園児","")</f>
        <v/>
      </c>
      <c r="EI17" s="250"/>
      <c r="EJ17" s="251" t="str">
        <f ca="1">IF(EH16&lt;&gt;"",
"先生","")</f>
        <v/>
      </c>
      <c r="EK17" s="250"/>
      <c r="EL17" s="97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76"/>
      <c r="EN17" s="84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249" t="str">
        <f ca="1">IF(EO16&lt;&gt;"",
"園児","")</f>
        <v/>
      </c>
      <c r="EP17" s="250"/>
      <c r="EQ17" s="251" t="str">
        <f ca="1">IF(EO16&lt;&gt;"",
"先生","")</f>
        <v/>
      </c>
      <c r="ER17" s="250"/>
      <c r="ES17" s="97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06"/>
      <c r="EU17" s="78">
        <f t="shared" si="3"/>
        <v>56</v>
      </c>
      <c r="EV17" s="78" t="str">
        <f t="array" aca="1" ref="EV17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LEN(SUBSTITUTE(_xlfn.FORMULATEXT(EV$4),"=","")))+$EU17)</f>
        <v/>
      </c>
      <c r="EW17" s="78" t="str">
        <f t="array" aca="1" ref="EW17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LEN(SUBSTITUTE(_xlfn.FORMULATEXT(EW$4),"=","")))+$EU17)</f>
        <v/>
      </c>
      <c r="EX17" s="78" t="str">
        <f t="array" aca="1" ref="EX17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LEN(SUBSTITUTE(_xlfn.FORMULATEXT(EX$4),"=","")))+$EU17)</f>
        <v/>
      </c>
      <c r="EY17" s="78" t="str">
        <f t="array" aca="1" ref="EY17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LEN(SUBSTITUTE(_xlfn.FORMULATEXT(EY$4),"=","")))+$EU17)</f>
        <v/>
      </c>
      <c r="EZ17" s="78" t="str">
        <f t="array" aca="1" ref="EZ17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LEN(SUBSTITUTE(_xlfn.FORMULATEXT(EZ$4),"=","")))+$EU17)</f>
        <v/>
      </c>
      <c r="FA17" s="78" t="str">
        <f t="array" aca="1" ref="FA17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LEN(SUBSTITUTE(_xlfn.FORMULATEXT(FA$4),"=","")))+$EU17)</f>
        <v/>
      </c>
      <c r="FB17" s="78" t="str">
        <f t="array" aca="1" ref="FB17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LEN(SUBSTITUTE(_xlfn.FORMULATEXT(FB$4),"=","")))+$EU17)</f>
        <v/>
      </c>
      <c r="FC17" s="78" t="str">
        <f t="array" aca="1" ref="FC17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LEN(SUBSTITUTE(_xlfn.FORMULATEXT(FC$4),"=","")))+$EU17)</f>
        <v/>
      </c>
      <c r="FD17" s="78" t="str">
        <f t="array" aca="1" ref="FD17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LEN(SUBSTITUTE(_xlfn.FORMULATEXT(FD$4),"=","")))+$EU17)</f>
        <v/>
      </c>
      <c r="FE17" s="78" t="str">
        <f t="array" aca="1" ref="FE17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LEN(SUBSTITUTE(_xlfn.FORMULATEXT(FE$4),"=","")))+$EU17)</f>
        <v/>
      </c>
      <c r="FF17" s="78" t="str">
        <f t="array" aca="1" ref="FF17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LEN(SUBSTITUTE(_xlfn.FORMULATEXT(FF$4),"=","")))+$EU17)</f>
        <v/>
      </c>
      <c r="FG17" s="78">
        <f t="shared" ca="1" si="2"/>
        <v>0</v>
      </c>
      <c r="FH17" s="78" t="b">
        <f t="array" aca="1" ref="FH17" ca="1">SUMPRODUCT((LEN(EV17:FF17)&gt;0)*1)&gt;0</f>
        <v>0</v>
      </c>
      <c r="FI17" s="78" t="str">
        <f t="array" aca="1" ref="FI17" ca="1">IFERROR(SMALL(IF(FG$1:FG$228&lt;&gt;0,FG$1:FG$228),ROW(A17)),"")</f>
        <v/>
      </c>
      <c r="FJ17" s="78" t="str">
        <f t="array" aca="1" ref="FJ17" ca="1">IF($FI17&lt;&gt;"",
INDIRECT(""&amp;IF(COLUMN(EV25)&lt;=26,CHAR(COLUMN(EV25)+64),CHAR(INT((COLUMN(EV25)-1)/26)+64)&amp;CHAR(MOD(COLUMN(EV25)-1,26)+65))&amp;$FI17&amp;""),"")</f>
        <v/>
      </c>
      <c r="FK17" s="78" t="str">
        <f t="array" aca="1" ref="FK17" ca="1">IF($FI17&lt;&gt;"",
INDIRECT(""&amp;IF(COLUMN(EW25)&lt;=26,CHAR(COLUMN(EW25)+64),CHAR(INT((COLUMN(EW25)-1)/26)+64)&amp;CHAR(MOD(COLUMN(EW25)-1,26)+65))&amp;$FI17&amp;""),"")</f>
        <v/>
      </c>
      <c r="FL17" s="78" t="str">
        <f t="array" aca="1" ref="FL17" ca="1">IF($FI17&lt;&gt;"",
INDIRECT(""&amp;IF(COLUMN(EX25)&lt;=26,CHAR(COLUMN(EX25)+64),CHAR(INT((COLUMN(EX25)-1)/26)+64)&amp;CHAR(MOD(COLUMN(EX25)-1,26)+65))&amp;$FI17&amp;""),"")</f>
        <v/>
      </c>
      <c r="FM17" s="78" t="str">
        <f t="array" aca="1" ref="FM17" ca="1">IF($FI17&lt;&gt;"",
IF(FL17="",
IF(INDIRECT("EY"&amp;$FI17&amp;"")&lt;&gt;"",
INDIRECT("EY"&amp;$FI17&amp;"")&amp;"箱"
&amp;INDIRECT("EZ"&amp;$FI17&amp;""),""),""),"")</f>
        <v/>
      </c>
      <c r="FN17" s="78" t="str">
        <f t="array" aca="1" ref="FN17" ca="1">IF($FI17&lt;&gt;"",
INDIRECT(""&amp;IF(COLUMN(FA25)&lt;=26,CHAR(COLUMN(FA25)+64),CHAR(INT((COLUMN(FA25)-1)/26)+64)&amp;CHAR(MOD(COLUMN(FA25)-1,26)+65))&amp;$FI17&amp;""),"")</f>
        <v/>
      </c>
      <c r="FO17" s="78" t="str">
        <f t="array" aca="1" ref="FO17" ca="1">IF($FI17&lt;&gt;"",
INDIRECT(""&amp;IF(COLUMN(FB25)&lt;=26,CHAR(COLUMN(FB25)+64),CHAR(INT((COLUMN(FB25)-1)/26)+64)&amp;CHAR(MOD(COLUMN(FB25)-1,26)+65))&amp;$FI17&amp;""),"")</f>
        <v/>
      </c>
      <c r="FP17" s="78" t="str">
        <f t="array" aca="1" ref="FP17" ca="1">IF($FI17&lt;&gt;"",
INDIRECT(""&amp;IF(COLUMN(FC25)&lt;=26,CHAR(COLUMN(FC25)+64),CHAR(INT((COLUMN(FC25)-1)/26)+64)&amp;CHAR(MOD(COLUMN(FC25)-1,26)+65))&amp;$FI17&amp;""),"")</f>
        <v/>
      </c>
      <c r="FQ17" s="78" t="str">
        <f t="array" aca="1" ref="FQ17" ca="1">IF($FI17&lt;&gt;"",
INDIRECT(""&amp;IF(COLUMN(FD25)&lt;=26,CHAR(COLUMN(FD25)+64),CHAR(INT((COLUMN(FD25)-1)/26)+64)&amp;CHAR(MOD(COLUMN(FD25)-1,26)+65))&amp;$FI17&amp;""),"")</f>
        <v/>
      </c>
      <c r="FR17" s="78" t="str">
        <f t="array" aca="1" ref="FR17" ca="1">IF($FI17&lt;&gt;"",
INDIRECT(""&amp;IF(COLUMN(FE25)&lt;=26,CHAR(COLUMN(FE25)+64),CHAR(INT((COLUMN(FE25)-1)/26)+64)&amp;CHAR(MOD(COLUMN(FE25)-1,26)+65))&amp;$FI17&amp;""),"")</f>
        <v/>
      </c>
      <c r="FS17" s="78" t="str">
        <f t="array" aca="1" ref="FS17" ca="1">IF($FI17&lt;&gt;"",
INDIRECT(""&amp;IF(COLUMN(FF25)&lt;=26,CHAR(COLUMN(FF25)+64),CHAR(INT((COLUMN(FF25)-1)/26)+64)&amp;CHAR(MOD(COLUMN(FF25)-1,26)+65))&amp;$FI17&amp;""),"")</f>
        <v/>
      </c>
    </row>
    <row r="18" spans="1:175" ht="18" customHeight="1" x14ac:dyDescent="0.45">
      <c r="B18" s="86"/>
      <c r="C18" s="252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253"/>
      <c r="E18" s="255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253"/>
      <c r="G18" s="97" t="e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#VALUE!</v>
      </c>
      <c r="I18" s="86"/>
      <c r="J18" s="252" t="e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253"/>
      <c r="L18" s="255" t="e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253"/>
      <c r="N18" s="97" t="e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#VALUE!</v>
      </c>
      <c r="Q18" s="86"/>
      <c r="R18" s="252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253"/>
      <c r="T18" s="255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253"/>
      <c r="V18" s="97" t="e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#VALUE!</v>
      </c>
      <c r="X18" s="86"/>
      <c r="Y18" s="252" t="e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253"/>
      <c r="AA18" s="255" t="e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253"/>
      <c r="AC18" s="97" t="e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#VALUE!</v>
      </c>
      <c r="AF18" s="86"/>
      <c r="AG18" s="252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253"/>
      <c r="AI18" s="255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253"/>
      <c r="AK18" s="97" t="e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#VALUE!</v>
      </c>
      <c r="AM18" s="86"/>
      <c r="AN18" s="252" t="e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253"/>
      <c r="AP18" s="255" t="e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253"/>
      <c r="AR18" s="97" t="e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#VALUE!</v>
      </c>
      <c r="AU18" s="86"/>
      <c r="AV18" s="252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253"/>
      <c r="AX18" s="255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253"/>
      <c r="AZ18" s="97" t="e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#VALUE!</v>
      </c>
      <c r="BB18" s="86"/>
      <c r="BC18" s="252" t="e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253"/>
      <c r="BE18" s="255" t="e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253"/>
      <c r="BG18" s="97" t="e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#VALUE!</v>
      </c>
      <c r="BJ18" s="86"/>
      <c r="BK18" s="252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253"/>
      <c r="BM18" s="255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253"/>
      <c r="BO18" s="97" t="e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#VALUE!</v>
      </c>
      <c r="BQ18" s="86"/>
      <c r="BR18" s="252" t="e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253"/>
      <c r="BT18" s="255" t="e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253"/>
      <c r="BV18" s="97" t="e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#VALUE!</v>
      </c>
      <c r="BY18" s="86"/>
      <c r="BZ18" s="252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253"/>
      <c r="CB18" s="255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253"/>
      <c r="CD18" s="97" t="e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0)),0),""),0)</f>
        <v>#VALUE!</v>
      </c>
      <c r="CF18" s="86"/>
      <c r="CG18" s="252" t="e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253"/>
      <c r="CI18" s="255" t="e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253"/>
      <c r="CK18" s="97" t="e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0)),0),""),0)</f>
        <v>#VALUE!</v>
      </c>
      <c r="CN18" s="86"/>
      <c r="CO18" s="252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253"/>
      <c r="CQ18" s="255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253"/>
      <c r="CS18" s="97" t="e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0)),0),""),0)</f>
        <v>#VALUE!</v>
      </c>
      <c r="CU18" s="86"/>
      <c r="CV18" s="252" t="e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253"/>
      <c r="CX18" s="255" t="e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253"/>
      <c r="CZ18" s="97" t="e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0)),0),""),0)</f>
        <v>#VALUE!</v>
      </c>
      <c r="DC18" s="86"/>
      <c r="DD18" s="252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253"/>
      <c r="DF18" s="255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253"/>
      <c r="DH18" s="97" t="e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0)),0),""),0)</f>
        <v>#VALUE!</v>
      </c>
      <c r="DJ18" s="86"/>
      <c r="DK18" s="252" t="e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253"/>
      <c r="DM18" s="255" t="e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253"/>
      <c r="DO18" s="97" t="e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0)),0),""),0)</f>
        <v>#VALUE!</v>
      </c>
      <c r="DR18" s="86"/>
      <c r="DS18" s="252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253"/>
      <c r="DU18" s="255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253"/>
      <c r="DW18" s="97" t="e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0)),0),""),0)</f>
        <v>#VALUE!</v>
      </c>
      <c r="DY18" s="86"/>
      <c r="DZ18" s="252" t="e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253"/>
      <c r="EB18" s="255" t="e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253"/>
      <c r="ED18" s="97" t="e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0)),0),""),0)</f>
        <v>#VALUE!</v>
      </c>
      <c r="EG18" s="86"/>
      <c r="EH18" s="252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253"/>
      <c r="EJ18" s="255" t="e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253"/>
      <c r="EL18" s="97" t="e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0)),0),""),0)</f>
        <v>#VALUE!</v>
      </c>
      <c r="EN18" s="86"/>
      <c r="EO18" s="252" t="e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253"/>
      <c r="EQ18" s="255" t="e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253"/>
      <c r="ES18" s="97" t="e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0)),0),""),0)</f>
        <v>#VALUE!</v>
      </c>
      <c r="ET18" s="106"/>
      <c r="EU18" s="78">
        <f t="shared" si="3"/>
        <v>98</v>
      </c>
      <c r="EV18" s="78" t="str">
        <f t="array" aca="1" ref="EV18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LEN(SUBSTITUTE(_xlfn.FORMULATEXT(EV$4),"=","")))+$EU18)</f>
        <v/>
      </c>
      <c r="EW18" s="78" t="str">
        <f t="array" aca="1" ref="EW18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LEN(SUBSTITUTE(_xlfn.FORMULATEXT(EW$4),"=","")))+$EU18)</f>
        <v/>
      </c>
      <c r="EX18" s="78" t="str">
        <f t="array" aca="1" ref="EX18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LEN(SUBSTITUTE(_xlfn.FORMULATEXT(EX$4),"=","")))+$EU18)</f>
        <v/>
      </c>
      <c r="EY18" s="78" t="str">
        <f t="array" aca="1" ref="EY18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LEN(SUBSTITUTE(_xlfn.FORMULATEXT(EY$4),"=","")))+$EU18)</f>
        <v/>
      </c>
      <c r="EZ18" s="78" t="str">
        <f t="array" aca="1" ref="EZ18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LEN(SUBSTITUTE(_xlfn.FORMULATEXT(EZ$4),"=","")))+$EU18)</f>
        <v/>
      </c>
      <c r="FA18" s="78" t="str">
        <f t="array" aca="1" ref="FA18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LEN(SUBSTITUTE(_xlfn.FORMULATEXT(FA$4),"=","")))+$EU18)</f>
        <v/>
      </c>
      <c r="FB18" s="78" t="str">
        <f t="array" aca="1" ref="FB18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LEN(SUBSTITUTE(_xlfn.FORMULATEXT(FB$4),"=","")))+$EU18)</f>
        <v/>
      </c>
      <c r="FC18" s="78" t="str">
        <f t="array" aca="1" ref="FC18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LEN(SUBSTITUTE(_xlfn.FORMULATEXT(FC$4),"=","")))+$EU18)</f>
        <v/>
      </c>
      <c r="FD18" s="78" t="str">
        <f t="array" aca="1" ref="FD18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LEN(SUBSTITUTE(_xlfn.FORMULATEXT(FD$4),"=","")))+$EU18)</f>
        <v/>
      </c>
      <c r="FE18" s="78" t="str">
        <f t="array" aca="1" ref="FE18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LEN(SUBSTITUTE(_xlfn.FORMULATEXT(FE$4),"=","")))+$EU18)</f>
        <v/>
      </c>
      <c r="FF18" s="78" t="str">
        <f t="array" aca="1" ref="FF18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LEN(SUBSTITUTE(_xlfn.FORMULATEXT(FF$4),"=","")))+$EU18)</f>
        <v/>
      </c>
      <c r="FG18" s="78">
        <f t="shared" ca="1" si="2"/>
        <v>0</v>
      </c>
      <c r="FH18" s="78" t="b">
        <f t="array" aca="1" ref="FH18" ca="1">SUMPRODUCT((LEN(EV18:FF18)&gt;0)*1)&gt;0</f>
        <v>0</v>
      </c>
      <c r="FI18" s="78" t="str">
        <f t="array" aca="1" ref="FI18" ca="1">IFERROR(SMALL(IF(FG$1:FG$228&lt;&gt;0,FG$1:FG$228),ROW(A18)),"")</f>
        <v/>
      </c>
      <c r="FJ18" s="78" t="str">
        <f t="array" aca="1" ref="FJ18" ca="1">IF($FI18&lt;&gt;"",
INDIRECT(""&amp;IF(COLUMN(EV26)&lt;=26,CHAR(COLUMN(EV26)+64),CHAR(INT((COLUMN(EV26)-1)/26)+64)&amp;CHAR(MOD(COLUMN(EV26)-1,26)+65))&amp;$FI18&amp;""),"")</f>
        <v/>
      </c>
      <c r="FK18" s="78" t="str">
        <f t="array" aca="1" ref="FK18" ca="1">IF($FI18&lt;&gt;"",
INDIRECT(""&amp;IF(COLUMN(EW26)&lt;=26,CHAR(COLUMN(EW26)+64),CHAR(INT((COLUMN(EW26)-1)/26)+64)&amp;CHAR(MOD(COLUMN(EW26)-1,26)+65))&amp;$FI18&amp;""),"")</f>
        <v/>
      </c>
      <c r="FL18" s="78" t="str">
        <f t="array" aca="1" ref="FL18" ca="1">IF($FI18&lt;&gt;"",
INDIRECT(""&amp;IF(COLUMN(EX26)&lt;=26,CHAR(COLUMN(EX26)+64),CHAR(INT((COLUMN(EX26)-1)/26)+64)&amp;CHAR(MOD(COLUMN(EX26)-1,26)+65))&amp;$FI18&amp;""),"")</f>
        <v/>
      </c>
      <c r="FM18" s="78" t="str">
        <f t="array" aca="1" ref="FM18" ca="1">IF($FI18&lt;&gt;"",
IF(FL18="",
IF(INDIRECT("EY"&amp;$FI18&amp;"")&lt;&gt;"",
INDIRECT("EY"&amp;$FI18&amp;"")&amp;"箱"
&amp;INDIRECT("EZ"&amp;$FI18&amp;""),""),""),"")</f>
        <v/>
      </c>
      <c r="FN18" s="78" t="str">
        <f t="array" aca="1" ref="FN18" ca="1">IF($FI18&lt;&gt;"",
INDIRECT(""&amp;IF(COLUMN(FA26)&lt;=26,CHAR(COLUMN(FA26)+64),CHAR(INT((COLUMN(FA26)-1)/26)+64)&amp;CHAR(MOD(COLUMN(FA26)-1,26)+65))&amp;$FI18&amp;""),"")</f>
        <v/>
      </c>
      <c r="FO18" s="78" t="str">
        <f t="array" aca="1" ref="FO18" ca="1">IF($FI18&lt;&gt;"",
INDIRECT(""&amp;IF(COLUMN(FB26)&lt;=26,CHAR(COLUMN(FB26)+64),CHAR(INT((COLUMN(FB26)-1)/26)+64)&amp;CHAR(MOD(COLUMN(FB26)-1,26)+65))&amp;$FI18&amp;""),"")</f>
        <v/>
      </c>
      <c r="FP18" s="78" t="str">
        <f t="array" aca="1" ref="FP18" ca="1">IF($FI18&lt;&gt;"",
INDIRECT(""&amp;IF(COLUMN(FC26)&lt;=26,CHAR(COLUMN(FC26)+64),CHAR(INT((COLUMN(FC26)-1)/26)+64)&amp;CHAR(MOD(COLUMN(FC26)-1,26)+65))&amp;$FI18&amp;""),"")</f>
        <v/>
      </c>
      <c r="FQ18" s="78" t="str">
        <f t="array" aca="1" ref="FQ18" ca="1">IF($FI18&lt;&gt;"",
INDIRECT(""&amp;IF(COLUMN(FD26)&lt;=26,CHAR(COLUMN(FD26)+64),CHAR(INT((COLUMN(FD26)-1)/26)+64)&amp;CHAR(MOD(COLUMN(FD26)-1,26)+65))&amp;$FI18&amp;""),"")</f>
        <v/>
      </c>
      <c r="FR18" s="78" t="str">
        <f t="array" aca="1" ref="FR18" ca="1">IF($FI18&lt;&gt;"",
INDIRECT(""&amp;IF(COLUMN(FE26)&lt;=26,CHAR(COLUMN(FE26)+64),CHAR(INT((COLUMN(FE26)-1)/26)+64)&amp;CHAR(MOD(COLUMN(FE26)-1,26)+65))&amp;$FI18&amp;""),"")</f>
        <v/>
      </c>
      <c r="FS18" s="78" t="str">
        <f t="array" aca="1" ref="FS18" ca="1">IF($FI18&lt;&gt;"",
INDIRECT(""&amp;IF(COLUMN(FF26)&lt;=26,CHAR(COLUMN(FF26)+64),CHAR(INT((COLUMN(FF26)-1)/26)+64)&amp;CHAR(MOD(COLUMN(FF26)-1,26)+65))&amp;$FI18&amp;""),"")</f>
        <v/>
      </c>
    </row>
    <row r="19" spans="1:175" ht="18" customHeight="1" x14ac:dyDescent="0.45">
      <c r="B19" s="114" t="s">
        <v>37</v>
      </c>
      <c r="C19" s="254"/>
      <c r="D19" s="254"/>
      <c r="E19" s="254"/>
      <c r="F19" s="254"/>
      <c r="G19" s="98" t="str">
        <f ca="1">SUBSTITUTE(SUBSTITUTE(ADDRESS(1,MATCH("おやつ",'数出表_Excel（アレルギー入力）'!$3:$3,0)),1,""),"$","")</f>
        <v>AL</v>
      </c>
      <c r="I19" s="114" t="s">
        <v>37</v>
      </c>
      <c r="J19" s="254"/>
      <c r="K19" s="254"/>
      <c r="L19" s="254"/>
      <c r="M19" s="254"/>
      <c r="N19" s="98" t="str">
        <f ca="1">SUBSTITUTE(SUBSTITUTE(ADDRESS(1,MATCH("おやつ",'数出表_Excel（アレルギー入力）'!$3:$3,0)),1,""),"$","")</f>
        <v>AL</v>
      </c>
      <c r="Q19" s="114" t="s">
        <v>37</v>
      </c>
      <c r="R19" s="254"/>
      <c r="S19" s="254"/>
      <c r="T19" s="254"/>
      <c r="U19" s="254"/>
      <c r="V19" s="98" t="str">
        <f ca="1">SUBSTITUTE(SUBSTITUTE(ADDRESS(1,MATCH("おやつ",'数出表_Excel（アレルギー入力）'!$3:$3,0)),1,""),"$","")</f>
        <v>AL</v>
      </c>
      <c r="X19" s="114" t="s">
        <v>37</v>
      </c>
      <c r="Y19" s="254"/>
      <c r="Z19" s="254"/>
      <c r="AA19" s="254"/>
      <c r="AB19" s="254"/>
      <c r="AC19" s="98" t="str">
        <f ca="1">SUBSTITUTE(SUBSTITUTE(ADDRESS(1,MATCH("おやつ",'数出表_Excel（アレルギー入力）'!$3:$3,0)),1,""),"$","")</f>
        <v>AL</v>
      </c>
      <c r="AF19" s="114" t="s">
        <v>37</v>
      </c>
      <c r="AG19" s="254"/>
      <c r="AH19" s="254"/>
      <c r="AI19" s="254"/>
      <c r="AJ19" s="254"/>
      <c r="AK19" s="98" t="str">
        <f ca="1">SUBSTITUTE(SUBSTITUTE(ADDRESS(1,MATCH("おやつ",'数出表_Excel（アレルギー入力）'!$3:$3,0)),1,""),"$","")</f>
        <v>AL</v>
      </c>
      <c r="AM19" s="114" t="s">
        <v>37</v>
      </c>
      <c r="AN19" s="254"/>
      <c r="AO19" s="254"/>
      <c r="AP19" s="254"/>
      <c r="AQ19" s="254"/>
      <c r="AR19" s="98" t="str">
        <f ca="1">SUBSTITUTE(SUBSTITUTE(ADDRESS(1,MATCH("おやつ",'数出表_Excel（アレルギー入力）'!$3:$3,0)),1,""),"$","")</f>
        <v>AL</v>
      </c>
      <c r="AU19" s="114" t="s">
        <v>37</v>
      </c>
      <c r="AV19" s="254"/>
      <c r="AW19" s="254"/>
      <c r="AX19" s="254"/>
      <c r="AY19" s="254"/>
      <c r="AZ19" s="98" t="str">
        <f ca="1">SUBSTITUTE(SUBSTITUTE(ADDRESS(1,MATCH("おやつ",'数出表_Excel（アレルギー入力）'!$3:$3,0)),1,""),"$","")</f>
        <v>AL</v>
      </c>
      <c r="BB19" s="114" t="s">
        <v>37</v>
      </c>
      <c r="BC19" s="254"/>
      <c r="BD19" s="254"/>
      <c r="BE19" s="254"/>
      <c r="BF19" s="254"/>
      <c r="BG19" s="98" t="str">
        <f ca="1">SUBSTITUTE(SUBSTITUTE(ADDRESS(1,MATCH("おやつ",'数出表_Excel（アレルギー入力）'!$3:$3,0)),1,""),"$","")</f>
        <v>AL</v>
      </c>
      <c r="BJ19" s="114" t="s">
        <v>37</v>
      </c>
      <c r="BK19" s="254"/>
      <c r="BL19" s="254"/>
      <c r="BM19" s="254"/>
      <c r="BN19" s="254"/>
      <c r="BO19" s="98" t="str">
        <f ca="1">SUBSTITUTE(SUBSTITUTE(ADDRESS(1,MATCH("おやつ",'数出表_Excel（アレルギー入力）'!$3:$3,0)),1,""),"$","")</f>
        <v>AL</v>
      </c>
      <c r="BQ19" s="114" t="s">
        <v>37</v>
      </c>
      <c r="BR19" s="254"/>
      <c r="BS19" s="254"/>
      <c r="BT19" s="254"/>
      <c r="BU19" s="254"/>
      <c r="BV19" s="98" t="str">
        <f ca="1">SUBSTITUTE(SUBSTITUTE(ADDRESS(1,MATCH("おやつ",'数出表_Excel（アレルギー入力）'!$3:$3,0)),1,""),"$","")</f>
        <v>AL</v>
      </c>
      <c r="BY19" s="114" t="s">
        <v>37</v>
      </c>
      <c r="BZ19" s="254"/>
      <c r="CA19" s="254"/>
      <c r="CB19" s="254"/>
      <c r="CC19" s="254"/>
      <c r="CD19" s="98" t="str">
        <f ca="1">SUBSTITUTE(SUBSTITUTE(ADDRESS(1,MATCH("おやつ",'数出表_Excel（アレルギー入力）'!$3:$3,0)),1,""),"$","")</f>
        <v>AL</v>
      </c>
      <c r="CF19" s="114" t="s">
        <v>37</v>
      </c>
      <c r="CG19" s="254"/>
      <c r="CH19" s="254"/>
      <c r="CI19" s="254"/>
      <c r="CJ19" s="254"/>
      <c r="CK19" s="98" t="str">
        <f ca="1">SUBSTITUTE(SUBSTITUTE(ADDRESS(1,MATCH("おやつ",'数出表_Excel（アレルギー入力）'!$3:$3,0)),1,""),"$","")</f>
        <v>AL</v>
      </c>
      <c r="CN19" s="114" t="s">
        <v>37</v>
      </c>
      <c r="CO19" s="254"/>
      <c r="CP19" s="254"/>
      <c r="CQ19" s="254"/>
      <c r="CR19" s="254"/>
      <c r="CS19" s="98" t="str">
        <f ca="1">SUBSTITUTE(SUBSTITUTE(ADDRESS(1,MATCH("おやつ",'数出表_Excel（アレルギー入力）'!$3:$3,0)),1,""),"$","")</f>
        <v>AL</v>
      </c>
      <c r="CU19" s="114" t="s">
        <v>37</v>
      </c>
      <c r="CV19" s="254"/>
      <c r="CW19" s="254"/>
      <c r="CX19" s="254"/>
      <c r="CY19" s="254"/>
      <c r="CZ19" s="98" t="str">
        <f ca="1">SUBSTITUTE(SUBSTITUTE(ADDRESS(1,MATCH("おやつ",'数出表_Excel（アレルギー入力）'!$3:$3,0)),1,""),"$","")</f>
        <v>AL</v>
      </c>
      <c r="DC19" s="114" t="s">
        <v>37</v>
      </c>
      <c r="DD19" s="254"/>
      <c r="DE19" s="254"/>
      <c r="DF19" s="254"/>
      <c r="DG19" s="254"/>
      <c r="DH19" s="98" t="str">
        <f ca="1">SUBSTITUTE(SUBSTITUTE(ADDRESS(1,MATCH("おやつ",'数出表_Excel（アレルギー入力）'!$3:$3,0)),1,""),"$","")</f>
        <v>AL</v>
      </c>
      <c r="DJ19" s="114" t="s">
        <v>37</v>
      </c>
      <c r="DK19" s="254"/>
      <c r="DL19" s="254"/>
      <c r="DM19" s="254"/>
      <c r="DN19" s="254"/>
      <c r="DO19" s="98" t="str">
        <f ca="1">SUBSTITUTE(SUBSTITUTE(ADDRESS(1,MATCH("おやつ",'数出表_Excel（アレルギー入力）'!$3:$3,0)),1,""),"$","")</f>
        <v>AL</v>
      </c>
      <c r="DR19" s="114" t="s">
        <v>37</v>
      </c>
      <c r="DS19" s="254"/>
      <c r="DT19" s="254"/>
      <c r="DU19" s="254"/>
      <c r="DV19" s="254"/>
      <c r="DW19" s="98" t="str">
        <f ca="1">SUBSTITUTE(SUBSTITUTE(ADDRESS(1,MATCH("おやつ",'数出表_Excel（アレルギー入力）'!$3:$3,0)),1,""),"$","")</f>
        <v>AL</v>
      </c>
      <c r="DY19" s="114" t="s">
        <v>37</v>
      </c>
      <c r="DZ19" s="254"/>
      <c r="EA19" s="254"/>
      <c r="EB19" s="254"/>
      <c r="EC19" s="254"/>
      <c r="ED19" s="98" t="str">
        <f ca="1">SUBSTITUTE(SUBSTITUTE(ADDRESS(1,MATCH("おやつ",'数出表_Excel（アレルギー入力）'!$3:$3,0)),1,""),"$","")</f>
        <v>AL</v>
      </c>
      <c r="EG19" s="114" t="s">
        <v>37</v>
      </c>
      <c r="EH19" s="254"/>
      <c r="EI19" s="254"/>
      <c r="EJ19" s="254"/>
      <c r="EK19" s="254"/>
      <c r="EL19" s="98" t="str">
        <f ca="1">SUBSTITUTE(SUBSTITUTE(ADDRESS(1,MATCH("おやつ",'数出表_Excel（アレルギー入力）'!$3:$3,0)),1,""),"$","")</f>
        <v>AL</v>
      </c>
      <c r="EN19" s="114" t="s">
        <v>37</v>
      </c>
      <c r="EO19" s="254"/>
      <c r="EP19" s="254"/>
      <c r="EQ19" s="254"/>
      <c r="ER19" s="254"/>
      <c r="ES19" s="98" t="str">
        <f ca="1">SUBSTITUTE(SUBSTITUTE(ADDRESS(1,MATCH("おやつ",'数出表_Excel（アレルギー入力）'!$3:$3,0)),1,""),"$","")</f>
        <v>AL</v>
      </c>
      <c r="ET19" s="106"/>
      <c r="EU19" s="78">
        <f t="shared" si="3"/>
        <v>21</v>
      </c>
      <c r="EV19" s="78" t="str">
        <f t="array" aca="1" ref="EV1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LEN(SUBSTITUTE(_xlfn.FORMULATEXT(EV$1),"=","")))+$EU19)</f>
        <v/>
      </c>
      <c r="EW19" s="78" t="str">
        <f t="array" aca="1" ref="EW1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LEN(SUBSTITUTE(_xlfn.FORMULATEXT(EW$1),"=","")))+$EU19)</f>
        <v/>
      </c>
      <c r="EX19" s="78" t="str">
        <f t="array" aca="1" ref="EX1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LEN(SUBSTITUTE(_xlfn.FORMULATEXT(EX$1),"=","")))+$EU19)</f>
        <v/>
      </c>
      <c r="EY19" s="78" t="str">
        <f t="array" aca="1" ref="EY1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LEN(SUBSTITUTE(_xlfn.FORMULATEXT(EY$1),"=","")))+$EU19)</f>
        <v/>
      </c>
      <c r="EZ19" s="78" t="str">
        <f t="array" aca="1" ref="EZ1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LEN(SUBSTITUTE(_xlfn.FORMULATEXT(EZ$1),"=","")))+$EU19)</f>
        <v/>
      </c>
      <c r="FA19" s="78" t="e">
        <f t="array" aca="1" ref="FA1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LEN(SUBSTITUTE(_xlfn.FORMULATEXT(FA$1),"=","")))+$EU19)</f>
        <v>#VALUE!</v>
      </c>
      <c r="FB19" s="78" t="e">
        <f t="array" aca="1" ref="FB1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LEN(SUBSTITUTE(_xlfn.FORMULATEXT(FB$1),"=","")))+$EU19)</f>
        <v>#VALUE!</v>
      </c>
      <c r="FC19" s="78" t="str">
        <f t="array" aca="1" ref="FC1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LEN(SUBSTITUTE(_xlfn.FORMULATEXT(FC$1),"=","")))+$EU19)</f>
        <v/>
      </c>
      <c r="FD19" s="78" t="e">
        <f t="array" aca="1" ref="FD1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LEN(SUBSTITUTE(_xlfn.FORMULATEXT(FD$1),"=","")))+$EU19)</f>
        <v>#VALUE!</v>
      </c>
      <c r="FE19" s="78" t="str">
        <f t="array" aca="1" ref="FE1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LEN(SUBSTITUTE(_xlfn.FORMULATEXT(FE$1),"=","")))+$EU19)</f>
        <v/>
      </c>
      <c r="FF19" s="78" t="e">
        <f t="array" aca="1" ref="FF1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LEN(SUBSTITUTE(_xlfn.FORMULATEXT(FF$1),"=","")))+$EU19)</f>
        <v>#VALUE!</v>
      </c>
      <c r="FG19" s="78">
        <f t="shared" ca="1" si="2"/>
        <v>0</v>
      </c>
      <c r="FH19" s="78" t="e">
        <f t="array" aca="1" ref="FH19" ca="1">SUMPRODUCT((LEN(EV19:FF19)&gt;0)*1)&gt;0</f>
        <v>#VALUE!</v>
      </c>
      <c r="FI19" s="78" t="str">
        <f t="array" aca="1" ref="FI19" ca="1">IFERROR(SMALL(IF(FG$1:FG$228&lt;&gt;0,FG$1:FG$228),ROW(A19)),"")</f>
        <v/>
      </c>
      <c r="FJ19" s="78" t="str">
        <f t="array" aca="1" ref="FJ19" ca="1">IF($FI19&lt;&gt;"",
INDIRECT(""&amp;IF(COLUMN(EV28)&lt;=26,CHAR(COLUMN(EV28)+64),CHAR(INT((COLUMN(EV28)-1)/26)+64)&amp;CHAR(MOD(COLUMN(EV28)-1,26)+65))&amp;$FI19&amp;""),"")</f>
        <v/>
      </c>
      <c r="FK19" s="78" t="str">
        <f t="array" aca="1" ref="FK19" ca="1">IF($FI19&lt;&gt;"",
INDIRECT(""&amp;IF(COLUMN(EW28)&lt;=26,CHAR(COLUMN(EW28)+64),CHAR(INT((COLUMN(EW28)-1)/26)+64)&amp;CHAR(MOD(COLUMN(EW28)-1,26)+65))&amp;$FI19&amp;""),"")</f>
        <v/>
      </c>
      <c r="FL19" s="78" t="str">
        <f t="array" aca="1" ref="FL19" ca="1">IF($FI19&lt;&gt;"",
INDIRECT(""&amp;IF(COLUMN(EX28)&lt;=26,CHAR(COLUMN(EX28)+64),CHAR(INT((COLUMN(EX28)-1)/26)+64)&amp;CHAR(MOD(COLUMN(EX28)-1,26)+65))&amp;$FI19&amp;""),"")</f>
        <v/>
      </c>
      <c r="FM19" s="78" t="str">
        <f t="array" aca="1" ref="FM19" ca="1">IF($FI19&lt;&gt;"",
IF(FL19="",
IF(INDIRECT("EY"&amp;$FI19&amp;"")&lt;&gt;"",
INDIRECT("EY"&amp;$FI19&amp;"")&amp;"箱"
&amp;INDIRECT("EZ"&amp;$FI19&amp;""),""),""),"")</f>
        <v/>
      </c>
      <c r="FN19" s="78" t="str">
        <f t="array" aca="1" ref="FN19" ca="1">IF($FI19&lt;&gt;"",
INDIRECT(""&amp;IF(COLUMN(FA28)&lt;=26,CHAR(COLUMN(FA28)+64),CHAR(INT((COLUMN(FA28)-1)/26)+64)&amp;CHAR(MOD(COLUMN(FA28)-1,26)+65))&amp;$FI19&amp;""),"")</f>
        <v/>
      </c>
      <c r="FO19" s="78" t="str">
        <f t="array" aca="1" ref="FO19" ca="1">IF($FI19&lt;&gt;"",
INDIRECT(""&amp;IF(COLUMN(FB28)&lt;=26,CHAR(COLUMN(FB28)+64),CHAR(INT((COLUMN(FB28)-1)/26)+64)&amp;CHAR(MOD(COLUMN(FB28)-1,26)+65))&amp;$FI19&amp;""),"")</f>
        <v/>
      </c>
      <c r="FP19" s="78" t="str">
        <f t="array" aca="1" ref="FP19" ca="1">IF($FI19&lt;&gt;"",
INDIRECT(""&amp;IF(COLUMN(FC28)&lt;=26,CHAR(COLUMN(FC28)+64),CHAR(INT((COLUMN(FC28)-1)/26)+64)&amp;CHAR(MOD(COLUMN(FC28)-1,26)+65))&amp;$FI19&amp;""),"")</f>
        <v/>
      </c>
      <c r="FQ19" s="78" t="str">
        <f t="array" aca="1" ref="FQ19" ca="1">IF($FI19&lt;&gt;"",
INDIRECT(""&amp;IF(COLUMN(FD28)&lt;=26,CHAR(COLUMN(FD28)+64),CHAR(INT((COLUMN(FD28)-1)/26)+64)&amp;CHAR(MOD(COLUMN(FD28)-1,26)+65))&amp;$FI19&amp;""),"")</f>
        <v/>
      </c>
      <c r="FR19" s="78" t="str">
        <f t="array" aca="1" ref="FR19" ca="1">IF($FI19&lt;&gt;"",
INDIRECT(""&amp;IF(COLUMN(FE28)&lt;=26,CHAR(COLUMN(FE28)+64),CHAR(INT((COLUMN(FE28)-1)/26)+64)&amp;CHAR(MOD(COLUMN(FE28)-1,26)+65))&amp;$FI19&amp;""),"")</f>
        <v/>
      </c>
      <c r="FS19" s="78" t="str">
        <f t="array" aca="1" ref="FS19" ca="1">IF($FI19&lt;&gt;"",
INDIRECT(""&amp;IF(COLUMN(FF28)&lt;=26,CHAR(COLUMN(FF28)+64),CHAR(INT((COLUMN(FF28)-1)/26)+64)&amp;CHAR(MOD(COLUMN(FF28)-1,26)+65))&amp;$FI19&amp;""),"")</f>
        <v/>
      </c>
    </row>
    <row r="20" spans="1:175" s="78" customFormat="1" ht="22.2" customHeight="1" x14ac:dyDescent="0.55000000000000004">
      <c r="A20" s="76"/>
      <c r="B20" s="89" t="str">
        <f ca="1">IF(C16&lt;&gt;"",
"パン箱","")</f>
        <v/>
      </c>
      <c r="C20" s="90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89" t="str">
        <f ca="1">IF(C16&lt;&gt;"",
" 端数","")</f>
        <v/>
      </c>
      <c r="E20" s="90"/>
      <c r="F20" s="89" t="str">
        <f ca="1">IF(C16&lt;&gt;"",
"アレルギー","")</f>
        <v/>
      </c>
      <c r="G20" s="97"/>
      <c r="H20" s="76"/>
      <c r="I20" s="89" t="str">
        <f ca="1">IF(J16&lt;&gt;"",
"パン箱","")</f>
        <v/>
      </c>
      <c r="J20" s="90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89" t="str">
        <f ca="1">IF(J16&lt;&gt;"",
" 端数","")</f>
        <v/>
      </c>
      <c r="L20" s="90"/>
      <c r="M20" s="89" t="str">
        <f ca="1">IF(J16&lt;&gt;"",
"アレルギー","")</f>
        <v/>
      </c>
      <c r="N20" s="97"/>
      <c r="O20" s="76"/>
      <c r="P20" s="76"/>
      <c r="Q20" s="89" t="str">
        <f ca="1">IF(R16&lt;&gt;"",
"パン箱","")</f>
        <v/>
      </c>
      <c r="R20" s="90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89" t="str">
        <f ca="1">IF(R16&lt;&gt;"",
" 端数","")</f>
        <v/>
      </c>
      <c r="T20" s="90"/>
      <c r="U20" s="89" t="str">
        <f ca="1">IF(R16&lt;&gt;"",
"アレルギー","")</f>
        <v/>
      </c>
      <c r="V20" s="97"/>
      <c r="W20" s="76"/>
      <c r="X20" s="89" t="str">
        <f ca="1">IF(Y16&lt;&gt;"",
"パン箱","")</f>
        <v/>
      </c>
      <c r="Y20" s="90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89" t="str">
        <f ca="1">IF(Y16&lt;&gt;"",
" 端数","")</f>
        <v/>
      </c>
      <c r="AA20" s="90"/>
      <c r="AB20" s="89" t="str">
        <f ca="1">IF(Y16&lt;&gt;"",
"アレルギー","")</f>
        <v/>
      </c>
      <c r="AC20" s="97"/>
      <c r="AD20" s="76"/>
      <c r="AE20" s="76"/>
      <c r="AF20" s="89" t="str">
        <f ca="1">IF(AG16&lt;&gt;"",
"パン箱","")</f>
        <v/>
      </c>
      <c r="AG20" s="90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89" t="str">
        <f ca="1">IF(AG16&lt;&gt;"",
" 端数","")</f>
        <v/>
      </c>
      <c r="AI20" s="90"/>
      <c r="AJ20" s="89" t="str">
        <f ca="1">IF(AG16&lt;&gt;"",
"アレルギー","")</f>
        <v/>
      </c>
      <c r="AK20" s="97"/>
      <c r="AL20" s="76"/>
      <c r="AM20" s="89" t="str">
        <f ca="1">IF(AN16&lt;&gt;"",
"パン箱","")</f>
        <v/>
      </c>
      <c r="AN20" s="90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89" t="str">
        <f ca="1">IF(AN16&lt;&gt;"",
" 端数","")</f>
        <v/>
      </c>
      <c r="AP20" s="90"/>
      <c r="AQ20" s="89" t="str">
        <f ca="1">IF(AN16&lt;&gt;"",
"アレルギー","")</f>
        <v/>
      </c>
      <c r="AR20" s="97"/>
      <c r="AS20" s="76"/>
      <c r="AT20" s="76"/>
      <c r="AU20" s="89" t="str">
        <f ca="1">IF(AV16&lt;&gt;"",
"パン箱","")</f>
        <v/>
      </c>
      <c r="AV20" s="90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89" t="str">
        <f ca="1">IF(AV16&lt;&gt;"",
" 端数","")</f>
        <v/>
      </c>
      <c r="AX20" s="90"/>
      <c r="AY20" s="89" t="str">
        <f ca="1">IF(AV16&lt;&gt;"",
"アレルギー","")</f>
        <v/>
      </c>
      <c r="AZ20" s="97"/>
      <c r="BA20" s="76"/>
      <c r="BB20" s="89" t="str">
        <f ca="1">IF(BC16&lt;&gt;"",
"パン箱","")</f>
        <v/>
      </c>
      <c r="BC20" s="90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89" t="str">
        <f ca="1">IF(BC16&lt;&gt;"",
" 端数","")</f>
        <v/>
      </c>
      <c r="BE20" s="90"/>
      <c r="BF20" s="89" t="str">
        <f ca="1">IF(BC16&lt;&gt;"",
"アレルギー","")</f>
        <v/>
      </c>
      <c r="BG20" s="97"/>
      <c r="BH20" s="76"/>
      <c r="BI20" s="76"/>
      <c r="BJ20" s="89" t="str">
        <f ca="1">IF(BK16&lt;&gt;"",
"パン箱","")</f>
        <v/>
      </c>
      <c r="BK20" s="90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89" t="str">
        <f ca="1">IF(BK16&lt;&gt;"",
" 端数","")</f>
        <v/>
      </c>
      <c r="BM20" s="90"/>
      <c r="BN20" s="89" t="str">
        <f ca="1">IF(BK16&lt;&gt;"",
"アレルギー","")</f>
        <v/>
      </c>
      <c r="BO20" s="97"/>
      <c r="BP20" s="76"/>
      <c r="BQ20" s="89" t="str">
        <f ca="1">IF(BR16&lt;&gt;"",
"パン箱","")</f>
        <v/>
      </c>
      <c r="BR20" s="90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89" t="str">
        <f ca="1">IF(BR16&lt;&gt;"",
" 端数","")</f>
        <v/>
      </c>
      <c r="BT20" s="90"/>
      <c r="BU20" s="89" t="str">
        <f ca="1">IF(BR16&lt;&gt;"",
"アレルギー","")</f>
        <v/>
      </c>
      <c r="BV20" s="97"/>
      <c r="BW20" s="76"/>
      <c r="BX20" s="76"/>
      <c r="BY20" s="89" t="str">
        <f ca="1">IF(BZ16&lt;&gt;"",
"パン箱","")</f>
        <v/>
      </c>
      <c r="BZ20" s="90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89" t="str">
        <f ca="1">IF(BZ16&lt;&gt;"",
" 端数","")</f>
        <v/>
      </c>
      <c r="CB20" s="90"/>
      <c r="CC20" s="89" t="str">
        <f ca="1">IF(BZ16&lt;&gt;"",
"アレルギー","")</f>
        <v/>
      </c>
      <c r="CD20" s="97"/>
      <c r="CE20" s="76"/>
      <c r="CF20" s="89" t="str">
        <f ca="1">IF(CG16&lt;&gt;"",
"パン箱","")</f>
        <v/>
      </c>
      <c r="CG20" s="90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89" t="str">
        <f ca="1">IF(CG16&lt;&gt;"",
" 端数","")</f>
        <v/>
      </c>
      <c r="CI20" s="90"/>
      <c r="CJ20" s="89" t="str">
        <f ca="1">IF(CG16&lt;&gt;"",
"アレルギー","")</f>
        <v/>
      </c>
      <c r="CK20" s="97"/>
      <c r="CL20" s="76"/>
      <c r="CM20" s="76"/>
      <c r="CN20" s="89" t="str">
        <f ca="1">IF(CO16&lt;&gt;"",
"パン箱","")</f>
        <v/>
      </c>
      <c r="CO20" s="90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89" t="str">
        <f ca="1">IF(CO16&lt;&gt;"",
" 端数","")</f>
        <v/>
      </c>
      <c r="CQ20" s="90"/>
      <c r="CR20" s="89" t="str">
        <f ca="1">IF(CO16&lt;&gt;"",
"アレルギー","")</f>
        <v/>
      </c>
      <c r="CS20" s="97"/>
      <c r="CT20" s="76"/>
      <c r="CU20" s="89" t="str">
        <f ca="1">IF(CV16&lt;&gt;"",
"パン箱","")</f>
        <v/>
      </c>
      <c r="CV20" s="90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89" t="str">
        <f ca="1">IF(CV16&lt;&gt;"",
" 端数","")</f>
        <v/>
      </c>
      <c r="CX20" s="90"/>
      <c r="CY20" s="89" t="str">
        <f ca="1">IF(CV16&lt;&gt;"",
"アレルギー","")</f>
        <v/>
      </c>
      <c r="CZ20" s="97"/>
      <c r="DA20" s="76"/>
      <c r="DB20" s="76"/>
      <c r="DC20" s="89" t="str">
        <f ca="1">IF(DD16&lt;&gt;"",
"パン箱","")</f>
        <v/>
      </c>
      <c r="DD20" s="90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89" t="str">
        <f ca="1">IF(DD16&lt;&gt;"",
" 端数","")</f>
        <v/>
      </c>
      <c r="DF20" s="90"/>
      <c r="DG20" s="89" t="str">
        <f ca="1">IF(DD16&lt;&gt;"",
"アレルギー","")</f>
        <v/>
      </c>
      <c r="DH20" s="97"/>
      <c r="DI20" s="76"/>
      <c r="DJ20" s="89" t="str">
        <f ca="1">IF(DK16&lt;&gt;"",
"パン箱","")</f>
        <v/>
      </c>
      <c r="DK20" s="90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89" t="str">
        <f ca="1">IF(DK16&lt;&gt;"",
" 端数","")</f>
        <v/>
      </c>
      <c r="DM20" s="90"/>
      <c r="DN20" s="89" t="str">
        <f ca="1">IF(DK16&lt;&gt;"",
"アレルギー","")</f>
        <v/>
      </c>
      <c r="DO20" s="97"/>
      <c r="DP20" s="76"/>
      <c r="DQ20" s="76"/>
      <c r="DR20" s="89" t="str">
        <f ca="1">IF(DS16&lt;&gt;"",
"パン箱","")</f>
        <v/>
      </c>
      <c r="DS20" s="90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89" t="str">
        <f ca="1">IF(DS16&lt;&gt;"",
" 端数","")</f>
        <v/>
      </c>
      <c r="DU20" s="90"/>
      <c r="DV20" s="89" t="str">
        <f ca="1">IF(DS16&lt;&gt;"",
"アレルギー","")</f>
        <v/>
      </c>
      <c r="DW20" s="97"/>
      <c r="DX20" s="76"/>
      <c r="DY20" s="89" t="str">
        <f ca="1">IF(DZ16&lt;&gt;"",
"パン箱","")</f>
        <v/>
      </c>
      <c r="DZ20" s="90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89" t="str">
        <f ca="1">IF(DZ16&lt;&gt;"",
" 端数","")</f>
        <v/>
      </c>
      <c r="EB20" s="90"/>
      <c r="EC20" s="89" t="str">
        <f ca="1">IF(DZ16&lt;&gt;"",
"アレルギー","")</f>
        <v/>
      </c>
      <c r="ED20" s="97"/>
      <c r="EE20" s="76"/>
      <c r="EF20" s="76"/>
      <c r="EG20" s="89" t="str">
        <f ca="1">IF(EH16&lt;&gt;"",
"パン箱","")</f>
        <v/>
      </c>
      <c r="EH20" s="90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89" t="str">
        <f ca="1">IF(EH16&lt;&gt;"",
" 端数","")</f>
        <v/>
      </c>
      <c r="EJ20" s="90"/>
      <c r="EK20" s="89" t="str">
        <f ca="1">IF(EH16&lt;&gt;"",
"アレルギー","")</f>
        <v/>
      </c>
      <c r="EL20" s="97"/>
      <c r="EM20" s="76"/>
      <c r="EN20" s="89" t="str">
        <f ca="1">IF(EO16&lt;&gt;"",
"パン箱","")</f>
        <v/>
      </c>
      <c r="EO20" s="90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89" t="str">
        <f ca="1">IF(EO16&lt;&gt;"",
" 端数","")</f>
        <v/>
      </c>
      <c r="EQ20" s="90"/>
      <c r="ER20" s="89" t="str">
        <f ca="1">IF(EO16&lt;&gt;"",
"アレルギー","")</f>
        <v/>
      </c>
      <c r="ES20" s="97"/>
      <c r="ET20" s="106"/>
      <c r="EU20" s="78">
        <f t="shared" si="3"/>
        <v>63</v>
      </c>
      <c r="EV20" s="78" t="str">
        <f t="array" aca="1" ref="EV2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LEN(SUBSTITUTE(_xlfn.FORMULATEXT(EV$1),"=","")))+$EU20)</f>
        <v/>
      </c>
      <c r="EW20" s="78" t="str">
        <f t="array" aca="1" ref="EW2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LEN(SUBSTITUTE(_xlfn.FORMULATEXT(EW$1),"=","")))+$EU20)</f>
        <v/>
      </c>
      <c r="EX20" s="78" t="str">
        <f t="array" aca="1" ref="EX2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LEN(SUBSTITUTE(_xlfn.FORMULATEXT(EX$1),"=","")))+$EU20)</f>
        <v/>
      </c>
      <c r="EY20" s="78" t="str">
        <f t="array" aca="1" ref="EY2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LEN(SUBSTITUTE(_xlfn.FORMULATEXT(EY$1),"=","")))+$EU20)</f>
        <v/>
      </c>
      <c r="EZ20" s="78" t="str">
        <f t="array" aca="1" ref="EZ2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LEN(SUBSTITUTE(_xlfn.FORMULATEXT(EZ$1),"=","")))+$EU20)</f>
        <v/>
      </c>
      <c r="FA20" s="78" t="str">
        <f t="array" aca="1" ref="FA2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LEN(SUBSTITUTE(_xlfn.FORMULATEXT(FA$1),"=","")))+$EU20)</f>
        <v/>
      </c>
      <c r="FB20" s="78" t="str">
        <f t="array" aca="1" ref="FB2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LEN(SUBSTITUTE(_xlfn.FORMULATEXT(FB$1),"=","")))+$EU20)</f>
        <v/>
      </c>
      <c r="FC20" s="78" t="str">
        <f t="array" aca="1" ref="FC2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LEN(SUBSTITUTE(_xlfn.FORMULATEXT(FC$1),"=","")))+$EU20)</f>
        <v/>
      </c>
      <c r="FD20" s="78" t="str">
        <f t="array" aca="1" ref="FD2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LEN(SUBSTITUTE(_xlfn.FORMULATEXT(FD$1),"=","")))+$EU20)</f>
        <v/>
      </c>
      <c r="FE20" s="78" t="str">
        <f t="array" aca="1" ref="FE2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LEN(SUBSTITUTE(_xlfn.FORMULATEXT(FE$1),"=","")))+$EU20)</f>
        <v/>
      </c>
      <c r="FF20" s="78" t="str">
        <f t="array" aca="1" ref="FF2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LEN(SUBSTITUTE(_xlfn.FORMULATEXT(FF$1),"=","")))+$EU20)</f>
        <v/>
      </c>
      <c r="FG20" s="78">
        <f t="shared" ca="1" si="2"/>
        <v>0</v>
      </c>
      <c r="FH20" s="78" t="b">
        <f t="array" aca="1" ref="FH20" ca="1">SUMPRODUCT((LEN(EV20:FF20)&gt;0)*1)&gt;0</f>
        <v>0</v>
      </c>
      <c r="FI20" s="78" t="str">
        <f t="array" aca="1" ref="FI20" ca="1">IFERROR(SMALL(IF(FG$1:FG$228&lt;&gt;0,FG$1:FG$228),ROW(A20)),"")</f>
        <v/>
      </c>
      <c r="FJ20" s="78" t="str">
        <f t="array" aca="1" ref="FJ20" ca="1">IF($FI20&lt;&gt;"",
INDIRECT(""&amp;IF(COLUMN(EV29)&lt;=26,CHAR(COLUMN(EV29)+64),CHAR(INT((COLUMN(EV29)-1)/26)+64)&amp;CHAR(MOD(COLUMN(EV29)-1,26)+65))&amp;$FI20&amp;""),"")</f>
        <v/>
      </c>
      <c r="FK20" s="78" t="str">
        <f t="array" aca="1" ref="FK20" ca="1">IF($FI20&lt;&gt;"",
INDIRECT(""&amp;IF(COLUMN(EW29)&lt;=26,CHAR(COLUMN(EW29)+64),CHAR(INT((COLUMN(EW29)-1)/26)+64)&amp;CHAR(MOD(COLUMN(EW29)-1,26)+65))&amp;$FI20&amp;""),"")</f>
        <v/>
      </c>
      <c r="FL20" s="78" t="str">
        <f t="array" aca="1" ref="FL20" ca="1">IF($FI20&lt;&gt;"",
INDIRECT(""&amp;IF(COLUMN(EX29)&lt;=26,CHAR(COLUMN(EX29)+64),CHAR(INT((COLUMN(EX29)-1)/26)+64)&amp;CHAR(MOD(COLUMN(EX29)-1,26)+65))&amp;$FI20&amp;""),"")</f>
        <v/>
      </c>
      <c r="FM20" s="78" t="str">
        <f t="array" aca="1" ref="FM20" ca="1">IF($FI20&lt;&gt;"",
IF(FL20="",
IF(INDIRECT("EY"&amp;$FI20&amp;"")&lt;&gt;"",
INDIRECT("EY"&amp;$FI20&amp;"")&amp;"箱"
&amp;INDIRECT("EZ"&amp;$FI20&amp;""),""),""),"")</f>
        <v/>
      </c>
      <c r="FN20" s="78" t="str">
        <f t="array" aca="1" ref="FN20" ca="1">IF($FI20&lt;&gt;"",
INDIRECT(""&amp;IF(COLUMN(FA29)&lt;=26,CHAR(COLUMN(FA29)+64),CHAR(INT((COLUMN(FA29)-1)/26)+64)&amp;CHAR(MOD(COLUMN(FA29)-1,26)+65))&amp;$FI20&amp;""),"")</f>
        <v/>
      </c>
      <c r="FO20" s="78" t="str">
        <f t="array" aca="1" ref="FO20" ca="1">IF($FI20&lt;&gt;"",
INDIRECT(""&amp;IF(COLUMN(FB29)&lt;=26,CHAR(COLUMN(FB29)+64),CHAR(INT((COLUMN(FB29)-1)/26)+64)&amp;CHAR(MOD(COLUMN(FB29)-1,26)+65))&amp;$FI20&amp;""),"")</f>
        <v/>
      </c>
      <c r="FP20" s="78" t="str">
        <f t="array" aca="1" ref="FP20" ca="1">IF($FI20&lt;&gt;"",
INDIRECT(""&amp;IF(COLUMN(FC29)&lt;=26,CHAR(COLUMN(FC29)+64),CHAR(INT((COLUMN(FC29)-1)/26)+64)&amp;CHAR(MOD(COLUMN(FC29)-1,26)+65))&amp;$FI20&amp;""),"")</f>
        <v/>
      </c>
      <c r="FQ20" s="78" t="str">
        <f t="array" aca="1" ref="FQ20" ca="1">IF($FI20&lt;&gt;"",
INDIRECT(""&amp;IF(COLUMN(FD29)&lt;=26,CHAR(COLUMN(FD29)+64),CHAR(INT((COLUMN(FD29)-1)/26)+64)&amp;CHAR(MOD(COLUMN(FD29)-1,26)+65))&amp;$FI20&amp;""),"")</f>
        <v/>
      </c>
      <c r="FR20" s="78" t="str">
        <f t="array" aca="1" ref="FR20" ca="1">IF($FI20&lt;&gt;"",
INDIRECT(""&amp;IF(COLUMN(FE29)&lt;=26,CHAR(COLUMN(FE29)+64),CHAR(INT((COLUMN(FE29)-1)/26)+64)&amp;CHAR(MOD(COLUMN(FE29)-1,26)+65))&amp;$FI20&amp;""),"")</f>
        <v/>
      </c>
      <c r="FS20" s="78" t="str">
        <f t="array" aca="1" ref="FS20" ca="1">IF($FI20&lt;&gt;"",
INDIRECT(""&amp;IF(COLUMN(FF29)&lt;=26,CHAR(COLUMN(FF29)+64),CHAR(INT((COLUMN(FF29)-1)/26)+64)&amp;CHAR(MOD(COLUMN(FF29)-1,26)+65))&amp;$FI20&amp;""),"")</f>
        <v/>
      </c>
    </row>
    <row r="21" spans="1:175" ht="21" customHeight="1" x14ac:dyDescent="0.45">
      <c r="B21" s="244" t="e">
        <f ca="1">IF(C18&lt;&gt;"",
IFERROR(INT(C18/C20),""),"")</f>
        <v>#VALUE!</v>
      </c>
      <c r="C21" s="245"/>
      <c r="D21" s="244" t="str">
        <f ca="1">IFERROR(MOD(C18,C20),"")</f>
        <v/>
      </c>
      <c r="E21" s="245"/>
      <c r="F21" s="246" t="e">
        <f ca="1">G17+G18</f>
        <v>#VALUE!</v>
      </c>
      <c r="G21" s="245"/>
      <c r="I21" s="244" t="e">
        <f ca="1">IF(J18&lt;&gt;"",
IFERROR(INT(J18/J20),""),"")</f>
        <v>#VALUE!</v>
      </c>
      <c r="J21" s="245"/>
      <c r="K21" s="244" t="str">
        <f ca="1">IFERROR(MOD(J18,J20),"")</f>
        <v/>
      </c>
      <c r="L21" s="245"/>
      <c r="M21" s="246" t="e">
        <f ca="1">N17+N18</f>
        <v>#VALUE!</v>
      </c>
      <c r="N21" s="245"/>
      <c r="Q21" s="244" t="e">
        <f ca="1">IF(R18&lt;&gt;"",
IFERROR(INT(R18/R20),""),"")</f>
        <v>#VALUE!</v>
      </c>
      <c r="R21" s="245"/>
      <c r="S21" s="244" t="str">
        <f ca="1">IFERROR(MOD(R18,R20),"")</f>
        <v/>
      </c>
      <c r="T21" s="245"/>
      <c r="U21" s="246" t="e">
        <f ca="1">V17+V18</f>
        <v>#VALUE!</v>
      </c>
      <c r="V21" s="245"/>
      <c r="X21" s="244" t="e">
        <f ca="1">IF(Y18&lt;&gt;"",
IFERROR(INT(Y18/Y20),""),"")</f>
        <v>#VALUE!</v>
      </c>
      <c r="Y21" s="245"/>
      <c r="Z21" s="244" t="str">
        <f ca="1">IFERROR(MOD(Y18,Y20),"")</f>
        <v/>
      </c>
      <c r="AA21" s="245"/>
      <c r="AB21" s="246" t="e">
        <f ca="1">AC17+AC18</f>
        <v>#VALUE!</v>
      </c>
      <c r="AC21" s="245"/>
      <c r="AF21" s="244" t="e">
        <f ca="1">IF(AG18&lt;&gt;"",
IFERROR(INT(AG18/AG20),""),"")</f>
        <v>#VALUE!</v>
      </c>
      <c r="AG21" s="245"/>
      <c r="AH21" s="244" t="str">
        <f ca="1">IFERROR(MOD(AG18,AG20),"")</f>
        <v/>
      </c>
      <c r="AI21" s="245"/>
      <c r="AJ21" s="246" t="e">
        <f ca="1">AK17+AK18</f>
        <v>#VALUE!</v>
      </c>
      <c r="AK21" s="245"/>
      <c r="AM21" s="244" t="e">
        <f ca="1">IF(AN18&lt;&gt;"",
IFERROR(INT(AN18/AN20),""),"")</f>
        <v>#VALUE!</v>
      </c>
      <c r="AN21" s="245"/>
      <c r="AO21" s="244" t="str">
        <f ca="1">IFERROR(MOD(AN18,AN20),"")</f>
        <v/>
      </c>
      <c r="AP21" s="245"/>
      <c r="AQ21" s="246" t="e">
        <f ca="1">AR17+AR18</f>
        <v>#VALUE!</v>
      </c>
      <c r="AR21" s="245"/>
      <c r="AU21" s="244" t="e">
        <f ca="1">IF(AV18&lt;&gt;"",
IFERROR(INT(AV18/AV20),""),"")</f>
        <v>#VALUE!</v>
      </c>
      <c r="AV21" s="245"/>
      <c r="AW21" s="244" t="str">
        <f ca="1">IFERROR(MOD(AV18,AV20),"")</f>
        <v/>
      </c>
      <c r="AX21" s="245"/>
      <c r="AY21" s="246" t="e">
        <f ca="1">AZ17+AZ18</f>
        <v>#VALUE!</v>
      </c>
      <c r="AZ21" s="245"/>
      <c r="BB21" s="244" t="e">
        <f ca="1">IF(BC18&lt;&gt;"",
IFERROR(INT(BC18/BC20),""),"")</f>
        <v>#VALUE!</v>
      </c>
      <c r="BC21" s="245"/>
      <c r="BD21" s="244" t="str">
        <f ca="1">IFERROR(MOD(BC18,BC20),"")</f>
        <v/>
      </c>
      <c r="BE21" s="245"/>
      <c r="BF21" s="246" t="e">
        <f ca="1">BG17+BG18</f>
        <v>#VALUE!</v>
      </c>
      <c r="BG21" s="245"/>
      <c r="BJ21" s="244" t="e">
        <f ca="1">IF(BK18&lt;&gt;"",
IFERROR(INT(BK18/BK20),""),"")</f>
        <v>#VALUE!</v>
      </c>
      <c r="BK21" s="245"/>
      <c r="BL21" s="244" t="str">
        <f ca="1">IFERROR(MOD(BK18,BK20),"")</f>
        <v/>
      </c>
      <c r="BM21" s="245"/>
      <c r="BN21" s="246" t="e">
        <f ca="1">BO17+BO18</f>
        <v>#VALUE!</v>
      </c>
      <c r="BO21" s="245"/>
      <c r="BQ21" s="244" t="e">
        <f ca="1">IF(BR18&lt;&gt;"",
IFERROR(INT(BR18/BR20),""),"")</f>
        <v>#VALUE!</v>
      </c>
      <c r="BR21" s="245"/>
      <c r="BS21" s="244" t="str">
        <f ca="1">IFERROR(MOD(BR18,BR20),"")</f>
        <v/>
      </c>
      <c r="BT21" s="245"/>
      <c r="BU21" s="246" t="e">
        <f ca="1">BV17+BV18</f>
        <v>#VALUE!</v>
      </c>
      <c r="BV21" s="245"/>
      <c r="BY21" s="244" t="e">
        <f ca="1">IF(BZ18&lt;&gt;"",
IFERROR(INT(BZ18/BZ20),""),"")</f>
        <v>#VALUE!</v>
      </c>
      <c r="BZ21" s="245"/>
      <c r="CA21" s="244" t="str">
        <f ca="1">IFERROR(MOD(BZ18,BZ20),"")</f>
        <v/>
      </c>
      <c r="CB21" s="245"/>
      <c r="CC21" s="246" t="e">
        <f ca="1">CD17+CD18</f>
        <v>#VALUE!</v>
      </c>
      <c r="CD21" s="245"/>
      <c r="CF21" s="244" t="e">
        <f ca="1">IF(CG18&lt;&gt;"",
IFERROR(INT(CG18/CG20),""),"")</f>
        <v>#VALUE!</v>
      </c>
      <c r="CG21" s="245"/>
      <c r="CH21" s="244" t="str">
        <f ca="1">IFERROR(MOD(CG18,CG20),"")</f>
        <v/>
      </c>
      <c r="CI21" s="245"/>
      <c r="CJ21" s="246" t="e">
        <f ca="1">CK17+CK18</f>
        <v>#VALUE!</v>
      </c>
      <c r="CK21" s="245"/>
      <c r="CN21" s="244" t="e">
        <f ca="1">IF(CO18&lt;&gt;"",
IFERROR(INT(CO18/CO20),""),"")</f>
        <v>#VALUE!</v>
      </c>
      <c r="CO21" s="245"/>
      <c r="CP21" s="244" t="str">
        <f ca="1">IFERROR(MOD(CO18,CO20),"")</f>
        <v/>
      </c>
      <c r="CQ21" s="245"/>
      <c r="CR21" s="246" t="e">
        <f ca="1">CS17+CS18</f>
        <v>#VALUE!</v>
      </c>
      <c r="CS21" s="245"/>
      <c r="CU21" s="244" t="e">
        <f ca="1">IF(CV18&lt;&gt;"",
IFERROR(INT(CV18/CV20),""),"")</f>
        <v>#VALUE!</v>
      </c>
      <c r="CV21" s="245"/>
      <c r="CW21" s="244" t="str">
        <f ca="1">IFERROR(MOD(CV18,CV20),"")</f>
        <v/>
      </c>
      <c r="CX21" s="245"/>
      <c r="CY21" s="246" t="e">
        <f ca="1">CZ17+CZ18</f>
        <v>#VALUE!</v>
      </c>
      <c r="CZ21" s="245"/>
      <c r="DC21" s="244" t="e">
        <f ca="1">IF(DD18&lt;&gt;"",
IFERROR(INT(DD18/DD20),""),"")</f>
        <v>#VALUE!</v>
      </c>
      <c r="DD21" s="245"/>
      <c r="DE21" s="244" t="str">
        <f ca="1">IFERROR(MOD(DD18,DD20),"")</f>
        <v/>
      </c>
      <c r="DF21" s="245"/>
      <c r="DG21" s="246" t="e">
        <f ca="1">DH17+DH18</f>
        <v>#VALUE!</v>
      </c>
      <c r="DH21" s="245"/>
      <c r="DJ21" s="244" t="e">
        <f ca="1">IF(DK18&lt;&gt;"",
IFERROR(INT(DK18/DK20),""),"")</f>
        <v>#VALUE!</v>
      </c>
      <c r="DK21" s="245"/>
      <c r="DL21" s="244" t="str">
        <f ca="1">IFERROR(MOD(DK18,DK20),"")</f>
        <v/>
      </c>
      <c r="DM21" s="245"/>
      <c r="DN21" s="246" t="e">
        <f ca="1">DO17+DO18</f>
        <v>#VALUE!</v>
      </c>
      <c r="DO21" s="245"/>
      <c r="DR21" s="244" t="e">
        <f ca="1">IF(DS18&lt;&gt;"",
IFERROR(INT(DS18/DS20),""),"")</f>
        <v>#VALUE!</v>
      </c>
      <c r="DS21" s="245"/>
      <c r="DT21" s="244" t="str">
        <f ca="1">IFERROR(MOD(DS18,DS20),"")</f>
        <v/>
      </c>
      <c r="DU21" s="245"/>
      <c r="DV21" s="246" t="e">
        <f ca="1">DW17+DW18</f>
        <v>#VALUE!</v>
      </c>
      <c r="DW21" s="245"/>
      <c r="DY21" s="244" t="e">
        <f ca="1">IF(DZ18&lt;&gt;"",
IFERROR(INT(DZ18/DZ20),""),"")</f>
        <v>#VALUE!</v>
      </c>
      <c r="DZ21" s="245"/>
      <c r="EA21" s="244" t="str">
        <f ca="1">IFERROR(MOD(DZ18,DZ20),"")</f>
        <v/>
      </c>
      <c r="EB21" s="245"/>
      <c r="EC21" s="246" t="e">
        <f ca="1">ED17+ED18</f>
        <v>#VALUE!</v>
      </c>
      <c r="ED21" s="245"/>
      <c r="EG21" s="244" t="e">
        <f ca="1">IF(EH18&lt;&gt;"",
IFERROR(INT(EH18/EH20),""),"")</f>
        <v>#VALUE!</v>
      </c>
      <c r="EH21" s="245"/>
      <c r="EI21" s="244" t="str">
        <f ca="1">IFERROR(MOD(EH18,EH20),"")</f>
        <v/>
      </c>
      <c r="EJ21" s="245"/>
      <c r="EK21" s="246" t="e">
        <f ca="1">EL17+EL18</f>
        <v>#VALUE!</v>
      </c>
      <c r="EL21" s="245"/>
      <c r="EN21" s="244" t="e">
        <f ca="1">IF(EO18&lt;&gt;"",
IFERROR(INT(EO18/EO20),""),"")</f>
        <v>#VALUE!</v>
      </c>
      <c r="EO21" s="245"/>
      <c r="EP21" s="244" t="str">
        <f ca="1">IFERROR(MOD(EO18,EO20),"")</f>
        <v/>
      </c>
      <c r="EQ21" s="245"/>
      <c r="ER21" s="246" t="e">
        <f ca="1">ES17+ES18</f>
        <v>#VALUE!</v>
      </c>
      <c r="ES21" s="245"/>
      <c r="ET21" s="71"/>
      <c r="EU21" s="78">
        <f t="shared" si="3"/>
        <v>105</v>
      </c>
      <c r="EV21" s="78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78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78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78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78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78" t="str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/>
      </c>
      <c r="FB21" s="78" t="str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/>
      </c>
      <c r="FC21" s="78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78" t="str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/>
      </c>
      <c r="FE21" s="78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78" t="str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/>
      </c>
      <c r="FG21" s="78">
        <f t="shared" ca="1" si="2"/>
        <v>0</v>
      </c>
      <c r="FH21" s="78" t="b">
        <f t="array" aca="1" ref="FH21" ca="1">SUMPRODUCT((LEN(EV21:FF21)&gt;0)*1)&gt;0</f>
        <v>0</v>
      </c>
      <c r="FI21" s="78" t="str">
        <f t="array" aca="1" ref="FI21" ca="1">IFERROR(SMALL(IF(FG$1:FG$228&lt;&gt;0,FG$1:FG$228),ROW(A21)),"")</f>
        <v/>
      </c>
      <c r="FJ21" s="78" t="str">
        <f t="array" aca="1" ref="FJ21" ca="1">IF($FI21&lt;&gt;"",
INDIRECT(""&amp;IF(COLUMN(EV31)&lt;=26,CHAR(COLUMN(EV31)+64),CHAR(INT((COLUMN(EV31)-1)/26)+64)&amp;CHAR(MOD(COLUMN(EV31)-1,26)+65))&amp;$FI21&amp;""),"")</f>
        <v/>
      </c>
      <c r="FK21" s="78" t="str">
        <f t="array" aca="1" ref="FK21" ca="1">IF($FI21&lt;&gt;"",
INDIRECT(""&amp;IF(COLUMN(EW31)&lt;=26,CHAR(COLUMN(EW31)+64),CHAR(INT((COLUMN(EW31)-1)/26)+64)&amp;CHAR(MOD(COLUMN(EW31)-1,26)+65))&amp;$FI21&amp;""),"")</f>
        <v/>
      </c>
      <c r="FL21" s="78" t="str">
        <f t="array" aca="1" ref="FL21" ca="1">IF($FI21&lt;&gt;"",
INDIRECT(""&amp;IF(COLUMN(EX31)&lt;=26,CHAR(COLUMN(EX31)+64),CHAR(INT((COLUMN(EX31)-1)/26)+64)&amp;CHAR(MOD(COLUMN(EX31)-1,26)+65))&amp;$FI21&amp;""),"")</f>
        <v/>
      </c>
      <c r="FM21" s="78" t="str">
        <f t="array" aca="1" ref="FM21" ca="1">IF($FI21&lt;&gt;"",
IF(FL21="",
IF(INDIRECT("EY"&amp;$FI21&amp;"")&lt;&gt;"",
INDIRECT("EY"&amp;$FI21&amp;"")&amp;"箱"
&amp;INDIRECT("EZ"&amp;$FI21&amp;""),""),""),"")</f>
        <v/>
      </c>
      <c r="FN21" s="78" t="str">
        <f t="array" aca="1" ref="FN21" ca="1">IF($FI21&lt;&gt;"",
INDIRECT(""&amp;IF(COLUMN(FA31)&lt;=26,CHAR(COLUMN(FA31)+64),CHAR(INT((COLUMN(FA31)-1)/26)+64)&amp;CHAR(MOD(COLUMN(FA31)-1,26)+65))&amp;$FI21&amp;""),"")</f>
        <v/>
      </c>
      <c r="FO21" s="78" t="str">
        <f t="array" aca="1" ref="FO21" ca="1">IF($FI21&lt;&gt;"",
INDIRECT(""&amp;IF(COLUMN(FB31)&lt;=26,CHAR(COLUMN(FB31)+64),CHAR(INT((COLUMN(FB31)-1)/26)+64)&amp;CHAR(MOD(COLUMN(FB31)-1,26)+65))&amp;$FI21&amp;""),"")</f>
        <v/>
      </c>
      <c r="FP21" s="78" t="str">
        <f t="array" aca="1" ref="FP21" ca="1">IF($FI21&lt;&gt;"",
INDIRECT(""&amp;IF(COLUMN(FC31)&lt;=26,CHAR(COLUMN(FC31)+64),CHAR(INT((COLUMN(FC31)-1)/26)+64)&amp;CHAR(MOD(COLUMN(FC31)-1,26)+65))&amp;$FI21&amp;""),"")</f>
        <v/>
      </c>
      <c r="FQ21" s="78" t="str">
        <f t="array" aca="1" ref="FQ21" ca="1">IF($FI21&lt;&gt;"",
INDIRECT(""&amp;IF(COLUMN(FD31)&lt;=26,CHAR(COLUMN(FD31)+64),CHAR(INT((COLUMN(FD31)-1)/26)+64)&amp;CHAR(MOD(COLUMN(FD31)-1,26)+65))&amp;$FI21&amp;""),"")</f>
        <v/>
      </c>
      <c r="FR21" s="78" t="str">
        <f t="array" aca="1" ref="FR21" ca="1">IF($FI21&lt;&gt;"",
INDIRECT(""&amp;IF(COLUMN(FE31)&lt;=26,CHAR(COLUMN(FE31)+64),CHAR(INT((COLUMN(FE31)-1)/26)+64)&amp;CHAR(MOD(COLUMN(FE31)-1,26)+65))&amp;$FI21&amp;""),"")</f>
        <v/>
      </c>
      <c r="FS21" s="78" t="str">
        <f t="array" aca="1" ref="FS21" ca="1">IF($FI21&lt;&gt;"",
INDIRECT(""&amp;IF(COLUMN(FF31)&lt;=26,CHAR(COLUMN(FF31)+64),CHAR(INT((COLUMN(FF31)-1)/26)+64)&amp;CHAR(MOD(COLUMN(FF31)-1,26)+65))&amp;$FI21&amp;""),"")</f>
        <v/>
      </c>
    </row>
    <row r="22" spans="1:175" s="78" customFormat="1" ht="18" customHeight="1" x14ac:dyDescent="0.55000000000000004">
      <c r="A22" s="76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77" t="e">
        <f t="array" aca="1" ref="B22" ca="1">GetResult(A23)</f>
        <v>#VALUE!</v>
      </c>
      <c r="C22" s="247" t="str">
        <f ca="1">IF(C23&lt;&gt;"",
IF(LEFT(G22,2)="博多",
LEFT(G22,FIND("週",G22)-1),
G22),"")</f>
        <v/>
      </c>
      <c r="D22" s="248"/>
      <c r="E22" s="248"/>
      <c r="F22" s="248"/>
      <c r="G22" s="95" t="e">
        <f t="array" aca="1" ref="G22" ca="1">INDIRECT("数出表_Excel!A"&amp;B22)</f>
        <v>#VALUE!</v>
      </c>
      <c r="H22" s="76" t="e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77" t="e">
        <f t="array" aca="1" ref="I22" ca="1">GetResult(H23)</f>
        <v>#VALUE!</v>
      </c>
      <c r="J22" s="247" t="str">
        <f ca="1">IF(J23&lt;&gt;"",
IF(LEFT(N22,2)="博多",
LEFT(N22,FIND("週",N22)-1),
N22),"")</f>
        <v/>
      </c>
      <c r="K22" s="248"/>
      <c r="L22" s="248"/>
      <c r="M22" s="248"/>
      <c r="N22" s="91" t="e">
        <f t="array" aca="1" ref="N22" ca="1">INDIRECT("数出表_Excel!A"&amp;I22)</f>
        <v>#VALUE!</v>
      </c>
      <c r="O22" s="76"/>
      <c r="P22" s="76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77" t="e">
        <f t="array" aca="1" ref="Q22" ca="1">GetResult(P23)</f>
        <v>#VALUE!</v>
      </c>
      <c r="R22" s="247" t="str">
        <f ca="1">IF(R23&lt;&gt;"",
IF(LEFT(V22,2)="博多",
LEFT(V22,FIND("週",V22)-1),
V22),"")</f>
        <v/>
      </c>
      <c r="S22" s="248"/>
      <c r="T22" s="248"/>
      <c r="U22" s="248"/>
      <c r="V22" s="95" t="e">
        <f t="array" aca="1" ref="V22" ca="1">INDIRECT("数出表_Excel!A"&amp;Q22)</f>
        <v>#VALUE!</v>
      </c>
      <c r="W22" s="76" t="e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77" t="e">
        <f t="array" aca="1" ref="X22" ca="1">GetResult(W23)</f>
        <v>#VALUE!</v>
      </c>
      <c r="Y22" s="247" t="str">
        <f ca="1">IF(Y23&lt;&gt;"",
IF(LEFT(AC22,2)="博多",
LEFT(AC22,FIND("週",AC22)-1),
AC22),"")</f>
        <v/>
      </c>
      <c r="Z22" s="248"/>
      <c r="AA22" s="248"/>
      <c r="AB22" s="248"/>
      <c r="AC22" s="91" t="e">
        <f t="array" aca="1" ref="AC22" ca="1">INDIRECT("数出表_Excel!A"&amp;X22)</f>
        <v>#VALUE!</v>
      </c>
      <c r="AD22" s="76"/>
      <c r="AE22" s="76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77" t="e">
        <f t="array" aca="1" ref="AF22" ca="1">GetResult(AE23)</f>
        <v>#VALUE!</v>
      </c>
      <c r="AG22" s="247" t="str">
        <f ca="1">IF(AG23&lt;&gt;"",
IF(LEFT(AK22,2)="博多",
LEFT(AK22,FIND("週",AK22)-1),
AK22),"")</f>
        <v/>
      </c>
      <c r="AH22" s="248"/>
      <c r="AI22" s="248"/>
      <c r="AJ22" s="248"/>
      <c r="AK22" s="95" t="e">
        <f t="array" aca="1" ref="AK22" ca="1">INDIRECT("数出表_Excel!A"&amp;AF22)</f>
        <v>#VALUE!</v>
      </c>
      <c r="AL22" s="76" t="e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77" t="e">
        <f t="array" aca="1" ref="AM22" ca="1">GetResult(AL23)</f>
        <v>#VALUE!</v>
      </c>
      <c r="AN22" s="247" t="str">
        <f ca="1">IF(AN23&lt;&gt;"",
IF(LEFT(AR22,2)="博多",
LEFT(AR22,FIND("週",AR22)-1),
AR22),"")</f>
        <v/>
      </c>
      <c r="AO22" s="248"/>
      <c r="AP22" s="248"/>
      <c r="AQ22" s="248"/>
      <c r="AR22" s="91" t="e">
        <f t="array" aca="1" ref="AR22" ca="1">INDIRECT("数出表_Excel!A"&amp;AM22)</f>
        <v>#VALUE!</v>
      </c>
      <c r="AS22" s="76"/>
      <c r="AT22" s="76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77" t="e">
        <f t="array" aca="1" ref="AU22" ca="1">GetResult(AT23)</f>
        <v>#VALUE!</v>
      </c>
      <c r="AV22" s="247" t="str">
        <f ca="1">IF(AV23&lt;&gt;"",
IF(LEFT(AZ22,2)="博多",
LEFT(AZ22,FIND("週",AZ22)-1),
AZ22),"")</f>
        <v/>
      </c>
      <c r="AW22" s="248"/>
      <c r="AX22" s="248"/>
      <c r="AY22" s="248"/>
      <c r="AZ22" s="95" t="e">
        <f t="array" aca="1" ref="AZ22" ca="1">INDIRECT("数出表_Excel!A"&amp;AU22)</f>
        <v>#VALUE!</v>
      </c>
      <c r="BA22" s="76" t="e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77" t="e">
        <f t="array" aca="1" ref="BB22" ca="1">GetResult(BA23)</f>
        <v>#VALUE!</v>
      </c>
      <c r="BC22" s="247" t="str">
        <f ca="1">IF(BC23&lt;&gt;"",
IF(LEFT(BG22,2)="博多",
LEFT(BG22,FIND("週",BG22)-1),
BG22),"")</f>
        <v/>
      </c>
      <c r="BD22" s="248"/>
      <c r="BE22" s="248"/>
      <c r="BF22" s="248"/>
      <c r="BG22" s="91" t="e">
        <f t="array" aca="1" ref="BG22" ca="1">INDIRECT("数出表_Excel!A"&amp;BB22)</f>
        <v>#VALUE!</v>
      </c>
      <c r="BH22" s="76"/>
      <c r="BI22" s="76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77" t="e">
        <f t="array" aca="1" ref="BJ22" ca="1">GetResult(BI23)</f>
        <v>#VALUE!</v>
      </c>
      <c r="BK22" s="247" t="str">
        <f ca="1">IF(BK23&lt;&gt;"",
IF(LEFT(BO22,2)="博多",
LEFT(BO22,FIND("週",BO22)-1),
BO22),"")</f>
        <v/>
      </c>
      <c r="BL22" s="248"/>
      <c r="BM22" s="248"/>
      <c r="BN22" s="248"/>
      <c r="BO22" s="95" t="e">
        <f t="array" aca="1" ref="BO22" ca="1">INDIRECT("数出表_Excel!A"&amp;BJ22)</f>
        <v>#VALUE!</v>
      </c>
      <c r="BP22" s="76" t="e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77" t="e">
        <f t="array" aca="1" ref="BQ22" ca="1">GetResult(BP23)</f>
        <v>#VALUE!</v>
      </c>
      <c r="BR22" s="247" t="str">
        <f ca="1">IF(BR23&lt;&gt;"",
IF(LEFT(BV22,2)="博多",
LEFT(BV22,FIND("週",BV22)-1),
BV22),"")</f>
        <v/>
      </c>
      <c r="BS22" s="248"/>
      <c r="BT22" s="248"/>
      <c r="BU22" s="248"/>
      <c r="BV22" s="91" t="e">
        <f t="array" aca="1" ref="BV22" ca="1">INDIRECT("数出表_Excel!A"&amp;BQ22)</f>
        <v>#VALUE!</v>
      </c>
      <c r="BW22" s="76"/>
      <c r="BX22" s="76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77" t="e">
        <f t="array" aca="1" ref="BY22" ca="1">GetResult(BX23)</f>
        <v>#VALUE!</v>
      </c>
      <c r="BZ22" s="247" t="str">
        <f ca="1">IF(BZ23&lt;&gt;"",
IF(LEFT(CD22,2)="博多",
LEFT(CD22,FIND("週",CD22)-1),
CD22),"")</f>
        <v/>
      </c>
      <c r="CA22" s="248"/>
      <c r="CB22" s="248"/>
      <c r="CC22" s="248"/>
      <c r="CD22" s="95" t="e">
        <f t="array" aca="1" ref="CD22" ca="1">INDIRECT("数出表_Excel!A"&amp;BY22)</f>
        <v>#VALUE!</v>
      </c>
      <c r="CE22" s="76" t="e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77" t="e">
        <f t="array" aca="1" ref="CF22" ca="1">GetResult(CE23)</f>
        <v>#VALUE!</v>
      </c>
      <c r="CG22" s="247" t="str">
        <f ca="1">IF(CG23&lt;&gt;"",
IF(LEFT(CK22,2)="博多",
LEFT(CK22,FIND("週",CK22)-1),
CK22),"")</f>
        <v/>
      </c>
      <c r="CH22" s="248"/>
      <c r="CI22" s="248"/>
      <c r="CJ22" s="248"/>
      <c r="CK22" s="91" t="e">
        <f t="array" aca="1" ref="CK22" ca="1">INDIRECT("数出表_Excel!A"&amp;CF22)</f>
        <v>#VALUE!</v>
      </c>
      <c r="CL22" s="76"/>
      <c r="CM22" s="76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77" t="e">
        <f t="array" aca="1" ref="CN22" ca="1">GetResult(CM23)</f>
        <v>#VALUE!</v>
      </c>
      <c r="CO22" s="247" t="str">
        <f ca="1">IF(CO23&lt;&gt;"",
IF(LEFT(CS22,2)="博多",
LEFT(CS22,FIND("週",CS22)-1),
CS22),"")</f>
        <v/>
      </c>
      <c r="CP22" s="248"/>
      <c r="CQ22" s="248"/>
      <c r="CR22" s="248"/>
      <c r="CS22" s="95" t="e">
        <f t="array" aca="1" ref="CS22" ca="1">INDIRECT("数出表_Excel!A"&amp;CN22)</f>
        <v>#VALUE!</v>
      </c>
      <c r="CT22" s="76" t="e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77" t="e">
        <f t="array" aca="1" ref="CU22" ca="1">GetResult(CT23)</f>
        <v>#VALUE!</v>
      </c>
      <c r="CV22" s="247" t="str">
        <f ca="1">IF(CV23&lt;&gt;"",
IF(LEFT(CZ22,2)="博多",
LEFT(CZ22,FIND("週",CZ22)-1),
CZ22),"")</f>
        <v/>
      </c>
      <c r="CW22" s="248"/>
      <c r="CX22" s="248"/>
      <c r="CY22" s="248"/>
      <c r="CZ22" s="91" t="e">
        <f t="array" aca="1" ref="CZ22" ca="1">INDIRECT("数出表_Excel!A"&amp;CU22)</f>
        <v>#VALUE!</v>
      </c>
      <c r="DA22" s="76"/>
      <c r="DB22" s="76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77" t="e">
        <f t="array" aca="1" ref="DC22" ca="1">GetResult(DB23)</f>
        <v>#VALUE!</v>
      </c>
      <c r="DD22" s="247" t="str">
        <f ca="1">IF(DD23&lt;&gt;"",
IF(LEFT(DH22,2)="博多",
LEFT(DH22,FIND("週",DH22)-1),
DH22),"")</f>
        <v/>
      </c>
      <c r="DE22" s="248"/>
      <c r="DF22" s="248"/>
      <c r="DG22" s="248"/>
      <c r="DH22" s="95" t="e">
        <f t="array" aca="1" ref="DH22" ca="1">INDIRECT("数出表_Excel!A"&amp;DC22)</f>
        <v>#VALUE!</v>
      </c>
      <c r="DI22" s="76" t="e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77" t="e">
        <f t="array" aca="1" ref="DJ22" ca="1">GetResult(DI23)</f>
        <v>#VALUE!</v>
      </c>
      <c r="DK22" s="247" t="str">
        <f ca="1">IF(DK23&lt;&gt;"",
IF(LEFT(DO22,2)="博多",
LEFT(DO22,FIND("週",DO22)-1),
DO22),"")</f>
        <v/>
      </c>
      <c r="DL22" s="248"/>
      <c r="DM22" s="248"/>
      <c r="DN22" s="248"/>
      <c r="DO22" s="91" t="e">
        <f t="array" aca="1" ref="DO22" ca="1">INDIRECT("数出表_Excel!A"&amp;DJ22)</f>
        <v>#VALUE!</v>
      </c>
      <c r="DP22" s="76"/>
      <c r="DQ22" s="76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77" t="e">
        <f t="array" aca="1" ref="DR22" ca="1">GetResult(DQ23)</f>
        <v>#VALUE!</v>
      </c>
      <c r="DS22" s="247" t="str">
        <f ca="1">IF(DS23&lt;&gt;"",
IF(LEFT(DW22,2)="博多",
LEFT(DW22,FIND("週",DW22)-1),
DW22),"")</f>
        <v/>
      </c>
      <c r="DT22" s="248"/>
      <c r="DU22" s="248"/>
      <c r="DV22" s="248"/>
      <c r="DW22" s="95" t="e">
        <f t="array" aca="1" ref="DW22" ca="1">INDIRECT("数出表_Excel!A"&amp;DR22)</f>
        <v>#VALUE!</v>
      </c>
      <c r="DX22" s="76" t="e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77" t="e">
        <f t="array" aca="1" ref="DY22" ca="1">GetResult(DX23)</f>
        <v>#VALUE!</v>
      </c>
      <c r="DZ22" s="247" t="str">
        <f ca="1">IF(DZ23&lt;&gt;"",
IF(LEFT(ED22,2)="博多",
LEFT(ED22,FIND("週",ED22)-1),
ED22),"")</f>
        <v/>
      </c>
      <c r="EA22" s="248"/>
      <c r="EB22" s="248"/>
      <c r="EC22" s="248"/>
      <c r="ED22" s="91" t="e">
        <f t="array" aca="1" ref="ED22" ca="1">INDIRECT("数出表_Excel!A"&amp;DY22)</f>
        <v>#VALUE!</v>
      </c>
      <c r="EE22" s="76"/>
      <c r="EF22" s="76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77" t="e">
        <f t="array" aca="1" ref="EG22" ca="1">GetResult(EF23)</f>
        <v>#VALUE!</v>
      </c>
      <c r="EH22" s="247" t="str">
        <f ca="1">IF(EH23&lt;&gt;"",
IF(LEFT(EL22,2)="博多",
LEFT(EL22,FIND("週",EL22)-1),
EL22),"")</f>
        <v/>
      </c>
      <c r="EI22" s="248"/>
      <c r="EJ22" s="248"/>
      <c r="EK22" s="248"/>
      <c r="EL22" s="95" t="e">
        <f t="array" aca="1" ref="EL22" ca="1">INDIRECT("数出表_Excel!A"&amp;EG22)</f>
        <v>#VALUE!</v>
      </c>
      <c r="EM22" s="76" t="e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77" t="e">
        <f t="array" aca="1" ref="EN22" ca="1">GetResult(EM23)</f>
        <v>#VALUE!</v>
      </c>
      <c r="EO22" s="247" t="str">
        <f ca="1">IF(EO23&lt;&gt;"",
IF(LEFT(ES22,2)="博多",
LEFT(ES22,FIND("週",ES22)-1),
ES22),"")</f>
        <v/>
      </c>
      <c r="EP22" s="248"/>
      <c r="EQ22" s="248"/>
      <c r="ER22" s="248"/>
      <c r="ES22" s="91" t="e">
        <f t="array" aca="1" ref="ES22" ca="1">INDIRECT("数出表_Excel!A"&amp;EN22)</f>
        <v>#VALUE!</v>
      </c>
      <c r="ET22" s="106"/>
      <c r="EU22" s="87">
        <f t="shared" si="3"/>
        <v>21</v>
      </c>
      <c r="EV22" s="78" t="str">
        <f t="array" aca="1" ref="EV22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LEN(SUBSTITUTE(_xlfn.FORMULATEXT(EV$4),"=","")))+$EU22)</f>
        <v/>
      </c>
      <c r="EW22" s="78" t="str">
        <f t="array" aca="1" ref="EW22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LEN(SUBSTITUTE(_xlfn.FORMULATEXT(EW$4),"=","")))+$EU22)</f>
        <v/>
      </c>
      <c r="EX22" s="78" t="str">
        <f t="array" aca="1" ref="EX22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LEN(SUBSTITUTE(_xlfn.FORMULATEXT(EX$4),"=","")))+$EU22)</f>
        <v/>
      </c>
      <c r="EY22" s="78" t="str">
        <f t="array" aca="1" ref="EY22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LEN(SUBSTITUTE(_xlfn.FORMULATEXT(EY$4),"=","")))+$EU22)</f>
        <v/>
      </c>
      <c r="EZ22" s="78" t="str">
        <f t="array" aca="1" ref="EZ22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LEN(SUBSTITUTE(_xlfn.FORMULATEXT(EZ$4),"=","")))+$EU22)</f>
        <v/>
      </c>
      <c r="FA22" s="78" t="e">
        <f t="array" aca="1" ref="FA22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LEN(SUBSTITUTE(_xlfn.FORMULATEXT(FA$4),"=","")))+$EU22)</f>
        <v>#VALUE!</v>
      </c>
      <c r="FB22" s="78" t="e">
        <f t="array" aca="1" ref="FB22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LEN(SUBSTITUTE(_xlfn.FORMULATEXT(FB$4),"=","")))+$EU22)</f>
        <v>#VALUE!</v>
      </c>
      <c r="FC22" s="78" t="str">
        <f t="array" aca="1" ref="FC22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LEN(SUBSTITUTE(_xlfn.FORMULATEXT(FC$4),"=","")))+$EU22)</f>
        <v/>
      </c>
      <c r="FD22" s="78" t="e">
        <f t="array" aca="1" ref="FD22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LEN(SUBSTITUTE(_xlfn.FORMULATEXT(FD$4),"=","")))+$EU22)</f>
        <v>#VALUE!</v>
      </c>
      <c r="FE22" s="78" t="str">
        <f t="array" aca="1" ref="FE22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LEN(SUBSTITUTE(_xlfn.FORMULATEXT(FE$4),"=","")))+$EU22)</f>
        <v/>
      </c>
      <c r="FF22" s="78" t="e">
        <f t="array" aca="1" ref="FF22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LEN(SUBSTITUTE(_xlfn.FORMULATEXT(FF$4),"=","")))+$EU22)</f>
        <v>#VALUE!</v>
      </c>
      <c r="FG22" s="78">
        <f t="shared" ca="1" si="2"/>
        <v>0</v>
      </c>
      <c r="FH22" s="78" t="e">
        <f t="array" aca="1" ref="FH22" ca="1">SUMPRODUCT((LEN(EV22:FF22)&gt;0)*1)&gt;0</f>
        <v>#VALUE!</v>
      </c>
      <c r="FI22" s="78" t="str">
        <f t="array" aca="1" ref="FI22" ca="1">IFERROR(SMALL(IF(FG$1:FG$228&lt;&gt;0,FG$1:FG$228),ROW(A22)),"")</f>
        <v/>
      </c>
      <c r="FJ22" s="78" t="str">
        <f t="array" aca="1" ref="FJ22" ca="1">IF($FI22&lt;&gt;"",
INDIRECT(""&amp;IF(COLUMN(EV32)&lt;=26,CHAR(COLUMN(EV32)+64),CHAR(INT((COLUMN(EV32)-1)/26)+64)&amp;CHAR(MOD(COLUMN(EV32)-1,26)+65))&amp;$FI22&amp;""),"")</f>
        <v/>
      </c>
      <c r="FK22" s="78" t="str">
        <f t="array" aca="1" ref="FK22" ca="1">IF($FI22&lt;&gt;"",
INDIRECT(""&amp;IF(COLUMN(EW32)&lt;=26,CHAR(COLUMN(EW32)+64),CHAR(INT((COLUMN(EW32)-1)/26)+64)&amp;CHAR(MOD(COLUMN(EW32)-1,26)+65))&amp;$FI22&amp;""),"")</f>
        <v/>
      </c>
      <c r="FL22" s="78" t="str">
        <f t="array" aca="1" ref="FL22" ca="1">IF($FI22&lt;&gt;"",
INDIRECT(""&amp;IF(COLUMN(EX32)&lt;=26,CHAR(COLUMN(EX32)+64),CHAR(INT((COLUMN(EX32)-1)/26)+64)&amp;CHAR(MOD(COLUMN(EX32)-1,26)+65))&amp;$FI22&amp;""),"")</f>
        <v/>
      </c>
      <c r="FM22" s="78" t="str">
        <f t="array" aca="1" ref="FM22" ca="1">IF($FI22&lt;&gt;"",
IF(FL22="",
IF(INDIRECT("EY"&amp;$FI22&amp;"")&lt;&gt;"",
INDIRECT("EY"&amp;$FI22&amp;"")&amp;"箱"
&amp;INDIRECT("EZ"&amp;$FI22&amp;""),""),""),"")</f>
        <v/>
      </c>
      <c r="FN22" s="78" t="str">
        <f t="array" aca="1" ref="FN22" ca="1">IF($FI22&lt;&gt;"",
INDIRECT(""&amp;IF(COLUMN(FA32)&lt;=26,CHAR(COLUMN(FA32)+64),CHAR(INT((COLUMN(FA32)-1)/26)+64)&amp;CHAR(MOD(COLUMN(FA32)-1,26)+65))&amp;$FI22&amp;""),"")</f>
        <v/>
      </c>
      <c r="FO22" s="78" t="str">
        <f t="array" aca="1" ref="FO22" ca="1">IF($FI22&lt;&gt;"",
INDIRECT(""&amp;IF(COLUMN(FB32)&lt;=26,CHAR(COLUMN(FB32)+64),CHAR(INT((COLUMN(FB32)-1)/26)+64)&amp;CHAR(MOD(COLUMN(FB32)-1,26)+65))&amp;$FI22&amp;""),"")</f>
        <v/>
      </c>
      <c r="FP22" s="78" t="str">
        <f t="array" aca="1" ref="FP22" ca="1">IF($FI22&lt;&gt;"",
INDIRECT(""&amp;IF(COLUMN(FC32)&lt;=26,CHAR(COLUMN(FC32)+64),CHAR(INT((COLUMN(FC32)-1)/26)+64)&amp;CHAR(MOD(COLUMN(FC32)-1,26)+65))&amp;$FI22&amp;""),"")</f>
        <v/>
      </c>
      <c r="FQ22" s="78" t="str">
        <f t="array" aca="1" ref="FQ22" ca="1">IF($FI22&lt;&gt;"",
INDIRECT(""&amp;IF(COLUMN(FD32)&lt;=26,CHAR(COLUMN(FD32)+64),CHAR(INT((COLUMN(FD32)-1)/26)+64)&amp;CHAR(MOD(COLUMN(FD32)-1,26)+65))&amp;$FI22&amp;""),"")</f>
        <v/>
      </c>
      <c r="FR22" s="78" t="str">
        <f t="array" aca="1" ref="FR22" ca="1">IF($FI22&lt;&gt;"",
INDIRECT(""&amp;IF(COLUMN(FE32)&lt;=26,CHAR(COLUMN(FE32)+64),CHAR(INT((COLUMN(FE32)-1)/26)+64)&amp;CHAR(MOD(COLUMN(FE32)-1,26)+65))&amp;$FI22&amp;""),"")</f>
        <v/>
      </c>
      <c r="FS22" s="78" t="str">
        <f t="array" aca="1" ref="FS22" ca="1">IF($FI22&lt;&gt;"",
INDIRECT(""&amp;IF(COLUMN(FF32)&lt;=26,CHAR(COLUMN(FF32)+64),CHAR(INT((COLUMN(FF32)-1)/26)+64)&amp;CHAR(MOD(COLUMN(FF32)-1,26)+65))&amp;$FI22&amp;""),"")</f>
        <v/>
      </c>
    </row>
    <row r="23" spans="1:175" s="78" customFormat="1" ht="18" customHeight="1" x14ac:dyDescent="0.55000000000000004">
      <c r="A23" s="76" t="e">
        <f t="array" aca="1" ref="A23" ca="1">IF(INDIRECT("数出表_Excel!A"&amp;GetResult(A22))="社食",
GetResult(A22)+2,GetResult(A22))</f>
        <v>#VALUE!</v>
      </c>
      <c r="B23" s="81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58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76"/>
      <c r="E23" s="82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83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96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76" t="e">
        <f t="array" aca="1" ref="H23" ca="1">IF(INDIRECT("数出表_Excel!A"&amp;GetResult(H22))="社食",
GetResult(H22)+2,GetResult(H22))</f>
        <v>#VALUE!</v>
      </c>
      <c r="I23" s="81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58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76"/>
      <c r="L23" s="82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83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92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76"/>
      <c r="P23" s="76" t="e">
        <f t="array" aca="1" ref="P23" ca="1">IF(INDIRECT("数出表_Excel!A"&amp;GetResult(P22))="社食",
GetResult(P22)+2,GetResult(P22))</f>
        <v>#VALUE!</v>
      </c>
      <c r="Q23" s="81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58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76"/>
      <c r="T23" s="82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83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96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76" t="e">
        <f t="array" aca="1" ref="W23" ca="1">IF(INDIRECT("数出表_Excel!A"&amp;GetResult(W22))="社食",
GetResult(W22)+2,GetResult(W22))</f>
        <v>#VALUE!</v>
      </c>
      <c r="X23" s="81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58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76"/>
      <c r="AA23" s="82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83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92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76"/>
      <c r="AE23" s="76" t="e">
        <f t="array" aca="1" ref="AE23" ca="1">IF(INDIRECT("数出表_Excel!A"&amp;GetResult(AE22))="社食",
GetResult(AE22)+2,GetResult(AE22))</f>
        <v>#VALUE!</v>
      </c>
      <c r="AF23" s="81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58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76"/>
      <c r="AI23" s="82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83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96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76" t="e">
        <f t="array" aca="1" ref="AL23" ca="1">IF(INDIRECT("数出表_Excel!A"&amp;GetResult(AL22))="社食",
GetResult(AL22)+2,GetResult(AL22))</f>
        <v>#VALUE!</v>
      </c>
      <c r="AM23" s="81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58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76"/>
      <c r="AP23" s="82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83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92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76"/>
      <c r="AT23" s="76" t="e">
        <f t="array" aca="1" ref="AT23" ca="1">IF(INDIRECT("数出表_Excel!A"&amp;GetResult(AT22))="社食",
GetResult(AT22)+2,GetResult(AT22))</f>
        <v>#VALUE!</v>
      </c>
      <c r="AU23" s="81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58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76"/>
      <c r="AX23" s="82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83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96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76" t="e">
        <f t="array" aca="1" ref="BA23" ca="1">IF(INDIRECT("数出表_Excel!A"&amp;GetResult(BA22))="社食",
GetResult(BA22)+2,GetResult(BA22))</f>
        <v>#VALUE!</v>
      </c>
      <c r="BB23" s="81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58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76"/>
      <c r="BE23" s="82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83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92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76"/>
      <c r="BI23" s="76" t="e">
        <f t="array" aca="1" ref="BI23" ca="1">IF(INDIRECT("数出表_Excel!A"&amp;GetResult(BI22))="社食",
GetResult(BI22)+2,GetResult(BI22))</f>
        <v>#VALUE!</v>
      </c>
      <c r="BJ23" s="81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58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76"/>
      <c r="BM23" s="82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83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96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76" t="e">
        <f t="array" aca="1" ref="BP23" ca="1">IF(INDIRECT("数出表_Excel!A"&amp;GetResult(BP22))="社食",
GetResult(BP22)+2,GetResult(BP22))</f>
        <v>#VALUE!</v>
      </c>
      <c r="BQ23" s="81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58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76"/>
      <c r="BT23" s="82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83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92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76"/>
      <c r="BX23" s="76" t="e">
        <f t="array" aca="1" ref="BX23" ca="1">IF(INDIRECT("数出表_Excel!A"&amp;GetResult(BX22))="社食",
GetResult(BX22)+2,GetResult(BX22))</f>
        <v>#VALUE!</v>
      </c>
      <c r="BY23" s="81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58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76"/>
      <c r="CB23" s="82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83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96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76" t="e">
        <f t="array" aca="1" ref="CE23" ca="1">IF(INDIRECT("数出表_Excel!A"&amp;GetResult(CE22))="社食",
GetResult(CE22)+2,GetResult(CE22))</f>
        <v>#VALUE!</v>
      </c>
      <c r="CF23" s="81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58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76"/>
      <c r="CI23" s="82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83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92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76"/>
      <c r="CM23" s="76" t="e">
        <f t="array" aca="1" ref="CM23" ca="1">IF(INDIRECT("数出表_Excel!A"&amp;GetResult(CM22))="社食",
GetResult(CM22)+2,GetResult(CM22))</f>
        <v>#VALUE!</v>
      </c>
      <c r="CN23" s="81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58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76"/>
      <c r="CQ23" s="82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83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96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76" t="e">
        <f t="array" aca="1" ref="CT23" ca="1">IF(INDIRECT("数出表_Excel!A"&amp;GetResult(CT22))="社食",
GetResult(CT22)+2,GetResult(CT22))</f>
        <v>#VALUE!</v>
      </c>
      <c r="CU23" s="81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58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76"/>
      <c r="CX23" s="82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83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92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76"/>
      <c r="DB23" s="76" t="e">
        <f t="array" aca="1" ref="DB23" ca="1">IF(INDIRECT("数出表_Excel!A"&amp;GetResult(DB22))="社食",
GetResult(DB22)+2,GetResult(DB22))</f>
        <v>#VALUE!</v>
      </c>
      <c r="DC23" s="81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58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76"/>
      <c r="DF23" s="82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83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96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76" t="e">
        <f t="array" aca="1" ref="DI23" ca="1">IF(INDIRECT("数出表_Excel!A"&amp;GetResult(DI22))="社食",
GetResult(DI22)+2,GetResult(DI22))</f>
        <v>#VALUE!</v>
      </c>
      <c r="DJ23" s="81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58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76"/>
      <c r="DM23" s="82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83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92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76"/>
      <c r="DQ23" s="76" t="e">
        <f t="array" aca="1" ref="DQ23" ca="1">IF(INDIRECT("数出表_Excel!A"&amp;GetResult(DQ22))="社食",
GetResult(DQ22)+2,GetResult(DQ22))</f>
        <v>#VALUE!</v>
      </c>
      <c r="DR23" s="81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58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76"/>
      <c r="DU23" s="82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83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96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76" t="e">
        <f t="array" aca="1" ref="DX23" ca="1">IF(INDIRECT("数出表_Excel!A"&amp;GetResult(DX22))="社食",
GetResult(DX22)+2,GetResult(DX22))</f>
        <v>#VALUE!</v>
      </c>
      <c r="DY23" s="81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58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76"/>
      <c r="EB23" s="82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83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92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76"/>
      <c r="EF23" s="76" t="e">
        <f t="array" aca="1" ref="EF23" ca="1">IF(INDIRECT("数出表_Excel!A"&amp;GetResult(EF22))="社食",
GetResult(EF22)+2,GetResult(EF22))</f>
        <v>#VALUE!</v>
      </c>
      <c r="EG23" s="81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58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76"/>
      <c r="EJ23" s="82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83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96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76" t="e">
        <f t="array" aca="1" ref="EM23" ca="1">IF(INDIRECT("数出表_Excel!A"&amp;GetResult(EM22))="社食",
GetResult(EM22)+2,GetResult(EM22))</f>
        <v>#VALUE!</v>
      </c>
      <c r="EN23" s="81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58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76"/>
      <c r="EQ23" s="82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83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92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07"/>
      <c r="EU23" s="78">
        <f t="shared" si="3"/>
        <v>63</v>
      </c>
      <c r="EV23" s="78" t="str">
        <f t="array" aca="1" ref="EV23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LEN(SUBSTITUTE(_xlfn.FORMULATEXT(EV$4),"=","")))+$EU23)</f>
        <v/>
      </c>
      <c r="EW23" s="78" t="str">
        <f t="array" aca="1" ref="EW23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LEN(SUBSTITUTE(_xlfn.FORMULATEXT(EW$4),"=","")))+$EU23)</f>
        <v/>
      </c>
      <c r="EX23" s="78" t="str">
        <f t="array" aca="1" ref="EX23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LEN(SUBSTITUTE(_xlfn.FORMULATEXT(EX$4),"=","")))+$EU23)</f>
        <v/>
      </c>
      <c r="EY23" s="78" t="str">
        <f t="array" aca="1" ref="EY23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LEN(SUBSTITUTE(_xlfn.FORMULATEXT(EY$4),"=","")))+$EU23)</f>
        <v/>
      </c>
      <c r="EZ23" s="78" t="str">
        <f t="array" aca="1" ref="EZ23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LEN(SUBSTITUTE(_xlfn.FORMULATEXT(EZ$4),"=","")))+$EU23)</f>
        <v/>
      </c>
      <c r="FA23" s="78" t="str">
        <f t="array" aca="1" ref="FA23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LEN(SUBSTITUTE(_xlfn.FORMULATEXT(FA$4),"=","")))+$EU23)</f>
        <v/>
      </c>
      <c r="FB23" s="78" t="str">
        <f t="array" aca="1" ref="FB23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LEN(SUBSTITUTE(_xlfn.FORMULATEXT(FB$4),"=","")))+$EU23)</f>
        <v/>
      </c>
      <c r="FC23" s="78" t="str">
        <f t="array" aca="1" ref="FC23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LEN(SUBSTITUTE(_xlfn.FORMULATEXT(FC$4),"=","")))+$EU23)</f>
        <v/>
      </c>
      <c r="FD23" s="78" t="str">
        <f t="array" aca="1" ref="FD23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LEN(SUBSTITUTE(_xlfn.FORMULATEXT(FD$4),"=","")))+$EU23)</f>
        <v/>
      </c>
      <c r="FE23" s="78" t="str">
        <f t="array" aca="1" ref="FE23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LEN(SUBSTITUTE(_xlfn.FORMULATEXT(FE$4),"=","")))+$EU23)</f>
        <v/>
      </c>
      <c r="FF23" s="78" t="str">
        <f t="array" aca="1" ref="FF23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LEN(SUBSTITUTE(_xlfn.FORMULATEXT(FF$4),"=","")))+$EU23)</f>
        <v/>
      </c>
      <c r="FG23" s="78">
        <f t="shared" ca="1" si="2"/>
        <v>0</v>
      </c>
      <c r="FH23" s="78" t="b">
        <f t="array" aca="1" ref="FH23" ca="1">SUMPRODUCT((LEN(EV23:FF23)&gt;0)*1)&gt;0</f>
        <v>0</v>
      </c>
      <c r="FI23" s="78" t="str">
        <f t="array" aca="1" ref="FI23" ca="1">IFERROR(SMALL(IF(FG$1:FG$228&lt;&gt;0,FG$1:FG$228),ROW(A23)),"")</f>
        <v/>
      </c>
      <c r="FJ23" s="78" t="str">
        <f t="array" aca="1" ref="FJ23" ca="1">IF($FI23&lt;&gt;"",
INDIRECT(""&amp;IF(COLUMN(EV34)&lt;=26,CHAR(COLUMN(EV34)+64),CHAR(INT((COLUMN(EV34)-1)/26)+64)&amp;CHAR(MOD(COLUMN(EV34)-1,26)+65))&amp;$FI23&amp;""),"")</f>
        <v/>
      </c>
      <c r="FK23" s="78" t="str">
        <f t="array" aca="1" ref="FK23" ca="1">IF($FI23&lt;&gt;"",
INDIRECT(""&amp;IF(COLUMN(EW34)&lt;=26,CHAR(COLUMN(EW34)+64),CHAR(INT((COLUMN(EW34)-1)/26)+64)&amp;CHAR(MOD(COLUMN(EW34)-1,26)+65))&amp;$FI23&amp;""),"")</f>
        <v/>
      </c>
      <c r="FL23" s="78" t="str">
        <f t="array" aca="1" ref="FL23" ca="1">IF($FI23&lt;&gt;"",
INDIRECT(""&amp;IF(COLUMN(EX34)&lt;=26,CHAR(COLUMN(EX34)+64),CHAR(INT((COLUMN(EX34)-1)/26)+64)&amp;CHAR(MOD(COLUMN(EX34)-1,26)+65))&amp;$FI23&amp;""),"")</f>
        <v/>
      </c>
      <c r="FM23" s="78" t="str">
        <f t="array" aca="1" ref="FM23" ca="1">IF($FI23&lt;&gt;"",
IF(FL23="",
IF(INDIRECT("EY"&amp;$FI23&amp;"")&lt;&gt;"",
INDIRECT("EY"&amp;$FI23&amp;"")&amp;"箱"
&amp;INDIRECT("EZ"&amp;$FI23&amp;""),""),""),"")</f>
        <v/>
      </c>
      <c r="FN23" s="78" t="str">
        <f t="array" aca="1" ref="FN23" ca="1">IF($FI23&lt;&gt;"",
INDIRECT(""&amp;IF(COLUMN(FA34)&lt;=26,CHAR(COLUMN(FA34)+64),CHAR(INT((COLUMN(FA34)-1)/26)+64)&amp;CHAR(MOD(COLUMN(FA34)-1,26)+65))&amp;$FI23&amp;""),"")</f>
        <v/>
      </c>
      <c r="FO23" s="78" t="str">
        <f t="array" aca="1" ref="FO23" ca="1">IF($FI23&lt;&gt;"",
INDIRECT(""&amp;IF(COLUMN(FB34)&lt;=26,CHAR(COLUMN(FB34)+64),CHAR(INT((COLUMN(FB34)-1)/26)+64)&amp;CHAR(MOD(COLUMN(FB34)-1,26)+65))&amp;$FI23&amp;""),"")</f>
        <v/>
      </c>
      <c r="FP23" s="78" t="str">
        <f t="array" aca="1" ref="FP23" ca="1">IF($FI23&lt;&gt;"",
INDIRECT(""&amp;IF(COLUMN(FC34)&lt;=26,CHAR(COLUMN(FC34)+64),CHAR(INT((COLUMN(FC34)-1)/26)+64)&amp;CHAR(MOD(COLUMN(FC34)-1,26)+65))&amp;$FI23&amp;""),"")</f>
        <v/>
      </c>
      <c r="FQ23" s="78" t="str">
        <f t="array" aca="1" ref="FQ23" ca="1">IF($FI23&lt;&gt;"",
INDIRECT(""&amp;IF(COLUMN(FD34)&lt;=26,CHAR(COLUMN(FD34)+64),CHAR(INT((COLUMN(FD34)-1)/26)+64)&amp;CHAR(MOD(COLUMN(FD34)-1,26)+65))&amp;$FI23&amp;""),"")</f>
        <v/>
      </c>
      <c r="FR23" s="78" t="str">
        <f t="array" aca="1" ref="FR23" ca="1">IF($FI23&lt;&gt;"",
INDIRECT(""&amp;IF(COLUMN(FE34)&lt;=26,CHAR(COLUMN(FE34)+64),CHAR(INT((COLUMN(FE34)-1)/26)+64)&amp;CHAR(MOD(COLUMN(FE34)-1,26)+65))&amp;$FI23&amp;""),"")</f>
        <v/>
      </c>
      <c r="FS23" s="78" t="str">
        <f t="array" aca="1" ref="FS23" ca="1">IF($FI23&lt;&gt;"",
INDIRECT(""&amp;IF(COLUMN(FF34)&lt;=26,CHAR(COLUMN(FF34)+64),CHAR(INT((COLUMN(FF34)-1)/26)+64)&amp;CHAR(MOD(COLUMN(FF34)-1,26)+65))&amp;$FI23&amp;""),"")</f>
        <v/>
      </c>
    </row>
    <row r="24" spans="1:175" s="78" customFormat="1" ht="22.2" customHeight="1" x14ac:dyDescent="0.55000000000000004">
      <c r="A24" s="76"/>
      <c r="B24" s="84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249" t="str">
        <f ca="1">IF(C23&lt;&gt;"",
"園児","")</f>
        <v/>
      </c>
      <c r="D24" s="250"/>
      <c r="E24" s="251" t="str">
        <f ca="1">IF(C23&lt;&gt;"",
"先生","")</f>
        <v/>
      </c>
      <c r="F24" s="250"/>
      <c r="G24" s="97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76"/>
      <c r="I24" s="84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249" t="str">
        <f ca="1">IF(J23&lt;&gt;"",
"園児","")</f>
        <v/>
      </c>
      <c r="K24" s="250"/>
      <c r="L24" s="251" t="str">
        <f ca="1">IF(J23&lt;&gt;"",
"先生","")</f>
        <v/>
      </c>
      <c r="M24" s="250"/>
      <c r="N24" s="97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76"/>
      <c r="P24" s="76"/>
      <c r="Q24" s="84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249" t="str">
        <f ca="1">IF(R23&lt;&gt;"",
"園児","")</f>
        <v/>
      </c>
      <c r="S24" s="250"/>
      <c r="T24" s="251" t="str">
        <f ca="1">IF(R23&lt;&gt;"",
"先生","")</f>
        <v/>
      </c>
      <c r="U24" s="250"/>
      <c r="V24" s="97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76"/>
      <c r="X24" s="84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249" t="str">
        <f ca="1">IF(Y23&lt;&gt;"",
"園児","")</f>
        <v/>
      </c>
      <c r="Z24" s="250"/>
      <c r="AA24" s="251" t="str">
        <f ca="1">IF(Y23&lt;&gt;"",
"先生","")</f>
        <v/>
      </c>
      <c r="AB24" s="250"/>
      <c r="AC24" s="97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76"/>
      <c r="AE24" s="76"/>
      <c r="AF24" s="84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249" t="str">
        <f ca="1">IF(AG23&lt;&gt;"",
"園児","")</f>
        <v/>
      </c>
      <c r="AH24" s="250"/>
      <c r="AI24" s="251" t="str">
        <f ca="1">IF(AG23&lt;&gt;"",
"先生","")</f>
        <v/>
      </c>
      <c r="AJ24" s="250"/>
      <c r="AK24" s="97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76"/>
      <c r="AM24" s="84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249" t="str">
        <f ca="1">IF(AN23&lt;&gt;"",
"園児","")</f>
        <v/>
      </c>
      <c r="AO24" s="250"/>
      <c r="AP24" s="251" t="str">
        <f ca="1">IF(AN23&lt;&gt;"",
"先生","")</f>
        <v/>
      </c>
      <c r="AQ24" s="250"/>
      <c r="AR24" s="97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76"/>
      <c r="AT24" s="76"/>
      <c r="AU24" s="84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249" t="str">
        <f ca="1">IF(AV23&lt;&gt;"",
"園児","")</f>
        <v/>
      </c>
      <c r="AW24" s="250"/>
      <c r="AX24" s="251" t="str">
        <f ca="1">IF(AV23&lt;&gt;"",
"先生","")</f>
        <v/>
      </c>
      <c r="AY24" s="250"/>
      <c r="AZ24" s="97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76"/>
      <c r="BB24" s="84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249" t="str">
        <f ca="1">IF(BC23&lt;&gt;"",
"園児","")</f>
        <v/>
      </c>
      <c r="BD24" s="250"/>
      <c r="BE24" s="251" t="str">
        <f ca="1">IF(BC23&lt;&gt;"",
"先生","")</f>
        <v/>
      </c>
      <c r="BF24" s="250"/>
      <c r="BG24" s="97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76"/>
      <c r="BI24" s="76"/>
      <c r="BJ24" s="84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249" t="str">
        <f ca="1">IF(BK23&lt;&gt;"",
"園児","")</f>
        <v/>
      </c>
      <c r="BL24" s="250"/>
      <c r="BM24" s="251" t="str">
        <f ca="1">IF(BK23&lt;&gt;"",
"先生","")</f>
        <v/>
      </c>
      <c r="BN24" s="250"/>
      <c r="BO24" s="97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76"/>
      <c r="BQ24" s="84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249" t="str">
        <f ca="1">IF(BR23&lt;&gt;"",
"園児","")</f>
        <v/>
      </c>
      <c r="BS24" s="250"/>
      <c r="BT24" s="251" t="str">
        <f ca="1">IF(BR23&lt;&gt;"",
"先生","")</f>
        <v/>
      </c>
      <c r="BU24" s="250"/>
      <c r="BV24" s="97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76"/>
      <c r="BX24" s="76"/>
      <c r="BY24" s="84" t="e">
        <f t="array" aca="1" ref="BY24" ca="1">IF(AND(LEFT(CD22,2)="博多",
LEFT(INDIRECT("数出表_Excel!A"&amp;MATCH(CD22,数出表_Excel!$A:$A,0)-1),2)
=LEFT(INDIRECT("数出表_Excel!A"&amp;MATCH(CD22,数出表_Excel!$A:$A,0)+1),2)),100,
IF(AND(LEFT(CD22,3)="奈良屋",
LEFT(INDIRECT("数出表_Excel!A"&amp;MATCH(CD22,数出表_Excel!$A:$A,0)-1),2)
=LEFT(INDIRECT("数出表_Excel!A"&amp;MATCH(CD22,数出表_Excel!$A:$A,0)+1),2)),200,""))</f>
        <v>#VALUE!</v>
      </c>
      <c r="BZ24" s="249" t="str">
        <f ca="1">IF(BZ23&lt;&gt;"",
"園児","")</f>
        <v/>
      </c>
      <c r="CA24" s="250"/>
      <c r="CB24" s="251" t="str">
        <f ca="1">IF(BZ23&lt;&gt;"",
"先生","")</f>
        <v/>
      </c>
      <c r="CC24" s="250"/>
      <c r="CD24" s="97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76"/>
      <c r="CF24" s="84" t="e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249" t="str">
        <f ca="1">IF(CG23&lt;&gt;"",
"園児","")</f>
        <v/>
      </c>
      <c r="CH24" s="250"/>
      <c r="CI24" s="251" t="str">
        <f ca="1">IF(CG23&lt;&gt;"",
"先生","")</f>
        <v/>
      </c>
      <c r="CJ24" s="250"/>
      <c r="CK24" s="97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76"/>
      <c r="CM24" s="76"/>
      <c r="CN24" s="84" t="e">
        <f t="array" aca="1" ref="CN24" ca="1">IF(AND(LEFT(CS22,2)="博多",
LEFT(INDIRECT("数出表_Excel!A"&amp;MATCH(CS22,数出表_Excel!$A:$A,0)-1),2)
=LEFT(INDIRECT("数出表_Excel!A"&amp;MATCH(CS22,数出表_Excel!$A:$A,0)+1),2)),100,
IF(AND(LEFT(CS22,3)="奈良屋",
LEFT(INDIRECT("数出表_Excel!A"&amp;MATCH(CS22,数出表_Excel!$A:$A,0)-1),2)
=LEFT(INDIRECT("数出表_Excel!A"&amp;MATCH(CS22,数出表_Excel!$A:$A,0)+1),2)),200,""))</f>
        <v>#VALUE!</v>
      </c>
      <c r="CO24" s="249" t="str">
        <f ca="1">IF(CO23&lt;&gt;"",
"園児","")</f>
        <v/>
      </c>
      <c r="CP24" s="250"/>
      <c r="CQ24" s="251" t="str">
        <f ca="1">IF(CO23&lt;&gt;"",
"先生","")</f>
        <v/>
      </c>
      <c r="CR24" s="250"/>
      <c r="CS24" s="97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76"/>
      <c r="CU24" s="84" t="e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249" t="str">
        <f ca="1">IF(CV23&lt;&gt;"",
"園児","")</f>
        <v/>
      </c>
      <c r="CW24" s="250"/>
      <c r="CX24" s="251" t="str">
        <f ca="1">IF(CV23&lt;&gt;"",
"先生","")</f>
        <v/>
      </c>
      <c r="CY24" s="250"/>
      <c r="CZ24" s="97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76"/>
      <c r="DB24" s="76"/>
      <c r="DC24" s="84" t="e">
        <f t="array" aca="1" ref="DC24" ca="1">IF(AND(LEFT(DH22,2)="博多",
LEFT(INDIRECT("数出表_Excel!A"&amp;MATCH(DH22,数出表_Excel!$A:$A,0)-1),2)
=LEFT(INDIRECT("数出表_Excel!A"&amp;MATCH(DH22,数出表_Excel!$A:$A,0)+1),2)),100,
IF(AND(LEFT(DH22,3)="奈良屋",
LEFT(INDIRECT("数出表_Excel!A"&amp;MATCH(DH22,数出表_Excel!$A:$A,0)-1),2)
=LEFT(INDIRECT("数出表_Excel!A"&amp;MATCH(DH22,数出表_Excel!$A:$A,0)+1),2)),200,""))</f>
        <v>#VALUE!</v>
      </c>
      <c r="DD24" s="249" t="str">
        <f ca="1">IF(DD23&lt;&gt;"",
"園児","")</f>
        <v/>
      </c>
      <c r="DE24" s="250"/>
      <c r="DF24" s="251" t="str">
        <f ca="1">IF(DD23&lt;&gt;"",
"先生","")</f>
        <v/>
      </c>
      <c r="DG24" s="250"/>
      <c r="DH24" s="97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76"/>
      <c r="DJ24" s="84" t="e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249" t="str">
        <f ca="1">IF(DK23&lt;&gt;"",
"園児","")</f>
        <v/>
      </c>
      <c r="DL24" s="250"/>
      <c r="DM24" s="251" t="str">
        <f ca="1">IF(DK23&lt;&gt;"",
"先生","")</f>
        <v/>
      </c>
      <c r="DN24" s="250"/>
      <c r="DO24" s="97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76"/>
      <c r="DQ24" s="76"/>
      <c r="DR24" s="84" t="e">
        <f t="array" aca="1" ref="DR24" ca="1">IF(AND(LEFT(DW22,2)="博多",
LEFT(INDIRECT("数出表_Excel!A"&amp;MATCH(DW22,数出表_Excel!$A:$A,0)-1),2)
=LEFT(INDIRECT("数出表_Excel!A"&amp;MATCH(DW22,数出表_Excel!$A:$A,0)+1),2)),100,
IF(AND(LEFT(DW22,3)="奈良屋",
LEFT(INDIRECT("数出表_Excel!A"&amp;MATCH(DW22,数出表_Excel!$A:$A,0)-1),2)
=LEFT(INDIRECT("数出表_Excel!A"&amp;MATCH(DW22,数出表_Excel!$A:$A,0)+1),2)),200,""))</f>
        <v>#VALUE!</v>
      </c>
      <c r="DS24" s="249" t="str">
        <f ca="1">IF(DS23&lt;&gt;"",
"園児","")</f>
        <v/>
      </c>
      <c r="DT24" s="250"/>
      <c r="DU24" s="251" t="str">
        <f ca="1">IF(DS23&lt;&gt;"",
"先生","")</f>
        <v/>
      </c>
      <c r="DV24" s="250"/>
      <c r="DW24" s="97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76"/>
      <c r="DY24" s="84" t="e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249" t="str">
        <f ca="1">IF(DZ23&lt;&gt;"",
"園児","")</f>
        <v/>
      </c>
      <c r="EA24" s="250"/>
      <c r="EB24" s="251" t="str">
        <f ca="1">IF(DZ23&lt;&gt;"",
"先生","")</f>
        <v/>
      </c>
      <c r="EC24" s="250"/>
      <c r="ED24" s="97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76"/>
      <c r="EF24" s="76"/>
      <c r="EG24" s="84" t="e">
        <f t="array" aca="1" ref="EG24" ca="1">IF(AND(LEFT(EL22,2)="博多",
LEFT(INDIRECT("数出表_Excel!A"&amp;MATCH(EL22,数出表_Excel!$A:$A,0)-1),2)
=LEFT(INDIRECT("数出表_Excel!A"&amp;MATCH(EL22,数出表_Excel!$A:$A,0)+1),2)),100,
IF(AND(LEFT(EL22,3)="奈良屋",
LEFT(INDIRECT("数出表_Excel!A"&amp;MATCH(EL22,数出表_Excel!$A:$A,0)-1),2)
=LEFT(INDIRECT("数出表_Excel!A"&amp;MATCH(EL22,数出表_Excel!$A:$A,0)+1),2)),200,""))</f>
        <v>#VALUE!</v>
      </c>
      <c r="EH24" s="249" t="str">
        <f ca="1">IF(EH23&lt;&gt;"",
"園児","")</f>
        <v/>
      </c>
      <c r="EI24" s="250"/>
      <c r="EJ24" s="251" t="str">
        <f ca="1">IF(EH23&lt;&gt;"",
"先生","")</f>
        <v/>
      </c>
      <c r="EK24" s="250"/>
      <c r="EL24" s="97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76"/>
      <c r="EN24" s="84" t="e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249" t="str">
        <f ca="1">IF(EO23&lt;&gt;"",
"園児","")</f>
        <v/>
      </c>
      <c r="EP24" s="250"/>
      <c r="EQ24" s="251" t="str">
        <f ca="1">IF(EO23&lt;&gt;"",
"先生","")</f>
        <v/>
      </c>
      <c r="ER24" s="250"/>
      <c r="ES24" s="97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06"/>
      <c r="EU24" s="78">
        <f t="shared" si="3"/>
        <v>105</v>
      </c>
      <c r="EV24" s="78" t="str">
        <f t="array" aca="1" ref="EV24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LEN(SUBSTITUTE(_xlfn.FORMULATEXT(EV$4),"=","")))+$EU24)</f>
        <v/>
      </c>
      <c r="EW24" s="78" t="str">
        <f t="array" aca="1" ref="EW24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LEN(SUBSTITUTE(_xlfn.FORMULATEXT(EW$4),"=","")))+$EU24)</f>
        <v/>
      </c>
      <c r="EX24" s="78" t="str">
        <f t="array" aca="1" ref="EX24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LEN(SUBSTITUTE(_xlfn.FORMULATEXT(EX$4),"=","")))+$EU24)</f>
        <v/>
      </c>
      <c r="EY24" s="78" t="str">
        <f t="array" aca="1" ref="EY24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LEN(SUBSTITUTE(_xlfn.FORMULATEXT(EY$4),"=","")))+$EU24)</f>
        <v/>
      </c>
      <c r="EZ24" s="78" t="str">
        <f t="array" aca="1" ref="EZ24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LEN(SUBSTITUTE(_xlfn.FORMULATEXT(EZ$4),"=","")))+$EU24)</f>
        <v/>
      </c>
      <c r="FA24" s="78" t="str">
        <f t="array" aca="1" ref="FA24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LEN(SUBSTITUTE(_xlfn.FORMULATEXT(FA$4),"=","")))+$EU24)</f>
        <v/>
      </c>
      <c r="FB24" s="78" t="str">
        <f t="array" aca="1" ref="FB24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LEN(SUBSTITUTE(_xlfn.FORMULATEXT(FB$4),"=","")))+$EU24)</f>
        <v/>
      </c>
      <c r="FC24" s="78" t="str">
        <f t="array" aca="1" ref="FC24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LEN(SUBSTITUTE(_xlfn.FORMULATEXT(FC$4),"=","")))+$EU24)</f>
        <v/>
      </c>
      <c r="FD24" s="78" t="str">
        <f t="array" aca="1" ref="FD24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LEN(SUBSTITUTE(_xlfn.FORMULATEXT(FD$4),"=","")))+$EU24)</f>
        <v/>
      </c>
      <c r="FE24" s="78" t="str">
        <f t="array" aca="1" ref="FE24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LEN(SUBSTITUTE(_xlfn.FORMULATEXT(FE$4),"=","")))+$EU24)</f>
        <v/>
      </c>
      <c r="FF24" s="78" t="str">
        <f t="array" aca="1" ref="FF24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LEN(SUBSTITUTE(_xlfn.FORMULATEXT(FF$4),"=","")))+$EU24)</f>
        <v/>
      </c>
      <c r="FG24" s="78">
        <f t="shared" ca="1" si="2"/>
        <v>0</v>
      </c>
      <c r="FH24" s="78" t="b">
        <f t="array" aca="1" ref="FH24" ca="1">SUMPRODUCT((LEN(EV24:FF24)&gt;0)*1)&gt;0</f>
        <v>0</v>
      </c>
      <c r="FI24" s="78" t="str">
        <f t="array" aca="1" ref="FI24" ca="1">IFERROR(SMALL(IF(FG$1:FG$228&lt;&gt;0,FG$1:FG$228),ROW(A24)),"")</f>
        <v/>
      </c>
      <c r="FJ24" s="78" t="str">
        <f t="array" aca="1" ref="FJ24" ca="1">IF($FI24&lt;&gt;"",
INDIRECT(""&amp;IF(COLUMN(EV35)&lt;=26,CHAR(COLUMN(EV35)+64),CHAR(INT((COLUMN(EV35)-1)/26)+64)&amp;CHAR(MOD(COLUMN(EV35)-1,26)+65))&amp;$FI24&amp;""),"")</f>
        <v/>
      </c>
      <c r="FK24" s="78" t="str">
        <f t="array" aca="1" ref="FK24" ca="1">IF($FI24&lt;&gt;"",
INDIRECT(""&amp;IF(COLUMN(EW35)&lt;=26,CHAR(COLUMN(EW35)+64),CHAR(INT((COLUMN(EW35)-1)/26)+64)&amp;CHAR(MOD(COLUMN(EW35)-1,26)+65))&amp;$FI24&amp;""),"")</f>
        <v/>
      </c>
      <c r="FL24" s="78" t="str">
        <f t="array" aca="1" ref="FL24" ca="1">IF($FI24&lt;&gt;"",
INDIRECT(""&amp;IF(COLUMN(EX35)&lt;=26,CHAR(COLUMN(EX35)+64),CHAR(INT((COLUMN(EX35)-1)/26)+64)&amp;CHAR(MOD(COLUMN(EX35)-1,26)+65))&amp;$FI24&amp;""),"")</f>
        <v/>
      </c>
      <c r="FM24" s="78" t="str">
        <f t="array" aca="1" ref="FM24" ca="1">IF($FI24&lt;&gt;"",
IF(FL24="",
IF(INDIRECT("EY"&amp;$FI24&amp;"")&lt;&gt;"",
INDIRECT("EY"&amp;$FI24&amp;"")&amp;"箱"
&amp;INDIRECT("EZ"&amp;$FI24&amp;""),""),""),"")</f>
        <v/>
      </c>
      <c r="FN24" s="78" t="str">
        <f t="array" aca="1" ref="FN24" ca="1">IF($FI24&lt;&gt;"",
INDIRECT(""&amp;IF(COLUMN(FA35)&lt;=26,CHAR(COLUMN(FA35)+64),CHAR(INT((COLUMN(FA35)-1)/26)+64)&amp;CHAR(MOD(COLUMN(FA35)-1,26)+65))&amp;$FI24&amp;""),"")</f>
        <v/>
      </c>
      <c r="FO24" s="78" t="str">
        <f t="array" aca="1" ref="FO24" ca="1">IF($FI24&lt;&gt;"",
INDIRECT(""&amp;IF(COLUMN(FB35)&lt;=26,CHAR(COLUMN(FB35)+64),CHAR(INT((COLUMN(FB35)-1)/26)+64)&amp;CHAR(MOD(COLUMN(FB35)-1,26)+65))&amp;$FI24&amp;""),"")</f>
        <v/>
      </c>
      <c r="FP24" s="78" t="str">
        <f t="array" aca="1" ref="FP24" ca="1">IF($FI24&lt;&gt;"",
INDIRECT(""&amp;IF(COLUMN(FC35)&lt;=26,CHAR(COLUMN(FC35)+64),CHAR(INT((COLUMN(FC35)-1)/26)+64)&amp;CHAR(MOD(COLUMN(FC35)-1,26)+65))&amp;$FI24&amp;""),"")</f>
        <v/>
      </c>
      <c r="FQ24" s="78" t="str">
        <f t="array" aca="1" ref="FQ24" ca="1">IF($FI24&lt;&gt;"",
INDIRECT(""&amp;IF(COLUMN(FD35)&lt;=26,CHAR(COLUMN(FD35)+64),CHAR(INT((COLUMN(FD35)-1)/26)+64)&amp;CHAR(MOD(COLUMN(FD35)-1,26)+65))&amp;$FI24&amp;""),"")</f>
        <v/>
      </c>
      <c r="FR24" s="78" t="str">
        <f t="array" aca="1" ref="FR24" ca="1">IF($FI24&lt;&gt;"",
INDIRECT(""&amp;IF(COLUMN(FE35)&lt;=26,CHAR(COLUMN(FE35)+64),CHAR(INT((COLUMN(FE35)-1)/26)+64)&amp;CHAR(MOD(COLUMN(FE35)-1,26)+65))&amp;$FI24&amp;""),"")</f>
        <v/>
      </c>
      <c r="FS24" s="78" t="str">
        <f t="array" aca="1" ref="FS24" ca="1">IF($FI24&lt;&gt;"",
INDIRECT(""&amp;IF(COLUMN(FF35)&lt;=26,CHAR(COLUMN(FF35)+64),CHAR(INT((COLUMN(FF35)-1)/26)+64)&amp;CHAR(MOD(COLUMN(FF35)-1,26)+65))&amp;$FI24&amp;""),"")</f>
        <v/>
      </c>
    </row>
    <row r="25" spans="1:175" ht="18" customHeight="1" x14ac:dyDescent="0.45">
      <c r="B25" s="86"/>
      <c r="C25" s="252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253"/>
      <c r="E25" s="255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253"/>
      <c r="G25" s="97" t="e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#VALUE!</v>
      </c>
      <c r="I25" s="86"/>
      <c r="J25" s="252" t="e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253"/>
      <c r="L25" s="255" t="e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253"/>
      <c r="N25" s="97" t="e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#VALUE!</v>
      </c>
      <c r="Q25" s="86"/>
      <c r="R25" s="252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253"/>
      <c r="T25" s="255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253"/>
      <c r="V25" s="97" t="e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#VALUE!</v>
      </c>
      <c r="X25" s="86"/>
      <c r="Y25" s="252" t="e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253"/>
      <c r="AA25" s="255" t="e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253"/>
      <c r="AC25" s="97" t="e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#VALUE!</v>
      </c>
      <c r="AF25" s="86"/>
      <c r="AG25" s="252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253"/>
      <c r="AI25" s="255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253"/>
      <c r="AK25" s="97" t="e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#VALUE!</v>
      </c>
      <c r="AM25" s="86"/>
      <c r="AN25" s="252" t="e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253"/>
      <c r="AP25" s="255" t="e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253"/>
      <c r="AR25" s="97" t="e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#VALUE!</v>
      </c>
      <c r="AU25" s="86"/>
      <c r="AV25" s="252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253"/>
      <c r="AX25" s="255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253"/>
      <c r="AZ25" s="97" t="e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#VALUE!</v>
      </c>
      <c r="BB25" s="86"/>
      <c r="BC25" s="252" t="e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253"/>
      <c r="BE25" s="255" t="e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253"/>
      <c r="BG25" s="97" t="e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#VALUE!</v>
      </c>
      <c r="BJ25" s="86"/>
      <c r="BK25" s="252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253"/>
      <c r="BM25" s="255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253"/>
      <c r="BO25" s="97" t="e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#VALUE!</v>
      </c>
      <c r="BQ25" s="86"/>
      <c r="BR25" s="252" t="e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253"/>
      <c r="BT25" s="255" t="e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253"/>
      <c r="BV25" s="97" t="e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#VALUE!</v>
      </c>
      <c r="BY25" s="86"/>
      <c r="BZ25" s="252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253"/>
      <c r="CB25" s="255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253"/>
      <c r="CD25" s="97" t="e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0)),0),""),0)</f>
        <v>#VALUE!</v>
      </c>
      <c r="CF25" s="86"/>
      <c r="CG25" s="252" t="e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253"/>
      <c r="CI25" s="255" t="e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253"/>
      <c r="CK25" s="97" t="e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0)),0),""),0)</f>
        <v>#VALUE!</v>
      </c>
      <c r="CN25" s="86"/>
      <c r="CO25" s="252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253"/>
      <c r="CQ25" s="255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253"/>
      <c r="CS25" s="97" t="e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0)),0),""),0)</f>
        <v>#VALUE!</v>
      </c>
      <c r="CU25" s="86"/>
      <c r="CV25" s="252" t="e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253"/>
      <c r="CX25" s="255" t="e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253"/>
      <c r="CZ25" s="97" t="e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0)),0),""),0)</f>
        <v>#VALUE!</v>
      </c>
      <c r="DC25" s="86"/>
      <c r="DD25" s="252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253"/>
      <c r="DF25" s="255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253"/>
      <c r="DH25" s="97" t="e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0)),0),""),0)</f>
        <v>#VALUE!</v>
      </c>
      <c r="DJ25" s="86"/>
      <c r="DK25" s="252" t="e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253"/>
      <c r="DM25" s="255" t="e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253"/>
      <c r="DO25" s="97" t="e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0)),0),""),0)</f>
        <v>#VALUE!</v>
      </c>
      <c r="DR25" s="86"/>
      <c r="DS25" s="252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253"/>
      <c r="DU25" s="255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253"/>
      <c r="DW25" s="97" t="e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0)),0),""),0)</f>
        <v>#VALUE!</v>
      </c>
      <c r="DY25" s="86"/>
      <c r="DZ25" s="252" t="e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253"/>
      <c r="EB25" s="255" t="e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253"/>
      <c r="ED25" s="97" t="e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0)),0),""),0)</f>
        <v>#VALUE!</v>
      </c>
      <c r="EG25" s="86"/>
      <c r="EH25" s="252" t="e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253"/>
      <c r="EJ25" s="255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253"/>
      <c r="EL25" s="97" t="e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0)),0),""),0)</f>
        <v>#VALUE!</v>
      </c>
      <c r="EN25" s="86"/>
      <c r="EO25" s="252" t="e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253"/>
      <c r="EQ25" s="255" t="e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253"/>
      <c r="ES25" s="97" t="e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0)),0),""),0)</f>
        <v>#VALUE!</v>
      </c>
      <c r="ET25" s="106"/>
      <c r="EU25" s="78">
        <f t="shared" si="3"/>
        <v>28</v>
      </c>
      <c r="EV25" s="78" t="str">
        <f t="array" aca="1" ref="EV2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LEN(SUBSTITUTE(_xlfn.FORMULATEXT(EV$1),"=","")))+$EU25)</f>
        <v/>
      </c>
      <c r="EW25" s="78" t="str">
        <f t="array" aca="1" ref="EW2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LEN(SUBSTITUTE(_xlfn.FORMULATEXT(EW$1),"=","")))+$EU25)</f>
        <v/>
      </c>
      <c r="EX25" s="78" t="str">
        <f t="array" aca="1" ref="EX2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LEN(SUBSTITUTE(_xlfn.FORMULATEXT(EX$1),"=","")))+$EU25)</f>
        <v/>
      </c>
      <c r="EY25" s="78" t="str">
        <f t="array" aca="1" ref="EY2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LEN(SUBSTITUTE(_xlfn.FORMULATEXT(EY$1),"=","")))+$EU25)</f>
        <v/>
      </c>
      <c r="EZ25" s="78" t="str">
        <f t="array" aca="1" ref="EZ2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LEN(SUBSTITUTE(_xlfn.FORMULATEXT(EZ$1),"=","")))+$EU25)</f>
        <v/>
      </c>
      <c r="FA25" s="78" t="e">
        <f t="array" aca="1" ref="FA2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LEN(SUBSTITUTE(_xlfn.FORMULATEXT(FA$1),"=","")))+$EU25)</f>
        <v>#VALUE!</v>
      </c>
      <c r="FB25" s="78" t="e">
        <f t="array" aca="1" ref="FB2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LEN(SUBSTITUTE(_xlfn.FORMULATEXT(FB$1),"=","")))+$EU25)</f>
        <v>#VALUE!</v>
      </c>
      <c r="FC25" s="78" t="str">
        <f t="array" aca="1" ref="FC2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LEN(SUBSTITUTE(_xlfn.FORMULATEXT(FC$1),"=","")))+$EU25)</f>
        <v/>
      </c>
      <c r="FD25" s="78" t="e">
        <f t="array" aca="1" ref="FD2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LEN(SUBSTITUTE(_xlfn.FORMULATEXT(FD$1),"=","")))+$EU25)</f>
        <v>#VALUE!</v>
      </c>
      <c r="FE25" s="78" t="str">
        <f t="array" aca="1" ref="FE2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LEN(SUBSTITUTE(_xlfn.FORMULATEXT(FE$1),"=","")))+$EU25)</f>
        <v/>
      </c>
      <c r="FF25" s="78" t="e">
        <f t="array" aca="1" ref="FF2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LEN(SUBSTITUTE(_xlfn.FORMULATEXT(FF$1),"=","")))+$EU25)</f>
        <v>#VALUE!</v>
      </c>
      <c r="FG25" s="78">
        <f t="shared" ca="1" si="2"/>
        <v>0</v>
      </c>
      <c r="FH25" s="78" t="e">
        <f t="array" aca="1" ref="FH25" ca="1">SUMPRODUCT((LEN(EV25:FF25)&gt;0)*1)&gt;0</f>
        <v>#VALUE!</v>
      </c>
      <c r="FI25" s="78" t="str">
        <f t="array" aca="1" ref="FI25" ca="1">IFERROR(SMALL(IF(FG$1:FG$228&lt;&gt;0,FG$1:FG$228),ROW(A25)),"")</f>
        <v/>
      </c>
      <c r="FJ25" s="78" t="str">
        <f t="array" aca="1" ref="FJ25" ca="1">IF($FI25&lt;&gt;"",
INDIRECT(""&amp;IF(COLUMN(EV37)&lt;=26,CHAR(COLUMN(EV37)+64),CHAR(INT((COLUMN(EV37)-1)/26)+64)&amp;CHAR(MOD(COLUMN(EV37)-1,26)+65))&amp;$FI25&amp;""),"")</f>
        <v/>
      </c>
      <c r="FK25" s="78" t="str">
        <f t="array" aca="1" ref="FK25" ca="1">IF($FI25&lt;&gt;"",
INDIRECT(""&amp;IF(COLUMN(EW37)&lt;=26,CHAR(COLUMN(EW37)+64),CHAR(INT((COLUMN(EW37)-1)/26)+64)&amp;CHAR(MOD(COLUMN(EW37)-1,26)+65))&amp;$FI25&amp;""),"")</f>
        <v/>
      </c>
      <c r="FL25" s="78" t="str">
        <f t="array" aca="1" ref="FL25" ca="1">IF($FI25&lt;&gt;"",
INDIRECT(""&amp;IF(COLUMN(EX37)&lt;=26,CHAR(COLUMN(EX37)+64),CHAR(INT((COLUMN(EX37)-1)/26)+64)&amp;CHAR(MOD(COLUMN(EX37)-1,26)+65))&amp;$FI25&amp;""),"")</f>
        <v/>
      </c>
      <c r="FM25" s="78" t="str">
        <f t="array" aca="1" ref="FM25" ca="1">IF($FI25&lt;&gt;"",
IF(FL25="",
IF(INDIRECT("EY"&amp;$FI25&amp;"")&lt;&gt;"",
INDIRECT("EY"&amp;$FI25&amp;"")&amp;"箱"
&amp;INDIRECT("EZ"&amp;$FI25&amp;""),""),""),"")</f>
        <v/>
      </c>
      <c r="FN25" s="78" t="str">
        <f t="array" aca="1" ref="FN25" ca="1">IF($FI25&lt;&gt;"",
INDIRECT(""&amp;IF(COLUMN(FA37)&lt;=26,CHAR(COLUMN(FA37)+64),CHAR(INT((COLUMN(FA37)-1)/26)+64)&amp;CHAR(MOD(COLUMN(FA37)-1,26)+65))&amp;$FI25&amp;""),"")</f>
        <v/>
      </c>
      <c r="FO25" s="78" t="str">
        <f t="array" aca="1" ref="FO25" ca="1">IF($FI25&lt;&gt;"",
INDIRECT(""&amp;IF(COLUMN(FB37)&lt;=26,CHAR(COLUMN(FB37)+64),CHAR(INT((COLUMN(FB37)-1)/26)+64)&amp;CHAR(MOD(COLUMN(FB37)-1,26)+65))&amp;$FI25&amp;""),"")</f>
        <v/>
      </c>
      <c r="FP25" s="78" t="str">
        <f t="array" aca="1" ref="FP25" ca="1">IF($FI25&lt;&gt;"",
INDIRECT(""&amp;IF(COLUMN(FC37)&lt;=26,CHAR(COLUMN(FC37)+64),CHAR(INT((COLUMN(FC37)-1)/26)+64)&amp;CHAR(MOD(COLUMN(FC37)-1,26)+65))&amp;$FI25&amp;""),"")</f>
        <v/>
      </c>
      <c r="FQ25" s="78" t="str">
        <f t="array" aca="1" ref="FQ25" ca="1">IF($FI25&lt;&gt;"",
INDIRECT(""&amp;IF(COLUMN(FD37)&lt;=26,CHAR(COLUMN(FD37)+64),CHAR(INT((COLUMN(FD37)-1)/26)+64)&amp;CHAR(MOD(COLUMN(FD37)-1,26)+65))&amp;$FI25&amp;""),"")</f>
        <v/>
      </c>
      <c r="FR25" s="78" t="str">
        <f t="array" aca="1" ref="FR25" ca="1">IF($FI25&lt;&gt;"",
INDIRECT(""&amp;IF(COLUMN(FE37)&lt;=26,CHAR(COLUMN(FE37)+64),CHAR(INT((COLUMN(FE37)-1)/26)+64)&amp;CHAR(MOD(COLUMN(FE37)-1,26)+65))&amp;$FI25&amp;""),"")</f>
        <v/>
      </c>
      <c r="FS25" s="78" t="str">
        <f t="array" aca="1" ref="FS25" ca="1">IF($FI25&lt;&gt;"",
INDIRECT(""&amp;IF(COLUMN(FF37)&lt;=26,CHAR(COLUMN(FF37)+64),CHAR(INT((COLUMN(FF37)-1)/26)+64)&amp;CHAR(MOD(COLUMN(FF37)-1,26)+65))&amp;$FI25&amp;""),"")</f>
        <v/>
      </c>
    </row>
    <row r="26" spans="1:175" ht="18" customHeight="1" x14ac:dyDescent="0.45">
      <c r="B26" s="114" t="s">
        <v>37</v>
      </c>
      <c r="C26" s="254"/>
      <c r="D26" s="254"/>
      <c r="E26" s="254"/>
      <c r="F26" s="254"/>
      <c r="G26" s="98" t="str">
        <f ca="1">SUBSTITUTE(SUBSTITUTE(ADDRESS(1,MATCH("おやつ",'数出表_Excel（アレルギー入力）'!$3:$3,0)),1,""),"$","")</f>
        <v>AL</v>
      </c>
      <c r="I26" s="114" t="s">
        <v>37</v>
      </c>
      <c r="J26" s="254"/>
      <c r="K26" s="254"/>
      <c r="L26" s="254"/>
      <c r="M26" s="254"/>
      <c r="N26" s="98" t="str">
        <f ca="1">SUBSTITUTE(SUBSTITUTE(ADDRESS(1,MATCH("おやつ",'数出表_Excel（アレルギー入力）'!$3:$3,0)),1,""),"$","")</f>
        <v>AL</v>
      </c>
      <c r="Q26" s="114" t="s">
        <v>37</v>
      </c>
      <c r="R26" s="254"/>
      <c r="S26" s="254"/>
      <c r="T26" s="254"/>
      <c r="U26" s="254"/>
      <c r="V26" s="98" t="str">
        <f ca="1">SUBSTITUTE(SUBSTITUTE(ADDRESS(1,MATCH("おやつ",'数出表_Excel（アレルギー入力）'!$3:$3,0)),1,""),"$","")</f>
        <v>AL</v>
      </c>
      <c r="X26" s="114" t="s">
        <v>37</v>
      </c>
      <c r="Y26" s="254"/>
      <c r="Z26" s="254"/>
      <c r="AA26" s="254"/>
      <c r="AB26" s="254"/>
      <c r="AC26" s="98" t="str">
        <f ca="1">SUBSTITUTE(SUBSTITUTE(ADDRESS(1,MATCH("おやつ",'数出表_Excel（アレルギー入力）'!$3:$3,0)),1,""),"$","")</f>
        <v>AL</v>
      </c>
      <c r="AF26" s="114" t="s">
        <v>37</v>
      </c>
      <c r="AG26" s="254"/>
      <c r="AH26" s="254"/>
      <c r="AI26" s="254"/>
      <c r="AJ26" s="254"/>
      <c r="AK26" s="98" t="str">
        <f ca="1">SUBSTITUTE(SUBSTITUTE(ADDRESS(1,MATCH("おやつ",'数出表_Excel（アレルギー入力）'!$3:$3,0)),1,""),"$","")</f>
        <v>AL</v>
      </c>
      <c r="AM26" s="114" t="s">
        <v>37</v>
      </c>
      <c r="AN26" s="254"/>
      <c r="AO26" s="254"/>
      <c r="AP26" s="254"/>
      <c r="AQ26" s="254"/>
      <c r="AR26" s="98" t="str">
        <f ca="1">SUBSTITUTE(SUBSTITUTE(ADDRESS(1,MATCH("おやつ",'数出表_Excel（アレルギー入力）'!$3:$3,0)),1,""),"$","")</f>
        <v>AL</v>
      </c>
      <c r="AU26" s="114" t="s">
        <v>37</v>
      </c>
      <c r="AV26" s="254"/>
      <c r="AW26" s="254"/>
      <c r="AX26" s="254"/>
      <c r="AY26" s="254"/>
      <c r="AZ26" s="98" t="str">
        <f ca="1">SUBSTITUTE(SUBSTITUTE(ADDRESS(1,MATCH("おやつ",'数出表_Excel（アレルギー入力）'!$3:$3,0)),1,""),"$","")</f>
        <v>AL</v>
      </c>
      <c r="BB26" s="114" t="s">
        <v>37</v>
      </c>
      <c r="BC26" s="254"/>
      <c r="BD26" s="254"/>
      <c r="BE26" s="254"/>
      <c r="BF26" s="254"/>
      <c r="BG26" s="98" t="str">
        <f ca="1">SUBSTITUTE(SUBSTITUTE(ADDRESS(1,MATCH("おやつ",'数出表_Excel（アレルギー入力）'!$3:$3,0)),1,""),"$","")</f>
        <v>AL</v>
      </c>
      <c r="BJ26" s="114" t="s">
        <v>37</v>
      </c>
      <c r="BK26" s="254"/>
      <c r="BL26" s="254"/>
      <c r="BM26" s="254"/>
      <c r="BN26" s="254"/>
      <c r="BO26" s="98" t="str">
        <f ca="1">SUBSTITUTE(SUBSTITUTE(ADDRESS(1,MATCH("おやつ",'数出表_Excel（アレルギー入力）'!$3:$3,0)),1,""),"$","")</f>
        <v>AL</v>
      </c>
      <c r="BQ26" s="114" t="s">
        <v>37</v>
      </c>
      <c r="BR26" s="254"/>
      <c r="BS26" s="254"/>
      <c r="BT26" s="254"/>
      <c r="BU26" s="254"/>
      <c r="BV26" s="98" t="str">
        <f ca="1">SUBSTITUTE(SUBSTITUTE(ADDRESS(1,MATCH("おやつ",'数出表_Excel（アレルギー入力）'!$3:$3,0)),1,""),"$","")</f>
        <v>AL</v>
      </c>
      <c r="BY26" s="114" t="s">
        <v>37</v>
      </c>
      <c r="BZ26" s="254"/>
      <c r="CA26" s="254"/>
      <c r="CB26" s="254"/>
      <c r="CC26" s="254"/>
      <c r="CD26" s="98" t="str">
        <f ca="1">SUBSTITUTE(SUBSTITUTE(ADDRESS(1,MATCH("おやつ",'数出表_Excel（アレルギー入力）'!$3:$3,0)),1,""),"$","")</f>
        <v>AL</v>
      </c>
      <c r="CF26" s="114" t="s">
        <v>37</v>
      </c>
      <c r="CG26" s="254"/>
      <c r="CH26" s="254"/>
      <c r="CI26" s="254"/>
      <c r="CJ26" s="254"/>
      <c r="CK26" s="98" t="str">
        <f ca="1">SUBSTITUTE(SUBSTITUTE(ADDRESS(1,MATCH("おやつ",'数出表_Excel（アレルギー入力）'!$3:$3,0)),1,""),"$","")</f>
        <v>AL</v>
      </c>
      <c r="CN26" s="114" t="s">
        <v>37</v>
      </c>
      <c r="CO26" s="254"/>
      <c r="CP26" s="254"/>
      <c r="CQ26" s="254"/>
      <c r="CR26" s="254"/>
      <c r="CS26" s="98" t="str">
        <f ca="1">SUBSTITUTE(SUBSTITUTE(ADDRESS(1,MATCH("おやつ",'数出表_Excel（アレルギー入力）'!$3:$3,0)),1,""),"$","")</f>
        <v>AL</v>
      </c>
      <c r="CU26" s="114" t="s">
        <v>37</v>
      </c>
      <c r="CV26" s="254"/>
      <c r="CW26" s="254"/>
      <c r="CX26" s="254"/>
      <c r="CY26" s="254"/>
      <c r="CZ26" s="98" t="str">
        <f ca="1">SUBSTITUTE(SUBSTITUTE(ADDRESS(1,MATCH("おやつ",'数出表_Excel（アレルギー入力）'!$3:$3,0)),1,""),"$","")</f>
        <v>AL</v>
      </c>
      <c r="DC26" s="114" t="s">
        <v>37</v>
      </c>
      <c r="DD26" s="254"/>
      <c r="DE26" s="254"/>
      <c r="DF26" s="254"/>
      <c r="DG26" s="254"/>
      <c r="DH26" s="98" t="str">
        <f ca="1">SUBSTITUTE(SUBSTITUTE(ADDRESS(1,MATCH("おやつ",'数出表_Excel（アレルギー入力）'!$3:$3,0)),1,""),"$","")</f>
        <v>AL</v>
      </c>
      <c r="DJ26" s="114" t="s">
        <v>37</v>
      </c>
      <c r="DK26" s="254"/>
      <c r="DL26" s="254"/>
      <c r="DM26" s="254"/>
      <c r="DN26" s="254"/>
      <c r="DO26" s="98" t="str">
        <f ca="1">SUBSTITUTE(SUBSTITUTE(ADDRESS(1,MATCH("おやつ",'数出表_Excel（アレルギー入力）'!$3:$3,0)),1,""),"$","")</f>
        <v>AL</v>
      </c>
      <c r="DR26" s="114" t="s">
        <v>37</v>
      </c>
      <c r="DS26" s="254"/>
      <c r="DT26" s="254"/>
      <c r="DU26" s="254"/>
      <c r="DV26" s="254"/>
      <c r="DW26" s="98" t="str">
        <f ca="1">SUBSTITUTE(SUBSTITUTE(ADDRESS(1,MATCH("おやつ",'数出表_Excel（アレルギー入力）'!$3:$3,0)),1,""),"$","")</f>
        <v>AL</v>
      </c>
      <c r="DY26" s="114" t="s">
        <v>37</v>
      </c>
      <c r="DZ26" s="254"/>
      <c r="EA26" s="254"/>
      <c r="EB26" s="254"/>
      <c r="EC26" s="254"/>
      <c r="ED26" s="98" t="str">
        <f ca="1">SUBSTITUTE(SUBSTITUTE(ADDRESS(1,MATCH("おやつ",'数出表_Excel（アレルギー入力）'!$3:$3,0)),1,""),"$","")</f>
        <v>AL</v>
      </c>
      <c r="EG26" s="114" t="s">
        <v>37</v>
      </c>
      <c r="EH26" s="254"/>
      <c r="EI26" s="254"/>
      <c r="EJ26" s="254"/>
      <c r="EK26" s="254"/>
      <c r="EL26" s="98" t="str">
        <f ca="1">SUBSTITUTE(SUBSTITUTE(ADDRESS(1,MATCH("おやつ",'数出表_Excel（アレルギー入力）'!$3:$3,0)),1,""),"$","")</f>
        <v>AL</v>
      </c>
      <c r="EN26" s="114" t="s">
        <v>37</v>
      </c>
      <c r="EO26" s="254"/>
      <c r="EP26" s="254"/>
      <c r="EQ26" s="254"/>
      <c r="ER26" s="254"/>
      <c r="ES26" s="98" t="str">
        <f ca="1">SUBSTITUTE(SUBSTITUTE(ADDRESS(1,MATCH("おやつ",'数出表_Excel（アレルギー入力）'!$3:$3,0)),1,""),"$","")</f>
        <v>AL</v>
      </c>
      <c r="ET26" s="106"/>
      <c r="EU26" s="78">
        <f t="shared" si="3"/>
        <v>70</v>
      </c>
      <c r="EV26" s="78" t="str">
        <f t="array" aca="1" ref="EV2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LEN(SUBSTITUTE(_xlfn.FORMULATEXT(EV$1),"=","")))+$EU26)</f>
        <v/>
      </c>
      <c r="EW26" s="78" t="str">
        <f t="array" aca="1" ref="EW2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LEN(SUBSTITUTE(_xlfn.FORMULATEXT(EW$1),"=","")))+$EU26)</f>
        <v/>
      </c>
      <c r="EX26" s="78" t="str">
        <f t="array" aca="1" ref="EX2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LEN(SUBSTITUTE(_xlfn.FORMULATEXT(EX$1),"=","")))+$EU26)</f>
        <v/>
      </c>
      <c r="EY26" s="78" t="str">
        <f t="array" aca="1" ref="EY2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LEN(SUBSTITUTE(_xlfn.FORMULATEXT(EY$1),"=","")))+$EU26)</f>
        <v/>
      </c>
      <c r="EZ26" s="78" t="str">
        <f t="array" aca="1" ref="EZ2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LEN(SUBSTITUTE(_xlfn.FORMULATEXT(EZ$1),"=","")))+$EU26)</f>
        <v/>
      </c>
      <c r="FA26" s="78" t="str">
        <f t="array" aca="1" ref="FA2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LEN(SUBSTITUTE(_xlfn.FORMULATEXT(FA$1),"=","")))+$EU26)</f>
        <v/>
      </c>
      <c r="FB26" s="78" t="str">
        <f t="array" aca="1" ref="FB2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LEN(SUBSTITUTE(_xlfn.FORMULATEXT(FB$1),"=","")))+$EU26)</f>
        <v/>
      </c>
      <c r="FC26" s="78" t="str">
        <f t="array" aca="1" ref="FC2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LEN(SUBSTITUTE(_xlfn.FORMULATEXT(FC$1),"=","")))+$EU26)</f>
        <v/>
      </c>
      <c r="FD26" s="78" t="str">
        <f t="array" aca="1" ref="FD2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LEN(SUBSTITUTE(_xlfn.FORMULATEXT(FD$1),"=","")))+$EU26)</f>
        <v/>
      </c>
      <c r="FE26" s="78" t="str">
        <f t="array" aca="1" ref="FE2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LEN(SUBSTITUTE(_xlfn.FORMULATEXT(FE$1),"=","")))+$EU26)</f>
        <v/>
      </c>
      <c r="FF26" s="78" t="str">
        <f t="array" aca="1" ref="FF2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LEN(SUBSTITUTE(_xlfn.FORMULATEXT(FF$1),"=","")))+$EU26)</f>
        <v/>
      </c>
      <c r="FG26" s="78">
        <f t="shared" ca="1" si="2"/>
        <v>0</v>
      </c>
      <c r="FH26" s="78" t="b">
        <f t="array" aca="1" ref="FH26" ca="1">SUMPRODUCT((LEN(EV26:FF26)&gt;0)*1)&gt;0</f>
        <v>0</v>
      </c>
      <c r="FI26" s="78" t="str">
        <f t="array" aca="1" ref="FI26" ca="1">IFERROR(SMALL(IF(FG$1:FG$228&lt;&gt;0,FG$1:FG$228),ROW(A26)),"")</f>
        <v/>
      </c>
      <c r="FJ26" s="78" t="str">
        <f t="array" aca="1" ref="FJ26" ca="1">IF($FI26&lt;&gt;"",
INDIRECT(""&amp;IF(COLUMN(EV38)&lt;=26,CHAR(COLUMN(EV38)+64),CHAR(INT((COLUMN(EV38)-1)/26)+64)&amp;CHAR(MOD(COLUMN(EV38)-1,26)+65))&amp;$FI26&amp;""),"")</f>
        <v/>
      </c>
      <c r="FK26" s="78" t="str">
        <f t="array" aca="1" ref="FK26" ca="1">IF($FI26&lt;&gt;"",
INDIRECT(""&amp;IF(COLUMN(EW38)&lt;=26,CHAR(COLUMN(EW38)+64),CHAR(INT((COLUMN(EW38)-1)/26)+64)&amp;CHAR(MOD(COLUMN(EW38)-1,26)+65))&amp;$FI26&amp;""),"")</f>
        <v/>
      </c>
      <c r="FL26" s="78" t="str">
        <f t="array" aca="1" ref="FL26" ca="1">IF($FI26&lt;&gt;"",
INDIRECT(""&amp;IF(COLUMN(EX38)&lt;=26,CHAR(COLUMN(EX38)+64),CHAR(INT((COLUMN(EX38)-1)/26)+64)&amp;CHAR(MOD(COLUMN(EX38)-1,26)+65))&amp;$FI26&amp;""),"")</f>
        <v/>
      </c>
      <c r="FM26" s="78" t="str">
        <f t="array" aca="1" ref="FM26" ca="1">IF($FI26&lt;&gt;"",
IF(FL26="",
IF(INDIRECT("EY"&amp;$FI26&amp;"")&lt;&gt;"",
INDIRECT("EY"&amp;$FI26&amp;"")&amp;"箱"
&amp;INDIRECT("EZ"&amp;$FI26&amp;""),""),""),"")</f>
        <v/>
      </c>
      <c r="FN26" s="78" t="str">
        <f t="array" aca="1" ref="FN26" ca="1">IF($FI26&lt;&gt;"",
INDIRECT(""&amp;IF(COLUMN(FA38)&lt;=26,CHAR(COLUMN(FA38)+64),CHAR(INT((COLUMN(FA38)-1)/26)+64)&amp;CHAR(MOD(COLUMN(FA38)-1,26)+65))&amp;$FI26&amp;""),"")</f>
        <v/>
      </c>
      <c r="FO26" s="78" t="str">
        <f t="array" aca="1" ref="FO26" ca="1">IF($FI26&lt;&gt;"",
INDIRECT(""&amp;IF(COLUMN(FB38)&lt;=26,CHAR(COLUMN(FB38)+64),CHAR(INT((COLUMN(FB38)-1)/26)+64)&amp;CHAR(MOD(COLUMN(FB38)-1,26)+65))&amp;$FI26&amp;""),"")</f>
        <v/>
      </c>
      <c r="FP26" s="78" t="str">
        <f t="array" aca="1" ref="FP26" ca="1">IF($FI26&lt;&gt;"",
INDIRECT(""&amp;IF(COLUMN(FC38)&lt;=26,CHAR(COLUMN(FC38)+64),CHAR(INT((COLUMN(FC38)-1)/26)+64)&amp;CHAR(MOD(COLUMN(FC38)-1,26)+65))&amp;$FI26&amp;""),"")</f>
        <v/>
      </c>
      <c r="FQ26" s="78" t="str">
        <f t="array" aca="1" ref="FQ26" ca="1">IF($FI26&lt;&gt;"",
INDIRECT(""&amp;IF(COLUMN(FD38)&lt;=26,CHAR(COLUMN(FD38)+64),CHAR(INT((COLUMN(FD38)-1)/26)+64)&amp;CHAR(MOD(COLUMN(FD38)-1,26)+65))&amp;$FI26&amp;""),"")</f>
        <v/>
      </c>
      <c r="FR26" s="78" t="str">
        <f t="array" aca="1" ref="FR26" ca="1">IF($FI26&lt;&gt;"",
INDIRECT(""&amp;IF(COLUMN(FE38)&lt;=26,CHAR(COLUMN(FE38)+64),CHAR(INT((COLUMN(FE38)-1)/26)+64)&amp;CHAR(MOD(COLUMN(FE38)-1,26)+65))&amp;$FI26&amp;""),"")</f>
        <v/>
      </c>
      <c r="FS26" s="78" t="str">
        <f t="array" aca="1" ref="FS26" ca="1">IF($FI26&lt;&gt;"",
INDIRECT(""&amp;IF(COLUMN(FF38)&lt;=26,CHAR(COLUMN(FF38)+64),CHAR(INT((COLUMN(FF38)-1)/26)+64)&amp;CHAR(MOD(COLUMN(FF38)-1,26)+65))&amp;$FI26&amp;""),"")</f>
        <v/>
      </c>
    </row>
    <row r="27" spans="1:175" s="78" customFormat="1" ht="22.2" customHeight="1" x14ac:dyDescent="0.55000000000000004">
      <c r="A27" s="76"/>
      <c r="B27" s="89" t="str">
        <f ca="1">IF(C23&lt;&gt;"",
"パン箱","")</f>
        <v/>
      </c>
      <c r="C27" s="90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89" t="str">
        <f ca="1">IF(C23&lt;&gt;"",
" 端数","")</f>
        <v/>
      </c>
      <c r="E27" s="90"/>
      <c r="F27" s="89" t="str">
        <f ca="1">IF(C23&lt;&gt;"",
"アレルギー","")</f>
        <v/>
      </c>
      <c r="G27" s="97"/>
      <c r="H27" s="76"/>
      <c r="I27" s="89" t="str">
        <f ca="1">IF(J23&lt;&gt;"",
"パン箱","")</f>
        <v/>
      </c>
      <c r="J27" s="90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89" t="str">
        <f ca="1">IF(J23&lt;&gt;"",
" 端数","")</f>
        <v/>
      </c>
      <c r="L27" s="90"/>
      <c r="M27" s="89" t="str">
        <f ca="1">IF(J23&lt;&gt;"",
"アレルギー","")</f>
        <v/>
      </c>
      <c r="N27" s="97"/>
      <c r="O27" s="76"/>
      <c r="P27" s="76"/>
      <c r="Q27" s="89" t="str">
        <f ca="1">IF(R23&lt;&gt;"",
"パン箱","")</f>
        <v/>
      </c>
      <c r="R27" s="90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89" t="str">
        <f ca="1">IF(R23&lt;&gt;"",
" 端数","")</f>
        <v/>
      </c>
      <c r="T27" s="90"/>
      <c r="U27" s="89" t="str">
        <f ca="1">IF(R23&lt;&gt;"",
"アレルギー","")</f>
        <v/>
      </c>
      <c r="V27" s="97"/>
      <c r="W27" s="76"/>
      <c r="X27" s="89" t="str">
        <f ca="1">IF(Y23&lt;&gt;"",
"パン箱","")</f>
        <v/>
      </c>
      <c r="Y27" s="90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89" t="str">
        <f ca="1">IF(Y23&lt;&gt;"",
" 端数","")</f>
        <v/>
      </c>
      <c r="AA27" s="90"/>
      <c r="AB27" s="89" t="str">
        <f ca="1">IF(Y23&lt;&gt;"",
"アレルギー","")</f>
        <v/>
      </c>
      <c r="AC27" s="97"/>
      <c r="AD27" s="76"/>
      <c r="AE27" s="76"/>
      <c r="AF27" s="89" t="str">
        <f ca="1">IF(AG23&lt;&gt;"",
"パン箱","")</f>
        <v/>
      </c>
      <c r="AG27" s="90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89" t="str">
        <f ca="1">IF(AG23&lt;&gt;"",
" 端数","")</f>
        <v/>
      </c>
      <c r="AI27" s="90"/>
      <c r="AJ27" s="89" t="str">
        <f ca="1">IF(AG23&lt;&gt;"",
"アレルギー","")</f>
        <v/>
      </c>
      <c r="AK27" s="97"/>
      <c r="AL27" s="76"/>
      <c r="AM27" s="89" t="str">
        <f ca="1">IF(AN23&lt;&gt;"",
"パン箱","")</f>
        <v/>
      </c>
      <c r="AN27" s="90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89" t="str">
        <f ca="1">IF(AN23&lt;&gt;"",
" 端数","")</f>
        <v/>
      </c>
      <c r="AP27" s="90"/>
      <c r="AQ27" s="89" t="str">
        <f ca="1">IF(AN23&lt;&gt;"",
"アレルギー","")</f>
        <v/>
      </c>
      <c r="AR27" s="97"/>
      <c r="AS27" s="76"/>
      <c r="AT27" s="76"/>
      <c r="AU27" s="89" t="str">
        <f ca="1">IF(AV23&lt;&gt;"",
"パン箱","")</f>
        <v/>
      </c>
      <c r="AV27" s="90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89" t="str">
        <f ca="1">IF(AV23&lt;&gt;"",
" 端数","")</f>
        <v/>
      </c>
      <c r="AX27" s="90"/>
      <c r="AY27" s="89" t="str">
        <f ca="1">IF(AV23&lt;&gt;"",
"アレルギー","")</f>
        <v/>
      </c>
      <c r="AZ27" s="97"/>
      <c r="BA27" s="76"/>
      <c r="BB27" s="89" t="str">
        <f ca="1">IF(BC23&lt;&gt;"",
"パン箱","")</f>
        <v/>
      </c>
      <c r="BC27" s="90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89" t="str">
        <f ca="1">IF(BC23&lt;&gt;"",
" 端数","")</f>
        <v/>
      </c>
      <c r="BE27" s="90"/>
      <c r="BF27" s="89" t="str">
        <f ca="1">IF(BC23&lt;&gt;"",
"アレルギー","")</f>
        <v/>
      </c>
      <c r="BG27" s="97"/>
      <c r="BH27" s="76"/>
      <c r="BI27" s="76"/>
      <c r="BJ27" s="89" t="str">
        <f ca="1">IF(BK23&lt;&gt;"",
"パン箱","")</f>
        <v/>
      </c>
      <c r="BK27" s="90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89" t="str">
        <f ca="1">IF(BK23&lt;&gt;"",
" 端数","")</f>
        <v/>
      </c>
      <c r="BM27" s="90"/>
      <c r="BN27" s="89" t="str">
        <f ca="1">IF(BK23&lt;&gt;"",
"アレルギー","")</f>
        <v/>
      </c>
      <c r="BO27" s="97"/>
      <c r="BP27" s="76"/>
      <c r="BQ27" s="89" t="str">
        <f ca="1">IF(BR23&lt;&gt;"",
"パン箱","")</f>
        <v/>
      </c>
      <c r="BR27" s="90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89" t="str">
        <f ca="1">IF(BR23&lt;&gt;"",
" 端数","")</f>
        <v/>
      </c>
      <c r="BT27" s="90"/>
      <c r="BU27" s="89" t="str">
        <f ca="1">IF(BR23&lt;&gt;"",
"アレルギー","")</f>
        <v/>
      </c>
      <c r="BV27" s="97"/>
      <c r="BW27" s="76"/>
      <c r="BX27" s="76"/>
      <c r="BY27" s="89" t="str">
        <f ca="1">IF(BZ23&lt;&gt;"",
"パン箱","")</f>
        <v/>
      </c>
      <c r="BZ27" s="90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89" t="str">
        <f ca="1">IF(BZ23&lt;&gt;"",
" 端数","")</f>
        <v/>
      </c>
      <c r="CB27" s="90"/>
      <c r="CC27" s="89" t="str">
        <f ca="1">IF(BZ23&lt;&gt;"",
"アレルギー","")</f>
        <v/>
      </c>
      <c r="CD27" s="97"/>
      <c r="CE27" s="76"/>
      <c r="CF27" s="89" t="str">
        <f ca="1">IF(CG23&lt;&gt;"",
"パン箱","")</f>
        <v/>
      </c>
      <c r="CG27" s="90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89" t="str">
        <f ca="1">IF(CG23&lt;&gt;"",
" 端数","")</f>
        <v/>
      </c>
      <c r="CI27" s="90"/>
      <c r="CJ27" s="89" t="str">
        <f ca="1">IF(CG23&lt;&gt;"",
"アレルギー","")</f>
        <v/>
      </c>
      <c r="CK27" s="97"/>
      <c r="CL27" s="76"/>
      <c r="CM27" s="76"/>
      <c r="CN27" s="89" t="str">
        <f ca="1">IF(CO23&lt;&gt;"",
"パン箱","")</f>
        <v/>
      </c>
      <c r="CO27" s="90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89" t="str">
        <f ca="1">IF(CO23&lt;&gt;"",
" 端数","")</f>
        <v/>
      </c>
      <c r="CQ27" s="90"/>
      <c r="CR27" s="89" t="str">
        <f ca="1">IF(CO23&lt;&gt;"",
"アレルギー","")</f>
        <v/>
      </c>
      <c r="CS27" s="97"/>
      <c r="CT27" s="76"/>
      <c r="CU27" s="89" t="str">
        <f ca="1">IF(CV23&lt;&gt;"",
"パン箱","")</f>
        <v/>
      </c>
      <c r="CV27" s="90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89" t="str">
        <f ca="1">IF(CV23&lt;&gt;"",
" 端数","")</f>
        <v/>
      </c>
      <c r="CX27" s="90"/>
      <c r="CY27" s="89" t="str">
        <f ca="1">IF(CV23&lt;&gt;"",
"アレルギー","")</f>
        <v/>
      </c>
      <c r="CZ27" s="97"/>
      <c r="DA27" s="76"/>
      <c r="DB27" s="76"/>
      <c r="DC27" s="89" t="str">
        <f ca="1">IF(DD23&lt;&gt;"",
"パン箱","")</f>
        <v/>
      </c>
      <c r="DD27" s="90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89" t="str">
        <f ca="1">IF(DD23&lt;&gt;"",
" 端数","")</f>
        <v/>
      </c>
      <c r="DF27" s="90"/>
      <c r="DG27" s="89" t="str">
        <f ca="1">IF(DD23&lt;&gt;"",
"アレルギー","")</f>
        <v/>
      </c>
      <c r="DH27" s="97"/>
      <c r="DI27" s="76"/>
      <c r="DJ27" s="89" t="str">
        <f ca="1">IF(DK23&lt;&gt;"",
"パン箱","")</f>
        <v/>
      </c>
      <c r="DK27" s="90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89" t="str">
        <f ca="1">IF(DK23&lt;&gt;"",
" 端数","")</f>
        <v/>
      </c>
      <c r="DM27" s="90"/>
      <c r="DN27" s="89" t="str">
        <f ca="1">IF(DK23&lt;&gt;"",
"アレルギー","")</f>
        <v/>
      </c>
      <c r="DO27" s="97"/>
      <c r="DP27" s="76"/>
      <c r="DQ27" s="76"/>
      <c r="DR27" s="89" t="str">
        <f ca="1">IF(DS23&lt;&gt;"",
"パン箱","")</f>
        <v/>
      </c>
      <c r="DS27" s="90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89" t="str">
        <f ca="1">IF(DS23&lt;&gt;"",
" 端数","")</f>
        <v/>
      </c>
      <c r="DU27" s="90"/>
      <c r="DV27" s="89" t="str">
        <f ca="1">IF(DS23&lt;&gt;"",
"アレルギー","")</f>
        <v/>
      </c>
      <c r="DW27" s="97"/>
      <c r="DX27" s="76"/>
      <c r="DY27" s="89" t="str">
        <f ca="1">IF(DZ23&lt;&gt;"",
"パン箱","")</f>
        <v/>
      </c>
      <c r="DZ27" s="90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89" t="str">
        <f ca="1">IF(DZ23&lt;&gt;"",
" 端数","")</f>
        <v/>
      </c>
      <c r="EB27" s="90"/>
      <c r="EC27" s="89" t="str">
        <f ca="1">IF(DZ23&lt;&gt;"",
"アレルギー","")</f>
        <v/>
      </c>
      <c r="ED27" s="97"/>
      <c r="EE27" s="76"/>
      <c r="EF27" s="76"/>
      <c r="EG27" s="89" t="str">
        <f ca="1">IF(EH23&lt;&gt;"",
"パン箱","")</f>
        <v/>
      </c>
      <c r="EH27" s="90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89" t="str">
        <f ca="1">IF(EH23&lt;&gt;"",
" 端数","")</f>
        <v/>
      </c>
      <c r="EJ27" s="90"/>
      <c r="EK27" s="89" t="str">
        <f ca="1">IF(EH23&lt;&gt;"",
"アレルギー","")</f>
        <v/>
      </c>
      <c r="EL27" s="97"/>
      <c r="EM27" s="76"/>
      <c r="EN27" s="89" t="str">
        <f ca="1">IF(EO23&lt;&gt;"",
"パン箱","")</f>
        <v/>
      </c>
      <c r="EO27" s="90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89" t="str">
        <f ca="1">IF(EO23&lt;&gt;"",
" 端数","")</f>
        <v/>
      </c>
      <c r="EQ27" s="90"/>
      <c r="ER27" s="89" t="str">
        <f ca="1">IF(EO23&lt;&gt;"",
"アレルギー","")</f>
        <v/>
      </c>
      <c r="ES27" s="97"/>
      <c r="ET27" s="106"/>
      <c r="EU27" s="78">
        <f t="shared" si="3"/>
        <v>112</v>
      </c>
      <c r="EV27" s="78" t="str">
        <f t="array" aca="1" ref="EV2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LEN(SUBSTITUTE(_xlfn.FORMULATEXT(EV$1),"=","")))+$EU27)</f>
        <v/>
      </c>
      <c r="EW27" s="78" t="str">
        <f t="array" aca="1" ref="EW2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LEN(SUBSTITUTE(_xlfn.FORMULATEXT(EW$1),"=","")))+$EU27)</f>
        <v/>
      </c>
      <c r="EX27" s="78" t="str">
        <f t="array" aca="1" ref="EX2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LEN(SUBSTITUTE(_xlfn.FORMULATEXT(EX$1),"=","")))+$EU27)</f>
        <v/>
      </c>
      <c r="EY27" s="78" t="str">
        <f t="array" aca="1" ref="EY2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LEN(SUBSTITUTE(_xlfn.FORMULATEXT(EY$1),"=","")))+$EU27)</f>
        <v/>
      </c>
      <c r="EZ27" s="78" t="str">
        <f t="array" aca="1" ref="EZ2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LEN(SUBSTITUTE(_xlfn.FORMULATEXT(EZ$1),"=","")))+$EU27)</f>
        <v/>
      </c>
      <c r="FA27" s="78" t="str">
        <f t="array" aca="1" ref="FA2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LEN(SUBSTITUTE(_xlfn.FORMULATEXT(FA$1),"=","")))+$EU27)</f>
        <v/>
      </c>
      <c r="FB27" s="78" t="str">
        <f t="array" aca="1" ref="FB2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LEN(SUBSTITUTE(_xlfn.FORMULATEXT(FB$1),"=","")))+$EU27)</f>
        <v/>
      </c>
      <c r="FC27" s="78" t="str">
        <f t="array" aca="1" ref="FC2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LEN(SUBSTITUTE(_xlfn.FORMULATEXT(FC$1),"=","")))+$EU27)</f>
        <v/>
      </c>
      <c r="FD27" s="78" t="str">
        <f t="array" aca="1" ref="FD2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LEN(SUBSTITUTE(_xlfn.FORMULATEXT(FD$1),"=","")))+$EU27)</f>
        <v/>
      </c>
      <c r="FE27" s="78" t="str">
        <f t="array" aca="1" ref="FE2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LEN(SUBSTITUTE(_xlfn.FORMULATEXT(FE$1),"=","")))+$EU27)</f>
        <v/>
      </c>
      <c r="FF27" s="78" t="str">
        <f t="array" aca="1" ref="FF2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LEN(SUBSTITUTE(_xlfn.FORMULATEXT(FF$1),"=","")))+$EU27)</f>
        <v/>
      </c>
      <c r="FG27" s="78">
        <f t="shared" ca="1" si="2"/>
        <v>0</v>
      </c>
      <c r="FH27" s="78" t="b">
        <f t="array" aca="1" ref="FH27" ca="1">SUMPRODUCT((LEN(EV27:FF27)&gt;0)*1)&gt;0</f>
        <v>0</v>
      </c>
      <c r="FI27" s="78" t="str">
        <f t="array" aca="1" ref="FI27" ca="1">IFERROR(SMALL(IF(FG$1:FG$228&lt;&gt;0,FG$1:FG$228),ROW(A27)),"")</f>
        <v/>
      </c>
      <c r="FJ27" s="78" t="str">
        <f t="array" aca="1" ref="FJ27" ca="1">IF($FI27&lt;&gt;"",
INDIRECT(""&amp;IF(COLUMN(EV40)&lt;=26,CHAR(COLUMN(EV40)+64),CHAR(INT((COLUMN(EV40)-1)/26)+64)&amp;CHAR(MOD(COLUMN(EV40)-1,26)+65))&amp;$FI27&amp;""),"")</f>
        <v/>
      </c>
      <c r="FK27" s="78" t="str">
        <f t="array" aca="1" ref="FK27" ca="1">IF($FI27&lt;&gt;"",
INDIRECT(""&amp;IF(COLUMN(EW40)&lt;=26,CHAR(COLUMN(EW40)+64),CHAR(INT((COLUMN(EW40)-1)/26)+64)&amp;CHAR(MOD(COLUMN(EW40)-1,26)+65))&amp;$FI27&amp;""),"")</f>
        <v/>
      </c>
      <c r="FL27" s="78" t="str">
        <f t="array" aca="1" ref="FL27" ca="1">IF($FI27&lt;&gt;"",
INDIRECT(""&amp;IF(COLUMN(EX40)&lt;=26,CHAR(COLUMN(EX40)+64),CHAR(INT((COLUMN(EX40)-1)/26)+64)&amp;CHAR(MOD(COLUMN(EX40)-1,26)+65))&amp;$FI27&amp;""),"")</f>
        <v/>
      </c>
      <c r="FM27" s="78" t="str">
        <f t="array" aca="1" ref="FM27" ca="1">IF($FI27&lt;&gt;"",
IF(FL27="",
IF(INDIRECT("EY"&amp;$FI27&amp;"")&lt;&gt;"",
INDIRECT("EY"&amp;$FI27&amp;"")&amp;"箱"
&amp;INDIRECT("EZ"&amp;$FI27&amp;""),""),""),"")</f>
        <v/>
      </c>
      <c r="FN27" s="78" t="str">
        <f t="array" aca="1" ref="FN27" ca="1">IF($FI27&lt;&gt;"",
INDIRECT(""&amp;IF(COLUMN(FA40)&lt;=26,CHAR(COLUMN(FA40)+64),CHAR(INT((COLUMN(FA40)-1)/26)+64)&amp;CHAR(MOD(COLUMN(FA40)-1,26)+65))&amp;$FI27&amp;""),"")</f>
        <v/>
      </c>
      <c r="FO27" s="78" t="str">
        <f t="array" aca="1" ref="FO27" ca="1">IF($FI27&lt;&gt;"",
INDIRECT(""&amp;IF(COLUMN(FB40)&lt;=26,CHAR(COLUMN(FB40)+64),CHAR(INT((COLUMN(FB40)-1)/26)+64)&amp;CHAR(MOD(COLUMN(FB40)-1,26)+65))&amp;$FI27&amp;""),"")</f>
        <v/>
      </c>
      <c r="FP27" s="78" t="str">
        <f t="array" aca="1" ref="FP27" ca="1">IF($FI27&lt;&gt;"",
INDIRECT(""&amp;IF(COLUMN(FC40)&lt;=26,CHAR(COLUMN(FC40)+64),CHAR(INT((COLUMN(FC40)-1)/26)+64)&amp;CHAR(MOD(COLUMN(FC40)-1,26)+65))&amp;$FI27&amp;""),"")</f>
        <v/>
      </c>
      <c r="FQ27" s="78" t="str">
        <f t="array" aca="1" ref="FQ27" ca="1">IF($FI27&lt;&gt;"",
INDIRECT(""&amp;IF(COLUMN(FD40)&lt;=26,CHAR(COLUMN(FD40)+64),CHAR(INT((COLUMN(FD40)-1)/26)+64)&amp;CHAR(MOD(COLUMN(FD40)-1,26)+65))&amp;$FI27&amp;""),"")</f>
        <v/>
      </c>
      <c r="FR27" s="78" t="str">
        <f t="array" aca="1" ref="FR27" ca="1">IF($FI27&lt;&gt;"",
INDIRECT(""&amp;IF(COLUMN(FE40)&lt;=26,CHAR(COLUMN(FE40)+64),CHAR(INT((COLUMN(FE40)-1)/26)+64)&amp;CHAR(MOD(COLUMN(FE40)-1,26)+65))&amp;$FI27&amp;""),"")</f>
        <v/>
      </c>
      <c r="FS27" s="78" t="str">
        <f t="array" aca="1" ref="FS27" ca="1">IF($FI27&lt;&gt;"",
INDIRECT(""&amp;IF(COLUMN(FF40)&lt;=26,CHAR(COLUMN(FF40)+64),CHAR(INT((COLUMN(FF40)-1)/26)+64)&amp;CHAR(MOD(COLUMN(FF40)-1,26)+65))&amp;$FI27&amp;""),"")</f>
        <v/>
      </c>
    </row>
    <row r="28" spans="1:175" ht="21" customHeight="1" x14ac:dyDescent="0.45">
      <c r="B28" s="244" t="e">
        <f ca="1">IF(C25&lt;&gt;"",
IFERROR(INT(C25/C27),""),"")</f>
        <v>#VALUE!</v>
      </c>
      <c r="C28" s="245"/>
      <c r="D28" s="244" t="str">
        <f ca="1">IFERROR(MOD(C25,C27),"")</f>
        <v/>
      </c>
      <c r="E28" s="245"/>
      <c r="F28" s="246" t="e">
        <f ca="1">G24+G25</f>
        <v>#VALUE!</v>
      </c>
      <c r="G28" s="245"/>
      <c r="I28" s="244" t="e">
        <f ca="1">IF(J25&lt;&gt;"",
IFERROR(INT(J25/J27),""),"")</f>
        <v>#VALUE!</v>
      </c>
      <c r="J28" s="245"/>
      <c r="K28" s="244" t="str">
        <f ca="1">IFERROR(MOD(J25,J27),"")</f>
        <v/>
      </c>
      <c r="L28" s="245"/>
      <c r="M28" s="246" t="e">
        <f ca="1">N24+N25</f>
        <v>#VALUE!</v>
      </c>
      <c r="N28" s="245"/>
      <c r="Q28" s="244" t="e">
        <f ca="1">IF(R25&lt;&gt;"",
IFERROR(INT(R25/R27),""),"")</f>
        <v>#VALUE!</v>
      </c>
      <c r="R28" s="245"/>
      <c r="S28" s="244" t="str">
        <f ca="1">IFERROR(MOD(R25,R27),"")</f>
        <v/>
      </c>
      <c r="T28" s="245"/>
      <c r="U28" s="246" t="e">
        <f ca="1">V24+V25</f>
        <v>#VALUE!</v>
      </c>
      <c r="V28" s="245"/>
      <c r="X28" s="244" t="e">
        <f ca="1">IF(Y25&lt;&gt;"",
IFERROR(INT(Y25/Y27),""),"")</f>
        <v>#VALUE!</v>
      </c>
      <c r="Y28" s="245"/>
      <c r="Z28" s="244" t="str">
        <f ca="1">IFERROR(MOD(Y25,Y27),"")</f>
        <v/>
      </c>
      <c r="AA28" s="245"/>
      <c r="AB28" s="246" t="e">
        <f ca="1">AC24+AC25</f>
        <v>#VALUE!</v>
      </c>
      <c r="AC28" s="245"/>
      <c r="AF28" s="244" t="e">
        <f ca="1">IF(AG25&lt;&gt;"",
IFERROR(INT(AG25/AG27),""),"")</f>
        <v>#VALUE!</v>
      </c>
      <c r="AG28" s="245"/>
      <c r="AH28" s="244" t="str">
        <f ca="1">IFERROR(MOD(AG25,AG27),"")</f>
        <v/>
      </c>
      <c r="AI28" s="245"/>
      <c r="AJ28" s="246" t="e">
        <f ca="1">AK24+AK25</f>
        <v>#VALUE!</v>
      </c>
      <c r="AK28" s="245"/>
      <c r="AM28" s="244" t="e">
        <f ca="1">IF(AN25&lt;&gt;"",
IFERROR(INT(AN25/AN27),""),"")</f>
        <v>#VALUE!</v>
      </c>
      <c r="AN28" s="245"/>
      <c r="AO28" s="244" t="str">
        <f ca="1">IFERROR(MOD(AN25,AN27),"")</f>
        <v/>
      </c>
      <c r="AP28" s="245"/>
      <c r="AQ28" s="246" t="e">
        <f ca="1">AR24+AR25</f>
        <v>#VALUE!</v>
      </c>
      <c r="AR28" s="245"/>
      <c r="AU28" s="244" t="e">
        <f ca="1">IF(AV25&lt;&gt;"",
IFERROR(INT(AV25/AV27),""),"")</f>
        <v>#VALUE!</v>
      </c>
      <c r="AV28" s="245"/>
      <c r="AW28" s="244" t="str">
        <f ca="1">IFERROR(MOD(AV25,AV27),"")</f>
        <v/>
      </c>
      <c r="AX28" s="245"/>
      <c r="AY28" s="246" t="e">
        <f ca="1">AZ24+AZ25</f>
        <v>#VALUE!</v>
      </c>
      <c r="AZ28" s="245"/>
      <c r="BB28" s="244" t="e">
        <f ca="1">IF(BC25&lt;&gt;"",
IFERROR(INT(BC25/BC27),""),"")</f>
        <v>#VALUE!</v>
      </c>
      <c r="BC28" s="245"/>
      <c r="BD28" s="244" t="str">
        <f ca="1">IFERROR(MOD(BC25,BC27),"")</f>
        <v/>
      </c>
      <c r="BE28" s="245"/>
      <c r="BF28" s="246" t="e">
        <f ca="1">BG24+BG25</f>
        <v>#VALUE!</v>
      </c>
      <c r="BG28" s="245"/>
      <c r="BJ28" s="244" t="e">
        <f ca="1">IF(BK25&lt;&gt;"",
IFERROR(INT(BK25/BK27),""),"")</f>
        <v>#VALUE!</v>
      </c>
      <c r="BK28" s="245"/>
      <c r="BL28" s="244" t="str">
        <f ca="1">IFERROR(MOD(BK25,BK27),"")</f>
        <v/>
      </c>
      <c r="BM28" s="245"/>
      <c r="BN28" s="246" t="e">
        <f ca="1">BO24+BO25</f>
        <v>#VALUE!</v>
      </c>
      <c r="BO28" s="245"/>
      <c r="BQ28" s="244" t="e">
        <f ca="1">IF(BR25&lt;&gt;"",
IFERROR(INT(BR25/BR27),""),"")</f>
        <v>#VALUE!</v>
      </c>
      <c r="BR28" s="245"/>
      <c r="BS28" s="244" t="str">
        <f ca="1">IFERROR(MOD(BR25,BR27),"")</f>
        <v/>
      </c>
      <c r="BT28" s="245"/>
      <c r="BU28" s="246" t="e">
        <f ca="1">BV24+BV25</f>
        <v>#VALUE!</v>
      </c>
      <c r="BV28" s="245"/>
      <c r="BY28" s="244" t="e">
        <f ca="1">IF(BZ25&lt;&gt;"",
IFERROR(INT(BZ25/BZ27),""),"")</f>
        <v>#VALUE!</v>
      </c>
      <c r="BZ28" s="245"/>
      <c r="CA28" s="244" t="str">
        <f ca="1">IFERROR(MOD(BZ25,BZ27),"")</f>
        <v/>
      </c>
      <c r="CB28" s="245"/>
      <c r="CC28" s="246" t="e">
        <f ca="1">CD24+CD25</f>
        <v>#VALUE!</v>
      </c>
      <c r="CD28" s="245"/>
      <c r="CF28" s="244" t="e">
        <f ca="1">IF(CG25&lt;&gt;"",
IFERROR(INT(CG25/CG27),""),"")</f>
        <v>#VALUE!</v>
      </c>
      <c r="CG28" s="245"/>
      <c r="CH28" s="244" t="str">
        <f ca="1">IFERROR(MOD(CG25,CG27),"")</f>
        <v/>
      </c>
      <c r="CI28" s="245"/>
      <c r="CJ28" s="246" t="e">
        <f ca="1">CK24+CK25</f>
        <v>#VALUE!</v>
      </c>
      <c r="CK28" s="245"/>
      <c r="CN28" s="244" t="e">
        <f ca="1">IF(CO25&lt;&gt;"",
IFERROR(INT(CO25/CO27),""),"")</f>
        <v>#VALUE!</v>
      </c>
      <c r="CO28" s="245"/>
      <c r="CP28" s="244" t="str">
        <f ca="1">IFERROR(MOD(CO25,CO27),"")</f>
        <v/>
      </c>
      <c r="CQ28" s="245"/>
      <c r="CR28" s="246" t="e">
        <f ca="1">CS24+CS25</f>
        <v>#VALUE!</v>
      </c>
      <c r="CS28" s="245"/>
      <c r="CU28" s="244" t="e">
        <f ca="1">IF(CV25&lt;&gt;"",
IFERROR(INT(CV25/CV27),""),"")</f>
        <v>#VALUE!</v>
      </c>
      <c r="CV28" s="245"/>
      <c r="CW28" s="244" t="str">
        <f ca="1">IFERROR(MOD(CV25,CV27),"")</f>
        <v/>
      </c>
      <c r="CX28" s="245"/>
      <c r="CY28" s="246" t="e">
        <f ca="1">CZ24+CZ25</f>
        <v>#VALUE!</v>
      </c>
      <c r="CZ28" s="245"/>
      <c r="DC28" s="244" t="e">
        <f ca="1">IF(DD25&lt;&gt;"",
IFERROR(INT(DD25/DD27),""),"")</f>
        <v>#VALUE!</v>
      </c>
      <c r="DD28" s="245"/>
      <c r="DE28" s="244" t="str">
        <f ca="1">IFERROR(MOD(DD25,DD27),"")</f>
        <v/>
      </c>
      <c r="DF28" s="245"/>
      <c r="DG28" s="246" t="e">
        <f ca="1">DH24+DH25</f>
        <v>#VALUE!</v>
      </c>
      <c r="DH28" s="245"/>
      <c r="DJ28" s="244" t="e">
        <f ca="1">IF(DK25&lt;&gt;"",
IFERROR(INT(DK25/DK27),""),"")</f>
        <v>#VALUE!</v>
      </c>
      <c r="DK28" s="245"/>
      <c r="DL28" s="244" t="str">
        <f ca="1">IFERROR(MOD(DK25,DK27),"")</f>
        <v/>
      </c>
      <c r="DM28" s="245"/>
      <c r="DN28" s="246" t="e">
        <f ca="1">DO24+DO25</f>
        <v>#VALUE!</v>
      </c>
      <c r="DO28" s="245"/>
      <c r="DR28" s="244" t="e">
        <f ca="1">IF(DS25&lt;&gt;"",
IFERROR(INT(DS25/DS27),""),"")</f>
        <v>#VALUE!</v>
      </c>
      <c r="DS28" s="245"/>
      <c r="DT28" s="244" t="str">
        <f ca="1">IFERROR(MOD(DS25,DS27),"")</f>
        <v/>
      </c>
      <c r="DU28" s="245"/>
      <c r="DV28" s="246" t="e">
        <f ca="1">DW24+DW25</f>
        <v>#VALUE!</v>
      </c>
      <c r="DW28" s="245"/>
      <c r="DY28" s="244" t="e">
        <f ca="1">IF(DZ25&lt;&gt;"",
IFERROR(INT(DZ25/DZ27),""),"")</f>
        <v>#VALUE!</v>
      </c>
      <c r="DZ28" s="245"/>
      <c r="EA28" s="244" t="str">
        <f ca="1">IFERROR(MOD(DZ25,DZ27),"")</f>
        <v/>
      </c>
      <c r="EB28" s="245"/>
      <c r="EC28" s="246" t="e">
        <f ca="1">ED24+ED25</f>
        <v>#VALUE!</v>
      </c>
      <c r="ED28" s="245"/>
      <c r="EG28" s="244" t="e">
        <f ca="1">IF(EH25&lt;&gt;"",
IFERROR(INT(EH25/EH27),""),"")</f>
        <v>#VALUE!</v>
      </c>
      <c r="EH28" s="245"/>
      <c r="EI28" s="244" t="str">
        <f ca="1">IFERROR(MOD(EH25,EH27),"")</f>
        <v/>
      </c>
      <c r="EJ28" s="245"/>
      <c r="EK28" s="246" t="e">
        <f ca="1">EL24+EL25</f>
        <v>#VALUE!</v>
      </c>
      <c r="EL28" s="245"/>
      <c r="EN28" s="244" t="e">
        <f ca="1">IF(EO25&lt;&gt;"",
IFERROR(INT(EO25/EO27),""),"")</f>
        <v>#VALUE!</v>
      </c>
      <c r="EO28" s="245"/>
      <c r="EP28" s="244" t="str">
        <f ca="1">IFERROR(MOD(EO25,EO27),"")</f>
        <v/>
      </c>
      <c r="EQ28" s="245"/>
      <c r="ER28" s="246" t="e">
        <f ca="1">ES24+ES25</f>
        <v>#VALUE!</v>
      </c>
      <c r="ES28" s="245"/>
      <c r="ET28" s="71"/>
      <c r="EU28" s="87">
        <f t="shared" si="3"/>
        <v>28</v>
      </c>
      <c r="EV28" s="78" t="str">
        <f t="array" aca="1" ref="EV28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LEN(SUBSTITUTE(_xlfn.FORMULATEXT(EV$4),"=","")))+$EU28)</f>
        <v/>
      </c>
      <c r="EW28" s="78" t="str">
        <f t="array" aca="1" ref="EW28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LEN(SUBSTITUTE(_xlfn.FORMULATEXT(EW$4),"=","")))+$EU28)</f>
        <v/>
      </c>
      <c r="EX28" s="78" t="str">
        <f t="array" aca="1" ref="EX28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LEN(SUBSTITUTE(_xlfn.FORMULATEXT(EX$4),"=","")))+$EU28)</f>
        <v/>
      </c>
      <c r="EY28" s="78" t="str">
        <f t="array" aca="1" ref="EY28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LEN(SUBSTITUTE(_xlfn.FORMULATEXT(EY$4),"=","")))+$EU28)</f>
        <v/>
      </c>
      <c r="EZ28" s="78" t="str">
        <f t="array" aca="1" ref="EZ28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LEN(SUBSTITUTE(_xlfn.FORMULATEXT(EZ$4),"=","")))+$EU28)</f>
        <v/>
      </c>
      <c r="FA28" s="78" t="e">
        <f t="array" aca="1" ref="FA28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LEN(SUBSTITUTE(_xlfn.FORMULATEXT(FA$4),"=","")))+$EU28)</f>
        <v>#VALUE!</v>
      </c>
      <c r="FB28" s="78" t="e">
        <f t="array" aca="1" ref="FB28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LEN(SUBSTITUTE(_xlfn.FORMULATEXT(FB$4),"=","")))+$EU28)</f>
        <v>#VALUE!</v>
      </c>
      <c r="FC28" s="78" t="str">
        <f t="array" aca="1" ref="FC28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LEN(SUBSTITUTE(_xlfn.FORMULATEXT(FC$4),"=","")))+$EU28)</f>
        <v/>
      </c>
      <c r="FD28" s="78" t="e">
        <f t="array" aca="1" ref="FD28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LEN(SUBSTITUTE(_xlfn.FORMULATEXT(FD$4),"=","")))+$EU28)</f>
        <v>#VALUE!</v>
      </c>
      <c r="FE28" s="78" t="str">
        <f t="array" aca="1" ref="FE28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LEN(SUBSTITUTE(_xlfn.FORMULATEXT(FE$4),"=","")))+$EU28)</f>
        <v/>
      </c>
      <c r="FF28" s="78" t="e">
        <f t="array" aca="1" ref="FF28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LEN(SUBSTITUTE(_xlfn.FORMULATEXT(FF$4),"=","")))+$EU28)</f>
        <v>#VALUE!</v>
      </c>
      <c r="FG28" s="78">
        <f t="shared" ca="1" si="2"/>
        <v>0</v>
      </c>
      <c r="FH28" s="78" t="e">
        <f t="array" aca="1" ref="FH28" ca="1">SUMPRODUCT((LEN(EV28:FF28)&gt;0)*1)&gt;0</f>
        <v>#VALUE!</v>
      </c>
      <c r="FI28" s="78" t="str">
        <f t="array" aca="1" ref="FI28" ca="1">IFERROR(SMALL(IF(FG$1:FG$228&lt;&gt;0,FG$1:FG$228),ROW(A28)),"")</f>
        <v/>
      </c>
      <c r="FJ28" s="78" t="str">
        <f t="array" aca="1" ref="FJ28" ca="1">IF($FI28&lt;&gt;"",
INDIRECT(""&amp;IF(COLUMN(EV41)&lt;=26,CHAR(COLUMN(EV41)+64),CHAR(INT((COLUMN(EV41)-1)/26)+64)&amp;CHAR(MOD(COLUMN(EV41)-1,26)+65))&amp;$FI28&amp;""),"")</f>
        <v/>
      </c>
      <c r="FK28" s="78" t="str">
        <f t="array" aca="1" ref="FK28" ca="1">IF($FI28&lt;&gt;"",
INDIRECT(""&amp;IF(COLUMN(EW41)&lt;=26,CHAR(COLUMN(EW41)+64),CHAR(INT((COLUMN(EW41)-1)/26)+64)&amp;CHAR(MOD(COLUMN(EW41)-1,26)+65))&amp;$FI28&amp;""),"")</f>
        <v/>
      </c>
      <c r="FL28" s="78" t="str">
        <f t="array" aca="1" ref="FL28" ca="1">IF($FI28&lt;&gt;"",
INDIRECT(""&amp;IF(COLUMN(EX41)&lt;=26,CHAR(COLUMN(EX41)+64),CHAR(INT((COLUMN(EX41)-1)/26)+64)&amp;CHAR(MOD(COLUMN(EX41)-1,26)+65))&amp;$FI28&amp;""),"")</f>
        <v/>
      </c>
      <c r="FM28" s="78" t="str">
        <f t="array" aca="1" ref="FM28" ca="1">IF($FI28&lt;&gt;"",
IF(FL28="",
IF(INDIRECT("EY"&amp;$FI28&amp;"")&lt;&gt;"",
INDIRECT("EY"&amp;$FI28&amp;"")&amp;"箱"
&amp;INDIRECT("EZ"&amp;$FI28&amp;""),""),""),"")</f>
        <v/>
      </c>
      <c r="FN28" s="78" t="str">
        <f t="array" aca="1" ref="FN28" ca="1">IF($FI28&lt;&gt;"",
INDIRECT(""&amp;IF(COLUMN(FA41)&lt;=26,CHAR(COLUMN(FA41)+64),CHAR(INT((COLUMN(FA41)-1)/26)+64)&amp;CHAR(MOD(COLUMN(FA41)-1,26)+65))&amp;$FI28&amp;""),"")</f>
        <v/>
      </c>
      <c r="FO28" s="78" t="str">
        <f t="array" aca="1" ref="FO28" ca="1">IF($FI28&lt;&gt;"",
INDIRECT(""&amp;IF(COLUMN(FB41)&lt;=26,CHAR(COLUMN(FB41)+64),CHAR(INT((COLUMN(FB41)-1)/26)+64)&amp;CHAR(MOD(COLUMN(FB41)-1,26)+65))&amp;$FI28&amp;""),"")</f>
        <v/>
      </c>
      <c r="FP28" s="78" t="str">
        <f t="array" aca="1" ref="FP28" ca="1">IF($FI28&lt;&gt;"",
INDIRECT(""&amp;IF(COLUMN(FC41)&lt;=26,CHAR(COLUMN(FC41)+64),CHAR(INT((COLUMN(FC41)-1)/26)+64)&amp;CHAR(MOD(COLUMN(FC41)-1,26)+65))&amp;$FI28&amp;""),"")</f>
        <v/>
      </c>
      <c r="FQ28" s="78" t="str">
        <f t="array" aca="1" ref="FQ28" ca="1">IF($FI28&lt;&gt;"",
INDIRECT(""&amp;IF(COLUMN(FD41)&lt;=26,CHAR(COLUMN(FD41)+64),CHAR(INT((COLUMN(FD41)-1)/26)+64)&amp;CHAR(MOD(COLUMN(FD41)-1,26)+65))&amp;$FI28&amp;""),"")</f>
        <v/>
      </c>
      <c r="FR28" s="78" t="str">
        <f t="array" aca="1" ref="FR28" ca="1">IF($FI28&lt;&gt;"",
INDIRECT(""&amp;IF(COLUMN(FE41)&lt;=26,CHAR(COLUMN(FE41)+64),CHAR(INT((COLUMN(FE41)-1)/26)+64)&amp;CHAR(MOD(COLUMN(FE41)-1,26)+65))&amp;$FI28&amp;""),"")</f>
        <v/>
      </c>
      <c r="FS28" s="78" t="str">
        <f t="array" aca="1" ref="FS28" ca="1">IF($FI28&lt;&gt;"",
INDIRECT(""&amp;IF(COLUMN(FF41)&lt;=26,CHAR(COLUMN(FF41)+64),CHAR(INT((COLUMN(FF41)-1)/26)+64)&amp;CHAR(MOD(COLUMN(FF41)-1,26)+65))&amp;$FI28&amp;""),"")</f>
        <v/>
      </c>
    </row>
    <row r="29" spans="1:175" s="78" customFormat="1" ht="18" customHeight="1" x14ac:dyDescent="0.55000000000000004">
      <c r="A29" s="76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77" t="e">
        <f t="array" aca="1" ref="B29" ca="1">GetResult(A30)</f>
        <v>#VALUE!</v>
      </c>
      <c r="C29" s="247" t="str">
        <f ca="1">IF(C30&lt;&gt;"",
IF(LEFT(G29,2)="博多",
LEFT(G29,FIND("週",G29)-1),
G29),"")</f>
        <v/>
      </c>
      <c r="D29" s="248"/>
      <c r="E29" s="248"/>
      <c r="F29" s="248"/>
      <c r="G29" s="95" t="e">
        <f t="array" aca="1" ref="G29" ca="1">INDIRECT("数出表_Excel!A"&amp;B29)</f>
        <v>#VALUE!</v>
      </c>
      <c r="H29" s="76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77" t="e">
        <f t="array" aca="1" ref="I29" ca="1">GetResult(H30)</f>
        <v>#VALUE!</v>
      </c>
      <c r="J29" s="247" t="str">
        <f ca="1">IF(J30&lt;&gt;"",
IF(LEFT(N29,2)="博多",
LEFT(N29,FIND("週",N29)-1),
N29),"")</f>
        <v/>
      </c>
      <c r="K29" s="248"/>
      <c r="L29" s="248"/>
      <c r="M29" s="248"/>
      <c r="N29" s="91" t="e">
        <f t="array" aca="1" ref="N29" ca="1">INDIRECT("数出表_Excel!A"&amp;I29)</f>
        <v>#VALUE!</v>
      </c>
      <c r="O29" s="76"/>
      <c r="P29" s="76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77" t="e">
        <f t="array" aca="1" ref="Q29" ca="1">GetResult(P30)</f>
        <v>#VALUE!</v>
      </c>
      <c r="R29" s="247" t="str">
        <f ca="1">IF(R30&lt;&gt;"",
IF(LEFT(V29,2)="博多",
LEFT(V29,FIND("週",V29)-1),
V29),"")</f>
        <v/>
      </c>
      <c r="S29" s="248"/>
      <c r="T29" s="248"/>
      <c r="U29" s="248"/>
      <c r="V29" s="95" t="e">
        <f t="array" aca="1" ref="V29" ca="1">INDIRECT("数出表_Excel!A"&amp;Q29)</f>
        <v>#VALUE!</v>
      </c>
      <c r="W29" s="76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77" t="e">
        <f t="array" aca="1" ref="X29" ca="1">GetResult(W30)</f>
        <v>#VALUE!</v>
      </c>
      <c r="Y29" s="247" t="str">
        <f ca="1">IF(Y30&lt;&gt;"",
IF(LEFT(AC29,2)="博多",
LEFT(AC29,FIND("週",AC29)-1),
AC29),"")</f>
        <v/>
      </c>
      <c r="Z29" s="248"/>
      <c r="AA29" s="248"/>
      <c r="AB29" s="248"/>
      <c r="AC29" s="91" t="e">
        <f t="array" aca="1" ref="AC29" ca="1">INDIRECT("数出表_Excel!A"&amp;X29)</f>
        <v>#VALUE!</v>
      </c>
      <c r="AD29" s="76"/>
      <c r="AE29" s="76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77" t="e">
        <f t="array" aca="1" ref="AF29" ca="1">GetResult(AE30)</f>
        <v>#VALUE!</v>
      </c>
      <c r="AG29" s="247" t="str">
        <f ca="1">IF(AG30&lt;&gt;"",
IF(LEFT(AK29,2)="博多",
LEFT(AK29,FIND("週",AK29)-1),
AK29),"")</f>
        <v/>
      </c>
      <c r="AH29" s="248"/>
      <c r="AI29" s="248"/>
      <c r="AJ29" s="248"/>
      <c r="AK29" s="95" t="e">
        <f t="array" aca="1" ref="AK29" ca="1">INDIRECT("数出表_Excel!A"&amp;AF29)</f>
        <v>#VALUE!</v>
      </c>
      <c r="AL29" s="76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77" t="e">
        <f t="array" aca="1" ref="AM29" ca="1">GetResult(AL30)</f>
        <v>#VALUE!</v>
      </c>
      <c r="AN29" s="247" t="str">
        <f ca="1">IF(AN30&lt;&gt;"",
IF(LEFT(AR29,2)="博多",
LEFT(AR29,FIND("週",AR29)-1),
AR29),"")</f>
        <v/>
      </c>
      <c r="AO29" s="248"/>
      <c r="AP29" s="248"/>
      <c r="AQ29" s="248"/>
      <c r="AR29" s="91" t="e">
        <f t="array" aca="1" ref="AR29" ca="1">INDIRECT("数出表_Excel!A"&amp;AM29)</f>
        <v>#VALUE!</v>
      </c>
      <c r="AS29" s="76"/>
      <c r="AT29" s="76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77" t="e">
        <f t="array" aca="1" ref="AU29" ca="1">GetResult(AT30)</f>
        <v>#VALUE!</v>
      </c>
      <c r="AV29" s="247" t="str">
        <f ca="1">IF(AV30&lt;&gt;"",
IF(LEFT(AZ29,2)="博多",
LEFT(AZ29,FIND("週",AZ29)-1),
AZ29),"")</f>
        <v/>
      </c>
      <c r="AW29" s="248"/>
      <c r="AX29" s="248"/>
      <c r="AY29" s="248"/>
      <c r="AZ29" s="95" t="e">
        <f t="array" aca="1" ref="AZ29" ca="1">INDIRECT("数出表_Excel!A"&amp;AU29)</f>
        <v>#VALUE!</v>
      </c>
      <c r="BA29" s="76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77" t="e">
        <f t="array" aca="1" ref="BB29" ca="1">GetResult(BA30)</f>
        <v>#VALUE!</v>
      </c>
      <c r="BC29" s="247" t="str">
        <f ca="1">IF(BC30&lt;&gt;"",
IF(LEFT(BG29,2)="博多",
LEFT(BG29,FIND("週",BG29)-1),
BG29),"")</f>
        <v/>
      </c>
      <c r="BD29" s="248"/>
      <c r="BE29" s="248"/>
      <c r="BF29" s="248"/>
      <c r="BG29" s="91" t="e">
        <f t="array" aca="1" ref="BG29" ca="1">INDIRECT("数出表_Excel!A"&amp;BB29)</f>
        <v>#VALUE!</v>
      </c>
      <c r="BH29" s="76"/>
      <c r="BI29" s="76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77" t="e">
        <f t="array" aca="1" ref="BJ29" ca="1">GetResult(BI30)</f>
        <v>#VALUE!</v>
      </c>
      <c r="BK29" s="247" t="str">
        <f ca="1">IF(BK30&lt;&gt;"",
IF(LEFT(BO29,2)="博多",
LEFT(BO29,FIND("週",BO29)-1),
BO29),"")</f>
        <v/>
      </c>
      <c r="BL29" s="248"/>
      <c r="BM29" s="248"/>
      <c r="BN29" s="248"/>
      <c r="BO29" s="95" t="e">
        <f t="array" aca="1" ref="BO29" ca="1">INDIRECT("数出表_Excel!A"&amp;BJ29)</f>
        <v>#VALUE!</v>
      </c>
      <c r="BP29" s="76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77" t="e">
        <f t="array" aca="1" ref="BQ29" ca="1">GetResult(BP30)</f>
        <v>#VALUE!</v>
      </c>
      <c r="BR29" s="247" t="str">
        <f ca="1">IF(BR30&lt;&gt;"",
IF(LEFT(BV29,2)="博多",
LEFT(BV29,FIND("週",BV29)-1),
BV29),"")</f>
        <v/>
      </c>
      <c r="BS29" s="248"/>
      <c r="BT29" s="248"/>
      <c r="BU29" s="248"/>
      <c r="BV29" s="91" t="e">
        <f t="array" aca="1" ref="BV29" ca="1">INDIRECT("数出表_Excel!A"&amp;BQ29)</f>
        <v>#VALUE!</v>
      </c>
      <c r="BW29" s="76"/>
      <c r="BX29" s="76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77" t="e">
        <f t="array" aca="1" ref="BY29" ca="1">GetResult(BX30)</f>
        <v>#VALUE!</v>
      </c>
      <c r="BZ29" s="247" t="str">
        <f ca="1">IF(BZ30&lt;&gt;"",
IF(LEFT(CD29,2)="博多",
LEFT(CD29,FIND("週",CD29)-1),
CD29),"")</f>
        <v/>
      </c>
      <c r="CA29" s="248"/>
      <c r="CB29" s="248"/>
      <c r="CC29" s="248"/>
      <c r="CD29" s="95" t="e">
        <f t="array" aca="1" ref="CD29" ca="1">INDIRECT("数出表_Excel!A"&amp;BY29)</f>
        <v>#VALUE!</v>
      </c>
      <c r="CE29" s="76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77" t="e">
        <f t="array" aca="1" ref="CF29" ca="1">GetResult(CE30)</f>
        <v>#VALUE!</v>
      </c>
      <c r="CG29" s="247" t="str">
        <f ca="1">IF(CG30&lt;&gt;"",
IF(LEFT(CK29,2)="博多",
LEFT(CK29,FIND("週",CK29)-1),
CK29),"")</f>
        <v/>
      </c>
      <c r="CH29" s="248"/>
      <c r="CI29" s="248"/>
      <c r="CJ29" s="248"/>
      <c r="CK29" s="91" t="e">
        <f t="array" aca="1" ref="CK29" ca="1">INDIRECT("数出表_Excel!A"&amp;CF29)</f>
        <v>#VALUE!</v>
      </c>
      <c r="CL29" s="76"/>
      <c r="CM29" s="76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77" t="e">
        <f t="array" aca="1" ref="CN29" ca="1">GetResult(CM30)</f>
        <v>#VALUE!</v>
      </c>
      <c r="CO29" s="247" t="str">
        <f ca="1">IF(CO30&lt;&gt;"",
IF(LEFT(CS29,2)="博多",
LEFT(CS29,FIND("週",CS29)-1),
CS29),"")</f>
        <v/>
      </c>
      <c r="CP29" s="248"/>
      <c r="CQ29" s="248"/>
      <c r="CR29" s="248"/>
      <c r="CS29" s="95" t="e">
        <f t="array" aca="1" ref="CS29" ca="1">INDIRECT("数出表_Excel!A"&amp;CN29)</f>
        <v>#VALUE!</v>
      </c>
      <c r="CT29" s="76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77" t="e">
        <f t="array" aca="1" ref="CU29" ca="1">GetResult(CT30)</f>
        <v>#VALUE!</v>
      </c>
      <c r="CV29" s="247" t="str">
        <f ca="1">IF(CV30&lt;&gt;"",
IF(LEFT(CZ29,2)="博多",
LEFT(CZ29,FIND("週",CZ29)-1),
CZ29),"")</f>
        <v/>
      </c>
      <c r="CW29" s="248"/>
      <c r="CX29" s="248"/>
      <c r="CY29" s="248"/>
      <c r="CZ29" s="91" t="e">
        <f t="array" aca="1" ref="CZ29" ca="1">INDIRECT("数出表_Excel!A"&amp;CU29)</f>
        <v>#VALUE!</v>
      </c>
      <c r="DA29" s="76"/>
      <c r="DB29" s="76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77" t="e">
        <f t="array" aca="1" ref="DC29" ca="1">GetResult(DB30)</f>
        <v>#VALUE!</v>
      </c>
      <c r="DD29" s="247" t="str">
        <f ca="1">IF(DD30&lt;&gt;"",
IF(LEFT(DH29,2)="博多",
LEFT(DH29,FIND("週",DH29)-1),
DH29),"")</f>
        <v/>
      </c>
      <c r="DE29" s="248"/>
      <c r="DF29" s="248"/>
      <c r="DG29" s="248"/>
      <c r="DH29" s="95" t="e">
        <f t="array" aca="1" ref="DH29" ca="1">INDIRECT("数出表_Excel!A"&amp;DC29)</f>
        <v>#VALUE!</v>
      </c>
      <c r="DI29" s="76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77" t="e">
        <f t="array" aca="1" ref="DJ29" ca="1">GetResult(DI30)</f>
        <v>#VALUE!</v>
      </c>
      <c r="DK29" s="247" t="str">
        <f ca="1">IF(DK30&lt;&gt;"",
IF(LEFT(DO29,2)="博多",
LEFT(DO29,FIND("週",DO29)-1),
DO29),"")</f>
        <v/>
      </c>
      <c r="DL29" s="248"/>
      <c r="DM29" s="248"/>
      <c r="DN29" s="248"/>
      <c r="DO29" s="91" t="e">
        <f t="array" aca="1" ref="DO29" ca="1">INDIRECT("数出表_Excel!A"&amp;DJ29)</f>
        <v>#VALUE!</v>
      </c>
      <c r="DP29" s="76"/>
      <c r="DQ29" s="76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77" t="e">
        <f t="array" aca="1" ref="DR29" ca="1">GetResult(DQ30)</f>
        <v>#VALUE!</v>
      </c>
      <c r="DS29" s="247" t="str">
        <f ca="1">IF(DS30&lt;&gt;"",
IF(LEFT(DW29,2)="博多",
LEFT(DW29,FIND("週",DW29)-1),
DW29),"")</f>
        <v/>
      </c>
      <c r="DT29" s="248"/>
      <c r="DU29" s="248"/>
      <c r="DV29" s="248"/>
      <c r="DW29" s="95" t="e">
        <f t="array" aca="1" ref="DW29" ca="1">INDIRECT("数出表_Excel!A"&amp;DR29)</f>
        <v>#VALUE!</v>
      </c>
      <c r="DX29" s="76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77" t="e">
        <f t="array" aca="1" ref="DY29" ca="1">GetResult(DX30)</f>
        <v>#VALUE!</v>
      </c>
      <c r="DZ29" s="247" t="str">
        <f ca="1">IF(DZ30&lt;&gt;"",
IF(LEFT(ED29,2)="博多",
LEFT(ED29,FIND("週",ED29)-1),
ED29),"")</f>
        <v/>
      </c>
      <c r="EA29" s="248"/>
      <c r="EB29" s="248"/>
      <c r="EC29" s="248"/>
      <c r="ED29" s="91" t="e">
        <f t="array" aca="1" ref="ED29" ca="1">INDIRECT("数出表_Excel!A"&amp;DY29)</f>
        <v>#VALUE!</v>
      </c>
      <c r="EE29" s="76"/>
      <c r="EF29" s="76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77" t="e">
        <f t="array" aca="1" ref="EG29" ca="1">GetResult(EF30)</f>
        <v>#VALUE!</v>
      </c>
      <c r="EH29" s="247" t="str">
        <f ca="1">IF(EH30&lt;&gt;"",
IF(LEFT(EL29,2)="博多",
LEFT(EL29,FIND("週",EL29)-1),
EL29),"")</f>
        <v/>
      </c>
      <c r="EI29" s="248"/>
      <c r="EJ29" s="248"/>
      <c r="EK29" s="248"/>
      <c r="EL29" s="95" t="e">
        <f t="array" aca="1" ref="EL29" ca="1">INDIRECT("数出表_Excel!A"&amp;EG29)</f>
        <v>#VALUE!</v>
      </c>
      <c r="EM29" s="76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77" t="e">
        <f t="array" aca="1" ref="EN29" ca="1">GetResult(EM30)</f>
        <v>#VALUE!</v>
      </c>
      <c r="EO29" s="247" t="str">
        <f ca="1">IF(EO30&lt;&gt;"",
IF(LEFT(ES29,2)="博多",
LEFT(ES29,FIND("週",ES29)-1),
ES29),"")</f>
        <v/>
      </c>
      <c r="EP29" s="248"/>
      <c r="EQ29" s="248"/>
      <c r="ER29" s="248"/>
      <c r="ES29" s="91" t="e">
        <f t="array" aca="1" ref="ES29" ca="1">INDIRECT("数出表_Excel!A"&amp;EN29)</f>
        <v>#VALUE!</v>
      </c>
      <c r="ET29" s="106"/>
      <c r="EU29" s="78">
        <f t="shared" si="3"/>
        <v>70</v>
      </c>
      <c r="EV29" s="78" t="str">
        <f t="array" aca="1" ref="EV29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LEN(SUBSTITUTE(_xlfn.FORMULATEXT(EV$4),"=","")))+$EU29)</f>
        <v/>
      </c>
      <c r="EW29" s="78" t="str">
        <f t="array" aca="1" ref="EW29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LEN(SUBSTITUTE(_xlfn.FORMULATEXT(EW$4),"=","")))+$EU29)</f>
        <v/>
      </c>
      <c r="EX29" s="78" t="str">
        <f t="array" aca="1" ref="EX29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LEN(SUBSTITUTE(_xlfn.FORMULATEXT(EX$4),"=","")))+$EU29)</f>
        <v/>
      </c>
      <c r="EY29" s="78" t="str">
        <f t="array" aca="1" ref="EY29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LEN(SUBSTITUTE(_xlfn.FORMULATEXT(EY$4),"=","")))+$EU29)</f>
        <v/>
      </c>
      <c r="EZ29" s="78" t="str">
        <f t="array" aca="1" ref="EZ29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LEN(SUBSTITUTE(_xlfn.FORMULATEXT(EZ$4),"=","")))+$EU29)</f>
        <v/>
      </c>
      <c r="FA29" s="78" t="str">
        <f t="array" aca="1" ref="FA29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LEN(SUBSTITUTE(_xlfn.FORMULATEXT(FA$4),"=","")))+$EU29)</f>
        <v/>
      </c>
      <c r="FB29" s="78" t="str">
        <f t="array" aca="1" ref="FB29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LEN(SUBSTITUTE(_xlfn.FORMULATEXT(FB$4),"=","")))+$EU29)</f>
        <v/>
      </c>
      <c r="FC29" s="78" t="str">
        <f t="array" aca="1" ref="FC29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LEN(SUBSTITUTE(_xlfn.FORMULATEXT(FC$4),"=","")))+$EU29)</f>
        <v/>
      </c>
      <c r="FD29" s="78" t="str">
        <f t="array" aca="1" ref="FD29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LEN(SUBSTITUTE(_xlfn.FORMULATEXT(FD$4),"=","")))+$EU29)</f>
        <v/>
      </c>
      <c r="FE29" s="78" t="str">
        <f t="array" aca="1" ref="FE29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LEN(SUBSTITUTE(_xlfn.FORMULATEXT(FE$4),"=","")))+$EU29)</f>
        <v/>
      </c>
      <c r="FF29" s="78" t="str">
        <f t="array" aca="1" ref="FF29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LEN(SUBSTITUTE(_xlfn.FORMULATEXT(FF$4),"=","")))+$EU29)</f>
        <v/>
      </c>
      <c r="FG29" s="78">
        <f t="shared" ca="1" si="2"/>
        <v>0</v>
      </c>
      <c r="FH29" s="78" t="b">
        <f t="array" aca="1" ref="FH29" ca="1">SUMPRODUCT((LEN(EV29:FF29)&gt;0)*1)&gt;0</f>
        <v>0</v>
      </c>
      <c r="FI29" s="78" t="str">
        <f t="array" aca="1" ref="FI29" ca="1">IFERROR(SMALL(IF(FG$1:FG$228&lt;&gt;0,FG$1:FG$228),ROW(A29)),"")</f>
        <v/>
      </c>
      <c r="FJ29" s="78" t="str">
        <f t="array" aca="1" ref="FJ29" ca="1">IF($FI29&lt;&gt;"",
INDIRECT(""&amp;IF(COLUMN(EV43)&lt;=26,CHAR(COLUMN(EV43)+64),CHAR(INT((COLUMN(EV43)-1)/26)+64)&amp;CHAR(MOD(COLUMN(EV43)-1,26)+65))&amp;$FI29&amp;""),"")</f>
        <v/>
      </c>
      <c r="FK29" s="78" t="str">
        <f t="array" aca="1" ref="FK29" ca="1">IF($FI29&lt;&gt;"",
INDIRECT(""&amp;IF(COLUMN(EW43)&lt;=26,CHAR(COLUMN(EW43)+64),CHAR(INT((COLUMN(EW43)-1)/26)+64)&amp;CHAR(MOD(COLUMN(EW43)-1,26)+65))&amp;$FI29&amp;""),"")</f>
        <v/>
      </c>
      <c r="FL29" s="78" t="str">
        <f t="array" aca="1" ref="FL29" ca="1">IF($FI29&lt;&gt;"",
INDIRECT(""&amp;IF(COLUMN(EX43)&lt;=26,CHAR(COLUMN(EX43)+64),CHAR(INT((COLUMN(EX43)-1)/26)+64)&amp;CHAR(MOD(COLUMN(EX43)-1,26)+65))&amp;$FI29&amp;""),"")</f>
        <v/>
      </c>
      <c r="FM29" s="78" t="str">
        <f t="array" aca="1" ref="FM29" ca="1">IF($FI29&lt;&gt;"",
IF(FL29="",
IF(INDIRECT("EY"&amp;$FI29&amp;"")&lt;&gt;"",
INDIRECT("EY"&amp;$FI29&amp;"")&amp;"箱"
&amp;INDIRECT("EZ"&amp;$FI29&amp;""),""),""),"")</f>
        <v/>
      </c>
      <c r="FN29" s="78" t="str">
        <f t="array" aca="1" ref="FN29" ca="1">IF($FI29&lt;&gt;"",
INDIRECT(""&amp;IF(COLUMN(FA43)&lt;=26,CHAR(COLUMN(FA43)+64),CHAR(INT((COLUMN(FA43)-1)/26)+64)&amp;CHAR(MOD(COLUMN(FA43)-1,26)+65))&amp;$FI29&amp;""),"")</f>
        <v/>
      </c>
      <c r="FO29" s="78" t="str">
        <f t="array" aca="1" ref="FO29" ca="1">IF($FI29&lt;&gt;"",
INDIRECT(""&amp;IF(COLUMN(FB43)&lt;=26,CHAR(COLUMN(FB43)+64),CHAR(INT((COLUMN(FB43)-1)/26)+64)&amp;CHAR(MOD(COLUMN(FB43)-1,26)+65))&amp;$FI29&amp;""),"")</f>
        <v/>
      </c>
      <c r="FP29" s="78" t="str">
        <f t="array" aca="1" ref="FP29" ca="1">IF($FI29&lt;&gt;"",
INDIRECT(""&amp;IF(COLUMN(FC43)&lt;=26,CHAR(COLUMN(FC43)+64),CHAR(INT((COLUMN(FC43)-1)/26)+64)&amp;CHAR(MOD(COLUMN(FC43)-1,26)+65))&amp;$FI29&amp;""),"")</f>
        <v/>
      </c>
      <c r="FQ29" s="78" t="str">
        <f t="array" aca="1" ref="FQ29" ca="1">IF($FI29&lt;&gt;"",
INDIRECT(""&amp;IF(COLUMN(FD43)&lt;=26,CHAR(COLUMN(FD43)+64),CHAR(INT((COLUMN(FD43)-1)/26)+64)&amp;CHAR(MOD(COLUMN(FD43)-1,26)+65))&amp;$FI29&amp;""),"")</f>
        <v/>
      </c>
      <c r="FR29" s="78" t="str">
        <f t="array" aca="1" ref="FR29" ca="1">IF($FI29&lt;&gt;"",
INDIRECT(""&amp;IF(COLUMN(FE43)&lt;=26,CHAR(COLUMN(FE43)+64),CHAR(INT((COLUMN(FE43)-1)/26)+64)&amp;CHAR(MOD(COLUMN(FE43)-1,26)+65))&amp;$FI29&amp;""),"")</f>
        <v/>
      </c>
      <c r="FS29" s="78" t="str">
        <f t="array" aca="1" ref="FS29" ca="1">IF($FI29&lt;&gt;"",
INDIRECT(""&amp;IF(COLUMN(FF43)&lt;=26,CHAR(COLUMN(FF43)+64),CHAR(INT((COLUMN(FF43)-1)/26)+64)&amp;CHAR(MOD(COLUMN(FF43)-1,26)+65))&amp;$FI29&amp;""),"")</f>
        <v/>
      </c>
    </row>
    <row r="30" spans="1:175" s="78" customFormat="1" ht="18" customHeight="1" x14ac:dyDescent="0.55000000000000004">
      <c r="A30" s="76" t="e">
        <f t="array" aca="1" ref="A30" ca="1">IF(INDIRECT("数出表_Excel!A"&amp;GetResult(A29))="社食",
GetResult(A29)+2,GetResult(A29))</f>
        <v>#VALUE!</v>
      </c>
      <c r="B30" s="81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58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76"/>
      <c r="E30" s="82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83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96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76" t="e">
        <f t="array" aca="1" ref="H30" ca="1">IF(INDIRECT("数出表_Excel!A"&amp;GetResult(H29))="社食",
GetResult(H29)+2,GetResult(H29))</f>
        <v>#VALUE!</v>
      </c>
      <c r="I30" s="81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58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76"/>
      <c r="L30" s="82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83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92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76"/>
      <c r="P30" s="76" t="e">
        <f t="array" aca="1" ref="P30" ca="1">IF(INDIRECT("数出表_Excel!A"&amp;GetResult(P29))="社食",
GetResult(P29)+2,GetResult(P29))</f>
        <v>#VALUE!</v>
      </c>
      <c r="Q30" s="81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58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76"/>
      <c r="T30" s="82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83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96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76" t="e">
        <f t="array" aca="1" ref="W30" ca="1">IF(INDIRECT("数出表_Excel!A"&amp;GetResult(W29))="社食",
GetResult(W29)+2,GetResult(W29))</f>
        <v>#VALUE!</v>
      </c>
      <c r="X30" s="81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58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76"/>
      <c r="AA30" s="82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83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92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76"/>
      <c r="AE30" s="76" t="e">
        <f t="array" aca="1" ref="AE30" ca="1">IF(INDIRECT("数出表_Excel!A"&amp;GetResult(AE29))="社食",
GetResult(AE29)+2,GetResult(AE29))</f>
        <v>#VALUE!</v>
      </c>
      <c r="AF30" s="81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58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76"/>
      <c r="AI30" s="82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83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96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76" t="e">
        <f t="array" aca="1" ref="AL30" ca="1">IF(INDIRECT("数出表_Excel!A"&amp;GetResult(AL29))="社食",
GetResult(AL29)+2,GetResult(AL29))</f>
        <v>#VALUE!</v>
      </c>
      <c r="AM30" s="81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58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76"/>
      <c r="AP30" s="82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83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92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76"/>
      <c r="AT30" s="76" t="e">
        <f t="array" aca="1" ref="AT30" ca="1">IF(INDIRECT("数出表_Excel!A"&amp;GetResult(AT29))="社食",
GetResult(AT29)+2,GetResult(AT29))</f>
        <v>#VALUE!</v>
      </c>
      <c r="AU30" s="81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58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76"/>
      <c r="AX30" s="82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83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96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76" t="e">
        <f t="array" aca="1" ref="BA30" ca="1">IF(INDIRECT("数出表_Excel!A"&amp;GetResult(BA29))="社食",
GetResult(BA29)+2,GetResult(BA29))</f>
        <v>#VALUE!</v>
      </c>
      <c r="BB30" s="81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58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76"/>
      <c r="BE30" s="82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83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92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76"/>
      <c r="BI30" s="76" t="e">
        <f t="array" aca="1" ref="BI30" ca="1">IF(INDIRECT("数出表_Excel!A"&amp;GetResult(BI29))="社食",
GetResult(BI29)+2,GetResult(BI29))</f>
        <v>#VALUE!</v>
      </c>
      <c r="BJ30" s="81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58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76"/>
      <c r="BM30" s="82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83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96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76" t="e">
        <f t="array" aca="1" ref="BP30" ca="1">IF(INDIRECT("数出表_Excel!A"&amp;GetResult(BP29))="社食",
GetResult(BP29)+2,GetResult(BP29))</f>
        <v>#VALUE!</v>
      </c>
      <c r="BQ30" s="81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58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76"/>
      <c r="BT30" s="82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83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92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76"/>
      <c r="BX30" s="76" t="e">
        <f t="array" aca="1" ref="BX30" ca="1">IF(INDIRECT("数出表_Excel!A"&amp;GetResult(BX29))="社食",
GetResult(BX29)+2,GetResult(BX29))</f>
        <v>#VALUE!</v>
      </c>
      <c r="BY30" s="81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58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76"/>
      <c r="CB30" s="82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83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96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76" t="e">
        <f t="array" aca="1" ref="CE30" ca="1">IF(INDIRECT("数出表_Excel!A"&amp;GetResult(CE29))="社食",
GetResult(CE29)+2,GetResult(CE29))</f>
        <v>#VALUE!</v>
      </c>
      <c r="CF30" s="81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58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76"/>
      <c r="CI30" s="82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83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92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76"/>
      <c r="CM30" s="76" t="e">
        <f t="array" aca="1" ref="CM30" ca="1">IF(INDIRECT("数出表_Excel!A"&amp;GetResult(CM29))="社食",
GetResult(CM29)+2,GetResult(CM29))</f>
        <v>#VALUE!</v>
      </c>
      <c r="CN30" s="81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58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76"/>
      <c r="CQ30" s="82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83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96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76" t="e">
        <f t="array" aca="1" ref="CT30" ca="1">IF(INDIRECT("数出表_Excel!A"&amp;GetResult(CT29))="社食",
GetResult(CT29)+2,GetResult(CT29))</f>
        <v>#VALUE!</v>
      </c>
      <c r="CU30" s="81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58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76"/>
      <c r="CX30" s="82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83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92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76"/>
      <c r="DB30" s="76" t="e">
        <f t="array" aca="1" ref="DB30" ca="1">IF(INDIRECT("数出表_Excel!A"&amp;GetResult(DB29))="社食",
GetResult(DB29)+2,GetResult(DB29))</f>
        <v>#VALUE!</v>
      </c>
      <c r="DC30" s="81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58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76"/>
      <c r="DF30" s="82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83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96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76" t="e">
        <f t="array" aca="1" ref="DI30" ca="1">IF(INDIRECT("数出表_Excel!A"&amp;GetResult(DI29))="社食",
GetResult(DI29)+2,GetResult(DI29))</f>
        <v>#VALUE!</v>
      </c>
      <c r="DJ30" s="81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58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76"/>
      <c r="DM30" s="82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83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92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76"/>
      <c r="DQ30" s="76" t="e">
        <f t="array" aca="1" ref="DQ30" ca="1">IF(INDIRECT("数出表_Excel!A"&amp;GetResult(DQ29))="社食",
GetResult(DQ29)+2,GetResult(DQ29))</f>
        <v>#VALUE!</v>
      </c>
      <c r="DR30" s="81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58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76"/>
      <c r="DU30" s="82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83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96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76" t="e">
        <f t="array" aca="1" ref="DX30" ca="1">IF(INDIRECT("数出表_Excel!A"&amp;GetResult(DX29))="社食",
GetResult(DX29)+2,GetResult(DX29))</f>
        <v>#VALUE!</v>
      </c>
      <c r="DY30" s="81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58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76"/>
      <c r="EB30" s="82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83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92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76"/>
      <c r="EF30" s="76" t="e">
        <f t="array" aca="1" ref="EF30" ca="1">IF(INDIRECT("数出表_Excel!A"&amp;GetResult(EF29))="社食",
GetResult(EF29)+2,GetResult(EF29))</f>
        <v>#VALUE!</v>
      </c>
      <c r="EG30" s="81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58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76"/>
      <c r="EJ30" s="82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83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96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76" t="e">
        <f t="array" aca="1" ref="EM30" ca="1">IF(INDIRECT("数出表_Excel!A"&amp;GetResult(EM29))="社食",
GetResult(EM29)+2,GetResult(EM29))</f>
        <v>#VALUE!</v>
      </c>
      <c r="EN30" s="81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58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76"/>
      <c r="EQ30" s="82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83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92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07"/>
      <c r="EU30" s="78">
        <f t="shared" si="3"/>
        <v>112</v>
      </c>
      <c r="EV30" s="78" t="str">
        <f t="array" aca="1" ref="EV30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LEN(SUBSTITUTE(_xlfn.FORMULATEXT(EV$4),"=","")))+$EU30)</f>
        <v/>
      </c>
      <c r="EW30" s="78" t="str">
        <f t="array" aca="1" ref="EW30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LEN(SUBSTITUTE(_xlfn.FORMULATEXT(EW$4),"=","")))+$EU30)</f>
        <v/>
      </c>
      <c r="EX30" s="78" t="str">
        <f t="array" aca="1" ref="EX30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LEN(SUBSTITUTE(_xlfn.FORMULATEXT(EX$4),"=","")))+$EU30)</f>
        <v/>
      </c>
      <c r="EY30" s="78" t="str">
        <f t="array" aca="1" ref="EY30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LEN(SUBSTITUTE(_xlfn.FORMULATEXT(EY$4),"=","")))+$EU30)</f>
        <v/>
      </c>
      <c r="EZ30" s="78" t="str">
        <f t="array" aca="1" ref="EZ30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LEN(SUBSTITUTE(_xlfn.FORMULATEXT(EZ$4),"=","")))+$EU30)</f>
        <v/>
      </c>
      <c r="FA30" s="78" t="str">
        <f t="array" aca="1" ref="FA30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LEN(SUBSTITUTE(_xlfn.FORMULATEXT(FA$4),"=","")))+$EU30)</f>
        <v/>
      </c>
      <c r="FB30" s="78" t="str">
        <f t="array" aca="1" ref="FB30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LEN(SUBSTITUTE(_xlfn.FORMULATEXT(FB$4),"=","")))+$EU30)</f>
        <v/>
      </c>
      <c r="FC30" s="78" t="str">
        <f t="array" aca="1" ref="FC30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LEN(SUBSTITUTE(_xlfn.FORMULATEXT(FC$4),"=","")))+$EU30)</f>
        <v/>
      </c>
      <c r="FD30" s="78" t="str">
        <f t="array" aca="1" ref="FD30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LEN(SUBSTITUTE(_xlfn.FORMULATEXT(FD$4),"=","")))+$EU30)</f>
        <v/>
      </c>
      <c r="FE30" s="78" t="str">
        <f t="array" aca="1" ref="FE30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LEN(SUBSTITUTE(_xlfn.FORMULATEXT(FE$4),"=","")))+$EU30)</f>
        <v/>
      </c>
      <c r="FF30" s="78" t="str">
        <f t="array" aca="1" ref="FF30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LEN(SUBSTITUTE(_xlfn.FORMULATEXT(FF$4),"=","")))+$EU30)</f>
        <v/>
      </c>
      <c r="FG30" s="78">
        <f t="shared" ca="1" si="2"/>
        <v>0</v>
      </c>
      <c r="FH30" s="78" t="b">
        <f t="array" aca="1" ref="FH30" ca="1">SUMPRODUCT((LEN(EV30:FF30)&gt;0)*1)&gt;0</f>
        <v>0</v>
      </c>
      <c r="FI30" s="78" t="str">
        <f t="array" aca="1" ref="FI30" ca="1">IFERROR(SMALL(IF(FG$1:FG$228&lt;&gt;0,FG$1:FG$228),ROW(A30)),"")</f>
        <v/>
      </c>
      <c r="FJ30" s="78" t="str">
        <f t="array" aca="1" ref="FJ30" ca="1">IF($FI30&lt;&gt;"",
INDIRECT(""&amp;IF(COLUMN(EV44)&lt;=26,CHAR(COLUMN(EV44)+64),CHAR(INT((COLUMN(EV44)-1)/26)+64)&amp;CHAR(MOD(COLUMN(EV44)-1,26)+65))&amp;$FI30&amp;""),"")</f>
        <v/>
      </c>
      <c r="FK30" s="78" t="str">
        <f t="array" aca="1" ref="FK30" ca="1">IF($FI30&lt;&gt;"",
INDIRECT(""&amp;IF(COLUMN(EW44)&lt;=26,CHAR(COLUMN(EW44)+64),CHAR(INT((COLUMN(EW44)-1)/26)+64)&amp;CHAR(MOD(COLUMN(EW44)-1,26)+65))&amp;$FI30&amp;""),"")</f>
        <v/>
      </c>
      <c r="FL30" s="78" t="str">
        <f t="array" aca="1" ref="FL30" ca="1">IF($FI30&lt;&gt;"",
INDIRECT(""&amp;IF(COLUMN(EX44)&lt;=26,CHAR(COLUMN(EX44)+64),CHAR(INT((COLUMN(EX44)-1)/26)+64)&amp;CHAR(MOD(COLUMN(EX44)-1,26)+65))&amp;$FI30&amp;""),"")</f>
        <v/>
      </c>
      <c r="FM30" s="78" t="str">
        <f t="array" aca="1" ref="FM30" ca="1">IF($FI30&lt;&gt;"",
IF(FL30="",
IF(INDIRECT("EY"&amp;$FI30&amp;"")&lt;&gt;"",
INDIRECT("EY"&amp;$FI30&amp;"")&amp;"箱"
&amp;INDIRECT("EZ"&amp;$FI30&amp;""),""),""),"")</f>
        <v/>
      </c>
      <c r="FN30" s="78" t="str">
        <f t="array" aca="1" ref="FN30" ca="1">IF($FI30&lt;&gt;"",
INDIRECT(""&amp;IF(COLUMN(FA44)&lt;=26,CHAR(COLUMN(FA44)+64),CHAR(INT((COLUMN(FA44)-1)/26)+64)&amp;CHAR(MOD(COLUMN(FA44)-1,26)+65))&amp;$FI30&amp;""),"")</f>
        <v/>
      </c>
      <c r="FO30" s="78" t="str">
        <f t="array" aca="1" ref="FO30" ca="1">IF($FI30&lt;&gt;"",
INDIRECT(""&amp;IF(COLUMN(FB44)&lt;=26,CHAR(COLUMN(FB44)+64),CHAR(INT((COLUMN(FB44)-1)/26)+64)&amp;CHAR(MOD(COLUMN(FB44)-1,26)+65))&amp;$FI30&amp;""),"")</f>
        <v/>
      </c>
      <c r="FP30" s="78" t="str">
        <f t="array" aca="1" ref="FP30" ca="1">IF($FI30&lt;&gt;"",
INDIRECT(""&amp;IF(COLUMN(FC44)&lt;=26,CHAR(COLUMN(FC44)+64),CHAR(INT((COLUMN(FC44)-1)/26)+64)&amp;CHAR(MOD(COLUMN(FC44)-1,26)+65))&amp;$FI30&amp;""),"")</f>
        <v/>
      </c>
      <c r="FQ30" s="78" t="str">
        <f t="array" aca="1" ref="FQ30" ca="1">IF($FI30&lt;&gt;"",
INDIRECT(""&amp;IF(COLUMN(FD44)&lt;=26,CHAR(COLUMN(FD44)+64),CHAR(INT((COLUMN(FD44)-1)/26)+64)&amp;CHAR(MOD(COLUMN(FD44)-1,26)+65))&amp;$FI30&amp;""),"")</f>
        <v/>
      </c>
      <c r="FR30" s="78" t="str">
        <f t="array" aca="1" ref="FR30" ca="1">IF($FI30&lt;&gt;"",
INDIRECT(""&amp;IF(COLUMN(FE44)&lt;=26,CHAR(COLUMN(FE44)+64),CHAR(INT((COLUMN(FE44)-1)/26)+64)&amp;CHAR(MOD(COLUMN(FE44)-1,26)+65))&amp;$FI30&amp;""),"")</f>
        <v/>
      </c>
      <c r="FS30" s="78" t="str">
        <f t="array" aca="1" ref="FS30" ca="1">IF($FI30&lt;&gt;"",
INDIRECT(""&amp;IF(COLUMN(FF44)&lt;=26,CHAR(COLUMN(FF44)+64),CHAR(INT((COLUMN(FF44)-1)/26)+64)&amp;CHAR(MOD(COLUMN(FF44)-1,26)+65))&amp;$FI30&amp;""),"")</f>
        <v/>
      </c>
    </row>
    <row r="31" spans="1:175" s="78" customFormat="1" ht="22.2" customHeight="1" x14ac:dyDescent="0.55000000000000004">
      <c r="A31" s="76"/>
      <c r="B31" s="84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249" t="str">
        <f ca="1">IF(C30&lt;&gt;"",
"園児","")</f>
        <v/>
      </c>
      <c r="D31" s="250"/>
      <c r="E31" s="251" t="str">
        <f ca="1">IF(C30&lt;&gt;"",
"先生","")</f>
        <v/>
      </c>
      <c r="F31" s="250"/>
      <c r="G31" s="97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76"/>
      <c r="I31" s="84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249" t="str">
        <f ca="1">IF(J30&lt;&gt;"",
"園児","")</f>
        <v/>
      </c>
      <c r="K31" s="250"/>
      <c r="L31" s="251" t="str">
        <f ca="1">IF(J30&lt;&gt;"",
"先生","")</f>
        <v/>
      </c>
      <c r="M31" s="250"/>
      <c r="N31" s="97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76"/>
      <c r="P31" s="76"/>
      <c r="Q31" s="84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249" t="str">
        <f ca="1">IF(R30&lt;&gt;"",
"園児","")</f>
        <v/>
      </c>
      <c r="S31" s="250"/>
      <c r="T31" s="251" t="str">
        <f ca="1">IF(R30&lt;&gt;"",
"先生","")</f>
        <v/>
      </c>
      <c r="U31" s="250"/>
      <c r="V31" s="97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76"/>
      <c r="X31" s="84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249" t="str">
        <f ca="1">IF(Y30&lt;&gt;"",
"園児","")</f>
        <v/>
      </c>
      <c r="Z31" s="250"/>
      <c r="AA31" s="251" t="str">
        <f ca="1">IF(Y30&lt;&gt;"",
"先生","")</f>
        <v/>
      </c>
      <c r="AB31" s="250"/>
      <c r="AC31" s="97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76"/>
      <c r="AE31" s="76"/>
      <c r="AF31" s="84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249" t="str">
        <f ca="1">IF(AG30&lt;&gt;"",
"園児","")</f>
        <v/>
      </c>
      <c r="AH31" s="250"/>
      <c r="AI31" s="251" t="str">
        <f ca="1">IF(AG30&lt;&gt;"",
"先生","")</f>
        <v/>
      </c>
      <c r="AJ31" s="250"/>
      <c r="AK31" s="97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76"/>
      <c r="AM31" s="84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249" t="str">
        <f ca="1">IF(AN30&lt;&gt;"",
"園児","")</f>
        <v/>
      </c>
      <c r="AO31" s="250"/>
      <c r="AP31" s="251" t="str">
        <f ca="1">IF(AN30&lt;&gt;"",
"先生","")</f>
        <v/>
      </c>
      <c r="AQ31" s="250"/>
      <c r="AR31" s="97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76"/>
      <c r="AT31" s="76"/>
      <c r="AU31" s="84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249" t="str">
        <f ca="1">IF(AV30&lt;&gt;"",
"園児","")</f>
        <v/>
      </c>
      <c r="AW31" s="250"/>
      <c r="AX31" s="251" t="str">
        <f ca="1">IF(AV30&lt;&gt;"",
"先生","")</f>
        <v/>
      </c>
      <c r="AY31" s="250"/>
      <c r="AZ31" s="97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76"/>
      <c r="BB31" s="84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249" t="str">
        <f ca="1">IF(BC30&lt;&gt;"",
"園児","")</f>
        <v/>
      </c>
      <c r="BD31" s="250"/>
      <c r="BE31" s="251" t="str">
        <f ca="1">IF(BC30&lt;&gt;"",
"先生","")</f>
        <v/>
      </c>
      <c r="BF31" s="250"/>
      <c r="BG31" s="97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76"/>
      <c r="BI31" s="76"/>
      <c r="BJ31" s="84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249" t="str">
        <f ca="1">IF(BK30&lt;&gt;"",
"園児","")</f>
        <v/>
      </c>
      <c r="BL31" s="250"/>
      <c r="BM31" s="251" t="str">
        <f ca="1">IF(BK30&lt;&gt;"",
"先生","")</f>
        <v/>
      </c>
      <c r="BN31" s="250"/>
      <c r="BO31" s="97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76"/>
      <c r="BQ31" s="84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249" t="str">
        <f ca="1">IF(BR30&lt;&gt;"",
"園児","")</f>
        <v/>
      </c>
      <c r="BS31" s="250"/>
      <c r="BT31" s="251" t="str">
        <f ca="1">IF(BR30&lt;&gt;"",
"先生","")</f>
        <v/>
      </c>
      <c r="BU31" s="250"/>
      <c r="BV31" s="97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76"/>
      <c r="BX31" s="76"/>
      <c r="BY31" s="84" t="e">
        <f t="array" aca="1" ref="BY31" ca="1">IF(AND(LEFT(CD29,2)="博多",
LEFT(INDIRECT("数出表_Excel!A"&amp;MATCH(CD29,数出表_Excel!$A:$A,0)-1),2)
=LEFT(INDIRECT("数出表_Excel!A"&amp;MATCH(CD29,数出表_Excel!$A:$A,0)+1),2)),100,
IF(AND(LEFT(CD29,3)="奈良屋",
LEFT(INDIRECT("数出表_Excel!A"&amp;MATCH(CD29,数出表_Excel!$A:$A,0)-1),2)
=LEFT(INDIRECT("数出表_Excel!A"&amp;MATCH(CD29,数出表_Excel!$A:$A,0)+1),2)),200,""))</f>
        <v>#VALUE!</v>
      </c>
      <c r="BZ31" s="249" t="str">
        <f ca="1">IF(BZ30&lt;&gt;"",
"園児","")</f>
        <v/>
      </c>
      <c r="CA31" s="250"/>
      <c r="CB31" s="251" t="str">
        <f ca="1">IF(BZ30&lt;&gt;"",
"先生","")</f>
        <v/>
      </c>
      <c r="CC31" s="250"/>
      <c r="CD31" s="97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76"/>
      <c r="CF31" s="84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249" t="str">
        <f ca="1">IF(CG30&lt;&gt;"",
"園児","")</f>
        <v/>
      </c>
      <c r="CH31" s="250"/>
      <c r="CI31" s="251" t="str">
        <f ca="1">IF(CG30&lt;&gt;"",
"先生","")</f>
        <v/>
      </c>
      <c r="CJ31" s="250"/>
      <c r="CK31" s="97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76"/>
      <c r="CM31" s="76"/>
      <c r="CN31" s="84" t="e">
        <f t="array" aca="1" ref="CN31" ca="1">IF(AND(LEFT(CS29,2)="博多",
LEFT(INDIRECT("数出表_Excel!A"&amp;MATCH(CS29,数出表_Excel!$A:$A,0)-1),2)
=LEFT(INDIRECT("数出表_Excel!A"&amp;MATCH(CS29,数出表_Excel!$A:$A,0)+1),2)),100,
IF(AND(LEFT(CS29,3)="奈良屋",
LEFT(INDIRECT("数出表_Excel!A"&amp;MATCH(CS29,数出表_Excel!$A:$A,0)-1),2)
=LEFT(INDIRECT("数出表_Excel!A"&amp;MATCH(CS29,数出表_Excel!$A:$A,0)+1),2)),200,""))</f>
        <v>#VALUE!</v>
      </c>
      <c r="CO31" s="249" t="str">
        <f ca="1">IF(CO30&lt;&gt;"",
"園児","")</f>
        <v/>
      </c>
      <c r="CP31" s="250"/>
      <c r="CQ31" s="251" t="str">
        <f ca="1">IF(CO30&lt;&gt;"",
"先生","")</f>
        <v/>
      </c>
      <c r="CR31" s="250"/>
      <c r="CS31" s="97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76"/>
      <c r="CU31" s="84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249" t="str">
        <f ca="1">IF(CV30&lt;&gt;"",
"園児","")</f>
        <v/>
      </c>
      <c r="CW31" s="250"/>
      <c r="CX31" s="251" t="str">
        <f ca="1">IF(CV30&lt;&gt;"",
"先生","")</f>
        <v/>
      </c>
      <c r="CY31" s="250"/>
      <c r="CZ31" s="97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76"/>
      <c r="DB31" s="76"/>
      <c r="DC31" s="84" t="e">
        <f t="array" aca="1" ref="DC31" ca="1">IF(AND(LEFT(DH29,2)="博多",
LEFT(INDIRECT("数出表_Excel!A"&amp;MATCH(DH29,数出表_Excel!$A:$A,0)-1),2)
=LEFT(INDIRECT("数出表_Excel!A"&amp;MATCH(DH29,数出表_Excel!$A:$A,0)+1),2)),100,
IF(AND(LEFT(DH29,3)="奈良屋",
LEFT(INDIRECT("数出表_Excel!A"&amp;MATCH(DH29,数出表_Excel!$A:$A,0)-1),2)
=LEFT(INDIRECT("数出表_Excel!A"&amp;MATCH(DH29,数出表_Excel!$A:$A,0)+1),2)),200,""))</f>
        <v>#VALUE!</v>
      </c>
      <c r="DD31" s="249" t="str">
        <f ca="1">IF(DD30&lt;&gt;"",
"園児","")</f>
        <v/>
      </c>
      <c r="DE31" s="250"/>
      <c r="DF31" s="251" t="str">
        <f ca="1">IF(DD30&lt;&gt;"",
"先生","")</f>
        <v/>
      </c>
      <c r="DG31" s="250"/>
      <c r="DH31" s="97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76"/>
      <c r="DJ31" s="84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249" t="str">
        <f ca="1">IF(DK30&lt;&gt;"",
"園児","")</f>
        <v/>
      </c>
      <c r="DL31" s="250"/>
      <c r="DM31" s="251" t="str">
        <f ca="1">IF(DK30&lt;&gt;"",
"先生","")</f>
        <v/>
      </c>
      <c r="DN31" s="250"/>
      <c r="DO31" s="97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76"/>
      <c r="DQ31" s="76"/>
      <c r="DR31" s="84" t="e">
        <f t="array" aca="1" ref="DR31" ca="1">IF(AND(LEFT(DW29,2)="博多",
LEFT(INDIRECT("数出表_Excel!A"&amp;MATCH(DW29,数出表_Excel!$A:$A,0)-1),2)
=LEFT(INDIRECT("数出表_Excel!A"&amp;MATCH(DW29,数出表_Excel!$A:$A,0)+1),2)),100,
IF(AND(LEFT(DW29,3)="奈良屋",
LEFT(INDIRECT("数出表_Excel!A"&amp;MATCH(DW29,数出表_Excel!$A:$A,0)-1),2)
=LEFT(INDIRECT("数出表_Excel!A"&amp;MATCH(DW29,数出表_Excel!$A:$A,0)+1),2)),200,""))</f>
        <v>#VALUE!</v>
      </c>
      <c r="DS31" s="249" t="str">
        <f ca="1">IF(DS30&lt;&gt;"",
"園児","")</f>
        <v/>
      </c>
      <c r="DT31" s="250"/>
      <c r="DU31" s="251" t="str">
        <f ca="1">IF(DS30&lt;&gt;"",
"先生","")</f>
        <v/>
      </c>
      <c r="DV31" s="250"/>
      <c r="DW31" s="97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76"/>
      <c r="DY31" s="84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249" t="str">
        <f ca="1">IF(DZ30&lt;&gt;"",
"園児","")</f>
        <v/>
      </c>
      <c r="EA31" s="250"/>
      <c r="EB31" s="251" t="str">
        <f ca="1">IF(DZ30&lt;&gt;"",
"先生","")</f>
        <v/>
      </c>
      <c r="EC31" s="250"/>
      <c r="ED31" s="97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76"/>
      <c r="EF31" s="76"/>
      <c r="EG31" s="84" t="e">
        <f t="array" aca="1" ref="EG31" ca="1">IF(AND(LEFT(EL29,2)="博多",
LEFT(INDIRECT("数出表_Excel!A"&amp;MATCH(EL29,数出表_Excel!$A:$A,0)-1),2)
=LEFT(INDIRECT("数出表_Excel!A"&amp;MATCH(EL29,数出表_Excel!$A:$A,0)+1),2)),100,
IF(AND(LEFT(EL29,3)="奈良屋",
LEFT(INDIRECT("数出表_Excel!A"&amp;MATCH(EL29,数出表_Excel!$A:$A,0)-1),2)
=LEFT(INDIRECT("数出表_Excel!A"&amp;MATCH(EL29,数出表_Excel!$A:$A,0)+1),2)),200,""))</f>
        <v>#VALUE!</v>
      </c>
      <c r="EH31" s="249" t="str">
        <f ca="1">IF(EH30&lt;&gt;"",
"園児","")</f>
        <v/>
      </c>
      <c r="EI31" s="250"/>
      <c r="EJ31" s="251" t="str">
        <f ca="1">IF(EH30&lt;&gt;"",
"先生","")</f>
        <v/>
      </c>
      <c r="EK31" s="250"/>
      <c r="EL31" s="97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76"/>
      <c r="EN31" s="84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249" t="str">
        <f ca="1">IF(EO30&lt;&gt;"",
"園児","")</f>
        <v/>
      </c>
      <c r="EP31" s="250"/>
      <c r="EQ31" s="251" t="str">
        <f ca="1">IF(EO30&lt;&gt;"",
"先生","")</f>
        <v/>
      </c>
      <c r="ER31" s="250"/>
      <c r="ES31" s="97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06"/>
      <c r="EU31" s="78">
        <f t="shared" si="3"/>
        <v>35</v>
      </c>
      <c r="EV31" s="78" t="str">
        <f t="array" aca="1" ref="EV3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LEN(SUBSTITUTE(_xlfn.FORMULATEXT(EV$1),"=","")))+$EU31)</f>
        <v/>
      </c>
      <c r="EW31" s="78" t="str">
        <f t="array" aca="1" ref="EW3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LEN(SUBSTITUTE(_xlfn.FORMULATEXT(EW$1),"=","")))+$EU31)</f>
        <v/>
      </c>
      <c r="EX31" s="78" t="str">
        <f t="array" aca="1" ref="EX3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LEN(SUBSTITUTE(_xlfn.FORMULATEXT(EX$1),"=","")))+$EU31)</f>
        <v/>
      </c>
      <c r="EY31" s="78" t="str">
        <f t="array" aca="1" ref="EY3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LEN(SUBSTITUTE(_xlfn.FORMULATEXT(EY$1),"=","")))+$EU31)</f>
        <v/>
      </c>
      <c r="EZ31" s="78" t="str">
        <f t="array" aca="1" ref="EZ3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LEN(SUBSTITUTE(_xlfn.FORMULATEXT(EZ$1),"=","")))+$EU31)</f>
        <v/>
      </c>
      <c r="FA31" s="78" t="e">
        <f t="array" aca="1" ref="FA3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LEN(SUBSTITUTE(_xlfn.FORMULATEXT(FA$1),"=","")))+$EU31)</f>
        <v>#VALUE!</v>
      </c>
      <c r="FB31" s="78" t="e">
        <f t="array" aca="1" ref="FB3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LEN(SUBSTITUTE(_xlfn.FORMULATEXT(FB$1),"=","")))+$EU31)</f>
        <v>#VALUE!</v>
      </c>
      <c r="FC31" s="78" t="str">
        <f t="array" aca="1" ref="FC3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LEN(SUBSTITUTE(_xlfn.FORMULATEXT(FC$1),"=","")))+$EU31)</f>
        <v/>
      </c>
      <c r="FD31" s="78" t="e">
        <f t="array" aca="1" ref="FD3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LEN(SUBSTITUTE(_xlfn.FORMULATEXT(FD$1),"=","")))+$EU31)</f>
        <v>#VALUE!</v>
      </c>
      <c r="FE31" s="78" t="str">
        <f t="array" aca="1" ref="FE3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LEN(SUBSTITUTE(_xlfn.FORMULATEXT(FE$1),"=","")))+$EU31)</f>
        <v/>
      </c>
      <c r="FF31" s="78" t="e">
        <f t="array" aca="1" ref="FF3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LEN(SUBSTITUTE(_xlfn.FORMULATEXT(FF$1),"=","")))+$EU31)</f>
        <v>#VALUE!</v>
      </c>
      <c r="FG31" s="78">
        <f t="shared" ca="1" si="2"/>
        <v>0</v>
      </c>
      <c r="FH31" s="78" t="e">
        <f t="array" aca="1" ref="FH31" ca="1">SUMPRODUCT((LEN(EV31:FF31)&gt;0)*1)&gt;0</f>
        <v>#VALUE!</v>
      </c>
      <c r="FI31" s="78" t="str">
        <f t="array" aca="1" ref="FI31" ca="1">IFERROR(SMALL(IF(FG$1:FG$228&lt;&gt;0,FG$1:FG$228),ROW(A31)),"")</f>
        <v/>
      </c>
      <c r="FJ31" s="78" t="str">
        <f t="array" aca="1" ref="FJ31" ca="1">IF($FI31&lt;&gt;"",
INDIRECT(""&amp;IF(COLUMN(EV46)&lt;=26,CHAR(COLUMN(EV46)+64),CHAR(INT((COLUMN(EV46)-1)/26)+64)&amp;CHAR(MOD(COLUMN(EV46)-1,26)+65))&amp;$FI31&amp;""),"")</f>
        <v/>
      </c>
      <c r="FK31" s="78" t="str">
        <f t="array" aca="1" ref="FK31" ca="1">IF($FI31&lt;&gt;"",
INDIRECT(""&amp;IF(COLUMN(EW46)&lt;=26,CHAR(COLUMN(EW46)+64),CHAR(INT((COLUMN(EW46)-1)/26)+64)&amp;CHAR(MOD(COLUMN(EW46)-1,26)+65))&amp;$FI31&amp;""),"")</f>
        <v/>
      </c>
      <c r="FL31" s="78" t="str">
        <f t="array" aca="1" ref="FL31" ca="1">IF($FI31&lt;&gt;"",
INDIRECT(""&amp;IF(COLUMN(EX46)&lt;=26,CHAR(COLUMN(EX46)+64),CHAR(INT((COLUMN(EX46)-1)/26)+64)&amp;CHAR(MOD(COLUMN(EX46)-1,26)+65))&amp;$FI31&amp;""),"")</f>
        <v/>
      </c>
      <c r="FM31" s="78" t="str">
        <f t="array" aca="1" ref="FM31" ca="1">IF($FI31&lt;&gt;"",
IF(FL31="",
IF(INDIRECT("EY"&amp;$FI31&amp;"")&lt;&gt;"",
INDIRECT("EY"&amp;$FI31&amp;"")&amp;"箱"
&amp;INDIRECT("EZ"&amp;$FI31&amp;""),""),""),"")</f>
        <v/>
      </c>
      <c r="FN31" s="78" t="str">
        <f t="array" aca="1" ref="FN31" ca="1">IF($FI31&lt;&gt;"",
INDIRECT(""&amp;IF(COLUMN(FA46)&lt;=26,CHAR(COLUMN(FA46)+64),CHAR(INT((COLUMN(FA46)-1)/26)+64)&amp;CHAR(MOD(COLUMN(FA46)-1,26)+65))&amp;$FI31&amp;""),"")</f>
        <v/>
      </c>
      <c r="FO31" s="78" t="str">
        <f t="array" aca="1" ref="FO31" ca="1">IF($FI31&lt;&gt;"",
INDIRECT(""&amp;IF(COLUMN(FB46)&lt;=26,CHAR(COLUMN(FB46)+64),CHAR(INT((COLUMN(FB46)-1)/26)+64)&amp;CHAR(MOD(COLUMN(FB46)-1,26)+65))&amp;$FI31&amp;""),"")</f>
        <v/>
      </c>
      <c r="FP31" s="78" t="str">
        <f t="array" aca="1" ref="FP31" ca="1">IF($FI31&lt;&gt;"",
INDIRECT(""&amp;IF(COLUMN(FC46)&lt;=26,CHAR(COLUMN(FC46)+64),CHAR(INT((COLUMN(FC46)-1)/26)+64)&amp;CHAR(MOD(COLUMN(FC46)-1,26)+65))&amp;$FI31&amp;""),"")</f>
        <v/>
      </c>
      <c r="FQ31" s="78" t="str">
        <f t="array" aca="1" ref="FQ31" ca="1">IF($FI31&lt;&gt;"",
INDIRECT(""&amp;IF(COLUMN(FD46)&lt;=26,CHAR(COLUMN(FD46)+64),CHAR(INT((COLUMN(FD46)-1)/26)+64)&amp;CHAR(MOD(COLUMN(FD46)-1,26)+65))&amp;$FI31&amp;""),"")</f>
        <v/>
      </c>
      <c r="FR31" s="78" t="str">
        <f t="array" aca="1" ref="FR31" ca="1">IF($FI31&lt;&gt;"",
INDIRECT(""&amp;IF(COLUMN(FE46)&lt;=26,CHAR(COLUMN(FE46)+64),CHAR(INT((COLUMN(FE46)-1)/26)+64)&amp;CHAR(MOD(COLUMN(FE46)-1,26)+65))&amp;$FI31&amp;""),"")</f>
        <v/>
      </c>
      <c r="FS31" s="78" t="str">
        <f t="array" aca="1" ref="FS31" ca="1">IF($FI31&lt;&gt;"",
INDIRECT(""&amp;IF(COLUMN(FF46)&lt;=26,CHAR(COLUMN(FF46)+64),CHAR(INT((COLUMN(FF46)-1)/26)+64)&amp;CHAR(MOD(COLUMN(FF46)-1,26)+65))&amp;$FI31&amp;""),"")</f>
        <v/>
      </c>
    </row>
    <row r="32" spans="1:175" ht="18" customHeight="1" x14ac:dyDescent="0.45">
      <c r="B32" s="86"/>
      <c r="C32" s="252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253"/>
      <c r="E32" s="255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253"/>
      <c r="G32" s="97" t="e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#VALUE!</v>
      </c>
      <c r="I32" s="86"/>
      <c r="J32" s="252" t="e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253"/>
      <c r="L32" s="255" t="e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253"/>
      <c r="N32" s="97" t="e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#VALUE!</v>
      </c>
      <c r="Q32" s="86"/>
      <c r="R32" s="252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253"/>
      <c r="T32" s="255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253"/>
      <c r="V32" s="97" t="e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#VALUE!</v>
      </c>
      <c r="X32" s="86"/>
      <c r="Y32" s="252" t="e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253"/>
      <c r="AA32" s="255" t="e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253"/>
      <c r="AC32" s="97" t="e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#VALUE!</v>
      </c>
      <c r="AF32" s="86"/>
      <c r="AG32" s="252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253"/>
      <c r="AI32" s="255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253"/>
      <c r="AK32" s="97" t="e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#VALUE!</v>
      </c>
      <c r="AM32" s="86"/>
      <c r="AN32" s="252" t="e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253"/>
      <c r="AP32" s="255" t="e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253"/>
      <c r="AR32" s="97" t="e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#VALUE!</v>
      </c>
      <c r="AU32" s="86"/>
      <c r="AV32" s="252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253"/>
      <c r="AX32" s="255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253"/>
      <c r="AZ32" s="97" t="e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#VALUE!</v>
      </c>
      <c r="BB32" s="86"/>
      <c r="BC32" s="252" t="e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253"/>
      <c r="BE32" s="255" t="e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253"/>
      <c r="BG32" s="97" t="e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#VALUE!</v>
      </c>
      <c r="BJ32" s="86"/>
      <c r="BK32" s="252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253"/>
      <c r="BM32" s="255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253"/>
      <c r="BO32" s="97" t="e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#VALUE!</v>
      </c>
      <c r="BQ32" s="86"/>
      <c r="BR32" s="252" t="e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253"/>
      <c r="BT32" s="255" t="e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253"/>
      <c r="BV32" s="97" t="e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#VALUE!</v>
      </c>
      <c r="BY32" s="86"/>
      <c r="BZ32" s="252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253"/>
      <c r="CB32" s="255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253"/>
      <c r="CD32" s="97" t="e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0)),0),""),0)</f>
        <v>#VALUE!</v>
      </c>
      <c r="CF32" s="86"/>
      <c r="CG32" s="252" t="e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253"/>
      <c r="CI32" s="255" t="e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253"/>
      <c r="CK32" s="97" t="e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0)),0),""),0)</f>
        <v>#VALUE!</v>
      </c>
      <c r="CN32" s="86"/>
      <c r="CO32" s="252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253"/>
      <c r="CQ32" s="255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253"/>
      <c r="CS32" s="97" t="e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0)),0),""),0)</f>
        <v>#VALUE!</v>
      </c>
      <c r="CU32" s="86"/>
      <c r="CV32" s="252" t="e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253"/>
      <c r="CX32" s="255" t="e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253"/>
      <c r="CZ32" s="97" t="e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0)),0),""),0)</f>
        <v>#VALUE!</v>
      </c>
      <c r="DC32" s="86"/>
      <c r="DD32" s="252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253"/>
      <c r="DF32" s="255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253"/>
      <c r="DH32" s="97" t="e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0)),0),""),0)</f>
        <v>#VALUE!</v>
      </c>
      <c r="DJ32" s="86"/>
      <c r="DK32" s="252" t="e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253"/>
      <c r="DM32" s="255" t="e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253"/>
      <c r="DO32" s="97" t="e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0)),0),""),0)</f>
        <v>#VALUE!</v>
      </c>
      <c r="DR32" s="86"/>
      <c r="DS32" s="252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253"/>
      <c r="DU32" s="255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253"/>
      <c r="DW32" s="97" t="e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0)),0),""),0)</f>
        <v>#VALUE!</v>
      </c>
      <c r="DY32" s="86"/>
      <c r="DZ32" s="252" t="e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253"/>
      <c r="EB32" s="255" t="e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253"/>
      <c r="ED32" s="97" t="e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0)),0),""),0)</f>
        <v>#VALUE!</v>
      </c>
      <c r="EG32" s="86"/>
      <c r="EH32" s="252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253"/>
      <c r="EJ32" s="255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253"/>
      <c r="EL32" s="97" t="e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0)),0),""),0)</f>
        <v>#VALUE!</v>
      </c>
      <c r="EN32" s="86"/>
      <c r="EO32" s="252" t="e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253"/>
      <c r="EQ32" s="255" t="e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253"/>
      <c r="ES32" s="97" t="e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0)),0),""),0)</f>
        <v>#VALUE!</v>
      </c>
      <c r="ET32" s="106"/>
      <c r="EU32" s="78">
        <f t="shared" si="3"/>
        <v>77</v>
      </c>
      <c r="EV32" s="78" t="str">
        <f t="array" aca="1" ref="EV3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LEN(SUBSTITUTE(_xlfn.FORMULATEXT(EV$1),"=","")))+$EU32)</f>
        <v/>
      </c>
      <c r="EW32" s="78" t="str">
        <f t="array" aca="1" ref="EW3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LEN(SUBSTITUTE(_xlfn.FORMULATEXT(EW$1),"=","")))+$EU32)</f>
        <v/>
      </c>
      <c r="EX32" s="78" t="str">
        <f t="array" aca="1" ref="EX3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LEN(SUBSTITUTE(_xlfn.FORMULATEXT(EX$1),"=","")))+$EU32)</f>
        <v/>
      </c>
      <c r="EY32" s="78" t="str">
        <f t="array" aca="1" ref="EY3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LEN(SUBSTITUTE(_xlfn.FORMULATEXT(EY$1),"=","")))+$EU32)</f>
        <v/>
      </c>
      <c r="EZ32" s="78" t="str">
        <f t="array" aca="1" ref="EZ3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LEN(SUBSTITUTE(_xlfn.FORMULATEXT(EZ$1),"=","")))+$EU32)</f>
        <v/>
      </c>
      <c r="FA32" s="78" t="str">
        <f t="array" aca="1" ref="FA3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LEN(SUBSTITUTE(_xlfn.FORMULATEXT(FA$1),"=","")))+$EU32)</f>
        <v/>
      </c>
      <c r="FB32" s="78" t="str">
        <f t="array" aca="1" ref="FB3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LEN(SUBSTITUTE(_xlfn.FORMULATEXT(FB$1),"=","")))+$EU32)</f>
        <v/>
      </c>
      <c r="FC32" s="78" t="str">
        <f t="array" aca="1" ref="FC3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LEN(SUBSTITUTE(_xlfn.FORMULATEXT(FC$1),"=","")))+$EU32)</f>
        <v/>
      </c>
      <c r="FD32" s="78" t="str">
        <f t="array" aca="1" ref="FD3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LEN(SUBSTITUTE(_xlfn.FORMULATEXT(FD$1),"=","")))+$EU32)</f>
        <v/>
      </c>
      <c r="FE32" s="78" t="str">
        <f t="array" aca="1" ref="FE3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LEN(SUBSTITUTE(_xlfn.FORMULATEXT(FE$1),"=","")))+$EU32)</f>
        <v/>
      </c>
      <c r="FF32" s="78" t="str">
        <f t="array" aca="1" ref="FF3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LEN(SUBSTITUTE(_xlfn.FORMULATEXT(FF$1),"=","")))+$EU32)</f>
        <v/>
      </c>
      <c r="FG32" s="78">
        <f t="shared" ca="1" si="2"/>
        <v>0</v>
      </c>
      <c r="FH32" s="78" t="b">
        <f t="array" aca="1" ref="FH32" ca="1">SUMPRODUCT((LEN(EV32:FF32)&gt;0)*1)&gt;0</f>
        <v>0</v>
      </c>
      <c r="FI32" s="78" t="str">
        <f t="array" aca="1" ref="FI32" ca="1">IFERROR(SMALL(IF(FG$1:FG$228&lt;&gt;0,FG$1:FG$228),ROW(A32)),"")</f>
        <v/>
      </c>
      <c r="FJ32" s="78" t="str">
        <f t="array" aca="1" ref="FJ32" ca="1">IF($FI32&lt;&gt;"",
INDIRECT(""&amp;IF(COLUMN(EV47)&lt;=26,CHAR(COLUMN(EV47)+64),CHAR(INT((COLUMN(EV47)-1)/26)+64)&amp;CHAR(MOD(COLUMN(EV47)-1,26)+65))&amp;$FI32&amp;""),"")</f>
        <v/>
      </c>
      <c r="FK32" s="78" t="str">
        <f t="array" aca="1" ref="FK32" ca="1">IF($FI32&lt;&gt;"",
INDIRECT(""&amp;IF(COLUMN(EW47)&lt;=26,CHAR(COLUMN(EW47)+64),CHAR(INT((COLUMN(EW47)-1)/26)+64)&amp;CHAR(MOD(COLUMN(EW47)-1,26)+65))&amp;$FI32&amp;""),"")</f>
        <v/>
      </c>
      <c r="FL32" s="78" t="str">
        <f t="array" aca="1" ref="FL32" ca="1">IF($FI32&lt;&gt;"",
INDIRECT(""&amp;IF(COLUMN(EX47)&lt;=26,CHAR(COLUMN(EX47)+64),CHAR(INT((COLUMN(EX47)-1)/26)+64)&amp;CHAR(MOD(COLUMN(EX47)-1,26)+65))&amp;$FI32&amp;""),"")</f>
        <v/>
      </c>
      <c r="FM32" s="78" t="str">
        <f t="array" aca="1" ref="FM32" ca="1">IF($FI32&lt;&gt;"",
IF(FL32="",
IF(INDIRECT("EY"&amp;$FI32&amp;"")&lt;&gt;"",
INDIRECT("EY"&amp;$FI32&amp;"")&amp;"箱"
&amp;INDIRECT("EZ"&amp;$FI32&amp;""),""),""),"")</f>
        <v/>
      </c>
      <c r="FN32" s="78" t="str">
        <f t="array" aca="1" ref="FN32" ca="1">IF($FI32&lt;&gt;"",
INDIRECT(""&amp;IF(COLUMN(FA47)&lt;=26,CHAR(COLUMN(FA47)+64),CHAR(INT((COLUMN(FA47)-1)/26)+64)&amp;CHAR(MOD(COLUMN(FA47)-1,26)+65))&amp;$FI32&amp;""),"")</f>
        <v/>
      </c>
      <c r="FO32" s="78" t="str">
        <f t="array" aca="1" ref="FO32" ca="1">IF($FI32&lt;&gt;"",
INDIRECT(""&amp;IF(COLUMN(FB47)&lt;=26,CHAR(COLUMN(FB47)+64),CHAR(INT((COLUMN(FB47)-1)/26)+64)&amp;CHAR(MOD(COLUMN(FB47)-1,26)+65))&amp;$FI32&amp;""),"")</f>
        <v/>
      </c>
      <c r="FP32" s="78" t="str">
        <f t="array" aca="1" ref="FP32" ca="1">IF($FI32&lt;&gt;"",
INDIRECT(""&amp;IF(COLUMN(FC47)&lt;=26,CHAR(COLUMN(FC47)+64),CHAR(INT((COLUMN(FC47)-1)/26)+64)&amp;CHAR(MOD(COLUMN(FC47)-1,26)+65))&amp;$FI32&amp;""),"")</f>
        <v/>
      </c>
      <c r="FQ32" s="78" t="str">
        <f t="array" aca="1" ref="FQ32" ca="1">IF($FI32&lt;&gt;"",
INDIRECT(""&amp;IF(COLUMN(FD47)&lt;=26,CHAR(COLUMN(FD47)+64),CHAR(INT((COLUMN(FD47)-1)/26)+64)&amp;CHAR(MOD(COLUMN(FD47)-1,26)+65))&amp;$FI32&amp;""),"")</f>
        <v/>
      </c>
      <c r="FR32" s="78" t="str">
        <f t="array" aca="1" ref="FR32" ca="1">IF($FI32&lt;&gt;"",
INDIRECT(""&amp;IF(COLUMN(FE47)&lt;=26,CHAR(COLUMN(FE47)+64),CHAR(INT((COLUMN(FE47)-1)/26)+64)&amp;CHAR(MOD(COLUMN(FE47)-1,26)+65))&amp;$FI32&amp;""),"")</f>
        <v/>
      </c>
      <c r="FS32" s="78" t="str">
        <f t="array" aca="1" ref="FS32" ca="1">IF($FI32&lt;&gt;"",
INDIRECT(""&amp;IF(COLUMN(FF47)&lt;=26,CHAR(COLUMN(FF47)+64),CHAR(INT((COLUMN(FF47)-1)/26)+64)&amp;CHAR(MOD(COLUMN(FF47)-1,26)+65))&amp;$FI32&amp;""),"")</f>
        <v/>
      </c>
    </row>
    <row r="33" spans="1:175" ht="18" customHeight="1" x14ac:dyDescent="0.45">
      <c r="B33" s="114" t="s">
        <v>37</v>
      </c>
      <c r="C33" s="254"/>
      <c r="D33" s="254"/>
      <c r="E33" s="254"/>
      <c r="F33" s="254"/>
      <c r="G33" s="98" t="str">
        <f ca="1">SUBSTITUTE(SUBSTITUTE(ADDRESS(1,MATCH("おやつ",'数出表_Excel（アレルギー入力）'!$3:$3,0)),1,""),"$","")</f>
        <v>AL</v>
      </c>
      <c r="I33" s="114" t="s">
        <v>37</v>
      </c>
      <c r="J33" s="254"/>
      <c r="K33" s="254"/>
      <c r="L33" s="254"/>
      <c r="M33" s="254"/>
      <c r="N33" s="98" t="str">
        <f ca="1">SUBSTITUTE(SUBSTITUTE(ADDRESS(1,MATCH("おやつ",'数出表_Excel（アレルギー入力）'!$3:$3,0)),1,""),"$","")</f>
        <v>AL</v>
      </c>
      <c r="Q33" s="114" t="s">
        <v>37</v>
      </c>
      <c r="R33" s="254"/>
      <c r="S33" s="254"/>
      <c r="T33" s="254"/>
      <c r="U33" s="254"/>
      <c r="V33" s="98" t="str">
        <f ca="1">SUBSTITUTE(SUBSTITUTE(ADDRESS(1,MATCH("おやつ",'数出表_Excel（アレルギー入力）'!$3:$3,0)),1,""),"$","")</f>
        <v>AL</v>
      </c>
      <c r="X33" s="114" t="s">
        <v>37</v>
      </c>
      <c r="Y33" s="254"/>
      <c r="Z33" s="254"/>
      <c r="AA33" s="254"/>
      <c r="AB33" s="254"/>
      <c r="AC33" s="98" t="str">
        <f ca="1">SUBSTITUTE(SUBSTITUTE(ADDRESS(1,MATCH("おやつ",'数出表_Excel（アレルギー入力）'!$3:$3,0)),1,""),"$","")</f>
        <v>AL</v>
      </c>
      <c r="AF33" s="114" t="s">
        <v>37</v>
      </c>
      <c r="AG33" s="254"/>
      <c r="AH33" s="254"/>
      <c r="AI33" s="254"/>
      <c r="AJ33" s="254"/>
      <c r="AK33" s="98" t="str">
        <f ca="1">SUBSTITUTE(SUBSTITUTE(ADDRESS(1,MATCH("おやつ",'数出表_Excel（アレルギー入力）'!$3:$3,0)),1,""),"$","")</f>
        <v>AL</v>
      </c>
      <c r="AM33" s="114" t="s">
        <v>37</v>
      </c>
      <c r="AN33" s="254"/>
      <c r="AO33" s="254"/>
      <c r="AP33" s="254"/>
      <c r="AQ33" s="254"/>
      <c r="AR33" s="98" t="str">
        <f ca="1">SUBSTITUTE(SUBSTITUTE(ADDRESS(1,MATCH("おやつ",'数出表_Excel（アレルギー入力）'!$3:$3,0)),1,""),"$","")</f>
        <v>AL</v>
      </c>
      <c r="AU33" s="114" t="s">
        <v>37</v>
      </c>
      <c r="AV33" s="254"/>
      <c r="AW33" s="254"/>
      <c r="AX33" s="254"/>
      <c r="AY33" s="254"/>
      <c r="AZ33" s="98" t="str">
        <f ca="1">SUBSTITUTE(SUBSTITUTE(ADDRESS(1,MATCH("おやつ",'数出表_Excel（アレルギー入力）'!$3:$3,0)),1,""),"$","")</f>
        <v>AL</v>
      </c>
      <c r="BB33" s="114" t="s">
        <v>37</v>
      </c>
      <c r="BC33" s="254"/>
      <c r="BD33" s="254"/>
      <c r="BE33" s="254"/>
      <c r="BF33" s="254"/>
      <c r="BG33" s="98" t="str">
        <f ca="1">SUBSTITUTE(SUBSTITUTE(ADDRESS(1,MATCH("おやつ",'数出表_Excel（アレルギー入力）'!$3:$3,0)),1,""),"$","")</f>
        <v>AL</v>
      </c>
      <c r="BJ33" s="114" t="s">
        <v>37</v>
      </c>
      <c r="BK33" s="254"/>
      <c r="BL33" s="254"/>
      <c r="BM33" s="254"/>
      <c r="BN33" s="254"/>
      <c r="BO33" s="98" t="str">
        <f ca="1">SUBSTITUTE(SUBSTITUTE(ADDRESS(1,MATCH("おやつ",'数出表_Excel（アレルギー入力）'!$3:$3,0)),1,""),"$","")</f>
        <v>AL</v>
      </c>
      <c r="BQ33" s="114" t="s">
        <v>37</v>
      </c>
      <c r="BR33" s="254"/>
      <c r="BS33" s="254"/>
      <c r="BT33" s="254"/>
      <c r="BU33" s="254"/>
      <c r="BV33" s="98" t="str">
        <f ca="1">SUBSTITUTE(SUBSTITUTE(ADDRESS(1,MATCH("おやつ",'数出表_Excel（アレルギー入力）'!$3:$3,0)),1,""),"$","")</f>
        <v>AL</v>
      </c>
      <c r="BY33" s="114" t="s">
        <v>37</v>
      </c>
      <c r="BZ33" s="254"/>
      <c r="CA33" s="254"/>
      <c r="CB33" s="254"/>
      <c r="CC33" s="254"/>
      <c r="CD33" s="98" t="str">
        <f ca="1">SUBSTITUTE(SUBSTITUTE(ADDRESS(1,MATCH("おやつ",'数出表_Excel（アレルギー入力）'!$3:$3,0)),1,""),"$","")</f>
        <v>AL</v>
      </c>
      <c r="CF33" s="114" t="s">
        <v>37</v>
      </c>
      <c r="CG33" s="254"/>
      <c r="CH33" s="254"/>
      <c r="CI33" s="254"/>
      <c r="CJ33" s="254"/>
      <c r="CK33" s="98" t="str">
        <f ca="1">SUBSTITUTE(SUBSTITUTE(ADDRESS(1,MATCH("おやつ",'数出表_Excel（アレルギー入力）'!$3:$3,0)),1,""),"$","")</f>
        <v>AL</v>
      </c>
      <c r="CN33" s="114" t="s">
        <v>37</v>
      </c>
      <c r="CO33" s="254"/>
      <c r="CP33" s="254"/>
      <c r="CQ33" s="254"/>
      <c r="CR33" s="254"/>
      <c r="CS33" s="98" t="str">
        <f ca="1">SUBSTITUTE(SUBSTITUTE(ADDRESS(1,MATCH("おやつ",'数出表_Excel（アレルギー入力）'!$3:$3,0)),1,""),"$","")</f>
        <v>AL</v>
      </c>
      <c r="CU33" s="114" t="s">
        <v>37</v>
      </c>
      <c r="CV33" s="254"/>
      <c r="CW33" s="254"/>
      <c r="CX33" s="254"/>
      <c r="CY33" s="254"/>
      <c r="CZ33" s="98" t="str">
        <f ca="1">SUBSTITUTE(SUBSTITUTE(ADDRESS(1,MATCH("おやつ",'数出表_Excel（アレルギー入力）'!$3:$3,0)),1,""),"$","")</f>
        <v>AL</v>
      </c>
      <c r="DC33" s="114" t="s">
        <v>37</v>
      </c>
      <c r="DD33" s="254"/>
      <c r="DE33" s="254"/>
      <c r="DF33" s="254"/>
      <c r="DG33" s="254"/>
      <c r="DH33" s="98" t="str">
        <f ca="1">SUBSTITUTE(SUBSTITUTE(ADDRESS(1,MATCH("おやつ",'数出表_Excel（アレルギー入力）'!$3:$3,0)),1,""),"$","")</f>
        <v>AL</v>
      </c>
      <c r="DJ33" s="114" t="s">
        <v>37</v>
      </c>
      <c r="DK33" s="254"/>
      <c r="DL33" s="254"/>
      <c r="DM33" s="254"/>
      <c r="DN33" s="254"/>
      <c r="DO33" s="98" t="str">
        <f ca="1">SUBSTITUTE(SUBSTITUTE(ADDRESS(1,MATCH("おやつ",'数出表_Excel（アレルギー入力）'!$3:$3,0)),1,""),"$","")</f>
        <v>AL</v>
      </c>
      <c r="DR33" s="114" t="s">
        <v>37</v>
      </c>
      <c r="DS33" s="254"/>
      <c r="DT33" s="254"/>
      <c r="DU33" s="254"/>
      <c r="DV33" s="254"/>
      <c r="DW33" s="98" t="str">
        <f ca="1">SUBSTITUTE(SUBSTITUTE(ADDRESS(1,MATCH("おやつ",'数出表_Excel（アレルギー入力）'!$3:$3,0)),1,""),"$","")</f>
        <v>AL</v>
      </c>
      <c r="DY33" s="114" t="s">
        <v>37</v>
      </c>
      <c r="DZ33" s="254"/>
      <c r="EA33" s="254"/>
      <c r="EB33" s="254"/>
      <c r="EC33" s="254"/>
      <c r="ED33" s="98" t="str">
        <f ca="1">SUBSTITUTE(SUBSTITUTE(ADDRESS(1,MATCH("おやつ",'数出表_Excel（アレルギー入力）'!$3:$3,0)),1,""),"$","")</f>
        <v>AL</v>
      </c>
      <c r="EG33" s="114" t="s">
        <v>37</v>
      </c>
      <c r="EH33" s="254"/>
      <c r="EI33" s="254"/>
      <c r="EJ33" s="254"/>
      <c r="EK33" s="254"/>
      <c r="EL33" s="98" t="str">
        <f ca="1">SUBSTITUTE(SUBSTITUTE(ADDRESS(1,MATCH("おやつ",'数出表_Excel（アレルギー入力）'!$3:$3,0)),1,""),"$","")</f>
        <v>AL</v>
      </c>
      <c r="EN33" s="114" t="s">
        <v>37</v>
      </c>
      <c r="EO33" s="254"/>
      <c r="EP33" s="254"/>
      <c r="EQ33" s="254"/>
      <c r="ER33" s="254"/>
      <c r="ES33" s="98" t="str">
        <f ca="1">SUBSTITUTE(SUBSTITUTE(ADDRESS(1,MATCH("おやつ",'数出表_Excel（アレルギー入力）'!$3:$3,0)),1,""),"$","")</f>
        <v>AL</v>
      </c>
      <c r="ET33" s="106"/>
      <c r="EU33" s="78">
        <f t="shared" si="3"/>
        <v>119</v>
      </c>
      <c r="EV33" s="78" t="str">
        <f t="array" aca="1" ref="EV3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LEN(SUBSTITUTE(_xlfn.FORMULATEXT(EV$1),"=","")))+$EU33)</f>
        <v/>
      </c>
      <c r="EW33" s="78" t="str">
        <f t="array" aca="1" ref="EW3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LEN(SUBSTITUTE(_xlfn.FORMULATEXT(EW$1),"=","")))+$EU33)</f>
        <v/>
      </c>
      <c r="EX33" s="78" t="str">
        <f t="array" aca="1" ref="EX3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LEN(SUBSTITUTE(_xlfn.FORMULATEXT(EX$1),"=","")))+$EU33)</f>
        <v/>
      </c>
      <c r="EY33" s="78" t="str">
        <f t="array" aca="1" ref="EY3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LEN(SUBSTITUTE(_xlfn.FORMULATEXT(EY$1),"=","")))+$EU33)</f>
        <v/>
      </c>
      <c r="EZ33" s="78" t="str">
        <f t="array" aca="1" ref="EZ3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LEN(SUBSTITUTE(_xlfn.FORMULATEXT(EZ$1),"=","")))+$EU33)</f>
        <v/>
      </c>
      <c r="FA33" s="78" t="str">
        <f t="array" aca="1" ref="FA3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LEN(SUBSTITUTE(_xlfn.FORMULATEXT(FA$1),"=","")))+$EU33)</f>
        <v/>
      </c>
      <c r="FB33" s="78" t="str">
        <f t="array" aca="1" ref="FB3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LEN(SUBSTITUTE(_xlfn.FORMULATEXT(FB$1),"=","")))+$EU33)</f>
        <v/>
      </c>
      <c r="FC33" s="78" t="str">
        <f t="array" aca="1" ref="FC3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LEN(SUBSTITUTE(_xlfn.FORMULATEXT(FC$1),"=","")))+$EU33)</f>
        <v/>
      </c>
      <c r="FD33" s="78" t="str">
        <f t="array" aca="1" ref="FD3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LEN(SUBSTITUTE(_xlfn.FORMULATEXT(FD$1),"=","")))+$EU33)</f>
        <v/>
      </c>
      <c r="FE33" s="78" t="str">
        <f t="array" aca="1" ref="FE3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LEN(SUBSTITUTE(_xlfn.FORMULATEXT(FE$1),"=","")))+$EU33)</f>
        <v/>
      </c>
      <c r="FF33" s="78" t="str">
        <f t="array" aca="1" ref="FF3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LEN(SUBSTITUTE(_xlfn.FORMULATEXT(FF$1),"=","")))+$EU33)</f>
        <v/>
      </c>
      <c r="FG33" s="78">
        <f t="shared" ca="1" si="2"/>
        <v>0</v>
      </c>
      <c r="FH33" s="78" t="b">
        <f t="array" aca="1" ref="FH33" ca="1">SUMPRODUCT((LEN(EV33:FF33)&gt;0)*1)&gt;0</f>
        <v>0</v>
      </c>
      <c r="FI33" s="78" t="str">
        <f t="array" aca="1" ref="FI33" ca="1">IFERROR(SMALL(IF(FG$1:FG$228&lt;&gt;0,FG$1:FG$228),ROW(A33)),"")</f>
        <v/>
      </c>
      <c r="FJ33" s="78" t="str">
        <f t="array" aca="1" ref="FJ33" ca="1">IF($FI33&lt;&gt;"",
INDIRECT(""&amp;IF(COLUMN(EV49)&lt;=26,CHAR(COLUMN(EV49)+64),CHAR(INT((COLUMN(EV49)-1)/26)+64)&amp;CHAR(MOD(COLUMN(EV49)-1,26)+65))&amp;$FI33&amp;""),"")</f>
        <v/>
      </c>
      <c r="FK33" s="78" t="str">
        <f t="array" aca="1" ref="FK33" ca="1">IF($FI33&lt;&gt;"",
INDIRECT(""&amp;IF(COLUMN(EW49)&lt;=26,CHAR(COLUMN(EW49)+64),CHAR(INT((COLUMN(EW49)-1)/26)+64)&amp;CHAR(MOD(COLUMN(EW49)-1,26)+65))&amp;$FI33&amp;""),"")</f>
        <v/>
      </c>
      <c r="FL33" s="78" t="str">
        <f t="array" aca="1" ref="FL33" ca="1">IF($FI33&lt;&gt;"",
INDIRECT(""&amp;IF(COLUMN(EX49)&lt;=26,CHAR(COLUMN(EX49)+64),CHAR(INT((COLUMN(EX49)-1)/26)+64)&amp;CHAR(MOD(COLUMN(EX49)-1,26)+65))&amp;$FI33&amp;""),"")</f>
        <v/>
      </c>
      <c r="FM33" s="78" t="str">
        <f t="array" aca="1" ref="FM33" ca="1">IF($FI33&lt;&gt;"",
IF(FL33="",
IF(INDIRECT("EY"&amp;$FI33&amp;"")&lt;&gt;"",
INDIRECT("EY"&amp;$FI33&amp;"")&amp;"箱"
&amp;INDIRECT("EZ"&amp;$FI33&amp;""),""),""),"")</f>
        <v/>
      </c>
      <c r="FN33" s="78" t="str">
        <f t="array" aca="1" ref="FN33" ca="1">IF($FI33&lt;&gt;"",
INDIRECT(""&amp;IF(COLUMN(FA49)&lt;=26,CHAR(COLUMN(FA49)+64),CHAR(INT((COLUMN(FA49)-1)/26)+64)&amp;CHAR(MOD(COLUMN(FA49)-1,26)+65))&amp;$FI33&amp;""),"")</f>
        <v/>
      </c>
      <c r="FO33" s="78" t="str">
        <f t="array" aca="1" ref="FO33" ca="1">IF($FI33&lt;&gt;"",
INDIRECT(""&amp;IF(COLUMN(FB49)&lt;=26,CHAR(COLUMN(FB49)+64),CHAR(INT((COLUMN(FB49)-1)/26)+64)&amp;CHAR(MOD(COLUMN(FB49)-1,26)+65))&amp;$FI33&amp;""),"")</f>
        <v/>
      </c>
      <c r="FP33" s="78" t="str">
        <f t="array" aca="1" ref="FP33" ca="1">IF($FI33&lt;&gt;"",
INDIRECT(""&amp;IF(COLUMN(FC49)&lt;=26,CHAR(COLUMN(FC49)+64),CHAR(INT((COLUMN(FC49)-1)/26)+64)&amp;CHAR(MOD(COLUMN(FC49)-1,26)+65))&amp;$FI33&amp;""),"")</f>
        <v/>
      </c>
      <c r="FQ33" s="78" t="str">
        <f t="array" aca="1" ref="FQ33" ca="1">IF($FI33&lt;&gt;"",
INDIRECT(""&amp;IF(COLUMN(FD49)&lt;=26,CHAR(COLUMN(FD49)+64),CHAR(INT((COLUMN(FD49)-1)/26)+64)&amp;CHAR(MOD(COLUMN(FD49)-1,26)+65))&amp;$FI33&amp;""),"")</f>
        <v/>
      </c>
      <c r="FR33" s="78" t="str">
        <f t="array" aca="1" ref="FR33" ca="1">IF($FI33&lt;&gt;"",
INDIRECT(""&amp;IF(COLUMN(FE49)&lt;=26,CHAR(COLUMN(FE49)+64),CHAR(INT((COLUMN(FE49)-1)/26)+64)&amp;CHAR(MOD(COLUMN(FE49)-1,26)+65))&amp;$FI33&amp;""),"")</f>
        <v/>
      </c>
      <c r="FS33" s="78" t="str">
        <f t="array" aca="1" ref="FS33" ca="1">IF($FI33&lt;&gt;"",
INDIRECT(""&amp;IF(COLUMN(FF49)&lt;=26,CHAR(COLUMN(FF49)+64),CHAR(INT((COLUMN(FF49)-1)/26)+64)&amp;CHAR(MOD(COLUMN(FF49)-1,26)+65))&amp;$FI33&amp;""),"")</f>
        <v/>
      </c>
    </row>
    <row r="34" spans="1:175" s="78" customFormat="1" ht="22.2" customHeight="1" x14ac:dyDescent="0.55000000000000004">
      <c r="A34" s="76"/>
      <c r="B34" s="89" t="str">
        <f ca="1">IF(C30&lt;&gt;"",
"パン箱","")</f>
        <v/>
      </c>
      <c r="C34" s="90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89" t="str">
        <f ca="1">IF(C30&lt;&gt;"",
" 端数","")</f>
        <v/>
      </c>
      <c r="E34" s="90"/>
      <c r="F34" s="89" t="str">
        <f ca="1">IF(C30&lt;&gt;"",
"アレルギー","")</f>
        <v/>
      </c>
      <c r="G34" s="97"/>
      <c r="H34" s="76"/>
      <c r="I34" s="89" t="str">
        <f ca="1">IF(J30&lt;&gt;"",
"パン箱","")</f>
        <v/>
      </c>
      <c r="J34" s="90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89" t="str">
        <f ca="1">IF(J30&lt;&gt;"",
" 端数","")</f>
        <v/>
      </c>
      <c r="L34" s="90"/>
      <c r="M34" s="89" t="str">
        <f ca="1">IF(J30&lt;&gt;"",
"アレルギー","")</f>
        <v/>
      </c>
      <c r="N34" s="97"/>
      <c r="O34" s="76"/>
      <c r="P34" s="76"/>
      <c r="Q34" s="89" t="str">
        <f ca="1">IF(R30&lt;&gt;"",
"パン箱","")</f>
        <v/>
      </c>
      <c r="R34" s="90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89" t="str">
        <f ca="1">IF(R30&lt;&gt;"",
" 端数","")</f>
        <v/>
      </c>
      <c r="T34" s="90"/>
      <c r="U34" s="89" t="str">
        <f ca="1">IF(R30&lt;&gt;"",
"アレルギー","")</f>
        <v/>
      </c>
      <c r="V34" s="97"/>
      <c r="W34" s="76"/>
      <c r="X34" s="89" t="str">
        <f ca="1">IF(Y30&lt;&gt;"",
"パン箱","")</f>
        <v/>
      </c>
      <c r="Y34" s="90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89" t="str">
        <f ca="1">IF(Y30&lt;&gt;"",
" 端数","")</f>
        <v/>
      </c>
      <c r="AA34" s="90"/>
      <c r="AB34" s="89" t="str">
        <f ca="1">IF(Y30&lt;&gt;"",
"アレルギー","")</f>
        <v/>
      </c>
      <c r="AC34" s="97"/>
      <c r="AD34" s="76"/>
      <c r="AE34" s="76"/>
      <c r="AF34" s="89" t="str">
        <f ca="1">IF(AG30&lt;&gt;"",
"パン箱","")</f>
        <v/>
      </c>
      <c r="AG34" s="90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89" t="str">
        <f ca="1">IF(AG30&lt;&gt;"",
" 端数","")</f>
        <v/>
      </c>
      <c r="AI34" s="90"/>
      <c r="AJ34" s="89" t="str">
        <f ca="1">IF(AG30&lt;&gt;"",
"アレルギー","")</f>
        <v/>
      </c>
      <c r="AK34" s="97"/>
      <c r="AL34" s="76"/>
      <c r="AM34" s="89" t="str">
        <f ca="1">IF(AN30&lt;&gt;"",
"パン箱","")</f>
        <v/>
      </c>
      <c r="AN34" s="90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89" t="str">
        <f ca="1">IF(AN30&lt;&gt;"",
" 端数","")</f>
        <v/>
      </c>
      <c r="AP34" s="90"/>
      <c r="AQ34" s="89" t="str">
        <f ca="1">IF(AN30&lt;&gt;"",
"アレルギー","")</f>
        <v/>
      </c>
      <c r="AR34" s="97"/>
      <c r="AS34" s="76"/>
      <c r="AT34" s="76"/>
      <c r="AU34" s="89" t="str">
        <f ca="1">IF(AV30&lt;&gt;"",
"パン箱","")</f>
        <v/>
      </c>
      <c r="AV34" s="90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89" t="str">
        <f ca="1">IF(AV30&lt;&gt;"",
" 端数","")</f>
        <v/>
      </c>
      <c r="AX34" s="90"/>
      <c r="AY34" s="89" t="str">
        <f ca="1">IF(AV30&lt;&gt;"",
"アレルギー","")</f>
        <v/>
      </c>
      <c r="AZ34" s="97"/>
      <c r="BA34" s="76"/>
      <c r="BB34" s="89" t="str">
        <f ca="1">IF(BC30&lt;&gt;"",
"パン箱","")</f>
        <v/>
      </c>
      <c r="BC34" s="90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89" t="str">
        <f ca="1">IF(BC30&lt;&gt;"",
" 端数","")</f>
        <v/>
      </c>
      <c r="BE34" s="90"/>
      <c r="BF34" s="89" t="str">
        <f ca="1">IF(BC30&lt;&gt;"",
"アレルギー","")</f>
        <v/>
      </c>
      <c r="BG34" s="97"/>
      <c r="BH34" s="76"/>
      <c r="BI34" s="76"/>
      <c r="BJ34" s="89" t="str">
        <f ca="1">IF(BK30&lt;&gt;"",
"パン箱","")</f>
        <v/>
      </c>
      <c r="BK34" s="90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89" t="str">
        <f ca="1">IF(BK30&lt;&gt;"",
" 端数","")</f>
        <v/>
      </c>
      <c r="BM34" s="90"/>
      <c r="BN34" s="89" t="str">
        <f ca="1">IF(BK30&lt;&gt;"",
"アレルギー","")</f>
        <v/>
      </c>
      <c r="BO34" s="97"/>
      <c r="BP34" s="76"/>
      <c r="BQ34" s="89" t="str">
        <f ca="1">IF(BR30&lt;&gt;"",
"パン箱","")</f>
        <v/>
      </c>
      <c r="BR34" s="90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89" t="str">
        <f ca="1">IF(BR30&lt;&gt;"",
" 端数","")</f>
        <v/>
      </c>
      <c r="BT34" s="90"/>
      <c r="BU34" s="89" t="str">
        <f ca="1">IF(BR30&lt;&gt;"",
"アレルギー","")</f>
        <v/>
      </c>
      <c r="BV34" s="97"/>
      <c r="BW34" s="76"/>
      <c r="BX34" s="76"/>
      <c r="BY34" s="89" t="str">
        <f ca="1">IF(BZ30&lt;&gt;"",
"パン箱","")</f>
        <v/>
      </c>
      <c r="BZ34" s="90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89" t="str">
        <f ca="1">IF(BZ30&lt;&gt;"",
" 端数","")</f>
        <v/>
      </c>
      <c r="CB34" s="90"/>
      <c r="CC34" s="89" t="str">
        <f ca="1">IF(BZ30&lt;&gt;"",
"アレルギー","")</f>
        <v/>
      </c>
      <c r="CD34" s="97"/>
      <c r="CE34" s="76"/>
      <c r="CF34" s="89" t="str">
        <f ca="1">IF(CG30&lt;&gt;"",
"パン箱","")</f>
        <v/>
      </c>
      <c r="CG34" s="90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89" t="str">
        <f ca="1">IF(CG30&lt;&gt;"",
" 端数","")</f>
        <v/>
      </c>
      <c r="CI34" s="90"/>
      <c r="CJ34" s="89" t="str">
        <f ca="1">IF(CG30&lt;&gt;"",
"アレルギー","")</f>
        <v/>
      </c>
      <c r="CK34" s="97"/>
      <c r="CL34" s="76"/>
      <c r="CM34" s="76"/>
      <c r="CN34" s="89" t="str">
        <f ca="1">IF(CO30&lt;&gt;"",
"パン箱","")</f>
        <v/>
      </c>
      <c r="CO34" s="90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89" t="str">
        <f ca="1">IF(CO30&lt;&gt;"",
" 端数","")</f>
        <v/>
      </c>
      <c r="CQ34" s="90"/>
      <c r="CR34" s="89" t="str">
        <f ca="1">IF(CO30&lt;&gt;"",
"アレルギー","")</f>
        <v/>
      </c>
      <c r="CS34" s="97"/>
      <c r="CT34" s="76"/>
      <c r="CU34" s="89" t="str">
        <f ca="1">IF(CV30&lt;&gt;"",
"パン箱","")</f>
        <v/>
      </c>
      <c r="CV34" s="90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89" t="str">
        <f ca="1">IF(CV30&lt;&gt;"",
" 端数","")</f>
        <v/>
      </c>
      <c r="CX34" s="90"/>
      <c r="CY34" s="89" t="str">
        <f ca="1">IF(CV30&lt;&gt;"",
"アレルギー","")</f>
        <v/>
      </c>
      <c r="CZ34" s="97"/>
      <c r="DA34" s="76"/>
      <c r="DB34" s="76"/>
      <c r="DC34" s="89" t="str">
        <f ca="1">IF(DD30&lt;&gt;"",
"パン箱","")</f>
        <v/>
      </c>
      <c r="DD34" s="90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89" t="str">
        <f ca="1">IF(DD30&lt;&gt;"",
" 端数","")</f>
        <v/>
      </c>
      <c r="DF34" s="90"/>
      <c r="DG34" s="89" t="str">
        <f ca="1">IF(DD30&lt;&gt;"",
"アレルギー","")</f>
        <v/>
      </c>
      <c r="DH34" s="97"/>
      <c r="DI34" s="76"/>
      <c r="DJ34" s="89" t="str">
        <f ca="1">IF(DK30&lt;&gt;"",
"パン箱","")</f>
        <v/>
      </c>
      <c r="DK34" s="90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89" t="str">
        <f ca="1">IF(DK30&lt;&gt;"",
" 端数","")</f>
        <v/>
      </c>
      <c r="DM34" s="90"/>
      <c r="DN34" s="89" t="str">
        <f ca="1">IF(DK30&lt;&gt;"",
"アレルギー","")</f>
        <v/>
      </c>
      <c r="DO34" s="97"/>
      <c r="DP34" s="76"/>
      <c r="DQ34" s="76"/>
      <c r="DR34" s="89" t="str">
        <f ca="1">IF(DS30&lt;&gt;"",
"パン箱","")</f>
        <v/>
      </c>
      <c r="DS34" s="90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89" t="str">
        <f ca="1">IF(DS30&lt;&gt;"",
" 端数","")</f>
        <v/>
      </c>
      <c r="DU34" s="90"/>
      <c r="DV34" s="89" t="str">
        <f ca="1">IF(DS30&lt;&gt;"",
"アレルギー","")</f>
        <v/>
      </c>
      <c r="DW34" s="97"/>
      <c r="DX34" s="76"/>
      <c r="DY34" s="89" t="str">
        <f ca="1">IF(DZ30&lt;&gt;"",
"パン箱","")</f>
        <v/>
      </c>
      <c r="DZ34" s="90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89" t="str">
        <f ca="1">IF(DZ30&lt;&gt;"",
" 端数","")</f>
        <v/>
      </c>
      <c r="EB34" s="90"/>
      <c r="EC34" s="89" t="str">
        <f ca="1">IF(DZ30&lt;&gt;"",
"アレルギー","")</f>
        <v/>
      </c>
      <c r="ED34" s="97"/>
      <c r="EE34" s="76"/>
      <c r="EF34" s="76"/>
      <c r="EG34" s="89" t="str">
        <f ca="1">IF(EH30&lt;&gt;"",
"パン箱","")</f>
        <v/>
      </c>
      <c r="EH34" s="90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89" t="str">
        <f ca="1">IF(EH30&lt;&gt;"",
" 端数","")</f>
        <v/>
      </c>
      <c r="EJ34" s="90"/>
      <c r="EK34" s="89" t="str">
        <f ca="1">IF(EH30&lt;&gt;"",
"アレルギー","")</f>
        <v/>
      </c>
      <c r="EL34" s="97"/>
      <c r="EM34" s="76"/>
      <c r="EN34" s="89" t="str">
        <f ca="1">IF(EO30&lt;&gt;"",
"パン箱","")</f>
        <v/>
      </c>
      <c r="EO34" s="90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89" t="str">
        <f ca="1">IF(EO30&lt;&gt;"",
" 端数","")</f>
        <v/>
      </c>
      <c r="EQ34" s="90"/>
      <c r="ER34" s="89" t="str">
        <f ca="1">IF(EO30&lt;&gt;"",
"アレルギー","")</f>
        <v/>
      </c>
      <c r="ES34" s="97"/>
      <c r="ET34" s="106"/>
      <c r="EU34" s="87">
        <f t="shared" si="3"/>
        <v>35</v>
      </c>
      <c r="EV34" s="78" t="str">
        <f t="array" aca="1" ref="EV34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LEN(SUBSTITUTE(_xlfn.FORMULATEXT(EV$4),"=","")))+$EU34)</f>
        <v/>
      </c>
      <c r="EW34" s="78" t="str">
        <f t="array" aca="1" ref="EW34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LEN(SUBSTITUTE(_xlfn.FORMULATEXT(EW$4),"=","")))+$EU34)</f>
        <v/>
      </c>
      <c r="EX34" s="78" t="str">
        <f t="array" aca="1" ref="EX34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LEN(SUBSTITUTE(_xlfn.FORMULATEXT(EX$4),"=","")))+$EU34)</f>
        <v/>
      </c>
      <c r="EY34" s="78" t="str">
        <f t="array" aca="1" ref="EY34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LEN(SUBSTITUTE(_xlfn.FORMULATEXT(EY$4),"=","")))+$EU34)</f>
        <v/>
      </c>
      <c r="EZ34" s="78" t="str">
        <f t="array" aca="1" ref="EZ34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LEN(SUBSTITUTE(_xlfn.FORMULATEXT(EZ$4),"=","")))+$EU34)</f>
        <v/>
      </c>
      <c r="FA34" s="78" t="e">
        <f t="array" aca="1" ref="FA34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LEN(SUBSTITUTE(_xlfn.FORMULATEXT(FA$4),"=","")))+$EU34)</f>
        <v>#VALUE!</v>
      </c>
      <c r="FB34" s="78" t="e">
        <f t="array" aca="1" ref="FB34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LEN(SUBSTITUTE(_xlfn.FORMULATEXT(FB$4),"=","")))+$EU34)</f>
        <v>#VALUE!</v>
      </c>
      <c r="FC34" s="78" t="str">
        <f t="array" aca="1" ref="FC34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LEN(SUBSTITUTE(_xlfn.FORMULATEXT(FC$4),"=","")))+$EU34)</f>
        <v/>
      </c>
      <c r="FD34" s="78" t="e">
        <f t="array" aca="1" ref="FD34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LEN(SUBSTITUTE(_xlfn.FORMULATEXT(FD$4),"=","")))+$EU34)</f>
        <v>#VALUE!</v>
      </c>
      <c r="FE34" s="78" t="str">
        <f t="array" aca="1" ref="FE34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LEN(SUBSTITUTE(_xlfn.FORMULATEXT(FE$4),"=","")))+$EU34)</f>
        <v/>
      </c>
      <c r="FF34" s="78" t="e">
        <f t="array" aca="1" ref="FF34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LEN(SUBSTITUTE(_xlfn.FORMULATEXT(FF$4),"=","")))+$EU34)</f>
        <v>#VALUE!</v>
      </c>
      <c r="FG34" s="78">
        <f t="shared" ca="1" si="2"/>
        <v>0</v>
      </c>
      <c r="FH34" s="78" t="e">
        <f t="array" aca="1" ref="FH34" ca="1">SUMPRODUCT((LEN(EV34:FF34)&gt;0)*1)&gt;0</f>
        <v>#VALUE!</v>
      </c>
      <c r="FI34" s="78" t="str">
        <f t="array" aca="1" ref="FI34" ca="1">IFERROR(SMALL(IF(FG$1:FG$228&lt;&gt;0,FG$1:FG$228),ROW(A34)),"")</f>
        <v/>
      </c>
      <c r="FJ34" s="78" t="str">
        <f t="array" aca="1" ref="FJ34" ca="1">IF($FI34&lt;&gt;"",
INDIRECT(""&amp;IF(COLUMN(EV50)&lt;=26,CHAR(COLUMN(EV50)+64),CHAR(INT((COLUMN(EV50)-1)/26)+64)&amp;CHAR(MOD(COLUMN(EV50)-1,26)+65))&amp;$FI34&amp;""),"")</f>
        <v/>
      </c>
      <c r="FK34" s="78" t="str">
        <f t="array" aca="1" ref="FK34" ca="1">IF($FI34&lt;&gt;"",
INDIRECT(""&amp;IF(COLUMN(EW50)&lt;=26,CHAR(COLUMN(EW50)+64),CHAR(INT((COLUMN(EW50)-1)/26)+64)&amp;CHAR(MOD(COLUMN(EW50)-1,26)+65))&amp;$FI34&amp;""),"")</f>
        <v/>
      </c>
      <c r="FL34" s="78" t="str">
        <f t="array" aca="1" ref="FL34" ca="1">IF($FI34&lt;&gt;"",
INDIRECT(""&amp;IF(COLUMN(EX50)&lt;=26,CHAR(COLUMN(EX50)+64),CHAR(INT((COLUMN(EX50)-1)/26)+64)&amp;CHAR(MOD(COLUMN(EX50)-1,26)+65))&amp;$FI34&amp;""),"")</f>
        <v/>
      </c>
      <c r="FM34" s="78" t="str">
        <f t="array" aca="1" ref="FM34" ca="1">IF($FI34&lt;&gt;"",
IF(FL34="",
IF(INDIRECT("EY"&amp;$FI34&amp;"")&lt;&gt;"",
INDIRECT("EY"&amp;$FI34&amp;"")&amp;"箱"
&amp;INDIRECT("EZ"&amp;$FI34&amp;""),""),""),"")</f>
        <v/>
      </c>
      <c r="FN34" s="78" t="str">
        <f t="array" aca="1" ref="FN34" ca="1">IF($FI34&lt;&gt;"",
INDIRECT(""&amp;IF(COLUMN(FA50)&lt;=26,CHAR(COLUMN(FA50)+64),CHAR(INT((COLUMN(FA50)-1)/26)+64)&amp;CHAR(MOD(COLUMN(FA50)-1,26)+65))&amp;$FI34&amp;""),"")</f>
        <v/>
      </c>
      <c r="FO34" s="78" t="str">
        <f t="array" aca="1" ref="FO34" ca="1">IF($FI34&lt;&gt;"",
INDIRECT(""&amp;IF(COLUMN(FB50)&lt;=26,CHAR(COLUMN(FB50)+64),CHAR(INT((COLUMN(FB50)-1)/26)+64)&amp;CHAR(MOD(COLUMN(FB50)-1,26)+65))&amp;$FI34&amp;""),"")</f>
        <v/>
      </c>
      <c r="FP34" s="78" t="str">
        <f t="array" aca="1" ref="FP34" ca="1">IF($FI34&lt;&gt;"",
INDIRECT(""&amp;IF(COLUMN(FC50)&lt;=26,CHAR(COLUMN(FC50)+64),CHAR(INT((COLUMN(FC50)-1)/26)+64)&amp;CHAR(MOD(COLUMN(FC50)-1,26)+65))&amp;$FI34&amp;""),"")</f>
        <v/>
      </c>
      <c r="FQ34" s="78" t="str">
        <f t="array" aca="1" ref="FQ34" ca="1">IF($FI34&lt;&gt;"",
INDIRECT(""&amp;IF(COLUMN(FD50)&lt;=26,CHAR(COLUMN(FD50)+64),CHAR(INT((COLUMN(FD50)-1)/26)+64)&amp;CHAR(MOD(COLUMN(FD50)-1,26)+65))&amp;$FI34&amp;""),"")</f>
        <v/>
      </c>
      <c r="FR34" s="78" t="str">
        <f t="array" aca="1" ref="FR34" ca="1">IF($FI34&lt;&gt;"",
INDIRECT(""&amp;IF(COLUMN(FE50)&lt;=26,CHAR(COLUMN(FE50)+64),CHAR(INT((COLUMN(FE50)-1)/26)+64)&amp;CHAR(MOD(COLUMN(FE50)-1,26)+65))&amp;$FI34&amp;""),"")</f>
        <v/>
      </c>
      <c r="FS34" s="78" t="str">
        <f t="array" aca="1" ref="FS34" ca="1">IF($FI34&lt;&gt;"",
INDIRECT(""&amp;IF(COLUMN(FF50)&lt;=26,CHAR(COLUMN(FF50)+64),CHAR(INT((COLUMN(FF50)-1)/26)+64)&amp;CHAR(MOD(COLUMN(FF50)-1,26)+65))&amp;$FI34&amp;""),"")</f>
        <v/>
      </c>
    </row>
    <row r="35" spans="1:175" ht="21" customHeight="1" x14ac:dyDescent="0.45">
      <c r="B35" s="244" t="e">
        <f ca="1">IF(C32&lt;&gt;"",
IFERROR(INT(C32/C34),""),"")</f>
        <v>#VALUE!</v>
      </c>
      <c r="C35" s="245"/>
      <c r="D35" s="244" t="str">
        <f ca="1">IFERROR(MOD(C32,C34),"")</f>
        <v/>
      </c>
      <c r="E35" s="245"/>
      <c r="F35" s="246" t="e">
        <f ca="1">G31+G32</f>
        <v>#VALUE!</v>
      </c>
      <c r="G35" s="245"/>
      <c r="I35" s="244" t="e">
        <f ca="1">IF(J32&lt;&gt;"",
IFERROR(INT(J32/J34),""),"")</f>
        <v>#VALUE!</v>
      </c>
      <c r="J35" s="245"/>
      <c r="K35" s="244" t="str">
        <f ca="1">IFERROR(MOD(J32,J34),"")</f>
        <v/>
      </c>
      <c r="L35" s="245"/>
      <c r="M35" s="246" t="e">
        <f ca="1">N31+N32</f>
        <v>#VALUE!</v>
      </c>
      <c r="N35" s="245"/>
      <c r="Q35" s="244" t="e">
        <f ca="1">IF(R32&lt;&gt;"",
IFERROR(INT(R32/R34),""),"")</f>
        <v>#VALUE!</v>
      </c>
      <c r="R35" s="245"/>
      <c r="S35" s="244" t="str">
        <f ca="1">IFERROR(MOD(R32,R34),"")</f>
        <v/>
      </c>
      <c r="T35" s="245"/>
      <c r="U35" s="246" t="e">
        <f ca="1">V31+V32</f>
        <v>#VALUE!</v>
      </c>
      <c r="V35" s="245"/>
      <c r="X35" s="244" t="e">
        <f ca="1">IF(Y32&lt;&gt;"",
IFERROR(INT(Y32/Y34),""),"")</f>
        <v>#VALUE!</v>
      </c>
      <c r="Y35" s="245"/>
      <c r="Z35" s="244" t="str">
        <f ca="1">IFERROR(MOD(Y32,Y34),"")</f>
        <v/>
      </c>
      <c r="AA35" s="245"/>
      <c r="AB35" s="246" t="e">
        <f ca="1">AC31+AC32</f>
        <v>#VALUE!</v>
      </c>
      <c r="AC35" s="245"/>
      <c r="AF35" s="244" t="e">
        <f ca="1">IF(AG32&lt;&gt;"",
IFERROR(INT(AG32/AG34),""),"")</f>
        <v>#VALUE!</v>
      </c>
      <c r="AG35" s="245"/>
      <c r="AH35" s="244" t="str">
        <f ca="1">IFERROR(MOD(AG32,AG34),"")</f>
        <v/>
      </c>
      <c r="AI35" s="245"/>
      <c r="AJ35" s="246" t="e">
        <f ca="1">AK31+AK32</f>
        <v>#VALUE!</v>
      </c>
      <c r="AK35" s="245"/>
      <c r="AM35" s="244" t="e">
        <f ca="1">IF(AN32&lt;&gt;"",
IFERROR(INT(AN32/AN34),""),"")</f>
        <v>#VALUE!</v>
      </c>
      <c r="AN35" s="245"/>
      <c r="AO35" s="244" t="str">
        <f ca="1">IFERROR(MOD(AN32,AN34),"")</f>
        <v/>
      </c>
      <c r="AP35" s="245"/>
      <c r="AQ35" s="246" t="e">
        <f ca="1">AR31+AR32</f>
        <v>#VALUE!</v>
      </c>
      <c r="AR35" s="245"/>
      <c r="AU35" s="244" t="e">
        <f ca="1">IF(AV32&lt;&gt;"",
IFERROR(INT(AV32/AV34),""),"")</f>
        <v>#VALUE!</v>
      </c>
      <c r="AV35" s="245"/>
      <c r="AW35" s="244" t="str">
        <f ca="1">IFERROR(MOD(AV32,AV34),"")</f>
        <v/>
      </c>
      <c r="AX35" s="245"/>
      <c r="AY35" s="246" t="e">
        <f ca="1">AZ31+AZ32</f>
        <v>#VALUE!</v>
      </c>
      <c r="AZ35" s="245"/>
      <c r="BB35" s="244" t="e">
        <f ca="1">IF(BC32&lt;&gt;"",
IFERROR(INT(BC32/BC34),""),"")</f>
        <v>#VALUE!</v>
      </c>
      <c r="BC35" s="245"/>
      <c r="BD35" s="244" t="str">
        <f ca="1">IFERROR(MOD(BC32,BC34),"")</f>
        <v/>
      </c>
      <c r="BE35" s="245"/>
      <c r="BF35" s="246" t="e">
        <f ca="1">BG31+BG32</f>
        <v>#VALUE!</v>
      </c>
      <c r="BG35" s="245"/>
      <c r="BJ35" s="244" t="e">
        <f ca="1">IF(BK32&lt;&gt;"",
IFERROR(INT(BK32/BK34),""),"")</f>
        <v>#VALUE!</v>
      </c>
      <c r="BK35" s="245"/>
      <c r="BL35" s="244" t="str">
        <f ca="1">IFERROR(MOD(BK32,BK34),"")</f>
        <v/>
      </c>
      <c r="BM35" s="245"/>
      <c r="BN35" s="246" t="e">
        <f ca="1">BO31+BO32</f>
        <v>#VALUE!</v>
      </c>
      <c r="BO35" s="245"/>
      <c r="BQ35" s="244" t="e">
        <f ca="1">IF(BR32&lt;&gt;"",
IFERROR(INT(BR32/BR34),""),"")</f>
        <v>#VALUE!</v>
      </c>
      <c r="BR35" s="245"/>
      <c r="BS35" s="244" t="str">
        <f ca="1">IFERROR(MOD(BR32,BR34),"")</f>
        <v/>
      </c>
      <c r="BT35" s="245"/>
      <c r="BU35" s="246" t="e">
        <f ca="1">BV31+BV32</f>
        <v>#VALUE!</v>
      </c>
      <c r="BV35" s="245"/>
      <c r="BY35" s="244" t="e">
        <f ca="1">IF(BZ32&lt;&gt;"",
IFERROR(INT(BZ32/BZ34),""),"")</f>
        <v>#VALUE!</v>
      </c>
      <c r="BZ35" s="245"/>
      <c r="CA35" s="244" t="str">
        <f ca="1">IFERROR(MOD(BZ32,BZ34),"")</f>
        <v/>
      </c>
      <c r="CB35" s="245"/>
      <c r="CC35" s="246" t="e">
        <f ca="1">CD31+CD32</f>
        <v>#VALUE!</v>
      </c>
      <c r="CD35" s="245"/>
      <c r="CF35" s="244" t="e">
        <f ca="1">IF(CG32&lt;&gt;"",
IFERROR(INT(CG32/CG34),""),"")</f>
        <v>#VALUE!</v>
      </c>
      <c r="CG35" s="245"/>
      <c r="CH35" s="244" t="str">
        <f ca="1">IFERROR(MOD(CG32,CG34),"")</f>
        <v/>
      </c>
      <c r="CI35" s="245"/>
      <c r="CJ35" s="246" t="e">
        <f ca="1">CK31+CK32</f>
        <v>#VALUE!</v>
      </c>
      <c r="CK35" s="245"/>
      <c r="CN35" s="244" t="e">
        <f ca="1">IF(CO32&lt;&gt;"",
IFERROR(INT(CO32/CO34),""),"")</f>
        <v>#VALUE!</v>
      </c>
      <c r="CO35" s="245"/>
      <c r="CP35" s="244" t="str">
        <f ca="1">IFERROR(MOD(CO32,CO34),"")</f>
        <v/>
      </c>
      <c r="CQ35" s="245"/>
      <c r="CR35" s="246" t="e">
        <f ca="1">CS31+CS32</f>
        <v>#VALUE!</v>
      </c>
      <c r="CS35" s="245"/>
      <c r="CU35" s="244" t="e">
        <f ca="1">IF(CV32&lt;&gt;"",
IFERROR(INT(CV32/CV34),""),"")</f>
        <v>#VALUE!</v>
      </c>
      <c r="CV35" s="245"/>
      <c r="CW35" s="244" t="str">
        <f ca="1">IFERROR(MOD(CV32,CV34),"")</f>
        <v/>
      </c>
      <c r="CX35" s="245"/>
      <c r="CY35" s="246" t="e">
        <f ca="1">CZ31+CZ32</f>
        <v>#VALUE!</v>
      </c>
      <c r="CZ35" s="245"/>
      <c r="DC35" s="244" t="e">
        <f ca="1">IF(DD32&lt;&gt;"",
IFERROR(INT(DD32/DD34),""),"")</f>
        <v>#VALUE!</v>
      </c>
      <c r="DD35" s="245"/>
      <c r="DE35" s="244" t="str">
        <f ca="1">IFERROR(MOD(DD32,DD34),"")</f>
        <v/>
      </c>
      <c r="DF35" s="245"/>
      <c r="DG35" s="246" t="e">
        <f ca="1">DH31+DH32</f>
        <v>#VALUE!</v>
      </c>
      <c r="DH35" s="245"/>
      <c r="DJ35" s="244" t="e">
        <f ca="1">IF(DK32&lt;&gt;"",
IFERROR(INT(DK32/DK34),""),"")</f>
        <v>#VALUE!</v>
      </c>
      <c r="DK35" s="245"/>
      <c r="DL35" s="244" t="str">
        <f ca="1">IFERROR(MOD(DK32,DK34),"")</f>
        <v/>
      </c>
      <c r="DM35" s="245"/>
      <c r="DN35" s="246" t="e">
        <f ca="1">DO31+DO32</f>
        <v>#VALUE!</v>
      </c>
      <c r="DO35" s="245"/>
      <c r="DR35" s="244" t="e">
        <f ca="1">IF(DS32&lt;&gt;"",
IFERROR(INT(DS32/DS34),""),"")</f>
        <v>#VALUE!</v>
      </c>
      <c r="DS35" s="245"/>
      <c r="DT35" s="244" t="str">
        <f ca="1">IFERROR(MOD(DS32,DS34),"")</f>
        <v/>
      </c>
      <c r="DU35" s="245"/>
      <c r="DV35" s="246" t="e">
        <f ca="1">DW31+DW32</f>
        <v>#VALUE!</v>
      </c>
      <c r="DW35" s="245"/>
      <c r="DY35" s="244" t="e">
        <f ca="1">IF(DZ32&lt;&gt;"",
IFERROR(INT(DZ32/DZ34),""),"")</f>
        <v>#VALUE!</v>
      </c>
      <c r="DZ35" s="245"/>
      <c r="EA35" s="244" t="str">
        <f ca="1">IFERROR(MOD(DZ32,DZ34),"")</f>
        <v/>
      </c>
      <c r="EB35" s="245"/>
      <c r="EC35" s="246" t="e">
        <f ca="1">ED31+ED32</f>
        <v>#VALUE!</v>
      </c>
      <c r="ED35" s="245"/>
      <c r="EG35" s="244" t="e">
        <f ca="1">IF(EH32&lt;&gt;"",
IFERROR(INT(EH32/EH34),""),"")</f>
        <v>#VALUE!</v>
      </c>
      <c r="EH35" s="245"/>
      <c r="EI35" s="244" t="str">
        <f ca="1">IFERROR(MOD(EH32,EH34),"")</f>
        <v/>
      </c>
      <c r="EJ35" s="245"/>
      <c r="EK35" s="246" t="e">
        <f ca="1">EL31+EL32</f>
        <v>#VALUE!</v>
      </c>
      <c r="EL35" s="245"/>
      <c r="EN35" s="244" t="e">
        <f ca="1">IF(EO32&lt;&gt;"",
IFERROR(INT(EO32/EO34),""),"")</f>
        <v>#VALUE!</v>
      </c>
      <c r="EO35" s="245"/>
      <c r="EP35" s="244" t="str">
        <f ca="1">IFERROR(MOD(EO32,EO34),"")</f>
        <v/>
      </c>
      <c r="EQ35" s="245"/>
      <c r="ER35" s="246" t="e">
        <f ca="1">ES31+ES32</f>
        <v>#VALUE!</v>
      </c>
      <c r="ES35" s="245"/>
      <c r="ET35" s="71"/>
      <c r="EU35" s="78">
        <f t="shared" si="3"/>
        <v>77</v>
      </c>
      <c r="EV35" s="78" t="str">
        <f t="array" aca="1" ref="EV35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LEN(SUBSTITUTE(_xlfn.FORMULATEXT(EV$4),"=","")))+$EU35)</f>
        <v/>
      </c>
      <c r="EW35" s="78" t="str">
        <f t="array" aca="1" ref="EW35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LEN(SUBSTITUTE(_xlfn.FORMULATEXT(EW$4),"=","")))+$EU35)</f>
        <v/>
      </c>
      <c r="EX35" s="78" t="str">
        <f t="array" aca="1" ref="EX35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LEN(SUBSTITUTE(_xlfn.FORMULATEXT(EX$4),"=","")))+$EU35)</f>
        <v/>
      </c>
      <c r="EY35" s="78" t="str">
        <f t="array" aca="1" ref="EY35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LEN(SUBSTITUTE(_xlfn.FORMULATEXT(EY$4),"=","")))+$EU35)</f>
        <v/>
      </c>
      <c r="EZ35" s="78" t="str">
        <f t="array" aca="1" ref="EZ35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LEN(SUBSTITUTE(_xlfn.FORMULATEXT(EZ$4),"=","")))+$EU35)</f>
        <v/>
      </c>
      <c r="FA35" s="78" t="str">
        <f t="array" aca="1" ref="FA35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LEN(SUBSTITUTE(_xlfn.FORMULATEXT(FA$4),"=","")))+$EU35)</f>
        <v/>
      </c>
      <c r="FB35" s="78" t="str">
        <f t="array" aca="1" ref="FB35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LEN(SUBSTITUTE(_xlfn.FORMULATEXT(FB$4),"=","")))+$EU35)</f>
        <v/>
      </c>
      <c r="FC35" s="78" t="str">
        <f t="array" aca="1" ref="FC35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LEN(SUBSTITUTE(_xlfn.FORMULATEXT(FC$4),"=","")))+$EU35)</f>
        <v/>
      </c>
      <c r="FD35" s="78" t="str">
        <f t="array" aca="1" ref="FD35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LEN(SUBSTITUTE(_xlfn.FORMULATEXT(FD$4),"=","")))+$EU35)</f>
        <v/>
      </c>
      <c r="FE35" s="78" t="str">
        <f t="array" aca="1" ref="FE35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LEN(SUBSTITUTE(_xlfn.FORMULATEXT(FE$4),"=","")))+$EU35)</f>
        <v/>
      </c>
      <c r="FF35" s="78" t="str">
        <f t="array" aca="1" ref="FF35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LEN(SUBSTITUTE(_xlfn.FORMULATEXT(FF$4),"=","")))+$EU35)</f>
        <v/>
      </c>
      <c r="FG35" s="78">
        <f t="shared" ca="1" si="2"/>
        <v>0</v>
      </c>
      <c r="FH35" s="78" t="b">
        <f t="array" aca="1" ref="FH35" ca="1">SUMPRODUCT((LEN(EV35:FF35)&gt;0)*1)&gt;0</f>
        <v>0</v>
      </c>
      <c r="FI35" s="78" t="str">
        <f t="array" aca="1" ref="FI35" ca="1">IFERROR(SMALL(IF(FG$1:FG$228&lt;&gt;0,FG$1:FG$228),ROW(A35)),"")</f>
        <v/>
      </c>
      <c r="FJ35" s="78" t="str">
        <f t="array" aca="1" ref="FJ35" ca="1">IF($FI35&lt;&gt;"",
INDIRECT(""&amp;IF(COLUMN(EV52)&lt;=26,CHAR(COLUMN(EV52)+64),CHAR(INT((COLUMN(EV52)-1)/26)+64)&amp;CHAR(MOD(COLUMN(EV52)-1,26)+65))&amp;$FI35&amp;""),"")</f>
        <v/>
      </c>
      <c r="FK35" s="78" t="str">
        <f t="array" aca="1" ref="FK35" ca="1">IF($FI35&lt;&gt;"",
INDIRECT(""&amp;IF(COLUMN(EW52)&lt;=26,CHAR(COLUMN(EW52)+64),CHAR(INT((COLUMN(EW52)-1)/26)+64)&amp;CHAR(MOD(COLUMN(EW52)-1,26)+65))&amp;$FI35&amp;""),"")</f>
        <v/>
      </c>
      <c r="FL35" s="78" t="str">
        <f t="array" aca="1" ref="FL35" ca="1">IF($FI35&lt;&gt;"",
INDIRECT(""&amp;IF(COLUMN(EX52)&lt;=26,CHAR(COLUMN(EX52)+64),CHAR(INT((COLUMN(EX52)-1)/26)+64)&amp;CHAR(MOD(COLUMN(EX52)-1,26)+65))&amp;$FI35&amp;""),"")</f>
        <v/>
      </c>
      <c r="FM35" s="78" t="str">
        <f t="array" aca="1" ref="FM35" ca="1">IF($FI35&lt;&gt;"",
IF(FL35="",
IF(INDIRECT("EY"&amp;$FI35&amp;"")&lt;&gt;"",
INDIRECT("EY"&amp;$FI35&amp;"")&amp;"箱"
&amp;INDIRECT("EZ"&amp;$FI35&amp;""),""),""),"")</f>
        <v/>
      </c>
      <c r="FN35" s="78" t="str">
        <f t="array" aca="1" ref="FN35" ca="1">IF($FI35&lt;&gt;"",
INDIRECT(""&amp;IF(COLUMN(FA52)&lt;=26,CHAR(COLUMN(FA52)+64),CHAR(INT((COLUMN(FA52)-1)/26)+64)&amp;CHAR(MOD(COLUMN(FA52)-1,26)+65))&amp;$FI35&amp;""),"")</f>
        <v/>
      </c>
      <c r="FO35" s="78" t="str">
        <f t="array" aca="1" ref="FO35" ca="1">IF($FI35&lt;&gt;"",
INDIRECT(""&amp;IF(COLUMN(FB52)&lt;=26,CHAR(COLUMN(FB52)+64),CHAR(INT((COLUMN(FB52)-1)/26)+64)&amp;CHAR(MOD(COLUMN(FB52)-1,26)+65))&amp;$FI35&amp;""),"")</f>
        <v/>
      </c>
      <c r="FP35" s="78" t="str">
        <f t="array" aca="1" ref="FP35" ca="1">IF($FI35&lt;&gt;"",
INDIRECT(""&amp;IF(COLUMN(FC52)&lt;=26,CHAR(COLUMN(FC52)+64),CHAR(INT((COLUMN(FC52)-1)/26)+64)&amp;CHAR(MOD(COLUMN(FC52)-1,26)+65))&amp;$FI35&amp;""),"")</f>
        <v/>
      </c>
      <c r="FQ35" s="78" t="str">
        <f t="array" aca="1" ref="FQ35" ca="1">IF($FI35&lt;&gt;"",
INDIRECT(""&amp;IF(COLUMN(FD52)&lt;=26,CHAR(COLUMN(FD52)+64),CHAR(INT((COLUMN(FD52)-1)/26)+64)&amp;CHAR(MOD(COLUMN(FD52)-1,26)+65))&amp;$FI35&amp;""),"")</f>
        <v/>
      </c>
      <c r="FR35" s="78" t="str">
        <f t="array" aca="1" ref="FR35" ca="1">IF($FI35&lt;&gt;"",
INDIRECT(""&amp;IF(COLUMN(FE52)&lt;=26,CHAR(COLUMN(FE52)+64),CHAR(INT((COLUMN(FE52)-1)/26)+64)&amp;CHAR(MOD(COLUMN(FE52)-1,26)+65))&amp;$FI35&amp;""),"")</f>
        <v/>
      </c>
      <c r="FS35" s="78" t="str">
        <f t="array" aca="1" ref="FS35" ca="1">IF($FI35&lt;&gt;"",
INDIRECT(""&amp;IF(COLUMN(FF52)&lt;=26,CHAR(COLUMN(FF52)+64),CHAR(INT((COLUMN(FF52)-1)/26)+64)&amp;CHAR(MOD(COLUMN(FF52)-1,26)+65))&amp;$FI35&amp;""),"")</f>
        <v/>
      </c>
    </row>
    <row r="36" spans="1:175" s="78" customFormat="1" ht="19.2" customHeight="1" x14ac:dyDescent="0.55000000000000004">
      <c r="A36" s="76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77" t="e">
        <f t="array" aca="1" ref="B36" ca="1">GetResult(A37)</f>
        <v>#VALUE!</v>
      </c>
      <c r="C36" s="247" t="str">
        <f ca="1">IF(C37&lt;&gt;"",
IF(LEFT(G36,2)="博多",
LEFT(G36,FIND("週",G36)-1),
G36),"")</f>
        <v/>
      </c>
      <c r="D36" s="248"/>
      <c r="E36" s="248"/>
      <c r="F36" s="248"/>
      <c r="G36" s="95" t="e">
        <f t="array" aca="1" ref="G36" ca="1">INDIRECT("数出表_Excel!A"&amp;B36)</f>
        <v>#VALUE!</v>
      </c>
      <c r="H36" s="76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77" t="e">
        <f t="array" aca="1" ref="I36" ca="1">GetResult(H37)</f>
        <v>#VALUE!</v>
      </c>
      <c r="J36" s="247" t="str">
        <f ca="1">IF(J37&lt;&gt;"",
IF(LEFT(N36,2)="博多",
LEFT(N36,FIND("週",N36)-1),
N36),"")</f>
        <v/>
      </c>
      <c r="K36" s="248"/>
      <c r="L36" s="248"/>
      <c r="M36" s="248"/>
      <c r="N36" s="91" t="e">
        <f t="array" aca="1" ref="N36" ca="1">INDIRECT("数出表_Excel!A"&amp;I36)</f>
        <v>#VALUE!</v>
      </c>
      <c r="O36" s="76"/>
      <c r="P36" s="76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77" t="e">
        <f t="array" aca="1" ref="Q36" ca="1">GetResult(P37)</f>
        <v>#VALUE!</v>
      </c>
      <c r="R36" s="247" t="str">
        <f ca="1">IF(R37&lt;&gt;"",
IF(LEFT(V36,2)="博多",
LEFT(V36,FIND("週",V36)-1),
V36),"")</f>
        <v/>
      </c>
      <c r="S36" s="248"/>
      <c r="T36" s="248"/>
      <c r="U36" s="248"/>
      <c r="V36" s="95" t="e">
        <f t="array" aca="1" ref="V36" ca="1">INDIRECT("数出表_Excel!A"&amp;Q36)</f>
        <v>#VALUE!</v>
      </c>
      <c r="W36" s="76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77" t="e">
        <f t="array" aca="1" ref="X36" ca="1">GetResult(W37)</f>
        <v>#VALUE!</v>
      </c>
      <c r="Y36" s="247" t="str">
        <f ca="1">IF(Y37&lt;&gt;"",
IF(LEFT(AC36,2)="博多",
LEFT(AC36,FIND("週",AC36)-1),
AC36),"")</f>
        <v/>
      </c>
      <c r="Z36" s="248"/>
      <c r="AA36" s="248"/>
      <c r="AB36" s="248"/>
      <c r="AC36" s="91" t="e">
        <f t="array" aca="1" ref="AC36" ca="1">INDIRECT("数出表_Excel!A"&amp;X36)</f>
        <v>#VALUE!</v>
      </c>
      <c r="AD36" s="76"/>
      <c r="AE36" s="76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77" t="e">
        <f t="array" aca="1" ref="AF36" ca="1">GetResult(AE37)</f>
        <v>#VALUE!</v>
      </c>
      <c r="AG36" s="247" t="str">
        <f ca="1">IF(AG37&lt;&gt;"",
IF(LEFT(AK36,2)="博多",
LEFT(AK36,FIND("週",AK36)-1),
AK36),"")</f>
        <v/>
      </c>
      <c r="AH36" s="248"/>
      <c r="AI36" s="248"/>
      <c r="AJ36" s="248"/>
      <c r="AK36" s="95" t="e">
        <f t="array" aca="1" ref="AK36" ca="1">INDIRECT("数出表_Excel!A"&amp;AF36)</f>
        <v>#VALUE!</v>
      </c>
      <c r="AL36" s="76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77" t="e">
        <f t="array" aca="1" ref="AM36" ca="1">GetResult(AL37)</f>
        <v>#VALUE!</v>
      </c>
      <c r="AN36" s="247" t="str">
        <f ca="1">IF(AN37&lt;&gt;"",
IF(LEFT(AR36,2)="博多",
LEFT(AR36,FIND("週",AR36)-1),
AR36),"")</f>
        <v/>
      </c>
      <c r="AO36" s="248"/>
      <c r="AP36" s="248"/>
      <c r="AQ36" s="248"/>
      <c r="AR36" s="91" t="e">
        <f t="array" aca="1" ref="AR36" ca="1">INDIRECT("数出表_Excel!A"&amp;AM36)</f>
        <v>#VALUE!</v>
      </c>
      <c r="AS36" s="76"/>
      <c r="AT36" s="76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77" t="e">
        <f t="array" aca="1" ref="AU36" ca="1">GetResult(AT37)</f>
        <v>#VALUE!</v>
      </c>
      <c r="AV36" s="247" t="str">
        <f ca="1">IF(AV37&lt;&gt;"",
IF(LEFT(AZ36,2)="博多",
LEFT(AZ36,FIND("週",AZ36)-1),
AZ36),"")</f>
        <v/>
      </c>
      <c r="AW36" s="248"/>
      <c r="AX36" s="248"/>
      <c r="AY36" s="248"/>
      <c r="AZ36" s="95" t="e">
        <f t="array" aca="1" ref="AZ36" ca="1">INDIRECT("数出表_Excel!A"&amp;AU36)</f>
        <v>#VALUE!</v>
      </c>
      <c r="BA36" s="76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77" t="e">
        <f t="array" aca="1" ref="BB36" ca="1">GetResult(BA37)</f>
        <v>#VALUE!</v>
      </c>
      <c r="BC36" s="247" t="str">
        <f ca="1">IF(BC37&lt;&gt;"",
IF(LEFT(BG36,2)="博多",
LEFT(BG36,FIND("週",BG36)-1),
BG36),"")</f>
        <v/>
      </c>
      <c r="BD36" s="248"/>
      <c r="BE36" s="248"/>
      <c r="BF36" s="248"/>
      <c r="BG36" s="91" t="e">
        <f t="array" aca="1" ref="BG36" ca="1">INDIRECT("数出表_Excel!A"&amp;BB36)</f>
        <v>#VALUE!</v>
      </c>
      <c r="BH36" s="76"/>
      <c r="BI36" s="76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77" t="e">
        <f t="array" aca="1" ref="BJ36" ca="1">GetResult(BI37)</f>
        <v>#VALUE!</v>
      </c>
      <c r="BK36" s="247" t="str">
        <f ca="1">IF(BK37&lt;&gt;"",
IF(LEFT(BO36,2)="博多",
LEFT(BO36,FIND("週",BO36)-1),
BO36),"")</f>
        <v/>
      </c>
      <c r="BL36" s="248"/>
      <c r="BM36" s="248"/>
      <c r="BN36" s="248"/>
      <c r="BO36" s="95" t="e">
        <f t="array" aca="1" ref="BO36" ca="1">INDIRECT("数出表_Excel!A"&amp;BJ36)</f>
        <v>#VALUE!</v>
      </c>
      <c r="BP36" s="76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77" t="e">
        <f t="array" aca="1" ref="BQ36" ca="1">GetResult(BP37)</f>
        <v>#VALUE!</v>
      </c>
      <c r="BR36" s="247" t="str">
        <f ca="1">IF(BR37&lt;&gt;"",
IF(LEFT(BV36,2)="博多",
LEFT(BV36,FIND("週",BV36)-1),
BV36),"")</f>
        <v/>
      </c>
      <c r="BS36" s="248"/>
      <c r="BT36" s="248"/>
      <c r="BU36" s="248"/>
      <c r="BV36" s="91" t="e">
        <f t="array" aca="1" ref="BV36" ca="1">INDIRECT("数出表_Excel!A"&amp;BQ36)</f>
        <v>#VALUE!</v>
      </c>
      <c r="BW36" s="76"/>
      <c r="BX36" s="76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77" t="e">
        <f t="array" aca="1" ref="BY36" ca="1">GetResult(BX37)</f>
        <v>#VALUE!</v>
      </c>
      <c r="BZ36" s="247" t="str">
        <f ca="1">IF(BZ37&lt;&gt;"",
IF(LEFT(CD36,2)="博多",
LEFT(CD36,FIND("週",CD36)-1),
CD36),"")</f>
        <v/>
      </c>
      <c r="CA36" s="248"/>
      <c r="CB36" s="248"/>
      <c r="CC36" s="248"/>
      <c r="CD36" s="95" t="e">
        <f t="array" aca="1" ref="CD36" ca="1">INDIRECT("数出表_Excel!A"&amp;BY36)</f>
        <v>#VALUE!</v>
      </c>
      <c r="CE36" s="76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77" t="e">
        <f t="array" aca="1" ref="CF36" ca="1">GetResult(CE37)</f>
        <v>#VALUE!</v>
      </c>
      <c r="CG36" s="247" t="str">
        <f ca="1">IF(CG37&lt;&gt;"",
IF(LEFT(CK36,2)="博多",
LEFT(CK36,FIND("週",CK36)-1),
CK36),"")</f>
        <v/>
      </c>
      <c r="CH36" s="248"/>
      <c r="CI36" s="248"/>
      <c r="CJ36" s="248"/>
      <c r="CK36" s="91" t="e">
        <f t="array" aca="1" ref="CK36" ca="1">INDIRECT("数出表_Excel!A"&amp;CF36)</f>
        <v>#VALUE!</v>
      </c>
      <c r="CL36" s="76"/>
      <c r="CM36" s="76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77" t="e">
        <f t="array" aca="1" ref="CN36" ca="1">GetResult(CM37)</f>
        <v>#VALUE!</v>
      </c>
      <c r="CO36" s="247" t="str">
        <f ca="1">IF(CO37&lt;&gt;"",
IF(LEFT(CS36,2)="博多",
LEFT(CS36,FIND("週",CS36)-1),
CS36),"")</f>
        <v/>
      </c>
      <c r="CP36" s="248"/>
      <c r="CQ36" s="248"/>
      <c r="CR36" s="248"/>
      <c r="CS36" s="95" t="e">
        <f t="array" aca="1" ref="CS36" ca="1">INDIRECT("数出表_Excel!A"&amp;CN36)</f>
        <v>#VALUE!</v>
      </c>
      <c r="CT36" s="76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77" t="e">
        <f t="array" aca="1" ref="CU36" ca="1">GetResult(CT37)</f>
        <v>#VALUE!</v>
      </c>
      <c r="CV36" s="247" t="str">
        <f ca="1">IF(CV37&lt;&gt;"",
IF(LEFT(CZ36,2)="博多",
LEFT(CZ36,FIND("週",CZ36)-1),
CZ36),"")</f>
        <v/>
      </c>
      <c r="CW36" s="248"/>
      <c r="CX36" s="248"/>
      <c r="CY36" s="248"/>
      <c r="CZ36" s="91" t="e">
        <f t="array" aca="1" ref="CZ36" ca="1">INDIRECT("数出表_Excel!A"&amp;CU36)</f>
        <v>#VALUE!</v>
      </c>
      <c r="DA36" s="76"/>
      <c r="DB36" s="76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77" t="e">
        <f t="array" aca="1" ref="DC36" ca="1">GetResult(DB37)</f>
        <v>#VALUE!</v>
      </c>
      <c r="DD36" s="247" t="str">
        <f ca="1">IF(DD37&lt;&gt;"",
IF(LEFT(DH36,2)="博多",
LEFT(DH36,FIND("週",DH36)-1),
DH36),"")</f>
        <v/>
      </c>
      <c r="DE36" s="248"/>
      <c r="DF36" s="248"/>
      <c r="DG36" s="248"/>
      <c r="DH36" s="95" t="e">
        <f t="array" aca="1" ref="DH36" ca="1">INDIRECT("数出表_Excel!A"&amp;DC36)</f>
        <v>#VALUE!</v>
      </c>
      <c r="DI36" s="76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77" t="e">
        <f t="array" aca="1" ref="DJ36" ca="1">GetResult(DI37)</f>
        <v>#VALUE!</v>
      </c>
      <c r="DK36" s="247" t="str">
        <f ca="1">IF(DK37&lt;&gt;"",
IF(LEFT(DO36,2)="博多",
LEFT(DO36,FIND("週",DO36)-1),
DO36),"")</f>
        <v/>
      </c>
      <c r="DL36" s="248"/>
      <c r="DM36" s="248"/>
      <c r="DN36" s="248"/>
      <c r="DO36" s="91" t="e">
        <f t="array" aca="1" ref="DO36" ca="1">INDIRECT("数出表_Excel!A"&amp;DJ36)</f>
        <v>#VALUE!</v>
      </c>
      <c r="DP36" s="76"/>
      <c r="DQ36" s="76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77" t="e">
        <f t="array" aca="1" ref="DR36" ca="1">GetResult(DQ37)</f>
        <v>#VALUE!</v>
      </c>
      <c r="DS36" s="247" t="str">
        <f ca="1">IF(DS37&lt;&gt;"",
IF(LEFT(DW36,2)="博多",
LEFT(DW36,FIND("週",DW36)-1),
DW36),"")</f>
        <v/>
      </c>
      <c r="DT36" s="248"/>
      <c r="DU36" s="248"/>
      <c r="DV36" s="248"/>
      <c r="DW36" s="95" t="e">
        <f t="array" aca="1" ref="DW36" ca="1">INDIRECT("数出表_Excel!A"&amp;DR36)</f>
        <v>#VALUE!</v>
      </c>
      <c r="DX36" s="76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77" t="e">
        <f t="array" aca="1" ref="DY36" ca="1">GetResult(DX37)</f>
        <v>#VALUE!</v>
      </c>
      <c r="DZ36" s="247" t="str">
        <f ca="1">IF(DZ37&lt;&gt;"",
IF(LEFT(ED36,2)="博多",
LEFT(ED36,FIND("週",ED36)-1),
ED36),"")</f>
        <v/>
      </c>
      <c r="EA36" s="248"/>
      <c r="EB36" s="248"/>
      <c r="EC36" s="248"/>
      <c r="ED36" s="91" t="e">
        <f t="array" aca="1" ref="ED36" ca="1">INDIRECT("数出表_Excel!A"&amp;DY36)</f>
        <v>#VALUE!</v>
      </c>
      <c r="EE36" s="76"/>
      <c r="EF36" s="76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77" t="e">
        <f t="array" aca="1" ref="EG36" ca="1">GetResult(EF37)</f>
        <v>#VALUE!</v>
      </c>
      <c r="EH36" s="247" t="str">
        <f ca="1">IF(EH37&lt;&gt;"",
IF(LEFT(EL36,2)="博多",
LEFT(EL36,FIND("週",EL36)-1),
EL36),"")</f>
        <v/>
      </c>
      <c r="EI36" s="248"/>
      <c r="EJ36" s="248"/>
      <c r="EK36" s="248"/>
      <c r="EL36" s="95" t="e">
        <f t="array" aca="1" ref="EL36" ca="1">INDIRECT("数出表_Excel!A"&amp;EG36)</f>
        <v>#VALUE!</v>
      </c>
      <c r="EM36" s="76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77" t="e">
        <f t="array" aca="1" ref="EN36" ca="1">GetResult(EM37)</f>
        <v>#VALUE!</v>
      </c>
      <c r="EO36" s="247" t="str">
        <f ca="1">IF(EO37&lt;&gt;"",
IF(LEFT(ES36,2)="博多",
LEFT(ES36,FIND("週",ES36)-1),
ES36),"")</f>
        <v/>
      </c>
      <c r="EP36" s="248"/>
      <c r="EQ36" s="248"/>
      <c r="ER36" s="248"/>
      <c r="ES36" s="91" t="e">
        <f t="array" aca="1" ref="ES36" ca="1">INDIRECT("数出表_Excel!A"&amp;EN36)</f>
        <v>#VALUE!</v>
      </c>
      <c r="ET36" s="106"/>
      <c r="EU36" s="78">
        <f t="shared" si="3"/>
        <v>119</v>
      </c>
      <c r="EV36" s="78" t="str">
        <f t="array" aca="1" ref="EV36" ca="1">INDIRECT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
&amp;MID(SUBSTITUTE(_xlfn.FORMULATEXT(EV$4),"=",""), LEN(_xlfn.TEXTJOIN("",TRUE,IF(ISERROR(MID(SUBSTITUTE(_xlfn.FORMULATEXT(EV$4),"=",""),ROW(INDIRECT("1:"&amp;LEN(SUBSTITUTE(_xlfn.FORMULATEXT(EV$4),"=","")))),1)*1),MID(SUBSTITUTE(_xlfn.FORMULATEXT(EV$4),"=",""),ROW(INDIRECT("1:"&amp;LEN(SUBSTITUTE(_xlfn.FORMULATEXT(EV$4),"=","")))),1),"")))+1, LEN(SUBSTITUTE(_xlfn.FORMULATEXT(EV$4),"=","")))+$EU36)</f>
        <v/>
      </c>
      <c r="EW36" s="78" t="str">
        <f t="array" aca="1" ref="EW36" ca="1">INDIRECT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
&amp;MID(SUBSTITUTE(_xlfn.FORMULATEXT(EW$4),"=",""), LEN(_xlfn.TEXTJOIN("",TRUE,IF(ISERROR(MID(SUBSTITUTE(_xlfn.FORMULATEXT(EW$4),"=",""),ROW(INDIRECT("1:"&amp;LEN(SUBSTITUTE(_xlfn.FORMULATEXT(EW$4),"=","")))),1)*1),MID(SUBSTITUTE(_xlfn.FORMULATEXT(EW$4),"=",""),ROW(INDIRECT("1:"&amp;LEN(SUBSTITUTE(_xlfn.FORMULATEXT(EW$4),"=","")))),1),"")))+1, LEN(SUBSTITUTE(_xlfn.FORMULATEXT(EW$4),"=","")))+$EU36)</f>
        <v/>
      </c>
      <c r="EX36" s="78" t="str">
        <f t="array" aca="1" ref="EX36" ca="1">INDIRECT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
&amp;MID(SUBSTITUTE(_xlfn.FORMULATEXT(EX$4),"=",""), LEN(_xlfn.TEXTJOIN("",TRUE,IF(ISERROR(MID(SUBSTITUTE(_xlfn.FORMULATEXT(EX$4),"=",""),ROW(INDIRECT("1:"&amp;LEN(SUBSTITUTE(_xlfn.FORMULATEXT(EX$4),"=","")))),1)*1),MID(SUBSTITUTE(_xlfn.FORMULATEXT(EX$4),"=",""),ROW(INDIRECT("1:"&amp;LEN(SUBSTITUTE(_xlfn.FORMULATEXT(EX$4),"=","")))),1),"")))+1, LEN(SUBSTITUTE(_xlfn.FORMULATEXT(EX$4),"=","")))+$EU36)</f>
        <v/>
      </c>
      <c r="EY36" s="78" t="str">
        <f t="array" aca="1" ref="EY36" ca="1">INDIRECT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
&amp;MID(SUBSTITUTE(_xlfn.FORMULATEXT(EY$4),"=",""), LEN(_xlfn.TEXTJOIN("",TRUE,IF(ISERROR(MID(SUBSTITUTE(_xlfn.FORMULATEXT(EY$4),"=",""),ROW(INDIRECT("1:"&amp;LEN(SUBSTITUTE(_xlfn.FORMULATEXT(EY$4),"=","")))),1)*1),MID(SUBSTITUTE(_xlfn.FORMULATEXT(EY$4),"=",""),ROW(INDIRECT("1:"&amp;LEN(SUBSTITUTE(_xlfn.FORMULATEXT(EY$4),"=","")))),1),"")))+1, LEN(SUBSTITUTE(_xlfn.FORMULATEXT(EY$4),"=","")))+$EU36)</f>
        <v/>
      </c>
      <c r="EZ36" s="78" t="str">
        <f t="array" aca="1" ref="EZ36" ca="1">INDIRECT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
&amp;MID(SUBSTITUTE(_xlfn.FORMULATEXT(EZ$4),"=",""), LEN(_xlfn.TEXTJOIN("",TRUE,IF(ISERROR(MID(SUBSTITUTE(_xlfn.FORMULATEXT(EZ$4),"=",""),ROW(INDIRECT("1:"&amp;LEN(SUBSTITUTE(_xlfn.FORMULATEXT(EZ$4),"=","")))),1)*1),MID(SUBSTITUTE(_xlfn.FORMULATEXT(EZ$4),"=",""),ROW(INDIRECT("1:"&amp;LEN(SUBSTITUTE(_xlfn.FORMULATEXT(EZ$4),"=","")))),1),"")))+1, LEN(SUBSTITUTE(_xlfn.FORMULATEXT(EZ$4),"=","")))+$EU36)</f>
        <v/>
      </c>
      <c r="FA36" s="78" t="str">
        <f t="array" aca="1" ref="FA36" ca="1">INDIRECT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
&amp;MID(SUBSTITUTE(_xlfn.FORMULATEXT(FA$4),"=",""), LEN(_xlfn.TEXTJOIN("",TRUE,IF(ISERROR(MID(SUBSTITUTE(_xlfn.FORMULATEXT(FA$4),"=",""),ROW(INDIRECT("1:"&amp;LEN(SUBSTITUTE(_xlfn.FORMULATEXT(FA$4),"=","")))),1)*1),MID(SUBSTITUTE(_xlfn.FORMULATEXT(FA$4),"=",""),ROW(INDIRECT("1:"&amp;LEN(SUBSTITUTE(_xlfn.FORMULATEXT(FA$4),"=","")))),1),"")))+1, LEN(SUBSTITUTE(_xlfn.FORMULATEXT(FA$4),"=","")))+$EU36)</f>
        <v/>
      </c>
      <c r="FB36" s="78" t="str">
        <f t="array" aca="1" ref="FB36" ca="1">INDIRECT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
&amp;MID(SUBSTITUTE(_xlfn.FORMULATEXT(FB$4),"=",""), LEN(_xlfn.TEXTJOIN("",TRUE,IF(ISERROR(MID(SUBSTITUTE(_xlfn.FORMULATEXT(FB$4),"=",""),ROW(INDIRECT("1:"&amp;LEN(SUBSTITUTE(_xlfn.FORMULATEXT(FB$4),"=","")))),1)*1),MID(SUBSTITUTE(_xlfn.FORMULATEXT(FB$4),"=",""),ROW(INDIRECT("1:"&amp;LEN(SUBSTITUTE(_xlfn.FORMULATEXT(FB$4),"=","")))),1),"")))+1, LEN(SUBSTITUTE(_xlfn.FORMULATEXT(FB$4),"=","")))+$EU36)</f>
        <v/>
      </c>
      <c r="FC36" s="78" t="str">
        <f t="array" aca="1" ref="FC36" ca="1">INDIRECT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
&amp;MID(SUBSTITUTE(_xlfn.FORMULATEXT(FC$4),"=",""), LEN(_xlfn.TEXTJOIN("",TRUE,IF(ISERROR(MID(SUBSTITUTE(_xlfn.FORMULATEXT(FC$4),"=",""),ROW(INDIRECT("1:"&amp;LEN(SUBSTITUTE(_xlfn.FORMULATEXT(FC$4),"=","")))),1)*1),MID(SUBSTITUTE(_xlfn.FORMULATEXT(FC$4),"=",""),ROW(INDIRECT("1:"&amp;LEN(SUBSTITUTE(_xlfn.FORMULATEXT(FC$4),"=","")))),1),"")))+1, LEN(SUBSTITUTE(_xlfn.FORMULATEXT(FC$4),"=","")))+$EU36)</f>
        <v/>
      </c>
      <c r="FD36" s="78" t="str">
        <f t="array" aca="1" ref="FD36" ca="1">INDIRECT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
&amp;MID(SUBSTITUTE(_xlfn.FORMULATEXT(FD$4),"=",""), LEN(_xlfn.TEXTJOIN("",TRUE,IF(ISERROR(MID(SUBSTITUTE(_xlfn.FORMULATEXT(FD$4),"=",""),ROW(INDIRECT("1:"&amp;LEN(SUBSTITUTE(_xlfn.FORMULATEXT(FD$4),"=","")))),1)*1),MID(SUBSTITUTE(_xlfn.FORMULATEXT(FD$4),"=",""),ROW(INDIRECT("1:"&amp;LEN(SUBSTITUTE(_xlfn.FORMULATEXT(FD$4),"=","")))),1),"")))+1, LEN(SUBSTITUTE(_xlfn.FORMULATEXT(FD$4),"=","")))+$EU36)</f>
        <v/>
      </c>
      <c r="FE36" s="78" t="str">
        <f t="array" aca="1" ref="FE36" ca="1">INDIRECT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
&amp;MID(SUBSTITUTE(_xlfn.FORMULATEXT(FE$4),"=",""), LEN(_xlfn.TEXTJOIN("",TRUE,IF(ISERROR(MID(SUBSTITUTE(_xlfn.FORMULATEXT(FE$4),"=",""),ROW(INDIRECT("1:"&amp;LEN(SUBSTITUTE(_xlfn.FORMULATEXT(FE$4),"=","")))),1)*1),MID(SUBSTITUTE(_xlfn.FORMULATEXT(FE$4),"=",""),ROW(INDIRECT("1:"&amp;LEN(SUBSTITUTE(_xlfn.FORMULATEXT(FE$4),"=","")))),1),"")))+1, LEN(SUBSTITUTE(_xlfn.FORMULATEXT(FE$4),"=","")))+$EU36)</f>
        <v/>
      </c>
      <c r="FF36" s="78" t="str">
        <f t="array" aca="1" ref="FF36" ca="1">INDIRECT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
&amp;MID(SUBSTITUTE(_xlfn.FORMULATEXT(FF$4),"=",""), LEN(_xlfn.TEXTJOIN("",TRUE,IF(ISERROR(MID(SUBSTITUTE(_xlfn.FORMULATEXT(FF$4),"=",""),ROW(INDIRECT("1:"&amp;LEN(SUBSTITUTE(_xlfn.FORMULATEXT(FF$4),"=","")))),1)*1),MID(SUBSTITUTE(_xlfn.FORMULATEXT(FF$4),"=",""),ROW(INDIRECT("1:"&amp;LEN(SUBSTITUTE(_xlfn.FORMULATEXT(FF$4),"=","")))),1),"")))+1, LEN(SUBSTITUTE(_xlfn.FORMULATEXT(FF$4),"=","")))+$EU36)</f>
        <v/>
      </c>
      <c r="FG36" s="78">
        <f t="shared" ca="1" si="2"/>
        <v>0</v>
      </c>
      <c r="FH36" s="78" t="b">
        <f t="array" aca="1" ref="FH36" ca="1">SUMPRODUCT((LEN(EV36:FF36)&gt;0)*1)&gt;0</f>
        <v>0</v>
      </c>
      <c r="FI36" s="78" t="str">
        <f t="array" aca="1" ref="FI36" ca="1">IFERROR(SMALL(IF(FG$1:FG$228&lt;&gt;0,FG$1:FG$228),ROW(A36)),"")</f>
        <v/>
      </c>
      <c r="FJ36" s="78" t="str">
        <f t="array" aca="1" ref="FJ36" ca="1">IF($FI36&lt;&gt;"",
INDIRECT(""&amp;IF(COLUMN(EV53)&lt;=26,CHAR(COLUMN(EV53)+64),CHAR(INT((COLUMN(EV53)-1)/26)+64)&amp;CHAR(MOD(COLUMN(EV53)-1,26)+65))&amp;$FI36&amp;""),"")</f>
        <v/>
      </c>
      <c r="FK36" s="78" t="str">
        <f t="array" aca="1" ref="FK36" ca="1">IF($FI36&lt;&gt;"",
INDIRECT(""&amp;IF(COLUMN(EW53)&lt;=26,CHAR(COLUMN(EW53)+64),CHAR(INT((COLUMN(EW53)-1)/26)+64)&amp;CHAR(MOD(COLUMN(EW53)-1,26)+65))&amp;$FI36&amp;""),"")</f>
        <v/>
      </c>
      <c r="FL36" s="78" t="str">
        <f t="array" aca="1" ref="FL36" ca="1">IF($FI36&lt;&gt;"",
INDIRECT(""&amp;IF(COLUMN(EX53)&lt;=26,CHAR(COLUMN(EX53)+64),CHAR(INT((COLUMN(EX53)-1)/26)+64)&amp;CHAR(MOD(COLUMN(EX53)-1,26)+65))&amp;$FI36&amp;""),"")</f>
        <v/>
      </c>
      <c r="FM36" s="78" t="str">
        <f t="array" aca="1" ref="FM36" ca="1">IF($FI36&lt;&gt;"",
IF(FL36="",
IF(INDIRECT("EY"&amp;$FI36&amp;"")&lt;&gt;"",
INDIRECT("EY"&amp;$FI36&amp;"")&amp;"箱"
&amp;INDIRECT("EZ"&amp;$FI36&amp;""),""),""),"")</f>
        <v/>
      </c>
      <c r="FN36" s="78" t="str">
        <f t="array" aca="1" ref="FN36" ca="1">IF($FI36&lt;&gt;"",
INDIRECT(""&amp;IF(COLUMN(FA53)&lt;=26,CHAR(COLUMN(FA53)+64),CHAR(INT((COLUMN(FA53)-1)/26)+64)&amp;CHAR(MOD(COLUMN(FA53)-1,26)+65))&amp;$FI36&amp;""),"")</f>
        <v/>
      </c>
      <c r="FO36" s="78" t="str">
        <f t="array" aca="1" ref="FO36" ca="1">IF($FI36&lt;&gt;"",
INDIRECT(""&amp;IF(COLUMN(FB53)&lt;=26,CHAR(COLUMN(FB53)+64),CHAR(INT((COLUMN(FB53)-1)/26)+64)&amp;CHAR(MOD(COLUMN(FB53)-1,26)+65))&amp;$FI36&amp;""),"")</f>
        <v/>
      </c>
      <c r="FP36" s="78" t="str">
        <f t="array" aca="1" ref="FP36" ca="1">IF($FI36&lt;&gt;"",
INDIRECT(""&amp;IF(COLUMN(FC53)&lt;=26,CHAR(COLUMN(FC53)+64),CHAR(INT((COLUMN(FC53)-1)/26)+64)&amp;CHAR(MOD(COLUMN(FC53)-1,26)+65))&amp;$FI36&amp;""),"")</f>
        <v/>
      </c>
      <c r="FQ36" s="78" t="str">
        <f t="array" aca="1" ref="FQ36" ca="1">IF($FI36&lt;&gt;"",
INDIRECT(""&amp;IF(COLUMN(FD53)&lt;=26,CHAR(COLUMN(FD53)+64),CHAR(INT((COLUMN(FD53)-1)/26)+64)&amp;CHAR(MOD(COLUMN(FD53)-1,26)+65))&amp;$FI36&amp;""),"")</f>
        <v/>
      </c>
      <c r="FR36" s="78" t="str">
        <f t="array" aca="1" ref="FR36" ca="1">IF($FI36&lt;&gt;"",
INDIRECT(""&amp;IF(COLUMN(FE53)&lt;=26,CHAR(COLUMN(FE53)+64),CHAR(INT((COLUMN(FE53)-1)/26)+64)&amp;CHAR(MOD(COLUMN(FE53)-1,26)+65))&amp;$FI36&amp;""),"")</f>
        <v/>
      </c>
      <c r="FS36" s="78" t="str">
        <f t="array" aca="1" ref="FS36" ca="1">IF($FI36&lt;&gt;"",
INDIRECT(""&amp;IF(COLUMN(FF53)&lt;=26,CHAR(COLUMN(FF53)+64),CHAR(INT((COLUMN(FF53)-1)/26)+64)&amp;CHAR(MOD(COLUMN(FF53)-1,26)+65))&amp;$FI36&amp;""),"")</f>
        <v/>
      </c>
    </row>
    <row r="37" spans="1:175" s="78" customFormat="1" ht="19.2" customHeight="1" x14ac:dyDescent="0.55000000000000004">
      <c r="A37" s="76" t="e">
        <f t="array" aca="1" ref="A37" ca="1">IF(INDIRECT("数出表_Excel!A"&amp;GetResult(A36))="社食",
GetResult(A36)+2,GetResult(A36))</f>
        <v>#VALUE!</v>
      </c>
      <c r="B37" s="81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58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76"/>
      <c r="E37" s="82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83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96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76" t="e">
        <f t="array" aca="1" ref="H37" ca="1">IF(INDIRECT("数出表_Excel!A"&amp;GetResult(H36))="社食",
GetResult(H36)+2,GetResult(H36))</f>
        <v>#VALUE!</v>
      </c>
      <c r="I37" s="81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58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76"/>
      <c r="L37" s="82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83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92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76"/>
      <c r="P37" s="76" t="e">
        <f t="array" aca="1" ref="P37" ca="1">IF(INDIRECT("数出表_Excel!A"&amp;GetResult(P36))="社食",
GetResult(P36)+2,GetResult(P36))</f>
        <v>#VALUE!</v>
      </c>
      <c r="Q37" s="81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58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76"/>
      <c r="T37" s="82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83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96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76" t="e">
        <f t="array" aca="1" ref="W37" ca="1">IF(INDIRECT("数出表_Excel!A"&amp;GetResult(W36))="社食",
GetResult(W36)+2,GetResult(W36))</f>
        <v>#VALUE!</v>
      </c>
      <c r="X37" s="81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58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76"/>
      <c r="AA37" s="82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83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92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76"/>
      <c r="AE37" s="76" t="e">
        <f t="array" aca="1" ref="AE37" ca="1">IF(INDIRECT("数出表_Excel!A"&amp;GetResult(AE36))="社食",
GetResult(AE36)+2,GetResult(AE36))</f>
        <v>#VALUE!</v>
      </c>
      <c r="AF37" s="81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58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76"/>
      <c r="AI37" s="82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83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96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76" t="e">
        <f t="array" aca="1" ref="AL37" ca="1">IF(INDIRECT("数出表_Excel!A"&amp;GetResult(AL36))="社食",
GetResult(AL36)+2,GetResult(AL36))</f>
        <v>#VALUE!</v>
      </c>
      <c r="AM37" s="81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58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76"/>
      <c r="AP37" s="82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83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92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76"/>
      <c r="AT37" s="76" t="e">
        <f t="array" aca="1" ref="AT37" ca="1">IF(INDIRECT("数出表_Excel!A"&amp;GetResult(AT36))="社食",
GetResult(AT36)+2,GetResult(AT36))</f>
        <v>#VALUE!</v>
      </c>
      <c r="AU37" s="81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58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76"/>
      <c r="AX37" s="82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83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96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76" t="e">
        <f t="array" aca="1" ref="BA37" ca="1">IF(INDIRECT("数出表_Excel!A"&amp;GetResult(BA36))="社食",
GetResult(BA36)+2,GetResult(BA36))</f>
        <v>#VALUE!</v>
      </c>
      <c r="BB37" s="81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58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76"/>
      <c r="BE37" s="82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83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92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76"/>
      <c r="BI37" s="76" t="e">
        <f t="array" aca="1" ref="BI37" ca="1">IF(INDIRECT("数出表_Excel!A"&amp;GetResult(BI36))="社食",
GetResult(BI36)+2,GetResult(BI36))</f>
        <v>#VALUE!</v>
      </c>
      <c r="BJ37" s="81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58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76"/>
      <c r="BM37" s="82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83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96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76" t="e">
        <f t="array" aca="1" ref="BP37" ca="1">IF(INDIRECT("数出表_Excel!A"&amp;GetResult(BP36))="社食",
GetResult(BP36)+2,GetResult(BP36))</f>
        <v>#VALUE!</v>
      </c>
      <c r="BQ37" s="81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58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76"/>
      <c r="BT37" s="82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83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92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76"/>
      <c r="BX37" s="76" t="e">
        <f t="array" aca="1" ref="BX37" ca="1">IF(INDIRECT("数出表_Excel!A"&amp;GetResult(BX36))="社食",
GetResult(BX36)+2,GetResult(BX36))</f>
        <v>#VALUE!</v>
      </c>
      <c r="BY37" s="81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58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76"/>
      <c r="CB37" s="82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83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96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76" t="e">
        <f t="array" aca="1" ref="CE37" ca="1">IF(INDIRECT("数出表_Excel!A"&amp;GetResult(CE36))="社食",
GetResult(CE36)+2,GetResult(CE36))</f>
        <v>#VALUE!</v>
      </c>
      <c r="CF37" s="81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58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76"/>
      <c r="CI37" s="82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83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92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76"/>
      <c r="CM37" s="76" t="e">
        <f t="array" aca="1" ref="CM37" ca="1">IF(INDIRECT("数出表_Excel!A"&amp;GetResult(CM36))="社食",
GetResult(CM36)+2,GetResult(CM36))</f>
        <v>#VALUE!</v>
      </c>
      <c r="CN37" s="81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58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76"/>
      <c r="CQ37" s="82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83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96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76" t="e">
        <f t="array" aca="1" ref="CT37" ca="1">IF(INDIRECT("数出表_Excel!A"&amp;GetResult(CT36))="社食",
GetResult(CT36)+2,GetResult(CT36))</f>
        <v>#VALUE!</v>
      </c>
      <c r="CU37" s="81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58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76"/>
      <c r="CX37" s="82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83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92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76"/>
      <c r="DB37" s="76" t="e">
        <f t="array" aca="1" ref="DB37" ca="1">IF(INDIRECT("数出表_Excel!A"&amp;GetResult(DB36))="社食",
GetResult(DB36)+2,GetResult(DB36))</f>
        <v>#VALUE!</v>
      </c>
      <c r="DC37" s="81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58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76"/>
      <c r="DF37" s="82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83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96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76" t="e">
        <f t="array" aca="1" ref="DI37" ca="1">IF(INDIRECT("数出表_Excel!A"&amp;GetResult(DI36))="社食",
GetResult(DI36)+2,GetResult(DI36))</f>
        <v>#VALUE!</v>
      </c>
      <c r="DJ37" s="81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58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76"/>
      <c r="DM37" s="82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83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92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76"/>
      <c r="DQ37" s="76" t="e">
        <f t="array" aca="1" ref="DQ37" ca="1">IF(INDIRECT("数出表_Excel!A"&amp;GetResult(DQ36))="社食",
GetResult(DQ36)+2,GetResult(DQ36))</f>
        <v>#VALUE!</v>
      </c>
      <c r="DR37" s="81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58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76"/>
      <c r="DU37" s="82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83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96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76" t="e">
        <f t="array" aca="1" ref="DX37" ca="1">IF(INDIRECT("数出表_Excel!A"&amp;GetResult(DX36))="社食",
GetResult(DX36)+2,GetResult(DX36))</f>
        <v>#VALUE!</v>
      </c>
      <c r="DY37" s="81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58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76"/>
      <c r="EB37" s="82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83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92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76"/>
      <c r="EF37" s="76" t="e">
        <f t="array" aca="1" ref="EF37" ca="1">IF(INDIRECT("数出表_Excel!A"&amp;GetResult(EF36))="社食",
GetResult(EF36)+2,GetResult(EF36))</f>
        <v>#VALUE!</v>
      </c>
      <c r="EG37" s="81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58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76"/>
      <c r="EJ37" s="82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83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96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76" t="e">
        <f t="array" aca="1" ref="EM37" ca="1">IF(INDIRECT("数出表_Excel!A"&amp;GetResult(EM36))="社食",
GetResult(EM36)+2,GetResult(EM36))</f>
        <v>#VALUE!</v>
      </c>
      <c r="EN37" s="81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58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76"/>
      <c r="EQ37" s="82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83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92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07"/>
      <c r="EV37" s="79" t="str">
        <f ca="1">R1</f>
        <v/>
      </c>
      <c r="EW37" s="79" t="str">
        <f ca="1">R2</f>
        <v/>
      </c>
      <c r="EX37" s="79" t="str">
        <f ca="1">T2</f>
        <v/>
      </c>
      <c r="EY37" s="80" t="str">
        <f ca="1">U2</f>
        <v/>
      </c>
      <c r="EZ37" s="80" t="str">
        <f ca="1">V2</f>
        <v/>
      </c>
      <c r="FA37" s="79" t="e">
        <f ca="1">R4</f>
        <v>#VALUE!</v>
      </c>
      <c r="FB37" s="79" t="e">
        <f ca="1">T4</f>
        <v>#VALUE!</v>
      </c>
      <c r="FC37" s="79" t="str">
        <f ca="1">R6</f>
        <v/>
      </c>
      <c r="FD37" s="79" t="e">
        <f ca="1">Q7</f>
        <v>#VALUE!</v>
      </c>
      <c r="FE37" s="79" t="str">
        <f ca="1">S7</f>
        <v/>
      </c>
      <c r="FF37" s="79" t="e">
        <f ca="1">U7</f>
        <v>#VALUE!</v>
      </c>
      <c r="FG37" s="78">
        <f t="shared" ca="1" si="2"/>
        <v>0</v>
      </c>
      <c r="FH37" s="78" t="e">
        <f t="array" aca="1" ref="FH37" ca="1">SUMPRODUCT((LEN(EV37:FF37)&gt;0)*1)&gt;0</f>
        <v>#VALUE!</v>
      </c>
      <c r="FI37" s="78" t="str">
        <f t="array" aca="1" ref="FI37" ca="1">IFERROR(SMALL(IF(FG$1:FG$228&lt;&gt;0,FG$1:FG$228),ROW(A37)),"")</f>
        <v/>
      </c>
      <c r="FJ37" s="78" t="str">
        <f t="array" aca="1" ref="FJ37" ca="1">IF($FI37&lt;&gt;"",
INDIRECT(""&amp;IF(COLUMN(EV55)&lt;=26,CHAR(COLUMN(EV55)+64),CHAR(INT((COLUMN(EV55)-1)/26)+64)&amp;CHAR(MOD(COLUMN(EV55)-1,26)+65))&amp;$FI37&amp;""),"")</f>
        <v/>
      </c>
      <c r="FK37" s="78" t="str">
        <f t="array" aca="1" ref="FK37" ca="1">IF($FI37&lt;&gt;"",
INDIRECT(""&amp;IF(COLUMN(EW55)&lt;=26,CHAR(COLUMN(EW55)+64),CHAR(INT((COLUMN(EW55)-1)/26)+64)&amp;CHAR(MOD(COLUMN(EW55)-1,26)+65))&amp;$FI37&amp;""),"")</f>
        <v/>
      </c>
      <c r="FL37" s="78" t="str">
        <f t="array" aca="1" ref="FL37" ca="1">IF($FI37&lt;&gt;"",
INDIRECT(""&amp;IF(COLUMN(EX55)&lt;=26,CHAR(COLUMN(EX55)+64),CHAR(INT((COLUMN(EX55)-1)/26)+64)&amp;CHAR(MOD(COLUMN(EX55)-1,26)+65))&amp;$FI37&amp;""),"")</f>
        <v/>
      </c>
      <c r="FM37" s="78" t="str">
        <f t="array" aca="1" ref="FM37" ca="1">IF($FI37&lt;&gt;"",
IF(FL37="",
IF(INDIRECT("EY"&amp;$FI37&amp;"")&lt;&gt;"",
INDIRECT("EY"&amp;$FI37&amp;"")&amp;"箱"
&amp;INDIRECT("EZ"&amp;$FI37&amp;""),""),""),"")</f>
        <v/>
      </c>
      <c r="FN37" s="78" t="str">
        <f t="array" aca="1" ref="FN37" ca="1">IF($FI37&lt;&gt;"",
INDIRECT(""&amp;IF(COLUMN(FA55)&lt;=26,CHAR(COLUMN(FA55)+64),CHAR(INT((COLUMN(FA55)-1)/26)+64)&amp;CHAR(MOD(COLUMN(FA55)-1,26)+65))&amp;$FI37&amp;""),"")</f>
        <v/>
      </c>
      <c r="FO37" s="78" t="str">
        <f t="array" aca="1" ref="FO37" ca="1">IF($FI37&lt;&gt;"",
INDIRECT(""&amp;IF(COLUMN(FB55)&lt;=26,CHAR(COLUMN(FB55)+64),CHAR(INT((COLUMN(FB55)-1)/26)+64)&amp;CHAR(MOD(COLUMN(FB55)-1,26)+65))&amp;$FI37&amp;""),"")</f>
        <v/>
      </c>
      <c r="FP37" s="78" t="str">
        <f t="array" aca="1" ref="FP37" ca="1">IF($FI37&lt;&gt;"",
INDIRECT(""&amp;IF(COLUMN(FC55)&lt;=26,CHAR(COLUMN(FC55)+64),CHAR(INT((COLUMN(FC55)-1)/26)+64)&amp;CHAR(MOD(COLUMN(FC55)-1,26)+65))&amp;$FI37&amp;""),"")</f>
        <v/>
      </c>
      <c r="FQ37" s="78" t="str">
        <f t="array" aca="1" ref="FQ37" ca="1">IF($FI37&lt;&gt;"",
INDIRECT(""&amp;IF(COLUMN(FD55)&lt;=26,CHAR(COLUMN(FD55)+64),CHAR(INT((COLUMN(FD55)-1)/26)+64)&amp;CHAR(MOD(COLUMN(FD55)-1,26)+65))&amp;$FI37&amp;""),"")</f>
        <v/>
      </c>
      <c r="FR37" s="78" t="str">
        <f t="array" aca="1" ref="FR37" ca="1">IF($FI37&lt;&gt;"",
INDIRECT(""&amp;IF(COLUMN(FE55)&lt;=26,CHAR(COLUMN(FE55)+64),CHAR(INT((COLUMN(FE55)-1)/26)+64)&amp;CHAR(MOD(COLUMN(FE55)-1,26)+65))&amp;$FI37&amp;""),"")</f>
        <v/>
      </c>
      <c r="FS37" s="78" t="str">
        <f t="array" aca="1" ref="FS37" ca="1">IF($FI37&lt;&gt;"",
INDIRECT(""&amp;IF(COLUMN(FF55)&lt;=26,CHAR(COLUMN(FF55)+64),CHAR(INT((COLUMN(FF55)-1)/26)+64)&amp;CHAR(MOD(COLUMN(FF55)-1,26)+65))&amp;$FI37&amp;""),"")</f>
        <v/>
      </c>
    </row>
    <row r="38" spans="1:175" s="78" customFormat="1" ht="22.2" customHeight="1" x14ac:dyDescent="0.55000000000000004">
      <c r="A38" s="76"/>
      <c r="B38" s="84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249" t="str">
        <f ca="1">IF(C37&lt;&gt;"",
"園児","")</f>
        <v/>
      </c>
      <c r="D38" s="250"/>
      <c r="E38" s="251" t="str">
        <f ca="1">IF(C37&lt;&gt;"",
"先生","")</f>
        <v/>
      </c>
      <c r="F38" s="250"/>
      <c r="G38" s="97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76"/>
      <c r="I38" s="84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249" t="str">
        <f ca="1">IF(J37&lt;&gt;"",
"園児","")</f>
        <v/>
      </c>
      <c r="K38" s="250"/>
      <c r="L38" s="251" t="str">
        <f ca="1">IF(J37&lt;&gt;"",
"先生","")</f>
        <v/>
      </c>
      <c r="M38" s="250"/>
      <c r="N38" s="97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76"/>
      <c r="P38" s="76"/>
      <c r="Q38" s="84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249" t="str">
        <f ca="1">IF(R37&lt;&gt;"",
"園児","")</f>
        <v/>
      </c>
      <c r="S38" s="250"/>
      <c r="T38" s="251" t="str">
        <f ca="1">IF(R37&lt;&gt;"",
"先生","")</f>
        <v/>
      </c>
      <c r="U38" s="250"/>
      <c r="V38" s="97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76"/>
      <c r="X38" s="84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249" t="str">
        <f ca="1">IF(Y37&lt;&gt;"",
"園児","")</f>
        <v/>
      </c>
      <c r="Z38" s="250"/>
      <c r="AA38" s="251" t="str">
        <f ca="1">IF(Y37&lt;&gt;"",
"先生","")</f>
        <v/>
      </c>
      <c r="AB38" s="250"/>
      <c r="AC38" s="97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76"/>
      <c r="AE38" s="76"/>
      <c r="AF38" s="84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249" t="str">
        <f ca="1">IF(AG37&lt;&gt;"",
"園児","")</f>
        <v/>
      </c>
      <c r="AH38" s="250"/>
      <c r="AI38" s="251" t="str">
        <f ca="1">IF(AG37&lt;&gt;"",
"先生","")</f>
        <v/>
      </c>
      <c r="AJ38" s="250"/>
      <c r="AK38" s="97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76"/>
      <c r="AM38" s="84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249" t="str">
        <f ca="1">IF(AN37&lt;&gt;"",
"園児","")</f>
        <v/>
      </c>
      <c r="AO38" s="250"/>
      <c r="AP38" s="251" t="str">
        <f ca="1">IF(AN37&lt;&gt;"",
"先生","")</f>
        <v/>
      </c>
      <c r="AQ38" s="250"/>
      <c r="AR38" s="97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76"/>
      <c r="AT38" s="76"/>
      <c r="AU38" s="84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249" t="str">
        <f ca="1">IF(AV37&lt;&gt;"",
"園児","")</f>
        <v/>
      </c>
      <c r="AW38" s="250"/>
      <c r="AX38" s="251" t="str">
        <f ca="1">IF(AV37&lt;&gt;"",
"先生","")</f>
        <v/>
      </c>
      <c r="AY38" s="250"/>
      <c r="AZ38" s="97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76"/>
      <c r="BB38" s="84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249" t="str">
        <f ca="1">IF(BC37&lt;&gt;"",
"園児","")</f>
        <v/>
      </c>
      <c r="BD38" s="250"/>
      <c r="BE38" s="251" t="str">
        <f ca="1">IF(BC37&lt;&gt;"",
"先生","")</f>
        <v/>
      </c>
      <c r="BF38" s="250"/>
      <c r="BG38" s="97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76"/>
      <c r="BI38" s="76"/>
      <c r="BJ38" s="84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249" t="str">
        <f ca="1">IF(BK37&lt;&gt;"",
"園児","")</f>
        <v/>
      </c>
      <c r="BL38" s="250"/>
      <c r="BM38" s="251" t="str">
        <f ca="1">IF(BK37&lt;&gt;"",
"先生","")</f>
        <v/>
      </c>
      <c r="BN38" s="250"/>
      <c r="BO38" s="97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76"/>
      <c r="BQ38" s="84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249" t="str">
        <f ca="1">IF(BR37&lt;&gt;"",
"園児","")</f>
        <v/>
      </c>
      <c r="BS38" s="250"/>
      <c r="BT38" s="251" t="str">
        <f ca="1">IF(BR37&lt;&gt;"",
"先生","")</f>
        <v/>
      </c>
      <c r="BU38" s="250"/>
      <c r="BV38" s="97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76"/>
      <c r="BX38" s="76"/>
      <c r="BY38" s="84" t="e">
        <f t="array" aca="1" ref="BY38" ca="1">IF(AND(LEFT(CD36,2)="博多",
LEFT(INDIRECT("数出表_Excel!A"&amp;MATCH(CD36,数出表_Excel!$A:$A,0)-1),2)
=LEFT(INDIRECT("数出表_Excel!A"&amp;MATCH(CD36,数出表_Excel!$A:$A,0)+1),2)),100,
IF(AND(LEFT(CD36,3)="奈良屋",
LEFT(INDIRECT("数出表_Excel!A"&amp;MATCH(CD36,数出表_Excel!$A:$A,0)-1),2)
=LEFT(INDIRECT("数出表_Excel!A"&amp;MATCH(CD36,数出表_Excel!$A:$A,0)+1),2)),200,""))</f>
        <v>#VALUE!</v>
      </c>
      <c r="BZ38" s="249" t="str">
        <f ca="1">IF(BZ37&lt;&gt;"",
"園児","")</f>
        <v/>
      </c>
      <c r="CA38" s="250"/>
      <c r="CB38" s="251" t="str">
        <f ca="1">IF(BZ37&lt;&gt;"",
"先生","")</f>
        <v/>
      </c>
      <c r="CC38" s="250"/>
      <c r="CD38" s="97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76"/>
      <c r="CF38" s="84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249" t="str">
        <f ca="1">IF(CG37&lt;&gt;"",
"園児","")</f>
        <v/>
      </c>
      <c r="CH38" s="250"/>
      <c r="CI38" s="251" t="str">
        <f ca="1">IF(CG37&lt;&gt;"",
"先生","")</f>
        <v/>
      </c>
      <c r="CJ38" s="250"/>
      <c r="CK38" s="97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76"/>
      <c r="CM38" s="76"/>
      <c r="CN38" s="84" t="e">
        <f t="array" aca="1" ref="CN38" ca="1">IF(AND(LEFT(CS36,2)="博多",
LEFT(INDIRECT("数出表_Excel!A"&amp;MATCH(CS36,数出表_Excel!$A:$A,0)-1),2)
=LEFT(INDIRECT("数出表_Excel!A"&amp;MATCH(CS36,数出表_Excel!$A:$A,0)+1),2)),100,
IF(AND(LEFT(CS36,3)="奈良屋",
LEFT(INDIRECT("数出表_Excel!A"&amp;MATCH(CS36,数出表_Excel!$A:$A,0)-1),2)
=LEFT(INDIRECT("数出表_Excel!A"&amp;MATCH(CS36,数出表_Excel!$A:$A,0)+1),2)),200,""))</f>
        <v>#VALUE!</v>
      </c>
      <c r="CO38" s="249" t="str">
        <f ca="1">IF(CO37&lt;&gt;"",
"園児","")</f>
        <v/>
      </c>
      <c r="CP38" s="250"/>
      <c r="CQ38" s="251" t="str">
        <f ca="1">IF(CO37&lt;&gt;"",
"先生","")</f>
        <v/>
      </c>
      <c r="CR38" s="250"/>
      <c r="CS38" s="97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76"/>
      <c r="CU38" s="84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249" t="str">
        <f ca="1">IF(CV37&lt;&gt;"",
"園児","")</f>
        <v/>
      </c>
      <c r="CW38" s="250"/>
      <c r="CX38" s="251" t="str">
        <f ca="1">IF(CV37&lt;&gt;"",
"先生","")</f>
        <v/>
      </c>
      <c r="CY38" s="250"/>
      <c r="CZ38" s="97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76"/>
      <c r="DB38" s="76"/>
      <c r="DC38" s="84" t="e">
        <f t="array" aca="1" ref="DC38" ca="1">IF(AND(LEFT(DH36,2)="博多",
LEFT(INDIRECT("数出表_Excel!A"&amp;MATCH(DH36,数出表_Excel!$A:$A,0)-1),2)
=LEFT(INDIRECT("数出表_Excel!A"&amp;MATCH(DH36,数出表_Excel!$A:$A,0)+1),2)),100,
IF(AND(LEFT(DH36,3)="奈良屋",
LEFT(INDIRECT("数出表_Excel!A"&amp;MATCH(DH36,数出表_Excel!$A:$A,0)-1),2)
=LEFT(INDIRECT("数出表_Excel!A"&amp;MATCH(DH36,数出表_Excel!$A:$A,0)+1),2)),200,""))</f>
        <v>#VALUE!</v>
      </c>
      <c r="DD38" s="249" t="str">
        <f ca="1">IF(DD37&lt;&gt;"",
"園児","")</f>
        <v/>
      </c>
      <c r="DE38" s="250"/>
      <c r="DF38" s="251" t="str">
        <f ca="1">IF(DD37&lt;&gt;"",
"先生","")</f>
        <v/>
      </c>
      <c r="DG38" s="250"/>
      <c r="DH38" s="97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76"/>
      <c r="DJ38" s="84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249" t="str">
        <f ca="1">IF(DK37&lt;&gt;"",
"園児","")</f>
        <v/>
      </c>
      <c r="DL38" s="250"/>
      <c r="DM38" s="251" t="str">
        <f ca="1">IF(DK37&lt;&gt;"",
"先生","")</f>
        <v/>
      </c>
      <c r="DN38" s="250"/>
      <c r="DO38" s="97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76"/>
      <c r="DQ38" s="76"/>
      <c r="DR38" s="84" t="e">
        <f t="array" aca="1" ref="DR38" ca="1">IF(AND(LEFT(DW36,2)="博多",
LEFT(INDIRECT("数出表_Excel!A"&amp;MATCH(DW36,数出表_Excel!$A:$A,0)-1),2)
=LEFT(INDIRECT("数出表_Excel!A"&amp;MATCH(DW36,数出表_Excel!$A:$A,0)+1),2)),100,
IF(AND(LEFT(DW36,3)="奈良屋",
LEFT(INDIRECT("数出表_Excel!A"&amp;MATCH(DW36,数出表_Excel!$A:$A,0)-1),2)
=LEFT(INDIRECT("数出表_Excel!A"&amp;MATCH(DW36,数出表_Excel!$A:$A,0)+1),2)),200,""))</f>
        <v>#VALUE!</v>
      </c>
      <c r="DS38" s="249" t="str">
        <f ca="1">IF(DS37&lt;&gt;"",
"園児","")</f>
        <v/>
      </c>
      <c r="DT38" s="250"/>
      <c r="DU38" s="251" t="str">
        <f ca="1">IF(DS37&lt;&gt;"",
"先生","")</f>
        <v/>
      </c>
      <c r="DV38" s="250"/>
      <c r="DW38" s="97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76"/>
      <c r="DY38" s="84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249" t="str">
        <f ca="1">IF(DZ37&lt;&gt;"",
"園児","")</f>
        <v/>
      </c>
      <c r="EA38" s="250"/>
      <c r="EB38" s="251" t="str">
        <f ca="1">IF(DZ37&lt;&gt;"",
"先生","")</f>
        <v/>
      </c>
      <c r="EC38" s="250"/>
      <c r="ED38" s="97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76"/>
      <c r="EF38" s="76"/>
      <c r="EG38" s="84" t="e">
        <f t="array" aca="1" ref="EG38" ca="1">IF(AND(LEFT(EL36,2)="博多",
LEFT(INDIRECT("数出表_Excel!A"&amp;MATCH(EL36,数出表_Excel!$A:$A,0)-1),2)
=LEFT(INDIRECT("数出表_Excel!A"&amp;MATCH(EL36,数出表_Excel!$A:$A,0)+1),2)),100,
IF(AND(LEFT(EL36,3)="奈良屋",
LEFT(INDIRECT("数出表_Excel!A"&amp;MATCH(EL36,数出表_Excel!$A:$A,0)-1),2)
=LEFT(INDIRECT("数出表_Excel!A"&amp;MATCH(EL36,数出表_Excel!$A:$A,0)+1),2)),200,""))</f>
        <v>#VALUE!</v>
      </c>
      <c r="EH38" s="249" t="str">
        <f ca="1">IF(EH37&lt;&gt;"",
"園児","")</f>
        <v/>
      </c>
      <c r="EI38" s="250"/>
      <c r="EJ38" s="251" t="str">
        <f ca="1">IF(EH37&lt;&gt;"",
"先生","")</f>
        <v/>
      </c>
      <c r="EK38" s="250"/>
      <c r="EL38" s="97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76"/>
      <c r="EN38" s="84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249" t="str">
        <f ca="1">IF(EO37&lt;&gt;"",
"園児","")</f>
        <v/>
      </c>
      <c r="EP38" s="250"/>
      <c r="EQ38" s="251" t="str">
        <f ca="1">IF(EO37&lt;&gt;"",
"先生","")</f>
        <v/>
      </c>
      <c r="ER38" s="250"/>
      <c r="ES38" s="97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06"/>
      <c r="EU38" s="78">
        <v>42</v>
      </c>
      <c r="EV38" s="78" t="str">
        <f t="array" aca="1" ref="EV38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LEN(SUBSTITUTE(_xlfn.FORMULATEXT(EV$37),"=","")))+$EU38)</f>
        <v/>
      </c>
      <c r="EW38" s="78" t="str">
        <f t="array" aca="1" ref="EW38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LEN(SUBSTITUTE(_xlfn.FORMULATEXT(EW$37),"=","")))+$EU38)</f>
        <v/>
      </c>
      <c r="EX38" s="78" t="str">
        <f t="array" aca="1" ref="EX38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LEN(SUBSTITUTE(_xlfn.FORMULATEXT(EX$37),"=","")))+$EU38)</f>
        <v/>
      </c>
      <c r="EY38" s="78" t="str">
        <f t="array" aca="1" ref="EY38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LEN(SUBSTITUTE(_xlfn.FORMULATEXT(EY$37),"=","")))+$EU38)</f>
        <v/>
      </c>
      <c r="EZ38" s="78" t="str">
        <f t="array" aca="1" ref="EZ38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LEN(SUBSTITUTE(_xlfn.FORMULATEXT(EZ$37),"=","")))+$EU38)</f>
        <v/>
      </c>
      <c r="FA38" s="78" t="str">
        <f t="array" aca="1" ref="FA38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LEN(SUBSTITUTE(_xlfn.FORMULATEXT(FA$37),"=","")))+$EU38)</f>
        <v/>
      </c>
      <c r="FB38" s="78" t="str">
        <f t="array" aca="1" ref="FB38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LEN(SUBSTITUTE(_xlfn.FORMULATEXT(FB$37),"=","")))+$EU38)</f>
        <v/>
      </c>
      <c r="FC38" s="78" t="str">
        <f t="array" aca="1" ref="FC38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LEN(SUBSTITUTE(_xlfn.FORMULATEXT(FC$37),"=","")))+$EU38)</f>
        <v/>
      </c>
      <c r="FD38" s="78" t="str">
        <f t="array" aca="1" ref="FD38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LEN(SUBSTITUTE(_xlfn.FORMULATEXT(FD$37),"=","")))+$EU38)</f>
        <v/>
      </c>
      <c r="FE38" s="78" t="str">
        <f t="array" aca="1" ref="FE38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LEN(SUBSTITUTE(_xlfn.FORMULATEXT(FE$37),"=","")))+$EU38)</f>
        <v/>
      </c>
      <c r="FF38" s="78" t="str">
        <f t="array" aca="1" ref="FF38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LEN(SUBSTITUTE(_xlfn.FORMULATEXT(FF$37),"=","")))+$EU38)</f>
        <v/>
      </c>
      <c r="FG38" s="78">
        <f t="shared" ca="1" si="2"/>
        <v>0</v>
      </c>
      <c r="FH38" s="78" t="b">
        <f t="array" aca="1" ref="FH38" ca="1">SUMPRODUCT((LEN(EV38:FF38)&gt;0)*1)&gt;0</f>
        <v>0</v>
      </c>
      <c r="FI38" s="78" t="str">
        <f t="array" aca="1" ref="FI38" ca="1">IFERROR(SMALL(IF(FG$1:FG$228&lt;&gt;0,FG$1:FG$228),ROW(A38)),"")</f>
        <v/>
      </c>
      <c r="FJ38" s="78" t="str">
        <f t="array" aca="1" ref="FJ38" ca="1">IF($FI38&lt;&gt;"",
INDIRECT(""&amp;IF(COLUMN(EV56)&lt;=26,CHAR(COLUMN(EV56)+64),CHAR(INT((COLUMN(EV56)-1)/26)+64)&amp;CHAR(MOD(COLUMN(EV56)-1,26)+65))&amp;$FI38&amp;""),"")</f>
        <v/>
      </c>
      <c r="FK38" s="78" t="str">
        <f t="array" aca="1" ref="FK38" ca="1">IF($FI38&lt;&gt;"",
INDIRECT(""&amp;IF(COLUMN(EW56)&lt;=26,CHAR(COLUMN(EW56)+64),CHAR(INT((COLUMN(EW56)-1)/26)+64)&amp;CHAR(MOD(COLUMN(EW56)-1,26)+65))&amp;$FI38&amp;""),"")</f>
        <v/>
      </c>
      <c r="FL38" s="78" t="str">
        <f t="array" aca="1" ref="FL38" ca="1">IF($FI38&lt;&gt;"",
INDIRECT(""&amp;IF(COLUMN(EX56)&lt;=26,CHAR(COLUMN(EX56)+64),CHAR(INT((COLUMN(EX56)-1)/26)+64)&amp;CHAR(MOD(COLUMN(EX56)-1,26)+65))&amp;$FI38&amp;""),"")</f>
        <v/>
      </c>
      <c r="FM38" s="78" t="str">
        <f t="array" aca="1" ref="FM38" ca="1">IF($FI38&lt;&gt;"",
IF(FL38="",
IF(INDIRECT("EY"&amp;$FI38&amp;"")&lt;&gt;"",
INDIRECT("EY"&amp;$FI38&amp;"")&amp;"箱"
&amp;INDIRECT("EZ"&amp;$FI38&amp;""),""),""),"")</f>
        <v/>
      </c>
      <c r="FN38" s="78" t="str">
        <f t="array" aca="1" ref="FN38" ca="1">IF($FI38&lt;&gt;"",
INDIRECT(""&amp;IF(COLUMN(FA56)&lt;=26,CHAR(COLUMN(FA56)+64),CHAR(INT((COLUMN(FA56)-1)/26)+64)&amp;CHAR(MOD(COLUMN(FA56)-1,26)+65))&amp;$FI38&amp;""),"")</f>
        <v/>
      </c>
      <c r="FO38" s="78" t="str">
        <f t="array" aca="1" ref="FO38" ca="1">IF($FI38&lt;&gt;"",
INDIRECT(""&amp;IF(COLUMN(FB56)&lt;=26,CHAR(COLUMN(FB56)+64),CHAR(INT((COLUMN(FB56)-1)/26)+64)&amp;CHAR(MOD(COLUMN(FB56)-1,26)+65))&amp;$FI38&amp;""),"")</f>
        <v/>
      </c>
      <c r="FP38" s="78" t="str">
        <f t="array" aca="1" ref="FP38" ca="1">IF($FI38&lt;&gt;"",
INDIRECT(""&amp;IF(COLUMN(FC56)&lt;=26,CHAR(COLUMN(FC56)+64),CHAR(INT((COLUMN(FC56)-1)/26)+64)&amp;CHAR(MOD(COLUMN(FC56)-1,26)+65))&amp;$FI38&amp;""),"")</f>
        <v/>
      </c>
      <c r="FQ38" s="78" t="str">
        <f t="array" aca="1" ref="FQ38" ca="1">IF($FI38&lt;&gt;"",
INDIRECT(""&amp;IF(COLUMN(FD56)&lt;=26,CHAR(COLUMN(FD56)+64),CHAR(INT((COLUMN(FD56)-1)/26)+64)&amp;CHAR(MOD(COLUMN(FD56)-1,26)+65))&amp;$FI38&amp;""),"")</f>
        <v/>
      </c>
      <c r="FR38" s="78" t="str">
        <f t="array" aca="1" ref="FR38" ca="1">IF($FI38&lt;&gt;"",
INDIRECT(""&amp;IF(COLUMN(FE56)&lt;=26,CHAR(COLUMN(FE56)+64),CHAR(INT((COLUMN(FE56)-1)/26)+64)&amp;CHAR(MOD(COLUMN(FE56)-1,26)+65))&amp;$FI38&amp;""),"")</f>
        <v/>
      </c>
      <c r="FS38" s="78" t="str">
        <f t="array" aca="1" ref="FS38" ca="1">IF($FI38&lt;&gt;"",
INDIRECT(""&amp;IF(COLUMN(FF56)&lt;=26,CHAR(COLUMN(FF56)+64),CHAR(INT((COLUMN(FF56)-1)/26)+64)&amp;CHAR(MOD(COLUMN(FF56)-1,26)+65))&amp;$FI38&amp;""),"")</f>
        <v/>
      </c>
    </row>
    <row r="39" spans="1:175" ht="18" customHeight="1" x14ac:dyDescent="0.45">
      <c r="B39" s="86"/>
      <c r="C39" s="252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253"/>
      <c r="E39" s="255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253"/>
      <c r="G39" s="97" t="e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#VALUE!</v>
      </c>
      <c r="I39" s="86"/>
      <c r="J39" s="252" t="e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253"/>
      <c r="L39" s="255" t="e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253"/>
      <c r="N39" s="97" t="e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#VALUE!</v>
      </c>
      <c r="Q39" s="86"/>
      <c r="R39" s="252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253"/>
      <c r="T39" s="255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253"/>
      <c r="V39" s="97" t="e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#VALUE!</v>
      </c>
      <c r="X39" s="86"/>
      <c r="Y39" s="252" t="e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253"/>
      <c r="AA39" s="255" t="e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253"/>
      <c r="AC39" s="97" t="e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#VALUE!</v>
      </c>
      <c r="AF39" s="86"/>
      <c r="AG39" s="252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253"/>
      <c r="AI39" s="255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253"/>
      <c r="AK39" s="97" t="e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#VALUE!</v>
      </c>
      <c r="AM39" s="86"/>
      <c r="AN39" s="252" t="e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253"/>
      <c r="AP39" s="255" t="e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253"/>
      <c r="AR39" s="97" t="e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#VALUE!</v>
      </c>
      <c r="AU39" s="86"/>
      <c r="AV39" s="252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253"/>
      <c r="AX39" s="255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253"/>
      <c r="AZ39" s="97" t="e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#VALUE!</v>
      </c>
      <c r="BB39" s="86"/>
      <c r="BC39" s="252" t="e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253"/>
      <c r="BE39" s="255" t="e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253"/>
      <c r="BG39" s="97" t="e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#VALUE!</v>
      </c>
      <c r="BJ39" s="86"/>
      <c r="BK39" s="252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253"/>
      <c r="BM39" s="255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253"/>
      <c r="BO39" s="97" t="e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#VALUE!</v>
      </c>
      <c r="BQ39" s="86"/>
      <c r="BR39" s="252" t="e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253"/>
      <c r="BT39" s="255" t="e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253"/>
      <c r="BV39" s="97" t="e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#VALUE!</v>
      </c>
      <c r="BY39" s="86"/>
      <c r="BZ39" s="252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253"/>
      <c r="CB39" s="255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253"/>
      <c r="CD39" s="97" t="e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0)),0),""),0)</f>
        <v>#VALUE!</v>
      </c>
      <c r="CF39" s="86"/>
      <c r="CG39" s="252" t="e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253"/>
      <c r="CI39" s="255" t="e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253"/>
      <c r="CK39" s="97" t="e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0)),0),""),0)</f>
        <v>#VALUE!</v>
      </c>
      <c r="CN39" s="86"/>
      <c r="CO39" s="252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253"/>
      <c r="CQ39" s="255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253"/>
      <c r="CS39" s="97" t="e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0)),0),""),0)</f>
        <v>#VALUE!</v>
      </c>
      <c r="CU39" s="86"/>
      <c r="CV39" s="252" t="e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253"/>
      <c r="CX39" s="255" t="e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253"/>
      <c r="CZ39" s="97" t="e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0)),0),""),0)</f>
        <v>#VALUE!</v>
      </c>
      <c r="DC39" s="86"/>
      <c r="DD39" s="252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253"/>
      <c r="DF39" s="255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253"/>
      <c r="DH39" s="97" t="e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0)),0),""),0)</f>
        <v>#VALUE!</v>
      </c>
      <c r="DJ39" s="86"/>
      <c r="DK39" s="252" t="e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253"/>
      <c r="DM39" s="255" t="e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253"/>
      <c r="DO39" s="97" t="e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0)),0),""),0)</f>
        <v>#VALUE!</v>
      </c>
      <c r="DR39" s="86"/>
      <c r="DS39" s="252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253"/>
      <c r="DU39" s="255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253"/>
      <c r="DW39" s="97" t="e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0)),0),""),0)</f>
        <v>#VALUE!</v>
      </c>
      <c r="DY39" s="86"/>
      <c r="DZ39" s="252" t="e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253"/>
      <c r="EB39" s="255" t="e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253"/>
      <c r="ED39" s="97" t="e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0)),0),""),0)</f>
        <v>#VALUE!</v>
      </c>
      <c r="EG39" s="86"/>
      <c r="EH39" s="252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253"/>
      <c r="EJ39" s="255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253"/>
      <c r="EL39" s="97" t="e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0)),0),""),0)</f>
        <v>#VALUE!</v>
      </c>
      <c r="EN39" s="86"/>
      <c r="EO39" s="252" t="e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253"/>
      <c r="EQ39" s="255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253"/>
      <c r="ES39" s="97" t="e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0)),0),""),0)</f>
        <v>#VALUE!</v>
      </c>
      <c r="ET39" s="106"/>
      <c r="EU39" s="78">
        <v>84</v>
      </c>
      <c r="EV39" s="78" t="str">
        <f t="array" aca="1" ref="EV3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LEN(SUBSTITUTE(_xlfn.FORMULATEXT(EV$37),"=","")))+$EU39)</f>
        <v/>
      </c>
      <c r="EW39" s="78" t="str">
        <f t="array" aca="1" ref="EW3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LEN(SUBSTITUTE(_xlfn.FORMULATEXT(EW$37),"=","")))+$EU39)</f>
        <v/>
      </c>
      <c r="EX39" s="78" t="str">
        <f t="array" aca="1" ref="EX3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LEN(SUBSTITUTE(_xlfn.FORMULATEXT(EX$37),"=","")))+$EU39)</f>
        <v/>
      </c>
      <c r="EY39" s="78" t="str">
        <f t="array" aca="1" ref="EY3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LEN(SUBSTITUTE(_xlfn.FORMULATEXT(EY$37),"=","")))+$EU39)</f>
        <v/>
      </c>
      <c r="EZ39" s="78" t="str">
        <f t="array" aca="1" ref="EZ3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LEN(SUBSTITUTE(_xlfn.FORMULATEXT(EZ$37),"=","")))+$EU39)</f>
        <v/>
      </c>
      <c r="FA39" s="78" t="str">
        <f t="array" aca="1" ref="FA3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LEN(SUBSTITUTE(_xlfn.FORMULATEXT(FA$37),"=","")))+$EU39)</f>
        <v/>
      </c>
      <c r="FB39" s="78" t="str">
        <f t="array" aca="1" ref="FB3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LEN(SUBSTITUTE(_xlfn.FORMULATEXT(FB$37),"=","")))+$EU39)</f>
        <v/>
      </c>
      <c r="FC39" s="78" t="str">
        <f t="array" aca="1" ref="FC3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LEN(SUBSTITUTE(_xlfn.FORMULATEXT(FC$37),"=","")))+$EU39)</f>
        <v/>
      </c>
      <c r="FD39" s="78" t="str">
        <f t="array" aca="1" ref="FD3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LEN(SUBSTITUTE(_xlfn.FORMULATEXT(FD$37),"=","")))+$EU39)</f>
        <v/>
      </c>
      <c r="FE39" s="78" t="str">
        <f t="array" aca="1" ref="FE3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LEN(SUBSTITUTE(_xlfn.FORMULATEXT(FE$37),"=","")))+$EU39)</f>
        <v/>
      </c>
      <c r="FF39" s="78" t="str">
        <f t="array" aca="1" ref="FF3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LEN(SUBSTITUTE(_xlfn.FORMULATEXT(FF$37),"=","")))+$EU39)</f>
        <v/>
      </c>
      <c r="FG39" s="78">
        <f t="shared" ca="1" si="2"/>
        <v>0</v>
      </c>
      <c r="FH39" s="78" t="b">
        <f t="array" aca="1" ref="FH39" ca="1">SUMPRODUCT((LEN(EV39:FF39)&gt;0)*1)&gt;0</f>
        <v>0</v>
      </c>
      <c r="FI39" s="78" t="str">
        <f t="array" aca="1" ref="FI39" ca="1">IFERROR(SMALL(IF(FG$1:FG$228&lt;&gt;0,FG$1:FG$228),ROW(A39)),"")</f>
        <v/>
      </c>
      <c r="FJ39" s="78" t="str">
        <f t="array" aca="1" ref="FJ39" ca="1">IF($FI39&lt;&gt;"",
INDIRECT(""&amp;IF(COLUMN(EV58)&lt;=26,CHAR(COLUMN(EV58)+64),CHAR(INT((COLUMN(EV58)-1)/26)+64)&amp;CHAR(MOD(COLUMN(EV58)-1,26)+65))&amp;$FI39&amp;""),"")</f>
        <v/>
      </c>
      <c r="FK39" s="78" t="str">
        <f t="array" aca="1" ref="FK39" ca="1">IF($FI39&lt;&gt;"",
INDIRECT(""&amp;IF(COLUMN(EW58)&lt;=26,CHAR(COLUMN(EW58)+64),CHAR(INT((COLUMN(EW58)-1)/26)+64)&amp;CHAR(MOD(COLUMN(EW58)-1,26)+65))&amp;$FI39&amp;""),"")</f>
        <v/>
      </c>
      <c r="FL39" s="78" t="str">
        <f t="array" aca="1" ref="FL39" ca="1">IF($FI39&lt;&gt;"",
INDIRECT(""&amp;IF(COLUMN(EX58)&lt;=26,CHAR(COLUMN(EX58)+64),CHAR(INT((COLUMN(EX58)-1)/26)+64)&amp;CHAR(MOD(COLUMN(EX58)-1,26)+65))&amp;$FI39&amp;""),"")</f>
        <v/>
      </c>
      <c r="FM39" s="78" t="str">
        <f t="array" aca="1" ref="FM39" ca="1">IF($FI39&lt;&gt;"",
IF(FL39="",
IF(INDIRECT("EY"&amp;$FI39&amp;"")&lt;&gt;"",
INDIRECT("EY"&amp;$FI39&amp;"")&amp;"箱"
&amp;INDIRECT("EZ"&amp;$FI39&amp;""),""),""),"")</f>
        <v/>
      </c>
      <c r="FN39" s="78" t="str">
        <f t="array" aca="1" ref="FN39" ca="1">IF($FI39&lt;&gt;"",
INDIRECT(""&amp;IF(COLUMN(FA58)&lt;=26,CHAR(COLUMN(FA58)+64),CHAR(INT((COLUMN(FA58)-1)/26)+64)&amp;CHAR(MOD(COLUMN(FA58)-1,26)+65))&amp;$FI39&amp;""),"")</f>
        <v/>
      </c>
      <c r="FO39" s="78" t="str">
        <f t="array" aca="1" ref="FO39" ca="1">IF($FI39&lt;&gt;"",
INDIRECT(""&amp;IF(COLUMN(FB58)&lt;=26,CHAR(COLUMN(FB58)+64),CHAR(INT((COLUMN(FB58)-1)/26)+64)&amp;CHAR(MOD(COLUMN(FB58)-1,26)+65))&amp;$FI39&amp;""),"")</f>
        <v/>
      </c>
      <c r="FP39" s="78" t="str">
        <f t="array" aca="1" ref="FP39" ca="1">IF($FI39&lt;&gt;"",
INDIRECT(""&amp;IF(COLUMN(FC58)&lt;=26,CHAR(COLUMN(FC58)+64),CHAR(INT((COLUMN(FC58)-1)/26)+64)&amp;CHAR(MOD(COLUMN(FC58)-1,26)+65))&amp;$FI39&amp;""),"")</f>
        <v/>
      </c>
      <c r="FQ39" s="78" t="str">
        <f t="array" aca="1" ref="FQ39" ca="1">IF($FI39&lt;&gt;"",
INDIRECT(""&amp;IF(COLUMN(FD58)&lt;=26,CHAR(COLUMN(FD58)+64),CHAR(INT((COLUMN(FD58)-1)/26)+64)&amp;CHAR(MOD(COLUMN(FD58)-1,26)+65))&amp;$FI39&amp;""),"")</f>
        <v/>
      </c>
      <c r="FR39" s="78" t="str">
        <f t="array" aca="1" ref="FR39" ca="1">IF($FI39&lt;&gt;"",
INDIRECT(""&amp;IF(COLUMN(FE58)&lt;=26,CHAR(COLUMN(FE58)+64),CHAR(INT((COLUMN(FE58)-1)/26)+64)&amp;CHAR(MOD(COLUMN(FE58)-1,26)+65))&amp;$FI39&amp;""),"")</f>
        <v/>
      </c>
      <c r="FS39" s="78" t="str">
        <f t="array" aca="1" ref="FS39" ca="1">IF($FI39&lt;&gt;"",
INDIRECT(""&amp;IF(COLUMN(FF58)&lt;=26,CHAR(COLUMN(FF58)+64),CHAR(INT((COLUMN(FF58)-1)/26)+64)&amp;CHAR(MOD(COLUMN(FF58)-1,26)+65))&amp;$FI39&amp;""),"")</f>
        <v/>
      </c>
    </row>
    <row r="40" spans="1:175" ht="18" customHeight="1" x14ac:dyDescent="0.45">
      <c r="B40" s="114" t="s">
        <v>37</v>
      </c>
      <c r="C40" s="254"/>
      <c r="D40" s="254"/>
      <c r="E40" s="254"/>
      <c r="F40" s="254"/>
      <c r="G40" s="98" t="str">
        <f ca="1">SUBSTITUTE(SUBSTITUTE(ADDRESS(1,MATCH("おやつ",'数出表_Excel（アレルギー入力）'!$3:$3,0)),1,""),"$","")</f>
        <v>AL</v>
      </c>
      <c r="I40" s="114" t="s">
        <v>37</v>
      </c>
      <c r="J40" s="254"/>
      <c r="K40" s="254"/>
      <c r="L40" s="254"/>
      <c r="M40" s="254"/>
      <c r="N40" s="98" t="str">
        <f ca="1">SUBSTITUTE(SUBSTITUTE(ADDRESS(1,MATCH("おやつ",'数出表_Excel（アレルギー入力）'!$3:$3,0)),1,""),"$","")</f>
        <v>AL</v>
      </c>
      <c r="Q40" s="114" t="s">
        <v>37</v>
      </c>
      <c r="R40" s="254"/>
      <c r="S40" s="254"/>
      <c r="T40" s="254"/>
      <c r="U40" s="254"/>
      <c r="V40" s="98" t="str">
        <f ca="1">SUBSTITUTE(SUBSTITUTE(ADDRESS(1,MATCH("おやつ",'数出表_Excel（アレルギー入力）'!$3:$3,0)),1,""),"$","")</f>
        <v>AL</v>
      </c>
      <c r="X40" s="114" t="s">
        <v>37</v>
      </c>
      <c r="Y40" s="254"/>
      <c r="Z40" s="254"/>
      <c r="AA40" s="254"/>
      <c r="AB40" s="254"/>
      <c r="AC40" s="98" t="str">
        <f ca="1">SUBSTITUTE(SUBSTITUTE(ADDRESS(1,MATCH("おやつ",'数出表_Excel（アレルギー入力）'!$3:$3,0)),1,""),"$","")</f>
        <v>AL</v>
      </c>
      <c r="AF40" s="114" t="s">
        <v>37</v>
      </c>
      <c r="AG40" s="254"/>
      <c r="AH40" s="254"/>
      <c r="AI40" s="254"/>
      <c r="AJ40" s="254"/>
      <c r="AK40" s="98" t="str">
        <f ca="1">SUBSTITUTE(SUBSTITUTE(ADDRESS(1,MATCH("おやつ",'数出表_Excel（アレルギー入力）'!$3:$3,0)),1,""),"$","")</f>
        <v>AL</v>
      </c>
      <c r="AM40" s="114" t="s">
        <v>37</v>
      </c>
      <c r="AN40" s="254"/>
      <c r="AO40" s="254"/>
      <c r="AP40" s="254"/>
      <c r="AQ40" s="254"/>
      <c r="AR40" s="98" t="str">
        <f ca="1">SUBSTITUTE(SUBSTITUTE(ADDRESS(1,MATCH("おやつ",'数出表_Excel（アレルギー入力）'!$3:$3,0)),1,""),"$","")</f>
        <v>AL</v>
      </c>
      <c r="AU40" s="114" t="s">
        <v>37</v>
      </c>
      <c r="AV40" s="254"/>
      <c r="AW40" s="254"/>
      <c r="AX40" s="254"/>
      <c r="AY40" s="254"/>
      <c r="AZ40" s="98" t="str">
        <f ca="1">SUBSTITUTE(SUBSTITUTE(ADDRESS(1,MATCH("おやつ",'数出表_Excel（アレルギー入力）'!$3:$3,0)),1,""),"$","")</f>
        <v>AL</v>
      </c>
      <c r="BB40" s="114" t="s">
        <v>37</v>
      </c>
      <c r="BC40" s="254"/>
      <c r="BD40" s="254"/>
      <c r="BE40" s="254"/>
      <c r="BF40" s="254"/>
      <c r="BG40" s="98" t="str">
        <f ca="1">SUBSTITUTE(SUBSTITUTE(ADDRESS(1,MATCH("おやつ",'数出表_Excel（アレルギー入力）'!$3:$3,0)),1,""),"$","")</f>
        <v>AL</v>
      </c>
      <c r="BJ40" s="114" t="s">
        <v>37</v>
      </c>
      <c r="BK40" s="254"/>
      <c r="BL40" s="254"/>
      <c r="BM40" s="254"/>
      <c r="BN40" s="254"/>
      <c r="BO40" s="98" t="str">
        <f ca="1">SUBSTITUTE(SUBSTITUTE(ADDRESS(1,MATCH("おやつ",'数出表_Excel（アレルギー入力）'!$3:$3,0)),1,""),"$","")</f>
        <v>AL</v>
      </c>
      <c r="BQ40" s="114" t="s">
        <v>37</v>
      </c>
      <c r="BR40" s="254"/>
      <c r="BS40" s="254"/>
      <c r="BT40" s="254"/>
      <c r="BU40" s="254"/>
      <c r="BV40" s="98" t="str">
        <f ca="1">SUBSTITUTE(SUBSTITUTE(ADDRESS(1,MATCH("おやつ",'数出表_Excel（アレルギー入力）'!$3:$3,0)),1,""),"$","")</f>
        <v>AL</v>
      </c>
      <c r="BY40" s="114" t="s">
        <v>37</v>
      </c>
      <c r="BZ40" s="254"/>
      <c r="CA40" s="254"/>
      <c r="CB40" s="254"/>
      <c r="CC40" s="254"/>
      <c r="CD40" s="98" t="str">
        <f ca="1">SUBSTITUTE(SUBSTITUTE(ADDRESS(1,MATCH("おやつ",'数出表_Excel（アレルギー入力）'!$3:$3,0)),1,""),"$","")</f>
        <v>AL</v>
      </c>
      <c r="CF40" s="114" t="s">
        <v>37</v>
      </c>
      <c r="CG40" s="254"/>
      <c r="CH40" s="254"/>
      <c r="CI40" s="254"/>
      <c r="CJ40" s="254"/>
      <c r="CK40" s="98" t="str">
        <f ca="1">SUBSTITUTE(SUBSTITUTE(ADDRESS(1,MATCH("おやつ",'数出表_Excel（アレルギー入力）'!$3:$3,0)),1,""),"$","")</f>
        <v>AL</v>
      </c>
      <c r="CN40" s="114" t="s">
        <v>37</v>
      </c>
      <c r="CO40" s="254"/>
      <c r="CP40" s="254"/>
      <c r="CQ40" s="254"/>
      <c r="CR40" s="254"/>
      <c r="CS40" s="98" t="str">
        <f ca="1">SUBSTITUTE(SUBSTITUTE(ADDRESS(1,MATCH("おやつ",'数出表_Excel（アレルギー入力）'!$3:$3,0)),1,""),"$","")</f>
        <v>AL</v>
      </c>
      <c r="CU40" s="114" t="s">
        <v>37</v>
      </c>
      <c r="CV40" s="254"/>
      <c r="CW40" s="254"/>
      <c r="CX40" s="254"/>
      <c r="CY40" s="254"/>
      <c r="CZ40" s="98" t="str">
        <f ca="1">SUBSTITUTE(SUBSTITUTE(ADDRESS(1,MATCH("おやつ",'数出表_Excel（アレルギー入力）'!$3:$3,0)),1,""),"$","")</f>
        <v>AL</v>
      </c>
      <c r="DC40" s="114" t="s">
        <v>37</v>
      </c>
      <c r="DD40" s="254"/>
      <c r="DE40" s="254"/>
      <c r="DF40" s="254"/>
      <c r="DG40" s="254"/>
      <c r="DH40" s="98" t="str">
        <f ca="1">SUBSTITUTE(SUBSTITUTE(ADDRESS(1,MATCH("おやつ",'数出表_Excel（アレルギー入力）'!$3:$3,0)),1,""),"$","")</f>
        <v>AL</v>
      </c>
      <c r="DJ40" s="114" t="s">
        <v>37</v>
      </c>
      <c r="DK40" s="254"/>
      <c r="DL40" s="254"/>
      <c r="DM40" s="254"/>
      <c r="DN40" s="254"/>
      <c r="DO40" s="98" t="str">
        <f ca="1">SUBSTITUTE(SUBSTITUTE(ADDRESS(1,MATCH("おやつ",'数出表_Excel（アレルギー入力）'!$3:$3,0)),1,""),"$","")</f>
        <v>AL</v>
      </c>
      <c r="DR40" s="114" t="s">
        <v>37</v>
      </c>
      <c r="DS40" s="254"/>
      <c r="DT40" s="254"/>
      <c r="DU40" s="254"/>
      <c r="DV40" s="254"/>
      <c r="DW40" s="98" t="str">
        <f ca="1">SUBSTITUTE(SUBSTITUTE(ADDRESS(1,MATCH("おやつ",'数出表_Excel（アレルギー入力）'!$3:$3,0)),1,""),"$","")</f>
        <v>AL</v>
      </c>
      <c r="DY40" s="114" t="s">
        <v>37</v>
      </c>
      <c r="DZ40" s="254"/>
      <c r="EA40" s="254"/>
      <c r="EB40" s="254"/>
      <c r="EC40" s="254"/>
      <c r="ED40" s="98" t="str">
        <f ca="1">SUBSTITUTE(SUBSTITUTE(ADDRESS(1,MATCH("おやつ",'数出表_Excel（アレルギー入力）'!$3:$3,0)),1,""),"$","")</f>
        <v>AL</v>
      </c>
      <c r="EG40" s="114" t="s">
        <v>37</v>
      </c>
      <c r="EH40" s="254"/>
      <c r="EI40" s="254"/>
      <c r="EJ40" s="254"/>
      <c r="EK40" s="254"/>
      <c r="EL40" s="98" t="str">
        <f ca="1">SUBSTITUTE(SUBSTITUTE(ADDRESS(1,MATCH("おやつ",'数出表_Excel（アレルギー入力）'!$3:$3,0)),1,""),"$","")</f>
        <v>AL</v>
      </c>
      <c r="EN40" s="114" t="s">
        <v>37</v>
      </c>
      <c r="EO40" s="254"/>
      <c r="EP40" s="254"/>
      <c r="EQ40" s="254"/>
      <c r="ER40" s="254"/>
      <c r="ES40" s="98" t="str">
        <f ca="1">SUBSTITUTE(SUBSTITUTE(ADDRESS(1,MATCH("おやつ",'数出表_Excel（アレルギー入力）'!$3:$3,0)),1,""),"$","")</f>
        <v>AL</v>
      </c>
      <c r="ET40" s="106"/>
      <c r="EU40" s="78"/>
      <c r="EV40" s="79" t="str">
        <f ca="1">Y1</f>
        <v/>
      </c>
      <c r="EW40" s="79" t="str">
        <f ca="1">Y2</f>
        <v/>
      </c>
      <c r="EX40" s="79" t="str">
        <f ca="1">AA2</f>
        <v/>
      </c>
      <c r="EY40" s="80" t="str">
        <f ca="1">AB2</f>
        <v/>
      </c>
      <c r="EZ40" s="80" t="str">
        <f ca="1">AC2</f>
        <v/>
      </c>
      <c r="FA40" s="79" t="e">
        <f ca="1">Y4</f>
        <v>#VALUE!</v>
      </c>
      <c r="FB40" s="79" t="e">
        <f ca="1">AA4</f>
        <v>#VALUE!</v>
      </c>
      <c r="FC40" s="79" t="str">
        <f ca="1">Y6</f>
        <v/>
      </c>
      <c r="FD40" s="79" t="e">
        <f ca="1">X7</f>
        <v>#VALUE!</v>
      </c>
      <c r="FE40" s="79" t="str">
        <f ca="1">Z7</f>
        <v/>
      </c>
      <c r="FF40" s="79" t="e">
        <f ca="1">AB7</f>
        <v>#VALUE!</v>
      </c>
      <c r="FG40" s="78">
        <f t="shared" ca="1" si="2"/>
        <v>0</v>
      </c>
      <c r="FH40" s="78" t="e">
        <f t="array" aca="1" ref="FH40" ca="1">SUMPRODUCT((LEN(EV40:FF40)&gt;0)*1)&gt;0</f>
        <v>#VALUE!</v>
      </c>
      <c r="FI40" s="78" t="str">
        <f t="array" aca="1" ref="FI40" ca="1">IFERROR(SMALL(IF(FG$1:FG$228&lt;&gt;0,FG$1:FG$228),ROW(A40)),"")</f>
        <v/>
      </c>
      <c r="FJ40" s="78" t="str">
        <f t="array" aca="1" ref="FJ40" ca="1">IF($FI40&lt;&gt;"",
INDIRECT(""&amp;IF(COLUMN(EV59)&lt;=26,CHAR(COLUMN(EV59)+64),CHAR(INT((COLUMN(EV59)-1)/26)+64)&amp;CHAR(MOD(COLUMN(EV59)-1,26)+65))&amp;$FI40&amp;""),"")</f>
        <v/>
      </c>
      <c r="FK40" s="78" t="str">
        <f t="array" aca="1" ref="FK40" ca="1">IF($FI40&lt;&gt;"",
INDIRECT(""&amp;IF(COLUMN(EW59)&lt;=26,CHAR(COLUMN(EW59)+64),CHAR(INT((COLUMN(EW59)-1)/26)+64)&amp;CHAR(MOD(COLUMN(EW59)-1,26)+65))&amp;$FI40&amp;""),"")</f>
        <v/>
      </c>
      <c r="FL40" s="78" t="str">
        <f t="array" aca="1" ref="FL40" ca="1">IF($FI40&lt;&gt;"",
INDIRECT(""&amp;IF(COLUMN(EX59)&lt;=26,CHAR(COLUMN(EX59)+64),CHAR(INT((COLUMN(EX59)-1)/26)+64)&amp;CHAR(MOD(COLUMN(EX59)-1,26)+65))&amp;$FI40&amp;""),"")</f>
        <v/>
      </c>
      <c r="FM40" s="78" t="str">
        <f t="array" aca="1" ref="FM40" ca="1">IF($FI40&lt;&gt;"",
IF(FL40="",
IF(INDIRECT("EY"&amp;$FI40&amp;"")&lt;&gt;"",
INDIRECT("EY"&amp;$FI40&amp;"")&amp;"箱"
&amp;INDIRECT("EZ"&amp;$FI40&amp;""),""),""),"")</f>
        <v/>
      </c>
      <c r="FN40" s="78" t="str">
        <f t="array" aca="1" ref="FN40" ca="1">IF($FI40&lt;&gt;"",
INDIRECT(""&amp;IF(COLUMN(FA59)&lt;=26,CHAR(COLUMN(FA59)+64),CHAR(INT((COLUMN(FA59)-1)/26)+64)&amp;CHAR(MOD(COLUMN(FA59)-1,26)+65))&amp;$FI40&amp;""),"")</f>
        <v/>
      </c>
      <c r="FO40" s="78" t="str">
        <f t="array" aca="1" ref="FO40" ca="1">IF($FI40&lt;&gt;"",
INDIRECT(""&amp;IF(COLUMN(FB59)&lt;=26,CHAR(COLUMN(FB59)+64),CHAR(INT((COLUMN(FB59)-1)/26)+64)&amp;CHAR(MOD(COLUMN(FB59)-1,26)+65))&amp;$FI40&amp;""),"")</f>
        <v/>
      </c>
      <c r="FP40" s="78" t="str">
        <f t="array" aca="1" ref="FP40" ca="1">IF($FI40&lt;&gt;"",
INDIRECT(""&amp;IF(COLUMN(FC59)&lt;=26,CHAR(COLUMN(FC59)+64),CHAR(INT((COLUMN(FC59)-1)/26)+64)&amp;CHAR(MOD(COLUMN(FC59)-1,26)+65))&amp;$FI40&amp;""),"")</f>
        <v/>
      </c>
      <c r="FQ40" s="78" t="str">
        <f t="array" aca="1" ref="FQ40" ca="1">IF($FI40&lt;&gt;"",
INDIRECT(""&amp;IF(COLUMN(FD59)&lt;=26,CHAR(COLUMN(FD59)+64),CHAR(INT((COLUMN(FD59)-1)/26)+64)&amp;CHAR(MOD(COLUMN(FD59)-1,26)+65))&amp;$FI40&amp;""),"")</f>
        <v/>
      </c>
      <c r="FR40" s="78" t="str">
        <f t="array" aca="1" ref="FR40" ca="1">IF($FI40&lt;&gt;"",
INDIRECT(""&amp;IF(COLUMN(FE59)&lt;=26,CHAR(COLUMN(FE59)+64),CHAR(INT((COLUMN(FE59)-1)/26)+64)&amp;CHAR(MOD(COLUMN(FE59)-1,26)+65))&amp;$FI40&amp;""),"")</f>
        <v/>
      </c>
      <c r="FS40" s="78" t="str">
        <f t="array" aca="1" ref="FS40" ca="1">IF($FI40&lt;&gt;"",
INDIRECT(""&amp;IF(COLUMN(FF59)&lt;=26,CHAR(COLUMN(FF59)+64),CHAR(INT((COLUMN(FF59)-1)/26)+64)&amp;CHAR(MOD(COLUMN(FF59)-1,26)+65))&amp;$FI40&amp;""),"")</f>
        <v/>
      </c>
    </row>
    <row r="41" spans="1:175" s="78" customFormat="1" ht="22.2" customHeight="1" x14ac:dyDescent="0.55000000000000004">
      <c r="A41" s="76"/>
      <c r="B41" s="89" t="str">
        <f ca="1">IF(C37&lt;&gt;"",
"パン箱","")</f>
        <v/>
      </c>
      <c r="C41" s="90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89" t="str">
        <f ca="1">IF(C37&lt;&gt;"",
" 端数","")</f>
        <v/>
      </c>
      <c r="E41" s="90"/>
      <c r="F41" s="89" t="str">
        <f ca="1">IF(C37&lt;&gt;"",
"アレルギー","")</f>
        <v/>
      </c>
      <c r="G41" s="97"/>
      <c r="H41" s="76"/>
      <c r="I41" s="89" t="str">
        <f ca="1">IF(J37&lt;&gt;"",
"パン箱","")</f>
        <v/>
      </c>
      <c r="J41" s="90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89" t="str">
        <f ca="1">IF(J37&lt;&gt;"",
" 端数","")</f>
        <v/>
      </c>
      <c r="L41" s="90"/>
      <c r="M41" s="89" t="str">
        <f ca="1">IF(J37&lt;&gt;"",
"アレルギー","")</f>
        <v/>
      </c>
      <c r="N41" s="97"/>
      <c r="O41" s="76"/>
      <c r="P41" s="76"/>
      <c r="Q41" s="89" t="str">
        <f ca="1">IF(R37&lt;&gt;"",
"パン箱","")</f>
        <v/>
      </c>
      <c r="R41" s="90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89" t="str">
        <f ca="1">IF(R37&lt;&gt;"",
" 端数","")</f>
        <v/>
      </c>
      <c r="T41" s="90"/>
      <c r="U41" s="89" t="str">
        <f ca="1">IF(R37&lt;&gt;"",
"アレルギー","")</f>
        <v/>
      </c>
      <c r="V41" s="97"/>
      <c r="W41" s="76"/>
      <c r="X41" s="89" t="str">
        <f ca="1">IF(Y37&lt;&gt;"",
"パン箱","")</f>
        <v/>
      </c>
      <c r="Y41" s="90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89" t="str">
        <f ca="1">IF(Y37&lt;&gt;"",
" 端数","")</f>
        <v/>
      </c>
      <c r="AA41" s="90"/>
      <c r="AB41" s="89" t="str">
        <f ca="1">IF(Y37&lt;&gt;"",
"アレルギー","")</f>
        <v/>
      </c>
      <c r="AC41" s="97"/>
      <c r="AD41" s="76"/>
      <c r="AE41" s="76"/>
      <c r="AF41" s="89" t="str">
        <f ca="1">IF(AG37&lt;&gt;"",
"パン箱","")</f>
        <v/>
      </c>
      <c r="AG41" s="90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89" t="str">
        <f ca="1">IF(AG37&lt;&gt;"",
" 端数","")</f>
        <v/>
      </c>
      <c r="AI41" s="90"/>
      <c r="AJ41" s="89" t="str">
        <f ca="1">IF(AG37&lt;&gt;"",
"アレルギー","")</f>
        <v/>
      </c>
      <c r="AK41" s="97"/>
      <c r="AL41" s="76"/>
      <c r="AM41" s="89" t="str">
        <f ca="1">IF(AN37&lt;&gt;"",
"パン箱","")</f>
        <v/>
      </c>
      <c r="AN41" s="90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89" t="str">
        <f ca="1">IF(AN37&lt;&gt;"",
" 端数","")</f>
        <v/>
      </c>
      <c r="AP41" s="90"/>
      <c r="AQ41" s="89" t="str">
        <f ca="1">IF(AN37&lt;&gt;"",
"アレルギー","")</f>
        <v/>
      </c>
      <c r="AR41" s="97"/>
      <c r="AS41" s="76"/>
      <c r="AT41" s="76"/>
      <c r="AU41" s="89" t="str">
        <f ca="1">IF(AV37&lt;&gt;"",
"パン箱","")</f>
        <v/>
      </c>
      <c r="AV41" s="90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89" t="str">
        <f ca="1">IF(AV37&lt;&gt;"",
" 端数","")</f>
        <v/>
      </c>
      <c r="AX41" s="90"/>
      <c r="AY41" s="89" t="str">
        <f ca="1">IF(AV37&lt;&gt;"",
"アレルギー","")</f>
        <v/>
      </c>
      <c r="AZ41" s="97"/>
      <c r="BA41" s="76"/>
      <c r="BB41" s="89" t="str">
        <f ca="1">IF(BC37&lt;&gt;"",
"パン箱","")</f>
        <v/>
      </c>
      <c r="BC41" s="90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89" t="str">
        <f ca="1">IF(BC37&lt;&gt;"",
" 端数","")</f>
        <v/>
      </c>
      <c r="BE41" s="90"/>
      <c r="BF41" s="89" t="str">
        <f ca="1">IF(BC37&lt;&gt;"",
"アレルギー","")</f>
        <v/>
      </c>
      <c r="BG41" s="97"/>
      <c r="BH41" s="76"/>
      <c r="BI41" s="76"/>
      <c r="BJ41" s="89" t="str">
        <f ca="1">IF(BK37&lt;&gt;"",
"パン箱","")</f>
        <v/>
      </c>
      <c r="BK41" s="90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89" t="str">
        <f ca="1">IF(BK37&lt;&gt;"",
" 端数","")</f>
        <v/>
      </c>
      <c r="BM41" s="90"/>
      <c r="BN41" s="89" t="str">
        <f ca="1">IF(BK37&lt;&gt;"",
"アレルギー","")</f>
        <v/>
      </c>
      <c r="BO41" s="97"/>
      <c r="BP41" s="76"/>
      <c r="BQ41" s="89" t="str">
        <f ca="1">IF(BR37&lt;&gt;"",
"パン箱","")</f>
        <v/>
      </c>
      <c r="BR41" s="90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89" t="str">
        <f ca="1">IF(BR37&lt;&gt;"",
" 端数","")</f>
        <v/>
      </c>
      <c r="BT41" s="90"/>
      <c r="BU41" s="89" t="str">
        <f ca="1">IF(BR37&lt;&gt;"",
"アレルギー","")</f>
        <v/>
      </c>
      <c r="BV41" s="97"/>
      <c r="BW41" s="76"/>
      <c r="BX41" s="76"/>
      <c r="BY41" s="89" t="str">
        <f ca="1">IF(BZ37&lt;&gt;"",
"パン箱","")</f>
        <v/>
      </c>
      <c r="BZ41" s="90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89" t="str">
        <f ca="1">IF(BZ37&lt;&gt;"",
" 端数","")</f>
        <v/>
      </c>
      <c r="CB41" s="90"/>
      <c r="CC41" s="89" t="str">
        <f ca="1">IF(BZ37&lt;&gt;"",
"アレルギー","")</f>
        <v/>
      </c>
      <c r="CD41" s="97"/>
      <c r="CE41" s="76"/>
      <c r="CF41" s="89" t="str">
        <f ca="1">IF(CG37&lt;&gt;"",
"パン箱","")</f>
        <v/>
      </c>
      <c r="CG41" s="90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89" t="str">
        <f ca="1">IF(CG37&lt;&gt;"",
" 端数","")</f>
        <v/>
      </c>
      <c r="CI41" s="90"/>
      <c r="CJ41" s="89" t="str">
        <f ca="1">IF(CG37&lt;&gt;"",
"アレルギー","")</f>
        <v/>
      </c>
      <c r="CK41" s="97"/>
      <c r="CL41" s="76"/>
      <c r="CM41" s="76"/>
      <c r="CN41" s="89" t="str">
        <f ca="1">IF(CO37&lt;&gt;"",
"パン箱","")</f>
        <v/>
      </c>
      <c r="CO41" s="90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89" t="str">
        <f ca="1">IF(CO37&lt;&gt;"",
" 端数","")</f>
        <v/>
      </c>
      <c r="CQ41" s="90"/>
      <c r="CR41" s="89" t="str">
        <f ca="1">IF(CO37&lt;&gt;"",
"アレルギー","")</f>
        <v/>
      </c>
      <c r="CS41" s="97"/>
      <c r="CT41" s="76"/>
      <c r="CU41" s="89" t="str">
        <f ca="1">IF(CV37&lt;&gt;"",
"パン箱","")</f>
        <v/>
      </c>
      <c r="CV41" s="90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89" t="str">
        <f ca="1">IF(CV37&lt;&gt;"",
" 端数","")</f>
        <v/>
      </c>
      <c r="CX41" s="90"/>
      <c r="CY41" s="89" t="str">
        <f ca="1">IF(CV37&lt;&gt;"",
"アレルギー","")</f>
        <v/>
      </c>
      <c r="CZ41" s="97"/>
      <c r="DA41" s="76"/>
      <c r="DB41" s="76"/>
      <c r="DC41" s="89" t="str">
        <f ca="1">IF(DD37&lt;&gt;"",
"パン箱","")</f>
        <v/>
      </c>
      <c r="DD41" s="90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89" t="str">
        <f ca="1">IF(DD37&lt;&gt;"",
" 端数","")</f>
        <v/>
      </c>
      <c r="DF41" s="90"/>
      <c r="DG41" s="89" t="str">
        <f ca="1">IF(DD37&lt;&gt;"",
"アレルギー","")</f>
        <v/>
      </c>
      <c r="DH41" s="97"/>
      <c r="DI41" s="76"/>
      <c r="DJ41" s="89" t="str">
        <f ca="1">IF(DK37&lt;&gt;"",
"パン箱","")</f>
        <v/>
      </c>
      <c r="DK41" s="90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89" t="str">
        <f ca="1">IF(DK37&lt;&gt;"",
" 端数","")</f>
        <v/>
      </c>
      <c r="DM41" s="90"/>
      <c r="DN41" s="89" t="str">
        <f ca="1">IF(DK37&lt;&gt;"",
"アレルギー","")</f>
        <v/>
      </c>
      <c r="DO41" s="97"/>
      <c r="DP41" s="76"/>
      <c r="DQ41" s="76"/>
      <c r="DR41" s="89" t="str">
        <f ca="1">IF(DS37&lt;&gt;"",
"パン箱","")</f>
        <v/>
      </c>
      <c r="DS41" s="90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89" t="str">
        <f ca="1">IF(DS37&lt;&gt;"",
" 端数","")</f>
        <v/>
      </c>
      <c r="DU41" s="90"/>
      <c r="DV41" s="89" t="str">
        <f ca="1">IF(DS37&lt;&gt;"",
"アレルギー","")</f>
        <v/>
      </c>
      <c r="DW41" s="97"/>
      <c r="DX41" s="76"/>
      <c r="DY41" s="89" t="str">
        <f ca="1">IF(DZ37&lt;&gt;"",
"パン箱","")</f>
        <v/>
      </c>
      <c r="DZ41" s="90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89" t="str">
        <f ca="1">IF(DZ37&lt;&gt;"",
" 端数","")</f>
        <v/>
      </c>
      <c r="EB41" s="90"/>
      <c r="EC41" s="89" t="str">
        <f ca="1">IF(DZ37&lt;&gt;"",
"アレルギー","")</f>
        <v/>
      </c>
      <c r="ED41" s="97"/>
      <c r="EE41" s="76"/>
      <c r="EF41" s="76"/>
      <c r="EG41" s="89" t="str">
        <f ca="1">IF(EH37&lt;&gt;"",
"パン箱","")</f>
        <v/>
      </c>
      <c r="EH41" s="90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89" t="str">
        <f ca="1">IF(EH37&lt;&gt;"",
" 端数","")</f>
        <v/>
      </c>
      <c r="EJ41" s="90"/>
      <c r="EK41" s="89" t="str">
        <f ca="1">IF(EH37&lt;&gt;"",
"アレルギー","")</f>
        <v/>
      </c>
      <c r="EL41" s="97"/>
      <c r="EM41" s="76"/>
      <c r="EN41" s="89" t="str">
        <f ca="1">IF(EO37&lt;&gt;"",
"パン箱","")</f>
        <v/>
      </c>
      <c r="EO41" s="90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89" t="str">
        <f ca="1">IF(EO37&lt;&gt;"",
" 端数","")</f>
        <v/>
      </c>
      <c r="EQ41" s="90"/>
      <c r="ER41" s="89" t="str">
        <f ca="1">IF(EO37&lt;&gt;"",
"アレルギー","")</f>
        <v/>
      </c>
      <c r="ES41" s="97"/>
      <c r="ET41" s="106"/>
      <c r="EU41" s="78">
        <v>42</v>
      </c>
      <c r="EV41" s="78" t="str">
        <f t="array" aca="1" ref="EV41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LEN(SUBSTITUTE(_xlfn.FORMULATEXT(EV$40),"=","")))+$EU41)</f>
        <v/>
      </c>
      <c r="EW41" s="78" t="str">
        <f t="array" aca="1" ref="EW41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LEN(SUBSTITUTE(_xlfn.FORMULATEXT(EW$40),"=","")))+$EU41)</f>
        <v/>
      </c>
      <c r="EX41" s="78" t="str">
        <f t="array" aca="1" ref="EX41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LEN(SUBSTITUTE(_xlfn.FORMULATEXT(EX$40),"=","")))+$EU41)</f>
        <v/>
      </c>
      <c r="EY41" s="78" t="str">
        <f t="array" aca="1" ref="EY41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LEN(SUBSTITUTE(_xlfn.FORMULATEXT(EY$40),"=","")))+$EU41)</f>
        <v/>
      </c>
      <c r="EZ41" s="78" t="str">
        <f t="array" aca="1" ref="EZ41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LEN(SUBSTITUTE(_xlfn.FORMULATEXT(EZ$40),"=","")))+$EU41)</f>
        <v/>
      </c>
      <c r="FA41" s="78" t="str">
        <f t="array" aca="1" ref="FA41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LEN(SUBSTITUTE(_xlfn.FORMULATEXT(FA$40),"=","")))+$EU41)</f>
        <v/>
      </c>
      <c r="FB41" s="78" t="str">
        <f t="array" aca="1" ref="FB41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LEN(SUBSTITUTE(_xlfn.FORMULATEXT(FB$40),"=","")))+$EU41)</f>
        <v/>
      </c>
      <c r="FC41" s="78" t="str">
        <f t="array" aca="1" ref="FC41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LEN(SUBSTITUTE(_xlfn.FORMULATEXT(FC$40),"=","")))+$EU41)</f>
        <v/>
      </c>
      <c r="FD41" s="78" t="str">
        <f t="array" aca="1" ref="FD41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LEN(SUBSTITUTE(_xlfn.FORMULATEXT(FD$40),"=","")))+$EU41)</f>
        <v/>
      </c>
      <c r="FE41" s="78" t="str">
        <f t="array" aca="1" ref="FE41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LEN(SUBSTITUTE(_xlfn.FORMULATEXT(FE$40),"=","")))+$EU41)</f>
        <v/>
      </c>
      <c r="FF41" s="78" t="str">
        <f t="array" aca="1" ref="FF41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LEN(SUBSTITUTE(_xlfn.FORMULATEXT(FF$40),"=","")))+$EU41)</f>
        <v/>
      </c>
      <c r="FG41" s="78">
        <f t="shared" ca="1" si="2"/>
        <v>0</v>
      </c>
      <c r="FH41" s="78" t="b">
        <f t="array" aca="1" ref="FH41" ca="1">SUMPRODUCT((LEN(EV41:FF41)&gt;0)*1)&gt;0</f>
        <v>0</v>
      </c>
      <c r="FI41" s="78" t="str">
        <f t="array" aca="1" ref="FI41" ca="1">IFERROR(SMALL(IF(FG$1:FG$228&lt;&gt;0,FG$1:FG$228),ROW(A41)),"")</f>
        <v/>
      </c>
      <c r="FJ41" s="78" t="str">
        <f t="array" aca="1" ref="FJ41" ca="1">IF($FI41&lt;&gt;"",
INDIRECT(""&amp;IF(COLUMN(EV61)&lt;=26,CHAR(COLUMN(EV61)+64),CHAR(INT((COLUMN(EV61)-1)/26)+64)&amp;CHAR(MOD(COLUMN(EV61)-1,26)+65))&amp;$FI41&amp;""),"")</f>
        <v/>
      </c>
      <c r="FK41" s="78" t="str">
        <f t="array" aca="1" ref="FK41" ca="1">IF($FI41&lt;&gt;"",
INDIRECT(""&amp;IF(COLUMN(EW61)&lt;=26,CHAR(COLUMN(EW61)+64),CHAR(INT((COLUMN(EW61)-1)/26)+64)&amp;CHAR(MOD(COLUMN(EW61)-1,26)+65))&amp;$FI41&amp;""),"")</f>
        <v/>
      </c>
      <c r="FL41" s="78" t="str">
        <f t="array" aca="1" ref="FL41" ca="1">IF($FI41&lt;&gt;"",
INDIRECT(""&amp;IF(COLUMN(EX61)&lt;=26,CHAR(COLUMN(EX61)+64),CHAR(INT((COLUMN(EX61)-1)/26)+64)&amp;CHAR(MOD(COLUMN(EX61)-1,26)+65))&amp;$FI41&amp;""),"")</f>
        <v/>
      </c>
      <c r="FM41" s="78" t="str">
        <f t="array" aca="1" ref="FM41" ca="1">IF($FI41&lt;&gt;"",
IF(FL41="",
IF(INDIRECT("EY"&amp;$FI41&amp;"")&lt;&gt;"",
INDIRECT("EY"&amp;$FI41&amp;"")&amp;"箱"
&amp;INDIRECT("EZ"&amp;$FI41&amp;""),""),""),"")</f>
        <v/>
      </c>
      <c r="FN41" s="78" t="str">
        <f t="array" aca="1" ref="FN41" ca="1">IF($FI41&lt;&gt;"",
INDIRECT(""&amp;IF(COLUMN(FA61)&lt;=26,CHAR(COLUMN(FA61)+64),CHAR(INT((COLUMN(FA61)-1)/26)+64)&amp;CHAR(MOD(COLUMN(FA61)-1,26)+65))&amp;$FI41&amp;""),"")</f>
        <v/>
      </c>
      <c r="FO41" s="78" t="str">
        <f t="array" aca="1" ref="FO41" ca="1">IF($FI41&lt;&gt;"",
INDIRECT(""&amp;IF(COLUMN(FB61)&lt;=26,CHAR(COLUMN(FB61)+64),CHAR(INT((COLUMN(FB61)-1)/26)+64)&amp;CHAR(MOD(COLUMN(FB61)-1,26)+65))&amp;$FI41&amp;""),"")</f>
        <v/>
      </c>
      <c r="FP41" s="78" t="str">
        <f t="array" aca="1" ref="FP41" ca="1">IF($FI41&lt;&gt;"",
INDIRECT(""&amp;IF(COLUMN(FC61)&lt;=26,CHAR(COLUMN(FC61)+64),CHAR(INT((COLUMN(FC61)-1)/26)+64)&amp;CHAR(MOD(COLUMN(FC61)-1,26)+65))&amp;$FI41&amp;""),"")</f>
        <v/>
      </c>
      <c r="FQ41" s="78" t="str">
        <f t="array" aca="1" ref="FQ41" ca="1">IF($FI41&lt;&gt;"",
INDIRECT(""&amp;IF(COLUMN(FD61)&lt;=26,CHAR(COLUMN(FD61)+64),CHAR(INT((COLUMN(FD61)-1)/26)+64)&amp;CHAR(MOD(COLUMN(FD61)-1,26)+65))&amp;$FI41&amp;""),"")</f>
        <v/>
      </c>
      <c r="FR41" s="78" t="str">
        <f t="array" aca="1" ref="FR41" ca="1">IF($FI41&lt;&gt;"",
INDIRECT(""&amp;IF(COLUMN(FE61)&lt;=26,CHAR(COLUMN(FE61)+64),CHAR(INT((COLUMN(FE61)-1)/26)+64)&amp;CHAR(MOD(COLUMN(FE61)-1,26)+65))&amp;$FI41&amp;""),"")</f>
        <v/>
      </c>
      <c r="FS41" s="78" t="str">
        <f t="array" aca="1" ref="FS41" ca="1">IF($FI41&lt;&gt;"",
INDIRECT(""&amp;IF(COLUMN(FF61)&lt;=26,CHAR(COLUMN(FF61)+64),CHAR(INT((COLUMN(FF61)-1)/26)+64)&amp;CHAR(MOD(COLUMN(FF61)-1,26)+65))&amp;$FI41&amp;""),"")</f>
        <v/>
      </c>
    </row>
    <row r="42" spans="1:175" ht="21" customHeight="1" x14ac:dyDescent="0.45">
      <c r="B42" s="244" t="e">
        <f ca="1">IF(C39&lt;&gt;"",
IFERROR(INT(C39/C41),""),"")</f>
        <v>#VALUE!</v>
      </c>
      <c r="C42" s="245"/>
      <c r="D42" s="244" t="str">
        <f ca="1">IFERROR(MOD(C39,C41),"")</f>
        <v/>
      </c>
      <c r="E42" s="245"/>
      <c r="F42" s="246" t="e">
        <f ca="1">G38+G39</f>
        <v>#VALUE!</v>
      </c>
      <c r="G42" s="245"/>
      <c r="I42" s="244" t="e">
        <f ca="1">IF(J39&lt;&gt;"",
IFERROR(INT(J39/J41),""),"")</f>
        <v>#VALUE!</v>
      </c>
      <c r="J42" s="245"/>
      <c r="K42" s="244" t="str">
        <f ca="1">IFERROR(MOD(J39,J41),"")</f>
        <v/>
      </c>
      <c r="L42" s="245"/>
      <c r="M42" s="246" t="e">
        <f ca="1">N38+N39</f>
        <v>#VALUE!</v>
      </c>
      <c r="N42" s="245"/>
      <c r="Q42" s="244" t="e">
        <f ca="1">IF(R39&lt;&gt;"",
IFERROR(INT(R39/R41),""),"")</f>
        <v>#VALUE!</v>
      </c>
      <c r="R42" s="245"/>
      <c r="S42" s="244" t="str">
        <f ca="1">IFERROR(MOD(R39,R41),"")</f>
        <v/>
      </c>
      <c r="T42" s="245"/>
      <c r="U42" s="246" t="e">
        <f ca="1">V38+V39</f>
        <v>#VALUE!</v>
      </c>
      <c r="V42" s="245"/>
      <c r="X42" s="244" t="e">
        <f ca="1">IF(Y39&lt;&gt;"",
IFERROR(INT(Y39/Y41),""),"")</f>
        <v>#VALUE!</v>
      </c>
      <c r="Y42" s="245"/>
      <c r="Z42" s="244" t="str">
        <f ca="1">IFERROR(MOD(Y39,Y41),"")</f>
        <v/>
      </c>
      <c r="AA42" s="245"/>
      <c r="AB42" s="246" t="e">
        <f ca="1">AC38+AC39</f>
        <v>#VALUE!</v>
      </c>
      <c r="AC42" s="245"/>
      <c r="AF42" s="244" t="e">
        <f ca="1">IF(AG39&lt;&gt;"",
IFERROR(INT(AG39/AG41),""),"")</f>
        <v>#VALUE!</v>
      </c>
      <c r="AG42" s="245"/>
      <c r="AH42" s="244" t="str">
        <f ca="1">IFERROR(MOD(AG39,AG41),"")</f>
        <v/>
      </c>
      <c r="AI42" s="245"/>
      <c r="AJ42" s="246" t="e">
        <f ca="1">AK38+AK39</f>
        <v>#VALUE!</v>
      </c>
      <c r="AK42" s="245"/>
      <c r="AM42" s="244" t="e">
        <f ca="1">IF(AN39&lt;&gt;"",
IFERROR(INT(AN39/AN41),""),"")</f>
        <v>#VALUE!</v>
      </c>
      <c r="AN42" s="245"/>
      <c r="AO42" s="244" t="str">
        <f ca="1">IFERROR(MOD(AN39,AN41),"")</f>
        <v/>
      </c>
      <c r="AP42" s="245"/>
      <c r="AQ42" s="246" t="e">
        <f ca="1">AR38+AR39</f>
        <v>#VALUE!</v>
      </c>
      <c r="AR42" s="245"/>
      <c r="AU42" s="244" t="e">
        <f ca="1">IF(AV39&lt;&gt;"",
IFERROR(INT(AV39/AV41),""),"")</f>
        <v>#VALUE!</v>
      </c>
      <c r="AV42" s="245"/>
      <c r="AW42" s="244" t="str">
        <f ca="1">IFERROR(MOD(AV39,AV41),"")</f>
        <v/>
      </c>
      <c r="AX42" s="245"/>
      <c r="AY42" s="246" t="e">
        <f ca="1">AZ38+AZ39</f>
        <v>#VALUE!</v>
      </c>
      <c r="AZ42" s="245"/>
      <c r="BB42" s="244" t="e">
        <f ca="1">IF(BC39&lt;&gt;"",
IFERROR(INT(BC39/BC41),""),"")</f>
        <v>#VALUE!</v>
      </c>
      <c r="BC42" s="245"/>
      <c r="BD42" s="244" t="str">
        <f ca="1">IFERROR(MOD(BC39,BC41),"")</f>
        <v/>
      </c>
      <c r="BE42" s="245"/>
      <c r="BF42" s="246" t="e">
        <f ca="1">BG38+BG39</f>
        <v>#VALUE!</v>
      </c>
      <c r="BG42" s="245"/>
      <c r="BJ42" s="244" t="e">
        <f ca="1">IF(BK39&lt;&gt;"",
IFERROR(INT(BK39/BK41),""),"")</f>
        <v>#VALUE!</v>
      </c>
      <c r="BK42" s="245"/>
      <c r="BL42" s="244" t="str">
        <f ca="1">IFERROR(MOD(BK39,BK41),"")</f>
        <v/>
      </c>
      <c r="BM42" s="245"/>
      <c r="BN42" s="246" t="e">
        <f ca="1">BO38+BO39</f>
        <v>#VALUE!</v>
      </c>
      <c r="BO42" s="245"/>
      <c r="BQ42" s="244" t="e">
        <f ca="1">IF(BR39&lt;&gt;"",
IFERROR(INT(BR39/BR41),""),"")</f>
        <v>#VALUE!</v>
      </c>
      <c r="BR42" s="245"/>
      <c r="BS42" s="244" t="str">
        <f ca="1">IFERROR(MOD(BR39,BR41),"")</f>
        <v/>
      </c>
      <c r="BT42" s="245"/>
      <c r="BU42" s="246" t="e">
        <f ca="1">BV38+BV39</f>
        <v>#VALUE!</v>
      </c>
      <c r="BV42" s="245"/>
      <c r="BY42" s="244" t="e">
        <f ca="1">IF(BZ39&lt;&gt;"",
IFERROR(INT(BZ39/BZ41),""),"")</f>
        <v>#VALUE!</v>
      </c>
      <c r="BZ42" s="245"/>
      <c r="CA42" s="244" t="str">
        <f ca="1">IFERROR(MOD(BZ39,BZ41),"")</f>
        <v/>
      </c>
      <c r="CB42" s="245"/>
      <c r="CC42" s="246" t="e">
        <f ca="1">CD38+CD39</f>
        <v>#VALUE!</v>
      </c>
      <c r="CD42" s="245"/>
      <c r="CF42" s="244" t="e">
        <f ca="1">IF(CG39&lt;&gt;"",
IFERROR(INT(CG39/CG41),""),"")</f>
        <v>#VALUE!</v>
      </c>
      <c r="CG42" s="245"/>
      <c r="CH42" s="244" t="str">
        <f ca="1">IFERROR(MOD(CG39,CG41),"")</f>
        <v/>
      </c>
      <c r="CI42" s="245"/>
      <c r="CJ42" s="246" t="e">
        <f ca="1">CK38+CK39</f>
        <v>#VALUE!</v>
      </c>
      <c r="CK42" s="245"/>
      <c r="CN42" s="244" t="e">
        <f ca="1">IF(CO39&lt;&gt;"",
IFERROR(INT(CO39/CO41),""),"")</f>
        <v>#VALUE!</v>
      </c>
      <c r="CO42" s="245"/>
      <c r="CP42" s="244" t="str">
        <f ca="1">IFERROR(MOD(CO39,CO41),"")</f>
        <v/>
      </c>
      <c r="CQ42" s="245"/>
      <c r="CR42" s="246" t="e">
        <f ca="1">CS38+CS39</f>
        <v>#VALUE!</v>
      </c>
      <c r="CS42" s="245"/>
      <c r="CU42" s="244" t="e">
        <f ca="1">IF(CV39&lt;&gt;"",
IFERROR(INT(CV39/CV41),""),"")</f>
        <v>#VALUE!</v>
      </c>
      <c r="CV42" s="245"/>
      <c r="CW42" s="244" t="str">
        <f ca="1">IFERROR(MOD(CV39,CV41),"")</f>
        <v/>
      </c>
      <c r="CX42" s="245"/>
      <c r="CY42" s="246" t="e">
        <f ca="1">CZ38+CZ39</f>
        <v>#VALUE!</v>
      </c>
      <c r="CZ42" s="245"/>
      <c r="DC42" s="244" t="e">
        <f ca="1">IF(DD39&lt;&gt;"",
IFERROR(INT(DD39/DD41),""),"")</f>
        <v>#VALUE!</v>
      </c>
      <c r="DD42" s="245"/>
      <c r="DE42" s="244" t="str">
        <f ca="1">IFERROR(MOD(DD39,DD41),"")</f>
        <v/>
      </c>
      <c r="DF42" s="245"/>
      <c r="DG42" s="246" t="e">
        <f ca="1">DH38+DH39</f>
        <v>#VALUE!</v>
      </c>
      <c r="DH42" s="245"/>
      <c r="DJ42" s="244" t="e">
        <f ca="1">IF(DK39&lt;&gt;"",
IFERROR(INT(DK39/DK41),""),"")</f>
        <v>#VALUE!</v>
      </c>
      <c r="DK42" s="245"/>
      <c r="DL42" s="244" t="str">
        <f ca="1">IFERROR(MOD(DK39,DK41),"")</f>
        <v/>
      </c>
      <c r="DM42" s="245"/>
      <c r="DN42" s="246" t="e">
        <f ca="1">DO38+DO39</f>
        <v>#VALUE!</v>
      </c>
      <c r="DO42" s="245"/>
      <c r="DR42" s="244" t="e">
        <f ca="1">IF(DS39&lt;&gt;"",
IFERROR(INT(DS39/DS41),""),"")</f>
        <v>#VALUE!</v>
      </c>
      <c r="DS42" s="245"/>
      <c r="DT42" s="244" t="str">
        <f ca="1">IFERROR(MOD(DS39,DS41),"")</f>
        <v/>
      </c>
      <c r="DU42" s="245"/>
      <c r="DV42" s="246" t="e">
        <f ca="1">DW38+DW39</f>
        <v>#VALUE!</v>
      </c>
      <c r="DW42" s="245"/>
      <c r="DY42" s="244" t="e">
        <f ca="1">IF(DZ39&lt;&gt;"",
IFERROR(INT(DZ39/DZ41),""),"")</f>
        <v>#VALUE!</v>
      </c>
      <c r="DZ42" s="245"/>
      <c r="EA42" s="244" t="str">
        <f ca="1">IFERROR(MOD(DZ39,DZ41),"")</f>
        <v/>
      </c>
      <c r="EB42" s="245"/>
      <c r="EC42" s="246" t="e">
        <f ca="1">ED38+ED39</f>
        <v>#VALUE!</v>
      </c>
      <c r="ED42" s="245"/>
      <c r="EG42" s="244" t="e">
        <f ca="1">IF(EH39&lt;&gt;"",
IFERROR(INT(EH39/EH41),""),"")</f>
        <v>#VALUE!</v>
      </c>
      <c r="EH42" s="245"/>
      <c r="EI42" s="244" t="str">
        <f ca="1">IFERROR(MOD(EH39,EH41),"")</f>
        <v/>
      </c>
      <c r="EJ42" s="245"/>
      <c r="EK42" s="246" t="e">
        <f ca="1">EL38+EL39</f>
        <v>#VALUE!</v>
      </c>
      <c r="EL42" s="245"/>
      <c r="EN42" s="244" t="e">
        <f ca="1">IF(EO39&lt;&gt;"",
IFERROR(INT(EO39/EO41),""),"")</f>
        <v>#VALUE!</v>
      </c>
      <c r="EO42" s="245"/>
      <c r="EP42" s="244" t="str">
        <f ca="1">IFERROR(MOD(EO39,EO41),"")</f>
        <v/>
      </c>
      <c r="EQ42" s="245"/>
      <c r="ER42" s="246" t="e">
        <f ca="1">ES38+ES39</f>
        <v>#VALUE!</v>
      </c>
      <c r="ES42" s="245"/>
      <c r="ET42" s="71"/>
      <c r="EU42" s="78">
        <v>84</v>
      </c>
      <c r="EV42" s="78" t="str" cm="1">
        <f t="array" aca="1" ref="EV4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LEN(SUBSTITUTE(_xlfn.FORMULATEXT(EV$40),"=","")))+$EU42)</f>
        <v/>
      </c>
      <c r="EW42" s="78" t="str">
        <f t="array" aca="1" ref="EW4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LEN(SUBSTITUTE(_xlfn.FORMULATEXT(EW$40),"=","")))+$EU42)</f>
        <v/>
      </c>
      <c r="EX42" s="78" t="str">
        <f t="array" aca="1" ref="EX4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LEN(SUBSTITUTE(_xlfn.FORMULATEXT(EX$40),"=","")))+$EU42)</f>
        <v/>
      </c>
      <c r="EY42" s="78" t="str">
        <f t="array" aca="1" ref="EY4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LEN(SUBSTITUTE(_xlfn.FORMULATEXT(EY$40),"=","")))+$EU42)</f>
        <v/>
      </c>
      <c r="EZ42" s="78" t="str">
        <f t="array" aca="1" ref="EZ4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LEN(SUBSTITUTE(_xlfn.FORMULATEXT(EZ$40),"=","")))+$EU42)</f>
        <v/>
      </c>
      <c r="FA42" s="78" t="str">
        <f t="array" aca="1" ref="FA4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LEN(SUBSTITUTE(_xlfn.FORMULATEXT(FA$40),"=","")))+$EU42)</f>
        <v/>
      </c>
      <c r="FB42" s="78" t="str">
        <f t="array" aca="1" ref="FB4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LEN(SUBSTITUTE(_xlfn.FORMULATEXT(FB$40),"=","")))+$EU42)</f>
        <v/>
      </c>
      <c r="FC42" s="78" t="str">
        <f t="array" aca="1" ref="FC4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LEN(SUBSTITUTE(_xlfn.FORMULATEXT(FC$40),"=","")))+$EU42)</f>
        <v/>
      </c>
      <c r="FD42" s="78" t="str">
        <f t="array" aca="1" ref="FD4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LEN(SUBSTITUTE(_xlfn.FORMULATEXT(FD$40),"=","")))+$EU42)</f>
        <v/>
      </c>
      <c r="FE42" s="78" t="str">
        <f t="array" aca="1" ref="FE4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LEN(SUBSTITUTE(_xlfn.FORMULATEXT(FE$40),"=","")))+$EU42)</f>
        <v/>
      </c>
      <c r="FF42" s="78" t="str">
        <f t="array" aca="1" ref="FF4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LEN(SUBSTITUTE(_xlfn.FORMULATEXT(FF$40),"=","")))+$EU42)</f>
        <v/>
      </c>
      <c r="FG42" s="78">
        <f t="shared" ca="1" si="2"/>
        <v>0</v>
      </c>
      <c r="FH42" s="78" t="b">
        <f t="array" aca="1" ref="FH42" ca="1">SUMPRODUCT((LEN(EV42:FF42)&gt;0)*1)&gt;0</f>
        <v>0</v>
      </c>
      <c r="FI42" s="78" t="str">
        <f t="array" aca="1" ref="FI42" ca="1">IFERROR(SMALL(IF(FG$1:FG$228&lt;&gt;0,FG$1:FG$228),ROW(A42)),"")</f>
        <v/>
      </c>
      <c r="FJ42" s="78" t="str">
        <f t="array" aca="1" ref="FJ42" ca="1">IF($FI42&lt;&gt;"",
INDIRECT(""&amp;IF(COLUMN(EV62)&lt;=26,CHAR(COLUMN(EV62)+64),CHAR(INT((COLUMN(EV62)-1)/26)+64)&amp;CHAR(MOD(COLUMN(EV62)-1,26)+65))&amp;$FI42&amp;""),"")</f>
        <v/>
      </c>
      <c r="FK42" s="78" t="str">
        <f t="array" aca="1" ref="FK42" ca="1">IF($FI42&lt;&gt;"",
INDIRECT(""&amp;IF(COLUMN(EW62)&lt;=26,CHAR(COLUMN(EW62)+64),CHAR(INT((COLUMN(EW62)-1)/26)+64)&amp;CHAR(MOD(COLUMN(EW62)-1,26)+65))&amp;$FI42&amp;""),"")</f>
        <v/>
      </c>
      <c r="FL42" s="78" t="str">
        <f t="array" aca="1" ref="FL42" ca="1">IF($FI42&lt;&gt;"",
INDIRECT(""&amp;IF(COLUMN(EX62)&lt;=26,CHAR(COLUMN(EX62)+64),CHAR(INT((COLUMN(EX62)-1)/26)+64)&amp;CHAR(MOD(COLUMN(EX62)-1,26)+65))&amp;$FI42&amp;""),"")</f>
        <v/>
      </c>
      <c r="FM42" s="78" t="str">
        <f t="array" aca="1" ref="FM42" ca="1">IF($FI42&lt;&gt;"",
IF(FL42="",
IF(INDIRECT("EY"&amp;$FI42&amp;"")&lt;&gt;"",
INDIRECT("EY"&amp;$FI42&amp;"")&amp;"箱"
&amp;INDIRECT("EZ"&amp;$FI42&amp;""),""),""),"")</f>
        <v/>
      </c>
      <c r="FN42" s="78" t="str">
        <f t="array" aca="1" ref="FN42" ca="1">IF($FI42&lt;&gt;"",
INDIRECT(""&amp;IF(COLUMN(FA62)&lt;=26,CHAR(COLUMN(FA62)+64),CHAR(INT((COLUMN(FA62)-1)/26)+64)&amp;CHAR(MOD(COLUMN(FA62)-1,26)+65))&amp;$FI42&amp;""),"")</f>
        <v/>
      </c>
      <c r="FO42" s="78" t="str">
        <f t="array" aca="1" ref="FO42" ca="1">IF($FI42&lt;&gt;"",
INDIRECT(""&amp;IF(COLUMN(FB62)&lt;=26,CHAR(COLUMN(FB62)+64),CHAR(INT((COLUMN(FB62)-1)/26)+64)&amp;CHAR(MOD(COLUMN(FB62)-1,26)+65))&amp;$FI42&amp;""),"")</f>
        <v/>
      </c>
      <c r="FP42" s="78" t="str">
        <f t="array" aca="1" ref="FP42" ca="1">IF($FI42&lt;&gt;"",
INDIRECT(""&amp;IF(COLUMN(FC62)&lt;=26,CHAR(COLUMN(FC62)+64),CHAR(INT((COLUMN(FC62)-1)/26)+64)&amp;CHAR(MOD(COLUMN(FC62)-1,26)+65))&amp;$FI42&amp;""),"")</f>
        <v/>
      </c>
      <c r="FQ42" s="78" t="str">
        <f t="array" aca="1" ref="FQ42" ca="1">IF($FI42&lt;&gt;"",
INDIRECT(""&amp;IF(COLUMN(FD62)&lt;=26,CHAR(COLUMN(FD62)+64),CHAR(INT((COLUMN(FD62)-1)/26)+64)&amp;CHAR(MOD(COLUMN(FD62)-1,26)+65))&amp;$FI42&amp;""),"")</f>
        <v/>
      </c>
      <c r="FR42" s="78" t="str">
        <f t="array" aca="1" ref="FR42" ca="1">IF($FI42&lt;&gt;"",
INDIRECT(""&amp;IF(COLUMN(FE62)&lt;=26,CHAR(COLUMN(FE62)+64),CHAR(INT((COLUMN(FE62)-1)/26)+64)&amp;CHAR(MOD(COLUMN(FE62)-1,26)+65))&amp;$FI42&amp;""),"")</f>
        <v/>
      </c>
      <c r="FS42" s="78" t="str">
        <f t="array" aca="1" ref="FS42" ca="1">IF($FI42&lt;&gt;"",
INDIRECT(""&amp;IF(COLUMN(FF62)&lt;=26,CHAR(COLUMN(FF62)+64),CHAR(INT((COLUMN(FF62)-1)/26)+64)&amp;CHAR(MOD(COLUMN(FF62)-1,26)+65))&amp;$FI42&amp;""),"")</f>
        <v/>
      </c>
    </row>
    <row r="43" spans="1:175" s="78" customFormat="1" ht="18" customHeight="1" x14ac:dyDescent="0.55000000000000004">
      <c r="A43" s="76"/>
      <c r="B43" s="77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47" t="str">
        <f ca="1">IF(C46&lt;&gt;"",C1,"")</f>
        <v/>
      </c>
      <c r="D43" s="247"/>
      <c r="E43" s="247"/>
      <c r="F43" s="247"/>
      <c r="G43" s="231" t="str">
        <f>SUBSTITUTE(ADDRESS(1,
COLUMN(),1),"1","")</f>
        <v>$G$</v>
      </c>
      <c r="H43" s="76"/>
      <c r="I43" s="77" t="str" cm="1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247" t="str">
        <f ca="1">IF(J46&lt;&gt;"",J1,"")</f>
        <v/>
      </c>
      <c r="K43" s="247"/>
      <c r="L43" s="247"/>
      <c r="M43" s="247"/>
      <c r="N43" s="231" t="str">
        <f>SUBSTITUTE(ADDRESS(1,
COLUMN(),1),"1","")</f>
        <v>$N$</v>
      </c>
      <c r="O43" s="76"/>
      <c r="P43" s="76"/>
      <c r="Q43" s="77" t="str" cm="1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247" t="str">
        <f ca="1">IF(R46&lt;&gt;"",R1,"")</f>
        <v/>
      </c>
      <c r="S43" s="247"/>
      <c r="T43" s="247"/>
      <c r="U43" s="247"/>
      <c r="V43" s="231" t="str">
        <f>SUBSTITUTE(ADDRESS(1,
COLUMN(),1),"1","")</f>
        <v>$V$</v>
      </c>
      <c r="W43" s="76"/>
      <c r="X43" s="77" t="str" cm="1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247" t="str">
        <f ca="1">IF(Y46&lt;&gt;"",Y1,"")</f>
        <v/>
      </c>
      <c r="Z43" s="247"/>
      <c r="AA43" s="247"/>
      <c r="AB43" s="247"/>
      <c r="AC43" s="231" t="str">
        <f>SUBSTITUTE(ADDRESS(1,
COLUMN(),1),"1","")</f>
        <v>$AC$</v>
      </c>
      <c r="AD43" s="76"/>
      <c r="AE43" s="76"/>
      <c r="AF43" s="77" t="str" cm="1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247" t="str">
        <f ca="1">IF(AG46&lt;&gt;"",AG1,"")</f>
        <v/>
      </c>
      <c r="AH43" s="247"/>
      <c r="AI43" s="247"/>
      <c r="AJ43" s="247"/>
      <c r="AK43" s="231" t="str">
        <f>SUBSTITUTE(ADDRESS(1,
COLUMN(),1),"1","")</f>
        <v>$AK$</v>
      </c>
      <c r="AL43" s="76"/>
      <c r="AM43" s="77" t="str" cm="1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247" t="str">
        <f ca="1">IF(AN46&lt;&gt;"",AN1,"")</f>
        <v/>
      </c>
      <c r="AO43" s="247"/>
      <c r="AP43" s="247"/>
      <c r="AQ43" s="247"/>
      <c r="AR43" s="231" t="str">
        <f>SUBSTITUTE(ADDRESS(1,
COLUMN(),1),"1","")</f>
        <v>$AR$</v>
      </c>
      <c r="AS43" s="76"/>
      <c r="AT43" s="76"/>
      <c r="AU43" s="77" t="str" cm="1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247" t="str">
        <f ca="1">IF(AV46&lt;&gt;"",AV1,"")</f>
        <v/>
      </c>
      <c r="AW43" s="247"/>
      <c r="AX43" s="247"/>
      <c r="AY43" s="247"/>
      <c r="AZ43" s="231" t="str">
        <f>SUBSTITUTE(ADDRESS(1,
COLUMN(),1),"1","")</f>
        <v>$AZ$</v>
      </c>
      <c r="BA43" s="76"/>
      <c r="BB43" s="77" t="str" cm="1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247" t="str">
        <f ca="1">IF(BC46&lt;&gt;"",BC1,"")</f>
        <v/>
      </c>
      <c r="BD43" s="247"/>
      <c r="BE43" s="247"/>
      <c r="BF43" s="247"/>
      <c r="BG43" s="231" t="str">
        <f>SUBSTITUTE(ADDRESS(1,
COLUMN(),1),"1","")</f>
        <v>$BG$</v>
      </c>
      <c r="BH43" s="76"/>
      <c r="BI43" s="76"/>
      <c r="BJ43" s="77" t="str" cm="1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247" t="str">
        <f ca="1">IF(BK46&lt;&gt;"",BK1,"")</f>
        <v/>
      </c>
      <c r="BL43" s="247"/>
      <c r="BM43" s="247"/>
      <c r="BN43" s="247"/>
      <c r="BO43" s="231" t="str">
        <f>SUBSTITUTE(ADDRESS(1,
COLUMN(),1),"1","")</f>
        <v>$BO$</v>
      </c>
      <c r="BP43" s="76"/>
      <c r="BQ43" s="77" t="str" cm="1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247" t="str">
        <f ca="1">IF(BR46&lt;&gt;"",BR1,"")</f>
        <v/>
      </c>
      <c r="BS43" s="247"/>
      <c r="BT43" s="247"/>
      <c r="BU43" s="247"/>
      <c r="BV43" s="231" t="str">
        <f>SUBSTITUTE(ADDRESS(1,
COLUMN(),1),"1","")</f>
        <v>$BV$</v>
      </c>
      <c r="BW43" s="76"/>
      <c r="BX43" s="76"/>
      <c r="BY43" s="77" t="str" cm="1">
        <f t="array" aca="1" ref="BY43" ca="1">IF(COUNTIF(CD1,"*合計*"),"",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</f>
        <v/>
      </c>
      <c r="BZ43" s="247" t="str">
        <f ca="1">IF(BZ46&lt;&gt;"",BZ1,"")</f>
        <v/>
      </c>
      <c r="CA43" s="247"/>
      <c r="CB43" s="247"/>
      <c r="CC43" s="247"/>
      <c r="CD43" s="231" t="str">
        <f>SUBSTITUTE(ADDRESS(1,
COLUMN(),1),"1","")</f>
        <v>$CD$</v>
      </c>
      <c r="CE43" s="76"/>
      <c r="CF43" s="77" t="str" cm="1">
        <f t="array" aca="1" ref="CF43" ca="1">IF(COUNTIF(CK1,"*合計*"),"",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</f>
        <v/>
      </c>
      <c r="CG43" s="247" t="str">
        <f ca="1">IF(CG46&lt;&gt;"",CG1,"")</f>
        <v/>
      </c>
      <c r="CH43" s="247"/>
      <c r="CI43" s="247"/>
      <c r="CJ43" s="247"/>
      <c r="CK43" s="231" t="str">
        <f>SUBSTITUTE(ADDRESS(1,
COLUMN(),1),"1","")</f>
        <v>$CK$</v>
      </c>
      <c r="CL43" s="76"/>
      <c r="CM43" s="76"/>
      <c r="CN43" s="77" t="str" cm="1">
        <f t="array" aca="1" ref="CN43" ca="1">IF(COUNTIF(CS1,"*合計*"),"",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</f>
        <v/>
      </c>
      <c r="CO43" s="247" t="str">
        <f ca="1">IF(CO46&lt;&gt;"",CO1,"")</f>
        <v/>
      </c>
      <c r="CP43" s="247"/>
      <c r="CQ43" s="247"/>
      <c r="CR43" s="247"/>
      <c r="CS43" s="231" t="str">
        <f>SUBSTITUTE(ADDRESS(1,
COLUMN(),1),"1","")</f>
        <v>$CS$</v>
      </c>
      <c r="CT43" s="76"/>
      <c r="CU43" s="77" t="str" cm="1">
        <f t="array" aca="1" ref="CU43" ca="1">IF(COUNTIF(CZ1,"*合計*"),"",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</f>
        <v/>
      </c>
      <c r="CV43" s="247" t="str">
        <f ca="1">IF(CV46&lt;&gt;"",CV1,"")</f>
        <v/>
      </c>
      <c r="CW43" s="247"/>
      <c r="CX43" s="247"/>
      <c r="CY43" s="247"/>
      <c r="CZ43" s="231" t="str">
        <f>SUBSTITUTE(ADDRESS(1,
COLUMN(),1),"1","")</f>
        <v>$CZ$</v>
      </c>
      <c r="DA43" s="76"/>
      <c r="DB43" s="76"/>
      <c r="DC43" s="77" t="str" cm="1">
        <f t="array" aca="1" ref="DC43" ca="1">IF(COUNTIF(DH1,"*合計*"),"",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</f>
        <v/>
      </c>
      <c r="DD43" s="247" t="str">
        <f ca="1">IF(DD46&lt;&gt;"",DD1,"")</f>
        <v/>
      </c>
      <c r="DE43" s="247"/>
      <c r="DF43" s="247"/>
      <c r="DG43" s="247"/>
      <c r="DH43" s="231" t="str">
        <f>SUBSTITUTE(ADDRESS(1,
COLUMN(),1),"1","")</f>
        <v>$DH$</v>
      </c>
      <c r="DI43" s="76"/>
      <c r="DJ43" s="77" t="str" cm="1">
        <f t="array" aca="1" ref="DJ43" ca="1">IF(COUNTIF(DO1,"*合計*"),"",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</f>
        <v/>
      </c>
      <c r="DK43" s="247" t="str">
        <f ca="1">IF(DK46&lt;&gt;"",DK1,"")</f>
        <v/>
      </c>
      <c r="DL43" s="247"/>
      <c r="DM43" s="247"/>
      <c r="DN43" s="247"/>
      <c r="DO43" s="231" t="str">
        <f>SUBSTITUTE(ADDRESS(1,
COLUMN(),1),"1","")</f>
        <v>$DO$</v>
      </c>
      <c r="DP43" s="76"/>
      <c r="DQ43" s="76"/>
      <c r="DR43" s="77" t="str" cm="1">
        <f t="array" aca="1" ref="DR43" ca="1">IF(COUNTIF(DW1,"*合計*"),"",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</f>
        <v/>
      </c>
      <c r="DS43" s="247" t="str">
        <f ca="1">IF(DS46&lt;&gt;"",DS1,"")</f>
        <v/>
      </c>
      <c r="DT43" s="247"/>
      <c r="DU43" s="247"/>
      <c r="DV43" s="247"/>
      <c r="DW43" s="231" t="str">
        <f>SUBSTITUTE(ADDRESS(1,
COLUMN(),1),"1","")</f>
        <v>$DW$</v>
      </c>
      <c r="DX43" s="76"/>
      <c r="DY43" s="77" t="str" cm="1">
        <f t="array" aca="1" ref="DY43" ca="1">IF(COUNTIF(ED1,"*合計*"),"",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</f>
        <v/>
      </c>
      <c r="DZ43" s="247" t="str">
        <f ca="1">IF(DZ46&lt;&gt;"",DZ1,"")</f>
        <v/>
      </c>
      <c r="EA43" s="247"/>
      <c r="EB43" s="247"/>
      <c r="EC43" s="247"/>
      <c r="ED43" s="231" t="str">
        <f>SUBSTITUTE(ADDRESS(1,
COLUMN(),1),"1","")</f>
        <v>$ED$</v>
      </c>
      <c r="EE43" s="76"/>
      <c r="EF43" s="76"/>
      <c r="EG43" s="77" t="str" cm="1">
        <f t="array" aca="1" ref="EG43" ca="1">IF(COUNTIF(EL1,"*合計*"),"",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</f>
        <v/>
      </c>
      <c r="EH43" s="247" t="str">
        <f ca="1">IF(EH46&lt;&gt;"",EH1,"")</f>
        <v/>
      </c>
      <c r="EI43" s="247"/>
      <c r="EJ43" s="247"/>
      <c r="EK43" s="247"/>
      <c r="EL43" s="231" t="str">
        <f>SUBSTITUTE(ADDRESS(1,
COLUMN(),1),"1","")</f>
        <v>$EL$</v>
      </c>
      <c r="EM43" s="76"/>
      <c r="EN43" s="77" t="str" cm="1">
        <f t="array" aca="1" ref="EN43" ca="1">IF(COUNTIF(ES1,"*合計*"),"",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</f>
        <v/>
      </c>
      <c r="EO43" s="247" t="str">
        <f ca="1">IF(EO46&lt;&gt;"",EO1,"")</f>
        <v/>
      </c>
      <c r="EP43" s="247"/>
      <c r="EQ43" s="247"/>
      <c r="ER43" s="247"/>
      <c r="ES43" s="231" t="str">
        <f>SUBSTITUTE(ADDRESS(1,
COLUMN(),1),"1","")</f>
        <v>$ES$</v>
      </c>
      <c r="ET43" s="106"/>
      <c r="EU43" s="87">
        <v>7</v>
      </c>
      <c r="EV43" s="78" t="str">
        <f t="array" aca="1" ref="EV43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LEN(SUBSTITUTE(_xlfn.FORMULATEXT(EV$37),"=","")))+$EU43)</f>
        <v/>
      </c>
      <c r="EW43" s="78" t="str">
        <f t="array" aca="1" ref="EW43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LEN(SUBSTITUTE(_xlfn.FORMULATEXT(EW$37),"=","")))+$EU43)</f>
        <v/>
      </c>
      <c r="EX43" s="78" t="str">
        <f t="array" aca="1" ref="EX43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LEN(SUBSTITUTE(_xlfn.FORMULATEXT(EX$37),"=","")))+$EU43)</f>
        <v/>
      </c>
      <c r="EY43" s="78" t="str">
        <f t="array" aca="1" ref="EY43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LEN(SUBSTITUTE(_xlfn.FORMULATEXT(EY$37),"=","")))+$EU43)</f>
        <v/>
      </c>
      <c r="EZ43" s="78" t="str">
        <f t="array" aca="1" ref="EZ43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LEN(SUBSTITUTE(_xlfn.FORMULATEXT(EZ$37),"=","")))+$EU43)</f>
        <v/>
      </c>
      <c r="FA43" s="78" t="e">
        <f t="array" aca="1" ref="FA43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LEN(SUBSTITUTE(_xlfn.FORMULATEXT(FA$37),"=","")))+$EU43)</f>
        <v>#VALUE!</v>
      </c>
      <c r="FB43" s="78" t="e">
        <f t="array" aca="1" ref="FB43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LEN(SUBSTITUTE(_xlfn.FORMULATEXT(FB$37),"=","")))+$EU43)</f>
        <v>#VALUE!</v>
      </c>
      <c r="FC43" s="78" t="str">
        <f t="array" aca="1" ref="FC43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LEN(SUBSTITUTE(_xlfn.FORMULATEXT(FC$37),"=","")))+$EU43)</f>
        <v/>
      </c>
      <c r="FD43" s="78" t="e">
        <f t="array" aca="1" ref="FD43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LEN(SUBSTITUTE(_xlfn.FORMULATEXT(FD$37),"=","")))+$EU43)</f>
        <v>#VALUE!</v>
      </c>
      <c r="FE43" s="78" t="str">
        <f t="array" aca="1" ref="FE43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LEN(SUBSTITUTE(_xlfn.FORMULATEXT(FE$37),"=","")))+$EU43)</f>
        <v/>
      </c>
      <c r="FF43" s="78" t="e">
        <f t="array" aca="1" ref="FF43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LEN(SUBSTITUTE(_xlfn.FORMULATEXT(FF$37),"=","")))+$EU43)</f>
        <v>#VALUE!</v>
      </c>
      <c r="FG43" s="78">
        <f t="shared" ca="1" si="2"/>
        <v>0</v>
      </c>
      <c r="FH43" s="78" t="e">
        <f t="array" aca="1" ref="FH43" ca="1">SUMPRODUCT((LEN(EV43:FF43)&gt;0)*1)&gt;0</f>
        <v>#VALUE!</v>
      </c>
      <c r="FI43" s="78" t="str">
        <f t="array" aca="1" ref="FI43" ca="1">IFERROR(SMALL(IF(FG$1:FG$228&lt;&gt;0,FG$1:FG$228),ROW(A43)),"")</f>
        <v/>
      </c>
      <c r="FJ43" s="78" t="str">
        <f t="array" aca="1" ref="FJ43" ca="1">IF($FI43&lt;&gt;"",
INDIRECT(""&amp;IF(COLUMN(EV64)&lt;=26,CHAR(COLUMN(EV64)+64),CHAR(INT((COLUMN(EV64)-1)/26)+64)&amp;CHAR(MOD(COLUMN(EV64)-1,26)+65))&amp;$FI43&amp;""),"")</f>
        <v/>
      </c>
      <c r="FK43" s="78" t="str">
        <f t="array" aca="1" ref="FK43" ca="1">IF($FI43&lt;&gt;"",
INDIRECT(""&amp;IF(COLUMN(EW64)&lt;=26,CHAR(COLUMN(EW64)+64),CHAR(INT((COLUMN(EW64)-1)/26)+64)&amp;CHAR(MOD(COLUMN(EW64)-1,26)+65))&amp;$FI43&amp;""),"")</f>
        <v/>
      </c>
      <c r="FL43" s="78" t="str">
        <f t="array" aca="1" ref="FL43" ca="1">IF($FI43&lt;&gt;"",
INDIRECT(""&amp;IF(COLUMN(EX64)&lt;=26,CHAR(COLUMN(EX64)+64),CHAR(INT((COLUMN(EX64)-1)/26)+64)&amp;CHAR(MOD(COLUMN(EX64)-1,26)+65))&amp;$FI43&amp;""),"")</f>
        <v/>
      </c>
      <c r="FM43" s="78" t="str">
        <f t="array" aca="1" ref="FM43" ca="1">IF($FI43&lt;&gt;"",
IF(FL43="",
IF(INDIRECT("EY"&amp;$FI43&amp;"")&lt;&gt;"",
INDIRECT("EY"&amp;$FI43&amp;"")&amp;"箱"
&amp;INDIRECT("EZ"&amp;$FI43&amp;""),""),""),"")</f>
        <v/>
      </c>
      <c r="FN43" s="78" t="str">
        <f t="array" aca="1" ref="FN43" ca="1">IF($FI43&lt;&gt;"",
INDIRECT(""&amp;IF(COLUMN(FA64)&lt;=26,CHAR(COLUMN(FA64)+64),CHAR(INT((COLUMN(FA64)-1)/26)+64)&amp;CHAR(MOD(COLUMN(FA64)-1,26)+65))&amp;$FI43&amp;""),"")</f>
        <v/>
      </c>
      <c r="FO43" s="78" t="str">
        <f t="array" aca="1" ref="FO43" ca="1">IF($FI43&lt;&gt;"",
INDIRECT(""&amp;IF(COLUMN(FB64)&lt;=26,CHAR(COLUMN(FB64)+64),CHAR(INT((COLUMN(FB64)-1)/26)+64)&amp;CHAR(MOD(COLUMN(FB64)-1,26)+65))&amp;$FI43&amp;""),"")</f>
        <v/>
      </c>
      <c r="FP43" s="78" t="str">
        <f t="array" aca="1" ref="FP43" ca="1">IF($FI43&lt;&gt;"",
INDIRECT(""&amp;IF(COLUMN(FC64)&lt;=26,CHAR(COLUMN(FC64)+64),CHAR(INT((COLUMN(FC64)-1)/26)+64)&amp;CHAR(MOD(COLUMN(FC64)-1,26)+65))&amp;$FI43&amp;""),"")</f>
        <v/>
      </c>
      <c r="FQ43" s="78" t="str">
        <f t="array" aca="1" ref="FQ43" ca="1">IF($FI43&lt;&gt;"",
INDIRECT(""&amp;IF(COLUMN(FD64)&lt;=26,CHAR(COLUMN(FD64)+64),CHAR(INT((COLUMN(FD64)-1)/26)+64)&amp;CHAR(MOD(COLUMN(FD64)-1,26)+65))&amp;$FI43&amp;""),"")</f>
        <v/>
      </c>
      <c r="FR43" s="78" t="str">
        <f t="array" aca="1" ref="FR43" ca="1">IF($FI43&lt;&gt;"",
INDIRECT(""&amp;IF(COLUMN(FE64)&lt;=26,CHAR(COLUMN(FE64)+64),CHAR(INT((COLUMN(FE64)-1)/26)+64)&amp;CHAR(MOD(COLUMN(FE64)-1,26)+65))&amp;$FI43&amp;""),"")</f>
        <v/>
      </c>
      <c r="FS43" s="78" t="str">
        <f t="array" aca="1" ref="FS43" ca="1">IF($FI43&lt;&gt;"",
INDIRECT(""&amp;IF(COLUMN(FF64)&lt;=26,CHAR(COLUMN(FF64)+64),CHAR(INT((COLUMN(FF64)-1)/26)+64)&amp;CHAR(MOD(COLUMN(FF64)-1,26)+65))&amp;$FI43&amp;""),"")</f>
        <v/>
      </c>
    </row>
    <row r="44" spans="1:175" s="78" customFormat="1" ht="18" customHeight="1" x14ac:dyDescent="0.55000000000000004">
      <c r="A44" s="76"/>
      <c r="B44" s="81" t="e" cm="1">
        <f t="array" aca="1" ref="B44" ca="1">IF(INDIRECT(""&amp;SUBSTITUTE(ADDRESS(1,
COLUMN(),1),"1","")&amp;ROW()-41&amp;"")&lt;&gt;100,
IF(C46&lt;&gt;"",MATCH(C46,INDIRECT("数出表_Excel!B"&amp;MATCH(INDIRECT(""&amp;G43&amp;ROW()-43&amp;""),数出表_Excel!$A:$A,0)-1&amp;":U"&amp;MATCH(INDIRECT(""&amp;G43&amp;ROW()-43&amp;""),数出表_Excel!$A:$A,0)-1&amp;""),0)+1,""),
IF(C46&lt;&gt;"",
MATCH(
IFERROR(
INDEX(INDIRECT("数出表_Excel!"&amp;B43&amp;MATCH(INDIRECT(""&amp;G43&amp;ROW()-43&amp;""),数出表_Excel!$A:$A,0)-1&amp;":U"&amp;MATCH(INDIRECT(""&amp;G43&amp;ROW()-43&amp;""),数出表_Excel!$A:$A,0)-1&amp;""),
 1,
 MATCH(TRUE, ISNUMBER(--INDIRECT("数出表_Excel!"&amp;B43&amp;MATCH(INDIRECT(""&amp;G43&amp;ROW()-43&amp;""),数出表_Excel!$A:$A,0)-1&amp;":U"&amp;MATCH(INDIRECT(""&amp;G43&amp;ROW()-43&amp;""),数出表_Excel!$A:$A,0)-1&amp;"")), 0)),
 ""),
INDIRECT("数出表_Excel!B"&amp;MATCH(INDIRECT(""&amp;G43&amp;ROW()-43&amp;""),数出表_Excel!$A:$A,0)-1&amp;":U"&amp;MATCH(INDIRECT(""&amp;G43&amp;ROW()-43&amp;""),数出表_Excel!$A:$A,0)-1&amp;""),0)+1,""))</f>
        <v>#N/A</v>
      </c>
      <c r="C44" s="58" t="str" cm="1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76"/>
      <c r="E44" s="82" t="str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+MATCH(TRUE,INDIRECT("'数出表_Excel'!"&amp;B43&amp;MATCH(G1,数出表_Excel!$A:$A,0)-1&amp;":AL"&amp;MATCH(G1,数出表_Excel!$A:$A,0)-1&amp;"")&lt;&gt;"",0))&gt;12,"",
IFERROR(
INDEX(INDIRECT("数出表_Excel!$"&amp;B43&amp;"4:$AL4"),
 1,
MATCH(TRUE,INDIRECT("'数出表_Excel'!"&amp;B43&amp;MATCH(G1,数出表_Excel!$A:$A,0)-1&amp;":AL"&amp;MATCH(G1,数出表_Excel!$A:$A,0)-1&amp;"")&lt;&gt;"",0)
),
 "")
&amp;IFERROR(
INDEX(INDIRECT("数出表_Excel!$"&amp;B43&amp;"5:$AL5"),
 1,
MATCH(TRUE,INDIRECT("'数出表_Excel'!"&amp;B43&amp;MATCH(G1,数出表_Excel!$A:$A,0)-1&amp;":AL"&amp;MATCH(G1,数出表_Excel!$A:$A,0)-1&amp;"")&lt;&gt;"",0)),
 "")),"")))</f>
        <v/>
      </c>
      <c r="F44" s="83" t="str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92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76"/>
      <c r="I44" s="81" t="e" cm="1">
        <f t="array" aca="1" ref="I44" ca="1">IF(INDIRECT(""&amp;SUBSTITUTE(ADDRESS(1,
COLUMN(),1),"1","")&amp;ROW()-41&amp;"")&lt;&gt;100,
IF(J46&lt;&gt;"",MATCH(J46,INDIRECT("数出表_Excel!B"&amp;MATCH(INDIRECT(""&amp;N43&amp;ROW()-43&amp;""),数出表_Excel!$A:$A,0)-1&amp;":U"&amp;MATCH(INDIRECT(""&amp;N43&amp;ROW()-43&amp;""),数出表_Excel!$A:$A,0)-1&amp;""),0)+1,""),
IF(J46&lt;&gt;"",
MATCH(
IFERROR(
INDEX(INDIRECT("数出表_Excel!"&amp;I43&amp;MATCH(INDIRECT(""&amp;N43&amp;ROW()-43&amp;""),数出表_Excel!$A:$A,0)-1&amp;":U"&amp;MATCH(INDIRECT(""&amp;N43&amp;ROW()-43&amp;""),数出表_Excel!$A:$A,0)-1&amp;""),
 1,
 MATCH(TRUE, ISNUMBER(--INDIRECT("数出表_Excel!"&amp;I43&amp;MATCH(INDIRECT(""&amp;N43&amp;ROW()-43&amp;""),数出表_Excel!$A:$A,0)-1&amp;":U"&amp;MATCH(INDIRECT(""&amp;N43&amp;ROW()-43&amp;""),数出表_Excel!$A:$A,0)-1&amp;"")), 0)),
 ""),
INDIRECT("数出表_Excel!B"&amp;MATCH(INDIRECT(""&amp;N43&amp;ROW()-43&amp;""),数出表_Excel!$A:$A,0)-1&amp;":U"&amp;MATCH(INDIRECT(""&amp;N43&amp;ROW()-43&amp;""),数出表_Excel!$A:$A,0)-1&amp;""),0)+1,""))</f>
        <v>#VALUE!</v>
      </c>
      <c r="J44" s="58" t="str" cm="1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76"/>
      <c r="L44" s="82" t="str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+MATCH(TRUE,INDIRECT("'数出表_Excel'!"&amp;I43&amp;MATCH(N1,数出表_Excel!$A:$A,0)-1&amp;":AL"&amp;MATCH(N1,数出表_Excel!$A:$A,0)-1&amp;"")&lt;&gt;"",0))&gt;12,"",
IFERROR(
INDEX(INDIRECT("数出表_Excel!$"&amp;I43&amp;"4:$AL4"),
 1,
MATCH(TRUE,INDIRECT("'数出表_Excel'!"&amp;I43&amp;MATCH(N1,数出表_Excel!$A:$A,0)-1&amp;":AL"&amp;MATCH(N1,数出表_Excel!$A:$A,0)-1&amp;"")&lt;&gt;"",0)
),
 "")
&amp;IFERROR(
INDEX(INDIRECT("数出表_Excel!$"&amp;I43&amp;"5:$AL5"),
 1,
MATCH(TRUE,INDIRECT("'数出表_Excel'!"&amp;I43&amp;MATCH(N1,数出表_Excel!$A:$A,0)-1&amp;":AL"&amp;MATCH(N1,数出表_Excel!$A:$A,0)-1&amp;"")&lt;&gt;"",0)),
 "")),"")))</f>
        <v/>
      </c>
      <c r="M44" s="83" t="str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92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76"/>
      <c r="P44" s="76"/>
      <c r="Q44" s="81" t="e" cm="1">
        <f t="array" aca="1" ref="Q44" ca="1">IF(INDIRECT(""&amp;SUBSTITUTE(ADDRESS(1,
COLUMN(),1),"1","")&amp;ROW()-41&amp;"")&lt;&gt;100,
IF(R46&lt;&gt;"",MATCH(R46,INDIRECT("数出表_Excel!B"&amp;MATCH(INDIRECT(""&amp;V43&amp;ROW()-43&amp;""),数出表_Excel!$A:$A,0)-1&amp;":U"&amp;MATCH(INDIRECT(""&amp;V43&amp;ROW()-43&amp;""),数出表_Excel!$A:$A,0)-1&amp;""),0)+1,""),
IF(R46&lt;&gt;"",
MATCH(
IFERROR(
INDEX(INDIRECT("数出表_Excel!"&amp;Q43&amp;MATCH(INDIRECT(""&amp;V43&amp;ROW()-43&amp;""),数出表_Excel!$A:$A,0)-1&amp;":U"&amp;MATCH(INDIRECT(""&amp;V43&amp;ROW()-43&amp;""),数出表_Excel!$A:$A,0)-1&amp;""),
 1,
 MATCH(TRUE, ISNUMBER(--INDIRECT("数出表_Excel!"&amp;Q43&amp;MATCH(INDIRECT(""&amp;V43&amp;ROW()-43&amp;""),数出表_Excel!$A:$A,0)-1&amp;":U"&amp;MATCH(INDIRECT(""&amp;V43&amp;ROW()-43&amp;""),数出表_Excel!$A:$A,0)-1&amp;"")), 0)),
 ""),
INDIRECT("数出表_Excel!B"&amp;MATCH(INDIRECT(""&amp;V43&amp;ROW()-43&amp;""),数出表_Excel!$A:$A,0)-1&amp;":U"&amp;MATCH(INDIRECT(""&amp;V43&amp;ROW()-43&amp;""),数出表_Excel!$A:$A,0)-1&amp;""),0)+1,""))</f>
        <v>#VALUE!</v>
      </c>
      <c r="R44" s="58" t="str" cm="1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76"/>
      <c r="T44" s="82" t="str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+MATCH(TRUE,INDIRECT("'数出表_Excel'!"&amp;Q43&amp;MATCH(V1,数出表_Excel!$A:$A,0)-1&amp;":AL"&amp;MATCH(V1,数出表_Excel!$A:$A,0)-1&amp;"")&lt;&gt;"",0))&gt;12,"",
IFERROR(
INDEX(INDIRECT("数出表_Excel!$"&amp;Q43&amp;"4:$AL4"),
 1,
MATCH(TRUE,INDIRECT("'数出表_Excel'!"&amp;Q43&amp;MATCH(V1,数出表_Excel!$A:$A,0)-1&amp;":AL"&amp;MATCH(V1,数出表_Excel!$A:$A,0)-1&amp;"")&lt;&gt;"",0)
),
 "")
&amp;IFERROR(
INDEX(INDIRECT("数出表_Excel!$"&amp;Q43&amp;"5:$AL5"),
 1,
MATCH(TRUE,INDIRECT("'数出表_Excel'!"&amp;Q43&amp;MATCH(V1,数出表_Excel!$A:$A,0)-1&amp;":AL"&amp;MATCH(V1,数出表_Excel!$A:$A,0)-1&amp;"")&lt;&gt;"",0)),
 "")),"")))</f>
        <v/>
      </c>
      <c r="U44" s="83" t="str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92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76"/>
      <c r="X44" s="81" t="e" cm="1">
        <f t="array" aca="1" ref="X44" ca="1">IF(INDIRECT(""&amp;SUBSTITUTE(ADDRESS(1,
COLUMN(),1),"1","")&amp;ROW()-41&amp;"")&lt;&gt;100,
IF(Y46&lt;&gt;"",MATCH(Y46,INDIRECT("数出表_Excel!B"&amp;MATCH(INDIRECT(""&amp;AC43&amp;ROW()-43&amp;""),数出表_Excel!$A:$A,0)-1&amp;":U"&amp;MATCH(INDIRECT(""&amp;AC43&amp;ROW()-43&amp;""),数出表_Excel!$A:$A,0)-1&amp;""),0)+1,""),
IF(Y46&lt;&gt;"",
MATCH(
IFERROR(
INDEX(INDIRECT("数出表_Excel!"&amp;X43&amp;MATCH(INDIRECT(""&amp;AC43&amp;ROW()-43&amp;""),数出表_Excel!$A:$A,0)-1&amp;":U"&amp;MATCH(INDIRECT(""&amp;AC43&amp;ROW()-43&amp;""),数出表_Excel!$A:$A,0)-1&amp;""),
 1,
 MATCH(TRUE, ISNUMBER(--INDIRECT("数出表_Excel!"&amp;X43&amp;MATCH(INDIRECT(""&amp;AC43&amp;ROW()-43&amp;""),数出表_Excel!$A:$A,0)-1&amp;":U"&amp;MATCH(INDIRECT(""&amp;AC43&amp;ROW()-43&amp;""),数出表_Excel!$A:$A,0)-1&amp;"")), 0)),
 ""),
INDIRECT("数出表_Excel!B"&amp;MATCH(INDIRECT(""&amp;AC43&amp;ROW()-43&amp;""),数出表_Excel!$A:$A,0)-1&amp;":U"&amp;MATCH(INDIRECT(""&amp;AC43&amp;ROW()-43&amp;""),数出表_Excel!$A:$A,0)-1&amp;""),0)+1,""))</f>
        <v>#VALUE!</v>
      </c>
      <c r="Y44" s="58" t="str" cm="1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76"/>
      <c r="AA44" s="82" t="str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+MATCH(TRUE,INDIRECT("'数出表_Excel'!"&amp;X43&amp;MATCH(AC1,数出表_Excel!$A:$A,0)-1&amp;":AL"&amp;MATCH(AC1,数出表_Excel!$A:$A,0)-1&amp;"")&lt;&gt;"",0))&gt;12,"",
IFERROR(
INDEX(INDIRECT("数出表_Excel!$"&amp;X43&amp;"4:$AL4"),
 1,
MATCH(TRUE,INDIRECT("'数出表_Excel'!"&amp;X43&amp;MATCH(AC1,数出表_Excel!$A:$A,0)-1&amp;":AL"&amp;MATCH(AC1,数出表_Excel!$A:$A,0)-1&amp;"")&lt;&gt;"",0)
),
 "")
&amp;IFERROR(
INDEX(INDIRECT("数出表_Excel!$"&amp;X43&amp;"5:$AL5"),
 1,
MATCH(TRUE,INDIRECT("'数出表_Excel'!"&amp;X43&amp;MATCH(AC1,数出表_Excel!$A:$A,0)-1&amp;":AL"&amp;MATCH(AC1,数出表_Excel!$A:$A,0)-1&amp;"")&lt;&gt;"",0)),
 "")),"")))</f>
        <v/>
      </c>
      <c r="AB44" s="83" t="str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92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76"/>
      <c r="AE44" s="76"/>
      <c r="AF44" s="81" t="e" cm="1">
        <f t="array" aca="1" ref="AF44" ca="1">IF(INDIRECT(""&amp;SUBSTITUTE(ADDRESS(1,
COLUMN(),1),"1","")&amp;ROW()-41&amp;"")&lt;&gt;100,
IF(AG46&lt;&gt;"",MATCH(AG46,INDIRECT("数出表_Excel!B"&amp;MATCH(INDIRECT(""&amp;AK43&amp;ROW()-43&amp;""),数出表_Excel!$A:$A,0)-1&amp;":U"&amp;MATCH(INDIRECT(""&amp;AK43&amp;ROW()-43&amp;""),数出表_Excel!$A:$A,0)-1&amp;""),0)+1,""),
IF(AG46&lt;&gt;"",
MATCH(
IFERROR(
INDEX(INDIRECT("数出表_Excel!"&amp;AF43&amp;MATCH(INDIRECT(""&amp;AK43&amp;ROW()-43&amp;""),数出表_Excel!$A:$A,0)-1&amp;":U"&amp;MATCH(INDIRECT(""&amp;AK43&amp;ROW()-43&amp;""),数出表_Excel!$A:$A,0)-1&amp;""),
 1,
 MATCH(TRUE, ISNUMBER(--INDIRECT("数出表_Excel!"&amp;AF43&amp;MATCH(INDIRECT(""&amp;AK43&amp;ROW()-43&amp;""),数出表_Excel!$A:$A,0)-1&amp;":U"&amp;MATCH(INDIRECT(""&amp;AK43&amp;ROW()-43&amp;""),数出表_Excel!$A:$A,0)-1&amp;"")), 0)),
 ""),
INDIRECT("数出表_Excel!B"&amp;MATCH(INDIRECT(""&amp;AK43&amp;ROW()-43&amp;""),数出表_Excel!$A:$A,0)-1&amp;":U"&amp;MATCH(INDIRECT(""&amp;AK43&amp;ROW()-43&amp;""),数出表_Excel!$A:$A,0)-1&amp;""),0)+1,""))</f>
        <v>#VALUE!</v>
      </c>
      <c r="AG44" s="58" t="str" cm="1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76"/>
      <c r="AI44" s="82" t="str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+MATCH(TRUE,INDIRECT("'数出表_Excel'!"&amp;AF43&amp;MATCH(AK1,数出表_Excel!$A:$A,0)-1&amp;":AL"&amp;MATCH(AK1,数出表_Excel!$A:$A,0)-1&amp;"")&lt;&gt;"",0))&gt;12,"",
IFERROR(
INDEX(INDIRECT("数出表_Excel!$"&amp;AF43&amp;"4:$AL4"),
 1,
MATCH(TRUE,INDIRECT("'数出表_Excel'!"&amp;AF43&amp;MATCH(AK1,数出表_Excel!$A:$A,0)-1&amp;":AL"&amp;MATCH(AK1,数出表_Excel!$A:$A,0)-1&amp;"")&lt;&gt;"",0)
),
 "")
&amp;IFERROR(
INDEX(INDIRECT("数出表_Excel!$"&amp;AF43&amp;"5:$AL5"),
 1,
MATCH(TRUE,INDIRECT("'数出表_Excel'!"&amp;AF43&amp;MATCH(AK1,数出表_Excel!$A:$A,0)-1&amp;":AL"&amp;MATCH(AK1,数出表_Excel!$A:$A,0)-1&amp;"")&lt;&gt;"",0)),
 "")),"")))</f>
        <v/>
      </c>
      <c r="AJ44" s="83" t="str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92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76"/>
      <c r="AM44" s="81" t="e" cm="1">
        <f t="array" aca="1" ref="AM44" ca="1">IF(INDIRECT(""&amp;SUBSTITUTE(ADDRESS(1,
COLUMN(),1),"1","")&amp;ROW()-41&amp;"")&lt;&gt;100,
IF(AN46&lt;&gt;"",MATCH(AN46,INDIRECT("数出表_Excel!B"&amp;MATCH(INDIRECT(""&amp;AR43&amp;ROW()-43&amp;""),数出表_Excel!$A:$A,0)-1&amp;":U"&amp;MATCH(INDIRECT(""&amp;AR43&amp;ROW()-43&amp;""),数出表_Excel!$A:$A,0)-1&amp;""),0)+1,""),
IF(AN46&lt;&gt;"",
MATCH(
IFERROR(
INDEX(INDIRECT("数出表_Excel!"&amp;AM43&amp;MATCH(INDIRECT(""&amp;AR43&amp;ROW()-43&amp;""),数出表_Excel!$A:$A,0)-1&amp;":U"&amp;MATCH(INDIRECT(""&amp;AR43&amp;ROW()-43&amp;""),数出表_Excel!$A:$A,0)-1&amp;""),
 1,
 MATCH(TRUE, ISNUMBER(--INDIRECT("数出表_Excel!"&amp;AM43&amp;MATCH(INDIRECT(""&amp;AR43&amp;ROW()-43&amp;""),数出表_Excel!$A:$A,0)-1&amp;":U"&amp;MATCH(INDIRECT(""&amp;AR43&amp;ROW()-43&amp;""),数出表_Excel!$A:$A,0)-1&amp;"")), 0)),
 ""),
INDIRECT("数出表_Excel!B"&amp;MATCH(INDIRECT(""&amp;AR43&amp;ROW()-43&amp;""),数出表_Excel!$A:$A,0)-1&amp;":U"&amp;MATCH(INDIRECT(""&amp;AR43&amp;ROW()-43&amp;""),数出表_Excel!$A:$A,0)-1&amp;""),0)+1,""))</f>
        <v>#VALUE!</v>
      </c>
      <c r="AN44" s="58" t="str" cm="1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76"/>
      <c r="AP44" s="82" t="str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+MATCH(TRUE,INDIRECT("'数出表_Excel'!"&amp;AM43&amp;MATCH(AR1,数出表_Excel!$A:$A,0)-1&amp;":AL"&amp;MATCH(AR1,数出表_Excel!$A:$A,0)-1&amp;"")&lt;&gt;"",0))&gt;12,"",
IFERROR(
INDEX(INDIRECT("数出表_Excel!$"&amp;AM43&amp;"4:$AL4"),
 1,
MATCH(TRUE,INDIRECT("'数出表_Excel'!"&amp;AM43&amp;MATCH(AR1,数出表_Excel!$A:$A,0)-1&amp;":AL"&amp;MATCH(AR1,数出表_Excel!$A:$A,0)-1&amp;"")&lt;&gt;"",0)
),
 "")
&amp;IFERROR(
INDEX(INDIRECT("数出表_Excel!$"&amp;AM43&amp;"5:$AL5"),
 1,
MATCH(TRUE,INDIRECT("'数出表_Excel'!"&amp;AM43&amp;MATCH(AR1,数出表_Excel!$A:$A,0)-1&amp;":AL"&amp;MATCH(AR1,数出表_Excel!$A:$A,0)-1&amp;"")&lt;&gt;"",0)),
 "")),"")))</f>
        <v/>
      </c>
      <c r="AQ44" s="83" t="str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92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76"/>
      <c r="AT44" s="76"/>
      <c r="AU44" s="81" t="e" cm="1">
        <f t="array" aca="1" ref="AU44" ca="1">IF(INDIRECT(""&amp;SUBSTITUTE(ADDRESS(1,
COLUMN(),1),"1","")&amp;ROW()-41&amp;"")&lt;&gt;100,
IF(AV46&lt;&gt;"",MATCH(AV46,INDIRECT("数出表_Excel!B"&amp;MATCH(INDIRECT(""&amp;AZ43&amp;ROW()-43&amp;""),数出表_Excel!$A:$A,0)-1&amp;":U"&amp;MATCH(INDIRECT(""&amp;AZ43&amp;ROW()-43&amp;""),数出表_Excel!$A:$A,0)-1&amp;""),0)+1,""),
IF(AV46&lt;&gt;"",
MATCH(
IFERROR(
INDEX(INDIRECT("数出表_Excel!"&amp;AU43&amp;MATCH(INDIRECT(""&amp;AZ43&amp;ROW()-43&amp;""),数出表_Excel!$A:$A,0)-1&amp;":U"&amp;MATCH(INDIRECT(""&amp;AZ43&amp;ROW()-43&amp;""),数出表_Excel!$A:$A,0)-1&amp;""),
 1,
 MATCH(TRUE, ISNUMBER(--INDIRECT("数出表_Excel!"&amp;AU43&amp;MATCH(INDIRECT(""&amp;AZ43&amp;ROW()-43&amp;""),数出表_Excel!$A:$A,0)-1&amp;":U"&amp;MATCH(INDIRECT(""&amp;AZ43&amp;ROW()-43&amp;""),数出表_Excel!$A:$A,0)-1&amp;"")), 0)),
 ""),
INDIRECT("数出表_Excel!B"&amp;MATCH(INDIRECT(""&amp;AZ43&amp;ROW()-43&amp;""),数出表_Excel!$A:$A,0)-1&amp;":U"&amp;MATCH(INDIRECT(""&amp;AZ43&amp;ROW()-43&amp;""),数出表_Excel!$A:$A,0)-1&amp;""),0)+1,""))</f>
        <v>#VALUE!</v>
      </c>
      <c r="AV44" s="58" t="str" cm="1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76"/>
      <c r="AX44" s="82" t="str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+MATCH(TRUE,INDIRECT("'数出表_Excel'!"&amp;AU43&amp;MATCH(AZ1,数出表_Excel!$A:$A,0)-1&amp;":AL"&amp;MATCH(AZ1,数出表_Excel!$A:$A,0)-1&amp;"")&lt;&gt;"",0))&gt;12,"",
IFERROR(
INDEX(INDIRECT("数出表_Excel!$"&amp;AU43&amp;"4:$AL4"),
 1,
MATCH(TRUE,INDIRECT("'数出表_Excel'!"&amp;AU43&amp;MATCH(AZ1,数出表_Excel!$A:$A,0)-1&amp;":AL"&amp;MATCH(AZ1,数出表_Excel!$A:$A,0)-1&amp;"")&lt;&gt;"",0)
),
 "")
&amp;IFERROR(
INDEX(INDIRECT("数出表_Excel!$"&amp;AU43&amp;"5:$AL5"),
 1,
MATCH(TRUE,INDIRECT("'数出表_Excel'!"&amp;AU43&amp;MATCH(AZ1,数出表_Excel!$A:$A,0)-1&amp;":AL"&amp;MATCH(AZ1,数出表_Excel!$A:$A,0)-1&amp;"")&lt;&gt;"",0)),
 "")),"")))</f>
        <v/>
      </c>
      <c r="AY44" s="83" t="str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92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76"/>
      <c r="BB44" s="81" t="e" cm="1">
        <f t="array" aca="1" ref="BB44" ca="1">IF(INDIRECT(""&amp;SUBSTITUTE(ADDRESS(1,
COLUMN(),1),"1","")&amp;ROW()-41&amp;"")&lt;&gt;100,
IF(BC46&lt;&gt;"",MATCH(BC46,INDIRECT("数出表_Excel!B"&amp;MATCH(INDIRECT(""&amp;BG43&amp;ROW()-43&amp;""),数出表_Excel!$A:$A,0)-1&amp;":U"&amp;MATCH(INDIRECT(""&amp;BG43&amp;ROW()-43&amp;""),数出表_Excel!$A:$A,0)-1&amp;""),0)+1,""),
IF(BC46&lt;&gt;"",
MATCH(
IFERROR(
INDEX(INDIRECT("数出表_Excel!"&amp;BB43&amp;MATCH(INDIRECT(""&amp;BG43&amp;ROW()-43&amp;""),数出表_Excel!$A:$A,0)-1&amp;":U"&amp;MATCH(INDIRECT(""&amp;BG43&amp;ROW()-43&amp;""),数出表_Excel!$A:$A,0)-1&amp;""),
 1,
 MATCH(TRUE, ISNUMBER(--INDIRECT("数出表_Excel!"&amp;BB43&amp;MATCH(INDIRECT(""&amp;BG43&amp;ROW()-43&amp;""),数出表_Excel!$A:$A,0)-1&amp;":U"&amp;MATCH(INDIRECT(""&amp;BG43&amp;ROW()-43&amp;""),数出表_Excel!$A:$A,0)-1&amp;"")), 0)),
 ""),
INDIRECT("数出表_Excel!B"&amp;MATCH(INDIRECT(""&amp;BG43&amp;ROW()-43&amp;""),数出表_Excel!$A:$A,0)-1&amp;":U"&amp;MATCH(INDIRECT(""&amp;BG43&amp;ROW()-43&amp;""),数出表_Excel!$A:$A,0)-1&amp;""),0)+1,""))</f>
        <v>#VALUE!</v>
      </c>
      <c r="BC44" s="58" t="str" cm="1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76"/>
      <c r="BE44" s="82" t="str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+MATCH(TRUE,INDIRECT("'数出表_Excel'!"&amp;BB43&amp;MATCH(BG1,数出表_Excel!$A:$A,0)-1&amp;":AL"&amp;MATCH(BG1,数出表_Excel!$A:$A,0)-1&amp;"")&lt;&gt;"",0))&gt;12,"",
IFERROR(
INDEX(INDIRECT("数出表_Excel!$"&amp;BB43&amp;"4:$AL4"),
 1,
MATCH(TRUE,INDIRECT("'数出表_Excel'!"&amp;BB43&amp;MATCH(BG1,数出表_Excel!$A:$A,0)-1&amp;":AL"&amp;MATCH(BG1,数出表_Excel!$A:$A,0)-1&amp;"")&lt;&gt;"",0)
),
 "")
&amp;IFERROR(
INDEX(INDIRECT("数出表_Excel!$"&amp;BB43&amp;"5:$AL5"),
 1,
MATCH(TRUE,INDIRECT("'数出表_Excel'!"&amp;BB43&amp;MATCH(BG1,数出表_Excel!$A:$A,0)-1&amp;":AL"&amp;MATCH(BG1,数出表_Excel!$A:$A,0)-1&amp;"")&lt;&gt;"",0)),
 "")),"")))</f>
        <v/>
      </c>
      <c r="BF44" s="83" t="str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92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76"/>
      <c r="BI44" s="76"/>
      <c r="BJ44" s="81" t="e" cm="1">
        <f t="array" aca="1" ref="BJ44" ca="1">IF(INDIRECT(""&amp;SUBSTITUTE(ADDRESS(1,
COLUMN(),1),"1","")&amp;ROW()-41&amp;"")&lt;&gt;100,
IF(BK46&lt;&gt;"",MATCH(BK46,INDIRECT("数出表_Excel!B"&amp;MATCH(INDIRECT(""&amp;BO43&amp;ROW()-43&amp;""),数出表_Excel!$A:$A,0)-1&amp;":U"&amp;MATCH(INDIRECT(""&amp;BO43&amp;ROW()-43&amp;""),数出表_Excel!$A:$A,0)-1&amp;""),0)+1,""),
IF(BK46&lt;&gt;"",
MATCH(
IFERROR(
INDEX(INDIRECT("数出表_Excel!"&amp;BJ43&amp;MATCH(INDIRECT(""&amp;BO43&amp;ROW()-43&amp;""),数出表_Excel!$A:$A,0)-1&amp;":U"&amp;MATCH(INDIRECT(""&amp;BO43&amp;ROW()-43&amp;""),数出表_Excel!$A:$A,0)-1&amp;""),
 1,
 MATCH(TRUE, ISNUMBER(--INDIRECT("数出表_Excel!"&amp;BJ43&amp;MATCH(INDIRECT(""&amp;BO43&amp;ROW()-43&amp;""),数出表_Excel!$A:$A,0)-1&amp;":U"&amp;MATCH(INDIRECT(""&amp;BO43&amp;ROW()-43&amp;""),数出表_Excel!$A:$A,0)-1&amp;"")), 0)),
 ""),
INDIRECT("数出表_Excel!B"&amp;MATCH(INDIRECT(""&amp;BO43&amp;ROW()-43&amp;""),数出表_Excel!$A:$A,0)-1&amp;":U"&amp;MATCH(INDIRECT(""&amp;BO43&amp;ROW()-43&amp;""),数出表_Excel!$A:$A,0)-1&amp;""),0)+1,""))</f>
        <v>#VALUE!</v>
      </c>
      <c r="BK44" s="58" t="str" cm="1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76"/>
      <c r="BM44" s="82" t="str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+MATCH(TRUE,INDIRECT("'数出表_Excel'!"&amp;BJ43&amp;MATCH(BO1,数出表_Excel!$A:$A,0)-1&amp;":AL"&amp;MATCH(BO1,数出表_Excel!$A:$A,0)-1&amp;"")&lt;&gt;"",0))&gt;12,"",
IFERROR(
INDEX(INDIRECT("数出表_Excel!$"&amp;BJ43&amp;"4:$AL4"),
 1,
MATCH(TRUE,INDIRECT("'数出表_Excel'!"&amp;BJ43&amp;MATCH(BO1,数出表_Excel!$A:$A,0)-1&amp;":AL"&amp;MATCH(BO1,数出表_Excel!$A:$A,0)-1&amp;"")&lt;&gt;"",0)
),
 "")
&amp;IFERROR(
INDEX(INDIRECT("数出表_Excel!$"&amp;BJ43&amp;"5:$AL5"),
 1,
MATCH(TRUE,INDIRECT("'数出表_Excel'!"&amp;BJ43&amp;MATCH(BO1,数出表_Excel!$A:$A,0)-1&amp;":AL"&amp;MATCH(BO1,数出表_Excel!$A:$A,0)-1&amp;"")&lt;&gt;"",0)),
 "")),"")))</f>
        <v/>
      </c>
      <c r="BN44" s="83" t="str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92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76"/>
      <c r="BQ44" s="81" t="e" cm="1">
        <f t="array" aca="1" ref="BQ44" ca="1">IF(INDIRECT(""&amp;SUBSTITUTE(ADDRESS(1,
COLUMN(),1),"1","")&amp;ROW()-41&amp;"")&lt;&gt;100,
IF(BR46&lt;&gt;"",MATCH(BR46,INDIRECT("数出表_Excel!B"&amp;MATCH(INDIRECT(""&amp;BV43&amp;ROW()-43&amp;""),数出表_Excel!$A:$A,0)-1&amp;":U"&amp;MATCH(INDIRECT(""&amp;BV43&amp;ROW()-43&amp;""),数出表_Excel!$A:$A,0)-1&amp;""),0)+1,""),
IF(BR46&lt;&gt;"",
MATCH(
IFERROR(
INDEX(INDIRECT("数出表_Excel!"&amp;BQ43&amp;MATCH(INDIRECT(""&amp;BV43&amp;ROW()-43&amp;""),数出表_Excel!$A:$A,0)-1&amp;":U"&amp;MATCH(INDIRECT(""&amp;BV43&amp;ROW()-43&amp;""),数出表_Excel!$A:$A,0)-1&amp;""),
 1,
 MATCH(TRUE, ISNUMBER(--INDIRECT("数出表_Excel!"&amp;BQ43&amp;MATCH(INDIRECT(""&amp;BV43&amp;ROW()-43&amp;""),数出表_Excel!$A:$A,0)-1&amp;":U"&amp;MATCH(INDIRECT(""&amp;BV43&amp;ROW()-43&amp;""),数出表_Excel!$A:$A,0)-1&amp;"")), 0)),
 ""),
INDIRECT("数出表_Excel!B"&amp;MATCH(INDIRECT(""&amp;BV43&amp;ROW()-43&amp;""),数出表_Excel!$A:$A,0)-1&amp;":U"&amp;MATCH(INDIRECT(""&amp;BV43&amp;ROW()-43&amp;""),数出表_Excel!$A:$A,0)-1&amp;""),0)+1,""))</f>
        <v>#VALUE!</v>
      </c>
      <c r="BR44" s="58" t="str" cm="1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76"/>
      <c r="BT44" s="82" t="str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+MATCH(TRUE,INDIRECT("'数出表_Excel'!"&amp;BQ43&amp;MATCH(BV1,数出表_Excel!$A:$A,0)-1&amp;":AL"&amp;MATCH(BV1,数出表_Excel!$A:$A,0)-1&amp;"")&lt;&gt;"",0))&gt;12,"",
IFERROR(
INDEX(INDIRECT("数出表_Excel!$"&amp;BQ43&amp;"4:$AL4"),
 1,
MATCH(TRUE,INDIRECT("'数出表_Excel'!"&amp;BQ43&amp;MATCH(BV1,数出表_Excel!$A:$A,0)-1&amp;":AL"&amp;MATCH(BV1,数出表_Excel!$A:$A,0)-1&amp;"")&lt;&gt;"",0)
),
 "")
&amp;IFERROR(
INDEX(INDIRECT("数出表_Excel!$"&amp;BQ43&amp;"5:$AL5"),
 1,
MATCH(TRUE,INDIRECT("'数出表_Excel'!"&amp;BQ43&amp;MATCH(BV1,数出表_Excel!$A:$A,0)-1&amp;":AL"&amp;MATCH(BV1,数出表_Excel!$A:$A,0)-1&amp;"")&lt;&gt;"",0)),
 "")),"")))</f>
        <v/>
      </c>
      <c r="BU44" s="83" t="str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92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76"/>
      <c r="BX44" s="76"/>
      <c r="BY44" s="81" t="e" cm="1">
        <f t="array" aca="1" ref="BY44" ca="1">IF(INDIRECT(""&amp;SUBSTITUTE(ADDRESS(1,
COLUMN(),1),"1","")&amp;ROW()-41&amp;"")&lt;&gt;100,
IF(BZ46&lt;&gt;"",MATCH(BZ46,INDIRECT("数出表_Excel!B"&amp;MATCH(INDIRECT(""&amp;CD43&amp;ROW()-43&amp;""),数出表_Excel!$A:$A,0)-1&amp;":U"&amp;MATCH(INDIRECT(""&amp;CD43&amp;ROW()-43&amp;""),数出表_Excel!$A:$A,0)-1&amp;""),0)+1,""),
IF(BZ46&lt;&gt;"",
MATCH(
IFERROR(
INDEX(INDIRECT("数出表_Excel!"&amp;BY43&amp;MATCH(INDIRECT(""&amp;CD43&amp;ROW()-43&amp;""),数出表_Excel!$A:$A,0)-1&amp;":U"&amp;MATCH(INDIRECT(""&amp;CD43&amp;ROW()-43&amp;""),数出表_Excel!$A:$A,0)-1&amp;""),
 1,
 MATCH(TRUE, ISNUMBER(--INDIRECT("数出表_Excel!"&amp;BY43&amp;MATCH(INDIRECT(""&amp;CD43&amp;ROW()-43&amp;""),数出表_Excel!$A:$A,0)-1&amp;":U"&amp;MATCH(INDIRECT(""&amp;CD43&amp;ROW()-43&amp;""),数出表_Excel!$A:$A,0)-1&amp;"")), 0)),
 ""),
INDIRECT("数出表_Excel!B"&amp;MATCH(INDIRECT(""&amp;CD43&amp;ROW()-43&amp;""),数出表_Excel!$A:$A,0)-1&amp;":U"&amp;MATCH(INDIRECT(""&amp;CD43&amp;ROW()-43&amp;""),数出表_Excel!$A:$A,0)-1&amp;""),0)+1,""))</f>
        <v>#VALUE!</v>
      </c>
      <c r="BZ44" s="58" t="str" cm="1">
        <f t="array" aca="1" ref="BZ44" ca="1">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</f>
        <v/>
      </c>
      <c r="CA44" s="76"/>
      <c r="CB44" s="82" t="str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+MATCH(TRUE,INDIRECT("'数出表_Excel'!"&amp;BY43&amp;MATCH(CD1,数出表_Excel!$A:$A,0)-1&amp;":AL"&amp;MATCH(CD1,数出表_Excel!$A:$A,0)-1&amp;"")&lt;&gt;"",0))&gt;12,"",
IFERROR(
INDEX(INDIRECT("数出表_Excel!$"&amp;BY43&amp;"4:$AL4"),
 1,
MATCH(TRUE,INDIRECT("'数出表_Excel'!"&amp;BY43&amp;MATCH(CD1,数出表_Excel!$A:$A,0)-1&amp;":AL"&amp;MATCH(CD1,数出表_Excel!$A:$A,0)-1&amp;"")&lt;&gt;"",0)
),
 "")
&amp;IFERROR(
INDEX(INDIRECT("数出表_Excel!$"&amp;BY43&amp;"5:$AL5"),
 1,
MATCH(TRUE,INDIRECT("'数出表_Excel'!"&amp;BY43&amp;MATCH(CD1,数出表_Excel!$A:$A,0)-1&amp;":AL"&amp;MATCH(CD1,数出表_Excel!$A:$A,0)-1&amp;"")&lt;&gt;"",0)),
 "")),"")))</f>
        <v/>
      </c>
      <c r="CC44" s="83" t="str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92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76"/>
      <c r="CF44" s="81" t="e" cm="1">
        <f t="array" aca="1" ref="CF44" ca="1">IF(INDIRECT(""&amp;SUBSTITUTE(ADDRESS(1,
COLUMN(),1),"1","")&amp;ROW()-41&amp;"")&lt;&gt;100,
IF(CG46&lt;&gt;"",MATCH(CG46,INDIRECT("数出表_Excel!B"&amp;MATCH(INDIRECT(""&amp;CK43&amp;ROW()-43&amp;""),数出表_Excel!$A:$A,0)-1&amp;":U"&amp;MATCH(INDIRECT(""&amp;CK43&amp;ROW()-43&amp;""),数出表_Excel!$A:$A,0)-1&amp;""),0)+1,""),
IF(CG46&lt;&gt;"",
MATCH(
IFERROR(
INDEX(INDIRECT("数出表_Excel!"&amp;CF43&amp;MATCH(INDIRECT(""&amp;CK43&amp;ROW()-43&amp;""),数出表_Excel!$A:$A,0)-1&amp;":U"&amp;MATCH(INDIRECT(""&amp;CK43&amp;ROW()-43&amp;""),数出表_Excel!$A:$A,0)-1&amp;""),
 1,
 MATCH(TRUE, ISNUMBER(--INDIRECT("数出表_Excel!"&amp;CF43&amp;MATCH(INDIRECT(""&amp;CK43&amp;ROW()-43&amp;""),数出表_Excel!$A:$A,0)-1&amp;":U"&amp;MATCH(INDIRECT(""&amp;CK43&amp;ROW()-43&amp;""),数出表_Excel!$A:$A,0)-1&amp;"")), 0)),
 ""),
INDIRECT("数出表_Excel!B"&amp;MATCH(INDIRECT(""&amp;CK43&amp;ROW()-43&amp;""),数出表_Excel!$A:$A,0)-1&amp;":U"&amp;MATCH(INDIRECT(""&amp;CK43&amp;ROW()-43&amp;""),数出表_Excel!$A:$A,0)-1&amp;""),0)+1,""))</f>
        <v>#VALUE!</v>
      </c>
      <c r="CG44" s="58" t="str" cm="1">
        <f t="array" aca="1" ref="CG44" ca="1">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</f>
        <v/>
      </c>
      <c r="CH44" s="76"/>
      <c r="CI44" s="82" t="str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+MATCH(TRUE,INDIRECT("'数出表_Excel'!"&amp;CF43&amp;MATCH(CK1,数出表_Excel!$A:$A,0)-1&amp;":AL"&amp;MATCH(CK1,数出表_Excel!$A:$A,0)-1&amp;"")&lt;&gt;"",0))&gt;12,"",
IFERROR(
INDEX(INDIRECT("数出表_Excel!$"&amp;CF43&amp;"4:$AL4"),
 1,
MATCH(TRUE,INDIRECT("'数出表_Excel'!"&amp;CF43&amp;MATCH(CK1,数出表_Excel!$A:$A,0)-1&amp;":AL"&amp;MATCH(CK1,数出表_Excel!$A:$A,0)-1&amp;"")&lt;&gt;"",0)
),
 "")
&amp;IFERROR(
INDEX(INDIRECT("数出表_Excel!$"&amp;CF43&amp;"5:$AL5"),
 1,
MATCH(TRUE,INDIRECT("'数出表_Excel'!"&amp;CF43&amp;MATCH(CK1,数出表_Excel!$A:$A,0)-1&amp;":AL"&amp;MATCH(CK1,数出表_Excel!$A:$A,0)-1&amp;"")&lt;&gt;"",0)),
 "")),"")))</f>
        <v/>
      </c>
      <c r="CJ44" s="83" t="str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92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76"/>
      <c r="CM44" s="76"/>
      <c r="CN44" s="81" t="e" cm="1">
        <f t="array" aca="1" ref="CN44" ca="1">IF(INDIRECT(""&amp;SUBSTITUTE(ADDRESS(1,
COLUMN(),1),"1","")&amp;ROW()-41&amp;"")&lt;&gt;100,
IF(CO46&lt;&gt;"",MATCH(CO46,INDIRECT("数出表_Excel!B"&amp;MATCH(INDIRECT(""&amp;CS43&amp;ROW()-43&amp;""),数出表_Excel!$A:$A,0)-1&amp;":U"&amp;MATCH(INDIRECT(""&amp;CS43&amp;ROW()-43&amp;""),数出表_Excel!$A:$A,0)-1&amp;""),0)+1,""),
IF(CO46&lt;&gt;"",
MATCH(
IFERROR(
INDEX(INDIRECT("数出表_Excel!"&amp;CN43&amp;MATCH(INDIRECT(""&amp;CS43&amp;ROW()-43&amp;""),数出表_Excel!$A:$A,0)-1&amp;":U"&amp;MATCH(INDIRECT(""&amp;CS43&amp;ROW()-43&amp;""),数出表_Excel!$A:$A,0)-1&amp;""),
 1,
 MATCH(TRUE, ISNUMBER(--INDIRECT("数出表_Excel!"&amp;CN43&amp;MATCH(INDIRECT(""&amp;CS43&amp;ROW()-43&amp;""),数出表_Excel!$A:$A,0)-1&amp;":U"&amp;MATCH(INDIRECT(""&amp;CS43&amp;ROW()-43&amp;""),数出表_Excel!$A:$A,0)-1&amp;"")), 0)),
 ""),
INDIRECT("数出表_Excel!B"&amp;MATCH(INDIRECT(""&amp;CS43&amp;ROW()-43&amp;""),数出表_Excel!$A:$A,0)-1&amp;":U"&amp;MATCH(INDIRECT(""&amp;CS43&amp;ROW()-43&amp;""),数出表_Excel!$A:$A,0)-1&amp;""),0)+1,""))</f>
        <v>#VALUE!</v>
      </c>
      <c r="CO44" s="58" t="str" cm="1">
        <f t="array" aca="1" ref="CO44" ca="1">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</f>
        <v/>
      </c>
      <c r="CP44" s="76"/>
      <c r="CQ44" s="82" t="str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+MATCH(TRUE,INDIRECT("'数出表_Excel'!"&amp;CN43&amp;MATCH(CS1,数出表_Excel!$A:$A,0)-1&amp;":AL"&amp;MATCH(CS1,数出表_Excel!$A:$A,0)-1&amp;"")&lt;&gt;"",0))&gt;12,"",
IFERROR(
INDEX(INDIRECT("数出表_Excel!$"&amp;CN43&amp;"4:$AL4"),
 1,
MATCH(TRUE,INDIRECT("'数出表_Excel'!"&amp;CN43&amp;MATCH(CS1,数出表_Excel!$A:$A,0)-1&amp;":AL"&amp;MATCH(CS1,数出表_Excel!$A:$A,0)-1&amp;"")&lt;&gt;"",0)
),
 "")
&amp;IFERROR(
INDEX(INDIRECT("数出表_Excel!$"&amp;CN43&amp;"5:$AL5"),
 1,
MATCH(TRUE,INDIRECT("'数出表_Excel'!"&amp;CN43&amp;MATCH(CS1,数出表_Excel!$A:$A,0)-1&amp;":AL"&amp;MATCH(CS1,数出表_Excel!$A:$A,0)-1&amp;"")&lt;&gt;"",0)),
 "")),"")))</f>
        <v/>
      </c>
      <c r="CR44" s="83" t="str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92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76"/>
      <c r="CU44" s="81" t="e" cm="1">
        <f t="array" aca="1" ref="CU44" ca="1">IF(INDIRECT(""&amp;SUBSTITUTE(ADDRESS(1,
COLUMN(),1),"1","")&amp;ROW()-41&amp;"")&lt;&gt;100,
IF(CV46&lt;&gt;"",MATCH(CV46,INDIRECT("数出表_Excel!B"&amp;MATCH(INDIRECT(""&amp;CZ43&amp;ROW()-43&amp;""),数出表_Excel!$A:$A,0)-1&amp;":U"&amp;MATCH(INDIRECT(""&amp;CZ43&amp;ROW()-43&amp;""),数出表_Excel!$A:$A,0)-1&amp;""),0)+1,""),
IF(CV46&lt;&gt;"",
MATCH(
IFERROR(
INDEX(INDIRECT("数出表_Excel!"&amp;CU43&amp;MATCH(INDIRECT(""&amp;CZ43&amp;ROW()-43&amp;""),数出表_Excel!$A:$A,0)-1&amp;":U"&amp;MATCH(INDIRECT(""&amp;CZ43&amp;ROW()-43&amp;""),数出表_Excel!$A:$A,0)-1&amp;""),
 1,
 MATCH(TRUE, ISNUMBER(--INDIRECT("数出表_Excel!"&amp;CU43&amp;MATCH(INDIRECT(""&amp;CZ43&amp;ROW()-43&amp;""),数出表_Excel!$A:$A,0)-1&amp;":U"&amp;MATCH(INDIRECT(""&amp;CZ43&amp;ROW()-43&amp;""),数出表_Excel!$A:$A,0)-1&amp;"")), 0)),
 ""),
INDIRECT("数出表_Excel!B"&amp;MATCH(INDIRECT(""&amp;CZ43&amp;ROW()-43&amp;""),数出表_Excel!$A:$A,0)-1&amp;":U"&amp;MATCH(INDIRECT(""&amp;CZ43&amp;ROW()-43&amp;""),数出表_Excel!$A:$A,0)-1&amp;""),0)+1,""))</f>
        <v>#VALUE!</v>
      </c>
      <c r="CV44" s="58" t="str" cm="1">
        <f t="array" aca="1" ref="CV44" ca="1">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</f>
        <v/>
      </c>
      <c r="CW44" s="76"/>
      <c r="CX44" s="82" t="str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+MATCH(TRUE,INDIRECT("'数出表_Excel'!"&amp;CU43&amp;MATCH(CZ1,数出表_Excel!$A:$A,0)-1&amp;":AL"&amp;MATCH(CZ1,数出表_Excel!$A:$A,0)-1&amp;"")&lt;&gt;"",0))&gt;12,"",
IFERROR(
INDEX(INDIRECT("数出表_Excel!$"&amp;CU43&amp;"4:$AL4"),
 1,
MATCH(TRUE,INDIRECT("'数出表_Excel'!"&amp;CU43&amp;MATCH(CZ1,数出表_Excel!$A:$A,0)-1&amp;":AL"&amp;MATCH(CZ1,数出表_Excel!$A:$A,0)-1&amp;"")&lt;&gt;"",0)
),
 "")
&amp;IFERROR(
INDEX(INDIRECT("数出表_Excel!$"&amp;CU43&amp;"5:$AL5"),
 1,
MATCH(TRUE,INDIRECT("'数出表_Excel'!"&amp;CU43&amp;MATCH(CZ1,数出表_Excel!$A:$A,0)-1&amp;":AL"&amp;MATCH(CZ1,数出表_Excel!$A:$A,0)-1&amp;"")&lt;&gt;"",0)),
 "")),"")))</f>
        <v/>
      </c>
      <c r="CY44" s="83" t="str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92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76"/>
      <c r="DB44" s="76"/>
      <c r="DC44" s="81" t="e" cm="1">
        <f t="array" aca="1" ref="DC44" ca="1">IF(INDIRECT(""&amp;SUBSTITUTE(ADDRESS(1,
COLUMN(),1),"1","")&amp;ROW()-41&amp;"")&lt;&gt;100,
IF(DD46&lt;&gt;"",MATCH(DD46,INDIRECT("数出表_Excel!B"&amp;MATCH(INDIRECT(""&amp;DH43&amp;ROW()-43&amp;""),数出表_Excel!$A:$A,0)-1&amp;":U"&amp;MATCH(INDIRECT(""&amp;DH43&amp;ROW()-43&amp;""),数出表_Excel!$A:$A,0)-1&amp;""),0)+1,""),
IF(DD46&lt;&gt;"",
MATCH(
IFERROR(
INDEX(INDIRECT("数出表_Excel!"&amp;DC43&amp;MATCH(INDIRECT(""&amp;DH43&amp;ROW()-43&amp;""),数出表_Excel!$A:$A,0)-1&amp;":U"&amp;MATCH(INDIRECT(""&amp;DH43&amp;ROW()-43&amp;""),数出表_Excel!$A:$A,0)-1&amp;""),
 1,
 MATCH(TRUE, ISNUMBER(--INDIRECT("数出表_Excel!"&amp;DC43&amp;MATCH(INDIRECT(""&amp;DH43&amp;ROW()-43&amp;""),数出表_Excel!$A:$A,0)-1&amp;":U"&amp;MATCH(INDIRECT(""&amp;DH43&amp;ROW()-43&amp;""),数出表_Excel!$A:$A,0)-1&amp;"")), 0)),
 ""),
INDIRECT("数出表_Excel!B"&amp;MATCH(INDIRECT(""&amp;DH43&amp;ROW()-43&amp;""),数出表_Excel!$A:$A,0)-1&amp;":U"&amp;MATCH(INDIRECT(""&amp;DH43&amp;ROW()-43&amp;""),数出表_Excel!$A:$A,0)-1&amp;""),0)+1,""))</f>
        <v>#VALUE!</v>
      </c>
      <c r="DD44" s="58" t="str" cm="1">
        <f t="array" aca="1" ref="DD44" ca="1">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</f>
        <v/>
      </c>
      <c r="DE44" s="76"/>
      <c r="DF44" s="82" t="str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+MATCH(TRUE,INDIRECT("'数出表_Excel'!"&amp;DC43&amp;MATCH(DH1,数出表_Excel!$A:$A,0)-1&amp;":AL"&amp;MATCH(DH1,数出表_Excel!$A:$A,0)-1&amp;"")&lt;&gt;"",0))&gt;12,"",
IFERROR(
INDEX(INDIRECT("数出表_Excel!$"&amp;DC43&amp;"4:$AL4"),
 1,
MATCH(TRUE,INDIRECT("'数出表_Excel'!"&amp;DC43&amp;MATCH(DH1,数出表_Excel!$A:$A,0)-1&amp;":AL"&amp;MATCH(DH1,数出表_Excel!$A:$A,0)-1&amp;"")&lt;&gt;"",0)
),
 "")
&amp;IFERROR(
INDEX(INDIRECT("数出表_Excel!$"&amp;DC43&amp;"5:$AL5"),
 1,
MATCH(TRUE,INDIRECT("'数出表_Excel'!"&amp;DC43&amp;MATCH(DH1,数出表_Excel!$A:$A,0)-1&amp;":AL"&amp;MATCH(DH1,数出表_Excel!$A:$A,0)-1&amp;"")&lt;&gt;"",0)),
 "")),"")))</f>
        <v/>
      </c>
      <c r="DG44" s="83" t="str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92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76"/>
      <c r="DJ44" s="81" t="e" cm="1">
        <f t="array" aca="1" ref="DJ44" ca="1">IF(INDIRECT(""&amp;SUBSTITUTE(ADDRESS(1,
COLUMN(),1),"1","")&amp;ROW()-41&amp;"")&lt;&gt;100,
IF(DK46&lt;&gt;"",MATCH(DK46,INDIRECT("数出表_Excel!B"&amp;MATCH(INDIRECT(""&amp;DO43&amp;ROW()-43&amp;""),数出表_Excel!$A:$A,0)-1&amp;":U"&amp;MATCH(INDIRECT(""&amp;DO43&amp;ROW()-43&amp;""),数出表_Excel!$A:$A,0)-1&amp;""),0)+1,""),
IF(DK46&lt;&gt;"",
MATCH(
IFERROR(
INDEX(INDIRECT("数出表_Excel!"&amp;DJ43&amp;MATCH(INDIRECT(""&amp;DO43&amp;ROW()-43&amp;""),数出表_Excel!$A:$A,0)-1&amp;":U"&amp;MATCH(INDIRECT(""&amp;DO43&amp;ROW()-43&amp;""),数出表_Excel!$A:$A,0)-1&amp;""),
 1,
 MATCH(TRUE, ISNUMBER(--INDIRECT("数出表_Excel!"&amp;DJ43&amp;MATCH(INDIRECT(""&amp;DO43&amp;ROW()-43&amp;""),数出表_Excel!$A:$A,0)-1&amp;":U"&amp;MATCH(INDIRECT(""&amp;DO43&amp;ROW()-43&amp;""),数出表_Excel!$A:$A,0)-1&amp;"")), 0)),
 ""),
INDIRECT("数出表_Excel!B"&amp;MATCH(INDIRECT(""&amp;DO43&amp;ROW()-43&amp;""),数出表_Excel!$A:$A,0)-1&amp;":U"&amp;MATCH(INDIRECT(""&amp;DO43&amp;ROW()-43&amp;""),数出表_Excel!$A:$A,0)-1&amp;""),0)+1,""))</f>
        <v>#VALUE!</v>
      </c>
      <c r="DK44" s="58" t="str" cm="1">
        <f t="array" aca="1" ref="DK44" ca="1">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</f>
        <v/>
      </c>
      <c r="DL44" s="76"/>
      <c r="DM44" s="82" t="str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+MATCH(TRUE,INDIRECT("'数出表_Excel'!"&amp;DJ43&amp;MATCH(DO1,数出表_Excel!$A:$A,0)-1&amp;":AL"&amp;MATCH(DO1,数出表_Excel!$A:$A,0)-1&amp;"")&lt;&gt;"",0))&gt;12,"",
IFERROR(
INDEX(INDIRECT("数出表_Excel!$"&amp;DJ43&amp;"4:$AL4"),
 1,
MATCH(TRUE,INDIRECT("'数出表_Excel'!"&amp;DJ43&amp;MATCH(DO1,数出表_Excel!$A:$A,0)-1&amp;":AL"&amp;MATCH(DO1,数出表_Excel!$A:$A,0)-1&amp;"")&lt;&gt;"",0)
),
 "")
&amp;IFERROR(
INDEX(INDIRECT("数出表_Excel!$"&amp;DJ43&amp;"5:$AL5"),
 1,
MATCH(TRUE,INDIRECT("'数出表_Excel'!"&amp;DJ43&amp;MATCH(DO1,数出表_Excel!$A:$A,0)-1&amp;":AL"&amp;MATCH(DO1,数出表_Excel!$A:$A,0)-1&amp;"")&lt;&gt;"",0)),
 "")),"")))</f>
        <v/>
      </c>
      <c r="DN44" s="83" t="str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92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76"/>
      <c r="DQ44" s="76"/>
      <c r="DR44" s="81" t="e" cm="1">
        <f t="array" aca="1" ref="DR44" ca="1">IF(INDIRECT(""&amp;SUBSTITUTE(ADDRESS(1,
COLUMN(),1),"1","")&amp;ROW()-41&amp;"")&lt;&gt;100,
IF(DS46&lt;&gt;"",MATCH(DS46,INDIRECT("数出表_Excel!B"&amp;MATCH(INDIRECT(""&amp;DW43&amp;ROW()-43&amp;""),数出表_Excel!$A:$A,0)-1&amp;":U"&amp;MATCH(INDIRECT(""&amp;DW43&amp;ROW()-43&amp;""),数出表_Excel!$A:$A,0)-1&amp;""),0)+1,""),
IF(DS46&lt;&gt;"",
MATCH(
IFERROR(
INDEX(INDIRECT("数出表_Excel!"&amp;DR43&amp;MATCH(INDIRECT(""&amp;DW43&amp;ROW()-43&amp;""),数出表_Excel!$A:$A,0)-1&amp;":U"&amp;MATCH(INDIRECT(""&amp;DW43&amp;ROW()-43&amp;""),数出表_Excel!$A:$A,0)-1&amp;""),
 1,
 MATCH(TRUE, ISNUMBER(--INDIRECT("数出表_Excel!"&amp;DR43&amp;MATCH(INDIRECT(""&amp;DW43&amp;ROW()-43&amp;""),数出表_Excel!$A:$A,0)-1&amp;":U"&amp;MATCH(INDIRECT(""&amp;DW43&amp;ROW()-43&amp;""),数出表_Excel!$A:$A,0)-1&amp;"")), 0)),
 ""),
INDIRECT("数出表_Excel!B"&amp;MATCH(INDIRECT(""&amp;DW43&amp;ROW()-43&amp;""),数出表_Excel!$A:$A,0)-1&amp;":U"&amp;MATCH(INDIRECT(""&amp;DW43&amp;ROW()-43&amp;""),数出表_Excel!$A:$A,0)-1&amp;""),0)+1,""))</f>
        <v>#VALUE!</v>
      </c>
      <c r="DS44" s="58" t="str" cm="1">
        <f t="array" aca="1" ref="DS44" ca="1">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</f>
        <v/>
      </c>
      <c r="DT44" s="76"/>
      <c r="DU44" s="82" t="str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+MATCH(TRUE,INDIRECT("'数出表_Excel'!"&amp;DR43&amp;MATCH(DW1,数出表_Excel!$A:$A,0)-1&amp;":AL"&amp;MATCH(DW1,数出表_Excel!$A:$A,0)-1&amp;"")&lt;&gt;"",0))&gt;12,"",
IFERROR(
INDEX(INDIRECT("数出表_Excel!$"&amp;DR43&amp;"4:$AL4"),
 1,
MATCH(TRUE,INDIRECT("'数出表_Excel'!"&amp;DR43&amp;MATCH(DW1,数出表_Excel!$A:$A,0)-1&amp;":AL"&amp;MATCH(DW1,数出表_Excel!$A:$A,0)-1&amp;"")&lt;&gt;"",0)
),
 "")
&amp;IFERROR(
INDEX(INDIRECT("数出表_Excel!$"&amp;DR43&amp;"5:$AL5"),
 1,
MATCH(TRUE,INDIRECT("'数出表_Excel'!"&amp;DR43&amp;MATCH(DW1,数出表_Excel!$A:$A,0)-1&amp;":AL"&amp;MATCH(DW1,数出表_Excel!$A:$A,0)-1&amp;"")&lt;&gt;"",0)),
 "")),"")))</f>
        <v/>
      </c>
      <c r="DV44" s="83" t="str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92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76"/>
      <c r="DY44" s="81" t="e" cm="1">
        <f t="array" aca="1" ref="DY44" ca="1">IF(INDIRECT(""&amp;SUBSTITUTE(ADDRESS(1,
COLUMN(),1),"1","")&amp;ROW()-41&amp;"")&lt;&gt;100,
IF(DZ46&lt;&gt;"",MATCH(DZ46,INDIRECT("数出表_Excel!B"&amp;MATCH(INDIRECT(""&amp;ED43&amp;ROW()-43&amp;""),数出表_Excel!$A:$A,0)-1&amp;":U"&amp;MATCH(INDIRECT(""&amp;ED43&amp;ROW()-43&amp;""),数出表_Excel!$A:$A,0)-1&amp;""),0)+1,""),
IF(DZ46&lt;&gt;"",
MATCH(
IFERROR(
INDEX(INDIRECT("数出表_Excel!"&amp;DY43&amp;MATCH(INDIRECT(""&amp;ED43&amp;ROW()-43&amp;""),数出表_Excel!$A:$A,0)-1&amp;":U"&amp;MATCH(INDIRECT(""&amp;ED43&amp;ROW()-43&amp;""),数出表_Excel!$A:$A,0)-1&amp;""),
 1,
 MATCH(TRUE, ISNUMBER(--INDIRECT("数出表_Excel!"&amp;DY43&amp;MATCH(INDIRECT(""&amp;ED43&amp;ROW()-43&amp;""),数出表_Excel!$A:$A,0)-1&amp;":U"&amp;MATCH(INDIRECT(""&amp;ED43&amp;ROW()-43&amp;""),数出表_Excel!$A:$A,0)-1&amp;"")), 0)),
 ""),
INDIRECT("数出表_Excel!B"&amp;MATCH(INDIRECT(""&amp;ED43&amp;ROW()-43&amp;""),数出表_Excel!$A:$A,0)-1&amp;":U"&amp;MATCH(INDIRECT(""&amp;ED43&amp;ROW()-43&amp;""),数出表_Excel!$A:$A,0)-1&amp;""),0)+1,""))</f>
        <v>#VALUE!</v>
      </c>
      <c r="DZ44" s="58" t="str" cm="1">
        <f t="array" aca="1" ref="DZ44" ca="1">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</f>
        <v/>
      </c>
      <c r="EA44" s="76"/>
      <c r="EB44" s="82" t="str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+MATCH(TRUE,INDIRECT("'数出表_Excel'!"&amp;DY43&amp;MATCH(ED1,数出表_Excel!$A:$A,0)-1&amp;":AL"&amp;MATCH(ED1,数出表_Excel!$A:$A,0)-1&amp;"")&lt;&gt;"",0))&gt;12,"",
IFERROR(
INDEX(INDIRECT("数出表_Excel!$"&amp;DY43&amp;"4:$AL4"),
 1,
MATCH(TRUE,INDIRECT("'数出表_Excel'!"&amp;DY43&amp;MATCH(ED1,数出表_Excel!$A:$A,0)-1&amp;":AL"&amp;MATCH(ED1,数出表_Excel!$A:$A,0)-1&amp;"")&lt;&gt;"",0)
),
 "")
&amp;IFERROR(
INDEX(INDIRECT("数出表_Excel!$"&amp;DY43&amp;"5:$AL5"),
 1,
MATCH(TRUE,INDIRECT("'数出表_Excel'!"&amp;DY43&amp;MATCH(ED1,数出表_Excel!$A:$A,0)-1&amp;":AL"&amp;MATCH(ED1,数出表_Excel!$A:$A,0)-1&amp;"")&lt;&gt;"",0)),
 "")),"")))</f>
        <v/>
      </c>
      <c r="EC44" s="83" t="str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92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76"/>
      <c r="EF44" s="76"/>
      <c r="EG44" s="81" t="e" cm="1">
        <f t="array" aca="1" ref="EG44" ca="1">IF(INDIRECT(""&amp;SUBSTITUTE(ADDRESS(1,
COLUMN(),1),"1","")&amp;ROW()-41&amp;"")&lt;&gt;100,
IF(EH46&lt;&gt;"",MATCH(EH46,INDIRECT("数出表_Excel!B"&amp;MATCH(INDIRECT(""&amp;EL43&amp;ROW()-43&amp;""),数出表_Excel!$A:$A,0)-1&amp;":U"&amp;MATCH(INDIRECT(""&amp;EL43&amp;ROW()-43&amp;""),数出表_Excel!$A:$A,0)-1&amp;""),0)+1,""),
IF(EH46&lt;&gt;"",
MATCH(
IFERROR(
INDEX(INDIRECT("数出表_Excel!"&amp;EG43&amp;MATCH(INDIRECT(""&amp;EL43&amp;ROW()-43&amp;""),数出表_Excel!$A:$A,0)-1&amp;":U"&amp;MATCH(INDIRECT(""&amp;EL43&amp;ROW()-43&amp;""),数出表_Excel!$A:$A,0)-1&amp;""),
 1,
 MATCH(TRUE, ISNUMBER(--INDIRECT("数出表_Excel!"&amp;EG43&amp;MATCH(INDIRECT(""&amp;EL43&amp;ROW()-43&amp;""),数出表_Excel!$A:$A,0)-1&amp;":U"&amp;MATCH(INDIRECT(""&amp;EL43&amp;ROW()-43&amp;""),数出表_Excel!$A:$A,0)-1&amp;"")), 0)),
 ""),
INDIRECT("数出表_Excel!B"&amp;MATCH(INDIRECT(""&amp;EL43&amp;ROW()-43&amp;""),数出表_Excel!$A:$A,0)-1&amp;":U"&amp;MATCH(INDIRECT(""&amp;EL43&amp;ROW()-43&amp;""),数出表_Excel!$A:$A,0)-1&amp;""),0)+1,""))</f>
        <v>#VALUE!</v>
      </c>
      <c r="EH44" s="58" t="str" cm="1">
        <f t="array" aca="1" ref="EH44" ca="1">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</f>
        <v/>
      </c>
      <c r="EI44" s="76"/>
      <c r="EJ44" s="82" t="str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+MATCH(TRUE,INDIRECT("'数出表_Excel'!"&amp;EG43&amp;MATCH(EL1,数出表_Excel!$A:$A,0)-1&amp;":AL"&amp;MATCH(EL1,数出表_Excel!$A:$A,0)-1&amp;"")&lt;&gt;"",0))&gt;12,"",
IFERROR(
INDEX(INDIRECT("数出表_Excel!$"&amp;EG43&amp;"4:$AL4"),
 1,
MATCH(TRUE,INDIRECT("'数出表_Excel'!"&amp;EG43&amp;MATCH(EL1,数出表_Excel!$A:$A,0)-1&amp;":AL"&amp;MATCH(EL1,数出表_Excel!$A:$A,0)-1&amp;"")&lt;&gt;"",0)
),
 "")
&amp;IFERROR(
INDEX(INDIRECT("数出表_Excel!$"&amp;EG43&amp;"5:$AL5"),
 1,
MATCH(TRUE,INDIRECT("'数出表_Excel'!"&amp;EG43&amp;MATCH(EL1,数出表_Excel!$A:$A,0)-1&amp;":AL"&amp;MATCH(EL1,数出表_Excel!$A:$A,0)-1&amp;"")&lt;&gt;"",0)),
 "")),"")))</f>
        <v/>
      </c>
      <c r="EK44" s="83" t="str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92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76"/>
      <c r="EN44" s="81" t="e" cm="1">
        <f t="array" aca="1" ref="EN44" ca="1">IF(INDIRECT(""&amp;SUBSTITUTE(ADDRESS(1,
COLUMN(),1),"1","")&amp;ROW()-41&amp;"")&lt;&gt;100,
IF(EO46&lt;&gt;"",MATCH(EO46,INDIRECT("数出表_Excel!B"&amp;MATCH(INDIRECT(""&amp;ES43&amp;ROW()-43&amp;""),数出表_Excel!$A:$A,0)-1&amp;":U"&amp;MATCH(INDIRECT(""&amp;ES43&amp;ROW()-43&amp;""),数出表_Excel!$A:$A,0)-1&amp;""),0)+1,""),
IF(EO46&lt;&gt;"",
MATCH(
IFERROR(
INDEX(INDIRECT("数出表_Excel!"&amp;EN43&amp;MATCH(INDIRECT(""&amp;ES43&amp;ROW()-43&amp;""),数出表_Excel!$A:$A,0)-1&amp;":U"&amp;MATCH(INDIRECT(""&amp;ES43&amp;ROW()-43&amp;""),数出表_Excel!$A:$A,0)-1&amp;""),
 1,
 MATCH(TRUE, ISNUMBER(--INDIRECT("数出表_Excel!"&amp;EN43&amp;MATCH(INDIRECT(""&amp;ES43&amp;ROW()-43&amp;""),数出表_Excel!$A:$A,0)-1&amp;":U"&amp;MATCH(INDIRECT(""&amp;ES43&amp;ROW()-43&amp;""),数出表_Excel!$A:$A,0)-1&amp;"")), 0)),
 ""),
INDIRECT("数出表_Excel!B"&amp;MATCH(INDIRECT(""&amp;ES43&amp;ROW()-43&amp;""),数出表_Excel!$A:$A,0)-1&amp;":U"&amp;MATCH(INDIRECT(""&amp;ES43&amp;ROW()-43&amp;""),数出表_Excel!$A:$A,0)-1&amp;""),0)+1,""))</f>
        <v>#VALUE!</v>
      </c>
      <c r="EO44" s="58" t="str" cm="1">
        <f t="array" aca="1" ref="EO44" ca="1">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</f>
        <v/>
      </c>
      <c r="EP44" s="76"/>
      <c r="EQ44" s="82" t="str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+MATCH(TRUE,INDIRECT("'数出表_Excel'!"&amp;EN43&amp;MATCH(ES1,数出表_Excel!$A:$A,0)-1&amp;":AL"&amp;MATCH(ES1,数出表_Excel!$A:$A,0)-1&amp;"")&lt;&gt;"",0))&gt;12,"",
IFERROR(
INDEX(INDIRECT("数出表_Excel!$"&amp;EN43&amp;"4:$AL4"),
 1,
MATCH(TRUE,INDIRECT("'数出表_Excel'!"&amp;EN43&amp;MATCH(ES1,数出表_Excel!$A:$A,0)-1&amp;":AL"&amp;MATCH(ES1,数出表_Excel!$A:$A,0)-1&amp;"")&lt;&gt;"",0)
),
 "")
&amp;IFERROR(
INDEX(INDIRECT("数出表_Excel!$"&amp;EN43&amp;"5:$AL5"),
 1,
MATCH(TRUE,INDIRECT("'数出表_Excel'!"&amp;EN43&amp;MATCH(ES1,数出表_Excel!$A:$A,0)-1&amp;":AL"&amp;MATCH(ES1,数出表_Excel!$A:$A,0)-1&amp;"")&lt;&gt;"",0)),
 "")),"")))</f>
        <v/>
      </c>
      <c r="ER44" s="83" t="str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92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07"/>
      <c r="EU44" s="78">
        <f>EU38+7</f>
        <v>49</v>
      </c>
      <c r="EV44" s="78" t="str">
        <f t="array" aca="1" ref="EV44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LEN(SUBSTITUTE(_xlfn.FORMULATEXT(EV$37),"=","")))+$EU44)</f>
        <v/>
      </c>
      <c r="EW44" s="78" t="str">
        <f t="array" aca="1" ref="EW44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LEN(SUBSTITUTE(_xlfn.FORMULATEXT(EW$37),"=","")))+$EU44)</f>
        <v/>
      </c>
      <c r="EX44" s="78" t="str">
        <f t="array" aca="1" ref="EX44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LEN(SUBSTITUTE(_xlfn.FORMULATEXT(EX$37),"=","")))+$EU44)</f>
        <v/>
      </c>
      <c r="EY44" s="78" t="str">
        <f t="array" aca="1" ref="EY44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LEN(SUBSTITUTE(_xlfn.FORMULATEXT(EY$37),"=","")))+$EU44)</f>
        <v/>
      </c>
      <c r="EZ44" s="78" t="str">
        <f t="array" aca="1" ref="EZ44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LEN(SUBSTITUTE(_xlfn.FORMULATEXT(EZ$37),"=","")))+$EU44)</f>
        <v/>
      </c>
      <c r="FA44" s="78" t="str">
        <f t="array" aca="1" ref="FA44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LEN(SUBSTITUTE(_xlfn.FORMULATEXT(FA$37),"=","")))+$EU44)</f>
        <v/>
      </c>
      <c r="FB44" s="78" t="str">
        <f t="array" aca="1" ref="FB44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LEN(SUBSTITUTE(_xlfn.FORMULATEXT(FB$37),"=","")))+$EU44)</f>
        <v/>
      </c>
      <c r="FC44" s="78" t="str">
        <f t="array" aca="1" ref="FC44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LEN(SUBSTITUTE(_xlfn.FORMULATEXT(FC$37),"=","")))+$EU44)</f>
        <v/>
      </c>
      <c r="FD44" s="78" t="str">
        <f t="array" aca="1" ref="FD44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LEN(SUBSTITUTE(_xlfn.FORMULATEXT(FD$37),"=","")))+$EU44)</f>
        <v/>
      </c>
      <c r="FE44" s="78" t="str">
        <f t="array" aca="1" ref="FE44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LEN(SUBSTITUTE(_xlfn.FORMULATEXT(FE$37),"=","")))+$EU44)</f>
        <v/>
      </c>
      <c r="FF44" s="78" t="str">
        <f t="array" aca="1" ref="FF44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LEN(SUBSTITUTE(_xlfn.FORMULATEXT(FF$37),"=","")))+$EU44)</f>
        <v/>
      </c>
      <c r="FG44" s="78">
        <f t="shared" ca="1" si="2"/>
        <v>0</v>
      </c>
      <c r="FH44" s="78" t="b">
        <f t="array" aca="1" ref="FH44" ca="1">SUMPRODUCT((LEN(EV44:FF44)&gt;0)*1)&gt;0</f>
        <v>0</v>
      </c>
      <c r="FI44" s="78" t="str">
        <f t="array" aca="1" ref="FI44" ca="1">IFERROR(SMALL(IF(FG$1:FG$228&lt;&gt;0,FG$1:FG$228),ROW(A44)),"")</f>
        <v/>
      </c>
      <c r="FJ44" s="78" t="str">
        <f t="array" aca="1" ref="FJ44" ca="1">IF($FI44&lt;&gt;"",
INDIRECT(""&amp;IF(COLUMN(EV65)&lt;=26,CHAR(COLUMN(EV65)+64),CHAR(INT((COLUMN(EV65)-1)/26)+64)&amp;CHAR(MOD(COLUMN(EV65)-1,26)+65))&amp;$FI44&amp;""),"")</f>
        <v/>
      </c>
      <c r="FK44" s="78" t="str">
        <f t="array" aca="1" ref="FK44" ca="1">IF($FI44&lt;&gt;"",
INDIRECT(""&amp;IF(COLUMN(EW65)&lt;=26,CHAR(COLUMN(EW65)+64),CHAR(INT((COLUMN(EW65)-1)/26)+64)&amp;CHAR(MOD(COLUMN(EW65)-1,26)+65))&amp;$FI44&amp;""),"")</f>
        <v/>
      </c>
      <c r="FL44" s="78" t="str">
        <f t="array" aca="1" ref="FL44" ca="1">IF($FI44&lt;&gt;"",
INDIRECT(""&amp;IF(COLUMN(EX65)&lt;=26,CHAR(COLUMN(EX65)+64),CHAR(INT((COLUMN(EX65)-1)/26)+64)&amp;CHAR(MOD(COLUMN(EX65)-1,26)+65))&amp;$FI44&amp;""),"")</f>
        <v/>
      </c>
      <c r="FM44" s="78" t="str">
        <f t="array" aca="1" ref="FM44" ca="1">IF($FI44&lt;&gt;"",
IF(FL44="",
IF(INDIRECT("EY"&amp;$FI44&amp;"")&lt;&gt;"",
INDIRECT("EY"&amp;$FI44&amp;"")&amp;"箱"
&amp;INDIRECT("EZ"&amp;$FI44&amp;""),""),""),"")</f>
        <v/>
      </c>
      <c r="FN44" s="78" t="str">
        <f t="array" aca="1" ref="FN44" ca="1">IF($FI44&lt;&gt;"",
INDIRECT(""&amp;IF(COLUMN(FA65)&lt;=26,CHAR(COLUMN(FA65)+64),CHAR(INT((COLUMN(FA65)-1)/26)+64)&amp;CHAR(MOD(COLUMN(FA65)-1,26)+65))&amp;$FI44&amp;""),"")</f>
        <v/>
      </c>
      <c r="FO44" s="78" t="str">
        <f t="array" aca="1" ref="FO44" ca="1">IF($FI44&lt;&gt;"",
INDIRECT(""&amp;IF(COLUMN(FB65)&lt;=26,CHAR(COLUMN(FB65)+64),CHAR(INT((COLUMN(FB65)-1)/26)+64)&amp;CHAR(MOD(COLUMN(FB65)-1,26)+65))&amp;$FI44&amp;""),"")</f>
        <v/>
      </c>
      <c r="FP44" s="78" t="str">
        <f t="array" aca="1" ref="FP44" ca="1">IF($FI44&lt;&gt;"",
INDIRECT(""&amp;IF(COLUMN(FC65)&lt;=26,CHAR(COLUMN(FC65)+64),CHAR(INT((COLUMN(FC65)-1)/26)+64)&amp;CHAR(MOD(COLUMN(FC65)-1,26)+65))&amp;$FI44&amp;""),"")</f>
        <v/>
      </c>
      <c r="FQ44" s="78" t="str">
        <f t="array" aca="1" ref="FQ44" ca="1">IF($FI44&lt;&gt;"",
INDIRECT(""&amp;IF(COLUMN(FD65)&lt;=26,CHAR(COLUMN(FD65)+64),CHAR(INT((COLUMN(FD65)-1)/26)+64)&amp;CHAR(MOD(COLUMN(FD65)-1,26)+65))&amp;$FI44&amp;""),"")</f>
        <v/>
      </c>
      <c r="FR44" s="78" t="str">
        <f t="array" aca="1" ref="FR44" ca="1">IF($FI44&lt;&gt;"",
INDIRECT(""&amp;IF(COLUMN(FE65)&lt;=26,CHAR(COLUMN(FE65)+64),CHAR(INT((COLUMN(FE65)-1)/26)+64)&amp;CHAR(MOD(COLUMN(FE65)-1,26)+65))&amp;$FI44&amp;""),"")</f>
        <v/>
      </c>
      <c r="FS44" s="78" t="str">
        <f t="array" aca="1" ref="FS44" ca="1">IF($FI44&lt;&gt;"",
INDIRECT(""&amp;IF(COLUMN(FF65)&lt;=26,CHAR(COLUMN(FF65)+64),CHAR(INT((COLUMN(FF65)-1)/26)+64)&amp;CHAR(MOD(COLUMN(FF65)-1,26)+65))&amp;$FI44&amp;""),"")</f>
        <v/>
      </c>
    </row>
    <row r="45" spans="1:175" s="78" customFormat="1" ht="22.2" customHeight="1" x14ac:dyDescent="0.55000000000000004">
      <c r="A45" s="76"/>
      <c r="B45" s="84" t="str" cm="1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249" t="str">
        <f ca="1">IF(C46&lt;&gt;"","園児","")</f>
        <v/>
      </c>
      <c r="D45" s="249"/>
      <c r="E45" s="251" t="str">
        <f ca="1">IF(C46&lt;&gt;"","先生","")</f>
        <v/>
      </c>
      <c r="F45" s="251"/>
      <c r="G45" s="97" cm="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76"/>
      <c r="I45" s="84" t="str" cm="1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249" t="str">
        <f ca="1">IF(J46&lt;&gt;"","園児","")</f>
        <v/>
      </c>
      <c r="K45" s="249"/>
      <c r="L45" s="251" t="str">
        <f ca="1">IF(J46&lt;&gt;"","先生","")</f>
        <v/>
      </c>
      <c r="M45" s="251"/>
      <c r="N45" s="97" cm="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76"/>
      <c r="P45" s="76"/>
      <c r="Q45" s="84" t="str" cm="1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249" t="str">
        <f ca="1">IF(R46&lt;&gt;"","園児","")</f>
        <v/>
      </c>
      <c r="S45" s="249"/>
      <c r="T45" s="251" t="str">
        <f ca="1">IF(R46&lt;&gt;"","先生","")</f>
        <v/>
      </c>
      <c r="U45" s="251"/>
      <c r="V45" s="97" cm="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76"/>
      <c r="X45" s="84" t="str" cm="1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249" t="str">
        <f ca="1">IF(Y46&lt;&gt;"","園児","")</f>
        <v/>
      </c>
      <c r="Z45" s="249"/>
      <c r="AA45" s="251" t="str">
        <f ca="1">IF(Y46&lt;&gt;"","先生","")</f>
        <v/>
      </c>
      <c r="AB45" s="251"/>
      <c r="AC45" s="97" cm="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76"/>
      <c r="AE45" s="76"/>
      <c r="AF45" s="84" t="str" cm="1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249" t="str">
        <f ca="1">IF(AG46&lt;&gt;"","園児","")</f>
        <v/>
      </c>
      <c r="AH45" s="249"/>
      <c r="AI45" s="251" t="str">
        <f ca="1">IF(AG46&lt;&gt;"","先生","")</f>
        <v/>
      </c>
      <c r="AJ45" s="251"/>
      <c r="AK45" s="97" cm="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76"/>
      <c r="AM45" s="84" t="str" cm="1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249" t="str">
        <f ca="1">IF(AN46&lt;&gt;"","園児","")</f>
        <v/>
      </c>
      <c r="AO45" s="249"/>
      <c r="AP45" s="251" t="str">
        <f ca="1">IF(AN46&lt;&gt;"","先生","")</f>
        <v/>
      </c>
      <c r="AQ45" s="251"/>
      <c r="AR45" s="97" cm="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76"/>
      <c r="AT45" s="76"/>
      <c r="AU45" s="84" t="str" cm="1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249" t="str">
        <f ca="1">IF(AV46&lt;&gt;"","園児","")</f>
        <v/>
      </c>
      <c r="AW45" s="249"/>
      <c r="AX45" s="251" t="str">
        <f ca="1">IF(AV46&lt;&gt;"","先生","")</f>
        <v/>
      </c>
      <c r="AY45" s="251"/>
      <c r="AZ45" s="97" cm="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76"/>
      <c r="BB45" s="84" t="str" cm="1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249" t="str">
        <f ca="1">IF(BC46&lt;&gt;"","園児","")</f>
        <v/>
      </c>
      <c r="BD45" s="249"/>
      <c r="BE45" s="251" t="str">
        <f ca="1">IF(BC46&lt;&gt;"","先生","")</f>
        <v/>
      </c>
      <c r="BF45" s="251"/>
      <c r="BG45" s="97" cm="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76"/>
      <c r="BI45" s="76"/>
      <c r="BJ45" s="84" t="str" cm="1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249" t="str">
        <f ca="1">IF(BK46&lt;&gt;"","園児","")</f>
        <v/>
      </c>
      <c r="BL45" s="249"/>
      <c r="BM45" s="251" t="str">
        <f ca="1">IF(BK46&lt;&gt;"","先生","")</f>
        <v/>
      </c>
      <c r="BN45" s="251"/>
      <c r="BO45" s="97" cm="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76"/>
      <c r="BQ45" s="84" t="str" cm="1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249" t="str">
        <f ca="1">IF(BR46&lt;&gt;"","園児","")</f>
        <v/>
      </c>
      <c r="BS45" s="249"/>
      <c r="BT45" s="251" t="str">
        <f ca="1">IF(BR46&lt;&gt;"","先生","")</f>
        <v/>
      </c>
      <c r="BU45" s="251"/>
      <c r="BV45" s="97" cm="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76"/>
      <c r="BX45" s="76"/>
      <c r="BY45" s="84" t="str" cm="1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249" t="str">
        <f ca="1">IF(BZ46&lt;&gt;"","園児","")</f>
        <v/>
      </c>
      <c r="CA45" s="249"/>
      <c r="CB45" s="251" t="str">
        <f ca="1">IF(BZ46&lt;&gt;"","先生","")</f>
        <v/>
      </c>
      <c r="CC45" s="251"/>
      <c r="CD45" s="97" cm="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76"/>
      <c r="CF45" s="84" t="str" cm="1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249" t="str">
        <f ca="1">IF(CG46&lt;&gt;"","園児","")</f>
        <v/>
      </c>
      <c r="CH45" s="249"/>
      <c r="CI45" s="251" t="str">
        <f ca="1">IF(CG46&lt;&gt;"","先生","")</f>
        <v/>
      </c>
      <c r="CJ45" s="251"/>
      <c r="CK45" s="97" cm="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76"/>
      <c r="CM45" s="76"/>
      <c r="CN45" s="84" t="str" cm="1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249" t="str">
        <f ca="1">IF(CO46&lt;&gt;"","園児","")</f>
        <v/>
      </c>
      <c r="CP45" s="249"/>
      <c r="CQ45" s="251" t="str">
        <f ca="1">IF(CO46&lt;&gt;"","先生","")</f>
        <v/>
      </c>
      <c r="CR45" s="251"/>
      <c r="CS45" s="97" cm="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76"/>
      <c r="CU45" s="84" t="str" cm="1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249" t="str">
        <f ca="1">IF(CV46&lt;&gt;"","園児","")</f>
        <v/>
      </c>
      <c r="CW45" s="249"/>
      <c r="CX45" s="251" t="str">
        <f ca="1">IF(CV46&lt;&gt;"","先生","")</f>
        <v/>
      </c>
      <c r="CY45" s="251"/>
      <c r="CZ45" s="97" cm="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76"/>
      <c r="DB45" s="76"/>
      <c r="DC45" s="84" t="str" cm="1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249" t="str">
        <f ca="1">IF(DD46&lt;&gt;"","園児","")</f>
        <v/>
      </c>
      <c r="DE45" s="249"/>
      <c r="DF45" s="251" t="str">
        <f ca="1">IF(DD46&lt;&gt;"","先生","")</f>
        <v/>
      </c>
      <c r="DG45" s="251"/>
      <c r="DH45" s="97" cm="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76"/>
      <c r="DJ45" s="84" t="str" cm="1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249" t="str">
        <f ca="1">IF(DK46&lt;&gt;"","園児","")</f>
        <v/>
      </c>
      <c r="DL45" s="249"/>
      <c r="DM45" s="251" t="str">
        <f ca="1">IF(DK46&lt;&gt;"","先生","")</f>
        <v/>
      </c>
      <c r="DN45" s="251"/>
      <c r="DO45" s="97" cm="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76"/>
      <c r="DQ45" s="76"/>
      <c r="DR45" s="84" t="str" cm="1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249" t="str">
        <f ca="1">IF(DS46&lt;&gt;"","園児","")</f>
        <v/>
      </c>
      <c r="DT45" s="249"/>
      <c r="DU45" s="251" t="str">
        <f ca="1">IF(DS46&lt;&gt;"","先生","")</f>
        <v/>
      </c>
      <c r="DV45" s="251"/>
      <c r="DW45" s="97" cm="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76"/>
      <c r="DY45" s="84" t="str" cm="1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249" t="str">
        <f ca="1">IF(DZ46&lt;&gt;"","園児","")</f>
        <v/>
      </c>
      <c r="EA45" s="249"/>
      <c r="EB45" s="251" t="str">
        <f ca="1">IF(DZ46&lt;&gt;"","先生","")</f>
        <v/>
      </c>
      <c r="EC45" s="251"/>
      <c r="ED45" s="97" cm="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76"/>
      <c r="EF45" s="76"/>
      <c r="EG45" s="84" t="str" cm="1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249" t="str">
        <f ca="1">IF(EH46&lt;&gt;"","園児","")</f>
        <v/>
      </c>
      <c r="EI45" s="249"/>
      <c r="EJ45" s="251" t="str">
        <f ca="1">IF(EH46&lt;&gt;"","先生","")</f>
        <v/>
      </c>
      <c r="EK45" s="251"/>
      <c r="EL45" s="97" cm="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76"/>
      <c r="EN45" s="84" t="str" cm="1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249" t="str">
        <f ca="1">IF(EO46&lt;&gt;"","園児","")</f>
        <v/>
      </c>
      <c r="EP45" s="249"/>
      <c r="EQ45" s="251" t="str">
        <f ca="1">IF(EO46&lt;&gt;"","先生","")</f>
        <v/>
      </c>
      <c r="ER45" s="251"/>
      <c r="ES45" s="97" cm="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06"/>
      <c r="EU45" s="78">
        <f>EU39+7</f>
        <v>91</v>
      </c>
      <c r="EV45" s="78" t="str">
        <f t="array" aca="1" ref="EV45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LEN(SUBSTITUTE(_xlfn.FORMULATEXT(EV$37),"=","")))+$EU45)</f>
        <v/>
      </c>
      <c r="EW45" s="78" t="str">
        <f t="array" aca="1" ref="EW45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LEN(SUBSTITUTE(_xlfn.FORMULATEXT(EW$37),"=","")))+$EU45)</f>
        <v/>
      </c>
      <c r="EX45" s="78" t="str">
        <f t="array" aca="1" ref="EX45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LEN(SUBSTITUTE(_xlfn.FORMULATEXT(EX$37),"=","")))+$EU45)</f>
        <v/>
      </c>
      <c r="EY45" s="78" t="str">
        <f t="array" aca="1" ref="EY45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LEN(SUBSTITUTE(_xlfn.FORMULATEXT(EY$37),"=","")))+$EU45)</f>
        <v/>
      </c>
      <c r="EZ45" s="78" t="str">
        <f t="array" aca="1" ref="EZ45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LEN(SUBSTITUTE(_xlfn.FORMULATEXT(EZ$37),"=","")))+$EU45)</f>
        <v/>
      </c>
      <c r="FA45" s="78" t="str">
        <f t="array" aca="1" ref="FA45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LEN(SUBSTITUTE(_xlfn.FORMULATEXT(FA$37),"=","")))+$EU45)</f>
        <v/>
      </c>
      <c r="FB45" s="78" t="str">
        <f t="array" aca="1" ref="FB45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LEN(SUBSTITUTE(_xlfn.FORMULATEXT(FB$37),"=","")))+$EU45)</f>
        <v/>
      </c>
      <c r="FC45" s="78" t="str">
        <f t="array" aca="1" ref="FC45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LEN(SUBSTITUTE(_xlfn.FORMULATEXT(FC$37),"=","")))+$EU45)</f>
        <v/>
      </c>
      <c r="FD45" s="78" t="str">
        <f t="array" aca="1" ref="FD45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LEN(SUBSTITUTE(_xlfn.FORMULATEXT(FD$37),"=","")))+$EU45)</f>
        <v/>
      </c>
      <c r="FE45" s="78" t="str">
        <f t="array" aca="1" ref="FE45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LEN(SUBSTITUTE(_xlfn.FORMULATEXT(FE$37),"=","")))+$EU45)</f>
        <v/>
      </c>
      <c r="FF45" s="78" t="str">
        <f t="array" aca="1" ref="FF45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LEN(SUBSTITUTE(_xlfn.FORMULATEXT(FF$37),"=","")))+$EU45)</f>
        <v/>
      </c>
      <c r="FG45" s="78">
        <f t="shared" ca="1" si="2"/>
        <v>0</v>
      </c>
      <c r="FH45" s="78" t="b">
        <f t="array" aca="1" ref="FH45" ca="1">SUMPRODUCT((LEN(EV45:FF45)&gt;0)*1)&gt;0</f>
        <v>0</v>
      </c>
      <c r="FI45" s="78" t="str">
        <f t="array" aca="1" ref="FI45" ca="1">IFERROR(SMALL(IF(FG$1:FG$228&lt;&gt;0,FG$1:FG$228),ROW(A45)),"")</f>
        <v/>
      </c>
      <c r="FJ45" s="78" t="str">
        <f t="array" aca="1" ref="FJ45" ca="1">IF($FI45&lt;&gt;"",
INDIRECT(""&amp;IF(COLUMN(EV67)&lt;=26,CHAR(COLUMN(EV67)+64),CHAR(INT((COLUMN(EV67)-1)/26)+64)&amp;CHAR(MOD(COLUMN(EV67)-1,26)+65))&amp;$FI45&amp;""),"")</f>
        <v/>
      </c>
      <c r="FK45" s="78" t="str">
        <f t="array" aca="1" ref="FK45" ca="1">IF($FI45&lt;&gt;"",
INDIRECT(""&amp;IF(COLUMN(EW67)&lt;=26,CHAR(COLUMN(EW67)+64),CHAR(INT((COLUMN(EW67)-1)/26)+64)&amp;CHAR(MOD(COLUMN(EW67)-1,26)+65))&amp;$FI45&amp;""),"")</f>
        <v/>
      </c>
      <c r="FL45" s="78" t="str">
        <f t="array" aca="1" ref="FL45" ca="1">IF($FI45&lt;&gt;"",
INDIRECT(""&amp;IF(COLUMN(EX67)&lt;=26,CHAR(COLUMN(EX67)+64),CHAR(INT((COLUMN(EX67)-1)/26)+64)&amp;CHAR(MOD(COLUMN(EX67)-1,26)+65))&amp;$FI45&amp;""),"")</f>
        <v/>
      </c>
      <c r="FM45" s="78" t="str">
        <f t="array" aca="1" ref="FM45" ca="1">IF($FI45&lt;&gt;"",
IF(FL45="",
IF(INDIRECT("EY"&amp;$FI45&amp;"")&lt;&gt;"",
INDIRECT("EY"&amp;$FI45&amp;"")&amp;"箱"
&amp;INDIRECT("EZ"&amp;$FI45&amp;""),""),""),"")</f>
        <v/>
      </c>
      <c r="FN45" s="78" t="str">
        <f t="array" aca="1" ref="FN45" ca="1">IF($FI45&lt;&gt;"",
INDIRECT(""&amp;IF(COLUMN(FA67)&lt;=26,CHAR(COLUMN(FA67)+64),CHAR(INT((COLUMN(FA67)-1)/26)+64)&amp;CHAR(MOD(COLUMN(FA67)-1,26)+65))&amp;$FI45&amp;""),"")</f>
        <v/>
      </c>
      <c r="FO45" s="78" t="str">
        <f t="array" aca="1" ref="FO45" ca="1">IF($FI45&lt;&gt;"",
INDIRECT(""&amp;IF(COLUMN(FB67)&lt;=26,CHAR(COLUMN(FB67)+64),CHAR(INT((COLUMN(FB67)-1)/26)+64)&amp;CHAR(MOD(COLUMN(FB67)-1,26)+65))&amp;$FI45&amp;""),"")</f>
        <v/>
      </c>
      <c r="FP45" s="78" t="str">
        <f t="array" aca="1" ref="FP45" ca="1">IF($FI45&lt;&gt;"",
INDIRECT(""&amp;IF(COLUMN(FC67)&lt;=26,CHAR(COLUMN(FC67)+64),CHAR(INT((COLUMN(FC67)-1)/26)+64)&amp;CHAR(MOD(COLUMN(FC67)-1,26)+65))&amp;$FI45&amp;""),"")</f>
        <v/>
      </c>
      <c r="FQ45" s="78" t="str">
        <f t="array" aca="1" ref="FQ45" ca="1">IF($FI45&lt;&gt;"",
INDIRECT(""&amp;IF(COLUMN(FD67)&lt;=26,CHAR(COLUMN(FD67)+64),CHAR(INT((COLUMN(FD67)-1)/26)+64)&amp;CHAR(MOD(COLUMN(FD67)-1,26)+65))&amp;$FI45&amp;""),"")</f>
        <v/>
      </c>
      <c r="FR45" s="78" t="str">
        <f t="array" aca="1" ref="FR45" ca="1">IF($FI45&lt;&gt;"",
INDIRECT(""&amp;IF(COLUMN(FE67)&lt;=26,CHAR(COLUMN(FE67)+64),CHAR(INT((COLUMN(FE67)-1)/26)+64)&amp;CHAR(MOD(COLUMN(FE67)-1,26)+65))&amp;$FI45&amp;""),"")</f>
        <v/>
      </c>
      <c r="FS45" s="78" t="str">
        <f t="array" aca="1" ref="FS45" ca="1">IF($FI45&lt;&gt;"",
INDIRECT(""&amp;IF(COLUMN(FF67)&lt;=26,CHAR(COLUMN(FF67)+64),CHAR(INT((COLUMN(FF67)-1)/26)+64)&amp;CHAR(MOD(COLUMN(FF67)-1,26)+65))&amp;$FI45&amp;""),"")</f>
        <v/>
      </c>
    </row>
    <row r="46" spans="1:175" ht="18" customHeight="1" x14ac:dyDescent="0.45">
      <c r="B46" s="86"/>
      <c r="C46" s="259" t="str" cm="1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259"/>
      <c r="E46" s="258" t="str" cm="1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58"/>
      <c r="G46" s="97" t="e" cm="1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INDEX(INDIRECT("'数出表_Excel（アレルギー入力）'!"&amp;B45&amp;MATCH(IG1,'数出表_Excel（アレルギー入力）'!$A:$A,0)+1&amp;":"&amp;G47&amp;MATCH(G1,'数出表_Excel（アレルギー入力）'!$A:$A,0)+1&amp;""),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86"/>
      <c r="J46" s="259" t="str" cm="1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259"/>
      <c r="L46" s="258" t="str" cm="1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58"/>
      <c r="N46" s="97" t="e" cm="1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INDEX(INDIRECT("'数出表_Excel（アレルギー入力）'!"&amp;I45&amp;MATCH(IN1,'数出表_Excel（アレルギー入力）'!$A:$A,0)+1&amp;":"&amp;N47&amp;MATCH(N1,'数出表_Excel（アレルギー入力）'!$A:$A,0)+1&amp;""),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Q46" s="86"/>
      <c r="R46" s="259" t="str" cm="1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59"/>
      <c r="T46" s="258" t="str" cm="1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58"/>
      <c r="V46" s="97" t="e" cm="1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INDEX(INDIRECT("'数出表_Excel（アレルギー入力）'!"&amp;Q45&amp;MATCH(IV1,'数出表_Excel（アレルギー入力）'!$A:$A,0)+1&amp;":"&amp;V47&amp;MATCH(V1,'数出表_Excel（アレルギー入力）'!$A:$A,0)+1&amp;""),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X46" s="86"/>
      <c r="Y46" s="259" t="str" cm="1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59"/>
      <c r="AA46" s="258" t="str" cm="1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58"/>
      <c r="AC46" s="97" t="e" cm="1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INDEX(INDIRECT("'数出表_Excel（アレルギー入力）'!"&amp;X45&amp;MATCH(JC1,'数出表_Excel（アレルギー入力）'!$A:$A,0)+1&amp;":"&amp;AC47&amp;MATCH(AC1,'数出表_Excel（アレルギー入力）'!$A:$A,0)+1&amp;""),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F46" s="86"/>
      <c r="AG46" s="259" t="str" cm="1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59"/>
      <c r="AI46" s="258" t="str" cm="1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58"/>
      <c r="AK46" s="97" t="e" cm="1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INDEX(INDIRECT("'数出表_Excel（アレルギー入力）'!"&amp;AF45&amp;MATCH(JK1,'数出表_Excel（アレルギー入力）'!$A:$A,0)+1&amp;":"&amp;AK47&amp;MATCH(AK1,'数出表_Excel（アレルギー入力）'!$A:$A,0)+1&amp;""),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M46" s="86"/>
      <c r="AN46" s="259" t="str" cm="1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59"/>
      <c r="AP46" s="258" t="str" cm="1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58"/>
      <c r="AR46" s="97" t="e" cm="1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INDEX(INDIRECT("'数出表_Excel（アレルギー入力）'!"&amp;AM45&amp;MATCH(JR1,'数出表_Excel（アレルギー入力）'!$A:$A,0)+1&amp;":"&amp;AR47&amp;MATCH(AR1,'数出表_Excel（アレルギー入力）'!$A:$A,0)+1&amp;""),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U46" s="86"/>
      <c r="AV46" s="259" t="str" cm="1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59"/>
      <c r="AX46" s="258" t="str" cm="1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58"/>
      <c r="AZ46" s="97" t="e" cm="1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INDEX(INDIRECT("'数出表_Excel（アレルギー入力）'!"&amp;AU45&amp;MATCH(JZ1,'数出表_Excel（アレルギー入力）'!$A:$A,0)+1&amp;":"&amp;AZ47&amp;MATCH(AZ1,'数出表_Excel（アレルギー入力）'!$A:$A,0)+1&amp;""),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B46" s="86"/>
      <c r="BC46" s="259" t="str" cm="1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59"/>
      <c r="BE46" s="258" t="str" cm="1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58"/>
      <c r="BG46" s="97" t="e" cm="1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INDEX(INDIRECT("'数出表_Excel（アレルギー入力）'!"&amp;BB45&amp;MATCH(KG1,'数出表_Excel（アレルギー入力）'!$A:$A,0)+1&amp;":"&amp;BG47&amp;MATCH(BG1,'数出表_Excel（アレルギー入力）'!$A:$A,0)+1&amp;""),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J46" s="86"/>
      <c r="BK46" s="259" t="str" cm="1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59"/>
      <c r="BM46" s="258" t="str" cm="1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58"/>
      <c r="BO46" s="97" t="e" cm="1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INDEX(INDIRECT("'数出表_Excel（アレルギー入力）'!"&amp;BJ45&amp;MATCH(KO1,'数出表_Excel（アレルギー入力）'!$A:$A,0)+1&amp;":"&amp;BO47&amp;MATCH(BO1,'数出表_Excel（アレルギー入力）'!$A:$A,0)+1&amp;""),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Q46" s="86"/>
      <c r="BR46" s="259" t="str" cm="1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59"/>
      <c r="BT46" s="258" t="str" cm="1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58"/>
      <c r="BV46" s="97" t="e" cm="1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INDEX(INDIRECT("'数出表_Excel（アレルギー入力）'!"&amp;BQ45&amp;MATCH(KV1,'数出表_Excel（アレルギー入力）'!$A:$A,0)+1&amp;":"&amp;BV47&amp;MATCH(BV1,'数出表_Excel（アレルギー入力）'!$A:$A,0)+1&amp;""),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Y46" s="86"/>
      <c r="BZ46" s="259" t="str" cm="1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59"/>
      <c r="CB46" s="258" t="str" cm="1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58"/>
      <c r="CD46" s="97" t="e" cm="1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INDEX(INDIRECT("'数出表_Excel（アレルギー入力）'!"&amp;BY45&amp;MATCH(LD1,'数出表_Excel（アレルギー入力）'!$A:$A,0)+1&amp;":"&amp;CD47&amp;MATCH(CD1,'数出表_Excel（アレルギー入力）'!$A:$A,0)+1&amp;""),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F46" s="86"/>
      <c r="CG46" s="259" t="str" cm="1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59"/>
      <c r="CI46" s="258" t="str" cm="1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58"/>
      <c r="CK46" s="97" t="e" cm="1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INDEX(INDIRECT("'数出表_Excel（アレルギー入力）'!"&amp;CF45&amp;MATCH(LK1,'数出表_Excel（アレルギー入力）'!$A:$A,0)+1&amp;":"&amp;CK47&amp;MATCH(CK1,'数出表_Excel（アレルギー入力）'!$A:$A,0)+1&amp;""),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N46" s="86"/>
      <c r="CO46" s="259" t="str" cm="1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59"/>
      <c r="CQ46" s="258" t="str" cm="1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58"/>
      <c r="CS46" s="97" t="e" cm="1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INDEX(INDIRECT("'数出表_Excel（アレルギー入力）'!"&amp;CN45&amp;MATCH(LS1,'数出表_Excel（アレルギー入力）'!$A:$A,0)+1&amp;":"&amp;CS47&amp;MATCH(CS1,'数出表_Excel（アレルギー入力）'!$A:$A,0)+1&amp;""),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U46" s="86"/>
      <c r="CV46" s="259" t="str" cm="1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59"/>
      <c r="CX46" s="258" t="str" cm="1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58"/>
      <c r="CZ46" s="97" t="e" cm="1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INDEX(INDIRECT("'数出表_Excel（アレルギー入力）'!"&amp;CU45&amp;MATCH(LZ1,'数出表_Excel（アレルギー入力）'!$A:$A,0)+1&amp;":"&amp;CZ47&amp;MATCH(CZ1,'数出表_Excel（アレルギー入力）'!$A:$A,0)+1&amp;""),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C46" s="86"/>
      <c r="DD46" s="259" t="str" cm="1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59"/>
      <c r="DF46" s="258" t="str" cm="1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58"/>
      <c r="DH46" s="97" t="e" cm="1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INDEX(INDIRECT("'数出表_Excel（アレルギー入力）'!"&amp;DC45&amp;MATCH(MH1,'数出表_Excel（アレルギー入力）'!$A:$A,0)+1&amp;":"&amp;DH47&amp;MATCH(DH1,'数出表_Excel（アレルギー入力）'!$A:$A,0)+1&amp;""),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J46" s="86"/>
      <c r="DK46" s="259" t="str" cm="1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59"/>
      <c r="DM46" s="258" t="str" cm="1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58"/>
      <c r="DO46" s="97" t="e" cm="1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INDEX(INDIRECT("'数出表_Excel（アレルギー入力）'!"&amp;DJ45&amp;MATCH(MO1,'数出表_Excel（アレルギー入力）'!$A:$A,0)+1&amp;":"&amp;DO47&amp;MATCH(DO1,'数出表_Excel（アレルギー入力）'!$A:$A,0)+1&amp;""),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R46" s="86"/>
      <c r="DS46" s="259" t="str" cm="1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59"/>
      <c r="DU46" s="258" t="str" cm="1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58"/>
      <c r="DW46" s="97" t="e" cm="1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INDEX(INDIRECT("'数出表_Excel（アレルギー入力）'!"&amp;DR45&amp;MATCH(MW1,'数出表_Excel（アレルギー入力）'!$A:$A,0)+1&amp;":"&amp;DW47&amp;MATCH(DW1,'数出表_Excel（アレルギー入力）'!$A:$A,0)+1&amp;""),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Y46" s="86"/>
      <c r="DZ46" s="259" t="str" cm="1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59"/>
      <c r="EB46" s="258" t="str" cm="1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58"/>
      <c r="ED46" s="97" t="e" cm="1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INDEX(INDIRECT("'数出表_Excel（アレルギー入力）'!"&amp;DY45&amp;MATCH(ND1,'数出表_Excel（アレルギー入力）'!$A:$A,0)+1&amp;":"&amp;ED47&amp;MATCH(ED1,'数出表_Excel（アレルギー入力）'!$A:$A,0)+1&amp;""),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G46" s="86"/>
      <c r="EH46" s="259" t="str" cm="1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259"/>
      <c r="EJ46" s="258" t="str" cm="1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58"/>
      <c r="EL46" s="97" t="e" cm="1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INDEX(INDIRECT("'数出表_Excel（アレルギー入力）'!"&amp;EG45&amp;MATCH(NL1,'数出表_Excel（アレルギー入力）'!$A:$A,0)+1&amp;":"&amp;EL47&amp;MATCH(EL1,'数出表_Excel（アレルギー入力）'!$A:$A,0)+1&amp;""),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N46" s="86"/>
      <c r="EO46" s="259" t="str" cm="1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259"/>
      <c r="EQ46" s="258" t="str" cm="1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58"/>
      <c r="ES46" s="97" t="e" cm="1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INDEX(INDIRECT("'数出表_Excel（アレルギー入力）'!"&amp;EN45&amp;MATCH(NS1,'数出表_Excel（アレルギー入力）'!$A:$A,0)+1&amp;":"&amp;ES47&amp;MATCH(ES1,'数出表_Excel（アレルギー入力）'!$A:$A,0)+1&amp;""),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06"/>
      <c r="EU46" s="78">
        <v>7</v>
      </c>
      <c r="EV46" s="78" t="str">
        <f t="array" aca="1" ref="EV46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LEN(SUBSTITUTE(_xlfn.FORMULATEXT(EV$40),"=","")))+$EU46)</f>
        <v/>
      </c>
      <c r="EW46" s="78" t="str">
        <f t="array" aca="1" ref="EW46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LEN(SUBSTITUTE(_xlfn.FORMULATEXT(EW$40),"=","")))+$EU46)</f>
        <v/>
      </c>
      <c r="EX46" s="78" t="str">
        <f t="array" aca="1" ref="EX46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LEN(SUBSTITUTE(_xlfn.FORMULATEXT(EX$40),"=","")))+$EU46)</f>
        <v/>
      </c>
      <c r="EY46" s="78" t="str">
        <f t="array" aca="1" ref="EY46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LEN(SUBSTITUTE(_xlfn.FORMULATEXT(EY$40),"=","")))+$EU46)</f>
        <v/>
      </c>
      <c r="EZ46" s="78" t="str">
        <f t="array" aca="1" ref="EZ46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LEN(SUBSTITUTE(_xlfn.FORMULATEXT(EZ$40),"=","")))+$EU46)</f>
        <v/>
      </c>
      <c r="FA46" s="78" t="e">
        <f t="array" aca="1" ref="FA46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LEN(SUBSTITUTE(_xlfn.FORMULATEXT(FA$40),"=","")))+$EU46)</f>
        <v>#VALUE!</v>
      </c>
      <c r="FB46" s="78" t="e">
        <f t="array" aca="1" ref="FB46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LEN(SUBSTITUTE(_xlfn.FORMULATEXT(FB$40),"=","")))+$EU46)</f>
        <v>#VALUE!</v>
      </c>
      <c r="FC46" s="78" t="str">
        <f t="array" aca="1" ref="FC46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LEN(SUBSTITUTE(_xlfn.FORMULATEXT(FC$40),"=","")))+$EU46)</f>
        <v/>
      </c>
      <c r="FD46" s="78" t="e">
        <f t="array" aca="1" ref="FD46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LEN(SUBSTITUTE(_xlfn.FORMULATEXT(FD$40),"=","")))+$EU46)</f>
        <v>#VALUE!</v>
      </c>
      <c r="FE46" s="78" t="str">
        <f t="array" aca="1" ref="FE46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LEN(SUBSTITUTE(_xlfn.FORMULATEXT(FE$40),"=","")))+$EU46)</f>
        <v/>
      </c>
      <c r="FF46" s="78" t="e">
        <f t="array" aca="1" ref="FF46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LEN(SUBSTITUTE(_xlfn.FORMULATEXT(FF$40),"=","")))+$EU46)</f>
        <v>#VALUE!</v>
      </c>
      <c r="FG46" s="78">
        <f t="shared" ca="1" si="2"/>
        <v>0</v>
      </c>
      <c r="FH46" s="78" t="e">
        <f t="array" aca="1" ref="FH46" ca="1">SUMPRODUCT((LEN(EV46:FF46)&gt;0)*1)&gt;0</f>
        <v>#VALUE!</v>
      </c>
      <c r="FI46" s="78" t="str">
        <f t="array" aca="1" ref="FI46" ca="1">IFERROR(SMALL(IF(FG$1:FG$228&lt;&gt;0,FG$1:FG$228),ROW(A46)),"")</f>
        <v/>
      </c>
      <c r="FJ46" s="78" t="str">
        <f t="array" aca="1" ref="FJ46" ca="1">IF($FI46&lt;&gt;"",
INDIRECT(""&amp;IF(COLUMN(EV68)&lt;=26,CHAR(COLUMN(EV68)+64),CHAR(INT((COLUMN(EV68)-1)/26)+64)&amp;CHAR(MOD(COLUMN(EV68)-1,26)+65))&amp;$FI46&amp;""),"")</f>
        <v/>
      </c>
      <c r="FK46" s="78" t="str">
        <f t="array" aca="1" ref="FK46" ca="1">IF($FI46&lt;&gt;"",
INDIRECT(""&amp;IF(COLUMN(EW68)&lt;=26,CHAR(COLUMN(EW68)+64),CHAR(INT((COLUMN(EW68)-1)/26)+64)&amp;CHAR(MOD(COLUMN(EW68)-1,26)+65))&amp;$FI46&amp;""),"")</f>
        <v/>
      </c>
      <c r="FL46" s="78" t="str">
        <f t="array" aca="1" ref="FL46" ca="1">IF($FI46&lt;&gt;"",
INDIRECT(""&amp;IF(COLUMN(EX68)&lt;=26,CHAR(COLUMN(EX68)+64),CHAR(INT((COLUMN(EX68)-1)/26)+64)&amp;CHAR(MOD(COLUMN(EX68)-1,26)+65))&amp;$FI46&amp;""),"")</f>
        <v/>
      </c>
      <c r="FM46" s="78" t="str">
        <f t="array" aca="1" ref="FM46" ca="1">IF($FI46&lt;&gt;"",
IF(FL46="",
IF(INDIRECT("EY"&amp;$FI46&amp;"")&lt;&gt;"",
INDIRECT("EY"&amp;$FI46&amp;"")&amp;"箱"
&amp;INDIRECT("EZ"&amp;$FI46&amp;""),""),""),"")</f>
        <v/>
      </c>
      <c r="FN46" s="78" t="str">
        <f t="array" aca="1" ref="FN46" ca="1">IF($FI46&lt;&gt;"",
INDIRECT(""&amp;IF(COLUMN(FA68)&lt;=26,CHAR(COLUMN(FA68)+64),CHAR(INT((COLUMN(FA68)-1)/26)+64)&amp;CHAR(MOD(COLUMN(FA68)-1,26)+65))&amp;$FI46&amp;""),"")</f>
        <v/>
      </c>
      <c r="FO46" s="78" t="str">
        <f t="array" aca="1" ref="FO46" ca="1">IF($FI46&lt;&gt;"",
INDIRECT(""&amp;IF(COLUMN(FB68)&lt;=26,CHAR(COLUMN(FB68)+64),CHAR(INT((COLUMN(FB68)-1)/26)+64)&amp;CHAR(MOD(COLUMN(FB68)-1,26)+65))&amp;$FI46&amp;""),"")</f>
        <v/>
      </c>
      <c r="FP46" s="78" t="str">
        <f t="array" aca="1" ref="FP46" ca="1">IF($FI46&lt;&gt;"",
INDIRECT(""&amp;IF(COLUMN(FC68)&lt;=26,CHAR(COLUMN(FC68)+64),CHAR(INT((COLUMN(FC68)-1)/26)+64)&amp;CHAR(MOD(COLUMN(FC68)-1,26)+65))&amp;$FI46&amp;""),"")</f>
        <v/>
      </c>
      <c r="FQ46" s="78" t="str">
        <f t="array" aca="1" ref="FQ46" ca="1">IF($FI46&lt;&gt;"",
INDIRECT(""&amp;IF(COLUMN(FD68)&lt;=26,CHAR(COLUMN(FD68)+64),CHAR(INT((COLUMN(FD68)-1)/26)+64)&amp;CHAR(MOD(COLUMN(FD68)-1,26)+65))&amp;$FI46&amp;""),"")</f>
        <v/>
      </c>
      <c r="FR46" s="78" t="str">
        <f t="array" aca="1" ref="FR46" ca="1">IF($FI46&lt;&gt;"",
INDIRECT(""&amp;IF(COLUMN(FE68)&lt;=26,CHAR(COLUMN(FE68)+64),CHAR(INT((COLUMN(FE68)-1)/26)+64)&amp;CHAR(MOD(COLUMN(FE68)-1,26)+65))&amp;$FI46&amp;""),"")</f>
        <v/>
      </c>
      <c r="FS46" s="78" t="str">
        <f t="array" aca="1" ref="FS46" ca="1">IF($FI46&lt;&gt;"",
INDIRECT(""&amp;IF(COLUMN(FF68)&lt;=26,CHAR(COLUMN(FF68)+64),CHAR(INT((COLUMN(FF68)-1)/26)+64)&amp;CHAR(MOD(COLUMN(FF68)-1,26)+65))&amp;$FI46&amp;""),"")</f>
        <v/>
      </c>
    </row>
    <row r="47" spans="1:175" ht="18" customHeight="1" x14ac:dyDescent="0.45">
      <c r="B47" s="88"/>
      <c r="C47" s="252"/>
      <c r="D47" s="252"/>
      <c r="E47" s="255"/>
      <c r="F47" s="255"/>
      <c r="G47" s="98" t="str">
        <f ca="1">SUBSTITUTE(SUBSTITUTE(ADDRESS(1,MATCH("おやつ",'数出表_Excel（アレルギー入力）'!$3:$3,0)),1,""),"$","")</f>
        <v>AL</v>
      </c>
      <c r="I47" s="88"/>
      <c r="J47" s="252"/>
      <c r="K47" s="252"/>
      <c r="L47" s="255"/>
      <c r="M47" s="255"/>
      <c r="N47" s="98" t="str">
        <f ca="1">SUBSTITUTE(SUBSTITUTE(ADDRESS(1,MATCH("おやつ",'数出表_Excel（アレルギー入力）'!$3:$3,0)),1,""),"$","")</f>
        <v>AL</v>
      </c>
      <c r="Q47" s="88"/>
      <c r="R47" s="252"/>
      <c r="S47" s="252"/>
      <c r="T47" s="255"/>
      <c r="U47" s="255"/>
      <c r="V47" s="98" t="str">
        <f ca="1">SUBSTITUTE(SUBSTITUTE(ADDRESS(1,MATCH("おやつ",'数出表_Excel（アレルギー入力）'!$3:$3,0)),1,""),"$","")</f>
        <v>AL</v>
      </c>
      <c r="X47" s="88"/>
      <c r="Y47" s="252"/>
      <c r="Z47" s="252"/>
      <c r="AA47" s="255"/>
      <c r="AB47" s="255"/>
      <c r="AC47" s="98" t="str">
        <f ca="1">SUBSTITUTE(SUBSTITUTE(ADDRESS(1,MATCH("おやつ",'数出表_Excel（アレルギー入力）'!$3:$3,0)),1,""),"$","")</f>
        <v>AL</v>
      </c>
      <c r="AF47" s="88"/>
      <c r="AG47" s="252"/>
      <c r="AH47" s="252"/>
      <c r="AI47" s="255"/>
      <c r="AJ47" s="255"/>
      <c r="AK47" s="98" t="str">
        <f ca="1">SUBSTITUTE(SUBSTITUTE(ADDRESS(1,MATCH("おやつ",'数出表_Excel（アレルギー入力）'!$3:$3,0)),1,""),"$","")</f>
        <v>AL</v>
      </c>
      <c r="AM47" s="88"/>
      <c r="AN47" s="252"/>
      <c r="AO47" s="252"/>
      <c r="AP47" s="255"/>
      <c r="AQ47" s="255"/>
      <c r="AR47" s="98" t="str">
        <f ca="1">SUBSTITUTE(SUBSTITUTE(ADDRESS(1,MATCH("おやつ",'数出表_Excel（アレルギー入力）'!$3:$3,0)),1,""),"$","")</f>
        <v>AL</v>
      </c>
      <c r="AU47" s="88"/>
      <c r="AV47" s="252"/>
      <c r="AW47" s="252"/>
      <c r="AX47" s="255"/>
      <c r="AY47" s="255"/>
      <c r="AZ47" s="98" t="str">
        <f ca="1">SUBSTITUTE(SUBSTITUTE(ADDRESS(1,MATCH("おやつ",'数出表_Excel（アレルギー入力）'!$3:$3,0)),1,""),"$","")</f>
        <v>AL</v>
      </c>
      <c r="BB47" s="88"/>
      <c r="BC47" s="252"/>
      <c r="BD47" s="252"/>
      <c r="BE47" s="255"/>
      <c r="BF47" s="255"/>
      <c r="BG47" s="98" t="str">
        <f ca="1">SUBSTITUTE(SUBSTITUTE(ADDRESS(1,MATCH("おやつ",'数出表_Excel（アレルギー入力）'!$3:$3,0)),1,""),"$","")</f>
        <v>AL</v>
      </c>
      <c r="BJ47" s="88"/>
      <c r="BK47" s="252"/>
      <c r="BL47" s="252"/>
      <c r="BM47" s="255"/>
      <c r="BN47" s="255"/>
      <c r="BO47" s="98" t="str">
        <f ca="1">SUBSTITUTE(SUBSTITUTE(ADDRESS(1,MATCH("おやつ",'数出表_Excel（アレルギー入力）'!$3:$3,0)),1,""),"$","")</f>
        <v>AL</v>
      </c>
      <c r="BQ47" s="88"/>
      <c r="BR47" s="252"/>
      <c r="BS47" s="252"/>
      <c r="BT47" s="255"/>
      <c r="BU47" s="255"/>
      <c r="BV47" s="98" t="str">
        <f ca="1">SUBSTITUTE(SUBSTITUTE(ADDRESS(1,MATCH("おやつ",'数出表_Excel（アレルギー入力）'!$3:$3,0)),1,""),"$","")</f>
        <v>AL</v>
      </c>
      <c r="BY47" s="88"/>
      <c r="BZ47" s="252"/>
      <c r="CA47" s="252"/>
      <c r="CB47" s="255"/>
      <c r="CC47" s="255"/>
      <c r="CD47" s="98" t="str">
        <f ca="1">SUBSTITUTE(SUBSTITUTE(ADDRESS(1,MATCH("おやつ",'数出表_Excel（アレルギー入力）'!$3:$3,0)),1,""),"$","")</f>
        <v>AL</v>
      </c>
      <c r="CF47" s="88"/>
      <c r="CG47" s="252"/>
      <c r="CH47" s="252"/>
      <c r="CI47" s="255"/>
      <c r="CJ47" s="255"/>
      <c r="CK47" s="98" t="str">
        <f ca="1">SUBSTITUTE(SUBSTITUTE(ADDRESS(1,MATCH("おやつ",'数出表_Excel（アレルギー入力）'!$3:$3,0)),1,""),"$","")</f>
        <v>AL</v>
      </c>
      <c r="CN47" s="88"/>
      <c r="CO47" s="252"/>
      <c r="CP47" s="252"/>
      <c r="CQ47" s="255"/>
      <c r="CR47" s="255"/>
      <c r="CS47" s="98" t="str">
        <f ca="1">SUBSTITUTE(SUBSTITUTE(ADDRESS(1,MATCH("おやつ",'数出表_Excel（アレルギー入力）'!$3:$3,0)),1,""),"$","")</f>
        <v>AL</v>
      </c>
      <c r="CU47" s="88"/>
      <c r="CV47" s="252"/>
      <c r="CW47" s="252"/>
      <c r="CX47" s="255"/>
      <c r="CY47" s="255"/>
      <c r="CZ47" s="98" t="str">
        <f ca="1">SUBSTITUTE(SUBSTITUTE(ADDRESS(1,MATCH("おやつ",'数出表_Excel（アレルギー入力）'!$3:$3,0)),1,""),"$","")</f>
        <v>AL</v>
      </c>
      <c r="DC47" s="88"/>
      <c r="DD47" s="252"/>
      <c r="DE47" s="252"/>
      <c r="DF47" s="255"/>
      <c r="DG47" s="255"/>
      <c r="DH47" s="98" t="str">
        <f ca="1">SUBSTITUTE(SUBSTITUTE(ADDRESS(1,MATCH("おやつ",'数出表_Excel（アレルギー入力）'!$3:$3,0)),1,""),"$","")</f>
        <v>AL</v>
      </c>
      <c r="DJ47" s="88"/>
      <c r="DK47" s="252"/>
      <c r="DL47" s="252"/>
      <c r="DM47" s="255"/>
      <c r="DN47" s="255"/>
      <c r="DO47" s="98" t="str">
        <f ca="1">SUBSTITUTE(SUBSTITUTE(ADDRESS(1,MATCH("おやつ",'数出表_Excel（アレルギー入力）'!$3:$3,0)),1,""),"$","")</f>
        <v>AL</v>
      </c>
      <c r="DR47" s="88"/>
      <c r="DS47" s="252"/>
      <c r="DT47" s="252"/>
      <c r="DU47" s="255"/>
      <c r="DV47" s="255"/>
      <c r="DW47" s="98" t="str">
        <f ca="1">SUBSTITUTE(SUBSTITUTE(ADDRESS(1,MATCH("おやつ",'数出表_Excel（アレルギー入力）'!$3:$3,0)),1,""),"$","")</f>
        <v>AL</v>
      </c>
      <c r="DY47" s="88"/>
      <c r="DZ47" s="252"/>
      <c r="EA47" s="252"/>
      <c r="EB47" s="255"/>
      <c r="EC47" s="255"/>
      <c r="ED47" s="98" t="str">
        <f ca="1">SUBSTITUTE(SUBSTITUTE(ADDRESS(1,MATCH("おやつ",'数出表_Excel（アレルギー入力）'!$3:$3,0)),1,""),"$","")</f>
        <v>AL</v>
      </c>
      <c r="EG47" s="88"/>
      <c r="EH47" s="252"/>
      <c r="EI47" s="252"/>
      <c r="EJ47" s="255"/>
      <c r="EK47" s="255"/>
      <c r="EL47" s="98" t="str">
        <f ca="1">SUBSTITUTE(SUBSTITUTE(ADDRESS(1,MATCH("おやつ",'数出表_Excel（アレルギー入力）'!$3:$3,0)),1,""),"$","")</f>
        <v>AL</v>
      </c>
      <c r="EN47" s="88"/>
      <c r="EO47" s="252"/>
      <c r="EP47" s="252"/>
      <c r="EQ47" s="255"/>
      <c r="ER47" s="255"/>
      <c r="ES47" s="98" t="str">
        <f ca="1">SUBSTITUTE(SUBSTITUTE(ADDRESS(1,MATCH("おやつ",'数出表_Excel（アレルギー入力）'!$3:$3,0)),1,""),"$","")</f>
        <v>AL</v>
      </c>
      <c r="ET47" s="106"/>
      <c r="EU47" s="78">
        <f t="shared" ref="EU47:EU72" si="4">EU41+7</f>
        <v>49</v>
      </c>
      <c r="EV47" s="78" t="str">
        <f t="array" aca="1" ref="EV47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LEN(SUBSTITUTE(_xlfn.FORMULATEXT(EV$40),"=","")))+$EU47)</f>
        <v/>
      </c>
      <c r="EW47" s="78" t="str">
        <f t="array" aca="1" ref="EW47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LEN(SUBSTITUTE(_xlfn.FORMULATEXT(EW$40),"=","")))+$EU47)</f>
        <v/>
      </c>
      <c r="EX47" s="78" t="str">
        <f t="array" aca="1" ref="EX47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LEN(SUBSTITUTE(_xlfn.FORMULATEXT(EX$40),"=","")))+$EU47)</f>
        <v/>
      </c>
      <c r="EY47" s="78" t="str">
        <f t="array" aca="1" ref="EY47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LEN(SUBSTITUTE(_xlfn.FORMULATEXT(EY$40),"=","")))+$EU47)</f>
        <v/>
      </c>
      <c r="EZ47" s="78" t="str">
        <f t="array" aca="1" ref="EZ47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LEN(SUBSTITUTE(_xlfn.FORMULATEXT(EZ$40),"=","")))+$EU47)</f>
        <v/>
      </c>
      <c r="FA47" s="78" t="str">
        <f t="array" aca="1" ref="FA47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LEN(SUBSTITUTE(_xlfn.FORMULATEXT(FA$40),"=","")))+$EU47)</f>
        <v/>
      </c>
      <c r="FB47" s="78" t="str">
        <f t="array" aca="1" ref="FB47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LEN(SUBSTITUTE(_xlfn.FORMULATEXT(FB$40),"=","")))+$EU47)</f>
        <v/>
      </c>
      <c r="FC47" s="78" t="str">
        <f t="array" aca="1" ref="FC47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LEN(SUBSTITUTE(_xlfn.FORMULATEXT(FC$40),"=","")))+$EU47)</f>
        <v/>
      </c>
      <c r="FD47" s="78" t="str">
        <f t="array" aca="1" ref="FD47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LEN(SUBSTITUTE(_xlfn.FORMULATEXT(FD$40),"=","")))+$EU47)</f>
        <v/>
      </c>
      <c r="FE47" s="78" t="str">
        <f t="array" aca="1" ref="FE47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LEN(SUBSTITUTE(_xlfn.FORMULATEXT(FE$40),"=","")))+$EU47)</f>
        <v/>
      </c>
      <c r="FF47" s="78" t="str">
        <f t="array" aca="1" ref="FF47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LEN(SUBSTITUTE(_xlfn.FORMULATEXT(FF$40),"=","")))+$EU47)</f>
        <v/>
      </c>
      <c r="FG47" s="78">
        <f t="shared" ca="1" si="2"/>
        <v>0</v>
      </c>
      <c r="FH47" s="78" t="b">
        <f t="array" aca="1" ref="FH47" ca="1">SUMPRODUCT((LEN(EV47:FF47)&gt;0)*1)&gt;0</f>
        <v>0</v>
      </c>
      <c r="FI47" s="78" t="str">
        <f t="array" aca="1" ref="FI47" ca="1">IFERROR(SMALL(IF(FG$1:FG$228&lt;&gt;0,FG$1:FG$228),ROW(A47)),"")</f>
        <v/>
      </c>
      <c r="FJ47" s="78" t="str">
        <f t="array" aca="1" ref="FJ47" ca="1">IF($FI47&lt;&gt;"",
INDIRECT(""&amp;IF(COLUMN(EV70)&lt;=26,CHAR(COLUMN(EV70)+64),CHAR(INT((COLUMN(EV70)-1)/26)+64)&amp;CHAR(MOD(COLUMN(EV70)-1,26)+65))&amp;$FI47&amp;""),"")</f>
        <v/>
      </c>
      <c r="FK47" s="78" t="str">
        <f t="array" aca="1" ref="FK47" ca="1">IF($FI47&lt;&gt;"",
INDIRECT(""&amp;IF(COLUMN(EW70)&lt;=26,CHAR(COLUMN(EW70)+64),CHAR(INT((COLUMN(EW70)-1)/26)+64)&amp;CHAR(MOD(COLUMN(EW70)-1,26)+65))&amp;$FI47&amp;""),"")</f>
        <v/>
      </c>
      <c r="FL47" s="78" t="str">
        <f t="array" aca="1" ref="FL47" ca="1">IF($FI47&lt;&gt;"",
INDIRECT(""&amp;IF(COLUMN(EX70)&lt;=26,CHAR(COLUMN(EX70)+64),CHAR(INT((COLUMN(EX70)-1)/26)+64)&amp;CHAR(MOD(COLUMN(EX70)-1,26)+65))&amp;$FI47&amp;""),"")</f>
        <v/>
      </c>
      <c r="FM47" s="78" t="str">
        <f t="array" aca="1" ref="FM47" ca="1">IF($FI47&lt;&gt;"",
IF(FL47="",
IF(INDIRECT("EY"&amp;$FI47&amp;"")&lt;&gt;"",
INDIRECT("EY"&amp;$FI47&amp;"")&amp;"箱"
&amp;INDIRECT("EZ"&amp;$FI47&amp;""),""),""),"")</f>
        <v/>
      </c>
      <c r="FN47" s="78" t="str">
        <f t="array" aca="1" ref="FN47" ca="1">IF($FI47&lt;&gt;"",
INDIRECT(""&amp;IF(COLUMN(FA70)&lt;=26,CHAR(COLUMN(FA70)+64),CHAR(INT((COLUMN(FA70)-1)/26)+64)&amp;CHAR(MOD(COLUMN(FA70)-1,26)+65))&amp;$FI47&amp;""),"")</f>
        <v/>
      </c>
      <c r="FO47" s="78" t="str">
        <f t="array" aca="1" ref="FO47" ca="1">IF($FI47&lt;&gt;"",
INDIRECT(""&amp;IF(COLUMN(FB70)&lt;=26,CHAR(COLUMN(FB70)+64),CHAR(INT((COLUMN(FB70)-1)/26)+64)&amp;CHAR(MOD(COLUMN(FB70)-1,26)+65))&amp;$FI47&amp;""),"")</f>
        <v/>
      </c>
      <c r="FP47" s="78" t="str">
        <f t="array" aca="1" ref="FP47" ca="1">IF($FI47&lt;&gt;"",
INDIRECT(""&amp;IF(COLUMN(FC70)&lt;=26,CHAR(COLUMN(FC70)+64),CHAR(INT((COLUMN(FC70)-1)/26)+64)&amp;CHAR(MOD(COLUMN(FC70)-1,26)+65))&amp;$FI47&amp;""),"")</f>
        <v/>
      </c>
      <c r="FQ47" s="78" t="str">
        <f t="array" aca="1" ref="FQ47" ca="1">IF($FI47&lt;&gt;"",
INDIRECT(""&amp;IF(COLUMN(FD70)&lt;=26,CHAR(COLUMN(FD70)+64),CHAR(INT((COLUMN(FD70)-1)/26)+64)&amp;CHAR(MOD(COLUMN(FD70)-1,26)+65))&amp;$FI47&amp;""),"")</f>
        <v/>
      </c>
      <c r="FR47" s="78" t="str">
        <f t="array" aca="1" ref="FR47" ca="1">IF($FI47&lt;&gt;"",
INDIRECT(""&amp;IF(COLUMN(FE70)&lt;=26,CHAR(COLUMN(FE70)+64),CHAR(INT((COLUMN(FE70)-1)/26)+64)&amp;CHAR(MOD(COLUMN(FE70)-1,26)+65))&amp;$FI47&amp;""),"")</f>
        <v/>
      </c>
      <c r="FS47" s="78" t="str">
        <f t="array" aca="1" ref="FS47" ca="1">IF($FI47&lt;&gt;"",
INDIRECT(""&amp;IF(COLUMN(FF70)&lt;=26,CHAR(COLUMN(FF70)+64),CHAR(INT((COLUMN(FF70)-1)/26)+64)&amp;CHAR(MOD(COLUMN(FF70)-1,26)+65))&amp;$FI47&amp;""),"")</f>
        <v/>
      </c>
    </row>
    <row r="48" spans="1:175" s="78" customFormat="1" ht="22.2" customHeight="1" x14ac:dyDescent="0.55000000000000004">
      <c r="A48" s="76"/>
      <c r="B48" s="89" t="str">
        <f ca="1">IF(C46&lt;&gt;"","パン箱","")</f>
        <v/>
      </c>
      <c r="C48" s="90" t="str">
        <f ca="1">IF(C46&lt;&gt;"",IF(OR(COUNTIF('盛付札（関数）'!C44,"*キャラ*"),COUNTIF('盛付札（関数）'!C44,"*赤*")),24,
VLOOKUP('盛付札（関数）'!C44,商品マスタ一覧!$D:$I,6,FALSE)),"")</f>
        <v/>
      </c>
      <c r="D48" s="89" t="str">
        <f ca="1">IF(C46&lt;&gt;"","　端数","")</f>
        <v/>
      </c>
      <c r="E48" s="90"/>
      <c r="F48" s="89" t="str">
        <f ca="1">IF(C46&lt;&gt;"","アレルギー","")</f>
        <v/>
      </c>
      <c r="G48" s="93"/>
      <c r="H48" s="76"/>
      <c r="I48" s="89" t="str">
        <f ca="1">IF(J46&lt;&gt;"","パン箱","")</f>
        <v/>
      </c>
      <c r="J48" s="90" t="str">
        <f ca="1">IF(J46&lt;&gt;"",IF(OR(COUNTIF('盛付札（関数）'!J44,"*キャラ*"),COUNTIF('盛付札（関数）'!J44,"*赤*")),24,
VLOOKUP('盛付札（関数）'!J44,商品マスタ一覧!$D:$I,6,FALSE)),"")</f>
        <v/>
      </c>
      <c r="K48" s="89" t="str">
        <f ca="1">IF(J46&lt;&gt;"","　端数","")</f>
        <v/>
      </c>
      <c r="L48" s="90"/>
      <c r="M48" s="89" t="str">
        <f ca="1">IF(J46&lt;&gt;"","アレルギー","")</f>
        <v/>
      </c>
      <c r="N48" s="93"/>
      <c r="O48" s="76"/>
      <c r="P48" s="76"/>
      <c r="Q48" s="89" t="str">
        <f ca="1">IF(R46&lt;&gt;"","パン箱","")</f>
        <v/>
      </c>
      <c r="R48" s="90" t="str">
        <f ca="1">IF(R46&lt;&gt;"",IF(OR(COUNTIF('盛付札（関数）'!R44,"*キャラ*"),COUNTIF('盛付札（関数）'!R44,"*赤*")),24,
VLOOKUP('盛付札（関数）'!R44,商品マスタ一覧!$D:$I,6,FALSE)),"")</f>
        <v/>
      </c>
      <c r="S48" s="89" t="str">
        <f ca="1">IF(R46&lt;&gt;"","　端数","")</f>
        <v/>
      </c>
      <c r="T48" s="90"/>
      <c r="U48" s="89" t="str">
        <f ca="1">IF(R46&lt;&gt;"","アレルギー","")</f>
        <v/>
      </c>
      <c r="V48" s="93"/>
      <c r="W48" s="76"/>
      <c r="X48" s="89" t="str">
        <f ca="1">IF(Y46&lt;&gt;"","パン箱","")</f>
        <v/>
      </c>
      <c r="Y48" s="90" t="str">
        <f ca="1">IF(Y46&lt;&gt;"",IF(OR(COUNTIF('盛付札（関数）'!Y44,"*キャラ*"),COUNTIF('盛付札（関数）'!Y44,"*赤*")),24,
VLOOKUP('盛付札（関数）'!Y44,商品マスタ一覧!$D:$I,6,FALSE)),"")</f>
        <v/>
      </c>
      <c r="Z48" s="89" t="str">
        <f ca="1">IF(Y46&lt;&gt;"","　端数","")</f>
        <v/>
      </c>
      <c r="AA48" s="90"/>
      <c r="AB48" s="89" t="str">
        <f ca="1">IF(Y46&lt;&gt;"","アレルギー","")</f>
        <v/>
      </c>
      <c r="AC48" s="93"/>
      <c r="AD48" s="76"/>
      <c r="AE48" s="76"/>
      <c r="AF48" s="89" t="str">
        <f ca="1">IF(AG46&lt;&gt;"","パン箱","")</f>
        <v/>
      </c>
      <c r="AG48" s="90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89" t="str">
        <f ca="1">IF(AG46&lt;&gt;"","　端数","")</f>
        <v/>
      </c>
      <c r="AI48" s="90"/>
      <c r="AJ48" s="89" t="str">
        <f ca="1">IF(AG46&lt;&gt;"","アレルギー","")</f>
        <v/>
      </c>
      <c r="AK48" s="93"/>
      <c r="AL48" s="76"/>
      <c r="AM48" s="89" t="str">
        <f ca="1">IF(AN46&lt;&gt;"","パン箱","")</f>
        <v/>
      </c>
      <c r="AN48" s="90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89" t="str">
        <f ca="1">IF(AN46&lt;&gt;"","　端数","")</f>
        <v/>
      </c>
      <c r="AP48" s="90"/>
      <c r="AQ48" s="89" t="str">
        <f ca="1">IF(AN46&lt;&gt;"","アレルギー","")</f>
        <v/>
      </c>
      <c r="AR48" s="93"/>
      <c r="AS48" s="76"/>
      <c r="AT48" s="76"/>
      <c r="AU48" s="89" t="str">
        <f ca="1">IF(AV46&lt;&gt;"","パン箱","")</f>
        <v/>
      </c>
      <c r="AV48" s="90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89" t="str">
        <f ca="1">IF(AV46&lt;&gt;"","　端数","")</f>
        <v/>
      </c>
      <c r="AX48" s="90"/>
      <c r="AY48" s="89" t="str">
        <f ca="1">IF(AV46&lt;&gt;"","アレルギー","")</f>
        <v/>
      </c>
      <c r="AZ48" s="93"/>
      <c r="BA48" s="76"/>
      <c r="BB48" s="89" t="str">
        <f ca="1">IF(BC46&lt;&gt;"","パン箱","")</f>
        <v/>
      </c>
      <c r="BC48" s="90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89" t="str">
        <f ca="1">IF(BC46&lt;&gt;"","　端数","")</f>
        <v/>
      </c>
      <c r="BE48" s="90"/>
      <c r="BF48" s="89" t="str">
        <f ca="1">IF(BC46&lt;&gt;"","アレルギー","")</f>
        <v/>
      </c>
      <c r="BG48" s="93"/>
      <c r="BH48" s="76"/>
      <c r="BI48" s="76"/>
      <c r="BJ48" s="89" t="str">
        <f ca="1">IF(BK46&lt;&gt;"","パン箱","")</f>
        <v/>
      </c>
      <c r="BK48" s="90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89" t="str">
        <f ca="1">IF(BK46&lt;&gt;"","　端数","")</f>
        <v/>
      </c>
      <c r="BM48" s="90"/>
      <c r="BN48" s="89" t="str">
        <f ca="1">IF(BK46&lt;&gt;"","アレルギー","")</f>
        <v/>
      </c>
      <c r="BO48" s="93"/>
      <c r="BP48" s="76"/>
      <c r="BQ48" s="89" t="str">
        <f ca="1">IF(BR46&lt;&gt;"","パン箱","")</f>
        <v/>
      </c>
      <c r="BR48" s="90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89" t="str">
        <f ca="1">IF(BR46&lt;&gt;"","　端数","")</f>
        <v/>
      </c>
      <c r="BT48" s="90"/>
      <c r="BU48" s="89" t="str">
        <f ca="1">IF(BR46&lt;&gt;"","アレルギー","")</f>
        <v/>
      </c>
      <c r="BV48" s="93"/>
      <c r="BW48" s="76"/>
      <c r="BX48" s="76"/>
      <c r="BY48" s="89" t="str">
        <f ca="1">IF(BZ46&lt;&gt;"","パン箱","")</f>
        <v/>
      </c>
      <c r="BZ48" s="90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89" t="str">
        <f ca="1">IF(BZ46&lt;&gt;"","　端数","")</f>
        <v/>
      </c>
      <c r="CB48" s="90"/>
      <c r="CC48" s="89" t="str">
        <f ca="1">IF(BZ46&lt;&gt;"","アレルギー","")</f>
        <v/>
      </c>
      <c r="CD48" s="93"/>
      <c r="CE48" s="76"/>
      <c r="CF48" s="89" t="str">
        <f ca="1">IF(CG46&lt;&gt;"","パン箱","")</f>
        <v/>
      </c>
      <c r="CG48" s="90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89" t="str">
        <f ca="1">IF(CG46&lt;&gt;"","　端数","")</f>
        <v/>
      </c>
      <c r="CI48" s="90"/>
      <c r="CJ48" s="89" t="str">
        <f ca="1">IF(CG46&lt;&gt;"","アレルギー","")</f>
        <v/>
      </c>
      <c r="CK48" s="93"/>
      <c r="CL48" s="76"/>
      <c r="CM48" s="76"/>
      <c r="CN48" s="89" t="str">
        <f ca="1">IF(CO46&lt;&gt;"","パン箱","")</f>
        <v/>
      </c>
      <c r="CO48" s="90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89" t="str">
        <f ca="1">IF(CO46&lt;&gt;"","　端数","")</f>
        <v/>
      </c>
      <c r="CQ48" s="90"/>
      <c r="CR48" s="89" t="str">
        <f ca="1">IF(CO46&lt;&gt;"","アレルギー","")</f>
        <v/>
      </c>
      <c r="CS48" s="93"/>
      <c r="CT48" s="76"/>
      <c r="CU48" s="89" t="str">
        <f ca="1">IF(CV46&lt;&gt;"","パン箱","")</f>
        <v/>
      </c>
      <c r="CV48" s="90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89" t="str">
        <f ca="1">IF(CV46&lt;&gt;"","　端数","")</f>
        <v/>
      </c>
      <c r="CX48" s="90"/>
      <c r="CY48" s="89" t="str">
        <f ca="1">IF(CV46&lt;&gt;"","アレルギー","")</f>
        <v/>
      </c>
      <c r="CZ48" s="93"/>
      <c r="DA48" s="76"/>
      <c r="DB48" s="76"/>
      <c r="DC48" s="89" t="str">
        <f ca="1">IF(DD46&lt;&gt;"","パン箱","")</f>
        <v/>
      </c>
      <c r="DD48" s="90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89" t="str">
        <f ca="1">IF(DD46&lt;&gt;"","　端数","")</f>
        <v/>
      </c>
      <c r="DF48" s="90"/>
      <c r="DG48" s="89" t="str">
        <f ca="1">IF(DD46&lt;&gt;"","アレルギー","")</f>
        <v/>
      </c>
      <c r="DH48" s="93"/>
      <c r="DI48" s="76"/>
      <c r="DJ48" s="89" t="str">
        <f ca="1">IF(DK46&lt;&gt;"","パン箱","")</f>
        <v/>
      </c>
      <c r="DK48" s="90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89" t="str">
        <f ca="1">IF(DK46&lt;&gt;"","　端数","")</f>
        <v/>
      </c>
      <c r="DM48" s="90"/>
      <c r="DN48" s="89" t="str">
        <f ca="1">IF(DK46&lt;&gt;"","アレルギー","")</f>
        <v/>
      </c>
      <c r="DO48" s="93"/>
      <c r="DP48" s="76"/>
      <c r="DQ48" s="76"/>
      <c r="DR48" s="89" t="str">
        <f ca="1">IF(DS46&lt;&gt;"","パン箱","")</f>
        <v/>
      </c>
      <c r="DS48" s="90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89" t="str">
        <f ca="1">IF(DS46&lt;&gt;"","　端数","")</f>
        <v/>
      </c>
      <c r="DU48" s="90"/>
      <c r="DV48" s="89" t="str">
        <f ca="1">IF(DS46&lt;&gt;"","アレルギー","")</f>
        <v/>
      </c>
      <c r="DW48" s="93"/>
      <c r="DX48" s="76"/>
      <c r="DY48" s="89" t="str">
        <f ca="1">IF(DZ46&lt;&gt;"","パン箱","")</f>
        <v/>
      </c>
      <c r="DZ48" s="90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89" t="str">
        <f ca="1">IF(DZ46&lt;&gt;"","　端数","")</f>
        <v/>
      </c>
      <c r="EB48" s="90"/>
      <c r="EC48" s="89" t="str">
        <f ca="1">IF(DZ46&lt;&gt;"","アレルギー","")</f>
        <v/>
      </c>
      <c r="ED48" s="93"/>
      <c r="EE48" s="76"/>
      <c r="EF48" s="76"/>
      <c r="EG48" s="89" t="str">
        <f ca="1">IF(EH46&lt;&gt;"","パン箱","")</f>
        <v/>
      </c>
      <c r="EH48" s="90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89" t="str">
        <f ca="1">IF(EH46&lt;&gt;"","　端数","")</f>
        <v/>
      </c>
      <c r="EJ48" s="90"/>
      <c r="EK48" s="89" t="str">
        <f ca="1">IF(EH46&lt;&gt;"","アレルギー","")</f>
        <v/>
      </c>
      <c r="EL48" s="93"/>
      <c r="EM48" s="76"/>
      <c r="EN48" s="89" t="str">
        <f ca="1">IF(EO46&lt;&gt;"","パン箱","")</f>
        <v/>
      </c>
      <c r="EO48" s="90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89" t="str">
        <f ca="1">IF(EO46&lt;&gt;"","　端数","")</f>
        <v/>
      </c>
      <c r="EQ48" s="90"/>
      <c r="ER48" s="89" t="str">
        <f ca="1">IF(EO46&lt;&gt;"","アレルギー","")</f>
        <v/>
      </c>
      <c r="ES48" s="93"/>
      <c r="ET48" s="106"/>
      <c r="EU48" s="78">
        <f t="shared" si="4"/>
        <v>91</v>
      </c>
      <c r="EV48" s="78" t="str">
        <f t="array" aca="1" ref="EV48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LEN(SUBSTITUTE(_xlfn.FORMULATEXT(EV$40),"=","")))+$EU48)</f>
        <v/>
      </c>
      <c r="EW48" s="78" t="str">
        <f t="array" aca="1" ref="EW48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LEN(SUBSTITUTE(_xlfn.FORMULATEXT(EW$40),"=","")))+$EU48)</f>
        <v/>
      </c>
      <c r="EX48" s="78" t="str">
        <f t="array" aca="1" ref="EX48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LEN(SUBSTITUTE(_xlfn.FORMULATEXT(EX$40),"=","")))+$EU48)</f>
        <v/>
      </c>
      <c r="EY48" s="78" t="str">
        <f t="array" aca="1" ref="EY48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LEN(SUBSTITUTE(_xlfn.FORMULATEXT(EY$40),"=","")))+$EU48)</f>
        <v/>
      </c>
      <c r="EZ48" s="78" t="str">
        <f t="array" aca="1" ref="EZ48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LEN(SUBSTITUTE(_xlfn.FORMULATEXT(EZ$40),"=","")))+$EU48)</f>
        <v/>
      </c>
      <c r="FA48" s="78" t="str">
        <f t="array" aca="1" ref="FA48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LEN(SUBSTITUTE(_xlfn.FORMULATEXT(FA$40),"=","")))+$EU48)</f>
        <v/>
      </c>
      <c r="FB48" s="78" t="str">
        <f t="array" aca="1" ref="FB48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LEN(SUBSTITUTE(_xlfn.FORMULATEXT(FB$40),"=","")))+$EU48)</f>
        <v/>
      </c>
      <c r="FC48" s="78" t="str">
        <f t="array" aca="1" ref="FC48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LEN(SUBSTITUTE(_xlfn.FORMULATEXT(FC$40),"=","")))+$EU48)</f>
        <v/>
      </c>
      <c r="FD48" s="78" t="str">
        <f t="array" aca="1" ref="FD48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LEN(SUBSTITUTE(_xlfn.FORMULATEXT(FD$40),"=","")))+$EU48)</f>
        <v/>
      </c>
      <c r="FE48" s="78" t="str">
        <f t="array" aca="1" ref="FE48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LEN(SUBSTITUTE(_xlfn.FORMULATEXT(FE$40),"=","")))+$EU48)</f>
        <v/>
      </c>
      <c r="FF48" s="78" t="str">
        <f t="array" aca="1" ref="FF48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LEN(SUBSTITUTE(_xlfn.FORMULATEXT(FF$40),"=","")))+$EU48)</f>
        <v/>
      </c>
      <c r="FG48" s="78">
        <f t="shared" ca="1" si="2"/>
        <v>0</v>
      </c>
      <c r="FH48" s="78" t="b">
        <f t="array" aca="1" ref="FH48" ca="1">SUMPRODUCT((LEN(EV48:FF48)&gt;0)*1)&gt;0</f>
        <v>0</v>
      </c>
      <c r="FI48" s="78" t="str">
        <f t="array" aca="1" ref="FI48" ca="1">IFERROR(SMALL(IF(FG$1:FG$228&lt;&gt;0,FG$1:FG$228),ROW(A48)),"")</f>
        <v/>
      </c>
      <c r="FJ48" s="78" t="str">
        <f t="array" aca="1" ref="FJ48" ca="1">IF($FI48&lt;&gt;"",
INDIRECT(""&amp;IF(COLUMN(EV71)&lt;=26,CHAR(COLUMN(EV71)+64),CHAR(INT((COLUMN(EV71)-1)/26)+64)&amp;CHAR(MOD(COLUMN(EV71)-1,26)+65))&amp;$FI48&amp;""),"")</f>
        <v/>
      </c>
      <c r="FK48" s="78" t="str">
        <f t="array" aca="1" ref="FK48" ca="1">IF($FI48&lt;&gt;"",
INDIRECT(""&amp;IF(COLUMN(EW71)&lt;=26,CHAR(COLUMN(EW71)+64),CHAR(INT((COLUMN(EW71)-1)/26)+64)&amp;CHAR(MOD(COLUMN(EW71)-1,26)+65))&amp;$FI48&amp;""),"")</f>
        <v/>
      </c>
      <c r="FL48" s="78" t="str">
        <f t="array" aca="1" ref="FL48" ca="1">IF($FI48&lt;&gt;"",
INDIRECT(""&amp;IF(COLUMN(EX71)&lt;=26,CHAR(COLUMN(EX71)+64),CHAR(INT((COLUMN(EX71)-1)/26)+64)&amp;CHAR(MOD(COLUMN(EX71)-1,26)+65))&amp;$FI48&amp;""),"")</f>
        <v/>
      </c>
      <c r="FM48" s="78" t="str">
        <f t="array" aca="1" ref="FM48" ca="1">IF($FI48&lt;&gt;"",
IF(FL48="",
IF(INDIRECT("EY"&amp;$FI48&amp;"")&lt;&gt;"",
INDIRECT("EY"&amp;$FI48&amp;"")&amp;"箱"
&amp;INDIRECT("EZ"&amp;$FI48&amp;""),""),""),"")</f>
        <v/>
      </c>
      <c r="FN48" s="78" t="str">
        <f t="array" aca="1" ref="FN48" ca="1">IF($FI48&lt;&gt;"",
INDIRECT(""&amp;IF(COLUMN(FA71)&lt;=26,CHAR(COLUMN(FA71)+64),CHAR(INT((COLUMN(FA71)-1)/26)+64)&amp;CHAR(MOD(COLUMN(FA71)-1,26)+65))&amp;$FI48&amp;""),"")</f>
        <v/>
      </c>
      <c r="FO48" s="78" t="str">
        <f t="array" aca="1" ref="FO48" ca="1">IF($FI48&lt;&gt;"",
INDIRECT(""&amp;IF(COLUMN(FB71)&lt;=26,CHAR(COLUMN(FB71)+64),CHAR(INT((COLUMN(FB71)-1)/26)+64)&amp;CHAR(MOD(COLUMN(FB71)-1,26)+65))&amp;$FI48&amp;""),"")</f>
        <v/>
      </c>
      <c r="FP48" s="78" t="str">
        <f t="array" aca="1" ref="FP48" ca="1">IF($FI48&lt;&gt;"",
INDIRECT(""&amp;IF(COLUMN(FC71)&lt;=26,CHAR(COLUMN(FC71)+64),CHAR(INT((COLUMN(FC71)-1)/26)+64)&amp;CHAR(MOD(COLUMN(FC71)-1,26)+65))&amp;$FI48&amp;""),"")</f>
        <v/>
      </c>
      <c r="FQ48" s="78" t="str">
        <f t="array" aca="1" ref="FQ48" ca="1">IF($FI48&lt;&gt;"",
INDIRECT(""&amp;IF(COLUMN(FD71)&lt;=26,CHAR(COLUMN(FD71)+64),CHAR(INT((COLUMN(FD71)-1)/26)+64)&amp;CHAR(MOD(COLUMN(FD71)-1,26)+65))&amp;$FI48&amp;""),"")</f>
        <v/>
      </c>
      <c r="FR48" s="78" t="str">
        <f t="array" aca="1" ref="FR48" ca="1">IF($FI48&lt;&gt;"",
INDIRECT(""&amp;IF(COLUMN(FE71)&lt;=26,CHAR(COLUMN(FE71)+64),CHAR(INT((COLUMN(FE71)-1)/26)+64)&amp;CHAR(MOD(COLUMN(FE71)-1,26)+65))&amp;$FI48&amp;""),"")</f>
        <v/>
      </c>
      <c r="FS48" s="78" t="str">
        <f t="array" aca="1" ref="FS48" ca="1">IF($FI48&lt;&gt;"",
INDIRECT(""&amp;IF(COLUMN(FF71)&lt;=26,CHAR(COLUMN(FF71)+64),CHAR(INT((COLUMN(FF71)-1)/26)+64)&amp;CHAR(MOD(COLUMN(FF71)-1,26)+65))&amp;$FI48&amp;""),"")</f>
        <v/>
      </c>
    </row>
    <row r="49" spans="1:175" ht="21" customHeight="1" x14ac:dyDescent="0.45">
      <c r="B49" s="260" t="str">
        <f ca="1">IF(C46&lt;&gt;"",
IFERROR(INT(C46/C48),""),"")</f>
        <v/>
      </c>
      <c r="C49" s="261"/>
      <c r="D49" s="260" t="str">
        <f ca="1">IFERROR(MOD(C46,C48),"")</f>
        <v/>
      </c>
      <c r="E49" s="261"/>
      <c r="F49" s="256" t="str">
        <f ca="1">IF(C43&lt;&gt;"",G45+G46,"")</f>
        <v/>
      </c>
      <c r="G49" s="257"/>
      <c r="I49" s="260" t="str">
        <f ca="1">IF(J46&lt;&gt;"",
IFERROR(INT(J46/J48),""),"")</f>
        <v/>
      </c>
      <c r="J49" s="261"/>
      <c r="K49" s="260" t="str">
        <f ca="1">IFERROR(MOD(J46,J48),"")</f>
        <v/>
      </c>
      <c r="L49" s="261"/>
      <c r="M49" s="256" t="str">
        <f ca="1">IF(J43&lt;&gt;"",N45+N46,"")</f>
        <v/>
      </c>
      <c r="N49" s="257"/>
      <c r="Q49" s="260" t="str">
        <f ca="1">IF(R46&lt;&gt;"",
IFERROR(INT(R46/R48),""),"")</f>
        <v/>
      </c>
      <c r="R49" s="261"/>
      <c r="S49" s="260" t="str">
        <f ca="1">IFERROR(MOD(R46,R48),"")</f>
        <v/>
      </c>
      <c r="T49" s="261"/>
      <c r="U49" s="256" t="str">
        <f ca="1">IF(R43&lt;&gt;"",V45+V46,"")</f>
        <v/>
      </c>
      <c r="V49" s="257"/>
      <c r="X49" s="260" t="str">
        <f ca="1">IF(Y46&lt;&gt;"",
IFERROR(INT(Y46/Y48),""),"")</f>
        <v/>
      </c>
      <c r="Y49" s="261"/>
      <c r="Z49" s="260" t="str">
        <f ca="1">IFERROR(MOD(Y46,Y48),"")</f>
        <v/>
      </c>
      <c r="AA49" s="261"/>
      <c r="AB49" s="256" t="str">
        <f ca="1">IF(Y43&lt;&gt;"",AC45+AC46,"")</f>
        <v/>
      </c>
      <c r="AC49" s="257"/>
      <c r="AF49" s="260" t="str">
        <f ca="1">IF(AG46&lt;&gt;"",
IFERROR(INT(AG46/AG48),""),"")</f>
        <v/>
      </c>
      <c r="AG49" s="261"/>
      <c r="AH49" s="260" t="str">
        <f ca="1">IFERROR(MOD(AG46,AG48),"")</f>
        <v/>
      </c>
      <c r="AI49" s="261"/>
      <c r="AJ49" s="256" t="str">
        <f ca="1">IF(AG43&lt;&gt;"",AK45+AK46,"")</f>
        <v/>
      </c>
      <c r="AK49" s="257"/>
      <c r="AM49" s="260" t="str">
        <f ca="1">IF(AN46&lt;&gt;"",
IFERROR(INT(AN46/AN48),""),"")</f>
        <v/>
      </c>
      <c r="AN49" s="261"/>
      <c r="AO49" s="260" t="str">
        <f ca="1">IFERROR(MOD(AN46,AN48),"")</f>
        <v/>
      </c>
      <c r="AP49" s="261"/>
      <c r="AQ49" s="256" t="str">
        <f ca="1">IF(AN43&lt;&gt;"",AR45+AR46,"")</f>
        <v/>
      </c>
      <c r="AR49" s="257"/>
      <c r="AU49" s="260" t="str">
        <f ca="1">IF(AV46&lt;&gt;"",
IFERROR(INT(AV46/AV48),""),"")</f>
        <v/>
      </c>
      <c r="AV49" s="261"/>
      <c r="AW49" s="260" t="str">
        <f ca="1">IFERROR(MOD(AV46,AV48),"")</f>
        <v/>
      </c>
      <c r="AX49" s="261"/>
      <c r="AY49" s="256" t="str">
        <f ca="1">IF(AV43&lt;&gt;"",AZ45+AZ46,"")</f>
        <v/>
      </c>
      <c r="AZ49" s="257"/>
      <c r="BB49" s="260" t="str">
        <f ca="1">IF(BC46&lt;&gt;"",
IFERROR(INT(BC46/BC48),""),"")</f>
        <v/>
      </c>
      <c r="BC49" s="261"/>
      <c r="BD49" s="260" t="str">
        <f ca="1">IFERROR(MOD(BC46,BC48),"")</f>
        <v/>
      </c>
      <c r="BE49" s="261"/>
      <c r="BF49" s="256" t="str">
        <f ca="1">IF(BC43&lt;&gt;"",BG45+BG46,"")</f>
        <v/>
      </c>
      <c r="BG49" s="257"/>
      <c r="BJ49" s="260" t="str">
        <f ca="1">IF(BK46&lt;&gt;"",
IFERROR(INT(BK46/BK48),""),"")</f>
        <v/>
      </c>
      <c r="BK49" s="261"/>
      <c r="BL49" s="260" t="str">
        <f ca="1">IFERROR(MOD(BK46,BK48),"")</f>
        <v/>
      </c>
      <c r="BM49" s="261"/>
      <c r="BN49" s="256" t="str">
        <f ca="1">IF(BK43&lt;&gt;"",BO45+BO46,"")</f>
        <v/>
      </c>
      <c r="BO49" s="257"/>
      <c r="BQ49" s="260" t="str">
        <f ca="1">IF(BR46&lt;&gt;"",
IFERROR(INT(BR46/BR48),""),"")</f>
        <v/>
      </c>
      <c r="BR49" s="261"/>
      <c r="BS49" s="260" t="str">
        <f ca="1">IFERROR(MOD(BR46,BR48),"")</f>
        <v/>
      </c>
      <c r="BT49" s="261"/>
      <c r="BU49" s="256" t="str">
        <f ca="1">IF(BR43&lt;&gt;"",BV45+BV46,"")</f>
        <v/>
      </c>
      <c r="BV49" s="257"/>
      <c r="BY49" s="260" t="str">
        <f ca="1">IF(BZ46&lt;&gt;"",
IFERROR(INT(BZ46/BZ48),""),"")</f>
        <v/>
      </c>
      <c r="BZ49" s="261"/>
      <c r="CA49" s="260" t="str">
        <f ca="1">IFERROR(MOD(BZ46,BZ48),"")</f>
        <v/>
      </c>
      <c r="CB49" s="261"/>
      <c r="CC49" s="256" t="str">
        <f ca="1">IF(BZ43&lt;&gt;"",CD45+CD46,"")</f>
        <v/>
      </c>
      <c r="CD49" s="257"/>
      <c r="CF49" s="260" t="str">
        <f ca="1">IF(CG46&lt;&gt;"",
IFERROR(INT(CG46/CG48),""),"")</f>
        <v/>
      </c>
      <c r="CG49" s="261"/>
      <c r="CH49" s="260" t="str">
        <f ca="1">IFERROR(MOD(CG46,CG48),"")</f>
        <v/>
      </c>
      <c r="CI49" s="261"/>
      <c r="CJ49" s="256" t="str">
        <f ca="1">IF(CG43&lt;&gt;"",CK45+CK46,"")</f>
        <v/>
      </c>
      <c r="CK49" s="257"/>
      <c r="CN49" s="260" t="str">
        <f ca="1">IF(CO46&lt;&gt;"",
IFERROR(INT(CO46/CO48),""),"")</f>
        <v/>
      </c>
      <c r="CO49" s="261"/>
      <c r="CP49" s="260" t="str">
        <f ca="1">IFERROR(MOD(CO46,CO48),"")</f>
        <v/>
      </c>
      <c r="CQ49" s="261"/>
      <c r="CR49" s="256" t="str">
        <f ca="1">IF(CO43&lt;&gt;"",CS45+CS46,"")</f>
        <v/>
      </c>
      <c r="CS49" s="257"/>
      <c r="CU49" s="260" t="str">
        <f ca="1">IF(CV46&lt;&gt;"",
IFERROR(INT(CV46/CV48),""),"")</f>
        <v/>
      </c>
      <c r="CV49" s="261"/>
      <c r="CW49" s="260" t="str">
        <f ca="1">IFERROR(MOD(CV46,CV48),"")</f>
        <v/>
      </c>
      <c r="CX49" s="261"/>
      <c r="CY49" s="256" t="str">
        <f ca="1">IF(CV43&lt;&gt;"",CZ45+CZ46,"")</f>
        <v/>
      </c>
      <c r="CZ49" s="257"/>
      <c r="DC49" s="260" t="str">
        <f ca="1">IF(DD46&lt;&gt;"",
IFERROR(INT(DD46/DD48),""),"")</f>
        <v/>
      </c>
      <c r="DD49" s="261"/>
      <c r="DE49" s="260" t="str">
        <f ca="1">IFERROR(MOD(DD46,DD48),"")</f>
        <v/>
      </c>
      <c r="DF49" s="261"/>
      <c r="DG49" s="256" t="str">
        <f ca="1">IF(DD43&lt;&gt;"",DH45+DH46,"")</f>
        <v/>
      </c>
      <c r="DH49" s="257"/>
      <c r="DJ49" s="260" t="str">
        <f ca="1">IF(DK46&lt;&gt;"",
IFERROR(INT(DK46/DK48),""),"")</f>
        <v/>
      </c>
      <c r="DK49" s="261"/>
      <c r="DL49" s="260" t="str">
        <f ca="1">IFERROR(MOD(DK46,DK48),"")</f>
        <v/>
      </c>
      <c r="DM49" s="261"/>
      <c r="DN49" s="256" t="str">
        <f ca="1">IF(DK43&lt;&gt;"",DO45+DO46,"")</f>
        <v/>
      </c>
      <c r="DO49" s="257"/>
      <c r="DR49" s="260" t="str">
        <f ca="1">IF(DS46&lt;&gt;"",
IFERROR(INT(DS46/DS48),""),"")</f>
        <v/>
      </c>
      <c r="DS49" s="261"/>
      <c r="DT49" s="260" t="str">
        <f ca="1">IFERROR(MOD(DS46,DS48),"")</f>
        <v/>
      </c>
      <c r="DU49" s="261"/>
      <c r="DV49" s="256" t="str">
        <f ca="1">IF(DS43&lt;&gt;"",DW45+DW46,"")</f>
        <v/>
      </c>
      <c r="DW49" s="257"/>
      <c r="DY49" s="260" t="str">
        <f ca="1">IF(DZ46&lt;&gt;"",
IFERROR(INT(DZ46/DZ48),""),"")</f>
        <v/>
      </c>
      <c r="DZ49" s="261"/>
      <c r="EA49" s="260" t="str">
        <f ca="1">IFERROR(MOD(DZ46,DZ48),"")</f>
        <v/>
      </c>
      <c r="EB49" s="261"/>
      <c r="EC49" s="256" t="str">
        <f ca="1">IF(DZ43&lt;&gt;"",ED45+ED46,"")</f>
        <v/>
      </c>
      <c r="ED49" s="257"/>
      <c r="EG49" s="260" t="str">
        <f ca="1">IF(EH46&lt;&gt;"",
IFERROR(INT(EH46/EH48),""),"")</f>
        <v/>
      </c>
      <c r="EH49" s="261"/>
      <c r="EI49" s="260" t="str">
        <f ca="1">IFERROR(MOD(EH46,EH48),"")</f>
        <v/>
      </c>
      <c r="EJ49" s="261"/>
      <c r="EK49" s="256" t="str">
        <f ca="1">IF(EH43&lt;&gt;"",EL45+EL46,"")</f>
        <v/>
      </c>
      <c r="EL49" s="257"/>
      <c r="EN49" s="260" t="str">
        <f ca="1">IF(EO46&lt;&gt;"",
IFERROR(INT(EO46/EO48),""),"")</f>
        <v/>
      </c>
      <c r="EO49" s="261"/>
      <c r="EP49" s="260" t="str">
        <f ca="1">IFERROR(MOD(EO46,EO48),"")</f>
        <v/>
      </c>
      <c r="EQ49" s="261"/>
      <c r="ER49" s="256" t="str">
        <f ca="1">IF(EO43&lt;&gt;"",ES45+ES46,"")</f>
        <v/>
      </c>
      <c r="ES49" s="257"/>
      <c r="ET49" s="71"/>
      <c r="EU49" s="78">
        <f t="shared" si="4"/>
        <v>14</v>
      </c>
      <c r="EV49" s="78" t="str">
        <f t="array" aca="1" ref="EV4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LEN(SUBSTITUTE(_xlfn.FORMULATEXT(EV$37),"=","")))+$EU49)</f>
        <v/>
      </c>
      <c r="EW49" s="78" t="str">
        <f t="array" aca="1" ref="EW4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LEN(SUBSTITUTE(_xlfn.FORMULATEXT(EW$37),"=","")))+$EU49)</f>
        <v/>
      </c>
      <c r="EX49" s="78" t="str">
        <f t="array" aca="1" ref="EX4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LEN(SUBSTITUTE(_xlfn.FORMULATEXT(EX$37),"=","")))+$EU49)</f>
        <v/>
      </c>
      <c r="EY49" s="78" t="str">
        <f t="array" aca="1" ref="EY4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LEN(SUBSTITUTE(_xlfn.FORMULATEXT(EY$37),"=","")))+$EU49)</f>
        <v/>
      </c>
      <c r="EZ49" s="78" t="str">
        <f t="array" aca="1" ref="EZ4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LEN(SUBSTITUTE(_xlfn.FORMULATEXT(EZ$37),"=","")))+$EU49)</f>
        <v/>
      </c>
      <c r="FA49" s="78" t="e">
        <f t="array" aca="1" ref="FA4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LEN(SUBSTITUTE(_xlfn.FORMULATEXT(FA$37),"=","")))+$EU49)</f>
        <v>#VALUE!</v>
      </c>
      <c r="FB49" s="78" t="e">
        <f t="array" aca="1" ref="FB4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LEN(SUBSTITUTE(_xlfn.FORMULATEXT(FB$37),"=","")))+$EU49)</f>
        <v>#VALUE!</v>
      </c>
      <c r="FC49" s="78" t="str">
        <f t="array" aca="1" ref="FC4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LEN(SUBSTITUTE(_xlfn.FORMULATEXT(FC$37),"=","")))+$EU49)</f>
        <v/>
      </c>
      <c r="FD49" s="78" t="e">
        <f t="array" aca="1" ref="FD4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LEN(SUBSTITUTE(_xlfn.FORMULATEXT(FD$37),"=","")))+$EU49)</f>
        <v>#VALUE!</v>
      </c>
      <c r="FE49" s="78" t="str">
        <f t="array" aca="1" ref="FE4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LEN(SUBSTITUTE(_xlfn.FORMULATEXT(FE$37),"=","")))+$EU49)</f>
        <v/>
      </c>
      <c r="FF49" s="78" t="e">
        <f t="array" aca="1" ref="FF4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LEN(SUBSTITUTE(_xlfn.FORMULATEXT(FF$37),"=","")))+$EU49)</f>
        <v>#VALUE!</v>
      </c>
      <c r="FG49" s="78">
        <f t="shared" ref="FG49" ca="1" si="5">IF(COUNTIF(FH49,"TRUE"),ROW(),0)</f>
        <v>0</v>
      </c>
      <c r="FH49" s="78" t="e">
        <f t="array" aca="1" ref="FH49" ca="1">SUMPRODUCT((LEN(EV49:FF49)&gt;0)*1)&gt;0</f>
        <v>#VALUE!</v>
      </c>
      <c r="FI49" s="78" t="str">
        <f t="array" aca="1" ref="FI49" ca="1">IFERROR(SMALL(IF(FG$1:FG$228&lt;&gt;0,FG$1:FG$228),ROW(A49)),"")</f>
        <v/>
      </c>
      <c r="FJ49" s="78" t="str">
        <f t="array" aca="1" ref="FJ49" ca="1">IF($FI49&lt;&gt;"",
INDIRECT(""&amp;IF(COLUMN(EV73)&lt;=26,CHAR(COLUMN(EV73)+64),CHAR(INT((COLUMN(EV73)-1)/26)+64)&amp;CHAR(MOD(COLUMN(EV73)-1,26)+65))&amp;$FI49&amp;""),"")</f>
        <v/>
      </c>
      <c r="FK49" s="78" t="str">
        <f t="array" aca="1" ref="FK49" ca="1">IF($FI49&lt;&gt;"",
INDIRECT(""&amp;IF(COLUMN(EW73)&lt;=26,CHAR(COLUMN(EW73)+64),CHAR(INT((COLUMN(EW73)-1)/26)+64)&amp;CHAR(MOD(COLUMN(EW73)-1,26)+65))&amp;$FI49&amp;""),"")</f>
        <v/>
      </c>
      <c r="FL49" s="78" t="str">
        <f t="array" aca="1" ref="FL49" ca="1">IF($FI49&lt;&gt;"",
INDIRECT(""&amp;IF(COLUMN(EX73)&lt;=26,CHAR(COLUMN(EX73)+64),CHAR(INT((COLUMN(EX73)-1)/26)+64)&amp;CHAR(MOD(COLUMN(EX73)-1,26)+65))&amp;$FI49&amp;""),"")</f>
        <v/>
      </c>
      <c r="FM49" s="78" t="str">
        <f t="array" aca="1" ref="FM49" ca="1">IF($FI49&lt;&gt;"",
IF(FL49="",
IF(INDIRECT("EY"&amp;$FI49&amp;"")&lt;&gt;"",
INDIRECT("EY"&amp;$FI49&amp;"")&amp;"箱"
&amp;INDIRECT("EZ"&amp;$FI49&amp;""),""),""),"")</f>
        <v/>
      </c>
      <c r="FN49" s="78" t="str">
        <f t="array" aca="1" ref="FN49" ca="1">IF($FI49&lt;&gt;"",
INDIRECT(""&amp;IF(COLUMN(FA73)&lt;=26,CHAR(COLUMN(FA73)+64),CHAR(INT((COLUMN(FA73)-1)/26)+64)&amp;CHAR(MOD(COLUMN(FA73)-1,26)+65))&amp;$FI49&amp;""),"")</f>
        <v/>
      </c>
      <c r="FO49" s="78" t="str">
        <f t="array" aca="1" ref="FO49" ca="1">IF($FI49&lt;&gt;"",
INDIRECT(""&amp;IF(COLUMN(FB73)&lt;=26,CHAR(COLUMN(FB73)+64),CHAR(INT((COLUMN(FB73)-1)/26)+64)&amp;CHAR(MOD(COLUMN(FB73)-1,26)+65))&amp;$FI49&amp;""),"")</f>
        <v/>
      </c>
      <c r="FP49" s="78" t="str">
        <f t="array" aca="1" ref="FP49" ca="1">IF($FI49&lt;&gt;"",
INDIRECT(""&amp;IF(COLUMN(FC73)&lt;=26,CHAR(COLUMN(FC73)+64),CHAR(INT((COLUMN(FC73)-1)/26)+64)&amp;CHAR(MOD(COLUMN(FC73)-1,26)+65))&amp;$FI49&amp;""),"")</f>
        <v/>
      </c>
      <c r="FQ49" s="78" t="str">
        <f t="array" aca="1" ref="FQ49" ca="1">IF($FI49&lt;&gt;"",
INDIRECT(""&amp;IF(COLUMN(FD73)&lt;=26,CHAR(COLUMN(FD73)+64),CHAR(INT((COLUMN(FD73)-1)/26)+64)&amp;CHAR(MOD(COLUMN(FD73)-1,26)+65))&amp;$FI49&amp;""),"")</f>
        <v/>
      </c>
      <c r="FR49" s="78" t="str">
        <f t="array" aca="1" ref="FR49" ca="1">IF($FI49&lt;&gt;"",
INDIRECT(""&amp;IF(COLUMN(FE73)&lt;=26,CHAR(COLUMN(FE73)+64),CHAR(INT((COLUMN(FE73)-1)/26)+64)&amp;CHAR(MOD(COLUMN(FE73)-1,26)+65))&amp;$FI49&amp;""),"")</f>
        <v/>
      </c>
      <c r="FS49" s="78" t="str">
        <f t="array" aca="1" ref="FS49" ca="1">IF($FI49&lt;&gt;"",
INDIRECT(""&amp;IF(COLUMN(FF73)&lt;=26,CHAR(COLUMN(FF73)+64),CHAR(INT((COLUMN(FF73)-1)/26)+64)&amp;CHAR(MOD(COLUMN(FF73)-1,26)+65))&amp;$FI49&amp;""),"")</f>
        <v/>
      </c>
    </row>
    <row r="50" spans="1:175" s="78" customFormat="1" ht="18" customHeight="1" x14ac:dyDescent="0.55000000000000004">
      <c r="A50" s="76"/>
      <c r="B50" s="77" t="str" cm="1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247" t="str">
        <f ca="1">IF(C53&lt;&gt;"",C8,"")</f>
        <v/>
      </c>
      <c r="D50" s="247"/>
      <c r="E50" s="247"/>
      <c r="F50" s="247"/>
      <c r="G50" s="231" t="str">
        <f>SUBSTITUTE(ADDRESS(1,
COLUMN(),1),"1","")</f>
        <v>$G$</v>
      </c>
      <c r="H50" s="76"/>
      <c r="I50" s="77" t="str" cm="1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247" t="str">
        <f ca="1">IF(J53&lt;&gt;"",J8,"")</f>
        <v/>
      </c>
      <c r="K50" s="247"/>
      <c r="L50" s="247"/>
      <c r="M50" s="247"/>
      <c r="N50" s="231" t="str">
        <f>SUBSTITUTE(ADDRESS(1,
COLUMN(),1),"1","")</f>
        <v>$N$</v>
      </c>
      <c r="O50" s="76"/>
      <c r="P50" s="76"/>
      <c r="Q50" s="77" t="str" cm="1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247" t="str">
        <f ca="1">IF(R53&lt;&gt;"",R8,"")</f>
        <v/>
      </c>
      <c r="S50" s="247"/>
      <c r="T50" s="247"/>
      <c r="U50" s="247"/>
      <c r="V50" s="231" t="str">
        <f>SUBSTITUTE(ADDRESS(1,
COLUMN(),1),"1","")</f>
        <v>$V$</v>
      </c>
      <c r="W50" s="76"/>
      <c r="X50" s="77" t="str" cm="1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247" t="str">
        <f ca="1">IF(Y53&lt;&gt;"",Y8,"")</f>
        <v/>
      </c>
      <c r="Z50" s="247"/>
      <c r="AA50" s="247"/>
      <c r="AB50" s="247"/>
      <c r="AC50" s="231" t="str">
        <f>SUBSTITUTE(ADDRESS(1,
COLUMN(),1),"1","")</f>
        <v>$AC$</v>
      </c>
      <c r="AD50" s="76"/>
      <c r="AE50" s="76"/>
      <c r="AF50" s="77" t="str" cm="1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247" t="str">
        <f ca="1">IF(AG53&lt;&gt;"",AG8,"")</f>
        <v/>
      </c>
      <c r="AH50" s="247"/>
      <c r="AI50" s="247"/>
      <c r="AJ50" s="247"/>
      <c r="AK50" s="231" t="str">
        <f>SUBSTITUTE(ADDRESS(1,
COLUMN(),1),"1","")</f>
        <v>$AK$</v>
      </c>
      <c r="AL50" s="76"/>
      <c r="AM50" s="77" t="str" cm="1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247" t="str">
        <f ca="1">IF(AN53&lt;&gt;"",AN8,"")</f>
        <v/>
      </c>
      <c r="AO50" s="247"/>
      <c r="AP50" s="247"/>
      <c r="AQ50" s="247"/>
      <c r="AR50" s="231" t="str">
        <f>SUBSTITUTE(ADDRESS(1,
COLUMN(),1),"1","")</f>
        <v>$AR$</v>
      </c>
      <c r="AS50" s="76"/>
      <c r="AT50" s="76"/>
      <c r="AU50" s="77" t="str" cm="1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247" t="str">
        <f ca="1">IF(AV53&lt;&gt;"",AV8,"")</f>
        <v/>
      </c>
      <c r="AW50" s="247"/>
      <c r="AX50" s="247"/>
      <c r="AY50" s="247"/>
      <c r="AZ50" s="231" t="str">
        <f>SUBSTITUTE(ADDRESS(1,
COLUMN(),1),"1","")</f>
        <v>$AZ$</v>
      </c>
      <c r="BA50" s="76"/>
      <c r="BB50" s="77" t="str" cm="1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247" t="str">
        <f ca="1">IF(BC53&lt;&gt;"",BC8,"")</f>
        <v/>
      </c>
      <c r="BD50" s="247"/>
      <c r="BE50" s="247"/>
      <c r="BF50" s="247"/>
      <c r="BG50" s="231" t="str">
        <f>SUBSTITUTE(ADDRESS(1,
COLUMN(),1),"1","")</f>
        <v>$BG$</v>
      </c>
      <c r="BH50" s="76"/>
      <c r="BI50" s="76"/>
      <c r="BJ50" s="77" t="str" cm="1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247" t="str">
        <f ca="1">IF(BK53&lt;&gt;"",BK8,"")</f>
        <v/>
      </c>
      <c r="BL50" s="247"/>
      <c r="BM50" s="247"/>
      <c r="BN50" s="247"/>
      <c r="BO50" s="231" t="str">
        <f>SUBSTITUTE(ADDRESS(1,
COLUMN(),1),"1","")</f>
        <v>$BO$</v>
      </c>
      <c r="BP50" s="76"/>
      <c r="BQ50" s="77" t="str" cm="1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247" t="str">
        <f ca="1">IF(BR53&lt;&gt;"",BR8,"")</f>
        <v/>
      </c>
      <c r="BS50" s="247"/>
      <c r="BT50" s="247"/>
      <c r="BU50" s="247"/>
      <c r="BV50" s="231" t="str">
        <f>SUBSTITUTE(ADDRESS(1,
COLUMN(),1),"1","")</f>
        <v>$BV$</v>
      </c>
      <c r="BW50" s="76"/>
      <c r="BX50" s="76"/>
      <c r="BY50" s="77" t="str" cm="1">
        <f t="array" aca="1" ref="BY50" ca="1">IF(COUNTIF(CD8,"*合計*"),"",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</f>
        <v/>
      </c>
      <c r="BZ50" s="247" t="str">
        <f ca="1">IF(BZ53&lt;&gt;"",BZ8,"")</f>
        <v/>
      </c>
      <c r="CA50" s="247"/>
      <c r="CB50" s="247"/>
      <c r="CC50" s="247"/>
      <c r="CD50" s="231" t="str">
        <f>SUBSTITUTE(ADDRESS(1,
COLUMN(),1),"1","")</f>
        <v>$CD$</v>
      </c>
      <c r="CE50" s="76"/>
      <c r="CF50" s="77" t="str" cm="1">
        <f t="array" aca="1" ref="CF50" ca="1">IF(COUNTIF(CK8,"*合計*"),"",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</f>
        <v/>
      </c>
      <c r="CG50" s="247" t="str">
        <f ca="1">IF(CG53&lt;&gt;"",CG8,"")</f>
        <v/>
      </c>
      <c r="CH50" s="247"/>
      <c r="CI50" s="247"/>
      <c r="CJ50" s="247"/>
      <c r="CK50" s="231" t="str">
        <f>SUBSTITUTE(ADDRESS(1,
COLUMN(),1),"1","")</f>
        <v>$CK$</v>
      </c>
      <c r="CL50" s="76"/>
      <c r="CM50" s="76"/>
      <c r="CN50" s="77" t="str" cm="1">
        <f t="array" aca="1" ref="CN50" ca="1">IF(COUNTIF(CS8,"*合計*"),"",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</f>
        <v/>
      </c>
      <c r="CO50" s="247" t="str">
        <f ca="1">IF(CO53&lt;&gt;"",CO8,"")</f>
        <v/>
      </c>
      <c r="CP50" s="247"/>
      <c r="CQ50" s="247"/>
      <c r="CR50" s="247"/>
      <c r="CS50" s="231" t="str">
        <f>SUBSTITUTE(ADDRESS(1,
COLUMN(),1),"1","")</f>
        <v>$CS$</v>
      </c>
      <c r="CT50" s="76"/>
      <c r="CU50" s="77" t="str" cm="1">
        <f t="array" aca="1" ref="CU50" ca="1">IF(COUNTIF(CZ8,"*合計*"),"",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</f>
        <v/>
      </c>
      <c r="CV50" s="247" t="str">
        <f ca="1">IF(CV53&lt;&gt;"",CV8,"")</f>
        <v/>
      </c>
      <c r="CW50" s="247"/>
      <c r="CX50" s="247"/>
      <c r="CY50" s="247"/>
      <c r="CZ50" s="231" t="str">
        <f>SUBSTITUTE(ADDRESS(1,
COLUMN(),1),"1","")</f>
        <v>$CZ$</v>
      </c>
      <c r="DA50" s="76"/>
      <c r="DB50" s="76"/>
      <c r="DC50" s="77" t="str" cm="1">
        <f t="array" aca="1" ref="DC50" ca="1">IF(COUNTIF(DH8,"*合計*"),"",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</f>
        <v/>
      </c>
      <c r="DD50" s="247" t="str">
        <f ca="1">IF(DD53&lt;&gt;"",DD8,"")</f>
        <v/>
      </c>
      <c r="DE50" s="247"/>
      <c r="DF50" s="247"/>
      <c r="DG50" s="247"/>
      <c r="DH50" s="231" t="str">
        <f>SUBSTITUTE(ADDRESS(1,
COLUMN(),1),"1","")</f>
        <v>$DH$</v>
      </c>
      <c r="DI50" s="76"/>
      <c r="DJ50" s="77" t="str" cm="1">
        <f t="array" aca="1" ref="DJ50" ca="1">IF(COUNTIF(DO8,"*合計*"),"",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</f>
        <v/>
      </c>
      <c r="DK50" s="247" t="str">
        <f ca="1">IF(DK53&lt;&gt;"",DK8,"")</f>
        <v/>
      </c>
      <c r="DL50" s="247"/>
      <c r="DM50" s="247"/>
      <c r="DN50" s="247"/>
      <c r="DO50" s="231" t="str">
        <f>SUBSTITUTE(ADDRESS(1,
COLUMN(),1),"1","")</f>
        <v>$DO$</v>
      </c>
      <c r="DP50" s="76"/>
      <c r="DQ50" s="76"/>
      <c r="DR50" s="77" t="str" cm="1">
        <f t="array" aca="1" ref="DR50" ca="1">IF(COUNTIF(DW8,"*合計*"),"",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</f>
        <v/>
      </c>
      <c r="DS50" s="247" t="str">
        <f ca="1">IF(DS53&lt;&gt;"",DS8,"")</f>
        <v/>
      </c>
      <c r="DT50" s="247"/>
      <c r="DU50" s="247"/>
      <c r="DV50" s="247"/>
      <c r="DW50" s="231" t="str">
        <f>SUBSTITUTE(ADDRESS(1,
COLUMN(),1),"1","")</f>
        <v>$DW$</v>
      </c>
      <c r="DX50" s="76"/>
      <c r="DY50" s="77" t="str" cm="1">
        <f t="array" aca="1" ref="DY50" ca="1">IF(COUNTIF(ED8,"*合計*"),"",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</f>
        <v/>
      </c>
      <c r="DZ50" s="247" t="str">
        <f ca="1">IF(DZ53&lt;&gt;"",DZ8,"")</f>
        <v/>
      </c>
      <c r="EA50" s="247"/>
      <c r="EB50" s="247"/>
      <c r="EC50" s="247"/>
      <c r="ED50" s="231" t="str">
        <f>SUBSTITUTE(ADDRESS(1,
COLUMN(),1),"1","")</f>
        <v>$ED$</v>
      </c>
      <c r="EE50" s="76"/>
      <c r="EF50" s="76"/>
      <c r="EG50" s="77" t="str" cm="1">
        <f t="array" aca="1" ref="EG50" ca="1">IF(COUNTIF(EL8,"*合計*"),"",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</f>
        <v/>
      </c>
      <c r="EH50" s="247" t="str">
        <f ca="1">IF(EH53&lt;&gt;"",EH8,"")</f>
        <v/>
      </c>
      <c r="EI50" s="247"/>
      <c r="EJ50" s="247"/>
      <c r="EK50" s="247"/>
      <c r="EL50" s="231" t="str">
        <f>SUBSTITUTE(ADDRESS(1,
COLUMN(),1),"1","")</f>
        <v>$EL$</v>
      </c>
      <c r="EM50" s="76"/>
      <c r="EN50" s="77" t="str" cm="1">
        <f t="array" aca="1" ref="EN50" ca="1">IF(COUNTIF(ES8,"*合計*"),"",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</f>
        <v/>
      </c>
      <c r="EO50" s="247" t="str">
        <f ca="1">IF(EO53&lt;&gt;"",EO8,"")</f>
        <v/>
      </c>
      <c r="EP50" s="247"/>
      <c r="EQ50" s="247"/>
      <c r="ER50" s="247"/>
      <c r="ES50" s="231" t="str">
        <f>SUBSTITUTE(ADDRESS(1,
COLUMN(),1),"1","")</f>
        <v>$ES$</v>
      </c>
      <c r="ET50" s="106"/>
      <c r="EU50" s="78">
        <f t="shared" si="4"/>
        <v>56</v>
      </c>
      <c r="EV50" s="78" t="str">
        <f t="array" aca="1" ref="EV50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LEN(SUBSTITUTE(_xlfn.FORMULATEXT(EV$37),"=","")))+$EU50)</f>
        <v/>
      </c>
      <c r="EW50" s="78" t="str">
        <f t="array" aca="1" ref="EW50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LEN(SUBSTITUTE(_xlfn.FORMULATEXT(EW$37),"=","")))+$EU50)</f>
        <v/>
      </c>
      <c r="EX50" s="78" t="str">
        <f t="array" aca="1" ref="EX50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LEN(SUBSTITUTE(_xlfn.FORMULATEXT(EX$37),"=","")))+$EU50)</f>
        <v/>
      </c>
      <c r="EY50" s="78" t="str">
        <f t="array" aca="1" ref="EY50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LEN(SUBSTITUTE(_xlfn.FORMULATEXT(EY$37),"=","")))+$EU50)</f>
        <v/>
      </c>
      <c r="EZ50" s="78" t="str">
        <f t="array" aca="1" ref="EZ50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LEN(SUBSTITUTE(_xlfn.FORMULATEXT(EZ$37),"=","")))+$EU50)</f>
        <v/>
      </c>
      <c r="FA50" s="78" t="str">
        <f t="array" aca="1" ref="FA50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LEN(SUBSTITUTE(_xlfn.FORMULATEXT(FA$37),"=","")))+$EU50)</f>
        <v/>
      </c>
      <c r="FB50" s="78" t="str">
        <f t="array" aca="1" ref="FB50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LEN(SUBSTITUTE(_xlfn.FORMULATEXT(FB$37),"=","")))+$EU50)</f>
        <v/>
      </c>
      <c r="FC50" s="78" t="str">
        <f t="array" aca="1" ref="FC50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LEN(SUBSTITUTE(_xlfn.FORMULATEXT(FC$37),"=","")))+$EU50)</f>
        <v/>
      </c>
      <c r="FD50" s="78" t="str">
        <f t="array" aca="1" ref="FD50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LEN(SUBSTITUTE(_xlfn.FORMULATEXT(FD$37),"=","")))+$EU50)</f>
        <v/>
      </c>
      <c r="FE50" s="78" t="str">
        <f t="array" aca="1" ref="FE50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LEN(SUBSTITUTE(_xlfn.FORMULATEXT(FE$37),"=","")))+$EU50)</f>
        <v/>
      </c>
      <c r="FF50" s="78" t="str">
        <f t="array" aca="1" ref="FF50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LEN(SUBSTITUTE(_xlfn.FORMULATEXT(FF$37),"=","")))+$EU50)</f>
        <v/>
      </c>
      <c r="FG50" s="78">
        <f t="shared" ref="FG50:FG81" ca="1" si="6">IF(COUNTIF(FH50,"TRUE"),ROW(),0)</f>
        <v>0</v>
      </c>
      <c r="FH50" s="78" t="b">
        <f t="array" aca="1" ref="FH50" ca="1">SUMPRODUCT((LEN(EV50:FF50)&gt;0)*1)&gt;0</f>
        <v>0</v>
      </c>
      <c r="FI50" s="78" t="str">
        <f t="array" aca="1" ref="FI50" ca="1">IFERROR(SMALL(IF(FG$1:FG$228&lt;&gt;0,FG$1:FG$228),ROW(A50)),"")</f>
        <v/>
      </c>
      <c r="FJ50" s="78" t="str">
        <f t="array" aca="1" ref="FJ50" ca="1">IF($FI50&lt;&gt;"",
INDIRECT(""&amp;IF(COLUMN(EV74)&lt;=26,CHAR(COLUMN(EV74)+64),CHAR(INT((COLUMN(EV74)-1)/26)+64)&amp;CHAR(MOD(COLUMN(EV74)-1,26)+65))&amp;$FI50&amp;""),"")</f>
        <v/>
      </c>
      <c r="FK50" s="78" t="str">
        <f t="array" aca="1" ref="FK50" ca="1">IF($FI50&lt;&gt;"",
INDIRECT(""&amp;IF(COLUMN(EW74)&lt;=26,CHAR(COLUMN(EW74)+64),CHAR(INT((COLUMN(EW74)-1)/26)+64)&amp;CHAR(MOD(COLUMN(EW74)-1,26)+65))&amp;$FI50&amp;""),"")</f>
        <v/>
      </c>
      <c r="FL50" s="78" t="str">
        <f t="array" aca="1" ref="FL50" ca="1">IF($FI50&lt;&gt;"",
INDIRECT(""&amp;IF(COLUMN(EX74)&lt;=26,CHAR(COLUMN(EX74)+64),CHAR(INT((COLUMN(EX74)-1)/26)+64)&amp;CHAR(MOD(COLUMN(EX74)-1,26)+65))&amp;$FI50&amp;""),"")</f>
        <v/>
      </c>
      <c r="FM50" s="78" t="str">
        <f t="array" aca="1" ref="FM50" ca="1">IF($FI50&lt;&gt;"",
IF(FL50="",
IF(INDIRECT("EY"&amp;$FI50&amp;"")&lt;&gt;"",
INDIRECT("EY"&amp;$FI50&amp;"")&amp;"箱"
&amp;INDIRECT("EZ"&amp;$FI50&amp;""),""),""),"")</f>
        <v/>
      </c>
      <c r="FN50" s="78" t="str">
        <f t="array" aca="1" ref="FN50" ca="1">IF($FI50&lt;&gt;"",
INDIRECT(""&amp;IF(COLUMN(FA74)&lt;=26,CHAR(COLUMN(FA74)+64),CHAR(INT((COLUMN(FA74)-1)/26)+64)&amp;CHAR(MOD(COLUMN(FA74)-1,26)+65))&amp;$FI50&amp;""),"")</f>
        <v/>
      </c>
      <c r="FO50" s="78" t="str">
        <f t="array" aca="1" ref="FO50" ca="1">IF($FI50&lt;&gt;"",
INDIRECT(""&amp;IF(COLUMN(FB74)&lt;=26,CHAR(COLUMN(FB74)+64),CHAR(INT((COLUMN(FB74)-1)/26)+64)&amp;CHAR(MOD(COLUMN(FB74)-1,26)+65))&amp;$FI50&amp;""),"")</f>
        <v/>
      </c>
      <c r="FP50" s="78" t="str">
        <f t="array" aca="1" ref="FP50" ca="1">IF($FI50&lt;&gt;"",
INDIRECT(""&amp;IF(COLUMN(FC74)&lt;=26,CHAR(COLUMN(FC74)+64),CHAR(INT((COLUMN(FC74)-1)/26)+64)&amp;CHAR(MOD(COLUMN(FC74)-1,26)+65))&amp;$FI50&amp;""),"")</f>
        <v/>
      </c>
      <c r="FQ50" s="78" t="str">
        <f t="array" aca="1" ref="FQ50" ca="1">IF($FI50&lt;&gt;"",
INDIRECT(""&amp;IF(COLUMN(FD74)&lt;=26,CHAR(COLUMN(FD74)+64),CHAR(INT((COLUMN(FD74)-1)/26)+64)&amp;CHAR(MOD(COLUMN(FD74)-1,26)+65))&amp;$FI50&amp;""),"")</f>
        <v/>
      </c>
      <c r="FR50" s="78" t="str">
        <f t="array" aca="1" ref="FR50" ca="1">IF($FI50&lt;&gt;"",
INDIRECT(""&amp;IF(COLUMN(FE74)&lt;=26,CHAR(COLUMN(FE74)+64),CHAR(INT((COLUMN(FE74)-1)/26)+64)&amp;CHAR(MOD(COLUMN(FE74)-1,26)+65))&amp;$FI50&amp;""),"")</f>
        <v/>
      </c>
      <c r="FS50" s="78" t="str">
        <f t="array" aca="1" ref="FS50" ca="1">IF($FI50&lt;&gt;"",
INDIRECT(""&amp;IF(COLUMN(FF74)&lt;=26,CHAR(COLUMN(FF74)+64),CHAR(INT((COLUMN(FF74)-1)/26)+64)&amp;CHAR(MOD(COLUMN(FF74)-1,26)+65))&amp;$FI50&amp;""),"")</f>
        <v/>
      </c>
    </row>
    <row r="51" spans="1:175" s="78" customFormat="1" ht="18" customHeight="1" x14ac:dyDescent="0.55000000000000004">
      <c r="A51" s="76"/>
      <c r="B51" s="81" t="e" cm="1">
        <f t="array" aca="1" ref="B51" ca="1">IF(INDIRECT(""&amp;SUBSTITUTE(ADDRESS(1,
COLUMN(),1),"1","")&amp;ROW()-41&amp;"")&lt;&gt;100,
IF(C53&lt;&gt;"",MATCH(C53,INDIRECT("数出表_Excel!B"&amp;MATCH(INDIRECT(""&amp;G50&amp;ROW()-43&amp;""),数出表_Excel!$A:$A,0)-1&amp;":U"&amp;MATCH(INDIRECT(""&amp;G50&amp;ROW()-43&amp;""),数出表_Excel!$A:$A,0)-1&amp;""),0)+1,""),
IF(C53&lt;&gt;"",
MATCH(
IFERROR(
INDEX(INDIRECT("数出表_Excel!"&amp;B50&amp;MATCH(INDIRECT(""&amp;G50&amp;ROW()-43&amp;""),数出表_Excel!$A:$A,0)-1&amp;":U"&amp;MATCH(INDIRECT(""&amp;G50&amp;ROW()-43&amp;""),数出表_Excel!$A:$A,0)-1&amp;""),
 1,
 MATCH(TRUE, ISNUMBER(--INDIRECT("数出表_Excel!"&amp;B50&amp;MATCH(INDIRECT(""&amp;G50&amp;ROW()-43&amp;""),数出表_Excel!$A:$A,0)-1&amp;":U"&amp;MATCH(INDIRECT(""&amp;G50&amp;ROW()-43&amp;""),数出表_Excel!$A:$A,0)-1&amp;"")), 0)),
 ""),
INDIRECT("数出表_Excel!B"&amp;MATCH(INDIRECT(""&amp;G50&amp;ROW()-43&amp;""),数出表_Excel!$A:$A,0)-1&amp;":U"&amp;MATCH(INDIRECT(""&amp;G50&amp;ROW()-43&amp;""),数出表_Excel!$A:$A,0)-1&amp;""),0)+1,""))</f>
        <v>#VALUE!</v>
      </c>
      <c r="C51" s="58" t="str" cm="1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76"/>
      <c r="E51" s="82" t="str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83" t="str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92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76"/>
      <c r="I51" s="81" t="e" cm="1">
        <f t="array" aca="1" ref="I51" ca="1">IF(INDIRECT(""&amp;SUBSTITUTE(ADDRESS(1,
COLUMN(),1),"1","")&amp;ROW()-41&amp;"")&lt;&gt;100,
IF(J53&lt;&gt;"",MATCH(J53,INDIRECT("数出表_Excel!B"&amp;MATCH(INDIRECT(""&amp;N50&amp;ROW()-43&amp;""),数出表_Excel!$A:$A,0)-1&amp;":U"&amp;MATCH(INDIRECT(""&amp;N50&amp;ROW()-43&amp;""),数出表_Excel!$A:$A,0)-1&amp;""),0)+1,""),
IF(J53&lt;&gt;"",
MATCH(
IFERROR(
INDEX(INDIRECT("数出表_Excel!"&amp;I50&amp;MATCH(INDIRECT(""&amp;N50&amp;ROW()-43&amp;""),数出表_Excel!$A:$A,0)-1&amp;":U"&amp;MATCH(INDIRECT(""&amp;N50&amp;ROW()-43&amp;""),数出表_Excel!$A:$A,0)-1&amp;""),
 1,
 MATCH(TRUE, ISNUMBER(--INDIRECT("数出表_Excel!"&amp;I50&amp;MATCH(INDIRECT(""&amp;N50&amp;ROW()-43&amp;""),数出表_Excel!$A:$A,0)-1&amp;":U"&amp;MATCH(INDIRECT(""&amp;N50&amp;ROW()-43&amp;""),数出表_Excel!$A:$A,0)-1&amp;"")), 0)),
 ""),
INDIRECT("数出表_Excel!B"&amp;MATCH(INDIRECT(""&amp;N50&amp;ROW()-43&amp;""),数出表_Excel!$A:$A,0)-1&amp;":U"&amp;MATCH(INDIRECT(""&amp;N50&amp;ROW()-43&amp;""),数出表_Excel!$A:$A,0)-1&amp;""),0)+1,""))</f>
        <v>#VALUE!</v>
      </c>
      <c r="J51" s="58" t="str" cm="1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76"/>
      <c r="L51" s="82" t="str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+MATCH(TRUE,INDIRECT("'数出表_Excel'!"&amp;I50&amp;MATCH(N8,数出表_Excel!$A:$A,0)-1&amp;":AL"&amp;MATCH(N8,数出表_Excel!$A:$A,0)-1&amp;"")&lt;&gt;"",0))&gt;12,"",
IFERROR(
INDEX(INDIRECT("数出表_Excel!$"&amp;I50&amp;"4:$AL4"),
 1,
MATCH(TRUE,INDIRECT("'数出表_Excel'!"&amp;I50&amp;MATCH(N8,数出表_Excel!$A:$A,0)-1&amp;":AL"&amp;MATCH(N8,数出表_Excel!$A:$A,0)-1&amp;"")&lt;&gt;"",0)
),
 "")
&amp;IFERROR(
INDEX(INDIRECT("数出表_Excel!$"&amp;I50&amp;"5:$AL5"),
 1,
MATCH(TRUE,INDIRECT("'数出表_Excel'!"&amp;I50&amp;MATCH(N8,数出表_Excel!$A:$A,0)-1&amp;":AL"&amp;MATCH(N8,数出表_Excel!$A:$A,0)-1&amp;"")&lt;&gt;"",0)),
 "")),"")))</f>
        <v/>
      </c>
      <c r="M51" s="83" t="str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92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76"/>
      <c r="P51" s="76"/>
      <c r="Q51" s="81" t="e" cm="1">
        <f t="array" aca="1" ref="Q51" ca="1">IF(INDIRECT(""&amp;SUBSTITUTE(ADDRESS(1,
COLUMN(),1),"1","")&amp;ROW()-41&amp;"")&lt;&gt;100,
IF(R53&lt;&gt;"",MATCH(R53,INDIRECT("数出表_Excel!B"&amp;MATCH(INDIRECT(""&amp;V50&amp;ROW()-43&amp;""),数出表_Excel!$A:$A,0)-1&amp;":U"&amp;MATCH(INDIRECT(""&amp;V50&amp;ROW()-43&amp;""),数出表_Excel!$A:$A,0)-1&amp;""),0)+1,""),
IF(R53&lt;&gt;"",
MATCH(
IFERROR(
INDEX(INDIRECT("数出表_Excel!"&amp;Q50&amp;MATCH(INDIRECT(""&amp;V50&amp;ROW()-43&amp;""),数出表_Excel!$A:$A,0)-1&amp;":U"&amp;MATCH(INDIRECT(""&amp;V50&amp;ROW()-43&amp;""),数出表_Excel!$A:$A,0)-1&amp;""),
 1,
 MATCH(TRUE, ISNUMBER(--INDIRECT("数出表_Excel!"&amp;Q50&amp;MATCH(INDIRECT(""&amp;V50&amp;ROW()-43&amp;""),数出表_Excel!$A:$A,0)-1&amp;":U"&amp;MATCH(INDIRECT(""&amp;V50&amp;ROW()-43&amp;""),数出表_Excel!$A:$A,0)-1&amp;"")), 0)),
 ""),
INDIRECT("数出表_Excel!B"&amp;MATCH(INDIRECT(""&amp;V50&amp;ROW()-43&amp;""),数出表_Excel!$A:$A,0)-1&amp;":U"&amp;MATCH(INDIRECT(""&amp;V50&amp;ROW()-43&amp;""),数出表_Excel!$A:$A,0)-1&amp;""),0)+1,""))</f>
        <v>#VALUE!</v>
      </c>
      <c r="R51" s="58" t="str" cm="1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76"/>
      <c r="T51" s="82" t="str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83" t="str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92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76"/>
      <c r="X51" s="81" t="e" cm="1">
        <f t="array" aca="1" ref="X51" ca="1">IF(INDIRECT(""&amp;SUBSTITUTE(ADDRESS(1,
COLUMN(),1),"1","")&amp;ROW()-41&amp;"")&lt;&gt;100,
IF(Y53&lt;&gt;"",MATCH(Y53,INDIRECT("数出表_Excel!B"&amp;MATCH(INDIRECT(""&amp;AC50&amp;ROW()-43&amp;""),数出表_Excel!$A:$A,0)-1&amp;":U"&amp;MATCH(INDIRECT(""&amp;AC50&amp;ROW()-43&amp;""),数出表_Excel!$A:$A,0)-1&amp;""),0)+1,""),
IF(Y53&lt;&gt;"",
MATCH(
IFERROR(
INDEX(INDIRECT("数出表_Excel!"&amp;X50&amp;MATCH(INDIRECT(""&amp;AC50&amp;ROW()-43&amp;""),数出表_Excel!$A:$A,0)-1&amp;":U"&amp;MATCH(INDIRECT(""&amp;AC50&amp;ROW()-43&amp;""),数出表_Excel!$A:$A,0)-1&amp;""),
 1,
 MATCH(TRUE, ISNUMBER(--INDIRECT("数出表_Excel!"&amp;X50&amp;MATCH(INDIRECT(""&amp;AC50&amp;ROW()-43&amp;""),数出表_Excel!$A:$A,0)-1&amp;":U"&amp;MATCH(INDIRECT(""&amp;AC50&amp;ROW()-43&amp;""),数出表_Excel!$A:$A,0)-1&amp;"")), 0)),
 ""),
INDIRECT("数出表_Excel!B"&amp;MATCH(INDIRECT(""&amp;AC50&amp;ROW()-43&amp;""),数出表_Excel!$A:$A,0)-1&amp;":U"&amp;MATCH(INDIRECT(""&amp;AC50&amp;ROW()-43&amp;""),数出表_Excel!$A:$A,0)-1&amp;""),0)+1,""))</f>
        <v>#VALUE!</v>
      </c>
      <c r="Y51" s="58" t="str" cm="1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76"/>
      <c r="AA51" s="82" t="str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+MATCH(TRUE,INDIRECT("'数出表_Excel'!"&amp;X50&amp;MATCH(AC8,数出表_Excel!$A:$A,0)-1&amp;":AL"&amp;MATCH(AC8,数出表_Excel!$A:$A,0)-1&amp;"")&lt;&gt;"",0))&gt;12,"",
IFERROR(
INDEX(INDIRECT("数出表_Excel!$"&amp;X50&amp;"4:$AL4"),
 1,
MATCH(TRUE,INDIRECT("'数出表_Excel'!"&amp;X50&amp;MATCH(AC8,数出表_Excel!$A:$A,0)-1&amp;":AL"&amp;MATCH(AC8,数出表_Excel!$A:$A,0)-1&amp;"")&lt;&gt;"",0)
),
 "")
&amp;IFERROR(
INDEX(INDIRECT("数出表_Excel!$"&amp;X50&amp;"5:$AL5"),
 1,
MATCH(TRUE,INDIRECT("'数出表_Excel'!"&amp;X50&amp;MATCH(AC8,数出表_Excel!$A:$A,0)-1&amp;":AL"&amp;MATCH(AC8,数出表_Excel!$A:$A,0)-1&amp;"")&lt;&gt;"",0)),
 "")),"")))</f>
        <v/>
      </c>
      <c r="AB51" s="83" t="str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92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76"/>
      <c r="AE51" s="76"/>
      <c r="AF51" s="81" t="e" cm="1">
        <f t="array" aca="1" ref="AF51" ca="1">IF(INDIRECT(""&amp;SUBSTITUTE(ADDRESS(1,
COLUMN(),1),"1","")&amp;ROW()-41&amp;"")&lt;&gt;100,
IF(AG53&lt;&gt;"",MATCH(AG53,INDIRECT("数出表_Excel!B"&amp;MATCH(INDIRECT(""&amp;AK50&amp;ROW()-43&amp;""),数出表_Excel!$A:$A,0)-1&amp;":U"&amp;MATCH(INDIRECT(""&amp;AK50&amp;ROW()-43&amp;""),数出表_Excel!$A:$A,0)-1&amp;""),0)+1,""),
IF(AG53&lt;&gt;"",
MATCH(
IFERROR(
INDEX(INDIRECT("数出表_Excel!"&amp;AF50&amp;MATCH(INDIRECT(""&amp;AK50&amp;ROW()-43&amp;""),数出表_Excel!$A:$A,0)-1&amp;":U"&amp;MATCH(INDIRECT(""&amp;AK50&amp;ROW()-43&amp;""),数出表_Excel!$A:$A,0)-1&amp;""),
 1,
 MATCH(TRUE, ISNUMBER(--INDIRECT("数出表_Excel!"&amp;AF50&amp;MATCH(INDIRECT(""&amp;AK50&amp;ROW()-43&amp;""),数出表_Excel!$A:$A,0)-1&amp;":U"&amp;MATCH(INDIRECT(""&amp;AK50&amp;ROW()-43&amp;""),数出表_Excel!$A:$A,0)-1&amp;"")), 0)),
 ""),
INDIRECT("数出表_Excel!B"&amp;MATCH(INDIRECT(""&amp;AK50&amp;ROW()-43&amp;""),数出表_Excel!$A:$A,0)-1&amp;":U"&amp;MATCH(INDIRECT(""&amp;AK50&amp;ROW()-43&amp;""),数出表_Excel!$A:$A,0)-1&amp;""),0)+1,""))</f>
        <v>#VALUE!</v>
      </c>
      <c r="AG51" s="58" t="str" cm="1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76"/>
      <c r="AI51" s="82" t="str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83" t="str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92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76"/>
      <c r="AM51" s="81" t="e" cm="1">
        <f t="array" aca="1" ref="AM51" ca="1">IF(INDIRECT(""&amp;SUBSTITUTE(ADDRESS(1,
COLUMN(),1),"1","")&amp;ROW()-41&amp;"")&lt;&gt;100,
IF(AN53&lt;&gt;"",MATCH(AN53,INDIRECT("数出表_Excel!B"&amp;MATCH(INDIRECT(""&amp;AR50&amp;ROW()-43&amp;""),数出表_Excel!$A:$A,0)-1&amp;":U"&amp;MATCH(INDIRECT(""&amp;AR50&amp;ROW()-43&amp;""),数出表_Excel!$A:$A,0)-1&amp;""),0)+1,""),
IF(AN53&lt;&gt;"",
MATCH(
IFERROR(
INDEX(INDIRECT("数出表_Excel!"&amp;AM50&amp;MATCH(INDIRECT(""&amp;AR50&amp;ROW()-43&amp;""),数出表_Excel!$A:$A,0)-1&amp;":U"&amp;MATCH(INDIRECT(""&amp;AR50&amp;ROW()-43&amp;""),数出表_Excel!$A:$A,0)-1&amp;""),
 1,
 MATCH(TRUE, ISNUMBER(--INDIRECT("数出表_Excel!"&amp;AM50&amp;MATCH(INDIRECT(""&amp;AR50&amp;ROW()-43&amp;""),数出表_Excel!$A:$A,0)-1&amp;":U"&amp;MATCH(INDIRECT(""&amp;AR50&amp;ROW()-43&amp;""),数出表_Excel!$A:$A,0)-1&amp;"")), 0)),
 ""),
INDIRECT("数出表_Excel!B"&amp;MATCH(INDIRECT(""&amp;AR50&amp;ROW()-43&amp;""),数出表_Excel!$A:$A,0)-1&amp;":U"&amp;MATCH(INDIRECT(""&amp;AR50&amp;ROW()-43&amp;""),数出表_Excel!$A:$A,0)-1&amp;""),0)+1,""))</f>
        <v>#VALUE!</v>
      </c>
      <c r="AN51" s="58" t="str" cm="1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76"/>
      <c r="AP51" s="82" t="str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+MATCH(TRUE,INDIRECT("'数出表_Excel'!"&amp;AM50&amp;MATCH(AR8,数出表_Excel!$A:$A,0)-1&amp;":AL"&amp;MATCH(AR8,数出表_Excel!$A:$A,0)-1&amp;"")&lt;&gt;"",0))&gt;12,"",
IFERROR(
INDEX(INDIRECT("数出表_Excel!$"&amp;AM50&amp;"4:$AL4"),
 1,
MATCH(TRUE,INDIRECT("'数出表_Excel'!"&amp;AM50&amp;MATCH(AR8,数出表_Excel!$A:$A,0)-1&amp;":AL"&amp;MATCH(AR8,数出表_Excel!$A:$A,0)-1&amp;"")&lt;&gt;"",0)
),
 "")
&amp;IFERROR(
INDEX(INDIRECT("数出表_Excel!$"&amp;AM50&amp;"5:$AL5"),
 1,
MATCH(TRUE,INDIRECT("'数出表_Excel'!"&amp;AM50&amp;MATCH(AR8,数出表_Excel!$A:$A,0)-1&amp;":AL"&amp;MATCH(AR8,数出表_Excel!$A:$A,0)-1&amp;"")&lt;&gt;"",0)),
 "")),"")))</f>
        <v/>
      </c>
      <c r="AQ51" s="83" t="str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92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76"/>
      <c r="AT51" s="76"/>
      <c r="AU51" s="81" t="e" cm="1">
        <f t="array" aca="1" ref="AU51" ca="1">IF(INDIRECT(""&amp;SUBSTITUTE(ADDRESS(1,
COLUMN(),1),"1","")&amp;ROW()-41&amp;"")&lt;&gt;100,
IF(AV53&lt;&gt;"",MATCH(AV53,INDIRECT("数出表_Excel!B"&amp;MATCH(INDIRECT(""&amp;AZ50&amp;ROW()-43&amp;""),数出表_Excel!$A:$A,0)-1&amp;":U"&amp;MATCH(INDIRECT(""&amp;AZ50&amp;ROW()-43&amp;""),数出表_Excel!$A:$A,0)-1&amp;""),0)+1,""),
IF(AV53&lt;&gt;"",
MATCH(
IFERROR(
INDEX(INDIRECT("数出表_Excel!"&amp;AU50&amp;MATCH(INDIRECT(""&amp;AZ50&amp;ROW()-43&amp;""),数出表_Excel!$A:$A,0)-1&amp;":U"&amp;MATCH(INDIRECT(""&amp;AZ50&amp;ROW()-43&amp;""),数出表_Excel!$A:$A,0)-1&amp;""),
 1,
 MATCH(TRUE, ISNUMBER(--INDIRECT("数出表_Excel!"&amp;AU50&amp;MATCH(INDIRECT(""&amp;AZ50&amp;ROW()-43&amp;""),数出表_Excel!$A:$A,0)-1&amp;":U"&amp;MATCH(INDIRECT(""&amp;AZ50&amp;ROW()-43&amp;""),数出表_Excel!$A:$A,0)-1&amp;"")), 0)),
 ""),
INDIRECT("数出表_Excel!B"&amp;MATCH(INDIRECT(""&amp;AZ50&amp;ROW()-43&amp;""),数出表_Excel!$A:$A,0)-1&amp;":U"&amp;MATCH(INDIRECT(""&amp;AZ50&amp;ROW()-43&amp;""),数出表_Excel!$A:$A,0)-1&amp;""),0)+1,""))</f>
        <v>#VALUE!</v>
      </c>
      <c r="AV51" s="58" t="str" cm="1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76"/>
      <c r="AX51" s="82" t="str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83" t="str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92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76"/>
      <c r="BB51" s="81" t="e" cm="1">
        <f t="array" aca="1" ref="BB51" ca="1">IF(INDIRECT(""&amp;SUBSTITUTE(ADDRESS(1,
COLUMN(),1),"1","")&amp;ROW()-41&amp;"")&lt;&gt;100,
IF(BC53&lt;&gt;"",MATCH(BC53,INDIRECT("数出表_Excel!B"&amp;MATCH(INDIRECT(""&amp;BG50&amp;ROW()-43&amp;""),数出表_Excel!$A:$A,0)-1&amp;":U"&amp;MATCH(INDIRECT(""&amp;BG50&amp;ROW()-43&amp;""),数出表_Excel!$A:$A,0)-1&amp;""),0)+1,""),
IF(BC53&lt;&gt;"",
MATCH(
IFERROR(
INDEX(INDIRECT("数出表_Excel!"&amp;BB50&amp;MATCH(INDIRECT(""&amp;BG50&amp;ROW()-43&amp;""),数出表_Excel!$A:$A,0)-1&amp;":U"&amp;MATCH(INDIRECT(""&amp;BG50&amp;ROW()-43&amp;""),数出表_Excel!$A:$A,0)-1&amp;""),
 1,
 MATCH(TRUE, ISNUMBER(--INDIRECT("数出表_Excel!"&amp;BB50&amp;MATCH(INDIRECT(""&amp;BG50&amp;ROW()-43&amp;""),数出表_Excel!$A:$A,0)-1&amp;":U"&amp;MATCH(INDIRECT(""&amp;BG50&amp;ROW()-43&amp;""),数出表_Excel!$A:$A,0)-1&amp;"")), 0)),
 ""),
INDIRECT("数出表_Excel!B"&amp;MATCH(INDIRECT(""&amp;BG50&amp;ROW()-43&amp;""),数出表_Excel!$A:$A,0)-1&amp;":U"&amp;MATCH(INDIRECT(""&amp;BG50&amp;ROW()-43&amp;""),数出表_Excel!$A:$A,0)-1&amp;""),0)+1,""))</f>
        <v>#VALUE!</v>
      </c>
      <c r="BC51" s="58" t="str" cm="1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76"/>
      <c r="BE51" s="82" t="str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+MATCH(TRUE,INDIRECT("'数出表_Excel'!"&amp;BB50&amp;MATCH(BG8,数出表_Excel!$A:$A,0)-1&amp;":AL"&amp;MATCH(BG8,数出表_Excel!$A:$A,0)-1&amp;"")&lt;&gt;"",0))&gt;12,"",
IFERROR(
INDEX(INDIRECT("数出表_Excel!$"&amp;BB50&amp;"4:$AL4"),
 1,
MATCH(TRUE,INDIRECT("'数出表_Excel'!"&amp;BB50&amp;MATCH(BG8,数出表_Excel!$A:$A,0)-1&amp;":AL"&amp;MATCH(BG8,数出表_Excel!$A:$A,0)-1&amp;"")&lt;&gt;"",0)
),
 "")
&amp;IFERROR(
INDEX(INDIRECT("数出表_Excel!$"&amp;BB50&amp;"5:$AL5"),
 1,
MATCH(TRUE,INDIRECT("'数出表_Excel'!"&amp;BB50&amp;MATCH(BG8,数出表_Excel!$A:$A,0)-1&amp;":AL"&amp;MATCH(BG8,数出表_Excel!$A:$A,0)-1&amp;"")&lt;&gt;"",0)),
 "")),"")))</f>
        <v/>
      </c>
      <c r="BF51" s="83" t="str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92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76"/>
      <c r="BI51" s="76"/>
      <c r="BJ51" s="81" t="e" cm="1">
        <f t="array" aca="1" ref="BJ51" ca="1">IF(INDIRECT(""&amp;SUBSTITUTE(ADDRESS(1,
COLUMN(),1),"1","")&amp;ROW()-41&amp;"")&lt;&gt;100,
IF(BK53&lt;&gt;"",MATCH(BK53,INDIRECT("数出表_Excel!B"&amp;MATCH(INDIRECT(""&amp;BO50&amp;ROW()-43&amp;""),数出表_Excel!$A:$A,0)-1&amp;":U"&amp;MATCH(INDIRECT(""&amp;BO50&amp;ROW()-43&amp;""),数出表_Excel!$A:$A,0)-1&amp;""),0)+1,""),
IF(BK53&lt;&gt;"",
MATCH(
IFERROR(
INDEX(INDIRECT("数出表_Excel!"&amp;BJ50&amp;MATCH(INDIRECT(""&amp;BO50&amp;ROW()-43&amp;""),数出表_Excel!$A:$A,0)-1&amp;":U"&amp;MATCH(INDIRECT(""&amp;BO50&amp;ROW()-43&amp;""),数出表_Excel!$A:$A,0)-1&amp;""),
 1,
 MATCH(TRUE, ISNUMBER(--INDIRECT("数出表_Excel!"&amp;BJ50&amp;MATCH(INDIRECT(""&amp;BO50&amp;ROW()-43&amp;""),数出表_Excel!$A:$A,0)-1&amp;":U"&amp;MATCH(INDIRECT(""&amp;BO50&amp;ROW()-43&amp;""),数出表_Excel!$A:$A,0)-1&amp;"")), 0)),
 ""),
INDIRECT("数出表_Excel!B"&amp;MATCH(INDIRECT(""&amp;BO50&amp;ROW()-43&amp;""),数出表_Excel!$A:$A,0)-1&amp;":U"&amp;MATCH(INDIRECT(""&amp;BO50&amp;ROW()-43&amp;""),数出表_Excel!$A:$A,0)-1&amp;""),0)+1,""))</f>
        <v>#VALUE!</v>
      </c>
      <c r="BK51" s="58" t="str" cm="1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76"/>
      <c r="BM51" s="82" t="str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83" t="str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92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76"/>
      <c r="BQ51" s="81" t="e" cm="1">
        <f t="array" aca="1" ref="BQ51" ca="1">IF(INDIRECT(""&amp;SUBSTITUTE(ADDRESS(1,
COLUMN(),1),"1","")&amp;ROW()-41&amp;"")&lt;&gt;100,
IF(BR53&lt;&gt;"",MATCH(BR53,INDIRECT("数出表_Excel!B"&amp;MATCH(INDIRECT(""&amp;BV50&amp;ROW()-43&amp;""),数出表_Excel!$A:$A,0)-1&amp;":U"&amp;MATCH(INDIRECT(""&amp;BV50&amp;ROW()-43&amp;""),数出表_Excel!$A:$A,0)-1&amp;""),0)+1,""),
IF(BR53&lt;&gt;"",
MATCH(
IFERROR(
INDEX(INDIRECT("数出表_Excel!"&amp;BQ50&amp;MATCH(INDIRECT(""&amp;BV50&amp;ROW()-43&amp;""),数出表_Excel!$A:$A,0)-1&amp;":U"&amp;MATCH(INDIRECT(""&amp;BV50&amp;ROW()-43&amp;""),数出表_Excel!$A:$A,0)-1&amp;""),
 1,
 MATCH(TRUE, ISNUMBER(--INDIRECT("数出表_Excel!"&amp;BQ50&amp;MATCH(INDIRECT(""&amp;BV50&amp;ROW()-43&amp;""),数出表_Excel!$A:$A,0)-1&amp;":U"&amp;MATCH(INDIRECT(""&amp;BV50&amp;ROW()-43&amp;""),数出表_Excel!$A:$A,0)-1&amp;"")), 0)),
 ""),
INDIRECT("数出表_Excel!B"&amp;MATCH(INDIRECT(""&amp;BV50&amp;ROW()-43&amp;""),数出表_Excel!$A:$A,0)-1&amp;":U"&amp;MATCH(INDIRECT(""&amp;BV50&amp;ROW()-43&amp;""),数出表_Excel!$A:$A,0)-1&amp;""),0)+1,""))</f>
        <v>#VALUE!</v>
      </c>
      <c r="BR51" s="58" t="str" cm="1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76"/>
      <c r="BT51" s="82" t="str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+MATCH(TRUE,INDIRECT("'数出表_Excel'!"&amp;BQ50&amp;MATCH(BV8,数出表_Excel!$A:$A,0)-1&amp;":AL"&amp;MATCH(BV8,数出表_Excel!$A:$A,0)-1&amp;"")&lt;&gt;"",0))&gt;12,"",
IFERROR(
INDEX(INDIRECT("数出表_Excel!$"&amp;BQ50&amp;"4:$AL4"),
 1,
MATCH(TRUE,INDIRECT("'数出表_Excel'!"&amp;BQ50&amp;MATCH(BV8,数出表_Excel!$A:$A,0)-1&amp;":AL"&amp;MATCH(BV8,数出表_Excel!$A:$A,0)-1&amp;"")&lt;&gt;"",0)
),
 "")
&amp;IFERROR(
INDEX(INDIRECT("数出表_Excel!$"&amp;BQ50&amp;"5:$AL5"),
 1,
MATCH(TRUE,INDIRECT("'数出表_Excel'!"&amp;BQ50&amp;MATCH(BV8,数出表_Excel!$A:$A,0)-1&amp;":AL"&amp;MATCH(BV8,数出表_Excel!$A:$A,0)-1&amp;"")&lt;&gt;"",0)),
 "")),"")))</f>
        <v/>
      </c>
      <c r="BU51" s="83" t="str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92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76"/>
      <c r="BX51" s="76"/>
      <c r="BY51" s="81" t="e" cm="1">
        <f t="array" aca="1" ref="BY51" ca="1">IF(INDIRECT(""&amp;SUBSTITUTE(ADDRESS(1,
COLUMN(),1),"1","")&amp;ROW()-41&amp;"")&lt;&gt;100,
IF(BZ53&lt;&gt;"",MATCH(BZ53,INDIRECT("数出表_Excel!B"&amp;MATCH(INDIRECT(""&amp;CD50&amp;ROW()-43&amp;""),数出表_Excel!$A:$A,0)-1&amp;":U"&amp;MATCH(INDIRECT(""&amp;CD50&amp;ROW()-43&amp;""),数出表_Excel!$A:$A,0)-1&amp;""),0)+1,""),
IF(BZ53&lt;&gt;"",
MATCH(
IFERROR(
INDEX(INDIRECT("数出表_Excel!"&amp;BY50&amp;MATCH(INDIRECT(""&amp;CD50&amp;ROW()-43&amp;""),数出表_Excel!$A:$A,0)-1&amp;":U"&amp;MATCH(INDIRECT(""&amp;CD50&amp;ROW()-43&amp;""),数出表_Excel!$A:$A,0)-1&amp;""),
 1,
 MATCH(TRUE, ISNUMBER(--INDIRECT("数出表_Excel!"&amp;BY50&amp;MATCH(INDIRECT(""&amp;CD50&amp;ROW()-43&amp;""),数出表_Excel!$A:$A,0)-1&amp;":U"&amp;MATCH(INDIRECT(""&amp;CD50&amp;ROW()-43&amp;""),数出表_Excel!$A:$A,0)-1&amp;"")), 0)),
 ""),
INDIRECT("数出表_Excel!B"&amp;MATCH(INDIRECT(""&amp;CD50&amp;ROW()-43&amp;""),数出表_Excel!$A:$A,0)-1&amp;":U"&amp;MATCH(INDIRECT(""&amp;CD50&amp;ROW()-43&amp;""),数出表_Excel!$A:$A,0)-1&amp;""),0)+1,""))</f>
        <v>#VALUE!</v>
      </c>
      <c r="BZ51" s="58" t="str" cm="1">
        <f t="array" aca="1" ref="BZ51" ca="1">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</f>
        <v/>
      </c>
      <c r="CA51" s="76"/>
      <c r="CB51" s="82" t="str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83" t="str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92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76"/>
      <c r="CF51" s="81" t="e" cm="1">
        <f t="array" aca="1" ref="CF51" ca="1">IF(INDIRECT(""&amp;SUBSTITUTE(ADDRESS(1,
COLUMN(),1),"1","")&amp;ROW()-41&amp;"")&lt;&gt;100,
IF(CG53&lt;&gt;"",MATCH(CG53,INDIRECT("数出表_Excel!B"&amp;MATCH(INDIRECT(""&amp;CK50&amp;ROW()-43&amp;""),数出表_Excel!$A:$A,0)-1&amp;":U"&amp;MATCH(INDIRECT(""&amp;CK50&amp;ROW()-43&amp;""),数出表_Excel!$A:$A,0)-1&amp;""),0)+1,""),
IF(CG53&lt;&gt;"",
MATCH(
IFERROR(
INDEX(INDIRECT("数出表_Excel!"&amp;CF50&amp;MATCH(INDIRECT(""&amp;CK50&amp;ROW()-43&amp;""),数出表_Excel!$A:$A,0)-1&amp;":U"&amp;MATCH(INDIRECT(""&amp;CK50&amp;ROW()-43&amp;""),数出表_Excel!$A:$A,0)-1&amp;""),
 1,
 MATCH(TRUE, ISNUMBER(--INDIRECT("数出表_Excel!"&amp;CF50&amp;MATCH(INDIRECT(""&amp;CK50&amp;ROW()-43&amp;""),数出表_Excel!$A:$A,0)-1&amp;":U"&amp;MATCH(INDIRECT(""&amp;CK50&amp;ROW()-43&amp;""),数出表_Excel!$A:$A,0)-1&amp;"")), 0)),
 ""),
INDIRECT("数出表_Excel!B"&amp;MATCH(INDIRECT(""&amp;CK50&amp;ROW()-43&amp;""),数出表_Excel!$A:$A,0)-1&amp;":U"&amp;MATCH(INDIRECT(""&amp;CK50&amp;ROW()-43&amp;""),数出表_Excel!$A:$A,0)-1&amp;""),0)+1,""))</f>
        <v>#VALUE!</v>
      </c>
      <c r="CG51" s="58" t="str" cm="1">
        <f t="array" aca="1" ref="CG51" ca="1">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</f>
        <v/>
      </c>
      <c r="CH51" s="76"/>
      <c r="CI51" s="82" t="str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+MATCH(TRUE,INDIRECT("'数出表_Excel'!"&amp;CF50&amp;MATCH(CK8,数出表_Excel!$A:$A,0)-1&amp;":AL"&amp;MATCH(CK8,数出表_Excel!$A:$A,0)-1&amp;"")&lt;&gt;"",0))&gt;12,"",
IFERROR(
INDEX(INDIRECT("数出表_Excel!$"&amp;CF50&amp;"4:$AL4"),
 1,
MATCH(TRUE,INDIRECT("'数出表_Excel'!"&amp;CF50&amp;MATCH(CK8,数出表_Excel!$A:$A,0)-1&amp;":AL"&amp;MATCH(CK8,数出表_Excel!$A:$A,0)-1&amp;"")&lt;&gt;"",0)
),
 "")
&amp;IFERROR(
INDEX(INDIRECT("数出表_Excel!$"&amp;CF50&amp;"5:$AL5"),
 1,
MATCH(TRUE,INDIRECT("'数出表_Excel'!"&amp;CF50&amp;MATCH(CK8,数出表_Excel!$A:$A,0)-1&amp;":AL"&amp;MATCH(CK8,数出表_Excel!$A:$A,0)-1&amp;"")&lt;&gt;"",0)),
 "")),"")))</f>
        <v/>
      </c>
      <c r="CJ51" s="83" t="str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92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76"/>
      <c r="CM51" s="76"/>
      <c r="CN51" s="81" t="e" cm="1">
        <f t="array" aca="1" ref="CN51" ca="1">IF(INDIRECT(""&amp;SUBSTITUTE(ADDRESS(1,
COLUMN(),1),"1","")&amp;ROW()-41&amp;"")&lt;&gt;100,
IF(CO53&lt;&gt;"",MATCH(CO53,INDIRECT("数出表_Excel!B"&amp;MATCH(INDIRECT(""&amp;CS50&amp;ROW()-43&amp;""),数出表_Excel!$A:$A,0)-1&amp;":U"&amp;MATCH(INDIRECT(""&amp;CS50&amp;ROW()-43&amp;""),数出表_Excel!$A:$A,0)-1&amp;""),0)+1,""),
IF(CO53&lt;&gt;"",
MATCH(
IFERROR(
INDEX(INDIRECT("数出表_Excel!"&amp;CN50&amp;MATCH(INDIRECT(""&amp;CS50&amp;ROW()-43&amp;""),数出表_Excel!$A:$A,0)-1&amp;":U"&amp;MATCH(INDIRECT(""&amp;CS50&amp;ROW()-43&amp;""),数出表_Excel!$A:$A,0)-1&amp;""),
 1,
 MATCH(TRUE, ISNUMBER(--INDIRECT("数出表_Excel!"&amp;CN50&amp;MATCH(INDIRECT(""&amp;CS50&amp;ROW()-43&amp;""),数出表_Excel!$A:$A,0)-1&amp;":U"&amp;MATCH(INDIRECT(""&amp;CS50&amp;ROW()-43&amp;""),数出表_Excel!$A:$A,0)-1&amp;"")), 0)),
 ""),
INDIRECT("数出表_Excel!B"&amp;MATCH(INDIRECT(""&amp;CS50&amp;ROW()-43&amp;""),数出表_Excel!$A:$A,0)-1&amp;":U"&amp;MATCH(INDIRECT(""&amp;CS50&amp;ROW()-43&amp;""),数出表_Excel!$A:$A,0)-1&amp;""),0)+1,""))</f>
        <v>#VALUE!</v>
      </c>
      <c r="CO51" s="58" t="str" cm="1">
        <f t="array" aca="1" ref="CO51" ca="1">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</f>
        <v/>
      </c>
      <c r="CP51" s="76"/>
      <c r="CQ51" s="82" t="str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83" t="str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92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76"/>
      <c r="CU51" s="81" t="e" cm="1">
        <f t="array" aca="1" ref="CU51" ca="1">IF(INDIRECT(""&amp;SUBSTITUTE(ADDRESS(1,
COLUMN(),1),"1","")&amp;ROW()-41&amp;"")&lt;&gt;100,
IF(CV53&lt;&gt;"",MATCH(CV53,INDIRECT("数出表_Excel!B"&amp;MATCH(INDIRECT(""&amp;CZ50&amp;ROW()-43&amp;""),数出表_Excel!$A:$A,0)-1&amp;":U"&amp;MATCH(INDIRECT(""&amp;CZ50&amp;ROW()-43&amp;""),数出表_Excel!$A:$A,0)-1&amp;""),0)+1,""),
IF(CV53&lt;&gt;"",
MATCH(
IFERROR(
INDEX(INDIRECT("数出表_Excel!"&amp;CU50&amp;MATCH(INDIRECT(""&amp;CZ50&amp;ROW()-43&amp;""),数出表_Excel!$A:$A,0)-1&amp;":U"&amp;MATCH(INDIRECT(""&amp;CZ50&amp;ROW()-43&amp;""),数出表_Excel!$A:$A,0)-1&amp;""),
 1,
 MATCH(TRUE, ISNUMBER(--INDIRECT("数出表_Excel!"&amp;CU50&amp;MATCH(INDIRECT(""&amp;CZ50&amp;ROW()-43&amp;""),数出表_Excel!$A:$A,0)-1&amp;":U"&amp;MATCH(INDIRECT(""&amp;CZ50&amp;ROW()-43&amp;""),数出表_Excel!$A:$A,0)-1&amp;"")), 0)),
 ""),
INDIRECT("数出表_Excel!B"&amp;MATCH(INDIRECT(""&amp;CZ50&amp;ROW()-43&amp;""),数出表_Excel!$A:$A,0)-1&amp;":U"&amp;MATCH(INDIRECT(""&amp;CZ50&amp;ROW()-43&amp;""),数出表_Excel!$A:$A,0)-1&amp;""),0)+1,""))</f>
        <v>#VALUE!</v>
      </c>
      <c r="CV51" s="58" t="str" cm="1">
        <f t="array" aca="1" ref="CV51" ca="1">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</f>
        <v/>
      </c>
      <c r="CW51" s="76"/>
      <c r="CX51" s="82" t="str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+MATCH(TRUE,INDIRECT("'数出表_Excel'!"&amp;CU50&amp;MATCH(CZ8,数出表_Excel!$A:$A,0)-1&amp;":AL"&amp;MATCH(CZ8,数出表_Excel!$A:$A,0)-1&amp;"")&lt;&gt;"",0))&gt;12,"",
IFERROR(
INDEX(INDIRECT("数出表_Excel!$"&amp;CU50&amp;"4:$AL4"),
 1,
MATCH(TRUE,INDIRECT("'数出表_Excel'!"&amp;CU50&amp;MATCH(CZ8,数出表_Excel!$A:$A,0)-1&amp;":AL"&amp;MATCH(CZ8,数出表_Excel!$A:$A,0)-1&amp;"")&lt;&gt;"",0)
),
 "")
&amp;IFERROR(
INDEX(INDIRECT("数出表_Excel!$"&amp;CU50&amp;"5:$AL5"),
 1,
MATCH(TRUE,INDIRECT("'数出表_Excel'!"&amp;CU50&amp;MATCH(CZ8,数出表_Excel!$A:$A,0)-1&amp;":AL"&amp;MATCH(CZ8,数出表_Excel!$A:$A,0)-1&amp;"")&lt;&gt;"",0)),
 "")),"")))</f>
        <v/>
      </c>
      <c r="CY51" s="83" t="str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92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76"/>
      <c r="DB51" s="76"/>
      <c r="DC51" s="81" t="e" cm="1">
        <f t="array" aca="1" ref="DC51" ca="1">IF(INDIRECT(""&amp;SUBSTITUTE(ADDRESS(1,
COLUMN(),1),"1","")&amp;ROW()-41&amp;"")&lt;&gt;100,
IF(DD53&lt;&gt;"",MATCH(DD53,INDIRECT("数出表_Excel!B"&amp;MATCH(INDIRECT(""&amp;DH50&amp;ROW()-43&amp;""),数出表_Excel!$A:$A,0)-1&amp;":U"&amp;MATCH(INDIRECT(""&amp;DH50&amp;ROW()-43&amp;""),数出表_Excel!$A:$A,0)-1&amp;""),0)+1,""),
IF(DD53&lt;&gt;"",
MATCH(
IFERROR(
INDEX(INDIRECT("数出表_Excel!"&amp;DC50&amp;MATCH(INDIRECT(""&amp;DH50&amp;ROW()-43&amp;""),数出表_Excel!$A:$A,0)-1&amp;":U"&amp;MATCH(INDIRECT(""&amp;DH50&amp;ROW()-43&amp;""),数出表_Excel!$A:$A,0)-1&amp;""),
 1,
 MATCH(TRUE, ISNUMBER(--INDIRECT("数出表_Excel!"&amp;DC50&amp;MATCH(INDIRECT(""&amp;DH50&amp;ROW()-43&amp;""),数出表_Excel!$A:$A,0)-1&amp;":U"&amp;MATCH(INDIRECT(""&amp;DH50&amp;ROW()-43&amp;""),数出表_Excel!$A:$A,0)-1&amp;"")), 0)),
 ""),
INDIRECT("数出表_Excel!B"&amp;MATCH(INDIRECT(""&amp;DH50&amp;ROW()-43&amp;""),数出表_Excel!$A:$A,0)-1&amp;":U"&amp;MATCH(INDIRECT(""&amp;DH50&amp;ROW()-43&amp;""),数出表_Excel!$A:$A,0)-1&amp;""),0)+1,""))</f>
        <v>#VALUE!</v>
      </c>
      <c r="DD51" s="58" t="str" cm="1">
        <f t="array" aca="1" ref="DD51" ca="1">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</f>
        <v/>
      </c>
      <c r="DE51" s="76"/>
      <c r="DF51" s="82" t="str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83" t="str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92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76"/>
      <c r="DJ51" s="81" t="e" cm="1">
        <f t="array" aca="1" ref="DJ51" ca="1">IF(INDIRECT(""&amp;SUBSTITUTE(ADDRESS(1,
COLUMN(),1),"1","")&amp;ROW()-41&amp;"")&lt;&gt;100,
IF(DK53&lt;&gt;"",MATCH(DK53,INDIRECT("数出表_Excel!B"&amp;MATCH(INDIRECT(""&amp;DO50&amp;ROW()-43&amp;""),数出表_Excel!$A:$A,0)-1&amp;":U"&amp;MATCH(INDIRECT(""&amp;DO50&amp;ROW()-43&amp;""),数出表_Excel!$A:$A,0)-1&amp;""),0)+1,""),
IF(DK53&lt;&gt;"",
MATCH(
IFERROR(
INDEX(INDIRECT("数出表_Excel!"&amp;DJ50&amp;MATCH(INDIRECT(""&amp;DO50&amp;ROW()-43&amp;""),数出表_Excel!$A:$A,0)-1&amp;":U"&amp;MATCH(INDIRECT(""&amp;DO50&amp;ROW()-43&amp;""),数出表_Excel!$A:$A,0)-1&amp;""),
 1,
 MATCH(TRUE, ISNUMBER(--INDIRECT("数出表_Excel!"&amp;DJ50&amp;MATCH(INDIRECT(""&amp;DO50&amp;ROW()-43&amp;""),数出表_Excel!$A:$A,0)-1&amp;":U"&amp;MATCH(INDIRECT(""&amp;DO50&amp;ROW()-43&amp;""),数出表_Excel!$A:$A,0)-1&amp;"")), 0)),
 ""),
INDIRECT("数出表_Excel!B"&amp;MATCH(INDIRECT(""&amp;DO50&amp;ROW()-43&amp;""),数出表_Excel!$A:$A,0)-1&amp;":U"&amp;MATCH(INDIRECT(""&amp;DO50&amp;ROW()-43&amp;""),数出表_Excel!$A:$A,0)-1&amp;""),0)+1,""))</f>
        <v>#VALUE!</v>
      </c>
      <c r="DK51" s="58" t="str" cm="1">
        <f t="array" aca="1" ref="DK51" ca="1">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</f>
        <v/>
      </c>
      <c r="DL51" s="76"/>
      <c r="DM51" s="82" t="str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+MATCH(TRUE,INDIRECT("'数出表_Excel'!"&amp;DJ50&amp;MATCH(DO8,数出表_Excel!$A:$A,0)-1&amp;":AL"&amp;MATCH(DO8,数出表_Excel!$A:$A,0)-1&amp;"")&lt;&gt;"",0))&gt;12,"",
IFERROR(
INDEX(INDIRECT("数出表_Excel!$"&amp;DJ50&amp;"4:$AL4"),
 1,
MATCH(TRUE,INDIRECT("'数出表_Excel'!"&amp;DJ50&amp;MATCH(DO8,数出表_Excel!$A:$A,0)-1&amp;":AL"&amp;MATCH(DO8,数出表_Excel!$A:$A,0)-1&amp;"")&lt;&gt;"",0)
),
 "")
&amp;IFERROR(
INDEX(INDIRECT("数出表_Excel!$"&amp;DJ50&amp;"5:$AL5"),
 1,
MATCH(TRUE,INDIRECT("'数出表_Excel'!"&amp;DJ50&amp;MATCH(DO8,数出表_Excel!$A:$A,0)-1&amp;":AL"&amp;MATCH(DO8,数出表_Excel!$A:$A,0)-1&amp;"")&lt;&gt;"",0)),
 "")),"")))</f>
        <v/>
      </c>
      <c r="DN51" s="83" t="str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92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76"/>
      <c r="DQ51" s="76"/>
      <c r="DR51" s="81" t="e" cm="1">
        <f t="array" aca="1" ref="DR51" ca="1">IF(INDIRECT(""&amp;SUBSTITUTE(ADDRESS(1,
COLUMN(),1),"1","")&amp;ROW()-41&amp;"")&lt;&gt;100,
IF(DS53&lt;&gt;"",MATCH(DS53,INDIRECT("数出表_Excel!B"&amp;MATCH(INDIRECT(""&amp;DW50&amp;ROW()-43&amp;""),数出表_Excel!$A:$A,0)-1&amp;":U"&amp;MATCH(INDIRECT(""&amp;DW50&amp;ROW()-43&amp;""),数出表_Excel!$A:$A,0)-1&amp;""),0)+1,""),
IF(DS53&lt;&gt;"",
MATCH(
IFERROR(
INDEX(INDIRECT("数出表_Excel!"&amp;DR50&amp;MATCH(INDIRECT(""&amp;DW50&amp;ROW()-43&amp;""),数出表_Excel!$A:$A,0)-1&amp;":U"&amp;MATCH(INDIRECT(""&amp;DW50&amp;ROW()-43&amp;""),数出表_Excel!$A:$A,0)-1&amp;""),
 1,
 MATCH(TRUE, ISNUMBER(--INDIRECT("数出表_Excel!"&amp;DR50&amp;MATCH(INDIRECT(""&amp;DW50&amp;ROW()-43&amp;""),数出表_Excel!$A:$A,0)-1&amp;":U"&amp;MATCH(INDIRECT(""&amp;DW50&amp;ROW()-43&amp;""),数出表_Excel!$A:$A,0)-1&amp;"")), 0)),
 ""),
INDIRECT("数出表_Excel!B"&amp;MATCH(INDIRECT(""&amp;DW50&amp;ROW()-43&amp;""),数出表_Excel!$A:$A,0)-1&amp;":U"&amp;MATCH(INDIRECT(""&amp;DW50&amp;ROW()-43&amp;""),数出表_Excel!$A:$A,0)-1&amp;""),0)+1,""))</f>
        <v>#VALUE!</v>
      </c>
      <c r="DS51" s="58" t="str" cm="1">
        <f t="array" aca="1" ref="DS51" ca="1">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</f>
        <v/>
      </c>
      <c r="DT51" s="76"/>
      <c r="DU51" s="82" t="str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83" t="str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92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76"/>
      <c r="DY51" s="81" t="e" cm="1">
        <f t="array" aca="1" ref="DY51" ca="1">IF(INDIRECT(""&amp;SUBSTITUTE(ADDRESS(1,
COLUMN(),1),"1","")&amp;ROW()-41&amp;"")&lt;&gt;100,
IF(DZ53&lt;&gt;"",MATCH(DZ53,INDIRECT("数出表_Excel!B"&amp;MATCH(INDIRECT(""&amp;ED50&amp;ROW()-43&amp;""),数出表_Excel!$A:$A,0)-1&amp;":U"&amp;MATCH(INDIRECT(""&amp;ED50&amp;ROW()-43&amp;""),数出表_Excel!$A:$A,0)-1&amp;""),0)+1,""),
IF(DZ53&lt;&gt;"",
MATCH(
IFERROR(
INDEX(INDIRECT("数出表_Excel!"&amp;DY50&amp;MATCH(INDIRECT(""&amp;ED50&amp;ROW()-43&amp;""),数出表_Excel!$A:$A,0)-1&amp;":U"&amp;MATCH(INDIRECT(""&amp;ED50&amp;ROW()-43&amp;""),数出表_Excel!$A:$A,0)-1&amp;""),
 1,
 MATCH(TRUE, ISNUMBER(--INDIRECT("数出表_Excel!"&amp;DY50&amp;MATCH(INDIRECT(""&amp;ED50&amp;ROW()-43&amp;""),数出表_Excel!$A:$A,0)-1&amp;":U"&amp;MATCH(INDIRECT(""&amp;ED50&amp;ROW()-43&amp;""),数出表_Excel!$A:$A,0)-1&amp;"")), 0)),
 ""),
INDIRECT("数出表_Excel!B"&amp;MATCH(INDIRECT(""&amp;ED50&amp;ROW()-43&amp;""),数出表_Excel!$A:$A,0)-1&amp;":U"&amp;MATCH(INDIRECT(""&amp;ED50&amp;ROW()-43&amp;""),数出表_Excel!$A:$A,0)-1&amp;""),0)+1,""))</f>
        <v>#VALUE!</v>
      </c>
      <c r="DZ51" s="58" t="str" cm="1">
        <f t="array" aca="1" ref="DZ51" ca="1">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</f>
        <v/>
      </c>
      <c r="EA51" s="76"/>
      <c r="EB51" s="82" t="str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+MATCH(TRUE,INDIRECT("'数出表_Excel'!"&amp;DY50&amp;MATCH(ED8,数出表_Excel!$A:$A,0)-1&amp;":AL"&amp;MATCH(ED8,数出表_Excel!$A:$A,0)-1&amp;"")&lt;&gt;"",0))&gt;12,"",
IFERROR(
INDEX(INDIRECT("数出表_Excel!$"&amp;DY50&amp;"4:$AL4"),
 1,
MATCH(TRUE,INDIRECT("'数出表_Excel'!"&amp;DY50&amp;MATCH(ED8,数出表_Excel!$A:$A,0)-1&amp;":AL"&amp;MATCH(ED8,数出表_Excel!$A:$A,0)-1&amp;"")&lt;&gt;"",0)
),
 "")
&amp;IFERROR(
INDEX(INDIRECT("数出表_Excel!$"&amp;DY50&amp;"5:$AL5"),
 1,
MATCH(TRUE,INDIRECT("'数出表_Excel'!"&amp;DY50&amp;MATCH(ED8,数出表_Excel!$A:$A,0)-1&amp;":AL"&amp;MATCH(ED8,数出表_Excel!$A:$A,0)-1&amp;"")&lt;&gt;"",0)),
 "")),"")))</f>
        <v/>
      </c>
      <c r="EC51" s="83" t="str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92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76"/>
      <c r="EF51" s="76"/>
      <c r="EG51" s="81" t="e" cm="1">
        <f t="array" aca="1" ref="EG51" ca="1">IF(INDIRECT(""&amp;SUBSTITUTE(ADDRESS(1,
COLUMN(),1),"1","")&amp;ROW()-41&amp;"")&lt;&gt;100,
IF(EH53&lt;&gt;"",MATCH(EH53,INDIRECT("数出表_Excel!B"&amp;MATCH(INDIRECT(""&amp;EL50&amp;ROW()-43&amp;""),数出表_Excel!$A:$A,0)-1&amp;":U"&amp;MATCH(INDIRECT(""&amp;EL50&amp;ROW()-43&amp;""),数出表_Excel!$A:$A,0)-1&amp;""),0)+1,""),
IF(EH53&lt;&gt;"",
MATCH(
IFERROR(
INDEX(INDIRECT("数出表_Excel!"&amp;EG50&amp;MATCH(INDIRECT(""&amp;EL50&amp;ROW()-43&amp;""),数出表_Excel!$A:$A,0)-1&amp;":U"&amp;MATCH(INDIRECT(""&amp;EL50&amp;ROW()-43&amp;""),数出表_Excel!$A:$A,0)-1&amp;""),
 1,
 MATCH(TRUE, ISNUMBER(--INDIRECT("数出表_Excel!"&amp;EG50&amp;MATCH(INDIRECT(""&amp;EL50&amp;ROW()-43&amp;""),数出表_Excel!$A:$A,0)-1&amp;":U"&amp;MATCH(INDIRECT(""&amp;EL50&amp;ROW()-43&amp;""),数出表_Excel!$A:$A,0)-1&amp;"")), 0)),
 ""),
INDIRECT("数出表_Excel!B"&amp;MATCH(INDIRECT(""&amp;EL50&amp;ROW()-43&amp;""),数出表_Excel!$A:$A,0)-1&amp;":U"&amp;MATCH(INDIRECT(""&amp;EL50&amp;ROW()-43&amp;""),数出表_Excel!$A:$A,0)-1&amp;""),0)+1,""))</f>
        <v>#VALUE!</v>
      </c>
      <c r="EH51" s="58" t="str" cm="1">
        <f t="array" aca="1" ref="EH51" ca="1">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</f>
        <v/>
      </c>
      <c r="EI51" s="76"/>
      <c r="EJ51" s="82" t="str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83" t="str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92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76"/>
      <c r="EN51" s="81" t="e" cm="1">
        <f t="array" aca="1" ref="EN51" ca="1">IF(INDIRECT(""&amp;SUBSTITUTE(ADDRESS(1,
COLUMN(),1),"1","")&amp;ROW()-41&amp;"")&lt;&gt;100,
IF(EO53&lt;&gt;"",MATCH(EO53,INDIRECT("数出表_Excel!B"&amp;MATCH(INDIRECT(""&amp;ES50&amp;ROW()-43&amp;""),数出表_Excel!$A:$A,0)-1&amp;":U"&amp;MATCH(INDIRECT(""&amp;ES50&amp;ROW()-43&amp;""),数出表_Excel!$A:$A,0)-1&amp;""),0)+1,""),
IF(EO53&lt;&gt;"",
MATCH(
IFERROR(
INDEX(INDIRECT("数出表_Excel!"&amp;EN50&amp;MATCH(INDIRECT(""&amp;ES50&amp;ROW()-43&amp;""),数出表_Excel!$A:$A,0)-1&amp;":U"&amp;MATCH(INDIRECT(""&amp;ES50&amp;ROW()-43&amp;""),数出表_Excel!$A:$A,0)-1&amp;""),
 1,
 MATCH(TRUE, ISNUMBER(--INDIRECT("数出表_Excel!"&amp;EN50&amp;MATCH(INDIRECT(""&amp;ES50&amp;ROW()-43&amp;""),数出表_Excel!$A:$A,0)-1&amp;":U"&amp;MATCH(INDIRECT(""&amp;ES50&amp;ROW()-43&amp;""),数出表_Excel!$A:$A,0)-1&amp;"")), 0)),
 ""),
INDIRECT("数出表_Excel!B"&amp;MATCH(INDIRECT(""&amp;ES50&amp;ROW()-43&amp;""),数出表_Excel!$A:$A,0)-1&amp;":U"&amp;MATCH(INDIRECT(""&amp;ES50&amp;ROW()-43&amp;""),数出表_Excel!$A:$A,0)-1&amp;""),0)+1,""))</f>
        <v>#VALUE!</v>
      </c>
      <c r="EO51" s="58" t="str" cm="1">
        <f t="array" aca="1" ref="EO51" ca="1">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</f>
        <v/>
      </c>
      <c r="EP51" s="76"/>
      <c r="EQ51" s="82" t="str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+MATCH(TRUE,INDIRECT("'数出表_Excel'!"&amp;EN50&amp;MATCH(ES8,数出表_Excel!$A:$A,0)-1&amp;":AL"&amp;MATCH(ES8,数出表_Excel!$A:$A,0)-1&amp;"")&lt;&gt;"",0))&gt;12,"",
IFERROR(
INDEX(INDIRECT("数出表_Excel!$"&amp;EN50&amp;"4:$AL4"),
 1,
MATCH(TRUE,INDIRECT("'数出表_Excel'!"&amp;EN50&amp;MATCH(ES8,数出表_Excel!$A:$A,0)-1&amp;":AL"&amp;MATCH(ES8,数出表_Excel!$A:$A,0)-1&amp;"")&lt;&gt;"",0)
),
 "")
&amp;IFERROR(
INDEX(INDIRECT("数出表_Excel!$"&amp;EN50&amp;"5:$AL5"),
 1,
MATCH(TRUE,INDIRECT("'数出表_Excel'!"&amp;EN50&amp;MATCH(ES8,数出表_Excel!$A:$A,0)-1&amp;":AL"&amp;MATCH(ES8,数出表_Excel!$A:$A,0)-1&amp;"")&lt;&gt;"",0)),
 "")),"")))</f>
        <v/>
      </c>
      <c r="ER51" s="83" t="str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92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07"/>
      <c r="EU51" s="78">
        <f t="shared" si="4"/>
        <v>98</v>
      </c>
      <c r="EV51" s="78" t="str">
        <f t="array" aca="1" ref="EV51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LEN(SUBSTITUTE(_xlfn.FORMULATEXT(EV$37),"=","")))+$EU51)</f>
        <v/>
      </c>
      <c r="EW51" s="78" t="str">
        <f t="array" aca="1" ref="EW51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LEN(SUBSTITUTE(_xlfn.FORMULATEXT(EW$37),"=","")))+$EU51)</f>
        <v/>
      </c>
      <c r="EX51" s="78" t="str">
        <f t="array" aca="1" ref="EX51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LEN(SUBSTITUTE(_xlfn.FORMULATEXT(EX$37),"=","")))+$EU51)</f>
        <v/>
      </c>
      <c r="EY51" s="78" t="str">
        <f t="array" aca="1" ref="EY51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LEN(SUBSTITUTE(_xlfn.FORMULATEXT(EY$37),"=","")))+$EU51)</f>
        <v/>
      </c>
      <c r="EZ51" s="78" t="str">
        <f t="array" aca="1" ref="EZ51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LEN(SUBSTITUTE(_xlfn.FORMULATEXT(EZ$37),"=","")))+$EU51)</f>
        <v/>
      </c>
      <c r="FA51" s="78" t="str">
        <f t="array" aca="1" ref="FA51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LEN(SUBSTITUTE(_xlfn.FORMULATEXT(FA$37),"=","")))+$EU51)</f>
        <v/>
      </c>
      <c r="FB51" s="78" t="str">
        <f t="array" aca="1" ref="FB51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LEN(SUBSTITUTE(_xlfn.FORMULATEXT(FB$37),"=","")))+$EU51)</f>
        <v/>
      </c>
      <c r="FC51" s="78" t="str">
        <f t="array" aca="1" ref="FC51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LEN(SUBSTITUTE(_xlfn.FORMULATEXT(FC$37),"=","")))+$EU51)</f>
        <v/>
      </c>
      <c r="FD51" s="78" t="str">
        <f t="array" aca="1" ref="FD51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LEN(SUBSTITUTE(_xlfn.FORMULATEXT(FD$37),"=","")))+$EU51)</f>
        <v/>
      </c>
      <c r="FE51" s="78" t="str">
        <f t="array" aca="1" ref="FE51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LEN(SUBSTITUTE(_xlfn.FORMULATEXT(FE$37),"=","")))+$EU51)</f>
        <v/>
      </c>
      <c r="FF51" s="78" t="str">
        <f t="array" aca="1" ref="FF51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LEN(SUBSTITUTE(_xlfn.FORMULATEXT(FF$37),"=","")))+$EU51)</f>
        <v/>
      </c>
      <c r="FG51" s="78">
        <f t="shared" ca="1" si="6"/>
        <v>0</v>
      </c>
      <c r="FH51" s="78" t="b">
        <f t="array" aca="1" ref="FH51" ca="1">SUMPRODUCT((LEN(EV51:FF51)&gt;0)*1)&gt;0</f>
        <v>0</v>
      </c>
      <c r="FI51" s="78" t="str">
        <f t="array" aca="1" ref="FI51" ca="1">IFERROR(SMALL(IF(FG$1:FG$228&lt;&gt;0,FG$1:FG$228),ROW(A51)),"")</f>
        <v/>
      </c>
      <c r="FJ51" s="78" t="str">
        <f t="array" aca="1" ref="FJ51" ca="1">IF($FI51&lt;&gt;"",
INDIRECT(""&amp;IF(COLUMN(EV76)&lt;=26,CHAR(COLUMN(EV76)+64),CHAR(INT((COLUMN(EV76)-1)/26)+64)&amp;CHAR(MOD(COLUMN(EV76)-1,26)+65))&amp;$FI51&amp;""),"")</f>
        <v/>
      </c>
      <c r="FK51" s="78" t="str">
        <f t="array" aca="1" ref="FK51" ca="1">IF($FI51&lt;&gt;"",
INDIRECT(""&amp;IF(COLUMN(EW76)&lt;=26,CHAR(COLUMN(EW76)+64),CHAR(INT((COLUMN(EW76)-1)/26)+64)&amp;CHAR(MOD(COLUMN(EW76)-1,26)+65))&amp;$FI51&amp;""),"")</f>
        <v/>
      </c>
      <c r="FL51" s="78" t="str">
        <f t="array" aca="1" ref="FL51" ca="1">IF($FI51&lt;&gt;"",
INDIRECT(""&amp;IF(COLUMN(EX76)&lt;=26,CHAR(COLUMN(EX76)+64),CHAR(INT((COLUMN(EX76)-1)/26)+64)&amp;CHAR(MOD(COLUMN(EX76)-1,26)+65))&amp;$FI51&amp;""),"")</f>
        <v/>
      </c>
      <c r="FM51" s="78" t="str">
        <f t="array" aca="1" ref="FM51" ca="1">IF($FI51&lt;&gt;"",
IF(FL51="",
IF(INDIRECT("EY"&amp;$FI51&amp;"")&lt;&gt;"",
INDIRECT("EY"&amp;$FI51&amp;"")&amp;"箱"
&amp;INDIRECT("EZ"&amp;$FI51&amp;""),""),""),"")</f>
        <v/>
      </c>
      <c r="FN51" s="78" t="str">
        <f t="array" aca="1" ref="FN51" ca="1">IF($FI51&lt;&gt;"",
INDIRECT(""&amp;IF(COLUMN(FA76)&lt;=26,CHAR(COLUMN(FA76)+64),CHAR(INT((COLUMN(FA76)-1)/26)+64)&amp;CHAR(MOD(COLUMN(FA76)-1,26)+65))&amp;$FI51&amp;""),"")</f>
        <v/>
      </c>
      <c r="FO51" s="78" t="str">
        <f t="array" aca="1" ref="FO51" ca="1">IF($FI51&lt;&gt;"",
INDIRECT(""&amp;IF(COLUMN(FB76)&lt;=26,CHAR(COLUMN(FB76)+64),CHAR(INT((COLUMN(FB76)-1)/26)+64)&amp;CHAR(MOD(COLUMN(FB76)-1,26)+65))&amp;$FI51&amp;""),"")</f>
        <v/>
      </c>
      <c r="FP51" s="78" t="str">
        <f t="array" aca="1" ref="FP51" ca="1">IF($FI51&lt;&gt;"",
INDIRECT(""&amp;IF(COLUMN(FC76)&lt;=26,CHAR(COLUMN(FC76)+64),CHAR(INT((COLUMN(FC76)-1)/26)+64)&amp;CHAR(MOD(COLUMN(FC76)-1,26)+65))&amp;$FI51&amp;""),"")</f>
        <v/>
      </c>
      <c r="FQ51" s="78" t="str">
        <f t="array" aca="1" ref="FQ51" ca="1">IF($FI51&lt;&gt;"",
INDIRECT(""&amp;IF(COLUMN(FD76)&lt;=26,CHAR(COLUMN(FD76)+64),CHAR(INT((COLUMN(FD76)-1)/26)+64)&amp;CHAR(MOD(COLUMN(FD76)-1,26)+65))&amp;$FI51&amp;""),"")</f>
        <v/>
      </c>
      <c r="FR51" s="78" t="str">
        <f t="array" aca="1" ref="FR51" ca="1">IF($FI51&lt;&gt;"",
INDIRECT(""&amp;IF(COLUMN(FE76)&lt;=26,CHAR(COLUMN(FE76)+64),CHAR(INT((COLUMN(FE76)-1)/26)+64)&amp;CHAR(MOD(COLUMN(FE76)-1,26)+65))&amp;$FI51&amp;""),"")</f>
        <v/>
      </c>
      <c r="FS51" s="78" t="str">
        <f t="array" aca="1" ref="FS51" ca="1">IF($FI51&lt;&gt;"",
INDIRECT(""&amp;IF(COLUMN(FF76)&lt;=26,CHAR(COLUMN(FF76)+64),CHAR(INT((COLUMN(FF76)-1)/26)+64)&amp;CHAR(MOD(COLUMN(FF76)-1,26)+65))&amp;$FI51&amp;""),"")</f>
        <v/>
      </c>
    </row>
    <row r="52" spans="1:175" s="78" customFormat="1" ht="22.2" customHeight="1" x14ac:dyDescent="0.55000000000000004">
      <c r="A52" s="76"/>
      <c r="B52" s="84" t="str" cm="1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249" t="str">
        <f ca="1">IF(C53&lt;&gt;"","園児","")</f>
        <v/>
      </c>
      <c r="D52" s="249"/>
      <c r="E52" s="251" t="str">
        <f ca="1">IF(C53&lt;&gt;"","先生","")</f>
        <v/>
      </c>
      <c r="F52" s="251"/>
      <c r="G52" s="97" cm="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76"/>
      <c r="I52" s="84" t="str" cm="1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249" t="str">
        <f ca="1">IF(J53&lt;&gt;"","園児","")</f>
        <v/>
      </c>
      <c r="K52" s="249"/>
      <c r="L52" s="251" t="str">
        <f ca="1">IF(J53&lt;&gt;"","先生","")</f>
        <v/>
      </c>
      <c r="M52" s="251"/>
      <c r="N52" s="97" cm="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76"/>
      <c r="P52" s="76"/>
      <c r="Q52" s="84" t="str" cm="1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249" t="str">
        <f ca="1">IF(R53&lt;&gt;"","園児","")</f>
        <v/>
      </c>
      <c r="S52" s="249"/>
      <c r="T52" s="251" t="str">
        <f ca="1">IF(R53&lt;&gt;"","先生","")</f>
        <v/>
      </c>
      <c r="U52" s="251"/>
      <c r="V52" s="97" cm="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76"/>
      <c r="X52" s="84" t="str" cm="1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249" t="str">
        <f ca="1">IF(Y53&lt;&gt;"","園児","")</f>
        <v/>
      </c>
      <c r="Z52" s="249"/>
      <c r="AA52" s="251" t="str">
        <f ca="1">IF(Y53&lt;&gt;"","先生","")</f>
        <v/>
      </c>
      <c r="AB52" s="251"/>
      <c r="AC52" s="97" cm="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76"/>
      <c r="AE52" s="76"/>
      <c r="AF52" s="84" t="str" cm="1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249" t="str">
        <f ca="1">IF(AG53&lt;&gt;"","園児","")</f>
        <v/>
      </c>
      <c r="AH52" s="249"/>
      <c r="AI52" s="251" t="str">
        <f ca="1">IF(AG53&lt;&gt;"","先生","")</f>
        <v/>
      </c>
      <c r="AJ52" s="251"/>
      <c r="AK52" s="97" cm="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76"/>
      <c r="AM52" s="84" t="str" cm="1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249" t="str">
        <f ca="1">IF(AN53&lt;&gt;"","園児","")</f>
        <v/>
      </c>
      <c r="AO52" s="249"/>
      <c r="AP52" s="251" t="str">
        <f ca="1">IF(AN53&lt;&gt;"","先生","")</f>
        <v/>
      </c>
      <c r="AQ52" s="251"/>
      <c r="AR52" s="97" cm="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76"/>
      <c r="AT52" s="76"/>
      <c r="AU52" s="84" t="str" cm="1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249" t="str">
        <f ca="1">IF(AV53&lt;&gt;"","園児","")</f>
        <v/>
      </c>
      <c r="AW52" s="249"/>
      <c r="AX52" s="251" t="str">
        <f ca="1">IF(AV53&lt;&gt;"","先生","")</f>
        <v/>
      </c>
      <c r="AY52" s="251"/>
      <c r="AZ52" s="97" cm="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76"/>
      <c r="BB52" s="84" t="str" cm="1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249" t="str">
        <f ca="1">IF(BC53&lt;&gt;"","園児","")</f>
        <v/>
      </c>
      <c r="BD52" s="249"/>
      <c r="BE52" s="251" t="str">
        <f ca="1">IF(BC53&lt;&gt;"","先生","")</f>
        <v/>
      </c>
      <c r="BF52" s="251"/>
      <c r="BG52" s="97" cm="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76"/>
      <c r="BI52" s="76"/>
      <c r="BJ52" s="84" t="str" cm="1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249" t="str">
        <f ca="1">IF(BK53&lt;&gt;"","園児","")</f>
        <v/>
      </c>
      <c r="BL52" s="249"/>
      <c r="BM52" s="251" t="str">
        <f ca="1">IF(BK53&lt;&gt;"","先生","")</f>
        <v/>
      </c>
      <c r="BN52" s="251"/>
      <c r="BO52" s="97" cm="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76"/>
      <c r="BQ52" s="84" t="str" cm="1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249" t="str">
        <f ca="1">IF(BR53&lt;&gt;"","園児","")</f>
        <v/>
      </c>
      <c r="BS52" s="249"/>
      <c r="BT52" s="251" t="str">
        <f ca="1">IF(BR53&lt;&gt;"","先生","")</f>
        <v/>
      </c>
      <c r="BU52" s="251"/>
      <c r="BV52" s="97" cm="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76"/>
      <c r="BX52" s="76"/>
      <c r="BY52" s="84" t="str" cm="1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249" t="str">
        <f ca="1">IF(BZ53&lt;&gt;"","園児","")</f>
        <v/>
      </c>
      <c r="CA52" s="249"/>
      <c r="CB52" s="251" t="str">
        <f ca="1">IF(BZ53&lt;&gt;"","先生","")</f>
        <v/>
      </c>
      <c r="CC52" s="251"/>
      <c r="CD52" s="97" cm="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76"/>
      <c r="CF52" s="84" t="str" cm="1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249" t="str">
        <f ca="1">IF(CG53&lt;&gt;"","園児","")</f>
        <v/>
      </c>
      <c r="CH52" s="249"/>
      <c r="CI52" s="251" t="str">
        <f ca="1">IF(CG53&lt;&gt;"","先生","")</f>
        <v/>
      </c>
      <c r="CJ52" s="251"/>
      <c r="CK52" s="97" cm="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76"/>
      <c r="CM52" s="76"/>
      <c r="CN52" s="84" t="str" cm="1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249" t="str">
        <f ca="1">IF(CO53&lt;&gt;"","園児","")</f>
        <v/>
      </c>
      <c r="CP52" s="249"/>
      <c r="CQ52" s="251" t="str">
        <f ca="1">IF(CO53&lt;&gt;"","先生","")</f>
        <v/>
      </c>
      <c r="CR52" s="251"/>
      <c r="CS52" s="97" cm="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76"/>
      <c r="CU52" s="84" t="str" cm="1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249" t="str">
        <f ca="1">IF(CV53&lt;&gt;"","園児","")</f>
        <v/>
      </c>
      <c r="CW52" s="249"/>
      <c r="CX52" s="251" t="str">
        <f ca="1">IF(CV53&lt;&gt;"","先生","")</f>
        <v/>
      </c>
      <c r="CY52" s="251"/>
      <c r="CZ52" s="97" cm="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76"/>
      <c r="DB52" s="76"/>
      <c r="DC52" s="84" t="str" cm="1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249" t="str">
        <f ca="1">IF(DD53&lt;&gt;"","園児","")</f>
        <v/>
      </c>
      <c r="DE52" s="249"/>
      <c r="DF52" s="251" t="str">
        <f ca="1">IF(DD53&lt;&gt;"","先生","")</f>
        <v/>
      </c>
      <c r="DG52" s="251"/>
      <c r="DH52" s="97" cm="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76"/>
      <c r="DJ52" s="84" t="str" cm="1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249" t="str">
        <f ca="1">IF(DK53&lt;&gt;"","園児","")</f>
        <v/>
      </c>
      <c r="DL52" s="249"/>
      <c r="DM52" s="251" t="str">
        <f ca="1">IF(DK53&lt;&gt;"","先生","")</f>
        <v/>
      </c>
      <c r="DN52" s="251"/>
      <c r="DO52" s="97" cm="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76"/>
      <c r="DQ52" s="76"/>
      <c r="DR52" s="84" t="str" cm="1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249" t="str">
        <f ca="1">IF(DS53&lt;&gt;"","園児","")</f>
        <v/>
      </c>
      <c r="DT52" s="249"/>
      <c r="DU52" s="251" t="str">
        <f ca="1">IF(DS53&lt;&gt;"","先生","")</f>
        <v/>
      </c>
      <c r="DV52" s="251"/>
      <c r="DW52" s="97" cm="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76"/>
      <c r="DY52" s="84" t="str" cm="1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249" t="str">
        <f ca="1">IF(DZ53&lt;&gt;"","園児","")</f>
        <v/>
      </c>
      <c r="EA52" s="249"/>
      <c r="EB52" s="251" t="str">
        <f ca="1">IF(DZ53&lt;&gt;"","先生","")</f>
        <v/>
      </c>
      <c r="EC52" s="251"/>
      <c r="ED52" s="97" cm="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76"/>
      <c r="EF52" s="76"/>
      <c r="EG52" s="84" t="str" cm="1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249" t="str">
        <f ca="1">IF(EH53&lt;&gt;"","園児","")</f>
        <v/>
      </c>
      <c r="EI52" s="249"/>
      <c r="EJ52" s="251" t="str">
        <f ca="1">IF(EH53&lt;&gt;"","先生","")</f>
        <v/>
      </c>
      <c r="EK52" s="251"/>
      <c r="EL52" s="97" cm="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76"/>
      <c r="EN52" s="84" t="str" cm="1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249" t="str">
        <f ca="1">IF(EO53&lt;&gt;"","園児","")</f>
        <v/>
      </c>
      <c r="EP52" s="249"/>
      <c r="EQ52" s="251" t="str">
        <f ca="1">IF(EO53&lt;&gt;"","先生","")</f>
        <v/>
      </c>
      <c r="ER52" s="251"/>
      <c r="ES52" s="97" cm="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06"/>
      <c r="EU52" s="87">
        <f t="shared" si="4"/>
        <v>14</v>
      </c>
      <c r="EV52" s="78" t="str">
        <f t="array" aca="1" ref="EV5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LEN(SUBSTITUTE(_xlfn.FORMULATEXT(EV$40),"=","")))+$EU52)</f>
        <v/>
      </c>
      <c r="EW52" s="78" t="str">
        <f t="array" aca="1" ref="EW5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LEN(SUBSTITUTE(_xlfn.FORMULATEXT(EW$40),"=","")))+$EU52)</f>
        <v/>
      </c>
      <c r="EX52" s="78" t="str">
        <f t="array" aca="1" ref="EX5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LEN(SUBSTITUTE(_xlfn.FORMULATEXT(EX$40),"=","")))+$EU52)</f>
        <v/>
      </c>
      <c r="EY52" s="78" t="str">
        <f t="array" aca="1" ref="EY5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LEN(SUBSTITUTE(_xlfn.FORMULATEXT(EY$40),"=","")))+$EU52)</f>
        <v/>
      </c>
      <c r="EZ52" s="78" t="str">
        <f t="array" aca="1" ref="EZ5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LEN(SUBSTITUTE(_xlfn.FORMULATEXT(EZ$40),"=","")))+$EU52)</f>
        <v/>
      </c>
      <c r="FA52" s="78" t="e">
        <f t="array" aca="1" ref="FA5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LEN(SUBSTITUTE(_xlfn.FORMULATEXT(FA$40),"=","")))+$EU52)</f>
        <v>#VALUE!</v>
      </c>
      <c r="FB52" s="78" t="e">
        <f t="array" aca="1" ref="FB5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LEN(SUBSTITUTE(_xlfn.FORMULATEXT(FB$40),"=","")))+$EU52)</f>
        <v>#VALUE!</v>
      </c>
      <c r="FC52" s="78" t="str">
        <f t="array" aca="1" ref="FC5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LEN(SUBSTITUTE(_xlfn.FORMULATEXT(FC$40),"=","")))+$EU52)</f>
        <v/>
      </c>
      <c r="FD52" s="78" t="e">
        <f t="array" aca="1" ref="FD5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LEN(SUBSTITUTE(_xlfn.FORMULATEXT(FD$40),"=","")))+$EU52)</f>
        <v>#VALUE!</v>
      </c>
      <c r="FE52" s="78" t="str">
        <f t="array" aca="1" ref="FE5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LEN(SUBSTITUTE(_xlfn.FORMULATEXT(FE$40),"=","")))+$EU52)</f>
        <v/>
      </c>
      <c r="FF52" s="78" t="e">
        <f t="array" aca="1" ref="FF5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LEN(SUBSTITUTE(_xlfn.FORMULATEXT(FF$40),"=","")))+$EU52)</f>
        <v>#VALUE!</v>
      </c>
      <c r="FG52" s="78">
        <f t="shared" ca="1" si="6"/>
        <v>0</v>
      </c>
      <c r="FH52" s="78" t="e">
        <f t="array" aca="1" ref="FH52" ca="1">SUMPRODUCT((LEN(EV52:FF52)&gt;0)*1)&gt;0</f>
        <v>#VALUE!</v>
      </c>
      <c r="FI52" s="78" t="str">
        <f t="array" aca="1" ref="FI52" ca="1">IFERROR(SMALL(IF(FG$1:FG$228&lt;&gt;0,FG$1:FG$228),ROW(A52)),"")</f>
        <v/>
      </c>
      <c r="FJ52" s="78" t="str">
        <f t="array" aca="1" ref="FJ52" ca="1">IF($FI52&lt;&gt;"",
INDIRECT(""&amp;IF(COLUMN(EV77)&lt;=26,CHAR(COLUMN(EV77)+64),CHAR(INT((COLUMN(EV77)-1)/26)+64)&amp;CHAR(MOD(COLUMN(EV77)-1,26)+65))&amp;$FI52&amp;""),"")</f>
        <v/>
      </c>
      <c r="FK52" s="78" t="str">
        <f t="array" aca="1" ref="FK52" ca="1">IF($FI52&lt;&gt;"",
INDIRECT(""&amp;IF(COLUMN(EW77)&lt;=26,CHAR(COLUMN(EW77)+64),CHAR(INT((COLUMN(EW77)-1)/26)+64)&amp;CHAR(MOD(COLUMN(EW77)-1,26)+65))&amp;$FI52&amp;""),"")</f>
        <v/>
      </c>
      <c r="FL52" s="78" t="str">
        <f t="array" aca="1" ref="FL52" ca="1">IF($FI52&lt;&gt;"",
INDIRECT(""&amp;IF(COLUMN(EX77)&lt;=26,CHAR(COLUMN(EX77)+64),CHAR(INT((COLUMN(EX77)-1)/26)+64)&amp;CHAR(MOD(COLUMN(EX77)-1,26)+65))&amp;$FI52&amp;""),"")</f>
        <v/>
      </c>
      <c r="FM52" s="78" t="str">
        <f t="array" aca="1" ref="FM52" ca="1">IF($FI52&lt;&gt;"",
IF(FL52="",
IF(INDIRECT("EY"&amp;$FI52&amp;"")&lt;&gt;"",
INDIRECT("EY"&amp;$FI52&amp;"")&amp;"箱"
&amp;INDIRECT("EZ"&amp;$FI52&amp;""),""),""),"")</f>
        <v/>
      </c>
      <c r="FN52" s="78" t="str">
        <f t="array" aca="1" ref="FN52" ca="1">IF($FI52&lt;&gt;"",
INDIRECT(""&amp;IF(COLUMN(FA77)&lt;=26,CHAR(COLUMN(FA77)+64),CHAR(INT((COLUMN(FA77)-1)/26)+64)&amp;CHAR(MOD(COLUMN(FA77)-1,26)+65))&amp;$FI52&amp;""),"")</f>
        <v/>
      </c>
      <c r="FO52" s="78" t="str">
        <f t="array" aca="1" ref="FO52" ca="1">IF($FI52&lt;&gt;"",
INDIRECT(""&amp;IF(COLUMN(FB77)&lt;=26,CHAR(COLUMN(FB77)+64),CHAR(INT((COLUMN(FB77)-1)/26)+64)&amp;CHAR(MOD(COLUMN(FB77)-1,26)+65))&amp;$FI52&amp;""),"")</f>
        <v/>
      </c>
      <c r="FP52" s="78" t="str">
        <f t="array" aca="1" ref="FP52" ca="1">IF($FI52&lt;&gt;"",
INDIRECT(""&amp;IF(COLUMN(FC77)&lt;=26,CHAR(COLUMN(FC77)+64),CHAR(INT((COLUMN(FC77)-1)/26)+64)&amp;CHAR(MOD(COLUMN(FC77)-1,26)+65))&amp;$FI52&amp;""),"")</f>
        <v/>
      </c>
      <c r="FQ52" s="78" t="str">
        <f t="array" aca="1" ref="FQ52" ca="1">IF($FI52&lt;&gt;"",
INDIRECT(""&amp;IF(COLUMN(FD77)&lt;=26,CHAR(COLUMN(FD77)+64),CHAR(INT((COLUMN(FD77)-1)/26)+64)&amp;CHAR(MOD(COLUMN(FD77)-1,26)+65))&amp;$FI52&amp;""),"")</f>
        <v/>
      </c>
      <c r="FR52" s="78" t="str">
        <f t="array" aca="1" ref="FR52" ca="1">IF($FI52&lt;&gt;"",
INDIRECT(""&amp;IF(COLUMN(FE77)&lt;=26,CHAR(COLUMN(FE77)+64),CHAR(INT((COLUMN(FE77)-1)/26)+64)&amp;CHAR(MOD(COLUMN(FE77)-1,26)+65))&amp;$FI52&amp;""),"")</f>
        <v/>
      </c>
      <c r="FS52" s="78" t="str">
        <f t="array" aca="1" ref="FS52" ca="1">IF($FI52&lt;&gt;"",
INDIRECT(""&amp;IF(COLUMN(FF77)&lt;=26,CHAR(COLUMN(FF77)+64),CHAR(INT((COLUMN(FF77)-1)/26)+64)&amp;CHAR(MOD(COLUMN(FF77)-1,26)+65))&amp;$FI52&amp;""),"")</f>
        <v/>
      </c>
    </row>
    <row r="53" spans="1:175" ht="18" customHeight="1" x14ac:dyDescent="0.45">
      <c r="B53" s="86"/>
      <c r="C53" s="259" t="str" cm="1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259"/>
      <c r="E53" s="258" t="str" cm="1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58"/>
      <c r="G53" s="97" t="e" cm="1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INDEX(INDIRECT("'数出表_Excel（アレルギー入力）'!"&amp;B52&amp;MATCH(IG8,'数出表_Excel（アレルギー入力）'!$A:$A,0)+1&amp;":"&amp;G54&amp;MATCH(G8,'数出表_Excel（アレルギー入力）'!$A:$A,0)+1&amp;""),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I53" s="86"/>
      <c r="J53" s="259" t="str" cm="1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259"/>
      <c r="L53" s="258" t="str" cm="1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58"/>
      <c r="N53" s="97" t="e" cm="1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INDEX(INDIRECT("'数出表_Excel（アレルギー入力）'!"&amp;I52&amp;MATCH(IN8,'数出表_Excel（アレルギー入力）'!$A:$A,0)+1&amp;":"&amp;N54&amp;MATCH(N8,'数出表_Excel（アレルギー入力）'!$A:$A,0)+1&amp;""),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Q53" s="86"/>
      <c r="R53" s="259" t="str" cm="1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59"/>
      <c r="T53" s="258" t="str" cm="1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58"/>
      <c r="V53" s="97" t="e" cm="1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INDEX(INDIRECT("'数出表_Excel（アレルギー入力）'!"&amp;Q52&amp;MATCH(IV8,'数出表_Excel（アレルギー入力）'!$A:$A,0)+1&amp;":"&amp;V54&amp;MATCH(V8,'数出表_Excel（アレルギー入力）'!$A:$A,0)+1&amp;""),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X53" s="86"/>
      <c r="Y53" s="259" t="str" cm="1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59"/>
      <c r="AA53" s="258" t="str" cm="1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58"/>
      <c r="AC53" s="97" t="e" cm="1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INDEX(INDIRECT("'数出表_Excel（アレルギー入力）'!"&amp;X52&amp;MATCH(JC8,'数出表_Excel（アレルギー入力）'!$A:$A,0)+1&amp;":"&amp;AC54&amp;MATCH(AC8,'数出表_Excel（アレルギー入力）'!$A:$A,0)+1&amp;""),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F53" s="86"/>
      <c r="AG53" s="259" t="str" cm="1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59"/>
      <c r="AI53" s="258" t="str" cm="1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58"/>
      <c r="AK53" s="97" t="e" cm="1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INDEX(INDIRECT("'数出表_Excel（アレルギー入力）'!"&amp;AF52&amp;MATCH(JK8,'数出表_Excel（アレルギー入力）'!$A:$A,0)+1&amp;":"&amp;AK54&amp;MATCH(AK8,'数出表_Excel（アレルギー入力）'!$A:$A,0)+1&amp;""),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M53" s="86"/>
      <c r="AN53" s="259" t="str" cm="1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59"/>
      <c r="AP53" s="258" t="str" cm="1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58"/>
      <c r="AR53" s="97" t="e" cm="1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INDEX(INDIRECT("'数出表_Excel（アレルギー入力）'!"&amp;AM52&amp;MATCH(JR8,'数出表_Excel（アレルギー入力）'!$A:$A,0)+1&amp;":"&amp;AR54&amp;MATCH(AR8,'数出表_Excel（アレルギー入力）'!$A:$A,0)+1&amp;""),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U53" s="86"/>
      <c r="AV53" s="259" t="str" cm="1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59"/>
      <c r="AX53" s="258" t="str" cm="1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58"/>
      <c r="AZ53" s="97" t="e" cm="1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INDEX(INDIRECT("'数出表_Excel（アレルギー入力）'!"&amp;AU52&amp;MATCH(JZ8,'数出表_Excel（アレルギー入力）'!$A:$A,0)+1&amp;":"&amp;AZ54&amp;MATCH(AZ8,'数出表_Excel（アレルギー入力）'!$A:$A,0)+1&amp;""),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B53" s="86"/>
      <c r="BC53" s="259" t="str" cm="1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59"/>
      <c r="BE53" s="258" t="str" cm="1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58"/>
      <c r="BG53" s="97" t="e" cm="1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INDEX(INDIRECT("'数出表_Excel（アレルギー入力）'!"&amp;BB52&amp;MATCH(KG8,'数出表_Excel（アレルギー入力）'!$A:$A,0)+1&amp;":"&amp;BG54&amp;MATCH(BG8,'数出表_Excel（アレルギー入力）'!$A:$A,0)+1&amp;""),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J53" s="86"/>
      <c r="BK53" s="259" t="str" cm="1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59"/>
      <c r="BM53" s="258" t="str" cm="1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58"/>
      <c r="BO53" s="97" t="e" cm="1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INDEX(INDIRECT("'数出表_Excel（アレルギー入力）'!"&amp;BJ52&amp;MATCH(KO8,'数出表_Excel（アレルギー入力）'!$A:$A,0)+1&amp;":"&amp;BO54&amp;MATCH(BO8,'数出表_Excel（アレルギー入力）'!$A:$A,0)+1&amp;""),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Q53" s="86"/>
      <c r="BR53" s="259" t="str" cm="1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59"/>
      <c r="BT53" s="258" t="str" cm="1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58"/>
      <c r="BV53" s="97" t="e" cm="1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INDEX(INDIRECT("'数出表_Excel（アレルギー入力）'!"&amp;BQ52&amp;MATCH(KV8,'数出表_Excel（アレルギー入力）'!$A:$A,0)+1&amp;":"&amp;BV54&amp;MATCH(BV8,'数出表_Excel（アレルギー入力）'!$A:$A,0)+1&amp;""),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Y53" s="86"/>
      <c r="BZ53" s="259" t="str" cm="1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59"/>
      <c r="CB53" s="258" t="str" cm="1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58"/>
      <c r="CD53" s="97" t="e" cm="1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INDEX(INDIRECT("'数出表_Excel（アレルギー入力）'!"&amp;BY52&amp;MATCH(LD8,'数出表_Excel（アレルギー入力）'!$A:$A,0)+1&amp;":"&amp;CD54&amp;MATCH(CD8,'数出表_Excel（アレルギー入力）'!$A:$A,0)+1&amp;""),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F53" s="86"/>
      <c r="CG53" s="259" t="str" cm="1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59"/>
      <c r="CI53" s="258" t="str" cm="1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58"/>
      <c r="CK53" s="97" t="e" cm="1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INDEX(INDIRECT("'数出表_Excel（アレルギー入力）'!"&amp;CF52&amp;MATCH(LK8,'数出表_Excel（アレルギー入力）'!$A:$A,0)+1&amp;":"&amp;CK54&amp;MATCH(CK8,'数出表_Excel（アレルギー入力）'!$A:$A,0)+1&amp;""),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N53" s="86"/>
      <c r="CO53" s="259" t="str" cm="1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59"/>
      <c r="CQ53" s="258" t="str" cm="1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58"/>
      <c r="CS53" s="97" t="e" cm="1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INDEX(INDIRECT("'数出表_Excel（アレルギー入力）'!"&amp;CN52&amp;MATCH(LS8,'数出表_Excel（アレルギー入力）'!$A:$A,0)+1&amp;":"&amp;CS54&amp;MATCH(CS8,'数出表_Excel（アレルギー入力）'!$A:$A,0)+1&amp;""),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U53" s="86"/>
      <c r="CV53" s="259" t="str" cm="1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59"/>
      <c r="CX53" s="258" t="str" cm="1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58"/>
      <c r="CZ53" s="97" t="e" cm="1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INDEX(INDIRECT("'数出表_Excel（アレルギー入力）'!"&amp;CU52&amp;MATCH(LZ8,'数出表_Excel（アレルギー入力）'!$A:$A,0)+1&amp;":"&amp;CZ54&amp;MATCH(CZ8,'数出表_Excel（アレルギー入力）'!$A:$A,0)+1&amp;""),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C53" s="86"/>
      <c r="DD53" s="259" t="str" cm="1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59"/>
      <c r="DF53" s="258" t="str" cm="1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58"/>
      <c r="DH53" s="97" t="e" cm="1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INDEX(INDIRECT("'数出表_Excel（アレルギー入力）'!"&amp;DC52&amp;MATCH(MH8,'数出表_Excel（アレルギー入力）'!$A:$A,0)+1&amp;":"&amp;DH54&amp;MATCH(DH8,'数出表_Excel（アレルギー入力）'!$A:$A,0)+1&amp;""),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J53" s="86"/>
      <c r="DK53" s="259" t="str" cm="1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59"/>
      <c r="DM53" s="258" t="str" cm="1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58"/>
      <c r="DO53" s="97" t="e" cm="1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INDEX(INDIRECT("'数出表_Excel（アレルギー入力）'!"&amp;DJ52&amp;MATCH(MO8,'数出表_Excel（アレルギー入力）'!$A:$A,0)+1&amp;":"&amp;DO54&amp;MATCH(DO8,'数出表_Excel（アレルギー入力）'!$A:$A,0)+1&amp;""),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R53" s="86"/>
      <c r="DS53" s="259" t="str" cm="1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59"/>
      <c r="DU53" s="258" t="str" cm="1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58"/>
      <c r="DW53" s="97" t="e" cm="1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INDEX(INDIRECT("'数出表_Excel（アレルギー入力）'!"&amp;DR52&amp;MATCH(MW8,'数出表_Excel（アレルギー入力）'!$A:$A,0)+1&amp;":"&amp;DW54&amp;MATCH(DW8,'数出表_Excel（アレルギー入力）'!$A:$A,0)+1&amp;""),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Y53" s="86"/>
      <c r="DZ53" s="259" t="str" cm="1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59"/>
      <c r="EB53" s="258" t="str" cm="1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58"/>
      <c r="ED53" s="97" t="e" cm="1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INDEX(INDIRECT("'数出表_Excel（アレルギー入力）'!"&amp;DY52&amp;MATCH(ND8,'数出表_Excel（アレルギー入力）'!$A:$A,0)+1&amp;":"&amp;ED54&amp;MATCH(ED8,'数出表_Excel（アレルギー入力）'!$A:$A,0)+1&amp;""),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G53" s="86"/>
      <c r="EH53" s="259" t="str" cm="1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259"/>
      <c r="EJ53" s="258" t="str" cm="1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58"/>
      <c r="EL53" s="97" t="e" cm="1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INDEX(INDIRECT("'数出表_Excel（アレルギー入力）'!"&amp;EG52&amp;MATCH(NL8,'数出表_Excel（アレルギー入力）'!$A:$A,0)+1&amp;":"&amp;EL54&amp;MATCH(EL8,'数出表_Excel（アレルギー入力）'!$A:$A,0)+1&amp;""),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N53" s="86"/>
      <c r="EO53" s="259" t="str" cm="1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259"/>
      <c r="EQ53" s="258" t="str" cm="1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58"/>
      <c r="ES53" s="97" t="e" cm="1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INDEX(INDIRECT("'数出表_Excel（アレルギー入力）'!"&amp;EN52&amp;MATCH(NS8,'数出表_Excel（アレルギー入力）'!$A:$A,0)+1&amp;":"&amp;ES54&amp;MATCH(ES8,'数出表_Excel（アレルギー入力）'!$A:$A,0)+1&amp;""),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06"/>
      <c r="EU53" s="78">
        <f t="shared" si="4"/>
        <v>56</v>
      </c>
      <c r="EV53" s="78" t="str">
        <f t="array" aca="1" ref="EV53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LEN(SUBSTITUTE(_xlfn.FORMULATEXT(EV$40),"=","")))+$EU53)</f>
        <v/>
      </c>
      <c r="EW53" s="78" t="str">
        <f t="array" aca="1" ref="EW53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LEN(SUBSTITUTE(_xlfn.FORMULATEXT(EW$40),"=","")))+$EU53)</f>
        <v/>
      </c>
      <c r="EX53" s="78" t="str">
        <f t="array" aca="1" ref="EX53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LEN(SUBSTITUTE(_xlfn.FORMULATEXT(EX$40),"=","")))+$EU53)</f>
        <v/>
      </c>
      <c r="EY53" s="78" t="str">
        <f t="array" aca="1" ref="EY53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LEN(SUBSTITUTE(_xlfn.FORMULATEXT(EY$40),"=","")))+$EU53)</f>
        <v/>
      </c>
      <c r="EZ53" s="78" t="str">
        <f t="array" aca="1" ref="EZ53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LEN(SUBSTITUTE(_xlfn.FORMULATEXT(EZ$40),"=","")))+$EU53)</f>
        <v/>
      </c>
      <c r="FA53" s="78" t="str">
        <f t="array" aca="1" ref="FA53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LEN(SUBSTITUTE(_xlfn.FORMULATEXT(FA$40),"=","")))+$EU53)</f>
        <v/>
      </c>
      <c r="FB53" s="78" t="str">
        <f t="array" aca="1" ref="FB53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LEN(SUBSTITUTE(_xlfn.FORMULATEXT(FB$40),"=","")))+$EU53)</f>
        <v/>
      </c>
      <c r="FC53" s="78" t="str">
        <f t="array" aca="1" ref="FC53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LEN(SUBSTITUTE(_xlfn.FORMULATEXT(FC$40),"=","")))+$EU53)</f>
        <v/>
      </c>
      <c r="FD53" s="78" t="str">
        <f t="array" aca="1" ref="FD53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LEN(SUBSTITUTE(_xlfn.FORMULATEXT(FD$40),"=","")))+$EU53)</f>
        <v/>
      </c>
      <c r="FE53" s="78" t="str">
        <f t="array" aca="1" ref="FE53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LEN(SUBSTITUTE(_xlfn.FORMULATEXT(FE$40),"=","")))+$EU53)</f>
        <v/>
      </c>
      <c r="FF53" s="78" t="str">
        <f t="array" aca="1" ref="FF53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LEN(SUBSTITUTE(_xlfn.FORMULATEXT(FF$40),"=","")))+$EU53)</f>
        <v/>
      </c>
      <c r="FG53" s="78">
        <f t="shared" ca="1" si="6"/>
        <v>0</v>
      </c>
      <c r="FH53" s="78" t="b">
        <f t="array" aca="1" ref="FH53" ca="1">SUMPRODUCT((LEN(EV53:FF53)&gt;0)*1)&gt;0</f>
        <v>0</v>
      </c>
      <c r="FI53" s="78" t="str" cm="1">
        <f t="array" aca="1" ref="FI53" ca="1">IFERROR(SMALL(IF(FG$1:FG$228&lt;&gt;0,FG$1:FG$228),ROW(A53)),"")</f>
        <v/>
      </c>
      <c r="FJ53" s="78" t="str" cm="1">
        <f t="array" aca="1" ref="FJ53" ca="1">IF($FI53&lt;&gt;"",
INDIRECT(""&amp;IF(COLUMN(EV79)&lt;=26,CHAR(COLUMN(EV79)+64),CHAR(INT((COLUMN(EV79)-1)/26)+64)&amp;CHAR(MOD(COLUMN(EV79)-1,26)+65))&amp;$FI53&amp;""),"")</f>
        <v/>
      </c>
      <c r="FK53" s="78" t="str" cm="1">
        <f t="array" aca="1" ref="FK53" ca="1">IF($FI53&lt;&gt;"",
INDIRECT(""&amp;IF(COLUMN(EW79)&lt;=26,CHAR(COLUMN(EW79)+64),CHAR(INT((COLUMN(EW79)-1)/26)+64)&amp;CHAR(MOD(COLUMN(EW79)-1,26)+65))&amp;$FI53&amp;""),"")</f>
        <v/>
      </c>
      <c r="FL53" s="78" t="str">
        <f t="array" aca="1" ref="FL53" ca="1">IF($FI53&lt;&gt;"",
INDIRECT(""&amp;IF(COLUMN(EX79)&lt;=26,CHAR(COLUMN(EX79)+64),CHAR(INT((COLUMN(EX79)-1)/26)+64)&amp;CHAR(MOD(COLUMN(EX79)-1,26)+65))&amp;$FI53&amp;""),"")</f>
        <v/>
      </c>
      <c r="FM53" s="78" t="str">
        <f t="array" aca="1" ref="FM53" ca="1">IF($FI53&lt;&gt;"",
IF(FL53="",
IF(INDIRECT("EY"&amp;$FI53&amp;"")&lt;&gt;"",
INDIRECT("EY"&amp;$FI53&amp;"")&amp;"箱"
&amp;INDIRECT("EZ"&amp;$FI53&amp;""),""),""),"")</f>
        <v/>
      </c>
      <c r="FN53" s="78" t="str">
        <f t="array" aca="1" ref="FN53" ca="1">IF($FI53&lt;&gt;"",
INDIRECT(""&amp;IF(COLUMN(FA79)&lt;=26,CHAR(COLUMN(FA79)+64),CHAR(INT((COLUMN(FA79)-1)/26)+64)&amp;CHAR(MOD(COLUMN(FA79)-1,26)+65))&amp;$FI53&amp;""),"")</f>
        <v/>
      </c>
      <c r="FO53" s="78" t="str">
        <f t="array" aca="1" ref="FO53" ca="1">IF($FI53&lt;&gt;"",
INDIRECT(""&amp;IF(COLUMN(FB79)&lt;=26,CHAR(COLUMN(FB79)+64),CHAR(INT((COLUMN(FB79)-1)/26)+64)&amp;CHAR(MOD(COLUMN(FB79)-1,26)+65))&amp;$FI53&amp;""),"")</f>
        <v/>
      </c>
      <c r="FP53" s="78" t="str">
        <f t="array" aca="1" ref="FP53" ca="1">IF($FI53&lt;&gt;"",
INDIRECT(""&amp;IF(COLUMN(FC79)&lt;=26,CHAR(COLUMN(FC79)+64),CHAR(INT((COLUMN(FC79)-1)/26)+64)&amp;CHAR(MOD(COLUMN(FC79)-1,26)+65))&amp;$FI53&amp;""),"")</f>
        <v/>
      </c>
      <c r="FQ53" s="78" t="str">
        <f t="array" aca="1" ref="FQ53" ca="1">IF($FI53&lt;&gt;"",
INDIRECT(""&amp;IF(COLUMN(FD79)&lt;=26,CHAR(COLUMN(FD79)+64),CHAR(INT((COLUMN(FD79)-1)/26)+64)&amp;CHAR(MOD(COLUMN(FD79)-1,26)+65))&amp;$FI53&amp;""),"")</f>
        <v/>
      </c>
      <c r="FR53" s="78" t="str">
        <f t="array" aca="1" ref="FR53" ca="1">IF($FI53&lt;&gt;"",
INDIRECT(""&amp;IF(COLUMN(FE79)&lt;=26,CHAR(COLUMN(FE79)+64),CHAR(INT((COLUMN(FE79)-1)/26)+64)&amp;CHAR(MOD(COLUMN(FE79)-1,26)+65))&amp;$FI53&amp;""),"")</f>
        <v/>
      </c>
      <c r="FS53" s="78" t="str">
        <f t="array" aca="1" ref="FS53" ca="1">IF($FI53&lt;&gt;"",
INDIRECT(""&amp;IF(COLUMN(FF79)&lt;=26,CHAR(COLUMN(FF79)+64),CHAR(INT((COLUMN(FF79)-1)/26)+64)&amp;CHAR(MOD(COLUMN(FF79)-1,26)+65))&amp;$FI53&amp;""),"")</f>
        <v/>
      </c>
    </row>
    <row r="54" spans="1:175" ht="18" customHeight="1" x14ac:dyDescent="0.45">
      <c r="B54" s="88"/>
      <c r="C54" s="252"/>
      <c r="D54" s="252"/>
      <c r="E54" s="255"/>
      <c r="F54" s="255"/>
      <c r="G54" s="98" t="str">
        <f ca="1">SUBSTITUTE(SUBSTITUTE(ADDRESS(1,MATCH("おやつ",'数出表_Excel（アレルギー入力）'!$3:$3,0)),1,""),"$","")</f>
        <v>AL</v>
      </c>
      <c r="I54" s="88"/>
      <c r="J54" s="252"/>
      <c r="K54" s="252"/>
      <c r="L54" s="255"/>
      <c r="M54" s="255"/>
      <c r="N54" s="98" t="str">
        <f ca="1">SUBSTITUTE(SUBSTITUTE(ADDRESS(1,MATCH("おやつ",'数出表_Excel（アレルギー入力）'!$3:$3,0)),1,""),"$","")</f>
        <v>AL</v>
      </c>
      <c r="Q54" s="88"/>
      <c r="R54" s="252"/>
      <c r="S54" s="252"/>
      <c r="T54" s="255"/>
      <c r="U54" s="255"/>
      <c r="V54" s="98" t="str">
        <f ca="1">SUBSTITUTE(SUBSTITUTE(ADDRESS(1,MATCH("おやつ",'数出表_Excel（アレルギー入力）'!$3:$3,0)),1,""),"$","")</f>
        <v>AL</v>
      </c>
      <c r="X54" s="88"/>
      <c r="Y54" s="252"/>
      <c r="Z54" s="252"/>
      <c r="AA54" s="255"/>
      <c r="AB54" s="255"/>
      <c r="AC54" s="98" t="str">
        <f ca="1">SUBSTITUTE(SUBSTITUTE(ADDRESS(1,MATCH("おやつ",'数出表_Excel（アレルギー入力）'!$3:$3,0)),1,""),"$","")</f>
        <v>AL</v>
      </c>
      <c r="AF54" s="88"/>
      <c r="AG54" s="252"/>
      <c r="AH54" s="252"/>
      <c r="AI54" s="255"/>
      <c r="AJ54" s="255"/>
      <c r="AK54" s="98" t="str">
        <f ca="1">SUBSTITUTE(SUBSTITUTE(ADDRESS(1,MATCH("おやつ",'数出表_Excel（アレルギー入力）'!$3:$3,0)),1,""),"$","")</f>
        <v>AL</v>
      </c>
      <c r="AM54" s="88"/>
      <c r="AN54" s="252"/>
      <c r="AO54" s="252"/>
      <c r="AP54" s="255"/>
      <c r="AQ54" s="255"/>
      <c r="AR54" s="98" t="str">
        <f ca="1">SUBSTITUTE(SUBSTITUTE(ADDRESS(1,MATCH("おやつ",'数出表_Excel（アレルギー入力）'!$3:$3,0)),1,""),"$","")</f>
        <v>AL</v>
      </c>
      <c r="AU54" s="88"/>
      <c r="AV54" s="252"/>
      <c r="AW54" s="252"/>
      <c r="AX54" s="255"/>
      <c r="AY54" s="255"/>
      <c r="AZ54" s="98" t="str">
        <f ca="1">SUBSTITUTE(SUBSTITUTE(ADDRESS(1,MATCH("おやつ",'数出表_Excel（アレルギー入力）'!$3:$3,0)),1,""),"$","")</f>
        <v>AL</v>
      </c>
      <c r="BB54" s="88"/>
      <c r="BC54" s="252"/>
      <c r="BD54" s="252"/>
      <c r="BE54" s="255"/>
      <c r="BF54" s="255"/>
      <c r="BG54" s="98" t="str">
        <f ca="1">SUBSTITUTE(SUBSTITUTE(ADDRESS(1,MATCH("おやつ",'数出表_Excel（アレルギー入力）'!$3:$3,0)),1,""),"$","")</f>
        <v>AL</v>
      </c>
      <c r="BJ54" s="88"/>
      <c r="BK54" s="252"/>
      <c r="BL54" s="252"/>
      <c r="BM54" s="255"/>
      <c r="BN54" s="255"/>
      <c r="BO54" s="98" t="str">
        <f ca="1">SUBSTITUTE(SUBSTITUTE(ADDRESS(1,MATCH("おやつ",'数出表_Excel（アレルギー入力）'!$3:$3,0)),1,""),"$","")</f>
        <v>AL</v>
      </c>
      <c r="BQ54" s="88"/>
      <c r="BR54" s="252"/>
      <c r="BS54" s="252"/>
      <c r="BT54" s="255"/>
      <c r="BU54" s="255"/>
      <c r="BV54" s="98" t="str">
        <f ca="1">SUBSTITUTE(SUBSTITUTE(ADDRESS(1,MATCH("おやつ",'数出表_Excel（アレルギー入力）'!$3:$3,0)),1,""),"$","")</f>
        <v>AL</v>
      </c>
      <c r="BY54" s="88"/>
      <c r="BZ54" s="252"/>
      <c r="CA54" s="252"/>
      <c r="CB54" s="255"/>
      <c r="CC54" s="255"/>
      <c r="CD54" s="98" t="str">
        <f ca="1">SUBSTITUTE(SUBSTITUTE(ADDRESS(1,MATCH("おやつ",'数出表_Excel（アレルギー入力）'!$3:$3,0)),1,""),"$","")</f>
        <v>AL</v>
      </c>
      <c r="CF54" s="88"/>
      <c r="CG54" s="252"/>
      <c r="CH54" s="252"/>
      <c r="CI54" s="255"/>
      <c r="CJ54" s="255"/>
      <c r="CK54" s="98" t="str">
        <f ca="1">SUBSTITUTE(SUBSTITUTE(ADDRESS(1,MATCH("おやつ",'数出表_Excel（アレルギー入力）'!$3:$3,0)),1,""),"$","")</f>
        <v>AL</v>
      </c>
      <c r="CN54" s="88"/>
      <c r="CO54" s="252"/>
      <c r="CP54" s="252"/>
      <c r="CQ54" s="255"/>
      <c r="CR54" s="255"/>
      <c r="CS54" s="98" t="str">
        <f ca="1">SUBSTITUTE(SUBSTITUTE(ADDRESS(1,MATCH("おやつ",'数出表_Excel（アレルギー入力）'!$3:$3,0)),1,""),"$","")</f>
        <v>AL</v>
      </c>
      <c r="CU54" s="88"/>
      <c r="CV54" s="252"/>
      <c r="CW54" s="252"/>
      <c r="CX54" s="255"/>
      <c r="CY54" s="255"/>
      <c r="CZ54" s="98" t="str">
        <f ca="1">SUBSTITUTE(SUBSTITUTE(ADDRESS(1,MATCH("おやつ",'数出表_Excel（アレルギー入力）'!$3:$3,0)),1,""),"$","")</f>
        <v>AL</v>
      </c>
      <c r="DC54" s="88"/>
      <c r="DD54" s="252"/>
      <c r="DE54" s="252"/>
      <c r="DF54" s="255"/>
      <c r="DG54" s="255"/>
      <c r="DH54" s="98" t="str">
        <f ca="1">SUBSTITUTE(SUBSTITUTE(ADDRESS(1,MATCH("おやつ",'数出表_Excel（アレルギー入力）'!$3:$3,0)),1,""),"$","")</f>
        <v>AL</v>
      </c>
      <c r="DJ54" s="88"/>
      <c r="DK54" s="252"/>
      <c r="DL54" s="252"/>
      <c r="DM54" s="255"/>
      <c r="DN54" s="255"/>
      <c r="DO54" s="98" t="str">
        <f ca="1">SUBSTITUTE(SUBSTITUTE(ADDRESS(1,MATCH("おやつ",'数出表_Excel（アレルギー入力）'!$3:$3,0)),1,""),"$","")</f>
        <v>AL</v>
      </c>
      <c r="DR54" s="88"/>
      <c r="DS54" s="252"/>
      <c r="DT54" s="252"/>
      <c r="DU54" s="255"/>
      <c r="DV54" s="255"/>
      <c r="DW54" s="98" t="str">
        <f ca="1">SUBSTITUTE(SUBSTITUTE(ADDRESS(1,MATCH("おやつ",'数出表_Excel（アレルギー入力）'!$3:$3,0)),1,""),"$","")</f>
        <v>AL</v>
      </c>
      <c r="DY54" s="88"/>
      <c r="DZ54" s="252"/>
      <c r="EA54" s="252"/>
      <c r="EB54" s="255"/>
      <c r="EC54" s="255"/>
      <c r="ED54" s="98" t="str">
        <f ca="1">SUBSTITUTE(SUBSTITUTE(ADDRESS(1,MATCH("おやつ",'数出表_Excel（アレルギー入力）'!$3:$3,0)),1,""),"$","")</f>
        <v>AL</v>
      </c>
      <c r="EG54" s="88"/>
      <c r="EH54" s="252"/>
      <c r="EI54" s="252"/>
      <c r="EJ54" s="255"/>
      <c r="EK54" s="255"/>
      <c r="EL54" s="98" t="str">
        <f ca="1">SUBSTITUTE(SUBSTITUTE(ADDRESS(1,MATCH("おやつ",'数出表_Excel（アレルギー入力）'!$3:$3,0)),1,""),"$","")</f>
        <v>AL</v>
      </c>
      <c r="EN54" s="88"/>
      <c r="EO54" s="252"/>
      <c r="EP54" s="252"/>
      <c r="EQ54" s="255"/>
      <c r="ER54" s="255"/>
      <c r="ES54" s="98" t="str">
        <f ca="1">SUBSTITUTE(SUBSTITUTE(ADDRESS(1,MATCH("おやつ",'数出表_Excel（アレルギー入力）'!$3:$3,0)),1,""),"$","")</f>
        <v>AL</v>
      </c>
      <c r="ET54" s="106"/>
      <c r="EU54" s="78">
        <f t="shared" si="4"/>
        <v>98</v>
      </c>
      <c r="EV54" s="78" t="str">
        <f t="array" aca="1" ref="EV54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LEN(SUBSTITUTE(_xlfn.FORMULATEXT(EV$40),"=","")))+$EU54)</f>
        <v/>
      </c>
      <c r="EW54" s="78" t="str">
        <f t="array" aca="1" ref="EW54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LEN(SUBSTITUTE(_xlfn.FORMULATEXT(EW$40),"=","")))+$EU54)</f>
        <v/>
      </c>
      <c r="EX54" s="78" t="str">
        <f t="array" aca="1" ref="EX54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LEN(SUBSTITUTE(_xlfn.FORMULATEXT(EX$40),"=","")))+$EU54)</f>
        <v/>
      </c>
      <c r="EY54" s="78" t="str">
        <f t="array" aca="1" ref="EY54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LEN(SUBSTITUTE(_xlfn.FORMULATEXT(EY$40),"=","")))+$EU54)</f>
        <v/>
      </c>
      <c r="EZ54" s="78" t="str">
        <f t="array" aca="1" ref="EZ54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LEN(SUBSTITUTE(_xlfn.FORMULATEXT(EZ$40),"=","")))+$EU54)</f>
        <v/>
      </c>
      <c r="FA54" s="78" t="str">
        <f t="array" aca="1" ref="FA54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LEN(SUBSTITUTE(_xlfn.FORMULATEXT(FA$40),"=","")))+$EU54)</f>
        <v/>
      </c>
      <c r="FB54" s="78" t="str">
        <f t="array" aca="1" ref="FB54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LEN(SUBSTITUTE(_xlfn.FORMULATEXT(FB$40),"=","")))+$EU54)</f>
        <v/>
      </c>
      <c r="FC54" s="78" t="str">
        <f t="array" aca="1" ref="FC54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LEN(SUBSTITUTE(_xlfn.FORMULATEXT(FC$40),"=","")))+$EU54)</f>
        <v/>
      </c>
      <c r="FD54" s="78" t="str">
        <f t="array" aca="1" ref="FD54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LEN(SUBSTITUTE(_xlfn.FORMULATEXT(FD$40),"=","")))+$EU54)</f>
        <v/>
      </c>
      <c r="FE54" s="78" t="str">
        <f t="array" aca="1" ref="FE54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LEN(SUBSTITUTE(_xlfn.FORMULATEXT(FE$40),"=","")))+$EU54)</f>
        <v/>
      </c>
      <c r="FF54" s="78" t="str">
        <f t="array" aca="1" ref="FF54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LEN(SUBSTITUTE(_xlfn.FORMULATEXT(FF$40),"=","")))+$EU54)</f>
        <v/>
      </c>
      <c r="FG54" s="78">
        <f t="shared" ca="1" si="6"/>
        <v>0</v>
      </c>
      <c r="FH54" s="78" t="b">
        <f t="array" aca="1" ref="FH54" ca="1">SUMPRODUCT((LEN(EV54:FF54)&gt;0)*1)&gt;0</f>
        <v>0</v>
      </c>
      <c r="FI54" s="78" t="str">
        <f t="array" aca="1" ref="FI54" ca="1">IFERROR(SMALL(IF(FG$1:FG$228&lt;&gt;0,FG$1:FG$228),ROW(A54)),"")</f>
        <v/>
      </c>
      <c r="FJ54" s="78" t="str">
        <f t="array" aca="1" ref="FJ54" ca="1">IF($FI54&lt;&gt;"",
INDIRECT(""&amp;IF(COLUMN(EV80)&lt;=26,CHAR(COLUMN(EV80)+64),CHAR(INT((COLUMN(EV80)-1)/26)+64)&amp;CHAR(MOD(COLUMN(EV80)-1,26)+65))&amp;$FI54&amp;""),"")</f>
        <v/>
      </c>
      <c r="FK54" s="78" t="str">
        <f t="array" aca="1" ref="FK54" ca="1">IF($FI54&lt;&gt;"",
INDIRECT(""&amp;IF(COLUMN(EW80)&lt;=26,CHAR(COLUMN(EW80)+64),CHAR(INT((COLUMN(EW80)-1)/26)+64)&amp;CHAR(MOD(COLUMN(EW80)-1,26)+65))&amp;$FI54&amp;""),"")</f>
        <v/>
      </c>
      <c r="FL54" s="78" t="str">
        <f t="array" aca="1" ref="FL54" ca="1">IF($FI54&lt;&gt;"",
INDIRECT(""&amp;IF(COLUMN(EX80)&lt;=26,CHAR(COLUMN(EX80)+64),CHAR(INT((COLUMN(EX80)-1)/26)+64)&amp;CHAR(MOD(COLUMN(EX80)-1,26)+65))&amp;$FI54&amp;""),"")</f>
        <v/>
      </c>
      <c r="FM54" s="78" t="str">
        <f t="array" aca="1" ref="FM54" ca="1">IF($FI54&lt;&gt;"",
IF(FL54="",
IF(INDIRECT("EY"&amp;$FI54&amp;"")&lt;&gt;"",
INDIRECT("EY"&amp;$FI54&amp;"")&amp;"箱"
&amp;INDIRECT("EZ"&amp;$FI54&amp;""),""),""),"")</f>
        <v/>
      </c>
      <c r="FN54" s="78" t="str">
        <f t="array" aca="1" ref="FN54" ca="1">IF($FI54&lt;&gt;"",
INDIRECT(""&amp;IF(COLUMN(FA80)&lt;=26,CHAR(COLUMN(FA80)+64),CHAR(INT((COLUMN(FA80)-1)/26)+64)&amp;CHAR(MOD(COLUMN(FA80)-1,26)+65))&amp;$FI54&amp;""),"")</f>
        <v/>
      </c>
      <c r="FO54" s="78" t="str">
        <f t="array" aca="1" ref="FO54" ca="1">IF($FI54&lt;&gt;"",
INDIRECT(""&amp;IF(COLUMN(FB80)&lt;=26,CHAR(COLUMN(FB80)+64),CHAR(INT((COLUMN(FB80)-1)/26)+64)&amp;CHAR(MOD(COLUMN(FB80)-1,26)+65))&amp;$FI54&amp;""),"")</f>
        <v/>
      </c>
      <c r="FP54" s="78" t="str">
        <f t="array" aca="1" ref="FP54" ca="1">IF($FI54&lt;&gt;"",
INDIRECT(""&amp;IF(COLUMN(FC80)&lt;=26,CHAR(COLUMN(FC80)+64),CHAR(INT((COLUMN(FC80)-1)/26)+64)&amp;CHAR(MOD(COLUMN(FC80)-1,26)+65))&amp;$FI54&amp;""),"")</f>
        <v/>
      </c>
      <c r="FQ54" s="78" t="str">
        <f t="array" aca="1" ref="FQ54" ca="1">IF($FI54&lt;&gt;"",
INDIRECT(""&amp;IF(COLUMN(FD80)&lt;=26,CHAR(COLUMN(FD80)+64),CHAR(INT((COLUMN(FD80)-1)/26)+64)&amp;CHAR(MOD(COLUMN(FD80)-1,26)+65))&amp;$FI54&amp;""),"")</f>
        <v/>
      </c>
      <c r="FR54" s="78" t="str">
        <f t="array" aca="1" ref="FR54" ca="1">IF($FI54&lt;&gt;"",
INDIRECT(""&amp;IF(COLUMN(FE80)&lt;=26,CHAR(COLUMN(FE80)+64),CHAR(INT((COLUMN(FE80)-1)/26)+64)&amp;CHAR(MOD(COLUMN(FE80)-1,26)+65))&amp;$FI54&amp;""),"")</f>
        <v/>
      </c>
      <c r="FS54" s="78" t="str">
        <f t="array" aca="1" ref="FS54" ca="1">IF($FI54&lt;&gt;"",
INDIRECT(""&amp;IF(COLUMN(FF80)&lt;=26,CHAR(COLUMN(FF80)+64),CHAR(INT((COLUMN(FF80)-1)/26)+64)&amp;CHAR(MOD(COLUMN(FF80)-1,26)+65))&amp;$FI54&amp;""),"")</f>
        <v/>
      </c>
    </row>
    <row r="55" spans="1:175" s="78" customFormat="1" ht="22.2" customHeight="1" x14ac:dyDescent="0.55000000000000004">
      <c r="A55" s="76"/>
      <c r="B55" s="89" t="str">
        <f ca="1">IF(C53&lt;&gt;"","パン箱","")</f>
        <v/>
      </c>
      <c r="C55" s="90" t="str">
        <f ca="1">IF(C53&lt;&gt;"",IF(OR(COUNTIF('盛付札（関数）'!C51,"*キャラ*"),COUNTIF('盛付札（関数）'!C51,"*赤*")),24,
VLOOKUP('盛付札（関数）'!C51,商品マスタ一覧!$D:$I,6,FALSE)),"")</f>
        <v/>
      </c>
      <c r="D55" s="89" t="str">
        <f ca="1">IF(C53&lt;&gt;"","　端数","")</f>
        <v/>
      </c>
      <c r="E55" s="90"/>
      <c r="F55" s="89" t="str">
        <f ca="1">IF(C53&lt;&gt;"","アレルギー","")</f>
        <v/>
      </c>
      <c r="G55" s="93"/>
      <c r="H55" s="76"/>
      <c r="I55" s="89" t="str">
        <f ca="1">IF(J53&lt;&gt;"","パン箱","")</f>
        <v/>
      </c>
      <c r="J55" s="90" t="str">
        <f ca="1">IF(J53&lt;&gt;"",IF(OR(COUNTIF('盛付札（関数）'!J51,"*キャラ*"),COUNTIF('盛付札（関数）'!J51,"*赤*")),24,
VLOOKUP('盛付札（関数）'!J51,商品マスタ一覧!$D:$I,6,FALSE)),"")</f>
        <v/>
      </c>
      <c r="K55" s="89" t="str">
        <f ca="1">IF(J53&lt;&gt;"","　端数","")</f>
        <v/>
      </c>
      <c r="L55" s="90"/>
      <c r="M55" s="89" t="str">
        <f ca="1">IF(J53&lt;&gt;"","アレルギー","")</f>
        <v/>
      </c>
      <c r="N55" s="93"/>
      <c r="O55" s="76"/>
      <c r="P55" s="76"/>
      <c r="Q55" s="89" t="str">
        <f ca="1">IF(R53&lt;&gt;"","パン箱","")</f>
        <v/>
      </c>
      <c r="R55" s="90" t="str">
        <f ca="1">IF(R53&lt;&gt;"",IF(OR(COUNTIF('盛付札（関数）'!R51,"*キャラ*"),COUNTIF('盛付札（関数）'!R51,"*赤*")),24,
VLOOKUP('盛付札（関数）'!R51,商品マスタ一覧!$D:$I,6,FALSE)),"")</f>
        <v/>
      </c>
      <c r="S55" s="89" t="str">
        <f ca="1">IF(R53&lt;&gt;"","　端数","")</f>
        <v/>
      </c>
      <c r="T55" s="90"/>
      <c r="U55" s="89" t="str">
        <f ca="1">IF(R53&lt;&gt;"","アレルギー","")</f>
        <v/>
      </c>
      <c r="V55" s="93"/>
      <c r="W55" s="76"/>
      <c r="X55" s="89" t="str">
        <f ca="1">IF(Y53&lt;&gt;"","パン箱","")</f>
        <v/>
      </c>
      <c r="Y55" s="90" t="str">
        <f ca="1">IF(Y53&lt;&gt;"",IF(OR(COUNTIF('盛付札（関数）'!Y51,"*キャラ*"),COUNTIF('盛付札（関数）'!Y51,"*赤*")),24,
VLOOKUP('盛付札（関数）'!Y51,商品マスタ一覧!$D:$I,6,FALSE)),"")</f>
        <v/>
      </c>
      <c r="Z55" s="89" t="str">
        <f ca="1">IF(Y53&lt;&gt;"","　端数","")</f>
        <v/>
      </c>
      <c r="AA55" s="90"/>
      <c r="AB55" s="89" t="str">
        <f ca="1">IF(Y53&lt;&gt;"","アレルギー","")</f>
        <v/>
      </c>
      <c r="AC55" s="93"/>
      <c r="AD55" s="76"/>
      <c r="AE55" s="76"/>
      <c r="AF55" s="89" t="str">
        <f ca="1">IF(AG53&lt;&gt;"","パン箱","")</f>
        <v/>
      </c>
      <c r="AG55" s="90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89" t="str">
        <f ca="1">IF(AG53&lt;&gt;"","　端数","")</f>
        <v/>
      </c>
      <c r="AI55" s="90"/>
      <c r="AJ55" s="89" t="str">
        <f ca="1">IF(AG53&lt;&gt;"","アレルギー","")</f>
        <v/>
      </c>
      <c r="AK55" s="93"/>
      <c r="AL55" s="76"/>
      <c r="AM55" s="89" t="str">
        <f ca="1">IF(AN53&lt;&gt;"","パン箱","")</f>
        <v/>
      </c>
      <c r="AN55" s="90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89" t="str">
        <f ca="1">IF(AN53&lt;&gt;"","　端数","")</f>
        <v/>
      </c>
      <c r="AP55" s="90"/>
      <c r="AQ55" s="89" t="str">
        <f ca="1">IF(AN53&lt;&gt;"","アレルギー","")</f>
        <v/>
      </c>
      <c r="AR55" s="93"/>
      <c r="AS55" s="76"/>
      <c r="AT55" s="76"/>
      <c r="AU55" s="89" t="str">
        <f ca="1">IF(AV53&lt;&gt;"","パン箱","")</f>
        <v/>
      </c>
      <c r="AV55" s="90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89" t="str">
        <f ca="1">IF(AV53&lt;&gt;"","　端数","")</f>
        <v/>
      </c>
      <c r="AX55" s="90"/>
      <c r="AY55" s="89" t="str">
        <f ca="1">IF(AV53&lt;&gt;"","アレルギー","")</f>
        <v/>
      </c>
      <c r="AZ55" s="93"/>
      <c r="BA55" s="76"/>
      <c r="BB55" s="89" t="str">
        <f ca="1">IF(BC53&lt;&gt;"","パン箱","")</f>
        <v/>
      </c>
      <c r="BC55" s="90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89" t="str">
        <f ca="1">IF(BC53&lt;&gt;"","　端数","")</f>
        <v/>
      </c>
      <c r="BE55" s="90"/>
      <c r="BF55" s="89" t="str">
        <f ca="1">IF(BC53&lt;&gt;"","アレルギー","")</f>
        <v/>
      </c>
      <c r="BG55" s="93"/>
      <c r="BH55" s="76"/>
      <c r="BI55" s="76"/>
      <c r="BJ55" s="89" t="str">
        <f ca="1">IF(BK53&lt;&gt;"","パン箱","")</f>
        <v/>
      </c>
      <c r="BK55" s="90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89" t="str">
        <f ca="1">IF(BK53&lt;&gt;"","　端数","")</f>
        <v/>
      </c>
      <c r="BM55" s="90"/>
      <c r="BN55" s="89" t="str">
        <f ca="1">IF(BK53&lt;&gt;"","アレルギー","")</f>
        <v/>
      </c>
      <c r="BO55" s="93"/>
      <c r="BP55" s="76"/>
      <c r="BQ55" s="89" t="str">
        <f ca="1">IF(BR53&lt;&gt;"","パン箱","")</f>
        <v/>
      </c>
      <c r="BR55" s="90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89" t="str">
        <f ca="1">IF(BR53&lt;&gt;"","　端数","")</f>
        <v/>
      </c>
      <c r="BT55" s="90"/>
      <c r="BU55" s="89" t="str">
        <f ca="1">IF(BR53&lt;&gt;"","アレルギー","")</f>
        <v/>
      </c>
      <c r="BV55" s="93"/>
      <c r="BW55" s="76"/>
      <c r="BX55" s="76"/>
      <c r="BY55" s="89" t="str">
        <f ca="1">IF(BZ53&lt;&gt;"","パン箱","")</f>
        <v/>
      </c>
      <c r="BZ55" s="90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89" t="str">
        <f ca="1">IF(BZ53&lt;&gt;"","　端数","")</f>
        <v/>
      </c>
      <c r="CB55" s="90"/>
      <c r="CC55" s="89" t="str">
        <f ca="1">IF(BZ53&lt;&gt;"","アレルギー","")</f>
        <v/>
      </c>
      <c r="CD55" s="93"/>
      <c r="CE55" s="76"/>
      <c r="CF55" s="89" t="str">
        <f ca="1">IF(CG53&lt;&gt;"","パン箱","")</f>
        <v/>
      </c>
      <c r="CG55" s="90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89" t="str">
        <f ca="1">IF(CG53&lt;&gt;"","　端数","")</f>
        <v/>
      </c>
      <c r="CI55" s="90"/>
      <c r="CJ55" s="89" t="str">
        <f ca="1">IF(CG53&lt;&gt;"","アレルギー","")</f>
        <v/>
      </c>
      <c r="CK55" s="93"/>
      <c r="CL55" s="76"/>
      <c r="CM55" s="76"/>
      <c r="CN55" s="89" t="str">
        <f ca="1">IF(CO53&lt;&gt;"","パン箱","")</f>
        <v/>
      </c>
      <c r="CO55" s="90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89" t="str">
        <f ca="1">IF(CO53&lt;&gt;"","　端数","")</f>
        <v/>
      </c>
      <c r="CQ55" s="90"/>
      <c r="CR55" s="89" t="str">
        <f ca="1">IF(CO53&lt;&gt;"","アレルギー","")</f>
        <v/>
      </c>
      <c r="CS55" s="93"/>
      <c r="CT55" s="76"/>
      <c r="CU55" s="89" t="str">
        <f ca="1">IF(CV53&lt;&gt;"","パン箱","")</f>
        <v/>
      </c>
      <c r="CV55" s="90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89" t="str">
        <f ca="1">IF(CV53&lt;&gt;"","　端数","")</f>
        <v/>
      </c>
      <c r="CX55" s="90"/>
      <c r="CY55" s="89" t="str">
        <f ca="1">IF(CV53&lt;&gt;"","アレルギー","")</f>
        <v/>
      </c>
      <c r="CZ55" s="93"/>
      <c r="DA55" s="76"/>
      <c r="DB55" s="76"/>
      <c r="DC55" s="89" t="str">
        <f ca="1">IF(DD53&lt;&gt;"","パン箱","")</f>
        <v/>
      </c>
      <c r="DD55" s="90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89" t="str">
        <f ca="1">IF(DD53&lt;&gt;"","　端数","")</f>
        <v/>
      </c>
      <c r="DF55" s="90"/>
      <c r="DG55" s="89" t="str">
        <f ca="1">IF(DD53&lt;&gt;"","アレルギー","")</f>
        <v/>
      </c>
      <c r="DH55" s="93"/>
      <c r="DI55" s="76"/>
      <c r="DJ55" s="89" t="str">
        <f ca="1">IF(DK53&lt;&gt;"","パン箱","")</f>
        <v/>
      </c>
      <c r="DK55" s="90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89" t="str">
        <f ca="1">IF(DK53&lt;&gt;"","　端数","")</f>
        <v/>
      </c>
      <c r="DM55" s="90"/>
      <c r="DN55" s="89" t="str">
        <f ca="1">IF(DK53&lt;&gt;"","アレルギー","")</f>
        <v/>
      </c>
      <c r="DO55" s="93"/>
      <c r="DP55" s="76"/>
      <c r="DQ55" s="76"/>
      <c r="DR55" s="89" t="str">
        <f ca="1">IF(DS53&lt;&gt;"","パン箱","")</f>
        <v/>
      </c>
      <c r="DS55" s="90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89" t="str">
        <f ca="1">IF(DS53&lt;&gt;"","　端数","")</f>
        <v/>
      </c>
      <c r="DU55" s="90"/>
      <c r="DV55" s="89" t="str">
        <f ca="1">IF(DS53&lt;&gt;"","アレルギー","")</f>
        <v/>
      </c>
      <c r="DW55" s="93"/>
      <c r="DX55" s="76"/>
      <c r="DY55" s="89" t="str">
        <f ca="1">IF(DZ53&lt;&gt;"","パン箱","")</f>
        <v/>
      </c>
      <c r="DZ55" s="90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89" t="str">
        <f ca="1">IF(DZ53&lt;&gt;"","　端数","")</f>
        <v/>
      </c>
      <c r="EB55" s="90"/>
      <c r="EC55" s="89" t="str">
        <f ca="1">IF(DZ53&lt;&gt;"","アレルギー","")</f>
        <v/>
      </c>
      <c r="ED55" s="93"/>
      <c r="EE55" s="76"/>
      <c r="EF55" s="76"/>
      <c r="EG55" s="89" t="str">
        <f ca="1">IF(EH53&lt;&gt;"","パン箱","")</f>
        <v/>
      </c>
      <c r="EH55" s="90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89" t="str">
        <f ca="1">IF(EH53&lt;&gt;"","　端数","")</f>
        <v/>
      </c>
      <c r="EJ55" s="90"/>
      <c r="EK55" s="89" t="str">
        <f ca="1">IF(EH53&lt;&gt;"","アレルギー","")</f>
        <v/>
      </c>
      <c r="EL55" s="93"/>
      <c r="EM55" s="76"/>
      <c r="EN55" s="89" t="str">
        <f ca="1">IF(EO53&lt;&gt;"","パン箱","")</f>
        <v/>
      </c>
      <c r="EO55" s="90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89" t="str">
        <f ca="1">IF(EO53&lt;&gt;"","　端数","")</f>
        <v/>
      </c>
      <c r="EQ55" s="90"/>
      <c r="ER55" s="89" t="str">
        <f ca="1">IF(EO53&lt;&gt;"","アレルギー","")</f>
        <v/>
      </c>
      <c r="ES55" s="93"/>
      <c r="ET55" s="106"/>
      <c r="EU55" s="78">
        <f t="shared" si="4"/>
        <v>21</v>
      </c>
      <c r="EV55" s="78" t="str">
        <f t="array" aca="1" ref="EV55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LEN(SUBSTITUTE(_xlfn.FORMULATEXT(EV$37),"=","")))+$EU55)</f>
        <v/>
      </c>
      <c r="EW55" s="78" t="str">
        <f t="array" aca="1" ref="EW55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LEN(SUBSTITUTE(_xlfn.FORMULATEXT(EW$37),"=","")))+$EU55)</f>
        <v/>
      </c>
      <c r="EX55" s="78" t="str">
        <f t="array" aca="1" ref="EX55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LEN(SUBSTITUTE(_xlfn.FORMULATEXT(EX$37),"=","")))+$EU55)</f>
        <v/>
      </c>
      <c r="EY55" s="78" t="str">
        <f t="array" aca="1" ref="EY55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LEN(SUBSTITUTE(_xlfn.FORMULATEXT(EY$37),"=","")))+$EU55)</f>
        <v/>
      </c>
      <c r="EZ55" s="78" t="str">
        <f t="array" aca="1" ref="EZ55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LEN(SUBSTITUTE(_xlfn.FORMULATEXT(EZ$37),"=","")))+$EU55)</f>
        <v/>
      </c>
      <c r="FA55" s="78" t="e">
        <f t="array" aca="1" ref="FA55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LEN(SUBSTITUTE(_xlfn.FORMULATEXT(FA$37),"=","")))+$EU55)</f>
        <v>#VALUE!</v>
      </c>
      <c r="FB55" s="78" t="e">
        <f t="array" aca="1" ref="FB55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LEN(SUBSTITUTE(_xlfn.FORMULATEXT(FB$37),"=","")))+$EU55)</f>
        <v>#VALUE!</v>
      </c>
      <c r="FC55" s="78" t="str">
        <f t="array" aca="1" ref="FC55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LEN(SUBSTITUTE(_xlfn.FORMULATEXT(FC$37),"=","")))+$EU55)</f>
        <v/>
      </c>
      <c r="FD55" s="78" t="e">
        <f t="array" aca="1" ref="FD55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LEN(SUBSTITUTE(_xlfn.FORMULATEXT(FD$37),"=","")))+$EU55)</f>
        <v>#VALUE!</v>
      </c>
      <c r="FE55" s="78" t="str">
        <f t="array" aca="1" ref="FE55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LEN(SUBSTITUTE(_xlfn.FORMULATEXT(FE$37),"=","")))+$EU55)</f>
        <v/>
      </c>
      <c r="FF55" s="78" t="e">
        <f t="array" aca="1" ref="FF55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LEN(SUBSTITUTE(_xlfn.FORMULATEXT(FF$37),"=","")))+$EU55)</f>
        <v>#VALUE!</v>
      </c>
      <c r="FG55" s="78">
        <f t="shared" ca="1" si="6"/>
        <v>0</v>
      </c>
      <c r="FH55" s="78" t="e">
        <f t="array" aca="1" ref="FH55" ca="1">SUMPRODUCT((LEN(EV55:FF55)&gt;0)*1)&gt;0</f>
        <v>#VALUE!</v>
      </c>
      <c r="FI55" s="78" t="str">
        <f t="array" aca="1" ref="FI55" ca="1">IFERROR(SMALL(IF(FG$1:FG$228&lt;&gt;0,FG$1:FG$228),ROW(A55)),"")</f>
        <v/>
      </c>
      <c r="FJ55" s="78" t="str">
        <f t="array" aca="1" ref="FJ55" ca="1">IF($FI55&lt;&gt;"",
INDIRECT(""&amp;IF(COLUMN(EV82)&lt;=26,CHAR(COLUMN(EV82)+64),CHAR(INT((COLUMN(EV82)-1)/26)+64)&amp;CHAR(MOD(COLUMN(EV82)-1,26)+65))&amp;$FI55&amp;""),"")</f>
        <v/>
      </c>
      <c r="FK55" s="78" t="str">
        <f t="array" aca="1" ref="FK55" ca="1">IF($FI55&lt;&gt;"",
INDIRECT(""&amp;IF(COLUMN(EW82)&lt;=26,CHAR(COLUMN(EW82)+64),CHAR(INT((COLUMN(EW82)-1)/26)+64)&amp;CHAR(MOD(COLUMN(EW82)-1,26)+65))&amp;$FI55&amp;""),"")</f>
        <v/>
      </c>
      <c r="FL55" s="78" t="str">
        <f t="array" aca="1" ref="FL55" ca="1">IF($FI55&lt;&gt;"",
INDIRECT(""&amp;IF(COLUMN(EX82)&lt;=26,CHAR(COLUMN(EX82)+64),CHAR(INT((COLUMN(EX82)-1)/26)+64)&amp;CHAR(MOD(COLUMN(EX82)-1,26)+65))&amp;$FI55&amp;""),"")</f>
        <v/>
      </c>
      <c r="FM55" s="78" t="str">
        <f t="array" aca="1" ref="FM55" ca="1">IF($FI55&lt;&gt;"",
IF(FL55="",
IF(INDIRECT("EY"&amp;$FI55&amp;"")&lt;&gt;"",
INDIRECT("EY"&amp;$FI55&amp;"")&amp;"箱"
&amp;INDIRECT("EZ"&amp;$FI55&amp;""),""),""),"")</f>
        <v/>
      </c>
      <c r="FN55" s="78" t="str">
        <f t="array" aca="1" ref="FN55" ca="1">IF($FI55&lt;&gt;"",
INDIRECT(""&amp;IF(COLUMN(FA82)&lt;=26,CHAR(COLUMN(FA82)+64),CHAR(INT((COLUMN(FA82)-1)/26)+64)&amp;CHAR(MOD(COLUMN(FA82)-1,26)+65))&amp;$FI55&amp;""),"")</f>
        <v/>
      </c>
      <c r="FO55" s="78" t="str">
        <f t="array" aca="1" ref="FO55" ca="1">IF($FI55&lt;&gt;"",
INDIRECT(""&amp;IF(COLUMN(FB82)&lt;=26,CHAR(COLUMN(FB82)+64),CHAR(INT((COLUMN(FB82)-1)/26)+64)&amp;CHAR(MOD(COLUMN(FB82)-1,26)+65))&amp;$FI55&amp;""),"")</f>
        <v/>
      </c>
      <c r="FP55" s="78" t="str">
        <f t="array" aca="1" ref="FP55" ca="1">IF($FI55&lt;&gt;"",
INDIRECT(""&amp;IF(COLUMN(FC82)&lt;=26,CHAR(COLUMN(FC82)+64),CHAR(INT((COLUMN(FC82)-1)/26)+64)&amp;CHAR(MOD(COLUMN(FC82)-1,26)+65))&amp;$FI55&amp;""),"")</f>
        <v/>
      </c>
      <c r="FQ55" s="78" t="str">
        <f t="array" aca="1" ref="FQ55" ca="1">IF($FI55&lt;&gt;"",
INDIRECT(""&amp;IF(COLUMN(FD82)&lt;=26,CHAR(COLUMN(FD82)+64),CHAR(INT((COLUMN(FD82)-1)/26)+64)&amp;CHAR(MOD(COLUMN(FD82)-1,26)+65))&amp;$FI55&amp;""),"")</f>
        <v/>
      </c>
      <c r="FR55" s="78" t="str">
        <f t="array" aca="1" ref="FR55" ca="1">IF($FI55&lt;&gt;"",
INDIRECT(""&amp;IF(COLUMN(FE82)&lt;=26,CHAR(COLUMN(FE82)+64),CHAR(INT((COLUMN(FE82)-1)/26)+64)&amp;CHAR(MOD(COLUMN(FE82)-1,26)+65))&amp;$FI55&amp;""),"")</f>
        <v/>
      </c>
      <c r="FS55" s="78" t="str">
        <f t="array" aca="1" ref="FS55" ca="1">IF($FI55&lt;&gt;"",
INDIRECT(""&amp;IF(COLUMN(FF82)&lt;=26,CHAR(COLUMN(FF82)+64),CHAR(INT((COLUMN(FF82)-1)/26)+64)&amp;CHAR(MOD(COLUMN(FF82)-1,26)+65))&amp;$FI55&amp;""),"")</f>
        <v/>
      </c>
    </row>
    <row r="56" spans="1:175" ht="21" customHeight="1" x14ac:dyDescent="0.45">
      <c r="B56" s="260" t="str">
        <f ca="1">IF(C53&lt;&gt;"",
IFERROR(INT(C53/C55),""),"")</f>
        <v/>
      </c>
      <c r="C56" s="261"/>
      <c r="D56" s="260" t="str">
        <f ca="1">IFERROR(MOD(C53,C55),"")</f>
        <v/>
      </c>
      <c r="E56" s="261"/>
      <c r="F56" s="256" t="str">
        <f ca="1">IF(C50&lt;&gt;"",G52+G53,"")</f>
        <v/>
      </c>
      <c r="G56" s="257"/>
      <c r="I56" s="260" t="str">
        <f ca="1">IF(J53&lt;&gt;"",
IFERROR(INT(J53/J55),""),"")</f>
        <v/>
      </c>
      <c r="J56" s="261"/>
      <c r="K56" s="260" t="str">
        <f ca="1">IFERROR(MOD(J53,J55),"")</f>
        <v/>
      </c>
      <c r="L56" s="261"/>
      <c r="M56" s="256" t="str">
        <f ca="1">IF(J50&lt;&gt;"",N52+N53,"")</f>
        <v/>
      </c>
      <c r="N56" s="257"/>
      <c r="Q56" s="260" t="str">
        <f ca="1">IF(R53&lt;&gt;"",
IFERROR(INT(R53/R55),""),"")</f>
        <v/>
      </c>
      <c r="R56" s="261"/>
      <c r="S56" s="260" t="str">
        <f ca="1">IFERROR(MOD(R53,R55),"")</f>
        <v/>
      </c>
      <c r="T56" s="261"/>
      <c r="U56" s="256" t="str">
        <f ca="1">IF(R50&lt;&gt;"",V52+V53,"")</f>
        <v/>
      </c>
      <c r="V56" s="257"/>
      <c r="X56" s="260" t="str">
        <f ca="1">IF(Y53&lt;&gt;"",
IFERROR(INT(Y53/Y55),""),"")</f>
        <v/>
      </c>
      <c r="Y56" s="261"/>
      <c r="Z56" s="260" t="str">
        <f ca="1">IFERROR(MOD(Y53,Y55),"")</f>
        <v/>
      </c>
      <c r="AA56" s="261"/>
      <c r="AB56" s="256" t="str">
        <f ca="1">IF(Y50&lt;&gt;"",AC52+AC53,"")</f>
        <v/>
      </c>
      <c r="AC56" s="257"/>
      <c r="AF56" s="260" t="str">
        <f ca="1">IF(AG53&lt;&gt;"",
IFERROR(INT(AG53/AG55),""),"")</f>
        <v/>
      </c>
      <c r="AG56" s="261"/>
      <c r="AH56" s="260" t="str">
        <f ca="1">IFERROR(MOD(AG53,AG55),"")</f>
        <v/>
      </c>
      <c r="AI56" s="261"/>
      <c r="AJ56" s="256" t="str">
        <f ca="1">IF(AG50&lt;&gt;"",AK52+AK53,"")</f>
        <v/>
      </c>
      <c r="AK56" s="257"/>
      <c r="AM56" s="260" t="str">
        <f ca="1">IF(AN53&lt;&gt;"",
IFERROR(INT(AN53/AN55),""),"")</f>
        <v/>
      </c>
      <c r="AN56" s="261"/>
      <c r="AO56" s="260" t="str">
        <f ca="1">IFERROR(MOD(AN53,AN55),"")</f>
        <v/>
      </c>
      <c r="AP56" s="261"/>
      <c r="AQ56" s="256" t="str">
        <f ca="1">IF(AN50&lt;&gt;"",AR52+AR53,"")</f>
        <v/>
      </c>
      <c r="AR56" s="257"/>
      <c r="AU56" s="260" t="str">
        <f ca="1">IF(AV53&lt;&gt;"",
IFERROR(INT(AV53/AV55),""),"")</f>
        <v/>
      </c>
      <c r="AV56" s="261"/>
      <c r="AW56" s="260" t="str">
        <f ca="1">IFERROR(MOD(AV53,AV55),"")</f>
        <v/>
      </c>
      <c r="AX56" s="261"/>
      <c r="AY56" s="256" t="str">
        <f ca="1">IF(AV50&lt;&gt;"",AZ52+AZ53,"")</f>
        <v/>
      </c>
      <c r="AZ56" s="257"/>
      <c r="BB56" s="260" t="str">
        <f ca="1">IF(BC53&lt;&gt;"",
IFERROR(INT(BC53/BC55),""),"")</f>
        <v/>
      </c>
      <c r="BC56" s="261"/>
      <c r="BD56" s="260" t="str">
        <f ca="1">IFERROR(MOD(BC53,BC55),"")</f>
        <v/>
      </c>
      <c r="BE56" s="261"/>
      <c r="BF56" s="256" t="str">
        <f ca="1">IF(BC50&lt;&gt;"",BG52+BG53,"")</f>
        <v/>
      </c>
      <c r="BG56" s="257"/>
      <c r="BJ56" s="260" t="str">
        <f ca="1">IF(BK53&lt;&gt;"",
IFERROR(INT(BK53/BK55),""),"")</f>
        <v/>
      </c>
      <c r="BK56" s="261"/>
      <c r="BL56" s="260" t="str">
        <f ca="1">IFERROR(MOD(BK53,BK55),"")</f>
        <v/>
      </c>
      <c r="BM56" s="261"/>
      <c r="BN56" s="256" t="str">
        <f ca="1">IF(BK50&lt;&gt;"",BO52+BO53,"")</f>
        <v/>
      </c>
      <c r="BO56" s="257"/>
      <c r="BQ56" s="260" t="str">
        <f ca="1">IF(BR53&lt;&gt;"",
IFERROR(INT(BR53/BR55),""),"")</f>
        <v/>
      </c>
      <c r="BR56" s="261"/>
      <c r="BS56" s="260" t="str">
        <f ca="1">IFERROR(MOD(BR53,BR55),"")</f>
        <v/>
      </c>
      <c r="BT56" s="261"/>
      <c r="BU56" s="256" t="str">
        <f ca="1">IF(BR50&lt;&gt;"",BV52+BV53,"")</f>
        <v/>
      </c>
      <c r="BV56" s="257"/>
      <c r="BY56" s="260" t="str">
        <f ca="1">IF(BZ53&lt;&gt;"",
IFERROR(INT(BZ53/BZ55),""),"")</f>
        <v/>
      </c>
      <c r="BZ56" s="261"/>
      <c r="CA56" s="260" t="str">
        <f ca="1">IFERROR(MOD(BZ53,BZ55),"")</f>
        <v/>
      </c>
      <c r="CB56" s="261"/>
      <c r="CC56" s="256" t="str">
        <f ca="1">IF(BZ50&lt;&gt;"",CD52+CD53,"")</f>
        <v/>
      </c>
      <c r="CD56" s="257"/>
      <c r="CF56" s="260" t="str">
        <f ca="1">IF(CG53&lt;&gt;"",
IFERROR(INT(CG53/CG55),""),"")</f>
        <v/>
      </c>
      <c r="CG56" s="261"/>
      <c r="CH56" s="260" t="str">
        <f ca="1">IFERROR(MOD(CG53,CG55),"")</f>
        <v/>
      </c>
      <c r="CI56" s="261"/>
      <c r="CJ56" s="256" t="str">
        <f ca="1">IF(CG50&lt;&gt;"",CK52+CK53,"")</f>
        <v/>
      </c>
      <c r="CK56" s="257"/>
      <c r="CN56" s="260" t="str">
        <f ca="1">IF(CO53&lt;&gt;"",
IFERROR(INT(CO53/CO55),""),"")</f>
        <v/>
      </c>
      <c r="CO56" s="261"/>
      <c r="CP56" s="260" t="str">
        <f ca="1">IFERROR(MOD(CO53,CO55),"")</f>
        <v/>
      </c>
      <c r="CQ56" s="261"/>
      <c r="CR56" s="256" t="str">
        <f ca="1">IF(CO50&lt;&gt;"",CS52+CS53,"")</f>
        <v/>
      </c>
      <c r="CS56" s="257"/>
      <c r="CU56" s="260" t="str">
        <f ca="1">IF(CV53&lt;&gt;"",
IFERROR(INT(CV53/CV55),""),"")</f>
        <v/>
      </c>
      <c r="CV56" s="261"/>
      <c r="CW56" s="260" t="str">
        <f ca="1">IFERROR(MOD(CV53,CV55),"")</f>
        <v/>
      </c>
      <c r="CX56" s="261"/>
      <c r="CY56" s="256" t="str">
        <f ca="1">IF(CV50&lt;&gt;"",CZ52+CZ53,"")</f>
        <v/>
      </c>
      <c r="CZ56" s="257"/>
      <c r="DC56" s="260" t="str">
        <f ca="1">IF(DD53&lt;&gt;"",
IFERROR(INT(DD53/DD55),""),"")</f>
        <v/>
      </c>
      <c r="DD56" s="261"/>
      <c r="DE56" s="260" t="str">
        <f ca="1">IFERROR(MOD(DD53,DD55),"")</f>
        <v/>
      </c>
      <c r="DF56" s="261"/>
      <c r="DG56" s="256" t="str">
        <f ca="1">IF(DD50&lt;&gt;"",DH52+DH53,"")</f>
        <v/>
      </c>
      <c r="DH56" s="257"/>
      <c r="DJ56" s="260" t="str">
        <f ca="1">IF(DK53&lt;&gt;"",
IFERROR(INT(DK53/DK55),""),"")</f>
        <v/>
      </c>
      <c r="DK56" s="261"/>
      <c r="DL56" s="260" t="str">
        <f ca="1">IFERROR(MOD(DK53,DK55),"")</f>
        <v/>
      </c>
      <c r="DM56" s="261"/>
      <c r="DN56" s="256" t="str">
        <f ca="1">IF(DK50&lt;&gt;"",DO52+DO53,"")</f>
        <v/>
      </c>
      <c r="DO56" s="257"/>
      <c r="DR56" s="260" t="str">
        <f ca="1">IF(DS53&lt;&gt;"",
IFERROR(INT(DS53/DS55),""),"")</f>
        <v/>
      </c>
      <c r="DS56" s="261"/>
      <c r="DT56" s="260" t="str">
        <f ca="1">IFERROR(MOD(DS53,DS55),"")</f>
        <v/>
      </c>
      <c r="DU56" s="261"/>
      <c r="DV56" s="256" t="str">
        <f ca="1">IF(DS50&lt;&gt;"",DW52+DW53,"")</f>
        <v/>
      </c>
      <c r="DW56" s="257"/>
      <c r="DY56" s="260" t="str">
        <f ca="1">IF(DZ53&lt;&gt;"",
IFERROR(INT(DZ53/DZ55),""),"")</f>
        <v/>
      </c>
      <c r="DZ56" s="261"/>
      <c r="EA56" s="260" t="str">
        <f ca="1">IFERROR(MOD(DZ53,DZ55),"")</f>
        <v/>
      </c>
      <c r="EB56" s="261"/>
      <c r="EC56" s="256" t="str">
        <f ca="1">IF(DZ50&lt;&gt;"",ED52+ED53,"")</f>
        <v/>
      </c>
      <c r="ED56" s="257"/>
      <c r="EG56" s="260" t="str">
        <f ca="1">IF(EH53&lt;&gt;"",
IFERROR(INT(EH53/EH55),""),"")</f>
        <v/>
      </c>
      <c r="EH56" s="261"/>
      <c r="EI56" s="260" t="str">
        <f ca="1">IFERROR(MOD(EH53,EH55),"")</f>
        <v/>
      </c>
      <c r="EJ56" s="261"/>
      <c r="EK56" s="256" t="str">
        <f ca="1">IF(EH50&lt;&gt;"",EL52+EL53,"")</f>
        <v/>
      </c>
      <c r="EL56" s="257"/>
      <c r="EN56" s="260" t="str">
        <f ca="1">IF(EO53&lt;&gt;"",
IFERROR(INT(EO53/EO55),""),"")</f>
        <v/>
      </c>
      <c r="EO56" s="261"/>
      <c r="EP56" s="260" t="str">
        <f ca="1">IFERROR(MOD(EO53,EO55),"")</f>
        <v/>
      </c>
      <c r="EQ56" s="261"/>
      <c r="ER56" s="256" t="str">
        <f ca="1">IF(EO50&lt;&gt;"",ES52+ES53,"")</f>
        <v/>
      </c>
      <c r="ES56" s="257"/>
      <c r="ET56" s="71"/>
      <c r="EU56" s="78">
        <f t="shared" si="4"/>
        <v>63</v>
      </c>
      <c r="EV56" s="78" t="str">
        <f t="array" aca="1" ref="EV56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LEN(SUBSTITUTE(_xlfn.FORMULATEXT(EV$37),"=","")))+$EU56)</f>
        <v/>
      </c>
      <c r="EW56" s="78" t="str">
        <f t="array" aca="1" ref="EW56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LEN(SUBSTITUTE(_xlfn.FORMULATEXT(EW$37),"=","")))+$EU56)</f>
        <v/>
      </c>
      <c r="EX56" s="78" t="str">
        <f t="array" aca="1" ref="EX56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LEN(SUBSTITUTE(_xlfn.FORMULATEXT(EX$37),"=","")))+$EU56)</f>
        <v/>
      </c>
      <c r="EY56" s="78" t="str">
        <f t="array" aca="1" ref="EY56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LEN(SUBSTITUTE(_xlfn.FORMULATEXT(EY$37),"=","")))+$EU56)</f>
        <v/>
      </c>
      <c r="EZ56" s="78" t="str">
        <f t="array" aca="1" ref="EZ56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LEN(SUBSTITUTE(_xlfn.FORMULATEXT(EZ$37),"=","")))+$EU56)</f>
        <v/>
      </c>
      <c r="FA56" s="78" t="str">
        <f t="array" aca="1" ref="FA56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LEN(SUBSTITUTE(_xlfn.FORMULATEXT(FA$37),"=","")))+$EU56)</f>
        <v/>
      </c>
      <c r="FB56" s="78" t="str">
        <f t="array" aca="1" ref="FB56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LEN(SUBSTITUTE(_xlfn.FORMULATEXT(FB$37),"=","")))+$EU56)</f>
        <v/>
      </c>
      <c r="FC56" s="78" t="str">
        <f t="array" aca="1" ref="FC56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LEN(SUBSTITUTE(_xlfn.FORMULATEXT(FC$37),"=","")))+$EU56)</f>
        <v/>
      </c>
      <c r="FD56" s="78" t="str">
        <f t="array" aca="1" ref="FD56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LEN(SUBSTITUTE(_xlfn.FORMULATEXT(FD$37),"=","")))+$EU56)</f>
        <v/>
      </c>
      <c r="FE56" s="78" t="str">
        <f t="array" aca="1" ref="FE56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LEN(SUBSTITUTE(_xlfn.FORMULATEXT(FE$37),"=","")))+$EU56)</f>
        <v/>
      </c>
      <c r="FF56" s="78" t="str">
        <f t="array" aca="1" ref="FF56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LEN(SUBSTITUTE(_xlfn.FORMULATEXT(FF$37),"=","")))+$EU56)</f>
        <v/>
      </c>
      <c r="FG56" s="78">
        <f t="shared" ca="1" si="6"/>
        <v>0</v>
      </c>
      <c r="FH56" s="78" t="b">
        <f t="array" aca="1" ref="FH56" ca="1">SUMPRODUCT((LEN(EV56:FF56)&gt;0)*1)&gt;0</f>
        <v>0</v>
      </c>
      <c r="FI56" s="78" t="str">
        <f t="array" aca="1" ref="FI56" ca="1">IFERROR(SMALL(IF(FG$1:FG$228&lt;&gt;0,FG$1:FG$228),ROW(A56)),"")</f>
        <v/>
      </c>
      <c r="FJ56" s="78" t="str">
        <f t="array" aca="1" ref="FJ56" ca="1">IF($FI56&lt;&gt;"",
INDIRECT(""&amp;IF(COLUMN(EV83)&lt;=26,CHAR(COLUMN(EV83)+64),CHAR(INT((COLUMN(EV83)-1)/26)+64)&amp;CHAR(MOD(COLUMN(EV83)-1,26)+65))&amp;$FI56&amp;""),"")</f>
        <v/>
      </c>
      <c r="FK56" s="78" t="str">
        <f t="array" aca="1" ref="FK56" ca="1">IF($FI56&lt;&gt;"",
INDIRECT(""&amp;IF(COLUMN(EW83)&lt;=26,CHAR(COLUMN(EW83)+64),CHAR(INT((COLUMN(EW83)-1)/26)+64)&amp;CHAR(MOD(COLUMN(EW83)-1,26)+65))&amp;$FI56&amp;""),"")</f>
        <v/>
      </c>
      <c r="FL56" s="78" t="str">
        <f t="array" aca="1" ref="FL56" ca="1">IF($FI56&lt;&gt;"",
INDIRECT(""&amp;IF(COLUMN(EX83)&lt;=26,CHAR(COLUMN(EX83)+64),CHAR(INT((COLUMN(EX83)-1)/26)+64)&amp;CHAR(MOD(COLUMN(EX83)-1,26)+65))&amp;$FI56&amp;""),"")</f>
        <v/>
      </c>
      <c r="FM56" s="78" t="str">
        <f t="array" aca="1" ref="FM56" ca="1">IF($FI56&lt;&gt;"",
IF(FL56="",
IF(INDIRECT("EY"&amp;$FI56&amp;"")&lt;&gt;"",
INDIRECT("EY"&amp;$FI56&amp;"")&amp;"箱"
&amp;INDIRECT("EZ"&amp;$FI56&amp;""),""),""),"")</f>
        <v/>
      </c>
      <c r="FN56" s="78" t="str">
        <f t="array" aca="1" ref="FN56" ca="1">IF($FI56&lt;&gt;"",
INDIRECT(""&amp;IF(COLUMN(FA83)&lt;=26,CHAR(COLUMN(FA83)+64),CHAR(INT((COLUMN(FA83)-1)/26)+64)&amp;CHAR(MOD(COLUMN(FA83)-1,26)+65))&amp;$FI56&amp;""),"")</f>
        <v/>
      </c>
      <c r="FO56" s="78" t="str">
        <f t="array" aca="1" ref="FO56" ca="1">IF($FI56&lt;&gt;"",
INDIRECT(""&amp;IF(COLUMN(FB83)&lt;=26,CHAR(COLUMN(FB83)+64),CHAR(INT((COLUMN(FB83)-1)/26)+64)&amp;CHAR(MOD(COLUMN(FB83)-1,26)+65))&amp;$FI56&amp;""),"")</f>
        <v/>
      </c>
      <c r="FP56" s="78" t="str">
        <f t="array" aca="1" ref="FP56" ca="1">IF($FI56&lt;&gt;"",
INDIRECT(""&amp;IF(COLUMN(FC83)&lt;=26,CHAR(COLUMN(FC83)+64),CHAR(INT((COLUMN(FC83)-1)/26)+64)&amp;CHAR(MOD(COLUMN(FC83)-1,26)+65))&amp;$FI56&amp;""),"")</f>
        <v/>
      </c>
      <c r="FQ56" s="78" t="str">
        <f t="array" aca="1" ref="FQ56" ca="1">IF($FI56&lt;&gt;"",
INDIRECT(""&amp;IF(COLUMN(FD83)&lt;=26,CHAR(COLUMN(FD83)+64),CHAR(INT((COLUMN(FD83)-1)/26)+64)&amp;CHAR(MOD(COLUMN(FD83)-1,26)+65))&amp;$FI56&amp;""),"")</f>
        <v/>
      </c>
      <c r="FR56" s="78" t="str">
        <f t="array" aca="1" ref="FR56" ca="1">IF($FI56&lt;&gt;"",
INDIRECT(""&amp;IF(COLUMN(FE83)&lt;=26,CHAR(COLUMN(FE83)+64),CHAR(INT((COLUMN(FE83)-1)/26)+64)&amp;CHAR(MOD(COLUMN(FE83)-1,26)+65))&amp;$FI56&amp;""),"")</f>
        <v/>
      </c>
      <c r="FS56" s="78" t="str">
        <f t="array" aca="1" ref="FS56" ca="1">IF($FI56&lt;&gt;"",
INDIRECT(""&amp;IF(COLUMN(FF83)&lt;=26,CHAR(COLUMN(FF83)+64),CHAR(INT((COLUMN(FF83)-1)/26)+64)&amp;CHAR(MOD(COLUMN(FF83)-1,26)+65))&amp;$FI56&amp;""),"")</f>
        <v/>
      </c>
    </row>
    <row r="57" spans="1:175" s="78" customFormat="1" ht="18" customHeight="1" x14ac:dyDescent="0.55000000000000004">
      <c r="A57" s="76"/>
      <c r="B57" s="77" t="str" cm="1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247" t="str">
        <f ca="1">IF(C60&lt;&gt;"",C15,"")</f>
        <v/>
      </c>
      <c r="D57" s="247"/>
      <c r="E57" s="247"/>
      <c r="F57" s="247"/>
      <c r="G57" s="231" t="str">
        <f>SUBSTITUTE(ADDRESS(1,
COLUMN(),1),"1","")</f>
        <v>$G$</v>
      </c>
      <c r="H57" s="76"/>
      <c r="I57" s="77" t="str" cm="1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247" t="str">
        <f ca="1">IF(J60&lt;&gt;"",J15,"")</f>
        <v/>
      </c>
      <c r="K57" s="247"/>
      <c r="L57" s="247"/>
      <c r="M57" s="247"/>
      <c r="N57" s="231" t="str">
        <f>SUBSTITUTE(ADDRESS(1,
COLUMN(),1),"1","")</f>
        <v>$N$</v>
      </c>
      <c r="O57" s="76"/>
      <c r="P57" s="76"/>
      <c r="Q57" s="77" t="str" cm="1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247" t="str">
        <f ca="1">IF(R60&lt;&gt;"",R15,"")</f>
        <v/>
      </c>
      <c r="S57" s="247"/>
      <c r="T57" s="247"/>
      <c r="U57" s="247"/>
      <c r="V57" s="231" t="str">
        <f>SUBSTITUTE(ADDRESS(1,
COLUMN(),1),"1","")</f>
        <v>$V$</v>
      </c>
      <c r="W57" s="76"/>
      <c r="X57" s="77" t="str" cm="1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247" t="str">
        <f ca="1">IF(Y60&lt;&gt;"",Y15,"")</f>
        <v/>
      </c>
      <c r="Z57" s="247"/>
      <c r="AA57" s="247"/>
      <c r="AB57" s="247"/>
      <c r="AC57" s="231" t="str">
        <f>SUBSTITUTE(ADDRESS(1,
COLUMN(),1),"1","")</f>
        <v>$AC$</v>
      </c>
      <c r="AD57" s="76"/>
      <c r="AE57" s="76"/>
      <c r="AF57" s="77" t="str" cm="1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247" t="str">
        <f ca="1">IF(AG60&lt;&gt;"",AG15,"")</f>
        <v/>
      </c>
      <c r="AH57" s="247"/>
      <c r="AI57" s="247"/>
      <c r="AJ57" s="247"/>
      <c r="AK57" s="231" t="str">
        <f>SUBSTITUTE(ADDRESS(1,
COLUMN(),1),"1","")</f>
        <v>$AK$</v>
      </c>
      <c r="AL57" s="76"/>
      <c r="AM57" s="77" t="str" cm="1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247" t="str">
        <f ca="1">IF(AN60&lt;&gt;"",AN15,"")</f>
        <v/>
      </c>
      <c r="AO57" s="247"/>
      <c r="AP57" s="247"/>
      <c r="AQ57" s="247"/>
      <c r="AR57" s="231" t="str">
        <f>SUBSTITUTE(ADDRESS(1,
COLUMN(),1),"1","")</f>
        <v>$AR$</v>
      </c>
      <c r="AS57" s="76"/>
      <c r="AT57" s="76"/>
      <c r="AU57" s="77" t="str" cm="1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247" t="str">
        <f ca="1">IF(AV60&lt;&gt;"",AV15,"")</f>
        <v/>
      </c>
      <c r="AW57" s="247"/>
      <c r="AX57" s="247"/>
      <c r="AY57" s="247"/>
      <c r="AZ57" s="231" t="str">
        <f>SUBSTITUTE(ADDRESS(1,
COLUMN(),1),"1","")</f>
        <v>$AZ$</v>
      </c>
      <c r="BA57" s="76"/>
      <c r="BB57" s="77" t="str" cm="1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247" t="str">
        <f ca="1">IF(BC60&lt;&gt;"",BC15,"")</f>
        <v/>
      </c>
      <c r="BD57" s="247"/>
      <c r="BE57" s="247"/>
      <c r="BF57" s="247"/>
      <c r="BG57" s="231" t="str">
        <f>SUBSTITUTE(ADDRESS(1,
COLUMN(),1),"1","")</f>
        <v>$BG$</v>
      </c>
      <c r="BH57" s="76"/>
      <c r="BI57" s="76"/>
      <c r="BJ57" s="77" t="str" cm="1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247" t="str">
        <f ca="1">IF(BK60&lt;&gt;"",BK15,"")</f>
        <v/>
      </c>
      <c r="BL57" s="247"/>
      <c r="BM57" s="247"/>
      <c r="BN57" s="247"/>
      <c r="BO57" s="231" t="str">
        <f>SUBSTITUTE(ADDRESS(1,
COLUMN(),1),"1","")</f>
        <v>$BO$</v>
      </c>
      <c r="BP57" s="76"/>
      <c r="BQ57" s="77" t="str" cm="1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247" t="str">
        <f ca="1">IF(BR60&lt;&gt;"",BR15,"")</f>
        <v/>
      </c>
      <c r="BS57" s="247"/>
      <c r="BT57" s="247"/>
      <c r="BU57" s="247"/>
      <c r="BV57" s="231" t="str">
        <f>SUBSTITUTE(ADDRESS(1,
COLUMN(),1),"1","")</f>
        <v>$BV$</v>
      </c>
      <c r="BW57" s="76"/>
      <c r="BX57" s="76"/>
      <c r="BY57" s="77" t="str" cm="1">
        <f t="array" aca="1" ref="BY57" ca="1">IF(COUNTIF(CD15,"*合計*"),"",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</f>
        <v/>
      </c>
      <c r="BZ57" s="247" t="str">
        <f ca="1">IF(BZ60&lt;&gt;"",BZ15,"")</f>
        <v/>
      </c>
      <c r="CA57" s="247"/>
      <c r="CB57" s="247"/>
      <c r="CC57" s="247"/>
      <c r="CD57" s="231" t="str">
        <f>SUBSTITUTE(ADDRESS(1,
COLUMN(),1),"1","")</f>
        <v>$CD$</v>
      </c>
      <c r="CE57" s="76"/>
      <c r="CF57" s="77" t="str" cm="1">
        <f t="array" aca="1" ref="CF57" ca="1">IF(COUNTIF(CK15,"*合計*"),"",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</f>
        <v/>
      </c>
      <c r="CG57" s="247" t="str">
        <f ca="1">IF(CG60&lt;&gt;"",CG15,"")</f>
        <v/>
      </c>
      <c r="CH57" s="247"/>
      <c r="CI57" s="247"/>
      <c r="CJ57" s="247"/>
      <c r="CK57" s="231" t="str">
        <f>SUBSTITUTE(ADDRESS(1,
COLUMN(),1),"1","")</f>
        <v>$CK$</v>
      </c>
      <c r="CL57" s="76"/>
      <c r="CM57" s="76"/>
      <c r="CN57" s="77" t="str" cm="1">
        <f t="array" aca="1" ref="CN57" ca="1">IF(COUNTIF(CS15,"*合計*"),"",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</f>
        <v/>
      </c>
      <c r="CO57" s="247" t="str">
        <f ca="1">IF(CO60&lt;&gt;"",CO15,"")</f>
        <v/>
      </c>
      <c r="CP57" s="247"/>
      <c r="CQ57" s="247"/>
      <c r="CR57" s="247"/>
      <c r="CS57" s="231" t="str">
        <f>SUBSTITUTE(ADDRESS(1,
COLUMN(),1),"1","")</f>
        <v>$CS$</v>
      </c>
      <c r="CT57" s="76"/>
      <c r="CU57" s="77" t="str" cm="1">
        <f t="array" aca="1" ref="CU57" ca="1">IF(COUNTIF(CZ15,"*合計*"),"",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</f>
        <v/>
      </c>
      <c r="CV57" s="247" t="str">
        <f ca="1">IF(CV60&lt;&gt;"",CV15,"")</f>
        <v/>
      </c>
      <c r="CW57" s="247"/>
      <c r="CX57" s="247"/>
      <c r="CY57" s="247"/>
      <c r="CZ57" s="231" t="str">
        <f>SUBSTITUTE(ADDRESS(1,
COLUMN(),1),"1","")</f>
        <v>$CZ$</v>
      </c>
      <c r="DA57" s="76"/>
      <c r="DB57" s="76"/>
      <c r="DC57" s="77" t="str" cm="1">
        <f t="array" aca="1" ref="DC57" ca="1">IF(COUNTIF(DH15,"*合計*"),"",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</f>
        <v/>
      </c>
      <c r="DD57" s="247" t="str">
        <f ca="1">IF(DD60&lt;&gt;"",DD15,"")</f>
        <v/>
      </c>
      <c r="DE57" s="247"/>
      <c r="DF57" s="247"/>
      <c r="DG57" s="247"/>
      <c r="DH57" s="231" t="str">
        <f>SUBSTITUTE(ADDRESS(1,
COLUMN(),1),"1","")</f>
        <v>$DH$</v>
      </c>
      <c r="DI57" s="76"/>
      <c r="DJ57" s="77" t="str" cm="1">
        <f t="array" aca="1" ref="DJ57" ca="1">IF(COUNTIF(DO15,"*合計*"),"",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</f>
        <v/>
      </c>
      <c r="DK57" s="247" t="str">
        <f ca="1">IF(DK60&lt;&gt;"",DK15,"")</f>
        <v/>
      </c>
      <c r="DL57" s="247"/>
      <c r="DM57" s="247"/>
      <c r="DN57" s="247"/>
      <c r="DO57" s="231" t="str">
        <f>SUBSTITUTE(ADDRESS(1,
COLUMN(),1),"1","")</f>
        <v>$DO$</v>
      </c>
      <c r="DP57" s="76"/>
      <c r="DQ57" s="76"/>
      <c r="DR57" s="77" t="str" cm="1">
        <f t="array" aca="1" ref="DR57" ca="1">IF(COUNTIF(DW15,"*合計*"),"",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</f>
        <v/>
      </c>
      <c r="DS57" s="247" t="str">
        <f ca="1">IF(DS60&lt;&gt;"",DS15,"")</f>
        <v/>
      </c>
      <c r="DT57" s="247"/>
      <c r="DU57" s="247"/>
      <c r="DV57" s="247"/>
      <c r="DW57" s="231" t="str">
        <f>SUBSTITUTE(ADDRESS(1,
COLUMN(),1),"1","")</f>
        <v>$DW$</v>
      </c>
      <c r="DX57" s="76"/>
      <c r="DY57" s="77" t="str" cm="1">
        <f t="array" aca="1" ref="DY57" ca="1">IF(COUNTIF(ED15,"*合計*"),"",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</f>
        <v/>
      </c>
      <c r="DZ57" s="247" t="str">
        <f ca="1">IF(DZ60&lt;&gt;"",DZ15,"")</f>
        <v/>
      </c>
      <c r="EA57" s="247"/>
      <c r="EB57" s="247"/>
      <c r="EC57" s="247"/>
      <c r="ED57" s="231" t="str">
        <f>SUBSTITUTE(ADDRESS(1,
COLUMN(),1),"1","")</f>
        <v>$ED$</v>
      </c>
      <c r="EE57" s="76"/>
      <c r="EF57" s="76"/>
      <c r="EG57" s="77" t="str" cm="1">
        <f t="array" aca="1" ref="EG57" ca="1">IF(COUNTIF(EL15,"*合計*"),"",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</f>
        <v/>
      </c>
      <c r="EH57" s="247" t="str">
        <f ca="1">IF(EH60&lt;&gt;"",EH15,"")</f>
        <v/>
      </c>
      <c r="EI57" s="247"/>
      <c r="EJ57" s="247"/>
      <c r="EK57" s="247"/>
      <c r="EL57" s="231" t="str">
        <f>SUBSTITUTE(ADDRESS(1,
COLUMN(),1),"1","")</f>
        <v>$EL$</v>
      </c>
      <c r="EM57" s="76"/>
      <c r="EN57" s="77" t="str" cm="1">
        <f t="array" aca="1" ref="EN57" ca="1">IF(COUNTIF(ES15,"*合計*"),"",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</f>
        <v/>
      </c>
      <c r="EO57" s="247" t="str">
        <f ca="1">IF(EO60&lt;&gt;"",EO15,"")</f>
        <v/>
      </c>
      <c r="EP57" s="247"/>
      <c r="EQ57" s="247"/>
      <c r="ER57" s="247"/>
      <c r="ES57" s="231" t="str">
        <f>SUBSTITUTE(ADDRESS(1,
COLUMN(),1),"1","")</f>
        <v>$ES$</v>
      </c>
      <c r="ET57" s="106"/>
      <c r="EU57" s="78">
        <f t="shared" si="4"/>
        <v>105</v>
      </c>
      <c r="EV57" s="78" t="str">
        <f t="array" aca="1" ref="EV57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LEN(SUBSTITUTE(_xlfn.FORMULATEXT(EV$37),"=","")))+$EU57)</f>
        <v/>
      </c>
      <c r="EW57" s="78" t="str">
        <f t="array" aca="1" ref="EW57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LEN(SUBSTITUTE(_xlfn.FORMULATEXT(EW$37),"=","")))+$EU57)</f>
        <v/>
      </c>
      <c r="EX57" s="78" t="str">
        <f t="array" aca="1" ref="EX57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LEN(SUBSTITUTE(_xlfn.FORMULATEXT(EX$37),"=","")))+$EU57)</f>
        <v/>
      </c>
      <c r="EY57" s="78" t="str">
        <f t="array" aca="1" ref="EY57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LEN(SUBSTITUTE(_xlfn.FORMULATEXT(EY$37),"=","")))+$EU57)</f>
        <v/>
      </c>
      <c r="EZ57" s="78" t="str">
        <f t="array" aca="1" ref="EZ57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LEN(SUBSTITUTE(_xlfn.FORMULATEXT(EZ$37),"=","")))+$EU57)</f>
        <v/>
      </c>
      <c r="FA57" s="78" t="str">
        <f t="array" aca="1" ref="FA57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LEN(SUBSTITUTE(_xlfn.FORMULATEXT(FA$37),"=","")))+$EU57)</f>
        <v/>
      </c>
      <c r="FB57" s="78" t="str">
        <f t="array" aca="1" ref="FB57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LEN(SUBSTITUTE(_xlfn.FORMULATEXT(FB$37),"=","")))+$EU57)</f>
        <v/>
      </c>
      <c r="FC57" s="78" t="str">
        <f t="array" aca="1" ref="FC57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LEN(SUBSTITUTE(_xlfn.FORMULATEXT(FC$37),"=","")))+$EU57)</f>
        <v/>
      </c>
      <c r="FD57" s="78" t="str">
        <f t="array" aca="1" ref="FD57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LEN(SUBSTITUTE(_xlfn.FORMULATEXT(FD$37),"=","")))+$EU57)</f>
        <v/>
      </c>
      <c r="FE57" s="78" t="str">
        <f t="array" aca="1" ref="FE57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LEN(SUBSTITUTE(_xlfn.FORMULATEXT(FE$37),"=","")))+$EU57)</f>
        <v/>
      </c>
      <c r="FF57" s="78" t="str">
        <f t="array" aca="1" ref="FF57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LEN(SUBSTITUTE(_xlfn.FORMULATEXT(FF$37),"=","")))+$EU57)</f>
        <v/>
      </c>
      <c r="FG57" s="78">
        <f t="shared" ca="1" si="6"/>
        <v>0</v>
      </c>
      <c r="FH57" s="78" t="b">
        <f t="array" aca="1" ref="FH57" ca="1">SUMPRODUCT((LEN(EV57:FF57)&gt;0)*1)&gt;0</f>
        <v>0</v>
      </c>
      <c r="FI57" s="78" t="str">
        <f t="array" aca="1" ref="FI57" ca="1">IFERROR(SMALL(IF(FG$1:FG$228&lt;&gt;0,FG$1:FG$228),ROW(A57)),"")</f>
        <v/>
      </c>
      <c r="FJ57" s="78" t="str">
        <f t="array" aca="1" ref="FJ57" ca="1">IF($FI57&lt;&gt;"",
INDIRECT(""&amp;IF(COLUMN(EV85)&lt;=26,CHAR(COLUMN(EV85)+64),CHAR(INT((COLUMN(EV85)-1)/26)+64)&amp;CHAR(MOD(COLUMN(EV85)-1,26)+65))&amp;$FI57&amp;""),"")</f>
        <v/>
      </c>
      <c r="FK57" s="78" t="str">
        <f t="array" aca="1" ref="FK57" ca="1">IF($FI57&lt;&gt;"",
INDIRECT(""&amp;IF(COLUMN(EW85)&lt;=26,CHAR(COLUMN(EW85)+64),CHAR(INT((COLUMN(EW85)-1)/26)+64)&amp;CHAR(MOD(COLUMN(EW85)-1,26)+65))&amp;$FI57&amp;""),"")</f>
        <v/>
      </c>
      <c r="FL57" s="78" t="str">
        <f t="array" aca="1" ref="FL57" ca="1">IF($FI57&lt;&gt;"",
INDIRECT(""&amp;IF(COLUMN(EX85)&lt;=26,CHAR(COLUMN(EX85)+64),CHAR(INT((COLUMN(EX85)-1)/26)+64)&amp;CHAR(MOD(COLUMN(EX85)-1,26)+65))&amp;$FI57&amp;""),"")</f>
        <v/>
      </c>
      <c r="FM57" s="78" t="str">
        <f t="array" aca="1" ref="FM57" ca="1">IF($FI57&lt;&gt;"",
IF(FL57="",
IF(INDIRECT("EY"&amp;$FI57&amp;"")&lt;&gt;"",
INDIRECT("EY"&amp;$FI57&amp;"")&amp;"箱"
&amp;INDIRECT("EZ"&amp;$FI57&amp;""),""),""),"")</f>
        <v/>
      </c>
      <c r="FN57" s="78" t="str">
        <f t="array" aca="1" ref="FN57" ca="1">IF($FI57&lt;&gt;"",
INDIRECT(""&amp;IF(COLUMN(FA85)&lt;=26,CHAR(COLUMN(FA85)+64),CHAR(INT((COLUMN(FA85)-1)/26)+64)&amp;CHAR(MOD(COLUMN(FA85)-1,26)+65))&amp;$FI57&amp;""),"")</f>
        <v/>
      </c>
      <c r="FO57" s="78" t="str">
        <f t="array" aca="1" ref="FO57" ca="1">IF($FI57&lt;&gt;"",
INDIRECT(""&amp;IF(COLUMN(FB85)&lt;=26,CHAR(COLUMN(FB85)+64),CHAR(INT((COLUMN(FB85)-1)/26)+64)&amp;CHAR(MOD(COLUMN(FB85)-1,26)+65))&amp;$FI57&amp;""),"")</f>
        <v/>
      </c>
      <c r="FP57" s="78" t="str">
        <f t="array" aca="1" ref="FP57" ca="1">IF($FI57&lt;&gt;"",
INDIRECT(""&amp;IF(COLUMN(FC85)&lt;=26,CHAR(COLUMN(FC85)+64),CHAR(INT((COLUMN(FC85)-1)/26)+64)&amp;CHAR(MOD(COLUMN(FC85)-1,26)+65))&amp;$FI57&amp;""),"")</f>
        <v/>
      </c>
      <c r="FQ57" s="78" t="str">
        <f t="array" aca="1" ref="FQ57" ca="1">IF($FI57&lt;&gt;"",
INDIRECT(""&amp;IF(COLUMN(FD85)&lt;=26,CHAR(COLUMN(FD85)+64),CHAR(INT((COLUMN(FD85)-1)/26)+64)&amp;CHAR(MOD(COLUMN(FD85)-1,26)+65))&amp;$FI57&amp;""),"")</f>
        <v/>
      </c>
      <c r="FR57" s="78" t="str">
        <f t="array" aca="1" ref="FR57" ca="1">IF($FI57&lt;&gt;"",
INDIRECT(""&amp;IF(COLUMN(FE85)&lt;=26,CHAR(COLUMN(FE85)+64),CHAR(INT((COLUMN(FE85)-1)/26)+64)&amp;CHAR(MOD(COLUMN(FE85)-1,26)+65))&amp;$FI57&amp;""),"")</f>
        <v/>
      </c>
      <c r="FS57" s="78" t="str">
        <f t="array" aca="1" ref="FS57" ca="1">IF($FI57&lt;&gt;"",
INDIRECT(""&amp;IF(COLUMN(FF85)&lt;=26,CHAR(COLUMN(FF85)+64),CHAR(INT((COLUMN(FF85)-1)/26)+64)&amp;CHAR(MOD(COLUMN(FF85)-1,26)+65))&amp;$FI57&amp;""),"")</f>
        <v/>
      </c>
    </row>
    <row r="58" spans="1:175" s="78" customFormat="1" ht="18" customHeight="1" x14ac:dyDescent="0.55000000000000004">
      <c r="A58" s="76"/>
      <c r="B58" s="81" t="e" cm="1">
        <f t="array" aca="1" ref="B58" ca="1">IF(INDIRECT(""&amp;SUBSTITUTE(ADDRESS(1,
COLUMN(),1),"1","")&amp;ROW()-41&amp;"")&lt;&gt;100,
IF(C60&lt;&gt;"",MATCH(C60,INDIRECT("数出表_Excel!B"&amp;MATCH(INDIRECT(""&amp;G57&amp;ROW()-43&amp;""),数出表_Excel!$A:$A,0)-1&amp;":U"&amp;MATCH(INDIRECT(""&amp;G57&amp;ROW()-43&amp;""),数出表_Excel!$A:$A,0)-1&amp;""),0)+1,""),
IF(C60&lt;&gt;"",
MATCH(
IFERROR(
INDEX(INDIRECT("数出表_Excel!"&amp;B57&amp;MATCH(INDIRECT(""&amp;G57&amp;ROW()-43&amp;""),数出表_Excel!$A:$A,0)-1&amp;":U"&amp;MATCH(INDIRECT(""&amp;G57&amp;ROW()-43&amp;""),数出表_Excel!$A:$A,0)-1&amp;""),
 1,
 MATCH(TRUE, ISNUMBER(--INDIRECT("数出表_Excel!"&amp;B57&amp;MATCH(INDIRECT(""&amp;G57&amp;ROW()-43&amp;""),数出表_Excel!$A:$A,0)-1&amp;":U"&amp;MATCH(INDIRECT(""&amp;G57&amp;ROW()-43&amp;""),数出表_Excel!$A:$A,0)-1&amp;"")), 0)),
 ""),
INDIRECT("数出表_Excel!B"&amp;MATCH(INDIRECT(""&amp;G57&amp;ROW()-43&amp;""),数出表_Excel!$A:$A,0)-1&amp;":U"&amp;MATCH(INDIRECT(""&amp;G57&amp;ROW()-43&amp;""),数出表_Excel!$A:$A,0)-1&amp;""),0)+1,""))</f>
        <v>#VALUE!</v>
      </c>
      <c r="C58" s="58" t="str" cm="1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76"/>
      <c r="E58" s="82" t="str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83" t="str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92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76"/>
      <c r="I58" s="81" t="e" cm="1">
        <f t="array" aca="1" ref="I58" ca="1">IF(INDIRECT(""&amp;SUBSTITUTE(ADDRESS(1,
COLUMN(),1),"1","")&amp;ROW()-41&amp;"")&lt;&gt;100,
IF(J60&lt;&gt;"",MATCH(J60,INDIRECT("数出表_Excel!B"&amp;MATCH(INDIRECT(""&amp;N57&amp;ROW()-43&amp;""),数出表_Excel!$A:$A,0)-1&amp;":U"&amp;MATCH(INDIRECT(""&amp;N57&amp;ROW()-43&amp;""),数出表_Excel!$A:$A,0)-1&amp;""),0)+1,""),
IF(J60&lt;&gt;"",
MATCH(
IFERROR(
INDEX(INDIRECT("数出表_Excel!"&amp;I57&amp;MATCH(INDIRECT(""&amp;N57&amp;ROW()-43&amp;""),数出表_Excel!$A:$A,0)-1&amp;":U"&amp;MATCH(INDIRECT(""&amp;N57&amp;ROW()-43&amp;""),数出表_Excel!$A:$A,0)-1&amp;""),
 1,
 MATCH(TRUE, ISNUMBER(--INDIRECT("数出表_Excel!"&amp;I57&amp;MATCH(INDIRECT(""&amp;N57&amp;ROW()-43&amp;""),数出表_Excel!$A:$A,0)-1&amp;":U"&amp;MATCH(INDIRECT(""&amp;N57&amp;ROW()-43&amp;""),数出表_Excel!$A:$A,0)-1&amp;"")), 0)),
 ""),
INDIRECT("数出表_Excel!B"&amp;MATCH(INDIRECT(""&amp;N57&amp;ROW()-43&amp;""),数出表_Excel!$A:$A,0)-1&amp;":U"&amp;MATCH(INDIRECT(""&amp;N57&amp;ROW()-43&amp;""),数出表_Excel!$A:$A,0)-1&amp;""),0)+1,""))</f>
        <v>#VALUE!</v>
      </c>
      <c r="J58" s="58" t="str" cm="1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76"/>
      <c r="L58" s="82" t="str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+MATCH(TRUE,INDIRECT("'数出表_Excel'!"&amp;I57&amp;MATCH(N15,数出表_Excel!$A:$A,0)-1&amp;":AL"&amp;MATCH(N15,数出表_Excel!$A:$A,0)-1&amp;"")&lt;&gt;"",0))&gt;12,"",
IFERROR(
INDEX(INDIRECT("数出表_Excel!$"&amp;I57&amp;"4:$AL4"),
 1,
MATCH(TRUE,INDIRECT("'数出表_Excel'!"&amp;I57&amp;MATCH(N15,数出表_Excel!$A:$A,0)-1&amp;":AL"&amp;MATCH(N15,数出表_Excel!$A:$A,0)-1&amp;"")&lt;&gt;"",0)
),
 "")
&amp;IFERROR(
INDEX(INDIRECT("数出表_Excel!$"&amp;I57&amp;"5:$AL5"),
 1,
MATCH(TRUE,INDIRECT("'数出表_Excel'!"&amp;I57&amp;MATCH(N15,数出表_Excel!$A:$A,0)-1&amp;":AL"&amp;MATCH(N15,数出表_Excel!$A:$A,0)-1&amp;"")&lt;&gt;"",0)),
 "")),"")))</f>
        <v/>
      </c>
      <c r="M58" s="83" t="str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92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76"/>
      <c r="P58" s="76"/>
      <c r="Q58" s="81" t="e" cm="1">
        <f t="array" aca="1" ref="Q58" ca="1">IF(INDIRECT(""&amp;SUBSTITUTE(ADDRESS(1,
COLUMN(),1),"1","")&amp;ROW()-41&amp;"")&lt;&gt;100,
IF(R60&lt;&gt;"",MATCH(R60,INDIRECT("数出表_Excel!B"&amp;MATCH(INDIRECT(""&amp;V57&amp;ROW()-43&amp;""),数出表_Excel!$A:$A,0)-1&amp;":U"&amp;MATCH(INDIRECT(""&amp;V57&amp;ROW()-43&amp;""),数出表_Excel!$A:$A,0)-1&amp;""),0)+1,""),
IF(R60&lt;&gt;"",
MATCH(
IFERROR(
INDEX(INDIRECT("数出表_Excel!"&amp;Q57&amp;MATCH(INDIRECT(""&amp;V57&amp;ROW()-43&amp;""),数出表_Excel!$A:$A,0)-1&amp;":U"&amp;MATCH(INDIRECT(""&amp;V57&amp;ROW()-43&amp;""),数出表_Excel!$A:$A,0)-1&amp;""),
 1,
 MATCH(TRUE, ISNUMBER(--INDIRECT("数出表_Excel!"&amp;Q57&amp;MATCH(INDIRECT(""&amp;V57&amp;ROW()-43&amp;""),数出表_Excel!$A:$A,0)-1&amp;":U"&amp;MATCH(INDIRECT(""&amp;V57&amp;ROW()-43&amp;""),数出表_Excel!$A:$A,0)-1&amp;"")), 0)),
 ""),
INDIRECT("数出表_Excel!B"&amp;MATCH(INDIRECT(""&amp;V57&amp;ROW()-43&amp;""),数出表_Excel!$A:$A,0)-1&amp;":U"&amp;MATCH(INDIRECT(""&amp;V57&amp;ROW()-43&amp;""),数出表_Excel!$A:$A,0)-1&amp;""),0)+1,""))</f>
        <v>#VALUE!</v>
      </c>
      <c r="R58" s="58" t="str" cm="1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76"/>
      <c r="T58" s="82" t="str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83" t="str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92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76"/>
      <c r="X58" s="81" t="e" cm="1">
        <f t="array" aca="1" ref="X58" ca="1">IF(INDIRECT(""&amp;SUBSTITUTE(ADDRESS(1,
COLUMN(),1),"1","")&amp;ROW()-41&amp;"")&lt;&gt;100,
IF(Y60&lt;&gt;"",MATCH(Y60,INDIRECT("数出表_Excel!B"&amp;MATCH(INDIRECT(""&amp;AC57&amp;ROW()-43&amp;""),数出表_Excel!$A:$A,0)-1&amp;":U"&amp;MATCH(INDIRECT(""&amp;AC57&amp;ROW()-43&amp;""),数出表_Excel!$A:$A,0)-1&amp;""),0)+1,""),
IF(Y60&lt;&gt;"",
MATCH(
IFERROR(
INDEX(INDIRECT("数出表_Excel!"&amp;X57&amp;MATCH(INDIRECT(""&amp;AC57&amp;ROW()-43&amp;""),数出表_Excel!$A:$A,0)-1&amp;":U"&amp;MATCH(INDIRECT(""&amp;AC57&amp;ROW()-43&amp;""),数出表_Excel!$A:$A,0)-1&amp;""),
 1,
 MATCH(TRUE, ISNUMBER(--INDIRECT("数出表_Excel!"&amp;X57&amp;MATCH(INDIRECT(""&amp;AC57&amp;ROW()-43&amp;""),数出表_Excel!$A:$A,0)-1&amp;":U"&amp;MATCH(INDIRECT(""&amp;AC57&amp;ROW()-43&amp;""),数出表_Excel!$A:$A,0)-1&amp;"")), 0)),
 ""),
INDIRECT("数出表_Excel!B"&amp;MATCH(INDIRECT(""&amp;AC57&amp;ROW()-43&amp;""),数出表_Excel!$A:$A,0)-1&amp;":U"&amp;MATCH(INDIRECT(""&amp;AC57&amp;ROW()-43&amp;""),数出表_Excel!$A:$A,0)-1&amp;""),0)+1,""))</f>
        <v>#VALUE!</v>
      </c>
      <c r="Y58" s="58" t="str" cm="1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76"/>
      <c r="AA58" s="82" t="str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+MATCH(TRUE,INDIRECT("'数出表_Excel'!"&amp;X57&amp;MATCH(AC15,数出表_Excel!$A:$A,0)-1&amp;":AL"&amp;MATCH(AC15,数出表_Excel!$A:$A,0)-1&amp;"")&lt;&gt;"",0))&gt;12,"",
IFERROR(
INDEX(INDIRECT("数出表_Excel!$"&amp;X57&amp;"4:$AL4"),
 1,
MATCH(TRUE,INDIRECT("'数出表_Excel'!"&amp;X57&amp;MATCH(AC15,数出表_Excel!$A:$A,0)-1&amp;":AL"&amp;MATCH(AC15,数出表_Excel!$A:$A,0)-1&amp;"")&lt;&gt;"",0)
),
 "")
&amp;IFERROR(
INDEX(INDIRECT("数出表_Excel!$"&amp;X57&amp;"5:$AL5"),
 1,
MATCH(TRUE,INDIRECT("'数出表_Excel'!"&amp;X57&amp;MATCH(AC15,数出表_Excel!$A:$A,0)-1&amp;":AL"&amp;MATCH(AC15,数出表_Excel!$A:$A,0)-1&amp;"")&lt;&gt;"",0)),
 "")),"")))</f>
        <v/>
      </c>
      <c r="AB58" s="83" t="str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92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76"/>
      <c r="AE58" s="76"/>
      <c r="AF58" s="81" t="e" cm="1">
        <f t="array" aca="1" ref="AF58" ca="1">IF(INDIRECT(""&amp;SUBSTITUTE(ADDRESS(1,
COLUMN(),1),"1","")&amp;ROW()-41&amp;"")&lt;&gt;100,
IF(AG60&lt;&gt;"",MATCH(AG60,INDIRECT("数出表_Excel!B"&amp;MATCH(INDIRECT(""&amp;AK57&amp;ROW()-43&amp;""),数出表_Excel!$A:$A,0)-1&amp;":U"&amp;MATCH(INDIRECT(""&amp;AK57&amp;ROW()-43&amp;""),数出表_Excel!$A:$A,0)-1&amp;""),0)+1,""),
IF(AG60&lt;&gt;"",
MATCH(
IFERROR(
INDEX(INDIRECT("数出表_Excel!"&amp;AF57&amp;MATCH(INDIRECT(""&amp;AK57&amp;ROW()-43&amp;""),数出表_Excel!$A:$A,0)-1&amp;":U"&amp;MATCH(INDIRECT(""&amp;AK57&amp;ROW()-43&amp;""),数出表_Excel!$A:$A,0)-1&amp;""),
 1,
 MATCH(TRUE, ISNUMBER(--INDIRECT("数出表_Excel!"&amp;AF57&amp;MATCH(INDIRECT(""&amp;AK57&amp;ROW()-43&amp;""),数出表_Excel!$A:$A,0)-1&amp;":U"&amp;MATCH(INDIRECT(""&amp;AK57&amp;ROW()-43&amp;""),数出表_Excel!$A:$A,0)-1&amp;"")), 0)),
 ""),
INDIRECT("数出表_Excel!B"&amp;MATCH(INDIRECT(""&amp;AK57&amp;ROW()-43&amp;""),数出表_Excel!$A:$A,0)-1&amp;":U"&amp;MATCH(INDIRECT(""&amp;AK57&amp;ROW()-43&amp;""),数出表_Excel!$A:$A,0)-1&amp;""),0)+1,""))</f>
        <v>#VALUE!</v>
      </c>
      <c r="AG58" s="58" t="str" cm="1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76"/>
      <c r="AI58" s="82" t="str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83" t="str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92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76"/>
      <c r="AM58" s="81" t="e" cm="1">
        <f t="array" aca="1" ref="AM58" ca="1">IF(INDIRECT(""&amp;SUBSTITUTE(ADDRESS(1,
COLUMN(),1),"1","")&amp;ROW()-41&amp;"")&lt;&gt;100,
IF(AN60&lt;&gt;"",MATCH(AN60,INDIRECT("数出表_Excel!B"&amp;MATCH(INDIRECT(""&amp;AR57&amp;ROW()-43&amp;""),数出表_Excel!$A:$A,0)-1&amp;":U"&amp;MATCH(INDIRECT(""&amp;AR57&amp;ROW()-43&amp;""),数出表_Excel!$A:$A,0)-1&amp;""),0)+1,""),
IF(AN60&lt;&gt;"",
MATCH(
IFERROR(
INDEX(INDIRECT("数出表_Excel!"&amp;AM57&amp;MATCH(INDIRECT(""&amp;AR57&amp;ROW()-43&amp;""),数出表_Excel!$A:$A,0)-1&amp;":U"&amp;MATCH(INDIRECT(""&amp;AR57&amp;ROW()-43&amp;""),数出表_Excel!$A:$A,0)-1&amp;""),
 1,
 MATCH(TRUE, ISNUMBER(--INDIRECT("数出表_Excel!"&amp;AM57&amp;MATCH(INDIRECT(""&amp;AR57&amp;ROW()-43&amp;""),数出表_Excel!$A:$A,0)-1&amp;":U"&amp;MATCH(INDIRECT(""&amp;AR57&amp;ROW()-43&amp;""),数出表_Excel!$A:$A,0)-1&amp;"")), 0)),
 ""),
INDIRECT("数出表_Excel!B"&amp;MATCH(INDIRECT(""&amp;AR57&amp;ROW()-43&amp;""),数出表_Excel!$A:$A,0)-1&amp;":U"&amp;MATCH(INDIRECT(""&amp;AR57&amp;ROW()-43&amp;""),数出表_Excel!$A:$A,0)-1&amp;""),0)+1,""))</f>
        <v>#VALUE!</v>
      </c>
      <c r="AN58" s="58" t="str" cm="1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76"/>
      <c r="AP58" s="82" t="str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+MATCH(TRUE,INDIRECT("'数出表_Excel'!"&amp;AM57&amp;MATCH(AR15,数出表_Excel!$A:$A,0)-1&amp;":AL"&amp;MATCH(AR15,数出表_Excel!$A:$A,0)-1&amp;"")&lt;&gt;"",0))&gt;12,"",
IFERROR(
INDEX(INDIRECT("数出表_Excel!$"&amp;AM57&amp;"4:$AL4"),
 1,
MATCH(TRUE,INDIRECT("'数出表_Excel'!"&amp;AM57&amp;MATCH(AR15,数出表_Excel!$A:$A,0)-1&amp;":AL"&amp;MATCH(AR15,数出表_Excel!$A:$A,0)-1&amp;"")&lt;&gt;"",0)
),
 "")
&amp;IFERROR(
INDEX(INDIRECT("数出表_Excel!$"&amp;AM57&amp;"5:$AL5"),
 1,
MATCH(TRUE,INDIRECT("'数出表_Excel'!"&amp;AM57&amp;MATCH(AR15,数出表_Excel!$A:$A,0)-1&amp;":AL"&amp;MATCH(AR15,数出表_Excel!$A:$A,0)-1&amp;"")&lt;&gt;"",0)),
 "")),"")))</f>
        <v/>
      </c>
      <c r="AQ58" s="83" t="str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92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76"/>
      <c r="AT58" s="76"/>
      <c r="AU58" s="81" t="e" cm="1">
        <f t="array" aca="1" ref="AU58" ca="1">IF(INDIRECT(""&amp;SUBSTITUTE(ADDRESS(1,
COLUMN(),1),"1","")&amp;ROW()-41&amp;"")&lt;&gt;100,
IF(AV60&lt;&gt;"",MATCH(AV60,INDIRECT("数出表_Excel!B"&amp;MATCH(INDIRECT(""&amp;AZ57&amp;ROW()-43&amp;""),数出表_Excel!$A:$A,0)-1&amp;":U"&amp;MATCH(INDIRECT(""&amp;AZ57&amp;ROW()-43&amp;""),数出表_Excel!$A:$A,0)-1&amp;""),0)+1,""),
IF(AV60&lt;&gt;"",
MATCH(
IFERROR(
INDEX(INDIRECT("数出表_Excel!"&amp;AU57&amp;MATCH(INDIRECT(""&amp;AZ57&amp;ROW()-43&amp;""),数出表_Excel!$A:$A,0)-1&amp;":U"&amp;MATCH(INDIRECT(""&amp;AZ57&amp;ROW()-43&amp;""),数出表_Excel!$A:$A,0)-1&amp;""),
 1,
 MATCH(TRUE, ISNUMBER(--INDIRECT("数出表_Excel!"&amp;AU57&amp;MATCH(INDIRECT(""&amp;AZ57&amp;ROW()-43&amp;""),数出表_Excel!$A:$A,0)-1&amp;":U"&amp;MATCH(INDIRECT(""&amp;AZ57&amp;ROW()-43&amp;""),数出表_Excel!$A:$A,0)-1&amp;"")), 0)),
 ""),
INDIRECT("数出表_Excel!B"&amp;MATCH(INDIRECT(""&amp;AZ57&amp;ROW()-43&amp;""),数出表_Excel!$A:$A,0)-1&amp;":U"&amp;MATCH(INDIRECT(""&amp;AZ57&amp;ROW()-43&amp;""),数出表_Excel!$A:$A,0)-1&amp;""),0)+1,""))</f>
        <v>#VALUE!</v>
      </c>
      <c r="AV58" s="58" t="str" cm="1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76"/>
      <c r="AX58" s="82" t="str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83" t="str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92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76"/>
      <c r="BB58" s="81" t="e" cm="1">
        <f t="array" aca="1" ref="BB58" ca="1">IF(INDIRECT(""&amp;SUBSTITUTE(ADDRESS(1,
COLUMN(),1),"1","")&amp;ROW()-41&amp;"")&lt;&gt;100,
IF(BC60&lt;&gt;"",MATCH(BC60,INDIRECT("数出表_Excel!B"&amp;MATCH(INDIRECT(""&amp;BG57&amp;ROW()-43&amp;""),数出表_Excel!$A:$A,0)-1&amp;":U"&amp;MATCH(INDIRECT(""&amp;BG57&amp;ROW()-43&amp;""),数出表_Excel!$A:$A,0)-1&amp;""),0)+1,""),
IF(BC60&lt;&gt;"",
MATCH(
IFERROR(
INDEX(INDIRECT("数出表_Excel!"&amp;BB57&amp;MATCH(INDIRECT(""&amp;BG57&amp;ROW()-43&amp;""),数出表_Excel!$A:$A,0)-1&amp;":U"&amp;MATCH(INDIRECT(""&amp;BG57&amp;ROW()-43&amp;""),数出表_Excel!$A:$A,0)-1&amp;""),
 1,
 MATCH(TRUE, ISNUMBER(--INDIRECT("数出表_Excel!"&amp;BB57&amp;MATCH(INDIRECT(""&amp;BG57&amp;ROW()-43&amp;""),数出表_Excel!$A:$A,0)-1&amp;":U"&amp;MATCH(INDIRECT(""&amp;BG57&amp;ROW()-43&amp;""),数出表_Excel!$A:$A,0)-1&amp;"")), 0)),
 ""),
INDIRECT("数出表_Excel!B"&amp;MATCH(INDIRECT(""&amp;BG57&amp;ROW()-43&amp;""),数出表_Excel!$A:$A,0)-1&amp;":U"&amp;MATCH(INDIRECT(""&amp;BG57&amp;ROW()-43&amp;""),数出表_Excel!$A:$A,0)-1&amp;""),0)+1,""))</f>
        <v>#VALUE!</v>
      </c>
      <c r="BC58" s="58" t="str" cm="1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76"/>
      <c r="BE58" s="82" t="str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+MATCH(TRUE,INDIRECT("'数出表_Excel'!"&amp;BB57&amp;MATCH(BG15,数出表_Excel!$A:$A,0)-1&amp;":AL"&amp;MATCH(BG15,数出表_Excel!$A:$A,0)-1&amp;"")&lt;&gt;"",0))&gt;12,"",
IFERROR(
INDEX(INDIRECT("数出表_Excel!$"&amp;BB57&amp;"4:$AL4"),
 1,
MATCH(TRUE,INDIRECT("'数出表_Excel'!"&amp;BB57&amp;MATCH(BG15,数出表_Excel!$A:$A,0)-1&amp;":AL"&amp;MATCH(BG15,数出表_Excel!$A:$A,0)-1&amp;"")&lt;&gt;"",0)
),
 "")
&amp;IFERROR(
INDEX(INDIRECT("数出表_Excel!$"&amp;BB57&amp;"5:$AL5"),
 1,
MATCH(TRUE,INDIRECT("'数出表_Excel'!"&amp;BB57&amp;MATCH(BG15,数出表_Excel!$A:$A,0)-1&amp;":AL"&amp;MATCH(BG15,数出表_Excel!$A:$A,0)-1&amp;"")&lt;&gt;"",0)),
 "")),"")))</f>
        <v/>
      </c>
      <c r="BF58" s="83" t="str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92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76"/>
      <c r="BI58" s="76"/>
      <c r="BJ58" s="81" t="e" cm="1">
        <f t="array" aca="1" ref="BJ58" ca="1">IF(INDIRECT(""&amp;SUBSTITUTE(ADDRESS(1,
COLUMN(),1),"1","")&amp;ROW()-41&amp;"")&lt;&gt;100,
IF(BK60&lt;&gt;"",MATCH(BK60,INDIRECT("数出表_Excel!B"&amp;MATCH(INDIRECT(""&amp;BO57&amp;ROW()-43&amp;""),数出表_Excel!$A:$A,0)-1&amp;":U"&amp;MATCH(INDIRECT(""&amp;BO57&amp;ROW()-43&amp;""),数出表_Excel!$A:$A,0)-1&amp;""),0)+1,""),
IF(BK60&lt;&gt;"",
MATCH(
IFERROR(
INDEX(INDIRECT("数出表_Excel!"&amp;BJ57&amp;MATCH(INDIRECT(""&amp;BO57&amp;ROW()-43&amp;""),数出表_Excel!$A:$A,0)-1&amp;":U"&amp;MATCH(INDIRECT(""&amp;BO57&amp;ROW()-43&amp;""),数出表_Excel!$A:$A,0)-1&amp;""),
 1,
 MATCH(TRUE, ISNUMBER(--INDIRECT("数出表_Excel!"&amp;BJ57&amp;MATCH(INDIRECT(""&amp;BO57&amp;ROW()-43&amp;""),数出表_Excel!$A:$A,0)-1&amp;":U"&amp;MATCH(INDIRECT(""&amp;BO57&amp;ROW()-43&amp;""),数出表_Excel!$A:$A,0)-1&amp;"")), 0)),
 ""),
INDIRECT("数出表_Excel!B"&amp;MATCH(INDIRECT(""&amp;BO57&amp;ROW()-43&amp;""),数出表_Excel!$A:$A,0)-1&amp;":U"&amp;MATCH(INDIRECT(""&amp;BO57&amp;ROW()-43&amp;""),数出表_Excel!$A:$A,0)-1&amp;""),0)+1,""))</f>
        <v>#VALUE!</v>
      </c>
      <c r="BK58" s="58" t="str" cm="1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76"/>
      <c r="BM58" s="82" t="str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83" t="str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92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76"/>
      <c r="BQ58" s="81" t="e" cm="1">
        <f t="array" aca="1" ref="BQ58" ca="1">IF(INDIRECT(""&amp;SUBSTITUTE(ADDRESS(1,
COLUMN(),1),"1","")&amp;ROW()-41&amp;"")&lt;&gt;100,
IF(BR60&lt;&gt;"",MATCH(BR60,INDIRECT("数出表_Excel!B"&amp;MATCH(INDIRECT(""&amp;BV57&amp;ROW()-43&amp;""),数出表_Excel!$A:$A,0)-1&amp;":U"&amp;MATCH(INDIRECT(""&amp;BV57&amp;ROW()-43&amp;""),数出表_Excel!$A:$A,0)-1&amp;""),0)+1,""),
IF(BR60&lt;&gt;"",
MATCH(
IFERROR(
INDEX(INDIRECT("数出表_Excel!"&amp;BQ57&amp;MATCH(INDIRECT(""&amp;BV57&amp;ROW()-43&amp;""),数出表_Excel!$A:$A,0)-1&amp;":U"&amp;MATCH(INDIRECT(""&amp;BV57&amp;ROW()-43&amp;""),数出表_Excel!$A:$A,0)-1&amp;""),
 1,
 MATCH(TRUE, ISNUMBER(--INDIRECT("数出表_Excel!"&amp;BQ57&amp;MATCH(INDIRECT(""&amp;BV57&amp;ROW()-43&amp;""),数出表_Excel!$A:$A,0)-1&amp;":U"&amp;MATCH(INDIRECT(""&amp;BV57&amp;ROW()-43&amp;""),数出表_Excel!$A:$A,0)-1&amp;"")), 0)),
 ""),
INDIRECT("数出表_Excel!B"&amp;MATCH(INDIRECT(""&amp;BV57&amp;ROW()-43&amp;""),数出表_Excel!$A:$A,0)-1&amp;":U"&amp;MATCH(INDIRECT(""&amp;BV57&amp;ROW()-43&amp;""),数出表_Excel!$A:$A,0)-1&amp;""),0)+1,""))</f>
        <v>#VALUE!</v>
      </c>
      <c r="BR58" s="58" t="str" cm="1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76"/>
      <c r="BT58" s="82" t="str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+MATCH(TRUE,INDIRECT("'数出表_Excel'!"&amp;BQ57&amp;MATCH(BV15,数出表_Excel!$A:$A,0)-1&amp;":AL"&amp;MATCH(BV15,数出表_Excel!$A:$A,0)-1&amp;"")&lt;&gt;"",0))&gt;12,"",
IFERROR(
INDEX(INDIRECT("数出表_Excel!$"&amp;BQ57&amp;"4:$AL4"),
 1,
MATCH(TRUE,INDIRECT("'数出表_Excel'!"&amp;BQ57&amp;MATCH(BV15,数出表_Excel!$A:$A,0)-1&amp;":AL"&amp;MATCH(BV15,数出表_Excel!$A:$A,0)-1&amp;"")&lt;&gt;"",0)
),
 "")
&amp;IFERROR(
INDEX(INDIRECT("数出表_Excel!$"&amp;BQ57&amp;"5:$AL5"),
 1,
MATCH(TRUE,INDIRECT("'数出表_Excel'!"&amp;BQ57&amp;MATCH(BV15,数出表_Excel!$A:$A,0)-1&amp;":AL"&amp;MATCH(BV15,数出表_Excel!$A:$A,0)-1&amp;"")&lt;&gt;"",0)),
 "")),"")))</f>
        <v/>
      </c>
      <c r="BU58" s="83" t="str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92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76"/>
      <c r="BX58" s="76"/>
      <c r="BY58" s="81" t="e" cm="1">
        <f t="array" aca="1" ref="BY58" ca="1">IF(INDIRECT(""&amp;SUBSTITUTE(ADDRESS(1,
COLUMN(),1),"1","")&amp;ROW()-41&amp;"")&lt;&gt;100,
IF(BZ60&lt;&gt;"",MATCH(BZ60,INDIRECT("数出表_Excel!B"&amp;MATCH(INDIRECT(""&amp;CD57&amp;ROW()-43&amp;""),数出表_Excel!$A:$A,0)-1&amp;":U"&amp;MATCH(INDIRECT(""&amp;CD57&amp;ROW()-43&amp;""),数出表_Excel!$A:$A,0)-1&amp;""),0)+1,""),
IF(BZ60&lt;&gt;"",
MATCH(
IFERROR(
INDEX(INDIRECT("数出表_Excel!"&amp;BY57&amp;MATCH(INDIRECT(""&amp;CD57&amp;ROW()-43&amp;""),数出表_Excel!$A:$A,0)-1&amp;":U"&amp;MATCH(INDIRECT(""&amp;CD57&amp;ROW()-43&amp;""),数出表_Excel!$A:$A,0)-1&amp;""),
 1,
 MATCH(TRUE, ISNUMBER(--INDIRECT("数出表_Excel!"&amp;BY57&amp;MATCH(INDIRECT(""&amp;CD57&amp;ROW()-43&amp;""),数出表_Excel!$A:$A,0)-1&amp;":U"&amp;MATCH(INDIRECT(""&amp;CD57&amp;ROW()-43&amp;""),数出表_Excel!$A:$A,0)-1&amp;"")), 0)),
 ""),
INDIRECT("数出表_Excel!B"&amp;MATCH(INDIRECT(""&amp;CD57&amp;ROW()-43&amp;""),数出表_Excel!$A:$A,0)-1&amp;":U"&amp;MATCH(INDIRECT(""&amp;CD57&amp;ROW()-43&amp;""),数出表_Excel!$A:$A,0)-1&amp;""),0)+1,""))</f>
        <v>#VALUE!</v>
      </c>
      <c r="BZ58" s="58" t="str" cm="1">
        <f t="array" aca="1" ref="BZ58" ca="1">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</f>
        <v/>
      </c>
      <c r="CA58" s="76"/>
      <c r="CB58" s="82" t="str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83" t="str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92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76"/>
      <c r="CF58" s="81" t="e" cm="1">
        <f t="array" aca="1" ref="CF58" ca="1">IF(INDIRECT(""&amp;SUBSTITUTE(ADDRESS(1,
COLUMN(),1),"1","")&amp;ROW()-41&amp;"")&lt;&gt;100,
IF(CG60&lt;&gt;"",MATCH(CG60,INDIRECT("数出表_Excel!B"&amp;MATCH(INDIRECT(""&amp;CK57&amp;ROW()-43&amp;""),数出表_Excel!$A:$A,0)-1&amp;":U"&amp;MATCH(INDIRECT(""&amp;CK57&amp;ROW()-43&amp;""),数出表_Excel!$A:$A,0)-1&amp;""),0)+1,""),
IF(CG60&lt;&gt;"",
MATCH(
IFERROR(
INDEX(INDIRECT("数出表_Excel!"&amp;CF57&amp;MATCH(INDIRECT(""&amp;CK57&amp;ROW()-43&amp;""),数出表_Excel!$A:$A,0)-1&amp;":U"&amp;MATCH(INDIRECT(""&amp;CK57&amp;ROW()-43&amp;""),数出表_Excel!$A:$A,0)-1&amp;""),
 1,
 MATCH(TRUE, ISNUMBER(--INDIRECT("数出表_Excel!"&amp;CF57&amp;MATCH(INDIRECT(""&amp;CK57&amp;ROW()-43&amp;""),数出表_Excel!$A:$A,0)-1&amp;":U"&amp;MATCH(INDIRECT(""&amp;CK57&amp;ROW()-43&amp;""),数出表_Excel!$A:$A,0)-1&amp;"")), 0)),
 ""),
INDIRECT("数出表_Excel!B"&amp;MATCH(INDIRECT(""&amp;CK57&amp;ROW()-43&amp;""),数出表_Excel!$A:$A,0)-1&amp;":U"&amp;MATCH(INDIRECT(""&amp;CK57&amp;ROW()-43&amp;""),数出表_Excel!$A:$A,0)-1&amp;""),0)+1,""))</f>
        <v>#VALUE!</v>
      </c>
      <c r="CG58" s="58" t="str" cm="1">
        <f t="array" aca="1" ref="CG58" ca="1">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</f>
        <v/>
      </c>
      <c r="CH58" s="76"/>
      <c r="CI58" s="82" t="str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+MATCH(TRUE,INDIRECT("'数出表_Excel'!"&amp;CF57&amp;MATCH(CK15,数出表_Excel!$A:$A,0)-1&amp;":AL"&amp;MATCH(CK15,数出表_Excel!$A:$A,0)-1&amp;"")&lt;&gt;"",0))&gt;12,"",
IFERROR(
INDEX(INDIRECT("数出表_Excel!$"&amp;CF57&amp;"4:$AL4"),
 1,
MATCH(TRUE,INDIRECT("'数出表_Excel'!"&amp;CF57&amp;MATCH(CK15,数出表_Excel!$A:$A,0)-1&amp;":AL"&amp;MATCH(CK15,数出表_Excel!$A:$A,0)-1&amp;"")&lt;&gt;"",0)
),
 "")
&amp;IFERROR(
INDEX(INDIRECT("数出表_Excel!$"&amp;CF57&amp;"5:$AL5"),
 1,
MATCH(TRUE,INDIRECT("'数出表_Excel'!"&amp;CF57&amp;MATCH(CK15,数出表_Excel!$A:$A,0)-1&amp;":AL"&amp;MATCH(CK15,数出表_Excel!$A:$A,0)-1&amp;"")&lt;&gt;"",0)),
 "")),"")))</f>
        <v/>
      </c>
      <c r="CJ58" s="83" t="str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92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76"/>
      <c r="CM58" s="76"/>
      <c r="CN58" s="81" t="e" cm="1">
        <f t="array" aca="1" ref="CN58" ca="1">IF(INDIRECT(""&amp;SUBSTITUTE(ADDRESS(1,
COLUMN(),1),"1","")&amp;ROW()-41&amp;"")&lt;&gt;100,
IF(CO60&lt;&gt;"",MATCH(CO60,INDIRECT("数出表_Excel!B"&amp;MATCH(INDIRECT(""&amp;CS57&amp;ROW()-43&amp;""),数出表_Excel!$A:$A,0)-1&amp;":U"&amp;MATCH(INDIRECT(""&amp;CS57&amp;ROW()-43&amp;""),数出表_Excel!$A:$A,0)-1&amp;""),0)+1,""),
IF(CO60&lt;&gt;"",
MATCH(
IFERROR(
INDEX(INDIRECT("数出表_Excel!"&amp;CN57&amp;MATCH(INDIRECT(""&amp;CS57&amp;ROW()-43&amp;""),数出表_Excel!$A:$A,0)-1&amp;":U"&amp;MATCH(INDIRECT(""&amp;CS57&amp;ROW()-43&amp;""),数出表_Excel!$A:$A,0)-1&amp;""),
 1,
 MATCH(TRUE, ISNUMBER(--INDIRECT("数出表_Excel!"&amp;CN57&amp;MATCH(INDIRECT(""&amp;CS57&amp;ROW()-43&amp;""),数出表_Excel!$A:$A,0)-1&amp;":U"&amp;MATCH(INDIRECT(""&amp;CS57&amp;ROW()-43&amp;""),数出表_Excel!$A:$A,0)-1&amp;"")), 0)),
 ""),
INDIRECT("数出表_Excel!B"&amp;MATCH(INDIRECT(""&amp;CS57&amp;ROW()-43&amp;""),数出表_Excel!$A:$A,0)-1&amp;":U"&amp;MATCH(INDIRECT(""&amp;CS57&amp;ROW()-43&amp;""),数出表_Excel!$A:$A,0)-1&amp;""),0)+1,""))</f>
        <v>#VALUE!</v>
      </c>
      <c r="CO58" s="58" t="str" cm="1">
        <f t="array" aca="1" ref="CO58" ca="1">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</f>
        <v/>
      </c>
      <c r="CP58" s="76"/>
      <c r="CQ58" s="82" t="str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83" t="str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92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76"/>
      <c r="CU58" s="81" t="e" cm="1">
        <f t="array" aca="1" ref="CU58" ca="1">IF(INDIRECT(""&amp;SUBSTITUTE(ADDRESS(1,
COLUMN(),1),"1","")&amp;ROW()-41&amp;"")&lt;&gt;100,
IF(CV60&lt;&gt;"",MATCH(CV60,INDIRECT("数出表_Excel!B"&amp;MATCH(INDIRECT(""&amp;CZ57&amp;ROW()-43&amp;""),数出表_Excel!$A:$A,0)-1&amp;":U"&amp;MATCH(INDIRECT(""&amp;CZ57&amp;ROW()-43&amp;""),数出表_Excel!$A:$A,0)-1&amp;""),0)+1,""),
IF(CV60&lt;&gt;"",
MATCH(
IFERROR(
INDEX(INDIRECT("数出表_Excel!"&amp;CU57&amp;MATCH(INDIRECT(""&amp;CZ57&amp;ROW()-43&amp;""),数出表_Excel!$A:$A,0)-1&amp;":U"&amp;MATCH(INDIRECT(""&amp;CZ57&amp;ROW()-43&amp;""),数出表_Excel!$A:$A,0)-1&amp;""),
 1,
 MATCH(TRUE, ISNUMBER(--INDIRECT("数出表_Excel!"&amp;CU57&amp;MATCH(INDIRECT(""&amp;CZ57&amp;ROW()-43&amp;""),数出表_Excel!$A:$A,0)-1&amp;":U"&amp;MATCH(INDIRECT(""&amp;CZ57&amp;ROW()-43&amp;""),数出表_Excel!$A:$A,0)-1&amp;"")), 0)),
 ""),
INDIRECT("数出表_Excel!B"&amp;MATCH(INDIRECT(""&amp;CZ57&amp;ROW()-43&amp;""),数出表_Excel!$A:$A,0)-1&amp;":U"&amp;MATCH(INDIRECT(""&amp;CZ57&amp;ROW()-43&amp;""),数出表_Excel!$A:$A,0)-1&amp;""),0)+1,""))</f>
        <v>#VALUE!</v>
      </c>
      <c r="CV58" s="58" t="str" cm="1">
        <f t="array" aca="1" ref="CV58" ca="1">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</f>
        <v/>
      </c>
      <c r="CW58" s="76"/>
      <c r="CX58" s="82" t="str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+MATCH(TRUE,INDIRECT("'数出表_Excel'!"&amp;CU57&amp;MATCH(CZ15,数出表_Excel!$A:$A,0)-1&amp;":AL"&amp;MATCH(CZ15,数出表_Excel!$A:$A,0)-1&amp;"")&lt;&gt;"",0))&gt;12,"",
IFERROR(
INDEX(INDIRECT("数出表_Excel!$"&amp;CU57&amp;"4:$AL4"),
 1,
MATCH(TRUE,INDIRECT("'数出表_Excel'!"&amp;CU57&amp;MATCH(CZ15,数出表_Excel!$A:$A,0)-1&amp;":AL"&amp;MATCH(CZ15,数出表_Excel!$A:$A,0)-1&amp;"")&lt;&gt;"",0)
),
 "")
&amp;IFERROR(
INDEX(INDIRECT("数出表_Excel!$"&amp;CU57&amp;"5:$AL5"),
 1,
MATCH(TRUE,INDIRECT("'数出表_Excel'!"&amp;CU57&amp;MATCH(CZ15,数出表_Excel!$A:$A,0)-1&amp;":AL"&amp;MATCH(CZ15,数出表_Excel!$A:$A,0)-1&amp;"")&lt;&gt;"",0)),
 "")),"")))</f>
        <v/>
      </c>
      <c r="CY58" s="83" t="str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92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76"/>
      <c r="DB58" s="76"/>
      <c r="DC58" s="81" t="e" cm="1">
        <f t="array" aca="1" ref="DC58" ca="1">IF(INDIRECT(""&amp;SUBSTITUTE(ADDRESS(1,
COLUMN(),1),"1","")&amp;ROW()-41&amp;"")&lt;&gt;100,
IF(DD60&lt;&gt;"",MATCH(DD60,INDIRECT("数出表_Excel!B"&amp;MATCH(INDIRECT(""&amp;DH57&amp;ROW()-43&amp;""),数出表_Excel!$A:$A,0)-1&amp;":U"&amp;MATCH(INDIRECT(""&amp;DH57&amp;ROW()-43&amp;""),数出表_Excel!$A:$A,0)-1&amp;""),0)+1,""),
IF(DD60&lt;&gt;"",
MATCH(
IFERROR(
INDEX(INDIRECT("数出表_Excel!"&amp;DC57&amp;MATCH(INDIRECT(""&amp;DH57&amp;ROW()-43&amp;""),数出表_Excel!$A:$A,0)-1&amp;":U"&amp;MATCH(INDIRECT(""&amp;DH57&amp;ROW()-43&amp;""),数出表_Excel!$A:$A,0)-1&amp;""),
 1,
 MATCH(TRUE, ISNUMBER(--INDIRECT("数出表_Excel!"&amp;DC57&amp;MATCH(INDIRECT(""&amp;DH57&amp;ROW()-43&amp;""),数出表_Excel!$A:$A,0)-1&amp;":U"&amp;MATCH(INDIRECT(""&amp;DH57&amp;ROW()-43&amp;""),数出表_Excel!$A:$A,0)-1&amp;"")), 0)),
 ""),
INDIRECT("数出表_Excel!B"&amp;MATCH(INDIRECT(""&amp;DH57&amp;ROW()-43&amp;""),数出表_Excel!$A:$A,0)-1&amp;":U"&amp;MATCH(INDIRECT(""&amp;DH57&amp;ROW()-43&amp;""),数出表_Excel!$A:$A,0)-1&amp;""),0)+1,""))</f>
        <v>#VALUE!</v>
      </c>
      <c r="DD58" s="58" t="str" cm="1">
        <f t="array" aca="1" ref="DD58" ca="1">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</f>
        <v/>
      </c>
      <c r="DE58" s="76"/>
      <c r="DF58" s="82" t="str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83" t="str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92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76"/>
      <c r="DJ58" s="81" t="e" cm="1">
        <f t="array" aca="1" ref="DJ58" ca="1">IF(INDIRECT(""&amp;SUBSTITUTE(ADDRESS(1,
COLUMN(),1),"1","")&amp;ROW()-41&amp;"")&lt;&gt;100,
IF(DK60&lt;&gt;"",MATCH(DK60,INDIRECT("数出表_Excel!B"&amp;MATCH(INDIRECT(""&amp;DO57&amp;ROW()-43&amp;""),数出表_Excel!$A:$A,0)-1&amp;":U"&amp;MATCH(INDIRECT(""&amp;DO57&amp;ROW()-43&amp;""),数出表_Excel!$A:$A,0)-1&amp;""),0)+1,""),
IF(DK60&lt;&gt;"",
MATCH(
IFERROR(
INDEX(INDIRECT("数出表_Excel!"&amp;DJ57&amp;MATCH(INDIRECT(""&amp;DO57&amp;ROW()-43&amp;""),数出表_Excel!$A:$A,0)-1&amp;":U"&amp;MATCH(INDIRECT(""&amp;DO57&amp;ROW()-43&amp;""),数出表_Excel!$A:$A,0)-1&amp;""),
 1,
 MATCH(TRUE, ISNUMBER(--INDIRECT("数出表_Excel!"&amp;DJ57&amp;MATCH(INDIRECT(""&amp;DO57&amp;ROW()-43&amp;""),数出表_Excel!$A:$A,0)-1&amp;":U"&amp;MATCH(INDIRECT(""&amp;DO57&amp;ROW()-43&amp;""),数出表_Excel!$A:$A,0)-1&amp;"")), 0)),
 ""),
INDIRECT("数出表_Excel!B"&amp;MATCH(INDIRECT(""&amp;DO57&amp;ROW()-43&amp;""),数出表_Excel!$A:$A,0)-1&amp;":U"&amp;MATCH(INDIRECT(""&amp;DO57&amp;ROW()-43&amp;""),数出表_Excel!$A:$A,0)-1&amp;""),0)+1,""))</f>
        <v>#VALUE!</v>
      </c>
      <c r="DK58" s="58" t="str" cm="1">
        <f t="array" aca="1" ref="DK58" ca="1">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</f>
        <v/>
      </c>
      <c r="DL58" s="76"/>
      <c r="DM58" s="82" t="str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+MATCH(TRUE,INDIRECT("'数出表_Excel'!"&amp;DJ57&amp;MATCH(DO15,数出表_Excel!$A:$A,0)-1&amp;":AL"&amp;MATCH(DO15,数出表_Excel!$A:$A,0)-1&amp;"")&lt;&gt;"",0))&gt;12,"",
IFERROR(
INDEX(INDIRECT("数出表_Excel!$"&amp;DJ57&amp;"4:$AL4"),
 1,
MATCH(TRUE,INDIRECT("'数出表_Excel'!"&amp;DJ57&amp;MATCH(DO15,数出表_Excel!$A:$A,0)-1&amp;":AL"&amp;MATCH(DO15,数出表_Excel!$A:$A,0)-1&amp;"")&lt;&gt;"",0)
),
 "")
&amp;IFERROR(
INDEX(INDIRECT("数出表_Excel!$"&amp;DJ57&amp;"5:$AL5"),
 1,
MATCH(TRUE,INDIRECT("'数出表_Excel'!"&amp;DJ57&amp;MATCH(DO15,数出表_Excel!$A:$A,0)-1&amp;":AL"&amp;MATCH(DO15,数出表_Excel!$A:$A,0)-1&amp;"")&lt;&gt;"",0)),
 "")),"")))</f>
        <v/>
      </c>
      <c r="DN58" s="83" t="str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92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76"/>
      <c r="DQ58" s="76"/>
      <c r="DR58" s="81" t="e" cm="1">
        <f t="array" aca="1" ref="DR58" ca="1">IF(INDIRECT(""&amp;SUBSTITUTE(ADDRESS(1,
COLUMN(),1),"1","")&amp;ROW()-41&amp;"")&lt;&gt;100,
IF(DS60&lt;&gt;"",MATCH(DS60,INDIRECT("数出表_Excel!B"&amp;MATCH(INDIRECT(""&amp;DW57&amp;ROW()-43&amp;""),数出表_Excel!$A:$A,0)-1&amp;":U"&amp;MATCH(INDIRECT(""&amp;DW57&amp;ROW()-43&amp;""),数出表_Excel!$A:$A,0)-1&amp;""),0)+1,""),
IF(DS60&lt;&gt;"",
MATCH(
IFERROR(
INDEX(INDIRECT("数出表_Excel!"&amp;DR57&amp;MATCH(INDIRECT(""&amp;DW57&amp;ROW()-43&amp;""),数出表_Excel!$A:$A,0)-1&amp;":U"&amp;MATCH(INDIRECT(""&amp;DW57&amp;ROW()-43&amp;""),数出表_Excel!$A:$A,0)-1&amp;""),
 1,
 MATCH(TRUE, ISNUMBER(--INDIRECT("数出表_Excel!"&amp;DR57&amp;MATCH(INDIRECT(""&amp;DW57&amp;ROW()-43&amp;""),数出表_Excel!$A:$A,0)-1&amp;":U"&amp;MATCH(INDIRECT(""&amp;DW57&amp;ROW()-43&amp;""),数出表_Excel!$A:$A,0)-1&amp;"")), 0)),
 ""),
INDIRECT("数出表_Excel!B"&amp;MATCH(INDIRECT(""&amp;DW57&amp;ROW()-43&amp;""),数出表_Excel!$A:$A,0)-1&amp;":U"&amp;MATCH(INDIRECT(""&amp;DW57&amp;ROW()-43&amp;""),数出表_Excel!$A:$A,0)-1&amp;""),0)+1,""))</f>
        <v>#VALUE!</v>
      </c>
      <c r="DS58" s="58" t="str" cm="1">
        <f t="array" aca="1" ref="DS58" ca="1">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</f>
        <v/>
      </c>
      <c r="DT58" s="76"/>
      <c r="DU58" s="82" t="str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83" t="str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92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76"/>
      <c r="DY58" s="81" t="e" cm="1">
        <f t="array" aca="1" ref="DY58" ca="1">IF(INDIRECT(""&amp;SUBSTITUTE(ADDRESS(1,
COLUMN(),1),"1","")&amp;ROW()-41&amp;"")&lt;&gt;100,
IF(DZ60&lt;&gt;"",MATCH(DZ60,INDIRECT("数出表_Excel!B"&amp;MATCH(INDIRECT(""&amp;ED57&amp;ROW()-43&amp;""),数出表_Excel!$A:$A,0)-1&amp;":U"&amp;MATCH(INDIRECT(""&amp;ED57&amp;ROW()-43&amp;""),数出表_Excel!$A:$A,0)-1&amp;""),0)+1,""),
IF(DZ60&lt;&gt;"",
MATCH(
IFERROR(
INDEX(INDIRECT("数出表_Excel!"&amp;DY57&amp;MATCH(INDIRECT(""&amp;ED57&amp;ROW()-43&amp;""),数出表_Excel!$A:$A,0)-1&amp;":U"&amp;MATCH(INDIRECT(""&amp;ED57&amp;ROW()-43&amp;""),数出表_Excel!$A:$A,0)-1&amp;""),
 1,
 MATCH(TRUE, ISNUMBER(--INDIRECT("数出表_Excel!"&amp;DY57&amp;MATCH(INDIRECT(""&amp;ED57&amp;ROW()-43&amp;""),数出表_Excel!$A:$A,0)-1&amp;":U"&amp;MATCH(INDIRECT(""&amp;ED57&amp;ROW()-43&amp;""),数出表_Excel!$A:$A,0)-1&amp;"")), 0)),
 ""),
INDIRECT("数出表_Excel!B"&amp;MATCH(INDIRECT(""&amp;ED57&amp;ROW()-43&amp;""),数出表_Excel!$A:$A,0)-1&amp;":U"&amp;MATCH(INDIRECT(""&amp;ED57&amp;ROW()-43&amp;""),数出表_Excel!$A:$A,0)-1&amp;""),0)+1,""))</f>
        <v>#VALUE!</v>
      </c>
      <c r="DZ58" s="58" t="str" cm="1">
        <f t="array" aca="1" ref="DZ58" ca="1">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</f>
        <v/>
      </c>
      <c r="EA58" s="76"/>
      <c r="EB58" s="82" t="str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+MATCH(TRUE,INDIRECT("'数出表_Excel'!"&amp;DY57&amp;MATCH(ED15,数出表_Excel!$A:$A,0)-1&amp;":AL"&amp;MATCH(ED15,数出表_Excel!$A:$A,0)-1&amp;"")&lt;&gt;"",0))&gt;12,"",
IFERROR(
INDEX(INDIRECT("数出表_Excel!$"&amp;DY57&amp;"4:$AL4"),
 1,
MATCH(TRUE,INDIRECT("'数出表_Excel'!"&amp;DY57&amp;MATCH(ED15,数出表_Excel!$A:$A,0)-1&amp;":AL"&amp;MATCH(ED15,数出表_Excel!$A:$A,0)-1&amp;"")&lt;&gt;"",0)
),
 "")
&amp;IFERROR(
INDEX(INDIRECT("数出表_Excel!$"&amp;DY57&amp;"5:$AL5"),
 1,
MATCH(TRUE,INDIRECT("'数出表_Excel'!"&amp;DY57&amp;MATCH(ED15,数出表_Excel!$A:$A,0)-1&amp;":AL"&amp;MATCH(ED15,数出表_Excel!$A:$A,0)-1&amp;"")&lt;&gt;"",0)),
 "")),"")))</f>
        <v/>
      </c>
      <c r="EC58" s="83" t="str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92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76"/>
      <c r="EF58" s="76"/>
      <c r="EG58" s="81" t="e" cm="1">
        <f t="array" aca="1" ref="EG58" ca="1">IF(INDIRECT(""&amp;SUBSTITUTE(ADDRESS(1,
COLUMN(),1),"1","")&amp;ROW()-41&amp;"")&lt;&gt;100,
IF(EH60&lt;&gt;"",MATCH(EH60,INDIRECT("数出表_Excel!B"&amp;MATCH(INDIRECT(""&amp;EL57&amp;ROW()-43&amp;""),数出表_Excel!$A:$A,0)-1&amp;":U"&amp;MATCH(INDIRECT(""&amp;EL57&amp;ROW()-43&amp;""),数出表_Excel!$A:$A,0)-1&amp;""),0)+1,""),
IF(EH60&lt;&gt;"",
MATCH(
IFERROR(
INDEX(INDIRECT("数出表_Excel!"&amp;EG57&amp;MATCH(INDIRECT(""&amp;EL57&amp;ROW()-43&amp;""),数出表_Excel!$A:$A,0)-1&amp;":U"&amp;MATCH(INDIRECT(""&amp;EL57&amp;ROW()-43&amp;""),数出表_Excel!$A:$A,0)-1&amp;""),
 1,
 MATCH(TRUE, ISNUMBER(--INDIRECT("数出表_Excel!"&amp;EG57&amp;MATCH(INDIRECT(""&amp;EL57&amp;ROW()-43&amp;""),数出表_Excel!$A:$A,0)-1&amp;":U"&amp;MATCH(INDIRECT(""&amp;EL57&amp;ROW()-43&amp;""),数出表_Excel!$A:$A,0)-1&amp;"")), 0)),
 ""),
INDIRECT("数出表_Excel!B"&amp;MATCH(INDIRECT(""&amp;EL57&amp;ROW()-43&amp;""),数出表_Excel!$A:$A,0)-1&amp;":U"&amp;MATCH(INDIRECT(""&amp;EL57&amp;ROW()-43&amp;""),数出表_Excel!$A:$A,0)-1&amp;""),0)+1,""))</f>
        <v>#VALUE!</v>
      </c>
      <c r="EH58" s="58" t="str" cm="1">
        <f t="array" aca="1" ref="EH58" ca="1">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</f>
        <v/>
      </c>
      <c r="EI58" s="76"/>
      <c r="EJ58" s="82" t="str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83" t="str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92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76"/>
      <c r="EN58" s="81" t="e" cm="1">
        <f t="array" aca="1" ref="EN58" ca="1">IF(INDIRECT(""&amp;SUBSTITUTE(ADDRESS(1,
COLUMN(),1),"1","")&amp;ROW()-41&amp;"")&lt;&gt;100,
IF(EO60&lt;&gt;"",MATCH(EO60,INDIRECT("数出表_Excel!B"&amp;MATCH(INDIRECT(""&amp;ES57&amp;ROW()-43&amp;""),数出表_Excel!$A:$A,0)-1&amp;":U"&amp;MATCH(INDIRECT(""&amp;ES57&amp;ROW()-43&amp;""),数出表_Excel!$A:$A,0)-1&amp;""),0)+1,""),
IF(EO60&lt;&gt;"",
MATCH(
IFERROR(
INDEX(INDIRECT("数出表_Excel!"&amp;EN57&amp;MATCH(INDIRECT(""&amp;ES57&amp;ROW()-43&amp;""),数出表_Excel!$A:$A,0)-1&amp;":U"&amp;MATCH(INDIRECT(""&amp;ES57&amp;ROW()-43&amp;""),数出表_Excel!$A:$A,0)-1&amp;""),
 1,
 MATCH(TRUE, ISNUMBER(--INDIRECT("数出表_Excel!"&amp;EN57&amp;MATCH(INDIRECT(""&amp;ES57&amp;ROW()-43&amp;""),数出表_Excel!$A:$A,0)-1&amp;":U"&amp;MATCH(INDIRECT(""&amp;ES57&amp;ROW()-43&amp;""),数出表_Excel!$A:$A,0)-1&amp;"")), 0)),
 ""),
INDIRECT("数出表_Excel!B"&amp;MATCH(INDIRECT(""&amp;ES57&amp;ROW()-43&amp;""),数出表_Excel!$A:$A,0)-1&amp;":U"&amp;MATCH(INDIRECT(""&amp;ES57&amp;ROW()-43&amp;""),数出表_Excel!$A:$A,0)-1&amp;""),0)+1,""))</f>
        <v>#VALUE!</v>
      </c>
      <c r="EO58" s="58" t="str" cm="1">
        <f t="array" aca="1" ref="EO58" ca="1">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</f>
        <v/>
      </c>
      <c r="EP58" s="76"/>
      <c r="EQ58" s="82" t="str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+MATCH(TRUE,INDIRECT("'数出表_Excel'!"&amp;EN57&amp;MATCH(ES15,数出表_Excel!$A:$A,0)-1&amp;":AL"&amp;MATCH(ES15,数出表_Excel!$A:$A,0)-1&amp;"")&lt;&gt;"",0))&gt;12,"",
IFERROR(
INDEX(INDIRECT("数出表_Excel!$"&amp;EN57&amp;"4:$AL4"),
 1,
MATCH(TRUE,INDIRECT("'数出表_Excel'!"&amp;EN57&amp;MATCH(ES15,数出表_Excel!$A:$A,0)-1&amp;":AL"&amp;MATCH(ES15,数出表_Excel!$A:$A,0)-1&amp;"")&lt;&gt;"",0)
),
 "")
&amp;IFERROR(
INDEX(INDIRECT("数出表_Excel!$"&amp;EN57&amp;"5:$AL5"),
 1,
MATCH(TRUE,INDIRECT("'数出表_Excel'!"&amp;EN57&amp;MATCH(ES15,数出表_Excel!$A:$A,0)-1&amp;":AL"&amp;MATCH(ES15,数出表_Excel!$A:$A,0)-1&amp;"")&lt;&gt;"",0)),
 "")),"")))</f>
        <v/>
      </c>
      <c r="ER58" s="83" t="str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92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07"/>
      <c r="EU58" s="87">
        <f t="shared" si="4"/>
        <v>21</v>
      </c>
      <c r="EV58" s="78" t="str">
        <f t="array" aca="1" ref="EV58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LEN(SUBSTITUTE(_xlfn.FORMULATEXT(EV$40),"=","")))+$EU58)</f>
        <v/>
      </c>
      <c r="EW58" s="78" t="str">
        <f t="array" aca="1" ref="EW58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LEN(SUBSTITUTE(_xlfn.FORMULATEXT(EW$40),"=","")))+$EU58)</f>
        <v/>
      </c>
      <c r="EX58" s="78" t="str">
        <f t="array" aca="1" ref="EX58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LEN(SUBSTITUTE(_xlfn.FORMULATEXT(EX$40),"=","")))+$EU58)</f>
        <v/>
      </c>
      <c r="EY58" s="78" t="str">
        <f t="array" aca="1" ref="EY58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LEN(SUBSTITUTE(_xlfn.FORMULATEXT(EY$40),"=","")))+$EU58)</f>
        <v/>
      </c>
      <c r="EZ58" s="78" t="str">
        <f t="array" aca="1" ref="EZ58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LEN(SUBSTITUTE(_xlfn.FORMULATEXT(EZ$40),"=","")))+$EU58)</f>
        <v/>
      </c>
      <c r="FA58" s="78" t="e">
        <f t="array" aca="1" ref="FA58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LEN(SUBSTITUTE(_xlfn.FORMULATEXT(FA$40),"=","")))+$EU58)</f>
        <v>#VALUE!</v>
      </c>
      <c r="FB58" s="78" t="e">
        <f t="array" aca="1" ref="FB58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LEN(SUBSTITUTE(_xlfn.FORMULATEXT(FB$40),"=","")))+$EU58)</f>
        <v>#VALUE!</v>
      </c>
      <c r="FC58" s="78" t="str">
        <f t="array" aca="1" ref="FC58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LEN(SUBSTITUTE(_xlfn.FORMULATEXT(FC$40),"=","")))+$EU58)</f>
        <v/>
      </c>
      <c r="FD58" s="78" t="e">
        <f t="array" aca="1" ref="FD58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LEN(SUBSTITUTE(_xlfn.FORMULATEXT(FD$40),"=","")))+$EU58)</f>
        <v>#VALUE!</v>
      </c>
      <c r="FE58" s="78" t="str">
        <f t="array" aca="1" ref="FE58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LEN(SUBSTITUTE(_xlfn.FORMULATEXT(FE$40),"=","")))+$EU58)</f>
        <v/>
      </c>
      <c r="FF58" s="78" t="e">
        <f t="array" aca="1" ref="FF58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LEN(SUBSTITUTE(_xlfn.FORMULATEXT(FF$40),"=","")))+$EU58)</f>
        <v>#VALUE!</v>
      </c>
      <c r="FG58" s="78">
        <f t="shared" ca="1" si="6"/>
        <v>0</v>
      </c>
      <c r="FH58" s="78" t="e">
        <f t="array" aca="1" ref="FH58" ca="1">SUMPRODUCT((LEN(EV58:FF58)&gt;0)*1)&gt;0</f>
        <v>#VALUE!</v>
      </c>
      <c r="FI58" s="78" t="str">
        <f t="array" aca="1" ref="FI58" ca="1">IFERROR(SMALL(IF(FG$1:FG$228&lt;&gt;0,FG$1:FG$228),ROW(A58)),"")</f>
        <v/>
      </c>
      <c r="FJ58" s="78" t="str">
        <f t="array" aca="1" ref="FJ58" ca="1">IF($FI58&lt;&gt;"",
INDIRECT(""&amp;IF(COLUMN(EV86)&lt;=26,CHAR(COLUMN(EV86)+64),CHAR(INT((COLUMN(EV86)-1)/26)+64)&amp;CHAR(MOD(COLUMN(EV86)-1,26)+65))&amp;$FI58&amp;""),"")</f>
        <v/>
      </c>
      <c r="FK58" s="78" t="str">
        <f t="array" aca="1" ref="FK58" ca="1">IF($FI58&lt;&gt;"",
INDIRECT(""&amp;IF(COLUMN(EW86)&lt;=26,CHAR(COLUMN(EW86)+64),CHAR(INT((COLUMN(EW86)-1)/26)+64)&amp;CHAR(MOD(COLUMN(EW86)-1,26)+65))&amp;$FI58&amp;""),"")</f>
        <v/>
      </c>
      <c r="FL58" s="78" t="str">
        <f t="array" aca="1" ref="FL58" ca="1">IF($FI58&lt;&gt;"",
INDIRECT(""&amp;IF(COLUMN(EX86)&lt;=26,CHAR(COLUMN(EX86)+64),CHAR(INT((COLUMN(EX86)-1)/26)+64)&amp;CHAR(MOD(COLUMN(EX86)-1,26)+65))&amp;$FI58&amp;""),"")</f>
        <v/>
      </c>
      <c r="FM58" s="78" t="str">
        <f t="array" aca="1" ref="FM58" ca="1">IF($FI58&lt;&gt;"",
IF(FL58="",
IF(INDIRECT("EY"&amp;$FI58&amp;"")&lt;&gt;"",
INDIRECT("EY"&amp;$FI58&amp;"")&amp;"箱"
&amp;INDIRECT("EZ"&amp;$FI58&amp;""),""),""),"")</f>
        <v/>
      </c>
      <c r="FN58" s="78" t="str">
        <f t="array" aca="1" ref="FN58" ca="1">IF($FI58&lt;&gt;"",
INDIRECT(""&amp;IF(COLUMN(FA86)&lt;=26,CHAR(COLUMN(FA86)+64),CHAR(INT((COLUMN(FA86)-1)/26)+64)&amp;CHAR(MOD(COLUMN(FA86)-1,26)+65))&amp;$FI58&amp;""),"")</f>
        <v/>
      </c>
      <c r="FO58" s="78" t="str">
        <f t="array" aca="1" ref="FO58" ca="1">IF($FI58&lt;&gt;"",
INDIRECT(""&amp;IF(COLUMN(FB86)&lt;=26,CHAR(COLUMN(FB86)+64),CHAR(INT((COLUMN(FB86)-1)/26)+64)&amp;CHAR(MOD(COLUMN(FB86)-1,26)+65))&amp;$FI58&amp;""),"")</f>
        <v/>
      </c>
      <c r="FP58" s="78" t="str">
        <f t="array" aca="1" ref="FP58" ca="1">IF($FI58&lt;&gt;"",
INDIRECT(""&amp;IF(COLUMN(FC86)&lt;=26,CHAR(COLUMN(FC86)+64),CHAR(INT((COLUMN(FC86)-1)/26)+64)&amp;CHAR(MOD(COLUMN(FC86)-1,26)+65))&amp;$FI58&amp;""),"")</f>
        <v/>
      </c>
      <c r="FQ58" s="78" t="str">
        <f t="array" aca="1" ref="FQ58" ca="1">IF($FI58&lt;&gt;"",
INDIRECT(""&amp;IF(COLUMN(FD86)&lt;=26,CHAR(COLUMN(FD86)+64),CHAR(INT((COLUMN(FD86)-1)/26)+64)&amp;CHAR(MOD(COLUMN(FD86)-1,26)+65))&amp;$FI58&amp;""),"")</f>
        <v/>
      </c>
      <c r="FR58" s="78" t="str">
        <f t="array" aca="1" ref="FR58" ca="1">IF($FI58&lt;&gt;"",
INDIRECT(""&amp;IF(COLUMN(FE86)&lt;=26,CHAR(COLUMN(FE86)+64),CHAR(INT((COLUMN(FE86)-1)/26)+64)&amp;CHAR(MOD(COLUMN(FE86)-1,26)+65))&amp;$FI58&amp;""),"")</f>
        <v/>
      </c>
      <c r="FS58" s="78" t="str">
        <f t="array" aca="1" ref="FS58" ca="1">IF($FI58&lt;&gt;"",
INDIRECT(""&amp;IF(COLUMN(FF86)&lt;=26,CHAR(COLUMN(FF86)+64),CHAR(INT((COLUMN(FF86)-1)/26)+64)&amp;CHAR(MOD(COLUMN(FF86)-1,26)+65))&amp;$FI58&amp;""),"")</f>
        <v/>
      </c>
    </row>
    <row r="59" spans="1:175" s="78" customFormat="1" ht="22.2" customHeight="1" x14ac:dyDescent="0.55000000000000004">
      <c r="A59" s="76"/>
      <c r="B59" s="84" t="str" cm="1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249" t="str">
        <f ca="1">IF(C60&lt;&gt;"","園児","")</f>
        <v/>
      </c>
      <c r="D59" s="249"/>
      <c r="E59" s="251" t="str">
        <f ca="1">IF(C60&lt;&gt;"","先生","")</f>
        <v/>
      </c>
      <c r="F59" s="251"/>
      <c r="G59" s="97" cm="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76"/>
      <c r="I59" s="84" t="str" cm="1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249" t="str">
        <f ca="1">IF(J60&lt;&gt;"","園児","")</f>
        <v/>
      </c>
      <c r="K59" s="249"/>
      <c r="L59" s="251" t="str">
        <f ca="1">IF(J60&lt;&gt;"","先生","")</f>
        <v/>
      </c>
      <c r="M59" s="251"/>
      <c r="N59" s="97" cm="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76"/>
      <c r="P59" s="76"/>
      <c r="Q59" s="84" t="str" cm="1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249" t="str">
        <f ca="1">IF(R60&lt;&gt;"","園児","")</f>
        <v/>
      </c>
      <c r="S59" s="249"/>
      <c r="T59" s="251" t="str">
        <f ca="1">IF(R60&lt;&gt;"","先生","")</f>
        <v/>
      </c>
      <c r="U59" s="251"/>
      <c r="V59" s="97" cm="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76"/>
      <c r="X59" s="84" t="str" cm="1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249" t="str">
        <f ca="1">IF(Y60&lt;&gt;"","園児","")</f>
        <v/>
      </c>
      <c r="Z59" s="249"/>
      <c r="AA59" s="251" t="str">
        <f ca="1">IF(Y60&lt;&gt;"","先生","")</f>
        <v/>
      </c>
      <c r="AB59" s="251"/>
      <c r="AC59" s="97" cm="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76"/>
      <c r="AE59" s="76"/>
      <c r="AF59" s="84" t="str" cm="1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249" t="str">
        <f ca="1">IF(AG60&lt;&gt;"","園児","")</f>
        <v/>
      </c>
      <c r="AH59" s="249"/>
      <c r="AI59" s="251" t="str">
        <f ca="1">IF(AG60&lt;&gt;"","先生","")</f>
        <v/>
      </c>
      <c r="AJ59" s="251"/>
      <c r="AK59" s="97" cm="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76"/>
      <c r="AM59" s="84" t="str" cm="1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249" t="str">
        <f ca="1">IF(AN60&lt;&gt;"","園児","")</f>
        <v/>
      </c>
      <c r="AO59" s="249"/>
      <c r="AP59" s="251" t="str">
        <f ca="1">IF(AN60&lt;&gt;"","先生","")</f>
        <v/>
      </c>
      <c r="AQ59" s="251"/>
      <c r="AR59" s="97" cm="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76"/>
      <c r="AT59" s="76"/>
      <c r="AU59" s="84" t="str" cm="1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249" t="str">
        <f ca="1">IF(AV60&lt;&gt;"","園児","")</f>
        <v/>
      </c>
      <c r="AW59" s="249"/>
      <c r="AX59" s="251" t="str">
        <f ca="1">IF(AV60&lt;&gt;"","先生","")</f>
        <v/>
      </c>
      <c r="AY59" s="251"/>
      <c r="AZ59" s="97" cm="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76"/>
      <c r="BB59" s="84" t="str" cm="1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249" t="str">
        <f ca="1">IF(BC60&lt;&gt;"","園児","")</f>
        <v/>
      </c>
      <c r="BD59" s="249"/>
      <c r="BE59" s="251" t="str">
        <f ca="1">IF(BC60&lt;&gt;"","先生","")</f>
        <v/>
      </c>
      <c r="BF59" s="251"/>
      <c r="BG59" s="97" cm="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76"/>
      <c r="BI59" s="76"/>
      <c r="BJ59" s="84" t="str" cm="1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249" t="str">
        <f ca="1">IF(BK60&lt;&gt;"","園児","")</f>
        <v/>
      </c>
      <c r="BL59" s="249"/>
      <c r="BM59" s="251" t="str">
        <f ca="1">IF(BK60&lt;&gt;"","先生","")</f>
        <v/>
      </c>
      <c r="BN59" s="251"/>
      <c r="BO59" s="97" cm="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76"/>
      <c r="BQ59" s="84" t="str" cm="1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249" t="str">
        <f ca="1">IF(BR60&lt;&gt;"","園児","")</f>
        <v/>
      </c>
      <c r="BS59" s="249"/>
      <c r="BT59" s="251" t="str">
        <f ca="1">IF(BR60&lt;&gt;"","先生","")</f>
        <v/>
      </c>
      <c r="BU59" s="251"/>
      <c r="BV59" s="97" cm="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76"/>
      <c r="BX59" s="76"/>
      <c r="BY59" s="84" t="str" cm="1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249" t="str">
        <f ca="1">IF(BZ60&lt;&gt;"","園児","")</f>
        <v/>
      </c>
      <c r="CA59" s="249"/>
      <c r="CB59" s="251" t="str">
        <f ca="1">IF(BZ60&lt;&gt;"","先生","")</f>
        <v/>
      </c>
      <c r="CC59" s="251"/>
      <c r="CD59" s="97" cm="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76"/>
      <c r="CF59" s="84" t="str" cm="1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249" t="str">
        <f ca="1">IF(CG60&lt;&gt;"","園児","")</f>
        <v/>
      </c>
      <c r="CH59" s="249"/>
      <c r="CI59" s="251" t="str">
        <f ca="1">IF(CG60&lt;&gt;"","先生","")</f>
        <v/>
      </c>
      <c r="CJ59" s="251"/>
      <c r="CK59" s="97" cm="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76"/>
      <c r="CM59" s="76"/>
      <c r="CN59" s="84" t="str" cm="1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249" t="str">
        <f ca="1">IF(CO60&lt;&gt;"","園児","")</f>
        <v/>
      </c>
      <c r="CP59" s="249"/>
      <c r="CQ59" s="251" t="str">
        <f ca="1">IF(CO60&lt;&gt;"","先生","")</f>
        <v/>
      </c>
      <c r="CR59" s="251"/>
      <c r="CS59" s="97" cm="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76"/>
      <c r="CU59" s="84" t="str" cm="1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249" t="str">
        <f ca="1">IF(CV60&lt;&gt;"","園児","")</f>
        <v/>
      </c>
      <c r="CW59" s="249"/>
      <c r="CX59" s="251" t="str">
        <f ca="1">IF(CV60&lt;&gt;"","先生","")</f>
        <v/>
      </c>
      <c r="CY59" s="251"/>
      <c r="CZ59" s="97" cm="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76"/>
      <c r="DB59" s="76"/>
      <c r="DC59" s="84" t="str" cm="1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249" t="str">
        <f ca="1">IF(DD60&lt;&gt;"","園児","")</f>
        <v/>
      </c>
      <c r="DE59" s="249"/>
      <c r="DF59" s="251" t="str">
        <f ca="1">IF(DD60&lt;&gt;"","先生","")</f>
        <v/>
      </c>
      <c r="DG59" s="251"/>
      <c r="DH59" s="97" cm="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76"/>
      <c r="DJ59" s="84" t="str" cm="1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249" t="str">
        <f ca="1">IF(DK60&lt;&gt;"","園児","")</f>
        <v/>
      </c>
      <c r="DL59" s="249"/>
      <c r="DM59" s="251" t="str">
        <f ca="1">IF(DK60&lt;&gt;"","先生","")</f>
        <v/>
      </c>
      <c r="DN59" s="251"/>
      <c r="DO59" s="97" cm="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76"/>
      <c r="DQ59" s="76"/>
      <c r="DR59" s="84" t="str" cm="1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249" t="str">
        <f ca="1">IF(DS60&lt;&gt;"","園児","")</f>
        <v/>
      </c>
      <c r="DT59" s="249"/>
      <c r="DU59" s="251" t="str">
        <f ca="1">IF(DS60&lt;&gt;"","先生","")</f>
        <v/>
      </c>
      <c r="DV59" s="251"/>
      <c r="DW59" s="97" cm="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76"/>
      <c r="DY59" s="84" t="str" cm="1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249" t="str">
        <f ca="1">IF(DZ60&lt;&gt;"","園児","")</f>
        <v/>
      </c>
      <c r="EA59" s="249"/>
      <c r="EB59" s="251" t="str">
        <f ca="1">IF(DZ60&lt;&gt;"","先生","")</f>
        <v/>
      </c>
      <c r="EC59" s="251"/>
      <c r="ED59" s="97" cm="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76"/>
      <c r="EF59" s="76"/>
      <c r="EG59" s="84" t="str" cm="1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249" t="str">
        <f ca="1">IF(EH60&lt;&gt;"","園児","")</f>
        <v/>
      </c>
      <c r="EI59" s="249"/>
      <c r="EJ59" s="251" t="str">
        <f ca="1">IF(EH60&lt;&gt;"","先生","")</f>
        <v/>
      </c>
      <c r="EK59" s="251"/>
      <c r="EL59" s="97" cm="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76"/>
      <c r="EN59" s="84" t="str" cm="1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249" t="str">
        <f ca="1">IF(EO60&lt;&gt;"","園児","")</f>
        <v/>
      </c>
      <c r="EP59" s="249"/>
      <c r="EQ59" s="251" t="str">
        <f ca="1">IF(EO60&lt;&gt;"","先生","")</f>
        <v/>
      </c>
      <c r="ER59" s="251"/>
      <c r="ES59" s="97" cm="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06"/>
      <c r="EU59" s="78">
        <f t="shared" si="4"/>
        <v>63</v>
      </c>
      <c r="EV59" s="78" t="str">
        <f t="array" aca="1" ref="EV59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LEN(SUBSTITUTE(_xlfn.FORMULATEXT(EV$40),"=","")))+$EU59)</f>
        <v/>
      </c>
      <c r="EW59" s="78" t="str">
        <f t="array" aca="1" ref="EW59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LEN(SUBSTITUTE(_xlfn.FORMULATEXT(EW$40),"=","")))+$EU59)</f>
        <v/>
      </c>
      <c r="EX59" s="78" t="str">
        <f t="array" aca="1" ref="EX59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LEN(SUBSTITUTE(_xlfn.FORMULATEXT(EX$40),"=","")))+$EU59)</f>
        <v/>
      </c>
      <c r="EY59" s="78" t="str">
        <f t="array" aca="1" ref="EY59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LEN(SUBSTITUTE(_xlfn.FORMULATEXT(EY$40),"=","")))+$EU59)</f>
        <v/>
      </c>
      <c r="EZ59" s="78" t="str">
        <f t="array" aca="1" ref="EZ59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LEN(SUBSTITUTE(_xlfn.FORMULATEXT(EZ$40),"=","")))+$EU59)</f>
        <v/>
      </c>
      <c r="FA59" s="78" t="str">
        <f t="array" aca="1" ref="FA59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LEN(SUBSTITUTE(_xlfn.FORMULATEXT(FA$40),"=","")))+$EU59)</f>
        <v/>
      </c>
      <c r="FB59" s="78" t="str">
        <f t="array" aca="1" ref="FB59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LEN(SUBSTITUTE(_xlfn.FORMULATEXT(FB$40),"=","")))+$EU59)</f>
        <v/>
      </c>
      <c r="FC59" s="78" t="str">
        <f t="array" aca="1" ref="FC59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LEN(SUBSTITUTE(_xlfn.FORMULATEXT(FC$40),"=","")))+$EU59)</f>
        <v/>
      </c>
      <c r="FD59" s="78" t="str">
        <f t="array" aca="1" ref="FD59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LEN(SUBSTITUTE(_xlfn.FORMULATEXT(FD$40),"=","")))+$EU59)</f>
        <v/>
      </c>
      <c r="FE59" s="78" t="str">
        <f t="array" aca="1" ref="FE59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LEN(SUBSTITUTE(_xlfn.FORMULATEXT(FE$40),"=","")))+$EU59)</f>
        <v/>
      </c>
      <c r="FF59" s="78" t="str">
        <f t="array" aca="1" ref="FF59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LEN(SUBSTITUTE(_xlfn.FORMULATEXT(FF$40),"=","")))+$EU59)</f>
        <v/>
      </c>
      <c r="FG59" s="78">
        <f t="shared" ca="1" si="6"/>
        <v>0</v>
      </c>
      <c r="FH59" s="78" t="b">
        <f t="array" aca="1" ref="FH59" ca="1">SUMPRODUCT((LEN(EV59:FF59)&gt;0)*1)&gt;0</f>
        <v>0</v>
      </c>
      <c r="FI59" s="78" t="str">
        <f t="array" aca="1" ref="FI59" ca="1">IFERROR(SMALL(IF(FG$1:FG$228&lt;&gt;0,FG$1:FG$228),ROW(A59)),"")</f>
        <v/>
      </c>
      <c r="FJ59" s="78" t="str">
        <f t="array" aca="1" ref="FJ59" ca="1">IF($FI59&lt;&gt;"",
INDIRECT(""&amp;IF(COLUMN(EV88)&lt;=26,CHAR(COLUMN(EV88)+64),CHAR(INT((COLUMN(EV88)-1)/26)+64)&amp;CHAR(MOD(COLUMN(EV88)-1,26)+65))&amp;$FI59&amp;""),"")</f>
        <v/>
      </c>
      <c r="FK59" s="78" t="str">
        <f t="array" aca="1" ref="FK59" ca="1">IF($FI59&lt;&gt;"",
INDIRECT(""&amp;IF(COLUMN(EW88)&lt;=26,CHAR(COLUMN(EW88)+64),CHAR(INT((COLUMN(EW88)-1)/26)+64)&amp;CHAR(MOD(COLUMN(EW88)-1,26)+65))&amp;$FI59&amp;""),"")</f>
        <v/>
      </c>
      <c r="FL59" s="78" t="str">
        <f t="array" aca="1" ref="FL59" ca="1">IF($FI59&lt;&gt;"",
INDIRECT(""&amp;IF(COLUMN(EX88)&lt;=26,CHAR(COLUMN(EX88)+64),CHAR(INT((COLUMN(EX88)-1)/26)+64)&amp;CHAR(MOD(COLUMN(EX88)-1,26)+65))&amp;$FI59&amp;""),"")</f>
        <v/>
      </c>
      <c r="FM59" s="78" t="str">
        <f t="array" aca="1" ref="FM59" ca="1">IF($FI59&lt;&gt;"",
IF(FL59="",
IF(INDIRECT("EY"&amp;$FI59&amp;"")&lt;&gt;"",
INDIRECT("EY"&amp;$FI59&amp;"")&amp;"箱"
&amp;INDIRECT("EZ"&amp;$FI59&amp;""),""),""),"")</f>
        <v/>
      </c>
      <c r="FN59" s="78" t="str">
        <f t="array" aca="1" ref="FN59" ca="1">IF($FI59&lt;&gt;"",
INDIRECT(""&amp;IF(COLUMN(FA88)&lt;=26,CHAR(COLUMN(FA88)+64),CHAR(INT((COLUMN(FA88)-1)/26)+64)&amp;CHAR(MOD(COLUMN(FA88)-1,26)+65))&amp;$FI59&amp;""),"")</f>
        <v/>
      </c>
      <c r="FO59" s="78" t="str">
        <f t="array" aca="1" ref="FO59" ca="1">IF($FI59&lt;&gt;"",
INDIRECT(""&amp;IF(COLUMN(FB88)&lt;=26,CHAR(COLUMN(FB88)+64),CHAR(INT((COLUMN(FB88)-1)/26)+64)&amp;CHAR(MOD(COLUMN(FB88)-1,26)+65))&amp;$FI59&amp;""),"")</f>
        <v/>
      </c>
      <c r="FP59" s="78" t="str">
        <f t="array" aca="1" ref="FP59" ca="1">IF($FI59&lt;&gt;"",
INDIRECT(""&amp;IF(COLUMN(FC88)&lt;=26,CHAR(COLUMN(FC88)+64),CHAR(INT((COLUMN(FC88)-1)/26)+64)&amp;CHAR(MOD(COLUMN(FC88)-1,26)+65))&amp;$FI59&amp;""),"")</f>
        <v/>
      </c>
      <c r="FQ59" s="78" t="str">
        <f t="array" aca="1" ref="FQ59" ca="1">IF($FI59&lt;&gt;"",
INDIRECT(""&amp;IF(COLUMN(FD88)&lt;=26,CHAR(COLUMN(FD88)+64),CHAR(INT((COLUMN(FD88)-1)/26)+64)&amp;CHAR(MOD(COLUMN(FD88)-1,26)+65))&amp;$FI59&amp;""),"")</f>
        <v/>
      </c>
      <c r="FR59" s="78" t="str">
        <f t="array" aca="1" ref="FR59" ca="1">IF($FI59&lt;&gt;"",
INDIRECT(""&amp;IF(COLUMN(FE88)&lt;=26,CHAR(COLUMN(FE88)+64),CHAR(INT((COLUMN(FE88)-1)/26)+64)&amp;CHAR(MOD(COLUMN(FE88)-1,26)+65))&amp;$FI59&amp;""),"")</f>
        <v/>
      </c>
      <c r="FS59" s="78" t="str">
        <f t="array" aca="1" ref="FS59" ca="1">IF($FI59&lt;&gt;"",
INDIRECT(""&amp;IF(COLUMN(FF88)&lt;=26,CHAR(COLUMN(FF88)+64),CHAR(INT((COLUMN(FF88)-1)/26)+64)&amp;CHAR(MOD(COLUMN(FF88)-1,26)+65))&amp;$FI59&amp;""),"")</f>
        <v/>
      </c>
    </row>
    <row r="60" spans="1:175" ht="18" customHeight="1" x14ac:dyDescent="0.45">
      <c r="B60" s="86"/>
      <c r="C60" s="259" t="str" cm="1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259"/>
      <c r="E60" s="258" t="str" cm="1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58"/>
      <c r="G60" s="97" t="e" cm="1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INDEX(INDIRECT("'数出表_Excel（アレルギー入力）'!"&amp;B59&amp;MATCH(IG15,'数出表_Excel（アレルギー入力）'!$A:$A,0)+1&amp;":"&amp;G61&amp;MATCH(G15,'数出表_Excel（アレルギー入力）'!$A:$A,0)+1&amp;""),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I60" s="86"/>
      <c r="J60" s="259" t="str" cm="1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259"/>
      <c r="L60" s="258" t="str" cm="1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58"/>
      <c r="N60" s="97" t="e" cm="1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INDEX(INDIRECT("'数出表_Excel（アレルギー入力）'!"&amp;I59&amp;MATCH(IN15,'数出表_Excel（アレルギー入力）'!$A:$A,0)+1&amp;":"&amp;N61&amp;MATCH(N15,'数出表_Excel（アレルギー入力）'!$A:$A,0)+1&amp;""),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Q60" s="86"/>
      <c r="R60" s="259" t="str" cm="1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59"/>
      <c r="T60" s="258" t="str" cm="1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58"/>
      <c r="V60" s="97" t="e" cm="1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INDEX(INDIRECT("'数出表_Excel（アレルギー入力）'!"&amp;Q59&amp;MATCH(IV15,'数出表_Excel（アレルギー入力）'!$A:$A,0)+1&amp;":"&amp;V61&amp;MATCH(V15,'数出表_Excel（アレルギー入力）'!$A:$A,0)+1&amp;""),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X60" s="86"/>
      <c r="Y60" s="259" t="str" cm="1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59"/>
      <c r="AA60" s="258" t="str" cm="1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58"/>
      <c r="AC60" s="97" t="e" cm="1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INDEX(INDIRECT("'数出表_Excel（アレルギー入力）'!"&amp;X59&amp;MATCH(JC15,'数出表_Excel（アレルギー入力）'!$A:$A,0)+1&amp;":"&amp;AC61&amp;MATCH(AC15,'数出表_Excel（アレルギー入力）'!$A:$A,0)+1&amp;""),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F60" s="86"/>
      <c r="AG60" s="259" t="str" cm="1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59"/>
      <c r="AI60" s="258" t="str" cm="1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58"/>
      <c r="AK60" s="97" t="e" cm="1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INDEX(INDIRECT("'数出表_Excel（アレルギー入力）'!"&amp;AF59&amp;MATCH(JK15,'数出表_Excel（アレルギー入力）'!$A:$A,0)+1&amp;":"&amp;AK61&amp;MATCH(AK15,'数出表_Excel（アレルギー入力）'!$A:$A,0)+1&amp;""),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M60" s="86"/>
      <c r="AN60" s="259" t="str" cm="1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59"/>
      <c r="AP60" s="258" t="str" cm="1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58"/>
      <c r="AR60" s="97" t="e" cm="1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INDEX(INDIRECT("'数出表_Excel（アレルギー入力）'!"&amp;AM59&amp;MATCH(JR15,'数出表_Excel（アレルギー入力）'!$A:$A,0)+1&amp;":"&amp;AR61&amp;MATCH(AR15,'数出表_Excel（アレルギー入力）'!$A:$A,0)+1&amp;""),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U60" s="86"/>
      <c r="AV60" s="259" t="str" cm="1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59"/>
      <c r="AX60" s="258" t="str" cm="1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58"/>
      <c r="AZ60" s="97" t="e" cm="1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INDEX(INDIRECT("'数出表_Excel（アレルギー入力）'!"&amp;AU59&amp;MATCH(JZ15,'数出表_Excel（アレルギー入力）'!$A:$A,0)+1&amp;":"&amp;AZ61&amp;MATCH(AZ15,'数出表_Excel（アレルギー入力）'!$A:$A,0)+1&amp;""),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B60" s="86"/>
      <c r="BC60" s="259" t="str" cm="1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59"/>
      <c r="BE60" s="258" t="str" cm="1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58"/>
      <c r="BG60" s="97" t="e" cm="1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INDEX(INDIRECT("'数出表_Excel（アレルギー入力）'!"&amp;BB59&amp;MATCH(KG15,'数出表_Excel（アレルギー入力）'!$A:$A,0)+1&amp;":"&amp;BG61&amp;MATCH(BG15,'数出表_Excel（アレルギー入力）'!$A:$A,0)+1&amp;""),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J60" s="86"/>
      <c r="BK60" s="259" t="str" cm="1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59"/>
      <c r="BM60" s="258" t="str" cm="1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58"/>
      <c r="BO60" s="97" t="e" cm="1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INDEX(INDIRECT("'数出表_Excel（アレルギー入力）'!"&amp;BJ59&amp;MATCH(KO15,'数出表_Excel（アレルギー入力）'!$A:$A,0)+1&amp;":"&amp;BO61&amp;MATCH(BO15,'数出表_Excel（アレルギー入力）'!$A:$A,0)+1&amp;""),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Q60" s="86"/>
      <c r="BR60" s="259" t="str" cm="1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59"/>
      <c r="BT60" s="258" t="str" cm="1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58"/>
      <c r="BV60" s="97" t="e" cm="1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INDEX(INDIRECT("'数出表_Excel（アレルギー入力）'!"&amp;BQ59&amp;MATCH(KV15,'数出表_Excel（アレルギー入力）'!$A:$A,0)+1&amp;":"&amp;BV61&amp;MATCH(BV15,'数出表_Excel（アレルギー入力）'!$A:$A,0)+1&amp;""),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Y60" s="86"/>
      <c r="BZ60" s="259" t="str" cm="1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59"/>
      <c r="CB60" s="258" t="str" cm="1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58"/>
      <c r="CD60" s="97" t="e" cm="1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INDEX(INDIRECT("'数出表_Excel（アレルギー入力）'!"&amp;BY59&amp;MATCH(LD15,'数出表_Excel（アレルギー入力）'!$A:$A,0)+1&amp;":"&amp;CD61&amp;MATCH(CD15,'数出表_Excel（アレルギー入力）'!$A:$A,0)+1&amp;""),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F60" s="86"/>
      <c r="CG60" s="259" t="str" cm="1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59"/>
      <c r="CI60" s="258" t="str" cm="1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58"/>
      <c r="CK60" s="97" t="e" cm="1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INDEX(INDIRECT("'数出表_Excel（アレルギー入力）'!"&amp;CF59&amp;MATCH(LK15,'数出表_Excel（アレルギー入力）'!$A:$A,0)+1&amp;":"&amp;CK61&amp;MATCH(CK15,'数出表_Excel（アレルギー入力）'!$A:$A,0)+1&amp;""),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N60" s="86"/>
      <c r="CO60" s="259" t="str" cm="1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59"/>
      <c r="CQ60" s="258" t="str" cm="1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58"/>
      <c r="CS60" s="97" t="e" cm="1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INDEX(INDIRECT("'数出表_Excel（アレルギー入力）'!"&amp;CN59&amp;MATCH(LS15,'数出表_Excel（アレルギー入力）'!$A:$A,0)+1&amp;":"&amp;CS61&amp;MATCH(CS15,'数出表_Excel（アレルギー入力）'!$A:$A,0)+1&amp;""),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U60" s="86"/>
      <c r="CV60" s="259" t="str" cm="1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59"/>
      <c r="CX60" s="258" t="str" cm="1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58"/>
      <c r="CZ60" s="97" t="e" cm="1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INDEX(INDIRECT("'数出表_Excel（アレルギー入力）'!"&amp;CU59&amp;MATCH(LZ15,'数出表_Excel（アレルギー入力）'!$A:$A,0)+1&amp;":"&amp;CZ61&amp;MATCH(CZ15,'数出表_Excel（アレルギー入力）'!$A:$A,0)+1&amp;""),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C60" s="86"/>
      <c r="DD60" s="259" t="str" cm="1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59"/>
      <c r="DF60" s="258" t="str" cm="1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58"/>
      <c r="DH60" s="97" t="e" cm="1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INDEX(INDIRECT("'数出表_Excel（アレルギー入力）'!"&amp;DC59&amp;MATCH(MH15,'数出表_Excel（アレルギー入力）'!$A:$A,0)+1&amp;":"&amp;DH61&amp;MATCH(DH15,'数出表_Excel（アレルギー入力）'!$A:$A,0)+1&amp;""),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J60" s="86"/>
      <c r="DK60" s="259" t="str" cm="1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59"/>
      <c r="DM60" s="258" t="str" cm="1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58"/>
      <c r="DO60" s="97" t="e" cm="1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INDEX(INDIRECT("'数出表_Excel（アレルギー入力）'!"&amp;DJ59&amp;MATCH(MO15,'数出表_Excel（アレルギー入力）'!$A:$A,0)+1&amp;":"&amp;DO61&amp;MATCH(DO15,'数出表_Excel（アレルギー入力）'!$A:$A,0)+1&amp;""),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R60" s="86"/>
      <c r="DS60" s="259" t="str" cm="1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59"/>
      <c r="DU60" s="258" t="str" cm="1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58"/>
      <c r="DW60" s="97" t="e" cm="1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INDEX(INDIRECT("'数出表_Excel（アレルギー入力）'!"&amp;DR59&amp;MATCH(MW15,'数出表_Excel（アレルギー入力）'!$A:$A,0)+1&amp;":"&amp;DW61&amp;MATCH(DW15,'数出表_Excel（アレルギー入力）'!$A:$A,0)+1&amp;""),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Y60" s="86"/>
      <c r="DZ60" s="259" t="str" cm="1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59"/>
      <c r="EB60" s="258" t="str" cm="1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58"/>
      <c r="ED60" s="97" t="e" cm="1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INDEX(INDIRECT("'数出表_Excel（アレルギー入力）'!"&amp;DY59&amp;MATCH(ND15,'数出表_Excel（アレルギー入力）'!$A:$A,0)+1&amp;":"&amp;ED61&amp;MATCH(ED15,'数出表_Excel（アレルギー入力）'!$A:$A,0)+1&amp;""),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G60" s="86"/>
      <c r="EH60" s="259" t="str" cm="1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259"/>
      <c r="EJ60" s="258" t="str" cm="1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58"/>
      <c r="EL60" s="97" t="e" cm="1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INDEX(INDIRECT("'数出表_Excel（アレルギー入力）'!"&amp;EG59&amp;MATCH(NL15,'数出表_Excel（アレルギー入力）'!$A:$A,0)+1&amp;":"&amp;EL61&amp;MATCH(EL15,'数出表_Excel（アレルギー入力）'!$A:$A,0)+1&amp;""),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N60" s="86"/>
      <c r="EO60" s="259" t="str" cm="1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259"/>
      <c r="EQ60" s="258" t="str" cm="1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58"/>
      <c r="ES60" s="97" t="e" cm="1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INDEX(INDIRECT("'数出表_Excel（アレルギー入力）'!"&amp;EN59&amp;MATCH(NS15,'数出表_Excel（アレルギー入力）'!$A:$A,0)+1&amp;":"&amp;ES61&amp;MATCH(ES15,'数出表_Excel（アレルギー入力）'!$A:$A,0)+1&amp;""),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06"/>
      <c r="EU60" s="78">
        <f t="shared" si="4"/>
        <v>105</v>
      </c>
      <c r="EV60" s="78" t="str">
        <f t="array" aca="1" ref="EV60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LEN(SUBSTITUTE(_xlfn.FORMULATEXT(EV$40),"=","")))+$EU60)</f>
        <v/>
      </c>
      <c r="EW60" s="78" t="str">
        <f t="array" aca="1" ref="EW60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LEN(SUBSTITUTE(_xlfn.FORMULATEXT(EW$40),"=","")))+$EU60)</f>
        <v/>
      </c>
      <c r="EX60" s="78" t="str">
        <f t="array" aca="1" ref="EX60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LEN(SUBSTITUTE(_xlfn.FORMULATEXT(EX$40),"=","")))+$EU60)</f>
        <v/>
      </c>
      <c r="EY60" s="78" t="str">
        <f t="array" aca="1" ref="EY60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LEN(SUBSTITUTE(_xlfn.FORMULATEXT(EY$40),"=","")))+$EU60)</f>
        <v/>
      </c>
      <c r="EZ60" s="78" t="str">
        <f t="array" aca="1" ref="EZ60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LEN(SUBSTITUTE(_xlfn.FORMULATEXT(EZ$40),"=","")))+$EU60)</f>
        <v/>
      </c>
      <c r="FA60" s="78" t="str">
        <f t="array" aca="1" ref="FA60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LEN(SUBSTITUTE(_xlfn.FORMULATEXT(FA$40),"=","")))+$EU60)</f>
        <v/>
      </c>
      <c r="FB60" s="78" t="str">
        <f t="array" aca="1" ref="FB60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LEN(SUBSTITUTE(_xlfn.FORMULATEXT(FB$40),"=","")))+$EU60)</f>
        <v/>
      </c>
      <c r="FC60" s="78" t="str">
        <f t="array" aca="1" ref="FC60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LEN(SUBSTITUTE(_xlfn.FORMULATEXT(FC$40),"=","")))+$EU60)</f>
        <v/>
      </c>
      <c r="FD60" s="78" t="str">
        <f t="array" aca="1" ref="FD60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LEN(SUBSTITUTE(_xlfn.FORMULATEXT(FD$40),"=","")))+$EU60)</f>
        <v/>
      </c>
      <c r="FE60" s="78" t="str">
        <f t="array" aca="1" ref="FE60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LEN(SUBSTITUTE(_xlfn.FORMULATEXT(FE$40),"=","")))+$EU60)</f>
        <v/>
      </c>
      <c r="FF60" s="78" t="str">
        <f t="array" aca="1" ref="FF60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LEN(SUBSTITUTE(_xlfn.FORMULATEXT(FF$40),"=","")))+$EU60)</f>
        <v/>
      </c>
      <c r="FG60" s="78">
        <f t="shared" ca="1" si="6"/>
        <v>0</v>
      </c>
      <c r="FH60" s="78" t="b">
        <f t="array" aca="1" ref="FH60" ca="1">SUMPRODUCT((LEN(EV60:FF60)&gt;0)*1)&gt;0</f>
        <v>0</v>
      </c>
      <c r="FI60" s="78" t="str">
        <f t="array" aca="1" ref="FI60" ca="1">IFERROR(SMALL(IF(FG$1:FG$228&lt;&gt;0,FG$1:FG$228),ROW(A60)),"")</f>
        <v/>
      </c>
      <c r="FJ60" s="78" t="str">
        <f t="array" aca="1" ref="FJ60" ca="1">IF($FI60&lt;&gt;"",
INDIRECT(""&amp;IF(COLUMN(EV89)&lt;=26,CHAR(COLUMN(EV89)+64),CHAR(INT((COLUMN(EV89)-1)/26)+64)&amp;CHAR(MOD(COLUMN(EV89)-1,26)+65))&amp;$FI60&amp;""),"")</f>
        <v/>
      </c>
      <c r="FK60" s="78" t="str">
        <f t="array" aca="1" ref="FK60" ca="1">IF($FI60&lt;&gt;"",
INDIRECT(""&amp;IF(COLUMN(EW89)&lt;=26,CHAR(COLUMN(EW89)+64),CHAR(INT((COLUMN(EW89)-1)/26)+64)&amp;CHAR(MOD(COLUMN(EW89)-1,26)+65))&amp;$FI60&amp;""),"")</f>
        <v/>
      </c>
      <c r="FL60" s="78" t="str">
        <f t="array" aca="1" ref="FL60" ca="1">IF($FI60&lt;&gt;"",
INDIRECT(""&amp;IF(COLUMN(EX89)&lt;=26,CHAR(COLUMN(EX89)+64),CHAR(INT((COLUMN(EX89)-1)/26)+64)&amp;CHAR(MOD(COLUMN(EX89)-1,26)+65))&amp;$FI60&amp;""),"")</f>
        <v/>
      </c>
      <c r="FM60" s="78" t="str">
        <f t="array" aca="1" ref="FM60" ca="1">IF($FI60&lt;&gt;"",
IF(FL60="",
IF(INDIRECT("EY"&amp;$FI60&amp;"")&lt;&gt;"",
INDIRECT("EY"&amp;$FI60&amp;"")&amp;"箱"
&amp;INDIRECT("EZ"&amp;$FI60&amp;""),""),""),"")</f>
        <v/>
      </c>
      <c r="FN60" s="78" t="str">
        <f t="array" aca="1" ref="FN60" ca="1">IF($FI60&lt;&gt;"",
INDIRECT(""&amp;IF(COLUMN(FA89)&lt;=26,CHAR(COLUMN(FA89)+64),CHAR(INT((COLUMN(FA89)-1)/26)+64)&amp;CHAR(MOD(COLUMN(FA89)-1,26)+65))&amp;$FI60&amp;""),"")</f>
        <v/>
      </c>
      <c r="FO60" s="78" t="str">
        <f t="array" aca="1" ref="FO60" ca="1">IF($FI60&lt;&gt;"",
INDIRECT(""&amp;IF(COLUMN(FB89)&lt;=26,CHAR(COLUMN(FB89)+64),CHAR(INT((COLUMN(FB89)-1)/26)+64)&amp;CHAR(MOD(COLUMN(FB89)-1,26)+65))&amp;$FI60&amp;""),"")</f>
        <v/>
      </c>
      <c r="FP60" s="78" t="str">
        <f t="array" aca="1" ref="FP60" ca="1">IF($FI60&lt;&gt;"",
INDIRECT(""&amp;IF(COLUMN(FC89)&lt;=26,CHAR(COLUMN(FC89)+64),CHAR(INT((COLUMN(FC89)-1)/26)+64)&amp;CHAR(MOD(COLUMN(FC89)-1,26)+65))&amp;$FI60&amp;""),"")</f>
        <v/>
      </c>
      <c r="FQ60" s="78" t="str">
        <f t="array" aca="1" ref="FQ60" ca="1">IF($FI60&lt;&gt;"",
INDIRECT(""&amp;IF(COLUMN(FD89)&lt;=26,CHAR(COLUMN(FD89)+64),CHAR(INT((COLUMN(FD89)-1)/26)+64)&amp;CHAR(MOD(COLUMN(FD89)-1,26)+65))&amp;$FI60&amp;""),"")</f>
        <v/>
      </c>
      <c r="FR60" s="78" t="str">
        <f t="array" aca="1" ref="FR60" ca="1">IF($FI60&lt;&gt;"",
INDIRECT(""&amp;IF(COLUMN(FE89)&lt;=26,CHAR(COLUMN(FE89)+64),CHAR(INT((COLUMN(FE89)-1)/26)+64)&amp;CHAR(MOD(COLUMN(FE89)-1,26)+65))&amp;$FI60&amp;""),"")</f>
        <v/>
      </c>
      <c r="FS60" s="78" t="str">
        <f t="array" aca="1" ref="FS60" ca="1">IF($FI60&lt;&gt;"",
INDIRECT(""&amp;IF(COLUMN(FF89)&lt;=26,CHAR(COLUMN(FF89)+64),CHAR(INT((COLUMN(FF89)-1)/26)+64)&amp;CHAR(MOD(COLUMN(FF89)-1,26)+65))&amp;$FI60&amp;""),"")</f>
        <v/>
      </c>
    </row>
    <row r="61" spans="1:175" ht="18" customHeight="1" x14ac:dyDescent="0.45">
      <c r="B61" s="88"/>
      <c r="C61" s="252"/>
      <c r="D61" s="252"/>
      <c r="E61" s="255"/>
      <c r="F61" s="255"/>
      <c r="G61" s="98" t="str">
        <f ca="1">SUBSTITUTE(SUBSTITUTE(ADDRESS(1,MATCH("おやつ",'数出表_Excel（アレルギー入力）'!$3:$3,0)),1,""),"$","")</f>
        <v>AL</v>
      </c>
      <c r="I61" s="88"/>
      <c r="J61" s="252"/>
      <c r="K61" s="252"/>
      <c r="L61" s="255"/>
      <c r="M61" s="255"/>
      <c r="N61" s="98" t="str">
        <f ca="1">SUBSTITUTE(SUBSTITUTE(ADDRESS(1,MATCH("おやつ",'数出表_Excel（アレルギー入力）'!$3:$3,0)),1,""),"$","")</f>
        <v>AL</v>
      </c>
      <c r="Q61" s="88"/>
      <c r="R61" s="252"/>
      <c r="S61" s="252"/>
      <c r="T61" s="255"/>
      <c r="U61" s="255"/>
      <c r="V61" s="98" t="str">
        <f ca="1">SUBSTITUTE(SUBSTITUTE(ADDRESS(1,MATCH("おやつ",'数出表_Excel（アレルギー入力）'!$3:$3,0)),1,""),"$","")</f>
        <v>AL</v>
      </c>
      <c r="X61" s="88"/>
      <c r="Y61" s="252"/>
      <c r="Z61" s="252"/>
      <c r="AA61" s="255"/>
      <c r="AB61" s="255"/>
      <c r="AC61" s="98" t="str">
        <f ca="1">SUBSTITUTE(SUBSTITUTE(ADDRESS(1,MATCH("おやつ",'数出表_Excel（アレルギー入力）'!$3:$3,0)),1,""),"$","")</f>
        <v>AL</v>
      </c>
      <c r="AF61" s="88"/>
      <c r="AG61" s="252"/>
      <c r="AH61" s="252"/>
      <c r="AI61" s="255"/>
      <c r="AJ61" s="255"/>
      <c r="AK61" s="98" t="str">
        <f ca="1">SUBSTITUTE(SUBSTITUTE(ADDRESS(1,MATCH("おやつ",'数出表_Excel（アレルギー入力）'!$3:$3,0)),1,""),"$","")</f>
        <v>AL</v>
      </c>
      <c r="AM61" s="88"/>
      <c r="AN61" s="252"/>
      <c r="AO61" s="252"/>
      <c r="AP61" s="255"/>
      <c r="AQ61" s="255"/>
      <c r="AR61" s="98" t="str">
        <f ca="1">SUBSTITUTE(SUBSTITUTE(ADDRESS(1,MATCH("おやつ",'数出表_Excel（アレルギー入力）'!$3:$3,0)),1,""),"$","")</f>
        <v>AL</v>
      </c>
      <c r="AU61" s="88"/>
      <c r="AV61" s="252"/>
      <c r="AW61" s="252"/>
      <c r="AX61" s="255"/>
      <c r="AY61" s="255"/>
      <c r="AZ61" s="98" t="str">
        <f ca="1">SUBSTITUTE(SUBSTITUTE(ADDRESS(1,MATCH("おやつ",'数出表_Excel（アレルギー入力）'!$3:$3,0)),1,""),"$","")</f>
        <v>AL</v>
      </c>
      <c r="BB61" s="88"/>
      <c r="BC61" s="252"/>
      <c r="BD61" s="252"/>
      <c r="BE61" s="255"/>
      <c r="BF61" s="255"/>
      <c r="BG61" s="98" t="str">
        <f ca="1">SUBSTITUTE(SUBSTITUTE(ADDRESS(1,MATCH("おやつ",'数出表_Excel（アレルギー入力）'!$3:$3,0)),1,""),"$","")</f>
        <v>AL</v>
      </c>
      <c r="BJ61" s="88"/>
      <c r="BK61" s="252"/>
      <c r="BL61" s="252"/>
      <c r="BM61" s="255"/>
      <c r="BN61" s="255"/>
      <c r="BO61" s="98" t="str">
        <f ca="1">SUBSTITUTE(SUBSTITUTE(ADDRESS(1,MATCH("おやつ",'数出表_Excel（アレルギー入力）'!$3:$3,0)),1,""),"$","")</f>
        <v>AL</v>
      </c>
      <c r="BQ61" s="88"/>
      <c r="BR61" s="252"/>
      <c r="BS61" s="252"/>
      <c r="BT61" s="255"/>
      <c r="BU61" s="255"/>
      <c r="BV61" s="98" t="str">
        <f ca="1">SUBSTITUTE(SUBSTITUTE(ADDRESS(1,MATCH("おやつ",'数出表_Excel（アレルギー入力）'!$3:$3,0)),1,""),"$","")</f>
        <v>AL</v>
      </c>
      <c r="BY61" s="88"/>
      <c r="BZ61" s="252"/>
      <c r="CA61" s="252"/>
      <c r="CB61" s="255"/>
      <c r="CC61" s="255"/>
      <c r="CD61" s="98" t="str">
        <f ca="1">SUBSTITUTE(SUBSTITUTE(ADDRESS(1,MATCH("おやつ",'数出表_Excel（アレルギー入力）'!$3:$3,0)),1,""),"$","")</f>
        <v>AL</v>
      </c>
      <c r="CF61" s="88"/>
      <c r="CG61" s="252"/>
      <c r="CH61" s="252"/>
      <c r="CI61" s="255"/>
      <c r="CJ61" s="255"/>
      <c r="CK61" s="98" t="str">
        <f ca="1">SUBSTITUTE(SUBSTITUTE(ADDRESS(1,MATCH("おやつ",'数出表_Excel（アレルギー入力）'!$3:$3,0)),1,""),"$","")</f>
        <v>AL</v>
      </c>
      <c r="CN61" s="88"/>
      <c r="CO61" s="252"/>
      <c r="CP61" s="252"/>
      <c r="CQ61" s="255"/>
      <c r="CR61" s="255"/>
      <c r="CS61" s="98" t="str">
        <f ca="1">SUBSTITUTE(SUBSTITUTE(ADDRESS(1,MATCH("おやつ",'数出表_Excel（アレルギー入力）'!$3:$3,0)),1,""),"$","")</f>
        <v>AL</v>
      </c>
      <c r="CU61" s="88"/>
      <c r="CV61" s="252"/>
      <c r="CW61" s="252"/>
      <c r="CX61" s="255"/>
      <c r="CY61" s="255"/>
      <c r="CZ61" s="98" t="str">
        <f ca="1">SUBSTITUTE(SUBSTITUTE(ADDRESS(1,MATCH("おやつ",'数出表_Excel（アレルギー入力）'!$3:$3,0)),1,""),"$","")</f>
        <v>AL</v>
      </c>
      <c r="DC61" s="88"/>
      <c r="DD61" s="252"/>
      <c r="DE61" s="252"/>
      <c r="DF61" s="255"/>
      <c r="DG61" s="255"/>
      <c r="DH61" s="98" t="str">
        <f ca="1">SUBSTITUTE(SUBSTITUTE(ADDRESS(1,MATCH("おやつ",'数出表_Excel（アレルギー入力）'!$3:$3,0)),1,""),"$","")</f>
        <v>AL</v>
      </c>
      <c r="DJ61" s="88"/>
      <c r="DK61" s="252"/>
      <c r="DL61" s="252"/>
      <c r="DM61" s="255"/>
      <c r="DN61" s="255"/>
      <c r="DO61" s="98" t="str">
        <f ca="1">SUBSTITUTE(SUBSTITUTE(ADDRESS(1,MATCH("おやつ",'数出表_Excel（アレルギー入力）'!$3:$3,0)),1,""),"$","")</f>
        <v>AL</v>
      </c>
      <c r="DR61" s="88"/>
      <c r="DS61" s="252"/>
      <c r="DT61" s="252"/>
      <c r="DU61" s="255"/>
      <c r="DV61" s="255"/>
      <c r="DW61" s="98" t="str">
        <f ca="1">SUBSTITUTE(SUBSTITUTE(ADDRESS(1,MATCH("おやつ",'数出表_Excel（アレルギー入力）'!$3:$3,0)),1,""),"$","")</f>
        <v>AL</v>
      </c>
      <c r="DY61" s="88"/>
      <c r="DZ61" s="252"/>
      <c r="EA61" s="252"/>
      <c r="EB61" s="255"/>
      <c r="EC61" s="255"/>
      <c r="ED61" s="98" t="str">
        <f ca="1">SUBSTITUTE(SUBSTITUTE(ADDRESS(1,MATCH("おやつ",'数出表_Excel（アレルギー入力）'!$3:$3,0)),1,""),"$","")</f>
        <v>AL</v>
      </c>
      <c r="EG61" s="88"/>
      <c r="EH61" s="252"/>
      <c r="EI61" s="252"/>
      <c r="EJ61" s="255"/>
      <c r="EK61" s="255"/>
      <c r="EL61" s="98" t="str">
        <f ca="1">SUBSTITUTE(SUBSTITUTE(ADDRESS(1,MATCH("おやつ",'数出表_Excel（アレルギー入力）'!$3:$3,0)),1,""),"$","")</f>
        <v>AL</v>
      </c>
      <c r="EN61" s="88"/>
      <c r="EO61" s="252"/>
      <c r="EP61" s="252"/>
      <c r="EQ61" s="255"/>
      <c r="ER61" s="255"/>
      <c r="ES61" s="98" t="str">
        <f ca="1">SUBSTITUTE(SUBSTITUTE(ADDRESS(1,MATCH("おやつ",'数出表_Excel（アレルギー入力）'!$3:$3,0)),1,""),"$","")</f>
        <v>AL</v>
      </c>
      <c r="ET61" s="106"/>
      <c r="EU61" s="78">
        <f t="shared" si="4"/>
        <v>28</v>
      </c>
      <c r="EV61" s="78" t="str">
        <f t="array" aca="1" ref="EV61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LEN(SUBSTITUTE(_xlfn.FORMULATEXT(EV$37),"=","")))+$EU61)</f>
        <v/>
      </c>
      <c r="EW61" s="78" t="str">
        <f t="array" aca="1" ref="EW61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LEN(SUBSTITUTE(_xlfn.FORMULATEXT(EW$37),"=","")))+$EU61)</f>
        <v/>
      </c>
      <c r="EX61" s="78" t="str">
        <f t="array" aca="1" ref="EX61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LEN(SUBSTITUTE(_xlfn.FORMULATEXT(EX$37),"=","")))+$EU61)</f>
        <v/>
      </c>
      <c r="EY61" s="78" t="str">
        <f t="array" aca="1" ref="EY61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LEN(SUBSTITUTE(_xlfn.FORMULATEXT(EY$37),"=","")))+$EU61)</f>
        <v/>
      </c>
      <c r="EZ61" s="78" t="str">
        <f t="array" aca="1" ref="EZ61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LEN(SUBSTITUTE(_xlfn.FORMULATEXT(EZ$37),"=","")))+$EU61)</f>
        <v/>
      </c>
      <c r="FA61" s="78" t="e">
        <f t="array" aca="1" ref="FA61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LEN(SUBSTITUTE(_xlfn.FORMULATEXT(FA$37),"=","")))+$EU61)</f>
        <v>#VALUE!</v>
      </c>
      <c r="FB61" s="78" t="e">
        <f t="array" aca="1" ref="FB61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LEN(SUBSTITUTE(_xlfn.FORMULATEXT(FB$37),"=","")))+$EU61)</f>
        <v>#VALUE!</v>
      </c>
      <c r="FC61" s="78" t="str">
        <f t="array" aca="1" ref="FC61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LEN(SUBSTITUTE(_xlfn.FORMULATEXT(FC$37),"=","")))+$EU61)</f>
        <v/>
      </c>
      <c r="FD61" s="78" t="e">
        <f t="array" aca="1" ref="FD61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LEN(SUBSTITUTE(_xlfn.FORMULATEXT(FD$37),"=","")))+$EU61)</f>
        <v>#VALUE!</v>
      </c>
      <c r="FE61" s="78" t="str">
        <f t="array" aca="1" ref="FE61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LEN(SUBSTITUTE(_xlfn.FORMULATEXT(FE$37),"=","")))+$EU61)</f>
        <v/>
      </c>
      <c r="FF61" s="78" t="e">
        <f t="array" aca="1" ref="FF61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LEN(SUBSTITUTE(_xlfn.FORMULATEXT(FF$37),"=","")))+$EU61)</f>
        <v>#VALUE!</v>
      </c>
      <c r="FG61" s="78">
        <f t="shared" ca="1" si="6"/>
        <v>0</v>
      </c>
      <c r="FH61" s="78" t="e">
        <f t="array" aca="1" ref="FH61" ca="1">SUMPRODUCT((LEN(EV61:FF61)&gt;0)*1)&gt;0</f>
        <v>#VALUE!</v>
      </c>
      <c r="FI61" s="78" t="str">
        <f t="array" aca="1" ref="FI61" ca="1">IFERROR(SMALL(IF(FG$1:FG$228&lt;&gt;0,FG$1:FG$228),ROW(A61)),"")</f>
        <v/>
      </c>
      <c r="FJ61" s="78" t="str">
        <f t="array" aca="1" ref="FJ61" ca="1">IF($FI61&lt;&gt;"",
INDIRECT(""&amp;IF(COLUMN(EV91)&lt;=26,CHAR(COLUMN(EV91)+64),CHAR(INT((COLUMN(EV91)-1)/26)+64)&amp;CHAR(MOD(COLUMN(EV91)-1,26)+65))&amp;$FI61&amp;""),"")</f>
        <v/>
      </c>
      <c r="FK61" s="78" t="str">
        <f t="array" aca="1" ref="FK61" ca="1">IF($FI61&lt;&gt;"",
INDIRECT(""&amp;IF(COLUMN(EW91)&lt;=26,CHAR(COLUMN(EW91)+64),CHAR(INT((COLUMN(EW91)-1)/26)+64)&amp;CHAR(MOD(COLUMN(EW91)-1,26)+65))&amp;$FI61&amp;""),"")</f>
        <v/>
      </c>
      <c r="FL61" s="78" t="str">
        <f t="array" aca="1" ref="FL61" ca="1">IF($FI61&lt;&gt;"",
INDIRECT(""&amp;IF(COLUMN(EX91)&lt;=26,CHAR(COLUMN(EX91)+64),CHAR(INT((COLUMN(EX91)-1)/26)+64)&amp;CHAR(MOD(COLUMN(EX91)-1,26)+65))&amp;$FI61&amp;""),"")</f>
        <v/>
      </c>
      <c r="FM61" s="78" t="str">
        <f t="array" aca="1" ref="FM61" ca="1">IF($FI61&lt;&gt;"",
IF(FL61="",
IF(INDIRECT("EY"&amp;$FI61&amp;"")&lt;&gt;"",
INDIRECT("EY"&amp;$FI61&amp;"")&amp;"箱"
&amp;INDIRECT("EZ"&amp;$FI61&amp;""),""),""),"")</f>
        <v/>
      </c>
      <c r="FN61" s="78" t="str">
        <f t="array" aca="1" ref="FN61" ca="1">IF($FI61&lt;&gt;"",
INDIRECT(""&amp;IF(COLUMN(FA91)&lt;=26,CHAR(COLUMN(FA91)+64),CHAR(INT((COLUMN(FA91)-1)/26)+64)&amp;CHAR(MOD(COLUMN(FA91)-1,26)+65))&amp;$FI61&amp;""),"")</f>
        <v/>
      </c>
      <c r="FO61" s="78" t="str">
        <f t="array" aca="1" ref="FO61" ca="1">IF($FI61&lt;&gt;"",
INDIRECT(""&amp;IF(COLUMN(FB91)&lt;=26,CHAR(COLUMN(FB91)+64),CHAR(INT((COLUMN(FB91)-1)/26)+64)&amp;CHAR(MOD(COLUMN(FB91)-1,26)+65))&amp;$FI61&amp;""),"")</f>
        <v/>
      </c>
      <c r="FP61" s="78" t="str">
        <f t="array" aca="1" ref="FP61" ca="1">IF($FI61&lt;&gt;"",
INDIRECT(""&amp;IF(COLUMN(FC91)&lt;=26,CHAR(COLUMN(FC91)+64),CHAR(INT((COLUMN(FC91)-1)/26)+64)&amp;CHAR(MOD(COLUMN(FC91)-1,26)+65))&amp;$FI61&amp;""),"")</f>
        <v/>
      </c>
      <c r="FQ61" s="78" t="str">
        <f t="array" aca="1" ref="FQ61" ca="1">IF($FI61&lt;&gt;"",
INDIRECT(""&amp;IF(COLUMN(FD91)&lt;=26,CHAR(COLUMN(FD91)+64),CHAR(INT((COLUMN(FD91)-1)/26)+64)&amp;CHAR(MOD(COLUMN(FD91)-1,26)+65))&amp;$FI61&amp;""),"")</f>
        <v/>
      </c>
      <c r="FR61" s="78" t="str">
        <f t="array" aca="1" ref="FR61" ca="1">IF($FI61&lt;&gt;"",
INDIRECT(""&amp;IF(COLUMN(FE91)&lt;=26,CHAR(COLUMN(FE91)+64),CHAR(INT((COLUMN(FE91)-1)/26)+64)&amp;CHAR(MOD(COLUMN(FE91)-1,26)+65))&amp;$FI61&amp;""),"")</f>
        <v/>
      </c>
      <c r="FS61" s="78" t="str">
        <f t="array" aca="1" ref="FS61" ca="1">IF($FI61&lt;&gt;"",
INDIRECT(""&amp;IF(COLUMN(FF91)&lt;=26,CHAR(COLUMN(FF91)+64),CHAR(INT((COLUMN(FF91)-1)/26)+64)&amp;CHAR(MOD(COLUMN(FF91)-1,26)+65))&amp;$FI61&amp;""),"")</f>
        <v/>
      </c>
    </row>
    <row r="62" spans="1:175" s="78" customFormat="1" ht="22.2" customHeight="1" x14ac:dyDescent="0.55000000000000004">
      <c r="A62" s="76"/>
      <c r="B62" s="89" t="str">
        <f ca="1">IF(C60&lt;&gt;"","パン箱","")</f>
        <v/>
      </c>
      <c r="C62" s="90" t="str">
        <f ca="1">IF(C60&lt;&gt;"",IF(OR(COUNTIF('盛付札（関数）'!C58,"*キャラ*"),COUNTIF('盛付札（関数）'!C58,"*赤*")),24,
VLOOKUP('盛付札（関数）'!C58,商品マスタ一覧!$D:$I,6,FALSE)),"")</f>
        <v/>
      </c>
      <c r="D62" s="89" t="str">
        <f ca="1">IF(C60&lt;&gt;"","　端数","")</f>
        <v/>
      </c>
      <c r="E62" s="90"/>
      <c r="F62" s="89" t="str">
        <f ca="1">IF(C60&lt;&gt;"","アレルギー","")</f>
        <v/>
      </c>
      <c r="G62" s="93"/>
      <c r="H62" s="76"/>
      <c r="I62" s="89" t="str">
        <f ca="1">IF(J60&lt;&gt;"","パン箱","")</f>
        <v/>
      </c>
      <c r="J62" s="90" t="str">
        <f ca="1">IF(J60&lt;&gt;"",IF(OR(COUNTIF('盛付札（関数）'!J58,"*キャラ*"),COUNTIF('盛付札（関数）'!J58,"*赤*")),24,
VLOOKUP('盛付札（関数）'!J58,商品マスタ一覧!$D:$I,6,FALSE)),"")</f>
        <v/>
      </c>
      <c r="K62" s="89" t="str">
        <f ca="1">IF(J60&lt;&gt;"","　端数","")</f>
        <v/>
      </c>
      <c r="L62" s="90"/>
      <c r="M62" s="89" t="str">
        <f ca="1">IF(J60&lt;&gt;"","アレルギー","")</f>
        <v/>
      </c>
      <c r="N62" s="93"/>
      <c r="O62" s="76"/>
      <c r="P62" s="76"/>
      <c r="Q62" s="89" t="str">
        <f ca="1">IF(R60&lt;&gt;"","パン箱","")</f>
        <v/>
      </c>
      <c r="R62" s="90" t="str">
        <f ca="1">IF(R60&lt;&gt;"",IF(OR(COUNTIF('盛付札（関数）'!R58,"*キャラ*"),COUNTIF('盛付札（関数）'!R58,"*赤*")),24,
VLOOKUP('盛付札（関数）'!R58,商品マスタ一覧!$D:$I,6,FALSE)),"")</f>
        <v/>
      </c>
      <c r="S62" s="89" t="str">
        <f ca="1">IF(R60&lt;&gt;"","　端数","")</f>
        <v/>
      </c>
      <c r="T62" s="90"/>
      <c r="U62" s="89" t="str">
        <f ca="1">IF(R60&lt;&gt;"","アレルギー","")</f>
        <v/>
      </c>
      <c r="V62" s="93"/>
      <c r="W62" s="76"/>
      <c r="X62" s="89" t="str">
        <f ca="1">IF(Y60&lt;&gt;"","パン箱","")</f>
        <v/>
      </c>
      <c r="Y62" s="90" t="str">
        <f ca="1">IF(Y60&lt;&gt;"",IF(OR(COUNTIF('盛付札（関数）'!Y58,"*キャラ*"),COUNTIF('盛付札（関数）'!Y58,"*赤*")),24,
VLOOKUP('盛付札（関数）'!Y58,商品マスタ一覧!$D:$I,6,FALSE)),"")</f>
        <v/>
      </c>
      <c r="Z62" s="89" t="str">
        <f ca="1">IF(Y60&lt;&gt;"","　端数","")</f>
        <v/>
      </c>
      <c r="AA62" s="90"/>
      <c r="AB62" s="89" t="str">
        <f ca="1">IF(Y60&lt;&gt;"","アレルギー","")</f>
        <v/>
      </c>
      <c r="AC62" s="93"/>
      <c r="AD62" s="76"/>
      <c r="AE62" s="76"/>
      <c r="AF62" s="89" t="str">
        <f ca="1">IF(AG60&lt;&gt;"","パン箱","")</f>
        <v/>
      </c>
      <c r="AG62" s="90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89" t="str">
        <f ca="1">IF(AG60&lt;&gt;"","　端数","")</f>
        <v/>
      </c>
      <c r="AI62" s="90"/>
      <c r="AJ62" s="89" t="str">
        <f ca="1">IF(AG60&lt;&gt;"","アレルギー","")</f>
        <v/>
      </c>
      <c r="AK62" s="93"/>
      <c r="AL62" s="76"/>
      <c r="AM62" s="89" t="str">
        <f ca="1">IF(AN60&lt;&gt;"","パン箱","")</f>
        <v/>
      </c>
      <c r="AN62" s="90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89" t="str">
        <f ca="1">IF(AN60&lt;&gt;"","　端数","")</f>
        <v/>
      </c>
      <c r="AP62" s="90"/>
      <c r="AQ62" s="89" t="str">
        <f ca="1">IF(AN60&lt;&gt;"","アレルギー","")</f>
        <v/>
      </c>
      <c r="AR62" s="93"/>
      <c r="AS62" s="76"/>
      <c r="AT62" s="76"/>
      <c r="AU62" s="89" t="str">
        <f ca="1">IF(AV60&lt;&gt;"","パン箱","")</f>
        <v/>
      </c>
      <c r="AV62" s="90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89" t="str">
        <f ca="1">IF(AV60&lt;&gt;"","　端数","")</f>
        <v/>
      </c>
      <c r="AX62" s="90"/>
      <c r="AY62" s="89" t="str">
        <f ca="1">IF(AV60&lt;&gt;"","アレルギー","")</f>
        <v/>
      </c>
      <c r="AZ62" s="93"/>
      <c r="BA62" s="76"/>
      <c r="BB62" s="89" t="str">
        <f ca="1">IF(BC60&lt;&gt;"","パン箱","")</f>
        <v/>
      </c>
      <c r="BC62" s="90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89" t="str">
        <f ca="1">IF(BC60&lt;&gt;"","　端数","")</f>
        <v/>
      </c>
      <c r="BE62" s="90"/>
      <c r="BF62" s="89" t="str">
        <f ca="1">IF(BC60&lt;&gt;"","アレルギー","")</f>
        <v/>
      </c>
      <c r="BG62" s="93"/>
      <c r="BH62" s="76"/>
      <c r="BI62" s="76"/>
      <c r="BJ62" s="89" t="str">
        <f ca="1">IF(BK60&lt;&gt;"","パン箱","")</f>
        <v/>
      </c>
      <c r="BK62" s="90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89" t="str">
        <f ca="1">IF(BK60&lt;&gt;"","　端数","")</f>
        <v/>
      </c>
      <c r="BM62" s="90"/>
      <c r="BN62" s="89" t="str">
        <f ca="1">IF(BK60&lt;&gt;"","アレルギー","")</f>
        <v/>
      </c>
      <c r="BO62" s="93"/>
      <c r="BP62" s="76"/>
      <c r="BQ62" s="89" t="str">
        <f ca="1">IF(BR60&lt;&gt;"","パン箱","")</f>
        <v/>
      </c>
      <c r="BR62" s="90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89" t="str">
        <f ca="1">IF(BR60&lt;&gt;"","　端数","")</f>
        <v/>
      </c>
      <c r="BT62" s="90"/>
      <c r="BU62" s="89" t="str">
        <f ca="1">IF(BR60&lt;&gt;"","アレルギー","")</f>
        <v/>
      </c>
      <c r="BV62" s="93"/>
      <c r="BW62" s="76"/>
      <c r="BX62" s="76"/>
      <c r="BY62" s="89" t="str">
        <f ca="1">IF(BZ60&lt;&gt;"","パン箱","")</f>
        <v/>
      </c>
      <c r="BZ62" s="90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89" t="str">
        <f ca="1">IF(BZ60&lt;&gt;"","　端数","")</f>
        <v/>
      </c>
      <c r="CB62" s="90"/>
      <c r="CC62" s="89" t="str">
        <f ca="1">IF(BZ60&lt;&gt;"","アレルギー","")</f>
        <v/>
      </c>
      <c r="CD62" s="93"/>
      <c r="CE62" s="76"/>
      <c r="CF62" s="89" t="str">
        <f ca="1">IF(CG60&lt;&gt;"","パン箱","")</f>
        <v/>
      </c>
      <c r="CG62" s="90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89" t="str">
        <f ca="1">IF(CG60&lt;&gt;"","　端数","")</f>
        <v/>
      </c>
      <c r="CI62" s="90"/>
      <c r="CJ62" s="89" t="str">
        <f ca="1">IF(CG60&lt;&gt;"","アレルギー","")</f>
        <v/>
      </c>
      <c r="CK62" s="93"/>
      <c r="CL62" s="76"/>
      <c r="CM62" s="76"/>
      <c r="CN62" s="89" t="str">
        <f ca="1">IF(CO60&lt;&gt;"","パン箱","")</f>
        <v/>
      </c>
      <c r="CO62" s="90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89" t="str">
        <f ca="1">IF(CO60&lt;&gt;"","　端数","")</f>
        <v/>
      </c>
      <c r="CQ62" s="90"/>
      <c r="CR62" s="89" t="str">
        <f ca="1">IF(CO60&lt;&gt;"","アレルギー","")</f>
        <v/>
      </c>
      <c r="CS62" s="93"/>
      <c r="CT62" s="76"/>
      <c r="CU62" s="89" t="str">
        <f ca="1">IF(CV60&lt;&gt;"","パン箱","")</f>
        <v/>
      </c>
      <c r="CV62" s="90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89" t="str">
        <f ca="1">IF(CV60&lt;&gt;"","　端数","")</f>
        <v/>
      </c>
      <c r="CX62" s="90"/>
      <c r="CY62" s="89" t="str">
        <f ca="1">IF(CV60&lt;&gt;"","アレルギー","")</f>
        <v/>
      </c>
      <c r="CZ62" s="93"/>
      <c r="DA62" s="76"/>
      <c r="DB62" s="76"/>
      <c r="DC62" s="89" t="str">
        <f ca="1">IF(DD60&lt;&gt;"","パン箱","")</f>
        <v/>
      </c>
      <c r="DD62" s="90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89" t="str">
        <f ca="1">IF(DD60&lt;&gt;"","　端数","")</f>
        <v/>
      </c>
      <c r="DF62" s="90"/>
      <c r="DG62" s="89" t="str">
        <f ca="1">IF(DD60&lt;&gt;"","アレルギー","")</f>
        <v/>
      </c>
      <c r="DH62" s="93"/>
      <c r="DI62" s="76"/>
      <c r="DJ62" s="89" t="str">
        <f ca="1">IF(DK60&lt;&gt;"","パン箱","")</f>
        <v/>
      </c>
      <c r="DK62" s="90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89" t="str">
        <f ca="1">IF(DK60&lt;&gt;"","　端数","")</f>
        <v/>
      </c>
      <c r="DM62" s="90"/>
      <c r="DN62" s="89" t="str">
        <f ca="1">IF(DK60&lt;&gt;"","アレルギー","")</f>
        <v/>
      </c>
      <c r="DO62" s="93"/>
      <c r="DP62" s="76"/>
      <c r="DQ62" s="76"/>
      <c r="DR62" s="89" t="str">
        <f ca="1">IF(DS60&lt;&gt;"","パン箱","")</f>
        <v/>
      </c>
      <c r="DS62" s="90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89" t="str">
        <f ca="1">IF(DS60&lt;&gt;"","　端数","")</f>
        <v/>
      </c>
      <c r="DU62" s="90"/>
      <c r="DV62" s="89" t="str">
        <f ca="1">IF(DS60&lt;&gt;"","アレルギー","")</f>
        <v/>
      </c>
      <c r="DW62" s="93"/>
      <c r="DX62" s="76"/>
      <c r="DY62" s="89" t="str">
        <f ca="1">IF(DZ60&lt;&gt;"","パン箱","")</f>
        <v/>
      </c>
      <c r="DZ62" s="90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89" t="str">
        <f ca="1">IF(DZ60&lt;&gt;"","　端数","")</f>
        <v/>
      </c>
      <c r="EB62" s="90"/>
      <c r="EC62" s="89" t="str">
        <f ca="1">IF(DZ60&lt;&gt;"","アレルギー","")</f>
        <v/>
      </c>
      <c r="ED62" s="93"/>
      <c r="EE62" s="76"/>
      <c r="EF62" s="76"/>
      <c r="EG62" s="89" t="str">
        <f ca="1">IF(EH60&lt;&gt;"","パン箱","")</f>
        <v/>
      </c>
      <c r="EH62" s="90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89" t="str">
        <f ca="1">IF(EH60&lt;&gt;"","　端数","")</f>
        <v/>
      </c>
      <c r="EJ62" s="90"/>
      <c r="EK62" s="89" t="str">
        <f ca="1">IF(EH60&lt;&gt;"","アレルギー","")</f>
        <v/>
      </c>
      <c r="EL62" s="93"/>
      <c r="EM62" s="76"/>
      <c r="EN62" s="89" t="str">
        <f ca="1">IF(EO60&lt;&gt;"","パン箱","")</f>
        <v/>
      </c>
      <c r="EO62" s="90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89" t="str">
        <f ca="1">IF(EO60&lt;&gt;"","　端数","")</f>
        <v/>
      </c>
      <c r="EQ62" s="90"/>
      <c r="ER62" s="89" t="str">
        <f ca="1">IF(EO60&lt;&gt;"","アレルギー","")</f>
        <v/>
      </c>
      <c r="ES62" s="93"/>
      <c r="ET62" s="106"/>
      <c r="EU62" s="78">
        <f t="shared" si="4"/>
        <v>70</v>
      </c>
      <c r="EV62" s="78" t="str">
        <f t="array" aca="1" ref="EV62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LEN(SUBSTITUTE(_xlfn.FORMULATEXT(EV$37),"=","")))+$EU62)</f>
        <v/>
      </c>
      <c r="EW62" s="78" t="str">
        <f t="array" aca="1" ref="EW62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LEN(SUBSTITUTE(_xlfn.FORMULATEXT(EW$37),"=","")))+$EU62)</f>
        <v/>
      </c>
      <c r="EX62" s="78" t="str">
        <f t="array" aca="1" ref="EX62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LEN(SUBSTITUTE(_xlfn.FORMULATEXT(EX$37),"=","")))+$EU62)</f>
        <v/>
      </c>
      <c r="EY62" s="78" t="str">
        <f t="array" aca="1" ref="EY62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LEN(SUBSTITUTE(_xlfn.FORMULATEXT(EY$37),"=","")))+$EU62)</f>
        <v/>
      </c>
      <c r="EZ62" s="78" t="str">
        <f t="array" aca="1" ref="EZ62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LEN(SUBSTITUTE(_xlfn.FORMULATEXT(EZ$37),"=","")))+$EU62)</f>
        <v/>
      </c>
      <c r="FA62" s="78" t="str">
        <f t="array" aca="1" ref="FA62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LEN(SUBSTITUTE(_xlfn.FORMULATEXT(FA$37),"=","")))+$EU62)</f>
        <v/>
      </c>
      <c r="FB62" s="78" t="str">
        <f t="array" aca="1" ref="FB62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LEN(SUBSTITUTE(_xlfn.FORMULATEXT(FB$37),"=","")))+$EU62)</f>
        <v/>
      </c>
      <c r="FC62" s="78" t="str">
        <f t="array" aca="1" ref="FC62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LEN(SUBSTITUTE(_xlfn.FORMULATEXT(FC$37),"=","")))+$EU62)</f>
        <v/>
      </c>
      <c r="FD62" s="78" t="str">
        <f t="array" aca="1" ref="FD62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LEN(SUBSTITUTE(_xlfn.FORMULATEXT(FD$37),"=","")))+$EU62)</f>
        <v/>
      </c>
      <c r="FE62" s="78" t="str">
        <f t="array" aca="1" ref="FE62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LEN(SUBSTITUTE(_xlfn.FORMULATEXT(FE$37),"=","")))+$EU62)</f>
        <v/>
      </c>
      <c r="FF62" s="78" t="str">
        <f t="array" aca="1" ref="FF62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LEN(SUBSTITUTE(_xlfn.FORMULATEXT(FF$37),"=","")))+$EU62)</f>
        <v/>
      </c>
      <c r="FG62" s="78">
        <f t="shared" ca="1" si="6"/>
        <v>0</v>
      </c>
      <c r="FH62" s="78" t="b">
        <f t="array" aca="1" ref="FH62" ca="1">SUMPRODUCT((LEN(EV62:FF62)&gt;0)*1)&gt;0</f>
        <v>0</v>
      </c>
      <c r="FI62" s="78" t="str">
        <f t="array" aca="1" ref="FI62" ca="1">IFERROR(SMALL(IF(FG$1:FG$228&lt;&gt;0,FG$1:FG$228),ROW(A62)),"")</f>
        <v/>
      </c>
      <c r="FJ62" s="78" t="str">
        <f t="array" aca="1" ref="FJ62" ca="1">IF($FI62&lt;&gt;"",
INDIRECT(""&amp;IF(COLUMN(EV92)&lt;=26,CHAR(COLUMN(EV92)+64),CHAR(INT((COLUMN(EV92)-1)/26)+64)&amp;CHAR(MOD(COLUMN(EV92)-1,26)+65))&amp;$FI62&amp;""),"")</f>
        <v/>
      </c>
      <c r="FK62" s="78" t="str">
        <f t="array" aca="1" ref="FK62" ca="1">IF($FI62&lt;&gt;"",
INDIRECT(""&amp;IF(COLUMN(EW92)&lt;=26,CHAR(COLUMN(EW92)+64),CHAR(INT((COLUMN(EW92)-1)/26)+64)&amp;CHAR(MOD(COLUMN(EW92)-1,26)+65))&amp;$FI62&amp;""),"")</f>
        <v/>
      </c>
      <c r="FL62" s="78" t="str">
        <f t="array" aca="1" ref="FL62" ca="1">IF($FI62&lt;&gt;"",
INDIRECT(""&amp;IF(COLUMN(EX92)&lt;=26,CHAR(COLUMN(EX92)+64),CHAR(INT((COLUMN(EX92)-1)/26)+64)&amp;CHAR(MOD(COLUMN(EX92)-1,26)+65))&amp;$FI62&amp;""),"")</f>
        <v/>
      </c>
      <c r="FM62" s="78" t="str">
        <f t="array" aca="1" ref="FM62" ca="1">IF($FI62&lt;&gt;"",
IF(FL62="",
IF(INDIRECT("EY"&amp;$FI62&amp;"")&lt;&gt;"",
INDIRECT("EY"&amp;$FI62&amp;"")&amp;"箱"
&amp;INDIRECT("EZ"&amp;$FI62&amp;""),""),""),"")</f>
        <v/>
      </c>
      <c r="FN62" s="78" t="str">
        <f t="array" aca="1" ref="FN62" ca="1">IF($FI62&lt;&gt;"",
INDIRECT(""&amp;IF(COLUMN(FA92)&lt;=26,CHAR(COLUMN(FA92)+64),CHAR(INT((COLUMN(FA92)-1)/26)+64)&amp;CHAR(MOD(COLUMN(FA92)-1,26)+65))&amp;$FI62&amp;""),"")</f>
        <v/>
      </c>
      <c r="FO62" s="78" t="str">
        <f t="array" aca="1" ref="FO62" ca="1">IF($FI62&lt;&gt;"",
INDIRECT(""&amp;IF(COLUMN(FB92)&lt;=26,CHAR(COLUMN(FB92)+64),CHAR(INT((COLUMN(FB92)-1)/26)+64)&amp;CHAR(MOD(COLUMN(FB92)-1,26)+65))&amp;$FI62&amp;""),"")</f>
        <v/>
      </c>
      <c r="FP62" s="78" t="str">
        <f t="array" aca="1" ref="FP62" ca="1">IF($FI62&lt;&gt;"",
INDIRECT(""&amp;IF(COLUMN(FC92)&lt;=26,CHAR(COLUMN(FC92)+64),CHAR(INT((COLUMN(FC92)-1)/26)+64)&amp;CHAR(MOD(COLUMN(FC92)-1,26)+65))&amp;$FI62&amp;""),"")</f>
        <v/>
      </c>
      <c r="FQ62" s="78" t="str">
        <f t="array" aca="1" ref="FQ62" ca="1">IF($FI62&lt;&gt;"",
INDIRECT(""&amp;IF(COLUMN(FD92)&lt;=26,CHAR(COLUMN(FD92)+64),CHAR(INT((COLUMN(FD92)-1)/26)+64)&amp;CHAR(MOD(COLUMN(FD92)-1,26)+65))&amp;$FI62&amp;""),"")</f>
        <v/>
      </c>
      <c r="FR62" s="78" t="str">
        <f t="array" aca="1" ref="FR62" ca="1">IF($FI62&lt;&gt;"",
INDIRECT(""&amp;IF(COLUMN(FE92)&lt;=26,CHAR(COLUMN(FE92)+64),CHAR(INT((COLUMN(FE92)-1)/26)+64)&amp;CHAR(MOD(COLUMN(FE92)-1,26)+65))&amp;$FI62&amp;""),"")</f>
        <v/>
      </c>
      <c r="FS62" s="78" t="str">
        <f t="array" aca="1" ref="FS62" ca="1">IF($FI62&lt;&gt;"",
INDIRECT(""&amp;IF(COLUMN(FF92)&lt;=26,CHAR(COLUMN(FF92)+64),CHAR(INT((COLUMN(FF92)-1)/26)+64)&amp;CHAR(MOD(COLUMN(FF92)-1,26)+65))&amp;$FI62&amp;""),"")</f>
        <v/>
      </c>
    </row>
    <row r="63" spans="1:175" ht="21" customHeight="1" x14ac:dyDescent="0.45">
      <c r="B63" s="260" t="str">
        <f ca="1">IF(C60&lt;&gt;"",
IFERROR(INT(C60/C62),""),"")</f>
        <v/>
      </c>
      <c r="C63" s="261"/>
      <c r="D63" s="260" t="str">
        <f ca="1">IFERROR(MOD(C60,C62),"")</f>
        <v/>
      </c>
      <c r="E63" s="261"/>
      <c r="F63" s="256" t="str">
        <f ca="1">IF(C57&lt;&gt;"",G59+G60,"")</f>
        <v/>
      </c>
      <c r="G63" s="257"/>
      <c r="I63" s="260" t="str">
        <f ca="1">IF(J60&lt;&gt;"",
IFERROR(INT(J60/J62),""),"")</f>
        <v/>
      </c>
      <c r="J63" s="261"/>
      <c r="K63" s="260" t="str">
        <f ca="1">IFERROR(MOD(J60,J62),"")</f>
        <v/>
      </c>
      <c r="L63" s="261"/>
      <c r="M63" s="256" t="str">
        <f ca="1">IF(J57&lt;&gt;"",N59+N60,"")</f>
        <v/>
      </c>
      <c r="N63" s="257"/>
      <c r="Q63" s="260" t="str">
        <f ca="1">IF(R60&lt;&gt;"",
IFERROR(INT(R60/R62),""),"")</f>
        <v/>
      </c>
      <c r="R63" s="261"/>
      <c r="S63" s="260" t="str">
        <f ca="1">IFERROR(MOD(R60,R62),"")</f>
        <v/>
      </c>
      <c r="T63" s="261"/>
      <c r="U63" s="256" t="str">
        <f ca="1">IF(R57&lt;&gt;"",V59+V60,"")</f>
        <v/>
      </c>
      <c r="V63" s="257"/>
      <c r="X63" s="260" t="str">
        <f ca="1">IF(Y60&lt;&gt;"",
IFERROR(INT(Y60/Y62),""),"")</f>
        <v/>
      </c>
      <c r="Y63" s="261"/>
      <c r="Z63" s="260" t="str">
        <f ca="1">IFERROR(MOD(Y60,Y62),"")</f>
        <v/>
      </c>
      <c r="AA63" s="261"/>
      <c r="AB63" s="256" t="str">
        <f ca="1">IF(Y57&lt;&gt;"",AC59+AC60,"")</f>
        <v/>
      </c>
      <c r="AC63" s="257"/>
      <c r="AF63" s="260" t="str">
        <f ca="1">IF(AG60&lt;&gt;"",
IFERROR(INT(AG60/AG62),""),"")</f>
        <v/>
      </c>
      <c r="AG63" s="261"/>
      <c r="AH63" s="260" t="str">
        <f ca="1">IFERROR(MOD(AG60,AG62),"")</f>
        <v/>
      </c>
      <c r="AI63" s="261"/>
      <c r="AJ63" s="256" t="str">
        <f ca="1">IF(AG57&lt;&gt;"",AK59+AK60,"")</f>
        <v/>
      </c>
      <c r="AK63" s="257"/>
      <c r="AM63" s="260" t="str">
        <f ca="1">IF(AN60&lt;&gt;"",
IFERROR(INT(AN60/AN62),""),"")</f>
        <v/>
      </c>
      <c r="AN63" s="261"/>
      <c r="AO63" s="260" t="str">
        <f ca="1">IFERROR(MOD(AN60,AN62),"")</f>
        <v/>
      </c>
      <c r="AP63" s="261"/>
      <c r="AQ63" s="256" t="str">
        <f ca="1">IF(AN57&lt;&gt;"",AR59+AR60,"")</f>
        <v/>
      </c>
      <c r="AR63" s="257"/>
      <c r="AU63" s="260" t="str">
        <f ca="1">IF(AV60&lt;&gt;"",
IFERROR(INT(AV60/AV62),""),"")</f>
        <v/>
      </c>
      <c r="AV63" s="261"/>
      <c r="AW63" s="260" t="str">
        <f ca="1">IFERROR(MOD(AV60,AV62),"")</f>
        <v/>
      </c>
      <c r="AX63" s="261"/>
      <c r="AY63" s="256" t="str">
        <f ca="1">IF(AV57&lt;&gt;"",AZ59+AZ60,"")</f>
        <v/>
      </c>
      <c r="AZ63" s="257"/>
      <c r="BB63" s="260" t="str">
        <f ca="1">IF(BC60&lt;&gt;"",
IFERROR(INT(BC60/BC62),""),"")</f>
        <v/>
      </c>
      <c r="BC63" s="261"/>
      <c r="BD63" s="260" t="str">
        <f ca="1">IFERROR(MOD(BC60,BC62),"")</f>
        <v/>
      </c>
      <c r="BE63" s="261"/>
      <c r="BF63" s="256" t="str">
        <f ca="1">IF(BC57&lt;&gt;"",BG59+BG60,"")</f>
        <v/>
      </c>
      <c r="BG63" s="257"/>
      <c r="BJ63" s="260" t="str">
        <f ca="1">IF(BK60&lt;&gt;"",
IFERROR(INT(BK60/BK62),""),"")</f>
        <v/>
      </c>
      <c r="BK63" s="261"/>
      <c r="BL63" s="260" t="str">
        <f ca="1">IFERROR(MOD(BK60,BK62),"")</f>
        <v/>
      </c>
      <c r="BM63" s="261"/>
      <c r="BN63" s="256" t="str">
        <f ca="1">IF(BK57&lt;&gt;"",BO59+BO60,"")</f>
        <v/>
      </c>
      <c r="BO63" s="257"/>
      <c r="BQ63" s="260" t="str">
        <f ca="1">IF(BR60&lt;&gt;"",
IFERROR(INT(BR60/BR62),""),"")</f>
        <v/>
      </c>
      <c r="BR63" s="261"/>
      <c r="BS63" s="260" t="str">
        <f ca="1">IFERROR(MOD(BR60,BR62),"")</f>
        <v/>
      </c>
      <c r="BT63" s="261"/>
      <c r="BU63" s="256" t="str">
        <f ca="1">IF(BR57&lt;&gt;"",BV59+BV60,"")</f>
        <v/>
      </c>
      <c r="BV63" s="257"/>
      <c r="BY63" s="260" t="str">
        <f ca="1">IF(BZ60&lt;&gt;"",
IFERROR(INT(BZ60/BZ62),""),"")</f>
        <v/>
      </c>
      <c r="BZ63" s="261"/>
      <c r="CA63" s="260" t="str">
        <f ca="1">IFERROR(MOD(BZ60,BZ62),"")</f>
        <v/>
      </c>
      <c r="CB63" s="261"/>
      <c r="CC63" s="256" t="str">
        <f ca="1">IF(BZ57&lt;&gt;"",CD59+CD60,"")</f>
        <v/>
      </c>
      <c r="CD63" s="257"/>
      <c r="CF63" s="260" t="str">
        <f ca="1">IF(CG60&lt;&gt;"",
IFERROR(INT(CG60/CG62),""),"")</f>
        <v/>
      </c>
      <c r="CG63" s="261"/>
      <c r="CH63" s="260" t="str">
        <f ca="1">IFERROR(MOD(CG60,CG62),"")</f>
        <v/>
      </c>
      <c r="CI63" s="261"/>
      <c r="CJ63" s="256" t="str">
        <f ca="1">IF(CG57&lt;&gt;"",CK59+CK60,"")</f>
        <v/>
      </c>
      <c r="CK63" s="257"/>
      <c r="CN63" s="260" t="str">
        <f ca="1">IF(CO60&lt;&gt;"",
IFERROR(INT(CO60/CO62),""),"")</f>
        <v/>
      </c>
      <c r="CO63" s="261"/>
      <c r="CP63" s="260" t="str">
        <f ca="1">IFERROR(MOD(CO60,CO62),"")</f>
        <v/>
      </c>
      <c r="CQ63" s="261"/>
      <c r="CR63" s="256" t="str">
        <f ca="1">IF(CO57&lt;&gt;"",CS59+CS60,"")</f>
        <v/>
      </c>
      <c r="CS63" s="257"/>
      <c r="CU63" s="260" t="str">
        <f ca="1">IF(CV60&lt;&gt;"",
IFERROR(INT(CV60/CV62),""),"")</f>
        <v/>
      </c>
      <c r="CV63" s="261"/>
      <c r="CW63" s="260" t="str">
        <f ca="1">IFERROR(MOD(CV60,CV62),"")</f>
        <v/>
      </c>
      <c r="CX63" s="261"/>
      <c r="CY63" s="256" t="str">
        <f ca="1">IF(CV57&lt;&gt;"",CZ59+CZ60,"")</f>
        <v/>
      </c>
      <c r="CZ63" s="257"/>
      <c r="DC63" s="260" t="str">
        <f ca="1">IF(DD60&lt;&gt;"",
IFERROR(INT(DD60/DD62),""),"")</f>
        <v/>
      </c>
      <c r="DD63" s="261"/>
      <c r="DE63" s="260" t="str">
        <f ca="1">IFERROR(MOD(DD60,DD62),"")</f>
        <v/>
      </c>
      <c r="DF63" s="261"/>
      <c r="DG63" s="256" t="str">
        <f ca="1">IF(DD57&lt;&gt;"",DH59+DH60,"")</f>
        <v/>
      </c>
      <c r="DH63" s="257"/>
      <c r="DJ63" s="260" t="str">
        <f ca="1">IF(DK60&lt;&gt;"",
IFERROR(INT(DK60/DK62),""),"")</f>
        <v/>
      </c>
      <c r="DK63" s="261"/>
      <c r="DL63" s="260" t="str">
        <f ca="1">IFERROR(MOD(DK60,DK62),"")</f>
        <v/>
      </c>
      <c r="DM63" s="261"/>
      <c r="DN63" s="256" t="str">
        <f ca="1">IF(DK57&lt;&gt;"",DO59+DO60,"")</f>
        <v/>
      </c>
      <c r="DO63" s="257"/>
      <c r="DR63" s="260" t="str">
        <f ca="1">IF(DS60&lt;&gt;"",
IFERROR(INT(DS60/DS62),""),"")</f>
        <v/>
      </c>
      <c r="DS63" s="261"/>
      <c r="DT63" s="260" t="str">
        <f ca="1">IFERROR(MOD(DS60,DS62),"")</f>
        <v/>
      </c>
      <c r="DU63" s="261"/>
      <c r="DV63" s="256" t="str">
        <f ca="1">IF(DS57&lt;&gt;"",DW59+DW60,"")</f>
        <v/>
      </c>
      <c r="DW63" s="257"/>
      <c r="DY63" s="260" t="str">
        <f ca="1">IF(DZ60&lt;&gt;"",
IFERROR(INT(DZ60/DZ62),""),"")</f>
        <v/>
      </c>
      <c r="DZ63" s="261"/>
      <c r="EA63" s="260" t="str">
        <f ca="1">IFERROR(MOD(DZ60,DZ62),"")</f>
        <v/>
      </c>
      <c r="EB63" s="261"/>
      <c r="EC63" s="256" t="str">
        <f ca="1">IF(DZ57&lt;&gt;"",ED59+ED60,"")</f>
        <v/>
      </c>
      <c r="ED63" s="257"/>
      <c r="EG63" s="260" t="str">
        <f ca="1">IF(EH60&lt;&gt;"",
IFERROR(INT(EH60/EH62),""),"")</f>
        <v/>
      </c>
      <c r="EH63" s="261"/>
      <c r="EI63" s="260" t="str">
        <f ca="1">IFERROR(MOD(EH60,EH62),"")</f>
        <v/>
      </c>
      <c r="EJ63" s="261"/>
      <c r="EK63" s="256" t="str">
        <f ca="1">IF(EH57&lt;&gt;"",EL59+EL60,"")</f>
        <v/>
      </c>
      <c r="EL63" s="257"/>
      <c r="EN63" s="260" t="str">
        <f ca="1">IF(EO60&lt;&gt;"",
IFERROR(INT(EO60/EO62),""),"")</f>
        <v/>
      </c>
      <c r="EO63" s="261"/>
      <c r="EP63" s="260" t="str">
        <f ca="1">IFERROR(MOD(EO60,EO62),"")</f>
        <v/>
      </c>
      <c r="EQ63" s="261"/>
      <c r="ER63" s="256" t="str">
        <f ca="1">IF(EO57&lt;&gt;"",ES59+ES60,"")</f>
        <v/>
      </c>
      <c r="ES63" s="257"/>
      <c r="ET63" s="71"/>
      <c r="EU63" s="78">
        <f t="shared" si="4"/>
        <v>112</v>
      </c>
      <c r="EV63" s="78" t="str">
        <f t="array" aca="1" ref="EV63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LEN(SUBSTITUTE(_xlfn.FORMULATEXT(EV$37),"=","")))+$EU63)</f>
        <v/>
      </c>
      <c r="EW63" s="78" t="str">
        <f t="array" aca="1" ref="EW63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LEN(SUBSTITUTE(_xlfn.FORMULATEXT(EW$37),"=","")))+$EU63)</f>
        <v/>
      </c>
      <c r="EX63" s="78" t="str">
        <f t="array" aca="1" ref="EX63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LEN(SUBSTITUTE(_xlfn.FORMULATEXT(EX$37),"=","")))+$EU63)</f>
        <v/>
      </c>
      <c r="EY63" s="78" t="str">
        <f t="array" aca="1" ref="EY63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LEN(SUBSTITUTE(_xlfn.FORMULATEXT(EY$37),"=","")))+$EU63)</f>
        <v/>
      </c>
      <c r="EZ63" s="78" t="str">
        <f t="array" aca="1" ref="EZ63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LEN(SUBSTITUTE(_xlfn.FORMULATEXT(EZ$37),"=","")))+$EU63)</f>
        <v/>
      </c>
      <c r="FA63" s="78" t="str">
        <f t="array" aca="1" ref="FA63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LEN(SUBSTITUTE(_xlfn.FORMULATEXT(FA$37),"=","")))+$EU63)</f>
        <v/>
      </c>
      <c r="FB63" s="78" t="str">
        <f t="array" aca="1" ref="FB63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LEN(SUBSTITUTE(_xlfn.FORMULATEXT(FB$37),"=","")))+$EU63)</f>
        <v/>
      </c>
      <c r="FC63" s="78" t="str">
        <f t="array" aca="1" ref="FC63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LEN(SUBSTITUTE(_xlfn.FORMULATEXT(FC$37),"=","")))+$EU63)</f>
        <v/>
      </c>
      <c r="FD63" s="78" t="str">
        <f t="array" aca="1" ref="FD63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LEN(SUBSTITUTE(_xlfn.FORMULATEXT(FD$37),"=","")))+$EU63)</f>
        <v/>
      </c>
      <c r="FE63" s="78" t="str">
        <f t="array" aca="1" ref="FE63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LEN(SUBSTITUTE(_xlfn.FORMULATEXT(FE$37),"=","")))+$EU63)</f>
        <v/>
      </c>
      <c r="FF63" s="78" t="str">
        <f t="array" aca="1" ref="FF63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LEN(SUBSTITUTE(_xlfn.FORMULATEXT(FF$37),"=","")))+$EU63)</f>
        <v/>
      </c>
      <c r="FG63" s="78">
        <f t="shared" ca="1" si="6"/>
        <v>0</v>
      </c>
      <c r="FH63" s="78" t="b">
        <f t="array" aca="1" ref="FH63" ca="1">SUMPRODUCT((LEN(EV63:FF63)&gt;0)*1)&gt;0</f>
        <v>0</v>
      </c>
      <c r="FI63" s="78" t="str">
        <f t="array" aca="1" ref="FI63" ca="1">IFERROR(SMALL(IF(FG$1:FG$228&lt;&gt;0,FG$1:FG$228),ROW(A63)),"")</f>
        <v/>
      </c>
      <c r="FJ63" s="78" t="str">
        <f t="array" aca="1" ref="FJ63" ca="1">IF($FI63&lt;&gt;"",
INDIRECT(""&amp;IF(COLUMN(EV94)&lt;=26,CHAR(COLUMN(EV94)+64),CHAR(INT((COLUMN(EV94)-1)/26)+64)&amp;CHAR(MOD(COLUMN(EV94)-1,26)+65))&amp;$FI63&amp;""),"")</f>
        <v/>
      </c>
      <c r="FK63" s="78" t="str">
        <f t="array" aca="1" ref="FK63" ca="1">IF($FI63&lt;&gt;"",
INDIRECT(""&amp;IF(COLUMN(EW94)&lt;=26,CHAR(COLUMN(EW94)+64),CHAR(INT((COLUMN(EW94)-1)/26)+64)&amp;CHAR(MOD(COLUMN(EW94)-1,26)+65))&amp;$FI63&amp;""),"")</f>
        <v/>
      </c>
      <c r="FL63" s="78" t="str">
        <f t="array" aca="1" ref="FL63" ca="1">IF($FI63&lt;&gt;"",
INDIRECT(""&amp;IF(COLUMN(EX94)&lt;=26,CHAR(COLUMN(EX94)+64),CHAR(INT((COLUMN(EX94)-1)/26)+64)&amp;CHAR(MOD(COLUMN(EX94)-1,26)+65))&amp;$FI63&amp;""),"")</f>
        <v/>
      </c>
      <c r="FM63" s="78" t="str">
        <f t="array" aca="1" ref="FM63" ca="1">IF($FI63&lt;&gt;"",
IF(FL63="",
IF(INDIRECT("EY"&amp;$FI63&amp;"")&lt;&gt;"",
INDIRECT("EY"&amp;$FI63&amp;"")&amp;"箱"
&amp;INDIRECT("EZ"&amp;$FI63&amp;""),""),""),"")</f>
        <v/>
      </c>
      <c r="FN63" s="78" t="str">
        <f t="array" aca="1" ref="FN63" ca="1">IF($FI63&lt;&gt;"",
INDIRECT(""&amp;IF(COLUMN(FA94)&lt;=26,CHAR(COLUMN(FA94)+64),CHAR(INT((COLUMN(FA94)-1)/26)+64)&amp;CHAR(MOD(COLUMN(FA94)-1,26)+65))&amp;$FI63&amp;""),"")</f>
        <v/>
      </c>
      <c r="FO63" s="78" t="str">
        <f t="array" aca="1" ref="FO63" ca="1">IF($FI63&lt;&gt;"",
INDIRECT(""&amp;IF(COLUMN(FB94)&lt;=26,CHAR(COLUMN(FB94)+64),CHAR(INT((COLUMN(FB94)-1)/26)+64)&amp;CHAR(MOD(COLUMN(FB94)-1,26)+65))&amp;$FI63&amp;""),"")</f>
        <v/>
      </c>
      <c r="FP63" s="78" t="str">
        <f t="array" aca="1" ref="FP63" ca="1">IF($FI63&lt;&gt;"",
INDIRECT(""&amp;IF(COLUMN(FC94)&lt;=26,CHAR(COLUMN(FC94)+64),CHAR(INT((COLUMN(FC94)-1)/26)+64)&amp;CHAR(MOD(COLUMN(FC94)-1,26)+65))&amp;$FI63&amp;""),"")</f>
        <v/>
      </c>
      <c r="FQ63" s="78" t="str">
        <f t="array" aca="1" ref="FQ63" ca="1">IF($FI63&lt;&gt;"",
INDIRECT(""&amp;IF(COLUMN(FD94)&lt;=26,CHAR(COLUMN(FD94)+64),CHAR(INT((COLUMN(FD94)-1)/26)+64)&amp;CHAR(MOD(COLUMN(FD94)-1,26)+65))&amp;$FI63&amp;""),"")</f>
        <v/>
      </c>
      <c r="FR63" s="78" t="str">
        <f t="array" aca="1" ref="FR63" ca="1">IF($FI63&lt;&gt;"",
INDIRECT(""&amp;IF(COLUMN(FE94)&lt;=26,CHAR(COLUMN(FE94)+64),CHAR(INT((COLUMN(FE94)-1)/26)+64)&amp;CHAR(MOD(COLUMN(FE94)-1,26)+65))&amp;$FI63&amp;""),"")</f>
        <v/>
      </c>
      <c r="FS63" s="78" t="str">
        <f t="array" aca="1" ref="FS63" ca="1">IF($FI63&lt;&gt;"",
INDIRECT(""&amp;IF(COLUMN(FF94)&lt;=26,CHAR(COLUMN(FF94)+64),CHAR(INT((COLUMN(FF94)-1)/26)+64)&amp;CHAR(MOD(COLUMN(FF94)-1,26)+65))&amp;$FI63&amp;""),"")</f>
        <v/>
      </c>
    </row>
    <row r="64" spans="1:175" s="78" customFormat="1" ht="18" customHeight="1" x14ac:dyDescent="0.55000000000000004">
      <c r="A64" s="76"/>
      <c r="B64" s="77" t="str" cm="1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247" t="str">
        <f ca="1">IF(C67&lt;&gt;"",C22,"")</f>
        <v/>
      </c>
      <c r="D64" s="247"/>
      <c r="E64" s="247"/>
      <c r="F64" s="247"/>
      <c r="G64" s="231" t="str">
        <f>SUBSTITUTE(ADDRESS(1,
COLUMN(),1),"1","")</f>
        <v>$G$</v>
      </c>
      <c r="H64" s="76"/>
      <c r="I64" s="77" t="str" cm="1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247" t="str">
        <f ca="1">IF(J67&lt;&gt;"",J22,"")</f>
        <v/>
      </c>
      <c r="K64" s="247"/>
      <c r="L64" s="247"/>
      <c r="M64" s="247"/>
      <c r="N64" s="231" t="str">
        <f>SUBSTITUTE(ADDRESS(1,
COLUMN(),1),"1","")</f>
        <v>$N$</v>
      </c>
      <c r="O64" s="76"/>
      <c r="P64" s="76"/>
      <c r="Q64" s="77" t="str" cm="1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247" t="str">
        <f ca="1">IF(R67&lt;&gt;"",R22,"")</f>
        <v/>
      </c>
      <c r="S64" s="247"/>
      <c r="T64" s="247"/>
      <c r="U64" s="247"/>
      <c r="V64" s="231" t="str">
        <f>SUBSTITUTE(ADDRESS(1,
COLUMN(),1),"1","")</f>
        <v>$V$</v>
      </c>
      <c r="W64" s="76"/>
      <c r="X64" s="77" t="str" cm="1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247" t="str">
        <f ca="1">IF(Y67&lt;&gt;"",Y22,"")</f>
        <v/>
      </c>
      <c r="Z64" s="247"/>
      <c r="AA64" s="247"/>
      <c r="AB64" s="247"/>
      <c r="AC64" s="231" t="str">
        <f>SUBSTITUTE(ADDRESS(1,
COLUMN(),1),"1","")</f>
        <v>$AC$</v>
      </c>
      <c r="AD64" s="76"/>
      <c r="AE64" s="76"/>
      <c r="AF64" s="77" t="str" cm="1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247" t="str">
        <f ca="1">IF(AG67&lt;&gt;"",AG22,"")</f>
        <v/>
      </c>
      <c r="AH64" s="247"/>
      <c r="AI64" s="247"/>
      <c r="AJ64" s="247"/>
      <c r="AK64" s="231" t="str">
        <f>SUBSTITUTE(ADDRESS(1,
COLUMN(),1),"1","")</f>
        <v>$AK$</v>
      </c>
      <c r="AL64" s="76"/>
      <c r="AM64" s="77" t="str" cm="1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247" t="str">
        <f ca="1">IF(AN67&lt;&gt;"",AN22,"")</f>
        <v/>
      </c>
      <c r="AO64" s="247"/>
      <c r="AP64" s="247"/>
      <c r="AQ64" s="247"/>
      <c r="AR64" s="231" t="str">
        <f>SUBSTITUTE(ADDRESS(1,
COLUMN(),1),"1","")</f>
        <v>$AR$</v>
      </c>
      <c r="AS64" s="76"/>
      <c r="AT64" s="76"/>
      <c r="AU64" s="77" t="str" cm="1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247" t="str">
        <f ca="1">IF(AV67&lt;&gt;"",AV22,"")</f>
        <v/>
      </c>
      <c r="AW64" s="247"/>
      <c r="AX64" s="247"/>
      <c r="AY64" s="247"/>
      <c r="AZ64" s="231" t="str">
        <f>SUBSTITUTE(ADDRESS(1,
COLUMN(),1),"1","")</f>
        <v>$AZ$</v>
      </c>
      <c r="BA64" s="76"/>
      <c r="BB64" s="77" t="str" cm="1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247" t="str">
        <f ca="1">IF(BC67&lt;&gt;"",BC22,"")</f>
        <v/>
      </c>
      <c r="BD64" s="247"/>
      <c r="BE64" s="247"/>
      <c r="BF64" s="247"/>
      <c r="BG64" s="231" t="str">
        <f>SUBSTITUTE(ADDRESS(1,
COLUMN(),1),"1","")</f>
        <v>$BG$</v>
      </c>
      <c r="BH64" s="76"/>
      <c r="BI64" s="76"/>
      <c r="BJ64" s="77" t="str" cm="1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247" t="str">
        <f ca="1">IF(BK67&lt;&gt;"",BK22,"")</f>
        <v/>
      </c>
      <c r="BL64" s="247"/>
      <c r="BM64" s="247"/>
      <c r="BN64" s="247"/>
      <c r="BO64" s="231" t="str">
        <f>SUBSTITUTE(ADDRESS(1,
COLUMN(),1),"1","")</f>
        <v>$BO$</v>
      </c>
      <c r="BP64" s="76"/>
      <c r="BQ64" s="77" t="str" cm="1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247" t="str">
        <f ca="1">IF(BR67&lt;&gt;"",BR22,"")</f>
        <v/>
      </c>
      <c r="BS64" s="247"/>
      <c r="BT64" s="247"/>
      <c r="BU64" s="247"/>
      <c r="BV64" s="231" t="str">
        <f>SUBSTITUTE(ADDRESS(1,
COLUMN(),1),"1","")</f>
        <v>$BV$</v>
      </c>
      <c r="BW64" s="76"/>
      <c r="BX64" s="76"/>
      <c r="BY64" s="77" t="str" cm="1">
        <f t="array" aca="1" ref="BY64" ca="1">IF(COUNTIF(CD22,"*合計*"),"",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</f>
        <v/>
      </c>
      <c r="BZ64" s="247" t="str">
        <f ca="1">IF(BZ67&lt;&gt;"",BZ22,"")</f>
        <v/>
      </c>
      <c r="CA64" s="247"/>
      <c r="CB64" s="247"/>
      <c r="CC64" s="247"/>
      <c r="CD64" s="231" t="str">
        <f>SUBSTITUTE(ADDRESS(1,
COLUMN(),1),"1","")</f>
        <v>$CD$</v>
      </c>
      <c r="CE64" s="76"/>
      <c r="CF64" s="77" t="str" cm="1">
        <f t="array" aca="1" ref="CF64" ca="1">IF(COUNTIF(CK22,"*合計*"),"",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</f>
        <v/>
      </c>
      <c r="CG64" s="247" t="str">
        <f ca="1">IF(CG67&lt;&gt;"",CG22,"")</f>
        <v/>
      </c>
      <c r="CH64" s="247"/>
      <c r="CI64" s="247"/>
      <c r="CJ64" s="247"/>
      <c r="CK64" s="231" t="str">
        <f>SUBSTITUTE(ADDRESS(1,
COLUMN(),1),"1","")</f>
        <v>$CK$</v>
      </c>
      <c r="CL64" s="76"/>
      <c r="CM64" s="76"/>
      <c r="CN64" s="77" t="str" cm="1">
        <f t="array" aca="1" ref="CN64" ca="1">IF(COUNTIF(CS22,"*合計*"),"",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</f>
        <v/>
      </c>
      <c r="CO64" s="247" t="str">
        <f ca="1">IF(CO67&lt;&gt;"",CO22,"")</f>
        <v/>
      </c>
      <c r="CP64" s="247"/>
      <c r="CQ64" s="247"/>
      <c r="CR64" s="247"/>
      <c r="CS64" s="231" t="str">
        <f>SUBSTITUTE(ADDRESS(1,
COLUMN(),1),"1","")</f>
        <v>$CS$</v>
      </c>
      <c r="CT64" s="76"/>
      <c r="CU64" s="77" t="str" cm="1">
        <f t="array" aca="1" ref="CU64" ca="1">IF(COUNTIF(CZ22,"*合計*"),"",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</f>
        <v/>
      </c>
      <c r="CV64" s="247" t="str">
        <f ca="1">IF(CV67&lt;&gt;"",CV22,"")</f>
        <v/>
      </c>
      <c r="CW64" s="247"/>
      <c r="CX64" s="247"/>
      <c r="CY64" s="247"/>
      <c r="CZ64" s="231" t="str">
        <f>SUBSTITUTE(ADDRESS(1,
COLUMN(),1),"1","")</f>
        <v>$CZ$</v>
      </c>
      <c r="DA64" s="76"/>
      <c r="DB64" s="76"/>
      <c r="DC64" s="77" t="str" cm="1">
        <f t="array" aca="1" ref="DC64" ca="1">IF(COUNTIF(DH22,"*合計*"),"",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</f>
        <v/>
      </c>
      <c r="DD64" s="247" t="str">
        <f ca="1">IF(DD67&lt;&gt;"",DD22,"")</f>
        <v/>
      </c>
      <c r="DE64" s="247"/>
      <c r="DF64" s="247"/>
      <c r="DG64" s="247"/>
      <c r="DH64" s="231" t="str">
        <f>SUBSTITUTE(ADDRESS(1,
COLUMN(),1),"1","")</f>
        <v>$DH$</v>
      </c>
      <c r="DI64" s="76"/>
      <c r="DJ64" s="77" t="str" cm="1">
        <f t="array" aca="1" ref="DJ64" ca="1">IF(COUNTIF(DO22,"*合計*"),"",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</f>
        <v/>
      </c>
      <c r="DK64" s="247" t="str">
        <f ca="1">IF(DK67&lt;&gt;"",DK22,"")</f>
        <v/>
      </c>
      <c r="DL64" s="247"/>
      <c r="DM64" s="247"/>
      <c r="DN64" s="247"/>
      <c r="DO64" s="231" t="str">
        <f>SUBSTITUTE(ADDRESS(1,
COLUMN(),1),"1","")</f>
        <v>$DO$</v>
      </c>
      <c r="DP64" s="76"/>
      <c r="DQ64" s="76"/>
      <c r="DR64" s="77" t="str" cm="1">
        <f t="array" aca="1" ref="DR64" ca="1">IF(COUNTIF(DW22,"*合計*"),"",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</f>
        <v/>
      </c>
      <c r="DS64" s="247" t="str">
        <f ca="1">IF(DS67&lt;&gt;"",DS22,"")</f>
        <v/>
      </c>
      <c r="DT64" s="247"/>
      <c r="DU64" s="247"/>
      <c r="DV64" s="247"/>
      <c r="DW64" s="231" t="str">
        <f>SUBSTITUTE(ADDRESS(1,
COLUMN(),1),"1","")</f>
        <v>$DW$</v>
      </c>
      <c r="DX64" s="76"/>
      <c r="DY64" s="77" t="str" cm="1">
        <f t="array" aca="1" ref="DY64" ca="1">IF(COUNTIF(ED22,"*合計*"),"",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</f>
        <v/>
      </c>
      <c r="DZ64" s="247" t="str">
        <f ca="1">IF(DZ67&lt;&gt;"",DZ22,"")</f>
        <v/>
      </c>
      <c r="EA64" s="247"/>
      <c r="EB64" s="247"/>
      <c r="EC64" s="247"/>
      <c r="ED64" s="231" t="str">
        <f>SUBSTITUTE(ADDRESS(1,
COLUMN(),1),"1","")</f>
        <v>$ED$</v>
      </c>
      <c r="EE64" s="76"/>
      <c r="EF64" s="76"/>
      <c r="EG64" s="77" t="str" cm="1">
        <f t="array" aca="1" ref="EG64" ca="1">IF(COUNTIF(EL22,"*合計*"),"",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</f>
        <v/>
      </c>
      <c r="EH64" s="247" t="str">
        <f ca="1">IF(EH67&lt;&gt;"",EH22,"")</f>
        <v/>
      </c>
      <c r="EI64" s="247"/>
      <c r="EJ64" s="247"/>
      <c r="EK64" s="247"/>
      <c r="EL64" s="231" t="str">
        <f>SUBSTITUTE(ADDRESS(1,
COLUMN(),1),"1","")</f>
        <v>$EL$</v>
      </c>
      <c r="EM64" s="76"/>
      <c r="EN64" s="77" t="str" cm="1">
        <f t="array" aca="1" ref="EN64" ca="1">IF(COUNTIF(ES22,"*合計*"),"",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</f>
        <v/>
      </c>
      <c r="EO64" s="247" t="str">
        <f ca="1">IF(EO67&lt;&gt;"",EO22,"")</f>
        <v/>
      </c>
      <c r="EP64" s="247"/>
      <c r="EQ64" s="247"/>
      <c r="ER64" s="247"/>
      <c r="ES64" s="231" t="str">
        <f>SUBSTITUTE(ADDRESS(1,
COLUMN(),1),"1","")</f>
        <v>$ES$</v>
      </c>
      <c r="ET64" s="106"/>
      <c r="EU64" s="87">
        <f t="shared" si="4"/>
        <v>28</v>
      </c>
      <c r="EV64" s="78" t="str">
        <f t="array" aca="1" ref="EV64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LEN(SUBSTITUTE(_xlfn.FORMULATEXT(EV$40),"=","")))+$EU64)</f>
        <v/>
      </c>
      <c r="EW64" s="78" t="str">
        <f t="array" aca="1" ref="EW64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LEN(SUBSTITUTE(_xlfn.FORMULATEXT(EW$40),"=","")))+$EU64)</f>
        <v/>
      </c>
      <c r="EX64" s="78" t="str">
        <f t="array" aca="1" ref="EX64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LEN(SUBSTITUTE(_xlfn.FORMULATEXT(EX$40),"=","")))+$EU64)</f>
        <v/>
      </c>
      <c r="EY64" s="78" t="str">
        <f t="array" aca="1" ref="EY64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LEN(SUBSTITUTE(_xlfn.FORMULATEXT(EY$40),"=","")))+$EU64)</f>
        <v/>
      </c>
      <c r="EZ64" s="78" t="str">
        <f t="array" aca="1" ref="EZ64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LEN(SUBSTITUTE(_xlfn.FORMULATEXT(EZ$40),"=","")))+$EU64)</f>
        <v/>
      </c>
      <c r="FA64" s="78" t="e">
        <f t="array" aca="1" ref="FA64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LEN(SUBSTITUTE(_xlfn.FORMULATEXT(FA$40),"=","")))+$EU64)</f>
        <v>#VALUE!</v>
      </c>
      <c r="FB64" s="78" t="e">
        <f t="array" aca="1" ref="FB64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LEN(SUBSTITUTE(_xlfn.FORMULATEXT(FB$40),"=","")))+$EU64)</f>
        <v>#VALUE!</v>
      </c>
      <c r="FC64" s="78" t="str">
        <f t="array" aca="1" ref="FC64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LEN(SUBSTITUTE(_xlfn.FORMULATEXT(FC$40),"=","")))+$EU64)</f>
        <v/>
      </c>
      <c r="FD64" s="78" t="e">
        <f t="array" aca="1" ref="FD64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LEN(SUBSTITUTE(_xlfn.FORMULATEXT(FD$40),"=","")))+$EU64)</f>
        <v>#VALUE!</v>
      </c>
      <c r="FE64" s="78" t="str">
        <f t="array" aca="1" ref="FE64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LEN(SUBSTITUTE(_xlfn.FORMULATEXT(FE$40),"=","")))+$EU64)</f>
        <v/>
      </c>
      <c r="FF64" s="78" t="e">
        <f t="array" aca="1" ref="FF64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LEN(SUBSTITUTE(_xlfn.FORMULATEXT(FF$40),"=","")))+$EU64)</f>
        <v>#VALUE!</v>
      </c>
      <c r="FG64" s="78">
        <f t="shared" ca="1" si="6"/>
        <v>0</v>
      </c>
      <c r="FH64" s="78" t="e">
        <f t="array" aca="1" ref="FH64" ca="1">SUMPRODUCT((LEN(EV64:FF64)&gt;0)*1)&gt;0</f>
        <v>#VALUE!</v>
      </c>
      <c r="FI64" s="78" t="str">
        <f t="array" aca="1" ref="FI64" ca="1">IFERROR(SMALL(IF(FG$1:FG$228&lt;&gt;0,FG$1:FG$228),ROW(A64)),"")</f>
        <v/>
      </c>
      <c r="FJ64" s="78" t="str">
        <f t="array" aca="1" ref="FJ64" ca="1">IF($FI64&lt;&gt;"",
INDIRECT(""&amp;IF(COLUMN(EV95)&lt;=26,CHAR(COLUMN(EV95)+64),CHAR(INT((COLUMN(EV95)-1)/26)+64)&amp;CHAR(MOD(COLUMN(EV95)-1,26)+65))&amp;$FI64&amp;""),"")</f>
        <v/>
      </c>
      <c r="FK64" s="78" t="str">
        <f t="array" aca="1" ref="FK64" ca="1">IF($FI64&lt;&gt;"",
INDIRECT(""&amp;IF(COLUMN(EW95)&lt;=26,CHAR(COLUMN(EW95)+64),CHAR(INT((COLUMN(EW95)-1)/26)+64)&amp;CHAR(MOD(COLUMN(EW95)-1,26)+65))&amp;$FI64&amp;""),"")</f>
        <v/>
      </c>
      <c r="FL64" s="78" t="str">
        <f t="array" aca="1" ref="FL64" ca="1">IF($FI64&lt;&gt;"",
INDIRECT(""&amp;IF(COLUMN(EX95)&lt;=26,CHAR(COLUMN(EX95)+64),CHAR(INT((COLUMN(EX95)-1)/26)+64)&amp;CHAR(MOD(COLUMN(EX95)-1,26)+65))&amp;$FI64&amp;""),"")</f>
        <v/>
      </c>
      <c r="FM64" s="78" t="str">
        <f t="array" aca="1" ref="FM64" ca="1">IF($FI64&lt;&gt;"",
IF(FL64="",
IF(INDIRECT("EY"&amp;$FI64&amp;"")&lt;&gt;"",
INDIRECT("EY"&amp;$FI64&amp;"")&amp;"箱"
&amp;INDIRECT("EZ"&amp;$FI64&amp;""),""),""),"")</f>
        <v/>
      </c>
      <c r="FN64" s="78" t="str">
        <f t="array" aca="1" ref="FN64" ca="1">IF($FI64&lt;&gt;"",
INDIRECT(""&amp;IF(COLUMN(FA95)&lt;=26,CHAR(COLUMN(FA95)+64),CHAR(INT((COLUMN(FA95)-1)/26)+64)&amp;CHAR(MOD(COLUMN(FA95)-1,26)+65))&amp;$FI64&amp;""),"")</f>
        <v/>
      </c>
      <c r="FO64" s="78" t="str">
        <f t="array" aca="1" ref="FO64" ca="1">IF($FI64&lt;&gt;"",
INDIRECT(""&amp;IF(COLUMN(FB95)&lt;=26,CHAR(COLUMN(FB95)+64),CHAR(INT((COLUMN(FB95)-1)/26)+64)&amp;CHAR(MOD(COLUMN(FB95)-1,26)+65))&amp;$FI64&amp;""),"")</f>
        <v/>
      </c>
      <c r="FP64" s="78" t="str">
        <f t="array" aca="1" ref="FP64" ca="1">IF($FI64&lt;&gt;"",
INDIRECT(""&amp;IF(COLUMN(FC95)&lt;=26,CHAR(COLUMN(FC95)+64),CHAR(INT((COLUMN(FC95)-1)/26)+64)&amp;CHAR(MOD(COLUMN(FC95)-1,26)+65))&amp;$FI64&amp;""),"")</f>
        <v/>
      </c>
      <c r="FQ64" s="78" t="str">
        <f t="array" aca="1" ref="FQ64" ca="1">IF($FI64&lt;&gt;"",
INDIRECT(""&amp;IF(COLUMN(FD95)&lt;=26,CHAR(COLUMN(FD95)+64),CHAR(INT((COLUMN(FD95)-1)/26)+64)&amp;CHAR(MOD(COLUMN(FD95)-1,26)+65))&amp;$FI64&amp;""),"")</f>
        <v/>
      </c>
      <c r="FR64" s="78" t="str">
        <f t="array" aca="1" ref="FR64" ca="1">IF($FI64&lt;&gt;"",
INDIRECT(""&amp;IF(COLUMN(FE95)&lt;=26,CHAR(COLUMN(FE95)+64),CHAR(INT((COLUMN(FE95)-1)/26)+64)&amp;CHAR(MOD(COLUMN(FE95)-1,26)+65))&amp;$FI64&amp;""),"")</f>
        <v/>
      </c>
      <c r="FS64" s="78" t="str">
        <f t="array" aca="1" ref="FS64" ca="1">IF($FI64&lt;&gt;"",
INDIRECT(""&amp;IF(COLUMN(FF95)&lt;=26,CHAR(COLUMN(FF95)+64),CHAR(INT((COLUMN(FF95)-1)/26)+64)&amp;CHAR(MOD(COLUMN(FF95)-1,26)+65))&amp;$FI64&amp;""),"")</f>
        <v/>
      </c>
    </row>
    <row r="65" spans="1:175" s="78" customFormat="1" ht="18" customHeight="1" x14ac:dyDescent="0.55000000000000004">
      <c r="A65" s="76"/>
      <c r="B65" s="81" t="e" cm="1">
        <f t="array" aca="1" ref="B65" ca="1">IF(INDIRECT(""&amp;SUBSTITUTE(ADDRESS(1,
COLUMN(),1),"1","")&amp;ROW()-41&amp;"")&lt;&gt;100,
IF(C67&lt;&gt;"",MATCH(C67,INDIRECT("数出表_Excel!B"&amp;MATCH(INDIRECT(""&amp;G64&amp;ROW()-43&amp;""),数出表_Excel!$A:$A,0)-1&amp;":U"&amp;MATCH(INDIRECT(""&amp;G64&amp;ROW()-43&amp;""),数出表_Excel!$A:$A,0)-1&amp;""),0)+1,""),
IF(C67&lt;&gt;"",
MATCH(
IFERROR(
INDEX(INDIRECT("数出表_Excel!"&amp;B64&amp;MATCH(INDIRECT(""&amp;G64&amp;ROW()-43&amp;""),数出表_Excel!$A:$A,0)-1&amp;":U"&amp;MATCH(INDIRECT(""&amp;G64&amp;ROW()-43&amp;""),数出表_Excel!$A:$A,0)-1&amp;""),
 1,
 MATCH(TRUE, ISNUMBER(--INDIRECT("数出表_Excel!"&amp;B64&amp;MATCH(INDIRECT(""&amp;G64&amp;ROW()-43&amp;""),数出表_Excel!$A:$A,0)-1&amp;":U"&amp;MATCH(INDIRECT(""&amp;G64&amp;ROW()-43&amp;""),数出表_Excel!$A:$A,0)-1&amp;"")), 0)),
 ""),
INDIRECT("数出表_Excel!B"&amp;MATCH(INDIRECT(""&amp;G64&amp;ROW()-43&amp;""),数出表_Excel!$A:$A,0)-1&amp;":U"&amp;MATCH(INDIRECT(""&amp;G64&amp;ROW()-43&amp;""),数出表_Excel!$A:$A,0)-1&amp;""),0)+1,""))</f>
        <v>#VALUE!</v>
      </c>
      <c r="C65" s="58" t="str" cm="1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76"/>
      <c r="E65" s="82" t="str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83" t="str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92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76"/>
      <c r="I65" s="81" t="e" cm="1">
        <f t="array" aca="1" ref="I65" ca="1">IF(INDIRECT(""&amp;SUBSTITUTE(ADDRESS(1,
COLUMN(),1),"1","")&amp;ROW()-41&amp;"")&lt;&gt;100,
IF(J67&lt;&gt;"",MATCH(J67,INDIRECT("数出表_Excel!B"&amp;MATCH(INDIRECT(""&amp;N64&amp;ROW()-43&amp;""),数出表_Excel!$A:$A,0)-1&amp;":U"&amp;MATCH(INDIRECT(""&amp;N64&amp;ROW()-43&amp;""),数出表_Excel!$A:$A,0)-1&amp;""),0)+1,""),
IF(J67&lt;&gt;"",
MATCH(
IFERROR(
INDEX(INDIRECT("数出表_Excel!"&amp;I64&amp;MATCH(INDIRECT(""&amp;N64&amp;ROW()-43&amp;""),数出表_Excel!$A:$A,0)-1&amp;":U"&amp;MATCH(INDIRECT(""&amp;N64&amp;ROW()-43&amp;""),数出表_Excel!$A:$A,0)-1&amp;""),
 1,
 MATCH(TRUE, ISNUMBER(--INDIRECT("数出表_Excel!"&amp;I64&amp;MATCH(INDIRECT(""&amp;N64&amp;ROW()-43&amp;""),数出表_Excel!$A:$A,0)-1&amp;":U"&amp;MATCH(INDIRECT(""&amp;N64&amp;ROW()-43&amp;""),数出表_Excel!$A:$A,0)-1&amp;"")), 0)),
 ""),
INDIRECT("数出表_Excel!B"&amp;MATCH(INDIRECT(""&amp;N64&amp;ROW()-43&amp;""),数出表_Excel!$A:$A,0)-1&amp;":U"&amp;MATCH(INDIRECT(""&amp;N64&amp;ROW()-43&amp;""),数出表_Excel!$A:$A,0)-1&amp;""),0)+1,""))</f>
        <v>#VALUE!</v>
      </c>
      <c r="J65" s="58" t="str" cm="1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76"/>
      <c r="L65" s="82" t="str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+MATCH(TRUE,INDIRECT("'数出表_Excel'!"&amp;I64&amp;MATCH(N22,数出表_Excel!$A:$A,0)-1&amp;":AL"&amp;MATCH(N22,数出表_Excel!$A:$A,0)-1&amp;"")&lt;&gt;"",0))&gt;12,"",
IFERROR(
INDEX(INDIRECT("数出表_Excel!$"&amp;I64&amp;"4:$AL4"),
 1,
MATCH(TRUE,INDIRECT("'数出表_Excel'!"&amp;I64&amp;MATCH(N22,数出表_Excel!$A:$A,0)-1&amp;":AL"&amp;MATCH(N22,数出表_Excel!$A:$A,0)-1&amp;"")&lt;&gt;"",0)
),
 "")
&amp;IFERROR(
INDEX(INDIRECT("数出表_Excel!$"&amp;I64&amp;"5:$AL5"),
 1,
MATCH(TRUE,INDIRECT("'数出表_Excel'!"&amp;I64&amp;MATCH(N22,数出表_Excel!$A:$A,0)-1&amp;":AL"&amp;MATCH(N22,数出表_Excel!$A:$A,0)-1&amp;"")&lt;&gt;"",0)),
 "")),"")))</f>
        <v/>
      </c>
      <c r="M65" s="83" t="str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92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76"/>
      <c r="P65" s="76"/>
      <c r="Q65" s="81" t="e" cm="1">
        <f t="array" aca="1" ref="Q65" ca="1">IF(INDIRECT(""&amp;SUBSTITUTE(ADDRESS(1,
COLUMN(),1),"1","")&amp;ROW()-41&amp;"")&lt;&gt;100,
IF(R67&lt;&gt;"",MATCH(R67,INDIRECT("数出表_Excel!B"&amp;MATCH(INDIRECT(""&amp;V64&amp;ROW()-43&amp;""),数出表_Excel!$A:$A,0)-1&amp;":U"&amp;MATCH(INDIRECT(""&amp;V64&amp;ROW()-43&amp;""),数出表_Excel!$A:$A,0)-1&amp;""),0)+1,""),
IF(R67&lt;&gt;"",
MATCH(
IFERROR(
INDEX(INDIRECT("数出表_Excel!"&amp;Q64&amp;MATCH(INDIRECT(""&amp;V64&amp;ROW()-43&amp;""),数出表_Excel!$A:$A,0)-1&amp;":U"&amp;MATCH(INDIRECT(""&amp;V64&amp;ROW()-43&amp;""),数出表_Excel!$A:$A,0)-1&amp;""),
 1,
 MATCH(TRUE, ISNUMBER(--INDIRECT("数出表_Excel!"&amp;Q64&amp;MATCH(INDIRECT(""&amp;V64&amp;ROW()-43&amp;""),数出表_Excel!$A:$A,0)-1&amp;":U"&amp;MATCH(INDIRECT(""&amp;V64&amp;ROW()-43&amp;""),数出表_Excel!$A:$A,0)-1&amp;"")), 0)),
 ""),
INDIRECT("数出表_Excel!B"&amp;MATCH(INDIRECT(""&amp;V64&amp;ROW()-43&amp;""),数出表_Excel!$A:$A,0)-1&amp;":U"&amp;MATCH(INDIRECT(""&amp;V64&amp;ROW()-43&amp;""),数出表_Excel!$A:$A,0)-1&amp;""),0)+1,""))</f>
        <v>#VALUE!</v>
      </c>
      <c r="R65" s="58" t="str" cm="1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76"/>
      <c r="T65" s="82" t="str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83" t="str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92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76"/>
      <c r="X65" s="81" t="e" cm="1">
        <f t="array" aca="1" ref="X65" ca="1">IF(INDIRECT(""&amp;SUBSTITUTE(ADDRESS(1,
COLUMN(),1),"1","")&amp;ROW()-41&amp;"")&lt;&gt;100,
IF(Y67&lt;&gt;"",MATCH(Y67,INDIRECT("数出表_Excel!B"&amp;MATCH(INDIRECT(""&amp;AC64&amp;ROW()-43&amp;""),数出表_Excel!$A:$A,0)-1&amp;":U"&amp;MATCH(INDIRECT(""&amp;AC64&amp;ROW()-43&amp;""),数出表_Excel!$A:$A,0)-1&amp;""),0)+1,""),
IF(Y67&lt;&gt;"",
MATCH(
IFERROR(
INDEX(INDIRECT("数出表_Excel!"&amp;X64&amp;MATCH(INDIRECT(""&amp;AC64&amp;ROW()-43&amp;""),数出表_Excel!$A:$A,0)-1&amp;":U"&amp;MATCH(INDIRECT(""&amp;AC64&amp;ROW()-43&amp;""),数出表_Excel!$A:$A,0)-1&amp;""),
 1,
 MATCH(TRUE, ISNUMBER(--INDIRECT("数出表_Excel!"&amp;X64&amp;MATCH(INDIRECT(""&amp;AC64&amp;ROW()-43&amp;""),数出表_Excel!$A:$A,0)-1&amp;":U"&amp;MATCH(INDIRECT(""&amp;AC64&amp;ROW()-43&amp;""),数出表_Excel!$A:$A,0)-1&amp;"")), 0)),
 ""),
INDIRECT("数出表_Excel!B"&amp;MATCH(INDIRECT(""&amp;AC64&amp;ROW()-43&amp;""),数出表_Excel!$A:$A,0)-1&amp;":U"&amp;MATCH(INDIRECT(""&amp;AC64&amp;ROW()-43&amp;""),数出表_Excel!$A:$A,0)-1&amp;""),0)+1,""))</f>
        <v>#VALUE!</v>
      </c>
      <c r="Y65" s="58" t="str" cm="1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76"/>
      <c r="AA65" s="82" t="str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+MATCH(TRUE,INDIRECT("'数出表_Excel'!"&amp;X64&amp;MATCH(AC22,数出表_Excel!$A:$A,0)-1&amp;":AL"&amp;MATCH(AC22,数出表_Excel!$A:$A,0)-1&amp;"")&lt;&gt;"",0))&gt;12,"",
IFERROR(
INDEX(INDIRECT("数出表_Excel!$"&amp;X64&amp;"4:$AL4"),
 1,
MATCH(TRUE,INDIRECT("'数出表_Excel'!"&amp;X64&amp;MATCH(AC22,数出表_Excel!$A:$A,0)-1&amp;":AL"&amp;MATCH(AC22,数出表_Excel!$A:$A,0)-1&amp;"")&lt;&gt;"",0)
),
 "")
&amp;IFERROR(
INDEX(INDIRECT("数出表_Excel!$"&amp;X64&amp;"5:$AL5"),
 1,
MATCH(TRUE,INDIRECT("'数出表_Excel'!"&amp;X64&amp;MATCH(AC22,数出表_Excel!$A:$A,0)-1&amp;":AL"&amp;MATCH(AC22,数出表_Excel!$A:$A,0)-1&amp;"")&lt;&gt;"",0)),
 "")),"")))</f>
        <v/>
      </c>
      <c r="AB65" s="83" t="str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92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76"/>
      <c r="AE65" s="76"/>
      <c r="AF65" s="81" t="e" cm="1">
        <f t="array" aca="1" ref="AF65" ca="1">IF(INDIRECT(""&amp;SUBSTITUTE(ADDRESS(1,
COLUMN(),1),"1","")&amp;ROW()-41&amp;"")&lt;&gt;100,
IF(AG67&lt;&gt;"",MATCH(AG67,INDIRECT("数出表_Excel!B"&amp;MATCH(INDIRECT(""&amp;AK64&amp;ROW()-43&amp;""),数出表_Excel!$A:$A,0)-1&amp;":U"&amp;MATCH(INDIRECT(""&amp;AK64&amp;ROW()-43&amp;""),数出表_Excel!$A:$A,0)-1&amp;""),0)+1,""),
IF(AG67&lt;&gt;"",
MATCH(
IFERROR(
INDEX(INDIRECT("数出表_Excel!"&amp;AF64&amp;MATCH(INDIRECT(""&amp;AK64&amp;ROW()-43&amp;""),数出表_Excel!$A:$A,0)-1&amp;":U"&amp;MATCH(INDIRECT(""&amp;AK64&amp;ROW()-43&amp;""),数出表_Excel!$A:$A,0)-1&amp;""),
 1,
 MATCH(TRUE, ISNUMBER(--INDIRECT("数出表_Excel!"&amp;AF64&amp;MATCH(INDIRECT(""&amp;AK64&amp;ROW()-43&amp;""),数出表_Excel!$A:$A,0)-1&amp;":U"&amp;MATCH(INDIRECT(""&amp;AK64&amp;ROW()-43&amp;""),数出表_Excel!$A:$A,0)-1&amp;"")), 0)),
 ""),
INDIRECT("数出表_Excel!B"&amp;MATCH(INDIRECT(""&amp;AK64&amp;ROW()-43&amp;""),数出表_Excel!$A:$A,0)-1&amp;":U"&amp;MATCH(INDIRECT(""&amp;AK64&amp;ROW()-43&amp;""),数出表_Excel!$A:$A,0)-1&amp;""),0)+1,""))</f>
        <v>#VALUE!</v>
      </c>
      <c r="AG65" s="58" t="str" cm="1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76"/>
      <c r="AI65" s="82" t="str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83" t="str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92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76"/>
      <c r="AM65" s="81" t="e" cm="1">
        <f t="array" aca="1" ref="AM65" ca="1">IF(INDIRECT(""&amp;SUBSTITUTE(ADDRESS(1,
COLUMN(),1),"1","")&amp;ROW()-41&amp;"")&lt;&gt;100,
IF(AN67&lt;&gt;"",MATCH(AN67,INDIRECT("数出表_Excel!B"&amp;MATCH(INDIRECT(""&amp;AR64&amp;ROW()-43&amp;""),数出表_Excel!$A:$A,0)-1&amp;":U"&amp;MATCH(INDIRECT(""&amp;AR64&amp;ROW()-43&amp;""),数出表_Excel!$A:$A,0)-1&amp;""),0)+1,""),
IF(AN67&lt;&gt;"",
MATCH(
IFERROR(
INDEX(INDIRECT("数出表_Excel!"&amp;AM64&amp;MATCH(INDIRECT(""&amp;AR64&amp;ROW()-43&amp;""),数出表_Excel!$A:$A,0)-1&amp;":U"&amp;MATCH(INDIRECT(""&amp;AR64&amp;ROW()-43&amp;""),数出表_Excel!$A:$A,0)-1&amp;""),
 1,
 MATCH(TRUE, ISNUMBER(--INDIRECT("数出表_Excel!"&amp;AM64&amp;MATCH(INDIRECT(""&amp;AR64&amp;ROW()-43&amp;""),数出表_Excel!$A:$A,0)-1&amp;":U"&amp;MATCH(INDIRECT(""&amp;AR64&amp;ROW()-43&amp;""),数出表_Excel!$A:$A,0)-1&amp;"")), 0)),
 ""),
INDIRECT("数出表_Excel!B"&amp;MATCH(INDIRECT(""&amp;AR64&amp;ROW()-43&amp;""),数出表_Excel!$A:$A,0)-1&amp;":U"&amp;MATCH(INDIRECT(""&amp;AR64&amp;ROW()-43&amp;""),数出表_Excel!$A:$A,0)-1&amp;""),0)+1,""))</f>
        <v>#VALUE!</v>
      </c>
      <c r="AN65" s="58" t="str" cm="1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76"/>
      <c r="AP65" s="82" t="str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+MATCH(TRUE,INDIRECT("'数出表_Excel'!"&amp;AM64&amp;MATCH(AR22,数出表_Excel!$A:$A,0)-1&amp;":AL"&amp;MATCH(AR22,数出表_Excel!$A:$A,0)-1&amp;"")&lt;&gt;"",0))&gt;12,"",
IFERROR(
INDEX(INDIRECT("数出表_Excel!$"&amp;AM64&amp;"4:$AL4"),
 1,
MATCH(TRUE,INDIRECT("'数出表_Excel'!"&amp;AM64&amp;MATCH(AR22,数出表_Excel!$A:$A,0)-1&amp;":AL"&amp;MATCH(AR22,数出表_Excel!$A:$A,0)-1&amp;"")&lt;&gt;"",0)
),
 "")
&amp;IFERROR(
INDEX(INDIRECT("数出表_Excel!$"&amp;AM64&amp;"5:$AL5"),
 1,
MATCH(TRUE,INDIRECT("'数出表_Excel'!"&amp;AM64&amp;MATCH(AR22,数出表_Excel!$A:$A,0)-1&amp;":AL"&amp;MATCH(AR22,数出表_Excel!$A:$A,0)-1&amp;"")&lt;&gt;"",0)),
 "")),"")))</f>
        <v/>
      </c>
      <c r="AQ65" s="83" t="str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92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76"/>
      <c r="AT65" s="76"/>
      <c r="AU65" s="81" t="e" cm="1">
        <f t="array" aca="1" ref="AU65" ca="1">IF(INDIRECT(""&amp;SUBSTITUTE(ADDRESS(1,
COLUMN(),1),"1","")&amp;ROW()-41&amp;"")&lt;&gt;100,
IF(AV67&lt;&gt;"",MATCH(AV67,INDIRECT("数出表_Excel!B"&amp;MATCH(INDIRECT(""&amp;AZ64&amp;ROW()-43&amp;""),数出表_Excel!$A:$A,0)-1&amp;":U"&amp;MATCH(INDIRECT(""&amp;AZ64&amp;ROW()-43&amp;""),数出表_Excel!$A:$A,0)-1&amp;""),0)+1,""),
IF(AV67&lt;&gt;"",
MATCH(
IFERROR(
INDEX(INDIRECT("数出表_Excel!"&amp;AU64&amp;MATCH(INDIRECT(""&amp;AZ64&amp;ROW()-43&amp;""),数出表_Excel!$A:$A,0)-1&amp;":U"&amp;MATCH(INDIRECT(""&amp;AZ64&amp;ROW()-43&amp;""),数出表_Excel!$A:$A,0)-1&amp;""),
 1,
 MATCH(TRUE, ISNUMBER(--INDIRECT("数出表_Excel!"&amp;AU64&amp;MATCH(INDIRECT(""&amp;AZ64&amp;ROW()-43&amp;""),数出表_Excel!$A:$A,0)-1&amp;":U"&amp;MATCH(INDIRECT(""&amp;AZ64&amp;ROW()-43&amp;""),数出表_Excel!$A:$A,0)-1&amp;"")), 0)),
 ""),
INDIRECT("数出表_Excel!B"&amp;MATCH(INDIRECT(""&amp;AZ64&amp;ROW()-43&amp;""),数出表_Excel!$A:$A,0)-1&amp;":U"&amp;MATCH(INDIRECT(""&amp;AZ64&amp;ROW()-43&amp;""),数出表_Excel!$A:$A,0)-1&amp;""),0)+1,""))</f>
        <v>#VALUE!</v>
      </c>
      <c r="AV65" s="58" t="str" cm="1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76"/>
      <c r="AX65" s="82" t="str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83" t="str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92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76"/>
      <c r="BB65" s="81" t="e" cm="1">
        <f t="array" aca="1" ref="BB65" ca="1">IF(INDIRECT(""&amp;SUBSTITUTE(ADDRESS(1,
COLUMN(),1),"1","")&amp;ROW()-41&amp;"")&lt;&gt;100,
IF(BC67&lt;&gt;"",MATCH(BC67,INDIRECT("数出表_Excel!B"&amp;MATCH(INDIRECT(""&amp;BG64&amp;ROW()-43&amp;""),数出表_Excel!$A:$A,0)-1&amp;":U"&amp;MATCH(INDIRECT(""&amp;BG64&amp;ROW()-43&amp;""),数出表_Excel!$A:$A,0)-1&amp;""),0)+1,""),
IF(BC67&lt;&gt;"",
MATCH(
IFERROR(
INDEX(INDIRECT("数出表_Excel!"&amp;BB64&amp;MATCH(INDIRECT(""&amp;BG64&amp;ROW()-43&amp;""),数出表_Excel!$A:$A,0)-1&amp;":U"&amp;MATCH(INDIRECT(""&amp;BG64&amp;ROW()-43&amp;""),数出表_Excel!$A:$A,0)-1&amp;""),
 1,
 MATCH(TRUE, ISNUMBER(--INDIRECT("数出表_Excel!"&amp;BB64&amp;MATCH(INDIRECT(""&amp;BG64&amp;ROW()-43&amp;""),数出表_Excel!$A:$A,0)-1&amp;":U"&amp;MATCH(INDIRECT(""&amp;BG64&amp;ROW()-43&amp;""),数出表_Excel!$A:$A,0)-1&amp;"")), 0)),
 ""),
INDIRECT("数出表_Excel!B"&amp;MATCH(INDIRECT(""&amp;BG64&amp;ROW()-43&amp;""),数出表_Excel!$A:$A,0)-1&amp;":U"&amp;MATCH(INDIRECT(""&amp;BG64&amp;ROW()-43&amp;""),数出表_Excel!$A:$A,0)-1&amp;""),0)+1,""))</f>
        <v>#VALUE!</v>
      </c>
      <c r="BC65" s="58" t="str" cm="1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76"/>
      <c r="BE65" s="82" t="str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+MATCH(TRUE,INDIRECT("'数出表_Excel'!"&amp;BB64&amp;MATCH(BG22,数出表_Excel!$A:$A,0)-1&amp;":AL"&amp;MATCH(BG22,数出表_Excel!$A:$A,0)-1&amp;"")&lt;&gt;"",0))&gt;12,"",
IFERROR(
INDEX(INDIRECT("数出表_Excel!$"&amp;BB64&amp;"4:$AL4"),
 1,
MATCH(TRUE,INDIRECT("'数出表_Excel'!"&amp;BB64&amp;MATCH(BG22,数出表_Excel!$A:$A,0)-1&amp;":AL"&amp;MATCH(BG22,数出表_Excel!$A:$A,0)-1&amp;"")&lt;&gt;"",0)
),
 "")
&amp;IFERROR(
INDEX(INDIRECT("数出表_Excel!$"&amp;BB64&amp;"5:$AL5"),
 1,
MATCH(TRUE,INDIRECT("'数出表_Excel'!"&amp;BB64&amp;MATCH(BG22,数出表_Excel!$A:$A,0)-1&amp;":AL"&amp;MATCH(BG22,数出表_Excel!$A:$A,0)-1&amp;"")&lt;&gt;"",0)),
 "")),"")))</f>
        <v/>
      </c>
      <c r="BF65" s="83" t="str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92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76"/>
      <c r="BI65" s="76"/>
      <c r="BJ65" s="81" t="e" cm="1">
        <f t="array" aca="1" ref="BJ65" ca="1">IF(INDIRECT(""&amp;SUBSTITUTE(ADDRESS(1,
COLUMN(),1),"1","")&amp;ROW()-41&amp;"")&lt;&gt;100,
IF(BK67&lt;&gt;"",MATCH(BK67,INDIRECT("数出表_Excel!B"&amp;MATCH(INDIRECT(""&amp;BO64&amp;ROW()-43&amp;""),数出表_Excel!$A:$A,0)-1&amp;":U"&amp;MATCH(INDIRECT(""&amp;BO64&amp;ROW()-43&amp;""),数出表_Excel!$A:$A,0)-1&amp;""),0)+1,""),
IF(BK67&lt;&gt;"",
MATCH(
IFERROR(
INDEX(INDIRECT("数出表_Excel!"&amp;BJ64&amp;MATCH(INDIRECT(""&amp;BO64&amp;ROW()-43&amp;""),数出表_Excel!$A:$A,0)-1&amp;":U"&amp;MATCH(INDIRECT(""&amp;BO64&amp;ROW()-43&amp;""),数出表_Excel!$A:$A,0)-1&amp;""),
 1,
 MATCH(TRUE, ISNUMBER(--INDIRECT("数出表_Excel!"&amp;BJ64&amp;MATCH(INDIRECT(""&amp;BO64&amp;ROW()-43&amp;""),数出表_Excel!$A:$A,0)-1&amp;":U"&amp;MATCH(INDIRECT(""&amp;BO64&amp;ROW()-43&amp;""),数出表_Excel!$A:$A,0)-1&amp;"")), 0)),
 ""),
INDIRECT("数出表_Excel!B"&amp;MATCH(INDIRECT(""&amp;BO64&amp;ROW()-43&amp;""),数出表_Excel!$A:$A,0)-1&amp;":U"&amp;MATCH(INDIRECT(""&amp;BO64&amp;ROW()-43&amp;""),数出表_Excel!$A:$A,0)-1&amp;""),0)+1,""))</f>
        <v>#VALUE!</v>
      </c>
      <c r="BK65" s="58" t="str" cm="1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76"/>
      <c r="BM65" s="82" t="str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83" t="str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92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76"/>
      <c r="BQ65" s="81" t="e" cm="1">
        <f t="array" aca="1" ref="BQ65" ca="1">IF(INDIRECT(""&amp;SUBSTITUTE(ADDRESS(1,
COLUMN(),1),"1","")&amp;ROW()-41&amp;"")&lt;&gt;100,
IF(BR67&lt;&gt;"",MATCH(BR67,INDIRECT("数出表_Excel!B"&amp;MATCH(INDIRECT(""&amp;BV64&amp;ROW()-43&amp;""),数出表_Excel!$A:$A,0)-1&amp;":U"&amp;MATCH(INDIRECT(""&amp;BV64&amp;ROW()-43&amp;""),数出表_Excel!$A:$A,0)-1&amp;""),0)+1,""),
IF(BR67&lt;&gt;"",
MATCH(
IFERROR(
INDEX(INDIRECT("数出表_Excel!"&amp;BQ64&amp;MATCH(INDIRECT(""&amp;BV64&amp;ROW()-43&amp;""),数出表_Excel!$A:$A,0)-1&amp;":U"&amp;MATCH(INDIRECT(""&amp;BV64&amp;ROW()-43&amp;""),数出表_Excel!$A:$A,0)-1&amp;""),
 1,
 MATCH(TRUE, ISNUMBER(--INDIRECT("数出表_Excel!"&amp;BQ64&amp;MATCH(INDIRECT(""&amp;BV64&amp;ROW()-43&amp;""),数出表_Excel!$A:$A,0)-1&amp;":U"&amp;MATCH(INDIRECT(""&amp;BV64&amp;ROW()-43&amp;""),数出表_Excel!$A:$A,0)-1&amp;"")), 0)),
 ""),
INDIRECT("数出表_Excel!B"&amp;MATCH(INDIRECT(""&amp;BV64&amp;ROW()-43&amp;""),数出表_Excel!$A:$A,0)-1&amp;":U"&amp;MATCH(INDIRECT(""&amp;BV64&amp;ROW()-43&amp;""),数出表_Excel!$A:$A,0)-1&amp;""),0)+1,""))</f>
        <v>#VALUE!</v>
      </c>
      <c r="BR65" s="58" t="str" cm="1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76"/>
      <c r="BT65" s="82" t="str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+MATCH(TRUE,INDIRECT("'数出表_Excel'!"&amp;BQ64&amp;MATCH(BV22,数出表_Excel!$A:$A,0)-1&amp;":AL"&amp;MATCH(BV22,数出表_Excel!$A:$A,0)-1&amp;"")&lt;&gt;"",0))&gt;12,"",
IFERROR(
INDEX(INDIRECT("数出表_Excel!$"&amp;BQ64&amp;"4:$AL4"),
 1,
MATCH(TRUE,INDIRECT("'数出表_Excel'!"&amp;BQ64&amp;MATCH(BV22,数出表_Excel!$A:$A,0)-1&amp;":AL"&amp;MATCH(BV22,数出表_Excel!$A:$A,0)-1&amp;"")&lt;&gt;"",0)
),
 "")
&amp;IFERROR(
INDEX(INDIRECT("数出表_Excel!$"&amp;BQ64&amp;"5:$AL5"),
 1,
MATCH(TRUE,INDIRECT("'数出表_Excel'!"&amp;BQ64&amp;MATCH(BV22,数出表_Excel!$A:$A,0)-1&amp;":AL"&amp;MATCH(BV22,数出表_Excel!$A:$A,0)-1&amp;"")&lt;&gt;"",0)),
 "")),"")))</f>
        <v/>
      </c>
      <c r="BU65" s="83" t="str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92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76"/>
      <c r="BX65" s="76"/>
      <c r="BY65" s="81" t="e" cm="1">
        <f t="array" aca="1" ref="BY65" ca="1">IF(INDIRECT(""&amp;SUBSTITUTE(ADDRESS(1,
COLUMN(),1),"1","")&amp;ROW()-41&amp;"")&lt;&gt;100,
IF(BZ67&lt;&gt;"",MATCH(BZ67,INDIRECT("数出表_Excel!B"&amp;MATCH(INDIRECT(""&amp;CD64&amp;ROW()-43&amp;""),数出表_Excel!$A:$A,0)-1&amp;":U"&amp;MATCH(INDIRECT(""&amp;CD64&amp;ROW()-43&amp;""),数出表_Excel!$A:$A,0)-1&amp;""),0)+1,""),
IF(BZ67&lt;&gt;"",
MATCH(
IFERROR(
INDEX(INDIRECT("数出表_Excel!"&amp;BY64&amp;MATCH(INDIRECT(""&amp;CD64&amp;ROW()-43&amp;""),数出表_Excel!$A:$A,0)-1&amp;":U"&amp;MATCH(INDIRECT(""&amp;CD64&amp;ROW()-43&amp;""),数出表_Excel!$A:$A,0)-1&amp;""),
 1,
 MATCH(TRUE, ISNUMBER(--INDIRECT("数出表_Excel!"&amp;BY64&amp;MATCH(INDIRECT(""&amp;CD64&amp;ROW()-43&amp;""),数出表_Excel!$A:$A,0)-1&amp;":U"&amp;MATCH(INDIRECT(""&amp;CD64&amp;ROW()-43&amp;""),数出表_Excel!$A:$A,0)-1&amp;"")), 0)),
 ""),
INDIRECT("数出表_Excel!B"&amp;MATCH(INDIRECT(""&amp;CD64&amp;ROW()-43&amp;""),数出表_Excel!$A:$A,0)-1&amp;":U"&amp;MATCH(INDIRECT(""&amp;CD64&amp;ROW()-43&amp;""),数出表_Excel!$A:$A,0)-1&amp;""),0)+1,""))</f>
        <v>#VALUE!</v>
      </c>
      <c r="BZ65" s="58" t="str" cm="1">
        <f t="array" aca="1" ref="BZ65" ca="1">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</f>
        <v/>
      </c>
      <c r="CA65" s="76"/>
      <c r="CB65" s="82" t="str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83" t="str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92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76"/>
      <c r="CF65" s="81" t="e" cm="1">
        <f t="array" aca="1" ref="CF65" ca="1">IF(INDIRECT(""&amp;SUBSTITUTE(ADDRESS(1,
COLUMN(),1),"1","")&amp;ROW()-41&amp;"")&lt;&gt;100,
IF(CG67&lt;&gt;"",MATCH(CG67,INDIRECT("数出表_Excel!B"&amp;MATCH(INDIRECT(""&amp;CK64&amp;ROW()-43&amp;""),数出表_Excel!$A:$A,0)-1&amp;":U"&amp;MATCH(INDIRECT(""&amp;CK64&amp;ROW()-43&amp;""),数出表_Excel!$A:$A,0)-1&amp;""),0)+1,""),
IF(CG67&lt;&gt;"",
MATCH(
IFERROR(
INDEX(INDIRECT("数出表_Excel!"&amp;CF64&amp;MATCH(INDIRECT(""&amp;CK64&amp;ROW()-43&amp;""),数出表_Excel!$A:$A,0)-1&amp;":U"&amp;MATCH(INDIRECT(""&amp;CK64&amp;ROW()-43&amp;""),数出表_Excel!$A:$A,0)-1&amp;""),
 1,
 MATCH(TRUE, ISNUMBER(--INDIRECT("数出表_Excel!"&amp;CF64&amp;MATCH(INDIRECT(""&amp;CK64&amp;ROW()-43&amp;""),数出表_Excel!$A:$A,0)-1&amp;":U"&amp;MATCH(INDIRECT(""&amp;CK64&amp;ROW()-43&amp;""),数出表_Excel!$A:$A,0)-1&amp;"")), 0)),
 ""),
INDIRECT("数出表_Excel!B"&amp;MATCH(INDIRECT(""&amp;CK64&amp;ROW()-43&amp;""),数出表_Excel!$A:$A,0)-1&amp;":U"&amp;MATCH(INDIRECT(""&amp;CK64&amp;ROW()-43&amp;""),数出表_Excel!$A:$A,0)-1&amp;""),0)+1,""))</f>
        <v>#VALUE!</v>
      </c>
      <c r="CG65" s="58" t="str" cm="1">
        <f t="array" aca="1" ref="CG65" ca="1">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</f>
        <v/>
      </c>
      <c r="CH65" s="76"/>
      <c r="CI65" s="82" t="str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+MATCH(TRUE,INDIRECT("'数出表_Excel'!"&amp;CF64&amp;MATCH(CK22,数出表_Excel!$A:$A,0)-1&amp;":AL"&amp;MATCH(CK22,数出表_Excel!$A:$A,0)-1&amp;"")&lt;&gt;"",0))&gt;12,"",
IFERROR(
INDEX(INDIRECT("数出表_Excel!$"&amp;CF64&amp;"4:$AL4"),
 1,
MATCH(TRUE,INDIRECT("'数出表_Excel'!"&amp;CF64&amp;MATCH(CK22,数出表_Excel!$A:$A,0)-1&amp;":AL"&amp;MATCH(CK22,数出表_Excel!$A:$A,0)-1&amp;"")&lt;&gt;"",0)
),
 "")
&amp;IFERROR(
INDEX(INDIRECT("数出表_Excel!$"&amp;CF64&amp;"5:$AL5"),
 1,
MATCH(TRUE,INDIRECT("'数出表_Excel'!"&amp;CF64&amp;MATCH(CK22,数出表_Excel!$A:$A,0)-1&amp;":AL"&amp;MATCH(CK22,数出表_Excel!$A:$A,0)-1&amp;"")&lt;&gt;"",0)),
 "")),"")))</f>
        <v/>
      </c>
      <c r="CJ65" s="83" t="str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92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76"/>
      <c r="CM65" s="76"/>
      <c r="CN65" s="81" t="e" cm="1">
        <f t="array" aca="1" ref="CN65" ca="1">IF(INDIRECT(""&amp;SUBSTITUTE(ADDRESS(1,
COLUMN(),1),"1","")&amp;ROW()-41&amp;"")&lt;&gt;100,
IF(CO67&lt;&gt;"",MATCH(CO67,INDIRECT("数出表_Excel!B"&amp;MATCH(INDIRECT(""&amp;CS64&amp;ROW()-43&amp;""),数出表_Excel!$A:$A,0)-1&amp;":U"&amp;MATCH(INDIRECT(""&amp;CS64&amp;ROW()-43&amp;""),数出表_Excel!$A:$A,0)-1&amp;""),0)+1,""),
IF(CO67&lt;&gt;"",
MATCH(
IFERROR(
INDEX(INDIRECT("数出表_Excel!"&amp;CN64&amp;MATCH(INDIRECT(""&amp;CS64&amp;ROW()-43&amp;""),数出表_Excel!$A:$A,0)-1&amp;":U"&amp;MATCH(INDIRECT(""&amp;CS64&amp;ROW()-43&amp;""),数出表_Excel!$A:$A,0)-1&amp;""),
 1,
 MATCH(TRUE, ISNUMBER(--INDIRECT("数出表_Excel!"&amp;CN64&amp;MATCH(INDIRECT(""&amp;CS64&amp;ROW()-43&amp;""),数出表_Excel!$A:$A,0)-1&amp;":U"&amp;MATCH(INDIRECT(""&amp;CS64&amp;ROW()-43&amp;""),数出表_Excel!$A:$A,0)-1&amp;"")), 0)),
 ""),
INDIRECT("数出表_Excel!B"&amp;MATCH(INDIRECT(""&amp;CS64&amp;ROW()-43&amp;""),数出表_Excel!$A:$A,0)-1&amp;":U"&amp;MATCH(INDIRECT(""&amp;CS64&amp;ROW()-43&amp;""),数出表_Excel!$A:$A,0)-1&amp;""),0)+1,""))</f>
        <v>#VALUE!</v>
      </c>
      <c r="CO65" s="58" t="str" cm="1">
        <f t="array" aca="1" ref="CO65" ca="1">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</f>
        <v/>
      </c>
      <c r="CP65" s="76"/>
      <c r="CQ65" s="82" t="str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83" t="str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92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76"/>
      <c r="CU65" s="81" t="e" cm="1">
        <f t="array" aca="1" ref="CU65" ca="1">IF(INDIRECT(""&amp;SUBSTITUTE(ADDRESS(1,
COLUMN(),1),"1","")&amp;ROW()-41&amp;"")&lt;&gt;100,
IF(CV67&lt;&gt;"",MATCH(CV67,INDIRECT("数出表_Excel!B"&amp;MATCH(INDIRECT(""&amp;CZ64&amp;ROW()-43&amp;""),数出表_Excel!$A:$A,0)-1&amp;":U"&amp;MATCH(INDIRECT(""&amp;CZ64&amp;ROW()-43&amp;""),数出表_Excel!$A:$A,0)-1&amp;""),0)+1,""),
IF(CV67&lt;&gt;"",
MATCH(
IFERROR(
INDEX(INDIRECT("数出表_Excel!"&amp;CU64&amp;MATCH(INDIRECT(""&amp;CZ64&amp;ROW()-43&amp;""),数出表_Excel!$A:$A,0)-1&amp;":U"&amp;MATCH(INDIRECT(""&amp;CZ64&amp;ROW()-43&amp;""),数出表_Excel!$A:$A,0)-1&amp;""),
 1,
 MATCH(TRUE, ISNUMBER(--INDIRECT("数出表_Excel!"&amp;CU64&amp;MATCH(INDIRECT(""&amp;CZ64&amp;ROW()-43&amp;""),数出表_Excel!$A:$A,0)-1&amp;":U"&amp;MATCH(INDIRECT(""&amp;CZ64&amp;ROW()-43&amp;""),数出表_Excel!$A:$A,0)-1&amp;"")), 0)),
 ""),
INDIRECT("数出表_Excel!B"&amp;MATCH(INDIRECT(""&amp;CZ64&amp;ROW()-43&amp;""),数出表_Excel!$A:$A,0)-1&amp;":U"&amp;MATCH(INDIRECT(""&amp;CZ64&amp;ROW()-43&amp;""),数出表_Excel!$A:$A,0)-1&amp;""),0)+1,""))</f>
        <v>#VALUE!</v>
      </c>
      <c r="CV65" s="58" t="str" cm="1">
        <f t="array" aca="1" ref="CV65" ca="1">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</f>
        <v/>
      </c>
      <c r="CW65" s="76"/>
      <c r="CX65" s="82" t="str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+MATCH(TRUE,INDIRECT("'数出表_Excel'!"&amp;CU64&amp;MATCH(CZ22,数出表_Excel!$A:$A,0)-1&amp;":AL"&amp;MATCH(CZ22,数出表_Excel!$A:$A,0)-1&amp;"")&lt;&gt;"",0))&gt;12,"",
IFERROR(
INDEX(INDIRECT("数出表_Excel!$"&amp;CU64&amp;"4:$AL4"),
 1,
MATCH(TRUE,INDIRECT("'数出表_Excel'!"&amp;CU64&amp;MATCH(CZ22,数出表_Excel!$A:$A,0)-1&amp;":AL"&amp;MATCH(CZ22,数出表_Excel!$A:$A,0)-1&amp;"")&lt;&gt;"",0)
),
 "")
&amp;IFERROR(
INDEX(INDIRECT("数出表_Excel!$"&amp;CU64&amp;"5:$AL5"),
 1,
MATCH(TRUE,INDIRECT("'数出表_Excel'!"&amp;CU64&amp;MATCH(CZ22,数出表_Excel!$A:$A,0)-1&amp;":AL"&amp;MATCH(CZ22,数出表_Excel!$A:$A,0)-1&amp;"")&lt;&gt;"",0)),
 "")),"")))</f>
        <v/>
      </c>
      <c r="CY65" s="83" t="str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92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76"/>
      <c r="DB65" s="76"/>
      <c r="DC65" s="81" t="e" cm="1">
        <f t="array" aca="1" ref="DC65" ca="1">IF(INDIRECT(""&amp;SUBSTITUTE(ADDRESS(1,
COLUMN(),1),"1","")&amp;ROW()-41&amp;"")&lt;&gt;100,
IF(DD67&lt;&gt;"",MATCH(DD67,INDIRECT("数出表_Excel!B"&amp;MATCH(INDIRECT(""&amp;DH64&amp;ROW()-43&amp;""),数出表_Excel!$A:$A,0)-1&amp;":U"&amp;MATCH(INDIRECT(""&amp;DH64&amp;ROW()-43&amp;""),数出表_Excel!$A:$A,0)-1&amp;""),0)+1,""),
IF(DD67&lt;&gt;"",
MATCH(
IFERROR(
INDEX(INDIRECT("数出表_Excel!"&amp;DC64&amp;MATCH(INDIRECT(""&amp;DH64&amp;ROW()-43&amp;""),数出表_Excel!$A:$A,0)-1&amp;":U"&amp;MATCH(INDIRECT(""&amp;DH64&amp;ROW()-43&amp;""),数出表_Excel!$A:$A,0)-1&amp;""),
 1,
 MATCH(TRUE, ISNUMBER(--INDIRECT("数出表_Excel!"&amp;DC64&amp;MATCH(INDIRECT(""&amp;DH64&amp;ROW()-43&amp;""),数出表_Excel!$A:$A,0)-1&amp;":U"&amp;MATCH(INDIRECT(""&amp;DH64&amp;ROW()-43&amp;""),数出表_Excel!$A:$A,0)-1&amp;"")), 0)),
 ""),
INDIRECT("数出表_Excel!B"&amp;MATCH(INDIRECT(""&amp;DH64&amp;ROW()-43&amp;""),数出表_Excel!$A:$A,0)-1&amp;":U"&amp;MATCH(INDIRECT(""&amp;DH64&amp;ROW()-43&amp;""),数出表_Excel!$A:$A,0)-1&amp;""),0)+1,""))</f>
        <v>#VALUE!</v>
      </c>
      <c r="DD65" s="58" t="str" cm="1">
        <f t="array" aca="1" ref="DD65" ca="1">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</f>
        <v/>
      </c>
      <c r="DE65" s="76"/>
      <c r="DF65" s="82" t="str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83" t="str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92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76"/>
      <c r="DJ65" s="81" t="e" cm="1">
        <f t="array" aca="1" ref="DJ65" ca="1">IF(INDIRECT(""&amp;SUBSTITUTE(ADDRESS(1,
COLUMN(),1),"1","")&amp;ROW()-41&amp;"")&lt;&gt;100,
IF(DK67&lt;&gt;"",MATCH(DK67,INDIRECT("数出表_Excel!B"&amp;MATCH(INDIRECT(""&amp;DO64&amp;ROW()-43&amp;""),数出表_Excel!$A:$A,0)-1&amp;":U"&amp;MATCH(INDIRECT(""&amp;DO64&amp;ROW()-43&amp;""),数出表_Excel!$A:$A,0)-1&amp;""),0)+1,""),
IF(DK67&lt;&gt;"",
MATCH(
IFERROR(
INDEX(INDIRECT("数出表_Excel!"&amp;DJ64&amp;MATCH(INDIRECT(""&amp;DO64&amp;ROW()-43&amp;""),数出表_Excel!$A:$A,0)-1&amp;":U"&amp;MATCH(INDIRECT(""&amp;DO64&amp;ROW()-43&amp;""),数出表_Excel!$A:$A,0)-1&amp;""),
 1,
 MATCH(TRUE, ISNUMBER(--INDIRECT("数出表_Excel!"&amp;DJ64&amp;MATCH(INDIRECT(""&amp;DO64&amp;ROW()-43&amp;""),数出表_Excel!$A:$A,0)-1&amp;":U"&amp;MATCH(INDIRECT(""&amp;DO64&amp;ROW()-43&amp;""),数出表_Excel!$A:$A,0)-1&amp;"")), 0)),
 ""),
INDIRECT("数出表_Excel!B"&amp;MATCH(INDIRECT(""&amp;DO64&amp;ROW()-43&amp;""),数出表_Excel!$A:$A,0)-1&amp;":U"&amp;MATCH(INDIRECT(""&amp;DO64&amp;ROW()-43&amp;""),数出表_Excel!$A:$A,0)-1&amp;""),0)+1,""))</f>
        <v>#VALUE!</v>
      </c>
      <c r="DK65" s="58" t="str" cm="1">
        <f t="array" aca="1" ref="DK65" ca="1">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</f>
        <v/>
      </c>
      <c r="DL65" s="76"/>
      <c r="DM65" s="82" t="str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+MATCH(TRUE,INDIRECT("'数出表_Excel'!"&amp;DJ64&amp;MATCH(DO22,数出表_Excel!$A:$A,0)-1&amp;":AL"&amp;MATCH(DO22,数出表_Excel!$A:$A,0)-1&amp;"")&lt;&gt;"",0))&gt;12,"",
IFERROR(
INDEX(INDIRECT("数出表_Excel!$"&amp;DJ64&amp;"4:$AL4"),
 1,
MATCH(TRUE,INDIRECT("'数出表_Excel'!"&amp;DJ64&amp;MATCH(DO22,数出表_Excel!$A:$A,0)-1&amp;":AL"&amp;MATCH(DO22,数出表_Excel!$A:$A,0)-1&amp;"")&lt;&gt;"",0)
),
 "")
&amp;IFERROR(
INDEX(INDIRECT("数出表_Excel!$"&amp;DJ64&amp;"5:$AL5"),
 1,
MATCH(TRUE,INDIRECT("'数出表_Excel'!"&amp;DJ64&amp;MATCH(DO22,数出表_Excel!$A:$A,0)-1&amp;":AL"&amp;MATCH(DO22,数出表_Excel!$A:$A,0)-1&amp;"")&lt;&gt;"",0)),
 "")),"")))</f>
        <v/>
      </c>
      <c r="DN65" s="83" t="str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92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76"/>
      <c r="DQ65" s="76"/>
      <c r="DR65" s="81" t="e" cm="1">
        <f t="array" aca="1" ref="DR65" ca="1">IF(INDIRECT(""&amp;SUBSTITUTE(ADDRESS(1,
COLUMN(),1),"1","")&amp;ROW()-41&amp;"")&lt;&gt;100,
IF(DS67&lt;&gt;"",MATCH(DS67,INDIRECT("数出表_Excel!B"&amp;MATCH(INDIRECT(""&amp;DW64&amp;ROW()-43&amp;""),数出表_Excel!$A:$A,0)-1&amp;":U"&amp;MATCH(INDIRECT(""&amp;DW64&amp;ROW()-43&amp;""),数出表_Excel!$A:$A,0)-1&amp;""),0)+1,""),
IF(DS67&lt;&gt;"",
MATCH(
IFERROR(
INDEX(INDIRECT("数出表_Excel!"&amp;DR64&amp;MATCH(INDIRECT(""&amp;DW64&amp;ROW()-43&amp;""),数出表_Excel!$A:$A,0)-1&amp;":U"&amp;MATCH(INDIRECT(""&amp;DW64&amp;ROW()-43&amp;""),数出表_Excel!$A:$A,0)-1&amp;""),
 1,
 MATCH(TRUE, ISNUMBER(--INDIRECT("数出表_Excel!"&amp;DR64&amp;MATCH(INDIRECT(""&amp;DW64&amp;ROW()-43&amp;""),数出表_Excel!$A:$A,0)-1&amp;":U"&amp;MATCH(INDIRECT(""&amp;DW64&amp;ROW()-43&amp;""),数出表_Excel!$A:$A,0)-1&amp;"")), 0)),
 ""),
INDIRECT("数出表_Excel!B"&amp;MATCH(INDIRECT(""&amp;DW64&amp;ROW()-43&amp;""),数出表_Excel!$A:$A,0)-1&amp;":U"&amp;MATCH(INDIRECT(""&amp;DW64&amp;ROW()-43&amp;""),数出表_Excel!$A:$A,0)-1&amp;""),0)+1,""))</f>
        <v>#VALUE!</v>
      </c>
      <c r="DS65" s="58" t="str" cm="1">
        <f t="array" aca="1" ref="DS65" ca="1">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</f>
        <v/>
      </c>
      <c r="DT65" s="76"/>
      <c r="DU65" s="82" t="str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83" t="str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92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76"/>
      <c r="DY65" s="81" t="e" cm="1">
        <f t="array" aca="1" ref="DY65" ca="1">IF(INDIRECT(""&amp;SUBSTITUTE(ADDRESS(1,
COLUMN(),1),"1","")&amp;ROW()-41&amp;"")&lt;&gt;100,
IF(DZ67&lt;&gt;"",MATCH(DZ67,INDIRECT("数出表_Excel!B"&amp;MATCH(INDIRECT(""&amp;ED64&amp;ROW()-43&amp;""),数出表_Excel!$A:$A,0)-1&amp;":U"&amp;MATCH(INDIRECT(""&amp;ED64&amp;ROW()-43&amp;""),数出表_Excel!$A:$A,0)-1&amp;""),0)+1,""),
IF(DZ67&lt;&gt;"",
MATCH(
IFERROR(
INDEX(INDIRECT("数出表_Excel!"&amp;DY64&amp;MATCH(INDIRECT(""&amp;ED64&amp;ROW()-43&amp;""),数出表_Excel!$A:$A,0)-1&amp;":U"&amp;MATCH(INDIRECT(""&amp;ED64&amp;ROW()-43&amp;""),数出表_Excel!$A:$A,0)-1&amp;""),
 1,
 MATCH(TRUE, ISNUMBER(--INDIRECT("数出表_Excel!"&amp;DY64&amp;MATCH(INDIRECT(""&amp;ED64&amp;ROW()-43&amp;""),数出表_Excel!$A:$A,0)-1&amp;":U"&amp;MATCH(INDIRECT(""&amp;ED64&amp;ROW()-43&amp;""),数出表_Excel!$A:$A,0)-1&amp;"")), 0)),
 ""),
INDIRECT("数出表_Excel!B"&amp;MATCH(INDIRECT(""&amp;ED64&amp;ROW()-43&amp;""),数出表_Excel!$A:$A,0)-1&amp;":U"&amp;MATCH(INDIRECT(""&amp;ED64&amp;ROW()-43&amp;""),数出表_Excel!$A:$A,0)-1&amp;""),0)+1,""))</f>
        <v>#VALUE!</v>
      </c>
      <c r="DZ65" s="58" t="str" cm="1">
        <f t="array" aca="1" ref="DZ65" ca="1">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</f>
        <v/>
      </c>
      <c r="EA65" s="76"/>
      <c r="EB65" s="82" t="str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+MATCH(TRUE,INDIRECT("'数出表_Excel'!"&amp;DY64&amp;MATCH(ED22,数出表_Excel!$A:$A,0)-1&amp;":AL"&amp;MATCH(ED22,数出表_Excel!$A:$A,0)-1&amp;"")&lt;&gt;"",0))&gt;12,"",
IFERROR(
INDEX(INDIRECT("数出表_Excel!$"&amp;DY64&amp;"4:$AL4"),
 1,
MATCH(TRUE,INDIRECT("'数出表_Excel'!"&amp;DY64&amp;MATCH(ED22,数出表_Excel!$A:$A,0)-1&amp;":AL"&amp;MATCH(ED22,数出表_Excel!$A:$A,0)-1&amp;"")&lt;&gt;"",0)
),
 "")
&amp;IFERROR(
INDEX(INDIRECT("数出表_Excel!$"&amp;DY64&amp;"5:$AL5"),
 1,
MATCH(TRUE,INDIRECT("'数出表_Excel'!"&amp;DY64&amp;MATCH(ED22,数出表_Excel!$A:$A,0)-1&amp;":AL"&amp;MATCH(ED22,数出表_Excel!$A:$A,0)-1&amp;"")&lt;&gt;"",0)),
 "")),"")))</f>
        <v/>
      </c>
      <c r="EC65" s="83" t="str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92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76"/>
      <c r="EF65" s="76"/>
      <c r="EG65" s="81" t="e" cm="1">
        <f t="array" aca="1" ref="EG65" ca="1">IF(INDIRECT(""&amp;SUBSTITUTE(ADDRESS(1,
COLUMN(),1),"1","")&amp;ROW()-41&amp;"")&lt;&gt;100,
IF(EH67&lt;&gt;"",MATCH(EH67,INDIRECT("数出表_Excel!B"&amp;MATCH(INDIRECT(""&amp;EL64&amp;ROW()-43&amp;""),数出表_Excel!$A:$A,0)-1&amp;":U"&amp;MATCH(INDIRECT(""&amp;EL64&amp;ROW()-43&amp;""),数出表_Excel!$A:$A,0)-1&amp;""),0)+1,""),
IF(EH67&lt;&gt;"",
MATCH(
IFERROR(
INDEX(INDIRECT("数出表_Excel!"&amp;EG64&amp;MATCH(INDIRECT(""&amp;EL64&amp;ROW()-43&amp;""),数出表_Excel!$A:$A,0)-1&amp;":U"&amp;MATCH(INDIRECT(""&amp;EL64&amp;ROW()-43&amp;""),数出表_Excel!$A:$A,0)-1&amp;""),
 1,
 MATCH(TRUE, ISNUMBER(--INDIRECT("数出表_Excel!"&amp;EG64&amp;MATCH(INDIRECT(""&amp;EL64&amp;ROW()-43&amp;""),数出表_Excel!$A:$A,0)-1&amp;":U"&amp;MATCH(INDIRECT(""&amp;EL64&amp;ROW()-43&amp;""),数出表_Excel!$A:$A,0)-1&amp;"")), 0)),
 ""),
INDIRECT("数出表_Excel!B"&amp;MATCH(INDIRECT(""&amp;EL64&amp;ROW()-43&amp;""),数出表_Excel!$A:$A,0)-1&amp;":U"&amp;MATCH(INDIRECT(""&amp;EL64&amp;ROW()-43&amp;""),数出表_Excel!$A:$A,0)-1&amp;""),0)+1,""))</f>
        <v>#VALUE!</v>
      </c>
      <c r="EH65" s="58" t="str" cm="1">
        <f t="array" aca="1" ref="EH65" ca="1">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</f>
        <v/>
      </c>
      <c r="EI65" s="76"/>
      <c r="EJ65" s="82" t="str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83" t="str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92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76"/>
      <c r="EN65" s="81" t="e" cm="1">
        <f t="array" aca="1" ref="EN65" ca="1">IF(INDIRECT(""&amp;SUBSTITUTE(ADDRESS(1,
COLUMN(),1),"1","")&amp;ROW()-41&amp;"")&lt;&gt;100,
IF(EO67&lt;&gt;"",MATCH(EO67,INDIRECT("数出表_Excel!B"&amp;MATCH(INDIRECT(""&amp;ES64&amp;ROW()-43&amp;""),数出表_Excel!$A:$A,0)-1&amp;":U"&amp;MATCH(INDIRECT(""&amp;ES64&amp;ROW()-43&amp;""),数出表_Excel!$A:$A,0)-1&amp;""),0)+1,""),
IF(EO67&lt;&gt;"",
MATCH(
IFERROR(
INDEX(INDIRECT("数出表_Excel!"&amp;EN64&amp;MATCH(INDIRECT(""&amp;ES64&amp;ROW()-43&amp;""),数出表_Excel!$A:$A,0)-1&amp;":U"&amp;MATCH(INDIRECT(""&amp;ES64&amp;ROW()-43&amp;""),数出表_Excel!$A:$A,0)-1&amp;""),
 1,
 MATCH(TRUE, ISNUMBER(--INDIRECT("数出表_Excel!"&amp;EN64&amp;MATCH(INDIRECT(""&amp;ES64&amp;ROW()-43&amp;""),数出表_Excel!$A:$A,0)-1&amp;":U"&amp;MATCH(INDIRECT(""&amp;ES64&amp;ROW()-43&amp;""),数出表_Excel!$A:$A,0)-1&amp;"")), 0)),
 ""),
INDIRECT("数出表_Excel!B"&amp;MATCH(INDIRECT(""&amp;ES64&amp;ROW()-43&amp;""),数出表_Excel!$A:$A,0)-1&amp;":U"&amp;MATCH(INDIRECT(""&amp;ES64&amp;ROW()-43&amp;""),数出表_Excel!$A:$A,0)-1&amp;""),0)+1,""))</f>
        <v>#VALUE!</v>
      </c>
      <c r="EO65" s="58" t="str" cm="1">
        <f t="array" aca="1" ref="EO65" ca="1">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</f>
        <v/>
      </c>
      <c r="EP65" s="76"/>
      <c r="EQ65" s="82" t="str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+MATCH(TRUE,INDIRECT("'数出表_Excel'!"&amp;EN64&amp;MATCH(ES22,数出表_Excel!$A:$A,0)-1&amp;":AL"&amp;MATCH(ES22,数出表_Excel!$A:$A,0)-1&amp;"")&lt;&gt;"",0))&gt;12,"",
IFERROR(
INDEX(INDIRECT("数出表_Excel!$"&amp;EN64&amp;"4:$AL4"),
 1,
MATCH(TRUE,INDIRECT("'数出表_Excel'!"&amp;EN64&amp;MATCH(ES22,数出表_Excel!$A:$A,0)-1&amp;":AL"&amp;MATCH(ES22,数出表_Excel!$A:$A,0)-1&amp;"")&lt;&gt;"",0)
),
 "")
&amp;IFERROR(
INDEX(INDIRECT("数出表_Excel!$"&amp;EN64&amp;"5:$AL5"),
 1,
MATCH(TRUE,INDIRECT("'数出表_Excel'!"&amp;EN64&amp;MATCH(ES22,数出表_Excel!$A:$A,0)-1&amp;":AL"&amp;MATCH(ES22,数出表_Excel!$A:$A,0)-1&amp;"")&lt;&gt;"",0)),
 "")),"")))</f>
        <v/>
      </c>
      <c r="ER65" s="83" t="str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92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07"/>
      <c r="EU65" s="78">
        <f t="shared" si="4"/>
        <v>70</v>
      </c>
      <c r="EV65" s="78" t="str">
        <f t="array" aca="1" ref="EV65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LEN(SUBSTITUTE(_xlfn.FORMULATEXT(EV$40),"=","")))+$EU65)</f>
        <v/>
      </c>
      <c r="EW65" s="78" t="str">
        <f t="array" aca="1" ref="EW65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LEN(SUBSTITUTE(_xlfn.FORMULATEXT(EW$40),"=","")))+$EU65)</f>
        <v/>
      </c>
      <c r="EX65" s="78" t="str">
        <f t="array" aca="1" ref="EX65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LEN(SUBSTITUTE(_xlfn.FORMULATEXT(EX$40),"=","")))+$EU65)</f>
        <v/>
      </c>
      <c r="EY65" s="78" t="str">
        <f t="array" aca="1" ref="EY65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LEN(SUBSTITUTE(_xlfn.FORMULATEXT(EY$40),"=","")))+$EU65)</f>
        <v/>
      </c>
      <c r="EZ65" s="78" t="str">
        <f t="array" aca="1" ref="EZ65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LEN(SUBSTITUTE(_xlfn.FORMULATEXT(EZ$40),"=","")))+$EU65)</f>
        <v/>
      </c>
      <c r="FA65" s="78" t="str">
        <f t="array" aca="1" ref="FA65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LEN(SUBSTITUTE(_xlfn.FORMULATEXT(FA$40),"=","")))+$EU65)</f>
        <v/>
      </c>
      <c r="FB65" s="78" t="str">
        <f t="array" aca="1" ref="FB65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LEN(SUBSTITUTE(_xlfn.FORMULATEXT(FB$40),"=","")))+$EU65)</f>
        <v/>
      </c>
      <c r="FC65" s="78" t="str">
        <f t="array" aca="1" ref="FC65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LEN(SUBSTITUTE(_xlfn.FORMULATEXT(FC$40),"=","")))+$EU65)</f>
        <v/>
      </c>
      <c r="FD65" s="78" t="str">
        <f t="array" aca="1" ref="FD65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LEN(SUBSTITUTE(_xlfn.FORMULATEXT(FD$40),"=","")))+$EU65)</f>
        <v/>
      </c>
      <c r="FE65" s="78" t="str">
        <f t="array" aca="1" ref="FE65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LEN(SUBSTITUTE(_xlfn.FORMULATEXT(FE$40),"=","")))+$EU65)</f>
        <v/>
      </c>
      <c r="FF65" s="78" t="str">
        <f t="array" aca="1" ref="FF65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LEN(SUBSTITUTE(_xlfn.FORMULATEXT(FF$40),"=","")))+$EU65)</f>
        <v/>
      </c>
      <c r="FG65" s="78">
        <f t="shared" ca="1" si="6"/>
        <v>0</v>
      </c>
      <c r="FH65" s="78" t="b">
        <f t="array" aca="1" ref="FH65" ca="1">SUMPRODUCT((LEN(EV65:FF65)&gt;0)*1)&gt;0</f>
        <v>0</v>
      </c>
      <c r="FI65" s="78" t="str">
        <f t="array" aca="1" ref="FI65" ca="1">IFERROR(SMALL(IF(FG$1:FG$228&lt;&gt;0,FG$1:FG$228),ROW(A65)),"")</f>
        <v/>
      </c>
      <c r="FJ65" s="78" t="str">
        <f t="array" aca="1" ref="FJ65" ca="1">IF($FI65&lt;&gt;"",
INDIRECT(""&amp;IF(COLUMN(EV97)&lt;=26,CHAR(COLUMN(EV97)+64),CHAR(INT((COLUMN(EV97)-1)/26)+64)&amp;CHAR(MOD(COLUMN(EV97)-1,26)+65))&amp;$FI65&amp;""),"")</f>
        <v/>
      </c>
      <c r="FK65" s="78" t="str">
        <f t="array" aca="1" ref="FK65" ca="1">IF($FI65&lt;&gt;"",
INDIRECT(""&amp;IF(COLUMN(EW97)&lt;=26,CHAR(COLUMN(EW97)+64),CHAR(INT((COLUMN(EW97)-1)/26)+64)&amp;CHAR(MOD(COLUMN(EW97)-1,26)+65))&amp;$FI65&amp;""),"")</f>
        <v/>
      </c>
      <c r="FL65" s="78" t="str">
        <f t="array" aca="1" ref="FL65" ca="1">IF($FI65&lt;&gt;"",
INDIRECT(""&amp;IF(COLUMN(EX97)&lt;=26,CHAR(COLUMN(EX97)+64),CHAR(INT((COLUMN(EX97)-1)/26)+64)&amp;CHAR(MOD(COLUMN(EX97)-1,26)+65))&amp;$FI65&amp;""),"")</f>
        <v/>
      </c>
      <c r="FM65" s="78" t="str">
        <f t="array" aca="1" ref="FM65" ca="1">IF($FI65&lt;&gt;"",
IF(FL65="",
IF(INDIRECT("EY"&amp;$FI65&amp;"")&lt;&gt;"",
INDIRECT("EY"&amp;$FI65&amp;"")&amp;"箱"
&amp;INDIRECT("EZ"&amp;$FI65&amp;""),""),""),"")</f>
        <v/>
      </c>
      <c r="FN65" s="78" t="str">
        <f t="array" aca="1" ref="FN65" ca="1">IF($FI65&lt;&gt;"",
INDIRECT(""&amp;IF(COLUMN(FA97)&lt;=26,CHAR(COLUMN(FA97)+64),CHAR(INT((COLUMN(FA97)-1)/26)+64)&amp;CHAR(MOD(COLUMN(FA97)-1,26)+65))&amp;$FI65&amp;""),"")</f>
        <v/>
      </c>
      <c r="FO65" s="78" t="str">
        <f t="array" aca="1" ref="FO65" ca="1">IF($FI65&lt;&gt;"",
INDIRECT(""&amp;IF(COLUMN(FB97)&lt;=26,CHAR(COLUMN(FB97)+64),CHAR(INT((COLUMN(FB97)-1)/26)+64)&amp;CHAR(MOD(COLUMN(FB97)-1,26)+65))&amp;$FI65&amp;""),"")</f>
        <v/>
      </c>
      <c r="FP65" s="78" t="str">
        <f t="array" aca="1" ref="FP65" ca="1">IF($FI65&lt;&gt;"",
INDIRECT(""&amp;IF(COLUMN(FC97)&lt;=26,CHAR(COLUMN(FC97)+64),CHAR(INT((COLUMN(FC97)-1)/26)+64)&amp;CHAR(MOD(COLUMN(FC97)-1,26)+65))&amp;$FI65&amp;""),"")</f>
        <v/>
      </c>
      <c r="FQ65" s="78" t="str">
        <f t="array" aca="1" ref="FQ65" ca="1">IF($FI65&lt;&gt;"",
INDIRECT(""&amp;IF(COLUMN(FD97)&lt;=26,CHAR(COLUMN(FD97)+64),CHAR(INT((COLUMN(FD97)-1)/26)+64)&amp;CHAR(MOD(COLUMN(FD97)-1,26)+65))&amp;$FI65&amp;""),"")</f>
        <v/>
      </c>
      <c r="FR65" s="78" t="str">
        <f t="array" aca="1" ref="FR65" ca="1">IF($FI65&lt;&gt;"",
INDIRECT(""&amp;IF(COLUMN(FE97)&lt;=26,CHAR(COLUMN(FE97)+64),CHAR(INT((COLUMN(FE97)-1)/26)+64)&amp;CHAR(MOD(COLUMN(FE97)-1,26)+65))&amp;$FI65&amp;""),"")</f>
        <v/>
      </c>
      <c r="FS65" s="78" t="str">
        <f t="array" aca="1" ref="FS65" ca="1">IF($FI65&lt;&gt;"",
INDIRECT(""&amp;IF(COLUMN(FF97)&lt;=26,CHAR(COLUMN(FF97)+64),CHAR(INT((COLUMN(FF97)-1)/26)+64)&amp;CHAR(MOD(COLUMN(FF97)-1,26)+65))&amp;$FI65&amp;""),"")</f>
        <v/>
      </c>
    </row>
    <row r="66" spans="1:175" s="78" customFormat="1" ht="22.2" customHeight="1" x14ac:dyDescent="0.55000000000000004">
      <c r="A66" s="76"/>
      <c r="B66" s="84" t="str" cm="1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249" t="str">
        <f ca="1">IF(C67&lt;&gt;"","園児","")</f>
        <v/>
      </c>
      <c r="D66" s="249"/>
      <c r="E66" s="251" t="str">
        <f ca="1">IF(C67&lt;&gt;"","先生","")</f>
        <v/>
      </c>
      <c r="F66" s="251"/>
      <c r="G66" s="97" cm="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76"/>
      <c r="I66" s="84" t="str" cm="1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249" t="str">
        <f ca="1">IF(J67&lt;&gt;"","園児","")</f>
        <v/>
      </c>
      <c r="K66" s="249"/>
      <c r="L66" s="251" t="str">
        <f ca="1">IF(J67&lt;&gt;"","先生","")</f>
        <v/>
      </c>
      <c r="M66" s="251"/>
      <c r="N66" s="97" cm="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76"/>
      <c r="P66" s="76"/>
      <c r="Q66" s="84" t="str" cm="1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249" t="str">
        <f ca="1">IF(R67&lt;&gt;"","園児","")</f>
        <v/>
      </c>
      <c r="S66" s="249"/>
      <c r="T66" s="251" t="str">
        <f ca="1">IF(R67&lt;&gt;"","先生","")</f>
        <v/>
      </c>
      <c r="U66" s="251"/>
      <c r="V66" s="97" cm="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76"/>
      <c r="X66" s="84" t="str" cm="1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249" t="str">
        <f ca="1">IF(Y67&lt;&gt;"","園児","")</f>
        <v/>
      </c>
      <c r="Z66" s="249"/>
      <c r="AA66" s="251" t="str">
        <f ca="1">IF(Y67&lt;&gt;"","先生","")</f>
        <v/>
      </c>
      <c r="AB66" s="251"/>
      <c r="AC66" s="97" cm="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76"/>
      <c r="AE66" s="76"/>
      <c r="AF66" s="84" t="str" cm="1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249" t="str">
        <f ca="1">IF(AG67&lt;&gt;"","園児","")</f>
        <v/>
      </c>
      <c r="AH66" s="249"/>
      <c r="AI66" s="251" t="str">
        <f ca="1">IF(AG67&lt;&gt;"","先生","")</f>
        <v/>
      </c>
      <c r="AJ66" s="251"/>
      <c r="AK66" s="97" cm="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76"/>
      <c r="AM66" s="84" t="str" cm="1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249" t="str">
        <f ca="1">IF(AN67&lt;&gt;"","園児","")</f>
        <v/>
      </c>
      <c r="AO66" s="249"/>
      <c r="AP66" s="251" t="str">
        <f ca="1">IF(AN67&lt;&gt;"","先生","")</f>
        <v/>
      </c>
      <c r="AQ66" s="251"/>
      <c r="AR66" s="97" cm="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76"/>
      <c r="AT66" s="76"/>
      <c r="AU66" s="84" t="str" cm="1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249" t="str">
        <f ca="1">IF(AV67&lt;&gt;"","園児","")</f>
        <v/>
      </c>
      <c r="AW66" s="249"/>
      <c r="AX66" s="251" t="str">
        <f ca="1">IF(AV67&lt;&gt;"","先生","")</f>
        <v/>
      </c>
      <c r="AY66" s="251"/>
      <c r="AZ66" s="97" cm="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76"/>
      <c r="BB66" s="84" t="str" cm="1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249" t="str">
        <f ca="1">IF(BC67&lt;&gt;"","園児","")</f>
        <v/>
      </c>
      <c r="BD66" s="249"/>
      <c r="BE66" s="251" t="str">
        <f ca="1">IF(BC67&lt;&gt;"","先生","")</f>
        <v/>
      </c>
      <c r="BF66" s="251"/>
      <c r="BG66" s="97" cm="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76"/>
      <c r="BI66" s="76"/>
      <c r="BJ66" s="84" t="str" cm="1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249" t="str">
        <f ca="1">IF(BK67&lt;&gt;"","園児","")</f>
        <v/>
      </c>
      <c r="BL66" s="249"/>
      <c r="BM66" s="251" t="str">
        <f ca="1">IF(BK67&lt;&gt;"","先生","")</f>
        <v/>
      </c>
      <c r="BN66" s="251"/>
      <c r="BO66" s="97" cm="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76"/>
      <c r="BQ66" s="84" t="str" cm="1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249" t="str">
        <f ca="1">IF(BR67&lt;&gt;"","園児","")</f>
        <v/>
      </c>
      <c r="BS66" s="249"/>
      <c r="BT66" s="251" t="str">
        <f ca="1">IF(BR67&lt;&gt;"","先生","")</f>
        <v/>
      </c>
      <c r="BU66" s="251"/>
      <c r="BV66" s="97" cm="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76"/>
      <c r="BX66" s="76"/>
      <c r="BY66" s="84" t="str" cm="1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249" t="str">
        <f ca="1">IF(BZ67&lt;&gt;"","園児","")</f>
        <v/>
      </c>
      <c r="CA66" s="249"/>
      <c r="CB66" s="251" t="str">
        <f ca="1">IF(BZ67&lt;&gt;"","先生","")</f>
        <v/>
      </c>
      <c r="CC66" s="251"/>
      <c r="CD66" s="97" cm="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76"/>
      <c r="CF66" s="84" t="str" cm="1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249" t="str">
        <f ca="1">IF(CG67&lt;&gt;"","園児","")</f>
        <v/>
      </c>
      <c r="CH66" s="249"/>
      <c r="CI66" s="251" t="str">
        <f ca="1">IF(CG67&lt;&gt;"","先生","")</f>
        <v/>
      </c>
      <c r="CJ66" s="251"/>
      <c r="CK66" s="97" cm="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76"/>
      <c r="CM66" s="76"/>
      <c r="CN66" s="84" t="str" cm="1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249" t="str">
        <f ca="1">IF(CO67&lt;&gt;"","園児","")</f>
        <v/>
      </c>
      <c r="CP66" s="249"/>
      <c r="CQ66" s="251" t="str">
        <f ca="1">IF(CO67&lt;&gt;"","先生","")</f>
        <v/>
      </c>
      <c r="CR66" s="251"/>
      <c r="CS66" s="97" cm="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76"/>
      <c r="CU66" s="84" t="str" cm="1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249" t="str">
        <f ca="1">IF(CV67&lt;&gt;"","園児","")</f>
        <v/>
      </c>
      <c r="CW66" s="249"/>
      <c r="CX66" s="251" t="str">
        <f ca="1">IF(CV67&lt;&gt;"","先生","")</f>
        <v/>
      </c>
      <c r="CY66" s="251"/>
      <c r="CZ66" s="97" cm="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76"/>
      <c r="DB66" s="76"/>
      <c r="DC66" s="84" t="str" cm="1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249" t="str">
        <f ca="1">IF(DD67&lt;&gt;"","園児","")</f>
        <v/>
      </c>
      <c r="DE66" s="249"/>
      <c r="DF66" s="251" t="str">
        <f ca="1">IF(DD67&lt;&gt;"","先生","")</f>
        <v/>
      </c>
      <c r="DG66" s="251"/>
      <c r="DH66" s="97" cm="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76"/>
      <c r="DJ66" s="84" t="str" cm="1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249" t="str">
        <f ca="1">IF(DK67&lt;&gt;"","園児","")</f>
        <v/>
      </c>
      <c r="DL66" s="249"/>
      <c r="DM66" s="251" t="str">
        <f ca="1">IF(DK67&lt;&gt;"","先生","")</f>
        <v/>
      </c>
      <c r="DN66" s="251"/>
      <c r="DO66" s="97" cm="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76"/>
      <c r="DQ66" s="76"/>
      <c r="DR66" s="84" t="str" cm="1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249" t="str">
        <f ca="1">IF(DS67&lt;&gt;"","園児","")</f>
        <v/>
      </c>
      <c r="DT66" s="249"/>
      <c r="DU66" s="251" t="str">
        <f ca="1">IF(DS67&lt;&gt;"","先生","")</f>
        <v/>
      </c>
      <c r="DV66" s="251"/>
      <c r="DW66" s="97" cm="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76"/>
      <c r="DY66" s="84" t="str" cm="1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249" t="str">
        <f ca="1">IF(DZ67&lt;&gt;"","園児","")</f>
        <v/>
      </c>
      <c r="EA66" s="249"/>
      <c r="EB66" s="251" t="str">
        <f ca="1">IF(DZ67&lt;&gt;"","先生","")</f>
        <v/>
      </c>
      <c r="EC66" s="251"/>
      <c r="ED66" s="97" cm="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76"/>
      <c r="EF66" s="76"/>
      <c r="EG66" s="84" t="str" cm="1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249" t="str">
        <f ca="1">IF(EH67&lt;&gt;"","園児","")</f>
        <v/>
      </c>
      <c r="EI66" s="249"/>
      <c r="EJ66" s="251" t="str">
        <f ca="1">IF(EH67&lt;&gt;"","先生","")</f>
        <v/>
      </c>
      <c r="EK66" s="251"/>
      <c r="EL66" s="97" cm="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76"/>
      <c r="EN66" s="84" t="str" cm="1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249" t="str">
        <f ca="1">IF(EO67&lt;&gt;"","園児","")</f>
        <v/>
      </c>
      <c r="EP66" s="249"/>
      <c r="EQ66" s="251" t="str">
        <f ca="1">IF(EO67&lt;&gt;"","先生","")</f>
        <v/>
      </c>
      <c r="ER66" s="251"/>
      <c r="ES66" s="97" cm="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06"/>
      <c r="EU66" s="78">
        <f t="shared" si="4"/>
        <v>112</v>
      </c>
      <c r="EV66" s="78" t="str">
        <f t="array" aca="1" ref="EV66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LEN(SUBSTITUTE(_xlfn.FORMULATEXT(EV$40),"=","")))+$EU66)</f>
        <v/>
      </c>
      <c r="EW66" s="78" t="str">
        <f t="array" aca="1" ref="EW66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LEN(SUBSTITUTE(_xlfn.FORMULATEXT(EW$40),"=","")))+$EU66)</f>
        <v/>
      </c>
      <c r="EX66" s="78" t="str">
        <f t="array" aca="1" ref="EX66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LEN(SUBSTITUTE(_xlfn.FORMULATEXT(EX$40),"=","")))+$EU66)</f>
        <v/>
      </c>
      <c r="EY66" s="78" t="str">
        <f t="array" aca="1" ref="EY66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LEN(SUBSTITUTE(_xlfn.FORMULATEXT(EY$40),"=","")))+$EU66)</f>
        <v/>
      </c>
      <c r="EZ66" s="78" t="str">
        <f t="array" aca="1" ref="EZ66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LEN(SUBSTITUTE(_xlfn.FORMULATEXT(EZ$40),"=","")))+$EU66)</f>
        <v/>
      </c>
      <c r="FA66" s="78" t="str">
        <f t="array" aca="1" ref="FA66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LEN(SUBSTITUTE(_xlfn.FORMULATEXT(FA$40),"=","")))+$EU66)</f>
        <v/>
      </c>
      <c r="FB66" s="78" t="str">
        <f t="array" aca="1" ref="FB66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LEN(SUBSTITUTE(_xlfn.FORMULATEXT(FB$40),"=","")))+$EU66)</f>
        <v/>
      </c>
      <c r="FC66" s="78" t="str">
        <f t="array" aca="1" ref="FC66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LEN(SUBSTITUTE(_xlfn.FORMULATEXT(FC$40),"=","")))+$EU66)</f>
        <v/>
      </c>
      <c r="FD66" s="78" t="str">
        <f t="array" aca="1" ref="FD66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LEN(SUBSTITUTE(_xlfn.FORMULATEXT(FD$40),"=","")))+$EU66)</f>
        <v/>
      </c>
      <c r="FE66" s="78" t="str">
        <f t="array" aca="1" ref="FE66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LEN(SUBSTITUTE(_xlfn.FORMULATEXT(FE$40),"=","")))+$EU66)</f>
        <v/>
      </c>
      <c r="FF66" s="78" t="str">
        <f t="array" aca="1" ref="FF66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LEN(SUBSTITUTE(_xlfn.FORMULATEXT(FF$40),"=","")))+$EU66)</f>
        <v/>
      </c>
      <c r="FG66" s="78">
        <f t="shared" ca="1" si="6"/>
        <v>0</v>
      </c>
      <c r="FH66" s="78" t="b">
        <f t="array" aca="1" ref="FH66" ca="1">SUMPRODUCT((LEN(EV66:FF66)&gt;0)*1)&gt;0</f>
        <v>0</v>
      </c>
      <c r="FI66" s="78" t="str">
        <f t="array" aca="1" ref="FI66" ca="1">IFERROR(SMALL(IF(FG$1:FG$228&lt;&gt;0,FG$1:FG$228),ROW(A66)),"")</f>
        <v/>
      </c>
      <c r="FJ66" s="78" t="str">
        <f t="array" aca="1" ref="FJ66" ca="1">IF($FI66&lt;&gt;"",
INDIRECT(""&amp;IF(COLUMN(EV98)&lt;=26,CHAR(COLUMN(EV98)+64),CHAR(INT((COLUMN(EV98)-1)/26)+64)&amp;CHAR(MOD(COLUMN(EV98)-1,26)+65))&amp;$FI66&amp;""),"")</f>
        <v/>
      </c>
      <c r="FK66" s="78" t="str">
        <f t="array" aca="1" ref="FK66" ca="1">IF($FI66&lt;&gt;"",
INDIRECT(""&amp;IF(COLUMN(EW98)&lt;=26,CHAR(COLUMN(EW98)+64),CHAR(INT((COLUMN(EW98)-1)/26)+64)&amp;CHAR(MOD(COLUMN(EW98)-1,26)+65))&amp;$FI66&amp;""),"")</f>
        <v/>
      </c>
      <c r="FL66" s="78" t="str">
        <f t="array" aca="1" ref="FL66" ca="1">IF($FI66&lt;&gt;"",
INDIRECT(""&amp;IF(COLUMN(EX98)&lt;=26,CHAR(COLUMN(EX98)+64),CHAR(INT((COLUMN(EX98)-1)/26)+64)&amp;CHAR(MOD(COLUMN(EX98)-1,26)+65))&amp;$FI66&amp;""),"")</f>
        <v/>
      </c>
      <c r="FM66" s="78" t="str">
        <f t="array" aca="1" ref="FM66" ca="1">IF($FI66&lt;&gt;"",
IF(FL66="",
IF(INDIRECT("EY"&amp;$FI66&amp;"")&lt;&gt;"",
INDIRECT("EY"&amp;$FI66&amp;"")&amp;"箱"
&amp;INDIRECT("EZ"&amp;$FI66&amp;""),""),""),"")</f>
        <v/>
      </c>
      <c r="FN66" s="78" t="str">
        <f t="array" aca="1" ref="FN66" ca="1">IF($FI66&lt;&gt;"",
INDIRECT(""&amp;IF(COLUMN(FA98)&lt;=26,CHAR(COLUMN(FA98)+64),CHAR(INT((COLUMN(FA98)-1)/26)+64)&amp;CHAR(MOD(COLUMN(FA98)-1,26)+65))&amp;$FI66&amp;""),"")</f>
        <v/>
      </c>
      <c r="FO66" s="78" t="str">
        <f t="array" aca="1" ref="FO66" ca="1">IF($FI66&lt;&gt;"",
INDIRECT(""&amp;IF(COLUMN(FB98)&lt;=26,CHAR(COLUMN(FB98)+64),CHAR(INT((COLUMN(FB98)-1)/26)+64)&amp;CHAR(MOD(COLUMN(FB98)-1,26)+65))&amp;$FI66&amp;""),"")</f>
        <v/>
      </c>
      <c r="FP66" s="78" t="str">
        <f t="array" aca="1" ref="FP66" ca="1">IF($FI66&lt;&gt;"",
INDIRECT(""&amp;IF(COLUMN(FC98)&lt;=26,CHAR(COLUMN(FC98)+64),CHAR(INT((COLUMN(FC98)-1)/26)+64)&amp;CHAR(MOD(COLUMN(FC98)-1,26)+65))&amp;$FI66&amp;""),"")</f>
        <v/>
      </c>
      <c r="FQ66" s="78" t="str">
        <f t="array" aca="1" ref="FQ66" ca="1">IF($FI66&lt;&gt;"",
INDIRECT(""&amp;IF(COLUMN(FD98)&lt;=26,CHAR(COLUMN(FD98)+64),CHAR(INT((COLUMN(FD98)-1)/26)+64)&amp;CHAR(MOD(COLUMN(FD98)-1,26)+65))&amp;$FI66&amp;""),"")</f>
        <v/>
      </c>
      <c r="FR66" s="78" t="str">
        <f t="array" aca="1" ref="FR66" ca="1">IF($FI66&lt;&gt;"",
INDIRECT(""&amp;IF(COLUMN(FE98)&lt;=26,CHAR(COLUMN(FE98)+64),CHAR(INT((COLUMN(FE98)-1)/26)+64)&amp;CHAR(MOD(COLUMN(FE98)-1,26)+65))&amp;$FI66&amp;""),"")</f>
        <v/>
      </c>
      <c r="FS66" s="78" t="str">
        <f t="array" aca="1" ref="FS66" ca="1">IF($FI66&lt;&gt;"",
INDIRECT(""&amp;IF(COLUMN(FF98)&lt;=26,CHAR(COLUMN(FF98)+64),CHAR(INT((COLUMN(FF98)-1)/26)+64)&amp;CHAR(MOD(COLUMN(FF98)-1,26)+65))&amp;$FI66&amp;""),"")</f>
        <v/>
      </c>
    </row>
    <row r="67" spans="1:175" ht="18" customHeight="1" x14ac:dyDescent="0.45">
      <c r="B67" s="86"/>
      <c r="C67" s="259" t="str" cm="1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259"/>
      <c r="E67" s="258" t="str" cm="1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58"/>
      <c r="G67" s="97" t="e" cm="1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INDEX(INDIRECT("'数出表_Excel（アレルギー入力）'!"&amp;B66&amp;MATCH(IG22,'数出表_Excel（アレルギー入力）'!$A:$A,0)+1&amp;":"&amp;G68&amp;MATCH(G22,'数出表_Excel（アレルギー入力）'!$A:$A,0)+1&amp;""),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I67" s="86"/>
      <c r="J67" s="259" t="str" cm="1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259"/>
      <c r="L67" s="258" t="str" cm="1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58"/>
      <c r="N67" s="97" t="e" cm="1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INDEX(INDIRECT("'数出表_Excel（アレルギー入力）'!"&amp;I66&amp;MATCH(IN22,'数出表_Excel（アレルギー入力）'!$A:$A,0)+1&amp;":"&amp;N68&amp;MATCH(N22,'数出表_Excel（アレルギー入力）'!$A:$A,0)+1&amp;""),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Q67" s="86"/>
      <c r="R67" s="259" t="str" cm="1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59"/>
      <c r="T67" s="258" t="str" cm="1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58"/>
      <c r="V67" s="97" t="e" cm="1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INDEX(INDIRECT("'数出表_Excel（アレルギー入力）'!"&amp;Q66&amp;MATCH(IV22,'数出表_Excel（アレルギー入力）'!$A:$A,0)+1&amp;":"&amp;V68&amp;MATCH(V22,'数出表_Excel（アレルギー入力）'!$A:$A,0)+1&amp;""),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X67" s="86"/>
      <c r="Y67" s="259" t="str" cm="1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59"/>
      <c r="AA67" s="258" t="str" cm="1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58"/>
      <c r="AC67" s="97" t="e" cm="1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INDEX(INDIRECT("'数出表_Excel（アレルギー入力）'!"&amp;X66&amp;MATCH(JC22,'数出表_Excel（アレルギー入力）'!$A:$A,0)+1&amp;":"&amp;AC68&amp;MATCH(AC22,'数出表_Excel（アレルギー入力）'!$A:$A,0)+1&amp;""),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F67" s="86"/>
      <c r="AG67" s="259" t="str" cm="1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59"/>
      <c r="AI67" s="258" t="str" cm="1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58"/>
      <c r="AK67" s="97" t="e" cm="1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INDEX(INDIRECT("'数出表_Excel（アレルギー入力）'!"&amp;AF66&amp;MATCH(JK22,'数出表_Excel（アレルギー入力）'!$A:$A,0)+1&amp;":"&amp;AK68&amp;MATCH(AK22,'数出表_Excel（アレルギー入力）'!$A:$A,0)+1&amp;""),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M67" s="86"/>
      <c r="AN67" s="259" t="str" cm="1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59"/>
      <c r="AP67" s="258" t="str" cm="1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58"/>
      <c r="AR67" s="97" t="e" cm="1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INDEX(INDIRECT("'数出表_Excel（アレルギー入力）'!"&amp;AM66&amp;MATCH(JR22,'数出表_Excel（アレルギー入力）'!$A:$A,0)+1&amp;":"&amp;AR68&amp;MATCH(AR22,'数出表_Excel（アレルギー入力）'!$A:$A,0)+1&amp;""),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U67" s="86"/>
      <c r="AV67" s="259" t="str" cm="1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59"/>
      <c r="AX67" s="258" t="str" cm="1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58"/>
      <c r="AZ67" s="97" t="e" cm="1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INDEX(INDIRECT("'数出表_Excel（アレルギー入力）'!"&amp;AU66&amp;MATCH(JZ22,'数出表_Excel（アレルギー入力）'!$A:$A,0)+1&amp;":"&amp;AZ68&amp;MATCH(AZ22,'数出表_Excel（アレルギー入力）'!$A:$A,0)+1&amp;""),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B67" s="86"/>
      <c r="BC67" s="259" t="str" cm="1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59"/>
      <c r="BE67" s="258" t="str" cm="1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58"/>
      <c r="BG67" s="97" t="e" cm="1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INDEX(INDIRECT("'数出表_Excel（アレルギー入力）'!"&amp;BB66&amp;MATCH(KG22,'数出表_Excel（アレルギー入力）'!$A:$A,0)+1&amp;":"&amp;BG68&amp;MATCH(BG22,'数出表_Excel（アレルギー入力）'!$A:$A,0)+1&amp;""),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J67" s="86"/>
      <c r="BK67" s="259" t="str" cm="1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59"/>
      <c r="BM67" s="258" t="str" cm="1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58"/>
      <c r="BO67" s="97" t="e" cm="1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INDEX(INDIRECT("'数出表_Excel（アレルギー入力）'!"&amp;BJ66&amp;MATCH(KO22,'数出表_Excel（アレルギー入力）'!$A:$A,0)+1&amp;":"&amp;BO68&amp;MATCH(BO22,'数出表_Excel（アレルギー入力）'!$A:$A,0)+1&amp;""),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Q67" s="86"/>
      <c r="BR67" s="259" t="str" cm="1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59"/>
      <c r="BT67" s="258" t="str" cm="1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58"/>
      <c r="BV67" s="97" t="e" cm="1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INDEX(INDIRECT("'数出表_Excel（アレルギー入力）'!"&amp;BQ66&amp;MATCH(KV22,'数出表_Excel（アレルギー入力）'!$A:$A,0)+1&amp;":"&amp;BV68&amp;MATCH(BV22,'数出表_Excel（アレルギー入力）'!$A:$A,0)+1&amp;""),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Y67" s="86"/>
      <c r="BZ67" s="259" t="str" cm="1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59"/>
      <c r="CB67" s="258" t="str" cm="1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58"/>
      <c r="CD67" s="97" t="e" cm="1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INDEX(INDIRECT("'数出表_Excel（アレルギー入力）'!"&amp;BY66&amp;MATCH(LD22,'数出表_Excel（アレルギー入力）'!$A:$A,0)+1&amp;":"&amp;CD68&amp;MATCH(CD22,'数出表_Excel（アレルギー入力）'!$A:$A,0)+1&amp;""),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F67" s="86"/>
      <c r="CG67" s="259" t="str" cm="1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59"/>
      <c r="CI67" s="258" t="str" cm="1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58"/>
      <c r="CK67" s="97" t="e" cm="1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INDEX(INDIRECT("'数出表_Excel（アレルギー入力）'!"&amp;CF66&amp;MATCH(LK22,'数出表_Excel（アレルギー入力）'!$A:$A,0)+1&amp;":"&amp;CK68&amp;MATCH(CK22,'数出表_Excel（アレルギー入力）'!$A:$A,0)+1&amp;""),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N67" s="86"/>
      <c r="CO67" s="259" t="str" cm="1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59"/>
      <c r="CQ67" s="258" t="str" cm="1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58"/>
      <c r="CS67" s="97" t="e" cm="1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INDEX(INDIRECT("'数出表_Excel（アレルギー入力）'!"&amp;CN66&amp;MATCH(LS22,'数出表_Excel（アレルギー入力）'!$A:$A,0)+1&amp;":"&amp;CS68&amp;MATCH(CS22,'数出表_Excel（アレルギー入力）'!$A:$A,0)+1&amp;""),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U67" s="86"/>
      <c r="CV67" s="259" t="str" cm="1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59"/>
      <c r="CX67" s="258" t="str" cm="1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58"/>
      <c r="CZ67" s="97" t="e" cm="1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INDEX(INDIRECT("'数出表_Excel（アレルギー入力）'!"&amp;CU66&amp;MATCH(LZ22,'数出表_Excel（アレルギー入力）'!$A:$A,0)+1&amp;":"&amp;CZ68&amp;MATCH(CZ22,'数出表_Excel（アレルギー入力）'!$A:$A,0)+1&amp;""),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C67" s="86"/>
      <c r="DD67" s="259" t="str" cm="1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59"/>
      <c r="DF67" s="258" t="str" cm="1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58"/>
      <c r="DH67" s="97" t="e" cm="1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INDEX(INDIRECT("'数出表_Excel（アレルギー入力）'!"&amp;DC66&amp;MATCH(MH22,'数出表_Excel（アレルギー入力）'!$A:$A,0)+1&amp;":"&amp;DH68&amp;MATCH(DH22,'数出表_Excel（アレルギー入力）'!$A:$A,0)+1&amp;""),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J67" s="86"/>
      <c r="DK67" s="259" t="str" cm="1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59"/>
      <c r="DM67" s="258" t="str" cm="1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58"/>
      <c r="DO67" s="97" t="e" cm="1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INDEX(INDIRECT("'数出表_Excel（アレルギー入力）'!"&amp;DJ66&amp;MATCH(MO22,'数出表_Excel（アレルギー入力）'!$A:$A,0)+1&amp;":"&amp;DO68&amp;MATCH(DO22,'数出表_Excel（アレルギー入力）'!$A:$A,0)+1&amp;""),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R67" s="86"/>
      <c r="DS67" s="259" t="str" cm="1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59"/>
      <c r="DU67" s="258" t="str" cm="1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58"/>
      <c r="DW67" s="97" t="e" cm="1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INDEX(INDIRECT("'数出表_Excel（アレルギー入力）'!"&amp;DR66&amp;MATCH(MW22,'数出表_Excel（アレルギー入力）'!$A:$A,0)+1&amp;":"&amp;DW68&amp;MATCH(DW22,'数出表_Excel（アレルギー入力）'!$A:$A,0)+1&amp;""),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Y67" s="86"/>
      <c r="DZ67" s="259" t="str" cm="1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59"/>
      <c r="EB67" s="258" t="str" cm="1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58"/>
      <c r="ED67" s="97" t="e" cm="1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INDEX(INDIRECT("'数出表_Excel（アレルギー入力）'!"&amp;DY66&amp;MATCH(ND22,'数出表_Excel（アレルギー入力）'!$A:$A,0)+1&amp;":"&amp;ED68&amp;MATCH(ED22,'数出表_Excel（アレルギー入力）'!$A:$A,0)+1&amp;""),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G67" s="86"/>
      <c r="EH67" s="259" t="str" cm="1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259"/>
      <c r="EJ67" s="258" t="str" cm="1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58"/>
      <c r="EL67" s="97" t="e" cm="1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INDEX(INDIRECT("'数出表_Excel（アレルギー入力）'!"&amp;EG66&amp;MATCH(NL22,'数出表_Excel（アレルギー入力）'!$A:$A,0)+1&amp;":"&amp;EL68&amp;MATCH(EL22,'数出表_Excel（アレルギー入力）'!$A:$A,0)+1&amp;""),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N67" s="86"/>
      <c r="EO67" s="259" t="str" cm="1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259"/>
      <c r="EQ67" s="258" t="str" cm="1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258"/>
      <c r="ES67" s="97" t="e" cm="1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INDEX(INDIRECT("'数出表_Excel（アレルギー入力）'!"&amp;EN66&amp;MATCH(NS22,'数出表_Excel（アレルギー入力）'!$A:$A,0)+1&amp;":"&amp;ES68&amp;MATCH(ES22,'数出表_Excel（アレルギー入力）'!$A:$A,0)+1&amp;""),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06"/>
      <c r="EU67" s="78">
        <f t="shared" si="4"/>
        <v>35</v>
      </c>
      <c r="EV67" s="78" t="str">
        <f t="array" aca="1" ref="EV67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LEN(SUBSTITUTE(_xlfn.FORMULATEXT(EV$37),"=","")))+$EU67)</f>
        <v/>
      </c>
      <c r="EW67" s="78" t="str">
        <f t="array" aca="1" ref="EW67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LEN(SUBSTITUTE(_xlfn.FORMULATEXT(EW$37),"=","")))+$EU67)</f>
        <v/>
      </c>
      <c r="EX67" s="78" t="str">
        <f t="array" aca="1" ref="EX67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LEN(SUBSTITUTE(_xlfn.FORMULATEXT(EX$37),"=","")))+$EU67)</f>
        <v/>
      </c>
      <c r="EY67" s="78" t="str">
        <f t="array" aca="1" ref="EY67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LEN(SUBSTITUTE(_xlfn.FORMULATEXT(EY$37),"=","")))+$EU67)</f>
        <v/>
      </c>
      <c r="EZ67" s="78" t="str">
        <f t="array" aca="1" ref="EZ67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LEN(SUBSTITUTE(_xlfn.FORMULATEXT(EZ$37),"=","")))+$EU67)</f>
        <v/>
      </c>
      <c r="FA67" s="78" t="e">
        <f t="array" aca="1" ref="FA67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LEN(SUBSTITUTE(_xlfn.FORMULATEXT(FA$37),"=","")))+$EU67)</f>
        <v>#VALUE!</v>
      </c>
      <c r="FB67" s="78" t="e">
        <f t="array" aca="1" ref="FB67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LEN(SUBSTITUTE(_xlfn.FORMULATEXT(FB$37),"=","")))+$EU67)</f>
        <v>#VALUE!</v>
      </c>
      <c r="FC67" s="78" t="str">
        <f t="array" aca="1" ref="FC67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LEN(SUBSTITUTE(_xlfn.FORMULATEXT(FC$37),"=","")))+$EU67)</f>
        <v/>
      </c>
      <c r="FD67" s="78" t="e">
        <f t="array" aca="1" ref="FD67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LEN(SUBSTITUTE(_xlfn.FORMULATEXT(FD$37),"=","")))+$EU67)</f>
        <v>#VALUE!</v>
      </c>
      <c r="FE67" s="78" t="str">
        <f t="array" aca="1" ref="FE67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LEN(SUBSTITUTE(_xlfn.FORMULATEXT(FE$37),"=","")))+$EU67)</f>
        <v/>
      </c>
      <c r="FF67" s="78" t="e">
        <f t="array" aca="1" ref="FF67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LEN(SUBSTITUTE(_xlfn.FORMULATEXT(FF$37),"=","")))+$EU67)</f>
        <v>#VALUE!</v>
      </c>
      <c r="FG67" s="78">
        <f t="shared" ca="1" si="6"/>
        <v>0</v>
      </c>
      <c r="FH67" s="78" t="e">
        <f t="array" aca="1" ref="FH67" ca="1">SUMPRODUCT((LEN(EV67:FF67)&gt;0)*1)&gt;0</f>
        <v>#VALUE!</v>
      </c>
      <c r="FI67" s="78" t="str">
        <f t="array" aca="1" ref="FI67" ca="1">IFERROR(SMALL(IF(FG$1:FG$228&lt;&gt;0,FG$1:FG$228),ROW(A67)),"")</f>
        <v/>
      </c>
      <c r="FJ67" s="78" t="str">
        <f t="array" aca="1" ref="FJ67" ca="1">IF($FI67&lt;&gt;"",
INDIRECT(""&amp;IF(COLUMN(EV100)&lt;=26,CHAR(COLUMN(EV100)+64),CHAR(INT((COLUMN(EV100)-1)/26)+64)&amp;CHAR(MOD(COLUMN(EV100)-1,26)+65))&amp;$FI67&amp;""),"")</f>
        <v/>
      </c>
      <c r="FK67" s="78" t="str">
        <f t="array" aca="1" ref="FK67" ca="1">IF($FI67&lt;&gt;"",
INDIRECT(""&amp;IF(COLUMN(EW100)&lt;=26,CHAR(COLUMN(EW100)+64),CHAR(INT((COLUMN(EW100)-1)/26)+64)&amp;CHAR(MOD(COLUMN(EW100)-1,26)+65))&amp;$FI67&amp;""),"")</f>
        <v/>
      </c>
      <c r="FL67" s="78" t="str">
        <f t="array" aca="1" ref="FL67" ca="1">IF($FI67&lt;&gt;"",
INDIRECT(""&amp;IF(COLUMN(EX100)&lt;=26,CHAR(COLUMN(EX100)+64),CHAR(INT((COLUMN(EX100)-1)/26)+64)&amp;CHAR(MOD(COLUMN(EX100)-1,26)+65))&amp;$FI67&amp;""),"")</f>
        <v/>
      </c>
      <c r="FM67" s="78" t="str">
        <f t="array" aca="1" ref="FM67" ca="1">IF($FI67&lt;&gt;"",
IF(FL67="",
IF(INDIRECT("EY"&amp;$FI67&amp;"")&lt;&gt;"",
INDIRECT("EY"&amp;$FI67&amp;"")&amp;"箱"
&amp;INDIRECT("EZ"&amp;$FI67&amp;""),""),""),"")</f>
        <v/>
      </c>
      <c r="FN67" s="78" t="str">
        <f t="array" aca="1" ref="FN67" ca="1">IF($FI67&lt;&gt;"",
INDIRECT(""&amp;IF(COLUMN(FA100)&lt;=26,CHAR(COLUMN(FA100)+64),CHAR(INT((COLUMN(FA100)-1)/26)+64)&amp;CHAR(MOD(COLUMN(FA100)-1,26)+65))&amp;$FI67&amp;""),"")</f>
        <v/>
      </c>
      <c r="FO67" s="78" t="str">
        <f t="array" aca="1" ref="FO67" ca="1">IF($FI67&lt;&gt;"",
INDIRECT(""&amp;IF(COLUMN(FB100)&lt;=26,CHAR(COLUMN(FB100)+64),CHAR(INT((COLUMN(FB100)-1)/26)+64)&amp;CHAR(MOD(COLUMN(FB100)-1,26)+65))&amp;$FI67&amp;""),"")</f>
        <v/>
      </c>
      <c r="FP67" s="78" t="str">
        <f t="array" aca="1" ref="FP67" ca="1">IF($FI67&lt;&gt;"",
INDIRECT(""&amp;IF(COLUMN(FC100)&lt;=26,CHAR(COLUMN(FC100)+64),CHAR(INT((COLUMN(FC100)-1)/26)+64)&amp;CHAR(MOD(COLUMN(FC100)-1,26)+65))&amp;$FI67&amp;""),"")</f>
        <v/>
      </c>
      <c r="FQ67" s="78" t="str">
        <f t="array" aca="1" ref="FQ67" ca="1">IF($FI67&lt;&gt;"",
INDIRECT(""&amp;IF(COLUMN(FD100)&lt;=26,CHAR(COLUMN(FD100)+64),CHAR(INT((COLUMN(FD100)-1)/26)+64)&amp;CHAR(MOD(COLUMN(FD100)-1,26)+65))&amp;$FI67&amp;""),"")</f>
        <v/>
      </c>
      <c r="FR67" s="78" t="str">
        <f t="array" aca="1" ref="FR67" ca="1">IF($FI67&lt;&gt;"",
INDIRECT(""&amp;IF(COLUMN(FE100)&lt;=26,CHAR(COLUMN(FE100)+64),CHAR(INT((COLUMN(FE100)-1)/26)+64)&amp;CHAR(MOD(COLUMN(FE100)-1,26)+65))&amp;$FI67&amp;""),"")</f>
        <v/>
      </c>
      <c r="FS67" s="78" t="str">
        <f t="array" aca="1" ref="FS67" ca="1">IF($FI67&lt;&gt;"",
INDIRECT(""&amp;IF(COLUMN(FF100)&lt;=26,CHAR(COLUMN(FF100)+64),CHAR(INT((COLUMN(FF100)-1)/26)+64)&amp;CHAR(MOD(COLUMN(FF100)-1,26)+65))&amp;$FI67&amp;""),"")</f>
        <v/>
      </c>
    </row>
    <row r="68" spans="1:175" ht="18" customHeight="1" x14ac:dyDescent="0.45">
      <c r="B68" s="88"/>
      <c r="C68" s="252"/>
      <c r="D68" s="252"/>
      <c r="E68" s="255"/>
      <c r="F68" s="255"/>
      <c r="G68" s="98" t="str">
        <f ca="1">SUBSTITUTE(SUBSTITUTE(ADDRESS(1,MATCH("おやつ",'数出表_Excel（アレルギー入力）'!$3:$3,0)),1,""),"$","")</f>
        <v>AL</v>
      </c>
      <c r="I68" s="88"/>
      <c r="J68" s="252"/>
      <c r="K68" s="252"/>
      <c r="L68" s="255"/>
      <c r="M68" s="255"/>
      <c r="N68" s="98" t="str">
        <f ca="1">SUBSTITUTE(SUBSTITUTE(ADDRESS(1,MATCH("おやつ",'数出表_Excel（アレルギー入力）'!$3:$3,0)),1,""),"$","")</f>
        <v>AL</v>
      </c>
      <c r="Q68" s="88"/>
      <c r="R68" s="252"/>
      <c r="S68" s="252"/>
      <c r="T68" s="255"/>
      <c r="U68" s="255"/>
      <c r="V68" s="98" t="str">
        <f ca="1">SUBSTITUTE(SUBSTITUTE(ADDRESS(1,MATCH("おやつ",'数出表_Excel（アレルギー入力）'!$3:$3,0)),1,""),"$","")</f>
        <v>AL</v>
      </c>
      <c r="X68" s="88"/>
      <c r="Y68" s="252"/>
      <c r="Z68" s="252"/>
      <c r="AA68" s="255"/>
      <c r="AB68" s="255"/>
      <c r="AC68" s="98" t="str">
        <f ca="1">SUBSTITUTE(SUBSTITUTE(ADDRESS(1,MATCH("おやつ",'数出表_Excel（アレルギー入力）'!$3:$3,0)),1,""),"$","")</f>
        <v>AL</v>
      </c>
      <c r="AF68" s="88"/>
      <c r="AG68" s="252"/>
      <c r="AH68" s="252"/>
      <c r="AI68" s="255"/>
      <c r="AJ68" s="255"/>
      <c r="AK68" s="98" t="str">
        <f ca="1">SUBSTITUTE(SUBSTITUTE(ADDRESS(1,MATCH("おやつ",'数出表_Excel（アレルギー入力）'!$3:$3,0)),1,""),"$","")</f>
        <v>AL</v>
      </c>
      <c r="AM68" s="88"/>
      <c r="AN68" s="252"/>
      <c r="AO68" s="252"/>
      <c r="AP68" s="255"/>
      <c r="AQ68" s="255"/>
      <c r="AR68" s="98" t="str">
        <f ca="1">SUBSTITUTE(SUBSTITUTE(ADDRESS(1,MATCH("おやつ",'数出表_Excel（アレルギー入力）'!$3:$3,0)),1,""),"$","")</f>
        <v>AL</v>
      </c>
      <c r="AU68" s="88"/>
      <c r="AV68" s="252"/>
      <c r="AW68" s="252"/>
      <c r="AX68" s="255"/>
      <c r="AY68" s="255"/>
      <c r="AZ68" s="98" t="str">
        <f ca="1">SUBSTITUTE(SUBSTITUTE(ADDRESS(1,MATCH("おやつ",'数出表_Excel（アレルギー入力）'!$3:$3,0)),1,""),"$","")</f>
        <v>AL</v>
      </c>
      <c r="BB68" s="88"/>
      <c r="BC68" s="252"/>
      <c r="BD68" s="252"/>
      <c r="BE68" s="255"/>
      <c r="BF68" s="255"/>
      <c r="BG68" s="98" t="str">
        <f ca="1">SUBSTITUTE(SUBSTITUTE(ADDRESS(1,MATCH("おやつ",'数出表_Excel（アレルギー入力）'!$3:$3,0)),1,""),"$","")</f>
        <v>AL</v>
      </c>
      <c r="BJ68" s="88"/>
      <c r="BK68" s="252"/>
      <c r="BL68" s="252"/>
      <c r="BM68" s="255"/>
      <c r="BN68" s="255"/>
      <c r="BO68" s="98" t="str">
        <f ca="1">SUBSTITUTE(SUBSTITUTE(ADDRESS(1,MATCH("おやつ",'数出表_Excel（アレルギー入力）'!$3:$3,0)),1,""),"$","")</f>
        <v>AL</v>
      </c>
      <c r="BQ68" s="88"/>
      <c r="BR68" s="252"/>
      <c r="BS68" s="252"/>
      <c r="BT68" s="255"/>
      <c r="BU68" s="255"/>
      <c r="BV68" s="98" t="str">
        <f ca="1">SUBSTITUTE(SUBSTITUTE(ADDRESS(1,MATCH("おやつ",'数出表_Excel（アレルギー入力）'!$3:$3,0)),1,""),"$","")</f>
        <v>AL</v>
      </c>
      <c r="BY68" s="88"/>
      <c r="BZ68" s="252"/>
      <c r="CA68" s="252"/>
      <c r="CB68" s="255"/>
      <c r="CC68" s="255"/>
      <c r="CD68" s="98" t="str">
        <f ca="1">SUBSTITUTE(SUBSTITUTE(ADDRESS(1,MATCH("おやつ",'数出表_Excel（アレルギー入力）'!$3:$3,0)),1,""),"$","")</f>
        <v>AL</v>
      </c>
      <c r="CF68" s="88"/>
      <c r="CG68" s="252"/>
      <c r="CH68" s="252"/>
      <c r="CI68" s="255"/>
      <c r="CJ68" s="255"/>
      <c r="CK68" s="98" t="str">
        <f ca="1">SUBSTITUTE(SUBSTITUTE(ADDRESS(1,MATCH("おやつ",'数出表_Excel（アレルギー入力）'!$3:$3,0)),1,""),"$","")</f>
        <v>AL</v>
      </c>
      <c r="CN68" s="88"/>
      <c r="CO68" s="252"/>
      <c r="CP68" s="252"/>
      <c r="CQ68" s="255"/>
      <c r="CR68" s="255"/>
      <c r="CS68" s="98" t="str">
        <f ca="1">SUBSTITUTE(SUBSTITUTE(ADDRESS(1,MATCH("おやつ",'数出表_Excel（アレルギー入力）'!$3:$3,0)),1,""),"$","")</f>
        <v>AL</v>
      </c>
      <c r="CU68" s="88"/>
      <c r="CV68" s="252"/>
      <c r="CW68" s="252"/>
      <c r="CX68" s="255"/>
      <c r="CY68" s="255"/>
      <c r="CZ68" s="98" t="str">
        <f ca="1">SUBSTITUTE(SUBSTITUTE(ADDRESS(1,MATCH("おやつ",'数出表_Excel（アレルギー入力）'!$3:$3,0)),1,""),"$","")</f>
        <v>AL</v>
      </c>
      <c r="DC68" s="88"/>
      <c r="DD68" s="252"/>
      <c r="DE68" s="252"/>
      <c r="DF68" s="255"/>
      <c r="DG68" s="255"/>
      <c r="DH68" s="98" t="str">
        <f ca="1">SUBSTITUTE(SUBSTITUTE(ADDRESS(1,MATCH("おやつ",'数出表_Excel（アレルギー入力）'!$3:$3,0)),1,""),"$","")</f>
        <v>AL</v>
      </c>
      <c r="DJ68" s="88"/>
      <c r="DK68" s="252"/>
      <c r="DL68" s="252"/>
      <c r="DM68" s="255"/>
      <c r="DN68" s="255"/>
      <c r="DO68" s="98" t="str">
        <f ca="1">SUBSTITUTE(SUBSTITUTE(ADDRESS(1,MATCH("おやつ",'数出表_Excel（アレルギー入力）'!$3:$3,0)),1,""),"$","")</f>
        <v>AL</v>
      </c>
      <c r="DR68" s="88"/>
      <c r="DS68" s="252"/>
      <c r="DT68" s="252"/>
      <c r="DU68" s="255"/>
      <c r="DV68" s="255"/>
      <c r="DW68" s="98" t="str">
        <f ca="1">SUBSTITUTE(SUBSTITUTE(ADDRESS(1,MATCH("おやつ",'数出表_Excel（アレルギー入力）'!$3:$3,0)),1,""),"$","")</f>
        <v>AL</v>
      </c>
      <c r="DY68" s="88"/>
      <c r="DZ68" s="252"/>
      <c r="EA68" s="252"/>
      <c r="EB68" s="255"/>
      <c r="EC68" s="255"/>
      <c r="ED68" s="98" t="str">
        <f ca="1">SUBSTITUTE(SUBSTITUTE(ADDRESS(1,MATCH("おやつ",'数出表_Excel（アレルギー入力）'!$3:$3,0)),1,""),"$","")</f>
        <v>AL</v>
      </c>
      <c r="EG68" s="88"/>
      <c r="EH68" s="252"/>
      <c r="EI68" s="252"/>
      <c r="EJ68" s="255"/>
      <c r="EK68" s="255"/>
      <c r="EL68" s="98" t="str">
        <f ca="1">SUBSTITUTE(SUBSTITUTE(ADDRESS(1,MATCH("おやつ",'数出表_Excel（アレルギー入力）'!$3:$3,0)),1,""),"$","")</f>
        <v>AL</v>
      </c>
      <c r="EN68" s="88"/>
      <c r="EO68" s="252"/>
      <c r="EP68" s="252"/>
      <c r="EQ68" s="255"/>
      <c r="ER68" s="255"/>
      <c r="ES68" s="98" t="str">
        <f ca="1">SUBSTITUTE(SUBSTITUTE(ADDRESS(1,MATCH("おやつ",'数出表_Excel（アレルギー入力）'!$3:$3,0)),1,""),"$","")</f>
        <v>AL</v>
      </c>
      <c r="ET68" s="106"/>
      <c r="EU68" s="78">
        <f t="shared" si="4"/>
        <v>77</v>
      </c>
      <c r="EV68" s="78" t="str">
        <f t="array" aca="1" ref="EV68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LEN(SUBSTITUTE(_xlfn.FORMULATEXT(EV$37),"=","")))+$EU68)</f>
        <v/>
      </c>
      <c r="EW68" s="78" t="str">
        <f t="array" aca="1" ref="EW68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LEN(SUBSTITUTE(_xlfn.FORMULATEXT(EW$37),"=","")))+$EU68)</f>
        <v/>
      </c>
      <c r="EX68" s="78" t="str">
        <f t="array" aca="1" ref="EX68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LEN(SUBSTITUTE(_xlfn.FORMULATEXT(EX$37),"=","")))+$EU68)</f>
        <v/>
      </c>
      <c r="EY68" s="78" t="str">
        <f t="array" aca="1" ref="EY68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LEN(SUBSTITUTE(_xlfn.FORMULATEXT(EY$37),"=","")))+$EU68)</f>
        <v/>
      </c>
      <c r="EZ68" s="78" t="str">
        <f t="array" aca="1" ref="EZ68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LEN(SUBSTITUTE(_xlfn.FORMULATEXT(EZ$37),"=","")))+$EU68)</f>
        <v/>
      </c>
      <c r="FA68" s="78" t="str">
        <f t="array" aca="1" ref="FA68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LEN(SUBSTITUTE(_xlfn.FORMULATEXT(FA$37),"=","")))+$EU68)</f>
        <v/>
      </c>
      <c r="FB68" s="78" t="str">
        <f t="array" aca="1" ref="FB68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LEN(SUBSTITUTE(_xlfn.FORMULATEXT(FB$37),"=","")))+$EU68)</f>
        <v/>
      </c>
      <c r="FC68" s="78" t="str">
        <f t="array" aca="1" ref="FC68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LEN(SUBSTITUTE(_xlfn.FORMULATEXT(FC$37),"=","")))+$EU68)</f>
        <v/>
      </c>
      <c r="FD68" s="78" t="str">
        <f t="array" aca="1" ref="FD68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LEN(SUBSTITUTE(_xlfn.FORMULATEXT(FD$37),"=","")))+$EU68)</f>
        <v/>
      </c>
      <c r="FE68" s="78" t="str">
        <f t="array" aca="1" ref="FE68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LEN(SUBSTITUTE(_xlfn.FORMULATEXT(FE$37),"=","")))+$EU68)</f>
        <v/>
      </c>
      <c r="FF68" s="78" t="str">
        <f t="array" aca="1" ref="FF68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LEN(SUBSTITUTE(_xlfn.FORMULATEXT(FF$37),"=","")))+$EU68)</f>
        <v/>
      </c>
      <c r="FG68" s="78">
        <f t="shared" ca="1" si="6"/>
        <v>0</v>
      </c>
      <c r="FH68" s="78" t="b">
        <f t="array" aca="1" ref="FH68" ca="1">SUMPRODUCT((LEN(EV68:FF68)&gt;0)*1)&gt;0</f>
        <v>0</v>
      </c>
      <c r="FI68" s="78" t="str">
        <f t="array" aca="1" ref="FI68" ca="1">IFERROR(SMALL(IF(FG$1:FG$228&lt;&gt;0,FG$1:FG$228),ROW(A68)),"")</f>
        <v/>
      </c>
      <c r="FJ68" s="78" t="str">
        <f t="array" aca="1" ref="FJ68" ca="1">IF($FI68&lt;&gt;"",
INDIRECT(""&amp;IF(COLUMN(EV101)&lt;=26,CHAR(COLUMN(EV101)+64),CHAR(INT((COLUMN(EV101)-1)/26)+64)&amp;CHAR(MOD(COLUMN(EV101)-1,26)+65))&amp;$FI68&amp;""),"")</f>
        <v/>
      </c>
      <c r="FK68" s="78" t="str">
        <f t="array" aca="1" ref="FK68" ca="1">IF($FI68&lt;&gt;"",
INDIRECT(""&amp;IF(COLUMN(EW101)&lt;=26,CHAR(COLUMN(EW101)+64),CHAR(INT((COLUMN(EW101)-1)/26)+64)&amp;CHAR(MOD(COLUMN(EW101)-1,26)+65))&amp;$FI68&amp;""),"")</f>
        <v/>
      </c>
      <c r="FL68" s="78" t="str">
        <f t="array" aca="1" ref="FL68" ca="1">IF($FI68&lt;&gt;"",
INDIRECT(""&amp;IF(COLUMN(EX101)&lt;=26,CHAR(COLUMN(EX101)+64),CHAR(INT((COLUMN(EX101)-1)/26)+64)&amp;CHAR(MOD(COLUMN(EX101)-1,26)+65))&amp;$FI68&amp;""),"")</f>
        <v/>
      </c>
      <c r="FM68" s="78" t="str">
        <f t="array" aca="1" ref="FM68" ca="1">IF($FI68&lt;&gt;"",
IF(FL68="",
IF(INDIRECT("EY"&amp;$FI68&amp;"")&lt;&gt;"",
INDIRECT("EY"&amp;$FI68&amp;"")&amp;"箱"
&amp;INDIRECT("EZ"&amp;$FI68&amp;""),""),""),"")</f>
        <v/>
      </c>
      <c r="FN68" s="78" t="str">
        <f t="array" aca="1" ref="FN68" ca="1">IF($FI68&lt;&gt;"",
INDIRECT(""&amp;IF(COLUMN(FA101)&lt;=26,CHAR(COLUMN(FA101)+64),CHAR(INT((COLUMN(FA101)-1)/26)+64)&amp;CHAR(MOD(COLUMN(FA101)-1,26)+65))&amp;$FI68&amp;""),"")</f>
        <v/>
      </c>
      <c r="FO68" s="78" t="str">
        <f t="array" aca="1" ref="FO68" ca="1">IF($FI68&lt;&gt;"",
INDIRECT(""&amp;IF(COLUMN(FB101)&lt;=26,CHAR(COLUMN(FB101)+64),CHAR(INT((COLUMN(FB101)-1)/26)+64)&amp;CHAR(MOD(COLUMN(FB101)-1,26)+65))&amp;$FI68&amp;""),"")</f>
        <v/>
      </c>
      <c r="FP68" s="78" t="str">
        <f t="array" aca="1" ref="FP68" ca="1">IF($FI68&lt;&gt;"",
INDIRECT(""&amp;IF(COLUMN(FC101)&lt;=26,CHAR(COLUMN(FC101)+64),CHAR(INT((COLUMN(FC101)-1)/26)+64)&amp;CHAR(MOD(COLUMN(FC101)-1,26)+65))&amp;$FI68&amp;""),"")</f>
        <v/>
      </c>
      <c r="FQ68" s="78" t="str">
        <f t="array" aca="1" ref="FQ68" ca="1">IF($FI68&lt;&gt;"",
INDIRECT(""&amp;IF(COLUMN(FD101)&lt;=26,CHAR(COLUMN(FD101)+64),CHAR(INT((COLUMN(FD101)-1)/26)+64)&amp;CHAR(MOD(COLUMN(FD101)-1,26)+65))&amp;$FI68&amp;""),"")</f>
        <v/>
      </c>
      <c r="FR68" s="78" t="str">
        <f t="array" aca="1" ref="FR68" ca="1">IF($FI68&lt;&gt;"",
INDIRECT(""&amp;IF(COLUMN(FE101)&lt;=26,CHAR(COLUMN(FE101)+64),CHAR(INT((COLUMN(FE101)-1)/26)+64)&amp;CHAR(MOD(COLUMN(FE101)-1,26)+65))&amp;$FI68&amp;""),"")</f>
        <v/>
      </c>
      <c r="FS68" s="78" t="str">
        <f t="array" aca="1" ref="FS68" ca="1">IF($FI68&lt;&gt;"",
INDIRECT(""&amp;IF(COLUMN(FF101)&lt;=26,CHAR(COLUMN(FF101)+64),CHAR(INT((COLUMN(FF101)-1)/26)+64)&amp;CHAR(MOD(COLUMN(FF101)-1,26)+65))&amp;$FI68&amp;""),"")</f>
        <v/>
      </c>
    </row>
    <row r="69" spans="1:175" s="78" customFormat="1" ht="22.2" customHeight="1" x14ac:dyDescent="0.55000000000000004">
      <c r="A69" s="76"/>
      <c r="B69" s="89" t="str">
        <f ca="1">IF(C67&lt;&gt;"","パン箱","")</f>
        <v/>
      </c>
      <c r="C69" s="90" t="str">
        <f ca="1">IF(C67&lt;&gt;"",IF(OR(COUNTIF('盛付札（関数）'!C65,"*キャラ*"),COUNTIF('盛付札（関数）'!C65,"*赤*")),24,
VLOOKUP('盛付札（関数）'!C65,商品マスタ一覧!$D:$I,6,FALSE)),"")</f>
        <v/>
      </c>
      <c r="D69" s="89" t="str">
        <f ca="1">IF(C67&lt;&gt;"","　端数","")</f>
        <v/>
      </c>
      <c r="E69" s="90"/>
      <c r="F69" s="89" t="str">
        <f ca="1">IF(C67&lt;&gt;"","アレルギー","")</f>
        <v/>
      </c>
      <c r="G69" s="93"/>
      <c r="H69" s="76"/>
      <c r="I69" s="89" t="str">
        <f ca="1">IF(J67&lt;&gt;"","パン箱","")</f>
        <v/>
      </c>
      <c r="J69" s="90" t="str">
        <f ca="1">IF(J67&lt;&gt;"",IF(OR(COUNTIF('盛付札（関数）'!J65,"*キャラ*"),COUNTIF('盛付札（関数）'!J65,"*赤*")),24,
VLOOKUP('盛付札（関数）'!J65,商品マスタ一覧!$D:$I,6,FALSE)),"")</f>
        <v/>
      </c>
      <c r="K69" s="89" t="str">
        <f ca="1">IF(J67&lt;&gt;"","　端数","")</f>
        <v/>
      </c>
      <c r="L69" s="90"/>
      <c r="M69" s="89" t="str">
        <f ca="1">IF(J67&lt;&gt;"","アレルギー","")</f>
        <v/>
      </c>
      <c r="N69" s="93"/>
      <c r="O69" s="76"/>
      <c r="P69" s="76"/>
      <c r="Q69" s="89" t="str">
        <f ca="1">IF(R67&lt;&gt;"","パン箱","")</f>
        <v/>
      </c>
      <c r="R69" s="90" t="str">
        <f ca="1">IF(R67&lt;&gt;"",IF(OR(COUNTIF('盛付札（関数）'!R65,"*キャラ*"),COUNTIF('盛付札（関数）'!R65,"*赤*")),24,
VLOOKUP('盛付札（関数）'!R65,商品マスタ一覧!$D:$I,6,FALSE)),"")</f>
        <v/>
      </c>
      <c r="S69" s="89" t="str">
        <f ca="1">IF(R67&lt;&gt;"","　端数","")</f>
        <v/>
      </c>
      <c r="T69" s="90"/>
      <c r="U69" s="89" t="str">
        <f ca="1">IF(R67&lt;&gt;"","アレルギー","")</f>
        <v/>
      </c>
      <c r="V69" s="93"/>
      <c r="W69" s="76"/>
      <c r="X69" s="89" t="str">
        <f ca="1">IF(Y67&lt;&gt;"","パン箱","")</f>
        <v/>
      </c>
      <c r="Y69" s="90" t="str">
        <f ca="1">IF(Y67&lt;&gt;"",IF(OR(COUNTIF('盛付札（関数）'!Y65,"*キャラ*"),COUNTIF('盛付札（関数）'!Y65,"*赤*")),24,
VLOOKUP('盛付札（関数）'!Y65,商品マスタ一覧!$D:$I,6,FALSE)),"")</f>
        <v/>
      </c>
      <c r="Z69" s="89" t="str">
        <f ca="1">IF(Y67&lt;&gt;"","　端数","")</f>
        <v/>
      </c>
      <c r="AA69" s="90"/>
      <c r="AB69" s="89" t="str">
        <f ca="1">IF(Y67&lt;&gt;"","アレルギー","")</f>
        <v/>
      </c>
      <c r="AC69" s="93"/>
      <c r="AD69" s="76"/>
      <c r="AE69" s="76"/>
      <c r="AF69" s="89" t="str">
        <f ca="1">IF(AG67&lt;&gt;"","パン箱","")</f>
        <v/>
      </c>
      <c r="AG69" s="90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89" t="str">
        <f ca="1">IF(AG67&lt;&gt;"","　端数","")</f>
        <v/>
      </c>
      <c r="AI69" s="90"/>
      <c r="AJ69" s="89" t="str">
        <f ca="1">IF(AG67&lt;&gt;"","アレルギー","")</f>
        <v/>
      </c>
      <c r="AK69" s="93"/>
      <c r="AL69" s="76"/>
      <c r="AM69" s="89" t="str">
        <f ca="1">IF(AN67&lt;&gt;"","パン箱","")</f>
        <v/>
      </c>
      <c r="AN69" s="90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89" t="str">
        <f ca="1">IF(AN67&lt;&gt;"","　端数","")</f>
        <v/>
      </c>
      <c r="AP69" s="90"/>
      <c r="AQ69" s="89" t="str">
        <f ca="1">IF(AN67&lt;&gt;"","アレルギー","")</f>
        <v/>
      </c>
      <c r="AR69" s="93"/>
      <c r="AS69" s="76"/>
      <c r="AT69" s="76"/>
      <c r="AU69" s="89" t="str">
        <f ca="1">IF(AV67&lt;&gt;"","パン箱","")</f>
        <v/>
      </c>
      <c r="AV69" s="90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89" t="str">
        <f ca="1">IF(AV67&lt;&gt;"","　端数","")</f>
        <v/>
      </c>
      <c r="AX69" s="90"/>
      <c r="AY69" s="89" t="str">
        <f ca="1">IF(AV67&lt;&gt;"","アレルギー","")</f>
        <v/>
      </c>
      <c r="AZ69" s="93"/>
      <c r="BA69" s="76"/>
      <c r="BB69" s="89" t="str">
        <f ca="1">IF(BC67&lt;&gt;"","パン箱","")</f>
        <v/>
      </c>
      <c r="BC69" s="90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89" t="str">
        <f ca="1">IF(BC67&lt;&gt;"","　端数","")</f>
        <v/>
      </c>
      <c r="BE69" s="90"/>
      <c r="BF69" s="89" t="str">
        <f ca="1">IF(BC67&lt;&gt;"","アレルギー","")</f>
        <v/>
      </c>
      <c r="BG69" s="93"/>
      <c r="BH69" s="76"/>
      <c r="BI69" s="76"/>
      <c r="BJ69" s="89" t="str">
        <f ca="1">IF(BK67&lt;&gt;"","パン箱","")</f>
        <v/>
      </c>
      <c r="BK69" s="90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89" t="str">
        <f ca="1">IF(BK67&lt;&gt;"","　端数","")</f>
        <v/>
      </c>
      <c r="BM69" s="90"/>
      <c r="BN69" s="89" t="str">
        <f ca="1">IF(BK67&lt;&gt;"","アレルギー","")</f>
        <v/>
      </c>
      <c r="BO69" s="93"/>
      <c r="BP69" s="76"/>
      <c r="BQ69" s="89" t="str">
        <f ca="1">IF(BR67&lt;&gt;"","パン箱","")</f>
        <v/>
      </c>
      <c r="BR69" s="90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89" t="str">
        <f ca="1">IF(BR67&lt;&gt;"","　端数","")</f>
        <v/>
      </c>
      <c r="BT69" s="90"/>
      <c r="BU69" s="89" t="str">
        <f ca="1">IF(BR67&lt;&gt;"","アレルギー","")</f>
        <v/>
      </c>
      <c r="BV69" s="93"/>
      <c r="BW69" s="76"/>
      <c r="BX69" s="76"/>
      <c r="BY69" s="89" t="str">
        <f ca="1">IF(BZ67&lt;&gt;"","パン箱","")</f>
        <v/>
      </c>
      <c r="BZ69" s="90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89" t="str">
        <f ca="1">IF(BZ67&lt;&gt;"","　端数","")</f>
        <v/>
      </c>
      <c r="CB69" s="90"/>
      <c r="CC69" s="89" t="str">
        <f ca="1">IF(BZ67&lt;&gt;"","アレルギー","")</f>
        <v/>
      </c>
      <c r="CD69" s="93"/>
      <c r="CE69" s="76"/>
      <c r="CF69" s="89" t="str">
        <f ca="1">IF(CG67&lt;&gt;"","パン箱","")</f>
        <v/>
      </c>
      <c r="CG69" s="90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89" t="str">
        <f ca="1">IF(CG67&lt;&gt;"","　端数","")</f>
        <v/>
      </c>
      <c r="CI69" s="90"/>
      <c r="CJ69" s="89" t="str">
        <f ca="1">IF(CG67&lt;&gt;"","アレルギー","")</f>
        <v/>
      </c>
      <c r="CK69" s="93"/>
      <c r="CL69" s="76"/>
      <c r="CM69" s="76"/>
      <c r="CN69" s="89" t="str">
        <f ca="1">IF(CO67&lt;&gt;"","パン箱","")</f>
        <v/>
      </c>
      <c r="CO69" s="90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89" t="str">
        <f ca="1">IF(CO67&lt;&gt;"","　端数","")</f>
        <v/>
      </c>
      <c r="CQ69" s="90"/>
      <c r="CR69" s="89" t="str">
        <f ca="1">IF(CO67&lt;&gt;"","アレルギー","")</f>
        <v/>
      </c>
      <c r="CS69" s="93"/>
      <c r="CT69" s="76"/>
      <c r="CU69" s="89" t="str">
        <f ca="1">IF(CV67&lt;&gt;"","パン箱","")</f>
        <v/>
      </c>
      <c r="CV69" s="90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89" t="str">
        <f ca="1">IF(CV67&lt;&gt;"","　端数","")</f>
        <v/>
      </c>
      <c r="CX69" s="90"/>
      <c r="CY69" s="89" t="str">
        <f ca="1">IF(CV67&lt;&gt;"","アレルギー","")</f>
        <v/>
      </c>
      <c r="CZ69" s="93"/>
      <c r="DA69" s="76"/>
      <c r="DB69" s="76"/>
      <c r="DC69" s="89" t="str">
        <f ca="1">IF(DD67&lt;&gt;"","パン箱","")</f>
        <v/>
      </c>
      <c r="DD69" s="90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89" t="str">
        <f ca="1">IF(DD67&lt;&gt;"","　端数","")</f>
        <v/>
      </c>
      <c r="DF69" s="90"/>
      <c r="DG69" s="89" t="str">
        <f ca="1">IF(DD67&lt;&gt;"","アレルギー","")</f>
        <v/>
      </c>
      <c r="DH69" s="93"/>
      <c r="DI69" s="76"/>
      <c r="DJ69" s="89" t="str">
        <f ca="1">IF(DK67&lt;&gt;"","パン箱","")</f>
        <v/>
      </c>
      <c r="DK69" s="90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89" t="str">
        <f ca="1">IF(DK67&lt;&gt;"","　端数","")</f>
        <v/>
      </c>
      <c r="DM69" s="90"/>
      <c r="DN69" s="89" t="str">
        <f ca="1">IF(DK67&lt;&gt;"","アレルギー","")</f>
        <v/>
      </c>
      <c r="DO69" s="93"/>
      <c r="DP69" s="76"/>
      <c r="DQ69" s="76"/>
      <c r="DR69" s="89" t="str">
        <f ca="1">IF(DS67&lt;&gt;"","パン箱","")</f>
        <v/>
      </c>
      <c r="DS69" s="90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89" t="str">
        <f ca="1">IF(DS67&lt;&gt;"","　端数","")</f>
        <v/>
      </c>
      <c r="DU69" s="90"/>
      <c r="DV69" s="89" t="str">
        <f ca="1">IF(DS67&lt;&gt;"","アレルギー","")</f>
        <v/>
      </c>
      <c r="DW69" s="93"/>
      <c r="DX69" s="76"/>
      <c r="DY69" s="89" t="str">
        <f ca="1">IF(DZ67&lt;&gt;"","パン箱","")</f>
        <v/>
      </c>
      <c r="DZ69" s="90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89" t="str">
        <f ca="1">IF(DZ67&lt;&gt;"","　端数","")</f>
        <v/>
      </c>
      <c r="EB69" s="90"/>
      <c r="EC69" s="89" t="str">
        <f ca="1">IF(DZ67&lt;&gt;"","アレルギー","")</f>
        <v/>
      </c>
      <c r="ED69" s="93"/>
      <c r="EE69" s="76"/>
      <c r="EF69" s="76"/>
      <c r="EG69" s="89" t="str">
        <f ca="1">IF(EH67&lt;&gt;"","パン箱","")</f>
        <v/>
      </c>
      <c r="EH69" s="90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89" t="str">
        <f ca="1">IF(EH67&lt;&gt;"","　端数","")</f>
        <v/>
      </c>
      <c r="EJ69" s="90"/>
      <c r="EK69" s="89" t="str">
        <f ca="1">IF(EH67&lt;&gt;"","アレルギー","")</f>
        <v/>
      </c>
      <c r="EL69" s="93"/>
      <c r="EM69" s="76"/>
      <c r="EN69" s="89" t="str">
        <f ca="1">IF(EO67&lt;&gt;"","パン箱","")</f>
        <v/>
      </c>
      <c r="EO69" s="90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89" t="str">
        <f ca="1">IF(EO67&lt;&gt;"","　端数","")</f>
        <v/>
      </c>
      <c r="EQ69" s="90"/>
      <c r="ER69" s="89" t="str">
        <f ca="1">IF(EO67&lt;&gt;"","アレルギー","")</f>
        <v/>
      </c>
      <c r="ES69" s="93"/>
      <c r="ET69" s="106"/>
      <c r="EU69" s="78">
        <f t="shared" si="4"/>
        <v>119</v>
      </c>
      <c r="EV69" s="78" t="str">
        <f t="array" aca="1" ref="EV69" ca="1">INDIRECT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
&amp;MID(SUBSTITUTE(_xlfn.FORMULATEXT(EV$37),"=",""), LEN(_xlfn.TEXTJOIN("",TRUE,IF(ISERROR(MID(SUBSTITUTE(_xlfn.FORMULATEXT(EV$37),"=",""),ROW(INDIRECT("1:"&amp;LEN(SUBSTITUTE(_xlfn.FORMULATEXT(EV$37),"=","")))),1)*1),MID(SUBSTITUTE(_xlfn.FORMULATEXT(EV$37),"=",""),ROW(INDIRECT("1:"&amp;LEN(SUBSTITUTE(_xlfn.FORMULATEXT(EV$37),"=","")))),1),"")))+1, LEN(SUBSTITUTE(_xlfn.FORMULATEXT(EV$37),"=","")))+$EU69)</f>
        <v/>
      </c>
      <c r="EW69" s="78" t="str">
        <f t="array" aca="1" ref="EW69" ca="1">INDIRECT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
&amp;MID(SUBSTITUTE(_xlfn.FORMULATEXT(EW$37),"=",""), LEN(_xlfn.TEXTJOIN("",TRUE,IF(ISERROR(MID(SUBSTITUTE(_xlfn.FORMULATEXT(EW$37),"=",""),ROW(INDIRECT("1:"&amp;LEN(SUBSTITUTE(_xlfn.FORMULATEXT(EW$37),"=","")))),1)*1),MID(SUBSTITUTE(_xlfn.FORMULATEXT(EW$37),"=",""),ROW(INDIRECT("1:"&amp;LEN(SUBSTITUTE(_xlfn.FORMULATEXT(EW$37),"=","")))),1),"")))+1, LEN(SUBSTITUTE(_xlfn.FORMULATEXT(EW$37),"=","")))+$EU69)</f>
        <v/>
      </c>
      <c r="EX69" s="78" t="str">
        <f t="array" aca="1" ref="EX69" ca="1">INDIRECT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
&amp;MID(SUBSTITUTE(_xlfn.FORMULATEXT(EX$37),"=",""), LEN(_xlfn.TEXTJOIN("",TRUE,IF(ISERROR(MID(SUBSTITUTE(_xlfn.FORMULATEXT(EX$37),"=",""),ROW(INDIRECT("1:"&amp;LEN(SUBSTITUTE(_xlfn.FORMULATEXT(EX$37),"=","")))),1)*1),MID(SUBSTITUTE(_xlfn.FORMULATEXT(EX$37),"=",""),ROW(INDIRECT("1:"&amp;LEN(SUBSTITUTE(_xlfn.FORMULATEXT(EX$37),"=","")))),1),"")))+1, LEN(SUBSTITUTE(_xlfn.FORMULATEXT(EX$37),"=","")))+$EU69)</f>
        <v/>
      </c>
      <c r="EY69" s="78" t="str">
        <f t="array" aca="1" ref="EY69" ca="1">INDIRECT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
&amp;MID(SUBSTITUTE(_xlfn.FORMULATEXT(EY$37),"=",""), LEN(_xlfn.TEXTJOIN("",TRUE,IF(ISERROR(MID(SUBSTITUTE(_xlfn.FORMULATEXT(EY$37),"=",""),ROW(INDIRECT("1:"&amp;LEN(SUBSTITUTE(_xlfn.FORMULATEXT(EY$37),"=","")))),1)*1),MID(SUBSTITUTE(_xlfn.FORMULATEXT(EY$37),"=",""),ROW(INDIRECT("1:"&amp;LEN(SUBSTITUTE(_xlfn.FORMULATEXT(EY$37),"=","")))),1),"")))+1, LEN(SUBSTITUTE(_xlfn.FORMULATEXT(EY$37),"=","")))+$EU69)</f>
        <v/>
      </c>
      <c r="EZ69" s="78" t="str">
        <f t="array" aca="1" ref="EZ69" ca="1">INDIRECT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
&amp;MID(SUBSTITUTE(_xlfn.FORMULATEXT(EZ$37),"=",""), LEN(_xlfn.TEXTJOIN("",TRUE,IF(ISERROR(MID(SUBSTITUTE(_xlfn.FORMULATEXT(EZ$37),"=",""),ROW(INDIRECT("1:"&amp;LEN(SUBSTITUTE(_xlfn.FORMULATEXT(EZ$37),"=","")))),1)*1),MID(SUBSTITUTE(_xlfn.FORMULATEXT(EZ$37),"=",""),ROW(INDIRECT("1:"&amp;LEN(SUBSTITUTE(_xlfn.FORMULATEXT(EZ$37),"=","")))),1),"")))+1, LEN(SUBSTITUTE(_xlfn.FORMULATEXT(EZ$37),"=","")))+$EU69)</f>
        <v/>
      </c>
      <c r="FA69" s="78" t="str">
        <f t="array" aca="1" ref="FA69" ca="1">INDIRECT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
&amp;MID(SUBSTITUTE(_xlfn.FORMULATEXT(FA$37),"=",""), LEN(_xlfn.TEXTJOIN("",TRUE,IF(ISERROR(MID(SUBSTITUTE(_xlfn.FORMULATEXT(FA$37),"=",""),ROW(INDIRECT("1:"&amp;LEN(SUBSTITUTE(_xlfn.FORMULATEXT(FA$37),"=","")))),1)*1),MID(SUBSTITUTE(_xlfn.FORMULATEXT(FA$37),"=",""),ROW(INDIRECT("1:"&amp;LEN(SUBSTITUTE(_xlfn.FORMULATEXT(FA$37),"=","")))),1),"")))+1, LEN(SUBSTITUTE(_xlfn.FORMULATEXT(FA$37),"=","")))+$EU69)</f>
        <v/>
      </c>
      <c r="FB69" s="78" t="str">
        <f t="array" aca="1" ref="FB69" ca="1">INDIRECT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
&amp;MID(SUBSTITUTE(_xlfn.FORMULATEXT(FB$37),"=",""), LEN(_xlfn.TEXTJOIN("",TRUE,IF(ISERROR(MID(SUBSTITUTE(_xlfn.FORMULATEXT(FB$37),"=",""),ROW(INDIRECT("1:"&amp;LEN(SUBSTITUTE(_xlfn.FORMULATEXT(FB$37),"=","")))),1)*1),MID(SUBSTITUTE(_xlfn.FORMULATEXT(FB$37),"=",""),ROW(INDIRECT("1:"&amp;LEN(SUBSTITUTE(_xlfn.FORMULATEXT(FB$37),"=","")))),1),"")))+1, LEN(SUBSTITUTE(_xlfn.FORMULATEXT(FB$37),"=","")))+$EU69)</f>
        <v/>
      </c>
      <c r="FC69" s="78" t="str">
        <f t="array" aca="1" ref="FC69" ca="1">INDIRECT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
&amp;MID(SUBSTITUTE(_xlfn.FORMULATEXT(FC$37),"=",""), LEN(_xlfn.TEXTJOIN("",TRUE,IF(ISERROR(MID(SUBSTITUTE(_xlfn.FORMULATEXT(FC$37),"=",""),ROW(INDIRECT("1:"&amp;LEN(SUBSTITUTE(_xlfn.FORMULATEXT(FC$37),"=","")))),1)*1),MID(SUBSTITUTE(_xlfn.FORMULATEXT(FC$37),"=",""),ROW(INDIRECT("1:"&amp;LEN(SUBSTITUTE(_xlfn.FORMULATEXT(FC$37),"=","")))),1),"")))+1, LEN(SUBSTITUTE(_xlfn.FORMULATEXT(FC$37),"=","")))+$EU69)</f>
        <v/>
      </c>
      <c r="FD69" s="78" t="str">
        <f t="array" aca="1" ref="FD69" ca="1">INDIRECT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
&amp;MID(SUBSTITUTE(_xlfn.FORMULATEXT(FD$37),"=",""), LEN(_xlfn.TEXTJOIN("",TRUE,IF(ISERROR(MID(SUBSTITUTE(_xlfn.FORMULATEXT(FD$37),"=",""),ROW(INDIRECT("1:"&amp;LEN(SUBSTITUTE(_xlfn.FORMULATEXT(FD$37),"=","")))),1)*1),MID(SUBSTITUTE(_xlfn.FORMULATEXT(FD$37),"=",""),ROW(INDIRECT("1:"&amp;LEN(SUBSTITUTE(_xlfn.FORMULATEXT(FD$37),"=","")))),1),"")))+1, LEN(SUBSTITUTE(_xlfn.FORMULATEXT(FD$37),"=","")))+$EU69)</f>
        <v/>
      </c>
      <c r="FE69" s="78" t="str">
        <f t="array" aca="1" ref="FE69" ca="1">INDIRECT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
&amp;MID(SUBSTITUTE(_xlfn.FORMULATEXT(FE$37),"=",""), LEN(_xlfn.TEXTJOIN("",TRUE,IF(ISERROR(MID(SUBSTITUTE(_xlfn.FORMULATEXT(FE$37),"=",""),ROW(INDIRECT("1:"&amp;LEN(SUBSTITUTE(_xlfn.FORMULATEXT(FE$37),"=","")))),1)*1),MID(SUBSTITUTE(_xlfn.FORMULATEXT(FE$37),"=",""),ROW(INDIRECT("1:"&amp;LEN(SUBSTITUTE(_xlfn.FORMULATEXT(FE$37),"=","")))),1),"")))+1, LEN(SUBSTITUTE(_xlfn.FORMULATEXT(FE$37),"=","")))+$EU69)</f>
        <v/>
      </c>
      <c r="FF69" s="78" t="str">
        <f t="array" aca="1" ref="FF69" ca="1">INDIRECT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
&amp;MID(SUBSTITUTE(_xlfn.FORMULATEXT(FF$37),"=",""), LEN(_xlfn.TEXTJOIN("",TRUE,IF(ISERROR(MID(SUBSTITUTE(_xlfn.FORMULATEXT(FF$37),"=",""),ROW(INDIRECT("1:"&amp;LEN(SUBSTITUTE(_xlfn.FORMULATEXT(FF$37),"=","")))),1)*1),MID(SUBSTITUTE(_xlfn.FORMULATEXT(FF$37),"=",""),ROW(INDIRECT("1:"&amp;LEN(SUBSTITUTE(_xlfn.FORMULATEXT(FF$37),"=","")))),1),"")))+1, LEN(SUBSTITUTE(_xlfn.FORMULATEXT(FF$37),"=","")))+$EU69)</f>
        <v/>
      </c>
      <c r="FG69" s="78">
        <f t="shared" ca="1" si="6"/>
        <v>0</v>
      </c>
      <c r="FH69" s="78" t="b">
        <f t="array" aca="1" ref="FH69" ca="1">SUMPRODUCT((LEN(EV69:FF69)&gt;0)*1)&gt;0</f>
        <v>0</v>
      </c>
      <c r="FI69" s="78" t="str">
        <f t="array" aca="1" ref="FI69" ca="1">IFERROR(SMALL(IF(FG$1:FG$228&lt;&gt;0,FG$1:FG$228),ROW(A69)),"")</f>
        <v/>
      </c>
      <c r="FJ69" s="78" t="str">
        <f t="array" aca="1" ref="FJ69" ca="1">IF($FI69&lt;&gt;"",
INDIRECT(""&amp;IF(COLUMN(EV103)&lt;=26,CHAR(COLUMN(EV103)+64),CHAR(INT((COLUMN(EV103)-1)/26)+64)&amp;CHAR(MOD(COLUMN(EV103)-1,26)+65))&amp;$FI69&amp;""),"")</f>
        <v/>
      </c>
      <c r="FK69" s="78" t="str">
        <f t="array" aca="1" ref="FK69" ca="1">IF($FI69&lt;&gt;"",
INDIRECT(""&amp;IF(COLUMN(EW103)&lt;=26,CHAR(COLUMN(EW103)+64),CHAR(INT((COLUMN(EW103)-1)/26)+64)&amp;CHAR(MOD(COLUMN(EW103)-1,26)+65))&amp;$FI69&amp;""),"")</f>
        <v/>
      </c>
      <c r="FL69" s="78" t="str">
        <f t="array" aca="1" ref="FL69" ca="1">IF($FI69&lt;&gt;"",
INDIRECT(""&amp;IF(COLUMN(EX103)&lt;=26,CHAR(COLUMN(EX103)+64),CHAR(INT((COLUMN(EX103)-1)/26)+64)&amp;CHAR(MOD(COLUMN(EX103)-1,26)+65))&amp;$FI69&amp;""),"")</f>
        <v/>
      </c>
      <c r="FM69" s="78" t="str">
        <f t="array" aca="1" ref="FM69" ca="1">IF($FI69&lt;&gt;"",
IF(FL69="",
IF(INDIRECT("EY"&amp;$FI69&amp;"")&lt;&gt;"",
INDIRECT("EY"&amp;$FI69&amp;"")&amp;"箱"
&amp;INDIRECT("EZ"&amp;$FI69&amp;""),""),""),"")</f>
        <v/>
      </c>
      <c r="FN69" s="78" t="str">
        <f t="array" aca="1" ref="FN69" ca="1">IF($FI69&lt;&gt;"",
INDIRECT(""&amp;IF(COLUMN(FA103)&lt;=26,CHAR(COLUMN(FA103)+64),CHAR(INT((COLUMN(FA103)-1)/26)+64)&amp;CHAR(MOD(COLUMN(FA103)-1,26)+65))&amp;$FI69&amp;""),"")</f>
        <v/>
      </c>
      <c r="FO69" s="78" t="str">
        <f t="array" aca="1" ref="FO69" ca="1">IF($FI69&lt;&gt;"",
INDIRECT(""&amp;IF(COLUMN(FB103)&lt;=26,CHAR(COLUMN(FB103)+64),CHAR(INT((COLUMN(FB103)-1)/26)+64)&amp;CHAR(MOD(COLUMN(FB103)-1,26)+65))&amp;$FI69&amp;""),"")</f>
        <v/>
      </c>
      <c r="FP69" s="78" t="str">
        <f t="array" aca="1" ref="FP69" ca="1">IF($FI69&lt;&gt;"",
INDIRECT(""&amp;IF(COLUMN(FC103)&lt;=26,CHAR(COLUMN(FC103)+64),CHAR(INT((COLUMN(FC103)-1)/26)+64)&amp;CHAR(MOD(COLUMN(FC103)-1,26)+65))&amp;$FI69&amp;""),"")</f>
        <v/>
      </c>
      <c r="FQ69" s="78" t="str">
        <f t="array" aca="1" ref="FQ69" ca="1">IF($FI69&lt;&gt;"",
INDIRECT(""&amp;IF(COLUMN(FD103)&lt;=26,CHAR(COLUMN(FD103)+64),CHAR(INT((COLUMN(FD103)-1)/26)+64)&amp;CHAR(MOD(COLUMN(FD103)-1,26)+65))&amp;$FI69&amp;""),"")</f>
        <v/>
      </c>
      <c r="FR69" s="78" t="str">
        <f t="array" aca="1" ref="FR69" ca="1">IF($FI69&lt;&gt;"",
INDIRECT(""&amp;IF(COLUMN(FE103)&lt;=26,CHAR(COLUMN(FE103)+64),CHAR(INT((COLUMN(FE103)-1)/26)+64)&amp;CHAR(MOD(COLUMN(FE103)-1,26)+65))&amp;$FI69&amp;""),"")</f>
        <v/>
      </c>
      <c r="FS69" s="78" t="str">
        <f t="array" aca="1" ref="FS69" ca="1">IF($FI69&lt;&gt;"",
INDIRECT(""&amp;IF(COLUMN(FF103)&lt;=26,CHAR(COLUMN(FF103)+64),CHAR(INT((COLUMN(FF103)-1)/26)+64)&amp;CHAR(MOD(COLUMN(FF103)-1,26)+65))&amp;$FI69&amp;""),"")</f>
        <v/>
      </c>
    </row>
    <row r="70" spans="1:175" ht="21" customHeight="1" x14ac:dyDescent="0.45">
      <c r="B70" s="260" t="str">
        <f ca="1">IF(C67&lt;&gt;"",
IFERROR(INT(C67/C69),""),"")</f>
        <v/>
      </c>
      <c r="C70" s="261"/>
      <c r="D70" s="260" t="str">
        <f ca="1">IFERROR(MOD(C67,C69),"")</f>
        <v/>
      </c>
      <c r="E70" s="261"/>
      <c r="F70" s="256" t="str">
        <f ca="1">IF(C64&lt;&gt;"",G66+G67,"")</f>
        <v/>
      </c>
      <c r="G70" s="257"/>
      <c r="I70" s="260" t="str">
        <f ca="1">IF(J67&lt;&gt;"",
IFERROR(INT(J67/J69),""),"")</f>
        <v/>
      </c>
      <c r="J70" s="261"/>
      <c r="K70" s="260" t="str">
        <f ca="1">IFERROR(MOD(J67,J69),"")</f>
        <v/>
      </c>
      <c r="L70" s="261"/>
      <c r="M70" s="256" t="str">
        <f ca="1">IF(J64&lt;&gt;"",N66+N67,"")</f>
        <v/>
      </c>
      <c r="N70" s="257"/>
      <c r="Q70" s="260" t="str">
        <f ca="1">IF(R67&lt;&gt;"",
IFERROR(INT(R67/R69),""),"")</f>
        <v/>
      </c>
      <c r="R70" s="261"/>
      <c r="S70" s="260" t="str">
        <f ca="1">IFERROR(MOD(R67,R69),"")</f>
        <v/>
      </c>
      <c r="T70" s="261"/>
      <c r="U70" s="256" t="str">
        <f ca="1">IF(R64&lt;&gt;"",V66+V67,"")</f>
        <v/>
      </c>
      <c r="V70" s="257"/>
      <c r="X70" s="260" t="str">
        <f ca="1">IF(Y67&lt;&gt;"",
IFERROR(INT(Y67/Y69),""),"")</f>
        <v/>
      </c>
      <c r="Y70" s="261"/>
      <c r="Z70" s="260" t="str">
        <f ca="1">IFERROR(MOD(Y67,Y69),"")</f>
        <v/>
      </c>
      <c r="AA70" s="261"/>
      <c r="AB70" s="256" t="str">
        <f ca="1">IF(Y64&lt;&gt;"",AC66+AC67,"")</f>
        <v/>
      </c>
      <c r="AC70" s="257"/>
      <c r="AF70" s="260" t="str">
        <f ca="1">IF(AG67&lt;&gt;"",
IFERROR(INT(AG67/AG69),""),"")</f>
        <v/>
      </c>
      <c r="AG70" s="261"/>
      <c r="AH70" s="260" t="str">
        <f ca="1">IFERROR(MOD(AG67,AG69),"")</f>
        <v/>
      </c>
      <c r="AI70" s="261"/>
      <c r="AJ70" s="256" t="str">
        <f ca="1">IF(AG64&lt;&gt;"",AK66+AK67,"")</f>
        <v/>
      </c>
      <c r="AK70" s="257"/>
      <c r="AM70" s="260" t="str">
        <f ca="1">IF(AN67&lt;&gt;"",
IFERROR(INT(AN67/AN69),""),"")</f>
        <v/>
      </c>
      <c r="AN70" s="261"/>
      <c r="AO70" s="260" t="str">
        <f ca="1">IFERROR(MOD(AN67,AN69),"")</f>
        <v/>
      </c>
      <c r="AP70" s="261"/>
      <c r="AQ70" s="256" t="str">
        <f ca="1">IF(AN64&lt;&gt;"",AR66+AR67,"")</f>
        <v/>
      </c>
      <c r="AR70" s="257"/>
      <c r="AU70" s="260" t="str">
        <f ca="1">IF(AV67&lt;&gt;"",
IFERROR(INT(AV67/AV69),""),"")</f>
        <v/>
      </c>
      <c r="AV70" s="261"/>
      <c r="AW70" s="260" t="str">
        <f ca="1">IFERROR(MOD(AV67,AV69),"")</f>
        <v/>
      </c>
      <c r="AX70" s="261"/>
      <c r="AY70" s="256" t="str">
        <f ca="1">IF(AV64&lt;&gt;"",AZ66+AZ67,"")</f>
        <v/>
      </c>
      <c r="AZ70" s="257"/>
      <c r="BB70" s="260" t="str">
        <f ca="1">IF(BC67&lt;&gt;"",
IFERROR(INT(BC67/BC69),""),"")</f>
        <v/>
      </c>
      <c r="BC70" s="261"/>
      <c r="BD70" s="260" t="str">
        <f ca="1">IFERROR(MOD(BC67,BC69),"")</f>
        <v/>
      </c>
      <c r="BE70" s="261"/>
      <c r="BF70" s="256" t="str">
        <f ca="1">IF(BC64&lt;&gt;"",BG66+BG67,"")</f>
        <v/>
      </c>
      <c r="BG70" s="257"/>
      <c r="BJ70" s="260" t="str">
        <f ca="1">IF(BK67&lt;&gt;"",
IFERROR(INT(BK67/BK69),""),"")</f>
        <v/>
      </c>
      <c r="BK70" s="261"/>
      <c r="BL70" s="260" t="str">
        <f ca="1">IFERROR(MOD(BK67,BK69),"")</f>
        <v/>
      </c>
      <c r="BM70" s="261"/>
      <c r="BN70" s="256" t="str">
        <f ca="1">IF(BK64&lt;&gt;"",BO66+BO67,"")</f>
        <v/>
      </c>
      <c r="BO70" s="257"/>
      <c r="BQ70" s="260" t="str">
        <f ca="1">IF(BR67&lt;&gt;"",
IFERROR(INT(BR67/BR69),""),"")</f>
        <v/>
      </c>
      <c r="BR70" s="261"/>
      <c r="BS70" s="260" t="str">
        <f ca="1">IFERROR(MOD(BR67,BR69),"")</f>
        <v/>
      </c>
      <c r="BT70" s="261"/>
      <c r="BU70" s="256" t="str">
        <f ca="1">IF(BR64&lt;&gt;"",BV66+BV67,"")</f>
        <v/>
      </c>
      <c r="BV70" s="257"/>
      <c r="BY70" s="260" t="str">
        <f ca="1">IF(BZ67&lt;&gt;"",
IFERROR(INT(BZ67/BZ69),""),"")</f>
        <v/>
      </c>
      <c r="BZ70" s="261"/>
      <c r="CA70" s="260" t="str">
        <f ca="1">IFERROR(MOD(BZ67,BZ69),"")</f>
        <v/>
      </c>
      <c r="CB70" s="261"/>
      <c r="CC70" s="256" t="str">
        <f ca="1">IF(BZ64&lt;&gt;"",CD66+CD67,"")</f>
        <v/>
      </c>
      <c r="CD70" s="257"/>
      <c r="CF70" s="260" t="str">
        <f ca="1">IF(CG67&lt;&gt;"",
IFERROR(INT(CG67/CG69),""),"")</f>
        <v/>
      </c>
      <c r="CG70" s="261"/>
      <c r="CH70" s="260" t="str">
        <f ca="1">IFERROR(MOD(CG67,CG69),"")</f>
        <v/>
      </c>
      <c r="CI70" s="261"/>
      <c r="CJ70" s="256" t="str">
        <f ca="1">IF(CG64&lt;&gt;"",CK66+CK67,"")</f>
        <v/>
      </c>
      <c r="CK70" s="257"/>
      <c r="CN70" s="260" t="str">
        <f ca="1">IF(CO67&lt;&gt;"",
IFERROR(INT(CO67/CO69),""),"")</f>
        <v/>
      </c>
      <c r="CO70" s="261"/>
      <c r="CP70" s="260" t="str">
        <f ca="1">IFERROR(MOD(CO67,CO69),"")</f>
        <v/>
      </c>
      <c r="CQ70" s="261"/>
      <c r="CR70" s="256" t="str">
        <f ca="1">IF(CO64&lt;&gt;"",CS66+CS67,"")</f>
        <v/>
      </c>
      <c r="CS70" s="257"/>
      <c r="CU70" s="260" t="str">
        <f ca="1">IF(CV67&lt;&gt;"",
IFERROR(INT(CV67/CV69),""),"")</f>
        <v/>
      </c>
      <c r="CV70" s="261"/>
      <c r="CW70" s="260" t="str">
        <f ca="1">IFERROR(MOD(CV67,CV69),"")</f>
        <v/>
      </c>
      <c r="CX70" s="261"/>
      <c r="CY70" s="256" t="str">
        <f ca="1">IF(CV64&lt;&gt;"",CZ66+CZ67,"")</f>
        <v/>
      </c>
      <c r="CZ70" s="257"/>
      <c r="DC70" s="260" t="str">
        <f ca="1">IF(DD67&lt;&gt;"",
IFERROR(INT(DD67/DD69),""),"")</f>
        <v/>
      </c>
      <c r="DD70" s="261"/>
      <c r="DE70" s="260" t="str">
        <f ca="1">IFERROR(MOD(DD67,DD69),"")</f>
        <v/>
      </c>
      <c r="DF70" s="261"/>
      <c r="DG70" s="256" t="str">
        <f ca="1">IF(DD64&lt;&gt;"",DH66+DH67,"")</f>
        <v/>
      </c>
      <c r="DH70" s="257"/>
      <c r="DJ70" s="260" t="str">
        <f ca="1">IF(DK67&lt;&gt;"",
IFERROR(INT(DK67/DK69),""),"")</f>
        <v/>
      </c>
      <c r="DK70" s="261"/>
      <c r="DL70" s="260" t="str">
        <f ca="1">IFERROR(MOD(DK67,DK69),"")</f>
        <v/>
      </c>
      <c r="DM70" s="261"/>
      <c r="DN70" s="256" t="str">
        <f ca="1">IF(DK64&lt;&gt;"",DO66+DO67,"")</f>
        <v/>
      </c>
      <c r="DO70" s="257"/>
      <c r="DR70" s="260" t="str">
        <f ca="1">IF(DS67&lt;&gt;"",
IFERROR(INT(DS67/DS69),""),"")</f>
        <v/>
      </c>
      <c r="DS70" s="261"/>
      <c r="DT70" s="260" t="str">
        <f ca="1">IFERROR(MOD(DS67,DS69),"")</f>
        <v/>
      </c>
      <c r="DU70" s="261"/>
      <c r="DV70" s="256" t="str">
        <f ca="1">IF(DS64&lt;&gt;"",DW66+DW67,"")</f>
        <v/>
      </c>
      <c r="DW70" s="257"/>
      <c r="DY70" s="260" t="str">
        <f ca="1">IF(DZ67&lt;&gt;"",
IFERROR(INT(DZ67/DZ69),""),"")</f>
        <v/>
      </c>
      <c r="DZ70" s="261"/>
      <c r="EA70" s="260" t="str">
        <f ca="1">IFERROR(MOD(DZ67,DZ69),"")</f>
        <v/>
      </c>
      <c r="EB70" s="261"/>
      <c r="EC70" s="256" t="str">
        <f ca="1">IF(DZ64&lt;&gt;"",ED66+ED67,"")</f>
        <v/>
      </c>
      <c r="ED70" s="257"/>
      <c r="EG70" s="260" t="str">
        <f ca="1">IF(EH67&lt;&gt;"",
IFERROR(INT(EH67/EH69),""),"")</f>
        <v/>
      </c>
      <c r="EH70" s="261"/>
      <c r="EI70" s="260" t="str">
        <f ca="1">IFERROR(MOD(EH67,EH69),"")</f>
        <v/>
      </c>
      <c r="EJ70" s="261"/>
      <c r="EK70" s="256" t="str">
        <f ca="1">IF(EH64&lt;&gt;"",EL66+EL67,"")</f>
        <v/>
      </c>
      <c r="EL70" s="257"/>
      <c r="EN70" s="260" t="str">
        <f ca="1">IF(EO67&lt;&gt;"",
IFERROR(INT(EO67/EO69),""),"")</f>
        <v/>
      </c>
      <c r="EO70" s="261"/>
      <c r="EP70" s="260" t="str">
        <f ca="1">IFERROR(MOD(EO67,EO69),"")</f>
        <v/>
      </c>
      <c r="EQ70" s="261"/>
      <c r="ER70" s="256" t="str">
        <f ca="1">IF(EO64&lt;&gt;"",ES66+ES67,"")</f>
        <v/>
      </c>
      <c r="ES70" s="257"/>
      <c r="ET70" s="71"/>
      <c r="EU70" s="87">
        <f t="shared" si="4"/>
        <v>35</v>
      </c>
      <c r="EV70" s="78" t="str">
        <f t="array" aca="1" ref="EV70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LEN(SUBSTITUTE(_xlfn.FORMULATEXT(EV$40),"=","")))+$EU70)</f>
        <v/>
      </c>
      <c r="EW70" s="78" t="str">
        <f t="array" aca="1" ref="EW70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LEN(SUBSTITUTE(_xlfn.FORMULATEXT(EW$40),"=","")))+$EU70)</f>
        <v/>
      </c>
      <c r="EX70" s="78" t="str">
        <f t="array" aca="1" ref="EX70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LEN(SUBSTITUTE(_xlfn.FORMULATEXT(EX$40),"=","")))+$EU70)</f>
        <v/>
      </c>
      <c r="EY70" s="78" t="str">
        <f t="array" aca="1" ref="EY70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LEN(SUBSTITUTE(_xlfn.FORMULATEXT(EY$40),"=","")))+$EU70)</f>
        <v/>
      </c>
      <c r="EZ70" s="78" t="str">
        <f t="array" aca="1" ref="EZ70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LEN(SUBSTITUTE(_xlfn.FORMULATEXT(EZ$40),"=","")))+$EU70)</f>
        <v/>
      </c>
      <c r="FA70" s="78" t="e">
        <f t="array" aca="1" ref="FA70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LEN(SUBSTITUTE(_xlfn.FORMULATEXT(FA$40),"=","")))+$EU70)</f>
        <v>#VALUE!</v>
      </c>
      <c r="FB70" s="78" t="e">
        <f t="array" aca="1" ref="FB70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LEN(SUBSTITUTE(_xlfn.FORMULATEXT(FB$40),"=","")))+$EU70)</f>
        <v>#VALUE!</v>
      </c>
      <c r="FC70" s="78" t="str">
        <f t="array" aca="1" ref="FC70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LEN(SUBSTITUTE(_xlfn.FORMULATEXT(FC$40),"=","")))+$EU70)</f>
        <v/>
      </c>
      <c r="FD70" s="78" t="e">
        <f t="array" aca="1" ref="FD70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LEN(SUBSTITUTE(_xlfn.FORMULATEXT(FD$40),"=","")))+$EU70)</f>
        <v>#VALUE!</v>
      </c>
      <c r="FE70" s="78" t="str">
        <f t="array" aca="1" ref="FE70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LEN(SUBSTITUTE(_xlfn.FORMULATEXT(FE$40),"=","")))+$EU70)</f>
        <v/>
      </c>
      <c r="FF70" s="78" t="e">
        <f t="array" aca="1" ref="FF70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LEN(SUBSTITUTE(_xlfn.FORMULATEXT(FF$40),"=","")))+$EU70)</f>
        <v>#VALUE!</v>
      </c>
      <c r="FG70" s="78">
        <f t="shared" ca="1" si="6"/>
        <v>0</v>
      </c>
      <c r="FH70" s="78" t="e">
        <f t="array" aca="1" ref="FH70" ca="1">SUMPRODUCT((LEN(EV70:FF70)&gt;0)*1)&gt;0</f>
        <v>#VALUE!</v>
      </c>
      <c r="FI70" s="78" t="str">
        <f t="array" aca="1" ref="FI70" ca="1">IFERROR(SMALL(IF(FG$1:FG$228&lt;&gt;0,FG$1:FG$228),ROW(A70)),"")</f>
        <v/>
      </c>
      <c r="FJ70" s="78" t="str">
        <f t="array" aca="1" ref="FJ70" ca="1">IF($FI70&lt;&gt;"",
INDIRECT(""&amp;IF(COLUMN(EV104)&lt;=26,CHAR(COLUMN(EV104)+64),CHAR(INT((COLUMN(EV104)-1)/26)+64)&amp;CHAR(MOD(COLUMN(EV104)-1,26)+65))&amp;$FI70&amp;""),"")</f>
        <v/>
      </c>
      <c r="FK70" s="78" t="str">
        <f t="array" aca="1" ref="FK70" ca="1">IF($FI70&lt;&gt;"",
INDIRECT(""&amp;IF(COLUMN(EW104)&lt;=26,CHAR(COLUMN(EW104)+64),CHAR(INT((COLUMN(EW104)-1)/26)+64)&amp;CHAR(MOD(COLUMN(EW104)-1,26)+65))&amp;$FI70&amp;""),"")</f>
        <v/>
      </c>
      <c r="FL70" s="78" t="str">
        <f t="array" aca="1" ref="FL70" ca="1">IF($FI70&lt;&gt;"",
INDIRECT(""&amp;IF(COLUMN(EX104)&lt;=26,CHAR(COLUMN(EX104)+64),CHAR(INT((COLUMN(EX104)-1)/26)+64)&amp;CHAR(MOD(COLUMN(EX104)-1,26)+65))&amp;$FI70&amp;""),"")</f>
        <v/>
      </c>
      <c r="FM70" s="78" t="str">
        <f t="array" aca="1" ref="FM70" ca="1">IF($FI70&lt;&gt;"",
IF(FL70="",
IF(INDIRECT("EY"&amp;$FI70&amp;"")&lt;&gt;"",
INDIRECT("EY"&amp;$FI70&amp;"")&amp;"箱"
&amp;INDIRECT("EZ"&amp;$FI70&amp;""),""),""),"")</f>
        <v/>
      </c>
      <c r="FN70" s="78" t="str">
        <f t="array" aca="1" ref="FN70" ca="1">IF($FI70&lt;&gt;"",
INDIRECT(""&amp;IF(COLUMN(FA104)&lt;=26,CHAR(COLUMN(FA104)+64),CHAR(INT((COLUMN(FA104)-1)/26)+64)&amp;CHAR(MOD(COLUMN(FA104)-1,26)+65))&amp;$FI70&amp;""),"")</f>
        <v/>
      </c>
      <c r="FO70" s="78" t="str">
        <f t="array" aca="1" ref="FO70" ca="1">IF($FI70&lt;&gt;"",
INDIRECT(""&amp;IF(COLUMN(FB104)&lt;=26,CHAR(COLUMN(FB104)+64),CHAR(INT((COLUMN(FB104)-1)/26)+64)&amp;CHAR(MOD(COLUMN(FB104)-1,26)+65))&amp;$FI70&amp;""),"")</f>
        <v/>
      </c>
      <c r="FP70" s="78" t="str">
        <f t="array" aca="1" ref="FP70" ca="1">IF($FI70&lt;&gt;"",
INDIRECT(""&amp;IF(COLUMN(FC104)&lt;=26,CHAR(COLUMN(FC104)+64),CHAR(INT((COLUMN(FC104)-1)/26)+64)&amp;CHAR(MOD(COLUMN(FC104)-1,26)+65))&amp;$FI70&amp;""),"")</f>
        <v/>
      </c>
      <c r="FQ70" s="78" t="str">
        <f t="array" aca="1" ref="FQ70" ca="1">IF($FI70&lt;&gt;"",
INDIRECT(""&amp;IF(COLUMN(FD104)&lt;=26,CHAR(COLUMN(FD104)+64),CHAR(INT((COLUMN(FD104)-1)/26)+64)&amp;CHAR(MOD(COLUMN(FD104)-1,26)+65))&amp;$FI70&amp;""),"")</f>
        <v/>
      </c>
      <c r="FR70" s="78" t="str">
        <f t="array" aca="1" ref="FR70" ca="1">IF($FI70&lt;&gt;"",
INDIRECT(""&amp;IF(COLUMN(FE104)&lt;=26,CHAR(COLUMN(FE104)+64),CHAR(INT((COLUMN(FE104)-1)/26)+64)&amp;CHAR(MOD(COLUMN(FE104)-1,26)+65))&amp;$FI70&amp;""),"")</f>
        <v/>
      </c>
      <c r="FS70" s="78" t="str">
        <f t="array" aca="1" ref="FS70" ca="1">IF($FI70&lt;&gt;"",
INDIRECT(""&amp;IF(COLUMN(FF104)&lt;=26,CHAR(COLUMN(FF104)+64),CHAR(INT((COLUMN(FF104)-1)/26)+64)&amp;CHAR(MOD(COLUMN(FF104)-1,26)+65))&amp;$FI70&amp;""),"")</f>
        <v/>
      </c>
    </row>
    <row r="71" spans="1:175" s="78" customFormat="1" ht="18" customHeight="1" x14ac:dyDescent="0.55000000000000004">
      <c r="A71" s="76"/>
      <c r="B71" s="77" t="str" cm="1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247" t="str">
        <f ca="1">IF(C74&lt;&gt;"",C29,"")</f>
        <v/>
      </c>
      <c r="D71" s="247"/>
      <c r="E71" s="247"/>
      <c r="F71" s="247"/>
      <c r="G71" s="231" t="str">
        <f>SUBSTITUTE(ADDRESS(1,
COLUMN(),1),"1","")</f>
        <v>$G$</v>
      </c>
      <c r="H71" s="76"/>
      <c r="I71" s="77" t="str" cm="1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247" t="str">
        <f ca="1">IF(J74&lt;&gt;"",J29,"")</f>
        <v/>
      </c>
      <c r="K71" s="247"/>
      <c r="L71" s="247"/>
      <c r="M71" s="247"/>
      <c r="N71" s="231" t="str">
        <f>SUBSTITUTE(ADDRESS(1,
COLUMN(),1),"1","")</f>
        <v>$N$</v>
      </c>
      <c r="O71" s="76"/>
      <c r="P71" s="76"/>
      <c r="Q71" s="77" t="str" cm="1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247" t="str">
        <f ca="1">IF(R74&lt;&gt;"",R29,"")</f>
        <v/>
      </c>
      <c r="S71" s="247"/>
      <c r="T71" s="247"/>
      <c r="U71" s="247"/>
      <c r="V71" s="231" t="str">
        <f>SUBSTITUTE(ADDRESS(1,
COLUMN(),1),"1","")</f>
        <v>$V$</v>
      </c>
      <c r="W71" s="76"/>
      <c r="X71" s="77" t="str" cm="1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247" t="str">
        <f ca="1">IF(Y74&lt;&gt;"",Y29,"")</f>
        <v/>
      </c>
      <c r="Z71" s="247"/>
      <c r="AA71" s="247"/>
      <c r="AB71" s="247"/>
      <c r="AC71" s="231" t="str">
        <f>SUBSTITUTE(ADDRESS(1,
COLUMN(),1),"1","")</f>
        <v>$AC$</v>
      </c>
      <c r="AD71" s="76"/>
      <c r="AE71" s="76"/>
      <c r="AF71" s="77" t="str" cm="1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247" t="str">
        <f ca="1">IF(AG74&lt;&gt;"",AG29,"")</f>
        <v/>
      </c>
      <c r="AH71" s="247"/>
      <c r="AI71" s="247"/>
      <c r="AJ71" s="247"/>
      <c r="AK71" s="231" t="str">
        <f>SUBSTITUTE(ADDRESS(1,
COLUMN(),1),"1","")</f>
        <v>$AK$</v>
      </c>
      <c r="AL71" s="76"/>
      <c r="AM71" s="77" t="str" cm="1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247" t="str">
        <f ca="1">IF(AN74&lt;&gt;"",AN29,"")</f>
        <v/>
      </c>
      <c r="AO71" s="247"/>
      <c r="AP71" s="247"/>
      <c r="AQ71" s="247"/>
      <c r="AR71" s="231" t="str">
        <f>SUBSTITUTE(ADDRESS(1,
COLUMN(),1),"1","")</f>
        <v>$AR$</v>
      </c>
      <c r="AS71" s="76"/>
      <c r="AT71" s="76"/>
      <c r="AU71" s="77" t="str" cm="1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247" t="str">
        <f ca="1">IF(AV74&lt;&gt;"",AV29,"")</f>
        <v/>
      </c>
      <c r="AW71" s="247"/>
      <c r="AX71" s="247"/>
      <c r="AY71" s="247"/>
      <c r="AZ71" s="231" t="str">
        <f>SUBSTITUTE(ADDRESS(1,
COLUMN(),1),"1","")</f>
        <v>$AZ$</v>
      </c>
      <c r="BA71" s="76"/>
      <c r="BB71" s="77" t="str" cm="1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247" t="str">
        <f ca="1">IF(BC74&lt;&gt;"",BC29,"")</f>
        <v/>
      </c>
      <c r="BD71" s="247"/>
      <c r="BE71" s="247"/>
      <c r="BF71" s="247"/>
      <c r="BG71" s="231" t="str">
        <f>SUBSTITUTE(ADDRESS(1,
COLUMN(),1),"1","")</f>
        <v>$BG$</v>
      </c>
      <c r="BH71" s="76"/>
      <c r="BI71" s="76"/>
      <c r="BJ71" s="77" t="str" cm="1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247" t="str">
        <f ca="1">IF(BK74&lt;&gt;"",BK29,"")</f>
        <v/>
      </c>
      <c r="BL71" s="247"/>
      <c r="BM71" s="247"/>
      <c r="BN71" s="247"/>
      <c r="BO71" s="231" t="str">
        <f>SUBSTITUTE(ADDRESS(1,
COLUMN(),1),"1","")</f>
        <v>$BO$</v>
      </c>
      <c r="BP71" s="76"/>
      <c r="BQ71" s="77" t="str" cm="1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247" t="str">
        <f ca="1">IF(BR74&lt;&gt;"",BR29,"")</f>
        <v/>
      </c>
      <c r="BS71" s="247"/>
      <c r="BT71" s="247"/>
      <c r="BU71" s="247"/>
      <c r="BV71" s="231" t="str">
        <f>SUBSTITUTE(ADDRESS(1,
COLUMN(),1),"1","")</f>
        <v>$BV$</v>
      </c>
      <c r="BW71" s="76"/>
      <c r="BX71" s="76"/>
      <c r="BY71" s="77" t="str" cm="1">
        <f t="array" aca="1" ref="BY71" ca="1">IF(COUNTIF(CD29,"*合計*"),"",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</f>
        <v/>
      </c>
      <c r="BZ71" s="247" t="str">
        <f ca="1">IF(BZ74&lt;&gt;"",BZ29,"")</f>
        <v/>
      </c>
      <c r="CA71" s="247"/>
      <c r="CB71" s="247"/>
      <c r="CC71" s="247"/>
      <c r="CD71" s="231" t="str">
        <f>SUBSTITUTE(ADDRESS(1,
COLUMN(),1),"1","")</f>
        <v>$CD$</v>
      </c>
      <c r="CE71" s="76"/>
      <c r="CF71" s="77" t="str" cm="1">
        <f t="array" aca="1" ref="CF71" ca="1">IF(COUNTIF(CK29,"*合計*"),"",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</f>
        <v/>
      </c>
      <c r="CG71" s="247" t="str">
        <f ca="1">IF(CG74&lt;&gt;"",CG29,"")</f>
        <v/>
      </c>
      <c r="CH71" s="247"/>
      <c r="CI71" s="247"/>
      <c r="CJ71" s="247"/>
      <c r="CK71" s="231" t="str">
        <f>SUBSTITUTE(ADDRESS(1,
COLUMN(),1),"1","")</f>
        <v>$CK$</v>
      </c>
      <c r="CL71" s="76"/>
      <c r="CM71" s="76"/>
      <c r="CN71" s="77" t="str" cm="1">
        <f t="array" aca="1" ref="CN71" ca="1">IF(COUNTIF(CS29,"*合計*"),"",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</f>
        <v/>
      </c>
      <c r="CO71" s="247" t="str">
        <f ca="1">IF(CO74&lt;&gt;"",CO29,"")</f>
        <v/>
      </c>
      <c r="CP71" s="247"/>
      <c r="CQ71" s="247"/>
      <c r="CR71" s="247"/>
      <c r="CS71" s="231" t="str">
        <f>SUBSTITUTE(ADDRESS(1,
COLUMN(),1),"1","")</f>
        <v>$CS$</v>
      </c>
      <c r="CT71" s="76"/>
      <c r="CU71" s="77" t="str" cm="1">
        <f t="array" aca="1" ref="CU71" ca="1">IF(COUNTIF(CZ29,"*合計*"),"",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</f>
        <v/>
      </c>
      <c r="CV71" s="247" t="str">
        <f ca="1">IF(CV74&lt;&gt;"",CV29,"")</f>
        <v/>
      </c>
      <c r="CW71" s="247"/>
      <c r="CX71" s="247"/>
      <c r="CY71" s="247"/>
      <c r="CZ71" s="231" t="str">
        <f>SUBSTITUTE(ADDRESS(1,
COLUMN(),1),"1","")</f>
        <v>$CZ$</v>
      </c>
      <c r="DA71" s="76"/>
      <c r="DB71" s="76"/>
      <c r="DC71" s="77" t="str" cm="1">
        <f t="array" aca="1" ref="DC71" ca="1">IF(COUNTIF(DH29,"*合計*"),"",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</f>
        <v/>
      </c>
      <c r="DD71" s="247" t="str">
        <f ca="1">IF(DD74&lt;&gt;"",DD29,"")</f>
        <v/>
      </c>
      <c r="DE71" s="247"/>
      <c r="DF71" s="247"/>
      <c r="DG71" s="247"/>
      <c r="DH71" s="231" t="str">
        <f>SUBSTITUTE(ADDRESS(1,
COLUMN(),1),"1","")</f>
        <v>$DH$</v>
      </c>
      <c r="DI71" s="76"/>
      <c r="DJ71" s="77" t="str" cm="1">
        <f t="array" aca="1" ref="DJ71" ca="1">IF(COUNTIF(DO29,"*合計*"),"",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</f>
        <v/>
      </c>
      <c r="DK71" s="247" t="str">
        <f ca="1">IF(DK74&lt;&gt;"",DK29,"")</f>
        <v/>
      </c>
      <c r="DL71" s="247"/>
      <c r="DM71" s="247"/>
      <c r="DN71" s="247"/>
      <c r="DO71" s="231" t="str">
        <f>SUBSTITUTE(ADDRESS(1,
COLUMN(),1),"1","")</f>
        <v>$DO$</v>
      </c>
      <c r="DP71" s="76"/>
      <c r="DQ71" s="76"/>
      <c r="DR71" s="77" t="str" cm="1">
        <f t="array" aca="1" ref="DR71" ca="1">IF(COUNTIF(DW29,"*合計*"),"",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</f>
        <v/>
      </c>
      <c r="DS71" s="247" t="str">
        <f ca="1">IF(DS74&lt;&gt;"",DS29,"")</f>
        <v/>
      </c>
      <c r="DT71" s="247"/>
      <c r="DU71" s="247"/>
      <c r="DV71" s="247"/>
      <c r="DW71" s="231" t="str">
        <f>SUBSTITUTE(ADDRESS(1,
COLUMN(),1),"1","")</f>
        <v>$DW$</v>
      </c>
      <c r="DX71" s="76"/>
      <c r="DY71" s="77" t="str" cm="1">
        <f t="array" aca="1" ref="DY71" ca="1">IF(COUNTIF(ED29,"*合計*"),"",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</f>
        <v/>
      </c>
      <c r="DZ71" s="247" t="str">
        <f ca="1">IF(DZ74&lt;&gt;"",DZ29,"")</f>
        <v/>
      </c>
      <c r="EA71" s="247"/>
      <c r="EB71" s="247"/>
      <c r="EC71" s="247"/>
      <c r="ED71" s="231" t="str">
        <f>SUBSTITUTE(ADDRESS(1,
COLUMN(),1),"1","")</f>
        <v>$ED$</v>
      </c>
      <c r="EE71" s="76"/>
      <c r="EF71" s="76"/>
      <c r="EG71" s="77" t="str" cm="1">
        <f t="array" aca="1" ref="EG71" ca="1">IF(COUNTIF(EL29,"*合計*"),"",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</f>
        <v/>
      </c>
      <c r="EH71" s="247" t="str">
        <f ca="1">IF(EH74&lt;&gt;"",EH29,"")</f>
        <v/>
      </c>
      <c r="EI71" s="247"/>
      <c r="EJ71" s="247"/>
      <c r="EK71" s="247"/>
      <c r="EL71" s="231" t="str">
        <f>SUBSTITUTE(ADDRESS(1,
COLUMN(),1),"1","")</f>
        <v>$EL$</v>
      </c>
      <c r="EM71" s="76"/>
      <c r="EN71" s="77" t="str" cm="1">
        <f t="array" aca="1" ref="EN71" ca="1">IF(COUNTIF(ES29,"*合計*"),"",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</f>
        <v/>
      </c>
      <c r="EO71" s="247" t="str">
        <f ca="1">IF(EO74&lt;&gt;"",EO29,"")</f>
        <v/>
      </c>
      <c r="EP71" s="247"/>
      <c r="EQ71" s="247"/>
      <c r="ER71" s="247"/>
      <c r="ES71" s="231" t="str">
        <f>SUBSTITUTE(ADDRESS(1,
COLUMN(),1),"1","")</f>
        <v>$ES$</v>
      </c>
      <c r="ET71" s="106"/>
      <c r="EU71" s="78">
        <f t="shared" si="4"/>
        <v>77</v>
      </c>
      <c r="EV71" s="78" t="str">
        <f t="array" aca="1" ref="EV71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LEN(SUBSTITUTE(_xlfn.FORMULATEXT(EV$40),"=","")))+$EU71)</f>
        <v/>
      </c>
      <c r="EW71" s="78" t="str">
        <f t="array" aca="1" ref="EW71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LEN(SUBSTITUTE(_xlfn.FORMULATEXT(EW$40),"=","")))+$EU71)</f>
        <v/>
      </c>
      <c r="EX71" s="78" t="str">
        <f t="array" aca="1" ref="EX71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LEN(SUBSTITUTE(_xlfn.FORMULATEXT(EX$40),"=","")))+$EU71)</f>
        <v/>
      </c>
      <c r="EY71" s="78" t="str">
        <f t="array" aca="1" ref="EY71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LEN(SUBSTITUTE(_xlfn.FORMULATEXT(EY$40),"=","")))+$EU71)</f>
        <v/>
      </c>
      <c r="EZ71" s="78" t="str">
        <f t="array" aca="1" ref="EZ71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LEN(SUBSTITUTE(_xlfn.FORMULATEXT(EZ$40),"=","")))+$EU71)</f>
        <v/>
      </c>
      <c r="FA71" s="78" t="str">
        <f t="array" aca="1" ref="FA71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LEN(SUBSTITUTE(_xlfn.FORMULATEXT(FA$40),"=","")))+$EU71)</f>
        <v/>
      </c>
      <c r="FB71" s="78" t="str">
        <f t="array" aca="1" ref="FB71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LEN(SUBSTITUTE(_xlfn.FORMULATEXT(FB$40),"=","")))+$EU71)</f>
        <v/>
      </c>
      <c r="FC71" s="78" t="str">
        <f t="array" aca="1" ref="FC71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LEN(SUBSTITUTE(_xlfn.FORMULATEXT(FC$40),"=","")))+$EU71)</f>
        <v/>
      </c>
      <c r="FD71" s="78" t="str">
        <f t="array" aca="1" ref="FD71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LEN(SUBSTITUTE(_xlfn.FORMULATEXT(FD$40),"=","")))+$EU71)</f>
        <v/>
      </c>
      <c r="FE71" s="78" t="str">
        <f t="array" aca="1" ref="FE71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LEN(SUBSTITUTE(_xlfn.FORMULATEXT(FE$40),"=","")))+$EU71)</f>
        <v/>
      </c>
      <c r="FF71" s="78" t="str">
        <f t="array" aca="1" ref="FF71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LEN(SUBSTITUTE(_xlfn.FORMULATEXT(FF$40),"=","")))+$EU71)</f>
        <v/>
      </c>
      <c r="FG71" s="78">
        <f t="shared" ca="1" si="6"/>
        <v>0</v>
      </c>
      <c r="FH71" s="78" t="b">
        <f t="array" aca="1" ref="FH71" ca="1">SUMPRODUCT((LEN(EV71:FF71)&gt;0)*1)&gt;0</f>
        <v>0</v>
      </c>
      <c r="FI71" s="78" t="str">
        <f t="array" aca="1" ref="FI71" ca="1">IFERROR(SMALL(IF(FG$1:FG$228&lt;&gt;0,FG$1:FG$228),ROW(A71)),"")</f>
        <v/>
      </c>
      <c r="FJ71" s="78" t="str">
        <f t="array" aca="1" ref="FJ71" ca="1">IF($FI71&lt;&gt;"",
INDIRECT(""&amp;IF(COLUMN(EV106)&lt;=26,CHAR(COLUMN(EV106)+64),CHAR(INT((COLUMN(EV106)-1)/26)+64)&amp;CHAR(MOD(COLUMN(EV106)-1,26)+65))&amp;$FI71&amp;""),"")</f>
        <v/>
      </c>
      <c r="FK71" s="78" t="str">
        <f t="array" aca="1" ref="FK71" ca="1">IF($FI71&lt;&gt;"",
INDIRECT(""&amp;IF(COLUMN(EW106)&lt;=26,CHAR(COLUMN(EW106)+64),CHAR(INT((COLUMN(EW106)-1)/26)+64)&amp;CHAR(MOD(COLUMN(EW106)-1,26)+65))&amp;$FI71&amp;""),"")</f>
        <v/>
      </c>
      <c r="FL71" s="78" t="str">
        <f t="array" aca="1" ref="FL71" ca="1">IF($FI71&lt;&gt;"",
INDIRECT(""&amp;IF(COLUMN(EX106)&lt;=26,CHAR(COLUMN(EX106)+64),CHAR(INT((COLUMN(EX106)-1)/26)+64)&amp;CHAR(MOD(COLUMN(EX106)-1,26)+65))&amp;$FI71&amp;""),"")</f>
        <v/>
      </c>
      <c r="FM71" s="78" t="str">
        <f t="array" aca="1" ref="FM71" ca="1">IF($FI71&lt;&gt;"",
IF(FL71="",
IF(INDIRECT("EY"&amp;$FI71&amp;"")&lt;&gt;"",
INDIRECT("EY"&amp;$FI71&amp;"")&amp;"箱"
&amp;INDIRECT("EZ"&amp;$FI71&amp;""),""),""),"")</f>
        <v/>
      </c>
      <c r="FN71" s="78" t="str">
        <f t="array" aca="1" ref="FN71" ca="1">IF($FI71&lt;&gt;"",
INDIRECT(""&amp;IF(COLUMN(FA106)&lt;=26,CHAR(COLUMN(FA106)+64),CHAR(INT((COLUMN(FA106)-1)/26)+64)&amp;CHAR(MOD(COLUMN(FA106)-1,26)+65))&amp;$FI71&amp;""),"")</f>
        <v/>
      </c>
      <c r="FO71" s="78" t="str">
        <f t="array" aca="1" ref="FO71" ca="1">IF($FI71&lt;&gt;"",
INDIRECT(""&amp;IF(COLUMN(FB106)&lt;=26,CHAR(COLUMN(FB106)+64),CHAR(INT((COLUMN(FB106)-1)/26)+64)&amp;CHAR(MOD(COLUMN(FB106)-1,26)+65))&amp;$FI71&amp;""),"")</f>
        <v/>
      </c>
      <c r="FP71" s="78" t="str">
        <f t="array" aca="1" ref="FP71" ca="1">IF($FI71&lt;&gt;"",
INDIRECT(""&amp;IF(COLUMN(FC106)&lt;=26,CHAR(COLUMN(FC106)+64),CHAR(INT((COLUMN(FC106)-1)/26)+64)&amp;CHAR(MOD(COLUMN(FC106)-1,26)+65))&amp;$FI71&amp;""),"")</f>
        <v/>
      </c>
      <c r="FQ71" s="78" t="str">
        <f t="array" aca="1" ref="FQ71" ca="1">IF($FI71&lt;&gt;"",
INDIRECT(""&amp;IF(COLUMN(FD106)&lt;=26,CHAR(COLUMN(FD106)+64),CHAR(INT((COLUMN(FD106)-1)/26)+64)&amp;CHAR(MOD(COLUMN(FD106)-1,26)+65))&amp;$FI71&amp;""),"")</f>
        <v/>
      </c>
      <c r="FR71" s="78" t="str">
        <f t="array" aca="1" ref="FR71" ca="1">IF($FI71&lt;&gt;"",
INDIRECT(""&amp;IF(COLUMN(FE106)&lt;=26,CHAR(COLUMN(FE106)+64),CHAR(INT((COLUMN(FE106)-1)/26)+64)&amp;CHAR(MOD(COLUMN(FE106)-1,26)+65))&amp;$FI71&amp;""),"")</f>
        <v/>
      </c>
      <c r="FS71" s="78" t="str">
        <f t="array" aca="1" ref="FS71" ca="1">IF($FI71&lt;&gt;"",
INDIRECT(""&amp;IF(COLUMN(FF106)&lt;=26,CHAR(COLUMN(FF106)+64),CHAR(INT((COLUMN(FF106)-1)/26)+64)&amp;CHAR(MOD(COLUMN(FF106)-1,26)+65))&amp;$FI71&amp;""),"")</f>
        <v/>
      </c>
    </row>
    <row r="72" spans="1:175" s="78" customFormat="1" ht="18" customHeight="1" x14ac:dyDescent="0.55000000000000004">
      <c r="A72" s="76"/>
      <c r="B72" s="81" t="e" cm="1">
        <f t="array" aca="1" ref="B72" ca="1">IF(INDIRECT(""&amp;SUBSTITUTE(ADDRESS(1,
COLUMN(),1),"1","")&amp;ROW()-41&amp;"")&lt;&gt;100,
IF(C74&lt;&gt;"",MATCH(C74,INDIRECT("数出表_Excel!B"&amp;MATCH(INDIRECT(""&amp;G71&amp;ROW()-43&amp;""),数出表_Excel!$A:$A,0)-1&amp;":U"&amp;MATCH(INDIRECT(""&amp;G71&amp;ROW()-43&amp;""),数出表_Excel!$A:$A,0)-1&amp;""),0)+1,""),
IF(C74&lt;&gt;"",
MATCH(
IFERROR(
INDEX(INDIRECT("数出表_Excel!"&amp;B71&amp;MATCH(INDIRECT(""&amp;G71&amp;ROW()-43&amp;""),数出表_Excel!$A:$A,0)-1&amp;":U"&amp;MATCH(INDIRECT(""&amp;G71&amp;ROW()-43&amp;""),数出表_Excel!$A:$A,0)-1&amp;""),
 1,
 MATCH(TRUE, ISNUMBER(--INDIRECT("数出表_Excel!"&amp;B71&amp;MATCH(INDIRECT(""&amp;G71&amp;ROW()-43&amp;""),数出表_Excel!$A:$A,0)-1&amp;":U"&amp;MATCH(INDIRECT(""&amp;G71&amp;ROW()-43&amp;""),数出表_Excel!$A:$A,0)-1&amp;"")), 0)),
 ""),
INDIRECT("数出表_Excel!B"&amp;MATCH(INDIRECT(""&amp;G71&amp;ROW()-43&amp;""),数出表_Excel!$A:$A,0)-1&amp;":U"&amp;MATCH(INDIRECT(""&amp;G71&amp;ROW()-43&amp;""),数出表_Excel!$A:$A,0)-1&amp;""),0)+1,""))</f>
        <v>#VALUE!</v>
      </c>
      <c r="C72" s="58" t="str" cm="1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76"/>
      <c r="E72" s="82" t="str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83" t="str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92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76"/>
      <c r="I72" s="81" t="e" cm="1">
        <f t="array" aca="1" ref="I72" ca="1">IF(INDIRECT(""&amp;SUBSTITUTE(ADDRESS(1,
COLUMN(),1),"1","")&amp;ROW()-41&amp;"")&lt;&gt;100,
IF(J74&lt;&gt;"",MATCH(J74,INDIRECT("数出表_Excel!B"&amp;MATCH(INDIRECT(""&amp;N71&amp;ROW()-43&amp;""),数出表_Excel!$A:$A,0)-1&amp;":U"&amp;MATCH(INDIRECT(""&amp;N71&amp;ROW()-43&amp;""),数出表_Excel!$A:$A,0)-1&amp;""),0)+1,""),
IF(J74&lt;&gt;"",
MATCH(
IFERROR(
INDEX(INDIRECT("数出表_Excel!"&amp;I71&amp;MATCH(INDIRECT(""&amp;N71&amp;ROW()-43&amp;""),数出表_Excel!$A:$A,0)-1&amp;":U"&amp;MATCH(INDIRECT(""&amp;N71&amp;ROW()-43&amp;""),数出表_Excel!$A:$A,0)-1&amp;""),
 1,
 MATCH(TRUE, ISNUMBER(--INDIRECT("数出表_Excel!"&amp;I71&amp;MATCH(INDIRECT(""&amp;N71&amp;ROW()-43&amp;""),数出表_Excel!$A:$A,0)-1&amp;":U"&amp;MATCH(INDIRECT(""&amp;N71&amp;ROW()-43&amp;""),数出表_Excel!$A:$A,0)-1&amp;"")), 0)),
 ""),
INDIRECT("数出表_Excel!B"&amp;MATCH(INDIRECT(""&amp;N71&amp;ROW()-43&amp;""),数出表_Excel!$A:$A,0)-1&amp;":U"&amp;MATCH(INDIRECT(""&amp;N71&amp;ROW()-43&amp;""),数出表_Excel!$A:$A,0)-1&amp;""),0)+1,""))</f>
        <v>#VALUE!</v>
      </c>
      <c r="J72" s="58" t="str" cm="1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76"/>
      <c r="L72" s="82" t="str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+MATCH(TRUE,INDIRECT("'数出表_Excel'!"&amp;I71&amp;MATCH(N29,数出表_Excel!$A:$A,0)-1&amp;":AL"&amp;MATCH(N29,数出表_Excel!$A:$A,0)-1&amp;"")&lt;&gt;"",0))&gt;12,"",
IFERROR(
INDEX(INDIRECT("数出表_Excel!$"&amp;I71&amp;"4:$AL4"),
 1,
MATCH(TRUE,INDIRECT("'数出表_Excel'!"&amp;I71&amp;MATCH(N29,数出表_Excel!$A:$A,0)-1&amp;":AL"&amp;MATCH(N29,数出表_Excel!$A:$A,0)-1&amp;"")&lt;&gt;"",0)
),
 "")
&amp;IFERROR(
INDEX(INDIRECT("数出表_Excel!$"&amp;I71&amp;"5:$AL5"),
 1,
MATCH(TRUE,INDIRECT("'数出表_Excel'!"&amp;I71&amp;MATCH(N29,数出表_Excel!$A:$A,0)-1&amp;":AL"&amp;MATCH(N29,数出表_Excel!$A:$A,0)-1&amp;"")&lt;&gt;"",0)),
 "")),"")))</f>
        <v/>
      </c>
      <c r="M72" s="83" t="str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92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76"/>
      <c r="P72" s="76"/>
      <c r="Q72" s="81" t="e" cm="1">
        <f t="array" aca="1" ref="Q72" ca="1">IF(INDIRECT(""&amp;SUBSTITUTE(ADDRESS(1,
COLUMN(),1),"1","")&amp;ROW()-41&amp;"")&lt;&gt;100,
IF(R74&lt;&gt;"",MATCH(R74,INDIRECT("数出表_Excel!B"&amp;MATCH(INDIRECT(""&amp;V71&amp;ROW()-43&amp;""),数出表_Excel!$A:$A,0)-1&amp;":U"&amp;MATCH(INDIRECT(""&amp;V71&amp;ROW()-43&amp;""),数出表_Excel!$A:$A,0)-1&amp;""),0)+1,""),
IF(R74&lt;&gt;"",
MATCH(
IFERROR(
INDEX(INDIRECT("数出表_Excel!"&amp;Q71&amp;MATCH(INDIRECT(""&amp;V71&amp;ROW()-43&amp;""),数出表_Excel!$A:$A,0)-1&amp;":U"&amp;MATCH(INDIRECT(""&amp;V71&amp;ROW()-43&amp;""),数出表_Excel!$A:$A,0)-1&amp;""),
 1,
 MATCH(TRUE, ISNUMBER(--INDIRECT("数出表_Excel!"&amp;Q71&amp;MATCH(INDIRECT(""&amp;V71&amp;ROW()-43&amp;""),数出表_Excel!$A:$A,0)-1&amp;":U"&amp;MATCH(INDIRECT(""&amp;V71&amp;ROW()-43&amp;""),数出表_Excel!$A:$A,0)-1&amp;"")), 0)),
 ""),
INDIRECT("数出表_Excel!B"&amp;MATCH(INDIRECT(""&amp;V71&amp;ROW()-43&amp;""),数出表_Excel!$A:$A,0)-1&amp;":U"&amp;MATCH(INDIRECT(""&amp;V71&amp;ROW()-43&amp;""),数出表_Excel!$A:$A,0)-1&amp;""),0)+1,""))</f>
        <v>#VALUE!</v>
      </c>
      <c r="R72" s="58" t="str" cm="1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76"/>
      <c r="T72" s="82" t="str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83" t="str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92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76"/>
      <c r="X72" s="81" t="e" cm="1">
        <f t="array" aca="1" ref="X72" ca="1">IF(INDIRECT(""&amp;SUBSTITUTE(ADDRESS(1,
COLUMN(),1),"1","")&amp;ROW()-41&amp;"")&lt;&gt;100,
IF(Y74&lt;&gt;"",MATCH(Y74,INDIRECT("数出表_Excel!B"&amp;MATCH(INDIRECT(""&amp;AC71&amp;ROW()-43&amp;""),数出表_Excel!$A:$A,0)-1&amp;":U"&amp;MATCH(INDIRECT(""&amp;AC71&amp;ROW()-43&amp;""),数出表_Excel!$A:$A,0)-1&amp;""),0)+1,""),
IF(Y74&lt;&gt;"",
MATCH(
IFERROR(
INDEX(INDIRECT("数出表_Excel!"&amp;X71&amp;MATCH(INDIRECT(""&amp;AC71&amp;ROW()-43&amp;""),数出表_Excel!$A:$A,0)-1&amp;":U"&amp;MATCH(INDIRECT(""&amp;AC71&amp;ROW()-43&amp;""),数出表_Excel!$A:$A,0)-1&amp;""),
 1,
 MATCH(TRUE, ISNUMBER(--INDIRECT("数出表_Excel!"&amp;X71&amp;MATCH(INDIRECT(""&amp;AC71&amp;ROW()-43&amp;""),数出表_Excel!$A:$A,0)-1&amp;":U"&amp;MATCH(INDIRECT(""&amp;AC71&amp;ROW()-43&amp;""),数出表_Excel!$A:$A,0)-1&amp;"")), 0)),
 ""),
INDIRECT("数出表_Excel!B"&amp;MATCH(INDIRECT(""&amp;AC71&amp;ROW()-43&amp;""),数出表_Excel!$A:$A,0)-1&amp;":U"&amp;MATCH(INDIRECT(""&amp;AC71&amp;ROW()-43&amp;""),数出表_Excel!$A:$A,0)-1&amp;""),0)+1,""))</f>
        <v>#VALUE!</v>
      </c>
      <c r="Y72" s="58" t="str" cm="1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76"/>
      <c r="AA72" s="82" t="str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+MATCH(TRUE,INDIRECT("'数出表_Excel'!"&amp;X71&amp;MATCH(AC29,数出表_Excel!$A:$A,0)-1&amp;":AL"&amp;MATCH(AC29,数出表_Excel!$A:$A,0)-1&amp;"")&lt;&gt;"",0))&gt;12,"",
IFERROR(
INDEX(INDIRECT("数出表_Excel!$"&amp;X71&amp;"4:$AL4"),
 1,
MATCH(TRUE,INDIRECT("'数出表_Excel'!"&amp;X71&amp;MATCH(AC29,数出表_Excel!$A:$A,0)-1&amp;":AL"&amp;MATCH(AC29,数出表_Excel!$A:$A,0)-1&amp;"")&lt;&gt;"",0)
),
 "")
&amp;IFERROR(
INDEX(INDIRECT("数出表_Excel!$"&amp;X71&amp;"5:$AL5"),
 1,
MATCH(TRUE,INDIRECT("'数出表_Excel'!"&amp;X71&amp;MATCH(AC29,数出表_Excel!$A:$A,0)-1&amp;":AL"&amp;MATCH(AC29,数出表_Excel!$A:$A,0)-1&amp;"")&lt;&gt;"",0)),
 "")),"")))</f>
        <v/>
      </c>
      <c r="AB72" s="83" t="str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92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76"/>
      <c r="AE72" s="76"/>
      <c r="AF72" s="81" t="e" cm="1">
        <f t="array" aca="1" ref="AF72" ca="1">IF(INDIRECT(""&amp;SUBSTITUTE(ADDRESS(1,
COLUMN(),1),"1","")&amp;ROW()-41&amp;"")&lt;&gt;100,
IF(AG74&lt;&gt;"",MATCH(AG74,INDIRECT("数出表_Excel!B"&amp;MATCH(INDIRECT(""&amp;AK71&amp;ROW()-43&amp;""),数出表_Excel!$A:$A,0)-1&amp;":U"&amp;MATCH(INDIRECT(""&amp;AK71&amp;ROW()-43&amp;""),数出表_Excel!$A:$A,0)-1&amp;""),0)+1,""),
IF(AG74&lt;&gt;"",
MATCH(
IFERROR(
INDEX(INDIRECT("数出表_Excel!"&amp;AF71&amp;MATCH(INDIRECT(""&amp;AK71&amp;ROW()-43&amp;""),数出表_Excel!$A:$A,0)-1&amp;":U"&amp;MATCH(INDIRECT(""&amp;AK71&amp;ROW()-43&amp;""),数出表_Excel!$A:$A,0)-1&amp;""),
 1,
 MATCH(TRUE, ISNUMBER(--INDIRECT("数出表_Excel!"&amp;AF71&amp;MATCH(INDIRECT(""&amp;AK71&amp;ROW()-43&amp;""),数出表_Excel!$A:$A,0)-1&amp;":U"&amp;MATCH(INDIRECT(""&amp;AK71&amp;ROW()-43&amp;""),数出表_Excel!$A:$A,0)-1&amp;"")), 0)),
 ""),
INDIRECT("数出表_Excel!B"&amp;MATCH(INDIRECT(""&amp;AK71&amp;ROW()-43&amp;""),数出表_Excel!$A:$A,0)-1&amp;":U"&amp;MATCH(INDIRECT(""&amp;AK71&amp;ROW()-43&amp;""),数出表_Excel!$A:$A,0)-1&amp;""),0)+1,""))</f>
        <v>#VALUE!</v>
      </c>
      <c r="AG72" s="58" t="str" cm="1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76"/>
      <c r="AI72" s="82" t="str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83" t="str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92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76"/>
      <c r="AM72" s="81" t="e" cm="1">
        <f t="array" aca="1" ref="AM72" ca="1">IF(INDIRECT(""&amp;SUBSTITUTE(ADDRESS(1,
COLUMN(),1),"1","")&amp;ROW()-41&amp;"")&lt;&gt;100,
IF(AN74&lt;&gt;"",MATCH(AN74,INDIRECT("数出表_Excel!B"&amp;MATCH(INDIRECT(""&amp;AR71&amp;ROW()-43&amp;""),数出表_Excel!$A:$A,0)-1&amp;":U"&amp;MATCH(INDIRECT(""&amp;AR71&amp;ROW()-43&amp;""),数出表_Excel!$A:$A,0)-1&amp;""),0)+1,""),
IF(AN74&lt;&gt;"",
MATCH(
IFERROR(
INDEX(INDIRECT("数出表_Excel!"&amp;AM71&amp;MATCH(INDIRECT(""&amp;AR71&amp;ROW()-43&amp;""),数出表_Excel!$A:$A,0)-1&amp;":U"&amp;MATCH(INDIRECT(""&amp;AR71&amp;ROW()-43&amp;""),数出表_Excel!$A:$A,0)-1&amp;""),
 1,
 MATCH(TRUE, ISNUMBER(--INDIRECT("数出表_Excel!"&amp;AM71&amp;MATCH(INDIRECT(""&amp;AR71&amp;ROW()-43&amp;""),数出表_Excel!$A:$A,0)-1&amp;":U"&amp;MATCH(INDIRECT(""&amp;AR71&amp;ROW()-43&amp;""),数出表_Excel!$A:$A,0)-1&amp;"")), 0)),
 ""),
INDIRECT("数出表_Excel!B"&amp;MATCH(INDIRECT(""&amp;AR71&amp;ROW()-43&amp;""),数出表_Excel!$A:$A,0)-1&amp;":U"&amp;MATCH(INDIRECT(""&amp;AR71&amp;ROW()-43&amp;""),数出表_Excel!$A:$A,0)-1&amp;""),0)+1,""))</f>
        <v>#VALUE!</v>
      </c>
      <c r="AN72" s="58" t="str" cm="1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76"/>
      <c r="AP72" s="82" t="str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+MATCH(TRUE,INDIRECT("'数出表_Excel'!"&amp;AM71&amp;MATCH(AR29,数出表_Excel!$A:$A,0)-1&amp;":AL"&amp;MATCH(AR29,数出表_Excel!$A:$A,0)-1&amp;"")&lt;&gt;"",0))&gt;12,"",
IFERROR(
INDEX(INDIRECT("数出表_Excel!$"&amp;AM71&amp;"4:$AL4"),
 1,
MATCH(TRUE,INDIRECT("'数出表_Excel'!"&amp;AM71&amp;MATCH(AR29,数出表_Excel!$A:$A,0)-1&amp;":AL"&amp;MATCH(AR29,数出表_Excel!$A:$A,0)-1&amp;"")&lt;&gt;"",0)
),
 "")
&amp;IFERROR(
INDEX(INDIRECT("数出表_Excel!$"&amp;AM71&amp;"5:$AL5"),
 1,
MATCH(TRUE,INDIRECT("'数出表_Excel'!"&amp;AM71&amp;MATCH(AR29,数出表_Excel!$A:$A,0)-1&amp;":AL"&amp;MATCH(AR29,数出表_Excel!$A:$A,0)-1&amp;"")&lt;&gt;"",0)),
 "")),"")))</f>
        <v/>
      </c>
      <c r="AQ72" s="83" t="str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92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76"/>
      <c r="AT72" s="76"/>
      <c r="AU72" s="81" t="e" cm="1">
        <f t="array" aca="1" ref="AU72" ca="1">IF(INDIRECT(""&amp;SUBSTITUTE(ADDRESS(1,
COLUMN(),1),"1","")&amp;ROW()-41&amp;"")&lt;&gt;100,
IF(AV74&lt;&gt;"",MATCH(AV74,INDIRECT("数出表_Excel!B"&amp;MATCH(INDIRECT(""&amp;AZ71&amp;ROW()-43&amp;""),数出表_Excel!$A:$A,0)-1&amp;":U"&amp;MATCH(INDIRECT(""&amp;AZ71&amp;ROW()-43&amp;""),数出表_Excel!$A:$A,0)-1&amp;""),0)+1,""),
IF(AV74&lt;&gt;"",
MATCH(
IFERROR(
INDEX(INDIRECT("数出表_Excel!"&amp;AU71&amp;MATCH(INDIRECT(""&amp;AZ71&amp;ROW()-43&amp;""),数出表_Excel!$A:$A,0)-1&amp;":U"&amp;MATCH(INDIRECT(""&amp;AZ71&amp;ROW()-43&amp;""),数出表_Excel!$A:$A,0)-1&amp;""),
 1,
 MATCH(TRUE, ISNUMBER(--INDIRECT("数出表_Excel!"&amp;AU71&amp;MATCH(INDIRECT(""&amp;AZ71&amp;ROW()-43&amp;""),数出表_Excel!$A:$A,0)-1&amp;":U"&amp;MATCH(INDIRECT(""&amp;AZ71&amp;ROW()-43&amp;""),数出表_Excel!$A:$A,0)-1&amp;"")), 0)),
 ""),
INDIRECT("数出表_Excel!B"&amp;MATCH(INDIRECT(""&amp;AZ71&amp;ROW()-43&amp;""),数出表_Excel!$A:$A,0)-1&amp;":U"&amp;MATCH(INDIRECT(""&amp;AZ71&amp;ROW()-43&amp;""),数出表_Excel!$A:$A,0)-1&amp;""),0)+1,""))</f>
        <v>#VALUE!</v>
      </c>
      <c r="AV72" s="58" t="str" cm="1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76"/>
      <c r="AX72" s="82" t="str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83" t="str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92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76"/>
      <c r="BB72" s="81" t="e" cm="1">
        <f t="array" aca="1" ref="BB72" ca="1">IF(INDIRECT(""&amp;SUBSTITUTE(ADDRESS(1,
COLUMN(),1),"1","")&amp;ROW()-41&amp;"")&lt;&gt;100,
IF(BC74&lt;&gt;"",MATCH(BC74,INDIRECT("数出表_Excel!B"&amp;MATCH(INDIRECT(""&amp;BG71&amp;ROW()-43&amp;""),数出表_Excel!$A:$A,0)-1&amp;":U"&amp;MATCH(INDIRECT(""&amp;BG71&amp;ROW()-43&amp;""),数出表_Excel!$A:$A,0)-1&amp;""),0)+1,""),
IF(BC74&lt;&gt;"",
MATCH(
IFERROR(
INDEX(INDIRECT("数出表_Excel!"&amp;BB71&amp;MATCH(INDIRECT(""&amp;BG71&amp;ROW()-43&amp;""),数出表_Excel!$A:$A,0)-1&amp;":U"&amp;MATCH(INDIRECT(""&amp;BG71&amp;ROW()-43&amp;""),数出表_Excel!$A:$A,0)-1&amp;""),
 1,
 MATCH(TRUE, ISNUMBER(--INDIRECT("数出表_Excel!"&amp;BB71&amp;MATCH(INDIRECT(""&amp;BG71&amp;ROW()-43&amp;""),数出表_Excel!$A:$A,0)-1&amp;":U"&amp;MATCH(INDIRECT(""&amp;BG71&amp;ROW()-43&amp;""),数出表_Excel!$A:$A,0)-1&amp;"")), 0)),
 ""),
INDIRECT("数出表_Excel!B"&amp;MATCH(INDIRECT(""&amp;BG71&amp;ROW()-43&amp;""),数出表_Excel!$A:$A,0)-1&amp;":U"&amp;MATCH(INDIRECT(""&amp;BG71&amp;ROW()-43&amp;""),数出表_Excel!$A:$A,0)-1&amp;""),0)+1,""))</f>
        <v>#VALUE!</v>
      </c>
      <c r="BC72" s="58" t="str" cm="1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76"/>
      <c r="BE72" s="82" t="str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+MATCH(TRUE,INDIRECT("'数出表_Excel'!"&amp;BB71&amp;MATCH(BG29,数出表_Excel!$A:$A,0)-1&amp;":AL"&amp;MATCH(BG29,数出表_Excel!$A:$A,0)-1&amp;"")&lt;&gt;"",0))&gt;12,"",
IFERROR(
INDEX(INDIRECT("数出表_Excel!$"&amp;BB71&amp;"4:$AL4"),
 1,
MATCH(TRUE,INDIRECT("'数出表_Excel'!"&amp;BB71&amp;MATCH(BG29,数出表_Excel!$A:$A,0)-1&amp;":AL"&amp;MATCH(BG29,数出表_Excel!$A:$A,0)-1&amp;"")&lt;&gt;"",0)
),
 "")
&amp;IFERROR(
INDEX(INDIRECT("数出表_Excel!$"&amp;BB71&amp;"5:$AL5"),
 1,
MATCH(TRUE,INDIRECT("'数出表_Excel'!"&amp;BB71&amp;MATCH(BG29,数出表_Excel!$A:$A,0)-1&amp;":AL"&amp;MATCH(BG29,数出表_Excel!$A:$A,0)-1&amp;"")&lt;&gt;"",0)),
 "")),"")))</f>
        <v/>
      </c>
      <c r="BF72" s="83" t="str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92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76"/>
      <c r="BI72" s="76"/>
      <c r="BJ72" s="81" t="e" cm="1">
        <f t="array" aca="1" ref="BJ72" ca="1">IF(INDIRECT(""&amp;SUBSTITUTE(ADDRESS(1,
COLUMN(),1),"1","")&amp;ROW()-41&amp;"")&lt;&gt;100,
IF(BK74&lt;&gt;"",MATCH(BK74,INDIRECT("数出表_Excel!B"&amp;MATCH(INDIRECT(""&amp;BO71&amp;ROW()-43&amp;""),数出表_Excel!$A:$A,0)-1&amp;":U"&amp;MATCH(INDIRECT(""&amp;BO71&amp;ROW()-43&amp;""),数出表_Excel!$A:$A,0)-1&amp;""),0)+1,""),
IF(BK74&lt;&gt;"",
MATCH(
IFERROR(
INDEX(INDIRECT("数出表_Excel!"&amp;BJ71&amp;MATCH(INDIRECT(""&amp;BO71&amp;ROW()-43&amp;""),数出表_Excel!$A:$A,0)-1&amp;":U"&amp;MATCH(INDIRECT(""&amp;BO71&amp;ROW()-43&amp;""),数出表_Excel!$A:$A,0)-1&amp;""),
 1,
 MATCH(TRUE, ISNUMBER(--INDIRECT("数出表_Excel!"&amp;BJ71&amp;MATCH(INDIRECT(""&amp;BO71&amp;ROW()-43&amp;""),数出表_Excel!$A:$A,0)-1&amp;":U"&amp;MATCH(INDIRECT(""&amp;BO71&amp;ROW()-43&amp;""),数出表_Excel!$A:$A,0)-1&amp;"")), 0)),
 ""),
INDIRECT("数出表_Excel!B"&amp;MATCH(INDIRECT(""&amp;BO71&amp;ROW()-43&amp;""),数出表_Excel!$A:$A,0)-1&amp;":U"&amp;MATCH(INDIRECT(""&amp;BO71&amp;ROW()-43&amp;""),数出表_Excel!$A:$A,0)-1&amp;""),0)+1,""))</f>
        <v>#VALUE!</v>
      </c>
      <c r="BK72" s="58" t="str" cm="1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76"/>
      <c r="BM72" s="82" t="str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83" t="str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92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76"/>
      <c r="BQ72" s="81" t="e" cm="1">
        <f t="array" aca="1" ref="BQ72" ca="1">IF(INDIRECT(""&amp;SUBSTITUTE(ADDRESS(1,
COLUMN(),1),"1","")&amp;ROW()-41&amp;"")&lt;&gt;100,
IF(BR74&lt;&gt;"",MATCH(BR74,INDIRECT("数出表_Excel!B"&amp;MATCH(INDIRECT(""&amp;BV71&amp;ROW()-43&amp;""),数出表_Excel!$A:$A,0)-1&amp;":U"&amp;MATCH(INDIRECT(""&amp;BV71&amp;ROW()-43&amp;""),数出表_Excel!$A:$A,0)-1&amp;""),0)+1,""),
IF(BR74&lt;&gt;"",
MATCH(
IFERROR(
INDEX(INDIRECT("数出表_Excel!"&amp;BQ71&amp;MATCH(INDIRECT(""&amp;BV71&amp;ROW()-43&amp;""),数出表_Excel!$A:$A,0)-1&amp;":U"&amp;MATCH(INDIRECT(""&amp;BV71&amp;ROW()-43&amp;""),数出表_Excel!$A:$A,0)-1&amp;""),
 1,
 MATCH(TRUE, ISNUMBER(--INDIRECT("数出表_Excel!"&amp;BQ71&amp;MATCH(INDIRECT(""&amp;BV71&amp;ROW()-43&amp;""),数出表_Excel!$A:$A,0)-1&amp;":U"&amp;MATCH(INDIRECT(""&amp;BV71&amp;ROW()-43&amp;""),数出表_Excel!$A:$A,0)-1&amp;"")), 0)),
 ""),
INDIRECT("数出表_Excel!B"&amp;MATCH(INDIRECT(""&amp;BV71&amp;ROW()-43&amp;""),数出表_Excel!$A:$A,0)-1&amp;":U"&amp;MATCH(INDIRECT(""&amp;BV71&amp;ROW()-43&amp;""),数出表_Excel!$A:$A,0)-1&amp;""),0)+1,""))</f>
        <v>#VALUE!</v>
      </c>
      <c r="BR72" s="58" t="str" cm="1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76"/>
      <c r="BT72" s="82" t="str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+MATCH(TRUE,INDIRECT("'数出表_Excel'!"&amp;BQ71&amp;MATCH(BV29,数出表_Excel!$A:$A,0)-1&amp;":AL"&amp;MATCH(BV29,数出表_Excel!$A:$A,0)-1&amp;"")&lt;&gt;"",0))&gt;12,"",
IFERROR(
INDEX(INDIRECT("数出表_Excel!$"&amp;BQ71&amp;"4:$AL4"),
 1,
MATCH(TRUE,INDIRECT("'数出表_Excel'!"&amp;BQ71&amp;MATCH(BV29,数出表_Excel!$A:$A,0)-1&amp;":AL"&amp;MATCH(BV29,数出表_Excel!$A:$A,0)-1&amp;"")&lt;&gt;"",0)
),
 "")
&amp;IFERROR(
INDEX(INDIRECT("数出表_Excel!$"&amp;BQ71&amp;"5:$AL5"),
 1,
MATCH(TRUE,INDIRECT("'数出表_Excel'!"&amp;BQ71&amp;MATCH(BV29,数出表_Excel!$A:$A,0)-1&amp;":AL"&amp;MATCH(BV29,数出表_Excel!$A:$A,0)-1&amp;"")&lt;&gt;"",0)),
 "")),"")))</f>
        <v/>
      </c>
      <c r="BU72" s="83" t="str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92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76"/>
      <c r="BX72" s="76"/>
      <c r="BY72" s="81" t="e" cm="1">
        <f t="array" aca="1" ref="BY72" ca="1">IF(INDIRECT(""&amp;SUBSTITUTE(ADDRESS(1,
COLUMN(),1),"1","")&amp;ROW()-41&amp;"")&lt;&gt;100,
IF(BZ74&lt;&gt;"",MATCH(BZ74,INDIRECT("数出表_Excel!B"&amp;MATCH(INDIRECT(""&amp;CD71&amp;ROW()-43&amp;""),数出表_Excel!$A:$A,0)-1&amp;":U"&amp;MATCH(INDIRECT(""&amp;CD71&amp;ROW()-43&amp;""),数出表_Excel!$A:$A,0)-1&amp;""),0)+1,""),
IF(BZ74&lt;&gt;"",
MATCH(
IFERROR(
INDEX(INDIRECT("数出表_Excel!"&amp;BY71&amp;MATCH(INDIRECT(""&amp;CD71&amp;ROW()-43&amp;""),数出表_Excel!$A:$A,0)-1&amp;":U"&amp;MATCH(INDIRECT(""&amp;CD71&amp;ROW()-43&amp;""),数出表_Excel!$A:$A,0)-1&amp;""),
 1,
 MATCH(TRUE, ISNUMBER(--INDIRECT("数出表_Excel!"&amp;BY71&amp;MATCH(INDIRECT(""&amp;CD71&amp;ROW()-43&amp;""),数出表_Excel!$A:$A,0)-1&amp;":U"&amp;MATCH(INDIRECT(""&amp;CD71&amp;ROW()-43&amp;""),数出表_Excel!$A:$A,0)-1&amp;"")), 0)),
 ""),
INDIRECT("数出表_Excel!B"&amp;MATCH(INDIRECT(""&amp;CD71&amp;ROW()-43&amp;""),数出表_Excel!$A:$A,0)-1&amp;":U"&amp;MATCH(INDIRECT(""&amp;CD71&amp;ROW()-43&amp;""),数出表_Excel!$A:$A,0)-1&amp;""),0)+1,""))</f>
        <v>#VALUE!</v>
      </c>
      <c r="BZ72" s="58" t="str" cm="1">
        <f t="array" aca="1" ref="BZ72" ca="1">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</f>
        <v/>
      </c>
      <c r="CA72" s="76"/>
      <c r="CB72" s="82" t="str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83" t="str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92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76"/>
      <c r="CF72" s="81" t="e" cm="1">
        <f t="array" aca="1" ref="CF72" ca="1">IF(INDIRECT(""&amp;SUBSTITUTE(ADDRESS(1,
COLUMN(),1),"1","")&amp;ROW()-41&amp;"")&lt;&gt;100,
IF(CG74&lt;&gt;"",MATCH(CG74,INDIRECT("数出表_Excel!B"&amp;MATCH(INDIRECT(""&amp;CK71&amp;ROW()-43&amp;""),数出表_Excel!$A:$A,0)-1&amp;":U"&amp;MATCH(INDIRECT(""&amp;CK71&amp;ROW()-43&amp;""),数出表_Excel!$A:$A,0)-1&amp;""),0)+1,""),
IF(CG74&lt;&gt;"",
MATCH(
IFERROR(
INDEX(INDIRECT("数出表_Excel!"&amp;CF71&amp;MATCH(INDIRECT(""&amp;CK71&amp;ROW()-43&amp;""),数出表_Excel!$A:$A,0)-1&amp;":U"&amp;MATCH(INDIRECT(""&amp;CK71&amp;ROW()-43&amp;""),数出表_Excel!$A:$A,0)-1&amp;""),
 1,
 MATCH(TRUE, ISNUMBER(--INDIRECT("数出表_Excel!"&amp;CF71&amp;MATCH(INDIRECT(""&amp;CK71&amp;ROW()-43&amp;""),数出表_Excel!$A:$A,0)-1&amp;":U"&amp;MATCH(INDIRECT(""&amp;CK71&amp;ROW()-43&amp;""),数出表_Excel!$A:$A,0)-1&amp;"")), 0)),
 ""),
INDIRECT("数出表_Excel!B"&amp;MATCH(INDIRECT(""&amp;CK71&amp;ROW()-43&amp;""),数出表_Excel!$A:$A,0)-1&amp;":U"&amp;MATCH(INDIRECT(""&amp;CK71&amp;ROW()-43&amp;""),数出表_Excel!$A:$A,0)-1&amp;""),0)+1,""))</f>
        <v>#VALUE!</v>
      </c>
      <c r="CG72" s="58" t="str" cm="1">
        <f t="array" aca="1" ref="CG72" ca="1">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</f>
        <v/>
      </c>
      <c r="CH72" s="76"/>
      <c r="CI72" s="82" t="str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+MATCH(TRUE,INDIRECT("'数出表_Excel'!"&amp;CF71&amp;MATCH(CK29,数出表_Excel!$A:$A,0)-1&amp;":AL"&amp;MATCH(CK29,数出表_Excel!$A:$A,0)-1&amp;"")&lt;&gt;"",0))&gt;12,"",
IFERROR(
INDEX(INDIRECT("数出表_Excel!$"&amp;CF71&amp;"4:$AL4"),
 1,
MATCH(TRUE,INDIRECT("'数出表_Excel'!"&amp;CF71&amp;MATCH(CK29,数出表_Excel!$A:$A,0)-1&amp;":AL"&amp;MATCH(CK29,数出表_Excel!$A:$A,0)-1&amp;"")&lt;&gt;"",0)
),
 "")
&amp;IFERROR(
INDEX(INDIRECT("数出表_Excel!$"&amp;CF71&amp;"5:$AL5"),
 1,
MATCH(TRUE,INDIRECT("'数出表_Excel'!"&amp;CF71&amp;MATCH(CK29,数出表_Excel!$A:$A,0)-1&amp;":AL"&amp;MATCH(CK29,数出表_Excel!$A:$A,0)-1&amp;"")&lt;&gt;"",0)),
 "")),"")))</f>
        <v/>
      </c>
      <c r="CJ72" s="83" t="str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92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76"/>
      <c r="CM72" s="76"/>
      <c r="CN72" s="81" t="e" cm="1">
        <f t="array" aca="1" ref="CN72" ca="1">IF(INDIRECT(""&amp;SUBSTITUTE(ADDRESS(1,
COLUMN(),1),"1","")&amp;ROW()-41&amp;"")&lt;&gt;100,
IF(CO74&lt;&gt;"",MATCH(CO74,INDIRECT("数出表_Excel!B"&amp;MATCH(INDIRECT(""&amp;CS71&amp;ROW()-43&amp;""),数出表_Excel!$A:$A,0)-1&amp;":U"&amp;MATCH(INDIRECT(""&amp;CS71&amp;ROW()-43&amp;""),数出表_Excel!$A:$A,0)-1&amp;""),0)+1,""),
IF(CO74&lt;&gt;"",
MATCH(
IFERROR(
INDEX(INDIRECT("数出表_Excel!"&amp;CN71&amp;MATCH(INDIRECT(""&amp;CS71&amp;ROW()-43&amp;""),数出表_Excel!$A:$A,0)-1&amp;":U"&amp;MATCH(INDIRECT(""&amp;CS71&amp;ROW()-43&amp;""),数出表_Excel!$A:$A,0)-1&amp;""),
 1,
 MATCH(TRUE, ISNUMBER(--INDIRECT("数出表_Excel!"&amp;CN71&amp;MATCH(INDIRECT(""&amp;CS71&amp;ROW()-43&amp;""),数出表_Excel!$A:$A,0)-1&amp;":U"&amp;MATCH(INDIRECT(""&amp;CS71&amp;ROW()-43&amp;""),数出表_Excel!$A:$A,0)-1&amp;"")), 0)),
 ""),
INDIRECT("数出表_Excel!B"&amp;MATCH(INDIRECT(""&amp;CS71&amp;ROW()-43&amp;""),数出表_Excel!$A:$A,0)-1&amp;":U"&amp;MATCH(INDIRECT(""&amp;CS71&amp;ROW()-43&amp;""),数出表_Excel!$A:$A,0)-1&amp;""),0)+1,""))</f>
        <v>#VALUE!</v>
      </c>
      <c r="CO72" s="58" t="str" cm="1">
        <f t="array" aca="1" ref="CO72" ca="1">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</f>
        <v/>
      </c>
      <c r="CP72" s="76"/>
      <c r="CQ72" s="82" t="str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83" t="str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92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76"/>
      <c r="CU72" s="81" t="e" cm="1">
        <f t="array" aca="1" ref="CU72" ca="1">IF(INDIRECT(""&amp;SUBSTITUTE(ADDRESS(1,
COLUMN(),1),"1","")&amp;ROW()-41&amp;"")&lt;&gt;100,
IF(CV74&lt;&gt;"",MATCH(CV74,INDIRECT("数出表_Excel!B"&amp;MATCH(INDIRECT(""&amp;CZ71&amp;ROW()-43&amp;""),数出表_Excel!$A:$A,0)-1&amp;":U"&amp;MATCH(INDIRECT(""&amp;CZ71&amp;ROW()-43&amp;""),数出表_Excel!$A:$A,0)-1&amp;""),0)+1,""),
IF(CV74&lt;&gt;"",
MATCH(
IFERROR(
INDEX(INDIRECT("数出表_Excel!"&amp;CU71&amp;MATCH(INDIRECT(""&amp;CZ71&amp;ROW()-43&amp;""),数出表_Excel!$A:$A,0)-1&amp;":U"&amp;MATCH(INDIRECT(""&amp;CZ71&amp;ROW()-43&amp;""),数出表_Excel!$A:$A,0)-1&amp;""),
 1,
 MATCH(TRUE, ISNUMBER(--INDIRECT("数出表_Excel!"&amp;CU71&amp;MATCH(INDIRECT(""&amp;CZ71&amp;ROW()-43&amp;""),数出表_Excel!$A:$A,0)-1&amp;":U"&amp;MATCH(INDIRECT(""&amp;CZ71&amp;ROW()-43&amp;""),数出表_Excel!$A:$A,0)-1&amp;"")), 0)),
 ""),
INDIRECT("数出表_Excel!B"&amp;MATCH(INDIRECT(""&amp;CZ71&amp;ROW()-43&amp;""),数出表_Excel!$A:$A,0)-1&amp;":U"&amp;MATCH(INDIRECT(""&amp;CZ71&amp;ROW()-43&amp;""),数出表_Excel!$A:$A,0)-1&amp;""),0)+1,""))</f>
        <v>#VALUE!</v>
      </c>
      <c r="CV72" s="58" t="str" cm="1">
        <f t="array" aca="1" ref="CV72" ca="1">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</f>
        <v/>
      </c>
      <c r="CW72" s="76"/>
      <c r="CX72" s="82" t="str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+MATCH(TRUE,INDIRECT("'数出表_Excel'!"&amp;CU71&amp;MATCH(CZ29,数出表_Excel!$A:$A,0)-1&amp;":AL"&amp;MATCH(CZ29,数出表_Excel!$A:$A,0)-1&amp;"")&lt;&gt;"",0))&gt;12,"",
IFERROR(
INDEX(INDIRECT("数出表_Excel!$"&amp;CU71&amp;"4:$AL4"),
 1,
MATCH(TRUE,INDIRECT("'数出表_Excel'!"&amp;CU71&amp;MATCH(CZ29,数出表_Excel!$A:$A,0)-1&amp;":AL"&amp;MATCH(CZ29,数出表_Excel!$A:$A,0)-1&amp;"")&lt;&gt;"",0)
),
 "")
&amp;IFERROR(
INDEX(INDIRECT("数出表_Excel!$"&amp;CU71&amp;"5:$AL5"),
 1,
MATCH(TRUE,INDIRECT("'数出表_Excel'!"&amp;CU71&amp;MATCH(CZ29,数出表_Excel!$A:$A,0)-1&amp;":AL"&amp;MATCH(CZ29,数出表_Excel!$A:$A,0)-1&amp;"")&lt;&gt;"",0)),
 "")),"")))</f>
        <v/>
      </c>
      <c r="CY72" s="83" t="str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92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76"/>
      <c r="DB72" s="76"/>
      <c r="DC72" s="81" t="e" cm="1">
        <f t="array" aca="1" ref="DC72" ca="1">IF(INDIRECT(""&amp;SUBSTITUTE(ADDRESS(1,
COLUMN(),1),"1","")&amp;ROW()-41&amp;"")&lt;&gt;100,
IF(DD74&lt;&gt;"",MATCH(DD74,INDIRECT("数出表_Excel!B"&amp;MATCH(INDIRECT(""&amp;DH71&amp;ROW()-43&amp;""),数出表_Excel!$A:$A,0)-1&amp;":U"&amp;MATCH(INDIRECT(""&amp;DH71&amp;ROW()-43&amp;""),数出表_Excel!$A:$A,0)-1&amp;""),0)+1,""),
IF(DD74&lt;&gt;"",
MATCH(
IFERROR(
INDEX(INDIRECT("数出表_Excel!"&amp;DC71&amp;MATCH(INDIRECT(""&amp;DH71&amp;ROW()-43&amp;""),数出表_Excel!$A:$A,0)-1&amp;":U"&amp;MATCH(INDIRECT(""&amp;DH71&amp;ROW()-43&amp;""),数出表_Excel!$A:$A,0)-1&amp;""),
 1,
 MATCH(TRUE, ISNUMBER(--INDIRECT("数出表_Excel!"&amp;DC71&amp;MATCH(INDIRECT(""&amp;DH71&amp;ROW()-43&amp;""),数出表_Excel!$A:$A,0)-1&amp;":U"&amp;MATCH(INDIRECT(""&amp;DH71&amp;ROW()-43&amp;""),数出表_Excel!$A:$A,0)-1&amp;"")), 0)),
 ""),
INDIRECT("数出表_Excel!B"&amp;MATCH(INDIRECT(""&amp;DH71&amp;ROW()-43&amp;""),数出表_Excel!$A:$A,0)-1&amp;":U"&amp;MATCH(INDIRECT(""&amp;DH71&amp;ROW()-43&amp;""),数出表_Excel!$A:$A,0)-1&amp;""),0)+1,""))</f>
        <v>#VALUE!</v>
      </c>
      <c r="DD72" s="58" t="str" cm="1">
        <f t="array" aca="1" ref="DD72" ca="1">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</f>
        <v/>
      </c>
      <c r="DE72" s="76"/>
      <c r="DF72" s="82" t="str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83" t="str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92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76"/>
      <c r="DJ72" s="81" t="e" cm="1">
        <f t="array" aca="1" ref="DJ72" ca="1">IF(INDIRECT(""&amp;SUBSTITUTE(ADDRESS(1,
COLUMN(),1),"1","")&amp;ROW()-41&amp;"")&lt;&gt;100,
IF(DK74&lt;&gt;"",MATCH(DK74,INDIRECT("数出表_Excel!B"&amp;MATCH(INDIRECT(""&amp;DO71&amp;ROW()-43&amp;""),数出表_Excel!$A:$A,0)-1&amp;":U"&amp;MATCH(INDIRECT(""&amp;DO71&amp;ROW()-43&amp;""),数出表_Excel!$A:$A,0)-1&amp;""),0)+1,""),
IF(DK74&lt;&gt;"",
MATCH(
IFERROR(
INDEX(INDIRECT("数出表_Excel!"&amp;DJ71&amp;MATCH(INDIRECT(""&amp;DO71&amp;ROW()-43&amp;""),数出表_Excel!$A:$A,0)-1&amp;":U"&amp;MATCH(INDIRECT(""&amp;DO71&amp;ROW()-43&amp;""),数出表_Excel!$A:$A,0)-1&amp;""),
 1,
 MATCH(TRUE, ISNUMBER(--INDIRECT("数出表_Excel!"&amp;DJ71&amp;MATCH(INDIRECT(""&amp;DO71&amp;ROW()-43&amp;""),数出表_Excel!$A:$A,0)-1&amp;":U"&amp;MATCH(INDIRECT(""&amp;DO71&amp;ROW()-43&amp;""),数出表_Excel!$A:$A,0)-1&amp;"")), 0)),
 ""),
INDIRECT("数出表_Excel!B"&amp;MATCH(INDIRECT(""&amp;DO71&amp;ROW()-43&amp;""),数出表_Excel!$A:$A,0)-1&amp;":U"&amp;MATCH(INDIRECT(""&amp;DO71&amp;ROW()-43&amp;""),数出表_Excel!$A:$A,0)-1&amp;""),0)+1,""))</f>
        <v>#VALUE!</v>
      </c>
      <c r="DK72" s="58" t="str" cm="1">
        <f t="array" aca="1" ref="DK72" ca="1">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</f>
        <v/>
      </c>
      <c r="DL72" s="76"/>
      <c r="DM72" s="82" t="str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+MATCH(TRUE,INDIRECT("'数出表_Excel'!"&amp;DJ71&amp;MATCH(DO29,数出表_Excel!$A:$A,0)-1&amp;":AL"&amp;MATCH(DO29,数出表_Excel!$A:$A,0)-1&amp;"")&lt;&gt;"",0))&gt;12,"",
IFERROR(
INDEX(INDIRECT("数出表_Excel!$"&amp;DJ71&amp;"4:$AL4"),
 1,
MATCH(TRUE,INDIRECT("'数出表_Excel'!"&amp;DJ71&amp;MATCH(DO29,数出表_Excel!$A:$A,0)-1&amp;":AL"&amp;MATCH(DO29,数出表_Excel!$A:$A,0)-1&amp;"")&lt;&gt;"",0)
),
 "")
&amp;IFERROR(
INDEX(INDIRECT("数出表_Excel!$"&amp;DJ71&amp;"5:$AL5"),
 1,
MATCH(TRUE,INDIRECT("'数出表_Excel'!"&amp;DJ71&amp;MATCH(DO29,数出表_Excel!$A:$A,0)-1&amp;":AL"&amp;MATCH(DO29,数出表_Excel!$A:$A,0)-1&amp;"")&lt;&gt;"",0)),
 "")),"")))</f>
        <v/>
      </c>
      <c r="DN72" s="83" t="str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92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76"/>
      <c r="DQ72" s="76"/>
      <c r="DR72" s="81" t="e" cm="1">
        <f t="array" aca="1" ref="DR72" ca="1">IF(INDIRECT(""&amp;SUBSTITUTE(ADDRESS(1,
COLUMN(),1),"1","")&amp;ROW()-41&amp;"")&lt;&gt;100,
IF(DS74&lt;&gt;"",MATCH(DS74,INDIRECT("数出表_Excel!B"&amp;MATCH(INDIRECT(""&amp;DW71&amp;ROW()-43&amp;""),数出表_Excel!$A:$A,0)-1&amp;":U"&amp;MATCH(INDIRECT(""&amp;DW71&amp;ROW()-43&amp;""),数出表_Excel!$A:$A,0)-1&amp;""),0)+1,""),
IF(DS74&lt;&gt;"",
MATCH(
IFERROR(
INDEX(INDIRECT("数出表_Excel!"&amp;DR71&amp;MATCH(INDIRECT(""&amp;DW71&amp;ROW()-43&amp;""),数出表_Excel!$A:$A,0)-1&amp;":U"&amp;MATCH(INDIRECT(""&amp;DW71&amp;ROW()-43&amp;""),数出表_Excel!$A:$A,0)-1&amp;""),
 1,
 MATCH(TRUE, ISNUMBER(--INDIRECT("数出表_Excel!"&amp;DR71&amp;MATCH(INDIRECT(""&amp;DW71&amp;ROW()-43&amp;""),数出表_Excel!$A:$A,0)-1&amp;":U"&amp;MATCH(INDIRECT(""&amp;DW71&amp;ROW()-43&amp;""),数出表_Excel!$A:$A,0)-1&amp;"")), 0)),
 ""),
INDIRECT("数出表_Excel!B"&amp;MATCH(INDIRECT(""&amp;DW71&amp;ROW()-43&amp;""),数出表_Excel!$A:$A,0)-1&amp;":U"&amp;MATCH(INDIRECT(""&amp;DW71&amp;ROW()-43&amp;""),数出表_Excel!$A:$A,0)-1&amp;""),0)+1,""))</f>
        <v>#VALUE!</v>
      </c>
      <c r="DS72" s="58" t="str" cm="1">
        <f t="array" aca="1" ref="DS72" ca="1">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</f>
        <v/>
      </c>
      <c r="DT72" s="76"/>
      <c r="DU72" s="82" t="str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83" t="str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92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76"/>
      <c r="DY72" s="81" t="e" cm="1">
        <f t="array" aca="1" ref="DY72" ca="1">IF(INDIRECT(""&amp;SUBSTITUTE(ADDRESS(1,
COLUMN(),1),"1","")&amp;ROW()-41&amp;"")&lt;&gt;100,
IF(DZ74&lt;&gt;"",MATCH(DZ74,INDIRECT("数出表_Excel!B"&amp;MATCH(INDIRECT(""&amp;ED71&amp;ROW()-43&amp;""),数出表_Excel!$A:$A,0)-1&amp;":U"&amp;MATCH(INDIRECT(""&amp;ED71&amp;ROW()-43&amp;""),数出表_Excel!$A:$A,0)-1&amp;""),0)+1,""),
IF(DZ74&lt;&gt;"",
MATCH(
IFERROR(
INDEX(INDIRECT("数出表_Excel!"&amp;DY71&amp;MATCH(INDIRECT(""&amp;ED71&amp;ROW()-43&amp;""),数出表_Excel!$A:$A,0)-1&amp;":U"&amp;MATCH(INDIRECT(""&amp;ED71&amp;ROW()-43&amp;""),数出表_Excel!$A:$A,0)-1&amp;""),
 1,
 MATCH(TRUE, ISNUMBER(--INDIRECT("数出表_Excel!"&amp;DY71&amp;MATCH(INDIRECT(""&amp;ED71&amp;ROW()-43&amp;""),数出表_Excel!$A:$A,0)-1&amp;":U"&amp;MATCH(INDIRECT(""&amp;ED71&amp;ROW()-43&amp;""),数出表_Excel!$A:$A,0)-1&amp;"")), 0)),
 ""),
INDIRECT("数出表_Excel!B"&amp;MATCH(INDIRECT(""&amp;ED71&amp;ROW()-43&amp;""),数出表_Excel!$A:$A,0)-1&amp;":U"&amp;MATCH(INDIRECT(""&amp;ED71&amp;ROW()-43&amp;""),数出表_Excel!$A:$A,0)-1&amp;""),0)+1,""))</f>
        <v>#VALUE!</v>
      </c>
      <c r="DZ72" s="58" t="str" cm="1">
        <f t="array" aca="1" ref="DZ72" ca="1">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</f>
        <v/>
      </c>
      <c r="EA72" s="76"/>
      <c r="EB72" s="82" t="str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+MATCH(TRUE,INDIRECT("'数出表_Excel'!"&amp;DY71&amp;MATCH(ED29,数出表_Excel!$A:$A,0)-1&amp;":AL"&amp;MATCH(ED29,数出表_Excel!$A:$A,0)-1&amp;"")&lt;&gt;"",0))&gt;12,"",
IFERROR(
INDEX(INDIRECT("数出表_Excel!$"&amp;DY71&amp;"4:$AL4"),
 1,
MATCH(TRUE,INDIRECT("'数出表_Excel'!"&amp;DY71&amp;MATCH(ED29,数出表_Excel!$A:$A,0)-1&amp;":AL"&amp;MATCH(ED29,数出表_Excel!$A:$A,0)-1&amp;"")&lt;&gt;"",0)
),
 "")
&amp;IFERROR(
INDEX(INDIRECT("数出表_Excel!$"&amp;DY71&amp;"5:$AL5"),
 1,
MATCH(TRUE,INDIRECT("'数出表_Excel'!"&amp;DY71&amp;MATCH(ED29,数出表_Excel!$A:$A,0)-1&amp;":AL"&amp;MATCH(ED29,数出表_Excel!$A:$A,0)-1&amp;"")&lt;&gt;"",0)),
 "")),"")))</f>
        <v/>
      </c>
      <c r="EC72" s="83" t="str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92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76"/>
      <c r="EF72" s="76"/>
      <c r="EG72" s="81" t="e" cm="1">
        <f t="array" aca="1" ref="EG72" ca="1">IF(INDIRECT(""&amp;SUBSTITUTE(ADDRESS(1,
COLUMN(),1),"1","")&amp;ROW()-41&amp;"")&lt;&gt;100,
IF(EH74&lt;&gt;"",MATCH(EH74,INDIRECT("数出表_Excel!B"&amp;MATCH(INDIRECT(""&amp;EL71&amp;ROW()-43&amp;""),数出表_Excel!$A:$A,0)-1&amp;":U"&amp;MATCH(INDIRECT(""&amp;EL71&amp;ROW()-43&amp;""),数出表_Excel!$A:$A,0)-1&amp;""),0)+1,""),
IF(EH74&lt;&gt;"",
MATCH(
IFERROR(
INDEX(INDIRECT("数出表_Excel!"&amp;EG71&amp;MATCH(INDIRECT(""&amp;EL71&amp;ROW()-43&amp;""),数出表_Excel!$A:$A,0)-1&amp;":U"&amp;MATCH(INDIRECT(""&amp;EL71&amp;ROW()-43&amp;""),数出表_Excel!$A:$A,0)-1&amp;""),
 1,
 MATCH(TRUE, ISNUMBER(--INDIRECT("数出表_Excel!"&amp;EG71&amp;MATCH(INDIRECT(""&amp;EL71&amp;ROW()-43&amp;""),数出表_Excel!$A:$A,0)-1&amp;":U"&amp;MATCH(INDIRECT(""&amp;EL71&amp;ROW()-43&amp;""),数出表_Excel!$A:$A,0)-1&amp;"")), 0)),
 ""),
INDIRECT("数出表_Excel!B"&amp;MATCH(INDIRECT(""&amp;EL71&amp;ROW()-43&amp;""),数出表_Excel!$A:$A,0)-1&amp;":U"&amp;MATCH(INDIRECT(""&amp;EL71&amp;ROW()-43&amp;""),数出表_Excel!$A:$A,0)-1&amp;""),0)+1,""))</f>
        <v>#VALUE!</v>
      </c>
      <c r="EH72" s="58" t="str" cm="1">
        <f t="array" aca="1" ref="EH72" ca="1">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</f>
        <v/>
      </c>
      <c r="EI72" s="76"/>
      <c r="EJ72" s="82" t="str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83" t="str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92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76"/>
      <c r="EN72" s="81" t="e" cm="1">
        <f t="array" aca="1" ref="EN72" ca="1">IF(INDIRECT(""&amp;SUBSTITUTE(ADDRESS(1,
COLUMN(),1),"1","")&amp;ROW()-41&amp;"")&lt;&gt;100,
IF(EO74&lt;&gt;"",MATCH(EO74,INDIRECT("数出表_Excel!B"&amp;MATCH(INDIRECT(""&amp;ES71&amp;ROW()-43&amp;""),数出表_Excel!$A:$A,0)-1&amp;":U"&amp;MATCH(INDIRECT(""&amp;ES71&amp;ROW()-43&amp;""),数出表_Excel!$A:$A,0)-1&amp;""),0)+1,""),
IF(EO74&lt;&gt;"",
MATCH(
IFERROR(
INDEX(INDIRECT("数出表_Excel!"&amp;EN71&amp;MATCH(INDIRECT(""&amp;ES71&amp;ROW()-43&amp;""),数出表_Excel!$A:$A,0)-1&amp;":U"&amp;MATCH(INDIRECT(""&amp;ES71&amp;ROW()-43&amp;""),数出表_Excel!$A:$A,0)-1&amp;""),
 1,
 MATCH(TRUE, ISNUMBER(--INDIRECT("数出表_Excel!"&amp;EN71&amp;MATCH(INDIRECT(""&amp;ES71&amp;ROW()-43&amp;""),数出表_Excel!$A:$A,0)-1&amp;":U"&amp;MATCH(INDIRECT(""&amp;ES71&amp;ROW()-43&amp;""),数出表_Excel!$A:$A,0)-1&amp;"")), 0)),
 ""),
INDIRECT("数出表_Excel!B"&amp;MATCH(INDIRECT(""&amp;ES71&amp;ROW()-43&amp;""),数出表_Excel!$A:$A,0)-1&amp;":U"&amp;MATCH(INDIRECT(""&amp;ES71&amp;ROW()-43&amp;""),数出表_Excel!$A:$A,0)-1&amp;""),0)+1,""))</f>
        <v>#VALUE!</v>
      </c>
      <c r="EO72" s="58" t="str" cm="1">
        <f t="array" aca="1" ref="EO72" ca="1">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</f>
        <v/>
      </c>
      <c r="EP72" s="76"/>
      <c r="EQ72" s="82" t="str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+MATCH(TRUE,INDIRECT("'数出表_Excel'!"&amp;EN71&amp;MATCH(ES29,数出表_Excel!$A:$A,0)-1&amp;":AL"&amp;MATCH(ES29,数出表_Excel!$A:$A,0)-1&amp;"")&lt;&gt;"",0))&gt;12,"",
IFERROR(
INDEX(INDIRECT("数出表_Excel!$"&amp;EN71&amp;"4:$AL4"),
 1,
MATCH(TRUE,INDIRECT("'数出表_Excel'!"&amp;EN71&amp;MATCH(ES29,数出表_Excel!$A:$A,0)-1&amp;":AL"&amp;MATCH(ES29,数出表_Excel!$A:$A,0)-1&amp;"")&lt;&gt;"",0)
),
 "")
&amp;IFERROR(
INDEX(INDIRECT("数出表_Excel!$"&amp;EN71&amp;"5:$AL5"),
 1,
MATCH(TRUE,INDIRECT("'数出表_Excel'!"&amp;EN71&amp;MATCH(ES29,数出表_Excel!$A:$A,0)-1&amp;":AL"&amp;MATCH(ES29,数出表_Excel!$A:$A,0)-1&amp;"")&lt;&gt;"",0)),
 "")),"")))</f>
        <v/>
      </c>
      <c r="ER72" s="83" t="str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92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07"/>
      <c r="EU72" s="78">
        <f t="shared" si="4"/>
        <v>119</v>
      </c>
      <c r="EV72" s="78" t="str">
        <f t="array" aca="1" ref="EV72" ca="1">INDIRECT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
&amp;MID(SUBSTITUTE(_xlfn.FORMULATEXT(EV$40),"=",""), LEN(_xlfn.TEXTJOIN("",TRUE,IF(ISERROR(MID(SUBSTITUTE(_xlfn.FORMULATEXT(EV$40),"=",""),ROW(INDIRECT("1:"&amp;LEN(SUBSTITUTE(_xlfn.FORMULATEXT(EV$40),"=","")))),1)*1),MID(SUBSTITUTE(_xlfn.FORMULATEXT(EV$40),"=",""),ROW(INDIRECT("1:"&amp;LEN(SUBSTITUTE(_xlfn.FORMULATEXT(EV$40),"=","")))),1),"")))+1, LEN(SUBSTITUTE(_xlfn.FORMULATEXT(EV$40),"=","")))+$EU72)</f>
        <v/>
      </c>
      <c r="EW72" s="78" t="str">
        <f t="array" aca="1" ref="EW72" ca="1">INDIRECT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
&amp;MID(SUBSTITUTE(_xlfn.FORMULATEXT(EW$40),"=",""), LEN(_xlfn.TEXTJOIN("",TRUE,IF(ISERROR(MID(SUBSTITUTE(_xlfn.FORMULATEXT(EW$40),"=",""),ROW(INDIRECT("1:"&amp;LEN(SUBSTITUTE(_xlfn.FORMULATEXT(EW$40),"=","")))),1)*1),MID(SUBSTITUTE(_xlfn.FORMULATEXT(EW$40),"=",""),ROW(INDIRECT("1:"&amp;LEN(SUBSTITUTE(_xlfn.FORMULATEXT(EW$40),"=","")))),1),"")))+1, LEN(SUBSTITUTE(_xlfn.FORMULATEXT(EW$40),"=","")))+$EU72)</f>
        <v/>
      </c>
      <c r="EX72" s="78" t="str">
        <f t="array" aca="1" ref="EX72" ca="1">INDIRECT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
&amp;MID(SUBSTITUTE(_xlfn.FORMULATEXT(EX$40),"=",""), LEN(_xlfn.TEXTJOIN("",TRUE,IF(ISERROR(MID(SUBSTITUTE(_xlfn.FORMULATEXT(EX$40),"=",""),ROW(INDIRECT("1:"&amp;LEN(SUBSTITUTE(_xlfn.FORMULATEXT(EX$40),"=","")))),1)*1),MID(SUBSTITUTE(_xlfn.FORMULATEXT(EX$40),"=",""),ROW(INDIRECT("1:"&amp;LEN(SUBSTITUTE(_xlfn.FORMULATEXT(EX$40),"=","")))),1),"")))+1, LEN(SUBSTITUTE(_xlfn.FORMULATEXT(EX$40),"=","")))+$EU72)</f>
        <v/>
      </c>
      <c r="EY72" s="78" t="str">
        <f t="array" aca="1" ref="EY72" ca="1">INDIRECT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
&amp;MID(SUBSTITUTE(_xlfn.FORMULATEXT(EY$40),"=",""), LEN(_xlfn.TEXTJOIN("",TRUE,IF(ISERROR(MID(SUBSTITUTE(_xlfn.FORMULATEXT(EY$40),"=",""),ROW(INDIRECT("1:"&amp;LEN(SUBSTITUTE(_xlfn.FORMULATEXT(EY$40),"=","")))),1)*1),MID(SUBSTITUTE(_xlfn.FORMULATEXT(EY$40),"=",""),ROW(INDIRECT("1:"&amp;LEN(SUBSTITUTE(_xlfn.FORMULATEXT(EY$40),"=","")))),1),"")))+1, LEN(SUBSTITUTE(_xlfn.FORMULATEXT(EY$40),"=","")))+$EU72)</f>
        <v/>
      </c>
      <c r="EZ72" s="78" t="str">
        <f t="array" aca="1" ref="EZ72" ca="1">INDIRECT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
&amp;MID(SUBSTITUTE(_xlfn.FORMULATEXT(EZ$40),"=",""), LEN(_xlfn.TEXTJOIN("",TRUE,IF(ISERROR(MID(SUBSTITUTE(_xlfn.FORMULATEXT(EZ$40),"=",""),ROW(INDIRECT("1:"&amp;LEN(SUBSTITUTE(_xlfn.FORMULATEXT(EZ$40),"=","")))),1)*1),MID(SUBSTITUTE(_xlfn.FORMULATEXT(EZ$40),"=",""),ROW(INDIRECT("1:"&amp;LEN(SUBSTITUTE(_xlfn.FORMULATEXT(EZ$40),"=","")))),1),"")))+1, LEN(SUBSTITUTE(_xlfn.FORMULATEXT(EZ$40),"=","")))+$EU72)</f>
        <v/>
      </c>
      <c r="FA72" s="78" t="str">
        <f t="array" aca="1" ref="FA72" ca="1">INDIRECT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
&amp;MID(SUBSTITUTE(_xlfn.FORMULATEXT(FA$40),"=",""), LEN(_xlfn.TEXTJOIN("",TRUE,IF(ISERROR(MID(SUBSTITUTE(_xlfn.FORMULATEXT(FA$40),"=",""),ROW(INDIRECT("1:"&amp;LEN(SUBSTITUTE(_xlfn.FORMULATEXT(FA$40),"=","")))),1)*1),MID(SUBSTITUTE(_xlfn.FORMULATEXT(FA$40),"=",""),ROW(INDIRECT("1:"&amp;LEN(SUBSTITUTE(_xlfn.FORMULATEXT(FA$40),"=","")))),1),"")))+1, LEN(SUBSTITUTE(_xlfn.FORMULATEXT(FA$40),"=","")))+$EU72)</f>
        <v/>
      </c>
      <c r="FB72" s="78" t="str">
        <f t="array" aca="1" ref="FB72" ca="1">INDIRECT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
&amp;MID(SUBSTITUTE(_xlfn.FORMULATEXT(FB$40),"=",""), LEN(_xlfn.TEXTJOIN("",TRUE,IF(ISERROR(MID(SUBSTITUTE(_xlfn.FORMULATEXT(FB$40),"=",""),ROW(INDIRECT("1:"&amp;LEN(SUBSTITUTE(_xlfn.FORMULATEXT(FB$40),"=","")))),1)*1),MID(SUBSTITUTE(_xlfn.FORMULATEXT(FB$40),"=",""),ROW(INDIRECT("1:"&amp;LEN(SUBSTITUTE(_xlfn.FORMULATEXT(FB$40),"=","")))),1),"")))+1, LEN(SUBSTITUTE(_xlfn.FORMULATEXT(FB$40),"=","")))+$EU72)</f>
        <v/>
      </c>
      <c r="FC72" s="78" t="str">
        <f t="array" aca="1" ref="FC72" ca="1">INDIRECT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
&amp;MID(SUBSTITUTE(_xlfn.FORMULATEXT(FC$40),"=",""), LEN(_xlfn.TEXTJOIN("",TRUE,IF(ISERROR(MID(SUBSTITUTE(_xlfn.FORMULATEXT(FC$40),"=",""),ROW(INDIRECT("1:"&amp;LEN(SUBSTITUTE(_xlfn.FORMULATEXT(FC$40),"=","")))),1)*1),MID(SUBSTITUTE(_xlfn.FORMULATEXT(FC$40),"=",""),ROW(INDIRECT("1:"&amp;LEN(SUBSTITUTE(_xlfn.FORMULATEXT(FC$40),"=","")))),1),"")))+1, LEN(SUBSTITUTE(_xlfn.FORMULATEXT(FC$40),"=","")))+$EU72)</f>
        <v/>
      </c>
      <c r="FD72" s="78" t="str">
        <f t="array" aca="1" ref="FD72" ca="1">INDIRECT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
&amp;MID(SUBSTITUTE(_xlfn.FORMULATEXT(FD$40),"=",""), LEN(_xlfn.TEXTJOIN("",TRUE,IF(ISERROR(MID(SUBSTITUTE(_xlfn.FORMULATEXT(FD$40),"=",""),ROW(INDIRECT("1:"&amp;LEN(SUBSTITUTE(_xlfn.FORMULATEXT(FD$40),"=","")))),1)*1),MID(SUBSTITUTE(_xlfn.FORMULATEXT(FD$40),"=",""),ROW(INDIRECT("1:"&amp;LEN(SUBSTITUTE(_xlfn.FORMULATEXT(FD$40),"=","")))),1),"")))+1, LEN(SUBSTITUTE(_xlfn.FORMULATEXT(FD$40),"=","")))+$EU72)</f>
        <v/>
      </c>
      <c r="FE72" s="78" t="str">
        <f t="array" aca="1" ref="FE72" ca="1">INDIRECT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
&amp;MID(SUBSTITUTE(_xlfn.FORMULATEXT(FE$40),"=",""), LEN(_xlfn.TEXTJOIN("",TRUE,IF(ISERROR(MID(SUBSTITUTE(_xlfn.FORMULATEXT(FE$40),"=",""),ROW(INDIRECT("1:"&amp;LEN(SUBSTITUTE(_xlfn.FORMULATEXT(FE$40),"=","")))),1)*1),MID(SUBSTITUTE(_xlfn.FORMULATEXT(FE$40),"=",""),ROW(INDIRECT("1:"&amp;LEN(SUBSTITUTE(_xlfn.FORMULATEXT(FE$40),"=","")))),1),"")))+1, LEN(SUBSTITUTE(_xlfn.FORMULATEXT(FE$40),"=","")))+$EU72)</f>
        <v/>
      </c>
      <c r="FF72" s="78" t="str">
        <f t="array" aca="1" ref="FF72" ca="1">INDIRECT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
&amp;MID(SUBSTITUTE(_xlfn.FORMULATEXT(FF$40),"=",""), LEN(_xlfn.TEXTJOIN("",TRUE,IF(ISERROR(MID(SUBSTITUTE(_xlfn.FORMULATEXT(FF$40),"=",""),ROW(INDIRECT("1:"&amp;LEN(SUBSTITUTE(_xlfn.FORMULATEXT(FF$40),"=","")))),1)*1),MID(SUBSTITUTE(_xlfn.FORMULATEXT(FF$40),"=",""),ROW(INDIRECT("1:"&amp;LEN(SUBSTITUTE(_xlfn.FORMULATEXT(FF$40),"=","")))),1),"")))+1, LEN(SUBSTITUTE(_xlfn.FORMULATEXT(FF$40),"=","")))+$EU72)</f>
        <v/>
      </c>
      <c r="FG72" s="78">
        <f t="shared" ca="1" si="6"/>
        <v>0</v>
      </c>
      <c r="FH72" s="78" t="b">
        <f t="array" aca="1" ref="FH72" ca="1">SUMPRODUCT((LEN(EV72:FF72)&gt;0)*1)&gt;0</f>
        <v>0</v>
      </c>
      <c r="FI72" s="78" t="str">
        <f t="array" aca="1" ref="FI72" ca="1">IFERROR(SMALL(IF(FG$1:FG$228&lt;&gt;0,FG$1:FG$228),ROW(A72)),"")</f>
        <v/>
      </c>
      <c r="FJ72" s="78" t="str">
        <f t="array" aca="1" ref="FJ72" ca="1">IF($FI72&lt;&gt;"",
INDIRECT(""&amp;IF(COLUMN(EV107)&lt;=26,CHAR(COLUMN(EV107)+64),CHAR(INT((COLUMN(EV107)-1)/26)+64)&amp;CHAR(MOD(COLUMN(EV107)-1,26)+65))&amp;$FI72&amp;""),"")</f>
        <v/>
      </c>
      <c r="FK72" s="78" t="str">
        <f t="array" aca="1" ref="FK72" ca="1">IF($FI72&lt;&gt;"",
INDIRECT(""&amp;IF(COLUMN(EW107)&lt;=26,CHAR(COLUMN(EW107)+64),CHAR(INT((COLUMN(EW107)-1)/26)+64)&amp;CHAR(MOD(COLUMN(EW107)-1,26)+65))&amp;$FI72&amp;""),"")</f>
        <v/>
      </c>
      <c r="FL72" s="78" t="str">
        <f t="array" aca="1" ref="FL72" ca="1">IF($FI72&lt;&gt;"",
INDIRECT(""&amp;IF(COLUMN(EX107)&lt;=26,CHAR(COLUMN(EX107)+64),CHAR(INT((COLUMN(EX107)-1)/26)+64)&amp;CHAR(MOD(COLUMN(EX107)-1,26)+65))&amp;$FI72&amp;""),"")</f>
        <v/>
      </c>
      <c r="FM72" s="78" t="str">
        <f t="array" aca="1" ref="FM72" ca="1">IF($FI72&lt;&gt;"",
IF(FL72="",
IF(INDIRECT("EY"&amp;$FI72&amp;"")&lt;&gt;"",
INDIRECT("EY"&amp;$FI72&amp;"")&amp;"箱"
&amp;INDIRECT("EZ"&amp;$FI72&amp;""),""),""),"")</f>
        <v/>
      </c>
      <c r="FN72" s="78" t="str">
        <f t="array" aca="1" ref="FN72" ca="1">IF($FI72&lt;&gt;"",
INDIRECT(""&amp;IF(COLUMN(FA107)&lt;=26,CHAR(COLUMN(FA107)+64),CHAR(INT((COLUMN(FA107)-1)/26)+64)&amp;CHAR(MOD(COLUMN(FA107)-1,26)+65))&amp;$FI72&amp;""),"")</f>
        <v/>
      </c>
      <c r="FO72" s="78" t="str">
        <f t="array" aca="1" ref="FO72" ca="1">IF($FI72&lt;&gt;"",
INDIRECT(""&amp;IF(COLUMN(FB107)&lt;=26,CHAR(COLUMN(FB107)+64),CHAR(INT((COLUMN(FB107)-1)/26)+64)&amp;CHAR(MOD(COLUMN(FB107)-1,26)+65))&amp;$FI72&amp;""),"")</f>
        <v/>
      </c>
      <c r="FP72" s="78" t="str">
        <f t="array" aca="1" ref="FP72" ca="1">IF($FI72&lt;&gt;"",
INDIRECT(""&amp;IF(COLUMN(FC107)&lt;=26,CHAR(COLUMN(FC107)+64),CHAR(INT((COLUMN(FC107)-1)/26)+64)&amp;CHAR(MOD(COLUMN(FC107)-1,26)+65))&amp;$FI72&amp;""),"")</f>
        <v/>
      </c>
      <c r="FQ72" s="78" t="str">
        <f t="array" aca="1" ref="FQ72" ca="1">IF($FI72&lt;&gt;"",
INDIRECT(""&amp;IF(COLUMN(FD107)&lt;=26,CHAR(COLUMN(FD107)+64),CHAR(INT((COLUMN(FD107)-1)/26)+64)&amp;CHAR(MOD(COLUMN(FD107)-1,26)+65))&amp;$FI72&amp;""),"")</f>
        <v/>
      </c>
      <c r="FR72" s="78" t="str">
        <f t="array" aca="1" ref="FR72" ca="1">IF($FI72&lt;&gt;"",
INDIRECT(""&amp;IF(COLUMN(FE107)&lt;=26,CHAR(COLUMN(FE107)+64),CHAR(INT((COLUMN(FE107)-1)/26)+64)&amp;CHAR(MOD(COLUMN(FE107)-1,26)+65))&amp;$FI72&amp;""),"")</f>
        <v/>
      </c>
      <c r="FS72" s="78" t="str">
        <f t="array" aca="1" ref="FS72" ca="1">IF($FI72&lt;&gt;"",
INDIRECT(""&amp;IF(COLUMN(FF107)&lt;=26,CHAR(COLUMN(FF107)+64),CHAR(INT((COLUMN(FF107)-1)/26)+64)&amp;CHAR(MOD(COLUMN(FF107)-1,26)+65))&amp;$FI72&amp;""),"")</f>
        <v/>
      </c>
    </row>
    <row r="73" spans="1:175" s="78" customFormat="1" ht="22.2" customHeight="1" x14ac:dyDescent="0.55000000000000004">
      <c r="A73" s="76"/>
      <c r="B73" s="84" t="str" cm="1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249" t="str">
        <f ca="1">IF(C74&lt;&gt;"","園児","")</f>
        <v/>
      </c>
      <c r="D73" s="249"/>
      <c r="E73" s="251" t="str">
        <f ca="1">IF(C74&lt;&gt;"","先生","")</f>
        <v/>
      </c>
      <c r="F73" s="251"/>
      <c r="G73" s="97" cm="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76"/>
      <c r="I73" s="84" t="str" cm="1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249" t="str">
        <f ca="1">IF(J74&lt;&gt;"","園児","")</f>
        <v/>
      </c>
      <c r="K73" s="249"/>
      <c r="L73" s="251" t="str">
        <f ca="1">IF(J74&lt;&gt;"","先生","")</f>
        <v/>
      </c>
      <c r="M73" s="251"/>
      <c r="N73" s="97" cm="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76"/>
      <c r="P73" s="76"/>
      <c r="Q73" s="84" t="str" cm="1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249" t="str">
        <f ca="1">IF(R74&lt;&gt;"","園児","")</f>
        <v/>
      </c>
      <c r="S73" s="249"/>
      <c r="T73" s="251" t="str">
        <f ca="1">IF(R74&lt;&gt;"","先生","")</f>
        <v/>
      </c>
      <c r="U73" s="251"/>
      <c r="V73" s="97" cm="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76"/>
      <c r="X73" s="84" t="str" cm="1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249" t="str">
        <f ca="1">IF(Y74&lt;&gt;"","園児","")</f>
        <v/>
      </c>
      <c r="Z73" s="249"/>
      <c r="AA73" s="251" t="str">
        <f ca="1">IF(Y74&lt;&gt;"","先生","")</f>
        <v/>
      </c>
      <c r="AB73" s="251"/>
      <c r="AC73" s="97" cm="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76"/>
      <c r="AE73" s="76"/>
      <c r="AF73" s="84" t="str" cm="1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249" t="str">
        <f ca="1">IF(AG74&lt;&gt;"","園児","")</f>
        <v/>
      </c>
      <c r="AH73" s="249"/>
      <c r="AI73" s="251" t="str">
        <f ca="1">IF(AG74&lt;&gt;"","先生","")</f>
        <v/>
      </c>
      <c r="AJ73" s="251"/>
      <c r="AK73" s="97" cm="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76"/>
      <c r="AM73" s="84" t="str" cm="1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249" t="str">
        <f ca="1">IF(AN74&lt;&gt;"","園児","")</f>
        <v/>
      </c>
      <c r="AO73" s="249"/>
      <c r="AP73" s="251" t="str">
        <f ca="1">IF(AN74&lt;&gt;"","先生","")</f>
        <v/>
      </c>
      <c r="AQ73" s="251"/>
      <c r="AR73" s="97" cm="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76"/>
      <c r="AT73" s="76"/>
      <c r="AU73" s="84" t="str" cm="1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249" t="str">
        <f ca="1">IF(AV74&lt;&gt;"","園児","")</f>
        <v/>
      </c>
      <c r="AW73" s="249"/>
      <c r="AX73" s="251" t="str">
        <f ca="1">IF(AV74&lt;&gt;"","先生","")</f>
        <v/>
      </c>
      <c r="AY73" s="251"/>
      <c r="AZ73" s="97" cm="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76"/>
      <c r="BB73" s="84" t="str" cm="1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249" t="str">
        <f ca="1">IF(BC74&lt;&gt;"","園児","")</f>
        <v/>
      </c>
      <c r="BD73" s="249"/>
      <c r="BE73" s="251" t="str">
        <f ca="1">IF(BC74&lt;&gt;"","先生","")</f>
        <v/>
      </c>
      <c r="BF73" s="251"/>
      <c r="BG73" s="97" cm="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76"/>
      <c r="BI73" s="76"/>
      <c r="BJ73" s="84" t="str" cm="1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249" t="str">
        <f ca="1">IF(BK74&lt;&gt;"","園児","")</f>
        <v/>
      </c>
      <c r="BL73" s="249"/>
      <c r="BM73" s="251" t="str">
        <f ca="1">IF(BK74&lt;&gt;"","先生","")</f>
        <v/>
      </c>
      <c r="BN73" s="251"/>
      <c r="BO73" s="97" cm="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76"/>
      <c r="BQ73" s="84" t="str" cm="1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249" t="str">
        <f ca="1">IF(BR74&lt;&gt;"","園児","")</f>
        <v/>
      </c>
      <c r="BS73" s="249"/>
      <c r="BT73" s="251" t="str">
        <f ca="1">IF(BR74&lt;&gt;"","先生","")</f>
        <v/>
      </c>
      <c r="BU73" s="251"/>
      <c r="BV73" s="97" cm="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76"/>
      <c r="BX73" s="76"/>
      <c r="BY73" s="84" t="str" cm="1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249" t="str">
        <f ca="1">IF(BZ74&lt;&gt;"","園児","")</f>
        <v/>
      </c>
      <c r="CA73" s="249"/>
      <c r="CB73" s="251" t="str">
        <f ca="1">IF(BZ74&lt;&gt;"","先生","")</f>
        <v/>
      </c>
      <c r="CC73" s="251"/>
      <c r="CD73" s="97" cm="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76"/>
      <c r="CF73" s="84" t="str" cm="1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249" t="str">
        <f ca="1">IF(CG74&lt;&gt;"","園児","")</f>
        <v/>
      </c>
      <c r="CH73" s="249"/>
      <c r="CI73" s="251" t="str">
        <f ca="1">IF(CG74&lt;&gt;"","先生","")</f>
        <v/>
      </c>
      <c r="CJ73" s="251"/>
      <c r="CK73" s="97" cm="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76"/>
      <c r="CM73" s="76"/>
      <c r="CN73" s="84" t="str" cm="1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249" t="str">
        <f ca="1">IF(CO74&lt;&gt;"","園児","")</f>
        <v/>
      </c>
      <c r="CP73" s="249"/>
      <c r="CQ73" s="251" t="str">
        <f ca="1">IF(CO74&lt;&gt;"","先生","")</f>
        <v/>
      </c>
      <c r="CR73" s="251"/>
      <c r="CS73" s="97" cm="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76"/>
      <c r="CU73" s="84" t="str" cm="1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249" t="str">
        <f ca="1">IF(CV74&lt;&gt;"","園児","")</f>
        <v/>
      </c>
      <c r="CW73" s="249"/>
      <c r="CX73" s="251" t="str">
        <f ca="1">IF(CV74&lt;&gt;"","先生","")</f>
        <v/>
      </c>
      <c r="CY73" s="251"/>
      <c r="CZ73" s="97" cm="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76"/>
      <c r="DB73" s="76"/>
      <c r="DC73" s="84" t="str" cm="1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249" t="str">
        <f ca="1">IF(DD74&lt;&gt;"","園児","")</f>
        <v/>
      </c>
      <c r="DE73" s="249"/>
      <c r="DF73" s="251" t="str">
        <f ca="1">IF(DD74&lt;&gt;"","先生","")</f>
        <v/>
      </c>
      <c r="DG73" s="251"/>
      <c r="DH73" s="97" cm="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76"/>
      <c r="DJ73" s="84" t="str" cm="1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249" t="str">
        <f ca="1">IF(DK74&lt;&gt;"","園児","")</f>
        <v/>
      </c>
      <c r="DL73" s="249"/>
      <c r="DM73" s="251" t="str">
        <f ca="1">IF(DK74&lt;&gt;"","先生","")</f>
        <v/>
      </c>
      <c r="DN73" s="251"/>
      <c r="DO73" s="97" cm="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76"/>
      <c r="DQ73" s="76"/>
      <c r="DR73" s="84" t="str" cm="1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249" t="str">
        <f ca="1">IF(DS74&lt;&gt;"","園児","")</f>
        <v/>
      </c>
      <c r="DT73" s="249"/>
      <c r="DU73" s="251" t="str">
        <f ca="1">IF(DS74&lt;&gt;"","先生","")</f>
        <v/>
      </c>
      <c r="DV73" s="251"/>
      <c r="DW73" s="97" cm="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76"/>
      <c r="DY73" s="84" t="str" cm="1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249" t="str">
        <f ca="1">IF(DZ74&lt;&gt;"","園児","")</f>
        <v/>
      </c>
      <c r="EA73" s="249"/>
      <c r="EB73" s="251" t="str">
        <f ca="1">IF(DZ74&lt;&gt;"","先生","")</f>
        <v/>
      </c>
      <c r="EC73" s="251"/>
      <c r="ED73" s="97" cm="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76"/>
      <c r="EF73" s="76"/>
      <c r="EG73" s="84" t="str" cm="1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249" t="str">
        <f ca="1">IF(EH74&lt;&gt;"","園児","")</f>
        <v/>
      </c>
      <c r="EI73" s="249"/>
      <c r="EJ73" s="251" t="str">
        <f ca="1">IF(EH74&lt;&gt;"","先生","")</f>
        <v/>
      </c>
      <c r="EK73" s="251"/>
      <c r="EL73" s="97" cm="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76"/>
      <c r="EN73" s="84" t="str" cm="1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249" t="str">
        <f ca="1">IF(EO74&lt;&gt;"","園児","")</f>
        <v/>
      </c>
      <c r="EP73" s="249"/>
      <c r="EQ73" s="251" t="str">
        <f ca="1">IF(EO74&lt;&gt;"","先生","")</f>
        <v/>
      </c>
      <c r="ER73" s="251"/>
      <c r="ES73" s="97" cm="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06"/>
      <c r="EV73" s="79" t="str">
        <f ca="1">AG1</f>
        <v/>
      </c>
      <c r="EW73" s="79" t="str">
        <f ca="1">AG2</f>
        <v/>
      </c>
      <c r="EX73" s="79" t="str">
        <f ca="1">AI2</f>
        <v/>
      </c>
      <c r="EY73" s="80" t="str">
        <f ca="1">AJ2</f>
        <v/>
      </c>
      <c r="EZ73" s="80" t="str">
        <f ca="1">AK2</f>
        <v/>
      </c>
      <c r="FA73" s="79" t="e">
        <f ca="1">AG4</f>
        <v>#VALUE!</v>
      </c>
      <c r="FB73" s="79" t="e">
        <f ca="1">AI4</f>
        <v>#VALUE!</v>
      </c>
      <c r="FC73" s="79" t="str">
        <f ca="1">AG6</f>
        <v/>
      </c>
      <c r="FD73" s="79" t="e">
        <f ca="1">AF7</f>
        <v>#VALUE!</v>
      </c>
      <c r="FE73" s="79" t="str">
        <f ca="1">AH7</f>
        <v/>
      </c>
      <c r="FF73" s="79" t="e">
        <f ca="1">AJ7</f>
        <v>#VALUE!</v>
      </c>
      <c r="FG73" s="78">
        <f t="shared" ca="1" si="6"/>
        <v>0</v>
      </c>
      <c r="FH73" s="78" t="e">
        <f t="array" aca="1" ref="FH73" ca="1">SUMPRODUCT((LEN(EV73:FF73)&gt;0)*1)&gt;0</f>
        <v>#VALUE!</v>
      </c>
      <c r="FI73" s="78" t="str">
        <f t="array" aca="1" ref="FI73" ca="1">IFERROR(SMALL(IF(FG$1:FG$228&lt;&gt;0,FG$1:FG$228),ROW(A73)),"")</f>
        <v/>
      </c>
      <c r="FJ73" s="78" t="str">
        <f t="array" aca="1" ref="FJ73" ca="1">IF($FI73&lt;&gt;"",
INDIRECT(""&amp;IF(COLUMN(EV109)&lt;=26,CHAR(COLUMN(EV109)+64),CHAR(INT((COLUMN(EV109)-1)/26)+64)&amp;CHAR(MOD(COLUMN(EV109)-1,26)+65))&amp;$FI73&amp;""),"")</f>
        <v/>
      </c>
      <c r="FK73" s="78" t="str">
        <f t="array" aca="1" ref="FK73" ca="1">IF($FI73&lt;&gt;"",
INDIRECT(""&amp;IF(COLUMN(EW109)&lt;=26,CHAR(COLUMN(EW109)+64),CHAR(INT((COLUMN(EW109)-1)/26)+64)&amp;CHAR(MOD(COLUMN(EW109)-1,26)+65))&amp;$FI73&amp;""),"")</f>
        <v/>
      </c>
      <c r="FL73" s="78" t="str">
        <f t="array" aca="1" ref="FL73" ca="1">IF($FI73&lt;&gt;"",
INDIRECT(""&amp;IF(COLUMN(EX109)&lt;=26,CHAR(COLUMN(EX109)+64),CHAR(INT((COLUMN(EX109)-1)/26)+64)&amp;CHAR(MOD(COLUMN(EX109)-1,26)+65))&amp;$FI73&amp;""),"")</f>
        <v/>
      </c>
      <c r="FM73" s="78" t="str">
        <f t="array" aca="1" ref="FM73" ca="1">IF($FI73&lt;&gt;"",
IF(FL73="",
IF(INDIRECT("EY"&amp;$FI73&amp;"")&lt;&gt;"",
INDIRECT("EY"&amp;$FI73&amp;"")&amp;"箱"
&amp;INDIRECT("EZ"&amp;$FI73&amp;""),""),""),"")</f>
        <v/>
      </c>
      <c r="FN73" s="78" t="str">
        <f t="array" aca="1" ref="FN73" ca="1">IF($FI73&lt;&gt;"",
INDIRECT(""&amp;IF(COLUMN(FA109)&lt;=26,CHAR(COLUMN(FA109)+64),CHAR(INT((COLUMN(FA109)-1)/26)+64)&amp;CHAR(MOD(COLUMN(FA109)-1,26)+65))&amp;$FI73&amp;""),"")</f>
        <v/>
      </c>
      <c r="FO73" s="78" t="str">
        <f t="array" aca="1" ref="FO73" ca="1">IF($FI73&lt;&gt;"",
INDIRECT(""&amp;IF(COLUMN(FB109)&lt;=26,CHAR(COLUMN(FB109)+64),CHAR(INT((COLUMN(FB109)-1)/26)+64)&amp;CHAR(MOD(COLUMN(FB109)-1,26)+65))&amp;$FI73&amp;""),"")</f>
        <v/>
      </c>
      <c r="FP73" s="78" t="str">
        <f t="array" aca="1" ref="FP73" ca="1">IF($FI73&lt;&gt;"",
INDIRECT(""&amp;IF(COLUMN(FC109)&lt;=26,CHAR(COLUMN(FC109)+64),CHAR(INT((COLUMN(FC109)-1)/26)+64)&amp;CHAR(MOD(COLUMN(FC109)-1,26)+65))&amp;$FI73&amp;""),"")</f>
        <v/>
      </c>
      <c r="FQ73" s="78" t="str">
        <f t="array" aca="1" ref="FQ73" ca="1">IF($FI73&lt;&gt;"",
INDIRECT(""&amp;IF(COLUMN(FD109)&lt;=26,CHAR(COLUMN(FD109)+64),CHAR(INT((COLUMN(FD109)-1)/26)+64)&amp;CHAR(MOD(COLUMN(FD109)-1,26)+65))&amp;$FI73&amp;""),"")</f>
        <v/>
      </c>
      <c r="FR73" s="78" t="str">
        <f t="array" aca="1" ref="FR73" ca="1">IF($FI73&lt;&gt;"",
INDIRECT(""&amp;IF(COLUMN(FE109)&lt;=26,CHAR(COLUMN(FE109)+64),CHAR(INT((COLUMN(FE109)-1)/26)+64)&amp;CHAR(MOD(COLUMN(FE109)-1,26)+65))&amp;$FI73&amp;""),"")</f>
        <v/>
      </c>
      <c r="FS73" s="78" t="str">
        <f t="array" aca="1" ref="FS73" ca="1">IF($FI73&lt;&gt;"",
INDIRECT(""&amp;IF(COLUMN(FF109)&lt;=26,CHAR(COLUMN(FF109)+64),CHAR(INT((COLUMN(FF109)-1)/26)+64)&amp;CHAR(MOD(COLUMN(FF109)-1,26)+65))&amp;$FI73&amp;""),"")</f>
        <v/>
      </c>
    </row>
    <row r="74" spans="1:175" ht="18" customHeight="1" x14ac:dyDescent="0.45">
      <c r="B74" s="86"/>
      <c r="C74" s="259" t="str" cm="1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259"/>
      <c r="E74" s="258" t="str" cm="1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58"/>
      <c r="G74" s="97" t="e" cm="1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INDEX(INDIRECT("'数出表_Excel（アレルギー入力）'!"&amp;B73&amp;MATCH(IG29,'数出表_Excel（アレルギー入力）'!$A:$A,0)+1&amp;":"&amp;G75&amp;MATCH(G29,'数出表_Excel（アレルギー入力）'!$A:$A,0)+1&amp;""),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I74" s="86"/>
      <c r="J74" s="259" t="str" cm="1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259"/>
      <c r="L74" s="258" t="str" cm="1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58"/>
      <c r="N74" s="97" t="e" cm="1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INDEX(INDIRECT("'数出表_Excel（アレルギー入力）'!"&amp;I73&amp;MATCH(IN29,'数出表_Excel（アレルギー入力）'!$A:$A,0)+1&amp;":"&amp;N75&amp;MATCH(N29,'数出表_Excel（アレルギー入力）'!$A:$A,0)+1&amp;""),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Q74" s="86"/>
      <c r="R74" s="259" t="str" cm="1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59"/>
      <c r="T74" s="258" t="str" cm="1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58"/>
      <c r="V74" s="97" t="e" cm="1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INDEX(INDIRECT("'数出表_Excel（アレルギー入力）'!"&amp;Q73&amp;MATCH(IV29,'数出表_Excel（アレルギー入力）'!$A:$A,0)+1&amp;":"&amp;V75&amp;MATCH(V29,'数出表_Excel（アレルギー入力）'!$A:$A,0)+1&amp;""),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X74" s="86"/>
      <c r="Y74" s="259" t="str" cm="1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59"/>
      <c r="AA74" s="258" t="str" cm="1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58"/>
      <c r="AC74" s="97" t="e" cm="1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INDEX(INDIRECT("'数出表_Excel（アレルギー入力）'!"&amp;X73&amp;MATCH(JC29,'数出表_Excel（アレルギー入力）'!$A:$A,0)+1&amp;":"&amp;AC75&amp;MATCH(AC29,'数出表_Excel（アレルギー入力）'!$A:$A,0)+1&amp;""),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F74" s="86"/>
      <c r="AG74" s="259" t="str" cm="1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59"/>
      <c r="AI74" s="258" t="str" cm="1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58"/>
      <c r="AK74" s="97" t="e" cm="1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INDEX(INDIRECT("'数出表_Excel（アレルギー入力）'!"&amp;AF73&amp;MATCH(JK29,'数出表_Excel（アレルギー入力）'!$A:$A,0)+1&amp;":"&amp;AK75&amp;MATCH(AK29,'数出表_Excel（アレルギー入力）'!$A:$A,0)+1&amp;""),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M74" s="86"/>
      <c r="AN74" s="259" t="str" cm="1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59"/>
      <c r="AP74" s="258" t="str" cm="1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58"/>
      <c r="AR74" s="97" t="e" cm="1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INDEX(INDIRECT("'数出表_Excel（アレルギー入力）'!"&amp;AM73&amp;MATCH(JR29,'数出表_Excel（アレルギー入力）'!$A:$A,0)+1&amp;":"&amp;AR75&amp;MATCH(AR29,'数出表_Excel（アレルギー入力）'!$A:$A,0)+1&amp;""),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U74" s="86"/>
      <c r="AV74" s="259" t="str" cm="1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59"/>
      <c r="AX74" s="258" t="str" cm="1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58"/>
      <c r="AZ74" s="97" t="e" cm="1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INDEX(INDIRECT("'数出表_Excel（アレルギー入力）'!"&amp;AU73&amp;MATCH(JZ29,'数出表_Excel（アレルギー入力）'!$A:$A,0)+1&amp;":"&amp;AZ75&amp;MATCH(AZ29,'数出表_Excel（アレルギー入力）'!$A:$A,0)+1&amp;""),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B74" s="86"/>
      <c r="BC74" s="259" t="str" cm="1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59"/>
      <c r="BE74" s="258" t="str" cm="1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58"/>
      <c r="BG74" s="97" t="e" cm="1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INDEX(INDIRECT("'数出表_Excel（アレルギー入力）'!"&amp;BB73&amp;MATCH(KG29,'数出表_Excel（アレルギー入力）'!$A:$A,0)+1&amp;":"&amp;BG75&amp;MATCH(BG29,'数出表_Excel（アレルギー入力）'!$A:$A,0)+1&amp;""),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J74" s="86"/>
      <c r="BK74" s="259" t="str" cm="1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59"/>
      <c r="BM74" s="258" t="str" cm="1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58"/>
      <c r="BO74" s="97" t="e" cm="1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INDEX(INDIRECT("'数出表_Excel（アレルギー入力）'!"&amp;BJ73&amp;MATCH(KO29,'数出表_Excel（アレルギー入力）'!$A:$A,0)+1&amp;":"&amp;BO75&amp;MATCH(BO29,'数出表_Excel（アレルギー入力）'!$A:$A,0)+1&amp;""),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Q74" s="86"/>
      <c r="BR74" s="259" t="str" cm="1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59"/>
      <c r="BT74" s="258" t="str" cm="1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58"/>
      <c r="BV74" s="97" t="e" cm="1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INDEX(INDIRECT("'数出表_Excel（アレルギー入力）'!"&amp;BQ73&amp;MATCH(KV29,'数出表_Excel（アレルギー入力）'!$A:$A,0)+1&amp;":"&amp;BV75&amp;MATCH(BV29,'数出表_Excel（アレルギー入力）'!$A:$A,0)+1&amp;""),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Y74" s="86"/>
      <c r="BZ74" s="259" t="str" cm="1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59"/>
      <c r="CB74" s="258" t="str" cm="1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58"/>
      <c r="CD74" s="97" t="e" cm="1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INDEX(INDIRECT("'数出表_Excel（アレルギー入力）'!"&amp;BY73&amp;MATCH(LD29,'数出表_Excel（アレルギー入力）'!$A:$A,0)+1&amp;":"&amp;CD75&amp;MATCH(CD29,'数出表_Excel（アレルギー入力）'!$A:$A,0)+1&amp;""),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F74" s="86"/>
      <c r="CG74" s="259" t="str" cm="1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59"/>
      <c r="CI74" s="258" t="str" cm="1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58"/>
      <c r="CK74" s="97" t="e" cm="1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INDEX(INDIRECT("'数出表_Excel（アレルギー入力）'!"&amp;CF73&amp;MATCH(LK29,'数出表_Excel（アレルギー入力）'!$A:$A,0)+1&amp;":"&amp;CK75&amp;MATCH(CK29,'数出表_Excel（アレルギー入力）'!$A:$A,0)+1&amp;""),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N74" s="86"/>
      <c r="CO74" s="259" t="str" cm="1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59"/>
      <c r="CQ74" s="258" t="str" cm="1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58"/>
      <c r="CS74" s="97" t="e" cm="1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INDEX(INDIRECT("'数出表_Excel（アレルギー入力）'!"&amp;CN73&amp;MATCH(LS29,'数出表_Excel（アレルギー入力）'!$A:$A,0)+1&amp;":"&amp;CS75&amp;MATCH(CS29,'数出表_Excel（アレルギー入力）'!$A:$A,0)+1&amp;""),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U74" s="86"/>
      <c r="CV74" s="259" t="str" cm="1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59"/>
      <c r="CX74" s="258" t="str" cm="1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58"/>
      <c r="CZ74" s="97" t="e" cm="1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INDEX(INDIRECT("'数出表_Excel（アレルギー入力）'!"&amp;CU73&amp;MATCH(LZ29,'数出表_Excel（アレルギー入力）'!$A:$A,0)+1&amp;":"&amp;CZ75&amp;MATCH(CZ29,'数出表_Excel（アレルギー入力）'!$A:$A,0)+1&amp;""),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C74" s="86"/>
      <c r="DD74" s="259" t="str" cm="1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59"/>
      <c r="DF74" s="258" t="str" cm="1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58"/>
      <c r="DH74" s="97" t="e" cm="1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INDEX(INDIRECT("'数出表_Excel（アレルギー入力）'!"&amp;DC73&amp;MATCH(MH29,'数出表_Excel（アレルギー入力）'!$A:$A,0)+1&amp;":"&amp;DH75&amp;MATCH(DH29,'数出表_Excel（アレルギー入力）'!$A:$A,0)+1&amp;""),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J74" s="86"/>
      <c r="DK74" s="259" t="str" cm="1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59"/>
      <c r="DM74" s="258" t="str" cm="1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58"/>
      <c r="DO74" s="97" t="e" cm="1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INDEX(INDIRECT("'数出表_Excel（アレルギー入力）'!"&amp;DJ73&amp;MATCH(MO29,'数出表_Excel（アレルギー入力）'!$A:$A,0)+1&amp;":"&amp;DO75&amp;MATCH(DO29,'数出表_Excel（アレルギー入力）'!$A:$A,0)+1&amp;""),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R74" s="86"/>
      <c r="DS74" s="259" t="str" cm="1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59"/>
      <c r="DU74" s="258" t="str" cm="1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58"/>
      <c r="DW74" s="97" t="e" cm="1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INDEX(INDIRECT("'数出表_Excel（アレルギー入力）'!"&amp;DR73&amp;MATCH(MW29,'数出表_Excel（アレルギー入力）'!$A:$A,0)+1&amp;":"&amp;DW75&amp;MATCH(DW29,'数出表_Excel（アレルギー入力）'!$A:$A,0)+1&amp;""),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Y74" s="86"/>
      <c r="DZ74" s="259" t="str" cm="1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59"/>
      <c r="EB74" s="258" t="str" cm="1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58"/>
      <c r="ED74" s="97" t="e" cm="1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INDEX(INDIRECT("'数出表_Excel（アレルギー入力）'!"&amp;DY73&amp;MATCH(ND29,'数出表_Excel（アレルギー入力）'!$A:$A,0)+1&amp;":"&amp;ED75&amp;MATCH(ED29,'数出表_Excel（アレルギー入力）'!$A:$A,0)+1&amp;""),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G74" s="86"/>
      <c r="EH74" s="259" t="str" cm="1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259"/>
      <c r="EJ74" s="258" t="str" cm="1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58"/>
      <c r="EL74" s="97" t="e" cm="1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INDEX(INDIRECT("'数出表_Excel（アレルギー入力）'!"&amp;EG73&amp;MATCH(NL29,'数出表_Excel（アレルギー入力）'!$A:$A,0)+1&amp;":"&amp;EL75&amp;MATCH(EL29,'数出表_Excel（アレルギー入力）'!$A:$A,0)+1&amp;""),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N74" s="86"/>
      <c r="EO74" s="259" t="str" cm="1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259"/>
      <c r="EQ74" s="258" t="str" cm="1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58"/>
      <c r="ES74" s="97" t="e" cm="1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INDEX(INDIRECT("'数出表_Excel（アレルギー入力）'!"&amp;EN73&amp;MATCH(NS29,'数出表_Excel（アレルギー入力）'!$A:$A,0)+1&amp;":"&amp;ES75&amp;MATCH(ES29,'数出表_Excel（アレルギー入力）'!$A:$A,0)+1&amp;""),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06"/>
      <c r="EU74" s="78">
        <v>42</v>
      </c>
      <c r="EV74" s="78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78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78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78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78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78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78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78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78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78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78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78">
        <f t="shared" ca="1" si="6"/>
        <v>0</v>
      </c>
      <c r="FH74" s="78" t="b">
        <f t="array" aca="1" ref="FH74" ca="1">SUMPRODUCT((LEN(EV74:FF74)&gt;0)*1)&gt;0</f>
        <v>0</v>
      </c>
      <c r="FI74" s="78" t="str">
        <f t="array" aca="1" ref="FI74" ca="1">IFERROR(SMALL(IF(FG$1:FG$228&lt;&gt;0,FG$1:FG$228),ROW(A74)),"")</f>
        <v/>
      </c>
      <c r="FJ74" s="78" t="str">
        <f t="array" aca="1" ref="FJ74" ca="1">IF($FI74&lt;&gt;"",
INDIRECT(""&amp;IF(COLUMN(EV110)&lt;=26,CHAR(COLUMN(EV110)+64),CHAR(INT((COLUMN(EV110)-1)/26)+64)&amp;CHAR(MOD(COLUMN(EV110)-1,26)+65))&amp;$FI74&amp;""),"")</f>
        <v/>
      </c>
      <c r="FK74" s="78" t="str">
        <f t="array" aca="1" ref="FK74" ca="1">IF($FI74&lt;&gt;"",
INDIRECT(""&amp;IF(COLUMN(EW110)&lt;=26,CHAR(COLUMN(EW110)+64),CHAR(INT((COLUMN(EW110)-1)/26)+64)&amp;CHAR(MOD(COLUMN(EW110)-1,26)+65))&amp;$FI74&amp;""),"")</f>
        <v/>
      </c>
      <c r="FL74" s="78" t="str">
        <f t="array" aca="1" ref="FL74" ca="1">IF($FI74&lt;&gt;"",
INDIRECT(""&amp;IF(COLUMN(EX110)&lt;=26,CHAR(COLUMN(EX110)+64),CHAR(INT((COLUMN(EX110)-1)/26)+64)&amp;CHAR(MOD(COLUMN(EX110)-1,26)+65))&amp;$FI74&amp;""),"")</f>
        <v/>
      </c>
      <c r="FM74" s="78" t="str">
        <f t="array" aca="1" ref="FM74" ca="1">IF($FI74&lt;&gt;"",
IF(FL74="",
IF(INDIRECT("EY"&amp;$FI74&amp;"")&lt;&gt;"",
INDIRECT("EY"&amp;$FI74&amp;"")&amp;"箱"
&amp;INDIRECT("EZ"&amp;$FI74&amp;""),""),""),"")</f>
        <v/>
      </c>
      <c r="FN74" s="78" t="str">
        <f t="array" aca="1" ref="FN74" ca="1">IF($FI74&lt;&gt;"",
INDIRECT(""&amp;IF(COLUMN(FA110)&lt;=26,CHAR(COLUMN(FA110)+64),CHAR(INT((COLUMN(FA110)-1)/26)+64)&amp;CHAR(MOD(COLUMN(FA110)-1,26)+65))&amp;$FI74&amp;""),"")</f>
        <v/>
      </c>
      <c r="FO74" s="78" t="str">
        <f t="array" aca="1" ref="FO74" ca="1">IF($FI74&lt;&gt;"",
INDIRECT(""&amp;IF(COLUMN(FB110)&lt;=26,CHAR(COLUMN(FB110)+64),CHAR(INT((COLUMN(FB110)-1)/26)+64)&amp;CHAR(MOD(COLUMN(FB110)-1,26)+65))&amp;$FI74&amp;""),"")</f>
        <v/>
      </c>
      <c r="FP74" s="78" t="str">
        <f t="array" aca="1" ref="FP74" ca="1">IF($FI74&lt;&gt;"",
INDIRECT(""&amp;IF(COLUMN(FC110)&lt;=26,CHAR(COLUMN(FC110)+64),CHAR(INT((COLUMN(FC110)-1)/26)+64)&amp;CHAR(MOD(COLUMN(FC110)-1,26)+65))&amp;$FI74&amp;""),"")</f>
        <v/>
      </c>
      <c r="FQ74" s="78" t="str">
        <f t="array" aca="1" ref="FQ74" ca="1">IF($FI74&lt;&gt;"",
INDIRECT(""&amp;IF(COLUMN(FD110)&lt;=26,CHAR(COLUMN(FD110)+64),CHAR(INT((COLUMN(FD110)-1)/26)+64)&amp;CHAR(MOD(COLUMN(FD110)-1,26)+65))&amp;$FI74&amp;""),"")</f>
        <v/>
      </c>
      <c r="FR74" s="78" t="str">
        <f t="array" aca="1" ref="FR74" ca="1">IF($FI74&lt;&gt;"",
INDIRECT(""&amp;IF(COLUMN(FE110)&lt;=26,CHAR(COLUMN(FE110)+64),CHAR(INT((COLUMN(FE110)-1)/26)+64)&amp;CHAR(MOD(COLUMN(FE110)-1,26)+65))&amp;$FI74&amp;""),"")</f>
        <v/>
      </c>
      <c r="FS74" s="78" t="str">
        <f t="array" aca="1" ref="FS74" ca="1">IF($FI74&lt;&gt;"",
INDIRECT(""&amp;IF(COLUMN(FF110)&lt;=26,CHAR(COLUMN(FF110)+64),CHAR(INT((COLUMN(FF110)-1)/26)+64)&amp;CHAR(MOD(COLUMN(FF110)-1,26)+65))&amp;$FI74&amp;""),"")</f>
        <v/>
      </c>
    </row>
    <row r="75" spans="1:175" ht="18" customHeight="1" x14ac:dyDescent="0.45">
      <c r="B75" s="88"/>
      <c r="C75" s="252"/>
      <c r="D75" s="252"/>
      <c r="E75" s="255"/>
      <c r="F75" s="255"/>
      <c r="G75" s="98" t="str">
        <f ca="1">SUBSTITUTE(SUBSTITUTE(ADDRESS(1,MATCH("おやつ",'数出表_Excel（アレルギー入力）'!$3:$3,0)),1,""),"$","")</f>
        <v>AL</v>
      </c>
      <c r="I75" s="88"/>
      <c r="J75" s="252"/>
      <c r="K75" s="252"/>
      <c r="L75" s="255"/>
      <c r="M75" s="255"/>
      <c r="N75" s="98" t="str">
        <f ca="1">SUBSTITUTE(SUBSTITUTE(ADDRESS(1,MATCH("おやつ",'数出表_Excel（アレルギー入力）'!$3:$3,0)),1,""),"$","")</f>
        <v>AL</v>
      </c>
      <c r="Q75" s="88"/>
      <c r="R75" s="252"/>
      <c r="S75" s="252"/>
      <c r="T75" s="255"/>
      <c r="U75" s="255"/>
      <c r="V75" s="98" t="str">
        <f ca="1">SUBSTITUTE(SUBSTITUTE(ADDRESS(1,MATCH("おやつ",'数出表_Excel（アレルギー入力）'!$3:$3,0)),1,""),"$","")</f>
        <v>AL</v>
      </c>
      <c r="X75" s="88"/>
      <c r="Y75" s="252"/>
      <c r="Z75" s="252"/>
      <c r="AA75" s="255"/>
      <c r="AB75" s="255"/>
      <c r="AC75" s="98" t="str">
        <f ca="1">SUBSTITUTE(SUBSTITUTE(ADDRESS(1,MATCH("おやつ",'数出表_Excel（アレルギー入力）'!$3:$3,0)),1,""),"$","")</f>
        <v>AL</v>
      </c>
      <c r="AF75" s="88"/>
      <c r="AG75" s="252"/>
      <c r="AH75" s="252"/>
      <c r="AI75" s="255"/>
      <c r="AJ75" s="255"/>
      <c r="AK75" s="98" t="str">
        <f ca="1">SUBSTITUTE(SUBSTITUTE(ADDRESS(1,MATCH("おやつ",'数出表_Excel（アレルギー入力）'!$3:$3,0)),1,""),"$","")</f>
        <v>AL</v>
      </c>
      <c r="AM75" s="88"/>
      <c r="AN75" s="252"/>
      <c r="AO75" s="252"/>
      <c r="AP75" s="255"/>
      <c r="AQ75" s="255"/>
      <c r="AR75" s="98" t="str">
        <f ca="1">SUBSTITUTE(SUBSTITUTE(ADDRESS(1,MATCH("おやつ",'数出表_Excel（アレルギー入力）'!$3:$3,0)),1,""),"$","")</f>
        <v>AL</v>
      </c>
      <c r="AU75" s="88"/>
      <c r="AV75" s="252"/>
      <c r="AW75" s="252"/>
      <c r="AX75" s="255"/>
      <c r="AY75" s="255"/>
      <c r="AZ75" s="98" t="str">
        <f ca="1">SUBSTITUTE(SUBSTITUTE(ADDRESS(1,MATCH("おやつ",'数出表_Excel（アレルギー入力）'!$3:$3,0)),1,""),"$","")</f>
        <v>AL</v>
      </c>
      <c r="BB75" s="88"/>
      <c r="BC75" s="252"/>
      <c r="BD75" s="252"/>
      <c r="BE75" s="255"/>
      <c r="BF75" s="255"/>
      <c r="BG75" s="98" t="str">
        <f ca="1">SUBSTITUTE(SUBSTITUTE(ADDRESS(1,MATCH("おやつ",'数出表_Excel（アレルギー入力）'!$3:$3,0)),1,""),"$","")</f>
        <v>AL</v>
      </c>
      <c r="BJ75" s="88"/>
      <c r="BK75" s="252"/>
      <c r="BL75" s="252"/>
      <c r="BM75" s="255"/>
      <c r="BN75" s="255"/>
      <c r="BO75" s="98" t="str">
        <f ca="1">SUBSTITUTE(SUBSTITUTE(ADDRESS(1,MATCH("おやつ",'数出表_Excel（アレルギー入力）'!$3:$3,0)),1,""),"$","")</f>
        <v>AL</v>
      </c>
      <c r="BQ75" s="88"/>
      <c r="BR75" s="252"/>
      <c r="BS75" s="252"/>
      <c r="BT75" s="255"/>
      <c r="BU75" s="255"/>
      <c r="BV75" s="98" t="str">
        <f ca="1">SUBSTITUTE(SUBSTITUTE(ADDRESS(1,MATCH("おやつ",'数出表_Excel（アレルギー入力）'!$3:$3,0)),1,""),"$","")</f>
        <v>AL</v>
      </c>
      <c r="BY75" s="88"/>
      <c r="BZ75" s="252"/>
      <c r="CA75" s="252"/>
      <c r="CB75" s="255"/>
      <c r="CC75" s="255"/>
      <c r="CD75" s="98" t="str">
        <f ca="1">SUBSTITUTE(SUBSTITUTE(ADDRESS(1,MATCH("おやつ",'数出表_Excel（アレルギー入力）'!$3:$3,0)),1,""),"$","")</f>
        <v>AL</v>
      </c>
      <c r="CF75" s="88"/>
      <c r="CG75" s="252"/>
      <c r="CH75" s="252"/>
      <c r="CI75" s="255"/>
      <c r="CJ75" s="255"/>
      <c r="CK75" s="98" t="str">
        <f ca="1">SUBSTITUTE(SUBSTITUTE(ADDRESS(1,MATCH("おやつ",'数出表_Excel（アレルギー入力）'!$3:$3,0)),1,""),"$","")</f>
        <v>AL</v>
      </c>
      <c r="CN75" s="88"/>
      <c r="CO75" s="252"/>
      <c r="CP75" s="252"/>
      <c r="CQ75" s="255"/>
      <c r="CR75" s="255"/>
      <c r="CS75" s="98" t="str">
        <f ca="1">SUBSTITUTE(SUBSTITUTE(ADDRESS(1,MATCH("おやつ",'数出表_Excel（アレルギー入力）'!$3:$3,0)),1,""),"$","")</f>
        <v>AL</v>
      </c>
      <c r="CU75" s="88"/>
      <c r="CV75" s="252"/>
      <c r="CW75" s="252"/>
      <c r="CX75" s="255"/>
      <c r="CY75" s="255"/>
      <c r="CZ75" s="98" t="str">
        <f ca="1">SUBSTITUTE(SUBSTITUTE(ADDRESS(1,MATCH("おやつ",'数出表_Excel（アレルギー入力）'!$3:$3,0)),1,""),"$","")</f>
        <v>AL</v>
      </c>
      <c r="DC75" s="88"/>
      <c r="DD75" s="252"/>
      <c r="DE75" s="252"/>
      <c r="DF75" s="255"/>
      <c r="DG75" s="255"/>
      <c r="DH75" s="98" t="str">
        <f ca="1">SUBSTITUTE(SUBSTITUTE(ADDRESS(1,MATCH("おやつ",'数出表_Excel（アレルギー入力）'!$3:$3,0)),1,""),"$","")</f>
        <v>AL</v>
      </c>
      <c r="DJ75" s="88"/>
      <c r="DK75" s="252"/>
      <c r="DL75" s="252"/>
      <c r="DM75" s="255"/>
      <c r="DN75" s="255"/>
      <c r="DO75" s="98" t="str">
        <f ca="1">SUBSTITUTE(SUBSTITUTE(ADDRESS(1,MATCH("おやつ",'数出表_Excel（アレルギー入力）'!$3:$3,0)),1,""),"$","")</f>
        <v>AL</v>
      </c>
      <c r="DR75" s="88"/>
      <c r="DS75" s="252"/>
      <c r="DT75" s="252"/>
      <c r="DU75" s="255"/>
      <c r="DV75" s="255"/>
      <c r="DW75" s="98" t="str">
        <f ca="1">SUBSTITUTE(SUBSTITUTE(ADDRESS(1,MATCH("おやつ",'数出表_Excel（アレルギー入力）'!$3:$3,0)),1,""),"$","")</f>
        <v>AL</v>
      </c>
      <c r="DY75" s="88"/>
      <c r="DZ75" s="252"/>
      <c r="EA75" s="252"/>
      <c r="EB75" s="255"/>
      <c r="EC75" s="255"/>
      <c r="ED75" s="98" t="str">
        <f ca="1">SUBSTITUTE(SUBSTITUTE(ADDRESS(1,MATCH("おやつ",'数出表_Excel（アレルギー入力）'!$3:$3,0)),1,""),"$","")</f>
        <v>AL</v>
      </c>
      <c r="EG75" s="88"/>
      <c r="EH75" s="252"/>
      <c r="EI75" s="252"/>
      <c r="EJ75" s="255"/>
      <c r="EK75" s="255"/>
      <c r="EL75" s="98" t="str">
        <f ca="1">SUBSTITUTE(SUBSTITUTE(ADDRESS(1,MATCH("おやつ",'数出表_Excel（アレルギー入力）'!$3:$3,0)),1,""),"$","")</f>
        <v>AL</v>
      </c>
      <c r="EN75" s="88"/>
      <c r="EO75" s="252"/>
      <c r="EP75" s="252"/>
      <c r="EQ75" s="255"/>
      <c r="ER75" s="255"/>
      <c r="ES75" s="98" t="str">
        <f ca="1">SUBSTITUTE(SUBSTITUTE(ADDRESS(1,MATCH("おやつ",'数出表_Excel（アレルギー入力）'!$3:$3,0)),1,""),"$","")</f>
        <v>AL</v>
      </c>
      <c r="ET75" s="106"/>
      <c r="EU75" s="78">
        <v>84</v>
      </c>
      <c r="EV75" s="78" t="str">
        <f t="array" aca="1" ref="EV7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LEN(SUBSTITUTE(_xlfn.FORMULATEXT(EV$73),"=","")))+$EU75)</f>
        <v/>
      </c>
      <c r="EW75" s="78" t="str">
        <f t="array" aca="1" ref="EW7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LEN(SUBSTITUTE(_xlfn.FORMULATEXT(EW$73),"=","")))+$EU75)</f>
        <v/>
      </c>
      <c r="EX75" s="78" t="str">
        <f t="array" aca="1" ref="EX7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LEN(SUBSTITUTE(_xlfn.FORMULATEXT(EX$73),"=","")))+$EU75)</f>
        <v/>
      </c>
      <c r="EY75" s="78" t="str">
        <f t="array" aca="1" ref="EY7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LEN(SUBSTITUTE(_xlfn.FORMULATEXT(EY$73),"=","")))+$EU75)</f>
        <v/>
      </c>
      <c r="EZ75" s="78" t="str">
        <f t="array" aca="1" ref="EZ7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LEN(SUBSTITUTE(_xlfn.FORMULATEXT(EZ$73),"=","")))+$EU75)</f>
        <v/>
      </c>
      <c r="FA75" s="78" t="str">
        <f t="array" aca="1" ref="FA7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LEN(SUBSTITUTE(_xlfn.FORMULATEXT(FA$73),"=","")))+$EU75)</f>
        <v/>
      </c>
      <c r="FB75" s="78" t="str">
        <f t="array" aca="1" ref="FB7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LEN(SUBSTITUTE(_xlfn.FORMULATEXT(FB$73),"=","")))+$EU75)</f>
        <v/>
      </c>
      <c r="FC75" s="78" t="str">
        <f t="array" aca="1" ref="FC7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LEN(SUBSTITUTE(_xlfn.FORMULATEXT(FC$73),"=","")))+$EU75)</f>
        <v/>
      </c>
      <c r="FD75" s="78" t="str">
        <f t="array" aca="1" ref="FD7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LEN(SUBSTITUTE(_xlfn.FORMULATEXT(FD$73),"=","")))+$EU75)</f>
        <v/>
      </c>
      <c r="FE75" s="78" t="str">
        <f t="array" aca="1" ref="FE7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LEN(SUBSTITUTE(_xlfn.FORMULATEXT(FE$73),"=","")))+$EU75)</f>
        <v/>
      </c>
      <c r="FF75" s="78" t="str">
        <f t="array" aca="1" ref="FF7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LEN(SUBSTITUTE(_xlfn.FORMULATEXT(FF$73),"=","")))+$EU75)</f>
        <v/>
      </c>
      <c r="FG75" s="78">
        <f t="shared" ca="1" si="6"/>
        <v>0</v>
      </c>
      <c r="FH75" s="78" t="b">
        <f t="array" aca="1" ref="FH75" ca="1">SUMPRODUCT((LEN(EV75:FF75)&gt;0)*1)&gt;0</f>
        <v>0</v>
      </c>
      <c r="FI75" s="78" t="str">
        <f t="array" aca="1" ref="FI75" ca="1">IFERROR(SMALL(IF(FG$1:FG$228&lt;&gt;0,FG$1:FG$228),ROW(A75)),"")</f>
        <v/>
      </c>
      <c r="FJ75" s="78" t="str">
        <f t="array" aca="1" ref="FJ75" ca="1">IF($FI75&lt;&gt;"",
INDIRECT(""&amp;IF(COLUMN(EV112)&lt;=26,CHAR(COLUMN(EV112)+64),CHAR(INT((COLUMN(EV112)-1)/26)+64)&amp;CHAR(MOD(COLUMN(EV112)-1,26)+65))&amp;$FI75&amp;""),"")</f>
        <v/>
      </c>
      <c r="FK75" s="78" t="str">
        <f t="array" aca="1" ref="FK75" ca="1">IF($FI75&lt;&gt;"",
INDIRECT(""&amp;IF(COLUMN(EW112)&lt;=26,CHAR(COLUMN(EW112)+64),CHAR(INT((COLUMN(EW112)-1)/26)+64)&amp;CHAR(MOD(COLUMN(EW112)-1,26)+65))&amp;$FI75&amp;""),"")</f>
        <v/>
      </c>
      <c r="FL75" s="78" t="str">
        <f t="array" aca="1" ref="FL75" ca="1">IF($FI75&lt;&gt;"",
INDIRECT(""&amp;IF(COLUMN(EX112)&lt;=26,CHAR(COLUMN(EX112)+64),CHAR(INT((COLUMN(EX112)-1)/26)+64)&amp;CHAR(MOD(COLUMN(EX112)-1,26)+65))&amp;$FI75&amp;""),"")</f>
        <v/>
      </c>
      <c r="FM75" s="78" t="str">
        <f t="array" aca="1" ref="FM75" ca="1">IF($FI75&lt;&gt;"",
IF(FL75="",
IF(INDIRECT("EY"&amp;$FI75&amp;"")&lt;&gt;"",
INDIRECT("EY"&amp;$FI75&amp;"")&amp;"箱"
&amp;INDIRECT("EZ"&amp;$FI75&amp;""),""),""),"")</f>
        <v/>
      </c>
      <c r="FN75" s="78" t="str">
        <f t="array" aca="1" ref="FN75" ca="1">IF($FI75&lt;&gt;"",
INDIRECT(""&amp;IF(COLUMN(FA112)&lt;=26,CHAR(COLUMN(FA112)+64),CHAR(INT((COLUMN(FA112)-1)/26)+64)&amp;CHAR(MOD(COLUMN(FA112)-1,26)+65))&amp;$FI75&amp;""),"")</f>
        <v/>
      </c>
      <c r="FO75" s="78" t="str">
        <f t="array" aca="1" ref="FO75" ca="1">IF($FI75&lt;&gt;"",
INDIRECT(""&amp;IF(COLUMN(FB112)&lt;=26,CHAR(COLUMN(FB112)+64),CHAR(INT((COLUMN(FB112)-1)/26)+64)&amp;CHAR(MOD(COLUMN(FB112)-1,26)+65))&amp;$FI75&amp;""),"")</f>
        <v/>
      </c>
      <c r="FP75" s="78" t="str">
        <f t="array" aca="1" ref="FP75" ca="1">IF($FI75&lt;&gt;"",
INDIRECT(""&amp;IF(COLUMN(FC112)&lt;=26,CHAR(COLUMN(FC112)+64),CHAR(INT((COLUMN(FC112)-1)/26)+64)&amp;CHAR(MOD(COLUMN(FC112)-1,26)+65))&amp;$FI75&amp;""),"")</f>
        <v/>
      </c>
      <c r="FQ75" s="78" t="str">
        <f t="array" aca="1" ref="FQ75" ca="1">IF($FI75&lt;&gt;"",
INDIRECT(""&amp;IF(COLUMN(FD112)&lt;=26,CHAR(COLUMN(FD112)+64),CHAR(INT((COLUMN(FD112)-1)/26)+64)&amp;CHAR(MOD(COLUMN(FD112)-1,26)+65))&amp;$FI75&amp;""),"")</f>
        <v/>
      </c>
      <c r="FR75" s="78" t="str">
        <f t="array" aca="1" ref="FR75" ca="1">IF($FI75&lt;&gt;"",
INDIRECT(""&amp;IF(COLUMN(FE112)&lt;=26,CHAR(COLUMN(FE112)+64),CHAR(INT((COLUMN(FE112)-1)/26)+64)&amp;CHAR(MOD(COLUMN(FE112)-1,26)+65))&amp;$FI75&amp;""),"")</f>
        <v/>
      </c>
      <c r="FS75" s="78" t="str">
        <f t="array" aca="1" ref="FS75" ca="1">IF($FI75&lt;&gt;"",
INDIRECT(""&amp;IF(COLUMN(FF112)&lt;=26,CHAR(COLUMN(FF112)+64),CHAR(INT((COLUMN(FF112)-1)/26)+64)&amp;CHAR(MOD(COLUMN(FF112)-1,26)+65))&amp;$FI75&amp;""),"")</f>
        <v/>
      </c>
    </row>
    <row r="76" spans="1:175" s="78" customFormat="1" ht="22.2" customHeight="1" x14ac:dyDescent="0.55000000000000004">
      <c r="A76" s="76"/>
      <c r="B76" s="89" t="str">
        <f ca="1">IF(C74&lt;&gt;"","パン箱","")</f>
        <v/>
      </c>
      <c r="C76" s="90" t="str">
        <f ca="1">IF(C74&lt;&gt;"",IF(OR(COUNTIF('盛付札（関数）'!C72,"*キャラ*"),COUNTIF('盛付札（関数）'!C72,"*赤*")),24,
VLOOKUP('盛付札（関数）'!C72,商品マスタ一覧!$D:$I,6,FALSE)),"")</f>
        <v/>
      </c>
      <c r="D76" s="89" t="str">
        <f ca="1">IF(C74&lt;&gt;"","　端数","")</f>
        <v/>
      </c>
      <c r="E76" s="90"/>
      <c r="F76" s="89" t="str">
        <f ca="1">IF(C74&lt;&gt;"","アレルギー","")</f>
        <v/>
      </c>
      <c r="G76" s="93"/>
      <c r="H76" s="76"/>
      <c r="I76" s="89" t="str">
        <f ca="1">IF(J74&lt;&gt;"","パン箱","")</f>
        <v/>
      </c>
      <c r="J76" s="90" t="str">
        <f ca="1">IF(J74&lt;&gt;"",IF(OR(COUNTIF('盛付札（関数）'!J72,"*キャラ*"),COUNTIF('盛付札（関数）'!J72,"*赤*")),24,
VLOOKUP('盛付札（関数）'!J72,商品マスタ一覧!$D:$I,6,FALSE)),"")</f>
        <v/>
      </c>
      <c r="K76" s="89" t="str">
        <f ca="1">IF(J74&lt;&gt;"","　端数","")</f>
        <v/>
      </c>
      <c r="L76" s="90"/>
      <c r="M76" s="89" t="str">
        <f ca="1">IF(J74&lt;&gt;"","アレルギー","")</f>
        <v/>
      </c>
      <c r="N76" s="93"/>
      <c r="O76" s="76"/>
      <c r="P76" s="76"/>
      <c r="Q76" s="89" t="str">
        <f ca="1">IF(R74&lt;&gt;"","パン箱","")</f>
        <v/>
      </c>
      <c r="R76" s="90" t="str">
        <f ca="1">IF(R74&lt;&gt;"",IF(OR(COUNTIF('盛付札（関数）'!R72,"*キャラ*"),COUNTIF('盛付札（関数）'!R72,"*赤*")),24,
VLOOKUP('盛付札（関数）'!R72,商品マスタ一覧!$D:$I,6,FALSE)),"")</f>
        <v/>
      </c>
      <c r="S76" s="89" t="str">
        <f ca="1">IF(R74&lt;&gt;"","　端数","")</f>
        <v/>
      </c>
      <c r="T76" s="90"/>
      <c r="U76" s="89" t="str">
        <f ca="1">IF(R74&lt;&gt;"","アレルギー","")</f>
        <v/>
      </c>
      <c r="V76" s="93"/>
      <c r="W76" s="76"/>
      <c r="X76" s="89" t="str">
        <f ca="1">IF(Y74&lt;&gt;"","パン箱","")</f>
        <v/>
      </c>
      <c r="Y76" s="90" t="str">
        <f ca="1">IF(Y74&lt;&gt;"",IF(OR(COUNTIF('盛付札（関数）'!Y72,"*キャラ*"),COUNTIF('盛付札（関数）'!Y72,"*赤*")),24,
VLOOKUP('盛付札（関数）'!Y72,商品マスタ一覧!$D:$I,6,FALSE)),"")</f>
        <v/>
      </c>
      <c r="Z76" s="89" t="str">
        <f ca="1">IF(Y74&lt;&gt;"","　端数","")</f>
        <v/>
      </c>
      <c r="AA76" s="90"/>
      <c r="AB76" s="89" t="str">
        <f ca="1">IF(Y74&lt;&gt;"","アレルギー","")</f>
        <v/>
      </c>
      <c r="AC76" s="93"/>
      <c r="AD76" s="76"/>
      <c r="AE76" s="76"/>
      <c r="AF76" s="89" t="str">
        <f ca="1">IF(AG74&lt;&gt;"","パン箱","")</f>
        <v/>
      </c>
      <c r="AG76" s="90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89" t="str">
        <f ca="1">IF(AG74&lt;&gt;"","　端数","")</f>
        <v/>
      </c>
      <c r="AI76" s="90"/>
      <c r="AJ76" s="89" t="str">
        <f ca="1">IF(AG74&lt;&gt;"","アレルギー","")</f>
        <v/>
      </c>
      <c r="AK76" s="93"/>
      <c r="AL76" s="76"/>
      <c r="AM76" s="89" t="str">
        <f ca="1">IF(AN74&lt;&gt;"","パン箱","")</f>
        <v/>
      </c>
      <c r="AN76" s="90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89" t="str">
        <f ca="1">IF(AN74&lt;&gt;"","　端数","")</f>
        <v/>
      </c>
      <c r="AP76" s="90"/>
      <c r="AQ76" s="89" t="str">
        <f ca="1">IF(AN74&lt;&gt;"","アレルギー","")</f>
        <v/>
      </c>
      <c r="AR76" s="93"/>
      <c r="AS76" s="76"/>
      <c r="AT76" s="76"/>
      <c r="AU76" s="89" t="str">
        <f ca="1">IF(AV74&lt;&gt;"","パン箱","")</f>
        <v/>
      </c>
      <c r="AV76" s="90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89" t="str">
        <f ca="1">IF(AV74&lt;&gt;"","　端数","")</f>
        <v/>
      </c>
      <c r="AX76" s="90"/>
      <c r="AY76" s="89" t="str">
        <f ca="1">IF(AV74&lt;&gt;"","アレルギー","")</f>
        <v/>
      </c>
      <c r="AZ76" s="93"/>
      <c r="BA76" s="76"/>
      <c r="BB76" s="89" t="str">
        <f ca="1">IF(BC74&lt;&gt;"","パン箱","")</f>
        <v/>
      </c>
      <c r="BC76" s="90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89" t="str">
        <f ca="1">IF(BC74&lt;&gt;"","　端数","")</f>
        <v/>
      </c>
      <c r="BE76" s="90"/>
      <c r="BF76" s="89" t="str">
        <f ca="1">IF(BC74&lt;&gt;"","アレルギー","")</f>
        <v/>
      </c>
      <c r="BG76" s="93"/>
      <c r="BH76" s="76"/>
      <c r="BI76" s="76"/>
      <c r="BJ76" s="89" t="str">
        <f ca="1">IF(BK74&lt;&gt;"","パン箱","")</f>
        <v/>
      </c>
      <c r="BK76" s="90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89" t="str">
        <f ca="1">IF(BK74&lt;&gt;"","　端数","")</f>
        <v/>
      </c>
      <c r="BM76" s="90"/>
      <c r="BN76" s="89" t="str">
        <f ca="1">IF(BK74&lt;&gt;"","アレルギー","")</f>
        <v/>
      </c>
      <c r="BO76" s="93"/>
      <c r="BP76" s="76"/>
      <c r="BQ76" s="89" t="str">
        <f ca="1">IF(BR74&lt;&gt;"","パン箱","")</f>
        <v/>
      </c>
      <c r="BR76" s="90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89" t="str">
        <f ca="1">IF(BR74&lt;&gt;"","　端数","")</f>
        <v/>
      </c>
      <c r="BT76" s="90"/>
      <c r="BU76" s="89" t="str">
        <f ca="1">IF(BR74&lt;&gt;"","アレルギー","")</f>
        <v/>
      </c>
      <c r="BV76" s="93"/>
      <c r="BW76" s="76"/>
      <c r="BX76" s="76"/>
      <c r="BY76" s="89" t="str">
        <f ca="1">IF(BZ74&lt;&gt;"","パン箱","")</f>
        <v/>
      </c>
      <c r="BZ76" s="90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89" t="str">
        <f ca="1">IF(BZ74&lt;&gt;"","　端数","")</f>
        <v/>
      </c>
      <c r="CB76" s="90"/>
      <c r="CC76" s="89" t="str">
        <f ca="1">IF(BZ74&lt;&gt;"","アレルギー","")</f>
        <v/>
      </c>
      <c r="CD76" s="93"/>
      <c r="CE76" s="76"/>
      <c r="CF76" s="89" t="str">
        <f ca="1">IF(CG74&lt;&gt;"","パン箱","")</f>
        <v/>
      </c>
      <c r="CG76" s="90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89" t="str">
        <f ca="1">IF(CG74&lt;&gt;"","　端数","")</f>
        <v/>
      </c>
      <c r="CI76" s="90"/>
      <c r="CJ76" s="89" t="str">
        <f ca="1">IF(CG74&lt;&gt;"","アレルギー","")</f>
        <v/>
      </c>
      <c r="CK76" s="93"/>
      <c r="CL76" s="76"/>
      <c r="CM76" s="76"/>
      <c r="CN76" s="89" t="str">
        <f ca="1">IF(CO74&lt;&gt;"","パン箱","")</f>
        <v/>
      </c>
      <c r="CO76" s="90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89" t="str">
        <f ca="1">IF(CO74&lt;&gt;"","　端数","")</f>
        <v/>
      </c>
      <c r="CQ76" s="90"/>
      <c r="CR76" s="89" t="str">
        <f ca="1">IF(CO74&lt;&gt;"","アレルギー","")</f>
        <v/>
      </c>
      <c r="CS76" s="93"/>
      <c r="CT76" s="76"/>
      <c r="CU76" s="89" t="str">
        <f ca="1">IF(CV74&lt;&gt;"","パン箱","")</f>
        <v/>
      </c>
      <c r="CV76" s="90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89" t="str">
        <f ca="1">IF(CV74&lt;&gt;"","　端数","")</f>
        <v/>
      </c>
      <c r="CX76" s="90"/>
      <c r="CY76" s="89" t="str">
        <f ca="1">IF(CV74&lt;&gt;"","アレルギー","")</f>
        <v/>
      </c>
      <c r="CZ76" s="93"/>
      <c r="DA76" s="76"/>
      <c r="DB76" s="76"/>
      <c r="DC76" s="89" t="str">
        <f ca="1">IF(DD74&lt;&gt;"","パン箱","")</f>
        <v/>
      </c>
      <c r="DD76" s="90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89" t="str">
        <f ca="1">IF(DD74&lt;&gt;"","　端数","")</f>
        <v/>
      </c>
      <c r="DF76" s="90"/>
      <c r="DG76" s="89" t="str">
        <f ca="1">IF(DD74&lt;&gt;"","アレルギー","")</f>
        <v/>
      </c>
      <c r="DH76" s="93"/>
      <c r="DI76" s="76"/>
      <c r="DJ76" s="89" t="str">
        <f ca="1">IF(DK74&lt;&gt;"","パン箱","")</f>
        <v/>
      </c>
      <c r="DK76" s="90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89" t="str">
        <f ca="1">IF(DK74&lt;&gt;"","　端数","")</f>
        <v/>
      </c>
      <c r="DM76" s="90"/>
      <c r="DN76" s="89" t="str">
        <f ca="1">IF(DK74&lt;&gt;"","アレルギー","")</f>
        <v/>
      </c>
      <c r="DO76" s="93"/>
      <c r="DP76" s="76"/>
      <c r="DQ76" s="76"/>
      <c r="DR76" s="89" t="str">
        <f ca="1">IF(DS74&lt;&gt;"","パン箱","")</f>
        <v/>
      </c>
      <c r="DS76" s="90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89" t="str">
        <f ca="1">IF(DS74&lt;&gt;"","　端数","")</f>
        <v/>
      </c>
      <c r="DU76" s="90"/>
      <c r="DV76" s="89" t="str">
        <f ca="1">IF(DS74&lt;&gt;"","アレルギー","")</f>
        <v/>
      </c>
      <c r="DW76" s="93"/>
      <c r="DX76" s="76"/>
      <c r="DY76" s="89" t="str">
        <f ca="1">IF(DZ74&lt;&gt;"","パン箱","")</f>
        <v/>
      </c>
      <c r="DZ76" s="90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89" t="str">
        <f ca="1">IF(DZ74&lt;&gt;"","　端数","")</f>
        <v/>
      </c>
      <c r="EB76" s="90"/>
      <c r="EC76" s="89" t="str">
        <f ca="1">IF(DZ74&lt;&gt;"","アレルギー","")</f>
        <v/>
      </c>
      <c r="ED76" s="93"/>
      <c r="EE76" s="76"/>
      <c r="EF76" s="76"/>
      <c r="EG76" s="89" t="str">
        <f ca="1">IF(EH74&lt;&gt;"","パン箱","")</f>
        <v/>
      </c>
      <c r="EH76" s="90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89" t="str">
        <f ca="1">IF(EH74&lt;&gt;"","　端数","")</f>
        <v/>
      </c>
      <c r="EJ76" s="90"/>
      <c r="EK76" s="89" t="str">
        <f ca="1">IF(EH74&lt;&gt;"","アレルギー","")</f>
        <v/>
      </c>
      <c r="EL76" s="93"/>
      <c r="EM76" s="76"/>
      <c r="EN76" s="89" t="str">
        <f ca="1">IF(EO74&lt;&gt;"","パン箱","")</f>
        <v/>
      </c>
      <c r="EO76" s="90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89" t="str">
        <f ca="1">IF(EO74&lt;&gt;"","　端数","")</f>
        <v/>
      </c>
      <c r="EQ76" s="90"/>
      <c r="ER76" s="89" t="str">
        <f ca="1">IF(EO74&lt;&gt;"","アレルギー","")</f>
        <v/>
      </c>
      <c r="ES76" s="93"/>
      <c r="ET76" s="106"/>
      <c r="EV76" s="79" t="str">
        <f ca="1">AN1</f>
        <v/>
      </c>
      <c r="EW76" s="79" t="str">
        <f ca="1">AN2</f>
        <v/>
      </c>
      <c r="EX76" s="79" t="str">
        <f ca="1">AP2</f>
        <v/>
      </c>
      <c r="EY76" s="80" t="str">
        <f ca="1">AQ2</f>
        <v/>
      </c>
      <c r="EZ76" s="80" t="str">
        <f ca="1">AR2</f>
        <v/>
      </c>
      <c r="FA76" s="79" t="e">
        <f ca="1">AN4</f>
        <v>#VALUE!</v>
      </c>
      <c r="FB76" s="79" t="e">
        <f ca="1">AP4</f>
        <v>#VALUE!</v>
      </c>
      <c r="FC76" s="79" t="str">
        <f ca="1">AN6</f>
        <v/>
      </c>
      <c r="FD76" s="79" t="e">
        <f ca="1">AM7</f>
        <v>#VALUE!</v>
      </c>
      <c r="FE76" s="79" t="str">
        <f ca="1">AO7</f>
        <v/>
      </c>
      <c r="FF76" s="79" t="e">
        <f ca="1">AQ7</f>
        <v>#VALUE!</v>
      </c>
      <c r="FG76" s="78">
        <f t="shared" ca="1" si="6"/>
        <v>0</v>
      </c>
      <c r="FH76" s="78" t="e">
        <f t="array" aca="1" ref="FH76" ca="1">SUMPRODUCT((LEN(EV76:FF76)&gt;0)*1)&gt;0</f>
        <v>#VALUE!</v>
      </c>
      <c r="FI76" s="78" t="str">
        <f t="array" aca="1" ref="FI76" ca="1">IFERROR(SMALL(IF(FG$1:FG$228&lt;&gt;0,FG$1:FG$228),ROW(A76)),"")</f>
        <v/>
      </c>
      <c r="FJ76" s="78" t="str">
        <f t="array" aca="1" ref="FJ76" ca="1">IF($FI76&lt;&gt;"",
INDIRECT(""&amp;IF(COLUMN(EV113)&lt;=26,CHAR(COLUMN(EV113)+64),CHAR(INT((COLUMN(EV113)-1)/26)+64)&amp;CHAR(MOD(COLUMN(EV113)-1,26)+65))&amp;$FI76&amp;""),"")</f>
        <v/>
      </c>
      <c r="FK76" s="78" t="str">
        <f t="array" aca="1" ref="FK76" ca="1">IF($FI76&lt;&gt;"",
INDIRECT(""&amp;IF(COLUMN(EW113)&lt;=26,CHAR(COLUMN(EW113)+64),CHAR(INT((COLUMN(EW113)-1)/26)+64)&amp;CHAR(MOD(COLUMN(EW113)-1,26)+65))&amp;$FI76&amp;""),"")</f>
        <v/>
      </c>
      <c r="FL76" s="78" t="str">
        <f t="array" aca="1" ref="FL76" ca="1">IF($FI76&lt;&gt;"",
INDIRECT(""&amp;IF(COLUMN(EX113)&lt;=26,CHAR(COLUMN(EX113)+64),CHAR(INT((COLUMN(EX113)-1)/26)+64)&amp;CHAR(MOD(COLUMN(EX113)-1,26)+65))&amp;$FI76&amp;""),"")</f>
        <v/>
      </c>
      <c r="FM76" s="78" t="str">
        <f t="array" aca="1" ref="FM76" ca="1">IF($FI76&lt;&gt;"",
IF(FL76="",
IF(INDIRECT("EY"&amp;$FI76&amp;"")&lt;&gt;"",
INDIRECT("EY"&amp;$FI76&amp;"")&amp;"箱"
&amp;INDIRECT("EZ"&amp;$FI76&amp;""),""),""),"")</f>
        <v/>
      </c>
      <c r="FN76" s="78" t="str">
        <f t="array" aca="1" ref="FN76" ca="1">IF($FI76&lt;&gt;"",
INDIRECT(""&amp;IF(COLUMN(FA113)&lt;=26,CHAR(COLUMN(FA113)+64),CHAR(INT((COLUMN(FA113)-1)/26)+64)&amp;CHAR(MOD(COLUMN(FA113)-1,26)+65))&amp;$FI76&amp;""),"")</f>
        <v/>
      </c>
      <c r="FO76" s="78" t="str">
        <f t="array" aca="1" ref="FO76" ca="1">IF($FI76&lt;&gt;"",
INDIRECT(""&amp;IF(COLUMN(FB113)&lt;=26,CHAR(COLUMN(FB113)+64),CHAR(INT((COLUMN(FB113)-1)/26)+64)&amp;CHAR(MOD(COLUMN(FB113)-1,26)+65))&amp;$FI76&amp;""),"")</f>
        <v/>
      </c>
      <c r="FP76" s="78" t="str">
        <f t="array" aca="1" ref="FP76" ca="1">IF($FI76&lt;&gt;"",
INDIRECT(""&amp;IF(COLUMN(FC113)&lt;=26,CHAR(COLUMN(FC113)+64),CHAR(INT((COLUMN(FC113)-1)/26)+64)&amp;CHAR(MOD(COLUMN(FC113)-1,26)+65))&amp;$FI76&amp;""),"")</f>
        <v/>
      </c>
      <c r="FQ76" s="78" t="str">
        <f t="array" aca="1" ref="FQ76" ca="1">IF($FI76&lt;&gt;"",
INDIRECT(""&amp;IF(COLUMN(FD113)&lt;=26,CHAR(COLUMN(FD113)+64),CHAR(INT((COLUMN(FD113)-1)/26)+64)&amp;CHAR(MOD(COLUMN(FD113)-1,26)+65))&amp;$FI76&amp;""),"")</f>
        <v/>
      </c>
      <c r="FR76" s="78" t="str">
        <f t="array" aca="1" ref="FR76" ca="1">IF($FI76&lt;&gt;"",
INDIRECT(""&amp;IF(COLUMN(FE113)&lt;=26,CHAR(COLUMN(FE113)+64),CHAR(INT((COLUMN(FE113)-1)/26)+64)&amp;CHAR(MOD(COLUMN(FE113)-1,26)+65))&amp;$FI76&amp;""),"")</f>
        <v/>
      </c>
      <c r="FS76" s="78" t="str">
        <f t="array" aca="1" ref="FS76" ca="1">IF($FI76&lt;&gt;"",
INDIRECT(""&amp;IF(COLUMN(FF113)&lt;=26,CHAR(COLUMN(FF113)+64),CHAR(INT((COLUMN(FF113)-1)/26)+64)&amp;CHAR(MOD(COLUMN(FF113)-1,26)+65))&amp;$FI76&amp;""),"")</f>
        <v/>
      </c>
    </row>
    <row r="77" spans="1:175" ht="21" customHeight="1" x14ac:dyDescent="0.45">
      <c r="B77" s="260" t="str">
        <f ca="1">IF(C74&lt;&gt;"",
IFERROR(INT(C74/C76),""),"")</f>
        <v/>
      </c>
      <c r="C77" s="261"/>
      <c r="D77" s="260" t="str">
        <f ca="1">IFERROR(MOD(C74,C76),"")</f>
        <v/>
      </c>
      <c r="E77" s="261"/>
      <c r="F77" s="256" t="str">
        <f ca="1">IF(C71&lt;&gt;"",G73+G74,"")</f>
        <v/>
      </c>
      <c r="G77" s="257"/>
      <c r="I77" s="260" t="str">
        <f ca="1">IF(J74&lt;&gt;"",
IFERROR(INT(J74/J76),""),"")</f>
        <v/>
      </c>
      <c r="J77" s="261"/>
      <c r="K77" s="260" t="str">
        <f ca="1">IFERROR(MOD(J74,J76),"")</f>
        <v/>
      </c>
      <c r="L77" s="261"/>
      <c r="M77" s="256" t="str">
        <f ca="1">IF(J71&lt;&gt;"",N73+N74,"")</f>
        <v/>
      </c>
      <c r="N77" s="257"/>
      <c r="Q77" s="260" t="str">
        <f ca="1">IF(R74&lt;&gt;"",
IFERROR(INT(R74/R76),""),"")</f>
        <v/>
      </c>
      <c r="R77" s="261"/>
      <c r="S77" s="260" t="str">
        <f ca="1">IFERROR(MOD(R74,R76),"")</f>
        <v/>
      </c>
      <c r="T77" s="261"/>
      <c r="U77" s="256" t="str">
        <f ca="1">IF(R71&lt;&gt;"",V73+V74,"")</f>
        <v/>
      </c>
      <c r="V77" s="257"/>
      <c r="X77" s="260" t="str">
        <f ca="1">IF(Y74&lt;&gt;"",
IFERROR(INT(Y74/Y76),""),"")</f>
        <v/>
      </c>
      <c r="Y77" s="261"/>
      <c r="Z77" s="260" t="str">
        <f ca="1">IFERROR(MOD(Y74,Y76),"")</f>
        <v/>
      </c>
      <c r="AA77" s="261"/>
      <c r="AB77" s="256" t="str">
        <f ca="1">IF(Y71&lt;&gt;"",AC73+AC74,"")</f>
        <v/>
      </c>
      <c r="AC77" s="257"/>
      <c r="AF77" s="260" t="str">
        <f ca="1">IF(AG74&lt;&gt;"",
IFERROR(INT(AG74/AG76),""),"")</f>
        <v/>
      </c>
      <c r="AG77" s="261"/>
      <c r="AH77" s="260" t="str">
        <f ca="1">IFERROR(MOD(AG74,AG76),"")</f>
        <v/>
      </c>
      <c r="AI77" s="261"/>
      <c r="AJ77" s="256" t="str">
        <f ca="1">IF(AG71&lt;&gt;"",AK73+AK74,"")</f>
        <v/>
      </c>
      <c r="AK77" s="257"/>
      <c r="AM77" s="260" t="str">
        <f ca="1">IF(AN74&lt;&gt;"",
IFERROR(INT(AN74/AN76),""),"")</f>
        <v/>
      </c>
      <c r="AN77" s="261"/>
      <c r="AO77" s="260" t="str">
        <f ca="1">IFERROR(MOD(AN74,AN76),"")</f>
        <v/>
      </c>
      <c r="AP77" s="261"/>
      <c r="AQ77" s="256" t="str">
        <f ca="1">IF(AN71&lt;&gt;"",AR73+AR74,"")</f>
        <v/>
      </c>
      <c r="AR77" s="257"/>
      <c r="AU77" s="260" t="str">
        <f ca="1">IF(AV74&lt;&gt;"",
IFERROR(INT(AV74/AV76),""),"")</f>
        <v/>
      </c>
      <c r="AV77" s="261"/>
      <c r="AW77" s="260" t="str">
        <f ca="1">IFERROR(MOD(AV74,AV76),"")</f>
        <v/>
      </c>
      <c r="AX77" s="261"/>
      <c r="AY77" s="256" t="str">
        <f ca="1">IF(AV71&lt;&gt;"",AZ73+AZ74,"")</f>
        <v/>
      </c>
      <c r="AZ77" s="257"/>
      <c r="BB77" s="260" t="str">
        <f ca="1">IF(BC74&lt;&gt;"",
IFERROR(INT(BC74/BC76),""),"")</f>
        <v/>
      </c>
      <c r="BC77" s="261"/>
      <c r="BD77" s="260" t="str">
        <f ca="1">IFERROR(MOD(BC74,BC76),"")</f>
        <v/>
      </c>
      <c r="BE77" s="261"/>
      <c r="BF77" s="256" t="str">
        <f ca="1">IF(BC71&lt;&gt;"",BG73+BG74,"")</f>
        <v/>
      </c>
      <c r="BG77" s="257"/>
      <c r="BJ77" s="260" t="str">
        <f ca="1">IF(BK74&lt;&gt;"",
IFERROR(INT(BK74/BK76),""),"")</f>
        <v/>
      </c>
      <c r="BK77" s="261"/>
      <c r="BL77" s="260" t="str">
        <f ca="1">IFERROR(MOD(BK74,BK76),"")</f>
        <v/>
      </c>
      <c r="BM77" s="261"/>
      <c r="BN77" s="256" t="str">
        <f ca="1">IF(BK71&lt;&gt;"",BO73+BO74,"")</f>
        <v/>
      </c>
      <c r="BO77" s="257"/>
      <c r="BQ77" s="260" t="str">
        <f ca="1">IF(BR74&lt;&gt;"",
IFERROR(INT(BR74/BR76),""),"")</f>
        <v/>
      </c>
      <c r="BR77" s="261"/>
      <c r="BS77" s="260" t="str">
        <f ca="1">IFERROR(MOD(BR74,BR76),"")</f>
        <v/>
      </c>
      <c r="BT77" s="261"/>
      <c r="BU77" s="256" t="str">
        <f ca="1">IF(BR71&lt;&gt;"",BV73+BV74,"")</f>
        <v/>
      </c>
      <c r="BV77" s="257"/>
      <c r="BY77" s="260" t="str">
        <f ca="1">IF(BZ74&lt;&gt;"",
IFERROR(INT(BZ74/BZ76),""),"")</f>
        <v/>
      </c>
      <c r="BZ77" s="261"/>
      <c r="CA77" s="260" t="str">
        <f ca="1">IFERROR(MOD(BZ74,BZ76),"")</f>
        <v/>
      </c>
      <c r="CB77" s="261"/>
      <c r="CC77" s="256" t="str">
        <f ca="1">IF(BZ71&lt;&gt;"",CD73+CD74,"")</f>
        <v/>
      </c>
      <c r="CD77" s="257"/>
      <c r="CF77" s="260" t="str">
        <f ca="1">IF(CG74&lt;&gt;"",
IFERROR(INT(CG74/CG76),""),"")</f>
        <v/>
      </c>
      <c r="CG77" s="261"/>
      <c r="CH77" s="260" t="str">
        <f ca="1">IFERROR(MOD(CG74,CG76),"")</f>
        <v/>
      </c>
      <c r="CI77" s="261"/>
      <c r="CJ77" s="256" t="str">
        <f ca="1">IF(CG71&lt;&gt;"",CK73+CK74,"")</f>
        <v/>
      </c>
      <c r="CK77" s="257"/>
      <c r="CN77" s="260" t="str">
        <f ca="1">IF(CO74&lt;&gt;"",
IFERROR(INT(CO74/CO76),""),"")</f>
        <v/>
      </c>
      <c r="CO77" s="261"/>
      <c r="CP77" s="260" t="str">
        <f ca="1">IFERROR(MOD(CO74,CO76),"")</f>
        <v/>
      </c>
      <c r="CQ77" s="261"/>
      <c r="CR77" s="256" t="str">
        <f ca="1">IF(CO71&lt;&gt;"",CS73+CS74,"")</f>
        <v/>
      </c>
      <c r="CS77" s="257"/>
      <c r="CU77" s="260" t="str">
        <f ca="1">IF(CV74&lt;&gt;"",
IFERROR(INT(CV74/CV76),""),"")</f>
        <v/>
      </c>
      <c r="CV77" s="261"/>
      <c r="CW77" s="260" t="str">
        <f ca="1">IFERROR(MOD(CV74,CV76),"")</f>
        <v/>
      </c>
      <c r="CX77" s="261"/>
      <c r="CY77" s="256" t="str">
        <f ca="1">IF(CV71&lt;&gt;"",CZ73+CZ74,"")</f>
        <v/>
      </c>
      <c r="CZ77" s="257"/>
      <c r="DC77" s="260" t="str">
        <f ca="1">IF(DD74&lt;&gt;"",
IFERROR(INT(DD74/DD76),""),"")</f>
        <v/>
      </c>
      <c r="DD77" s="261"/>
      <c r="DE77" s="260" t="str">
        <f ca="1">IFERROR(MOD(DD74,DD76),"")</f>
        <v/>
      </c>
      <c r="DF77" s="261"/>
      <c r="DG77" s="256" t="str">
        <f ca="1">IF(DD71&lt;&gt;"",DH73+DH74,"")</f>
        <v/>
      </c>
      <c r="DH77" s="257"/>
      <c r="DJ77" s="260" t="str">
        <f ca="1">IF(DK74&lt;&gt;"",
IFERROR(INT(DK74/DK76),""),"")</f>
        <v/>
      </c>
      <c r="DK77" s="261"/>
      <c r="DL77" s="260" t="str">
        <f ca="1">IFERROR(MOD(DK74,DK76),"")</f>
        <v/>
      </c>
      <c r="DM77" s="261"/>
      <c r="DN77" s="256" t="str">
        <f ca="1">IF(DK71&lt;&gt;"",DO73+DO74,"")</f>
        <v/>
      </c>
      <c r="DO77" s="257"/>
      <c r="DR77" s="260" t="str">
        <f ca="1">IF(DS74&lt;&gt;"",
IFERROR(INT(DS74/DS76),""),"")</f>
        <v/>
      </c>
      <c r="DS77" s="261"/>
      <c r="DT77" s="260" t="str">
        <f ca="1">IFERROR(MOD(DS74,DS76),"")</f>
        <v/>
      </c>
      <c r="DU77" s="261"/>
      <c r="DV77" s="256" t="str">
        <f ca="1">IF(DS71&lt;&gt;"",DW73+DW74,"")</f>
        <v/>
      </c>
      <c r="DW77" s="257"/>
      <c r="DY77" s="260" t="str">
        <f ca="1">IF(DZ74&lt;&gt;"",
IFERROR(INT(DZ74/DZ76),""),"")</f>
        <v/>
      </c>
      <c r="DZ77" s="261"/>
      <c r="EA77" s="260" t="str">
        <f ca="1">IFERROR(MOD(DZ74,DZ76),"")</f>
        <v/>
      </c>
      <c r="EB77" s="261"/>
      <c r="EC77" s="256" t="str">
        <f ca="1">IF(DZ71&lt;&gt;"",ED73+ED74,"")</f>
        <v/>
      </c>
      <c r="ED77" s="257"/>
      <c r="EG77" s="260" t="str">
        <f ca="1">IF(EH74&lt;&gt;"",
IFERROR(INT(EH74/EH76),""),"")</f>
        <v/>
      </c>
      <c r="EH77" s="261"/>
      <c r="EI77" s="260" t="str">
        <f ca="1">IFERROR(MOD(EH74,EH76),"")</f>
        <v/>
      </c>
      <c r="EJ77" s="261"/>
      <c r="EK77" s="256" t="str">
        <f ca="1">IF(EH71&lt;&gt;"",EL73+EL74,"")</f>
        <v/>
      </c>
      <c r="EL77" s="257"/>
      <c r="EN77" s="260" t="str">
        <f ca="1">IF(EO74&lt;&gt;"",
IFERROR(INT(EO74/EO76),""),"")</f>
        <v/>
      </c>
      <c r="EO77" s="261"/>
      <c r="EP77" s="260" t="str">
        <f ca="1">IFERROR(MOD(EO74,EO76),"")</f>
        <v/>
      </c>
      <c r="EQ77" s="261"/>
      <c r="ER77" s="256" t="str">
        <f ca="1">IF(EO71&lt;&gt;"",ES73+ES74,"")</f>
        <v/>
      </c>
      <c r="ES77" s="257"/>
      <c r="ET77" s="71"/>
      <c r="EU77" s="78">
        <v>42</v>
      </c>
      <c r="EV77" s="78" t="str">
        <f t="array" aca="1" ref="EV77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LEN(SUBSTITUTE(_xlfn.FORMULATEXT(EV$76),"=","")))+$EU77)</f>
        <v/>
      </c>
      <c r="EW77" s="78" t="str">
        <f t="array" aca="1" ref="EW77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LEN(SUBSTITUTE(_xlfn.FORMULATEXT(EW$76),"=","")))+$EU77)</f>
        <v/>
      </c>
      <c r="EX77" s="78" t="str">
        <f t="array" aca="1" ref="EX77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LEN(SUBSTITUTE(_xlfn.FORMULATEXT(EX$76),"=","")))+$EU77)</f>
        <v/>
      </c>
      <c r="EY77" s="78" t="str">
        <f t="array" aca="1" ref="EY77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LEN(SUBSTITUTE(_xlfn.FORMULATEXT(EY$76),"=","")))+$EU77)</f>
        <v/>
      </c>
      <c r="EZ77" s="78" t="str">
        <f t="array" aca="1" ref="EZ77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LEN(SUBSTITUTE(_xlfn.FORMULATEXT(EZ$76),"=","")))+$EU77)</f>
        <v/>
      </c>
      <c r="FA77" s="78" t="str">
        <f t="array" aca="1" ref="FA77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LEN(SUBSTITUTE(_xlfn.FORMULATEXT(FA$76),"=","")))+$EU77)</f>
        <v/>
      </c>
      <c r="FB77" s="78" t="str">
        <f t="array" aca="1" ref="FB77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LEN(SUBSTITUTE(_xlfn.FORMULATEXT(FB$76),"=","")))+$EU77)</f>
        <v/>
      </c>
      <c r="FC77" s="78" t="str">
        <f t="array" aca="1" ref="FC77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LEN(SUBSTITUTE(_xlfn.FORMULATEXT(FC$76),"=","")))+$EU77)</f>
        <v/>
      </c>
      <c r="FD77" s="78" t="str">
        <f t="array" aca="1" ref="FD77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LEN(SUBSTITUTE(_xlfn.FORMULATEXT(FD$76),"=","")))+$EU77)</f>
        <v/>
      </c>
      <c r="FE77" s="78" t="str">
        <f t="array" aca="1" ref="FE77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LEN(SUBSTITUTE(_xlfn.FORMULATEXT(FE$76),"=","")))+$EU77)</f>
        <v/>
      </c>
      <c r="FF77" s="78" t="str">
        <f t="array" aca="1" ref="FF77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LEN(SUBSTITUTE(_xlfn.FORMULATEXT(FF$76),"=","")))+$EU77)</f>
        <v/>
      </c>
      <c r="FG77" s="78">
        <f t="shared" ca="1" si="6"/>
        <v>0</v>
      </c>
      <c r="FH77" s="78" t="b">
        <f t="array" aca="1" ref="FH77" ca="1">SUMPRODUCT((LEN(EV77:FF77)&gt;0)*1)&gt;0</f>
        <v>0</v>
      </c>
      <c r="FI77" s="78" t="str">
        <f t="array" aca="1" ref="FI77" ca="1">IFERROR(SMALL(IF(FG$1:FG$228&lt;&gt;0,FG$1:FG$228),ROW(A77)),"")</f>
        <v/>
      </c>
      <c r="FJ77" s="78" t="str">
        <f t="array" aca="1" ref="FJ77" ca="1">IF($FI77&lt;&gt;"",
INDIRECT(""&amp;IF(COLUMN(EV115)&lt;=26,CHAR(COLUMN(EV115)+64),CHAR(INT((COLUMN(EV115)-1)/26)+64)&amp;CHAR(MOD(COLUMN(EV115)-1,26)+65))&amp;$FI77&amp;""),"")</f>
        <v/>
      </c>
      <c r="FK77" s="78" t="str">
        <f t="array" aca="1" ref="FK77" ca="1">IF($FI77&lt;&gt;"",
INDIRECT(""&amp;IF(COLUMN(EW115)&lt;=26,CHAR(COLUMN(EW115)+64),CHAR(INT((COLUMN(EW115)-1)/26)+64)&amp;CHAR(MOD(COLUMN(EW115)-1,26)+65))&amp;$FI77&amp;""),"")</f>
        <v/>
      </c>
      <c r="FL77" s="78" t="str">
        <f t="array" aca="1" ref="FL77" ca="1">IF($FI77&lt;&gt;"",
INDIRECT(""&amp;IF(COLUMN(EX115)&lt;=26,CHAR(COLUMN(EX115)+64),CHAR(INT((COLUMN(EX115)-1)/26)+64)&amp;CHAR(MOD(COLUMN(EX115)-1,26)+65))&amp;$FI77&amp;""),"")</f>
        <v/>
      </c>
      <c r="FM77" s="78" t="str">
        <f t="array" aca="1" ref="FM77" ca="1">IF($FI77&lt;&gt;"",
IF(FL77="",
IF(INDIRECT("EY"&amp;$FI77&amp;"")&lt;&gt;"",
INDIRECT("EY"&amp;$FI77&amp;"")&amp;"箱"
&amp;INDIRECT("EZ"&amp;$FI77&amp;""),""),""),"")</f>
        <v/>
      </c>
      <c r="FN77" s="78" t="str">
        <f t="array" aca="1" ref="FN77" ca="1">IF($FI77&lt;&gt;"",
INDIRECT(""&amp;IF(COLUMN(FA115)&lt;=26,CHAR(COLUMN(FA115)+64),CHAR(INT((COLUMN(FA115)-1)/26)+64)&amp;CHAR(MOD(COLUMN(FA115)-1,26)+65))&amp;$FI77&amp;""),"")</f>
        <v/>
      </c>
      <c r="FO77" s="78" t="str">
        <f t="array" aca="1" ref="FO77" ca="1">IF($FI77&lt;&gt;"",
INDIRECT(""&amp;IF(COLUMN(FB115)&lt;=26,CHAR(COLUMN(FB115)+64),CHAR(INT((COLUMN(FB115)-1)/26)+64)&amp;CHAR(MOD(COLUMN(FB115)-1,26)+65))&amp;$FI77&amp;""),"")</f>
        <v/>
      </c>
      <c r="FP77" s="78" t="str">
        <f t="array" aca="1" ref="FP77" ca="1">IF($FI77&lt;&gt;"",
INDIRECT(""&amp;IF(COLUMN(FC115)&lt;=26,CHAR(COLUMN(FC115)+64),CHAR(INT((COLUMN(FC115)-1)/26)+64)&amp;CHAR(MOD(COLUMN(FC115)-1,26)+65))&amp;$FI77&amp;""),"")</f>
        <v/>
      </c>
      <c r="FQ77" s="78" t="str">
        <f t="array" aca="1" ref="FQ77" ca="1">IF($FI77&lt;&gt;"",
INDIRECT(""&amp;IF(COLUMN(FD115)&lt;=26,CHAR(COLUMN(FD115)+64),CHAR(INT((COLUMN(FD115)-1)/26)+64)&amp;CHAR(MOD(COLUMN(FD115)-1,26)+65))&amp;$FI77&amp;""),"")</f>
        <v/>
      </c>
      <c r="FR77" s="78" t="str">
        <f t="array" aca="1" ref="FR77" ca="1">IF($FI77&lt;&gt;"",
INDIRECT(""&amp;IF(COLUMN(FE115)&lt;=26,CHAR(COLUMN(FE115)+64),CHAR(INT((COLUMN(FE115)-1)/26)+64)&amp;CHAR(MOD(COLUMN(FE115)-1,26)+65))&amp;$FI77&amp;""),"")</f>
        <v/>
      </c>
      <c r="FS77" s="78" t="str">
        <f t="array" aca="1" ref="FS77" ca="1">IF($FI77&lt;&gt;"",
INDIRECT(""&amp;IF(COLUMN(FF115)&lt;=26,CHAR(COLUMN(FF115)+64),CHAR(INT((COLUMN(FF115)-1)/26)+64)&amp;CHAR(MOD(COLUMN(FF115)-1,26)+65))&amp;$FI77&amp;""),"")</f>
        <v/>
      </c>
    </row>
    <row r="78" spans="1:175" s="78" customFormat="1" ht="19.2" customHeight="1" x14ac:dyDescent="0.55000000000000004">
      <c r="A78" s="76"/>
      <c r="B78" s="77" t="str" cm="1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247" t="str">
        <f ca="1">IF(C81&lt;&gt;"",C36,"")</f>
        <v/>
      </c>
      <c r="D78" s="247"/>
      <c r="E78" s="247"/>
      <c r="F78" s="247"/>
      <c r="G78" s="231" t="str">
        <f>SUBSTITUTE(ADDRESS(1,
COLUMN(),1),"1","")</f>
        <v>$G$</v>
      </c>
      <c r="H78" s="76"/>
      <c r="I78" s="77" t="str" cm="1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247" t="str">
        <f ca="1">IF(J81&lt;&gt;"",J36,"")</f>
        <v/>
      </c>
      <c r="K78" s="247"/>
      <c r="L78" s="247"/>
      <c r="M78" s="247"/>
      <c r="N78" s="231" t="str">
        <f>SUBSTITUTE(ADDRESS(1,
COLUMN(),1),"1","")</f>
        <v>$N$</v>
      </c>
      <c r="O78" s="76"/>
      <c r="P78" s="76"/>
      <c r="Q78" s="77" t="str" cm="1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247" t="str">
        <f ca="1">IF(R81&lt;&gt;"",R36,"")</f>
        <v/>
      </c>
      <c r="S78" s="247"/>
      <c r="T78" s="247"/>
      <c r="U78" s="247"/>
      <c r="V78" s="231" t="str">
        <f>SUBSTITUTE(ADDRESS(1,
COLUMN(),1),"1","")</f>
        <v>$V$</v>
      </c>
      <c r="W78" s="76"/>
      <c r="X78" s="77" t="str" cm="1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247" t="str">
        <f ca="1">IF(Y81&lt;&gt;"",Y36,"")</f>
        <v/>
      </c>
      <c r="Z78" s="247"/>
      <c r="AA78" s="247"/>
      <c r="AB78" s="247"/>
      <c r="AC78" s="231" t="str">
        <f>SUBSTITUTE(ADDRESS(1,
COLUMN(),1),"1","")</f>
        <v>$AC$</v>
      </c>
      <c r="AD78" s="76"/>
      <c r="AE78" s="76"/>
      <c r="AF78" s="77" t="str" cm="1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247" t="str">
        <f ca="1">IF(AG81&lt;&gt;"",AG36,"")</f>
        <v/>
      </c>
      <c r="AH78" s="247"/>
      <c r="AI78" s="247"/>
      <c r="AJ78" s="247"/>
      <c r="AK78" s="231" t="str">
        <f>SUBSTITUTE(ADDRESS(1,
COLUMN(),1),"1","")</f>
        <v>$AK$</v>
      </c>
      <c r="AL78" s="76"/>
      <c r="AM78" s="77" t="str" cm="1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247" t="str">
        <f ca="1">IF(AN81&lt;&gt;"",AN36,"")</f>
        <v/>
      </c>
      <c r="AO78" s="247"/>
      <c r="AP78" s="247"/>
      <c r="AQ78" s="247"/>
      <c r="AR78" s="231" t="str">
        <f>SUBSTITUTE(ADDRESS(1,
COLUMN(),1),"1","")</f>
        <v>$AR$</v>
      </c>
      <c r="AS78" s="76"/>
      <c r="AT78" s="76"/>
      <c r="AU78" s="77" t="str" cm="1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247" t="str">
        <f ca="1">IF(AV81&lt;&gt;"",AV36,"")</f>
        <v/>
      </c>
      <c r="AW78" s="247"/>
      <c r="AX78" s="247"/>
      <c r="AY78" s="247"/>
      <c r="AZ78" s="231" t="str">
        <f>SUBSTITUTE(ADDRESS(1,
COLUMN(),1),"1","")</f>
        <v>$AZ$</v>
      </c>
      <c r="BA78" s="76"/>
      <c r="BB78" s="77" t="str" cm="1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247" t="str">
        <f ca="1">IF(BC81&lt;&gt;"",BC36,"")</f>
        <v/>
      </c>
      <c r="BD78" s="247"/>
      <c r="BE78" s="247"/>
      <c r="BF78" s="247"/>
      <c r="BG78" s="231" t="str">
        <f>SUBSTITUTE(ADDRESS(1,
COLUMN(),1),"1","")</f>
        <v>$BG$</v>
      </c>
      <c r="BH78" s="76"/>
      <c r="BI78" s="76"/>
      <c r="BJ78" s="77" t="str" cm="1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247" t="str">
        <f ca="1">IF(BK81&lt;&gt;"",BK36,"")</f>
        <v/>
      </c>
      <c r="BL78" s="247"/>
      <c r="BM78" s="247"/>
      <c r="BN78" s="247"/>
      <c r="BO78" s="231" t="str">
        <f>SUBSTITUTE(ADDRESS(1,
COLUMN(),1),"1","")</f>
        <v>$BO$</v>
      </c>
      <c r="BP78" s="76"/>
      <c r="BQ78" s="77" t="str" cm="1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247" t="str">
        <f ca="1">IF(BR81&lt;&gt;"",BR36,"")</f>
        <v/>
      </c>
      <c r="BS78" s="247"/>
      <c r="BT78" s="247"/>
      <c r="BU78" s="247"/>
      <c r="BV78" s="231" t="str">
        <f>SUBSTITUTE(ADDRESS(1,
COLUMN(),1),"1","")</f>
        <v>$BV$</v>
      </c>
      <c r="BW78" s="76"/>
      <c r="BX78" s="76"/>
      <c r="BY78" s="77" t="str" cm="1">
        <f t="array" aca="1" ref="BY78" ca="1">IF(COUNTIF(CD36,"*合計*"),"",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</f>
        <v/>
      </c>
      <c r="BZ78" s="247" t="str">
        <f ca="1">IF(BZ81&lt;&gt;"",BZ36,"")</f>
        <v/>
      </c>
      <c r="CA78" s="247"/>
      <c r="CB78" s="247"/>
      <c r="CC78" s="247"/>
      <c r="CD78" s="231" t="str">
        <f>SUBSTITUTE(ADDRESS(1,
COLUMN(),1),"1","")</f>
        <v>$CD$</v>
      </c>
      <c r="CE78" s="76"/>
      <c r="CF78" s="77" t="str" cm="1">
        <f t="array" aca="1" ref="CF78" ca="1">IF(COUNTIF(CK36,"*合計*"),"",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</f>
        <v/>
      </c>
      <c r="CG78" s="247" t="str">
        <f ca="1">IF(CG81&lt;&gt;"",CG36,"")</f>
        <v/>
      </c>
      <c r="CH78" s="247"/>
      <c r="CI78" s="247"/>
      <c r="CJ78" s="247"/>
      <c r="CK78" s="231" t="str">
        <f>SUBSTITUTE(ADDRESS(1,
COLUMN(),1),"1","")</f>
        <v>$CK$</v>
      </c>
      <c r="CL78" s="76"/>
      <c r="CM78" s="76"/>
      <c r="CN78" s="77" t="str" cm="1">
        <f t="array" aca="1" ref="CN78" ca="1">IF(COUNTIF(CS36,"*合計*"),"",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</f>
        <v/>
      </c>
      <c r="CO78" s="247" t="str">
        <f ca="1">IF(CO81&lt;&gt;"",CO36,"")</f>
        <v/>
      </c>
      <c r="CP78" s="247"/>
      <c r="CQ78" s="247"/>
      <c r="CR78" s="247"/>
      <c r="CS78" s="231" t="str">
        <f>SUBSTITUTE(ADDRESS(1,
COLUMN(),1),"1","")</f>
        <v>$CS$</v>
      </c>
      <c r="CT78" s="76"/>
      <c r="CU78" s="77" t="str" cm="1">
        <f t="array" aca="1" ref="CU78" ca="1">IF(COUNTIF(CZ36,"*合計*"),"",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</f>
        <v/>
      </c>
      <c r="CV78" s="247" t="str">
        <f ca="1">IF(CV81&lt;&gt;"",CV36,"")</f>
        <v/>
      </c>
      <c r="CW78" s="247"/>
      <c r="CX78" s="247"/>
      <c r="CY78" s="247"/>
      <c r="CZ78" s="231" t="str">
        <f>SUBSTITUTE(ADDRESS(1,
COLUMN(),1),"1","")</f>
        <v>$CZ$</v>
      </c>
      <c r="DA78" s="76"/>
      <c r="DB78" s="76"/>
      <c r="DC78" s="77" t="str" cm="1">
        <f t="array" aca="1" ref="DC78" ca="1">IF(COUNTIF(DH36,"*合計*"),"",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</f>
        <v/>
      </c>
      <c r="DD78" s="247" t="str">
        <f ca="1">IF(DD81&lt;&gt;"",DD36,"")</f>
        <v/>
      </c>
      <c r="DE78" s="247"/>
      <c r="DF78" s="247"/>
      <c r="DG78" s="247"/>
      <c r="DH78" s="231" t="str">
        <f>SUBSTITUTE(ADDRESS(1,
COLUMN(),1),"1","")</f>
        <v>$DH$</v>
      </c>
      <c r="DI78" s="76"/>
      <c r="DJ78" s="77" t="str" cm="1">
        <f t="array" aca="1" ref="DJ78" ca="1">IF(COUNTIF(DO36,"*合計*"),"",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</f>
        <v/>
      </c>
      <c r="DK78" s="247" t="str">
        <f ca="1">IF(DK81&lt;&gt;"",DK36,"")</f>
        <v/>
      </c>
      <c r="DL78" s="247"/>
      <c r="DM78" s="247"/>
      <c r="DN78" s="247"/>
      <c r="DO78" s="231" t="str">
        <f>SUBSTITUTE(ADDRESS(1,
COLUMN(),1),"1","")</f>
        <v>$DO$</v>
      </c>
      <c r="DP78" s="76"/>
      <c r="DQ78" s="76"/>
      <c r="DR78" s="77" t="str" cm="1">
        <f t="array" aca="1" ref="DR78" ca="1">IF(COUNTIF(DW36,"*合計*"),"",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</f>
        <v/>
      </c>
      <c r="DS78" s="247" t="str">
        <f ca="1">IF(DS81&lt;&gt;"",DS36,"")</f>
        <v/>
      </c>
      <c r="DT78" s="247"/>
      <c r="DU78" s="247"/>
      <c r="DV78" s="247"/>
      <c r="DW78" s="231" t="str">
        <f>SUBSTITUTE(ADDRESS(1,
COLUMN(),1),"1","")</f>
        <v>$DW$</v>
      </c>
      <c r="DX78" s="76"/>
      <c r="DY78" s="77" t="str" cm="1">
        <f t="array" aca="1" ref="DY78" ca="1">IF(COUNTIF(ED36,"*合計*"),"",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</f>
        <v/>
      </c>
      <c r="DZ78" s="247" t="str">
        <f ca="1">IF(DZ81&lt;&gt;"",DZ36,"")</f>
        <v/>
      </c>
      <c r="EA78" s="247"/>
      <c r="EB78" s="247"/>
      <c r="EC78" s="247"/>
      <c r="ED78" s="231" t="str">
        <f>SUBSTITUTE(ADDRESS(1,
COLUMN(),1),"1","")</f>
        <v>$ED$</v>
      </c>
      <c r="EE78" s="76"/>
      <c r="EF78" s="76"/>
      <c r="EG78" s="77" t="str" cm="1">
        <f t="array" aca="1" ref="EG78" ca="1">IF(COUNTIF(EL36,"*合計*"),"",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</f>
        <v/>
      </c>
      <c r="EH78" s="247" t="str">
        <f ca="1">IF(EH81&lt;&gt;"",EH36,"")</f>
        <v/>
      </c>
      <c r="EI78" s="247"/>
      <c r="EJ78" s="247"/>
      <c r="EK78" s="247"/>
      <c r="EL78" s="231" t="str">
        <f>SUBSTITUTE(ADDRESS(1,
COLUMN(),1),"1","")</f>
        <v>$EL$</v>
      </c>
      <c r="EM78" s="76"/>
      <c r="EN78" s="77" t="str" cm="1">
        <f t="array" aca="1" ref="EN78" ca="1">IF(COUNTIF(ES36,"*合計*"),"",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</f>
        <v/>
      </c>
      <c r="EO78" s="247" t="str">
        <f ca="1">IF(EO81&lt;&gt;"",EO36,"")</f>
        <v/>
      </c>
      <c r="EP78" s="247"/>
      <c r="EQ78" s="247"/>
      <c r="ER78" s="247"/>
      <c r="ES78" s="231" t="str">
        <f>SUBSTITUTE(ADDRESS(1,
COLUMN(),1),"1","")</f>
        <v>$ES$</v>
      </c>
      <c r="ET78" s="106"/>
      <c r="EU78" s="78">
        <v>84</v>
      </c>
      <c r="EV78" s="78" t="str">
        <f t="array" aca="1" ref="EV7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LEN(SUBSTITUTE(_xlfn.FORMULATEXT(EV$76),"=","")))+$EU78)</f>
        <v/>
      </c>
      <c r="EW78" s="78" t="str">
        <f t="array" aca="1" ref="EW7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LEN(SUBSTITUTE(_xlfn.FORMULATEXT(EW$76),"=","")))+$EU78)</f>
        <v/>
      </c>
      <c r="EX78" s="78" t="str">
        <f t="array" aca="1" ref="EX7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LEN(SUBSTITUTE(_xlfn.FORMULATEXT(EX$76),"=","")))+$EU78)</f>
        <v/>
      </c>
      <c r="EY78" s="78" t="str">
        <f t="array" aca="1" ref="EY7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LEN(SUBSTITUTE(_xlfn.FORMULATEXT(EY$76),"=","")))+$EU78)</f>
        <v/>
      </c>
      <c r="EZ78" s="78" t="str">
        <f t="array" aca="1" ref="EZ7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LEN(SUBSTITUTE(_xlfn.FORMULATEXT(EZ$76),"=","")))+$EU78)</f>
        <v/>
      </c>
      <c r="FA78" s="78" t="str">
        <f t="array" aca="1" ref="FA7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LEN(SUBSTITUTE(_xlfn.FORMULATEXT(FA$76),"=","")))+$EU78)</f>
        <v/>
      </c>
      <c r="FB78" s="78" t="str">
        <f t="array" aca="1" ref="FB7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LEN(SUBSTITUTE(_xlfn.FORMULATEXT(FB$76),"=","")))+$EU78)</f>
        <v/>
      </c>
      <c r="FC78" s="78" t="str">
        <f t="array" aca="1" ref="FC7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LEN(SUBSTITUTE(_xlfn.FORMULATEXT(FC$76),"=","")))+$EU78)</f>
        <v/>
      </c>
      <c r="FD78" s="78" t="str">
        <f t="array" aca="1" ref="FD7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LEN(SUBSTITUTE(_xlfn.FORMULATEXT(FD$76),"=","")))+$EU78)</f>
        <v/>
      </c>
      <c r="FE78" s="78" t="str">
        <f t="array" aca="1" ref="FE7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LEN(SUBSTITUTE(_xlfn.FORMULATEXT(FE$76),"=","")))+$EU78)</f>
        <v/>
      </c>
      <c r="FF78" s="78" t="str">
        <f t="array" aca="1" ref="FF7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LEN(SUBSTITUTE(_xlfn.FORMULATEXT(FF$76),"=","")))+$EU78)</f>
        <v/>
      </c>
      <c r="FG78" s="78">
        <f t="shared" ca="1" si="6"/>
        <v>0</v>
      </c>
      <c r="FH78" s="78" t="b">
        <f t="array" aca="1" ref="FH78" ca="1">SUMPRODUCT((LEN(EV78:FF78)&gt;0)*1)&gt;0</f>
        <v>0</v>
      </c>
      <c r="FI78" s="78" t="str">
        <f t="array" aca="1" ref="FI78" ca="1">IFERROR(SMALL(IF(FG$1:FG$228&lt;&gt;0,FG$1:FG$228),ROW(A78)),"")</f>
        <v/>
      </c>
      <c r="FJ78" s="78" t="str">
        <f t="array" aca="1" ref="FJ78" ca="1">IF($FI78&lt;&gt;"",
INDIRECT(""&amp;IF(COLUMN(EV116)&lt;=26,CHAR(COLUMN(EV116)+64),CHAR(INT((COLUMN(EV116)-1)/26)+64)&amp;CHAR(MOD(COLUMN(EV116)-1,26)+65))&amp;$FI78&amp;""),"")</f>
        <v/>
      </c>
      <c r="FK78" s="78" t="str">
        <f t="array" aca="1" ref="FK78" ca="1">IF($FI78&lt;&gt;"",
INDIRECT(""&amp;IF(COLUMN(EW116)&lt;=26,CHAR(COLUMN(EW116)+64),CHAR(INT((COLUMN(EW116)-1)/26)+64)&amp;CHAR(MOD(COLUMN(EW116)-1,26)+65))&amp;$FI78&amp;""),"")</f>
        <v/>
      </c>
      <c r="FL78" s="78" t="str">
        <f t="array" aca="1" ref="FL78" ca="1">IF($FI78&lt;&gt;"",
INDIRECT(""&amp;IF(COLUMN(EX116)&lt;=26,CHAR(COLUMN(EX116)+64),CHAR(INT((COLUMN(EX116)-1)/26)+64)&amp;CHAR(MOD(COLUMN(EX116)-1,26)+65))&amp;$FI78&amp;""),"")</f>
        <v/>
      </c>
      <c r="FM78" s="78" t="str">
        <f t="array" aca="1" ref="FM78" ca="1">IF($FI78&lt;&gt;"",
IF(FL78="",
IF(INDIRECT("EY"&amp;$FI78&amp;"")&lt;&gt;"",
INDIRECT("EY"&amp;$FI78&amp;"")&amp;"箱"
&amp;INDIRECT("EZ"&amp;$FI78&amp;""),""),""),"")</f>
        <v/>
      </c>
      <c r="FN78" s="78" t="str">
        <f t="array" aca="1" ref="FN78" ca="1">IF($FI78&lt;&gt;"",
INDIRECT(""&amp;IF(COLUMN(FA116)&lt;=26,CHAR(COLUMN(FA116)+64),CHAR(INT((COLUMN(FA116)-1)/26)+64)&amp;CHAR(MOD(COLUMN(FA116)-1,26)+65))&amp;$FI78&amp;""),"")</f>
        <v/>
      </c>
      <c r="FO78" s="78" t="str">
        <f t="array" aca="1" ref="FO78" ca="1">IF($FI78&lt;&gt;"",
INDIRECT(""&amp;IF(COLUMN(FB116)&lt;=26,CHAR(COLUMN(FB116)+64),CHAR(INT((COLUMN(FB116)-1)/26)+64)&amp;CHAR(MOD(COLUMN(FB116)-1,26)+65))&amp;$FI78&amp;""),"")</f>
        <v/>
      </c>
      <c r="FP78" s="78" t="str">
        <f t="array" aca="1" ref="FP78" ca="1">IF($FI78&lt;&gt;"",
INDIRECT(""&amp;IF(COLUMN(FC116)&lt;=26,CHAR(COLUMN(FC116)+64),CHAR(INT((COLUMN(FC116)-1)/26)+64)&amp;CHAR(MOD(COLUMN(FC116)-1,26)+65))&amp;$FI78&amp;""),"")</f>
        <v/>
      </c>
      <c r="FQ78" s="78" t="str">
        <f t="array" aca="1" ref="FQ78" ca="1">IF($FI78&lt;&gt;"",
INDIRECT(""&amp;IF(COLUMN(FD116)&lt;=26,CHAR(COLUMN(FD116)+64),CHAR(INT((COLUMN(FD116)-1)/26)+64)&amp;CHAR(MOD(COLUMN(FD116)-1,26)+65))&amp;$FI78&amp;""),"")</f>
        <v/>
      </c>
      <c r="FR78" s="78" t="str">
        <f t="array" aca="1" ref="FR78" ca="1">IF($FI78&lt;&gt;"",
INDIRECT(""&amp;IF(COLUMN(FE116)&lt;=26,CHAR(COLUMN(FE116)+64),CHAR(INT((COLUMN(FE116)-1)/26)+64)&amp;CHAR(MOD(COLUMN(FE116)-1,26)+65))&amp;$FI78&amp;""),"")</f>
        <v/>
      </c>
      <c r="FS78" s="78" t="str">
        <f t="array" aca="1" ref="FS78" ca="1">IF($FI78&lt;&gt;"",
INDIRECT(""&amp;IF(COLUMN(FF116)&lt;=26,CHAR(COLUMN(FF116)+64),CHAR(INT((COLUMN(FF116)-1)/26)+64)&amp;CHAR(MOD(COLUMN(FF116)-1,26)+65))&amp;$FI78&amp;""),"")</f>
        <v/>
      </c>
    </row>
    <row r="79" spans="1:175" s="78" customFormat="1" ht="19.2" customHeight="1" x14ac:dyDescent="0.55000000000000004">
      <c r="A79" s="76"/>
      <c r="B79" s="81" t="e" cm="1">
        <f t="array" aca="1" ref="B79" ca="1">IF(INDIRECT(""&amp;SUBSTITUTE(ADDRESS(1,
COLUMN(),1),"1","")&amp;ROW()-41&amp;"")&lt;&gt;100,
IF(C81&lt;&gt;"",MATCH(C81,INDIRECT("数出表_Excel!B"&amp;MATCH(INDIRECT(""&amp;G78&amp;ROW()-43&amp;""),数出表_Excel!$A:$A,0)-1&amp;":U"&amp;MATCH(INDIRECT(""&amp;G78&amp;ROW()-43&amp;""),数出表_Excel!$A:$A,0)-1&amp;""),0)+1,""),
IF(C81&lt;&gt;"",
MATCH(
IFERROR(
INDEX(INDIRECT("数出表_Excel!"&amp;B78&amp;MATCH(INDIRECT(""&amp;G78&amp;ROW()-43&amp;""),数出表_Excel!$A:$A,0)-1&amp;":U"&amp;MATCH(INDIRECT(""&amp;G78&amp;ROW()-43&amp;""),数出表_Excel!$A:$A,0)-1&amp;""),
 1,
 MATCH(TRUE, ISNUMBER(--INDIRECT("数出表_Excel!"&amp;B78&amp;MATCH(INDIRECT(""&amp;G78&amp;ROW()-43&amp;""),数出表_Excel!$A:$A,0)-1&amp;":U"&amp;MATCH(INDIRECT(""&amp;G78&amp;ROW()-43&amp;""),数出表_Excel!$A:$A,0)-1&amp;"")), 0)),
 ""),
INDIRECT("数出表_Excel!B"&amp;MATCH(INDIRECT(""&amp;G78&amp;ROW()-43&amp;""),数出表_Excel!$A:$A,0)-1&amp;":U"&amp;MATCH(INDIRECT(""&amp;G78&amp;ROW()-43&amp;""),数出表_Excel!$A:$A,0)-1&amp;""),0)+1,""))</f>
        <v>#VALUE!</v>
      </c>
      <c r="C79" s="58" t="str" cm="1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76"/>
      <c r="E79" s="82" t="str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83" t="str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92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76"/>
      <c r="I79" s="81" t="e" cm="1">
        <f t="array" aca="1" ref="I79" ca="1">IF(INDIRECT(""&amp;SUBSTITUTE(ADDRESS(1,
COLUMN(),1),"1","")&amp;ROW()-41&amp;"")&lt;&gt;100,
IF(J81&lt;&gt;"",MATCH(J81,INDIRECT("数出表_Excel!B"&amp;MATCH(INDIRECT(""&amp;N78&amp;ROW()-43&amp;""),数出表_Excel!$A:$A,0)-1&amp;":U"&amp;MATCH(INDIRECT(""&amp;N78&amp;ROW()-43&amp;""),数出表_Excel!$A:$A,0)-1&amp;""),0)+1,""),
IF(J81&lt;&gt;"",
MATCH(
IFERROR(
INDEX(INDIRECT("数出表_Excel!"&amp;I78&amp;MATCH(INDIRECT(""&amp;N78&amp;ROW()-43&amp;""),数出表_Excel!$A:$A,0)-1&amp;":U"&amp;MATCH(INDIRECT(""&amp;N78&amp;ROW()-43&amp;""),数出表_Excel!$A:$A,0)-1&amp;""),
 1,
 MATCH(TRUE, ISNUMBER(--INDIRECT("数出表_Excel!"&amp;I78&amp;MATCH(INDIRECT(""&amp;N78&amp;ROW()-43&amp;""),数出表_Excel!$A:$A,0)-1&amp;":U"&amp;MATCH(INDIRECT(""&amp;N78&amp;ROW()-43&amp;""),数出表_Excel!$A:$A,0)-1&amp;"")), 0)),
 ""),
INDIRECT("数出表_Excel!B"&amp;MATCH(INDIRECT(""&amp;N78&amp;ROW()-43&amp;""),数出表_Excel!$A:$A,0)-1&amp;":U"&amp;MATCH(INDIRECT(""&amp;N78&amp;ROW()-43&amp;""),数出表_Excel!$A:$A,0)-1&amp;""),0)+1,""))</f>
        <v>#VALUE!</v>
      </c>
      <c r="J79" s="58" t="str" cm="1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76"/>
      <c r="L79" s="82" t="str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+MATCH(TRUE,INDIRECT("'数出表_Excel'!"&amp;I78&amp;MATCH(N36,数出表_Excel!$A:$A,0)-1&amp;":AL"&amp;MATCH(N36,数出表_Excel!$A:$A,0)-1&amp;"")&lt;&gt;"",0))&gt;12,"",
IFERROR(
INDEX(INDIRECT("数出表_Excel!$"&amp;I78&amp;"4:$AL4"),
 1,
MATCH(TRUE,INDIRECT("'数出表_Excel'!"&amp;I78&amp;MATCH(N36,数出表_Excel!$A:$A,0)-1&amp;":AL"&amp;MATCH(N36,数出表_Excel!$A:$A,0)-1&amp;"")&lt;&gt;"",0)
),
 "")
&amp;IFERROR(
INDEX(INDIRECT("数出表_Excel!$"&amp;I78&amp;"5:$AL5"),
 1,
MATCH(TRUE,INDIRECT("'数出表_Excel'!"&amp;I78&amp;MATCH(N36,数出表_Excel!$A:$A,0)-1&amp;":AL"&amp;MATCH(N36,数出表_Excel!$A:$A,0)-1&amp;"")&lt;&gt;"",0)),
 "")),"")))</f>
        <v/>
      </c>
      <c r="M79" s="83" t="str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92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76"/>
      <c r="P79" s="76"/>
      <c r="Q79" s="81" t="e" cm="1">
        <f t="array" aca="1" ref="Q79" ca="1">IF(INDIRECT(""&amp;SUBSTITUTE(ADDRESS(1,
COLUMN(),1),"1","")&amp;ROW()-41&amp;"")&lt;&gt;100,
IF(R81&lt;&gt;"",MATCH(R81,INDIRECT("数出表_Excel!B"&amp;MATCH(INDIRECT(""&amp;V78&amp;ROW()-43&amp;""),数出表_Excel!$A:$A,0)-1&amp;":U"&amp;MATCH(INDIRECT(""&amp;V78&amp;ROW()-43&amp;""),数出表_Excel!$A:$A,0)-1&amp;""),0)+1,""),
IF(R81&lt;&gt;"",
MATCH(
IFERROR(
INDEX(INDIRECT("数出表_Excel!"&amp;Q78&amp;MATCH(INDIRECT(""&amp;V78&amp;ROW()-43&amp;""),数出表_Excel!$A:$A,0)-1&amp;":U"&amp;MATCH(INDIRECT(""&amp;V78&amp;ROW()-43&amp;""),数出表_Excel!$A:$A,0)-1&amp;""),
 1,
 MATCH(TRUE, ISNUMBER(--INDIRECT("数出表_Excel!"&amp;Q78&amp;MATCH(INDIRECT(""&amp;V78&amp;ROW()-43&amp;""),数出表_Excel!$A:$A,0)-1&amp;":U"&amp;MATCH(INDIRECT(""&amp;V78&amp;ROW()-43&amp;""),数出表_Excel!$A:$A,0)-1&amp;"")), 0)),
 ""),
INDIRECT("数出表_Excel!B"&amp;MATCH(INDIRECT(""&amp;V78&amp;ROW()-43&amp;""),数出表_Excel!$A:$A,0)-1&amp;":U"&amp;MATCH(INDIRECT(""&amp;V78&amp;ROW()-43&amp;""),数出表_Excel!$A:$A,0)-1&amp;""),0)+1,""))</f>
        <v>#VALUE!</v>
      </c>
      <c r="R79" s="58" t="str" cm="1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76"/>
      <c r="T79" s="82" t="str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83" t="str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92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76"/>
      <c r="X79" s="81" t="e" cm="1">
        <f t="array" aca="1" ref="X79" ca="1">IF(INDIRECT(""&amp;SUBSTITUTE(ADDRESS(1,
COLUMN(),1),"1","")&amp;ROW()-41&amp;"")&lt;&gt;100,
IF(Y81&lt;&gt;"",MATCH(Y81,INDIRECT("数出表_Excel!B"&amp;MATCH(INDIRECT(""&amp;AC78&amp;ROW()-43&amp;""),数出表_Excel!$A:$A,0)-1&amp;":U"&amp;MATCH(INDIRECT(""&amp;AC78&amp;ROW()-43&amp;""),数出表_Excel!$A:$A,0)-1&amp;""),0)+1,""),
IF(Y81&lt;&gt;"",
MATCH(
IFERROR(
INDEX(INDIRECT("数出表_Excel!"&amp;X78&amp;MATCH(INDIRECT(""&amp;AC78&amp;ROW()-43&amp;""),数出表_Excel!$A:$A,0)-1&amp;":U"&amp;MATCH(INDIRECT(""&amp;AC78&amp;ROW()-43&amp;""),数出表_Excel!$A:$A,0)-1&amp;""),
 1,
 MATCH(TRUE, ISNUMBER(--INDIRECT("数出表_Excel!"&amp;X78&amp;MATCH(INDIRECT(""&amp;AC78&amp;ROW()-43&amp;""),数出表_Excel!$A:$A,0)-1&amp;":U"&amp;MATCH(INDIRECT(""&amp;AC78&amp;ROW()-43&amp;""),数出表_Excel!$A:$A,0)-1&amp;"")), 0)),
 ""),
INDIRECT("数出表_Excel!B"&amp;MATCH(INDIRECT(""&amp;AC78&amp;ROW()-43&amp;""),数出表_Excel!$A:$A,0)-1&amp;":U"&amp;MATCH(INDIRECT(""&amp;AC78&amp;ROW()-43&amp;""),数出表_Excel!$A:$A,0)-1&amp;""),0)+1,""))</f>
        <v>#VALUE!</v>
      </c>
      <c r="Y79" s="58" t="str" cm="1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76"/>
      <c r="AA79" s="82" t="str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+MATCH(TRUE,INDIRECT("'数出表_Excel'!"&amp;X78&amp;MATCH(AC36,数出表_Excel!$A:$A,0)-1&amp;":AL"&amp;MATCH(AC36,数出表_Excel!$A:$A,0)-1&amp;"")&lt;&gt;"",0))&gt;12,"",
IFERROR(
INDEX(INDIRECT("数出表_Excel!$"&amp;X78&amp;"4:$AL4"),
 1,
MATCH(TRUE,INDIRECT("'数出表_Excel'!"&amp;X78&amp;MATCH(AC36,数出表_Excel!$A:$A,0)-1&amp;":AL"&amp;MATCH(AC36,数出表_Excel!$A:$A,0)-1&amp;"")&lt;&gt;"",0)
),
 "")
&amp;IFERROR(
INDEX(INDIRECT("数出表_Excel!$"&amp;X78&amp;"5:$AL5"),
 1,
MATCH(TRUE,INDIRECT("'数出表_Excel'!"&amp;X78&amp;MATCH(AC36,数出表_Excel!$A:$A,0)-1&amp;":AL"&amp;MATCH(AC36,数出表_Excel!$A:$A,0)-1&amp;"")&lt;&gt;"",0)),
 "")),"")))</f>
        <v/>
      </c>
      <c r="AB79" s="83" t="str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92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76"/>
      <c r="AE79" s="76"/>
      <c r="AF79" s="81" t="e" cm="1">
        <f t="array" aca="1" ref="AF79" ca="1">IF(INDIRECT(""&amp;SUBSTITUTE(ADDRESS(1,
COLUMN(),1),"1","")&amp;ROW()-41&amp;"")&lt;&gt;100,
IF(AG81&lt;&gt;"",MATCH(AG81,INDIRECT("数出表_Excel!B"&amp;MATCH(INDIRECT(""&amp;AK78&amp;ROW()-43&amp;""),数出表_Excel!$A:$A,0)-1&amp;":U"&amp;MATCH(INDIRECT(""&amp;AK78&amp;ROW()-43&amp;""),数出表_Excel!$A:$A,0)-1&amp;""),0)+1,""),
IF(AG81&lt;&gt;"",
MATCH(
IFERROR(
INDEX(INDIRECT("数出表_Excel!"&amp;AF78&amp;MATCH(INDIRECT(""&amp;AK78&amp;ROW()-43&amp;""),数出表_Excel!$A:$A,0)-1&amp;":U"&amp;MATCH(INDIRECT(""&amp;AK78&amp;ROW()-43&amp;""),数出表_Excel!$A:$A,0)-1&amp;""),
 1,
 MATCH(TRUE, ISNUMBER(--INDIRECT("数出表_Excel!"&amp;AF78&amp;MATCH(INDIRECT(""&amp;AK78&amp;ROW()-43&amp;""),数出表_Excel!$A:$A,0)-1&amp;":U"&amp;MATCH(INDIRECT(""&amp;AK78&amp;ROW()-43&amp;""),数出表_Excel!$A:$A,0)-1&amp;"")), 0)),
 ""),
INDIRECT("数出表_Excel!B"&amp;MATCH(INDIRECT(""&amp;AK78&amp;ROW()-43&amp;""),数出表_Excel!$A:$A,0)-1&amp;":U"&amp;MATCH(INDIRECT(""&amp;AK78&amp;ROW()-43&amp;""),数出表_Excel!$A:$A,0)-1&amp;""),0)+1,""))</f>
        <v>#VALUE!</v>
      </c>
      <c r="AG79" s="58" t="str" cm="1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76"/>
      <c r="AI79" s="82" t="str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83" t="str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92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76"/>
      <c r="AM79" s="81" t="e" cm="1">
        <f t="array" aca="1" ref="AM79" ca="1">IF(INDIRECT(""&amp;SUBSTITUTE(ADDRESS(1,
COLUMN(),1),"1","")&amp;ROW()-41&amp;"")&lt;&gt;100,
IF(AN81&lt;&gt;"",MATCH(AN81,INDIRECT("数出表_Excel!B"&amp;MATCH(INDIRECT(""&amp;AR78&amp;ROW()-43&amp;""),数出表_Excel!$A:$A,0)-1&amp;":U"&amp;MATCH(INDIRECT(""&amp;AR78&amp;ROW()-43&amp;""),数出表_Excel!$A:$A,0)-1&amp;""),0)+1,""),
IF(AN81&lt;&gt;"",
MATCH(
IFERROR(
INDEX(INDIRECT("数出表_Excel!"&amp;AM78&amp;MATCH(INDIRECT(""&amp;AR78&amp;ROW()-43&amp;""),数出表_Excel!$A:$A,0)-1&amp;":U"&amp;MATCH(INDIRECT(""&amp;AR78&amp;ROW()-43&amp;""),数出表_Excel!$A:$A,0)-1&amp;""),
 1,
 MATCH(TRUE, ISNUMBER(--INDIRECT("数出表_Excel!"&amp;AM78&amp;MATCH(INDIRECT(""&amp;AR78&amp;ROW()-43&amp;""),数出表_Excel!$A:$A,0)-1&amp;":U"&amp;MATCH(INDIRECT(""&amp;AR78&amp;ROW()-43&amp;""),数出表_Excel!$A:$A,0)-1&amp;"")), 0)),
 ""),
INDIRECT("数出表_Excel!B"&amp;MATCH(INDIRECT(""&amp;AR78&amp;ROW()-43&amp;""),数出表_Excel!$A:$A,0)-1&amp;":U"&amp;MATCH(INDIRECT(""&amp;AR78&amp;ROW()-43&amp;""),数出表_Excel!$A:$A,0)-1&amp;""),0)+1,""))</f>
        <v>#VALUE!</v>
      </c>
      <c r="AN79" s="58" t="str" cm="1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76"/>
      <c r="AP79" s="82" t="str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+MATCH(TRUE,INDIRECT("'数出表_Excel'!"&amp;AM78&amp;MATCH(AR36,数出表_Excel!$A:$A,0)-1&amp;":AL"&amp;MATCH(AR36,数出表_Excel!$A:$A,0)-1&amp;"")&lt;&gt;"",0))&gt;12,"",
IFERROR(
INDEX(INDIRECT("数出表_Excel!$"&amp;AM78&amp;"4:$AL4"),
 1,
MATCH(TRUE,INDIRECT("'数出表_Excel'!"&amp;AM78&amp;MATCH(AR36,数出表_Excel!$A:$A,0)-1&amp;":AL"&amp;MATCH(AR36,数出表_Excel!$A:$A,0)-1&amp;"")&lt;&gt;"",0)
),
 "")
&amp;IFERROR(
INDEX(INDIRECT("数出表_Excel!$"&amp;AM78&amp;"5:$AL5"),
 1,
MATCH(TRUE,INDIRECT("'数出表_Excel'!"&amp;AM78&amp;MATCH(AR36,数出表_Excel!$A:$A,0)-1&amp;":AL"&amp;MATCH(AR36,数出表_Excel!$A:$A,0)-1&amp;"")&lt;&gt;"",0)),
 "")),"")))</f>
        <v/>
      </c>
      <c r="AQ79" s="83" t="str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92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76"/>
      <c r="AT79" s="76"/>
      <c r="AU79" s="81" t="e" cm="1">
        <f t="array" aca="1" ref="AU79" ca="1">IF(INDIRECT(""&amp;SUBSTITUTE(ADDRESS(1,
COLUMN(),1),"1","")&amp;ROW()-41&amp;"")&lt;&gt;100,
IF(AV81&lt;&gt;"",MATCH(AV81,INDIRECT("数出表_Excel!B"&amp;MATCH(INDIRECT(""&amp;AZ78&amp;ROW()-43&amp;""),数出表_Excel!$A:$A,0)-1&amp;":U"&amp;MATCH(INDIRECT(""&amp;AZ78&amp;ROW()-43&amp;""),数出表_Excel!$A:$A,0)-1&amp;""),0)+1,""),
IF(AV81&lt;&gt;"",
MATCH(
IFERROR(
INDEX(INDIRECT("数出表_Excel!"&amp;AU78&amp;MATCH(INDIRECT(""&amp;AZ78&amp;ROW()-43&amp;""),数出表_Excel!$A:$A,0)-1&amp;":U"&amp;MATCH(INDIRECT(""&amp;AZ78&amp;ROW()-43&amp;""),数出表_Excel!$A:$A,0)-1&amp;""),
 1,
 MATCH(TRUE, ISNUMBER(--INDIRECT("数出表_Excel!"&amp;AU78&amp;MATCH(INDIRECT(""&amp;AZ78&amp;ROW()-43&amp;""),数出表_Excel!$A:$A,0)-1&amp;":U"&amp;MATCH(INDIRECT(""&amp;AZ78&amp;ROW()-43&amp;""),数出表_Excel!$A:$A,0)-1&amp;"")), 0)),
 ""),
INDIRECT("数出表_Excel!B"&amp;MATCH(INDIRECT(""&amp;AZ78&amp;ROW()-43&amp;""),数出表_Excel!$A:$A,0)-1&amp;":U"&amp;MATCH(INDIRECT(""&amp;AZ78&amp;ROW()-43&amp;""),数出表_Excel!$A:$A,0)-1&amp;""),0)+1,""))</f>
        <v>#VALUE!</v>
      </c>
      <c r="AV79" s="58" t="str" cm="1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76"/>
      <c r="AX79" s="82" t="str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83" t="str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92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76"/>
      <c r="BB79" s="81" t="e" cm="1">
        <f t="array" aca="1" ref="BB79" ca="1">IF(INDIRECT(""&amp;SUBSTITUTE(ADDRESS(1,
COLUMN(),1),"1","")&amp;ROW()-41&amp;"")&lt;&gt;100,
IF(BC81&lt;&gt;"",MATCH(BC81,INDIRECT("数出表_Excel!B"&amp;MATCH(INDIRECT(""&amp;BG78&amp;ROW()-43&amp;""),数出表_Excel!$A:$A,0)-1&amp;":U"&amp;MATCH(INDIRECT(""&amp;BG78&amp;ROW()-43&amp;""),数出表_Excel!$A:$A,0)-1&amp;""),0)+1,""),
IF(BC81&lt;&gt;"",
MATCH(
IFERROR(
INDEX(INDIRECT("数出表_Excel!"&amp;BB78&amp;MATCH(INDIRECT(""&amp;BG78&amp;ROW()-43&amp;""),数出表_Excel!$A:$A,0)-1&amp;":U"&amp;MATCH(INDIRECT(""&amp;BG78&amp;ROW()-43&amp;""),数出表_Excel!$A:$A,0)-1&amp;""),
 1,
 MATCH(TRUE, ISNUMBER(--INDIRECT("数出表_Excel!"&amp;BB78&amp;MATCH(INDIRECT(""&amp;BG78&amp;ROW()-43&amp;""),数出表_Excel!$A:$A,0)-1&amp;":U"&amp;MATCH(INDIRECT(""&amp;BG78&amp;ROW()-43&amp;""),数出表_Excel!$A:$A,0)-1&amp;"")), 0)),
 ""),
INDIRECT("数出表_Excel!B"&amp;MATCH(INDIRECT(""&amp;BG78&amp;ROW()-43&amp;""),数出表_Excel!$A:$A,0)-1&amp;":U"&amp;MATCH(INDIRECT(""&amp;BG78&amp;ROW()-43&amp;""),数出表_Excel!$A:$A,0)-1&amp;""),0)+1,""))</f>
        <v>#VALUE!</v>
      </c>
      <c r="BC79" s="58" t="str" cm="1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76"/>
      <c r="BE79" s="82" t="str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+MATCH(TRUE,INDIRECT("'数出表_Excel'!"&amp;BB78&amp;MATCH(BG36,数出表_Excel!$A:$A,0)-1&amp;":AL"&amp;MATCH(BG36,数出表_Excel!$A:$A,0)-1&amp;"")&lt;&gt;"",0))&gt;12,"",
IFERROR(
INDEX(INDIRECT("数出表_Excel!$"&amp;BB78&amp;"4:$AL4"),
 1,
MATCH(TRUE,INDIRECT("'数出表_Excel'!"&amp;BB78&amp;MATCH(BG36,数出表_Excel!$A:$A,0)-1&amp;":AL"&amp;MATCH(BG36,数出表_Excel!$A:$A,0)-1&amp;"")&lt;&gt;"",0)
),
 "")
&amp;IFERROR(
INDEX(INDIRECT("数出表_Excel!$"&amp;BB78&amp;"5:$AL5"),
 1,
MATCH(TRUE,INDIRECT("'数出表_Excel'!"&amp;BB78&amp;MATCH(BG36,数出表_Excel!$A:$A,0)-1&amp;":AL"&amp;MATCH(BG36,数出表_Excel!$A:$A,0)-1&amp;"")&lt;&gt;"",0)),
 "")),"")))</f>
        <v/>
      </c>
      <c r="BF79" s="83" t="str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92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76"/>
      <c r="BI79" s="76"/>
      <c r="BJ79" s="81" t="e" cm="1">
        <f t="array" aca="1" ref="BJ79" ca="1">IF(INDIRECT(""&amp;SUBSTITUTE(ADDRESS(1,
COLUMN(),1),"1","")&amp;ROW()-41&amp;"")&lt;&gt;100,
IF(BK81&lt;&gt;"",MATCH(BK81,INDIRECT("数出表_Excel!B"&amp;MATCH(INDIRECT(""&amp;BO78&amp;ROW()-43&amp;""),数出表_Excel!$A:$A,0)-1&amp;":U"&amp;MATCH(INDIRECT(""&amp;BO78&amp;ROW()-43&amp;""),数出表_Excel!$A:$A,0)-1&amp;""),0)+1,""),
IF(BK81&lt;&gt;"",
MATCH(
IFERROR(
INDEX(INDIRECT("数出表_Excel!"&amp;BJ78&amp;MATCH(INDIRECT(""&amp;BO78&amp;ROW()-43&amp;""),数出表_Excel!$A:$A,0)-1&amp;":U"&amp;MATCH(INDIRECT(""&amp;BO78&amp;ROW()-43&amp;""),数出表_Excel!$A:$A,0)-1&amp;""),
 1,
 MATCH(TRUE, ISNUMBER(--INDIRECT("数出表_Excel!"&amp;BJ78&amp;MATCH(INDIRECT(""&amp;BO78&amp;ROW()-43&amp;""),数出表_Excel!$A:$A,0)-1&amp;":U"&amp;MATCH(INDIRECT(""&amp;BO78&amp;ROW()-43&amp;""),数出表_Excel!$A:$A,0)-1&amp;"")), 0)),
 ""),
INDIRECT("数出表_Excel!B"&amp;MATCH(INDIRECT(""&amp;BO78&amp;ROW()-43&amp;""),数出表_Excel!$A:$A,0)-1&amp;":U"&amp;MATCH(INDIRECT(""&amp;BO78&amp;ROW()-43&amp;""),数出表_Excel!$A:$A,0)-1&amp;""),0)+1,""))</f>
        <v>#VALUE!</v>
      </c>
      <c r="BK79" s="58" t="str" cm="1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76"/>
      <c r="BM79" s="82" t="str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83" t="str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92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76"/>
      <c r="BQ79" s="81" t="e" cm="1">
        <f t="array" aca="1" ref="BQ79" ca="1">IF(INDIRECT(""&amp;SUBSTITUTE(ADDRESS(1,
COLUMN(),1),"1","")&amp;ROW()-41&amp;"")&lt;&gt;100,
IF(BR81&lt;&gt;"",MATCH(BR81,INDIRECT("数出表_Excel!B"&amp;MATCH(INDIRECT(""&amp;BV78&amp;ROW()-43&amp;""),数出表_Excel!$A:$A,0)-1&amp;":U"&amp;MATCH(INDIRECT(""&amp;BV78&amp;ROW()-43&amp;""),数出表_Excel!$A:$A,0)-1&amp;""),0)+1,""),
IF(BR81&lt;&gt;"",
MATCH(
IFERROR(
INDEX(INDIRECT("数出表_Excel!"&amp;BQ78&amp;MATCH(INDIRECT(""&amp;BV78&amp;ROW()-43&amp;""),数出表_Excel!$A:$A,0)-1&amp;":U"&amp;MATCH(INDIRECT(""&amp;BV78&amp;ROW()-43&amp;""),数出表_Excel!$A:$A,0)-1&amp;""),
 1,
 MATCH(TRUE, ISNUMBER(--INDIRECT("数出表_Excel!"&amp;BQ78&amp;MATCH(INDIRECT(""&amp;BV78&amp;ROW()-43&amp;""),数出表_Excel!$A:$A,0)-1&amp;":U"&amp;MATCH(INDIRECT(""&amp;BV78&amp;ROW()-43&amp;""),数出表_Excel!$A:$A,0)-1&amp;"")), 0)),
 ""),
INDIRECT("数出表_Excel!B"&amp;MATCH(INDIRECT(""&amp;BV78&amp;ROW()-43&amp;""),数出表_Excel!$A:$A,0)-1&amp;":U"&amp;MATCH(INDIRECT(""&amp;BV78&amp;ROW()-43&amp;""),数出表_Excel!$A:$A,0)-1&amp;""),0)+1,""))</f>
        <v>#VALUE!</v>
      </c>
      <c r="BR79" s="58" t="str" cm="1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76"/>
      <c r="BT79" s="82" t="str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+MATCH(TRUE,INDIRECT("'数出表_Excel'!"&amp;BQ78&amp;MATCH(BV36,数出表_Excel!$A:$A,0)-1&amp;":AL"&amp;MATCH(BV36,数出表_Excel!$A:$A,0)-1&amp;"")&lt;&gt;"",0))&gt;12,"",
IFERROR(
INDEX(INDIRECT("数出表_Excel!$"&amp;BQ78&amp;"4:$AL4"),
 1,
MATCH(TRUE,INDIRECT("'数出表_Excel'!"&amp;BQ78&amp;MATCH(BV36,数出表_Excel!$A:$A,0)-1&amp;":AL"&amp;MATCH(BV36,数出表_Excel!$A:$A,0)-1&amp;"")&lt;&gt;"",0)
),
 "")
&amp;IFERROR(
INDEX(INDIRECT("数出表_Excel!$"&amp;BQ78&amp;"5:$AL5"),
 1,
MATCH(TRUE,INDIRECT("'数出表_Excel'!"&amp;BQ78&amp;MATCH(BV36,数出表_Excel!$A:$A,0)-1&amp;":AL"&amp;MATCH(BV36,数出表_Excel!$A:$A,0)-1&amp;"")&lt;&gt;"",0)),
 "")),"")))</f>
        <v/>
      </c>
      <c r="BU79" s="83" t="str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92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76"/>
      <c r="BX79" s="76"/>
      <c r="BY79" s="81" t="e" cm="1">
        <f t="array" aca="1" ref="BY79" ca="1">IF(INDIRECT(""&amp;SUBSTITUTE(ADDRESS(1,
COLUMN(),1),"1","")&amp;ROW()-41&amp;"")&lt;&gt;100,
IF(BZ81&lt;&gt;"",MATCH(BZ81,INDIRECT("数出表_Excel!B"&amp;MATCH(INDIRECT(""&amp;CD78&amp;ROW()-43&amp;""),数出表_Excel!$A:$A,0)-1&amp;":U"&amp;MATCH(INDIRECT(""&amp;CD78&amp;ROW()-43&amp;""),数出表_Excel!$A:$A,0)-1&amp;""),0)+1,""),
IF(BZ81&lt;&gt;"",
MATCH(
IFERROR(
INDEX(INDIRECT("数出表_Excel!"&amp;BY78&amp;MATCH(INDIRECT(""&amp;CD78&amp;ROW()-43&amp;""),数出表_Excel!$A:$A,0)-1&amp;":U"&amp;MATCH(INDIRECT(""&amp;CD78&amp;ROW()-43&amp;""),数出表_Excel!$A:$A,0)-1&amp;""),
 1,
 MATCH(TRUE, ISNUMBER(--INDIRECT("数出表_Excel!"&amp;BY78&amp;MATCH(INDIRECT(""&amp;CD78&amp;ROW()-43&amp;""),数出表_Excel!$A:$A,0)-1&amp;":U"&amp;MATCH(INDIRECT(""&amp;CD78&amp;ROW()-43&amp;""),数出表_Excel!$A:$A,0)-1&amp;"")), 0)),
 ""),
INDIRECT("数出表_Excel!B"&amp;MATCH(INDIRECT(""&amp;CD78&amp;ROW()-43&amp;""),数出表_Excel!$A:$A,0)-1&amp;":U"&amp;MATCH(INDIRECT(""&amp;CD78&amp;ROW()-43&amp;""),数出表_Excel!$A:$A,0)-1&amp;""),0)+1,""))</f>
        <v>#VALUE!</v>
      </c>
      <c r="BZ79" s="58" t="str" cm="1">
        <f t="array" aca="1" ref="BZ79" ca="1">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</f>
        <v/>
      </c>
      <c r="CA79" s="76"/>
      <c r="CB79" s="82" t="str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83" t="str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92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76"/>
      <c r="CF79" s="81" t="e" cm="1">
        <f t="array" aca="1" ref="CF79" ca="1">IF(INDIRECT(""&amp;SUBSTITUTE(ADDRESS(1,
COLUMN(),1),"1","")&amp;ROW()-41&amp;"")&lt;&gt;100,
IF(CG81&lt;&gt;"",MATCH(CG81,INDIRECT("数出表_Excel!B"&amp;MATCH(INDIRECT(""&amp;CK78&amp;ROW()-43&amp;""),数出表_Excel!$A:$A,0)-1&amp;":U"&amp;MATCH(INDIRECT(""&amp;CK78&amp;ROW()-43&amp;""),数出表_Excel!$A:$A,0)-1&amp;""),0)+1,""),
IF(CG81&lt;&gt;"",
MATCH(
IFERROR(
INDEX(INDIRECT("数出表_Excel!"&amp;CF78&amp;MATCH(INDIRECT(""&amp;CK78&amp;ROW()-43&amp;""),数出表_Excel!$A:$A,0)-1&amp;":U"&amp;MATCH(INDIRECT(""&amp;CK78&amp;ROW()-43&amp;""),数出表_Excel!$A:$A,0)-1&amp;""),
 1,
 MATCH(TRUE, ISNUMBER(--INDIRECT("数出表_Excel!"&amp;CF78&amp;MATCH(INDIRECT(""&amp;CK78&amp;ROW()-43&amp;""),数出表_Excel!$A:$A,0)-1&amp;":U"&amp;MATCH(INDIRECT(""&amp;CK78&amp;ROW()-43&amp;""),数出表_Excel!$A:$A,0)-1&amp;"")), 0)),
 ""),
INDIRECT("数出表_Excel!B"&amp;MATCH(INDIRECT(""&amp;CK78&amp;ROW()-43&amp;""),数出表_Excel!$A:$A,0)-1&amp;":U"&amp;MATCH(INDIRECT(""&amp;CK78&amp;ROW()-43&amp;""),数出表_Excel!$A:$A,0)-1&amp;""),0)+1,""))</f>
        <v>#VALUE!</v>
      </c>
      <c r="CG79" s="58" t="str" cm="1">
        <f t="array" aca="1" ref="CG79" ca="1">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</f>
        <v/>
      </c>
      <c r="CH79" s="76"/>
      <c r="CI79" s="82" t="str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+MATCH(TRUE,INDIRECT("'数出表_Excel'!"&amp;CF78&amp;MATCH(CK36,数出表_Excel!$A:$A,0)-1&amp;":AL"&amp;MATCH(CK36,数出表_Excel!$A:$A,0)-1&amp;"")&lt;&gt;"",0))&gt;12,"",
IFERROR(
INDEX(INDIRECT("数出表_Excel!$"&amp;CF78&amp;"4:$AL4"),
 1,
MATCH(TRUE,INDIRECT("'数出表_Excel'!"&amp;CF78&amp;MATCH(CK36,数出表_Excel!$A:$A,0)-1&amp;":AL"&amp;MATCH(CK36,数出表_Excel!$A:$A,0)-1&amp;"")&lt;&gt;"",0)
),
 "")
&amp;IFERROR(
INDEX(INDIRECT("数出表_Excel!$"&amp;CF78&amp;"5:$AL5"),
 1,
MATCH(TRUE,INDIRECT("'数出表_Excel'!"&amp;CF78&amp;MATCH(CK36,数出表_Excel!$A:$A,0)-1&amp;":AL"&amp;MATCH(CK36,数出表_Excel!$A:$A,0)-1&amp;"")&lt;&gt;"",0)),
 "")),"")))</f>
        <v/>
      </c>
      <c r="CJ79" s="83" t="str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92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76"/>
      <c r="CM79" s="76"/>
      <c r="CN79" s="81" t="e" cm="1">
        <f t="array" aca="1" ref="CN79" ca="1">IF(INDIRECT(""&amp;SUBSTITUTE(ADDRESS(1,
COLUMN(),1),"1","")&amp;ROW()-41&amp;"")&lt;&gt;100,
IF(CO81&lt;&gt;"",MATCH(CO81,INDIRECT("数出表_Excel!B"&amp;MATCH(INDIRECT(""&amp;CS78&amp;ROW()-43&amp;""),数出表_Excel!$A:$A,0)-1&amp;":U"&amp;MATCH(INDIRECT(""&amp;CS78&amp;ROW()-43&amp;""),数出表_Excel!$A:$A,0)-1&amp;""),0)+1,""),
IF(CO81&lt;&gt;"",
MATCH(
IFERROR(
INDEX(INDIRECT("数出表_Excel!"&amp;CN78&amp;MATCH(INDIRECT(""&amp;CS78&amp;ROW()-43&amp;""),数出表_Excel!$A:$A,0)-1&amp;":U"&amp;MATCH(INDIRECT(""&amp;CS78&amp;ROW()-43&amp;""),数出表_Excel!$A:$A,0)-1&amp;""),
 1,
 MATCH(TRUE, ISNUMBER(--INDIRECT("数出表_Excel!"&amp;CN78&amp;MATCH(INDIRECT(""&amp;CS78&amp;ROW()-43&amp;""),数出表_Excel!$A:$A,0)-1&amp;":U"&amp;MATCH(INDIRECT(""&amp;CS78&amp;ROW()-43&amp;""),数出表_Excel!$A:$A,0)-1&amp;"")), 0)),
 ""),
INDIRECT("数出表_Excel!B"&amp;MATCH(INDIRECT(""&amp;CS78&amp;ROW()-43&amp;""),数出表_Excel!$A:$A,0)-1&amp;":U"&amp;MATCH(INDIRECT(""&amp;CS78&amp;ROW()-43&amp;""),数出表_Excel!$A:$A,0)-1&amp;""),0)+1,""))</f>
        <v>#VALUE!</v>
      </c>
      <c r="CO79" s="58" t="str" cm="1">
        <f t="array" aca="1" ref="CO79" ca="1">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</f>
        <v/>
      </c>
      <c r="CP79" s="76"/>
      <c r="CQ79" s="82" t="str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83" t="str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92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76"/>
      <c r="CU79" s="81" t="e" cm="1">
        <f t="array" aca="1" ref="CU79" ca="1">IF(INDIRECT(""&amp;SUBSTITUTE(ADDRESS(1,
COLUMN(),1),"1","")&amp;ROW()-41&amp;"")&lt;&gt;100,
IF(CV81&lt;&gt;"",MATCH(CV81,INDIRECT("数出表_Excel!B"&amp;MATCH(INDIRECT(""&amp;CZ78&amp;ROW()-43&amp;""),数出表_Excel!$A:$A,0)-1&amp;":U"&amp;MATCH(INDIRECT(""&amp;CZ78&amp;ROW()-43&amp;""),数出表_Excel!$A:$A,0)-1&amp;""),0)+1,""),
IF(CV81&lt;&gt;"",
MATCH(
IFERROR(
INDEX(INDIRECT("数出表_Excel!"&amp;CU78&amp;MATCH(INDIRECT(""&amp;CZ78&amp;ROW()-43&amp;""),数出表_Excel!$A:$A,0)-1&amp;":U"&amp;MATCH(INDIRECT(""&amp;CZ78&amp;ROW()-43&amp;""),数出表_Excel!$A:$A,0)-1&amp;""),
 1,
 MATCH(TRUE, ISNUMBER(--INDIRECT("数出表_Excel!"&amp;CU78&amp;MATCH(INDIRECT(""&amp;CZ78&amp;ROW()-43&amp;""),数出表_Excel!$A:$A,0)-1&amp;":U"&amp;MATCH(INDIRECT(""&amp;CZ78&amp;ROW()-43&amp;""),数出表_Excel!$A:$A,0)-1&amp;"")), 0)),
 ""),
INDIRECT("数出表_Excel!B"&amp;MATCH(INDIRECT(""&amp;CZ78&amp;ROW()-43&amp;""),数出表_Excel!$A:$A,0)-1&amp;":U"&amp;MATCH(INDIRECT(""&amp;CZ78&amp;ROW()-43&amp;""),数出表_Excel!$A:$A,0)-1&amp;""),0)+1,""))</f>
        <v>#VALUE!</v>
      </c>
      <c r="CV79" s="58" t="str" cm="1">
        <f t="array" aca="1" ref="CV79" ca="1">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</f>
        <v/>
      </c>
      <c r="CW79" s="76"/>
      <c r="CX79" s="82" t="str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+MATCH(TRUE,INDIRECT("'数出表_Excel'!"&amp;CU78&amp;MATCH(CZ36,数出表_Excel!$A:$A,0)-1&amp;":AL"&amp;MATCH(CZ36,数出表_Excel!$A:$A,0)-1&amp;"")&lt;&gt;"",0))&gt;12,"",
IFERROR(
INDEX(INDIRECT("数出表_Excel!$"&amp;CU78&amp;"4:$AL4"),
 1,
MATCH(TRUE,INDIRECT("'数出表_Excel'!"&amp;CU78&amp;MATCH(CZ36,数出表_Excel!$A:$A,0)-1&amp;":AL"&amp;MATCH(CZ36,数出表_Excel!$A:$A,0)-1&amp;"")&lt;&gt;"",0)
),
 "")
&amp;IFERROR(
INDEX(INDIRECT("数出表_Excel!$"&amp;CU78&amp;"5:$AL5"),
 1,
MATCH(TRUE,INDIRECT("'数出表_Excel'!"&amp;CU78&amp;MATCH(CZ36,数出表_Excel!$A:$A,0)-1&amp;":AL"&amp;MATCH(CZ36,数出表_Excel!$A:$A,0)-1&amp;"")&lt;&gt;"",0)),
 "")),"")))</f>
        <v/>
      </c>
      <c r="CY79" s="83" t="str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92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76"/>
      <c r="DB79" s="76"/>
      <c r="DC79" s="81" t="e" cm="1">
        <f t="array" aca="1" ref="DC79" ca="1">IF(INDIRECT(""&amp;SUBSTITUTE(ADDRESS(1,
COLUMN(),1),"1","")&amp;ROW()-41&amp;"")&lt;&gt;100,
IF(DD81&lt;&gt;"",MATCH(DD81,INDIRECT("数出表_Excel!B"&amp;MATCH(INDIRECT(""&amp;DH78&amp;ROW()-43&amp;""),数出表_Excel!$A:$A,0)-1&amp;":U"&amp;MATCH(INDIRECT(""&amp;DH78&amp;ROW()-43&amp;""),数出表_Excel!$A:$A,0)-1&amp;""),0)+1,""),
IF(DD81&lt;&gt;"",
MATCH(
IFERROR(
INDEX(INDIRECT("数出表_Excel!"&amp;DC78&amp;MATCH(INDIRECT(""&amp;DH78&amp;ROW()-43&amp;""),数出表_Excel!$A:$A,0)-1&amp;":U"&amp;MATCH(INDIRECT(""&amp;DH78&amp;ROW()-43&amp;""),数出表_Excel!$A:$A,0)-1&amp;""),
 1,
 MATCH(TRUE, ISNUMBER(--INDIRECT("数出表_Excel!"&amp;DC78&amp;MATCH(INDIRECT(""&amp;DH78&amp;ROW()-43&amp;""),数出表_Excel!$A:$A,0)-1&amp;":U"&amp;MATCH(INDIRECT(""&amp;DH78&amp;ROW()-43&amp;""),数出表_Excel!$A:$A,0)-1&amp;"")), 0)),
 ""),
INDIRECT("数出表_Excel!B"&amp;MATCH(INDIRECT(""&amp;DH78&amp;ROW()-43&amp;""),数出表_Excel!$A:$A,0)-1&amp;":U"&amp;MATCH(INDIRECT(""&amp;DH78&amp;ROW()-43&amp;""),数出表_Excel!$A:$A,0)-1&amp;""),0)+1,""))</f>
        <v>#VALUE!</v>
      </c>
      <c r="DD79" s="58" t="str" cm="1">
        <f t="array" aca="1" ref="DD79" ca="1">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</f>
        <v/>
      </c>
      <c r="DE79" s="76"/>
      <c r="DF79" s="82" t="str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83" t="str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92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76"/>
      <c r="DJ79" s="81" t="e" cm="1">
        <f t="array" aca="1" ref="DJ79" ca="1">IF(INDIRECT(""&amp;SUBSTITUTE(ADDRESS(1,
COLUMN(),1),"1","")&amp;ROW()-41&amp;"")&lt;&gt;100,
IF(DK81&lt;&gt;"",MATCH(DK81,INDIRECT("数出表_Excel!B"&amp;MATCH(INDIRECT(""&amp;DO78&amp;ROW()-43&amp;""),数出表_Excel!$A:$A,0)-1&amp;":U"&amp;MATCH(INDIRECT(""&amp;DO78&amp;ROW()-43&amp;""),数出表_Excel!$A:$A,0)-1&amp;""),0)+1,""),
IF(DK81&lt;&gt;"",
MATCH(
IFERROR(
INDEX(INDIRECT("数出表_Excel!"&amp;DJ78&amp;MATCH(INDIRECT(""&amp;DO78&amp;ROW()-43&amp;""),数出表_Excel!$A:$A,0)-1&amp;":U"&amp;MATCH(INDIRECT(""&amp;DO78&amp;ROW()-43&amp;""),数出表_Excel!$A:$A,0)-1&amp;""),
 1,
 MATCH(TRUE, ISNUMBER(--INDIRECT("数出表_Excel!"&amp;DJ78&amp;MATCH(INDIRECT(""&amp;DO78&amp;ROW()-43&amp;""),数出表_Excel!$A:$A,0)-1&amp;":U"&amp;MATCH(INDIRECT(""&amp;DO78&amp;ROW()-43&amp;""),数出表_Excel!$A:$A,0)-1&amp;"")), 0)),
 ""),
INDIRECT("数出表_Excel!B"&amp;MATCH(INDIRECT(""&amp;DO78&amp;ROW()-43&amp;""),数出表_Excel!$A:$A,0)-1&amp;":U"&amp;MATCH(INDIRECT(""&amp;DO78&amp;ROW()-43&amp;""),数出表_Excel!$A:$A,0)-1&amp;""),0)+1,""))</f>
        <v>#VALUE!</v>
      </c>
      <c r="DK79" s="58" t="str" cm="1">
        <f t="array" aca="1" ref="DK79" ca="1">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</f>
        <v/>
      </c>
      <c r="DL79" s="76"/>
      <c r="DM79" s="82" t="str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+MATCH(TRUE,INDIRECT("'数出表_Excel'!"&amp;DJ78&amp;MATCH(DO36,数出表_Excel!$A:$A,0)-1&amp;":AL"&amp;MATCH(DO36,数出表_Excel!$A:$A,0)-1&amp;"")&lt;&gt;"",0))&gt;12,"",
IFERROR(
INDEX(INDIRECT("数出表_Excel!$"&amp;DJ78&amp;"4:$AL4"),
 1,
MATCH(TRUE,INDIRECT("'数出表_Excel'!"&amp;DJ78&amp;MATCH(DO36,数出表_Excel!$A:$A,0)-1&amp;":AL"&amp;MATCH(DO36,数出表_Excel!$A:$A,0)-1&amp;"")&lt;&gt;"",0)
),
 "")
&amp;IFERROR(
INDEX(INDIRECT("数出表_Excel!$"&amp;DJ78&amp;"5:$AL5"),
 1,
MATCH(TRUE,INDIRECT("'数出表_Excel'!"&amp;DJ78&amp;MATCH(DO36,数出表_Excel!$A:$A,0)-1&amp;":AL"&amp;MATCH(DO36,数出表_Excel!$A:$A,0)-1&amp;"")&lt;&gt;"",0)),
 "")),"")))</f>
        <v/>
      </c>
      <c r="DN79" s="83" t="str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92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76"/>
      <c r="DQ79" s="76"/>
      <c r="DR79" s="81" t="e" cm="1">
        <f t="array" aca="1" ref="DR79" ca="1">IF(INDIRECT(""&amp;SUBSTITUTE(ADDRESS(1,
COLUMN(),1),"1","")&amp;ROW()-41&amp;"")&lt;&gt;100,
IF(DS81&lt;&gt;"",MATCH(DS81,INDIRECT("数出表_Excel!B"&amp;MATCH(INDIRECT(""&amp;DW78&amp;ROW()-43&amp;""),数出表_Excel!$A:$A,0)-1&amp;":U"&amp;MATCH(INDIRECT(""&amp;DW78&amp;ROW()-43&amp;""),数出表_Excel!$A:$A,0)-1&amp;""),0)+1,""),
IF(DS81&lt;&gt;"",
MATCH(
IFERROR(
INDEX(INDIRECT("数出表_Excel!"&amp;DR78&amp;MATCH(INDIRECT(""&amp;DW78&amp;ROW()-43&amp;""),数出表_Excel!$A:$A,0)-1&amp;":U"&amp;MATCH(INDIRECT(""&amp;DW78&amp;ROW()-43&amp;""),数出表_Excel!$A:$A,0)-1&amp;""),
 1,
 MATCH(TRUE, ISNUMBER(--INDIRECT("数出表_Excel!"&amp;DR78&amp;MATCH(INDIRECT(""&amp;DW78&amp;ROW()-43&amp;""),数出表_Excel!$A:$A,0)-1&amp;":U"&amp;MATCH(INDIRECT(""&amp;DW78&amp;ROW()-43&amp;""),数出表_Excel!$A:$A,0)-1&amp;"")), 0)),
 ""),
INDIRECT("数出表_Excel!B"&amp;MATCH(INDIRECT(""&amp;DW78&amp;ROW()-43&amp;""),数出表_Excel!$A:$A,0)-1&amp;":U"&amp;MATCH(INDIRECT(""&amp;DW78&amp;ROW()-43&amp;""),数出表_Excel!$A:$A,0)-1&amp;""),0)+1,""))</f>
        <v>#VALUE!</v>
      </c>
      <c r="DS79" s="58" t="str" cm="1">
        <f t="array" aca="1" ref="DS79" ca="1">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</f>
        <v/>
      </c>
      <c r="DT79" s="76"/>
      <c r="DU79" s="82" t="str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83" t="str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92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76"/>
      <c r="DY79" s="81" t="e" cm="1">
        <f t="array" aca="1" ref="DY79" ca="1">IF(INDIRECT(""&amp;SUBSTITUTE(ADDRESS(1,
COLUMN(),1),"1","")&amp;ROW()-41&amp;"")&lt;&gt;100,
IF(DZ81&lt;&gt;"",MATCH(DZ81,INDIRECT("数出表_Excel!B"&amp;MATCH(INDIRECT(""&amp;ED78&amp;ROW()-43&amp;""),数出表_Excel!$A:$A,0)-1&amp;":U"&amp;MATCH(INDIRECT(""&amp;ED78&amp;ROW()-43&amp;""),数出表_Excel!$A:$A,0)-1&amp;""),0)+1,""),
IF(DZ81&lt;&gt;"",
MATCH(
IFERROR(
INDEX(INDIRECT("数出表_Excel!"&amp;DY78&amp;MATCH(INDIRECT(""&amp;ED78&amp;ROW()-43&amp;""),数出表_Excel!$A:$A,0)-1&amp;":U"&amp;MATCH(INDIRECT(""&amp;ED78&amp;ROW()-43&amp;""),数出表_Excel!$A:$A,0)-1&amp;""),
 1,
 MATCH(TRUE, ISNUMBER(--INDIRECT("数出表_Excel!"&amp;DY78&amp;MATCH(INDIRECT(""&amp;ED78&amp;ROW()-43&amp;""),数出表_Excel!$A:$A,0)-1&amp;":U"&amp;MATCH(INDIRECT(""&amp;ED78&amp;ROW()-43&amp;""),数出表_Excel!$A:$A,0)-1&amp;"")), 0)),
 ""),
INDIRECT("数出表_Excel!B"&amp;MATCH(INDIRECT(""&amp;ED78&amp;ROW()-43&amp;""),数出表_Excel!$A:$A,0)-1&amp;":U"&amp;MATCH(INDIRECT(""&amp;ED78&amp;ROW()-43&amp;""),数出表_Excel!$A:$A,0)-1&amp;""),0)+1,""))</f>
        <v>#VALUE!</v>
      </c>
      <c r="DZ79" s="58" t="str" cm="1">
        <f t="array" aca="1" ref="DZ79" ca="1">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</f>
        <v/>
      </c>
      <c r="EA79" s="76"/>
      <c r="EB79" s="82" t="str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+MATCH(TRUE,INDIRECT("'数出表_Excel'!"&amp;DY78&amp;MATCH(ED36,数出表_Excel!$A:$A,0)-1&amp;":AL"&amp;MATCH(ED36,数出表_Excel!$A:$A,0)-1&amp;"")&lt;&gt;"",0))&gt;12,"",
IFERROR(
INDEX(INDIRECT("数出表_Excel!$"&amp;DY78&amp;"4:$AL4"),
 1,
MATCH(TRUE,INDIRECT("'数出表_Excel'!"&amp;DY78&amp;MATCH(ED36,数出表_Excel!$A:$A,0)-1&amp;":AL"&amp;MATCH(ED36,数出表_Excel!$A:$A,0)-1&amp;"")&lt;&gt;"",0)
),
 "")
&amp;IFERROR(
INDEX(INDIRECT("数出表_Excel!$"&amp;DY78&amp;"5:$AL5"),
 1,
MATCH(TRUE,INDIRECT("'数出表_Excel'!"&amp;DY78&amp;MATCH(ED36,数出表_Excel!$A:$A,0)-1&amp;":AL"&amp;MATCH(ED36,数出表_Excel!$A:$A,0)-1&amp;"")&lt;&gt;"",0)),
 "")),"")))</f>
        <v/>
      </c>
      <c r="EC79" s="83" t="str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92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76"/>
      <c r="EF79" s="76"/>
      <c r="EG79" s="81" t="e" cm="1">
        <f t="array" aca="1" ref="EG79" ca="1">IF(INDIRECT(""&amp;SUBSTITUTE(ADDRESS(1,
COLUMN(),1),"1","")&amp;ROW()-41&amp;"")&lt;&gt;100,
IF(EH81&lt;&gt;"",MATCH(EH81,INDIRECT("数出表_Excel!B"&amp;MATCH(INDIRECT(""&amp;EL78&amp;ROW()-43&amp;""),数出表_Excel!$A:$A,0)-1&amp;":U"&amp;MATCH(INDIRECT(""&amp;EL78&amp;ROW()-43&amp;""),数出表_Excel!$A:$A,0)-1&amp;""),0)+1,""),
IF(EH81&lt;&gt;"",
MATCH(
IFERROR(
INDEX(INDIRECT("数出表_Excel!"&amp;EG78&amp;MATCH(INDIRECT(""&amp;EL78&amp;ROW()-43&amp;""),数出表_Excel!$A:$A,0)-1&amp;":U"&amp;MATCH(INDIRECT(""&amp;EL78&amp;ROW()-43&amp;""),数出表_Excel!$A:$A,0)-1&amp;""),
 1,
 MATCH(TRUE, ISNUMBER(--INDIRECT("数出表_Excel!"&amp;EG78&amp;MATCH(INDIRECT(""&amp;EL78&amp;ROW()-43&amp;""),数出表_Excel!$A:$A,0)-1&amp;":U"&amp;MATCH(INDIRECT(""&amp;EL78&amp;ROW()-43&amp;""),数出表_Excel!$A:$A,0)-1&amp;"")), 0)),
 ""),
INDIRECT("数出表_Excel!B"&amp;MATCH(INDIRECT(""&amp;EL78&amp;ROW()-43&amp;""),数出表_Excel!$A:$A,0)-1&amp;":U"&amp;MATCH(INDIRECT(""&amp;EL78&amp;ROW()-43&amp;""),数出表_Excel!$A:$A,0)-1&amp;""),0)+1,""))</f>
        <v>#VALUE!</v>
      </c>
      <c r="EH79" s="58" t="str" cm="1">
        <f t="array" aca="1" ref="EH79" ca="1">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</f>
        <v/>
      </c>
      <c r="EI79" s="76"/>
      <c r="EJ79" s="82" t="str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83" t="str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92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76"/>
      <c r="EN79" s="81" t="e" cm="1">
        <f t="array" aca="1" ref="EN79" ca="1">IF(INDIRECT(""&amp;SUBSTITUTE(ADDRESS(1,
COLUMN(),1),"1","")&amp;ROW()-41&amp;"")&lt;&gt;100,
IF(EO81&lt;&gt;"",MATCH(EO81,INDIRECT("数出表_Excel!B"&amp;MATCH(INDIRECT(""&amp;ES78&amp;ROW()-43&amp;""),数出表_Excel!$A:$A,0)-1&amp;":U"&amp;MATCH(INDIRECT(""&amp;ES78&amp;ROW()-43&amp;""),数出表_Excel!$A:$A,0)-1&amp;""),0)+1,""),
IF(EO81&lt;&gt;"",
MATCH(
IFERROR(
INDEX(INDIRECT("数出表_Excel!"&amp;EN78&amp;MATCH(INDIRECT(""&amp;ES78&amp;ROW()-43&amp;""),数出表_Excel!$A:$A,0)-1&amp;":U"&amp;MATCH(INDIRECT(""&amp;ES78&amp;ROW()-43&amp;""),数出表_Excel!$A:$A,0)-1&amp;""),
 1,
 MATCH(TRUE, ISNUMBER(--INDIRECT("数出表_Excel!"&amp;EN78&amp;MATCH(INDIRECT(""&amp;ES78&amp;ROW()-43&amp;""),数出表_Excel!$A:$A,0)-1&amp;":U"&amp;MATCH(INDIRECT(""&amp;ES78&amp;ROW()-43&amp;""),数出表_Excel!$A:$A,0)-1&amp;"")), 0)),
 ""),
INDIRECT("数出表_Excel!B"&amp;MATCH(INDIRECT(""&amp;ES78&amp;ROW()-43&amp;""),数出表_Excel!$A:$A,0)-1&amp;":U"&amp;MATCH(INDIRECT(""&amp;ES78&amp;ROW()-43&amp;""),数出表_Excel!$A:$A,0)-1&amp;""),0)+1,""))</f>
        <v>#VALUE!</v>
      </c>
      <c r="EO79" s="58" t="str" cm="1">
        <f t="array" aca="1" ref="EO79" ca="1">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</f>
        <v/>
      </c>
      <c r="EP79" s="76"/>
      <c r="EQ79" s="82" t="str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+MATCH(TRUE,INDIRECT("'数出表_Excel'!"&amp;EN78&amp;MATCH(ES36,数出表_Excel!$A:$A,0)-1&amp;":AL"&amp;MATCH(ES36,数出表_Excel!$A:$A,0)-1&amp;"")&lt;&gt;"",0))&gt;12,"",
IFERROR(
INDEX(INDIRECT("数出表_Excel!$"&amp;EN78&amp;"4:$AL4"),
 1,
MATCH(TRUE,INDIRECT("'数出表_Excel'!"&amp;EN78&amp;MATCH(ES36,数出表_Excel!$A:$A,0)-1&amp;":AL"&amp;MATCH(ES36,数出表_Excel!$A:$A,0)-1&amp;"")&lt;&gt;"",0)
),
 "")
&amp;IFERROR(
INDEX(INDIRECT("数出表_Excel!$"&amp;EN78&amp;"5:$AL5"),
 1,
MATCH(TRUE,INDIRECT("'数出表_Excel'!"&amp;EN78&amp;MATCH(ES36,数出表_Excel!$A:$A,0)-1&amp;":AL"&amp;MATCH(ES36,数出表_Excel!$A:$A,0)-1&amp;"")&lt;&gt;"",0)),
 "")),"")))</f>
        <v/>
      </c>
      <c r="ER79" s="83" t="str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92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07"/>
      <c r="EU79" s="87">
        <v>7</v>
      </c>
      <c r="EV79" s="78" t="str">
        <f t="array" aca="1" ref="EV7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LEN(SUBSTITUTE(_xlfn.FORMULATEXT(EV$73),"=","")))+$EU79)</f>
        <v/>
      </c>
      <c r="EW79" s="78" t="str">
        <f t="array" aca="1" ref="EW7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LEN(SUBSTITUTE(_xlfn.FORMULATEXT(EW$73),"=","")))+$EU79)</f>
        <v/>
      </c>
      <c r="EX79" s="78" t="str">
        <f t="array" aca="1" ref="EX7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LEN(SUBSTITUTE(_xlfn.FORMULATEXT(EX$73),"=","")))+$EU79)</f>
        <v/>
      </c>
      <c r="EY79" s="78" t="str">
        <f t="array" aca="1" ref="EY7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LEN(SUBSTITUTE(_xlfn.FORMULATEXT(EY$73),"=","")))+$EU79)</f>
        <v/>
      </c>
      <c r="EZ79" s="78" t="str">
        <f t="array" aca="1" ref="EZ7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LEN(SUBSTITUTE(_xlfn.FORMULATEXT(EZ$73),"=","")))+$EU79)</f>
        <v/>
      </c>
      <c r="FA79" s="78" t="e">
        <f t="array" aca="1" ref="FA7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LEN(SUBSTITUTE(_xlfn.FORMULATEXT(FA$73),"=","")))+$EU79)</f>
        <v>#VALUE!</v>
      </c>
      <c r="FB79" s="78" t="e">
        <f t="array" aca="1" ref="FB7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LEN(SUBSTITUTE(_xlfn.FORMULATEXT(FB$73),"=","")))+$EU79)</f>
        <v>#VALUE!</v>
      </c>
      <c r="FC79" s="78" t="str">
        <f t="array" aca="1" ref="FC7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LEN(SUBSTITUTE(_xlfn.FORMULATEXT(FC$73),"=","")))+$EU79)</f>
        <v/>
      </c>
      <c r="FD79" s="78" t="e">
        <f t="array" aca="1" ref="FD7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LEN(SUBSTITUTE(_xlfn.FORMULATEXT(FD$73),"=","")))+$EU79)</f>
        <v>#VALUE!</v>
      </c>
      <c r="FE79" s="78" t="str">
        <f t="array" aca="1" ref="FE7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LEN(SUBSTITUTE(_xlfn.FORMULATEXT(FE$73),"=","")))+$EU79)</f>
        <v/>
      </c>
      <c r="FF79" s="78" t="e">
        <f t="array" aca="1" ref="FF7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LEN(SUBSTITUTE(_xlfn.FORMULATEXT(FF$73),"=","")))+$EU79)</f>
        <v>#VALUE!</v>
      </c>
      <c r="FG79" s="78">
        <f t="shared" ca="1" si="6"/>
        <v>0</v>
      </c>
      <c r="FH79" s="78" t="e">
        <f t="array" aca="1" ref="FH79" ca="1">SUMPRODUCT((LEN(EV79:FF79)&gt;0)*1)&gt;0</f>
        <v>#VALUE!</v>
      </c>
      <c r="FI79" s="78" t="str">
        <f t="array" aca="1" ref="FI79" ca="1">IFERROR(SMALL(IF(FG$1:FG$228&lt;&gt;0,FG$1:FG$228),ROW(A79)),"")</f>
        <v/>
      </c>
      <c r="FJ79" s="78" t="str">
        <f t="array" aca="1" ref="FJ79" ca="1">IF($FI79&lt;&gt;"",
INDIRECT(""&amp;IF(COLUMN(EV118)&lt;=26,CHAR(COLUMN(EV118)+64),CHAR(INT((COLUMN(EV118)-1)/26)+64)&amp;CHAR(MOD(COLUMN(EV118)-1,26)+65))&amp;$FI79&amp;""),"")</f>
        <v/>
      </c>
      <c r="FK79" s="78" t="str">
        <f t="array" aca="1" ref="FK79" ca="1">IF($FI79&lt;&gt;"",
INDIRECT(""&amp;IF(COLUMN(EW118)&lt;=26,CHAR(COLUMN(EW118)+64),CHAR(INT((COLUMN(EW118)-1)/26)+64)&amp;CHAR(MOD(COLUMN(EW118)-1,26)+65))&amp;$FI79&amp;""),"")</f>
        <v/>
      </c>
      <c r="FL79" s="78" t="str">
        <f t="array" aca="1" ref="FL79" ca="1">IF($FI79&lt;&gt;"",
INDIRECT(""&amp;IF(COLUMN(EX118)&lt;=26,CHAR(COLUMN(EX118)+64),CHAR(INT((COLUMN(EX118)-1)/26)+64)&amp;CHAR(MOD(COLUMN(EX118)-1,26)+65))&amp;$FI79&amp;""),"")</f>
        <v/>
      </c>
      <c r="FM79" s="78" t="str">
        <f t="array" aca="1" ref="FM79" ca="1">IF($FI79&lt;&gt;"",
IF(FL79="",
IF(INDIRECT("EY"&amp;$FI79&amp;"")&lt;&gt;"",
INDIRECT("EY"&amp;$FI79&amp;"")&amp;"箱"
&amp;INDIRECT("EZ"&amp;$FI79&amp;""),""),""),"")</f>
        <v/>
      </c>
      <c r="FN79" s="78" t="str">
        <f t="array" aca="1" ref="FN79" ca="1">IF($FI79&lt;&gt;"",
INDIRECT(""&amp;IF(COLUMN(FA118)&lt;=26,CHAR(COLUMN(FA118)+64),CHAR(INT((COLUMN(FA118)-1)/26)+64)&amp;CHAR(MOD(COLUMN(FA118)-1,26)+65))&amp;$FI79&amp;""),"")</f>
        <v/>
      </c>
      <c r="FO79" s="78" t="str">
        <f t="array" aca="1" ref="FO79" ca="1">IF($FI79&lt;&gt;"",
INDIRECT(""&amp;IF(COLUMN(FB118)&lt;=26,CHAR(COLUMN(FB118)+64),CHAR(INT((COLUMN(FB118)-1)/26)+64)&amp;CHAR(MOD(COLUMN(FB118)-1,26)+65))&amp;$FI79&amp;""),"")</f>
        <v/>
      </c>
      <c r="FP79" s="78" t="str">
        <f t="array" aca="1" ref="FP79" ca="1">IF($FI79&lt;&gt;"",
INDIRECT(""&amp;IF(COLUMN(FC118)&lt;=26,CHAR(COLUMN(FC118)+64),CHAR(INT((COLUMN(FC118)-1)/26)+64)&amp;CHAR(MOD(COLUMN(FC118)-1,26)+65))&amp;$FI79&amp;""),"")</f>
        <v/>
      </c>
      <c r="FQ79" s="78" t="str">
        <f t="array" aca="1" ref="FQ79" ca="1">IF($FI79&lt;&gt;"",
INDIRECT(""&amp;IF(COLUMN(FD118)&lt;=26,CHAR(COLUMN(FD118)+64),CHAR(INT((COLUMN(FD118)-1)/26)+64)&amp;CHAR(MOD(COLUMN(FD118)-1,26)+65))&amp;$FI79&amp;""),"")</f>
        <v/>
      </c>
      <c r="FR79" s="78" t="str">
        <f t="array" aca="1" ref="FR79" ca="1">IF($FI79&lt;&gt;"",
INDIRECT(""&amp;IF(COLUMN(FE118)&lt;=26,CHAR(COLUMN(FE118)+64),CHAR(INT((COLUMN(FE118)-1)/26)+64)&amp;CHAR(MOD(COLUMN(FE118)-1,26)+65))&amp;$FI79&amp;""),"")</f>
        <v/>
      </c>
      <c r="FS79" s="78" t="str">
        <f t="array" aca="1" ref="FS79" ca="1">IF($FI79&lt;&gt;"",
INDIRECT(""&amp;IF(COLUMN(FF118)&lt;=26,CHAR(COLUMN(FF118)+64),CHAR(INT((COLUMN(FF118)-1)/26)+64)&amp;CHAR(MOD(COLUMN(FF118)-1,26)+65))&amp;$FI79&amp;""),"")</f>
        <v/>
      </c>
    </row>
    <row r="80" spans="1:175" s="78" customFormat="1" ht="22.2" customHeight="1" x14ac:dyDescent="0.55000000000000004">
      <c r="A80" s="76"/>
      <c r="B80" s="84" t="str" cm="1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249" t="str">
        <f ca="1">IF(C81&lt;&gt;"","園児","")</f>
        <v/>
      </c>
      <c r="D80" s="249"/>
      <c r="E80" s="251" t="str">
        <f ca="1">IF(C81&lt;&gt;"","先生","")</f>
        <v/>
      </c>
      <c r="F80" s="251"/>
      <c r="G80" s="97" cm="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76"/>
      <c r="I80" s="84" t="str" cm="1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249" t="str">
        <f ca="1">IF(J81&lt;&gt;"","園児","")</f>
        <v/>
      </c>
      <c r="K80" s="249"/>
      <c r="L80" s="251" t="str">
        <f ca="1">IF(J81&lt;&gt;"","先生","")</f>
        <v/>
      </c>
      <c r="M80" s="251"/>
      <c r="N80" s="97" cm="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76"/>
      <c r="P80" s="76"/>
      <c r="Q80" s="84" t="str" cm="1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249" t="str">
        <f ca="1">IF(R81&lt;&gt;"","園児","")</f>
        <v/>
      </c>
      <c r="S80" s="249"/>
      <c r="T80" s="251" t="str">
        <f ca="1">IF(R81&lt;&gt;"","先生","")</f>
        <v/>
      </c>
      <c r="U80" s="251"/>
      <c r="V80" s="97" cm="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76"/>
      <c r="X80" s="84" t="str" cm="1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249" t="str">
        <f ca="1">IF(Y81&lt;&gt;"","園児","")</f>
        <v/>
      </c>
      <c r="Z80" s="249"/>
      <c r="AA80" s="251" t="str">
        <f ca="1">IF(Y81&lt;&gt;"","先生","")</f>
        <v/>
      </c>
      <c r="AB80" s="251"/>
      <c r="AC80" s="97" cm="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76"/>
      <c r="AE80" s="76"/>
      <c r="AF80" s="84" t="str" cm="1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249" t="str">
        <f ca="1">IF(AG81&lt;&gt;"","園児","")</f>
        <v/>
      </c>
      <c r="AH80" s="249"/>
      <c r="AI80" s="251" t="str">
        <f ca="1">IF(AG81&lt;&gt;"","先生","")</f>
        <v/>
      </c>
      <c r="AJ80" s="251"/>
      <c r="AK80" s="97" cm="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76"/>
      <c r="AM80" s="84" t="str" cm="1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249" t="str">
        <f ca="1">IF(AN81&lt;&gt;"","園児","")</f>
        <v/>
      </c>
      <c r="AO80" s="249"/>
      <c r="AP80" s="251" t="str">
        <f ca="1">IF(AN81&lt;&gt;"","先生","")</f>
        <v/>
      </c>
      <c r="AQ80" s="251"/>
      <c r="AR80" s="97" cm="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76"/>
      <c r="AT80" s="76"/>
      <c r="AU80" s="84" t="str" cm="1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249" t="str">
        <f ca="1">IF(AV81&lt;&gt;"","園児","")</f>
        <v/>
      </c>
      <c r="AW80" s="249"/>
      <c r="AX80" s="251" t="str">
        <f ca="1">IF(AV81&lt;&gt;"","先生","")</f>
        <v/>
      </c>
      <c r="AY80" s="251"/>
      <c r="AZ80" s="97" cm="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76"/>
      <c r="BB80" s="84" t="str" cm="1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249" t="str">
        <f ca="1">IF(BC81&lt;&gt;"","園児","")</f>
        <v/>
      </c>
      <c r="BD80" s="249"/>
      <c r="BE80" s="251" t="str">
        <f ca="1">IF(BC81&lt;&gt;"","先生","")</f>
        <v/>
      </c>
      <c r="BF80" s="251"/>
      <c r="BG80" s="97" cm="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76"/>
      <c r="BI80" s="76"/>
      <c r="BJ80" s="84" t="str" cm="1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249" t="str">
        <f ca="1">IF(BK81&lt;&gt;"","園児","")</f>
        <v/>
      </c>
      <c r="BL80" s="249"/>
      <c r="BM80" s="251" t="str">
        <f ca="1">IF(BK81&lt;&gt;"","先生","")</f>
        <v/>
      </c>
      <c r="BN80" s="251"/>
      <c r="BO80" s="97" cm="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76"/>
      <c r="BQ80" s="84" t="str" cm="1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249" t="str">
        <f ca="1">IF(BR81&lt;&gt;"","園児","")</f>
        <v/>
      </c>
      <c r="BS80" s="249"/>
      <c r="BT80" s="251" t="str">
        <f ca="1">IF(BR81&lt;&gt;"","先生","")</f>
        <v/>
      </c>
      <c r="BU80" s="251"/>
      <c r="BV80" s="97" cm="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76"/>
      <c r="BX80" s="76"/>
      <c r="BY80" s="84" t="str" cm="1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249" t="str">
        <f ca="1">IF(BZ81&lt;&gt;"","園児","")</f>
        <v/>
      </c>
      <c r="CA80" s="249"/>
      <c r="CB80" s="251" t="str">
        <f ca="1">IF(BZ81&lt;&gt;"","先生","")</f>
        <v/>
      </c>
      <c r="CC80" s="251"/>
      <c r="CD80" s="97" cm="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76"/>
      <c r="CF80" s="84" t="str" cm="1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249" t="str">
        <f ca="1">IF(CG81&lt;&gt;"","園児","")</f>
        <v/>
      </c>
      <c r="CH80" s="249"/>
      <c r="CI80" s="251" t="str">
        <f ca="1">IF(CG81&lt;&gt;"","先生","")</f>
        <v/>
      </c>
      <c r="CJ80" s="251"/>
      <c r="CK80" s="97" cm="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76"/>
      <c r="CM80" s="76"/>
      <c r="CN80" s="84" t="str" cm="1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249" t="str">
        <f ca="1">IF(CO81&lt;&gt;"","園児","")</f>
        <v/>
      </c>
      <c r="CP80" s="249"/>
      <c r="CQ80" s="251" t="str">
        <f ca="1">IF(CO81&lt;&gt;"","先生","")</f>
        <v/>
      </c>
      <c r="CR80" s="251"/>
      <c r="CS80" s="97" cm="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76"/>
      <c r="CU80" s="84" t="str" cm="1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249" t="str">
        <f ca="1">IF(CV81&lt;&gt;"","園児","")</f>
        <v/>
      </c>
      <c r="CW80" s="249"/>
      <c r="CX80" s="251" t="str">
        <f ca="1">IF(CV81&lt;&gt;"","先生","")</f>
        <v/>
      </c>
      <c r="CY80" s="251"/>
      <c r="CZ80" s="97" cm="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76"/>
      <c r="DB80" s="76"/>
      <c r="DC80" s="84" t="str" cm="1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249" t="str">
        <f ca="1">IF(DD81&lt;&gt;"","園児","")</f>
        <v/>
      </c>
      <c r="DE80" s="249"/>
      <c r="DF80" s="251" t="str">
        <f ca="1">IF(DD81&lt;&gt;"","先生","")</f>
        <v/>
      </c>
      <c r="DG80" s="251"/>
      <c r="DH80" s="97" cm="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76"/>
      <c r="DJ80" s="84" t="str" cm="1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249" t="str">
        <f ca="1">IF(DK81&lt;&gt;"","園児","")</f>
        <v/>
      </c>
      <c r="DL80" s="249"/>
      <c r="DM80" s="251" t="str">
        <f ca="1">IF(DK81&lt;&gt;"","先生","")</f>
        <v/>
      </c>
      <c r="DN80" s="251"/>
      <c r="DO80" s="97" cm="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76"/>
      <c r="DQ80" s="76"/>
      <c r="DR80" s="84" t="str" cm="1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249" t="str">
        <f ca="1">IF(DS81&lt;&gt;"","園児","")</f>
        <v/>
      </c>
      <c r="DT80" s="249"/>
      <c r="DU80" s="251" t="str">
        <f ca="1">IF(DS81&lt;&gt;"","先生","")</f>
        <v/>
      </c>
      <c r="DV80" s="251"/>
      <c r="DW80" s="97" cm="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76"/>
      <c r="DY80" s="84" t="str" cm="1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249" t="str">
        <f ca="1">IF(DZ81&lt;&gt;"","園児","")</f>
        <v/>
      </c>
      <c r="EA80" s="249"/>
      <c r="EB80" s="251" t="str">
        <f ca="1">IF(DZ81&lt;&gt;"","先生","")</f>
        <v/>
      </c>
      <c r="EC80" s="251"/>
      <c r="ED80" s="97" cm="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76"/>
      <c r="EF80" s="76"/>
      <c r="EG80" s="84" t="str" cm="1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249" t="str">
        <f ca="1">IF(EH81&lt;&gt;"","園児","")</f>
        <v/>
      </c>
      <c r="EI80" s="249"/>
      <c r="EJ80" s="251" t="str">
        <f ca="1">IF(EH81&lt;&gt;"","先生","")</f>
        <v/>
      </c>
      <c r="EK80" s="251"/>
      <c r="EL80" s="97" cm="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76"/>
      <c r="EN80" s="84" t="str" cm="1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249" t="str">
        <f ca="1">IF(EO81&lt;&gt;"","園児","")</f>
        <v/>
      </c>
      <c r="EP80" s="249"/>
      <c r="EQ80" s="251" t="str">
        <f ca="1">IF(EO81&lt;&gt;"","先生","")</f>
        <v/>
      </c>
      <c r="ER80" s="251"/>
      <c r="ES80" s="97" cm="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06"/>
      <c r="EU80" s="78">
        <f>EU74+7</f>
        <v>49</v>
      </c>
      <c r="EV80" s="78" t="str">
        <f t="array" aca="1" ref="EV8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LEN(SUBSTITUTE(_xlfn.FORMULATEXT(EV$73),"=","")))+$EU80)</f>
        <v/>
      </c>
      <c r="EW80" s="78" t="str">
        <f t="array" aca="1" ref="EW8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LEN(SUBSTITUTE(_xlfn.FORMULATEXT(EW$73),"=","")))+$EU80)</f>
        <v/>
      </c>
      <c r="EX80" s="78" t="str">
        <f t="array" aca="1" ref="EX8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LEN(SUBSTITUTE(_xlfn.FORMULATEXT(EX$73),"=","")))+$EU80)</f>
        <v/>
      </c>
      <c r="EY80" s="78" t="str">
        <f t="array" aca="1" ref="EY8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LEN(SUBSTITUTE(_xlfn.FORMULATEXT(EY$73),"=","")))+$EU80)</f>
        <v/>
      </c>
      <c r="EZ80" s="78" t="str">
        <f t="array" aca="1" ref="EZ8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LEN(SUBSTITUTE(_xlfn.FORMULATEXT(EZ$73),"=","")))+$EU80)</f>
        <v/>
      </c>
      <c r="FA80" s="78" t="str">
        <f t="array" aca="1" ref="FA8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LEN(SUBSTITUTE(_xlfn.FORMULATEXT(FA$73),"=","")))+$EU80)</f>
        <v/>
      </c>
      <c r="FB80" s="78" t="str">
        <f t="array" aca="1" ref="FB8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LEN(SUBSTITUTE(_xlfn.FORMULATEXT(FB$73),"=","")))+$EU80)</f>
        <v/>
      </c>
      <c r="FC80" s="78" t="str">
        <f t="array" aca="1" ref="FC8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LEN(SUBSTITUTE(_xlfn.FORMULATEXT(FC$73),"=","")))+$EU80)</f>
        <v/>
      </c>
      <c r="FD80" s="78" t="str">
        <f t="array" aca="1" ref="FD8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LEN(SUBSTITUTE(_xlfn.FORMULATEXT(FD$73),"=","")))+$EU80)</f>
        <v/>
      </c>
      <c r="FE80" s="78" t="str">
        <f t="array" aca="1" ref="FE8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LEN(SUBSTITUTE(_xlfn.FORMULATEXT(FE$73),"=","")))+$EU80)</f>
        <v/>
      </c>
      <c r="FF80" s="78" t="str">
        <f t="array" aca="1" ref="FF8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LEN(SUBSTITUTE(_xlfn.FORMULATEXT(FF$73),"=","")))+$EU80)</f>
        <v/>
      </c>
      <c r="FG80" s="78">
        <f t="shared" ca="1" si="6"/>
        <v>0</v>
      </c>
      <c r="FH80" s="78" t="b">
        <f t="array" aca="1" ref="FH80" ca="1">SUMPRODUCT((LEN(EV80:FF80)&gt;0)*1)&gt;0</f>
        <v>0</v>
      </c>
      <c r="FI80" s="78" t="str">
        <f t="array" aca="1" ref="FI80" ca="1">IFERROR(SMALL(IF(FG$1:FG$228&lt;&gt;0,FG$1:FG$228),ROW(A80)),"")</f>
        <v/>
      </c>
      <c r="FJ80" s="78" t="str">
        <f t="array" aca="1" ref="FJ80" ca="1">IF($FI80&lt;&gt;"",
INDIRECT(""&amp;IF(COLUMN(EV119)&lt;=26,CHAR(COLUMN(EV119)+64),CHAR(INT((COLUMN(EV119)-1)/26)+64)&amp;CHAR(MOD(COLUMN(EV119)-1,26)+65))&amp;$FI80&amp;""),"")</f>
        <v/>
      </c>
      <c r="FK80" s="78" t="str">
        <f t="array" aca="1" ref="FK80" ca="1">IF($FI80&lt;&gt;"",
INDIRECT(""&amp;IF(COLUMN(EW119)&lt;=26,CHAR(COLUMN(EW119)+64),CHAR(INT((COLUMN(EW119)-1)/26)+64)&amp;CHAR(MOD(COLUMN(EW119)-1,26)+65))&amp;$FI80&amp;""),"")</f>
        <v/>
      </c>
      <c r="FL80" s="78" t="str">
        <f t="array" aca="1" ref="FL80" ca="1">IF($FI80&lt;&gt;"",
INDIRECT(""&amp;IF(COLUMN(EX119)&lt;=26,CHAR(COLUMN(EX119)+64),CHAR(INT((COLUMN(EX119)-1)/26)+64)&amp;CHAR(MOD(COLUMN(EX119)-1,26)+65))&amp;$FI80&amp;""),"")</f>
        <v/>
      </c>
      <c r="FM80" s="78" t="str">
        <f t="array" aca="1" ref="FM80" ca="1">IF($FI80&lt;&gt;"",
IF(FL80="",
IF(INDIRECT("EY"&amp;$FI80&amp;"")&lt;&gt;"",
INDIRECT("EY"&amp;$FI80&amp;"")&amp;"箱"
&amp;INDIRECT("EZ"&amp;$FI80&amp;""),""),""),"")</f>
        <v/>
      </c>
      <c r="FN80" s="78" t="str">
        <f t="array" aca="1" ref="FN80" ca="1">IF($FI80&lt;&gt;"",
INDIRECT(""&amp;IF(COLUMN(FA119)&lt;=26,CHAR(COLUMN(FA119)+64),CHAR(INT((COLUMN(FA119)-1)/26)+64)&amp;CHAR(MOD(COLUMN(FA119)-1,26)+65))&amp;$FI80&amp;""),"")</f>
        <v/>
      </c>
      <c r="FO80" s="78" t="str">
        <f t="array" aca="1" ref="FO80" ca="1">IF($FI80&lt;&gt;"",
INDIRECT(""&amp;IF(COLUMN(FB119)&lt;=26,CHAR(COLUMN(FB119)+64),CHAR(INT((COLUMN(FB119)-1)/26)+64)&amp;CHAR(MOD(COLUMN(FB119)-1,26)+65))&amp;$FI80&amp;""),"")</f>
        <v/>
      </c>
      <c r="FP80" s="78" t="str">
        <f t="array" aca="1" ref="FP80" ca="1">IF($FI80&lt;&gt;"",
INDIRECT(""&amp;IF(COLUMN(FC119)&lt;=26,CHAR(COLUMN(FC119)+64),CHAR(INT((COLUMN(FC119)-1)/26)+64)&amp;CHAR(MOD(COLUMN(FC119)-1,26)+65))&amp;$FI80&amp;""),"")</f>
        <v/>
      </c>
      <c r="FQ80" s="78" t="str">
        <f t="array" aca="1" ref="FQ80" ca="1">IF($FI80&lt;&gt;"",
INDIRECT(""&amp;IF(COLUMN(FD119)&lt;=26,CHAR(COLUMN(FD119)+64),CHAR(INT((COLUMN(FD119)-1)/26)+64)&amp;CHAR(MOD(COLUMN(FD119)-1,26)+65))&amp;$FI80&amp;""),"")</f>
        <v/>
      </c>
      <c r="FR80" s="78" t="str">
        <f t="array" aca="1" ref="FR80" ca="1">IF($FI80&lt;&gt;"",
INDIRECT(""&amp;IF(COLUMN(FE119)&lt;=26,CHAR(COLUMN(FE119)+64),CHAR(INT((COLUMN(FE119)-1)/26)+64)&amp;CHAR(MOD(COLUMN(FE119)-1,26)+65))&amp;$FI80&amp;""),"")</f>
        <v/>
      </c>
      <c r="FS80" s="78" t="str">
        <f t="array" aca="1" ref="FS80" ca="1">IF($FI80&lt;&gt;"",
INDIRECT(""&amp;IF(COLUMN(FF119)&lt;=26,CHAR(COLUMN(FF119)+64),CHAR(INT((COLUMN(FF119)-1)/26)+64)&amp;CHAR(MOD(COLUMN(FF119)-1,26)+65))&amp;$FI80&amp;""),"")</f>
        <v/>
      </c>
    </row>
    <row r="81" spans="1:175" ht="18" customHeight="1" x14ac:dyDescent="0.45">
      <c r="B81" s="86"/>
      <c r="C81" s="259" t="str" cm="1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259"/>
      <c r="E81" s="258" t="str" cm="1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58"/>
      <c r="G81" s="97" t="e" cm="1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INDEX(INDIRECT("'数出表_Excel（アレルギー入力）'!"&amp;B80&amp;MATCH(IG36,'数出表_Excel（アレルギー入力）'!$A:$A,0)+1&amp;":"&amp;G82&amp;MATCH(G36,'数出表_Excel（アレルギー入力）'!$A:$A,0)+1&amp;""),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I81" s="86"/>
      <c r="J81" s="259" t="str" cm="1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259"/>
      <c r="L81" s="258" t="str" cm="1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58"/>
      <c r="N81" s="97" t="e" cm="1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INDEX(INDIRECT("'数出表_Excel（アレルギー入力）'!"&amp;I80&amp;MATCH(IN36,'数出表_Excel（アレルギー入力）'!$A:$A,0)+1&amp;":"&amp;N82&amp;MATCH(N36,'数出表_Excel（アレルギー入力）'!$A:$A,0)+1&amp;""),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Q81" s="86"/>
      <c r="R81" s="259" t="str" cm="1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59"/>
      <c r="T81" s="258" t="str" cm="1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58"/>
      <c r="V81" s="97" t="e" cm="1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INDEX(INDIRECT("'数出表_Excel（アレルギー入力）'!"&amp;Q80&amp;MATCH(IV36,'数出表_Excel（アレルギー入力）'!$A:$A,0)+1&amp;":"&amp;V82&amp;MATCH(V36,'数出表_Excel（アレルギー入力）'!$A:$A,0)+1&amp;""),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X81" s="86"/>
      <c r="Y81" s="259" t="str" cm="1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59"/>
      <c r="AA81" s="258" t="str" cm="1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58"/>
      <c r="AC81" s="97" t="e" cm="1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INDEX(INDIRECT("'数出表_Excel（アレルギー入力）'!"&amp;X80&amp;MATCH(JC36,'数出表_Excel（アレルギー入力）'!$A:$A,0)+1&amp;":"&amp;AC82&amp;MATCH(AC36,'数出表_Excel（アレルギー入力）'!$A:$A,0)+1&amp;""),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F81" s="86"/>
      <c r="AG81" s="259" t="str" cm="1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59"/>
      <c r="AI81" s="258" t="str" cm="1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58"/>
      <c r="AK81" s="97" t="e" cm="1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INDEX(INDIRECT("'数出表_Excel（アレルギー入力）'!"&amp;AF80&amp;MATCH(JK36,'数出表_Excel（アレルギー入力）'!$A:$A,0)+1&amp;":"&amp;AK82&amp;MATCH(AK36,'数出表_Excel（アレルギー入力）'!$A:$A,0)+1&amp;""),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M81" s="86"/>
      <c r="AN81" s="259" t="str" cm="1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59"/>
      <c r="AP81" s="258" t="str" cm="1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58"/>
      <c r="AR81" s="97" t="e" cm="1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INDEX(INDIRECT("'数出表_Excel（アレルギー入力）'!"&amp;AM80&amp;MATCH(JR36,'数出表_Excel（アレルギー入力）'!$A:$A,0)+1&amp;":"&amp;AR82&amp;MATCH(AR36,'数出表_Excel（アレルギー入力）'!$A:$A,0)+1&amp;""),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U81" s="86"/>
      <c r="AV81" s="259" t="str" cm="1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59"/>
      <c r="AX81" s="258" t="str" cm="1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58"/>
      <c r="AZ81" s="97" t="e" cm="1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INDEX(INDIRECT("'数出表_Excel（アレルギー入力）'!"&amp;AU80&amp;MATCH(JZ36,'数出表_Excel（アレルギー入力）'!$A:$A,0)+1&amp;":"&amp;AZ82&amp;MATCH(AZ36,'数出表_Excel（アレルギー入力）'!$A:$A,0)+1&amp;""),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B81" s="86"/>
      <c r="BC81" s="259" t="str" cm="1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59"/>
      <c r="BE81" s="258" t="str" cm="1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58"/>
      <c r="BG81" s="97" t="e" cm="1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INDEX(INDIRECT("'数出表_Excel（アレルギー入力）'!"&amp;BB80&amp;MATCH(KG36,'数出表_Excel（アレルギー入力）'!$A:$A,0)+1&amp;":"&amp;BG82&amp;MATCH(BG36,'数出表_Excel（アレルギー入力）'!$A:$A,0)+1&amp;""),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J81" s="86"/>
      <c r="BK81" s="259" t="str" cm="1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59"/>
      <c r="BM81" s="258" t="str" cm="1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58"/>
      <c r="BO81" s="97" t="e" cm="1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INDEX(INDIRECT("'数出表_Excel（アレルギー入力）'!"&amp;BJ80&amp;MATCH(KO36,'数出表_Excel（アレルギー入力）'!$A:$A,0)+1&amp;":"&amp;BO82&amp;MATCH(BO36,'数出表_Excel（アレルギー入力）'!$A:$A,0)+1&amp;""),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Q81" s="86"/>
      <c r="BR81" s="259" t="str" cm="1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59"/>
      <c r="BT81" s="258" t="str" cm="1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58"/>
      <c r="BV81" s="97" t="e" cm="1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INDEX(INDIRECT("'数出表_Excel（アレルギー入力）'!"&amp;BQ80&amp;MATCH(KV36,'数出表_Excel（アレルギー入力）'!$A:$A,0)+1&amp;":"&amp;BV82&amp;MATCH(BV36,'数出表_Excel（アレルギー入力）'!$A:$A,0)+1&amp;""),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Y81" s="86"/>
      <c r="BZ81" s="259" t="str" cm="1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59"/>
      <c r="CB81" s="258" t="str" cm="1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58"/>
      <c r="CD81" s="97" t="e" cm="1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INDEX(INDIRECT("'数出表_Excel（アレルギー入力）'!"&amp;BY80&amp;MATCH(LD36,'数出表_Excel（アレルギー入力）'!$A:$A,0)+1&amp;":"&amp;CD82&amp;MATCH(CD36,'数出表_Excel（アレルギー入力）'!$A:$A,0)+1&amp;""),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F81" s="86"/>
      <c r="CG81" s="259" t="str" cm="1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59"/>
      <c r="CI81" s="258" t="str" cm="1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58"/>
      <c r="CK81" s="97" t="e" cm="1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INDEX(INDIRECT("'数出表_Excel（アレルギー入力）'!"&amp;CF80&amp;MATCH(LK36,'数出表_Excel（アレルギー入力）'!$A:$A,0)+1&amp;":"&amp;CK82&amp;MATCH(CK36,'数出表_Excel（アレルギー入力）'!$A:$A,0)+1&amp;""),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N81" s="86"/>
      <c r="CO81" s="259" t="str" cm="1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59"/>
      <c r="CQ81" s="258" t="str" cm="1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58"/>
      <c r="CS81" s="97" t="e" cm="1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INDEX(INDIRECT("'数出表_Excel（アレルギー入力）'!"&amp;CN80&amp;MATCH(LS36,'数出表_Excel（アレルギー入力）'!$A:$A,0)+1&amp;":"&amp;CS82&amp;MATCH(CS36,'数出表_Excel（アレルギー入力）'!$A:$A,0)+1&amp;""),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U81" s="86"/>
      <c r="CV81" s="259" t="str" cm="1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59"/>
      <c r="CX81" s="258" t="str" cm="1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58"/>
      <c r="CZ81" s="97" t="e" cm="1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INDEX(INDIRECT("'数出表_Excel（アレルギー入力）'!"&amp;CU80&amp;MATCH(LZ36,'数出表_Excel（アレルギー入力）'!$A:$A,0)+1&amp;":"&amp;CZ82&amp;MATCH(CZ36,'数出表_Excel（アレルギー入力）'!$A:$A,0)+1&amp;""),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C81" s="86"/>
      <c r="DD81" s="259" t="str" cm="1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59"/>
      <c r="DF81" s="258" t="str" cm="1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58"/>
      <c r="DH81" s="97" t="e" cm="1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INDEX(INDIRECT("'数出表_Excel（アレルギー入力）'!"&amp;DC80&amp;MATCH(MH36,'数出表_Excel（アレルギー入力）'!$A:$A,0)+1&amp;":"&amp;DH82&amp;MATCH(DH36,'数出表_Excel（アレルギー入力）'!$A:$A,0)+1&amp;""),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J81" s="86"/>
      <c r="DK81" s="259" t="str" cm="1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59"/>
      <c r="DM81" s="258" t="str" cm="1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58"/>
      <c r="DO81" s="97" t="e" cm="1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INDEX(INDIRECT("'数出表_Excel（アレルギー入力）'!"&amp;DJ80&amp;MATCH(MO36,'数出表_Excel（アレルギー入力）'!$A:$A,0)+1&amp;":"&amp;DO82&amp;MATCH(DO36,'数出表_Excel（アレルギー入力）'!$A:$A,0)+1&amp;""),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R81" s="86"/>
      <c r="DS81" s="259" t="str" cm="1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59"/>
      <c r="DU81" s="258" t="str" cm="1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58"/>
      <c r="DW81" s="97" t="e" cm="1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INDEX(INDIRECT("'数出表_Excel（アレルギー入力）'!"&amp;DR80&amp;MATCH(MW36,'数出表_Excel（アレルギー入力）'!$A:$A,0)+1&amp;":"&amp;DW82&amp;MATCH(DW36,'数出表_Excel（アレルギー入力）'!$A:$A,0)+1&amp;""),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Y81" s="86"/>
      <c r="DZ81" s="259" t="str" cm="1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59"/>
      <c r="EB81" s="258" t="str" cm="1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58"/>
      <c r="ED81" s="97" t="e" cm="1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INDEX(INDIRECT("'数出表_Excel（アレルギー入力）'!"&amp;DY80&amp;MATCH(ND36,'数出表_Excel（アレルギー入力）'!$A:$A,0)+1&amp;":"&amp;ED82&amp;MATCH(ED36,'数出表_Excel（アレルギー入力）'!$A:$A,0)+1&amp;""),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G81" s="86"/>
      <c r="EH81" s="259" t="str" cm="1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259"/>
      <c r="EJ81" s="258" t="str" cm="1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58"/>
      <c r="EL81" s="97" t="e" cm="1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INDEX(INDIRECT("'数出表_Excel（アレルギー入力）'!"&amp;EG80&amp;MATCH(NL36,'数出表_Excel（アレルギー入力）'!$A:$A,0)+1&amp;":"&amp;EL82&amp;MATCH(EL36,'数出表_Excel（アレルギー入力）'!$A:$A,0)+1&amp;""),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N81" s="86"/>
      <c r="EO81" s="259" t="str" cm="1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259"/>
      <c r="EQ81" s="258" t="str" cm="1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58"/>
      <c r="ES81" s="97" t="e" cm="1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INDEX(INDIRECT("'数出表_Excel（アレルギー入力）'!"&amp;EN80&amp;MATCH(NS36,'数出表_Excel（アレルギー入力）'!$A:$A,0)+1&amp;":"&amp;ES82&amp;MATCH(ES36,'数出表_Excel（アレルギー入力）'!$A:$A,0)+1&amp;""),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06"/>
      <c r="EU81" s="78">
        <f>EU75+7</f>
        <v>91</v>
      </c>
      <c r="EV81" s="78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78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78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78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78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78" t="str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/>
      </c>
      <c r="FB81" s="78" t="str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/>
      </c>
      <c r="FC81" s="78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78" t="str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/>
      </c>
      <c r="FE81" s="78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78" t="str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/>
      </c>
      <c r="FG81" s="78">
        <f t="shared" ca="1" si="6"/>
        <v>0</v>
      </c>
      <c r="FH81" s="78" t="b">
        <f t="array" aca="1" ref="FH81" ca="1">SUMPRODUCT((LEN(EV81:FF81)&gt;0)*1)&gt;0</f>
        <v>0</v>
      </c>
      <c r="FI81" s="78" t="str">
        <f t="array" aca="1" ref="FI81" ca="1">IFERROR(SMALL(IF(FG$1:FG$228&lt;&gt;0,FG$1:FG$228),ROW(A81)),"")</f>
        <v/>
      </c>
      <c r="FJ81" s="78" t="str">
        <f t="array" aca="1" ref="FJ81" ca="1">IF($FI81&lt;&gt;"",
INDIRECT(""&amp;IF(COLUMN(EV121)&lt;=26,CHAR(COLUMN(EV121)+64),CHAR(INT((COLUMN(EV121)-1)/26)+64)&amp;CHAR(MOD(COLUMN(EV121)-1,26)+65))&amp;$FI81&amp;""),"")</f>
        <v/>
      </c>
      <c r="FK81" s="78" t="str">
        <f t="array" aca="1" ref="FK81" ca="1">IF($FI81&lt;&gt;"",
INDIRECT(""&amp;IF(COLUMN(EW121)&lt;=26,CHAR(COLUMN(EW121)+64),CHAR(INT((COLUMN(EW121)-1)/26)+64)&amp;CHAR(MOD(COLUMN(EW121)-1,26)+65))&amp;$FI81&amp;""),"")</f>
        <v/>
      </c>
      <c r="FL81" s="78" t="str">
        <f t="array" aca="1" ref="FL81" ca="1">IF($FI81&lt;&gt;"",
INDIRECT(""&amp;IF(COLUMN(EX121)&lt;=26,CHAR(COLUMN(EX121)+64),CHAR(INT((COLUMN(EX121)-1)/26)+64)&amp;CHAR(MOD(COLUMN(EX121)-1,26)+65))&amp;$FI81&amp;""),"")</f>
        <v/>
      </c>
      <c r="FM81" s="78" t="str">
        <f t="array" aca="1" ref="FM81" ca="1">IF($FI81&lt;&gt;"",
IF(FL81="",
IF(INDIRECT("EY"&amp;$FI81&amp;"")&lt;&gt;"",
INDIRECT("EY"&amp;$FI81&amp;"")&amp;"箱"
&amp;INDIRECT("EZ"&amp;$FI81&amp;""),""),""),"")</f>
        <v/>
      </c>
      <c r="FN81" s="78" t="str">
        <f t="array" aca="1" ref="FN81" ca="1">IF($FI81&lt;&gt;"",
INDIRECT(""&amp;IF(COLUMN(FA121)&lt;=26,CHAR(COLUMN(FA121)+64),CHAR(INT((COLUMN(FA121)-1)/26)+64)&amp;CHAR(MOD(COLUMN(FA121)-1,26)+65))&amp;$FI81&amp;""),"")</f>
        <v/>
      </c>
      <c r="FO81" s="78" t="str">
        <f t="array" aca="1" ref="FO81" ca="1">IF($FI81&lt;&gt;"",
INDIRECT(""&amp;IF(COLUMN(FB121)&lt;=26,CHAR(COLUMN(FB121)+64),CHAR(INT((COLUMN(FB121)-1)/26)+64)&amp;CHAR(MOD(COLUMN(FB121)-1,26)+65))&amp;$FI81&amp;""),"")</f>
        <v/>
      </c>
      <c r="FP81" s="78" t="str">
        <f t="array" aca="1" ref="FP81" ca="1">IF($FI81&lt;&gt;"",
INDIRECT(""&amp;IF(COLUMN(FC121)&lt;=26,CHAR(COLUMN(FC121)+64),CHAR(INT((COLUMN(FC121)-1)/26)+64)&amp;CHAR(MOD(COLUMN(FC121)-1,26)+65))&amp;$FI81&amp;""),"")</f>
        <v/>
      </c>
      <c r="FQ81" s="78" t="str">
        <f t="array" aca="1" ref="FQ81" ca="1">IF($FI81&lt;&gt;"",
INDIRECT(""&amp;IF(COLUMN(FD121)&lt;=26,CHAR(COLUMN(FD121)+64),CHAR(INT((COLUMN(FD121)-1)/26)+64)&amp;CHAR(MOD(COLUMN(FD121)-1,26)+65))&amp;$FI81&amp;""),"")</f>
        <v/>
      </c>
      <c r="FR81" s="78" t="str">
        <f t="array" aca="1" ref="FR81" ca="1">IF($FI81&lt;&gt;"",
INDIRECT(""&amp;IF(COLUMN(FE121)&lt;=26,CHAR(COLUMN(FE121)+64),CHAR(INT((COLUMN(FE121)-1)/26)+64)&amp;CHAR(MOD(COLUMN(FE121)-1,26)+65))&amp;$FI81&amp;""),"")</f>
        <v/>
      </c>
      <c r="FS81" s="78" t="str">
        <f t="array" aca="1" ref="FS81" ca="1">IF($FI81&lt;&gt;"",
INDIRECT(""&amp;IF(COLUMN(FF121)&lt;=26,CHAR(COLUMN(FF121)+64),CHAR(INT((COLUMN(FF121)-1)/26)+64)&amp;CHAR(MOD(COLUMN(FF121)-1,26)+65))&amp;$FI81&amp;""),"")</f>
        <v/>
      </c>
    </row>
    <row r="82" spans="1:175" ht="18" customHeight="1" x14ac:dyDescent="0.45">
      <c r="B82" s="88"/>
      <c r="C82" s="252"/>
      <c r="D82" s="252"/>
      <c r="E82" s="255"/>
      <c r="F82" s="255"/>
      <c r="G82" s="98" t="str">
        <f ca="1">SUBSTITUTE(SUBSTITUTE(ADDRESS(1,MATCH("おやつ",'数出表_Excel（アレルギー入力）'!$3:$3,0)),1,""),"$","")</f>
        <v>AL</v>
      </c>
      <c r="I82" s="88"/>
      <c r="J82" s="252"/>
      <c r="K82" s="252"/>
      <c r="L82" s="255"/>
      <c r="M82" s="255"/>
      <c r="N82" s="98" t="str">
        <f ca="1">SUBSTITUTE(SUBSTITUTE(ADDRESS(1,MATCH("おやつ",'数出表_Excel（アレルギー入力）'!$3:$3,0)),1,""),"$","")</f>
        <v>AL</v>
      </c>
      <c r="Q82" s="88"/>
      <c r="R82" s="252"/>
      <c r="S82" s="252"/>
      <c r="T82" s="255"/>
      <c r="U82" s="255"/>
      <c r="V82" s="98" t="str">
        <f ca="1">SUBSTITUTE(SUBSTITUTE(ADDRESS(1,MATCH("おやつ",'数出表_Excel（アレルギー入力）'!$3:$3,0)),1,""),"$","")</f>
        <v>AL</v>
      </c>
      <c r="X82" s="88"/>
      <c r="Y82" s="252"/>
      <c r="Z82" s="252"/>
      <c r="AA82" s="255"/>
      <c r="AB82" s="255"/>
      <c r="AC82" s="98" t="str">
        <f ca="1">SUBSTITUTE(SUBSTITUTE(ADDRESS(1,MATCH("おやつ",'数出表_Excel（アレルギー入力）'!$3:$3,0)),1,""),"$","")</f>
        <v>AL</v>
      </c>
      <c r="AF82" s="88"/>
      <c r="AG82" s="252"/>
      <c r="AH82" s="252"/>
      <c r="AI82" s="255"/>
      <c r="AJ82" s="255"/>
      <c r="AK82" s="98" t="str">
        <f ca="1">SUBSTITUTE(SUBSTITUTE(ADDRESS(1,MATCH("おやつ",'数出表_Excel（アレルギー入力）'!$3:$3,0)),1,""),"$","")</f>
        <v>AL</v>
      </c>
      <c r="AM82" s="88"/>
      <c r="AN82" s="252"/>
      <c r="AO82" s="252"/>
      <c r="AP82" s="255"/>
      <c r="AQ82" s="255"/>
      <c r="AR82" s="98" t="str">
        <f ca="1">SUBSTITUTE(SUBSTITUTE(ADDRESS(1,MATCH("おやつ",'数出表_Excel（アレルギー入力）'!$3:$3,0)),1,""),"$","")</f>
        <v>AL</v>
      </c>
      <c r="AU82" s="88"/>
      <c r="AV82" s="252"/>
      <c r="AW82" s="252"/>
      <c r="AX82" s="255"/>
      <c r="AY82" s="255"/>
      <c r="AZ82" s="98" t="str">
        <f ca="1">SUBSTITUTE(SUBSTITUTE(ADDRESS(1,MATCH("おやつ",'数出表_Excel（アレルギー入力）'!$3:$3,0)),1,""),"$","")</f>
        <v>AL</v>
      </c>
      <c r="BB82" s="88"/>
      <c r="BC82" s="252"/>
      <c r="BD82" s="252"/>
      <c r="BE82" s="255"/>
      <c r="BF82" s="255"/>
      <c r="BG82" s="98" t="str">
        <f ca="1">SUBSTITUTE(SUBSTITUTE(ADDRESS(1,MATCH("おやつ",'数出表_Excel（アレルギー入力）'!$3:$3,0)),1,""),"$","")</f>
        <v>AL</v>
      </c>
      <c r="BJ82" s="88"/>
      <c r="BK82" s="252"/>
      <c r="BL82" s="252"/>
      <c r="BM82" s="255"/>
      <c r="BN82" s="255"/>
      <c r="BO82" s="98" t="str">
        <f ca="1">SUBSTITUTE(SUBSTITUTE(ADDRESS(1,MATCH("おやつ",'数出表_Excel（アレルギー入力）'!$3:$3,0)),1,""),"$","")</f>
        <v>AL</v>
      </c>
      <c r="BQ82" s="88"/>
      <c r="BR82" s="252"/>
      <c r="BS82" s="252"/>
      <c r="BT82" s="255"/>
      <c r="BU82" s="255"/>
      <c r="BV82" s="98" t="str">
        <f ca="1">SUBSTITUTE(SUBSTITUTE(ADDRESS(1,MATCH("おやつ",'数出表_Excel（アレルギー入力）'!$3:$3,0)),1,""),"$","")</f>
        <v>AL</v>
      </c>
      <c r="BY82" s="88"/>
      <c r="BZ82" s="252"/>
      <c r="CA82" s="252"/>
      <c r="CB82" s="255"/>
      <c r="CC82" s="255"/>
      <c r="CD82" s="98" t="str">
        <f ca="1">SUBSTITUTE(SUBSTITUTE(ADDRESS(1,MATCH("おやつ",'数出表_Excel（アレルギー入力）'!$3:$3,0)),1,""),"$","")</f>
        <v>AL</v>
      </c>
      <c r="CF82" s="88"/>
      <c r="CG82" s="252"/>
      <c r="CH82" s="252"/>
      <c r="CI82" s="255"/>
      <c r="CJ82" s="255"/>
      <c r="CK82" s="98" t="str">
        <f ca="1">SUBSTITUTE(SUBSTITUTE(ADDRESS(1,MATCH("おやつ",'数出表_Excel（アレルギー入力）'!$3:$3,0)),1,""),"$","")</f>
        <v>AL</v>
      </c>
      <c r="CN82" s="88"/>
      <c r="CO82" s="252"/>
      <c r="CP82" s="252"/>
      <c r="CQ82" s="255"/>
      <c r="CR82" s="255"/>
      <c r="CS82" s="98" t="str">
        <f ca="1">SUBSTITUTE(SUBSTITUTE(ADDRESS(1,MATCH("おやつ",'数出表_Excel（アレルギー入力）'!$3:$3,0)),1,""),"$","")</f>
        <v>AL</v>
      </c>
      <c r="CU82" s="88"/>
      <c r="CV82" s="252"/>
      <c r="CW82" s="252"/>
      <c r="CX82" s="255"/>
      <c r="CY82" s="255"/>
      <c r="CZ82" s="98" t="str">
        <f ca="1">SUBSTITUTE(SUBSTITUTE(ADDRESS(1,MATCH("おやつ",'数出表_Excel（アレルギー入力）'!$3:$3,0)),1,""),"$","")</f>
        <v>AL</v>
      </c>
      <c r="DC82" s="88"/>
      <c r="DD82" s="252"/>
      <c r="DE82" s="252"/>
      <c r="DF82" s="255"/>
      <c r="DG82" s="255"/>
      <c r="DH82" s="98" t="str">
        <f ca="1">SUBSTITUTE(SUBSTITUTE(ADDRESS(1,MATCH("おやつ",'数出表_Excel（アレルギー入力）'!$3:$3,0)),1,""),"$","")</f>
        <v>AL</v>
      </c>
      <c r="DJ82" s="88"/>
      <c r="DK82" s="252"/>
      <c r="DL82" s="252"/>
      <c r="DM82" s="255"/>
      <c r="DN82" s="255"/>
      <c r="DO82" s="98" t="str">
        <f ca="1">SUBSTITUTE(SUBSTITUTE(ADDRESS(1,MATCH("おやつ",'数出表_Excel（アレルギー入力）'!$3:$3,0)),1,""),"$","")</f>
        <v>AL</v>
      </c>
      <c r="DR82" s="88"/>
      <c r="DS82" s="252"/>
      <c r="DT82" s="252"/>
      <c r="DU82" s="255"/>
      <c r="DV82" s="255"/>
      <c r="DW82" s="98" t="str">
        <f ca="1">SUBSTITUTE(SUBSTITUTE(ADDRESS(1,MATCH("おやつ",'数出表_Excel（アレルギー入力）'!$3:$3,0)),1,""),"$","")</f>
        <v>AL</v>
      </c>
      <c r="DY82" s="88"/>
      <c r="DZ82" s="252"/>
      <c r="EA82" s="252"/>
      <c r="EB82" s="255"/>
      <c r="EC82" s="255"/>
      <c r="ED82" s="98" t="str">
        <f ca="1">SUBSTITUTE(SUBSTITUTE(ADDRESS(1,MATCH("おやつ",'数出表_Excel（アレルギー入力）'!$3:$3,0)),1,""),"$","")</f>
        <v>AL</v>
      </c>
      <c r="EG82" s="88"/>
      <c r="EH82" s="252"/>
      <c r="EI82" s="252"/>
      <c r="EJ82" s="255"/>
      <c r="EK82" s="255"/>
      <c r="EL82" s="98" t="str">
        <f ca="1">SUBSTITUTE(SUBSTITUTE(ADDRESS(1,MATCH("おやつ",'数出表_Excel（アレルギー入力）'!$3:$3,0)),1,""),"$","")</f>
        <v>AL</v>
      </c>
      <c r="EN82" s="88"/>
      <c r="EO82" s="252"/>
      <c r="EP82" s="252"/>
      <c r="EQ82" s="255"/>
      <c r="ER82" s="255"/>
      <c r="ES82" s="98" t="str">
        <f ca="1">SUBSTITUTE(SUBSTITUTE(ADDRESS(1,MATCH("おやつ",'数出表_Excel（アレルギー入力）'!$3:$3,0)),1,""),"$","")</f>
        <v>AL</v>
      </c>
      <c r="ET82" s="106"/>
      <c r="EU82" s="78">
        <v>7</v>
      </c>
      <c r="EV82" s="78" t="str">
        <f t="array" aca="1" ref="EV82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LEN(SUBSTITUTE(_xlfn.FORMULATEXT(EV$76),"=","")))+$EU82)</f>
        <v/>
      </c>
      <c r="EW82" s="78" t="str">
        <f t="array" aca="1" ref="EW82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LEN(SUBSTITUTE(_xlfn.FORMULATEXT(EW$76),"=","")))+$EU82)</f>
        <v/>
      </c>
      <c r="EX82" s="78" t="str">
        <f t="array" aca="1" ref="EX82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LEN(SUBSTITUTE(_xlfn.FORMULATEXT(EX$76),"=","")))+$EU82)</f>
        <v/>
      </c>
      <c r="EY82" s="78" t="str">
        <f t="array" aca="1" ref="EY82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LEN(SUBSTITUTE(_xlfn.FORMULATEXT(EY$76),"=","")))+$EU82)</f>
        <v/>
      </c>
      <c r="EZ82" s="78" t="str">
        <f t="array" aca="1" ref="EZ82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LEN(SUBSTITUTE(_xlfn.FORMULATEXT(EZ$76),"=","")))+$EU82)</f>
        <v/>
      </c>
      <c r="FA82" s="78" t="e">
        <f t="array" aca="1" ref="FA82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LEN(SUBSTITUTE(_xlfn.FORMULATEXT(FA$76),"=","")))+$EU82)</f>
        <v>#VALUE!</v>
      </c>
      <c r="FB82" s="78" t="e">
        <f t="array" aca="1" ref="FB82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LEN(SUBSTITUTE(_xlfn.FORMULATEXT(FB$76),"=","")))+$EU82)</f>
        <v>#VALUE!</v>
      </c>
      <c r="FC82" s="78" t="str">
        <f t="array" aca="1" ref="FC82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LEN(SUBSTITUTE(_xlfn.FORMULATEXT(FC$76),"=","")))+$EU82)</f>
        <v/>
      </c>
      <c r="FD82" s="78" t="e">
        <f t="array" aca="1" ref="FD82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LEN(SUBSTITUTE(_xlfn.FORMULATEXT(FD$76),"=","")))+$EU82)</f>
        <v>#VALUE!</v>
      </c>
      <c r="FE82" s="78" t="str">
        <f t="array" aca="1" ref="FE82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LEN(SUBSTITUTE(_xlfn.FORMULATEXT(FE$76),"=","")))+$EU82)</f>
        <v/>
      </c>
      <c r="FF82" s="78" t="e">
        <f t="array" aca="1" ref="FF82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LEN(SUBSTITUTE(_xlfn.FORMULATEXT(FF$76),"=","")))+$EU82)</f>
        <v>#VALUE!</v>
      </c>
      <c r="FG82" s="78">
        <f t="shared" ref="FG82:FG113" ca="1" si="7">IF(COUNTIF(FH82,"TRUE"),ROW(),0)</f>
        <v>0</v>
      </c>
      <c r="FH82" s="78" t="e">
        <f t="array" aca="1" ref="FH82" ca="1">SUMPRODUCT((LEN(EV82:FF82)&gt;0)*1)&gt;0</f>
        <v>#VALUE!</v>
      </c>
      <c r="FI82" s="78" t="str">
        <f t="array" aca="1" ref="FI82" ca="1">IFERROR(SMALL(IF(FG$1:FG$228&lt;&gt;0,FG$1:FG$228),ROW(A82)),"")</f>
        <v/>
      </c>
      <c r="FJ82" s="78" t="str">
        <f t="array" aca="1" ref="FJ82" ca="1">IF($FI82&lt;&gt;"",
INDIRECT(""&amp;IF(COLUMN(EV122)&lt;=26,CHAR(COLUMN(EV122)+64),CHAR(INT((COLUMN(EV122)-1)/26)+64)&amp;CHAR(MOD(COLUMN(EV122)-1,26)+65))&amp;$FI82&amp;""),"")</f>
        <v/>
      </c>
      <c r="FK82" s="78" t="str">
        <f t="array" aca="1" ref="FK82" ca="1">IF($FI82&lt;&gt;"",
INDIRECT(""&amp;IF(COLUMN(EW122)&lt;=26,CHAR(COLUMN(EW122)+64),CHAR(INT((COLUMN(EW122)-1)/26)+64)&amp;CHAR(MOD(COLUMN(EW122)-1,26)+65))&amp;$FI82&amp;""),"")</f>
        <v/>
      </c>
      <c r="FL82" s="78" t="str">
        <f t="array" aca="1" ref="FL82" ca="1">IF($FI82&lt;&gt;"",
INDIRECT(""&amp;IF(COLUMN(EX122)&lt;=26,CHAR(COLUMN(EX122)+64),CHAR(INT((COLUMN(EX122)-1)/26)+64)&amp;CHAR(MOD(COLUMN(EX122)-1,26)+65))&amp;$FI82&amp;""),"")</f>
        <v/>
      </c>
      <c r="FM82" s="78" t="str">
        <f t="array" aca="1" ref="FM82" ca="1">IF($FI82&lt;&gt;"",
IF(FL82="",
IF(INDIRECT("EY"&amp;$FI82&amp;"")&lt;&gt;"",
INDIRECT("EY"&amp;$FI82&amp;"")&amp;"箱"
&amp;INDIRECT("EZ"&amp;$FI82&amp;""),""),""),"")</f>
        <v/>
      </c>
      <c r="FN82" s="78" t="str">
        <f t="array" aca="1" ref="FN82" ca="1">IF($FI82&lt;&gt;"",
INDIRECT(""&amp;IF(COLUMN(FA122)&lt;=26,CHAR(COLUMN(FA122)+64),CHAR(INT((COLUMN(FA122)-1)/26)+64)&amp;CHAR(MOD(COLUMN(FA122)-1,26)+65))&amp;$FI82&amp;""),"")</f>
        <v/>
      </c>
      <c r="FO82" s="78" t="str">
        <f t="array" aca="1" ref="FO82" ca="1">IF($FI82&lt;&gt;"",
INDIRECT(""&amp;IF(COLUMN(FB122)&lt;=26,CHAR(COLUMN(FB122)+64),CHAR(INT((COLUMN(FB122)-1)/26)+64)&amp;CHAR(MOD(COLUMN(FB122)-1,26)+65))&amp;$FI82&amp;""),"")</f>
        <v/>
      </c>
      <c r="FP82" s="78" t="str">
        <f t="array" aca="1" ref="FP82" ca="1">IF($FI82&lt;&gt;"",
INDIRECT(""&amp;IF(COLUMN(FC122)&lt;=26,CHAR(COLUMN(FC122)+64),CHAR(INT((COLUMN(FC122)-1)/26)+64)&amp;CHAR(MOD(COLUMN(FC122)-1,26)+65))&amp;$FI82&amp;""),"")</f>
        <v/>
      </c>
      <c r="FQ82" s="78" t="str">
        <f t="array" aca="1" ref="FQ82" ca="1">IF($FI82&lt;&gt;"",
INDIRECT(""&amp;IF(COLUMN(FD122)&lt;=26,CHAR(COLUMN(FD122)+64),CHAR(INT((COLUMN(FD122)-1)/26)+64)&amp;CHAR(MOD(COLUMN(FD122)-1,26)+65))&amp;$FI82&amp;""),"")</f>
        <v/>
      </c>
      <c r="FR82" s="78" t="str">
        <f t="array" aca="1" ref="FR82" ca="1">IF($FI82&lt;&gt;"",
INDIRECT(""&amp;IF(COLUMN(FE122)&lt;=26,CHAR(COLUMN(FE122)+64),CHAR(INT((COLUMN(FE122)-1)/26)+64)&amp;CHAR(MOD(COLUMN(FE122)-1,26)+65))&amp;$FI82&amp;""),"")</f>
        <v/>
      </c>
      <c r="FS82" s="78" t="str">
        <f t="array" aca="1" ref="FS82" ca="1">IF($FI82&lt;&gt;"",
INDIRECT(""&amp;IF(COLUMN(FF122)&lt;=26,CHAR(COLUMN(FF122)+64),CHAR(INT((COLUMN(FF122)-1)/26)+64)&amp;CHAR(MOD(COLUMN(FF122)-1,26)+65))&amp;$FI82&amp;""),"")</f>
        <v/>
      </c>
    </row>
    <row r="83" spans="1:175" s="78" customFormat="1" ht="22.2" customHeight="1" x14ac:dyDescent="0.55000000000000004">
      <c r="A83" s="76"/>
      <c r="B83" s="89" t="str">
        <f ca="1">IF(C81&lt;&gt;"","パン箱","")</f>
        <v/>
      </c>
      <c r="C83" s="90" t="str">
        <f ca="1">IF(C81&lt;&gt;"",IF(OR(COUNTIF('盛付札（関数）'!C79,"*キャラ*"),COUNTIF('盛付札（関数）'!C79,"*赤*")),24,
VLOOKUP('盛付札（関数）'!C79,商品マスタ一覧!$D:$I,6,FALSE)),"")</f>
        <v/>
      </c>
      <c r="D83" s="89" t="str">
        <f ca="1">IF(C81&lt;&gt;"","　端数","")</f>
        <v/>
      </c>
      <c r="E83" s="90"/>
      <c r="F83" s="89" t="str">
        <f ca="1">IF(C81&lt;&gt;"","アレルギー","")</f>
        <v/>
      </c>
      <c r="G83" s="93"/>
      <c r="H83" s="76"/>
      <c r="I83" s="89" t="str">
        <f ca="1">IF(J81&lt;&gt;"","パン箱","")</f>
        <v/>
      </c>
      <c r="J83" s="90" t="str">
        <f ca="1">IF(J81&lt;&gt;"",IF(OR(COUNTIF('盛付札（関数）'!J79,"*キャラ*"),COUNTIF('盛付札（関数）'!J79,"*赤*")),24,
VLOOKUP('盛付札（関数）'!J79,商品マスタ一覧!$D:$I,6,FALSE)),"")</f>
        <v/>
      </c>
      <c r="K83" s="89" t="str">
        <f ca="1">IF(J81&lt;&gt;"","　端数","")</f>
        <v/>
      </c>
      <c r="L83" s="90"/>
      <c r="M83" s="89" t="str">
        <f ca="1">IF(J81&lt;&gt;"","アレルギー","")</f>
        <v/>
      </c>
      <c r="N83" s="93"/>
      <c r="O83" s="76"/>
      <c r="P83" s="76"/>
      <c r="Q83" s="89" t="str">
        <f ca="1">IF(R81&lt;&gt;"","パン箱","")</f>
        <v/>
      </c>
      <c r="R83" s="90" t="str">
        <f ca="1">IF(R81&lt;&gt;"",IF(OR(COUNTIF('盛付札（関数）'!R79,"*キャラ*"),COUNTIF('盛付札（関数）'!R79,"*赤*")),24,
VLOOKUP('盛付札（関数）'!R79,商品マスタ一覧!$D:$I,6,FALSE)),"")</f>
        <v/>
      </c>
      <c r="S83" s="89" t="str">
        <f ca="1">IF(R81&lt;&gt;"","　端数","")</f>
        <v/>
      </c>
      <c r="T83" s="90"/>
      <c r="U83" s="89" t="str">
        <f ca="1">IF(R81&lt;&gt;"","アレルギー","")</f>
        <v/>
      </c>
      <c r="V83" s="93"/>
      <c r="W83" s="76"/>
      <c r="X83" s="89" t="str">
        <f ca="1">IF(Y81&lt;&gt;"","パン箱","")</f>
        <v/>
      </c>
      <c r="Y83" s="90" t="str">
        <f ca="1">IF(Y81&lt;&gt;"",IF(OR(COUNTIF('盛付札（関数）'!Y79,"*キャラ*"),COUNTIF('盛付札（関数）'!Y79,"*赤*")),24,
VLOOKUP('盛付札（関数）'!Y79,商品マスタ一覧!$D:$I,6,FALSE)),"")</f>
        <v/>
      </c>
      <c r="Z83" s="89" t="str">
        <f ca="1">IF(Y81&lt;&gt;"","　端数","")</f>
        <v/>
      </c>
      <c r="AA83" s="90"/>
      <c r="AB83" s="89" t="str">
        <f ca="1">IF(Y81&lt;&gt;"","アレルギー","")</f>
        <v/>
      </c>
      <c r="AC83" s="93"/>
      <c r="AD83" s="76"/>
      <c r="AE83" s="76"/>
      <c r="AF83" s="89" t="str">
        <f ca="1">IF(AG81&lt;&gt;"","パン箱","")</f>
        <v/>
      </c>
      <c r="AG83" s="90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89" t="str">
        <f ca="1">IF(AG81&lt;&gt;"","　端数","")</f>
        <v/>
      </c>
      <c r="AI83" s="90"/>
      <c r="AJ83" s="89" t="str">
        <f ca="1">IF(AG81&lt;&gt;"","アレルギー","")</f>
        <v/>
      </c>
      <c r="AK83" s="93"/>
      <c r="AL83" s="76"/>
      <c r="AM83" s="89" t="str">
        <f ca="1">IF(AN81&lt;&gt;"","パン箱","")</f>
        <v/>
      </c>
      <c r="AN83" s="90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89" t="str">
        <f ca="1">IF(AN81&lt;&gt;"","　端数","")</f>
        <v/>
      </c>
      <c r="AP83" s="90"/>
      <c r="AQ83" s="89" t="str">
        <f ca="1">IF(AN81&lt;&gt;"","アレルギー","")</f>
        <v/>
      </c>
      <c r="AR83" s="93"/>
      <c r="AS83" s="76"/>
      <c r="AT83" s="76"/>
      <c r="AU83" s="89" t="str">
        <f ca="1">IF(AV81&lt;&gt;"","パン箱","")</f>
        <v/>
      </c>
      <c r="AV83" s="90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89" t="str">
        <f ca="1">IF(AV81&lt;&gt;"","　端数","")</f>
        <v/>
      </c>
      <c r="AX83" s="90"/>
      <c r="AY83" s="89" t="str">
        <f ca="1">IF(AV81&lt;&gt;"","アレルギー","")</f>
        <v/>
      </c>
      <c r="AZ83" s="93"/>
      <c r="BA83" s="76"/>
      <c r="BB83" s="89" t="str">
        <f ca="1">IF(BC81&lt;&gt;"","パン箱","")</f>
        <v/>
      </c>
      <c r="BC83" s="90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89" t="str">
        <f ca="1">IF(BC81&lt;&gt;"","　端数","")</f>
        <v/>
      </c>
      <c r="BE83" s="90"/>
      <c r="BF83" s="89" t="str">
        <f ca="1">IF(BC81&lt;&gt;"","アレルギー","")</f>
        <v/>
      </c>
      <c r="BG83" s="93"/>
      <c r="BH83" s="76"/>
      <c r="BI83" s="76"/>
      <c r="BJ83" s="89" t="str">
        <f ca="1">IF(BK81&lt;&gt;"","パン箱","")</f>
        <v/>
      </c>
      <c r="BK83" s="90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89" t="str">
        <f ca="1">IF(BK81&lt;&gt;"","　端数","")</f>
        <v/>
      </c>
      <c r="BM83" s="90"/>
      <c r="BN83" s="89" t="str">
        <f ca="1">IF(BK81&lt;&gt;"","アレルギー","")</f>
        <v/>
      </c>
      <c r="BO83" s="93"/>
      <c r="BP83" s="76"/>
      <c r="BQ83" s="89" t="str">
        <f ca="1">IF(BR81&lt;&gt;"","パン箱","")</f>
        <v/>
      </c>
      <c r="BR83" s="90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89" t="str">
        <f ca="1">IF(BR81&lt;&gt;"","　端数","")</f>
        <v/>
      </c>
      <c r="BT83" s="90"/>
      <c r="BU83" s="89" t="str">
        <f ca="1">IF(BR81&lt;&gt;"","アレルギー","")</f>
        <v/>
      </c>
      <c r="BV83" s="93"/>
      <c r="BW83" s="76"/>
      <c r="BX83" s="76"/>
      <c r="BY83" s="89" t="str">
        <f ca="1">IF(BZ81&lt;&gt;"","パン箱","")</f>
        <v/>
      </c>
      <c r="BZ83" s="90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89" t="str">
        <f ca="1">IF(BZ81&lt;&gt;"","　端数","")</f>
        <v/>
      </c>
      <c r="CB83" s="90"/>
      <c r="CC83" s="89" t="str">
        <f ca="1">IF(BZ81&lt;&gt;"","アレルギー","")</f>
        <v/>
      </c>
      <c r="CD83" s="93"/>
      <c r="CE83" s="76"/>
      <c r="CF83" s="89" t="str">
        <f ca="1">IF(CG81&lt;&gt;"","パン箱","")</f>
        <v/>
      </c>
      <c r="CG83" s="90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89" t="str">
        <f ca="1">IF(CG81&lt;&gt;"","　端数","")</f>
        <v/>
      </c>
      <c r="CI83" s="90"/>
      <c r="CJ83" s="89" t="str">
        <f ca="1">IF(CG81&lt;&gt;"","アレルギー","")</f>
        <v/>
      </c>
      <c r="CK83" s="93"/>
      <c r="CL83" s="76"/>
      <c r="CM83" s="76"/>
      <c r="CN83" s="89" t="str">
        <f ca="1">IF(CO81&lt;&gt;"","パン箱","")</f>
        <v/>
      </c>
      <c r="CO83" s="90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89" t="str">
        <f ca="1">IF(CO81&lt;&gt;"","　端数","")</f>
        <v/>
      </c>
      <c r="CQ83" s="90"/>
      <c r="CR83" s="89" t="str">
        <f ca="1">IF(CO81&lt;&gt;"","アレルギー","")</f>
        <v/>
      </c>
      <c r="CS83" s="93"/>
      <c r="CT83" s="76"/>
      <c r="CU83" s="89" t="str">
        <f ca="1">IF(CV81&lt;&gt;"","パン箱","")</f>
        <v/>
      </c>
      <c r="CV83" s="90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89" t="str">
        <f ca="1">IF(CV81&lt;&gt;"","　端数","")</f>
        <v/>
      </c>
      <c r="CX83" s="90"/>
      <c r="CY83" s="89" t="str">
        <f ca="1">IF(CV81&lt;&gt;"","アレルギー","")</f>
        <v/>
      </c>
      <c r="CZ83" s="93"/>
      <c r="DA83" s="76"/>
      <c r="DB83" s="76"/>
      <c r="DC83" s="89" t="str">
        <f ca="1">IF(DD81&lt;&gt;"","パン箱","")</f>
        <v/>
      </c>
      <c r="DD83" s="90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89" t="str">
        <f ca="1">IF(DD81&lt;&gt;"","　端数","")</f>
        <v/>
      </c>
      <c r="DF83" s="90"/>
      <c r="DG83" s="89" t="str">
        <f ca="1">IF(DD81&lt;&gt;"","アレルギー","")</f>
        <v/>
      </c>
      <c r="DH83" s="93"/>
      <c r="DI83" s="76"/>
      <c r="DJ83" s="89" t="str">
        <f ca="1">IF(DK81&lt;&gt;"","パン箱","")</f>
        <v/>
      </c>
      <c r="DK83" s="90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89" t="str">
        <f ca="1">IF(DK81&lt;&gt;"","　端数","")</f>
        <v/>
      </c>
      <c r="DM83" s="90"/>
      <c r="DN83" s="89" t="str">
        <f ca="1">IF(DK81&lt;&gt;"","アレルギー","")</f>
        <v/>
      </c>
      <c r="DO83" s="93"/>
      <c r="DP83" s="76"/>
      <c r="DQ83" s="76"/>
      <c r="DR83" s="89" t="str">
        <f ca="1">IF(DS81&lt;&gt;"","パン箱","")</f>
        <v/>
      </c>
      <c r="DS83" s="90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89" t="str">
        <f ca="1">IF(DS81&lt;&gt;"","　端数","")</f>
        <v/>
      </c>
      <c r="DU83" s="90"/>
      <c r="DV83" s="89" t="str">
        <f ca="1">IF(DS81&lt;&gt;"","アレルギー","")</f>
        <v/>
      </c>
      <c r="DW83" s="93"/>
      <c r="DX83" s="76"/>
      <c r="DY83" s="89" t="str">
        <f ca="1">IF(DZ81&lt;&gt;"","パン箱","")</f>
        <v/>
      </c>
      <c r="DZ83" s="90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89" t="str">
        <f ca="1">IF(DZ81&lt;&gt;"","　端数","")</f>
        <v/>
      </c>
      <c r="EB83" s="90"/>
      <c r="EC83" s="89" t="str">
        <f ca="1">IF(DZ81&lt;&gt;"","アレルギー","")</f>
        <v/>
      </c>
      <c r="ED83" s="93"/>
      <c r="EE83" s="76"/>
      <c r="EF83" s="76"/>
      <c r="EG83" s="89" t="str">
        <f ca="1">IF(EH81&lt;&gt;"","パン箱","")</f>
        <v/>
      </c>
      <c r="EH83" s="90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89" t="str">
        <f ca="1">IF(EH81&lt;&gt;"","　端数","")</f>
        <v/>
      </c>
      <c r="EJ83" s="90"/>
      <c r="EK83" s="89" t="str">
        <f ca="1">IF(EH81&lt;&gt;"","アレルギー","")</f>
        <v/>
      </c>
      <c r="EL83" s="93"/>
      <c r="EM83" s="76"/>
      <c r="EN83" s="89" t="str">
        <f ca="1">IF(EO81&lt;&gt;"","パン箱","")</f>
        <v/>
      </c>
      <c r="EO83" s="90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89" t="str">
        <f ca="1">IF(EO81&lt;&gt;"","　端数","")</f>
        <v/>
      </c>
      <c r="EQ83" s="90"/>
      <c r="ER83" s="89" t="str">
        <f ca="1">IF(EO81&lt;&gt;"","アレルギー","")</f>
        <v/>
      </c>
      <c r="ES83" s="93"/>
      <c r="ET83" s="106"/>
      <c r="EU83" s="78">
        <f t="shared" ref="EU83:EU108" si="8">EU77+7</f>
        <v>49</v>
      </c>
      <c r="EV83" s="78" t="str">
        <f t="array" aca="1" ref="EV83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LEN(SUBSTITUTE(_xlfn.FORMULATEXT(EV$76),"=","")))+$EU83)</f>
        <v/>
      </c>
      <c r="EW83" s="78" t="str">
        <f t="array" aca="1" ref="EW83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LEN(SUBSTITUTE(_xlfn.FORMULATEXT(EW$76),"=","")))+$EU83)</f>
        <v/>
      </c>
      <c r="EX83" s="78" t="str">
        <f t="array" aca="1" ref="EX83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LEN(SUBSTITUTE(_xlfn.FORMULATEXT(EX$76),"=","")))+$EU83)</f>
        <v/>
      </c>
      <c r="EY83" s="78" t="str">
        <f t="array" aca="1" ref="EY83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LEN(SUBSTITUTE(_xlfn.FORMULATEXT(EY$76),"=","")))+$EU83)</f>
        <v/>
      </c>
      <c r="EZ83" s="78" t="str">
        <f t="array" aca="1" ref="EZ83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LEN(SUBSTITUTE(_xlfn.FORMULATEXT(EZ$76),"=","")))+$EU83)</f>
        <v/>
      </c>
      <c r="FA83" s="78" t="str">
        <f t="array" aca="1" ref="FA83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LEN(SUBSTITUTE(_xlfn.FORMULATEXT(FA$76),"=","")))+$EU83)</f>
        <v/>
      </c>
      <c r="FB83" s="78" t="str">
        <f t="array" aca="1" ref="FB83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LEN(SUBSTITUTE(_xlfn.FORMULATEXT(FB$76),"=","")))+$EU83)</f>
        <v/>
      </c>
      <c r="FC83" s="78" t="str">
        <f t="array" aca="1" ref="FC83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LEN(SUBSTITUTE(_xlfn.FORMULATEXT(FC$76),"=","")))+$EU83)</f>
        <v/>
      </c>
      <c r="FD83" s="78" t="str">
        <f t="array" aca="1" ref="FD83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LEN(SUBSTITUTE(_xlfn.FORMULATEXT(FD$76),"=","")))+$EU83)</f>
        <v/>
      </c>
      <c r="FE83" s="78" t="str">
        <f t="array" aca="1" ref="FE83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LEN(SUBSTITUTE(_xlfn.FORMULATEXT(FE$76),"=","")))+$EU83)</f>
        <v/>
      </c>
      <c r="FF83" s="78" t="str">
        <f t="array" aca="1" ref="FF83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LEN(SUBSTITUTE(_xlfn.FORMULATEXT(FF$76),"=","")))+$EU83)</f>
        <v/>
      </c>
      <c r="FG83" s="78">
        <f t="shared" ca="1" si="7"/>
        <v>0</v>
      </c>
      <c r="FH83" s="78" t="b">
        <f t="array" aca="1" ref="FH83" ca="1">SUMPRODUCT((LEN(EV83:FF83)&gt;0)*1)&gt;0</f>
        <v>0</v>
      </c>
      <c r="FI83" s="78" t="str">
        <f t="array" aca="1" ref="FI83" ca="1">IFERROR(SMALL(IF(FG$1:FG$228&lt;&gt;0,FG$1:FG$228),ROW(A83)),"")</f>
        <v/>
      </c>
      <c r="FJ83" s="78" t="str">
        <f t="array" aca="1" ref="FJ83" ca="1">IF($FI83&lt;&gt;"",
INDIRECT(""&amp;IF(COLUMN(EV124)&lt;=26,CHAR(COLUMN(EV124)+64),CHAR(INT((COLUMN(EV124)-1)/26)+64)&amp;CHAR(MOD(COLUMN(EV124)-1,26)+65))&amp;$FI83&amp;""),"")</f>
        <v/>
      </c>
      <c r="FK83" s="78" t="str">
        <f t="array" aca="1" ref="FK83" ca="1">IF($FI83&lt;&gt;"",
INDIRECT(""&amp;IF(COLUMN(EW124)&lt;=26,CHAR(COLUMN(EW124)+64),CHAR(INT((COLUMN(EW124)-1)/26)+64)&amp;CHAR(MOD(COLUMN(EW124)-1,26)+65))&amp;$FI83&amp;""),"")</f>
        <v/>
      </c>
      <c r="FL83" s="78" t="str">
        <f t="array" aca="1" ref="FL83" ca="1">IF($FI83&lt;&gt;"",
INDIRECT(""&amp;IF(COLUMN(EX124)&lt;=26,CHAR(COLUMN(EX124)+64),CHAR(INT((COLUMN(EX124)-1)/26)+64)&amp;CHAR(MOD(COLUMN(EX124)-1,26)+65))&amp;$FI83&amp;""),"")</f>
        <v/>
      </c>
      <c r="FM83" s="78" t="str">
        <f t="array" aca="1" ref="FM83" ca="1">IF($FI83&lt;&gt;"",
IF(FL83="",
IF(INDIRECT("EY"&amp;$FI83&amp;"")&lt;&gt;"",
INDIRECT("EY"&amp;$FI83&amp;"")&amp;"箱"
&amp;INDIRECT("EZ"&amp;$FI83&amp;""),""),""),"")</f>
        <v/>
      </c>
      <c r="FN83" s="78" t="str">
        <f t="array" aca="1" ref="FN83" ca="1">IF($FI83&lt;&gt;"",
INDIRECT(""&amp;IF(COLUMN(FA124)&lt;=26,CHAR(COLUMN(FA124)+64),CHAR(INT((COLUMN(FA124)-1)/26)+64)&amp;CHAR(MOD(COLUMN(FA124)-1,26)+65))&amp;$FI83&amp;""),"")</f>
        <v/>
      </c>
      <c r="FO83" s="78" t="str">
        <f t="array" aca="1" ref="FO83" ca="1">IF($FI83&lt;&gt;"",
INDIRECT(""&amp;IF(COLUMN(FB124)&lt;=26,CHAR(COLUMN(FB124)+64),CHAR(INT((COLUMN(FB124)-1)/26)+64)&amp;CHAR(MOD(COLUMN(FB124)-1,26)+65))&amp;$FI83&amp;""),"")</f>
        <v/>
      </c>
      <c r="FP83" s="78" t="str">
        <f t="array" aca="1" ref="FP83" ca="1">IF($FI83&lt;&gt;"",
INDIRECT(""&amp;IF(COLUMN(FC124)&lt;=26,CHAR(COLUMN(FC124)+64),CHAR(INT((COLUMN(FC124)-1)/26)+64)&amp;CHAR(MOD(COLUMN(FC124)-1,26)+65))&amp;$FI83&amp;""),"")</f>
        <v/>
      </c>
      <c r="FQ83" s="78" t="str">
        <f t="array" aca="1" ref="FQ83" ca="1">IF($FI83&lt;&gt;"",
INDIRECT(""&amp;IF(COLUMN(FD124)&lt;=26,CHAR(COLUMN(FD124)+64),CHAR(INT((COLUMN(FD124)-1)/26)+64)&amp;CHAR(MOD(COLUMN(FD124)-1,26)+65))&amp;$FI83&amp;""),"")</f>
        <v/>
      </c>
      <c r="FR83" s="78" t="str">
        <f t="array" aca="1" ref="FR83" ca="1">IF($FI83&lt;&gt;"",
INDIRECT(""&amp;IF(COLUMN(FE124)&lt;=26,CHAR(COLUMN(FE124)+64),CHAR(INT((COLUMN(FE124)-1)/26)+64)&amp;CHAR(MOD(COLUMN(FE124)-1,26)+65))&amp;$FI83&amp;""),"")</f>
        <v/>
      </c>
      <c r="FS83" s="78" t="str">
        <f t="array" aca="1" ref="FS83" ca="1">IF($FI83&lt;&gt;"",
INDIRECT(""&amp;IF(COLUMN(FF124)&lt;=26,CHAR(COLUMN(FF124)+64),CHAR(INT((COLUMN(FF124)-1)/26)+64)&amp;CHAR(MOD(COLUMN(FF124)-1,26)+65))&amp;$FI83&amp;""),"")</f>
        <v/>
      </c>
    </row>
    <row r="84" spans="1:175" ht="21" customHeight="1" x14ac:dyDescent="0.45">
      <c r="B84" s="260" t="str">
        <f ca="1">IF(C81&lt;&gt;"",
IFERROR(INT(C81/C83),""),"")</f>
        <v/>
      </c>
      <c r="C84" s="261"/>
      <c r="D84" s="260" t="str">
        <f ca="1">IFERROR(MOD(C81,C83),"")</f>
        <v/>
      </c>
      <c r="E84" s="261"/>
      <c r="F84" s="256" t="str">
        <f ca="1">IF(C78&lt;&gt;"",G80+G81,"")</f>
        <v/>
      </c>
      <c r="G84" s="257"/>
      <c r="I84" s="260" t="str">
        <f ca="1">IF(J81&lt;&gt;"",
IFERROR(INT(J81/J83),""),"")</f>
        <v/>
      </c>
      <c r="J84" s="261"/>
      <c r="K84" s="260" t="str">
        <f ca="1">IFERROR(MOD(J81,J83),"")</f>
        <v/>
      </c>
      <c r="L84" s="261"/>
      <c r="M84" s="256" t="str">
        <f ca="1">IF(J78&lt;&gt;"",N80+N81,"")</f>
        <v/>
      </c>
      <c r="N84" s="257"/>
      <c r="Q84" s="260" t="str">
        <f ca="1">IF(R81&lt;&gt;"",
IFERROR(INT(R81/R83),""),"")</f>
        <v/>
      </c>
      <c r="R84" s="261"/>
      <c r="S84" s="260" t="str">
        <f ca="1">IFERROR(MOD(R81,R83),"")</f>
        <v/>
      </c>
      <c r="T84" s="261"/>
      <c r="U84" s="256" t="str">
        <f ca="1">IF(R78&lt;&gt;"",V80+V81,"")</f>
        <v/>
      </c>
      <c r="V84" s="257"/>
      <c r="X84" s="260" t="str">
        <f ca="1">IF(Y81&lt;&gt;"",
IFERROR(INT(Y81/Y83),""),"")</f>
        <v/>
      </c>
      <c r="Y84" s="261"/>
      <c r="Z84" s="260" t="str">
        <f ca="1">IFERROR(MOD(Y81,Y83),"")</f>
        <v/>
      </c>
      <c r="AA84" s="261"/>
      <c r="AB84" s="256" t="str">
        <f ca="1">IF(Y78&lt;&gt;"",AC80+AC81,"")</f>
        <v/>
      </c>
      <c r="AC84" s="257"/>
      <c r="AF84" s="260" t="str">
        <f ca="1">IF(AG81&lt;&gt;"",
IFERROR(INT(AG81/AG83),""),"")</f>
        <v/>
      </c>
      <c r="AG84" s="261"/>
      <c r="AH84" s="260" t="str">
        <f ca="1">IFERROR(MOD(AG81,AG83),"")</f>
        <v/>
      </c>
      <c r="AI84" s="261"/>
      <c r="AJ84" s="256" t="str">
        <f ca="1">IF(AG78&lt;&gt;"",AK80+AK81,"")</f>
        <v/>
      </c>
      <c r="AK84" s="257"/>
      <c r="AM84" s="260" t="str">
        <f ca="1">IF(AN81&lt;&gt;"",
IFERROR(INT(AN81/AN83),""),"")</f>
        <v/>
      </c>
      <c r="AN84" s="261"/>
      <c r="AO84" s="260" t="str">
        <f ca="1">IFERROR(MOD(AN81,AN83),"")</f>
        <v/>
      </c>
      <c r="AP84" s="261"/>
      <c r="AQ84" s="256" t="str">
        <f ca="1">IF(AN78&lt;&gt;"",AR80+AR81,"")</f>
        <v/>
      </c>
      <c r="AR84" s="257"/>
      <c r="AU84" s="260" t="str">
        <f ca="1">IF(AV81&lt;&gt;"",
IFERROR(INT(AV81/AV83),""),"")</f>
        <v/>
      </c>
      <c r="AV84" s="261"/>
      <c r="AW84" s="260" t="str">
        <f ca="1">IFERROR(MOD(AV81,AV83),"")</f>
        <v/>
      </c>
      <c r="AX84" s="261"/>
      <c r="AY84" s="256" t="str">
        <f ca="1">IF(AV78&lt;&gt;"",AZ80+AZ81,"")</f>
        <v/>
      </c>
      <c r="AZ84" s="257"/>
      <c r="BB84" s="260" t="str">
        <f ca="1">IF(BC81&lt;&gt;"",
IFERROR(INT(BC81/BC83),""),"")</f>
        <v/>
      </c>
      <c r="BC84" s="261"/>
      <c r="BD84" s="260" t="str">
        <f ca="1">IFERROR(MOD(BC81,BC83),"")</f>
        <v/>
      </c>
      <c r="BE84" s="261"/>
      <c r="BF84" s="256" t="str">
        <f ca="1">IF(BC78&lt;&gt;"",BG80+BG81,"")</f>
        <v/>
      </c>
      <c r="BG84" s="257"/>
      <c r="BJ84" s="260" t="str">
        <f ca="1">IF(BK81&lt;&gt;"",
IFERROR(INT(BK81/BK83),""),"")</f>
        <v/>
      </c>
      <c r="BK84" s="261"/>
      <c r="BL84" s="260" t="str">
        <f ca="1">IFERROR(MOD(BK81,BK83),"")</f>
        <v/>
      </c>
      <c r="BM84" s="261"/>
      <c r="BN84" s="256" t="str">
        <f ca="1">IF(BK78&lt;&gt;"",BO80+BO81,"")</f>
        <v/>
      </c>
      <c r="BO84" s="257"/>
      <c r="BQ84" s="260" t="str">
        <f ca="1">IF(BR81&lt;&gt;"",
IFERROR(INT(BR81/BR83),""),"")</f>
        <v/>
      </c>
      <c r="BR84" s="261"/>
      <c r="BS84" s="260" t="str">
        <f ca="1">IFERROR(MOD(BR81,BR83),"")</f>
        <v/>
      </c>
      <c r="BT84" s="261"/>
      <c r="BU84" s="256" t="str">
        <f ca="1">IF(BR78&lt;&gt;"",BV80+BV81,"")</f>
        <v/>
      </c>
      <c r="BV84" s="257"/>
      <c r="BY84" s="260" t="str">
        <f ca="1">IF(BZ81&lt;&gt;"",
IFERROR(INT(BZ81/BZ83),""),"")</f>
        <v/>
      </c>
      <c r="BZ84" s="261"/>
      <c r="CA84" s="260" t="str">
        <f ca="1">IFERROR(MOD(BZ81,BZ83),"")</f>
        <v/>
      </c>
      <c r="CB84" s="261"/>
      <c r="CC84" s="256" t="str">
        <f ca="1">IF(BZ78&lt;&gt;"",CD80+CD81,"")</f>
        <v/>
      </c>
      <c r="CD84" s="257"/>
      <c r="CF84" s="260" t="str">
        <f ca="1">IF(CG81&lt;&gt;"",
IFERROR(INT(CG81/CG83),""),"")</f>
        <v/>
      </c>
      <c r="CG84" s="261"/>
      <c r="CH84" s="260" t="str">
        <f ca="1">IFERROR(MOD(CG81,CG83),"")</f>
        <v/>
      </c>
      <c r="CI84" s="261"/>
      <c r="CJ84" s="256" t="str">
        <f ca="1">IF(CG78&lt;&gt;"",CK80+CK81,"")</f>
        <v/>
      </c>
      <c r="CK84" s="257"/>
      <c r="CN84" s="260" t="str">
        <f ca="1">IF(CO81&lt;&gt;"",
IFERROR(INT(CO81/CO83),""),"")</f>
        <v/>
      </c>
      <c r="CO84" s="261"/>
      <c r="CP84" s="260" t="str">
        <f ca="1">IFERROR(MOD(CO81,CO83),"")</f>
        <v/>
      </c>
      <c r="CQ84" s="261"/>
      <c r="CR84" s="256" t="str">
        <f ca="1">IF(CO78&lt;&gt;"",CS80+CS81,"")</f>
        <v/>
      </c>
      <c r="CS84" s="257"/>
      <c r="CU84" s="260" t="str">
        <f ca="1">IF(CV81&lt;&gt;"",
IFERROR(INT(CV81/CV83),""),"")</f>
        <v/>
      </c>
      <c r="CV84" s="261"/>
      <c r="CW84" s="260" t="str">
        <f ca="1">IFERROR(MOD(CV81,CV83),"")</f>
        <v/>
      </c>
      <c r="CX84" s="261"/>
      <c r="CY84" s="256" t="str">
        <f ca="1">IF(CV78&lt;&gt;"",CZ80+CZ81,"")</f>
        <v/>
      </c>
      <c r="CZ84" s="257"/>
      <c r="DC84" s="260" t="str">
        <f ca="1">IF(DD81&lt;&gt;"",
IFERROR(INT(DD81/DD83),""),"")</f>
        <v/>
      </c>
      <c r="DD84" s="261"/>
      <c r="DE84" s="260" t="str">
        <f ca="1">IFERROR(MOD(DD81,DD83),"")</f>
        <v/>
      </c>
      <c r="DF84" s="261"/>
      <c r="DG84" s="256" t="str">
        <f ca="1">IF(DD78&lt;&gt;"",DH80+DH81,"")</f>
        <v/>
      </c>
      <c r="DH84" s="257"/>
      <c r="DJ84" s="260" t="str">
        <f ca="1">IF(DK81&lt;&gt;"",
IFERROR(INT(DK81/DK83),""),"")</f>
        <v/>
      </c>
      <c r="DK84" s="261"/>
      <c r="DL84" s="260" t="str">
        <f ca="1">IFERROR(MOD(DK81,DK83),"")</f>
        <v/>
      </c>
      <c r="DM84" s="261"/>
      <c r="DN84" s="256" t="str">
        <f ca="1">IF(DK78&lt;&gt;"",DO80+DO81,"")</f>
        <v/>
      </c>
      <c r="DO84" s="257"/>
      <c r="DR84" s="260" t="str">
        <f ca="1">IF(DS81&lt;&gt;"",
IFERROR(INT(DS81/DS83),""),"")</f>
        <v/>
      </c>
      <c r="DS84" s="261"/>
      <c r="DT84" s="260" t="str">
        <f ca="1">IFERROR(MOD(DS81,DS83),"")</f>
        <v/>
      </c>
      <c r="DU84" s="261"/>
      <c r="DV84" s="256" t="str">
        <f ca="1">IF(DS78&lt;&gt;"",DW80+DW81,"")</f>
        <v/>
      </c>
      <c r="DW84" s="257"/>
      <c r="DY84" s="260" t="str">
        <f ca="1">IF(DZ81&lt;&gt;"",
IFERROR(INT(DZ81/DZ83),""),"")</f>
        <v/>
      </c>
      <c r="DZ84" s="261"/>
      <c r="EA84" s="260" t="str">
        <f ca="1">IFERROR(MOD(DZ81,DZ83),"")</f>
        <v/>
      </c>
      <c r="EB84" s="261"/>
      <c r="EC84" s="256" t="str">
        <f ca="1">IF(DZ78&lt;&gt;"",ED80+ED81,"")</f>
        <v/>
      </c>
      <c r="ED84" s="257"/>
      <c r="EG84" s="260" t="str">
        <f ca="1">IF(EH81&lt;&gt;"",
IFERROR(INT(EH81/EH83),""),"")</f>
        <v/>
      </c>
      <c r="EH84" s="261"/>
      <c r="EI84" s="260" t="str">
        <f ca="1">IFERROR(MOD(EH81,EH83),"")</f>
        <v/>
      </c>
      <c r="EJ84" s="261"/>
      <c r="EK84" s="256" t="str">
        <f ca="1">IF(EH78&lt;&gt;"",EL80+EL81,"")</f>
        <v/>
      </c>
      <c r="EL84" s="257"/>
      <c r="EN84" s="260" t="str">
        <f ca="1">IF(EO81&lt;&gt;"",
IFERROR(INT(EO81/EO83),""),"")</f>
        <v/>
      </c>
      <c r="EO84" s="261"/>
      <c r="EP84" s="260" t="str">
        <f ca="1">IFERROR(MOD(EO81,EO83),"")</f>
        <v/>
      </c>
      <c r="EQ84" s="261"/>
      <c r="ER84" s="256" t="str">
        <f ca="1">IF(EO78&lt;&gt;"",ES80+ES81,"")</f>
        <v/>
      </c>
      <c r="ES84" s="257"/>
      <c r="ET84" s="71"/>
      <c r="EU84" s="78">
        <f t="shared" si="8"/>
        <v>91</v>
      </c>
      <c r="EV84" s="78" t="str">
        <f t="array" aca="1" ref="EV84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LEN(SUBSTITUTE(_xlfn.FORMULATEXT(EV$76),"=","")))+$EU84)</f>
        <v/>
      </c>
      <c r="EW84" s="78" t="str">
        <f t="array" aca="1" ref="EW84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LEN(SUBSTITUTE(_xlfn.FORMULATEXT(EW$76),"=","")))+$EU84)</f>
        <v/>
      </c>
      <c r="EX84" s="78" t="str">
        <f t="array" aca="1" ref="EX84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LEN(SUBSTITUTE(_xlfn.FORMULATEXT(EX$76),"=","")))+$EU84)</f>
        <v/>
      </c>
      <c r="EY84" s="78" t="str">
        <f t="array" aca="1" ref="EY84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LEN(SUBSTITUTE(_xlfn.FORMULATEXT(EY$76),"=","")))+$EU84)</f>
        <v/>
      </c>
      <c r="EZ84" s="78" t="str">
        <f t="array" aca="1" ref="EZ84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LEN(SUBSTITUTE(_xlfn.FORMULATEXT(EZ$76),"=","")))+$EU84)</f>
        <v/>
      </c>
      <c r="FA84" s="78" t="str">
        <f t="array" aca="1" ref="FA84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LEN(SUBSTITUTE(_xlfn.FORMULATEXT(FA$76),"=","")))+$EU84)</f>
        <v/>
      </c>
      <c r="FB84" s="78" t="str">
        <f t="array" aca="1" ref="FB84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LEN(SUBSTITUTE(_xlfn.FORMULATEXT(FB$76),"=","")))+$EU84)</f>
        <v/>
      </c>
      <c r="FC84" s="78" t="str">
        <f t="array" aca="1" ref="FC84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LEN(SUBSTITUTE(_xlfn.FORMULATEXT(FC$76),"=","")))+$EU84)</f>
        <v/>
      </c>
      <c r="FD84" s="78" t="str">
        <f t="array" aca="1" ref="FD84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LEN(SUBSTITUTE(_xlfn.FORMULATEXT(FD$76),"=","")))+$EU84)</f>
        <v/>
      </c>
      <c r="FE84" s="78" t="str">
        <f t="array" aca="1" ref="FE84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LEN(SUBSTITUTE(_xlfn.FORMULATEXT(FE$76),"=","")))+$EU84)</f>
        <v/>
      </c>
      <c r="FF84" s="78" t="str">
        <f t="array" aca="1" ref="FF84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LEN(SUBSTITUTE(_xlfn.FORMULATEXT(FF$76),"=","")))+$EU84)</f>
        <v/>
      </c>
      <c r="FG84" s="78">
        <f t="shared" ca="1" si="7"/>
        <v>0</v>
      </c>
      <c r="FH84" s="78" t="b">
        <f t="array" aca="1" ref="FH84" ca="1">SUMPRODUCT((LEN(EV84:FF84)&gt;0)*1)&gt;0</f>
        <v>0</v>
      </c>
      <c r="FI84" s="78" t="str">
        <f t="array" aca="1" ref="FI84" ca="1">IFERROR(SMALL(IF(FG$1:FG$228&lt;&gt;0,FG$1:FG$228),ROW(A84)),"")</f>
        <v/>
      </c>
      <c r="FJ84" s="78" t="str">
        <f t="array" aca="1" ref="FJ84" ca="1">IF($FI84&lt;&gt;"",
INDIRECT(""&amp;IF(COLUMN(EV125)&lt;=26,CHAR(COLUMN(EV125)+64),CHAR(INT((COLUMN(EV125)-1)/26)+64)&amp;CHAR(MOD(COLUMN(EV125)-1,26)+65))&amp;$FI84&amp;""),"")</f>
        <v/>
      </c>
      <c r="FK84" s="78" t="str">
        <f t="array" aca="1" ref="FK84" ca="1">IF($FI84&lt;&gt;"",
INDIRECT(""&amp;IF(COLUMN(EW125)&lt;=26,CHAR(COLUMN(EW125)+64),CHAR(INT((COLUMN(EW125)-1)/26)+64)&amp;CHAR(MOD(COLUMN(EW125)-1,26)+65))&amp;$FI84&amp;""),"")</f>
        <v/>
      </c>
      <c r="FL84" s="78" t="str">
        <f t="array" aca="1" ref="FL84" ca="1">IF($FI84&lt;&gt;"",
INDIRECT(""&amp;IF(COLUMN(EX125)&lt;=26,CHAR(COLUMN(EX125)+64),CHAR(INT((COLUMN(EX125)-1)/26)+64)&amp;CHAR(MOD(COLUMN(EX125)-1,26)+65))&amp;$FI84&amp;""),"")</f>
        <v/>
      </c>
      <c r="FM84" s="78" t="str">
        <f t="array" aca="1" ref="FM84" ca="1">IF($FI84&lt;&gt;"",
IF(FL84="",
IF(INDIRECT("EY"&amp;$FI84&amp;"")&lt;&gt;"",
INDIRECT("EY"&amp;$FI84&amp;"")&amp;"箱"
&amp;INDIRECT("EZ"&amp;$FI84&amp;""),""),""),"")</f>
        <v/>
      </c>
      <c r="FN84" s="78" t="str">
        <f t="array" aca="1" ref="FN84" ca="1">IF($FI84&lt;&gt;"",
INDIRECT(""&amp;IF(COLUMN(FA125)&lt;=26,CHAR(COLUMN(FA125)+64),CHAR(INT((COLUMN(FA125)-1)/26)+64)&amp;CHAR(MOD(COLUMN(FA125)-1,26)+65))&amp;$FI84&amp;""),"")</f>
        <v/>
      </c>
      <c r="FO84" s="78" t="str">
        <f t="array" aca="1" ref="FO84" ca="1">IF($FI84&lt;&gt;"",
INDIRECT(""&amp;IF(COLUMN(FB125)&lt;=26,CHAR(COLUMN(FB125)+64),CHAR(INT((COLUMN(FB125)-1)/26)+64)&amp;CHAR(MOD(COLUMN(FB125)-1,26)+65))&amp;$FI84&amp;""),"")</f>
        <v/>
      </c>
      <c r="FP84" s="78" t="str">
        <f t="array" aca="1" ref="FP84" ca="1">IF($FI84&lt;&gt;"",
INDIRECT(""&amp;IF(COLUMN(FC125)&lt;=26,CHAR(COLUMN(FC125)+64),CHAR(INT((COLUMN(FC125)-1)/26)+64)&amp;CHAR(MOD(COLUMN(FC125)-1,26)+65))&amp;$FI84&amp;""),"")</f>
        <v/>
      </c>
      <c r="FQ84" s="78" t="str">
        <f t="array" aca="1" ref="FQ84" ca="1">IF($FI84&lt;&gt;"",
INDIRECT(""&amp;IF(COLUMN(FD125)&lt;=26,CHAR(COLUMN(FD125)+64),CHAR(INT((COLUMN(FD125)-1)/26)+64)&amp;CHAR(MOD(COLUMN(FD125)-1,26)+65))&amp;$FI84&amp;""),"")</f>
        <v/>
      </c>
      <c r="FR84" s="78" t="str">
        <f t="array" aca="1" ref="FR84" ca="1">IF($FI84&lt;&gt;"",
INDIRECT(""&amp;IF(COLUMN(FE125)&lt;=26,CHAR(COLUMN(FE125)+64),CHAR(INT((COLUMN(FE125)-1)/26)+64)&amp;CHAR(MOD(COLUMN(FE125)-1,26)+65))&amp;$FI84&amp;""),"")</f>
        <v/>
      </c>
      <c r="FS84" s="78" t="str">
        <f t="array" aca="1" ref="FS84" ca="1">IF($FI84&lt;&gt;"",
INDIRECT(""&amp;IF(COLUMN(FF125)&lt;=26,CHAR(COLUMN(FF125)+64),CHAR(INT((COLUMN(FF125)-1)/26)+64)&amp;CHAR(MOD(COLUMN(FF125)-1,26)+65))&amp;$FI84&amp;""),"")</f>
        <v/>
      </c>
    </row>
    <row r="85" spans="1:175" ht="22.2" customHeight="1" x14ac:dyDescent="0.55000000000000004">
      <c r="A85" s="101"/>
      <c r="B85" s="77" t="str" cm="1">
        <f t="array" aca="1" ref="B85" ca="1">IF(COUNTIF(G1,"*合計*"),"",
IFERROR(
SUBSTITUTE(ADDRESS(1,
COLUMN(INDIRECT("数出表_Excel!B" &amp; (MATCH(G1,数出表_Excel!$A:$A,0)-1))) - 1 +
MATCH(TRUE, ISNUMBER(--INDIRECT("数出表_Excel!"&amp;B43&amp; (MATCH(G1,数出表_Excel!$A:$A,0)-1) &amp; ":U" &amp; (MATCH(G1,数出表_Excel!$A:$A,0)-1))), 0)
+MATCH(TRUE, ISNUMBER(--INDIRECT("数出表_Excel!B" &amp; (MATCH(G1,数出表_Excel!$A:$A,0)-1) &amp; ":U" &amp; (MATCH(G1,数出表_Excel!$A:$A,0)-1))), 0)+1,4),"1",""),
""))</f>
        <v/>
      </c>
      <c r="C85" s="247" t="str">
        <f ca="1">IF(C88&lt;&gt;"",C1,"")</f>
        <v/>
      </c>
      <c r="D85" s="248"/>
      <c r="E85" s="248"/>
      <c r="F85" s="248"/>
      <c r="G85" s="231" t="str">
        <f>SUBSTITUTE(ADDRESS(1,
COLUMN(),1),"1","")</f>
        <v>$G$</v>
      </c>
      <c r="H85" s="76"/>
      <c r="I85" s="77" t="str" cm="1">
        <f t="array" aca="1" ref="I85" ca="1">IF(COUNTIF(N1,"*合計*"),"",
IFERROR(
SUBSTITUTE(ADDRESS(1,
COLUMN(INDIRECT("数出表_Excel!B" &amp; (MATCH(N1,数出表_Excel!$A:$A,0)-1))) - 1 +
MATCH(TRUE, ISNUMBER(--INDIRECT("数出表_Excel!"&amp;I43&amp; (MATCH(N1,数出表_Excel!$A:$A,0)-1) &amp; ":U" &amp; (MATCH(N1,数出表_Excel!$A:$A,0)-1))), 0)
+MATCH(TRUE, ISNUMBER(--INDIRECT("数出表_Excel!B" &amp; (MATCH(N1,数出表_Excel!$A:$A,0)-1) &amp; ":U" &amp; (MATCH(N1,数出表_Excel!$A:$A,0)-1))), 0)+1,4),"1",""),
""))</f>
        <v/>
      </c>
      <c r="J85" s="247" t="str">
        <f ca="1">IF(J88&lt;&gt;"",J1,"")</f>
        <v/>
      </c>
      <c r="K85" s="248"/>
      <c r="L85" s="248"/>
      <c r="M85" s="248"/>
      <c r="N85" s="231" t="str">
        <f>SUBSTITUTE(ADDRESS(1,
COLUMN(),1),"1","")</f>
        <v>$N$</v>
      </c>
      <c r="Q85" s="77" t="str" cm="1">
        <f t="array" aca="1" ref="Q85" ca="1">IF(COUNTIF(V1,"*合計*"),"",
IFERROR(
SUBSTITUTE(ADDRESS(1,
COLUMN(INDIRECT("数出表_Excel!B" &amp; (MATCH(V1,数出表_Excel!$A:$A,0)-1))) - 1 +
MATCH(TRUE, ISNUMBER(--INDIRECT("数出表_Excel!"&amp;Q43&amp; (MATCH(V1,数出表_Excel!$A:$A,0)-1) &amp; ":U" &amp; (MATCH(V1,数出表_Excel!$A:$A,0)-1))), 0)
+MATCH(TRUE, ISNUMBER(--INDIRECT("数出表_Excel!B" &amp; (MATCH(V1,数出表_Excel!$A:$A,0)-1) &amp; ":U" &amp; (MATCH(V1,数出表_Excel!$A:$A,0)-1))), 0)+1,4),"1",""),
""))</f>
        <v/>
      </c>
      <c r="R85" s="247" t="str">
        <f ca="1">IF(R88&lt;&gt;"",R1,"")</f>
        <v/>
      </c>
      <c r="S85" s="248"/>
      <c r="T85" s="248"/>
      <c r="U85" s="248"/>
      <c r="V85" s="231" t="str">
        <f>SUBSTITUTE(ADDRESS(1,
COLUMN(),1),"1","")</f>
        <v>$V$</v>
      </c>
      <c r="W85" s="76"/>
      <c r="X85" s="77" t="str" cm="1">
        <f t="array" aca="1" ref="X85" ca="1">IF(COUNTIF(AC1,"*合計*"),"",
IFERROR(
SUBSTITUTE(ADDRESS(1,
COLUMN(INDIRECT("数出表_Excel!B" &amp; (MATCH(AC1,数出表_Excel!$A:$A,0)-1))) - 1 +
MATCH(TRUE, ISNUMBER(--INDIRECT("数出表_Excel!"&amp;X43&amp; (MATCH(AC1,数出表_Excel!$A:$A,0)-1) &amp; ":U" &amp; (MATCH(AC1,数出表_Excel!$A:$A,0)-1))), 0)
+MATCH(TRUE, ISNUMBER(--INDIRECT("数出表_Excel!B" &amp; (MATCH(AC1,数出表_Excel!$A:$A,0)-1) &amp; ":U" &amp; (MATCH(AC1,数出表_Excel!$A:$A,0)-1))), 0)+1,4),"1",""),
""))</f>
        <v/>
      </c>
      <c r="Y85" s="247" t="str">
        <f ca="1">IF(Y88&lt;&gt;"",Y1,"")</f>
        <v/>
      </c>
      <c r="Z85" s="248"/>
      <c r="AA85" s="248"/>
      <c r="AB85" s="248"/>
      <c r="AC85" s="231" t="str">
        <f>SUBSTITUTE(ADDRESS(1,
COLUMN(),1),"1","")</f>
        <v>$AC$</v>
      </c>
      <c r="AF85" s="77" t="str" cm="1">
        <f t="array" aca="1" ref="AF85" ca="1">IF(COUNTIF(AK1,"*合計*"),"",
IFERROR(
SUBSTITUTE(ADDRESS(1,
COLUMN(INDIRECT("数出表_Excel!B" &amp; (MATCH(AK1,数出表_Excel!$A:$A,0)-1))) - 1 +
MATCH(TRUE, ISNUMBER(--INDIRECT("数出表_Excel!"&amp;AF43&amp; (MATCH(AK1,数出表_Excel!$A:$A,0)-1) &amp; ":U" &amp; (MATCH(AK1,数出表_Excel!$A:$A,0)-1))), 0)
+MATCH(TRUE, ISNUMBER(--INDIRECT("数出表_Excel!B" &amp; (MATCH(AK1,数出表_Excel!$A:$A,0)-1) &amp; ":U" &amp; (MATCH(AK1,数出表_Excel!$A:$A,0)-1))), 0)+1,4),"1",""),
""))</f>
        <v/>
      </c>
      <c r="AG85" s="247" t="str">
        <f ca="1">IF(AG88&lt;&gt;"",AG1,"")</f>
        <v/>
      </c>
      <c r="AH85" s="248"/>
      <c r="AI85" s="248"/>
      <c r="AJ85" s="248"/>
      <c r="AK85" s="231" t="str">
        <f>SUBSTITUTE(ADDRESS(1,
COLUMN(),1),"1","")</f>
        <v>$AK$</v>
      </c>
      <c r="AL85" s="76"/>
      <c r="AM85" s="77" t="str" cm="1">
        <f t="array" aca="1" ref="AM85" ca="1">IF(COUNTIF(AR1,"*合計*"),"",
IFERROR(
SUBSTITUTE(ADDRESS(1,
COLUMN(INDIRECT("数出表_Excel!B" &amp; (MATCH(AR1,数出表_Excel!$A:$A,0)-1))) - 1 +
MATCH(TRUE, ISNUMBER(--INDIRECT("数出表_Excel!"&amp;AM43&amp; (MATCH(AR1,数出表_Excel!$A:$A,0)-1) &amp; ":U" &amp; (MATCH(AR1,数出表_Excel!$A:$A,0)-1))), 0)
+MATCH(TRUE, ISNUMBER(--INDIRECT("数出表_Excel!B" &amp; (MATCH(AR1,数出表_Excel!$A:$A,0)-1) &amp; ":U" &amp; (MATCH(AR1,数出表_Excel!$A:$A,0)-1))), 0)+1,4),"1",""),
""))</f>
        <v/>
      </c>
      <c r="AN85" s="247" t="str">
        <f ca="1">IF(AN88&lt;&gt;"",AN1,"")</f>
        <v/>
      </c>
      <c r="AO85" s="248"/>
      <c r="AP85" s="248"/>
      <c r="AQ85" s="248"/>
      <c r="AR85" s="231" t="str">
        <f>SUBSTITUTE(ADDRESS(1,
COLUMN(),1),"1","")</f>
        <v>$AR$</v>
      </c>
      <c r="AU85" s="77" t="str" cm="1">
        <f t="array" aca="1" ref="AU85" ca="1">IF(COUNTIF(AZ1,"*合計*"),"",
IFERROR(
SUBSTITUTE(ADDRESS(1,
COLUMN(INDIRECT("数出表_Excel!B" &amp; (MATCH(AZ1,数出表_Excel!$A:$A,0)-1))) - 1 +
MATCH(TRUE, ISNUMBER(--INDIRECT("数出表_Excel!"&amp;AU43&amp; (MATCH(AZ1,数出表_Excel!$A:$A,0)-1) &amp; ":U" &amp; (MATCH(AZ1,数出表_Excel!$A:$A,0)-1))), 0)
+MATCH(TRUE, ISNUMBER(--INDIRECT("数出表_Excel!B" &amp; (MATCH(AZ1,数出表_Excel!$A:$A,0)-1) &amp; ":U" &amp; (MATCH(AZ1,数出表_Excel!$A:$A,0)-1))), 0)+1,4),"1",""),
""))</f>
        <v/>
      </c>
      <c r="AV85" s="247" t="str">
        <f ca="1">IF(AV88&lt;&gt;"",AV1,"")</f>
        <v/>
      </c>
      <c r="AW85" s="248"/>
      <c r="AX85" s="248"/>
      <c r="AY85" s="248"/>
      <c r="AZ85" s="231" t="str">
        <f>SUBSTITUTE(ADDRESS(1,
COLUMN(),1),"1","")</f>
        <v>$AZ$</v>
      </c>
      <c r="BA85" s="76"/>
      <c r="BB85" s="77" t="str" cm="1">
        <f t="array" aca="1" ref="BB85" ca="1">IF(COUNTIF(BG1,"*合計*"),"",
IFERROR(
SUBSTITUTE(ADDRESS(1,
COLUMN(INDIRECT("数出表_Excel!B" &amp; (MATCH(BG1,数出表_Excel!$A:$A,0)-1))) - 1 +
MATCH(TRUE, ISNUMBER(--INDIRECT("数出表_Excel!"&amp;BB43&amp; (MATCH(BG1,数出表_Excel!$A:$A,0)-1) &amp; ":U" &amp; (MATCH(BG1,数出表_Excel!$A:$A,0)-1))), 0)
+MATCH(TRUE, ISNUMBER(--INDIRECT("数出表_Excel!B" &amp; (MATCH(BG1,数出表_Excel!$A:$A,0)-1) &amp; ":U" &amp; (MATCH(BG1,数出表_Excel!$A:$A,0)-1))), 0)+1,4),"1",""),
""))</f>
        <v/>
      </c>
      <c r="BC85" s="247" t="str">
        <f ca="1">IF(BC88&lt;&gt;"",BC1,"")</f>
        <v/>
      </c>
      <c r="BD85" s="248"/>
      <c r="BE85" s="248"/>
      <c r="BF85" s="248"/>
      <c r="BG85" s="231" t="str">
        <f>SUBSTITUTE(ADDRESS(1,
COLUMN(),1),"1","")</f>
        <v>$BG$</v>
      </c>
      <c r="BJ85" s="77" t="str" cm="1">
        <f t="array" aca="1" ref="BJ85" ca="1">IF(COUNTIF(BO1,"*合計*"),"",
IFERROR(
SUBSTITUTE(ADDRESS(1,
COLUMN(INDIRECT("数出表_Excel!B" &amp; (MATCH(BO1,数出表_Excel!$A:$A,0)-1))) - 1 +
MATCH(TRUE, ISNUMBER(--INDIRECT("数出表_Excel!"&amp;BJ43&amp; (MATCH(BO1,数出表_Excel!$A:$A,0)-1) &amp; ":U" &amp; (MATCH(BO1,数出表_Excel!$A:$A,0)-1))), 0)
+MATCH(TRUE, ISNUMBER(--INDIRECT("数出表_Excel!B" &amp; (MATCH(BO1,数出表_Excel!$A:$A,0)-1) &amp; ":U" &amp; (MATCH(BO1,数出表_Excel!$A:$A,0)-1))), 0)+1,4),"1",""),
""))</f>
        <v/>
      </c>
      <c r="BK85" s="247" t="str">
        <f ca="1">IF(BK88&lt;&gt;"",BK1,"")</f>
        <v/>
      </c>
      <c r="BL85" s="248"/>
      <c r="BM85" s="248"/>
      <c r="BN85" s="248"/>
      <c r="BO85" s="231" t="str">
        <f>SUBSTITUTE(ADDRESS(1,
COLUMN(),1),"1","")</f>
        <v>$BO$</v>
      </c>
      <c r="BP85" s="76"/>
      <c r="BQ85" s="77" t="str" cm="1">
        <f t="array" aca="1" ref="BQ85" ca="1">IF(COUNTIF(BV1,"*合計*"),"",
IFERROR(
SUBSTITUTE(ADDRESS(1,
COLUMN(INDIRECT("数出表_Excel!B" &amp; (MATCH(BV1,数出表_Excel!$A:$A,0)-1))) - 1 +
MATCH(TRUE, ISNUMBER(--INDIRECT("数出表_Excel!"&amp;BQ43&amp; (MATCH(BV1,数出表_Excel!$A:$A,0)-1) &amp; ":U" &amp; (MATCH(BV1,数出表_Excel!$A:$A,0)-1))), 0)
+MATCH(TRUE, ISNUMBER(--INDIRECT("数出表_Excel!B" &amp; (MATCH(BV1,数出表_Excel!$A:$A,0)-1) &amp; ":U" &amp; (MATCH(BV1,数出表_Excel!$A:$A,0)-1))), 0)+1,4),"1",""),
""))</f>
        <v/>
      </c>
      <c r="BR85" s="247" t="str">
        <f ca="1">IF(BR88&lt;&gt;"",BR1,"")</f>
        <v/>
      </c>
      <c r="BS85" s="248"/>
      <c r="BT85" s="248"/>
      <c r="BU85" s="248"/>
      <c r="BV85" s="231" t="str">
        <f>SUBSTITUTE(ADDRESS(1,
COLUMN(),1),"1","")</f>
        <v>$BV$</v>
      </c>
      <c r="BY85" s="77" t="str" cm="1">
        <f t="array" aca="1" ref="BY85" ca="1">IF(COUNTIF(CD1,"*合計*"),"",
IFERROR(
SUBSTITUTE(ADDRESS(1,
COLUMN(INDIRECT("数出表_Excel!B" &amp; (MATCH(CD1,数出表_Excel!$A:$A,0)-1))) - 1 +
MATCH(TRUE, ISNUMBER(--INDIRECT("数出表_Excel!"&amp;BY43&amp; (MATCH(CD1,数出表_Excel!$A:$A,0)-1) &amp; ":U" &amp; (MATCH(CD1,数出表_Excel!$A:$A,0)-1))), 0)
+MATCH(TRUE, ISNUMBER(--INDIRECT("数出表_Excel!B" &amp; (MATCH(CD1,数出表_Excel!$A:$A,0)-1) &amp; ":U" &amp; (MATCH(CD1,数出表_Excel!$A:$A,0)-1))), 0)+1,4),"1",""),
""))</f>
        <v/>
      </c>
      <c r="BZ85" s="247" t="str">
        <f ca="1">IF(BZ88&lt;&gt;"",BZ1,"")</f>
        <v/>
      </c>
      <c r="CA85" s="248"/>
      <c r="CB85" s="248"/>
      <c r="CC85" s="248"/>
      <c r="CD85" s="231" t="str">
        <f>SUBSTITUTE(ADDRESS(1,
COLUMN(),1),"1","")</f>
        <v>$CD$</v>
      </c>
      <c r="CE85" s="76"/>
      <c r="CF85" s="77" t="str" cm="1">
        <f t="array" aca="1" ref="CF85" ca="1">IF(COUNTIF(CK1,"*合計*"),"",
IFERROR(
SUBSTITUTE(ADDRESS(1,
COLUMN(INDIRECT("数出表_Excel!B" &amp; (MATCH(CK1,数出表_Excel!$A:$A,0)-1))) - 1 +
MATCH(TRUE, ISNUMBER(--INDIRECT("数出表_Excel!"&amp;CF43&amp; (MATCH(CK1,数出表_Excel!$A:$A,0)-1) &amp; ":U" &amp; (MATCH(CK1,数出表_Excel!$A:$A,0)-1))), 0)
+MATCH(TRUE, ISNUMBER(--INDIRECT("数出表_Excel!B" &amp; (MATCH(CK1,数出表_Excel!$A:$A,0)-1) &amp; ":U" &amp; (MATCH(CK1,数出表_Excel!$A:$A,0)-1))), 0)+1,4),"1",""),
""))</f>
        <v/>
      </c>
      <c r="CG85" s="247" t="str">
        <f ca="1">IF(CG88&lt;&gt;"",CG1,"")</f>
        <v/>
      </c>
      <c r="CH85" s="248"/>
      <c r="CI85" s="248"/>
      <c r="CJ85" s="248"/>
      <c r="CK85" s="231" t="str">
        <f>SUBSTITUTE(ADDRESS(1,
COLUMN(),1),"1","")</f>
        <v>$CK$</v>
      </c>
      <c r="CN85" s="77" t="str" cm="1">
        <f t="array" aca="1" ref="CN85" ca="1">IF(COUNTIF(CS1,"*合計*"),"",
IFERROR(
SUBSTITUTE(ADDRESS(1,
COLUMN(INDIRECT("数出表_Excel!B" &amp; (MATCH(CS1,数出表_Excel!$A:$A,0)-1))) - 1 +
MATCH(TRUE, ISNUMBER(--INDIRECT("数出表_Excel!"&amp;CN43&amp; (MATCH(CS1,数出表_Excel!$A:$A,0)-1) &amp; ":U" &amp; (MATCH(CS1,数出表_Excel!$A:$A,0)-1))), 0)
+MATCH(TRUE, ISNUMBER(--INDIRECT("数出表_Excel!B" &amp; (MATCH(CS1,数出表_Excel!$A:$A,0)-1) &amp; ":U" &amp; (MATCH(CS1,数出表_Excel!$A:$A,0)-1))), 0)+1,4),"1",""),
""))</f>
        <v/>
      </c>
      <c r="CO85" s="247" t="str">
        <f ca="1">IF(CO88&lt;&gt;"",CO1,"")</f>
        <v/>
      </c>
      <c r="CP85" s="248"/>
      <c r="CQ85" s="248"/>
      <c r="CR85" s="248"/>
      <c r="CS85" s="231" t="str">
        <f>SUBSTITUTE(ADDRESS(1,
COLUMN(),1),"1","")</f>
        <v>$CS$</v>
      </c>
      <c r="CT85" s="76"/>
      <c r="CU85" s="77" t="str" cm="1">
        <f t="array" aca="1" ref="CU85" ca="1">IF(COUNTIF(CZ1,"*合計*"),"",
IFERROR(
SUBSTITUTE(ADDRESS(1,
COLUMN(INDIRECT("数出表_Excel!B" &amp; (MATCH(CZ1,数出表_Excel!$A:$A,0)-1))) - 1 +
MATCH(TRUE, ISNUMBER(--INDIRECT("数出表_Excel!"&amp;CU43&amp; (MATCH(CZ1,数出表_Excel!$A:$A,0)-1) &amp; ":U" &amp; (MATCH(CZ1,数出表_Excel!$A:$A,0)-1))), 0)
+MATCH(TRUE, ISNUMBER(--INDIRECT("数出表_Excel!B" &amp; (MATCH(CZ1,数出表_Excel!$A:$A,0)-1) &amp; ":U" &amp; (MATCH(CZ1,数出表_Excel!$A:$A,0)-1))), 0)+1,4),"1",""),
""))</f>
        <v/>
      </c>
      <c r="CV85" s="247" t="str">
        <f ca="1">IF(CV88&lt;&gt;"",CV1,"")</f>
        <v/>
      </c>
      <c r="CW85" s="248"/>
      <c r="CX85" s="248"/>
      <c r="CY85" s="248"/>
      <c r="CZ85" s="231" t="str">
        <f>SUBSTITUTE(ADDRESS(1,
COLUMN(),1),"1","")</f>
        <v>$CZ$</v>
      </c>
      <c r="DC85" s="77" t="str" cm="1">
        <f t="array" aca="1" ref="DC85" ca="1">IF(COUNTIF(DH1,"*合計*"),"",
IFERROR(
SUBSTITUTE(ADDRESS(1,
COLUMN(INDIRECT("数出表_Excel!B" &amp; (MATCH(DH1,数出表_Excel!$A:$A,0)-1))) - 1 +
MATCH(TRUE, ISNUMBER(--INDIRECT("数出表_Excel!"&amp;DC43&amp; (MATCH(DH1,数出表_Excel!$A:$A,0)-1) &amp; ":U" &amp; (MATCH(DH1,数出表_Excel!$A:$A,0)-1))), 0)
+MATCH(TRUE, ISNUMBER(--INDIRECT("数出表_Excel!B" &amp; (MATCH(DH1,数出表_Excel!$A:$A,0)-1) &amp; ":U" &amp; (MATCH(DH1,数出表_Excel!$A:$A,0)-1))), 0)+1,4),"1",""),
""))</f>
        <v/>
      </c>
      <c r="DD85" s="247" t="str">
        <f ca="1">IF(DD88&lt;&gt;"",DD1,"")</f>
        <v/>
      </c>
      <c r="DE85" s="248"/>
      <c r="DF85" s="248"/>
      <c r="DG85" s="248"/>
      <c r="DH85" s="231" t="str">
        <f>SUBSTITUTE(ADDRESS(1,
COLUMN(),1),"1","")</f>
        <v>$DH$</v>
      </c>
      <c r="DI85" s="76"/>
      <c r="DJ85" s="77" t="str" cm="1">
        <f t="array" aca="1" ref="DJ85" ca="1">IF(COUNTIF(DO1,"*合計*"),"",
IFERROR(
SUBSTITUTE(ADDRESS(1,
COLUMN(INDIRECT("数出表_Excel!B" &amp; (MATCH(DO1,数出表_Excel!$A:$A,0)-1))) - 1 +
MATCH(TRUE, ISNUMBER(--INDIRECT("数出表_Excel!"&amp;DJ43&amp; (MATCH(DO1,数出表_Excel!$A:$A,0)-1) &amp; ":U" &amp; (MATCH(DO1,数出表_Excel!$A:$A,0)-1))), 0)
+MATCH(TRUE, ISNUMBER(--INDIRECT("数出表_Excel!B" &amp; (MATCH(DO1,数出表_Excel!$A:$A,0)-1) &amp; ":U" &amp; (MATCH(DO1,数出表_Excel!$A:$A,0)-1))), 0)+1,4),"1",""),
""))</f>
        <v/>
      </c>
      <c r="DK85" s="247" t="str">
        <f ca="1">IF(DK88&lt;&gt;"",DK1,"")</f>
        <v/>
      </c>
      <c r="DL85" s="248"/>
      <c r="DM85" s="248"/>
      <c r="DN85" s="248"/>
      <c r="DO85" s="231" t="str">
        <f>SUBSTITUTE(ADDRESS(1,
COLUMN(),1),"1","")</f>
        <v>$DO$</v>
      </c>
      <c r="DR85" s="77" t="str" cm="1">
        <f t="array" aca="1" ref="DR85" ca="1">IF(COUNTIF(DW1,"*合計*"),"",
IFERROR(
SUBSTITUTE(ADDRESS(1,
COLUMN(INDIRECT("数出表_Excel!B" &amp; (MATCH(DW1,数出表_Excel!$A:$A,0)-1))) - 1 +
MATCH(TRUE, ISNUMBER(--INDIRECT("数出表_Excel!"&amp;DR43&amp; (MATCH(DW1,数出表_Excel!$A:$A,0)-1) &amp; ":U" &amp; (MATCH(DW1,数出表_Excel!$A:$A,0)-1))), 0)
+MATCH(TRUE, ISNUMBER(--INDIRECT("数出表_Excel!B" &amp; (MATCH(DW1,数出表_Excel!$A:$A,0)-1) &amp; ":U" &amp; (MATCH(DW1,数出表_Excel!$A:$A,0)-1))), 0)+1,4),"1",""),
""))</f>
        <v/>
      </c>
      <c r="DS85" s="247" t="str">
        <f ca="1">IF(DS88&lt;&gt;"",DS1,"")</f>
        <v/>
      </c>
      <c r="DT85" s="248"/>
      <c r="DU85" s="248"/>
      <c r="DV85" s="248"/>
      <c r="DW85" s="231" t="str">
        <f>SUBSTITUTE(ADDRESS(1,
COLUMN(),1),"1","")</f>
        <v>$DW$</v>
      </c>
      <c r="DX85" s="76"/>
      <c r="DY85" s="77" t="str" cm="1">
        <f t="array" aca="1" ref="DY85" ca="1">IF(COUNTIF(ED1,"*合計*"),"",
IFERROR(
SUBSTITUTE(ADDRESS(1,
COLUMN(INDIRECT("数出表_Excel!B" &amp; (MATCH(ED1,数出表_Excel!$A:$A,0)-1))) - 1 +
MATCH(TRUE, ISNUMBER(--INDIRECT("数出表_Excel!"&amp;DY43&amp; (MATCH(ED1,数出表_Excel!$A:$A,0)-1) &amp; ":U" &amp; (MATCH(ED1,数出表_Excel!$A:$A,0)-1))), 0)
+MATCH(TRUE, ISNUMBER(--INDIRECT("数出表_Excel!B" &amp; (MATCH(ED1,数出表_Excel!$A:$A,0)-1) &amp; ":U" &amp; (MATCH(ED1,数出表_Excel!$A:$A,0)-1))), 0)+1,4),"1",""),
""))</f>
        <v/>
      </c>
      <c r="DZ85" s="247" t="str">
        <f ca="1">IF(DZ88&lt;&gt;"",DZ1,"")</f>
        <v/>
      </c>
      <c r="EA85" s="248"/>
      <c r="EB85" s="248"/>
      <c r="EC85" s="248"/>
      <c r="ED85" s="231" t="str">
        <f>SUBSTITUTE(ADDRESS(1,
COLUMN(),1),"1","")</f>
        <v>$ED$</v>
      </c>
      <c r="EG85" s="77" t="str" cm="1">
        <f t="array" aca="1" ref="EG85" ca="1">IF(COUNTIF(EL1,"*合計*"),"",
IFERROR(
SUBSTITUTE(ADDRESS(1,
COLUMN(INDIRECT("数出表_Excel!B" &amp; (MATCH(EL1,数出表_Excel!$A:$A,0)-1))) - 1 +
MATCH(TRUE, ISNUMBER(--INDIRECT("数出表_Excel!"&amp;EG43&amp; (MATCH(EL1,数出表_Excel!$A:$A,0)-1) &amp; ":U" &amp; (MATCH(EL1,数出表_Excel!$A:$A,0)-1))), 0)
+MATCH(TRUE, ISNUMBER(--INDIRECT("数出表_Excel!B" &amp; (MATCH(EL1,数出表_Excel!$A:$A,0)-1) &amp; ":U" &amp; (MATCH(EL1,数出表_Excel!$A:$A,0)-1))), 0)+1,4),"1",""),
""))</f>
        <v/>
      </c>
      <c r="EH85" s="247" t="str">
        <f ca="1">IF(EH88&lt;&gt;"",EH1,"")</f>
        <v/>
      </c>
      <c r="EI85" s="248"/>
      <c r="EJ85" s="248"/>
      <c r="EK85" s="248"/>
      <c r="EL85" s="231" t="str">
        <f>SUBSTITUTE(ADDRESS(1,
COLUMN(),1),"1","")</f>
        <v>$EL$</v>
      </c>
      <c r="EM85" s="76"/>
      <c r="EN85" s="77" t="str" cm="1">
        <f t="array" aca="1" ref="EN85" ca="1">IF(COUNTIF(ES1,"*合計*"),"",
IFERROR(
SUBSTITUTE(ADDRESS(1,
COLUMN(INDIRECT("数出表_Excel!B" &amp; (MATCH(ES1,数出表_Excel!$A:$A,0)-1))) - 1 +
MATCH(TRUE, ISNUMBER(--INDIRECT("数出表_Excel!"&amp;EN43&amp; (MATCH(ES1,数出表_Excel!$A:$A,0)-1) &amp; ":U" &amp; (MATCH(ES1,数出表_Excel!$A:$A,0)-1))), 0)
+MATCH(TRUE, ISNUMBER(--INDIRECT("数出表_Excel!B" &amp; (MATCH(ES1,数出表_Excel!$A:$A,0)-1) &amp; ":U" &amp; (MATCH(ES1,数出表_Excel!$A:$A,0)-1))), 0)+1,4),"1",""),
""))</f>
        <v/>
      </c>
      <c r="EO85" s="247" t="str">
        <f ca="1">IF(EO88&lt;&gt;"",EO1,"")</f>
        <v/>
      </c>
      <c r="EP85" s="248"/>
      <c r="EQ85" s="248"/>
      <c r="ER85" s="248"/>
      <c r="ES85" s="231" t="str">
        <f>SUBSTITUTE(ADDRESS(1,
COLUMN(),1),"1","")</f>
        <v>$ES$</v>
      </c>
      <c r="EU85" s="78">
        <f t="shared" si="8"/>
        <v>14</v>
      </c>
      <c r="EV85" s="78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78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78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78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78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78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78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78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78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78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78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78">
        <f t="shared" ca="1" si="7"/>
        <v>0</v>
      </c>
      <c r="FH85" s="78" t="e">
        <f t="array" aca="1" ref="FH85" ca="1">SUMPRODUCT((LEN(EV85:FF85)&gt;0)*1)&gt;0</f>
        <v>#VALUE!</v>
      </c>
      <c r="FI85" s="78" t="str">
        <f t="array" aca="1" ref="FI85" ca="1">IFERROR(SMALL(IF(FG$1:FG$228&lt;&gt;0,FG$1:FG$228),ROW(A85)),"")</f>
        <v/>
      </c>
      <c r="FJ85" s="78" t="str">
        <f t="array" aca="1" ref="FJ85" ca="1">IF($FI85&lt;&gt;"",
INDIRECT(""&amp;IF(COLUMN(EV127)&lt;=26,CHAR(COLUMN(EV127)+64),CHAR(INT((COLUMN(EV127)-1)/26)+64)&amp;CHAR(MOD(COLUMN(EV127)-1,26)+65))&amp;$FI85&amp;""),"")</f>
        <v/>
      </c>
      <c r="FK85" s="78" t="str">
        <f t="array" aca="1" ref="FK85" ca="1">IF($FI85&lt;&gt;"",
INDIRECT(""&amp;IF(COLUMN(EW127)&lt;=26,CHAR(COLUMN(EW127)+64),CHAR(INT((COLUMN(EW127)-1)/26)+64)&amp;CHAR(MOD(COLUMN(EW127)-1,26)+65))&amp;$FI85&amp;""),"")</f>
        <v/>
      </c>
      <c r="FL85" s="78" t="str">
        <f t="array" aca="1" ref="FL85" ca="1">IF($FI85&lt;&gt;"",
INDIRECT(""&amp;IF(COLUMN(EX127)&lt;=26,CHAR(COLUMN(EX127)+64),CHAR(INT((COLUMN(EX127)-1)/26)+64)&amp;CHAR(MOD(COLUMN(EX127)-1,26)+65))&amp;$FI85&amp;""),"")</f>
        <v/>
      </c>
      <c r="FM85" s="78" t="str">
        <f t="array" aca="1" ref="FM85" ca="1">IF($FI85&lt;&gt;"",
IF(FL85="",
IF(INDIRECT("EY"&amp;$FI85&amp;"")&lt;&gt;"",
INDIRECT("EY"&amp;$FI85&amp;"")&amp;"箱"
&amp;INDIRECT("EZ"&amp;$FI85&amp;""),""),""),"")</f>
        <v/>
      </c>
      <c r="FN85" s="78" t="str">
        <f t="array" aca="1" ref="FN85" ca="1">IF($FI85&lt;&gt;"",
INDIRECT(""&amp;IF(COLUMN(FA127)&lt;=26,CHAR(COLUMN(FA127)+64),CHAR(INT((COLUMN(FA127)-1)/26)+64)&amp;CHAR(MOD(COLUMN(FA127)-1,26)+65))&amp;$FI85&amp;""),"")</f>
        <v/>
      </c>
      <c r="FO85" s="78" t="str">
        <f t="array" aca="1" ref="FO85" ca="1">IF($FI85&lt;&gt;"",
INDIRECT(""&amp;IF(COLUMN(FB127)&lt;=26,CHAR(COLUMN(FB127)+64),CHAR(INT((COLUMN(FB127)-1)/26)+64)&amp;CHAR(MOD(COLUMN(FB127)-1,26)+65))&amp;$FI85&amp;""),"")</f>
        <v/>
      </c>
      <c r="FP85" s="78" t="str">
        <f t="array" aca="1" ref="FP85" ca="1">IF($FI85&lt;&gt;"",
INDIRECT(""&amp;IF(COLUMN(FC127)&lt;=26,CHAR(COLUMN(FC127)+64),CHAR(INT((COLUMN(FC127)-1)/26)+64)&amp;CHAR(MOD(COLUMN(FC127)-1,26)+65))&amp;$FI85&amp;""),"")</f>
        <v/>
      </c>
      <c r="FQ85" s="78" t="str">
        <f t="array" aca="1" ref="FQ85" ca="1">IF($FI85&lt;&gt;"",
INDIRECT(""&amp;IF(COLUMN(FD127)&lt;=26,CHAR(COLUMN(FD127)+64),CHAR(INT((COLUMN(FD127)-1)/26)+64)&amp;CHAR(MOD(COLUMN(FD127)-1,26)+65))&amp;$FI85&amp;""),"")</f>
        <v/>
      </c>
      <c r="FR85" s="78" t="str">
        <f t="array" aca="1" ref="FR85" ca="1">IF($FI85&lt;&gt;"",
INDIRECT(""&amp;IF(COLUMN(FE127)&lt;=26,CHAR(COLUMN(FE127)+64),CHAR(INT((COLUMN(FE127)-1)/26)+64)&amp;CHAR(MOD(COLUMN(FE127)-1,26)+65))&amp;$FI85&amp;""),"")</f>
        <v/>
      </c>
      <c r="FS85" s="78" t="str">
        <f t="array" aca="1" ref="FS85" ca="1">IF($FI85&lt;&gt;"",
INDIRECT(""&amp;IF(COLUMN(FF127)&lt;=26,CHAR(COLUMN(FF127)+64),CHAR(INT((COLUMN(FF127)-1)/26)+64)&amp;CHAR(MOD(COLUMN(FF127)-1,26)+65))&amp;$FI85&amp;""),"")</f>
        <v/>
      </c>
    </row>
    <row r="86" spans="1:175" ht="22.2" customHeight="1" x14ac:dyDescent="0.55000000000000004">
      <c r="B86" s="81" t="e" cm="1">
        <f t="array" aca="1" ref="B86" ca="1">IF(B3&lt;&gt;100,
IF(C88&lt;&gt;"",MATCH(C88,INDIRECT("数出表_Excel!B"&amp;MATCH(G1,数出表_Excel!$A:$A,0)-1&amp;":U"&amp;MATCH(G1,数出表_Excel!$A:$A,0)-1&amp;""),0)+1,""),
IF(C88&lt;&gt;"",
MATCH(
IFERROR(
INDEX(INDIRECT("数出表_Excel!"&amp;B85&amp;MATCH(G1,数出表_Excel!$A:$A,0)-1&amp;":U"&amp;MATCH(G1,数出表_Excel!$A:$A,0)-1&amp;""),
 1,
 MATCH(TRUE, ISNUMBER(--INDIRECT("数出表_Excel!"&amp;B85&amp;MATCH(G1,数出表_Excel!$A:$A,0)-1&amp;":U"&amp;MATCH(G1,数出表_Excel!$A:$A,0)-1&amp;"")),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86" s="58" t="str" cm="1">
        <f t="array" aca="1" ref="C86" ca="1">IFERROR(IF(OR(
COUNTIF(INDIRECT("数出表_Excel!" &amp;
CHAR(MATCH(TRUE,
ISNUMBER(--INDIRECT("数出表_Excel!"&amp;B85&amp;MATCH(G1,数出表_Excel!$A:$A,0)-1&amp;":U"&amp;MATCH(G1,数出表_Excel!$A:$A,0)-1&amp;"")),0)
+MATCH(TRUE, ISNUMBER(--INDIRECT("数出表_Excel!B" &amp; (MATCH(G1,数出表_Excel!$A:$A,0)-1) &amp; ":U" &amp; (MATCH(G1,数出表_Excel!$A:$A,0)-1))), 0)
+MATCH(TRUE, ISNUMBER(--INDIRECT("数出表_Excel!"&amp;B43&amp; (MATCH(G1,数出表_Excel!$A:$A,0)-1) &amp; ":U" &amp; (MATCH(G1,数出表_Excel!$A:$A,0)-1))), 0)
+65) &amp; "3"),"*配膳*"),
COUNTIF(INDIRECT("数出表_Excel!" &amp;
CHAR(MATCH(TRUE,
ISNUMBER(--INDIRECT("数出表_Excel!"&amp;B85&amp;MATCH(G1,数出表_Excel!$A:$A,0)-1&amp;":U"&amp;MATCH(G1,数出表_Excel!$A:$A,0)-1&amp;"")),0)
+MATCH(TRUE, ISNUMBER(--INDIRECT("数出表_Excel!B" &amp; (MATCH(G1,数出表_Excel!$A:$A,0)-1) &amp; ":U" &amp; (MATCH(G1,数出表_Excel!$A:$A,0)-1))), 0)
+MATCH(TRUE, ISNUMBER(--INDIRECT("数出表_Excel!"&amp;B43&amp; (MATCH(G1,数出表_Excel!$A:$A,0)-1) &amp; ":U" &amp; (MATCH(G1,数出表_Excel!$A:$A,0)-1))), 0)
+65) &amp; "3"),"*カレー*"),
COUNTIF(C43,"*合計*")),"",
IF(IFERROR(INDIRECT("数出表_Excel!" &amp;
CHAR(MATCH(TRUE,
ISNUMBER(--INDIRECT("数出表_Excel!"&amp;B85&amp;MATCH(G1,数出表_Excel!$A:$A,0)-1&amp;":U"&amp;MATCH(G1,数出表_Excel!$A:$A,0)-1&amp;"")),0)
+MATCH(TRUE, ISNUMBER(--INDIRECT("数出表_Excel!B" &amp; (MATCH(G1,数出表_Excel!$A:$A,0)-1) &amp; ":U" &amp; (MATCH(G1,数出表_Excel!$A:$A,0)-1))), 0)
+MATCH(TRUE, ISNUMBER(--INDIRECT("数出表_Excel!"&amp;B43&amp; (MATCH(G1,数出表_Excel!$A:$A,0)-1) &amp; ":U" &amp; (MATCH(G1,数出表_Excel!$A:$A,0)-1))), 0)
+65) &amp; "3"),0)=0,"",
IFERROR(INDIRECT("数出表_Excel!" &amp;
CHAR(MATCH(TRUE,
ISNUMBER(--INDIRECT("数出表_Excel!"&amp;B85&amp;MATCH(G1,数出表_Excel!$A:$A,0)-1&amp;":U"&amp;MATCH(G1,数出表_Excel!$A:$A,0)-1&amp;"")),0)
+MATCH(TRUE, ISNUMBER(--INDIRECT("数出表_Excel!B" &amp; (MATCH(G1,数出表_Excel!$A:$A,0)-1) &amp; ":U" &amp; (MATCH(G1,数出表_Excel!$A:$A,0)-1))), 0)
+MATCH(TRUE, ISNUMBER(--INDIRECT("数出表_Excel!"&amp;B43&amp; (MATCH(G1,数出表_Excel!$A:$A,0)-1) &amp; ":U" &amp; (MATCH(G1,数出表_Excel!$A:$A,0)-1))), 0)
+65) &amp; "3"),""))),"")</f>
        <v/>
      </c>
      <c r="D86" s="76"/>
      <c r="E86" s="82" t="str" cm="1">
        <f t="array" aca="1" ref="E86" ca="1">IF(F86&lt;&gt;"","",
IF(COUNTIF(C85,"*雙葉*"),"",
IF(C85&lt;&gt;"",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+MATCH(TRUE,INDIRECT("'数出表_Excel'!"&amp;B85&amp;MATCH(G1,数出表_Excel!$A:$A,0)-1&amp;":AL"&amp;MATCH(G1,数出表_Excel!$A:$A,0)-1&amp;"")&lt;&gt;"",0))&gt;9,"",
IFERROR(
INDEX(INDIRECT("数出表_Excel!$"&amp;B85&amp;"4:$AL4"),
 1,
MATCH(TRUE,INDIRECT("'数出表_Excel'!"&amp;B85&amp;MATCH(G1,数出表_Excel!$A:$A,0)-1&amp;":AL"&amp;MATCH(G1,数出表_Excel!$A:$A,0)-1&amp;"")&lt;&gt;"",0)
),
 "")
&amp;IFERROR(
INDEX(INDIRECT("数出表_Excel!$"&amp;B85&amp;"5:$AL5"),
 1,
MATCH(TRUE,INDIRECT("'数出表_Excel'!"&amp;B85&amp;MATCH(G1,数出表_Excel!$A:$A,0)-1&amp;":AL"&amp;MATCH(G1,数出表_Excel!$A:$A,0)-1&amp;"")&lt;&gt;"",0)),
 "")),"")))</f>
        <v/>
      </c>
      <c r="F86" s="83" t="str" cm="1">
        <f t="array" aca="1" ref="F86" ca="1">IF(C86&lt;&gt;"",
IF(COUNTIF(C85,"*雙葉*"),
IF(ROUND(
IF(F91&lt;&gt;"",(C88-F91),C88)
/IF(COUNTIF(C86,"*キャラ*"),
VLOOKUP("*キャラ*",商品マスタ一覧!$D:$J,7,FALSE),
IF(COUNTIF(C86,"*赤*"),
VLOOKUP("*赤*",商品マスタ一覧!$D:$J,7,FALSE),
VLOOKUP(C86,商品マスタ一覧!$D:$J,7,FALSE))),0)&lt;=0,1,
ROUND(
IF(F91&lt;&gt;"",(C88-F91),C88)
/IF(COUNTIF(C86,"*キャラ*"),
VLOOKUP("*キャラ*",商品マスタ一覧!$D:$J,7,FALSE),
IF(COUNTIF(C86,"*赤*"),
VLOOKUP("*赤*",商品マスタ一覧!$D:$J,7,FALSE),
VLOOKUP(C86,商品マスタ一覧!$D:$J,7,FALSE))),0)),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IF(C86&lt;&gt;"",
IF(IF(COUNTIF(C86,"*キャラ*"),
VLOOKUP("*キャラ*",商品マスタ一覧!$D:$J,7,FALSE),
IF(COUNTIF(C86,"*赤*"),
VLOOKUP("*赤*",商品マスタ一覧!$D:$J,7,FALSE),
VLOOKUP(C86,商品マスタ一覧!$D:$J,7,FALSE)))=0,"",
IF(ROUND(
IF(F91&lt;&gt;"",(C88-F91),C88)
/IF(COUNTIF(C86,"*キャラ*"),
VLOOKUP("*キャラ*",商品マスタ一覧!$D:$J,7,FALSE),
IF(COUNTIF(C86,"*赤*"),
VLOOKUP("*赤*",商品マスタ一覧!$D:$J,7,FALSE),
VLOOKUP(C86,商品マスタ一覧!$D:$J,7,FALSE))),0)&lt;=0,1,
ROUND(
IF(F91&lt;&gt;"",(C88-F91),C88)
/IF(COUNTIF(C86,"*キャラ*"),
VLOOKUP("*キャラ*",商品マスタ一覧!$D:$J,7,FALSE),
IF(COUNTIF(C86,"*赤*"),
VLOOKUP("*赤*",商品マスタ一覧!$D:$J,7,FALSE),
VLOOKUP(C86,商品マスタ一覧!$D:$J,7,FALSE))),0))),""),"")),"")</f>
        <v/>
      </c>
      <c r="G86" s="92" t="str">
        <f ca="1">IF(F86&lt;&gt;"",IF(C88&lt;&gt;"",IF(VALUE(IF(F91&lt;&gt;"",C88-F91,C88))&gt;VALUE(IF(COUNTIF('盛付札（関数）'!C86,"*キャラ*"),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VLOOKUP('盛付札（関数）'!C86,商品マスタ一覧!$D:$J,7,FALSE)))*F86),
"+"&amp;IF(F91&lt;&gt;"",C88-F91,C88)-IF(COUNTIF('盛付札（関数）'!C86,"*キャラ*"),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VLOOKUP('盛付札（関数）'!C86,商品マスタ一覧!$D:$J,7,FALSE)))*F86,
IF(F91&lt;&gt;"",C88-F91,C88)-IF(COUNTIF('盛付札（関数）'!C86,"*キャラ*"),
VLOOKUP("*キャラ*",商品マスタ一覧!$D:$J,7,FALSE),
IF(COUNTIF('盛付札（関数）'!C86,"*赤*"),
VLOOKUP("*赤*",商品マスタ一覧!$D:$J,7,FALSE),
VLOOKUP('盛付札（関数）'!C86,商品マスタ一覧!$D:$J,7,FALSE)))*F86),""),"")</f>
        <v/>
      </c>
      <c r="H86" s="76"/>
      <c r="I86" s="81" t="e" cm="1">
        <f t="array" aca="1" ref="I86" ca="1">IF(I3&lt;&gt;100,
IF(J88&lt;&gt;"",MATCH(J88,INDIRECT("数出表_Excel!B"&amp;MATCH(N1,数出表_Excel!$A:$A,0)-1&amp;":U"&amp;MATCH(N1,数出表_Excel!$A:$A,0)-1&amp;""),0)+1,""),
IF(J88&lt;&gt;"",
MATCH(
IFERROR(
INDEX(INDIRECT("数出表_Excel!"&amp;I85&amp;MATCH(N1,数出表_Excel!$A:$A,0)-1&amp;":U"&amp;MATCH(N1,数出表_Excel!$A:$A,0)-1&amp;""),
 1,
 MATCH(TRUE, ISNUMBER(--INDIRECT("数出表_Excel!"&amp;I85&amp;MATCH(N1,数出表_Excel!$A:$A,0)-1&amp;":U"&amp;MATCH(N1,数出表_Excel!$A:$A,0)-1&amp;"")),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86" s="58" t="str" cm="1">
        <f t="array" aca="1" ref="J86" ca="1">IFERROR(IF(OR(
COUNTIF(INDIRECT("数出表_Excel!" &amp;
CHAR(MATCH(TRUE,
ISNUMBER(--INDIRECT("数出表_Excel!"&amp;I85&amp;MATCH(N1,数出表_Excel!$A:$A,0)-1&amp;":U"&amp;MATCH(N1,数出表_Excel!$A:$A,0)-1&amp;"")),0)
+MATCH(TRUE, ISNUMBER(--INDIRECT("数出表_Excel!B" &amp; (MATCH(N1,数出表_Excel!$A:$A,0)-1) &amp; ":U" &amp; (MATCH(N1,数出表_Excel!$A:$A,0)-1))), 0)
+MATCH(TRUE, ISNUMBER(--INDIRECT("数出表_Excel!"&amp;I43&amp; (MATCH(N1,数出表_Excel!$A:$A,0)-1) &amp; ":U" &amp; (MATCH(N1,数出表_Excel!$A:$A,0)-1))), 0)
+65) &amp; "3"),"*配膳*"),
COUNTIF(INDIRECT("数出表_Excel!" &amp;
CHAR(MATCH(TRUE,
ISNUMBER(--INDIRECT("数出表_Excel!"&amp;I85&amp;MATCH(N1,数出表_Excel!$A:$A,0)-1&amp;":U"&amp;MATCH(N1,数出表_Excel!$A:$A,0)-1&amp;"")),0)
+MATCH(TRUE, ISNUMBER(--INDIRECT("数出表_Excel!B" &amp; (MATCH(N1,数出表_Excel!$A:$A,0)-1) &amp; ":U" &amp; (MATCH(N1,数出表_Excel!$A:$A,0)-1))), 0)
+MATCH(TRUE, ISNUMBER(--INDIRECT("数出表_Excel!"&amp;I43&amp; (MATCH(N1,数出表_Excel!$A:$A,0)-1) &amp; ":U" &amp; (MATCH(N1,数出表_Excel!$A:$A,0)-1))), 0)
+65) &amp; "3"),"*カレー*"),
COUNTIF(J43,"*合計*")),"",
IF(IFERROR(INDIRECT("数出表_Excel!" &amp;
CHAR(MATCH(TRUE,
ISNUMBER(--INDIRECT("数出表_Excel!"&amp;I85&amp;MATCH(N1,数出表_Excel!$A:$A,0)-1&amp;":U"&amp;MATCH(N1,数出表_Excel!$A:$A,0)-1&amp;"")),0)
+MATCH(TRUE, ISNUMBER(--INDIRECT("数出表_Excel!B" &amp; (MATCH(N1,数出表_Excel!$A:$A,0)-1) &amp; ":U" &amp; (MATCH(N1,数出表_Excel!$A:$A,0)-1))), 0)
+MATCH(TRUE, ISNUMBER(--INDIRECT("数出表_Excel!"&amp;I43&amp; (MATCH(N1,数出表_Excel!$A:$A,0)-1) &amp; ":U" &amp; (MATCH(N1,数出表_Excel!$A:$A,0)-1))), 0)
+65) &amp; "3"),0)=0,"",
IFERROR(INDIRECT("数出表_Excel!" &amp;
CHAR(MATCH(TRUE,
ISNUMBER(--INDIRECT("数出表_Excel!"&amp;I85&amp;MATCH(N1,数出表_Excel!$A:$A,0)-1&amp;":U"&amp;MATCH(N1,数出表_Excel!$A:$A,0)-1&amp;"")),0)
+MATCH(TRUE, ISNUMBER(--INDIRECT("数出表_Excel!B" &amp; (MATCH(N1,数出表_Excel!$A:$A,0)-1) &amp; ":U" &amp; (MATCH(N1,数出表_Excel!$A:$A,0)-1))), 0)
+MATCH(TRUE, ISNUMBER(--INDIRECT("数出表_Excel!"&amp;I43&amp; (MATCH(N1,数出表_Excel!$A:$A,0)-1) &amp; ":U" &amp; (MATCH(N1,数出表_Excel!$A:$A,0)-1))), 0)
+65) &amp; "3"),""))),"")</f>
        <v/>
      </c>
      <c r="K86" s="76"/>
      <c r="L86" s="82" t="str" cm="1">
        <f t="array" aca="1" ref="L86" ca="1">IF(M86&lt;&gt;"","",
IF(COUNTIF(J85,"*雙葉*"),"",
IF(J85&lt;&gt;"",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+MATCH(TRUE,INDIRECT("'数出表_Excel'!"&amp;I85&amp;MATCH(N1,数出表_Excel!$A:$A,0)-1&amp;":AL"&amp;MATCH(N1,数出表_Excel!$A:$A,0)-1&amp;"")&lt;&gt;"",0))&gt;9,"",
IFERROR(
INDEX(INDIRECT("数出表_Excel!$"&amp;I85&amp;"4:$AL4"),
 1,
MATCH(TRUE,INDIRECT("'数出表_Excel'!"&amp;I85&amp;MATCH(N1,数出表_Excel!$A:$A,0)-1&amp;":AL"&amp;MATCH(N1,数出表_Excel!$A:$A,0)-1&amp;"")&lt;&gt;"",0)
),
 "")
&amp;IFERROR(
INDEX(INDIRECT("数出表_Excel!$"&amp;I85&amp;"5:$AL5"),
 1,
MATCH(TRUE,INDIRECT("'数出表_Excel'!"&amp;I85&amp;MATCH(N1,数出表_Excel!$A:$A,0)-1&amp;":AL"&amp;MATCH(N1,数出表_Excel!$A:$A,0)-1&amp;"")&lt;&gt;"",0)),
 "")),"")))</f>
        <v/>
      </c>
      <c r="M86" s="83" t="str" cm="1">
        <f t="array" aca="1" ref="M86" ca="1">IF(J86&lt;&gt;"",
IF(COUNTIF(J85,"*雙葉*"),
IF(ROUND(
IF(M91&lt;&gt;"",(J88-M91),J88)
/IF(COUNTIF(J86,"*キャラ*"),
VLOOKUP("*キャラ*",商品マスタ一覧!$D:$J,7,FALSE),
IF(COUNTIF(J86,"*赤*"),
VLOOKUP("*赤*",商品マスタ一覧!$D:$J,7,FALSE),
VLOOKUP(J86,商品マスタ一覧!$D:$J,7,FALSE))),0)&lt;=0,1,
ROUND(
IF(M91&lt;&gt;"",(J88-M91),J88)
/IF(COUNTIF(J86,"*キャラ*"),
VLOOKUP("*キャラ*",商品マスタ一覧!$D:$J,7,FALSE),
IF(COUNTIF(J86,"*赤*"),
VLOOKUP("*赤*",商品マスタ一覧!$D:$J,7,FALSE),
VLOOKUP(J86,商品マスタ一覧!$D:$J,7,FALSE))),0)),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IF(J86&lt;&gt;"",
IF(IF(COUNTIF(J86,"*キャラ*"),
VLOOKUP("*キャラ*",商品マスタ一覧!$D:$J,7,FALSE),
IF(COUNTIF(J86,"*赤*"),
VLOOKUP("*赤*",商品マスタ一覧!$D:$J,7,FALSE),
VLOOKUP(J86,商品マスタ一覧!$D:$J,7,FALSE)))=0,"",
IF(ROUND(
IF(M91&lt;&gt;"",(J88-M91),J88)
/IF(COUNTIF(J86,"*キャラ*"),
VLOOKUP("*キャラ*",商品マスタ一覧!$D:$J,7,FALSE),
IF(COUNTIF(J86,"*赤*"),
VLOOKUP("*赤*",商品マスタ一覧!$D:$J,7,FALSE),
VLOOKUP(J86,商品マスタ一覧!$D:$J,7,FALSE))),0)&lt;=0,1,
ROUND(
IF(M91&lt;&gt;"",(J88-M91),J88)
/IF(COUNTIF(J86,"*キャラ*"),
VLOOKUP("*キャラ*",商品マスタ一覧!$D:$J,7,FALSE),
IF(COUNTIF(J86,"*赤*"),
VLOOKUP("*赤*",商品マスタ一覧!$D:$J,7,FALSE),
VLOOKUP(J86,商品マスタ一覧!$D:$J,7,FALSE))),0))),""),"")),"")</f>
        <v/>
      </c>
      <c r="N86" s="92" t="str">
        <f ca="1">IF(M86&lt;&gt;"",IF(J88&lt;&gt;"",IF(VALUE(IF(M91&lt;&gt;"",J88-M91,J88))&gt;VALUE(IF(COUNTIF('盛付札（関数）'!J86,"*キャラ*"),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VLOOKUP('盛付札（関数）'!J86,商品マスタ一覧!$D:$J,7,FALSE)))*M86),
"+"&amp;IF(M91&lt;&gt;"",J88-M91,J88)-IF(COUNTIF('盛付札（関数）'!J86,"*キャラ*"),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VLOOKUP('盛付札（関数）'!J86,商品マスタ一覧!$D:$J,7,FALSE)))*M86,
IF(M91&lt;&gt;"",J88-M91,J88)-IF(COUNTIF('盛付札（関数）'!J86,"*キャラ*"),
VLOOKUP("*キャラ*",商品マスタ一覧!$D:$J,7,FALSE),
IF(COUNTIF('盛付札（関数）'!J86,"*赤*"),
VLOOKUP("*赤*",商品マスタ一覧!$D:$J,7,FALSE),
VLOOKUP('盛付札（関数）'!J86,商品マスタ一覧!$D:$J,7,FALSE)))*M86),""),"")</f>
        <v/>
      </c>
      <c r="Q86" s="81" t="e" cm="1">
        <f t="array" aca="1" ref="Q86" ca="1">IF(Q3&lt;&gt;100,
IF(R88&lt;&gt;"",MATCH(R88,INDIRECT("数出表_Excel!B"&amp;MATCH(V1,数出表_Excel!$A:$A,0)-1&amp;":U"&amp;MATCH(V1,数出表_Excel!$A:$A,0)-1&amp;""),0)+1,""),
IF(R88&lt;&gt;"",
MATCH(
IFERROR(
INDEX(INDIRECT("数出表_Excel!"&amp;Q85&amp;MATCH(V1,数出表_Excel!$A:$A,0)-1&amp;":U"&amp;MATCH(V1,数出表_Excel!$A:$A,0)-1&amp;""),
 1,
 MATCH(TRUE, ISNUMBER(--INDIRECT("数出表_Excel!"&amp;Q85&amp;MATCH(V1,数出表_Excel!$A:$A,0)-1&amp;":U"&amp;MATCH(V1,数出表_Excel!$A:$A,0)-1&amp;"")),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86" s="58" t="str" cm="1">
        <f t="array" aca="1" ref="R86" ca="1">IFERROR(IF(OR(
COUNTIF(INDIRECT("数出表_Excel!" &amp;
CHAR(MATCH(TRUE,
ISNUMBER(--INDIRECT("数出表_Excel!"&amp;Q85&amp;MATCH(V1,数出表_Excel!$A:$A,0)-1&amp;":U"&amp;MATCH(V1,数出表_Excel!$A:$A,0)-1&amp;"")),0)
+MATCH(TRUE, ISNUMBER(--INDIRECT("数出表_Excel!B" &amp; (MATCH(V1,数出表_Excel!$A:$A,0)-1) &amp; ":U" &amp; (MATCH(V1,数出表_Excel!$A:$A,0)-1))), 0)
+MATCH(TRUE, ISNUMBER(--INDIRECT("数出表_Excel!"&amp;Q43&amp; (MATCH(V1,数出表_Excel!$A:$A,0)-1) &amp; ":U" &amp; (MATCH(V1,数出表_Excel!$A:$A,0)-1))), 0)
+65) &amp; "3"),"*配膳*"),
COUNTIF(INDIRECT("数出表_Excel!" &amp;
CHAR(MATCH(TRUE,
ISNUMBER(--INDIRECT("数出表_Excel!"&amp;Q85&amp;MATCH(V1,数出表_Excel!$A:$A,0)-1&amp;":U"&amp;MATCH(V1,数出表_Excel!$A:$A,0)-1&amp;"")),0)
+MATCH(TRUE, ISNUMBER(--INDIRECT("数出表_Excel!B" &amp; (MATCH(V1,数出表_Excel!$A:$A,0)-1) &amp; ":U" &amp; (MATCH(V1,数出表_Excel!$A:$A,0)-1))), 0)
+MATCH(TRUE, ISNUMBER(--INDIRECT("数出表_Excel!"&amp;Q43&amp; (MATCH(V1,数出表_Excel!$A:$A,0)-1) &amp; ":U" &amp; (MATCH(V1,数出表_Excel!$A:$A,0)-1))), 0)
+65) &amp; "3"),"*カレー*"),
COUNTIF(R43,"*合計*")),"",
IF(IFERROR(INDIRECT("数出表_Excel!" &amp;
CHAR(MATCH(TRUE,
ISNUMBER(--INDIRECT("数出表_Excel!"&amp;Q85&amp;MATCH(V1,数出表_Excel!$A:$A,0)-1&amp;":U"&amp;MATCH(V1,数出表_Excel!$A:$A,0)-1&amp;"")),0)
+MATCH(TRUE, ISNUMBER(--INDIRECT("数出表_Excel!B" &amp; (MATCH(V1,数出表_Excel!$A:$A,0)-1) &amp; ":U" &amp; (MATCH(V1,数出表_Excel!$A:$A,0)-1))), 0)
+MATCH(TRUE, ISNUMBER(--INDIRECT("数出表_Excel!"&amp;Q43&amp; (MATCH(V1,数出表_Excel!$A:$A,0)-1) &amp; ":U" &amp; (MATCH(V1,数出表_Excel!$A:$A,0)-1))), 0)
+65) &amp; "3"),0)=0,"",
IFERROR(INDIRECT("数出表_Excel!" &amp;
CHAR(MATCH(TRUE,
ISNUMBER(--INDIRECT("数出表_Excel!"&amp;Q85&amp;MATCH(V1,数出表_Excel!$A:$A,0)-1&amp;":U"&amp;MATCH(V1,数出表_Excel!$A:$A,0)-1&amp;"")),0)
+MATCH(TRUE, ISNUMBER(--INDIRECT("数出表_Excel!B" &amp; (MATCH(V1,数出表_Excel!$A:$A,0)-1) &amp; ":U" &amp; (MATCH(V1,数出表_Excel!$A:$A,0)-1))), 0)
+MATCH(TRUE, ISNUMBER(--INDIRECT("数出表_Excel!"&amp;Q43&amp; (MATCH(V1,数出表_Excel!$A:$A,0)-1) &amp; ":U" &amp; (MATCH(V1,数出表_Excel!$A:$A,0)-1))), 0)
+65) &amp; "3"),""))),"")</f>
        <v/>
      </c>
      <c r="S86" s="76"/>
      <c r="T86" s="82" t="str" cm="1">
        <f t="array" aca="1" ref="T86" ca="1">IF(U86&lt;&gt;"","",
IF(COUNTIF(R85,"*雙葉*"),"",
IF(R85&lt;&gt;"",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+MATCH(TRUE,INDIRECT("'数出表_Excel'!"&amp;Q85&amp;MATCH(V1,数出表_Excel!$A:$A,0)-1&amp;":AL"&amp;MATCH(V1,数出表_Excel!$A:$A,0)-1&amp;"")&lt;&gt;"",0))&gt;9,"",
IFERROR(
INDEX(INDIRECT("数出表_Excel!$"&amp;Q85&amp;"4:$AL4"),
 1,
MATCH(TRUE,INDIRECT("'数出表_Excel'!"&amp;Q85&amp;MATCH(V1,数出表_Excel!$A:$A,0)-1&amp;":AL"&amp;MATCH(V1,数出表_Excel!$A:$A,0)-1&amp;"")&lt;&gt;"",0)
),
 "")
&amp;IFERROR(
INDEX(INDIRECT("数出表_Excel!$"&amp;Q85&amp;"5:$AL5"),
 1,
MATCH(TRUE,INDIRECT("'数出表_Excel'!"&amp;Q85&amp;MATCH(V1,数出表_Excel!$A:$A,0)-1&amp;":AL"&amp;MATCH(V1,数出表_Excel!$A:$A,0)-1&amp;"")&lt;&gt;"",0)),
 "")),"")))</f>
        <v/>
      </c>
      <c r="U86" s="83" t="str" cm="1">
        <f t="array" aca="1" ref="U86" ca="1">IF(R86&lt;&gt;"",
IF(COUNTIF(R85,"*雙葉*"),
IF(ROUND(
IF(U91&lt;&gt;"",(R88-U91),R88)
/IF(COUNTIF(R86,"*キャラ*"),
VLOOKUP("*キャラ*",商品マスタ一覧!$D:$J,7,FALSE),
IF(COUNTIF(R86,"*赤*"),
VLOOKUP("*赤*",商品マスタ一覧!$D:$J,7,FALSE),
VLOOKUP(R86,商品マスタ一覧!$D:$J,7,FALSE))),0)&lt;=0,1,
ROUND(
IF(U91&lt;&gt;"",(R88-U91),R88)
/IF(COUNTIF(R86,"*キャラ*"),
VLOOKUP("*キャラ*",商品マスタ一覧!$D:$J,7,FALSE),
IF(COUNTIF(R86,"*赤*"),
VLOOKUP("*赤*",商品マスタ一覧!$D:$J,7,FALSE),
VLOOKUP(R86,商品マスタ一覧!$D:$J,7,FALSE))),0)),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IF(R86&lt;&gt;"",
IF(IF(COUNTIF(R86,"*キャラ*"),
VLOOKUP("*キャラ*",商品マスタ一覧!$D:$J,7,FALSE),
IF(COUNTIF(R86,"*赤*"),
VLOOKUP("*赤*",商品マスタ一覧!$D:$J,7,FALSE),
VLOOKUP(R86,商品マスタ一覧!$D:$J,7,FALSE)))=0,"",
IF(ROUND(
IF(U91&lt;&gt;"",(R88-U91),R88)
/IF(COUNTIF(R86,"*キャラ*"),
VLOOKUP("*キャラ*",商品マスタ一覧!$D:$J,7,FALSE),
IF(COUNTIF(R86,"*赤*"),
VLOOKUP("*赤*",商品マスタ一覧!$D:$J,7,FALSE),
VLOOKUP(R86,商品マスタ一覧!$D:$J,7,FALSE))),0)&lt;=0,1,
ROUND(
IF(U91&lt;&gt;"",(R88-U91),R88)
/IF(COUNTIF(R86,"*キャラ*"),
VLOOKUP("*キャラ*",商品マスタ一覧!$D:$J,7,FALSE),
IF(COUNTIF(R86,"*赤*"),
VLOOKUP("*赤*",商品マスタ一覧!$D:$J,7,FALSE),
VLOOKUP(R86,商品マスタ一覧!$D:$J,7,FALSE))),0))),""),"")),"")</f>
        <v/>
      </c>
      <c r="V86" s="92" t="str">
        <f ca="1">IF(U86&lt;&gt;"",IF(R88&lt;&gt;"",IF(VALUE(IF(U91&lt;&gt;"",R88-U91,R88))&gt;VALUE(IF(COUNTIF('盛付札（関数）'!R86,"*キャラ*"),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VLOOKUP('盛付札（関数）'!R86,商品マスタ一覧!$D:$J,7,FALSE)))*U86),
"+"&amp;IF(U91&lt;&gt;"",R88-U91,R88)-IF(COUNTIF('盛付札（関数）'!R86,"*キャラ*"),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VLOOKUP('盛付札（関数）'!R86,商品マスタ一覧!$D:$J,7,FALSE)))*U86,
IF(U91&lt;&gt;"",R88-U91,R88)-IF(COUNTIF('盛付札（関数）'!R86,"*キャラ*"),
VLOOKUP("*キャラ*",商品マスタ一覧!$D:$J,7,FALSE),
IF(COUNTIF('盛付札（関数）'!R86,"*赤*"),
VLOOKUP("*赤*",商品マスタ一覧!$D:$J,7,FALSE),
VLOOKUP('盛付札（関数）'!R86,商品マスタ一覧!$D:$J,7,FALSE)))*U86),""),"")</f>
        <v/>
      </c>
      <c r="W86" s="76"/>
      <c r="X86" s="81" t="e" cm="1">
        <f t="array" aca="1" ref="X86" ca="1">IF(X3&lt;&gt;100,
IF(Y88&lt;&gt;"",MATCH(Y88,INDIRECT("数出表_Excel!B"&amp;MATCH(AC1,数出表_Excel!$A:$A,0)-1&amp;":U"&amp;MATCH(AC1,数出表_Excel!$A:$A,0)-1&amp;""),0)+1,""),
IF(Y88&lt;&gt;"",
MATCH(
IFERROR(
INDEX(INDIRECT("数出表_Excel!"&amp;X85&amp;MATCH(AC1,数出表_Excel!$A:$A,0)-1&amp;":U"&amp;MATCH(AC1,数出表_Excel!$A:$A,0)-1&amp;""),
 1,
 MATCH(TRUE, ISNUMBER(--INDIRECT("数出表_Excel!"&amp;X85&amp;MATCH(AC1,数出表_Excel!$A:$A,0)-1&amp;":U"&amp;MATCH(AC1,数出表_Excel!$A:$A,0)-1&amp;"")),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86" s="58" t="str" cm="1">
        <f t="array" aca="1" ref="Y86" ca="1">IFERROR(IF(OR(
COUNTIF(INDIRECT("数出表_Excel!" &amp;
CHAR(MATCH(TRUE,
ISNUMBER(--INDIRECT("数出表_Excel!"&amp;X85&amp;MATCH(AC1,数出表_Excel!$A:$A,0)-1&amp;":U"&amp;MATCH(AC1,数出表_Excel!$A:$A,0)-1&amp;"")),0)
+MATCH(TRUE, ISNUMBER(--INDIRECT("数出表_Excel!B" &amp; (MATCH(AC1,数出表_Excel!$A:$A,0)-1) &amp; ":U" &amp; (MATCH(AC1,数出表_Excel!$A:$A,0)-1))), 0)
+MATCH(TRUE, ISNUMBER(--INDIRECT("数出表_Excel!"&amp;X43&amp; (MATCH(AC1,数出表_Excel!$A:$A,0)-1) &amp; ":U" &amp; (MATCH(AC1,数出表_Excel!$A:$A,0)-1))), 0)
+65) &amp; "3"),"*配膳*"),
COUNTIF(INDIRECT("数出表_Excel!" &amp;
CHAR(MATCH(TRUE,
ISNUMBER(--INDIRECT("数出表_Excel!"&amp;X85&amp;MATCH(AC1,数出表_Excel!$A:$A,0)-1&amp;":U"&amp;MATCH(AC1,数出表_Excel!$A:$A,0)-1&amp;"")),0)
+MATCH(TRUE, ISNUMBER(--INDIRECT("数出表_Excel!B" &amp; (MATCH(AC1,数出表_Excel!$A:$A,0)-1) &amp; ":U" &amp; (MATCH(AC1,数出表_Excel!$A:$A,0)-1))), 0)
+MATCH(TRUE, ISNUMBER(--INDIRECT("数出表_Excel!"&amp;X43&amp; (MATCH(AC1,数出表_Excel!$A:$A,0)-1) &amp; ":U" &amp; (MATCH(AC1,数出表_Excel!$A:$A,0)-1))), 0)
+65) &amp; "3"),"*カレー*"),
COUNTIF(Y43,"*合計*")),"",
IF(IFERROR(INDIRECT("数出表_Excel!" &amp;
CHAR(MATCH(TRUE,
ISNUMBER(--INDIRECT("数出表_Excel!"&amp;X85&amp;MATCH(AC1,数出表_Excel!$A:$A,0)-1&amp;":U"&amp;MATCH(AC1,数出表_Excel!$A:$A,0)-1&amp;"")),0)
+MATCH(TRUE, ISNUMBER(--INDIRECT("数出表_Excel!B" &amp; (MATCH(AC1,数出表_Excel!$A:$A,0)-1) &amp; ":U" &amp; (MATCH(AC1,数出表_Excel!$A:$A,0)-1))), 0)
+MATCH(TRUE, ISNUMBER(--INDIRECT("数出表_Excel!"&amp;X43&amp; (MATCH(AC1,数出表_Excel!$A:$A,0)-1) &amp; ":U" &amp; (MATCH(AC1,数出表_Excel!$A:$A,0)-1))), 0)
+65) &amp; "3"),0)=0,"",
IFERROR(INDIRECT("数出表_Excel!" &amp;
CHAR(MATCH(TRUE,
ISNUMBER(--INDIRECT("数出表_Excel!"&amp;X85&amp;MATCH(AC1,数出表_Excel!$A:$A,0)-1&amp;":U"&amp;MATCH(AC1,数出表_Excel!$A:$A,0)-1&amp;"")),0)
+MATCH(TRUE, ISNUMBER(--INDIRECT("数出表_Excel!B" &amp; (MATCH(AC1,数出表_Excel!$A:$A,0)-1) &amp; ":U" &amp; (MATCH(AC1,数出表_Excel!$A:$A,0)-1))), 0)
+MATCH(TRUE, ISNUMBER(--INDIRECT("数出表_Excel!"&amp;X43&amp; (MATCH(AC1,数出表_Excel!$A:$A,0)-1) &amp; ":U" &amp; (MATCH(AC1,数出表_Excel!$A:$A,0)-1))), 0)
+65) &amp; "3"),""))),"")</f>
        <v/>
      </c>
      <c r="Z86" s="76"/>
      <c r="AA86" s="82" t="str" cm="1">
        <f t="array" aca="1" ref="AA86" ca="1">IF(AB86&lt;&gt;"","",
IF(COUNTIF(Y85,"*雙葉*"),"",
IF(Y85&lt;&gt;"",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+MATCH(TRUE,INDIRECT("'数出表_Excel'!"&amp;X85&amp;MATCH(AC1,数出表_Excel!$A:$A,0)-1&amp;":AL"&amp;MATCH(AC1,数出表_Excel!$A:$A,0)-1&amp;"")&lt;&gt;"",0))&gt;9,"",
IFERROR(
INDEX(INDIRECT("数出表_Excel!$"&amp;X85&amp;"4:$AL4"),
 1,
MATCH(TRUE,INDIRECT("'数出表_Excel'!"&amp;X85&amp;MATCH(AC1,数出表_Excel!$A:$A,0)-1&amp;":AL"&amp;MATCH(AC1,数出表_Excel!$A:$A,0)-1&amp;"")&lt;&gt;"",0)
),
 "")
&amp;IFERROR(
INDEX(INDIRECT("数出表_Excel!$"&amp;X85&amp;"5:$AL5"),
 1,
MATCH(TRUE,INDIRECT("'数出表_Excel'!"&amp;X85&amp;MATCH(AC1,数出表_Excel!$A:$A,0)-1&amp;":AL"&amp;MATCH(AC1,数出表_Excel!$A:$A,0)-1&amp;"")&lt;&gt;"",0)),
 "")),"")))</f>
        <v/>
      </c>
      <c r="AB86" s="83" t="str" cm="1">
        <f t="array" aca="1" ref="AB86" ca="1">IF(Y86&lt;&gt;"",
IF(COUNTIF(Y85,"*雙葉*"),
IF(ROUND(
IF(AB91&lt;&gt;"",(Y88-AB91),Y88)
/IF(COUNTIF(Y86,"*キャラ*"),
VLOOKUP("*キャラ*",商品マスタ一覧!$D:$J,7,FALSE),
IF(COUNTIF(Y86,"*赤*"),
VLOOKUP("*赤*",商品マスタ一覧!$D:$J,7,FALSE),
VLOOKUP(Y86,商品マスタ一覧!$D:$J,7,FALSE))),0)&lt;=0,1,
ROUND(
IF(AB91&lt;&gt;"",(Y88-AB91),Y88)
/IF(COUNTIF(Y86,"*キャラ*"),
VLOOKUP("*キャラ*",商品マスタ一覧!$D:$J,7,FALSE),
IF(COUNTIF(Y86,"*赤*"),
VLOOKUP("*赤*",商品マスタ一覧!$D:$J,7,FALSE),
VLOOKUP(Y86,商品マスタ一覧!$D:$J,7,FALSE))),0)),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IF(Y86&lt;&gt;"",
IF(IF(COUNTIF(Y86,"*キャラ*"),
VLOOKUP("*キャラ*",商品マスタ一覧!$D:$J,7,FALSE),
IF(COUNTIF(Y86,"*赤*"),
VLOOKUP("*赤*",商品マスタ一覧!$D:$J,7,FALSE),
VLOOKUP(Y86,商品マスタ一覧!$D:$J,7,FALSE)))=0,"",
IF(ROUND(
IF(AB91&lt;&gt;"",(Y88-AB91),Y88)
/IF(COUNTIF(Y86,"*キャラ*"),
VLOOKUP("*キャラ*",商品マスタ一覧!$D:$J,7,FALSE),
IF(COUNTIF(Y86,"*赤*"),
VLOOKUP("*赤*",商品マスタ一覧!$D:$J,7,FALSE),
VLOOKUP(Y86,商品マスタ一覧!$D:$J,7,FALSE))),0)&lt;=0,1,
ROUND(
IF(AB91&lt;&gt;"",(Y88-AB91),Y88)
/IF(COUNTIF(Y86,"*キャラ*"),
VLOOKUP("*キャラ*",商品マスタ一覧!$D:$J,7,FALSE),
IF(COUNTIF(Y86,"*赤*"),
VLOOKUP("*赤*",商品マスタ一覧!$D:$J,7,FALSE),
VLOOKUP(Y86,商品マスタ一覧!$D:$J,7,FALSE))),0))),""),"")),"")</f>
        <v/>
      </c>
      <c r="AC86" s="92" t="str">
        <f ca="1">IF(AB86&lt;&gt;"",IF(Y88&lt;&gt;"",IF(VALUE(IF(AB91&lt;&gt;"",Y88-AB91,Y88))&gt;VALUE(IF(COUNTIF('盛付札（関数）'!Y86,"*キャラ*"),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VLOOKUP('盛付札（関数）'!Y86,商品マスタ一覧!$D:$J,7,FALSE)))*AB86),
"+"&amp;IF(AB91&lt;&gt;"",Y88-AB91,Y88)-IF(COUNTIF('盛付札（関数）'!Y86,"*キャラ*"),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VLOOKUP('盛付札（関数）'!Y86,商品マスタ一覧!$D:$J,7,FALSE)))*AB86,
IF(AB91&lt;&gt;"",Y88-AB91,Y88)-IF(COUNTIF('盛付札（関数）'!Y86,"*キャラ*"),
VLOOKUP("*キャラ*",商品マスタ一覧!$D:$J,7,FALSE),
IF(COUNTIF('盛付札（関数）'!Y86,"*赤*"),
VLOOKUP("*赤*",商品マスタ一覧!$D:$J,7,FALSE),
VLOOKUP('盛付札（関数）'!Y86,商品マスタ一覧!$D:$J,7,FALSE)))*AB86),""),"")</f>
        <v/>
      </c>
      <c r="AF86" s="81" t="e" cm="1">
        <f t="array" aca="1" ref="AF86" ca="1">IF(AF3&lt;&gt;100,
IF(AG88&lt;&gt;"",MATCH(AG88,INDIRECT("数出表_Excel!B"&amp;MATCH(AK1,数出表_Excel!$A:$A,0)-1&amp;":U"&amp;MATCH(AK1,数出表_Excel!$A:$A,0)-1&amp;""),0)+1,""),
IF(AG88&lt;&gt;"",
MATCH(
IFERROR(
INDEX(INDIRECT("数出表_Excel!"&amp;AF85&amp;MATCH(AK1,数出表_Excel!$A:$A,0)-1&amp;":U"&amp;MATCH(AK1,数出表_Excel!$A:$A,0)-1&amp;""),
 1,
 MATCH(TRUE, ISNUMBER(--INDIRECT("数出表_Excel!"&amp;AF85&amp;MATCH(AK1,数出表_Excel!$A:$A,0)-1&amp;":U"&amp;MATCH(AK1,数出表_Excel!$A:$A,0)-1&amp;"")),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86" s="58" t="str" cm="1">
        <f t="array" aca="1" ref="AG86" ca="1">IFERROR(IF(OR(
COUNTIF(INDIRECT("数出表_Excel!" &amp;
CHAR(MATCH(TRUE,
ISNUMBER(--INDIRECT("数出表_Excel!"&amp;AF85&amp;MATCH(AK1,数出表_Excel!$A:$A,0)-1&amp;":U"&amp;MATCH(AK1,数出表_Excel!$A:$A,0)-1&amp;"")),0)
+MATCH(TRUE, ISNUMBER(--INDIRECT("数出表_Excel!B" &amp; (MATCH(AK1,数出表_Excel!$A:$A,0)-1) &amp; ":U" &amp; (MATCH(AK1,数出表_Excel!$A:$A,0)-1))), 0)
+MATCH(TRUE, ISNUMBER(--INDIRECT("数出表_Excel!"&amp;AF43&amp; (MATCH(AK1,数出表_Excel!$A:$A,0)-1) &amp; ":U" &amp; (MATCH(AK1,数出表_Excel!$A:$A,0)-1))), 0)
+65) &amp; "3"),"*配膳*"),
COUNTIF(INDIRECT("数出表_Excel!" &amp;
CHAR(MATCH(TRUE,
ISNUMBER(--INDIRECT("数出表_Excel!"&amp;AF85&amp;MATCH(AK1,数出表_Excel!$A:$A,0)-1&amp;":U"&amp;MATCH(AK1,数出表_Excel!$A:$A,0)-1&amp;"")),0)
+MATCH(TRUE, ISNUMBER(--INDIRECT("数出表_Excel!B" &amp; (MATCH(AK1,数出表_Excel!$A:$A,0)-1) &amp; ":U" &amp; (MATCH(AK1,数出表_Excel!$A:$A,0)-1))), 0)
+MATCH(TRUE, ISNUMBER(--INDIRECT("数出表_Excel!"&amp;AF43&amp; (MATCH(AK1,数出表_Excel!$A:$A,0)-1) &amp; ":U" &amp; (MATCH(AK1,数出表_Excel!$A:$A,0)-1))), 0)
+65) &amp; "3"),"*カレー*"),
COUNTIF(AG43,"*合計*")),"",
IF(IFERROR(INDIRECT("数出表_Excel!" &amp;
CHAR(MATCH(TRUE,
ISNUMBER(--INDIRECT("数出表_Excel!"&amp;AF85&amp;MATCH(AK1,数出表_Excel!$A:$A,0)-1&amp;":U"&amp;MATCH(AK1,数出表_Excel!$A:$A,0)-1&amp;"")),0)
+MATCH(TRUE, ISNUMBER(--INDIRECT("数出表_Excel!B" &amp; (MATCH(AK1,数出表_Excel!$A:$A,0)-1) &amp; ":U" &amp; (MATCH(AK1,数出表_Excel!$A:$A,0)-1))), 0)
+MATCH(TRUE, ISNUMBER(--INDIRECT("数出表_Excel!"&amp;AF43&amp; (MATCH(AK1,数出表_Excel!$A:$A,0)-1) &amp; ":U" &amp; (MATCH(AK1,数出表_Excel!$A:$A,0)-1))), 0)
+65) &amp; "3"),0)=0,"",
IFERROR(INDIRECT("数出表_Excel!" &amp;
CHAR(MATCH(TRUE,
ISNUMBER(--INDIRECT("数出表_Excel!"&amp;AF85&amp;MATCH(AK1,数出表_Excel!$A:$A,0)-1&amp;":U"&amp;MATCH(AK1,数出表_Excel!$A:$A,0)-1&amp;"")),0)
+MATCH(TRUE, ISNUMBER(--INDIRECT("数出表_Excel!B" &amp; (MATCH(AK1,数出表_Excel!$A:$A,0)-1) &amp; ":U" &amp; (MATCH(AK1,数出表_Excel!$A:$A,0)-1))), 0)
+MATCH(TRUE, ISNUMBER(--INDIRECT("数出表_Excel!"&amp;AF43&amp; (MATCH(AK1,数出表_Excel!$A:$A,0)-1) &amp; ":U" &amp; (MATCH(AK1,数出表_Excel!$A:$A,0)-1))), 0)
+65) &amp; "3"),""))),"")</f>
        <v/>
      </c>
      <c r="AH86" s="76"/>
      <c r="AI86" s="82" t="str" cm="1">
        <f t="array" aca="1" ref="AI86" ca="1">IF(AJ86&lt;&gt;"","",
IF(COUNTIF(AG85,"*雙葉*"),"",
IF(AG85&lt;&gt;"",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+MATCH(TRUE,INDIRECT("'数出表_Excel'!"&amp;AF85&amp;MATCH(AK1,数出表_Excel!$A:$A,0)-1&amp;":AL"&amp;MATCH(AK1,数出表_Excel!$A:$A,0)-1&amp;"")&lt;&gt;"",0))&gt;9,"",
IFERROR(
INDEX(INDIRECT("数出表_Excel!$"&amp;AF85&amp;"4:$AL4"),
 1,
MATCH(TRUE,INDIRECT("'数出表_Excel'!"&amp;AF85&amp;MATCH(AK1,数出表_Excel!$A:$A,0)-1&amp;":AL"&amp;MATCH(AK1,数出表_Excel!$A:$A,0)-1&amp;"")&lt;&gt;"",0)
),
 "")
&amp;IFERROR(
INDEX(INDIRECT("数出表_Excel!$"&amp;AF85&amp;"5:$AL5"),
 1,
MATCH(TRUE,INDIRECT("'数出表_Excel'!"&amp;AF85&amp;MATCH(AK1,数出表_Excel!$A:$A,0)-1&amp;":AL"&amp;MATCH(AK1,数出表_Excel!$A:$A,0)-1&amp;"")&lt;&gt;"",0)),
 "")),"")))</f>
        <v/>
      </c>
      <c r="AJ86" s="83" t="str" cm="1">
        <f t="array" aca="1" ref="AJ86" ca="1">IF(AG86&lt;&gt;"",
IF(COUNTIF(AG85,"*雙葉*"),
IF(ROUND(
IF(AJ91&lt;&gt;"",(AG88-AJ91),AG88)
/IF(COUNTIF(AG86,"*キャラ*"),
VLOOKUP("*キャラ*",商品マスタ一覧!$D:$J,7,FALSE),
IF(COUNTIF(AG86,"*赤*"),
VLOOKUP("*赤*",商品マスタ一覧!$D:$J,7,FALSE),
VLOOKUP(AG86,商品マスタ一覧!$D:$J,7,FALSE))),0)&lt;=0,1,
ROUND(
IF(AJ91&lt;&gt;"",(AG88-AJ91),AG88)
/IF(COUNTIF(AG86,"*キャラ*"),
VLOOKUP("*キャラ*",商品マスタ一覧!$D:$J,7,FALSE),
IF(COUNTIF(AG86,"*赤*"),
VLOOKUP("*赤*",商品マスタ一覧!$D:$J,7,FALSE),
VLOOKUP(AG86,商品マスタ一覧!$D:$J,7,FALSE))),0)),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IF(AG86&lt;&gt;"",
IF(IF(COUNTIF(AG86,"*キャラ*"),
VLOOKUP("*キャラ*",商品マスタ一覧!$D:$J,7,FALSE),
IF(COUNTIF(AG86,"*赤*"),
VLOOKUP("*赤*",商品マスタ一覧!$D:$J,7,FALSE),
VLOOKUP(AG86,商品マスタ一覧!$D:$J,7,FALSE)))=0,"",
IF(ROUND(
IF(AJ91&lt;&gt;"",(AG88-AJ91),AG88)
/IF(COUNTIF(AG86,"*キャラ*"),
VLOOKUP("*キャラ*",商品マスタ一覧!$D:$J,7,FALSE),
IF(COUNTIF(AG86,"*赤*"),
VLOOKUP("*赤*",商品マスタ一覧!$D:$J,7,FALSE),
VLOOKUP(AG86,商品マスタ一覧!$D:$J,7,FALSE))),0)&lt;=0,1,
ROUND(
IF(AJ91&lt;&gt;"",(AG88-AJ91),AG88)
/IF(COUNTIF(AG86,"*キャラ*"),
VLOOKUP("*キャラ*",商品マスタ一覧!$D:$J,7,FALSE),
IF(COUNTIF(AG86,"*赤*"),
VLOOKUP("*赤*",商品マスタ一覧!$D:$J,7,FALSE),
VLOOKUP(AG86,商品マスタ一覧!$D:$J,7,FALSE))),0))),""),"")),"")</f>
        <v/>
      </c>
      <c r="AK86" s="92" t="str">
        <f ca="1">IF(AJ86&lt;&gt;"",IF(AG88&lt;&gt;"",IF(VALUE(IF(AJ91&lt;&gt;"",AG88-AJ91,AG88))&gt;VALUE(IF(COUNTIF('盛付札（関数）'!AG86,"*キャラ*"),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VLOOKUP('盛付札（関数）'!AG86,商品マスタ一覧!$D:$J,7,FALSE)))*AJ86),
"+"&amp;IF(AJ91&lt;&gt;"",AG88-AJ91,AG88)-IF(COUNTIF('盛付札（関数）'!AG86,"*キャラ*"),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VLOOKUP('盛付札（関数）'!AG86,商品マスタ一覧!$D:$J,7,FALSE)))*AJ86,
IF(AJ91&lt;&gt;"",AG88-AJ91,AG88)-IF(COUNTIF('盛付札（関数）'!AG86,"*キャラ*"),
VLOOKUP("*キャラ*",商品マスタ一覧!$D:$J,7,FALSE),
IF(COUNTIF('盛付札（関数）'!AG86,"*赤*"),
VLOOKUP("*赤*",商品マスタ一覧!$D:$J,7,FALSE),
VLOOKUP('盛付札（関数）'!AG86,商品マスタ一覧!$D:$J,7,FALSE)))*AJ86),""),"")</f>
        <v/>
      </c>
      <c r="AL86" s="76"/>
      <c r="AM86" s="81" t="e" cm="1">
        <f t="array" aca="1" ref="AM86" ca="1">IF(AM3&lt;&gt;100,
IF(AN88&lt;&gt;"",MATCH(AN88,INDIRECT("数出表_Excel!B"&amp;MATCH(AR1,数出表_Excel!$A:$A,0)-1&amp;":U"&amp;MATCH(AR1,数出表_Excel!$A:$A,0)-1&amp;""),0)+1,""),
IF(AN88&lt;&gt;"",
MATCH(
IFERROR(
INDEX(INDIRECT("数出表_Excel!"&amp;AM85&amp;MATCH(AR1,数出表_Excel!$A:$A,0)-1&amp;":U"&amp;MATCH(AR1,数出表_Excel!$A:$A,0)-1&amp;""),
 1,
 MATCH(TRUE, ISNUMBER(--INDIRECT("数出表_Excel!"&amp;AM85&amp;MATCH(AR1,数出表_Excel!$A:$A,0)-1&amp;":U"&amp;MATCH(AR1,数出表_Excel!$A:$A,0)-1&amp;"")),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86" s="58" t="str" cm="1">
        <f t="array" aca="1" ref="AN86" ca="1">IFERROR(IF(OR(
COUNTIF(INDIRECT("数出表_Excel!" &amp;
CHAR(MATCH(TRUE,
ISNUMBER(--INDIRECT("数出表_Excel!"&amp;AM85&amp;MATCH(AR1,数出表_Excel!$A:$A,0)-1&amp;":U"&amp;MATCH(AR1,数出表_Excel!$A:$A,0)-1&amp;"")),0)
+MATCH(TRUE, ISNUMBER(--INDIRECT("数出表_Excel!B" &amp; (MATCH(AR1,数出表_Excel!$A:$A,0)-1) &amp; ":U" &amp; (MATCH(AR1,数出表_Excel!$A:$A,0)-1))), 0)
+MATCH(TRUE, ISNUMBER(--INDIRECT("数出表_Excel!"&amp;AM43&amp; (MATCH(AR1,数出表_Excel!$A:$A,0)-1) &amp; ":U" &amp; (MATCH(AR1,数出表_Excel!$A:$A,0)-1))), 0)
+65) &amp; "3"),"*配膳*"),
COUNTIF(INDIRECT("数出表_Excel!" &amp;
CHAR(MATCH(TRUE,
ISNUMBER(--INDIRECT("数出表_Excel!"&amp;AM85&amp;MATCH(AR1,数出表_Excel!$A:$A,0)-1&amp;":U"&amp;MATCH(AR1,数出表_Excel!$A:$A,0)-1&amp;"")),0)
+MATCH(TRUE, ISNUMBER(--INDIRECT("数出表_Excel!B" &amp; (MATCH(AR1,数出表_Excel!$A:$A,0)-1) &amp; ":U" &amp; (MATCH(AR1,数出表_Excel!$A:$A,0)-1))), 0)
+MATCH(TRUE, ISNUMBER(--INDIRECT("数出表_Excel!"&amp;AM43&amp; (MATCH(AR1,数出表_Excel!$A:$A,0)-1) &amp; ":U" &amp; (MATCH(AR1,数出表_Excel!$A:$A,0)-1))), 0)
+65) &amp; "3"),"*カレー*"),
COUNTIF(AN43,"*合計*")),"",
IF(IFERROR(INDIRECT("数出表_Excel!" &amp;
CHAR(MATCH(TRUE,
ISNUMBER(--INDIRECT("数出表_Excel!"&amp;AM85&amp;MATCH(AR1,数出表_Excel!$A:$A,0)-1&amp;":U"&amp;MATCH(AR1,数出表_Excel!$A:$A,0)-1&amp;"")),0)
+MATCH(TRUE, ISNUMBER(--INDIRECT("数出表_Excel!B" &amp; (MATCH(AR1,数出表_Excel!$A:$A,0)-1) &amp; ":U" &amp; (MATCH(AR1,数出表_Excel!$A:$A,0)-1))), 0)
+MATCH(TRUE, ISNUMBER(--INDIRECT("数出表_Excel!"&amp;AM43&amp; (MATCH(AR1,数出表_Excel!$A:$A,0)-1) &amp; ":U" &amp; (MATCH(AR1,数出表_Excel!$A:$A,0)-1))), 0)
+65) &amp; "3"),0)=0,"",
IFERROR(INDIRECT("数出表_Excel!" &amp;
CHAR(MATCH(TRUE,
ISNUMBER(--INDIRECT("数出表_Excel!"&amp;AM85&amp;MATCH(AR1,数出表_Excel!$A:$A,0)-1&amp;":U"&amp;MATCH(AR1,数出表_Excel!$A:$A,0)-1&amp;"")),0)
+MATCH(TRUE, ISNUMBER(--INDIRECT("数出表_Excel!B" &amp; (MATCH(AR1,数出表_Excel!$A:$A,0)-1) &amp; ":U" &amp; (MATCH(AR1,数出表_Excel!$A:$A,0)-1))), 0)
+MATCH(TRUE, ISNUMBER(--INDIRECT("数出表_Excel!"&amp;AM43&amp; (MATCH(AR1,数出表_Excel!$A:$A,0)-1) &amp; ":U" &amp; (MATCH(AR1,数出表_Excel!$A:$A,0)-1))), 0)
+65) &amp; "3"),""))),"")</f>
        <v/>
      </c>
      <c r="AO86" s="76"/>
      <c r="AP86" s="82" t="str" cm="1">
        <f t="array" aca="1" ref="AP86" ca="1">IF(AQ86&lt;&gt;"","",
IF(COUNTIF(AN85,"*雙葉*"),"",
IF(AN85&lt;&gt;"",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+MATCH(TRUE,INDIRECT("'数出表_Excel'!"&amp;AM85&amp;MATCH(AR1,数出表_Excel!$A:$A,0)-1&amp;":AL"&amp;MATCH(AR1,数出表_Excel!$A:$A,0)-1&amp;"")&lt;&gt;"",0))&gt;9,"",
IFERROR(
INDEX(INDIRECT("数出表_Excel!$"&amp;AM85&amp;"4:$AL4"),
 1,
MATCH(TRUE,INDIRECT("'数出表_Excel'!"&amp;AM85&amp;MATCH(AR1,数出表_Excel!$A:$A,0)-1&amp;":AL"&amp;MATCH(AR1,数出表_Excel!$A:$A,0)-1&amp;"")&lt;&gt;"",0)
),
 "")
&amp;IFERROR(
INDEX(INDIRECT("数出表_Excel!$"&amp;AM85&amp;"5:$AL5"),
 1,
MATCH(TRUE,INDIRECT("'数出表_Excel'!"&amp;AM85&amp;MATCH(AR1,数出表_Excel!$A:$A,0)-1&amp;":AL"&amp;MATCH(AR1,数出表_Excel!$A:$A,0)-1&amp;"")&lt;&gt;"",0)),
 "")),"")))</f>
        <v/>
      </c>
      <c r="AQ86" s="83" t="str" cm="1">
        <f t="array" aca="1" ref="AQ86" ca="1">IF(AN86&lt;&gt;"",
IF(COUNTIF(AN85,"*雙葉*"),
IF(ROUND(
IF(AQ91&lt;&gt;"",(AN88-AQ91),AN88)
/IF(COUNTIF(AN86,"*キャラ*"),
VLOOKUP("*キャラ*",商品マスタ一覧!$D:$J,7,FALSE),
IF(COUNTIF(AN86,"*赤*"),
VLOOKUP("*赤*",商品マスタ一覧!$D:$J,7,FALSE),
VLOOKUP(AN86,商品マスタ一覧!$D:$J,7,FALSE))),0)&lt;=0,1,
ROUND(
IF(AQ91&lt;&gt;"",(AN88-AQ91),AN88)
/IF(COUNTIF(AN86,"*キャラ*"),
VLOOKUP("*キャラ*",商品マスタ一覧!$D:$J,7,FALSE),
IF(COUNTIF(AN86,"*赤*"),
VLOOKUP("*赤*",商品マスタ一覧!$D:$J,7,FALSE),
VLOOKUP(AN86,商品マスタ一覧!$D:$J,7,FALSE))),0)),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IF(AN86&lt;&gt;"",
IF(IF(COUNTIF(AN86,"*キャラ*"),
VLOOKUP("*キャラ*",商品マスタ一覧!$D:$J,7,FALSE),
IF(COUNTIF(AN86,"*赤*"),
VLOOKUP("*赤*",商品マスタ一覧!$D:$J,7,FALSE),
VLOOKUP(AN86,商品マスタ一覧!$D:$J,7,FALSE)))=0,"",
IF(ROUND(
IF(AQ91&lt;&gt;"",(AN88-AQ91),AN88)
/IF(COUNTIF(AN86,"*キャラ*"),
VLOOKUP("*キャラ*",商品マスタ一覧!$D:$J,7,FALSE),
IF(COUNTIF(AN86,"*赤*"),
VLOOKUP("*赤*",商品マスタ一覧!$D:$J,7,FALSE),
VLOOKUP(AN86,商品マスタ一覧!$D:$J,7,FALSE))),0)&lt;=0,1,
ROUND(
IF(AQ91&lt;&gt;"",(AN88-AQ91),AN88)
/IF(COUNTIF(AN86,"*キャラ*"),
VLOOKUP("*キャラ*",商品マスタ一覧!$D:$J,7,FALSE),
IF(COUNTIF(AN86,"*赤*"),
VLOOKUP("*赤*",商品マスタ一覧!$D:$J,7,FALSE),
VLOOKUP(AN86,商品マスタ一覧!$D:$J,7,FALSE))),0))),""),"")),"")</f>
        <v/>
      </c>
      <c r="AR86" s="92" t="str">
        <f ca="1">IF(AQ86&lt;&gt;"",IF(AN88&lt;&gt;"",IF(VALUE(IF(AQ91&lt;&gt;"",AN88-AQ91,AN88))&gt;VALUE(IF(COUNTIF('盛付札（関数）'!AN86,"*キャラ*"),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VLOOKUP('盛付札（関数）'!AN86,商品マスタ一覧!$D:$J,7,FALSE)))*AQ86),
"+"&amp;IF(AQ91&lt;&gt;"",AN88-AQ91,AN88)-IF(COUNTIF('盛付札（関数）'!AN86,"*キャラ*"),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VLOOKUP('盛付札（関数）'!AN86,商品マスタ一覧!$D:$J,7,FALSE)))*AQ86,
IF(AQ91&lt;&gt;"",AN88-AQ91,AN88)-IF(COUNTIF('盛付札（関数）'!AN86,"*キャラ*"),
VLOOKUP("*キャラ*",商品マスタ一覧!$D:$J,7,FALSE),
IF(COUNTIF('盛付札（関数）'!AN86,"*赤*"),
VLOOKUP("*赤*",商品マスタ一覧!$D:$J,7,FALSE),
VLOOKUP('盛付札（関数）'!AN86,商品マスタ一覧!$D:$J,7,FALSE)))*AQ86),""),"")</f>
        <v/>
      </c>
      <c r="AU86" s="81" t="e" cm="1">
        <f t="array" aca="1" ref="AU86" ca="1">IF(AU3&lt;&gt;100,
IF(AV88&lt;&gt;"",MATCH(AV88,INDIRECT("数出表_Excel!B"&amp;MATCH(AZ1,数出表_Excel!$A:$A,0)-1&amp;":U"&amp;MATCH(AZ1,数出表_Excel!$A:$A,0)-1&amp;""),0)+1,""),
IF(AV88&lt;&gt;"",
MATCH(
IFERROR(
INDEX(INDIRECT("数出表_Excel!"&amp;AU85&amp;MATCH(AZ1,数出表_Excel!$A:$A,0)-1&amp;":U"&amp;MATCH(AZ1,数出表_Excel!$A:$A,0)-1&amp;""),
 1,
 MATCH(TRUE, ISNUMBER(--INDIRECT("数出表_Excel!"&amp;AU85&amp;MATCH(AZ1,数出表_Excel!$A:$A,0)-1&amp;":U"&amp;MATCH(AZ1,数出表_Excel!$A:$A,0)-1&amp;"")),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86" s="58" t="str" cm="1">
        <f t="array" aca="1" ref="AV86" ca="1">IFERROR(IF(OR(
COUNTIF(INDIRECT("数出表_Excel!" &amp;
CHAR(MATCH(TRUE,
ISNUMBER(--INDIRECT("数出表_Excel!"&amp;AU85&amp;MATCH(AZ1,数出表_Excel!$A:$A,0)-1&amp;":U"&amp;MATCH(AZ1,数出表_Excel!$A:$A,0)-1&amp;"")),0)
+MATCH(TRUE, ISNUMBER(--INDIRECT("数出表_Excel!B" &amp; (MATCH(AZ1,数出表_Excel!$A:$A,0)-1) &amp; ":U" &amp; (MATCH(AZ1,数出表_Excel!$A:$A,0)-1))), 0)
+MATCH(TRUE, ISNUMBER(--INDIRECT("数出表_Excel!"&amp;AU43&amp; (MATCH(AZ1,数出表_Excel!$A:$A,0)-1) &amp; ":U" &amp; (MATCH(AZ1,数出表_Excel!$A:$A,0)-1))), 0)
+65) &amp; "3"),"*配膳*"),
COUNTIF(INDIRECT("数出表_Excel!" &amp;
CHAR(MATCH(TRUE,
ISNUMBER(--INDIRECT("数出表_Excel!"&amp;AU85&amp;MATCH(AZ1,数出表_Excel!$A:$A,0)-1&amp;":U"&amp;MATCH(AZ1,数出表_Excel!$A:$A,0)-1&amp;"")),0)
+MATCH(TRUE, ISNUMBER(--INDIRECT("数出表_Excel!B" &amp; (MATCH(AZ1,数出表_Excel!$A:$A,0)-1) &amp; ":U" &amp; (MATCH(AZ1,数出表_Excel!$A:$A,0)-1))), 0)
+MATCH(TRUE, ISNUMBER(--INDIRECT("数出表_Excel!"&amp;AU43&amp; (MATCH(AZ1,数出表_Excel!$A:$A,0)-1) &amp; ":U" &amp; (MATCH(AZ1,数出表_Excel!$A:$A,0)-1))), 0)
+65) &amp; "3"),"*カレー*"),
COUNTIF(AV43,"*合計*")),"",
IF(IFERROR(INDIRECT("数出表_Excel!" &amp;
CHAR(MATCH(TRUE,
ISNUMBER(--INDIRECT("数出表_Excel!"&amp;AU85&amp;MATCH(AZ1,数出表_Excel!$A:$A,0)-1&amp;":U"&amp;MATCH(AZ1,数出表_Excel!$A:$A,0)-1&amp;"")),0)
+MATCH(TRUE, ISNUMBER(--INDIRECT("数出表_Excel!B" &amp; (MATCH(AZ1,数出表_Excel!$A:$A,0)-1) &amp; ":U" &amp; (MATCH(AZ1,数出表_Excel!$A:$A,0)-1))), 0)
+MATCH(TRUE, ISNUMBER(--INDIRECT("数出表_Excel!"&amp;AU43&amp; (MATCH(AZ1,数出表_Excel!$A:$A,0)-1) &amp; ":U" &amp; (MATCH(AZ1,数出表_Excel!$A:$A,0)-1))), 0)
+65) &amp; "3"),0)=0,"",
IFERROR(INDIRECT("数出表_Excel!" &amp;
CHAR(MATCH(TRUE,
ISNUMBER(--INDIRECT("数出表_Excel!"&amp;AU85&amp;MATCH(AZ1,数出表_Excel!$A:$A,0)-1&amp;":U"&amp;MATCH(AZ1,数出表_Excel!$A:$A,0)-1&amp;"")),0)
+MATCH(TRUE, ISNUMBER(--INDIRECT("数出表_Excel!B" &amp; (MATCH(AZ1,数出表_Excel!$A:$A,0)-1) &amp; ":U" &amp; (MATCH(AZ1,数出表_Excel!$A:$A,0)-1))), 0)
+MATCH(TRUE, ISNUMBER(--INDIRECT("数出表_Excel!"&amp;AU43&amp; (MATCH(AZ1,数出表_Excel!$A:$A,0)-1) &amp; ":U" &amp; (MATCH(AZ1,数出表_Excel!$A:$A,0)-1))), 0)
+65) &amp; "3"),""))),"")</f>
        <v/>
      </c>
      <c r="AW86" s="76"/>
      <c r="AX86" s="82" t="str" cm="1">
        <f t="array" aca="1" ref="AX86" ca="1">IF(AY86&lt;&gt;"","",
IF(COUNTIF(AV85,"*雙葉*"),"",
IF(AV85&lt;&gt;"",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+MATCH(TRUE,INDIRECT("'数出表_Excel'!"&amp;AU85&amp;MATCH(AZ1,数出表_Excel!$A:$A,0)-1&amp;":AL"&amp;MATCH(AZ1,数出表_Excel!$A:$A,0)-1&amp;"")&lt;&gt;"",0))&gt;9,"",
IFERROR(
INDEX(INDIRECT("数出表_Excel!$"&amp;AU85&amp;"4:$AL4"),
 1,
MATCH(TRUE,INDIRECT("'数出表_Excel'!"&amp;AU85&amp;MATCH(AZ1,数出表_Excel!$A:$A,0)-1&amp;":AL"&amp;MATCH(AZ1,数出表_Excel!$A:$A,0)-1&amp;"")&lt;&gt;"",0)
),
 "")
&amp;IFERROR(
INDEX(INDIRECT("数出表_Excel!$"&amp;AU85&amp;"5:$AL5"),
 1,
MATCH(TRUE,INDIRECT("'数出表_Excel'!"&amp;AU85&amp;MATCH(AZ1,数出表_Excel!$A:$A,0)-1&amp;":AL"&amp;MATCH(AZ1,数出表_Excel!$A:$A,0)-1&amp;"")&lt;&gt;"",0)),
 "")),"")))</f>
        <v/>
      </c>
      <c r="AY86" s="83" t="str" cm="1">
        <f t="array" aca="1" ref="AY86" ca="1">IF(AV86&lt;&gt;"",
IF(COUNTIF(AV85,"*雙葉*"),
IF(ROUND(
IF(AY91&lt;&gt;"",(AV88-AY91),AV88)
/IF(COUNTIF(AV86,"*キャラ*"),
VLOOKUP("*キャラ*",商品マスタ一覧!$D:$J,7,FALSE),
IF(COUNTIF(AV86,"*赤*"),
VLOOKUP("*赤*",商品マスタ一覧!$D:$J,7,FALSE),
VLOOKUP(AV86,商品マスタ一覧!$D:$J,7,FALSE))),0)&lt;=0,1,
ROUND(
IF(AY91&lt;&gt;"",(AV88-AY91),AV88)
/IF(COUNTIF(AV86,"*キャラ*"),
VLOOKUP("*キャラ*",商品マスタ一覧!$D:$J,7,FALSE),
IF(COUNTIF(AV86,"*赤*"),
VLOOKUP("*赤*",商品マスタ一覧!$D:$J,7,FALSE),
VLOOKUP(AV86,商品マスタ一覧!$D:$J,7,FALSE))),0)),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IF(AV86&lt;&gt;"",
IF(IF(COUNTIF(AV86,"*キャラ*"),
VLOOKUP("*キャラ*",商品マスタ一覧!$D:$J,7,FALSE),
IF(COUNTIF(AV86,"*赤*"),
VLOOKUP("*赤*",商品マスタ一覧!$D:$J,7,FALSE),
VLOOKUP(AV86,商品マスタ一覧!$D:$J,7,FALSE)))=0,"",
IF(ROUND(
IF(AY91&lt;&gt;"",(AV88-AY91),AV88)
/IF(COUNTIF(AV86,"*キャラ*"),
VLOOKUP("*キャラ*",商品マスタ一覧!$D:$J,7,FALSE),
IF(COUNTIF(AV86,"*赤*"),
VLOOKUP("*赤*",商品マスタ一覧!$D:$J,7,FALSE),
VLOOKUP(AV86,商品マスタ一覧!$D:$J,7,FALSE))),0)&lt;=0,1,
ROUND(
IF(AY91&lt;&gt;"",(AV88-AY91),AV88)
/IF(COUNTIF(AV86,"*キャラ*"),
VLOOKUP("*キャラ*",商品マスタ一覧!$D:$J,7,FALSE),
IF(COUNTIF(AV86,"*赤*"),
VLOOKUP("*赤*",商品マスタ一覧!$D:$J,7,FALSE),
VLOOKUP(AV86,商品マスタ一覧!$D:$J,7,FALSE))),0))),""),"")),"")</f>
        <v/>
      </c>
      <c r="AZ86" s="92" t="str">
        <f ca="1">IF(AY86&lt;&gt;"",IF(AV88&lt;&gt;"",IF(VALUE(IF(AY91&lt;&gt;"",AV88-AY91,AV88))&gt;VALUE(IF(COUNTIF('盛付札（関数）'!AV86,"*キャラ*"),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VLOOKUP('盛付札（関数）'!AV86,商品マスタ一覧!$D:$J,7,FALSE)))*AY86),
"+"&amp;IF(AY91&lt;&gt;"",AV88-AY91,AV88)-IF(COUNTIF('盛付札（関数）'!AV86,"*キャラ*"),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VLOOKUP('盛付札（関数）'!AV86,商品マスタ一覧!$D:$J,7,FALSE)))*AY86,
IF(AY91&lt;&gt;"",AV88-AY91,AV88)-IF(COUNTIF('盛付札（関数）'!AV86,"*キャラ*"),
VLOOKUP("*キャラ*",商品マスタ一覧!$D:$J,7,FALSE),
IF(COUNTIF('盛付札（関数）'!AV86,"*赤*"),
VLOOKUP("*赤*",商品マスタ一覧!$D:$J,7,FALSE),
VLOOKUP('盛付札（関数）'!AV86,商品マスタ一覧!$D:$J,7,FALSE)))*AY86),""),"")</f>
        <v/>
      </c>
      <c r="BA86" s="76"/>
      <c r="BB86" s="81" t="e" cm="1">
        <f t="array" aca="1" ref="BB86" ca="1">IF(BB3&lt;&gt;100,
IF(BC88&lt;&gt;"",MATCH(BC88,INDIRECT("数出表_Excel!B"&amp;MATCH(BG1,数出表_Excel!$A:$A,0)-1&amp;":U"&amp;MATCH(BG1,数出表_Excel!$A:$A,0)-1&amp;""),0)+1,""),
IF(BC88&lt;&gt;"",
MATCH(
IFERROR(
INDEX(INDIRECT("数出表_Excel!"&amp;BB85&amp;MATCH(BG1,数出表_Excel!$A:$A,0)-1&amp;":U"&amp;MATCH(BG1,数出表_Excel!$A:$A,0)-1&amp;""),
 1,
 MATCH(TRUE, ISNUMBER(--INDIRECT("数出表_Excel!"&amp;BB85&amp;MATCH(BG1,数出表_Excel!$A:$A,0)-1&amp;":U"&amp;MATCH(BG1,数出表_Excel!$A:$A,0)-1&amp;"")),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86" s="58" t="str" cm="1">
        <f t="array" aca="1" ref="BC86" ca="1">IFERROR(IF(OR(
COUNTIF(INDIRECT("数出表_Excel!" &amp;
CHAR(MATCH(TRUE,
ISNUMBER(--INDIRECT("数出表_Excel!"&amp;BB85&amp;MATCH(BG1,数出表_Excel!$A:$A,0)-1&amp;":U"&amp;MATCH(BG1,数出表_Excel!$A:$A,0)-1&amp;"")),0)
+MATCH(TRUE, ISNUMBER(--INDIRECT("数出表_Excel!B" &amp; (MATCH(BG1,数出表_Excel!$A:$A,0)-1) &amp; ":U" &amp; (MATCH(BG1,数出表_Excel!$A:$A,0)-1))), 0)
+MATCH(TRUE, ISNUMBER(--INDIRECT("数出表_Excel!"&amp;BB43&amp; (MATCH(BG1,数出表_Excel!$A:$A,0)-1) &amp; ":U" &amp; (MATCH(BG1,数出表_Excel!$A:$A,0)-1))), 0)
+65) &amp; "3"),"*配膳*"),
COUNTIF(INDIRECT("数出表_Excel!" &amp;
CHAR(MATCH(TRUE,
ISNUMBER(--INDIRECT("数出表_Excel!"&amp;BB85&amp;MATCH(BG1,数出表_Excel!$A:$A,0)-1&amp;":U"&amp;MATCH(BG1,数出表_Excel!$A:$A,0)-1&amp;"")),0)
+MATCH(TRUE, ISNUMBER(--INDIRECT("数出表_Excel!B" &amp; (MATCH(BG1,数出表_Excel!$A:$A,0)-1) &amp; ":U" &amp; (MATCH(BG1,数出表_Excel!$A:$A,0)-1))), 0)
+MATCH(TRUE, ISNUMBER(--INDIRECT("数出表_Excel!"&amp;BB43&amp; (MATCH(BG1,数出表_Excel!$A:$A,0)-1) &amp; ":U" &amp; (MATCH(BG1,数出表_Excel!$A:$A,0)-1))), 0)
+65) &amp; "3"),"*カレー*"),
COUNTIF(BC43,"*合計*")),"",
IF(IFERROR(INDIRECT("数出表_Excel!" &amp;
CHAR(MATCH(TRUE,
ISNUMBER(--INDIRECT("数出表_Excel!"&amp;BB85&amp;MATCH(BG1,数出表_Excel!$A:$A,0)-1&amp;":U"&amp;MATCH(BG1,数出表_Excel!$A:$A,0)-1&amp;"")),0)
+MATCH(TRUE, ISNUMBER(--INDIRECT("数出表_Excel!B" &amp; (MATCH(BG1,数出表_Excel!$A:$A,0)-1) &amp; ":U" &amp; (MATCH(BG1,数出表_Excel!$A:$A,0)-1))), 0)
+MATCH(TRUE, ISNUMBER(--INDIRECT("数出表_Excel!"&amp;BB43&amp; (MATCH(BG1,数出表_Excel!$A:$A,0)-1) &amp; ":U" &amp; (MATCH(BG1,数出表_Excel!$A:$A,0)-1))), 0)
+65) &amp; "3"),0)=0,"",
IFERROR(INDIRECT("数出表_Excel!" &amp;
CHAR(MATCH(TRUE,
ISNUMBER(--INDIRECT("数出表_Excel!"&amp;BB85&amp;MATCH(BG1,数出表_Excel!$A:$A,0)-1&amp;":U"&amp;MATCH(BG1,数出表_Excel!$A:$A,0)-1&amp;"")),0)
+MATCH(TRUE, ISNUMBER(--INDIRECT("数出表_Excel!B" &amp; (MATCH(BG1,数出表_Excel!$A:$A,0)-1) &amp; ":U" &amp; (MATCH(BG1,数出表_Excel!$A:$A,0)-1))), 0)
+MATCH(TRUE, ISNUMBER(--INDIRECT("数出表_Excel!"&amp;BB43&amp; (MATCH(BG1,数出表_Excel!$A:$A,0)-1) &amp; ":U" &amp; (MATCH(BG1,数出表_Excel!$A:$A,0)-1))), 0)
+65) &amp; "3"),""))),"")</f>
        <v/>
      </c>
      <c r="BD86" s="76"/>
      <c r="BE86" s="82" t="str" cm="1">
        <f t="array" aca="1" ref="BE86" ca="1">IF(BF86&lt;&gt;"","",
IF(COUNTIF(BC85,"*雙葉*"),"",
IF(BC85&lt;&gt;"",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+MATCH(TRUE,INDIRECT("'数出表_Excel'!"&amp;BB85&amp;MATCH(BG1,数出表_Excel!$A:$A,0)-1&amp;":AL"&amp;MATCH(BG1,数出表_Excel!$A:$A,0)-1&amp;"")&lt;&gt;"",0))&gt;9,"",
IFERROR(
INDEX(INDIRECT("数出表_Excel!$"&amp;BB85&amp;"4:$AL4"),
 1,
MATCH(TRUE,INDIRECT("'数出表_Excel'!"&amp;BB85&amp;MATCH(BG1,数出表_Excel!$A:$A,0)-1&amp;":AL"&amp;MATCH(BG1,数出表_Excel!$A:$A,0)-1&amp;"")&lt;&gt;"",0)
),
 "")
&amp;IFERROR(
INDEX(INDIRECT("数出表_Excel!$"&amp;BB85&amp;"5:$AL5"),
 1,
MATCH(TRUE,INDIRECT("'数出表_Excel'!"&amp;BB85&amp;MATCH(BG1,数出表_Excel!$A:$A,0)-1&amp;":AL"&amp;MATCH(BG1,数出表_Excel!$A:$A,0)-1&amp;"")&lt;&gt;"",0)),
 "")),"")))</f>
        <v/>
      </c>
      <c r="BF86" s="83" t="str" cm="1">
        <f t="array" aca="1" ref="BF86" ca="1">IF(BC86&lt;&gt;"",
IF(COUNTIF(BC85,"*雙葉*"),
IF(ROUND(
IF(BF91&lt;&gt;"",(BC88-BF91),BC88)
/IF(COUNTIF(BC86,"*キャラ*"),
VLOOKUP("*キャラ*",商品マスタ一覧!$D:$J,7,FALSE),
IF(COUNTIF(BC86,"*赤*"),
VLOOKUP("*赤*",商品マスタ一覧!$D:$J,7,FALSE),
VLOOKUP(BC86,商品マスタ一覧!$D:$J,7,FALSE))),0)&lt;=0,1,
ROUND(
IF(BF91&lt;&gt;"",(BC88-BF91),BC88)
/IF(COUNTIF(BC86,"*キャラ*"),
VLOOKUP("*キャラ*",商品マスタ一覧!$D:$J,7,FALSE),
IF(COUNTIF(BC86,"*赤*"),
VLOOKUP("*赤*",商品マスタ一覧!$D:$J,7,FALSE),
VLOOKUP(BC86,商品マスタ一覧!$D:$J,7,FALSE))),0)),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IF(BC86&lt;&gt;"",
IF(IF(COUNTIF(BC86,"*キャラ*"),
VLOOKUP("*キャラ*",商品マスタ一覧!$D:$J,7,FALSE),
IF(COUNTIF(BC86,"*赤*"),
VLOOKUP("*赤*",商品マスタ一覧!$D:$J,7,FALSE),
VLOOKUP(BC86,商品マスタ一覧!$D:$J,7,FALSE)))=0,"",
IF(ROUND(
IF(BF91&lt;&gt;"",(BC88-BF91),BC88)
/IF(COUNTIF(BC86,"*キャラ*"),
VLOOKUP("*キャラ*",商品マスタ一覧!$D:$J,7,FALSE),
IF(COUNTIF(BC86,"*赤*"),
VLOOKUP("*赤*",商品マスタ一覧!$D:$J,7,FALSE),
VLOOKUP(BC86,商品マスタ一覧!$D:$J,7,FALSE))),0)&lt;=0,1,
ROUND(
IF(BF91&lt;&gt;"",(BC88-BF91),BC88)
/IF(COUNTIF(BC86,"*キャラ*"),
VLOOKUP("*キャラ*",商品マスタ一覧!$D:$J,7,FALSE),
IF(COUNTIF(BC86,"*赤*"),
VLOOKUP("*赤*",商品マスタ一覧!$D:$J,7,FALSE),
VLOOKUP(BC86,商品マスタ一覧!$D:$J,7,FALSE))),0))),""),"")),"")</f>
        <v/>
      </c>
      <c r="BG86" s="92" t="str">
        <f ca="1">IF(BF86&lt;&gt;"",IF(BC88&lt;&gt;"",IF(VALUE(IF(BF91&lt;&gt;"",BC88-BF91,BC88))&gt;VALUE(IF(COUNTIF('盛付札（関数）'!BC86,"*キャラ*"),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VLOOKUP('盛付札（関数）'!BC86,商品マスタ一覧!$D:$J,7,FALSE)))*BF86),
"+"&amp;IF(BF91&lt;&gt;"",BC88-BF91,BC88)-IF(COUNTIF('盛付札（関数）'!BC86,"*キャラ*"),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VLOOKUP('盛付札（関数）'!BC86,商品マスタ一覧!$D:$J,7,FALSE)))*BF86,
IF(BF91&lt;&gt;"",BC88-BF91,BC88)-IF(COUNTIF('盛付札（関数）'!BC86,"*キャラ*"),
VLOOKUP("*キャラ*",商品マスタ一覧!$D:$J,7,FALSE),
IF(COUNTIF('盛付札（関数）'!BC86,"*赤*"),
VLOOKUP("*赤*",商品マスタ一覧!$D:$J,7,FALSE),
VLOOKUP('盛付札（関数）'!BC86,商品マスタ一覧!$D:$J,7,FALSE)))*BF86),""),"")</f>
        <v/>
      </c>
      <c r="BJ86" s="81" t="e" cm="1">
        <f t="array" aca="1" ref="BJ86" ca="1">IF(BJ3&lt;&gt;100,
IF(BK88&lt;&gt;"",MATCH(BK88,INDIRECT("数出表_Excel!B"&amp;MATCH(BO1,数出表_Excel!$A:$A,0)-1&amp;":U"&amp;MATCH(BO1,数出表_Excel!$A:$A,0)-1&amp;""),0)+1,""),
IF(BK88&lt;&gt;"",
MATCH(
IFERROR(
INDEX(INDIRECT("数出表_Excel!"&amp;BJ85&amp;MATCH(BO1,数出表_Excel!$A:$A,0)-1&amp;":U"&amp;MATCH(BO1,数出表_Excel!$A:$A,0)-1&amp;""),
 1,
 MATCH(TRUE, ISNUMBER(--INDIRECT("数出表_Excel!"&amp;BJ85&amp;MATCH(BO1,数出表_Excel!$A:$A,0)-1&amp;":U"&amp;MATCH(BO1,数出表_Excel!$A:$A,0)-1&amp;"")),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86" s="58" t="str" cm="1">
        <f t="array" aca="1" ref="BK86" ca="1">IFERROR(IF(OR(
COUNTIF(INDIRECT("数出表_Excel!" &amp;
CHAR(MATCH(TRUE,
ISNUMBER(--INDIRECT("数出表_Excel!"&amp;BJ85&amp;MATCH(BO1,数出表_Excel!$A:$A,0)-1&amp;":U"&amp;MATCH(BO1,数出表_Excel!$A:$A,0)-1&amp;"")),0)
+MATCH(TRUE, ISNUMBER(--INDIRECT("数出表_Excel!B" &amp; (MATCH(BO1,数出表_Excel!$A:$A,0)-1) &amp; ":U" &amp; (MATCH(BO1,数出表_Excel!$A:$A,0)-1))), 0)
+MATCH(TRUE, ISNUMBER(--INDIRECT("数出表_Excel!"&amp;BJ43&amp; (MATCH(BO1,数出表_Excel!$A:$A,0)-1) &amp; ":U" &amp; (MATCH(BO1,数出表_Excel!$A:$A,0)-1))), 0)
+65) &amp; "3"),"*配膳*"),
COUNTIF(INDIRECT("数出表_Excel!" &amp;
CHAR(MATCH(TRUE,
ISNUMBER(--INDIRECT("数出表_Excel!"&amp;BJ85&amp;MATCH(BO1,数出表_Excel!$A:$A,0)-1&amp;":U"&amp;MATCH(BO1,数出表_Excel!$A:$A,0)-1&amp;"")),0)
+MATCH(TRUE, ISNUMBER(--INDIRECT("数出表_Excel!B" &amp; (MATCH(BO1,数出表_Excel!$A:$A,0)-1) &amp; ":U" &amp; (MATCH(BO1,数出表_Excel!$A:$A,0)-1))), 0)
+MATCH(TRUE, ISNUMBER(--INDIRECT("数出表_Excel!"&amp;BJ43&amp; (MATCH(BO1,数出表_Excel!$A:$A,0)-1) &amp; ":U" &amp; (MATCH(BO1,数出表_Excel!$A:$A,0)-1))), 0)
+65) &amp; "3"),"*カレー*"),
COUNTIF(BK43,"*合計*")),"",
IF(IFERROR(INDIRECT("数出表_Excel!" &amp;
CHAR(MATCH(TRUE,
ISNUMBER(--INDIRECT("数出表_Excel!"&amp;BJ85&amp;MATCH(BO1,数出表_Excel!$A:$A,0)-1&amp;":U"&amp;MATCH(BO1,数出表_Excel!$A:$A,0)-1&amp;"")),0)
+MATCH(TRUE, ISNUMBER(--INDIRECT("数出表_Excel!B" &amp; (MATCH(BO1,数出表_Excel!$A:$A,0)-1) &amp; ":U" &amp; (MATCH(BO1,数出表_Excel!$A:$A,0)-1))), 0)
+MATCH(TRUE, ISNUMBER(--INDIRECT("数出表_Excel!"&amp;BJ43&amp; (MATCH(BO1,数出表_Excel!$A:$A,0)-1) &amp; ":U" &amp; (MATCH(BO1,数出表_Excel!$A:$A,0)-1))), 0)
+65) &amp; "3"),0)=0,"",
IFERROR(INDIRECT("数出表_Excel!" &amp;
CHAR(MATCH(TRUE,
ISNUMBER(--INDIRECT("数出表_Excel!"&amp;BJ85&amp;MATCH(BO1,数出表_Excel!$A:$A,0)-1&amp;":U"&amp;MATCH(BO1,数出表_Excel!$A:$A,0)-1&amp;"")),0)
+MATCH(TRUE, ISNUMBER(--INDIRECT("数出表_Excel!B" &amp; (MATCH(BO1,数出表_Excel!$A:$A,0)-1) &amp; ":U" &amp; (MATCH(BO1,数出表_Excel!$A:$A,0)-1))), 0)
+MATCH(TRUE, ISNUMBER(--INDIRECT("数出表_Excel!"&amp;BJ43&amp; (MATCH(BO1,数出表_Excel!$A:$A,0)-1) &amp; ":U" &amp; (MATCH(BO1,数出表_Excel!$A:$A,0)-1))), 0)
+65) &amp; "3"),""))),"")</f>
        <v/>
      </c>
      <c r="BL86" s="76"/>
      <c r="BM86" s="82" t="str" cm="1">
        <f t="array" aca="1" ref="BM86" ca="1">IF(BN86&lt;&gt;"","",
IF(COUNTIF(BK85,"*雙葉*"),"",
IF(BK85&lt;&gt;"",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+MATCH(TRUE,INDIRECT("'数出表_Excel'!"&amp;BJ85&amp;MATCH(BO1,数出表_Excel!$A:$A,0)-1&amp;":AL"&amp;MATCH(BO1,数出表_Excel!$A:$A,0)-1&amp;"")&lt;&gt;"",0))&gt;9,"",
IFERROR(
INDEX(INDIRECT("数出表_Excel!$"&amp;BJ85&amp;"4:$AL4"),
 1,
MATCH(TRUE,INDIRECT("'数出表_Excel'!"&amp;BJ85&amp;MATCH(BO1,数出表_Excel!$A:$A,0)-1&amp;":AL"&amp;MATCH(BO1,数出表_Excel!$A:$A,0)-1&amp;"")&lt;&gt;"",0)
),
 "")
&amp;IFERROR(
INDEX(INDIRECT("数出表_Excel!$"&amp;BJ85&amp;"5:$AL5"),
 1,
MATCH(TRUE,INDIRECT("'数出表_Excel'!"&amp;BJ85&amp;MATCH(BO1,数出表_Excel!$A:$A,0)-1&amp;":AL"&amp;MATCH(BO1,数出表_Excel!$A:$A,0)-1&amp;"")&lt;&gt;"",0)),
 "")),"")))</f>
        <v/>
      </c>
      <c r="BN86" s="83" t="str" cm="1">
        <f t="array" aca="1" ref="BN86" ca="1">IF(BK86&lt;&gt;"",
IF(COUNTIF(BK85,"*雙葉*"),
IF(ROUND(
IF(BN91&lt;&gt;"",(BK88-BN91),BK88)
/IF(COUNTIF(BK86,"*キャラ*"),
VLOOKUP("*キャラ*",商品マスタ一覧!$D:$J,7,FALSE),
IF(COUNTIF(BK86,"*赤*"),
VLOOKUP("*赤*",商品マスタ一覧!$D:$J,7,FALSE),
VLOOKUP(BK86,商品マスタ一覧!$D:$J,7,FALSE))),0)&lt;=0,1,
ROUND(
IF(BN91&lt;&gt;"",(BK88-BN91),BK88)
/IF(COUNTIF(BK86,"*キャラ*"),
VLOOKUP("*キャラ*",商品マスタ一覧!$D:$J,7,FALSE),
IF(COUNTIF(BK86,"*赤*"),
VLOOKUP("*赤*",商品マスタ一覧!$D:$J,7,FALSE),
VLOOKUP(BK86,商品マスタ一覧!$D:$J,7,FALSE))),0)),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IF(BK86&lt;&gt;"",
IF(IF(COUNTIF(BK86,"*キャラ*"),
VLOOKUP("*キャラ*",商品マスタ一覧!$D:$J,7,FALSE),
IF(COUNTIF(BK86,"*赤*"),
VLOOKUP("*赤*",商品マスタ一覧!$D:$J,7,FALSE),
VLOOKUP(BK86,商品マスタ一覧!$D:$J,7,FALSE)))=0,"",
IF(ROUND(
IF(BN91&lt;&gt;"",(BK88-BN91),BK88)
/IF(COUNTIF(BK86,"*キャラ*"),
VLOOKUP("*キャラ*",商品マスタ一覧!$D:$J,7,FALSE),
IF(COUNTIF(BK86,"*赤*"),
VLOOKUP("*赤*",商品マスタ一覧!$D:$J,7,FALSE),
VLOOKUP(BK86,商品マスタ一覧!$D:$J,7,FALSE))),0)&lt;=0,1,
ROUND(
IF(BN91&lt;&gt;"",(BK88-BN91),BK88)
/IF(COUNTIF(BK86,"*キャラ*"),
VLOOKUP("*キャラ*",商品マスタ一覧!$D:$J,7,FALSE),
IF(COUNTIF(BK86,"*赤*"),
VLOOKUP("*赤*",商品マスタ一覧!$D:$J,7,FALSE),
VLOOKUP(BK86,商品マスタ一覧!$D:$J,7,FALSE))),0))),""),"")),"")</f>
        <v/>
      </c>
      <c r="BO86" s="92" t="str">
        <f ca="1">IF(BN86&lt;&gt;"",IF(BK88&lt;&gt;"",IF(VALUE(IF(BN91&lt;&gt;"",BK88-BN91,BK88))&gt;VALUE(IF(COUNTIF('盛付札（関数）'!BK86,"*キャラ*"),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VLOOKUP('盛付札（関数）'!BK86,商品マスタ一覧!$D:$J,7,FALSE)))*BN86),
"+"&amp;IF(BN91&lt;&gt;"",BK88-BN91,BK88)-IF(COUNTIF('盛付札（関数）'!BK86,"*キャラ*"),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VLOOKUP('盛付札（関数）'!BK86,商品マスタ一覧!$D:$J,7,FALSE)))*BN86,
IF(BN91&lt;&gt;"",BK88-BN91,BK88)-IF(COUNTIF('盛付札（関数）'!BK86,"*キャラ*"),
VLOOKUP("*キャラ*",商品マスタ一覧!$D:$J,7,FALSE),
IF(COUNTIF('盛付札（関数）'!BK86,"*赤*"),
VLOOKUP("*赤*",商品マスタ一覧!$D:$J,7,FALSE),
VLOOKUP('盛付札（関数）'!BK86,商品マスタ一覧!$D:$J,7,FALSE)))*BN86),""),"")</f>
        <v/>
      </c>
      <c r="BP86" s="76"/>
      <c r="BQ86" s="81" t="e" cm="1">
        <f t="array" aca="1" ref="BQ86" ca="1">IF(BQ3&lt;&gt;100,
IF(BR88&lt;&gt;"",MATCH(BR88,INDIRECT("数出表_Excel!B"&amp;MATCH(BV1,数出表_Excel!$A:$A,0)-1&amp;":U"&amp;MATCH(BV1,数出表_Excel!$A:$A,0)-1&amp;""),0)+1,""),
IF(BR88&lt;&gt;"",
MATCH(
IFERROR(
INDEX(INDIRECT("数出表_Excel!"&amp;BQ85&amp;MATCH(BV1,数出表_Excel!$A:$A,0)-1&amp;":U"&amp;MATCH(BV1,数出表_Excel!$A:$A,0)-1&amp;""),
 1,
 MATCH(TRUE, ISNUMBER(--INDIRECT("数出表_Excel!"&amp;BQ85&amp;MATCH(BV1,数出表_Excel!$A:$A,0)-1&amp;":U"&amp;MATCH(BV1,数出表_Excel!$A:$A,0)-1&amp;"")),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86" s="58" t="str" cm="1">
        <f t="array" aca="1" ref="BR86" ca="1">IFERROR(IF(OR(
COUNTIF(INDIRECT("数出表_Excel!" &amp;
CHAR(MATCH(TRUE,
ISNUMBER(--INDIRECT("数出表_Excel!"&amp;BQ85&amp;MATCH(BV1,数出表_Excel!$A:$A,0)-1&amp;":U"&amp;MATCH(BV1,数出表_Excel!$A:$A,0)-1&amp;"")),0)
+MATCH(TRUE, ISNUMBER(--INDIRECT("数出表_Excel!B" &amp; (MATCH(BV1,数出表_Excel!$A:$A,0)-1) &amp; ":U" &amp; (MATCH(BV1,数出表_Excel!$A:$A,0)-1))), 0)
+MATCH(TRUE, ISNUMBER(--INDIRECT("数出表_Excel!"&amp;BQ43&amp; (MATCH(BV1,数出表_Excel!$A:$A,0)-1) &amp; ":U" &amp; (MATCH(BV1,数出表_Excel!$A:$A,0)-1))), 0)
+65) &amp; "3"),"*配膳*"),
COUNTIF(INDIRECT("数出表_Excel!" &amp;
CHAR(MATCH(TRUE,
ISNUMBER(--INDIRECT("数出表_Excel!"&amp;BQ85&amp;MATCH(BV1,数出表_Excel!$A:$A,0)-1&amp;":U"&amp;MATCH(BV1,数出表_Excel!$A:$A,0)-1&amp;"")),0)
+MATCH(TRUE, ISNUMBER(--INDIRECT("数出表_Excel!B" &amp; (MATCH(BV1,数出表_Excel!$A:$A,0)-1) &amp; ":U" &amp; (MATCH(BV1,数出表_Excel!$A:$A,0)-1))), 0)
+MATCH(TRUE, ISNUMBER(--INDIRECT("数出表_Excel!"&amp;BQ43&amp; (MATCH(BV1,数出表_Excel!$A:$A,0)-1) &amp; ":U" &amp; (MATCH(BV1,数出表_Excel!$A:$A,0)-1))), 0)
+65) &amp; "3"),"*カレー*"),
COUNTIF(BR43,"*合計*")),"",
IF(IFERROR(INDIRECT("数出表_Excel!" &amp;
CHAR(MATCH(TRUE,
ISNUMBER(--INDIRECT("数出表_Excel!"&amp;BQ85&amp;MATCH(BV1,数出表_Excel!$A:$A,0)-1&amp;":U"&amp;MATCH(BV1,数出表_Excel!$A:$A,0)-1&amp;"")),0)
+MATCH(TRUE, ISNUMBER(--INDIRECT("数出表_Excel!B" &amp; (MATCH(BV1,数出表_Excel!$A:$A,0)-1) &amp; ":U" &amp; (MATCH(BV1,数出表_Excel!$A:$A,0)-1))), 0)
+MATCH(TRUE, ISNUMBER(--INDIRECT("数出表_Excel!"&amp;BQ43&amp; (MATCH(BV1,数出表_Excel!$A:$A,0)-1) &amp; ":U" &amp; (MATCH(BV1,数出表_Excel!$A:$A,0)-1))), 0)
+65) &amp; "3"),0)=0,"",
IFERROR(INDIRECT("数出表_Excel!" &amp;
CHAR(MATCH(TRUE,
ISNUMBER(--INDIRECT("数出表_Excel!"&amp;BQ85&amp;MATCH(BV1,数出表_Excel!$A:$A,0)-1&amp;":U"&amp;MATCH(BV1,数出表_Excel!$A:$A,0)-1&amp;"")),0)
+MATCH(TRUE, ISNUMBER(--INDIRECT("数出表_Excel!B" &amp; (MATCH(BV1,数出表_Excel!$A:$A,0)-1) &amp; ":U" &amp; (MATCH(BV1,数出表_Excel!$A:$A,0)-1))), 0)
+MATCH(TRUE, ISNUMBER(--INDIRECT("数出表_Excel!"&amp;BQ43&amp; (MATCH(BV1,数出表_Excel!$A:$A,0)-1) &amp; ":U" &amp; (MATCH(BV1,数出表_Excel!$A:$A,0)-1))), 0)
+65) &amp; "3"),""))),"")</f>
        <v/>
      </c>
      <c r="BS86" s="76"/>
      <c r="BT86" s="82" t="str" cm="1">
        <f t="array" aca="1" ref="BT86" ca="1">IF(BU86&lt;&gt;"","",
IF(COUNTIF(BR85,"*雙葉*"),"",
IF(BR85&lt;&gt;"",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+MATCH(TRUE,INDIRECT("'数出表_Excel'!"&amp;BQ85&amp;MATCH(BV1,数出表_Excel!$A:$A,0)-1&amp;":AL"&amp;MATCH(BV1,数出表_Excel!$A:$A,0)-1&amp;"")&lt;&gt;"",0))&gt;9,"",
IFERROR(
INDEX(INDIRECT("数出表_Excel!$"&amp;BQ85&amp;"4:$AL4"),
 1,
MATCH(TRUE,INDIRECT("'数出表_Excel'!"&amp;BQ85&amp;MATCH(BV1,数出表_Excel!$A:$A,0)-1&amp;":AL"&amp;MATCH(BV1,数出表_Excel!$A:$A,0)-1&amp;"")&lt;&gt;"",0)
),
 "")
&amp;IFERROR(
INDEX(INDIRECT("数出表_Excel!$"&amp;BQ85&amp;"5:$AL5"),
 1,
MATCH(TRUE,INDIRECT("'数出表_Excel'!"&amp;BQ85&amp;MATCH(BV1,数出表_Excel!$A:$A,0)-1&amp;":AL"&amp;MATCH(BV1,数出表_Excel!$A:$A,0)-1&amp;"")&lt;&gt;"",0)),
 "")),"")))</f>
        <v/>
      </c>
      <c r="BU86" s="83" t="str" cm="1">
        <f t="array" aca="1" ref="BU86" ca="1">IF(BR86&lt;&gt;"",
IF(COUNTIF(BR85,"*雙葉*"),
IF(ROUND(
IF(BU91&lt;&gt;"",(BR88-BU91),BR88)
/IF(COUNTIF(BR86,"*キャラ*"),
VLOOKUP("*キャラ*",商品マスタ一覧!$D:$J,7,FALSE),
IF(COUNTIF(BR86,"*赤*"),
VLOOKUP("*赤*",商品マスタ一覧!$D:$J,7,FALSE),
VLOOKUP(BR86,商品マスタ一覧!$D:$J,7,FALSE))),0)&lt;=0,1,
ROUND(
IF(BU91&lt;&gt;"",(BR88-BU91),BR88)
/IF(COUNTIF(BR86,"*キャラ*"),
VLOOKUP("*キャラ*",商品マスタ一覧!$D:$J,7,FALSE),
IF(COUNTIF(BR86,"*赤*"),
VLOOKUP("*赤*",商品マスタ一覧!$D:$J,7,FALSE),
VLOOKUP(BR86,商品マスタ一覧!$D:$J,7,FALSE))),0)),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IF(BR86&lt;&gt;"",
IF(IF(COUNTIF(BR86,"*キャラ*"),
VLOOKUP("*キャラ*",商品マスタ一覧!$D:$J,7,FALSE),
IF(COUNTIF(BR86,"*赤*"),
VLOOKUP("*赤*",商品マスタ一覧!$D:$J,7,FALSE),
VLOOKUP(BR86,商品マスタ一覧!$D:$J,7,FALSE)))=0,"",
IF(ROUND(
IF(BU91&lt;&gt;"",(BR88-BU91),BR88)
/IF(COUNTIF(BR86,"*キャラ*"),
VLOOKUP("*キャラ*",商品マスタ一覧!$D:$J,7,FALSE),
IF(COUNTIF(BR86,"*赤*"),
VLOOKUP("*赤*",商品マスタ一覧!$D:$J,7,FALSE),
VLOOKUP(BR86,商品マスタ一覧!$D:$J,7,FALSE))),0)&lt;=0,1,
ROUND(
IF(BU91&lt;&gt;"",(BR88-BU91),BR88)
/IF(COUNTIF(BR86,"*キャラ*"),
VLOOKUP("*キャラ*",商品マスタ一覧!$D:$J,7,FALSE),
IF(COUNTIF(BR86,"*赤*"),
VLOOKUP("*赤*",商品マスタ一覧!$D:$J,7,FALSE),
VLOOKUP(BR86,商品マスタ一覧!$D:$J,7,FALSE))),0))),""),"")),"")</f>
        <v/>
      </c>
      <c r="BV86" s="92" t="str">
        <f ca="1">IF(BU86&lt;&gt;"",IF(BR88&lt;&gt;"",IF(VALUE(IF(BU91&lt;&gt;"",BR88-BU91,BR88))&gt;VALUE(IF(COUNTIF('盛付札（関数）'!BR86,"*キャラ*"),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VLOOKUP('盛付札（関数）'!BR86,商品マスタ一覧!$D:$J,7,FALSE)))*BU86),
"+"&amp;IF(BU91&lt;&gt;"",BR88-BU91,BR88)-IF(COUNTIF('盛付札（関数）'!BR86,"*キャラ*"),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VLOOKUP('盛付札（関数）'!BR86,商品マスタ一覧!$D:$J,7,FALSE)))*BU86,
IF(BU91&lt;&gt;"",BR88-BU91,BR88)-IF(COUNTIF('盛付札（関数）'!BR86,"*キャラ*"),
VLOOKUP("*キャラ*",商品マスタ一覧!$D:$J,7,FALSE),
IF(COUNTIF('盛付札（関数）'!BR86,"*赤*"),
VLOOKUP("*赤*",商品マスタ一覧!$D:$J,7,FALSE),
VLOOKUP('盛付札（関数）'!BR86,商品マスタ一覧!$D:$J,7,FALSE)))*BU86),""),"")</f>
        <v/>
      </c>
      <c r="BY86" s="81" t="e" cm="1">
        <f t="array" aca="1" ref="BY86" ca="1">IF(BY3&lt;&gt;100,
IF(BZ88&lt;&gt;"",MATCH(BZ88,INDIRECT("数出表_Excel!B"&amp;MATCH(CD1,数出表_Excel!$A:$A,0)-1&amp;":U"&amp;MATCH(CD1,数出表_Excel!$A:$A,0)-1&amp;""),0)+1,""),
IF(BZ88&lt;&gt;"",
MATCH(
IFERROR(
INDEX(INDIRECT("数出表_Excel!"&amp;BY85&amp;MATCH(CD1,数出表_Excel!$A:$A,0)-1&amp;":U"&amp;MATCH(CD1,数出表_Excel!$A:$A,0)-1&amp;""),
 1,
 MATCH(TRUE, ISNUMBER(--INDIRECT("数出表_Excel!"&amp;BY85&amp;MATCH(CD1,数出表_Excel!$A:$A,0)-1&amp;":U"&amp;MATCH(CD1,数出表_Excel!$A:$A,0)-1&amp;"")),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86" s="58" t="str" cm="1">
        <f t="array" aca="1" ref="BZ86" ca="1">IFERROR(IF(OR(
COUNTIF(INDIRECT("数出表_Excel!" &amp;
CHAR(MATCH(TRUE,
ISNUMBER(--INDIRECT("数出表_Excel!"&amp;BY85&amp;MATCH(CD1,数出表_Excel!$A:$A,0)-1&amp;":U"&amp;MATCH(CD1,数出表_Excel!$A:$A,0)-1&amp;"")),0)
+MATCH(TRUE, ISNUMBER(--INDIRECT("数出表_Excel!B" &amp; (MATCH(CD1,数出表_Excel!$A:$A,0)-1) &amp; ":U" &amp; (MATCH(CD1,数出表_Excel!$A:$A,0)-1))), 0)
+MATCH(TRUE, ISNUMBER(--INDIRECT("数出表_Excel!"&amp;BY43&amp; (MATCH(CD1,数出表_Excel!$A:$A,0)-1) &amp; ":U" &amp; (MATCH(CD1,数出表_Excel!$A:$A,0)-1))), 0)
+65) &amp; "3"),"*配膳*"),
COUNTIF(INDIRECT("数出表_Excel!" &amp;
CHAR(MATCH(TRUE,
ISNUMBER(--INDIRECT("数出表_Excel!"&amp;BY85&amp;MATCH(CD1,数出表_Excel!$A:$A,0)-1&amp;":U"&amp;MATCH(CD1,数出表_Excel!$A:$A,0)-1&amp;"")),0)
+MATCH(TRUE, ISNUMBER(--INDIRECT("数出表_Excel!B" &amp; (MATCH(CD1,数出表_Excel!$A:$A,0)-1) &amp; ":U" &amp; (MATCH(CD1,数出表_Excel!$A:$A,0)-1))), 0)
+MATCH(TRUE, ISNUMBER(--INDIRECT("数出表_Excel!"&amp;BY43&amp; (MATCH(CD1,数出表_Excel!$A:$A,0)-1) &amp; ":U" &amp; (MATCH(CD1,数出表_Excel!$A:$A,0)-1))), 0)
+65) &amp; "3"),"*カレー*"),
COUNTIF(BZ43,"*合計*")),"",
IF(IFERROR(INDIRECT("数出表_Excel!" &amp;
CHAR(MATCH(TRUE,
ISNUMBER(--INDIRECT("数出表_Excel!"&amp;BY85&amp;MATCH(CD1,数出表_Excel!$A:$A,0)-1&amp;":U"&amp;MATCH(CD1,数出表_Excel!$A:$A,0)-1&amp;"")),0)
+MATCH(TRUE, ISNUMBER(--INDIRECT("数出表_Excel!B" &amp; (MATCH(CD1,数出表_Excel!$A:$A,0)-1) &amp; ":U" &amp; (MATCH(CD1,数出表_Excel!$A:$A,0)-1))), 0)
+MATCH(TRUE, ISNUMBER(--INDIRECT("数出表_Excel!"&amp;BY43&amp; (MATCH(CD1,数出表_Excel!$A:$A,0)-1) &amp; ":U" &amp; (MATCH(CD1,数出表_Excel!$A:$A,0)-1))), 0)
+65) &amp; "3"),0)=0,"",
IFERROR(INDIRECT("数出表_Excel!" &amp;
CHAR(MATCH(TRUE,
ISNUMBER(--INDIRECT("数出表_Excel!"&amp;BY85&amp;MATCH(CD1,数出表_Excel!$A:$A,0)-1&amp;":U"&amp;MATCH(CD1,数出表_Excel!$A:$A,0)-1&amp;"")),0)
+MATCH(TRUE, ISNUMBER(--INDIRECT("数出表_Excel!B" &amp; (MATCH(CD1,数出表_Excel!$A:$A,0)-1) &amp; ":U" &amp; (MATCH(CD1,数出表_Excel!$A:$A,0)-1))), 0)
+MATCH(TRUE, ISNUMBER(--INDIRECT("数出表_Excel!"&amp;BY43&amp; (MATCH(CD1,数出表_Excel!$A:$A,0)-1) &amp; ":U" &amp; (MATCH(CD1,数出表_Excel!$A:$A,0)-1))), 0)
+65) &amp; "3"),""))),"")</f>
        <v/>
      </c>
      <c r="CA86" s="76"/>
      <c r="CB86" s="82" t="str" cm="1">
        <f t="array" aca="1" ref="CB86" ca="1">IF(CC86&lt;&gt;"","",
IF(COUNTIF(BZ85,"*雙葉*"),"",
IF(BZ85&lt;&gt;"",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+MATCH(TRUE,INDIRECT("'数出表_Excel'!"&amp;BY85&amp;MATCH(CD1,数出表_Excel!$A:$A,0)-1&amp;":AL"&amp;MATCH(CD1,数出表_Excel!$A:$A,0)-1&amp;"")&lt;&gt;"",0))&gt;9,"",
IFERROR(
INDEX(INDIRECT("数出表_Excel!$"&amp;BY85&amp;"4:$AL4"),
 1,
MATCH(TRUE,INDIRECT("'数出表_Excel'!"&amp;BY85&amp;MATCH(CD1,数出表_Excel!$A:$A,0)-1&amp;":AL"&amp;MATCH(CD1,数出表_Excel!$A:$A,0)-1&amp;"")&lt;&gt;"",0)
),
 "")
&amp;IFERROR(
INDEX(INDIRECT("数出表_Excel!$"&amp;BY85&amp;"5:$AL5"),
 1,
MATCH(TRUE,INDIRECT("'数出表_Excel'!"&amp;BY85&amp;MATCH(CD1,数出表_Excel!$A:$A,0)-1&amp;":AL"&amp;MATCH(CD1,数出表_Excel!$A:$A,0)-1&amp;"")&lt;&gt;"",0)),
 "")),"")))</f>
        <v/>
      </c>
      <c r="CC86" s="83" t="str" cm="1">
        <f t="array" aca="1" ref="CC86" ca="1">IF(BZ86&lt;&gt;"",
IF(COUNTIF(BZ85,"*雙葉*"),
IF(ROUND(
IF(CC91&lt;&gt;"",(BZ88-CC91),BZ88)
/IF(COUNTIF(BZ86,"*キャラ*"),
VLOOKUP("*キャラ*",商品マスタ一覧!$D:$J,7,FALSE),
IF(COUNTIF(BZ86,"*赤*"),
VLOOKUP("*赤*",商品マスタ一覧!$D:$J,7,FALSE),
VLOOKUP(BZ86,商品マスタ一覧!$D:$J,7,FALSE))),0)&lt;=0,1,
ROUND(
IF(CC91&lt;&gt;"",(BZ88-CC91),BZ88)
/IF(COUNTIF(BZ86,"*キャラ*"),
VLOOKUP("*キャラ*",商品マスタ一覧!$D:$J,7,FALSE),
IF(COUNTIF(BZ86,"*赤*"),
VLOOKUP("*赤*",商品マスタ一覧!$D:$J,7,FALSE),
VLOOKUP(BZ86,商品マスタ一覧!$D:$J,7,FALSE))),0)),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IF(BZ86&lt;&gt;"",
IF(IF(COUNTIF(BZ86,"*キャラ*"),
VLOOKUP("*キャラ*",商品マスタ一覧!$D:$J,7,FALSE),
IF(COUNTIF(BZ86,"*赤*"),
VLOOKUP("*赤*",商品マスタ一覧!$D:$J,7,FALSE),
VLOOKUP(BZ86,商品マスタ一覧!$D:$J,7,FALSE)))=0,"",
IF(ROUND(
IF(CC91&lt;&gt;"",(BZ88-CC91),BZ88)
/IF(COUNTIF(BZ86,"*キャラ*"),
VLOOKUP("*キャラ*",商品マスタ一覧!$D:$J,7,FALSE),
IF(COUNTIF(BZ86,"*赤*"),
VLOOKUP("*赤*",商品マスタ一覧!$D:$J,7,FALSE),
VLOOKUP(BZ86,商品マスタ一覧!$D:$J,7,FALSE))),0)&lt;=0,1,
ROUND(
IF(CC91&lt;&gt;"",(BZ88-CC91),BZ88)
/IF(COUNTIF(BZ86,"*キャラ*"),
VLOOKUP("*キャラ*",商品マスタ一覧!$D:$J,7,FALSE),
IF(COUNTIF(BZ86,"*赤*"),
VLOOKUP("*赤*",商品マスタ一覧!$D:$J,7,FALSE),
VLOOKUP(BZ86,商品マスタ一覧!$D:$J,7,FALSE))),0))),""),"")),"")</f>
        <v/>
      </c>
      <c r="CD86" s="92" t="str">
        <f ca="1">IF(CC86&lt;&gt;"",IF(BZ88&lt;&gt;"",IF(VALUE(IF(CC91&lt;&gt;"",BZ88-CC91,BZ88))&gt;VALUE(IF(COUNTIF('盛付札（関数）'!BZ86,"*キャラ*"),
VLOOKUP("*キャラ*",商品マスタ一覧!$D:$J,7,FALSE),
IF(COUNTIF('盛付札（関数）'!BZ86,"*赤*"),
VLOOKUP("*赤*",商品マスタ一覧!$D:$J,7,FALSE),
VLOOKUP('盛付札（関数）'!BZ86,商品マスタ一覧!$D:$J,7,FALSE)))*CC86),
"+"&amp;IF(CC91&lt;&gt;"",BZ88-CC91,BZ88)-IF(COUNTIF('盛付札（関数）'!BZ86,"*キャラ*"),
VLOOKUP("*キャラ*",商品マスタ一覧!$D:$J,7,FALSE),
IF(COUNTIF('盛付札（関数）'!BZ86,"*赤*"),
VLOOKUP("*赤*",商品マスタ一覧!$D:$J,7,FALSE),
VLOOKUP('盛付札（関数）'!BZ86,商品マスタ一覧!$D:$J,7,FALSE)))*CC86,
IF(CC91&lt;&gt;"",BZ88-CC91,BZ88)-IF(COUNTIF('盛付札（関数）'!BZ86,"*キャラ*"),
VLOOKUP("*キャラ*",商品マスタ一覧!$D:$J,7,FALSE),
IF(COUNTIF('盛付札（関数）'!BZ86,"*赤*"),
VLOOKUP("*赤*",商品マスタ一覧!$D:$J,7,FALSE),
VLOOKUP('盛付札（関数）'!BZ86,商品マスタ一覧!$D:$J,7,FALSE)))*CC86),""),"")</f>
        <v/>
      </c>
      <c r="CE86" s="76"/>
      <c r="CF86" s="81" t="e" cm="1">
        <f t="array" aca="1" ref="CF86" ca="1">IF(CF3&lt;&gt;100,
IF(CG88&lt;&gt;"",MATCH(CG88,INDIRECT("数出表_Excel!B"&amp;MATCH(CK1,数出表_Excel!$A:$A,0)-1&amp;":U"&amp;MATCH(CK1,数出表_Excel!$A:$A,0)-1&amp;""),0)+1,""),
IF(CG88&lt;&gt;"",
MATCH(
IFERROR(
INDEX(INDIRECT("数出表_Excel!"&amp;CF85&amp;MATCH(CK1,数出表_Excel!$A:$A,0)-1&amp;":U"&amp;MATCH(CK1,数出表_Excel!$A:$A,0)-1&amp;""),
 1,
 MATCH(TRUE, ISNUMBER(--INDIRECT("数出表_Excel!"&amp;CF85&amp;MATCH(CK1,数出表_Excel!$A:$A,0)-1&amp;":U"&amp;MATCH(CK1,数出表_Excel!$A:$A,0)-1&amp;"")),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86" s="58" t="str" cm="1">
        <f t="array" aca="1" ref="CG86" ca="1">IFERROR(IF(OR(
COUNTIF(INDIRECT("数出表_Excel!" &amp;
CHAR(MATCH(TRUE,
ISNUMBER(--INDIRECT("数出表_Excel!"&amp;CF85&amp;MATCH(CK1,数出表_Excel!$A:$A,0)-1&amp;":U"&amp;MATCH(CK1,数出表_Excel!$A:$A,0)-1&amp;"")),0)
+MATCH(TRUE, ISNUMBER(--INDIRECT("数出表_Excel!B" &amp; (MATCH(CK1,数出表_Excel!$A:$A,0)-1) &amp; ":U" &amp; (MATCH(CK1,数出表_Excel!$A:$A,0)-1))), 0)
+MATCH(TRUE, ISNUMBER(--INDIRECT("数出表_Excel!"&amp;CF43&amp; (MATCH(CK1,数出表_Excel!$A:$A,0)-1) &amp; ":U" &amp; (MATCH(CK1,数出表_Excel!$A:$A,0)-1))), 0)
+65) &amp; "3"),"*配膳*"),
COUNTIF(INDIRECT("数出表_Excel!" &amp;
CHAR(MATCH(TRUE,
ISNUMBER(--INDIRECT("数出表_Excel!"&amp;CF85&amp;MATCH(CK1,数出表_Excel!$A:$A,0)-1&amp;":U"&amp;MATCH(CK1,数出表_Excel!$A:$A,0)-1&amp;"")),0)
+MATCH(TRUE, ISNUMBER(--INDIRECT("数出表_Excel!B" &amp; (MATCH(CK1,数出表_Excel!$A:$A,0)-1) &amp; ":U" &amp; (MATCH(CK1,数出表_Excel!$A:$A,0)-1))), 0)
+MATCH(TRUE, ISNUMBER(--INDIRECT("数出表_Excel!"&amp;CF43&amp; (MATCH(CK1,数出表_Excel!$A:$A,0)-1) &amp; ":U" &amp; (MATCH(CK1,数出表_Excel!$A:$A,0)-1))), 0)
+65) &amp; "3"),"*カレー*"),
COUNTIF(CG43,"*合計*")),"",
IF(IFERROR(INDIRECT("数出表_Excel!" &amp;
CHAR(MATCH(TRUE,
ISNUMBER(--INDIRECT("数出表_Excel!"&amp;CF85&amp;MATCH(CK1,数出表_Excel!$A:$A,0)-1&amp;":U"&amp;MATCH(CK1,数出表_Excel!$A:$A,0)-1&amp;"")),0)
+MATCH(TRUE, ISNUMBER(--INDIRECT("数出表_Excel!B" &amp; (MATCH(CK1,数出表_Excel!$A:$A,0)-1) &amp; ":U" &amp; (MATCH(CK1,数出表_Excel!$A:$A,0)-1))), 0)
+MATCH(TRUE, ISNUMBER(--INDIRECT("数出表_Excel!"&amp;CF43&amp; (MATCH(CK1,数出表_Excel!$A:$A,0)-1) &amp; ":U" &amp; (MATCH(CK1,数出表_Excel!$A:$A,0)-1))), 0)
+65) &amp; "3"),0)=0,"",
IFERROR(INDIRECT("数出表_Excel!" &amp;
CHAR(MATCH(TRUE,
ISNUMBER(--INDIRECT("数出表_Excel!"&amp;CF85&amp;MATCH(CK1,数出表_Excel!$A:$A,0)-1&amp;":U"&amp;MATCH(CK1,数出表_Excel!$A:$A,0)-1&amp;"")),0)
+MATCH(TRUE, ISNUMBER(--INDIRECT("数出表_Excel!B" &amp; (MATCH(CK1,数出表_Excel!$A:$A,0)-1) &amp; ":U" &amp; (MATCH(CK1,数出表_Excel!$A:$A,0)-1))), 0)
+MATCH(TRUE, ISNUMBER(--INDIRECT("数出表_Excel!"&amp;CF43&amp; (MATCH(CK1,数出表_Excel!$A:$A,0)-1) &amp; ":U" &amp; (MATCH(CK1,数出表_Excel!$A:$A,0)-1))), 0)
+65) &amp; "3"),""))),"")</f>
        <v/>
      </c>
      <c r="CH86" s="76"/>
      <c r="CI86" s="82" t="str" cm="1">
        <f t="array" aca="1" ref="CI86" ca="1">IF(CJ86&lt;&gt;"","",
IF(COUNTIF(CG85,"*雙葉*"),"",
IF(CG85&lt;&gt;"",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+MATCH(TRUE,INDIRECT("'数出表_Excel'!"&amp;CF85&amp;MATCH(CK1,数出表_Excel!$A:$A,0)-1&amp;":AL"&amp;MATCH(CK1,数出表_Excel!$A:$A,0)-1&amp;"")&lt;&gt;"",0))&gt;9,"",
IFERROR(
INDEX(INDIRECT("数出表_Excel!$"&amp;CF85&amp;"4:$AL4"),
 1,
MATCH(TRUE,INDIRECT("'数出表_Excel'!"&amp;CF85&amp;MATCH(CK1,数出表_Excel!$A:$A,0)-1&amp;":AL"&amp;MATCH(CK1,数出表_Excel!$A:$A,0)-1&amp;"")&lt;&gt;"",0)
),
 "")
&amp;IFERROR(
INDEX(INDIRECT("数出表_Excel!$"&amp;CF85&amp;"5:$AL5"),
 1,
MATCH(TRUE,INDIRECT("'数出表_Excel'!"&amp;CF85&amp;MATCH(CK1,数出表_Excel!$A:$A,0)-1&amp;":AL"&amp;MATCH(CK1,数出表_Excel!$A:$A,0)-1&amp;"")&lt;&gt;"",0)),
 "")),"")))</f>
        <v/>
      </c>
      <c r="CJ86" s="83" t="str" cm="1">
        <f t="array" aca="1" ref="CJ86" ca="1">IF(CG86&lt;&gt;"",
IF(COUNTIF(CG85,"*雙葉*"),
IF(ROUND(
IF(CJ91&lt;&gt;"",(CG88-CJ91),CG88)
/IF(COUNTIF(CG86,"*キャラ*"),
VLOOKUP("*キャラ*",商品マスタ一覧!$D:$J,7,FALSE),
IF(COUNTIF(CG86,"*赤*"),
VLOOKUP("*赤*",商品マスタ一覧!$D:$J,7,FALSE),
VLOOKUP(CG86,商品マスタ一覧!$D:$J,7,FALSE))),0)&lt;=0,1,
ROUND(
IF(CJ91&lt;&gt;"",(CG88-CJ91),CG88)
/IF(COUNTIF(CG86,"*キャラ*"),
VLOOKUP("*キャラ*",商品マスタ一覧!$D:$J,7,FALSE),
IF(COUNTIF(CG86,"*赤*"),
VLOOKUP("*赤*",商品マスタ一覧!$D:$J,7,FALSE),
VLOOKUP(CG86,商品マスタ一覧!$D:$J,7,FALSE))),0)),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IF(CG86&lt;&gt;"",
IF(IF(COUNTIF(CG86,"*キャラ*"),
VLOOKUP("*キャラ*",商品マスタ一覧!$D:$J,7,FALSE),
IF(COUNTIF(CG86,"*赤*"),
VLOOKUP("*赤*",商品マスタ一覧!$D:$J,7,FALSE),
VLOOKUP(CG86,商品マスタ一覧!$D:$J,7,FALSE)))=0,"",
IF(ROUND(
IF(CJ91&lt;&gt;"",(CG88-CJ91),CG88)
/IF(COUNTIF(CG86,"*キャラ*"),
VLOOKUP("*キャラ*",商品マスタ一覧!$D:$J,7,FALSE),
IF(COUNTIF(CG86,"*赤*"),
VLOOKUP("*赤*",商品マスタ一覧!$D:$J,7,FALSE),
VLOOKUP(CG86,商品マスタ一覧!$D:$J,7,FALSE))),0)&lt;=0,1,
ROUND(
IF(CJ91&lt;&gt;"",(CG88-CJ91),CG88)
/IF(COUNTIF(CG86,"*キャラ*"),
VLOOKUP("*キャラ*",商品マスタ一覧!$D:$J,7,FALSE),
IF(COUNTIF(CG86,"*赤*"),
VLOOKUP("*赤*",商品マスタ一覧!$D:$J,7,FALSE),
VLOOKUP(CG86,商品マスタ一覧!$D:$J,7,FALSE))),0))),""),"")),"")</f>
        <v/>
      </c>
      <c r="CK86" s="92" t="str">
        <f ca="1">IF(CJ86&lt;&gt;"",IF(CG88&lt;&gt;"",IF(VALUE(IF(CJ91&lt;&gt;"",CG88-CJ91,CG88))&gt;VALUE(IF(COUNTIF('盛付札（関数）'!CG86,"*キャラ*"),
VLOOKUP("*キャラ*",商品マスタ一覧!$D:$J,7,FALSE),
IF(COUNTIF('盛付札（関数）'!CG86,"*赤*"),
VLOOKUP("*赤*",商品マスタ一覧!$D:$J,7,FALSE),
VLOOKUP('盛付札（関数）'!CG86,商品マスタ一覧!$D:$J,7,FALSE)))*CJ86),
"+"&amp;IF(CJ91&lt;&gt;"",CG88-CJ91,CG88)-IF(COUNTIF('盛付札（関数）'!CG86,"*キャラ*"),
VLOOKUP("*キャラ*",商品マスタ一覧!$D:$J,7,FALSE),
IF(COUNTIF('盛付札（関数）'!CG86,"*赤*"),
VLOOKUP("*赤*",商品マスタ一覧!$D:$J,7,FALSE),
VLOOKUP('盛付札（関数）'!CG86,商品マスタ一覧!$D:$J,7,FALSE)))*CJ86,
IF(CJ91&lt;&gt;"",CG88-CJ91,CG88)-IF(COUNTIF('盛付札（関数）'!CG86,"*キャラ*"),
VLOOKUP("*キャラ*",商品マスタ一覧!$D:$J,7,FALSE),
IF(COUNTIF('盛付札（関数）'!CG86,"*赤*"),
VLOOKUP("*赤*",商品マスタ一覧!$D:$J,7,FALSE),
VLOOKUP('盛付札（関数）'!CG86,商品マスタ一覧!$D:$J,7,FALSE)))*CJ86),""),"")</f>
        <v/>
      </c>
      <c r="CN86" s="81" t="e" cm="1">
        <f t="array" aca="1" ref="CN86" ca="1">IF(CN3&lt;&gt;100,
IF(CO88&lt;&gt;"",MATCH(CO88,INDIRECT("数出表_Excel!B"&amp;MATCH(CS1,数出表_Excel!$A:$A,0)-1&amp;":U"&amp;MATCH(CS1,数出表_Excel!$A:$A,0)-1&amp;""),0)+1,""),
IF(CO88&lt;&gt;"",
MATCH(
IFERROR(
INDEX(INDIRECT("数出表_Excel!"&amp;CN85&amp;MATCH(CS1,数出表_Excel!$A:$A,0)-1&amp;":U"&amp;MATCH(CS1,数出表_Excel!$A:$A,0)-1&amp;""),
 1,
 MATCH(TRUE, ISNUMBER(--INDIRECT("数出表_Excel!"&amp;CN85&amp;MATCH(CS1,数出表_Excel!$A:$A,0)-1&amp;":U"&amp;MATCH(CS1,数出表_Excel!$A:$A,0)-1&amp;"")),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86" s="58" t="str" cm="1">
        <f t="array" aca="1" ref="CO86" ca="1">IFERROR(IF(OR(
COUNTIF(INDIRECT("数出表_Excel!" &amp;
CHAR(MATCH(TRUE,
ISNUMBER(--INDIRECT("数出表_Excel!"&amp;CN85&amp;MATCH(CS1,数出表_Excel!$A:$A,0)-1&amp;":U"&amp;MATCH(CS1,数出表_Excel!$A:$A,0)-1&amp;"")),0)
+MATCH(TRUE, ISNUMBER(--INDIRECT("数出表_Excel!B" &amp; (MATCH(CS1,数出表_Excel!$A:$A,0)-1) &amp; ":U" &amp; (MATCH(CS1,数出表_Excel!$A:$A,0)-1))), 0)
+MATCH(TRUE, ISNUMBER(--INDIRECT("数出表_Excel!"&amp;CN43&amp; (MATCH(CS1,数出表_Excel!$A:$A,0)-1) &amp; ":U" &amp; (MATCH(CS1,数出表_Excel!$A:$A,0)-1))), 0)
+65) &amp; "3"),"*配膳*"),
COUNTIF(INDIRECT("数出表_Excel!" &amp;
CHAR(MATCH(TRUE,
ISNUMBER(--INDIRECT("数出表_Excel!"&amp;CN85&amp;MATCH(CS1,数出表_Excel!$A:$A,0)-1&amp;":U"&amp;MATCH(CS1,数出表_Excel!$A:$A,0)-1&amp;"")),0)
+MATCH(TRUE, ISNUMBER(--INDIRECT("数出表_Excel!B" &amp; (MATCH(CS1,数出表_Excel!$A:$A,0)-1) &amp; ":U" &amp; (MATCH(CS1,数出表_Excel!$A:$A,0)-1))), 0)
+MATCH(TRUE, ISNUMBER(--INDIRECT("数出表_Excel!"&amp;CN43&amp; (MATCH(CS1,数出表_Excel!$A:$A,0)-1) &amp; ":U" &amp; (MATCH(CS1,数出表_Excel!$A:$A,0)-1))), 0)
+65) &amp; "3"),"*カレー*"),
COUNTIF(CO43,"*合計*")),"",
IF(IFERROR(INDIRECT("数出表_Excel!" &amp;
CHAR(MATCH(TRUE,
ISNUMBER(--INDIRECT("数出表_Excel!"&amp;CN85&amp;MATCH(CS1,数出表_Excel!$A:$A,0)-1&amp;":U"&amp;MATCH(CS1,数出表_Excel!$A:$A,0)-1&amp;"")),0)
+MATCH(TRUE, ISNUMBER(--INDIRECT("数出表_Excel!B" &amp; (MATCH(CS1,数出表_Excel!$A:$A,0)-1) &amp; ":U" &amp; (MATCH(CS1,数出表_Excel!$A:$A,0)-1))), 0)
+MATCH(TRUE, ISNUMBER(--INDIRECT("数出表_Excel!"&amp;CN43&amp; (MATCH(CS1,数出表_Excel!$A:$A,0)-1) &amp; ":U" &amp; (MATCH(CS1,数出表_Excel!$A:$A,0)-1))), 0)
+65) &amp; "3"),0)=0,"",
IFERROR(INDIRECT("数出表_Excel!" &amp;
CHAR(MATCH(TRUE,
ISNUMBER(--INDIRECT("数出表_Excel!"&amp;CN85&amp;MATCH(CS1,数出表_Excel!$A:$A,0)-1&amp;":U"&amp;MATCH(CS1,数出表_Excel!$A:$A,0)-1&amp;"")),0)
+MATCH(TRUE, ISNUMBER(--INDIRECT("数出表_Excel!B" &amp; (MATCH(CS1,数出表_Excel!$A:$A,0)-1) &amp; ":U" &amp; (MATCH(CS1,数出表_Excel!$A:$A,0)-1))), 0)
+MATCH(TRUE, ISNUMBER(--INDIRECT("数出表_Excel!"&amp;CN43&amp; (MATCH(CS1,数出表_Excel!$A:$A,0)-1) &amp; ":U" &amp; (MATCH(CS1,数出表_Excel!$A:$A,0)-1))), 0)
+65) &amp; "3"),""))),"")</f>
        <v/>
      </c>
      <c r="CP86" s="76"/>
      <c r="CQ86" s="82" t="str" cm="1">
        <f t="array" aca="1" ref="CQ86" ca="1">IF(CR86&lt;&gt;"","",
IF(COUNTIF(CO85,"*雙葉*"),"",
IF(CO85&lt;&gt;"",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+MATCH(TRUE,INDIRECT("'数出表_Excel'!"&amp;CN85&amp;MATCH(CS1,数出表_Excel!$A:$A,0)-1&amp;":AL"&amp;MATCH(CS1,数出表_Excel!$A:$A,0)-1&amp;"")&lt;&gt;"",0))&gt;9,"",
IFERROR(
INDEX(INDIRECT("数出表_Excel!$"&amp;CN85&amp;"4:$AL4"),
 1,
MATCH(TRUE,INDIRECT("'数出表_Excel'!"&amp;CN85&amp;MATCH(CS1,数出表_Excel!$A:$A,0)-1&amp;":AL"&amp;MATCH(CS1,数出表_Excel!$A:$A,0)-1&amp;"")&lt;&gt;"",0)
),
 "")
&amp;IFERROR(
INDEX(INDIRECT("数出表_Excel!$"&amp;CN85&amp;"5:$AL5"),
 1,
MATCH(TRUE,INDIRECT("'数出表_Excel'!"&amp;CN85&amp;MATCH(CS1,数出表_Excel!$A:$A,0)-1&amp;":AL"&amp;MATCH(CS1,数出表_Excel!$A:$A,0)-1&amp;"")&lt;&gt;"",0)),
 "")),"")))</f>
        <v/>
      </c>
      <c r="CR86" s="83" t="str" cm="1">
        <f t="array" aca="1" ref="CR86" ca="1">IF(CO86&lt;&gt;"",
IF(COUNTIF(CO85,"*雙葉*"),
IF(ROUND(
IF(CR91&lt;&gt;"",(CO88-CR91),CO88)
/IF(COUNTIF(CO86,"*キャラ*"),
VLOOKUP("*キャラ*",商品マスタ一覧!$D:$J,7,FALSE),
IF(COUNTIF(CO86,"*赤*"),
VLOOKUP("*赤*",商品マスタ一覧!$D:$J,7,FALSE),
VLOOKUP(CO86,商品マスタ一覧!$D:$J,7,FALSE))),0)&lt;=0,1,
ROUND(
IF(CR91&lt;&gt;"",(CO88-CR91),CO88)
/IF(COUNTIF(CO86,"*キャラ*"),
VLOOKUP("*キャラ*",商品マスタ一覧!$D:$J,7,FALSE),
IF(COUNTIF(CO86,"*赤*"),
VLOOKUP("*赤*",商品マスタ一覧!$D:$J,7,FALSE),
VLOOKUP(CO86,商品マスタ一覧!$D:$J,7,FALSE))),0)),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IF(CO86&lt;&gt;"",
IF(IF(COUNTIF(CO86,"*キャラ*"),
VLOOKUP("*キャラ*",商品マスタ一覧!$D:$J,7,FALSE),
IF(COUNTIF(CO86,"*赤*"),
VLOOKUP("*赤*",商品マスタ一覧!$D:$J,7,FALSE),
VLOOKUP(CO86,商品マスタ一覧!$D:$J,7,FALSE)))=0,"",
IF(ROUND(
IF(CR91&lt;&gt;"",(CO88-CR91),CO88)
/IF(COUNTIF(CO86,"*キャラ*"),
VLOOKUP("*キャラ*",商品マスタ一覧!$D:$J,7,FALSE),
IF(COUNTIF(CO86,"*赤*"),
VLOOKUP("*赤*",商品マスタ一覧!$D:$J,7,FALSE),
VLOOKUP(CO86,商品マスタ一覧!$D:$J,7,FALSE))),0)&lt;=0,1,
ROUND(
IF(CR91&lt;&gt;"",(CO88-CR91),CO88)
/IF(COUNTIF(CO86,"*キャラ*"),
VLOOKUP("*キャラ*",商品マスタ一覧!$D:$J,7,FALSE),
IF(COUNTIF(CO86,"*赤*"),
VLOOKUP("*赤*",商品マスタ一覧!$D:$J,7,FALSE),
VLOOKUP(CO86,商品マスタ一覧!$D:$J,7,FALSE))),0))),""),"")),"")</f>
        <v/>
      </c>
      <c r="CS86" s="92" t="str">
        <f ca="1">IF(CR86&lt;&gt;"",IF(CO88&lt;&gt;"",IF(VALUE(IF(CR91&lt;&gt;"",CO88-CR91,CO88))&gt;VALUE(IF(COUNTIF('盛付札（関数）'!CO86,"*キャラ*"),
VLOOKUP("*キャラ*",商品マスタ一覧!$D:$J,7,FALSE),
IF(COUNTIF('盛付札（関数）'!CO86,"*赤*"),
VLOOKUP("*赤*",商品マスタ一覧!$D:$J,7,FALSE),
VLOOKUP('盛付札（関数）'!CO86,商品マスタ一覧!$D:$J,7,FALSE)))*CR86),
"+"&amp;IF(CR91&lt;&gt;"",CO88-CR91,CO88)-IF(COUNTIF('盛付札（関数）'!CO86,"*キャラ*"),
VLOOKUP("*キャラ*",商品マスタ一覧!$D:$J,7,FALSE),
IF(COUNTIF('盛付札（関数）'!CO86,"*赤*"),
VLOOKUP("*赤*",商品マスタ一覧!$D:$J,7,FALSE),
VLOOKUP('盛付札（関数）'!CO86,商品マスタ一覧!$D:$J,7,FALSE)))*CR86,
IF(CR91&lt;&gt;"",CO88-CR91,CO88)-IF(COUNTIF('盛付札（関数）'!CO86,"*キャラ*"),
VLOOKUP("*キャラ*",商品マスタ一覧!$D:$J,7,FALSE),
IF(COUNTIF('盛付札（関数）'!CO86,"*赤*"),
VLOOKUP("*赤*",商品マスタ一覧!$D:$J,7,FALSE),
VLOOKUP('盛付札（関数）'!CO86,商品マスタ一覧!$D:$J,7,FALSE)))*CR86),""),"")</f>
        <v/>
      </c>
      <c r="CT86" s="76"/>
      <c r="CU86" s="81" t="e" cm="1">
        <f t="array" aca="1" ref="CU86" ca="1">IF(CU3&lt;&gt;100,
IF(CV88&lt;&gt;"",MATCH(CV88,INDIRECT("数出表_Excel!B"&amp;MATCH(CZ1,数出表_Excel!$A:$A,0)-1&amp;":U"&amp;MATCH(CZ1,数出表_Excel!$A:$A,0)-1&amp;""),0)+1,""),
IF(CV88&lt;&gt;"",
MATCH(
IFERROR(
INDEX(INDIRECT("数出表_Excel!"&amp;CU85&amp;MATCH(CZ1,数出表_Excel!$A:$A,0)-1&amp;":U"&amp;MATCH(CZ1,数出表_Excel!$A:$A,0)-1&amp;""),
 1,
 MATCH(TRUE, ISNUMBER(--INDIRECT("数出表_Excel!"&amp;CU85&amp;MATCH(CZ1,数出表_Excel!$A:$A,0)-1&amp;":U"&amp;MATCH(CZ1,数出表_Excel!$A:$A,0)-1&amp;"")),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86" s="58" t="str" cm="1">
        <f t="array" aca="1" ref="CV86" ca="1">IFERROR(IF(OR(
COUNTIF(INDIRECT("数出表_Excel!" &amp;
CHAR(MATCH(TRUE,
ISNUMBER(--INDIRECT("数出表_Excel!"&amp;CU85&amp;MATCH(CZ1,数出表_Excel!$A:$A,0)-1&amp;":U"&amp;MATCH(CZ1,数出表_Excel!$A:$A,0)-1&amp;"")),0)
+MATCH(TRUE, ISNUMBER(--INDIRECT("数出表_Excel!B" &amp; (MATCH(CZ1,数出表_Excel!$A:$A,0)-1) &amp; ":U" &amp; (MATCH(CZ1,数出表_Excel!$A:$A,0)-1))), 0)
+MATCH(TRUE, ISNUMBER(--INDIRECT("数出表_Excel!"&amp;CU43&amp; (MATCH(CZ1,数出表_Excel!$A:$A,0)-1) &amp; ":U" &amp; (MATCH(CZ1,数出表_Excel!$A:$A,0)-1))), 0)
+65) &amp; "3"),"*配膳*"),
COUNTIF(INDIRECT("数出表_Excel!" &amp;
CHAR(MATCH(TRUE,
ISNUMBER(--INDIRECT("数出表_Excel!"&amp;CU85&amp;MATCH(CZ1,数出表_Excel!$A:$A,0)-1&amp;":U"&amp;MATCH(CZ1,数出表_Excel!$A:$A,0)-1&amp;"")),0)
+MATCH(TRUE, ISNUMBER(--INDIRECT("数出表_Excel!B" &amp; (MATCH(CZ1,数出表_Excel!$A:$A,0)-1) &amp; ":U" &amp; (MATCH(CZ1,数出表_Excel!$A:$A,0)-1))), 0)
+MATCH(TRUE, ISNUMBER(--INDIRECT("数出表_Excel!"&amp;CU43&amp; (MATCH(CZ1,数出表_Excel!$A:$A,0)-1) &amp; ":U" &amp; (MATCH(CZ1,数出表_Excel!$A:$A,0)-1))), 0)
+65) &amp; "3"),"*カレー*"),
COUNTIF(CV43,"*合計*")),"",
IF(IFERROR(INDIRECT("数出表_Excel!" &amp;
CHAR(MATCH(TRUE,
ISNUMBER(--INDIRECT("数出表_Excel!"&amp;CU85&amp;MATCH(CZ1,数出表_Excel!$A:$A,0)-1&amp;":U"&amp;MATCH(CZ1,数出表_Excel!$A:$A,0)-1&amp;"")),0)
+MATCH(TRUE, ISNUMBER(--INDIRECT("数出表_Excel!B" &amp; (MATCH(CZ1,数出表_Excel!$A:$A,0)-1) &amp; ":U" &amp; (MATCH(CZ1,数出表_Excel!$A:$A,0)-1))), 0)
+MATCH(TRUE, ISNUMBER(--INDIRECT("数出表_Excel!"&amp;CU43&amp; (MATCH(CZ1,数出表_Excel!$A:$A,0)-1) &amp; ":U" &amp; (MATCH(CZ1,数出表_Excel!$A:$A,0)-1))), 0)
+65) &amp; "3"),0)=0,"",
IFERROR(INDIRECT("数出表_Excel!" &amp;
CHAR(MATCH(TRUE,
ISNUMBER(--INDIRECT("数出表_Excel!"&amp;CU85&amp;MATCH(CZ1,数出表_Excel!$A:$A,0)-1&amp;":U"&amp;MATCH(CZ1,数出表_Excel!$A:$A,0)-1&amp;"")),0)
+MATCH(TRUE, ISNUMBER(--INDIRECT("数出表_Excel!B" &amp; (MATCH(CZ1,数出表_Excel!$A:$A,0)-1) &amp; ":U" &amp; (MATCH(CZ1,数出表_Excel!$A:$A,0)-1))), 0)
+MATCH(TRUE, ISNUMBER(--INDIRECT("数出表_Excel!"&amp;CU43&amp; (MATCH(CZ1,数出表_Excel!$A:$A,0)-1) &amp; ":U" &amp; (MATCH(CZ1,数出表_Excel!$A:$A,0)-1))), 0)
+65) &amp; "3"),""))),"")</f>
        <v/>
      </c>
      <c r="CW86" s="76"/>
      <c r="CX86" s="82" t="str" cm="1">
        <f t="array" aca="1" ref="CX86" ca="1">IF(CY86&lt;&gt;"","",
IF(COUNTIF(CV85,"*雙葉*"),"",
IF(CV85&lt;&gt;"",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+MATCH(TRUE,INDIRECT("'数出表_Excel'!"&amp;CU85&amp;MATCH(CZ1,数出表_Excel!$A:$A,0)-1&amp;":AL"&amp;MATCH(CZ1,数出表_Excel!$A:$A,0)-1&amp;"")&lt;&gt;"",0))&gt;9,"",
IFERROR(
INDEX(INDIRECT("数出表_Excel!$"&amp;CU85&amp;"4:$AL4"),
 1,
MATCH(TRUE,INDIRECT("'数出表_Excel'!"&amp;CU85&amp;MATCH(CZ1,数出表_Excel!$A:$A,0)-1&amp;":AL"&amp;MATCH(CZ1,数出表_Excel!$A:$A,0)-1&amp;"")&lt;&gt;"",0)
),
 "")
&amp;IFERROR(
INDEX(INDIRECT("数出表_Excel!$"&amp;CU85&amp;"5:$AL5"),
 1,
MATCH(TRUE,INDIRECT("'数出表_Excel'!"&amp;CU85&amp;MATCH(CZ1,数出表_Excel!$A:$A,0)-1&amp;":AL"&amp;MATCH(CZ1,数出表_Excel!$A:$A,0)-1&amp;"")&lt;&gt;"",0)),
 "")),"")))</f>
        <v/>
      </c>
      <c r="CY86" s="83" t="str" cm="1">
        <f t="array" aca="1" ref="CY86" ca="1">IF(CV86&lt;&gt;"",
IF(COUNTIF(CV85,"*雙葉*"),
IF(ROUND(
IF(CY91&lt;&gt;"",(CV88-CY91),CV88)
/IF(COUNTIF(CV86,"*キャラ*"),
VLOOKUP("*キャラ*",商品マスタ一覧!$D:$J,7,FALSE),
IF(COUNTIF(CV86,"*赤*"),
VLOOKUP("*赤*",商品マスタ一覧!$D:$J,7,FALSE),
VLOOKUP(CV86,商品マスタ一覧!$D:$J,7,FALSE))),0)&lt;=0,1,
ROUND(
IF(CY91&lt;&gt;"",(CV88-CY91),CV88)
/IF(COUNTIF(CV86,"*キャラ*"),
VLOOKUP("*キャラ*",商品マスタ一覧!$D:$J,7,FALSE),
IF(COUNTIF(CV86,"*赤*"),
VLOOKUP("*赤*",商品マスタ一覧!$D:$J,7,FALSE),
VLOOKUP(CV86,商品マスタ一覧!$D:$J,7,FALSE))),0)),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IF(CV86&lt;&gt;"",
IF(IF(COUNTIF(CV86,"*キャラ*"),
VLOOKUP("*キャラ*",商品マスタ一覧!$D:$J,7,FALSE),
IF(COUNTIF(CV86,"*赤*"),
VLOOKUP("*赤*",商品マスタ一覧!$D:$J,7,FALSE),
VLOOKUP(CV86,商品マスタ一覧!$D:$J,7,FALSE)))=0,"",
IF(ROUND(
IF(CY91&lt;&gt;"",(CV88-CY91),CV88)
/IF(COUNTIF(CV86,"*キャラ*"),
VLOOKUP("*キャラ*",商品マスタ一覧!$D:$J,7,FALSE),
IF(COUNTIF(CV86,"*赤*"),
VLOOKUP("*赤*",商品マスタ一覧!$D:$J,7,FALSE),
VLOOKUP(CV86,商品マスタ一覧!$D:$J,7,FALSE))),0)&lt;=0,1,
ROUND(
IF(CY91&lt;&gt;"",(CV88-CY91),CV88)
/IF(COUNTIF(CV86,"*キャラ*"),
VLOOKUP("*キャラ*",商品マスタ一覧!$D:$J,7,FALSE),
IF(COUNTIF(CV86,"*赤*"),
VLOOKUP("*赤*",商品マスタ一覧!$D:$J,7,FALSE),
VLOOKUP(CV86,商品マスタ一覧!$D:$J,7,FALSE))),0))),""),"")),"")</f>
        <v/>
      </c>
      <c r="CZ86" s="92" t="str">
        <f ca="1">IF(CY86&lt;&gt;"",IF(CV88&lt;&gt;"",IF(VALUE(IF(CY91&lt;&gt;"",CV88-CY91,CV88))&gt;VALUE(IF(COUNTIF('盛付札（関数）'!CV86,"*キャラ*"),
VLOOKUP("*キャラ*",商品マスタ一覧!$D:$J,7,FALSE),
IF(COUNTIF('盛付札（関数）'!CV86,"*赤*"),
VLOOKUP("*赤*",商品マスタ一覧!$D:$J,7,FALSE),
VLOOKUP('盛付札（関数）'!CV86,商品マスタ一覧!$D:$J,7,FALSE)))*CY86),
"+"&amp;IF(CY91&lt;&gt;"",CV88-CY91,CV88)-IF(COUNTIF('盛付札（関数）'!CV86,"*キャラ*"),
VLOOKUP("*キャラ*",商品マスタ一覧!$D:$J,7,FALSE),
IF(COUNTIF('盛付札（関数）'!CV86,"*赤*"),
VLOOKUP("*赤*",商品マスタ一覧!$D:$J,7,FALSE),
VLOOKUP('盛付札（関数）'!CV86,商品マスタ一覧!$D:$J,7,FALSE)))*CY86,
IF(CY91&lt;&gt;"",CV88-CY91,CV88)-IF(COUNTIF('盛付札（関数）'!CV86,"*キャラ*"),
VLOOKUP("*キャラ*",商品マスタ一覧!$D:$J,7,FALSE),
IF(COUNTIF('盛付札（関数）'!CV86,"*赤*"),
VLOOKUP("*赤*",商品マスタ一覧!$D:$J,7,FALSE),
VLOOKUP('盛付札（関数）'!CV86,商品マスタ一覧!$D:$J,7,FALSE)))*CY86),""),"")</f>
        <v/>
      </c>
      <c r="DC86" s="81" t="e" cm="1">
        <f t="array" aca="1" ref="DC86" ca="1">IF(DC3&lt;&gt;100,
IF(DD88&lt;&gt;"",MATCH(DD88,INDIRECT("数出表_Excel!B"&amp;MATCH(DH1,数出表_Excel!$A:$A,0)-1&amp;":U"&amp;MATCH(DH1,数出表_Excel!$A:$A,0)-1&amp;""),0)+1,""),
IF(DD88&lt;&gt;"",
MATCH(
IFERROR(
INDEX(INDIRECT("数出表_Excel!"&amp;DC85&amp;MATCH(DH1,数出表_Excel!$A:$A,0)-1&amp;":U"&amp;MATCH(DH1,数出表_Excel!$A:$A,0)-1&amp;""),
 1,
 MATCH(TRUE, ISNUMBER(--INDIRECT("数出表_Excel!"&amp;DC85&amp;MATCH(DH1,数出表_Excel!$A:$A,0)-1&amp;":U"&amp;MATCH(DH1,数出表_Excel!$A:$A,0)-1&amp;"")),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86" s="58" t="str" cm="1">
        <f t="array" aca="1" ref="DD86" ca="1">IFERROR(IF(OR(
COUNTIF(INDIRECT("数出表_Excel!" &amp;
CHAR(MATCH(TRUE,
ISNUMBER(--INDIRECT("数出表_Excel!"&amp;DC85&amp;MATCH(DH1,数出表_Excel!$A:$A,0)-1&amp;":U"&amp;MATCH(DH1,数出表_Excel!$A:$A,0)-1&amp;"")),0)
+MATCH(TRUE, ISNUMBER(--INDIRECT("数出表_Excel!B" &amp; (MATCH(DH1,数出表_Excel!$A:$A,0)-1) &amp; ":U" &amp; (MATCH(DH1,数出表_Excel!$A:$A,0)-1))), 0)
+MATCH(TRUE, ISNUMBER(--INDIRECT("数出表_Excel!"&amp;DC43&amp; (MATCH(DH1,数出表_Excel!$A:$A,0)-1) &amp; ":U" &amp; (MATCH(DH1,数出表_Excel!$A:$A,0)-1))), 0)
+65) &amp; "3"),"*配膳*"),
COUNTIF(INDIRECT("数出表_Excel!" &amp;
CHAR(MATCH(TRUE,
ISNUMBER(--INDIRECT("数出表_Excel!"&amp;DC85&amp;MATCH(DH1,数出表_Excel!$A:$A,0)-1&amp;":U"&amp;MATCH(DH1,数出表_Excel!$A:$A,0)-1&amp;"")),0)
+MATCH(TRUE, ISNUMBER(--INDIRECT("数出表_Excel!B" &amp; (MATCH(DH1,数出表_Excel!$A:$A,0)-1) &amp; ":U" &amp; (MATCH(DH1,数出表_Excel!$A:$A,0)-1))), 0)
+MATCH(TRUE, ISNUMBER(--INDIRECT("数出表_Excel!"&amp;DC43&amp; (MATCH(DH1,数出表_Excel!$A:$A,0)-1) &amp; ":U" &amp; (MATCH(DH1,数出表_Excel!$A:$A,0)-1))), 0)
+65) &amp; "3"),"*カレー*"),
COUNTIF(DD43,"*合計*")),"",
IF(IFERROR(INDIRECT("数出表_Excel!" &amp;
CHAR(MATCH(TRUE,
ISNUMBER(--INDIRECT("数出表_Excel!"&amp;DC85&amp;MATCH(DH1,数出表_Excel!$A:$A,0)-1&amp;":U"&amp;MATCH(DH1,数出表_Excel!$A:$A,0)-1&amp;"")),0)
+MATCH(TRUE, ISNUMBER(--INDIRECT("数出表_Excel!B" &amp; (MATCH(DH1,数出表_Excel!$A:$A,0)-1) &amp; ":U" &amp; (MATCH(DH1,数出表_Excel!$A:$A,0)-1))), 0)
+MATCH(TRUE, ISNUMBER(--INDIRECT("数出表_Excel!"&amp;DC43&amp; (MATCH(DH1,数出表_Excel!$A:$A,0)-1) &amp; ":U" &amp; (MATCH(DH1,数出表_Excel!$A:$A,0)-1))), 0)
+65) &amp; "3"),0)=0,"",
IFERROR(INDIRECT("数出表_Excel!" &amp;
CHAR(MATCH(TRUE,
ISNUMBER(--INDIRECT("数出表_Excel!"&amp;DC85&amp;MATCH(DH1,数出表_Excel!$A:$A,0)-1&amp;":U"&amp;MATCH(DH1,数出表_Excel!$A:$A,0)-1&amp;"")),0)
+MATCH(TRUE, ISNUMBER(--INDIRECT("数出表_Excel!B" &amp; (MATCH(DH1,数出表_Excel!$A:$A,0)-1) &amp; ":U" &amp; (MATCH(DH1,数出表_Excel!$A:$A,0)-1))), 0)
+MATCH(TRUE, ISNUMBER(--INDIRECT("数出表_Excel!"&amp;DC43&amp; (MATCH(DH1,数出表_Excel!$A:$A,0)-1) &amp; ":U" &amp; (MATCH(DH1,数出表_Excel!$A:$A,0)-1))), 0)
+65) &amp; "3"),""))),"")</f>
        <v/>
      </c>
      <c r="DE86" s="76"/>
      <c r="DF86" s="82" t="str" cm="1">
        <f t="array" aca="1" ref="DF86" ca="1">IF(DG86&lt;&gt;"","",
IF(COUNTIF(DD85,"*雙葉*"),"",
IF(DD85&lt;&gt;"",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+MATCH(TRUE,INDIRECT("'数出表_Excel'!"&amp;DC85&amp;MATCH(DH1,数出表_Excel!$A:$A,0)-1&amp;":AL"&amp;MATCH(DH1,数出表_Excel!$A:$A,0)-1&amp;"")&lt;&gt;"",0))&gt;9,"",
IFERROR(
INDEX(INDIRECT("数出表_Excel!$"&amp;DC85&amp;"4:$AL4"),
 1,
MATCH(TRUE,INDIRECT("'数出表_Excel'!"&amp;DC85&amp;MATCH(DH1,数出表_Excel!$A:$A,0)-1&amp;":AL"&amp;MATCH(DH1,数出表_Excel!$A:$A,0)-1&amp;"")&lt;&gt;"",0)
),
 "")
&amp;IFERROR(
INDEX(INDIRECT("数出表_Excel!$"&amp;DC85&amp;"5:$AL5"),
 1,
MATCH(TRUE,INDIRECT("'数出表_Excel'!"&amp;DC85&amp;MATCH(DH1,数出表_Excel!$A:$A,0)-1&amp;":AL"&amp;MATCH(DH1,数出表_Excel!$A:$A,0)-1&amp;"")&lt;&gt;"",0)),
 "")),"")))</f>
        <v/>
      </c>
      <c r="DG86" s="83" t="str" cm="1">
        <f t="array" aca="1" ref="DG86" ca="1">IF(DD86&lt;&gt;"",
IF(COUNTIF(DD85,"*雙葉*"),
IF(ROUND(
IF(DG91&lt;&gt;"",(DD88-DG91),DD88)
/IF(COUNTIF(DD86,"*キャラ*"),
VLOOKUP("*キャラ*",商品マスタ一覧!$D:$J,7,FALSE),
IF(COUNTIF(DD86,"*赤*"),
VLOOKUP("*赤*",商品マスタ一覧!$D:$J,7,FALSE),
VLOOKUP(DD86,商品マスタ一覧!$D:$J,7,FALSE))),0)&lt;=0,1,
ROUND(
IF(DG91&lt;&gt;"",(DD88-DG91),DD88)
/IF(COUNTIF(DD86,"*キャラ*"),
VLOOKUP("*キャラ*",商品マスタ一覧!$D:$J,7,FALSE),
IF(COUNTIF(DD86,"*赤*"),
VLOOKUP("*赤*",商品マスタ一覧!$D:$J,7,FALSE),
VLOOKUP(DD86,商品マスタ一覧!$D:$J,7,FALSE))),0)),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IF(DD86&lt;&gt;"",
IF(IF(COUNTIF(DD86,"*キャラ*"),
VLOOKUP("*キャラ*",商品マスタ一覧!$D:$J,7,FALSE),
IF(COUNTIF(DD86,"*赤*"),
VLOOKUP("*赤*",商品マスタ一覧!$D:$J,7,FALSE),
VLOOKUP(DD86,商品マスタ一覧!$D:$J,7,FALSE)))=0,"",
IF(ROUND(
IF(DG91&lt;&gt;"",(DD88-DG91),DD88)
/IF(COUNTIF(DD86,"*キャラ*"),
VLOOKUP("*キャラ*",商品マスタ一覧!$D:$J,7,FALSE),
IF(COUNTIF(DD86,"*赤*"),
VLOOKUP("*赤*",商品マスタ一覧!$D:$J,7,FALSE),
VLOOKUP(DD86,商品マスタ一覧!$D:$J,7,FALSE))),0)&lt;=0,1,
ROUND(
IF(DG91&lt;&gt;"",(DD88-DG91),DD88)
/IF(COUNTIF(DD86,"*キャラ*"),
VLOOKUP("*キャラ*",商品マスタ一覧!$D:$J,7,FALSE),
IF(COUNTIF(DD86,"*赤*"),
VLOOKUP("*赤*",商品マスタ一覧!$D:$J,7,FALSE),
VLOOKUP(DD86,商品マスタ一覧!$D:$J,7,FALSE))),0))),""),"")),"")</f>
        <v/>
      </c>
      <c r="DH86" s="92" t="str">
        <f ca="1">IF(DG86&lt;&gt;"",IF(DD88&lt;&gt;"",IF(VALUE(IF(DG91&lt;&gt;"",DD88-DG91,DD88))&gt;VALUE(IF(COUNTIF('盛付札（関数）'!DD86,"*キャラ*"),
VLOOKUP("*キャラ*",商品マスタ一覧!$D:$J,7,FALSE),
IF(COUNTIF('盛付札（関数）'!DD86,"*赤*"),
VLOOKUP("*赤*",商品マスタ一覧!$D:$J,7,FALSE),
VLOOKUP('盛付札（関数）'!DD86,商品マスタ一覧!$D:$J,7,FALSE)))*DG86),
"+"&amp;IF(DG91&lt;&gt;"",DD88-DG91,DD88)-IF(COUNTIF('盛付札（関数）'!DD86,"*キャラ*"),
VLOOKUP("*キャラ*",商品マスタ一覧!$D:$J,7,FALSE),
IF(COUNTIF('盛付札（関数）'!DD86,"*赤*"),
VLOOKUP("*赤*",商品マスタ一覧!$D:$J,7,FALSE),
VLOOKUP('盛付札（関数）'!DD86,商品マスタ一覧!$D:$J,7,FALSE)))*DG86,
IF(DG91&lt;&gt;"",DD88-DG91,DD88)-IF(COUNTIF('盛付札（関数）'!DD86,"*キャラ*"),
VLOOKUP("*キャラ*",商品マスタ一覧!$D:$J,7,FALSE),
IF(COUNTIF('盛付札（関数）'!DD86,"*赤*"),
VLOOKUP("*赤*",商品マスタ一覧!$D:$J,7,FALSE),
VLOOKUP('盛付札（関数）'!DD86,商品マスタ一覧!$D:$J,7,FALSE)))*DG86),""),"")</f>
        <v/>
      </c>
      <c r="DI86" s="76"/>
      <c r="DJ86" s="81" t="e" cm="1">
        <f t="array" aca="1" ref="DJ86" ca="1">IF(DJ3&lt;&gt;100,
IF(DK88&lt;&gt;"",MATCH(DK88,INDIRECT("数出表_Excel!B"&amp;MATCH(DO1,数出表_Excel!$A:$A,0)-1&amp;":U"&amp;MATCH(DO1,数出表_Excel!$A:$A,0)-1&amp;""),0)+1,""),
IF(DK88&lt;&gt;"",
MATCH(
IFERROR(
INDEX(INDIRECT("数出表_Excel!"&amp;DJ85&amp;MATCH(DO1,数出表_Excel!$A:$A,0)-1&amp;":U"&amp;MATCH(DO1,数出表_Excel!$A:$A,0)-1&amp;""),
 1,
 MATCH(TRUE, ISNUMBER(--INDIRECT("数出表_Excel!"&amp;DJ85&amp;MATCH(DO1,数出表_Excel!$A:$A,0)-1&amp;":U"&amp;MATCH(DO1,数出表_Excel!$A:$A,0)-1&amp;"")),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86" s="58" t="str" cm="1">
        <f t="array" aca="1" ref="DK86" ca="1">IFERROR(IF(OR(
COUNTIF(INDIRECT("数出表_Excel!" &amp;
CHAR(MATCH(TRUE,
ISNUMBER(--INDIRECT("数出表_Excel!"&amp;DJ85&amp;MATCH(DO1,数出表_Excel!$A:$A,0)-1&amp;":U"&amp;MATCH(DO1,数出表_Excel!$A:$A,0)-1&amp;"")),0)
+MATCH(TRUE, ISNUMBER(--INDIRECT("数出表_Excel!B" &amp; (MATCH(DO1,数出表_Excel!$A:$A,0)-1) &amp; ":U" &amp; (MATCH(DO1,数出表_Excel!$A:$A,0)-1))), 0)
+MATCH(TRUE, ISNUMBER(--INDIRECT("数出表_Excel!"&amp;DJ43&amp; (MATCH(DO1,数出表_Excel!$A:$A,0)-1) &amp; ":U" &amp; (MATCH(DO1,数出表_Excel!$A:$A,0)-1))), 0)
+65) &amp; "3"),"*配膳*"),
COUNTIF(INDIRECT("数出表_Excel!" &amp;
CHAR(MATCH(TRUE,
ISNUMBER(--INDIRECT("数出表_Excel!"&amp;DJ85&amp;MATCH(DO1,数出表_Excel!$A:$A,0)-1&amp;":U"&amp;MATCH(DO1,数出表_Excel!$A:$A,0)-1&amp;"")),0)
+MATCH(TRUE, ISNUMBER(--INDIRECT("数出表_Excel!B" &amp; (MATCH(DO1,数出表_Excel!$A:$A,0)-1) &amp; ":U" &amp; (MATCH(DO1,数出表_Excel!$A:$A,0)-1))), 0)
+MATCH(TRUE, ISNUMBER(--INDIRECT("数出表_Excel!"&amp;DJ43&amp; (MATCH(DO1,数出表_Excel!$A:$A,0)-1) &amp; ":U" &amp; (MATCH(DO1,数出表_Excel!$A:$A,0)-1))), 0)
+65) &amp; "3"),"*カレー*"),
COUNTIF(DK43,"*合計*")),"",
IF(IFERROR(INDIRECT("数出表_Excel!" &amp;
CHAR(MATCH(TRUE,
ISNUMBER(--INDIRECT("数出表_Excel!"&amp;DJ85&amp;MATCH(DO1,数出表_Excel!$A:$A,0)-1&amp;":U"&amp;MATCH(DO1,数出表_Excel!$A:$A,0)-1&amp;"")),0)
+MATCH(TRUE, ISNUMBER(--INDIRECT("数出表_Excel!B" &amp; (MATCH(DO1,数出表_Excel!$A:$A,0)-1) &amp; ":U" &amp; (MATCH(DO1,数出表_Excel!$A:$A,0)-1))), 0)
+MATCH(TRUE, ISNUMBER(--INDIRECT("数出表_Excel!"&amp;DJ43&amp; (MATCH(DO1,数出表_Excel!$A:$A,0)-1) &amp; ":U" &amp; (MATCH(DO1,数出表_Excel!$A:$A,0)-1))), 0)
+65) &amp; "3"),0)=0,"",
IFERROR(INDIRECT("数出表_Excel!" &amp;
CHAR(MATCH(TRUE,
ISNUMBER(--INDIRECT("数出表_Excel!"&amp;DJ85&amp;MATCH(DO1,数出表_Excel!$A:$A,0)-1&amp;":U"&amp;MATCH(DO1,数出表_Excel!$A:$A,0)-1&amp;"")),0)
+MATCH(TRUE, ISNUMBER(--INDIRECT("数出表_Excel!B" &amp; (MATCH(DO1,数出表_Excel!$A:$A,0)-1) &amp; ":U" &amp; (MATCH(DO1,数出表_Excel!$A:$A,0)-1))), 0)
+MATCH(TRUE, ISNUMBER(--INDIRECT("数出表_Excel!"&amp;DJ43&amp; (MATCH(DO1,数出表_Excel!$A:$A,0)-1) &amp; ":U" &amp; (MATCH(DO1,数出表_Excel!$A:$A,0)-1))), 0)
+65) &amp; "3"),""))),"")</f>
        <v/>
      </c>
      <c r="DL86" s="76"/>
      <c r="DM86" s="82" t="str" cm="1">
        <f t="array" aca="1" ref="DM86" ca="1">IF(DN86&lt;&gt;"","",
IF(COUNTIF(DK85,"*雙葉*"),"",
IF(DK85&lt;&gt;"",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+MATCH(TRUE,INDIRECT("'数出表_Excel'!"&amp;DJ85&amp;MATCH(DO1,数出表_Excel!$A:$A,0)-1&amp;":AL"&amp;MATCH(DO1,数出表_Excel!$A:$A,0)-1&amp;"")&lt;&gt;"",0))&gt;9,"",
IFERROR(
INDEX(INDIRECT("数出表_Excel!$"&amp;DJ85&amp;"4:$AL4"),
 1,
MATCH(TRUE,INDIRECT("'数出表_Excel'!"&amp;DJ85&amp;MATCH(DO1,数出表_Excel!$A:$A,0)-1&amp;":AL"&amp;MATCH(DO1,数出表_Excel!$A:$A,0)-1&amp;"")&lt;&gt;"",0)
),
 "")
&amp;IFERROR(
INDEX(INDIRECT("数出表_Excel!$"&amp;DJ85&amp;"5:$AL5"),
 1,
MATCH(TRUE,INDIRECT("'数出表_Excel'!"&amp;DJ85&amp;MATCH(DO1,数出表_Excel!$A:$A,0)-1&amp;":AL"&amp;MATCH(DO1,数出表_Excel!$A:$A,0)-1&amp;"")&lt;&gt;"",0)),
 "")),"")))</f>
        <v/>
      </c>
      <c r="DN86" s="83" t="str" cm="1">
        <f t="array" aca="1" ref="DN86" ca="1">IF(DK86&lt;&gt;"",
IF(COUNTIF(DK85,"*雙葉*"),
IF(ROUND(
IF(DN91&lt;&gt;"",(DK88-DN91),DK88)
/IF(COUNTIF(DK86,"*キャラ*"),
VLOOKUP("*キャラ*",商品マスタ一覧!$D:$J,7,FALSE),
IF(COUNTIF(DK86,"*赤*"),
VLOOKUP("*赤*",商品マスタ一覧!$D:$J,7,FALSE),
VLOOKUP(DK86,商品マスタ一覧!$D:$J,7,FALSE))),0)&lt;=0,1,
ROUND(
IF(DN91&lt;&gt;"",(DK88-DN91),DK88)
/IF(COUNTIF(DK86,"*キャラ*"),
VLOOKUP("*キャラ*",商品マスタ一覧!$D:$J,7,FALSE),
IF(COUNTIF(DK86,"*赤*"),
VLOOKUP("*赤*",商品マスタ一覧!$D:$J,7,FALSE),
VLOOKUP(DK86,商品マスタ一覧!$D:$J,7,FALSE))),0)),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IF(DK86&lt;&gt;"",
IF(IF(COUNTIF(DK86,"*キャラ*"),
VLOOKUP("*キャラ*",商品マスタ一覧!$D:$J,7,FALSE),
IF(COUNTIF(DK86,"*赤*"),
VLOOKUP("*赤*",商品マスタ一覧!$D:$J,7,FALSE),
VLOOKUP(DK86,商品マスタ一覧!$D:$J,7,FALSE)))=0,"",
IF(ROUND(
IF(DN91&lt;&gt;"",(DK88-DN91),DK88)
/IF(COUNTIF(DK86,"*キャラ*"),
VLOOKUP("*キャラ*",商品マスタ一覧!$D:$J,7,FALSE),
IF(COUNTIF(DK86,"*赤*"),
VLOOKUP("*赤*",商品マスタ一覧!$D:$J,7,FALSE),
VLOOKUP(DK86,商品マスタ一覧!$D:$J,7,FALSE))),0)&lt;=0,1,
ROUND(
IF(DN91&lt;&gt;"",(DK88-DN91),DK88)
/IF(COUNTIF(DK86,"*キャラ*"),
VLOOKUP("*キャラ*",商品マスタ一覧!$D:$J,7,FALSE),
IF(COUNTIF(DK86,"*赤*"),
VLOOKUP("*赤*",商品マスタ一覧!$D:$J,7,FALSE),
VLOOKUP(DK86,商品マスタ一覧!$D:$J,7,FALSE))),0))),""),"")),"")</f>
        <v/>
      </c>
      <c r="DO86" s="92" t="str">
        <f ca="1">IF(DN86&lt;&gt;"",IF(DK88&lt;&gt;"",IF(VALUE(IF(DN91&lt;&gt;"",DK88-DN91,DK88))&gt;VALUE(IF(COUNTIF('盛付札（関数）'!DK86,"*キャラ*"),
VLOOKUP("*キャラ*",商品マスタ一覧!$D:$J,7,FALSE),
IF(COUNTIF('盛付札（関数）'!DK86,"*赤*"),
VLOOKUP("*赤*",商品マスタ一覧!$D:$J,7,FALSE),
VLOOKUP('盛付札（関数）'!DK86,商品マスタ一覧!$D:$J,7,FALSE)))*DN86),
"+"&amp;IF(DN91&lt;&gt;"",DK88-DN91,DK88)-IF(COUNTIF('盛付札（関数）'!DK86,"*キャラ*"),
VLOOKUP("*キャラ*",商品マスタ一覧!$D:$J,7,FALSE),
IF(COUNTIF('盛付札（関数）'!DK86,"*赤*"),
VLOOKUP("*赤*",商品マスタ一覧!$D:$J,7,FALSE),
VLOOKUP('盛付札（関数）'!DK86,商品マスタ一覧!$D:$J,7,FALSE)))*DN86,
IF(DN91&lt;&gt;"",DK88-DN91,DK88)-IF(COUNTIF('盛付札（関数）'!DK86,"*キャラ*"),
VLOOKUP("*キャラ*",商品マスタ一覧!$D:$J,7,FALSE),
IF(COUNTIF('盛付札（関数）'!DK86,"*赤*"),
VLOOKUP("*赤*",商品マスタ一覧!$D:$J,7,FALSE),
VLOOKUP('盛付札（関数）'!DK86,商品マスタ一覧!$D:$J,7,FALSE)))*DN86),""),"")</f>
        <v/>
      </c>
      <c r="DR86" s="81" t="e" cm="1">
        <f t="array" aca="1" ref="DR86" ca="1">IF(DR3&lt;&gt;100,
IF(DS88&lt;&gt;"",MATCH(DS88,INDIRECT("数出表_Excel!B"&amp;MATCH(DW1,数出表_Excel!$A:$A,0)-1&amp;":U"&amp;MATCH(DW1,数出表_Excel!$A:$A,0)-1&amp;""),0)+1,""),
IF(DS88&lt;&gt;"",
MATCH(
IFERROR(
INDEX(INDIRECT("数出表_Excel!"&amp;DR85&amp;MATCH(DW1,数出表_Excel!$A:$A,0)-1&amp;":U"&amp;MATCH(DW1,数出表_Excel!$A:$A,0)-1&amp;""),
 1,
 MATCH(TRUE, ISNUMBER(--INDIRECT("数出表_Excel!"&amp;DR85&amp;MATCH(DW1,数出表_Excel!$A:$A,0)-1&amp;":U"&amp;MATCH(DW1,数出表_Excel!$A:$A,0)-1&amp;"")),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86" s="58" t="str" cm="1">
        <f t="array" aca="1" ref="DS86" ca="1">IFERROR(IF(OR(
COUNTIF(INDIRECT("数出表_Excel!" &amp;
CHAR(MATCH(TRUE,
ISNUMBER(--INDIRECT("数出表_Excel!"&amp;DR85&amp;MATCH(DW1,数出表_Excel!$A:$A,0)-1&amp;":U"&amp;MATCH(DW1,数出表_Excel!$A:$A,0)-1&amp;"")),0)
+MATCH(TRUE, ISNUMBER(--INDIRECT("数出表_Excel!B" &amp; (MATCH(DW1,数出表_Excel!$A:$A,0)-1) &amp; ":U" &amp; (MATCH(DW1,数出表_Excel!$A:$A,0)-1))), 0)
+MATCH(TRUE, ISNUMBER(--INDIRECT("数出表_Excel!"&amp;DR43&amp; (MATCH(DW1,数出表_Excel!$A:$A,0)-1) &amp; ":U" &amp; (MATCH(DW1,数出表_Excel!$A:$A,0)-1))), 0)
+65) &amp; "3"),"*配膳*"),
COUNTIF(INDIRECT("数出表_Excel!" &amp;
CHAR(MATCH(TRUE,
ISNUMBER(--INDIRECT("数出表_Excel!"&amp;DR85&amp;MATCH(DW1,数出表_Excel!$A:$A,0)-1&amp;":U"&amp;MATCH(DW1,数出表_Excel!$A:$A,0)-1&amp;"")),0)
+MATCH(TRUE, ISNUMBER(--INDIRECT("数出表_Excel!B" &amp; (MATCH(DW1,数出表_Excel!$A:$A,0)-1) &amp; ":U" &amp; (MATCH(DW1,数出表_Excel!$A:$A,0)-1))), 0)
+MATCH(TRUE, ISNUMBER(--INDIRECT("数出表_Excel!"&amp;DR43&amp; (MATCH(DW1,数出表_Excel!$A:$A,0)-1) &amp; ":U" &amp; (MATCH(DW1,数出表_Excel!$A:$A,0)-1))), 0)
+65) &amp; "3"),"*カレー*"),
COUNTIF(DS43,"*合計*")),"",
IF(IFERROR(INDIRECT("数出表_Excel!" &amp;
CHAR(MATCH(TRUE,
ISNUMBER(--INDIRECT("数出表_Excel!"&amp;DR85&amp;MATCH(DW1,数出表_Excel!$A:$A,0)-1&amp;":U"&amp;MATCH(DW1,数出表_Excel!$A:$A,0)-1&amp;"")),0)
+MATCH(TRUE, ISNUMBER(--INDIRECT("数出表_Excel!B" &amp; (MATCH(DW1,数出表_Excel!$A:$A,0)-1) &amp; ":U" &amp; (MATCH(DW1,数出表_Excel!$A:$A,0)-1))), 0)
+MATCH(TRUE, ISNUMBER(--INDIRECT("数出表_Excel!"&amp;DR43&amp; (MATCH(DW1,数出表_Excel!$A:$A,0)-1) &amp; ":U" &amp; (MATCH(DW1,数出表_Excel!$A:$A,0)-1))), 0)
+65) &amp; "3"),0)=0,"",
IFERROR(INDIRECT("数出表_Excel!" &amp;
CHAR(MATCH(TRUE,
ISNUMBER(--INDIRECT("数出表_Excel!"&amp;DR85&amp;MATCH(DW1,数出表_Excel!$A:$A,0)-1&amp;":U"&amp;MATCH(DW1,数出表_Excel!$A:$A,0)-1&amp;"")),0)
+MATCH(TRUE, ISNUMBER(--INDIRECT("数出表_Excel!B" &amp; (MATCH(DW1,数出表_Excel!$A:$A,0)-1) &amp; ":U" &amp; (MATCH(DW1,数出表_Excel!$A:$A,0)-1))), 0)
+MATCH(TRUE, ISNUMBER(--INDIRECT("数出表_Excel!"&amp;DR43&amp; (MATCH(DW1,数出表_Excel!$A:$A,0)-1) &amp; ":U" &amp; (MATCH(DW1,数出表_Excel!$A:$A,0)-1))), 0)
+65) &amp; "3"),""))),"")</f>
        <v/>
      </c>
      <c r="DT86" s="76"/>
      <c r="DU86" s="82" t="str" cm="1">
        <f t="array" aca="1" ref="DU86" ca="1">IF(DV86&lt;&gt;"","",
IF(COUNTIF(DS85,"*雙葉*"),"",
IF(DS85&lt;&gt;"",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+MATCH(TRUE,INDIRECT("'数出表_Excel'!"&amp;DR85&amp;MATCH(DW1,数出表_Excel!$A:$A,0)-1&amp;":AL"&amp;MATCH(DW1,数出表_Excel!$A:$A,0)-1&amp;"")&lt;&gt;"",0))&gt;9,"",
IFERROR(
INDEX(INDIRECT("数出表_Excel!$"&amp;DR85&amp;"4:$AL4"),
 1,
MATCH(TRUE,INDIRECT("'数出表_Excel'!"&amp;DR85&amp;MATCH(DW1,数出表_Excel!$A:$A,0)-1&amp;":AL"&amp;MATCH(DW1,数出表_Excel!$A:$A,0)-1&amp;"")&lt;&gt;"",0)
),
 "")
&amp;IFERROR(
INDEX(INDIRECT("数出表_Excel!$"&amp;DR85&amp;"5:$AL5"),
 1,
MATCH(TRUE,INDIRECT("'数出表_Excel'!"&amp;DR85&amp;MATCH(DW1,数出表_Excel!$A:$A,0)-1&amp;":AL"&amp;MATCH(DW1,数出表_Excel!$A:$A,0)-1&amp;"")&lt;&gt;"",0)),
 "")),"")))</f>
        <v/>
      </c>
      <c r="DV86" s="83" t="str" cm="1">
        <f t="array" aca="1" ref="DV86" ca="1">IF(DS86&lt;&gt;"",
IF(COUNTIF(DS85,"*雙葉*"),
IF(ROUND(
IF(DV91&lt;&gt;"",(DS88-DV91),DS88)
/IF(COUNTIF(DS86,"*キャラ*"),
VLOOKUP("*キャラ*",商品マスタ一覧!$D:$J,7,FALSE),
IF(COUNTIF(DS86,"*赤*"),
VLOOKUP("*赤*",商品マスタ一覧!$D:$J,7,FALSE),
VLOOKUP(DS86,商品マスタ一覧!$D:$J,7,FALSE))),0)&lt;=0,1,
ROUND(
IF(DV91&lt;&gt;"",(DS88-DV91),DS88)
/IF(COUNTIF(DS86,"*キャラ*"),
VLOOKUP("*キャラ*",商品マスタ一覧!$D:$J,7,FALSE),
IF(COUNTIF(DS86,"*赤*"),
VLOOKUP("*赤*",商品マスタ一覧!$D:$J,7,FALSE),
VLOOKUP(DS86,商品マスタ一覧!$D:$J,7,FALSE))),0)),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IF(DS86&lt;&gt;"",
IF(IF(COUNTIF(DS86,"*キャラ*"),
VLOOKUP("*キャラ*",商品マスタ一覧!$D:$J,7,FALSE),
IF(COUNTIF(DS86,"*赤*"),
VLOOKUP("*赤*",商品マスタ一覧!$D:$J,7,FALSE),
VLOOKUP(DS86,商品マスタ一覧!$D:$J,7,FALSE)))=0,"",
IF(ROUND(
IF(DV91&lt;&gt;"",(DS88-DV91),DS88)
/IF(COUNTIF(DS86,"*キャラ*"),
VLOOKUP("*キャラ*",商品マスタ一覧!$D:$J,7,FALSE),
IF(COUNTIF(DS86,"*赤*"),
VLOOKUP("*赤*",商品マスタ一覧!$D:$J,7,FALSE),
VLOOKUP(DS86,商品マスタ一覧!$D:$J,7,FALSE))),0)&lt;=0,1,
ROUND(
IF(DV91&lt;&gt;"",(DS88-DV91),DS88)
/IF(COUNTIF(DS86,"*キャラ*"),
VLOOKUP("*キャラ*",商品マスタ一覧!$D:$J,7,FALSE),
IF(COUNTIF(DS86,"*赤*"),
VLOOKUP("*赤*",商品マスタ一覧!$D:$J,7,FALSE),
VLOOKUP(DS86,商品マスタ一覧!$D:$J,7,FALSE))),0))),""),"")),"")</f>
        <v/>
      </c>
      <c r="DW86" s="92" t="str">
        <f ca="1">IF(DV86&lt;&gt;"",IF(DS88&lt;&gt;"",IF(VALUE(IF(DV91&lt;&gt;"",DS88-DV91,DS88))&gt;VALUE(IF(COUNTIF('盛付札（関数）'!DS86,"*キャラ*"),
VLOOKUP("*キャラ*",商品マスタ一覧!$D:$J,7,FALSE),
IF(COUNTIF('盛付札（関数）'!DS86,"*赤*"),
VLOOKUP("*赤*",商品マスタ一覧!$D:$J,7,FALSE),
VLOOKUP('盛付札（関数）'!DS86,商品マスタ一覧!$D:$J,7,FALSE)))*DV86),
"+"&amp;IF(DV91&lt;&gt;"",DS88-DV91,DS88)-IF(COUNTIF('盛付札（関数）'!DS86,"*キャラ*"),
VLOOKUP("*キャラ*",商品マスタ一覧!$D:$J,7,FALSE),
IF(COUNTIF('盛付札（関数）'!DS86,"*赤*"),
VLOOKUP("*赤*",商品マスタ一覧!$D:$J,7,FALSE),
VLOOKUP('盛付札（関数）'!DS86,商品マスタ一覧!$D:$J,7,FALSE)))*DV86,
IF(DV91&lt;&gt;"",DS88-DV91,DS88)-IF(COUNTIF('盛付札（関数）'!DS86,"*キャラ*"),
VLOOKUP("*キャラ*",商品マスタ一覧!$D:$J,7,FALSE),
IF(COUNTIF('盛付札（関数）'!DS86,"*赤*"),
VLOOKUP("*赤*",商品マスタ一覧!$D:$J,7,FALSE),
VLOOKUP('盛付札（関数）'!DS86,商品マスタ一覧!$D:$J,7,FALSE)))*DV86),""),"")</f>
        <v/>
      </c>
      <c r="DX86" s="76"/>
      <c r="DY86" s="81" t="e" cm="1">
        <f t="array" aca="1" ref="DY86" ca="1">IF(DY3&lt;&gt;100,
IF(DZ88&lt;&gt;"",MATCH(DZ88,INDIRECT("数出表_Excel!B"&amp;MATCH(ED1,数出表_Excel!$A:$A,0)-1&amp;":U"&amp;MATCH(ED1,数出表_Excel!$A:$A,0)-1&amp;""),0)+1,""),
IF(DZ88&lt;&gt;"",
MATCH(
IFERROR(
INDEX(INDIRECT("数出表_Excel!"&amp;DY85&amp;MATCH(ED1,数出表_Excel!$A:$A,0)-1&amp;":U"&amp;MATCH(ED1,数出表_Excel!$A:$A,0)-1&amp;""),
 1,
 MATCH(TRUE, ISNUMBER(--INDIRECT("数出表_Excel!"&amp;DY85&amp;MATCH(ED1,数出表_Excel!$A:$A,0)-1&amp;":U"&amp;MATCH(ED1,数出表_Excel!$A:$A,0)-1&amp;"")),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86" s="58" t="str" cm="1">
        <f t="array" aca="1" ref="DZ86" ca="1">IFERROR(IF(OR(
COUNTIF(INDIRECT("数出表_Excel!" &amp;
CHAR(MATCH(TRUE,
ISNUMBER(--INDIRECT("数出表_Excel!"&amp;DY85&amp;MATCH(ED1,数出表_Excel!$A:$A,0)-1&amp;":U"&amp;MATCH(ED1,数出表_Excel!$A:$A,0)-1&amp;"")),0)
+MATCH(TRUE, ISNUMBER(--INDIRECT("数出表_Excel!B" &amp; (MATCH(ED1,数出表_Excel!$A:$A,0)-1) &amp; ":U" &amp; (MATCH(ED1,数出表_Excel!$A:$A,0)-1))), 0)
+MATCH(TRUE, ISNUMBER(--INDIRECT("数出表_Excel!"&amp;DY43&amp; (MATCH(ED1,数出表_Excel!$A:$A,0)-1) &amp; ":U" &amp; (MATCH(ED1,数出表_Excel!$A:$A,0)-1))), 0)
+65) &amp; "3"),"*配膳*"),
COUNTIF(INDIRECT("数出表_Excel!" &amp;
CHAR(MATCH(TRUE,
ISNUMBER(--INDIRECT("数出表_Excel!"&amp;DY85&amp;MATCH(ED1,数出表_Excel!$A:$A,0)-1&amp;":U"&amp;MATCH(ED1,数出表_Excel!$A:$A,0)-1&amp;"")),0)
+MATCH(TRUE, ISNUMBER(--INDIRECT("数出表_Excel!B" &amp; (MATCH(ED1,数出表_Excel!$A:$A,0)-1) &amp; ":U" &amp; (MATCH(ED1,数出表_Excel!$A:$A,0)-1))), 0)
+MATCH(TRUE, ISNUMBER(--INDIRECT("数出表_Excel!"&amp;DY43&amp; (MATCH(ED1,数出表_Excel!$A:$A,0)-1) &amp; ":U" &amp; (MATCH(ED1,数出表_Excel!$A:$A,0)-1))), 0)
+65) &amp; "3"),"*カレー*"),
COUNTIF(DZ43,"*合計*")),"",
IF(IFERROR(INDIRECT("数出表_Excel!" &amp;
CHAR(MATCH(TRUE,
ISNUMBER(--INDIRECT("数出表_Excel!"&amp;DY85&amp;MATCH(ED1,数出表_Excel!$A:$A,0)-1&amp;":U"&amp;MATCH(ED1,数出表_Excel!$A:$A,0)-1&amp;"")),0)
+MATCH(TRUE, ISNUMBER(--INDIRECT("数出表_Excel!B" &amp; (MATCH(ED1,数出表_Excel!$A:$A,0)-1) &amp; ":U" &amp; (MATCH(ED1,数出表_Excel!$A:$A,0)-1))), 0)
+MATCH(TRUE, ISNUMBER(--INDIRECT("数出表_Excel!"&amp;DY43&amp; (MATCH(ED1,数出表_Excel!$A:$A,0)-1) &amp; ":U" &amp; (MATCH(ED1,数出表_Excel!$A:$A,0)-1))), 0)
+65) &amp; "3"),0)=0,"",
IFERROR(INDIRECT("数出表_Excel!" &amp;
CHAR(MATCH(TRUE,
ISNUMBER(--INDIRECT("数出表_Excel!"&amp;DY85&amp;MATCH(ED1,数出表_Excel!$A:$A,0)-1&amp;":U"&amp;MATCH(ED1,数出表_Excel!$A:$A,0)-1&amp;"")),0)
+MATCH(TRUE, ISNUMBER(--INDIRECT("数出表_Excel!B" &amp; (MATCH(ED1,数出表_Excel!$A:$A,0)-1) &amp; ":U" &amp; (MATCH(ED1,数出表_Excel!$A:$A,0)-1))), 0)
+MATCH(TRUE, ISNUMBER(--INDIRECT("数出表_Excel!"&amp;DY43&amp; (MATCH(ED1,数出表_Excel!$A:$A,0)-1) &amp; ":U" &amp; (MATCH(ED1,数出表_Excel!$A:$A,0)-1))), 0)
+65) &amp; "3"),""))),"")</f>
        <v/>
      </c>
      <c r="EA86" s="76"/>
      <c r="EB86" s="82" t="str" cm="1">
        <f t="array" aca="1" ref="EB86" ca="1">IF(EC86&lt;&gt;"","",
IF(COUNTIF(DZ85,"*雙葉*"),"",
IF(DZ85&lt;&gt;"",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+MATCH(TRUE,INDIRECT("'数出表_Excel'!"&amp;DY85&amp;MATCH(ED1,数出表_Excel!$A:$A,0)-1&amp;":AL"&amp;MATCH(ED1,数出表_Excel!$A:$A,0)-1&amp;"")&lt;&gt;"",0))&gt;9,"",
IFERROR(
INDEX(INDIRECT("数出表_Excel!$"&amp;DY85&amp;"4:$AL4"),
 1,
MATCH(TRUE,INDIRECT("'数出表_Excel'!"&amp;DY85&amp;MATCH(ED1,数出表_Excel!$A:$A,0)-1&amp;":AL"&amp;MATCH(ED1,数出表_Excel!$A:$A,0)-1&amp;"")&lt;&gt;"",0)
),
 "")
&amp;IFERROR(
INDEX(INDIRECT("数出表_Excel!$"&amp;DY85&amp;"5:$AL5"),
 1,
MATCH(TRUE,INDIRECT("'数出表_Excel'!"&amp;DY85&amp;MATCH(ED1,数出表_Excel!$A:$A,0)-1&amp;":AL"&amp;MATCH(ED1,数出表_Excel!$A:$A,0)-1&amp;"")&lt;&gt;"",0)),
 "")),"")))</f>
        <v/>
      </c>
      <c r="EC86" s="83" t="str" cm="1">
        <f t="array" aca="1" ref="EC86" ca="1">IF(DZ86&lt;&gt;"",
IF(COUNTIF(DZ85,"*雙葉*"),
IF(ROUND(
IF(EC91&lt;&gt;"",(DZ88-EC91),DZ88)
/IF(COUNTIF(DZ86,"*キャラ*"),
VLOOKUP("*キャラ*",商品マスタ一覧!$D:$J,7,FALSE),
IF(COUNTIF(DZ86,"*赤*"),
VLOOKUP("*赤*",商品マスタ一覧!$D:$J,7,FALSE),
VLOOKUP(DZ86,商品マスタ一覧!$D:$J,7,FALSE))),0)&lt;=0,1,
ROUND(
IF(EC91&lt;&gt;"",(DZ88-EC91),DZ88)
/IF(COUNTIF(DZ86,"*キャラ*"),
VLOOKUP("*キャラ*",商品マスタ一覧!$D:$J,7,FALSE),
IF(COUNTIF(DZ86,"*赤*"),
VLOOKUP("*赤*",商品マスタ一覧!$D:$J,7,FALSE),
VLOOKUP(DZ86,商品マスタ一覧!$D:$J,7,FALSE))),0)),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IF(DZ86&lt;&gt;"",
IF(IF(COUNTIF(DZ86,"*キャラ*"),
VLOOKUP("*キャラ*",商品マスタ一覧!$D:$J,7,FALSE),
IF(COUNTIF(DZ86,"*赤*"),
VLOOKUP("*赤*",商品マスタ一覧!$D:$J,7,FALSE),
VLOOKUP(DZ86,商品マスタ一覧!$D:$J,7,FALSE)))=0,"",
IF(ROUND(
IF(EC91&lt;&gt;"",(DZ88-EC91),DZ88)
/IF(COUNTIF(DZ86,"*キャラ*"),
VLOOKUP("*キャラ*",商品マスタ一覧!$D:$J,7,FALSE),
IF(COUNTIF(DZ86,"*赤*"),
VLOOKUP("*赤*",商品マスタ一覧!$D:$J,7,FALSE),
VLOOKUP(DZ86,商品マスタ一覧!$D:$J,7,FALSE))),0)&lt;=0,1,
ROUND(
IF(EC91&lt;&gt;"",(DZ88-EC91),DZ88)
/IF(COUNTIF(DZ86,"*キャラ*"),
VLOOKUP("*キャラ*",商品マスタ一覧!$D:$J,7,FALSE),
IF(COUNTIF(DZ86,"*赤*"),
VLOOKUP("*赤*",商品マスタ一覧!$D:$J,7,FALSE),
VLOOKUP(DZ86,商品マスタ一覧!$D:$J,7,FALSE))),0))),""),"")),"")</f>
        <v/>
      </c>
      <c r="ED86" s="92" t="str">
        <f ca="1">IF(EC86&lt;&gt;"",IF(DZ88&lt;&gt;"",IF(VALUE(IF(EC91&lt;&gt;"",DZ88-EC91,DZ88))&gt;VALUE(IF(COUNTIF('盛付札（関数）'!DZ86,"*キャラ*"),
VLOOKUP("*キャラ*",商品マスタ一覧!$D:$J,7,FALSE),
IF(COUNTIF('盛付札（関数）'!DZ86,"*赤*"),
VLOOKUP("*赤*",商品マスタ一覧!$D:$J,7,FALSE),
VLOOKUP('盛付札（関数）'!DZ86,商品マスタ一覧!$D:$J,7,FALSE)))*EC86),
"+"&amp;IF(EC91&lt;&gt;"",DZ88-EC91,DZ88)-IF(COUNTIF('盛付札（関数）'!DZ86,"*キャラ*"),
VLOOKUP("*キャラ*",商品マスタ一覧!$D:$J,7,FALSE),
IF(COUNTIF('盛付札（関数）'!DZ86,"*赤*"),
VLOOKUP("*赤*",商品マスタ一覧!$D:$J,7,FALSE),
VLOOKUP('盛付札（関数）'!DZ86,商品マスタ一覧!$D:$J,7,FALSE)))*EC86,
IF(EC91&lt;&gt;"",DZ88-EC91,DZ88)-IF(COUNTIF('盛付札（関数）'!DZ86,"*キャラ*"),
VLOOKUP("*キャラ*",商品マスタ一覧!$D:$J,7,FALSE),
IF(COUNTIF('盛付札（関数）'!DZ86,"*赤*"),
VLOOKUP("*赤*",商品マスタ一覧!$D:$J,7,FALSE),
VLOOKUP('盛付札（関数）'!DZ86,商品マスタ一覧!$D:$J,7,FALSE)))*EC86),""),"")</f>
        <v/>
      </c>
      <c r="EG86" s="81" t="e" cm="1">
        <f t="array" aca="1" ref="EG86" ca="1">IF(EG3&lt;&gt;100,
IF(EH88&lt;&gt;"",MATCH(EH88,INDIRECT("数出表_Excel!B"&amp;MATCH(EL1,数出表_Excel!$A:$A,0)-1&amp;":U"&amp;MATCH(EL1,数出表_Excel!$A:$A,0)-1&amp;""),0)+1,""),
IF(EH88&lt;&gt;"",
MATCH(
IFERROR(
INDEX(INDIRECT("数出表_Excel!"&amp;EG85&amp;MATCH(EL1,数出表_Excel!$A:$A,0)-1&amp;":U"&amp;MATCH(EL1,数出表_Excel!$A:$A,0)-1&amp;""),
 1,
 MATCH(TRUE, ISNUMBER(--INDIRECT("数出表_Excel!"&amp;EG85&amp;MATCH(EL1,数出表_Excel!$A:$A,0)-1&amp;":U"&amp;MATCH(EL1,数出表_Excel!$A:$A,0)-1&amp;"")),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86" s="58" t="str" cm="1">
        <f t="array" aca="1" ref="EH86" ca="1">IFERROR(IF(OR(
COUNTIF(INDIRECT("数出表_Excel!" &amp;
CHAR(MATCH(TRUE,
ISNUMBER(--INDIRECT("数出表_Excel!"&amp;EG85&amp;MATCH(EL1,数出表_Excel!$A:$A,0)-1&amp;":U"&amp;MATCH(EL1,数出表_Excel!$A:$A,0)-1&amp;"")),0)
+MATCH(TRUE, ISNUMBER(--INDIRECT("数出表_Excel!B" &amp; (MATCH(EL1,数出表_Excel!$A:$A,0)-1) &amp; ":U" &amp; (MATCH(EL1,数出表_Excel!$A:$A,0)-1))), 0)
+MATCH(TRUE, ISNUMBER(--INDIRECT("数出表_Excel!"&amp;EG43&amp; (MATCH(EL1,数出表_Excel!$A:$A,0)-1) &amp; ":U" &amp; (MATCH(EL1,数出表_Excel!$A:$A,0)-1))), 0)
+65) &amp; "3"),"*配膳*"),
COUNTIF(INDIRECT("数出表_Excel!" &amp;
CHAR(MATCH(TRUE,
ISNUMBER(--INDIRECT("数出表_Excel!"&amp;EG85&amp;MATCH(EL1,数出表_Excel!$A:$A,0)-1&amp;":U"&amp;MATCH(EL1,数出表_Excel!$A:$A,0)-1&amp;"")),0)
+MATCH(TRUE, ISNUMBER(--INDIRECT("数出表_Excel!B" &amp; (MATCH(EL1,数出表_Excel!$A:$A,0)-1) &amp; ":U" &amp; (MATCH(EL1,数出表_Excel!$A:$A,0)-1))), 0)
+MATCH(TRUE, ISNUMBER(--INDIRECT("数出表_Excel!"&amp;EG43&amp; (MATCH(EL1,数出表_Excel!$A:$A,0)-1) &amp; ":U" &amp; (MATCH(EL1,数出表_Excel!$A:$A,0)-1))), 0)
+65) &amp; "3"),"*カレー*"),
COUNTIF(EH43,"*合計*")),"",
IF(IFERROR(INDIRECT("数出表_Excel!" &amp;
CHAR(MATCH(TRUE,
ISNUMBER(--INDIRECT("数出表_Excel!"&amp;EG85&amp;MATCH(EL1,数出表_Excel!$A:$A,0)-1&amp;":U"&amp;MATCH(EL1,数出表_Excel!$A:$A,0)-1&amp;"")),0)
+MATCH(TRUE, ISNUMBER(--INDIRECT("数出表_Excel!B" &amp; (MATCH(EL1,数出表_Excel!$A:$A,0)-1) &amp; ":U" &amp; (MATCH(EL1,数出表_Excel!$A:$A,0)-1))), 0)
+MATCH(TRUE, ISNUMBER(--INDIRECT("数出表_Excel!"&amp;EG43&amp; (MATCH(EL1,数出表_Excel!$A:$A,0)-1) &amp; ":U" &amp; (MATCH(EL1,数出表_Excel!$A:$A,0)-1))), 0)
+65) &amp; "3"),0)=0,"",
IFERROR(INDIRECT("数出表_Excel!" &amp;
CHAR(MATCH(TRUE,
ISNUMBER(--INDIRECT("数出表_Excel!"&amp;EG85&amp;MATCH(EL1,数出表_Excel!$A:$A,0)-1&amp;":U"&amp;MATCH(EL1,数出表_Excel!$A:$A,0)-1&amp;"")),0)
+MATCH(TRUE, ISNUMBER(--INDIRECT("数出表_Excel!B" &amp; (MATCH(EL1,数出表_Excel!$A:$A,0)-1) &amp; ":U" &amp; (MATCH(EL1,数出表_Excel!$A:$A,0)-1))), 0)
+MATCH(TRUE, ISNUMBER(--INDIRECT("数出表_Excel!"&amp;EG43&amp; (MATCH(EL1,数出表_Excel!$A:$A,0)-1) &amp; ":U" &amp; (MATCH(EL1,数出表_Excel!$A:$A,0)-1))), 0)
+65) &amp; "3"),""))),"")</f>
        <v/>
      </c>
      <c r="EI86" s="76"/>
      <c r="EJ86" s="82" t="str" cm="1">
        <f t="array" aca="1" ref="EJ86" ca="1">IF(EK86&lt;&gt;"","",
IF(COUNTIF(EH85,"*雙葉*"),"",
IF(EH85&lt;&gt;"",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+MATCH(TRUE,INDIRECT("'数出表_Excel'!"&amp;EG85&amp;MATCH(EL1,数出表_Excel!$A:$A,0)-1&amp;":AL"&amp;MATCH(EL1,数出表_Excel!$A:$A,0)-1&amp;"")&lt;&gt;"",0))&gt;9,"",
IFERROR(
INDEX(INDIRECT("数出表_Excel!$"&amp;EG85&amp;"4:$AL4"),
 1,
MATCH(TRUE,INDIRECT("'数出表_Excel'!"&amp;EG85&amp;MATCH(EL1,数出表_Excel!$A:$A,0)-1&amp;":AL"&amp;MATCH(EL1,数出表_Excel!$A:$A,0)-1&amp;"")&lt;&gt;"",0)
),
 "")
&amp;IFERROR(
INDEX(INDIRECT("数出表_Excel!$"&amp;EG85&amp;"5:$AL5"),
 1,
MATCH(TRUE,INDIRECT("'数出表_Excel'!"&amp;EG85&amp;MATCH(EL1,数出表_Excel!$A:$A,0)-1&amp;":AL"&amp;MATCH(EL1,数出表_Excel!$A:$A,0)-1&amp;"")&lt;&gt;"",0)),
 "")),"")))</f>
        <v/>
      </c>
      <c r="EK86" s="83" t="str" cm="1">
        <f t="array" aca="1" ref="EK86" ca="1">IF(EH86&lt;&gt;"",
IF(COUNTIF(EH85,"*雙葉*"),
IF(ROUND(
IF(EK91&lt;&gt;"",(EH88-EK91),EH88)
/IF(COUNTIF(EH86,"*キャラ*"),
VLOOKUP("*キャラ*",商品マスタ一覧!$D:$J,7,FALSE),
IF(COUNTIF(EH86,"*赤*"),
VLOOKUP("*赤*",商品マスタ一覧!$D:$J,7,FALSE),
VLOOKUP(EH86,商品マスタ一覧!$D:$J,7,FALSE))),0)&lt;=0,1,
ROUND(
IF(EK91&lt;&gt;"",(EH88-EK91),EH88)
/IF(COUNTIF(EH86,"*キャラ*"),
VLOOKUP("*キャラ*",商品マスタ一覧!$D:$J,7,FALSE),
IF(COUNTIF(EH86,"*赤*"),
VLOOKUP("*赤*",商品マスタ一覧!$D:$J,7,FALSE),
VLOOKUP(EH86,商品マスタ一覧!$D:$J,7,FALSE))),0)),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IF(EH86&lt;&gt;"",
IF(IF(COUNTIF(EH86,"*キャラ*"),
VLOOKUP("*キャラ*",商品マスタ一覧!$D:$J,7,FALSE),
IF(COUNTIF(EH86,"*赤*"),
VLOOKUP("*赤*",商品マスタ一覧!$D:$J,7,FALSE),
VLOOKUP(EH86,商品マスタ一覧!$D:$J,7,FALSE)))=0,"",
IF(ROUND(
IF(EK91&lt;&gt;"",(EH88-EK91),EH88)
/IF(COUNTIF(EH86,"*キャラ*"),
VLOOKUP("*キャラ*",商品マスタ一覧!$D:$J,7,FALSE),
IF(COUNTIF(EH86,"*赤*"),
VLOOKUP("*赤*",商品マスタ一覧!$D:$J,7,FALSE),
VLOOKUP(EH86,商品マスタ一覧!$D:$J,7,FALSE))),0)&lt;=0,1,
ROUND(
IF(EK91&lt;&gt;"",(EH88-EK91),EH88)
/IF(COUNTIF(EH86,"*キャラ*"),
VLOOKUP("*キャラ*",商品マスタ一覧!$D:$J,7,FALSE),
IF(COUNTIF(EH86,"*赤*"),
VLOOKUP("*赤*",商品マスタ一覧!$D:$J,7,FALSE),
VLOOKUP(EH86,商品マスタ一覧!$D:$J,7,FALSE))),0))),""),"")),"")</f>
        <v/>
      </c>
      <c r="EL86" s="92" t="str">
        <f ca="1">IF(EK86&lt;&gt;"",IF(EH88&lt;&gt;"",IF(VALUE(IF(EK91&lt;&gt;"",EH88-EK91,EH88))&gt;VALUE(IF(COUNTIF('盛付札（関数）'!EH86,"*キャラ*"),
VLOOKUP("*キャラ*",商品マスタ一覧!$D:$J,7,FALSE),
IF(COUNTIF('盛付札（関数）'!EH86,"*赤*"),
VLOOKUP("*赤*",商品マスタ一覧!$D:$J,7,FALSE),
VLOOKUP('盛付札（関数）'!EH86,商品マスタ一覧!$D:$J,7,FALSE)))*EK86),
"+"&amp;IF(EK91&lt;&gt;"",EH88-EK91,EH88)-IF(COUNTIF('盛付札（関数）'!EH86,"*キャラ*"),
VLOOKUP("*キャラ*",商品マスタ一覧!$D:$J,7,FALSE),
IF(COUNTIF('盛付札（関数）'!EH86,"*赤*"),
VLOOKUP("*赤*",商品マスタ一覧!$D:$J,7,FALSE),
VLOOKUP('盛付札（関数）'!EH86,商品マスタ一覧!$D:$J,7,FALSE)))*EK86,
IF(EK91&lt;&gt;"",EH88-EK91,EH88)-IF(COUNTIF('盛付札（関数）'!EH86,"*キャラ*"),
VLOOKUP("*キャラ*",商品マスタ一覧!$D:$J,7,FALSE),
IF(COUNTIF('盛付札（関数）'!EH86,"*赤*"),
VLOOKUP("*赤*",商品マスタ一覧!$D:$J,7,FALSE),
VLOOKUP('盛付札（関数）'!EH86,商品マスタ一覧!$D:$J,7,FALSE)))*EK86),""),"")</f>
        <v/>
      </c>
      <c r="EM86" s="76"/>
      <c r="EN86" s="81" t="e" cm="1">
        <f t="array" aca="1" ref="EN86" ca="1">IF(EN3&lt;&gt;100,
IF(EO88&lt;&gt;"",MATCH(EO88,INDIRECT("数出表_Excel!B"&amp;MATCH(ES1,数出表_Excel!$A:$A,0)-1&amp;":U"&amp;MATCH(ES1,数出表_Excel!$A:$A,0)-1&amp;""),0)+1,""),
IF(EO88&lt;&gt;"",
MATCH(
IFERROR(
INDEX(INDIRECT("数出表_Excel!"&amp;EN85&amp;MATCH(ES1,数出表_Excel!$A:$A,0)-1&amp;":U"&amp;MATCH(ES1,数出表_Excel!$A:$A,0)-1&amp;""),
 1,
 MATCH(TRUE, ISNUMBER(--INDIRECT("数出表_Excel!"&amp;EN85&amp;MATCH(ES1,数出表_Excel!$A:$A,0)-1&amp;":U"&amp;MATCH(ES1,数出表_Excel!$A:$A,0)-1&amp;"")),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86" s="58" t="str" cm="1">
        <f t="array" aca="1" ref="EO86" ca="1">IFERROR(IF(OR(
COUNTIF(INDIRECT("数出表_Excel!" &amp;
CHAR(MATCH(TRUE,
ISNUMBER(--INDIRECT("数出表_Excel!"&amp;EN85&amp;MATCH(ES1,数出表_Excel!$A:$A,0)-1&amp;":U"&amp;MATCH(ES1,数出表_Excel!$A:$A,0)-1&amp;"")),0)
+MATCH(TRUE, ISNUMBER(--INDIRECT("数出表_Excel!B" &amp; (MATCH(ES1,数出表_Excel!$A:$A,0)-1) &amp; ":U" &amp; (MATCH(ES1,数出表_Excel!$A:$A,0)-1))), 0)
+MATCH(TRUE, ISNUMBER(--INDIRECT("数出表_Excel!"&amp;EN43&amp; (MATCH(ES1,数出表_Excel!$A:$A,0)-1) &amp; ":U" &amp; (MATCH(ES1,数出表_Excel!$A:$A,0)-1))), 0)
+65) &amp; "3"),"*配膳*"),
COUNTIF(INDIRECT("数出表_Excel!" &amp;
CHAR(MATCH(TRUE,
ISNUMBER(--INDIRECT("数出表_Excel!"&amp;EN85&amp;MATCH(ES1,数出表_Excel!$A:$A,0)-1&amp;":U"&amp;MATCH(ES1,数出表_Excel!$A:$A,0)-1&amp;"")),0)
+MATCH(TRUE, ISNUMBER(--INDIRECT("数出表_Excel!B" &amp; (MATCH(ES1,数出表_Excel!$A:$A,0)-1) &amp; ":U" &amp; (MATCH(ES1,数出表_Excel!$A:$A,0)-1))), 0)
+MATCH(TRUE, ISNUMBER(--INDIRECT("数出表_Excel!"&amp;EN43&amp; (MATCH(ES1,数出表_Excel!$A:$A,0)-1) &amp; ":U" &amp; (MATCH(ES1,数出表_Excel!$A:$A,0)-1))), 0)
+65) &amp; "3"),"*カレー*"),
COUNTIF(EO43,"*合計*")),"",
IF(IFERROR(INDIRECT("数出表_Excel!" &amp;
CHAR(MATCH(TRUE,
ISNUMBER(--INDIRECT("数出表_Excel!"&amp;EN85&amp;MATCH(ES1,数出表_Excel!$A:$A,0)-1&amp;":U"&amp;MATCH(ES1,数出表_Excel!$A:$A,0)-1&amp;"")),0)
+MATCH(TRUE, ISNUMBER(--INDIRECT("数出表_Excel!B" &amp; (MATCH(ES1,数出表_Excel!$A:$A,0)-1) &amp; ":U" &amp; (MATCH(ES1,数出表_Excel!$A:$A,0)-1))), 0)
+MATCH(TRUE, ISNUMBER(--INDIRECT("数出表_Excel!"&amp;EN43&amp; (MATCH(ES1,数出表_Excel!$A:$A,0)-1) &amp; ":U" &amp; (MATCH(ES1,数出表_Excel!$A:$A,0)-1))), 0)
+65) &amp; "3"),0)=0,"",
IFERROR(INDIRECT("数出表_Excel!" &amp;
CHAR(MATCH(TRUE,
ISNUMBER(--INDIRECT("数出表_Excel!"&amp;EN85&amp;MATCH(ES1,数出表_Excel!$A:$A,0)-1&amp;":U"&amp;MATCH(ES1,数出表_Excel!$A:$A,0)-1&amp;"")),0)
+MATCH(TRUE, ISNUMBER(--INDIRECT("数出表_Excel!B" &amp; (MATCH(ES1,数出表_Excel!$A:$A,0)-1) &amp; ":U" &amp; (MATCH(ES1,数出表_Excel!$A:$A,0)-1))), 0)
+MATCH(TRUE, ISNUMBER(--INDIRECT("数出表_Excel!"&amp;EN43&amp; (MATCH(ES1,数出表_Excel!$A:$A,0)-1) &amp; ":U" &amp; (MATCH(ES1,数出表_Excel!$A:$A,0)-1))), 0)
+65) &amp; "3"),""))),"")</f>
        <v/>
      </c>
      <c r="EP86" s="76"/>
      <c r="EQ86" s="82" t="str" cm="1">
        <f t="array" aca="1" ref="EQ86" ca="1">IF(ER86&lt;&gt;"","",
IF(COUNTIF(EO85,"*雙葉*"),"",
IF(EO85&lt;&gt;"",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+MATCH(TRUE,INDIRECT("'数出表_Excel'!"&amp;EN85&amp;MATCH(ES1,数出表_Excel!$A:$A,0)-1&amp;":AL"&amp;MATCH(ES1,数出表_Excel!$A:$A,0)-1&amp;"")&lt;&gt;"",0))&gt;9,"",
IFERROR(
INDEX(INDIRECT("数出表_Excel!$"&amp;EN85&amp;"4:$AL4"),
 1,
MATCH(TRUE,INDIRECT("'数出表_Excel'!"&amp;EN85&amp;MATCH(ES1,数出表_Excel!$A:$A,0)-1&amp;":AL"&amp;MATCH(ES1,数出表_Excel!$A:$A,0)-1&amp;"")&lt;&gt;"",0)
),
 "")
&amp;IFERROR(
INDEX(INDIRECT("数出表_Excel!$"&amp;EN85&amp;"5:$AL5"),
 1,
MATCH(TRUE,INDIRECT("'数出表_Excel'!"&amp;EN85&amp;MATCH(ES1,数出表_Excel!$A:$A,0)-1&amp;":AL"&amp;MATCH(ES1,数出表_Excel!$A:$A,0)-1&amp;"")&lt;&gt;"",0)),
 "")),"")))</f>
        <v/>
      </c>
      <c r="ER86" s="83" t="str" cm="1">
        <f t="array" aca="1" ref="ER86" ca="1">IF(EO86&lt;&gt;"",
IF(COUNTIF(EO85,"*雙葉*"),
IF(ROUND(
IF(ER91&lt;&gt;"",(EO88-ER91),EO88)
/IF(COUNTIF(EO86,"*キャラ*"),
VLOOKUP("*キャラ*",商品マスタ一覧!$D:$J,7,FALSE),
IF(COUNTIF(EO86,"*赤*"),
VLOOKUP("*赤*",商品マスタ一覧!$D:$J,7,FALSE),
VLOOKUP(EO86,商品マスタ一覧!$D:$J,7,FALSE))),0)&lt;=0,1,
ROUND(
IF(ER91&lt;&gt;"",(EO88-ER91),EO88)
/IF(COUNTIF(EO86,"*キャラ*"),
VLOOKUP("*キャラ*",商品マスタ一覧!$D:$J,7,FALSE),
IF(COUNTIF(EO86,"*赤*"),
VLOOKUP("*赤*",商品マスタ一覧!$D:$J,7,FALSE),
VLOOKUP(EO86,商品マスタ一覧!$D:$J,7,FALSE))),0)),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IF(EO86&lt;&gt;"",
IF(IF(COUNTIF(EO86,"*キャラ*"),
VLOOKUP("*キャラ*",商品マスタ一覧!$D:$J,7,FALSE),
IF(COUNTIF(EO86,"*赤*"),
VLOOKUP("*赤*",商品マスタ一覧!$D:$J,7,FALSE),
VLOOKUP(EO86,商品マスタ一覧!$D:$J,7,FALSE)))=0,"",
IF(ROUND(
IF(ER91&lt;&gt;"",(EO88-ER91),EO88)
/IF(COUNTIF(EO86,"*キャラ*"),
VLOOKUP("*キャラ*",商品マスタ一覧!$D:$J,7,FALSE),
IF(COUNTIF(EO86,"*赤*"),
VLOOKUP("*赤*",商品マスタ一覧!$D:$J,7,FALSE),
VLOOKUP(EO86,商品マスタ一覧!$D:$J,7,FALSE))),0)&lt;=0,1,
ROUND(
IF(ER91&lt;&gt;"",(EO88-ER91),EO88)
/IF(COUNTIF(EO86,"*キャラ*"),
VLOOKUP("*キャラ*",商品マスタ一覧!$D:$J,7,FALSE),
IF(COUNTIF(EO86,"*赤*"),
VLOOKUP("*赤*",商品マスタ一覧!$D:$J,7,FALSE),
VLOOKUP(EO86,商品マスタ一覧!$D:$J,7,FALSE))),0))),""),"")),"")</f>
        <v/>
      </c>
      <c r="ES86" s="92" t="str">
        <f ca="1">IF(ER86&lt;&gt;"",IF(EO88&lt;&gt;"",IF(VALUE(IF(ER91&lt;&gt;"",EO88-ER91,EO88))&gt;VALUE(IF(COUNTIF('盛付札（関数）'!EO86,"*キャラ*"),
VLOOKUP("*キャラ*",商品マスタ一覧!$D:$J,7,FALSE),
IF(COUNTIF('盛付札（関数）'!EO86,"*赤*"),
VLOOKUP("*赤*",商品マスタ一覧!$D:$J,7,FALSE),
VLOOKUP('盛付札（関数）'!EO86,商品マスタ一覧!$D:$J,7,FALSE)))*ER86),
"+"&amp;IF(ER91&lt;&gt;"",EO88-ER91,EO88)-IF(COUNTIF('盛付札（関数）'!EO86,"*キャラ*"),
VLOOKUP("*キャラ*",商品マスタ一覧!$D:$J,7,FALSE),
IF(COUNTIF('盛付札（関数）'!EO86,"*赤*"),
VLOOKUP("*赤*",商品マスタ一覧!$D:$J,7,FALSE),
VLOOKUP('盛付札（関数）'!EO86,商品マスタ一覧!$D:$J,7,FALSE)))*ER86,
IF(ER91&lt;&gt;"",EO88-ER91,EO88)-IF(COUNTIF('盛付札（関数）'!EO86,"*キャラ*"),
VLOOKUP("*キャラ*",商品マスタ一覧!$D:$J,7,FALSE),
IF(COUNTIF('盛付札（関数）'!EO86,"*赤*"),
VLOOKUP("*赤*",商品マスタ一覧!$D:$J,7,FALSE),
VLOOKUP('盛付札（関数）'!EO86,商品マスタ一覧!$D:$J,7,FALSE)))*ER86),""),"")</f>
        <v/>
      </c>
      <c r="EU86" s="78">
        <f t="shared" si="8"/>
        <v>56</v>
      </c>
      <c r="EV86" s="78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78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78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78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78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78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78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78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78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78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78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78">
        <f t="shared" ca="1" si="7"/>
        <v>0</v>
      </c>
      <c r="FH86" s="78" t="b">
        <f t="array" aca="1" ref="FH86" ca="1">SUMPRODUCT((LEN(EV86:FF86)&gt;0)*1)&gt;0</f>
        <v>0</v>
      </c>
      <c r="FI86" s="78" t="str">
        <f t="array" aca="1" ref="FI86" ca="1">IFERROR(SMALL(IF(FG$1:FG$228&lt;&gt;0,FG$1:FG$228),ROW(A86)),"")</f>
        <v/>
      </c>
      <c r="FJ86" s="78" t="str">
        <f t="array" aca="1" ref="FJ86" ca="1">IF($FI86&lt;&gt;"",
INDIRECT(""&amp;IF(COLUMN(EV128)&lt;=26,CHAR(COLUMN(EV128)+64),CHAR(INT((COLUMN(EV128)-1)/26)+64)&amp;CHAR(MOD(COLUMN(EV128)-1,26)+65))&amp;$FI86&amp;""),"")</f>
        <v/>
      </c>
      <c r="FK86" s="78" t="str">
        <f t="array" aca="1" ref="FK86" ca="1">IF($FI86&lt;&gt;"",
INDIRECT(""&amp;IF(COLUMN(EW128)&lt;=26,CHAR(COLUMN(EW128)+64),CHAR(INT((COLUMN(EW128)-1)/26)+64)&amp;CHAR(MOD(COLUMN(EW128)-1,26)+65))&amp;$FI86&amp;""),"")</f>
        <v/>
      </c>
      <c r="FL86" s="78" t="str">
        <f t="array" aca="1" ref="FL86" ca="1">IF($FI86&lt;&gt;"",
INDIRECT(""&amp;IF(COLUMN(EX128)&lt;=26,CHAR(COLUMN(EX128)+64),CHAR(INT((COLUMN(EX128)-1)/26)+64)&amp;CHAR(MOD(COLUMN(EX128)-1,26)+65))&amp;$FI86&amp;""),"")</f>
        <v/>
      </c>
      <c r="FM86" s="78" t="str">
        <f t="array" aca="1" ref="FM86" ca="1">IF($FI86&lt;&gt;"",
IF(FL86="",
IF(INDIRECT("EY"&amp;$FI86&amp;"")&lt;&gt;"",
INDIRECT("EY"&amp;$FI86&amp;"")&amp;"箱"
&amp;INDIRECT("EZ"&amp;$FI86&amp;""),""),""),"")</f>
        <v/>
      </c>
      <c r="FN86" s="78" t="str">
        <f t="array" aca="1" ref="FN86" ca="1">IF($FI86&lt;&gt;"",
INDIRECT(""&amp;IF(COLUMN(FA128)&lt;=26,CHAR(COLUMN(FA128)+64),CHAR(INT((COLUMN(FA128)-1)/26)+64)&amp;CHAR(MOD(COLUMN(FA128)-1,26)+65))&amp;$FI86&amp;""),"")</f>
        <v/>
      </c>
      <c r="FO86" s="78" t="str">
        <f t="array" aca="1" ref="FO86" ca="1">IF($FI86&lt;&gt;"",
INDIRECT(""&amp;IF(COLUMN(FB128)&lt;=26,CHAR(COLUMN(FB128)+64),CHAR(INT((COLUMN(FB128)-1)/26)+64)&amp;CHAR(MOD(COLUMN(FB128)-1,26)+65))&amp;$FI86&amp;""),"")</f>
        <v/>
      </c>
      <c r="FP86" s="78" t="str">
        <f t="array" aca="1" ref="FP86" ca="1">IF($FI86&lt;&gt;"",
INDIRECT(""&amp;IF(COLUMN(FC128)&lt;=26,CHAR(COLUMN(FC128)+64),CHAR(INT((COLUMN(FC128)-1)/26)+64)&amp;CHAR(MOD(COLUMN(FC128)-1,26)+65))&amp;$FI86&amp;""),"")</f>
        <v/>
      </c>
      <c r="FQ86" s="78" t="str">
        <f t="array" aca="1" ref="FQ86" ca="1">IF($FI86&lt;&gt;"",
INDIRECT(""&amp;IF(COLUMN(FD128)&lt;=26,CHAR(COLUMN(FD128)+64),CHAR(INT((COLUMN(FD128)-1)/26)+64)&amp;CHAR(MOD(COLUMN(FD128)-1,26)+65))&amp;$FI86&amp;""),"")</f>
        <v/>
      </c>
      <c r="FR86" s="78" t="str">
        <f t="array" aca="1" ref="FR86" ca="1">IF($FI86&lt;&gt;"",
INDIRECT(""&amp;IF(COLUMN(FE128)&lt;=26,CHAR(COLUMN(FE128)+64),CHAR(INT((COLUMN(FE128)-1)/26)+64)&amp;CHAR(MOD(COLUMN(FE128)-1,26)+65))&amp;$FI86&amp;""),"")</f>
        <v/>
      </c>
      <c r="FS86" s="78" t="str">
        <f t="array" aca="1" ref="FS86" ca="1">IF($FI86&lt;&gt;"",
INDIRECT(""&amp;IF(COLUMN(FF128)&lt;=26,CHAR(COLUMN(FF128)+64),CHAR(INT((COLUMN(FF128)-1)/26)+64)&amp;CHAR(MOD(COLUMN(FF128)-1,26)+65))&amp;$FI86&amp;""),"")</f>
        <v/>
      </c>
    </row>
    <row r="87" spans="1:175" ht="22.2" customHeight="1" x14ac:dyDescent="0.55000000000000004">
      <c r="B87" s="84" t="str" cm="1">
        <f t="array" aca="1" ref="B87" ca="1">IF(C85&lt;&gt;"",SUBSTITUTE(ADDRESS(1,
(COLUMN(INDIRECT("数出表_Excel!"&amp;B85&amp;1&amp;""))-2 +
MATCH(TRUE, ISNUMBER(--INDIRECT("数出表_Excel!"&amp;B85&amp; (MATCH(INDIRECT(""&amp;G85&amp;ROW()-86&amp;""),数出表_Excel!$A:$A,0)-1) &amp; ":U" &amp; (MATCH(INDIRECT(""&amp;G85&amp;ROW()-86&amp;""),数出表_Excel!$A:$A,0)-1))), 0))
*2,4),"1",""),"")</f>
        <v/>
      </c>
      <c r="C87" s="249" t="str">
        <f ca="1">IF(C88&lt;&gt;"","園児","")</f>
        <v/>
      </c>
      <c r="D87" s="250"/>
      <c r="E87" s="251" t="str">
        <f ca="1">IF(C88&lt;&gt;"","先生","")</f>
        <v/>
      </c>
      <c r="F87" s="250"/>
      <c r="G87" s="97" cm="1">
        <f t="array" aca="1" ref="G87" ca="1">IF(C85&lt;&gt;"",
IF(IFERROR(
INDEX(INDIRECT("'数出表_Excel（アレルギー入力）'!"&amp;B87&amp;MATCH(G1,'数出表_Excel（アレルギー入力）'!$A:$A,0)-1&amp;":"&amp;G89&amp;MATCH(G1,'数出表_Excel（アレルギー入力）'!$A:$A,0)-1&amp;""),
 1,
MATCH(TRUE,INDIRECT("'数出表_Excel（アレルギー入力）'!"&amp;B87&amp;MATCH(G1,'数出表_Excel（アレルギー入力）'!$A:$A,0)-1&amp;":"&amp;G89&amp;MATCH(G1,'数出表_Excel（アレルギー入力）'!$A:$A,0)-1&amp;"")&lt;&gt;"",0)+1),
 "")&lt;&gt;0,
IF(IFERROR(
INDEX(INDIRECT("'数出表_Excel（アレルギー入力）'!"&amp;B87&amp;MATCH(G1,'数出表_Excel（アレルギー入力）'!$A:$A,0)-1&amp;":"&amp;G89&amp;MATCH(G1,'数出表_Excel（アレルギー入力）'!$A:$A,0)-1&amp;""),
 1,
MATCH(TRUE,INDIRECT("'数出表_Excel（アレルギー入力）'!"&amp;B87&amp;MATCH(G1,'数出表_Excel（アレルギー入力）'!$A:$A,0)-1&amp;":"&amp;G89&amp;MATCH(G1,'数出表_Excel（アレルギー入力）'!$A:$A,0)-1&amp;"")&lt;&gt;"",0)+1),
 "")="",
0,
IFERROR(
INDEX(INDIRECT("'数出表_Excel（アレルギー入力）'!"&amp;B87&amp;MATCH(G1,'数出表_Excel（アレルギー入力）'!$A:$A,0)-1&amp;":"&amp;G89&amp;MATCH(G1,'数出表_Excel（アレルギー入力）'!$A:$A,0)-1&amp;""),
 1,
MATCH(TRUE,INDIRECT("'数出表_Excel（アレルギー入力）'!"&amp;B87&amp;MATCH(G1,'数出表_Excel（アレルギー入力）'!$A:$A,0)-1&amp;":"&amp;G89&amp;MATCH(G1,'数出表_Excel（アレルギー入力）'!$A:$A,0)-1&amp;"")&lt;&gt;"",0)+1),
 "")),IFERROR(
INDEX(INDIRECT("'数出表_Excel（アレルギー入力）'!"&amp;B87&amp;MATCH(G1,'数出表_Excel（アレルギー入力）'!$A:$A,0)-1&amp;":"&amp;G89&amp;MATCH(G1,'数出表_Excel（アレルギー入力）'!$A:$A,0)-1&amp;""),
 1,
MATCH(TRUE,INDIRECT("'数出表_Excel（アレルギー入力）'!"&amp;B87&amp;MATCH(G1,'数出表_Excel（アレルギー入力）'!$A:$A,0)-1&amp;":"&amp;G89&amp;MATCH(G1,'数出表_Excel（アレルギー入力）'!$A:$A,0)-1&amp;"")&lt;&gt;"",0)+1),
 "")),0)</f>
        <v>0</v>
      </c>
      <c r="H87" s="76"/>
      <c r="I87" s="84" t="str" cm="1">
        <f t="array" aca="1" ref="I87" ca="1">IF(J85&lt;&gt;"",SUBSTITUTE(ADDRESS(1,
(COLUMN(INDIRECT("数出表_Excel!"&amp;I85&amp;1&amp;""))-2 +
MATCH(TRUE, ISNUMBER(--INDIRECT("数出表_Excel!"&amp;I85&amp; (MATCH(INDIRECT(""&amp;N85&amp;ROW()-86&amp;""),数出表_Excel!$A:$A,0)-1) &amp; ":U" &amp; (MATCH(INDIRECT(""&amp;N85&amp;ROW()-86&amp;""),数出表_Excel!$A:$A,0)-1))), 0))
*2,4),"1",""),"")</f>
        <v/>
      </c>
      <c r="J87" s="249" t="str">
        <f ca="1">IF(J88&lt;&gt;"","園児","")</f>
        <v/>
      </c>
      <c r="K87" s="250"/>
      <c r="L87" s="251" t="str">
        <f ca="1">IF(J88&lt;&gt;"","先生","")</f>
        <v/>
      </c>
      <c r="M87" s="250"/>
      <c r="N87" s="97" cm="1">
        <f t="array" aca="1" ref="N87" ca="1">IF(J85&lt;&gt;"",
IF(IFERROR(
INDEX(INDIRECT("'数出表_Excel（アレルギー入力）'!"&amp;I87&amp;MATCH(N1,'数出表_Excel（アレルギー入力）'!$A:$A,0)-1&amp;":"&amp;N89&amp;MATCH(N1,'数出表_Excel（アレルギー入力）'!$A:$A,0)-1&amp;""),
 1,
MATCH(TRUE,INDIRECT("'数出表_Excel（アレルギー入力）'!"&amp;I87&amp;MATCH(N1,'数出表_Excel（アレルギー入力）'!$A:$A,0)-1&amp;":"&amp;N89&amp;MATCH(N1,'数出表_Excel（アレルギー入力）'!$A:$A,0)-1&amp;"")&lt;&gt;"",0)+1),
 "")&lt;&gt;0,
IF(IFERROR(
INDEX(INDIRECT("'数出表_Excel（アレルギー入力）'!"&amp;I87&amp;MATCH(N1,'数出表_Excel（アレルギー入力）'!$A:$A,0)-1&amp;":"&amp;N89&amp;MATCH(N1,'数出表_Excel（アレルギー入力）'!$A:$A,0)-1&amp;""),
 1,
MATCH(TRUE,INDIRECT("'数出表_Excel（アレルギー入力）'!"&amp;I87&amp;MATCH(N1,'数出表_Excel（アレルギー入力）'!$A:$A,0)-1&amp;":"&amp;N89&amp;MATCH(N1,'数出表_Excel（アレルギー入力）'!$A:$A,0)-1&amp;"")&lt;&gt;"",0)+1),
 "")="",
0,
IFERROR(
INDEX(INDIRECT("'数出表_Excel（アレルギー入力）'!"&amp;I87&amp;MATCH(N1,'数出表_Excel（アレルギー入力）'!$A:$A,0)-1&amp;":"&amp;N89&amp;MATCH(N1,'数出表_Excel（アレルギー入力）'!$A:$A,0)-1&amp;""),
 1,
MATCH(TRUE,INDIRECT("'数出表_Excel（アレルギー入力）'!"&amp;I87&amp;MATCH(N1,'数出表_Excel（アレルギー入力）'!$A:$A,0)-1&amp;":"&amp;N89&amp;MATCH(N1,'数出表_Excel（アレルギー入力）'!$A:$A,0)-1&amp;"")&lt;&gt;"",0)+1),
 "")),IFERROR(
INDEX(INDIRECT("'数出表_Excel（アレルギー入力）'!"&amp;I87&amp;MATCH(N1,'数出表_Excel（アレルギー入力）'!$A:$A,0)-1&amp;":"&amp;N89&amp;MATCH(N1,'数出表_Excel（アレルギー入力）'!$A:$A,0)-1&amp;""),
 1,
MATCH(TRUE,INDIRECT("'数出表_Excel（アレルギー入力）'!"&amp;I87&amp;MATCH(N1,'数出表_Excel（アレルギー入力）'!$A:$A,0)-1&amp;":"&amp;N89&amp;MATCH(N1,'数出表_Excel（アレルギー入力）'!$A:$A,0)-1&amp;"")&lt;&gt;"",0)+1),
 "")),0)</f>
        <v>0</v>
      </c>
      <c r="Q87" s="84" t="str" cm="1">
        <f t="array" aca="1" ref="Q87" ca="1">IF(R85&lt;&gt;"",SUBSTITUTE(ADDRESS(1,
(COLUMN(INDIRECT("数出表_Excel!"&amp;Q85&amp;1&amp;""))-2 +
MATCH(TRUE, ISNUMBER(--INDIRECT("数出表_Excel!"&amp;Q85&amp; (MATCH(INDIRECT(""&amp;V85&amp;ROW()-86&amp;""),数出表_Excel!$A:$A,0)-1) &amp; ":U" &amp; (MATCH(INDIRECT(""&amp;V85&amp;ROW()-86&amp;""),数出表_Excel!$A:$A,0)-1))), 0))
*2,4),"1",""),"")</f>
        <v/>
      </c>
      <c r="R87" s="249" t="str">
        <f ca="1">IF(R88&lt;&gt;"","園児","")</f>
        <v/>
      </c>
      <c r="S87" s="250"/>
      <c r="T87" s="251" t="str">
        <f ca="1">IF(R88&lt;&gt;"","先生","")</f>
        <v/>
      </c>
      <c r="U87" s="250"/>
      <c r="V87" s="97" cm="1">
        <f t="array" aca="1" ref="V87" ca="1">IF(R85&lt;&gt;"",
IF(IFERROR(
INDEX(INDIRECT("'数出表_Excel（アレルギー入力）'!"&amp;Q87&amp;MATCH(V1,'数出表_Excel（アレルギー入力）'!$A:$A,0)-1&amp;":"&amp;V89&amp;MATCH(V1,'数出表_Excel（アレルギー入力）'!$A:$A,0)-1&amp;""),
 1,
MATCH(TRUE,INDIRECT("'数出表_Excel（アレルギー入力）'!"&amp;Q87&amp;MATCH(V1,'数出表_Excel（アレルギー入力）'!$A:$A,0)-1&amp;":"&amp;V89&amp;MATCH(V1,'数出表_Excel（アレルギー入力）'!$A:$A,0)-1&amp;"")&lt;&gt;"",0)+1),
 "")&lt;&gt;0,
IF(IFERROR(
INDEX(INDIRECT("'数出表_Excel（アレルギー入力）'!"&amp;Q87&amp;MATCH(V1,'数出表_Excel（アレルギー入力）'!$A:$A,0)-1&amp;":"&amp;V89&amp;MATCH(V1,'数出表_Excel（アレルギー入力）'!$A:$A,0)-1&amp;""),
 1,
MATCH(TRUE,INDIRECT("'数出表_Excel（アレルギー入力）'!"&amp;Q87&amp;MATCH(V1,'数出表_Excel（アレルギー入力）'!$A:$A,0)-1&amp;":"&amp;V89&amp;MATCH(V1,'数出表_Excel（アレルギー入力）'!$A:$A,0)-1&amp;"")&lt;&gt;"",0)+1),
 "")="",
0,
IFERROR(
INDEX(INDIRECT("'数出表_Excel（アレルギー入力）'!"&amp;Q87&amp;MATCH(V1,'数出表_Excel（アレルギー入力）'!$A:$A,0)-1&amp;":"&amp;V89&amp;MATCH(V1,'数出表_Excel（アレルギー入力）'!$A:$A,0)-1&amp;""),
 1,
MATCH(TRUE,INDIRECT("'数出表_Excel（アレルギー入力）'!"&amp;Q87&amp;MATCH(V1,'数出表_Excel（アレルギー入力）'!$A:$A,0)-1&amp;":"&amp;V89&amp;MATCH(V1,'数出表_Excel（アレルギー入力）'!$A:$A,0)-1&amp;"")&lt;&gt;"",0)+1),
 "")),IFERROR(
INDEX(INDIRECT("'数出表_Excel（アレルギー入力）'!"&amp;Q87&amp;MATCH(V1,'数出表_Excel（アレルギー入力）'!$A:$A,0)-1&amp;":"&amp;V89&amp;MATCH(V1,'数出表_Excel（アレルギー入力）'!$A:$A,0)-1&amp;""),
 1,
MATCH(TRUE,INDIRECT("'数出表_Excel（アレルギー入力）'!"&amp;Q87&amp;MATCH(V1,'数出表_Excel（アレルギー入力）'!$A:$A,0)-1&amp;":"&amp;V89&amp;MATCH(V1,'数出表_Excel（アレルギー入力）'!$A:$A,0)-1&amp;"")&lt;&gt;"",0)+1),
 "")),0)</f>
        <v>0</v>
      </c>
      <c r="W87" s="76"/>
      <c r="X87" s="84" t="str" cm="1">
        <f t="array" aca="1" ref="X87" ca="1">IF(Y85&lt;&gt;"",SUBSTITUTE(ADDRESS(1,
(COLUMN(INDIRECT("数出表_Excel!"&amp;X85&amp;1&amp;""))-2 +
MATCH(TRUE, ISNUMBER(--INDIRECT("数出表_Excel!"&amp;X85&amp; (MATCH(INDIRECT(""&amp;AC85&amp;ROW()-86&amp;""),数出表_Excel!$A:$A,0)-1) &amp; ":U" &amp; (MATCH(INDIRECT(""&amp;AC85&amp;ROW()-86&amp;""),数出表_Excel!$A:$A,0)-1))), 0))
*2,4),"1",""),"")</f>
        <v/>
      </c>
      <c r="Y87" s="249" t="str">
        <f ca="1">IF(Y88&lt;&gt;"","園児","")</f>
        <v/>
      </c>
      <c r="Z87" s="250"/>
      <c r="AA87" s="251" t="str">
        <f ca="1">IF(Y88&lt;&gt;"","先生","")</f>
        <v/>
      </c>
      <c r="AB87" s="250"/>
      <c r="AC87" s="97" cm="1">
        <f t="array" aca="1" ref="AC87" ca="1">IF(Y85&lt;&gt;"",
IF(IFERROR(
INDEX(INDIRECT("'数出表_Excel（アレルギー入力）'!"&amp;X87&amp;MATCH(AC1,'数出表_Excel（アレルギー入力）'!$A:$A,0)-1&amp;":"&amp;AC89&amp;MATCH(AC1,'数出表_Excel（アレルギー入力）'!$A:$A,0)-1&amp;""),
 1,
MATCH(TRUE,INDIRECT("'数出表_Excel（アレルギー入力）'!"&amp;X87&amp;MATCH(AC1,'数出表_Excel（アレルギー入力）'!$A:$A,0)-1&amp;":"&amp;AC89&amp;MATCH(AC1,'数出表_Excel（アレルギー入力）'!$A:$A,0)-1&amp;"")&lt;&gt;"",0)+1),
 "")&lt;&gt;0,
IF(IFERROR(
INDEX(INDIRECT("'数出表_Excel（アレルギー入力）'!"&amp;X87&amp;MATCH(AC1,'数出表_Excel（アレルギー入力）'!$A:$A,0)-1&amp;":"&amp;AC89&amp;MATCH(AC1,'数出表_Excel（アレルギー入力）'!$A:$A,0)-1&amp;""),
 1,
MATCH(TRUE,INDIRECT("'数出表_Excel（アレルギー入力）'!"&amp;X87&amp;MATCH(AC1,'数出表_Excel（アレルギー入力）'!$A:$A,0)-1&amp;":"&amp;AC89&amp;MATCH(AC1,'数出表_Excel（アレルギー入力）'!$A:$A,0)-1&amp;"")&lt;&gt;"",0)+1),
 "")="",
0,
IFERROR(
INDEX(INDIRECT("'数出表_Excel（アレルギー入力）'!"&amp;X87&amp;MATCH(AC1,'数出表_Excel（アレルギー入力）'!$A:$A,0)-1&amp;":"&amp;AC89&amp;MATCH(AC1,'数出表_Excel（アレルギー入力）'!$A:$A,0)-1&amp;""),
 1,
MATCH(TRUE,INDIRECT("'数出表_Excel（アレルギー入力）'!"&amp;X87&amp;MATCH(AC1,'数出表_Excel（アレルギー入力）'!$A:$A,0)-1&amp;":"&amp;AC89&amp;MATCH(AC1,'数出表_Excel（アレルギー入力）'!$A:$A,0)-1&amp;"")&lt;&gt;"",0)+1),
 "")),IFERROR(
INDEX(INDIRECT("'数出表_Excel（アレルギー入力）'!"&amp;X87&amp;MATCH(AC1,'数出表_Excel（アレルギー入力）'!$A:$A,0)-1&amp;":"&amp;AC89&amp;MATCH(AC1,'数出表_Excel（アレルギー入力）'!$A:$A,0)-1&amp;""),
 1,
MATCH(TRUE,INDIRECT("'数出表_Excel（アレルギー入力）'!"&amp;X87&amp;MATCH(AC1,'数出表_Excel（アレルギー入力）'!$A:$A,0)-1&amp;":"&amp;AC89&amp;MATCH(AC1,'数出表_Excel（アレルギー入力）'!$A:$A,0)-1&amp;"")&lt;&gt;"",0)+1),
 "")),0)</f>
        <v>0</v>
      </c>
      <c r="AF87" s="84" t="str" cm="1">
        <f t="array" aca="1" ref="AF87" ca="1">IF(AG85&lt;&gt;"",SUBSTITUTE(ADDRESS(1,
(COLUMN(INDIRECT("数出表_Excel!"&amp;AF85&amp;1&amp;""))-2 +
MATCH(TRUE, ISNUMBER(--INDIRECT("数出表_Excel!"&amp;AF85&amp; (MATCH(INDIRECT(""&amp;AK85&amp;ROW()-86&amp;""),数出表_Excel!$A:$A,0)-1) &amp; ":U" &amp; (MATCH(INDIRECT(""&amp;AK85&amp;ROW()-86&amp;""),数出表_Excel!$A:$A,0)-1))), 0))
*2,4),"1",""),"")</f>
        <v/>
      </c>
      <c r="AG87" s="249" t="str">
        <f ca="1">IF(AG88&lt;&gt;"","園児","")</f>
        <v/>
      </c>
      <c r="AH87" s="250"/>
      <c r="AI87" s="251" t="str">
        <f ca="1">IF(AG88&lt;&gt;"","先生","")</f>
        <v/>
      </c>
      <c r="AJ87" s="250"/>
      <c r="AK87" s="97" cm="1">
        <f t="array" aca="1" ref="AK87" ca="1">IF(AG85&lt;&gt;"",
IF(IFERROR(
INDEX(INDIRECT("'数出表_Excel（アレルギー入力）'!"&amp;AF87&amp;MATCH(AK1,'数出表_Excel（アレルギー入力）'!$A:$A,0)-1&amp;":"&amp;AK89&amp;MATCH(AK1,'数出表_Excel（アレルギー入力）'!$A:$A,0)-1&amp;""),
 1,
MATCH(TRUE,INDIRECT("'数出表_Excel（アレルギー入力）'!"&amp;AF87&amp;MATCH(AK1,'数出表_Excel（アレルギー入力）'!$A:$A,0)-1&amp;":"&amp;AK89&amp;MATCH(AK1,'数出表_Excel（アレルギー入力）'!$A:$A,0)-1&amp;"")&lt;&gt;"",0)+1),
 "")&lt;&gt;0,
IF(IFERROR(
INDEX(INDIRECT("'数出表_Excel（アレルギー入力）'!"&amp;AF87&amp;MATCH(AK1,'数出表_Excel（アレルギー入力）'!$A:$A,0)-1&amp;":"&amp;AK89&amp;MATCH(AK1,'数出表_Excel（アレルギー入力）'!$A:$A,0)-1&amp;""),
 1,
MATCH(TRUE,INDIRECT("'数出表_Excel（アレルギー入力）'!"&amp;AF87&amp;MATCH(AK1,'数出表_Excel（アレルギー入力）'!$A:$A,0)-1&amp;":"&amp;AK89&amp;MATCH(AK1,'数出表_Excel（アレルギー入力）'!$A:$A,0)-1&amp;"")&lt;&gt;"",0)+1),
 "")="",
0,
IFERROR(
INDEX(INDIRECT("'数出表_Excel（アレルギー入力）'!"&amp;AF87&amp;MATCH(AK1,'数出表_Excel（アレルギー入力）'!$A:$A,0)-1&amp;":"&amp;AK89&amp;MATCH(AK1,'数出表_Excel（アレルギー入力）'!$A:$A,0)-1&amp;""),
 1,
MATCH(TRUE,INDIRECT("'数出表_Excel（アレルギー入力）'!"&amp;AF87&amp;MATCH(AK1,'数出表_Excel（アレルギー入力）'!$A:$A,0)-1&amp;":"&amp;AK89&amp;MATCH(AK1,'数出表_Excel（アレルギー入力）'!$A:$A,0)-1&amp;"")&lt;&gt;"",0)+1),
 "")),IFERROR(
INDEX(INDIRECT("'数出表_Excel（アレルギー入力）'!"&amp;AF87&amp;MATCH(AK1,'数出表_Excel（アレルギー入力）'!$A:$A,0)-1&amp;":"&amp;AK89&amp;MATCH(AK1,'数出表_Excel（アレルギー入力）'!$A:$A,0)-1&amp;""),
 1,
MATCH(TRUE,INDIRECT("'数出表_Excel（アレルギー入力）'!"&amp;AF87&amp;MATCH(AK1,'数出表_Excel（アレルギー入力）'!$A:$A,0)-1&amp;":"&amp;AK89&amp;MATCH(AK1,'数出表_Excel（アレルギー入力）'!$A:$A,0)-1&amp;"")&lt;&gt;"",0)+1),
 "")),0)</f>
        <v>0</v>
      </c>
      <c r="AL87" s="76"/>
      <c r="AM87" s="84" t="str" cm="1">
        <f t="array" aca="1" ref="AM87" ca="1">IF(AN85&lt;&gt;"",SUBSTITUTE(ADDRESS(1,
(COLUMN(INDIRECT("数出表_Excel!"&amp;AM85&amp;1&amp;""))-2 +
MATCH(TRUE, ISNUMBER(--INDIRECT("数出表_Excel!"&amp;AM85&amp; (MATCH(INDIRECT(""&amp;AR85&amp;ROW()-86&amp;""),数出表_Excel!$A:$A,0)-1) &amp; ":U" &amp; (MATCH(INDIRECT(""&amp;AR85&amp;ROW()-86&amp;""),数出表_Excel!$A:$A,0)-1))), 0))
*2,4),"1",""),"")</f>
        <v/>
      </c>
      <c r="AN87" s="249" t="str">
        <f ca="1">IF(AN88&lt;&gt;"","園児","")</f>
        <v/>
      </c>
      <c r="AO87" s="250"/>
      <c r="AP87" s="251" t="str">
        <f ca="1">IF(AN88&lt;&gt;"","先生","")</f>
        <v/>
      </c>
      <c r="AQ87" s="250"/>
      <c r="AR87" s="97" cm="1">
        <f t="array" aca="1" ref="AR87" ca="1">IF(AN85&lt;&gt;"",
IF(IFERROR(
INDEX(INDIRECT("'数出表_Excel（アレルギー入力）'!"&amp;AM87&amp;MATCH(AR1,'数出表_Excel（アレルギー入力）'!$A:$A,0)-1&amp;":"&amp;AR89&amp;MATCH(AR1,'数出表_Excel（アレルギー入力）'!$A:$A,0)-1&amp;""),
 1,
MATCH(TRUE,INDIRECT("'数出表_Excel（アレルギー入力）'!"&amp;AM87&amp;MATCH(AR1,'数出表_Excel（アレルギー入力）'!$A:$A,0)-1&amp;":"&amp;AR89&amp;MATCH(AR1,'数出表_Excel（アレルギー入力）'!$A:$A,0)-1&amp;"")&lt;&gt;"",0)+1),
 "")&lt;&gt;0,
IF(IFERROR(
INDEX(INDIRECT("'数出表_Excel（アレルギー入力）'!"&amp;AM87&amp;MATCH(AR1,'数出表_Excel（アレルギー入力）'!$A:$A,0)-1&amp;":"&amp;AR89&amp;MATCH(AR1,'数出表_Excel（アレルギー入力）'!$A:$A,0)-1&amp;""),
 1,
MATCH(TRUE,INDIRECT("'数出表_Excel（アレルギー入力）'!"&amp;AM87&amp;MATCH(AR1,'数出表_Excel（アレルギー入力）'!$A:$A,0)-1&amp;":"&amp;AR89&amp;MATCH(AR1,'数出表_Excel（アレルギー入力）'!$A:$A,0)-1&amp;"")&lt;&gt;"",0)+1),
 "")="",
0,
IFERROR(
INDEX(INDIRECT("'数出表_Excel（アレルギー入力）'!"&amp;AM87&amp;MATCH(AR1,'数出表_Excel（アレルギー入力）'!$A:$A,0)-1&amp;":"&amp;AR89&amp;MATCH(AR1,'数出表_Excel（アレルギー入力）'!$A:$A,0)-1&amp;""),
 1,
MATCH(TRUE,INDIRECT("'数出表_Excel（アレルギー入力）'!"&amp;AM87&amp;MATCH(AR1,'数出表_Excel（アレルギー入力）'!$A:$A,0)-1&amp;":"&amp;AR89&amp;MATCH(AR1,'数出表_Excel（アレルギー入力）'!$A:$A,0)-1&amp;"")&lt;&gt;"",0)+1),
 "")),IFERROR(
INDEX(INDIRECT("'数出表_Excel（アレルギー入力）'!"&amp;AM87&amp;MATCH(AR1,'数出表_Excel（アレルギー入力）'!$A:$A,0)-1&amp;":"&amp;AR89&amp;MATCH(AR1,'数出表_Excel（アレルギー入力）'!$A:$A,0)-1&amp;""),
 1,
MATCH(TRUE,INDIRECT("'数出表_Excel（アレルギー入力）'!"&amp;AM87&amp;MATCH(AR1,'数出表_Excel（アレルギー入力）'!$A:$A,0)-1&amp;":"&amp;AR89&amp;MATCH(AR1,'数出表_Excel（アレルギー入力）'!$A:$A,0)-1&amp;"")&lt;&gt;"",0)+1),
 "")),0)</f>
        <v>0</v>
      </c>
      <c r="AU87" s="84" t="str" cm="1">
        <f t="array" aca="1" ref="AU87" ca="1">IF(AV85&lt;&gt;"",SUBSTITUTE(ADDRESS(1,
(COLUMN(INDIRECT("数出表_Excel!"&amp;AU85&amp;1&amp;""))-2 +
MATCH(TRUE, ISNUMBER(--INDIRECT("数出表_Excel!"&amp;AU85&amp; (MATCH(INDIRECT(""&amp;AZ85&amp;ROW()-86&amp;""),数出表_Excel!$A:$A,0)-1) &amp; ":U" &amp; (MATCH(INDIRECT(""&amp;AZ85&amp;ROW()-86&amp;""),数出表_Excel!$A:$A,0)-1))), 0))
*2,4),"1",""),"")</f>
        <v/>
      </c>
      <c r="AV87" s="249" t="str">
        <f ca="1">IF(AV88&lt;&gt;"","園児","")</f>
        <v/>
      </c>
      <c r="AW87" s="250"/>
      <c r="AX87" s="251" t="str">
        <f ca="1">IF(AV88&lt;&gt;"","先生","")</f>
        <v/>
      </c>
      <c r="AY87" s="250"/>
      <c r="AZ87" s="97" cm="1">
        <f t="array" aca="1" ref="AZ87" ca="1">IF(AV85&lt;&gt;"",
IF(IFERROR(
INDEX(INDIRECT("'数出表_Excel（アレルギー入力）'!"&amp;AU87&amp;MATCH(AZ1,'数出表_Excel（アレルギー入力）'!$A:$A,0)-1&amp;":"&amp;AZ89&amp;MATCH(AZ1,'数出表_Excel（アレルギー入力）'!$A:$A,0)-1&amp;""),
 1,
MATCH(TRUE,INDIRECT("'数出表_Excel（アレルギー入力）'!"&amp;AU87&amp;MATCH(AZ1,'数出表_Excel（アレルギー入力）'!$A:$A,0)-1&amp;":"&amp;AZ89&amp;MATCH(AZ1,'数出表_Excel（アレルギー入力）'!$A:$A,0)-1&amp;"")&lt;&gt;"",0)+1),
 "")&lt;&gt;0,
IF(IFERROR(
INDEX(INDIRECT("'数出表_Excel（アレルギー入力）'!"&amp;AU87&amp;MATCH(AZ1,'数出表_Excel（アレルギー入力）'!$A:$A,0)-1&amp;":"&amp;AZ89&amp;MATCH(AZ1,'数出表_Excel（アレルギー入力）'!$A:$A,0)-1&amp;""),
 1,
MATCH(TRUE,INDIRECT("'数出表_Excel（アレルギー入力）'!"&amp;AU87&amp;MATCH(AZ1,'数出表_Excel（アレルギー入力）'!$A:$A,0)-1&amp;":"&amp;AZ89&amp;MATCH(AZ1,'数出表_Excel（アレルギー入力）'!$A:$A,0)-1&amp;"")&lt;&gt;"",0)+1),
 "")="",
0,
IFERROR(
INDEX(INDIRECT("'数出表_Excel（アレルギー入力）'!"&amp;AU87&amp;MATCH(AZ1,'数出表_Excel（アレルギー入力）'!$A:$A,0)-1&amp;":"&amp;AZ89&amp;MATCH(AZ1,'数出表_Excel（アレルギー入力）'!$A:$A,0)-1&amp;""),
 1,
MATCH(TRUE,INDIRECT("'数出表_Excel（アレルギー入力）'!"&amp;AU87&amp;MATCH(AZ1,'数出表_Excel（アレルギー入力）'!$A:$A,0)-1&amp;":"&amp;AZ89&amp;MATCH(AZ1,'数出表_Excel（アレルギー入力）'!$A:$A,0)-1&amp;"")&lt;&gt;"",0)+1),
 "")),IFERROR(
INDEX(INDIRECT("'数出表_Excel（アレルギー入力）'!"&amp;AU87&amp;MATCH(AZ1,'数出表_Excel（アレルギー入力）'!$A:$A,0)-1&amp;":"&amp;AZ89&amp;MATCH(AZ1,'数出表_Excel（アレルギー入力）'!$A:$A,0)-1&amp;""),
 1,
MATCH(TRUE,INDIRECT("'数出表_Excel（アレルギー入力）'!"&amp;AU87&amp;MATCH(AZ1,'数出表_Excel（アレルギー入力）'!$A:$A,0)-1&amp;":"&amp;AZ89&amp;MATCH(AZ1,'数出表_Excel（アレルギー入力）'!$A:$A,0)-1&amp;"")&lt;&gt;"",0)+1),
 "")),0)</f>
        <v>0</v>
      </c>
      <c r="BA87" s="76"/>
      <c r="BB87" s="84" t="str" cm="1">
        <f t="array" aca="1" ref="BB87" ca="1">IF(BC85&lt;&gt;"",SUBSTITUTE(ADDRESS(1,
(COLUMN(INDIRECT("数出表_Excel!"&amp;BB85&amp;1&amp;""))-2 +
MATCH(TRUE, ISNUMBER(--INDIRECT("数出表_Excel!"&amp;BB85&amp; (MATCH(INDIRECT(""&amp;BG85&amp;ROW()-86&amp;""),数出表_Excel!$A:$A,0)-1) &amp; ":U" &amp; (MATCH(INDIRECT(""&amp;BG85&amp;ROW()-86&amp;""),数出表_Excel!$A:$A,0)-1))), 0))
*2,4),"1",""),"")</f>
        <v/>
      </c>
      <c r="BC87" s="249" t="str">
        <f ca="1">IF(BC88&lt;&gt;"","園児","")</f>
        <v/>
      </c>
      <c r="BD87" s="250"/>
      <c r="BE87" s="251" t="str">
        <f ca="1">IF(BC88&lt;&gt;"","先生","")</f>
        <v/>
      </c>
      <c r="BF87" s="250"/>
      <c r="BG87" s="97" cm="1">
        <f t="array" aca="1" ref="BG87" ca="1">IF(BC85&lt;&gt;"",
IF(IFERROR(
INDEX(INDIRECT("'数出表_Excel（アレルギー入力）'!"&amp;BB87&amp;MATCH(BG1,'数出表_Excel（アレルギー入力）'!$A:$A,0)-1&amp;":"&amp;BG89&amp;MATCH(BG1,'数出表_Excel（アレルギー入力）'!$A:$A,0)-1&amp;""),
 1,
MATCH(TRUE,INDIRECT("'数出表_Excel（アレルギー入力）'!"&amp;BB87&amp;MATCH(BG1,'数出表_Excel（アレルギー入力）'!$A:$A,0)-1&amp;":"&amp;BG89&amp;MATCH(BG1,'数出表_Excel（アレルギー入力）'!$A:$A,0)-1&amp;"")&lt;&gt;"",0)+1),
 "")&lt;&gt;0,
IF(IFERROR(
INDEX(INDIRECT("'数出表_Excel（アレルギー入力）'!"&amp;BB87&amp;MATCH(BG1,'数出表_Excel（アレルギー入力）'!$A:$A,0)-1&amp;":"&amp;BG89&amp;MATCH(BG1,'数出表_Excel（アレルギー入力）'!$A:$A,0)-1&amp;""),
 1,
MATCH(TRUE,INDIRECT("'数出表_Excel（アレルギー入力）'!"&amp;BB87&amp;MATCH(BG1,'数出表_Excel（アレルギー入力）'!$A:$A,0)-1&amp;":"&amp;BG89&amp;MATCH(BG1,'数出表_Excel（アレルギー入力）'!$A:$A,0)-1&amp;"")&lt;&gt;"",0)+1),
 "")="",
0,
IFERROR(
INDEX(INDIRECT("'数出表_Excel（アレルギー入力）'!"&amp;BB87&amp;MATCH(BG1,'数出表_Excel（アレルギー入力）'!$A:$A,0)-1&amp;":"&amp;BG89&amp;MATCH(BG1,'数出表_Excel（アレルギー入力）'!$A:$A,0)-1&amp;""),
 1,
MATCH(TRUE,INDIRECT("'数出表_Excel（アレルギー入力）'!"&amp;BB87&amp;MATCH(BG1,'数出表_Excel（アレルギー入力）'!$A:$A,0)-1&amp;":"&amp;BG89&amp;MATCH(BG1,'数出表_Excel（アレルギー入力）'!$A:$A,0)-1&amp;"")&lt;&gt;"",0)+1),
 "")),IFERROR(
INDEX(INDIRECT("'数出表_Excel（アレルギー入力）'!"&amp;BB87&amp;MATCH(BG1,'数出表_Excel（アレルギー入力）'!$A:$A,0)-1&amp;":"&amp;BG89&amp;MATCH(BG1,'数出表_Excel（アレルギー入力）'!$A:$A,0)-1&amp;""),
 1,
MATCH(TRUE,INDIRECT("'数出表_Excel（アレルギー入力）'!"&amp;BB87&amp;MATCH(BG1,'数出表_Excel（アレルギー入力）'!$A:$A,0)-1&amp;":"&amp;BG89&amp;MATCH(BG1,'数出表_Excel（アレルギー入力）'!$A:$A,0)-1&amp;"")&lt;&gt;"",0)+1),
 "")),0)</f>
        <v>0</v>
      </c>
      <c r="BJ87" s="84" t="str" cm="1">
        <f t="array" aca="1" ref="BJ87" ca="1">IF(BK85&lt;&gt;"",SUBSTITUTE(ADDRESS(1,
(COLUMN(INDIRECT("数出表_Excel!"&amp;BJ85&amp;1&amp;""))-2 +
MATCH(TRUE, ISNUMBER(--INDIRECT("数出表_Excel!"&amp;BJ85&amp; (MATCH(INDIRECT(""&amp;BO85&amp;ROW()-86&amp;""),数出表_Excel!$A:$A,0)-1) &amp; ":U" &amp; (MATCH(INDIRECT(""&amp;BO85&amp;ROW()-86&amp;""),数出表_Excel!$A:$A,0)-1))), 0))
*2,4),"1",""),"")</f>
        <v/>
      </c>
      <c r="BK87" s="249" t="str">
        <f ca="1">IF(BK88&lt;&gt;"","園児","")</f>
        <v/>
      </c>
      <c r="BL87" s="250"/>
      <c r="BM87" s="251" t="str">
        <f ca="1">IF(BK88&lt;&gt;"","先生","")</f>
        <v/>
      </c>
      <c r="BN87" s="250"/>
      <c r="BO87" s="97" cm="1">
        <f t="array" aca="1" ref="BO87" ca="1">IF(BK85&lt;&gt;"",
IF(IFERROR(
INDEX(INDIRECT("'数出表_Excel（アレルギー入力）'!"&amp;BJ87&amp;MATCH(BO1,'数出表_Excel（アレルギー入力）'!$A:$A,0)-1&amp;":"&amp;BO89&amp;MATCH(BO1,'数出表_Excel（アレルギー入力）'!$A:$A,0)-1&amp;""),
 1,
MATCH(TRUE,INDIRECT("'数出表_Excel（アレルギー入力）'!"&amp;BJ87&amp;MATCH(BO1,'数出表_Excel（アレルギー入力）'!$A:$A,0)-1&amp;":"&amp;BO89&amp;MATCH(BO1,'数出表_Excel（アレルギー入力）'!$A:$A,0)-1&amp;"")&lt;&gt;"",0)+1),
 "")&lt;&gt;0,
IF(IFERROR(
INDEX(INDIRECT("'数出表_Excel（アレルギー入力）'!"&amp;BJ87&amp;MATCH(BO1,'数出表_Excel（アレルギー入力）'!$A:$A,0)-1&amp;":"&amp;BO89&amp;MATCH(BO1,'数出表_Excel（アレルギー入力）'!$A:$A,0)-1&amp;""),
 1,
MATCH(TRUE,INDIRECT("'数出表_Excel（アレルギー入力）'!"&amp;BJ87&amp;MATCH(BO1,'数出表_Excel（アレルギー入力）'!$A:$A,0)-1&amp;":"&amp;BO89&amp;MATCH(BO1,'数出表_Excel（アレルギー入力）'!$A:$A,0)-1&amp;"")&lt;&gt;"",0)+1),
 "")="",
0,
IFERROR(
INDEX(INDIRECT("'数出表_Excel（アレルギー入力）'!"&amp;BJ87&amp;MATCH(BO1,'数出表_Excel（アレルギー入力）'!$A:$A,0)-1&amp;":"&amp;BO89&amp;MATCH(BO1,'数出表_Excel（アレルギー入力）'!$A:$A,0)-1&amp;""),
 1,
MATCH(TRUE,INDIRECT("'数出表_Excel（アレルギー入力）'!"&amp;BJ87&amp;MATCH(BO1,'数出表_Excel（アレルギー入力）'!$A:$A,0)-1&amp;":"&amp;BO89&amp;MATCH(BO1,'数出表_Excel（アレルギー入力）'!$A:$A,0)-1&amp;"")&lt;&gt;"",0)+1),
 "")),IFERROR(
INDEX(INDIRECT("'数出表_Excel（アレルギー入力）'!"&amp;BJ87&amp;MATCH(BO1,'数出表_Excel（アレルギー入力）'!$A:$A,0)-1&amp;":"&amp;BO89&amp;MATCH(BO1,'数出表_Excel（アレルギー入力）'!$A:$A,0)-1&amp;""),
 1,
MATCH(TRUE,INDIRECT("'数出表_Excel（アレルギー入力）'!"&amp;BJ87&amp;MATCH(BO1,'数出表_Excel（アレルギー入力）'!$A:$A,0)-1&amp;":"&amp;BO89&amp;MATCH(BO1,'数出表_Excel（アレルギー入力）'!$A:$A,0)-1&amp;"")&lt;&gt;"",0)+1),
 "")),0)</f>
        <v>0</v>
      </c>
      <c r="BP87" s="76"/>
      <c r="BQ87" s="84" t="str" cm="1">
        <f t="array" aca="1" ref="BQ87" ca="1">IF(BR85&lt;&gt;"",SUBSTITUTE(ADDRESS(1,
(COLUMN(INDIRECT("数出表_Excel!"&amp;BQ85&amp;1&amp;""))-2 +
MATCH(TRUE, ISNUMBER(--INDIRECT("数出表_Excel!"&amp;BQ85&amp; (MATCH(INDIRECT(""&amp;BV85&amp;ROW()-86&amp;""),数出表_Excel!$A:$A,0)-1) &amp; ":U" &amp; (MATCH(INDIRECT(""&amp;BV85&amp;ROW()-86&amp;""),数出表_Excel!$A:$A,0)-1))), 0))
*2,4),"1",""),"")</f>
        <v/>
      </c>
      <c r="BR87" s="249" t="str">
        <f ca="1">IF(BR88&lt;&gt;"","園児","")</f>
        <v/>
      </c>
      <c r="BS87" s="250"/>
      <c r="BT87" s="251" t="str">
        <f ca="1">IF(BR88&lt;&gt;"","先生","")</f>
        <v/>
      </c>
      <c r="BU87" s="250"/>
      <c r="BV87" s="97" cm="1">
        <f t="array" aca="1" ref="BV87" ca="1">IF(BR85&lt;&gt;"",
IF(IFERROR(
INDEX(INDIRECT("'数出表_Excel（アレルギー入力）'!"&amp;BQ87&amp;MATCH(BV1,'数出表_Excel（アレルギー入力）'!$A:$A,0)-1&amp;":"&amp;BV89&amp;MATCH(BV1,'数出表_Excel（アレルギー入力）'!$A:$A,0)-1&amp;""),
 1,
MATCH(TRUE,INDIRECT("'数出表_Excel（アレルギー入力）'!"&amp;BQ87&amp;MATCH(BV1,'数出表_Excel（アレルギー入力）'!$A:$A,0)-1&amp;":"&amp;BV89&amp;MATCH(BV1,'数出表_Excel（アレルギー入力）'!$A:$A,0)-1&amp;"")&lt;&gt;"",0)+1),
 "")&lt;&gt;0,
IF(IFERROR(
INDEX(INDIRECT("'数出表_Excel（アレルギー入力）'!"&amp;BQ87&amp;MATCH(BV1,'数出表_Excel（アレルギー入力）'!$A:$A,0)-1&amp;":"&amp;BV89&amp;MATCH(BV1,'数出表_Excel（アレルギー入力）'!$A:$A,0)-1&amp;""),
 1,
MATCH(TRUE,INDIRECT("'数出表_Excel（アレルギー入力）'!"&amp;BQ87&amp;MATCH(BV1,'数出表_Excel（アレルギー入力）'!$A:$A,0)-1&amp;":"&amp;BV89&amp;MATCH(BV1,'数出表_Excel（アレルギー入力）'!$A:$A,0)-1&amp;"")&lt;&gt;"",0)+1),
 "")="",
0,
IFERROR(
INDEX(INDIRECT("'数出表_Excel（アレルギー入力）'!"&amp;BQ87&amp;MATCH(BV1,'数出表_Excel（アレルギー入力）'!$A:$A,0)-1&amp;":"&amp;BV89&amp;MATCH(BV1,'数出表_Excel（アレルギー入力）'!$A:$A,0)-1&amp;""),
 1,
MATCH(TRUE,INDIRECT("'数出表_Excel（アレルギー入力）'!"&amp;BQ87&amp;MATCH(BV1,'数出表_Excel（アレルギー入力）'!$A:$A,0)-1&amp;":"&amp;BV89&amp;MATCH(BV1,'数出表_Excel（アレルギー入力）'!$A:$A,0)-1&amp;"")&lt;&gt;"",0)+1),
 "")),IFERROR(
INDEX(INDIRECT("'数出表_Excel（アレルギー入力）'!"&amp;BQ87&amp;MATCH(BV1,'数出表_Excel（アレルギー入力）'!$A:$A,0)-1&amp;":"&amp;BV89&amp;MATCH(BV1,'数出表_Excel（アレルギー入力）'!$A:$A,0)-1&amp;""),
 1,
MATCH(TRUE,INDIRECT("'数出表_Excel（アレルギー入力）'!"&amp;BQ87&amp;MATCH(BV1,'数出表_Excel（アレルギー入力）'!$A:$A,0)-1&amp;":"&amp;BV89&amp;MATCH(BV1,'数出表_Excel（アレルギー入力）'!$A:$A,0)-1&amp;"")&lt;&gt;"",0)+1),
 "")),0)</f>
        <v>0</v>
      </c>
      <c r="BY87" s="84" t="str" cm="1">
        <f t="array" aca="1" ref="BY87" ca="1">IF(BZ85&lt;&gt;"",SUBSTITUTE(ADDRESS(1,
(COLUMN(INDIRECT("数出表_Excel!"&amp;BY85&amp;1&amp;""))-2 +
MATCH(TRUE, ISNUMBER(--INDIRECT("数出表_Excel!"&amp;BY85&amp; (MATCH(INDIRECT(""&amp;CD85&amp;ROW()-86&amp;""),数出表_Excel!$A:$A,0)-1) &amp; ":U" &amp; (MATCH(INDIRECT(""&amp;CD85&amp;ROW()-86&amp;""),数出表_Excel!$A:$A,0)-1))), 0))
*2,4),"1",""),"")</f>
        <v/>
      </c>
      <c r="BZ87" s="249" t="str">
        <f ca="1">IF(BZ88&lt;&gt;"","園児","")</f>
        <v/>
      </c>
      <c r="CA87" s="250"/>
      <c r="CB87" s="251" t="str">
        <f ca="1">IF(BZ88&lt;&gt;"","先生","")</f>
        <v/>
      </c>
      <c r="CC87" s="250"/>
      <c r="CD87" s="97" cm="1">
        <f t="array" aca="1" ref="CD87" ca="1">IF(BZ85&lt;&gt;"",
IF(IFERROR(
INDEX(INDIRECT("'数出表_Excel（アレルギー入力）'!"&amp;BY87&amp;MATCH(CD1,'数出表_Excel（アレルギー入力）'!$A:$A,0)-1&amp;":"&amp;CD89&amp;MATCH(CD1,'数出表_Excel（アレルギー入力）'!$A:$A,0)-1&amp;""),
 1,
MATCH(TRUE,INDIRECT("'数出表_Excel（アレルギー入力）'!"&amp;BY87&amp;MATCH(CD1,'数出表_Excel（アレルギー入力）'!$A:$A,0)-1&amp;":"&amp;CD89&amp;MATCH(CD1,'数出表_Excel（アレルギー入力）'!$A:$A,0)-1&amp;"")&lt;&gt;"",0)+1),
 "")&lt;&gt;0,
IF(IFERROR(
INDEX(INDIRECT("'数出表_Excel（アレルギー入力）'!"&amp;BY87&amp;MATCH(CD1,'数出表_Excel（アレルギー入力）'!$A:$A,0)-1&amp;":"&amp;CD89&amp;MATCH(CD1,'数出表_Excel（アレルギー入力）'!$A:$A,0)-1&amp;""),
 1,
MATCH(TRUE,INDIRECT("'数出表_Excel（アレルギー入力）'!"&amp;BY87&amp;MATCH(CD1,'数出表_Excel（アレルギー入力）'!$A:$A,0)-1&amp;":"&amp;CD89&amp;MATCH(CD1,'数出表_Excel（アレルギー入力）'!$A:$A,0)-1&amp;"")&lt;&gt;"",0)+1),
 "")="",
0,
IFERROR(
INDEX(INDIRECT("'数出表_Excel（アレルギー入力）'!"&amp;BY87&amp;MATCH(CD1,'数出表_Excel（アレルギー入力）'!$A:$A,0)-1&amp;":"&amp;CD89&amp;MATCH(CD1,'数出表_Excel（アレルギー入力）'!$A:$A,0)-1&amp;""),
 1,
MATCH(TRUE,INDIRECT("'数出表_Excel（アレルギー入力）'!"&amp;BY87&amp;MATCH(CD1,'数出表_Excel（アレルギー入力）'!$A:$A,0)-1&amp;":"&amp;CD89&amp;MATCH(CD1,'数出表_Excel（アレルギー入力）'!$A:$A,0)-1&amp;"")&lt;&gt;"",0)+1),
 "")),IFERROR(
INDEX(INDIRECT("'数出表_Excel（アレルギー入力）'!"&amp;BY87&amp;MATCH(CD1,'数出表_Excel（アレルギー入力）'!$A:$A,0)-1&amp;":"&amp;CD89&amp;MATCH(CD1,'数出表_Excel（アレルギー入力）'!$A:$A,0)-1&amp;""),
 1,
MATCH(TRUE,INDIRECT("'数出表_Excel（アレルギー入力）'!"&amp;BY87&amp;MATCH(CD1,'数出表_Excel（アレルギー入力）'!$A:$A,0)-1&amp;":"&amp;CD89&amp;MATCH(CD1,'数出表_Excel（アレルギー入力）'!$A:$A,0)-1&amp;"")&lt;&gt;"",0)+1),
 "")),0)</f>
        <v>0</v>
      </c>
      <c r="CE87" s="76"/>
      <c r="CF87" s="84" t="str" cm="1">
        <f t="array" aca="1" ref="CF87" ca="1">IF(CG85&lt;&gt;"",SUBSTITUTE(ADDRESS(1,
(COLUMN(INDIRECT("数出表_Excel!"&amp;CF85&amp;1&amp;""))-2 +
MATCH(TRUE, ISNUMBER(--INDIRECT("数出表_Excel!"&amp;CF85&amp; (MATCH(INDIRECT(""&amp;CK85&amp;ROW()-86&amp;""),数出表_Excel!$A:$A,0)-1) &amp; ":U" &amp; (MATCH(INDIRECT(""&amp;CK85&amp;ROW()-86&amp;""),数出表_Excel!$A:$A,0)-1))), 0))
*2,4),"1",""),"")</f>
        <v/>
      </c>
      <c r="CG87" s="249" t="str">
        <f ca="1">IF(CG88&lt;&gt;"","園児","")</f>
        <v/>
      </c>
      <c r="CH87" s="250"/>
      <c r="CI87" s="251" t="str">
        <f ca="1">IF(CG88&lt;&gt;"","先生","")</f>
        <v/>
      </c>
      <c r="CJ87" s="250"/>
      <c r="CK87" s="97" cm="1">
        <f t="array" aca="1" ref="CK87" ca="1">IF(CG85&lt;&gt;"",
IF(IFERROR(
INDEX(INDIRECT("'数出表_Excel（アレルギー入力）'!"&amp;CF87&amp;MATCH(CK1,'数出表_Excel（アレルギー入力）'!$A:$A,0)-1&amp;":"&amp;CK89&amp;MATCH(CK1,'数出表_Excel（アレルギー入力）'!$A:$A,0)-1&amp;""),
 1,
MATCH(TRUE,INDIRECT("'数出表_Excel（アレルギー入力）'!"&amp;CF87&amp;MATCH(CK1,'数出表_Excel（アレルギー入力）'!$A:$A,0)-1&amp;":"&amp;CK89&amp;MATCH(CK1,'数出表_Excel（アレルギー入力）'!$A:$A,0)-1&amp;"")&lt;&gt;"",0)+1),
 "")&lt;&gt;0,
IF(IFERROR(
INDEX(INDIRECT("'数出表_Excel（アレルギー入力）'!"&amp;CF87&amp;MATCH(CK1,'数出表_Excel（アレルギー入力）'!$A:$A,0)-1&amp;":"&amp;CK89&amp;MATCH(CK1,'数出表_Excel（アレルギー入力）'!$A:$A,0)-1&amp;""),
 1,
MATCH(TRUE,INDIRECT("'数出表_Excel（アレルギー入力）'!"&amp;CF87&amp;MATCH(CK1,'数出表_Excel（アレルギー入力）'!$A:$A,0)-1&amp;":"&amp;CK89&amp;MATCH(CK1,'数出表_Excel（アレルギー入力）'!$A:$A,0)-1&amp;"")&lt;&gt;"",0)+1),
 "")="",
0,
IFERROR(
INDEX(INDIRECT("'数出表_Excel（アレルギー入力）'!"&amp;CF87&amp;MATCH(CK1,'数出表_Excel（アレルギー入力）'!$A:$A,0)-1&amp;":"&amp;CK89&amp;MATCH(CK1,'数出表_Excel（アレルギー入力）'!$A:$A,0)-1&amp;""),
 1,
MATCH(TRUE,INDIRECT("'数出表_Excel（アレルギー入力）'!"&amp;CF87&amp;MATCH(CK1,'数出表_Excel（アレルギー入力）'!$A:$A,0)-1&amp;":"&amp;CK89&amp;MATCH(CK1,'数出表_Excel（アレルギー入力）'!$A:$A,0)-1&amp;"")&lt;&gt;"",0)+1),
 "")),IFERROR(
INDEX(INDIRECT("'数出表_Excel（アレルギー入力）'!"&amp;CF87&amp;MATCH(CK1,'数出表_Excel（アレルギー入力）'!$A:$A,0)-1&amp;":"&amp;CK89&amp;MATCH(CK1,'数出表_Excel（アレルギー入力）'!$A:$A,0)-1&amp;""),
 1,
MATCH(TRUE,INDIRECT("'数出表_Excel（アレルギー入力）'!"&amp;CF87&amp;MATCH(CK1,'数出表_Excel（アレルギー入力）'!$A:$A,0)-1&amp;":"&amp;CK89&amp;MATCH(CK1,'数出表_Excel（アレルギー入力）'!$A:$A,0)-1&amp;"")&lt;&gt;"",0)+1),
 "")),0)</f>
        <v>0</v>
      </c>
      <c r="CN87" s="84" t="str" cm="1">
        <f t="array" aca="1" ref="CN87" ca="1">IF(CO85&lt;&gt;"",SUBSTITUTE(ADDRESS(1,
(COLUMN(INDIRECT("数出表_Excel!"&amp;CN85&amp;1&amp;""))-2 +
MATCH(TRUE, ISNUMBER(--INDIRECT("数出表_Excel!"&amp;CN85&amp; (MATCH(INDIRECT(""&amp;CS85&amp;ROW()-86&amp;""),数出表_Excel!$A:$A,0)-1) &amp; ":U" &amp; (MATCH(INDIRECT(""&amp;CS85&amp;ROW()-86&amp;""),数出表_Excel!$A:$A,0)-1))), 0))
*2,4),"1",""),"")</f>
        <v/>
      </c>
      <c r="CO87" s="249" t="str">
        <f ca="1">IF(CO88&lt;&gt;"","園児","")</f>
        <v/>
      </c>
      <c r="CP87" s="250"/>
      <c r="CQ87" s="251" t="str">
        <f ca="1">IF(CO88&lt;&gt;"","先生","")</f>
        <v/>
      </c>
      <c r="CR87" s="250"/>
      <c r="CS87" s="97" cm="1">
        <f t="array" aca="1" ref="CS87" ca="1">IF(CO85&lt;&gt;"",
IF(IFERROR(
INDEX(INDIRECT("'数出表_Excel（アレルギー入力）'!"&amp;CN87&amp;MATCH(CS1,'数出表_Excel（アレルギー入力）'!$A:$A,0)-1&amp;":"&amp;CS89&amp;MATCH(CS1,'数出表_Excel（アレルギー入力）'!$A:$A,0)-1&amp;""),
 1,
MATCH(TRUE,INDIRECT("'数出表_Excel（アレルギー入力）'!"&amp;CN87&amp;MATCH(CS1,'数出表_Excel（アレルギー入力）'!$A:$A,0)-1&amp;":"&amp;CS89&amp;MATCH(CS1,'数出表_Excel（アレルギー入力）'!$A:$A,0)-1&amp;"")&lt;&gt;"",0)+1),
 "")&lt;&gt;0,
IF(IFERROR(
INDEX(INDIRECT("'数出表_Excel（アレルギー入力）'!"&amp;CN87&amp;MATCH(CS1,'数出表_Excel（アレルギー入力）'!$A:$A,0)-1&amp;":"&amp;CS89&amp;MATCH(CS1,'数出表_Excel（アレルギー入力）'!$A:$A,0)-1&amp;""),
 1,
MATCH(TRUE,INDIRECT("'数出表_Excel（アレルギー入力）'!"&amp;CN87&amp;MATCH(CS1,'数出表_Excel（アレルギー入力）'!$A:$A,0)-1&amp;":"&amp;CS89&amp;MATCH(CS1,'数出表_Excel（アレルギー入力）'!$A:$A,0)-1&amp;"")&lt;&gt;"",0)+1),
 "")="",
0,
IFERROR(
INDEX(INDIRECT("'数出表_Excel（アレルギー入力）'!"&amp;CN87&amp;MATCH(CS1,'数出表_Excel（アレルギー入力）'!$A:$A,0)-1&amp;":"&amp;CS89&amp;MATCH(CS1,'数出表_Excel（アレルギー入力）'!$A:$A,0)-1&amp;""),
 1,
MATCH(TRUE,INDIRECT("'数出表_Excel（アレルギー入力）'!"&amp;CN87&amp;MATCH(CS1,'数出表_Excel（アレルギー入力）'!$A:$A,0)-1&amp;":"&amp;CS89&amp;MATCH(CS1,'数出表_Excel（アレルギー入力）'!$A:$A,0)-1&amp;"")&lt;&gt;"",0)+1),
 "")),IFERROR(
INDEX(INDIRECT("'数出表_Excel（アレルギー入力）'!"&amp;CN87&amp;MATCH(CS1,'数出表_Excel（アレルギー入力）'!$A:$A,0)-1&amp;":"&amp;CS89&amp;MATCH(CS1,'数出表_Excel（アレルギー入力）'!$A:$A,0)-1&amp;""),
 1,
MATCH(TRUE,INDIRECT("'数出表_Excel（アレルギー入力）'!"&amp;CN87&amp;MATCH(CS1,'数出表_Excel（アレルギー入力）'!$A:$A,0)-1&amp;":"&amp;CS89&amp;MATCH(CS1,'数出表_Excel（アレルギー入力）'!$A:$A,0)-1&amp;"")&lt;&gt;"",0)+1),
 "")),0)</f>
        <v>0</v>
      </c>
      <c r="CT87" s="76"/>
      <c r="CU87" s="84" t="str" cm="1">
        <f t="array" aca="1" ref="CU87" ca="1">IF(CV85&lt;&gt;"",SUBSTITUTE(ADDRESS(1,
(COLUMN(INDIRECT("数出表_Excel!"&amp;CU85&amp;1&amp;""))-2 +
MATCH(TRUE, ISNUMBER(--INDIRECT("数出表_Excel!"&amp;CU85&amp; (MATCH(INDIRECT(""&amp;CZ85&amp;ROW()-86&amp;""),数出表_Excel!$A:$A,0)-1) &amp; ":U" &amp; (MATCH(INDIRECT(""&amp;CZ85&amp;ROW()-86&amp;""),数出表_Excel!$A:$A,0)-1))), 0))
*2,4),"1",""),"")</f>
        <v/>
      </c>
      <c r="CV87" s="249" t="str">
        <f ca="1">IF(CV88&lt;&gt;"","園児","")</f>
        <v/>
      </c>
      <c r="CW87" s="250"/>
      <c r="CX87" s="251" t="str">
        <f ca="1">IF(CV88&lt;&gt;"","先生","")</f>
        <v/>
      </c>
      <c r="CY87" s="250"/>
      <c r="CZ87" s="97" cm="1">
        <f t="array" aca="1" ref="CZ87" ca="1">IF(CV85&lt;&gt;"",
IF(IFERROR(
INDEX(INDIRECT("'数出表_Excel（アレルギー入力）'!"&amp;CU87&amp;MATCH(CZ1,'数出表_Excel（アレルギー入力）'!$A:$A,0)-1&amp;":"&amp;CZ89&amp;MATCH(CZ1,'数出表_Excel（アレルギー入力）'!$A:$A,0)-1&amp;""),
 1,
MATCH(TRUE,INDIRECT("'数出表_Excel（アレルギー入力）'!"&amp;CU87&amp;MATCH(CZ1,'数出表_Excel（アレルギー入力）'!$A:$A,0)-1&amp;":"&amp;CZ89&amp;MATCH(CZ1,'数出表_Excel（アレルギー入力）'!$A:$A,0)-1&amp;"")&lt;&gt;"",0)+1),
 "")&lt;&gt;0,
IF(IFERROR(
INDEX(INDIRECT("'数出表_Excel（アレルギー入力）'!"&amp;CU87&amp;MATCH(CZ1,'数出表_Excel（アレルギー入力）'!$A:$A,0)-1&amp;":"&amp;CZ89&amp;MATCH(CZ1,'数出表_Excel（アレルギー入力）'!$A:$A,0)-1&amp;""),
 1,
MATCH(TRUE,INDIRECT("'数出表_Excel（アレルギー入力）'!"&amp;CU87&amp;MATCH(CZ1,'数出表_Excel（アレルギー入力）'!$A:$A,0)-1&amp;":"&amp;CZ89&amp;MATCH(CZ1,'数出表_Excel（アレルギー入力）'!$A:$A,0)-1&amp;"")&lt;&gt;"",0)+1),
 "")="",
0,
IFERROR(
INDEX(INDIRECT("'数出表_Excel（アレルギー入力）'!"&amp;CU87&amp;MATCH(CZ1,'数出表_Excel（アレルギー入力）'!$A:$A,0)-1&amp;":"&amp;CZ89&amp;MATCH(CZ1,'数出表_Excel（アレルギー入力）'!$A:$A,0)-1&amp;""),
 1,
MATCH(TRUE,INDIRECT("'数出表_Excel（アレルギー入力）'!"&amp;CU87&amp;MATCH(CZ1,'数出表_Excel（アレルギー入力）'!$A:$A,0)-1&amp;":"&amp;CZ89&amp;MATCH(CZ1,'数出表_Excel（アレルギー入力）'!$A:$A,0)-1&amp;"")&lt;&gt;"",0)+1),
 "")),IFERROR(
INDEX(INDIRECT("'数出表_Excel（アレルギー入力）'!"&amp;CU87&amp;MATCH(CZ1,'数出表_Excel（アレルギー入力）'!$A:$A,0)-1&amp;":"&amp;CZ89&amp;MATCH(CZ1,'数出表_Excel（アレルギー入力）'!$A:$A,0)-1&amp;""),
 1,
MATCH(TRUE,INDIRECT("'数出表_Excel（アレルギー入力）'!"&amp;CU87&amp;MATCH(CZ1,'数出表_Excel（アレルギー入力）'!$A:$A,0)-1&amp;":"&amp;CZ89&amp;MATCH(CZ1,'数出表_Excel（アレルギー入力）'!$A:$A,0)-1&amp;"")&lt;&gt;"",0)+1),
 "")),0)</f>
        <v>0</v>
      </c>
      <c r="DC87" s="84" t="str" cm="1">
        <f t="array" aca="1" ref="DC87" ca="1">IF(DD85&lt;&gt;"",SUBSTITUTE(ADDRESS(1,
(COLUMN(INDIRECT("数出表_Excel!"&amp;DC85&amp;1&amp;""))-2 +
MATCH(TRUE, ISNUMBER(--INDIRECT("数出表_Excel!"&amp;DC85&amp; (MATCH(INDIRECT(""&amp;DH85&amp;ROW()-86&amp;""),数出表_Excel!$A:$A,0)-1) &amp; ":U" &amp; (MATCH(INDIRECT(""&amp;DH85&amp;ROW()-86&amp;""),数出表_Excel!$A:$A,0)-1))), 0))
*2,4),"1",""),"")</f>
        <v/>
      </c>
      <c r="DD87" s="249" t="str">
        <f ca="1">IF(DD88&lt;&gt;"","園児","")</f>
        <v/>
      </c>
      <c r="DE87" s="250"/>
      <c r="DF87" s="251" t="str">
        <f ca="1">IF(DD88&lt;&gt;"","先生","")</f>
        <v/>
      </c>
      <c r="DG87" s="250"/>
      <c r="DH87" s="97" cm="1">
        <f t="array" aca="1" ref="DH87" ca="1">IF(DD85&lt;&gt;"",
IF(IFERROR(
INDEX(INDIRECT("'数出表_Excel（アレルギー入力）'!"&amp;DC87&amp;MATCH(DH1,'数出表_Excel（アレルギー入力）'!$A:$A,0)-1&amp;":"&amp;DH89&amp;MATCH(DH1,'数出表_Excel（アレルギー入力）'!$A:$A,0)-1&amp;""),
 1,
MATCH(TRUE,INDIRECT("'数出表_Excel（アレルギー入力）'!"&amp;DC87&amp;MATCH(DH1,'数出表_Excel（アレルギー入力）'!$A:$A,0)-1&amp;":"&amp;DH89&amp;MATCH(DH1,'数出表_Excel（アレルギー入力）'!$A:$A,0)-1&amp;"")&lt;&gt;"",0)+1),
 "")&lt;&gt;0,
IF(IFERROR(
INDEX(INDIRECT("'数出表_Excel（アレルギー入力）'!"&amp;DC87&amp;MATCH(DH1,'数出表_Excel（アレルギー入力）'!$A:$A,0)-1&amp;":"&amp;DH89&amp;MATCH(DH1,'数出表_Excel（アレルギー入力）'!$A:$A,0)-1&amp;""),
 1,
MATCH(TRUE,INDIRECT("'数出表_Excel（アレルギー入力）'!"&amp;DC87&amp;MATCH(DH1,'数出表_Excel（アレルギー入力）'!$A:$A,0)-1&amp;":"&amp;DH89&amp;MATCH(DH1,'数出表_Excel（アレルギー入力）'!$A:$A,0)-1&amp;"")&lt;&gt;"",0)+1),
 "")="",
0,
IFERROR(
INDEX(INDIRECT("'数出表_Excel（アレルギー入力）'!"&amp;DC87&amp;MATCH(DH1,'数出表_Excel（アレルギー入力）'!$A:$A,0)-1&amp;":"&amp;DH89&amp;MATCH(DH1,'数出表_Excel（アレルギー入力）'!$A:$A,0)-1&amp;""),
 1,
MATCH(TRUE,INDIRECT("'数出表_Excel（アレルギー入力）'!"&amp;DC87&amp;MATCH(DH1,'数出表_Excel（アレルギー入力）'!$A:$A,0)-1&amp;":"&amp;DH89&amp;MATCH(DH1,'数出表_Excel（アレルギー入力）'!$A:$A,0)-1&amp;"")&lt;&gt;"",0)+1),
 "")),IFERROR(
INDEX(INDIRECT("'数出表_Excel（アレルギー入力）'!"&amp;DC87&amp;MATCH(DH1,'数出表_Excel（アレルギー入力）'!$A:$A,0)-1&amp;":"&amp;DH89&amp;MATCH(DH1,'数出表_Excel（アレルギー入力）'!$A:$A,0)-1&amp;""),
 1,
MATCH(TRUE,INDIRECT("'数出表_Excel（アレルギー入力）'!"&amp;DC87&amp;MATCH(DH1,'数出表_Excel（アレルギー入力）'!$A:$A,0)-1&amp;":"&amp;DH89&amp;MATCH(DH1,'数出表_Excel（アレルギー入力）'!$A:$A,0)-1&amp;"")&lt;&gt;"",0)+1),
 "")),0)</f>
        <v>0</v>
      </c>
      <c r="DI87" s="76"/>
      <c r="DJ87" s="84" t="str" cm="1">
        <f t="array" aca="1" ref="DJ87" ca="1">IF(DK85&lt;&gt;"",SUBSTITUTE(ADDRESS(1,
(COLUMN(INDIRECT("数出表_Excel!"&amp;DJ85&amp;1&amp;""))-2 +
MATCH(TRUE, ISNUMBER(--INDIRECT("数出表_Excel!"&amp;DJ85&amp; (MATCH(INDIRECT(""&amp;DO85&amp;ROW()-86&amp;""),数出表_Excel!$A:$A,0)-1) &amp; ":U" &amp; (MATCH(INDIRECT(""&amp;DO85&amp;ROW()-86&amp;""),数出表_Excel!$A:$A,0)-1))), 0))
*2,4),"1",""),"")</f>
        <v/>
      </c>
      <c r="DK87" s="249" t="str">
        <f ca="1">IF(DK88&lt;&gt;"","園児","")</f>
        <v/>
      </c>
      <c r="DL87" s="250"/>
      <c r="DM87" s="251" t="str">
        <f ca="1">IF(DK88&lt;&gt;"","先生","")</f>
        <v/>
      </c>
      <c r="DN87" s="250"/>
      <c r="DO87" s="97" cm="1">
        <f t="array" aca="1" ref="DO87" ca="1">IF(DK85&lt;&gt;"",
IF(IFERROR(
INDEX(INDIRECT("'数出表_Excel（アレルギー入力）'!"&amp;DJ87&amp;MATCH(DO1,'数出表_Excel（アレルギー入力）'!$A:$A,0)-1&amp;":"&amp;DO89&amp;MATCH(DO1,'数出表_Excel（アレルギー入力）'!$A:$A,0)-1&amp;""),
 1,
MATCH(TRUE,INDIRECT("'数出表_Excel（アレルギー入力）'!"&amp;DJ87&amp;MATCH(DO1,'数出表_Excel（アレルギー入力）'!$A:$A,0)-1&amp;":"&amp;DO89&amp;MATCH(DO1,'数出表_Excel（アレルギー入力）'!$A:$A,0)-1&amp;"")&lt;&gt;"",0)+1),
 "")&lt;&gt;0,
IF(IFERROR(
INDEX(INDIRECT("'数出表_Excel（アレルギー入力）'!"&amp;DJ87&amp;MATCH(DO1,'数出表_Excel（アレルギー入力）'!$A:$A,0)-1&amp;":"&amp;DO89&amp;MATCH(DO1,'数出表_Excel（アレルギー入力）'!$A:$A,0)-1&amp;""),
 1,
MATCH(TRUE,INDIRECT("'数出表_Excel（アレルギー入力）'!"&amp;DJ87&amp;MATCH(DO1,'数出表_Excel（アレルギー入力）'!$A:$A,0)-1&amp;":"&amp;DO89&amp;MATCH(DO1,'数出表_Excel（アレルギー入力）'!$A:$A,0)-1&amp;"")&lt;&gt;"",0)+1),
 "")="",
0,
IFERROR(
INDEX(INDIRECT("'数出表_Excel（アレルギー入力）'!"&amp;DJ87&amp;MATCH(DO1,'数出表_Excel（アレルギー入力）'!$A:$A,0)-1&amp;":"&amp;DO89&amp;MATCH(DO1,'数出表_Excel（アレルギー入力）'!$A:$A,0)-1&amp;""),
 1,
MATCH(TRUE,INDIRECT("'数出表_Excel（アレルギー入力）'!"&amp;DJ87&amp;MATCH(DO1,'数出表_Excel（アレルギー入力）'!$A:$A,0)-1&amp;":"&amp;DO89&amp;MATCH(DO1,'数出表_Excel（アレルギー入力）'!$A:$A,0)-1&amp;"")&lt;&gt;"",0)+1),
 "")),IFERROR(
INDEX(INDIRECT("'数出表_Excel（アレルギー入力）'!"&amp;DJ87&amp;MATCH(DO1,'数出表_Excel（アレルギー入力）'!$A:$A,0)-1&amp;":"&amp;DO89&amp;MATCH(DO1,'数出表_Excel（アレルギー入力）'!$A:$A,0)-1&amp;""),
 1,
MATCH(TRUE,INDIRECT("'数出表_Excel（アレルギー入力）'!"&amp;DJ87&amp;MATCH(DO1,'数出表_Excel（アレルギー入力）'!$A:$A,0)-1&amp;":"&amp;DO89&amp;MATCH(DO1,'数出表_Excel（アレルギー入力）'!$A:$A,0)-1&amp;"")&lt;&gt;"",0)+1),
 "")),0)</f>
        <v>0</v>
      </c>
      <c r="DR87" s="84" t="str" cm="1">
        <f t="array" aca="1" ref="DR87" ca="1">IF(DS85&lt;&gt;"",SUBSTITUTE(ADDRESS(1,
(COLUMN(INDIRECT("数出表_Excel!"&amp;DR85&amp;1&amp;""))-2 +
MATCH(TRUE, ISNUMBER(--INDIRECT("数出表_Excel!"&amp;DR85&amp; (MATCH(INDIRECT(""&amp;DW85&amp;ROW()-86&amp;""),数出表_Excel!$A:$A,0)-1) &amp; ":U" &amp; (MATCH(INDIRECT(""&amp;DW85&amp;ROW()-86&amp;""),数出表_Excel!$A:$A,0)-1))), 0))
*2,4),"1",""),"")</f>
        <v/>
      </c>
      <c r="DS87" s="249" t="str">
        <f ca="1">IF(DS88&lt;&gt;"","園児","")</f>
        <v/>
      </c>
      <c r="DT87" s="250"/>
      <c r="DU87" s="251" t="str">
        <f ca="1">IF(DS88&lt;&gt;"","先生","")</f>
        <v/>
      </c>
      <c r="DV87" s="250"/>
      <c r="DW87" s="97" cm="1">
        <f t="array" aca="1" ref="DW87" ca="1">IF(DS85&lt;&gt;"",
IF(IFERROR(
INDEX(INDIRECT("'数出表_Excel（アレルギー入力）'!"&amp;DR87&amp;MATCH(DW1,'数出表_Excel（アレルギー入力）'!$A:$A,0)-1&amp;":"&amp;DW89&amp;MATCH(DW1,'数出表_Excel（アレルギー入力）'!$A:$A,0)-1&amp;""),
 1,
MATCH(TRUE,INDIRECT("'数出表_Excel（アレルギー入力）'!"&amp;DR87&amp;MATCH(DW1,'数出表_Excel（アレルギー入力）'!$A:$A,0)-1&amp;":"&amp;DW89&amp;MATCH(DW1,'数出表_Excel（アレルギー入力）'!$A:$A,0)-1&amp;"")&lt;&gt;"",0)+1),
 "")&lt;&gt;0,
IF(IFERROR(
INDEX(INDIRECT("'数出表_Excel（アレルギー入力）'!"&amp;DR87&amp;MATCH(DW1,'数出表_Excel（アレルギー入力）'!$A:$A,0)-1&amp;":"&amp;DW89&amp;MATCH(DW1,'数出表_Excel（アレルギー入力）'!$A:$A,0)-1&amp;""),
 1,
MATCH(TRUE,INDIRECT("'数出表_Excel（アレルギー入力）'!"&amp;DR87&amp;MATCH(DW1,'数出表_Excel（アレルギー入力）'!$A:$A,0)-1&amp;":"&amp;DW89&amp;MATCH(DW1,'数出表_Excel（アレルギー入力）'!$A:$A,0)-1&amp;"")&lt;&gt;"",0)+1),
 "")="",
0,
IFERROR(
INDEX(INDIRECT("'数出表_Excel（アレルギー入力）'!"&amp;DR87&amp;MATCH(DW1,'数出表_Excel（アレルギー入力）'!$A:$A,0)-1&amp;":"&amp;DW89&amp;MATCH(DW1,'数出表_Excel（アレルギー入力）'!$A:$A,0)-1&amp;""),
 1,
MATCH(TRUE,INDIRECT("'数出表_Excel（アレルギー入力）'!"&amp;DR87&amp;MATCH(DW1,'数出表_Excel（アレルギー入力）'!$A:$A,0)-1&amp;":"&amp;DW89&amp;MATCH(DW1,'数出表_Excel（アレルギー入力）'!$A:$A,0)-1&amp;"")&lt;&gt;"",0)+1),
 "")),IFERROR(
INDEX(INDIRECT("'数出表_Excel（アレルギー入力）'!"&amp;DR87&amp;MATCH(DW1,'数出表_Excel（アレルギー入力）'!$A:$A,0)-1&amp;":"&amp;DW89&amp;MATCH(DW1,'数出表_Excel（アレルギー入力）'!$A:$A,0)-1&amp;""),
 1,
MATCH(TRUE,INDIRECT("'数出表_Excel（アレルギー入力）'!"&amp;DR87&amp;MATCH(DW1,'数出表_Excel（アレルギー入力）'!$A:$A,0)-1&amp;":"&amp;DW89&amp;MATCH(DW1,'数出表_Excel（アレルギー入力）'!$A:$A,0)-1&amp;"")&lt;&gt;"",0)+1),
 "")),0)</f>
        <v>0</v>
      </c>
      <c r="DX87" s="76"/>
      <c r="DY87" s="84" t="str" cm="1">
        <f t="array" aca="1" ref="DY87" ca="1">IF(DZ85&lt;&gt;"",SUBSTITUTE(ADDRESS(1,
(COLUMN(INDIRECT("数出表_Excel!"&amp;DY85&amp;1&amp;""))-2 +
MATCH(TRUE, ISNUMBER(--INDIRECT("数出表_Excel!"&amp;DY85&amp; (MATCH(INDIRECT(""&amp;ED85&amp;ROW()-86&amp;""),数出表_Excel!$A:$A,0)-1) &amp; ":U" &amp; (MATCH(INDIRECT(""&amp;ED85&amp;ROW()-86&amp;""),数出表_Excel!$A:$A,0)-1))), 0))
*2,4),"1",""),"")</f>
        <v/>
      </c>
      <c r="DZ87" s="249" t="str">
        <f ca="1">IF(DZ88&lt;&gt;"","園児","")</f>
        <v/>
      </c>
      <c r="EA87" s="250"/>
      <c r="EB87" s="251" t="str">
        <f ca="1">IF(DZ88&lt;&gt;"","先生","")</f>
        <v/>
      </c>
      <c r="EC87" s="250"/>
      <c r="ED87" s="97" cm="1">
        <f t="array" aca="1" ref="ED87" ca="1">IF(DZ85&lt;&gt;"",
IF(IFERROR(
INDEX(INDIRECT("'数出表_Excel（アレルギー入力）'!"&amp;DY87&amp;MATCH(ED1,'数出表_Excel（アレルギー入力）'!$A:$A,0)-1&amp;":"&amp;ED89&amp;MATCH(ED1,'数出表_Excel（アレルギー入力）'!$A:$A,0)-1&amp;""),
 1,
MATCH(TRUE,INDIRECT("'数出表_Excel（アレルギー入力）'!"&amp;DY87&amp;MATCH(ED1,'数出表_Excel（アレルギー入力）'!$A:$A,0)-1&amp;":"&amp;ED89&amp;MATCH(ED1,'数出表_Excel（アレルギー入力）'!$A:$A,0)-1&amp;"")&lt;&gt;"",0)+1),
 "")&lt;&gt;0,
IF(IFERROR(
INDEX(INDIRECT("'数出表_Excel（アレルギー入力）'!"&amp;DY87&amp;MATCH(ED1,'数出表_Excel（アレルギー入力）'!$A:$A,0)-1&amp;":"&amp;ED89&amp;MATCH(ED1,'数出表_Excel（アレルギー入力）'!$A:$A,0)-1&amp;""),
 1,
MATCH(TRUE,INDIRECT("'数出表_Excel（アレルギー入力）'!"&amp;DY87&amp;MATCH(ED1,'数出表_Excel（アレルギー入力）'!$A:$A,0)-1&amp;":"&amp;ED89&amp;MATCH(ED1,'数出表_Excel（アレルギー入力）'!$A:$A,0)-1&amp;"")&lt;&gt;"",0)+1),
 "")="",
0,
IFERROR(
INDEX(INDIRECT("'数出表_Excel（アレルギー入力）'!"&amp;DY87&amp;MATCH(ED1,'数出表_Excel（アレルギー入力）'!$A:$A,0)-1&amp;":"&amp;ED89&amp;MATCH(ED1,'数出表_Excel（アレルギー入力）'!$A:$A,0)-1&amp;""),
 1,
MATCH(TRUE,INDIRECT("'数出表_Excel（アレルギー入力）'!"&amp;DY87&amp;MATCH(ED1,'数出表_Excel（アレルギー入力）'!$A:$A,0)-1&amp;":"&amp;ED89&amp;MATCH(ED1,'数出表_Excel（アレルギー入力）'!$A:$A,0)-1&amp;"")&lt;&gt;"",0)+1),
 "")),IFERROR(
INDEX(INDIRECT("'数出表_Excel（アレルギー入力）'!"&amp;DY87&amp;MATCH(ED1,'数出表_Excel（アレルギー入力）'!$A:$A,0)-1&amp;":"&amp;ED89&amp;MATCH(ED1,'数出表_Excel（アレルギー入力）'!$A:$A,0)-1&amp;""),
 1,
MATCH(TRUE,INDIRECT("'数出表_Excel（アレルギー入力）'!"&amp;DY87&amp;MATCH(ED1,'数出表_Excel（アレルギー入力）'!$A:$A,0)-1&amp;":"&amp;ED89&amp;MATCH(ED1,'数出表_Excel（アレルギー入力）'!$A:$A,0)-1&amp;"")&lt;&gt;"",0)+1),
 "")),0)</f>
        <v>0</v>
      </c>
      <c r="EG87" s="84" t="str" cm="1">
        <f t="array" aca="1" ref="EG87" ca="1">IF(EH85&lt;&gt;"",SUBSTITUTE(ADDRESS(1,
(COLUMN(INDIRECT("数出表_Excel!"&amp;EG85&amp;1&amp;""))-2 +
MATCH(TRUE, ISNUMBER(--INDIRECT("数出表_Excel!"&amp;EG85&amp; (MATCH(INDIRECT(""&amp;EL85&amp;ROW()-86&amp;""),数出表_Excel!$A:$A,0)-1) &amp; ":U" &amp; (MATCH(INDIRECT(""&amp;EL85&amp;ROW()-86&amp;""),数出表_Excel!$A:$A,0)-1))), 0))
*2,4),"1",""),"")</f>
        <v/>
      </c>
      <c r="EH87" s="249" t="str">
        <f ca="1">IF(EH88&lt;&gt;"","園児","")</f>
        <v/>
      </c>
      <c r="EI87" s="250"/>
      <c r="EJ87" s="251" t="str">
        <f ca="1">IF(EH88&lt;&gt;"","先生","")</f>
        <v/>
      </c>
      <c r="EK87" s="250"/>
      <c r="EL87" s="97" cm="1">
        <f t="array" aca="1" ref="EL87" ca="1">IF(EH85&lt;&gt;"",
IF(IFERROR(
INDEX(INDIRECT("'数出表_Excel（アレルギー入力）'!"&amp;EG87&amp;MATCH(EL1,'数出表_Excel（アレルギー入力）'!$A:$A,0)-1&amp;":"&amp;EL89&amp;MATCH(EL1,'数出表_Excel（アレルギー入力）'!$A:$A,0)-1&amp;""),
 1,
MATCH(TRUE,INDIRECT("'数出表_Excel（アレルギー入力）'!"&amp;EG87&amp;MATCH(EL1,'数出表_Excel（アレルギー入力）'!$A:$A,0)-1&amp;":"&amp;EL89&amp;MATCH(EL1,'数出表_Excel（アレルギー入力）'!$A:$A,0)-1&amp;"")&lt;&gt;"",0)+1),
 "")&lt;&gt;0,
IF(IFERROR(
INDEX(INDIRECT("'数出表_Excel（アレルギー入力）'!"&amp;EG87&amp;MATCH(EL1,'数出表_Excel（アレルギー入力）'!$A:$A,0)-1&amp;":"&amp;EL89&amp;MATCH(EL1,'数出表_Excel（アレルギー入力）'!$A:$A,0)-1&amp;""),
 1,
MATCH(TRUE,INDIRECT("'数出表_Excel（アレルギー入力）'!"&amp;EG87&amp;MATCH(EL1,'数出表_Excel（アレルギー入力）'!$A:$A,0)-1&amp;":"&amp;EL89&amp;MATCH(EL1,'数出表_Excel（アレルギー入力）'!$A:$A,0)-1&amp;"")&lt;&gt;"",0)+1),
 "")="",
0,
IFERROR(
INDEX(INDIRECT("'数出表_Excel（アレルギー入力）'!"&amp;EG87&amp;MATCH(EL1,'数出表_Excel（アレルギー入力）'!$A:$A,0)-1&amp;":"&amp;EL89&amp;MATCH(EL1,'数出表_Excel（アレルギー入力）'!$A:$A,0)-1&amp;""),
 1,
MATCH(TRUE,INDIRECT("'数出表_Excel（アレルギー入力）'!"&amp;EG87&amp;MATCH(EL1,'数出表_Excel（アレルギー入力）'!$A:$A,0)-1&amp;":"&amp;EL89&amp;MATCH(EL1,'数出表_Excel（アレルギー入力）'!$A:$A,0)-1&amp;"")&lt;&gt;"",0)+1),
 "")),IFERROR(
INDEX(INDIRECT("'数出表_Excel（アレルギー入力）'!"&amp;EG87&amp;MATCH(EL1,'数出表_Excel（アレルギー入力）'!$A:$A,0)-1&amp;":"&amp;EL89&amp;MATCH(EL1,'数出表_Excel（アレルギー入力）'!$A:$A,0)-1&amp;""),
 1,
MATCH(TRUE,INDIRECT("'数出表_Excel（アレルギー入力）'!"&amp;EG87&amp;MATCH(EL1,'数出表_Excel（アレルギー入力）'!$A:$A,0)-1&amp;":"&amp;EL89&amp;MATCH(EL1,'数出表_Excel（アレルギー入力）'!$A:$A,0)-1&amp;"")&lt;&gt;"",0)+1),
 "")),0)</f>
        <v>0</v>
      </c>
      <c r="EM87" s="76"/>
      <c r="EN87" s="84" t="str" cm="1">
        <f t="array" aca="1" ref="EN87" ca="1">IF(EO85&lt;&gt;"",SUBSTITUTE(ADDRESS(1,
(COLUMN(INDIRECT("数出表_Excel!"&amp;EN85&amp;1&amp;""))-2 +
MATCH(TRUE, ISNUMBER(--INDIRECT("数出表_Excel!"&amp;EN85&amp; (MATCH(INDIRECT(""&amp;ES85&amp;ROW()-86&amp;""),数出表_Excel!$A:$A,0)-1) &amp; ":U" &amp; (MATCH(INDIRECT(""&amp;ES85&amp;ROW()-86&amp;""),数出表_Excel!$A:$A,0)-1))), 0))
*2,4),"1",""),"")</f>
        <v/>
      </c>
      <c r="EO87" s="249" t="str">
        <f ca="1">IF(EO88&lt;&gt;"","園児","")</f>
        <v/>
      </c>
      <c r="EP87" s="250"/>
      <c r="EQ87" s="251" t="str">
        <f ca="1">IF(EO88&lt;&gt;"","先生","")</f>
        <v/>
      </c>
      <c r="ER87" s="250"/>
      <c r="ES87" s="97" cm="1">
        <f t="array" aca="1" ref="ES87" ca="1">IF(EO85&lt;&gt;"",
IF(IFERROR(
INDEX(INDIRECT("'数出表_Excel（アレルギー入力）'!"&amp;EN87&amp;MATCH(ES1,'数出表_Excel（アレルギー入力）'!$A:$A,0)-1&amp;":"&amp;ES89&amp;MATCH(ES1,'数出表_Excel（アレルギー入力）'!$A:$A,0)-1&amp;""),
 1,
MATCH(TRUE,INDIRECT("'数出表_Excel（アレルギー入力）'!"&amp;EN87&amp;MATCH(ES1,'数出表_Excel（アレルギー入力）'!$A:$A,0)-1&amp;":"&amp;ES89&amp;MATCH(ES1,'数出表_Excel（アレルギー入力）'!$A:$A,0)-1&amp;"")&lt;&gt;"",0)+1),
 "")&lt;&gt;0,
IF(IFERROR(
INDEX(INDIRECT("'数出表_Excel（アレルギー入力）'!"&amp;EN87&amp;MATCH(ES1,'数出表_Excel（アレルギー入力）'!$A:$A,0)-1&amp;":"&amp;ES89&amp;MATCH(ES1,'数出表_Excel（アレルギー入力）'!$A:$A,0)-1&amp;""),
 1,
MATCH(TRUE,INDIRECT("'数出表_Excel（アレルギー入力）'!"&amp;EN87&amp;MATCH(ES1,'数出表_Excel（アレルギー入力）'!$A:$A,0)-1&amp;":"&amp;ES89&amp;MATCH(ES1,'数出表_Excel（アレルギー入力）'!$A:$A,0)-1&amp;"")&lt;&gt;"",0)+1),
 "")="",
0,
IFERROR(
INDEX(INDIRECT("'数出表_Excel（アレルギー入力）'!"&amp;EN87&amp;MATCH(ES1,'数出表_Excel（アレルギー入力）'!$A:$A,0)-1&amp;":"&amp;ES89&amp;MATCH(ES1,'数出表_Excel（アレルギー入力）'!$A:$A,0)-1&amp;""),
 1,
MATCH(TRUE,INDIRECT("'数出表_Excel（アレルギー入力）'!"&amp;EN87&amp;MATCH(ES1,'数出表_Excel（アレルギー入力）'!$A:$A,0)-1&amp;":"&amp;ES89&amp;MATCH(ES1,'数出表_Excel（アレルギー入力）'!$A:$A,0)-1&amp;"")&lt;&gt;"",0)+1),
 "")),IFERROR(
INDEX(INDIRECT("'数出表_Excel（アレルギー入力）'!"&amp;EN87&amp;MATCH(ES1,'数出表_Excel（アレルギー入力）'!$A:$A,0)-1&amp;":"&amp;ES89&amp;MATCH(ES1,'数出表_Excel（アレルギー入力）'!$A:$A,0)-1&amp;""),
 1,
MATCH(TRUE,INDIRECT("'数出表_Excel（アレルギー入力）'!"&amp;EN87&amp;MATCH(ES1,'数出表_Excel（アレルギー入力）'!$A:$A,0)-1&amp;":"&amp;ES89&amp;MATCH(ES1,'数出表_Excel（アレルギー入力）'!$A:$A,0)-1&amp;"")&lt;&gt;"",0)+1),
 "")),0)</f>
        <v>0</v>
      </c>
      <c r="EU87" s="78">
        <f t="shared" si="8"/>
        <v>98</v>
      </c>
      <c r="EV87" s="78" t="str">
        <f t="array" aca="1" ref="EV8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LEN(SUBSTITUTE(_xlfn.FORMULATEXT(EV$73),"=","")))+$EU87)</f>
        <v/>
      </c>
      <c r="EW87" s="78" t="str">
        <f t="array" aca="1" ref="EW8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LEN(SUBSTITUTE(_xlfn.FORMULATEXT(EW$73),"=","")))+$EU87)</f>
        <v/>
      </c>
      <c r="EX87" s="78" t="str">
        <f t="array" aca="1" ref="EX8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LEN(SUBSTITUTE(_xlfn.FORMULATEXT(EX$73),"=","")))+$EU87)</f>
        <v/>
      </c>
      <c r="EY87" s="78" t="str">
        <f t="array" aca="1" ref="EY8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LEN(SUBSTITUTE(_xlfn.FORMULATEXT(EY$73),"=","")))+$EU87)</f>
        <v/>
      </c>
      <c r="EZ87" s="78" t="str">
        <f t="array" aca="1" ref="EZ8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LEN(SUBSTITUTE(_xlfn.FORMULATEXT(EZ$73),"=","")))+$EU87)</f>
        <v/>
      </c>
      <c r="FA87" s="78" t="str">
        <f t="array" aca="1" ref="FA8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LEN(SUBSTITUTE(_xlfn.FORMULATEXT(FA$73),"=","")))+$EU87)</f>
        <v/>
      </c>
      <c r="FB87" s="78" t="str">
        <f t="array" aca="1" ref="FB8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LEN(SUBSTITUTE(_xlfn.FORMULATEXT(FB$73),"=","")))+$EU87)</f>
        <v/>
      </c>
      <c r="FC87" s="78" t="str">
        <f t="array" aca="1" ref="FC8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LEN(SUBSTITUTE(_xlfn.FORMULATEXT(FC$73),"=","")))+$EU87)</f>
        <v/>
      </c>
      <c r="FD87" s="78" t="str">
        <f t="array" aca="1" ref="FD8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LEN(SUBSTITUTE(_xlfn.FORMULATEXT(FD$73),"=","")))+$EU87)</f>
        <v/>
      </c>
      <c r="FE87" s="78" t="str">
        <f t="array" aca="1" ref="FE8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LEN(SUBSTITUTE(_xlfn.FORMULATEXT(FE$73),"=","")))+$EU87)</f>
        <v/>
      </c>
      <c r="FF87" s="78" t="str">
        <f t="array" aca="1" ref="FF8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LEN(SUBSTITUTE(_xlfn.FORMULATEXT(FF$73),"=","")))+$EU87)</f>
        <v/>
      </c>
      <c r="FG87" s="78">
        <f t="shared" ca="1" si="7"/>
        <v>0</v>
      </c>
      <c r="FH87" s="78" t="b">
        <f t="array" aca="1" ref="FH87" ca="1">SUMPRODUCT((LEN(EV87:FF87)&gt;0)*1)&gt;0</f>
        <v>0</v>
      </c>
      <c r="FI87" s="78" t="str">
        <f t="array" aca="1" ref="FI87" ca="1">IFERROR(SMALL(IF(FG$1:FG$228&lt;&gt;0,FG$1:FG$228),ROW(A87)),"")</f>
        <v/>
      </c>
      <c r="FJ87" s="78" t="str">
        <f t="array" aca="1" ref="FJ87" ca="1">IF($FI87&lt;&gt;"",
INDIRECT(""&amp;IF(COLUMN(EV130)&lt;=26,CHAR(COLUMN(EV130)+64),CHAR(INT((COLUMN(EV130)-1)/26)+64)&amp;CHAR(MOD(COLUMN(EV130)-1,26)+65))&amp;$FI87&amp;""),"")</f>
        <v/>
      </c>
      <c r="FK87" s="78" t="str">
        <f t="array" aca="1" ref="FK87" ca="1">IF($FI87&lt;&gt;"",
INDIRECT(""&amp;IF(COLUMN(EW130)&lt;=26,CHAR(COLUMN(EW130)+64),CHAR(INT((COLUMN(EW130)-1)/26)+64)&amp;CHAR(MOD(COLUMN(EW130)-1,26)+65))&amp;$FI87&amp;""),"")</f>
        <v/>
      </c>
      <c r="FL87" s="78" t="str">
        <f t="array" aca="1" ref="FL87" ca="1">IF($FI87&lt;&gt;"",
INDIRECT(""&amp;IF(COLUMN(EX130)&lt;=26,CHAR(COLUMN(EX130)+64),CHAR(INT((COLUMN(EX130)-1)/26)+64)&amp;CHAR(MOD(COLUMN(EX130)-1,26)+65))&amp;$FI87&amp;""),"")</f>
        <v/>
      </c>
      <c r="FM87" s="78" t="str">
        <f t="array" aca="1" ref="FM87" ca="1">IF($FI87&lt;&gt;"",
IF(FL87="",
IF(INDIRECT("EY"&amp;$FI87&amp;"")&lt;&gt;"",
INDIRECT("EY"&amp;$FI87&amp;"")&amp;"箱"
&amp;INDIRECT("EZ"&amp;$FI87&amp;""),""),""),"")</f>
        <v/>
      </c>
      <c r="FN87" s="78" t="str">
        <f t="array" aca="1" ref="FN87" ca="1">IF($FI87&lt;&gt;"",
INDIRECT(""&amp;IF(COLUMN(FA130)&lt;=26,CHAR(COLUMN(FA130)+64),CHAR(INT((COLUMN(FA130)-1)/26)+64)&amp;CHAR(MOD(COLUMN(FA130)-1,26)+65))&amp;$FI87&amp;""),"")</f>
        <v/>
      </c>
      <c r="FO87" s="78" t="str">
        <f t="array" aca="1" ref="FO87" ca="1">IF($FI87&lt;&gt;"",
INDIRECT(""&amp;IF(COLUMN(FB130)&lt;=26,CHAR(COLUMN(FB130)+64),CHAR(INT((COLUMN(FB130)-1)/26)+64)&amp;CHAR(MOD(COLUMN(FB130)-1,26)+65))&amp;$FI87&amp;""),"")</f>
        <v/>
      </c>
      <c r="FP87" s="78" t="str">
        <f t="array" aca="1" ref="FP87" ca="1">IF($FI87&lt;&gt;"",
INDIRECT(""&amp;IF(COLUMN(FC130)&lt;=26,CHAR(COLUMN(FC130)+64),CHAR(INT((COLUMN(FC130)-1)/26)+64)&amp;CHAR(MOD(COLUMN(FC130)-1,26)+65))&amp;$FI87&amp;""),"")</f>
        <v/>
      </c>
      <c r="FQ87" s="78" t="str">
        <f t="array" aca="1" ref="FQ87" ca="1">IF($FI87&lt;&gt;"",
INDIRECT(""&amp;IF(COLUMN(FD130)&lt;=26,CHAR(COLUMN(FD130)+64),CHAR(INT((COLUMN(FD130)-1)/26)+64)&amp;CHAR(MOD(COLUMN(FD130)-1,26)+65))&amp;$FI87&amp;""),"")</f>
        <v/>
      </c>
      <c r="FR87" s="78" t="str">
        <f t="array" aca="1" ref="FR87" ca="1">IF($FI87&lt;&gt;"",
INDIRECT(""&amp;IF(COLUMN(FE130)&lt;=26,CHAR(COLUMN(FE130)+64),CHAR(INT((COLUMN(FE130)-1)/26)+64)&amp;CHAR(MOD(COLUMN(FE130)-1,26)+65))&amp;$FI87&amp;""),"")</f>
        <v/>
      </c>
      <c r="FS87" s="78" t="str">
        <f t="array" aca="1" ref="FS87" ca="1">IF($FI87&lt;&gt;"",
INDIRECT(""&amp;IF(COLUMN(FF130)&lt;=26,CHAR(COLUMN(FF130)+64),CHAR(INT((COLUMN(FF130)-1)/26)+64)&amp;CHAR(MOD(COLUMN(FF130)-1,26)+65))&amp;$FI87&amp;""),"")</f>
        <v/>
      </c>
    </row>
    <row r="88" spans="1:175" ht="22.2" customHeight="1" x14ac:dyDescent="0.45">
      <c r="B88" s="86"/>
      <c r="C88" s="252" t="str" cm="1">
        <f t="array" aca="1" ref="C88" ca="1">IF(C86&lt;&gt;"",
IF(IFERROR(
INDEX(INDIRECT("数出表_Excel!"&amp;B85&amp;MATCH(G1,数出表_Excel!$A:$A,0)-1&amp;":U"&amp;MATCH(G1,数出表_Excel!$A:$A,0)-1&amp;""),
 1,
 MATCH(TRUE, ISNUMBER(--INDIRECT("数出表_Excel!"&amp;B85&amp;MATCH(G1,数出表_Excel!$A:$A,0)-1&amp;":U"&amp;MATCH(G1,数出表_Excel!$A:$A,0)-1&amp;"")), 0)),
 "")=0,"",
IF(B3=100,
IFERROR(
INDEX(INDIRECT("数出表_Excel!"&amp;B85&amp;MATCH(G1,数出表_Excel!$A:$A,0)-1+2&amp;":U"&amp;MATCH(G1,数出表_Excel!$A:$A,0)-1+2&amp;""),
 1,
 MATCH(TRUE, ISNUMBER(--INDIRECT("数出表_Excel!"&amp;B85&amp;MATCH(G1,数出表_Excel!$A:$A,0)-1+2&amp;":U"&amp;MATCH(G1,数出表_Excel!$A:$A,0)-1+2&amp;"")), 0)),
 "")
+IFERROR(
INDEX(INDIRECT("数出表_Excel!"&amp;B85&amp;MATCH(G1,数出表_Excel!$A:$A,0)-1&amp;":U"&amp;MATCH(G1,数出表_Excel!$A:$A,0)-1&amp;""),
 1,
 MATCH(TRUE, ISNUMBER(--INDIRECT("数出表_Excel!"&amp;B85&amp;MATCH(G1,数出表_Excel!$A:$A,0)-1&amp;":U"&amp;MATCH(G1,数出表_Excel!$A:$A,0)-1&amp;"")), 0)),
 ""),
IFERROR(
INDEX(INDIRECT("数出表_Excel!"&amp;B85&amp;MATCH(G1,数出表_Excel!$A:$A,0)-1&amp;":U"&amp;MATCH(G1,数出表_Excel!$A:$A,0)-1&amp;""),
 1,
 MATCH(TRUE, ISNUMBER(--INDIRECT("数出表_Excel!"&amp;B85&amp;MATCH(G1,数出表_Excel!$A:$A,0)-1&amp;":U"&amp;MATCH(G1,数出表_Excel!$A:$A,0)-1&amp;"")), 0)),
 ""))),"")</f>
        <v/>
      </c>
      <c r="D88" s="253"/>
      <c r="E88" s="255" t="str" cm="1">
        <f t="array" aca="1" ref="E88" ca="1">IF(C44&lt;&gt;"",
IF(IFERROR(
INDEX(INDIRECT("数出表_Excel!B"&amp;MATCH(G1,数出表_Excel!$A:$A,0)&amp;":U"&amp;MATCH(G1,数出表_Excel!$A:$A,0)&amp;""),
 1,B86-1),
 "")=0,"",
IFERROR(
INDEX(INDIRECT("数出表_Excel!B"&amp;MATCH(G1,数出表_Excel!$A:$A,0)&amp;":U"&amp;MATCH(G1,数出表_Excel!$A:$A,0)&amp;""),
 1,B86-1),
 "")),"")</f>
        <v/>
      </c>
      <c r="F88" s="253"/>
      <c r="G88" s="97" t="e" cm="1">
        <f t="array" aca="1" ref="G88" ca="1">IF(INDIRECT(""&amp;SUBSTITUTE(ADDRESS(1,
COLUMN()-5,1),"1","")&amp;ROW()-85&amp;"")=100,
IF(C85&lt;&gt;"",
IF(IFERROR(
INDEX(INDIRECT("'数出表_Excel（アレルギー入力）'!"&amp;B87&amp;MATCH(G1,'数出表_Excel（アレルギー入力）'!$A:$A,0)+1&amp;":"&amp;G89&amp;MATCH(G1,'数出表_Excel（アレルギー入力）'!$A:$A,0)+1&amp;""),
 1,
MATCH(TRUE,INDIRECT("'数出表_Excel（アレルギー入力）'!"&amp;B87&amp;MATCH(G1,'数出表_Excel（アレルギー入力）'!$A:$A,0)+1&amp;":"&amp;G89&amp;MATCH(G1,'数出表_Excel（アレルギー入力）'!$A:$A,0)+1&amp;"")&lt;&gt;"",0)+1),
 "")&lt;&gt;0,
IF(IFERROR(
INDEX(INDIRECT("'数出表_Excel（アレルギー入力）'!"&amp;B87&amp;MATCH(G1,'数出表_Excel（アレルギー入力）'!$A:$A,0)+1&amp;":"&amp;G89&amp;MATCH(G1,'数出表_Excel（アレルギー入力）'!$A:$A,0)+1&amp;""),
 1,
MATCH(TRUE,INDIRECT("'数出表_Excel（アレルギー入力）'!"&amp;B87&amp;MATCH(G1,'数出表_Excel（アレルギー入力）'!$A:$A,0)+1&amp;":"&amp;G89&amp;MATCH(G1,'数出表_Excel（アレルギー入力）'!$A:$A,0)+1&amp;"")&lt;&gt;"",0)+1),
 "")="",
IFERROR(
INDEX(INDIRECT("'数出表_Excel（アレルギー入力）'!"&amp;B87&amp;MATCH(G1,'数出表_Excel（アレルギー入力）'!$A:$A,0)+1&amp;":"&amp;G89&amp;MATCH(G1,'数出表_Excel（アレルギー入力）'!$A:$A,0)+1&amp;""),
 1,
MATCH(TRUE,INDIRECT("'数出表_Excel（アレルギー入力）'!"&amp;B87&amp;MATCH(G1,'数出表_Excel（アレルギー入力）'!$A:$A,0)+1&amp;":"&amp;G89&amp;MATCH(G1,'数出表_Excel（アレルギー入力）'!$A:$A,0)+1&amp;"")&lt;&gt;"",0)+1),
 ""),
IFERROR(
INDEX(INDIRECT("'数出表_Excel（アレルギー入力）'!"&amp;B87&amp;MATCH(G1,'数出表_Excel（アレルギー入力）'!$A:$A,0)+1&amp;":"&amp;G89&amp;MATCH(G1,'数出表_Excel（アレルギー入力）'!$A:$A,0)+1&amp;""),
 1,
MATCH(TRUE,INDIRECT("'数出表_Excel（アレルギー入力）'!"&amp;B87&amp;MATCH(G1,'数出表_Excel（アレルギー入力）'!$A:$A,0)+1&amp;":"&amp;G89&amp;MATCH(G1,'数出表_Excel（アレルギー入力）'!$A:$A,0)+1&amp;"")&lt;&gt;"",0)+1),
 "")),0),""),0)</f>
        <v>#N/A</v>
      </c>
      <c r="I88" s="86"/>
      <c r="J88" s="252" t="str" cm="1">
        <f t="array" aca="1" ref="J88" ca="1">IF(J86&lt;&gt;"",
IF(IFERROR(
INDEX(INDIRECT("数出表_Excel!"&amp;I85&amp;MATCH(N1,数出表_Excel!$A:$A,0)-1&amp;":U"&amp;MATCH(N1,数出表_Excel!$A:$A,0)-1&amp;""),
 1,
 MATCH(TRUE, ISNUMBER(--INDIRECT("数出表_Excel!"&amp;I85&amp;MATCH(N1,数出表_Excel!$A:$A,0)-1&amp;":U"&amp;MATCH(N1,数出表_Excel!$A:$A,0)-1&amp;"")), 0)),
 "")=0,"",
IF(I3=100,
IFERROR(
INDEX(INDIRECT("数出表_Excel!"&amp;I85&amp;MATCH(N1,数出表_Excel!$A:$A,0)-1+2&amp;":U"&amp;MATCH(N1,数出表_Excel!$A:$A,0)-1+2&amp;""),
 1,
 MATCH(TRUE, ISNUMBER(--INDIRECT("数出表_Excel!"&amp;I85&amp;MATCH(N1,数出表_Excel!$A:$A,0)-1+2&amp;":U"&amp;MATCH(N1,数出表_Excel!$A:$A,0)-1+2&amp;"")), 0)),
 "")
+IFERROR(
INDEX(INDIRECT("数出表_Excel!"&amp;I85&amp;MATCH(N1,数出表_Excel!$A:$A,0)-1&amp;":U"&amp;MATCH(N1,数出表_Excel!$A:$A,0)-1&amp;""),
 1,
 MATCH(TRUE, ISNUMBER(--INDIRECT("数出表_Excel!"&amp;I85&amp;MATCH(N1,数出表_Excel!$A:$A,0)-1&amp;":U"&amp;MATCH(N1,数出表_Excel!$A:$A,0)-1&amp;"")), 0)),
 ""),
IFERROR(
INDEX(INDIRECT("数出表_Excel!"&amp;I85&amp;MATCH(N1,数出表_Excel!$A:$A,0)-1&amp;":U"&amp;MATCH(N1,数出表_Excel!$A:$A,0)-1&amp;""),
 1,
 MATCH(TRUE, ISNUMBER(--INDIRECT("数出表_Excel!"&amp;I85&amp;MATCH(N1,数出表_Excel!$A:$A,0)-1&amp;":U"&amp;MATCH(N1,数出表_Excel!$A:$A,0)-1&amp;"")), 0)),
 ""))),"")</f>
        <v/>
      </c>
      <c r="K88" s="253"/>
      <c r="L88" s="255" t="str" cm="1">
        <f t="array" aca="1" ref="L88" ca="1">IF(J44&lt;&gt;"",
IF(IFERROR(
INDEX(INDIRECT("数出表_Excel!B"&amp;MATCH(N1,数出表_Excel!$A:$A,0)&amp;":U"&amp;MATCH(N1,数出表_Excel!$A:$A,0)&amp;""),
 1,I86-1),
 "")=0,"",
IFERROR(
INDEX(INDIRECT("数出表_Excel!B"&amp;MATCH(N1,数出表_Excel!$A:$A,0)&amp;":U"&amp;MATCH(N1,数出表_Excel!$A:$A,0)&amp;""),
 1,I86-1),
 "")),"")</f>
        <v/>
      </c>
      <c r="M88" s="253"/>
      <c r="N88" s="97" t="e" cm="1">
        <f t="array" aca="1" ref="N88" ca="1">IF(INDIRECT(""&amp;SUBSTITUTE(ADDRESS(1,
COLUMN()-5,1),"1","")&amp;ROW()-85&amp;"")=100,
IF(J85&lt;&gt;"",
IF(IFERROR(
INDEX(INDIRECT("'数出表_Excel（アレルギー入力）'!"&amp;I87&amp;MATCH(N1,'数出表_Excel（アレルギー入力）'!$A:$A,0)+1&amp;":"&amp;N89&amp;MATCH(N1,'数出表_Excel（アレルギー入力）'!$A:$A,0)+1&amp;""),
 1,
MATCH(TRUE,INDIRECT("'数出表_Excel（アレルギー入力）'!"&amp;I87&amp;MATCH(N1,'数出表_Excel（アレルギー入力）'!$A:$A,0)+1&amp;":"&amp;N89&amp;MATCH(N1,'数出表_Excel（アレルギー入力）'!$A:$A,0)+1&amp;"")&lt;&gt;"",0)+1),
 "")&lt;&gt;0,
IF(IFERROR(
INDEX(INDIRECT("'数出表_Excel（アレルギー入力）'!"&amp;I87&amp;MATCH(N1,'数出表_Excel（アレルギー入力）'!$A:$A,0)+1&amp;":"&amp;N89&amp;MATCH(N1,'数出表_Excel（アレルギー入力）'!$A:$A,0)+1&amp;""),
 1,
MATCH(TRUE,INDIRECT("'数出表_Excel（アレルギー入力）'!"&amp;I87&amp;MATCH(N1,'数出表_Excel（アレルギー入力）'!$A:$A,0)+1&amp;":"&amp;N89&amp;MATCH(N1,'数出表_Excel（アレルギー入力）'!$A:$A,0)+1&amp;"")&lt;&gt;"",0)+1),
 "")="",
IFERROR(
INDEX(INDIRECT("'数出表_Excel（アレルギー入力）'!"&amp;I87&amp;MATCH(N1,'数出表_Excel（アレルギー入力）'!$A:$A,0)+1&amp;":"&amp;N89&amp;MATCH(N1,'数出表_Excel（アレルギー入力）'!$A:$A,0)+1&amp;""),
 1,
MATCH(TRUE,INDIRECT("'数出表_Excel（アレルギー入力）'!"&amp;I87&amp;MATCH(N1,'数出表_Excel（アレルギー入力）'!$A:$A,0)+1&amp;":"&amp;N89&amp;MATCH(N1,'数出表_Excel（アレルギー入力）'!$A:$A,0)+1&amp;"")&lt;&gt;"",0)+1),
 ""),
IFERROR(
INDEX(INDIRECT("'数出表_Excel（アレルギー入力）'!"&amp;I87&amp;MATCH(N1,'数出表_Excel（アレルギー入力）'!$A:$A,0)+1&amp;":"&amp;N89&amp;MATCH(N1,'数出表_Excel（アレルギー入力）'!$A:$A,0)+1&amp;""),
 1,
MATCH(TRUE,INDIRECT("'数出表_Excel（アレルギー入力）'!"&amp;I87&amp;MATCH(N1,'数出表_Excel（アレルギー入力）'!$A:$A,0)+1&amp;":"&amp;N89&amp;MATCH(N1,'数出表_Excel（アレルギー入力）'!$A:$A,0)+1&amp;"")&lt;&gt;"",0)+1),
 "")),0),""),0)</f>
        <v>#VALUE!</v>
      </c>
      <c r="Q88" s="86"/>
      <c r="R88" s="252" t="str" cm="1">
        <f t="array" aca="1" ref="R88" ca="1">IF(R86&lt;&gt;"",
IF(IFERROR(
INDEX(INDIRECT("数出表_Excel!"&amp;Q85&amp;MATCH(V1,数出表_Excel!$A:$A,0)-1&amp;":U"&amp;MATCH(V1,数出表_Excel!$A:$A,0)-1&amp;""),
 1,
 MATCH(TRUE, ISNUMBER(--INDIRECT("数出表_Excel!"&amp;Q85&amp;MATCH(V1,数出表_Excel!$A:$A,0)-1&amp;":U"&amp;MATCH(V1,数出表_Excel!$A:$A,0)-1&amp;"")), 0)),
 "")=0,"",
IF(Q3=100,
IFERROR(
INDEX(INDIRECT("数出表_Excel!"&amp;Q85&amp;MATCH(V1,数出表_Excel!$A:$A,0)-1+2&amp;":U"&amp;MATCH(V1,数出表_Excel!$A:$A,0)-1+2&amp;""),
 1,
 MATCH(TRUE, ISNUMBER(--INDIRECT("数出表_Excel!"&amp;Q85&amp;MATCH(V1,数出表_Excel!$A:$A,0)-1+2&amp;":U"&amp;MATCH(V1,数出表_Excel!$A:$A,0)-1+2&amp;"")), 0)),
 "")
+IFERROR(
INDEX(INDIRECT("数出表_Excel!"&amp;Q85&amp;MATCH(V1,数出表_Excel!$A:$A,0)-1&amp;":U"&amp;MATCH(V1,数出表_Excel!$A:$A,0)-1&amp;""),
 1,
 MATCH(TRUE, ISNUMBER(--INDIRECT("数出表_Excel!"&amp;Q85&amp;MATCH(V1,数出表_Excel!$A:$A,0)-1&amp;":U"&amp;MATCH(V1,数出表_Excel!$A:$A,0)-1&amp;"")), 0)),
 ""),
IFERROR(
INDEX(INDIRECT("数出表_Excel!"&amp;Q85&amp;MATCH(V1,数出表_Excel!$A:$A,0)-1&amp;":U"&amp;MATCH(V1,数出表_Excel!$A:$A,0)-1&amp;""),
 1,
 MATCH(TRUE, ISNUMBER(--INDIRECT("数出表_Excel!"&amp;Q85&amp;MATCH(V1,数出表_Excel!$A:$A,0)-1&amp;":U"&amp;MATCH(V1,数出表_Excel!$A:$A,0)-1&amp;"")), 0)),
 ""))),"")</f>
        <v/>
      </c>
      <c r="S88" s="253"/>
      <c r="T88" s="255" t="str" cm="1">
        <f t="array" aca="1" ref="T88" ca="1">IF(R44&lt;&gt;"",
IF(IFERROR(
INDEX(INDIRECT("数出表_Excel!B"&amp;MATCH(V1,数出表_Excel!$A:$A,0)&amp;":U"&amp;MATCH(V1,数出表_Excel!$A:$A,0)&amp;""),
 1,Q86-1),
 "")=0,"",
IFERROR(
INDEX(INDIRECT("数出表_Excel!B"&amp;MATCH(V1,数出表_Excel!$A:$A,0)&amp;":U"&amp;MATCH(V1,数出表_Excel!$A:$A,0)&amp;""),
 1,Q86-1),
 "")),"")</f>
        <v/>
      </c>
      <c r="U88" s="253"/>
      <c r="V88" s="97" t="e" cm="1">
        <f t="array" aca="1" ref="V88" ca="1">IF(INDIRECT(""&amp;SUBSTITUTE(ADDRESS(1,
COLUMN()-5,1),"1","")&amp;ROW()-85&amp;"")=100,
IF(R85&lt;&gt;"",
IF(IFERROR(
INDEX(INDIRECT("'数出表_Excel（アレルギー入力）'!"&amp;Q87&amp;MATCH(V1,'数出表_Excel（アレルギー入力）'!$A:$A,0)+1&amp;":"&amp;V89&amp;MATCH(V1,'数出表_Excel（アレルギー入力）'!$A:$A,0)+1&amp;""),
 1,
MATCH(TRUE,INDIRECT("'数出表_Excel（アレルギー入力）'!"&amp;Q87&amp;MATCH(V1,'数出表_Excel（アレルギー入力）'!$A:$A,0)+1&amp;":"&amp;V89&amp;MATCH(V1,'数出表_Excel（アレルギー入力）'!$A:$A,0)+1&amp;"")&lt;&gt;"",0)+1),
 "")&lt;&gt;0,
IF(IFERROR(
INDEX(INDIRECT("'数出表_Excel（アレルギー入力）'!"&amp;Q87&amp;MATCH(V1,'数出表_Excel（アレルギー入力）'!$A:$A,0)+1&amp;":"&amp;V89&amp;MATCH(V1,'数出表_Excel（アレルギー入力）'!$A:$A,0)+1&amp;""),
 1,
MATCH(TRUE,INDIRECT("'数出表_Excel（アレルギー入力）'!"&amp;Q87&amp;MATCH(V1,'数出表_Excel（アレルギー入力）'!$A:$A,0)+1&amp;":"&amp;V89&amp;MATCH(V1,'数出表_Excel（アレルギー入力）'!$A:$A,0)+1&amp;"")&lt;&gt;"",0)+1),
 "")="",
IFERROR(
INDEX(INDIRECT("'数出表_Excel（アレルギー入力）'!"&amp;Q87&amp;MATCH(V1,'数出表_Excel（アレルギー入力）'!$A:$A,0)+1&amp;":"&amp;V89&amp;MATCH(V1,'数出表_Excel（アレルギー入力）'!$A:$A,0)+1&amp;""),
 1,
MATCH(TRUE,INDIRECT("'数出表_Excel（アレルギー入力）'!"&amp;Q87&amp;MATCH(V1,'数出表_Excel（アレルギー入力）'!$A:$A,0)+1&amp;":"&amp;V89&amp;MATCH(V1,'数出表_Excel（アレルギー入力）'!$A:$A,0)+1&amp;"")&lt;&gt;"",0)+1),
 ""),
IFERROR(
INDEX(INDIRECT("'数出表_Excel（アレルギー入力）'!"&amp;Q87&amp;MATCH(V1,'数出表_Excel（アレルギー入力）'!$A:$A,0)+1&amp;":"&amp;V89&amp;MATCH(V1,'数出表_Excel（アレルギー入力）'!$A:$A,0)+1&amp;""),
 1,
MATCH(TRUE,INDIRECT("'数出表_Excel（アレルギー入力）'!"&amp;Q87&amp;MATCH(V1,'数出表_Excel（アレルギー入力）'!$A:$A,0)+1&amp;":"&amp;V89&amp;MATCH(V1,'数出表_Excel（アレルギー入力）'!$A:$A,0)+1&amp;"")&lt;&gt;"",0)+1),
 "")),0),""),0)</f>
        <v>#VALUE!</v>
      </c>
      <c r="X88" s="86"/>
      <c r="Y88" s="252" t="str" cm="1">
        <f t="array" aca="1" ref="Y88" ca="1">IF(Y86&lt;&gt;"",
IF(IFERROR(
INDEX(INDIRECT("数出表_Excel!"&amp;X85&amp;MATCH(AC1,数出表_Excel!$A:$A,0)-1&amp;":U"&amp;MATCH(AC1,数出表_Excel!$A:$A,0)-1&amp;""),
 1,
 MATCH(TRUE, ISNUMBER(--INDIRECT("数出表_Excel!"&amp;X85&amp;MATCH(AC1,数出表_Excel!$A:$A,0)-1&amp;":U"&amp;MATCH(AC1,数出表_Excel!$A:$A,0)-1&amp;"")), 0)),
 "")=0,"",
IF(X3=100,
IFERROR(
INDEX(INDIRECT("数出表_Excel!"&amp;X85&amp;MATCH(AC1,数出表_Excel!$A:$A,0)-1+2&amp;":U"&amp;MATCH(AC1,数出表_Excel!$A:$A,0)-1+2&amp;""),
 1,
 MATCH(TRUE, ISNUMBER(--INDIRECT("数出表_Excel!"&amp;X85&amp;MATCH(AC1,数出表_Excel!$A:$A,0)-1+2&amp;":U"&amp;MATCH(AC1,数出表_Excel!$A:$A,0)-1+2&amp;"")), 0)),
 "")
+IFERROR(
INDEX(INDIRECT("数出表_Excel!"&amp;X85&amp;MATCH(AC1,数出表_Excel!$A:$A,0)-1&amp;":U"&amp;MATCH(AC1,数出表_Excel!$A:$A,0)-1&amp;""),
 1,
 MATCH(TRUE, ISNUMBER(--INDIRECT("数出表_Excel!"&amp;X85&amp;MATCH(AC1,数出表_Excel!$A:$A,0)-1&amp;":U"&amp;MATCH(AC1,数出表_Excel!$A:$A,0)-1&amp;"")), 0)),
 ""),
IFERROR(
INDEX(INDIRECT("数出表_Excel!"&amp;X85&amp;MATCH(AC1,数出表_Excel!$A:$A,0)-1&amp;":U"&amp;MATCH(AC1,数出表_Excel!$A:$A,0)-1&amp;""),
 1,
 MATCH(TRUE, ISNUMBER(--INDIRECT("数出表_Excel!"&amp;X85&amp;MATCH(AC1,数出表_Excel!$A:$A,0)-1&amp;":U"&amp;MATCH(AC1,数出表_Excel!$A:$A,0)-1&amp;"")), 0)),
 ""))),"")</f>
        <v/>
      </c>
      <c r="Z88" s="253"/>
      <c r="AA88" s="255" t="str" cm="1">
        <f t="array" aca="1" ref="AA88" ca="1">IF(Y44&lt;&gt;"",
IF(IFERROR(
INDEX(INDIRECT("数出表_Excel!B"&amp;MATCH(AC1,数出表_Excel!$A:$A,0)&amp;":U"&amp;MATCH(AC1,数出表_Excel!$A:$A,0)&amp;""),
 1,X86-1),
 "")=0,"",
IFERROR(
INDEX(INDIRECT("数出表_Excel!B"&amp;MATCH(AC1,数出表_Excel!$A:$A,0)&amp;":U"&amp;MATCH(AC1,数出表_Excel!$A:$A,0)&amp;""),
 1,X86-1),
 "")),"")</f>
        <v/>
      </c>
      <c r="AB88" s="253"/>
      <c r="AC88" s="97" t="e" cm="1">
        <f t="array" aca="1" ref="AC88" ca="1">IF(INDIRECT(""&amp;SUBSTITUTE(ADDRESS(1,
COLUMN()-5,1),"1","")&amp;ROW()-85&amp;"")=100,
IF(Y85&lt;&gt;"",
IF(IFERROR(
INDEX(INDIRECT("'数出表_Excel（アレルギー入力）'!"&amp;X87&amp;MATCH(AC1,'数出表_Excel（アレルギー入力）'!$A:$A,0)+1&amp;":"&amp;AC89&amp;MATCH(AC1,'数出表_Excel（アレルギー入力）'!$A:$A,0)+1&amp;""),
 1,
MATCH(TRUE,INDIRECT("'数出表_Excel（アレルギー入力）'!"&amp;X87&amp;MATCH(AC1,'数出表_Excel（アレルギー入力）'!$A:$A,0)+1&amp;":"&amp;AC89&amp;MATCH(AC1,'数出表_Excel（アレルギー入力）'!$A:$A,0)+1&amp;"")&lt;&gt;"",0)+1),
 "")&lt;&gt;0,
IF(IFERROR(
INDEX(INDIRECT("'数出表_Excel（アレルギー入力）'!"&amp;X87&amp;MATCH(AC1,'数出表_Excel（アレルギー入力）'!$A:$A,0)+1&amp;":"&amp;AC89&amp;MATCH(AC1,'数出表_Excel（アレルギー入力）'!$A:$A,0)+1&amp;""),
 1,
MATCH(TRUE,INDIRECT("'数出表_Excel（アレルギー入力）'!"&amp;X87&amp;MATCH(AC1,'数出表_Excel（アレルギー入力）'!$A:$A,0)+1&amp;":"&amp;AC89&amp;MATCH(AC1,'数出表_Excel（アレルギー入力）'!$A:$A,0)+1&amp;"")&lt;&gt;"",0)+1),
 "")="",
IFERROR(
INDEX(INDIRECT("'数出表_Excel（アレルギー入力）'!"&amp;X87&amp;MATCH(AC1,'数出表_Excel（アレルギー入力）'!$A:$A,0)+1&amp;":"&amp;AC89&amp;MATCH(AC1,'数出表_Excel（アレルギー入力）'!$A:$A,0)+1&amp;""),
 1,
MATCH(TRUE,INDIRECT("'数出表_Excel（アレルギー入力）'!"&amp;X87&amp;MATCH(AC1,'数出表_Excel（アレルギー入力）'!$A:$A,0)+1&amp;":"&amp;AC89&amp;MATCH(AC1,'数出表_Excel（アレルギー入力）'!$A:$A,0)+1&amp;"")&lt;&gt;"",0)+1),
 ""),
IFERROR(
INDEX(INDIRECT("'数出表_Excel（アレルギー入力）'!"&amp;X87&amp;MATCH(AC1,'数出表_Excel（アレルギー入力）'!$A:$A,0)+1&amp;":"&amp;AC89&amp;MATCH(AC1,'数出表_Excel（アレルギー入力）'!$A:$A,0)+1&amp;""),
 1,
MATCH(TRUE,INDIRECT("'数出表_Excel（アレルギー入力）'!"&amp;X87&amp;MATCH(AC1,'数出表_Excel（アレルギー入力）'!$A:$A,0)+1&amp;":"&amp;AC89&amp;MATCH(AC1,'数出表_Excel（アレルギー入力）'!$A:$A,0)+1&amp;"")&lt;&gt;"",0)+1),
 "")),0),""),0)</f>
        <v>#VALUE!</v>
      </c>
      <c r="AF88" s="86"/>
      <c r="AG88" s="252" t="str" cm="1">
        <f t="array" aca="1" ref="AG88" ca="1">IF(AG86&lt;&gt;"",
IF(IFERROR(
INDEX(INDIRECT("数出表_Excel!"&amp;AF85&amp;MATCH(AK1,数出表_Excel!$A:$A,0)-1&amp;":U"&amp;MATCH(AK1,数出表_Excel!$A:$A,0)-1&amp;""),
 1,
 MATCH(TRUE, ISNUMBER(--INDIRECT("数出表_Excel!"&amp;AF85&amp;MATCH(AK1,数出表_Excel!$A:$A,0)-1&amp;":U"&amp;MATCH(AK1,数出表_Excel!$A:$A,0)-1&amp;"")), 0)),
 "")=0,"",
IF(AF3=100,
IFERROR(
INDEX(INDIRECT("数出表_Excel!"&amp;AF85&amp;MATCH(AK1,数出表_Excel!$A:$A,0)-1+2&amp;":U"&amp;MATCH(AK1,数出表_Excel!$A:$A,0)-1+2&amp;""),
 1,
 MATCH(TRUE, ISNUMBER(--INDIRECT("数出表_Excel!"&amp;AF85&amp;MATCH(AK1,数出表_Excel!$A:$A,0)-1+2&amp;":U"&amp;MATCH(AK1,数出表_Excel!$A:$A,0)-1+2&amp;"")), 0)),
 "")
+IFERROR(
INDEX(INDIRECT("数出表_Excel!"&amp;AF85&amp;MATCH(AK1,数出表_Excel!$A:$A,0)-1&amp;":U"&amp;MATCH(AK1,数出表_Excel!$A:$A,0)-1&amp;""),
 1,
 MATCH(TRUE, ISNUMBER(--INDIRECT("数出表_Excel!"&amp;AF85&amp;MATCH(AK1,数出表_Excel!$A:$A,0)-1&amp;":U"&amp;MATCH(AK1,数出表_Excel!$A:$A,0)-1&amp;"")), 0)),
 ""),
IFERROR(
INDEX(INDIRECT("数出表_Excel!"&amp;AF85&amp;MATCH(AK1,数出表_Excel!$A:$A,0)-1&amp;":U"&amp;MATCH(AK1,数出表_Excel!$A:$A,0)-1&amp;""),
 1,
 MATCH(TRUE, ISNUMBER(--INDIRECT("数出表_Excel!"&amp;AF85&amp;MATCH(AK1,数出表_Excel!$A:$A,0)-1&amp;":U"&amp;MATCH(AK1,数出表_Excel!$A:$A,0)-1&amp;"")), 0)),
 ""))),"")</f>
        <v/>
      </c>
      <c r="AH88" s="253"/>
      <c r="AI88" s="255" t="str" cm="1">
        <f t="array" aca="1" ref="AI88" ca="1">IF(AG44&lt;&gt;"",
IF(IFERROR(
INDEX(INDIRECT("数出表_Excel!B"&amp;MATCH(AK1,数出表_Excel!$A:$A,0)&amp;":U"&amp;MATCH(AK1,数出表_Excel!$A:$A,0)&amp;""),
 1,AF86-1),
 "")=0,"",
IFERROR(
INDEX(INDIRECT("数出表_Excel!B"&amp;MATCH(AK1,数出表_Excel!$A:$A,0)&amp;":U"&amp;MATCH(AK1,数出表_Excel!$A:$A,0)&amp;""),
 1,AF86-1),
 "")),"")</f>
        <v/>
      </c>
      <c r="AJ88" s="253"/>
      <c r="AK88" s="97" t="e" cm="1">
        <f t="array" aca="1" ref="AK88" ca="1">IF(INDIRECT(""&amp;SUBSTITUTE(ADDRESS(1,
COLUMN()-5,1),"1","")&amp;ROW()-85&amp;"")=100,
IF(AG85&lt;&gt;"",
IF(IFERROR(
INDEX(INDIRECT("'数出表_Excel（アレルギー入力）'!"&amp;AF87&amp;MATCH(AK1,'数出表_Excel（アレルギー入力）'!$A:$A,0)+1&amp;":"&amp;AK89&amp;MATCH(AK1,'数出表_Excel（アレルギー入力）'!$A:$A,0)+1&amp;""),
 1,
MATCH(TRUE,INDIRECT("'数出表_Excel（アレルギー入力）'!"&amp;AF87&amp;MATCH(AK1,'数出表_Excel（アレルギー入力）'!$A:$A,0)+1&amp;":"&amp;AK89&amp;MATCH(AK1,'数出表_Excel（アレルギー入力）'!$A:$A,0)+1&amp;"")&lt;&gt;"",0)+1),
 "")&lt;&gt;0,
IF(IFERROR(
INDEX(INDIRECT("'数出表_Excel（アレルギー入力）'!"&amp;AF87&amp;MATCH(AK1,'数出表_Excel（アレルギー入力）'!$A:$A,0)+1&amp;":"&amp;AK89&amp;MATCH(AK1,'数出表_Excel（アレルギー入力）'!$A:$A,0)+1&amp;""),
 1,
MATCH(TRUE,INDIRECT("'数出表_Excel（アレルギー入力）'!"&amp;AF87&amp;MATCH(AK1,'数出表_Excel（アレルギー入力）'!$A:$A,0)+1&amp;":"&amp;AK89&amp;MATCH(AK1,'数出表_Excel（アレルギー入力）'!$A:$A,0)+1&amp;"")&lt;&gt;"",0)+1),
 "")="",
IFERROR(
INDEX(INDIRECT("'数出表_Excel（アレルギー入力）'!"&amp;AF87&amp;MATCH(AK1,'数出表_Excel（アレルギー入力）'!$A:$A,0)+1&amp;":"&amp;AK89&amp;MATCH(AK1,'数出表_Excel（アレルギー入力）'!$A:$A,0)+1&amp;""),
 1,
MATCH(TRUE,INDIRECT("'数出表_Excel（アレルギー入力）'!"&amp;AF87&amp;MATCH(AK1,'数出表_Excel（アレルギー入力）'!$A:$A,0)+1&amp;":"&amp;AK89&amp;MATCH(AK1,'数出表_Excel（アレルギー入力）'!$A:$A,0)+1&amp;"")&lt;&gt;"",0)+1),
 ""),
IFERROR(
INDEX(INDIRECT("'数出表_Excel（アレルギー入力）'!"&amp;AF87&amp;MATCH(AK1,'数出表_Excel（アレルギー入力）'!$A:$A,0)+1&amp;":"&amp;AK89&amp;MATCH(AK1,'数出表_Excel（アレルギー入力）'!$A:$A,0)+1&amp;""),
 1,
MATCH(TRUE,INDIRECT("'数出表_Excel（アレルギー入力）'!"&amp;AF87&amp;MATCH(AK1,'数出表_Excel（アレルギー入力）'!$A:$A,0)+1&amp;":"&amp;AK89&amp;MATCH(AK1,'数出表_Excel（アレルギー入力）'!$A:$A,0)+1&amp;"")&lt;&gt;"",0)+1),
 "")),0),""),0)</f>
        <v>#VALUE!</v>
      </c>
      <c r="AM88" s="86"/>
      <c r="AN88" s="252" t="str" cm="1">
        <f t="array" aca="1" ref="AN88" ca="1">IF(AN86&lt;&gt;"",
IF(IFERROR(
INDEX(INDIRECT("数出表_Excel!"&amp;AM85&amp;MATCH(AR1,数出表_Excel!$A:$A,0)-1&amp;":U"&amp;MATCH(AR1,数出表_Excel!$A:$A,0)-1&amp;""),
 1,
 MATCH(TRUE, ISNUMBER(--INDIRECT("数出表_Excel!"&amp;AM85&amp;MATCH(AR1,数出表_Excel!$A:$A,0)-1&amp;":U"&amp;MATCH(AR1,数出表_Excel!$A:$A,0)-1&amp;"")), 0)),
 "")=0,"",
IF(AM3=100,
IFERROR(
INDEX(INDIRECT("数出表_Excel!"&amp;AM85&amp;MATCH(AR1,数出表_Excel!$A:$A,0)-1+2&amp;":U"&amp;MATCH(AR1,数出表_Excel!$A:$A,0)-1+2&amp;""),
 1,
 MATCH(TRUE, ISNUMBER(--INDIRECT("数出表_Excel!"&amp;AM85&amp;MATCH(AR1,数出表_Excel!$A:$A,0)-1+2&amp;":U"&amp;MATCH(AR1,数出表_Excel!$A:$A,0)-1+2&amp;"")), 0)),
 "")
+IFERROR(
INDEX(INDIRECT("数出表_Excel!"&amp;AM85&amp;MATCH(AR1,数出表_Excel!$A:$A,0)-1&amp;":U"&amp;MATCH(AR1,数出表_Excel!$A:$A,0)-1&amp;""),
 1,
 MATCH(TRUE, ISNUMBER(--INDIRECT("数出表_Excel!"&amp;AM85&amp;MATCH(AR1,数出表_Excel!$A:$A,0)-1&amp;":U"&amp;MATCH(AR1,数出表_Excel!$A:$A,0)-1&amp;"")), 0)),
 ""),
IFERROR(
INDEX(INDIRECT("数出表_Excel!"&amp;AM85&amp;MATCH(AR1,数出表_Excel!$A:$A,0)-1&amp;":U"&amp;MATCH(AR1,数出表_Excel!$A:$A,0)-1&amp;""),
 1,
 MATCH(TRUE, ISNUMBER(--INDIRECT("数出表_Excel!"&amp;AM85&amp;MATCH(AR1,数出表_Excel!$A:$A,0)-1&amp;":U"&amp;MATCH(AR1,数出表_Excel!$A:$A,0)-1&amp;"")), 0)),
 ""))),"")</f>
        <v/>
      </c>
      <c r="AO88" s="253"/>
      <c r="AP88" s="255" t="str" cm="1">
        <f t="array" aca="1" ref="AP88" ca="1">IF(AN44&lt;&gt;"",
IF(IFERROR(
INDEX(INDIRECT("数出表_Excel!B"&amp;MATCH(AR1,数出表_Excel!$A:$A,0)&amp;":U"&amp;MATCH(AR1,数出表_Excel!$A:$A,0)&amp;""),
 1,AM86-1),
 "")=0,"",
IFERROR(
INDEX(INDIRECT("数出表_Excel!B"&amp;MATCH(AR1,数出表_Excel!$A:$A,0)&amp;":U"&amp;MATCH(AR1,数出表_Excel!$A:$A,0)&amp;""),
 1,AM86-1),
 "")),"")</f>
        <v/>
      </c>
      <c r="AQ88" s="253"/>
      <c r="AR88" s="97" t="e" cm="1">
        <f t="array" aca="1" ref="AR88" ca="1">IF(INDIRECT(""&amp;SUBSTITUTE(ADDRESS(1,
COLUMN()-5,1),"1","")&amp;ROW()-85&amp;"")=100,
IF(AN85&lt;&gt;"",
IF(IFERROR(
INDEX(INDIRECT("'数出表_Excel（アレルギー入力）'!"&amp;AM87&amp;MATCH(AR1,'数出表_Excel（アレルギー入力）'!$A:$A,0)+1&amp;":"&amp;AR89&amp;MATCH(AR1,'数出表_Excel（アレルギー入力）'!$A:$A,0)+1&amp;""),
 1,
MATCH(TRUE,INDIRECT("'数出表_Excel（アレルギー入力）'!"&amp;AM87&amp;MATCH(AR1,'数出表_Excel（アレルギー入力）'!$A:$A,0)+1&amp;":"&amp;AR89&amp;MATCH(AR1,'数出表_Excel（アレルギー入力）'!$A:$A,0)+1&amp;"")&lt;&gt;"",0)+1),
 "")&lt;&gt;0,
IF(IFERROR(
INDEX(INDIRECT("'数出表_Excel（アレルギー入力）'!"&amp;AM87&amp;MATCH(AR1,'数出表_Excel（アレルギー入力）'!$A:$A,0)+1&amp;":"&amp;AR89&amp;MATCH(AR1,'数出表_Excel（アレルギー入力）'!$A:$A,0)+1&amp;""),
 1,
MATCH(TRUE,INDIRECT("'数出表_Excel（アレルギー入力）'!"&amp;AM87&amp;MATCH(AR1,'数出表_Excel（アレルギー入力）'!$A:$A,0)+1&amp;":"&amp;AR89&amp;MATCH(AR1,'数出表_Excel（アレルギー入力）'!$A:$A,0)+1&amp;"")&lt;&gt;"",0)+1),
 "")="",
IFERROR(
INDEX(INDIRECT("'数出表_Excel（アレルギー入力）'!"&amp;AM87&amp;MATCH(AR1,'数出表_Excel（アレルギー入力）'!$A:$A,0)+1&amp;":"&amp;AR89&amp;MATCH(AR1,'数出表_Excel（アレルギー入力）'!$A:$A,0)+1&amp;""),
 1,
MATCH(TRUE,INDIRECT("'数出表_Excel（アレルギー入力）'!"&amp;AM87&amp;MATCH(AR1,'数出表_Excel（アレルギー入力）'!$A:$A,0)+1&amp;":"&amp;AR89&amp;MATCH(AR1,'数出表_Excel（アレルギー入力）'!$A:$A,0)+1&amp;"")&lt;&gt;"",0)+1),
 ""),
IFERROR(
INDEX(INDIRECT("'数出表_Excel（アレルギー入力）'!"&amp;AM87&amp;MATCH(AR1,'数出表_Excel（アレルギー入力）'!$A:$A,0)+1&amp;":"&amp;AR89&amp;MATCH(AR1,'数出表_Excel（アレルギー入力）'!$A:$A,0)+1&amp;""),
 1,
MATCH(TRUE,INDIRECT("'数出表_Excel（アレルギー入力）'!"&amp;AM87&amp;MATCH(AR1,'数出表_Excel（アレルギー入力）'!$A:$A,0)+1&amp;":"&amp;AR89&amp;MATCH(AR1,'数出表_Excel（アレルギー入力）'!$A:$A,0)+1&amp;"")&lt;&gt;"",0)+1),
 "")),0),""),0)</f>
        <v>#VALUE!</v>
      </c>
      <c r="AU88" s="86"/>
      <c r="AV88" s="252" t="str" cm="1">
        <f t="array" aca="1" ref="AV88" ca="1">IF(AV86&lt;&gt;"",
IF(IFERROR(
INDEX(INDIRECT("数出表_Excel!"&amp;AU85&amp;MATCH(AZ1,数出表_Excel!$A:$A,0)-1&amp;":U"&amp;MATCH(AZ1,数出表_Excel!$A:$A,0)-1&amp;""),
 1,
 MATCH(TRUE, ISNUMBER(--INDIRECT("数出表_Excel!"&amp;AU85&amp;MATCH(AZ1,数出表_Excel!$A:$A,0)-1&amp;":U"&amp;MATCH(AZ1,数出表_Excel!$A:$A,0)-1&amp;"")), 0)),
 "")=0,"",
IF(AU3=100,
IFERROR(
INDEX(INDIRECT("数出表_Excel!"&amp;AU85&amp;MATCH(AZ1,数出表_Excel!$A:$A,0)-1+2&amp;":U"&amp;MATCH(AZ1,数出表_Excel!$A:$A,0)-1+2&amp;""),
 1,
 MATCH(TRUE, ISNUMBER(--INDIRECT("数出表_Excel!"&amp;AU85&amp;MATCH(AZ1,数出表_Excel!$A:$A,0)-1+2&amp;":U"&amp;MATCH(AZ1,数出表_Excel!$A:$A,0)-1+2&amp;"")), 0)),
 "")
+IFERROR(
INDEX(INDIRECT("数出表_Excel!"&amp;AU85&amp;MATCH(AZ1,数出表_Excel!$A:$A,0)-1&amp;":U"&amp;MATCH(AZ1,数出表_Excel!$A:$A,0)-1&amp;""),
 1,
 MATCH(TRUE, ISNUMBER(--INDIRECT("数出表_Excel!"&amp;AU85&amp;MATCH(AZ1,数出表_Excel!$A:$A,0)-1&amp;":U"&amp;MATCH(AZ1,数出表_Excel!$A:$A,0)-1&amp;"")), 0)),
 ""),
IFERROR(
INDEX(INDIRECT("数出表_Excel!"&amp;AU85&amp;MATCH(AZ1,数出表_Excel!$A:$A,0)-1&amp;":U"&amp;MATCH(AZ1,数出表_Excel!$A:$A,0)-1&amp;""),
 1,
 MATCH(TRUE, ISNUMBER(--INDIRECT("数出表_Excel!"&amp;AU85&amp;MATCH(AZ1,数出表_Excel!$A:$A,0)-1&amp;":U"&amp;MATCH(AZ1,数出表_Excel!$A:$A,0)-1&amp;"")), 0)),
 ""))),"")</f>
        <v/>
      </c>
      <c r="AW88" s="253"/>
      <c r="AX88" s="255" t="str" cm="1">
        <f t="array" aca="1" ref="AX88" ca="1">IF(AV44&lt;&gt;"",
IF(IFERROR(
INDEX(INDIRECT("数出表_Excel!B"&amp;MATCH(AZ1,数出表_Excel!$A:$A,0)&amp;":U"&amp;MATCH(AZ1,数出表_Excel!$A:$A,0)&amp;""),
 1,AU86-1),
 "")=0,"",
IFERROR(
INDEX(INDIRECT("数出表_Excel!B"&amp;MATCH(AZ1,数出表_Excel!$A:$A,0)&amp;":U"&amp;MATCH(AZ1,数出表_Excel!$A:$A,0)&amp;""),
 1,AU86-1),
 "")),"")</f>
        <v/>
      </c>
      <c r="AY88" s="253"/>
      <c r="AZ88" s="97" t="e" cm="1">
        <f t="array" aca="1" ref="AZ88" ca="1">IF(INDIRECT(""&amp;SUBSTITUTE(ADDRESS(1,
COLUMN()-5,1),"1","")&amp;ROW()-85&amp;"")=100,
IF(AV85&lt;&gt;"",
IF(IFERROR(
INDEX(INDIRECT("'数出表_Excel（アレルギー入力）'!"&amp;AU87&amp;MATCH(AZ1,'数出表_Excel（アレルギー入力）'!$A:$A,0)+1&amp;":"&amp;AZ89&amp;MATCH(AZ1,'数出表_Excel（アレルギー入力）'!$A:$A,0)+1&amp;""),
 1,
MATCH(TRUE,INDIRECT("'数出表_Excel（アレルギー入力）'!"&amp;AU87&amp;MATCH(AZ1,'数出表_Excel（アレルギー入力）'!$A:$A,0)+1&amp;":"&amp;AZ89&amp;MATCH(AZ1,'数出表_Excel（アレルギー入力）'!$A:$A,0)+1&amp;"")&lt;&gt;"",0)+1),
 "")&lt;&gt;0,
IF(IFERROR(
INDEX(INDIRECT("'数出表_Excel（アレルギー入力）'!"&amp;AU87&amp;MATCH(AZ1,'数出表_Excel（アレルギー入力）'!$A:$A,0)+1&amp;":"&amp;AZ89&amp;MATCH(AZ1,'数出表_Excel（アレルギー入力）'!$A:$A,0)+1&amp;""),
 1,
MATCH(TRUE,INDIRECT("'数出表_Excel（アレルギー入力）'!"&amp;AU87&amp;MATCH(AZ1,'数出表_Excel（アレルギー入力）'!$A:$A,0)+1&amp;":"&amp;AZ89&amp;MATCH(AZ1,'数出表_Excel（アレルギー入力）'!$A:$A,0)+1&amp;"")&lt;&gt;"",0)+1),
 "")="",
IFERROR(
INDEX(INDIRECT("'数出表_Excel（アレルギー入力）'!"&amp;AU87&amp;MATCH(AZ1,'数出表_Excel（アレルギー入力）'!$A:$A,0)+1&amp;":"&amp;AZ89&amp;MATCH(AZ1,'数出表_Excel（アレルギー入力）'!$A:$A,0)+1&amp;""),
 1,
MATCH(TRUE,INDIRECT("'数出表_Excel（アレルギー入力）'!"&amp;AU87&amp;MATCH(AZ1,'数出表_Excel（アレルギー入力）'!$A:$A,0)+1&amp;":"&amp;AZ89&amp;MATCH(AZ1,'数出表_Excel（アレルギー入力）'!$A:$A,0)+1&amp;"")&lt;&gt;"",0)+1),
 ""),
IFERROR(
INDEX(INDIRECT("'数出表_Excel（アレルギー入力）'!"&amp;AU87&amp;MATCH(AZ1,'数出表_Excel（アレルギー入力）'!$A:$A,0)+1&amp;":"&amp;AZ89&amp;MATCH(AZ1,'数出表_Excel（アレルギー入力）'!$A:$A,0)+1&amp;""),
 1,
MATCH(TRUE,INDIRECT("'数出表_Excel（アレルギー入力）'!"&amp;AU87&amp;MATCH(AZ1,'数出表_Excel（アレルギー入力）'!$A:$A,0)+1&amp;":"&amp;AZ89&amp;MATCH(AZ1,'数出表_Excel（アレルギー入力）'!$A:$A,0)+1&amp;"")&lt;&gt;"",0)+1),
 "")),0),""),0)</f>
        <v>#VALUE!</v>
      </c>
      <c r="BB88" s="86"/>
      <c r="BC88" s="252" t="str" cm="1">
        <f t="array" aca="1" ref="BC88" ca="1">IF(BC86&lt;&gt;"",
IF(IFERROR(
INDEX(INDIRECT("数出表_Excel!"&amp;BB85&amp;MATCH(BG1,数出表_Excel!$A:$A,0)-1&amp;":U"&amp;MATCH(BG1,数出表_Excel!$A:$A,0)-1&amp;""),
 1,
 MATCH(TRUE, ISNUMBER(--INDIRECT("数出表_Excel!"&amp;BB85&amp;MATCH(BG1,数出表_Excel!$A:$A,0)-1&amp;":U"&amp;MATCH(BG1,数出表_Excel!$A:$A,0)-1&amp;"")), 0)),
 "")=0,"",
IF(BB3=100,
IFERROR(
INDEX(INDIRECT("数出表_Excel!"&amp;BB85&amp;MATCH(BG1,数出表_Excel!$A:$A,0)-1+2&amp;":U"&amp;MATCH(BG1,数出表_Excel!$A:$A,0)-1+2&amp;""),
 1,
 MATCH(TRUE, ISNUMBER(--INDIRECT("数出表_Excel!"&amp;BB85&amp;MATCH(BG1,数出表_Excel!$A:$A,0)-1+2&amp;":U"&amp;MATCH(BG1,数出表_Excel!$A:$A,0)-1+2&amp;"")), 0)),
 "")
+IFERROR(
INDEX(INDIRECT("数出表_Excel!"&amp;BB85&amp;MATCH(BG1,数出表_Excel!$A:$A,0)-1&amp;":U"&amp;MATCH(BG1,数出表_Excel!$A:$A,0)-1&amp;""),
 1,
 MATCH(TRUE, ISNUMBER(--INDIRECT("数出表_Excel!"&amp;BB85&amp;MATCH(BG1,数出表_Excel!$A:$A,0)-1&amp;":U"&amp;MATCH(BG1,数出表_Excel!$A:$A,0)-1&amp;"")), 0)),
 ""),
IFERROR(
INDEX(INDIRECT("数出表_Excel!"&amp;BB85&amp;MATCH(BG1,数出表_Excel!$A:$A,0)-1&amp;":U"&amp;MATCH(BG1,数出表_Excel!$A:$A,0)-1&amp;""),
 1,
 MATCH(TRUE, ISNUMBER(--INDIRECT("数出表_Excel!"&amp;BB85&amp;MATCH(BG1,数出表_Excel!$A:$A,0)-1&amp;":U"&amp;MATCH(BG1,数出表_Excel!$A:$A,0)-1&amp;"")), 0)),
 ""))),"")</f>
        <v/>
      </c>
      <c r="BD88" s="253"/>
      <c r="BE88" s="255" t="str" cm="1">
        <f t="array" aca="1" ref="BE88" ca="1">IF(BC44&lt;&gt;"",
IF(IFERROR(
INDEX(INDIRECT("数出表_Excel!B"&amp;MATCH(BG1,数出表_Excel!$A:$A,0)&amp;":U"&amp;MATCH(BG1,数出表_Excel!$A:$A,0)&amp;""),
 1,BB86-1),
 "")=0,"",
IFERROR(
INDEX(INDIRECT("数出表_Excel!B"&amp;MATCH(BG1,数出表_Excel!$A:$A,0)&amp;":U"&amp;MATCH(BG1,数出表_Excel!$A:$A,0)&amp;""),
 1,BB86-1),
 "")),"")</f>
        <v/>
      </c>
      <c r="BF88" s="253"/>
      <c r="BG88" s="97" t="e" cm="1">
        <f t="array" aca="1" ref="BG88" ca="1">IF(INDIRECT(""&amp;SUBSTITUTE(ADDRESS(1,
COLUMN()-5,1),"1","")&amp;ROW()-85&amp;"")=100,
IF(BC85&lt;&gt;"",
IF(IFERROR(
INDEX(INDIRECT("'数出表_Excel（アレルギー入力）'!"&amp;BB87&amp;MATCH(BG1,'数出表_Excel（アレルギー入力）'!$A:$A,0)+1&amp;":"&amp;BG89&amp;MATCH(BG1,'数出表_Excel（アレルギー入力）'!$A:$A,0)+1&amp;""),
 1,
MATCH(TRUE,INDIRECT("'数出表_Excel（アレルギー入力）'!"&amp;BB87&amp;MATCH(BG1,'数出表_Excel（アレルギー入力）'!$A:$A,0)+1&amp;":"&amp;BG89&amp;MATCH(BG1,'数出表_Excel（アレルギー入力）'!$A:$A,0)+1&amp;"")&lt;&gt;"",0)+1),
 "")&lt;&gt;0,
IF(IFERROR(
INDEX(INDIRECT("'数出表_Excel（アレルギー入力）'!"&amp;BB87&amp;MATCH(BG1,'数出表_Excel（アレルギー入力）'!$A:$A,0)+1&amp;":"&amp;BG89&amp;MATCH(BG1,'数出表_Excel（アレルギー入力）'!$A:$A,0)+1&amp;""),
 1,
MATCH(TRUE,INDIRECT("'数出表_Excel（アレルギー入力）'!"&amp;BB87&amp;MATCH(BG1,'数出表_Excel（アレルギー入力）'!$A:$A,0)+1&amp;":"&amp;BG89&amp;MATCH(BG1,'数出表_Excel（アレルギー入力）'!$A:$A,0)+1&amp;"")&lt;&gt;"",0)+1),
 "")="",
IFERROR(
INDEX(INDIRECT("'数出表_Excel（アレルギー入力）'!"&amp;BB87&amp;MATCH(BG1,'数出表_Excel（アレルギー入力）'!$A:$A,0)+1&amp;":"&amp;BG89&amp;MATCH(BG1,'数出表_Excel（アレルギー入力）'!$A:$A,0)+1&amp;""),
 1,
MATCH(TRUE,INDIRECT("'数出表_Excel（アレルギー入力）'!"&amp;BB87&amp;MATCH(BG1,'数出表_Excel（アレルギー入力）'!$A:$A,0)+1&amp;":"&amp;BG89&amp;MATCH(BG1,'数出表_Excel（アレルギー入力）'!$A:$A,0)+1&amp;"")&lt;&gt;"",0)+1),
 ""),
IFERROR(
INDEX(INDIRECT("'数出表_Excel（アレルギー入力）'!"&amp;BB87&amp;MATCH(BG1,'数出表_Excel（アレルギー入力）'!$A:$A,0)+1&amp;":"&amp;BG89&amp;MATCH(BG1,'数出表_Excel（アレルギー入力）'!$A:$A,0)+1&amp;""),
 1,
MATCH(TRUE,INDIRECT("'数出表_Excel（アレルギー入力）'!"&amp;BB87&amp;MATCH(BG1,'数出表_Excel（アレルギー入力）'!$A:$A,0)+1&amp;":"&amp;BG89&amp;MATCH(BG1,'数出表_Excel（アレルギー入力）'!$A:$A,0)+1&amp;"")&lt;&gt;"",0)+1),
 "")),0),""),0)</f>
        <v>#VALUE!</v>
      </c>
      <c r="BJ88" s="86"/>
      <c r="BK88" s="252" t="str" cm="1">
        <f t="array" aca="1" ref="BK88" ca="1">IF(BK86&lt;&gt;"",
IF(IFERROR(
INDEX(INDIRECT("数出表_Excel!"&amp;BJ85&amp;MATCH(BO1,数出表_Excel!$A:$A,0)-1&amp;":U"&amp;MATCH(BO1,数出表_Excel!$A:$A,0)-1&amp;""),
 1,
 MATCH(TRUE, ISNUMBER(--INDIRECT("数出表_Excel!"&amp;BJ85&amp;MATCH(BO1,数出表_Excel!$A:$A,0)-1&amp;":U"&amp;MATCH(BO1,数出表_Excel!$A:$A,0)-1&amp;"")), 0)),
 "")=0,"",
IF(BJ3=100,
IFERROR(
INDEX(INDIRECT("数出表_Excel!"&amp;BJ85&amp;MATCH(BO1,数出表_Excel!$A:$A,0)-1+2&amp;":U"&amp;MATCH(BO1,数出表_Excel!$A:$A,0)-1+2&amp;""),
 1,
 MATCH(TRUE, ISNUMBER(--INDIRECT("数出表_Excel!"&amp;BJ85&amp;MATCH(BO1,数出表_Excel!$A:$A,0)-1+2&amp;":U"&amp;MATCH(BO1,数出表_Excel!$A:$A,0)-1+2&amp;"")), 0)),
 "")
+IFERROR(
INDEX(INDIRECT("数出表_Excel!"&amp;BJ85&amp;MATCH(BO1,数出表_Excel!$A:$A,0)-1&amp;":U"&amp;MATCH(BO1,数出表_Excel!$A:$A,0)-1&amp;""),
 1,
 MATCH(TRUE, ISNUMBER(--INDIRECT("数出表_Excel!"&amp;BJ85&amp;MATCH(BO1,数出表_Excel!$A:$A,0)-1&amp;":U"&amp;MATCH(BO1,数出表_Excel!$A:$A,0)-1&amp;"")), 0)),
 ""),
IFERROR(
INDEX(INDIRECT("数出表_Excel!"&amp;BJ85&amp;MATCH(BO1,数出表_Excel!$A:$A,0)-1&amp;":U"&amp;MATCH(BO1,数出表_Excel!$A:$A,0)-1&amp;""),
 1,
 MATCH(TRUE, ISNUMBER(--INDIRECT("数出表_Excel!"&amp;BJ85&amp;MATCH(BO1,数出表_Excel!$A:$A,0)-1&amp;":U"&amp;MATCH(BO1,数出表_Excel!$A:$A,0)-1&amp;"")), 0)),
 ""))),"")</f>
        <v/>
      </c>
      <c r="BL88" s="253"/>
      <c r="BM88" s="255" t="str" cm="1">
        <f t="array" aca="1" ref="BM88" ca="1">IF(BK44&lt;&gt;"",
IF(IFERROR(
INDEX(INDIRECT("数出表_Excel!B"&amp;MATCH(BO1,数出表_Excel!$A:$A,0)&amp;":U"&amp;MATCH(BO1,数出表_Excel!$A:$A,0)&amp;""),
 1,BJ86-1),
 "")=0,"",
IFERROR(
INDEX(INDIRECT("数出表_Excel!B"&amp;MATCH(BO1,数出表_Excel!$A:$A,0)&amp;":U"&amp;MATCH(BO1,数出表_Excel!$A:$A,0)&amp;""),
 1,BJ86-1),
 "")),"")</f>
        <v/>
      </c>
      <c r="BN88" s="253"/>
      <c r="BO88" s="97" t="e" cm="1">
        <f t="array" aca="1" ref="BO88" ca="1">IF(INDIRECT(""&amp;SUBSTITUTE(ADDRESS(1,
COLUMN()-5,1),"1","")&amp;ROW()-85&amp;"")=100,
IF(BK85&lt;&gt;"",
IF(IFERROR(
INDEX(INDIRECT("'数出表_Excel（アレルギー入力）'!"&amp;BJ87&amp;MATCH(BO1,'数出表_Excel（アレルギー入力）'!$A:$A,0)+1&amp;":"&amp;BO89&amp;MATCH(BO1,'数出表_Excel（アレルギー入力）'!$A:$A,0)+1&amp;""),
 1,
MATCH(TRUE,INDIRECT("'数出表_Excel（アレルギー入力）'!"&amp;BJ87&amp;MATCH(BO1,'数出表_Excel（アレルギー入力）'!$A:$A,0)+1&amp;":"&amp;BO89&amp;MATCH(BO1,'数出表_Excel（アレルギー入力）'!$A:$A,0)+1&amp;"")&lt;&gt;"",0)+1),
 "")&lt;&gt;0,
IF(IFERROR(
INDEX(INDIRECT("'数出表_Excel（アレルギー入力）'!"&amp;BJ87&amp;MATCH(BO1,'数出表_Excel（アレルギー入力）'!$A:$A,0)+1&amp;":"&amp;BO89&amp;MATCH(BO1,'数出表_Excel（アレルギー入力）'!$A:$A,0)+1&amp;""),
 1,
MATCH(TRUE,INDIRECT("'数出表_Excel（アレルギー入力）'!"&amp;BJ87&amp;MATCH(BO1,'数出表_Excel（アレルギー入力）'!$A:$A,0)+1&amp;":"&amp;BO89&amp;MATCH(BO1,'数出表_Excel（アレルギー入力）'!$A:$A,0)+1&amp;"")&lt;&gt;"",0)+1),
 "")="",
IFERROR(
INDEX(INDIRECT("'数出表_Excel（アレルギー入力）'!"&amp;BJ87&amp;MATCH(BO1,'数出表_Excel（アレルギー入力）'!$A:$A,0)+1&amp;":"&amp;BO89&amp;MATCH(BO1,'数出表_Excel（アレルギー入力）'!$A:$A,0)+1&amp;""),
 1,
MATCH(TRUE,INDIRECT("'数出表_Excel（アレルギー入力）'!"&amp;BJ87&amp;MATCH(BO1,'数出表_Excel（アレルギー入力）'!$A:$A,0)+1&amp;":"&amp;BO89&amp;MATCH(BO1,'数出表_Excel（アレルギー入力）'!$A:$A,0)+1&amp;"")&lt;&gt;"",0)+1),
 ""),
IFERROR(
INDEX(INDIRECT("'数出表_Excel（アレルギー入力）'!"&amp;BJ87&amp;MATCH(BO1,'数出表_Excel（アレルギー入力）'!$A:$A,0)+1&amp;":"&amp;BO89&amp;MATCH(BO1,'数出表_Excel（アレルギー入力）'!$A:$A,0)+1&amp;""),
 1,
MATCH(TRUE,INDIRECT("'数出表_Excel（アレルギー入力）'!"&amp;BJ87&amp;MATCH(BO1,'数出表_Excel（アレルギー入力）'!$A:$A,0)+1&amp;":"&amp;BO89&amp;MATCH(BO1,'数出表_Excel（アレルギー入力）'!$A:$A,0)+1&amp;"")&lt;&gt;"",0)+1),
 "")),0),""),0)</f>
        <v>#VALUE!</v>
      </c>
      <c r="BQ88" s="86"/>
      <c r="BR88" s="252" t="str" cm="1">
        <f t="array" aca="1" ref="BR88" ca="1">IF(BR86&lt;&gt;"",
IF(IFERROR(
INDEX(INDIRECT("数出表_Excel!"&amp;BQ85&amp;MATCH(BV1,数出表_Excel!$A:$A,0)-1&amp;":U"&amp;MATCH(BV1,数出表_Excel!$A:$A,0)-1&amp;""),
 1,
 MATCH(TRUE, ISNUMBER(--INDIRECT("数出表_Excel!"&amp;BQ85&amp;MATCH(BV1,数出表_Excel!$A:$A,0)-1&amp;":U"&amp;MATCH(BV1,数出表_Excel!$A:$A,0)-1&amp;"")), 0)),
 "")=0,"",
IF(BQ3=100,
IFERROR(
INDEX(INDIRECT("数出表_Excel!"&amp;BQ85&amp;MATCH(BV1,数出表_Excel!$A:$A,0)-1+2&amp;":U"&amp;MATCH(BV1,数出表_Excel!$A:$A,0)-1+2&amp;""),
 1,
 MATCH(TRUE, ISNUMBER(--INDIRECT("数出表_Excel!"&amp;BQ85&amp;MATCH(BV1,数出表_Excel!$A:$A,0)-1+2&amp;":U"&amp;MATCH(BV1,数出表_Excel!$A:$A,0)-1+2&amp;"")), 0)),
 "")
+IFERROR(
INDEX(INDIRECT("数出表_Excel!"&amp;BQ85&amp;MATCH(BV1,数出表_Excel!$A:$A,0)-1&amp;":U"&amp;MATCH(BV1,数出表_Excel!$A:$A,0)-1&amp;""),
 1,
 MATCH(TRUE, ISNUMBER(--INDIRECT("数出表_Excel!"&amp;BQ85&amp;MATCH(BV1,数出表_Excel!$A:$A,0)-1&amp;":U"&amp;MATCH(BV1,数出表_Excel!$A:$A,0)-1&amp;"")), 0)),
 ""),
IFERROR(
INDEX(INDIRECT("数出表_Excel!"&amp;BQ85&amp;MATCH(BV1,数出表_Excel!$A:$A,0)-1&amp;":U"&amp;MATCH(BV1,数出表_Excel!$A:$A,0)-1&amp;""),
 1,
 MATCH(TRUE, ISNUMBER(--INDIRECT("数出表_Excel!"&amp;BQ85&amp;MATCH(BV1,数出表_Excel!$A:$A,0)-1&amp;":U"&amp;MATCH(BV1,数出表_Excel!$A:$A,0)-1&amp;"")), 0)),
 ""))),"")</f>
        <v/>
      </c>
      <c r="BS88" s="253"/>
      <c r="BT88" s="255" t="str" cm="1">
        <f t="array" aca="1" ref="BT88" ca="1">IF(BR44&lt;&gt;"",
IF(IFERROR(
INDEX(INDIRECT("数出表_Excel!B"&amp;MATCH(BV1,数出表_Excel!$A:$A,0)&amp;":U"&amp;MATCH(BV1,数出表_Excel!$A:$A,0)&amp;""),
 1,BQ86-1),
 "")=0,"",
IFERROR(
INDEX(INDIRECT("数出表_Excel!B"&amp;MATCH(BV1,数出表_Excel!$A:$A,0)&amp;":U"&amp;MATCH(BV1,数出表_Excel!$A:$A,0)&amp;""),
 1,BQ86-1),
 "")),"")</f>
        <v/>
      </c>
      <c r="BU88" s="253"/>
      <c r="BV88" s="97" t="e" cm="1">
        <f t="array" aca="1" ref="BV88" ca="1">IF(INDIRECT(""&amp;SUBSTITUTE(ADDRESS(1,
COLUMN()-5,1),"1","")&amp;ROW()-85&amp;"")=100,
IF(BR85&lt;&gt;"",
IF(IFERROR(
INDEX(INDIRECT("'数出表_Excel（アレルギー入力）'!"&amp;BQ87&amp;MATCH(BV1,'数出表_Excel（アレルギー入力）'!$A:$A,0)+1&amp;":"&amp;BV89&amp;MATCH(BV1,'数出表_Excel（アレルギー入力）'!$A:$A,0)+1&amp;""),
 1,
MATCH(TRUE,INDIRECT("'数出表_Excel（アレルギー入力）'!"&amp;BQ87&amp;MATCH(BV1,'数出表_Excel（アレルギー入力）'!$A:$A,0)+1&amp;":"&amp;BV89&amp;MATCH(BV1,'数出表_Excel（アレルギー入力）'!$A:$A,0)+1&amp;"")&lt;&gt;"",0)+1),
 "")&lt;&gt;0,
IF(IFERROR(
INDEX(INDIRECT("'数出表_Excel（アレルギー入力）'!"&amp;BQ87&amp;MATCH(BV1,'数出表_Excel（アレルギー入力）'!$A:$A,0)+1&amp;":"&amp;BV89&amp;MATCH(BV1,'数出表_Excel（アレルギー入力）'!$A:$A,0)+1&amp;""),
 1,
MATCH(TRUE,INDIRECT("'数出表_Excel（アレルギー入力）'!"&amp;BQ87&amp;MATCH(BV1,'数出表_Excel（アレルギー入力）'!$A:$A,0)+1&amp;":"&amp;BV89&amp;MATCH(BV1,'数出表_Excel（アレルギー入力）'!$A:$A,0)+1&amp;"")&lt;&gt;"",0)+1),
 "")="",
IFERROR(
INDEX(INDIRECT("'数出表_Excel（アレルギー入力）'!"&amp;BQ87&amp;MATCH(BV1,'数出表_Excel（アレルギー入力）'!$A:$A,0)+1&amp;":"&amp;BV89&amp;MATCH(BV1,'数出表_Excel（アレルギー入力）'!$A:$A,0)+1&amp;""),
 1,
MATCH(TRUE,INDIRECT("'数出表_Excel（アレルギー入力）'!"&amp;BQ87&amp;MATCH(BV1,'数出表_Excel（アレルギー入力）'!$A:$A,0)+1&amp;":"&amp;BV89&amp;MATCH(BV1,'数出表_Excel（アレルギー入力）'!$A:$A,0)+1&amp;"")&lt;&gt;"",0)+1),
 ""),
IFERROR(
INDEX(INDIRECT("'数出表_Excel（アレルギー入力）'!"&amp;BQ87&amp;MATCH(BV1,'数出表_Excel（アレルギー入力）'!$A:$A,0)+1&amp;":"&amp;BV89&amp;MATCH(BV1,'数出表_Excel（アレルギー入力）'!$A:$A,0)+1&amp;""),
 1,
MATCH(TRUE,INDIRECT("'数出表_Excel（アレルギー入力）'!"&amp;BQ87&amp;MATCH(BV1,'数出表_Excel（アレルギー入力）'!$A:$A,0)+1&amp;":"&amp;BV89&amp;MATCH(BV1,'数出表_Excel（アレルギー入力）'!$A:$A,0)+1&amp;"")&lt;&gt;"",0)+1),
 "")),0),""),0)</f>
        <v>#VALUE!</v>
      </c>
      <c r="BY88" s="86"/>
      <c r="BZ88" s="252" t="str" cm="1">
        <f t="array" aca="1" ref="BZ88" ca="1">IF(BZ86&lt;&gt;"",
IF(IFERROR(
INDEX(INDIRECT("数出表_Excel!"&amp;BY85&amp;MATCH(CD1,数出表_Excel!$A:$A,0)-1&amp;":U"&amp;MATCH(CD1,数出表_Excel!$A:$A,0)-1&amp;""),
 1,
 MATCH(TRUE, ISNUMBER(--INDIRECT("数出表_Excel!"&amp;BY85&amp;MATCH(CD1,数出表_Excel!$A:$A,0)-1&amp;":U"&amp;MATCH(CD1,数出表_Excel!$A:$A,0)-1&amp;"")), 0)),
 "")=0,"",
IF(BY3=100,
IFERROR(
INDEX(INDIRECT("数出表_Excel!"&amp;BY85&amp;MATCH(CD1,数出表_Excel!$A:$A,0)-1+2&amp;":U"&amp;MATCH(CD1,数出表_Excel!$A:$A,0)-1+2&amp;""),
 1,
 MATCH(TRUE, ISNUMBER(--INDIRECT("数出表_Excel!"&amp;BY85&amp;MATCH(CD1,数出表_Excel!$A:$A,0)-1+2&amp;":U"&amp;MATCH(CD1,数出表_Excel!$A:$A,0)-1+2&amp;"")), 0)),
 "")
+IFERROR(
INDEX(INDIRECT("数出表_Excel!"&amp;BY85&amp;MATCH(CD1,数出表_Excel!$A:$A,0)-1&amp;":U"&amp;MATCH(CD1,数出表_Excel!$A:$A,0)-1&amp;""),
 1,
 MATCH(TRUE, ISNUMBER(--INDIRECT("数出表_Excel!"&amp;BY85&amp;MATCH(CD1,数出表_Excel!$A:$A,0)-1&amp;":U"&amp;MATCH(CD1,数出表_Excel!$A:$A,0)-1&amp;"")), 0)),
 ""),
IFERROR(
INDEX(INDIRECT("数出表_Excel!"&amp;BY85&amp;MATCH(CD1,数出表_Excel!$A:$A,0)-1&amp;":U"&amp;MATCH(CD1,数出表_Excel!$A:$A,0)-1&amp;""),
 1,
 MATCH(TRUE, ISNUMBER(--INDIRECT("数出表_Excel!"&amp;BY85&amp;MATCH(CD1,数出表_Excel!$A:$A,0)-1&amp;":U"&amp;MATCH(CD1,数出表_Excel!$A:$A,0)-1&amp;"")), 0)),
 ""))),"")</f>
        <v/>
      </c>
      <c r="CA88" s="253"/>
      <c r="CB88" s="255" t="str" cm="1">
        <f t="array" aca="1" ref="CB88" ca="1">IF(BZ44&lt;&gt;"",
IF(IFERROR(
INDEX(INDIRECT("数出表_Excel!B"&amp;MATCH(CD1,数出表_Excel!$A:$A,0)&amp;":U"&amp;MATCH(CD1,数出表_Excel!$A:$A,0)&amp;""),
 1,BY86-1),
 "")=0,"",
IFERROR(
INDEX(INDIRECT("数出表_Excel!B"&amp;MATCH(CD1,数出表_Excel!$A:$A,0)&amp;":U"&amp;MATCH(CD1,数出表_Excel!$A:$A,0)&amp;""),
 1,BY86-1),
 "")),"")</f>
        <v/>
      </c>
      <c r="CC88" s="253"/>
      <c r="CD88" s="97" t="e" cm="1">
        <f t="array" aca="1" ref="CD88" ca="1">IF(INDIRECT(""&amp;SUBSTITUTE(ADDRESS(1,
COLUMN()-5,1),"1","")&amp;ROW()-85&amp;"")=100,
IF(BZ85&lt;&gt;"",
IF(IFERROR(
INDEX(INDIRECT("'数出表_Excel（アレルギー入力）'!"&amp;BY87&amp;MATCH(CD1,'数出表_Excel（アレルギー入力）'!$A:$A,0)+1&amp;":"&amp;CD89&amp;MATCH(CD1,'数出表_Excel（アレルギー入力）'!$A:$A,0)+1&amp;""),
 1,
MATCH(TRUE,INDIRECT("'数出表_Excel（アレルギー入力）'!"&amp;BY87&amp;MATCH(CD1,'数出表_Excel（アレルギー入力）'!$A:$A,0)+1&amp;":"&amp;CD89&amp;MATCH(CD1,'数出表_Excel（アレルギー入力）'!$A:$A,0)+1&amp;"")&lt;&gt;"",0)+1),
 "")&lt;&gt;0,
IF(IFERROR(
INDEX(INDIRECT("'数出表_Excel（アレルギー入力）'!"&amp;BY87&amp;MATCH(CD1,'数出表_Excel（アレルギー入力）'!$A:$A,0)+1&amp;":"&amp;CD89&amp;MATCH(CD1,'数出表_Excel（アレルギー入力）'!$A:$A,0)+1&amp;""),
 1,
MATCH(TRUE,INDIRECT("'数出表_Excel（アレルギー入力）'!"&amp;BY87&amp;MATCH(CD1,'数出表_Excel（アレルギー入力）'!$A:$A,0)+1&amp;":"&amp;CD89&amp;MATCH(CD1,'数出表_Excel（アレルギー入力）'!$A:$A,0)+1&amp;"")&lt;&gt;"",0)+1),
 "")="",
IFERROR(
INDEX(INDIRECT("'数出表_Excel（アレルギー入力）'!"&amp;BY87&amp;MATCH(CD1,'数出表_Excel（アレルギー入力）'!$A:$A,0)+1&amp;":"&amp;CD89&amp;MATCH(CD1,'数出表_Excel（アレルギー入力）'!$A:$A,0)+1&amp;""),
 1,
MATCH(TRUE,INDIRECT("'数出表_Excel（アレルギー入力）'!"&amp;BY87&amp;MATCH(CD1,'数出表_Excel（アレルギー入力）'!$A:$A,0)+1&amp;":"&amp;CD89&amp;MATCH(CD1,'数出表_Excel（アレルギー入力）'!$A:$A,0)+1&amp;"")&lt;&gt;"",0)+1),
 ""),
IFERROR(
INDEX(INDIRECT("'数出表_Excel（アレルギー入力）'!"&amp;BY87&amp;MATCH(CD1,'数出表_Excel（アレルギー入力）'!$A:$A,0)+1&amp;":"&amp;CD89&amp;MATCH(CD1,'数出表_Excel（アレルギー入力）'!$A:$A,0)+1&amp;""),
 1,
MATCH(TRUE,INDIRECT("'数出表_Excel（アレルギー入力）'!"&amp;BY87&amp;MATCH(CD1,'数出表_Excel（アレルギー入力）'!$A:$A,0)+1&amp;":"&amp;CD89&amp;MATCH(CD1,'数出表_Excel（アレルギー入力）'!$A:$A,0)+1&amp;"")&lt;&gt;"",0)+1),
 "")),0),""),0)</f>
        <v>#VALUE!</v>
      </c>
      <c r="CF88" s="86"/>
      <c r="CG88" s="252" t="str" cm="1">
        <f t="array" aca="1" ref="CG88" ca="1">IF(CG86&lt;&gt;"",
IF(IFERROR(
INDEX(INDIRECT("数出表_Excel!"&amp;CF85&amp;MATCH(CK1,数出表_Excel!$A:$A,0)-1&amp;":U"&amp;MATCH(CK1,数出表_Excel!$A:$A,0)-1&amp;""),
 1,
 MATCH(TRUE, ISNUMBER(--INDIRECT("数出表_Excel!"&amp;CF85&amp;MATCH(CK1,数出表_Excel!$A:$A,0)-1&amp;":U"&amp;MATCH(CK1,数出表_Excel!$A:$A,0)-1&amp;"")), 0)),
 "")=0,"",
IF(CF3=100,
IFERROR(
INDEX(INDIRECT("数出表_Excel!"&amp;CF85&amp;MATCH(CK1,数出表_Excel!$A:$A,0)-1+2&amp;":U"&amp;MATCH(CK1,数出表_Excel!$A:$A,0)-1+2&amp;""),
 1,
 MATCH(TRUE, ISNUMBER(--INDIRECT("数出表_Excel!"&amp;CF85&amp;MATCH(CK1,数出表_Excel!$A:$A,0)-1+2&amp;":U"&amp;MATCH(CK1,数出表_Excel!$A:$A,0)-1+2&amp;"")), 0)),
 "")
+IFERROR(
INDEX(INDIRECT("数出表_Excel!"&amp;CF85&amp;MATCH(CK1,数出表_Excel!$A:$A,0)-1&amp;":U"&amp;MATCH(CK1,数出表_Excel!$A:$A,0)-1&amp;""),
 1,
 MATCH(TRUE, ISNUMBER(--INDIRECT("数出表_Excel!"&amp;CF85&amp;MATCH(CK1,数出表_Excel!$A:$A,0)-1&amp;":U"&amp;MATCH(CK1,数出表_Excel!$A:$A,0)-1&amp;"")), 0)),
 ""),
IFERROR(
INDEX(INDIRECT("数出表_Excel!"&amp;CF85&amp;MATCH(CK1,数出表_Excel!$A:$A,0)-1&amp;":U"&amp;MATCH(CK1,数出表_Excel!$A:$A,0)-1&amp;""),
 1,
 MATCH(TRUE, ISNUMBER(--INDIRECT("数出表_Excel!"&amp;CF85&amp;MATCH(CK1,数出表_Excel!$A:$A,0)-1&amp;":U"&amp;MATCH(CK1,数出表_Excel!$A:$A,0)-1&amp;"")), 0)),
 ""))),"")</f>
        <v/>
      </c>
      <c r="CH88" s="253"/>
      <c r="CI88" s="255" t="str" cm="1">
        <f t="array" aca="1" ref="CI88" ca="1">IF(CG44&lt;&gt;"",
IF(IFERROR(
INDEX(INDIRECT("数出表_Excel!B"&amp;MATCH(CK1,数出表_Excel!$A:$A,0)&amp;":U"&amp;MATCH(CK1,数出表_Excel!$A:$A,0)&amp;""),
 1,CF86-1),
 "")=0,"",
IFERROR(
INDEX(INDIRECT("数出表_Excel!B"&amp;MATCH(CK1,数出表_Excel!$A:$A,0)&amp;":U"&amp;MATCH(CK1,数出表_Excel!$A:$A,0)&amp;""),
 1,CF86-1),
 "")),"")</f>
        <v/>
      </c>
      <c r="CJ88" s="253"/>
      <c r="CK88" s="97" t="e" cm="1">
        <f t="array" aca="1" ref="CK88" ca="1">IF(INDIRECT(""&amp;SUBSTITUTE(ADDRESS(1,
COLUMN()-5,1),"1","")&amp;ROW()-85&amp;"")=100,
IF(CG85&lt;&gt;"",
IF(IFERROR(
INDEX(INDIRECT("'数出表_Excel（アレルギー入力）'!"&amp;CF87&amp;MATCH(CK1,'数出表_Excel（アレルギー入力）'!$A:$A,0)+1&amp;":"&amp;CK89&amp;MATCH(CK1,'数出表_Excel（アレルギー入力）'!$A:$A,0)+1&amp;""),
 1,
MATCH(TRUE,INDIRECT("'数出表_Excel（アレルギー入力）'!"&amp;CF87&amp;MATCH(CK1,'数出表_Excel（アレルギー入力）'!$A:$A,0)+1&amp;":"&amp;CK89&amp;MATCH(CK1,'数出表_Excel（アレルギー入力）'!$A:$A,0)+1&amp;"")&lt;&gt;"",0)+1),
 "")&lt;&gt;0,
IF(IFERROR(
INDEX(INDIRECT("'数出表_Excel（アレルギー入力）'!"&amp;CF87&amp;MATCH(CK1,'数出表_Excel（アレルギー入力）'!$A:$A,0)+1&amp;":"&amp;CK89&amp;MATCH(CK1,'数出表_Excel（アレルギー入力）'!$A:$A,0)+1&amp;""),
 1,
MATCH(TRUE,INDIRECT("'数出表_Excel（アレルギー入力）'!"&amp;CF87&amp;MATCH(CK1,'数出表_Excel（アレルギー入力）'!$A:$A,0)+1&amp;":"&amp;CK89&amp;MATCH(CK1,'数出表_Excel（アレルギー入力）'!$A:$A,0)+1&amp;"")&lt;&gt;"",0)+1),
 "")="",
IFERROR(
INDEX(INDIRECT("'数出表_Excel（アレルギー入力）'!"&amp;CF87&amp;MATCH(CK1,'数出表_Excel（アレルギー入力）'!$A:$A,0)+1&amp;":"&amp;CK89&amp;MATCH(CK1,'数出表_Excel（アレルギー入力）'!$A:$A,0)+1&amp;""),
 1,
MATCH(TRUE,INDIRECT("'数出表_Excel（アレルギー入力）'!"&amp;CF87&amp;MATCH(CK1,'数出表_Excel（アレルギー入力）'!$A:$A,0)+1&amp;":"&amp;CK89&amp;MATCH(CK1,'数出表_Excel（アレルギー入力）'!$A:$A,0)+1&amp;"")&lt;&gt;"",0)+1),
 ""),
IFERROR(
INDEX(INDIRECT("'数出表_Excel（アレルギー入力）'!"&amp;CF87&amp;MATCH(CK1,'数出表_Excel（アレルギー入力）'!$A:$A,0)+1&amp;":"&amp;CK89&amp;MATCH(CK1,'数出表_Excel（アレルギー入力）'!$A:$A,0)+1&amp;""),
 1,
MATCH(TRUE,INDIRECT("'数出表_Excel（アレルギー入力）'!"&amp;CF87&amp;MATCH(CK1,'数出表_Excel（アレルギー入力）'!$A:$A,0)+1&amp;":"&amp;CK89&amp;MATCH(CK1,'数出表_Excel（アレルギー入力）'!$A:$A,0)+1&amp;"")&lt;&gt;"",0)+1),
 "")),0),""),0)</f>
        <v>#VALUE!</v>
      </c>
      <c r="CN88" s="86"/>
      <c r="CO88" s="252" t="str" cm="1">
        <f t="array" aca="1" ref="CO88" ca="1">IF(CO86&lt;&gt;"",
IF(IFERROR(
INDEX(INDIRECT("数出表_Excel!"&amp;CN85&amp;MATCH(CS1,数出表_Excel!$A:$A,0)-1&amp;":U"&amp;MATCH(CS1,数出表_Excel!$A:$A,0)-1&amp;""),
 1,
 MATCH(TRUE, ISNUMBER(--INDIRECT("数出表_Excel!"&amp;CN85&amp;MATCH(CS1,数出表_Excel!$A:$A,0)-1&amp;":U"&amp;MATCH(CS1,数出表_Excel!$A:$A,0)-1&amp;"")), 0)),
 "")=0,"",
IF(CN3=100,
IFERROR(
INDEX(INDIRECT("数出表_Excel!"&amp;CN85&amp;MATCH(CS1,数出表_Excel!$A:$A,0)-1+2&amp;":U"&amp;MATCH(CS1,数出表_Excel!$A:$A,0)-1+2&amp;""),
 1,
 MATCH(TRUE, ISNUMBER(--INDIRECT("数出表_Excel!"&amp;CN85&amp;MATCH(CS1,数出表_Excel!$A:$A,0)-1+2&amp;":U"&amp;MATCH(CS1,数出表_Excel!$A:$A,0)-1+2&amp;"")), 0)),
 "")
+IFERROR(
INDEX(INDIRECT("数出表_Excel!"&amp;CN85&amp;MATCH(CS1,数出表_Excel!$A:$A,0)-1&amp;":U"&amp;MATCH(CS1,数出表_Excel!$A:$A,0)-1&amp;""),
 1,
 MATCH(TRUE, ISNUMBER(--INDIRECT("数出表_Excel!"&amp;CN85&amp;MATCH(CS1,数出表_Excel!$A:$A,0)-1&amp;":U"&amp;MATCH(CS1,数出表_Excel!$A:$A,0)-1&amp;"")), 0)),
 ""),
IFERROR(
INDEX(INDIRECT("数出表_Excel!"&amp;CN85&amp;MATCH(CS1,数出表_Excel!$A:$A,0)-1&amp;":U"&amp;MATCH(CS1,数出表_Excel!$A:$A,0)-1&amp;""),
 1,
 MATCH(TRUE, ISNUMBER(--INDIRECT("数出表_Excel!"&amp;CN85&amp;MATCH(CS1,数出表_Excel!$A:$A,0)-1&amp;":U"&amp;MATCH(CS1,数出表_Excel!$A:$A,0)-1&amp;"")), 0)),
 ""))),"")</f>
        <v/>
      </c>
      <c r="CP88" s="253"/>
      <c r="CQ88" s="255" t="str" cm="1">
        <f t="array" aca="1" ref="CQ88" ca="1">IF(CO44&lt;&gt;"",
IF(IFERROR(
INDEX(INDIRECT("数出表_Excel!B"&amp;MATCH(CS1,数出表_Excel!$A:$A,0)&amp;":U"&amp;MATCH(CS1,数出表_Excel!$A:$A,0)&amp;""),
 1,CN86-1),
 "")=0,"",
IFERROR(
INDEX(INDIRECT("数出表_Excel!B"&amp;MATCH(CS1,数出表_Excel!$A:$A,0)&amp;":U"&amp;MATCH(CS1,数出表_Excel!$A:$A,0)&amp;""),
 1,CN86-1),
 "")),"")</f>
        <v/>
      </c>
      <c r="CR88" s="253"/>
      <c r="CS88" s="97" t="e" cm="1">
        <f t="array" aca="1" ref="CS88" ca="1">IF(INDIRECT(""&amp;SUBSTITUTE(ADDRESS(1,
COLUMN()-5,1),"1","")&amp;ROW()-85&amp;"")=100,
IF(CO85&lt;&gt;"",
IF(IFERROR(
INDEX(INDIRECT("'数出表_Excel（アレルギー入力）'!"&amp;CN87&amp;MATCH(CS1,'数出表_Excel（アレルギー入力）'!$A:$A,0)+1&amp;":"&amp;CS89&amp;MATCH(CS1,'数出表_Excel（アレルギー入力）'!$A:$A,0)+1&amp;""),
 1,
MATCH(TRUE,INDIRECT("'数出表_Excel（アレルギー入力）'!"&amp;CN87&amp;MATCH(CS1,'数出表_Excel（アレルギー入力）'!$A:$A,0)+1&amp;":"&amp;CS89&amp;MATCH(CS1,'数出表_Excel（アレルギー入力）'!$A:$A,0)+1&amp;"")&lt;&gt;"",0)+1),
 "")&lt;&gt;0,
IF(IFERROR(
INDEX(INDIRECT("'数出表_Excel（アレルギー入力）'!"&amp;CN87&amp;MATCH(CS1,'数出表_Excel（アレルギー入力）'!$A:$A,0)+1&amp;":"&amp;CS89&amp;MATCH(CS1,'数出表_Excel（アレルギー入力）'!$A:$A,0)+1&amp;""),
 1,
MATCH(TRUE,INDIRECT("'数出表_Excel（アレルギー入力）'!"&amp;CN87&amp;MATCH(CS1,'数出表_Excel（アレルギー入力）'!$A:$A,0)+1&amp;":"&amp;CS89&amp;MATCH(CS1,'数出表_Excel（アレルギー入力）'!$A:$A,0)+1&amp;"")&lt;&gt;"",0)+1),
 "")="",
IFERROR(
INDEX(INDIRECT("'数出表_Excel（アレルギー入力）'!"&amp;CN87&amp;MATCH(CS1,'数出表_Excel（アレルギー入力）'!$A:$A,0)+1&amp;":"&amp;CS89&amp;MATCH(CS1,'数出表_Excel（アレルギー入力）'!$A:$A,0)+1&amp;""),
 1,
MATCH(TRUE,INDIRECT("'数出表_Excel（アレルギー入力）'!"&amp;CN87&amp;MATCH(CS1,'数出表_Excel（アレルギー入力）'!$A:$A,0)+1&amp;":"&amp;CS89&amp;MATCH(CS1,'数出表_Excel（アレルギー入力）'!$A:$A,0)+1&amp;"")&lt;&gt;"",0)+1),
 ""),
IFERROR(
INDEX(INDIRECT("'数出表_Excel（アレルギー入力）'!"&amp;CN87&amp;MATCH(CS1,'数出表_Excel（アレルギー入力）'!$A:$A,0)+1&amp;":"&amp;CS89&amp;MATCH(CS1,'数出表_Excel（アレルギー入力）'!$A:$A,0)+1&amp;""),
 1,
MATCH(TRUE,INDIRECT("'数出表_Excel（アレルギー入力）'!"&amp;CN87&amp;MATCH(CS1,'数出表_Excel（アレルギー入力）'!$A:$A,0)+1&amp;":"&amp;CS89&amp;MATCH(CS1,'数出表_Excel（アレルギー入力）'!$A:$A,0)+1&amp;"")&lt;&gt;"",0)+1),
 "")),0),""),0)</f>
        <v>#VALUE!</v>
      </c>
      <c r="CU88" s="86"/>
      <c r="CV88" s="252" t="str" cm="1">
        <f t="array" aca="1" ref="CV88" ca="1">IF(CV86&lt;&gt;"",
IF(IFERROR(
INDEX(INDIRECT("数出表_Excel!"&amp;CU85&amp;MATCH(CZ1,数出表_Excel!$A:$A,0)-1&amp;":U"&amp;MATCH(CZ1,数出表_Excel!$A:$A,0)-1&amp;""),
 1,
 MATCH(TRUE, ISNUMBER(--INDIRECT("数出表_Excel!"&amp;CU85&amp;MATCH(CZ1,数出表_Excel!$A:$A,0)-1&amp;":U"&amp;MATCH(CZ1,数出表_Excel!$A:$A,0)-1&amp;"")), 0)),
 "")=0,"",
IF(CU3=100,
IFERROR(
INDEX(INDIRECT("数出表_Excel!"&amp;CU85&amp;MATCH(CZ1,数出表_Excel!$A:$A,0)-1+2&amp;":U"&amp;MATCH(CZ1,数出表_Excel!$A:$A,0)-1+2&amp;""),
 1,
 MATCH(TRUE, ISNUMBER(--INDIRECT("数出表_Excel!"&amp;CU85&amp;MATCH(CZ1,数出表_Excel!$A:$A,0)-1+2&amp;":U"&amp;MATCH(CZ1,数出表_Excel!$A:$A,0)-1+2&amp;"")), 0)),
 "")
+IFERROR(
INDEX(INDIRECT("数出表_Excel!"&amp;CU85&amp;MATCH(CZ1,数出表_Excel!$A:$A,0)-1&amp;":U"&amp;MATCH(CZ1,数出表_Excel!$A:$A,0)-1&amp;""),
 1,
 MATCH(TRUE, ISNUMBER(--INDIRECT("数出表_Excel!"&amp;CU85&amp;MATCH(CZ1,数出表_Excel!$A:$A,0)-1&amp;":U"&amp;MATCH(CZ1,数出表_Excel!$A:$A,0)-1&amp;"")), 0)),
 ""),
IFERROR(
INDEX(INDIRECT("数出表_Excel!"&amp;CU85&amp;MATCH(CZ1,数出表_Excel!$A:$A,0)-1&amp;":U"&amp;MATCH(CZ1,数出表_Excel!$A:$A,0)-1&amp;""),
 1,
 MATCH(TRUE, ISNUMBER(--INDIRECT("数出表_Excel!"&amp;CU85&amp;MATCH(CZ1,数出表_Excel!$A:$A,0)-1&amp;":U"&amp;MATCH(CZ1,数出表_Excel!$A:$A,0)-1&amp;"")), 0)),
 ""))),"")</f>
        <v/>
      </c>
      <c r="CW88" s="253"/>
      <c r="CX88" s="255" t="str" cm="1">
        <f t="array" aca="1" ref="CX88" ca="1">IF(CV44&lt;&gt;"",
IF(IFERROR(
INDEX(INDIRECT("数出表_Excel!B"&amp;MATCH(CZ1,数出表_Excel!$A:$A,0)&amp;":U"&amp;MATCH(CZ1,数出表_Excel!$A:$A,0)&amp;""),
 1,CU86-1),
 "")=0,"",
IFERROR(
INDEX(INDIRECT("数出表_Excel!B"&amp;MATCH(CZ1,数出表_Excel!$A:$A,0)&amp;":U"&amp;MATCH(CZ1,数出表_Excel!$A:$A,0)&amp;""),
 1,CU86-1),
 "")),"")</f>
        <v/>
      </c>
      <c r="CY88" s="253"/>
      <c r="CZ88" s="97" t="e" cm="1">
        <f t="array" aca="1" ref="CZ88" ca="1">IF(INDIRECT(""&amp;SUBSTITUTE(ADDRESS(1,
COLUMN()-5,1),"1","")&amp;ROW()-85&amp;"")=100,
IF(CV85&lt;&gt;"",
IF(IFERROR(
INDEX(INDIRECT("'数出表_Excel（アレルギー入力）'!"&amp;CU87&amp;MATCH(CZ1,'数出表_Excel（アレルギー入力）'!$A:$A,0)+1&amp;":"&amp;CZ89&amp;MATCH(CZ1,'数出表_Excel（アレルギー入力）'!$A:$A,0)+1&amp;""),
 1,
MATCH(TRUE,INDIRECT("'数出表_Excel（アレルギー入力）'!"&amp;CU87&amp;MATCH(CZ1,'数出表_Excel（アレルギー入力）'!$A:$A,0)+1&amp;":"&amp;CZ89&amp;MATCH(CZ1,'数出表_Excel（アレルギー入力）'!$A:$A,0)+1&amp;"")&lt;&gt;"",0)+1),
 "")&lt;&gt;0,
IF(IFERROR(
INDEX(INDIRECT("'数出表_Excel（アレルギー入力）'!"&amp;CU87&amp;MATCH(CZ1,'数出表_Excel（アレルギー入力）'!$A:$A,0)+1&amp;":"&amp;CZ89&amp;MATCH(CZ1,'数出表_Excel（アレルギー入力）'!$A:$A,0)+1&amp;""),
 1,
MATCH(TRUE,INDIRECT("'数出表_Excel（アレルギー入力）'!"&amp;CU87&amp;MATCH(CZ1,'数出表_Excel（アレルギー入力）'!$A:$A,0)+1&amp;":"&amp;CZ89&amp;MATCH(CZ1,'数出表_Excel（アレルギー入力）'!$A:$A,0)+1&amp;"")&lt;&gt;"",0)+1),
 "")="",
IFERROR(
INDEX(INDIRECT("'数出表_Excel（アレルギー入力）'!"&amp;CU87&amp;MATCH(CZ1,'数出表_Excel（アレルギー入力）'!$A:$A,0)+1&amp;":"&amp;CZ89&amp;MATCH(CZ1,'数出表_Excel（アレルギー入力）'!$A:$A,0)+1&amp;""),
 1,
MATCH(TRUE,INDIRECT("'数出表_Excel（アレルギー入力）'!"&amp;CU87&amp;MATCH(CZ1,'数出表_Excel（アレルギー入力）'!$A:$A,0)+1&amp;":"&amp;CZ89&amp;MATCH(CZ1,'数出表_Excel（アレルギー入力）'!$A:$A,0)+1&amp;"")&lt;&gt;"",0)+1),
 ""),
IFERROR(
INDEX(INDIRECT("'数出表_Excel（アレルギー入力）'!"&amp;CU87&amp;MATCH(CZ1,'数出表_Excel（アレルギー入力）'!$A:$A,0)+1&amp;":"&amp;CZ89&amp;MATCH(CZ1,'数出表_Excel（アレルギー入力）'!$A:$A,0)+1&amp;""),
 1,
MATCH(TRUE,INDIRECT("'数出表_Excel（アレルギー入力）'!"&amp;CU87&amp;MATCH(CZ1,'数出表_Excel（アレルギー入力）'!$A:$A,0)+1&amp;":"&amp;CZ89&amp;MATCH(CZ1,'数出表_Excel（アレルギー入力）'!$A:$A,0)+1&amp;"")&lt;&gt;"",0)+1),
 "")),0),""),0)</f>
        <v>#VALUE!</v>
      </c>
      <c r="DC88" s="86"/>
      <c r="DD88" s="252" t="str" cm="1">
        <f t="array" aca="1" ref="DD88" ca="1">IF(DD86&lt;&gt;"",
IF(IFERROR(
INDEX(INDIRECT("数出表_Excel!"&amp;DC85&amp;MATCH(DH1,数出表_Excel!$A:$A,0)-1&amp;":U"&amp;MATCH(DH1,数出表_Excel!$A:$A,0)-1&amp;""),
 1,
 MATCH(TRUE, ISNUMBER(--INDIRECT("数出表_Excel!"&amp;DC85&amp;MATCH(DH1,数出表_Excel!$A:$A,0)-1&amp;":U"&amp;MATCH(DH1,数出表_Excel!$A:$A,0)-1&amp;"")), 0)),
 "")=0,"",
IF(DC3=100,
IFERROR(
INDEX(INDIRECT("数出表_Excel!"&amp;DC85&amp;MATCH(DH1,数出表_Excel!$A:$A,0)-1+2&amp;":U"&amp;MATCH(DH1,数出表_Excel!$A:$A,0)-1+2&amp;""),
 1,
 MATCH(TRUE, ISNUMBER(--INDIRECT("数出表_Excel!"&amp;DC85&amp;MATCH(DH1,数出表_Excel!$A:$A,0)-1+2&amp;":U"&amp;MATCH(DH1,数出表_Excel!$A:$A,0)-1+2&amp;"")), 0)),
 "")
+IFERROR(
INDEX(INDIRECT("数出表_Excel!"&amp;DC85&amp;MATCH(DH1,数出表_Excel!$A:$A,0)-1&amp;":U"&amp;MATCH(DH1,数出表_Excel!$A:$A,0)-1&amp;""),
 1,
 MATCH(TRUE, ISNUMBER(--INDIRECT("数出表_Excel!"&amp;DC85&amp;MATCH(DH1,数出表_Excel!$A:$A,0)-1&amp;":U"&amp;MATCH(DH1,数出表_Excel!$A:$A,0)-1&amp;"")), 0)),
 ""),
IFERROR(
INDEX(INDIRECT("数出表_Excel!"&amp;DC85&amp;MATCH(DH1,数出表_Excel!$A:$A,0)-1&amp;":U"&amp;MATCH(DH1,数出表_Excel!$A:$A,0)-1&amp;""),
 1,
 MATCH(TRUE, ISNUMBER(--INDIRECT("数出表_Excel!"&amp;DC85&amp;MATCH(DH1,数出表_Excel!$A:$A,0)-1&amp;":U"&amp;MATCH(DH1,数出表_Excel!$A:$A,0)-1&amp;"")), 0)),
 ""))),"")</f>
        <v/>
      </c>
      <c r="DE88" s="253"/>
      <c r="DF88" s="255" t="str" cm="1">
        <f t="array" aca="1" ref="DF88" ca="1">IF(DD44&lt;&gt;"",
IF(IFERROR(
INDEX(INDIRECT("数出表_Excel!B"&amp;MATCH(DH1,数出表_Excel!$A:$A,0)&amp;":U"&amp;MATCH(DH1,数出表_Excel!$A:$A,0)&amp;""),
 1,DC86-1),
 "")=0,"",
IFERROR(
INDEX(INDIRECT("数出表_Excel!B"&amp;MATCH(DH1,数出表_Excel!$A:$A,0)&amp;":U"&amp;MATCH(DH1,数出表_Excel!$A:$A,0)&amp;""),
 1,DC86-1),
 "")),"")</f>
        <v/>
      </c>
      <c r="DG88" s="253"/>
      <c r="DH88" s="97" t="e" cm="1">
        <f t="array" aca="1" ref="DH88" ca="1">IF(INDIRECT(""&amp;SUBSTITUTE(ADDRESS(1,
COLUMN()-5,1),"1","")&amp;ROW()-85&amp;"")=100,
IF(DD85&lt;&gt;"",
IF(IFERROR(
INDEX(INDIRECT("'数出表_Excel（アレルギー入力）'!"&amp;DC87&amp;MATCH(DH1,'数出表_Excel（アレルギー入力）'!$A:$A,0)+1&amp;":"&amp;DH89&amp;MATCH(DH1,'数出表_Excel（アレルギー入力）'!$A:$A,0)+1&amp;""),
 1,
MATCH(TRUE,INDIRECT("'数出表_Excel（アレルギー入力）'!"&amp;DC87&amp;MATCH(DH1,'数出表_Excel（アレルギー入力）'!$A:$A,0)+1&amp;":"&amp;DH89&amp;MATCH(DH1,'数出表_Excel（アレルギー入力）'!$A:$A,0)+1&amp;"")&lt;&gt;"",0)+1),
 "")&lt;&gt;0,
IF(IFERROR(
INDEX(INDIRECT("'数出表_Excel（アレルギー入力）'!"&amp;DC87&amp;MATCH(DH1,'数出表_Excel（アレルギー入力）'!$A:$A,0)+1&amp;":"&amp;DH89&amp;MATCH(DH1,'数出表_Excel（アレルギー入力）'!$A:$A,0)+1&amp;""),
 1,
MATCH(TRUE,INDIRECT("'数出表_Excel（アレルギー入力）'!"&amp;DC87&amp;MATCH(DH1,'数出表_Excel（アレルギー入力）'!$A:$A,0)+1&amp;":"&amp;DH89&amp;MATCH(DH1,'数出表_Excel（アレルギー入力）'!$A:$A,0)+1&amp;"")&lt;&gt;"",0)+1),
 "")="",
IFERROR(
INDEX(INDIRECT("'数出表_Excel（アレルギー入力）'!"&amp;DC87&amp;MATCH(DH1,'数出表_Excel（アレルギー入力）'!$A:$A,0)+1&amp;":"&amp;DH89&amp;MATCH(DH1,'数出表_Excel（アレルギー入力）'!$A:$A,0)+1&amp;""),
 1,
MATCH(TRUE,INDIRECT("'数出表_Excel（アレルギー入力）'!"&amp;DC87&amp;MATCH(DH1,'数出表_Excel（アレルギー入力）'!$A:$A,0)+1&amp;":"&amp;DH89&amp;MATCH(DH1,'数出表_Excel（アレルギー入力）'!$A:$A,0)+1&amp;"")&lt;&gt;"",0)+1),
 ""),
IFERROR(
INDEX(INDIRECT("'数出表_Excel（アレルギー入力）'!"&amp;DC87&amp;MATCH(DH1,'数出表_Excel（アレルギー入力）'!$A:$A,0)+1&amp;":"&amp;DH89&amp;MATCH(DH1,'数出表_Excel（アレルギー入力）'!$A:$A,0)+1&amp;""),
 1,
MATCH(TRUE,INDIRECT("'数出表_Excel（アレルギー入力）'!"&amp;DC87&amp;MATCH(DH1,'数出表_Excel（アレルギー入力）'!$A:$A,0)+1&amp;":"&amp;DH89&amp;MATCH(DH1,'数出表_Excel（アレルギー入力）'!$A:$A,0)+1&amp;"")&lt;&gt;"",0)+1),
 "")),0),""),0)</f>
        <v>#VALUE!</v>
      </c>
      <c r="DJ88" s="86"/>
      <c r="DK88" s="252" t="str" cm="1">
        <f t="array" aca="1" ref="DK88" ca="1">IF(DK86&lt;&gt;"",
IF(IFERROR(
INDEX(INDIRECT("数出表_Excel!"&amp;DJ85&amp;MATCH(DO1,数出表_Excel!$A:$A,0)-1&amp;":U"&amp;MATCH(DO1,数出表_Excel!$A:$A,0)-1&amp;""),
 1,
 MATCH(TRUE, ISNUMBER(--INDIRECT("数出表_Excel!"&amp;DJ85&amp;MATCH(DO1,数出表_Excel!$A:$A,0)-1&amp;":U"&amp;MATCH(DO1,数出表_Excel!$A:$A,0)-1&amp;"")), 0)),
 "")=0,"",
IF(DJ3=100,
IFERROR(
INDEX(INDIRECT("数出表_Excel!"&amp;DJ85&amp;MATCH(DO1,数出表_Excel!$A:$A,0)-1+2&amp;":U"&amp;MATCH(DO1,数出表_Excel!$A:$A,0)-1+2&amp;""),
 1,
 MATCH(TRUE, ISNUMBER(--INDIRECT("数出表_Excel!"&amp;DJ85&amp;MATCH(DO1,数出表_Excel!$A:$A,0)-1+2&amp;":U"&amp;MATCH(DO1,数出表_Excel!$A:$A,0)-1+2&amp;"")), 0)),
 "")
+IFERROR(
INDEX(INDIRECT("数出表_Excel!"&amp;DJ85&amp;MATCH(DO1,数出表_Excel!$A:$A,0)-1&amp;":U"&amp;MATCH(DO1,数出表_Excel!$A:$A,0)-1&amp;""),
 1,
 MATCH(TRUE, ISNUMBER(--INDIRECT("数出表_Excel!"&amp;DJ85&amp;MATCH(DO1,数出表_Excel!$A:$A,0)-1&amp;":U"&amp;MATCH(DO1,数出表_Excel!$A:$A,0)-1&amp;"")), 0)),
 ""),
IFERROR(
INDEX(INDIRECT("数出表_Excel!"&amp;DJ85&amp;MATCH(DO1,数出表_Excel!$A:$A,0)-1&amp;":U"&amp;MATCH(DO1,数出表_Excel!$A:$A,0)-1&amp;""),
 1,
 MATCH(TRUE, ISNUMBER(--INDIRECT("数出表_Excel!"&amp;DJ85&amp;MATCH(DO1,数出表_Excel!$A:$A,0)-1&amp;":U"&amp;MATCH(DO1,数出表_Excel!$A:$A,0)-1&amp;"")), 0)),
 ""))),"")</f>
        <v/>
      </c>
      <c r="DL88" s="253"/>
      <c r="DM88" s="255" t="str" cm="1">
        <f t="array" aca="1" ref="DM88" ca="1">IF(DK44&lt;&gt;"",
IF(IFERROR(
INDEX(INDIRECT("数出表_Excel!B"&amp;MATCH(DO1,数出表_Excel!$A:$A,0)&amp;":U"&amp;MATCH(DO1,数出表_Excel!$A:$A,0)&amp;""),
 1,DJ86-1),
 "")=0,"",
IFERROR(
INDEX(INDIRECT("数出表_Excel!B"&amp;MATCH(DO1,数出表_Excel!$A:$A,0)&amp;":U"&amp;MATCH(DO1,数出表_Excel!$A:$A,0)&amp;""),
 1,DJ86-1),
 "")),"")</f>
        <v/>
      </c>
      <c r="DN88" s="253"/>
      <c r="DO88" s="97" t="e" cm="1">
        <f t="array" aca="1" ref="DO88" ca="1">IF(INDIRECT(""&amp;SUBSTITUTE(ADDRESS(1,
COLUMN()-5,1),"1","")&amp;ROW()-85&amp;"")=100,
IF(DK85&lt;&gt;"",
IF(IFERROR(
INDEX(INDIRECT("'数出表_Excel（アレルギー入力）'!"&amp;DJ87&amp;MATCH(DO1,'数出表_Excel（アレルギー入力）'!$A:$A,0)+1&amp;":"&amp;DO89&amp;MATCH(DO1,'数出表_Excel（アレルギー入力）'!$A:$A,0)+1&amp;""),
 1,
MATCH(TRUE,INDIRECT("'数出表_Excel（アレルギー入力）'!"&amp;DJ87&amp;MATCH(DO1,'数出表_Excel（アレルギー入力）'!$A:$A,0)+1&amp;":"&amp;DO89&amp;MATCH(DO1,'数出表_Excel（アレルギー入力）'!$A:$A,0)+1&amp;"")&lt;&gt;"",0)+1),
 "")&lt;&gt;0,
IF(IFERROR(
INDEX(INDIRECT("'数出表_Excel（アレルギー入力）'!"&amp;DJ87&amp;MATCH(DO1,'数出表_Excel（アレルギー入力）'!$A:$A,0)+1&amp;":"&amp;DO89&amp;MATCH(DO1,'数出表_Excel（アレルギー入力）'!$A:$A,0)+1&amp;""),
 1,
MATCH(TRUE,INDIRECT("'数出表_Excel（アレルギー入力）'!"&amp;DJ87&amp;MATCH(DO1,'数出表_Excel（アレルギー入力）'!$A:$A,0)+1&amp;":"&amp;DO89&amp;MATCH(DO1,'数出表_Excel（アレルギー入力）'!$A:$A,0)+1&amp;"")&lt;&gt;"",0)+1),
 "")="",
IFERROR(
INDEX(INDIRECT("'数出表_Excel（アレルギー入力）'!"&amp;DJ87&amp;MATCH(DO1,'数出表_Excel（アレルギー入力）'!$A:$A,0)+1&amp;":"&amp;DO89&amp;MATCH(DO1,'数出表_Excel（アレルギー入力）'!$A:$A,0)+1&amp;""),
 1,
MATCH(TRUE,INDIRECT("'数出表_Excel（アレルギー入力）'!"&amp;DJ87&amp;MATCH(DO1,'数出表_Excel（アレルギー入力）'!$A:$A,0)+1&amp;":"&amp;DO89&amp;MATCH(DO1,'数出表_Excel（アレルギー入力）'!$A:$A,0)+1&amp;"")&lt;&gt;"",0)+1),
 ""),
IFERROR(
INDEX(INDIRECT("'数出表_Excel（アレルギー入力）'!"&amp;DJ87&amp;MATCH(DO1,'数出表_Excel（アレルギー入力）'!$A:$A,0)+1&amp;":"&amp;DO89&amp;MATCH(DO1,'数出表_Excel（アレルギー入力）'!$A:$A,0)+1&amp;""),
 1,
MATCH(TRUE,INDIRECT("'数出表_Excel（アレルギー入力）'!"&amp;DJ87&amp;MATCH(DO1,'数出表_Excel（アレルギー入力）'!$A:$A,0)+1&amp;":"&amp;DO89&amp;MATCH(DO1,'数出表_Excel（アレルギー入力）'!$A:$A,0)+1&amp;"")&lt;&gt;"",0)+1),
 "")),0),""),0)</f>
        <v>#VALUE!</v>
      </c>
      <c r="DR88" s="86"/>
      <c r="DS88" s="252" t="str" cm="1">
        <f t="array" aca="1" ref="DS88" ca="1">IF(DS86&lt;&gt;"",
IF(IFERROR(
INDEX(INDIRECT("数出表_Excel!"&amp;DR85&amp;MATCH(DW1,数出表_Excel!$A:$A,0)-1&amp;":U"&amp;MATCH(DW1,数出表_Excel!$A:$A,0)-1&amp;""),
 1,
 MATCH(TRUE, ISNUMBER(--INDIRECT("数出表_Excel!"&amp;DR85&amp;MATCH(DW1,数出表_Excel!$A:$A,0)-1&amp;":U"&amp;MATCH(DW1,数出表_Excel!$A:$A,0)-1&amp;"")), 0)),
 "")=0,"",
IF(DR3=100,
IFERROR(
INDEX(INDIRECT("数出表_Excel!"&amp;DR85&amp;MATCH(DW1,数出表_Excel!$A:$A,0)-1+2&amp;":U"&amp;MATCH(DW1,数出表_Excel!$A:$A,0)-1+2&amp;""),
 1,
 MATCH(TRUE, ISNUMBER(--INDIRECT("数出表_Excel!"&amp;DR85&amp;MATCH(DW1,数出表_Excel!$A:$A,0)-1+2&amp;":U"&amp;MATCH(DW1,数出表_Excel!$A:$A,0)-1+2&amp;"")), 0)),
 "")
+IFERROR(
INDEX(INDIRECT("数出表_Excel!"&amp;DR85&amp;MATCH(DW1,数出表_Excel!$A:$A,0)-1&amp;":U"&amp;MATCH(DW1,数出表_Excel!$A:$A,0)-1&amp;""),
 1,
 MATCH(TRUE, ISNUMBER(--INDIRECT("数出表_Excel!"&amp;DR85&amp;MATCH(DW1,数出表_Excel!$A:$A,0)-1&amp;":U"&amp;MATCH(DW1,数出表_Excel!$A:$A,0)-1&amp;"")), 0)),
 ""),
IFERROR(
INDEX(INDIRECT("数出表_Excel!"&amp;DR85&amp;MATCH(DW1,数出表_Excel!$A:$A,0)-1&amp;":U"&amp;MATCH(DW1,数出表_Excel!$A:$A,0)-1&amp;""),
 1,
 MATCH(TRUE, ISNUMBER(--INDIRECT("数出表_Excel!"&amp;DR85&amp;MATCH(DW1,数出表_Excel!$A:$A,0)-1&amp;":U"&amp;MATCH(DW1,数出表_Excel!$A:$A,0)-1&amp;"")), 0)),
 ""))),"")</f>
        <v/>
      </c>
      <c r="DT88" s="253"/>
      <c r="DU88" s="255" t="str" cm="1">
        <f t="array" aca="1" ref="DU88" ca="1">IF(DS44&lt;&gt;"",
IF(IFERROR(
INDEX(INDIRECT("数出表_Excel!B"&amp;MATCH(DW1,数出表_Excel!$A:$A,0)&amp;":U"&amp;MATCH(DW1,数出表_Excel!$A:$A,0)&amp;""),
 1,DR86-1),
 "")=0,"",
IFERROR(
INDEX(INDIRECT("数出表_Excel!B"&amp;MATCH(DW1,数出表_Excel!$A:$A,0)&amp;":U"&amp;MATCH(DW1,数出表_Excel!$A:$A,0)&amp;""),
 1,DR86-1),
 "")),"")</f>
        <v/>
      </c>
      <c r="DV88" s="253"/>
      <c r="DW88" s="97" t="e" cm="1">
        <f t="array" aca="1" ref="DW88" ca="1">IF(INDIRECT(""&amp;SUBSTITUTE(ADDRESS(1,
COLUMN()-5,1),"1","")&amp;ROW()-85&amp;"")=100,
IF(DS85&lt;&gt;"",
IF(IFERROR(
INDEX(INDIRECT("'数出表_Excel（アレルギー入力）'!"&amp;DR87&amp;MATCH(DW1,'数出表_Excel（アレルギー入力）'!$A:$A,0)+1&amp;":"&amp;DW89&amp;MATCH(DW1,'数出表_Excel（アレルギー入力）'!$A:$A,0)+1&amp;""),
 1,
MATCH(TRUE,INDIRECT("'数出表_Excel（アレルギー入力）'!"&amp;DR87&amp;MATCH(DW1,'数出表_Excel（アレルギー入力）'!$A:$A,0)+1&amp;":"&amp;DW89&amp;MATCH(DW1,'数出表_Excel（アレルギー入力）'!$A:$A,0)+1&amp;"")&lt;&gt;"",0)+1),
 "")&lt;&gt;0,
IF(IFERROR(
INDEX(INDIRECT("'数出表_Excel（アレルギー入力）'!"&amp;DR87&amp;MATCH(DW1,'数出表_Excel（アレルギー入力）'!$A:$A,0)+1&amp;":"&amp;DW89&amp;MATCH(DW1,'数出表_Excel（アレルギー入力）'!$A:$A,0)+1&amp;""),
 1,
MATCH(TRUE,INDIRECT("'数出表_Excel（アレルギー入力）'!"&amp;DR87&amp;MATCH(DW1,'数出表_Excel（アレルギー入力）'!$A:$A,0)+1&amp;":"&amp;DW89&amp;MATCH(DW1,'数出表_Excel（アレルギー入力）'!$A:$A,0)+1&amp;"")&lt;&gt;"",0)+1),
 "")="",
IFERROR(
INDEX(INDIRECT("'数出表_Excel（アレルギー入力）'!"&amp;DR87&amp;MATCH(DW1,'数出表_Excel（アレルギー入力）'!$A:$A,0)+1&amp;":"&amp;DW89&amp;MATCH(DW1,'数出表_Excel（アレルギー入力）'!$A:$A,0)+1&amp;""),
 1,
MATCH(TRUE,INDIRECT("'数出表_Excel（アレルギー入力）'!"&amp;DR87&amp;MATCH(DW1,'数出表_Excel（アレルギー入力）'!$A:$A,0)+1&amp;":"&amp;DW89&amp;MATCH(DW1,'数出表_Excel（アレルギー入力）'!$A:$A,0)+1&amp;"")&lt;&gt;"",0)+1),
 ""),
IFERROR(
INDEX(INDIRECT("'数出表_Excel（アレルギー入力）'!"&amp;DR87&amp;MATCH(DW1,'数出表_Excel（アレルギー入力）'!$A:$A,0)+1&amp;":"&amp;DW89&amp;MATCH(DW1,'数出表_Excel（アレルギー入力）'!$A:$A,0)+1&amp;""),
 1,
MATCH(TRUE,INDIRECT("'数出表_Excel（アレルギー入力）'!"&amp;DR87&amp;MATCH(DW1,'数出表_Excel（アレルギー入力）'!$A:$A,0)+1&amp;":"&amp;DW89&amp;MATCH(DW1,'数出表_Excel（アレルギー入力）'!$A:$A,0)+1&amp;"")&lt;&gt;"",0)+1),
 "")),0),""),0)</f>
        <v>#VALUE!</v>
      </c>
      <c r="DY88" s="86"/>
      <c r="DZ88" s="252" t="str" cm="1">
        <f t="array" aca="1" ref="DZ88" ca="1">IF(DZ86&lt;&gt;"",
IF(IFERROR(
INDEX(INDIRECT("数出表_Excel!"&amp;DY85&amp;MATCH(ED1,数出表_Excel!$A:$A,0)-1&amp;":U"&amp;MATCH(ED1,数出表_Excel!$A:$A,0)-1&amp;""),
 1,
 MATCH(TRUE, ISNUMBER(--INDIRECT("数出表_Excel!"&amp;DY85&amp;MATCH(ED1,数出表_Excel!$A:$A,0)-1&amp;":U"&amp;MATCH(ED1,数出表_Excel!$A:$A,0)-1&amp;"")), 0)),
 "")=0,"",
IF(DY3=100,
IFERROR(
INDEX(INDIRECT("数出表_Excel!"&amp;DY85&amp;MATCH(ED1,数出表_Excel!$A:$A,0)-1+2&amp;":U"&amp;MATCH(ED1,数出表_Excel!$A:$A,0)-1+2&amp;""),
 1,
 MATCH(TRUE, ISNUMBER(--INDIRECT("数出表_Excel!"&amp;DY85&amp;MATCH(ED1,数出表_Excel!$A:$A,0)-1+2&amp;":U"&amp;MATCH(ED1,数出表_Excel!$A:$A,0)-1+2&amp;"")), 0)),
 "")
+IFERROR(
INDEX(INDIRECT("数出表_Excel!"&amp;DY85&amp;MATCH(ED1,数出表_Excel!$A:$A,0)-1&amp;":U"&amp;MATCH(ED1,数出表_Excel!$A:$A,0)-1&amp;""),
 1,
 MATCH(TRUE, ISNUMBER(--INDIRECT("数出表_Excel!"&amp;DY85&amp;MATCH(ED1,数出表_Excel!$A:$A,0)-1&amp;":U"&amp;MATCH(ED1,数出表_Excel!$A:$A,0)-1&amp;"")), 0)),
 ""),
IFERROR(
INDEX(INDIRECT("数出表_Excel!"&amp;DY85&amp;MATCH(ED1,数出表_Excel!$A:$A,0)-1&amp;":U"&amp;MATCH(ED1,数出表_Excel!$A:$A,0)-1&amp;""),
 1,
 MATCH(TRUE, ISNUMBER(--INDIRECT("数出表_Excel!"&amp;DY85&amp;MATCH(ED1,数出表_Excel!$A:$A,0)-1&amp;":U"&amp;MATCH(ED1,数出表_Excel!$A:$A,0)-1&amp;"")), 0)),
 ""))),"")</f>
        <v/>
      </c>
      <c r="EA88" s="253"/>
      <c r="EB88" s="255" t="str" cm="1">
        <f t="array" aca="1" ref="EB88" ca="1">IF(DZ44&lt;&gt;"",
IF(IFERROR(
INDEX(INDIRECT("数出表_Excel!B"&amp;MATCH(ED1,数出表_Excel!$A:$A,0)&amp;":U"&amp;MATCH(ED1,数出表_Excel!$A:$A,0)&amp;""),
 1,DY86-1),
 "")=0,"",
IFERROR(
INDEX(INDIRECT("数出表_Excel!B"&amp;MATCH(ED1,数出表_Excel!$A:$A,0)&amp;":U"&amp;MATCH(ED1,数出表_Excel!$A:$A,0)&amp;""),
 1,DY86-1),
 "")),"")</f>
        <v/>
      </c>
      <c r="EC88" s="253"/>
      <c r="ED88" s="97" t="e" cm="1">
        <f t="array" aca="1" ref="ED88" ca="1">IF(INDIRECT(""&amp;SUBSTITUTE(ADDRESS(1,
COLUMN()-5,1),"1","")&amp;ROW()-85&amp;"")=100,
IF(DZ85&lt;&gt;"",
IF(IFERROR(
INDEX(INDIRECT("'数出表_Excel（アレルギー入力）'!"&amp;DY87&amp;MATCH(ED1,'数出表_Excel（アレルギー入力）'!$A:$A,0)+1&amp;":"&amp;ED89&amp;MATCH(ED1,'数出表_Excel（アレルギー入力）'!$A:$A,0)+1&amp;""),
 1,
MATCH(TRUE,INDIRECT("'数出表_Excel（アレルギー入力）'!"&amp;DY87&amp;MATCH(ED1,'数出表_Excel（アレルギー入力）'!$A:$A,0)+1&amp;":"&amp;ED89&amp;MATCH(ED1,'数出表_Excel（アレルギー入力）'!$A:$A,0)+1&amp;"")&lt;&gt;"",0)+1),
 "")&lt;&gt;0,
IF(IFERROR(
INDEX(INDIRECT("'数出表_Excel（アレルギー入力）'!"&amp;DY87&amp;MATCH(ED1,'数出表_Excel（アレルギー入力）'!$A:$A,0)+1&amp;":"&amp;ED89&amp;MATCH(ED1,'数出表_Excel（アレルギー入力）'!$A:$A,0)+1&amp;""),
 1,
MATCH(TRUE,INDIRECT("'数出表_Excel（アレルギー入力）'!"&amp;DY87&amp;MATCH(ED1,'数出表_Excel（アレルギー入力）'!$A:$A,0)+1&amp;":"&amp;ED89&amp;MATCH(ED1,'数出表_Excel（アレルギー入力）'!$A:$A,0)+1&amp;"")&lt;&gt;"",0)+1),
 "")="",
IFERROR(
INDEX(INDIRECT("'数出表_Excel（アレルギー入力）'!"&amp;DY87&amp;MATCH(ED1,'数出表_Excel（アレルギー入力）'!$A:$A,0)+1&amp;":"&amp;ED89&amp;MATCH(ED1,'数出表_Excel（アレルギー入力）'!$A:$A,0)+1&amp;""),
 1,
MATCH(TRUE,INDIRECT("'数出表_Excel（アレルギー入力）'!"&amp;DY87&amp;MATCH(ED1,'数出表_Excel（アレルギー入力）'!$A:$A,0)+1&amp;":"&amp;ED89&amp;MATCH(ED1,'数出表_Excel（アレルギー入力）'!$A:$A,0)+1&amp;"")&lt;&gt;"",0)+1),
 ""),
IFERROR(
INDEX(INDIRECT("'数出表_Excel（アレルギー入力）'!"&amp;DY87&amp;MATCH(ED1,'数出表_Excel（アレルギー入力）'!$A:$A,0)+1&amp;":"&amp;ED89&amp;MATCH(ED1,'数出表_Excel（アレルギー入力）'!$A:$A,0)+1&amp;""),
 1,
MATCH(TRUE,INDIRECT("'数出表_Excel（アレルギー入力）'!"&amp;DY87&amp;MATCH(ED1,'数出表_Excel（アレルギー入力）'!$A:$A,0)+1&amp;":"&amp;ED89&amp;MATCH(ED1,'数出表_Excel（アレルギー入力）'!$A:$A,0)+1&amp;"")&lt;&gt;"",0)+1),
 "")),0),""),0)</f>
        <v>#VALUE!</v>
      </c>
      <c r="EG88" s="86"/>
      <c r="EH88" s="252" t="str" cm="1">
        <f t="array" aca="1" ref="EH88" ca="1">IF(EH86&lt;&gt;"",
IF(IFERROR(
INDEX(INDIRECT("数出表_Excel!"&amp;EG85&amp;MATCH(EL1,数出表_Excel!$A:$A,0)-1&amp;":U"&amp;MATCH(EL1,数出表_Excel!$A:$A,0)-1&amp;""),
 1,
 MATCH(TRUE, ISNUMBER(--INDIRECT("数出表_Excel!"&amp;EG85&amp;MATCH(EL1,数出表_Excel!$A:$A,0)-1&amp;":U"&amp;MATCH(EL1,数出表_Excel!$A:$A,0)-1&amp;"")), 0)),
 "")=0,"",
IF(EG3=100,
IFERROR(
INDEX(INDIRECT("数出表_Excel!"&amp;EG85&amp;MATCH(EL1,数出表_Excel!$A:$A,0)-1+2&amp;":U"&amp;MATCH(EL1,数出表_Excel!$A:$A,0)-1+2&amp;""),
 1,
 MATCH(TRUE, ISNUMBER(--INDIRECT("数出表_Excel!"&amp;EG85&amp;MATCH(EL1,数出表_Excel!$A:$A,0)-1+2&amp;":U"&amp;MATCH(EL1,数出表_Excel!$A:$A,0)-1+2&amp;"")), 0)),
 "")
+IFERROR(
INDEX(INDIRECT("数出表_Excel!"&amp;EG85&amp;MATCH(EL1,数出表_Excel!$A:$A,0)-1&amp;":U"&amp;MATCH(EL1,数出表_Excel!$A:$A,0)-1&amp;""),
 1,
 MATCH(TRUE, ISNUMBER(--INDIRECT("数出表_Excel!"&amp;EG85&amp;MATCH(EL1,数出表_Excel!$A:$A,0)-1&amp;":U"&amp;MATCH(EL1,数出表_Excel!$A:$A,0)-1&amp;"")), 0)),
 ""),
IFERROR(
INDEX(INDIRECT("数出表_Excel!"&amp;EG85&amp;MATCH(EL1,数出表_Excel!$A:$A,0)-1&amp;":U"&amp;MATCH(EL1,数出表_Excel!$A:$A,0)-1&amp;""),
 1,
 MATCH(TRUE, ISNUMBER(--INDIRECT("数出表_Excel!"&amp;EG85&amp;MATCH(EL1,数出表_Excel!$A:$A,0)-1&amp;":U"&amp;MATCH(EL1,数出表_Excel!$A:$A,0)-1&amp;"")), 0)),
 ""))),"")</f>
        <v/>
      </c>
      <c r="EI88" s="253"/>
      <c r="EJ88" s="255" t="str" cm="1">
        <f t="array" aca="1" ref="EJ88" ca="1">IF(EH44&lt;&gt;"",
IF(IFERROR(
INDEX(INDIRECT("数出表_Excel!B"&amp;MATCH(EL1,数出表_Excel!$A:$A,0)&amp;":U"&amp;MATCH(EL1,数出表_Excel!$A:$A,0)&amp;""),
 1,EG86-1),
 "")=0,"",
IFERROR(
INDEX(INDIRECT("数出表_Excel!B"&amp;MATCH(EL1,数出表_Excel!$A:$A,0)&amp;":U"&amp;MATCH(EL1,数出表_Excel!$A:$A,0)&amp;""),
 1,EG86-1),
 "")),"")</f>
        <v/>
      </c>
      <c r="EK88" s="253"/>
      <c r="EL88" s="97" t="e" cm="1">
        <f t="array" aca="1" ref="EL88" ca="1">IF(INDIRECT(""&amp;SUBSTITUTE(ADDRESS(1,
COLUMN()-5,1),"1","")&amp;ROW()-85&amp;"")=100,
IF(EH85&lt;&gt;"",
IF(IFERROR(
INDEX(INDIRECT("'数出表_Excel（アレルギー入力）'!"&amp;EG87&amp;MATCH(EL1,'数出表_Excel（アレルギー入力）'!$A:$A,0)+1&amp;":"&amp;EL89&amp;MATCH(EL1,'数出表_Excel（アレルギー入力）'!$A:$A,0)+1&amp;""),
 1,
MATCH(TRUE,INDIRECT("'数出表_Excel（アレルギー入力）'!"&amp;EG87&amp;MATCH(EL1,'数出表_Excel（アレルギー入力）'!$A:$A,0)+1&amp;":"&amp;EL89&amp;MATCH(EL1,'数出表_Excel（アレルギー入力）'!$A:$A,0)+1&amp;"")&lt;&gt;"",0)+1),
 "")&lt;&gt;0,
IF(IFERROR(
INDEX(INDIRECT("'数出表_Excel（アレルギー入力）'!"&amp;EG87&amp;MATCH(EL1,'数出表_Excel（アレルギー入力）'!$A:$A,0)+1&amp;":"&amp;EL89&amp;MATCH(EL1,'数出表_Excel（アレルギー入力）'!$A:$A,0)+1&amp;""),
 1,
MATCH(TRUE,INDIRECT("'数出表_Excel（アレルギー入力）'!"&amp;EG87&amp;MATCH(EL1,'数出表_Excel（アレルギー入力）'!$A:$A,0)+1&amp;":"&amp;EL89&amp;MATCH(EL1,'数出表_Excel（アレルギー入力）'!$A:$A,0)+1&amp;"")&lt;&gt;"",0)+1),
 "")="",
IFERROR(
INDEX(INDIRECT("'数出表_Excel（アレルギー入力）'!"&amp;EG87&amp;MATCH(EL1,'数出表_Excel（アレルギー入力）'!$A:$A,0)+1&amp;":"&amp;EL89&amp;MATCH(EL1,'数出表_Excel（アレルギー入力）'!$A:$A,0)+1&amp;""),
 1,
MATCH(TRUE,INDIRECT("'数出表_Excel（アレルギー入力）'!"&amp;EG87&amp;MATCH(EL1,'数出表_Excel（アレルギー入力）'!$A:$A,0)+1&amp;":"&amp;EL89&amp;MATCH(EL1,'数出表_Excel（アレルギー入力）'!$A:$A,0)+1&amp;"")&lt;&gt;"",0)+1),
 ""),
IFERROR(
INDEX(INDIRECT("'数出表_Excel（アレルギー入力）'!"&amp;EG87&amp;MATCH(EL1,'数出表_Excel（アレルギー入力）'!$A:$A,0)+1&amp;":"&amp;EL89&amp;MATCH(EL1,'数出表_Excel（アレルギー入力）'!$A:$A,0)+1&amp;""),
 1,
MATCH(TRUE,INDIRECT("'数出表_Excel（アレルギー入力）'!"&amp;EG87&amp;MATCH(EL1,'数出表_Excel（アレルギー入力）'!$A:$A,0)+1&amp;":"&amp;EL89&amp;MATCH(EL1,'数出表_Excel（アレルギー入力）'!$A:$A,0)+1&amp;"")&lt;&gt;"",0)+1),
 "")),0),""),0)</f>
        <v>#VALUE!</v>
      </c>
      <c r="EN88" s="86"/>
      <c r="EO88" s="252" t="str" cm="1">
        <f t="array" aca="1" ref="EO88" ca="1">IF(EO86&lt;&gt;"",
IF(IFERROR(
INDEX(INDIRECT("数出表_Excel!"&amp;EN85&amp;MATCH(ES1,数出表_Excel!$A:$A,0)-1&amp;":U"&amp;MATCH(ES1,数出表_Excel!$A:$A,0)-1&amp;""),
 1,
 MATCH(TRUE, ISNUMBER(--INDIRECT("数出表_Excel!"&amp;EN85&amp;MATCH(ES1,数出表_Excel!$A:$A,0)-1&amp;":U"&amp;MATCH(ES1,数出表_Excel!$A:$A,0)-1&amp;"")), 0)),
 "")=0,"",
IF(EN3=100,
IFERROR(
INDEX(INDIRECT("数出表_Excel!"&amp;EN85&amp;MATCH(ES1,数出表_Excel!$A:$A,0)-1+2&amp;":U"&amp;MATCH(ES1,数出表_Excel!$A:$A,0)-1+2&amp;""),
 1,
 MATCH(TRUE, ISNUMBER(--INDIRECT("数出表_Excel!"&amp;EN85&amp;MATCH(ES1,数出表_Excel!$A:$A,0)-1+2&amp;":U"&amp;MATCH(ES1,数出表_Excel!$A:$A,0)-1+2&amp;"")), 0)),
 "")
+IFERROR(
INDEX(INDIRECT("数出表_Excel!"&amp;EN85&amp;MATCH(ES1,数出表_Excel!$A:$A,0)-1&amp;":U"&amp;MATCH(ES1,数出表_Excel!$A:$A,0)-1&amp;""),
 1,
 MATCH(TRUE, ISNUMBER(--INDIRECT("数出表_Excel!"&amp;EN85&amp;MATCH(ES1,数出表_Excel!$A:$A,0)-1&amp;":U"&amp;MATCH(ES1,数出表_Excel!$A:$A,0)-1&amp;"")), 0)),
 ""),
IFERROR(
INDEX(INDIRECT("数出表_Excel!"&amp;EN85&amp;MATCH(ES1,数出表_Excel!$A:$A,0)-1&amp;":U"&amp;MATCH(ES1,数出表_Excel!$A:$A,0)-1&amp;""),
 1,
 MATCH(TRUE, ISNUMBER(--INDIRECT("数出表_Excel!"&amp;EN85&amp;MATCH(ES1,数出表_Excel!$A:$A,0)-1&amp;":U"&amp;MATCH(ES1,数出表_Excel!$A:$A,0)-1&amp;"")), 0)),
 ""))),"")</f>
        <v/>
      </c>
      <c r="EP88" s="253"/>
      <c r="EQ88" s="255" t="str" cm="1">
        <f t="array" aca="1" ref="EQ88" ca="1">IF(EO44&lt;&gt;"",
IF(IFERROR(
INDEX(INDIRECT("数出表_Excel!B"&amp;MATCH(ES1,数出表_Excel!$A:$A,0)&amp;":U"&amp;MATCH(ES1,数出表_Excel!$A:$A,0)&amp;""),
 1,EN86-1),
 "")=0,"",
IFERROR(
INDEX(INDIRECT("数出表_Excel!B"&amp;MATCH(ES1,数出表_Excel!$A:$A,0)&amp;":U"&amp;MATCH(ES1,数出表_Excel!$A:$A,0)&amp;""),
 1,EN86-1),
 "")),"")</f>
        <v/>
      </c>
      <c r="ER88" s="253"/>
      <c r="ES88" s="97" t="e" cm="1">
        <f t="array" aca="1" ref="ES88" ca="1">IF(INDIRECT(""&amp;SUBSTITUTE(ADDRESS(1,
COLUMN()-5,1),"1","")&amp;ROW()-85&amp;"")=100,
IF(EO85&lt;&gt;"",
IF(IFERROR(
INDEX(INDIRECT("'数出表_Excel（アレルギー入力）'!"&amp;EN87&amp;MATCH(ES1,'数出表_Excel（アレルギー入力）'!$A:$A,0)+1&amp;":"&amp;ES89&amp;MATCH(ES1,'数出表_Excel（アレルギー入力）'!$A:$A,0)+1&amp;""),
 1,
MATCH(TRUE,INDIRECT("'数出表_Excel（アレルギー入力）'!"&amp;EN87&amp;MATCH(ES1,'数出表_Excel（アレルギー入力）'!$A:$A,0)+1&amp;":"&amp;ES89&amp;MATCH(ES1,'数出表_Excel（アレルギー入力）'!$A:$A,0)+1&amp;"")&lt;&gt;"",0)+1),
 "")&lt;&gt;0,
IF(IFERROR(
INDEX(INDIRECT("'数出表_Excel（アレルギー入力）'!"&amp;EN87&amp;MATCH(ES1,'数出表_Excel（アレルギー入力）'!$A:$A,0)+1&amp;":"&amp;ES89&amp;MATCH(ES1,'数出表_Excel（アレルギー入力）'!$A:$A,0)+1&amp;""),
 1,
MATCH(TRUE,INDIRECT("'数出表_Excel（アレルギー入力）'!"&amp;EN87&amp;MATCH(ES1,'数出表_Excel（アレルギー入力）'!$A:$A,0)+1&amp;":"&amp;ES89&amp;MATCH(ES1,'数出表_Excel（アレルギー入力）'!$A:$A,0)+1&amp;"")&lt;&gt;"",0)+1),
 "")="",
IFERROR(
INDEX(INDIRECT("'数出表_Excel（アレルギー入力）'!"&amp;EN87&amp;MATCH(ES1,'数出表_Excel（アレルギー入力）'!$A:$A,0)+1&amp;":"&amp;ES89&amp;MATCH(ES1,'数出表_Excel（アレルギー入力）'!$A:$A,0)+1&amp;""),
 1,
MATCH(TRUE,INDIRECT("'数出表_Excel（アレルギー入力）'!"&amp;EN87&amp;MATCH(ES1,'数出表_Excel（アレルギー入力）'!$A:$A,0)+1&amp;":"&amp;ES89&amp;MATCH(ES1,'数出表_Excel（アレルギー入力）'!$A:$A,0)+1&amp;"")&lt;&gt;"",0)+1),
 ""),
IFERROR(
INDEX(INDIRECT("'数出表_Excel（アレルギー入力）'!"&amp;EN87&amp;MATCH(ES1,'数出表_Excel（アレルギー入力）'!$A:$A,0)+1&amp;":"&amp;ES89&amp;MATCH(ES1,'数出表_Excel（アレルギー入力）'!$A:$A,0)+1&amp;""),
 1,
MATCH(TRUE,INDIRECT("'数出表_Excel（アレルギー入力）'!"&amp;EN87&amp;MATCH(ES1,'数出表_Excel（アレルギー入力）'!$A:$A,0)+1&amp;":"&amp;ES89&amp;MATCH(ES1,'数出表_Excel（アレルギー入力）'!$A:$A,0)+1&amp;"")&lt;&gt;"",0)+1),
 "")),0),""),0)</f>
        <v>#VALUE!</v>
      </c>
      <c r="EU88" s="87">
        <f t="shared" si="8"/>
        <v>14</v>
      </c>
      <c r="EV88" s="78" t="str">
        <f t="array" aca="1" ref="EV8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LEN(SUBSTITUTE(_xlfn.FORMULATEXT(EV$76),"=","")))+$EU88)</f>
        <v/>
      </c>
      <c r="EW88" s="78" t="str">
        <f t="array" aca="1" ref="EW8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LEN(SUBSTITUTE(_xlfn.FORMULATEXT(EW$76),"=","")))+$EU88)</f>
        <v/>
      </c>
      <c r="EX88" s="78" t="str">
        <f t="array" aca="1" ref="EX8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LEN(SUBSTITUTE(_xlfn.FORMULATEXT(EX$76),"=","")))+$EU88)</f>
        <v/>
      </c>
      <c r="EY88" s="78" t="str">
        <f t="array" aca="1" ref="EY8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LEN(SUBSTITUTE(_xlfn.FORMULATEXT(EY$76),"=","")))+$EU88)</f>
        <v/>
      </c>
      <c r="EZ88" s="78" t="str">
        <f t="array" aca="1" ref="EZ8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LEN(SUBSTITUTE(_xlfn.FORMULATEXT(EZ$76),"=","")))+$EU88)</f>
        <v/>
      </c>
      <c r="FA88" s="78" t="e">
        <f t="array" aca="1" ref="FA8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LEN(SUBSTITUTE(_xlfn.FORMULATEXT(FA$76),"=","")))+$EU88)</f>
        <v>#VALUE!</v>
      </c>
      <c r="FB88" s="78" t="e">
        <f t="array" aca="1" ref="FB8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LEN(SUBSTITUTE(_xlfn.FORMULATEXT(FB$76),"=","")))+$EU88)</f>
        <v>#VALUE!</v>
      </c>
      <c r="FC88" s="78" t="str">
        <f t="array" aca="1" ref="FC8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LEN(SUBSTITUTE(_xlfn.FORMULATEXT(FC$76),"=","")))+$EU88)</f>
        <v/>
      </c>
      <c r="FD88" s="78" t="e">
        <f t="array" aca="1" ref="FD8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LEN(SUBSTITUTE(_xlfn.FORMULATEXT(FD$76),"=","")))+$EU88)</f>
        <v>#VALUE!</v>
      </c>
      <c r="FE88" s="78" t="str">
        <f t="array" aca="1" ref="FE8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LEN(SUBSTITUTE(_xlfn.FORMULATEXT(FE$76),"=","")))+$EU88)</f>
        <v/>
      </c>
      <c r="FF88" s="78" t="e">
        <f t="array" aca="1" ref="FF8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LEN(SUBSTITUTE(_xlfn.FORMULATEXT(FF$76),"=","")))+$EU88)</f>
        <v>#VALUE!</v>
      </c>
      <c r="FG88" s="78">
        <f t="shared" ca="1" si="7"/>
        <v>0</v>
      </c>
      <c r="FH88" s="78" t="e">
        <f t="array" aca="1" ref="FH88" ca="1">SUMPRODUCT((LEN(EV88:FF88)&gt;0)*1)&gt;0</f>
        <v>#VALUE!</v>
      </c>
      <c r="FI88" s="78" t="str">
        <f t="array" aca="1" ref="FI88" ca="1">IFERROR(SMALL(IF(FG$1:FG$228&lt;&gt;0,FG$1:FG$228),ROW(A88)),"")</f>
        <v/>
      </c>
      <c r="FJ88" s="78" t="str">
        <f t="array" aca="1" ref="FJ88" ca="1">IF($FI88&lt;&gt;"",
INDIRECT(""&amp;IF(COLUMN(EV131)&lt;=26,CHAR(COLUMN(EV131)+64),CHAR(INT((COLUMN(EV131)-1)/26)+64)&amp;CHAR(MOD(COLUMN(EV131)-1,26)+65))&amp;$FI88&amp;""),"")</f>
        <v/>
      </c>
      <c r="FK88" s="78" t="str">
        <f t="array" aca="1" ref="FK88" ca="1">IF($FI88&lt;&gt;"",
INDIRECT(""&amp;IF(COLUMN(EW131)&lt;=26,CHAR(COLUMN(EW131)+64),CHAR(INT((COLUMN(EW131)-1)/26)+64)&amp;CHAR(MOD(COLUMN(EW131)-1,26)+65))&amp;$FI88&amp;""),"")</f>
        <v/>
      </c>
      <c r="FL88" s="78" t="str">
        <f t="array" aca="1" ref="FL88" ca="1">IF($FI88&lt;&gt;"",
INDIRECT(""&amp;IF(COLUMN(EX131)&lt;=26,CHAR(COLUMN(EX131)+64),CHAR(INT((COLUMN(EX131)-1)/26)+64)&amp;CHAR(MOD(COLUMN(EX131)-1,26)+65))&amp;$FI88&amp;""),"")</f>
        <v/>
      </c>
      <c r="FM88" s="78" t="str">
        <f t="array" aca="1" ref="FM88" ca="1">IF($FI88&lt;&gt;"",
IF(FL88="",
IF(INDIRECT("EY"&amp;$FI88&amp;"")&lt;&gt;"",
INDIRECT("EY"&amp;$FI88&amp;"")&amp;"箱"
&amp;INDIRECT("EZ"&amp;$FI88&amp;""),""),""),"")</f>
        <v/>
      </c>
      <c r="FN88" s="78" t="str">
        <f t="array" aca="1" ref="FN88" ca="1">IF($FI88&lt;&gt;"",
INDIRECT(""&amp;IF(COLUMN(FA131)&lt;=26,CHAR(COLUMN(FA131)+64),CHAR(INT((COLUMN(FA131)-1)/26)+64)&amp;CHAR(MOD(COLUMN(FA131)-1,26)+65))&amp;$FI88&amp;""),"")</f>
        <v/>
      </c>
      <c r="FO88" s="78" t="str">
        <f t="array" aca="1" ref="FO88" ca="1">IF($FI88&lt;&gt;"",
INDIRECT(""&amp;IF(COLUMN(FB131)&lt;=26,CHAR(COLUMN(FB131)+64),CHAR(INT((COLUMN(FB131)-1)/26)+64)&amp;CHAR(MOD(COLUMN(FB131)-1,26)+65))&amp;$FI88&amp;""),"")</f>
        <v/>
      </c>
      <c r="FP88" s="78" t="str">
        <f t="array" aca="1" ref="FP88" ca="1">IF($FI88&lt;&gt;"",
INDIRECT(""&amp;IF(COLUMN(FC131)&lt;=26,CHAR(COLUMN(FC131)+64),CHAR(INT((COLUMN(FC131)-1)/26)+64)&amp;CHAR(MOD(COLUMN(FC131)-1,26)+65))&amp;$FI88&amp;""),"")</f>
        <v/>
      </c>
      <c r="FQ88" s="78" t="str">
        <f t="array" aca="1" ref="FQ88" ca="1">IF($FI88&lt;&gt;"",
INDIRECT(""&amp;IF(COLUMN(FD131)&lt;=26,CHAR(COLUMN(FD131)+64),CHAR(INT((COLUMN(FD131)-1)/26)+64)&amp;CHAR(MOD(COLUMN(FD131)-1,26)+65))&amp;$FI88&amp;""),"")</f>
        <v/>
      </c>
      <c r="FR88" s="78" t="str">
        <f t="array" aca="1" ref="FR88" ca="1">IF($FI88&lt;&gt;"",
INDIRECT(""&amp;IF(COLUMN(FE131)&lt;=26,CHAR(COLUMN(FE131)+64),CHAR(INT((COLUMN(FE131)-1)/26)+64)&amp;CHAR(MOD(COLUMN(FE131)-1,26)+65))&amp;$FI88&amp;""),"")</f>
        <v/>
      </c>
      <c r="FS88" s="78" t="str">
        <f t="array" aca="1" ref="FS88" ca="1">IF($FI88&lt;&gt;"",
INDIRECT(""&amp;IF(COLUMN(FF131)&lt;=26,CHAR(COLUMN(FF131)+64),CHAR(INT((COLUMN(FF131)-1)/26)+64)&amp;CHAR(MOD(COLUMN(FF131)-1,26)+65))&amp;$FI88&amp;""),"")</f>
        <v/>
      </c>
    </row>
    <row r="89" spans="1:175" ht="22.2" customHeight="1" x14ac:dyDescent="0.45">
      <c r="B89" s="88"/>
      <c r="C89" s="254"/>
      <c r="D89" s="254"/>
      <c r="E89" s="254"/>
      <c r="F89" s="254"/>
      <c r="G89" s="98" t="str">
        <f ca="1">SUBSTITUTE(SUBSTITUTE(ADDRESS(1,MATCH("おやつ",'数出表_Excel（アレルギー入力）'!$3:$3,0)),1,""),"$","")</f>
        <v>AL</v>
      </c>
      <c r="I89" s="88"/>
      <c r="J89" s="254"/>
      <c r="K89" s="254"/>
      <c r="L89" s="254"/>
      <c r="M89" s="254"/>
      <c r="N89" s="98" t="str">
        <f ca="1">SUBSTITUTE(SUBSTITUTE(ADDRESS(1,MATCH("おやつ",'数出表_Excel（アレルギー入力）'!$3:$3,0)),1,""),"$","")</f>
        <v>AL</v>
      </c>
      <c r="Q89" s="88"/>
      <c r="R89" s="254"/>
      <c r="S89" s="254"/>
      <c r="T89" s="254"/>
      <c r="U89" s="254"/>
      <c r="V89" s="98" t="str">
        <f ca="1">SUBSTITUTE(SUBSTITUTE(ADDRESS(1,MATCH("おやつ",'数出表_Excel（アレルギー入力）'!$3:$3,0)),1,""),"$","")</f>
        <v>AL</v>
      </c>
      <c r="X89" s="88"/>
      <c r="Y89" s="254"/>
      <c r="Z89" s="254"/>
      <c r="AA89" s="254"/>
      <c r="AB89" s="254"/>
      <c r="AC89" s="98" t="str">
        <f ca="1">SUBSTITUTE(SUBSTITUTE(ADDRESS(1,MATCH("おやつ",'数出表_Excel（アレルギー入力）'!$3:$3,0)),1,""),"$","")</f>
        <v>AL</v>
      </c>
      <c r="AF89" s="88"/>
      <c r="AG89" s="254"/>
      <c r="AH89" s="254"/>
      <c r="AI89" s="254"/>
      <c r="AJ89" s="254"/>
      <c r="AK89" s="98" t="str">
        <f ca="1">SUBSTITUTE(SUBSTITUTE(ADDRESS(1,MATCH("おやつ",'数出表_Excel（アレルギー入力）'!$3:$3,0)),1,""),"$","")</f>
        <v>AL</v>
      </c>
      <c r="AM89" s="88"/>
      <c r="AN89" s="254"/>
      <c r="AO89" s="254"/>
      <c r="AP89" s="254"/>
      <c r="AQ89" s="254"/>
      <c r="AR89" s="98" t="str">
        <f ca="1">SUBSTITUTE(SUBSTITUTE(ADDRESS(1,MATCH("おやつ",'数出表_Excel（アレルギー入力）'!$3:$3,0)),1,""),"$","")</f>
        <v>AL</v>
      </c>
      <c r="AU89" s="88"/>
      <c r="AV89" s="254"/>
      <c r="AW89" s="254"/>
      <c r="AX89" s="254"/>
      <c r="AY89" s="254"/>
      <c r="AZ89" s="98" t="str">
        <f ca="1">SUBSTITUTE(SUBSTITUTE(ADDRESS(1,MATCH("おやつ",'数出表_Excel（アレルギー入力）'!$3:$3,0)),1,""),"$","")</f>
        <v>AL</v>
      </c>
      <c r="BB89" s="88"/>
      <c r="BC89" s="254"/>
      <c r="BD89" s="254"/>
      <c r="BE89" s="254"/>
      <c r="BF89" s="254"/>
      <c r="BG89" s="98" t="str">
        <f ca="1">SUBSTITUTE(SUBSTITUTE(ADDRESS(1,MATCH("おやつ",'数出表_Excel（アレルギー入力）'!$3:$3,0)),1,""),"$","")</f>
        <v>AL</v>
      </c>
      <c r="BJ89" s="88"/>
      <c r="BK89" s="254"/>
      <c r="BL89" s="254"/>
      <c r="BM89" s="254"/>
      <c r="BN89" s="254"/>
      <c r="BO89" s="98" t="str">
        <f ca="1">SUBSTITUTE(SUBSTITUTE(ADDRESS(1,MATCH("おやつ",'数出表_Excel（アレルギー入力）'!$3:$3,0)),1,""),"$","")</f>
        <v>AL</v>
      </c>
      <c r="BQ89" s="88"/>
      <c r="BR89" s="254"/>
      <c r="BS89" s="254"/>
      <c r="BT89" s="254"/>
      <c r="BU89" s="254"/>
      <c r="BV89" s="98" t="str">
        <f ca="1">SUBSTITUTE(SUBSTITUTE(ADDRESS(1,MATCH("おやつ",'数出表_Excel（アレルギー入力）'!$3:$3,0)),1,""),"$","")</f>
        <v>AL</v>
      </c>
      <c r="BY89" s="88"/>
      <c r="BZ89" s="254"/>
      <c r="CA89" s="254"/>
      <c r="CB89" s="254"/>
      <c r="CC89" s="254"/>
      <c r="CD89" s="98" t="str">
        <f ca="1">SUBSTITUTE(SUBSTITUTE(ADDRESS(1,MATCH("おやつ",'数出表_Excel（アレルギー入力）'!$3:$3,0)),1,""),"$","")</f>
        <v>AL</v>
      </c>
      <c r="CF89" s="88"/>
      <c r="CG89" s="254"/>
      <c r="CH89" s="254"/>
      <c r="CI89" s="254"/>
      <c r="CJ89" s="254"/>
      <c r="CK89" s="98" t="str">
        <f ca="1">SUBSTITUTE(SUBSTITUTE(ADDRESS(1,MATCH("おやつ",'数出表_Excel（アレルギー入力）'!$3:$3,0)),1,""),"$","")</f>
        <v>AL</v>
      </c>
      <c r="CN89" s="88"/>
      <c r="CO89" s="254"/>
      <c r="CP89" s="254"/>
      <c r="CQ89" s="254"/>
      <c r="CR89" s="254"/>
      <c r="CS89" s="98" t="str">
        <f ca="1">SUBSTITUTE(SUBSTITUTE(ADDRESS(1,MATCH("おやつ",'数出表_Excel（アレルギー入力）'!$3:$3,0)),1,""),"$","")</f>
        <v>AL</v>
      </c>
      <c r="CU89" s="88"/>
      <c r="CV89" s="254"/>
      <c r="CW89" s="254"/>
      <c r="CX89" s="254"/>
      <c r="CY89" s="254"/>
      <c r="CZ89" s="98" t="str">
        <f ca="1">SUBSTITUTE(SUBSTITUTE(ADDRESS(1,MATCH("おやつ",'数出表_Excel（アレルギー入力）'!$3:$3,0)),1,""),"$","")</f>
        <v>AL</v>
      </c>
      <c r="DC89" s="88"/>
      <c r="DD89" s="254"/>
      <c r="DE89" s="254"/>
      <c r="DF89" s="254"/>
      <c r="DG89" s="254"/>
      <c r="DH89" s="98" t="str">
        <f ca="1">SUBSTITUTE(SUBSTITUTE(ADDRESS(1,MATCH("おやつ",'数出表_Excel（アレルギー入力）'!$3:$3,0)),1,""),"$","")</f>
        <v>AL</v>
      </c>
      <c r="DJ89" s="88"/>
      <c r="DK89" s="254"/>
      <c r="DL89" s="254"/>
      <c r="DM89" s="254"/>
      <c r="DN89" s="254"/>
      <c r="DO89" s="98" t="str">
        <f ca="1">SUBSTITUTE(SUBSTITUTE(ADDRESS(1,MATCH("おやつ",'数出表_Excel（アレルギー入力）'!$3:$3,0)),1,""),"$","")</f>
        <v>AL</v>
      </c>
      <c r="DR89" s="88"/>
      <c r="DS89" s="254"/>
      <c r="DT89" s="254"/>
      <c r="DU89" s="254"/>
      <c r="DV89" s="254"/>
      <c r="DW89" s="98" t="str">
        <f ca="1">SUBSTITUTE(SUBSTITUTE(ADDRESS(1,MATCH("おやつ",'数出表_Excel（アレルギー入力）'!$3:$3,0)),1,""),"$","")</f>
        <v>AL</v>
      </c>
      <c r="DY89" s="88"/>
      <c r="DZ89" s="254"/>
      <c r="EA89" s="254"/>
      <c r="EB89" s="254"/>
      <c r="EC89" s="254"/>
      <c r="ED89" s="98" t="str">
        <f ca="1">SUBSTITUTE(SUBSTITUTE(ADDRESS(1,MATCH("おやつ",'数出表_Excel（アレルギー入力）'!$3:$3,0)),1,""),"$","")</f>
        <v>AL</v>
      </c>
      <c r="EG89" s="88"/>
      <c r="EH89" s="254"/>
      <c r="EI89" s="254"/>
      <c r="EJ89" s="254"/>
      <c r="EK89" s="254"/>
      <c r="EL89" s="98" t="str">
        <f ca="1">SUBSTITUTE(SUBSTITUTE(ADDRESS(1,MATCH("おやつ",'数出表_Excel（アレルギー入力）'!$3:$3,0)),1,""),"$","")</f>
        <v>AL</v>
      </c>
      <c r="EN89" s="88"/>
      <c r="EO89" s="254"/>
      <c r="EP89" s="254"/>
      <c r="EQ89" s="254"/>
      <c r="ER89" s="254"/>
      <c r="ES89" s="98" t="str">
        <f ca="1">SUBSTITUTE(SUBSTITUTE(ADDRESS(1,MATCH("おやつ",'数出表_Excel（アレルギー入力）'!$3:$3,0)),1,""),"$","")</f>
        <v>AL</v>
      </c>
      <c r="EU89" s="78">
        <f t="shared" si="8"/>
        <v>56</v>
      </c>
      <c r="EV89" s="78" t="str">
        <f t="array" aca="1" ref="EV89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LEN(SUBSTITUTE(_xlfn.FORMULATEXT(EV$76),"=","")))+$EU89)</f>
        <v/>
      </c>
      <c r="EW89" s="78" t="str">
        <f t="array" aca="1" ref="EW89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LEN(SUBSTITUTE(_xlfn.FORMULATEXT(EW$76),"=","")))+$EU89)</f>
        <v/>
      </c>
      <c r="EX89" s="78" t="str">
        <f t="array" aca="1" ref="EX89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LEN(SUBSTITUTE(_xlfn.FORMULATEXT(EX$76),"=","")))+$EU89)</f>
        <v/>
      </c>
      <c r="EY89" s="78" t="str">
        <f t="array" aca="1" ref="EY89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LEN(SUBSTITUTE(_xlfn.FORMULATEXT(EY$76),"=","")))+$EU89)</f>
        <v/>
      </c>
      <c r="EZ89" s="78" t="str">
        <f t="array" aca="1" ref="EZ89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LEN(SUBSTITUTE(_xlfn.FORMULATEXT(EZ$76),"=","")))+$EU89)</f>
        <v/>
      </c>
      <c r="FA89" s="78" t="str">
        <f t="array" aca="1" ref="FA89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LEN(SUBSTITUTE(_xlfn.FORMULATEXT(FA$76),"=","")))+$EU89)</f>
        <v/>
      </c>
      <c r="FB89" s="78" t="str">
        <f t="array" aca="1" ref="FB89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LEN(SUBSTITUTE(_xlfn.FORMULATEXT(FB$76),"=","")))+$EU89)</f>
        <v/>
      </c>
      <c r="FC89" s="78" t="str">
        <f t="array" aca="1" ref="FC89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LEN(SUBSTITUTE(_xlfn.FORMULATEXT(FC$76),"=","")))+$EU89)</f>
        <v/>
      </c>
      <c r="FD89" s="78" t="str">
        <f t="array" aca="1" ref="FD89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LEN(SUBSTITUTE(_xlfn.FORMULATEXT(FD$76),"=","")))+$EU89)</f>
        <v/>
      </c>
      <c r="FE89" s="78" t="str">
        <f t="array" aca="1" ref="FE89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LEN(SUBSTITUTE(_xlfn.FORMULATEXT(FE$76),"=","")))+$EU89)</f>
        <v/>
      </c>
      <c r="FF89" s="78" t="str">
        <f t="array" aca="1" ref="FF89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LEN(SUBSTITUTE(_xlfn.FORMULATEXT(FF$76),"=","")))+$EU89)</f>
        <v/>
      </c>
      <c r="FG89" s="78">
        <f t="shared" ca="1" si="7"/>
        <v>0</v>
      </c>
      <c r="FH89" s="78" t="b">
        <f t="array" aca="1" ref="FH89" ca="1">SUMPRODUCT((LEN(EV89:FF89)&gt;0)*1)&gt;0</f>
        <v>0</v>
      </c>
      <c r="FI89" s="78" t="str">
        <f t="array" aca="1" ref="FI89" ca="1">IFERROR(SMALL(IF(FG$1:FG$228&lt;&gt;0,FG$1:FG$228),ROW(A89)),"")</f>
        <v/>
      </c>
      <c r="FJ89" s="78" t="str">
        <f t="array" aca="1" ref="FJ89" ca="1">IF($FI89&lt;&gt;"",
INDIRECT(""&amp;IF(COLUMN(EV133)&lt;=26,CHAR(COLUMN(EV133)+64),CHAR(INT((COLUMN(EV133)-1)/26)+64)&amp;CHAR(MOD(COLUMN(EV133)-1,26)+65))&amp;$FI89&amp;""),"")</f>
        <v/>
      </c>
      <c r="FK89" s="78" t="str">
        <f t="array" aca="1" ref="FK89" ca="1">IF($FI89&lt;&gt;"",
INDIRECT(""&amp;IF(COLUMN(EW133)&lt;=26,CHAR(COLUMN(EW133)+64),CHAR(INT((COLUMN(EW133)-1)/26)+64)&amp;CHAR(MOD(COLUMN(EW133)-1,26)+65))&amp;$FI89&amp;""),"")</f>
        <v/>
      </c>
      <c r="FL89" s="78" t="str">
        <f t="array" aca="1" ref="FL89" ca="1">IF($FI89&lt;&gt;"",
INDIRECT(""&amp;IF(COLUMN(EX133)&lt;=26,CHAR(COLUMN(EX133)+64),CHAR(INT((COLUMN(EX133)-1)/26)+64)&amp;CHAR(MOD(COLUMN(EX133)-1,26)+65))&amp;$FI89&amp;""),"")</f>
        <v/>
      </c>
      <c r="FM89" s="78" t="str">
        <f t="array" aca="1" ref="FM89" ca="1">IF($FI89&lt;&gt;"",
IF(FL89="",
IF(INDIRECT("EY"&amp;$FI89&amp;"")&lt;&gt;"",
INDIRECT("EY"&amp;$FI89&amp;"")&amp;"箱"
&amp;INDIRECT("EZ"&amp;$FI89&amp;""),""),""),"")</f>
        <v/>
      </c>
      <c r="FN89" s="78" t="str">
        <f t="array" aca="1" ref="FN89" ca="1">IF($FI89&lt;&gt;"",
INDIRECT(""&amp;IF(COLUMN(FA133)&lt;=26,CHAR(COLUMN(FA133)+64),CHAR(INT((COLUMN(FA133)-1)/26)+64)&amp;CHAR(MOD(COLUMN(FA133)-1,26)+65))&amp;$FI89&amp;""),"")</f>
        <v/>
      </c>
      <c r="FO89" s="78" t="str">
        <f t="array" aca="1" ref="FO89" ca="1">IF($FI89&lt;&gt;"",
INDIRECT(""&amp;IF(COLUMN(FB133)&lt;=26,CHAR(COLUMN(FB133)+64),CHAR(INT((COLUMN(FB133)-1)/26)+64)&amp;CHAR(MOD(COLUMN(FB133)-1,26)+65))&amp;$FI89&amp;""),"")</f>
        <v/>
      </c>
      <c r="FP89" s="78" t="str">
        <f t="array" aca="1" ref="FP89" ca="1">IF($FI89&lt;&gt;"",
INDIRECT(""&amp;IF(COLUMN(FC133)&lt;=26,CHAR(COLUMN(FC133)+64),CHAR(INT((COLUMN(FC133)-1)/26)+64)&amp;CHAR(MOD(COLUMN(FC133)-1,26)+65))&amp;$FI89&amp;""),"")</f>
        <v/>
      </c>
      <c r="FQ89" s="78" t="str">
        <f t="array" aca="1" ref="FQ89" ca="1">IF($FI89&lt;&gt;"",
INDIRECT(""&amp;IF(COLUMN(FD133)&lt;=26,CHAR(COLUMN(FD133)+64),CHAR(INT((COLUMN(FD133)-1)/26)+64)&amp;CHAR(MOD(COLUMN(FD133)-1,26)+65))&amp;$FI89&amp;""),"")</f>
        <v/>
      </c>
      <c r="FR89" s="78" t="str">
        <f t="array" aca="1" ref="FR89" ca="1">IF($FI89&lt;&gt;"",
INDIRECT(""&amp;IF(COLUMN(FE133)&lt;=26,CHAR(COLUMN(FE133)+64),CHAR(INT((COLUMN(FE133)-1)/26)+64)&amp;CHAR(MOD(COLUMN(FE133)-1,26)+65))&amp;$FI89&amp;""),"")</f>
        <v/>
      </c>
      <c r="FS89" s="78" t="str">
        <f t="array" aca="1" ref="FS89" ca="1">IF($FI89&lt;&gt;"",
INDIRECT(""&amp;IF(COLUMN(FF133)&lt;=26,CHAR(COLUMN(FF133)+64),CHAR(INT((COLUMN(FF133)-1)/26)+64)&amp;CHAR(MOD(COLUMN(FF133)-1,26)+65))&amp;$FI89&amp;""),"")</f>
        <v/>
      </c>
    </row>
    <row r="90" spans="1:175" ht="22.2" customHeight="1" x14ac:dyDescent="0.55000000000000004">
      <c r="B90" s="89" t="str">
        <f ca="1">IF(C88&lt;&gt;"","パン箱","")</f>
        <v/>
      </c>
      <c r="C90" s="90" t="str">
        <f ca="1">IF(C88&lt;&gt;"",IF(OR(COUNTIF('盛付札（関数）'!C86,"*キャラ*"),COUNTIF('盛付札（関数）'!C86,"*赤*")),24,
VLOOKUP('盛付札（関数）'!C86,商品マスタ一覧!$D:$I,6,FALSE)),"")</f>
        <v/>
      </c>
      <c r="D90" s="89" t="str">
        <f ca="1">IF(C88&lt;&gt;"","　端数","")</f>
        <v/>
      </c>
      <c r="E90" s="90"/>
      <c r="F90" s="89" t="str">
        <f ca="1">IF(C88&lt;&gt;"","アレルギー","")</f>
        <v/>
      </c>
      <c r="G90" s="93"/>
      <c r="H90" s="76"/>
      <c r="I90" s="89" t="str">
        <f ca="1">IF(J88&lt;&gt;"","パン箱","")</f>
        <v/>
      </c>
      <c r="J90" s="90" t="str">
        <f ca="1">IF(J88&lt;&gt;"",IF(OR(COUNTIF('盛付札（関数）'!J86,"*キャラ*"),COUNTIF('盛付札（関数）'!J86,"*赤*")),24,
VLOOKUP('盛付札（関数）'!J86,商品マスタ一覧!$D:$I,6,FALSE)),"")</f>
        <v/>
      </c>
      <c r="K90" s="89" t="str">
        <f ca="1">IF(J88&lt;&gt;"","　端数","")</f>
        <v/>
      </c>
      <c r="L90" s="90"/>
      <c r="M90" s="89" t="str">
        <f ca="1">IF(J88&lt;&gt;"","アレルギー","")</f>
        <v/>
      </c>
      <c r="N90" s="93"/>
      <c r="Q90" s="89" t="str">
        <f ca="1">IF(R88&lt;&gt;"","パン箱","")</f>
        <v/>
      </c>
      <c r="R90" s="90" t="str">
        <f ca="1">IF(R88&lt;&gt;"",IF(OR(COUNTIF('盛付札（関数）'!R86,"*キャラ*"),COUNTIF('盛付札（関数）'!R86,"*赤*")),24,
VLOOKUP('盛付札（関数）'!R86,商品マスタ一覧!$D:$I,6,FALSE)),"")</f>
        <v/>
      </c>
      <c r="S90" s="89" t="str">
        <f ca="1">IF(R88&lt;&gt;"","　端数","")</f>
        <v/>
      </c>
      <c r="T90" s="90"/>
      <c r="U90" s="89" t="str">
        <f ca="1">IF(R88&lt;&gt;"","アレルギー","")</f>
        <v/>
      </c>
      <c r="V90" s="93"/>
      <c r="W90" s="76"/>
      <c r="X90" s="89" t="str">
        <f ca="1">IF(Y88&lt;&gt;"","パン箱","")</f>
        <v/>
      </c>
      <c r="Y90" s="90" t="str">
        <f ca="1">IF(Y88&lt;&gt;"",IF(OR(COUNTIF('盛付札（関数）'!Y86,"*キャラ*"),COUNTIF('盛付札（関数）'!Y86,"*赤*")),24,
VLOOKUP('盛付札（関数）'!Y86,商品マスタ一覧!$D:$I,6,FALSE)),"")</f>
        <v/>
      </c>
      <c r="Z90" s="89" t="str">
        <f ca="1">IF(Y88&lt;&gt;"","　端数","")</f>
        <v/>
      </c>
      <c r="AA90" s="90"/>
      <c r="AB90" s="89" t="str">
        <f ca="1">IF(Y88&lt;&gt;"","アレルギー","")</f>
        <v/>
      </c>
      <c r="AC90" s="93"/>
      <c r="AF90" s="89" t="str">
        <f ca="1">IF(AG88&lt;&gt;"","パン箱","")</f>
        <v/>
      </c>
      <c r="AG90" s="90" t="str">
        <f ca="1">IF(AG88&lt;&gt;"",IF(OR(COUNTIF('盛付札（関数）'!AG86,"*キャラ*"),COUNTIF('盛付札（関数）'!AG86,"*赤*")),24,
VLOOKUP('盛付札（関数）'!AG86,商品マスタ一覧!$D:$I,6,FALSE)),"")</f>
        <v/>
      </c>
      <c r="AH90" s="89" t="str">
        <f ca="1">IF(AG88&lt;&gt;"","　端数","")</f>
        <v/>
      </c>
      <c r="AI90" s="90"/>
      <c r="AJ90" s="89" t="str">
        <f ca="1">IF(AG88&lt;&gt;"","アレルギー","")</f>
        <v/>
      </c>
      <c r="AK90" s="93"/>
      <c r="AL90" s="76"/>
      <c r="AM90" s="89" t="str">
        <f ca="1">IF(AN88&lt;&gt;"","パン箱","")</f>
        <v/>
      </c>
      <c r="AN90" s="90" t="str">
        <f ca="1">IF(AN88&lt;&gt;"",IF(OR(COUNTIF('盛付札（関数）'!AN86,"*キャラ*"),COUNTIF('盛付札（関数）'!AN86,"*赤*")),24,
VLOOKUP('盛付札（関数）'!AN86,商品マスタ一覧!$D:$I,6,FALSE)),"")</f>
        <v/>
      </c>
      <c r="AO90" s="89" t="str">
        <f ca="1">IF(AN88&lt;&gt;"","　端数","")</f>
        <v/>
      </c>
      <c r="AP90" s="90"/>
      <c r="AQ90" s="89" t="str">
        <f ca="1">IF(AN88&lt;&gt;"","アレルギー","")</f>
        <v/>
      </c>
      <c r="AR90" s="93"/>
      <c r="AU90" s="89" t="str">
        <f ca="1">IF(AV88&lt;&gt;"","パン箱","")</f>
        <v/>
      </c>
      <c r="AV90" s="90" t="str">
        <f ca="1">IF(AV88&lt;&gt;"",IF(OR(COUNTIF('盛付札（関数）'!AV86,"*キャラ*"),COUNTIF('盛付札（関数）'!AV86,"*赤*")),24,
VLOOKUP('盛付札（関数）'!AV86,商品マスタ一覧!$D:$I,6,FALSE)),"")</f>
        <v/>
      </c>
      <c r="AW90" s="89" t="str">
        <f ca="1">IF(AV88&lt;&gt;"","　端数","")</f>
        <v/>
      </c>
      <c r="AX90" s="90"/>
      <c r="AY90" s="89" t="str">
        <f ca="1">IF(AV88&lt;&gt;"","アレルギー","")</f>
        <v/>
      </c>
      <c r="AZ90" s="93"/>
      <c r="BA90" s="76"/>
      <c r="BB90" s="89" t="str">
        <f ca="1">IF(BC88&lt;&gt;"","パン箱","")</f>
        <v/>
      </c>
      <c r="BC90" s="90" t="str">
        <f ca="1">IF(BC88&lt;&gt;"",IF(OR(COUNTIF('盛付札（関数）'!BC86,"*キャラ*"),COUNTIF('盛付札（関数）'!BC86,"*赤*")),24,
VLOOKUP('盛付札（関数）'!BC86,商品マスタ一覧!$D:$I,6,FALSE)),"")</f>
        <v/>
      </c>
      <c r="BD90" s="89" t="str">
        <f ca="1">IF(BC88&lt;&gt;"","　端数","")</f>
        <v/>
      </c>
      <c r="BE90" s="90"/>
      <c r="BF90" s="89" t="str">
        <f ca="1">IF(BC88&lt;&gt;"","アレルギー","")</f>
        <v/>
      </c>
      <c r="BG90" s="93"/>
      <c r="BJ90" s="89" t="str">
        <f ca="1">IF(BK88&lt;&gt;"","パン箱","")</f>
        <v/>
      </c>
      <c r="BK90" s="90" t="str">
        <f ca="1">IF(BK88&lt;&gt;"",IF(OR(COUNTIF('盛付札（関数）'!BK86,"*キャラ*"),COUNTIF('盛付札（関数）'!BK86,"*赤*")),24,
VLOOKUP('盛付札（関数）'!BK86,商品マスタ一覧!$D:$I,6,FALSE)),"")</f>
        <v/>
      </c>
      <c r="BL90" s="89" t="str">
        <f ca="1">IF(BK88&lt;&gt;"","　端数","")</f>
        <v/>
      </c>
      <c r="BM90" s="90"/>
      <c r="BN90" s="89" t="str">
        <f ca="1">IF(BK88&lt;&gt;"","アレルギー","")</f>
        <v/>
      </c>
      <c r="BO90" s="93"/>
      <c r="BP90" s="76"/>
      <c r="BQ90" s="89" t="str">
        <f ca="1">IF(BR88&lt;&gt;"","パン箱","")</f>
        <v/>
      </c>
      <c r="BR90" s="90" t="str">
        <f ca="1">IF(BR88&lt;&gt;"",IF(OR(COUNTIF('盛付札（関数）'!BR86,"*キャラ*"),COUNTIF('盛付札（関数）'!BR86,"*赤*")),24,
VLOOKUP('盛付札（関数）'!BR86,商品マスタ一覧!$D:$I,6,FALSE)),"")</f>
        <v/>
      </c>
      <c r="BS90" s="89" t="str">
        <f ca="1">IF(BR88&lt;&gt;"","　端数","")</f>
        <v/>
      </c>
      <c r="BT90" s="90"/>
      <c r="BU90" s="89" t="str">
        <f ca="1">IF(BR88&lt;&gt;"","アレルギー","")</f>
        <v/>
      </c>
      <c r="BV90" s="93"/>
      <c r="BY90" s="89" t="str">
        <f ca="1">IF(BZ88&lt;&gt;"","パン箱","")</f>
        <v/>
      </c>
      <c r="BZ90" s="90" t="str">
        <f ca="1">IF(BZ88&lt;&gt;"",IF(OR(COUNTIF('盛付札（関数）'!BZ86,"*キャラ*"),COUNTIF('盛付札（関数）'!BZ86,"*赤*")),24,
VLOOKUP('盛付札（関数）'!BZ86,商品マスタ一覧!$D:$I,6,FALSE)),"")</f>
        <v/>
      </c>
      <c r="CA90" s="89" t="str">
        <f ca="1">IF(BZ88&lt;&gt;"","　端数","")</f>
        <v/>
      </c>
      <c r="CB90" s="90"/>
      <c r="CC90" s="89" t="str">
        <f ca="1">IF(BZ88&lt;&gt;"","アレルギー","")</f>
        <v/>
      </c>
      <c r="CD90" s="93"/>
      <c r="CE90" s="76"/>
      <c r="CF90" s="89" t="str">
        <f ca="1">IF(CG88&lt;&gt;"","パン箱","")</f>
        <v/>
      </c>
      <c r="CG90" s="90" t="str">
        <f ca="1">IF(CG88&lt;&gt;"",IF(OR(COUNTIF('盛付札（関数）'!CG86,"*キャラ*"),COUNTIF('盛付札（関数）'!CG86,"*赤*")),24,
VLOOKUP('盛付札（関数）'!CG86,商品マスタ一覧!$D:$I,6,FALSE)),"")</f>
        <v/>
      </c>
      <c r="CH90" s="89" t="str">
        <f ca="1">IF(CG88&lt;&gt;"","　端数","")</f>
        <v/>
      </c>
      <c r="CI90" s="90"/>
      <c r="CJ90" s="89" t="str">
        <f ca="1">IF(CG88&lt;&gt;"","アレルギー","")</f>
        <v/>
      </c>
      <c r="CK90" s="93"/>
      <c r="CN90" s="89" t="str">
        <f ca="1">IF(CO88&lt;&gt;"","パン箱","")</f>
        <v/>
      </c>
      <c r="CO90" s="90" t="str">
        <f ca="1">IF(CO88&lt;&gt;"",IF(OR(COUNTIF('盛付札（関数）'!CO86,"*キャラ*"),COUNTIF('盛付札（関数）'!CO86,"*赤*")),24,
VLOOKUP('盛付札（関数）'!CO86,商品マスタ一覧!$D:$I,6,FALSE)),"")</f>
        <v/>
      </c>
      <c r="CP90" s="89" t="str">
        <f ca="1">IF(CO88&lt;&gt;"","　端数","")</f>
        <v/>
      </c>
      <c r="CQ90" s="90"/>
      <c r="CR90" s="89" t="str">
        <f ca="1">IF(CO88&lt;&gt;"","アレルギー","")</f>
        <v/>
      </c>
      <c r="CS90" s="93"/>
      <c r="CT90" s="76"/>
      <c r="CU90" s="89" t="str">
        <f ca="1">IF(CV88&lt;&gt;"","パン箱","")</f>
        <v/>
      </c>
      <c r="CV90" s="90" t="str">
        <f ca="1">IF(CV88&lt;&gt;"",IF(OR(COUNTIF('盛付札（関数）'!CV86,"*キャラ*"),COUNTIF('盛付札（関数）'!CV86,"*赤*")),24,
VLOOKUP('盛付札（関数）'!CV86,商品マスタ一覧!$D:$I,6,FALSE)),"")</f>
        <v/>
      </c>
      <c r="CW90" s="89" t="str">
        <f ca="1">IF(CV88&lt;&gt;"","　端数","")</f>
        <v/>
      </c>
      <c r="CX90" s="90"/>
      <c r="CY90" s="89" t="str">
        <f ca="1">IF(CV88&lt;&gt;"","アレルギー","")</f>
        <v/>
      </c>
      <c r="CZ90" s="93"/>
      <c r="DC90" s="89" t="str">
        <f ca="1">IF(DD88&lt;&gt;"","パン箱","")</f>
        <v/>
      </c>
      <c r="DD90" s="90" t="str">
        <f ca="1">IF(DD88&lt;&gt;"",IF(OR(COUNTIF('盛付札（関数）'!DD86,"*キャラ*"),COUNTIF('盛付札（関数）'!DD86,"*赤*")),24,
VLOOKUP('盛付札（関数）'!DD86,商品マスタ一覧!$D:$I,6,FALSE)),"")</f>
        <v/>
      </c>
      <c r="DE90" s="89" t="str">
        <f ca="1">IF(DD88&lt;&gt;"","　端数","")</f>
        <v/>
      </c>
      <c r="DF90" s="90"/>
      <c r="DG90" s="89" t="str">
        <f ca="1">IF(DD88&lt;&gt;"","アレルギー","")</f>
        <v/>
      </c>
      <c r="DH90" s="93"/>
      <c r="DI90" s="76"/>
      <c r="DJ90" s="89" t="str">
        <f ca="1">IF(DK88&lt;&gt;"","パン箱","")</f>
        <v/>
      </c>
      <c r="DK90" s="90" t="str">
        <f ca="1">IF(DK88&lt;&gt;"",IF(OR(COUNTIF('盛付札（関数）'!DK86,"*キャラ*"),COUNTIF('盛付札（関数）'!DK86,"*赤*")),24,
VLOOKUP('盛付札（関数）'!DK86,商品マスタ一覧!$D:$I,6,FALSE)),"")</f>
        <v/>
      </c>
      <c r="DL90" s="89" t="str">
        <f ca="1">IF(DK88&lt;&gt;"","　端数","")</f>
        <v/>
      </c>
      <c r="DM90" s="90"/>
      <c r="DN90" s="89" t="str">
        <f ca="1">IF(DK88&lt;&gt;"","アレルギー","")</f>
        <v/>
      </c>
      <c r="DO90" s="93"/>
      <c r="DR90" s="89" t="str">
        <f ca="1">IF(DS88&lt;&gt;"","パン箱","")</f>
        <v/>
      </c>
      <c r="DS90" s="90" t="str">
        <f ca="1">IF(DS88&lt;&gt;"",IF(OR(COUNTIF('盛付札（関数）'!DS86,"*キャラ*"),COUNTIF('盛付札（関数）'!DS86,"*赤*")),24,
VLOOKUP('盛付札（関数）'!DS86,商品マスタ一覧!$D:$I,6,FALSE)),"")</f>
        <v/>
      </c>
      <c r="DT90" s="89" t="str">
        <f ca="1">IF(DS88&lt;&gt;"","　端数","")</f>
        <v/>
      </c>
      <c r="DU90" s="90"/>
      <c r="DV90" s="89" t="str">
        <f ca="1">IF(DS88&lt;&gt;"","アレルギー","")</f>
        <v/>
      </c>
      <c r="DW90" s="93"/>
      <c r="DX90" s="76"/>
      <c r="DY90" s="89" t="str">
        <f ca="1">IF(DZ88&lt;&gt;"","パン箱","")</f>
        <v/>
      </c>
      <c r="DZ90" s="90" t="str">
        <f ca="1">IF(DZ88&lt;&gt;"",IF(OR(COUNTIF('盛付札（関数）'!DZ86,"*キャラ*"),COUNTIF('盛付札（関数）'!DZ86,"*赤*")),24,
VLOOKUP('盛付札（関数）'!DZ86,商品マスタ一覧!$D:$I,6,FALSE)),"")</f>
        <v/>
      </c>
      <c r="EA90" s="89" t="str">
        <f ca="1">IF(DZ88&lt;&gt;"","　端数","")</f>
        <v/>
      </c>
      <c r="EB90" s="90"/>
      <c r="EC90" s="89" t="str">
        <f ca="1">IF(DZ88&lt;&gt;"","アレルギー","")</f>
        <v/>
      </c>
      <c r="ED90" s="93"/>
      <c r="EG90" s="89" t="str">
        <f ca="1">IF(EH88&lt;&gt;"","パン箱","")</f>
        <v/>
      </c>
      <c r="EH90" s="90" t="str">
        <f ca="1">IF(EH88&lt;&gt;"",IF(OR(COUNTIF('盛付札（関数）'!EH86,"*キャラ*"),COUNTIF('盛付札（関数）'!EH86,"*赤*")),24,
VLOOKUP('盛付札（関数）'!EH86,商品マスタ一覧!$D:$I,6,FALSE)),"")</f>
        <v/>
      </c>
      <c r="EI90" s="89" t="str">
        <f ca="1">IF(EH88&lt;&gt;"","　端数","")</f>
        <v/>
      </c>
      <c r="EJ90" s="90"/>
      <c r="EK90" s="89" t="str">
        <f ca="1">IF(EH88&lt;&gt;"","アレルギー","")</f>
        <v/>
      </c>
      <c r="EL90" s="93"/>
      <c r="EM90" s="76"/>
      <c r="EN90" s="89" t="str">
        <f ca="1">IF(EO88&lt;&gt;"","パン箱","")</f>
        <v/>
      </c>
      <c r="EO90" s="90" t="str">
        <f ca="1">IF(EO88&lt;&gt;"",IF(OR(COUNTIF('盛付札（関数）'!EO86,"*キャラ*"),COUNTIF('盛付札（関数）'!EO86,"*赤*")),24,
VLOOKUP('盛付札（関数）'!EO86,商品マスタ一覧!$D:$I,6,FALSE)),"")</f>
        <v/>
      </c>
      <c r="EP90" s="89" t="str">
        <f ca="1">IF(EO88&lt;&gt;"","　端数","")</f>
        <v/>
      </c>
      <c r="EQ90" s="90"/>
      <c r="ER90" s="89" t="str">
        <f ca="1">IF(EO88&lt;&gt;"","アレルギー","")</f>
        <v/>
      </c>
      <c r="ES90" s="93"/>
      <c r="EU90" s="78">
        <f t="shared" si="8"/>
        <v>98</v>
      </c>
      <c r="EV90" s="78" t="str">
        <f t="array" aca="1" ref="EV90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LEN(SUBSTITUTE(_xlfn.FORMULATEXT(EV$76),"=","")))+$EU90)</f>
        <v/>
      </c>
      <c r="EW90" s="78" t="str">
        <f t="array" aca="1" ref="EW90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LEN(SUBSTITUTE(_xlfn.FORMULATEXT(EW$76),"=","")))+$EU90)</f>
        <v/>
      </c>
      <c r="EX90" s="78" t="str">
        <f t="array" aca="1" ref="EX90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LEN(SUBSTITUTE(_xlfn.FORMULATEXT(EX$76),"=","")))+$EU90)</f>
        <v/>
      </c>
      <c r="EY90" s="78" t="str">
        <f t="array" aca="1" ref="EY90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LEN(SUBSTITUTE(_xlfn.FORMULATEXT(EY$76),"=","")))+$EU90)</f>
        <v/>
      </c>
      <c r="EZ90" s="78" t="str">
        <f t="array" aca="1" ref="EZ90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LEN(SUBSTITUTE(_xlfn.FORMULATEXT(EZ$76),"=","")))+$EU90)</f>
        <v/>
      </c>
      <c r="FA90" s="78" t="str">
        <f t="array" aca="1" ref="FA90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LEN(SUBSTITUTE(_xlfn.FORMULATEXT(FA$76),"=","")))+$EU90)</f>
        <v/>
      </c>
      <c r="FB90" s="78" t="str">
        <f t="array" aca="1" ref="FB90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LEN(SUBSTITUTE(_xlfn.FORMULATEXT(FB$76),"=","")))+$EU90)</f>
        <v/>
      </c>
      <c r="FC90" s="78" t="str">
        <f t="array" aca="1" ref="FC90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LEN(SUBSTITUTE(_xlfn.FORMULATEXT(FC$76),"=","")))+$EU90)</f>
        <v/>
      </c>
      <c r="FD90" s="78" t="str">
        <f t="array" aca="1" ref="FD90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LEN(SUBSTITUTE(_xlfn.FORMULATEXT(FD$76),"=","")))+$EU90)</f>
        <v/>
      </c>
      <c r="FE90" s="78" t="str">
        <f t="array" aca="1" ref="FE90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LEN(SUBSTITUTE(_xlfn.FORMULATEXT(FE$76),"=","")))+$EU90)</f>
        <v/>
      </c>
      <c r="FF90" s="78" t="str">
        <f t="array" aca="1" ref="FF90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LEN(SUBSTITUTE(_xlfn.FORMULATEXT(FF$76),"=","")))+$EU90)</f>
        <v/>
      </c>
      <c r="FG90" s="78">
        <f t="shared" ca="1" si="7"/>
        <v>0</v>
      </c>
      <c r="FH90" s="78" t="b">
        <f t="array" aca="1" ref="FH90" ca="1">SUMPRODUCT((LEN(EV90:FF90)&gt;0)*1)&gt;0</f>
        <v>0</v>
      </c>
      <c r="FI90" s="78" t="str">
        <f t="array" aca="1" ref="FI90" ca="1">IFERROR(SMALL(IF(FG$1:FG$228&lt;&gt;0,FG$1:FG$228),ROW(A90)),"")</f>
        <v/>
      </c>
      <c r="FJ90" s="78" t="str">
        <f t="array" aca="1" ref="FJ90" ca="1">IF($FI90&lt;&gt;"",
INDIRECT(""&amp;IF(COLUMN(EV134)&lt;=26,CHAR(COLUMN(EV134)+64),CHAR(INT((COLUMN(EV134)-1)/26)+64)&amp;CHAR(MOD(COLUMN(EV134)-1,26)+65))&amp;$FI90&amp;""),"")</f>
        <v/>
      </c>
      <c r="FK90" s="78" t="str">
        <f t="array" aca="1" ref="FK90" ca="1">IF($FI90&lt;&gt;"",
INDIRECT(""&amp;IF(COLUMN(EW134)&lt;=26,CHAR(COLUMN(EW134)+64),CHAR(INT((COLUMN(EW134)-1)/26)+64)&amp;CHAR(MOD(COLUMN(EW134)-1,26)+65))&amp;$FI90&amp;""),"")</f>
        <v/>
      </c>
      <c r="FL90" s="78" t="str">
        <f t="array" aca="1" ref="FL90" ca="1">IF($FI90&lt;&gt;"",
INDIRECT(""&amp;IF(COLUMN(EX134)&lt;=26,CHAR(COLUMN(EX134)+64),CHAR(INT((COLUMN(EX134)-1)/26)+64)&amp;CHAR(MOD(COLUMN(EX134)-1,26)+65))&amp;$FI90&amp;""),"")</f>
        <v/>
      </c>
      <c r="FM90" s="78" t="str">
        <f t="array" aca="1" ref="FM90" ca="1">IF($FI90&lt;&gt;"",
IF(FL90="",
IF(INDIRECT("EY"&amp;$FI90&amp;"")&lt;&gt;"",
INDIRECT("EY"&amp;$FI90&amp;"")&amp;"箱"
&amp;INDIRECT("EZ"&amp;$FI90&amp;""),""),""),"")</f>
        <v/>
      </c>
      <c r="FN90" s="78" t="str">
        <f t="array" aca="1" ref="FN90" ca="1">IF($FI90&lt;&gt;"",
INDIRECT(""&amp;IF(COLUMN(FA134)&lt;=26,CHAR(COLUMN(FA134)+64),CHAR(INT((COLUMN(FA134)-1)/26)+64)&amp;CHAR(MOD(COLUMN(FA134)-1,26)+65))&amp;$FI90&amp;""),"")</f>
        <v/>
      </c>
      <c r="FO90" s="78" t="str">
        <f t="array" aca="1" ref="FO90" ca="1">IF($FI90&lt;&gt;"",
INDIRECT(""&amp;IF(COLUMN(FB134)&lt;=26,CHAR(COLUMN(FB134)+64),CHAR(INT((COLUMN(FB134)-1)/26)+64)&amp;CHAR(MOD(COLUMN(FB134)-1,26)+65))&amp;$FI90&amp;""),"")</f>
        <v/>
      </c>
      <c r="FP90" s="78" t="str">
        <f t="array" aca="1" ref="FP90" ca="1">IF($FI90&lt;&gt;"",
INDIRECT(""&amp;IF(COLUMN(FC134)&lt;=26,CHAR(COLUMN(FC134)+64),CHAR(INT((COLUMN(FC134)-1)/26)+64)&amp;CHAR(MOD(COLUMN(FC134)-1,26)+65))&amp;$FI90&amp;""),"")</f>
        <v/>
      </c>
      <c r="FQ90" s="78" t="str">
        <f t="array" aca="1" ref="FQ90" ca="1">IF($FI90&lt;&gt;"",
INDIRECT(""&amp;IF(COLUMN(FD134)&lt;=26,CHAR(COLUMN(FD134)+64),CHAR(INT((COLUMN(FD134)-1)/26)+64)&amp;CHAR(MOD(COLUMN(FD134)-1,26)+65))&amp;$FI90&amp;""),"")</f>
        <v/>
      </c>
      <c r="FR90" s="78" t="str">
        <f t="array" aca="1" ref="FR90" ca="1">IF($FI90&lt;&gt;"",
INDIRECT(""&amp;IF(COLUMN(FE134)&lt;=26,CHAR(COLUMN(FE134)+64),CHAR(INT((COLUMN(FE134)-1)/26)+64)&amp;CHAR(MOD(COLUMN(FE134)-1,26)+65))&amp;$FI90&amp;""),"")</f>
        <v/>
      </c>
      <c r="FS90" s="78" t="str">
        <f t="array" aca="1" ref="FS90" ca="1">IF($FI90&lt;&gt;"",
INDIRECT(""&amp;IF(COLUMN(FF134)&lt;=26,CHAR(COLUMN(FF134)+64),CHAR(INT((COLUMN(FF134)-1)/26)+64)&amp;CHAR(MOD(COLUMN(FF134)-1,26)+65))&amp;$FI90&amp;""),"")</f>
        <v/>
      </c>
    </row>
    <row r="91" spans="1:175" ht="22.2" customHeight="1" x14ac:dyDescent="0.45">
      <c r="B91" s="244" t="str">
        <f ca="1">IF(C88&lt;&gt;"",
IFERROR(INT(C88/C90),""),"")</f>
        <v/>
      </c>
      <c r="C91" s="245"/>
      <c r="D91" s="244" t="str">
        <f ca="1">IFERROR(MOD(C88,C90),"")</f>
        <v/>
      </c>
      <c r="E91" s="245"/>
      <c r="F91" s="246" t="str">
        <f ca="1">IF(C85&lt;&gt;"",G87+G88,"")</f>
        <v/>
      </c>
      <c r="G91" s="245"/>
      <c r="I91" s="244" t="str">
        <f ca="1">IF(J88&lt;&gt;"",
IFERROR(INT(J88/J90),""),"")</f>
        <v/>
      </c>
      <c r="J91" s="245"/>
      <c r="K91" s="244" t="str">
        <f ca="1">IFERROR(MOD(J88,J90),"")</f>
        <v/>
      </c>
      <c r="L91" s="245"/>
      <c r="M91" s="246" t="str">
        <f ca="1">IF(J85&lt;&gt;"",N87+N88,"")</f>
        <v/>
      </c>
      <c r="N91" s="245"/>
      <c r="Q91" s="244" t="str">
        <f ca="1">IF(R88&lt;&gt;"",
IFERROR(INT(R88/R90),""),"")</f>
        <v/>
      </c>
      <c r="R91" s="245"/>
      <c r="S91" s="244" t="str">
        <f ca="1">IFERROR(MOD(R88,R90),"")</f>
        <v/>
      </c>
      <c r="T91" s="245"/>
      <c r="U91" s="246" t="str">
        <f ca="1">IF(R85&lt;&gt;"",V87+V88,"")</f>
        <v/>
      </c>
      <c r="V91" s="245"/>
      <c r="X91" s="244" t="str">
        <f ca="1">IF(Y88&lt;&gt;"",
IFERROR(INT(Y88/Y90),""),"")</f>
        <v/>
      </c>
      <c r="Y91" s="245"/>
      <c r="Z91" s="244" t="str">
        <f ca="1">IFERROR(MOD(Y88,Y90),"")</f>
        <v/>
      </c>
      <c r="AA91" s="245"/>
      <c r="AB91" s="246" t="str">
        <f ca="1">IF(Y85&lt;&gt;"",AC87+AC88,"")</f>
        <v/>
      </c>
      <c r="AC91" s="245"/>
      <c r="AF91" s="244" t="str">
        <f ca="1">IF(AG88&lt;&gt;"",
IFERROR(INT(AG88/AG90),""),"")</f>
        <v/>
      </c>
      <c r="AG91" s="245"/>
      <c r="AH91" s="244" t="str">
        <f ca="1">IFERROR(MOD(AG88,AG90),"")</f>
        <v/>
      </c>
      <c r="AI91" s="245"/>
      <c r="AJ91" s="246" t="str">
        <f ca="1">IF(AG85&lt;&gt;"",AK87+AK88,"")</f>
        <v/>
      </c>
      <c r="AK91" s="245"/>
      <c r="AM91" s="244" t="str">
        <f ca="1">IF(AN88&lt;&gt;"",
IFERROR(INT(AN88/AN90),""),"")</f>
        <v/>
      </c>
      <c r="AN91" s="245"/>
      <c r="AO91" s="244" t="str">
        <f ca="1">IFERROR(MOD(AN88,AN90),"")</f>
        <v/>
      </c>
      <c r="AP91" s="245"/>
      <c r="AQ91" s="246" t="str">
        <f ca="1">IF(AN85&lt;&gt;"",AR87+AR88,"")</f>
        <v/>
      </c>
      <c r="AR91" s="245"/>
      <c r="AU91" s="244" t="str">
        <f ca="1">IF(AV88&lt;&gt;"",
IFERROR(INT(AV88/AV90),""),"")</f>
        <v/>
      </c>
      <c r="AV91" s="245"/>
      <c r="AW91" s="244" t="str">
        <f ca="1">IFERROR(MOD(AV88,AV90),"")</f>
        <v/>
      </c>
      <c r="AX91" s="245"/>
      <c r="AY91" s="246" t="str">
        <f ca="1">IF(AV85&lt;&gt;"",AZ87+AZ88,"")</f>
        <v/>
      </c>
      <c r="AZ91" s="245"/>
      <c r="BB91" s="244" t="str">
        <f ca="1">IF(BC88&lt;&gt;"",
IFERROR(INT(BC88/BC90),""),"")</f>
        <v/>
      </c>
      <c r="BC91" s="245"/>
      <c r="BD91" s="244" t="str">
        <f ca="1">IFERROR(MOD(BC88,BC90),"")</f>
        <v/>
      </c>
      <c r="BE91" s="245"/>
      <c r="BF91" s="246" t="str">
        <f ca="1">IF(BC85&lt;&gt;"",BG87+BG88,"")</f>
        <v/>
      </c>
      <c r="BG91" s="245"/>
      <c r="BJ91" s="244" t="str">
        <f ca="1">IF(BK88&lt;&gt;"",
IFERROR(INT(BK88/BK90),""),"")</f>
        <v/>
      </c>
      <c r="BK91" s="245"/>
      <c r="BL91" s="244" t="str">
        <f ca="1">IFERROR(MOD(BK88,BK90),"")</f>
        <v/>
      </c>
      <c r="BM91" s="245"/>
      <c r="BN91" s="246" t="str">
        <f ca="1">IF(BK85&lt;&gt;"",BO87+BO88,"")</f>
        <v/>
      </c>
      <c r="BO91" s="245"/>
      <c r="BQ91" s="244" t="str">
        <f ca="1">IF(BR88&lt;&gt;"",
IFERROR(INT(BR88/BR90),""),"")</f>
        <v/>
      </c>
      <c r="BR91" s="245"/>
      <c r="BS91" s="244" t="str">
        <f ca="1">IFERROR(MOD(BR88,BR90),"")</f>
        <v/>
      </c>
      <c r="BT91" s="245"/>
      <c r="BU91" s="246" t="str">
        <f ca="1">IF(BR85&lt;&gt;"",BV87+BV88,"")</f>
        <v/>
      </c>
      <c r="BV91" s="245"/>
      <c r="BY91" s="244" t="str">
        <f ca="1">IF(BZ88&lt;&gt;"",
IFERROR(INT(BZ88/BZ90),""),"")</f>
        <v/>
      </c>
      <c r="BZ91" s="245"/>
      <c r="CA91" s="244" t="str">
        <f ca="1">IFERROR(MOD(BZ88,BZ90),"")</f>
        <v/>
      </c>
      <c r="CB91" s="245"/>
      <c r="CC91" s="246" t="str">
        <f ca="1">IF(BZ85&lt;&gt;"",CD87+CD88,"")</f>
        <v/>
      </c>
      <c r="CD91" s="245"/>
      <c r="CF91" s="244" t="str">
        <f ca="1">IF(CG88&lt;&gt;"",
IFERROR(INT(CG88/CG90),""),"")</f>
        <v/>
      </c>
      <c r="CG91" s="245"/>
      <c r="CH91" s="244" t="str">
        <f ca="1">IFERROR(MOD(CG88,CG90),"")</f>
        <v/>
      </c>
      <c r="CI91" s="245"/>
      <c r="CJ91" s="246" t="str">
        <f ca="1">IF(CG85&lt;&gt;"",CK87+CK88,"")</f>
        <v/>
      </c>
      <c r="CK91" s="245"/>
      <c r="CN91" s="244" t="str">
        <f ca="1">IF(CO88&lt;&gt;"",
IFERROR(INT(CO88/CO90),""),"")</f>
        <v/>
      </c>
      <c r="CO91" s="245"/>
      <c r="CP91" s="244" t="str">
        <f ca="1">IFERROR(MOD(CO88,CO90),"")</f>
        <v/>
      </c>
      <c r="CQ91" s="245"/>
      <c r="CR91" s="246" t="str">
        <f ca="1">IF(CO85&lt;&gt;"",CS87+CS88,"")</f>
        <v/>
      </c>
      <c r="CS91" s="245"/>
      <c r="CU91" s="244" t="str">
        <f ca="1">IF(CV88&lt;&gt;"",
IFERROR(INT(CV88/CV90),""),"")</f>
        <v/>
      </c>
      <c r="CV91" s="245"/>
      <c r="CW91" s="244" t="str">
        <f ca="1">IFERROR(MOD(CV88,CV90),"")</f>
        <v/>
      </c>
      <c r="CX91" s="245"/>
      <c r="CY91" s="246" t="str">
        <f ca="1">IF(CV85&lt;&gt;"",CZ87+CZ88,"")</f>
        <v/>
      </c>
      <c r="CZ91" s="245"/>
      <c r="DC91" s="244" t="str">
        <f ca="1">IF(DD88&lt;&gt;"",
IFERROR(INT(DD88/DD90),""),"")</f>
        <v/>
      </c>
      <c r="DD91" s="245"/>
      <c r="DE91" s="244" t="str">
        <f ca="1">IFERROR(MOD(DD88,DD90),"")</f>
        <v/>
      </c>
      <c r="DF91" s="245"/>
      <c r="DG91" s="246" t="str">
        <f ca="1">IF(DD85&lt;&gt;"",DH87+DH88,"")</f>
        <v/>
      </c>
      <c r="DH91" s="245"/>
      <c r="DJ91" s="244" t="str">
        <f ca="1">IF(DK88&lt;&gt;"",
IFERROR(INT(DK88/DK90),""),"")</f>
        <v/>
      </c>
      <c r="DK91" s="245"/>
      <c r="DL91" s="244" t="str">
        <f ca="1">IFERROR(MOD(DK88,DK90),"")</f>
        <v/>
      </c>
      <c r="DM91" s="245"/>
      <c r="DN91" s="246" t="str">
        <f ca="1">IF(DK85&lt;&gt;"",DO87+DO88,"")</f>
        <v/>
      </c>
      <c r="DO91" s="245"/>
      <c r="DR91" s="244" t="str">
        <f ca="1">IF(DS88&lt;&gt;"",
IFERROR(INT(DS88/DS90),""),"")</f>
        <v/>
      </c>
      <c r="DS91" s="245"/>
      <c r="DT91" s="244" t="str">
        <f ca="1">IFERROR(MOD(DS88,DS90),"")</f>
        <v/>
      </c>
      <c r="DU91" s="245"/>
      <c r="DV91" s="246" t="str">
        <f ca="1">IF(DS85&lt;&gt;"",DW87+DW88,"")</f>
        <v/>
      </c>
      <c r="DW91" s="245"/>
      <c r="DY91" s="244" t="str">
        <f ca="1">IF(DZ88&lt;&gt;"",
IFERROR(INT(DZ88/DZ90),""),"")</f>
        <v/>
      </c>
      <c r="DZ91" s="245"/>
      <c r="EA91" s="244" t="str">
        <f ca="1">IFERROR(MOD(DZ88,DZ90),"")</f>
        <v/>
      </c>
      <c r="EB91" s="245"/>
      <c r="EC91" s="246" t="str">
        <f ca="1">IF(DZ85&lt;&gt;"",ED87+ED88,"")</f>
        <v/>
      </c>
      <c r="ED91" s="245"/>
      <c r="EG91" s="244" t="str">
        <f ca="1">IF(EH88&lt;&gt;"",
IFERROR(INT(EH88/EH90),""),"")</f>
        <v/>
      </c>
      <c r="EH91" s="245"/>
      <c r="EI91" s="244" t="str">
        <f ca="1">IFERROR(MOD(EH88,EH90),"")</f>
        <v/>
      </c>
      <c r="EJ91" s="245"/>
      <c r="EK91" s="246" t="str">
        <f ca="1">IF(EH85&lt;&gt;"",EL87+EL88,"")</f>
        <v/>
      </c>
      <c r="EL91" s="245"/>
      <c r="EN91" s="244" t="str">
        <f ca="1">IF(EO88&lt;&gt;"",
IFERROR(INT(EO88/EO90),""),"")</f>
        <v/>
      </c>
      <c r="EO91" s="245"/>
      <c r="EP91" s="244" t="str">
        <f ca="1">IFERROR(MOD(EO88,EO90),"")</f>
        <v/>
      </c>
      <c r="EQ91" s="245"/>
      <c r="ER91" s="246" t="str">
        <f ca="1">IF(EO85&lt;&gt;"",ES87+ES88,"")</f>
        <v/>
      </c>
      <c r="ES91" s="245"/>
      <c r="EU91" s="78">
        <f t="shared" si="8"/>
        <v>21</v>
      </c>
      <c r="EV91" s="78" t="str">
        <f t="array" aca="1" ref="EV9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LEN(SUBSTITUTE(_xlfn.FORMULATEXT(EV$73),"=","")))+$EU91)</f>
        <v/>
      </c>
      <c r="EW91" s="78" t="str">
        <f t="array" aca="1" ref="EW9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LEN(SUBSTITUTE(_xlfn.FORMULATEXT(EW$73),"=","")))+$EU91)</f>
        <v/>
      </c>
      <c r="EX91" s="78" t="str">
        <f t="array" aca="1" ref="EX9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LEN(SUBSTITUTE(_xlfn.FORMULATEXT(EX$73),"=","")))+$EU91)</f>
        <v/>
      </c>
      <c r="EY91" s="78" t="str">
        <f t="array" aca="1" ref="EY9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LEN(SUBSTITUTE(_xlfn.FORMULATEXT(EY$73),"=","")))+$EU91)</f>
        <v/>
      </c>
      <c r="EZ91" s="78" t="str">
        <f t="array" aca="1" ref="EZ9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LEN(SUBSTITUTE(_xlfn.FORMULATEXT(EZ$73),"=","")))+$EU91)</f>
        <v/>
      </c>
      <c r="FA91" s="78" t="e">
        <f t="array" aca="1" ref="FA9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LEN(SUBSTITUTE(_xlfn.FORMULATEXT(FA$73),"=","")))+$EU91)</f>
        <v>#VALUE!</v>
      </c>
      <c r="FB91" s="78" t="e">
        <f t="array" aca="1" ref="FB9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LEN(SUBSTITUTE(_xlfn.FORMULATEXT(FB$73),"=","")))+$EU91)</f>
        <v>#VALUE!</v>
      </c>
      <c r="FC91" s="78" t="str">
        <f t="array" aca="1" ref="FC9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LEN(SUBSTITUTE(_xlfn.FORMULATEXT(FC$73),"=","")))+$EU91)</f>
        <v/>
      </c>
      <c r="FD91" s="78" t="e">
        <f t="array" aca="1" ref="FD9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LEN(SUBSTITUTE(_xlfn.FORMULATEXT(FD$73),"=","")))+$EU91)</f>
        <v>#VALUE!</v>
      </c>
      <c r="FE91" s="78" t="str">
        <f t="array" aca="1" ref="FE9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LEN(SUBSTITUTE(_xlfn.FORMULATEXT(FE$73),"=","")))+$EU91)</f>
        <v/>
      </c>
      <c r="FF91" s="78" t="e">
        <f t="array" aca="1" ref="FF9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LEN(SUBSTITUTE(_xlfn.FORMULATEXT(FF$73),"=","")))+$EU91)</f>
        <v>#VALUE!</v>
      </c>
      <c r="FG91" s="78">
        <f t="shared" ca="1" si="7"/>
        <v>0</v>
      </c>
      <c r="FH91" s="78" t="e">
        <f t="array" aca="1" ref="FH91" ca="1">SUMPRODUCT((LEN(EV91:FF91)&gt;0)*1)&gt;0</f>
        <v>#VALUE!</v>
      </c>
      <c r="FI91" s="78" t="str">
        <f t="array" aca="1" ref="FI91" ca="1">IFERROR(SMALL(IF(FG$1:FG$228&lt;&gt;0,FG$1:FG$228),ROW(A91)),"")</f>
        <v/>
      </c>
      <c r="FJ91" s="78" t="str">
        <f t="array" aca="1" ref="FJ91" ca="1">IF($FI91&lt;&gt;"",
INDIRECT(""&amp;IF(COLUMN(EV136)&lt;=26,CHAR(COLUMN(EV136)+64),CHAR(INT((COLUMN(EV136)-1)/26)+64)&amp;CHAR(MOD(COLUMN(EV136)-1,26)+65))&amp;$FI91&amp;""),"")</f>
        <v/>
      </c>
      <c r="FK91" s="78" t="str">
        <f t="array" aca="1" ref="FK91" ca="1">IF($FI91&lt;&gt;"",
INDIRECT(""&amp;IF(COLUMN(EW136)&lt;=26,CHAR(COLUMN(EW136)+64),CHAR(INT((COLUMN(EW136)-1)/26)+64)&amp;CHAR(MOD(COLUMN(EW136)-1,26)+65))&amp;$FI91&amp;""),"")</f>
        <v/>
      </c>
      <c r="FL91" s="78" t="str">
        <f t="array" aca="1" ref="FL91" ca="1">IF($FI91&lt;&gt;"",
INDIRECT(""&amp;IF(COLUMN(EX136)&lt;=26,CHAR(COLUMN(EX136)+64),CHAR(INT((COLUMN(EX136)-1)/26)+64)&amp;CHAR(MOD(COLUMN(EX136)-1,26)+65))&amp;$FI91&amp;""),"")</f>
        <v/>
      </c>
      <c r="FM91" s="78" t="str">
        <f t="array" aca="1" ref="FM91" ca="1">IF($FI91&lt;&gt;"",
IF(FL91="",
IF(INDIRECT("EY"&amp;$FI91&amp;"")&lt;&gt;"",
INDIRECT("EY"&amp;$FI91&amp;"")&amp;"箱"
&amp;INDIRECT("EZ"&amp;$FI91&amp;""),""),""),"")</f>
        <v/>
      </c>
      <c r="FN91" s="78" t="str">
        <f t="array" aca="1" ref="FN91" ca="1">IF($FI91&lt;&gt;"",
INDIRECT(""&amp;IF(COLUMN(FA136)&lt;=26,CHAR(COLUMN(FA136)+64),CHAR(INT((COLUMN(FA136)-1)/26)+64)&amp;CHAR(MOD(COLUMN(FA136)-1,26)+65))&amp;$FI91&amp;""),"")</f>
        <v/>
      </c>
      <c r="FO91" s="78" t="str">
        <f t="array" aca="1" ref="FO91" ca="1">IF($FI91&lt;&gt;"",
INDIRECT(""&amp;IF(COLUMN(FB136)&lt;=26,CHAR(COLUMN(FB136)+64),CHAR(INT((COLUMN(FB136)-1)/26)+64)&amp;CHAR(MOD(COLUMN(FB136)-1,26)+65))&amp;$FI91&amp;""),"")</f>
        <v/>
      </c>
      <c r="FP91" s="78" t="str">
        <f t="array" aca="1" ref="FP91" ca="1">IF($FI91&lt;&gt;"",
INDIRECT(""&amp;IF(COLUMN(FC136)&lt;=26,CHAR(COLUMN(FC136)+64),CHAR(INT((COLUMN(FC136)-1)/26)+64)&amp;CHAR(MOD(COLUMN(FC136)-1,26)+65))&amp;$FI91&amp;""),"")</f>
        <v/>
      </c>
      <c r="FQ91" s="78" t="str">
        <f t="array" aca="1" ref="FQ91" ca="1">IF($FI91&lt;&gt;"",
INDIRECT(""&amp;IF(COLUMN(FD136)&lt;=26,CHAR(COLUMN(FD136)+64),CHAR(INT((COLUMN(FD136)-1)/26)+64)&amp;CHAR(MOD(COLUMN(FD136)-1,26)+65))&amp;$FI91&amp;""),"")</f>
        <v/>
      </c>
      <c r="FR91" s="78" t="str">
        <f t="array" aca="1" ref="FR91" ca="1">IF($FI91&lt;&gt;"",
INDIRECT(""&amp;IF(COLUMN(FE136)&lt;=26,CHAR(COLUMN(FE136)+64),CHAR(INT((COLUMN(FE136)-1)/26)+64)&amp;CHAR(MOD(COLUMN(FE136)-1,26)+65))&amp;$FI91&amp;""),"")</f>
        <v/>
      </c>
      <c r="FS91" s="78" t="str">
        <f t="array" aca="1" ref="FS91" ca="1">IF($FI91&lt;&gt;"",
INDIRECT(""&amp;IF(COLUMN(FF136)&lt;=26,CHAR(COLUMN(FF136)+64),CHAR(INT((COLUMN(FF136)-1)/26)+64)&amp;CHAR(MOD(COLUMN(FF136)-1,26)+65))&amp;$FI91&amp;""),"")</f>
        <v/>
      </c>
    </row>
    <row r="92" spans="1:175" ht="22.2" customHeight="1" x14ac:dyDescent="0.55000000000000004">
      <c r="B92" s="77" t="str" cm="1">
        <f t="array" aca="1" ref="B92" ca="1">IF(COUNTIF(G8,"*合計*"),"",
IFERROR(
SUBSTITUTE(ADDRESS(1,
COLUMN(INDIRECT("数出表_Excel!B" &amp; (MATCH(G8,数出表_Excel!$A:$A,0)-1))) - 1 +
MATCH(TRUE, ISNUMBER(--INDIRECT("数出表_Excel!"&amp;B50&amp; (MATCH(G8,数出表_Excel!$A:$A,0)-1) &amp; ":U" &amp; (MATCH(G8,数出表_Excel!$A:$A,0)-1))), 0)
+MATCH(TRUE, ISNUMBER(--INDIRECT("数出表_Excel!B" &amp; (MATCH(G8,数出表_Excel!$A:$A,0)-1) &amp; ":U" &amp; (MATCH(G8,数出表_Excel!$A:$A,0)-1))), 0)+1,4),"1",""),
""))</f>
        <v/>
      </c>
      <c r="C92" s="247" t="str">
        <f ca="1">IF(C95&lt;&gt;"",C8,"")</f>
        <v/>
      </c>
      <c r="D92" s="248"/>
      <c r="E92" s="248"/>
      <c r="F92" s="248"/>
      <c r="G92" s="231" t="str">
        <f>SUBSTITUTE(ADDRESS(1,
COLUMN(),1),"1","")</f>
        <v>$G$</v>
      </c>
      <c r="H92" s="76"/>
      <c r="I92" s="77" t="str" cm="1">
        <f t="array" aca="1" ref="I92" ca="1">IF(COUNTIF(N8,"*合計*"),"",
IFERROR(
SUBSTITUTE(ADDRESS(1,
COLUMN(INDIRECT("数出表_Excel!B" &amp; (MATCH(N8,数出表_Excel!$A:$A,0)-1))) - 1 +
MATCH(TRUE, ISNUMBER(--INDIRECT("数出表_Excel!"&amp;I50&amp; (MATCH(N8,数出表_Excel!$A:$A,0)-1) &amp; ":U" &amp; (MATCH(N8,数出表_Excel!$A:$A,0)-1))), 0)
+MATCH(TRUE, ISNUMBER(--INDIRECT("数出表_Excel!B" &amp; (MATCH(N8,数出表_Excel!$A:$A,0)-1) &amp; ":U" &amp; (MATCH(N8,数出表_Excel!$A:$A,0)-1))), 0)+1,4),"1",""),
""))</f>
        <v/>
      </c>
      <c r="J92" s="247" t="str">
        <f ca="1">IF(J95&lt;&gt;"",J8,"")</f>
        <v/>
      </c>
      <c r="K92" s="248"/>
      <c r="L92" s="248"/>
      <c r="M92" s="248"/>
      <c r="N92" s="231" t="str">
        <f>SUBSTITUTE(ADDRESS(1,
COLUMN(),1),"1","")</f>
        <v>$N$</v>
      </c>
      <c r="Q92" s="77" t="str" cm="1">
        <f t="array" aca="1" ref="Q92" ca="1">IF(COUNTIF(V8,"*合計*"),"",
IFERROR(
SUBSTITUTE(ADDRESS(1,
COLUMN(INDIRECT("数出表_Excel!B" &amp; (MATCH(V8,数出表_Excel!$A:$A,0)-1))) - 1 +
MATCH(TRUE, ISNUMBER(--INDIRECT("数出表_Excel!"&amp;Q50&amp; (MATCH(V8,数出表_Excel!$A:$A,0)-1) &amp; ":U" &amp; (MATCH(V8,数出表_Excel!$A:$A,0)-1))), 0)
+MATCH(TRUE, ISNUMBER(--INDIRECT("数出表_Excel!B" &amp; (MATCH(V8,数出表_Excel!$A:$A,0)-1) &amp; ":U" &amp; (MATCH(V8,数出表_Excel!$A:$A,0)-1))), 0)+1,4),"1",""),
""))</f>
        <v/>
      </c>
      <c r="R92" s="247" t="str">
        <f ca="1">IF(R95&lt;&gt;"",R8,"")</f>
        <v/>
      </c>
      <c r="S92" s="248"/>
      <c r="T92" s="248"/>
      <c r="U92" s="248"/>
      <c r="V92" s="231" t="str">
        <f>SUBSTITUTE(ADDRESS(1,
COLUMN(),1),"1","")</f>
        <v>$V$</v>
      </c>
      <c r="W92" s="76"/>
      <c r="X92" s="77" t="str" cm="1">
        <f t="array" aca="1" ref="X92" ca="1">IF(COUNTIF(AC8,"*合計*"),"",
IFERROR(
SUBSTITUTE(ADDRESS(1,
COLUMN(INDIRECT("数出表_Excel!B" &amp; (MATCH(AC8,数出表_Excel!$A:$A,0)-1))) - 1 +
MATCH(TRUE, ISNUMBER(--INDIRECT("数出表_Excel!"&amp;X50&amp; (MATCH(AC8,数出表_Excel!$A:$A,0)-1) &amp; ":U" &amp; (MATCH(AC8,数出表_Excel!$A:$A,0)-1))), 0)
+MATCH(TRUE, ISNUMBER(--INDIRECT("数出表_Excel!B" &amp; (MATCH(AC8,数出表_Excel!$A:$A,0)-1) &amp; ":U" &amp; (MATCH(AC8,数出表_Excel!$A:$A,0)-1))), 0)+1,4),"1",""),
""))</f>
        <v/>
      </c>
      <c r="Y92" s="247" t="str">
        <f ca="1">IF(Y95&lt;&gt;"",Y8,"")</f>
        <v/>
      </c>
      <c r="Z92" s="248"/>
      <c r="AA92" s="248"/>
      <c r="AB92" s="248"/>
      <c r="AC92" s="231" t="str">
        <f>SUBSTITUTE(ADDRESS(1,
COLUMN(),1),"1","")</f>
        <v>$AC$</v>
      </c>
      <c r="AF92" s="77" t="str" cm="1">
        <f t="array" aca="1" ref="AF92" ca="1">IF(COUNTIF(AK8,"*合計*"),"",
IFERROR(
SUBSTITUTE(ADDRESS(1,
COLUMN(INDIRECT("数出表_Excel!B" &amp; (MATCH(AK8,数出表_Excel!$A:$A,0)-1))) - 1 +
MATCH(TRUE, ISNUMBER(--INDIRECT("数出表_Excel!"&amp;AF50&amp; (MATCH(AK8,数出表_Excel!$A:$A,0)-1) &amp; ":U" &amp; (MATCH(AK8,数出表_Excel!$A:$A,0)-1))), 0)
+MATCH(TRUE, ISNUMBER(--INDIRECT("数出表_Excel!B" &amp; (MATCH(AK8,数出表_Excel!$A:$A,0)-1) &amp; ":U" &amp; (MATCH(AK8,数出表_Excel!$A:$A,0)-1))), 0)+1,4),"1",""),
""))</f>
        <v/>
      </c>
      <c r="AG92" s="247" t="str">
        <f ca="1">IF(AG95&lt;&gt;"",AG8,"")</f>
        <v/>
      </c>
      <c r="AH92" s="248"/>
      <c r="AI92" s="248"/>
      <c r="AJ92" s="248"/>
      <c r="AK92" s="231" t="str">
        <f>SUBSTITUTE(ADDRESS(1,
COLUMN(),1),"1","")</f>
        <v>$AK$</v>
      </c>
      <c r="AL92" s="76"/>
      <c r="AM92" s="77" t="str" cm="1">
        <f t="array" aca="1" ref="AM92" ca="1">IF(COUNTIF(AR8,"*合計*"),"",
IFERROR(
SUBSTITUTE(ADDRESS(1,
COLUMN(INDIRECT("数出表_Excel!B" &amp; (MATCH(AR8,数出表_Excel!$A:$A,0)-1))) - 1 +
MATCH(TRUE, ISNUMBER(--INDIRECT("数出表_Excel!"&amp;AM50&amp; (MATCH(AR8,数出表_Excel!$A:$A,0)-1) &amp; ":U" &amp; (MATCH(AR8,数出表_Excel!$A:$A,0)-1))), 0)
+MATCH(TRUE, ISNUMBER(--INDIRECT("数出表_Excel!B" &amp; (MATCH(AR8,数出表_Excel!$A:$A,0)-1) &amp; ":U" &amp; (MATCH(AR8,数出表_Excel!$A:$A,0)-1))), 0)+1,4),"1",""),
""))</f>
        <v/>
      </c>
      <c r="AN92" s="247" t="str">
        <f ca="1">IF(AN95&lt;&gt;"",AN8,"")</f>
        <v/>
      </c>
      <c r="AO92" s="248"/>
      <c r="AP92" s="248"/>
      <c r="AQ92" s="248"/>
      <c r="AR92" s="231" t="str">
        <f>SUBSTITUTE(ADDRESS(1,
COLUMN(),1),"1","")</f>
        <v>$AR$</v>
      </c>
      <c r="AU92" s="77" t="str" cm="1">
        <f t="array" aca="1" ref="AU92" ca="1">IF(COUNTIF(AZ8,"*合計*"),"",
IFERROR(
SUBSTITUTE(ADDRESS(1,
COLUMN(INDIRECT("数出表_Excel!B" &amp; (MATCH(AZ8,数出表_Excel!$A:$A,0)-1))) - 1 +
MATCH(TRUE, ISNUMBER(--INDIRECT("数出表_Excel!"&amp;AU50&amp; (MATCH(AZ8,数出表_Excel!$A:$A,0)-1) &amp; ":U" &amp; (MATCH(AZ8,数出表_Excel!$A:$A,0)-1))), 0)
+MATCH(TRUE, ISNUMBER(--INDIRECT("数出表_Excel!B" &amp; (MATCH(AZ8,数出表_Excel!$A:$A,0)-1) &amp; ":U" &amp; (MATCH(AZ8,数出表_Excel!$A:$A,0)-1))), 0)+1,4),"1",""),
""))</f>
        <v/>
      </c>
      <c r="AV92" s="247" t="str">
        <f ca="1">IF(AV95&lt;&gt;"",AV8,"")</f>
        <v/>
      </c>
      <c r="AW92" s="248"/>
      <c r="AX92" s="248"/>
      <c r="AY92" s="248"/>
      <c r="AZ92" s="231" t="str">
        <f>SUBSTITUTE(ADDRESS(1,
COLUMN(),1),"1","")</f>
        <v>$AZ$</v>
      </c>
      <c r="BA92" s="76"/>
      <c r="BB92" s="77" t="str" cm="1">
        <f t="array" aca="1" ref="BB92" ca="1">IF(COUNTIF(BG8,"*合計*"),"",
IFERROR(
SUBSTITUTE(ADDRESS(1,
COLUMN(INDIRECT("数出表_Excel!B" &amp; (MATCH(BG8,数出表_Excel!$A:$A,0)-1))) - 1 +
MATCH(TRUE, ISNUMBER(--INDIRECT("数出表_Excel!"&amp;BB50&amp; (MATCH(BG8,数出表_Excel!$A:$A,0)-1) &amp; ":U" &amp; (MATCH(BG8,数出表_Excel!$A:$A,0)-1))), 0)
+MATCH(TRUE, ISNUMBER(--INDIRECT("数出表_Excel!B" &amp; (MATCH(BG8,数出表_Excel!$A:$A,0)-1) &amp; ":U" &amp; (MATCH(BG8,数出表_Excel!$A:$A,0)-1))), 0)+1,4),"1",""),
""))</f>
        <v/>
      </c>
      <c r="BC92" s="247" t="str">
        <f ca="1">IF(BC95&lt;&gt;"",BC8,"")</f>
        <v/>
      </c>
      <c r="BD92" s="248"/>
      <c r="BE92" s="248"/>
      <c r="BF92" s="248"/>
      <c r="BG92" s="231" t="str">
        <f>SUBSTITUTE(ADDRESS(1,
COLUMN(),1),"1","")</f>
        <v>$BG$</v>
      </c>
      <c r="BJ92" s="77" t="str" cm="1">
        <f t="array" aca="1" ref="BJ92" ca="1">IF(COUNTIF(BO8,"*合計*"),"",
IFERROR(
SUBSTITUTE(ADDRESS(1,
COLUMN(INDIRECT("数出表_Excel!B" &amp; (MATCH(BO8,数出表_Excel!$A:$A,0)-1))) - 1 +
MATCH(TRUE, ISNUMBER(--INDIRECT("数出表_Excel!"&amp;BJ50&amp; (MATCH(BO8,数出表_Excel!$A:$A,0)-1) &amp; ":U" &amp; (MATCH(BO8,数出表_Excel!$A:$A,0)-1))), 0)
+MATCH(TRUE, ISNUMBER(--INDIRECT("数出表_Excel!B" &amp; (MATCH(BO8,数出表_Excel!$A:$A,0)-1) &amp; ":U" &amp; (MATCH(BO8,数出表_Excel!$A:$A,0)-1))), 0)+1,4),"1",""),
""))</f>
        <v/>
      </c>
      <c r="BK92" s="247" t="str">
        <f ca="1">IF(BK95&lt;&gt;"",BK8,"")</f>
        <v/>
      </c>
      <c r="BL92" s="248"/>
      <c r="BM92" s="248"/>
      <c r="BN92" s="248"/>
      <c r="BO92" s="231" t="str">
        <f>SUBSTITUTE(ADDRESS(1,
COLUMN(),1),"1","")</f>
        <v>$BO$</v>
      </c>
      <c r="BP92" s="76"/>
      <c r="BQ92" s="77" t="str" cm="1">
        <f t="array" aca="1" ref="BQ92" ca="1">IF(COUNTIF(BV8,"*合計*"),"",
IFERROR(
SUBSTITUTE(ADDRESS(1,
COLUMN(INDIRECT("数出表_Excel!B" &amp; (MATCH(BV8,数出表_Excel!$A:$A,0)-1))) - 1 +
MATCH(TRUE, ISNUMBER(--INDIRECT("数出表_Excel!"&amp;BQ50&amp; (MATCH(BV8,数出表_Excel!$A:$A,0)-1) &amp; ":U" &amp; (MATCH(BV8,数出表_Excel!$A:$A,0)-1))), 0)
+MATCH(TRUE, ISNUMBER(--INDIRECT("数出表_Excel!B" &amp; (MATCH(BV8,数出表_Excel!$A:$A,0)-1) &amp; ":U" &amp; (MATCH(BV8,数出表_Excel!$A:$A,0)-1))), 0)+1,4),"1",""),
""))</f>
        <v/>
      </c>
      <c r="BR92" s="247" t="str">
        <f ca="1">IF(BR95&lt;&gt;"",BR8,"")</f>
        <v/>
      </c>
      <c r="BS92" s="248"/>
      <c r="BT92" s="248"/>
      <c r="BU92" s="248"/>
      <c r="BV92" s="231" t="str">
        <f>SUBSTITUTE(ADDRESS(1,
COLUMN(),1),"1","")</f>
        <v>$BV$</v>
      </c>
      <c r="BY92" s="77" t="str" cm="1">
        <f t="array" aca="1" ref="BY92" ca="1">IF(COUNTIF(CD8,"*合計*"),"",
IFERROR(
SUBSTITUTE(ADDRESS(1,
COLUMN(INDIRECT("数出表_Excel!B" &amp; (MATCH(CD8,数出表_Excel!$A:$A,0)-1))) - 1 +
MATCH(TRUE, ISNUMBER(--INDIRECT("数出表_Excel!"&amp;BY50&amp; (MATCH(CD8,数出表_Excel!$A:$A,0)-1) &amp; ":U" &amp; (MATCH(CD8,数出表_Excel!$A:$A,0)-1))), 0)
+MATCH(TRUE, ISNUMBER(--INDIRECT("数出表_Excel!B" &amp; (MATCH(CD8,数出表_Excel!$A:$A,0)-1) &amp; ":U" &amp; (MATCH(CD8,数出表_Excel!$A:$A,0)-1))), 0)+1,4),"1",""),
""))</f>
        <v/>
      </c>
      <c r="BZ92" s="247" t="str">
        <f ca="1">IF(BZ95&lt;&gt;"",BZ8,"")</f>
        <v/>
      </c>
      <c r="CA92" s="248"/>
      <c r="CB92" s="248"/>
      <c r="CC92" s="248"/>
      <c r="CD92" s="231" t="str">
        <f>SUBSTITUTE(ADDRESS(1,
COLUMN(),1),"1","")</f>
        <v>$CD$</v>
      </c>
      <c r="CE92" s="76"/>
      <c r="CF92" s="77" t="str" cm="1">
        <f t="array" aca="1" ref="CF92" ca="1">IF(COUNTIF(CK8,"*合計*"),"",
IFERROR(
SUBSTITUTE(ADDRESS(1,
COLUMN(INDIRECT("数出表_Excel!B" &amp; (MATCH(CK8,数出表_Excel!$A:$A,0)-1))) - 1 +
MATCH(TRUE, ISNUMBER(--INDIRECT("数出表_Excel!"&amp;CF50&amp; (MATCH(CK8,数出表_Excel!$A:$A,0)-1) &amp; ":U" &amp; (MATCH(CK8,数出表_Excel!$A:$A,0)-1))), 0)
+MATCH(TRUE, ISNUMBER(--INDIRECT("数出表_Excel!B" &amp; (MATCH(CK8,数出表_Excel!$A:$A,0)-1) &amp; ":U" &amp; (MATCH(CK8,数出表_Excel!$A:$A,0)-1))), 0)+1,4),"1",""),
""))</f>
        <v/>
      </c>
      <c r="CG92" s="247" t="str">
        <f ca="1">IF(CG95&lt;&gt;"",CG8,"")</f>
        <v/>
      </c>
      <c r="CH92" s="248"/>
      <c r="CI92" s="248"/>
      <c r="CJ92" s="248"/>
      <c r="CK92" s="231" t="str">
        <f>SUBSTITUTE(ADDRESS(1,
COLUMN(),1),"1","")</f>
        <v>$CK$</v>
      </c>
      <c r="CN92" s="77" t="str" cm="1">
        <f t="array" aca="1" ref="CN92" ca="1">IF(COUNTIF(CS8,"*合計*"),"",
IFERROR(
SUBSTITUTE(ADDRESS(1,
COLUMN(INDIRECT("数出表_Excel!B" &amp; (MATCH(CS8,数出表_Excel!$A:$A,0)-1))) - 1 +
MATCH(TRUE, ISNUMBER(--INDIRECT("数出表_Excel!"&amp;CN50&amp; (MATCH(CS8,数出表_Excel!$A:$A,0)-1) &amp; ":U" &amp; (MATCH(CS8,数出表_Excel!$A:$A,0)-1))), 0)
+MATCH(TRUE, ISNUMBER(--INDIRECT("数出表_Excel!B" &amp; (MATCH(CS8,数出表_Excel!$A:$A,0)-1) &amp; ":U" &amp; (MATCH(CS8,数出表_Excel!$A:$A,0)-1))), 0)+1,4),"1",""),
""))</f>
        <v/>
      </c>
      <c r="CO92" s="247" t="str">
        <f ca="1">IF(CO95&lt;&gt;"",CO8,"")</f>
        <v/>
      </c>
      <c r="CP92" s="248"/>
      <c r="CQ92" s="248"/>
      <c r="CR92" s="248"/>
      <c r="CS92" s="231" t="str">
        <f>SUBSTITUTE(ADDRESS(1,
COLUMN(),1),"1","")</f>
        <v>$CS$</v>
      </c>
      <c r="CT92" s="76"/>
      <c r="CU92" s="77" t="str" cm="1">
        <f t="array" aca="1" ref="CU92" ca="1">IF(COUNTIF(CZ8,"*合計*"),"",
IFERROR(
SUBSTITUTE(ADDRESS(1,
COLUMN(INDIRECT("数出表_Excel!B" &amp; (MATCH(CZ8,数出表_Excel!$A:$A,0)-1))) - 1 +
MATCH(TRUE, ISNUMBER(--INDIRECT("数出表_Excel!"&amp;CU50&amp; (MATCH(CZ8,数出表_Excel!$A:$A,0)-1) &amp; ":U" &amp; (MATCH(CZ8,数出表_Excel!$A:$A,0)-1))), 0)
+MATCH(TRUE, ISNUMBER(--INDIRECT("数出表_Excel!B" &amp; (MATCH(CZ8,数出表_Excel!$A:$A,0)-1) &amp; ":U" &amp; (MATCH(CZ8,数出表_Excel!$A:$A,0)-1))), 0)+1,4),"1",""),
""))</f>
        <v/>
      </c>
      <c r="CV92" s="247" t="str">
        <f ca="1">IF(CV95&lt;&gt;"",CV8,"")</f>
        <v/>
      </c>
      <c r="CW92" s="248"/>
      <c r="CX92" s="248"/>
      <c r="CY92" s="248"/>
      <c r="CZ92" s="231" t="str">
        <f>SUBSTITUTE(ADDRESS(1,
COLUMN(),1),"1","")</f>
        <v>$CZ$</v>
      </c>
      <c r="DC92" s="77" t="str" cm="1">
        <f t="array" aca="1" ref="DC92" ca="1">IF(COUNTIF(DH8,"*合計*"),"",
IFERROR(
SUBSTITUTE(ADDRESS(1,
COLUMN(INDIRECT("数出表_Excel!B" &amp; (MATCH(DH8,数出表_Excel!$A:$A,0)-1))) - 1 +
MATCH(TRUE, ISNUMBER(--INDIRECT("数出表_Excel!"&amp;DC50&amp; (MATCH(DH8,数出表_Excel!$A:$A,0)-1) &amp; ":U" &amp; (MATCH(DH8,数出表_Excel!$A:$A,0)-1))), 0)
+MATCH(TRUE, ISNUMBER(--INDIRECT("数出表_Excel!B" &amp; (MATCH(DH8,数出表_Excel!$A:$A,0)-1) &amp; ":U" &amp; (MATCH(DH8,数出表_Excel!$A:$A,0)-1))), 0)+1,4),"1",""),
""))</f>
        <v/>
      </c>
      <c r="DD92" s="247" t="str">
        <f ca="1">IF(DD95&lt;&gt;"",DD8,"")</f>
        <v/>
      </c>
      <c r="DE92" s="248"/>
      <c r="DF92" s="248"/>
      <c r="DG92" s="248"/>
      <c r="DH92" s="231" t="str">
        <f>SUBSTITUTE(ADDRESS(1,
COLUMN(),1),"1","")</f>
        <v>$DH$</v>
      </c>
      <c r="DI92" s="76"/>
      <c r="DJ92" s="77" t="str" cm="1">
        <f t="array" aca="1" ref="DJ92" ca="1">IF(COUNTIF(DO8,"*合計*"),"",
IFERROR(
SUBSTITUTE(ADDRESS(1,
COLUMN(INDIRECT("数出表_Excel!B" &amp; (MATCH(DO8,数出表_Excel!$A:$A,0)-1))) - 1 +
MATCH(TRUE, ISNUMBER(--INDIRECT("数出表_Excel!"&amp;DJ50&amp; (MATCH(DO8,数出表_Excel!$A:$A,0)-1) &amp; ":U" &amp; (MATCH(DO8,数出表_Excel!$A:$A,0)-1))), 0)
+MATCH(TRUE, ISNUMBER(--INDIRECT("数出表_Excel!B" &amp; (MATCH(DO8,数出表_Excel!$A:$A,0)-1) &amp; ":U" &amp; (MATCH(DO8,数出表_Excel!$A:$A,0)-1))), 0)+1,4),"1",""),
""))</f>
        <v/>
      </c>
      <c r="DK92" s="247" t="str">
        <f ca="1">IF(DK95&lt;&gt;"",DK8,"")</f>
        <v/>
      </c>
      <c r="DL92" s="248"/>
      <c r="DM92" s="248"/>
      <c r="DN92" s="248"/>
      <c r="DO92" s="231" t="str">
        <f>SUBSTITUTE(ADDRESS(1,
COLUMN(),1),"1","")</f>
        <v>$DO$</v>
      </c>
      <c r="DR92" s="77" t="str" cm="1">
        <f t="array" aca="1" ref="DR92" ca="1">IF(COUNTIF(DW8,"*合計*"),"",
IFERROR(
SUBSTITUTE(ADDRESS(1,
COLUMN(INDIRECT("数出表_Excel!B" &amp; (MATCH(DW8,数出表_Excel!$A:$A,0)-1))) - 1 +
MATCH(TRUE, ISNUMBER(--INDIRECT("数出表_Excel!"&amp;DR50&amp; (MATCH(DW8,数出表_Excel!$A:$A,0)-1) &amp; ":U" &amp; (MATCH(DW8,数出表_Excel!$A:$A,0)-1))), 0)
+MATCH(TRUE, ISNUMBER(--INDIRECT("数出表_Excel!B" &amp; (MATCH(DW8,数出表_Excel!$A:$A,0)-1) &amp; ":U" &amp; (MATCH(DW8,数出表_Excel!$A:$A,0)-1))), 0)+1,4),"1",""),
""))</f>
        <v/>
      </c>
      <c r="DS92" s="247" t="str">
        <f ca="1">IF(DS95&lt;&gt;"",DS8,"")</f>
        <v/>
      </c>
      <c r="DT92" s="248"/>
      <c r="DU92" s="248"/>
      <c r="DV92" s="248"/>
      <c r="DW92" s="231" t="str">
        <f>SUBSTITUTE(ADDRESS(1,
COLUMN(),1),"1","")</f>
        <v>$DW$</v>
      </c>
      <c r="DX92" s="76"/>
      <c r="DY92" s="77" t="str" cm="1">
        <f t="array" aca="1" ref="DY92" ca="1">IF(COUNTIF(ED8,"*合計*"),"",
IFERROR(
SUBSTITUTE(ADDRESS(1,
COLUMN(INDIRECT("数出表_Excel!B" &amp; (MATCH(ED8,数出表_Excel!$A:$A,0)-1))) - 1 +
MATCH(TRUE, ISNUMBER(--INDIRECT("数出表_Excel!"&amp;DY50&amp; (MATCH(ED8,数出表_Excel!$A:$A,0)-1) &amp; ":U" &amp; (MATCH(ED8,数出表_Excel!$A:$A,0)-1))), 0)
+MATCH(TRUE, ISNUMBER(--INDIRECT("数出表_Excel!B" &amp; (MATCH(ED8,数出表_Excel!$A:$A,0)-1) &amp; ":U" &amp; (MATCH(ED8,数出表_Excel!$A:$A,0)-1))), 0)+1,4),"1",""),
""))</f>
        <v/>
      </c>
      <c r="DZ92" s="247" t="str">
        <f ca="1">IF(DZ95&lt;&gt;"",DZ8,"")</f>
        <v/>
      </c>
      <c r="EA92" s="248"/>
      <c r="EB92" s="248"/>
      <c r="EC92" s="248"/>
      <c r="ED92" s="231" t="str">
        <f>SUBSTITUTE(ADDRESS(1,
COLUMN(),1),"1","")</f>
        <v>$ED$</v>
      </c>
      <c r="EG92" s="77" t="str" cm="1">
        <f t="array" aca="1" ref="EG92" ca="1">IF(COUNTIF(EL8,"*合計*"),"",
IFERROR(
SUBSTITUTE(ADDRESS(1,
COLUMN(INDIRECT("数出表_Excel!B" &amp; (MATCH(EL8,数出表_Excel!$A:$A,0)-1))) - 1 +
MATCH(TRUE, ISNUMBER(--INDIRECT("数出表_Excel!"&amp;EG50&amp; (MATCH(EL8,数出表_Excel!$A:$A,0)-1) &amp; ":U" &amp; (MATCH(EL8,数出表_Excel!$A:$A,0)-1))), 0)
+MATCH(TRUE, ISNUMBER(--INDIRECT("数出表_Excel!B" &amp; (MATCH(EL8,数出表_Excel!$A:$A,0)-1) &amp; ":U" &amp; (MATCH(EL8,数出表_Excel!$A:$A,0)-1))), 0)+1,4),"1",""),
""))</f>
        <v/>
      </c>
      <c r="EH92" s="247" t="str">
        <f ca="1">IF(EH95&lt;&gt;"",EH8,"")</f>
        <v/>
      </c>
      <c r="EI92" s="248"/>
      <c r="EJ92" s="248"/>
      <c r="EK92" s="248"/>
      <c r="EL92" s="231" t="str">
        <f>SUBSTITUTE(ADDRESS(1,
COLUMN(),1),"1","")</f>
        <v>$EL$</v>
      </c>
      <c r="EM92" s="76"/>
      <c r="EN92" s="77" t="str" cm="1">
        <f t="array" aca="1" ref="EN92" ca="1">IF(COUNTIF(ES8,"*合計*"),"",
IFERROR(
SUBSTITUTE(ADDRESS(1,
COLUMN(INDIRECT("数出表_Excel!B" &amp; (MATCH(ES8,数出表_Excel!$A:$A,0)-1))) - 1 +
MATCH(TRUE, ISNUMBER(--INDIRECT("数出表_Excel!"&amp;EN50&amp; (MATCH(ES8,数出表_Excel!$A:$A,0)-1) &amp; ":U" &amp; (MATCH(ES8,数出表_Excel!$A:$A,0)-1))), 0)
+MATCH(TRUE, ISNUMBER(--INDIRECT("数出表_Excel!B" &amp; (MATCH(ES8,数出表_Excel!$A:$A,0)-1) &amp; ":U" &amp; (MATCH(ES8,数出表_Excel!$A:$A,0)-1))), 0)+1,4),"1",""),
""))</f>
        <v/>
      </c>
      <c r="EO92" s="247" t="str">
        <f ca="1">IF(EO95&lt;&gt;"",EO8,"")</f>
        <v/>
      </c>
      <c r="EP92" s="248"/>
      <c r="EQ92" s="248"/>
      <c r="ER92" s="248"/>
      <c r="ES92" s="231" t="str">
        <f>SUBSTITUTE(ADDRESS(1,
COLUMN(),1),"1","")</f>
        <v>$ES$</v>
      </c>
      <c r="EU92" s="78">
        <f t="shared" si="8"/>
        <v>63</v>
      </c>
      <c r="EV92" s="78" t="str">
        <f t="array" aca="1" ref="EV9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LEN(SUBSTITUTE(_xlfn.FORMULATEXT(EV$73),"=","")))+$EU92)</f>
        <v/>
      </c>
      <c r="EW92" s="78" t="str">
        <f t="array" aca="1" ref="EW9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LEN(SUBSTITUTE(_xlfn.FORMULATEXT(EW$73),"=","")))+$EU92)</f>
        <v/>
      </c>
      <c r="EX92" s="78" t="str">
        <f t="array" aca="1" ref="EX9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LEN(SUBSTITUTE(_xlfn.FORMULATEXT(EX$73),"=","")))+$EU92)</f>
        <v/>
      </c>
      <c r="EY92" s="78" t="str">
        <f t="array" aca="1" ref="EY9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LEN(SUBSTITUTE(_xlfn.FORMULATEXT(EY$73),"=","")))+$EU92)</f>
        <v/>
      </c>
      <c r="EZ92" s="78" t="str">
        <f t="array" aca="1" ref="EZ9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LEN(SUBSTITUTE(_xlfn.FORMULATEXT(EZ$73),"=","")))+$EU92)</f>
        <v/>
      </c>
      <c r="FA92" s="78" t="str">
        <f t="array" aca="1" ref="FA9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LEN(SUBSTITUTE(_xlfn.FORMULATEXT(FA$73),"=","")))+$EU92)</f>
        <v/>
      </c>
      <c r="FB92" s="78" t="str">
        <f t="array" aca="1" ref="FB9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LEN(SUBSTITUTE(_xlfn.FORMULATEXT(FB$73),"=","")))+$EU92)</f>
        <v/>
      </c>
      <c r="FC92" s="78" t="str">
        <f t="array" aca="1" ref="FC9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LEN(SUBSTITUTE(_xlfn.FORMULATEXT(FC$73),"=","")))+$EU92)</f>
        <v/>
      </c>
      <c r="FD92" s="78" t="str">
        <f t="array" aca="1" ref="FD9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LEN(SUBSTITUTE(_xlfn.FORMULATEXT(FD$73),"=","")))+$EU92)</f>
        <v/>
      </c>
      <c r="FE92" s="78" t="str">
        <f t="array" aca="1" ref="FE9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LEN(SUBSTITUTE(_xlfn.FORMULATEXT(FE$73),"=","")))+$EU92)</f>
        <v/>
      </c>
      <c r="FF92" s="78" t="str">
        <f t="array" aca="1" ref="FF9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LEN(SUBSTITUTE(_xlfn.FORMULATEXT(FF$73),"=","")))+$EU92)</f>
        <v/>
      </c>
      <c r="FG92" s="78">
        <f t="shared" ca="1" si="7"/>
        <v>0</v>
      </c>
      <c r="FH92" s="78" t="b">
        <f t="array" aca="1" ref="FH92" ca="1">SUMPRODUCT((LEN(EV92:FF92)&gt;0)*1)&gt;0</f>
        <v>0</v>
      </c>
      <c r="FI92" s="78" t="str">
        <f t="array" aca="1" ref="FI92" ca="1">IFERROR(SMALL(IF(FG$1:FG$228&lt;&gt;0,FG$1:FG$228),ROW(A92)),"")</f>
        <v/>
      </c>
      <c r="FJ92" s="78" t="str">
        <f t="array" aca="1" ref="FJ92" ca="1">IF($FI92&lt;&gt;"",
INDIRECT(""&amp;IF(COLUMN(EV137)&lt;=26,CHAR(COLUMN(EV137)+64),CHAR(INT((COLUMN(EV137)-1)/26)+64)&amp;CHAR(MOD(COLUMN(EV137)-1,26)+65))&amp;$FI92&amp;""),"")</f>
        <v/>
      </c>
      <c r="FK92" s="78" t="str">
        <f t="array" aca="1" ref="FK92" ca="1">IF($FI92&lt;&gt;"",
INDIRECT(""&amp;IF(COLUMN(EW137)&lt;=26,CHAR(COLUMN(EW137)+64),CHAR(INT((COLUMN(EW137)-1)/26)+64)&amp;CHAR(MOD(COLUMN(EW137)-1,26)+65))&amp;$FI92&amp;""),"")</f>
        <v/>
      </c>
      <c r="FL92" s="78" t="str">
        <f t="array" aca="1" ref="FL92" ca="1">IF($FI92&lt;&gt;"",
INDIRECT(""&amp;IF(COLUMN(EX137)&lt;=26,CHAR(COLUMN(EX137)+64),CHAR(INT((COLUMN(EX137)-1)/26)+64)&amp;CHAR(MOD(COLUMN(EX137)-1,26)+65))&amp;$FI92&amp;""),"")</f>
        <v/>
      </c>
      <c r="FM92" s="78" t="str">
        <f t="array" aca="1" ref="FM92" ca="1">IF($FI92&lt;&gt;"",
IF(FL92="",
IF(INDIRECT("EY"&amp;$FI92&amp;"")&lt;&gt;"",
INDIRECT("EY"&amp;$FI92&amp;"")&amp;"箱"
&amp;INDIRECT("EZ"&amp;$FI92&amp;""),""),""),"")</f>
        <v/>
      </c>
      <c r="FN92" s="78" t="str">
        <f t="array" aca="1" ref="FN92" ca="1">IF($FI92&lt;&gt;"",
INDIRECT(""&amp;IF(COLUMN(FA137)&lt;=26,CHAR(COLUMN(FA137)+64),CHAR(INT((COLUMN(FA137)-1)/26)+64)&amp;CHAR(MOD(COLUMN(FA137)-1,26)+65))&amp;$FI92&amp;""),"")</f>
        <v/>
      </c>
      <c r="FO92" s="78" t="str">
        <f t="array" aca="1" ref="FO92" ca="1">IF($FI92&lt;&gt;"",
INDIRECT(""&amp;IF(COLUMN(FB137)&lt;=26,CHAR(COLUMN(FB137)+64),CHAR(INT((COLUMN(FB137)-1)/26)+64)&amp;CHAR(MOD(COLUMN(FB137)-1,26)+65))&amp;$FI92&amp;""),"")</f>
        <v/>
      </c>
      <c r="FP92" s="78" t="str">
        <f t="array" aca="1" ref="FP92" ca="1">IF($FI92&lt;&gt;"",
INDIRECT(""&amp;IF(COLUMN(FC137)&lt;=26,CHAR(COLUMN(FC137)+64),CHAR(INT((COLUMN(FC137)-1)/26)+64)&amp;CHAR(MOD(COLUMN(FC137)-1,26)+65))&amp;$FI92&amp;""),"")</f>
        <v/>
      </c>
      <c r="FQ92" s="78" t="str">
        <f t="array" aca="1" ref="FQ92" ca="1">IF($FI92&lt;&gt;"",
INDIRECT(""&amp;IF(COLUMN(FD137)&lt;=26,CHAR(COLUMN(FD137)+64),CHAR(INT((COLUMN(FD137)-1)/26)+64)&amp;CHAR(MOD(COLUMN(FD137)-1,26)+65))&amp;$FI92&amp;""),"")</f>
        <v/>
      </c>
      <c r="FR92" s="78" t="str">
        <f t="array" aca="1" ref="FR92" ca="1">IF($FI92&lt;&gt;"",
INDIRECT(""&amp;IF(COLUMN(FE137)&lt;=26,CHAR(COLUMN(FE137)+64),CHAR(INT((COLUMN(FE137)-1)/26)+64)&amp;CHAR(MOD(COLUMN(FE137)-1,26)+65))&amp;$FI92&amp;""),"")</f>
        <v/>
      </c>
      <c r="FS92" s="78" t="str">
        <f t="array" aca="1" ref="FS92" ca="1">IF($FI92&lt;&gt;"",
INDIRECT(""&amp;IF(COLUMN(FF137)&lt;=26,CHAR(COLUMN(FF137)+64),CHAR(INT((COLUMN(FF137)-1)/26)+64)&amp;CHAR(MOD(COLUMN(FF137)-1,26)+65))&amp;$FI92&amp;""),"")</f>
        <v/>
      </c>
    </row>
    <row r="93" spans="1:175" ht="22.2" customHeight="1" x14ac:dyDescent="0.55000000000000004">
      <c r="B93" s="81" t="e" cm="1">
        <f t="array" aca="1" ref="B93" ca="1">IF(B10&lt;&gt;100,
IF(C95&lt;&gt;"",MATCH(C95,INDIRECT("数出表_Excel!B"&amp;MATCH(G8,数出表_Excel!$A:$A,0)-1&amp;":U"&amp;MATCH(G8,数出表_Excel!$A:$A,0)-1&amp;""),0)+1,""),
IF(C95&lt;&gt;"",
MATCH(
IFERROR(
INDEX(INDIRECT("数出表_Excel!"&amp;B92&amp;MATCH(G8,数出表_Excel!$A:$A,0)-1&amp;":U"&amp;MATCH(G8,数出表_Excel!$A:$A,0)-1&amp;""),
 1,
 MATCH(TRUE, ISNUMBER(--INDIRECT("数出表_Excel!"&amp;B92&amp;MATCH(G8,数出表_Excel!$A:$A,0)-1&amp;":U"&amp;MATCH(G8,数出表_Excel!$A:$A,0)-1&amp;"")),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3" s="58" t="str" cm="1">
        <f t="array" aca="1" ref="C93" ca="1">IFERROR(IF(OR(
COUNTIF(INDIRECT("数出表_Excel!" &amp;
CHAR(MATCH(TRUE,
ISNUMBER(--INDIRECT("数出表_Excel!"&amp;B92&amp;MATCH(G8,数出表_Excel!$A:$A,0)-1&amp;":U"&amp;MATCH(G8,数出表_Excel!$A:$A,0)-1&amp;"")),0)
+MATCH(TRUE, ISNUMBER(--INDIRECT("数出表_Excel!B" &amp; (MATCH(G8,数出表_Excel!$A:$A,0)-1) &amp; ":U" &amp; (MATCH(G8,数出表_Excel!$A:$A,0)-1))), 0)
+MATCH(TRUE, ISNUMBER(--INDIRECT("数出表_Excel!"&amp;B50&amp; (MATCH(G8,数出表_Excel!$A:$A,0)-1) &amp; ":U" &amp; (MATCH(G8,数出表_Excel!$A:$A,0)-1))), 0)
+65) &amp; "3"),"*配膳*"),
COUNTIF(INDIRECT("数出表_Excel!" &amp;
CHAR(MATCH(TRUE,
ISNUMBER(--INDIRECT("数出表_Excel!"&amp;B92&amp;MATCH(G8,数出表_Excel!$A:$A,0)-1&amp;":U"&amp;MATCH(G8,数出表_Excel!$A:$A,0)-1&amp;"")),0)
+MATCH(TRUE, ISNUMBER(--INDIRECT("数出表_Excel!B" &amp; (MATCH(G8,数出表_Excel!$A:$A,0)-1) &amp; ":U" &amp; (MATCH(G8,数出表_Excel!$A:$A,0)-1))), 0)
+MATCH(TRUE, ISNUMBER(--INDIRECT("数出表_Excel!"&amp;B50&amp; (MATCH(G8,数出表_Excel!$A:$A,0)-1) &amp; ":U" &amp; (MATCH(G8,数出表_Excel!$A:$A,0)-1))), 0)
+65) &amp; "3"),"*カレー*"),
COUNTIF(C50,"*合計*")),"",
IF(IFERROR(INDIRECT("数出表_Excel!" &amp;
CHAR(MATCH(TRUE,
ISNUMBER(--INDIRECT("数出表_Excel!"&amp;B92&amp;MATCH(G8,数出表_Excel!$A:$A,0)-1&amp;":U"&amp;MATCH(G8,数出表_Excel!$A:$A,0)-1&amp;"")),0)
+MATCH(TRUE, ISNUMBER(--INDIRECT("数出表_Excel!B" &amp; (MATCH(G8,数出表_Excel!$A:$A,0)-1) &amp; ":U" &amp; (MATCH(G8,数出表_Excel!$A:$A,0)-1))), 0)
+MATCH(TRUE, ISNUMBER(--INDIRECT("数出表_Excel!"&amp;B50&amp; (MATCH(G8,数出表_Excel!$A:$A,0)-1) &amp; ":U" &amp; (MATCH(G8,数出表_Excel!$A:$A,0)-1))), 0)
+65) &amp; "3"),0)=0,"",
IFERROR(INDIRECT("数出表_Excel!" &amp;
CHAR(MATCH(TRUE,
ISNUMBER(--INDIRECT("数出表_Excel!"&amp;B92&amp;MATCH(G8,数出表_Excel!$A:$A,0)-1&amp;":U"&amp;MATCH(G8,数出表_Excel!$A:$A,0)-1&amp;"")),0)
+MATCH(TRUE, ISNUMBER(--INDIRECT("数出表_Excel!B" &amp; (MATCH(G8,数出表_Excel!$A:$A,0)-1) &amp; ":U" &amp; (MATCH(G8,数出表_Excel!$A:$A,0)-1))), 0)
+MATCH(TRUE, ISNUMBER(--INDIRECT("数出表_Excel!"&amp;B50&amp; (MATCH(G8,数出表_Excel!$A:$A,0)-1) &amp; ":U" &amp; (MATCH(G8,数出表_Excel!$A:$A,0)-1))), 0)
+65) &amp; "3"),""))),"")</f>
        <v/>
      </c>
      <c r="D93" s="76"/>
      <c r="E93" s="82" t="str" cm="1">
        <f t="array" aca="1" ref="E93" ca="1">IF(F93&lt;&gt;"","",
IF(COUNTIF(C92,"*雙葉*"),"",
IF(C92&lt;&gt;"",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+MATCH(TRUE,INDIRECT("'数出表_Excel'!"&amp;B92&amp;MATCH(G8,数出表_Excel!$A:$A,0)-1&amp;":AL"&amp;MATCH(G8,数出表_Excel!$A:$A,0)-1&amp;"")&lt;&gt;"",0))&gt;9,"",
IFERROR(
INDEX(INDIRECT("数出表_Excel!$"&amp;B92&amp;"4:$AL4"),
 1,
MATCH(TRUE,INDIRECT("'数出表_Excel'!"&amp;B92&amp;MATCH(G8,数出表_Excel!$A:$A,0)-1&amp;":AL"&amp;MATCH(G8,数出表_Excel!$A:$A,0)-1&amp;"")&lt;&gt;"",0)
),
 "")
&amp;IFERROR(
INDEX(INDIRECT("数出表_Excel!$"&amp;B92&amp;"5:$AL5"),
 1,
MATCH(TRUE,INDIRECT("'数出表_Excel'!"&amp;B92&amp;MATCH(G8,数出表_Excel!$A:$A,0)-1&amp;":AL"&amp;MATCH(G8,数出表_Excel!$A:$A,0)-1&amp;"")&lt;&gt;"",0)),
 "")),"")))</f>
        <v/>
      </c>
      <c r="F93" s="83" t="str" cm="1">
        <f t="array" aca="1" ref="F93" ca="1">IF(C93&lt;&gt;"",
IF(COUNTIF(C92,"*雙葉*"),
IF(ROUND(
IF(F98&lt;&gt;"",(C95-F98),C95)
/IF(COUNTIF(C93,"*キャラ*"),
VLOOKUP("*キャラ*",商品マスタ一覧!$D:$J,7,FALSE),
IF(COUNTIF(C93,"*赤*"),
VLOOKUP("*赤*",商品マスタ一覧!$D:$J,7,FALSE),
VLOOKUP(C93,商品マスタ一覧!$D:$J,7,FALSE))),0)&lt;=0,1,
ROUND(
IF(F98&lt;&gt;"",(C95-F98),C95)
/IF(COUNTIF(C93,"*キャラ*"),
VLOOKUP("*キャラ*",商品マスタ一覧!$D:$J,7,FALSE),
IF(COUNTIF(C93,"*赤*"),
VLOOKUP("*赤*",商品マスタ一覧!$D:$J,7,FALSE),
VLOOKUP(C93,商品マスタ一覧!$D:$J,7,FALSE))),0)),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IF(C93&lt;&gt;"",
IF(IF(COUNTIF(C93,"*キャラ*"),
VLOOKUP("*キャラ*",商品マスタ一覧!$D:$J,7,FALSE),
IF(COUNTIF(C93,"*赤*"),
VLOOKUP("*赤*",商品マスタ一覧!$D:$J,7,FALSE),
VLOOKUP(C93,商品マスタ一覧!$D:$J,7,FALSE)))=0,"",
IF(ROUND(
IF(F98&lt;&gt;"",(C95-F98),C95)
/IF(COUNTIF(C93,"*キャラ*"),
VLOOKUP("*キャラ*",商品マスタ一覧!$D:$J,7,FALSE),
IF(COUNTIF(C93,"*赤*"),
VLOOKUP("*赤*",商品マスタ一覧!$D:$J,7,FALSE),
VLOOKUP(C93,商品マスタ一覧!$D:$J,7,FALSE))),0)&lt;=0,1,
ROUND(
IF(F98&lt;&gt;"",(C95-F98),C95)
/IF(COUNTIF(C93,"*キャラ*"),
VLOOKUP("*キャラ*",商品マスタ一覧!$D:$J,7,FALSE),
IF(COUNTIF(C93,"*赤*"),
VLOOKUP("*赤*",商品マスタ一覧!$D:$J,7,FALSE),
VLOOKUP(C93,商品マスタ一覧!$D:$J,7,FALSE))),0))),""),"")),"")</f>
        <v/>
      </c>
      <c r="G93" s="92" t="str">
        <f ca="1">IF(F93&lt;&gt;"",IF(C95&lt;&gt;"",IF(VALUE(IF(F98&lt;&gt;"",C95-F98,C95))&gt;VALUE(IF(COUNTIF('盛付札（関数）'!C93,"*キャラ*"),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VLOOKUP('盛付札（関数）'!C93,商品マスタ一覧!$D:$J,7,FALSE)))*F93),
"+"&amp;IF(F98&lt;&gt;"",C95-F98,C95)-IF(COUNTIF('盛付札（関数）'!C93,"*キャラ*"),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VLOOKUP('盛付札（関数）'!C93,商品マスタ一覧!$D:$J,7,FALSE)))*F93,
IF(F98&lt;&gt;"",C95-F98,C95)-IF(COUNTIF('盛付札（関数）'!C93,"*キャラ*"),
VLOOKUP("*キャラ*",商品マスタ一覧!$D:$J,7,FALSE),
IF(COUNTIF('盛付札（関数）'!C93,"*赤*"),
VLOOKUP("*赤*",商品マスタ一覧!$D:$J,7,FALSE),
VLOOKUP('盛付札（関数）'!C93,商品マスタ一覧!$D:$J,7,FALSE)))*F93),""),"")</f>
        <v/>
      </c>
      <c r="H93" s="76"/>
      <c r="I93" s="81" t="e" cm="1">
        <f t="array" aca="1" ref="I93" ca="1">IF(I10&lt;&gt;100,
IF(J95&lt;&gt;"",MATCH(J95,INDIRECT("数出表_Excel!B"&amp;MATCH(N8,数出表_Excel!$A:$A,0)-1&amp;":U"&amp;MATCH(N8,数出表_Excel!$A:$A,0)-1&amp;""),0)+1,""),
IF(J95&lt;&gt;"",
MATCH(
IFERROR(
INDEX(INDIRECT("数出表_Excel!"&amp;I92&amp;MATCH(N8,数出表_Excel!$A:$A,0)-1&amp;":U"&amp;MATCH(N8,数出表_Excel!$A:$A,0)-1&amp;""),
 1,
 MATCH(TRUE, ISNUMBER(--INDIRECT("数出表_Excel!"&amp;I92&amp;MATCH(N8,数出表_Excel!$A:$A,0)-1&amp;":U"&amp;MATCH(N8,数出表_Excel!$A:$A,0)-1&amp;"")),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3" s="58" t="str" cm="1">
        <f t="array" aca="1" ref="J93" ca="1">IFERROR(IF(OR(
COUNTIF(INDIRECT("数出表_Excel!" &amp;
CHAR(MATCH(TRUE,
ISNUMBER(--INDIRECT("数出表_Excel!"&amp;I92&amp;MATCH(N8,数出表_Excel!$A:$A,0)-1&amp;":U"&amp;MATCH(N8,数出表_Excel!$A:$A,0)-1&amp;"")),0)
+MATCH(TRUE, ISNUMBER(--INDIRECT("数出表_Excel!B" &amp; (MATCH(N8,数出表_Excel!$A:$A,0)-1) &amp; ":U" &amp; (MATCH(N8,数出表_Excel!$A:$A,0)-1))), 0)
+MATCH(TRUE, ISNUMBER(--INDIRECT("数出表_Excel!"&amp;I50&amp; (MATCH(N8,数出表_Excel!$A:$A,0)-1) &amp; ":U" &amp; (MATCH(N8,数出表_Excel!$A:$A,0)-1))), 0)
+65) &amp; "3"),"*配膳*"),
COUNTIF(INDIRECT("数出表_Excel!" &amp;
CHAR(MATCH(TRUE,
ISNUMBER(--INDIRECT("数出表_Excel!"&amp;I92&amp;MATCH(N8,数出表_Excel!$A:$A,0)-1&amp;":U"&amp;MATCH(N8,数出表_Excel!$A:$A,0)-1&amp;"")),0)
+MATCH(TRUE, ISNUMBER(--INDIRECT("数出表_Excel!B" &amp; (MATCH(N8,数出表_Excel!$A:$A,0)-1) &amp; ":U" &amp; (MATCH(N8,数出表_Excel!$A:$A,0)-1))), 0)
+MATCH(TRUE, ISNUMBER(--INDIRECT("数出表_Excel!"&amp;I50&amp; (MATCH(N8,数出表_Excel!$A:$A,0)-1) &amp; ":U" &amp; (MATCH(N8,数出表_Excel!$A:$A,0)-1))), 0)
+65) &amp; "3"),"*カレー*"),
COUNTIF(J50,"*合計*")),"",
IF(IFERROR(INDIRECT("数出表_Excel!" &amp;
CHAR(MATCH(TRUE,
ISNUMBER(--INDIRECT("数出表_Excel!"&amp;I92&amp;MATCH(N8,数出表_Excel!$A:$A,0)-1&amp;":U"&amp;MATCH(N8,数出表_Excel!$A:$A,0)-1&amp;"")),0)
+MATCH(TRUE, ISNUMBER(--INDIRECT("数出表_Excel!B" &amp; (MATCH(N8,数出表_Excel!$A:$A,0)-1) &amp; ":U" &amp; (MATCH(N8,数出表_Excel!$A:$A,0)-1))), 0)
+MATCH(TRUE, ISNUMBER(--INDIRECT("数出表_Excel!"&amp;I50&amp; (MATCH(N8,数出表_Excel!$A:$A,0)-1) &amp; ":U" &amp; (MATCH(N8,数出表_Excel!$A:$A,0)-1))), 0)
+65) &amp; "3"),0)=0,"",
IFERROR(INDIRECT("数出表_Excel!" &amp;
CHAR(MATCH(TRUE,
ISNUMBER(--INDIRECT("数出表_Excel!"&amp;I92&amp;MATCH(N8,数出表_Excel!$A:$A,0)-1&amp;":U"&amp;MATCH(N8,数出表_Excel!$A:$A,0)-1&amp;"")),0)
+MATCH(TRUE, ISNUMBER(--INDIRECT("数出表_Excel!B" &amp; (MATCH(N8,数出表_Excel!$A:$A,0)-1) &amp; ":U" &amp; (MATCH(N8,数出表_Excel!$A:$A,0)-1))), 0)
+MATCH(TRUE, ISNUMBER(--INDIRECT("数出表_Excel!"&amp;I50&amp; (MATCH(N8,数出表_Excel!$A:$A,0)-1) &amp; ":U" &amp; (MATCH(N8,数出表_Excel!$A:$A,0)-1))), 0)
+65) &amp; "3"),""))),"")</f>
        <v/>
      </c>
      <c r="K93" s="76"/>
      <c r="L93" s="82" t="str" cm="1">
        <f t="array" aca="1" ref="L93" ca="1">IF(M93&lt;&gt;"","",
IF(COUNTIF(J92,"*雙葉*"),"",
IF(J92&lt;&gt;"",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+MATCH(TRUE,INDIRECT("'数出表_Excel'!"&amp;I92&amp;MATCH(N8,数出表_Excel!$A:$A,0)-1&amp;":AL"&amp;MATCH(N8,数出表_Excel!$A:$A,0)-1&amp;"")&lt;&gt;"",0))&gt;9,"",
IFERROR(
INDEX(INDIRECT("数出表_Excel!$"&amp;I92&amp;"4:$AL4"),
 1,
MATCH(TRUE,INDIRECT("'数出表_Excel'!"&amp;I92&amp;MATCH(N8,数出表_Excel!$A:$A,0)-1&amp;":AL"&amp;MATCH(N8,数出表_Excel!$A:$A,0)-1&amp;"")&lt;&gt;"",0)
),
 "")
&amp;IFERROR(
INDEX(INDIRECT("数出表_Excel!$"&amp;I92&amp;"5:$AL5"),
 1,
MATCH(TRUE,INDIRECT("'数出表_Excel'!"&amp;I92&amp;MATCH(N8,数出表_Excel!$A:$A,0)-1&amp;":AL"&amp;MATCH(N8,数出表_Excel!$A:$A,0)-1&amp;"")&lt;&gt;"",0)),
 "")),"")))</f>
        <v/>
      </c>
      <c r="M93" s="83" t="str" cm="1">
        <f t="array" aca="1" ref="M93" ca="1">IF(J93&lt;&gt;"",
IF(COUNTIF(J92,"*雙葉*"),
IF(ROUND(
IF(M98&lt;&gt;"",(J95-M98),J95)
/IF(COUNTIF(J93,"*キャラ*"),
VLOOKUP("*キャラ*",商品マスタ一覧!$D:$J,7,FALSE),
IF(COUNTIF(J93,"*赤*"),
VLOOKUP("*赤*",商品マスタ一覧!$D:$J,7,FALSE),
VLOOKUP(J93,商品マスタ一覧!$D:$J,7,FALSE))),0)&lt;=0,1,
ROUND(
IF(M98&lt;&gt;"",(J95-M98),J95)
/IF(COUNTIF(J93,"*キャラ*"),
VLOOKUP("*キャラ*",商品マスタ一覧!$D:$J,7,FALSE),
IF(COUNTIF(J93,"*赤*"),
VLOOKUP("*赤*",商品マスタ一覧!$D:$J,7,FALSE),
VLOOKUP(J93,商品マスタ一覧!$D:$J,7,FALSE))),0)),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IF(J93&lt;&gt;"",
IF(IF(COUNTIF(J93,"*キャラ*"),
VLOOKUP("*キャラ*",商品マスタ一覧!$D:$J,7,FALSE),
IF(COUNTIF(J93,"*赤*"),
VLOOKUP("*赤*",商品マスタ一覧!$D:$J,7,FALSE),
VLOOKUP(J93,商品マスタ一覧!$D:$J,7,FALSE)))=0,"",
IF(ROUND(
IF(M98&lt;&gt;"",(J95-M98),J95)
/IF(COUNTIF(J93,"*キャラ*"),
VLOOKUP("*キャラ*",商品マスタ一覧!$D:$J,7,FALSE),
IF(COUNTIF(J93,"*赤*"),
VLOOKUP("*赤*",商品マスタ一覧!$D:$J,7,FALSE),
VLOOKUP(J93,商品マスタ一覧!$D:$J,7,FALSE))),0)&lt;=0,1,
ROUND(
IF(M98&lt;&gt;"",(J95-M98),J95)
/IF(COUNTIF(J93,"*キャラ*"),
VLOOKUP("*キャラ*",商品マスタ一覧!$D:$J,7,FALSE),
IF(COUNTIF(J93,"*赤*"),
VLOOKUP("*赤*",商品マスタ一覧!$D:$J,7,FALSE),
VLOOKUP(J93,商品マスタ一覧!$D:$J,7,FALSE))),0))),""),"")),"")</f>
        <v/>
      </c>
      <c r="N93" s="92" t="str">
        <f ca="1">IF(M93&lt;&gt;"",IF(J95&lt;&gt;"",IF(VALUE(IF(M98&lt;&gt;"",J95-M98,J95))&gt;VALUE(IF(COUNTIF('盛付札（関数）'!J93,"*キャラ*"),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VLOOKUP('盛付札（関数）'!J93,商品マスタ一覧!$D:$J,7,FALSE)))*M93),
"+"&amp;IF(M98&lt;&gt;"",J95-M98,J95)-IF(COUNTIF('盛付札（関数）'!J93,"*キャラ*"),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VLOOKUP('盛付札（関数）'!J93,商品マスタ一覧!$D:$J,7,FALSE)))*M93,
IF(M98&lt;&gt;"",J95-M98,J95)-IF(COUNTIF('盛付札（関数）'!J93,"*キャラ*"),
VLOOKUP("*キャラ*",商品マスタ一覧!$D:$J,7,FALSE),
IF(COUNTIF('盛付札（関数）'!J93,"*赤*"),
VLOOKUP("*赤*",商品マスタ一覧!$D:$J,7,FALSE),
VLOOKUP('盛付札（関数）'!J93,商品マスタ一覧!$D:$J,7,FALSE)))*M93),""),"")</f>
        <v/>
      </c>
      <c r="Q93" s="81" t="e" cm="1">
        <f t="array" aca="1" ref="Q93" ca="1">IF(Q10&lt;&gt;100,
IF(R95&lt;&gt;"",MATCH(R95,INDIRECT("数出表_Excel!B"&amp;MATCH(V8,数出表_Excel!$A:$A,0)-1&amp;":U"&amp;MATCH(V8,数出表_Excel!$A:$A,0)-1&amp;""),0)+1,""),
IF(R95&lt;&gt;"",
MATCH(
IFERROR(
INDEX(INDIRECT("数出表_Excel!"&amp;Q92&amp;MATCH(V8,数出表_Excel!$A:$A,0)-1&amp;":U"&amp;MATCH(V8,数出表_Excel!$A:$A,0)-1&amp;""),
 1,
 MATCH(TRUE, ISNUMBER(--INDIRECT("数出表_Excel!"&amp;Q92&amp;MATCH(V8,数出表_Excel!$A:$A,0)-1&amp;":U"&amp;MATCH(V8,数出表_Excel!$A:$A,0)-1&amp;"")),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3" s="58" t="str" cm="1">
        <f t="array" aca="1" ref="R93" ca="1">IFERROR(IF(OR(
COUNTIF(INDIRECT("数出表_Excel!" &amp;
CHAR(MATCH(TRUE,
ISNUMBER(--INDIRECT("数出表_Excel!"&amp;Q92&amp;MATCH(V8,数出表_Excel!$A:$A,0)-1&amp;":U"&amp;MATCH(V8,数出表_Excel!$A:$A,0)-1&amp;"")),0)
+MATCH(TRUE, ISNUMBER(--INDIRECT("数出表_Excel!B" &amp; (MATCH(V8,数出表_Excel!$A:$A,0)-1) &amp; ":U" &amp; (MATCH(V8,数出表_Excel!$A:$A,0)-1))), 0)
+MATCH(TRUE, ISNUMBER(--INDIRECT("数出表_Excel!"&amp;Q50&amp; (MATCH(V8,数出表_Excel!$A:$A,0)-1) &amp; ":U" &amp; (MATCH(V8,数出表_Excel!$A:$A,0)-1))), 0)
+65) &amp; "3"),"*配膳*"),
COUNTIF(INDIRECT("数出表_Excel!" &amp;
CHAR(MATCH(TRUE,
ISNUMBER(--INDIRECT("数出表_Excel!"&amp;Q92&amp;MATCH(V8,数出表_Excel!$A:$A,0)-1&amp;":U"&amp;MATCH(V8,数出表_Excel!$A:$A,0)-1&amp;"")),0)
+MATCH(TRUE, ISNUMBER(--INDIRECT("数出表_Excel!B" &amp; (MATCH(V8,数出表_Excel!$A:$A,0)-1) &amp; ":U" &amp; (MATCH(V8,数出表_Excel!$A:$A,0)-1))), 0)
+MATCH(TRUE, ISNUMBER(--INDIRECT("数出表_Excel!"&amp;Q50&amp; (MATCH(V8,数出表_Excel!$A:$A,0)-1) &amp; ":U" &amp; (MATCH(V8,数出表_Excel!$A:$A,0)-1))), 0)
+65) &amp; "3"),"*カレー*"),
COUNTIF(R50,"*合計*")),"",
IF(IFERROR(INDIRECT("数出表_Excel!" &amp;
CHAR(MATCH(TRUE,
ISNUMBER(--INDIRECT("数出表_Excel!"&amp;Q92&amp;MATCH(V8,数出表_Excel!$A:$A,0)-1&amp;":U"&amp;MATCH(V8,数出表_Excel!$A:$A,0)-1&amp;"")),0)
+MATCH(TRUE, ISNUMBER(--INDIRECT("数出表_Excel!B" &amp; (MATCH(V8,数出表_Excel!$A:$A,0)-1) &amp; ":U" &amp; (MATCH(V8,数出表_Excel!$A:$A,0)-1))), 0)
+MATCH(TRUE, ISNUMBER(--INDIRECT("数出表_Excel!"&amp;Q50&amp; (MATCH(V8,数出表_Excel!$A:$A,0)-1) &amp; ":U" &amp; (MATCH(V8,数出表_Excel!$A:$A,0)-1))), 0)
+65) &amp; "3"),0)=0,"",
IFERROR(INDIRECT("数出表_Excel!" &amp;
CHAR(MATCH(TRUE,
ISNUMBER(--INDIRECT("数出表_Excel!"&amp;Q92&amp;MATCH(V8,数出表_Excel!$A:$A,0)-1&amp;":U"&amp;MATCH(V8,数出表_Excel!$A:$A,0)-1&amp;"")),0)
+MATCH(TRUE, ISNUMBER(--INDIRECT("数出表_Excel!B" &amp; (MATCH(V8,数出表_Excel!$A:$A,0)-1) &amp; ":U" &amp; (MATCH(V8,数出表_Excel!$A:$A,0)-1))), 0)
+MATCH(TRUE, ISNUMBER(--INDIRECT("数出表_Excel!"&amp;Q50&amp; (MATCH(V8,数出表_Excel!$A:$A,0)-1) &amp; ":U" &amp; (MATCH(V8,数出表_Excel!$A:$A,0)-1))), 0)
+65) &amp; "3"),""))),"")</f>
        <v/>
      </c>
      <c r="S93" s="76"/>
      <c r="T93" s="82" t="str" cm="1">
        <f t="array" aca="1" ref="T93" ca="1">IF(U93&lt;&gt;"","",
IF(COUNTIF(R92,"*雙葉*"),"",
IF(R92&lt;&gt;"",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+MATCH(TRUE,INDIRECT("'数出表_Excel'!"&amp;Q92&amp;MATCH(V8,数出表_Excel!$A:$A,0)-1&amp;":AL"&amp;MATCH(V8,数出表_Excel!$A:$A,0)-1&amp;"")&lt;&gt;"",0))&gt;9,"",
IFERROR(
INDEX(INDIRECT("数出表_Excel!$"&amp;Q92&amp;"4:$AL4"),
 1,
MATCH(TRUE,INDIRECT("'数出表_Excel'!"&amp;Q92&amp;MATCH(V8,数出表_Excel!$A:$A,0)-1&amp;":AL"&amp;MATCH(V8,数出表_Excel!$A:$A,0)-1&amp;"")&lt;&gt;"",0)
),
 "")
&amp;IFERROR(
INDEX(INDIRECT("数出表_Excel!$"&amp;Q92&amp;"5:$AL5"),
 1,
MATCH(TRUE,INDIRECT("'数出表_Excel'!"&amp;Q92&amp;MATCH(V8,数出表_Excel!$A:$A,0)-1&amp;":AL"&amp;MATCH(V8,数出表_Excel!$A:$A,0)-1&amp;"")&lt;&gt;"",0)),
 "")),"")))</f>
        <v/>
      </c>
      <c r="U93" s="83" t="str" cm="1">
        <f t="array" aca="1" ref="U93" ca="1">IF(R93&lt;&gt;"",
IF(COUNTIF(R92,"*雙葉*"),
IF(ROUND(
IF(U98&lt;&gt;"",(R95-U98),R95)
/IF(COUNTIF(R93,"*キャラ*"),
VLOOKUP("*キャラ*",商品マスタ一覧!$D:$J,7,FALSE),
IF(COUNTIF(R93,"*赤*"),
VLOOKUP("*赤*",商品マスタ一覧!$D:$J,7,FALSE),
VLOOKUP(R93,商品マスタ一覧!$D:$J,7,FALSE))),0)&lt;=0,1,
ROUND(
IF(U98&lt;&gt;"",(R95-U98),R95)
/IF(COUNTIF(R93,"*キャラ*"),
VLOOKUP("*キャラ*",商品マスタ一覧!$D:$J,7,FALSE),
IF(COUNTIF(R93,"*赤*"),
VLOOKUP("*赤*",商品マスタ一覧!$D:$J,7,FALSE),
VLOOKUP(R93,商品マスタ一覧!$D:$J,7,FALSE))),0)),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IF(R93&lt;&gt;"",
IF(IF(COUNTIF(R93,"*キャラ*"),
VLOOKUP("*キャラ*",商品マスタ一覧!$D:$J,7,FALSE),
IF(COUNTIF(R93,"*赤*"),
VLOOKUP("*赤*",商品マスタ一覧!$D:$J,7,FALSE),
VLOOKUP(R93,商品マスタ一覧!$D:$J,7,FALSE)))=0,"",
IF(ROUND(
IF(U98&lt;&gt;"",(R95-U98),R95)
/IF(COUNTIF(R93,"*キャラ*"),
VLOOKUP("*キャラ*",商品マスタ一覧!$D:$J,7,FALSE),
IF(COUNTIF(R93,"*赤*"),
VLOOKUP("*赤*",商品マスタ一覧!$D:$J,7,FALSE),
VLOOKUP(R93,商品マスタ一覧!$D:$J,7,FALSE))),0)&lt;=0,1,
ROUND(
IF(U98&lt;&gt;"",(R95-U98),R95)
/IF(COUNTIF(R93,"*キャラ*"),
VLOOKUP("*キャラ*",商品マスタ一覧!$D:$J,7,FALSE),
IF(COUNTIF(R93,"*赤*"),
VLOOKUP("*赤*",商品マスタ一覧!$D:$J,7,FALSE),
VLOOKUP(R93,商品マスタ一覧!$D:$J,7,FALSE))),0))),""),"")),"")</f>
        <v/>
      </c>
      <c r="V93" s="92" t="str">
        <f ca="1">IF(U93&lt;&gt;"",IF(R95&lt;&gt;"",IF(VALUE(IF(U98&lt;&gt;"",R95-U98,R95))&gt;VALUE(IF(COUNTIF('盛付札（関数）'!R93,"*キャラ*"),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VLOOKUP('盛付札（関数）'!R93,商品マスタ一覧!$D:$J,7,FALSE)))*U93),
"+"&amp;IF(U98&lt;&gt;"",R95-U98,R95)-IF(COUNTIF('盛付札（関数）'!R93,"*キャラ*"),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VLOOKUP('盛付札（関数）'!R93,商品マスタ一覧!$D:$J,7,FALSE)))*U93,
IF(U98&lt;&gt;"",R95-U98,R95)-IF(COUNTIF('盛付札（関数）'!R93,"*キャラ*"),
VLOOKUP("*キャラ*",商品マスタ一覧!$D:$J,7,FALSE),
IF(COUNTIF('盛付札（関数）'!R93,"*赤*"),
VLOOKUP("*赤*",商品マスタ一覧!$D:$J,7,FALSE),
VLOOKUP('盛付札（関数）'!R93,商品マスタ一覧!$D:$J,7,FALSE)))*U93),""),"")</f>
        <v/>
      </c>
      <c r="W93" s="76"/>
      <c r="X93" s="81" t="e" cm="1">
        <f t="array" aca="1" ref="X93" ca="1">IF(X10&lt;&gt;100,
IF(Y95&lt;&gt;"",MATCH(Y95,INDIRECT("数出表_Excel!B"&amp;MATCH(AC8,数出表_Excel!$A:$A,0)-1&amp;":U"&amp;MATCH(AC8,数出表_Excel!$A:$A,0)-1&amp;""),0)+1,""),
IF(Y95&lt;&gt;"",
MATCH(
IFERROR(
INDEX(INDIRECT("数出表_Excel!"&amp;X92&amp;MATCH(AC8,数出表_Excel!$A:$A,0)-1&amp;":U"&amp;MATCH(AC8,数出表_Excel!$A:$A,0)-1&amp;""),
 1,
 MATCH(TRUE, ISNUMBER(--INDIRECT("数出表_Excel!"&amp;X92&amp;MATCH(AC8,数出表_Excel!$A:$A,0)-1&amp;":U"&amp;MATCH(AC8,数出表_Excel!$A:$A,0)-1&amp;"")),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3" s="58" t="str" cm="1">
        <f t="array" aca="1" ref="Y93" ca="1">IFERROR(IF(OR(
COUNTIF(INDIRECT("数出表_Excel!" &amp;
CHAR(MATCH(TRUE,
ISNUMBER(--INDIRECT("数出表_Excel!"&amp;X92&amp;MATCH(AC8,数出表_Excel!$A:$A,0)-1&amp;":U"&amp;MATCH(AC8,数出表_Excel!$A:$A,0)-1&amp;"")),0)
+MATCH(TRUE, ISNUMBER(--INDIRECT("数出表_Excel!B" &amp; (MATCH(AC8,数出表_Excel!$A:$A,0)-1) &amp; ":U" &amp; (MATCH(AC8,数出表_Excel!$A:$A,0)-1))), 0)
+MATCH(TRUE, ISNUMBER(--INDIRECT("数出表_Excel!"&amp;X50&amp; (MATCH(AC8,数出表_Excel!$A:$A,0)-1) &amp; ":U" &amp; (MATCH(AC8,数出表_Excel!$A:$A,0)-1))), 0)
+65) &amp; "3"),"*配膳*"),
COUNTIF(INDIRECT("数出表_Excel!" &amp;
CHAR(MATCH(TRUE,
ISNUMBER(--INDIRECT("数出表_Excel!"&amp;X92&amp;MATCH(AC8,数出表_Excel!$A:$A,0)-1&amp;":U"&amp;MATCH(AC8,数出表_Excel!$A:$A,0)-1&amp;"")),0)
+MATCH(TRUE, ISNUMBER(--INDIRECT("数出表_Excel!B" &amp; (MATCH(AC8,数出表_Excel!$A:$A,0)-1) &amp; ":U" &amp; (MATCH(AC8,数出表_Excel!$A:$A,0)-1))), 0)
+MATCH(TRUE, ISNUMBER(--INDIRECT("数出表_Excel!"&amp;X50&amp; (MATCH(AC8,数出表_Excel!$A:$A,0)-1) &amp; ":U" &amp; (MATCH(AC8,数出表_Excel!$A:$A,0)-1))), 0)
+65) &amp; "3"),"*カレー*"),
COUNTIF(Y50,"*合計*")),"",
IF(IFERROR(INDIRECT("数出表_Excel!" &amp;
CHAR(MATCH(TRUE,
ISNUMBER(--INDIRECT("数出表_Excel!"&amp;X92&amp;MATCH(AC8,数出表_Excel!$A:$A,0)-1&amp;":U"&amp;MATCH(AC8,数出表_Excel!$A:$A,0)-1&amp;"")),0)
+MATCH(TRUE, ISNUMBER(--INDIRECT("数出表_Excel!B" &amp; (MATCH(AC8,数出表_Excel!$A:$A,0)-1) &amp; ":U" &amp; (MATCH(AC8,数出表_Excel!$A:$A,0)-1))), 0)
+MATCH(TRUE, ISNUMBER(--INDIRECT("数出表_Excel!"&amp;X50&amp; (MATCH(AC8,数出表_Excel!$A:$A,0)-1) &amp; ":U" &amp; (MATCH(AC8,数出表_Excel!$A:$A,0)-1))), 0)
+65) &amp; "3"),0)=0,"",
IFERROR(INDIRECT("数出表_Excel!" &amp;
CHAR(MATCH(TRUE,
ISNUMBER(--INDIRECT("数出表_Excel!"&amp;X92&amp;MATCH(AC8,数出表_Excel!$A:$A,0)-1&amp;":U"&amp;MATCH(AC8,数出表_Excel!$A:$A,0)-1&amp;"")),0)
+MATCH(TRUE, ISNUMBER(--INDIRECT("数出表_Excel!B" &amp; (MATCH(AC8,数出表_Excel!$A:$A,0)-1) &amp; ":U" &amp; (MATCH(AC8,数出表_Excel!$A:$A,0)-1))), 0)
+MATCH(TRUE, ISNUMBER(--INDIRECT("数出表_Excel!"&amp;X50&amp; (MATCH(AC8,数出表_Excel!$A:$A,0)-1) &amp; ":U" &amp; (MATCH(AC8,数出表_Excel!$A:$A,0)-1))), 0)
+65) &amp; "3"),""))),"")</f>
        <v/>
      </c>
      <c r="Z93" s="76"/>
      <c r="AA93" s="82" t="str" cm="1">
        <f t="array" aca="1" ref="AA93" ca="1">IF(AB93&lt;&gt;"","",
IF(COUNTIF(Y92,"*雙葉*"),"",
IF(Y92&lt;&gt;"",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+MATCH(TRUE,INDIRECT("'数出表_Excel'!"&amp;X92&amp;MATCH(AC8,数出表_Excel!$A:$A,0)-1&amp;":AL"&amp;MATCH(AC8,数出表_Excel!$A:$A,0)-1&amp;"")&lt;&gt;"",0))&gt;9,"",
IFERROR(
INDEX(INDIRECT("数出表_Excel!$"&amp;X92&amp;"4:$AL4"),
 1,
MATCH(TRUE,INDIRECT("'数出表_Excel'!"&amp;X92&amp;MATCH(AC8,数出表_Excel!$A:$A,0)-1&amp;":AL"&amp;MATCH(AC8,数出表_Excel!$A:$A,0)-1&amp;"")&lt;&gt;"",0)
),
 "")
&amp;IFERROR(
INDEX(INDIRECT("数出表_Excel!$"&amp;X92&amp;"5:$AL5"),
 1,
MATCH(TRUE,INDIRECT("'数出表_Excel'!"&amp;X92&amp;MATCH(AC8,数出表_Excel!$A:$A,0)-1&amp;":AL"&amp;MATCH(AC8,数出表_Excel!$A:$A,0)-1&amp;"")&lt;&gt;"",0)),
 "")),"")))</f>
        <v/>
      </c>
      <c r="AB93" s="83" t="str" cm="1">
        <f t="array" aca="1" ref="AB93" ca="1">IF(Y93&lt;&gt;"",
IF(COUNTIF(Y92,"*雙葉*"),
IF(ROUND(
IF(AB98&lt;&gt;"",(Y95-AB98),Y95)
/IF(COUNTIF(Y93,"*キャラ*"),
VLOOKUP("*キャラ*",商品マスタ一覧!$D:$J,7,FALSE),
IF(COUNTIF(Y93,"*赤*"),
VLOOKUP("*赤*",商品マスタ一覧!$D:$J,7,FALSE),
VLOOKUP(Y93,商品マスタ一覧!$D:$J,7,FALSE))),0)&lt;=0,1,
ROUND(
IF(AB98&lt;&gt;"",(Y95-AB98),Y95)
/IF(COUNTIF(Y93,"*キャラ*"),
VLOOKUP("*キャラ*",商品マスタ一覧!$D:$J,7,FALSE),
IF(COUNTIF(Y93,"*赤*"),
VLOOKUP("*赤*",商品マスタ一覧!$D:$J,7,FALSE),
VLOOKUP(Y93,商品マスタ一覧!$D:$J,7,FALSE))),0)),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IF(Y93&lt;&gt;"",
IF(IF(COUNTIF(Y93,"*キャラ*"),
VLOOKUP("*キャラ*",商品マスタ一覧!$D:$J,7,FALSE),
IF(COUNTIF(Y93,"*赤*"),
VLOOKUP("*赤*",商品マスタ一覧!$D:$J,7,FALSE),
VLOOKUP(Y93,商品マスタ一覧!$D:$J,7,FALSE)))=0,"",
IF(ROUND(
IF(AB98&lt;&gt;"",(Y95-AB98),Y95)
/IF(COUNTIF(Y93,"*キャラ*"),
VLOOKUP("*キャラ*",商品マスタ一覧!$D:$J,7,FALSE),
IF(COUNTIF(Y93,"*赤*"),
VLOOKUP("*赤*",商品マスタ一覧!$D:$J,7,FALSE),
VLOOKUP(Y93,商品マスタ一覧!$D:$J,7,FALSE))),0)&lt;=0,1,
ROUND(
IF(AB98&lt;&gt;"",(Y95-AB98),Y95)
/IF(COUNTIF(Y93,"*キャラ*"),
VLOOKUP("*キャラ*",商品マスタ一覧!$D:$J,7,FALSE),
IF(COUNTIF(Y93,"*赤*"),
VLOOKUP("*赤*",商品マスタ一覧!$D:$J,7,FALSE),
VLOOKUP(Y93,商品マスタ一覧!$D:$J,7,FALSE))),0))),""),"")),"")</f>
        <v/>
      </c>
      <c r="AC93" s="92" t="str">
        <f ca="1">IF(AB93&lt;&gt;"",IF(Y95&lt;&gt;"",IF(VALUE(IF(AB98&lt;&gt;"",Y95-AB98,Y95))&gt;VALUE(IF(COUNTIF('盛付札（関数）'!Y93,"*キャラ*"),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VLOOKUP('盛付札（関数）'!Y93,商品マスタ一覧!$D:$J,7,FALSE)))*AB93),
"+"&amp;IF(AB98&lt;&gt;"",Y95-AB98,Y95)-IF(COUNTIF('盛付札（関数）'!Y93,"*キャラ*"),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VLOOKUP('盛付札（関数）'!Y93,商品マスタ一覧!$D:$J,7,FALSE)))*AB93,
IF(AB98&lt;&gt;"",Y95-AB98,Y95)-IF(COUNTIF('盛付札（関数）'!Y93,"*キャラ*"),
VLOOKUP("*キャラ*",商品マスタ一覧!$D:$J,7,FALSE),
IF(COUNTIF('盛付札（関数）'!Y93,"*赤*"),
VLOOKUP("*赤*",商品マスタ一覧!$D:$J,7,FALSE),
VLOOKUP('盛付札（関数）'!Y93,商品マスタ一覧!$D:$J,7,FALSE)))*AB93),""),"")</f>
        <v/>
      </c>
      <c r="AF93" s="81" t="e" cm="1">
        <f t="array" aca="1" ref="AF93" ca="1">IF(AF10&lt;&gt;100,
IF(AG95&lt;&gt;"",MATCH(AG95,INDIRECT("数出表_Excel!B"&amp;MATCH(AK8,数出表_Excel!$A:$A,0)-1&amp;":U"&amp;MATCH(AK8,数出表_Excel!$A:$A,0)-1&amp;""),0)+1,""),
IF(AG95&lt;&gt;"",
MATCH(
IFERROR(
INDEX(INDIRECT("数出表_Excel!"&amp;AF92&amp;MATCH(AK8,数出表_Excel!$A:$A,0)-1&amp;":U"&amp;MATCH(AK8,数出表_Excel!$A:$A,0)-1&amp;""),
 1,
 MATCH(TRUE, ISNUMBER(--INDIRECT("数出表_Excel!"&amp;AF92&amp;MATCH(AK8,数出表_Excel!$A:$A,0)-1&amp;":U"&amp;MATCH(AK8,数出表_Excel!$A:$A,0)-1&amp;"")),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3" s="58" t="str" cm="1">
        <f t="array" aca="1" ref="AG93" ca="1">IFERROR(IF(OR(
COUNTIF(INDIRECT("数出表_Excel!" &amp;
CHAR(MATCH(TRUE,
ISNUMBER(--INDIRECT("数出表_Excel!"&amp;AF92&amp;MATCH(AK8,数出表_Excel!$A:$A,0)-1&amp;":U"&amp;MATCH(AK8,数出表_Excel!$A:$A,0)-1&amp;"")),0)
+MATCH(TRUE, ISNUMBER(--INDIRECT("数出表_Excel!B" &amp; (MATCH(AK8,数出表_Excel!$A:$A,0)-1) &amp; ":U" &amp; (MATCH(AK8,数出表_Excel!$A:$A,0)-1))), 0)
+MATCH(TRUE, ISNUMBER(--INDIRECT("数出表_Excel!"&amp;AF50&amp; (MATCH(AK8,数出表_Excel!$A:$A,0)-1) &amp; ":U" &amp; (MATCH(AK8,数出表_Excel!$A:$A,0)-1))), 0)
+65) &amp; "3"),"*配膳*"),
COUNTIF(INDIRECT("数出表_Excel!" &amp;
CHAR(MATCH(TRUE,
ISNUMBER(--INDIRECT("数出表_Excel!"&amp;AF92&amp;MATCH(AK8,数出表_Excel!$A:$A,0)-1&amp;":U"&amp;MATCH(AK8,数出表_Excel!$A:$A,0)-1&amp;"")),0)
+MATCH(TRUE, ISNUMBER(--INDIRECT("数出表_Excel!B" &amp; (MATCH(AK8,数出表_Excel!$A:$A,0)-1) &amp; ":U" &amp; (MATCH(AK8,数出表_Excel!$A:$A,0)-1))), 0)
+MATCH(TRUE, ISNUMBER(--INDIRECT("数出表_Excel!"&amp;AF50&amp; (MATCH(AK8,数出表_Excel!$A:$A,0)-1) &amp; ":U" &amp; (MATCH(AK8,数出表_Excel!$A:$A,0)-1))), 0)
+65) &amp; "3"),"*カレー*"),
COUNTIF(AG50,"*合計*")),"",
IF(IFERROR(INDIRECT("数出表_Excel!" &amp;
CHAR(MATCH(TRUE,
ISNUMBER(--INDIRECT("数出表_Excel!"&amp;AF92&amp;MATCH(AK8,数出表_Excel!$A:$A,0)-1&amp;":U"&amp;MATCH(AK8,数出表_Excel!$A:$A,0)-1&amp;"")),0)
+MATCH(TRUE, ISNUMBER(--INDIRECT("数出表_Excel!B" &amp; (MATCH(AK8,数出表_Excel!$A:$A,0)-1) &amp; ":U" &amp; (MATCH(AK8,数出表_Excel!$A:$A,0)-1))), 0)
+MATCH(TRUE, ISNUMBER(--INDIRECT("数出表_Excel!"&amp;AF50&amp; (MATCH(AK8,数出表_Excel!$A:$A,0)-1) &amp; ":U" &amp; (MATCH(AK8,数出表_Excel!$A:$A,0)-1))), 0)
+65) &amp; "3"),0)=0,"",
IFERROR(INDIRECT("数出表_Excel!" &amp;
CHAR(MATCH(TRUE,
ISNUMBER(--INDIRECT("数出表_Excel!"&amp;AF92&amp;MATCH(AK8,数出表_Excel!$A:$A,0)-1&amp;":U"&amp;MATCH(AK8,数出表_Excel!$A:$A,0)-1&amp;"")),0)
+MATCH(TRUE, ISNUMBER(--INDIRECT("数出表_Excel!B" &amp; (MATCH(AK8,数出表_Excel!$A:$A,0)-1) &amp; ":U" &amp; (MATCH(AK8,数出表_Excel!$A:$A,0)-1))), 0)
+MATCH(TRUE, ISNUMBER(--INDIRECT("数出表_Excel!"&amp;AF50&amp; (MATCH(AK8,数出表_Excel!$A:$A,0)-1) &amp; ":U" &amp; (MATCH(AK8,数出表_Excel!$A:$A,0)-1))), 0)
+65) &amp; "3"),""))),"")</f>
        <v/>
      </c>
      <c r="AH93" s="76"/>
      <c r="AI93" s="82" t="str" cm="1">
        <f t="array" aca="1" ref="AI93" ca="1">IF(AJ93&lt;&gt;"","",
IF(COUNTIF(AG92,"*雙葉*"),"",
IF(AG92&lt;&gt;"",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+MATCH(TRUE,INDIRECT("'数出表_Excel'!"&amp;AF92&amp;MATCH(AK8,数出表_Excel!$A:$A,0)-1&amp;":AL"&amp;MATCH(AK8,数出表_Excel!$A:$A,0)-1&amp;"")&lt;&gt;"",0))&gt;9,"",
IFERROR(
INDEX(INDIRECT("数出表_Excel!$"&amp;AF92&amp;"4:$AL4"),
 1,
MATCH(TRUE,INDIRECT("'数出表_Excel'!"&amp;AF92&amp;MATCH(AK8,数出表_Excel!$A:$A,0)-1&amp;":AL"&amp;MATCH(AK8,数出表_Excel!$A:$A,0)-1&amp;"")&lt;&gt;"",0)
),
 "")
&amp;IFERROR(
INDEX(INDIRECT("数出表_Excel!$"&amp;AF92&amp;"5:$AL5"),
 1,
MATCH(TRUE,INDIRECT("'数出表_Excel'!"&amp;AF92&amp;MATCH(AK8,数出表_Excel!$A:$A,0)-1&amp;":AL"&amp;MATCH(AK8,数出表_Excel!$A:$A,0)-1&amp;"")&lt;&gt;"",0)),
 "")),"")))</f>
        <v/>
      </c>
      <c r="AJ93" s="83" t="str" cm="1">
        <f t="array" aca="1" ref="AJ93" ca="1">IF(AG93&lt;&gt;"",
IF(COUNTIF(AG92,"*雙葉*"),
IF(ROUND(
IF(AJ98&lt;&gt;"",(AG95-AJ98),AG95)
/IF(COUNTIF(AG93,"*キャラ*"),
VLOOKUP("*キャラ*",商品マスタ一覧!$D:$J,7,FALSE),
IF(COUNTIF(AG93,"*赤*"),
VLOOKUP("*赤*",商品マスタ一覧!$D:$J,7,FALSE),
VLOOKUP(AG93,商品マスタ一覧!$D:$J,7,FALSE))),0)&lt;=0,1,
ROUND(
IF(AJ98&lt;&gt;"",(AG95-AJ98),AG95)
/IF(COUNTIF(AG93,"*キャラ*"),
VLOOKUP("*キャラ*",商品マスタ一覧!$D:$J,7,FALSE),
IF(COUNTIF(AG93,"*赤*"),
VLOOKUP("*赤*",商品マスタ一覧!$D:$J,7,FALSE),
VLOOKUP(AG93,商品マスタ一覧!$D:$J,7,FALSE))),0)),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IF(AG93&lt;&gt;"",
IF(IF(COUNTIF(AG93,"*キャラ*"),
VLOOKUP("*キャラ*",商品マスタ一覧!$D:$J,7,FALSE),
IF(COUNTIF(AG93,"*赤*"),
VLOOKUP("*赤*",商品マスタ一覧!$D:$J,7,FALSE),
VLOOKUP(AG93,商品マスタ一覧!$D:$J,7,FALSE)))=0,"",
IF(ROUND(
IF(AJ98&lt;&gt;"",(AG95-AJ98),AG95)
/IF(COUNTIF(AG93,"*キャラ*"),
VLOOKUP("*キャラ*",商品マスタ一覧!$D:$J,7,FALSE),
IF(COUNTIF(AG93,"*赤*"),
VLOOKUP("*赤*",商品マスタ一覧!$D:$J,7,FALSE),
VLOOKUP(AG93,商品マスタ一覧!$D:$J,7,FALSE))),0)&lt;=0,1,
ROUND(
IF(AJ98&lt;&gt;"",(AG95-AJ98),AG95)
/IF(COUNTIF(AG93,"*キャラ*"),
VLOOKUP("*キャラ*",商品マスタ一覧!$D:$J,7,FALSE),
IF(COUNTIF(AG93,"*赤*"),
VLOOKUP("*赤*",商品マスタ一覧!$D:$J,7,FALSE),
VLOOKUP(AG93,商品マスタ一覧!$D:$J,7,FALSE))),0))),""),"")),"")</f>
        <v/>
      </c>
      <c r="AK93" s="92" t="str">
        <f ca="1">IF(AJ93&lt;&gt;"",IF(AG95&lt;&gt;"",IF(VALUE(IF(AJ98&lt;&gt;"",AG95-AJ98,AG95))&gt;VALUE(IF(COUNTIF('盛付札（関数）'!AG93,"*キャラ*"),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VLOOKUP('盛付札（関数）'!AG93,商品マスタ一覧!$D:$J,7,FALSE)))*AJ93),
"+"&amp;IF(AJ98&lt;&gt;"",AG95-AJ98,AG95)-IF(COUNTIF('盛付札（関数）'!AG93,"*キャラ*"),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VLOOKUP('盛付札（関数）'!AG93,商品マスタ一覧!$D:$J,7,FALSE)))*AJ93,
IF(AJ98&lt;&gt;"",AG95-AJ98,AG95)-IF(COUNTIF('盛付札（関数）'!AG93,"*キャラ*"),
VLOOKUP("*キャラ*",商品マスタ一覧!$D:$J,7,FALSE),
IF(COUNTIF('盛付札（関数）'!AG93,"*赤*"),
VLOOKUP("*赤*",商品マスタ一覧!$D:$J,7,FALSE),
VLOOKUP('盛付札（関数）'!AG93,商品マスタ一覧!$D:$J,7,FALSE)))*AJ93),""),"")</f>
        <v/>
      </c>
      <c r="AL93" s="76"/>
      <c r="AM93" s="81" t="e" cm="1">
        <f t="array" aca="1" ref="AM93" ca="1">IF(AM10&lt;&gt;100,
IF(AN95&lt;&gt;"",MATCH(AN95,INDIRECT("数出表_Excel!B"&amp;MATCH(AR8,数出表_Excel!$A:$A,0)-1&amp;":U"&amp;MATCH(AR8,数出表_Excel!$A:$A,0)-1&amp;""),0)+1,""),
IF(AN95&lt;&gt;"",
MATCH(
IFERROR(
INDEX(INDIRECT("数出表_Excel!"&amp;AM92&amp;MATCH(AR8,数出表_Excel!$A:$A,0)-1&amp;":U"&amp;MATCH(AR8,数出表_Excel!$A:$A,0)-1&amp;""),
 1,
 MATCH(TRUE, ISNUMBER(--INDIRECT("数出表_Excel!"&amp;AM92&amp;MATCH(AR8,数出表_Excel!$A:$A,0)-1&amp;":U"&amp;MATCH(AR8,数出表_Excel!$A:$A,0)-1&amp;"")),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3" s="58" t="str" cm="1">
        <f t="array" aca="1" ref="AN93" ca="1">IFERROR(IF(OR(
COUNTIF(INDIRECT("数出表_Excel!" &amp;
CHAR(MATCH(TRUE,
ISNUMBER(--INDIRECT("数出表_Excel!"&amp;AM92&amp;MATCH(AR8,数出表_Excel!$A:$A,0)-1&amp;":U"&amp;MATCH(AR8,数出表_Excel!$A:$A,0)-1&amp;"")),0)
+MATCH(TRUE, ISNUMBER(--INDIRECT("数出表_Excel!B" &amp; (MATCH(AR8,数出表_Excel!$A:$A,0)-1) &amp; ":U" &amp; (MATCH(AR8,数出表_Excel!$A:$A,0)-1))), 0)
+MATCH(TRUE, ISNUMBER(--INDIRECT("数出表_Excel!"&amp;AM50&amp; (MATCH(AR8,数出表_Excel!$A:$A,0)-1) &amp; ":U" &amp; (MATCH(AR8,数出表_Excel!$A:$A,0)-1))), 0)
+65) &amp; "3"),"*配膳*"),
COUNTIF(INDIRECT("数出表_Excel!" &amp;
CHAR(MATCH(TRUE,
ISNUMBER(--INDIRECT("数出表_Excel!"&amp;AM92&amp;MATCH(AR8,数出表_Excel!$A:$A,0)-1&amp;":U"&amp;MATCH(AR8,数出表_Excel!$A:$A,0)-1&amp;"")),0)
+MATCH(TRUE, ISNUMBER(--INDIRECT("数出表_Excel!B" &amp; (MATCH(AR8,数出表_Excel!$A:$A,0)-1) &amp; ":U" &amp; (MATCH(AR8,数出表_Excel!$A:$A,0)-1))), 0)
+MATCH(TRUE, ISNUMBER(--INDIRECT("数出表_Excel!"&amp;AM50&amp; (MATCH(AR8,数出表_Excel!$A:$A,0)-1) &amp; ":U" &amp; (MATCH(AR8,数出表_Excel!$A:$A,0)-1))), 0)
+65) &amp; "3"),"*カレー*"),
COUNTIF(AN50,"*合計*")),"",
IF(IFERROR(INDIRECT("数出表_Excel!" &amp;
CHAR(MATCH(TRUE,
ISNUMBER(--INDIRECT("数出表_Excel!"&amp;AM92&amp;MATCH(AR8,数出表_Excel!$A:$A,0)-1&amp;":U"&amp;MATCH(AR8,数出表_Excel!$A:$A,0)-1&amp;"")),0)
+MATCH(TRUE, ISNUMBER(--INDIRECT("数出表_Excel!B" &amp; (MATCH(AR8,数出表_Excel!$A:$A,0)-1) &amp; ":U" &amp; (MATCH(AR8,数出表_Excel!$A:$A,0)-1))), 0)
+MATCH(TRUE, ISNUMBER(--INDIRECT("数出表_Excel!"&amp;AM50&amp; (MATCH(AR8,数出表_Excel!$A:$A,0)-1) &amp; ":U" &amp; (MATCH(AR8,数出表_Excel!$A:$A,0)-1))), 0)
+65) &amp; "3"),0)=0,"",
IFERROR(INDIRECT("数出表_Excel!" &amp;
CHAR(MATCH(TRUE,
ISNUMBER(--INDIRECT("数出表_Excel!"&amp;AM92&amp;MATCH(AR8,数出表_Excel!$A:$A,0)-1&amp;":U"&amp;MATCH(AR8,数出表_Excel!$A:$A,0)-1&amp;"")),0)
+MATCH(TRUE, ISNUMBER(--INDIRECT("数出表_Excel!B" &amp; (MATCH(AR8,数出表_Excel!$A:$A,0)-1) &amp; ":U" &amp; (MATCH(AR8,数出表_Excel!$A:$A,0)-1))), 0)
+MATCH(TRUE, ISNUMBER(--INDIRECT("数出表_Excel!"&amp;AM50&amp; (MATCH(AR8,数出表_Excel!$A:$A,0)-1) &amp; ":U" &amp; (MATCH(AR8,数出表_Excel!$A:$A,0)-1))), 0)
+65) &amp; "3"),""))),"")</f>
        <v/>
      </c>
      <c r="AO93" s="76"/>
      <c r="AP93" s="82" t="str" cm="1">
        <f t="array" aca="1" ref="AP93" ca="1">IF(AQ93&lt;&gt;"","",
IF(COUNTIF(AN92,"*雙葉*"),"",
IF(AN92&lt;&gt;"",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+MATCH(TRUE,INDIRECT("'数出表_Excel'!"&amp;AM92&amp;MATCH(AR8,数出表_Excel!$A:$A,0)-1&amp;":AL"&amp;MATCH(AR8,数出表_Excel!$A:$A,0)-1&amp;"")&lt;&gt;"",0))&gt;9,"",
IFERROR(
INDEX(INDIRECT("数出表_Excel!$"&amp;AM92&amp;"4:$AL4"),
 1,
MATCH(TRUE,INDIRECT("'数出表_Excel'!"&amp;AM92&amp;MATCH(AR8,数出表_Excel!$A:$A,0)-1&amp;":AL"&amp;MATCH(AR8,数出表_Excel!$A:$A,0)-1&amp;"")&lt;&gt;"",0)
),
 "")
&amp;IFERROR(
INDEX(INDIRECT("数出表_Excel!$"&amp;AM92&amp;"5:$AL5"),
 1,
MATCH(TRUE,INDIRECT("'数出表_Excel'!"&amp;AM92&amp;MATCH(AR8,数出表_Excel!$A:$A,0)-1&amp;":AL"&amp;MATCH(AR8,数出表_Excel!$A:$A,0)-1&amp;"")&lt;&gt;"",0)),
 "")),"")))</f>
        <v/>
      </c>
      <c r="AQ93" s="83" t="str" cm="1">
        <f t="array" aca="1" ref="AQ93" ca="1">IF(AN93&lt;&gt;"",
IF(COUNTIF(AN92,"*雙葉*"),
IF(ROUND(
IF(AQ98&lt;&gt;"",(AN95-AQ98),AN95)
/IF(COUNTIF(AN93,"*キャラ*"),
VLOOKUP("*キャラ*",商品マスタ一覧!$D:$J,7,FALSE),
IF(COUNTIF(AN93,"*赤*"),
VLOOKUP("*赤*",商品マスタ一覧!$D:$J,7,FALSE),
VLOOKUP(AN93,商品マスタ一覧!$D:$J,7,FALSE))),0)&lt;=0,1,
ROUND(
IF(AQ98&lt;&gt;"",(AN95-AQ98),AN95)
/IF(COUNTIF(AN93,"*キャラ*"),
VLOOKUP("*キャラ*",商品マスタ一覧!$D:$J,7,FALSE),
IF(COUNTIF(AN93,"*赤*"),
VLOOKUP("*赤*",商品マスタ一覧!$D:$J,7,FALSE),
VLOOKUP(AN93,商品マスタ一覧!$D:$J,7,FALSE))),0)),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IF(AN93&lt;&gt;"",
IF(IF(COUNTIF(AN93,"*キャラ*"),
VLOOKUP("*キャラ*",商品マスタ一覧!$D:$J,7,FALSE),
IF(COUNTIF(AN93,"*赤*"),
VLOOKUP("*赤*",商品マスタ一覧!$D:$J,7,FALSE),
VLOOKUP(AN93,商品マスタ一覧!$D:$J,7,FALSE)))=0,"",
IF(ROUND(
IF(AQ98&lt;&gt;"",(AN95-AQ98),AN95)
/IF(COUNTIF(AN93,"*キャラ*"),
VLOOKUP("*キャラ*",商品マスタ一覧!$D:$J,7,FALSE),
IF(COUNTIF(AN93,"*赤*"),
VLOOKUP("*赤*",商品マスタ一覧!$D:$J,7,FALSE),
VLOOKUP(AN93,商品マスタ一覧!$D:$J,7,FALSE))),0)&lt;=0,1,
ROUND(
IF(AQ98&lt;&gt;"",(AN95-AQ98),AN95)
/IF(COUNTIF(AN93,"*キャラ*"),
VLOOKUP("*キャラ*",商品マスタ一覧!$D:$J,7,FALSE),
IF(COUNTIF(AN93,"*赤*"),
VLOOKUP("*赤*",商品マスタ一覧!$D:$J,7,FALSE),
VLOOKUP(AN93,商品マスタ一覧!$D:$J,7,FALSE))),0))),""),"")),"")</f>
        <v/>
      </c>
      <c r="AR93" s="92" t="str">
        <f ca="1">IF(AQ93&lt;&gt;"",IF(AN95&lt;&gt;"",IF(VALUE(IF(AQ98&lt;&gt;"",AN95-AQ98,AN95))&gt;VALUE(IF(COUNTIF('盛付札（関数）'!AN93,"*キャラ*"),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VLOOKUP('盛付札（関数）'!AN93,商品マスタ一覧!$D:$J,7,FALSE)))*AQ93),
"+"&amp;IF(AQ98&lt;&gt;"",AN95-AQ98,AN95)-IF(COUNTIF('盛付札（関数）'!AN93,"*キャラ*"),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VLOOKUP('盛付札（関数）'!AN93,商品マスタ一覧!$D:$J,7,FALSE)))*AQ93,
IF(AQ98&lt;&gt;"",AN95-AQ98,AN95)-IF(COUNTIF('盛付札（関数）'!AN93,"*キャラ*"),
VLOOKUP("*キャラ*",商品マスタ一覧!$D:$J,7,FALSE),
IF(COUNTIF('盛付札（関数）'!AN93,"*赤*"),
VLOOKUP("*赤*",商品マスタ一覧!$D:$J,7,FALSE),
VLOOKUP('盛付札（関数）'!AN93,商品マスタ一覧!$D:$J,7,FALSE)))*AQ93),""),"")</f>
        <v/>
      </c>
      <c r="AU93" s="81" t="e" cm="1">
        <f t="array" aca="1" ref="AU93" ca="1">IF(AU10&lt;&gt;100,
IF(AV95&lt;&gt;"",MATCH(AV95,INDIRECT("数出表_Excel!B"&amp;MATCH(AZ8,数出表_Excel!$A:$A,0)-1&amp;":U"&amp;MATCH(AZ8,数出表_Excel!$A:$A,0)-1&amp;""),0)+1,""),
IF(AV95&lt;&gt;"",
MATCH(
IFERROR(
INDEX(INDIRECT("数出表_Excel!"&amp;AU92&amp;MATCH(AZ8,数出表_Excel!$A:$A,0)-1&amp;":U"&amp;MATCH(AZ8,数出表_Excel!$A:$A,0)-1&amp;""),
 1,
 MATCH(TRUE, ISNUMBER(--INDIRECT("数出表_Excel!"&amp;AU92&amp;MATCH(AZ8,数出表_Excel!$A:$A,0)-1&amp;":U"&amp;MATCH(AZ8,数出表_Excel!$A:$A,0)-1&amp;"")),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3" s="58" t="str" cm="1">
        <f t="array" aca="1" ref="AV93" ca="1">IFERROR(IF(OR(
COUNTIF(INDIRECT("数出表_Excel!" &amp;
CHAR(MATCH(TRUE,
ISNUMBER(--INDIRECT("数出表_Excel!"&amp;AU92&amp;MATCH(AZ8,数出表_Excel!$A:$A,0)-1&amp;":U"&amp;MATCH(AZ8,数出表_Excel!$A:$A,0)-1&amp;"")),0)
+MATCH(TRUE, ISNUMBER(--INDIRECT("数出表_Excel!B" &amp; (MATCH(AZ8,数出表_Excel!$A:$A,0)-1) &amp; ":U" &amp; (MATCH(AZ8,数出表_Excel!$A:$A,0)-1))), 0)
+MATCH(TRUE, ISNUMBER(--INDIRECT("数出表_Excel!"&amp;AU50&amp; (MATCH(AZ8,数出表_Excel!$A:$A,0)-1) &amp; ":U" &amp; (MATCH(AZ8,数出表_Excel!$A:$A,0)-1))), 0)
+65) &amp; "3"),"*配膳*"),
COUNTIF(INDIRECT("数出表_Excel!" &amp;
CHAR(MATCH(TRUE,
ISNUMBER(--INDIRECT("数出表_Excel!"&amp;AU92&amp;MATCH(AZ8,数出表_Excel!$A:$A,0)-1&amp;":U"&amp;MATCH(AZ8,数出表_Excel!$A:$A,0)-1&amp;"")),0)
+MATCH(TRUE, ISNUMBER(--INDIRECT("数出表_Excel!B" &amp; (MATCH(AZ8,数出表_Excel!$A:$A,0)-1) &amp; ":U" &amp; (MATCH(AZ8,数出表_Excel!$A:$A,0)-1))), 0)
+MATCH(TRUE, ISNUMBER(--INDIRECT("数出表_Excel!"&amp;AU50&amp; (MATCH(AZ8,数出表_Excel!$A:$A,0)-1) &amp; ":U" &amp; (MATCH(AZ8,数出表_Excel!$A:$A,0)-1))), 0)
+65) &amp; "3"),"*カレー*"),
COUNTIF(AV50,"*合計*")),"",
IF(IFERROR(INDIRECT("数出表_Excel!" &amp;
CHAR(MATCH(TRUE,
ISNUMBER(--INDIRECT("数出表_Excel!"&amp;AU92&amp;MATCH(AZ8,数出表_Excel!$A:$A,0)-1&amp;":U"&amp;MATCH(AZ8,数出表_Excel!$A:$A,0)-1&amp;"")),0)
+MATCH(TRUE, ISNUMBER(--INDIRECT("数出表_Excel!B" &amp; (MATCH(AZ8,数出表_Excel!$A:$A,0)-1) &amp; ":U" &amp; (MATCH(AZ8,数出表_Excel!$A:$A,0)-1))), 0)
+MATCH(TRUE, ISNUMBER(--INDIRECT("数出表_Excel!"&amp;AU50&amp; (MATCH(AZ8,数出表_Excel!$A:$A,0)-1) &amp; ":U" &amp; (MATCH(AZ8,数出表_Excel!$A:$A,0)-1))), 0)
+65) &amp; "3"),0)=0,"",
IFERROR(INDIRECT("数出表_Excel!" &amp;
CHAR(MATCH(TRUE,
ISNUMBER(--INDIRECT("数出表_Excel!"&amp;AU92&amp;MATCH(AZ8,数出表_Excel!$A:$A,0)-1&amp;":U"&amp;MATCH(AZ8,数出表_Excel!$A:$A,0)-1&amp;"")),0)
+MATCH(TRUE, ISNUMBER(--INDIRECT("数出表_Excel!B" &amp; (MATCH(AZ8,数出表_Excel!$A:$A,0)-1) &amp; ":U" &amp; (MATCH(AZ8,数出表_Excel!$A:$A,0)-1))), 0)
+MATCH(TRUE, ISNUMBER(--INDIRECT("数出表_Excel!"&amp;AU50&amp; (MATCH(AZ8,数出表_Excel!$A:$A,0)-1) &amp; ":U" &amp; (MATCH(AZ8,数出表_Excel!$A:$A,0)-1))), 0)
+65) &amp; "3"),""))),"")</f>
        <v/>
      </c>
      <c r="AW93" s="76"/>
      <c r="AX93" s="82" t="str" cm="1">
        <f t="array" aca="1" ref="AX93" ca="1">IF(AY93&lt;&gt;"","",
IF(COUNTIF(AV92,"*雙葉*"),"",
IF(AV92&lt;&gt;"",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+MATCH(TRUE,INDIRECT("'数出表_Excel'!"&amp;AU92&amp;MATCH(AZ8,数出表_Excel!$A:$A,0)-1&amp;":AL"&amp;MATCH(AZ8,数出表_Excel!$A:$A,0)-1&amp;"")&lt;&gt;"",0))&gt;9,"",
IFERROR(
INDEX(INDIRECT("数出表_Excel!$"&amp;AU92&amp;"4:$AL4"),
 1,
MATCH(TRUE,INDIRECT("'数出表_Excel'!"&amp;AU92&amp;MATCH(AZ8,数出表_Excel!$A:$A,0)-1&amp;":AL"&amp;MATCH(AZ8,数出表_Excel!$A:$A,0)-1&amp;"")&lt;&gt;"",0)
),
 "")
&amp;IFERROR(
INDEX(INDIRECT("数出表_Excel!$"&amp;AU92&amp;"5:$AL5"),
 1,
MATCH(TRUE,INDIRECT("'数出表_Excel'!"&amp;AU92&amp;MATCH(AZ8,数出表_Excel!$A:$A,0)-1&amp;":AL"&amp;MATCH(AZ8,数出表_Excel!$A:$A,0)-1&amp;"")&lt;&gt;"",0)),
 "")),"")))</f>
        <v/>
      </c>
      <c r="AY93" s="83" t="str" cm="1">
        <f t="array" aca="1" ref="AY93" ca="1">IF(AV93&lt;&gt;"",
IF(COUNTIF(AV92,"*雙葉*"),
IF(ROUND(
IF(AY98&lt;&gt;"",(AV95-AY98),AV95)
/IF(COUNTIF(AV93,"*キャラ*"),
VLOOKUP("*キャラ*",商品マスタ一覧!$D:$J,7,FALSE),
IF(COUNTIF(AV93,"*赤*"),
VLOOKUP("*赤*",商品マスタ一覧!$D:$J,7,FALSE),
VLOOKUP(AV93,商品マスタ一覧!$D:$J,7,FALSE))),0)&lt;=0,1,
ROUND(
IF(AY98&lt;&gt;"",(AV95-AY98),AV95)
/IF(COUNTIF(AV93,"*キャラ*"),
VLOOKUP("*キャラ*",商品マスタ一覧!$D:$J,7,FALSE),
IF(COUNTIF(AV93,"*赤*"),
VLOOKUP("*赤*",商品マスタ一覧!$D:$J,7,FALSE),
VLOOKUP(AV93,商品マスタ一覧!$D:$J,7,FALSE))),0)),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IF(AV93&lt;&gt;"",
IF(IF(COUNTIF(AV93,"*キャラ*"),
VLOOKUP("*キャラ*",商品マスタ一覧!$D:$J,7,FALSE),
IF(COUNTIF(AV93,"*赤*"),
VLOOKUP("*赤*",商品マスタ一覧!$D:$J,7,FALSE),
VLOOKUP(AV93,商品マスタ一覧!$D:$J,7,FALSE)))=0,"",
IF(ROUND(
IF(AY98&lt;&gt;"",(AV95-AY98),AV95)
/IF(COUNTIF(AV93,"*キャラ*"),
VLOOKUP("*キャラ*",商品マスタ一覧!$D:$J,7,FALSE),
IF(COUNTIF(AV93,"*赤*"),
VLOOKUP("*赤*",商品マスタ一覧!$D:$J,7,FALSE),
VLOOKUP(AV93,商品マスタ一覧!$D:$J,7,FALSE))),0)&lt;=0,1,
ROUND(
IF(AY98&lt;&gt;"",(AV95-AY98),AV95)
/IF(COUNTIF(AV93,"*キャラ*"),
VLOOKUP("*キャラ*",商品マスタ一覧!$D:$J,7,FALSE),
IF(COUNTIF(AV93,"*赤*"),
VLOOKUP("*赤*",商品マスタ一覧!$D:$J,7,FALSE),
VLOOKUP(AV93,商品マスタ一覧!$D:$J,7,FALSE))),0))),""),"")),"")</f>
        <v/>
      </c>
      <c r="AZ93" s="92" t="str">
        <f ca="1">IF(AY93&lt;&gt;"",IF(AV95&lt;&gt;"",IF(VALUE(IF(AY98&lt;&gt;"",AV95-AY98,AV95))&gt;VALUE(IF(COUNTIF('盛付札（関数）'!AV93,"*キャラ*"),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VLOOKUP('盛付札（関数）'!AV93,商品マスタ一覧!$D:$J,7,FALSE)))*AY93),
"+"&amp;IF(AY98&lt;&gt;"",AV95-AY98,AV95)-IF(COUNTIF('盛付札（関数）'!AV93,"*キャラ*"),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VLOOKUP('盛付札（関数）'!AV93,商品マスタ一覧!$D:$J,7,FALSE)))*AY93,
IF(AY98&lt;&gt;"",AV95-AY98,AV95)-IF(COUNTIF('盛付札（関数）'!AV93,"*キャラ*"),
VLOOKUP("*キャラ*",商品マスタ一覧!$D:$J,7,FALSE),
IF(COUNTIF('盛付札（関数）'!AV93,"*赤*"),
VLOOKUP("*赤*",商品マスタ一覧!$D:$J,7,FALSE),
VLOOKUP('盛付札（関数）'!AV93,商品マスタ一覧!$D:$J,7,FALSE)))*AY93),""),"")</f>
        <v/>
      </c>
      <c r="BA93" s="76"/>
      <c r="BB93" s="81" t="e" cm="1">
        <f t="array" aca="1" ref="BB93" ca="1">IF(BB10&lt;&gt;100,
IF(BC95&lt;&gt;"",MATCH(BC95,INDIRECT("数出表_Excel!B"&amp;MATCH(BG8,数出表_Excel!$A:$A,0)-1&amp;":U"&amp;MATCH(BG8,数出表_Excel!$A:$A,0)-1&amp;""),0)+1,""),
IF(BC95&lt;&gt;"",
MATCH(
IFERROR(
INDEX(INDIRECT("数出表_Excel!"&amp;BB92&amp;MATCH(BG8,数出表_Excel!$A:$A,0)-1&amp;":U"&amp;MATCH(BG8,数出表_Excel!$A:$A,0)-1&amp;""),
 1,
 MATCH(TRUE, ISNUMBER(--INDIRECT("数出表_Excel!"&amp;BB92&amp;MATCH(BG8,数出表_Excel!$A:$A,0)-1&amp;":U"&amp;MATCH(BG8,数出表_Excel!$A:$A,0)-1&amp;"")),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3" s="58" t="str" cm="1">
        <f t="array" aca="1" ref="BC93" ca="1">IFERROR(IF(OR(
COUNTIF(INDIRECT("数出表_Excel!" &amp;
CHAR(MATCH(TRUE,
ISNUMBER(--INDIRECT("数出表_Excel!"&amp;BB92&amp;MATCH(BG8,数出表_Excel!$A:$A,0)-1&amp;":U"&amp;MATCH(BG8,数出表_Excel!$A:$A,0)-1&amp;"")),0)
+MATCH(TRUE, ISNUMBER(--INDIRECT("数出表_Excel!B" &amp; (MATCH(BG8,数出表_Excel!$A:$A,0)-1) &amp; ":U" &amp; (MATCH(BG8,数出表_Excel!$A:$A,0)-1))), 0)
+MATCH(TRUE, ISNUMBER(--INDIRECT("数出表_Excel!"&amp;BB50&amp; (MATCH(BG8,数出表_Excel!$A:$A,0)-1) &amp; ":U" &amp; (MATCH(BG8,数出表_Excel!$A:$A,0)-1))), 0)
+65) &amp; "3"),"*配膳*"),
COUNTIF(INDIRECT("数出表_Excel!" &amp;
CHAR(MATCH(TRUE,
ISNUMBER(--INDIRECT("数出表_Excel!"&amp;BB92&amp;MATCH(BG8,数出表_Excel!$A:$A,0)-1&amp;":U"&amp;MATCH(BG8,数出表_Excel!$A:$A,0)-1&amp;"")),0)
+MATCH(TRUE, ISNUMBER(--INDIRECT("数出表_Excel!B" &amp; (MATCH(BG8,数出表_Excel!$A:$A,0)-1) &amp; ":U" &amp; (MATCH(BG8,数出表_Excel!$A:$A,0)-1))), 0)
+MATCH(TRUE, ISNUMBER(--INDIRECT("数出表_Excel!"&amp;BB50&amp; (MATCH(BG8,数出表_Excel!$A:$A,0)-1) &amp; ":U" &amp; (MATCH(BG8,数出表_Excel!$A:$A,0)-1))), 0)
+65) &amp; "3"),"*カレー*"),
COUNTIF(BC50,"*合計*")),"",
IF(IFERROR(INDIRECT("数出表_Excel!" &amp;
CHAR(MATCH(TRUE,
ISNUMBER(--INDIRECT("数出表_Excel!"&amp;BB92&amp;MATCH(BG8,数出表_Excel!$A:$A,0)-1&amp;":U"&amp;MATCH(BG8,数出表_Excel!$A:$A,0)-1&amp;"")),0)
+MATCH(TRUE, ISNUMBER(--INDIRECT("数出表_Excel!B" &amp; (MATCH(BG8,数出表_Excel!$A:$A,0)-1) &amp; ":U" &amp; (MATCH(BG8,数出表_Excel!$A:$A,0)-1))), 0)
+MATCH(TRUE, ISNUMBER(--INDIRECT("数出表_Excel!"&amp;BB50&amp; (MATCH(BG8,数出表_Excel!$A:$A,0)-1) &amp; ":U" &amp; (MATCH(BG8,数出表_Excel!$A:$A,0)-1))), 0)
+65) &amp; "3"),0)=0,"",
IFERROR(INDIRECT("数出表_Excel!" &amp;
CHAR(MATCH(TRUE,
ISNUMBER(--INDIRECT("数出表_Excel!"&amp;BB92&amp;MATCH(BG8,数出表_Excel!$A:$A,0)-1&amp;":U"&amp;MATCH(BG8,数出表_Excel!$A:$A,0)-1&amp;"")),0)
+MATCH(TRUE, ISNUMBER(--INDIRECT("数出表_Excel!B" &amp; (MATCH(BG8,数出表_Excel!$A:$A,0)-1) &amp; ":U" &amp; (MATCH(BG8,数出表_Excel!$A:$A,0)-1))), 0)
+MATCH(TRUE, ISNUMBER(--INDIRECT("数出表_Excel!"&amp;BB50&amp; (MATCH(BG8,数出表_Excel!$A:$A,0)-1) &amp; ":U" &amp; (MATCH(BG8,数出表_Excel!$A:$A,0)-1))), 0)
+65) &amp; "3"),""))),"")</f>
        <v/>
      </c>
      <c r="BD93" s="76"/>
      <c r="BE93" s="82" t="str" cm="1">
        <f t="array" aca="1" ref="BE93" ca="1">IF(BF93&lt;&gt;"","",
IF(COUNTIF(BC92,"*雙葉*"),"",
IF(BC92&lt;&gt;"",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+MATCH(TRUE,INDIRECT("'数出表_Excel'!"&amp;BB92&amp;MATCH(BG8,数出表_Excel!$A:$A,0)-1&amp;":AL"&amp;MATCH(BG8,数出表_Excel!$A:$A,0)-1&amp;"")&lt;&gt;"",0))&gt;9,"",
IFERROR(
INDEX(INDIRECT("数出表_Excel!$"&amp;BB92&amp;"4:$AL4"),
 1,
MATCH(TRUE,INDIRECT("'数出表_Excel'!"&amp;BB92&amp;MATCH(BG8,数出表_Excel!$A:$A,0)-1&amp;":AL"&amp;MATCH(BG8,数出表_Excel!$A:$A,0)-1&amp;"")&lt;&gt;"",0)
),
 "")
&amp;IFERROR(
INDEX(INDIRECT("数出表_Excel!$"&amp;BB92&amp;"5:$AL5"),
 1,
MATCH(TRUE,INDIRECT("'数出表_Excel'!"&amp;BB92&amp;MATCH(BG8,数出表_Excel!$A:$A,0)-1&amp;":AL"&amp;MATCH(BG8,数出表_Excel!$A:$A,0)-1&amp;"")&lt;&gt;"",0)),
 "")),"")))</f>
        <v/>
      </c>
      <c r="BF93" s="83" t="str" cm="1">
        <f t="array" aca="1" ref="BF93" ca="1">IF(BC93&lt;&gt;"",
IF(COUNTIF(BC92,"*雙葉*"),
IF(ROUND(
IF(BF98&lt;&gt;"",(BC95-BF98),BC95)
/IF(COUNTIF(BC93,"*キャラ*"),
VLOOKUP("*キャラ*",商品マスタ一覧!$D:$J,7,FALSE),
IF(COUNTIF(BC93,"*赤*"),
VLOOKUP("*赤*",商品マスタ一覧!$D:$J,7,FALSE),
VLOOKUP(BC93,商品マスタ一覧!$D:$J,7,FALSE))),0)&lt;=0,1,
ROUND(
IF(BF98&lt;&gt;"",(BC95-BF98),BC95)
/IF(COUNTIF(BC93,"*キャラ*"),
VLOOKUP("*キャラ*",商品マスタ一覧!$D:$J,7,FALSE),
IF(COUNTIF(BC93,"*赤*"),
VLOOKUP("*赤*",商品マスタ一覧!$D:$J,7,FALSE),
VLOOKUP(BC93,商品マスタ一覧!$D:$J,7,FALSE))),0)),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IF(BC93&lt;&gt;"",
IF(IF(COUNTIF(BC93,"*キャラ*"),
VLOOKUP("*キャラ*",商品マスタ一覧!$D:$J,7,FALSE),
IF(COUNTIF(BC93,"*赤*"),
VLOOKUP("*赤*",商品マスタ一覧!$D:$J,7,FALSE),
VLOOKUP(BC93,商品マスタ一覧!$D:$J,7,FALSE)))=0,"",
IF(ROUND(
IF(BF98&lt;&gt;"",(BC95-BF98),BC95)
/IF(COUNTIF(BC93,"*キャラ*"),
VLOOKUP("*キャラ*",商品マスタ一覧!$D:$J,7,FALSE),
IF(COUNTIF(BC93,"*赤*"),
VLOOKUP("*赤*",商品マスタ一覧!$D:$J,7,FALSE),
VLOOKUP(BC93,商品マスタ一覧!$D:$J,7,FALSE))),0)&lt;=0,1,
ROUND(
IF(BF98&lt;&gt;"",(BC95-BF98),BC95)
/IF(COUNTIF(BC93,"*キャラ*"),
VLOOKUP("*キャラ*",商品マスタ一覧!$D:$J,7,FALSE),
IF(COUNTIF(BC93,"*赤*"),
VLOOKUP("*赤*",商品マスタ一覧!$D:$J,7,FALSE),
VLOOKUP(BC93,商品マスタ一覧!$D:$J,7,FALSE))),0))),""),"")),"")</f>
        <v/>
      </c>
      <c r="BG93" s="92" t="str">
        <f ca="1">IF(BF93&lt;&gt;"",IF(BC95&lt;&gt;"",IF(VALUE(IF(BF98&lt;&gt;"",BC95-BF98,BC95))&gt;VALUE(IF(COUNTIF('盛付札（関数）'!BC93,"*キャラ*"),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VLOOKUP('盛付札（関数）'!BC93,商品マスタ一覧!$D:$J,7,FALSE)))*BF93),
"+"&amp;IF(BF98&lt;&gt;"",BC95-BF98,BC95)-IF(COUNTIF('盛付札（関数）'!BC93,"*キャラ*"),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VLOOKUP('盛付札（関数）'!BC93,商品マスタ一覧!$D:$J,7,FALSE)))*BF93,
IF(BF98&lt;&gt;"",BC95-BF98,BC95)-IF(COUNTIF('盛付札（関数）'!BC93,"*キャラ*"),
VLOOKUP("*キャラ*",商品マスタ一覧!$D:$J,7,FALSE),
IF(COUNTIF('盛付札（関数）'!BC93,"*赤*"),
VLOOKUP("*赤*",商品マスタ一覧!$D:$J,7,FALSE),
VLOOKUP('盛付札（関数）'!BC93,商品マスタ一覧!$D:$J,7,FALSE)))*BF93),""),"")</f>
        <v/>
      </c>
      <c r="BJ93" s="81" t="e" cm="1">
        <f t="array" aca="1" ref="BJ93" ca="1">IF(BJ10&lt;&gt;100,
IF(BK95&lt;&gt;"",MATCH(BK95,INDIRECT("数出表_Excel!B"&amp;MATCH(BO8,数出表_Excel!$A:$A,0)-1&amp;":U"&amp;MATCH(BO8,数出表_Excel!$A:$A,0)-1&amp;""),0)+1,""),
IF(BK95&lt;&gt;"",
MATCH(
IFERROR(
INDEX(INDIRECT("数出表_Excel!"&amp;BJ92&amp;MATCH(BO8,数出表_Excel!$A:$A,0)-1&amp;":U"&amp;MATCH(BO8,数出表_Excel!$A:$A,0)-1&amp;""),
 1,
 MATCH(TRUE, ISNUMBER(--INDIRECT("数出表_Excel!"&amp;BJ92&amp;MATCH(BO8,数出表_Excel!$A:$A,0)-1&amp;":U"&amp;MATCH(BO8,数出表_Excel!$A:$A,0)-1&amp;"")),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3" s="58" t="str" cm="1">
        <f t="array" aca="1" ref="BK93" ca="1">IFERROR(IF(OR(
COUNTIF(INDIRECT("数出表_Excel!" &amp;
CHAR(MATCH(TRUE,
ISNUMBER(--INDIRECT("数出表_Excel!"&amp;BJ92&amp;MATCH(BO8,数出表_Excel!$A:$A,0)-1&amp;":U"&amp;MATCH(BO8,数出表_Excel!$A:$A,0)-1&amp;"")),0)
+MATCH(TRUE, ISNUMBER(--INDIRECT("数出表_Excel!B" &amp; (MATCH(BO8,数出表_Excel!$A:$A,0)-1) &amp; ":U" &amp; (MATCH(BO8,数出表_Excel!$A:$A,0)-1))), 0)
+MATCH(TRUE, ISNUMBER(--INDIRECT("数出表_Excel!"&amp;BJ50&amp; (MATCH(BO8,数出表_Excel!$A:$A,0)-1) &amp; ":U" &amp; (MATCH(BO8,数出表_Excel!$A:$A,0)-1))), 0)
+65) &amp; "3"),"*配膳*"),
COUNTIF(INDIRECT("数出表_Excel!" &amp;
CHAR(MATCH(TRUE,
ISNUMBER(--INDIRECT("数出表_Excel!"&amp;BJ92&amp;MATCH(BO8,数出表_Excel!$A:$A,0)-1&amp;":U"&amp;MATCH(BO8,数出表_Excel!$A:$A,0)-1&amp;"")),0)
+MATCH(TRUE, ISNUMBER(--INDIRECT("数出表_Excel!B" &amp; (MATCH(BO8,数出表_Excel!$A:$A,0)-1) &amp; ":U" &amp; (MATCH(BO8,数出表_Excel!$A:$A,0)-1))), 0)
+MATCH(TRUE, ISNUMBER(--INDIRECT("数出表_Excel!"&amp;BJ50&amp; (MATCH(BO8,数出表_Excel!$A:$A,0)-1) &amp; ":U" &amp; (MATCH(BO8,数出表_Excel!$A:$A,0)-1))), 0)
+65) &amp; "3"),"*カレー*"),
COUNTIF(BK50,"*合計*")),"",
IF(IFERROR(INDIRECT("数出表_Excel!" &amp;
CHAR(MATCH(TRUE,
ISNUMBER(--INDIRECT("数出表_Excel!"&amp;BJ92&amp;MATCH(BO8,数出表_Excel!$A:$A,0)-1&amp;":U"&amp;MATCH(BO8,数出表_Excel!$A:$A,0)-1&amp;"")),0)
+MATCH(TRUE, ISNUMBER(--INDIRECT("数出表_Excel!B" &amp; (MATCH(BO8,数出表_Excel!$A:$A,0)-1) &amp; ":U" &amp; (MATCH(BO8,数出表_Excel!$A:$A,0)-1))), 0)
+MATCH(TRUE, ISNUMBER(--INDIRECT("数出表_Excel!"&amp;BJ50&amp; (MATCH(BO8,数出表_Excel!$A:$A,0)-1) &amp; ":U" &amp; (MATCH(BO8,数出表_Excel!$A:$A,0)-1))), 0)
+65) &amp; "3"),0)=0,"",
IFERROR(INDIRECT("数出表_Excel!" &amp;
CHAR(MATCH(TRUE,
ISNUMBER(--INDIRECT("数出表_Excel!"&amp;BJ92&amp;MATCH(BO8,数出表_Excel!$A:$A,0)-1&amp;":U"&amp;MATCH(BO8,数出表_Excel!$A:$A,0)-1&amp;"")),0)
+MATCH(TRUE, ISNUMBER(--INDIRECT("数出表_Excel!B" &amp; (MATCH(BO8,数出表_Excel!$A:$A,0)-1) &amp; ":U" &amp; (MATCH(BO8,数出表_Excel!$A:$A,0)-1))), 0)
+MATCH(TRUE, ISNUMBER(--INDIRECT("数出表_Excel!"&amp;BJ50&amp; (MATCH(BO8,数出表_Excel!$A:$A,0)-1) &amp; ":U" &amp; (MATCH(BO8,数出表_Excel!$A:$A,0)-1))), 0)
+65) &amp; "3"),""))),"")</f>
        <v/>
      </c>
      <c r="BL93" s="76"/>
      <c r="BM93" s="82" t="str" cm="1">
        <f t="array" aca="1" ref="BM93" ca="1">IF(BN93&lt;&gt;"","",
IF(COUNTIF(BK92,"*雙葉*"),"",
IF(BK92&lt;&gt;"",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+MATCH(TRUE,INDIRECT("'数出表_Excel'!"&amp;BJ92&amp;MATCH(BO8,数出表_Excel!$A:$A,0)-1&amp;":AL"&amp;MATCH(BO8,数出表_Excel!$A:$A,0)-1&amp;"")&lt;&gt;"",0))&gt;9,"",
IFERROR(
INDEX(INDIRECT("数出表_Excel!$"&amp;BJ92&amp;"4:$AL4"),
 1,
MATCH(TRUE,INDIRECT("'数出表_Excel'!"&amp;BJ92&amp;MATCH(BO8,数出表_Excel!$A:$A,0)-1&amp;":AL"&amp;MATCH(BO8,数出表_Excel!$A:$A,0)-1&amp;"")&lt;&gt;"",0)
),
 "")
&amp;IFERROR(
INDEX(INDIRECT("数出表_Excel!$"&amp;BJ92&amp;"5:$AL5"),
 1,
MATCH(TRUE,INDIRECT("'数出表_Excel'!"&amp;BJ92&amp;MATCH(BO8,数出表_Excel!$A:$A,0)-1&amp;":AL"&amp;MATCH(BO8,数出表_Excel!$A:$A,0)-1&amp;"")&lt;&gt;"",0)),
 "")),"")))</f>
        <v/>
      </c>
      <c r="BN93" s="83" t="str" cm="1">
        <f t="array" aca="1" ref="BN93" ca="1">IF(BK93&lt;&gt;"",
IF(COUNTIF(BK92,"*雙葉*"),
IF(ROUND(
IF(BN98&lt;&gt;"",(BK95-BN98),BK95)
/IF(COUNTIF(BK93,"*キャラ*"),
VLOOKUP("*キャラ*",商品マスタ一覧!$D:$J,7,FALSE),
IF(COUNTIF(BK93,"*赤*"),
VLOOKUP("*赤*",商品マスタ一覧!$D:$J,7,FALSE),
VLOOKUP(BK93,商品マスタ一覧!$D:$J,7,FALSE))),0)&lt;=0,1,
ROUND(
IF(BN98&lt;&gt;"",(BK95-BN98),BK95)
/IF(COUNTIF(BK93,"*キャラ*"),
VLOOKUP("*キャラ*",商品マスタ一覧!$D:$J,7,FALSE),
IF(COUNTIF(BK93,"*赤*"),
VLOOKUP("*赤*",商品マスタ一覧!$D:$J,7,FALSE),
VLOOKUP(BK93,商品マスタ一覧!$D:$J,7,FALSE))),0)),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IF(BK93&lt;&gt;"",
IF(IF(COUNTIF(BK93,"*キャラ*"),
VLOOKUP("*キャラ*",商品マスタ一覧!$D:$J,7,FALSE),
IF(COUNTIF(BK93,"*赤*"),
VLOOKUP("*赤*",商品マスタ一覧!$D:$J,7,FALSE),
VLOOKUP(BK93,商品マスタ一覧!$D:$J,7,FALSE)))=0,"",
IF(ROUND(
IF(BN98&lt;&gt;"",(BK95-BN98),BK95)
/IF(COUNTIF(BK93,"*キャラ*"),
VLOOKUP("*キャラ*",商品マスタ一覧!$D:$J,7,FALSE),
IF(COUNTIF(BK93,"*赤*"),
VLOOKUP("*赤*",商品マスタ一覧!$D:$J,7,FALSE),
VLOOKUP(BK93,商品マスタ一覧!$D:$J,7,FALSE))),0)&lt;=0,1,
ROUND(
IF(BN98&lt;&gt;"",(BK95-BN98),BK95)
/IF(COUNTIF(BK93,"*キャラ*"),
VLOOKUP("*キャラ*",商品マスタ一覧!$D:$J,7,FALSE),
IF(COUNTIF(BK93,"*赤*"),
VLOOKUP("*赤*",商品マスタ一覧!$D:$J,7,FALSE),
VLOOKUP(BK93,商品マスタ一覧!$D:$J,7,FALSE))),0))),""),"")),"")</f>
        <v/>
      </c>
      <c r="BO93" s="92" t="str">
        <f ca="1">IF(BN93&lt;&gt;"",IF(BK95&lt;&gt;"",IF(VALUE(IF(BN98&lt;&gt;"",BK95-BN98,BK95))&gt;VALUE(IF(COUNTIF('盛付札（関数）'!BK93,"*キャラ*"),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VLOOKUP('盛付札（関数）'!BK93,商品マスタ一覧!$D:$J,7,FALSE)))*BN93),
"+"&amp;IF(BN98&lt;&gt;"",BK95-BN98,BK95)-IF(COUNTIF('盛付札（関数）'!BK93,"*キャラ*"),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VLOOKUP('盛付札（関数）'!BK93,商品マスタ一覧!$D:$J,7,FALSE)))*BN93,
IF(BN98&lt;&gt;"",BK95-BN98,BK95)-IF(COUNTIF('盛付札（関数）'!BK93,"*キャラ*"),
VLOOKUP("*キャラ*",商品マスタ一覧!$D:$J,7,FALSE),
IF(COUNTIF('盛付札（関数）'!BK93,"*赤*"),
VLOOKUP("*赤*",商品マスタ一覧!$D:$J,7,FALSE),
VLOOKUP('盛付札（関数）'!BK93,商品マスタ一覧!$D:$J,7,FALSE)))*BN93),""),"")</f>
        <v/>
      </c>
      <c r="BP93" s="76"/>
      <c r="BQ93" s="81" t="e" cm="1">
        <f t="array" aca="1" ref="BQ93" ca="1">IF(BQ10&lt;&gt;100,
IF(BR95&lt;&gt;"",MATCH(BR95,INDIRECT("数出表_Excel!B"&amp;MATCH(BV8,数出表_Excel!$A:$A,0)-1&amp;":U"&amp;MATCH(BV8,数出表_Excel!$A:$A,0)-1&amp;""),0)+1,""),
IF(BR95&lt;&gt;"",
MATCH(
IFERROR(
INDEX(INDIRECT("数出表_Excel!"&amp;BQ92&amp;MATCH(BV8,数出表_Excel!$A:$A,0)-1&amp;":U"&amp;MATCH(BV8,数出表_Excel!$A:$A,0)-1&amp;""),
 1,
 MATCH(TRUE, ISNUMBER(--INDIRECT("数出表_Excel!"&amp;BQ92&amp;MATCH(BV8,数出表_Excel!$A:$A,0)-1&amp;":U"&amp;MATCH(BV8,数出表_Excel!$A:$A,0)-1&amp;"")),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3" s="58" t="str" cm="1">
        <f t="array" aca="1" ref="BR93" ca="1">IFERROR(IF(OR(
COUNTIF(INDIRECT("数出表_Excel!" &amp;
CHAR(MATCH(TRUE,
ISNUMBER(--INDIRECT("数出表_Excel!"&amp;BQ92&amp;MATCH(BV8,数出表_Excel!$A:$A,0)-1&amp;":U"&amp;MATCH(BV8,数出表_Excel!$A:$A,0)-1&amp;"")),0)
+MATCH(TRUE, ISNUMBER(--INDIRECT("数出表_Excel!B" &amp; (MATCH(BV8,数出表_Excel!$A:$A,0)-1) &amp; ":U" &amp; (MATCH(BV8,数出表_Excel!$A:$A,0)-1))), 0)
+MATCH(TRUE, ISNUMBER(--INDIRECT("数出表_Excel!"&amp;BQ50&amp; (MATCH(BV8,数出表_Excel!$A:$A,0)-1) &amp; ":U" &amp; (MATCH(BV8,数出表_Excel!$A:$A,0)-1))), 0)
+65) &amp; "3"),"*配膳*"),
COUNTIF(INDIRECT("数出表_Excel!" &amp;
CHAR(MATCH(TRUE,
ISNUMBER(--INDIRECT("数出表_Excel!"&amp;BQ92&amp;MATCH(BV8,数出表_Excel!$A:$A,0)-1&amp;":U"&amp;MATCH(BV8,数出表_Excel!$A:$A,0)-1&amp;"")),0)
+MATCH(TRUE, ISNUMBER(--INDIRECT("数出表_Excel!B" &amp; (MATCH(BV8,数出表_Excel!$A:$A,0)-1) &amp; ":U" &amp; (MATCH(BV8,数出表_Excel!$A:$A,0)-1))), 0)
+MATCH(TRUE, ISNUMBER(--INDIRECT("数出表_Excel!"&amp;BQ50&amp; (MATCH(BV8,数出表_Excel!$A:$A,0)-1) &amp; ":U" &amp; (MATCH(BV8,数出表_Excel!$A:$A,0)-1))), 0)
+65) &amp; "3"),"*カレー*"),
COUNTIF(BR50,"*合計*")),"",
IF(IFERROR(INDIRECT("数出表_Excel!" &amp;
CHAR(MATCH(TRUE,
ISNUMBER(--INDIRECT("数出表_Excel!"&amp;BQ92&amp;MATCH(BV8,数出表_Excel!$A:$A,0)-1&amp;":U"&amp;MATCH(BV8,数出表_Excel!$A:$A,0)-1&amp;"")),0)
+MATCH(TRUE, ISNUMBER(--INDIRECT("数出表_Excel!B" &amp; (MATCH(BV8,数出表_Excel!$A:$A,0)-1) &amp; ":U" &amp; (MATCH(BV8,数出表_Excel!$A:$A,0)-1))), 0)
+MATCH(TRUE, ISNUMBER(--INDIRECT("数出表_Excel!"&amp;BQ50&amp; (MATCH(BV8,数出表_Excel!$A:$A,0)-1) &amp; ":U" &amp; (MATCH(BV8,数出表_Excel!$A:$A,0)-1))), 0)
+65) &amp; "3"),0)=0,"",
IFERROR(INDIRECT("数出表_Excel!" &amp;
CHAR(MATCH(TRUE,
ISNUMBER(--INDIRECT("数出表_Excel!"&amp;BQ92&amp;MATCH(BV8,数出表_Excel!$A:$A,0)-1&amp;":U"&amp;MATCH(BV8,数出表_Excel!$A:$A,0)-1&amp;"")),0)
+MATCH(TRUE, ISNUMBER(--INDIRECT("数出表_Excel!B" &amp; (MATCH(BV8,数出表_Excel!$A:$A,0)-1) &amp; ":U" &amp; (MATCH(BV8,数出表_Excel!$A:$A,0)-1))), 0)
+MATCH(TRUE, ISNUMBER(--INDIRECT("数出表_Excel!"&amp;BQ50&amp; (MATCH(BV8,数出表_Excel!$A:$A,0)-1) &amp; ":U" &amp; (MATCH(BV8,数出表_Excel!$A:$A,0)-1))), 0)
+65) &amp; "3"),""))),"")</f>
        <v/>
      </c>
      <c r="BS93" s="76"/>
      <c r="BT93" s="82" t="str" cm="1">
        <f t="array" aca="1" ref="BT93" ca="1">IF(BU93&lt;&gt;"","",
IF(COUNTIF(BR92,"*雙葉*"),"",
IF(BR92&lt;&gt;"",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+MATCH(TRUE,INDIRECT("'数出表_Excel'!"&amp;BQ92&amp;MATCH(BV8,数出表_Excel!$A:$A,0)-1&amp;":AL"&amp;MATCH(BV8,数出表_Excel!$A:$A,0)-1&amp;"")&lt;&gt;"",0))&gt;9,"",
IFERROR(
INDEX(INDIRECT("数出表_Excel!$"&amp;BQ92&amp;"4:$AL4"),
 1,
MATCH(TRUE,INDIRECT("'数出表_Excel'!"&amp;BQ92&amp;MATCH(BV8,数出表_Excel!$A:$A,0)-1&amp;":AL"&amp;MATCH(BV8,数出表_Excel!$A:$A,0)-1&amp;"")&lt;&gt;"",0)
),
 "")
&amp;IFERROR(
INDEX(INDIRECT("数出表_Excel!$"&amp;BQ92&amp;"5:$AL5"),
 1,
MATCH(TRUE,INDIRECT("'数出表_Excel'!"&amp;BQ92&amp;MATCH(BV8,数出表_Excel!$A:$A,0)-1&amp;":AL"&amp;MATCH(BV8,数出表_Excel!$A:$A,0)-1&amp;"")&lt;&gt;"",0)),
 "")),"")))</f>
        <v/>
      </c>
      <c r="BU93" s="83" t="str" cm="1">
        <f t="array" aca="1" ref="BU93" ca="1">IF(BR93&lt;&gt;"",
IF(COUNTIF(BR92,"*雙葉*"),
IF(ROUND(
IF(BU98&lt;&gt;"",(BR95-BU98),BR95)
/IF(COUNTIF(BR93,"*キャラ*"),
VLOOKUP("*キャラ*",商品マスタ一覧!$D:$J,7,FALSE),
IF(COUNTIF(BR93,"*赤*"),
VLOOKUP("*赤*",商品マスタ一覧!$D:$J,7,FALSE),
VLOOKUP(BR93,商品マスタ一覧!$D:$J,7,FALSE))),0)&lt;=0,1,
ROUND(
IF(BU98&lt;&gt;"",(BR95-BU98),BR95)
/IF(COUNTIF(BR93,"*キャラ*"),
VLOOKUP("*キャラ*",商品マスタ一覧!$D:$J,7,FALSE),
IF(COUNTIF(BR93,"*赤*"),
VLOOKUP("*赤*",商品マスタ一覧!$D:$J,7,FALSE),
VLOOKUP(BR93,商品マスタ一覧!$D:$J,7,FALSE))),0)),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IF(BR93&lt;&gt;"",
IF(IF(COUNTIF(BR93,"*キャラ*"),
VLOOKUP("*キャラ*",商品マスタ一覧!$D:$J,7,FALSE),
IF(COUNTIF(BR93,"*赤*"),
VLOOKUP("*赤*",商品マスタ一覧!$D:$J,7,FALSE),
VLOOKUP(BR93,商品マスタ一覧!$D:$J,7,FALSE)))=0,"",
IF(ROUND(
IF(BU98&lt;&gt;"",(BR95-BU98),BR95)
/IF(COUNTIF(BR93,"*キャラ*"),
VLOOKUP("*キャラ*",商品マスタ一覧!$D:$J,7,FALSE),
IF(COUNTIF(BR93,"*赤*"),
VLOOKUP("*赤*",商品マスタ一覧!$D:$J,7,FALSE),
VLOOKUP(BR93,商品マスタ一覧!$D:$J,7,FALSE))),0)&lt;=0,1,
ROUND(
IF(BU98&lt;&gt;"",(BR95-BU98),BR95)
/IF(COUNTIF(BR93,"*キャラ*"),
VLOOKUP("*キャラ*",商品マスタ一覧!$D:$J,7,FALSE),
IF(COUNTIF(BR93,"*赤*"),
VLOOKUP("*赤*",商品マスタ一覧!$D:$J,7,FALSE),
VLOOKUP(BR93,商品マスタ一覧!$D:$J,7,FALSE))),0))),""),"")),"")</f>
        <v/>
      </c>
      <c r="BV93" s="92" t="str">
        <f ca="1">IF(BU93&lt;&gt;"",IF(BR95&lt;&gt;"",IF(VALUE(IF(BU98&lt;&gt;"",BR95-BU98,BR95))&gt;VALUE(IF(COUNTIF('盛付札（関数）'!BR93,"*キャラ*"),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VLOOKUP('盛付札（関数）'!BR93,商品マスタ一覧!$D:$J,7,FALSE)))*BU93),
"+"&amp;IF(BU98&lt;&gt;"",BR95-BU98,BR95)-IF(COUNTIF('盛付札（関数）'!BR93,"*キャラ*"),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VLOOKUP('盛付札（関数）'!BR93,商品マスタ一覧!$D:$J,7,FALSE)))*BU93,
IF(BU98&lt;&gt;"",BR95-BU98,BR95)-IF(COUNTIF('盛付札（関数）'!BR93,"*キャラ*"),
VLOOKUP("*キャラ*",商品マスタ一覧!$D:$J,7,FALSE),
IF(COUNTIF('盛付札（関数）'!BR93,"*赤*"),
VLOOKUP("*赤*",商品マスタ一覧!$D:$J,7,FALSE),
VLOOKUP('盛付札（関数）'!BR93,商品マスタ一覧!$D:$J,7,FALSE)))*BU93),""),"")</f>
        <v/>
      </c>
      <c r="BY93" s="81" t="e" cm="1">
        <f t="array" aca="1" ref="BY93" ca="1">IF(BY10&lt;&gt;100,
IF(BZ95&lt;&gt;"",MATCH(BZ95,INDIRECT("数出表_Excel!B"&amp;MATCH(CD8,数出表_Excel!$A:$A,0)-1&amp;":U"&amp;MATCH(CD8,数出表_Excel!$A:$A,0)-1&amp;""),0)+1,""),
IF(BZ95&lt;&gt;"",
MATCH(
IFERROR(
INDEX(INDIRECT("数出表_Excel!"&amp;BY92&amp;MATCH(CD8,数出表_Excel!$A:$A,0)-1&amp;":U"&amp;MATCH(CD8,数出表_Excel!$A:$A,0)-1&amp;""),
 1,
 MATCH(TRUE, ISNUMBER(--INDIRECT("数出表_Excel!"&amp;BY92&amp;MATCH(CD8,数出表_Excel!$A:$A,0)-1&amp;":U"&amp;MATCH(CD8,数出表_Excel!$A:$A,0)-1&amp;"")),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93" s="58" t="str" cm="1">
        <f t="array" aca="1" ref="BZ93" ca="1">IFERROR(IF(OR(
COUNTIF(INDIRECT("数出表_Excel!" &amp;
CHAR(MATCH(TRUE,
ISNUMBER(--INDIRECT("数出表_Excel!"&amp;BY92&amp;MATCH(CD8,数出表_Excel!$A:$A,0)-1&amp;":U"&amp;MATCH(CD8,数出表_Excel!$A:$A,0)-1&amp;"")),0)
+MATCH(TRUE, ISNUMBER(--INDIRECT("数出表_Excel!B" &amp; (MATCH(CD8,数出表_Excel!$A:$A,0)-1) &amp; ":U" &amp; (MATCH(CD8,数出表_Excel!$A:$A,0)-1))), 0)
+MATCH(TRUE, ISNUMBER(--INDIRECT("数出表_Excel!"&amp;BY50&amp; (MATCH(CD8,数出表_Excel!$A:$A,0)-1) &amp; ":U" &amp; (MATCH(CD8,数出表_Excel!$A:$A,0)-1))), 0)
+65) &amp; "3"),"*配膳*"),
COUNTIF(INDIRECT("数出表_Excel!" &amp;
CHAR(MATCH(TRUE,
ISNUMBER(--INDIRECT("数出表_Excel!"&amp;BY92&amp;MATCH(CD8,数出表_Excel!$A:$A,0)-1&amp;":U"&amp;MATCH(CD8,数出表_Excel!$A:$A,0)-1&amp;"")),0)
+MATCH(TRUE, ISNUMBER(--INDIRECT("数出表_Excel!B" &amp; (MATCH(CD8,数出表_Excel!$A:$A,0)-1) &amp; ":U" &amp; (MATCH(CD8,数出表_Excel!$A:$A,0)-1))), 0)
+MATCH(TRUE, ISNUMBER(--INDIRECT("数出表_Excel!"&amp;BY50&amp; (MATCH(CD8,数出表_Excel!$A:$A,0)-1) &amp; ":U" &amp; (MATCH(CD8,数出表_Excel!$A:$A,0)-1))), 0)
+65) &amp; "3"),"*カレー*"),
COUNTIF(BZ50,"*合計*")),"",
IF(IFERROR(INDIRECT("数出表_Excel!" &amp;
CHAR(MATCH(TRUE,
ISNUMBER(--INDIRECT("数出表_Excel!"&amp;BY92&amp;MATCH(CD8,数出表_Excel!$A:$A,0)-1&amp;":U"&amp;MATCH(CD8,数出表_Excel!$A:$A,0)-1&amp;"")),0)
+MATCH(TRUE, ISNUMBER(--INDIRECT("数出表_Excel!B" &amp; (MATCH(CD8,数出表_Excel!$A:$A,0)-1) &amp; ":U" &amp; (MATCH(CD8,数出表_Excel!$A:$A,0)-1))), 0)
+MATCH(TRUE, ISNUMBER(--INDIRECT("数出表_Excel!"&amp;BY50&amp; (MATCH(CD8,数出表_Excel!$A:$A,0)-1) &amp; ":U" &amp; (MATCH(CD8,数出表_Excel!$A:$A,0)-1))), 0)
+65) &amp; "3"),0)=0,"",
IFERROR(INDIRECT("数出表_Excel!" &amp;
CHAR(MATCH(TRUE,
ISNUMBER(--INDIRECT("数出表_Excel!"&amp;BY92&amp;MATCH(CD8,数出表_Excel!$A:$A,0)-1&amp;":U"&amp;MATCH(CD8,数出表_Excel!$A:$A,0)-1&amp;"")),0)
+MATCH(TRUE, ISNUMBER(--INDIRECT("数出表_Excel!B" &amp; (MATCH(CD8,数出表_Excel!$A:$A,0)-1) &amp; ":U" &amp; (MATCH(CD8,数出表_Excel!$A:$A,0)-1))), 0)
+MATCH(TRUE, ISNUMBER(--INDIRECT("数出表_Excel!"&amp;BY50&amp; (MATCH(CD8,数出表_Excel!$A:$A,0)-1) &amp; ":U" &amp; (MATCH(CD8,数出表_Excel!$A:$A,0)-1))), 0)
+65) &amp; "3"),""))),"")</f>
        <v/>
      </c>
      <c r="CA93" s="76"/>
      <c r="CB93" s="82" t="str" cm="1">
        <f t="array" aca="1" ref="CB93" ca="1">IF(CC93&lt;&gt;"","",
IF(COUNTIF(BZ92,"*雙葉*"),"",
IF(BZ92&lt;&gt;"",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+MATCH(TRUE,INDIRECT("'数出表_Excel'!"&amp;BY92&amp;MATCH(CD8,数出表_Excel!$A:$A,0)-1&amp;":AL"&amp;MATCH(CD8,数出表_Excel!$A:$A,0)-1&amp;"")&lt;&gt;"",0))&gt;9,"",
IFERROR(
INDEX(INDIRECT("数出表_Excel!$"&amp;BY92&amp;"4:$AL4"),
 1,
MATCH(TRUE,INDIRECT("'数出表_Excel'!"&amp;BY92&amp;MATCH(CD8,数出表_Excel!$A:$A,0)-1&amp;":AL"&amp;MATCH(CD8,数出表_Excel!$A:$A,0)-1&amp;"")&lt;&gt;"",0)
),
 "")
&amp;IFERROR(
INDEX(INDIRECT("数出表_Excel!$"&amp;BY92&amp;"5:$AL5"),
 1,
MATCH(TRUE,INDIRECT("'数出表_Excel'!"&amp;BY92&amp;MATCH(CD8,数出表_Excel!$A:$A,0)-1&amp;":AL"&amp;MATCH(CD8,数出表_Excel!$A:$A,0)-1&amp;"")&lt;&gt;"",0)),
 "")),"")))</f>
        <v/>
      </c>
      <c r="CC93" s="83" t="str" cm="1">
        <f t="array" aca="1" ref="CC93" ca="1">IF(BZ93&lt;&gt;"",
IF(COUNTIF(BZ92,"*雙葉*"),
IF(ROUND(
IF(CC98&lt;&gt;"",(BZ95-CC98),BZ95)
/IF(COUNTIF(BZ93,"*キャラ*"),
VLOOKUP("*キャラ*",商品マスタ一覧!$D:$J,7,FALSE),
IF(COUNTIF(BZ93,"*赤*"),
VLOOKUP("*赤*",商品マスタ一覧!$D:$J,7,FALSE),
VLOOKUP(BZ93,商品マスタ一覧!$D:$J,7,FALSE))),0)&lt;=0,1,
ROUND(
IF(CC98&lt;&gt;"",(BZ95-CC98),BZ95)
/IF(COUNTIF(BZ93,"*キャラ*"),
VLOOKUP("*キャラ*",商品マスタ一覧!$D:$J,7,FALSE),
IF(COUNTIF(BZ93,"*赤*"),
VLOOKUP("*赤*",商品マスタ一覧!$D:$J,7,FALSE),
VLOOKUP(BZ93,商品マスタ一覧!$D:$J,7,FALSE))),0)),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IF(BZ93&lt;&gt;"",
IF(IF(COUNTIF(BZ93,"*キャラ*"),
VLOOKUP("*キャラ*",商品マスタ一覧!$D:$J,7,FALSE),
IF(COUNTIF(BZ93,"*赤*"),
VLOOKUP("*赤*",商品マスタ一覧!$D:$J,7,FALSE),
VLOOKUP(BZ93,商品マスタ一覧!$D:$J,7,FALSE)))=0,"",
IF(ROUND(
IF(CC98&lt;&gt;"",(BZ95-CC98),BZ95)
/IF(COUNTIF(BZ93,"*キャラ*"),
VLOOKUP("*キャラ*",商品マスタ一覧!$D:$J,7,FALSE),
IF(COUNTIF(BZ93,"*赤*"),
VLOOKUP("*赤*",商品マスタ一覧!$D:$J,7,FALSE),
VLOOKUP(BZ93,商品マスタ一覧!$D:$J,7,FALSE))),0)&lt;=0,1,
ROUND(
IF(CC98&lt;&gt;"",(BZ95-CC98),BZ95)
/IF(COUNTIF(BZ93,"*キャラ*"),
VLOOKUP("*キャラ*",商品マスタ一覧!$D:$J,7,FALSE),
IF(COUNTIF(BZ93,"*赤*"),
VLOOKUP("*赤*",商品マスタ一覧!$D:$J,7,FALSE),
VLOOKUP(BZ93,商品マスタ一覧!$D:$J,7,FALSE))),0))),""),"")),"")</f>
        <v/>
      </c>
      <c r="CD93" s="92" t="str">
        <f ca="1">IF(CC93&lt;&gt;"",IF(BZ95&lt;&gt;"",IF(VALUE(IF(CC98&lt;&gt;"",BZ95-CC98,BZ95))&gt;VALUE(IF(COUNTIF('盛付札（関数）'!BZ93,"*キャラ*"),
VLOOKUP("*キャラ*",商品マスタ一覧!$D:$J,7,FALSE),
IF(COUNTIF('盛付札（関数）'!BZ93,"*赤*"),
VLOOKUP("*赤*",商品マスタ一覧!$D:$J,7,FALSE),
VLOOKUP('盛付札（関数）'!BZ93,商品マスタ一覧!$D:$J,7,FALSE)))*CC93),
"+"&amp;IF(CC98&lt;&gt;"",BZ95-CC98,BZ95)-IF(COUNTIF('盛付札（関数）'!BZ93,"*キャラ*"),
VLOOKUP("*キャラ*",商品マスタ一覧!$D:$J,7,FALSE),
IF(COUNTIF('盛付札（関数）'!BZ93,"*赤*"),
VLOOKUP("*赤*",商品マスタ一覧!$D:$J,7,FALSE),
VLOOKUP('盛付札（関数）'!BZ93,商品マスタ一覧!$D:$J,7,FALSE)))*CC93,
IF(CC98&lt;&gt;"",BZ95-CC98,BZ95)-IF(COUNTIF('盛付札（関数）'!BZ93,"*キャラ*"),
VLOOKUP("*キャラ*",商品マスタ一覧!$D:$J,7,FALSE),
IF(COUNTIF('盛付札（関数）'!BZ93,"*赤*"),
VLOOKUP("*赤*",商品マスタ一覧!$D:$J,7,FALSE),
VLOOKUP('盛付札（関数）'!BZ93,商品マスタ一覧!$D:$J,7,FALSE)))*CC93),""),"")</f>
        <v/>
      </c>
      <c r="CE93" s="76"/>
      <c r="CF93" s="81" t="e" cm="1">
        <f t="array" aca="1" ref="CF93" ca="1">IF(CF10&lt;&gt;100,
IF(CG95&lt;&gt;"",MATCH(CG95,INDIRECT("数出表_Excel!B"&amp;MATCH(CK8,数出表_Excel!$A:$A,0)-1&amp;":U"&amp;MATCH(CK8,数出表_Excel!$A:$A,0)-1&amp;""),0)+1,""),
IF(CG95&lt;&gt;"",
MATCH(
IFERROR(
INDEX(INDIRECT("数出表_Excel!"&amp;CF92&amp;MATCH(CK8,数出表_Excel!$A:$A,0)-1&amp;":U"&amp;MATCH(CK8,数出表_Excel!$A:$A,0)-1&amp;""),
 1,
 MATCH(TRUE, ISNUMBER(--INDIRECT("数出表_Excel!"&amp;CF92&amp;MATCH(CK8,数出表_Excel!$A:$A,0)-1&amp;":U"&amp;MATCH(CK8,数出表_Excel!$A:$A,0)-1&amp;"")),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93" s="58" t="str" cm="1">
        <f t="array" aca="1" ref="CG93" ca="1">IFERROR(IF(OR(
COUNTIF(INDIRECT("数出表_Excel!" &amp;
CHAR(MATCH(TRUE,
ISNUMBER(--INDIRECT("数出表_Excel!"&amp;CF92&amp;MATCH(CK8,数出表_Excel!$A:$A,0)-1&amp;":U"&amp;MATCH(CK8,数出表_Excel!$A:$A,0)-1&amp;"")),0)
+MATCH(TRUE, ISNUMBER(--INDIRECT("数出表_Excel!B" &amp; (MATCH(CK8,数出表_Excel!$A:$A,0)-1) &amp; ":U" &amp; (MATCH(CK8,数出表_Excel!$A:$A,0)-1))), 0)
+MATCH(TRUE, ISNUMBER(--INDIRECT("数出表_Excel!"&amp;CF50&amp; (MATCH(CK8,数出表_Excel!$A:$A,0)-1) &amp; ":U" &amp; (MATCH(CK8,数出表_Excel!$A:$A,0)-1))), 0)
+65) &amp; "3"),"*配膳*"),
COUNTIF(INDIRECT("数出表_Excel!" &amp;
CHAR(MATCH(TRUE,
ISNUMBER(--INDIRECT("数出表_Excel!"&amp;CF92&amp;MATCH(CK8,数出表_Excel!$A:$A,0)-1&amp;":U"&amp;MATCH(CK8,数出表_Excel!$A:$A,0)-1&amp;"")),0)
+MATCH(TRUE, ISNUMBER(--INDIRECT("数出表_Excel!B" &amp; (MATCH(CK8,数出表_Excel!$A:$A,0)-1) &amp; ":U" &amp; (MATCH(CK8,数出表_Excel!$A:$A,0)-1))), 0)
+MATCH(TRUE, ISNUMBER(--INDIRECT("数出表_Excel!"&amp;CF50&amp; (MATCH(CK8,数出表_Excel!$A:$A,0)-1) &amp; ":U" &amp; (MATCH(CK8,数出表_Excel!$A:$A,0)-1))), 0)
+65) &amp; "3"),"*カレー*"),
COUNTIF(CG50,"*合計*")),"",
IF(IFERROR(INDIRECT("数出表_Excel!" &amp;
CHAR(MATCH(TRUE,
ISNUMBER(--INDIRECT("数出表_Excel!"&amp;CF92&amp;MATCH(CK8,数出表_Excel!$A:$A,0)-1&amp;":U"&amp;MATCH(CK8,数出表_Excel!$A:$A,0)-1&amp;"")),0)
+MATCH(TRUE, ISNUMBER(--INDIRECT("数出表_Excel!B" &amp; (MATCH(CK8,数出表_Excel!$A:$A,0)-1) &amp; ":U" &amp; (MATCH(CK8,数出表_Excel!$A:$A,0)-1))), 0)
+MATCH(TRUE, ISNUMBER(--INDIRECT("数出表_Excel!"&amp;CF50&amp; (MATCH(CK8,数出表_Excel!$A:$A,0)-1) &amp; ":U" &amp; (MATCH(CK8,数出表_Excel!$A:$A,0)-1))), 0)
+65) &amp; "3"),0)=0,"",
IFERROR(INDIRECT("数出表_Excel!" &amp;
CHAR(MATCH(TRUE,
ISNUMBER(--INDIRECT("数出表_Excel!"&amp;CF92&amp;MATCH(CK8,数出表_Excel!$A:$A,0)-1&amp;":U"&amp;MATCH(CK8,数出表_Excel!$A:$A,0)-1&amp;"")),0)
+MATCH(TRUE, ISNUMBER(--INDIRECT("数出表_Excel!B" &amp; (MATCH(CK8,数出表_Excel!$A:$A,0)-1) &amp; ":U" &amp; (MATCH(CK8,数出表_Excel!$A:$A,0)-1))), 0)
+MATCH(TRUE, ISNUMBER(--INDIRECT("数出表_Excel!"&amp;CF50&amp; (MATCH(CK8,数出表_Excel!$A:$A,0)-1) &amp; ":U" &amp; (MATCH(CK8,数出表_Excel!$A:$A,0)-1))), 0)
+65) &amp; "3"),""))),"")</f>
        <v/>
      </c>
      <c r="CH93" s="76"/>
      <c r="CI93" s="82" t="str" cm="1">
        <f t="array" aca="1" ref="CI93" ca="1">IF(CJ93&lt;&gt;"","",
IF(COUNTIF(CG92,"*雙葉*"),"",
IF(CG92&lt;&gt;"",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+MATCH(TRUE,INDIRECT("'数出表_Excel'!"&amp;CF92&amp;MATCH(CK8,数出表_Excel!$A:$A,0)-1&amp;":AL"&amp;MATCH(CK8,数出表_Excel!$A:$A,0)-1&amp;"")&lt;&gt;"",0))&gt;9,"",
IFERROR(
INDEX(INDIRECT("数出表_Excel!$"&amp;CF92&amp;"4:$AL4"),
 1,
MATCH(TRUE,INDIRECT("'数出表_Excel'!"&amp;CF92&amp;MATCH(CK8,数出表_Excel!$A:$A,0)-1&amp;":AL"&amp;MATCH(CK8,数出表_Excel!$A:$A,0)-1&amp;"")&lt;&gt;"",0)
),
 "")
&amp;IFERROR(
INDEX(INDIRECT("数出表_Excel!$"&amp;CF92&amp;"5:$AL5"),
 1,
MATCH(TRUE,INDIRECT("'数出表_Excel'!"&amp;CF92&amp;MATCH(CK8,数出表_Excel!$A:$A,0)-1&amp;":AL"&amp;MATCH(CK8,数出表_Excel!$A:$A,0)-1&amp;"")&lt;&gt;"",0)),
 "")),"")))</f>
        <v/>
      </c>
      <c r="CJ93" s="83" t="str" cm="1">
        <f t="array" aca="1" ref="CJ93" ca="1">IF(CG93&lt;&gt;"",
IF(COUNTIF(CG92,"*雙葉*"),
IF(ROUND(
IF(CJ98&lt;&gt;"",(CG95-CJ98),CG95)
/IF(COUNTIF(CG93,"*キャラ*"),
VLOOKUP("*キャラ*",商品マスタ一覧!$D:$J,7,FALSE),
IF(COUNTIF(CG93,"*赤*"),
VLOOKUP("*赤*",商品マスタ一覧!$D:$J,7,FALSE),
VLOOKUP(CG93,商品マスタ一覧!$D:$J,7,FALSE))),0)&lt;=0,1,
ROUND(
IF(CJ98&lt;&gt;"",(CG95-CJ98),CG95)
/IF(COUNTIF(CG93,"*キャラ*"),
VLOOKUP("*キャラ*",商品マスタ一覧!$D:$J,7,FALSE),
IF(COUNTIF(CG93,"*赤*"),
VLOOKUP("*赤*",商品マスタ一覧!$D:$J,7,FALSE),
VLOOKUP(CG93,商品マスタ一覧!$D:$J,7,FALSE))),0)),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IF(CG93&lt;&gt;"",
IF(IF(COUNTIF(CG93,"*キャラ*"),
VLOOKUP("*キャラ*",商品マスタ一覧!$D:$J,7,FALSE),
IF(COUNTIF(CG93,"*赤*"),
VLOOKUP("*赤*",商品マスタ一覧!$D:$J,7,FALSE),
VLOOKUP(CG93,商品マスタ一覧!$D:$J,7,FALSE)))=0,"",
IF(ROUND(
IF(CJ98&lt;&gt;"",(CG95-CJ98),CG95)
/IF(COUNTIF(CG93,"*キャラ*"),
VLOOKUP("*キャラ*",商品マスタ一覧!$D:$J,7,FALSE),
IF(COUNTIF(CG93,"*赤*"),
VLOOKUP("*赤*",商品マスタ一覧!$D:$J,7,FALSE),
VLOOKUP(CG93,商品マスタ一覧!$D:$J,7,FALSE))),0)&lt;=0,1,
ROUND(
IF(CJ98&lt;&gt;"",(CG95-CJ98),CG95)
/IF(COUNTIF(CG93,"*キャラ*"),
VLOOKUP("*キャラ*",商品マスタ一覧!$D:$J,7,FALSE),
IF(COUNTIF(CG93,"*赤*"),
VLOOKUP("*赤*",商品マスタ一覧!$D:$J,7,FALSE),
VLOOKUP(CG93,商品マスタ一覧!$D:$J,7,FALSE))),0))),""),"")),"")</f>
        <v/>
      </c>
      <c r="CK93" s="92" t="str">
        <f ca="1">IF(CJ93&lt;&gt;"",IF(CG95&lt;&gt;"",IF(VALUE(IF(CJ98&lt;&gt;"",CG95-CJ98,CG95))&gt;VALUE(IF(COUNTIF('盛付札（関数）'!CG93,"*キャラ*"),
VLOOKUP("*キャラ*",商品マスタ一覧!$D:$J,7,FALSE),
IF(COUNTIF('盛付札（関数）'!CG93,"*赤*"),
VLOOKUP("*赤*",商品マスタ一覧!$D:$J,7,FALSE),
VLOOKUP('盛付札（関数）'!CG93,商品マスタ一覧!$D:$J,7,FALSE)))*CJ93),
"+"&amp;IF(CJ98&lt;&gt;"",CG95-CJ98,CG95)-IF(COUNTIF('盛付札（関数）'!CG93,"*キャラ*"),
VLOOKUP("*キャラ*",商品マスタ一覧!$D:$J,7,FALSE),
IF(COUNTIF('盛付札（関数）'!CG93,"*赤*"),
VLOOKUP("*赤*",商品マスタ一覧!$D:$J,7,FALSE),
VLOOKUP('盛付札（関数）'!CG93,商品マスタ一覧!$D:$J,7,FALSE)))*CJ93,
IF(CJ98&lt;&gt;"",CG95-CJ98,CG95)-IF(COUNTIF('盛付札（関数）'!CG93,"*キャラ*"),
VLOOKUP("*キャラ*",商品マスタ一覧!$D:$J,7,FALSE),
IF(COUNTIF('盛付札（関数）'!CG93,"*赤*"),
VLOOKUP("*赤*",商品マスタ一覧!$D:$J,7,FALSE),
VLOOKUP('盛付札（関数）'!CG93,商品マスタ一覧!$D:$J,7,FALSE)))*CJ93),""),"")</f>
        <v/>
      </c>
      <c r="CN93" s="81" t="e" cm="1">
        <f t="array" aca="1" ref="CN93" ca="1">IF(CN10&lt;&gt;100,
IF(CO95&lt;&gt;"",MATCH(CO95,INDIRECT("数出表_Excel!B"&amp;MATCH(CS8,数出表_Excel!$A:$A,0)-1&amp;":U"&amp;MATCH(CS8,数出表_Excel!$A:$A,0)-1&amp;""),0)+1,""),
IF(CO95&lt;&gt;"",
MATCH(
IFERROR(
INDEX(INDIRECT("数出表_Excel!"&amp;CN92&amp;MATCH(CS8,数出表_Excel!$A:$A,0)-1&amp;":U"&amp;MATCH(CS8,数出表_Excel!$A:$A,0)-1&amp;""),
 1,
 MATCH(TRUE, ISNUMBER(--INDIRECT("数出表_Excel!"&amp;CN92&amp;MATCH(CS8,数出表_Excel!$A:$A,0)-1&amp;":U"&amp;MATCH(CS8,数出表_Excel!$A:$A,0)-1&amp;"")),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93" s="58" t="str" cm="1">
        <f t="array" aca="1" ref="CO93" ca="1">IFERROR(IF(OR(
COUNTIF(INDIRECT("数出表_Excel!" &amp;
CHAR(MATCH(TRUE,
ISNUMBER(--INDIRECT("数出表_Excel!"&amp;CN92&amp;MATCH(CS8,数出表_Excel!$A:$A,0)-1&amp;":U"&amp;MATCH(CS8,数出表_Excel!$A:$A,0)-1&amp;"")),0)
+MATCH(TRUE, ISNUMBER(--INDIRECT("数出表_Excel!B" &amp; (MATCH(CS8,数出表_Excel!$A:$A,0)-1) &amp; ":U" &amp; (MATCH(CS8,数出表_Excel!$A:$A,0)-1))), 0)
+MATCH(TRUE, ISNUMBER(--INDIRECT("数出表_Excel!"&amp;CN50&amp; (MATCH(CS8,数出表_Excel!$A:$A,0)-1) &amp; ":U" &amp; (MATCH(CS8,数出表_Excel!$A:$A,0)-1))), 0)
+65) &amp; "3"),"*配膳*"),
COUNTIF(INDIRECT("数出表_Excel!" &amp;
CHAR(MATCH(TRUE,
ISNUMBER(--INDIRECT("数出表_Excel!"&amp;CN92&amp;MATCH(CS8,数出表_Excel!$A:$A,0)-1&amp;":U"&amp;MATCH(CS8,数出表_Excel!$A:$A,0)-1&amp;"")),0)
+MATCH(TRUE, ISNUMBER(--INDIRECT("数出表_Excel!B" &amp; (MATCH(CS8,数出表_Excel!$A:$A,0)-1) &amp; ":U" &amp; (MATCH(CS8,数出表_Excel!$A:$A,0)-1))), 0)
+MATCH(TRUE, ISNUMBER(--INDIRECT("数出表_Excel!"&amp;CN50&amp; (MATCH(CS8,数出表_Excel!$A:$A,0)-1) &amp; ":U" &amp; (MATCH(CS8,数出表_Excel!$A:$A,0)-1))), 0)
+65) &amp; "3"),"*カレー*"),
COUNTIF(CO50,"*合計*")),"",
IF(IFERROR(INDIRECT("数出表_Excel!" &amp;
CHAR(MATCH(TRUE,
ISNUMBER(--INDIRECT("数出表_Excel!"&amp;CN92&amp;MATCH(CS8,数出表_Excel!$A:$A,0)-1&amp;":U"&amp;MATCH(CS8,数出表_Excel!$A:$A,0)-1&amp;"")),0)
+MATCH(TRUE, ISNUMBER(--INDIRECT("数出表_Excel!B" &amp; (MATCH(CS8,数出表_Excel!$A:$A,0)-1) &amp; ":U" &amp; (MATCH(CS8,数出表_Excel!$A:$A,0)-1))), 0)
+MATCH(TRUE, ISNUMBER(--INDIRECT("数出表_Excel!"&amp;CN50&amp; (MATCH(CS8,数出表_Excel!$A:$A,0)-1) &amp; ":U" &amp; (MATCH(CS8,数出表_Excel!$A:$A,0)-1))), 0)
+65) &amp; "3"),0)=0,"",
IFERROR(INDIRECT("数出表_Excel!" &amp;
CHAR(MATCH(TRUE,
ISNUMBER(--INDIRECT("数出表_Excel!"&amp;CN92&amp;MATCH(CS8,数出表_Excel!$A:$A,0)-1&amp;":U"&amp;MATCH(CS8,数出表_Excel!$A:$A,0)-1&amp;"")),0)
+MATCH(TRUE, ISNUMBER(--INDIRECT("数出表_Excel!B" &amp; (MATCH(CS8,数出表_Excel!$A:$A,0)-1) &amp; ":U" &amp; (MATCH(CS8,数出表_Excel!$A:$A,0)-1))), 0)
+MATCH(TRUE, ISNUMBER(--INDIRECT("数出表_Excel!"&amp;CN50&amp; (MATCH(CS8,数出表_Excel!$A:$A,0)-1) &amp; ":U" &amp; (MATCH(CS8,数出表_Excel!$A:$A,0)-1))), 0)
+65) &amp; "3"),""))),"")</f>
        <v/>
      </c>
      <c r="CP93" s="76"/>
      <c r="CQ93" s="82" t="str" cm="1">
        <f t="array" aca="1" ref="CQ93" ca="1">IF(CR93&lt;&gt;"","",
IF(COUNTIF(CO92,"*雙葉*"),"",
IF(CO92&lt;&gt;"",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+MATCH(TRUE,INDIRECT("'数出表_Excel'!"&amp;CN92&amp;MATCH(CS8,数出表_Excel!$A:$A,0)-1&amp;":AL"&amp;MATCH(CS8,数出表_Excel!$A:$A,0)-1&amp;"")&lt;&gt;"",0))&gt;9,"",
IFERROR(
INDEX(INDIRECT("数出表_Excel!$"&amp;CN92&amp;"4:$AL4"),
 1,
MATCH(TRUE,INDIRECT("'数出表_Excel'!"&amp;CN92&amp;MATCH(CS8,数出表_Excel!$A:$A,0)-1&amp;":AL"&amp;MATCH(CS8,数出表_Excel!$A:$A,0)-1&amp;"")&lt;&gt;"",0)
),
 "")
&amp;IFERROR(
INDEX(INDIRECT("数出表_Excel!$"&amp;CN92&amp;"5:$AL5"),
 1,
MATCH(TRUE,INDIRECT("'数出表_Excel'!"&amp;CN92&amp;MATCH(CS8,数出表_Excel!$A:$A,0)-1&amp;":AL"&amp;MATCH(CS8,数出表_Excel!$A:$A,0)-1&amp;"")&lt;&gt;"",0)),
 "")),"")))</f>
        <v/>
      </c>
      <c r="CR93" s="83" t="str" cm="1">
        <f t="array" aca="1" ref="CR93" ca="1">IF(CO93&lt;&gt;"",
IF(COUNTIF(CO92,"*雙葉*"),
IF(ROUND(
IF(CR98&lt;&gt;"",(CO95-CR98),CO95)
/IF(COUNTIF(CO93,"*キャラ*"),
VLOOKUP("*キャラ*",商品マスタ一覧!$D:$J,7,FALSE),
IF(COUNTIF(CO93,"*赤*"),
VLOOKUP("*赤*",商品マスタ一覧!$D:$J,7,FALSE),
VLOOKUP(CO93,商品マスタ一覧!$D:$J,7,FALSE))),0)&lt;=0,1,
ROUND(
IF(CR98&lt;&gt;"",(CO95-CR98),CO95)
/IF(COUNTIF(CO93,"*キャラ*"),
VLOOKUP("*キャラ*",商品マスタ一覧!$D:$J,7,FALSE),
IF(COUNTIF(CO93,"*赤*"),
VLOOKUP("*赤*",商品マスタ一覧!$D:$J,7,FALSE),
VLOOKUP(CO93,商品マスタ一覧!$D:$J,7,FALSE))),0)),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IF(CO93&lt;&gt;"",
IF(IF(COUNTIF(CO93,"*キャラ*"),
VLOOKUP("*キャラ*",商品マスタ一覧!$D:$J,7,FALSE),
IF(COUNTIF(CO93,"*赤*"),
VLOOKUP("*赤*",商品マスタ一覧!$D:$J,7,FALSE),
VLOOKUP(CO93,商品マスタ一覧!$D:$J,7,FALSE)))=0,"",
IF(ROUND(
IF(CR98&lt;&gt;"",(CO95-CR98),CO95)
/IF(COUNTIF(CO93,"*キャラ*"),
VLOOKUP("*キャラ*",商品マスタ一覧!$D:$J,7,FALSE),
IF(COUNTIF(CO93,"*赤*"),
VLOOKUP("*赤*",商品マスタ一覧!$D:$J,7,FALSE),
VLOOKUP(CO93,商品マスタ一覧!$D:$J,7,FALSE))),0)&lt;=0,1,
ROUND(
IF(CR98&lt;&gt;"",(CO95-CR98),CO95)
/IF(COUNTIF(CO93,"*キャラ*"),
VLOOKUP("*キャラ*",商品マスタ一覧!$D:$J,7,FALSE),
IF(COUNTIF(CO93,"*赤*"),
VLOOKUP("*赤*",商品マスタ一覧!$D:$J,7,FALSE),
VLOOKUP(CO93,商品マスタ一覧!$D:$J,7,FALSE))),0))),""),"")),"")</f>
        <v/>
      </c>
      <c r="CS93" s="92" t="str">
        <f ca="1">IF(CR93&lt;&gt;"",IF(CO95&lt;&gt;"",IF(VALUE(IF(CR98&lt;&gt;"",CO95-CR98,CO95))&gt;VALUE(IF(COUNTIF('盛付札（関数）'!CO93,"*キャラ*"),
VLOOKUP("*キャラ*",商品マスタ一覧!$D:$J,7,FALSE),
IF(COUNTIF('盛付札（関数）'!CO93,"*赤*"),
VLOOKUP("*赤*",商品マスタ一覧!$D:$J,7,FALSE),
VLOOKUP('盛付札（関数）'!CO93,商品マスタ一覧!$D:$J,7,FALSE)))*CR93),
"+"&amp;IF(CR98&lt;&gt;"",CO95-CR98,CO95)-IF(COUNTIF('盛付札（関数）'!CO93,"*キャラ*"),
VLOOKUP("*キャラ*",商品マスタ一覧!$D:$J,7,FALSE),
IF(COUNTIF('盛付札（関数）'!CO93,"*赤*"),
VLOOKUP("*赤*",商品マスタ一覧!$D:$J,7,FALSE),
VLOOKUP('盛付札（関数）'!CO93,商品マスタ一覧!$D:$J,7,FALSE)))*CR93,
IF(CR98&lt;&gt;"",CO95-CR98,CO95)-IF(COUNTIF('盛付札（関数）'!CO93,"*キャラ*"),
VLOOKUP("*キャラ*",商品マスタ一覧!$D:$J,7,FALSE),
IF(COUNTIF('盛付札（関数）'!CO93,"*赤*"),
VLOOKUP("*赤*",商品マスタ一覧!$D:$J,7,FALSE),
VLOOKUP('盛付札（関数）'!CO93,商品マスタ一覧!$D:$J,7,FALSE)))*CR93),""),"")</f>
        <v/>
      </c>
      <c r="CT93" s="76"/>
      <c r="CU93" s="81" t="e" cm="1">
        <f t="array" aca="1" ref="CU93" ca="1">IF(CU10&lt;&gt;100,
IF(CV95&lt;&gt;"",MATCH(CV95,INDIRECT("数出表_Excel!B"&amp;MATCH(CZ8,数出表_Excel!$A:$A,0)-1&amp;":U"&amp;MATCH(CZ8,数出表_Excel!$A:$A,0)-1&amp;""),0)+1,""),
IF(CV95&lt;&gt;"",
MATCH(
IFERROR(
INDEX(INDIRECT("数出表_Excel!"&amp;CU92&amp;MATCH(CZ8,数出表_Excel!$A:$A,0)-1&amp;":U"&amp;MATCH(CZ8,数出表_Excel!$A:$A,0)-1&amp;""),
 1,
 MATCH(TRUE, ISNUMBER(--INDIRECT("数出表_Excel!"&amp;CU92&amp;MATCH(CZ8,数出表_Excel!$A:$A,0)-1&amp;":U"&amp;MATCH(CZ8,数出表_Excel!$A:$A,0)-1&amp;"")),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93" s="58" t="str" cm="1">
        <f t="array" aca="1" ref="CV93" ca="1">IFERROR(IF(OR(
COUNTIF(INDIRECT("数出表_Excel!" &amp;
CHAR(MATCH(TRUE,
ISNUMBER(--INDIRECT("数出表_Excel!"&amp;CU92&amp;MATCH(CZ8,数出表_Excel!$A:$A,0)-1&amp;":U"&amp;MATCH(CZ8,数出表_Excel!$A:$A,0)-1&amp;"")),0)
+MATCH(TRUE, ISNUMBER(--INDIRECT("数出表_Excel!B" &amp; (MATCH(CZ8,数出表_Excel!$A:$A,0)-1) &amp; ":U" &amp; (MATCH(CZ8,数出表_Excel!$A:$A,0)-1))), 0)
+MATCH(TRUE, ISNUMBER(--INDIRECT("数出表_Excel!"&amp;CU50&amp; (MATCH(CZ8,数出表_Excel!$A:$A,0)-1) &amp; ":U" &amp; (MATCH(CZ8,数出表_Excel!$A:$A,0)-1))), 0)
+65) &amp; "3"),"*配膳*"),
COUNTIF(INDIRECT("数出表_Excel!" &amp;
CHAR(MATCH(TRUE,
ISNUMBER(--INDIRECT("数出表_Excel!"&amp;CU92&amp;MATCH(CZ8,数出表_Excel!$A:$A,0)-1&amp;":U"&amp;MATCH(CZ8,数出表_Excel!$A:$A,0)-1&amp;"")),0)
+MATCH(TRUE, ISNUMBER(--INDIRECT("数出表_Excel!B" &amp; (MATCH(CZ8,数出表_Excel!$A:$A,0)-1) &amp; ":U" &amp; (MATCH(CZ8,数出表_Excel!$A:$A,0)-1))), 0)
+MATCH(TRUE, ISNUMBER(--INDIRECT("数出表_Excel!"&amp;CU50&amp; (MATCH(CZ8,数出表_Excel!$A:$A,0)-1) &amp; ":U" &amp; (MATCH(CZ8,数出表_Excel!$A:$A,0)-1))), 0)
+65) &amp; "3"),"*カレー*"),
COUNTIF(CV50,"*合計*")),"",
IF(IFERROR(INDIRECT("数出表_Excel!" &amp;
CHAR(MATCH(TRUE,
ISNUMBER(--INDIRECT("数出表_Excel!"&amp;CU92&amp;MATCH(CZ8,数出表_Excel!$A:$A,0)-1&amp;":U"&amp;MATCH(CZ8,数出表_Excel!$A:$A,0)-1&amp;"")),0)
+MATCH(TRUE, ISNUMBER(--INDIRECT("数出表_Excel!B" &amp; (MATCH(CZ8,数出表_Excel!$A:$A,0)-1) &amp; ":U" &amp; (MATCH(CZ8,数出表_Excel!$A:$A,0)-1))), 0)
+MATCH(TRUE, ISNUMBER(--INDIRECT("数出表_Excel!"&amp;CU50&amp; (MATCH(CZ8,数出表_Excel!$A:$A,0)-1) &amp; ":U" &amp; (MATCH(CZ8,数出表_Excel!$A:$A,0)-1))), 0)
+65) &amp; "3"),0)=0,"",
IFERROR(INDIRECT("数出表_Excel!" &amp;
CHAR(MATCH(TRUE,
ISNUMBER(--INDIRECT("数出表_Excel!"&amp;CU92&amp;MATCH(CZ8,数出表_Excel!$A:$A,0)-1&amp;":U"&amp;MATCH(CZ8,数出表_Excel!$A:$A,0)-1&amp;"")),0)
+MATCH(TRUE, ISNUMBER(--INDIRECT("数出表_Excel!B" &amp; (MATCH(CZ8,数出表_Excel!$A:$A,0)-1) &amp; ":U" &amp; (MATCH(CZ8,数出表_Excel!$A:$A,0)-1))), 0)
+MATCH(TRUE, ISNUMBER(--INDIRECT("数出表_Excel!"&amp;CU50&amp; (MATCH(CZ8,数出表_Excel!$A:$A,0)-1) &amp; ":U" &amp; (MATCH(CZ8,数出表_Excel!$A:$A,0)-1))), 0)
+65) &amp; "3"),""))),"")</f>
        <v/>
      </c>
      <c r="CW93" s="76"/>
      <c r="CX93" s="82" t="str" cm="1">
        <f t="array" aca="1" ref="CX93" ca="1">IF(CY93&lt;&gt;"","",
IF(COUNTIF(CV92,"*雙葉*"),"",
IF(CV92&lt;&gt;"",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+MATCH(TRUE,INDIRECT("'数出表_Excel'!"&amp;CU92&amp;MATCH(CZ8,数出表_Excel!$A:$A,0)-1&amp;":AL"&amp;MATCH(CZ8,数出表_Excel!$A:$A,0)-1&amp;"")&lt;&gt;"",0))&gt;9,"",
IFERROR(
INDEX(INDIRECT("数出表_Excel!$"&amp;CU92&amp;"4:$AL4"),
 1,
MATCH(TRUE,INDIRECT("'数出表_Excel'!"&amp;CU92&amp;MATCH(CZ8,数出表_Excel!$A:$A,0)-1&amp;":AL"&amp;MATCH(CZ8,数出表_Excel!$A:$A,0)-1&amp;"")&lt;&gt;"",0)
),
 "")
&amp;IFERROR(
INDEX(INDIRECT("数出表_Excel!$"&amp;CU92&amp;"5:$AL5"),
 1,
MATCH(TRUE,INDIRECT("'数出表_Excel'!"&amp;CU92&amp;MATCH(CZ8,数出表_Excel!$A:$A,0)-1&amp;":AL"&amp;MATCH(CZ8,数出表_Excel!$A:$A,0)-1&amp;"")&lt;&gt;"",0)),
 "")),"")))</f>
        <v/>
      </c>
      <c r="CY93" s="83" t="str" cm="1">
        <f t="array" aca="1" ref="CY93" ca="1">IF(CV93&lt;&gt;"",
IF(COUNTIF(CV92,"*雙葉*"),
IF(ROUND(
IF(CY98&lt;&gt;"",(CV95-CY98),CV95)
/IF(COUNTIF(CV93,"*キャラ*"),
VLOOKUP("*キャラ*",商品マスタ一覧!$D:$J,7,FALSE),
IF(COUNTIF(CV93,"*赤*"),
VLOOKUP("*赤*",商品マスタ一覧!$D:$J,7,FALSE),
VLOOKUP(CV93,商品マスタ一覧!$D:$J,7,FALSE))),0)&lt;=0,1,
ROUND(
IF(CY98&lt;&gt;"",(CV95-CY98),CV95)
/IF(COUNTIF(CV93,"*キャラ*"),
VLOOKUP("*キャラ*",商品マスタ一覧!$D:$J,7,FALSE),
IF(COUNTIF(CV93,"*赤*"),
VLOOKUP("*赤*",商品マスタ一覧!$D:$J,7,FALSE),
VLOOKUP(CV93,商品マスタ一覧!$D:$J,7,FALSE))),0)),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IF(CV93&lt;&gt;"",
IF(IF(COUNTIF(CV93,"*キャラ*"),
VLOOKUP("*キャラ*",商品マスタ一覧!$D:$J,7,FALSE),
IF(COUNTIF(CV93,"*赤*"),
VLOOKUP("*赤*",商品マスタ一覧!$D:$J,7,FALSE),
VLOOKUP(CV93,商品マスタ一覧!$D:$J,7,FALSE)))=0,"",
IF(ROUND(
IF(CY98&lt;&gt;"",(CV95-CY98),CV95)
/IF(COUNTIF(CV93,"*キャラ*"),
VLOOKUP("*キャラ*",商品マスタ一覧!$D:$J,7,FALSE),
IF(COUNTIF(CV93,"*赤*"),
VLOOKUP("*赤*",商品マスタ一覧!$D:$J,7,FALSE),
VLOOKUP(CV93,商品マスタ一覧!$D:$J,7,FALSE))),0)&lt;=0,1,
ROUND(
IF(CY98&lt;&gt;"",(CV95-CY98),CV95)
/IF(COUNTIF(CV93,"*キャラ*"),
VLOOKUP("*キャラ*",商品マスタ一覧!$D:$J,7,FALSE),
IF(COUNTIF(CV93,"*赤*"),
VLOOKUP("*赤*",商品マスタ一覧!$D:$J,7,FALSE),
VLOOKUP(CV93,商品マスタ一覧!$D:$J,7,FALSE))),0))),""),"")),"")</f>
        <v/>
      </c>
      <c r="CZ93" s="92" t="str">
        <f ca="1">IF(CY93&lt;&gt;"",IF(CV95&lt;&gt;"",IF(VALUE(IF(CY98&lt;&gt;"",CV95-CY98,CV95))&gt;VALUE(IF(COUNTIF('盛付札（関数）'!CV93,"*キャラ*"),
VLOOKUP("*キャラ*",商品マスタ一覧!$D:$J,7,FALSE),
IF(COUNTIF('盛付札（関数）'!CV93,"*赤*"),
VLOOKUP("*赤*",商品マスタ一覧!$D:$J,7,FALSE),
VLOOKUP('盛付札（関数）'!CV93,商品マスタ一覧!$D:$J,7,FALSE)))*CY93),
"+"&amp;IF(CY98&lt;&gt;"",CV95-CY98,CV95)-IF(COUNTIF('盛付札（関数）'!CV93,"*キャラ*"),
VLOOKUP("*キャラ*",商品マスタ一覧!$D:$J,7,FALSE),
IF(COUNTIF('盛付札（関数）'!CV93,"*赤*"),
VLOOKUP("*赤*",商品マスタ一覧!$D:$J,7,FALSE),
VLOOKUP('盛付札（関数）'!CV93,商品マスタ一覧!$D:$J,7,FALSE)))*CY93,
IF(CY98&lt;&gt;"",CV95-CY98,CV95)-IF(COUNTIF('盛付札（関数）'!CV93,"*キャラ*"),
VLOOKUP("*キャラ*",商品マスタ一覧!$D:$J,7,FALSE),
IF(COUNTIF('盛付札（関数）'!CV93,"*赤*"),
VLOOKUP("*赤*",商品マスタ一覧!$D:$J,7,FALSE),
VLOOKUP('盛付札（関数）'!CV93,商品マスタ一覧!$D:$J,7,FALSE)))*CY93),""),"")</f>
        <v/>
      </c>
      <c r="DC93" s="81" t="e" cm="1">
        <f t="array" aca="1" ref="DC93" ca="1">IF(DC10&lt;&gt;100,
IF(DD95&lt;&gt;"",MATCH(DD95,INDIRECT("数出表_Excel!B"&amp;MATCH(DH8,数出表_Excel!$A:$A,0)-1&amp;":U"&amp;MATCH(DH8,数出表_Excel!$A:$A,0)-1&amp;""),0)+1,""),
IF(DD95&lt;&gt;"",
MATCH(
IFERROR(
INDEX(INDIRECT("数出表_Excel!"&amp;DC92&amp;MATCH(DH8,数出表_Excel!$A:$A,0)-1&amp;":U"&amp;MATCH(DH8,数出表_Excel!$A:$A,0)-1&amp;""),
 1,
 MATCH(TRUE, ISNUMBER(--INDIRECT("数出表_Excel!"&amp;DC92&amp;MATCH(DH8,数出表_Excel!$A:$A,0)-1&amp;":U"&amp;MATCH(DH8,数出表_Excel!$A:$A,0)-1&amp;"")),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93" s="58" t="str" cm="1">
        <f t="array" aca="1" ref="DD93" ca="1">IFERROR(IF(OR(
COUNTIF(INDIRECT("数出表_Excel!" &amp;
CHAR(MATCH(TRUE,
ISNUMBER(--INDIRECT("数出表_Excel!"&amp;DC92&amp;MATCH(DH8,数出表_Excel!$A:$A,0)-1&amp;":U"&amp;MATCH(DH8,数出表_Excel!$A:$A,0)-1&amp;"")),0)
+MATCH(TRUE, ISNUMBER(--INDIRECT("数出表_Excel!B" &amp; (MATCH(DH8,数出表_Excel!$A:$A,0)-1) &amp; ":U" &amp; (MATCH(DH8,数出表_Excel!$A:$A,0)-1))), 0)
+MATCH(TRUE, ISNUMBER(--INDIRECT("数出表_Excel!"&amp;DC50&amp; (MATCH(DH8,数出表_Excel!$A:$A,0)-1) &amp; ":U" &amp; (MATCH(DH8,数出表_Excel!$A:$A,0)-1))), 0)
+65) &amp; "3"),"*配膳*"),
COUNTIF(INDIRECT("数出表_Excel!" &amp;
CHAR(MATCH(TRUE,
ISNUMBER(--INDIRECT("数出表_Excel!"&amp;DC92&amp;MATCH(DH8,数出表_Excel!$A:$A,0)-1&amp;":U"&amp;MATCH(DH8,数出表_Excel!$A:$A,0)-1&amp;"")),0)
+MATCH(TRUE, ISNUMBER(--INDIRECT("数出表_Excel!B" &amp; (MATCH(DH8,数出表_Excel!$A:$A,0)-1) &amp; ":U" &amp; (MATCH(DH8,数出表_Excel!$A:$A,0)-1))), 0)
+MATCH(TRUE, ISNUMBER(--INDIRECT("数出表_Excel!"&amp;DC50&amp; (MATCH(DH8,数出表_Excel!$A:$A,0)-1) &amp; ":U" &amp; (MATCH(DH8,数出表_Excel!$A:$A,0)-1))), 0)
+65) &amp; "3"),"*カレー*"),
COUNTIF(DD50,"*合計*")),"",
IF(IFERROR(INDIRECT("数出表_Excel!" &amp;
CHAR(MATCH(TRUE,
ISNUMBER(--INDIRECT("数出表_Excel!"&amp;DC92&amp;MATCH(DH8,数出表_Excel!$A:$A,0)-1&amp;":U"&amp;MATCH(DH8,数出表_Excel!$A:$A,0)-1&amp;"")),0)
+MATCH(TRUE, ISNUMBER(--INDIRECT("数出表_Excel!B" &amp; (MATCH(DH8,数出表_Excel!$A:$A,0)-1) &amp; ":U" &amp; (MATCH(DH8,数出表_Excel!$A:$A,0)-1))), 0)
+MATCH(TRUE, ISNUMBER(--INDIRECT("数出表_Excel!"&amp;DC50&amp; (MATCH(DH8,数出表_Excel!$A:$A,0)-1) &amp; ":U" &amp; (MATCH(DH8,数出表_Excel!$A:$A,0)-1))), 0)
+65) &amp; "3"),0)=0,"",
IFERROR(INDIRECT("数出表_Excel!" &amp;
CHAR(MATCH(TRUE,
ISNUMBER(--INDIRECT("数出表_Excel!"&amp;DC92&amp;MATCH(DH8,数出表_Excel!$A:$A,0)-1&amp;":U"&amp;MATCH(DH8,数出表_Excel!$A:$A,0)-1&amp;"")),0)
+MATCH(TRUE, ISNUMBER(--INDIRECT("数出表_Excel!B" &amp; (MATCH(DH8,数出表_Excel!$A:$A,0)-1) &amp; ":U" &amp; (MATCH(DH8,数出表_Excel!$A:$A,0)-1))), 0)
+MATCH(TRUE, ISNUMBER(--INDIRECT("数出表_Excel!"&amp;DC50&amp; (MATCH(DH8,数出表_Excel!$A:$A,0)-1) &amp; ":U" &amp; (MATCH(DH8,数出表_Excel!$A:$A,0)-1))), 0)
+65) &amp; "3"),""))),"")</f>
        <v/>
      </c>
      <c r="DE93" s="76"/>
      <c r="DF93" s="82" t="str" cm="1">
        <f t="array" aca="1" ref="DF93" ca="1">IF(DG93&lt;&gt;"","",
IF(COUNTIF(DD92,"*雙葉*"),"",
IF(DD92&lt;&gt;"",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+MATCH(TRUE,INDIRECT("'数出表_Excel'!"&amp;DC92&amp;MATCH(DH8,数出表_Excel!$A:$A,0)-1&amp;":AL"&amp;MATCH(DH8,数出表_Excel!$A:$A,0)-1&amp;"")&lt;&gt;"",0))&gt;9,"",
IFERROR(
INDEX(INDIRECT("数出表_Excel!$"&amp;DC92&amp;"4:$AL4"),
 1,
MATCH(TRUE,INDIRECT("'数出表_Excel'!"&amp;DC92&amp;MATCH(DH8,数出表_Excel!$A:$A,0)-1&amp;":AL"&amp;MATCH(DH8,数出表_Excel!$A:$A,0)-1&amp;"")&lt;&gt;"",0)
),
 "")
&amp;IFERROR(
INDEX(INDIRECT("数出表_Excel!$"&amp;DC92&amp;"5:$AL5"),
 1,
MATCH(TRUE,INDIRECT("'数出表_Excel'!"&amp;DC92&amp;MATCH(DH8,数出表_Excel!$A:$A,0)-1&amp;":AL"&amp;MATCH(DH8,数出表_Excel!$A:$A,0)-1&amp;"")&lt;&gt;"",0)),
 "")),"")))</f>
        <v/>
      </c>
      <c r="DG93" s="83" t="str" cm="1">
        <f t="array" aca="1" ref="DG93" ca="1">IF(DD93&lt;&gt;"",
IF(COUNTIF(DD92,"*雙葉*"),
IF(ROUND(
IF(DG98&lt;&gt;"",(DD95-DG98),DD95)
/IF(COUNTIF(DD93,"*キャラ*"),
VLOOKUP("*キャラ*",商品マスタ一覧!$D:$J,7,FALSE),
IF(COUNTIF(DD93,"*赤*"),
VLOOKUP("*赤*",商品マスタ一覧!$D:$J,7,FALSE),
VLOOKUP(DD93,商品マスタ一覧!$D:$J,7,FALSE))),0)&lt;=0,1,
ROUND(
IF(DG98&lt;&gt;"",(DD95-DG98),DD95)
/IF(COUNTIF(DD93,"*キャラ*"),
VLOOKUP("*キャラ*",商品マスタ一覧!$D:$J,7,FALSE),
IF(COUNTIF(DD93,"*赤*"),
VLOOKUP("*赤*",商品マスタ一覧!$D:$J,7,FALSE),
VLOOKUP(DD93,商品マスタ一覧!$D:$J,7,FALSE))),0)),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IF(DD93&lt;&gt;"",
IF(IF(COUNTIF(DD93,"*キャラ*"),
VLOOKUP("*キャラ*",商品マスタ一覧!$D:$J,7,FALSE),
IF(COUNTIF(DD93,"*赤*"),
VLOOKUP("*赤*",商品マスタ一覧!$D:$J,7,FALSE),
VLOOKUP(DD93,商品マスタ一覧!$D:$J,7,FALSE)))=0,"",
IF(ROUND(
IF(DG98&lt;&gt;"",(DD95-DG98),DD95)
/IF(COUNTIF(DD93,"*キャラ*"),
VLOOKUP("*キャラ*",商品マスタ一覧!$D:$J,7,FALSE),
IF(COUNTIF(DD93,"*赤*"),
VLOOKUP("*赤*",商品マスタ一覧!$D:$J,7,FALSE),
VLOOKUP(DD93,商品マスタ一覧!$D:$J,7,FALSE))),0)&lt;=0,1,
ROUND(
IF(DG98&lt;&gt;"",(DD95-DG98),DD95)
/IF(COUNTIF(DD93,"*キャラ*"),
VLOOKUP("*キャラ*",商品マスタ一覧!$D:$J,7,FALSE),
IF(COUNTIF(DD93,"*赤*"),
VLOOKUP("*赤*",商品マスタ一覧!$D:$J,7,FALSE),
VLOOKUP(DD93,商品マスタ一覧!$D:$J,7,FALSE))),0))),""),"")),"")</f>
        <v/>
      </c>
      <c r="DH93" s="92" t="str">
        <f ca="1">IF(DG93&lt;&gt;"",IF(DD95&lt;&gt;"",IF(VALUE(IF(DG98&lt;&gt;"",DD95-DG98,DD95))&gt;VALUE(IF(COUNTIF('盛付札（関数）'!DD93,"*キャラ*"),
VLOOKUP("*キャラ*",商品マスタ一覧!$D:$J,7,FALSE),
IF(COUNTIF('盛付札（関数）'!DD93,"*赤*"),
VLOOKUP("*赤*",商品マスタ一覧!$D:$J,7,FALSE),
VLOOKUP('盛付札（関数）'!DD93,商品マスタ一覧!$D:$J,7,FALSE)))*DG93),
"+"&amp;IF(DG98&lt;&gt;"",DD95-DG98,DD95)-IF(COUNTIF('盛付札（関数）'!DD93,"*キャラ*"),
VLOOKUP("*キャラ*",商品マスタ一覧!$D:$J,7,FALSE),
IF(COUNTIF('盛付札（関数）'!DD93,"*赤*"),
VLOOKUP("*赤*",商品マスタ一覧!$D:$J,7,FALSE),
VLOOKUP('盛付札（関数）'!DD93,商品マスタ一覧!$D:$J,7,FALSE)))*DG93,
IF(DG98&lt;&gt;"",DD95-DG98,DD95)-IF(COUNTIF('盛付札（関数）'!DD93,"*キャラ*"),
VLOOKUP("*キャラ*",商品マスタ一覧!$D:$J,7,FALSE),
IF(COUNTIF('盛付札（関数）'!DD93,"*赤*"),
VLOOKUP("*赤*",商品マスタ一覧!$D:$J,7,FALSE),
VLOOKUP('盛付札（関数）'!DD93,商品マスタ一覧!$D:$J,7,FALSE)))*DG93),""),"")</f>
        <v/>
      </c>
      <c r="DI93" s="76"/>
      <c r="DJ93" s="81" t="e" cm="1">
        <f t="array" aca="1" ref="DJ93" ca="1">IF(DJ10&lt;&gt;100,
IF(DK95&lt;&gt;"",MATCH(DK95,INDIRECT("数出表_Excel!B"&amp;MATCH(DO8,数出表_Excel!$A:$A,0)-1&amp;":U"&amp;MATCH(DO8,数出表_Excel!$A:$A,0)-1&amp;""),0)+1,""),
IF(DK95&lt;&gt;"",
MATCH(
IFERROR(
INDEX(INDIRECT("数出表_Excel!"&amp;DJ92&amp;MATCH(DO8,数出表_Excel!$A:$A,0)-1&amp;":U"&amp;MATCH(DO8,数出表_Excel!$A:$A,0)-1&amp;""),
 1,
 MATCH(TRUE, ISNUMBER(--INDIRECT("数出表_Excel!"&amp;DJ92&amp;MATCH(DO8,数出表_Excel!$A:$A,0)-1&amp;":U"&amp;MATCH(DO8,数出表_Excel!$A:$A,0)-1&amp;"")),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93" s="58" t="str" cm="1">
        <f t="array" aca="1" ref="DK93" ca="1">IFERROR(IF(OR(
COUNTIF(INDIRECT("数出表_Excel!" &amp;
CHAR(MATCH(TRUE,
ISNUMBER(--INDIRECT("数出表_Excel!"&amp;DJ92&amp;MATCH(DO8,数出表_Excel!$A:$A,0)-1&amp;":U"&amp;MATCH(DO8,数出表_Excel!$A:$A,0)-1&amp;"")),0)
+MATCH(TRUE, ISNUMBER(--INDIRECT("数出表_Excel!B" &amp; (MATCH(DO8,数出表_Excel!$A:$A,0)-1) &amp; ":U" &amp; (MATCH(DO8,数出表_Excel!$A:$A,0)-1))), 0)
+MATCH(TRUE, ISNUMBER(--INDIRECT("数出表_Excel!"&amp;DJ50&amp; (MATCH(DO8,数出表_Excel!$A:$A,0)-1) &amp; ":U" &amp; (MATCH(DO8,数出表_Excel!$A:$A,0)-1))), 0)
+65) &amp; "3"),"*配膳*"),
COUNTIF(INDIRECT("数出表_Excel!" &amp;
CHAR(MATCH(TRUE,
ISNUMBER(--INDIRECT("数出表_Excel!"&amp;DJ92&amp;MATCH(DO8,数出表_Excel!$A:$A,0)-1&amp;":U"&amp;MATCH(DO8,数出表_Excel!$A:$A,0)-1&amp;"")),0)
+MATCH(TRUE, ISNUMBER(--INDIRECT("数出表_Excel!B" &amp; (MATCH(DO8,数出表_Excel!$A:$A,0)-1) &amp; ":U" &amp; (MATCH(DO8,数出表_Excel!$A:$A,0)-1))), 0)
+MATCH(TRUE, ISNUMBER(--INDIRECT("数出表_Excel!"&amp;DJ50&amp; (MATCH(DO8,数出表_Excel!$A:$A,0)-1) &amp; ":U" &amp; (MATCH(DO8,数出表_Excel!$A:$A,0)-1))), 0)
+65) &amp; "3"),"*カレー*"),
COUNTIF(DK50,"*合計*")),"",
IF(IFERROR(INDIRECT("数出表_Excel!" &amp;
CHAR(MATCH(TRUE,
ISNUMBER(--INDIRECT("数出表_Excel!"&amp;DJ92&amp;MATCH(DO8,数出表_Excel!$A:$A,0)-1&amp;":U"&amp;MATCH(DO8,数出表_Excel!$A:$A,0)-1&amp;"")),0)
+MATCH(TRUE, ISNUMBER(--INDIRECT("数出表_Excel!B" &amp; (MATCH(DO8,数出表_Excel!$A:$A,0)-1) &amp; ":U" &amp; (MATCH(DO8,数出表_Excel!$A:$A,0)-1))), 0)
+MATCH(TRUE, ISNUMBER(--INDIRECT("数出表_Excel!"&amp;DJ50&amp; (MATCH(DO8,数出表_Excel!$A:$A,0)-1) &amp; ":U" &amp; (MATCH(DO8,数出表_Excel!$A:$A,0)-1))), 0)
+65) &amp; "3"),0)=0,"",
IFERROR(INDIRECT("数出表_Excel!" &amp;
CHAR(MATCH(TRUE,
ISNUMBER(--INDIRECT("数出表_Excel!"&amp;DJ92&amp;MATCH(DO8,数出表_Excel!$A:$A,0)-1&amp;":U"&amp;MATCH(DO8,数出表_Excel!$A:$A,0)-1&amp;"")),0)
+MATCH(TRUE, ISNUMBER(--INDIRECT("数出表_Excel!B" &amp; (MATCH(DO8,数出表_Excel!$A:$A,0)-1) &amp; ":U" &amp; (MATCH(DO8,数出表_Excel!$A:$A,0)-1))), 0)
+MATCH(TRUE, ISNUMBER(--INDIRECT("数出表_Excel!"&amp;DJ50&amp; (MATCH(DO8,数出表_Excel!$A:$A,0)-1) &amp; ":U" &amp; (MATCH(DO8,数出表_Excel!$A:$A,0)-1))), 0)
+65) &amp; "3"),""))),"")</f>
        <v/>
      </c>
      <c r="DL93" s="76"/>
      <c r="DM93" s="82" t="str" cm="1">
        <f t="array" aca="1" ref="DM93" ca="1">IF(DN93&lt;&gt;"","",
IF(COUNTIF(DK92,"*雙葉*"),"",
IF(DK92&lt;&gt;"",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+MATCH(TRUE,INDIRECT("'数出表_Excel'!"&amp;DJ92&amp;MATCH(DO8,数出表_Excel!$A:$A,0)-1&amp;":AL"&amp;MATCH(DO8,数出表_Excel!$A:$A,0)-1&amp;"")&lt;&gt;"",0))&gt;9,"",
IFERROR(
INDEX(INDIRECT("数出表_Excel!$"&amp;DJ92&amp;"4:$AL4"),
 1,
MATCH(TRUE,INDIRECT("'数出表_Excel'!"&amp;DJ92&amp;MATCH(DO8,数出表_Excel!$A:$A,0)-1&amp;":AL"&amp;MATCH(DO8,数出表_Excel!$A:$A,0)-1&amp;"")&lt;&gt;"",0)
),
 "")
&amp;IFERROR(
INDEX(INDIRECT("数出表_Excel!$"&amp;DJ92&amp;"5:$AL5"),
 1,
MATCH(TRUE,INDIRECT("'数出表_Excel'!"&amp;DJ92&amp;MATCH(DO8,数出表_Excel!$A:$A,0)-1&amp;":AL"&amp;MATCH(DO8,数出表_Excel!$A:$A,0)-1&amp;"")&lt;&gt;"",0)),
 "")),"")))</f>
        <v/>
      </c>
      <c r="DN93" s="83" t="str" cm="1">
        <f t="array" aca="1" ref="DN93" ca="1">IF(DK93&lt;&gt;"",
IF(COUNTIF(DK92,"*雙葉*"),
IF(ROUND(
IF(DN98&lt;&gt;"",(DK95-DN98),DK95)
/IF(COUNTIF(DK93,"*キャラ*"),
VLOOKUP("*キャラ*",商品マスタ一覧!$D:$J,7,FALSE),
IF(COUNTIF(DK93,"*赤*"),
VLOOKUP("*赤*",商品マスタ一覧!$D:$J,7,FALSE),
VLOOKUP(DK93,商品マスタ一覧!$D:$J,7,FALSE))),0)&lt;=0,1,
ROUND(
IF(DN98&lt;&gt;"",(DK95-DN98),DK95)
/IF(COUNTIF(DK93,"*キャラ*"),
VLOOKUP("*キャラ*",商品マスタ一覧!$D:$J,7,FALSE),
IF(COUNTIF(DK93,"*赤*"),
VLOOKUP("*赤*",商品マスタ一覧!$D:$J,7,FALSE),
VLOOKUP(DK93,商品マスタ一覧!$D:$J,7,FALSE))),0)),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IF(DK93&lt;&gt;"",
IF(IF(COUNTIF(DK93,"*キャラ*"),
VLOOKUP("*キャラ*",商品マスタ一覧!$D:$J,7,FALSE),
IF(COUNTIF(DK93,"*赤*"),
VLOOKUP("*赤*",商品マスタ一覧!$D:$J,7,FALSE),
VLOOKUP(DK93,商品マスタ一覧!$D:$J,7,FALSE)))=0,"",
IF(ROUND(
IF(DN98&lt;&gt;"",(DK95-DN98),DK95)
/IF(COUNTIF(DK93,"*キャラ*"),
VLOOKUP("*キャラ*",商品マスタ一覧!$D:$J,7,FALSE),
IF(COUNTIF(DK93,"*赤*"),
VLOOKUP("*赤*",商品マスタ一覧!$D:$J,7,FALSE),
VLOOKUP(DK93,商品マスタ一覧!$D:$J,7,FALSE))),0)&lt;=0,1,
ROUND(
IF(DN98&lt;&gt;"",(DK95-DN98),DK95)
/IF(COUNTIF(DK93,"*キャラ*"),
VLOOKUP("*キャラ*",商品マスタ一覧!$D:$J,7,FALSE),
IF(COUNTIF(DK93,"*赤*"),
VLOOKUP("*赤*",商品マスタ一覧!$D:$J,7,FALSE),
VLOOKUP(DK93,商品マスタ一覧!$D:$J,7,FALSE))),0))),""),"")),"")</f>
        <v/>
      </c>
      <c r="DO93" s="92" t="str">
        <f ca="1">IF(DN93&lt;&gt;"",IF(DK95&lt;&gt;"",IF(VALUE(IF(DN98&lt;&gt;"",DK95-DN98,DK95))&gt;VALUE(IF(COUNTIF('盛付札（関数）'!DK93,"*キャラ*"),
VLOOKUP("*キャラ*",商品マスタ一覧!$D:$J,7,FALSE),
IF(COUNTIF('盛付札（関数）'!DK93,"*赤*"),
VLOOKUP("*赤*",商品マスタ一覧!$D:$J,7,FALSE),
VLOOKUP('盛付札（関数）'!DK93,商品マスタ一覧!$D:$J,7,FALSE)))*DN93),
"+"&amp;IF(DN98&lt;&gt;"",DK95-DN98,DK95)-IF(COUNTIF('盛付札（関数）'!DK93,"*キャラ*"),
VLOOKUP("*キャラ*",商品マスタ一覧!$D:$J,7,FALSE),
IF(COUNTIF('盛付札（関数）'!DK93,"*赤*"),
VLOOKUP("*赤*",商品マスタ一覧!$D:$J,7,FALSE),
VLOOKUP('盛付札（関数）'!DK93,商品マスタ一覧!$D:$J,7,FALSE)))*DN93,
IF(DN98&lt;&gt;"",DK95-DN98,DK95)-IF(COUNTIF('盛付札（関数）'!DK93,"*キャラ*"),
VLOOKUP("*キャラ*",商品マスタ一覧!$D:$J,7,FALSE),
IF(COUNTIF('盛付札（関数）'!DK93,"*赤*"),
VLOOKUP("*赤*",商品マスタ一覧!$D:$J,7,FALSE),
VLOOKUP('盛付札（関数）'!DK93,商品マスタ一覧!$D:$J,7,FALSE)))*DN93),""),"")</f>
        <v/>
      </c>
      <c r="DR93" s="81" t="e" cm="1">
        <f t="array" aca="1" ref="DR93" ca="1">IF(DR10&lt;&gt;100,
IF(DS95&lt;&gt;"",MATCH(DS95,INDIRECT("数出表_Excel!B"&amp;MATCH(DW8,数出表_Excel!$A:$A,0)-1&amp;":U"&amp;MATCH(DW8,数出表_Excel!$A:$A,0)-1&amp;""),0)+1,""),
IF(DS95&lt;&gt;"",
MATCH(
IFERROR(
INDEX(INDIRECT("数出表_Excel!"&amp;DR92&amp;MATCH(DW8,数出表_Excel!$A:$A,0)-1&amp;":U"&amp;MATCH(DW8,数出表_Excel!$A:$A,0)-1&amp;""),
 1,
 MATCH(TRUE, ISNUMBER(--INDIRECT("数出表_Excel!"&amp;DR92&amp;MATCH(DW8,数出表_Excel!$A:$A,0)-1&amp;":U"&amp;MATCH(DW8,数出表_Excel!$A:$A,0)-1&amp;"")),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93" s="58" t="str" cm="1">
        <f t="array" aca="1" ref="DS93" ca="1">IFERROR(IF(OR(
COUNTIF(INDIRECT("数出表_Excel!" &amp;
CHAR(MATCH(TRUE,
ISNUMBER(--INDIRECT("数出表_Excel!"&amp;DR92&amp;MATCH(DW8,数出表_Excel!$A:$A,0)-1&amp;":U"&amp;MATCH(DW8,数出表_Excel!$A:$A,0)-1&amp;"")),0)
+MATCH(TRUE, ISNUMBER(--INDIRECT("数出表_Excel!B" &amp; (MATCH(DW8,数出表_Excel!$A:$A,0)-1) &amp; ":U" &amp; (MATCH(DW8,数出表_Excel!$A:$A,0)-1))), 0)
+MATCH(TRUE, ISNUMBER(--INDIRECT("数出表_Excel!"&amp;DR50&amp; (MATCH(DW8,数出表_Excel!$A:$A,0)-1) &amp; ":U" &amp; (MATCH(DW8,数出表_Excel!$A:$A,0)-1))), 0)
+65) &amp; "3"),"*配膳*"),
COUNTIF(INDIRECT("数出表_Excel!" &amp;
CHAR(MATCH(TRUE,
ISNUMBER(--INDIRECT("数出表_Excel!"&amp;DR92&amp;MATCH(DW8,数出表_Excel!$A:$A,0)-1&amp;":U"&amp;MATCH(DW8,数出表_Excel!$A:$A,0)-1&amp;"")),0)
+MATCH(TRUE, ISNUMBER(--INDIRECT("数出表_Excel!B" &amp; (MATCH(DW8,数出表_Excel!$A:$A,0)-1) &amp; ":U" &amp; (MATCH(DW8,数出表_Excel!$A:$A,0)-1))), 0)
+MATCH(TRUE, ISNUMBER(--INDIRECT("数出表_Excel!"&amp;DR50&amp; (MATCH(DW8,数出表_Excel!$A:$A,0)-1) &amp; ":U" &amp; (MATCH(DW8,数出表_Excel!$A:$A,0)-1))), 0)
+65) &amp; "3"),"*カレー*"),
COUNTIF(DS50,"*合計*")),"",
IF(IFERROR(INDIRECT("数出表_Excel!" &amp;
CHAR(MATCH(TRUE,
ISNUMBER(--INDIRECT("数出表_Excel!"&amp;DR92&amp;MATCH(DW8,数出表_Excel!$A:$A,0)-1&amp;":U"&amp;MATCH(DW8,数出表_Excel!$A:$A,0)-1&amp;"")),0)
+MATCH(TRUE, ISNUMBER(--INDIRECT("数出表_Excel!B" &amp; (MATCH(DW8,数出表_Excel!$A:$A,0)-1) &amp; ":U" &amp; (MATCH(DW8,数出表_Excel!$A:$A,0)-1))), 0)
+MATCH(TRUE, ISNUMBER(--INDIRECT("数出表_Excel!"&amp;DR50&amp; (MATCH(DW8,数出表_Excel!$A:$A,0)-1) &amp; ":U" &amp; (MATCH(DW8,数出表_Excel!$A:$A,0)-1))), 0)
+65) &amp; "3"),0)=0,"",
IFERROR(INDIRECT("数出表_Excel!" &amp;
CHAR(MATCH(TRUE,
ISNUMBER(--INDIRECT("数出表_Excel!"&amp;DR92&amp;MATCH(DW8,数出表_Excel!$A:$A,0)-1&amp;":U"&amp;MATCH(DW8,数出表_Excel!$A:$A,0)-1&amp;"")),0)
+MATCH(TRUE, ISNUMBER(--INDIRECT("数出表_Excel!B" &amp; (MATCH(DW8,数出表_Excel!$A:$A,0)-1) &amp; ":U" &amp; (MATCH(DW8,数出表_Excel!$A:$A,0)-1))), 0)
+MATCH(TRUE, ISNUMBER(--INDIRECT("数出表_Excel!"&amp;DR50&amp; (MATCH(DW8,数出表_Excel!$A:$A,0)-1) &amp; ":U" &amp; (MATCH(DW8,数出表_Excel!$A:$A,0)-1))), 0)
+65) &amp; "3"),""))),"")</f>
        <v/>
      </c>
      <c r="DT93" s="76"/>
      <c r="DU93" s="82" t="str" cm="1">
        <f t="array" aca="1" ref="DU93" ca="1">IF(DV93&lt;&gt;"","",
IF(COUNTIF(DS92,"*雙葉*"),"",
IF(DS92&lt;&gt;"",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+MATCH(TRUE,INDIRECT("'数出表_Excel'!"&amp;DR92&amp;MATCH(DW8,数出表_Excel!$A:$A,0)-1&amp;":AL"&amp;MATCH(DW8,数出表_Excel!$A:$A,0)-1&amp;"")&lt;&gt;"",0))&gt;9,"",
IFERROR(
INDEX(INDIRECT("数出表_Excel!$"&amp;DR92&amp;"4:$AL4"),
 1,
MATCH(TRUE,INDIRECT("'数出表_Excel'!"&amp;DR92&amp;MATCH(DW8,数出表_Excel!$A:$A,0)-1&amp;":AL"&amp;MATCH(DW8,数出表_Excel!$A:$A,0)-1&amp;"")&lt;&gt;"",0)
),
 "")
&amp;IFERROR(
INDEX(INDIRECT("数出表_Excel!$"&amp;DR92&amp;"5:$AL5"),
 1,
MATCH(TRUE,INDIRECT("'数出表_Excel'!"&amp;DR92&amp;MATCH(DW8,数出表_Excel!$A:$A,0)-1&amp;":AL"&amp;MATCH(DW8,数出表_Excel!$A:$A,0)-1&amp;"")&lt;&gt;"",0)),
 "")),"")))</f>
        <v/>
      </c>
      <c r="DV93" s="83" t="str" cm="1">
        <f t="array" aca="1" ref="DV93" ca="1">IF(DS93&lt;&gt;"",
IF(COUNTIF(DS92,"*雙葉*"),
IF(ROUND(
IF(DV98&lt;&gt;"",(DS95-DV98),DS95)
/IF(COUNTIF(DS93,"*キャラ*"),
VLOOKUP("*キャラ*",商品マスタ一覧!$D:$J,7,FALSE),
IF(COUNTIF(DS93,"*赤*"),
VLOOKUP("*赤*",商品マスタ一覧!$D:$J,7,FALSE),
VLOOKUP(DS93,商品マスタ一覧!$D:$J,7,FALSE))),0)&lt;=0,1,
ROUND(
IF(DV98&lt;&gt;"",(DS95-DV98),DS95)
/IF(COUNTIF(DS93,"*キャラ*"),
VLOOKUP("*キャラ*",商品マスタ一覧!$D:$J,7,FALSE),
IF(COUNTIF(DS93,"*赤*"),
VLOOKUP("*赤*",商品マスタ一覧!$D:$J,7,FALSE),
VLOOKUP(DS93,商品マスタ一覧!$D:$J,7,FALSE))),0)),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IF(DS93&lt;&gt;"",
IF(IF(COUNTIF(DS93,"*キャラ*"),
VLOOKUP("*キャラ*",商品マスタ一覧!$D:$J,7,FALSE),
IF(COUNTIF(DS93,"*赤*"),
VLOOKUP("*赤*",商品マスタ一覧!$D:$J,7,FALSE),
VLOOKUP(DS93,商品マスタ一覧!$D:$J,7,FALSE)))=0,"",
IF(ROUND(
IF(DV98&lt;&gt;"",(DS95-DV98),DS95)
/IF(COUNTIF(DS93,"*キャラ*"),
VLOOKUP("*キャラ*",商品マスタ一覧!$D:$J,7,FALSE),
IF(COUNTIF(DS93,"*赤*"),
VLOOKUP("*赤*",商品マスタ一覧!$D:$J,7,FALSE),
VLOOKUP(DS93,商品マスタ一覧!$D:$J,7,FALSE))),0)&lt;=0,1,
ROUND(
IF(DV98&lt;&gt;"",(DS95-DV98),DS95)
/IF(COUNTIF(DS93,"*キャラ*"),
VLOOKUP("*キャラ*",商品マスタ一覧!$D:$J,7,FALSE),
IF(COUNTIF(DS93,"*赤*"),
VLOOKUP("*赤*",商品マスタ一覧!$D:$J,7,FALSE),
VLOOKUP(DS93,商品マスタ一覧!$D:$J,7,FALSE))),0))),""),"")),"")</f>
        <v/>
      </c>
      <c r="DW93" s="92" t="str">
        <f ca="1">IF(DV93&lt;&gt;"",IF(DS95&lt;&gt;"",IF(VALUE(IF(DV98&lt;&gt;"",DS95-DV98,DS95))&gt;VALUE(IF(COUNTIF('盛付札（関数）'!DS93,"*キャラ*"),
VLOOKUP("*キャラ*",商品マスタ一覧!$D:$J,7,FALSE),
IF(COUNTIF('盛付札（関数）'!DS93,"*赤*"),
VLOOKUP("*赤*",商品マスタ一覧!$D:$J,7,FALSE),
VLOOKUP('盛付札（関数）'!DS93,商品マスタ一覧!$D:$J,7,FALSE)))*DV93),
"+"&amp;IF(DV98&lt;&gt;"",DS95-DV98,DS95)-IF(COUNTIF('盛付札（関数）'!DS93,"*キャラ*"),
VLOOKUP("*キャラ*",商品マスタ一覧!$D:$J,7,FALSE),
IF(COUNTIF('盛付札（関数）'!DS93,"*赤*"),
VLOOKUP("*赤*",商品マスタ一覧!$D:$J,7,FALSE),
VLOOKUP('盛付札（関数）'!DS93,商品マスタ一覧!$D:$J,7,FALSE)))*DV93,
IF(DV98&lt;&gt;"",DS95-DV98,DS95)-IF(COUNTIF('盛付札（関数）'!DS93,"*キャラ*"),
VLOOKUP("*キャラ*",商品マスタ一覧!$D:$J,7,FALSE),
IF(COUNTIF('盛付札（関数）'!DS93,"*赤*"),
VLOOKUP("*赤*",商品マスタ一覧!$D:$J,7,FALSE),
VLOOKUP('盛付札（関数）'!DS93,商品マスタ一覧!$D:$J,7,FALSE)))*DV93),""),"")</f>
        <v/>
      </c>
      <c r="DX93" s="76"/>
      <c r="DY93" s="81" t="e" cm="1">
        <f t="array" aca="1" ref="DY93" ca="1">IF(DY10&lt;&gt;100,
IF(DZ95&lt;&gt;"",MATCH(DZ95,INDIRECT("数出表_Excel!B"&amp;MATCH(ED8,数出表_Excel!$A:$A,0)-1&amp;":U"&amp;MATCH(ED8,数出表_Excel!$A:$A,0)-1&amp;""),0)+1,""),
IF(DZ95&lt;&gt;"",
MATCH(
IFERROR(
INDEX(INDIRECT("数出表_Excel!"&amp;DY92&amp;MATCH(ED8,数出表_Excel!$A:$A,0)-1&amp;":U"&amp;MATCH(ED8,数出表_Excel!$A:$A,0)-1&amp;""),
 1,
 MATCH(TRUE, ISNUMBER(--INDIRECT("数出表_Excel!"&amp;DY92&amp;MATCH(ED8,数出表_Excel!$A:$A,0)-1&amp;":U"&amp;MATCH(ED8,数出表_Excel!$A:$A,0)-1&amp;"")),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93" s="58" t="str" cm="1">
        <f t="array" aca="1" ref="DZ93" ca="1">IFERROR(IF(OR(
COUNTIF(INDIRECT("数出表_Excel!" &amp;
CHAR(MATCH(TRUE,
ISNUMBER(--INDIRECT("数出表_Excel!"&amp;DY92&amp;MATCH(ED8,数出表_Excel!$A:$A,0)-1&amp;":U"&amp;MATCH(ED8,数出表_Excel!$A:$A,0)-1&amp;"")),0)
+MATCH(TRUE, ISNUMBER(--INDIRECT("数出表_Excel!B" &amp; (MATCH(ED8,数出表_Excel!$A:$A,0)-1) &amp; ":U" &amp; (MATCH(ED8,数出表_Excel!$A:$A,0)-1))), 0)
+MATCH(TRUE, ISNUMBER(--INDIRECT("数出表_Excel!"&amp;DY50&amp; (MATCH(ED8,数出表_Excel!$A:$A,0)-1) &amp; ":U" &amp; (MATCH(ED8,数出表_Excel!$A:$A,0)-1))), 0)
+65) &amp; "3"),"*配膳*"),
COUNTIF(INDIRECT("数出表_Excel!" &amp;
CHAR(MATCH(TRUE,
ISNUMBER(--INDIRECT("数出表_Excel!"&amp;DY92&amp;MATCH(ED8,数出表_Excel!$A:$A,0)-1&amp;":U"&amp;MATCH(ED8,数出表_Excel!$A:$A,0)-1&amp;"")),0)
+MATCH(TRUE, ISNUMBER(--INDIRECT("数出表_Excel!B" &amp; (MATCH(ED8,数出表_Excel!$A:$A,0)-1) &amp; ":U" &amp; (MATCH(ED8,数出表_Excel!$A:$A,0)-1))), 0)
+MATCH(TRUE, ISNUMBER(--INDIRECT("数出表_Excel!"&amp;DY50&amp; (MATCH(ED8,数出表_Excel!$A:$A,0)-1) &amp; ":U" &amp; (MATCH(ED8,数出表_Excel!$A:$A,0)-1))), 0)
+65) &amp; "3"),"*カレー*"),
COUNTIF(DZ50,"*合計*")),"",
IF(IFERROR(INDIRECT("数出表_Excel!" &amp;
CHAR(MATCH(TRUE,
ISNUMBER(--INDIRECT("数出表_Excel!"&amp;DY92&amp;MATCH(ED8,数出表_Excel!$A:$A,0)-1&amp;":U"&amp;MATCH(ED8,数出表_Excel!$A:$A,0)-1&amp;"")),0)
+MATCH(TRUE, ISNUMBER(--INDIRECT("数出表_Excel!B" &amp; (MATCH(ED8,数出表_Excel!$A:$A,0)-1) &amp; ":U" &amp; (MATCH(ED8,数出表_Excel!$A:$A,0)-1))), 0)
+MATCH(TRUE, ISNUMBER(--INDIRECT("数出表_Excel!"&amp;DY50&amp; (MATCH(ED8,数出表_Excel!$A:$A,0)-1) &amp; ":U" &amp; (MATCH(ED8,数出表_Excel!$A:$A,0)-1))), 0)
+65) &amp; "3"),0)=0,"",
IFERROR(INDIRECT("数出表_Excel!" &amp;
CHAR(MATCH(TRUE,
ISNUMBER(--INDIRECT("数出表_Excel!"&amp;DY92&amp;MATCH(ED8,数出表_Excel!$A:$A,0)-1&amp;":U"&amp;MATCH(ED8,数出表_Excel!$A:$A,0)-1&amp;"")),0)
+MATCH(TRUE, ISNUMBER(--INDIRECT("数出表_Excel!B" &amp; (MATCH(ED8,数出表_Excel!$A:$A,0)-1) &amp; ":U" &amp; (MATCH(ED8,数出表_Excel!$A:$A,0)-1))), 0)
+MATCH(TRUE, ISNUMBER(--INDIRECT("数出表_Excel!"&amp;DY50&amp; (MATCH(ED8,数出表_Excel!$A:$A,0)-1) &amp; ":U" &amp; (MATCH(ED8,数出表_Excel!$A:$A,0)-1))), 0)
+65) &amp; "3"),""))),"")</f>
        <v/>
      </c>
      <c r="EA93" s="76"/>
      <c r="EB93" s="82" t="str" cm="1">
        <f t="array" aca="1" ref="EB93" ca="1">IF(EC93&lt;&gt;"","",
IF(COUNTIF(DZ92,"*雙葉*"),"",
IF(DZ92&lt;&gt;"",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+MATCH(TRUE,INDIRECT("'数出表_Excel'!"&amp;DY92&amp;MATCH(ED8,数出表_Excel!$A:$A,0)-1&amp;":AL"&amp;MATCH(ED8,数出表_Excel!$A:$A,0)-1&amp;"")&lt;&gt;"",0))&gt;9,"",
IFERROR(
INDEX(INDIRECT("数出表_Excel!$"&amp;DY92&amp;"4:$AL4"),
 1,
MATCH(TRUE,INDIRECT("'数出表_Excel'!"&amp;DY92&amp;MATCH(ED8,数出表_Excel!$A:$A,0)-1&amp;":AL"&amp;MATCH(ED8,数出表_Excel!$A:$A,0)-1&amp;"")&lt;&gt;"",0)
),
 "")
&amp;IFERROR(
INDEX(INDIRECT("数出表_Excel!$"&amp;DY92&amp;"5:$AL5"),
 1,
MATCH(TRUE,INDIRECT("'数出表_Excel'!"&amp;DY92&amp;MATCH(ED8,数出表_Excel!$A:$A,0)-1&amp;":AL"&amp;MATCH(ED8,数出表_Excel!$A:$A,0)-1&amp;"")&lt;&gt;"",0)),
 "")),"")))</f>
        <v/>
      </c>
      <c r="EC93" s="83" t="str" cm="1">
        <f t="array" aca="1" ref="EC93" ca="1">IF(DZ93&lt;&gt;"",
IF(COUNTIF(DZ92,"*雙葉*"),
IF(ROUND(
IF(EC98&lt;&gt;"",(DZ95-EC98),DZ95)
/IF(COUNTIF(DZ93,"*キャラ*"),
VLOOKUP("*キャラ*",商品マスタ一覧!$D:$J,7,FALSE),
IF(COUNTIF(DZ93,"*赤*"),
VLOOKUP("*赤*",商品マスタ一覧!$D:$J,7,FALSE),
VLOOKUP(DZ93,商品マスタ一覧!$D:$J,7,FALSE))),0)&lt;=0,1,
ROUND(
IF(EC98&lt;&gt;"",(DZ95-EC98),DZ95)
/IF(COUNTIF(DZ93,"*キャラ*"),
VLOOKUP("*キャラ*",商品マスタ一覧!$D:$J,7,FALSE),
IF(COUNTIF(DZ93,"*赤*"),
VLOOKUP("*赤*",商品マスタ一覧!$D:$J,7,FALSE),
VLOOKUP(DZ93,商品マスタ一覧!$D:$J,7,FALSE))),0)),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IF(DZ93&lt;&gt;"",
IF(IF(COUNTIF(DZ93,"*キャラ*"),
VLOOKUP("*キャラ*",商品マスタ一覧!$D:$J,7,FALSE),
IF(COUNTIF(DZ93,"*赤*"),
VLOOKUP("*赤*",商品マスタ一覧!$D:$J,7,FALSE),
VLOOKUP(DZ93,商品マスタ一覧!$D:$J,7,FALSE)))=0,"",
IF(ROUND(
IF(EC98&lt;&gt;"",(DZ95-EC98),DZ95)
/IF(COUNTIF(DZ93,"*キャラ*"),
VLOOKUP("*キャラ*",商品マスタ一覧!$D:$J,7,FALSE),
IF(COUNTIF(DZ93,"*赤*"),
VLOOKUP("*赤*",商品マスタ一覧!$D:$J,7,FALSE),
VLOOKUP(DZ93,商品マスタ一覧!$D:$J,7,FALSE))),0)&lt;=0,1,
ROUND(
IF(EC98&lt;&gt;"",(DZ95-EC98),DZ95)
/IF(COUNTIF(DZ93,"*キャラ*"),
VLOOKUP("*キャラ*",商品マスタ一覧!$D:$J,7,FALSE),
IF(COUNTIF(DZ93,"*赤*"),
VLOOKUP("*赤*",商品マスタ一覧!$D:$J,7,FALSE),
VLOOKUP(DZ93,商品マスタ一覧!$D:$J,7,FALSE))),0))),""),"")),"")</f>
        <v/>
      </c>
      <c r="ED93" s="92" t="str">
        <f ca="1">IF(EC93&lt;&gt;"",IF(DZ95&lt;&gt;"",IF(VALUE(IF(EC98&lt;&gt;"",DZ95-EC98,DZ95))&gt;VALUE(IF(COUNTIF('盛付札（関数）'!DZ93,"*キャラ*"),
VLOOKUP("*キャラ*",商品マスタ一覧!$D:$J,7,FALSE),
IF(COUNTIF('盛付札（関数）'!DZ93,"*赤*"),
VLOOKUP("*赤*",商品マスタ一覧!$D:$J,7,FALSE),
VLOOKUP('盛付札（関数）'!DZ93,商品マスタ一覧!$D:$J,7,FALSE)))*EC93),
"+"&amp;IF(EC98&lt;&gt;"",DZ95-EC98,DZ95)-IF(COUNTIF('盛付札（関数）'!DZ93,"*キャラ*"),
VLOOKUP("*キャラ*",商品マスタ一覧!$D:$J,7,FALSE),
IF(COUNTIF('盛付札（関数）'!DZ93,"*赤*"),
VLOOKUP("*赤*",商品マスタ一覧!$D:$J,7,FALSE),
VLOOKUP('盛付札（関数）'!DZ93,商品マスタ一覧!$D:$J,7,FALSE)))*EC93,
IF(EC98&lt;&gt;"",DZ95-EC98,DZ95)-IF(COUNTIF('盛付札（関数）'!DZ93,"*キャラ*"),
VLOOKUP("*キャラ*",商品マスタ一覧!$D:$J,7,FALSE),
IF(COUNTIF('盛付札（関数）'!DZ93,"*赤*"),
VLOOKUP("*赤*",商品マスタ一覧!$D:$J,7,FALSE),
VLOOKUP('盛付札（関数）'!DZ93,商品マスタ一覧!$D:$J,7,FALSE)))*EC93),""),"")</f>
        <v/>
      </c>
      <c r="EG93" s="81" t="e" cm="1">
        <f t="array" aca="1" ref="EG93" ca="1">IF(EG10&lt;&gt;100,
IF(EH95&lt;&gt;"",MATCH(EH95,INDIRECT("数出表_Excel!B"&amp;MATCH(EL8,数出表_Excel!$A:$A,0)-1&amp;":U"&amp;MATCH(EL8,数出表_Excel!$A:$A,0)-1&amp;""),0)+1,""),
IF(EH95&lt;&gt;"",
MATCH(
IFERROR(
INDEX(INDIRECT("数出表_Excel!"&amp;EG92&amp;MATCH(EL8,数出表_Excel!$A:$A,0)-1&amp;":U"&amp;MATCH(EL8,数出表_Excel!$A:$A,0)-1&amp;""),
 1,
 MATCH(TRUE, ISNUMBER(--INDIRECT("数出表_Excel!"&amp;EG92&amp;MATCH(EL8,数出表_Excel!$A:$A,0)-1&amp;":U"&amp;MATCH(EL8,数出表_Excel!$A:$A,0)-1&amp;"")),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93" s="58" t="str" cm="1">
        <f t="array" aca="1" ref="EH93" ca="1">IFERROR(IF(OR(
COUNTIF(INDIRECT("数出表_Excel!" &amp;
CHAR(MATCH(TRUE,
ISNUMBER(--INDIRECT("数出表_Excel!"&amp;EG92&amp;MATCH(EL8,数出表_Excel!$A:$A,0)-1&amp;":U"&amp;MATCH(EL8,数出表_Excel!$A:$A,0)-1&amp;"")),0)
+MATCH(TRUE, ISNUMBER(--INDIRECT("数出表_Excel!B" &amp; (MATCH(EL8,数出表_Excel!$A:$A,0)-1) &amp; ":U" &amp; (MATCH(EL8,数出表_Excel!$A:$A,0)-1))), 0)
+MATCH(TRUE, ISNUMBER(--INDIRECT("数出表_Excel!"&amp;EG50&amp; (MATCH(EL8,数出表_Excel!$A:$A,0)-1) &amp; ":U" &amp; (MATCH(EL8,数出表_Excel!$A:$A,0)-1))), 0)
+65) &amp; "3"),"*配膳*"),
COUNTIF(INDIRECT("数出表_Excel!" &amp;
CHAR(MATCH(TRUE,
ISNUMBER(--INDIRECT("数出表_Excel!"&amp;EG92&amp;MATCH(EL8,数出表_Excel!$A:$A,0)-1&amp;":U"&amp;MATCH(EL8,数出表_Excel!$A:$A,0)-1&amp;"")),0)
+MATCH(TRUE, ISNUMBER(--INDIRECT("数出表_Excel!B" &amp; (MATCH(EL8,数出表_Excel!$A:$A,0)-1) &amp; ":U" &amp; (MATCH(EL8,数出表_Excel!$A:$A,0)-1))), 0)
+MATCH(TRUE, ISNUMBER(--INDIRECT("数出表_Excel!"&amp;EG50&amp; (MATCH(EL8,数出表_Excel!$A:$A,0)-1) &amp; ":U" &amp; (MATCH(EL8,数出表_Excel!$A:$A,0)-1))), 0)
+65) &amp; "3"),"*カレー*"),
COUNTIF(EH50,"*合計*")),"",
IF(IFERROR(INDIRECT("数出表_Excel!" &amp;
CHAR(MATCH(TRUE,
ISNUMBER(--INDIRECT("数出表_Excel!"&amp;EG92&amp;MATCH(EL8,数出表_Excel!$A:$A,0)-1&amp;":U"&amp;MATCH(EL8,数出表_Excel!$A:$A,0)-1&amp;"")),0)
+MATCH(TRUE, ISNUMBER(--INDIRECT("数出表_Excel!B" &amp; (MATCH(EL8,数出表_Excel!$A:$A,0)-1) &amp; ":U" &amp; (MATCH(EL8,数出表_Excel!$A:$A,0)-1))), 0)
+MATCH(TRUE, ISNUMBER(--INDIRECT("数出表_Excel!"&amp;EG50&amp; (MATCH(EL8,数出表_Excel!$A:$A,0)-1) &amp; ":U" &amp; (MATCH(EL8,数出表_Excel!$A:$A,0)-1))), 0)
+65) &amp; "3"),0)=0,"",
IFERROR(INDIRECT("数出表_Excel!" &amp;
CHAR(MATCH(TRUE,
ISNUMBER(--INDIRECT("数出表_Excel!"&amp;EG92&amp;MATCH(EL8,数出表_Excel!$A:$A,0)-1&amp;":U"&amp;MATCH(EL8,数出表_Excel!$A:$A,0)-1&amp;"")),0)
+MATCH(TRUE, ISNUMBER(--INDIRECT("数出表_Excel!B" &amp; (MATCH(EL8,数出表_Excel!$A:$A,0)-1) &amp; ":U" &amp; (MATCH(EL8,数出表_Excel!$A:$A,0)-1))), 0)
+MATCH(TRUE, ISNUMBER(--INDIRECT("数出表_Excel!"&amp;EG50&amp; (MATCH(EL8,数出表_Excel!$A:$A,0)-1) &amp; ":U" &amp; (MATCH(EL8,数出表_Excel!$A:$A,0)-1))), 0)
+65) &amp; "3"),""))),"")</f>
        <v/>
      </c>
      <c r="EI93" s="76"/>
      <c r="EJ93" s="82" t="str" cm="1">
        <f t="array" aca="1" ref="EJ93" ca="1">IF(EK93&lt;&gt;"","",
IF(COUNTIF(EH92,"*雙葉*"),"",
IF(EH92&lt;&gt;"",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+MATCH(TRUE,INDIRECT("'数出表_Excel'!"&amp;EG92&amp;MATCH(EL8,数出表_Excel!$A:$A,0)-1&amp;":AL"&amp;MATCH(EL8,数出表_Excel!$A:$A,0)-1&amp;"")&lt;&gt;"",0))&gt;9,"",
IFERROR(
INDEX(INDIRECT("数出表_Excel!$"&amp;EG92&amp;"4:$AL4"),
 1,
MATCH(TRUE,INDIRECT("'数出表_Excel'!"&amp;EG92&amp;MATCH(EL8,数出表_Excel!$A:$A,0)-1&amp;":AL"&amp;MATCH(EL8,数出表_Excel!$A:$A,0)-1&amp;"")&lt;&gt;"",0)
),
 "")
&amp;IFERROR(
INDEX(INDIRECT("数出表_Excel!$"&amp;EG92&amp;"5:$AL5"),
 1,
MATCH(TRUE,INDIRECT("'数出表_Excel'!"&amp;EG92&amp;MATCH(EL8,数出表_Excel!$A:$A,0)-1&amp;":AL"&amp;MATCH(EL8,数出表_Excel!$A:$A,0)-1&amp;"")&lt;&gt;"",0)),
 "")),"")))</f>
        <v/>
      </c>
      <c r="EK93" s="83" t="str" cm="1">
        <f t="array" aca="1" ref="EK93" ca="1">IF(EH93&lt;&gt;"",
IF(COUNTIF(EH92,"*雙葉*"),
IF(ROUND(
IF(EK98&lt;&gt;"",(EH95-EK98),EH95)
/IF(COUNTIF(EH93,"*キャラ*"),
VLOOKUP("*キャラ*",商品マスタ一覧!$D:$J,7,FALSE),
IF(COUNTIF(EH93,"*赤*"),
VLOOKUP("*赤*",商品マスタ一覧!$D:$J,7,FALSE),
VLOOKUP(EH93,商品マスタ一覧!$D:$J,7,FALSE))),0)&lt;=0,1,
ROUND(
IF(EK98&lt;&gt;"",(EH95-EK98),EH95)
/IF(COUNTIF(EH93,"*キャラ*"),
VLOOKUP("*キャラ*",商品マスタ一覧!$D:$J,7,FALSE),
IF(COUNTIF(EH93,"*赤*"),
VLOOKUP("*赤*",商品マスタ一覧!$D:$J,7,FALSE),
VLOOKUP(EH93,商品マスタ一覧!$D:$J,7,FALSE))),0)),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IF(EH93&lt;&gt;"",
IF(IF(COUNTIF(EH93,"*キャラ*"),
VLOOKUP("*キャラ*",商品マスタ一覧!$D:$J,7,FALSE),
IF(COUNTIF(EH93,"*赤*"),
VLOOKUP("*赤*",商品マスタ一覧!$D:$J,7,FALSE),
VLOOKUP(EH93,商品マスタ一覧!$D:$J,7,FALSE)))=0,"",
IF(ROUND(
IF(EK98&lt;&gt;"",(EH95-EK98),EH95)
/IF(COUNTIF(EH93,"*キャラ*"),
VLOOKUP("*キャラ*",商品マスタ一覧!$D:$J,7,FALSE),
IF(COUNTIF(EH93,"*赤*"),
VLOOKUP("*赤*",商品マスタ一覧!$D:$J,7,FALSE),
VLOOKUP(EH93,商品マスタ一覧!$D:$J,7,FALSE))),0)&lt;=0,1,
ROUND(
IF(EK98&lt;&gt;"",(EH95-EK98),EH95)
/IF(COUNTIF(EH93,"*キャラ*"),
VLOOKUP("*キャラ*",商品マスタ一覧!$D:$J,7,FALSE),
IF(COUNTIF(EH93,"*赤*"),
VLOOKUP("*赤*",商品マスタ一覧!$D:$J,7,FALSE),
VLOOKUP(EH93,商品マスタ一覧!$D:$J,7,FALSE))),0))),""),"")),"")</f>
        <v/>
      </c>
      <c r="EL93" s="92" t="str">
        <f ca="1">IF(EK93&lt;&gt;"",IF(EH95&lt;&gt;"",IF(VALUE(IF(EK98&lt;&gt;"",EH95-EK98,EH95))&gt;VALUE(IF(COUNTIF('盛付札（関数）'!EH93,"*キャラ*"),
VLOOKUP("*キャラ*",商品マスタ一覧!$D:$J,7,FALSE),
IF(COUNTIF('盛付札（関数）'!EH93,"*赤*"),
VLOOKUP("*赤*",商品マスタ一覧!$D:$J,7,FALSE),
VLOOKUP('盛付札（関数）'!EH93,商品マスタ一覧!$D:$J,7,FALSE)))*EK93),
"+"&amp;IF(EK98&lt;&gt;"",EH95-EK98,EH95)-IF(COUNTIF('盛付札（関数）'!EH93,"*キャラ*"),
VLOOKUP("*キャラ*",商品マスタ一覧!$D:$J,7,FALSE),
IF(COUNTIF('盛付札（関数）'!EH93,"*赤*"),
VLOOKUP("*赤*",商品マスタ一覧!$D:$J,7,FALSE),
VLOOKUP('盛付札（関数）'!EH93,商品マスタ一覧!$D:$J,7,FALSE)))*EK93,
IF(EK98&lt;&gt;"",EH95-EK98,EH95)-IF(COUNTIF('盛付札（関数）'!EH93,"*キャラ*"),
VLOOKUP("*キャラ*",商品マスタ一覧!$D:$J,7,FALSE),
IF(COUNTIF('盛付札（関数）'!EH93,"*赤*"),
VLOOKUP("*赤*",商品マスタ一覧!$D:$J,7,FALSE),
VLOOKUP('盛付札（関数）'!EH93,商品マスタ一覧!$D:$J,7,FALSE)))*EK93),""),"")</f>
        <v/>
      </c>
      <c r="EM93" s="76"/>
      <c r="EN93" s="81" t="e" cm="1">
        <f t="array" aca="1" ref="EN93" ca="1">IF(EN10&lt;&gt;100,
IF(EO95&lt;&gt;"",MATCH(EO95,INDIRECT("数出表_Excel!B"&amp;MATCH(ES8,数出表_Excel!$A:$A,0)-1&amp;":U"&amp;MATCH(ES8,数出表_Excel!$A:$A,0)-1&amp;""),0)+1,""),
IF(EO95&lt;&gt;"",
MATCH(
IFERROR(
INDEX(INDIRECT("数出表_Excel!"&amp;EN92&amp;MATCH(ES8,数出表_Excel!$A:$A,0)-1&amp;":U"&amp;MATCH(ES8,数出表_Excel!$A:$A,0)-1&amp;""),
 1,
 MATCH(TRUE, ISNUMBER(--INDIRECT("数出表_Excel!"&amp;EN92&amp;MATCH(ES8,数出表_Excel!$A:$A,0)-1&amp;":U"&amp;MATCH(ES8,数出表_Excel!$A:$A,0)-1&amp;"")),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93" s="58" t="str" cm="1">
        <f t="array" aca="1" ref="EO93" ca="1">IFERROR(IF(OR(
COUNTIF(INDIRECT("数出表_Excel!" &amp;
CHAR(MATCH(TRUE,
ISNUMBER(--INDIRECT("数出表_Excel!"&amp;EN92&amp;MATCH(ES8,数出表_Excel!$A:$A,0)-1&amp;":U"&amp;MATCH(ES8,数出表_Excel!$A:$A,0)-1&amp;"")),0)
+MATCH(TRUE, ISNUMBER(--INDIRECT("数出表_Excel!B" &amp; (MATCH(ES8,数出表_Excel!$A:$A,0)-1) &amp; ":U" &amp; (MATCH(ES8,数出表_Excel!$A:$A,0)-1))), 0)
+MATCH(TRUE, ISNUMBER(--INDIRECT("数出表_Excel!"&amp;EN50&amp; (MATCH(ES8,数出表_Excel!$A:$A,0)-1) &amp; ":U" &amp; (MATCH(ES8,数出表_Excel!$A:$A,0)-1))), 0)
+65) &amp; "3"),"*配膳*"),
COUNTIF(INDIRECT("数出表_Excel!" &amp;
CHAR(MATCH(TRUE,
ISNUMBER(--INDIRECT("数出表_Excel!"&amp;EN92&amp;MATCH(ES8,数出表_Excel!$A:$A,0)-1&amp;":U"&amp;MATCH(ES8,数出表_Excel!$A:$A,0)-1&amp;"")),0)
+MATCH(TRUE, ISNUMBER(--INDIRECT("数出表_Excel!B" &amp; (MATCH(ES8,数出表_Excel!$A:$A,0)-1) &amp; ":U" &amp; (MATCH(ES8,数出表_Excel!$A:$A,0)-1))), 0)
+MATCH(TRUE, ISNUMBER(--INDIRECT("数出表_Excel!"&amp;EN50&amp; (MATCH(ES8,数出表_Excel!$A:$A,0)-1) &amp; ":U" &amp; (MATCH(ES8,数出表_Excel!$A:$A,0)-1))), 0)
+65) &amp; "3"),"*カレー*"),
COUNTIF(EO50,"*合計*")),"",
IF(IFERROR(INDIRECT("数出表_Excel!" &amp;
CHAR(MATCH(TRUE,
ISNUMBER(--INDIRECT("数出表_Excel!"&amp;EN92&amp;MATCH(ES8,数出表_Excel!$A:$A,0)-1&amp;":U"&amp;MATCH(ES8,数出表_Excel!$A:$A,0)-1&amp;"")),0)
+MATCH(TRUE, ISNUMBER(--INDIRECT("数出表_Excel!B" &amp; (MATCH(ES8,数出表_Excel!$A:$A,0)-1) &amp; ":U" &amp; (MATCH(ES8,数出表_Excel!$A:$A,0)-1))), 0)
+MATCH(TRUE, ISNUMBER(--INDIRECT("数出表_Excel!"&amp;EN50&amp; (MATCH(ES8,数出表_Excel!$A:$A,0)-1) &amp; ":U" &amp; (MATCH(ES8,数出表_Excel!$A:$A,0)-1))), 0)
+65) &amp; "3"),0)=0,"",
IFERROR(INDIRECT("数出表_Excel!" &amp;
CHAR(MATCH(TRUE,
ISNUMBER(--INDIRECT("数出表_Excel!"&amp;EN92&amp;MATCH(ES8,数出表_Excel!$A:$A,0)-1&amp;":U"&amp;MATCH(ES8,数出表_Excel!$A:$A,0)-1&amp;"")),0)
+MATCH(TRUE, ISNUMBER(--INDIRECT("数出表_Excel!B" &amp; (MATCH(ES8,数出表_Excel!$A:$A,0)-1) &amp; ":U" &amp; (MATCH(ES8,数出表_Excel!$A:$A,0)-1))), 0)
+MATCH(TRUE, ISNUMBER(--INDIRECT("数出表_Excel!"&amp;EN50&amp; (MATCH(ES8,数出表_Excel!$A:$A,0)-1) &amp; ":U" &amp; (MATCH(ES8,数出表_Excel!$A:$A,0)-1))), 0)
+65) &amp; "3"),""))),"")</f>
        <v/>
      </c>
      <c r="EP93" s="76"/>
      <c r="EQ93" s="82" t="str" cm="1">
        <f t="array" aca="1" ref="EQ93" ca="1">IF(ER93&lt;&gt;"","",
IF(COUNTIF(EO92,"*雙葉*"),"",
IF(EO92&lt;&gt;"",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+MATCH(TRUE,INDIRECT("'数出表_Excel'!"&amp;EN92&amp;MATCH(ES8,数出表_Excel!$A:$A,0)-1&amp;":AL"&amp;MATCH(ES8,数出表_Excel!$A:$A,0)-1&amp;"")&lt;&gt;"",0))&gt;9,"",
IFERROR(
INDEX(INDIRECT("数出表_Excel!$"&amp;EN92&amp;"4:$AL4"),
 1,
MATCH(TRUE,INDIRECT("'数出表_Excel'!"&amp;EN92&amp;MATCH(ES8,数出表_Excel!$A:$A,0)-1&amp;":AL"&amp;MATCH(ES8,数出表_Excel!$A:$A,0)-1&amp;"")&lt;&gt;"",0)
),
 "")
&amp;IFERROR(
INDEX(INDIRECT("数出表_Excel!$"&amp;EN92&amp;"5:$AL5"),
 1,
MATCH(TRUE,INDIRECT("'数出表_Excel'!"&amp;EN92&amp;MATCH(ES8,数出表_Excel!$A:$A,0)-1&amp;":AL"&amp;MATCH(ES8,数出表_Excel!$A:$A,0)-1&amp;"")&lt;&gt;"",0)),
 "")),"")))</f>
        <v/>
      </c>
      <c r="ER93" s="83" t="str" cm="1">
        <f t="array" aca="1" ref="ER93" ca="1">IF(EO93&lt;&gt;"",
IF(COUNTIF(EO92,"*雙葉*"),
IF(ROUND(
IF(ER98&lt;&gt;"",(EO95-ER98),EO95)
/IF(COUNTIF(EO93,"*キャラ*"),
VLOOKUP("*キャラ*",商品マスタ一覧!$D:$J,7,FALSE),
IF(COUNTIF(EO93,"*赤*"),
VLOOKUP("*赤*",商品マスタ一覧!$D:$J,7,FALSE),
VLOOKUP(EO93,商品マスタ一覧!$D:$J,7,FALSE))),0)&lt;=0,1,
ROUND(
IF(ER98&lt;&gt;"",(EO95-ER98),EO95)
/IF(COUNTIF(EO93,"*キャラ*"),
VLOOKUP("*キャラ*",商品マスタ一覧!$D:$J,7,FALSE),
IF(COUNTIF(EO93,"*赤*"),
VLOOKUP("*赤*",商品マスタ一覧!$D:$J,7,FALSE),
VLOOKUP(EO93,商品マスタ一覧!$D:$J,7,FALSE))),0)),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IF(EO93&lt;&gt;"",
IF(IF(COUNTIF(EO93,"*キャラ*"),
VLOOKUP("*キャラ*",商品マスタ一覧!$D:$J,7,FALSE),
IF(COUNTIF(EO93,"*赤*"),
VLOOKUP("*赤*",商品マスタ一覧!$D:$J,7,FALSE),
VLOOKUP(EO93,商品マスタ一覧!$D:$J,7,FALSE)))=0,"",
IF(ROUND(
IF(ER98&lt;&gt;"",(EO95-ER98),EO95)
/IF(COUNTIF(EO93,"*キャラ*"),
VLOOKUP("*キャラ*",商品マスタ一覧!$D:$J,7,FALSE),
IF(COUNTIF(EO93,"*赤*"),
VLOOKUP("*赤*",商品マスタ一覧!$D:$J,7,FALSE),
VLOOKUP(EO93,商品マスタ一覧!$D:$J,7,FALSE))),0)&lt;=0,1,
ROUND(
IF(ER98&lt;&gt;"",(EO95-ER98),EO95)
/IF(COUNTIF(EO93,"*キャラ*"),
VLOOKUP("*キャラ*",商品マスタ一覧!$D:$J,7,FALSE),
IF(COUNTIF(EO93,"*赤*"),
VLOOKUP("*赤*",商品マスタ一覧!$D:$J,7,FALSE),
VLOOKUP(EO93,商品マスタ一覧!$D:$J,7,FALSE))),0))),""),"")),"")</f>
        <v/>
      </c>
      <c r="ES93" s="92" t="str">
        <f ca="1">IF(ER93&lt;&gt;"",IF(EO95&lt;&gt;"",IF(VALUE(IF(ER98&lt;&gt;"",EO95-ER98,EO95))&gt;VALUE(IF(COUNTIF('盛付札（関数）'!EO93,"*キャラ*"),
VLOOKUP("*キャラ*",商品マスタ一覧!$D:$J,7,FALSE),
IF(COUNTIF('盛付札（関数）'!EO93,"*赤*"),
VLOOKUP("*赤*",商品マスタ一覧!$D:$J,7,FALSE),
VLOOKUP('盛付札（関数）'!EO93,商品マスタ一覧!$D:$J,7,FALSE)))*ER93),
"+"&amp;IF(ER98&lt;&gt;"",EO95-ER98,EO95)-IF(COUNTIF('盛付札（関数）'!EO93,"*キャラ*"),
VLOOKUP("*キャラ*",商品マスタ一覧!$D:$J,7,FALSE),
IF(COUNTIF('盛付札（関数）'!EO93,"*赤*"),
VLOOKUP("*赤*",商品マスタ一覧!$D:$J,7,FALSE),
VLOOKUP('盛付札（関数）'!EO93,商品マスタ一覧!$D:$J,7,FALSE)))*ER93,
IF(ER98&lt;&gt;"",EO95-ER98,EO95)-IF(COUNTIF('盛付札（関数）'!EO93,"*キャラ*"),
VLOOKUP("*キャラ*",商品マスタ一覧!$D:$J,7,FALSE),
IF(COUNTIF('盛付札（関数）'!EO93,"*赤*"),
VLOOKUP("*赤*",商品マスタ一覧!$D:$J,7,FALSE),
VLOOKUP('盛付札（関数）'!EO93,商品マスタ一覧!$D:$J,7,FALSE)))*ER93),""),"")</f>
        <v/>
      </c>
      <c r="EU93" s="78">
        <f t="shared" si="8"/>
        <v>105</v>
      </c>
      <c r="EV93" s="78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78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78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78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78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78" t="str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/>
      </c>
      <c r="FB93" s="78" t="str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/>
      </c>
      <c r="FC93" s="78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78" t="str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/>
      </c>
      <c r="FE93" s="78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78" t="str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/>
      </c>
      <c r="FG93" s="78">
        <f t="shared" ca="1" si="7"/>
        <v>0</v>
      </c>
      <c r="FH93" s="78" t="b">
        <f t="array" aca="1" ref="FH93" ca="1">SUMPRODUCT((LEN(EV93:FF93)&gt;0)*1)&gt;0</f>
        <v>0</v>
      </c>
      <c r="FI93" s="78" t="str">
        <f t="array" aca="1" ref="FI93" ca="1">IFERROR(SMALL(IF(FG$1:FG$228&lt;&gt;0,FG$1:FG$228),ROW(A93)),"")</f>
        <v/>
      </c>
      <c r="FJ93" s="78" t="str">
        <f t="array" aca="1" ref="FJ93" ca="1">IF($FI93&lt;&gt;"",
INDIRECT(""&amp;IF(COLUMN(EV139)&lt;=26,CHAR(COLUMN(EV139)+64),CHAR(INT((COLUMN(EV139)-1)/26)+64)&amp;CHAR(MOD(COLUMN(EV139)-1,26)+65))&amp;$FI93&amp;""),"")</f>
        <v/>
      </c>
      <c r="FK93" s="78" t="str">
        <f t="array" aca="1" ref="FK93" ca="1">IF($FI93&lt;&gt;"",
INDIRECT(""&amp;IF(COLUMN(EW139)&lt;=26,CHAR(COLUMN(EW139)+64),CHAR(INT((COLUMN(EW139)-1)/26)+64)&amp;CHAR(MOD(COLUMN(EW139)-1,26)+65))&amp;$FI93&amp;""),"")</f>
        <v/>
      </c>
      <c r="FL93" s="78" t="str">
        <f t="array" aca="1" ref="FL93" ca="1">IF($FI93&lt;&gt;"",
INDIRECT(""&amp;IF(COLUMN(EX139)&lt;=26,CHAR(COLUMN(EX139)+64),CHAR(INT((COLUMN(EX139)-1)/26)+64)&amp;CHAR(MOD(COLUMN(EX139)-1,26)+65))&amp;$FI93&amp;""),"")</f>
        <v/>
      </c>
      <c r="FM93" s="78" t="str">
        <f t="array" aca="1" ref="FM93" ca="1">IF($FI93&lt;&gt;"",
IF(FL93="",
IF(INDIRECT("EY"&amp;$FI93&amp;"")&lt;&gt;"",
INDIRECT("EY"&amp;$FI93&amp;"")&amp;"箱"
&amp;INDIRECT("EZ"&amp;$FI93&amp;""),""),""),"")</f>
        <v/>
      </c>
      <c r="FN93" s="78" t="str">
        <f t="array" aca="1" ref="FN93" ca="1">IF($FI93&lt;&gt;"",
INDIRECT(""&amp;IF(COLUMN(FA139)&lt;=26,CHAR(COLUMN(FA139)+64),CHAR(INT((COLUMN(FA139)-1)/26)+64)&amp;CHAR(MOD(COLUMN(FA139)-1,26)+65))&amp;$FI93&amp;""),"")</f>
        <v/>
      </c>
      <c r="FO93" s="78" t="str">
        <f t="array" aca="1" ref="FO93" ca="1">IF($FI93&lt;&gt;"",
INDIRECT(""&amp;IF(COLUMN(FB139)&lt;=26,CHAR(COLUMN(FB139)+64),CHAR(INT((COLUMN(FB139)-1)/26)+64)&amp;CHAR(MOD(COLUMN(FB139)-1,26)+65))&amp;$FI93&amp;""),"")</f>
        <v/>
      </c>
      <c r="FP93" s="78" t="str">
        <f t="array" aca="1" ref="FP93" ca="1">IF($FI93&lt;&gt;"",
INDIRECT(""&amp;IF(COLUMN(FC139)&lt;=26,CHAR(COLUMN(FC139)+64),CHAR(INT((COLUMN(FC139)-1)/26)+64)&amp;CHAR(MOD(COLUMN(FC139)-1,26)+65))&amp;$FI93&amp;""),"")</f>
        <v/>
      </c>
      <c r="FQ93" s="78" t="str">
        <f t="array" aca="1" ref="FQ93" ca="1">IF($FI93&lt;&gt;"",
INDIRECT(""&amp;IF(COLUMN(FD139)&lt;=26,CHAR(COLUMN(FD139)+64),CHAR(INT((COLUMN(FD139)-1)/26)+64)&amp;CHAR(MOD(COLUMN(FD139)-1,26)+65))&amp;$FI93&amp;""),"")</f>
        <v/>
      </c>
      <c r="FR93" s="78" t="str">
        <f t="array" aca="1" ref="FR93" ca="1">IF($FI93&lt;&gt;"",
INDIRECT(""&amp;IF(COLUMN(FE139)&lt;=26,CHAR(COLUMN(FE139)+64),CHAR(INT((COLUMN(FE139)-1)/26)+64)&amp;CHAR(MOD(COLUMN(FE139)-1,26)+65))&amp;$FI93&amp;""),"")</f>
        <v/>
      </c>
      <c r="FS93" s="78" t="str">
        <f t="array" aca="1" ref="FS93" ca="1">IF($FI93&lt;&gt;"",
INDIRECT(""&amp;IF(COLUMN(FF139)&lt;=26,CHAR(COLUMN(FF139)+64),CHAR(INT((COLUMN(FF139)-1)/26)+64)&amp;CHAR(MOD(COLUMN(FF139)-1,26)+65))&amp;$FI93&amp;""),"")</f>
        <v/>
      </c>
    </row>
    <row r="94" spans="1:175" ht="22.2" customHeight="1" x14ac:dyDescent="0.55000000000000004">
      <c r="B94" s="84" t="str" cm="1">
        <f t="array" aca="1" ref="B94" ca="1">IF(C92&lt;&gt;"",SUBSTITUTE(ADDRESS(1,
(COLUMN(INDIRECT("数出表_Excel!"&amp;B92&amp;1&amp;""))-2 +
MATCH(TRUE, ISNUMBER(--INDIRECT("数出表_Excel!"&amp;B92&amp; (MATCH(INDIRECT(""&amp;G92&amp;ROW()-86&amp;""),数出表_Excel!$A:$A,0)-1) &amp; ":U" &amp; (MATCH(INDIRECT(""&amp;G92&amp;ROW()-86&amp;""),数出表_Excel!$A:$A,0)-1))), 0))
*2,4),"1",""),"")</f>
        <v/>
      </c>
      <c r="C94" s="249" t="str">
        <f ca="1">IF(C95&lt;&gt;"","園児","")</f>
        <v/>
      </c>
      <c r="D94" s="250"/>
      <c r="E94" s="251" t="str">
        <f ca="1">IF(C95&lt;&gt;"","先生","")</f>
        <v/>
      </c>
      <c r="F94" s="250"/>
      <c r="G94" s="97" cm="1">
        <f t="array" aca="1" ref="G94" ca="1">IF(C92&lt;&gt;"",
IF(IFERROR(
INDEX(INDIRECT("'数出表_Excel（アレルギー入力）'!"&amp;B94&amp;MATCH(G8,'数出表_Excel（アレルギー入力）'!$A:$A,0)-1&amp;":"&amp;G96&amp;MATCH(G8,'数出表_Excel（アレルギー入力）'!$A:$A,0)-1&amp;""),
 1,
MATCH(TRUE,INDIRECT("'数出表_Excel（アレルギー入力）'!"&amp;B94&amp;MATCH(G8,'数出表_Excel（アレルギー入力）'!$A:$A,0)-1&amp;":"&amp;G96&amp;MATCH(G8,'数出表_Excel（アレルギー入力）'!$A:$A,0)-1&amp;"")&lt;&gt;"",0)+1),
 "")&lt;&gt;0,
IF(IFERROR(
INDEX(INDIRECT("'数出表_Excel（アレルギー入力）'!"&amp;B94&amp;MATCH(G8,'数出表_Excel（アレルギー入力）'!$A:$A,0)-1&amp;":"&amp;G96&amp;MATCH(G8,'数出表_Excel（アレルギー入力）'!$A:$A,0)-1&amp;""),
 1,
MATCH(TRUE,INDIRECT("'数出表_Excel（アレルギー入力）'!"&amp;B94&amp;MATCH(G8,'数出表_Excel（アレルギー入力）'!$A:$A,0)-1&amp;":"&amp;G96&amp;MATCH(G8,'数出表_Excel（アレルギー入力）'!$A:$A,0)-1&amp;"")&lt;&gt;"",0)+1),
 "")="",
0,
IFERROR(
INDEX(INDIRECT("'数出表_Excel（アレルギー入力）'!"&amp;B94&amp;MATCH(G8,'数出表_Excel（アレルギー入力）'!$A:$A,0)-1&amp;":"&amp;G96&amp;MATCH(G8,'数出表_Excel（アレルギー入力）'!$A:$A,0)-1&amp;""),
 1,
MATCH(TRUE,INDIRECT("'数出表_Excel（アレルギー入力）'!"&amp;B94&amp;MATCH(G8,'数出表_Excel（アレルギー入力）'!$A:$A,0)-1&amp;":"&amp;G96&amp;MATCH(G8,'数出表_Excel（アレルギー入力）'!$A:$A,0)-1&amp;"")&lt;&gt;"",0)+1),
 "")),IFERROR(
INDEX(INDIRECT("'数出表_Excel（アレルギー入力）'!"&amp;B94&amp;MATCH(G8,'数出表_Excel（アレルギー入力）'!$A:$A,0)-1&amp;":"&amp;G96&amp;MATCH(G8,'数出表_Excel（アレルギー入力）'!$A:$A,0)-1&amp;""),
 1,
MATCH(TRUE,INDIRECT("'数出表_Excel（アレルギー入力）'!"&amp;B94&amp;MATCH(G8,'数出表_Excel（アレルギー入力）'!$A:$A,0)-1&amp;":"&amp;G96&amp;MATCH(G8,'数出表_Excel（アレルギー入力）'!$A:$A,0)-1&amp;"")&lt;&gt;"",0)+1),
 "")),0)</f>
        <v>0</v>
      </c>
      <c r="H94" s="76"/>
      <c r="I94" s="84" t="str" cm="1">
        <f t="array" aca="1" ref="I94" ca="1">IF(J92&lt;&gt;"",SUBSTITUTE(ADDRESS(1,
(COLUMN(INDIRECT("数出表_Excel!"&amp;I92&amp;1&amp;""))-2 +
MATCH(TRUE, ISNUMBER(--INDIRECT("数出表_Excel!"&amp;I92&amp; (MATCH(INDIRECT(""&amp;N92&amp;ROW()-86&amp;""),数出表_Excel!$A:$A,0)-1) &amp; ":U" &amp; (MATCH(INDIRECT(""&amp;N92&amp;ROW()-86&amp;""),数出表_Excel!$A:$A,0)-1))), 0))
*2,4),"1",""),"")</f>
        <v/>
      </c>
      <c r="J94" s="249" t="str">
        <f ca="1">IF(J95&lt;&gt;"","園児","")</f>
        <v/>
      </c>
      <c r="K94" s="250"/>
      <c r="L94" s="251" t="str">
        <f ca="1">IF(J95&lt;&gt;"","先生","")</f>
        <v/>
      </c>
      <c r="M94" s="250"/>
      <c r="N94" s="97" cm="1">
        <f t="array" aca="1" ref="N94" ca="1">IF(J92&lt;&gt;"",
IF(IFERROR(
INDEX(INDIRECT("'数出表_Excel（アレルギー入力）'!"&amp;I94&amp;MATCH(N8,'数出表_Excel（アレルギー入力）'!$A:$A,0)-1&amp;":"&amp;N96&amp;MATCH(N8,'数出表_Excel（アレルギー入力）'!$A:$A,0)-1&amp;""),
 1,
MATCH(TRUE,INDIRECT("'数出表_Excel（アレルギー入力）'!"&amp;I94&amp;MATCH(N8,'数出表_Excel（アレルギー入力）'!$A:$A,0)-1&amp;":"&amp;N96&amp;MATCH(N8,'数出表_Excel（アレルギー入力）'!$A:$A,0)-1&amp;"")&lt;&gt;"",0)+1),
 "")&lt;&gt;0,
IF(IFERROR(
INDEX(INDIRECT("'数出表_Excel（アレルギー入力）'!"&amp;I94&amp;MATCH(N8,'数出表_Excel（アレルギー入力）'!$A:$A,0)-1&amp;":"&amp;N96&amp;MATCH(N8,'数出表_Excel（アレルギー入力）'!$A:$A,0)-1&amp;""),
 1,
MATCH(TRUE,INDIRECT("'数出表_Excel（アレルギー入力）'!"&amp;I94&amp;MATCH(N8,'数出表_Excel（アレルギー入力）'!$A:$A,0)-1&amp;":"&amp;N96&amp;MATCH(N8,'数出表_Excel（アレルギー入力）'!$A:$A,0)-1&amp;"")&lt;&gt;"",0)+1),
 "")="",
0,
IFERROR(
INDEX(INDIRECT("'数出表_Excel（アレルギー入力）'!"&amp;I94&amp;MATCH(N8,'数出表_Excel（アレルギー入力）'!$A:$A,0)-1&amp;":"&amp;N96&amp;MATCH(N8,'数出表_Excel（アレルギー入力）'!$A:$A,0)-1&amp;""),
 1,
MATCH(TRUE,INDIRECT("'数出表_Excel（アレルギー入力）'!"&amp;I94&amp;MATCH(N8,'数出表_Excel（アレルギー入力）'!$A:$A,0)-1&amp;":"&amp;N96&amp;MATCH(N8,'数出表_Excel（アレルギー入力）'!$A:$A,0)-1&amp;"")&lt;&gt;"",0)+1),
 "")),IFERROR(
INDEX(INDIRECT("'数出表_Excel（アレルギー入力）'!"&amp;I94&amp;MATCH(N8,'数出表_Excel（アレルギー入力）'!$A:$A,0)-1&amp;":"&amp;N96&amp;MATCH(N8,'数出表_Excel（アレルギー入力）'!$A:$A,0)-1&amp;""),
 1,
MATCH(TRUE,INDIRECT("'数出表_Excel（アレルギー入力）'!"&amp;I94&amp;MATCH(N8,'数出表_Excel（アレルギー入力）'!$A:$A,0)-1&amp;":"&amp;N96&amp;MATCH(N8,'数出表_Excel（アレルギー入力）'!$A:$A,0)-1&amp;"")&lt;&gt;"",0)+1),
 "")),0)</f>
        <v>0</v>
      </c>
      <c r="Q94" s="84" t="str" cm="1">
        <f t="array" aca="1" ref="Q94" ca="1">IF(R92&lt;&gt;"",SUBSTITUTE(ADDRESS(1,
(COLUMN(INDIRECT("数出表_Excel!"&amp;Q92&amp;1&amp;""))-2 +
MATCH(TRUE, ISNUMBER(--INDIRECT("数出表_Excel!"&amp;Q92&amp; (MATCH(INDIRECT(""&amp;V92&amp;ROW()-86&amp;""),数出表_Excel!$A:$A,0)-1) &amp; ":U" &amp; (MATCH(INDIRECT(""&amp;V92&amp;ROW()-86&amp;""),数出表_Excel!$A:$A,0)-1))), 0))
*2,4),"1",""),"")</f>
        <v/>
      </c>
      <c r="R94" s="249" t="str">
        <f ca="1">IF(R95&lt;&gt;"","園児","")</f>
        <v/>
      </c>
      <c r="S94" s="250"/>
      <c r="T94" s="251" t="str">
        <f ca="1">IF(R95&lt;&gt;"","先生","")</f>
        <v/>
      </c>
      <c r="U94" s="250"/>
      <c r="V94" s="97" cm="1">
        <f t="array" aca="1" ref="V94" ca="1">IF(R92&lt;&gt;"",
IF(IFERROR(
INDEX(INDIRECT("'数出表_Excel（アレルギー入力）'!"&amp;Q94&amp;MATCH(V8,'数出表_Excel（アレルギー入力）'!$A:$A,0)-1&amp;":"&amp;V96&amp;MATCH(V8,'数出表_Excel（アレルギー入力）'!$A:$A,0)-1&amp;""),
 1,
MATCH(TRUE,INDIRECT("'数出表_Excel（アレルギー入力）'!"&amp;Q94&amp;MATCH(V8,'数出表_Excel（アレルギー入力）'!$A:$A,0)-1&amp;":"&amp;V96&amp;MATCH(V8,'数出表_Excel（アレルギー入力）'!$A:$A,0)-1&amp;"")&lt;&gt;"",0)+1),
 "")&lt;&gt;0,
IF(IFERROR(
INDEX(INDIRECT("'数出表_Excel（アレルギー入力）'!"&amp;Q94&amp;MATCH(V8,'数出表_Excel（アレルギー入力）'!$A:$A,0)-1&amp;":"&amp;V96&amp;MATCH(V8,'数出表_Excel（アレルギー入力）'!$A:$A,0)-1&amp;""),
 1,
MATCH(TRUE,INDIRECT("'数出表_Excel（アレルギー入力）'!"&amp;Q94&amp;MATCH(V8,'数出表_Excel（アレルギー入力）'!$A:$A,0)-1&amp;":"&amp;V96&amp;MATCH(V8,'数出表_Excel（アレルギー入力）'!$A:$A,0)-1&amp;"")&lt;&gt;"",0)+1),
 "")="",
0,
IFERROR(
INDEX(INDIRECT("'数出表_Excel（アレルギー入力）'!"&amp;Q94&amp;MATCH(V8,'数出表_Excel（アレルギー入力）'!$A:$A,0)-1&amp;":"&amp;V96&amp;MATCH(V8,'数出表_Excel（アレルギー入力）'!$A:$A,0)-1&amp;""),
 1,
MATCH(TRUE,INDIRECT("'数出表_Excel（アレルギー入力）'!"&amp;Q94&amp;MATCH(V8,'数出表_Excel（アレルギー入力）'!$A:$A,0)-1&amp;":"&amp;V96&amp;MATCH(V8,'数出表_Excel（アレルギー入力）'!$A:$A,0)-1&amp;"")&lt;&gt;"",0)+1),
 "")),IFERROR(
INDEX(INDIRECT("'数出表_Excel（アレルギー入力）'!"&amp;Q94&amp;MATCH(V8,'数出表_Excel（アレルギー入力）'!$A:$A,0)-1&amp;":"&amp;V96&amp;MATCH(V8,'数出表_Excel（アレルギー入力）'!$A:$A,0)-1&amp;""),
 1,
MATCH(TRUE,INDIRECT("'数出表_Excel（アレルギー入力）'!"&amp;Q94&amp;MATCH(V8,'数出表_Excel（アレルギー入力）'!$A:$A,0)-1&amp;":"&amp;V96&amp;MATCH(V8,'数出表_Excel（アレルギー入力）'!$A:$A,0)-1&amp;"")&lt;&gt;"",0)+1),
 "")),0)</f>
        <v>0</v>
      </c>
      <c r="W94" s="76"/>
      <c r="X94" s="84" t="str" cm="1">
        <f t="array" aca="1" ref="X94" ca="1">IF(Y92&lt;&gt;"",SUBSTITUTE(ADDRESS(1,
(COLUMN(INDIRECT("数出表_Excel!"&amp;X92&amp;1&amp;""))-2 +
MATCH(TRUE, ISNUMBER(--INDIRECT("数出表_Excel!"&amp;X92&amp; (MATCH(INDIRECT(""&amp;AC92&amp;ROW()-86&amp;""),数出表_Excel!$A:$A,0)-1) &amp; ":U" &amp; (MATCH(INDIRECT(""&amp;AC92&amp;ROW()-86&amp;""),数出表_Excel!$A:$A,0)-1))), 0))
*2,4),"1",""),"")</f>
        <v/>
      </c>
      <c r="Y94" s="249" t="str">
        <f ca="1">IF(Y95&lt;&gt;"","園児","")</f>
        <v/>
      </c>
      <c r="Z94" s="250"/>
      <c r="AA94" s="251" t="str">
        <f ca="1">IF(Y95&lt;&gt;"","先生","")</f>
        <v/>
      </c>
      <c r="AB94" s="250"/>
      <c r="AC94" s="97" cm="1">
        <f t="array" aca="1" ref="AC94" ca="1">IF(Y92&lt;&gt;"",
IF(IFERROR(
INDEX(INDIRECT("'数出表_Excel（アレルギー入力）'!"&amp;X94&amp;MATCH(AC8,'数出表_Excel（アレルギー入力）'!$A:$A,0)-1&amp;":"&amp;AC96&amp;MATCH(AC8,'数出表_Excel（アレルギー入力）'!$A:$A,0)-1&amp;""),
 1,
MATCH(TRUE,INDIRECT("'数出表_Excel（アレルギー入力）'!"&amp;X94&amp;MATCH(AC8,'数出表_Excel（アレルギー入力）'!$A:$A,0)-1&amp;":"&amp;AC96&amp;MATCH(AC8,'数出表_Excel（アレルギー入力）'!$A:$A,0)-1&amp;"")&lt;&gt;"",0)+1),
 "")&lt;&gt;0,
IF(IFERROR(
INDEX(INDIRECT("'数出表_Excel（アレルギー入力）'!"&amp;X94&amp;MATCH(AC8,'数出表_Excel（アレルギー入力）'!$A:$A,0)-1&amp;":"&amp;AC96&amp;MATCH(AC8,'数出表_Excel（アレルギー入力）'!$A:$A,0)-1&amp;""),
 1,
MATCH(TRUE,INDIRECT("'数出表_Excel（アレルギー入力）'!"&amp;X94&amp;MATCH(AC8,'数出表_Excel（アレルギー入力）'!$A:$A,0)-1&amp;":"&amp;AC96&amp;MATCH(AC8,'数出表_Excel（アレルギー入力）'!$A:$A,0)-1&amp;"")&lt;&gt;"",0)+1),
 "")="",
0,
IFERROR(
INDEX(INDIRECT("'数出表_Excel（アレルギー入力）'!"&amp;X94&amp;MATCH(AC8,'数出表_Excel（アレルギー入力）'!$A:$A,0)-1&amp;":"&amp;AC96&amp;MATCH(AC8,'数出表_Excel（アレルギー入力）'!$A:$A,0)-1&amp;""),
 1,
MATCH(TRUE,INDIRECT("'数出表_Excel（アレルギー入力）'!"&amp;X94&amp;MATCH(AC8,'数出表_Excel（アレルギー入力）'!$A:$A,0)-1&amp;":"&amp;AC96&amp;MATCH(AC8,'数出表_Excel（アレルギー入力）'!$A:$A,0)-1&amp;"")&lt;&gt;"",0)+1),
 "")),IFERROR(
INDEX(INDIRECT("'数出表_Excel（アレルギー入力）'!"&amp;X94&amp;MATCH(AC8,'数出表_Excel（アレルギー入力）'!$A:$A,0)-1&amp;":"&amp;AC96&amp;MATCH(AC8,'数出表_Excel（アレルギー入力）'!$A:$A,0)-1&amp;""),
 1,
MATCH(TRUE,INDIRECT("'数出表_Excel（アレルギー入力）'!"&amp;X94&amp;MATCH(AC8,'数出表_Excel（アレルギー入力）'!$A:$A,0)-1&amp;":"&amp;AC96&amp;MATCH(AC8,'数出表_Excel（アレルギー入力）'!$A:$A,0)-1&amp;"")&lt;&gt;"",0)+1),
 "")),0)</f>
        <v>0</v>
      </c>
      <c r="AF94" s="84" t="str" cm="1">
        <f t="array" aca="1" ref="AF94" ca="1">IF(AG92&lt;&gt;"",SUBSTITUTE(ADDRESS(1,
(COLUMN(INDIRECT("数出表_Excel!"&amp;AF92&amp;1&amp;""))-2 +
MATCH(TRUE, ISNUMBER(--INDIRECT("数出表_Excel!"&amp;AF92&amp; (MATCH(INDIRECT(""&amp;AK92&amp;ROW()-86&amp;""),数出表_Excel!$A:$A,0)-1) &amp; ":U" &amp; (MATCH(INDIRECT(""&amp;AK92&amp;ROW()-86&amp;""),数出表_Excel!$A:$A,0)-1))), 0))
*2,4),"1",""),"")</f>
        <v/>
      </c>
      <c r="AG94" s="249" t="str">
        <f ca="1">IF(AG95&lt;&gt;"","園児","")</f>
        <v/>
      </c>
      <c r="AH94" s="250"/>
      <c r="AI94" s="251" t="str">
        <f ca="1">IF(AG95&lt;&gt;"","先生","")</f>
        <v/>
      </c>
      <c r="AJ94" s="250"/>
      <c r="AK94" s="97" cm="1">
        <f t="array" aca="1" ref="AK94" ca="1">IF(AG92&lt;&gt;"",
IF(IFERROR(
INDEX(INDIRECT("'数出表_Excel（アレルギー入力）'!"&amp;AF94&amp;MATCH(AK8,'数出表_Excel（アレルギー入力）'!$A:$A,0)-1&amp;":"&amp;AK96&amp;MATCH(AK8,'数出表_Excel（アレルギー入力）'!$A:$A,0)-1&amp;""),
 1,
MATCH(TRUE,INDIRECT("'数出表_Excel（アレルギー入力）'!"&amp;AF94&amp;MATCH(AK8,'数出表_Excel（アレルギー入力）'!$A:$A,0)-1&amp;":"&amp;AK96&amp;MATCH(AK8,'数出表_Excel（アレルギー入力）'!$A:$A,0)-1&amp;"")&lt;&gt;"",0)+1),
 "")&lt;&gt;0,
IF(IFERROR(
INDEX(INDIRECT("'数出表_Excel（アレルギー入力）'!"&amp;AF94&amp;MATCH(AK8,'数出表_Excel（アレルギー入力）'!$A:$A,0)-1&amp;":"&amp;AK96&amp;MATCH(AK8,'数出表_Excel（アレルギー入力）'!$A:$A,0)-1&amp;""),
 1,
MATCH(TRUE,INDIRECT("'数出表_Excel（アレルギー入力）'!"&amp;AF94&amp;MATCH(AK8,'数出表_Excel（アレルギー入力）'!$A:$A,0)-1&amp;":"&amp;AK96&amp;MATCH(AK8,'数出表_Excel（アレルギー入力）'!$A:$A,0)-1&amp;"")&lt;&gt;"",0)+1),
 "")="",
0,
IFERROR(
INDEX(INDIRECT("'数出表_Excel（アレルギー入力）'!"&amp;AF94&amp;MATCH(AK8,'数出表_Excel（アレルギー入力）'!$A:$A,0)-1&amp;":"&amp;AK96&amp;MATCH(AK8,'数出表_Excel（アレルギー入力）'!$A:$A,0)-1&amp;""),
 1,
MATCH(TRUE,INDIRECT("'数出表_Excel（アレルギー入力）'!"&amp;AF94&amp;MATCH(AK8,'数出表_Excel（アレルギー入力）'!$A:$A,0)-1&amp;":"&amp;AK96&amp;MATCH(AK8,'数出表_Excel（アレルギー入力）'!$A:$A,0)-1&amp;"")&lt;&gt;"",0)+1),
 "")),IFERROR(
INDEX(INDIRECT("'数出表_Excel（アレルギー入力）'!"&amp;AF94&amp;MATCH(AK8,'数出表_Excel（アレルギー入力）'!$A:$A,0)-1&amp;":"&amp;AK96&amp;MATCH(AK8,'数出表_Excel（アレルギー入力）'!$A:$A,0)-1&amp;""),
 1,
MATCH(TRUE,INDIRECT("'数出表_Excel（アレルギー入力）'!"&amp;AF94&amp;MATCH(AK8,'数出表_Excel（アレルギー入力）'!$A:$A,0)-1&amp;":"&amp;AK96&amp;MATCH(AK8,'数出表_Excel（アレルギー入力）'!$A:$A,0)-1&amp;"")&lt;&gt;"",0)+1),
 "")),0)</f>
        <v>0</v>
      </c>
      <c r="AL94" s="76"/>
      <c r="AM94" s="84" t="str" cm="1">
        <f t="array" aca="1" ref="AM94" ca="1">IF(AN92&lt;&gt;"",SUBSTITUTE(ADDRESS(1,
(COLUMN(INDIRECT("数出表_Excel!"&amp;AM92&amp;1&amp;""))-2 +
MATCH(TRUE, ISNUMBER(--INDIRECT("数出表_Excel!"&amp;AM92&amp; (MATCH(INDIRECT(""&amp;AR92&amp;ROW()-86&amp;""),数出表_Excel!$A:$A,0)-1) &amp; ":U" &amp; (MATCH(INDIRECT(""&amp;AR92&amp;ROW()-86&amp;""),数出表_Excel!$A:$A,0)-1))), 0))
*2,4),"1",""),"")</f>
        <v/>
      </c>
      <c r="AN94" s="249" t="str">
        <f ca="1">IF(AN95&lt;&gt;"","園児","")</f>
        <v/>
      </c>
      <c r="AO94" s="250"/>
      <c r="AP94" s="251" t="str">
        <f ca="1">IF(AN95&lt;&gt;"","先生","")</f>
        <v/>
      </c>
      <c r="AQ94" s="250"/>
      <c r="AR94" s="97" cm="1">
        <f t="array" aca="1" ref="AR94" ca="1">IF(AN92&lt;&gt;"",
IF(IFERROR(
INDEX(INDIRECT("'数出表_Excel（アレルギー入力）'!"&amp;AM94&amp;MATCH(AR8,'数出表_Excel（アレルギー入力）'!$A:$A,0)-1&amp;":"&amp;AR96&amp;MATCH(AR8,'数出表_Excel（アレルギー入力）'!$A:$A,0)-1&amp;""),
 1,
MATCH(TRUE,INDIRECT("'数出表_Excel（アレルギー入力）'!"&amp;AM94&amp;MATCH(AR8,'数出表_Excel（アレルギー入力）'!$A:$A,0)-1&amp;":"&amp;AR96&amp;MATCH(AR8,'数出表_Excel（アレルギー入力）'!$A:$A,0)-1&amp;"")&lt;&gt;"",0)+1),
 "")&lt;&gt;0,
IF(IFERROR(
INDEX(INDIRECT("'数出表_Excel（アレルギー入力）'!"&amp;AM94&amp;MATCH(AR8,'数出表_Excel（アレルギー入力）'!$A:$A,0)-1&amp;":"&amp;AR96&amp;MATCH(AR8,'数出表_Excel（アレルギー入力）'!$A:$A,0)-1&amp;""),
 1,
MATCH(TRUE,INDIRECT("'数出表_Excel（アレルギー入力）'!"&amp;AM94&amp;MATCH(AR8,'数出表_Excel（アレルギー入力）'!$A:$A,0)-1&amp;":"&amp;AR96&amp;MATCH(AR8,'数出表_Excel（アレルギー入力）'!$A:$A,0)-1&amp;"")&lt;&gt;"",0)+1),
 "")="",
0,
IFERROR(
INDEX(INDIRECT("'数出表_Excel（アレルギー入力）'!"&amp;AM94&amp;MATCH(AR8,'数出表_Excel（アレルギー入力）'!$A:$A,0)-1&amp;":"&amp;AR96&amp;MATCH(AR8,'数出表_Excel（アレルギー入力）'!$A:$A,0)-1&amp;""),
 1,
MATCH(TRUE,INDIRECT("'数出表_Excel（アレルギー入力）'!"&amp;AM94&amp;MATCH(AR8,'数出表_Excel（アレルギー入力）'!$A:$A,0)-1&amp;":"&amp;AR96&amp;MATCH(AR8,'数出表_Excel（アレルギー入力）'!$A:$A,0)-1&amp;"")&lt;&gt;"",0)+1),
 "")),IFERROR(
INDEX(INDIRECT("'数出表_Excel（アレルギー入力）'!"&amp;AM94&amp;MATCH(AR8,'数出表_Excel（アレルギー入力）'!$A:$A,0)-1&amp;":"&amp;AR96&amp;MATCH(AR8,'数出表_Excel（アレルギー入力）'!$A:$A,0)-1&amp;""),
 1,
MATCH(TRUE,INDIRECT("'数出表_Excel（アレルギー入力）'!"&amp;AM94&amp;MATCH(AR8,'数出表_Excel（アレルギー入力）'!$A:$A,0)-1&amp;":"&amp;AR96&amp;MATCH(AR8,'数出表_Excel（アレルギー入力）'!$A:$A,0)-1&amp;"")&lt;&gt;"",0)+1),
 "")),0)</f>
        <v>0</v>
      </c>
      <c r="AU94" s="84" t="str" cm="1">
        <f t="array" aca="1" ref="AU94" ca="1">IF(AV92&lt;&gt;"",SUBSTITUTE(ADDRESS(1,
(COLUMN(INDIRECT("数出表_Excel!"&amp;AU92&amp;1&amp;""))-2 +
MATCH(TRUE, ISNUMBER(--INDIRECT("数出表_Excel!"&amp;AU92&amp; (MATCH(INDIRECT(""&amp;AZ92&amp;ROW()-86&amp;""),数出表_Excel!$A:$A,0)-1) &amp; ":U" &amp; (MATCH(INDIRECT(""&amp;AZ92&amp;ROW()-86&amp;""),数出表_Excel!$A:$A,0)-1))), 0))
*2,4),"1",""),"")</f>
        <v/>
      </c>
      <c r="AV94" s="249" t="str">
        <f ca="1">IF(AV95&lt;&gt;"","園児","")</f>
        <v/>
      </c>
      <c r="AW94" s="250"/>
      <c r="AX94" s="251" t="str">
        <f ca="1">IF(AV95&lt;&gt;"","先生","")</f>
        <v/>
      </c>
      <c r="AY94" s="250"/>
      <c r="AZ94" s="97" cm="1">
        <f t="array" aca="1" ref="AZ94" ca="1">IF(AV92&lt;&gt;"",
IF(IFERROR(
INDEX(INDIRECT("'数出表_Excel（アレルギー入力）'!"&amp;AU94&amp;MATCH(AZ8,'数出表_Excel（アレルギー入力）'!$A:$A,0)-1&amp;":"&amp;AZ96&amp;MATCH(AZ8,'数出表_Excel（アレルギー入力）'!$A:$A,0)-1&amp;""),
 1,
MATCH(TRUE,INDIRECT("'数出表_Excel（アレルギー入力）'!"&amp;AU94&amp;MATCH(AZ8,'数出表_Excel（アレルギー入力）'!$A:$A,0)-1&amp;":"&amp;AZ96&amp;MATCH(AZ8,'数出表_Excel（アレルギー入力）'!$A:$A,0)-1&amp;"")&lt;&gt;"",0)+1),
 "")&lt;&gt;0,
IF(IFERROR(
INDEX(INDIRECT("'数出表_Excel（アレルギー入力）'!"&amp;AU94&amp;MATCH(AZ8,'数出表_Excel（アレルギー入力）'!$A:$A,0)-1&amp;":"&amp;AZ96&amp;MATCH(AZ8,'数出表_Excel（アレルギー入力）'!$A:$A,0)-1&amp;""),
 1,
MATCH(TRUE,INDIRECT("'数出表_Excel（アレルギー入力）'!"&amp;AU94&amp;MATCH(AZ8,'数出表_Excel（アレルギー入力）'!$A:$A,0)-1&amp;":"&amp;AZ96&amp;MATCH(AZ8,'数出表_Excel（アレルギー入力）'!$A:$A,0)-1&amp;"")&lt;&gt;"",0)+1),
 "")="",
0,
IFERROR(
INDEX(INDIRECT("'数出表_Excel（アレルギー入力）'!"&amp;AU94&amp;MATCH(AZ8,'数出表_Excel（アレルギー入力）'!$A:$A,0)-1&amp;":"&amp;AZ96&amp;MATCH(AZ8,'数出表_Excel（アレルギー入力）'!$A:$A,0)-1&amp;""),
 1,
MATCH(TRUE,INDIRECT("'数出表_Excel（アレルギー入力）'!"&amp;AU94&amp;MATCH(AZ8,'数出表_Excel（アレルギー入力）'!$A:$A,0)-1&amp;":"&amp;AZ96&amp;MATCH(AZ8,'数出表_Excel（アレルギー入力）'!$A:$A,0)-1&amp;"")&lt;&gt;"",0)+1),
 "")),IFERROR(
INDEX(INDIRECT("'数出表_Excel（アレルギー入力）'!"&amp;AU94&amp;MATCH(AZ8,'数出表_Excel（アレルギー入力）'!$A:$A,0)-1&amp;":"&amp;AZ96&amp;MATCH(AZ8,'数出表_Excel（アレルギー入力）'!$A:$A,0)-1&amp;""),
 1,
MATCH(TRUE,INDIRECT("'数出表_Excel（アレルギー入力）'!"&amp;AU94&amp;MATCH(AZ8,'数出表_Excel（アレルギー入力）'!$A:$A,0)-1&amp;":"&amp;AZ96&amp;MATCH(AZ8,'数出表_Excel（アレルギー入力）'!$A:$A,0)-1&amp;"")&lt;&gt;"",0)+1),
 "")),0)</f>
        <v>0</v>
      </c>
      <c r="BA94" s="76"/>
      <c r="BB94" s="84" t="str" cm="1">
        <f t="array" aca="1" ref="BB94" ca="1">IF(BC92&lt;&gt;"",SUBSTITUTE(ADDRESS(1,
(COLUMN(INDIRECT("数出表_Excel!"&amp;BB92&amp;1&amp;""))-2 +
MATCH(TRUE, ISNUMBER(--INDIRECT("数出表_Excel!"&amp;BB92&amp; (MATCH(INDIRECT(""&amp;BG92&amp;ROW()-86&amp;""),数出表_Excel!$A:$A,0)-1) &amp; ":U" &amp; (MATCH(INDIRECT(""&amp;BG92&amp;ROW()-86&amp;""),数出表_Excel!$A:$A,0)-1))), 0))
*2,4),"1",""),"")</f>
        <v/>
      </c>
      <c r="BC94" s="249" t="str">
        <f ca="1">IF(BC95&lt;&gt;"","園児","")</f>
        <v/>
      </c>
      <c r="BD94" s="250"/>
      <c r="BE94" s="251" t="str">
        <f ca="1">IF(BC95&lt;&gt;"","先生","")</f>
        <v/>
      </c>
      <c r="BF94" s="250"/>
      <c r="BG94" s="97" cm="1">
        <f t="array" aca="1" ref="BG94" ca="1">IF(BC92&lt;&gt;"",
IF(IFERROR(
INDEX(INDIRECT("'数出表_Excel（アレルギー入力）'!"&amp;BB94&amp;MATCH(BG8,'数出表_Excel（アレルギー入力）'!$A:$A,0)-1&amp;":"&amp;BG96&amp;MATCH(BG8,'数出表_Excel（アレルギー入力）'!$A:$A,0)-1&amp;""),
 1,
MATCH(TRUE,INDIRECT("'数出表_Excel（アレルギー入力）'!"&amp;BB94&amp;MATCH(BG8,'数出表_Excel（アレルギー入力）'!$A:$A,0)-1&amp;":"&amp;BG96&amp;MATCH(BG8,'数出表_Excel（アレルギー入力）'!$A:$A,0)-1&amp;"")&lt;&gt;"",0)+1),
 "")&lt;&gt;0,
IF(IFERROR(
INDEX(INDIRECT("'数出表_Excel（アレルギー入力）'!"&amp;BB94&amp;MATCH(BG8,'数出表_Excel（アレルギー入力）'!$A:$A,0)-1&amp;":"&amp;BG96&amp;MATCH(BG8,'数出表_Excel（アレルギー入力）'!$A:$A,0)-1&amp;""),
 1,
MATCH(TRUE,INDIRECT("'数出表_Excel（アレルギー入力）'!"&amp;BB94&amp;MATCH(BG8,'数出表_Excel（アレルギー入力）'!$A:$A,0)-1&amp;":"&amp;BG96&amp;MATCH(BG8,'数出表_Excel（アレルギー入力）'!$A:$A,0)-1&amp;"")&lt;&gt;"",0)+1),
 "")="",
0,
IFERROR(
INDEX(INDIRECT("'数出表_Excel（アレルギー入力）'!"&amp;BB94&amp;MATCH(BG8,'数出表_Excel（アレルギー入力）'!$A:$A,0)-1&amp;":"&amp;BG96&amp;MATCH(BG8,'数出表_Excel（アレルギー入力）'!$A:$A,0)-1&amp;""),
 1,
MATCH(TRUE,INDIRECT("'数出表_Excel（アレルギー入力）'!"&amp;BB94&amp;MATCH(BG8,'数出表_Excel（アレルギー入力）'!$A:$A,0)-1&amp;":"&amp;BG96&amp;MATCH(BG8,'数出表_Excel（アレルギー入力）'!$A:$A,0)-1&amp;"")&lt;&gt;"",0)+1),
 "")),IFERROR(
INDEX(INDIRECT("'数出表_Excel（アレルギー入力）'!"&amp;BB94&amp;MATCH(BG8,'数出表_Excel（アレルギー入力）'!$A:$A,0)-1&amp;":"&amp;BG96&amp;MATCH(BG8,'数出表_Excel（アレルギー入力）'!$A:$A,0)-1&amp;""),
 1,
MATCH(TRUE,INDIRECT("'数出表_Excel（アレルギー入力）'!"&amp;BB94&amp;MATCH(BG8,'数出表_Excel（アレルギー入力）'!$A:$A,0)-1&amp;":"&amp;BG96&amp;MATCH(BG8,'数出表_Excel（アレルギー入力）'!$A:$A,0)-1&amp;"")&lt;&gt;"",0)+1),
 "")),0)</f>
        <v>0</v>
      </c>
      <c r="BJ94" s="84" t="str" cm="1">
        <f t="array" aca="1" ref="BJ94" ca="1">IF(BK92&lt;&gt;"",SUBSTITUTE(ADDRESS(1,
(COLUMN(INDIRECT("数出表_Excel!"&amp;BJ92&amp;1&amp;""))-2 +
MATCH(TRUE, ISNUMBER(--INDIRECT("数出表_Excel!"&amp;BJ92&amp; (MATCH(INDIRECT(""&amp;BO92&amp;ROW()-86&amp;""),数出表_Excel!$A:$A,0)-1) &amp; ":U" &amp; (MATCH(INDIRECT(""&amp;BO92&amp;ROW()-86&amp;""),数出表_Excel!$A:$A,0)-1))), 0))
*2,4),"1",""),"")</f>
        <v/>
      </c>
      <c r="BK94" s="249" t="str">
        <f ca="1">IF(BK95&lt;&gt;"","園児","")</f>
        <v/>
      </c>
      <c r="BL94" s="250"/>
      <c r="BM94" s="251" t="str">
        <f ca="1">IF(BK95&lt;&gt;"","先生","")</f>
        <v/>
      </c>
      <c r="BN94" s="250"/>
      <c r="BO94" s="97" cm="1">
        <f t="array" aca="1" ref="BO94" ca="1">IF(BK92&lt;&gt;"",
IF(IFERROR(
INDEX(INDIRECT("'数出表_Excel（アレルギー入力）'!"&amp;BJ94&amp;MATCH(BO8,'数出表_Excel（アレルギー入力）'!$A:$A,0)-1&amp;":"&amp;BO96&amp;MATCH(BO8,'数出表_Excel（アレルギー入力）'!$A:$A,0)-1&amp;""),
 1,
MATCH(TRUE,INDIRECT("'数出表_Excel（アレルギー入力）'!"&amp;BJ94&amp;MATCH(BO8,'数出表_Excel（アレルギー入力）'!$A:$A,0)-1&amp;":"&amp;BO96&amp;MATCH(BO8,'数出表_Excel（アレルギー入力）'!$A:$A,0)-1&amp;"")&lt;&gt;"",0)+1),
 "")&lt;&gt;0,
IF(IFERROR(
INDEX(INDIRECT("'数出表_Excel（アレルギー入力）'!"&amp;BJ94&amp;MATCH(BO8,'数出表_Excel（アレルギー入力）'!$A:$A,0)-1&amp;":"&amp;BO96&amp;MATCH(BO8,'数出表_Excel（アレルギー入力）'!$A:$A,0)-1&amp;""),
 1,
MATCH(TRUE,INDIRECT("'数出表_Excel（アレルギー入力）'!"&amp;BJ94&amp;MATCH(BO8,'数出表_Excel（アレルギー入力）'!$A:$A,0)-1&amp;":"&amp;BO96&amp;MATCH(BO8,'数出表_Excel（アレルギー入力）'!$A:$A,0)-1&amp;"")&lt;&gt;"",0)+1),
 "")="",
0,
IFERROR(
INDEX(INDIRECT("'数出表_Excel（アレルギー入力）'!"&amp;BJ94&amp;MATCH(BO8,'数出表_Excel（アレルギー入力）'!$A:$A,0)-1&amp;":"&amp;BO96&amp;MATCH(BO8,'数出表_Excel（アレルギー入力）'!$A:$A,0)-1&amp;""),
 1,
MATCH(TRUE,INDIRECT("'数出表_Excel（アレルギー入力）'!"&amp;BJ94&amp;MATCH(BO8,'数出表_Excel（アレルギー入力）'!$A:$A,0)-1&amp;":"&amp;BO96&amp;MATCH(BO8,'数出表_Excel（アレルギー入力）'!$A:$A,0)-1&amp;"")&lt;&gt;"",0)+1),
 "")),IFERROR(
INDEX(INDIRECT("'数出表_Excel（アレルギー入力）'!"&amp;BJ94&amp;MATCH(BO8,'数出表_Excel（アレルギー入力）'!$A:$A,0)-1&amp;":"&amp;BO96&amp;MATCH(BO8,'数出表_Excel（アレルギー入力）'!$A:$A,0)-1&amp;""),
 1,
MATCH(TRUE,INDIRECT("'数出表_Excel（アレルギー入力）'!"&amp;BJ94&amp;MATCH(BO8,'数出表_Excel（アレルギー入力）'!$A:$A,0)-1&amp;":"&amp;BO96&amp;MATCH(BO8,'数出表_Excel（アレルギー入力）'!$A:$A,0)-1&amp;"")&lt;&gt;"",0)+1),
 "")),0)</f>
        <v>0</v>
      </c>
      <c r="BP94" s="76"/>
      <c r="BQ94" s="84" t="str" cm="1">
        <f t="array" aca="1" ref="BQ94" ca="1">IF(BR92&lt;&gt;"",SUBSTITUTE(ADDRESS(1,
(COLUMN(INDIRECT("数出表_Excel!"&amp;BQ92&amp;1&amp;""))-2 +
MATCH(TRUE, ISNUMBER(--INDIRECT("数出表_Excel!"&amp;BQ92&amp; (MATCH(INDIRECT(""&amp;BV92&amp;ROW()-86&amp;""),数出表_Excel!$A:$A,0)-1) &amp; ":U" &amp; (MATCH(INDIRECT(""&amp;BV92&amp;ROW()-86&amp;""),数出表_Excel!$A:$A,0)-1))), 0))
*2,4),"1",""),"")</f>
        <v/>
      </c>
      <c r="BR94" s="249" t="str">
        <f ca="1">IF(BR95&lt;&gt;"","園児","")</f>
        <v/>
      </c>
      <c r="BS94" s="250"/>
      <c r="BT94" s="251" t="str">
        <f ca="1">IF(BR95&lt;&gt;"","先生","")</f>
        <v/>
      </c>
      <c r="BU94" s="250"/>
      <c r="BV94" s="97" cm="1">
        <f t="array" aca="1" ref="BV94" ca="1">IF(BR92&lt;&gt;"",
IF(IFERROR(
INDEX(INDIRECT("'数出表_Excel（アレルギー入力）'!"&amp;BQ94&amp;MATCH(BV8,'数出表_Excel（アレルギー入力）'!$A:$A,0)-1&amp;":"&amp;BV96&amp;MATCH(BV8,'数出表_Excel（アレルギー入力）'!$A:$A,0)-1&amp;""),
 1,
MATCH(TRUE,INDIRECT("'数出表_Excel（アレルギー入力）'!"&amp;BQ94&amp;MATCH(BV8,'数出表_Excel（アレルギー入力）'!$A:$A,0)-1&amp;":"&amp;BV96&amp;MATCH(BV8,'数出表_Excel（アレルギー入力）'!$A:$A,0)-1&amp;"")&lt;&gt;"",0)+1),
 "")&lt;&gt;0,
IF(IFERROR(
INDEX(INDIRECT("'数出表_Excel（アレルギー入力）'!"&amp;BQ94&amp;MATCH(BV8,'数出表_Excel（アレルギー入力）'!$A:$A,0)-1&amp;":"&amp;BV96&amp;MATCH(BV8,'数出表_Excel（アレルギー入力）'!$A:$A,0)-1&amp;""),
 1,
MATCH(TRUE,INDIRECT("'数出表_Excel（アレルギー入力）'!"&amp;BQ94&amp;MATCH(BV8,'数出表_Excel（アレルギー入力）'!$A:$A,0)-1&amp;":"&amp;BV96&amp;MATCH(BV8,'数出表_Excel（アレルギー入力）'!$A:$A,0)-1&amp;"")&lt;&gt;"",0)+1),
 "")="",
0,
IFERROR(
INDEX(INDIRECT("'数出表_Excel（アレルギー入力）'!"&amp;BQ94&amp;MATCH(BV8,'数出表_Excel（アレルギー入力）'!$A:$A,0)-1&amp;":"&amp;BV96&amp;MATCH(BV8,'数出表_Excel（アレルギー入力）'!$A:$A,0)-1&amp;""),
 1,
MATCH(TRUE,INDIRECT("'数出表_Excel（アレルギー入力）'!"&amp;BQ94&amp;MATCH(BV8,'数出表_Excel（アレルギー入力）'!$A:$A,0)-1&amp;":"&amp;BV96&amp;MATCH(BV8,'数出表_Excel（アレルギー入力）'!$A:$A,0)-1&amp;"")&lt;&gt;"",0)+1),
 "")),IFERROR(
INDEX(INDIRECT("'数出表_Excel（アレルギー入力）'!"&amp;BQ94&amp;MATCH(BV8,'数出表_Excel（アレルギー入力）'!$A:$A,0)-1&amp;":"&amp;BV96&amp;MATCH(BV8,'数出表_Excel（アレルギー入力）'!$A:$A,0)-1&amp;""),
 1,
MATCH(TRUE,INDIRECT("'数出表_Excel（アレルギー入力）'!"&amp;BQ94&amp;MATCH(BV8,'数出表_Excel（アレルギー入力）'!$A:$A,0)-1&amp;":"&amp;BV96&amp;MATCH(BV8,'数出表_Excel（アレルギー入力）'!$A:$A,0)-1&amp;"")&lt;&gt;"",0)+1),
 "")),0)</f>
        <v>0</v>
      </c>
      <c r="BY94" s="84" t="str" cm="1">
        <f t="array" aca="1" ref="BY94" ca="1">IF(BZ92&lt;&gt;"",SUBSTITUTE(ADDRESS(1,
(COLUMN(INDIRECT("数出表_Excel!"&amp;BY92&amp;1&amp;""))-2 +
MATCH(TRUE, ISNUMBER(--INDIRECT("数出表_Excel!"&amp;BY92&amp; (MATCH(INDIRECT(""&amp;CD92&amp;ROW()-86&amp;""),数出表_Excel!$A:$A,0)-1) &amp; ":U" &amp; (MATCH(INDIRECT(""&amp;CD92&amp;ROW()-86&amp;""),数出表_Excel!$A:$A,0)-1))), 0))
*2,4),"1",""),"")</f>
        <v/>
      </c>
      <c r="BZ94" s="249" t="str">
        <f ca="1">IF(BZ95&lt;&gt;"","園児","")</f>
        <v/>
      </c>
      <c r="CA94" s="250"/>
      <c r="CB94" s="251" t="str">
        <f ca="1">IF(BZ95&lt;&gt;"","先生","")</f>
        <v/>
      </c>
      <c r="CC94" s="250"/>
      <c r="CD94" s="97" cm="1">
        <f t="array" aca="1" ref="CD94" ca="1">IF(BZ92&lt;&gt;"",
IF(IFERROR(
INDEX(INDIRECT("'数出表_Excel（アレルギー入力）'!"&amp;BY94&amp;MATCH(CD8,'数出表_Excel（アレルギー入力）'!$A:$A,0)-1&amp;":"&amp;CD96&amp;MATCH(CD8,'数出表_Excel（アレルギー入力）'!$A:$A,0)-1&amp;""),
 1,
MATCH(TRUE,INDIRECT("'数出表_Excel（アレルギー入力）'!"&amp;BY94&amp;MATCH(CD8,'数出表_Excel（アレルギー入力）'!$A:$A,0)-1&amp;":"&amp;CD96&amp;MATCH(CD8,'数出表_Excel（アレルギー入力）'!$A:$A,0)-1&amp;"")&lt;&gt;"",0)+1),
 "")&lt;&gt;0,
IF(IFERROR(
INDEX(INDIRECT("'数出表_Excel（アレルギー入力）'!"&amp;BY94&amp;MATCH(CD8,'数出表_Excel（アレルギー入力）'!$A:$A,0)-1&amp;":"&amp;CD96&amp;MATCH(CD8,'数出表_Excel（アレルギー入力）'!$A:$A,0)-1&amp;""),
 1,
MATCH(TRUE,INDIRECT("'数出表_Excel（アレルギー入力）'!"&amp;BY94&amp;MATCH(CD8,'数出表_Excel（アレルギー入力）'!$A:$A,0)-1&amp;":"&amp;CD96&amp;MATCH(CD8,'数出表_Excel（アレルギー入力）'!$A:$A,0)-1&amp;"")&lt;&gt;"",0)+1),
 "")="",
0,
IFERROR(
INDEX(INDIRECT("'数出表_Excel（アレルギー入力）'!"&amp;BY94&amp;MATCH(CD8,'数出表_Excel（アレルギー入力）'!$A:$A,0)-1&amp;":"&amp;CD96&amp;MATCH(CD8,'数出表_Excel（アレルギー入力）'!$A:$A,0)-1&amp;""),
 1,
MATCH(TRUE,INDIRECT("'数出表_Excel（アレルギー入力）'!"&amp;BY94&amp;MATCH(CD8,'数出表_Excel（アレルギー入力）'!$A:$A,0)-1&amp;":"&amp;CD96&amp;MATCH(CD8,'数出表_Excel（アレルギー入力）'!$A:$A,0)-1&amp;"")&lt;&gt;"",0)+1),
 "")),IFERROR(
INDEX(INDIRECT("'数出表_Excel（アレルギー入力）'!"&amp;BY94&amp;MATCH(CD8,'数出表_Excel（アレルギー入力）'!$A:$A,0)-1&amp;":"&amp;CD96&amp;MATCH(CD8,'数出表_Excel（アレルギー入力）'!$A:$A,0)-1&amp;""),
 1,
MATCH(TRUE,INDIRECT("'数出表_Excel（アレルギー入力）'!"&amp;BY94&amp;MATCH(CD8,'数出表_Excel（アレルギー入力）'!$A:$A,0)-1&amp;":"&amp;CD96&amp;MATCH(CD8,'数出表_Excel（アレルギー入力）'!$A:$A,0)-1&amp;"")&lt;&gt;"",0)+1),
 "")),0)</f>
        <v>0</v>
      </c>
      <c r="CE94" s="76"/>
      <c r="CF94" s="84" t="str" cm="1">
        <f t="array" aca="1" ref="CF94" ca="1">IF(CG92&lt;&gt;"",SUBSTITUTE(ADDRESS(1,
(COLUMN(INDIRECT("数出表_Excel!"&amp;CF92&amp;1&amp;""))-2 +
MATCH(TRUE, ISNUMBER(--INDIRECT("数出表_Excel!"&amp;CF92&amp; (MATCH(INDIRECT(""&amp;CK92&amp;ROW()-86&amp;""),数出表_Excel!$A:$A,0)-1) &amp; ":U" &amp; (MATCH(INDIRECT(""&amp;CK92&amp;ROW()-86&amp;""),数出表_Excel!$A:$A,0)-1))), 0))
*2,4),"1",""),"")</f>
        <v/>
      </c>
      <c r="CG94" s="249" t="str">
        <f ca="1">IF(CG95&lt;&gt;"","園児","")</f>
        <v/>
      </c>
      <c r="CH94" s="250"/>
      <c r="CI94" s="251" t="str">
        <f ca="1">IF(CG95&lt;&gt;"","先生","")</f>
        <v/>
      </c>
      <c r="CJ94" s="250"/>
      <c r="CK94" s="97" cm="1">
        <f t="array" aca="1" ref="CK94" ca="1">IF(CG92&lt;&gt;"",
IF(IFERROR(
INDEX(INDIRECT("'数出表_Excel（アレルギー入力）'!"&amp;CF94&amp;MATCH(CK8,'数出表_Excel（アレルギー入力）'!$A:$A,0)-1&amp;":"&amp;CK96&amp;MATCH(CK8,'数出表_Excel（アレルギー入力）'!$A:$A,0)-1&amp;""),
 1,
MATCH(TRUE,INDIRECT("'数出表_Excel（アレルギー入力）'!"&amp;CF94&amp;MATCH(CK8,'数出表_Excel（アレルギー入力）'!$A:$A,0)-1&amp;":"&amp;CK96&amp;MATCH(CK8,'数出表_Excel（アレルギー入力）'!$A:$A,0)-1&amp;"")&lt;&gt;"",0)+1),
 "")&lt;&gt;0,
IF(IFERROR(
INDEX(INDIRECT("'数出表_Excel（アレルギー入力）'!"&amp;CF94&amp;MATCH(CK8,'数出表_Excel（アレルギー入力）'!$A:$A,0)-1&amp;":"&amp;CK96&amp;MATCH(CK8,'数出表_Excel（アレルギー入力）'!$A:$A,0)-1&amp;""),
 1,
MATCH(TRUE,INDIRECT("'数出表_Excel（アレルギー入力）'!"&amp;CF94&amp;MATCH(CK8,'数出表_Excel（アレルギー入力）'!$A:$A,0)-1&amp;":"&amp;CK96&amp;MATCH(CK8,'数出表_Excel（アレルギー入力）'!$A:$A,0)-1&amp;"")&lt;&gt;"",0)+1),
 "")="",
0,
IFERROR(
INDEX(INDIRECT("'数出表_Excel（アレルギー入力）'!"&amp;CF94&amp;MATCH(CK8,'数出表_Excel（アレルギー入力）'!$A:$A,0)-1&amp;":"&amp;CK96&amp;MATCH(CK8,'数出表_Excel（アレルギー入力）'!$A:$A,0)-1&amp;""),
 1,
MATCH(TRUE,INDIRECT("'数出表_Excel（アレルギー入力）'!"&amp;CF94&amp;MATCH(CK8,'数出表_Excel（アレルギー入力）'!$A:$A,0)-1&amp;":"&amp;CK96&amp;MATCH(CK8,'数出表_Excel（アレルギー入力）'!$A:$A,0)-1&amp;"")&lt;&gt;"",0)+1),
 "")),IFERROR(
INDEX(INDIRECT("'数出表_Excel（アレルギー入力）'!"&amp;CF94&amp;MATCH(CK8,'数出表_Excel（アレルギー入力）'!$A:$A,0)-1&amp;":"&amp;CK96&amp;MATCH(CK8,'数出表_Excel（アレルギー入力）'!$A:$A,0)-1&amp;""),
 1,
MATCH(TRUE,INDIRECT("'数出表_Excel（アレルギー入力）'!"&amp;CF94&amp;MATCH(CK8,'数出表_Excel（アレルギー入力）'!$A:$A,0)-1&amp;":"&amp;CK96&amp;MATCH(CK8,'数出表_Excel（アレルギー入力）'!$A:$A,0)-1&amp;"")&lt;&gt;"",0)+1),
 "")),0)</f>
        <v>0</v>
      </c>
      <c r="CN94" s="84" t="str" cm="1">
        <f t="array" aca="1" ref="CN94" ca="1">IF(CO92&lt;&gt;"",SUBSTITUTE(ADDRESS(1,
(COLUMN(INDIRECT("数出表_Excel!"&amp;CN92&amp;1&amp;""))-2 +
MATCH(TRUE, ISNUMBER(--INDIRECT("数出表_Excel!"&amp;CN92&amp; (MATCH(INDIRECT(""&amp;CS92&amp;ROW()-86&amp;""),数出表_Excel!$A:$A,0)-1) &amp; ":U" &amp; (MATCH(INDIRECT(""&amp;CS92&amp;ROW()-86&amp;""),数出表_Excel!$A:$A,0)-1))), 0))
*2,4),"1",""),"")</f>
        <v/>
      </c>
      <c r="CO94" s="249" t="str">
        <f ca="1">IF(CO95&lt;&gt;"","園児","")</f>
        <v/>
      </c>
      <c r="CP94" s="250"/>
      <c r="CQ94" s="251" t="str">
        <f ca="1">IF(CO95&lt;&gt;"","先生","")</f>
        <v/>
      </c>
      <c r="CR94" s="250"/>
      <c r="CS94" s="97" cm="1">
        <f t="array" aca="1" ref="CS94" ca="1">IF(CO92&lt;&gt;"",
IF(IFERROR(
INDEX(INDIRECT("'数出表_Excel（アレルギー入力）'!"&amp;CN94&amp;MATCH(CS8,'数出表_Excel（アレルギー入力）'!$A:$A,0)-1&amp;":"&amp;CS96&amp;MATCH(CS8,'数出表_Excel（アレルギー入力）'!$A:$A,0)-1&amp;""),
 1,
MATCH(TRUE,INDIRECT("'数出表_Excel（アレルギー入力）'!"&amp;CN94&amp;MATCH(CS8,'数出表_Excel（アレルギー入力）'!$A:$A,0)-1&amp;":"&amp;CS96&amp;MATCH(CS8,'数出表_Excel（アレルギー入力）'!$A:$A,0)-1&amp;"")&lt;&gt;"",0)+1),
 "")&lt;&gt;0,
IF(IFERROR(
INDEX(INDIRECT("'数出表_Excel（アレルギー入力）'!"&amp;CN94&amp;MATCH(CS8,'数出表_Excel（アレルギー入力）'!$A:$A,0)-1&amp;":"&amp;CS96&amp;MATCH(CS8,'数出表_Excel（アレルギー入力）'!$A:$A,0)-1&amp;""),
 1,
MATCH(TRUE,INDIRECT("'数出表_Excel（アレルギー入力）'!"&amp;CN94&amp;MATCH(CS8,'数出表_Excel（アレルギー入力）'!$A:$A,0)-1&amp;":"&amp;CS96&amp;MATCH(CS8,'数出表_Excel（アレルギー入力）'!$A:$A,0)-1&amp;"")&lt;&gt;"",0)+1),
 "")="",
0,
IFERROR(
INDEX(INDIRECT("'数出表_Excel（アレルギー入力）'!"&amp;CN94&amp;MATCH(CS8,'数出表_Excel（アレルギー入力）'!$A:$A,0)-1&amp;":"&amp;CS96&amp;MATCH(CS8,'数出表_Excel（アレルギー入力）'!$A:$A,0)-1&amp;""),
 1,
MATCH(TRUE,INDIRECT("'数出表_Excel（アレルギー入力）'!"&amp;CN94&amp;MATCH(CS8,'数出表_Excel（アレルギー入力）'!$A:$A,0)-1&amp;":"&amp;CS96&amp;MATCH(CS8,'数出表_Excel（アレルギー入力）'!$A:$A,0)-1&amp;"")&lt;&gt;"",0)+1),
 "")),IFERROR(
INDEX(INDIRECT("'数出表_Excel（アレルギー入力）'!"&amp;CN94&amp;MATCH(CS8,'数出表_Excel（アレルギー入力）'!$A:$A,0)-1&amp;":"&amp;CS96&amp;MATCH(CS8,'数出表_Excel（アレルギー入力）'!$A:$A,0)-1&amp;""),
 1,
MATCH(TRUE,INDIRECT("'数出表_Excel（アレルギー入力）'!"&amp;CN94&amp;MATCH(CS8,'数出表_Excel（アレルギー入力）'!$A:$A,0)-1&amp;":"&amp;CS96&amp;MATCH(CS8,'数出表_Excel（アレルギー入力）'!$A:$A,0)-1&amp;"")&lt;&gt;"",0)+1),
 "")),0)</f>
        <v>0</v>
      </c>
      <c r="CT94" s="76"/>
      <c r="CU94" s="84" t="str" cm="1">
        <f t="array" aca="1" ref="CU94" ca="1">IF(CV92&lt;&gt;"",SUBSTITUTE(ADDRESS(1,
(COLUMN(INDIRECT("数出表_Excel!"&amp;CU92&amp;1&amp;""))-2 +
MATCH(TRUE, ISNUMBER(--INDIRECT("数出表_Excel!"&amp;CU92&amp; (MATCH(INDIRECT(""&amp;CZ92&amp;ROW()-86&amp;""),数出表_Excel!$A:$A,0)-1) &amp; ":U" &amp; (MATCH(INDIRECT(""&amp;CZ92&amp;ROW()-86&amp;""),数出表_Excel!$A:$A,0)-1))), 0))
*2,4),"1",""),"")</f>
        <v/>
      </c>
      <c r="CV94" s="249" t="str">
        <f ca="1">IF(CV95&lt;&gt;"","園児","")</f>
        <v/>
      </c>
      <c r="CW94" s="250"/>
      <c r="CX94" s="251" t="str">
        <f ca="1">IF(CV95&lt;&gt;"","先生","")</f>
        <v/>
      </c>
      <c r="CY94" s="250"/>
      <c r="CZ94" s="97" cm="1">
        <f t="array" aca="1" ref="CZ94" ca="1">IF(CV92&lt;&gt;"",
IF(IFERROR(
INDEX(INDIRECT("'数出表_Excel（アレルギー入力）'!"&amp;CU94&amp;MATCH(CZ8,'数出表_Excel（アレルギー入力）'!$A:$A,0)-1&amp;":"&amp;CZ96&amp;MATCH(CZ8,'数出表_Excel（アレルギー入力）'!$A:$A,0)-1&amp;""),
 1,
MATCH(TRUE,INDIRECT("'数出表_Excel（アレルギー入力）'!"&amp;CU94&amp;MATCH(CZ8,'数出表_Excel（アレルギー入力）'!$A:$A,0)-1&amp;":"&amp;CZ96&amp;MATCH(CZ8,'数出表_Excel（アレルギー入力）'!$A:$A,0)-1&amp;"")&lt;&gt;"",0)+1),
 "")&lt;&gt;0,
IF(IFERROR(
INDEX(INDIRECT("'数出表_Excel（アレルギー入力）'!"&amp;CU94&amp;MATCH(CZ8,'数出表_Excel（アレルギー入力）'!$A:$A,0)-1&amp;":"&amp;CZ96&amp;MATCH(CZ8,'数出表_Excel（アレルギー入力）'!$A:$A,0)-1&amp;""),
 1,
MATCH(TRUE,INDIRECT("'数出表_Excel（アレルギー入力）'!"&amp;CU94&amp;MATCH(CZ8,'数出表_Excel（アレルギー入力）'!$A:$A,0)-1&amp;":"&amp;CZ96&amp;MATCH(CZ8,'数出表_Excel（アレルギー入力）'!$A:$A,0)-1&amp;"")&lt;&gt;"",0)+1),
 "")="",
0,
IFERROR(
INDEX(INDIRECT("'数出表_Excel（アレルギー入力）'!"&amp;CU94&amp;MATCH(CZ8,'数出表_Excel（アレルギー入力）'!$A:$A,0)-1&amp;":"&amp;CZ96&amp;MATCH(CZ8,'数出表_Excel（アレルギー入力）'!$A:$A,0)-1&amp;""),
 1,
MATCH(TRUE,INDIRECT("'数出表_Excel（アレルギー入力）'!"&amp;CU94&amp;MATCH(CZ8,'数出表_Excel（アレルギー入力）'!$A:$A,0)-1&amp;":"&amp;CZ96&amp;MATCH(CZ8,'数出表_Excel（アレルギー入力）'!$A:$A,0)-1&amp;"")&lt;&gt;"",0)+1),
 "")),IFERROR(
INDEX(INDIRECT("'数出表_Excel（アレルギー入力）'!"&amp;CU94&amp;MATCH(CZ8,'数出表_Excel（アレルギー入力）'!$A:$A,0)-1&amp;":"&amp;CZ96&amp;MATCH(CZ8,'数出表_Excel（アレルギー入力）'!$A:$A,0)-1&amp;""),
 1,
MATCH(TRUE,INDIRECT("'数出表_Excel（アレルギー入力）'!"&amp;CU94&amp;MATCH(CZ8,'数出表_Excel（アレルギー入力）'!$A:$A,0)-1&amp;":"&amp;CZ96&amp;MATCH(CZ8,'数出表_Excel（アレルギー入力）'!$A:$A,0)-1&amp;"")&lt;&gt;"",0)+1),
 "")),0)</f>
        <v>0</v>
      </c>
      <c r="DC94" s="84" t="str" cm="1">
        <f t="array" aca="1" ref="DC94" ca="1">IF(DD92&lt;&gt;"",SUBSTITUTE(ADDRESS(1,
(COLUMN(INDIRECT("数出表_Excel!"&amp;DC92&amp;1&amp;""))-2 +
MATCH(TRUE, ISNUMBER(--INDIRECT("数出表_Excel!"&amp;DC92&amp; (MATCH(INDIRECT(""&amp;DH92&amp;ROW()-86&amp;""),数出表_Excel!$A:$A,0)-1) &amp; ":U" &amp; (MATCH(INDIRECT(""&amp;DH92&amp;ROW()-86&amp;""),数出表_Excel!$A:$A,0)-1))), 0))
*2,4),"1",""),"")</f>
        <v/>
      </c>
      <c r="DD94" s="249" t="str">
        <f ca="1">IF(DD95&lt;&gt;"","園児","")</f>
        <v/>
      </c>
      <c r="DE94" s="250"/>
      <c r="DF94" s="251" t="str">
        <f ca="1">IF(DD95&lt;&gt;"","先生","")</f>
        <v/>
      </c>
      <c r="DG94" s="250"/>
      <c r="DH94" s="97" cm="1">
        <f t="array" aca="1" ref="DH94" ca="1">IF(DD92&lt;&gt;"",
IF(IFERROR(
INDEX(INDIRECT("'数出表_Excel（アレルギー入力）'!"&amp;DC94&amp;MATCH(DH8,'数出表_Excel（アレルギー入力）'!$A:$A,0)-1&amp;":"&amp;DH96&amp;MATCH(DH8,'数出表_Excel（アレルギー入力）'!$A:$A,0)-1&amp;""),
 1,
MATCH(TRUE,INDIRECT("'数出表_Excel（アレルギー入力）'!"&amp;DC94&amp;MATCH(DH8,'数出表_Excel（アレルギー入力）'!$A:$A,0)-1&amp;":"&amp;DH96&amp;MATCH(DH8,'数出表_Excel（アレルギー入力）'!$A:$A,0)-1&amp;"")&lt;&gt;"",0)+1),
 "")&lt;&gt;0,
IF(IFERROR(
INDEX(INDIRECT("'数出表_Excel（アレルギー入力）'!"&amp;DC94&amp;MATCH(DH8,'数出表_Excel（アレルギー入力）'!$A:$A,0)-1&amp;":"&amp;DH96&amp;MATCH(DH8,'数出表_Excel（アレルギー入力）'!$A:$A,0)-1&amp;""),
 1,
MATCH(TRUE,INDIRECT("'数出表_Excel（アレルギー入力）'!"&amp;DC94&amp;MATCH(DH8,'数出表_Excel（アレルギー入力）'!$A:$A,0)-1&amp;":"&amp;DH96&amp;MATCH(DH8,'数出表_Excel（アレルギー入力）'!$A:$A,0)-1&amp;"")&lt;&gt;"",0)+1),
 "")="",
0,
IFERROR(
INDEX(INDIRECT("'数出表_Excel（アレルギー入力）'!"&amp;DC94&amp;MATCH(DH8,'数出表_Excel（アレルギー入力）'!$A:$A,0)-1&amp;":"&amp;DH96&amp;MATCH(DH8,'数出表_Excel（アレルギー入力）'!$A:$A,0)-1&amp;""),
 1,
MATCH(TRUE,INDIRECT("'数出表_Excel（アレルギー入力）'!"&amp;DC94&amp;MATCH(DH8,'数出表_Excel（アレルギー入力）'!$A:$A,0)-1&amp;":"&amp;DH96&amp;MATCH(DH8,'数出表_Excel（アレルギー入力）'!$A:$A,0)-1&amp;"")&lt;&gt;"",0)+1),
 "")),IFERROR(
INDEX(INDIRECT("'数出表_Excel（アレルギー入力）'!"&amp;DC94&amp;MATCH(DH8,'数出表_Excel（アレルギー入力）'!$A:$A,0)-1&amp;":"&amp;DH96&amp;MATCH(DH8,'数出表_Excel（アレルギー入力）'!$A:$A,0)-1&amp;""),
 1,
MATCH(TRUE,INDIRECT("'数出表_Excel（アレルギー入力）'!"&amp;DC94&amp;MATCH(DH8,'数出表_Excel（アレルギー入力）'!$A:$A,0)-1&amp;":"&amp;DH96&amp;MATCH(DH8,'数出表_Excel（アレルギー入力）'!$A:$A,0)-1&amp;"")&lt;&gt;"",0)+1),
 "")),0)</f>
        <v>0</v>
      </c>
      <c r="DI94" s="76"/>
      <c r="DJ94" s="84" t="str" cm="1">
        <f t="array" aca="1" ref="DJ94" ca="1">IF(DK92&lt;&gt;"",SUBSTITUTE(ADDRESS(1,
(COLUMN(INDIRECT("数出表_Excel!"&amp;DJ92&amp;1&amp;""))-2 +
MATCH(TRUE, ISNUMBER(--INDIRECT("数出表_Excel!"&amp;DJ92&amp; (MATCH(INDIRECT(""&amp;DO92&amp;ROW()-86&amp;""),数出表_Excel!$A:$A,0)-1) &amp; ":U" &amp; (MATCH(INDIRECT(""&amp;DO92&amp;ROW()-86&amp;""),数出表_Excel!$A:$A,0)-1))), 0))
*2,4),"1",""),"")</f>
        <v/>
      </c>
      <c r="DK94" s="249" t="str">
        <f ca="1">IF(DK95&lt;&gt;"","園児","")</f>
        <v/>
      </c>
      <c r="DL94" s="250"/>
      <c r="DM94" s="251" t="str">
        <f ca="1">IF(DK95&lt;&gt;"","先生","")</f>
        <v/>
      </c>
      <c r="DN94" s="250"/>
      <c r="DO94" s="97" cm="1">
        <f t="array" aca="1" ref="DO94" ca="1">IF(DK92&lt;&gt;"",
IF(IFERROR(
INDEX(INDIRECT("'数出表_Excel（アレルギー入力）'!"&amp;DJ94&amp;MATCH(DO8,'数出表_Excel（アレルギー入力）'!$A:$A,0)-1&amp;":"&amp;DO96&amp;MATCH(DO8,'数出表_Excel（アレルギー入力）'!$A:$A,0)-1&amp;""),
 1,
MATCH(TRUE,INDIRECT("'数出表_Excel（アレルギー入力）'!"&amp;DJ94&amp;MATCH(DO8,'数出表_Excel（アレルギー入力）'!$A:$A,0)-1&amp;":"&amp;DO96&amp;MATCH(DO8,'数出表_Excel（アレルギー入力）'!$A:$A,0)-1&amp;"")&lt;&gt;"",0)+1),
 "")&lt;&gt;0,
IF(IFERROR(
INDEX(INDIRECT("'数出表_Excel（アレルギー入力）'!"&amp;DJ94&amp;MATCH(DO8,'数出表_Excel（アレルギー入力）'!$A:$A,0)-1&amp;":"&amp;DO96&amp;MATCH(DO8,'数出表_Excel（アレルギー入力）'!$A:$A,0)-1&amp;""),
 1,
MATCH(TRUE,INDIRECT("'数出表_Excel（アレルギー入力）'!"&amp;DJ94&amp;MATCH(DO8,'数出表_Excel（アレルギー入力）'!$A:$A,0)-1&amp;":"&amp;DO96&amp;MATCH(DO8,'数出表_Excel（アレルギー入力）'!$A:$A,0)-1&amp;"")&lt;&gt;"",0)+1),
 "")="",
0,
IFERROR(
INDEX(INDIRECT("'数出表_Excel（アレルギー入力）'!"&amp;DJ94&amp;MATCH(DO8,'数出表_Excel（アレルギー入力）'!$A:$A,0)-1&amp;":"&amp;DO96&amp;MATCH(DO8,'数出表_Excel（アレルギー入力）'!$A:$A,0)-1&amp;""),
 1,
MATCH(TRUE,INDIRECT("'数出表_Excel（アレルギー入力）'!"&amp;DJ94&amp;MATCH(DO8,'数出表_Excel（アレルギー入力）'!$A:$A,0)-1&amp;":"&amp;DO96&amp;MATCH(DO8,'数出表_Excel（アレルギー入力）'!$A:$A,0)-1&amp;"")&lt;&gt;"",0)+1),
 "")),IFERROR(
INDEX(INDIRECT("'数出表_Excel（アレルギー入力）'!"&amp;DJ94&amp;MATCH(DO8,'数出表_Excel（アレルギー入力）'!$A:$A,0)-1&amp;":"&amp;DO96&amp;MATCH(DO8,'数出表_Excel（アレルギー入力）'!$A:$A,0)-1&amp;""),
 1,
MATCH(TRUE,INDIRECT("'数出表_Excel（アレルギー入力）'!"&amp;DJ94&amp;MATCH(DO8,'数出表_Excel（アレルギー入力）'!$A:$A,0)-1&amp;":"&amp;DO96&amp;MATCH(DO8,'数出表_Excel（アレルギー入力）'!$A:$A,0)-1&amp;"")&lt;&gt;"",0)+1),
 "")),0)</f>
        <v>0</v>
      </c>
      <c r="DR94" s="84" t="str" cm="1">
        <f t="array" aca="1" ref="DR94" ca="1">IF(DS92&lt;&gt;"",SUBSTITUTE(ADDRESS(1,
(COLUMN(INDIRECT("数出表_Excel!"&amp;DR92&amp;1&amp;""))-2 +
MATCH(TRUE, ISNUMBER(--INDIRECT("数出表_Excel!"&amp;DR92&amp; (MATCH(INDIRECT(""&amp;DW92&amp;ROW()-86&amp;""),数出表_Excel!$A:$A,0)-1) &amp; ":U" &amp; (MATCH(INDIRECT(""&amp;DW92&amp;ROW()-86&amp;""),数出表_Excel!$A:$A,0)-1))), 0))
*2,4),"1",""),"")</f>
        <v/>
      </c>
      <c r="DS94" s="249" t="str">
        <f ca="1">IF(DS95&lt;&gt;"","園児","")</f>
        <v/>
      </c>
      <c r="DT94" s="250"/>
      <c r="DU94" s="251" t="str">
        <f ca="1">IF(DS95&lt;&gt;"","先生","")</f>
        <v/>
      </c>
      <c r="DV94" s="250"/>
      <c r="DW94" s="97" cm="1">
        <f t="array" aca="1" ref="DW94" ca="1">IF(DS92&lt;&gt;"",
IF(IFERROR(
INDEX(INDIRECT("'数出表_Excel（アレルギー入力）'!"&amp;DR94&amp;MATCH(DW8,'数出表_Excel（アレルギー入力）'!$A:$A,0)-1&amp;":"&amp;DW96&amp;MATCH(DW8,'数出表_Excel（アレルギー入力）'!$A:$A,0)-1&amp;""),
 1,
MATCH(TRUE,INDIRECT("'数出表_Excel（アレルギー入力）'!"&amp;DR94&amp;MATCH(DW8,'数出表_Excel（アレルギー入力）'!$A:$A,0)-1&amp;":"&amp;DW96&amp;MATCH(DW8,'数出表_Excel（アレルギー入力）'!$A:$A,0)-1&amp;"")&lt;&gt;"",0)+1),
 "")&lt;&gt;0,
IF(IFERROR(
INDEX(INDIRECT("'数出表_Excel（アレルギー入力）'!"&amp;DR94&amp;MATCH(DW8,'数出表_Excel（アレルギー入力）'!$A:$A,0)-1&amp;":"&amp;DW96&amp;MATCH(DW8,'数出表_Excel（アレルギー入力）'!$A:$A,0)-1&amp;""),
 1,
MATCH(TRUE,INDIRECT("'数出表_Excel（アレルギー入力）'!"&amp;DR94&amp;MATCH(DW8,'数出表_Excel（アレルギー入力）'!$A:$A,0)-1&amp;":"&amp;DW96&amp;MATCH(DW8,'数出表_Excel（アレルギー入力）'!$A:$A,0)-1&amp;"")&lt;&gt;"",0)+1),
 "")="",
0,
IFERROR(
INDEX(INDIRECT("'数出表_Excel（アレルギー入力）'!"&amp;DR94&amp;MATCH(DW8,'数出表_Excel（アレルギー入力）'!$A:$A,0)-1&amp;":"&amp;DW96&amp;MATCH(DW8,'数出表_Excel（アレルギー入力）'!$A:$A,0)-1&amp;""),
 1,
MATCH(TRUE,INDIRECT("'数出表_Excel（アレルギー入力）'!"&amp;DR94&amp;MATCH(DW8,'数出表_Excel（アレルギー入力）'!$A:$A,0)-1&amp;":"&amp;DW96&amp;MATCH(DW8,'数出表_Excel（アレルギー入力）'!$A:$A,0)-1&amp;"")&lt;&gt;"",0)+1),
 "")),IFERROR(
INDEX(INDIRECT("'数出表_Excel（アレルギー入力）'!"&amp;DR94&amp;MATCH(DW8,'数出表_Excel（アレルギー入力）'!$A:$A,0)-1&amp;":"&amp;DW96&amp;MATCH(DW8,'数出表_Excel（アレルギー入力）'!$A:$A,0)-1&amp;""),
 1,
MATCH(TRUE,INDIRECT("'数出表_Excel（アレルギー入力）'!"&amp;DR94&amp;MATCH(DW8,'数出表_Excel（アレルギー入力）'!$A:$A,0)-1&amp;":"&amp;DW96&amp;MATCH(DW8,'数出表_Excel（アレルギー入力）'!$A:$A,0)-1&amp;"")&lt;&gt;"",0)+1),
 "")),0)</f>
        <v>0</v>
      </c>
      <c r="DX94" s="76"/>
      <c r="DY94" s="84" t="str" cm="1">
        <f t="array" aca="1" ref="DY94" ca="1">IF(DZ92&lt;&gt;"",SUBSTITUTE(ADDRESS(1,
(COLUMN(INDIRECT("数出表_Excel!"&amp;DY92&amp;1&amp;""))-2 +
MATCH(TRUE, ISNUMBER(--INDIRECT("数出表_Excel!"&amp;DY92&amp; (MATCH(INDIRECT(""&amp;ED92&amp;ROW()-86&amp;""),数出表_Excel!$A:$A,0)-1) &amp; ":U" &amp; (MATCH(INDIRECT(""&amp;ED92&amp;ROW()-86&amp;""),数出表_Excel!$A:$A,0)-1))), 0))
*2,4),"1",""),"")</f>
        <v/>
      </c>
      <c r="DZ94" s="249" t="str">
        <f ca="1">IF(DZ95&lt;&gt;"","園児","")</f>
        <v/>
      </c>
      <c r="EA94" s="250"/>
      <c r="EB94" s="251" t="str">
        <f ca="1">IF(DZ95&lt;&gt;"","先生","")</f>
        <v/>
      </c>
      <c r="EC94" s="250"/>
      <c r="ED94" s="97" cm="1">
        <f t="array" aca="1" ref="ED94" ca="1">IF(DZ92&lt;&gt;"",
IF(IFERROR(
INDEX(INDIRECT("'数出表_Excel（アレルギー入力）'!"&amp;DY94&amp;MATCH(ED8,'数出表_Excel（アレルギー入力）'!$A:$A,0)-1&amp;":"&amp;ED96&amp;MATCH(ED8,'数出表_Excel（アレルギー入力）'!$A:$A,0)-1&amp;""),
 1,
MATCH(TRUE,INDIRECT("'数出表_Excel（アレルギー入力）'!"&amp;DY94&amp;MATCH(ED8,'数出表_Excel（アレルギー入力）'!$A:$A,0)-1&amp;":"&amp;ED96&amp;MATCH(ED8,'数出表_Excel（アレルギー入力）'!$A:$A,0)-1&amp;"")&lt;&gt;"",0)+1),
 "")&lt;&gt;0,
IF(IFERROR(
INDEX(INDIRECT("'数出表_Excel（アレルギー入力）'!"&amp;DY94&amp;MATCH(ED8,'数出表_Excel（アレルギー入力）'!$A:$A,0)-1&amp;":"&amp;ED96&amp;MATCH(ED8,'数出表_Excel（アレルギー入力）'!$A:$A,0)-1&amp;""),
 1,
MATCH(TRUE,INDIRECT("'数出表_Excel（アレルギー入力）'!"&amp;DY94&amp;MATCH(ED8,'数出表_Excel（アレルギー入力）'!$A:$A,0)-1&amp;":"&amp;ED96&amp;MATCH(ED8,'数出表_Excel（アレルギー入力）'!$A:$A,0)-1&amp;"")&lt;&gt;"",0)+1),
 "")="",
0,
IFERROR(
INDEX(INDIRECT("'数出表_Excel（アレルギー入力）'!"&amp;DY94&amp;MATCH(ED8,'数出表_Excel（アレルギー入力）'!$A:$A,0)-1&amp;":"&amp;ED96&amp;MATCH(ED8,'数出表_Excel（アレルギー入力）'!$A:$A,0)-1&amp;""),
 1,
MATCH(TRUE,INDIRECT("'数出表_Excel（アレルギー入力）'!"&amp;DY94&amp;MATCH(ED8,'数出表_Excel（アレルギー入力）'!$A:$A,0)-1&amp;":"&amp;ED96&amp;MATCH(ED8,'数出表_Excel（アレルギー入力）'!$A:$A,0)-1&amp;"")&lt;&gt;"",0)+1),
 "")),IFERROR(
INDEX(INDIRECT("'数出表_Excel（アレルギー入力）'!"&amp;DY94&amp;MATCH(ED8,'数出表_Excel（アレルギー入力）'!$A:$A,0)-1&amp;":"&amp;ED96&amp;MATCH(ED8,'数出表_Excel（アレルギー入力）'!$A:$A,0)-1&amp;""),
 1,
MATCH(TRUE,INDIRECT("'数出表_Excel（アレルギー入力）'!"&amp;DY94&amp;MATCH(ED8,'数出表_Excel（アレルギー入力）'!$A:$A,0)-1&amp;":"&amp;ED96&amp;MATCH(ED8,'数出表_Excel（アレルギー入力）'!$A:$A,0)-1&amp;"")&lt;&gt;"",0)+1),
 "")),0)</f>
        <v>0</v>
      </c>
      <c r="EG94" s="84" t="str" cm="1">
        <f t="array" aca="1" ref="EG94" ca="1">IF(EH92&lt;&gt;"",SUBSTITUTE(ADDRESS(1,
(COLUMN(INDIRECT("数出表_Excel!"&amp;EG92&amp;1&amp;""))-2 +
MATCH(TRUE, ISNUMBER(--INDIRECT("数出表_Excel!"&amp;EG92&amp; (MATCH(INDIRECT(""&amp;EL92&amp;ROW()-86&amp;""),数出表_Excel!$A:$A,0)-1) &amp; ":U" &amp; (MATCH(INDIRECT(""&amp;EL92&amp;ROW()-86&amp;""),数出表_Excel!$A:$A,0)-1))), 0))
*2,4),"1",""),"")</f>
        <v/>
      </c>
      <c r="EH94" s="249" t="str">
        <f ca="1">IF(EH95&lt;&gt;"","園児","")</f>
        <v/>
      </c>
      <c r="EI94" s="250"/>
      <c r="EJ94" s="251" t="str">
        <f ca="1">IF(EH95&lt;&gt;"","先生","")</f>
        <v/>
      </c>
      <c r="EK94" s="250"/>
      <c r="EL94" s="97" cm="1">
        <f t="array" aca="1" ref="EL94" ca="1">IF(EH92&lt;&gt;"",
IF(IFERROR(
INDEX(INDIRECT("'数出表_Excel（アレルギー入力）'!"&amp;EG94&amp;MATCH(EL8,'数出表_Excel（アレルギー入力）'!$A:$A,0)-1&amp;":"&amp;EL96&amp;MATCH(EL8,'数出表_Excel（アレルギー入力）'!$A:$A,0)-1&amp;""),
 1,
MATCH(TRUE,INDIRECT("'数出表_Excel（アレルギー入力）'!"&amp;EG94&amp;MATCH(EL8,'数出表_Excel（アレルギー入力）'!$A:$A,0)-1&amp;":"&amp;EL96&amp;MATCH(EL8,'数出表_Excel（アレルギー入力）'!$A:$A,0)-1&amp;"")&lt;&gt;"",0)+1),
 "")&lt;&gt;0,
IF(IFERROR(
INDEX(INDIRECT("'数出表_Excel（アレルギー入力）'!"&amp;EG94&amp;MATCH(EL8,'数出表_Excel（アレルギー入力）'!$A:$A,0)-1&amp;":"&amp;EL96&amp;MATCH(EL8,'数出表_Excel（アレルギー入力）'!$A:$A,0)-1&amp;""),
 1,
MATCH(TRUE,INDIRECT("'数出表_Excel（アレルギー入力）'!"&amp;EG94&amp;MATCH(EL8,'数出表_Excel（アレルギー入力）'!$A:$A,0)-1&amp;":"&amp;EL96&amp;MATCH(EL8,'数出表_Excel（アレルギー入力）'!$A:$A,0)-1&amp;"")&lt;&gt;"",0)+1),
 "")="",
0,
IFERROR(
INDEX(INDIRECT("'数出表_Excel（アレルギー入力）'!"&amp;EG94&amp;MATCH(EL8,'数出表_Excel（アレルギー入力）'!$A:$A,0)-1&amp;":"&amp;EL96&amp;MATCH(EL8,'数出表_Excel（アレルギー入力）'!$A:$A,0)-1&amp;""),
 1,
MATCH(TRUE,INDIRECT("'数出表_Excel（アレルギー入力）'!"&amp;EG94&amp;MATCH(EL8,'数出表_Excel（アレルギー入力）'!$A:$A,0)-1&amp;":"&amp;EL96&amp;MATCH(EL8,'数出表_Excel（アレルギー入力）'!$A:$A,0)-1&amp;"")&lt;&gt;"",0)+1),
 "")),IFERROR(
INDEX(INDIRECT("'数出表_Excel（アレルギー入力）'!"&amp;EG94&amp;MATCH(EL8,'数出表_Excel（アレルギー入力）'!$A:$A,0)-1&amp;":"&amp;EL96&amp;MATCH(EL8,'数出表_Excel（アレルギー入力）'!$A:$A,0)-1&amp;""),
 1,
MATCH(TRUE,INDIRECT("'数出表_Excel（アレルギー入力）'!"&amp;EG94&amp;MATCH(EL8,'数出表_Excel（アレルギー入力）'!$A:$A,0)-1&amp;":"&amp;EL96&amp;MATCH(EL8,'数出表_Excel（アレルギー入力）'!$A:$A,0)-1&amp;"")&lt;&gt;"",0)+1),
 "")),0)</f>
        <v>0</v>
      </c>
      <c r="EM94" s="76"/>
      <c r="EN94" s="84" t="str" cm="1">
        <f t="array" aca="1" ref="EN94" ca="1">IF(EO92&lt;&gt;"",SUBSTITUTE(ADDRESS(1,
(COLUMN(INDIRECT("数出表_Excel!"&amp;EN92&amp;1&amp;""))-2 +
MATCH(TRUE, ISNUMBER(--INDIRECT("数出表_Excel!"&amp;EN92&amp; (MATCH(INDIRECT(""&amp;ES92&amp;ROW()-86&amp;""),数出表_Excel!$A:$A,0)-1) &amp; ":U" &amp; (MATCH(INDIRECT(""&amp;ES92&amp;ROW()-86&amp;""),数出表_Excel!$A:$A,0)-1))), 0))
*2,4),"1",""),"")</f>
        <v/>
      </c>
      <c r="EO94" s="249" t="str">
        <f ca="1">IF(EO95&lt;&gt;"","園児","")</f>
        <v/>
      </c>
      <c r="EP94" s="250"/>
      <c r="EQ94" s="251" t="str">
        <f ca="1">IF(EO95&lt;&gt;"","先生","")</f>
        <v/>
      </c>
      <c r="ER94" s="250"/>
      <c r="ES94" s="97" cm="1">
        <f t="array" aca="1" ref="ES94" ca="1">IF(EO92&lt;&gt;"",
IF(IFERROR(
INDEX(INDIRECT("'数出表_Excel（アレルギー入力）'!"&amp;EN94&amp;MATCH(ES8,'数出表_Excel（アレルギー入力）'!$A:$A,0)-1&amp;":"&amp;ES96&amp;MATCH(ES8,'数出表_Excel（アレルギー入力）'!$A:$A,0)-1&amp;""),
 1,
MATCH(TRUE,INDIRECT("'数出表_Excel（アレルギー入力）'!"&amp;EN94&amp;MATCH(ES8,'数出表_Excel（アレルギー入力）'!$A:$A,0)-1&amp;":"&amp;ES96&amp;MATCH(ES8,'数出表_Excel（アレルギー入力）'!$A:$A,0)-1&amp;"")&lt;&gt;"",0)+1),
 "")&lt;&gt;0,
IF(IFERROR(
INDEX(INDIRECT("'数出表_Excel（アレルギー入力）'!"&amp;EN94&amp;MATCH(ES8,'数出表_Excel（アレルギー入力）'!$A:$A,0)-1&amp;":"&amp;ES96&amp;MATCH(ES8,'数出表_Excel（アレルギー入力）'!$A:$A,0)-1&amp;""),
 1,
MATCH(TRUE,INDIRECT("'数出表_Excel（アレルギー入力）'!"&amp;EN94&amp;MATCH(ES8,'数出表_Excel（アレルギー入力）'!$A:$A,0)-1&amp;":"&amp;ES96&amp;MATCH(ES8,'数出表_Excel（アレルギー入力）'!$A:$A,0)-1&amp;"")&lt;&gt;"",0)+1),
 "")="",
0,
IFERROR(
INDEX(INDIRECT("'数出表_Excel（アレルギー入力）'!"&amp;EN94&amp;MATCH(ES8,'数出表_Excel（アレルギー入力）'!$A:$A,0)-1&amp;":"&amp;ES96&amp;MATCH(ES8,'数出表_Excel（アレルギー入力）'!$A:$A,0)-1&amp;""),
 1,
MATCH(TRUE,INDIRECT("'数出表_Excel（アレルギー入力）'!"&amp;EN94&amp;MATCH(ES8,'数出表_Excel（アレルギー入力）'!$A:$A,0)-1&amp;":"&amp;ES96&amp;MATCH(ES8,'数出表_Excel（アレルギー入力）'!$A:$A,0)-1&amp;"")&lt;&gt;"",0)+1),
 "")),IFERROR(
INDEX(INDIRECT("'数出表_Excel（アレルギー入力）'!"&amp;EN94&amp;MATCH(ES8,'数出表_Excel（アレルギー入力）'!$A:$A,0)-1&amp;":"&amp;ES96&amp;MATCH(ES8,'数出表_Excel（アレルギー入力）'!$A:$A,0)-1&amp;""),
 1,
MATCH(TRUE,INDIRECT("'数出表_Excel（アレルギー入力）'!"&amp;EN94&amp;MATCH(ES8,'数出表_Excel（アレルギー入力）'!$A:$A,0)-1&amp;":"&amp;ES96&amp;MATCH(ES8,'数出表_Excel（アレルギー入力）'!$A:$A,0)-1&amp;"")&lt;&gt;"",0)+1),
 "")),0)</f>
        <v>0</v>
      </c>
      <c r="EU94" s="87">
        <f t="shared" si="8"/>
        <v>21</v>
      </c>
      <c r="EV94" s="78" t="str">
        <f t="array" aca="1" ref="EV94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LEN(SUBSTITUTE(_xlfn.FORMULATEXT(EV$76),"=","")))+$EU94)</f>
        <v/>
      </c>
      <c r="EW94" s="78" t="str">
        <f t="array" aca="1" ref="EW94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LEN(SUBSTITUTE(_xlfn.FORMULATEXT(EW$76),"=","")))+$EU94)</f>
        <v/>
      </c>
      <c r="EX94" s="78" t="str">
        <f t="array" aca="1" ref="EX94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LEN(SUBSTITUTE(_xlfn.FORMULATEXT(EX$76),"=","")))+$EU94)</f>
        <v/>
      </c>
      <c r="EY94" s="78" t="str">
        <f t="array" aca="1" ref="EY94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LEN(SUBSTITUTE(_xlfn.FORMULATEXT(EY$76),"=","")))+$EU94)</f>
        <v/>
      </c>
      <c r="EZ94" s="78" t="str">
        <f t="array" aca="1" ref="EZ94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LEN(SUBSTITUTE(_xlfn.FORMULATEXT(EZ$76),"=","")))+$EU94)</f>
        <v/>
      </c>
      <c r="FA94" s="78" t="e">
        <f t="array" aca="1" ref="FA94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LEN(SUBSTITUTE(_xlfn.FORMULATEXT(FA$76),"=","")))+$EU94)</f>
        <v>#VALUE!</v>
      </c>
      <c r="FB94" s="78" t="e">
        <f t="array" aca="1" ref="FB94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LEN(SUBSTITUTE(_xlfn.FORMULATEXT(FB$76),"=","")))+$EU94)</f>
        <v>#VALUE!</v>
      </c>
      <c r="FC94" s="78" t="str">
        <f t="array" aca="1" ref="FC94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LEN(SUBSTITUTE(_xlfn.FORMULATEXT(FC$76),"=","")))+$EU94)</f>
        <v/>
      </c>
      <c r="FD94" s="78" t="e">
        <f t="array" aca="1" ref="FD94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LEN(SUBSTITUTE(_xlfn.FORMULATEXT(FD$76),"=","")))+$EU94)</f>
        <v>#VALUE!</v>
      </c>
      <c r="FE94" s="78" t="str">
        <f t="array" aca="1" ref="FE94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LEN(SUBSTITUTE(_xlfn.FORMULATEXT(FE$76),"=","")))+$EU94)</f>
        <v/>
      </c>
      <c r="FF94" s="78" t="e">
        <f t="array" aca="1" ref="FF94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LEN(SUBSTITUTE(_xlfn.FORMULATEXT(FF$76),"=","")))+$EU94)</f>
        <v>#VALUE!</v>
      </c>
      <c r="FG94" s="78">
        <f t="shared" ca="1" si="7"/>
        <v>0</v>
      </c>
      <c r="FH94" s="78" t="e">
        <f t="array" aca="1" ref="FH94" ca="1">SUMPRODUCT((LEN(EV94:FF94)&gt;0)*1)&gt;0</f>
        <v>#VALUE!</v>
      </c>
      <c r="FI94" s="78" t="str">
        <f t="array" aca="1" ref="FI94" ca="1">IFERROR(SMALL(IF(FG$1:FG$228&lt;&gt;0,FG$1:FG$228),ROW(A94)),"")</f>
        <v/>
      </c>
      <c r="FJ94" s="78" t="str">
        <f t="array" aca="1" ref="FJ94" ca="1">IF($FI94&lt;&gt;"",
INDIRECT(""&amp;IF(COLUMN(EV140)&lt;=26,CHAR(COLUMN(EV140)+64),CHAR(INT((COLUMN(EV140)-1)/26)+64)&amp;CHAR(MOD(COLUMN(EV140)-1,26)+65))&amp;$FI94&amp;""),"")</f>
        <v/>
      </c>
      <c r="FK94" s="78" t="str">
        <f t="array" aca="1" ref="FK94" ca="1">IF($FI94&lt;&gt;"",
INDIRECT(""&amp;IF(COLUMN(EW140)&lt;=26,CHAR(COLUMN(EW140)+64),CHAR(INT((COLUMN(EW140)-1)/26)+64)&amp;CHAR(MOD(COLUMN(EW140)-1,26)+65))&amp;$FI94&amp;""),"")</f>
        <v/>
      </c>
      <c r="FL94" s="78" t="str">
        <f t="array" aca="1" ref="FL94" ca="1">IF($FI94&lt;&gt;"",
INDIRECT(""&amp;IF(COLUMN(EX140)&lt;=26,CHAR(COLUMN(EX140)+64),CHAR(INT((COLUMN(EX140)-1)/26)+64)&amp;CHAR(MOD(COLUMN(EX140)-1,26)+65))&amp;$FI94&amp;""),"")</f>
        <v/>
      </c>
      <c r="FM94" s="78" t="str">
        <f t="array" aca="1" ref="FM94" ca="1">IF($FI94&lt;&gt;"",
IF(FL94="",
IF(INDIRECT("EY"&amp;$FI94&amp;"")&lt;&gt;"",
INDIRECT("EY"&amp;$FI94&amp;"")&amp;"箱"
&amp;INDIRECT("EZ"&amp;$FI94&amp;""),""),""),"")</f>
        <v/>
      </c>
      <c r="FN94" s="78" t="str">
        <f t="array" aca="1" ref="FN94" ca="1">IF($FI94&lt;&gt;"",
INDIRECT(""&amp;IF(COLUMN(FA140)&lt;=26,CHAR(COLUMN(FA140)+64),CHAR(INT((COLUMN(FA140)-1)/26)+64)&amp;CHAR(MOD(COLUMN(FA140)-1,26)+65))&amp;$FI94&amp;""),"")</f>
        <v/>
      </c>
      <c r="FO94" s="78" t="str">
        <f t="array" aca="1" ref="FO94" ca="1">IF($FI94&lt;&gt;"",
INDIRECT(""&amp;IF(COLUMN(FB140)&lt;=26,CHAR(COLUMN(FB140)+64),CHAR(INT((COLUMN(FB140)-1)/26)+64)&amp;CHAR(MOD(COLUMN(FB140)-1,26)+65))&amp;$FI94&amp;""),"")</f>
        <v/>
      </c>
      <c r="FP94" s="78" t="str">
        <f t="array" aca="1" ref="FP94" ca="1">IF($FI94&lt;&gt;"",
INDIRECT(""&amp;IF(COLUMN(FC140)&lt;=26,CHAR(COLUMN(FC140)+64),CHAR(INT((COLUMN(FC140)-1)/26)+64)&amp;CHAR(MOD(COLUMN(FC140)-1,26)+65))&amp;$FI94&amp;""),"")</f>
        <v/>
      </c>
      <c r="FQ94" s="78" t="str">
        <f t="array" aca="1" ref="FQ94" ca="1">IF($FI94&lt;&gt;"",
INDIRECT(""&amp;IF(COLUMN(FD140)&lt;=26,CHAR(COLUMN(FD140)+64),CHAR(INT((COLUMN(FD140)-1)/26)+64)&amp;CHAR(MOD(COLUMN(FD140)-1,26)+65))&amp;$FI94&amp;""),"")</f>
        <v/>
      </c>
      <c r="FR94" s="78" t="str">
        <f t="array" aca="1" ref="FR94" ca="1">IF($FI94&lt;&gt;"",
INDIRECT(""&amp;IF(COLUMN(FE140)&lt;=26,CHAR(COLUMN(FE140)+64),CHAR(INT((COLUMN(FE140)-1)/26)+64)&amp;CHAR(MOD(COLUMN(FE140)-1,26)+65))&amp;$FI94&amp;""),"")</f>
        <v/>
      </c>
      <c r="FS94" s="78" t="str">
        <f t="array" aca="1" ref="FS94" ca="1">IF($FI94&lt;&gt;"",
INDIRECT(""&amp;IF(COLUMN(FF140)&lt;=26,CHAR(COLUMN(FF140)+64),CHAR(INT((COLUMN(FF140)-1)/26)+64)&amp;CHAR(MOD(COLUMN(FF140)-1,26)+65))&amp;$FI94&amp;""),"")</f>
        <v/>
      </c>
    </row>
    <row r="95" spans="1:175" ht="22.2" customHeight="1" x14ac:dyDescent="0.45">
      <c r="B95" s="86"/>
      <c r="C95" s="252" t="str" cm="1">
        <f t="array" aca="1" ref="C95" ca="1">IF(C93&lt;&gt;"",
IF(IFERROR(
INDEX(INDIRECT("数出表_Excel!"&amp;B92&amp;MATCH(G8,数出表_Excel!$A:$A,0)-1&amp;":U"&amp;MATCH(G8,数出表_Excel!$A:$A,0)-1&amp;""),
 1,
 MATCH(TRUE, ISNUMBER(--INDIRECT("数出表_Excel!"&amp;B92&amp;MATCH(G8,数出表_Excel!$A:$A,0)-1&amp;":U"&amp;MATCH(G8,数出表_Excel!$A:$A,0)-1&amp;"")), 0)),
 "")=0,"",
IF(B10=100,
IFERROR(
INDEX(INDIRECT("数出表_Excel!"&amp;B92&amp;MATCH(G8,数出表_Excel!$A:$A,0)-1+2&amp;":U"&amp;MATCH(G8,数出表_Excel!$A:$A,0)-1+2&amp;""),
 1,
 MATCH(TRUE, ISNUMBER(--INDIRECT("数出表_Excel!"&amp;B92&amp;MATCH(G8,数出表_Excel!$A:$A,0)-1+2&amp;":U"&amp;MATCH(G8,数出表_Excel!$A:$A,0)-1+2&amp;"")), 0)),
 "")
+IFERROR(
INDEX(INDIRECT("数出表_Excel!"&amp;B92&amp;MATCH(G8,数出表_Excel!$A:$A,0)-1&amp;":U"&amp;MATCH(G8,数出表_Excel!$A:$A,0)-1&amp;""),
 1,
 MATCH(TRUE, ISNUMBER(--INDIRECT("数出表_Excel!"&amp;B92&amp;MATCH(G8,数出表_Excel!$A:$A,0)-1&amp;":U"&amp;MATCH(G8,数出表_Excel!$A:$A,0)-1&amp;"")), 0)),
 ""),
IFERROR(
INDEX(INDIRECT("数出表_Excel!"&amp;B92&amp;MATCH(G8,数出表_Excel!$A:$A,0)-1&amp;":U"&amp;MATCH(G8,数出表_Excel!$A:$A,0)-1&amp;""),
 1,
 MATCH(TRUE, ISNUMBER(--INDIRECT("数出表_Excel!"&amp;B92&amp;MATCH(G8,数出表_Excel!$A:$A,0)-1&amp;":U"&amp;MATCH(G8,数出表_Excel!$A:$A,0)-1&amp;"")), 0)),
 ""))),"")</f>
        <v/>
      </c>
      <c r="D95" s="253"/>
      <c r="E95" s="255" t="str" cm="1">
        <f t="array" aca="1" ref="E95" ca="1">IF(C51&lt;&gt;"",
IF(IFERROR(
INDEX(INDIRECT("数出表_Excel!B"&amp;MATCH(G8,数出表_Excel!$A:$A,0)&amp;":U"&amp;MATCH(G8,数出表_Excel!$A:$A,0)&amp;""),
 1,B93-1),
 "")=0,"",
IFERROR(
INDEX(INDIRECT("数出表_Excel!B"&amp;MATCH(G8,数出表_Excel!$A:$A,0)&amp;":U"&amp;MATCH(G8,数出表_Excel!$A:$A,0)&amp;""),
 1,B93-1),
 "")),"")</f>
        <v/>
      </c>
      <c r="F95" s="253"/>
      <c r="G95" s="97" t="e" cm="1">
        <f t="array" aca="1" ref="G95" ca="1">IF(INDIRECT(""&amp;SUBSTITUTE(ADDRESS(1,
COLUMN()-5,1),"1","")&amp;ROW()-85&amp;"")=100,
IF(C92&lt;&gt;"",
IF(IFERROR(
INDEX(INDIRECT("'数出表_Excel（アレルギー入力）'!"&amp;B94&amp;MATCH(G8,'数出表_Excel（アレルギー入力）'!$A:$A,0)+1&amp;":"&amp;G96&amp;MATCH(G8,'数出表_Excel（アレルギー入力）'!$A:$A,0)+1&amp;""),
 1,
MATCH(TRUE,INDIRECT("'数出表_Excel（アレルギー入力）'!"&amp;B94&amp;MATCH(G8,'数出表_Excel（アレルギー入力）'!$A:$A,0)+1&amp;":"&amp;G96&amp;MATCH(G8,'数出表_Excel（アレルギー入力）'!$A:$A,0)+1&amp;"")&lt;&gt;"",0)+1),
 "")&lt;&gt;0,
IF(IFERROR(
INDEX(INDIRECT("'数出表_Excel（アレルギー入力）'!"&amp;B94&amp;MATCH(G8,'数出表_Excel（アレルギー入力）'!$A:$A,0)+1&amp;":"&amp;G96&amp;MATCH(G8,'数出表_Excel（アレルギー入力）'!$A:$A,0)+1&amp;""),
 1,
MATCH(TRUE,INDIRECT("'数出表_Excel（アレルギー入力）'!"&amp;B94&amp;MATCH(G8,'数出表_Excel（アレルギー入力）'!$A:$A,0)+1&amp;":"&amp;G96&amp;MATCH(G8,'数出表_Excel（アレルギー入力）'!$A:$A,0)+1&amp;"")&lt;&gt;"",0)+1),
 "")="",
IFERROR(
INDEX(INDIRECT("'数出表_Excel（アレルギー入力）'!"&amp;B94&amp;MATCH(G8,'数出表_Excel（アレルギー入力）'!$A:$A,0)+1&amp;":"&amp;G96&amp;MATCH(G8,'数出表_Excel（アレルギー入力）'!$A:$A,0)+1&amp;""),
 1,
MATCH(TRUE,INDIRECT("'数出表_Excel（アレルギー入力）'!"&amp;B94&amp;MATCH(G8,'数出表_Excel（アレルギー入力）'!$A:$A,0)+1&amp;":"&amp;G96&amp;MATCH(G8,'数出表_Excel（アレルギー入力）'!$A:$A,0)+1&amp;"")&lt;&gt;"",0)+1),
 ""),
IFERROR(
INDEX(INDIRECT("'数出表_Excel（アレルギー入力）'!"&amp;B94&amp;MATCH(G8,'数出表_Excel（アレルギー入力）'!$A:$A,0)+1&amp;":"&amp;G96&amp;MATCH(G8,'数出表_Excel（アレルギー入力）'!$A:$A,0)+1&amp;""),
 1,
MATCH(TRUE,INDIRECT("'数出表_Excel（アレルギー入力）'!"&amp;B94&amp;MATCH(G8,'数出表_Excel（アレルギー入力）'!$A:$A,0)+1&amp;":"&amp;G96&amp;MATCH(G8,'数出表_Excel（アレルギー入力）'!$A:$A,0)+1&amp;"")&lt;&gt;"",0)+1),
 "")),0),""),0)</f>
        <v>#VALUE!</v>
      </c>
      <c r="I95" s="86"/>
      <c r="J95" s="252" t="str" cm="1">
        <f t="array" aca="1" ref="J95" ca="1">IF(J93&lt;&gt;"",
IF(IFERROR(
INDEX(INDIRECT("数出表_Excel!"&amp;I92&amp;MATCH(N8,数出表_Excel!$A:$A,0)-1&amp;":U"&amp;MATCH(N8,数出表_Excel!$A:$A,0)-1&amp;""),
 1,
 MATCH(TRUE, ISNUMBER(--INDIRECT("数出表_Excel!"&amp;I92&amp;MATCH(N8,数出表_Excel!$A:$A,0)-1&amp;":U"&amp;MATCH(N8,数出表_Excel!$A:$A,0)-1&amp;"")), 0)),
 "")=0,"",
IF(I10=100,
IFERROR(
INDEX(INDIRECT("数出表_Excel!"&amp;I92&amp;MATCH(N8,数出表_Excel!$A:$A,0)-1+2&amp;":U"&amp;MATCH(N8,数出表_Excel!$A:$A,0)-1+2&amp;""),
 1,
 MATCH(TRUE, ISNUMBER(--INDIRECT("数出表_Excel!"&amp;I92&amp;MATCH(N8,数出表_Excel!$A:$A,0)-1+2&amp;":U"&amp;MATCH(N8,数出表_Excel!$A:$A,0)-1+2&amp;"")), 0)),
 "")
+IFERROR(
INDEX(INDIRECT("数出表_Excel!"&amp;I92&amp;MATCH(N8,数出表_Excel!$A:$A,0)-1&amp;":U"&amp;MATCH(N8,数出表_Excel!$A:$A,0)-1&amp;""),
 1,
 MATCH(TRUE, ISNUMBER(--INDIRECT("数出表_Excel!"&amp;I92&amp;MATCH(N8,数出表_Excel!$A:$A,0)-1&amp;":U"&amp;MATCH(N8,数出表_Excel!$A:$A,0)-1&amp;"")), 0)),
 ""),
IFERROR(
INDEX(INDIRECT("数出表_Excel!"&amp;I92&amp;MATCH(N8,数出表_Excel!$A:$A,0)-1&amp;":U"&amp;MATCH(N8,数出表_Excel!$A:$A,0)-1&amp;""),
 1,
 MATCH(TRUE, ISNUMBER(--INDIRECT("数出表_Excel!"&amp;I92&amp;MATCH(N8,数出表_Excel!$A:$A,0)-1&amp;":U"&amp;MATCH(N8,数出表_Excel!$A:$A,0)-1&amp;"")), 0)),
 ""))),"")</f>
        <v/>
      </c>
      <c r="K95" s="253"/>
      <c r="L95" s="255" t="str" cm="1">
        <f t="array" aca="1" ref="L95" ca="1">IF(J51&lt;&gt;"",
IF(IFERROR(
INDEX(INDIRECT("数出表_Excel!B"&amp;MATCH(N8,数出表_Excel!$A:$A,0)&amp;":U"&amp;MATCH(N8,数出表_Excel!$A:$A,0)&amp;""),
 1,I93-1),
 "")=0,"",
IFERROR(
INDEX(INDIRECT("数出表_Excel!B"&amp;MATCH(N8,数出表_Excel!$A:$A,0)&amp;":U"&amp;MATCH(N8,数出表_Excel!$A:$A,0)&amp;""),
 1,I93-1),
 "")),"")</f>
        <v/>
      </c>
      <c r="M95" s="253"/>
      <c r="N95" s="97" t="e" cm="1">
        <f t="array" aca="1" ref="N95" ca="1">IF(INDIRECT(""&amp;SUBSTITUTE(ADDRESS(1,
COLUMN()-5,1),"1","")&amp;ROW()-85&amp;"")=100,
IF(J92&lt;&gt;"",
IF(IFERROR(
INDEX(INDIRECT("'数出表_Excel（アレルギー入力）'!"&amp;I94&amp;MATCH(N8,'数出表_Excel（アレルギー入力）'!$A:$A,0)+1&amp;":"&amp;N96&amp;MATCH(N8,'数出表_Excel（アレルギー入力）'!$A:$A,0)+1&amp;""),
 1,
MATCH(TRUE,INDIRECT("'数出表_Excel（アレルギー入力）'!"&amp;I94&amp;MATCH(N8,'数出表_Excel（アレルギー入力）'!$A:$A,0)+1&amp;":"&amp;N96&amp;MATCH(N8,'数出表_Excel（アレルギー入力）'!$A:$A,0)+1&amp;"")&lt;&gt;"",0)+1),
 "")&lt;&gt;0,
IF(IFERROR(
INDEX(INDIRECT("'数出表_Excel（アレルギー入力）'!"&amp;I94&amp;MATCH(N8,'数出表_Excel（アレルギー入力）'!$A:$A,0)+1&amp;":"&amp;N96&amp;MATCH(N8,'数出表_Excel（アレルギー入力）'!$A:$A,0)+1&amp;""),
 1,
MATCH(TRUE,INDIRECT("'数出表_Excel（アレルギー入力）'!"&amp;I94&amp;MATCH(N8,'数出表_Excel（アレルギー入力）'!$A:$A,0)+1&amp;":"&amp;N96&amp;MATCH(N8,'数出表_Excel（アレルギー入力）'!$A:$A,0)+1&amp;"")&lt;&gt;"",0)+1),
 "")="",
IFERROR(
INDEX(INDIRECT("'数出表_Excel（アレルギー入力）'!"&amp;I94&amp;MATCH(N8,'数出表_Excel（アレルギー入力）'!$A:$A,0)+1&amp;":"&amp;N96&amp;MATCH(N8,'数出表_Excel（アレルギー入力）'!$A:$A,0)+1&amp;""),
 1,
MATCH(TRUE,INDIRECT("'数出表_Excel（アレルギー入力）'!"&amp;I94&amp;MATCH(N8,'数出表_Excel（アレルギー入力）'!$A:$A,0)+1&amp;":"&amp;N96&amp;MATCH(N8,'数出表_Excel（アレルギー入力）'!$A:$A,0)+1&amp;"")&lt;&gt;"",0)+1),
 ""),
IFERROR(
INDEX(INDIRECT("'数出表_Excel（アレルギー入力）'!"&amp;I94&amp;MATCH(N8,'数出表_Excel（アレルギー入力）'!$A:$A,0)+1&amp;":"&amp;N96&amp;MATCH(N8,'数出表_Excel（アレルギー入力）'!$A:$A,0)+1&amp;""),
 1,
MATCH(TRUE,INDIRECT("'数出表_Excel（アレルギー入力）'!"&amp;I94&amp;MATCH(N8,'数出表_Excel（アレルギー入力）'!$A:$A,0)+1&amp;":"&amp;N96&amp;MATCH(N8,'数出表_Excel（アレルギー入力）'!$A:$A,0)+1&amp;"")&lt;&gt;"",0)+1),
 "")),0),""),0)</f>
        <v>#VALUE!</v>
      </c>
      <c r="Q95" s="86"/>
      <c r="R95" s="252" t="str" cm="1">
        <f t="array" aca="1" ref="R95" ca="1">IF(R93&lt;&gt;"",
IF(IFERROR(
INDEX(INDIRECT("数出表_Excel!"&amp;Q92&amp;MATCH(V8,数出表_Excel!$A:$A,0)-1&amp;":U"&amp;MATCH(V8,数出表_Excel!$A:$A,0)-1&amp;""),
 1,
 MATCH(TRUE, ISNUMBER(--INDIRECT("数出表_Excel!"&amp;Q92&amp;MATCH(V8,数出表_Excel!$A:$A,0)-1&amp;":U"&amp;MATCH(V8,数出表_Excel!$A:$A,0)-1&amp;"")), 0)),
 "")=0,"",
IF(Q10=100,
IFERROR(
INDEX(INDIRECT("数出表_Excel!"&amp;Q92&amp;MATCH(V8,数出表_Excel!$A:$A,0)-1+2&amp;":U"&amp;MATCH(V8,数出表_Excel!$A:$A,0)-1+2&amp;""),
 1,
 MATCH(TRUE, ISNUMBER(--INDIRECT("数出表_Excel!"&amp;Q92&amp;MATCH(V8,数出表_Excel!$A:$A,0)-1+2&amp;":U"&amp;MATCH(V8,数出表_Excel!$A:$A,0)-1+2&amp;"")), 0)),
 "")
+IFERROR(
INDEX(INDIRECT("数出表_Excel!"&amp;Q92&amp;MATCH(V8,数出表_Excel!$A:$A,0)-1&amp;":U"&amp;MATCH(V8,数出表_Excel!$A:$A,0)-1&amp;""),
 1,
 MATCH(TRUE, ISNUMBER(--INDIRECT("数出表_Excel!"&amp;Q92&amp;MATCH(V8,数出表_Excel!$A:$A,0)-1&amp;":U"&amp;MATCH(V8,数出表_Excel!$A:$A,0)-1&amp;"")), 0)),
 ""),
IFERROR(
INDEX(INDIRECT("数出表_Excel!"&amp;Q92&amp;MATCH(V8,数出表_Excel!$A:$A,0)-1&amp;":U"&amp;MATCH(V8,数出表_Excel!$A:$A,0)-1&amp;""),
 1,
 MATCH(TRUE, ISNUMBER(--INDIRECT("数出表_Excel!"&amp;Q92&amp;MATCH(V8,数出表_Excel!$A:$A,0)-1&amp;":U"&amp;MATCH(V8,数出表_Excel!$A:$A,0)-1&amp;"")), 0)),
 ""))),"")</f>
        <v/>
      </c>
      <c r="S95" s="253"/>
      <c r="T95" s="255" t="str" cm="1">
        <f t="array" aca="1" ref="T95" ca="1">IF(R51&lt;&gt;"",
IF(IFERROR(
INDEX(INDIRECT("数出表_Excel!B"&amp;MATCH(V8,数出表_Excel!$A:$A,0)&amp;":U"&amp;MATCH(V8,数出表_Excel!$A:$A,0)&amp;""),
 1,Q93-1),
 "")=0,"",
IFERROR(
INDEX(INDIRECT("数出表_Excel!B"&amp;MATCH(V8,数出表_Excel!$A:$A,0)&amp;":U"&amp;MATCH(V8,数出表_Excel!$A:$A,0)&amp;""),
 1,Q93-1),
 "")),"")</f>
        <v/>
      </c>
      <c r="U95" s="253"/>
      <c r="V95" s="97" t="e" cm="1">
        <f t="array" aca="1" ref="V95" ca="1">IF(INDIRECT(""&amp;SUBSTITUTE(ADDRESS(1,
COLUMN()-5,1),"1","")&amp;ROW()-85&amp;"")=100,
IF(R92&lt;&gt;"",
IF(IFERROR(
INDEX(INDIRECT("'数出表_Excel（アレルギー入力）'!"&amp;Q94&amp;MATCH(V8,'数出表_Excel（アレルギー入力）'!$A:$A,0)+1&amp;":"&amp;V96&amp;MATCH(V8,'数出表_Excel（アレルギー入力）'!$A:$A,0)+1&amp;""),
 1,
MATCH(TRUE,INDIRECT("'数出表_Excel（アレルギー入力）'!"&amp;Q94&amp;MATCH(V8,'数出表_Excel（アレルギー入力）'!$A:$A,0)+1&amp;":"&amp;V96&amp;MATCH(V8,'数出表_Excel（アレルギー入力）'!$A:$A,0)+1&amp;"")&lt;&gt;"",0)+1),
 "")&lt;&gt;0,
IF(IFERROR(
INDEX(INDIRECT("'数出表_Excel（アレルギー入力）'!"&amp;Q94&amp;MATCH(V8,'数出表_Excel（アレルギー入力）'!$A:$A,0)+1&amp;":"&amp;V96&amp;MATCH(V8,'数出表_Excel（アレルギー入力）'!$A:$A,0)+1&amp;""),
 1,
MATCH(TRUE,INDIRECT("'数出表_Excel（アレルギー入力）'!"&amp;Q94&amp;MATCH(V8,'数出表_Excel（アレルギー入力）'!$A:$A,0)+1&amp;":"&amp;V96&amp;MATCH(V8,'数出表_Excel（アレルギー入力）'!$A:$A,0)+1&amp;"")&lt;&gt;"",0)+1),
 "")="",
IFERROR(
INDEX(INDIRECT("'数出表_Excel（アレルギー入力）'!"&amp;Q94&amp;MATCH(V8,'数出表_Excel（アレルギー入力）'!$A:$A,0)+1&amp;":"&amp;V96&amp;MATCH(V8,'数出表_Excel（アレルギー入力）'!$A:$A,0)+1&amp;""),
 1,
MATCH(TRUE,INDIRECT("'数出表_Excel（アレルギー入力）'!"&amp;Q94&amp;MATCH(V8,'数出表_Excel（アレルギー入力）'!$A:$A,0)+1&amp;":"&amp;V96&amp;MATCH(V8,'数出表_Excel（アレルギー入力）'!$A:$A,0)+1&amp;"")&lt;&gt;"",0)+1),
 ""),
IFERROR(
INDEX(INDIRECT("'数出表_Excel（アレルギー入力）'!"&amp;Q94&amp;MATCH(V8,'数出表_Excel（アレルギー入力）'!$A:$A,0)+1&amp;":"&amp;V96&amp;MATCH(V8,'数出表_Excel（アレルギー入力）'!$A:$A,0)+1&amp;""),
 1,
MATCH(TRUE,INDIRECT("'数出表_Excel（アレルギー入力）'!"&amp;Q94&amp;MATCH(V8,'数出表_Excel（アレルギー入力）'!$A:$A,0)+1&amp;":"&amp;V96&amp;MATCH(V8,'数出表_Excel（アレルギー入力）'!$A:$A,0)+1&amp;"")&lt;&gt;"",0)+1),
 "")),0),""),0)</f>
        <v>#VALUE!</v>
      </c>
      <c r="X95" s="86"/>
      <c r="Y95" s="252" t="str" cm="1">
        <f t="array" aca="1" ref="Y95" ca="1">IF(Y93&lt;&gt;"",
IF(IFERROR(
INDEX(INDIRECT("数出表_Excel!"&amp;X92&amp;MATCH(AC8,数出表_Excel!$A:$A,0)-1&amp;":U"&amp;MATCH(AC8,数出表_Excel!$A:$A,0)-1&amp;""),
 1,
 MATCH(TRUE, ISNUMBER(--INDIRECT("数出表_Excel!"&amp;X92&amp;MATCH(AC8,数出表_Excel!$A:$A,0)-1&amp;":U"&amp;MATCH(AC8,数出表_Excel!$A:$A,0)-1&amp;"")), 0)),
 "")=0,"",
IF(X10=100,
IFERROR(
INDEX(INDIRECT("数出表_Excel!"&amp;X92&amp;MATCH(AC8,数出表_Excel!$A:$A,0)-1+2&amp;":U"&amp;MATCH(AC8,数出表_Excel!$A:$A,0)-1+2&amp;""),
 1,
 MATCH(TRUE, ISNUMBER(--INDIRECT("数出表_Excel!"&amp;X92&amp;MATCH(AC8,数出表_Excel!$A:$A,0)-1+2&amp;":U"&amp;MATCH(AC8,数出表_Excel!$A:$A,0)-1+2&amp;"")), 0)),
 "")
+IFERROR(
INDEX(INDIRECT("数出表_Excel!"&amp;X92&amp;MATCH(AC8,数出表_Excel!$A:$A,0)-1&amp;":U"&amp;MATCH(AC8,数出表_Excel!$A:$A,0)-1&amp;""),
 1,
 MATCH(TRUE, ISNUMBER(--INDIRECT("数出表_Excel!"&amp;X92&amp;MATCH(AC8,数出表_Excel!$A:$A,0)-1&amp;":U"&amp;MATCH(AC8,数出表_Excel!$A:$A,0)-1&amp;"")), 0)),
 ""),
IFERROR(
INDEX(INDIRECT("数出表_Excel!"&amp;X92&amp;MATCH(AC8,数出表_Excel!$A:$A,0)-1&amp;":U"&amp;MATCH(AC8,数出表_Excel!$A:$A,0)-1&amp;""),
 1,
 MATCH(TRUE, ISNUMBER(--INDIRECT("数出表_Excel!"&amp;X92&amp;MATCH(AC8,数出表_Excel!$A:$A,0)-1&amp;":U"&amp;MATCH(AC8,数出表_Excel!$A:$A,0)-1&amp;"")), 0)),
 ""))),"")</f>
        <v/>
      </c>
      <c r="Z95" s="253"/>
      <c r="AA95" s="255" t="str" cm="1">
        <f t="array" aca="1" ref="AA95" ca="1">IF(Y51&lt;&gt;"",
IF(IFERROR(
INDEX(INDIRECT("数出表_Excel!B"&amp;MATCH(AC8,数出表_Excel!$A:$A,0)&amp;":U"&amp;MATCH(AC8,数出表_Excel!$A:$A,0)&amp;""),
 1,X93-1),
 "")=0,"",
IFERROR(
INDEX(INDIRECT("数出表_Excel!B"&amp;MATCH(AC8,数出表_Excel!$A:$A,0)&amp;":U"&amp;MATCH(AC8,数出表_Excel!$A:$A,0)&amp;""),
 1,X93-1),
 "")),"")</f>
        <v/>
      </c>
      <c r="AB95" s="253"/>
      <c r="AC95" s="97" t="e" cm="1">
        <f t="array" aca="1" ref="AC95" ca="1">IF(INDIRECT(""&amp;SUBSTITUTE(ADDRESS(1,
COLUMN()-5,1),"1","")&amp;ROW()-85&amp;"")=100,
IF(Y92&lt;&gt;"",
IF(IFERROR(
INDEX(INDIRECT("'数出表_Excel（アレルギー入力）'!"&amp;X94&amp;MATCH(AC8,'数出表_Excel（アレルギー入力）'!$A:$A,0)+1&amp;":"&amp;AC96&amp;MATCH(AC8,'数出表_Excel（アレルギー入力）'!$A:$A,0)+1&amp;""),
 1,
MATCH(TRUE,INDIRECT("'数出表_Excel（アレルギー入力）'!"&amp;X94&amp;MATCH(AC8,'数出表_Excel（アレルギー入力）'!$A:$A,0)+1&amp;":"&amp;AC96&amp;MATCH(AC8,'数出表_Excel（アレルギー入力）'!$A:$A,0)+1&amp;"")&lt;&gt;"",0)+1),
 "")&lt;&gt;0,
IF(IFERROR(
INDEX(INDIRECT("'数出表_Excel（アレルギー入力）'!"&amp;X94&amp;MATCH(AC8,'数出表_Excel（アレルギー入力）'!$A:$A,0)+1&amp;":"&amp;AC96&amp;MATCH(AC8,'数出表_Excel（アレルギー入力）'!$A:$A,0)+1&amp;""),
 1,
MATCH(TRUE,INDIRECT("'数出表_Excel（アレルギー入力）'!"&amp;X94&amp;MATCH(AC8,'数出表_Excel（アレルギー入力）'!$A:$A,0)+1&amp;":"&amp;AC96&amp;MATCH(AC8,'数出表_Excel（アレルギー入力）'!$A:$A,0)+1&amp;"")&lt;&gt;"",0)+1),
 "")="",
IFERROR(
INDEX(INDIRECT("'数出表_Excel（アレルギー入力）'!"&amp;X94&amp;MATCH(AC8,'数出表_Excel（アレルギー入力）'!$A:$A,0)+1&amp;":"&amp;AC96&amp;MATCH(AC8,'数出表_Excel（アレルギー入力）'!$A:$A,0)+1&amp;""),
 1,
MATCH(TRUE,INDIRECT("'数出表_Excel（アレルギー入力）'!"&amp;X94&amp;MATCH(AC8,'数出表_Excel（アレルギー入力）'!$A:$A,0)+1&amp;":"&amp;AC96&amp;MATCH(AC8,'数出表_Excel（アレルギー入力）'!$A:$A,0)+1&amp;"")&lt;&gt;"",0)+1),
 ""),
IFERROR(
INDEX(INDIRECT("'数出表_Excel（アレルギー入力）'!"&amp;X94&amp;MATCH(AC8,'数出表_Excel（アレルギー入力）'!$A:$A,0)+1&amp;":"&amp;AC96&amp;MATCH(AC8,'数出表_Excel（アレルギー入力）'!$A:$A,0)+1&amp;""),
 1,
MATCH(TRUE,INDIRECT("'数出表_Excel（アレルギー入力）'!"&amp;X94&amp;MATCH(AC8,'数出表_Excel（アレルギー入力）'!$A:$A,0)+1&amp;":"&amp;AC96&amp;MATCH(AC8,'数出表_Excel（アレルギー入力）'!$A:$A,0)+1&amp;"")&lt;&gt;"",0)+1),
 "")),0),""),0)</f>
        <v>#VALUE!</v>
      </c>
      <c r="AF95" s="86"/>
      <c r="AG95" s="252" t="str" cm="1">
        <f t="array" aca="1" ref="AG95" ca="1">IF(AG93&lt;&gt;"",
IF(IFERROR(
INDEX(INDIRECT("数出表_Excel!"&amp;AF92&amp;MATCH(AK8,数出表_Excel!$A:$A,0)-1&amp;":U"&amp;MATCH(AK8,数出表_Excel!$A:$A,0)-1&amp;""),
 1,
 MATCH(TRUE, ISNUMBER(--INDIRECT("数出表_Excel!"&amp;AF92&amp;MATCH(AK8,数出表_Excel!$A:$A,0)-1&amp;":U"&amp;MATCH(AK8,数出表_Excel!$A:$A,0)-1&amp;"")), 0)),
 "")=0,"",
IF(AF10=100,
IFERROR(
INDEX(INDIRECT("数出表_Excel!"&amp;AF92&amp;MATCH(AK8,数出表_Excel!$A:$A,0)-1+2&amp;":U"&amp;MATCH(AK8,数出表_Excel!$A:$A,0)-1+2&amp;""),
 1,
 MATCH(TRUE, ISNUMBER(--INDIRECT("数出表_Excel!"&amp;AF92&amp;MATCH(AK8,数出表_Excel!$A:$A,0)-1+2&amp;":U"&amp;MATCH(AK8,数出表_Excel!$A:$A,0)-1+2&amp;"")), 0)),
 "")
+IFERROR(
INDEX(INDIRECT("数出表_Excel!"&amp;AF92&amp;MATCH(AK8,数出表_Excel!$A:$A,0)-1&amp;":U"&amp;MATCH(AK8,数出表_Excel!$A:$A,0)-1&amp;""),
 1,
 MATCH(TRUE, ISNUMBER(--INDIRECT("数出表_Excel!"&amp;AF92&amp;MATCH(AK8,数出表_Excel!$A:$A,0)-1&amp;":U"&amp;MATCH(AK8,数出表_Excel!$A:$A,0)-1&amp;"")), 0)),
 ""),
IFERROR(
INDEX(INDIRECT("数出表_Excel!"&amp;AF92&amp;MATCH(AK8,数出表_Excel!$A:$A,0)-1&amp;":U"&amp;MATCH(AK8,数出表_Excel!$A:$A,0)-1&amp;""),
 1,
 MATCH(TRUE, ISNUMBER(--INDIRECT("数出表_Excel!"&amp;AF92&amp;MATCH(AK8,数出表_Excel!$A:$A,0)-1&amp;":U"&amp;MATCH(AK8,数出表_Excel!$A:$A,0)-1&amp;"")), 0)),
 ""))),"")</f>
        <v/>
      </c>
      <c r="AH95" s="253"/>
      <c r="AI95" s="255" t="str" cm="1">
        <f t="array" aca="1" ref="AI95" ca="1">IF(AG51&lt;&gt;"",
IF(IFERROR(
INDEX(INDIRECT("数出表_Excel!B"&amp;MATCH(AK8,数出表_Excel!$A:$A,0)&amp;":U"&amp;MATCH(AK8,数出表_Excel!$A:$A,0)&amp;""),
 1,AF93-1),
 "")=0,"",
IFERROR(
INDEX(INDIRECT("数出表_Excel!B"&amp;MATCH(AK8,数出表_Excel!$A:$A,0)&amp;":U"&amp;MATCH(AK8,数出表_Excel!$A:$A,0)&amp;""),
 1,AF93-1),
 "")),"")</f>
        <v/>
      </c>
      <c r="AJ95" s="253"/>
      <c r="AK95" s="97" t="e" cm="1">
        <f t="array" aca="1" ref="AK95" ca="1">IF(INDIRECT(""&amp;SUBSTITUTE(ADDRESS(1,
COLUMN()-5,1),"1","")&amp;ROW()-85&amp;"")=100,
IF(AG92&lt;&gt;"",
IF(IFERROR(
INDEX(INDIRECT("'数出表_Excel（アレルギー入力）'!"&amp;AF94&amp;MATCH(AK8,'数出表_Excel（アレルギー入力）'!$A:$A,0)+1&amp;":"&amp;AK96&amp;MATCH(AK8,'数出表_Excel（アレルギー入力）'!$A:$A,0)+1&amp;""),
 1,
MATCH(TRUE,INDIRECT("'数出表_Excel（アレルギー入力）'!"&amp;AF94&amp;MATCH(AK8,'数出表_Excel（アレルギー入力）'!$A:$A,0)+1&amp;":"&amp;AK96&amp;MATCH(AK8,'数出表_Excel（アレルギー入力）'!$A:$A,0)+1&amp;"")&lt;&gt;"",0)+1),
 "")&lt;&gt;0,
IF(IFERROR(
INDEX(INDIRECT("'数出表_Excel（アレルギー入力）'!"&amp;AF94&amp;MATCH(AK8,'数出表_Excel（アレルギー入力）'!$A:$A,0)+1&amp;":"&amp;AK96&amp;MATCH(AK8,'数出表_Excel（アレルギー入力）'!$A:$A,0)+1&amp;""),
 1,
MATCH(TRUE,INDIRECT("'数出表_Excel（アレルギー入力）'!"&amp;AF94&amp;MATCH(AK8,'数出表_Excel（アレルギー入力）'!$A:$A,0)+1&amp;":"&amp;AK96&amp;MATCH(AK8,'数出表_Excel（アレルギー入力）'!$A:$A,0)+1&amp;"")&lt;&gt;"",0)+1),
 "")="",
IFERROR(
INDEX(INDIRECT("'数出表_Excel（アレルギー入力）'!"&amp;AF94&amp;MATCH(AK8,'数出表_Excel（アレルギー入力）'!$A:$A,0)+1&amp;":"&amp;AK96&amp;MATCH(AK8,'数出表_Excel（アレルギー入力）'!$A:$A,0)+1&amp;""),
 1,
MATCH(TRUE,INDIRECT("'数出表_Excel（アレルギー入力）'!"&amp;AF94&amp;MATCH(AK8,'数出表_Excel（アレルギー入力）'!$A:$A,0)+1&amp;":"&amp;AK96&amp;MATCH(AK8,'数出表_Excel（アレルギー入力）'!$A:$A,0)+1&amp;"")&lt;&gt;"",0)+1),
 ""),
IFERROR(
INDEX(INDIRECT("'数出表_Excel（アレルギー入力）'!"&amp;AF94&amp;MATCH(AK8,'数出表_Excel（アレルギー入力）'!$A:$A,0)+1&amp;":"&amp;AK96&amp;MATCH(AK8,'数出表_Excel（アレルギー入力）'!$A:$A,0)+1&amp;""),
 1,
MATCH(TRUE,INDIRECT("'数出表_Excel（アレルギー入力）'!"&amp;AF94&amp;MATCH(AK8,'数出表_Excel（アレルギー入力）'!$A:$A,0)+1&amp;":"&amp;AK96&amp;MATCH(AK8,'数出表_Excel（アレルギー入力）'!$A:$A,0)+1&amp;"")&lt;&gt;"",0)+1),
 "")),0),""),0)</f>
        <v>#VALUE!</v>
      </c>
      <c r="AM95" s="86"/>
      <c r="AN95" s="252" t="str" cm="1">
        <f t="array" aca="1" ref="AN95" ca="1">IF(AN93&lt;&gt;"",
IF(IFERROR(
INDEX(INDIRECT("数出表_Excel!"&amp;AM92&amp;MATCH(AR8,数出表_Excel!$A:$A,0)-1&amp;":U"&amp;MATCH(AR8,数出表_Excel!$A:$A,0)-1&amp;""),
 1,
 MATCH(TRUE, ISNUMBER(--INDIRECT("数出表_Excel!"&amp;AM92&amp;MATCH(AR8,数出表_Excel!$A:$A,0)-1&amp;":U"&amp;MATCH(AR8,数出表_Excel!$A:$A,0)-1&amp;"")), 0)),
 "")=0,"",
IF(AM10=100,
IFERROR(
INDEX(INDIRECT("数出表_Excel!"&amp;AM92&amp;MATCH(AR8,数出表_Excel!$A:$A,0)-1+2&amp;":U"&amp;MATCH(AR8,数出表_Excel!$A:$A,0)-1+2&amp;""),
 1,
 MATCH(TRUE, ISNUMBER(--INDIRECT("数出表_Excel!"&amp;AM92&amp;MATCH(AR8,数出表_Excel!$A:$A,0)-1+2&amp;":U"&amp;MATCH(AR8,数出表_Excel!$A:$A,0)-1+2&amp;"")), 0)),
 "")
+IFERROR(
INDEX(INDIRECT("数出表_Excel!"&amp;AM92&amp;MATCH(AR8,数出表_Excel!$A:$A,0)-1&amp;":U"&amp;MATCH(AR8,数出表_Excel!$A:$A,0)-1&amp;""),
 1,
 MATCH(TRUE, ISNUMBER(--INDIRECT("数出表_Excel!"&amp;AM92&amp;MATCH(AR8,数出表_Excel!$A:$A,0)-1&amp;":U"&amp;MATCH(AR8,数出表_Excel!$A:$A,0)-1&amp;"")), 0)),
 ""),
IFERROR(
INDEX(INDIRECT("数出表_Excel!"&amp;AM92&amp;MATCH(AR8,数出表_Excel!$A:$A,0)-1&amp;":U"&amp;MATCH(AR8,数出表_Excel!$A:$A,0)-1&amp;""),
 1,
 MATCH(TRUE, ISNUMBER(--INDIRECT("数出表_Excel!"&amp;AM92&amp;MATCH(AR8,数出表_Excel!$A:$A,0)-1&amp;":U"&amp;MATCH(AR8,数出表_Excel!$A:$A,0)-1&amp;"")), 0)),
 ""))),"")</f>
        <v/>
      </c>
      <c r="AO95" s="253"/>
      <c r="AP95" s="255" t="str" cm="1">
        <f t="array" aca="1" ref="AP95" ca="1">IF(AN51&lt;&gt;"",
IF(IFERROR(
INDEX(INDIRECT("数出表_Excel!B"&amp;MATCH(AR8,数出表_Excel!$A:$A,0)&amp;":U"&amp;MATCH(AR8,数出表_Excel!$A:$A,0)&amp;""),
 1,AM93-1),
 "")=0,"",
IFERROR(
INDEX(INDIRECT("数出表_Excel!B"&amp;MATCH(AR8,数出表_Excel!$A:$A,0)&amp;":U"&amp;MATCH(AR8,数出表_Excel!$A:$A,0)&amp;""),
 1,AM93-1),
 "")),"")</f>
        <v/>
      </c>
      <c r="AQ95" s="253"/>
      <c r="AR95" s="97" t="e" cm="1">
        <f t="array" aca="1" ref="AR95" ca="1">IF(INDIRECT(""&amp;SUBSTITUTE(ADDRESS(1,
COLUMN()-5,1),"1","")&amp;ROW()-85&amp;"")=100,
IF(AN92&lt;&gt;"",
IF(IFERROR(
INDEX(INDIRECT("'数出表_Excel（アレルギー入力）'!"&amp;AM94&amp;MATCH(AR8,'数出表_Excel（アレルギー入力）'!$A:$A,0)+1&amp;":"&amp;AR96&amp;MATCH(AR8,'数出表_Excel（アレルギー入力）'!$A:$A,0)+1&amp;""),
 1,
MATCH(TRUE,INDIRECT("'数出表_Excel（アレルギー入力）'!"&amp;AM94&amp;MATCH(AR8,'数出表_Excel（アレルギー入力）'!$A:$A,0)+1&amp;":"&amp;AR96&amp;MATCH(AR8,'数出表_Excel（アレルギー入力）'!$A:$A,0)+1&amp;"")&lt;&gt;"",0)+1),
 "")&lt;&gt;0,
IF(IFERROR(
INDEX(INDIRECT("'数出表_Excel（アレルギー入力）'!"&amp;AM94&amp;MATCH(AR8,'数出表_Excel（アレルギー入力）'!$A:$A,0)+1&amp;":"&amp;AR96&amp;MATCH(AR8,'数出表_Excel（アレルギー入力）'!$A:$A,0)+1&amp;""),
 1,
MATCH(TRUE,INDIRECT("'数出表_Excel（アレルギー入力）'!"&amp;AM94&amp;MATCH(AR8,'数出表_Excel（アレルギー入力）'!$A:$A,0)+1&amp;":"&amp;AR96&amp;MATCH(AR8,'数出表_Excel（アレルギー入力）'!$A:$A,0)+1&amp;"")&lt;&gt;"",0)+1),
 "")="",
IFERROR(
INDEX(INDIRECT("'数出表_Excel（アレルギー入力）'!"&amp;AM94&amp;MATCH(AR8,'数出表_Excel（アレルギー入力）'!$A:$A,0)+1&amp;":"&amp;AR96&amp;MATCH(AR8,'数出表_Excel（アレルギー入力）'!$A:$A,0)+1&amp;""),
 1,
MATCH(TRUE,INDIRECT("'数出表_Excel（アレルギー入力）'!"&amp;AM94&amp;MATCH(AR8,'数出表_Excel（アレルギー入力）'!$A:$A,0)+1&amp;":"&amp;AR96&amp;MATCH(AR8,'数出表_Excel（アレルギー入力）'!$A:$A,0)+1&amp;"")&lt;&gt;"",0)+1),
 ""),
IFERROR(
INDEX(INDIRECT("'数出表_Excel（アレルギー入力）'!"&amp;AM94&amp;MATCH(AR8,'数出表_Excel（アレルギー入力）'!$A:$A,0)+1&amp;":"&amp;AR96&amp;MATCH(AR8,'数出表_Excel（アレルギー入力）'!$A:$A,0)+1&amp;""),
 1,
MATCH(TRUE,INDIRECT("'数出表_Excel（アレルギー入力）'!"&amp;AM94&amp;MATCH(AR8,'数出表_Excel（アレルギー入力）'!$A:$A,0)+1&amp;":"&amp;AR96&amp;MATCH(AR8,'数出表_Excel（アレルギー入力）'!$A:$A,0)+1&amp;"")&lt;&gt;"",0)+1),
 "")),0),""),0)</f>
        <v>#VALUE!</v>
      </c>
      <c r="AU95" s="86"/>
      <c r="AV95" s="252" t="str" cm="1">
        <f t="array" aca="1" ref="AV95" ca="1">IF(AV93&lt;&gt;"",
IF(IFERROR(
INDEX(INDIRECT("数出表_Excel!"&amp;AU92&amp;MATCH(AZ8,数出表_Excel!$A:$A,0)-1&amp;":U"&amp;MATCH(AZ8,数出表_Excel!$A:$A,0)-1&amp;""),
 1,
 MATCH(TRUE, ISNUMBER(--INDIRECT("数出表_Excel!"&amp;AU92&amp;MATCH(AZ8,数出表_Excel!$A:$A,0)-1&amp;":U"&amp;MATCH(AZ8,数出表_Excel!$A:$A,0)-1&amp;"")), 0)),
 "")=0,"",
IF(AU10=100,
IFERROR(
INDEX(INDIRECT("数出表_Excel!"&amp;AU92&amp;MATCH(AZ8,数出表_Excel!$A:$A,0)-1+2&amp;":U"&amp;MATCH(AZ8,数出表_Excel!$A:$A,0)-1+2&amp;""),
 1,
 MATCH(TRUE, ISNUMBER(--INDIRECT("数出表_Excel!"&amp;AU92&amp;MATCH(AZ8,数出表_Excel!$A:$A,0)-1+2&amp;":U"&amp;MATCH(AZ8,数出表_Excel!$A:$A,0)-1+2&amp;"")), 0)),
 "")
+IFERROR(
INDEX(INDIRECT("数出表_Excel!"&amp;AU92&amp;MATCH(AZ8,数出表_Excel!$A:$A,0)-1&amp;":U"&amp;MATCH(AZ8,数出表_Excel!$A:$A,0)-1&amp;""),
 1,
 MATCH(TRUE, ISNUMBER(--INDIRECT("数出表_Excel!"&amp;AU92&amp;MATCH(AZ8,数出表_Excel!$A:$A,0)-1&amp;":U"&amp;MATCH(AZ8,数出表_Excel!$A:$A,0)-1&amp;"")), 0)),
 ""),
IFERROR(
INDEX(INDIRECT("数出表_Excel!"&amp;AU92&amp;MATCH(AZ8,数出表_Excel!$A:$A,0)-1&amp;":U"&amp;MATCH(AZ8,数出表_Excel!$A:$A,0)-1&amp;""),
 1,
 MATCH(TRUE, ISNUMBER(--INDIRECT("数出表_Excel!"&amp;AU92&amp;MATCH(AZ8,数出表_Excel!$A:$A,0)-1&amp;":U"&amp;MATCH(AZ8,数出表_Excel!$A:$A,0)-1&amp;"")), 0)),
 ""))),"")</f>
        <v/>
      </c>
      <c r="AW95" s="253"/>
      <c r="AX95" s="255" t="str" cm="1">
        <f t="array" aca="1" ref="AX95" ca="1">IF(AV51&lt;&gt;"",
IF(IFERROR(
INDEX(INDIRECT("数出表_Excel!B"&amp;MATCH(AZ8,数出表_Excel!$A:$A,0)&amp;":U"&amp;MATCH(AZ8,数出表_Excel!$A:$A,0)&amp;""),
 1,AU93-1),
 "")=0,"",
IFERROR(
INDEX(INDIRECT("数出表_Excel!B"&amp;MATCH(AZ8,数出表_Excel!$A:$A,0)&amp;":U"&amp;MATCH(AZ8,数出表_Excel!$A:$A,0)&amp;""),
 1,AU93-1),
 "")),"")</f>
        <v/>
      </c>
      <c r="AY95" s="253"/>
      <c r="AZ95" s="97" t="e" cm="1">
        <f t="array" aca="1" ref="AZ95" ca="1">IF(INDIRECT(""&amp;SUBSTITUTE(ADDRESS(1,
COLUMN()-5,1),"1","")&amp;ROW()-85&amp;"")=100,
IF(AV92&lt;&gt;"",
IF(IFERROR(
INDEX(INDIRECT("'数出表_Excel（アレルギー入力）'!"&amp;AU94&amp;MATCH(AZ8,'数出表_Excel（アレルギー入力）'!$A:$A,0)+1&amp;":"&amp;AZ96&amp;MATCH(AZ8,'数出表_Excel（アレルギー入力）'!$A:$A,0)+1&amp;""),
 1,
MATCH(TRUE,INDIRECT("'数出表_Excel（アレルギー入力）'!"&amp;AU94&amp;MATCH(AZ8,'数出表_Excel（アレルギー入力）'!$A:$A,0)+1&amp;":"&amp;AZ96&amp;MATCH(AZ8,'数出表_Excel（アレルギー入力）'!$A:$A,0)+1&amp;"")&lt;&gt;"",0)+1),
 "")&lt;&gt;0,
IF(IFERROR(
INDEX(INDIRECT("'数出表_Excel（アレルギー入力）'!"&amp;AU94&amp;MATCH(AZ8,'数出表_Excel（アレルギー入力）'!$A:$A,0)+1&amp;":"&amp;AZ96&amp;MATCH(AZ8,'数出表_Excel（アレルギー入力）'!$A:$A,0)+1&amp;""),
 1,
MATCH(TRUE,INDIRECT("'数出表_Excel（アレルギー入力）'!"&amp;AU94&amp;MATCH(AZ8,'数出表_Excel（アレルギー入力）'!$A:$A,0)+1&amp;":"&amp;AZ96&amp;MATCH(AZ8,'数出表_Excel（アレルギー入力）'!$A:$A,0)+1&amp;"")&lt;&gt;"",0)+1),
 "")="",
IFERROR(
INDEX(INDIRECT("'数出表_Excel（アレルギー入力）'!"&amp;AU94&amp;MATCH(AZ8,'数出表_Excel（アレルギー入力）'!$A:$A,0)+1&amp;":"&amp;AZ96&amp;MATCH(AZ8,'数出表_Excel（アレルギー入力）'!$A:$A,0)+1&amp;""),
 1,
MATCH(TRUE,INDIRECT("'数出表_Excel（アレルギー入力）'!"&amp;AU94&amp;MATCH(AZ8,'数出表_Excel（アレルギー入力）'!$A:$A,0)+1&amp;":"&amp;AZ96&amp;MATCH(AZ8,'数出表_Excel（アレルギー入力）'!$A:$A,0)+1&amp;"")&lt;&gt;"",0)+1),
 ""),
IFERROR(
INDEX(INDIRECT("'数出表_Excel（アレルギー入力）'!"&amp;AU94&amp;MATCH(AZ8,'数出表_Excel（アレルギー入力）'!$A:$A,0)+1&amp;":"&amp;AZ96&amp;MATCH(AZ8,'数出表_Excel（アレルギー入力）'!$A:$A,0)+1&amp;""),
 1,
MATCH(TRUE,INDIRECT("'数出表_Excel（アレルギー入力）'!"&amp;AU94&amp;MATCH(AZ8,'数出表_Excel（アレルギー入力）'!$A:$A,0)+1&amp;":"&amp;AZ96&amp;MATCH(AZ8,'数出表_Excel（アレルギー入力）'!$A:$A,0)+1&amp;"")&lt;&gt;"",0)+1),
 "")),0),""),0)</f>
        <v>#VALUE!</v>
      </c>
      <c r="BB95" s="86"/>
      <c r="BC95" s="252" t="str" cm="1">
        <f t="array" aca="1" ref="BC95" ca="1">IF(BC93&lt;&gt;"",
IF(IFERROR(
INDEX(INDIRECT("数出表_Excel!"&amp;BB92&amp;MATCH(BG8,数出表_Excel!$A:$A,0)-1&amp;":U"&amp;MATCH(BG8,数出表_Excel!$A:$A,0)-1&amp;""),
 1,
 MATCH(TRUE, ISNUMBER(--INDIRECT("数出表_Excel!"&amp;BB92&amp;MATCH(BG8,数出表_Excel!$A:$A,0)-1&amp;":U"&amp;MATCH(BG8,数出表_Excel!$A:$A,0)-1&amp;"")), 0)),
 "")=0,"",
IF(BB10=100,
IFERROR(
INDEX(INDIRECT("数出表_Excel!"&amp;BB92&amp;MATCH(BG8,数出表_Excel!$A:$A,0)-1+2&amp;":U"&amp;MATCH(BG8,数出表_Excel!$A:$A,0)-1+2&amp;""),
 1,
 MATCH(TRUE, ISNUMBER(--INDIRECT("数出表_Excel!"&amp;BB92&amp;MATCH(BG8,数出表_Excel!$A:$A,0)-1+2&amp;":U"&amp;MATCH(BG8,数出表_Excel!$A:$A,0)-1+2&amp;"")), 0)),
 "")
+IFERROR(
INDEX(INDIRECT("数出表_Excel!"&amp;BB92&amp;MATCH(BG8,数出表_Excel!$A:$A,0)-1&amp;":U"&amp;MATCH(BG8,数出表_Excel!$A:$A,0)-1&amp;""),
 1,
 MATCH(TRUE, ISNUMBER(--INDIRECT("数出表_Excel!"&amp;BB92&amp;MATCH(BG8,数出表_Excel!$A:$A,0)-1&amp;":U"&amp;MATCH(BG8,数出表_Excel!$A:$A,0)-1&amp;"")), 0)),
 ""),
IFERROR(
INDEX(INDIRECT("数出表_Excel!"&amp;BB92&amp;MATCH(BG8,数出表_Excel!$A:$A,0)-1&amp;":U"&amp;MATCH(BG8,数出表_Excel!$A:$A,0)-1&amp;""),
 1,
 MATCH(TRUE, ISNUMBER(--INDIRECT("数出表_Excel!"&amp;BB92&amp;MATCH(BG8,数出表_Excel!$A:$A,0)-1&amp;":U"&amp;MATCH(BG8,数出表_Excel!$A:$A,0)-1&amp;"")), 0)),
 ""))),"")</f>
        <v/>
      </c>
      <c r="BD95" s="253"/>
      <c r="BE95" s="255" t="str" cm="1">
        <f t="array" aca="1" ref="BE95" ca="1">IF(BC51&lt;&gt;"",
IF(IFERROR(
INDEX(INDIRECT("数出表_Excel!B"&amp;MATCH(BG8,数出表_Excel!$A:$A,0)&amp;":U"&amp;MATCH(BG8,数出表_Excel!$A:$A,0)&amp;""),
 1,BB93-1),
 "")=0,"",
IFERROR(
INDEX(INDIRECT("数出表_Excel!B"&amp;MATCH(BG8,数出表_Excel!$A:$A,0)&amp;":U"&amp;MATCH(BG8,数出表_Excel!$A:$A,0)&amp;""),
 1,BB93-1),
 "")),"")</f>
        <v/>
      </c>
      <c r="BF95" s="253"/>
      <c r="BG95" s="97" t="e" cm="1">
        <f t="array" aca="1" ref="BG95" ca="1">IF(INDIRECT(""&amp;SUBSTITUTE(ADDRESS(1,
COLUMN()-5,1),"1","")&amp;ROW()-85&amp;"")=100,
IF(BC92&lt;&gt;"",
IF(IFERROR(
INDEX(INDIRECT("'数出表_Excel（アレルギー入力）'!"&amp;BB94&amp;MATCH(BG8,'数出表_Excel（アレルギー入力）'!$A:$A,0)+1&amp;":"&amp;BG96&amp;MATCH(BG8,'数出表_Excel（アレルギー入力）'!$A:$A,0)+1&amp;""),
 1,
MATCH(TRUE,INDIRECT("'数出表_Excel（アレルギー入力）'!"&amp;BB94&amp;MATCH(BG8,'数出表_Excel（アレルギー入力）'!$A:$A,0)+1&amp;":"&amp;BG96&amp;MATCH(BG8,'数出表_Excel（アレルギー入力）'!$A:$A,0)+1&amp;"")&lt;&gt;"",0)+1),
 "")&lt;&gt;0,
IF(IFERROR(
INDEX(INDIRECT("'数出表_Excel（アレルギー入力）'!"&amp;BB94&amp;MATCH(BG8,'数出表_Excel（アレルギー入力）'!$A:$A,0)+1&amp;":"&amp;BG96&amp;MATCH(BG8,'数出表_Excel（アレルギー入力）'!$A:$A,0)+1&amp;""),
 1,
MATCH(TRUE,INDIRECT("'数出表_Excel（アレルギー入力）'!"&amp;BB94&amp;MATCH(BG8,'数出表_Excel（アレルギー入力）'!$A:$A,0)+1&amp;":"&amp;BG96&amp;MATCH(BG8,'数出表_Excel（アレルギー入力）'!$A:$A,0)+1&amp;"")&lt;&gt;"",0)+1),
 "")="",
IFERROR(
INDEX(INDIRECT("'数出表_Excel（アレルギー入力）'!"&amp;BB94&amp;MATCH(BG8,'数出表_Excel（アレルギー入力）'!$A:$A,0)+1&amp;":"&amp;BG96&amp;MATCH(BG8,'数出表_Excel（アレルギー入力）'!$A:$A,0)+1&amp;""),
 1,
MATCH(TRUE,INDIRECT("'数出表_Excel（アレルギー入力）'!"&amp;BB94&amp;MATCH(BG8,'数出表_Excel（アレルギー入力）'!$A:$A,0)+1&amp;":"&amp;BG96&amp;MATCH(BG8,'数出表_Excel（アレルギー入力）'!$A:$A,0)+1&amp;"")&lt;&gt;"",0)+1),
 ""),
IFERROR(
INDEX(INDIRECT("'数出表_Excel（アレルギー入力）'!"&amp;BB94&amp;MATCH(BG8,'数出表_Excel（アレルギー入力）'!$A:$A,0)+1&amp;":"&amp;BG96&amp;MATCH(BG8,'数出表_Excel（アレルギー入力）'!$A:$A,0)+1&amp;""),
 1,
MATCH(TRUE,INDIRECT("'数出表_Excel（アレルギー入力）'!"&amp;BB94&amp;MATCH(BG8,'数出表_Excel（アレルギー入力）'!$A:$A,0)+1&amp;":"&amp;BG96&amp;MATCH(BG8,'数出表_Excel（アレルギー入力）'!$A:$A,0)+1&amp;"")&lt;&gt;"",0)+1),
 "")),0),""),0)</f>
        <v>#VALUE!</v>
      </c>
      <c r="BJ95" s="86"/>
      <c r="BK95" s="252" t="str" cm="1">
        <f t="array" aca="1" ref="BK95" ca="1">IF(BK93&lt;&gt;"",
IF(IFERROR(
INDEX(INDIRECT("数出表_Excel!"&amp;BJ92&amp;MATCH(BO8,数出表_Excel!$A:$A,0)-1&amp;":U"&amp;MATCH(BO8,数出表_Excel!$A:$A,0)-1&amp;""),
 1,
 MATCH(TRUE, ISNUMBER(--INDIRECT("数出表_Excel!"&amp;BJ92&amp;MATCH(BO8,数出表_Excel!$A:$A,0)-1&amp;":U"&amp;MATCH(BO8,数出表_Excel!$A:$A,0)-1&amp;"")), 0)),
 "")=0,"",
IF(BJ10=100,
IFERROR(
INDEX(INDIRECT("数出表_Excel!"&amp;BJ92&amp;MATCH(BO8,数出表_Excel!$A:$A,0)-1+2&amp;":U"&amp;MATCH(BO8,数出表_Excel!$A:$A,0)-1+2&amp;""),
 1,
 MATCH(TRUE, ISNUMBER(--INDIRECT("数出表_Excel!"&amp;BJ92&amp;MATCH(BO8,数出表_Excel!$A:$A,0)-1+2&amp;":U"&amp;MATCH(BO8,数出表_Excel!$A:$A,0)-1+2&amp;"")), 0)),
 "")
+IFERROR(
INDEX(INDIRECT("数出表_Excel!"&amp;BJ92&amp;MATCH(BO8,数出表_Excel!$A:$A,0)-1&amp;":U"&amp;MATCH(BO8,数出表_Excel!$A:$A,0)-1&amp;""),
 1,
 MATCH(TRUE, ISNUMBER(--INDIRECT("数出表_Excel!"&amp;BJ92&amp;MATCH(BO8,数出表_Excel!$A:$A,0)-1&amp;":U"&amp;MATCH(BO8,数出表_Excel!$A:$A,0)-1&amp;"")), 0)),
 ""),
IFERROR(
INDEX(INDIRECT("数出表_Excel!"&amp;BJ92&amp;MATCH(BO8,数出表_Excel!$A:$A,0)-1&amp;":U"&amp;MATCH(BO8,数出表_Excel!$A:$A,0)-1&amp;""),
 1,
 MATCH(TRUE, ISNUMBER(--INDIRECT("数出表_Excel!"&amp;BJ92&amp;MATCH(BO8,数出表_Excel!$A:$A,0)-1&amp;":U"&amp;MATCH(BO8,数出表_Excel!$A:$A,0)-1&amp;"")), 0)),
 ""))),"")</f>
        <v/>
      </c>
      <c r="BL95" s="253"/>
      <c r="BM95" s="255" t="str" cm="1">
        <f t="array" aca="1" ref="BM95" ca="1">IF(BK51&lt;&gt;"",
IF(IFERROR(
INDEX(INDIRECT("数出表_Excel!B"&amp;MATCH(BO8,数出表_Excel!$A:$A,0)&amp;":U"&amp;MATCH(BO8,数出表_Excel!$A:$A,0)&amp;""),
 1,BJ93-1),
 "")=0,"",
IFERROR(
INDEX(INDIRECT("数出表_Excel!B"&amp;MATCH(BO8,数出表_Excel!$A:$A,0)&amp;":U"&amp;MATCH(BO8,数出表_Excel!$A:$A,0)&amp;""),
 1,BJ93-1),
 "")),"")</f>
        <v/>
      </c>
      <c r="BN95" s="253"/>
      <c r="BO95" s="97" t="e" cm="1">
        <f t="array" aca="1" ref="BO95" ca="1">IF(INDIRECT(""&amp;SUBSTITUTE(ADDRESS(1,
COLUMN()-5,1),"1","")&amp;ROW()-85&amp;"")=100,
IF(BK92&lt;&gt;"",
IF(IFERROR(
INDEX(INDIRECT("'数出表_Excel（アレルギー入力）'!"&amp;BJ94&amp;MATCH(BO8,'数出表_Excel（アレルギー入力）'!$A:$A,0)+1&amp;":"&amp;BO96&amp;MATCH(BO8,'数出表_Excel（アレルギー入力）'!$A:$A,0)+1&amp;""),
 1,
MATCH(TRUE,INDIRECT("'数出表_Excel（アレルギー入力）'!"&amp;BJ94&amp;MATCH(BO8,'数出表_Excel（アレルギー入力）'!$A:$A,0)+1&amp;":"&amp;BO96&amp;MATCH(BO8,'数出表_Excel（アレルギー入力）'!$A:$A,0)+1&amp;"")&lt;&gt;"",0)+1),
 "")&lt;&gt;0,
IF(IFERROR(
INDEX(INDIRECT("'数出表_Excel（アレルギー入力）'!"&amp;BJ94&amp;MATCH(BO8,'数出表_Excel（アレルギー入力）'!$A:$A,0)+1&amp;":"&amp;BO96&amp;MATCH(BO8,'数出表_Excel（アレルギー入力）'!$A:$A,0)+1&amp;""),
 1,
MATCH(TRUE,INDIRECT("'数出表_Excel（アレルギー入力）'!"&amp;BJ94&amp;MATCH(BO8,'数出表_Excel（アレルギー入力）'!$A:$A,0)+1&amp;":"&amp;BO96&amp;MATCH(BO8,'数出表_Excel（アレルギー入力）'!$A:$A,0)+1&amp;"")&lt;&gt;"",0)+1),
 "")="",
IFERROR(
INDEX(INDIRECT("'数出表_Excel（アレルギー入力）'!"&amp;BJ94&amp;MATCH(BO8,'数出表_Excel（アレルギー入力）'!$A:$A,0)+1&amp;":"&amp;BO96&amp;MATCH(BO8,'数出表_Excel（アレルギー入力）'!$A:$A,0)+1&amp;""),
 1,
MATCH(TRUE,INDIRECT("'数出表_Excel（アレルギー入力）'!"&amp;BJ94&amp;MATCH(BO8,'数出表_Excel（アレルギー入力）'!$A:$A,0)+1&amp;":"&amp;BO96&amp;MATCH(BO8,'数出表_Excel（アレルギー入力）'!$A:$A,0)+1&amp;"")&lt;&gt;"",0)+1),
 ""),
IFERROR(
INDEX(INDIRECT("'数出表_Excel（アレルギー入力）'!"&amp;BJ94&amp;MATCH(BO8,'数出表_Excel（アレルギー入力）'!$A:$A,0)+1&amp;":"&amp;BO96&amp;MATCH(BO8,'数出表_Excel（アレルギー入力）'!$A:$A,0)+1&amp;""),
 1,
MATCH(TRUE,INDIRECT("'数出表_Excel（アレルギー入力）'!"&amp;BJ94&amp;MATCH(BO8,'数出表_Excel（アレルギー入力）'!$A:$A,0)+1&amp;":"&amp;BO96&amp;MATCH(BO8,'数出表_Excel（アレルギー入力）'!$A:$A,0)+1&amp;"")&lt;&gt;"",0)+1),
 "")),0),""),0)</f>
        <v>#VALUE!</v>
      </c>
      <c r="BQ95" s="86"/>
      <c r="BR95" s="252" t="str" cm="1">
        <f t="array" aca="1" ref="BR95" ca="1">IF(BR93&lt;&gt;"",
IF(IFERROR(
INDEX(INDIRECT("数出表_Excel!"&amp;BQ92&amp;MATCH(BV8,数出表_Excel!$A:$A,0)-1&amp;":U"&amp;MATCH(BV8,数出表_Excel!$A:$A,0)-1&amp;""),
 1,
 MATCH(TRUE, ISNUMBER(--INDIRECT("数出表_Excel!"&amp;BQ92&amp;MATCH(BV8,数出表_Excel!$A:$A,0)-1&amp;":U"&amp;MATCH(BV8,数出表_Excel!$A:$A,0)-1&amp;"")), 0)),
 "")=0,"",
IF(BQ10=100,
IFERROR(
INDEX(INDIRECT("数出表_Excel!"&amp;BQ92&amp;MATCH(BV8,数出表_Excel!$A:$A,0)-1+2&amp;":U"&amp;MATCH(BV8,数出表_Excel!$A:$A,0)-1+2&amp;""),
 1,
 MATCH(TRUE, ISNUMBER(--INDIRECT("数出表_Excel!"&amp;BQ92&amp;MATCH(BV8,数出表_Excel!$A:$A,0)-1+2&amp;":U"&amp;MATCH(BV8,数出表_Excel!$A:$A,0)-1+2&amp;"")), 0)),
 "")
+IFERROR(
INDEX(INDIRECT("数出表_Excel!"&amp;BQ92&amp;MATCH(BV8,数出表_Excel!$A:$A,0)-1&amp;":U"&amp;MATCH(BV8,数出表_Excel!$A:$A,0)-1&amp;""),
 1,
 MATCH(TRUE, ISNUMBER(--INDIRECT("数出表_Excel!"&amp;BQ92&amp;MATCH(BV8,数出表_Excel!$A:$A,0)-1&amp;":U"&amp;MATCH(BV8,数出表_Excel!$A:$A,0)-1&amp;"")), 0)),
 ""),
IFERROR(
INDEX(INDIRECT("数出表_Excel!"&amp;BQ92&amp;MATCH(BV8,数出表_Excel!$A:$A,0)-1&amp;":U"&amp;MATCH(BV8,数出表_Excel!$A:$A,0)-1&amp;""),
 1,
 MATCH(TRUE, ISNUMBER(--INDIRECT("数出表_Excel!"&amp;BQ92&amp;MATCH(BV8,数出表_Excel!$A:$A,0)-1&amp;":U"&amp;MATCH(BV8,数出表_Excel!$A:$A,0)-1&amp;"")), 0)),
 ""))),"")</f>
        <v/>
      </c>
      <c r="BS95" s="253"/>
      <c r="BT95" s="255" t="str" cm="1">
        <f t="array" aca="1" ref="BT95" ca="1">IF(BR51&lt;&gt;"",
IF(IFERROR(
INDEX(INDIRECT("数出表_Excel!B"&amp;MATCH(BV8,数出表_Excel!$A:$A,0)&amp;":U"&amp;MATCH(BV8,数出表_Excel!$A:$A,0)&amp;""),
 1,BQ93-1),
 "")=0,"",
IFERROR(
INDEX(INDIRECT("数出表_Excel!B"&amp;MATCH(BV8,数出表_Excel!$A:$A,0)&amp;":U"&amp;MATCH(BV8,数出表_Excel!$A:$A,0)&amp;""),
 1,BQ93-1),
 "")),"")</f>
        <v/>
      </c>
      <c r="BU95" s="253"/>
      <c r="BV95" s="97" t="e" cm="1">
        <f t="array" aca="1" ref="BV95" ca="1">IF(INDIRECT(""&amp;SUBSTITUTE(ADDRESS(1,
COLUMN()-5,1),"1","")&amp;ROW()-85&amp;"")=100,
IF(BR92&lt;&gt;"",
IF(IFERROR(
INDEX(INDIRECT("'数出表_Excel（アレルギー入力）'!"&amp;BQ94&amp;MATCH(BV8,'数出表_Excel（アレルギー入力）'!$A:$A,0)+1&amp;":"&amp;BV96&amp;MATCH(BV8,'数出表_Excel（アレルギー入力）'!$A:$A,0)+1&amp;""),
 1,
MATCH(TRUE,INDIRECT("'数出表_Excel（アレルギー入力）'!"&amp;BQ94&amp;MATCH(BV8,'数出表_Excel（アレルギー入力）'!$A:$A,0)+1&amp;":"&amp;BV96&amp;MATCH(BV8,'数出表_Excel（アレルギー入力）'!$A:$A,0)+1&amp;"")&lt;&gt;"",0)+1),
 "")&lt;&gt;0,
IF(IFERROR(
INDEX(INDIRECT("'数出表_Excel（アレルギー入力）'!"&amp;BQ94&amp;MATCH(BV8,'数出表_Excel（アレルギー入力）'!$A:$A,0)+1&amp;":"&amp;BV96&amp;MATCH(BV8,'数出表_Excel（アレルギー入力）'!$A:$A,0)+1&amp;""),
 1,
MATCH(TRUE,INDIRECT("'数出表_Excel（アレルギー入力）'!"&amp;BQ94&amp;MATCH(BV8,'数出表_Excel（アレルギー入力）'!$A:$A,0)+1&amp;":"&amp;BV96&amp;MATCH(BV8,'数出表_Excel（アレルギー入力）'!$A:$A,0)+1&amp;"")&lt;&gt;"",0)+1),
 "")="",
IFERROR(
INDEX(INDIRECT("'数出表_Excel（アレルギー入力）'!"&amp;BQ94&amp;MATCH(BV8,'数出表_Excel（アレルギー入力）'!$A:$A,0)+1&amp;":"&amp;BV96&amp;MATCH(BV8,'数出表_Excel（アレルギー入力）'!$A:$A,0)+1&amp;""),
 1,
MATCH(TRUE,INDIRECT("'数出表_Excel（アレルギー入力）'!"&amp;BQ94&amp;MATCH(BV8,'数出表_Excel（アレルギー入力）'!$A:$A,0)+1&amp;":"&amp;BV96&amp;MATCH(BV8,'数出表_Excel（アレルギー入力）'!$A:$A,0)+1&amp;"")&lt;&gt;"",0)+1),
 ""),
IFERROR(
INDEX(INDIRECT("'数出表_Excel（アレルギー入力）'!"&amp;BQ94&amp;MATCH(BV8,'数出表_Excel（アレルギー入力）'!$A:$A,0)+1&amp;":"&amp;BV96&amp;MATCH(BV8,'数出表_Excel（アレルギー入力）'!$A:$A,0)+1&amp;""),
 1,
MATCH(TRUE,INDIRECT("'数出表_Excel（アレルギー入力）'!"&amp;BQ94&amp;MATCH(BV8,'数出表_Excel（アレルギー入力）'!$A:$A,0)+1&amp;":"&amp;BV96&amp;MATCH(BV8,'数出表_Excel（アレルギー入力）'!$A:$A,0)+1&amp;"")&lt;&gt;"",0)+1),
 "")),0),""),0)</f>
        <v>#VALUE!</v>
      </c>
      <c r="BY95" s="86"/>
      <c r="BZ95" s="252" t="str" cm="1">
        <f t="array" aca="1" ref="BZ95" ca="1">IF(BZ93&lt;&gt;"",
IF(IFERROR(
INDEX(INDIRECT("数出表_Excel!"&amp;BY92&amp;MATCH(CD8,数出表_Excel!$A:$A,0)-1&amp;":U"&amp;MATCH(CD8,数出表_Excel!$A:$A,0)-1&amp;""),
 1,
 MATCH(TRUE, ISNUMBER(--INDIRECT("数出表_Excel!"&amp;BY92&amp;MATCH(CD8,数出表_Excel!$A:$A,0)-1&amp;":U"&amp;MATCH(CD8,数出表_Excel!$A:$A,0)-1&amp;"")), 0)),
 "")=0,"",
IF(BY10=100,
IFERROR(
INDEX(INDIRECT("数出表_Excel!"&amp;BY92&amp;MATCH(CD8,数出表_Excel!$A:$A,0)-1+2&amp;":U"&amp;MATCH(CD8,数出表_Excel!$A:$A,0)-1+2&amp;""),
 1,
 MATCH(TRUE, ISNUMBER(--INDIRECT("数出表_Excel!"&amp;BY92&amp;MATCH(CD8,数出表_Excel!$A:$A,0)-1+2&amp;":U"&amp;MATCH(CD8,数出表_Excel!$A:$A,0)-1+2&amp;"")), 0)),
 "")
+IFERROR(
INDEX(INDIRECT("数出表_Excel!"&amp;BY92&amp;MATCH(CD8,数出表_Excel!$A:$A,0)-1&amp;":U"&amp;MATCH(CD8,数出表_Excel!$A:$A,0)-1&amp;""),
 1,
 MATCH(TRUE, ISNUMBER(--INDIRECT("数出表_Excel!"&amp;BY92&amp;MATCH(CD8,数出表_Excel!$A:$A,0)-1&amp;":U"&amp;MATCH(CD8,数出表_Excel!$A:$A,0)-1&amp;"")), 0)),
 ""),
IFERROR(
INDEX(INDIRECT("数出表_Excel!"&amp;BY92&amp;MATCH(CD8,数出表_Excel!$A:$A,0)-1&amp;":U"&amp;MATCH(CD8,数出表_Excel!$A:$A,0)-1&amp;""),
 1,
 MATCH(TRUE, ISNUMBER(--INDIRECT("数出表_Excel!"&amp;BY92&amp;MATCH(CD8,数出表_Excel!$A:$A,0)-1&amp;":U"&amp;MATCH(CD8,数出表_Excel!$A:$A,0)-1&amp;"")), 0)),
 ""))),"")</f>
        <v/>
      </c>
      <c r="CA95" s="253"/>
      <c r="CB95" s="255" t="str" cm="1">
        <f t="array" aca="1" ref="CB95" ca="1">IF(BZ51&lt;&gt;"",
IF(IFERROR(
INDEX(INDIRECT("数出表_Excel!B"&amp;MATCH(CD8,数出表_Excel!$A:$A,0)&amp;":U"&amp;MATCH(CD8,数出表_Excel!$A:$A,0)&amp;""),
 1,BY93-1),
 "")=0,"",
IFERROR(
INDEX(INDIRECT("数出表_Excel!B"&amp;MATCH(CD8,数出表_Excel!$A:$A,0)&amp;":U"&amp;MATCH(CD8,数出表_Excel!$A:$A,0)&amp;""),
 1,BY93-1),
 "")),"")</f>
        <v/>
      </c>
      <c r="CC95" s="253"/>
      <c r="CD95" s="97" t="e" cm="1">
        <f t="array" aca="1" ref="CD95" ca="1">IF(INDIRECT(""&amp;SUBSTITUTE(ADDRESS(1,
COLUMN()-5,1),"1","")&amp;ROW()-85&amp;"")=100,
IF(BZ92&lt;&gt;"",
IF(IFERROR(
INDEX(INDIRECT("'数出表_Excel（アレルギー入力）'!"&amp;BY94&amp;MATCH(CD8,'数出表_Excel（アレルギー入力）'!$A:$A,0)+1&amp;":"&amp;CD96&amp;MATCH(CD8,'数出表_Excel（アレルギー入力）'!$A:$A,0)+1&amp;""),
 1,
MATCH(TRUE,INDIRECT("'数出表_Excel（アレルギー入力）'!"&amp;BY94&amp;MATCH(CD8,'数出表_Excel（アレルギー入力）'!$A:$A,0)+1&amp;":"&amp;CD96&amp;MATCH(CD8,'数出表_Excel（アレルギー入力）'!$A:$A,0)+1&amp;"")&lt;&gt;"",0)+1),
 "")&lt;&gt;0,
IF(IFERROR(
INDEX(INDIRECT("'数出表_Excel（アレルギー入力）'!"&amp;BY94&amp;MATCH(CD8,'数出表_Excel（アレルギー入力）'!$A:$A,0)+1&amp;":"&amp;CD96&amp;MATCH(CD8,'数出表_Excel（アレルギー入力）'!$A:$A,0)+1&amp;""),
 1,
MATCH(TRUE,INDIRECT("'数出表_Excel（アレルギー入力）'!"&amp;BY94&amp;MATCH(CD8,'数出表_Excel（アレルギー入力）'!$A:$A,0)+1&amp;":"&amp;CD96&amp;MATCH(CD8,'数出表_Excel（アレルギー入力）'!$A:$A,0)+1&amp;"")&lt;&gt;"",0)+1),
 "")="",
IFERROR(
INDEX(INDIRECT("'数出表_Excel（アレルギー入力）'!"&amp;BY94&amp;MATCH(CD8,'数出表_Excel（アレルギー入力）'!$A:$A,0)+1&amp;":"&amp;CD96&amp;MATCH(CD8,'数出表_Excel（アレルギー入力）'!$A:$A,0)+1&amp;""),
 1,
MATCH(TRUE,INDIRECT("'数出表_Excel（アレルギー入力）'!"&amp;BY94&amp;MATCH(CD8,'数出表_Excel（アレルギー入力）'!$A:$A,0)+1&amp;":"&amp;CD96&amp;MATCH(CD8,'数出表_Excel（アレルギー入力）'!$A:$A,0)+1&amp;"")&lt;&gt;"",0)+1),
 ""),
IFERROR(
INDEX(INDIRECT("'数出表_Excel（アレルギー入力）'!"&amp;BY94&amp;MATCH(CD8,'数出表_Excel（アレルギー入力）'!$A:$A,0)+1&amp;":"&amp;CD96&amp;MATCH(CD8,'数出表_Excel（アレルギー入力）'!$A:$A,0)+1&amp;""),
 1,
MATCH(TRUE,INDIRECT("'数出表_Excel（アレルギー入力）'!"&amp;BY94&amp;MATCH(CD8,'数出表_Excel（アレルギー入力）'!$A:$A,0)+1&amp;":"&amp;CD96&amp;MATCH(CD8,'数出表_Excel（アレルギー入力）'!$A:$A,0)+1&amp;"")&lt;&gt;"",0)+1),
 "")),0),""),0)</f>
        <v>#VALUE!</v>
      </c>
      <c r="CF95" s="86"/>
      <c r="CG95" s="252" t="str" cm="1">
        <f t="array" aca="1" ref="CG95" ca="1">IF(CG93&lt;&gt;"",
IF(IFERROR(
INDEX(INDIRECT("数出表_Excel!"&amp;CF92&amp;MATCH(CK8,数出表_Excel!$A:$A,0)-1&amp;":U"&amp;MATCH(CK8,数出表_Excel!$A:$A,0)-1&amp;""),
 1,
 MATCH(TRUE, ISNUMBER(--INDIRECT("数出表_Excel!"&amp;CF92&amp;MATCH(CK8,数出表_Excel!$A:$A,0)-1&amp;":U"&amp;MATCH(CK8,数出表_Excel!$A:$A,0)-1&amp;"")), 0)),
 "")=0,"",
IF(CF10=100,
IFERROR(
INDEX(INDIRECT("数出表_Excel!"&amp;CF92&amp;MATCH(CK8,数出表_Excel!$A:$A,0)-1+2&amp;":U"&amp;MATCH(CK8,数出表_Excel!$A:$A,0)-1+2&amp;""),
 1,
 MATCH(TRUE, ISNUMBER(--INDIRECT("数出表_Excel!"&amp;CF92&amp;MATCH(CK8,数出表_Excel!$A:$A,0)-1+2&amp;":U"&amp;MATCH(CK8,数出表_Excel!$A:$A,0)-1+2&amp;"")), 0)),
 "")
+IFERROR(
INDEX(INDIRECT("数出表_Excel!"&amp;CF92&amp;MATCH(CK8,数出表_Excel!$A:$A,0)-1&amp;":U"&amp;MATCH(CK8,数出表_Excel!$A:$A,0)-1&amp;""),
 1,
 MATCH(TRUE, ISNUMBER(--INDIRECT("数出表_Excel!"&amp;CF92&amp;MATCH(CK8,数出表_Excel!$A:$A,0)-1&amp;":U"&amp;MATCH(CK8,数出表_Excel!$A:$A,0)-1&amp;"")), 0)),
 ""),
IFERROR(
INDEX(INDIRECT("数出表_Excel!"&amp;CF92&amp;MATCH(CK8,数出表_Excel!$A:$A,0)-1&amp;":U"&amp;MATCH(CK8,数出表_Excel!$A:$A,0)-1&amp;""),
 1,
 MATCH(TRUE, ISNUMBER(--INDIRECT("数出表_Excel!"&amp;CF92&amp;MATCH(CK8,数出表_Excel!$A:$A,0)-1&amp;":U"&amp;MATCH(CK8,数出表_Excel!$A:$A,0)-1&amp;"")), 0)),
 ""))),"")</f>
        <v/>
      </c>
      <c r="CH95" s="253"/>
      <c r="CI95" s="255" t="str" cm="1">
        <f t="array" aca="1" ref="CI95" ca="1">IF(CG51&lt;&gt;"",
IF(IFERROR(
INDEX(INDIRECT("数出表_Excel!B"&amp;MATCH(CK8,数出表_Excel!$A:$A,0)&amp;":U"&amp;MATCH(CK8,数出表_Excel!$A:$A,0)&amp;""),
 1,CF93-1),
 "")=0,"",
IFERROR(
INDEX(INDIRECT("数出表_Excel!B"&amp;MATCH(CK8,数出表_Excel!$A:$A,0)&amp;":U"&amp;MATCH(CK8,数出表_Excel!$A:$A,0)&amp;""),
 1,CF93-1),
 "")),"")</f>
        <v/>
      </c>
      <c r="CJ95" s="253"/>
      <c r="CK95" s="97" t="e" cm="1">
        <f t="array" aca="1" ref="CK95" ca="1">IF(INDIRECT(""&amp;SUBSTITUTE(ADDRESS(1,
COLUMN()-5,1),"1","")&amp;ROW()-85&amp;"")=100,
IF(CG92&lt;&gt;"",
IF(IFERROR(
INDEX(INDIRECT("'数出表_Excel（アレルギー入力）'!"&amp;CF94&amp;MATCH(CK8,'数出表_Excel（アレルギー入力）'!$A:$A,0)+1&amp;":"&amp;CK96&amp;MATCH(CK8,'数出表_Excel（アレルギー入力）'!$A:$A,0)+1&amp;""),
 1,
MATCH(TRUE,INDIRECT("'数出表_Excel（アレルギー入力）'!"&amp;CF94&amp;MATCH(CK8,'数出表_Excel（アレルギー入力）'!$A:$A,0)+1&amp;":"&amp;CK96&amp;MATCH(CK8,'数出表_Excel（アレルギー入力）'!$A:$A,0)+1&amp;"")&lt;&gt;"",0)+1),
 "")&lt;&gt;0,
IF(IFERROR(
INDEX(INDIRECT("'数出表_Excel（アレルギー入力）'!"&amp;CF94&amp;MATCH(CK8,'数出表_Excel（アレルギー入力）'!$A:$A,0)+1&amp;":"&amp;CK96&amp;MATCH(CK8,'数出表_Excel（アレルギー入力）'!$A:$A,0)+1&amp;""),
 1,
MATCH(TRUE,INDIRECT("'数出表_Excel（アレルギー入力）'!"&amp;CF94&amp;MATCH(CK8,'数出表_Excel（アレルギー入力）'!$A:$A,0)+1&amp;":"&amp;CK96&amp;MATCH(CK8,'数出表_Excel（アレルギー入力）'!$A:$A,0)+1&amp;"")&lt;&gt;"",0)+1),
 "")="",
IFERROR(
INDEX(INDIRECT("'数出表_Excel（アレルギー入力）'!"&amp;CF94&amp;MATCH(CK8,'数出表_Excel（アレルギー入力）'!$A:$A,0)+1&amp;":"&amp;CK96&amp;MATCH(CK8,'数出表_Excel（アレルギー入力）'!$A:$A,0)+1&amp;""),
 1,
MATCH(TRUE,INDIRECT("'数出表_Excel（アレルギー入力）'!"&amp;CF94&amp;MATCH(CK8,'数出表_Excel（アレルギー入力）'!$A:$A,0)+1&amp;":"&amp;CK96&amp;MATCH(CK8,'数出表_Excel（アレルギー入力）'!$A:$A,0)+1&amp;"")&lt;&gt;"",0)+1),
 ""),
IFERROR(
INDEX(INDIRECT("'数出表_Excel（アレルギー入力）'!"&amp;CF94&amp;MATCH(CK8,'数出表_Excel（アレルギー入力）'!$A:$A,0)+1&amp;":"&amp;CK96&amp;MATCH(CK8,'数出表_Excel（アレルギー入力）'!$A:$A,0)+1&amp;""),
 1,
MATCH(TRUE,INDIRECT("'数出表_Excel（アレルギー入力）'!"&amp;CF94&amp;MATCH(CK8,'数出表_Excel（アレルギー入力）'!$A:$A,0)+1&amp;":"&amp;CK96&amp;MATCH(CK8,'数出表_Excel（アレルギー入力）'!$A:$A,0)+1&amp;"")&lt;&gt;"",0)+1),
 "")),0),""),0)</f>
        <v>#VALUE!</v>
      </c>
      <c r="CN95" s="86"/>
      <c r="CO95" s="252" t="str" cm="1">
        <f t="array" aca="1" ref="CO95" ca="1">IF(CO93&lt;&gt;"",
IF(IFERROR(
INDEX(INDIRECT("数出表_Excel!"&amp;CN92&amp;MATCH(CS8,数出表_Excel!$A:$A,0)-1&amp;":U"&amp;MATCH(CS8,数出表_Excel!$A:$A,0)-1&amp;""),
 1,
 MATCH(TRUE, ISNUMBER(--INDIRECT("数出表_Excel!"&amp;CN92&amp;MATCH(CS8,数出表_Excel!$A:$A,0)-1&amp;":U"&amp;MATCH(CS8,数出表_Excel!$A:$A,0)-1&amp;"")), 0)),
 "")=0,"",
IF(CN10=100,
IFERROR(
INDEX(INDIRECT("数出表_Excel!"&amp;CN92&amp;MATCH(CS8,数出表_Excel!$A:$A,0)-1+2&amp;":U"&amp;MATCH(CS8,数出表_Excel!$A:$A,0)-1+2&amp;""),
 1,
 MATCH(TRUE, ISNUMBER(--INDIRECT("数出表_Excel!"&amp;CN92&amp;MATCH(CS8,数出表_Excel!$A:$A,0)-1+2&amp;":U"&amp;MATCH(CS8,数出表_Excel!$A:$A,0)-1+2&amp;"")), 0)),
 "")
+IFERROR(
INDEX(INDIRECT("数出表_Excel!"&amp;CN92&amp;MATCH(CS8,数出表_Excel!$A:$A,0)-1&amp;":U"&amp;MATCH(CS8,数出表_Excel!$A:$A,0)-1&amp;""),
 1,
 MATCH(TRUE, ISNUMBER(--INDIRECT("数出表_Excel!"&amp;CN92&amp;MATCH(CS8,数出表_Excel!$A:$A,0)-1&amp;":U"&amp;MATCH(CS8,数出表_Excel!$A:$A,0)-1&amp;"")), 0)),
 ""),
IFERROR(
INDEX(INDIRECT("数出表_Excel!"&amp;CN92&amp;MATCH(CS8,数出表_Excel!$A:$A,0)-1&amp;":U"&amp;MATCH(CS8,数出表_Excel!$A:$A,0)-1&amp;""),
 1,
 MATCH(TRUE, ISNUMBER(--INDIRECT("数出表_Excel!"&amp;CN92&amp;MATCH(CS8,数出表_Excel!$A:$A,0)-1&amp;":U"&amp;MATCH(CS8,数出表_Excel!$A:$A,0)-1&amp;"")), 0)),
 ""))),"")</f>
        <v/>
      </c>
      <c r="CP95" s="253"/>
      <c r="CQ95" s="255" t="str" cm="1">
        <f t="array" aca="1" ref="CQ95" ca="1">IF(CO51&lt;&gt;"",
IF(IFERROR(
INDEX(INDIRECT("数出表_Excel!B"&amp;MATCH(CS8,数出表_Excel!$A:$A,0)&amp;":U"&amp;MATCH(CS8,数出表_Excel!$A:$A,0)&amp;""),
 1,CN93-1),
 "")=0,"",
IFERROR(
INDEX(INDIRECT("数出表_Excel!B"&amp;MATCH(CS8,数出表_Excel!$A:$A,0)&amp;":U"&amp;MATCH(CS8,数出表_Excel!$A:$A,0)&amp;""),
 1,CN93-1),
 "")),"")</f>
        <v/>
      </c>
      <c r="CR95" s="253"/>
      <c r="CS95" s="97" t="e" cm="1">
        <f t="array" aca="1" ref="CS95" ca="1">IF(INDIRECT(""&amp;SUBSTITUTE(ADDRESS(1,
COLUMN()-5,1),"1","")&amp;ROW()-85&amp;"")=100,
IF(CO92&lt;&gt;"",
IF(IFERROR(
INDEX(INDIRECT("'数出表_Excel（アレルギー入力）'!"&amp;CN94&amp;MATCH(CS8,'数出表_Excel（アレルギー入力）'!$A:$A,0)+1&amp;":"&amp;CS96&amp;MATCH(CS8,'数出表_Excel（アレルギー入力）'!$A:$A,0)+1&amp;""),
 1,
MATCH(TRUE,INDIRECT("'数出表_Excel（アレルギー入力）'!"&amp;CN94&amp;MATCH(CS8,'数出表_Excel（アレルギー入力）'!$A:$A,0)+1&amp;":"&amp;CS96&amp;MATCH(CS8,'数出表_Excel（アレルギー入力）'!$A:$A,0)+1&amp;"")&lt;&gt;"",0)+1),
 "")&lt;&gt;0,
IF(IFERROR(
INDEX(INDIRECT("'数出表_Excel（アレルギー入力）'!"&amp;CN94&amp;MATCH(CS8,'数出表_Excel（アレルギー入力）'!$A:$A,0)+1&amp;":"&amp;CS96&amp;MATCH(CS8,'数出表_Excel（アレルギー入力）'!$A:$A,0)+1&amp;""),
 1,
MATCH(TRUE,INDIRECT("'数出表_Excel（アレルギー入力）'!"&amp;CN94&amp;MATCH(CS8,'数出表_Excel（アレルギー入力）'!$A:$A,0)+1&amp;":"&amp;CS96&amp;MATCH(CS8,'数出表_Excel（アレルギー入力）'!$A:$A,0)+1&amp;"")&lt;&gt;"",0)+1),
 "")="",
IFERROR(
INDEX(INDIRECT("'数出表_Excel（アレルギー入力）'!"&amp;CN94&amp;MATCH(CS8,'数出表_Excel（アレルギー入力）'!$A:$A,0)+1&amp;":"&amp;CS96&amp;MATCH(CS8,'数出表_Excel（アレルギー入力）'!$A:$A,0)+1&amp;""),
 1,
MATCH(TRUE,INDIRECT("'数出表_Excel（アレルギー入力）'!"&amp;CN94&amp;MATCH(CS8,'数出表_Excel（アレルギー入力）'!$A:$A,0)+1&amp;":"&amp;CS96&amp;MATCH(CS8,'数出表_Excel（アレルギー入力）'!$A:$A,0)+1&amp;"")&lt;&gt;"",0)+1),
 ""),
IFERROR(
INDEX(INDIRECT("'数出表_Excel（アレルギー入力）'!"&amp;CN94&amp;MATCH(CS8,'数出表_Excel（アレルギー入力）'!$A:$A,0)+1&amp;":"&amp;CS96&amp;MATCH(CS8,'数出表_Excel（アレルギー入力）'!$A:$A,0)+1&amp;""),
 1,
MATCH(TRUE,INDIRECT("'数出表_Excel（アレルギー入力）'!"&amp;CN94&amp;MATCH(CS8,'数出表_Excel（アレルギー入力）'!$A:$A,0)+1&amp;":"&amp;CS96&amp;MATCH(CS8,'数出表_Excel（アレルギー入力）'!$A:$A,0)+1&amp;"")&lt;&gt;"",0)+1),
 "")),0),""),0)</f>
        <v>#VALUE!</v>
      </c>
      <c r="CU95" s="86"/>
      <c r="CV95" s="252" t="str" cm="1">
        <f t="array" aca="1" ref="CV95" ca="1">IF(CV93&lt;&gt;"",
IF(IFERROR(
INDEX(INDIRECT("数出表_Excel!"&amp;CU92&amp;MATCH(CZ8,数出表_Excel!$A:$A,0)-1&amp;":U"&amp;MATCH(CZ8,数出表_Excel!$A:$A,0)-1&amp;""),
 1,
 MATCH(TRUE, ISNUMBER(--INDIRECT("数出表_Excel!"&amp;CU92&amp;MATCH(CZ8,数出表_Excel!$A:$A,0)-1&amp;":U"&amp;MATCH(CZ8,数出表_Excel!$A:$A,0)-1&amp;"")), 0)),
 "")=0,"",
IF(CU10=100,
IFERROR(
INDEX(INDIRECT("数出表_Excel!"&amp;CU92&amp;MATCH(CZ8,数出表_Excel!$A:$A,0)-1+2&amp;":U"&amp;MATCH(CZ8,数出表_Excel!$A:$A,0)-1+2&amp;""),
 1,
 MATCH(TRUE, ISNUMBER(--INDIRECT("数出表_Excel!"&amp;CU92&amp;MATCH(CZ8,数出表_Excel!$A:$A,0)-1+2&amp;":U"&amp;MATCH(CZ8,数出表_Excel!$A:$A,0)-1+2&amp;"")), 0)),
 "")
+IFERROR(
INDEX(INDIRECT("数出表_Excel!"&amp;CU92&amp;MATCH(CZ8,数出表_Excel!$A:$A,0)-1&amp;":U"&amp;MATCH(CZ8,数出表_Excel!$A:$A,0)-1&amp;""),
 1,
 MATCH(TRUE, ISNUMBER(--INDIRECT("数出表_Excel!"&amp;CU92&amp;MATCH(CZ8,数出表_Excel!$A:$A,0)-1&amp;":U"&amp;MATCH(CZ8,数出表_Excel!$A:$A,0)-1&amp;"")), 0)),
 ""),
IFERROR(
INDEX(INDIRECT("数出表_Excel!"&amp;CU92&amp;MATCH(CZ8,数出表_Excel!$A:$A,0)-1&amp;":U"&amp;MATCH(CZ8,数出表_Excel!$A:$A,0)-1&amp;""),
 1,
 MATCH(TRUE, ISNUMBER(--INDIRECT("数出表_Excel!"&amp;CU92&amp;MATCH(CZ8,数出表_Excel!$A:$A,0)-1&amp;":U"&amp;MATCH(CZ8,数出表_Excel!$A:$A,0)-1&amp;"")), 0)),
 ""))),"")</f>
        <v/>
      </c>
      <c r="CW95" s="253"/>
      <c r="CX95" s="255" t="str" cm="1">
        <f t="array" aca="1" ref="CX95" ca="1">IF(CV51&lt;&gt;"",
IF(IFERROR(
INDEX(INDIRECT("数出表_Excel!B"&amp;MATCH(CZ8,数出表_Excel!$A:$A,0)&amp;":U"&amp;MATCH(CZ8,数出表_Excel!$A:$A,0)&amp;""),
 1,CU93-1),
 "")=0,"",
IFERROR(
INDEX(INDIRECT("数出表_Excel!B"&amp;MATCH(CZ8,数出表_Excel!$A:$A,0)&amp;":U"&amp;MATCH(CZ8,数出表_Excel!$A:$A,0)&amp;""),
 1,CU93-1),
 "")),"")</f>
        <v/>
      </c>
      <c r="CY95" s="253"/>
      <c r="CZ95" s="97" t="e" cm="1">
        <f t="array" aca="1" ref="CZ95" ca="1">IF(INDIRECT(""&amp;SUBSTITUTE(ADDRESS(1,
COLUMN()-5,1),"1","")&amp;ROW()-85&amp;"")=100,
IF(CV92&lt;&gt;"",
IF(IFERROR(
INDEX(INDIRECT("'数出表_Excel（アレルギー入力）'!"&amp;CU94&amp;MATCH(CZ8,'数出表_Excel（アレルギー入力）'!$A:$A,0)+1&amp;":"&amp;CZ96&amp;MATCH(CZ8,'数出表_Excel（アレルギー入力）'!$A:$A,0)+1&amp;""),
 1,
MATCH(TRUE,INDIRECT("'数出表_Excel（アレルギー入力）'!"&amp;CU94&amp;MATCH(CZ8,'数出表_Excel（アレルギー入力）'!$A:$A,0)+1&amp;":"&amp;CZ96&amp;MATCH(CZ8,'数出表_Excel（アレルギー入力）'!$A:$A,0)+1&amp;"")&lt;&gt;"",0)+1),
 "")&lt;&gt;0,
IF(IFERROR(
INDEX(INDIRECT("'数出表_Excel（アレルギー入力）'!"&amp;CU94&amp;MATCH(CZ8,'数出表_Excel（アレルギー入力）'!$A:$A,0)+1&amp;":"&amp;CZ96&amp;MATCH(CZ8,'数出表_Excel（アレルギー入力）'!$A:$A,0)+1&amp;""),
 1,
MATCH(TRUE,INDIRECT("'数出表_Excel（アレルギー入力）'!"&amp;CU94&amp;MATCH(CZ8,'数出表_Excel（アレルギー入力）'!$A:$A,0)+1&amp;":"&amp;CZ96&amp;MATCH(CZ8,'数出表_Excel（アレルギー入力）'!$A:$A,0)+1&amp;"")&lt;&gt;"",0)+1),
 "")="",
IFERROR(
INDEX(INDIRECT("'数出表_Excel（アレルギー入力）'!"&amp;CU94&amp;MATCH(CZ8,'数出表_Excel（アレルギー入力）'!$A:$A,0)+1&amp;":"&amp;CZ96&amp;MATCH(CZ8,'数出表_Excel（アレルギー入力）'!$A:$A,0)+1&amp;""),
 1,
MATCH(TRUE,INDIRECT("'数出表_Excel（アレルギー入力）'!"&amp;CU94&amp;MATCH(CZ8,'数出表_Excel（アレルギー入力）'!$A:$A,0)+1&amp;":"&amp;CZ96&amp;MATCH(CZ8,'数出表_Excel（アレルギー入力）'!$A:$A,0)+1&amp;"")&lt;&gt;"",0)+1),
 ""),
IFERROR(
INDEX(INDIRECT("'数出表_Excel（アレルギー入力）'!"&amp;CU94&amp;MATCH(CZ8,'数出表_Excel（アレルギー入力）'!$A:$A,0)+1&amp;":"&amp;CZ96&amp;MATCH(CZ8,'数出表_Excel（アレルギー入力）'!$A:$A,0)+1&amp;""),
 1,
MATCH(TRUE,INDIRECT("'数出表_Excel（アレルギー入力）'!"&amp;CU94&amp;MATCH(CZ8,'数出表_Excel（アレルギー入力）'!$A:$A,0)+1&amp;":"&amp;CZ96&amp;MATCH(CZ8,'数出表_Excel（アレルギー入力）'!$A:$A,0)+1&amp;"")&lt;&gt;"",0)+1),
 "")),0),""),0)</f>
        <v>#VALUE!</v>
      </c>
      <c r="DC95" s="86"/>
      <c r="DD95" s="252" t="str" cm="1">
        <f t="array" aca="1" ref="DD95" ca="1">IF(DD93&lt;&gt;"",
IF(IFERROR(
INDEX(INDIRECT("数出表_Excel!"&amp;DC92&amp;MATCH(DH8,数出表_Excel!$A:$A,0)-1&amp;":U"&amp;MATCH(DH8,数出表_Excel!$A:$A,0)-1&amp;""),
 1,
 MATCH(TRUE, ISNUMBER(--INDIRECT("数出表_Excel!"&amp;DC92&amp;MATCH(DH8,数出表_Excel!$A:$A,0)-1&amp;":U"&amp;MATCH(DH8,数出表_Excel!$A:$A,0)-1&amp;"")), 0)),
 "")=0,"",
IF(DC10=100,
IFERROR(
INDEX(INDIRECT("数出表_Excel!"&amp;DC92&amp;MATCH(DH8,数出表_Excel!$A:$A,0)-1+2&amp;":U"&amp;MATCH(DH8,数出表_Excel!$A:$A,0)-1+2&amp;""),
 1,
 MATCH(TRUE, ISNUMBER(--INDIRECT("数出表_Excel!"&amp;DC92&amp;MATCH(DH8,数出表_Excel!$A:$A,0)-1+2&amp;":U"&amp;MATCH(DH8,数出表_Excel!$A:$A,0)-1+2&amp;"")), 0)),
 "")
+IFERROR(
INDEX(INDIRECT("数出表_Excel!"&amp;DC92&amp;MATCH(DH8,数出表_Excel!$A:$A,0)-1&amp;":U"&amp;MATCH(DH8,数出表_Excel!$A:$A,0)-1&amp;""),
 1,
 MATCH(TRUE, ISNUMBER(--INDIRECT("数出表_Excel!"&amp;DC92&amp;MATCH(DH8,数出表_Excel!$A:$A,0)-1&amp;":U"&amp;MATCH(DH8,数出表_Excel!$A:$A,0)-1&amp;"")), 0)),
 ""),
IFERROR(
INDEX(INDIRECT("数出表_Excel!"&amp;DC92&amp;MATCH(DH8,数出表_Excel!$A:$A,0)-1&amp;":U"&amp;MATCH(DH8,数出表_Excel!$A:$A,0)-1&amp;""),
 1,
 MATCH(TRUE, ISNUMBER(--INDIRECT("数出表_Excel!"&amp;DC92&amp;MATCH(DH8,数出表_Excel!$A:$A,0)-1&amp;":U"&amp;MATCH(DH8,数出表_Excel!$A:$A,0)-1&amp;"")), 0)),
 ""))),"")</f>
        <v/>
      </c>
      <c r="DE95" s="253"/>
      <c r="DF95" s="255" t="str" cm="1">
        <f t="array" aca="1" ref="DF95" ca="1">IF(DD51&lt;&gt;"",
IF(IFERROR(
INDEX(INDIRECT("数出表_Excel!B"&amp;MATCH(DH8,数出表_Excel!$A:$A,0)&amp;":U"&amp;MATCH(DH8,数出表_Excel!$A:$A,0)&amp;""),
 1,DC93-1),
 "")=0,"",
IFERROR(
INDEX(INDIRECT("数出表_Excel!B"&amp;MATCH(DH8,数出表_Excel!$A:$A,0)&amp;":U"&amp;MATCH(DH8,数出表_Excel!$A:$A,0)&amp;""),
 1,DC93-1),
 "")),"")</f>
        <v/>
      </c>
      <c r="DG95" s="253"/>
      <c r="DH95" s="97" t="e" cm="1">
        <f t="array" aca="1" ref="DH95" ca="1">IF(INDIRECT(""&amp;SUBSTITUTE(ADDRESS(1,
COLUMN()-5,1),"1","")&amp;ROW()-85&amp;"")=100,
IF(DD92&lt;&gt;"",
IF(IFERROR(
INDEX(INDIRECT("'数出表_Excel（アレルギー入力）'!"&amp;DC94&amp;MATCH(DH8,'数出表_Excel（アレルギー入力）'!$A:$A,0)+1&amp;":"&amp;DH96&amp;MATCH(DH8,'数出表_Excel（アレルギー入力）'!$A:$A,0)+1&amp;""),
 1,
MATCH(TRUE,INDIRECT("'数出表_Excel（アレルギー入力）'!"&amp;DC94&amp;MATCH(DH8,'数出表_Excel（アレルギー入力）'!$A:$A,0)+1&amp;":"&amp;DH96&amp;MATCH(DH8,'数出表_Excel（アレルギー入力）'!$A:$A,0)+1&amp;"")&lt;&gt;"",0)+1),
 "")&lt;&gt;0,
IF(IFERROR(
INDEX(INDIRECT("'数出表_Excel（アレルギー入力）'!"&amp;DC94&amp;MATCH(DH8,'数出表_Excel（アレルギー入力）'!$A:$A,0)+1&amp;":"&amp;DH96&amp;MATCH(DH8,'数出表_Excel（アレルギー入力）'!$A:$A,0)+1&amp;""),
 1,
MATCH(TRUE,INDIRECT("'数出表_Excel（アレルギー入力）'!"&amp;DC94&amp;MATCH(DH8,'数出表_Excel（アレルギー入力）'!$A:$A,0)+1&amp;":"&amp;DH96&amp;MATCH(DH8,'数出表_Excel（アレルギー入力）'!$A:$A,0)+1&amp;"")&lt;&gt;"",0)+1),
 "")="",
IFERROR(
INDEX(INDIRECT("'数出表_Excel（アレルギー入力）'!"&amp;DC94&amp;MATCH(DH8,'数出表_Excel（アレルギー入力）'!$A:$A,0)+1&amp;":"&amp;DH96&amp;MATCH(DH8,'数出表_Excel（アレルギー入力）'!$A:$A,0)+1&amp;""),
 1,
MATCH(TRUE,INDIRECT("'数出表_Excel（アレルギー入力）'!"&amp;DC94&amp;MATCH(DH8,'数出表_Excel（アレルギー入力）'!$A:$A,0)+1&amp;":"&amp;DH96&amp;MATCH(DH8,'数出表_Excel（アレルギー入力）'!$A:$A,0)+1&amp;"")&lt;&gt;"",0)+1),
 ""),
IFERROR(
INDEX(INDIRECT("'数出表_Excel（アレルギー入力）'!"&amp;DC94&amp;MATCH(DH8,'数出表_Excel（アレルギー入力）'!$A:$A,0)+1&amp;":"&amp;DH96&amp;MATCH(DH8,'数出表_Excel（アレルギー入力）'!$A:$A,0)+1&amp;""),
 1,
MATCH(TRUE,INDIRECT("'数出表_Excel（アレルギー入力）'!"&amp;DC94&amp;MATCH(DH8,'数出表_Excel（アレルギー入力）'!$A:$A,0)+1&amp;":"&amp;DH96&amp;MATCH(DH8,'数出表_Excel（アレルギー入力）'!$A:$A,0)+1&amp;"")&lt;&gt;"",0)+1),
 "")),0),""),0)</f>
        <v>#VALUE!</v>
      </c>
      <c r="DJ95" s="86"/>
      <c r="DK95" s="252" t="str" cm="1">
        <f t="array" aca="1" ref="DK95" ca="1">IF(DK93&lt;&gt;"",
IF(IFERROR(
INDEX(INDIRECT("数出表_Excel!"&amp;DJ92&amp;MATCH(DO8,数出表_Excel!$A:$A,0)-1&amp;":U"&amp;MATCH(DO8,数出表_Excel!$A:$A,0)-1&amp;""),
 1,
 MATCH(TRUE, ISNUMBER(--INDIRECT("数出表_Excel!"&amp;DJ92&amp;MATCH(DO8,数出表_Excel!$A:$A,0)-1&amp;":U"&amp;MATCH(DO8,数出表_Excel!$A:$A,0)-1&amp;"")), 0)),
 "")=0,"",
IF(DJ10=100,
IFERROR(
INDEX(INDIRECT("数出表_Excel!"&amp;DJ92&amp;MATCH(DO8,数出表_Excel!$A:$A,0)-1+2&amp;":U"&amp;MATCH(DO8,数出表_Excel!$A:$A,0)-1+2&amp;""),
 1,
 MATCH(TRUE, ISNUMBER(--INDIRECT("数出表_Excel!"&amp;DJ92&amp;MATCH(DO8,数出表_Excel!$A:$A,0)-1+2&amp;":U"&amp;MATCH(DO8,数出表_Excel!$A:$A,0)-1+2&amp;"")), 0)),
 "")
+IFERROR(
INDEX(INDIRECT("数出表_Excel!"&amp;DJ92&amp;MATCH(DO8,数出表_Excel!$A:$A,0)-1&amp;":U"&amp;MATCH(DO8,数出表_Excel!$A:$A,0)-1&amp;""),
 1,
 MATCH(TRUE, ISNUMBER(--INDIRECT("数出表_Excel!"&amp;DJ92&amp;MATCH(DO8,数出表_Excel!$A:$A,0)-1&amp;":U"&amp;MATCH(DO8,数出表_Excel!$A:$A,0)-1&amp;"")), 0)),
 ""),
IFERROR(
INDEX(INDIRECT("数出表_Excel!"&amp;DJ92&amp;MATCH(DO8,数出表_Excel!$A:$A,0)-1&amp;":U"&amp;MATCH(DO8,数出表_Excel!$A:$A,0)-1&amp;""),
 1,
 MATCH(TRUE, ISNUMBER(--INDIRECT("数出表_Excel!"&amp;DJ92&amp;MATCH(DO8,数出表_Excel!$A:$A,0)-1&amp;":U"&amp;MATCH(DO8,数出表_Excel!$A:$A,0)-1&amp;"")), 0)),
 ""))),"")</f>
        <v/>
      </c>
      <c r="DL95" s="253"/>
      <c r="DM95" s="255" t="str" cm="1">
        <f t="array" aca="1" ref="DM95" ca="1">IF(DK51&lt;&gt;"",
IF(IFERROR(
INDEX(INDIRECT("数出表_Excel!B"&amp;MATCH(DO8,数出表_Excel!$A:$A,0)&amp;":U"&amp;MATCH(DO8,数出表_Excel!$A:$A,0)&amp;""),
 1,DJ93-1),
 "")=0,"",
IFERROR(
INDEX(INDIRECT("数出表_Excel!B"&amp;MATCH(DO8,数出表_Excel!$A:$A,0)&amp;":U"&amp;MATCH(DO8,数出表_Excel!$A:$A,0)&amp;""),
 1,DJ93-1),
 "")),"")</f>
        <v/>
      </c>
      <c r="DN95" s="253"/>
      <c r="DO95" s="97" t="e" cm="1">
        <f t="array" aca="1" ref="DO95" ca="1">IF(INDIRECT(""&amp;SUBSTITUTE(ADDRESS(1,
COLUMN()-5,1),"1","")&amp;ROW()-85&amp;"")=100,
IF(DK92&lt;&gt;"",
IF(IFERROR(
INDEX(INDIRECT("'数出表_Excel（アレルギー入力）'!"&amp;DJ94&amp;MATCH(DO8,'数出表_Excel（アレルギー入力）'!$A:$A,0)+1&amp;":"&amp;DO96&amp;MATCH(DO8,'数出表_Excel（アレルギー入力）'!$A:$A,0)+1&amp;""),
 1,
MATCH(TRUE,INDIRECT("'数出表_Excel（アレルギー入力）'!"&amp;DJ94&amp;MATCH(DO8,'数出表_Excel（アレルギー入力）'!$A:$A,0)+1&amp;":"&amp;DO96&amp;MATCH(DO8,'数出表_Excel（アレルギー入力）'!$A:$A,0)+1&amp;"")&lt;&gt;"",0)+1),
 "")&lt;&gt;0,
IF(IFERROR(
INDEX(INDIRECT("'数出表_Excel（アレルギー入力）'!"&amp;DJ94&amp;MATCH(DO8,'数出表_Excel（アレルギー入力）'!$A:$A,0)+1&amp;":"&amp;DO96&amp;MATCH(DO8,'数出表_Excel（アレルギー入力）'!$A:$A,0)+1&amp;""),
 1,
MATCH(TRUE,INDIRECT("'数出表_Excel（アレルギー入力）'!"&amp;DJ94&amp;MATCH(DO8,'数出表_Excel（アレルギー入力）'!$A:$A,0)+1&amp;":"&amp;DO96&amp;MATCH(DO8,'数出表_Excel（アレルギー入力）'!$A:$A,0)+1&amp;"")&lt;&gt;"",0)+1),
 "")="",
IFERROR(
INDEX(INDIRECT("'数出表_Excel（アレルギー入力）'!"&amp;DJ94&amp;MATCH(DO8,'数出表_Excel（アレルギー入力）'!$A:$A,0)+1&amp;":"&amp;DO96&amp;MATCH(DO8,'数出表_Excel（アレルギー入力）'!$A:$A,0)+1&amp;""),
 1,
MATCH(TRUE,INDIRECT("'数出表_Excel（アレルギー入力）'!"&amp;DJ94&amp;MATCH(DO8,'数出表_Excel（アレルギー入力）'!$A:$A,0)+1&amp;":"&amp;DO96&amp;MATCH(DO8,'数出表_Excel（アレルギー入力）'!$A:$A,0)+1&amp;"")&lt;&gt;"",0)+1),
 ""),
IFERROR(
INDEX(INDIRECT("'数出表_Excel（アレルギー入力）'!"&amp;DJ94&amp;MATCH(DO8,'数出表_Excel（アレルギー入力）'!$A:$A,0)+1&amp;":"&amp;DO96&amp;MATCH(DO8,'数出表_Excel（アレルギー入力）'!$A:$A,0)+1&amp;""),
 1,
MATCH(TRUE,INDIRECT("'数出表_Excel（アレルギー入力）'!"&amp;DJ94&amp;MATCH(DO8,'数出表_Excel（アレルギー入力）'!$A:$A,0)+1&amp;":"&amp;DO96&amp;MATCH(DO8,'数出表_Excel（アレルギー入力）'!$A:$A,0)+1&amp;"")&lt;&gt;"",0)+1),
 "")),0),""),0)</f>
        <v>#VALUE!</v>
      </c>
      <c r="DR95" s="86"/>
      <c r="DS95" s="252" t="str" cm="1">
        <f t="array" aca="1" ref="DS95" ca="1">IF(DS93&lt;&gt;"",
IF(IFERROR(
INDEX(INDIRECT("数出表_Excel!"&amp;DR92&amp;MATCH(DW8,数出表_Excel!$A:$A,0)-1&amp;":U"&amp;MATCH(DW8,数出表_Excel!$A:$A,0)-1&amp;""),
 1,
 MATCH(TRUE, ISNUMBER(--INDIRECT("数出表_Excel!"&amp;DR92&amp;MATCH(DW8,数出表_Excel!$A:$A,0)-1&amp;":U"&amp;MATCH(DW8,数出表_Excel!$A:$A,0)-1&amp;"")), 0)),
 "")=0,"",
IF(DR10=100,
IFERROR(
INDEX(INDIRECT("数出表_Excel!"&amp;DR92&amp;MATCH(DW8,数出表_Excel!$A:$A,0)-1+2&amp;":U"&amp;MATCH(DW8,数出表_Excel!$A:$A,0)-1+2&amp;""),
 1,
 MATCH(TRUE, ISNUMBER(--INDIRECT("数出表_Excel!"&amp;DR92&amp;MATCH(DW8,数出表_Excel!$A:$A,0)-1+2&amp;":U"&amp;MATCH(DW8,数出表_Excel!$A:$A,0)-1+2&amp;"")), 0)),
 "")
+IFERROR(
INDEX(INDIRECT("数出表_Excel!"&amp;DR92&amp;MATCH(DW8,数出表_Excel!$A:$A,0)-1&amp;":U"&amp;MATCH(DW8,数出表_Excel!$A:$A,0)-1&amp;""),
 1,
 MATCH(TRUE, ISNUMBER(--INDIRECT("数出表_Excel!"&amp;DR92&amp;MATCH(DW8,数出表_Excel!$A:$A,0)-1&amp;":U"&amp;MATCH(DW8,数出表_Excel!$A:$A,0)-1&amp;"")), 0)),
 ""),
IFERROR(
INDEX(INDIRECT("数出表_Excel!"&amp;DR92&amp;MATCH(DW8,数出表_Excel!$A:$A,0)-1&amp;":U"&amp;MATCH(DW8,数出表_Excel!$A:$A,0)-1&amp;""),
 1,
 MATCH(TRUE, ISNUMBER(--INDIRECT("数出表_Excel!"&amp;DR92&amp;MATCH(DW8,数出表_Excel!$A:$A,0)-1&amp;":U"&amp;MATCH(DW8,数出表_Excel!$A:$A,0)-1&amp;"")), 0)),
 ""))),"")</f>
        <v/>
      </c>
      <c r="DT95" s="253"/>
      <c r="DU95" s="255" t="str" cm="1">
        <f t="array" aca="1" ref="DU95" ca="1">IF(DS51&lt;&gt;"",
IF(IFERROR(
INDEX(INDIRECT("数出表_Excel!B"&amp;MATCH(DW8,数出表_Excel!$A:$A,0)&amp;":U"&amp;MATCH(DW8,数出表_Excel!$A:$A,0)&amp;""),
 1,DR93-1),
 "")=0,"",
IFERROR(
INDEX(INDIRECT("数出表_Excel!B"&amp;MATCH(DW8,数出表_Excel!$A:$A,0)&amp;":U"&amp;MATCH(DW8,数出表_Excel!$A:$A,0)&amp;""),
 1,DR93-1),
 "")),"")</f>
        <v/>
      </c>
      <c r="DV95" s="253"/>
      <c r="DW95" s="97" t="e" cm="1">
        <f t="array" aca="1" ref="DW95" ca="1">IF(INDIRECT(""&amp;SUBSTITUTE(ADDRESS(1,
COLUMN()-5,1),"1","")&amp;ROW()-85&amp;"")=100,
IF(DS92&lt;&gt;"",
IF(IFERROR(
INDEX(INDIRECT("'数出表_Excel（アレルギー入力）'!"&amp;DR94&amp;MATCH(DW8,'数出表_Excel（アレルギー入力）'!$A:$A,0)+1&amp;":"&amp;DW96&amp;MATCH(DW8,'数出表_Excel（アレルギー入力）'!$A:$A,0)+1&amp;""),
 1,
MATCH(TRUE,INDIRECT("'数出表_Excel（アレルギー入力）'!"&amp;DR94&amp;MATCH(DW8,'数出表_Excel（アレルギー入力）'!$A:$A,0)+1&amp;":"&amp;DW96&amp;MATCH(DW8,'数出表_Excel（アレルギー入力）'!$A:$A,0)+1&amp;"")&lt;&gt;"",0)+1),
 "")&lt;&gt;0,
IF(IFERROR(
INDEX(INDIRECT("'数出表_Excel（アレルギー入力）'!"&amp;DR94&amp;MATCH(DW8,'数出表_Excel（アレルギー入力）'!$A:$A,0)+1&amp;":"&amp;DW96&amp;MATCH(DW8,'数出表_Excel（アレルギー入力）'!$A:$A,0)+1&amp;""),
 1,
MATCH(TRUE,INDIRECT("'数出表_Excel（アレルギー入力）'!"&amp;DR94&amp;MATCH(DW8,'数出表_Excel（アレルギー入力）'!$A:$A,0)+1&amp;":"&amp;DW96&amp;MATCH(DW8,'数出表_Excel（アレルギー入力）'!$A:$A,0)+1&amp;"")&lt;&gt;"",0)+1),
 "")="",
IFERROR(
INDEX(INDIRECT("'数出表_Excel（アレルギー入力）'!"&amp;DR94&amp;MATCH(DW8,'数出表_Excel（アレルギー入力）'!$A:$A,0)+1&amp;":"&amp;DW96&amp;MATCH(DW8,'数出表_Excel（アレルギー入力）'!$A:$A,0)+1&amp;""),
 1,
MATCH(TRUE,INDIRECT("'数出表_Excel（アレルギー入力）'!"&amp;DR94&amp;MATCH(DW8,'数出表_Excel（アレルギー入力）'!$A:$A,0)+1&amp;":"&amp;DW96&amp;MATCH(DW8,'数出表_Excel（アレルギー入力）'!$A:$A,0)+1&amp;"")&lt;&gt;"",0)+1),
 ""),
IFERROR(
INDEX(INDIRECT("'数出表_Excel（アレルギー入力）'!"&amp;DR94&amp;MATCH(DW8,'数出表_Excel（アレルギー入力）'!$A:$A,0)+1&amp;":"&amp;DW96&amp;MATCH(DW8,'数出表_Excel（アレルギー入力）'!$A:$A,0)+1&amp;""),
 1,
MATCH(TRUE,INDIRECT("'数出表_Excel（アレルギー入力）'!"&amp;DR94&amp;MATCH(DW8,'数出表_Excel（アレルギー入力）'!$A:$A,0)+1&amp;":"&amp;DW96&amp;MATCH(DW8,'数出表_Excel（アレルギー入力）'!$A:$A,0)+1&amp;"")&lt;&gt;"",0)+1),
 "")),0),""),0)</f>
        <v>#VALUE!</v>
      </c>
      <c r="DY95" s="86"/>
      <c r="DZ95" s="252" t="str" cm="1">
        <f t="array" aca="1" ref="DZ95" ca="1">IF(DZ93&lt;&gt;"",
IF(IFERROR(
INDEX(INDIRECT("数出表_Excel!"&amp;DY92&amp;MATCH(ED8,数出表_Excel!$A:$A,0)-1&amp;":U"&amp;MATCH(ED8,数出表_Excel!$A:$A,0)-1&amp;""),
 1,
 MATCH(TRUE, ISNUMBER(--INDIRECT("数出表_Excel!"&amp;DY92&amp;MATCH(ED8,数出表_Excel!$A:$A,0)-1&amp;":U"&amp;MATCH(ED8,数出表_Excel!$A:$A,0)-1&amp;"")), 0)),
 "")=0,"",
IF(DY10=100,
IFERROR(
INDEX(INDIRECT("数出表_Excel!"&amp;DY92&amp;MATCH(ED8,数出表_Excel!$A:$A,0)-1+2&amp;":U"&amp;MATCH(ED8,数出表_Excel!$A:$A,0)-1+2&amp;""),
 1,
 MATCH(TRUE, ISNUMBER(--INDIRECT("数出表_Excel!"&amp;DY92&amp;MATCH(ED8,数出表_Excel!$A:$A,0)-1+2&amp;":U"&amp;MATCH(ED8,数出表_Excel!$A:$A,0)-1+2&amp;"")), 0)),
 "")
+IFERROR(
INDEX(INDIRECT("数出表_Excel!"&amp;DY92&amp;MATCH(ED8,数出表_Excel!$A:$A,0)-1&amp;":U"&amp;MATCH(ED8,数出表_Excel!$A:$A,0)-1&amp;""),
 1,
 MATCH(TRUE, ISNUMBER(--INDIRECT("数出表_Excel!"&amp;DY92&amp;MATCH(ED8,数出表_Excel!$A:$A,0)-1&amp;":U"&amp;MATCH(ED8,数出表_Excel!$A:$A,0)-1&amp;"")), 0)),
 ""),
IFERROR(
INDEX(INDIRECT("数出表_Excel!"&amp;DY92&amp;MATCH(ED8,数出表_Excel!$A:$A,0)-1&amp;":U"&amp;MATCH(ED8,数出表_Excel!$A:$A,0)-1&amp;""),
 1,
 MATCH(TRUE, ISNUMBER(--INDIRECT("数出表_Excel!"&amp;DY92&amp;MATCH(ED8,数出表_Excel!$A:$A,0)-1&amp;":U"&amp;MATCH(ED8,数出表_Excel!$A:$A,0)-1&amp;"")), 0)),
 ""))),"")</f>
        <v/>
      </c>
      <c r="EA95" s="253"/>
      <c r="EB95" s="255" t="str" cm="1">
        <f t="array" aca="1" ref="EB95" ca="1">IF(DZ51&lt;&gt;"",
IF(IFERROR(
INDEX(INDIRECT("数出表_Excel!B"&amp;MATCH(ED8,数出表_Excel!$A:$A,0)&amp;":U"&amp;MATCH(ED8,数出表_Excel!$A:$A,0)&amp;""),
 1,DY93-1),
 "")=0,"",
IFERROR(
INDEX(INDIRECT("数出表_Excel!B"&amp;MATCH(ED8,数出表_Excel!$A:$A,0)&amp;":U"&amp;MATCH(ED8,数出表_Excel!$A:$A,0)&amp;""),
 1,DY93-1),
 "")),"")</f>
        <v/>
      </c>
      <c r="EC95" s="253"/>
      <c r="ED95" s="97" t="e" cm="1">
        <f t="array" aca="1" ref="ED95" ca="1">IF(INDIRECT(""&amp;SUBSTITUTE(ADDRESS(1,
COLUMN()-5,1),"1","")&amp;ROW()-85&amp;"")=100,
IF(DZ92&lt;&gt;"",
IF(IFERROR(
INDEX(INDIRECT("'数出表_Excel（アレルギー入力）'!"&amp;DY94&amp;MATCH(ED8,'数出表_Excel（アレルギー入力）'!$A:$A,0)+1&amp;":"&amp;ED96&amp;MATCH(ED8,'数出表_Excel（アレルギー入力）'!$A:$A,0)+1&amp;""),
 1,
MATCH(TRUE,INDIRECT("'数出表_Excel（アレルギー入力）'!"&amp;DY94&amp;MATCH(ED8,'数出表_Excel（アレルギー入力）'!$A:$A,0)+1&amp;":"&amp;ED96&amp;MATCH(ED8,'数出表_Excel（アレルギー入力）'!$A:$A,0)+1&amp;"")&lt;&gt;"",0)+1),
 "")&lt;&gt;0,
IF(IFERROR(
INDEX(INDIRECT("'数出表_Excel（アレルギー入力）'!"&amp;DY94&amp;MATCH(ED8,'数出表_Excel（アレルギー入力）'!$A:$A,0)+1&amp;":"&amp;ED96&amp;MATCH(ED8,'数出表_Excel（アレルギー入力）'!$A:$A,0)+1&amp;""),
 1,
MATCH(TRUE,INDIRECT("'数出表_Excel（アレルギー入力）'!"&amp;DY94&amp;MATCH(ED8,'数出表_Excel（アレルギー入力）'!$A:$A,0)+1&amp;":"&amp;ED96&amp;MATCH(ED8,'数出表_Excel（アレルギー入力）'!$A:$A,0)+1&amp;"")&lt;&gt;"",0)+1),
 "")="",
IFERROR(
INDEX(INDIRECT("'数出表_Excel（アレルギー入力）'!"&amp;DY94&amp;MATCH(ED8,'数出表_Excel（アレルギー入力）'!$A:$A,0)+1&amp;":"&amp;ED96&amp;MATCH(ED8,'数出表_Excel（アレルギー入力）'!$A:$A,0)+1&amp;""),
 1,
MATCH(TRUE,INDIRECT("'数出表_Excel（アレルギー入力）'!"&amp;DY94&amp;MATCH(ED8,'数出表_Excel（アレルギー入力）'!$A:$A,0)+1&amp;":"&amp;ED96&amp;MATCH(ED8,'数出表_Excel（アレルギー入力）'!$A:$A,0)+1&amp;"")&lt;&gt;"",0)+1),
 ""),
IFERROR(
INDEX(INDIRECT("'数出表_Excel（アレルギー入力）'!"&amp;DY94&amp;MATCH(ED8,'数出表_Excel（アレルギー入力）'!$A:$A,0)+1&amp;":"&amp;ED96&amp;MATCH(ED8,'数出表_Excel（アレルギー入力）'!$A:$A,0)+1&amp;""),
 1,
MATCH(TRUE,INDIRECT("'数出表_Excel（アレルギー入力）'!"&amp;DY94&amp;MATCH(ED8,'数出表_Excel（アレルギー入力）'!$A:$A,0)+1&amp;":"&amp;ED96&amp;MATCH(ED8,'数出表_Excel（アレルギー入力）'!$A:$A,0)+1&amp;"")&lt;&gt;"",0)+1),
 "")),0),""),0)</f>
        <v>#VALUE!</v>
      </c>
      <c r="EG95" s="86"/>
      <c r="EH95" s="252" t="str" cm="1">
        <f t="array" aca="1" ref="EH95" ca="1">IF(EH93&lt;&gt;"",
IF(IFERROR(
INDEX(INDIRECT("数出表_Excel!"&amp;EG92&amp;MATCH(EL8,数出表_Excel!$A:$A,0)-1&amp;":U"&amp;MATCH(EL8,数出表_Excel!$A:$A,0)-1&amp;""),
 1,
 MATCH(TRUE, ISNUMBER(--INDIRECT("数出表_Excel!"&amp;EG92&amp;MATCH(EL8,数出表_Excel!$A:$A,0)-1&amp;":U"&amp;MATCH(EL8,数出表_Excel!$A:$A,0)-1&amp;"")), 0)),
 "")=0,"",
IF(EG10=100,
IFERROR(
INDEX(INDIRECT("数出表_Excel!"&amp;EG92&amp;MATCH(EL8,数出表_Excel!$A:$A,0)-1+2&amp;":U"&amp;MATCH(EL8,数出表_Excel!$A:$A,0)-1+2&amp;""),
 1,
 MATCH(TRUE, ISNUMBER(--INDIRECT("数出表_Excel!"&amp;EG92&amp;MATCH(EL8,数出表_Excel!$A:$A,0)-1+2&amp;":U"&amp;MATCH(EL8,数出表_Excel!$A:$A,0)-1+2&amp;"")), 0)),
 "")
+IFERROR(
INDEX(INDIRECT("数出表_Excel!"&amp;EG92&amp;MATCH(EL8,数出表_Excel!$A:$A,0)-1&amp;":U"&amp;MATCH(EL8,数出表_Excel!$A:$A,0)-1&amp;""),
 1,
 MATCH(TRUE, ISNUMBER(--INDIRECT("数出表_Excel!"&amp;EG92&amp;MATCH(EL8,数出表_Excel!$A:$A,0)-1&amp;":U"&amp;MATCH(EL8,数出表_Excel!$A:$A,0)-1&amp;"")), 0)),
 ""),
IFERROR(
INDEX(INDIRECT("数出表_Excel!"&amp;EG92&amp;MATCH(EL8,数出表_Excel!$A:$A,0)-1&amp;":U"&amp;MATCH(EL8,数出表_Excel!$A:$A,0)-1&amp;""),
 1,
 MATCH(TRUE, ISNUMBER(--INDIRECT("数出表_Excel!"&amp;EG92&amp;MATCH(EL8,数出表_Excel!$A:$A,0)-1&amp;":U"&amp;MATCH(EL8,数出表_Excel!$A:$A,0)-1&amp;"")), 0)),
 ""))),"")</f>
        <v/>
      </c>
      <c r="EI95" s="253"/>
      <c r="EJ95" s="255" t="str" cm="1">
        <f t="array" aca="1" ref="EJ95" ca="1">IF(EH51&lt;&gt;"",
IF(IFERROR(
INDEX(INDIRECT("数出表_Excel!B"&amp;MATCH(EL8,数出表_Excel!$A:$A,0)&amp;":U"&amp;MATCH(EL8,数出表_Excel!$A:$A,0)&amp;""),
 1,EG93-1),
 "")=0,"",
IFERROR(
INDEX(INDIRECT("数出表_Excel!B"&amp;MATCH(EL8,数出表_Excel!$A:$A,0)&amp;":U"&amp;MATCH(EL8,数出表_Excel!$A:$A,0)&amp;""),
 1,EG93-1),
 "")),"")</f>
        <v/>
      </c>
      <c r="EK95" s="253"/>
      <c r="EL95" s="97" t="e" cm="1">
        <f t="array" aca="1" ref="EL95" ca="1">IF(INDIRECT(""&amp;SUBSTITUTE(ADDRESS(1,
COLUMN()-5,1),"1","")&amp;ROW()-85&amp;"")=100,
IF(EH92&lt;&gt;"",
IF(IFERROR(
INDEX(INDIRECT("'数出表_Excel（アレルギー入力）'!"&amp;EG94&amp;MATCH(EL8,'数出表_Excel（アレルギー入力）'!$A:$A,0)+1&amp;":"&amp;EL96&amp;MATCH(EL8,'数出表_Excel（アレルギー入力）'!$A:$A,0)+1&amp;""),
 1,
MATCH(TRUE,INDIRECT("'数出表_Excel（アレルギー入力）'!"&amp;EG94&amp;MATCH(EL8,'数出表_Excel（アレルギー入力）'!$A:$A,0)+1&amp;":"&amp;EL96&amp;MATCH(EL8,'数出表_Excel（アレルギー入力）'!$A:$A,0)+1&amp;"")&lt;&gt;"",0)+1),
 "")&lt;&gt;0,
IF(IFERROR(
INDEX(INDIRECT("'数出表_Excel（アレルギー入力）'!"&amp;EG94&amp;MATCH(EL8,'数出表_Excel（アレルギー入力）'!$A:$A,0)+1&amp;":"&amp;EL96&amp;MATCH(EL8,'数出表_Excel（アレルギー入力）'!$A:$A,0)+1&amp;""),
 1,
MATCH(TRUE,INDIRECT("'数出表_Excel（アレルギー入力）'!"&amp;EG94&amp;MATCH(EL8,'数出表_Excel（アレルギー入力）'!$A:$A,0)+1&amp;":"&amp;EL96&amp;MATCH(EL8,'数出表_Excel（アレルギー入力）'!$A:$A,0)+1&amp;"")&lt;&gt;"",0)+1),
 "")="",
IFERROR(
INDEX(INDIRECT("'数出表_Excel（アレルギー入力）'!"&amp;EG94&amp;MATCH(EL8,'数出表_Excel（アレルギー入力）'!$A:$A,0)+1&amp;":"&amp;EL96&amp;MATCH(EL8,'数出表_Excel（アレルギー入力）'!$A:$A,0)+1&amp;""),
 1,
MATCH(TRUE,INDIRECT("'数出表_Excel（アレルギー入力）'!"&amp;EG94&amp;MATCH(EL8,'数出表_Excel（アレルギー入力）'!$A:$A,0)+1&amp;":"&amp;EL96&amp;MATCH(EL8,'数出表_Excel（アレルギー入力）'!$A:$A,0)+1&amp;"")&lt;&gt;"",0)+1),
 ""),
IFERROR(
INDEX(INDIRECT("'数出表_Excel（アレルギー入力）'!"&amp;EG94&amp;MATCH(EL8,'数出表_Excel（アレルギー入力）'!$A:$A,0)+1&amp;":"&amp;EL96&amp;MATCH(EL8,'数出表_Excel（アレルギー入力）'!$A:$A,0)+1&amp;""),
 1,
MATCH(TRUE,INDIRECT("'数出表_Excel（アレルギー入力）'!"&amp;EG94&amp;MATCH(EL8,'数出表_Excel（アレルギー入力）'!$A:$A,0)+1&amp;":"&amp;EL96&amp;MATCH(EL8,'数出表_Excel（アレルギー入力）'!$A:$A,0)+1&amp;"")&lt;&gt;"",0)+1),
 "")),0),""),0)</f>
        <v>#VALUE!</v>
      </c>
      <c r="EN95" s="86"/>
      <c r="EO95" s="252" t="str" cm="1">
        <f t="array" aca="1" ref="EO95" ca="1">IF(EO93&lt;&gt;"",
IF(IFERROR(
INDEX(INDIRECT("数出表_Excel!"&amp;EN92&amp;MATCH(ES8,数出表_Excel!$A:$A,0)-1&amp;":U"&amp;MATCH(ES8,数出表_Excel!$A:$A,0)-1&amp;""),
 1,
 MATCH(TRUE, ISNUMBER(--INDIRECT("数出表_Excel!"&amp;EN92&amp;MATCH(ES8,数出表_Excel!$A:$A,0)-1&amp;":U"&amp;MATCH(ES8,数出表_Excel!$A:$A,0)-1&amp;"")), 0)),
 "")=0,"",
IF(EN10=100,
IFERROR(
INDEX(INDIRECT("数出表_Excel!"&amp;EN92&amp;MATCH(ES8,数出表_Excel!$A:$A,0)-1+2&amp;":U"&amp;MATCH(ES8,数出表_Excel!$A:$A,0)-1+2&amp;""),
 1,
 MATCH(TRUE, ISNUMBER(--INDIRECT("数出表_Excel!"&amp;EN92&amp;MATCH(ES8,数出表_Excel!$A:$A,0)-1+2&amp;":U"&amp;MATCH(ES8,数出表_Excel!$A:$A,0)-1+2&amp;"")), 0)),
 "")
+IFERROR(
INDEX(INDIRECT("数出表_Excel!"&amp;EN92&amp;MATCH(ES8,数出表_Excel!$A:$A,0)-1&amp;":U"&amp;MATCH(ES8,数出表_Excel!$A:$A,0)-1&amp;""),
 1,
 MATCH(TRUE, ISNUMBER(--INDIRECT("数出表_Excel!"&amp;EN92&amp;MATCH(ES8,数出表_Excel!$A:$A,0)-1&amp;":U"&amp;MATCH(ES8,数出表_Excel!$A:$A,0)-1&amp;"")), 0)),
 ""),
IFERROR(
INDEX(INDIRECT("数出表_Excel!"&amp;EN92&amp;MATCH(ES8,数出表_Excel!$A:$A,0)-1&amp;":U"&amp;MATCH(ES8,数出表_Excel!$A:$A,0)-1&amp;""),
 1,
 MATCH(TRUE, ISNUMBER(--INDIRECT("数出表_Excel!"&amp;EN92&amp;MATCH(ES8,数出表_Excel!$A:$A,0)-1&amp;":U"&amp;MATCH(ES8,数出表_Excel!$A:$A,0)-1&amp;"")), 0)),
 ""))),"")</f>
        <v/>
      </c>
      <c r="EP95" s="253"/>
      <c r="EQ95" s="255" t="str" cm="1">
        <f t="array" aca="1" ref="EQ95" ca="1">IF(EO51&lt;&gt;"",
IF(IFERROR(
INDEX(INDIRECT("数出表_Excel!B"&amp;MATCH(ES8,数出表_Excel!$A:$A,0)&amp;":U"&amp;MATCH(ES8,数出表_Excel!$A:$A,0)&amp;""),
 1,EN93-1),
 "")=0,"",
IFERROR(
INDEX(INDIRECT("数出表_Excel!B"&amp;MATCH(ES8,数出表_Excel!$A:$A,0)&amp;":U"&amp;MATCH(ES8,数出表_Excel!$A:$A,0)&amp;""),
 1,EN93-1),
 "")),"")</f>
        <v/>
      </c>
      <c r="ER95" s="253"/>
      <c r="ES95" s="97" t="e" cm="1">
        <f t="array" aca="1" ref="ES95" ca="1">IF(INDIRECT(""&amp;SUBSTITUTE(ADDRESS(1,
COLUMN()-5,1),"1","")&amp;ROW()-85&amp;"")=100,
IF(EO92&lt;&gt;"",
IF(IFERROR(
INDEX(INDIRECT("'数出表_Excel（アレルギー入力）'!"&amp;EN94&amp;MATCH(ES8,'数出表_Excel（アレルギー入力）'!$A:$A,0)+1&amp;":"&amp;ES96&amp;MATCH(ES8,'数出表_Excel（アレルギー入力）'!$A:$A,0)+1&amp;""),
 1,
MATCH(TRUE,INDIRECT("'数出表_Excel（アレルギー入力）'!"&amp;EN94&amp;MATCH(ES8,'数出表_Excel（アレルギー入力）'!$A:$A,0)+1&amp;":"&amp;ES96&amp;MATCH(ES8,'数出表_Excel（アレルギー入力）'!$A:$A,0)+1&amp;"")&lt;&gt;"",0)+1),
 "")&lt;&gt;0,
IF(IFERROR(
INDEX(INDIRECT("'数出表_Excel（アレルギー入力）'!"&amp;EN94&amp;MATCH(ES8,'数出表_Excel（アレルギー入力）'!$A:$A,0)+1&amp;":"&amp;ES96&amp;MATCH(ES8,'数出表_Excel（アレルギー入力）'!$A:$A,0)+1&amp;""),
 1,
MATCH(TRUE,INDIRECT("'数出表_Excel（アレルギー入力）'!"&amp;EN94&amp;MATCH(ES8,'数出表_Excel（アレルギー入力）'!$A:$A,0)+1&amp;":"&amp;ES96&amp;MATCH(ES8,'数出表_Excel（アレルギー入力）'!$A:$A,0)+1&amp;"")&lt;&gt;"",0)+1),
 "")="",
IFERROR(
INDEX(INDIRECT("'数出表_Excel（アレルギー入力）'!"&amp;EN94&amp;MATCH(ES8,'数出表_Excel（アレルギー入力）'!$A:$A,0)+1&amp;":"&amp;ES96&amp;MATCH(ES8,'数出表_Excel（アレルギー入力）'!$A:$A,0)+1&amp;""),
 1,
MATCH(TRUE,INDIRECT("'数出表_Excel（アレルギー入力）'!"&amp;EN94&amp;MATCH(ES8,'数出表_Excel（アレルギー入力）'!$A:$A,0)+1&amp;":"&amp;ES96&amp;MATCH(ES8,'数出表_Excel（アレルギー入力）'!$A:$A,0)+1&amp;"")&lt;&gt;"",0)+1),
 ""),
IFERROR(
INDEX(INDIRECT("'数出表_Excel（アレルギー入力）'!"&amp;EN94&amp;MATCH(ES8,'数出表_Excel（アレルギー入力）'!$A:$A,0)+1&amp;":"&amp;ES96&amp;MATCH(ES8,'数出表_Excel（アレルギー入力）'!$A:$A,0)+1&amp;""),
 1,
MATCH(TRUE,INDIRECT("'数出表_Excel（アレルギー入力）'!"&amp;EN94&amp;MATCH(ES8,'数出表_Excel（アレルギー入力）'!$A:$A,0)+1&amp;":"&amp;ES96&amp;MATCH(ES8,'数出表_Excel（アレルギー入力）'!$A:$A,0)+1&amp;"")&lt;&gt;"",0)+1),
 "")),0),""),0)</f>
        <v>#VALUE!</v>
      </c>
      <c r="EU95" s="78">
        <f t="shared" si="8"/>
        <v>63</v>
      </c>
      <c r="EV95" s="78" t="str">
        <f t="array" aca="1" ref="EV95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LEN(SUBSTITUTE(_xlfn.FORMULATEXT(EV$76),"=","")))+$EU95)</f>
        <v/>
      </c>
      <c r="EW95" s="78" t="str">
        <f t="array" aca="1" ref="EW95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LEN(SUBSTITUTE(_xlfn.FORMULATEXT(EW$76),"=","")))+$EU95)</f>
        <v/>
      </c>
      <c r="EX95" s="78" t="str">
        <f t="array" aca="1" ref="EX95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LEN(SUBSTITUTE(_xlfn.FORMULATEXT(EX$76),"=","")))+$EU95)</f>
        <v/>
      </c>
      <c r="EY95" s="78" t="str">
        <f t="array" aca="1" ref="EY95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LEN(SUBSTITUTE(_xlfn.FORMULATEXT(EY$76),"=","")))+$EU95)</f>
        <v/>
      </c>
      <c r="EZ95" s="78" t="str">
        <f t="array" aca="1" ref="EZ95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LEN(SUBSTITUTE(_xlfn.FORMULATEXT(EZ$76),"=","")))+$EU95)</f>
        <v/>
      </c>
      <c r="FA95" s="78" t="str">
        <f t="array" aca="1" ref="FA95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LEN(SUBSTITUTE(_xlfn.FORMULATEXT(FA$76),"=","")))+$EU95)</f>
        <v/>
      </c>
      <c r="FB95" s="78" t="str">
        <f t="array" aca="1" ref="FB95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LEN(SUBSTITUTE(_xlfn.FORMULATEXT(FB$76),"=","")))+$EU95)</f>
        <v/>
      </c>
      <c r="FC95" s="78" t="str">
        <f t="array" aca="1" ref="FC95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LEN(SUBSTITUTE(_xlfn.FORMULATEXT(FC$76),"=","")))+$EU95)</f>
        <v/>
      </c>
      <c r="FD95" s="78" t="str">
        <f t="array" aca="1" ref="FD95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LEN(SUBSTITUTE(_xlfn.FORMULATEXT(FD$76),"=","")))+$EU95)</f>
        <v/>
      </c>
      <c r="FE95" s="78" t="str">
        <f t="array" aca="1" ref="FE95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LEN(SUBSTITUTE(_xlfn.FORMULATEXT(FE$76),"=","")))+$EU95)</f>
        <v/>
      </c>
      <c r="FF95" s="78" t="str">
        <f t="array" aca="1" ref="FF95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LEN(SUBSTITUTE(_xlfn.FORMULATEXT(FF$76),"=","")))+$EU95)</f>
        <v/>
      </c>
      <c r="FG95" s="78">
        <f t="shared" ca="1" si="7"/>
        <v>0</v>
      </c>
      <c r="FH95" s="78" t="b">
        <f t="array" aca="1" ref="FH95" ca="1">SUMPRODUCT((LEN(EV95:FF95)&gt;0)*1)&gt;0</f>
        <v>0</v>
      </c>
      <c r="FI95" s="78" t="str">
        <f t="array" aca="1" ref="FI95" ca="1">IFERROR(SMALL(IF(FG$1:FG$228&lt;&gt;0,FG$1:FG$228),ROW(A95)),"")</f>
        <v/>
      </c>
      <c r="FJ95" s="78" t="str">
        <f t="array" aca="1" ref="FJ95" ca="1">IF($FI95&lt;&gt;"",
INDIRECT(""&amp;IF(COLUMN(EV142)&lt;=26,CHAR(COLUMN(EV142)+64),CHAR(INT((COLUMN(EV142)-1)/26)+64)&amp;CHAR(MOD(COLUMN(EV142)-1,26)+65))&amp;$FI95&amp;""),"")</f>
        <v/>
      </c>
      <c r="FK95" s="78" t="str">
        <f t="array" aca="1" ref="FK95" ca="1">IF($FI95&lt;&gt;"",
INDIRECT(""&amp;IF(COLUMN(EW142)&lt;=26,CHAR(COLUMN(EW142)+64),CHAR(INT((COLUMN(EW142)-1)/26)+64)&amp;CHAR(MOD(COLUMN(EW142)-1,26)+65))&amp;$FI95&amp;""),"")</f>
        <v/>
      </c>
      <c r="FL95" s="78" t="str">
        <f t="array" aca="1" ref="FL95" ca="1">IF($FI95&lt;&gt;"",
INDIRECT(""&amp;IF(COLUMN(EX142)&lt;=26,CHAR(COLUMN(EX142)+64),CHAR(INT((COLUMN(EX142)-1)/26)+64)&amp;CHAR(MOD(COLUMN(EX142)-1,26)+65))&amp;$FI95&amp;""),"")</f>
        <v/>
      </c>
      <c r="FM95" s="78" t="str">
        <f t="array" aca="1" ref="FM95" ca="1">IF($FI95&lt;&gt;"",
IF(FL95="",
IF(INDIRECT("EY"&amp;$FI95&amp;"")&lt;&gt;"",
INDIRECT("EY"&amp;$FI95&amp;"")&amp;"箱"
&amp;INDIRECT("EZ"&amp;$FI95&amp;""),""),""),"")</f>
        <v/>
      </c>
      <c r="FN95" s="78" t="str">
        <f t="array" aca="1" ref="FN95" ca="1">IF($FI95&lt;&gt;"",
INDIRECT(""&amp;IF(COLUMN(FA142)&lt;=26,CHAR(COLUMN(FA142)+64),CHAR(INT((COLUMN(FA142)-1)/26)+64)&amp;CHAR(MOD(COLUMN(FA142)-1,26)+65))&amp;$FI95&amp;""),"")</f>
        <v/>
      </c>
      <c r="FO95" s="78" t="str">
        <f t="array" aca="1" ref="FO95" ca="1">IF($FI95&lt;&gt;"",
INDIRECT(""&amp;IF(COLUMN(FB142)&lt;=26,CHAR(COLUMN(FB142)+64),CHAR(INT((COLUMN(FB142)-1)/26)+64)&amp;CHAR(MOD(COLUMN(FB142)-1,26)+65))&amp;$FI95&amp;""),"")</f>
        <v/>
      </c>
      <c r="FP95" s="78" t="str">
        <f t="array" aca="1" ref="FP95" ca="1">IF($FI95&lt;&gt;"",
INDIRECT(""&amp;IF(COLUMN(FC142)&lt;=26,CHAR(COLUMN(FC142)+64),CHAR(INT((COLUMN(FC142)-1)/26)+64)&amp;CHAR(MOD(COLUMN(FC142)-1,26)+65))&amp;$FI95&amp;""),"")</f>
        <v/>
      </c>
      <c r="FQ95" s="78" t="str">
        <f t="array" aca="1" ref="FQ95" ca="1">IF($FI95&lt;&gt;"",
INDIRECT(""&amp;IF(COLUMN(FD142)&lt;=26,CHAR(COLUMN(FD142)+64),CHAR(INT((COLUMN(FD142)-1)/26)+64)&amp;CHAR(MOD(COLUMN(FD142)-1,26)+65))&amp;$FI95&amp;""),"")</f>
        <v/>
      </c>
      <c r="FR95" s="78" t="str">
        <f t="array" aca="1" ref="FR95" ca="1">IF($FI95&lt;&gt;"",
INDIRECT(""&amp;IF(COLUMN(FE142)&lt;=26,CHAR(COLUMN(FE142)+64),CHAR(INT((COLUMN(FE142)-1)/26)+64)&amp;CHAR(MOD(COLUMN(FE142)-1,26)+65))&amp;$FI95&amp;""),"")</f>
        <v/>
      </c>
      <c r="FS95" s="78" t="str">
        <f t="array" aca="1" ref="FS95" ca="1">IF($FI95&lt;&gt;"",
INDIRECT(""&amp;IF(COLUMN(FF142)&lt;=26,CHAR(COLUMN(FF142)+64),CHAR(INT((COLUMN(FF142)-1)/26)+64)&amp;CHAR(MOD(COLUMN(FF142)-1,26)+65))&amp;$FI95&amp;""),"")</f>
        <v/>
      </c>
    </row>
    <row r="96" spans="1:175" ht="22.2" customHeight="1" x14ac:dyDescent="0.45">
      <c r="B96" s="88"/>
      <c r="C96" s="254"/>
      <c r="D96" s="254"/>
      <c r="E96" s="254"/>
      <c r="F96" s="254"/>
      <c r="G96" s="98" t="str">
        <f ca="1">SUBSTITUTE(SUBSTITUTE(ADDRESS(1,MATCH("おやつ",'数出表_Excel（アレルギー入力）'!$3:$3,0)),1,""),"$","")</f>
        <v>AL</v>
      </c>
      <c r="I96" s="88"/>
      <c r="J96" s="254"/>
      <c r="K96" s="254"/>
      <c r="L96" s="254"/>
      <c r="M96" s="254"/>
      <c r="N96" s="98" t="str">
        <f ca="1">SUBSTITUTE(SUBSTITUTE(ADDRESS(1,MATCH("おやつ",'数出表_Excel（アレルギー入力）'!$3:$3,0)),1,""),"$","")</f>
        <v>AL</v>
      </c>
      <c r="Q96" s="88"/>
      <c r="R96" s="254"/>
      <c r="S96" s="254"/>
      <c r="T96" s="254"/>
      <c r="U96" s="254"/>
      <c r="V96" s="98" t="str">
        <f ca="1">SUBSTITUTE(SUBSTITUTE(ADDRESS(1,MATCH("おやつ",'数出表_Excel（アレルギー入力）'!$3:$3,0)),1,""),"$","")</f>
        <v>AL</v>
      </c>
      <c r="X96" s="88"/>
      <c r="Y96" s="254"/>
      <c r="Z96" s="254"/>
      <c r="AA96" s="254"/>
      <c r="AB96" s="254"/>
      <c r="AC96" s="98" t="str">
        <f ca="1">SUBSTITUTE(SUBSTITUTE(ADDRESS(1,MATCH("おやつ",'数出表_Excel（アレルギー入力）'!$3:$3,0)),1,""),"$","")</f>
        <v>AL</v>
      </c>
      <c r="AF96" s="88"/>
      <c r="AG96" s="254"/>
      <c r="AH96" s="254"/>
      <c r="AI96" s="254"/>
      <c r="AJ96" s="254"/>
      <c r="AK96" s="98" t="str">
        <f ca="1">SUBSTITUTE(SUBSTITUTE(ADDRESS(1,MATCH("おやつ",'数出表_Excel（アレルギー入力）'!$3:$3,0)),1,""),"$","")</f>
        <v>AL</v>
      </c>
      <c r="AM96" s="88"/>
      <c r="AN96" s="254"/>
      <c r="AO96" s="254"/>
      <c r="AP96" s="254"/>
      <c r="AQ96" s="254"/>
      <c r="AR96" s="98" t="str">
        <f ca="1">SUBSTITUTE(SUBSTITUTE(ADDRESS(1,MATCH("おやつ",'数出表_Excel（アレルギー入力）'!$3:$3,0)),1,""),"$","")</f>
        <v>AL</v>
      </c>
      <c r="AU96" s="88"/>
      <c r="AV96" s="254"/>
      <c r="AW96" s="254"/>
      <c r="AX96" s="254"/>
      <c r="AY96" s="254"/>
      <c r="AZ96" s="98" t="str">
        <f ca="1">SUBSTITUTE(SUBSTITUTE(ADDRESS(1,MATCH("おやつ",'数出表_Excel（アレルギー入力）'!$3:$3,0)),1,""),"$","")</f>
        <v>AL</v>
      </c>
      <c r="BB96" s="88"/>
      <c r="BC96" s="254"/>
      <c r="BD96" s="254"/>
      <c r="BE96" s="254"/>
      <c r="BF96" s="254"/>
      <c r="BG96" s="98" t="str">
        <f ca="1">SUBSTITUTE(SUBSTITUTE(ADDRESS(1,MATCH("おやつ",'数出表_Excel（アレルギー入力）'!$3:$3,0)),1,""),"$","")</f>
        <v>AL</v>
      </c>
      <c r="BJ96" s="88"/>
      <c r="BK96" s="254"/>
      <c r="BL96" s="254"/>
      <c r="BM96" s="254"/>
      <c r="BN96" s="254"/>
      <c r="BO96" s="98" t="str">
        <f ca="1">SUBSTITUTE(SUBSTITUTE(ADDRESS(1,MATCH("おやつ",'数出表_Excel（アレルギー入力）'!$3:$3,0)),1,""),"$","")</f>
        <v>AL</v>
      </c>
      <c r="BQ96" s="88"/>
      <c r="BR96" s="254"/>
      <c r="BS96" s="254"/>
      <c r="BT96" s="254"/>
      <c r="BU96" s="254"/>
      <c r="BV96" s="98" t="str">
        <f ca="1">SUBSTITUTE(SUBSTITUTE(ADDRESS(1,MATCH("おやつ",'数出表_Excel（アレルギー入力）'!$3:$3,0)),1,""),"$","")</f>
        <v>AL</v>
      </c>
      <c r="BY96" s="88"/>
      <c r="BZ96" s="254"/>
      <c r="CA96" s="254"/>
      <c r="CB96" s="254"/>
      <c r="CC96" s="254"/>
      <c r="CD96" s="98" t="str">
        <f ca="1">SUBSTITUTE(SUBSTITUTE(ADDRESS(1,MATCH("おやつ",'数出表_Excel（アレルギー入力）'!$3:$3,0)),1,""),"$","")</f>
        <v>AL</v>
      </c>
      <c r="CF96" s="88"/>
      <c r="CG96" s="254"/>
      <c r="CH96" s="254"/>
      <c r="CI96" s="254"/>
      <c r="CJ96" s="254"/>
      <c r="CK96" s="98" t="str">
        <f ca="1">SUBSTITUTE(SUBSTITUTE(ADDRESS(1,MATCH("おやつ",'数出表_Excel（アレルギー入力）'!$3:$3,0)),1,""),"$","")</f>
        <v>AL</v>
      </c>
      <c r="CN96" s="88"/>
      <c r="CO96" s="254"/>
      <c r="CP96" s="254"/>
      <c r="CQ96" s="254"/>
      <c r="CR96" s="254"/>
      <c r="CS96" s="98" t="str">
        <f ca="1">SUBSTITUTE(SUBSTITUTE(ADDRESS(1,MATCH("おやつ",'数出表_Excel（アレルギー入力）'!$3:$3,0)),1,""),"$","")</f>
        <v>AL</v>
      </c>
      <c r="CU96" s="88"/>
      <c r="CV96" s="254"/>
      <c r="CW96" s="254"/>
      <c r="CX96" s="254"/>
      <c r="CY96" s="254"/>
      <c r="CZ96" s="98" t="str">
        <f ca="1">SUBSTITUTE(SUBSTITUTE(ADDRESS(1,MATCH("おやつ",'数出表_Excel（アレルギー入力）'!$3:$3,0)),1,""),"$","")</f>
        <v>AL</v>
      </c>
      <c r="DC96" s="88"/>
      <c r="DD96" s="254"/>
      <c r="DE96" s="254"/>
      <c r="DF96" s="254"/>
      <c r="DG96" s="254"/>
      <c r="DH96" s="98" t="str">
        <f ca="1">SUBSTITUTE(SUBSTITUTE(ADDRESS(1,MATCH("おやつ",'数出表_Excel（アレルギー入力）'!$3:$3,0)),1,""),"$","")</f>
        <v>AL</v>
      </c>
      <c r="DJ96" s="88"/>
      <c r="DK96" s="254"/>
      <c r="DL96" s="254"/>
      <c r="DM96" s="254"/>
      <c r="DN96" s="254"/>
      <c r="DO96" s="98" t="str">
        <f ca="1">SUBSTITUTE(SUBSTITUTE(ADDRESS(1,MATCH("おやつ",'数出表_Excel（アレルギー入力）'!$3:$3,0)),1,""),"$","")</f>
        <v>AL</v>
      </c>
      <c r="DR96" s="88"/>
      <c r="DS96" s="254"/>
      <c r="DT96" s="254"/>
      <c r="DU96" s="254"/>
      <c r="DV96" s="254"/>
      <c r="DW96" s="98" t="str">
        <f ca="1">SUBSTITUTE(SUBSTITUTE(ADDRESS(1,MATCH("おやつ",'数出表_Excel（アレルギー入力）'!$3:$3,0)),1,""),"$","")</f>
        <v>AL</v>
      </c>
      <c r="DY96" s="88"/>
      <c r="DZ96" s="254"/>
      <c r="EA96" s="254"/>
      <c r="EB96" s="254"/>
      <c r="EC96" s="254"/>
      <c r="ED96" s="98" t="str">
        <f ca="1">SUBSTITUTE(SUBSTITUTE(ADDRESS(1,MATCH("おやつ",'数出表_Excel（アレルギー入力）'!$3:$3,0)),1,""),"$","")</f>
        <v>AL</v>
      </c>
      <c r="EG96" s="88"/>
      <c r="EH96" s="254"/>
      <c r="EI96" s="254"/>
      <c r="EJ96" s="254"/>
      <c r="EK96" s="254"/>
      <c r="EL96" s="98" t="str">
        <f ca="1">SUBSTITUTE(SUBSTITUTE(ADDRESS(1,MATCH("おやつ",'数出表_Excel（アレルギー入力）'!$3:$3,0)),1,""),"$","")</f>
        <v>AL</v>
      </c>
      <c r="EN96" s="88"/>
      <c r="EO96" s="254"/>
      <c r="EP96" s="254"/>
      <c r="EQ96" s="254"/>
      <c r="ER96" s="254"/>
      <c r="ES96" s="98" t="str">
        <f ca="1">SUBSTITUTE(SUBSTITUTE(ADDRESS(1,MATCH("おやつ",'数出表_Excel（アレルギー入力）'!$3:$3,0)),1,""),"$","")</f>
        <v>AL</v>
      </c>
      <c r="EU96" s="78">
        <f t="shared" si="8"/>
        <v>105</v>
      </c>
      <c r="EV96" s="78" t="str">
        <f t="array" aca="1" ref="EV96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LEN(SUBSTITUTE(_xlfn.FORMULATEXT(EV$76),"=","")))+$EU96)</f>
        <v/>
      </c>
      <c r="EW96" s="78" t="str">
        <f t="array" aca="1" ref="EW96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LEN(SUBSTITUTE(_xlfn.FORMULATEXT(EW$76),"=","")))+$EU96)</f>
        <v/>
      </c>
      <c r="EX96" s="78" t="str">
        <f t="array" aca="1" ref="EX96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LEN(SUBSTITUTE(_xlfn.FORMULATEXT(EX$76),"=","")))+$EU96)</f>
        <v/>
      </c>
      <c r="EY96" s="78" t="str">
        <f t="array" aca="1" ref="EY96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LEN(SUBSTITUTE(_xlfn.FORMULATEXT(EY$76),"=","")))+$EU96)</f>
        <v/>
      </c>
      <c r="EZ96" s="78" t="str">
        <f t="array" aca="1" ref="EZ96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LEN(SUBSTITUTE(_xlfn.FORMULATEXT(EZ$76),"=","")))+$EU96)</f>
        <v/>
      </c>
      <c r="FA96" s="78" t="str">
        <f t="array" aca="1" ref="FA96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LEN(SUBSTITUTE(_xlfn.FORMULATEXT(FA$76),"=","")))+$EU96)</f>
        <v/>
      </c>
      <c r="FB96" s="78" t="str">
        <f t="array" aca="1" ref="FB96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LEN(SUBSTITUTE(_xlfn.FORMULATEXT(FB$76),"=","")))+$EU96)</f>
        <v/>
      </c>
      <c r="FC96" s="78" t="str">
        <f t="array" aca="1" ref="FC96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LEN(SUBSTITUTE(_xlfn.FORMULATEXT(FC$76),"=","")))+$EU96)</f>
        <v/>
      </c>
      <c r="FD96" s="78" t="str">
        <f t="array" aca="1" ref="FD96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LEN(SUBSTITUTE(_xlfn.FORMULATEXT(FD$76),"=","")))+$EU96)</f>
        <v/>
      </c>
      <c r="FE96" s="78" t="str">
        <f t="array" aca="1" ref="FE96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LEN(SUBSTITUTE(_xlfn.FORMULATEXT(FE$76),"=","")))+$EU96)</f>
        <v/>
      </c>
      <c r="FF96" s="78" t="str">
        <f t="array" aca="1" ref="FF96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LEN(SUBSTITUTE(_xlfn.FORMULATEXT(FF$76),"=","")))+$EU96)</f>
        <v/>
      </c>
      <c r="FG96" s="78">
        <f t="shared" ca="1" si="7"/>
        <v>0</v>
      </c>
      <c r="FH96" s="78" t="b">
        <f t="array" aca="1" ref="FH96" ca="1">SUMPRODUCT((LEN(EV96:FF96)&gt;0)*1)&gt;0</f>
        <v>0</v>
      </c>
      <c r="FI96" s="78" t="str">
        <f t="array" aca="1" ref="FI96" ca="1">IFERROR(SMALL(IF(FG$1:FG$228&lt;&gt;0,FG$1:FG$228),ROW(A96)),"")</f>
        <v/>
      </c>
      <c r="FJ96" s="78" t="str">
        <f t="array" aca="1" ref="FJ96" ca="1">IF($FI96&lt;&gt;"",
INDIRECT(""&amp;IF(COLUMN(EV143)&lt;=26,CHAR(COLUMN(EV143)+64),CHAR(INT((COLUMN(EV143)-1)/26)+64)&amp;CHAR(MOD(COLUMN(EV143)-1,26)+65))&amp;$FI96&amp;""),"")</f>
        <v/>
      </c>
      <c r="FK96" s="78" t="str">
        <f t="array" aca="1" ref="FK96" ca="1">IF($FI96&lt;&gt;"",
INDIRECT(""&amp;IF(COLUMN(EW143)&lt;=26,CHAR(COLUMN(EW143)+64),CHAR(INT((COLUMN(EW143)-1)/26)+64)&amp;CHAR(MOD(COLUMN(EW143)-1,26)+65))&amp;$FI96&amp;""),"")</f>
        <v/>
      </c>
      <c r="FL96" s="78" t="str">
        <f t="array" aca="1" ref="FL96" ca="1">IF($FI96&lt;&gt;"",
INDIRECT(""&amp;IF(COLUMN(EX143)&lt;=26,CHAR(COLUMN(EX143)+64),CHAR(INT((COLUMN(EX143)-1)/26)+64)&amp;CHAR(MOD(COLUMN(EX143)-1,26)+65))&amp;$FI96&amp;""),"")</f>
        <v/>
      </c>
      <c r="FM96" s="78" t="str">
        <f t="array" aca="1" ref="FM96" ca="1">IF($FI96&lt;&gt;"",
IF(FL96="",
IF(INDIRECT("EY"&amp;$FI96&amp;"")&lt;&gt;"",
INDIRECT("EY"&amp;$FI96&amp;"")&amp;"箱"
&amp;INDIRECT("EZ"&amp;$FI96&amp;""),""),""),"")</f>
        <v/>
      </c>
      <c r="FN96" s="78" t="str">
        <f t="array" aca="1" ref="FN96" ca="1">IF($FI96&lt;&gt;"",
INDIRECT(""&amp;IF(COLUMN(FA143)&lt;=26,CHAR(COLUMN(FA143)+64),CHAR(INT((COLUMN(FA143)-1)/26)+64)&amp;CHAR(MOD(COLUMN(FA143)-1,26)+65))&amp;$FI96&amp;""),"")</f>
        <v/>
      </c>
      <c r="FO96" s="78" t="str">
        <f t="array" aca="1" ref="FO96" ca="1">IF($FI96&lt;&gt;"",
INDIRECT(""&amp;IF(COLUMN(FB143)&lt;=26,CHAR(COLUMN(FB143)+64),CHAR(INT((COLUMN(FB143)-1)/26)+64)&amp;CHAR(MOD(COLUMN(FB143)-1,26)+65))&amp;$FI96&amp;""),"")</f>
        <v/>
      </c>
      <c r="FP96" s="78" t="str">
        <f t="array" aca="1" ref="FP96" ca="1">IF($FI96&lt;&gt;"",
INDIRECT(""&amp;IF(COLUMN(FC143)&lt;=26,CHAR(COLUMN(FC143)+64),CHAR(INT((COLUMN(FC143)-1)/26)+64)&amp;CHAR(MOD(COLUMN(FC143)-1,26)+65))&amp;$FI96&amp;""),"")</f>
        <v/>
      </c>
      <c r="FQ96" s="78" t="str">
        <f t="array" aca="1" ref="FQ96" ca="1">IF($FI96&lt;&gt;"",
INDIRECT(""&amp;IF(COLUMN(FD143)&lt;=26,CHAR(COLUMN(FD143)+64),CHAR(INT((COLUMN(FD143)-1)/26)+64)&amp;CHAR(MOD(COLUMN(FD143)-1,26)+65))&amp;$FI96&amp;""),"")</f>
        <v/>
      </c>
      <c r="FR96" s="78" t="str">
        <f t="array" aca="1" ref="FR96" ca="1">IF($FI96&lt;&gt;"",
INDIRECT(""&amp;IF(COLUMN(FE143)&lt;=26,CHAR(COLUMN(FE143)+64),CHAR(INT((COLUMN(FE143)-1)/26)+64)&amp;CHAR(MOD(COLUMN(FE143)-1,26)+65))&amp;$FI96&amp;""),"")</f>
        <v/>
      </c>
      <c r="FS96" s="78" t="str">
        <f t="array" aca="1" ref="FS96" ca="1">IF($FI96&lt;&gt;"",
INDIRECT(""&amp;IF(COLUMN(FF143)&lt;=26,CHAR(COLUMN(FF143)+64),CHAR(INT((COLUMN(FF143)-1)/26)+64)&amp;CHAR(MOD(COLUMN(FF143)-1,26)+65))&amp;$FI96&amp;""),"")</f>
        <v/>
      </c>
    </row>
    <row r="97" spans="2:175" ht="22.2" customHeight="1" x14ac:dyDescent="0.55000000000000004">
      <c r="B97" s="89" t="str">
        <f ca="1">IF(C95&lt;&gt;"","パン箱","")</f>
        <v/>
      </c>
      <c r="C97" s="90" t="str">
        <f ca="1">IF(C95&lt;&gt;"",IF(OR(COUNTIF('盛付札（関数）'!C93,"*キャラ*"),COUNTIF('盛付札（関数）'!C93,"*赤*")),24,
VLOOKUP('盛付札（関数）'!C93,商品マスタ一覧!$D:$I,6,FALSE)),"")</f>
        <v/>
      </c>
      <c r="D97" s="89" t="str">
        <f ca="1">IF(C95&lt;&gt;"","　端数","")</f>
        <v/>
      </c>
      <c r="E97" s="90"/>
      <c r="F97" s="89" t="str">
        <f ca="1">IF(C95&lt;&gt;"","アレルギー","")</f>
        <v/>
      </c>
      <c r="G97" s="93"/>
      <c r="H97" s="76"/>
      <c r="I97" s="89" t="str">
        <f ca="1">IF(J95&lt;&gt;"","パン箱","")</f>
        <v/>
      </c>
      <c r="J97" s="90" t="str">
        <f ca="1">IF(J95&lt;&gt;"",IF(OR(COUNTIF('盛付札（関数）'!J93,"*キャラ*"),COUNTIF('盛付札（関数）'!J93,"*赤*")),24,
VLOOKUP('盛付札（関数）'!J93,商品マスタ一覧!$D:$I,6,FALSE)),"")</f>
        <v/>
      </c>
      <c r="K97" s="89" t="str">
        <f ca="1">IF(J95&lt;&gt;"","　端数","")</f>
        <v/>
      </c>
      <c r="L97" s="90"/>
      <c r="M97" s="89" t="str">
        <f ca="1">IF(J95&lt;&gt;"","アレルギー","")</f>
        <v/>
      </c>
      <c r="N97" s="93"/>
      <c r="Q97" s="89" t="str">
        <f ca="1">IF(R95&lt;&gt;"","パン箱","")</f>
        <v/>
      </c>
      <c r="R97" s="90" t="str">
        <f ca="1">IF(R95&lt;&gt;"",IF(OR(COUNTIF('盛付札（関数）'!R93,"*キャラ*"),COUNTIF('盛付札（関数）'!R93,"*赤*")),24,
VLOOKUP('盛付札（関数）'!R93,商品マスタ一覧!$D:$I,6,FALSE)),"")</f>
        <v/>
      </c>
      <c r="S97" s="89" t="str">
        <f ca="1">IF(R95&lt;&gt;"","　端数","")</f>
        <v/>
      </c>
      <c r="T97" s="90"/>
      <c r="U97" s="89" t="str">
        <f ca="1">IF(R95&lt;&gt;"","アレルギー","")</f>
        <v/>
      </c>
      <c r="V97" s="93"/>
      <c r="W97" s="76"/>
      <c r="X97" s="89" t="str">
        <f ca="1">IF(Y95&lt;&gt;"","パン箱","")</f>
        <v/>
      </c>
      <c r="Y97" s="90" t="str">
        <f ca="1">IF(Y95&lt;&gt;"",IF(OR(COUNTIF('盛付札（関数）'!Y93,"*キャラ*"),COUNTIF('盛付札（関数）'!Y93,"*赤*")),24,
VLOOKUP('盛付札（関数）'!Y93,商品マスタ一覧!$D:$I,6,FALSE)),"")</f>
        <v/>
      </c>
      <c r="Z97" s="89" t="str">
        <f ca="1">IF(Y95&lt;&gt;"","　端数","")</f>
        <v/>
      </c>
      <c r="AA97" s="90"/>
      <c r="AB97" s="89" t="str">
        <f ca="1">IF(Y95&lt;&gt;"","アレルギー","")</f>
        <v/>
      </c>
      <c r="AC97" s="93"/>
      <c r="AF97" s="89" t="str">
        <f ca="1">IF(AG95&lt;&gt;"","パン箱","")</f>
        <v/>
      </c>
      <c r="AG97" s="90" t="str">
        <f ca="1">IF(AG95&lt;&gt;"",IF(OR(COUNTIF('盛付札（関数）'!AG93,"*キャラ*"),COUNTIF('盛付札（関数）'!AG93,"*赤*")),24,
VLOOKUP('盛付札（関数）'!AG93,商品マスタ一覧!$D:$I,6,FALSE)),"")</f>
        <v/>
      </c>
      <c r="AH97" s="89" t="str">
        <f ca="1">IF(AG95&lt;&gt;"","　端数","")</f>
        <v/>
      </c>
      <c r="AI97" s="90"/>
      <c r="AJ97" s="89" t="str">
        <f ca="1">IF(AG95&lt;&gt;"","アレルギー","")</f>
        <v/>
      </c>
      <c r="AK97" s="93"/>
      <c r="AL97" s="76"/>
      <c r="AM97" s="89" t="str">
        <f ca="1">IF(AN95&lt;&gt;"","パン箱","")</f>
        <v/>
      </c>
      <c r="AN97" s="90" t="str">
        <f ca="1">IF(AN95&lt;&gt;"",IF(OR(COUNTIF('盛付札（関数）'!AN93,"*キャラ*"),COUNTIF('盛付札（関数）'!AN93,"*赤*")),24,
VLOOKUP('盛付札（関数）'!AN93,商品マスタ一覧!$D:$I,6,FALSE)),"")</f>
        <v/>
      </c>
      <c r="AO97" s="89" t="str">
        <f ca="1">IF(AN95&lt;&gt;"","　端数","")</f>
        <v/>
      </c>
      <c r="AP97" s="90"/>
      <c r="AQ97" s="89" t="str">
        <f ca="1">IF(AN95&lt;&gt;"","アレルギー","")</f>
        <v/>
      </c>
      <c r="AR97" s="93"/>
      <c r="AU97" s="89" t="str">
        <f ca="1">IF(AV95&lt;&gt;"","パン箱","")</f>
        <v/>
      </c>
      <c r="AV97" s="90" t="str">
        <f ca="1">IF(AV95&lt;&gt;"",IF(OR(COUNTIF('盛付札（関数）'!AV93,"*キャラ*"),COUNTIF('盛付札（関数）'!AV93,"*赤*")),24,
VLOOKUP('盛付札（関数）'!AV93,商品マスタ一覧!$D:$I,6,FALSE)),"")</f>
        <v/>
      </c>
      <c r="AW97" s="89" t="str">
        <f ca="1">IF(AV95&lt;&gt;"","　端数","")</f>
        <v/>
      </c>
      <c r="AX97" s="90"/>
      <c r="AY97" s="89" t="str">
        <f ca="1">IF(AV95&lt;&gt;"","アレルギー","")</f>
        <v/>
      </c>
      <c r="AZ97" s="93"/>
      <c r="BA97" s="76"/>
      <c r="BB97" s="89" t="str">
        <f ca="1">IF(BC95&lt;&gt;"","パン箱","")</f>
        <v/>
      </c>
      <c r="BC97" s="90" t="str">
        <f ca="1">IF(BC95&lt;&gt;"",IF(OR(COUNTIF('盛付札（関数）'!BC93,"*キャラ*"),COUNTIF('盛付札（関数）'!BC93,"*赤*")),24,
VLOOKUP('盛付札（関数）'!BC93,商品マスタ一覧!$D:$I,6,FALSE)),"")</f>
        <v/>
      </c>
      <c r="BD97" s="89" t="str">
        <f ca="1">IF(BC95&lt;&gt;"","　端数","")</f>
        <v/>
      </c>
      <c r="BE97" s="90"/>
      <c r="BF97" s="89" t="str">
        <f ca="1">IF(BC95&lt;&gt;"","アレルギー","")</f>
        <v/>
      </c>
      <c r="BG97" s="93"/>
      <c r="BJ97" s="89" t="str">
        <f ca="1">IF(BK95&lt;&gt;"","パン箱","")</f>
        <v/>
      </c>
      <c r="BK97" s="90" t="str">
        <f ca="1">IF(BK95&lt;&gt;"",IF(OR(COUNTIF('盛付札（関数）'!BK93,"*キャラ*"),COUNTIF('盛付札（関数）'!BK93,"*赤*")),24,
VLOOKUP('盛付札（関数）'!BK93,商品マスタ一覧!$D:$I,6,FALSE)),"")</f>
        <v/>
      </c>
      <c r="BL97" s="89" t="str">
        <f ca="1">IF(BK95&lt;&gt;"","　端数","")</f>
        <v/>
      </c>
      <c r="BM97" s="90"/>
      <c r="BN97" s="89" t="str">
        <f ca="1">IF(BK95&lt;&gt;"","アレルギー","")</f>
        <v/>
      </c>
      <c r="BO97" s="93"/>
      <c r="BP97" s="76"/>
      <c r="BQ97" s="89" t="str">
        <f ca="1">IF(BR95&lt;&gt;"","パン箱","")</f>
        <v/>
      </c>
      <c r="BR97" s="90" t="str">
        <f ca="1">IF(BR95&lt;&gt;"",IF(OR(COUNTIF('盛付札（関数）'!BR93,"*キャラ*"),COUNTIF('盛付札（関数）'!BR93,"*赤*")),24,
VLOOKUP('盛付札（関数）'!BR93,商品マスタ一覧!$D:$I,6,FALSE)),"")</f>
        <v/>
      </c>
      <c r="BS97" s="89" t="str">
        <f ca="1">IF(BR95&lt;&gt;"","　端数","")</f>
        <v/>
      </c>
      <c r="BT97" s="90"/>
      <c r="BU97" s="89" t="str">
        <f ca="1">IF(BR95&lt;&gt;"","アレルギー","")</f>
        <v/>
      </c>
      <c r="BV97" s="93"/>
      <c r="BY97" s="89" t="str">
        <f ca="1">IF(BZ95&lt;&gt;"","パン箱","")</f>
        <v/>
      </c>
      <c r="BZ97" s="90" t="str">
        <f ca="1">IF(BZ95&lt;&gt;"",IF(OR(COUNTIF('盛付札（関数）'!BZ93,"*キャラ*"),COUNTIF('盛付札（関数）'!BZ93,"*赤*")),24,
VLOOKUP('盛付札（関数）'!BZ93,商品マスタ一覧!$D:$I,6,FALSE)),"")</f>
        <v/>
      </c>
      <c r="CA97" s="89" t="str">
        <f ca="1">IF(BZ95&lt;&gt;"","　端数","")</f>
        <v/>
      </c>
      <c r="CB97" s="90"/>
      <c r="CC97" s="89" t="str">
        <f ca="1">IF(BZ95&lt;&gt;"","アレルギー","")</f>
        <v/>
      </c>
      <c r="CD97" s="93"/>
      <c r="CE97" s="76"/>
      <c r="CF97" s="89" t="str">
        <f ca="1">IF(CG95&lt;&gt;"","パン箱","")</f>
        <v/>
      </c>
      <c r="CG97" s="90" t="str">
        <f ca="1">IF(CG95&lt;&gt;"",IF(OR(COUNTIF('盛付札（関数）'!CG93,"*キャラ*"),COUNTIF('盛付札（関数）'!CG93,"*赤*")),24,
VLOOKUP('盛付札（関数）'!CG93,商品マスタ一覧!$D:$I,6,FALSE)),"")</f>
        <v/>
      </c>
      <c r="CH97" s="89" t="str">
        <f ca="1">IF(CG95&lt;&gt;"","　端数","")</f>
        <v/>
      </c>
      <c r="CI97" s="90"/>
      <c r="CJ97" s="89" t="str">
        <f ca="1">IF(CG95&lt;&gt;"","アレルギー","")</f>
        <v/>
      </c>
      <c r="CK97" s="93"/>
      <c r="CN97" s="89" t="str">
        <f ca="1">IF(CO95&lt;&gt;"","パン箱","")</f>
        <v/>
      </c>
      <c r="CO97" s="90" t="str">
        <f ca="1">IF(CO95&lt;&gt;"",IF(OR(COUNTIF('盛付札（関数）'!CO93,"*キャラ*"),COUNTIF('盛付札（関数）'!CO93,"*赤*")),24,
VLOOKUP('盛付札（関数）'!CO93,商品マスタ一覧!$D:$I,6,FALSE)),"")</f>
        <v/>
      </c>
      <c r="CP97" s="89" t="str">
        <f ca="1">IF(CO95&lt;&gt;"","　端数","")</f>
        <v/>
      </c>
      <c r="CQ97" s="90"/>
      <c r="CR97" s="89" t="str">
        <f ca="1">IF(CO95&lt;&gt;"","アレルギー","")</f>
        <v/>
      </c>
      <c r="CS97" s="93"/>
      <c r="CT97" s="76"/>
      <c r="CU97" s="89" t="str">
        <f ca="1">IF(CV95&lt;&gt;"","パン箱","")</f>
        <v/>
      </c>
      <c r="CV97" s="90" t="str">
        <f ca="1">IF(CV95&lt;&gt;"",IF(OR(COUNTIF('盛付札（関数）'!CV93,"*キャラ*"),COUNTIF('盛付札（関数）'!CV93,"*赤*")),24,
VLOOKUP('盛付札（関数）'!CV93,商品マスタ一覧!$D:$I,6,FALSE)),"")</f>
        <v/>
      </c>
      <c r="CW97" s="89" t="str">
        <f ca="1">IF(CV95&lt;&gt;"","　端数","")</f>
        <v/>
      </c>
      <c r="CX97" s="90"/>
      <c r="CY97" s="89" t="str">
        <f ca="1">IF(CV95&lt;&gt;"","アレルギー","")</f>
        <v/>
      </c>
      <c r="CZ97" s="93"/>
      <c r="DC97" s="89" t="str">
        <f ca="1">IF(DD95&lt;&gt;"","パン箱","")</f>
        <v/>
      </c>
      <c r="DD97" s="90" t="str">
        <f ca="1">IF(DD95&lt;&gt;"",IF(OR(COUNTIF('盛付札（関数）'!DD93,"*キャラ*"),COUNTIF('盛付札（関数）'!DD93,"*赤*")),24,
VLOOKUP('盛付札（関数）'!DD93,商品マスタ一覧!$D:$I,6,FALSE)),"")</f>
        <v/>
      </c>
      <c r="DE97" s="89" t="str">
        <f ca="1">IF(DD95&lt;&gt;"","　端数","")</f>
        <v/>
      </c>
      <c r="DF97" s="90"/>
      <c r="DG97" s="89" t="str">
        <f ca="1">IF(DD95&lt;&gt;"","アレルギー","")</f>
        <v/>
      </c>
      <c r="DH97" s="93"/>
      <c r="DI97" s="76"/>
      <c r="DJ97" s="89" t="str">
        <f ca="1">IF(DK95&lt;&gt;"","パン箱","")</f>
        <v/>
      </c>
      <c r="DK97" s="90" t="str">
        <f ca="1">IF(DK95&lt;&gt;"",IF(OR(COUNTIF('盛付札（関数）'!DK93,"*キャラ*"),COUNTIF('盛付札（関数）'!DK93,"*赤*")),24,
VLOOKUP('盛付札（関数）'!DK93,商品マスタ一覧!$D:$I,6,FALSE)),"")</f>
        <v/>
      </c>
      <c r="DL97" s="89" t="str">
        <f ca="1">IF(DK95&lt;&gt;"","　端数","")</f>
        <v/>
      </c>
      <c r="DM97" s="90"/>
      <c r="DN97" s="89" t="str">
        <f ca="1">IF(DK95&lt;&gt;"","アレルギー","")</f>
        <v/>
      </c>
      <c r="DO97" s="93"/>
      <c r="DR97" s="89" t="str">
        <f ca="1">IF(DS95&lt;&gt;"","パン箱","")</f>
        <v/>
      </c>
      <c r="DS97" s="90" t="str">
        <f ca="1">IF(DS95&lt;&gt;"",IF(OR(COUNTIF('盛付札（関数）'!DS93,"*キャラ*"),COUNTIF('盛付札（関数）'!DS93,"*赤*")),24,
VLOOKUP('盛付札（関数）'!DS93,商品マスタ一覧!$D:$I,6,FALSE)),"")</f>
        <v/>
      </c>
      <c r="DT97" s="89" t="str">
        <f ca="1">IF(DS95&lt;&gt;"","　端数","")</f>
        <v/>
      </c>
      <c r="DU97" s="90"/>
      <c r="DV97" s="89" t="str">
        <f ca="1">IF(DS95&lt;&gt;"","アレルギー","")</f>
        <v/>
      </c>
      <c r="DW97" s="93"/>
      <c r="DX97" s="76"/>
      <c r="DY97" s="89" t="str">
        <f ca="1">IF(DZ95&lt;&gt;"","パン箱","")</f>
        <v/>
      </c>
      <c r="DZ97" s="90" t="str">
        <f ca="1">IF(DZ95&lt;&gt;"",IF(OR(COUNTIF('盛付札（関数）'!DZ93,"*キャラ*"),COUNTIF('盛付札（関数）'!DZ93,"*赤*")),24,
VLOOKUP('盛付札（関数）'!DZ93,商品マスタ一覧!$D:$I,6,FALSE)),"")</f>
        <v/>
      </c>
      <c r="EA97" s="89" t="str">
        <f ca="1">IF(DZ95&lt;&gt;"","　端数","")</f>
        <v/>
      </c>
      <c r="EB97" s="90"/>
      <c r="EC97" s="89" t="str">
        <f ca="1">IF(DZ95&lt;&gt;"","アレルギー","")</f>
        <v/>
      </c>
      <c r="ED97" s="93"/>
      <c r="EG97" s="89" t="str">
        <f ca="1">IF(EH95&lt;&gt;"","パン箱","")</f>
        <v/>
      </c>
      <c r="EH97" s="90" t="str">
        <f ca="1">IF(EH95&lt;&gt;"",IF(OR(COUNTIF('盛付札（関数）'!EH93,"*キャラ*"),COUNTIF('盛付札（関数）'!EH93,"*赤*")),24,
VLOOKUP('盛付札（関数）'!EH93,商品マスタ一覧!$D:$I,6,FALSE)),"")</f>
        <v/>
      </c>
      <c r="EI97" s="89" t="str">
        <f ca="1">IF(EH95&lt;&gt;"","　端数","")</f>
        <v/>
      </c>
      <c r="EJ97" s="90"/>
      <c r="EK97" s="89" t="str">
        <f ca="1">IF(EH95&lt;&gt;"","アレルギー","")</f>
        <v/>
      </c>
      <c r="EL97" s="93"/>
      <c r="EM97" s="76"/>
      <c r="EN97" s="89" t="str">
        <f ca="1">IF(EO95&lt;&gt;"","パン箱","")</f>
        <v/>
      </c>
      <c r="EO97" s="90" t="str">
        <f ca="1">IF(EO95&lt;&gt;"",IF(OR(COUNTIF('盛付札（関数）'!EO93,"*キャラ*"),COUNTIF('盛付札（関数）'!EO93,"*赤*")),24,
VLOOKUP('盛付札（関数）'!EO93,商品マスタ一覧!$D:$I,6,FALSE)),"")</f>
        <v/>
      </c>
      <c r="EP97" s="89" t="str">
        <f ca="1">IF(EO95&lt;&gt;"","　端数","")</f>
        <v/>
      </c>
      <c r="EQ97" s="90"/>
      <c r="ER97" s="89" t="str">
        <f ca="1">IF(EO95&lt;&gt;"","アレルギー","")</f>
        <v/>
      </c>
      <c r="ES97" s="93"/>
      <c r="EU97" s="78">
        <f t="shared" si="8"/>
        <v>28</v>
      </c>
      <c r="EV97" s="78" t="str">
        <f t="array" aca="1" ref="EV9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LEN(SUBSTITUTE(_xlfn.FORMULATEXT(EV$73),"=","")))+$EU97)</f>
        <v/>
      </c>
      <c r="EW97" s="78" t="str">
        <f t="array" aca="1" ref="EW9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LEN(SUBSTITUTE(_xlfn.FORMULATEXT(EW$73),"=","")))+$EU97)</f>
        <v/>
      </c>
      <c r="EX97" s="78" t="str">
        <f t="array" aca="1" ref="EX9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LEN(SUBSTITUTE(_xlfn.FORMULATEXT(EX$73),"=","")))+$EU97)</f>
        <v/>
      </c>
      <c r="EY97" s="78" t="str">
        <f t="array" aca="1" ref="EY9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LEN(SUBSTITUTE(_xlfn.FORMULATEXT(EY$73),"=","")))+$EU97)</f>
        <v/>
      </c>
      <c r="EZ97" s="78" t="str">
        <f t="array" aca="1" ref="EZ9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LEN(SUBSTITUTE(_xlfn.FORMULATEXT(EZ$73),"=","")))+$EU97)</f>
        <v/>
      </c>
      <c r="FA97" s="78" t="e">
        <f t="array" aca="1" ref="FA9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LEN(SUBSTITUTE(_xlfn.FORMULATEXT(FA$73),"=","")))+$EU97)</f>
        <v>#VALUE!</v>
      </c>
      <c r="FB97" s="78" t="e">
        <f t="array" aca="1" ref="FB9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LEN(SUBSTITUTE(_xlfn.FORMULATEXT(FB$73),"=","")))+$EU97)</f>
        <v>#VALUE!</v>
      </c>
      <c r="FC97" s="78" t="str">
        <f t="array" aca="1" ref="FC9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LEN(SUBSTITUTE(_xlfn.FORMULATEXT(FC$73),"=","")))+$EU97)</f>
        <v/>
      </c>
      <c r="FD97" s="78" t="e">
        <f t="array" aca="1" ref="FD9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LEN(SUBSTITUTE(_xlfn.FORMULATEXT(FD$73),"=","")))+$EU97)</f>
        <v>#VALUE!</v>
      </c>
      <c r="FE97" s="78" t="str">
        <f t="array" aca="1" ref="FE9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LEN(SUBSTITUTE(_xlfn.FORMULATEXT(FE$73),"=","")))+$EU97)</f>
        <v/>
      </c>
      <c r="FF97" s="78" t="e">
        <f t="array" aca="1" ref="FF9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LEN(SUBSTITUTE(_xlfn.FORMULATEXT(FF$73),"=","")))+$EU97)</f>
        <v>#VALUE!</v>
      </c>
      <c r="FG97" s="78">
        <f t="shared" ca="1" si="7"/>
        <v>0</v>
      </c>
      <c r="FH97" s="78" t="e">
        <f t="array" aca="1" ref="FH97" ca="1">SUMPRODUCT((LEN(EV97:FF97)&gt;0)*1)&gt;0</f>
        <v>#VALUE!</v>
      </c>
      <c r="FI97" s="78" t="str">
        <f t="array" aca="1" ref="FI97" ca="1">IFERROR(SMALL(IF(FG$1:FG$228&lt;&gt;0,FG$1:FG$228),ROW(A97)),"")</f>
        <v/>
      </c>
      <c r="FJ97" s="78" t="str">
        <f t="array" aca="1" ref="FJ97" ca="1">IF($FI97&lt;&gt;"",
INDIRECT(""&amp;IF(COLUMN(EV145)&lt;=26,CHAR(COLUMN(EV145)+64),CHAR(INT((COLUMN(EV145)-1)/26)+64)&amp;CHAR(MOD(COLUMN(EV145)-1,26)+65))&amp;$FI97&amp;""),"")</f>
        <v/>
      </c>
      <c r="FK97" s="78" t="str">
        <f t="array" aca="1" ref="FK97" ca="1">IF($FI97&lt;&gt;"",
INDIRECT(""&amp;IF(COLUMN(EW145)&lt;=26,CHAR(COLUMN(EW145)+64),CHAR(INT((COLUMN(EW145)-1)/26)+64)&amp;CHAR(MOD(COLUMN(EW145)-1,26)+65))&amp;$FI97&amp;""),"")</f>
        <v/>
      </c>
      <c r="FL97" s="78" t="str">
        <f t="array" aca="1" ref="FL97" ca="1">IF($FI97&lt;&gt;"",
INDIRECT(""&amp;IF(COLUMN(EX145)&lt;=26,CHAR(COLUMN(EX145)+64),CHAR(INT((COLUMN(EX145)-1)/26)+64)&amp;CHAR(MOD(COLUMN(EX145)-1,26)+65))&amp;$FI97&amp;""),"")</f>
        <v/>
      </c>
      <c r="FM97" s="78" t="str">
        <f t="array" aca="1" ref="FM97" ca="1">IF($FI97&lt;&gt;"",
IF(FL97="",
IF(INDIRECT("EY"&amp;$FI97&amp;"")&lt;&gt;"",
INDIRECT("EY"&amp;$FI97&amp;"")&amp;"箱"
&amp;INDIRECT("EZ"&amp;$FI97&amp;""),""),""),"")</f>
        <v/>
      </c>
      <c r="FN97" s="78" t="str">
        <f t="array" aca="1" ref="FN97" ca="1">IF($FI97&lt;&gt;"",
INDIRECT(""&amp;IF(COLUMN(FA145)&lt;=26,CHAR(COLUMN(FA145)+64),CHAR(INT((COLUMN(FA145)-1)/26)+64)&amp;CHAR(MOD(COLUMN(FA145)-1,26)+65))&amp;$FI97&amp;""),"")</f>
        <v/>
      </c>
      <c r="FO97" s="78" t="str">
        <f t="array" aca="1" ref="FO97" ca="1">IF($FI97&lt;&gt;"",
INDIRECT(""&amp;IF(COLUMN(FB145)&lt;=26,CHAR(COLUMN(FB145)+64),CHAR(INT((COLUMN(FB145)-1)/26)+64)&amp;CHAR(MOD(COLUMN(FB145)-1,26)+65))&amp;$FI97&amp;""),"")</f>
        <v/>
      </c>
      <c r="FP97" s="78" t="str">
        <f t="array" aca="1" ref="FP97" ca="1">IF($FI97&lt;&gt;"",
INDIRECT(""&amp;IF(COLUMN(FC145)&lt;=26,CHAR(COLUMN(FC145)+64),CHAR(INT((COLUMN(FC145)-1)/26)+64)&amp;CHAR(MOD(COLUMN(FC145)-1,26)+65))&amp;$FI97&amp;""),"")</f>
        <v/>
      </c>
      <c r="FQ97" s="78" t="str">
        <f t="array" aca="1" ref="FQ97" ca="1">IF($FI97&lt;&gt;"",
INDIRECT(""&amp;IF(COLUMN(FD145)&lt;=26,CHAR(COLUMN(FD145)+64),CHAR(INT((COLUMN(FD145)-1)/26)+64)&amp;CHAR(MOD(COLUMN(FD145)-1,26)+65))&amp;$FI97&amp;""),"")</f>
        <v/>
      </c>
      <c r="FR97" s="78" t="str">
        <f t="array" aca="1" ref="FR97" ca="1">IF($FI97&lt;&gt;"",
INDIRECT(""&amp;IF(COLUMN(FE145)&lt;=26,CHAR(COLUMN(FE145)+64),CHAR(INT((COLUMN(FE145)-1)/26)+64)&amp;CHAR(MOD(COLUMN(FE145)-1,26)+65))&amp;$FI97&amp;""),"")</f>
        <v/>
      </c>
      <c r="FS97" s="78" t="str">
        <f t="array" aca="1" ref="FS97" ca="1">IF($FI97&lt;&gt;"",
INDIRECT(""&amp;IF(COLUMN(FF145)&lt;=26,CHAR(COLUMN(FF145)+64),CHAR(INT((COLUMN(FF145)-1)/26)+64)&amp;CHAR(MOD(COLUMN(FF145)-1,26)+65))&amp;$FI97&amp;""),"")</f>
        <v/>
      </c>
    </row>
    <row r="98" spans="2:175" ht="22.2" customHeight="1" x14ac:dyDescent="0.45">
      <c r="B98" s="244" t="str">
        <f ca="1">IF(C95&lt;&gt;"",
IFERROR(INT(C95/C97),""),"")</f>
        <v/>
      </c>
      <c r="C98" s="245"/>
      <c r="D98" s="244" t="str">
        <f ca="1">IFERROR(MOD(C95,C97),"")</f>
        <v/>
      </c>
      <c r="E98" s="245"/>
      <c r="F98" s="246" t="str">
        <f ca="1">IF(C92&lt;&gt;"",G94+G95,"")</f>
        <v/>
      </c>
      <c r="G98" s="245"/>
      <c r="I98" s="244" t="str">
        <f ca="1">IF(J95&lt;&gt;"",
IFERROR(INT(J95/J97),""),"")</f>
        <v/>
      </c>
      <c r="J98" s="245"/>
      <c r="K98" s="244" t="str">
        <f ca="1">IFERROR(MOD(J95,J97),"")</f>
        <v/>
      </c>
      <c r="L98" s="245"/>
      <c r="M98" s="246" t="str">
        <f ca="1">IF(J92&lt;&gt;"",N94+N95,"")</f>
        <v/>
      </c>
      <c r="N98" s="245"/>
      <c r="Q98" s="244" t="str">
        <f ca="1">IF(R95&lt;&gt;"",
IFERROR(INT(R95/R97),""),"")</f>
        <v/>
      </c>
      <c r="R98" s="245"/>
      <c r="S98" s="244" t="str">
        <f ca="1">IFERROR(MOD(R95,R97),"")</f>
        <v/>
      </c>
      <c r="T98" s="245"/>
      <c r="U98" s="246" t="str">
        <f ca="1">IF(R92&lt;&gt;"",V94+V95,"")</f>
        <v/>
      </c>
      <c r="V98" s="245"/>
      <c r="X98" s="244" t="str">
        <f ca="1">IF(Y95&lt;&gt;"",
IFERROR(INT(Y95/Y97),""),"")</f>
        <v/>
      </c>
      <c r="Y98" s="245"/>
      <c r="Z98" s="244" t="str">
        <f ca="1">IFERROR(MOD(Y95,Y97),"")</f>
        <v/>
      </c>
      <c r="AA98" s="245"/>
      <c r="AB98" s="246" t="str">
        <f ca="1">IF(Y92&lt;&gt;"",AC94+AC95,"")</f>
        <v/>
      </c>
      <c r="AC98" s="245"/>
      <c r="AF98" s="244" t="str">
        <f ca="1">IF(AG95&lt;&gt;"",
IFERROR(INT(AG95/AG97),""),"")</f>
        <v/>
      </c>
      <c r="AG98" s="245"/>
      <c r="AH98" s="244" t="str">
        <f ca="1">IFERROR(MOD(AG95,AG97),"")</f>
        <v/>
      </c>
      <c r="AI98" s="245"/>
      <c r="AJ98" s="246" t="str">
        <f ca="1">IF(AG92&lt;&gt;"",AK94+AK95,"")</f>
        <v/>
      </c>
      <c r="AK98" s="245"/>
      <c r="AM98" s="244" t="str">
        <f ca="1">IF(AN95&lt;&gt;"",
IFERROR(INT(AN95/AN97),""),"")</f>
        <v/>
      </c>
      <c r="AN98" s="245"/>
      <c r="AO98" s="244" t="str">
        <f ca="1">IFERROR(MOD(AN95,AN97),"")</f>
        <v/>
      </c>
      <c r="AP98" s="245"/>
      <c r="AQ98" s="246" t="str">
        <f ca="1">IF(AN92&lt;&gt;"",AR94+AR95,"")</f>
        <v/>
      </c>
      <c r="AR98" s="245"/>
      <c r="AU98" s="244" t="str">
        <f ca="1">IF(AV95&lt;&gt;"",
IFERROR(INT(AV95/AV97),""),"")</f>
        <v/>
      </c>
      <c r="AV98" s="245"/>
      <c r="AW98" s="244" t="str">
        <f ca="1">IFERROR(MOD(AV95,AV97),"")</f>
        <v/>
      </c>
      <c r="AX98" s="245"/>
      <c r="AY98" s="246" t="str">
        <f ca="1">IF(AV92&lt;&gt;"",AZ94+AZ95,"")</f>
        <v/>
      </c>
      <c r="AZ98" s="245"/>
      <c r="BB98" s="244" t="str">
        <f ca="1">IF(BC95&lt;&gt;"",
IFERROR(INT(BC95/BC97),""),"")</f>
        <v/>
      </c>
      <c r="BC98" s="245"/>
      <c r="BD98" s="244" t="str">
        <f ca="1">IFERROR(MOD(BC95,BC97),"")</f>
        <v/>
      </c>
      <c r="BE98" s="245"/>
      <c r="BF98" s="246" t="str">
        <f ca="1">IF(BC92&lt;&gt;"",BG94+BG95,"")</f>
        <v/>
      </c>
      <c r="BG98" s="245"/>
      <c r="BJ98" s="244" t="str">
        <f ca="1">IF(BK95&lt;&gt;"",
IFERROR(INT(BK95/BK97),""),"")</f>
        <v/>
      </c>
      <c r="BK98" s="245"/>
      <c r="BL98" s="244" t="str">
        <f ca="1">IFERROR(MOD(BK95,BK97),"")</f>
        <v/>
      </c>
      <c r="BM98" s="245"/>
      <c r="BN98" s="246" t="str">
        <f ca="1">IF(BK92&lt;&gt;"",BO94+BO95,"")</f>
        <v/>
      </c>
      <c r="BO98" s="245"/>
      <c r="BQ98" s="244" t="str">
        <f ca="1">IF(BR95&lt;&gt;"",
IFERROR(INT(BR95/BR97),""),"")</f>
        <v/>
      </c>
      <c r="BR98" s="245"/>
      <c r="BS98" s="244" t="str">
        <f ca="1">IFERROR(MOD(BR95,BR97),"")</f>
        <v/>
      </c>
      <c r="BT98" s="245"/>
      <c r="BU98" s="246" t="str">
        <f ca="1">IF(BR92&lt;&gt;"",BV94+BV95,"")</f>
        <v/>
      </c>
      <c r="BV98" s="245"/>
      <c r="BY98" s="244" t="str">
        <f ca="1">IF(BZ95&lt;&gt;"",
IFERROR(INT(BZ95/BZ97),""),"")</f>
        <v/>
      </c>
      <c r="BZ98" s="245"/>
      <c r="CA98" s="244" t="str">
        <f ca="1">IFERROR(MOD(BZ95,BZ97),"")</f>
        <v/>
      </c>
      <c r="CB98" s="245"/>
      <c r="CC98" s="246" t="str">
        <f ca="1">IF(BZ92&lt;&gt;"",CD94+CD95,"")</f>
        <v/>
      </c>
      <c r="CD98" s="245"/>
      <c r="CF98" s="244" t="str">
        <f ca="1">IF(CG95&lt;&gt;"",
IFERROR(INT(CG95/CG97),""),"")</f>
        <v/>
      </c>
      <c r="CG98" s="245"/>
      <c r="CH98" s="244" t="str">
        <f ca="1">IFERROR(MOD(CG95,CG97),"")</f>
        <v/>
      </c>
      <c r="CI98" s="245"/>
      <c r="CJ98" s="246" t="str">
        <f ca="1">IF(CG92&lt;&gt;"",CK94+CK95,"")</f>
        <v/>
      </c>
      <c r="CK98" s="245"/>
      <c r="CN98" s="244" t="str">
        <f ca="1">IF(CO95&lt;&gt;"",
IFERROR(INT(CO95/CO97),""),"")</f>
        <v/>
      </c>
      <c r="CO98" s="245"/>
      <c r="CP98" s="244" t="str">
        <f ca="1">IFERROR(MOD(CO95,CO97),"")</f>
        <v/>
      </c>
      <c r="CQ98" s="245"/>
      <c r="CR98" s="246" t="str">
        <f ca="1">IF(CO92&lt;&gt;"",CS94+CS95,"")</f>
        <v/>
      </c>
      <c r="CS98" s="245"/>
      <c r="CU98" s="244" t="str">
        <f ca="1">IF(CV95&lt;&gt;"",
IFERROR(INT(CV95/CV97),""),"")</f>
        <v/>
      </c>
      <c r="CV98" s="245"/>
      <c r="CW98" s="244" t="str">
        <f ca="1">IFERROR(MOD(CV95,CV97),"")</f>
        <v/>
      </c>
      <c r="CX98" s="245"/>
      <c r="CY98" s="246" t="str">
        <f ca="1">IF(CV92&lt;&gt;"",CZ94+CZ95,"")</f>
        <v/>
      </c>
      <c r="CZ98" s="245"/>
      <c r="DC98" s="244" t="str">
        <f ca="1">IF(DD95&lt;&gt;"",
IFERROR(INT(DD95/DD97),""),"")</f>
        <v/>
      </c>
      <c r="DD98" s="245"/>
      <c r="DE98" s="244" t="str">
        <f ca="1">IFERROR(MOD(DD95,DD97),"")</f>
        <v/>
      </c>
      <c r="DF98" s="245"/>
      <c r="DG98" s="246" t="str">
        <f ca="1">IF(DD92&lt;&gt;"",DH94+DH95,"")</f>
        <v/>
      </c>
      <c r="DH98" s="245"/>
      <c r="DJ98" s="244" t="str">
        <f ca="1">IF(DK95&lt;&gt;"",
IFERROR(INT(DK95/DK97),""),"")</f>
        <v/>
      </c>
      <c r="DK98" s="245"/>
      <c r="DL98" s="244" t="str">
        <f ca="1">IFERROR(MOD(DK95,DK97),"")</f>
        <v/>
      </c>
      <c r="DM98" s="245"/>
      <c r="DN98" s="246" t="str">
        <f ca="1">IF(DK92&lt;&gt;"",DO94+DO95,"")</f>
        <v/>
      </c>
      <c r="DO98" s="245"/>
      <c r="DR98" s="244" t="str">
        <f ca="1">IF(DS95&lt;&gt;"",
IFERROR(INT(DS95/DS97),""),"")</f>
        <v/>
      </c>
      <c r="DS98" s="245"/>
      <c r="DT98" s="244" t="str">
        <f ca="1">IFERROR(MOD(DS95,DS97),"")</f>
        <v/>
      </c>
      <c r="DU98" s="245"/>
      <c r="DV98" s="246" t="str">
        <f ca="1">IF(DS92&lt;&gt;"",DW94+DW95,"")</f>
        <v/>
      </c>
      <c r="DW98" s="245"/>
      <c r="DY98" s="244" t="str">
        <f ca="1">IF(DZ95&lt;&gt;"",
IFERROR(INT(DZ95/DZ97),""),"")</f>
        <v/>
      </c>
      <c r="DZ98" s="245"/>
      <c r="EA98" s="244" t="str">
        <f ca="1">IFERROR(MOD(DZ95,DZ97),"")</f>
        <v/>
      </c>
      <c r="EB98" s="245"/>
      <c r="EC98" s="246" t="str">
        <f ca="1">IF(DZ92&lt;&gt;"",ED94+ED95,"")</f>
        <v/>
      </c>
      <c r="ED98" s="245"/>
      <c r="EG98" s="244" t="str">
        <f ca="1">IF(EH95&lt;&gt;"",
IFERROR(INT(EH95/EH97),""),"")</f>
        <v/>
      </c>
      <c r="EH98" s="245"/>
      <c r="EI98" s="244" t="str">
        <f ca="1">IFERROR(MOD(EH95,EH97),"")</f>
        <v/>
      </c>
      <c r="EJ98" s="245"/>
      <c r="EK98" s="246" t="str">
        <f ca="1">IF(EH92&lt;&gt;"",EL94+EL95,"")</f>
        <v/>
      </c>
      <c r="EL98" s="245"/>
      <c r="EN98" s="244" t="str">
        <f ca="1">IF(EO95&lt;&gt;"",
IFERROR(INT(EO95/EO97),""),"")</f>
        <v/>
      </c>
      <c r="EO98" s="245"/>
      <c r="EP98" s="244" t="str">
        <f ca="1">IFERROR(MOD(EO95,EO97),"")</f>
        <v/>
      </c>
      <c r="EQ98" s="245"/>
      <c r="ER98" s="246" t="str">
        <f ca="1">IF(EO92&lt;&gt;"",ES94+ES95,"")</f>
        <v/>
      </c>
      <c r="ES98" s="245"/>
      <c r="EU98" s="78">
        <f t="shared" si="8"/>
        <v>70</v>
      </c>
      <c r="EV98" s="78" t="str">
        <f t="array" aca="1" ref="EV9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LEN(SUBSTITUTE(_xlfn.FORMULATEXT(EV$73),"=","")))+$EU98)</f>
        <v/>
      </c>
      <c r="EW98" s="78" t="str">
        <f t="array" aca="1" ref="EW9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LEN(SUBSTITUTE(_xlfn.FORMULATEXT(EW$73),"=","")))+$EU98)</f>
        <v/>
      </c>
      <c r="EX98" s="78" t="str">
        <f t="array" aca="1" ref="EX9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LEN(SUBSTITUTE(_xlfn.FORMULATEXT(EX$73),"=","")))+$EU98)</f>
        <v/>
      </c>
      <c r="EY98" s="78" t="str">
        <f t="array" aca="1" ref="EY9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LEN(SUBSTITUTE(_xlfn.FORMULATEXT(EY$73),"=","")))+$EU98)</f>
        <v/>
      </c>
      <c r="EZ98" s="78" t="str">
        <f t="array" aca="1" ref="EZ9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LEN(SUBSTITUTE(_xlfn.FORMULATEXT(EZ$73),"=","")))+$EU98)</f>
        <v/>
      </c>
      <c r="FA98" s="78" t="str">
        <f t="array" aca="1" ref="FA9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LEN(SUBSTITUTE(_xlfn.FORMULATEXT(FA$73),"=","")))+$EU98)</f>
        <v/>
      </c>
      <c r="FB98" s="78" t="str">
        <f t="array" aca="1" ref="FB9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LEN(SUBSTITUTE(_xlfn.FORMULATEXT(FB$73),"=","")))+$EU98)</f>
        <v/>
      </c>
      <c r="FC98" s="78" t="str">
        <f t="array" aca="1" ref="FC9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LEN(SUBSTITUTE(_xlfn.FORMULATEXT(FC$73),"=","")))+$EU98)</f>
        <v/>
      </c>
      <c r="FD98" s="78" t="str">
        <f t="array" aca="1" ref="FD9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LEN(SUBSTITUTE(_xlfn.FORMULATEXT(FD$73),"=","")))+$EU98)</f>
        <v/>
      </c>
      <c r="FE98" s="78" t="str">
        <f t="array" aca="1" ref="FE9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LEN(SUBSTITUTE(_xlfn.FORMULATEXT(FE$73),"=","")))+$EU98)</f>
        <v/>
      </c>
      <c r="FF98" s="78" t="str">
        <f t="array" aca="1" ref="FF9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LEN(SUBSTITUTE(_xlfn.FORMULATEXT(FF$73),"=","")))+$EU98)</f>
        <v/>
      </c>
      <c r="FG98" s="78">
        <f t="shared" ca="1" si="7"/>
        <v>0</v>
      </c>
      <c r="FH98" s="78" t="b">
        <f t="array" aca="1" ref="FH98" ca="1">SUMPRODUCT((LEN(EV98:FF98)&gt;0)*1)&gt;0</f>
        <v>0</v>
      </c>
      <c r="FI98" s="78" t="str">
        <f t="array" aca="1" ref="FI98" ca="1">IFERROR(SMALL(IF(FG$1:FG$228&lt;&gt;0,FG$1:FG$228),ROW(A98)),"")</f>
        <v/>
      </c>
      <c r="FJ98" s="78" t="str">
        <f t="array" aca="1" ref="FJ98" ca="1">IF($FI98&lt;&gt;"",
INDIRECT(""&amp;IF(COLUMN(EV146)&lt;=26,CHAR(COLUMN(EV146)+64),CHAR(INT((COLUMN(EV146)-1)/26)+64)&amp;CHAR(MOD(COLUMN(EV146)-1,26)+65))&amp;$FI98&amp;""),"")</f>
        <v/>
      </c>
      <c r="FK98" s="78" t="str">
        <f t="array" aca="1" ref="FK98" ca="1">IF($FI98&lt;&gt;"",
INDIRECT(""&amp;IF(COLUMN(EW146)&lt;=26,CHAR(COLUMN(EW146)+64),CHAR(INT((COLUMN(EW146)-1)/26)+64)&amp;CHAR(MOD(COLUMN(EW146)-1,26)+65))&amp;$FI98&amp;""),"")</f>
        <v/>
      </c>
      <c r="FL98" s="78" t="str">
        <f t="array" aca="1" ref="FL98" ca="1">IF($FI98&lt;&gt;"",
INDIRECT(""&amp;IF(COLUMN(EX146)&lt;=26,CHAR(COLUMN(EX146)+64),CHAR(INT((COLUMN(EX146)-1)/26)+64)&amp;CHAR(MOD(COLUMN(EX146)-1,26)+65))&amp;$FI98&amp;""),"")</f>
        <v/>
      </c>
      <c r="FM98" s="78" t="str">
        <f t="array" aca="1" ref="FM98" ca="1">IF($FI98&lt;&gt;"",
IF(FL98="",
IF(INDIRECT("EY"&amp;$FI98&amp;"")&lt;&gt;"",
INDIRECT("EY"&amp;$FI98&amp;"")&amp;"箱"
&amp;INDIRECT("EZ"&amp;$FI98&amp;""),""),""),"")</f>
        <v/>
      </c>
      <c r="FN98" s="78" t="str">
        <f t="array" aca="1" ref="FN98" ca="1">IF($FI98&lt;&gt;"",
INDIRECT(""&amp;IF(COLUMN(FA146)&lt;=26,CHAR(COLUMN(FA146)+64),CHAR(INT((COLUMN(FA146)-1)/26)+64)&amp;CHAR(MOD(COLUMN(FA146)-1,26)+65))&amp;$FI98&amp;""),"")</f>
        <v/>
      </c>
      <c r="FO98" s="78" t="str">
        <f t="array" aca="1" ref="FO98" ca="1">IF($FI98&lt;&gt;"",
INDIRECT(""&amp;IF(COLUMN(FB146)&lt;=26,CHAR(COLUMN(FB146)+64),CHAR(INT((COLUMN(FB146)-1)/26)+64)&amp;CHAR(MOD(COLUMN(FB146)-1,26)+65))&amp;$FI98&amp;""),"")</f>
        <v/>
      </c>
      <c r="FP98" s="78" t="str">
        <f t="array" aca="1" ref="FP98" ca="1">IF($FI98&lt;&gt;"",
INDIRECT(""&amp;IF(COLUMN(FC146)&lt;=26,CHAR(COLUMN(FC146)+64),CHAR(INT((COLUMN(FC146)-1)/26)+64)&amp;CHAR(MOD(COLUMN(FC146)-1,26)+65))&amp;$FI98&amp;""),"")</f>
        <v/>
      </c>
      <c r="FQ98" s="78" t="str">
        <f t="array" aca="1" ref="FQ98" ca="1">IF($FI98&lt;&gt;"",
INDIRECT(""&amp;IF(COLUMN(FD146)&lt;=26,CHAR(COLUMN(FD146)+64),CHAR(INT((COLUMN(FD146)-1)/26)+64)&amp;CHAR(MOD(COLUMN(FD146)-1,26)+65))&amp;$FI98&amp;""),"")</f>
        <v/>
      </c>
      <c r="FR98" s="78" t="str">
        <f t="array" aca="1" ref="FR98" ca="1">IF($FI98&lt;&gt;"",
INDIRECT(""&amp;IF(COLUMN(FE146)&lt;=26,CHAR(COLUMN(FE146)+64),CHAR(INT((COLUMN(FE146)-1)/26)+64)&amp;CHAR(MOD(COLUMN(FE146)-1,26)+65))&amp;$FI98&amp;""),"")</f>
        <v/>
      </c>
      <c r="FS98" s="78" t="str">
        <f t="array" aca="1" ref="FS98" ca="1">IF($FI98&lt;&gt;"",
INDIRECT(""&amp;IF(COLUMN(FF146)&lt;=26,CHAR(COLUMN(FF146)+64),CHAR(INT((COLUMN(FF146)-1)/26)+64)&amp;CHAR(MOD(COLUMN(FF146)-1,26)+65))&amp;$FI98&amp;""),"")</f>
        <v/>
      </c>
    </row>
    <row r="99" spans="2:175" ht="22.2" customHeight="1" x14ac:dyDescent="0.55000000000000004">
      <c r="B99" s="77" t="str" cm="1">
        <f t="array" aca="1" ref="B99" ca="1">IF(COUNTIF(G15,"*合計*"),"",
IFERROR(
SUBSTITUTE(ADDRESS(1,
COLUMN(INDIRECT("数出表_Excel!B" &amp; (MATCH(G15,数出表_Excel!$A:$A,0)-1))) - 1 +
MATCH(TRUE, ISNUMBER(--INDIRECT("数出表_Excel!"&amp;B57&amp; (MATCH(G15,数出表_Excel!$A:$A,0)-1) &amp; ":U" &amp; (MATCH(G15,数出表_Excel!$A:$A,0)-1))), 0)
+MATCH(TRUE, ISNUMBER(--INDIRECT("数出表_Excel!B" &amp; (MATCH(G15,数出表_Excel!$A:$A,0)-1) &amp; ":U" &amp; (MATCH(G15,数出表_Excel!$A:$A,0)-1))), 0)+1,4),"1",""),
""))</f>
        <v/>
      </c>
      <c r="C99" s="247" t="str">
        <f ca="1">IF(C102&lt;&gt;"",C15,"")</f>
        <v/>
      </c>
      <c r="D99" s="248"/>
      <c r="E99" s="248"/>
      <c r="F99" s="248"/>
      <c r="G99" s="231" t="str">
        <f>SUBSTITUTE(ADDRESS(1,
COLUMN(),1),"1","")</f>
        <v>$G$</v>
      </c>
      <c r="H99" s="76"/>
      <c r="I99" s="77" t="str" cm="1">
        <f t="array" aca="1" ref="I99" ca="1">IF(COUNTIF(N15,"*合計*"),"",
IFERROR(
SUBSTITUTE(ADDRESS(1,
COLUMN(INDIRECT("数出表_Excel!B" &amp; (MATCH(N15,数出表_Excel!$A:$A,0)-1))) - 1 +
MATCH(TRUE, ISNUMBER(--INDIRECT("数出表_Excel!"&amp;I57&amp; (MATCH(N15,数出表_Excel!$A:$A,0)-1) &amp; ":U" &amp; (MATCH(N15,数出表_Excel!$A:$A,0)-1))), 0)
+MATCH(TRUE, ISNUMBER(--INDIRECT("数出表_Excel!B" &amp; (MATCH(N15,数出表_Excel!$A:$A,0)-1) &amp; ":U" &amp; (MATCH(N15,数出表_Excel!$A:$A,0)-1))), 0)+1,4),"1",""),
""))</f>
        <v/>
      </c>
      <c r="J99" s="247" t="str">
        <f ca="1">IF(J102&lt;&gt;"",J15,"")</f>
        <v/>
      </c>
      <c r="K99" s="248"/>
      <c r="L99" s="248"/>
      <c r="M99" s="248"/>
      <c r="N99" s="231" t="str">
        <f>SUBSTITUTE(ADDRESS(1,
COLUMN(),1),"1","")</f>
        <v>$N$</v>
      </c>
      <c r="Q99" s="77" t="str" cm="1">
        <f t="array" aca="1" ref="Q99" ca="1">IF(COUNTIF(V15,"*合計*"),"",
IFERROR(
SUBSTITUTE(ADDRESS(1,
COLUMN(INDIRECT("数出表_Excel!B" &amp; (MATCH(V15,数出表_Excel!$A:$A,0)-1))) - 1 +
MATCH(TRUE, ISNUMBER(--INDIRECT("数出表_Excel!"&amp;Q57&amp; (MATCH(V15,数出表_Excel!$A:$A,0)-1) &amp; ":U" &amp; (MATCH(V15,数出表_Excel!$A:$A,0)-1))), 0)
+MATCH(TRUE, ISNUMBER(--INDIRECT("数出表_Excel!B" &amp; (MATCH(V15,数出表_Excel!$A:$A,0)-1) &amp; ":U" &amp; (MATCH(V15,数出表_Excel!$A:$A,0)-1))), 0)+1,4),"1",""),
""))</f>
        <v/>
      </c>
      <c r="R99" s="247" t="str">
        <f ca="1">IF(R102&lt;&gt;"",R15,"")</f>
        <v/>
      </c>
      <c r="S99" s="248"/>
      <c r="T99" s="248"/>
      <c r="U99" s="248"/>
      <c r="V99" s="231" t="str">
        <f>SUBSTITUTE(ADDRESS(1,
COLUMN(),1),"1","")</f>
        <v>$V$</v>
      </c>
      <c r="W99" s="76"/>
      <c r="X99" s="77" t="str" cm="1">
        <f t="array" aca="1" ref="X99" ca="1">IF(COUNTIF(AC15,"*合計*"),"",
IFERROR(
SUBSTITUTE(ADDRESS(1,
COLUMN(INDIRECT("数出表_Excel!B" &amp; (MATCH(AC15,数出表_Excel!$A:$A,0)-1))) - 1 +
MATCH(TRUE, ISNUMBER(--INDIRECT("数出表_Excel!"&amp;X57&amp; (MATCH(AC15,数出表_Excel!$A:$A,0)-1) &amp; ":U" &amp; (MATCH(AC15,数出表_Excel!$A:$A,0)-1))), 0)
+MATCH(TRUE, ISNUMBER(--INDIRECT("数出表_Excel!B" &amp; (MATCH(AC15,数出表_Excel!$A:$A,0)-1) &amp; ":U" &amp; (MATCH(AC15,数出表_Excel!$A:$A,0)-1))), 0)+1,4),"1",""),
""))</f>
        <v/>
      </c>
      <c r="Y99" s="247" t="str">
        <f ca="1">IF(Y102&lt;&gt;"",Y15,"")</f>
        <v/>
      </c>
      <c r="Z99" s="248"/>
      <c r="AA99" s="248"/>
      <c r="AB99" s="248"/>
      <c r="AC99" s="231" t="str">
        <f>SUBSTITUTE(ADDRESS(1,
COLUMN(),1),"1","")</f>
        <v>$AC$</v>
      </c>
      <c r="AF99" s="77" t="str" cm="1">
        <f t="array" aca="1" ref="AF99" ca="1">IF(COUNTIF(AK15,"*合計*"),"",
IFERROR(
SUBSTITUTE(ADDRESS(1,
COLUMN(INDIRECT("数出表_Excel!B" &amp; (MATCH(AK15,数出表_Excel!$A:$A,0)-1))) - 1 +
MATCH(TRUE, ISNUMBER(--INDIRECT("数出表_Excel!"&amp;AF57&amp; (MATCH(AK15,数出表_Excel!$A:$A,0)-1) &amp; ":U" &amp; (MATCH(AK15,数出表_Excel!$A:$A,0)-1))), 0)
+MATCH(TRUE, ISNUMBER(--INDIRECT("数出表_Excel!B" &amp; (MATCH(AK15,数出表_Excel!$A:$A,0)-1) &amp; ":U" &amp; (MATCH(AK15,数出表_Excel!$A:$A,0)-1))), 0)+1,4),"1",""),
""))</f>
        <v/>
      </c>
      <c r="AG99" s="247" t="str">
        <f ca="1">IF(AG102&lt;&gt;"",AG15,"")</f>
        <v/>
      </c>
      <c r="AH99" s="248"/>
      <c r="AI99" s="248"/>
      <c r="AJ99" s="248"/>
      <c r="AK99" s="231" t="str">
        <f>SUBSTITUTE(ADDRESS(1,
COLUMN(),1),"1","")</f>
        <v>$AK$</v>
      </c>
      <c r="AL99" s="76"/>
      <c r="AM99" s="77" t="str" cm="1">
        <f t="array" aca="1" ref="AM99" ca="1">IF(COUNTIF(AR15,"*合計*"),"",
IFERROR(
SUBSTITUTE(ADDRESS(1,
COLUMN(INDIRECT("数出表_Excel!B" &amp; (MATCH(AR15,数出表_Excel!$A:$A,0)-1))) - 1 +
MATCH(TRUE, ISNUMBER(--INDIRECT("数出表_Excel!"&amp;AM57&amp; (MATCH(AR15,数出表_Excel!$A:$A,0)-1) &amp; ":U" &amp; (MATCH(AR15,数出表_Excel!$A:$A,0)-1))), 0)
+MATCH(TRUE, ISNUMBER(--INDIRECT("数出表_Excel!B" &amp; (MATCH(AR15,数出表_Excel!$A:$A,0)-1) &amp; ":U" &amp; (MATCH(AR15,数出表_Excel!$A:$A,0)-1))), 0)+1,4),"1",""),
""))</f>
        <v/>
      </c>
      <c r="AN99" s="247" t="str">
        <f ca="1">IF(AN102&lt;&gt;"",AN15,"")</f>
        <v/>
      </c>
      <c r="AO99" s="248"/>
      <c r="AP99" s="248"/>
      <c r="AQ99" s="248"/>
      <c r="AR99" s="231" t="str">
        <f>SUBSTITUTE(ADDRESS(1,
COLUMN(),1),"1","")</f>
        <v>$AR$</v>
      </c>
      <c r="AU99" s="77" t="str" cm="1">
        <f t="array" aca="1" ref="AU99" ca="1">IF(COUNTIF(AZ15,"*合計*"),"",
IFERROR(
SUBSTITUTE(ADDRESS(1,
COLUMN(INDIRECT("数出表_Excel!B" &amp; (MATCH(AZ15,数出表_Excel!$A:$A,0)-1))) - 1 +
MATCH(TRUE, ISNUMBER(--INDIRECT("数出表_Excel!"&amp;AU57&amp; (MATCH(AZ15,数出表_Excel!$A:$A,0)-1) &amp; ":U" &amp; (MATCH(AZ15,数出表_Excel!$A:$A,0)-1))), 0)
+MATCH(TRUE, ISNUMBER(--INDIRECT("数出表_Excel!B" &amp; (MATCH(AZ15,数出表_Excel!$A:$A,0)-1) &amp; ":U" &amp; (MATCH(AZ15,数出表_Excel!$A:$A,0)-1))), 0)+1,4),"1",""),
""))</f>
        <v/>
      </c>
      <c r="AV99" s="247" t="str">
        <f ca="1">IF(AV102&lt;&gt;"",AV15,"")</f>
        <v/>
      </c>
      <c r="AW99" s="248"/>
      <c r="AX99" s="248"/>
      <c r="AY99" s="248"/>
      <c r="AZ99" s="231" t="str">
        <f>SUBSTITUTE(ADDRESS(1,
COLUMN(),1),"1","")</f>
        <v>$AZ$</v>
      </c>
      <c r="BA99" s="76"/>
      <c r="BB99" s="77" t="str" cm="1">
        <f t="array" aca="1" ref="BB99" ca="1">IF(COUNTIF(BG15,"*合計*"),"",
IFERROR(
SUBSTITUTE(ADDRESS(1,
COLUMN(INDIRECT("数出表_Excel!B" &amp; (MATCH(BG15,数出表_Excel!$A:$A,0)-1))) - 1 +
MATCH(TRUE, ISNUMBER(--INDIRECT("数出表_Excel!"&amp;BB57&amp; (MATCH(BG15,数出表_Excel!$A:$A,0)-1) &amp; ":U" &amp; (MATCH(BG15,数出表_Excel!$A:$A,0)-1))), 0)
+MATCH(TRUE, ISNUMBER(--INDIRECT("数出表_Excel!B" &amp; (MATCH(BG15,数出表_Excel!$A:$A,0)-1) &amp; ":U" &amp; (MATCH(BG15,数出表_Excel!$A:$A,0)-1))), 0)+1,4),"1",""),
""))</f>
        <v/>
      </c>
      <c r="BC99" s="247" t="str">
        <f ca="1">IF(BC102&lt;&gt;"",BC15,"")</f>
        <v/>
      </c>
      <c r="BD99" s="248"/>
      <c r="BE99" s="248"/>
      <c r="BF99" s="248"/>
      <c r="BG99" s="231" t="str">
        <f>SUBSTITUTE(ADDRESS(1,
COLUMN(),1),"1","")</f>
        <v>$BG$</v>
      </c>
      <c r="BJ99" s="77" t="str" cm="1">
        <f t="array" aca="1" ref="BJ99" ca="1">IF(COUNTIF(BO15,"*合計*"),"",
IFERROR(
SUBSTITUTE(ADDRESS(1,
COLUMN(INDIRECT("数出表_Excel!B" &amp; (MATCH(BO15,数出表_Excel!$A:$A,0)-1))) - 1 +
MATCH(TRUE, ISNUMBER(--INDIRECT("数出表_Excel!"&amp;BJ57&amp; (MATCH(BO15,数出表_Excel!$A:$A,0)-1) &amp; ":U" &amp; (MATCH(BO15,数出表_Excel!$A:$A,0)-1))), 0)
+MATCH(TRUE, ISNUMBER(--INDIRECT("数出表_Excel!B" &amp; (MATCH(BO15,数出表_Excel!$A:$A,0)-1) &amp; ":U" &amp; (MATCH(BO15,数出表_Excel!$A:$A,0)-1))), 0)+1,4),"1",""),
""))</f>
        <v/>
      </c>
      <c r="BK99" s="247" t="str">
        <f ca="1">IF(BK102&lt;&gt;"",BK15,"")</f>
        <v/>
      </c>
      <c r="BL99" s="248"/>
      <c r="BM99" s="248"/>
      <c r="BN99" s="248"/>
      <c r="BO99" s="231" t="str">
        <f>SUBSTITUTE(ADDRESS(1,
COLUMN(),1),"1","")</f>
        <v>$BO$</v>
      </c>
      <c r="BP99" s="76"/>
      <c r="BQ99" s="77" t="str" cm="1">
        <f t="array" aca="1" ref="BQ99" ca="1">IF(COUNTIF(BV15,"*合計*"),"",
IFERROR(
SUBSTITUTE(ADDRESS(1,
COLUMN(INDIRECT("数出表_Excel!B" &amp; (MATCH(BV15,数出表_Excel!$A:$A,0)-1))) - 1 +
MATCH(TRUE, ISNUMBER(--INDIRECT("数出表_Excel!"&amp;BQ57&amp; (MATCH(BV15,数出表_Excel!$A:$A,0)-1) &amp; ":U" &amp; (MATCH(BV15,数出表_Excel!$A:$A,0)-1))), 0)
+MATCH(TRUE, ISNUMBER(--INDIRECT("数出表_Excel!B" &amp; (MATCH(BV15,数出表_Excel!$A:$A,0)-1) &amp; ":U" &amp; (MATCH(BV15,数出表_Excel!$A:$A,0)-1))), 0)+1,4),"1",""),
""))</f>
        <v/>
      </c>
      <c r="BR99" s="247" t="str">
        <f ca="1">IF(BR102&lt;&gt;"",BR15,"")</f>
        <v/>
      </c>
      <c r="BS99" s="248"/>
      <c r="BT99" s="248"/>
      <c r="BU99" s="248"/>
      <c r="BV99" s="231" t="str">
        <f>SUBSTITUTE(ADDRESS(1,
COLUMN(),1),"1","")</f>
        <v>$BV$</v>
      </c>
      <c r="BY99" s="77" t="str" cm="1">
        <f t="array" aca="1" ref="BY99" ca="1">IF(COUNTIF(CD15,"*合計*"),"",
IFERROR(
SUBSTITUTE(ADDRESS(1,
COLUMN(INDIRECT("数出表_Excel!B" &amp; (MATCH(CD15,数出表_Excel!$A:$A,0)-1))) - 1 +
MATCH(TRUE, ISNUMBER(--INDIRECT("数出表_Excel!"&amp;BY57&amp; (MATCH(CD15,数出表_Excel!$A:$A,0)-1) &amp; ":U" &amp; (MATCH(CD15,数出表_Excel!$A:$A,0)-1))), 0)
+MATCH(TRUE, ISNUMBER(--INDIRECT("数出表_Excel!B" &amp; (MATCH(CD15,数出表_Excel!$A:$A,0)-1) &amp; ":U" &amp; (MATCH(CD15,数出表_Excel!$A:$A,0)-1))), 0)+1,4),"1",""),
""))</f>
        <v/>
      </c>
      <c r="BZ99" s="247" t="str">
        <f ca="1">IF(BZ102&lt;&gt;"",BZ15,"")</f>
        <v/>
      </c>
      <c r="CA99" s="248"/>
      <c r="CB99" s="248"/>
      <c r="CC99" s="248"/>
      <c r="CD99" s="231" t="str">
        <f>SUBSTITUTE(ADDRESS(1,
COLUMN(),1),"1","")</f>
        <v>$CD$</v>
      </c>
      <c r="CE99" s="76"/>
      <c r="CF99" s="77" t="str" cm="1">
        <f t="array" aca="1" ref="CF99" ca="1">IF(COUNTIF(CK15,"*合計*"),"",
IFERROR(
SUBSTITUTE(ADDRESS(1,
COLUMN(INDIRECT("数出表_Excel!B" &amp; (MATCH(CK15,数出表_Excel!$A:$A,0)-1))) - 1 +
MATCH(TRUE, ISNUMBER(--INDIRECT("数出表_Excel!"&amp;CF57&amp; (MATCH(CK15,数出表_Excel!$A:$A,0)-1) &amp; ":U" &amp; (MATCH(CK15,数出表_Excel!$A:$A,0)-1))), 0)
+MATCH(TRUE, ISNUMBER(--INDIRECT("数出表_Excel!B" &amp; (MATCH(CK15,数出表_Excel!$A:$A,0)-1) &amp; ":U" &amp; (MATCH(CK15,数出表_Excel!$A:$A,0)-1))), 0)+1,4),"1",""),
""))</f>
        <v/>
      </c>
      <c r="CG99" s="247" t="str">
        <f ca="1">IF(CG102&lt;&gt;"",CG15,"")</f>
        <v/>
      </c>
      <c r="CH99" s="248"/>
      <c r="CI99" s="248"/>
      <c r="CJ99" s="248"/>
      <c r="CK99" s="231" t="str">
        <f>SUBSTITUTE(ADDRESS(1,
COLUMN(),1),"1","")</f>
        <v>$CK$</v>
      </c>
      <c r="CN99" s="77" t="str" cm="1">
        <f t="array" aca="1" ref="CN99" ca="1">IF(COUNTIF(CS15,"*合計*"),"",
IFERROR(
SUBSTITUTE(ADDRESS(1,
COLUMN(INDIRECT("数出表_Excel!B" &amp; (MATCH(CS15,数出表_Excel!$A:$A,0)-1))) - 1 +
MATCH(TRUE, ISNUMBER(--INDIRECT("数出表_Excel!"&amp;CN57&amp; (MATCH(CS15,数出表_Excel!$A:$A,0)-1) &amp; ":U" &amp; (MATCH(CS15,数出表_Excel!$A:$A,0)-1))), 0)
+MATCH(TRUE, ISNUMBER(--INDIRECT("数出表_Excel!B" &amp; (MATCH(CS15,数出表_Excel!$A:$A,0)-1) &amp; ":U" &amp; (MATCH(CS15,数出表_Excel!$A:$A,0)-1))), 0)+1,4),"1",""),
""))</f>
        <v/>
      </c>
      <c r="CO99" s="247" t="str">
        <f ca="1">IF(CO102&lt;&gt;"",CO15,"")</f>
        <v/>
      </c>
      <c r="CP99" s="248"/>
      <c r="CQ99" s="248"/>
      <c r="CR99" s="248"/>
      <c r="CS99" s="231" t="str">
        <f>SUBSTITUTE(ADDRESS(1,
COLUMN(),1),"1","")</f>
        <v>$CS$</v>
      </c>
      <c r="CT99" s="76"/>
      <c r="CU99" s="77" t="str" cm="1">
        <f t="array" aca="1" ref="CU99" ca="1">IF(COUNTIF(CZ15,"*合計*"),"",
IFERROR(
SUBSTITUTE(ADDRESS(1,
COLUMN(INDIRECT("数出表_Excel!B" &amp; (MATCH(CZ15,数出表_Excel!$A:$A,0)-1))) - 1 +
MATCH(TRUE, ISNUMBER(--INDIRECT("数出表_Excel!"&amp;CU57&amp; (MATCH(CZ15,数出表_Excel!$A:$A,0)-1) &amp; ":U" &amp; (MATCH(CZ15,数出表_Excel!$A:$A,0)-1))), 0)
+MATCH(TRUE, ISNUMBER(--INDIRECT("数出表_Excel!B" &amp; (MATCH(CZ15,数出表_Excel!$A:$A,0)-1) &amp; ":U" &amp; (MATCH(CZ15,数出表_Excel!$A:$A,0)-1))), 0)+1,4),"1",""),
""))</f>
        <v/>
      </c>
      <c r="CV99" s="247" t="str">
        <f ca="1">IF(CV102&lt;&gt;"",CV15,"")</f>
        <v/>
      </c>
      <c r="CW99" s="248"/>
      <c r="CX99" s="248"/>
      <c r="CY99" s="248"/>
      <c r="CZ99" s="231" t="str">
        <f>SUBSTITUTE(ADDRESS(1,
COLUMN(),1),"1","")</f>
        <v>$CZ$</v>
      </c>
      <c r="DC99" s="77" t="str" cm="1">
        <f t="array" aca="1" ref="DC99" ca="1">IF(COUNTIF(DH15,"*合計*"),"",
IFERROR(
SUBSTITUTE(ADDRESS(1,
COLUMN(INDIRECT("数出表_Excel!B" &amp; (MATCH(DH15,数出表_Excel!$A:$A,0)-1))) - 1 +
MATCH(TRUE, ISNUMBER(--INDIRECT("数出表_Excel!"&amp;DC57&amp; (MATCH(DH15,数出表_Excel!$A:$A,0)-1) &amp; ":U" &amp; (MATCH(DH15,数出表_Excel!$A:$A,0)-1))), 0)
+MATCH(TRUE, ISNUMBER(--INDIRECT("数出表_Excel!B" &amp; (MATCH(DH15,数出表_Excel!$A:$A,0)-1) &amp; ":U" &amp; (MATCH(DH15,数出表_Excel!$A:$A,0)-1))), 0)+1,4),"1",""),
""))</f>
        <v/>
      </c>
      <c r="DD99" s="247" t="str">
        <f ca="1">IF(DD102&lt;&gt;"",DD15,"")</f>
        <v/>
      </c>
      <c r="DE99" s="248"/>
      <c r="DF99" s="248"/>
      <c r="DG99" s="248"/>
      <c r="DH99" s="231" t="str">
        <f>SUBSTITUTE(ADDRESS(1,
COLUMN(),1),"1","")</f>
        <v>$DH$</v>
      </c>
      <c r="DI99" s="76"/>
      <c r="DJ99" s="77" t="str" cm="1">
        <f t="array" aca="1" ref="DJ99" ca="1">IF(COUNTIF(DO15,"*合計*"),"",
IFERROR(
SUBSTITUTE(ADDRESS(1,
COLUMN(INDIRECT("数出表_Excel!B" &amp; (MATCH(DO15,数出表_Excel!$A:$A,0)-1))) - 1 +
MATCH(TRUE, ISNUMBER(--INDIRECT("数出表_Excel!"&amp;DJ57&amp; (MATCH(DO15,数出表_Excel!$A:$A,0)-1) &amp; ":U" &amp; (MATCH(DO15,数出表_Excel!$A:$A,0)-1))), 0)
+MATCH(TRUE, ISNUMBER(--INDIRECT("数出表_Excel!B" &amp; (MATCH(DO15,数出表_Excel!$A:$A,0)-1) &amp; ":U" &amp; (MATCH(DO15,数出表_Excel!$A:$A,0)-1))), 0)+1,4),"1",""),
""))</f>
        <v/>
      </c>
      <c r="DK99" s="247" t="str">
        <f ca="1">IF(DK102&lt;&gt;"",DK15,"")</f>
        <v/>
      </c>
      <c r="DL99" s="248"/>
      <c r="DM99" s="248"/>
      <c r="DN99" s="248"/>
      <c r="DO99" s="231" t="str">
        <f>SUBSTITUTE(ADDRESS(1,
COLUMN(),1),"1","")</f>
        <v>$DO$</v>
      </c>
      <c r="DR99" s="77" t="str" cm="1">
        <f t="array" aca="1" ref="DR99" ca="1">IF(COUNTIF(DW15,"*合計*"),"",
IFERROR(
SUBSTITUTE(ADDRESS(1,
COLUMN(INDIRECT("数出表_Excel!B" &amp; (MATCH(DW15,数出表_Excel!$A:$A,0)-1))) - 1 +
MATCH(TRUE, ISNUMBER(--INDIRECT("数出表_Excel!"&amp;DR57&amp; (MATCH(DW15,数出表_Excel!$A:$A,0)-1) &amp; ":U" &amp; (MATCH(DW15,数出表_Excel!$A:$A,0)-1))), 0)
+MATCH(TRUE, ISNUMBER(--INDIRECT("数出表_Excel!B" &amp; (MATCH(DW15,数出表_Excel!$A:$A,0)-1) &amp; ":U" &amp; (MATCH(DW15,数出表_Excel!$A:$A,0)-1))), 0)+1,4),"1",""),
""))</f>
        <v/>
      </c>
      <c r="DS99" s="247" t="str">
        <f ca="1">IF(DS102&lt;&gt;"",DS15,"")</f>
        <v/>
      </c>
      <c r="DT99" s="248"/>
      <c r="DU99" s="248"/>
      <c r="DV99" s="248"/>
      <c r="DW99" s="231" t="str">
        <f>SUBSTITUTE(ADDRESS(1,
COLUMN(),1),"1","")</f>
        <v>$DW$</v>
      </c>
      <c r="DX99" s="76"/>
      <c r="DY99" s="77" t="str" cm="1">
        <f t="array" aca="1" ref="DY99" ca="1">IF(COUNTIF(ED15,"*合計*"),"",
IFERROR(
SUBSTITUTE(ADDRESS(1,
COLUMN(INDIRECT("数出表_Excel!B" &amp; (MATCH(ED15,数出表_Excel!$A:$A,0)-1))) - 1 +
MATCH(TRUE, ISNUMBER(--INDIRECT("数出表_Excel!"&amp;DY57&amp; (MATCH(ED15,数出表_Excel!$A:$A,0)-1) &amp; ":U" &amp; (MATCH(ED15,数出表_Excel!$A:$A,0)-1))), 0)
+MATCH(TRUE, ISNUMBER(--INDIRECT("数出表_Excel!B" &amp; (MATCH(ED15,数出表_Excel!$A:$A,0)-1) &amp; ":U" &amp; (MATCH(ED15,数出表_Excel!$A:$A,0)-1))), 0)+1,4),"1",""),
""))</f>
        <v/>
      </c>
      <c r="DZ99" s="247" t="str">
        <f ca="1">IF(DZ102&lt;&gt;"",DZ15,"")</f>
        <v/>
      </c>
      <c r="EA99" s="248"/>
      <c r="EB99" s="248"/>
      <c r="EC99" s="248"/>
      <c r="ED99" s="231" t="str">
        <f>SUBSTITUTE(ADDRESS(1,
COLUMN(),1),"1","")</f>
        <v>$ED$</v>
      </c>
      <c r="EG99" s="77" t="str" cm="1">
        <f t="array" aca="1" ref="EG99" ca="1">IF(COUNTIF(EL15,"*合計*"),"",
IFERROR(
SUBSTITUTE(ADDRESS(1,
COLUMN(INDIRECT("数出表_Excel!B" &amp; (MATCH(EL15,数出表_Excel!$A:$A,0)-1))) - 1 +
MATCH(TRUE, ISNUMBER(--INDIRECT("数出表_Excel!"&amp;EG57&amp; (MATCH(EL15,数出表_Excel!$A:$A,0)-1) &amp; ":U" &amp; (MATCH(EL15,数出表_Excel!$A:$A,0)-1))), 0)
+MATCH(TRUE, ISNUMBER(--INDIRECT("数出表_Excel!B" &amp; (MATCH(EL15,数出表_Excel!$A:$A,0)-1) &amp; ":U" &amp; (MATCH(EL15,数出表_Excel!$A:$A,0)-1))), 0)+1,4),"1",""),
""))</f>
        <v/>
      </c>
      <c r="EH99" s="247" t="str">
        <f ca="1">IF(EH102&lt;&gt;"",EH15,"")</f>
        <v/>
      </c>
      <c r="EI99" s="248"/>
      <c r="EJ99" s="248"/>
      <c r="EK99" s="248"/>
      <c r="EL99" s="231" t="str">
        <f>SUBSTITUTE(ADDRESS(1,
COLUMN(),1),"1","")</f>
        <v>$EL$</v>
      </c>
      <c r="EM99" s="76"/>
      <c r="EN99" s="77" t="str" cm="1">
        <f t="array" aca="1" ref="EN99" ca="1">IF(COUNTIF(ES15,"*合計*"),"",
IFERROR(
SUBSTITUTE(ADDRESS(1,
COLUMN(INDIRECT("数出表_Excel!B" &amp; (MATCH(ES15,数出表_Excel!$A:$A,0)-1))) - 1 +
MATCH(TRUE, ISNUMBER(--INDIRECT("数出表_Excel!"&amp;EN57&amp; (MATCH(ES15,数出表_Excel!$A:$A,0)-1) &amp; ":U" &amp; (MATCH(ES15,数出表_Excel!$A:$A,0)-1))), 0)
+MATCH(TRUE, ISNUMBER(--INDIRECT("数出表_Excel!B" &amp; (MATCH(ES15,数出表_Excel!$A:$A,0)-1) &amp; ":U" &amp; (MATCH(ES15,数出表_Excel!$A:$A,0)-1))), 0)+1,4),"1",""),
""))</f>
        <v/>
      </c>
      <c r="EO99" s="247" t="str">
        <f ca="1">IF(EO102&lt;&gt;"",EO15,"")</f>
        <v/>
      </c>
      <c r="EP99" s="248"/>
      <c r="EQ99" s="248"/>
      <c r="ER99" s="248"/>
      <c r="ES99" s="231" t="str">
        <f>SUBSTITUTE(ADDRESS(1,
COLUMN(),1),"1","")</f>
        <v>$ES$</v>
      </c>
      <c r="EU99" s="78">
        <f t="shared" si="8"/>
        <v>112</v>
      </c>
      <c r="EV99" s="78" t="str">
        <f t="array" aca="1" ref="EV9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LEN(SUBSTITUTE(_xlfn.FORMULATEXT(EV$73),"=","")))+$EU99)</f>
        <v/>
      </c>
      <c r="EW99" s="78" t="str">
        <f t="array" aca="1" ref="EW9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LEN(SUBSTITUTE(_xlfn.FORMULATEXT(EW$73),"=","")))+$EU99)</f>
        <v/>
      </c>
      <c r="EX99" s="78" t="str">
        <f t="array" aca="1" ref="EX9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LEN(SUBSTITUTE(_xlfn.FORMULATEXT(EX$73),"=","")))+$EU99)</f>
        <v/>
      </c>
      <c r="EY99" s="78" t="str">
        <f t="array" aca="1" ref="EY9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LEN(SUBSTITUTE(_xlfn.FORMULATEXT(EY$73),"=","")))+$EU99)</f>
        <v/>
      </c>
      <c r="EZ99" s="78" t="str">
        <f t="array" aca="1" ref="EZ9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LEN(SUBSTITUTE(_xlfn.FORMULATEXT(EZ$73),"=","")))+$EU99)</f>
        <v/>
      </c>
      <c r="FA99" s="78" t="str">
        <f t="array" aca="1" ref="FA9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LEN(SUBSTITUTE(_xlfn.FORMULATEXT(FA$73),"=","")))+$EU99)</f>
        <v/>
      </c>
      <c r="FB99" s="78" t="str">
        <f t="array" aca="1" ref="FB9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LEN(SUBSTITUTE(_xlfn.FORMULATEXT(FB$73),"=","")))+$EU99)</f>
        <v/>
      </c>
      <c r="FC99" s="78" t="str">
        <f t="array" aca="1" ref="FC9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LEN(SUBSTITUTE(_xlfn.FORMULATEXT(FC$73),"=","")))+$EU99)</f>
        <v/>
      </c>
      <c r="FD99" s="78" t="str">
        <f t="array" aca="1" ref="FD9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LEN(SUBSTITUTE(_xlfn.FORMULATEXT(FD$73),"=","")))+$EU99)</f>
        <v/>
      </c>
      <c r="FE99" s="78" t="str">
        <f t="array" aca="1" ref="FE9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LEN(SUBSTITUTE(_xlfn.FORMULATEXT(FE$73),"=","")))+$EU99)</f>
        <v/>
      </c>
      <c r="FF99" s="78" t="str">
        <f t="array" aca="1" ref="FF9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LEN(SUBSTITUTE(_xlfn.FORMULATEXT(FF$73),"=","")))+$EU99)</f>
        <v/>
      </c>
      <c r="FG99" s="78">
        <f t="shared" ca="1" si="7"/>
        <v>0</v>
      </c>
      <c r="FH99" s="78" t="b">
        <f t="array" aca="1" ref="FH99" ca="1">SUMPRODUCT((LEN(EV99:FF99)&gt;0)*1)&gt;0</f>
        <v>0</v>
      </c>
      <c r="FI99" s="78" t="str">
        <f t="array" aca="1" ref="FI99" ca="1">IFERROR(SMALL(IF(FG$1:FG$228&lt;&gt;0,FG$1:FG$228),ROW(A99)),"")</f>
        <v/>
      </c>
      <c r="FJ99" s="78" t="str">
        <f t="array" aca="1" ref="FJ99" ca="1">IF($FI99&lt;&gt;"",
INDIRECT(""&amp;IF(COLUMN(EV148)&lt;=26,CHAR(COLUMN(EV148)+64),CHAR(INT((COLUMN(EV148)-1)/26)+64)&amp;CHAR(MOD(COLUMN(EV148)-1,26)+65))&amp;$FI99&amp;""),"")</f>
        <v/>
      </c>
      <c r="FK99" s="78" t="str">
        <f t="array" aca="1" ref="FK99" ca="1">IF($FI99&lt;&gt;"",
INDIRECT(""&amp;IF(COLUMN(EW148)&lt;=26,CHAR(COLUMN(EW148)+64),CHAR(INT((COLUMN(EW148)-1)/26)+64)&amp;CHAR(MOD(COLUMN(EW148)-1,26)+65))&amp;$FI99&amp;""),"")</f>
        <v/>
      </c>
      <c r="FL99" s="78" t="str">
        <f t="array" aca="1" ref="FL99" ca="1">IF($FI99&lt;&gt;"",
INDIRECT(""&amp;IF(COLUMN(EX148)&lt;=26,CHAR(COLUMN(EX148)+64),CHAR(INT((COLUMN(EX148)-1)/26)+64)&amp;CHAR(MOD(COLUMN(EX148)-1,26)+65))&amp;$FI99&amp;""),"")</f>
        <v/>
      </c>
      <c r="FM99" s="78" t="str">
        <f t="array" aca="1" ref="FM99" ca="1">IF($FI99&lt;&gt;"",
IF(FL99="",
IF(INDIRECT("EY"&amp;$FI99&amp;"")&lt;&gt;"",
INDIRECT("EY"&amp;$FI99&amp;"")&amp;"箱"
&amp;INDIRECT("EZ"&amp;$FI99&amp;""),""),""),"")</f>
        <v/>
      </c>
      <c r="FN99" s="78" t="str">
        <f t="array" aca="1" ref="FN99" ca="1">IF($FI99&lt;&gt;"",
INDIRECT(""&amp;IF(COLUMN(FA148)&lt;=26,CHAR(COLUMN(FA148)+64),CHAR(INT((COLUMN(FA148)-1)/26)+64)&amp;CHAR(MOD(COLUMN(FA148)-1,26)+65))&amp;$FI99&amp;""),"")</f>
        <v/>
      </c>
      <c r="FO99" s="78" t="str">
        <f t="array" aca="1" ref="FO99" ca="1">IF($FI99&lt;&gt;"",
INDIRECT(""&amp;IF(COLUMN(FB148)&lt;=26,CHAR(COLUMN(FB148)+64),CHAR(INT((COLUMN(FB148)-1)/26)+64)&amp;CHAR(MOD(COLUMN(FB148)-1,26)+65))&amp;$FI99&amp;""),"")</f>
        <v/>
      </c>
      <c r="FP99" s="78" t="str">
        <f t="array" aca="1" ref="FP99" ca="1">IF($FI99&lt;&gt;"",
INDIRECT(""&amp;IF(COLUMN(FC148)&lt;=26,CHAR(COLUMN(FC148)+64),CHAR(INT((COLUMN(FC148)-1)/26)+64)&amp;CHAR(MOD(COLUMN(FC148)-1,26)+65))&amp;$FI99&amp;""),"")</f>
        <v/>
      </c>
      <c r="FQ99" s="78" t="str">
        <f t="array" aca="1" ref="FQ99" ca="1">IF($FI99&lt;&gt;"",
INDIRECT(""&amp;IF(COLUMN(FD148)&lt;=26,CHAR(COLUMN(FD148)+64),CHAR(INT((COLUMN(FD148)-1)/26)+64)&amp;CHAR(MOD(COLUMN(FD148)-1,26)+65))&amp;$FI99&amp;""),"")</f>
        <v/>
      </c>
      <c r="FR99" s="78" t="str">
        <f t="array" aca="1" ref="FR99" ca="1">IF($FI99&lt;&gt;"",
INDIRECT(""&amp;IF(COLUMN(FE148)&lt;=26,CHAR(COLUMN(FE148)+64),CHAR(INT((COLUMN(FE148)-1)/26)+64)&amp;CHAR(MOD(COLUMN(FE148)-1,26)+65))&amp;$FI99&amp;""),"")</f>
        <v/>
      </c>
      <c r="FS99" s="78" t="str">
        <f t="array" aca="1" ref="FS99" ca="1">IF($FI99&lt;&gt;"",
INDIRECT(""&amp;IF(COLUMN(FF148)&lt;=26,CHAR(COLUMN(FF148)+64),CHAR(INT((COLUMN(FF148)-1)/26)+64)&amp;CHAR(MOD(COLUMN(FF148)-1,26)+65))&amp;$FI99&amp;""),"")</f>
        <v/>
      </c>
    </row>
    <row r="100" spans="2:175" ht="22.2" customHeight="1" x14ac:dyDescent="0.55000000000000004">
      <c r="B100" s="81" t="e" cm="1">
        <f t="array" aca="1" ref="B100" ca="1">IF(B17&lt;&gt;100,
IF(C102&lt;&gt;"",MATCH(C102,INDIRECT("数出表_Excel!B"&amp;MATCH(G15,数出表_Excel!$A:$A,0)-1&amp;":U"&amp;MATCH(G15,数出表_Excel!$A:$A,0)-1&amp;""),0)+1,""),
IF(C102&lt;&gt;"",
MATCH(
IFERROR(
INDEX(INDIRECT("数出表_Excel!"&amp;B99&amp;MATCH(G15,数出表_Excel!$A:$A,0)-1&amp;":U"&amp;MATCH(G15,数出表_Excel!$A:$A,0)-1&amp;""),
 1,
 MATCH(TRUE, ISNUMBER(--INDIRECT("数出表_Excel!"&amp;B99&amp;MATCH(G15,数出表_Excel!$A:$A,0)-1&amp;":U"&amp;MATCH(G15,数出表_Excel!$A:$A,0)-1&amp;"")),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00" s="58" t="str" cm="1">
        <f t="array" aca="1" ref="C100" ca="1">IFERROR(IF(OR(
COUNTIF(INDIRECT("数出表_Excel!" &amp;
CHAR(MATCH(TRUE,
ISNUMBER(--INDIRECT("数出表_Excel!"&amp;B99&amp;MATCH(G15,数出表_Excel!$A:$A,0)-1&amp;":U"&amp;MATCH(G15,数出表_Excel!$A:$A,0)-1&amp;"")),0)
+MATCH(TRUE, ISNUMBER(--INDIRECT("数出表_Excel!B" &amp; (MATCH(G15,数出表_Excel!$A:$A,0)-1) &amp; ":U" &amp; (MATCH(G15,数出表_Excel!$A:$A,0)-1))), 0)
+MATCH(TRUE, ISNUMBER(--INDIRECT("数出表_Excel!"&amp;B57&amp; (MATCH(G15,数出表_Excel!$A:$A,0)-1) &amp; ":U" &amp; (MATCH(G15,数出表_Excel!$A:$A,0)-1))), 0)
+65) &amp; "3"),"*配膳*"),
COUNTIF(INDIRECT("数出表_Excel!" &amp;
CHAR(MATCH(TRUE,
ISNUMBER(--INDIRECT("数出表_Excel!"&amp;B99&amp;MATCH(G15,数出表_Excel!$A:$A,0)-1&amp;":U"&amp;MATCH(G15,数出表_Excel!$A:$A,0)-1&amp;"")),0)
+MATCH(TRUE, ISNUMBER(--INDIRECT("数出表_Excel!B" &amp; (MATCH(G15,数出表_Excel!$A:$A,0)-1) &amp; ":U" &amp; (MATCH(G15,数出表_Excel!$A:$A,0)-1))), 0)
+MATCH(TRUE, ISNUMBER(--INDIRECT("数出表_Excel!"&amp;B57&amp; (MATCH(G15,数出表_Excel!$A:$A,0)-1) &amp; ":U" &amp; (MATCH(G15,数出表_Excel!$A:$A,0)-1))), 0)
+65) &amp; "3"),"*カレー*"),
COUNTIF(C57,"*合計*")),"",
IF(IFERROR(INDIRECT("数出表_Excel!" &amp;
CHAR(MATCH(TRUE,
ISNUMBER(--INDIRECT("数出表_Excel!"&amp;B99&amp;MATCH(G15,数出表_Excel!$A:$A,0)-1&amp;":U"&amp;MATCH(G15,数出表_Excel!$A:$A,0)-1&amp;"")),0)
+MATCH(TRUE, ISNUMBER(--INDIRECT("数出表_Excel!B" &amp; (MATCH(G15,数出表_Excel!$A:$A,0)-1) &amp; ":U" &amp; (MATCH(G15,数出表_Excel!$A:$A,0)-1))), 0)
+MATCH(TRUE, ISNUMBER(--INDIRECT("数出表_Excel!"&amp;B57&amp; (MATCH(G15,数出表_Excel!$A:$A,0)-1) &amp; ":U" &amp; (MATCH(G15,数出表_Excel!$A:$A,0)-1))), 0)
+65) &amp; "3"),0)=0,"",
IFERROR(INDIRECT("数出表_Excel!" &amp;
CHAR(MATCH(TRUE,
ISNUMBER(--INDIRECT("数出表_Excel!"&amp;B99&amp;MATCH(G15,数出表_Excel!$A:$A,0)-1&amp;":U"&amp;MATCH(G15,数出表_Excel!$A:$A,0)-1&amp;"")),0)
+MATCH(TRUE, ISNUMBER(--INDIRECT("数出表_Excel!B" &amp; (MATCH(G15,数出表_Excel!$A:$A,0)-1) &amp; ":U" &amp; (MATCH(G15,数出表_Excel!$A:$A,0)-1))), 0)
+MATCH(TRUE, ISNUMBER(--INDIRECT("数出表_Excel!"&amp;B57&amp; (MATCH(G15,数出表_Excel!$A:$A,0)-1) &amp; ":U" &amp; (MATCH(G15,数出表_Excel!$A:$A,0)-1))), 0)
+65) &amp; "3"),""))),"")</f>
        <v/>
      </c>
      <c r="D100" s="76"/>
      <c r="E100" s="82" t="str" cm="1">
        <f t="array" aca="1" ref="E100" ca="1">IF(F100&lt;&gt;"","",
IF(COUNTIF(C99,"*雙葉*"),"",
IF(C99&lt;&gt;"",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+MATCH(TRUE,INDIRECT("'数出表_Excel'!"&amp;B99&amp;MATCH(G15,数出表_Excel!$A:$A,0)-1&amp;":AL"&amp;MATCH(G15,数出表_Excel!$A:$A,0)-1&amp;"")&lt;&gt;"",0))&gt;9,"",
IFERROR(
INDEX(INDIRECT("数出表_Excel!$"&amp;B99&amp;"4:$AL4"),
 1,
MATCH(TRUE,INDIRECT("'数出表_Excel'!"&amp;B99&amp;MATCH(G15,数出表_Excel!$A:$A,0)-1&amp;":AL"&amp;MATCH(G15,数出表_Excel!$A:$A,0)-1&amp;"")&lt;&gt;"",0)
),
 "")
&amp;IFERROR(
INDEX(INDIRECT("数出表_Excel!$"&amp;B99&amp;"5:$AL5"),
 1,
MATCH(TRUE,INDIRECT("'数出表_Excel'!"&amp;B99&amp;MATCH(G15,数出表_Excel!$A:$A,0)-1&amp;":AL"&amp;MATCH(G15,数出表_Excel!$A:$A,0)-1&amp;"")&lt;&gt;"",0)),
 "")),"")))</f>
        <v/>
      </c>
      <c r="F100" s="83" t="str" cm="1">
        <f t="array" aca="1" ref="F100" ca="1">IF(C100&lt;&gt;"",
IF(COUNTIF(C99,"*雙葉*"),
IF(ROUND(
IF(F105&lt;&gt;"",(C102-F105),C102)
/IF(COUNTIF(C100,"*キャラ*"),
VLOOKUP("*キャラ*",商品マスタ一覧!$D:$J,7,FALSE),
IF(COUNTIF(C100,"*赤*"),
VLOOKUP("*赤*",商品マスタ一覧!$D:$J,7,FALSE),
VLOOKUP(C100,商品マスタ一覧!$D:$J,7,FALSE))),0)&lt;=0,1,
ROUND(
IF(F105&lt;&gt;"",(C102-F105),C102)
/IF(COUNTIF(C100,"*キャラ*"),
VLOOKUP("*キャラ*",商品マスタ一覧!$D:$J,7,FALSE),
IF(COUNTIF(C100,"*赤*"),
VLOOKUP("*赤*",商品マスタ一覧!$D:$J,7,FALSE),
VLOOKUP(C100,商品マスタ一覧!$D:$J,7,FALSE))),0)),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IF(C100&lt;&gt;"",
IF(IF(COUNTIF(C100,"*キャラ*"),
VLOOKUP("*キャラ*",商品マスタ一覧!$D:$J,7,FALSE),
IF(COUNTIF(C100,"*赤*"),
VLOOKUP("*赤*",商品マスタ一覧!$D:$J,7,FALSE),
VLOOKUP(C100,商品マスタ一覧!$D:$J,7,FALSE)))=0,"",
IF(ROUND(
IF(F105&lt;&gt;"",(C102-F105),C102)
/IF(COUNTIF(C100,"*キャラ*"),
VLOOKUP("*キャラ*",商品マスタ一覧!$D:$J,7,FALSE),
IF(COUNTIF(C100,"*赤*"),
VLOOKUP("*赤*",商品マスタ一覧!$D:$J,7,FALSE),
VLOOKUP(C100,商品マスタ一覧!$D:$J,7,FALSE))),0)&lt;=0,1,
ROUND(
IF(F105&lt;&gt;"",(C102-F105),C102)
/IF(COUNTIF(C100,"*キャラ*"),
VLOOKUP("*キャラ*",商品マスタ一覧!$D:$J,7,FALSE),
IF(COUNTIF(C100,"*赤*"),
VLOOKUP("*赤*",商品マスタ一覧!$D:$J,7,FALSE),
VLOOKUP(C100,商品マスタ一覧!$D:$J,7,FALSE))),0))),""),"")),"")</f>
        <v/>
      </c>
      <c r="G100" s="92" t="str">
        <f ca="1">IF(F100&lt;&gt;"",IF(C102&lt;&gt;"",IF(VALUE(IF(F105&lt;&gt;"",C102-F105,C102))&gt;VALUE(IF(COUNTIF('盛付札（関数）'!C100,"*キャラ*"),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VLOOKUP('盛付札（関数）'!C100,商品マスタ一覧!$D:$J,7,FALSE)))*F100),
"+"&amp;IF(F105&lt;&gt;"",C102-F105,C102)-IF(COUNTIF('盛付札（関数）'!C100,"*キャラ*"),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VLOOKUP('盛付札（関数）'!C100,商品マスタ一覧!$D:$J,7,FALSE)))*F100,
IF(F105&lt;&gt;"",C102-F105,C102)-IF(COUNTIF('盛付札（関数）'!C100,"*キャラ*"),
VLOOKUP("*キャラ*",商品マスタ一覧!$D:$J,7,FALSE),
IF(COUNTIF('盛付札（関数）'!C100,"*赤*"),
VLOOKUP("*赤*",商品マスタ一覧!$D:$J,7,FALSE),
VLOOKUP('盛付札（関数）'!C100,商品マスタ一覧!$D:$J,7,FALSE)))*F100),""),"")</f>
        <v/>
      </c>
      <c r="H100" s="76"/>
      <c r="I100" s="81" t="e" cm="1">
        <f t="array" aca="1" ref="I100" ca="1">IF(I17&lt;&gt;100,
IF(J102&lt;&gt;"",MATCH(J102,INDIRECT("数出表_Excel!B"&amp;MATCH(N15,数出表_Excel!$A:$A,0)-1&amp;":U"&amp;MATCH(N15,数出表_Excel!$A:$A,0)-1&amp;""),0)+1,""),
IF(J102&lt;&gt;"",
MATCH(
IFERROR(
INDEX(INDIRECT("数出表_Excel!"&amp;I99&amp;MATCH(N15,数出表_Excel!$A:$A,0)-1&amp;":U"&amp;MATCH(N15,数出表_Excel!$A:$A,0)-1&amp;""),
 1,
 MATCH(TRUE, ISNUMBER(--INDIRECT("数出表_Excel!"&amp;I99&amp;MATCH(N15,数出表_Excel!$A:$A,0)-1&amp;":U"&amp;MATCH(N15,数出表_Excel!$A:$A,0)-1&amp;"")),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00" s="58" t="str" cm="1">
        <f t="array" aca="1" ref="J100" ca="1">IFERROR(IF(OR(
COUNTIF(INDIRECT("数出表_Excel!" &amp;
CHAR(MATCH(TRUE,
ISNUMBER(--INDIRECT("数出表_Excel!"&amp;I99&amp;MATCH(N15,数出表_Excel!$A:$A,0)-1&amp;":U"&amp;MATCH(N15,数出表_Excel!$A:$A,0)-1&amp;"")),0)
+MATCH(TRUE, ISNUMBER(--INDIRECT("数出表_Excel!B" &amp; (MATCH(N15,数出表_Excel!$A:$A,0)-1) &amp; ":U" &amp; (MATCH(N15,数出表_Excel!$A:$A,0)-1))), 0)
+MATCH(TRUE, ISNUMBER(--INDIRECT("数出表_Excel!"&amp;I57&amp; (MATCH(N15,数出表_Excel!$A:$A,0)-1) &amp; ":U" &amp; (MATCH(N15,数出表_Excel!$A:$A,0)-1))), 0)
+65) &amp; "3"),"*配膳*"),
COUNTIF(INDIRECT("数出表_Excel!" &amp;
CHAR(MATCH(TRUE,
ISNUMBER(--INDIRECT("数出表_Excel!"&amp;I99&amp;MATCH(N15,数出表_Excel!$A:$A,0)-1&amp;":U"&amp;MATCH(N15,数出表_Excel!$A:$A,0)-1&amp;"")),0)
+MATCH(TRUE, ISNUMBER(--INDIRECT("数出表_Excel!B" &amp; (MATCH(N15,数出表_Excel!$A:$A,0)-1) &amp; ":U" &amp; (MATCH(N15,数出表_Excel!$A:$A,0)-1))), 0)
+MATCH(TRUE, ISNUMBER(--INDIRECT("数出表_Excel!"&amp;I57&amp; (MATCH(N15,数出表_Excel!$A:$A,0)-1) &amp; ":U" &amp; (MATCH(N15,数出表_Excel!$A:$A,0)-1))), 0)
+65) &amp; "3"),"*カレー*"),
COUNTIF(J57,"*合計*")),"",
IF(IFERROR(INDIRECT("数出表_Excel!" &amp;
CHAR(MATCH(TRUE,
ISNUMBER(--INDIRECT("数出表_Excel!"&amp;I99&amp;MATCH(N15,数出表_Excel!$A:$A,0)-1&amp;":U"&amp;MATCH(N15,数出表_Excel!$A:$A,0)-1&amp;"")),0)
+MATCH(TRUE, ISNUMBER(--INDIRECT("数出表_Excel!B" &amp; (MATCH(N15,数出表_Excel!$A:$A,0)-1) &amp; ":U" &amp; (MATCH(N15,数出表_Excel!$A:$A,0)-1))), 0)
+MATCH(TRUE, ISNUMBER(--INDIRECT("数出表_Excel!"&amp;I57&amp; (MATCH(N15,数出表_Excel!$A:$A,0)-1) &amp; ":U" &amp; (MATCH(N15,数出表_Excel!$A:$A,0)-1))), 0)
+65) &amp; "3"),0)=0,"",
IFERROR(INDIRECT("数出表_Excel!" &amp;
CHAR(MATCH(TRUE,
ISNUMBER(--INDIRECT("数出表_Excel!"&amp;I99&amp;MATCH(N15,数出表_Excel!$A:$A,0)-1&amp;":U"&amp;MATCH(N15,数出表_Excel!$A:$A,0)-1&amp;"")),0)
+MATCH(TRUE, ISNUMBER(--INDIRECT("数出表_Excel!B" &amp; (MATCH(N15,数出表_Excel!$A:$A,0)-1) &amp; ":U" &amp; (MATCH(N15,数出表_Excel!$A:$A,0)-1))), 0)
+MATCH(TRUE, ISNUMBER(--INDIRECT("数出表_Excel!"&amp;I57&amp; (MATCH(N15,数出表_Excel!$A:$A,0)-1) &amp; ":U" &amp; (MATCH(N15,数出表_Excel!$A:$A,0)-1))), 0)
+65) &amp; "3"),""))),"")</f>
        <v/>
      </c>
      <c r="K100" s="76"/>
      <c r="L100" s="82" t="str" cm="1">
        <f t="array" aca="1" ref="L100" ca="1">IF(M100&lt;&gt;"","",
IF(COUNTIF(J99,"*雙葉*"),"",
IF(J99&lt;&gt;"",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+MATCH(TRUE,INDIRECT("'数出表_Excel'!"&amp;I99&amp;MATCH(N15,数出表_Excel!$A:$A,0)-1&amp;":AL"&amp;MATCH(N15,数出表_Excel!$A:$A,0)-1&amp;"")&lt;&gt;"",0))&gt;9,"",
IFERROR(
INDEX(INDIRECT("数出表_Excel!$"&amp;I99&amp;"4:$AL4"),
 1,
MATCH(TRUE,INDIRECT("'数出表_Excel'!"&amp;I99&amp;MATCH(N15,数出表_Excel!$A:$A,0)-1&amp;":AL"&amp;MATCH(N15,数出表_Excel!$A:$A,0)-1&amp;"")&lt;&gt;"",0)
),
 "")
&amp;IFERROR(
INDEX(INDIRECT("数出表_Excel!$"&amp;I99&amp;"5:$AL5"),
 1,
MATCH(TRUE,INDIRECT("'数出表_Excel'!"&amp;I99&amp;MATCH(N15,数出表_Excel!$A:$A,0)-1&amp;":AL"&amp;MATCH(N15,数出表_Excel!$A:$A,0)-1&amp;"")&lt;&gt;"",0)),
 "")),"")))</f>
        <v/>
      </c>
      <c r="M100" s="83" t="str" cm="1">
        <f t="array" aca="1" ref="M100" ca="1">IF(J100&lt;&gt;"",
IF(COUNTIF(J99,"*雙葉*"),
IF(ROUND(
IF(M105&lt;&gt;"",(J102-M105),J102)
/IF(COUNTIF(J100,"*キャラ*"),
VLOOKUP("*キャラ*",商品マスタ一覧!$D:$J,7,FALSE),
IF(COUNTIF(J100,"*赤*"),
VLOOKUP("*赤*",商品マスタ一覧!$D:$J,7,FALSE),
VLOOKUP(J100,商品マスタ一覧!$D:$J,7,FALSE))),0)&lt;=0,1,
ROUND(
IF(M105&lt;&gt;"",(J102-M105),J102)
/IF(COUNTIF(J100,"*キャラ*"),
VLOOKUP("*キャラ*",商品マスタ一覧!$D:$J,7,FALSE),
IF(COUNTIF(J100,"*赤*"),
VLOOKUP("*赤*",商品マスタ一覧!$D:$J,7,FALSE),
VLOOKUP(J100,商品マスタ一覧!$D:$J,7,FALSE))),0)),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IF(J100&lt;&gt;"",
IF(IF(COUNTIF(J100,"*キャラ*"),
VLOOKUP("*キャラ*",商品マスタ一覧!$D:$J,7,FALSE),
IF(COUNTIF(J100,"*赤*"),
VLOOKUP("*赤*",商品マスタ一覧!$D:$J,7,FALSE),
VLOOKUP(J100,商品マスタ一覧!$D:$J,7,FALSE)))=0,"",
IF(ROUND(
IF(M105&lt;&gt;"",(J102-M105),J102)
/IF(COUNTIF(J100,"*キャラ*"),
VLOOKUP("*キャラ*",商品マスタ一覧!$D:$J,7,FALSE),
IF(COUNTIF(J100,"*赤*"),
VLOOKUP("*赤*",商品マスタ一覧!$D:$J,7,FALSE),
VLOOKUP(J100,商品マスタ一覧!$D:$J,7,FALSE))),0)&lt;=0,1,
ROUND(
IF(M105&lt;&gt;"",(J102-M105),J102)
/IF(COUNTIF(J100,"*キャラ*"),
VLOOKUP("*キャラ*",商品マスタ一覧!$D:$J,7,FALSE),
IF(COUNTIF(J100,"*赤*"),
VLOOKUP("*赤*",商品マスタ一覧!$D:$J,7,FALSE),
VLOOKUP(J100,商品マスタ一覧!$D:$J,7,FALSE))),0))),""),"")),"")</f>
        <v/>
      </c>
      <c r="N100" s="92" t="str">
        <f ca="1">IF(M100&lt;&gt;"",IF(J102&lt;&gt;"",IF(VALUE(IF(M105&lt;&gt;"",J102-M105,J102))&gt;VALUE(IF(COUNTIF('盛付札（関数）'!J100,"*キャラ*"),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VLOOKUP('盛付札（関数）'!J100,商品マスタ一覧!$D:$J,7,FALSE)))*M100),
"+"&amp;IF(M105&lt;&gt;"",J102-M105,J102)-IF(COUNTIF('盛付札（関数）'!J100,"*キャラ*"),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VLOOKUP('盛付札（関数）'!J100,商品マスタ一覧!$D:$J,7,FALSE)))*M100,
IF(M105&lt;&gt;"",J102-M105,J102)-IF(COUNTIF('盛付札（関数）'!J100,"*キャラ*"),
VLOOKUP("*キャラ*",商品マスタ一覧!$D:$J,7,FALSE),
IF(COUNTIF('盛付札（関数）'!J100,"*赤*"),
VLOOKUP("*赤*",商品マスタ一覧!$D:$J,7,FALSE),
VLOOKUP('盛付札（関数）'!J100,商品マスタ一覧!$D:$J,7,FALSE)))*M100),""),"")</f>
        <v/>
      </c>
      <c r="Q100" s="81" t="e" cm="1">
        <f t="array" aca="1" ref="Q100" ca="1">IF(Q17&lt;&gt;100,
IF(R102&lt;&gt;"",MATCH(R102,INDIRECT("数出表_Excel!B"&amp;MATCH(V15,数出表_Excel!$A:$A,0)-1&amp;":U"&amp;MATCH(V15,数出表_Excel!$A:$A,0)-1&amp;""),0)+1,""),
IF(R102&lt;&gt;"",
MATCH(
IFERROR(
INDEX(INDIRECT("数出表_Excel!"&amp;Q99&amp;MATCH(V15,数出表_Excel!$A:$A,0)-1&amp;":U"&amp;MATCH(V15,数出表_Excel!$A:$A,0)-1&amp;""),
 1,
 MATCH(TRUE, ISNUMBER(--INDIRECT("数出表_Excel!"&amp;Q99&amp;MATCH(V15,数出表_Excel!$A:$A,0)-1&amp;":U"&amp;MATCH(V15,数出表_Excel!$A:$A,0)-1&amp;"")),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00" s="58" t="str" cm="1">
        <f t="array" aca="1" ref="R100" ca="1">IFERROR(IF(OR(
COUNTIF(INDIRECT("数出表_Excel!" &amp;
CHAR(MATCH(TRUE,
ISNUMBER(--INDIRECT("数出表_Excel!"&amp;Q99&amp;MATCH(V15,数出表_Excel!$A:$A,0)-1&amp;":U"&amp;MATCH(V15,数出表_Excel!$A:$A,0)-1&amp;"")),0)
+MATCH(TRUE, ISNUMBER(--INDIRECT("数出表_Excel!B" &amp; (MATCH(V15,数出表_Excel!$A:$A,0)-1) &amp; ":U" &amp; (MATCH(V15,数出表_Excel!$A:$A,0)-1))), 0)
+MATCH(TRUE, ISNUMBER(--INDIRECT("数出表_Excel!"&amp;Q57&amp; (MATCH(V15,数出表_Excel!$A:$A,0)-1) &amp; ":U" &amp; (MATCH(V15,数出表_Excel!$A:$A,0)-1))), 0)
+65) &amp; "3"),"*配膳*"),
COUNTIF(INDIRECT("数出表_Excel!" &amp;
CHAR(MATCH(TRUE,
ISNUMBER(--INDIRECT("数出表_Excel!"&amp;Q99&amp;MATCH(V15,数出表_Excel!$A:$A,0)-1&amp;":U"&amp;MATCH(V15,数出表_Excel!$A:$A,0)-1&amp;"")),0)
+MATCH(TRUE, ISNUMBER(--INDIRECT("数出表_Excel!B" &amp; (MATCH(V15,数出表_Excel!$A:$A,0)-1) &amp; ":U" &amp; (MATCH(V15,数出表_Excel!$A:$A,0)-1))), 0)
+MATCH(TRUE, ISNUMBER(--INDIRECT("数出表_Excel!"&amp;Q57&amp; (MATCH(V15,数出表_Excel!$A:$A,0)-1) &amp; ":U" &amp; (MATCH(V15,数出表_Excel!$A:$A,0)-1))), 0)
+65) &amp; "3"),"*カレー*"),
COUNTIF(R57,"*合計*")),"",
IF(IFERROR(INDIRECT("数出表_Excel!" &amp;
CHAR(MATCH(TRUE,
ISNUMBER(--INDIRECT("数出表_Excel!"&amp;Q99&amp;MATCH(V15,数出表_Excel!$A:$A,0)-1&amp;":U"&amp;MATCH(V15,数出表_Excel!$A:$A,0)-1&amp;"")),0)
+MATCH(TRUE, ISNUMBER(--INDIRECT("数出表_Excel!B" &amp; (MATCH(V15,数出表_Excel!$A:$A,0)-1) &amp; ":U" &amp; (MATCH(V15,数出表_Excel!$A:$A,0)-1))), 0)
+MATCH(TRUE, ISNUMBER(--INDIRECT("数出表_Excel!"&amp;Q57&amp; (MATCH(V15,数出表_Excel!$A:$A,0)-1) &amp; ":U" &amp; (MATCH(V15,数出表_Excel!$A:$A,0)-1))), 0)
+65) &amp; "3"),0)=0,"",
IFERROR(INDIRECT("数出表_Excel!" &amp;
CHAR(MATCH(TRUE,
ISNUMBER(--INDIRECT("数出表_Excel!"&amp;Q99&amp;MATCH(V15,数出表_Excel!$A:$A,0)-1&amp;":U"&amp;MATCH(V15,数出表_Excel!$A:$A,0)-1&amp;"")),0)
+MATCH(TRUE, ISNUMBER(--INDIRECT("数出表_Excel!B" &amp; (MATCH(V15,数出表_Excel!$A:$A,0)-1) &amp; ":U" &amp; (MATCH(V15,数出表_Excel!$A:$A,0)-1))), 0)
+MATCH(TRUE, ISNUMBER(--INDIRECT("数出表_Excel!"&amp;Q57&amp; (MATCH(V15,数出表_Excel!$A:$A,0)-1) &amp; ":U" &amp; (MATCH(V15,数出表_Excel!$A:$A,0)-1))), 0)
+65) &amp; "3"),""))),"")</f>
        <v/>
      </c>
      <c r="S100" s="76"/>
      <c r="T100" s="82" t="str" cm="1">
        <f t="array" aca="1" ref="T100" ca="1">IF(U100&lt;&gt;"","",
IF(COUNTIF(R99,"*雙葉*"),"",
IF(R99&lt;&gt;"",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+MATCH(TRUE,INDIRECT("'数出表_Excel'!"&amp;Q99&amp;MATCH(V15,数出表_Excel!$A:$A,0)-1&amp;":AL"&amp;MATCH(V15,数出表_Excel!$A:$A,0)-1&amp;"")&lt;&gt;"",0))&gt;9,"",
IFERROR(
INDEX(INDIRECT("数出表_Excel!$"&amp;Q99&amp;"4:$AL4"),
 1,
MATCH(TRUE,INDIRECT("'数出表_Excel'!"&amp;Q99&amp;MATCH(V15,数出表_Excel!$A:$A,0)-1&amp;":AL"&amp;MATCH(V15,数出表_Excel!$A:$A,0)-1&amp;"")&lt;&gt;"",0)
),
 "")
&amp;IFERROR(
INDEX(INDIRECT("数出表_Excel!$"&amp;Q99&amp;"5:$AL5"),
 1,
MATCH(TRUE,INDIRECT("'数出表_Excel'!"&amp;Q99&amp;MATCH(V15,数出表_Excel!$A:$A,0)-1&amp;":AL"&amp;MATCH(V15,数出表_Excel!$A:$A,0)-1&amp;"")&lt;&gt;"",0)),
 "")),"")))</f>
        <v/>
      </c>
      <c r="U100" s="83" t="str" cm="1">
        <f t="array" aca="1" ref="U100" ca="1">IF(R100&lt;&gt;"",
IF(COUNTIF(R99,"*雙葉*"),
IF(ROUND(
IF(U105&lt;&gt;"",(R102-U105),R102)
/IF(COUNTIF(R100,"*キャラ*"),
VLOOKUP("*キャラ*",商品マスタ一覧!$D:$J,7,FALSE),
IF(COUNTIF(R100,"*赤*"),
VLOOKUP("*赤*",商品マスタ一覧!$D:$J,7,FALSE),
VLOOKUP(R100,商品マスタ一覧!$D:$J,7,FALSE))),0)&lt;=0,1,
ROUND(
IF(U105&lt;&gt;"",(R102-U105),R102)
/IF(COUNTIF(R100,"*キャラ*"),
VLOOKUP("*キャラ*",商品マスタ一覧!$D:$J,7,FALSE),
IF(COUNTIF(R100,"*赤*"),
VLOOKUP("*赤*",商品マスタ一覧!$D:$J,7,FALSE),
VLOOKUP(R100,商品マスタ一覧!$D:$J,7,FALSE))),0)),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IF(R100&lt;&gt;"",
IF(IF(COUNTIF(R100,"*キャラ*"),
VLOOKUP("*キャラ*",商品マスタ一覧!$D:$J,7,FALSE),
IF(COUNTIF(R100,"*赤*"),
VLOOKUP("*赤*",商品マスタ一覧!$D:$J,7,FALSE),
VLOOKUP(R100,商品マスタ一覧!$D:$J,7,FALSE)))=0,"",
IF(ROUND(
IF(U105&lt;&gt;"",(R102-U105),R102)
/IF(COUNTIF(R100,"*キャラ*"),
VLOOKUP("*キャラ*",商品マスタ一覧!$D:$J,7,FALSE),
IF(COUNTIF(R100,"*赤*"),
VLOOKUP("*赤*",商品マスタ一覧!$D:$J,7,FALSE),
VLOOKUP(R100,商品マスタ一覧!$D:$J,7,FALSE))),0)&lt;=0,1,
ROUND(
IF(U105&lt;&gt;"",(R102-U105),R102)
/IF(COUNTIF(R100,"*キャラ*"),
VLOOKUP("*キャラ*",商品マスタ一覧!$D:$J,7,FALSE),
IF(COUNTIF(R100,"*赤*"),
VLOOKUP("*赤*",商品マスタ一覧!$D:$J,7,FALSE),
VLOOKUP(R100,商品マスタ一覧!$D:$J,7,FALSE))),0))),""),"")),"")</f>
        <v/>
      </c>
      <c r="V100" s="92" t="str">
        <f ca="1">IF(U100&lt;&gt;"",IF(R102&lt;&gt;"",IF(VALUE(IF(U105&lt;&gt;"",R102-U105,R102))&gt;VALUE(IF(COUNTIF('盛付札（関数）'!R100,"*キャラ*"),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VLOOKUP('盛付札（関数）'!R100,商品マスタ一覧!$D:$J,7,FALSE)))*U100),
"+"&amp;IF(U105&lt;&gt;"",R102-U105,R102)-IF(COUNTIF('盛付札（関数）'!R100,"*キャラ*"),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VLOOKUP('盛付札（関数）'!R100,商品マスタ一覧!$D:$J,7,FALSE)))*U100,
IF(U105&lt;&gt;"",R102-U105,R102)-IF(COUNTIF('盛付札（関数）'!R100,"*キャラ*"),
VLOOKUP("*キャラ*",商品マスタ一覧!$D:$J,7,FALSE),
IF(COUNTIF('盛付札（関数）'!R100,"*赤*"),
VLOOKUP("*赤*",商品マスタ一覧!$D:$J,7,FALSE),
VLOOKUP('盛付札（関数）'!R100,商品マスタ一覧!$D:$J,7,FALSE)))*U100),""),"")</f>
        <v/>
      </c>
      <c r="W100" s="76"/>
      <c r="X100" s="81" t="e" cm="1">
        <f t="array" aca="1" ref="X100" ca="1">IF(X17&lt;&gt;100,
IF(Y102&lt;&gt;"",MATCH(Y102,INDIRECT("数出表_Excel!B"&amp;MATCH(AC15,数出表_Excel!$A:$A,0)-1&amp;":U"&amp;MATCH(AC15,数出表_Excel!$A:$A,0)-1&amp;""),0)+1,""),
IF(Y102&lt;&gt;"",
MATCH(
IFERROR(
INDEX(INDIRECT("数出表_Excel!"&amp;X99&amp;MATCH(AC15,数出表_Excel!$A:$A,0)-1&amp;":U"&amp;MATCH(AC15,数出表_Excel!$A:$A,0)-1&amp;""),
 1,
 MATCH(TRUE, ISNUMBER(--INDIRECT("数出表_Excel!"&amp;X99&amp;MATCH(AC15,数出表_Excel!$A:$A,0)-1&amp;":U"&amp;MATCH(AC15,数出表_Excel!$A:$A,0)-1&amp;"")),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00" s="58" t="str" cm="1">
        <f t="array" aca="1" ref="Y100" ca="1">IFERROR(IF(OR(
COUNTIF(INDIRECT("数出表_Excel!" &amp;
CHAR(MATCH(TRUE,
ISNUMBER(--INDIRECT("数出表_Excel!"&amp;X99&amp;MATCH(AC15,数出表_Excel!$A:$A,0)-1&amp;":U"&amp;MATCH(AC15,数出表_Excel!$A:$A,0)-1&amp;"")),0)
+MATCH(TRUE, ISNUMBER(--INDIRECT("数出表_Excel!B" &amp; (MATCH(AC15,数出表_Excel!$A:$A,0)-1) &amp; ":U" &amp; (MATCH(AC15,数出表_Excel!$A:$A,0)-1))), 0)
+MATCH(TRUE, ISNUMBER(--INDIRECT("数出表_Excel!"&amp;X57&amp; (MATCH(AC15,数出表_Excel!$A:$A,0)-1) &amp; ":U" &amp; (MATCH(AC15,数出表_Excel!$A:$A,0)-1))), 0)
+65) &amp; "3"),"*配膳*"),
COUNTIF(INDIRECT("数出表_Excel!" &amp;
CHAR(MATCH(TRUE,
ISNUMBER(--INDIRECT("数出表_Excel!"&amp;X99&amp;MATCH(AC15,数出表_Excel!$A:$A,0)-1&amp;":U"&amp;MATCH(AC15,数出表_Excel!$A:$A,0)-1&amp;"")),0)
+MATCH(TRUE, ISNUMBER(--INDIRECT("数出表_Excel!B" &amp; (MATCH(AC15,数出表_Excel!$A:$A,0)-1) &amp; ":U" &amp; (MATCH(AC15,数出表_Excel!$A:$A,0)-1))), 0)
+MATCH(TRUE, ISNUMBER(--INDIRECT("数出表_Excel!"&amp;X57&amp; (MATCH(AC15,数出表_Excel!$A:$A,0)-1) &amp; ":U" &amp; (MATCH(AC15,数出表_Excel!$A:$A,0)-1))), 0)
+65) &amp; "3"),"*カレー*"),
COUNTIF(Y57,"*合計*")),"",
IF(IFERROR(INDIRECT("数出表_Excel!" &amp;
CHAR(MATCH(TRUE,
ISNUMBER(--INDIRECT("数出表_Excel!"&amp;X99&amp;MATCH(AC15,数出表_Excel!$A:$A,0)-1&amp;":U"&amp;MATCH(AC15,数出表_Excel!$A:$A,0)-1&amp;"")),0)
+MATCH(TRUE, ISNUMBER(--INDIRECT("数出表_Excel!B" &amp; (MATCH(AC15,数出表_Excel!$A:$A,0)-1) &amp; ":U" &amp; (MATCH(AC15,数出表_Excel!$A:$A,0)-1))), 0)
+MATCH(TRUE, ISNUMBER(--INDIRECT("数出表_Excel!"&amp;X57&amp; (MATCH(AC15,数出表_Excel!$A:$A,0)-1) &amp; ":U" &amp; (MATCH(AC15,数出表_Excel!$A:$A,0)-1))), 0)
+65) &amp; "3"),0)=0,"",
IFERROR(INDIRECT("数出表_Excel!" &amp;
CHAR(MATCH(TRUE,
ISNUMBER(--INDIRECT("数出表_Excel!"&amp;X99&amp;MATCH(AC15,数出表_Excel!$A:$A,0)-1&amp;":U"&amp;MATCH(AC15,数出表_Excel!$A:$A,0)-1&amp;"")),0)
+MATCH(TRUE, ISNUMBER(--INDIRECT("数出表_Excel!B" &amp; (MATCH(AC15,数出表_Excel!$A:$A,0)-1) &amp; ":U" &amp; (MATCH(AC15,数出表_Excel!$A:$A,0)-1))), 0)
+MATCH(TRUE, ISNUMBER(--INDIRECT("数出表_Excel!"&amp;X57&amp; (MATCH(AC15,数出表_Excel!$A:$A,0)-1) &amp; ":U" &amp; (MATCH(AC15,数出表_Excel!$A:$A,0)-1))), 0)
+65) &amp; "3"),""))),"")</f>
        <v/>
      </c>
      <c r="Z100" s="76"/>
      <c r="AA100" s="82" t="str" cm="1">
        <f t="array" aca="1" ref="AA100" ca="1">IF(AB100&lt;&gt;"","",
IF(COUNTIF(Y99,"*雙葉*"),"",
IF(Y99&lt;&gt;"",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+MATCH(TRUE,INDIRECT("'数出表_Excel'!"&amp;X99&amp;MATCH(AC15,数出表_Excel!$A:$A,0)-1&amp;":AL"&amp;MATCH(AC15,数出表_Excel!$A:$A,0)-1&amp;"")&lt;&gt;"",0))&gt;9,"",
IFERROR(
INDEX(INDIRECT("数出表_Excel!$"&amp;X99&amp;"4:$AL4"),
 1,
MATCH(TRUE,INDIRECT("'数出表_Excel'!"&amp;X99&amp;MATCH(AC15,数出表_Excel!$A:$A,0)-1&amp;":AL"&amp;MATCH(AC15,数出表_Excel!$A:$A,0)-1&amp;"")&lt;&gt;"",0)
),
 "")
&amp;IFERROR(
INDEX(INDIRECT("数出表_Excel!$"&amp;X99&amp;"5:$AL5"),
 1,
MATCH(TRUE,INDIRECT("'数出表_Excel'!"&amp;X99&amp;MATCH(AC15,数出表_Excel!$A:$A,0)-1&amp;":AL"&amp;MATCH(AC15,数出表_Excel!$A:$A,0)-1&amp;"")&lt;&gt;"",0)),
 "")),"")))</f>
        <v/>
      </c>
      <c r="AB100" s="83" t="str" cm="1">
        <f t="array" aca="1" ref="AB100" ca="1">IF(Y100&lt;&gt;"",
IF(COUNTIF(Y99,"*雙葉*"),
IF(ROUND(
IF(AB105&lt;&gt;"",(Y102-AB105),Y102)
/IF(COUNTIF(Y100,"*キャラ*"),
VLOOKUP("*キャラ*",商品マスタ一覧!$D:$J,7,FALSE),
IF(COUNTIF(Y100,"*赤*"),
VLOOKUP("*赤*",商品マスタ一覧!$D:$J,7,FALSE),
VLOOKUP(Y100,商品マスタ一覧!$D:$J,7,FALSE))),0)&lt;=0,1,
ROUND(
IF(AB105&lt;&gt;"",(Y102-AB105),Y102)
/IF(COUNTIF(Y100,"*キャラ*"),
VLOOKUP("*キャラ*",商品マスタ一覧!$D:$J,7,FALSE),
IF(COUNTIF(Y100,"*赤*"),
VLOOKUP("*赤*",商品マスタ一覧!$D:$J,7,FALSE),
VLOOKUP(Y100,商品マスタ一覧!$D:$J,7,FALSE))),0)),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IF(Y100&lt;&gt;"",
IF(IF(COUNTIF(Y100,"*キャラ*"),
VLOOKUP("*キャラ*",商品マスタ一覧!$D:$J,7,FALSE),
IF(COUNTIF(Y100,"*赤*"),
VLOOKUP("*赤*",商品マスタ一覧!$D:$J,7,FALSE),
VLOOKUP(Y100,商品マスタ一覧!$D:$J,7,FALSE)))=0,"",
IF(ROUND(
IF(AB105&lt;&gt;"",(Y102-AB105),Y102)
/IF(COUNTIF(Y100,"*キャラ*"),
VLOOKUP("*キャラ*",商品マスタ一覧!$D:$J,7,FALSE),
IF(COUNTIF(Y100,"*赤*"),
VLOOKUP("*赤*",商品マスタ一覧!$D:$J,7,FALSE),
VLOOKUP(Y100,商品マスタ一覧!$D:$J,7,FALSE))),0)&lt;=0,1,
ROUND(
IF(AB105&lt;&gt;"",(Y102-AB105),Y102)
/IF(COUNTIF(Y100,"*キャラ*"),
VLOOKUP("*キャラ*",商品マスタ一覧!$D:$J,7,FALSE),
IF(COUNTIF(Y100,"*赤*"),
VLOOKUP("*赤*",商品マスタ一覧!$D:$J,7,FALSE),
VLOOKUP(Y100,商品マスタ一覧!$D:$J,7,FALSE))),0))),""),"")),"")</f>
        <v/>
      </c>
      <c r="AC100" s="92" t="str">
        <f ca="1">IF(AB100&lt;&gt;"",IF(Y102&lt;&gt;"",IF(VALUE(IF(AB105&lt;&gt;"",Y102-AB105,Y102))&gt;VALUE(IF(COUNTIF('盛付札（関数）'!Y100,"*キャラ*"),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VLOOKUP('盛付札（関数）'!Y100,商品マスタ一覧!$D:$J,7,FALSE)))*AB100),
"+"&amp;IF(AB105&lt;&gt;"",Y102-AB105,Y102)-IF(COUNTIF('盛付札（関数）'!Y100,"*キャラ*"),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VLOOKUP('盛付札（関数）'!Y100,商品マスタ一覧!$D:$J,7,FALSE)))*AB100,
IF(AB105&lt;&gt;"",Y102-AB105,Y102)-IF(COUNTIF('盛付札（関数）'!Y100,"*キャラ*"),
VLOOKUP("*キャラ*",商品マスタ一覧!$D:$J,7,FALSE),
IF(COUNTIF('盛付札（関数）'!Y100,"*赤*"),
VLOOKUP("*赤*",商品マスタ一覧!$D:$J,7,FALSE),
VLOOKUP('盛付札（関数）'!Y100,商品マスタ一覧!$D:$J,7,FALSE)))*AB100),""),"")</f>
        <v/>
      </c>
      <c r="AF100" s="81" t="e" cm="1">
        <f t="array" aca="1" ref="AF100" ca="1">IF(AF17&lt;&gt;100,
IF(AG102&lt;&gt;"",MATCH(AG102,INDIRECT("数出表_Excel!B"&amp;MATCH(AK15,数出表_Excel!$A:$A,0)-1&amp;":U"&amp;MATCH(AK15,数出表_Excel!$A:$A,0)-1&amp;""),0)+1,""),
IF(AG102&lt;&gt;"",
MATCH(
IFERROR(
INDEX(INDIRECT("数出表_Excel!"&amp;AF99&amp;MATCH(AK15,数出表_Excel!$A:$A,0)-1&amp;":U"&amp;MATCH(AK15,数出表_Excel!$A:$A,0)-1&amp;""),
 1,
 MATCH(TRUE, ISNUMBER(--INDIRECT("数出表_Excel!"&amp;AF99&amp;MATCH(AK15,数出表_Excel!$A:$A,0)-1&amp;":U"&amp;MATCH(AK15,数出表_Excel!$A:$A,0)-1&amp;"")),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00" s="58" t="str" cm="1">
        <f t="array" aca="1" ref="AG100" ca="1">IFERROR(IF(OR(
COUNTIF(INDIRECT("数出表_Excel!" &amp;
CHAR(MATCH(TRUE,
ISNUMBER(--INDIRECT("数出表_Excel!"&amp;AF99&amp;MATCH(AK15,数出表_Excel!$A:$A,0)-1&amp;":U"&amp;MATCH(AK15,数出表_Excel!$A:$A,0)-1&amp;"")),0)
+MATCH(TRUE, ISNUMBER(--INDIRECT("数出表_Excel!B" &amp; (MATCH(AK15,数出表_Excel!$A:$A,0)-1) &amp; ":U" &amp; (MATCH(AK15,数出表_Excel!$A:$A,0)-1))), 0)
+MATCH(TRUE, ISNUMBER(--INDIRECT("数出表_Excel!"&amp;AF57&amp; (MATCH(AK15,数出表_Excel!$A:$A,0)-1) &amp; ":U" &amp; (MATCH(AK15,数出表_Excel!$A:$A,0)-1))), 0)
+65) &amp; "3"),"*配膳*"),
COUNTIF(INDIRECT("数出表_Excel!" &amp;
CHAR(MATCH(TRUE,
ISNUMBER(--INDIRECT("数出表_Excel!"&amp;AF99&amp;MATCH(AK15,数出表_Excel!$A:$A,0)-1&amp;":U"&amp;MATCH(AK15,数出表_Excel!$A:$A,0)-1&amp;"")),0)
+MATCH(TRUE, ISNUMBER(--INDIRECT("数出表_Excel!B" &amp; (MATCH(AK15,数出表_Excel!$A:$A,0)-1) &amp; ":U" &amp; (MATCH(AK15,数出表_Excel!$A:$A,0)-1))), 0)
+MATCH(TRUE, ISNUMBER(--INDIRECT("数出表_Excel!"&amp;AF57&amp; (MATCH(AK15,数出表_Excel!$A:$A,0)-1) &amp; ":U" &amp; (MATCH(AK15,数出表_Excel!$A:$A,0)-1))), 0)
+65) &amp; "3"),"*カレー*"),
COUNTIF(AG57,"*合計*")),"",
IF(IFERROR(INDIRECT("数出表_Excel!" &amp;
CHAR(MATCH(TRUE,
ISNUMBER(--INDIRECT("数出表_Excel!"&amp;AF99&amp;MATCH(AK15,数出表_Excel!$A:$A,0)-1&amp;":U"&amp;MATCH(AK15,数出表_Excel!$A:$A,0)-1&amp;"")),0)
+MATCH(TRUE, ISNUMBER(--INDIRECT("数出表_Excel!B" &amp; (MATCH(AK15,数出表_Excel!$A:$A,0)-1) &amp; ":U" &amp; (MATCH(AK15,数出表_Excel!$A:$A,0)-1))), 0)
+MATCH(TRUE, ISNUMBER(--INDIRECT("数出表_Excel!"&amp;AF57&amp; (MATCH(AK15,数出表_Excel!$A:$A,0)-1) &amp; ":U" &amp; (MATCH(AK15,数出表_Excel!$A:$A,0)-1))), 0)
+65) &amp; "3"),0)=0,"",
IFERROR(INDIRECT("数出表_Excel!" &amp;
CHAR(MATCH(TRUE,
ISNUMBER(--INDIRECT("数出表_Excel!"&amp;AF99&amp;MATCH(AK15,数出表_Excel!$A:$A,0)-1&amp;":U"&amp;MATCH(AK15,数出表_Excel!$A:$A,0)-1&amp;"")),0)
+MATCH(TRUE, ISNUMBER(--INDIRECT("数出表_Excel!B" &amp; (MATCH(AK15,数出表_Excel!$A:$A,0)-1) &amp; ":U" &amp; (MATCH(AK15,数出表_Excel!$A:$A,0)-1))), 0)
+MATCH(TRUE, ISNUMBER(--INDIRECT("数出表_Excel!"&amp;AF57&amp; (MATCH(AK15,数出表_Excel!$A:$A,0)-1) &amp; ":U" &amp; (MATCH(AK15,数出表_Excel!$A:$A,0)-1))), 0)
+65) &amp; "3"),""))),"")</f>
        <v/>
      </c>
      <c r="AH100" s="76"/>
      <c r="AI100" s="82" t="str" cm="1">
        <f t="array" aca="1" ref="AI100" ca="1">IF(AJ100&lt;&gt;"","",
IF(COUNTIF(AG99,"*雙葉*"),"",
IF(AG99&lt;&gt;"",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+MATCH(TRUE,INDIRECT("'数出表_Excel'!"&amp;AF99&amp;MATCH(AK15,数出表_Excel!$A:$A,0)-1&amp;":AL"&amp;MATCH(AK15,数出表_Excel!$A:$A,0)-1&amp;"")&lt;&gt;"",0))&gt;9,"",
IFERROR(
INDEX(INDIRECT("数出表_Excel!$"&amp;AF99&amp;"4:$AL4"),
 1,
MATCH(TRUE,INDIRECT("'数出表_Excel'!"&amp;AF99&amp;MATCH(AK15,数出表_Excel!$A:$A,0)-1&amp;":AL"&amp;MATCH(AK15,数出表_Excel!$A:$A,0)-1&amp;"")&lt;&gt;"",0)
),
 "")
&amp;IFERROR(
INDEX(INDIRECT("数出表_Excel!$"&amp;AF99&amp;"5:$AL5"),
 1,
MATCH(TRUE,INDIRECT("'数出表_Excel'!"&amp;AF99&amp;MATCH(AK15,数出表_Excel!$A:$A,0)-1&amp;":AL"&amp;MATCH(AK15,数出表_Excel!$A:$A,0)-1&amp;"")&lt;&gt;"",0)),
 "")),"")))</f>
        <v/>
      </c>
      <c r="AJ100" s="83" t="str" cm="1">
        <f t="array" aca="1" ref="AJ100" ca="1">IF(AG100&lt;&gt;"",
IF(COUNTIF(AG99,"*雙葉*"),
IF(ROUND(
IF(AJ105&lt;&gt;"",(AG102-AJ105),AG102)
/IF(COUNTIF(AG100,"*キャラ*"),
VLOOKUP("*キャラ*",商品マスタ一覧!$D:$J,7,FALSE),
IF(COUNTIF(AG100,"*赤*"),
VLOOKUP("*赤*",商品マスタ一覧!$D:$J,7,FALSE),
VLOOKUP(AG100,商品マスタ一覧!$D:$J,7,FALSE))),0)&lt;=0,1,
ROUND(
IF(AJ105&lt;&gt;"",(AG102-AJ105),AG102)
/IF(COUNTIF(AG100,"*キャラ*"),
VLOOKUP("*キャラ*",商品マスタ一覧!$D:$J,7,FALSE),
IF(COUNTIF(AG100,"*赤*"),
VLOOKUP("*赤*",商品マスタ一覧!$D:$J,7,FALSE),
VLOOKUP(AG100,商品マスタ一覧!$D:$J,7,FALSE))),0)),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IF(AG100&lt;&gt;"",
IF(IF(COUNTIF(AG100,"*キャラ*"),
VLOOKUP("*キャラ*",商品マスタ一覧!$D:$J,7,FALSE),
IF(COUNTIF(AG100,"*赤*"),
VLOOKUP("*赤*",商品マスタ一覧!$D:$J,7,FALSE),
VLOOKUP(AG100,商品マスタ一覧!$D:$J,7,FALSE)))=0,"",
IF(ROUND(
IF(AJ105&lt;&gt;"",(AG102-AJ105),AG102)
/IF(COUNTIF(AG100,"*キャラ*"),
VLOOKUP("*キャラ*",商品マスタ一覧!$D:$J,7,FALSE),
IF(COUNTIF(AG100,"*赤*"),
VLOOKUP("*赤*",商品マスタ一覧!$D:$J,7,FALSE),
VLOOKUP(AG100,商品マスタ一覧!$D:$J,7,FALSE))),0)&lt;=0,1,
ROUND(
IF(AJ105&lt;&gt;"",(AG102-AJ105),AG102)
/IF(COUNTIF(AG100,"*キャラ*"),
VLOOKUP("*キャラ*",商品マスタ一覧!$D:$J,7,FALSE),
IF(COUNTIF(AG100,"*赤*"),
VLOOKUP("*赤*",商品マスタ一覧!$D:$J,7,FALSE),
VLOOKUP(AG100,商品マスタ一覧!$D:$J,7,FALSE))),0))),""),"")),"")</f>
        <v/>
      </c>
      <c r="AK100" s="92" t="str">
        <f ca="1">IF(AJ100&lt;&gt;"",IF(AG102&lt;&gt;"",IF(VALUE(IF(AJ105&lt;&gt;"",AG102-AJ105,AG102))&gt;VALUE(IF(COUNTIF('盛付札（関数）'!AG100,"*キャラ*"),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VLOOKUP('盛付札（関数）'!AG100,商品マスタ一覧!$D:$J,7,FALSE)))*AJ100),
"+"&amp;IF(AJ105&lt;&gt;"",AG102-AJ105,AG102)-IF(COUNTIF('盛付札（関数）'!AG100,"*キャラ*"),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VLOOKUP('盛付札（関数）'!AG100,商品マスタ一覧!$D:$J,7,FALSE)))*AJ100,
IF(AJ105&lt;&gt;"",AG102-AJ105,AG102)-IF(COUNTIF('盛付札（関数）'!AG100,"*キャラ*"),
VLOOKUP("*キャラ*",商品マスタ一覧!$D:$J,7,FALSE),
IF(COUNTIF('盛付札（関数）'!AG100,"*赤*"),
VLOOKUP("*赤*",商品マスタ一覧!$D:$J,7,FALSE),
VLOOKUP('盛付札（関数）'!AG100,商品マスタ一覧!$D:$J,7,FALSE)))*AJ100),""),"")</f>
        <v/>
      </c>
      <c r="AL100" s="76"/>
      <c r="AM100" s="81" t="e" cm="1">
        <f t="array" aca="1" ref="AM100" ca="1">IF(AM17&lt;&gt;100,
IF(AN102&lt;&gt;"",MATCH(AN102,INDIRECT("数出表_Excel!B"&amp;MATCH(AR15,数出表_Excel!$A:$A,0)-1&amp;":U"&amp;MATCH(AR15,数出表_Excel!$A:$A,0)-1&amp;""),0)+1,""),
IF(AN102&lt;&gt;"",
MATCH(
IFERROR(
INDEX(INDIRECT("数出表_Excel!"&amp;AM99&amp;MATCH(AR15,数出表_Excel!$A:$A,0)-1&amp;":U"&amp;MATCH(AR15,数出表_Excel!$A:$A,0)-1&amp;""),
 1,
 MATCH(TRUE, ISNUMBER(--INDIRECT("数出表_Excel!"&amp;AM99&amp;MATCH(AR15,数出表_Excel!$A:$A,0)-1&amp;":U"&amp;MATCH(AR15,数出表_Excel!$A:$A,0)-1&amp;"")),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00" s="58" t="str" cm="1">
        <f t="array" aca="1" ref="AN100" ca="1">IFERROR(IF(OR(
COUNTIF(INDIRECT("数出表_Excel!" &amp;
CHAR(MATCH(TRUE,
ISNUMBER(--INDIRECT("数出表_Excel!"&amp;AM99&amp;MATCH(AR15,数出表_Excel!$A:$A,0)-1&amp;":U"&amp;MATCH(AR15,数出表_Excel!$A:$A,0)-1&amp;"")),0)
+MATCH(TRUE, ISNUMBER(--INDIRECT("数出表_Excel!B" &amp; (MATCH(AR15,数出表_Excel!$A:$A,0)-1) &amp; ":U" &amp; (MATCH(AR15,数出表_Excel!$A:$A,0)-1))), 0)
+MATCH(TRUE, ISNUMBER(--INDIRECT("数出表_Excel!"&amp;AM57&amp; (MATCH(AR15,数出表_Excel!$A:$A,0)-1) &amp; ":U" &amp; (MATCH(AR15,数出表_Excel!$A:$A,0)-1))), 0)
+65) &amp; "3"),"*配膳*"),
COUNTIF(INDIRECT("数出表_Excel!" &amp;
CHAR(MATCH(TRUE,
ISNUMBER(--INDIRECT("数出表_Excel!"&amp;AM99&amp;MATCH(AR15,数出表_Excel!$A:$A,0)-1&amp;":U"&amp;MATCH(AR15,数出表_Excel!$A:$A,0)-1&amp;"")),0)
+MATCH(TRUE, ISNUMBER(--INDIRECT("数出表_Excel!B" &amp; (MATCH(AR15,数出表_Excel!$A:$A,0)-1) &amp; ":U" &amp; (MATCH(AR15,数出表_Excel!$A:$A,0)-1))), 0)
+MATCH(TRUE, ISNUMBER(--INDIRECT("数出表_Excel!"&amp;AM57&amp; (MATCH(AR15,数出表_Excel!$A:$A,0)-1) &amp; ":U" &amp; (MATCH(AR15,数出表_Excel!$A:$A,0)-1))), 0)
+65) &amp; "3"),"*カレー*"),
COUNTIF(AN57,"*合計*")),"",
IF(IFERROR(INDIRECT("数出表_Excel!" &amp;
CHAR(MATCH(TRUE,
ISNUMBER(--INDIRECT("数出表_Excel!"&amp;AM99&amp;MATCH(AR15,数出表_Excel!$A:$A,0)-1&amp;":U"&amp;MATCH(AR15,数出表_Excel!$A:$A,0)-1&amp;"")),0)
+MATCH(TRUE, ISNUMBER(--INDIRECT("数出表_Excel!B" &amp; (MATCH(AR15,数出表_Excel!$A:$A,0)-1) &amp; ":U" &amp; (MATCH(AR15,数出表_Excel!$A:$A,0)-1))), 0)
+MATCH(TRUE, ISNUMBER(--INDIRECT("数出表_Excel!"&amp;AM57&amp; (MATCH(AR15,数出表_Excel!$A:$A,0)-1) &amp; ":U" &amp; (MATCH(AR15,数出表_Excel!$A:$A,0)-1))), 0)
+65) &amp; "3"),0)=0,"",
IFERROR(INDIRECT("数出表_Excel!" &amp;
CHAR(MATCH(TRUE,
ISNUMBER(--INDIRECT("数出表_Excel!"&amp;AM99&amp;MATCH(AR15,数出表_Excel!$A:$A,0)-1&amp;":U"&amp;MATCH(AR15,数出表_Excel!$A:$A,0)-1&amp;"")),0)
+MATCH(TRUE, ISNUMBER(--INDIRECT("数出表_Excel!B" &amp; (MATCH(AR15,数出表_Excel!$A:$A,0)-1) &amp; ":U" &amp; (MATCH(AR15,数出表_Excel!$A:$A,0)-1))), 0)
+MATCH(TRUE, ISNUMBER(--INDIRECT("数出表_Excel!"&amp;AM57&amp; (MATCH(AR15,数出表_Excel!$A:$A,0)-1) &amp; ":U" &amp; (MATCH(AR15,数出表_Excel!$A:$A,0)-1))), 0)
+65) &amp; "3"),""))),"")</f>
        <v/>
      </c>
      <c r="AO100" s="76"/>
      <c r="AP100" s="82" t="str" cm="1">
        <f t="array" aca="1" ref="AP100" ca="1">IF(AQ100&lt;&gt;"","",
IF(COUNTIF(AN99,"*雙葉*"),"",
IF(AN99&lt;&gt;"",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+MATCH(TRUE,INDIRECT("'数出表_Excel'!"&amp;AM99&amp;MATCH(AR15,数出表_Excel!$A:$A,0)-1&amp;":AL"&amp;MATCH(AR15,数出表_Excel!$A:$A,0)-1&amp;"")&lt;&gt;"",0))&gt;9,"",
IFERROR(
INDEX(INDIRECT("数出表_Excel!$"&amp;AM99&amp;"4:$AL4"),
 1,
MATCH(TRUE,INDIRECT("'数出表_Excel'!"&amp;AM99&amp;MATCH(AR15,数出表_Excel!$A:$A,0)-1&amp;":AL"&amp;MATCH(AR15,数出表_Excel!$A:$A,0)-1&amp;"")&lt;&gt;"",0)
),
 "")
&amp;IFERROR(
INDEX(INDIRECT("数出表_Excel!$"&amp;AM99&amp;"5:$AL5"),
 1,
MATCH(TRUE,INDIRECT("'数出表_Excel'!"&amp;AM99&amp;MATCH(AR15,数出表_Excel!$A:$A,0)-1&amp;":AL"&amp;MATCH(AR15,数出表_Excel!$A:$A,0)-1&amp;"")&lt;&gt;"",0)),
 "")),"")))</f>
        <v/>
      </c>
      <c r="AQ100" s="83" t="str" cm="1">
        <f t="array" aca="1" ref="AQ100" ca="1">IF(AN100&lt;&gt;"",
IF(COUNTIF(AN99,"*雙葉*"),
IF(ROUND(
IF(AQ105&lt;&gt;"",(AN102-AQ105),AN102)
/IF(COUNTIF(AN100,"*キャラ*"),
VLOOKUP("*キャラ*",商品マスタ一覧!$D:$J,7,FALSE),
IF(COUNTIF(AN100,"*赤*"),
VLOOKUP("*赤*",商品マスタ一覧!$D:$J,7,FALSE),
VLOOKUP(AN100,商品マスタ一覧!$D:$J,7,FALSE))),0)&lt;=0,1,
ROUND(
IF(AQ105&lt;&gt;"",(AN102-AQ105),AN102)
/IF(COUNTIF(AN100,"*キャラ*"),
VLOOKUP("*キャラ*",商品マスタ一覧!$D:$J,7,FALSE),
IF(COUNTIF(AN100,"*赤*"),
VLOOKUP("*赤*",商品マスタ一覧!$D:$J,7,FALSE),
VLOOKUP(AN100,商品マスタ一覧!$D:$J,7,FALSE))),0)),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IF(AN100&lt;&gt;"",
IF(IF(COUNTIF(AN100,"*キャラ*"),
VLOOKUP("*キャラ*",商品マスタ一覧!$D:$J,7,FALSE),
IF(COUNTIF(AN100,"*赤*"),
VLOOKUP("*赤*",商品マスタ一覧!$D:$J,7,FALSE),
VLOOKUP(AN100,商品マスタ一覧!$D:$J,7,FALSE)))=0,"",
IF(ROUND(
IF(AQ105&lt;&gt;"",(AN102-AQ105),AN102)
/IF(COUNTIF(AN100,"*キャラ*"),
VLOOKUP("*キャラ*",商品マスタ一覧!$D:$J,7,FALSE),
IF(COUNTIF(AN100,"*赤*"),
VLOOKUP("*赤*",商品マスタ一覧!$D:$J,7,FALSE),
VLOOKUP(AN100,商品マスタ一覧!$D:$J,7,FALSE))),0)&lt;=0,1,
ROUND(
IF(AQ105&lt;&gt;"",(AN102-AQ105),AN102)
/IF(COUNTIF(AN100,"*キャラ*"),
VLOOKUP("*キャラ*",商品マスタ一覧!$D:$J,7,FALSE),
IF(COUNTIF(AN100,"*赤*"),
VLOOKUP("*赤*",商品マスタ一覧!$D:$J,7,FALSE),
VLOOKUP(AN100,商品マスタ一覧!$D:$J,7,FALSE))),0))),""),"")),"")</f>
        <v/>
      </c>
      <c r="AR100" s="92" t="str">
        <f ca="1">IF(AQ100&lt;&gt;"",IF(AN102&lt;&gt;"",IF(VALUE(IF(AQ105&lt;&gt;"",AN102-AQ105,AN102))&gt;VALUE(IF(COUNTIF('盛付札（関数）'!AN100,"*キャラ*"),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VLOOKUP('盛付札（関数）'!AN100,商品マスタ一覧!$D:$J,7,FALSE)))*AQ100),
"+"&amp;IF(AQ105&lt;&gt;"",AN102-AQ105,AN102)-IF(COUNTIF('盛付札（関数）'!AN100,"*キャラ*"),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VLOOKUP('盛付札（関数）'!AN100,商品マスタ一覧!$D:$J,7,FALSE)))*AQ100,
IF(AQ105&lt;&gt;"",AN102-AQ105,AN102)-IF(COUNTIF('盛付札（関数）'!AN100,"*キャラ*"),
VLOOKUP("*キャラ*",商品マスタ一覧!$D:$J,7,FALSE),
IF(COUNTIF('盛付札（関数）'!AN100,"*赤*"),
VLOOKUP("*赤*",商品マスタ一覧!$D:$J,7,FALSE),
VLOOKUP('盛付札（関数）'!AN100,商品マスタ一覧!$D:$J,7,FALSE)))*AQ100),""),"")</f>
        <v/>
      </c>
      <c r="AU100" s="81" t="e" cm="1">
        <f t="array" aca="1" ref="AU100" ca="1">IF(AU17&lt;&gt;100,
IF(AV102&lt;&gt;"",MATCH(AV102,INDIRECT("数出表_Excel!B"&amp;MATCH(AZ15,数出表_Excel!$A:$A,0)-1&amp;":U"&amp;MATCH(AZ15,数出表_Excel!$A:$A,0)-1&amp;""),0)+1,""),
IF(AV102&lt;&gt;"",
MATCH(
IFERROR(
INDEX(INDIRECT("数出表_Excel!"&amp;AU99&amp;MATCH(AZ15,数出表_Excel!$A:$A,0)-1&amp;":U"&amp;MATCH(AZ15,数出表_Excel!$A:$A,0)-1&amp;""),
 1,
 MATCH(TRUE, ISNUMBER(--INDIRECT("数出表_Excel!"&amp;AU99&amp;MATCH(AZ15,数出表_Excel!$A:$A,0)-1&amp;":U"&amp;MATCH(AZ15,数出表_Excel!$A:$A,0)-1&amp;"")),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00" s="58" t="str" cm="1">
        <f t="array" aca="1" ref="AV100" ca="1">IFERROR(IF(OR(
COUNTIF(INDIRECT("数出表_Excel!" &amp;
CHAR(MATCH(TRUE,
ISNUMBER(--INDIRECT("数出表_Excel!"&amp;AU99&amp;MATCH(AZ15,数出表_Excel!$A:$A,0)-1&amp;":U"&amp;MATCH(AZ15,数出表_Excel!$A:$A,0)-1&amp;"")),0)
+MATCH(TRUE, ISNUMBER(--INDIRECT("数出表_Excel!B" &amp; (MATCH(AZ15,数出表_Excel!$A:$A,0)-1) &amp; ":U" &amp; (MATCH(AZ15,数出表_Excel!$A:$A,0)-1))), 0)
+MATCH(TRUE, ISNUMBER(--INDIRECT("数出表_Excel!"&amp;AU57&amp; (MATCH(AZ15,数出表_Excel!$A:$A,0)-1) &amp; ":U" &amp; (MATCH(AZ15,数出表_Excel!$A:$A,0)-1))), 0)
+65) &amp; "3"),"*配膳*"),
COUNTIF(INDIRECT("数出表_Excel!" &amp;
CHAR(MATCH(TRUE,
ISNUMBER(--INDIRECT("数出表_Excel!"&amp;AU99&amp;MATCH(AZ15,数出表_Excel!$A:$A,0)-1&amp;":U"&amp;MATCH(AZ15,数出表_Excel!$A:$A,0)-1&amp;"")),0)
+MATCH(TRUE, ISNUMBER(--INDIRECT("数出表_Excel!B" &amp; (MATCH(AZ15,数出表_Excel!$A:$A,0)-1) &amp; ":U" &amp; (MATCH(AZ15,数出表_Excel!$A:$A,0)-1))), 0)
+MATCH(TRUE, ISNUMBER(--INDIRECT("数出表_Excel!"&amp;AU57&amp; (MATCH(AZ15,数出表_Excel!$A:$A,0)-1) &amp; ":U" &amp; (MATCH(AZ15,数出表_Excel!$A:$A,0)-1))), 0)
+65) &amp; "3"),"*カレー*"),
COUNTIF(AV57,"*合計*")),"",
IF(IFERROR(INDIRECT("数出表_Excel!" &amp;
CHAR(MATCH(TRUE,
ISNUMBER(--INDIRECT("数出表_Excel!"&amp;AU99&amp;MATCH(AZ15,数出表_Excel!$A:$A,0)-1&amp;":U"&amp;MATCH(AZ15,数出表_Excel!$A:$A,0)-1&amp;"")),0)
+MATCH(TRUE, ISNUMBER(--INDIRECT("数出表_Excel!B" &amp; (MATCH(AZ15,数出表_Excel!$A:$A,0)-1) &amp; ":U" &amp; (MATCH(AZ15,数出表_Excel!$A:$A,0)-1))), 0)
+MATCH(TRUE, ISNUMBER(--INDIRECT("数出表_Excel!"&amp;AU57&amp; (MATCH(AZ15,数出表_Excel!$A:$A,0)-1) &amp; ":U" &amp; (MATCH(AZ15,数出表_Excel!$A:$A,0)-1))), 0)
+65) &amp; "3"),0)=0,"",
IFERROR(INDIRECT("数出表_Excel!" &amp;
CHAR(MATCH(TRUE,
ISNUMBER(--INDIRECT("数出表_Excel!"&amp;AU99&amp;MATCH(AZ15,数出表_Excel!$A:$A,0)-1&amp;":U"&amp;MATCH(AZ15,数出表_Excel!$A:$A,0)-1&amp;"")),0)
+MATCH(TRUE, ISNUMBER(--INDIRECT("数出表_Excel!B" &amp; (MATCH(AZ15,数出表_Excel!$A:$A,0)-1) &amp; ":U" &amp; (MATCH(AZ15,数出表_Excel!$A:$A,0)-1))), 0)
+MATCH(TRUE, ISNUMBER(--INDIRECT("数出表_Excel!"&amp;AU57&amp; (MATCH(AZ15,数出表_Excel!$A:$A,0)-1) &amp; ":U" &amp; (MATCH(AZ15,数出表_Excel!$A:$A,0)-1))), 0)
+65) &amp; "3"),""))),"")</f>
        <v/>
      </c>
      <c r="AW100" s="76"/>
      <c r="AX100" s="82" t="str" cm="1">
        <f t="array" aca="1" ref="AX100" ca="1">IF(AY100&lt;&gt;"","",
IF(COUNTIF(AV99,"*雙葉*"),"",
IF(AV99&lt;&gt;"",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+MATCH(TRUE,INDIRECT("'数出表_Excel'!"&amp;AU99&amp;MATCH(AZ15,数出表_Excel!$A:$A,0)-1&amp;":AL"&amp;MATCH(AZ15,数出表_Excel!$A:$A,0)-1&amp;"")&lt;&gt;"",0))&gt;9,"",
IFERROR(
INDEX(INDIRECT("数出表_Excel!$"&amp;AU99&amp;"4:$AL4"),
 1,
MATCH(TRUE,INDIRECT("'数出表_Excel'!"&amp;AU99&amp;MATCH(AZ15,数出表_Excel!$A:$A,0)-1&amp;":AL"&amp;MATCH(AZ15,数出表_Excel!$A:$A,0)-1&amp;"")&lt;&gt;"",0)
),
 "")
&amp;IFERROR(
INDEX(INDIRECT("数出表_Excel!$"&amp;AU99&amp;"5:$AL5"),
 1,
MATCH(TRUE,INDIRECT("'数出表_Excel'!"&amp;AU99&amp;MATCH(AZ15,数出表_Excel!$A:$A,0)-1&amp;":AL"&amp;MATCH(AZ15,数出表_Excel!$A:$A,0)-1&amp;"")&lt;&gt;"",0)),
 "")),"")))</f>
        <v/>
      </c>
      <c r="AY100" s="83" t="str" cm="1">
        <f t="array" aca="1" ref="AY100" ca="1">IF(AV100&lt;&gt;"",
IF(COUNTIF(AV99,"*雙葉*"),
IF(ROUND(
IF(AY105&lt;&gt;"",(AV102-AY105),AV102)
/IF(COUNTIF(AV100,"*キャラ*"),
VLOOKUP("*キャラ*",商品マスタ一覧!$D:$J,7,FALSE),
IF(COUNTIF(AV100,"*赤*"),
VLOOKUP("*赤*",商品マスタ一覧!$D:$J,7,FALSE),
VLOOKUP(AV100,商品マスタ一覧!$D:$J,7,FALSE))),0)&lt;=0,1,
ROUND(
IF(AY105&lt;&gt;"",(AV102-AY105),AV102)
/IF(COUNTIF(AV100,"*キャラ*"),
VLOOKUP("*キャラ*",商品マスタ一覧!$D:$J,7,FALSE),
IF(COUNTIF(AV100,"*赤*"),
VLOOKUP("*赤*",商品マスタ一覧!$D:$J,7,FALSE),
VLOOKUP(AV100,商品マスタ一覧!$D:$J,7,FALSE))),0)),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IF(AV100&lt;&gt;"",
IF(IF(COUNTIF(AV100,"*キャラ*"),
VLOOKUP("*キャラ*",商品マスタ一覧!$D:$J,7,FALSE),
IF(COUNTIF(AV100,"*赤*"),
VLOOKUP("*赤*",商品マスタ一覧!$D:$J,7,FALSE),
VLOOKUP(AV100,商品マスタ一覧!$D:$J,7,FALSE)))=0,"",
IF(ROUND(
IF(AY105&lt;&gt;"",(AV102-AY105),AV102)
/IF(COUNTIF(AV100,"*キャラ*"),
VLOOKUP("*キャラ*",商品マスタ一覧!$D:$J,7,FALSE),
IF(COUNTIF(AV100,"*赤*"),
VLOOKUP("*赤*",商品マスタ一覧!$D:$J,7,FALSE),
VLOOKUP(AV100,商品マスタ一覧!$D:$J,7,FALSE))),0)&lt;=0,1,
ROUND(
IF(AY105&lt;&gt;"",(AV102-AY105),AV102)
/IF(COUNTIF(AV100,"*キャラ*"),
VLOOKUP("*キャラ*",商品マスタ一覧!$D:$J,7,FALSE),
IF(COUNTIF(AV100,"*赤*"),
VLOOKUP("*赤*",商品マスタ一覧!$D:$J,7,FALSE),
VLOOKUP(AV100,商品マスタ一覧!$D:$J,7,FALSE))),0))),""),"")),"")</f>
        <v/>
      </c>
      <c r="AZ100" s="92" t="str">
        <f ca="1">IF(AY100&lt;&gt;"",IF(AV102&lt;&gt;"",IF(VALUE(IF(AY105&lt;&gt;"",AV102-AY105,AV102))&gt;VALUE(IF(COUNTIF('盛付札（関数）'!AV100,"*キャラ*"),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VLOOKUP('盛付札（関数）'!AV100,商品マスタ一覧!$D:$J,7,FALSE)))*AY100),
"+"&amp;IF(AY105&lt;&gt;"",AV102-AY105,AV102)-IF(COUNTIF('盛付札（関数）'!AV100,"*キャラ*"),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VLOOKUP('盛付札（関数）'!AV100,商品マスタ一覧!$D:$J,7,FALSE)))*AY100,
IF(AY105&lt;&gt;"",AV102-AY105,AV102)-IF(COUNTIF('盛付札（関数）'!AV100,"*キャラ*"),
VLOOKUP("*キャラ*",商品マスタ一覧!$D:$J,7,FALSE),
IF(COUNTIF('盛付札（関数）'!AV100,"*赤*"),
VLOOKUP("*赤*",商品マスタ一覧!$D:$J,7,FALSE),
VLOOKUP('盛付札（関数）'!AV100,商品マスタ一覧!$D:$J,7,FALSE)))*AY100),""),"")</f>
        <v/>
      </c>
      <c r="BA100" s="76"/>
      <c r="BB100" s="81" t="e" cm="1">
        <f t="array" aca="1" ref="BB100" ca="1">IF(BB17&lt;&gt;100,
IF(BC102&lt;&gt;"",MATCH(BC102,INDIRECT("数出表_Excel!B"&amp;MATCH(BG15,数出表_Excel!$A:$A,0)-1&amp;":U"&amp;MATCH(BG15,数出表_Excel!$A:$A,0)-1&amp;""),0)+1,""),
IF(BC102&lt;&gt;"",
MATCH(
IFERROR(
INDEX(INDIRECT("数出表_Excel!"&amp;BB99&amp;MATCH(BG15,数出表_Excel!$A:$A,0)-1&amp;":U"&amp;MATCH(BG15,数出表_Excel!$A:$A,0)-1&amp;""),
 1,
 MATCH(TRUE, ISNUMBER(--INDIRECT("数出表_Excel!"&amp;BB99&amp;MATCH(BG15,数出表_Excel!$A:$A,0)-1&amp;":U"&amp;MATCH(BG15,数出表_Excel!$A:$A,0)-1&amp;"")),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00" s="58" t="str" cm="1">
        <f t="array" aca="1" ref="BC100" ca="1">IFERROR(IF(OR(
COUNTIF(INDIRECT("数出表_Excel!" &amp;
CHAR(MATCH(TRUE,
ISNUMBER(--INDIRECT("数出表_Excel!"&amp;BB99&amp;MATCH(BG15,数出表_Excel!$A:$A,0)-1&amp;":U"&amp;MATCH(BG15,数出表_Excel!$A:$A,0)-1&amp;"")),0)
+MATCH(TRUE, ISNUMBER(--INDIRECT("数出表_Excel!B" &amp; (MATCH(BG15,数出表_Excel!$A:$A,0)-1) &amp; ":U" &amp; (MATCH(BG15,数出表_Excel!$A:$A,0)-1))), 0)
+MATCH(TRUE, ISNUMBER(--INDIRECT("数出表_Excel!"&amp;BB57&amp; (MATCH(BG15,数出表_Excel!$A:$A,0)-1) &amp; ":U" &amp; (MATCH(BG15,数出表_Excel!$A:$A,0)-1))), 0)
+65) &amp; "3"),"*配膳*"),
COUNTIF(INDIRECT("数出表_Excel!" &amp;
CHAR(MATCH(TRUE,
ISNUMBER(--INDIRECT("数出表_Excel!"&amp;BB99&amp;MATCH(BG15,数出表_Excel!$A:$A,0)-1&amp;":U"&amp;MATCH(BG15,数出表_Excel!$A:$A,0)-1&amp;"")),0)
+MATCH(TRUE, ISNUMBER(--INDIRECT("数出表_Excel!B" &amp; (MATCH(BG15,数出表_Excel!$A:$A,0)-1) &amp; ":U" &amp; (MATCH(BG15,数出表_Excel!$A:$A,0)-1))), 0)
+MATCH(TRUE, ISNUMBER(--INDIRECT("数出表_Excel!"&amp;BB57&amp; (MATCH(BG15,数出表_Excel!$A:$A,0)-1) &amp; ":U" &amp; (MATCH(BG15,数出表_Excel!$A:$A,0)-1))), 0)
+65) &amp; "3"),"*カレー*"),
COUNTIF(BC57,"*合計*")),"",
IF(IFERROR(INDIRECT("数出表_Excel!" &amp;
CHAR(MATCH(TRUE,
ISNUMBER(--INDIRECT("数出表_Excel!"&amp;BB99&amp;MATCH(BG15,数出表_Excel!$A:$A,0)-1&amp;":U"&amp;MATCH(BG15,数出表_Excel!$A:$A,0)-1&amp;"")),0)
+MATCH(TRUE, ISNUMBER(--INDIRECT("数出表_Excel!B" &amp; (MATCH(BG15,数出表_Excel!$A:$A,0)-1) &amp; ":U" &amp; (MATCH(BG15,数出表_Excel!$A:$A,0)-1))), 0)
+MATCH(TRUE, ISNUMBER(--INDIRECT("数出表_Excel!"&amp;BB57&amp; (MATCH(BG15,数出表_Excel!$A:$A,0)-1) &amp; ":U" &amp; (MATCH(BG15,数出表_Excel!$A:$A,0)-1))), 0)
+65) &amp; "3"),0)=0,"",
IFERROR(INDIRECT("数出表_Excel!" &amp;
CHAR(MATCH(TRUE,
ISNUMBER(--INDIRECT("数出表_Excel!"&amp;BB99&amp;MATCH(BG15,数出表_Excel!$A:$A,0)-1&amp;":U"&amp;MATCH(BG15,数出表_Excel!$A:$A,0)-1&amp;"")),0)
+MATCH(TRUE, ISNUMBER(--INDIRECT("数出表_Excel!B" &amp; (MATCH(BG15,数出表_Excel!$A:$A,0)-1) &amp; ":U" &amp; (MATCH(BG15,数出表_Excel!$A:$A,0)-1))), 0)
+MATCH(TRUE, ISNUMBER(--INDIRECT("数出表_Excel!"&amp;BB57&amp; (MATCH(BG15,数出表_Excel!$A:$A,0)-1) &amp; ":U" &amp; (MATCH(BG15,数出表_Excel!$A:$A,0)-1))), 0)
+65) &amp; "3"),""))),"")</f>
        <v/>
      </c>
      <c r="BD100" s="76"/>
      <c r="BE100" s="82" t="str" cm="1">
        <f t="array" aca="1" ref="BE100" ca="1">IF(BF100&lt;&gt;"","",
IF(COUNTIF(BC99,"*雙葉*"),"",
IF(BC99&lt;&gt;"",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+MATCH(TRUE,INDIRECT("'数出表_Excel'!"&amp;BB99&amp;MATCH(BG15,数出表_Excel!$A:$A,0)-1&amp;":AL"&amp;MATCH(BG15,数出表_Excel!$A:$A,0)-1&amp;"")&lt;&gt;"",0))&gt;9,"",
IFERROR(
INDEX(INDIRECT("数出表_Excel!$"&amp;BB99&amp;"4:$AL4"),
 1,
MATCH(TRUE,INDIRECT("'数出表_Excel'!"&amp;BB99&amp;MATCH(BG15,数出表_Excel!$A:$A,0)-1&amp;":AL"&amp;MATCH(BG15,数出表_Excel!$A:$A,0)-1&amp;"")&lt;&gt;"",0)
),
 "")
&amp;IFERROR(
INDEX(INDIRECT("数出表_Excel!$"&amp;BB99&amp;"5:$AL5"),
 1,
MATCH(TRUE,INDIRECT("'数出表_Excel'!"&amp;BB99&amp;MATCH(BG15,数出表_Excel!$A:$A,0)-1&amp;":AL"&amp;MATCH(BG15,数出表_Excel!$A:$A,0)-1&amp;"")&lt;&gt;"",0)),
 "")),"")))</f>
        <v/>
      </c>
      <c r="BF100" s="83" t="str" cm="1">
        <f t="array" aca="1" ref="BF100" ca="1">IF(BC100&lt;&gt;"",
IF(COUNTIF(BC99,"*雙葉*"),
IF(ROUND(
IF(BF105&lt;&gt;"",(BC102-BF105),BC102)
/IF(COUNTIF(BC100,"*キャラ*"),
VLOOKUP("*キャラ*",商品マスタ一覧!$D:$J,7,FALSE),
IF(COUNTIF(BC100,"*赤*"),
VLOOKUP("*赤*",商品マスタ一覧!$D:$J,7,FALSE),
VLOOKUP(BC100,商品マスタ一覧!$D:$J,7,FALSE))),0)&lt;=0,1,
ROUND(
IF(BF105&lt;&gt;"",(BC102-BF105),BC102)
/IF(COUNTIF(BC100,"*キャラ*"),
VLOOKUP("*キャラ*",商品マスタ一覧!$D:$J,7,FALSE),
IF(COUNTIF(BC100,"*赤*"),
VLOOKUP("*赤*",商品マスタ一覧!$D:$J,7,FALSE),
VLOOKUP(BC100,商品マスタ一覧!$D:$J,7,FALSE))),0)),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IF(BC100&lt;&gt;"",
IF(IF(COUNTIF(BC100,"*キャラ*"),
VLOOKUP("*キャラ*",商品マスタ一覧!$D:$J,7,FALSE),
IF(COUNTIF(BC100,"*赤*"),
VLOOKUP("*赤*",商品マスタ一覧!$D:$J,7,FALSE),
VLOOKUP(BC100,商品マスタ一覧!$D:$J,7,FALSE)))=0,"",
IF(ROUND(
IF(BF105&lt;&gt;"",(BC102-BF105),BC102)
/IF(COUNTIF(BC100,"*キャラ*"),
VLOOKUP("*キャラ*",商品マスタ一覧!$D:$J,7,FALSE),
IF(COUNTIF(BC100,"*赤*"),
VLOOKUP("*赤*",商品マスタ一覧!$D:$J,7,FALSE),
VLOOKUP(BC100,商品マスタ一覧!$D:$J,7,FALSE))),0)&lt;=0,1,
ROUND(
IF(BF105&lt;&gt;"",(BC102-BF105),BC102)
/IF(COUNTIF(BC100,"*キャラ*"),
VLOOKUP("*キャラ*",商品マスタ一覧!$D:$J,7,FALSE),
IF(COUNTIF(BC100,"*赤*"),
VLOOKUP("*赤*",商品マスタ一覧!$D:$J,7,FALSE),
VLOOKUP(BC100,商品マスタ一覧!$D:$J,7,FALSE))),0))),""),"")),"")</f>
        <v/>
      </c>
      <c r="BG100" s="92" t="str">
        <f ca="1">IF(BF100&lt;&gt;"",IF(BC102&lt;&gt;"",IF(VALUE(IF(BF105&lt;&gt;"",BC102-BF105,BC102))&gt;VALUE(IF(COUNTIF('盛付札（関数）'!BC100,"*キャラ*"),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VLOOKUP('盛付札（関数）'!BC100,商品マスタ一覧!$D:$J,7,FALSE)))*BF100),
"+"&amp;IF(BF105&lt;&gt;"",BC102-BF105,BC102)-IF(COUNTIF('盛付札（関数）'!BC100,"*キャラ*"),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VLOOKUP('盛付札（関数）'!BC100,商品マスタ一覧!$D:$J,7,FALSE)))*BF100,
IF(BF105&lt;&gt;"",BC102-BF105,BC102)-IF(COUNTIF('盛付札（関数）'!BC100,"*キャラ*"),
VLOOKUP("*キャラ*",商品マスタ一覧!$D:$J,7,FALSE),
IF(COUNTIF('盛付札（関数）'!BC100,"*赤*"),
VLOOKUP("*赤*",商品マスタ一覧!$D:$J,7,FALSE),
VLOOKUP('盛付札（関数）'!BC100,商品マスタ一覧!$D:$J,7,FALSE)))*BF100),""),"")</f>
        <v/>
      </c>
      <c r="BJ100" s="81" t="e" cm="1">
        <f t="array" aca="1" ref="BJ100" ca="1">IF(BJ17&lt;&gt;100,
IF(BK102&lt;&gt;"",MATCH(BK102,INDIRECT("数出表_Excel!B"&amp;MATCH(BO15,数出表_Excel!$A:$A,0)-1&amp;":U"&amp;MATCH(BO15,数出表_Excel!$A:$A,0)-1&amp;""),0)+1,""),
IF(BK102&lt;&gt;"",
MATCH(
IFERROR(
INDEX(INDIRECT("数出表_Excel!"&amp;BJ99&amp;MATCH(BO15,数出表_Excel!$A:$A,0)-1&amp;":U"&amp;MATCH(BO15,数出表_Excel!$A:$A,0)-1&amp;""),
 1,
 MATCH(TRUE, ISNUMBER(--INDIRECT("数出表_Excel!"&amp;BJ99&amp;MATCH(BO15,数出表_Excel!$A:$A,0)-1&amp;":U"&amp;MATCH(BO15,数出表_Excel!$A:$A,0)-1&amp;"")),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00" s="58" t="str" cm="1">
        <f t="array" aca="1" ref="BK100" ca="1">IFERROR(IF(OR(
COUNTIF(INDIRECT("数出表_Excel!" &amp;
CHAR(MATCH(TRUE,
ISNUMBER(--INDIRECT("数出表_Excel!"&amp;BJ99&amp;MATCH(BO15,数出表_Excel!$A:$A,0)-1&amp;":U"&amp;MATCH(BO15,数出表_Excel!$A:$A,0)-1&amp;"")),0)
+MATCH(TRUE, ISNUMBER(--INDIRECT("数出表_Excel!B" &amp; (MATCH(BO15,数出表_Excel!$A:$A,0)-1) &amp; ":U" &amp; (MATCH(BO15,数出表_Excel!$A:$A,0)-1))), 0)
+MATCH(TRUE, ISNUMBER(--INDIRECT("数出表_Excel!"&amp;BJ57&amp; (MATCH(BO15,数出表_Excel!$A:$A,0)-1) &amp; ":U" &amp; (MATCH(BO15,数出表_Excel!$A:$A,0)-1))), 0)
+65) &amp; "3"),"*配膳*"),
COUNTIF(INDIRECT("数出表_Excel!" &amp;
CHAR(MATCH(TRUE,
ISNUMBER(--INDIRECT("数出表_Excel!"&amp;BJ99&amp;MATCH(BO15,数出表_Excel!$A:$A,0)-1&amp;":U"&amp;MATCH(BO15,数出表_Excel!$A:$A,0)-1&amp;"")),0)
+MATCH(TRUE, ISNUMBER(--INDIRECT("数出表_Excel!B" &amp; (MATCH(BO15,数出表_Excel!$A:$A,0)-1) &amp; ":U" &amp; (MATCH(BO15,数出表_Excel!$A:$A,0)-1))), 0)
+MATCH(TRUE, ISNUMBER(--INDIRECT("数出表_Excel!"&amp;BJ57&amp; (MATCH(BO15,数出表_Excel!$A:$A,0)-1) &amp; ":U" &amp; (MATCH(BO15,数出表_Excel!$A:$A,0)-1))), 0)
+65) &amp; "3"),"*カレー*"),
COUNTIF(BK57,"*合計*")),"",
IF(IFERROR(INDIRECT("数出表_Excel!" &amp;
CHAR(MATCH(TRUE,
ISNUMBER(--INDIRECT("数出表_Excel!"&amp;BJ99&amp;MATCH(BO15,数出表_Excel!$A:$A,0)-1&amp;":U"&amp;MATCH(BO15,数出表_Excel!$A:$A,0)-1&amp;"")),0)
+MATCH(TRUE, ISNUMBER(--INDIRECT("数出表_Excel!B" &amp; (MATCH(BO15,数出表_Excel!$A:$A,0)-1) &amp; ":U" &amp; (MATCH(BO15,数出表_Excel!$A:$A,0)-1))), 0)
+MATCH(TRUE, ISNUMBER(--INDIRECT("数出表_Excel!"&amp;BJ57&amp; (MATCH(BO15,数出表_Excel!$A:$A,0)-1) &amp; ":U" &amp; (MATCH(BO15,数出表_Excel!$A:$A,0)-1))), 0)
+65) &amp; "3"),0)=0,"",
IFERROR(INDIRECT("数出表_Excel!" &amp;
CHAR(MATCH(TRUE,
ISNUMBER(--INDIRECT("数出表_Excel!"&amp;BJ99&amp;MATCH(BO15,数出表_Excel!$A:$A,0)-1&amp;":U"&amp;MATCH(BO15,数出表_Excel!$A:$A,0)-1&amp;"")),0)
+MATCH(TRUE, ISNUMBER(--INDIRECT("数出表_Excel!B" &amp; (MATCH(BO15,数出表_Excel!$A:$A,0)-1) &amp; ":U" &amp; (MATCH(BO15,数出表_Excel!$A:$A,0)-1))), 0)
+MATCH(TRUE, ISNUMBER(--INDIRECT("数出表_Excel!"&amp;BJ57&amp; (MATCH(BO15,数出表_Excel!$A:$A,0)-1) &amp; ":U" &amp; (MATCH(BO15,数出表_Excel!$A:$A,0)-1))), 0)
+65) &amp; "3"),""))),"")</f>
        <v/>
      </c>
      <c r="BL100" s="76"/>
      <c r="BM100" s="82" t="str" cm="1">
        <f t="array" aca="1" ref="BM100" ca="1">IF(BN100&lt;&gt;"","",
IF(COUNTIF(BK99,"*雙葉*"),"",
IF(BK99&lt;&gt;"",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+MATCH(TRUE,INDIRECT("'数出表_Excel'!"&amp;BJ99&amp;MATCH(BO15,数出表_Excel!$A:$A,0)-1&amp;":AL"&amp;MATCH(BO15,数出表_Excel!$A:$A,0)-1&amp;"")&lt;&gt;"",0))&gt;9,"",
IFERROR(
INDEX(INDIRECT("数出表_Excel!$"&amp;BJ99&amp;"4:$AL4"),
 1,
MATCH(TRUE,INDIRECT("'数出表_Excel'!"&amp;BJ99&amp;MATCH(BO15,数出表_Excel!$A:$A,0)-1&amp;":AL"&amp;MATCH(BO15,数出表_Excel!$A:$A,0)-1&amp;"")&lt;&gt;"",0)
),
 "")
&amp;IFERROR(
INDEX(INDIRECT("数出表_Excel!$"&amp;BJ99&amp;"5:$AL5"),
 1,
MATCH(TRUE,INDIRECT("'数出表_Excel'!"&amp;BJ99&amp;MATCH(BO15,数出表_Excel!$A:$A,0)-1&amp;":AL"&amp;MATCH(BO15,数出表_Excel!$A:$A,0)-1&amp;"")&lt;&gt;"",0)),
 "")),"")))</f>
        <v/>
      </c>
      <c r="BN100" s="83" t="str" cm="1">
        <f t="array" aca="1" ref="BN100" ca="1">IF(BK100&lt;&gt;"",
IF(COUNTIF(BK99,"*雙葉*"),
IF(ROUND(
IF(BN105&lt;&gt;"",(BK102-BN105),BK102)
/IF(COUNTIF(BK100,"*キャラ*"),
VLOOKUP("*キャラ*",商品マスタ一覧!$D:$J,7,FALSE),
IF(COUNTIF(BK100,"*赤*"),
VLOOKUP("*赤*",商品マスタ一覧!$D:$J,7,FALSE),
VLOOKUP(BK100,商品マスタ一覧!$D:$J,7,FALSE))),0)&lt;=0,1,
ROUND(
IF(BN105&lt;&gt;"",(BK102-BN105),BK102)
/IF(COUNTIF(BK100,"*キャラ*"),
VLOOKUP("*キャラ*",商品マスタ一覧!$D:$J,7,FALSE),
IF(COUNTIF(BK100,"*赤*"),
VLOOKUP("*赤*",商品マスタ一覧!$D:$J,7,FALSE),
VLOOKUP(BK100,商品マスタ一覧!$D:$J,7,FALSE))),0)),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IF(BK100&lt;&gt;"",
IF(IF(COUNTIF(BK100,"*キャラ*"),
VLOOKUP("*キャラ*",商品マスタ一覧!$D:$J,7,FALSE),
IF(COUNTIF(BK100,"*赤*"),
VLOOKUP("*赤*",商品マスタ一覧!$D:$J,7,FALSE),
VLOOKUP(BK100,商品マスタ一覧!$D:$J,7,FALSE)))=0,"",
IF(ROUND(
IF(BN105&lt;&gt;"",(BK102-BN105),BK102)
/IF(COUNTIF(BK100,"*キャラ*"),
VLOOKUP("*キャラ*",商品マスタ一覧!$D:$J,7,FALSE),
IF(COUNTIF(BK100,"*赤*"),
VLOOKUP("*赤*",商品マスタ一覧!$D:$J,7,FALSE),
VLOOKUP(BK100,商品マスタ一覧!$D:$J,7,FALSE))),0)&lt;=0,1,
ROUND(
IF(BN105&lt;&gt;"",(BK102-BN105),BK102)
/IF(COUNTIF(BK100,"*キャラ*"),
VLOOKUP("*キャラ*",商品マスタ一覧!$D:$J,7,FALSE),
IF(COUNTIF(BK100,"*赤*"),
VLOOKUP("*赤*",商品マスタ一覧!$D:$J,7,FALSE),
VLOOKUP(BK100,商品マスタ一覧!$D:$J,7,FALSE))),0))),""),"")),"")</f>
        <v/>
      </c>
      <c r="BO100" s="92" t="str">
        <f ca="1">IF(BN100&lt;&gt;"",IF(BK102&lt;&gt;"",IF(VALUE(IF(BN105&lt;&gt;"",BK102-BN105,BK102))&gt;VALUE(IF(COUNTIF('盛付札（関数）'!BK100,"*キャラ*"),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VLOOKUP('盛付札（関数）'!BK100,商品マスタ一覧!$D:$J,7,FALSE)))*BN100),
"+"&amp;IF(BN105&lt;&gt;"",BK102-BN105,BK102)-IF(COUNTIF('盛付札（関数）'!BK100,"*キャラ*"),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VLOOKUP('盛付札（関数）'!BK100,商品マスタ一覧!$D:$J,7,FALSE)))*BN100,
IF(BN105&lt;&gt;"",BK102-BN105,BK102)-IF(COUNTIF('盛付札（関数）'!BK100,"*キャラ*"),
VLOOKUP("*キャラ*",商品マスタ一覧!$D:$J,7,FALSE),
IF(COUNTIF('盛付札（関数）'!BK100,"*赤*"),
VLOOKUP("*赤*",商品マスタ一覧!$D:$J,7,FALSE),
VLOOKUP('盛付札（関数）'!BK100,商品マスタ一覧!$D:$J,7,FALSE)))*BN100),""),"")</f>
        <v/>
      </c>
      <c r="BP100" s="76"/>
      <c r="BQ100" s="81" t="e" cm="1">
        <f t="array" aca="1" ref="BQ100" ca="1">IF(BQ17&lt;&gt;100,
IF(BR102&lt;&gt;"",MATCH(BR102,INDIRECT("数出表_Excel!B"&amp;MATCH(BV15,数出表_Excel!$A:$A,0)-1&amp;":U"&amp;MATCH(BV15,数出表_Excel!$A:$A,0)-1&amp;""),0)+1,""),
IF(BR102&lt;&gt;"",
MATCH(
IFERROR(
INDEX(INDIRECT("数出表_Excel!"&amp;BQ99&amp;MATCH(BV15,数出表_Excel!$A:$A,0)-1&amp;":U"&amp;MATCH(BV15,数出表_Excel!$A:$A,0)-1&amp;""),
 1,
 MATCH(TRUE, ISNUMBER(--INDIRECT("数出表_Excel!"&amp;BQ99&amp;MATCH(BV15,数出表_Excel!$A:$A,0)-1&amp;":U"&amp;MATCH(BV15,数出表_Excel!$A:$A,0)-1&amp;"")),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00" s="58" t="str" cm="1">
        <f t="array" aca="1" ref="BR100" ca="1">IFERROR(IF(OR(
COUNTIF(INDIRECT("数出表_Excel!" &amp;
CHAR(MATCH(TRUE,
ISNUMBER(--INDIRECT("数出表_Excel!"&amp;BQ99&amp;MATCH(BV15,数出表_Excel!$A:$A,0)-1&amp;":U"&amp;MATCH(BV15,数出表_Excel!$A:$A,0)-1&amp;"")),0)
+MATCH(TRUE, ISNUMBER(--INDIRECT("数出表_Excel!B" &amp; (MATCH(BV15,数出表_Excel!$A:$A,0)-1) &amp; ":U" &amp; (MATCH(BV15,数出表_Excel!$A:$A,0)-1))), 0)
+MATCH(TRUE, ISNUMBER(--INDIRECT("数出表_Excel!"&amp;BQ57&amp; (MATCH(BV15,数出表_Excel!$A:$A,0)-1) &amp; ":U" &amp; (MATCH(BV15,数出表_Excel!$A:$A,0)-1))), 0)
+65) &amp; "3"),"*配膳*"),
COUNTIF(INDIRECT("数出表_Excel!" &amp;
CHAR(MATCH(TRUE,
ISNUMBER(--INDIRECT("数出表_Excel!"&amp;BQ99&amp;MATCH(BV15,数出表_Excel!$A:$A,0)-1&amp;":U"&amp;MATCH(BV15,数出表_Excel!$A:$A,0)-1&amp;"")),0)
+MATCH(TRUE, ISNUMBER(--INDIRECT("数出表_Excel!B" &amp; (MATCH(BV15,数出表_Excel!$A:$A,0)-1) &amp; ":U" &amp; (MATCH(BV15,数出表_Excel!$A:$A,0)-1))), 0)
+MATCH(TRUE, ISNUMBER(--INDIRECT("数出表_Excel!"&amp;BQ57&amp; (MATCH(BV15,数出表_Excel!$A:$A,0)-1) &amp; ":U" &amp; (MATCH(BV15,数出表_Excel!$A:$A,0)-1))), 0)
+65) &amp; "3"),"*カレー*"),
COUNTIF(BR57,"*合計*")),"",
IF(IFERROR(INDIRECT("数出表_Excel!" &amp;
CHAR(MATCH(TRUE,
ISNUMBER(--INDIRECT("数出表_Excel!"&amp;BQ99&amp;MATCH(BV15,数出表_Excel!$A:$A,0)-1&amp;":U"&amp;MATCH(BV15,数出表_Excel!$A:$A,0)-1&amp;"")),0)
+MATCH(TRUE, ISNUMBER(--INDIRECT("数出表_Excel!B" &amp; (MATCH(BV15,数出表_Excel!$A:$A,0)-1) &amp; ":U" &amp; (MATCH(BV15,数出表_Excel!$A:$A,0)-1))), 0)
+MATCH(TRUE, ISNUMBER(--INDIRECT("数出表_Excel!"&amp;BQ57&amp; (MATCH(BV15,数出表_Excel!$A:$A,0)-1) &amp; ":U" &amp; (MATCH(BV15,数出表_Excel!$A:$A,0)-1))), 0)
+65) &amp; "3"),0)=0,"",
IFERROR(INDIRECT("数出表_Excel!" &amp;
CHAR(MATCH(TRUE,
ISNUMBER(--INDIRECT("数出表_Excel!"&amp;BQ99&amp;MATCH(BV15,数出表_Excel!$A:$A,0)-1&amp;":U"&amp;MATCH(BV15,数出表_Excel!$A:$A,0)-1&amp;"")),0)
+MATCH(TRUE, ISNUMBER(--INDIRECT("数出表_Excel!B" &amp; (MATCH(BV15,数出表_Excel!$A:$A,0)-1) &amp; ":U" &amp; (MATCH(BV15,数出表_Excel!$A:$A,0)-1))), 0)
+MATCH(TRUE, ISNUMBER(--INDIRECT("数出表_Excel!"&amp;BQ57&amp; (MATCH(BV15,数出表_Excel!$A:$A,0)-1) &amp; ":U" &amp; (MATCH(BV15,数出表_Excel!$A:$A,0)-1))), 0)
+65) &amp; "3"),""))),"")</f>
        <v/>
      </c>
      <c r="BS100" s="76"/>
      <c r="BT100" s="82" t="str" cm="1">
        <f t="array" aca="1" ref="BT100" ca="1">IF(BU100&lt;&gt;"","",
IF(COUNTIF(BR99,"*雙葉*"),"",
IF(BR99&lt;&gt;"",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+MATCH(TRUE,INDIRECT("'数出表_Excel'!"&amp;BQ99&amp;MATCH(BV15,数出表_Excel!$A:$A,0)-1&amp;":AL"&amp;MATCH(BV15,数出表_Excel!$A:$A,0)-1&amp;"")&lt;&gt;"",0))&gt;9,"",
IFERROR(
INDEX(INDIRECT("数出表_Excel!$"&amp;BQ99&amp;"4:$AL4"),
 1,
MATCH(TRUE,INDIRECT("'数出表_Excel'!"&amp;BQ99&amp;MATCH(BV15,数出表_Excel!$A:$A,0)-1&amp;":AL"&amp;MATCH(BV15,数出表_Excel!$A:$A,0)-1&amp;"")&lt;&gt;"",0)
),
 "")
&amp;IFERROR(
INDEX(INDIRECT("数出表_Excel!$"&amp;BQ99&amp;"5:$AL5"),
 1,
MATCH(TRUE,INDIRECT("'数出表_Excel'!"&amp;BQ99&amp;MATCH(BV15,数出表_Excel!$A:$A,0)-1&amp;":AL"&amp;MATCH(BV15,数出表_Excel!$A:$A,0)-1&amp;"")&lt;&gt;"",0)),
 "")),"")))</f>
        <v/>
      </c>
      <c r="BU100" s="83" t="str" cm="1">
        <f t="array" aca="1" ref="BU100" ca="1">IF(BR100&lt;&gt;"",
IF(COUNTIF(BR99,"*雙葉*"),
IF(ROUND(
IF(BU105&lt;&gt;"",(BR102-BU105),BR102)
/IF(COUNTIF(BR100,"*キャラ*"),
VLOOKUP("*キャラ*",商品マスタ一覧!$D:$J,7,FALSE),
IF(COUNTIF(BR100,"*赤*"),
VLOOKUP("*赤*",商品マスタ一覧!$D:$J,7,FALSE),
VLOOKUP(BR100,商品マスタ一覧!$D:$J,7,FALSE))),0)&lt;=0,1,
ROUND(
IF(BU105&lt;&gt;"",(BR102-BU105),BR102)
/IF(COUNTIF(BR100,"*キャラ*"),
VLOOKUP("*キャラ*",商品マスタ一覧!$D:$J,7,FALSE),
IF(COUNTIF(BR100,"*赤*"),
VLOOKUP("*赤*",商品マスタ一覧!$D:$J,7,FALSE),
VLOOKUP(BR100,商品マスタ一覧!$D:$J,7,FALSE))),0)),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IF(BR100&lt;&gt;"",
IF(IF(COUNTIF(BR100,"*キャラ*"),
VLOOKUP("*キャラ*",商品マスタ一覧!$D:$J,7,FALSE),
IF(COUNTIF(BR100,"*赤*"),
VLOOKUP("*赤*",商品マスタ一覧!$D:$J,7,FALSE),
VLOOKUP(BR100,商品マスタ一覧!$D:$J,7,FALSE)))=0,"",
IF(ROUND(
IF(BU105&lt;&gt;"",(BR102-BU105),BR102)
/IF(COUNTIF(BR100,"*キャラ*"),
VLOOKUP("*キャラ*",商品マスタ一覧!$D:$J,7,FALSE),
IF(COUNTIF(BR100,"*赤*"),
VLOOKUP("*赤*",商品マスタ一覧!$D:$J,7,FALSE),
VLOOKUP(BR100,商品マスタ一覧!$D:$J,7,FALSE))),0)&lt;=0,1,
ROUND(
IF(BU105&lt;&gt;"",(BR102-BU105),BR102)
/IF(COUNTIF(BR100,"*キャラ*"),
VLOOKUP("*キャラ*",商品マスタ一覧!$D:$J,7,FALSE),
IF(COUNTIF(BR100,"*赤*"),
VLOOKUP("*赤*",商品マスタ一覧!$D:$J,7,FALSE),
VLOOKUP(BR100,商品マスタ一覧!$D:$J,7,FALSE))),0))),""),"")),"")</f>
        <v/>
      </c>
      <c r="BV100" s="92" t="str">
        <f ca="1">IF(BU100&lt;&gt;"",IF(BR102&lt;&gt;"",IF(VALUE(IF(BU105&lt;&gt;"",BR102-BU105,BR102))&gt;VALUE(IF(COUNTIF('盛付札（関数）'!BR100,"*キャラ*"),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VLOOKUP('盛付札（関数）'!BR100,商品マスタ一覧!$D:$J,7,FALSE)))*BU100),
"+"&amp;IF(BU105&lt;&gt;"",BR102-BU105,BR102)-IF(COUNTIF('盛付札（関数）'!BR100,"*キャラ*"),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VLOOKUP('盛付札（関数）'!BR100,商品マスタ一覧!$D:$J,7,FALSE)))*BU100,
IF(BU105&lt;&gt;"",BR102-BU105,BR102)-IF(COUNTIF('盛付札（関数）'!BR100,"*キャラ*"),
VLOOKUP("*キャラ*",商品マスタ一覧!$D:$J,7,FALSE),
IF(COUNTIF('盛付札（関数）'!BR100,"*赤*"),
VLOOKUP("*赤*",商品マスタ一覧!$D:$J,7,FALSE),
VLOOKUP('盛付札（関数）'!BR100,商品マスタ一覧!$D:$J,7,FALSE)))*BU100),""),"")</f>
        <v/>
      </c>
      <c r="BY100" s="81" t="e" cm="1">
        <f t="array" aca="1" ref="BY100" ca="1">IF(BY17&lt;&gt;100,
IF(BZ102&lt;&gt;"",MATCH(BZ102,INDIRECT("数出表_Excel!B"&amp;MATCH(CD15,数出表_Excel!$A:$A,0)-1&amp;":U"&amp;MATCH(CD15,数出表_Excel!$A:$A,0)-1&amp;""),0)+1,""),
IF(BZ102&lt;&gt;"",
MATCH(
IFERROR(
INDEX(INDIRECT("数出表_Excel!"&amp;BY99&amp;MATCH(CD15,数出表_Excel!$A:$A,0)-1&amp;":U"&amp;MATCH(CD15,数出表_Excel!$A:$A,0)-1&amp;""),
 1,
 MATCH(TRUE, ISNUMBER(--INDIRECT("数出表_Excel!"&amp;BY99&amp;MATCH(CD15,数出表_Excel!$A:$A,0)-1&amp;":U"&amp;MATCH(CD15,数出表_Excel!$A:$A,0)-1&amp;"")),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100" s="58" t="str" cm="1">
        <f t="array" aca="1" ref="BZ100" ca="1">IFERROR(IF(OR(
COUNTIF(INDIRECT("数出表_Excel!" &amp;
CHAR(MATCH(TRUE,
ISNUMBER(--INDIRECT("数出表_Excel!"&amp;BY99&amp;MATCH(CD15,数出表_Excel!$A:$A,0)-1&amp;":U"&amp;MATCH(CD15,数出表_Excel!$A:$A,0)-1&amp;"")),0)
+MATCH(TRUE, ISNUMBER(--INDIRECT("数出表_Excel!B" &amp; (MATCH(CD15,数出表_Excel!$A:$A,0)-1) &amp; ":U" &amp; (MATCH(CD15,数出表_Excel!$A:$A,0)-1))), 0)
+MATCH(TRUE, ISNUMBER(--INDIRECT("数出表_Excel!"&amp;BY57&amp; (MATCH(CD15,数出表_Excel!$A:$A,0)-1) &amp; ":U" &amp; (MATCH(CD15,数出表_Excel!$A:$A,0)-1))), 0)
+65) &amp; "3"),"*配膳*"),
COUNTIF(INDIRECT("数出表_Excel!" &amp;
CHAR(MATCH(TRUE,
ISNUMBER(--INDIRECT("数出表_Excel!"&amp;BY99&amp;MATCH(CD15,数出表_Excel!$A:$A,0)-1&amp;":U"&amp;MATCH(CD15,数出表_Excel!$A:$A,0)-1&amp;"")),0)
+MATCH(TRUE, ISNUMBER(--INDIRECT("数出表_Excel!B" &amp; (MATCH(CD15,数出表_Excel!$A:$A,0)-1) &amp; ":U" &amp; (MATCH(CD15,数出表_Excel!$A:$A,0)-1))), 0)
+MATCH(TRUE, ISNUMBER(--INDIRECT("数出表_Excel!"&amp;BY57&amp; (MATCH(CD15,数出表_Excel!$A:$A,0)-1) &amp; ":U" &amp; (MATCH(CD15,数出表_Excel!$A:$A,0)-1))), 0)
+65) &amp; "3"),"*カレー*"),
COUNTIF(BZ57,"*合計*")),"",
IF(IFERROR(INDIRECT("数出表_Excel!" &amp;
CHAR(MATCH(TRUE,
ISNUMBER(--INDIRECT("数出表_Excel!"&amp;BY99&amp;MATCH(CD15,数出表_Excel!$A:$A,0)-1&amp;":U"&amp;MATCH(CD15,数出表_Excel!$A:$A,0)-1&amp;"")),0)
+MATCH(TRUE, ISNUMBER(--INDIRECT("数出表_Excel!B" &amp; (MATCH(CD15,数出表_Excel!$A:$A,0)-1) &amp; ":U" &amp; (MATCH(CD15,数出表_Excel!$A:$A,0)-1))), 0)
+MATCH(TRUE, ISNUMBER(--INDIRECT("数出表_Excel!"&amp;BY57&amp; (MATCH(CD15,数出表_Excel!$A:$A,0)-1) &amp; ":U" &amp; (MATCH(CD15,数出表_Excel!$A:$A,0)-1))), 0)
+65) &amp; "3"),0)=0,"",
IFERROR(INDIRECT("数出表_Excel!" &amp;
CHAR(MATCH(TRUE,
ISNUMBER(--INDIRECT("数出表_Excel!"&amp;BY99&amp;MATCH(CD15,数出表_Excel!$A:$A,0)-1&amp;":U"&amp;MATCH(CD15,数出表_Excel!$A:$A,0)-1&amp;"")),0)
+MATCH(TRUE, ISNUMBER(--INDIRECT("数出表_Excel!B" &amp; (MATCH(CD15,数出表_Excel!$A:$A,0)-1) &amp; ":U" &amp; (MATCH(CD15,数出表_Excel!$A:$A,0)-1))), 0)
+MATCH(TRUE, ISNUMBER(--INDIRECT("数出表_Excel!"&amp;BY57&amp; (MATCH(CD15,数出表_Excel!$A:$A,0)-1) &amp; ":U" &amp; (MATCH(CD15,数出表_Excel!$A:$A,0)-1))), 0)
+65) &amp; "3"),""))),"")</f>
        <v/>
      </c>
      <c r="CA100" s="76"/>
      <c r="CB100" s="82" t="str" cm="1">
        <f t="array" aca="1" ref="CB100" ca="1">IF(CC100&lt;&gt;"","",
IF(COUNTIF(BZ99,"*雙葉*"),"",
IF(BZ99&lt;&gt;"",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+MATCH(TRUE,INDIRECT("'数出表_Excel'!"&amp;BY99&amp;MATCH(CD15,数出表_Excel!$A:$A,0)-1&amp;":AL"&amp;MATCH(CD15,数出表_Excel!$A:$A,0)-1&amp;"")&lt;&gt;"",0))&gt;9,"",
IFERROR(
INDEX(INDIRECT("数出表_Excel!$"&amp;BY99&amp;"4:$AL4"),
 1,
MATCH(TRUE,INDIRECT("'数出表_Excel'!"&amp;BY99&amp;MATCH(CD15,数出表_Excel!$A:$A,0)-1&amp;":AL"&amp;MATCH(CD15,数出表_Excel!$A:$A,0)-1&amp;"")&lt;&gt;"",0)
),
 "")
&amp;IFERROR(
INDEX(INDIRECT("数出表_Excel!$"&amp;BY99&amp;"5:$AL5"),
 1,
MATCH(TRUE,INDIRECT("'数出表_Excel'!"&amp;BY99&amp;MATCH(CD15,数出表_Excel!$A:$A,0)-1&amp;":AL"&amp;MATCH(CD15,数出表_Excel!$A:$A,0)-1&amp;"")&lt;&gt;"",0)),
 "")),"")))</f>
        <v/>
      </c>
      <c r="CC100" s="83" t="str" cm="1">
        <f t="array" aca="1" ref="CC100" ca="1">IF(BZ100&lt;&gt;"",
IF(COUNTIF(BZ99,"*雙葉*"),
IF(ROUND(
IF(CC105&lt;&gt;"",(BZ102-CC105),BZ102)
/IF(COUNTIF(BZ100,"*キャラ*"),
VLOOKUP("*キャラ*",商品マスタ一覧!$D:$J,7,FALSE),
IF(COUNTIF(BZ100,"*赤*"),
VLOOKUP("*赤*",商品マスタ一覧!$D:$J,7,FALSE),
VLOOKUP(BZ100,商品マスタ一覧!$D:$J,7,FALSE))),0)&lt;=0,1,
ROUND(
IF(CC105&lt;&gt;"",(BZ102-CC105),BZ102)
/IF(COUNTIF(BZ100,"*キャラ*"),
VLOOKUP("*キャラ*",商品マスタ一覧!$D:$J,7,FALSE),
IF(COUNTIF(BZ100,"*赤*"),
VLOOKUP("*赤*",商品マスタ一覧!$D:$J,7,FALSE),
VLOOKUP(BZ100,商品マスタ一覧!$D:$J,7,FALSE))),0)),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IF(BZ100&lt;&gt;"",
IF(IF(COUNTIF(BZ100,"*キャラ*"),
VLOOKUP("*キャラ*",商品マスタ一覧!$D:$J,7,FALSE),
IF(COUNTIF(BZ100,"*赤*"),
VLOOKUP("*赤*",商品マスタ一覧!$D:$J,7,FALSE),
VLOOKUP(BZ100,商品マスタ一覧!$D:$J,7,FALSE)))=0,"",
IF(ROUND(
IF(CC105&lt;&gt;"",(BZ102-CC105),BZ102)
/IF(COUNTIF(BZ100,"*キャラ*"),
VLOOKUP("*キャラ*",商品マスタ一覧!$D:$J,7,FALSE),
IF(COUNTIF(BZ100,"*赤*"),
VLOOKUP("*赤*",商品マスタ一覧!$D:$J,7,FALSE),
VLOOKUP(BZ100,商品マスタ一覧!$D:$J,7,FALSE))),0)&lt;=0,1,
ROUND(
IF(CC105&lt;&gt;"",(BZ102-CC105),BZ102)
/IF(COUNTIF(BZ100,"*キャラ*"),
VLOOKUP("*キャラ*",商品マスタ一覧!$D:$J,7,FALSE),
IF(COUNTIF(BZ100,"*赤*"),
VLOOKUP("*赤*",商品マスタ一覧!$D:$J,7,FALSE),
VLOOKUP(BZ100,商品マスタ一覧!$D:$J,7,FALSE))),0))),""),"")),"")</f>
        <v/>
      </c>
      <c r="CD100" s="92" t="str">
        <f ca="1">IF(CC100&lt;&gt;"",IF(BZ102&lt;&gt;"",IF(VALUE(IF(CC105&lt;&gt;"",BZ102-CC105,BZ102))&gt;VALUE(IF(COUNTIF('盛付札（関数）'!BZ100,"*キャラ*"),
VLOOKUP("*キャラ*",商品マスタ一覧!$D:$J,7,FALSE),
IF(COUNTIF('盛付札（関数）'!BZ100,"*赤*"),
VLOOKUP("*赤*",商品マスタ一覧!$D:$J,7,FALSE),
VLOOKUP('盛付札（関数）'!BZ100,商品マスタ一覧!$D:$J,7,FALSE)))*CC100),
"+"&amp;IF(CC105&lt;&gt;"",BZ102-CC105,BZ102)-IF(COUNTIF('盛付札（関数）'!BZ100,"*キャラ*"),
VLOOKUP("*キャラ*",商品マスタ一覧!$D:$J,7,FALSE),
IF(COUNTIF('盛付札（関数）'!BZ100,"*赤*"),
VLOOKUP("*赤*",商品マスタ一覧!$D:$J,7,FALSE),
VLOOKUP('盛付札（関数）'!BZ100,商品マスタ一覧!$D:$J,7,FALSE)))*CC100,
IF(CC105&lt;&gt;"",BZ102-CC105,BZ102)-IF(COUNTIF('盛付札（関数）'!BZ100,"*キャラ*"),
VLOOKUP("*キャラ*",商品マスタ一覧!$D:$J,7,FALSE),
IF(COUNTIF('盛付札（関数）'!BZ100,"*赤*"),
VLOOKUP("*赤*",商品マスタ一覧!$D:$J,7,FALSE),
VLOOKUP('盛付札（関数）'!BZ100,商品マスタ一覧!$D:$J,7,FALSE)))*CC100),""),"")</f>
        <v/>
      </c>
      <c r="CE100" s="76"/>
      <c r="CF100" s="81" t="e" cm="1">
        <f t="array" aca="1" ref="CF100" ca="1">IF(CF17&lt;&gt;100,
IF(CG102&lt;&gt;"",MATCH(CG102,INDIRECT("数出表_Excel!B"&amp;MATCH(CK15,数出表_Excel!$A:$A,0)-1&amp;":U"&amp;MATCH(CK15,数出表_Excel!$A:$A,0)-1&amp;""),0)+1,""),
IF(CG102&lt;&gt;"",
MATCH(
IFERROR(
INDEX(INDIRECT("数出表_Excel!"&amp;CF99&amp;MATCH(CK15,数出表_Excel!$A:$A,0)-1&amp;":U"&amp;MATCH(CK15,数出表_Excel!$A:$A,0)-1&amp;""),
 1,
 MATCH(TRUE, ISNUMBER(--INDIRECT("数出表_Excel!"&amp;CF99&amp;MATCH(CK15,数出表_Excel!$A:$A,0)-1&amp;":U"&amp;MATCH(CK15,数出表_Excel!$A:$A,0)-1&amp;"")),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100" s="58" t="str" cm="1">
        <f t="array" aca="1" ref="CG100" ca="1">IFERROR(IF(OR(
COUNTIF(INDIRECT("数出表_Excel!" &amp;
CHAR(MATCH(TRUE,
ISNUMBER(--INDIRECT("数出表_Excel!"&amp;CF99&amp;MATCH(CK15,数出表_Excel!$A:$A,0)-1&amp;":U"&amp;MATCH(CK15,数出表_Excel!$A:$A,0)-1&amp;"")),0)
+MATCH(TRUE, ISNUMBER(--INDIRECT("数出表_Excel!B" &amp; (MATCH(CK15,数出表_Excel!$A:$A,0)-1) &amp; ":U" &amp; (MATCH(CK15,数出表_Excel!$A:$A,0)-1))), 0)
+MATCH(TRUE, ISNUMBER(--INDIRECT("数出表_Excel!"&amp;CF57&amp; (MATCH(CK15,数出表_Excel!$A:$A,0)-1) &amp; ":U" &amp; (MATCH(CK15,数出表_Excel!$A:$A,0)-1))), 0)
+65) &amp; "3"),"*配膳*"),
COUNTIF(INDIRECT("数出表_Excel!" &amp;
CHAR(MATCH(TRUE,
ISNUMBER(--INDIRECT("数出表_Excel!"&amp;CF99&amp;MATCH(CK15,数出表_Excel!$A:$A,0)-1&amp;":U"&amp;MATCH(CK15,数出表_Excel!$A:$A,0)-1&amp;"")),0)
+MATCH(TRUE, ISNUMBER(--INDIRECT("数出表_Excel!B" &amp; (MATCH(CK15,数出表_Excel!$A:$A,0)-1) &amp; ":U" &amp; (MATCH(CK15,数出表_Excel!$A:$A,0)-1))), 0)
+MATCH(TRUE, ISNUMBER(--INDIRECT("数出表_Excel!"&amp;CF57&amp; (MATCH(CK15,数出表_Excel!$A:$A,0)-1) &amp; ":U" &amp; (MATCH(CK15,数出表_Excel!$A:$A,0)-1))), 0)
+65) &amp; "3"),"*カレー*"),
COUNTIF(CG57,"*合計*")),"",
IF(IFERROR(INDIRECT("数出表_Excel!" &amp;
CHAR(MATCH(TRUE,
ISNUMBER(--INDIRECT("数出表_Excel!"&amp;CF99&amp;MATCH(CK15,数出表_Excel!$A:$A,0)-1&amp;":U"&amp;MATCH(CK15,数出表_Excel!$A:$A,0)-1&amp;"")),0)
+MATCH(TRUE, ISNUMBER(--INDIRECT("数出表_Excel!B" &amp; (MATCH(CK15,数出表_Excel!$A:$A,0)-1) &amp; ":U" &amp; (MATCH(CK15,数出表_Excel!$A:$A,0)-1))), 0)
+MATCH(TRUE, ISNUMBER(--INDIRECT("数出表_Excel!"&amp;CF57&amp; (MATCH(CK15,数出表_Excel!$A:$A,0)-1) &amp; ":U" &amp; (MATCH(CK15,数出表_Excel!$A:$A,0)-1))), 0)
+65) &amp; "3"),0)=0,"",
IFERROR(INDIRECT("数出表_Excel!" &amp;
CHAR(MATCH(TRUE,
ISNUMBER(--INDIRECT("数出表_Excel!"&amp;CF99&amp;MATCH(CK15,数出表_Excel!$A:$A,0)-1&amp;":U"&amp;MATCH(CK15,数出表_Excel!$A:$A,0)-1&amp;"")),0)
+MATCH(TRUE, ISNUMBER(--INDIRECT("数出表_Excel!B" &amp; (MATCH(CK15,数出表_Excel!$A:$A,0)-1) &amp; ":U" &amp; (MATCH(CK15,数出表_Excel!$A:$A,0)-1))), 0)
+MATCH(TRUE, ISNUMBER(--INDIRECT("数出表_Excel!"&amp;CF57&amp; (MATCH(CK15,数出表_Excel!$A:$A,0)-1) &amp; ":U" &amp; (MATCH(CK15,数出表_Excel!$A:$A,0)-1))), 0)
+65) &amp; "3"),""))),"")</f>
        <v/>
      </c>
      <c r="CH100" s="76"/>
      <c r="CI100" s="82" t="str" cm="1">
        <f t="array" aca="1" ref="CI100" ca="1">IF(CJ100&lt;&gt;"","",
IF(COUNTIF(CG99,"*雙葉*"),"",
IF(CG99&lt;&gt;"",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+MATCH(TRUE,INDIRECT("'数出表_Excel'!"&amp;CF99&amp;MATCH(CK15,数出表_Excel!$A:$A,0)-1&amp;":AL"&amp;MATCH(CK15,数出表_Excel!$A:$A,0)-1&amp;"")&lt;&gt;"",0))&gt;9,"",
IFERROR(
INDEX(INDIRECT("数出表_Excel!$"&amp;CF99&amp;"4:$AL4"),
 1,
MATCH(TRUE,INDIRECT("'数出表_Excel'!"&amp;CF99&amp;MATCH(CK15,数出表_Excel!$A:$A,0)-1&amp;":AL"&amp;MATCH(CK15,数出表_Excel!$A:$A,0)-1&amp;"")&lt;&gt;"",0)
),
 "")
&amp;IFERROR(
INDEX(INDIRECT("数出表_Excel!$"&amp;CF99&amp;"5:$AL5"),
 1,
MATCH(TRUE,INDIRECT("'数出表_Excel'!"&amp;CF99&amp;MATCH(CK15,数出表_Excel!$A:$A,0)-1&amp;":AL"&amp;MATCH(CK15,数出表_Excel!$A:$A,0)-1&amp;"")&lt;&gt;"",0)),
 "")),"")))</f>
        <v/>
      </c>
      <c r="CJ100" s="83" t="str" cm="1">
        <f t="array" aca="1" ref="CJ100" ca="1">IF(CG100&lt;&gt;"",
IF(COUNTIF(CG99,"*雙葉*"),
IF(ROUND(
IF(CJ105&lt;&gt;"",(CG102-CJ105),CG102)
/IF(COUNTIF(CG100,"*キャラ*"),
VLOOKUP("*キャラ*",商品マスタ一覧!$D:$J,7,FALSE),
IF(COUNTIF(CG100,"*赤*"),
VLOOKUP("*赤*",商品マスタ一覧!$D:$J,7,FALSE),
VLOOKUP(CG100,商品マスタ一覧!$D:$J,7,FALSE))),0)&lt;=0,1,
ROUND(
IF(CJ105&lt;&gt;"",(CG102-CJ105),CG102)
/IF(COUNTIF(CG100,"*キャラ*"),
VLOOKUP("*キャラ*",商品マスタ一覧!$D:$J,7,FALSE),
IF(COUNTIF(CG100,"*赤*"),
VLOOKUP("*赤*",商品マスタ一覧!$D:$J,7,FALSE),
VLOOKUP(CG100,商品マスタ一覧!$D:$J,7,FALSE))),0)),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IF(CG100&lt;&gt;"",
IF(IF(COUNTIF(CG100,"*キャラ*"),
VLOOKUP("*キャラ*",商品マスタ一覧!$D:$J,7,FALSE),
IF(COUNTIF(CG100,"*赤*"),
VLOOKUP("*赤*",商品マスタ一覧!$D:$J,7,FALSE),
VLOOKUP(CG100,商品マスタ一覧!$D:$J,7,FALSE)))=0,"",
IF(ROUND(
IF(CJ105&lt;&gt;"",(CG102-CJ105),CG102)
/IF(COUNTIF(CG100,"*キャラ*"),
VLOOKUP("*キャラ*",商品マスタ一覧!$D:$J,7,FALSE),
IF(COUNTIF(CG100,"*赤*"),
VLOOKUP("*赤*",商品マスタ一覧!$D:$J,7,FALSE),
VLOOKUP(CG100,商品マスタ一覧!$D:$J,7,FALSE))),0)&lt;=0,1,
ROUND(
IF(CJ105&lt;&gt;"",(CG102-CJ105),CG102)
/IF(COUNTIF(CG100,"*キャラ*"),
VLOOKUP("*キャラ*",商品マスタ一覧!$D:$J,7,FALSE),
IF(COUNTIF(CG100,"*赤*"),
VLOOKUP("*赤*",商品マスタ一覧!$D:$J,7,FALSE),
VLOOKUP(CG100,商品マスタ一覧!$D:$J,7,FALSE))),0))),""),"")),"")</f>
        <v/>
      </c>
      <c r="CK100" s="92" t="str">
        <f ca="1">IF(CJ100&lt;&gt;"",IF(CG102&lt;&gt;"",IF(VALUE(IF(CJ105&lt;&gt;"",CG102-CJ105,CG102))&gt;VALUE(IF(COUNTIF('盛付札（関数）'!CG100,"*キャラ*"),
VLOOKUP("*キャラ*",商品マスタ一覧!$D:$J,7,FALSE),
IF(COUNTIF('盛付札（関数）'!CG100,"*赤*"),
VLOOKUP("*赤*",商品マスタ一覧!$D:$J,7,FALSE),
VLOOKUP('盛付札（関数）'!CG100,商品マスタ一覧!$D:$J,7,FALSE)))*CJ100),
"+"&amp;IF(CJ105&lt;&gt;"",CG102-CJ105,CG102)-IF(COUNTIF('盛付札（関数）'!CG100,"*キャラ*"),
VLOOKUP("*キャラ*",商品マスタ一覧!$D:$J,7,FALSE),
IF(COUNTIF('盛付札（関数）'!CG100,"*赤*"),
VLOOKUP("*赤*",商品マスタ一覧!$D:$J,7,FALSE),
VLOOKUP('盛付札（関数）'!CG100,商品マスタ一覧!$D:$J,7,FALSE)))*CJ100,
IF(CJ105&lt;&gt;"",CG102-CJ105,CG102)-IF(COUNTIF('盛付札（関数）'!CG100,"*キャラ*"),
VLOOKUP("*キャラ*",商品マスタ一覧!$D:$J,7,FALSE),
IF(COUNTIF('盛付札（関数）'!CG100,"*赤*"),
VLOOKUP("*赤*",商品マスタ一覧!$D:$J,7,FALSE),
VLOOKUP('盛付札（関数）'!CG100,商品マスタ一覧!$D:$J,7,FALSE)))*CJ100),""),"")</f>
        <v/>
      </c>
      <c r="CN100" s="81" t="e" cm="1">
        <f t="array" aca="1" ref="CN100" ca="1">IF(CN17&lt;&gt;100,
IF(CO102&lt;&gt;"",MATCH(CO102,INDIRECT("数出表_Excel!B"&amp;MATCH(CS15,数出表_Excel!$A:$A,0)-1&amp;":U"&amp;MATCH(CS15,数出表_Excel!$A:$A,0)-1&amp;""),0)+1,""),
IF(CO102&lt;&gt;"",
MATCH(
IFERROR(
INDEX(INDIRECT("数出表_Excel!"&amp;CN99&amp;MATCH(CS15,数出表_Excel!$A:$A,0)-1&amp;":U"&amp;MATCH(CS15,数出表_Excel!$A:$A,0)-1&amp;""),
 1,
 MATCH(TRUE, ISNUMBER(--INDIRECT("数出表_Excel!"&amp;CN99&amp;MATCH(CS15,数出表_Excel!$A:$A,0)-1&amp;":U"&amp;MATCH(CS15,数出表_Excel!$A:$A,0)-1&amp;"")),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100" s="58" t="str" cm="1">
        <f t="array" aca="1" ref="CO100" ca="1">IFERROR(IF(OR(
COUNTIF(INDIRECT("数出表_Excel!" &amp;
CHAR(MATCH(TRUE,
ISNUMBER(--INDIRECT("数出表_Excel!"&amp;CN99&amp;MATCH(CS15,数出表_Excel!$A:$A,0)-1&amp;":U"&amp;MATCH(CS15,数出表_Excel!$A:$A,0)-1&amp;"")),0)
+MATCH(TRUE, ISNUMBER(--INDIRECT("数出表_Excel!B" &amp; (MATCH(CS15,数出表_Excel!$A:$A,0)-1) &amp; ":U" &amp; (MATCH(CS15,数出表_Excel!$A:$A,0)-1))), 0)
+MATCH(TRUE, ISNUMBER(--INDIRECT("数出表_Excel!"&amp;CN57&amp; (MATCH(CS15,数出表_Excel!$A:$A,0)-1) &amp; ":U" &amp; (MATCH(CS15,数出表_Excel!$A:$A,0)-1))), 0)
+65) &amp; "3"),"*配膳*"),
COUNTIF(INDIRECT("数出表_Excel!" &amp;
CHAR(MATCH(TRUE,
ISNUMBER(--INDIRECT("数出表_Excel!"&amp;CN99&amp;MATCH(CS15,数出表_Excel!$A:$A,0)-1&amp;":U"&amp;MATCH(CS15,数出表_Excel!$A:$A,0)-1&amp;"")),0)
+MATCH(TRUE, ISNUMBER(--INDIRECT("数出表_Excel!B" &amp; (MATCH(CS15,数出表_Excel!$A:$A,0)-1) &amp; ":U" &amp; (MATCH(CS15,数出表_Excel!$A:$A,0)-1))), 0)
+MATCH(TRUE, ISNUMBER(--INDIRECT("数出表_Excel!"&amp;CN57&amp; (MATCH(CS15,数出表_Excel!$A:$A,0)-1) &amp; ":U" &amp; (MATCH(CS15,数出表_Excel!$A:$A,0)-1))), 0)
+65) &amp; "3"),"*カレー*"),
COUNTIF(CO57,"*合計*")),"",
IF(IFERROR(INDIRECT("数出表_Excel!" &amp;
CHAR(MATCH(TRUE,
ISNUMBER(--INDIRECT("数出表_Excel!"&amp;CN99&amp;MATCH(CS15,数出表_Excel!$A:$A,0)-1&amp;":U"&amp;MATCH(CS15,数出表_Excel!$A:$A,0)-1&amp;"")),0)
+MATCH(TRUE, ISNUMBER(--INDIRECT("数出表_Excel!B" &amp; (MATCH(CS15,数出表_Excel!$A:$A,0)-1) &amp; ":U" &amp; (MATCH(CS15,数出表_Excel!$A:$A,0)-1))), 0)
+MATCH(TRUE, ISNUMBER(--INDIRECT("数出表_Excel!"&amp;CN57&amp; (MATCH(CS15,数出表_Excel!$A:$A,0)-1) &amp; ":U" &amp; (MATCH(CS15,数出表_Excel!$A:$A,0)-1))), 0)
+65) &amp; "3"),0)=0,"",
IFERROR(INDIRECT("数出表_Excel!" &amp;
CHAR(MATCH(TRUE,
ISNUMBER(--INDIRECT("数出表_Excel!"&amp;CN99&amp;MATCH(CS15,数出表_Excel!$A:$A,0)-1&amp;":U"&amp;MATCH(CS15,数出表_Excel!$A:$A,0)-1&amp;"")),0)
+MATCH(TRUE, ISNUMBER(--INDIRECT("数出表_Excel!B" &amp; (MATCH(CS15,数出表_Excel!$A:$A,0)-1) &amp; ":U" &amp; (MATCH(CS15,数出表_Excel!$A:$A,0)-1))), 0)
+MATCH(TRUE, ISNUMBER(--INDIRECT("数出表_Excel!"&amp;CN57&amp; (MATCH(CS15,数出表_Excel!$A:$A,0)-1) &amp; ":U" &amp; (MATCH(CS15,数出表_Excel!$A:$A,0)-1))), 0)
+65) &amp; "3"),""))),"")</f>
        <v/>
      </c>
      <c r="CP100" s="76"/>
      <c r="CQ100" s="82" t="str" cm="1">
        <f t="array" aca="1" ref="CQ100" ca="1">IF(CR100&lt;&gt;"","",
IF(COUNTIF(CO99,"*雙葉*"),"",
IF(CO99&lt;&gt;"",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+MATCH(TRUE,INDIRECT("'数出表_Excel'!"&amp;CN99&amp;MATCH(CS15,数出表_Excel!$A:$A,0)-1&amp;":AL"&amp;MATCH(CS15,数出表_Excel!$A:$A,0)-1&amp;"")&lt;&gt;"",0))&gt;9,"",
IFERROR(
INDEX(INDIRECT("数出表_Excel!$"&amp;CN99&amp;"4:$AL4"),
 1,
MATCH(TRUE,INDIRECT("'数出表_Excel'!"&amp;CN99&amp;MATCH(CS15,数出表_Excel!$A:$A,0)-1&amp;":AL"&amp;MATCH(CS15,数出表_Excel!$A:$A,0)-1&amp;"")&lt;&gt;"",0)
),
 "")
&amp;IFERROR(
INDEX(INDIRECT("数出表_Excel!$"&amp;CN99&amp;"5:$AL5"),
 1,
MATCH(TRUE,INDIRECT("'数出表_Excel'!"&amp;CN99&amp;MATCH(CS15,数出表_Excel!$A:$A,0)-1&amp;":AL"&amp;MATCH(CS15,数出表_Excel!$A:$A,0)-1&amp;"")&lt;&gt;"",0)),
 "")),"")))</f>
        <v/>
      </c>
      <c r="CR100" s="83" t="str" cm="1">
        <f t="array" aca="1" ref="CR100" ca="1">IF(CO100&lt;&gt;"",
IF(COUNTIF(CO99,"*雙葉*"),
IF(ROUND(
IF(CR105&lt;&gt;"",(CO102-CR105),CO102)
/IF(COUNTIF(CO100,"*キャラ*"),
VLOOKUP("*キャラ*",商品マスタ一覧!$D:$J,7,FALSE),
IF(COUNTIF(CO100,"*赤*"),
VLOOKUP("*赤*",商品マスタ一覧!$D:$J,7,FALSE),
VLOOKUP(CO100,商品マスタ一覧!$D:$J,7,FALSE))),0)&lt;=0,1,
ROUND(
IF(CR105&lt;&gt;"",(CO102-CR105),CO102)
/IF(COUNTIF(CO100,"*キャラ*"),
VLOOKUP("*キャラ*",商品マスタ一覧!$D:$J,7,FALSE),
IF(COUNTIF(CO100,"*赤*"),
VLOOKUP("*赤*",商品マスタ一覧!$D:$J,7,FALSE),
VLOOKUP(CO100,商品マスタ一覧!$D:$J,7,FALSE))),0)),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IF(CO100&lt;&gt;"",
IF(IF(COUNTIF(CO100,"*キャラ*"),
VLOOKUP("*キャラ*",商品マスタ一覧!$D:$J,7,FALSE),
IF(COUNTIF(CO100,"*赤*"),
VLOOKUP("*赤*",商品マスタ一覧!$D:$J,7,FALSE),
VLOOKUP(CO100,商品マスタ一覧!$D:$J,7,FALSE)))=0,"",
IF(ROUND(
IF(CR105&lt;&gt;"",(CO102-CR105),CO102)
/IF(COUNTIF(CO100,"*キャラ*"),
VLOOKUP("*キャラ*",商品マスタ一覧!$D:$J,7,FALSE),
IF(COUNTIF(CO100,"*赤*"),
VLOOKUP("*赤*",商品マスタ一覧!$D:$J,7,FALSE),
VLOOKUP(CO100,商品マスタ一覧!$D:$J,7,FALSE))),0)&lt;=0,1,
ROUND(
IF(CR105&lt;&gt;"",(CO102-CR105),CO102)
/IF(COUNTIF(CO100,"*キャラ*"),
VLOOKUP("*キャラ*",商品マスタ一覧!$D:$J,7,FALSE),
IF(COUNTIF(CO100,"*赤*"),
VLOOKUP("*赤*",商品マスタ一覧!$D:$J,7,FALSE),
VLOOKUP(CO100,商品マスタ一覧!$D:$J,7,FALSE))),0))),""),"")),"")</f>
        <v/>
      </c>
      <c r="CS100" s="92" t="str">
        <f ca="1">IF(CR100&lt;&gt;"",IF(CO102&lt;&gt;"",IF(VALUE(IF(CR105&lt;&gt;"",CO102-CR105,CO102))&gt;VALUE(IF(COUNTIF('盛付札（関数）'!CO100,"*キャラ*"),
VLOOKUP("*キャラ*",商品マスタ一覧!$D:$J,7,FALSE),
IF(COUNTIF('盛付札（関数）'!CO100,"*赤*"),
VLOOKUP("*赤*",商品マスタ一覧!$D:$J,7,FALSE),
VLOOKUP('盛付札（関数）'!CO100,商品マスタ一覧!$D:$J,7,FALSE)))*CR100),
"+"&amp;IF(CR105&lt;&gt;"",CO102-CR105,CO102)-IF(COUNTIF('盛付札（関数）'!CO100,"*キャラ*"),
VLOOKUP("*キャラ*",商品マスタ一覧!$D:$J,7,FALSE),
IF(COUNTIF('盛付札（関数）'!CO100,"*赤*"),
VLOOKUP("*赤*",商品マスタ一覧!$D:$J,7,FALSE),
VLOOKUP('盛付札（関数）'!CO100,商品マスタ一覧!$D:$J,7,FALSE)))*CR100,
IF(CR105&lt;&gt;"",CO102-CR105,CO102)-IF(COUNTIF('盛付札（関数）'!CO100,"*キャラ*"),
VLOOKUP("*キャラ*",商品マスタ一覧!$D:$J,7,FALSE),
IF(COUNTIF('盛付札（関数）'!CO100,"*赤*"),
VLOOKUP("*赤*",商品マスタ一覧!$D:$J,7,FALSE),
VLOOKUP('盛付札（関数）'!CO100,商品マスタ一覧!$D:$J,7,FALSE)))*CR100),""),"")</f>
        <v/>
      </c>
      <c r="CT100" s="76"/>
      <c r="CU100" s="81" t="e" cm="1">
        <f t="array" aca="1" ref="CU100" ca="1">IF(CU17&lt;&gt;100,
IF(CV102&lt;&gt;"",MATCH(CV102,INDIRECT("数出表_Excel!B"&amp;MATCH(CZ15,数出表_Excel!$A:$A,0)-1&amp;":U"&amp;MATCH(CZ15,数出表_Excel!$A:$A,0)-1&amp;""),0)+1,""),
IF(CV102&lt;&gt;"",
MATCH(
IFERROR(
INDEX(INDIRECT("数出表_Excel!"&amp;CU99&amp;MATCH(CZ15,数出表_Excel!$A:$A,0)-1&amp;":U"&amp;MATCH(CZ15,数出表_Excel!$A:$A,0)-1&amp;""),
 1,
 MATCH(TRUE, ISNUMBER(--INDIRECT("数出表_Excel!"&amp;CU99&amp;MATCH(CZ15,数出表_Excel!$A:$A,0)-1&amp;":U"&amp;MATCH(CZ15,数出表_Excel!$A:$A,0)-1&amp;"")),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100" s="58" t="str" cm="1">
        <f t="array" aca="1" ref="CV100" ca="1">IFERROR(IF(OR(
COUNTIF(INDIRECT("数出表_Excel!" &amp;
CHAR(MATCH(TRUE,
ISNUMBER(--INDIRECT("数出表_Excel!"&amp;CU99&amp;MATCH(CZ15,数出表_Excel!$A:$A,0)-1&amp;":U"&amp;MATCH(CZ15,数出表_Excel!$A:$A,0)-1&amp;"")),0)
+MATCH(TRUE, ISNUMBER(--INDIRECT("数出表_Excel!B" &amp; (MATCH(CZ15,数出表_Excel!$A:$A,0)-1) &amp; ":U" &amp; (MATCH(CZ15,数出表_Excel!$A:$A,0)-1))), 0)
+MATCH(TRUE, ISNUMBER(--INDIRECT("数出表_Excel!"&amp;CU57&amp; (MATCH(CZ15,数出表_Excel!$A:$A,0)-1) &amp; ":U" &amp; (MATCH(CZ15,数出表_Excel!$A:$A,0)-1))), 0)
+65) &amp; "3"),"*配膳*"),
COUNTIF(INDIRECT("数出表_Excel!" &amp;
CHAR(MATCH(TRUE,
ISNUMBER(--INDIRECT("数出表_Excel!"&amp;CU99&amp;MATCH(CZ15,数出表_Excel!$A:$A,0)-1&amp;":U"&amp;MATCH(CZ15,数出表_Excel!$A:$A,0)-1&amp;"")),0)
+MATCH(TRUE, ISNUMBER(--INDIRECT("数出表_Excel!B" &amp; (MATCH(CZ15,数出表_Excel!$A:$A,0)-1) &amp; ":U" &amp; (MATCH(CZ15,数出表_Excel!$A:$A,0)-1))), 0)
+MATCH(TRUE, ISNUMBER(--INDIRECT("数出表_Excel!"&amp;CU57&amp; (MATCH(CZ15,数出表_Excel!$A:$A,0)-1) &amp; ":U" &amp; (MATCH(CZ15,数出表_Excel!$A:$A,0)-1))), 0)
+65) &amp; "3"),"*カレー*"),
COUNTIF(CV57,"*合計*")),"",
IF(IFERROR(INDIRECT("数出表_Excel!" &amp;
CHAR(MATCH(TRUE,
ISNUMBER(--INDIRECT("数出表_Excel!"&amp;CU99&amp;MATCH(CZ15,数出表_Excel!$A:$A,0)-1&amp;":U"&amp;MATCH(CZ15,数出表_Excel!$A:$A,0)-1&amp;"")),0)
+MATCH(TRUE, ISNUMBER(--INDIRECT("数出表_Excel!B" &amp; (MATCH(CZ15,数出表_Excel!$A:$A,0)-1) &amp; ":U" &amp; (MATCH(CZ15,数出表_Excel!$A:$A,0)-1))), 0)
+MATCH(TRUE, ISNUMBER(--INDIRECT("数出表_Excel!"&amp;CU57&amp; (MATCH(CZ15,数出表_Excel!$A:$A,0)-1) &amp; ":U" &amp; (MATCH(CZ15,数出表_Excel!$A:$A,0)-1))), 0)
+65) &amp; "3"),0)=0,"",
IFERROR(INDIRECT("数出表_Excel!" &amp;
CHAR(MATCH(TRUE,
ISNUMBER(--INDIRECT("数出表_Excel!"&amp;CU99&amp;MATCH(CZ15,数出表_Excel!$A:$A,0)-1&amp;":U"&amp;MATCH(CZ15,数出表_Excel!$A:$A,0)-1&amp;"")),0)
+MATCH(TRUE, ISNUMBER(--INDIRECT("数出表_Excel!B" &amp; (MATCH(CZ15,数出表_Excel!$A:$A,0)-1) &amp; ":U" &amp; (MATCH(CZ15,数出表_Excel!$A:$A,0)-1))), 0)
+MATCH(TRUE, ISNUMBER(--INDIRECT("数出表_Excel!"&amp;CU57&amp; (MATCH(CZ15,数出表_Excel!$A:$A,0)-1) &amp; ":U" &amp; (MATCH(CZ15,数出表_Excel!$A:$A,0)-1))), 0)
+65) &amp; "3"),""))),"")</f>
        <v/>
      </c>
      <c r="CW100" s="76"/>
      <c r="CX100" s="82" t="str" cm="1">
        <f t="array" aca="1" ref="CX100" ca="1">IF(CY100&lt;&gt;"","",
IF(COUNTIF(CV99,"*雙葉*"),"",
IF(CV99&lt;&gt;"",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+MATCH(TRUE,INDIRECT("'数出表_Excel'!"&amp;CU99&amp;MATCH(CZ15,数出表_Excel!$A:$A,0)-1&amp;":AL"&amp;MATCH(CZ15,数出表_Excel!$A:$A,0)-1&amp;"")&lt;&gt;"",0))&gt;9,"",
IFERROR(
INDEX(INDIRECT("数出表_Excel!$"&amp;CU99&amp;"4:$AL4"),
 1,
MATCH(TRUE,INDIRECT("'数出表_Excel'!"&amp;CU99&amp;MATCH(CZ15,数出表_Excel!$A:$A,0)-1&amp;":AL"&amp;MATCH(CZ15,数出表_Excel!$A:$A,0)-1&amp;"")&lt;&gt;"",0)
),
 "")
&amp;IFERROR(
INDEX(INDIRECT("数出表_Excel!$"&amp;CU99&amp;"5:$AL5"),
 1,
MATCH(TRUE,INDIRECT("'数出表_Excel'!"&amp;CU99&amp;MATCH(CZ15,数出表_Excel!$A:$A,0)-1&amp;":AL"&amp;MATCH(CZ15,数出表_Excel!$A:$A,0)-1&amp;"")&lt;&gt;"",0)),
 "")),"")))</f>
        <v/>
      </c>
      <c r="CY100" s="83" t="str" cm="1">
        <f t="array" aca="1" ref="CY100" ca="1">IF(CV100&lt;&gt;"",
IF(COUNTIF(CV99,"*雙葉*"),
IF(ROUND(
IF(CY105&lt;&gt;"",(CV102-CY105),CV102)
/IF(COUNTIF(CV100,"*キャラ*"),
VLOOKUP("*キャラ*",商品マスタ一覧!$D:$J,7,FALSE),
IF(COUNTIF(CV100,"*赤*"),
VLOOKUP("*赤*",商品マスタ一覧!$D:$J,7,FALSE),
VLOOKUP(CV100,商品マスタ一覧!$D:$J,7,FALSE))),0)&lt;=0,1,
ROUND(
IF(CY105&lt;&gt;"",(CV102-CY105),CV102)
/IF(COUNTIF(CV100,"*キャラ*"),
VLOOKUP("*キャラ*",商品マスタ一覧!$D:$J,7,FALSE),
IF(COUNTIF(CV100,"*赤*"),
VLOOKUP("*赤*",商品マスタ一覧!$D:$J,7,FALSE),
VLOOKUP(CV100,商品マスタ一覧!$D:$J,7,FALSE))),0)),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IF(CV100&lt;&gt;"",
IF(IF(COUNTIF(CV100,"*キャラ*"),
VLOOKUP("*キャラ*",商品マスタ一覧!$D:$J,7,FALSE),
IF(COUNTIF(CV100,"*赤*"),
VLOOKUP("*赤*",商品マスタ一覧!$D:$J,7,FALSE),
VLOOKUP(CV100,商品マスタ一覧!$D:$J,7,FALSE)))=0,"",
IF(ROUND(
IF(CY105&lt;&gt;"",(CV102-CY105),CV102)
/IF(COUNTIF(CV100,"*キャラ*"),
VLOOKUP("*キャラ*",商品マスタ一覧!$D:$J,7,FALSE),
IF(COUNTIF(CV100,"*赤*"),
VLOOKUP("*赤*",商品マスタ一覧!$D:$J,7,FALSE),
VLOOKUP(CV100,商品マスタ一覧!$D:$J,7,FALSE))),0)&lt;=0,1,
ROUND(
IF(CY105&lt;&gt;"",(CV102-CY105),CV102)
/IF(COUNTIF(CV100,"*キャラ*"),
VLOOKUP("*キャラ*",商品マスタ一覧!$D:$J,7,FALSE),
IF(COUNTIF(CV100,"*赤*"),
VLOOKUP("*赤*",商品マスタ一覧!$D:$J,7,FALSE),
VLOOKUP(CV100,商品マスタ一覧!$D:$J,7,FALSE))),0))),""),"")),"")</f>
        <v/>
      </c>
      <c r="CZ100" s="92" t="str">
        <f ca="1">IF(CY100&lt;&gt;"",IF(CV102&lt;&gt;"",IF(VALUE(IF(CY105&lt;&gt;"",CV102-CY105,CV102))&gt;VALUE(IF(COUNTIF('盛付札（関数）'!CV100,"*キャラ*"),
VLOOKUP("*キャラ*",商品マスタ一覧!$D:$J,7,FALSE),
IF(COUNTIF('盛付札（関数）'!CV100,"*赤*"),
VLOOKUP("*赤*",商品マスタ一覧!$D:$J,7,FALSE),
VLOOKUP('盛付札（関数）'!CV100,商品マスタ一覧!$D:$J,7,FALSE)))*CY100),
"+"&amp;IF(CY105&lt;&gt;"",CV102-CY105,CV102)-IF(COUNTIF('盛付札（関数）'!CV100,"*キャラ*"),
VLOOKUP("*キャラ*",商品マスタ一覧!$D:$J,7,FALSE),
IF(COUNTIF('盛付札（関数）'!CV100,"*赤*"),
VLOOKUP("*赤*",商品マスタ一覧!$D:$J,7,FALSE),
VLOOKUP('盛付札（関数）'!CV100,商品マスタ一覧!$D:$J,7,FALSE)))*CY100,
IF(CY105&lt;&gt;"",CV102-CY105,CV102)-IF(COUNTIF('盛付札（関数）'!CV100,"*キャラ*"),
VLOOKUP("*キャラ*",商品マスタ一覧!$D:$J,7,FALSE),
IF(COUNTIF('盛付札（関数）'!CV100,"*赤*"),
VLOOKUP("*赤*",商品マスタ一覧!$D:$J,7,FALSE),
VLOOKUP('盛付札（関数）'!CV100,商品マスタ一覧!$D:$J,7,FALSE)))*CY100),""),"")</f>
        <v/>
      </c>
      <c r="DC100" s="81" t="e" cm="1">
        <f t="array" aca="1" ref="DC100" ca="1">IF(DC17&lt;&gt;100,
IF(DD102&lt;&gt;"",MATCH(DD102,INDIRECT("数出表_Excel!B"&amp;MATCH(DH15,数出表_Excel!$A:$A,0)-1&amp;":U"&amp;MATCH(DH15,数出表_Excel!$A:$A,0)-1&amp;""),0)+1,""),
IF(DD102&lt;&gt;"",
MATCH(
IFERROR(
INDEX(INDIRECT("数出表_Excel!"&amp;DC99&amp;MATCH(DH15,数出表_Excel!$A:$A,0)-1&amp;":U"&amp;MATCH(DH15,数出表_Excel!$A:$A,0)-1&amp;""),
 1,
 MATCH(TRUE, ISNUMBER(--INDIRECT("数出表_Excel!"&amp;DC99&amp;MATCH(DH15,数出表_Excel!$A:$A,0)-1&amp;":U"&amp;MATCH(DH15,数出表_Excel!$A:$A,0)-1&amp;"")),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100" s="58" t="str" cm="1">
        <f t="array" aca="1" ref="DD100" ca="1">IFERROR(IF(OR(
COUNTIF(INDIRECT("数出表_Excel!" &amp;
CHAR(MATCH(TRUE,
ISNUMBER(--INDIRECT("数出表_Excel!"&amp;DC99&amp;MATCH(DH15,数出表_Excel!$A:$A,0)-1&amp;":U"&amp;MATCH(DH15,数出表_Excel!$A:$A,0)-1&amp;"")),0)
+MATCH(TRUE, ISNUMBER(--INDIRECT("数出表_Excel!B" &amp; (MATCH(DH15,数出表_Excel!$A:$A,0)-1) &amp; ":U" &amp; (MATCH(DH15,数出表_Excel!$A:$A,0)-1))), 0)
+MATCH(TRUE, ISNUMBER(--INDIRECT("数出表_Excel!"&amp;DC57&amp; (MATCH(DH15,数出表_Excel!$A:$A,0)-1) &amp; ":U" &amp; (MATCH(DH15,数出表_Excel!$A:$A,0)-1))), 0)
+65) &amp; "3"),"*配膳*"),
COUNTIF(INDIRECT("数出表_Excel!" &amp;
CHAR(MATCH(TRUE,
ISNUMBER(--INDIRECT("数出表_Excel!"&amp;DC99&amp;MATCH(DH15,数出表_Excel!$A:$A,0)-1&amp;":U"&amp;MATCH(DH15,数出表_Excel!$A:$A,0)-1&amp;"")),0)
+MATCH(TRUE, ISNUMBER(--INDIRECT("数出表_Excel!B" &amp; (MATCH(DH15,数出表_Excel!$A:$A,0)-1) &amp; ":U" &amp; (MATCH(DH15,数出表_Excel!$A:$A,0)-1))), 0)
+MATCH(TRUE, ISNUMBER(--INDIRECT("数出表_Excel!"&amp;DC57&amp; (MATCH(DH15,数出表_Excel!$A:$A,0)-1) &amp; ":U" &amp; (MATCH(DH15,数出表_Excel!$A:$A,0)-1))), 0)
+65) &amp; "3"),"*カレー*"),
COUNTIF(DD57,"*合計*")),"",
IF(IFERROR(INDIRECT("数出表_Excel!" &amp;
CHAR(MATCH(TRUE,
ISNUMBER(--INDIRECT("数出表_Excel!"&amp;DC99&amp;MATCH(DH15,数出表_Excel!$A:$A,0)-1&amp;":U"&amp;MATCH(DH15,数出表_Excel!$A:$A,0)-1&amp;"")),0)
+MATCH(TRUE, ISNUMBER(--INDIRECT("数出表_Excel!B" &amp; (MATCH(DH15,数出表_Excel!$A:$A,0)-1) &amp; ":U" &amp; (MATCH(DH15,数出表_Excel!$A:$A,0)-1))), 0)
+MATCH(TRUE, ISNUMBER(--INDIRECT("数出表_Excel!"&amp;DC57&amp; (MATCH(DH15,数出表_Excel!$A:$A,0)-1) &amp; ":U" &amp; (MATCH(DH15,数出表_Excel!$A:$A,0)-1))), 0)
+65) &amp; "3"),0)=0,"",
IFERROR(INDIRECT("数出表_Excel!" &amp;
CHAR(MATCH(TRUE,
ISNUMBER(--INDIRECT("数出表_Excel!"&amp;DC99&amp;MATCH(DH15,数出表_Excel!$A:$A,0)-1&amp;":U"&amp;MATCH(DH15,数出表_Excel!$A:$A,0)-1&amp;"")),0)
+MATCH(TRUE, ISNUMBER(--INDIRECT("数出表_Excel!B" &amp; (MATCH(DH15,数出表_Excel!$A:$A,0)-1) &amp; ":U" &amp; (MATCH(DH15,数出表_Excel!$A:$A,0)-1))), 0)
+MATCH(TRUE, ISNUMBER(--INDIRECT("数出表_Excel!"&amp;DC57&amp; (MATCH(DH15,数出表_Excel!$A:$A,0)-1) &amp; ":U" &amp; (MATCH(DH15,数出表_Excel!$A:$A,0)-1))), 0)
+65) &amp; "3"),""))),"")</f>
        <v/>
      </c>
      <c r="DE100" s="76"/>
      <c r="DF100" s="82" t="str" cm="1">
        <f t="array" aca="1" ref="DF100" ca="1">IF(DG100&lt;&gt;"","",
IF(COUNTIF(DD99,"*雙葉*"),"",
IF(DD99&lt;&gt;"",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+MATCH(TRUE,INDIRECT("'数出表_Excel'!"&amp;DC99&amp;MATCH(DH15,数出表_Excel!$A:$A,0)-1&amp;":AL"&amp;MATCH(DH15,数出表_Excel!$A:$A,0)-1&amp;"")&lt;&gt;"",0))&gt;9,"",
IFERROR(
INDEX(INDIRECT("数出表_Excel!$"&amp;DC99&amp;"4:$AL4"),
 1,
MATCH(TRUE,INDIRECT("'数出表_Excel'!"&amp;DC99&amp;MATCH(DH15,数出表_Excel!$A:$A,0)-1&amp;":AL"&amp;MATCH(DH15,数出表_Excel!$A:$A,0)-1&amp;"")&lt;&gt;"",0)
),
 "")
&amp;IFERROR(
INDEX(INDIRECT("数出表_Excel!$"&amp;DC99&amp;"5:$AL5"),
 1,
MATCH(TRUE,INDIRECT("'数出表_Excel'!"&amp;DC99&amp;MATCH(DH15,数出表_Excel!$A:$A,0)-1&amp;":AL"&amp;MATCH(DH15,数出表_Excel!$A:$A,0)-1&amp;"")&lt;&gt;"",0)),
 "")),"")))</f>
        <v/>
      </c>
      <c r="DG100" s="83" t="str" cm="1">
        <f t="array" aca="1" ref="DG100" ca="1">IF(DD100&lt;&gt;"",
IF(COUNTIF(DD99,"*雙葉*"),
IF(ROUND(
IF(DG105&lt;&gt;"",(DD102-DG105),DD102)
/IF(COUNTIF(DD100,"*キャラ*"),
VLOOKUP("*キャラ*",商品マスタ一覧!$D:$J,7,FALSE),
IF(COUNTIF(DD100,"*赤*"),
VLOOKUP("*赤*",商品マスタ一覧!$D:$J,7,FALSE),
VLOOKUP(DD100,商品マスタ一覧!$D:$J,7,FALSE))),0)&lt;=0,1,
ROUND(
IF(DG105&lt;&gt;"",(DD102-DG105),DD102)
/IF(COUNTIF(DD100,"*キャラ*"),
VLOOKUP("*キャラ*",商品マスタ一覧!$D:$J,7,FALSE),
IF(COUNTIF(DD100,"*赤*"),
VLOOKUP("*赤*",商品マスタ一覧!$D:$J,7,FALSE),
VLOOKUP(DD100,商品マスタ一覧!$D:$J,7,FALSE))),0)),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IF(DD100&lt;&gt;"",
IF(IF(COUNTIF(DD100,"*キャラ*"),
VLOOKUP("*キャラ*",商品マスタ一覧!$D:$J,7,FALSE),
IF(COUNTIF(DD100,"*赤*"),
VLOOKUP("*赤*",商品マスタ一覧!$D:$J,7,FALSE),
VLOOKUP(DD100,商品マスタ一覧!$D:$J,7,FALSE)))=0,"",
IF(ROUND(
IF(DG105&lt;&gt;"",(DD102-DG105),DD102)
/IF(COUNTIF(DD100,"*キャラ*"),
VLOOKUP("*キャラ*",商品マスタ一覧!$D:$J,7,FALSE),
IF(COUNTIF(DD100,"*赤*"),
VLOOKUP("*赤*",商品マスタ一覧!$D:$J,7,FALSE),
VLOOKUP(DD100,商品マスタ一覧!$D:$J,7,FALSE))),0)&lt;=0,1,
ROUND(
IF(DG105&lt;&gt;"",(DD102-DG105),DD102)
/IF(COUNTIF(DD100,"*キャラ*"),
VLOOKUP("*キャラ*",商品マスタ一覧!$D:$J,7,FALSE),
IF(COUNTIF(DD100,"*赤*"),
VLOOKUP("*赤*",商品マスタ一覧!$D:$J,7,FALSE),
VLOOKUP(DD100,商品マスタ一覧!$D:$J,7,FALSE))),0))),""),"")),"")</f>
        <v/>
      </c>
      <c r="DH100" s="92" t="str">
        <f ca="1">IF(DG100&lt;&gt;"",IF(DD102&lt;&gt;"",IF(VALUE(IF(DG105&lt;&gt;"",DD102-DG105,DD102))&gt;VALUE(IF(COUNTIF('盛付札（関数）'!DD100,"*キャラ*"),
VLOOKUP("*キャラ*",商品マスタ一覧!$D:$J,7,FALSE),
IF(COUNTIF('盛付札（関数）'!DD100,"*赤*"),
VLOOKUP("*赤*",商品マスタ一覧!$D:$J,7,FALSE),
VLOOKUP('盛付札（関数）'!DD100,商品マスタ一覧!$D:$J,7,FALSE)))*DG100),
"+"&amp;IF(DG105&lt;&gt;"",DD102-DG105,DD102)-IF(COUNTIF('盛付札（関数）'!DD100,"*キャラ*"),
VLOOKUP("*キャラ*",商品マスタ一覧!$D:$J,7,FALSE),
IF(COUNTIF('盛付札（関数）'!DD100,"*赤*"),
VLOOKUP("*赤*",商品マスタ一覧!$D:$J,7,FALSE),
VLOOKUP('盛付札（関数）'!DD100,商品マスタ一覧!$D:$J,7,FALSE)))*DG100,
IF(DG105&lt;&gt;"",DD102-DG105,DD102)-IF(COUNTIF('盛付札（関数）'!DD100,"*キャラ*"),
VLOOKUP("*キャラ*",商品マスタ一覧!$D:$J,7,FALSE),
IF(COUNTIF('盛付札（関数）'!DD100,"*赤*"),
VLOOKUP("*赤*",商品マスタ一覧!$D:$J,7,FALSE),
VLOOKUP('盛付札（関数）'!DD100,商品マスタ一覧!$D:$J,7,FALSE)))*DG100),""),"")</f>
        <v/>
      </c>
      <c r="DI100" s="76"/>
      <c r="DJ100" s="81" t="e" cm="1">
        <f t="array" aca="1" ref="DJ100" ca="1">IF(DJ17&lt;&gt;100,
IF(DK102&lt;&gt;"",MATCH(DK102,INDIRECT("数出表_Excel!B"&amp;MATCH(DO15,数出表_Excel!$A:$A,0)-1&amp;":U"&amp;MATCH(DO15,数出表_Excel!$A:$A,0)-1&amp;""),0)+1,""),
IF(DK102&lt;&gt;"",
MATCH(
IFERROR(
INDEX(INDIRECT("数出表_Excel!"&amp;DJ99&amp;MATCH(DO15,数出表_Excel!$A:$A,0)-1&amp;":U"&amp;MATCH(DO15,数出表_Excel!$A:$A,0)-1&amp;""),
 1,
 MATCH(TRUE, ISNUMBER(--INDIRECT("数出表_Excel!"&amp;DJ99&amp;MATCH(DO15,数出表_Excel!$A:$A,0)-1&amp;":U"&amp;MATCH(DO15,数出表_Excel!$A:$A,0)-1&amp;"")),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100" s="58" t="str" cm="1">
        <f t="array" aca="1" ref="DK100" ca="1">IFERROR(IF(OR(
COUNTIF(INDIRECT("数出表_Excel!" &amp;
CHAR(MATCH(TRUE,
ISNUMBER(--INDIRECT("数出表_Excel!"&amp;DJ99&amp;MATCH(DO15,数出表_Excel!$A:$A,0)-1&amp;":U"&amp;MATCH(DO15,数出表_Excel!$A:$A,0)-1&amp;"")),0)
+MATCH(TRUE, ISNUMBER(--INDIRECT("数出表_Excel!B" &amp; (MATCH(DO15,数出表_Excel!$A:$A,0)-1) &amp; ":U" &amp; (MATCH(DO15,数出表_Excel!$A:$A,0)-1))), 0)
+MATCH(TRUE, ISNUMBER(--INDIRECT("数出表_Excel!"&amp;DJ57&amp; (MATCH(DO15,数出表_Excel!$A:$A,0)-1) &amp; ":U" &amp; (MATCH(DO15,数出表_Excel!$A:$A,0)-1))), 0)
+65) &amp; "3"),"*配膳*"),
COUNTIF(INDIRECT("数出表_Excel!" &amp;
CHAR(MATCH(TRUE,
ISNUMBER(--INDIRECT("数出表_Excel!"&amp;DJ99&amp;MATCH(DO15,数出表_Excel!$A:$A,0)-1&amp;":U"&amp;MATCH(DO15,数出表_Excel!$A:$A,0)-1&amp;"")),0)
+MATCH(TRUE, ISNUMBER(--INDIRECT("数出表_Excel!B" &amp; (MATCH(DO15,数出表_Excel!$A:$A,0)-1) &amp; ":U" &amp; (MATCH(DO15,数出表_Excel!$A:$A,0)-1))), 0)
+MATCH(TRUE, ISNUMBER(--INDIRECT("数出表_Excel!"&amp;DJ57&amp; (MATCH(DO15,数出表_Excel!$A:$A,0)-1) &amp; ":U" &amp; (MATCH(DO15,数出表_Excel!$A:$A,0)-1))), 0)
+65) &amp; "3"),"*カレー*"),
COUNTIF(DK57,"*合計*")),"",
IF(IFERROR(INDIRECT("数出表_Excel!" &amp;
CHAR(MATCH(TRUE,
ISNUMBER(--INDIRECT("数出表_Excel!"&amp;DJ99&amp;MATCH(DO15,数出表_Excel!$A:$A,0)-1&amp;":U"&amp;MATCH(DO15,数出表_Excel!$A:$A,0)-1&amp;"")),0)
+MATCH(TRUE, ISNUMBER(--INDIRECT("数出表_Excel!B" &amp; (MATCH(DO15,数出表_Excel!$A:$A,0)-1) &amp; ":U" &amp; (MATCH(DO15,数出表_Excel!$A:$A,0)-1))), 0)
+MATCH(TRUE, ISNUMBER(--INDIRECT("数出表_Excel!"&amp;DJ57&amp; (MATCH(DO15,数出表_Excel!$A:$A,0)-1) &amp; ":U" &amp; (MATCH(DO15,数出表_Excel!$A:$A,0)-1))), 0)
+65) &amp; "3"),0)=0,"",
IFERROR(INDIRECT("数出表_Excel!" &amp;
CHAR(MATCH(TRUE,
ISNUMBER(--INDIRECT("数出表_Excel!"&amp;DJ99&amp;MATCH(DO15,数出表_Excel!$A:$A,0)-1&amp;":U"&amp;MATCH(DO15,数出表_Excel!$A:$A,0)-1&amp;"")),0)
+MATCH(TRUE, ISNUMBER(--INDIRECT("数出表_Excel!B" &amp; (MATCH(DO15,数出表_Excel!$A:$A,0)-1) &amp; ":U" &amp; (MATCH(DO15,数出表_Excel!$A:$A,0)-1))), 0)
+MATCH(TRUE, ISNUMBER(--INDIRECT("数出表_Excel!"&amp;DJ57&amp; (MATCH(DO15,数出表_Excel!$A:$A,0)-1) &amp; ":U" &amp; (MATCH(DO15,数出表_Excel!$A:$A,0)-1))), 0)
+65) &amp; "3"),""))),"")</f>
        <v/>
      </c>
      <c r="DL100" s="76"/>
      <c r="DM100" s="82" t="str" cm="1">
        <f t="array" aca="1" ref="DM100" ca="1">IF(DN100&lt;&gt;"","",
IF(COUNTIF(DK99,"*雙葉*"),"",
IF(DK99&lt;&gt;"",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+MATCH(TRUE,INDIRECT("'数出表_Excel'!"&amp;DJ99&amp;MATCH(DO15,数出表_Excel!$A:$A,0)-1&amp;":AL"&amp;MATCH(DO15,数出表_Excel!$A:$A,0)-1&amp;"")&lt;&gt;"",0))&gt;9,"",
IFERROR(
INDEX(INDIRECT("数出表_Excel!$"&amp;DJ99&amp;"4:$AL4"),
 1,
MATCH(TRUE,INDIRECT("'数出表_Excel'!"&amp;DJ99&amp;MATCH(DO15,数出表_Excel!$A:$A,0)-1&amp;":AL"&amp;MATCH(DO15,数出表_Excel!$A:$A,0)-1&amp;"")&lt;&gt;"",0)
),
 "")
&amp;IFERROR(
INDEX(INDIRECT("数出表_Excel!$"&amp;DJ99&amp;"5:$AL5"),
 1,
MATCH(TRUE,INDIRECT("'数出表_Excel'!"&amp;DJ99&amp;MATCH(DO15,数出表_Excel!$A:$A,0)-1&amp;":AL"&amp;MATCH(DO15,数出表_Excel!$A:$A,0)-1&amp;"")&lt;&gt;"",0)),
 "")),"")))</f>
        <v/>
      </c>
      <c r="DN100" s="83" t="str" cm="1">
        <f t="array" aca="1" ref="DN100" ca="1">IF(DK100&lt;&gt;"",
IF(COUNTIF(DK99,"*雙葉*"),
IF(ROUND(
IF(DN105&lt;&gt;"",(DK102-DN105),DK102)
/IF(COUNTIF(DK100,"*キャラ*"),
VLOOKUP("*キャラ*",商品マスタ一覧!$D:$J,7,FALSE),
IF(COUNTIF(DK100,"*赤*"),
VLOOKUP("*赤*",商品マスタ一覧!$D:$J,7,FALSE),
VLOOKUP(DK100,商品マスタ一覧!$D:$J,7,FALSE))),0)&lt;=0,1,
ROUND(
IF(DN105&lt;&gt;"",(DK102-DN105),DK102)
/IF(COUNTIF(DK100,"*キャラ*"),
VLOOKUP("*キャラ*",商品マスタ一覧!$D:$J,7,FALSE),
IF(COUNTIF(DK100,"*赤*"),
VLOOKUP("*赤*",商品マスタ一覧!$D:$J,7,FALSE),
VLOOKUP(DK100,商品マスタ一覧!$D:$J,7,FALSE))),0)),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IF(DK100&lt;&gt;"",
IF(IF(COUNTIF(DK100,"*キャラ*"),
VLOOKUP("*キャラ*",商品マスタ一覧!$D:$J,7,FALSE),
IF(COUNTIF(DK100,"*赤*"),
VLOOKUP("*赤*",商品マスタ一覧!$D:$J,7,FALSE),
VLOOKUP(DK100,商品マスタ一覧!$D:$J,7,FALSE)))=0,"",
IF(ROUND(
IF(DN105&lt;&gt;"",(DK102-DN105),DK102)
/IF(COUNTIF(DK100,"*キャラ*"),
VLOOKUP("*キャラ*",商品マスタ一覧!$D:$J,7,FALSE),
IF(COUNTIF(DK100,"*赤*"),
VLOOKUP("*赤*",商品マスタ一覧!$D:$J,7,FALSE),
VLOOKUP(DK100,商品マスタ一覧!$D:$J,7,FALSE))),0)&lt;=0,1,
ROUND(
IF(DN105&lt;&gt;"",(DK102-DN105),DK102)
/IF(COUNTIF(DK100,"*キャラ*"),
VLOOKUP("*キャラ*",商品マスタ一覧!$D:$J,7,FALSE),
IF(COUNTIF(DK100,"*赤*"),
VLOOKUP("*赤*",商品マスタ一覧!$D:$J,7,FALSE),
VLOOKUP(DK100,商品マスタ一覧!$D:$J,7,FALSE))),0))),""),"")),"")</f>
        <v/>
      </c>
      <c r="DO100" s="92" t="str">
        <f ca="1">IF(DN100&lt;&gt;"",IF(DK102&lt;&gt;"",IF(VALUE(IF(DN105&lt;&gt;"",DK102-DN105,DK102))&gt;VALUE(IF(COUNTIF('盛付札（関数）'!DK100,"*キャラ*"),
VLOOKUP("*キャラ*",商品マスタ一覧!$D:$J,7,FALSE),
IF(COUNTIF('盛付札（関数）'!DK100,"*赤*"),
VLOOKUP("*赤*",商品マスタ一覧!$D:$J,7,FALSE),
VLOOKUP('盛付札（関数）'!DK100,商品マスタ一覧!$D:$J,7,FALSE)))*DN100),
"+"&amp;IF(DN105&lt;&gt;"",DK102-DN105,DK102)-IF(COUNTIF('盛付札（関数）'!DK100,"*キャラ*"),
VLOOKUP("*キャラ*",商品マスタ一覧!$D:$J,7,FALSE),
IF(COUNTIF('盛付札（関数）'!DK100,"*赤*"),
VLOOKUP("*赤*",商品マスタ一覧!$D:$J,7,FALSE),
VLOOKUP('盛付札（関数）'!DK100,商品マスタ一覧!$D:$J,7,FALSE)))*DN100,
IF(DN105&lt;&gt;"",DK102-DN105,DK102)-IF(COUNTIF('盛付札（関数）'!DK100,"*キャラ*"),
VLOOKUP("*キャラ*",商品マスタ一覧!$D:$J,7,FALSE),
IF(COUNTIF('盛付札（関数）'!DK100,"*赤*"),
VLOOKUP("*赤*",商品マスタ一覧!$D:$J,7,FALSE),
VLOOKUP('盛付札（関数）'!DK100,商品マスタ一覧!$D:$J,7,FALSE)))*DN100),""),"")</f>
        <v/>
      </c>
      <c r="DR100" s="81" t="e" cm="1">
        <f t="array" aca="1" ref="DR100" ca="1">IF(DR17&lt;&gt;100,
IF(DS102&lt;&gt;"",MATCH(DS102,INDIRECT("数出表_Excel!B"&amp;MATCH(DW15,数出表_Excel!$A:$A,0)-1&amp;":U"&amp;MATCH(DW15,数出表_Excel!$A:$A,0)-1&amp;""),0)+1,""),
IF(DS102&lt;&gt;"",
MATCH(
IFERROR(
INDEX(INDIRECT("数出表_Excel!"&amp;DR99&amp;MATCH(DW15,数出表_Excel!$A:$A,0)-1&amp;":U"&amp;MATCH(DW15,数出表_Excel!$A:$A,0)-1&amp;""),
 1,
 MATCH(TRUE, ISNUMBER(--INDIRECT("数出表_Excel!"&amp;DR99&amp;MATCH(DW15,数出表_Excel!$A:$A,0)-1&amp;":U"&amp;MATCH(DW15,数出表_Excel!$A:$A,0)-1&amp;"")),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100" s="58" t="str" cm="1">
        <f t="array" aca="1" ref="DS100" ca="1">IFERROR(IF(OR(
COUNTIF(INDIRECT("数出表_Excel!" &amp;
CHAR(MATCH(TRUE,
ISNUMBER(--INDIRECT("数出表_Excel!"&amp;DR99&amp;MATCH(DW15,数出表_Excel!$A:$A,0)-1&amp;":U"&amp;MATCH(DW15,数出表_Excel!$A:$A,0)-1&amp;"")),0)
+MATCH(TRUE, ISNUMBER(--INDIRECT("数出表_Excel!B" &amp; (MATCH(DW15,数出表_Excel!$A:$A,0)-1) &amp; ":U" &amp; (MATCH(DW15,数出表_Excel!$A:$A,0)-1))), 0)
+MATCH(TRUE, ISNUMBER(--INDIRECT("数出表_Excel!"&amp;DR57&amp; (MATCH(DW15,数出表_Excel!$A:$A,0)-1) &amp; ":U" &amp; (MATCH(DW15,数出表_Excel!$A:$A,0)-1))), 0)
+65) &amp; "3"),"*配膳*"),
COUNTIF(INDIRECT("数出表_Excel!" &amp;
CHAR(MATCH(TRUE,
ISNUMBER(--INDIRECT("数出表_Excel!"&amp;DR99&amp;MATCH(DW15,数出表_Excel!$A:$A,0)-1&amp;":U"&amp;MATCH(DW15,数出表_Excel!$A:$A,0)-1&amp;"")),0)
+MATCH(TRUE, ISNUMBER(--INDIRECT("数出表_Excel!B" &amp; (MATCH(DW15,数出表_Excel!$A:$A,0)-1) &amp; ":U" &amp; (MATCH(DW15,数出表_Excel!$A:$A,0)-1))), 0)
+MATCH(TRUE, ISNUMBER(--INDIRECT("数出表_Excel!"&amp;DR57&amp; (MATCH(DW15,数出表_Excel!$A:$A,0)-1) &amp; ":U" &amp; (MATCH(DW15,数出表_Excel!$A:$A,0)-1))), 0)
+65) &amp; "3"),"*カレー*"),
COUNTIF(DS57,"*合計*")),"",
IF(IFERROR(INDIRECT("数出表_Excel!" &amp;
CHAR(MATCH(TRUE,
ISNUMBER(--INDIRECT("数出表_Excel!"&amp;DR99&amp;MATCH(DW15,数出表_Excel!$A:$A,0)-1&amp;":U"&amp;MATCH(DW15,数出表_Excel!$A:$A,0)-1&amp;"")),0)
+MATCH(TRUE, ISNUMBER(--INDIRECT("数出表_Excel!B" &amp; (MATCH(DW15,数出表_Excel!$A:$A,0)-1) &amp; ":U" &amp; (MATCH(DW15,数出表_Excel!$A:$A,0)-1))), 0)
+MATCH(TRUE, ISNUMBER(--INDIRECT("数出表_Excel!"&amp;DR57&amp; (MATCH(DW15,数出表_Excel!$A:$A,0)-1) &amp; ":U" &amp; (MATCH(DW15,数出表_Excel!$A:$A,0)-1))), 0)
+65) &amp; "3"),0)=0,"",
IFERROR(INDIRECT("数出表_Excel!" &amp;
CHAR(MATCH(TRUE,
ISNUMBER(--INDIRECT("数出表_Excel!"&amp;DR99&amp;MATCH(DW15,数出表_Excel!$A:$A,0)-1&amp;":U"&amp;MATCH(DW15,数出表_Excel!$A:$A,0)-1&amp;"")),0)
+MATCH(TRUE, ISNUMBER(--INDIRECT("数出表_Excel!B" &amp; (MATCH(DW15,数出表_Excel!$A:$A,0)-1) &amp; ":U" &amp; (MATCH(DW15,数出表_Excel!$A:$A,0)-1))), 0)
+MATCH(TRUE, ISNUMBER(--INDIRECT("数出表_Excel!"&amp;DR57&amp; (MATCH(DW15,数出表_Excel!$A:$A,0)-1) &amp; ":U" &amp; (MATCH(DW15,数出表_Excel!$A:$A,0)-1))), 0)
+65) &amp; "3"),""))),"")</f>
        <v/>
      </c>
      <c r="DT100" s="76"/>
      <c r="DU100" s="82" t="str" cm="1">
        <f t="array" aca="1" ref="DU100" ca="1">IF(DV100&lt;&gt;"","",
IF(COUNTIF(DS99,"*雙葉*"),"",
IF(DS99&lt;&gt;"",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+MATCH(TRUE,INDIRECT("'数出表_Excel'!"&amp;DR99&amp;MATCH(DW15,数出表_Excel!$A:$A,0)-1&amp;":AL"&amp;MATCH(DW15,数出表_Excel!$A:$A,0)-1&amp;"")&lt;&gt;"",0))&gt;9,"",
IFERROR(
INDEX(INDIRECT("数出表_Excel!$"&amp;DR99&amp;"4:$AL4"),
 1,
MATCH(TRUE,INDIRECT("'数出表_Excel'!"&amp;DR99&amp;MATCH(DW15,数出表_Excel!$A:$A,0)-1&amp;":AL"&amp;MATCH(DW15,数出表_Excel!$A:$A,0)-1&amp;"")&lt;&gt;"",0)
),
 "")
&amp;IFERROR(
INDEX(INDIRECT("数出表_Excel!$"&amp;DR99&amp;"5:$AL5"),
 1,
MATCH(TRUE,INDIRECT("'数出表_Excel'!"&amp;DR99&amp;MATCH(DW15,数出表_Excel!$A:$A,0)-1&amp;":AL"&amp;MATCH(DW15,数出表_Excel!$A:$A,0)-1&amp;"")&lt;&gt;"",0)),
 "")),"")))</f>
        <v/>
      </c>
      <c r="DV100" s="83" t="str" cm="1">
        <f t="array" aca="1" ref="DV100" ca="1">IF(DS100&lt;&gt;"",
IF(COUNTIF(DS99,"*雙葉*"),
IF(ROUND(
IF(DV105&lt;&gt;"",(DS102-DV105),DS102)
/IF(COUNTIF(DS100,"*キャラ*"),
VLOOKUP("*キャラ*",商品マスタ一覧!$D:$J,7,FALSE),
IF(COUNTIF(DS100,"*赤*"),
VLOOKUP("*赤*",商品マスタ一覧!$D:$J,7,FALSE),
VLOOKUP(DS100,商品マスタ一覧!$D:$J,7,FALSE))),0)&lt;=0,1,
ROUND(
IF(DV105&lt;&gt;"",(DS102-DV105),DS102)
/IF(COUNTIF(DS100,"*キャラ*"),
VLOOKUP("*キャラ*",商品マスタ一覧!$D:$J,7,FALSE),
IF(COUNTIF(DS100,"*赤*"),
VLOOKUP("*赤*",商品マスタ一覧!$D:$J,7,FALSE),
VLOOKUP(DS100,商品マスタ一覧!$D:$J,7,FALSE))),0)),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IF(DS100&lt;&gt;"",
IF(IF(COUNTIF(DS100,"*キャラ*"),
VLOOKUP("*キャラ*",商品マスタ一覧!$D:$J,7,FALSE),
IF(COUNTIF(DS100,"*赤*"),
VLOOKUP("*赤*",商品マスタ一覧!$D:$J,7,FALSE),
VLOOKUP(DS100,商品マスタ一覧!$D:$J,7,FALSE)))=0,"",
IF(ROUND(
IF(DV105&lt;&gt;"",(DS102-DV105),DS102)
/IF(COUNTIF(DS100,"*キャラ*"),
VLOOKUP("*キャラ*",商品マスタ一覧!$D:$J,7,FALSE),
IF(COUNTIF(DS100,"*赤*"),
VLOOKUP("*赤*",商品マスタ一覧!$D:$J,7,FALSE),
VLOOKUP(DS100,商品マスタ一覧!$D:$J,7,FALSE))),0)&lt;=0,1,
ROUND(
IF(DV105&lt;&gt;"",(DS102-DV105),DS102)
/IF(COUNTIF(DS100,"*キャラ*"),
VLOOKUP("*キャラ*",商品マスタ一覧!$D:$J,7,FALSE),
IF(COUNTIF(DS100,"*赤*"),
VLOOKUP("*赤*",商品マスタ一覧!$D:$J,7,FALSE),
VLOOKUP(DS100,商品マスタ一覧!$D:$J,7,FALSE))),0))),""),"")),"")</f>
        <v/>
      </c>
      <c r="DW100" s="92" t="str">
        <f ca="1">IF(DV100&lt;&gt;"",IF(DS102&lt;&gt;"",IF(VALUE(IF(DV105&lt;&gt;"",DS102-DV105,DS102))&gt;VALUE(IF(COUNTIF('盛付札（関数）'!DS100,"*キャラ*"),
VLOOKUP("*キャラ*",商品マスタ一覧!$D:$J,7,FALSE),
IF(COUNTIF('盛付札（関数）'!DS100,"*赤*"),
VLOOKUP("*赤*",商品マスタ一覧!$D:$J,7,FALSE),
VLOOKUP('盛付札（関数）'!DS100,商品マスタ一覧!$D:$J,7,FALSE)))*DV100),
"+"&amp;IF(DV105&lt;&gt;"",DS102-DV105,DS102)-IF(COUNTIF('盛付札（関数）'!DS100,"*キャラ*"),
VLOOKUP("*キャラ*",商品マスタ一覧!$D:$J,7,FALSE),
IF(COUNTIF('盛付札（関数）'!DS100,"*赤*"),
VLOOKUP("*赤*",商品マスタ一覧!$D:$J,7,FALSE),
VLOOKUP('盛付札（関数）'!DS100,商品マスタ一覧!$D:$J,7,FALSE)))*DV100,
IF(DV105&lt;&gt;"",DS102-DV105,DS102)-IF(COUNTIF('盛付札（関数）'!DS100,"*キャラ*"),
VLOOKUP("*キャラ*",商品マスタ一覧!$D:$J,7,FALSE),
IF(COUNTIF('盛付札（関数）'!DS100,"*赤*"),
VLOOKUP("*赤*",商品マスタ一覧!$D:$J,7,FALSE),
VLOOKUP('盛付札（関数）'!DS100,商品マスタ一覧!$D:$J,7,FALSE)))*DV100),""),"")</f>
        <v/>
      </c>
      <c r="DX100" s="76"/>
      <c r="DY100" s="81" t="e" cm="1">
        <f t="array" aca="1" ref="DY100" ca="1">IF(DY17&lt;&gt;100,
IF(DZ102&lt;&gt;"",MATCH(DZ102,INDIRECT("数出表_Excel!B"&amp;MATCH(ED15,数出表_Excel!$A:$A,0)-1&amp;":U"&amp;MATCH(ED15,数出表_Excel!$A:$A,0)-1&amp;""),0)+1,""),
IF(DZ102&lt;&gt;"",
MATCH(
IFERROR(
INDEX(INDIRECT("数出表_Excel!"&amp;DY99&amp;MATCH(ED15,数出表_Excel!$A:$A,0)-1&amp;":U"&amp;MATCH(ED15,数出表_Excel!$A:$A,0)-1&amp;""),
 1,
 MATCH(TRUE, ISNUMBER(--INDIRECT("数出表_Excel!"&amp;DY99&amp;MATCH(ED15,数出表_Excel!$A:$A,0)-1&amp;":U"&amp;MATCH(ED15,数出表_Excel!$A:$A,0)-1&amp;"")),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100" s="58" t="str" cm="1">
        <f t="array" aca="1" ref="DZ100" ca="1">IFERROR(IF(OR(
COUNTIF(INDIRECT("数出表_Excel!" &amp;
CHAR(MATCH(TRUE,
ISNUMBER(--INDIRECT("数出表_Excel!"&amp;DY99&amp;MATCH(ED15,数出表_Excel!$A:$A,0)-1&amp;":U"&amp;MATCH(ED15,数出表_Excel!$A:$A,0)-1&amp;"")),0)
+MATCH(TRUE, ISNUMBER(--INDIRECT("数出表_Excel!B" &amp; (MATCH(ED15,数出表_Excel!$A:$A,0)-1) &amp; ":U" &amp; (MATCH(ED15,数出表_Excel!$A:$A,0)-1))), 0)
+MATCH(TRUE, ISNUMBER(--INDIRECT("数出表_Excel!"&amp;DY57&amp; (MATCH(ED15,数出表_Excel!$A:$A,0)-1) &amp; ":U" &amp; (MATCH(ED15,数出表_Excel!$A:$A,0)-1))), 0)
+65) &amp; "3"),"*配膳*"),
COUNTIF(INDIRECT("数出表_Excel!" &amp;
CHAR(MATCH(TRUE,
ISNUMBER(--INDIRECT("数出表_Excel!"&amp;DY99&amp;MATCH(ED15,数出表_Excel!$A:$A,0)-1&amp;":U"&amp;MATCH(ED15,数出表_Excel!$A:$A,0)-1&amp;"")),0)
+MATCH(TRUE, ISNUMBER(--INDIRECT("数出表_Excel!B" &amp; (MATCH(ED15,数出表_Excel!$A:$A,0)-1) &amp; ":U" &amp; (MATCH(ED15,数出表_Excel!$A:$A,0)-1))), 0)
+MATCH(TRUE, ISNUMBER(--INDIRECT("数出表_Excel!"&amp;DY57&amp; (MATCH(ED15,数出表_Excel!$A:$A,0)-1) &amp; ":U" &amp; (MATCH(ED15,数出表_Excel!$A:$A,0)-1))), 0)
+65) &amp; "3"),"*カレー*"),
COUNTIF(DZ57,"*合計*")),"",
IF(IFERROR(INDIRECT("数出表_Excel!" &amp;
CHAR(MATCH(TRUE,
ISNUMBER(--INDIRECT("数出表_Excel!"&amp;DY99&amp;MATCH(ED15,数出表_Excel!$A:$A,0)-1&amp;":U"&amp;MATCH(ED15,数出表_Excel!$A:$A,0)-1&amp;"")),0)
+MATCH(TRUE, ISNUMBER(--INDIRECT("数出表_Excel!B" &amp; (MATCH(ED15,数出表_Excel!$A:$A,0)-1) &amp; ":U" &amp; (MATCH(ED15,数出表_Excel!$A:$A,0)-1))), 0)
+MATCH(TRUE, ISNUMBER(--INDIRECT("数出表_Excel!"&amp;DY57&amp; (MATCH(ED15,数出表_Excel!$A:$A,0)-1) &amp; ":U" &amp; (MATCH(ED15,数出表_Excel!$A:$A,0)-1))), 0)
+65) &amp; "3"),0)=0,"",
IFERROR(INDIRECT("数出表_Excel!" &amp;
CHAR(MATCH(TRUE,
ISNUMBER(--INDIRECT("数出表_Excel!"&amp;DY99&amp;MATCH(ED15,数出表_Excel!$A:$A,0)-1&amp;":U"&amp;MATCH(ED15,数出表_Excel!$A:$A,0)-1&amp;"")),0)
+MATCH(TRUE, ISNUMBER(--INDIRECT("数出表_Excel!B" &amp; (MATCH(ED15,数出表_Excel!$A:$A,0)-1) &amp; ":U" &amp; (MATCH(ED15,数出表_Excel!$A:$A,0)-1))), 0)
+MATCH(TRUE, ISNUMBER(--INDIRECT("数出表_Excel!"&amp;DY57&amp; (MATCH(ED15,数出表_Excel!$A:$A,0)-1) &amp; ":U" &amp; (MATCH(ED15,数出表_Excel!$A:$A,0)-1))), 0)
+65) &amp; "3"),""))),"")</f>
        <v/>
      </c>
      <c r="EA100" s="76"/>
      <c r="EB100" s="82" t="str" cm="1">
        <f t="array" aca="1" ref="EB100" ca="1">IF(EC100&lt;&gt;"","",
IF(COUNTIF(DZ99,"*雙葉*"),"",
IF(DZ99&lt;&gt;"",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+MATCH(TRUE,INDIRECT("'数出表_Excel'!"&amp;DY99&amp;MATCH(ED15,数出表_Excel!$A:$A,0)-1&amp;":AL"&amp;MATCH(ED15,数出表_Excel!$A:$A,0)-1&amp;"")&lt;&gt;"",0))&gt;9,"",
IFERROR(
INDEX(INDIRECT("数出表_Excel!$"&amp;DY99&amp;"4:$AL4"),
 1,
MATCH(TRUE,INDIRECT("'数出表_Excel'!"&amp;DY99&amp;MATCH(ED15,数出表_Excel!$A:$A,0)-1&amp;":AL"&amp;MATCH(ED15,数出表_Excel!$A:$A,0)-1&amp;"")&lt;&gt;"",0)
),
 "")
&amp;IFERROR(
INDEX(INDIRECT("数出表_Excel!$"&amp;DY99&amp;"5:$AL5"),
 1,
MATCH(TRUE,INDIRECT("'数出表_Excel'!"&amp;DY99&amp;MATCH(ED15,数出表_Excel!$A:$A,0)-1&amp;":AL"&amp;MATCH(ED15,数出表_Excel!$A:$A,0)-1&amp;"")&lt;&gt;"",0)),
 "")),"")))</f>
        <v/>
      </c>
      <c r="EC100" s="83" t="str" cm="1">
        <f t="array" aca="1" ref="EC100" ca="1">IF(DZ100&lt;&gt;"",
IF(COUNTIF(DZ99,"*雙葉*"),
IF(ROUND(
IF(EC105&lt;&gt;"",(DZ102-EC105),DZ102)
/IF(COUNTIF(DZ100,"*キャラ*"),
VLOOKUP("*キャラ*",商品マスタ一覧!$D:$J,7,FALSE),
IF(COUNTIF(DZ100,"*赤*"),
VLOOKUP("*赤*",商品マスタ一覧!$D:$J,7,FALSE),
VLOOKUP(DZ100,商品マスタ一覧!$D:$J,7,FALSE))),0)&lt;=0,1,
ROUND(
IF(EC105&lt;&gt;"",(DZ102-EC105),DZ102)
/IF(COUNTIF(DZ100,"*キャラ*"),
VLOOKUP("*キャラ*",商品マスタ一覧!$D:$J,7,FALSE),
IF(COUNTIF(DZ100,"*赤*"),
VLOOKUP("*赤*",商品マスタ一覧!$D:$J,7,FALSE),
VLOOKUP(DZ100,商品マスタ一覧!$D:$J,7,FALSE))),0)),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IF(DZ100&lt;&gt;"",
IF(IF(COUNTIF(DZ100,"*キャラ*"),
VLOOKUP("*キャラ*",商品マスタ一覧!$D:$J,7,FALSE),
IF(COUNTIF(DZ100,"*赤*"),
VLOOKUP("*赤*",商品マスタ一覧!$D:$J,7,FALSE),
VLOOKUP(DZ100,商品マスタ一覧!$D:$J,7,FALSE)))=0,"",
IF(ROUND(
IF(EC105&lt;&gt;"",(DZ102-EC105),DZ102)
/IF(COUNTIF(DZ100,"*キャラ*"),
VLOOKUP("*キャラ*",商品マスタ一覧!$D:$J,7,FALSE),
IF(COUNTIF(DZ100,"*赤*"),
VLOOKUP("*赤*",商品マスタ一覧!$D:$J,7,FALSE),
VLOOKUP(DZ100,商品マスタ一覧!$D:$J,7,FALSE))),0)&lt;=0,1,
ROUND(
IF(EC105&lt;&gt;"",(DZ102-EC105),DZ102)
/IF(COUNTIF(DZ100,"*キャラ*"),
VLOOKUP("*キャラ*",商品マスタ一覧!$D:$J,7,FALSE),
IF(COUNTIF(DZ100,"*赤*"),
VLOOKUP("*赤*",商品マスタ一覧!$D:$J,7,FALSE),
VLOOKUP(DZ100,商品マスタ一覧!$D:$J,7,FALSE))),0))),""),"")),"")</f>
        <v/>
      </c>
      <c r="ED100" s="92" t="str">
        <f ca="1">IF(EC100&lt;&gt;"",IF(DZ102&lt;&gt;"",IF(VALUE(IF(EC105&lt;&gt;"",DZ102-EC105,DZ102))&gt;VALUE(IF(COUNTIF('盛付札（関数）'!DZ100,"*キャラ*"),
VLOOKUP("*キャラ*",商品マスタ一覧!$D:$J,7,FALSE),
IF(COUNTIF('盛付札（関数）'!DZ100,"*赤*"),
VLOOKUP("*赤*",商品マスタ一覧!$D:$J,7,FALSE),
VLOOKUP('盛付札（関数）'!DZ100,商品マスタ一覧!$D:$J,7,FALSE)))*EC100),
"+"&amp;IF(EC105&lt;&gt;"",DZ102-EC105,DZ102)-IF(COUNTIF('盛付札（関数）'!DZ100,"*キャラ*"),
VLOOKUP("*キャラ*",商品マスタ一覧!$D:$J,7,FALSE),
IF(COUNTIF('盛付札（関数）'!DZ100,"*赤*"),
VLOOKUP("*赤*",商品マスタ一覧!$D:$J,7,FALSE),
VLOOKUP('盛付札（関数）'!DZ100,商品マスタ一覧!$D:$J,7,FALSE)))*EC100,
IF(EC105&lt;&gt;"",DZ102-EC105,DZ102)-IF(COUNTIF('盛付札（関数）'!DZ100,"*キャラ*"),
VLOOKUP("*キャラ*",商品マスタ一覧!$D:$J,7,FALSE),
IF(COUNTIF('盛付札（関数）'!DZ100,"*赤*"),
VLOOKUP("*赤*",商品マスタ一覧!$D:$J,7,FALSE),
VLOOKUP('盛付札（関数）'!DZ100,商品マスタ一覧!$D:$J,7,FALSE)))*EC100),""),"")</f>
        <v/>
      </c>
      <c r="EG100" s="81" t="e" cm="1">
        <f t="array" aca="1" ref="EG100" ca="1">IF(EG17&lt;&gt;100,
IF(EH102&lt;&gt;"",MATCH(EH102,INDIRECT("数出表_Excel!B"&amp;MATCH(EL15,数出表_Excel!$A:$A,0)-1&amp;":U"&amp;MATCH(EL15,数出表_Excel!$A:$A,0)-1&amp;""),0)+1,""),
IF(EH102&lt;&gt;"",
MATCH(
IFERROR(
INDEX(INDIRECT("数出表_Excel!"&amp;EG99&amp;MATCH(EL15,数出表_Excel!$A:$A,0)-1&amp;":U"&amp;MATCH(EL15,数出表_Excel!$A:$A,0)-1&amp;""),
 1,
 MATCH(TRUE, ISNUMBER(--INDIRECT("数出表_Excel!"&amp;EG99&amp;MATCH(EL15,数出表_Excel!$A:$A,0)-1&amp;":U"&amp;MATCH(EL15,数出表_Excel!$A:$A,0)-1&amp;"")),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100" s="58" t="str" cm="1">
        <f t="array" aca="1" ref="EH100" ca="1">IFERROR(IF(OR(
COUNTIF(INDIRECT("数出表_Excel!" &amp;
CHAR(MATCH(TRUE,
ISNUMBER(--INDIRECT("数出表_Excel!"&amp;EG99&amp;MATCH(EL15,数出表_Excel!$A:$A,0)-1&amp;":U"&amp;MATCH(EL15,数出表_Excel!$A:$A,0)-1&amp;"")),0)
+MATCH(TRUE, ISNUMBER(--INDIRECT("数出表_Excel!B" &amp; (MATCH(EL15,数出表_Excel!$A:$A,0)-1) &amp; ":U" &amp; (MATCH(EL15,数出表_Excel!$A:$A,0)-1))), 0)
+MATCH(TRUE, ISNUMBER(--INDIRECT("数出表_Excel!"&amp;EG57&amp; (MATCH(EL15,数出表_Excel!$A:$A,0)-1) &amp; ":U" &amp; (MATCH(EL15,数出表_Excel!$A:$A,0)-1))), 0)
+65) &amp; "3"),"*配膳*"),
COUNTIF(INDIRECT("数出表_Excel!" &amp;
CHAR(MATCH(TRUE,
ISNUMBER(--INDIRECT("数出表_Excel!"&amp;EG99&amp;MATCH(EL15,数出表_Excel!$A:$A,0)-1&amp;":U"&amp;MATCH(EL15,数出表_Excel!$A:$A,0)-1&amp;"")),0)
+MATCH(TRUE, ISNUMBER(--INDIRECT("数出表_Excel!B" &amp; (MATCH(EL15,数出表_Excel!$A:$A,0)-1) &amp; ":U" &amp; (MATCH(EL15,数出表_Excel!$A:$A,0)-1))), 0)
+MATCH(TRUE, ISNUMBER(--INDIRECT("数出表_Excel!"&amp;EG57&amp; (MATCH(EL15,数出表_Excel!$A:$A,0)-1) &amp; ":U" &amp; (MATCH(EL15,数出表_Excel!$A:$A,0)-1))), 0)
+65) &amp; "3"),"*カレー*"),
COUNTIF(EH57,"*合計*")),"",
IF(IFERROR(INDIRECT("数出表_Excel!" &amp;
CHAR(MATCH(TRUE,
ISNUMBER(--INDIRECT("数出表_Excel!"&amp;EG99&amp;MATCH(EL15,数出表_Excel!$A:$A,0)-1&amp;":U"&amp;MATCH(EL15,数出表_Excel!$A:$A,0)-1&amp;"")),0)
+MATCH(TRUE, ISNUMBER(--INDIRECT("数出表_Excel!B" &amp; (MATCH(EL15,数出表_Excel!$A:$A,0)-1) &amp; ":U" &amp; (MATCH(EL15,数出表_Excel!$A:$A,0)-1))), 0)
+MATCH(TRUE, ISNUMBER(--INDIRECT("数出表_Excel!"&amp;EG57&amp; (MATCH(EL15,数出表_Excel!$A:$A,0)-1) &amp; ":U" &amp; (MATCH(EL15,数出表_Excel!$A:$A,0)-1))), 0)
+65) &amp; "3"),0)=0,"",
IFERROR(INDIRECT("数出表_Excel!" &amp;
CHAR(MATCH(TRUE,
ISNUMBER(--INDIRECT("数出表_Excel!"&amp;EG99&amp;MATCH(EL15,数出表_Excel!$A:$A,0)-1&amp;":U"&amp;MATCH(EL15,数出表_Excel!$A:$A,0)-1&amp;"")),0)
+MATCH(TRUE, ISNUMBER(--INDIRECT("数出表_Excel!B" &amp; (MATCH(EL15,数出表_Excel!$A:$A,0)-1) &amp; ":U" &amp; (MATCH(EL15,数出表_Excel!$A:$A,0)-1))), 0)
+MATCH(TRUE, ISNUMBER(--INDIRECT("数出表_Excel!"&amp;EG57&amp; (MATCH(EL15,数出表_Excel!$A:$A,0)-1) &amp; ":U" &amp; (MATCH(EL15,数出表_Excel!$A:$A,0)-1))), 0)
+65) &amp; "3"),""))),"")</f>
        <v/>
      </c>
      <c r="EI100" s="76"/>
      <c r="EJ100" s="82" t="str" cm="1">
        <f t="array" aca="1" ref="EJ100" ca="1">IF(EK100&lt;&gt;"","",
IF(COUNTIF(EH99,"*雙葉*"),"",
IF(EH99&lt;&gt;"",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+MATCH(TRUE,INDIRECT("'数出表_Excel'!"&amp;EG99&amp;MATCH(EL15,数出表_Excel!$A:$A,0)-1&amp;":AL"&amp;MATCH(EL15,数出表_Excel!$A:$A,0)-1&amp;"")&lt;&gt;"",0))&gt;9,"",
IFERROR(
INDEX(INDIRECT("数出表_Excel!$"&amp;EG99&amp;"4:$AL4"),
 1,
MATCH(TRUE,INDIRECT("'数出表_Excel'!"&amp;EG99&amp;MATCH(EL15,数出表_Excel!$A:$A,0)-1&amp;":AL"&amp;MATCH(EL15,数出表_Excel!$A:$A,0)-1&amp;"")&lt;&gt;"",0)
),
 "")
&amp;IFERROR(
INDEX(INDIRECT("数出表_Excel!$"&amp;EG99&amp;"5:$AL5"),
 1,
MATCH(TRUE,INDIRECT("'数出表_Excel'!"&amp;EG99&amp;MATCH(EL15,数出表_Excel!$A:$A,0)-1&amp;":AL"&amp;MATCH(EL15,数出表_Excel!$A:$A,0)-1&amp;"")&lt;&gt;"",0)),
 "")),"")))</f>
        <v/>
      </c>
      <c r="EK100" s="83" t="str" cm="1">
        <f t="array" aca="1" ref="EK100" ca="1">IF(EH100&lt;&gt;"",
IF(COUNTIF(EH99,"*雙葉*"),
IF(ROUND(
IF(EK105&lt;&gt;"",(EH102-EK105),EH102)
/IF(COUNTIF(EH100,"*キャラ*"),
VLOOKUP("*キャラ*",商品マスタ一覧!$D:$J,7,FALSE),
IF(COUNTIF(EH100,"*赤*"),
VLOOKUP("*赤*",商品マスタ一覧!$D:$J,7,FALSE),
VLOOKUP(EH100,商品マスタ一覧!$D:$J,7,FALSE))),0)&lt;=0,1,
ROUND(
IF(EK105&lt;&gt;"",(EH102-EK105),EH102)
/IF(COUNTIF(EH100,"*キャラ*"),
VLOOKUP("*キャラ*",商品マスタ一覧!$D:$J,7,FALSE),
IF(COUNTIF(EH100,"*赤*"),
VLOOKUP("*赤*",商品マスタ一覧!$D:$J,7,FALSE),
VLOOKUP(EH100,商品マスタ一覧!$D:$J,7,FALSE))),0)),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IF(EH100&lt;&gt;"",
IF(IF(COUNTIF(EH100,"*キャラ*"),
VLOOKUP("*キャラ*",商品マスタ一覧!$D:$J,7,FALSE),
IF(COUNTIF(EH100,"*赤*"),
VLOOKUP("*赤*",商品マスタ一覧!$D:$J,7,FALSE),
VLOOKUP(EH100,商品マスタ一覧!$D:$J,7,FALSE)))=0,"",
IF(ROUND(
IF(EK105&lt;&gt;"",(EH102-EK105),EH102)
/IF(COUNTIF(EH100,"*キャラ*"),
VLOOKUP("*キャラ*",商品マスタ一覧!$D:$J,7,FALSE),
IF(COUNTIF(EH100,"*赤*"),
VLOOKUP("*赤*",商品マスタ一覧!$D:$J,7,FALSE),
VLOOKUP(EH100,商品マスタ一覧!$D:$J,7,FALSE))),0)&lt;=0,1,
ROUND(
IF(EK105&lt;&gt;"",(EH102-EK105),EH102)
/IF(COUNTIF(EH100,"*キャラ*"),
VLOOKUP("*キャラ*",商品マスタ一覧!$D:$J,7,FALSE),
IF(COUNTIF(EH100,"*赤*"),
VLOOKUP("*赤*",商品マスタ一覧!$D:$J,7,FALSE),
VLOOKUP(EH100,商品マスタ一覧!$D:$J,7,FALSE))),0))),""),"")),"")</f>
        <v/>
      </c>
      <c r="EL100" s="92" t="str">
        <f ca="1">IF(EK100&lt;&gt;"",IF(EH102&lt;&gt;"",IF(VALUE(IF(EK105&lt;&gt;"",EH102-EK105,EH102))&gt;VALUE(IF(COUNTIF('盛付札（関数）'!EH100,"*キャラ*"),
VLOOKUP("*キャラ*",商品マスタ一覧!$D:$J,7,FALSE),
IF(COUNTIF('盛付札（関数）'!EH100,"*赤*"),
VLOOKUP("*赤*",商品マスタ一覧!$D:$J,7,FALSE),
VLOOKUP('盛付札（関数）'!EH100,商品マスタ一覧!$D:$J,7,FALSE)))*EK100),
"+"&amp;IF(EK105&lt;&gt;"",EH102-EK105,EH102)-IF(COUNTIF('盛付札（関数）'!EH100,"*キャラ*"),
VLOOKUP("*キャラ*",商品マスタ一覧!$D:$J,7,FALSE),
IF(COUNTIF('盛付札（関数）'!EH100,"*赤*"),
VLOOKUP("*赤*",商品マスタ一覧!$D:$J,7,FALSE),
VLOOKUP('盛付札（関数）'!EH100,商品マスタ一覧!$D:$J,7,FALSE)))*EK100,
IF(EK105&lt;&gt;"",EH102-EK105,EH102)-IF(COUNTIF('盛付札（関数）'!EH100,"*キャラ*"),
VLOOKUP("*キャラ*",商品マスタ一覧!$D:$J,7,FALSE),
IF(COUNTIF('盛付札（関数）'!EH100,"*赤*"),
VLOOKUP("*赤*",商品マスタ一覧!$D:$J,7,FALSE),
VLOOKUP('盛付札（関数）'!EH100,商品マスタ一覧!$D:$J,7,FALSE)))*EK100),""),"")</f>
        <v/>
      </c>
      <c r="EM100" s="76"/>
      <c r="EN100" s="81" t="e" cm="1">
        <f t="array" aca="1" ref="EN100" ca="1">IF(EN17&lt;&gt;100,
IF(EO102&lt;&gt;"",MATCH(EO102,INDIRECT("数出表_Excel!B"&amp;MATCH(ES15,数出表_Excel!$A:$A,0)-1&amp;":U"&amp;MATCH(ES15,数出表_Excel!$A:$A,0)-1&amp;""),0)+1,""),
IF(EO102&lt;&gt;"",
MATCH(
IFERROR(
INDEX(INDIRECT("数出表_Excel!"&amp;EN99&amp;MATCH(ES15,数出表_Excel!$A:$A,0)-1&amp;":U"&amp;MATCH(ES15,数出表_Excel!$A:$A,0)-1&amp;""),
 1,
 MATCH(TRUE, ISNUMBER(--INDIRECT("数出表_Excel!"&amp;EN99&amp;MATCH(ES15,数出表_Excel!$A:$A,0)-1&amp;":U"&amp;MATCH(ES15,数出表_Excel!$A:$A,0)-1&amp;"")),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100" s="58" t="str" cm="1">
        <f t="array" aca="1" ref="EO100" ca="1">IFERROR(IF(OR(
COUNTIF(INDIRECT("数出表_Excel!" &amp;
CHAR(MATCH(TRUE,
ISNUMBER(--INDIRECT("数出表_Excel!"&amp;EN99&amp;MATCH(ES15,数出表_Excel!$A:$A,0)-1&amp;":U"&amp;MATCH(ES15,数出表_Excel!$A:$A,0)-1&amp;"")),0)
+MATCH(TRUE, ISNUMBER(--INDIRECT("数出表_Excel!B" &amp; (MATCH(ES15,数出表_Excel!$A:$A,0)-1) &amp; ":U" &amp; (MATCH(ES15,数出表_Excel!$A:$A,0)-1))), 0)
+MATCH(TRUE, ISNUMBER(--INDIRECT("数出表_Excel!"&amp;EN57&amp; (MATCH(ES15,数出表_Excel!$A:$A,0)-1) &amp; ":U" &amp; (MATCH(ES15,数出表_Excel!$A:$A,0)-1))), 0)
+65) &amp; "3"),"*配膳*"),
COUNTIF(INDIRECT("数出表_Excel!" &amp;
CHAR(MATCH(TRUE,
ISNUMBER(--INDIRECT("数出表_Excel!"&amp;EN99&amp;MATCH(ES15,数出表_Excel!$A:$A,0)-1&amp;":U"&amp;MATCH(ES15,数出表_Excel!$A:$A,0)-1&amp;"")),0)
+MATCH(TRUE, ISNUMBER(--INDIRECT("数出表_Excel!B" &amp; (MATCH(ES15,数出表_Excel!$A:$A,0)-1) &amp; ":U" &amp; (MATCH(ES15,数出表_Excel!$A:$A,0)-1))), 0)
+MATCH(TRUE, ISNUMBER(--INDIRECT("数出表_Excel!"&amp;EN57&amp; (MATCH(ES15,数出表_Excel!$A:$A,0)-1) &amp; ":U" &amp; (MATCH(ES15,数出表_Excel!$A:$A,0)-1))), 0)
+65) &amp; "3"),"*カレー*"),
COUNTIF(EO57,"*合計*")),"",
IF(IFERROR(INDIRECT("数出表_Excel!" &amp;
CHAR(MATCH(TRUE,
ISNUMBER(--INDIRECT("数出表_Excel!"&amp;EN99&amp;MATCH(ES15,数出表_Excel!$A:$A,0)-1&amp;":U"&amp;MATCH(ES15,数出表_Excel!$A:$A,0)-1&amp;"")),0)
+MATCH(TRUE, ISNUMBER(--INDIRECT("数出表_Excel!B" &amp; (MATCH(ES15,数出表_Excel!$A:$A,0)-1) &amp; ":U" &amp; (MATCH(ES15,数出表_Excel!$A:$A,0)-1))), 0)
+MATCH(TRUE, ISNUMBER(--INDIRECT("数出表_Excel!"&amp;EN57&amp; (MATCH(ES15,数出表_Excel!$A:$A,0)-1) &amp; ":U" &amp; (MATCH(ES15,数出表_Excel!$A:$A,0)-1))), 0)
+65) &amp; "3"),0)=0,"",
IFERROR(INDIRECT("数出表_Excel!" &amp;
CHAR(MATCH(TRUE,
ISNUMBER(--INDIRECT("数出表_Excel!"&amp;EN99&amp;MATCH(ES15,数出表_Excel!$A:$A,0)-1&amp;":U"&amp;MATCH(ES15,数出表_Excel!$A:$A,0)-1&amp;"")),0)
+MATCH(TRUE, ISNUMBER(--INDIRECT("数出表_Excel!B" &amp; (MATCH(ES15,数出表_Excel!$A:$A,0)-1) &amp; ":U" &amp; (MATCH(ES15,数出表_Excel!$A:$A,0)-1))), 0)
+MATCH(TRUE, ISNUMBER(--INDIRECT("数出表_Excel!"&amp;EN57&amp; (MATCH(ES15,数出表_Excel!$A:$A,0)-1) &amp; ":U" &amp; (MATCH(ES15,数出表_Excel!$A:$A,0)-1))), 0)
+65) &amp; "3"),""))),"")</f>
        <v/>
      </c>
      <c r="EP100" s="76"/>
      <c r="EQ100" s="82" t="str" cm="1">
        <f t="array" aca="1" ref="EQ100" ca="1">IF(ER100&lt;&gt;"","",
IF(COUNTIF(EO99,"*雙葉*"),"",
IF(EO99&lt;&gt;"",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+MATCH(TRUE,INDIRECT("'数出表_Excel'!"&amp;EN99&amp;MATCH(ES15,数出表_Excel!$A:$A,0)-1&amp;":AL"&amp;MATCH(ES15,数出表_Excel!$A:$A,0)-1&amp;"")&lt;&gt;"",0))&gt;9,"",
IFERROR(
INDEX(INDIRECT("数出表_Excel!$"&amp;EN99&amp;"4:$AL4"),
 1,
MATCH(TRUE,INDIRECT("'数出表_Excel'!"&amp;EN99&amp;MATCH(ES15,数出表_Excel!$A:$A,0)-1&amp;":AL"&amp;MATCH(ES15,数出表_Excel!$A:$A,0)-1&amp;"")&lt;&gt;"",0)
),
 "")
&amp;IFERROR(
INDEX(INDIRECT("数出表_Excel!$"&amp;EN99&amp;"5:$AL5"),
 1,
MATCH(TRUE,INDIRECT("'数出表_Excel'!"&amp;EN99&amp;MATCH(ES15,数出表_Excel!$A:$A,0)-1&amp;":AL"&amp;MATCH(ES15,数出表_Excel!$A:$A,0)-1&amp;"")&lt;&gt;"",0)),
 "")),"")))</f>
        <v/>
      </c>
      <c r="ER100" s="83" t="str" cm="1">
        <f t="array" aca="1" ref="ER100" ca="1">IF(EO100&lt;&gt;"",
IF(COUNTIF(EO99,"*雙葉*"),
IF(ROUND(
IF(ER105&lt;&gt;"",(EO102-ER105),EO102)
/IF(COUNTIF(EO100,"*キャラ*"),
VLOOKUP("*キャラ*",商品マスタ一覧!$D:$J,7,FALSE),
IF(COUNTIF(EO100,"*赤*"),
VLOOKUP("*赤*",商品マスタ一覧!$D:$J,7,FALSE),
VLOOKUP(EO100,商品マスタ一覧!$D:$J,7,FALSE))),0)&lt;=0,1,
ROUND(
IF(ER105&lt;&gt;"",(EO102-ER105),EO102)
/IF(COUNTIF(EO100,"*キャラ*"),
VLOOKUP("*キャラ*",商品マスタ一覧!$D:$J,7,FALSE),
IF(COUNTIF(EO100,"*赤*"),
VLOOKUP("*赤*",商品マスタ一覧!$D:$J,7,FALSE),
VLOOKUP(EO100,商品マスタ一覧!$D:$J,7,FALSE))),0)),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IF(EO100&lt;&gt;"",
IF(IF(COUNTIF(EO100,"*キャラ*"),
VLOOKUP("*キャラ*",商品マスタ一覧!$D:$J,7,FALSE),
IF(COUNTIF(EO100,"*赤*"),
VLOOKUP("*赤*",商品マスタ一覧!$D:$J,7,FALSE),
VLOOKUP(EO100,商品マスタ一覧!$D:$J,7,FALSE)))=0,"",
IF(ROUND(
IF(ER105&lt;&gt;"",(EO102-ER105),EO102)
/IF(COUNTIF(EO100,"*キャラ*"),
VLOOKUP("*キャラ*",商品マスタ一覧!$D:$J,7,FALSE),
IF(COUNTIF(EO100,"*赤*"),
VLOOKUP("*赤*",商品マスタ一覧!$D:$J,7,FALSE),
VLOOKUP(EO100,商品マスタ一覧!$D:$J,7,FALSE))),0)&lt;=0,1,
ROUND(
IF(ER105&lt;&gt;"",(EO102-ER105),EO102)
/IF(COUNTIF(EO100,"*キャラ*"),
VLOOKUP("*キャラ*",商品マスタ一覧!$D:$J,7,FALSE),
IF(COUNTIF(EO100,"*赤*"),
VLOOKUP("*赤*",商品マスタ一覧!$D:$J,7,FALSE),
VLOOKUP(EO100,商品マスタ一覧!$D:$J,7,FALSE))),0))),""),"")),"")</f>
        <v/>
      </c>
      <c r="ES100" s="92" t="str">
        <f ca="1">IF(ER100&lt;&gt;"",IF(EO102&lt;&gt;"",IF(VALUE(IF(ER105&lt;&gt;"",EO102-ER105,EO102))&gt;VALUE(IF(COUNTIF('盛付札（関数）'!EO100,"*キャラ*"),
VLOOKUP("*キャラ*",商品マスタ一覧!$D:$J,7,FALSE),
IF(COUNTIF('盛付札（関数）'!EO100,"*赤*"),
VLOOKUP("*赤*",商品マスタ一覧!$D:$J,7,FALSE),
VLOOKUP('盛付札（関数）'!EO100,商品マスタ一覧!$D:$J,7,FALSE)))*ER100),
"+"&amp;IF(ER105&lt;&gt;"",EO102-ER105,EO102)-IF(COUNTIF('盛付札（関数）'!EO100,"*キャラ*"),
VLOOKUP("*キャラ*",商品マスタ一覧!$D:$J,7,FALSE),
IF(COUNTIF('盛付札（関数）'!EO100,"*赤*"),
VLOOKUP("*赤*",商品マスタ一覧!$D:$J,7,FALSE),
VLOOKUP('盛付札（関数）'!EO100,商品マスタ一覧!$D:$J,7,FALSE)))*ER100,
IF(ER105&lt;&gt;"",EO102-ER105,EO102)-IF(COUNTIF('盛付札（関数）'!EO100,"*キャラ*"),
VLOOKUP("*キャラ*",商品マスタ一覧!$D:$J,7,FALSE),
IF(COUNTIF('盛付札（関数）'!EO100,"*赤*"),
VLOOKUP("*赤*",商品マスタ一覧!$D:$J,7,FALSE),
VLOOKUP('盛付札（関数）'!EO100,商品マスタ一覧!$D:$J,7,FALSE)))*ER100),""),"")</f>
        <v/>
      </c>
      <c r="EU100" s="87">
        <f t="shared" si="8"/>
        <v>28</v>
      </c>
      <c r="EV100" s="78" t="str">
        <f t="array" aca="1" ref="EV100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LEN(SUBSTITUTE(_xlfn.FORMULATEXT(EV$76),"=","")))+$EU100)</f>
        <v/>
      </c>
      <c r="EW100" s="78" t="str">
        <f t="array" aca="1" ref="EW100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LEN(SUBSTITUTE(_xlfn.FORMULATEXT(EW$76),"=","")))+$EU100)</f>
        <v/>
      </c>
      <c r="EX100" s="78" t="str">
        <f t="array" aca="1" ref="EX100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LEN(SUBSTITUTE(_xlfn.FORMULATEXT(EX$76),"=","")))+$EU100)</f>
        <v/>
      </c>
      <c r="EY100" s="78" t="str">
        <f t="array" aca="1" ref="EY100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LEN(SUBSTITUTE(_xlfn.FORMULATEXT(EY$76),"=","")))+$EU100)</f>
        <v/>
      </c>
      <c r="EZ100" s="78" t="str">
        <f t="array" aca="1" ref="EZ100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LEN(SUBSTITUTE(_xlfn.FORMULATEXT(EZ$76),"=","")))+$EU100)</f>
        <v/>
      </c>
      <c r="FA100" s="78" t="e">
        <f t="array" aca="1" ref="FA100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LEN(SUBSTITUTE(_xlfn.FORMULATEXT(FA$76),"=","")))+$EU100)</f>
        <v>#VALUE!</v>
      </c>
      <c r="FB100" s="78" t="e">
        <f t="array" aca="1" ref="FB100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LEN(SUBSTITUTE(_xlfn.FORMULATEXT(FB$76),"=","")))+$EU100)</f>
        <v>#VALUE!</v>
      </c>
      <c r="FC100" s="78" t="str">
        <f t="array" aca="1" ref="FC100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LEN(SUBSTITUTE(_xlfn.FORMULATEXT(FC$76),"=","")))+$EU100)</f>
        <v/>
      </c>
      <c r="FD100" s="78" t="e">
        <f t="array" aca="1" ref="FD100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LEN(SUBSTITUTE(_xlfn.FORMULATEXT(FD$76),"=","")))+$EU100)</f>
        <v>#VALUE!</v>
      </c>
      <c r="FE100" s="78" t="str">
        <f t="array" aca="1" ref="FE100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LEN(SUBSTITUTE(_xlfn.FORMULATEXT(FE$76),"=","")))+$EU100)</f>
        <v/>
      </c>
      <c r="FF100" s="78" t="e">
        <f t="array" aca="1" ref="FF100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LEN(SUBSTITUTE(_xlfn.FORMULATEXT(FF$76),"=","")))+$EU100)</f>
        <v>#VALUE!</v>
      </c>
      <c r="FG100" s="78">
        <f t="shared" ca="1" si="7"/>
        <v>0</v>
      </c>
      <c r="FH100" s="78" t="e">
        <f t="array" aca="1" ref="FH100" ca="1">SUMPRODUCT((LEN(EV100:FF100)&gt;0)*1)&gt;0</f>
        <v>#VALUE!</v>
      </c>
      <c r="FI100" s="78" t="str">
        <f t="array" aca="1" ref="FI100" ca="1">IFERROR(SMALL(IF(FG$1:FG$228&lt;&gt;0,FG$1:FG$228),ROW(A100)),"")</f>
        <v/>
      </c>
      <c r="FJ100" s="78" t="str">
        <f t="array" aca="1" ref="FJ100" ca="1">IF($FI100&lt;&gt;"",
INDIRECT(""&amp;IF(COLUMN(EV149)&lt;=26,CHAR(COLUMN(EV149)+64),CHAR(INT((COLUMN(EV149)-1)/26)+64)&amp;CHAR(MOD(COLUMN(EV149)-1,26)+65))&amp;$FI100&amp;""),"")</f>
        <v/>
      </c>
      <c r="FK100" s="78" t="str">
        <f t="array" aca="1" ref="FK100" ca="1">IF($FI100&lt;&gt;"",
INDIRECT(""&amp;IF(COLUMN(EW149)&lt;=26,CHAR(COLUMN(EW149)+64),CHAR(INT((COLUMN(EW149)-1)/26)+64)&amp;CHAR(MOD(COLUMN(EW149)-1,26)+65))&amp;$FI100&amp;""),"")</f>
        <v/>
      </c>
      <c r="FL100" s="78" t="str">
        <f t="array" aca="1" ref="FL100" ca="1">IF($FI100&lt;&gt;"",
INDIRECT(""&amp;IF(COLUMN(EX149)&lt;=26,CHAR(COLUMN(EX149)+64),CHAR(INT((COLUMN(EX149)-1)/26)+64)&amp;CHAR(MOD(COLUMN(EX149)-1,26)+65))&amp;$FI100&amp;""),"")</f>
        <v/>
      </c>
      <c r="FM100" s="78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78" t="str">
        <f t="array" aca="1" ref="FN100" ca="1">IF($FI100&lt;&gt;"",
INDIRECT(""&amp;IF(COLUMN(FA149)&lt;=26,CHAR(COLUMN(FA149)+64),CHAR(INT((COLUMN(FA149)-1)/26)+64)&amp;CHAR(MOD(COLUMN(FA149)-1,26)+65))&amp;$FI100&amp;""),"")</f>
        <v/>
      </c>
      <c r="FO100" s="78" t="str">
        <f t="array" aca="1" ref="FO100" ca="1">IF($FI100&lt;&gt;"",
INDIRECT(""&amp;IF(COLUMN(FB149)&lt;=26,CHAR(COLUMN(FB149)+64),CHAR(INT((COLUMN(FB149)-1)/26)+64)&amp;CHAR(MOD(COLUMN(FB149)-1,26)+65))&amp;$FI100&amp;""),"")</f>
        <v/>
      </c>
      <c r="FP100" s="78" t="str">
        <f t="array" aca="1" ref="FP100" ca="1">IF($FI100&lt;&gt;"",
INDIRECT(""&amp;IF(COLUMN(FC149)&lt;=26,CHAR(COLUMN(FC149)+64),CHAR(INT((COLUMN(FC149)-1)/26)+64)&amp;CHAR(MOD(COLUMN(FC149)-1,26)+65))&amp;$FI100&amp;""),"")</f>
        <v/>
      </c>
      <c r="FQ100" s="78" t="str">
        <f t="array" aca="1" ref="FQ100" ca="1">IF($FI100&lt;&gt;"",
INDIRECT(""&amp;IF(COLUMN(FD149)&lt;=26,CHAR(COLUMN(FD149)+64),CHAR(INT((COLUMN(FD149)-1)/26)+64)&amp;CHAR(MOD(COLUMN(FD149)-1,26)+65))&amp;$FI100&amp;""),"")</f>
        <v/>
      </c>
      <c r="FR100" s="78" t="str">
        <f t="array" aca="1" ref="FR100" ca="1">IF($FI100&lt;&gt;"",
INDIRECT(""&amp;IF(COLUMN(FE149)&lt;=26,CHAR(COLUMN(FE149)+64),CHAR(INT((COLUMN(FE149)-1)/26)+64)&amp;CHAR(MOD(COLUMN(FE149)-1,26)+65))&amp;$FI100&amp;""),"")</f>
        <v/>
      </c>
      <c r="FS100" s="78" t="str">
        <f t="array" aca="1" ref="FS100" ca="1">IF($FI100&lt;&gt;"",
INDIRECT(""&amp;IF(COLUMN(FF149)&lt;=26,CHAR(COLUMN(FF149)+64),CHAR(INT((COLUMN(FF149)-1)/26)+64)&amp;CHAR(MOD(COLUMN(FF149)-1,26)+65))&amp;$FI100&amp;""),"")</f>
        <v/>
      </c>
    </row>
    <row r="101" spans="2:175" ht="22.2" customHeight="1" x14ac:dyDescent="0.55000000000000004">
      <c r="B101" s="84" t="str" cm="1">
        <f t="array" aca="1" ref="B101" ca="1">IF(C99&lt;&gt;"",SUBSTITUTE(ADDRESS(1,
(COLUMN(INDIRECT("数出表_Excel!"&amp;B99&amp;1&amp;""))-2 +
MATCH(TRUE, ISNUMBER(--INDIRECT("数出表_Excel!"&amp;B99&amp; (MATCH(INDIRECT(""&amp;G99&amp;ROW()-86&amp;""),数出表_Excel!$A:$A,0)-1) &amp; ":U" &amp; (MATCH(INDIRECT(""&amp;G99&amp;ROW()-86&amp;""),数出表_Excel!$A:$A,0)-1))), 0))
*2,4),"1",""),"")</f>
        <v/>
      </c>
      <c r="C101" s="249" t="str">
        <f ca="1">IF(C102&lt;&gt;"","園児","")</f>
        <v/>
      </c>
      <c r="D101" s="250"/>
      <c r="E101" s="251" t="str">
        <f ca="1">IF(C102&lt;&gt;"","先生","")</f>
        <v/>
      </c>
      <c r="F101" s="250"/>
      <c r="G101" s="97" cm="1">
        <f t="array" aca="1" ref="G101" ca="1">IF(C99&lt;&gt;"",
IF(IFERROR(
INDEX(INDIRECT("'数出表_Excel（アレルギー入力）'!"&amp;B101&amp;MATCH(G15,'数出表_Excel（アレルギー入力）'!$A:$A,0)-1&amp;":"&amp;G103&amp;MATCH(G15,'数出表_Excel（アレルギー入力）'!$A:$A,0)-1&amp;""),
 1,
MATCH(TRUE,INDIRECT("'数出表_Excel（アレルギー入力）'!"&amp;B101&amp;MATCH(G15,'数出表_Excel（アレルギー入力）'!$A:$A,0)-1&amp;":"&amp;G103&amp;MATCH(G15,'数出表_Excel（アレルギー入力）'!$A:$A,0)-1&amp;"")&lt;&gt;"",0)+1),
 "")&lt;&gt;0,
IF(IFERROR(
INDEX(INDIRECT("'数出表_Excel（アレルギー入力）'!"&amp;B101&amp;MATCH(G15,'数出表_Excel（アレルギー入力）'!$A:$A,0)-1&amp;":"&amp;G103&amp;MATCH(G15,'数出表_Excel（アレルギー入力）'!$A:$A,0)-1&amp;""),
 1,
MATCH(TRUE,INDIRECT("'数出表_Excel（アレルギー入力）'!"&amp;B101&amp;MATCH(G15,'数出表_Excel（アレルギー入力）'!$A:$A,0)-1&amp;":"&amp;G103&amp;MATCH(G15,'数出表_Excel（アレルギー入力）'!$A:$A,0)-1&amp;"")&lt;&gt;"",0)+1),
 "")="",
0,
IFERROR(
INDEX(INDIRECT("'数出表_Excel（アレルギー入力）'!"&amp;B101&amp;MATCH(G15,'数出表_Excel（アレルギー入力）'!$A:$A,0)-1&amp;":"&amp;G103&amp;MATCH(G15,'数出表_Excel（アレルギー入力）'!$A:$A,0)-1&amp;""),
 1,
MATCH(TRUE,INDIRECT("'数出表_Excel（アレルギー入力）'!"&amp;B101&amp;MATCH(G15,'数出表_Excel（アレルギー入力）'!$A:$A,0)-1&amp;":"&amp;G103&amp;MATCH(G15,'数出表_Excel（アレルギー入力）'!$A:$A,0)-1&amp;"")&lt;&gt;"",0)+1),
 "")),IFERROR(
INDEX(INDIRECT("'数出表_Excel（アレルギー入力）'!"&amp;B101&amp;MATCH(G15,'数出表_Excel（アレルギー入力）'!$A:$A,0)-1&amp;":"&amp;G103&amp;MATCH(G15,'数出表_Excel（アレルギー入力）'!$A:$A,0)-1&amp;""),
 1,
MATCH(TRUE,INDIRECT("'数出表_Excel（アレルギー入力）'!"&amp;B101&amp;MATCH(G15,'数出表_Excel（アレルギー入力）'!$A:$A,0)-1&amp;":"&amp;G103&amp;MATCH(G15,'数出表_Excel（アレルギー入力）'!$A:$A,0)-1&amp;"")&lt;&gt;"",0)+1),
 "")),0)</f>
        <v>0</v>
      </c>
      <c r="H101" s="76"/>
      <c r="I101" s="84" t="str" cm="1">
        <f t="array" aca="1" ref="I101" ca="1">IF(J99&lt;&gt;"",SUBSTITUTE(ADDRESS(1,
(COLUMN(INDIRECT("数出表_Excel!"&amp;I99&amp;1&amp;""))-2 +
MATCH(TRUE, ISNUMBER(--INDIRECT("数出表_Excel!"&amp;I99&amp; (MATCH(INDIRECT(""&amp;N99&amp;ROW()-86&amp;""),数出表_Excel!$A:$A,0)-1) &amp; ":U" &amp; (MATCH(INDIRECT(""&amp;N99&amp;ROW()-86&amp;""),数出表_Excel!$A:$A,0)-1))), 0))
*2,4),"1",""),"")</f>
        <v/>
      </c>
      <c r="J101" s="249" t="str">
        <f ca="1">IF(J102&lt;&gt;"","園児","")</f>
        <v/>
      </c>
      <c r="K101" s="250"/>
      <c r="L101" s="251" t="str">
        <f ca="1">IF(J102&lt;&gt;"","先生","")</f>
        <v/>
      </c>
      <c r="M101" s="250"/>
      <c r="N101" s="97" cm="1">
        <f t="array" aca="1" ref="N101" ca="1">IF(J99&lt;&gt;"",
IF(IFERROR(
INDEX(INDIRECT("'数出表_Excel（アレルギー入力）'!"&amp;I101&amp;MATCH(N15,'数出表_Excel（アレルギー入力）'!$A:$A,0)-1&amp;":"&amp;N103&amp;MATCH(N15,'数出表_Excel（アレルギー入力）'!$A:$A,0)-1&amp;""),
 1,
MATCH(TRUE,INDIRECT("'数出表_Excel（アレルギー入力）'!"&amp;I101&amp;MATCH(N15,'数出表_Excel（アレルギー入力）'!$A:$A,0)-1&amp;":"&amp;N103&amp;MATCH(N15,'数出表_Excel（アレルギー入力）'!$A:$A,0)-1&amp;"")&lt;&gt;"",0)+1),
 "")&lt;&gt;0,
IF(IFERROR(
INDEX(INDIRECT("'数出表_Excel（アレルギー入力）'!"&amp;I101&amp;MATCH(N15,'数出表_Excel（アレルギー入力）'!$A:$A,0)-1&amp;":"&amp;N103&amp;MATCH(N15,'数出表_Excel（アレルギー入力）'!$A:$A,0)-1&amp;""),
 1,
MATCH(TRUE,INDIRECT("'数出表_Excel（アレルギー入力）'!"&amp;I101&amp;MATCH(N15,'数出表_Excel（アレルギー入力）'!$A:$A,0)-1&amp;":"&amp;N103&amp;MATCH(N15,'数出表_Excel（アレルギー入力）'!$A:$A,0)-1&amp;"")&lt;&gt;"",0)+1),
 "")="",
0,
IFERROR(
INDEX(INDIRECT("'数出表_Excel（アレルギー入力）'!"&amp;I101&amp;MATCH(N15,'数出表_Excel（アレルギー入力）'!$A:$A,0)-1&amp;":"&amp;N103&amp;MATCH(N15,'数出表_Excel（アレルギー入力）'!$A:$A,0)-1&amp;""),
 1,
MATCH(TRUE,INDIRECT("'数出表_Excel（アレルギー入力）'!"&amp;I101&amp;MATCH(N15,'数出表_Excel（アレルギー入力）'!$A:$A,0)-1&amp;":"&amp;N103&amp;MATCH(N15,'数出表_Excel（アレルギー入力）'!$A:$A,0)-1&amp;"")&lt;&gt;"",0)+1),
 "")),IFERROR(
INDEX(INDIRECT("'数出表_Excel（アレルギー入力）'!"&amp;I101&amp;MATCH(N15,'数出表_Excel（アレルギー入力）'!$A:$A,0)-1&amp;":"&amp;N103&amp;MATCH(N15,'数出表_Excel（アレルギー入力）'!$A:$A,0)-1&amp;""),
 1,
MATCH(TRUE,INDIRECT("'数出表_Excel（アレルギー入力）'!"&amp;I101&amp;MATCH(N15,'数出表_Excel（アレルギー入力）'!$A:$A,0)-1&amp;":"&amp;N103&amp;MATCH(N15,'数出表_Excel（アレルギー入力）'!$A:$A,0)-1&amp;"")&lt;&gt;"",0)+1),
 "")),0)</f>
        <v>0</v>
      </c>
      <c r="Q101" s="84" t="str" cm="1">
        <f t="array" aca="1" ref="Q101" ca="1">IF(R99&lt;&gt;"",SUBSTITUTE(ADDRESS(1,
(COLUMN(INDIRECT("数出表_Excel!"&amp;Q99&amp;1&amp;""))-2 +
MATCH(TRUE, ISNUMBER(--INDIRECT("数出表_Excel!"&amp;Q99&amp; (MATCH(INDIRECT(""&amp;V99&amp;ROW()-86&amp;""),数出表_Excel!$A:$A,0)-1) &amp; ":U" &amp; (MATCH(INDIRECT(""&amp;V99&amp;ROW()-86&amp;""),数出表_Excel!$A:$A,0)-1))), 0))
*2,4),"1",""),"")</f>
        <v/>
      </c>
      <c r="R101" s="249" t="str">
        <f ca="1">IF(R102&lt;&gt;"","園児","")</f>
        <v/>
      </c>
      <c r="S101" s="250"/>
      <c r="T101" s="251" t="str">
        <f ca="1">IF(R102&lt;&gt;"","先生","")</f>
        <v/>
      </c>
      <c r="U101" s="250"/>
      <c r="V101" s="97" cm="1">
        <f t="array" aca="1" ref="V101" ca="1">IF(R99&lt;&gt;"",
IF(IFERROR(
INDEX(INDIRECT("'数出表_Excel（アレルギー入力）'!"&amp;Q101&amp;MATCH(V15,'数出表_Excel（アレルギー入力）'!$A:$A,0)-1&amp;":"&amp;V103&amp;MATCH(V15,'数出表_Excel（アレルギー入力）'!$A:$A,0)-1&amp;""),
 1,
MATCH(TRUE,INDIRECT("'数出表_Excel（アレルギー入力）'!"&amp;Q101&amp;MATCH(V15,'数出表_Excel（アレルギー入力）'!$A:$A,0)-1&amp;":"&amp;V103&amp;MATCH(V15,'数出表_Excel（アレルギー入力）'!$A:$A,0)-1&amp;"")&lt;&gt;"",0)+1),
 "")&lt;&gt;0,
IF(IFERROR(
INDEX(INDIRECT("'数出表_Excel（アレルギー入力）'!"&amp;Q101&amp;MATCH(V15,'数出表_Excel（アレルギー入力）'!$A:$A,0)-1&amp;":"&amp;V103&amp;MATCH(V15,'数出表_Excel（アレルギー入力）'!$A:$A,0)-1&amp;""),
 1,
MATCH(TRUE,INDIRECT("'数出表_Excel（アレルギー入力）'!"&amp;Q101&amp;MATCH(V15,'数出表_Excel（アレルギー入力）'!$A:$A,0)-1&amp;":"&amp;V103&amp;MATCH(V15,'数出表_Excel（アレルギー入力）'!$A:$A,0)-1&amp;"")&lt;&gt;"",0)+1),
 "")="",
0,
IFERROR(
INDEX(INDIRECT("'数出表_Excel（アレルギー入力）'!"&amp;Q101&amp;MATCH(V15,'数出表_Excel（アレルギー入力）'!$A:$A,0)-1&amp;":"&amp;V103&amp;MATCH(V15,'数出表_Excel（アレルギー入力）'!$A:$A,0)-1&amp;""),
 1,
MATCH(TRUE,INDIRECT("'数出表_Excel（アレルギー入力）'!"&amp;Q101&amp;MATCH(V15,'数出表_Excel（アレルギー入力）'!$A:$A,0)-1&amp;":"&amp;V103&amp;MATCH(V15,'数出表_Excel（アレルギー入力）'!$A:$A,0)-1&amp;"")&lt;&gt;"",0)+1),
 "")),IFERROR(
INDEX(INDIRECT("'数出表_Excel（アレルギー入力）'!"&amp;Q101&amp;MATCH(V15,'数出表_Excel（アレルギー入力）'!$A:$A,0)-1&amp;":"&amp;V103&amp;MATCH(V15,'数出表_Excel（アレルギー入力）'!$A:$A,0)-1&amp;""),
 1,
MATCH(TRUE,INDIRECT("'数出表_Excel（アレルギー入力）'!"&amp;Q101&amp;MATCH(V15,'数出表_Excel（アレルギー入力）'!$A:$A,0)-1&amp;":"&amp;V103&amp;MATCH(V15,'数出表_Excel（アレルギー入力）'!$A:$A,0)-1&amp;"")&lt;&gt;"",0)+1),
 "")),0)</f>
        <v>0</v>
      </c>
      <c r="W101" s="76"/>
      <c r="X101" s="84" t="str" cm="1">
        <f t="array" aca="1" ref="X101" ca="1">IF(Y99&lt;&gt;"",SUBSTITUTE(ADDRESS(1,
(COLUMN(INDIRECT("数出表_Excel!"&amp;X99&amp;1&amp;""))-2 +
MATCH(TRUE, ISNUMBER(--INDIRECT("数出表_Excel!"&amp;X99&amp; (MATCH(INDIRECT(""&amp;AC99&amp;ROW()-86&amp;""),数出表_Excel!$A:$A,0)-1) &amp; ":U" &amp; (MATCH(INDIRECT(""&amp;AC99&amp;ROW()-86&amp;""),数出表_Excel!$A:$A,0)-1))), 0))
*2,4),"1",""),"")</f>
        <v/>
      </c>
      <c r="Y101" s="249" t="str">
        <f ca="1">IF(Y102&lt;&gt;"","園児","")</f>
        <v/>
      </c>
      <c r="Z101" s="250"/>
      <c r="AA101" s="251" t="str">
        <f ca="1">IF(Y102&lt;&gt;"","先生","")</f>
        <v/>
      </c>
      <c r="AB101" s="250"/>
      <c r="AC101" s="97" cm="1">
        <f t="array" aca="1" ref="AC101" ca="1">IF(Y99&lt;&gt;"",
IF(IFERROR(
INDEX(INDIRECT("'数出表_Excel（アレルギー入力）'!"&amp;X101&amp;MATCH(AC15,'数出表_Excel（アレルギー入力）'!$A:$A,0)-1&amp;":"&amp;AC103&amp;MATCH(AC15,'数出表_Excel（アレルギー入力）'!$A:$A,0)-1&amp;""),
 1,
MATCH(TRUE,INDIRECT("'数出表_Excel（アレルギー入力）'!"&amp;X101&amp;MATCH(AC15,'数出表_Excel（アレルギー入力）'!$A:$A,0)-1&amp;":"&amp;AC103&amp;MATCH(AC15,'数出表_Excel（アレルギー入力）'!$A:$A,0)-1&amp;"")&lt;&gt;"",0)+1),
 "")&lt;&gt;0,
IF(IFERROR(
INDEX(INDIRECT("'数出表_Excel（アレルギー入力）'!"&amp;X101&amp;MATCH(AC15,'数出表_Excel（アレルギー入力）'!$A:$A,0)-1&amp;":"&amp;AC103&amp;MATCH(AC15,'数出表_Excel（アレルギー入力）'!$A:$A,0)-1&amp;""),
 1,
MATCH(TRUE,INDIRECT("'数出表_Excel（アレルギー入力）'!"&amp;X101&amp;MATCH(AC15,'数出表_Excel（アレルギー入力）'!$A:$A,0)-1&amp;":"&amp;AC103&amp;MATCH(AC15,'数出表_Excel（アレルギー入力）'!$A:$A,0)-1&amp;"")&lt;&gt;"",0)+1),
 "")="",
0,
IFERROR(
INDEX(INDIRECT("'数出表_Excel（アレルギー入力）'!"&amp;X101&amp;MATCH(AC15,'数出表_Excel（アレルギー入力）'!$A:$A,0)-1&amp;":"&amp;AC103&amp;MATCH(AC15,'数出表_Excel（アレルギー入力）'!$A:$A,0)-1&amp;""),
 1,
MATCH(TRUE,INDIRECT("'数出表_Excel（アレルギー入力）'!"&amp;X101&amp;MATCH(AC15,'数出表_Excel（アレルギー入力）'!$A:$A,0)-1&amp;":"&amp;AC103&amp;MATCH(AC15,'数出表_Excel（アレルギー入力）'!$A:$A,0)-1&amp;"")&lt;&gt;"",0)+1),
 "")),IFERROR(
INDEX(INDIRECT("'数出表_Excel（アレルギー入力）'!"&amp;X101&amp;MATCH(AC15,'数出表_Excel（アレルギー入力）'!$A:$A,0)-1&amp;":"&amp;AC103&amp;MATCH(AC15,'数出表_Excel（アレルギー入力）'!$A:$A,0)-1&amp;""),
 1,
MATCH(TRUE,INDIRECT("'数出表_Excel（アレルギー入力）'!"&amp;X101&amp;MATCH(AC15,'数出表_Excel（アレルギー入力）'!$A:$A,0)-1&amp;":"&amp;AC103&amp;MATCH(AC15,'数出表_Excel（アレルギー入力）'!$A:$A,0)-1&amp;"")&lt;&gt;"",0)+1),
 "")),0)</f>
        <v>0</v>
      </c>
      <c r="AF101" s="84" t="str" cm="1">
        <f t="array" aca="1" ref="AF101" ca="1">IF(AG99&lt;&gt;"",SUBSTITUTE(ADDRESS(1,
(COLUMN(INDIRECT("数出表_Excel!"&amp;AF99&amp;1&amp;""))-2 +
MATCH(TRUE, ISNUMBER(--INDIRECT("数出表_Excel!"&amp;AF99&amp; (MATCH(INDIRECT(""&amp;AK99&amp;ROW()-86&amp;""),数出表_Excel!$A:$A,0)-1) &amp; ":U" &amp; (MATCH(INDIRECT(""&amp;AK99&amp;ROW()-86&amp;""),数出表_Excel!$A:$A,0)-1))), 0))
*2,4),"1",""),"")</f>
        <v/>
      </c>
      <c r="AG101" s="249" t="str">
        <f ca="1">IF(AG102&lt;&gt;"","園児","")</f>
        <v/>
      </c>
      <c r="AH101" s="250"/>
      <c r="AI101" s="251" t="str">
        <f ca="1">IF(AG102&lt;&gt;"","先生","")</f>
        <v/>
      </c>
      <c r="AJ101" s="250"/>
      <c r="AK101" s="97" cm="1">
        <f t="array" aca="1" ref="AK101" ca="1">IF(AG99&lt;&gt;"",
IF(IFERROR(
INDEX(INDIRECT("'数出表_Excel（アレルギー入力）'!"&amp;AF101&amp;MATCH(AK15,'数出表_Excel（アレルギー入力）'!$A:$A,0)-1&amp;":"&amp;AK103&amp;MATCH(AK15,'数出表_Excel（アレルギー入力）'!$A:$A,0)-1&amp;""),
 1,
MATCH(TRUE,INDIRECT("'数出表_Excel（アレルギー入力）'!"&amp;AF101&amp;MATCH(AK15,'数出表_Excel（アレルギー入力）'!$A:$A,0)-1&amp;":"&amp;AK103&amp;MATCH(AK15,'数出表_Excel（アレルギー入力）'!$A:$A,0)-1&amp;"")&lt;&gt;"",0)+1),
 "")&lt;&gt;0,
IF(IFERROR(
INDEX(INDIRECT("'数出表_Excel（アレルギー入力）'!"&amp;AF101&amp;MATCH(AK15,'数出表_Excel（アレルギー入力）'!$A:$A,0)-1&amp;":"&amp;AK103&amp;MATCH(AK15,'数出表_Excel（アレルギー入力）'!$A:$A,0)-1&amp;""),
 1,
MATCH(TRUE,INDIRECT("'数出表_Excel（アレルギー入力）'!"&amp;AF101&amp;MATCH(AK15,'数出表_Excel（アレルギー入力）'!$A:$A,0)-1&amp;":"&amp;AK103&amp;MATCH(AK15,'数出表_Excel（アレルギー入力）'!$A:$A,0)-1&amp;"")&lt;&gt;"",0)+1),
 "")="",
0,
IFERROR(
INDEX(INDIRECT("'数出表_Excel（アレルギー入力）'!"&amp;AF101&amp;MATCH(AK15,'数出表_Excel（アレルギー入力）'!$A:$A,0)-1&amp;":"&amp;AK103&amp;MATCH(AK15,'数出表_Excel（アレルギー入力）'!$A:$A,0)-1&amp;""),
 1,
MATCH(TRUE,INDIRECT("'数出表_Excel（アレルギー入力）'!"&amp;AF101&amp;MATCH(AK15,'数出表_Excel（アレルギー入力）'!$A:$A,0)-1&amp;":"&amp;AK103&amp;MATCH(AK15,'数出表_Excel（アレルギー入力）'!$A:$A,0)-1&amp;"")&lt;&gt;"",0)+1),
 "")),IFERROR(
INDEX(INDIRECT("'数出表_Excel（アレルギー入力）'!"&amp;AF101&amp;MATCH(AK15,'数出表_Excel（アレルギー入力）'!$A:$A,0)-1&amp;":"&amp;AK103&amp;MATCH(AK15,'数出表_Excel（アレルギー入力）'!$A:$A,0)-1&amp;""),
 1,
MATCH(TRUE,INDIRECT("'数出表_Excel（アレルギー入力）'!"&amp;AF101&amp;MATCH(AK15,'数出表_Excel（アレルギー入力）'!$A:$A,0)-1&amp;":"&amp;AK103&amp;MATCH(AK15,'数出表_Excel（アレルギー入力）'!$A:$A,0)-1&amp;"")&lt;&gt;"",0)+1),
 "")),0)</f>
        <v>0</v>
      </c>
      <c r="AL101" s="76"/>
      <c r="AM101" s="84" t="str" cm="1">
        <f t="array" aca="1" ref="AM101" ca="1">IF(AN99&lt;&gt;"",SUBSTITUTE(ADDRESS(1,
(COLUMN(INDIRECT("数出表_Excel!"&amp;AM99&amp;1&amp;""))-2 +
MATCH(TRUE, ISNUMBER(--INDIRECT("数出表_Excel!"&amp;AM99&amp; (MATCH(INDIRECT(""&amp;AR99&amp;ROW()-86&amp;""),数出表_Excel!$A:$A,0)-1) &amp; ":U" &amp; (MATCH(INDIRECT(""&amp;AR99&amp;ROW()-86&amp;""),数出表_Excel!$A:$A,0)-1))), 0))
*2,4),"1",""),"")</f>
        <v/>
      </c>
      <c r="AN101" s="249" t="str">
        <f ca="1">IF(AN102&lt;&gt;"","園児","")</f>
        <v/>
      </c>
      <c r="AO101" s="250"/>
      <c r="AP101" s="251" t="str">
        <f ca="1">IF(AN102&lt;&gt;"","先生","")</f>
        <v/>
      </c>
      <c r="AQ101" s="250"/>
      <c r="AR101" s="97" cm="1">
        <f t="array" aca="1" ref="AR101" ca="1">IF(AN99&lt;&gt;"",
IF(IFERROR(
INDEX(INDIRECT("'数出表_Excel（アレルギー入力）'!"&amp;AM101&amp;MATCH(AR15,'数出表_Excel（アレルギー入力）'!$A:$A,0)-1&amp;":"&amp;AR103&amp;MATCH(AR15,'数出表_Excel（アレルギー入力）'!$A:$A,0)-1&amp;""),
 1,
MATCH(TRUE,INDIRECT("'数出表_Excel（アレルギー入力）'!"&amp;AM101&amp;MATCH(AR15,'数出表_Excel（アレルギー入力）'!$A:$A,0)-1&amp;":"&amp;AR103&amp;MATCH(AR15,'数出表_Excel（アレルギー入力）'!$A:$A,0)-1&amp;"")&lt;&gt;"",0)+1),
 "")&lt;&gt;0,
IF(IFERROR(
INDEX(INDIRECT("'数出表_Excel（アレルギー入力）'!"&amp;AM101&amp;MATCH(AR15,'数出表_Excel（アレルギー入力）'!$A:$A,0)-1&amp;":"&amp;AR103&amp;MATCH(AR15,'数出表_Excel（アレルギー入力）'!$A:$A,0)-1&amp;""),
 1,
MATCH(TRUE,INDIRECT("'数出表_Excel（アレルギー入力）'!"&amp;AM101&amp;MATCH(AR15,'数出表_Excel（アレルギー入力）'!$A:$A,0)-1&amp;":"&amp;AR103&amp;MATCH(AR15,'数出表_Excel（アレルギー入力）'!$A:$A,0)-1&amp;"")&lt;&gt;"",0)+1),
 "")="",
0,
IFERROR(
INDEX(INDIRECT("'数出表_Excel（アレルギー入力）'!"&amp;AM101&amp;MATCH(AR15,'数出表_Excel（アレルギー入力）'!$A:$A,0)-1&amp;":"&amp;AR103&amp;MATCH(AR15,'数出表_Excel（アレルギー入力）'!$A:$A,0)-1&amp;""),
 1,
MATCH(TRUE,INDIRECT("'数出表_Excel（アレルギー入力）'!"&amp;AM101&amp;MATCH(AR15,'数出表_Excel（アレルギー入力）'!$A:$A,0)-1&amp;":"&amp;AR103&amp;MATCH(AR15,'数出表_Excel（アレルギー入力）'!$A:$A,0)-1&amp;"")&lt;&gt;"",0)+1),
 "")),IFERROR(
INDEX(INDIRECT("'数出表_Excel（アレルギー入力）'!"&amp;AM101&amp;MATCH(AR15,'数出表_Excel（アレルギー入力）'!$A:$A,0)-1&amp;":"&amp;AR103&amp;MATCH(AR15,'数出表_Excel（アレルギー入力）'!$A:$A,0)-1&amp;""),
 1,
MATCH(TRUE,INDIRECT("'数出表_Excel（アレルギー入力）'!"&amp;AM101&amp;MATCH(AR15,'数出表_Excel（アレルギー入力）'!$A:$A,0)-1&amp;":"&amp;AR103&amp;MATCH(AR15,'数出表_Excel（アレルギー入力）'!$A:$A,0)-1&amp;"")&lt;&gt;"",0)+1),
 "")),0)</f>
        <v>0</v>
      </c>
      <c r="AU101" s="84" t="str" cm="1">
        <f t="array" aca="1" ref="AU101" ca="1">IF(AV99&lt;&gt;"",SUBSTITUTE(ADDRESS(1,
(COLUMN(INDIRECT("数出表_Excel!"&amp;AU99&amp;1&amp;""))-2 +
MATCH(TRUE, ISNUMBER(--INDIRECT("数出表_Excel!"&amp;AU99&amp; (MATCH(INDIRECT(""&amp;AZ99&amp;ROW()-86&amp;""),数出表_Excel!$A:$A,0)-1) &amp; ":U" &amp; (MATCH(INDIRECT(""&amp;AZ99&amp;ROW()-86&amp;""),数出表_Excel!$A:$A,0)-1))), 0))
*2,4),"1",""),"")</f>
        <v/>
      </c>
      <c r="AV101" s="249" t="str">
        <f ca="1">IF(AV102&lt;&gt;"","園児","")</f>
        <v/>
      </c>
      <c r="AW101" s="250"/>
      <c r="AX101" s="251" t="str">
        <f ca="1">IF(AV102&lt;&gt;"","先生","")</f>
        <v/>
      </c>
      <c r="AY101" s="250"/>
      <c r="AZ101" s="97" cm="1">
        <f t="array" aca="1" ref="AZ101" ca="1">IF(AV99&lt;&gt;"",
IF(IFERROR(
INDEX(INDIRECT("'数出表_Excel（アレルギー入力）'!"&amp;AU101&amp;MATCH(AZ15,'数出表_Excel（アレルギー入力）'!$A:$A,0)-1&amp;":"&amp;AZ103&amp;MATCH(AZ15,'数出表_Excel（アレルギー入力）'!$A:$A,0)-1&amp;""),
 1,
MATCH(TRUE,INDIRECT("'数出表_Excel（アレルギー入力）'!"&amp;AU101&amp;MATCH(AZ15,'数出表_Excel（アレルギー入力）'!$A:$A,0)-1&amp;":"&amp;AZ103&amp;MATCH(AZ15,'数出表_Excel（アレルギー入力）'!$A:$A,0)-1&amp;"")&lt;&gt;"",0)+1),
 "")&lt;&gt;0,
IF(IFERROR(
INDEX(INDIRECT("'数出表_Excel（アレルギー入力）'!"&amp;AU101&amp;MATCH(AZ15,'数出表_Excel（アレルギー入力）'!$A:$A,0)-1&amp;":"&amp;AZ103&amp;MATCH(AZ15,'数出表_Excel（アレルギー入力）'!$A:$A,0)-1&amp;""),
 1,
MATCH(TRUE,INDIRECT("'数出表_Excel（アレルギー入力）'!"&amp;AU101&amp;MATCH(AZ15,'数出表_Excel（アレルギー入力）'!$A:$A,0)-1&amp;":"&amp;AZ103&amp;MATCH(AZ15,'数出表_Excel（アレルギー入力）'!$A:$A,0)-1&amp;"")&lt;&gt;"",0)+1),
 "")="",
0,
IFERROR(
INDEX(INDIRECT("'数出表_Excel（アレルギー入力）'!"&amp;AU101&amp;MATCH(AZ15,'数出表_Excel（アレルギー入力）'!$A:$A,0)-1&amp;":"&amp;AZ103&amp;MATCH(AZ15,'数出表_Excel（アレルギー入力）'!$A:$A,0)-1&amp;""),
 1,
MATCH(TRUE,INDIRECT("'数出表_Excel（アレルギー入力）'!"&amp;AU101&amp;MATCH(AZ15,'数出表_Excel（アレルギー入力）'!$A:$A,0)-1&amp;":"&amp;AZ103&amp;MATCH(AZ15,'数出表_Excel（アレルギー入力）'!$A:$A,0)-1&amp;"")&lt;&gt;"",0)+1),
 "")),IFERROR(
INDEX(INDIRECT("'数出表_Excel（アレルギー入力）'!"&amp;AU101&amp;MATCH(AZ15,'数出表_Excel（アレルギー入力）'!$A:$A,0)-1&amp;":"&amp;AZ103&amp;MATCH(AZ15,'数出表_Excel（アレルギー入力）'!$A:$A,0)-1&amp;""),
 1,
MATCH(TRUE,INDIRECT("'数出表_Excel（アレルギー入力）'!"&amp;AU101&amp;MATCH(AZ15,'数出表_Excel（アレルギー入力）'!$A:$A,0)-1&amp;":"&amp;AZ103&amp;MATCH(AZ15,'数出表_Excel（アレルギー入力）'!$A:$A,0)-1&amp;"")&lt;&gt;"",0)+1),
 "")),0)</f>
        <v>0</v>
      </c>
      <c r="BA101" s="76"/>
      <c r="BB101" s="84" t="str" cm="1">
        <f t="array" aca="1" ref="BB101" ca="1">IF(BC99&lt;&gt;"",SUBSTITUTE(ADDRESS(1,
(COLUMN(INDIRECT("数出表_Excel!"&amp;BB99&amp;1&amp;""))-2 +
MATCH(TRUE, ISNUMBER(--INDIRECT("数出表_Excel!"&amp;BB99&amp; (MATCH(INDIRECT(""&amp;BG99&amp;ROW()-86&amp;""),数出表_Excel!$A:$A,0)-1) &amp; ":U" &amp; (MATCH(INDIRECT(""&amp;BG99&amp;ROW()-86&amp;""),数出表_Excel!$A:$A,0)-1))), 0))
*2,4),"1",""),"")</f>
        <v/>
      </c>
      <c r="BC101" s="249" t="str">
        <f ca="1">IF(BC102&lt;&gt;"","園児","")</f>
        <v/>
      </c>
      <c r="BD101" s="250"/>
      <c r="BE101" s="251" t="str">
        <f ca="1">IF(BC102&lt;&gt;"","先生","")</f>
        <v/>
      </c>
      <c r="BF101" s="250"/>
      <c r="BG101" s="97" cm="1">
        <f t="array" aca="1" ref="BG101" ca="1">IF(BC99&lt;&gt;"",
IF(IFERROR(
INDEX(INDIRECT("'数出表_Excel（アレルギー入力）'!"&amp;BB101&amp;MATCH(BG15,'数出表_Excel（アレルギー入力）'!$A:$A,0)-1&amp;":"&amp;BG103&amp;MATCH(BG15,'数出表_Excel（アレルギー入力）'!$A:$A,0)-1&amp;""),
 1,
MATCH(TRUE,INDIRECT("'数出表_Excel（アレルギー入力）'!"&amp;BB101&amp;MATCH(BG15,'数出表_Excel（アレルギー入力）'!$A:$A,0)-1&amp;":"&amp;BG103&amp;MATCH(BG15,'数出表_Excel（アレルギー入力）'!$A:$A,0)-1&amp;"")&lt;&gt;"",0)+1),
 "")&lt;&gt;0,
IF(IFERROR(
INDEX(INDIRECT("'数出表_Excel（アレルギー入力）'!"&amp;BB101&amp;MATCH(BG15,'数出表_Excel（アレルギー入力）'!$A:$A,0)-1&amp;":"&amp;BG103&amp;MATCH(BG15,'数出表_Excel（アレルギー入力）'!$A:$A,0)-1&amp;""),
 1,
MATCH(TRUE,INDIRECT("'数出表_Excel（アレルギー入力）'!"&amp;BB101&amp;MATCH(BG15,'数出表_Excel（アレルギー入力）'!$A:$A,0)-1&amp;":"&amp;BG103&amp;MATCH(BG15,'数出表_Excel（アレルギー入力）'!$A:$A,0)-1&amp;"")&lt;&gt;"",0)+1),
 "")="",
0,
IFERROR(
INDEX(INDIRECT("'数出表_Excel（アレルギー入力）'!"&amp;BB101&amp;MATCH(BG15,'数出表_Excel（アレルギー入力）'!$A:$A,0)-1&amp;":"&amp;BG103&amp;MATCH(BG15,'数出表_Excel（アレルギー入力）'!$A:$A,0)-1&amp;""),
 1,
MATCH(TRUE,INDIRECT("'数出表_Excel（アレルギー入力）'!"&amp;BB101&amp;MATCH(BG15,'数出表_Excel（アレルギー入力）'!$A:$A,0)-1&amp;":"&amp;BG103&amp;MATCH(BG15,'数出表_Excel（アレルギー入力）'!$A:$A,0)-1&amp;"")&lt;&gt;"",0)+1),
 "")),IFERROR(
INDEX(INDIRECT("'数出表_Excel（アレルギー入力）'!"&amp;BB101&amp;MATCH(BG15,'数出表_Excel（アレルギー入力）'!$A:$A,0)-1&amp;":"&amp;BG103&amp;MATCH(BG15,'数出表_Excel（アレルギー入力）'!$A:$A,0)-1&amp;""),
 1,
MATCH(TRUE,INDIRECT("'数出表_Excel（アレルギー入力）'!"&amp;BB101&amp;MATCH(BG15,'数出表_Excel（アレルギー入力）'!$A:$A,0)-1&amp;":"&amp;BG103&amp;MATCH(BG15,'数出表_Excel（アレルギー入力）'!$A:$A,0)-1&amp;"")&lt;&gt;"",0)+1),
 "")),0)</f>
        <v>0</v>
      </c>
      <c r="BJ101" s="84" t="str" cm="1">
        <f t="array" aca="1" ref="BJ101" ca="1">IF(BK99&lt;&gt;"",SUBSTITUTE(ADDRESS(1,
(COLUMN(INDIRECT("数出表_Excel!"&amp;BJ99&amp;1&amp;""))-2 +
MATCH(TRUE, ISNUMBER(--INDIRECT("数出表_Excel!"&amp;BJ99&amp; (MATCH(INDIRECT(""&amp;BO99&amp;ROW()-86&amp;""),数出表_Excel!$A:$A,0)-1) &amp; ":U" &amp; (MATCH(INDIRECT(""&amp;BO99&amp;ROW()-86&amp;""),数出表_Excel!$A:$A,0)-1))), 0))
*2,4),"1",""),"")</f>
        <v/>
      </c>
      <c r="BK101" s="249" t="str">
        <f ca="1">IF(BK102&lt;&gt;"","園児","")</f>
        <v/>
      </c>
      <c r="BL101" s="250"/>
      <c r="BM101" s="251" t="str">
        <f ca="1">IF(BK102&lt;&gt;"","先生","")</f>
        <v/>
      </c>
      <c r="BN101" s="250"/>
      <c r="BO101" s="97" cm="1">
        <f t="array" aca="1" ref="BO101" ca="1">IF(BK99&lt;&gt;"",
IF(IFERROR(
INDEX(INDIRECT("'数出表_Excel（アレルギー入力）'!"&amp;BJ101&amp;MATCH(BO15,'数出表_Excel（アレルギー入力）'!$A:$A,0)-1&amp;":"&amp;BO103&amp;MATCH(BO15,'数出表_Excel（アレルギー入力）'!$A:$A,0)-1&amp;""),
 1,
MATCH(TRUE,INDIRECT("'数出表_Excel（アレルギー入力）'!"&amp;BJ101&amp;MATCH(BO15,'数出表_Excel（アレルギー入力）'!$A:$A,0)-1&amp;":"&amp;BO103&amp;MATCH(BO15,'数出表_Excel（アレルギー入力）'!$A:$A,0)-1&amp;"")&lt;&gt;"",0)+1),
 "")&lt;&gt;0,
IF(IFERROR(
INDEX(INDIRECT("'数出表_Excel（アレルギー入力）'!"&amp;BJ101&amp;MATCH(BO15,'数出表_Excel（アレルギー入力）'!$A:$A,0)-1&amp;":"&amp;BO103&amp;MATCH(BO15,'数出表_Excel（アレルギー入力）'!$A:$A,0)-1&amp;""),
 1,
MATCH(TRUE,INDIRECT("'数出表_Excel（アレルギー入力）'!"&amp;BJ101&amp;MATCH(BO15,'数出表_Excel（アレルギー入力）'!$A:$A,0)-1&amp;":"&amp;BO103&amp;MATCH(BO15,'数出表_Excel（アレルギー入力）'!$A:$A,0)-1&amp;"")&lt;&gt;"",0)+1),
 "")="",
0,
IFERROR(
INDEX(INDIRECT("'数出表_Excel（アレルギー入力）'!"&amp;BJ101&amp;MATCH(BO15,'数出表_Excel（アレルギー入力）'!$A:$A,0)-1&amp;":"&amp;BO103&amp;MATCH(BO15,'数出表_Excel（アレルギー入力）'!$A:$A,0)-1&amp;""),
 1,
MATCH(TRUE,INDIRECT("'数出表_Excel（アレルギー入力）'!"&amp;BJ101&amp;MATCH(BO15,'数出表_Excel（アレルギー入力）'!$A:$A,0)-1&amp;":"&amp;BO103&amp;MATCH(BO15,'数出表_Excel（アレルギー入力）'!$A:$A,0)-1&amp;"")&lt;&gt;"",0)+1),
 "")),IFERROR(
INDEX(INDIRECT("'数出表_Excel（アレルギー入力）'!"&amp;BJ101&amp;MATCH(BO15,'数出表_Excel（アレルギー入力）'!$A:$A,0)-1&amp;":"&amp;BO103&amp;MATCH(BO15,'数出表_Excel（アレルギー入力）'!$A:$A,0)-1&amp;""),
 1,
MATCH(TRUE,INDIRECT("'数出表_Excel（アレルギー入力）'!"&amp;BJ101&amp;MATCH(BO15,'数出表_Excel（アレルギー入力）'!$A:$A,0)-1&amp;":"&amp;BO103&amp;MATCH(BO15,'数出表_Excel（アレルギー入力）'!$A:$A,0)-1&amp;"")&lt;&gt;"",0)+1),
 "")),0)</f>
        <v>0</v>
      </c>
      <c r="BP101" s="76"/>
      <c r="BQ101" s="84" t="str" cm="1">
        <f t="array" aca="1" ref="BQ101" ca="1">IF(BR99&lt;&gt;"",SUBSTITUTE(ADDRESS(1,
(COLUMN(INDIRECT("数出表_Excel!"&amp;BQ99&amp;1&amp;""))-2 +
MATCH(TRUE, ISNUMBER(--INDIRECT("数出表_Excel!"&amp;BQ99&amp; (MATCH(INDIRECT(""&amp;BV99&amp;ROW()-86&amp;""),数出表_Excel!$A:$A,0)-1) &amp; ":U" &amp; (MATCH(INDIRECT(""&amp;BV99&amp;ROW()-86&amp;""),数出表_Excel!$A:$A,0)-1))), 0))
*2,4),"1",""),"")</f>
        <v/>
      </c>
      <c r="BR101" s="249" t="str">
        <f ca="1">IF(BR102&lt;&gt;"","園児","")</f>
        <v/>
      </c>
      <c r="BS101" s="250"/>
      <c r="BT101" s="251" t="str">
        <f ca="1">IF(BR102&lt;&gt;"","先生","")</f>
        <v/>
      </c>
      <c r="BU101" s="250"/>
      <c r="BV101" s="97" cm="1">
        <f t="array" aca="1" ref="BV101" ca="1">IF(BR99&lt;&gt;"",
IF(IFERROR(
INDEX(INDIRECT("'数出表_Excel（アレルギー入力）'!"&amp;BQ101&amp;MATCH(BV15,'数出表_Excel（アレルギー入力）'!$A:$A,0)-1&amp;":"&amp;BV103&amp;MATCH(BV15,'数出表_Excel（アレルギー入力）'!$A:$A,0)-1&amp;""),
 1,
MATCH(TRUE,INDIRECT("'数出表_Excel（アレルギー入力）'!"&amp;BQ101&amp;MATCH(BV15,'数出表_Excel（アレルギー入力）'!$A:$A,0)-1&amp;":"&amp;BV103&amp;MATCH(BV15,'数出表_Excel（アレルギー入力）'!$A:$A,0)-1&amp;"")&lt;&gt;"",0)+1),
 "")&lt;&gt;0,
IF(IFERROR(
INDEX(INDIRECT("'数出表_Excel（アレルギー入力）'!"&amp;BQ101&amp;MATCH(BV15,'数出表_Excel（アレルギー入力）'!$A:$A,0)-1&amp;":"&amp;BV103&amp;MATCH(BV15,'数出表_Excel（アレルギー入力）'!$A:$A,0)-1&amp;""),
 1,
MATCH(TRUE,INDIRECT("'数出表_Excel（アレルギー入力）'!"&amp;BQ101&amp;MATCH(BV15,'数出表_Excel（アレルギー入力）'!$A:$A,0)-1&amp;":"&amp;BV103&amp;MATCH(BV15,'数出表_Excel（アレルギー入力）'!$A:$A,0)-1&amp;"")&lt;&gt;"",0)+1),
 "")="",
0,
IFERROR(
INDEX(INDIRECT("'数出表_Excel（アレルギー入力）'!"&amp;BQ101&amp;MATCH(BV15,'数出表_Excel（アレルギー入力）'!$A:$A,0)-1&amp;":"&amp;BV103&amp;MATCH(BV15,'数出表_Excel（アレルギー入力）'!$A:$A,0)-1&amp;""),
 1,
MATCH(TRUE,INDIRECT("'数出表_Excel（アレルギー入力）'!"&amp;BQ101&amp;MATCH(BV15,'数出表_Excel（アレルギー入力）'!$A:$A,0)-1&amp;":"&amp;BV103&amp;MATCH(BV15,'数出表_Excel（アレルギー入力）'!$A:$A,0)-1&amp;"")&lt;&gt;"",0)+1),
 "")),IFERROR(
INDEX(INDIRECT("'数出表_Excel（アレルギー入力）'!"&amp;BQ101&amp;MATCH(BV15,'数出表_Excel（アレルギー入力）'!$A:$A,0)-1&amp;":"&amp;BV103&amp;MATCH(BV15,'数出表_Excel（アレルギー入力）'!$A:$A,0)-1&amp;""),
 1,
MATCH(TRUE,INDIRECT("'数出表_Excel（アレルギー入力）'!"&amp;BQ101&amp;MATCH(BV15,'数出表_Excel（アレルギー入力）'!$A:$A,0)-1&amp;":"&amp;BV103&amp;MATCH(BV15,'数出表_Excel（アレルギー入力）'!$A:$A,0)-1&amp;"")&lt;&gt;"",0)+1),
 "")),0)</f>
        <v>0</v>
      </c>
      <c r="BY101" s="84" t="str" cm="1">
        <f t="array" aca="1" ref="BY101" ca="1">IF(BZ99&lt;&gt;"",SUBSTITUTE(ADDRESS(1,
(COLUMN(INDIRECT("数出表_Excel!"&amp;BY99&amp;1&amp;""))-2 +
MATCH(TRUE, ISNUMBER(--INDIRECT("数出表_Excel!"&amp;BY99&amp; (MATCH(INDIRECT(""&amp;CD99&amp;ROW()-86&amp;""),数出表_Excel!$A:$A,0)-1) &amp; ":U" &amp; (MATCH(INDIRECT(""&amp;CD99&amp;ROW()-86&amp;""),数出表_Excel!$A:$A,0)-1))), 0))
*2,4),"1",""),"")</f>
        <v/>
      </c>
      <c r="BZ101" s="249" t="str">
        <f ca="1">IF(BZ102&lt;&gt;"","園児","")</f>
        <v/>
      </c>
      <c r="CA101" s="250"/>
      <c r="CB101" s="251" t="str">
        <f ca="1">IF(BZ102&lt;&gt;"","先生","")</f>
        <v/>
      </c>
      <c r="CC101" s="250"/>
      <c r="CD101" s="97" cm="1">
        <f t="array" aca="1" ref="CD101" ca="1">IF(BZ99&lt;&gt;"",
IF(IFERROR(
INDEX(INDIRECT("'数出表_Excel（アレルギー入力）'!"&amp;BY101&amp;MATCH(CD15,'数出表_Excel（アレルギー入力）'!$A:$A,0)-1&amp;":"&amp;CD103&amp;MATCH(CD15,'数出表_Excel（アレルギー入力）'!$A:$A,0)-1&amp;""),
 1,
MATCH(TRUE,INDIRECT("'数出表_Excel（アレルギー入力）'!"&amp;BY101&amp;MATCH(CD15,'数出表_Excel（アレルギー入力）'!$A:$A,0)-1&amp;":"&amp;CD103&amp;MATCH(CD15,'数出表_Excel（アレルギー入力）'!$A:$A,0)-1&amp;"")&lt;&gt;"",0)+1),
 "")&lt;&gt;0,
IF(IFERROR(
INDEX(INDIRECT("'数出表_Excel（アレルギー入力）'!"&amp;BY101&amp;MATCH(CD15,'数出表_Excel（アレルギー入力）'!$A:$A,0)-1&amp;":"&amp;CD103&amp;MATCH(CD15,'数出表_Excel（アレルギー入力）'!$A:$A,0)-1&amp;""),
 1,
MATCH(TRUE,INDIRECT("'数出表_Excel（アレルギー入力）'!"&amp;BY101&amp;MATCH(CD15,'数出表_Excel（アレルギー入力）'!$A:$A,0)-1&amp;":"&amp;CD103&amp;MATCH(CD15,'数出表_Excel（アレルギー入力）'!$A:$A,0)-1&amp;"")&lt;&gt;"",0)+1),
 "")="",
0,
IFERROR(
INDEX(INDIRECT("'数出表_Excel（アレルギー入力）'!"&amp;BY101&amp;MATCH(CD15,'数出表_Excel（アレルギー入力）'!$A:$A,0)-1&amp;":"&amp;CD103&amp;MATCH(CD15,'数出表_Excel（アレルギー入力）'!$A:$A,0)-1&amp;""),
 1,
MATCH(TRUE,INDIRECT("'数出表_Excel（アレルギー入力）'!"&amp;BY101&amp;MATCH(CD15,'数出表_Excel（アレルギー入力）'!$A:$A,0)-1&amp;":"&amp;CD103&amp;MATCH(CD15,'数出表_Excel（アレルギー入力）'!$A:$A,0)-1&amp;"")&lt;&gt;"",0)+1),
 "")),IFERROR(
INDEX(INDIRECT("'数出表_Excel（アレルギー入力）'!"&amp;BY101&amp;MATCH(CD15,'数出表_Excel（アレルギー入力）'!$A:$A,0)-1&amp;":"&amp;CD103&amp;MATCH(CD15,'数出表_Excel（アレルギー入力）'!$A:$A,0)-1&amp;""),
 1,
MATCH(TRUE,INDIRECT("'数出表_Excel（アレルギー入力）'!"&amp;BY101&amp;MATCH(CD15,'数出表_Excel（アレルギー入力）'!$A:$A,0)-1&amp;":"&amp;CD103&amp;MATCH(CD15,'数出表_Excel（アレルギー入力）'!$A:$A,0)-1&amp;"")&lt;&gt;"",0)+1),
 "")),0)</f>
        <v>0</v>
      </c>
      <c r="CE101" s="76"/>
      <c r="CF101" s="84" t="str" cm="1">
        <f t="array" aca="1" ref="CF101" ca="1">IF(CG99&lt;&gt;"",SUBSTITUTE(ADDRESS(1,
(COLUMN(INDIRECT("数出表_Excel!"&amp;CF99&amp;1&amp;""))-2 +
MATCH(TRUE, ISNUMBER(--INDIRECT("数出表_Excel!"&amp;CF99&amp; (MATCH(INDIRECT(""&amp;CK99&amp;ROW()-86&amp;""),数出表_Excel!$A:$A,0)-1) &amp; ":U" &amp; (MATCH(INDIRECT(""&amp;CK99&amp;ROW()-86&amp;""),数出表_Excel!$A:$A,0)-1))), 0))
*2,4),"1",""),"")</f>
        <v/>
      </c>
      <c r="CG101" s="249" t="str">
        <f ca="1">IF(CG102&lt;&gt;"","園児","")</f>
        <v/>
      </c>
      <c r="CH101" s="250"/>
      <c r="CI101" s="251" t="str">
        <f ca="1">IF(CG102&lt;&gt;"","先生","")</f>
        <v/>
      </c>
      <c r="CJ101" s="250"/>
      <c r="CK101" s="97" cm="1">
        <f t="array" aca="1" ref="CK101" ca="1">IF(CG99&lt;&gt;"",
IF(IFERROR(
INDEX(INDIRECT("'数出表_Excel（アレルギー入力）'!"&amp;CF101&amp;MATCH(CK15,'数出表_Excel（アレルギー入力）'!$A:$A,0)-1&amp;":"&amp;CK103&amp;MATCH(CK15,'数出表_Excel（アレルギー入力）'!$A:$A,0)-1&amp;""),
 1,
MATCH(TRUE,INDIRECT("'数出表_Excel（アレルギー入力）'!"&amp;CF101&amp;MATCH(CK15,'数出表_Excel（アレルギー入力）'!$A:$A,0)-1&amp;":"&amp;CK103&amp;MATCH(CK15,'数出表_Excel（アレルギー入力）'!$A:$A,0)-1&amp;"")&lt;&gt;"",0)+1),
 "")&lt;&gt;0,
IF(IFERROR(
INDEX(INDIRECT("'数出表_Excel（アレルギー入力）'!"&amp;CF101&amp;MATCH(CK15,'数出表_Excel（アレルギー入力）'!$A:$A,0)-1&amp;":"&amp;CK103&amp;MATCH(CK15,'数出表_Excel（アレルギー入力）'!$A:$A,0)-1&amp;""),
 1,
MATCH(TRUE,INDIRECT("'数出表_Excel（アレルギー入力）'!"&amp;CF101&amp;MATCH(CK15,'数出表_Excel（アレルギー入力）'!$A:$A,0)-1&amp;":"&amp;CK103&amp;MATCH(CK15,'数出表_Excel（アレルギー入力）'!$A:$A,0)-1&amp;"")&lt;&gt;"",0)+1),
 "")="",
0,
IFERROR(
INDEX(INDIRECT("'数出表_Excel（アレルギー入力）'!"&amp;CF101&amp;MATCH(CK15,'数出表_Excel（アレルギー入力）'!$A:$A,0)-1&amp;":"&amp;CK103&amp;MATCH(CK15,'数出表_Excel（アレルギー入力）'!$A:$A,0)-1&amp;""),
 1,
MATCH(TRUE,INDIRECT("'数出表_Excel（アレルギー入力）'!"&amp;CF101&amp;MATCH(CK15,'数出表_Excel（アレルギー入力）'!$A:$A,0)-1&amp;":"&amp;CK103&amp;MATCH(CK15,'数出表_Excel（アレルギー入力）'!$A:$A,0)-1&amp;"")&lt;&gt;"",0)+1),
 "")),IFERROR(
INDEX(INDIRECT("'数出表_Excel（アレルギー入力）'!"&amp;CF101&amp;MATCH(CK15,'数出表_Excel（アレルギー入力）'!$A:$A,0)-1&amp;":"&amp;CK103&amp;MATCH(CK15,'数出表_Excel（アレルギー入力）'!$A:$A,0)-1&amp;""),
 1,
MATCH(TRUE,INDIRECT("'数出表_Excel（アレルギー入力）'!"&amp;CF101&amp;MATCH(CK15,'数出表_Excel（アレルギー入力）'!$A:$A,0)-1&amp;":"&amp;CK103&amp;MATCH(CK15,'数出表_Excel（アレルギー入力）'!$A:$A,0)-1&amp;"")&lt;&gt;"",0)+1),
 "")),0)</f>
        <v>0</v>
      </c>
      <c r="CN101" s="84" t="str" cm="1">
        <f t="array" aca="1" ref="CN101" ca="1">IF(CO99&lt;&gt;"",SUBSTITUTE(ADDRESS(1,
(COLUMN(INDIRECT("数出表_Excel!"&amp;CN99&amp;1&amp;""))-2 +
MATCH(TRUE, ISNUMBER(--INDIRECT("数出表_Excel!"&amp;CN99&amp; (MATCH(INDIRECT(""&amp;CS99&amp;ROW()-86&amp;""),数出表_Excel!$A:$A,0)-1) &amp; ":U" &amp; (MATCH(INDIRECT(""&amp;CS99&amp;ROW()-86&amp;""),数出表_Excel!$A:$A,0)-1))), 0))
*2,4),"1",""),"")</f>
        <v/>
      </c>
      <c r="CO101" s="249" t="str">
        <f ca="1">IF(CO102&lt;&gt;"","園児","")</f>
        <v/>
      </c>
      <c r="CP101" s="250"/>
      <c r="CQ101" s="251" t="str">
        <f ca="1">IF(CO102&lt;&gt;"","先生","")</f>
        <v/>
      </c>
      <c r="CR101" s="250"/>
      <c r="CS101" s="97" cm="1">
        <f t="array" aca="1" ref="CS101" ca="1">IF(CO99&lt;&gt;"",
IF(IFERROR(
INDEX(INDIRECT("'数出表_Excel（アレルギー入力）'!"&amp;CN101&amp;MATCH(CS15,'数出表_Excel（アレルギー入力）'!$A:$A,0)-1&amp;":"&amp;CS103&amp;MATCH(CS15,'数出表_Excel（アレルギー入力）'!$A:$A,0)-1&amp;""),
 1,
MATCH(TRUE,INDIRECT("'数出表_Excel（アレルギー入力）'!"&amp;CN101&amp;MATCH(CS15,'数出表_Excel（アレルギー入力）'!$A:$A,0)-1&amp;":"&amp;CS103&amp;MATCH(CS15,'数出表_Excel（アレルギー入力）'!$A:$A,0)-1&amp;"")&lt;&gt;"",0)+1),
 "")&lt;&gt;0,
IF(IFERROR(
INDEX(INDIRECT("'数出表_Excel（アレルギー入力）'!"&amp;CN101&amp;MATCH(CS15,'数出表_Excel（アレルギー入力）'!$A:$A,0)-1&amp;":"&amp;CS103&amp;MATCH(CS15,'数出表_Excel（アレルギー入力）'!$A:$A,0)-1&amp;""),
 1,
MATCH(TRUE,INDIRECT("'数出表_Excel（アレルギー入力）'!"&amp;CN101&amp;MATCH(CS15,'数出表_Excel（アレルギー入力）'!$A:$A,0)-1&amp;":"&amp;CS103&amp;MATCH(CS15,'数出表_Excel（アレルギー入力）'!$A:$A,0)-1&amp;"")&lt;&gt;"",0)+1),
 "")="",
0,
IFERROR(
INDEX(INDIRECT("'数出表_Excel（アレルギー入力）'!"&amp;CN101&amp;MATCH(CS15,'数出表_Excel（アレルギー入力）'!$A:$A,0)-1&amp;":"&amp;CS103&amp;MATCH(CS15,'数出表_Excel（アレルギー入力）'!$A:$A,0)-1&amp;""),
 1,
MATCH(TRUE,INDIRECT("'数出表_Excel（アレルギー入力）'!"&amp;CN101&amp;MATCH(CS15,'数出表_Excel（アレルギー入力）'!$A:$A,0)-1&amp;":"&amp;CS103&amp;MATCH(CS15,'数出表_Excel（アレルギー入力）'!$A:$A,0)-1&amp;"")&lt;&gt;"",0)+1),
 "")),IFERROR(
INDEX(INDIRECT("'数出表_Excel（アレルギー入力）'!"&amp;CN101&amp;MATCH(CS15,'数出表_Excel（アレルギー入力）'!$A:$A,0)-1&amp;":"&amp;CS103&amp;MATCH(CS15,'数出表_Excel（アレルギー入力）'!$A:$A,0)-1&amp;""),
 1,
MATCH(TRUE,INDIRECT("'数出表_Excel（アレルギー入力）'!"&amp;CN101&amp;MATCH(CS15,'数出表_Excel（アレルギー入力）'!$A:$A,0)-1&amp;":"&amp;CS103&amp;MATCH(CS15,'数出表_Excel（アレルギー入力）'!$A:$A,0)-1&amp;"")&lt;&gt;"",0)+1),
 "")),0)</f>
        <v>0</v>
      </c>
      <c r="CT101" s="76"/>
      <c r="CU101" s="84" t="str" cm="1">
        <f t="array" aca="1" ref="CU101" ca="1">IF(CV99&lt;&gt;"",SUBSTITUTE(ADDRESS(1,
(COLUMN(INDIRECT("数出表_Excel!"&amp;CU99&amp;1&amp;""))-2 +
MATCH(TRUE, ISNUMBER(--INDIRECT("数出表_Excel!"&amp;CU99&amp; (MATCH(INDIRECT(""&amp;CZ99&amp;ROW()-86&amp;""),数出表_Excel!$A:$A,0)-1) &amp; ":U" &amp; (MATCH(INDIRECT(""&amp;CZ99&amp;ROW()-86&amp;""),数出表_Excel!$A:$A,0)-1))), 0))
*2,4),"1",""),"")</f>
        <v/>
      </c>
      <c r="CV101" s="249" t="str">
        <f ca="1">IF(CV102&lt;&gt;"","園児","")</f>
        <v/>
      </c>
      <c r="CW101" s="250"/>
      <c r="CX101" s="251" t="str">
        <f ca="1">IF(CV102&lt;&gt;"","先生","")</f>
        <v/>
      </c>
      <c r="CY101" s="250"/>
      <c r="CZ101" s="97" cm="1">
        <f t="array" aca="1" ref="CZ101" ca="1">IF(CV99&lt;&gt;"",
IF(IFERROR(
INDEX(INDIRECT("'数出表_Excel（アレルギー入力）'!"&amp;CU101&amp;MATCH(CZ15,'数出表_Excel（アレルギー入力）'!$A:$A,0)-1&amp;":"&amp;CZ103&amp;MATCH(CZ15,'数出表_Excel（アレルギー入力）'!$A:$A,0)-1&amp;""),
 1,
MATCH(TRUE,INDIRECT("'数出表_Excel（アレルギー入力）'!"&amp;CU101&amp;MATCH(CZ15,'数出表_Excel（アレルギー入力）'!$A:$A,0)-1&amp;":"&amp;CZ103&amp;MATCH(CZ15,'数出表_Excel（アレルギー入力）'!$A:$A,0)-1&amp;"")&lt;&gt;"",0)+1),
 "")&lt;&gt;0,
IF(IFERROR(
INDEX(INDIRECT("'数出表_Excel（アレルギー入力）'!"&amp;CU101&amp;MATCH(CZ15,'数出表_Excel（アレルギー入力）'!$A:$A,0)-1&amp;":"&amp;CZ103&amp;MATCH(CZ15,'数出表_Excel（アレルギー入力）'!$A:$A,0)-1&amp;""),
 1,
MATCH(TRUE,INDIRECT("'数出表_Excel（アレルギー入力）'!"&amp;CU101&amp;MATCH(CZ15,'数出表_Excel（アレルギー入力）'!$A:$A,0)-1&amp;":"&amp;CZ103&amp;MATCH(CZ15,'数出表_Excel（アレルギー入力）'!$A:$A,0)-1&amp;"")&lt;&gt;"",0)+1),
 "")="",
0,
IFERROR(
INDEX(INDIRECT("'数出表_Excel（アレルギー入力）'!"&amp;CU101&amp;MATCH(CZ15,'数出表_Excel（アレルギー入力）'!$A:$A,0)-1&amp;":"&amp;CZ103&amp;MATCH(CZ15,'数出表_Excel（アレルギー入力）'!$A:$A,0)-1&amp;""),
 1,
MATCH(TRUE,INDIRECT("'数出表_Excel（アレルギー入力）'!"&amp;CU101&amp;MATCH(CZ15,'数出表_Excel（アレルギー入力）'!$A:$A,0)-1&amp;":"&amp;CZ103&amp;MATCH(CZ15,'数出表_Excel（アレルギー入力）'!$A:$A,0)-1&amp;"")&lt;&gt;"",0)+1),
 "")),IFERROR(
INDEX(INDIRECT("'数出表_Excel（アレルギー入力）'!"&amp;CU101&amp;MATCH(CZ15,'数出表_Excel（アレルギー入力）'!$A:$A,0)-1&amp;":"&amp;CZ103&amp;MATCH(CZ15,'数出表_Excel（アレルギー入力）'!$A:$A,0)-1&amp;""),
 1,
MATCH(TRUE,INDIRECT("'数出表_Excel（アレルギー入力）'!"&amp;CU101&amp;MATCH(CZ15,'数出表_Excel（アレルギー入力）'!$A:$A,0)-1&amp;":"&amp;CZ103&amp;MATCH(CZ15,'数出表_Excel（アレルギー入力）'!$A:$A,0)-1&amp;"")&lt;&gt;"",0)+1),
 "")),0)</f>
        <v>0</v>
      </c>
      <c r="DC101" s="84" t="str" cm="1">
        <f t="array" aca="1" ref="DC101" ca="1">IF(DD99&lt;&gt;"",SUBSTITUTE(ADDRESS(1,
(COLUMN(INDIRECT("数出表_Excel!"&amp;DC99&amp;1&amp;""))-2 +
MATCH(TRUE, ISNUMBER(--INDIRECT("数出表_Excel!"&amp;DC99&amp; (MATCH(INDIRECT(""&amp;DH99&amp;ROW()-86&amp;""),数出表_Excel!$A:$A,0)-1) &amp; ":U" &amp; (MATCH(INDIRECT(""&amp;DH99&amp;ROW()-86&amp;""),数出表_Excel!$A:$A,0)-1))), 0))
*2,4),"1",""),"")</f>
        <v/>
      </c>
      <c r="DD101" s="249" t="str">
        <f ca="1">IF(DD102&lt;&gt;"","園児","")</f>
        <v/>
      </c>
      <c r="DE101" s="250"/>
      <c r="DF101" s="251" t="str">
        <f ca="1">IF(DD102&lt;&gt;"","先生","")</f>
        <v/>
      </c>
      <c r="DG101" s="250"/>
      <c r="DH101" s="97" cm="1">
        <f t="array" aca="1" ref="DH101" ca="1">IF(DD99&lt;&gt;"",
IF(IFERROR(
INDEX(INDIRECT("'数出表_Excel（アレルギー入力）'!"&amp;DC101&amp;MATCH(DH15,'数出表_Excel（アレルギー入力）'!$A:$A,0)-1&amp;":"&amp;DH103&amp;MATCH(DH15,'数出表_Excel（アレルギー入力）'!$A:$A,0)-1&amp;""),
 1,
MATCH(TRUE,INDIRECT("'数出表_Excel（アレルギー入力）'!"&amp;DC101&amp;MATCH(DH15,'数出表_Excel（アレルギー入力）'!$A:$A,0)-1&amp;":"&amp;DH103&amp;MATCH(DH15,'数出表_Excel（アレルギー入力）'!$A:$A,0)-1&amp;"")&lt;&gt;"",0)+1),
 "")&lt;&gt;0,
IF(IFERROR(
INDEX(INDIRECT("'数出表_Excel（アレルギー入力）'!"&amp;DC101&amp;MATCH(DH15,'数出表_Excel（アレルギー入力）'!$A:$A,0)-1&amp;":"&amp;DH103&amp;MATCH(DH15,'数出表_Excel（アレルギー入力）'!$A:$A,0)-1&amp;""),
 1,
MATCH(TRUE,INDIRECT("'数出表_Excel（アレルギー入力）'!"&amp;DC101&amp;MATCH(DH15,'数出表_Excel（アレルギー入力）'!$A:$A,0)-1&amp;":"&amp;DH103&amp;MATCH(DH15,'数出表_Excel（アレルギー入力）'!$A:$A,0)-1&amp;"")&lt;&gt;"",0)+1),
 "")="",
0,
IFERROR(
INDEX(INDIRECT("'数出表_Excel（アレルギー入力）'!"&amp;DC101&amp;MATCH(DH15,'数出表_Excel（アレルギー入力）'!$A:$A,0)-1&amp;":"&amp;DH103&amp;MATCH(DH15,'数出表_Excel（アレルギー入力）'!$A:$A,0)-1&amp;""),
 1,
MATCH(TRUE,INDIRECT("'数出表_Excel（アレルギー入力）'!"&amp;DC101&amp;MATCH(DH15,'数出表_Excel（アレルギー入力）'!$A:$A,0)-1&amp;":"&amp;DH103&amp;MATCH(DH15,'数出表_Excel（アレルギー入力）'!$A:$A,0)-1&amp;"")&lt;&gt;"",0)+1),
 "")),IFERROR(
INDEX(INDIRECT("'数出表_Excel（アレルギー入力）'!"&amp;DC101&amp;MATCH(DH15,'数出表_Excel（アレルギー入力）'!$A:$A,0)-1&amp;":"&amp;DH103&amp;MATCH(DH15,'数出表_Excel（アレルギー入力）'!$A:$A,0)-1&amp;""),
 1,
MATCH(TRUE,INDIRECT("'数出表_Excel（アレルギー入力）'!"&amp;DC101&amp;MATCH(DH15,'数出表_Excel（アレルギー入力）'!$A:$A,0)-1&amp;":"&amp;DH103&amp;MATCH(DH15,'数出表_Excel（アレルギー入力）'!$A:$A,0)-1&amp;"")&lt;&gt;"",0)+1),
 "")),0)</f>
        <v>0</v>
      </c>
      <c r="DI101" s="76"/>
      <c r="DJ101" s="84" t="str" cm="1">
        <f t="array" aca="1" ref="DJ101" ca="1">IF(DK99&lt;&gt;"",SUBSTITUTE(ADDRESS(1,
(COLUMN(INDIRECT("数出表_Excel!"&amp;DJ99&amp;1&amp;""))-2 +
MATCH(TRUE, ISNUMBER(--INDIRECT("数出表_Excel!"&amp;DJ99&amp; (MATCH(INDIRECT(""&amp;DO99&amp;ROW()-86&amp;""),数出表_Excel!$A:$A,0)-1) &amp; ":U" &amp; (MATCH(INDIRECT(""&amp;DO99&amp;ROW()-86&amp;""),数出表_Excel!$A:$A,0)-1))), 0))
*2,4),"1",""),"")</f>
        <v/>
      </c>
      <c r="DK101" s="249" t="str">
        <f ca="1">IF(DK102&lt;&gt;"","園児","")</f>
        <v/>
      </c>
      <c r="DL101" s="250"/>
      <c r="DM101" s="251" t="str">
        <f ca="1">IF(DK102&lt;&gt;"","先生","")</f>
        <v/>
      </c>
      <c r="DN101" s="250"/>
      <c r="DO101" s="97" cm="1">
        <f t="array" aca="1" ref="DO101" ca="1">IF(DK99&lt;&gt;"",
IF(IFERROR(
INDEX(INDIRECT("'数出表_Excel（アレルギー入力）'!"&amp;DJ101&amp;MATCH(DO15,'数出表_Excel（アレルギー入力）'!$A:$A,0)-1&amp;":"&amp;DO103&amp;MATCH(DO15,'数出表_Excel（アレルギー入力）'!$A:$A,0)-1&amp;""),
 1,
MATCH(TRUE,INDIRECT("'数出表_Excel（アレルギー入力）'!"&amp;DJ101&amp;MATCH(DO15,'数出表_Excel（アレルギー入力）'!$A:$A,0)-1&amp;":"&amp;DO103&amp;MATCH(DO15,'数出表_Excel（アレルギー入力）'!$A:$A,0)-1&amp;"")&lt;&gt;"",0)+1),
 "")&lt;&gt;0,
IF(IFERROR(
INDEX(INDIRECT("'数出表_Excel（アレルギー入力）'!"&amp;DJ101&amp;MATCH(DO15,'数出表_Excel（アレルギー入力）'!$A:$A,0)-1&amp;":"&amp;DO103&amp;MATCH(DO15,'数出表_Excel（アレルギー入力）'!$A:$A,0)-1&amp;""),
 1,
MATCH(TRUE,INDIRECT("'数出表_Excel（アレルギー入力）'!"&amp;DJ101&amp;MATCH(DO15,'数出表_Excel（アレルギー入力）'!$A:$A,0)-1&amp;":"&amp;DO103&amp;MATCH(DO15,'数出表_Excel（アレルギー入力）'!$A:$A,0)-1&amp;"")&lt;&gt;"",0)+1),
 "")="",
0,
IFERROR(
INDEX(INDIRECT("'数出表_Excel（アレルギー入力）'!"&amp;DJ101&amp;MATCH(DO15,'数出表_Excel（アレルギー入力）'!$A:$A,0)-1&amp;":"&amp;DO103&amp;MATCH(DO15,'数出表_Excel（アレルギー入力）'!$A:$A,0)-1&amp;""),
 1,
MATCH(TRUE,INDIRECT("'数出表_Excel（アレルギー入力）'!"&amp;DJ101&amp;MATCH(DO15,'数出表_Excel（アレルギー入力）'!$A:$A,0)-1&amp;":"&amp;DO103&amp;MATCH(DO15,'数出表_Excel（アレルギー入力）'!$A:$A,0)-1&amp;"")&lt;&gt;"",0)+1),
 "")),IFERROR(
INDEX(INDIRECT("'数出表_Excel（アレルギー入力）'!"&amp;DJ101&amp;MATCH(DO15,'数出表_Excel（アレルギー入力）'!$A:$A,0)-1&amp;":"&amp;DO103&amp;MATCH(DO15,'数出表_Excel（アレルギー入力）'!$A:$A,0)-1&amp;""),
 1,
MATCH(TRUE,INDIRECT("'数出表_Excel（アレルギー入力）'!"&amp;DJ101&amp;MATCH(DO15,'数出表_Excel（アレルギー入力）'!$A:$A,0)-1&amp;":"&amp;DO103&amp;MATCH(DO15,'数出表_Excel（アレルギー入力）'!$A:$A,0)-1&amp;"")&lt;&gt;"",0)+1),
 "")),0)</f>
        <v>0</v>
      </c>
      <c r="DR101" s="84" t="str" cm="1">
        <f t="array" aca="1" ref="DR101" ca="1">IF(DS99&lt;&gt;"",SUBSTITUTE(ADDRESS(1,
(COLUMN(INDIRECT("数出表_Excel!"&amp;DR99&amp;1&amp;""))-2 +
MATCH(TRUE, ISNUMBER(--INDIRECT("数出表_Excel!"&amp;DR99&amp; (MATCH(INDIRECT(""&amp;DW99&amp;ROW()-86&amp;""),数出表_Excel!$A:$A,0)-1) &amp; ":U" &amp; (MATCH(INDIRECT(""&amp;DW99&amp;ROW()-86&amp;""),数出表_Excel!$A:$A,0)-1))), 0))
*2,4),"1",""),"")</f>
        <v/>
      </c>
      <c r="DS101" s="249" t="str">
        <f ca="1">IF(DS102&lt;&gt;"","園児","")</f>
        <v/>
      </c>
      <c r="DT101" s="250"/>
      <c r="DU101" s="251" t="str">
        <f ca="1">IF(DS102&lt;&gt;"","先生","")</f>
        <v/>
      </c>
      <c r="DV101" s="250"/>
      <c r="DW101" s="97" cm="1">
        <f t="array" aca="1" ref="DW101" ca="1">IF(DS99&lt;&gt;"",
IF(IFERROR(
INDEX(INDIRECT("'数出表_Excel（アレルギー入力）'!"&amp;DR101&amp;MATCH(DW15,'数出表_Excel（アレルギー入力）'!$A:$A,0)-1&amp;":"&amp;DW103&amp;MATCH(DW15,'数出表_Excel（アレルギー入力）'!$A:$A,0)-1&amp;""),
 1,
MATCH(TRUE,INDIRECT("'数出表_Excel（アレルギー入力）'!"&amp;DR101&amp;MATCH(DW15,'数出表_Excel（アレルギー入力）'!$A:$A,0)-1&amp;":"&amp;DW103&amp;MATCH(DW15,'数出表_Excel（アレルギー入力）'!$A:$A,0)-1&amp;"")&lt;&gt;"",0)+1),
 "")&lt;&gt;0,
IF(IFERROR(
INDEX(INDIRECT("'数出表_Excel（アレルギー入力）'!"&amp;DR101&amp;MATCH(DW15,'数出表_Excel（アレルギー入力）'!$A:$A,0)-1&amp;":"&amp;DW103&amp;MATCH(DW15,'数出表_Excel（アレルギー入力）'!$A:$A,0)-1&amp;""),
 1,
MATCH(TRUE,INDIRECT("'数出表_Excel（アレルギー入力）'!"&amp;DR101&amp;MATCH(DW15,'数出表_Excel（アレルギー入力）'!$A:$A,0)-1&amp;":"&amp;DW103&amp;MATCH(DW15,'数出表_Excel（アレルギー入力）'!$A:$A,0)-1&amp;"")&lt;&gt;"",0)+1),
 "")="",
0,
IFERROR(
INDEX(INDIRECT("'数出表_Excel（アレルギー入力）'!"&amp;DR101&amp;MATCH(DW15,'数出表_Excel（アレルギー入力）'!$A:$A,0)-1&amp;":"&amp;DW103&amp;MATCH(DW15,'数出表_Excel（アレルギー入力）'!$A:$A,0)-1&amp;""),
 1,
MATCH(TRUE,INDIRECT("'数出表_Excel（アレルギー入力）'!"&amp;DR101&amp;MATCH(DW15,'数出表_Excel（アレルギー入力）'!$A:$A,0)-1&amp;":"&amp;DW103&amp;MATCH(DW15,'数出表_Excel（アレルギー入力）'!$A:$A,0)-1&amp;"")&lt;&gt;"",0)+1),
 "")),IFERROR(
INDEX(INDIRECT("'数出表_Excel（アレルギー入力）'!"&amp;DR101&amp;MATCH(DW15,'数出表_Excel（アレルギー入力）'!$A:$A,0)-1&amp;":"&amp;DW103&amp;MATCH(DW15,'数出表_Excel（アレルギー入力）'!$A:$A,0)-1&amp;""),
 1,
MATCH(TRUE,INDIRECT("'数出表_Excel（アレルギー入力）'!"&amp;DR101&amp;MATCH(DW15,'数出表_Excel（アレルギー入力）'!$A:$A,0)-1&amp;":"&amp;DW103&amp;MATCH(DW15,'数出表_Excel（アレルギー入力）'!$A:$A,0)-1&amp;"")&lt;&gt;"",0)+1),
 "")),0)</f>
        <v>0</v>
      </c>
      <c r="DX101" s="76"/>
      <c r="DY101" s="84" t="str" cm="1">
        <f t="array" aca="1" ref="DY101" ca="1">IF(DZ99&lt;&gt;"",SUBSTITUTE(ADDRESS(1,
(COLUMN(INDIRECT("数出表_Excel!"&amp;DY99&amp;1&amp;""))-2 +
MATCH(TRUE, ISNUMBER(--INDIRECT("数出表_Excel!"&amp;DY99&amp; (MATCH(INDIRECT(""&amp;ED99&amp;ROW()-86&amp;""),数出表_Excel!$A:$A,0)-1) &amp; ":U" &amp; (MATCH(INDIRECT(""&amp;ED99&amp;ROW()-86&amp;""),数出表_Excel!$A:$A,0)-1))), 0))
*2,4),"1",""),"")</f>
        <v/>
      </c>
      <c r="DZ101" s="249" t="str">
        <f ca="1">IF(DZ102&lt;&gt;"","園児","")</f>
        <v/>
      </c>
      <c r="EA101" s="250"/>
      <c r="EB101" s="251" t="str">
        <f ca="1">IF(DZ102&lt;&gt;"","先生","")</f>
        <v/>
      </c>
      <c r="EC101" s="250"/>
      <c r="ED101" s="97" cm="1">
        <f t="array" aca="1" ref="ED101" ca="1">IF(DZ99&lt;&gt;"",
IF(IFERROR(
INDEX(INDIRECT("'数出表_Excel（アレルギー入力）'!"&amp;DY101&amp;MATCH(ED15,'数出表_Excel（アレルギー入力）'!$A:$A,0)-1&amp;":"&amp;ED103&amp;MATCH(ED15,'数出表_Excel（アレルギー入力）'!$A:$A,0)-1&amp;""),
 1,
MATCH(TRUE,INDIRECT("'数出表_Excel（アレルギー入力）'!"&amp;DY101&amp;MATCH(ED15,'数出表_Excel（アレルギー入力）'!$A:$A,0)-1&amp;":"&amp;ED103&amp;MATCH(ED15,'数出表_Excel（アレルギー入力）'!$A:$A,0)-1&amp;"")&lt;&gt;"",0)+1),
 "")&lt;&gt;0,
IF(IFERROR(
INDEX(INDIRECT("'数出表_Excel（アレルギー入力）'!"&amp;DY101&amp;MATCH(ED15,'数出表_Excel（アレルギー入力）'!$A:$A,0)-1&amp;":"&amp;ED103&amp;MATCH(ED15,'数出表_Excel（アレルギー入力）'!$A:$A,0)-1&amp;""),
 1,
MATCH(TRUE,INDIRECT("'数出表_Excel（アレルギー入力）'!"&amp;DY101&amp;MATCH(ED15,'数出表_Excel（アレルギー入力）'!$A:$A,0)-1&amp;":"&amp;ED103&amp;MATCH(ED15,'数出表_Excel（アレルギー入力）'!$A:$A,0)-1&amp;"")&lt;&gt;"",0)+1),
 "")="",
0,
IFERROR(
INDEX(INDIRECT("'数出表_Excel（アレルギー入力）'!"&amp;DY101&amp;MATCH(ED15,'数出表_Excel（アレルギー入力）'!$A:$A,0)-1&amp;":"&amp;ED103&amp;MATCH(ED15,'数出表_Excel（アレルギー入力）'!$A:$A,0)-1&amp;""),
 1,
MATCH(TRUE,INDIRECT("'数出表_Excel（アレルギー入力）'!"&amp;DY101&amp;MATCH(ED15,'数出表_Excel（アレルギー入力）'!$A:$A,0)-1&amp;":"&amp;ED103&amp;MATCH(ED15,'数出表_Excel（アレルギー入力）'!$A:$A,0)-1&amp;"")&lt;&gt;"",0)+1),
 "")),IFERROR(
INDEX(INDIRECT("'数出表_Excel（アレルギー入力）'!"&amp;DY101&amp;MATCH(ED15,'数出表_Excel（アレルギー入力）'!$A:$A,0)-1&amp;":"&amp;ED103&amp;MATCH(ED15,'数出表_Excel（アレルギー入力）'!$A:$A,0)-1&amp;""),
 1,
MATCH(TRUE,INDIRECT("'数出表_Excel（アレルギー入力）'!"&amp;DY101&amp;MATCH(ED15,'数出表_Excel（アレルギー入力）'!$A:$A,0)-1&amp;":"&amp;ED103&amp;MATCH(ED15,'数出表_Excel（アレルギー入力）'!$A:$A,0)-1&amp;"")&lt;&gt;"",0)+1),
 "")),0)</f>
        <v>0</v>
      </c>
      <c r="EG101" s="84" t="str" cm="1">
        <f t="array" aca="1" ref="EG101" ca="1">IF(EH99&lt;&gt;"",SUBSTITUTE(ADDRESS(1,
(COLUMN(INDIRECT("数出表_Excel!"&amp;EG99&amp;1&amp;""))-2 +
MATCH(TRUE, ISNUMBER(--INDIRECT("数出表_Excel!"&amp;EG99&amp; (MATCH(INDIRECT(""&amp;EL99&amp;ROW()-86&amp;""),数出表_Excel!$A:$A,0)-1) &amp; ":U" &amp; (MATCH(INDIRECT(""&amp;EL99&amp;ROW()-86&amp;""),数出表_Excel!$A:$A,0)-1))), 0))
*2,4),"1",""),"")</f>
        <v/>
      </c>
      <c r="EH101" s="249" t="str">
        <f ca="1">IF(EH102&lt;&gt;"","園児","")</f>
        <v/>
      </c>
      <c r="EI101" s="250"/>
      <c r="EJ101" s="251" t="str">
        <f ca="1">IF(EH102&lt;&gt;"","先生","")</f>
        <v/>
      </c>
      <c r="EK101" s="250"/>
      <c r="EL101" s="97" cm="1">
        <f t="array" aca="1" ref="EL101" ca="1">IF(EH99&lt;&gt;"",
IF(IFERROR(
INDEX(INDIRECT("'数出表_Excel（アレルギー入力）'!"&amp;EG101&amp;MATCH(EL15,'数出表_Excel（アレルギー入力）'!$A:$A,0)-1&amp;":"&amp;EL103&amp;MATCH(EL15,'数出表_Excel（アレルギー入力）'!$A:$A,0)-1&amp;""),
 1,
MATCH(TRUE,INDIRECT("'数出表_Excel（アレルギー入力）'!"&amp;EG101&amp;MATCH(EL15,'数出表_Excel（アレルギー入力）'!$A:$A,0)-1&amp;":"&amp;EL103&amp;MATCH(EL15,'数出表_Excel（アレルギー入力）'!$A:$A,0)-1&amp;"")&lt;&gt;"",0)+1),
 "")&lt;&gt;0,
IF(IFERROR(
INDEX(INDIRECT("'数出表_Excel（アレルギー入力）'!"&amp;EG101&amp;MATCH(EL15,'数出表_Excel（アレルギー入力）'!$A:$A,0)-1&amp;":"&amp;EL103&amp;MATCH(EL15,'数出表_Excel（アレルギー入力）'!$A:$A,0)-1&amp;""),
 1,
MATCH(TRUE,INDIRECT("'数出表_Excel（アレルギー入力）'!"&amp;EG101&amp;MATCH(EL15,'数出表_Excel（アレルギー入力）'!$A:$A,0)-1&amp;":"&amp;EL103&amp;MATCH(EL15,'数出表_Excel（アレルギー入力）'!$A:$A,0)-1&amp;"")&lt;&gt;"",0)+1),
 "")="",
0,
IFERROR(
INDEX(INDIRECT("'数出表_Excel（アレルギー入力）'!"&amp;EG101&amp;MATCH(EL15,'数出表_Excel（アレルギー入力）'!$A:$A,0)-1&amp;":"&amp;EL103&amp;MATCH(EL15,'数出表_Excel（アレルギー入力）'!$A:$A,0)-1&amp;""),
 1,
MATCH(TRUE,INDIRECT("'数出表_Excel（アレルギー入力）'!"&amp;EG101&amp;MATCH(EL15,'数出表_Excel（アレルギー入力）'!$A:$A,0)-1&amp;":"&amp;EL103&amp;MATCH(EL15,'数出表_Excel（アレルギー入力）'!$A:$A,0)-1&amp;"")&lt;&gt;"",0)+1),
 "")),IFERROR(
INDEX(INDIRECT("'数出表_Excel（アレルギー入力）'!"&amp;EG101&amp;MATCH(EL15,'数出表_Excel（アレルギー入力）'!$A:$A,0)-1&amp;":"&amp;EL103&amp;MATCH(EL15,'数出表_Excel（アレルギー入力）'!$A:$A,0)-1&amp;""),
 1,
MATCH(TRUE,INDIRECT("'数出表_Excel（アレルギー入力）'!"&amp;EG101&amp;MATCH(EL15,'数出表_Excel（アレルギー入力）'!$A:$A,0)-1&amp;":"&amp;EL103&amp;MATCH(EL15,'数出表_Excel（アレルギー入力）'!$A:$A,0)-1&amp;"")&lt;&gt;"",0)+1),
 "")),0)</f>
        <v>0</v>
      </c>
      <c r="EM101" s="76"/>
      <c r="EN101" s="84" t="str" cm="1">
        <f t="array" aca="1" ref="EN101" ca="1">IF(EO99&lt;&gt;"",SUBSTITUTE(ADDRESS(1,
(COLUMN(INDIRECT("数出表_Excel!"&amp;EN99&amp;1&amp;""))-2 +
MATCH(TRUE, ISNUMBER(--INDIRECT("数出表_Excel!"&amp;EN99&amp; (MATCH(INDIRECT(""&amp;ES99&amp;ROW()-86&amp;""),数出表_Excel!$A:$A,0)-1) &amp; ":U" &amp; (MATCH(INDIRECT(""&amp;ES99&amp;ROW()-86&amp;""),数出表_Excel!$A:$A,0)-1))), 0))
*2,4),"1",""),"")</f>
        <v/>
      </c>
      <c r="EO101" s="249" t="str">
        <f ca="1">IF(EO102&lt;&gt;"","園児","")</f>
        <v/>
      </c>
      <c r="EP101" s="250"/>
      <c r="EQ101" s="251" t="str">
        <f ca="1">IF(EO102&lt;&gt;"","先生","")</f>
        <v/>
      </c>
      <c r="ER101" s="250"/>
      <c r="ES101" s="97" cm="1">
        <f t="array" aca="1" ref="ES101" ca="1">IF(EO99&lt;&gt;"",
IF(IFERROR(
INDEX(INDIRECT("'数出表_Excel（アレルギー入力）'!"&amp;EN101&amp;MATCH(ES15,'数出表_Excel（アレルギー入力）'!$A:$A,0)-1&amp;":"&amp;ES103&amp;MATCH(ES15,'数出表_Excel（アレルギー入力）'!$A:$A,0)-1&amp;""),
 1,
MATCH(TRUE,INDIRECT("'数出表_Excel（アレルギー入力）'!"&amp;EN101&amp;MATCH(ES15,'数出表_Excel（アレルギー入力）'!$A:$A,0)-1&amp;":"&amp;ES103&amp;MATCH(ES15,'数出表_Excel（アレルギー入力）'!$A:$A,0)-1&amp;"")&lt;&gt;"",0)+1),
 "")&lt;&gt;0,
IF(IFERROR(
INDEX(INDIRECT("'数出表_Excel（アレルギー入力）'!"&amp;EN101&amp;MATCH(ES15,'数出表_Excel（アレルギー入力）'!$A:$A,0)-1&amp;":"&amp;ES103&amp;MATCH(ES15,'数出表_Excel（アレルギー入力）'!$A:$A,0)-1&amp;""),
 1,
MATCH(TRUE,INDIRECT("'数出表_Excel（アレルギー入力）'!"&amp;EN101&amp;MATCH(ES15,'数出表_Excel（アレルギー入力）'!$A:$A,0)-1&amp;":"&amp;ES103&amp;MATCH(ES15,'数出表_Excel（アレルギー入力）'!$A:$A,0)-1&amp;"")&lt;&gt;"",0)+1),
 "")="",
0,
IFERROR(
INDEX(INDIRECT("'数出表_Excel（アレルギー入力）'!"&amp;EN101&amp;MATCH(ES15,'数出表_Excel（アレルギー入力）'!$A:$A,0)-1&amp;":"&amp;ES103&amp;MATCH(ES15,'数出表_Excel（アレルギー入力）'!$A:$A,0)-1&amp;""),
 1,
MATCH(TRUE,INDIRECT("'数出表_Excel（アレルギー入力）'!"&amp;EN101&amp;MATCH(ES15,'数出表_Excel（アレルギー入力）'!$A:$A,0)-1&amp;":"&amp;ES103&amp;MATCH(ES15,'数出表_Excel（アレルギー入力）'!$A:$A,0)-1&amp;"")&lt;&gt;"",0)+1),
 "")),IFERROR(
INDEX(INDIRECT("'数出表_Excel（アレルギー入力）'!"&amp;EN101&amp;MATCH(ES15,'数出表_Excel（アレルギー入力）'!$A:$A,0)-1&amp;":"&amp;ES103&amp;MATCH(ES15,'数出表_Excel（アレルギー入力）'!$A:$A,0)-1&amp;""),
 1,
MATCH(TRUE,INDIRECT("'数出表_Excel（アレルギー入力）'!"&amp;EN101&amp;MATCH(ES15,'数出表_Excel（アレルギー入力）'!$A:$A,0)-1&amp;":"&amp;ES103&amp;MATCH(ES15,'数出表_Excel（アレルギー入力）'!$A:$A,0)-1&amp;"")&lt;&gt;"",0)+1),
 "")),0)</f>
        <v>0</v>
      </c>
      <c r="EU101" s="78">
        <f t="shared" si="8"/>
        <v>70</v>
      </c>
      <c r="EV101" s="78" t="str">
        <f t="array" aca="1" ref="EV101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LEN(SUBSTITUTE(_xlfn.FORMULATEXT(EV$76),"=","")))+$EU101)</f>
        <v/>
      </c>
      <c r="EW101" s="78" t="str">
        <f t="array" aca="1" ref="EW101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LEN(SUBSTITUTE(_xlfn.FORMULATEXT(EW$76),"=","")))+$EU101)</f>
        <v/>
      </c>
      <c r="EX101" s="78" t="str">
        <f t="array" aca="1" ref="EX101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LEN(SUBSTITUTE(_xlfn.FORMULATEXT(EX$76),"=","")))+$EU101)</f>
        <v/>
      </c>
      <c r="EY101" s="78" t="str">
        <f t="array" aca="1" ref="EY101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LEN(SUBSTITUTE(_xlfn.FORMULATEXT(EY$76),"=","")))+$EU101)</f>
        <v/>
      </c>
      <c r="EZ101" s="78" t="str">
        <f t="array" aca="1" ref="EZ101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LEN(SUBSTITUTE(_xlfn.FORMULATEXT(EZ$76),"=","")))+$EU101)</f>
        <v/>
      </c>
      <c r="FA101" s="78" t="str">
        <f t="array" aca="1" ref="FA101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LEN(SUBSTITUTE(_xlfn.FORMULATEXT(FA$76),"=","")))+$EU101)</f>
        <v/>
      </c>
      <c r="FB101" s="78" t="str">
        <f t="array" aca="1" ref="FB101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LEN(SUBSTITUTE(_xlfn.FORMULATEXT(FB$76),"=","")))+$EU101)</f>
        <v/>
      </c>
      <c r="FC101" s="78" t="str">
        <f t="array" aca="1" ref="FC101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LEN(SUBSTITUTE(_xlfn.FORMULATEXT(FC$76),"=","")))+$EU101)</f>
        <v/>
      </c>
      <c r="FD101" s="78" t="str">
        <f t="array" aca="1" ref="FD101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LEN(SUBSTITUTE(_xlfn.FORMULATEXT(FD$76),"=","")))+$EU101)</f>
        <v/>
      </c>
      <c r="FE101" s="78" t="str">
        <f t="array" aca="1" ref="FE101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LEN(SUBSTITUTE(_xlfn.FORMULATEXT(FE$76),"=","")))+$EU101)</f>
        <v/>
      </c>
      <c r="FF101" s="78" t="str">
        <f t="array" aca="1" ref="FF101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LEN(SUBSTITUTE(_xlfn.FORMULATEXT(FF$76),"=","")))+$EU101)</f>
        <v/>
      </c>
      <c r="FG101" s="78">
        <f t="shared" ca="1" si="7"/>
        <v>0</v>
      </c>
      <c r="FH101" s="78" t="b">
        <f t="array" aca="1" ref="FH101" ca="1">SUMPRODUCT((LEN(EV101:FF101)&gt;0)*1)&gt;0</f>
        <v>0</v>
      </c>
      <c r="FI101" s="78" t="str">
        <f t="array" aca="1" ref="FI101" ca="1">IFERROR(SMALL(IF(FG$1:FG$228&lt;&gt;0,FG$1:FG$228),ROW(A101)),"")</f>
        <v/>
      </c>
      <c r="FJ101" s="78" t="str">
        <f t="array" aca="1" ref="FJ101" ca="1">IF($FI101&lt;&gt;"",
INDIRECT(""&amp;IF(COLUMN(EV151)&lt;=26,CHAR(COLUMN(EV151)+64),CHAR(INT((COLUMN(EV151)-1)/26)+64)&amp;CHAR(MOD(COLUMN(EV151)-1,26)+65))&amp;$FI101&amp;""),"")</f>
        <v/>
      </c>
      <c r="FK101" s="78" t="str">
        <f t="array" aca="1" ref="FK101" ca="1">IF($FI101&lt;&gt;"",
INDIRECT(""&amp;IF(COLUMN(EW151)&lt;=26,CHAR(COLUMN(EW151)+64),CHAR(INT((COLUMN(EW151)-1)/26)+64)&amp;CHAR(MOD(COLUMN(EW151)-1,26)+65))&amp;$FI101&amp;""),"")</f>
        <v/>
      </c>
      <c r="FL101" s="78" t="str">
        <f t="array" aca="1" ref="FL101" ca="1">IF($FI101&lt;&gt;"",
INDIRECT(""&amp;IF(COLUMN(EX151)&lt;=26,CHAR(COLUMN(EX151)+64),CHAR(INT((COLUMN(EX151)-1)/26)+64)&amp;CHAR(MOD(COLUMN(EX151)-1,26)+65))&amp;$FI101&amp;""),"")</f>
        <v/>
      </c>
      <c r="FM101" s="78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78" t="str">
        <f t="array" aca="1" ref="FN101" ca="1">IF($FI101&lt;&gt;"",
INDIRECT(""&amp;IF(COLUMN(FA151)&lt;=26,CHAR(COLUMN(FA151)+64),CHAR(INT((COLUMN(FA151)-1)/26)+64)&amp;CHAR(MOD(COLUMN(FA151)-1,26)+65))&amp;$FI101&amp;""),"")</f>
        <v/>
      </c>
      <c r="FO101" s="78" t="str">
        <f t="array" aca="1" ref="FO101" ca="1">IF($FI101&lt;&gt;"",
INDIRECT(""&amp;IF(COLUMN(FB151)&lt;=26,CHAR(COLUMN(FB151)+64),CHAR(INT((COLUMN(FB151)-1)/26)+64)&amp;CHAR(MOD(COLUMN(FB151)-1,26)+65))&amp;$FI101&amp;""),"")</f>
        <v/>
      </c>
      <c r="FP101" s="78" t="str">
        <f t="array" aca="1" ref="FP101" ca="1">IF($FI101&lt;&gt;"",
INDIRECT(""&amp;IF(COLUMN(FC151)&lt;=26,CHAR(COLUMN(FC151)+64),CHAR(INT((COLUMN(FC151)-1)/26)+64)&amp;CHAR(MOD(COLUMN(FC151)-1,26)+65))&amp;$FI101&amp;""),"")</f>
        <v/>
      </c>
      <c r="FQ101" s="78" t="str">
        <f t="array" aca="1" ref="FQ101" ca="1">IF($FI101&lt;&gt;"",
INDIRECT(""&amp;IF(COLUMN(FD151)&lt;=26,CHAR(COLUMN(FD151)+64),CHAR(INT((COLUMN(FD151)-1)/26)+64)&amp;CHAR(MOD(COLUMN(FD151)-1,26)+65))&amp;$FI101&amp;""),"")</f>
        <v/>
      </c>
      <c r="FR101" s="78" t="str">
        <f t="array" aca="1" ref="FR101" ca="1">IF($FI101&lt;&gt;"",
INDIRECT(""&amp;IF(COLUMN(FE151)&lt;=26,CHAR(COLUMN(FE151)+64),CHAR(INT((COLUMN(FE151)-1)/26)+64)&amp;CHAR(MOD(COLUMN(FE151)-1,26)+65))&amp;$FI101&amp;""),"")</f>
        <v/>
      </c>
      <c r="FS101" s="78" t="str">
        <f t="array" aca="1" ref="FS101" ca="1">IF($FI101&lt;&gt;"",
INDIRECT(""&amp;IF(COLUMN(FF151)&lt;=26,CHAR(COLUMN(FF151)+64),CHAR(INT((COLUMN(FF151)-1)/26)+64)&amp;CHAR(MOD(COLUMN(FF151)-1,26)+65))&amp;$FI101&amp;""),"")</f>
        <v/>
      </c>
    </row>
    <row r="102" spans="2:175" ht="22.2" customHeight="1" x14ac:dyDescent="0.45">
      <c r="B102" s="86"/>
      <c r="C102" s="252" t="str" cm="1">
        <f t="array" aca="1" ref="C102" ca="1">IF(C100&lt;&gt;"",
IF(IFERROR(
INDEX(INDIRECT("数出表_Excel!"&amp;B99&amp;MATCH(G15,数出表_Excel!$A:$A,0)-1&amp;":U"&amp;MATCH(G15,数出表_Excel!$A:$A,0)-1&amp;""),
 1,
 MATCH(TRUE, ISNUMBER(--INDIRECT("数出表_Excel!"&amp;B99&amp;MATCH(G15,数出表_Excel!$A:$A,0)-1&amp;":U"&amp;MATCH(G15,数出表_Excel!$A:$A,0)-1&amp;"")), 0)),
 "")=0,"",
IF(B17=100,
IFERROR(
INDEX(INDIRECT("数出表_Excel!"&amp;B99&amp;MATCH(G15,数出表_Excel!$A:$A,0)-1+2&amp;":U"&amp;MATCH(G15,数出表_Excel!$A:$A,0)-1+2&amp;""),
 1,
 MATCH(TRUE, ISNUMBER(--INDIRECT("数出表_Excel!"&amp;B99&amp;MATCH(G15,数出表_Excel!$A:$A,0)-1+2&amp;":U"&amp;MATCH(G15,数出表_Excel!$A:$A,0)-1+2&amp;"")), 0)),
 "")
+IFERROR(
INDEX(INDIRECT("数出表_Excel!"&amp;B99&amp;MATCH(G15,数出表_Excel!$A:$A,0)-1&amp;":U"&amp;MATCH(G15,数出表_Excel!$A:$A,0)-1&amp;""),
 1,
 MATCH(TRUE, ISNUMBER(--INDIRECT("数出表_Excel!"&amp;B99&amp;MATCH(G15,数出表_Excel!$A:$A,0)-1&amp;":U"&amp;MATCH(G15,数出表_Excel!$A:$A,0)-1&amp;"")), 0)),
 ""),
IFERROR(
INDEX(INDIRECT("数出表_Excel!"&amp;B99&amp;MATCH(G15,数出表_Excel!$A:$A,0)-1&amp;":U"&amp;MATCH(G15,数出表_Excel!$A:$A,0)-1&amp;""),
 1,
 MATCH(TRUE, ISNUMBER(--INDIRECT("数出表_Excel!"&amp;B99&amp;MATCH(G15,数出表_Excel!$A:$A,0)-1&amp;":U"&amp;MATCH(G15,数出表_Excel!$A:$A,0)-1&amp;"")), 0)),
 ""))),"")</f>
        <v/>
      </c>
      <c r="D102" s="253"/>
      <c r="E102" s="255" t="str" cm="1">
        <f t="array" aca="1" ref="E102" ca="1">IF(C58&lt;&gt;"",
IF(IFERROR(
INDEX(INDIRECT("数出表_Excel!B"&amp;MATCH(G15,数出表_Excel!$A:$A,0)&amp;":U"&amp;MATCH(G15,数出表_Excel!$A:$A,0)&amp;""),
 1,B100-1),
 "")=0,"",
IFERROR(
INDEX(INDIRECT("数出表_Excel!B"&amp;MATCH(G15,数出表_Excel!$A:$A,0)&amp;":U"&amp;MATCH(G15,数出表_Excel!$A:$A,0)&amp;""),
 1,B100-1),
 "")),"")</f>
        <v/>
      </c>
      <c r="F102" s="253"/>
      <c r="G102" s="97" t="e" cm="1">
        <f t="array" aca="1" ref="G102" ca="1">IF(INDIRECT(""&amp;SUBSTITUTE(ADDRESS(1,
COLUMN()-5,1),"1","")&amp;ROW()-85&amp;"")=100,
IF(C99&lt;&gt;"",
IF(IFERROR(
INDEX(INDIRECT("'数出表_Excel（アレルギー入力）'!"&amp;B101&amp;MATCH(G15,'数出表_Excel（アレルギー入力）'!$A:$A,0)+1&amp;":"&amp;G103&amp;MATCH(G15,'数出表_Excel（アレルギー入力）'!$A:$A,0)+1&amp;""),
 1,
MATCH(TRUE,INDIRECT("'数出表_Excel（アレルギー入力）'!"&amp;B101&amp;MATCH(G15,'数出表_Excel（アレルギー入力）'!$A:$A,0)+1&amp;":"&amp;G103&amp;MATCH(G15,'数出表_Excel（アレルギー入力）'!$A:$A,0)+1&amp;"")&lt;&gt;"",0)+1),
 "")&lt;&gt;0,
IF(IFERROR(
INDEX(INDIRECT("'数出表_Excel（アレルギー入力）'!"&amp;B101&amp;MATCH(G15,'数出表_Excel（アレルギー入力）'!$A:$A,0)+1&amp;":"&amp;G103&amp;MATCH(G15,'数出表_Excel（アレルギー入力）'!$A:$A,0)+1&amp;""),
 1,
MATCH(TRUE,INDIRECT("'数出表_Excel（アレルギー入力）'!"&amp;B101&amp;MATCH(G15,'数出表_Excel（アレルギー入力）'!$A:$A,0)+1&amp;":"&amp;G103&amp;MATCH(G15,'数出表_Excel（アレルギー入力）'!$A:$A,0)+1&amp;"")&lt;&gt;"",0)+1),
 "")="",
IFERROR(
INDEX(INDIRECT("'数出表_Excel（アレルギー入力）'!"&amp;B101&amp;MATCH(G15,'数出表_Excel（アレルギー入力）'!$A:$A,0)+1&amp;":"&amp;G103&amp;MATCH(G15,'数出表_Excel（アレルギー入力）'!$A:$A,0)+1&amp;""),
 1,
MATCH(TRUE,INDIRECT("'数出表_Excel（アレルギー入力）'!"&amp;B101&amp;MATCH(G15,'数出表_Excel（アレルギー入力）'!$A:$A,0)+1&amp;":"&amp;G103&amp;MATCH(G15,'数出表_Excel（アレルギー入力）'!$A:$A,0)+1&amp;"")&lt;&gt;"",0)+1),
 ""),
IFERROR(
INDEX(INDIRECT("'数出表_Excel（アレルギー入力）'!"&amp;B101&amp;MATCH(G15,'数出表_Excel（アレルギー入力）'!$A:$A,0)+1&amp;":"&amp;G103&amp;MATCH(G15,'数出表_Excel（アレルギー入力）'!$A:$A,0)+1&amp;""),
 1,
MATCH(TRUE,INDIRECT("'数出表_Excel（アレルギー入力）'!"&amp;B101&amp;MATCH(G15,'数出表_Excel（アレルギー入力）'!$A:$A,0)+1&amp;":"&amp;G103&amp;MATCH(G15,'数出表_Excel（アレルギー入力）'!$A:$A,0)+1&amp;"")&lt;&gt;"",0)+1),
 "")),0),""),0)</f>
        <v>#VALUE!</v>
      </c>
      <c r="I102" s="86"/>
      <c r="J102" s="252" t="str" cm="1">
        <f t="array" aca="1" ref="J102" ca="1">IF(J100&lt;&gt;"",
IF(IFERROR(
INDEX(INDIRECT("数出表_Excel!"&amp;I99&amp;MATCH(N15,数出表_Excel!$A:$A,0)-1&amp;":U"&amp;MATCH(N15,数出表_Excel!$A:$A,0)-1&amp;""),
 1,
 MATCH(TRUE, ISNUMBER(--INDIRECT("数出表_Excel!"&amp;I99&amp;MATCH(N15,数出表_Excel!$A:$A,0)-1&amp;":U"&amp;MATCH(N15,数出表_Excel!$A:$A,0)-1&amp;"")), 0)),
 "")=0,"",
IF(I17=100,
IFERROR(
INDEX(INDIRECT("数出表_Excel!"&amp;I99&amp;MATCH(N15,数出表_Excel!$A:$A,0)-1+2&amp;":U"&amp;MATCH(N15,数出表_Excel!$A:$A,0)-1+2&amp;""),
 1,
 MATCH(TRUE, ISNUMBER(--INDIRECT("数出表_Excel!"&amp;I99&amp;MATCH(N15,数出表_Excel!$A:$A,0)-1+2&amp;":U"&amp;MATCH(N15,数出表_Excel!$A:$A,0)-1+2&amp;"")), 0)),
 "")
+IFERROR(
INDEX(INDIRECT("数出表_Excel!"&amp;I99&amp;MATCH(N15,数出表_Excel!$A:$A,0)-1&amp;":U"&amp;MATCH(N15,数出表_Excel!$A:$A,0)-1&amp;""),
 1,
 MATCH(TRUE, ISNUMBER(--INDIRECT("数出表_Excel!"&amp;I99&amp;MATCH(N15,数出表_Excel!$A:$A,0)-1&amp;":U"&amp;MATCH(N15,数出表_Excel!$A:$A,0)-1&amp;"")), 0)),
 ""),
IFERROR(
INDEX(INDIRECT("数出表_Excel!"&amp;I99&amp;MATCH(N15,数出表_Excel!$A:$A,0)-1&amp;":U"&amp;MATCH(N15,数出表_Excel!$A:$A,0)-1&amp;""),
 1,
 MATCH(TRUE, ISNUMBER(--INDIRECT("数出表_Excel!"&amp;I99&amp;MATCH(N15,数出表_Excel!$A:$A,0)-1&amp;":U"&amp;MATCH(N15,数出表_Excel!$A:$A,0)-1&amp;"")), 0)),
 ""))),"")</f>
        <v/>
      </c>
      <c r="K102" s="253"/>
      <c r="L102" s="255" t="str" cm="1">
        <f t="array" aca="1" ref="L102" ca="1">IF(J58&lt;&gt;"",
IF(IFERROR(
INDEX(INDIRECT("数出表_Excel!B"&amp;MATCH(N15,数出表_Excel!$A:$A,0)&amp;":U"&amp;MATCH(N15,数出表_Excel!$A:$A,0)&amp;""),
 1,I100-1),
 "")=0,"",
IFERROR(
INDEX(INDIRECT("数出表_Excel!B"&amp;MATCH(N15,数出表_Excel!$A:$A,0)&amp;":U"&amp;MATCH(N15,数出表_Excel!$A:$A,0)&amp;""),
 1,I100-1),
 "")),"")</f>
        <v/>
      </c>
      <c r="M102" s="253"/>
      <c r="N102" s="97" t="e" cm="1">
        <f t="array" aca="1" ref="N102" ca="1">IF(INDIRECT(""&amp;SUBSTITUTE(ADDRESS(1,
COLUMN()-5,1),"1","")&amp;ROW()-85&amp;"")=100,
IF(J99&lt;&gt;"",
IF(IFERROR(
INDEX(INDIRECT("'数出表_Excel（アレルギー入力）'!"&amp;I101&amp;MATCH(N15,'数出表_Excel（アレルギー入力）'!$A:$A,0)+1&amp;":"&amp;N103&amp;MATCH(N15,'数出表_Excel（アレルギー入力）'!$A:$A,0)+1&amp;""),
 1,
MATCH(TRUE,INDIRECT("'数出表_Excel（アレルギー入力）'!"&amp;I101&amp;MATCH(N15,'数出表_Excel（アレルギー入力）'!$A:$A,0)+1&amp;":"&amp;N103&amp;MATCH(N15,'数出表_Excel（アレルギー入力）'!$A:$A,0)+1&amp;"")&lt;&gt;"",0)+1),
 "")&lt;&gt;0,
IF(IFERROR(
INDEX(INDIRECT("'数出表_Excel（アレルギー入力）'!"&amp;I101&amp;MATCH(N15,'数出表_Excel（アレルギー入力）'!$A:$A,0)+1&amp;":"&amp;N103&amp;MATCH(N15,'数出表_Excel（アレルギー入力）'!$A:$A,0)+1&amp;""),
 1,
MATCH(TRUE,INDIRECT("'数出表_Excel（アレルギー入力）'!"&amp;I101&amp;MATCH(N15,'数出表_Excel（アレルギー入力）'!$A:$A,0)+1&amp;":"&amp;N103&amp;MATCH(N15,'数出表_Excel（アレルギー入力）'!$A:$A,0)+1&amp;"")&lt;&gt;"",0)+1),
 "")="",
IFERROR(
INDEX(INDIRECT("'数出表_Excel（アレルギー入力）'!"&amp;I101&amp;MATCH(N15,'数出表_Excel（アレルギー入力）'!$A:$A,0)+1&amp;":"&amp;N103&amp;MATCH(N15,'数出表_Excel（アレルギー入力）'!$A:$A,0)+1&amp;""),
 1,
MATCH(TRUE,INDIRECT("'数出表_Excel（アレルギー入力）'!"&amp;I101&amp;MATCH(N15,'数出表_Excel（アレルギー入力）'!$A:$A,0)+1&amp;":"&amp;N103&amp;MATCH(N15,'数出表_Excel（アレルギー入力）'!$A:$A,0)+1&amp;"")&lt;&gt;"",0)+1),
 ""),
IFERROR(
INDEX(INDIRECT("'数出表_Excel（アレルギー入力）'!"&amp;I101&amp;MATCH(N15,'数出表_Excel（アレルギー入力）'!$A:$A,0)+1&amp;":"&amp;N103&amp;MATCH(N15,'数出表_Excel（アレルギー入力）'!$A:$A,0)+1&amp;""),
 1,
MATCH(TRUE,INDIRECT("'数出表_Excel（アレルギー入力）'!"&amp;I101&amp;MATCH(N15,'数出表_Excel（アレルギー入力）'!$A:$A,0)+1&amp;":"&amp;N103&amp;MATCH(N15,'数出表_Excel（アレルギー入力）'!$A:$A,0)+1&amp;"")&lt;&gt;"",0)+1),
 "")),0),""),0)</f>
        <v>#VALUE!</v>
      </c>
      <c r="Q102" s="86"/>
      <c r="R102" s="252" t="str" cm="1">
        <f t="array" aca="1" ref="R102" ca="1">IF(R100&lt;&gt;"",
IF(IFERROR(
INDEX(INDIRECT("数出表_Excel!"&amp;Q99&amp;MATCH(V15,数出表_Excel!$A:$A,0)-1&amp;":U"&amp;MATCH(V15,数出表_Excel!$A:$A,0)-1&amp;""),
 1,
 MATCH(TRUE, ISNUMBER(--INDIRECT("数出表_Excel!"&amp;Q99&amp;MATCH(V15,数出表_Excel!$A:$A,0)-1&amp;":U"&amp;MATCH(V15,数出表_Excel!$A:$A,0)-1&amp;"")), 0)),
 "")=0,"",
IF(Q17=100,
IFERROR(
INDEX(INDIRECT("数出表_Excel!"&amp;Q99&amp;MATCH(V15,数出表_Excel!$A:$A,0)-1+2&amp;":U"&amp;MATCH(V15,数出表_Excel!$A:$A,0)-1+2&amp;""),
 1,
 MATCH(TRUE, ISNUMBER(--INDIRECT("数出表_Excel!"&amp;Q99&amp;MATCH(V15,数出表_Excel!$A:$A,0)-1+2&amp;":U"&amp;MATCH(V15,数出表_Excel!$A:$A,0)-1+2&amp;"")), 0)),
 "")
+IFERROR(
INDEX(INDIRECT("数出表_Excel!"&amp;Q99&amp;MATCH(V15,数出表_Excel!$A:$A,0)-1&amp;":U"&amp;MATCH(V15,数出表_Excel!$A:$A,0)-1&amp;""),
 1,
 MATCH(TRUE, ISNUMBER(--INDIRECT("数出表_Excel!"&amp;Q99&amp;MATCH(V15,数出表_Excel!$A:$A,0)-1&amp;":U"&amp;MATCH(V15,数出表_Excel!$A:$A,0)-1&amp;"")), 0)),
 ""),
IFERROR(
INDEX(INDIRECT("数出表_Excel!"&amp;Q99&amp;MATCH(V15,数出表_Excel!$A:$A,0)-1&amp;":U"&amp;MATCH(V15,数出表_Excel!$A:$A,0)-1&amp;""),
 1,
 MATCH(TRUE, ISNUMBER(--INDIRECT("数出表_Excel!"&amp;Q99&amp;MATCH(V15,数出表_Excel!$A:$A,0)-1&amp;":U"&amp;MATCH(V15,数出表_Excel!$A:$A,0)-1&amp;"")), 0)),
 ""))),"")</f>
        <v/>
      </c>
      <c r="S102" s="253"/>
      <c r="T102" s="255" t="str" cm="1">
        <f t="array" aca="1" ref="T102" ca="1">IF(R58&lt;&gt;"",
IF(IFERROR(
INDEX(INDIRECT("数出表_Excel!B"&amp;MATCH(V15,数出表_Excel!$A:$A,0)&amp;":U"&amp;MATCH(V15,数出表_Excel!$A:$A,0)&amp;""),
 1,Q100-1),
 "")=0,"",
IFERROR(
INDEX(INDIRECT("数出表_Excel!B"&amp;MATCH(V15,数出表_Excel!$A:$A,0)&amp;":U"&amp;MATCH(V15,数出表_Excel!$A:$A,0)&amp;""),
 1,Q100-1),
 "")),"")</f>
        <v/>
      </c>
      <c r="U102" s="253"/>
      <c r="V102" s="97" t="e" cm="1">
        <f t="array" aca="1" ref="V102" ca="1">IF(INDIRECT(""&amp;SUBSTITUTE(ADDRESS(1,
COLUMN()-5,1),"1","")&amp;ROW()-85&amp;"")=100,
IF(R99&lt;&gt;"",
IF(IFERROR(
INDEX(INDIRECT("'数出表_Excel（アレルギー入力）'!"&amp;Q101&amp;MATCH(V15,'数出表_Excel（アレルギー入力）'!$A:$A,0)+1&amp;":"&amp;V103&amp;MATCH(V15,'数出表_Excel（アレルギー入力）'!$A:$A,0)+1&amp;""),
 1,
MATCH(TRUE,INDIRECT("'数出表_Excel（アレルギー入力）'!"&amp;Q101&amp;MATCH(V15,'数出表_Excel（アレルギー入力）'!$A:$A,0)+1&amp;":"&amp;V103&amp;MATCH(V15,'数出表_Excel（アレルギー入力）'!$A:$A,0)+1&amp;"")&lt;&gt;"",0)+1),
 "")&lt;&gt;0,
IF(IFERROR(
INDEX(INDIRECT("'数出表_Excel（アレルギー入力）'!"&amp;Q101&amp;MATCH(V15,'数出表_Excel（アレルギー入力）'!$A:$A,0)+1&amp;":"&amp;V103&amp;MATCH(V15,'数出表_Excel（アレルギー入力）'!$A:$A,0)+1&amp;""),
 1,
MATCH(TRUE,INDIRECT("'数出表_Excel（アレルギー入力）'!"&amp;Q101&amp;MATCH(V15,'数出表_Excel（アレルギー入力）'!$A:$A,0)+1&amp;":"&amp;V103&amp;MATCH(V15,'数出表_Excel（アレルギー入力）'!$A:$A,0)+1&amp;"")&lt;&gt;"",0)+1),
 "")="",
IFERROR(
INDEX(INDIRECT("'数出表_Excel（アレルギー入力）'!"&amp;Q101&amp;MATCH(V15,'数出表_Excel（アレルギー入力）'!$A:$A,0)+1&amp;":"&amp;V103&amp;MATCH(V15,'数出表_Excel（アレルギー入力）'!$A:$A,0)+1&amp;""),
 1,
MATCH(TRUE,INDIRECT("'数出表_Excel（アレルギー入力）'!"&amp;Q101&amp;MATCH(V15,'数出表_Excel（アレルギー入力）'!$A:$A,0)+1&amp;":"&amp;V103&amp;MATCH(V15,'数出表_Excel（アレルギー入力）'!$A:$A,0)+1&amp;"")&lt;&gt;"",0)+1),
 ""),
IFERROR(
INDEX(INDIRECT("'数出表_Excel（アレルギー入力）'!"&amp;Q101&amp;MATCH(V15,'数出表_Excel（アレルギー入力）'!$A:$A,0)+1&amp;":"&amp;V103&amp;MATCH(V15,'数出表_Excel（アレルギー入力）'!$A:$A,0)+1&amp;""),
 1,
MATCH(TRUE,INDIRECT("'数出表_Excel（アレルギー入力）'!"&amp;Q101&amp;MATCH(V15,'数出表_Excel（アレルギー入力）'!$A:$A,0)+1&amp;":"&amp;V103&amp;MATCH(V15,'数出表_Excel（アレルギー入力）'!$A:$A,0)+1&amp;"")&lt;&gt;"",0)+1),
 "")),0),""),0)</f>
        <v>#VALUE!</v>
      </c>
      <c r="X102" s="86"/>
      <c r="Y102" s="252" t="str" cm="1">
        <f t="array" aca="1" ref="Y102" ca="1">IF(Y100&lt;&gt;"",
IF(IFERROR(
INDEX(INDIRECT("数出表_Excel!"&amp;X99&amp;MATCH(AC15,数出表_Excel!$A:$A,0)-1&amp;":U"&amp;MATCH(AC15,数出表_Excel!$A:$A,0)-1&amp;""),
 1,
 MATCH(TRUE, ISNUMBER(--INDIRECT("数出表_Excel!"&amp;X99&amp;MATCH(AC15,数出表_Excel!$A:$A,0)-1&amp;":U"&amp;MATCH(AC15,数出表_Excel!$A:$A,0)-1&amp;"")), 0)),
 "")=0,"",
IF(X17=100,
IFERROR(
INDEX(INDIRECT("数出表_Excel!"&amp;X99&amp;MATCH(AC15,数出表_Excel!$A:$A,0)-1+2&amp;":U"&amp;MATCH(AC15,数出表_Excel!$A:$A,0)-1+2&amp;""),
 1,
 MATCH(TRUE, ISNUMBER(--INDIRECT("数出表_Excel!"&amp;X99&amp;MATCH(AC15,数出表_Excel!$A:$A,0)-1+2&amp;":U"&amp;MATCH(AC15,数出表_Excel!$A:$A,0)-1+2&amp;"")), 0)),
 "")
+IFERROR(
INDEX(INDIRECT("数出表_Excel!"&amp;X99&amp;MATCH(AC15,数出表_Excel!$A:$A,0)-1&amp;":U"&amp;MATCH(AC15,数出表_Excel!$A:$A,0)-1&amp;""),
 1,
 MATCH(TRUE, ISNUMBER(--INDIRECT("数出表_Excel!"&amp;X99&amp;MATCH(AC15,数出表_Excel!$A:$A,0)-1&amp;":U"&amp;MATCH(AC15,数出表_Excel!$A:$A,0)-1&amp;"")), 0)),
 ""),
IFERROR(
INDEX(INDIRECT("数出表_Excel!"&amp;X99&amp;MATCH(AC15,数出表_Excel!$A:$A,0)-1&amp;":U"&amp;MATCH(AC15,数出表_Excel!$A:$A,0)-1&amp;""),
 1,
 MATCH(TRUE, ISNUMBER(--INDIRECT("数出表_Excel!"&amp;X99&amp;MATCH(AC15,数出表_Excel!$A:$A,0)-1&amp;":U"&amp;MATCH(AC15,数出表_Excel!$A:$A,0)-1&amp;"")), 0)),
 ""))),"")</f>
        <v/>
      </c>
      <c r="Z102" s="253"/>
      <c r="AA102" s="255" t="str" cm="1">
        <f t="array" aca="1" ref="AA102" ca="1">IF(Y58&lt;&gt;"",
IF(IFERROR(
INDEX(INDIRECT("数出表_Excel!B"&amp;MATCH(AC15,数出表_Excel!$A:$A,0)&amp;":U"&amp;MATCH(AC15,数出表_Excel!$A:$A,0)&amp;""),
 1,X100-1),
 "")=0,"",
IFERROR(
INDEX(INDIRECT("数出表_Excel!B"&amp;MATCH(AC15,数出表_Excel!$A:$A,0)&amp;":U"&amp;MATCH(AC15,数出表_Excel!$A:$A,0)&amp;""),
 1,X100-1),
 "")),"")</f>
        <v/>
      </c>
      <c r="AB102" s="253"/>
      <c r="AC102" s="97" t="e" cm="1">
        <f t="array" aca="1" ref="AC102" ca="1">IF(INDIRECT(""&amp;SUBSTITUTE(ADDRESS(1,
COLUMN()-5,1),"1","")&amp;ROW()-85&amp;"")=100,
IF(Y99&lt;&gt;"",
IF(IFERROR(
INDEX(INDIRECT("'数出表_Excel（アレルギー入力）'!"&amp;X101&amp;MATCH(AC15,'数出表_Excel（アレルギー入力）'!$A:$A,0)+1&amp;":"&amp;AC103&amp;MATCH(AC15,'数出表_Excel（アレルギー入力）'!$A:$A,0)+1&amp;""),
 1,
MATCH(TRUE,INDIRECT("'数出表_Excel（アレルギー入力）'!"&amp;X101&amp;MATCH(AC15,'数出表_Excel（アレルギー入力）'!$A:$A,0)+1&amp;":"&amp;AC103&amp;MATCH(AC15,'数出表_Excel（アレルギー入力）'!$A:$A,0)+1&amp;"")&lt;&gt;"",0)+1),
 "")&lt;&gt;0,
IF(IFERROR(
INDEX(INDIRECT("'数出表_Excel（アレルギー入力）'!"&amp;X101&amp;MATCH(AC15,'数出表_Excel（アレルギー入力）'!$A:$A,0)+1&amp;":"&amp;AC103&amp;MATCH(AC15,'数出表_Excel（アレルギー入力）'!$A:$A,0)+1&amp;""),
 1,
MATCH(TRUE,INDIRECT("'数出表_Excel（アレルギー入力）'!"&amp;X101&amp;MATCH(AC15,'数出表_Excel（アレルギー入力）'!$A:$A,0)+1&amp;":"&amp;AC103&amp;MATCH(AC15,'数出表_Excel（アレルギー入力）'!$A:$A,0)+1&amp;"")&lt;&gt;"",0)+1),
 "")="",
IFERROR(
INDEX(INDIRECT("'数出表_Excel（アレルギー入力）'!"&amp;X101&amp;MATCH(AC15,'数出表_Excel（アレルギー入力）'!$A:$A,0)+1&amp;":"&amp;AC103&amp;MATCH(AC15,'数出表_Excel（アレルギー入力）'!$A:$A,0)+1&amp;""),
 1,
MATCH(TRUE,INDIRECT("'数出表_Excel（アレルギー入力）'!"&amp;X101&amp;MATCH(AC15,'数出表_Excel（アレルギー入力）'!$A:$A,0)+1&amp;":"&amp;AC103&amp;MATCH(AC15,'数出表_Excel（アレルギー入力）'!$A:$A,0)+1&amp;"")&lt;&gt;"",0)+1),
 ""),
IFERROR(
INDEX(INDIRECT("'数出表_Excel（アレルギー入力）'!"&amp;X101&amp;MATCH(AC15,'数出表_Excel（アレルギー入力）'!$A:$A,0)+1&amp;":"&amp;AC103&amp;MATCH(AC15,'数出表_Excel（アレルギー入力）'!$A:$A,0)+1&amp;""),
 1,
MATCH(TRUE,INDIRECT("'数出表_Excel（アレルギー入力）'!"&amp;X101&amp;MATCH(AC15,'数出表_Excel（アレルギー入力）'!$A:$A,0)+1&amp;":"&amp;AC103&amp;MATCH(AC15,'数出表_Excel（アレルギー入力）'!$A:$A,0)+1&amp;"")&lt;&gt;"",0)+1),
 "")),0),""),0)</f>
        <v>#VALUE!</v>
      </c>
      <c r="AF102" s="86"/>
      <c r="AG102" s="252" t="str" cm="1">
        <f t="array" aca="1" ref="AG102" ca="1">IF(AG100&lt;&gt;"",
IF(IFERROR(
INDEX(INDIRECT("数出表_Excel!"&amp;AF99&amp;MATCH(AK15,数出表_Excel!$A:$A,0)-1&amp;":U"&amp;MATCH(AK15,数出表_Excel!$A:$A,0)-1&amp;""),
 1,
 MATCH(TRUE, ISNUMBER(--INDIRECT("数出表_Excel!"&amp;AF99&amp;MATCH(AK15,数出表_Excel!$A:$A,0)-1&amp;":U"&amp;MATCH(AK15,数出表_Excel!$A:$A,0)-1&amp;"")), 0)),
 "")=0,"",
IF(AF17=100,
IFERROR(
INDEX(INDIRECT("数出表_Excel!"&amp;AF99&amp;MATCH(AK15,数出表_Excel!$A:$A,0)-1+2&amp;":U"&amp;MATCH(AK15,数出表_Excel!$A:$A,0)-1+2&amp;""),
 1,
 MATCH(TRUE, ISNUMBER(--INDIRECT("数出表_Excel!"&amp;AF99&amp;MATCH(AK15,数出表_Excel!$A:$A,0)-1+2&amp;":U"&amp;MATCH(AK15,数出表_Excel!$A:$A,0)-1+2&amp;"")), 0)),
 "")
+IFERROR(
INDEX(INDIRECT("数出表_Excel!"&amp;AF99&amp;MATCH(AK15,数出表_Excel!$A:$A,0)-1&amp;":U"&amp;MATCH(AK15,数出表_Excel!$A:$A,0)-1&amp;""),
 1,
 MATCH(TRUE, ISNUMBER(--INDIRECT("数出表_Excel!"&amp;AF99&amp;MATCH(AK15,数出表_Excel!$A:$A,0)-1&amp;":U"&amp;MATCH(AK15,数出表_Excel!$A:$A,0)-1&amp;"")), 0)),
 ""),
IFERROR(
INDEX(INDIRECT("数出表_Excel!"&amp;AF99&amp;MATCH(AK15,数出表_Excel!$A:$A,0)-1&amp;":U"&amp;MATCH(AK15,数出表_Excel!$A:$A,0)-1&amp;""),
 1,
 MATCH(TRUE, ISNUMBER(--INDIRECT("数出表_Excel!"&amp;AF99&amp;MATCH(AK15,数出表_Excel!$A:$A,0)-1&amp;":U"&amp;MATCH(AK15,数出表_Excel!$A:$A,0)-1&amp;"")), 0)),
 ""))),"")</f>
        <v/>
      </c>
      <c r="AH102" s="253"/>
      <c r="AI102" s="255" t="str" cm="1">
        <f t="array" aca="1" ref="AI102" ca="1">IF(AG58&lt;&gt;"",
IF(IFERROR(
INDEX(INDIRECT("数出表_Excel!B"&amp;MATCH(AK15,数出表_Excel!$A:$A,0)&amp;":U"&amp;MATCH(AK15,数出表_Excel!$A:$A,0)&amp;""),
 1,AF100-1),
 "")=0,"",
IFERROR(
INDEX(INDIRECT("数出表_Excel!B"&amp;MATCH(AK15,数出表_Excel!$A:$A,0)&amp;":U"&amp;MATCH(AK15,数出表_Excel!$A:$A,0)&amp;""),
 1,AF100-1),
 "")),"")</f>
        <v/>
      </c>
      <c r="AJ102" s="253"/>
      <c r="AK102" s="97" t="e" cm="1">
        <f t="array" aca="1" ref="AK102" ca="1">IF(INDIRECT(""&amp;SUBSTITUTE(ADDRESS(1,
COLUMN()-5,1),"1","")&amp;ROW()-85&amp;"")=100,
IF(AG99&lt;&gt;"",
IF(IFERROR(
INDEX(INDIRECT("'数出表_Excel（アレルギー入力）'!"&amp;AF101&amp;MATCH(AK15,'数出表_Excel（アレルギー入力）'!$A:$A,0)+1&amp;":"&amp;AK103&amp;MATCH(AK15,'数出表_Excel（アレルギー入力）'!$A:$A,0)+1&amp;""),
 1,
MATCH(TRUE,INDIRECT("'数出表_Excel（アレルギー入力）'!"&amp;AF101&amp;MATCH(AK15,'数出表_Excel（アレルギー入力）'!$A:$A,0)+1&amp;":"&amp;AK103&amp;MATCH(AK15,'数出表_Excel（アレルギー入力）'!$A:$A,0)+1&amp;"")&lt;&gt;"",0)+1),
 "")&lt;&gt;0,
IF(IFERROR(
INDEX(INDIRECT("'数出表_Excel（アレルギー入力）'!"&amp;AF101&amp;MATCH(AK15,'数出表_Excel（アレルギー入力）'!$A:$A,0)+1&amp;":"&amp;AK103&amp;MATCH(AK15,'数出表_Excel（アレルギー入力）'!$A:$A,0)+1&amp;""),
 1,
MATCH(TRUE,INDIRECT("'数出表_Excel（アレルギー入力）'!"&amp;AF101&amp;MATCH(AK15,'数出表_Excel（アレルギー入力）'!$A:$A,0)+1&amp;":"&amp;AK103&amp;MATCH(AK15,'数出表_Excel（アレルギー入力）'!$A:$A,0)+1&amp;"")&lt;&gt;"",0)+1),
 "")="",
IFERROR(
INDEX(INDIRECT("'数出表_Excel（アレルギー入力）'!"&amp;AF101&amp;MATCH(AK15,'数出表_Excel（アレルギー入力）'!$A:$A,0)+1&amp;":"&amp;AK103&amp;MATCH(AK15,'数出表_Excel（アレルギー入力）'!$A:$A,0)+1&amp;""),
 1,
MATCH(TRUE,INDIRECT("'数出表_Excel（アレルギー入力）'!"&amp;AF101&amp;MATCH(AK15,'数出表_Excel（アレルギー入力）'!$A:$A,0)+1&amp;":"&amp;AK103&amp;MATCH(AK15,'数出表_Excel（アレルギー入力）'!$A:$A,0)+1&amp;"")&lt;&gt;"",0)+1),
 ""),
IFERROR(
INDEX(INDIRECT("'数出表_Excel（アレルギー入力）'!"&amp;AF101&amp;MATCH(AK15,'数出表_Excel（アレルギー入力）'!$A:$A,0)+1&amp;":"&amp;AK103&amp;MATCH(AK15,'数出表_Excel（アレルギー入力）'!$A:$A,0)+1&amp;""),
 1,
MATCH(TRUE,INDIRECT("'数出表_Excel（アレルギー入力）'!"&amp;AF101&amp;MATCH(AK15,'数出表_Excel（アレルギー入力）'!$A:$A,0)+1&amp;":"&amp;AK103&amp;MATCH(AK15,'数出表_Excel（アレルギー入力）'!$A:$A,0)+1&amp;"")&lt;&gt;"",0)+1),
 "")),0),""),0)</f>
        <v>#VALUE!</v>
      </c>
      <c r="AM102" s="86"/>
      <c r="AN102" s="252" t="str" cm="1">
        <f t="array" aca="1" ref="AN102" ca="1">IF(AN100&lt;&gt;"",
IF(IFERROR(
INDEX(INDIRECT("数出表_Excel!"&amp;AM99&amp;MATCH(AR15,数出表_Excel!$A:$A,0)-1&amp;":U"&amp;MATCH(AR15,数出表_Excel!$A:$A,0)-1&amp;""),
 1,
 MATCH(TRUE, ISNUMBER(--INDIRECT("数出表_Excel!"&amp;AM99&amp;MATCH(AR15,数出表_Excel!$A:$A,0)-1&amp;":U"&amp;MATCH(AR15,数出表_Excel!$A:$A,0)-1&amp;"")), 0)),
 "")=0,"",
IF(AM17=100,
IFERROR(
INDEX(INDIRECT("数出表_Excel!"&amp;AM99&amp;MATCH(AR15,数出表_Excel!$A:$A,0)-1+2&amp;":U"&amp;MATCH(AR15,数出表_Excel!$A:$A,0)-1+2&amp;""),
 1,
 MATCH(TRUE, ISNUMBER(--INDIRECT("数出表_Excel!"&amp;AM99&amp;MATCH(AR15,数出表_Excel!$A:$A,0)-1+2&amp;":U"&amp;MATCH(AR15,数出表_Excel!$A:$A,0)-1+2&amp;"")), 0)),
 "")
+IFERROR(
INDEX(INDIRECT("数出表_Excel!"&amp;AM99&amp;MATCH(AR15,数出表_Excel!$A:$A,0)-1&amp;":U"&amp;MATCH(AR15,数出表_Excel!$A:$A,0)-1&amp;""),
 1,
 MATCH(TRUE, ISNUMBER(--INDIRECT("数出表_Excel!"&amp;AM99&amp;MATCH(AR15,数出表_Excel!$A:$A,0)-1&amp;":U"&amp;MATCH(AR15,数出表_Excel!$A:$A,0)-1&amp;"")), 0)),
 ""),
IFERROR(
INDEX(INDIRECT("数出表_Excel!"&amp;AM99&amp;MATCH(AR15,数出表_Excel!$A:$A,0)-1&amp;":U"&amp;MATCH(AR15,数出表_Excel!$A:$A,0)-1&amp;""),
 1,
 MATCH(TRUE, ISNUMBER(--INDIRECT("数出表_Excel!"&amp;AM99&amp;MATCH(AR15,数出表_Excel!$A:$A,0)-1&amp;":U"&amp;MATCH(AR15,数出表_Excel!$A:$A,0)-1&amp;"")), 0)),
 ""))),"")</f>
        <v/>
      </c>
      <c r="AO102" s="253"/>
      <c r="AP102" s="255" t="str" cm="1">
        <f t="array" aca="1" ref="AP102" ca="1">IF(AN58&lt;&gt;"",
IF(IFERROR(
INDEX(INDIRECT("数出表_Excel!B"&amp;MATCH(AR15,数出表_Excel!$A:$A,0)&amp;":U"&amp;MATCH(AR15,数出表_Excel!$A:$A,0)&amp;""),
 1,AM100-1),
 "")=0,"",
IFERROR(
INDEX(INDIRECT("数出表_Excel!B"&amp;MATCH(AR15,数出表_Excel!$A:$A,0)&amp;":U"&amp;MATCH(AR15,数出表_Excel!$A:$A,0)&amp;""),
 1,AM100-1),
 "")),"")</f>
        <v/>
      </c>
      <c r="AQ102" s="253"/>
      <c r="AR102" s="97" t="e" cm="1">
        <f t="array" aca="1" ref="AR102" ca="1">IF(INDIRECT(""&amp;SUBSTITUTE(ADDRESS(1,
COLUMN()-5,1),"1","")&amp;ROW()-85&amp;"")=100,
IF(AN99&lt;&gt;"",
IF(IFERROR(
INDEX(INDIRECT("'数出表_Excel（アレルギー入力）'!"&amp;AM101&amp;MATCH(AR15,'数出表_Excel（アレルギー入力）'!$A:$A,0)+1&amp;":"&amp;AR103&amp;MATCH(AR15,'数出表_Excel（アレルギー入力）'!$A:$A,0)+1&amp;""),
 1,
MATCH(TRUE,INDIRECT("'数出表_Excel（アレルギー入力）'!"&amp;AM101&amp;MATCH(AR15,'数出表_Excel（アレルギー入力）'!$A:$A,0)+1&amp;":"&amp;AR103&amp;MATCH(AR15,'数出表_Excel（アレルギー入力）'!$A:$A,0)+1&amp;"")&lt;&gt;"",0)+1),
 "")&lt;&gt;0,
IF(IFERROR(
INDEX(INDIRECT("'数出表_Excel（アレルギー入力）'!"&amp;AM101&amp;MATCH(AR15,'数出表_Excel（アレルギー入力）'!$A:$A,0)+1&amp;":"&amp;AR103&amp;MATCH(AR15,'数出表_Excel（アレルギー入力）'!$A:$A,0)+1&amp;""),
 1,
MATCH(TRUE,INDIRECT("'数出表_Excel（アレルギー入力）'!"&amp;AM101&amp;MATCH(AR15,'数出表_Excel（アレルギー入力）'!$A:$A,0)+1&amp;":"&amp;AR103&amp;MATCH(AR15,'数出表_Excel（アレルギー入力）'!$A:$A,0)+1&amp;"")&lt;&gt;"",0)+1),
 "")="",
IFERROR(
INDEX(INDIRECT("'数出表_Excel（アレルギー入力）'!"&amp;AM101&amp;MATCH(AR15,'数出表_Excel（アレルギー入力）'!$A:$A,0)+1&amp;":"&amp;AR103&amp;MATCH(AR15,'数出表_Excel（アレルギー入力）'!$A:$A,0)+1&amp;""),
 1,
MATCH(TRUE,INDIRECT("'数出表_Excel（アレルギー入力）'!"&amp;AM101&amp;MATCH(AR15,'数出表_Excel（アレルギー入力）'!$A:$A,0)+1&amp;":"&amp;AR103&amp;MATCH(AR15,'数出表_Excel（アレルギー入力）'!$A:$A,0)+1&amp;"")&lt;&gt;"",0)+1),
 ""),
IFERROR(
INDEX(INDIRECT("'数出表_Excel（アレルギー入力）'!"&amp;AM101&amp;MATCH(AR15,'数出表_Excel（アレルギー入力）'!$A:$A,0)+1&amp;":"&amp;AR103&amp;MATCH(AR15,'数出表_Excel（アレルギー入力）'!$A:$A,0)+1&amp;""),
 1,
MATCH(TRUE,INDIRECT("'数出表_Excel（アレルギー入力）'!"&amp;AM101&amp;MATCH(AR15,'数出表_Excel（アレルギー入力）'!$A:$A,0)+1&amp;":"&amp;AR103&amp;MATCH(AR15,'数出表_Excel（アレルギー入力）'!$A:$A,0)+1&amp;"")&lt;&gt;"",0)+1),
 "")),0),""),0)</f>
        <v>#VALUE!</v>
      </c>
      <c r="AU102" s="86"/>
      <c r="AV102" s="252" t="str" cm="1">
        <f t="array" aca="1" ref="AV102" ca="1">IF(AV100&lt;&gt;"",
IF(IFERROR(
INDEX(INDIRECT("数出表_Excel!"&amp;AU99&amp;MATCH(AZ15,数出表_Excel!$A:$A,0)-1&amp;":U"&amp;MATCH(AZ15,数出表_Excel!$A:$A,0)-1&amp;""),
 1,
 MATCH(TRUE, ISNUMBER(--INDIRECT("数出表_Excel!"&amp;AU99&amp;MATCH(AZ15,数出表_Excel!$A:$A,0)-1&amp;":U"&amp;MATCH(AZ15,数出表_Excel!$A:$A,0)-1&amp;"")), 0)),
 "")=0,"",
IF(AU17=100,
IFERROR(
INDEX(INDIRECT("数出表_Excel!"&amp;AU99&amp;MATCH(AZ15,数出表_Excel!$A:$A,0)-1+2&amp;":U"&amp;MATCH(AZ15,数出表_Excel!$A:$A,0)-1+2&amp;""),
 1,
 MATCH(TRUE, ISNUMBER(--INDIRECT("数出表_Excel!"&amp;AU99&amp;MATCH(AZ15,数出表_Excel!$A:$A,0)-1+2&amp;":U"&amp;MATCH(AZ15,数出表_Excel!$A:$A,0)-1+2&amp;"")), 0)),
 "")
+IFERROR(
INDEX(INDIRECT("数出表_Excel!"&amp;AU99&amp;MATCH(AZ15,数出表_Excel!$A:$A,0)-1&amp;":U"&amp;MATCH(AZ15,数出表_Excel!$A:$A,0)-1&amp;""),
 1,
 MATCH(TRUE, ISNUMBER(--INDIRECT("数出表_Excel!"&amp;AU99&amp;MATCH(AZ15,数出表_Excel!$A:$A,0)-1&amp;":U"&amp;MATCH(AZ15,数出表_Excel!$A:$A,0)-1&amp;"")), 0)),
 ""),
IFERROR(
INDEX(INDIRECT("数出表_Excel!"&amp;AU99&amp;MATCH(AZ15,数出表_Excel!$A:$A,0)-1&amp;":U"&amp;MATCH(AZ15,数出表_Excel!$A:$A,0)-1&amp;""),
 1,
 MATCH(TRUE, ISNUMBER(--INDIRECT("数出表_Excel!"&amp;AU99&amp;MATCH(AZ15,数出表_Excel!$A:$A,0)-1&amp;":U"&amp;MATCH(AZ15,数出表_Excel!$A:$A,0)-1&amp;"")), 0)),
 ""))),"")</f>
        <v/>
      </c>
      <c r="AW102" s="253"/>
      <c r="AX102" s="255" t="str" cm="1">
        <f t="array" aca="1" ref="AX102" ca="1">IF(AV58&lt;&gt;"",
IF(IFERROR(
INDEX(INDIRECT("数出表_Excel!B"&amp;MATCH(AZ15,数出表_Excel!$A:$A,0)&amp;":U"&amp;MATCH(AZ15,数出表_Excel!$A:$A,0)&amp;""),
 1,AU100-1),
 "")=0,"",
IFERROR(
INDEX(INDIRECT("数出表_Excel!B"&amp;MATCH(AZ15,数出表_Excel!$A:$A,0)&amp;":U"&amp;MATCH(AZ15,数出表_Excel!$A:$A,0)&amp;""),
 1,AU100-1),
 "")),"")</f>
        <v/>
      </c>
      <c r="AY102" s="253"/>
      <c r="AZ102" s="97" t="e" cm="1">
        <f t="array" aca="1" ref="AZ102" ca="1">IF(INDIRECT(""&amp;SUBSTITUTE(ADDRESS(1,
COLUMN()-5,1),"1","")&amp;ROW()-85&amp;"")=100,
IF(AV99&lt;&gt;"",
IF(IFERROR(
INDEX(INDIRECT("'数出表_Excel（アレルギー入力）'!"&amp;AU101&amp;MATCH(AZ15,'数出表_Excel（アレルギー入力）'!$A:$A,0)+1&amp;":"&amp;AZ103&amp;MATCH(AZ15,'数出表_Excel（アレルギー入力）'!$A:$A,0)+1&amp;""),
 1,
MATCH(TRUE,INDIRECT("'数出表_Excel（アレルギー入力）'!"&amp;AU101&amp;MATCH(AZ15,'数出表_Excel（アレルギー入力）'!$A:$A,0)+1&amp;":"&amp;AZ103&amp;MATCH(AZ15,'数出表_Excel（アレルギー入力）'!$A:$A,0)+1&amp;"")&lt;&gt;"",0)+1),
 "")&lt;&gt;0,
IF(IFERROR(
INDEX(INDIRECT("'数出表_Excel（アレルギー入力）'!"&amp;AU101&amp;MATCH(AZ15,'数出表_Excel（アレルギー入力）'!$A:$A,0)+1&amp;":"&amp;AZ103&amp;MATCH(AZ15,'数出表_Excel（アレルギー入力）'!$A:$A,0)+1&amp;""),
 1,
MATCH(TRUE,INDIRECT("'数出表_Excel（アレルギー入力）'!"&amp;AU101&amp;MATCH(AZ15,'数出表_Excel（アレルギー入力）'!$A:$A,0)+1&amp;":"&amp;AZ103&amp;MATCH(AZ15,'数出表_Excel（アレルギー入力）'!$A:$A,0)+1&amp;"")&lt;&gt;"",0)+1),
 "")="",
IFERROR(
INDEX(INDIRECT("'数出表_Excel（アレルギー入力）'!"&amp;AU101&amp;MATCH(AZ15,'数出表_Excel（アレルギー入力）'!$A:$A,0)+1&amp;":"&amp;AZ103&amp;MATCH(AZ15,'数出表_Excel（アレルギー入力）'!$A:$A,0)+1&amp;""),
 1,
MATCH(TRUE,INDIRECT("'数出表_Excel（アレルギー入力）'!"&amp;AU101&amp;MATCH(AZ15,'数出表_Excel（アレルギー入力）'!$A:$A,0)+1&amp;":"&amp;AZ103&amp;MATCH(AZ15,'数出表_Excel（アレルギー入力）'!$A:$A,0)+1&amp;"")&lt;&gt;"",0)+1),
 ""),
IFERROR(
INDEX(INDIRECT("'数出表_Excel（アレルギー入力）'!"&amp;AU101&amp;MATCH(AZ15,'数出表_Excel（アレルギー入力）'!$A:$A,0)+1&amp;":"&amp;AZ103&amp;MATCH(AZ15,'数出表_Excel（アレルギー入力）'!$A:$A,0)+1&amp;""),
 1,
MATCH(TRUE,INDIRECT("'数出表_Excel（アレルギー入力）'!"&amp;AU101&amp;MATCH(AZ15,'数出表_Excel（アレルギー入力）'!$A:$A,0)+1&amp;":"&amp;AZ103&amp;MATCH(AZ15,'数出表_Excel（アレルギー入力）'!$A:$A,0)+1&amp;"")&lt;&gt;"",0)+1),
 "")),0),""),0)</f>
        <v>#VALUE!</v>
      </c>
      <c r="BB102" s="86"/>
      <c r="BC102" s="252" t="str" cm="1">
        <f t="array" aca="1" ref="BC102" ca="1">IF(BC100&lt;&gt;"",
IF(IFERROR(
INDEX(INDIRECT("数出表_Excel!"&amp;BB99&amp;MATCH(BG15,数出表_Excel!$A:$A,0)-1&amp;":U"&amp;MATCH(BG15,数出表_Excel!$A:$A,0)-1&amp;""),
 1,
 MATCH(TRUE, ISNUMBER(--INDIRECT("数出表_Excel!"&amp;BB99&amp;MATCH(BG15,数出表_Excel!$A:$A,0)-1&amp;":U"&amp;MATCH(BG15,数出表_Excel!$A:$A,0)-1&amp;"")), 0)),
 "")=0,"",
IF(BB17=100,
IFERROR(
INDEX(INDIRECT("数出表_Excel!"&amp;BB99&amp;MATCH(BG15,数出表_Excel!$A:$A,0)-1+2&amp;":U"&amp;MATCH(BG15,数出表_Excel!$A:$A,0)-1+2&amp;""),
 1,
 MATCH(TRUE, ISNUMBER(--INDIRECT("数出表_Excel!"&amp;BB99&amp;MATCH(BG15,数出表_Excel!$A:$A,0)-1+2&amp;":U"&amp;MATCH(BG15,数出表_Excel!$A:$A,0)-1+2&amp;"")), 0)),
 "")
+IFERROR(
INDEX(INDIRECT("数出表_Excel!"&amp;BB99&amp;MATCH(BG15,数出表_Excel!$A:$A,0)-1&amp;":U"&amp;MATCH(BG15,数出表_Excel!$A:$A,0)-1&amp;""),
 1,
 MATCH(TRUE, ISNUMBER(--INDIRECT("数出表_Excel!"&amp;BB99&amp;MATCH(BG15,数出表_Excel!$A:$A,0)-1&amp;":U"&amp;MATCH(BG15,数出表_Excel!$A:$A,0)-1&amp;"")), 0)),
 ""),
IFERROR(
INDEX(INDIRECT("数出表_Excel!"&amp;BB99&amp;MATCH(BG15,数出表_Excel!$A:$A,0)-1&amp;":U"&amp;MATCH(BG15,数出表_Excel!$A:$A,0)-1&amp;""),
 1,
 MATCH(TRUE, ISNUMBER(--INDIRECT("数出表_Excel!"&amp;BB99&amp;MATCH(BG15,数出表_Excel!$A:$A,0)-1&amp;":U"&amp;MATCH(BG15,数出表_Excel!$A:$A,0)-1&amp;"")), 0)),
 ""))),"")</f>
        <v/>
      </c>
      <c r="BD102" s="253"/>
      <c r="BE102" s="255" t="str" cm="1">
        <f t="array" aca="1" ref="BE102" ca="1">IF(BC58&lt;&gt;"",
IF(IFERROR(
INDEX(INDIRECT("数出表_Excel!B"&amp;MATCH(BG15,数出表_Excel!$A:$A,0)&amp;":U"&amp;MATCH(BG15,数出表_Excel!$A:$A,0)&amp;""),
 1,BB100-1),
 "")=0,"",
IFERROR(
INDEX(INDIRECT("数出表_Excel!B"&amp;MATCH(BG15,数出表_Excel!$A:$A,0)&amp;":U"&amp;MATCH(BG15,数出表_Excel!$A:$A,0)&amp;""),
 1,BB100-1),
 "")),"")</f>
        <v/>
      </c>
      <c r="BF102" s="253"/>
      <c r="BG102" s="97" t="e" cm="1">
        <f t="array" aca="1" ref="BG102" ca="1">IF(INDIRECT(""&amp;SUBSTITUTE(ADDRESS(1,
COLUMN()-5,1),"1","")&amp;ROW()-85&amp;"")=100,
IF(BC99&lt;&gt;"",
IF(IFERROR(
INDEX(INDIRECT("'数出表_Excel（アレルギー入力）'!"&amp;BB101&amp;MATCH(BG15,'数出表_Excel（アレルギー入力）'!$A:$A,0)+1&amp;":"&amp;BG103&amp;MATCH(BG15,'数出表_Excel（アレルギー入力）'!$A:$A,0)+1&amp;""),
 1,
MATCH(TRUE,INDIRECT("'数出表_Excel（アレルギー入力）'!"&amp;BB101&amp;MATCH(BG15,'数出表_Excel（アレルギー入力）'!$A:$A,0)+1&amp;":"&amp;BG103&amp;MATCH(BG15,'数出表_Excel（アレルギー入力）'!$A:$A,0)+1&amp;"")&lt;&gt;"",0)+1),
 "")&lt;&gt;0,
IF(IFERROR(
INDEX(INDIRECT("'数出表_Excel（アレルギー入力）'!"&amp;BB101&amp;MATCH(BG15,'数出表_Excel（アレルギー入力）'!$A:$A,0)+1&amp;":"&amp;BG103&amp;MATCH(BG15,'数出表_Excel（アレルギー入力）'!$A:$A,0)+1&amp;""),
 1,
MATCH(TRUE,INDIRECT("'数出表_Excel（アレルギー入力）'!"&amp;BB101&amp;MATCH(BG15,'数出表_Excel（アレルギー入力）'!$A:$A,0)+1&amp;":"&amp;BG103&amp;MATCH(BG15,'数出表_Excel（アレルギー入力）'!$A:$A,0)+1&amp;"")&lt;&gt;"",0)+1),
 "")="",
IFERROR(
INDEX(INDIRECT("'数出表_Excel（アレルギー入力）'!"&amp;BB101&amp;MATCH(BG15,'数出表_Excel（アレルギー入力）'!$A:$A,0)+1&amp;":"&amp;BG103&amp;MATCH(BG15,'数出表_Excel（アレルギー入力）'!$A:$A,0)+1&amp;""),
 1,
MATCH(TRUE,INDIRECT("'数出表_Excel（アレルギー入力）'!"&amp;BB101&amp;MATCH(BG15,'数出表_Excel（アレルギー入力）'!$A:$A,0)+1&amp;":"&amp;BG103&amp;MATCH(BG15,'数出表_Excel（アレルギー入力）'!$A:$A,0)+1&amp;"")&lt;&gt;"",0)+1),
 ""),
IFERROR(
INDEX(INDIRECT("'数出表_Excel（アレルギー入力）'!"&amp;BB101&amp;MATCH(BG15,'数出表_Excel（アレルギー入力）'!$A:$A,0)+1&amp;":"&amp;BG103&amp;MATCH(BG15,'数出表_Excel（アレルギー入力）'!$A:$A,0)+1&amp;""),
 1,
MATCH(TRUE,INDIRECT("'数出表_Excel（アレルギー入力）'!"&amp;BB101&amp;MATCH(BG15,'数出表_Excel（アレルギー入力）'!$A:$A,0)+1&amp;":"&amp;BG103&amp;MATCH(BG15,'数出表_Excel（アレルギー入力）'!$A:$A,0)+1&amp;"")&lt;&gt;"",0)+1),
 "")),0),""),0)</f>
        <v>#VALUE!</v>
      </c>
      <c r="BJ102" s="86"/>
      <c r="BK102" s="252" t="str" cm="1">
        <f t="array" aca="1" ref="BK102" ca="1">IF(BK100&lt;&gt;"",
IF(IFERROR(
INDEX(INDIRECT("数出表_Excel!"&amp;BJ99&amp;MATCH(BO15,数出表_Excel!$A:$A,0)-1&amp;":U"&amp;MATCH(BO15,数出表_Excel!$A:$A,0)-1&amp;""),
 1,
 MATCH(TRUE, ISNUMBER(--INDIRECT("数出表_Excel!"&amp;BJ99&amp;MATCH(BO15,数出表_Excel!$A:$A,0)-1&amp;":U"&amp;MATCH(BO15,数出表_Excel!$A:$A,0)-1&amp;"")), 0)),
 "")=0,"",
IF(BJ17=100,
IFERROR(
INDEX(INDIRECT("数出表_Excel!"&amp;BJ99&amp;MATCH(BO15,数出表_Excel!$A:$A,0)-1+2&amp;":U"&amp;MATCH(BO15,数出表_Excel!$A:$A,0)-1+2&amp;""),
 1,
 MATCH(TRUE, ISNUMBER(--INDIRECT("数出表_Excel!"&amp;BJ99&amp;MATCH(BO15,数出表_Excel!$A:$A,0)-1+2&amp;":U"&amp;MATCH(BO15,数出表_Excel!$A:$A,0)-1+2&amp;"")), 0)),
 "")
+IFERROR(
INDEX(INDIRECT("数出表_Excel!"&amp;BJ99&amp;MATCH(BO15,数出表_Excel!$A:$A,0)-1&amp;":U"&amp;MATCH(BO15,数出表_Excel!$A:$A,0)-1&amp;""),
 1,
 MATCH(TRUE, ISNUMBER(--INDIRECT("数出表_Excel!"&amp;BJ99&amp;MATCH(BO15,数出表_Excel!$A:$A,0)-1&amp;":U"&amp;MATCH(BO15,数出表_Excel!$A:$A,0)-1&amp;"")), 0)),
 ""),
IFERROR(
INDEX(INDIRECT("数出表_Excel!"&amp;BJ99&amp;MATCH(BO15,数出表_Excel!$A:$A,0)-1&amp;":U"&amp;MATCH(BO15,数出表_Excel!$A:$A,0)-1&amp;""),
 1,
 MATCH(TRUE, ISNUMBER(--INDIRECT("数出表_Excel!"&amp;BJ99&amp;MATCH(BO15,数出表_Excel!$A:$A,0)-1&amp;":U"&amp;MATCH(BO15,数出表_Excel!$A:$A,0)-1&amp;"")), 0)),
 ""))),"")</f>
        <v/>
      </c>
      <c r="BL102" s="253"/>
      <c r="BM102" s="255" t="str" cm="1">
        <f t="array" aca="1" ref="BM102" ca="1">IF(BK58&lt;&gt;"",
IF(IFERROR(
INDEX(INDIRECT("数出表_Excel!B"&amp;MATCH(BO15,数出表_Excel!$A:$A,0)&amp;":U"&amp;MATCH(BO15,数出表_Excel!$A:$A,0)&amp;""),
 1,BJ100-1),
 "")=0,"",
IFERROR(
INDEX(INDIRECT("数出表_Excel!B"&amp;MATCH(BO15,数出表_Excel!$A:$A,0)&amp;":U"&amp;MATCH(BO15,数出表_Excel!$A:$A,0)&amp;""),
 1,BJ100-1),
 "")),"")</f>
        <v/>
      </c>
      <c r="BN102" s="253"/>
      <c r="BO102" s="97" t="e" cm="1">
        <f t="array" aca="1" ref="BO102" ca="1">IF(INDIRECT(""&amp;SUBSTITUTE(ADDRESS(1,
COLUMN()-5,1),"1","")&amp;ROW()-85&amp;"")=100,
IF(BK99&lt;&gt;"",
IF(IFERROR(
INDEX(INDIRECT("'数出表_Excel（アレルギー入力）'!"&amp;BJ101&amp;MATCH(BO15,'数出表_Excel（アレルギー入力）'!$A:$A,0)+1&amp;":"&amp;BO103&amp;MATCH(BO15,'数出表_Excel（アレルギー入力）'!$A:$A,0)+1&amp;""),
 1,
MATCH(TRUE,INDIRECT("'数出表_Excel（アレルギー入力）'!"&amp;BJ101&amp;MATCH(BO15,'数出表_Excel（アレルギー入力）'!$A:$A,0)+1&amp;":"&amp;BO103&amp;MATCH(BO15,'数出表_Excel（アレルギー入力）'!$A:$A,0)+1&amp;"")&lt;&gt;"",0)+1),
 "")&lt;&gt;0,
IF(IFERROR(
INDEX(INDIRECT("'数出表_Excel（アレルギー入力）'!"&amp;BJ101&amp;MATCH(BO15,'数出表_Excel（アレルギー入力）'!$A:$A,0)+1&amp;":"&amp;BO103&amp;MATCH(BO15,'数出表_Excel（アレルギー入力）'!$A:$A,0)+1&amp;""),
 1,
MATCH(TRUE,INDIRECT("'数出表_Excel（アレルギー入力）'!"&amp;BJ101&amp;MATCH(BO15,'数出表_Excel（アレルギー入力）'!$A:$A,0)+1&amp;":"&amp;BO103&amp;MATCH(BO15,'数出表_Excel（アレルギー入力）'!$A:$A,0)+1&amp;"")&lt;&gt;"",0)+1),
 "")="",
IFERROR(
INDEX(INDIRECT("'数出表_Excel（アレルギー入力）'!"&amp;BJ101&amp;MATCH(BO15,'数出表_Excel（アレルギー入力）'!$A:$A,0)+1&amp;":"&amp;BO103&amp;MATCH(BO15,'数出表_Excel（アレルギー入力）'!$A:$A,0)+1&amp;""),
 1,
MATCH(TRUE,INDIRECT("'数出表_Excel（アレルギー入力）'!"&amp;BJ101&amp;MATCH(BO15,'数出表_Excel（アレルギー入力）'!$A:$A,0)+1&amp;":"&amp;BO103&amp;MATCH(BO15,'数出表_Excel（アレルギー入力）'!$A:$A,0)+1&amp;"")&lt;&gt;"",0)+1),
 ""),
IFERROR(
INDEX(INDIRECT("'数出表_Excel（アレルギー入力）'!"&amp;BJ101&amp;MATCH(BO15,'数出表_Excel（アレルギー入力）'!$A:$A,0)+1&amp;":"&amp;BO103&amp;MATCH(BO15,'数出表_Excel（アレルギー入力）'!$A:$A,0)+1&amp;""),
 1,
MATCH(TRUE,INDIRECT("'数出表_Excel（アレルギー入力）'!"&amp;BJ101&amp;MATCH(BO15,'数出表_Excel（アレルギー入力）'!$A:$A,0)+1&amp;":"&amp;BO103&amp;MATCH(BO15,'数出表_Excel（アレルギー入力）'!$A:$A,0)+1&amp;"")&lt;&gt;"",0)+1),
 "")),0),""),0)</f>
        <v>#VALUE!</v>
      </c>
      <c r="BQ102" s="86"/>
      <c r="BR102" s="252" t="str" cm="1">
        <f t="array" aca="1" ref="BR102" ca="1">IF(BR100&lt;&gt;"",
IF(IFERROR(
INDEX(INDIRECT("数出表_Excel!"&amp;BQ99&amp;MATCH(BV15,数出表_Excel!$A:$A,0)-1&amp;":U"&amp;MATCH(BV15,数出表_Excel!$A:$A,0)-1&amp;""),
 1,
 MATCH(TRUE, ISNUMBER(--INDIRECT("数出表_Excel!"&amp;BQ99&amp;MATCH(BV15,数出表_Excel!$A:$A,0)-1&amp;":U"&amp;MATCH(BV15,数出表_Excel!$A:$A,0)-1&amp;"")), 0)),
 "")=0,"",
IF(BQ17=100,
IFERROR(
INDEX(INDIRECT("数出表_Excel!"&amp;BQ99&amp;MATCH(BV15,数出表_Excel!$A:$A,0)-1+2&amp;":U"&amp;MATCH(BV15,数出表_Excel!$A:$A,0)-1+2&amp;""),
 1,
 MATCH(TRUE, ISNUMBER(--INDIRECT("数出表_Excel!"&amp;BQ99&amp;MATCH(BV15,数出表_Excel!$A:$A,0)-1+2&amp;":U"&amp;MATCH(BV15,数出表_Excel!$A:$A,0)-1+2&amp;"")), 0)),
 "")
+IFERROR(
INDEX(INDIRECT("数出表_Excel!"&amp;BQ99&amp;MATCH(BV15,数出表_Excel!$A:$A,0)-1&amp;":U"&amp;MATCH(BV15,数出表_Excel!$A:$A,0)-1&amp;""),
 1,
 MATCH(TRUE, ISNUMBER(--INDIRECT("数出表_Excel!"&amp;BQ99&amp;MATCH(BV15,数出表_Excel!$A:$A,0)-1&amp;":U"&amp;MATCH(BV15,数出表_Excel!$A:$A,0)-1&amp;"")), 0)),
 ""),
IFERROR(
INDEX(INDIRECT("数出表_Excel!"&amp;BQ99&amp;MATCH(BV15,数出表_Excel!$A:$A,0)-1&amp;":U"&amp;MATCH(BV15,数出表_Excel!$A:$A,0)-1&amp;""),
 1,
 MATCH(TRUE, ISNUMBER(--INDIRECT("数出表_Excel!"&amp;BQ99&amp;MATCH(BV15,数出表_Excel!$A:$A,0)-1&amp;":U"&amp;MATCH(BV15,数出表_Excel!$A:$A,0)-1&amp;"")), 0)),
 ""))),"")</f>
        <v/>
      </c>
      <c r="BS102" s="253"/>
      <c r="BT102" s="255" t="str" cm="1">
        <f t="array" aca="1" ref="BT102" ca="1">IF(BR58&lt;&gt;"",
IF(IFERROR(
INDEX(INDIRECT("数出表_Excel!B"&amp;MATCH(BV15,数出表_Excel!$A:$A,0)&amp;":U"&amp;MATCH(BV15,数出表_Excel!$A:$A,0)&amp;""),
 1,BQ100-1),
 "")=0,"",
IFERROR(
INDEX(INDIRECT("数出表_Excel!B"&amp;MATCH(BV15,数出表_Excel!$A:$A,0)&amp;":U"&amp;MATCH(BV15,数出表_Excel!$A:$A,0)&amp;""),
 1,BQ100-1),
 "")),"")</f>
        <v/>
      </c>
      <c r="BU102" s="253"/>
      <c r="BV102" s="97" t="e" cm="1">
        <f t="array" aca="1" ref="BV102" ca="1">IF(INDIRECT(""&amp;SUBSTITUTE(ADDRESS(1,
COLUMN()-5,1),"1","")&amp;ROW()-85&amp;"")=100,
IF(BR99&lt;&gt;"",
IF(IFERROR(
INDEX(INDIRECT("'数出表_Excel（アレルギー入力）'!"&amp;BQ101&amp;MATCH(BV15,'数出表_Excel（アレルギー入力）'!$A:$A,0)+1&amp;":"&amp;BV103&amp;MATCH(BV15,'数出表_Excel（アレルギー入力）'!$A:$A,0)+1&amp;""),
 1,
MATCH(TRUE,INDIRECT("'数出表_Excel（アレルギー入力）'!"&amp;BQ101&amp;MATCH(BV15,'数出表_Excel（アレルギー入力）'!$A:$A,0)+1&amp;":"&amp;BV103&amp;MATCH(BV15,'数出表_Excel（アレルギー入力）'!$A:$A,0)+1&amp;"")&lt;&gt;"",0)+1),
 "")&lt;&gt;0,
IF(IFERROR(
INDEX(INDIRECT("'数出表_Excel（アレルギー入力）'!"&amp;BQ101&amp;MATCH(BV15,'数出表_Excel（アレルギー入力）'!$A:$A,0)+1&amp;":"&amp;BV103&amp;MATCH(BV15,'数出表_Excel（アレルギー入力）'!$A:$A,0)+1&amp;""),
 1,
MATCH(TRUE,INDIRECT("'数出表_Excel（アレルギー入力）'!"&amp;BQ101&amp;MATCH(BV15,'数出表_Excel（アレルギー入力）'!$A:$A,0)+1&amp;":"&amp;BV103&amp;MATCH(BV15,'数出表_Excel（アレルギー入力）'!$A:$A,0)+1&amp;"")&lt;&gt;"",0)+1),
 "")="",
IFERROR(
INDEX(INDIRECT("'数出表_Excel（アレルギー入力）'!"&amp;BQ101&amp;MATCH(BV15,'数出表_Excel（アレルギー入力）'!$A:$A,0)+1&amp;":"&amp;BV103&amp;MATCH(BV15,'数出表_Excel（アレルギー入力）'!$A:$A,0)+1&amp;""),
 1,
MATCH(TRUE,INDIRECT("'数出表_Excel（アレルギー入力）'!"&amp;BQ101&amp;MATCH(BV15,'数出表_Excel（アレルギー入力）'!$A:$A,0)+1&amp;":"&amp;BV103&amp;MATCH(BV15,'数出表_Excel（アレルギー入力）'!$A:$A,0)+1&amp;"")&lt;&gt;"",0)+1),
 ""),
IFERROR(
INDEX(INDIRECT("'数出表_Excel（アレルギー入力）'!"&amp;BQ101&amp;MATCH(BV15,'数出表_Excel（アレルギー入力）'!$A:$A,0)+1&amp;":"&amp;BV103&amp;MATCH(BV15,'数出表_Excel（アレルギー入力）'!$A:$A,0)+1&amp;""),
 1,
MATCH(TRUE,INDIRECT("'数出表_Excel（アレルギー入力）'!"&amp;BQ101&amp;MATCH(BV15,'数出表_Excel（アレルギー入力）'!$A:$A,0)+1&amp;":"&amp;BV103&amp;MATCH(BV15,'数出表_Excel（アレルギー入力）'!$A:$A,0)+1&amp;"")&lt;&gt;"",0)+1),
 "")),0),""),0)</f>
        <v>#VALUE!</v>
      </c>
      <c r="BY102" s="86"/>
      <c r="BZ102" s="252" t="str" cm="1">
        <f t="array" aca="1" ref="BZ102" ca="1">IF(BZ100&lt;&gt;"",
IF(IFERROR(
INDEX(INDIRECT("数出表_Excel!"&amp;BY99&amp;MATCH(CD15,数出表_Excel!$A:$A,0)-1&amp;":U"&amp;MATCH(CD15,数出表_Excel!$A:$A,0)-1&amp;""),
 1,
 MATCH(TRUE, ISNUMBER(--INDIRECT("数出表_Excel!"&amp;BY99&amp;MATCH(CD15,数出表_Excel!$A:$A,0)-1&amp;":U"&amp;MATCH(CD15,数出表_Excel!$A:$A,0)-1&amp;"")), 0)),
 "")=0,"",
IF(BY17=100,
IFERROR(
INDEX(INDIRECT("数出表_Excel!"&amp;BY99&amp;MATCH(CD15,数出表_Excel!$A:$A,0)-1+2&amp;":U"&amp;MATCH(CD15,数出表_Excel!$A:$A,0)-1+2&amp;""),
 1,
 MATCH(TRUE, ISNUMBER(--INDIRECT("数出表_Excel!"&amp;BY99&amp;MATCH(CD15,数出表_Excel!$A:$A,0)-1+2&amp;":U"&amp;MATCH(CD15,数出表_Excel!$A:$A,0)-1+2&amp;"")), 0)),
 "")
+IFERROR(
INDEX(INDIRECT("数出表_Excel!"&amp;BY99&amp;MATCH(CD15,数出表_Excel!$A:$A,0)-1&amp;":U"&amp;MATCH(CD15,数出表_Excel!$A:$A,0)-1&amp;""),
 1,
 MATCH(TRUE, ISNUMBER(--INDIRECT("数出表_Excel!"&amp;BY99&amp;MATCH(CD15,数出表_Excel!$A:$A,0)-1&amp;":U"&amp;MATCH(CD15,数出表_Excel!$A:$A,0)-1&amp;"")), 0)),
 ""),
IFERROR(
INDEX(INDIRECT("数出表_Excel!"&amp;BY99&amp;MATCH(CD15,数出表_Excel!$A:$A,0)-1&amp;":U"&amp;MATCH(CD15,数出表_Excel!$A:$A,0)-1&amp;""),
 1,
 MATCH(TRUE, ISNUMBER(--INDIRECT("数出表_Excel!"&amp;BY99&amp;MATCH(CD15,数出表_Excel!$A:$A,0)-1&amp;":U"&amp;MATCH(CD15,数出表_Excel!$A:$A,0)-1&amp;"")), 0)),
 ""))),"")</f>
        <v/>
      </c>
      <c r="CA102" s="253"/>
      <c r="CB102" s="255" t="str" cm="1">
        <f t="array" aca="1" ref="CB102" ca="1">IF(BZ58&lt;&gt;"",
IF(IFERROR(
INDEX(INDIRECT("数出表_Excel!B"&amp;MATCH(CD15,数出表_Excel!$A:$A,0)&amp;":U"&amp;MATCH(CD15,数出表_Excel!$A:$A,0)&amp;""),
 1,BY100-1),
 "")=0,"",
IFERROR(
INDEX(INDIRECT("数出表_Excel!B"&amp;MATCH(CD15,数出表_Excel!$A:$A,0)&amp;":U"&amp;MATCH(CD15,数出表_Excel!$A:$A,0)&amp;""),
 1,BY100-1),
 "")),"")</f>
        <v/>
      </c>
      <c r="CC102" s="253"/>
      <c r="CD102" s="97" t="e" cm="1">
        <f t="array" aca="1" ref="CD102" ca="1">IF(INDIRECT(""&amp;SUBSTITUTE(ADDRESS(1,
COLUMN()-5,1),"1","")&amp;ROW()-85&amp;"")=100,
IF(BZ99&lt;&gt;"",
IF(IFERROR(
INDEX(INDIRECT("'数出表_Excel（アレルギー入力）'!"&amp;BY101&amp;MATCH(CD15,'数出表_Excel（アレルギー入力）'!$A:$A,0)+1&amp;":"&amp;CD103&amp;MATCH(CD15,'数出表_Excel（アレルギー入力）'!$A:$A,0)+1&amp;""),
 1,
MATCH(TRUE,INDIRECT("'数出表_Excel（アレルギー入力）'!"&amp;BY101&amp;MATCH(CD15,'数出表_Excel（アレルギー入力）'!$A:$A,0)+1&amp;":"&amp;CD103&amp;MATCH(CD15,'数出表_Excel（アレルギー入力）'!$A:$A,0)+1&amp;"")&lt;&gt;"",0)+1),
 "")&lt;&gt;0,
IF(IFERROR(
INDEX(INDIRECT("'数出表_Excel（アレルギー入力）'!"&amp;BY101&amp;MATCH(CD15,'数出表_Excel（アレルギー入力）'!$A:$A,0)+1&amp;":"&amp;CD103&amp;MATCH(CD15,'数出表_Excel（アレルギー入力）'!$A:$A,0)+1&amp;""),
 1,
MATCH(TRUE,INDIRECT("'数出表_Excel（アレルギー入力）'!"&amp;BY101&amp;MATCH(CD15,'数出表_Excel（アレルギー入力）'!$A:$A,0)+1&amp;":"&amp;CD103&amp;MATCH(CD15,'数出表_Excel（アレルギー入力）'!$A:$A,0)+1&amp;"")&lt;&gt;"",0)+1),
 "")="",
IFERROR(
INDEX(INDIRECT("'数出表_Excel（アレルギー入力）'!"&amp;BY101&amp;MATCH(CD15,'数出表_Excel（アレルギー入力）'!$A:$A,0)+1&amp;":"&amp;CD103&amp;MATCH(CD15,'数出表_Excel（アレルギー入力）'!$A:$A,0)+1&amp;""),
 1,
MATCH(TRUE,INDIRECT("'数出表_Excel（アレルギー入力）'!"&amp;BY101&amp;MATCH(CD15,'数出表_Excel（アレルギー入力）'!$A:$A,0)+1&amp;":"&amp;CD103&amp;MATCH(CD15,'数出表_Excel（アレルギー入力）'!$A:$A,0)+1&amp;"")&lt;&gt;"",0)+1),
 ""),
IFERROR(
INDEX(INDIRECT("'数出表_Excel（アレルギー入力）'!"&amp;BY101&amp;MATCH(CD15,'数出表_Excel（アレルギー入力）'!$A:$A,0)+1&amp;":"&amp;CD103&amp;MATCH(CD15,'数出表_Excel（アレルギー入力）'!$A:$A,0)+1&amp;""),
 1,
MATCH(TRUE,INDIRECT("'数出表_Excel（アレルギー入力）'!"&amp;BY101&amp;MATCH(CD15,'数出表_Excel（アレルギー入力）'!$A:$A,0)+1&amp;":"&amp;CD103&amp;MATCH(CD15,'数出表_Excel（アレルギー入力）'!$A:$A,0)+1&amp;"")&lt;&gt;"",0)+1),
 "")),0),""),0)</f>
        <v>#VALUE!</v>
      </c>
      <c r="CF102" s="86"/>
      <c r="CG102" s="252" t="str" cm="1">
        <f t="array" aca="1" ref="CG102" ca="1">IF(CG100&lt;&gt;"",
IF(IFERROR(
INDEX(INDIRECT("数出表_Excel!"&amp;CF99&amp;MATCH(CK15,数出表_Excel!$A:$A,0)-1&amp;":U"&amp;MATCH(CK15,数出表_Excel!$A:$A,0)-1&amp;""),
 1,
 MATCH(TRUE, ISNUMBER(--INDIRECT("数出表_Excel!"&amp;CF99&amp;MATCH(CK15,数出表_Excel!$A:$A,0)-1&amp;":U"&amp;MATCH(CK15,数出表_Excel!$A:$A,0)-1&amp;"")), 0)),
 "")=0,"",
IF(CF17=100,
IFERROR(
INDEX(INDIRECT("数出表_Excel!"&amp;CF99&amp;MATCH(CK15,数出表_Excel!$A:$A,0)-1+2&amp;":U"&amp;MATCH(CK15,数出表_Excel!$A:$A,0)-1+2&amp;""),
 1,
 MATCH(TRUE, ISNUMBER(--INDIRECT("数出表_Excel!"&amp;CF99&amp;MATCH(CK15,数出表_Excel!$A:$A,0)-1+2&amp;":U"&amp;MATCH(CK15,数出表_Excel!$A:$A,0)-1+2&amp;"")), 0)),
 "")
+IFERROR(
INDEX(INDIRECT("数出表_Excel!"&amp;CF99&amp;MATCH(CK15,数出表_Excel!$A:$A,0)-1&amp;":U"&amp;MATCH(CK15,数出表_Excel!$A:$A,0)-1&amp;""),
 1,
 MATCH(TRUE, ISNUMBER(--INDIRECT("数出表_Excel!"&amp;CF99&amp;MATCH(CK15,数出表_Excel!$A:$A,0)-1&amp;":U"&amp;MATCH(CK15,数出表_Excel!$A:$A,0)-1&amp;"")), 0)),
 ""),
IFERROR(
INDEX(INDIRECT("数出表_Excel!"&amp;CF99&amp;MATCH(CK15,数出表_Excel!$A:$A,0)-1&amp;":U"&amp;MATCH(CK15,数出表_Excel!$A:$A,0)-1&amp;""),
 1,
 MATCH(TRUE, ISNUMBER(--INDIRECT("数出表_Excel!"&amp;CF99&amp;MATCH(CK15,数出表_Excel!$A:$A,0)-1&amp;":U"&amp;MATCH(CK15,数出表_Excel!$A:$A,0)-1&amp;"")), 0)),
 ""))),"")</f>
        <v/>
      </c>
      <c r="CH102" s="253"/>
      <c r="CI102" s="255" t="str" cm="1">
        <f t="array" aca="1" ref="CI102" ca="1">IF(CG58&lt;&gt;"",
IF(IFERROR(
INDEX(INDIRECT("数出表_Excel!B"&amp;MATCH(CK15,数出表_Excel!$A:$A,0)&amp;":U"&amp;MATCH(CK15,数出表_Excel!$A:$A,0)&amp;""),
 1,CF100-1),
 "")=0,"",
IFERROR(
INDEX(INDIRECT("数出表_Excel!B"&amp;MATCH(CK15,数出表_Excel!$A:$A,0)&amp;":U"&amp;MATCH(CK15,数出表_Excel!$A:$A,0)&amp;""),
 1,CF100-1),
 "")),"")</f>
        <v/>
      </c>
      <c r="CJ102" s="253"/>
      <c r="CK102" s="97" t="e" cm="1">
        <f t="array" aca="1" ref="CK102" ca="1">IF(INDIRECT(""&amp;SUBSTITUTE(ADDRESS(1,
COLUMN()-5,1),"1","")&amp;ROW()-85&amp;"")=100,
IF(CG99&lt;&gt;"",
IF(IFERROR(
INDEX(INDIRECT("'数出表_Excel（アレルギー入力）'!"&amp;CF101&amp;MATCH(CK15,'数出表_Excel（アレルギー入力）'!$A:$A,0)+1&amp;":"&amp;CK103&amp;MATCH(CK15,'数出表_Excel（アレルギー入力）'!$A:$A,0)+1&amp;""),
 1,
MATCH(TRUE,INDIRECT("'数出表_Excel（アレルギー入力）'!"&amp;CF101&amp;MATCH(CK15,'数出表_Excel（アレルギー入力）'!$A:$A,0)+1&amp;":"&amp;CK103&amp;MATCH(CK15,'数出表_Excel（アレルギー入力）'!$A:$A,0)+1&amp;"")&lt;&gt;"",0)+1),
 "")&lt;&gt;0,
IF(IFERROR(
INDEX(INDIRECT("'数出表_Excel（アレルギー入力）'!"&amp;CF101&amp;MATCH(CK15,'数出表_Excel（アレルギー入力）'!$A:$A,0)+1&amp;":"&amp;CK103&amp;MATCH(CK15,'数出表_Excel（アレルギー入力）'!$A:$A,0)+1&amp;""),
 1,
MATCH(TRUE,INDIRECT("'数出表_Excel（アレルギー入力）'!"&amp;CF101&amp;MATCH(CK15,'数出表_Excel（アレルギー入力）'!$A:$A,0)+1&amp;":"&amp;CK103&amp;MATCH(CK15,'数出表_Excel（アレルギー入力）'!$A:$A,0)+1&amp;"")&lt;&gt;"",0)+1),
 "")="",
IFERROR(
INDEX(INDIRECT("'数出表_Excel（アレルギー入力）'!"&amp;CF101&amp;MATCH(CK15,'数出表_Excel（アレルギー入力）'!$A:$A,0)+1&amp;":"&amp;CK103&amp;MATCH(CK15,'数出表_Excel（アレルギー入力）'!$A:$A,0)+1&amp;""),
 1,
MATCH(TRUE,INDIRECT("'数出表_Excel（アレルギー入力）'!"&amp;CF101&amp;MATCH(CK15,'数出表_Excel（アレルギー入力）'!$A:$A,0)+1&amp;":"&amp;CK103&amp;MATCH(CK15,'数出表_Excel（アレルギー入力）'!$A:$A,0)+1&amp;"")&lt;&gt;"",0)+1),
 ""),
IFERROR(
INDEX(INDIRECT("'数出表_Excel（アレルギー入力）'!"&amp;CF101&amp;MATCH(CK15,'数出表_Excel（アレルギー入力）'!$A:$A,0)+1&amp;":"&amp;CK103&amp;MATCH(CK15,'数出表_Excel（アレルギー入力）'!$A:$A,0)+1&amp;""),
 1,
MATCH(TRUE,INDIRECT("'数出表_Excel（アレルギー入力）'!"&amp;CF101&amp;MATCH(CK15,'数出表_Excel（アレルギー入力）'!$A:$A,0)+1&amp;":"&amp;CK103&amp;MATCH(CK15,'数出表_Excel（アレルギー入力）'!$A:$A,0)+1&amp;"")&lt;&gt;"",0)+1),
 "")),0),""),0)</f>
        <v>#VALUE!</v>
      </c>
      <c r="CN102" s="86"/>
      <c r="CO102" s="252" t="str" cm="1">
        <f t="array" aca="1" ref="CO102" ca="1">IF(CO100&lt;&gt;"",
IF(IFERROR(
INDEX(INDIRECT("数出表_Excel!"&amp;CN99&amp;MATCH(CS15,数出表_Excel!$A:$A,0)-1&amp;":U"&amp;MATCH(CS15,数出表_Excel!$A:$A,0)-1&amp;""),
 1,
 MATCH(TRUE, ISNUMBER(--INDIRECT("数出表_Excel!"&amp;CN99&amp;MATCH(CS15,数出表_Excel!$A:$A,0)-1&amp;":U"&amp;MATCH(CS15,数出表_Excel!$A:$A,0)-1&amp;"")), 0)),
 "")=0,"",
IF(CN17=100,
IFERROR(
INDEX(INDIRECT("数出表_Excel!"&amp;CN99&amp;MATCH(CS15,数出表_Excel!$A:$A,0)-1+2&amp;":U"&amp;MATCH(CS15,数出表_Excel!$A:$A,0)-1+2&amp;""),
 1,
 MATCH(TRUE, ISNUMBER(--INDIRECT("数出表_Excel!"&amp;CN99&amp;MATCH(CS15,数出表_Excel!$A:$A,0)-1+2&amp;":U"&amp;MATCH(CS15,数出表_Excel!$A:$A,0)-1+2&amp;"")), 0)),
 "")
+IFERROR(
INDEX(INDIRECT("数出表_Excel!"&amp;CN99&amp;MATCH(CS15,数出表_Excel!$A:$A,0)-1&amp;":U"&amp;MATCH(CS15,数出表_Excel!$A:$A,0)-1&amp;""),
 1,
 MATCH(TRUE, ISNUMBER(--INDIRECT("数出表_Excel!"&amp;CN99&amp;MATCH(CS15,数出表_Excel!$A:$A,0)-1&amp;":U"&amp;MATCH(CS15,数出表_Excel!$A:$A,0)-1&amp;"")), 0)),
 ""),
IFERROR(
INDEX(INDIRECT("数出表_Excel!"&amp;CN99&amp;MATCH(CS15,数出表_Excel!$A:$A,0)-1&amp;":U"&amp;MATCH(CS15,数出表_Excel!$A:$A,0)-1&amp;""),
 1,
 MATCH(TRUE, ISNUMBER(--INDIRECT("数出表_Excel!"&amp;CN99&amp;MATCH(CS15,数出表_Excel!$A:$A,0)-1&amp;":U"&amp;MATCH(CS15,数出表_Excel!$A:$A,0)-1&amp;"")), 0)),
 ""))),"")</f>
        <v/>
      </c>
      <c r="CP102" s="253"/>
      <c r="CQ102" s="255" t="str" cm="1">
        <f t="array" aca="1" ref="CQ102" ca="1">IF(CO58&lt;&gt;"",
IF(IFERROR(
INDEX(INDIRECT("数出表_Excel!B"&amp;MATCH(CS15,数出表_Excel!$A:$A,0)&amp;":U"&amp;MATCH(CS15,数出表_Excel!$A:$A,0)&amp;""),
 1,CN100-1),
 "")=0,"",
IFERROR(
INDEX(INDIRECT("数出表_Excel!B"&amp;MATCH(CS15,数出表_Excel!$A:$A,0)&amp;":U"&amp;MATCH(CS15,数出表_Excel!$A:$A,0)&amp;""),
 1,CN100-1),
 "")),"")</f>
        <v/>
      </c>
      <c r="CR102" s="253"/>
      <c r="CS102" s="97" t="e" cm="1">
        <f t="array" aca="1" ref="CS102" ca="1">IF(INDIRECT(""&amp;SUBSTITUTE(ADDRESS(1,
COLUMN()-5,1),"1","")&amp;ROW()-85&amp;"")=100,
IF(CO99&lt;&gt;"",
IF(IFERROR(
INDEX(INDIRECT("'数出表_Excel（アレルギー入力）'!"&amp;CN101&amp;MATCH(CS15,'数出表_Excel（アレルギー入力）'!$A:$A,0)+1&amp;":"&amp;CS103&amp;MATCH(CS15,'数出表_Excel（アレルギー入力）'!$A:$A,0)+1&amp;""),
 1,
MATCH(TRUE,INDIRECT("'数出表_Excel（アレルギー入力）'!"&amp;CN101&amp;MATCH(CS15,'数出表_Excel（アレルギー入力）'!$A:$A,0)+1&amp;":"&amp;CS103&amp;MATCH(CS15,'数出表_Excel（アレルギー入力）'!$A:$A,0)+1&amp;"")&lt;&gt;"",0)+1),
 "")&lt;&gt;0,
IF(IFERROR(
INDEX(INDIRECT("'数出表_Excel（アレルギー入力）'!"&amp;CN101&amp;MATCH(CS15,'数出表_Excel（アレルギー入力）'!$A:$A,0)+1&amp;":"&amp;CS103&amp;MATCH(CS15,'数出表_Excel（アレルギー入力）'!$A:$A,0)+1&amp;""),
 1,
MATCH(TRUE,INDIRECT("'数出表_Excel（アレルギー入力）'!"&amp;CN101&amp;MATCH(CS15,'数出表_Excel（アレルギー入力）'!$A:$A,0)+1&amp;":"&amp;CS103&amp;MATCH(CS15,'数出表_Excel（アレルギー入力）'!$A:$A,0)+1&amp;"")&lt;&gt;"",0)+1),
 "")="",
IFERROR(
INDEX(INDIRECT("'数出表_Excel（アレルギー入力）'!"&amp;CN101&amp;MATCH(CS15,'数出表_Excel（アレルギー入力）'!$A:$A,0)+1&amp;":"&amp;CS103&amp;MATCH(CS15,'数出表_Excel（アレルギー入力）'!$A:$A,0)+1&amp;""),
 1,
MATCH(TRUE,INDIRECT("'数出表_Excel（アレルギー入力）'!"&amp;CN101&amp;MATCH(CS15,'数出表_Excel（アレルギー入力）'!$A:$A,0)+1&amp;":"&amp;CS103&amp;MATCH(CS15,'数出表_Excel（アレルギー入力）'!$A:$A,0)+1&amp;"")&lt;&gt;"",0)+1),
 ""),
IFERROR(
INDEX(INDIRECT("'数出表_Excel（アレルギー入力）'!"&amp;CN101&amp;MATCH(CS15,'数出表_Excel（アレルギー入力）'!$A:$A,0)+1&amp;":"&amp;CS103&amp;MATCH(CS15,'数出表_Excel（アレルギー入力）'!$A:$A,0)+1&amp;""),
 1,
MATCH(TRUE,INDIRECT("'数出表_Excel（アレルギー入力）'!"&amp;CN101&amp;MATCH(CS15,'数出表_Excel（アレルギー入力）'!$A:$A,0)+1&amp;":"&amp;CS103&amp;MATCH(CS15,'数出表_Excel（アレルギー入力）'!$A:$A,0)+1&amp;"")&lt;&gt;"",0)+1),
 "")),0),""),0)</f>
        <v>#VALUE!</v>
      </c>
      <c r="CU102" s="86"/>
      <c r="CV102" s="252" t="str" cm="1">
        <f t="array" aca="1" ref="CV102" ca="1">IF(CV100&lt;&gt;"",
IF(IFERROR(
INDEX(INDIRECT("数出表_Excel!"&amp;CU99&amp;MATCH(CZ15,数出表_Excel!$A:$A,0)-1&amp;":U"&amp;MATCH(CZ15,数出表_Excel!$A:$A,0)-1&amp;""),
 1,
 MATCH(TRUE, ISNUMBER(--INDIRECT("数出表_Excel!"&amp;CU99&amp;MATCH(CZ15,数出表_Excel!$A:$A,0)-1&amp;":U"&amp;MATCH(CZ15,数出表_Excel!$A:$A,0)-1&amp;"")), 0)),
 "")=0,"",
IF(CU17=100,
IFERROR(
INDEX(INDIRECT("数出表_Excel!"&amp;CU99&amp;MATCH(CZ15,数出表_Excel!$A:$A,0)-1+2&amp;":U"&amp;MATCH(CZ15,数出表_Excel!$A:$A,0)-1+2&amp;""),
 1,
 MATCH(TRUE, ISNUMBER(--INDIRECT("数出表_Excel!"&amp;CU99&amp;MATCH(CZ15,数出表_Excel!$A:$A,0)-1+2&amp;":U"&amp;MATCH(CZ15,数出表_Excel!$A:$A,0)-1+2&amp;"")), 0)),
 "")
+IFERROR(
INDEX(INDIRECT("数出表_Excel!"&amp;CU99&amp;MATCH(CZ15,数出表_Excel!$A:$A,0)-1&amp;":U"&amp;MATCH(CZ15,数出表_Excel!$A:$A,0)-1&amp;""),
 1,
 MATCH(TRUE, ISNUMBER(--INDIRECT("数出表_Excel!"&amp;CU99&amp;MATCH(CZ15,数出表_Excel!$A:$A,0)-1&amp;":U"&amp;MATCH(CZ15,数出表_Excel!$A:$A,0)-1&amp;"")), 0)),
 ""),
IFERROR(
INDEX(INDIRECT("数出表_Excel!"&amp;CU99&amp;MATCH(CZ15,数出表_Excel!$A:$A,0)-1&amp;":U"&amp;MATCH(CZ15,数出表_Excel!$A:$A,0)-1&amp;""),
 1,
 MATCH(TRUE, ISNUMBER(--INDIRECT("数出表_Excel!"&amp;CU99&amp;MATCH(CZ15,数出表_Excel!$A:$A,0)-1&amp;":U"&amp;MATCH(CZ15,数出表_Excel!$A:$A,0)-1&amp;"")), 0)),
 ""))),"")</f>
        <v/>
      </c>
      <c r="CW102" s="253"/>
      <c r="CX102" s="255" t="str" cm="1">
        <f t="array" aca="1" ref="CX102" ca="1">IF(CV58&lt;&gt;"",
IF(IFERROR(
INDEX(INDIRECT("数出表_Excel!B"&amp;MATCH(CZ15,数出表_Excel!$A:$A,0)&amp;":U"&amp;MATCH(CZ15,数出表_Excel!$A:$A,0)&amp;""),
 1,CU100-1),
 "")=0,"",
IFERROR(
INDEX(INDIRECT("数出表_Excel!B"&amp;MATCH(CZ15,数出表_Excel!$A:$A,0)&amp;":U"&amp;MATCH(CZ15,数出表_Excel!$A:$A,0)&amp;""),
 1,CU100-1),
 "")),"")</f>
        <v/>
      </c>
      <c r="CY102" s="253"/>
      <c r="CZ102" s="97" t="e" cm="1">
        <f t="array" aca="1" ref="CZ102" ca="1">IF(INDIRECT(""&amp;SUBSTITUTE(ADDRESS(1,
COLUMN()-5,1),"1","")&amp;ROW()-85&amp;"")=100,
IF(CV99&lt;&gt;"",
IF(IFERROR(
INDEX(INDIRECT("'数出表_Excel（アレルギー入力）'!"&amp;CU101&amp;MATCH(CZ15,'数出表_Excel（アレルギー入力）'!$A:$A,0)+1&amp;":"&amp;CZ103&amp;MATCH(CZ15,'数出表_Excel（アレルギー入力）'!$A:$A,0)+1&amp;""),
 1,
MATCH(TRUE,INDIRECT("'数出表_Excel（アレルギー入力）'!"&amp;CU101&amp;MATCH(CZ15,'数出表_Excel（アレルギー入力）'!$A:$A,0)+1&amp;":"&amp;CZ103&amp;MATCH(CZ15,'数出表_Excel（アレルギー入力）'!$A:$A,0)+1&amp;"")&lt;&gt;"",0)+1),
 "")&lt;&gt;0,
IF(IFERROR(
INDEX(INDIRECT("'数出表_Excel（アレルギー入力）'!"&amp;CU101&amp;MATCH(CZ15,'数出表_Excel（アレルギー入力）'!$A:$A,0)+1&amp;":"&amp;CZ103&amp;MATCH(CZ15,'数出表_Excel（アレルギー入力）'!$A:$A,0)+1&amp;""),
 1,
MATCH(TRUE,INDIRECT("'数出表_Excel（アレルギー入力）'!"&amp;CU101&amp;MATCH(CZ15,'数出表_Excel（アレルギー入力）'!$A:$A,0)+1&amp;":"&amp;CZ103&amp;MATCH(CZ15,'数出表_Excel（アレルギー入力）'!$A:$A,0)+1&amp;"")&lt;&gt;"",0)+1),
 "")="",
IFERROR(
INDEX(INDIRECT("'数出表_Excel（アレルギー入力）'!"&amp;CU101&amp;MATCH(CZ15,'数出表_Excel（アレルギー入力）'!$A:$A,0)+1&amp;":"&amp;CZ103&amp;MATCH(CZ15,'数出表_Excel（アレルギー入力）'!$A:$A,0)+1&amp;""),
 1,
MATCH(TRUE,INDIRECT("'数出表_Excel（アレルギー入力）'!"&amp;CU101&amp;MATCH(CZ15,'数出表_Excel（アレルギー入力）'!$A:$A,0)+1&amp;":"&amp;CZ103&amp;MATCH(CZ15,'数出表_Excel（アレルギー入力）'!$A:$A,0)+1&amp;"")&lt;&gt;"",0)+1),
 ""),
IFERROR(
INDEX(INDIRECT("'数出表_Excel（アレルギー入力）'!"&amp;CU101&amp;MATCH(CZ15,'数出表_Excel（アレルギー入力）'!$A:$A,0)+1&amp;":"&amp;CZ103&amp;MATCH(CZ15,'数出表_Excel（アレルギー入力）'!$A:$A,0)+1&amp;""),
 1,
MATCH(TRUE,INDIRECT("'数出表_Excel（アレルギー入力）'!"&amp;CU101&amp;MATCH(CZ15,'数出表_Excel（アレルギー入力）'!$A:$A,0)+1&amp;":"&amp;CZ103&amp;MATCH(CZ15,'数出表_Excel（アレルギー入力）'!$A:$A,0)+1&amp;"")&lt;&gt;"",0)+1),
 "")),0),""),0)</f>
        <v>#VALUE!</v>
      </c>
      <c r="DC102" s="86"/>
      <c r="DD102" s="252" t="str" cm="1">
        <f t="array" aca="1" ref="DD102" ca="1">IF(DD100&lt;&gt;"",
IF(IFERROR(
INDEX(INDIRECT("数出表_Excel!"&amp;DC99&amp;MATCH(DH15,数出表_Excel!$A:$A,0)-1&amp;":U"&amp;MATCH(DH15,数出表_Excel!$A:$A,0)-1&amp;""),
 1,
 MATCH(TRUE, ISNUMBER(--INDIRECT("数出表_Excel!"&amp;DC99&amp;MATCH(DH15,数出表_Excel!$A:$A,0)-1&amp;":U"&amp;MATCH(DH15,数出表_Excel!$A:$A,0)-1&amp;"")), 0)),
 "")=0,"",
IF(DC17=100,
IFERROR(
INDEX(INDIRECT("数出表_Excel!"&amp;DC99&amp;MATCH(DH15,数出表_Excel!$A:$A,0)-1+2&amp;":U"&amp;MATCH(DH15,数出表_Excel!$A:$A,0)-1+2&amp;""),
 1,
 MATCH(TRUE, ISNUMBER(--INDIRECT("数出表_Excel!"&amp;DC99&amp;MATCH(DH15,数出表_Excel!$A:$A,0)-1+2&amp;":U"&amp;MATCH(DH15,数出表_Excel!$A:$A,0)-1+2&amp;"")), 0)),
 "")
+IFERROR(
INDEX(INDIRECT("数出表_Excel!"&amp;DC99&amp;MATCH(DH15,数出表_Excel!$A:$A,0)-1&amp;":U"&amp;MATCH(DH15,数出表_Excel!$A:$A,0)-1&amp;""),
 1,
 MATCH(TRUE, ISNUMBER(--INDIRECT("数出表_Excel!"&amp;DC99&amp;MATCH(DH15,数出表_Excel!$A:$A,0)-1&amp;":U"&amp;MATCH(DH15,数出表_Excel!$A:$A,0)-1&amp;"")), 0)),
 ""),
IFERROR(
INDEX(INDIRECT("数出表_Excel!"&amp;DC99&amp;MATCH(DH15,数出表_Excel!$A:$A,0)-1&amp;":U"&amp;MATCH(DH15,数出表_Excel!$A:$A,0)-1&amp;""),
 1,
 MATCH(TRUE, ISNUMBER(--INDIRECT("数出表_Excel!"&amp;DC99&amp;MATCH(DH15,数出表_Excel!$A:$A,0)-1&amp;":U"&amp;MATCH(DH15,数出表_Excel!$A:$A,0)-1&amp;"")), 0)),
 ""))),"")</f>
        <v/>
      </c>
      <c r="DE102" s="253"/>
      <c r="DF102" s="255" t="str" cm="1">
        <f t="array" aca="1" ref="DF102" ca="1">IF(DD58&lt;&gt;"",
IF(IFERROR(
INDEX(INDIRECT("数出表_Excel!B"&amp;MATCH(DH15,数出表_Excel!$A:$A,0)&amp;":U"&amp;MATCH(DH15,数出表_Excel!$A:$A,0)&amp;""),
 1,DC100-1),
 "")=0,"",
IFERROR(
INDEX(INDIRECT("数出表_Excel!B"&amp;MATCH(DH15,数出表_Excel!$A:$A,0)&amp;":U"&amp;MATCH(DH15,数出表_Excel!$A:$A,0)&amp;""),
 1,DC100-1),
 "")),"")</f>
        <v/>
      </c>
      <c r="DG102" s="253"/>
      <c r="DH102" s="97" t="e" cm="1">
        <f t="array" aca="1" ref="DH102" ca="1">IF(INDIRECT(""&amp;SUBSTITUTE(ADDRESS(1,
COLUMN()-5,1),"1","")&amp;ROW()-85&amp;"")=100,
IF(DD99&lt;&gt;"",
IF(IFERROR(
INDEX(INDIRECT("'数出表_Excel（アレルギー入力）'!"&amp;DC101&amp;MATCH(DH15,'数出表_Excel（アレルギー入力）'!$A:$A,0)+1&amp;":"&amp;DH103&amp;MATCH(DH15,'数出表_Excel（アレルギー入力）'!$A:$A,0)+1&amp;""),
 1,
MATCH(TRUE,INDIRECT("'数出表_Excel（アレルギー入力）'!"&amp;DC101&amp;MATCH(DH15,'数出表_Excel（アレルギー入力）'!$A:$A,0)+1&amp;":"&amp;DH103&amp;MATCH(DH15,'数出表_Excel（アレルギー入力）'!$A:$A,0)+1&amp;"")&lt;&gt;"",0)+1),
 "")&lt;&gt;0,
IF(IFERROR(
INDEX(INDIRECT("'数出表_Excel（アレルギー入力）'!"&amp;DC101&amp;MATCH(DH15,'数出表_Excel（アレルギー入力）'!$A:$A,0)+1&amp;":"&amp;DH103&amp;MATCH(DH15,'数出表_Excel（アレルギー入力）'!$A:$A,0)+1&amp;""),
 1,
MATCH(TRUE,INDIRECT("'数出表_Excel（アレルギー入力）'!"&amp;DC101&amp;MATCH(DH15,'数出表_Excel（アレルギー入力）'!$A:$A,0)+1&amp;":"&amp;DH103&amp;MATCH(DH15,'数出表_Excel（アレルギー入力）'!$A:$A,0)+1&amp;"")&lt;&gt;"",0)+1),
 "")="",
IFERROR(
INDEX(INDIRECT("'数出表_Excel（アレルギー入力）'!"&amp;DC101&amp;MATCH(DH15,'数出表_Excel（アレルギー入力）'!$A:$A,0)+1&amp;":"&amp;DH103&amp;MATCH(DH15,'数出表_Excel（アレルギー入力）'!$A:$A,0)+1&amp;""),
 1,
MATCH(TRUE,INDIRECT("'数出表_Excel（アレルギー入力）'!"&amp;DC101&amp;MATCH(DH15,'数出表_Excel（アレルギー入力）'!$A:$A,0)+1&amp;":"&amp;DH103&amp;MATCH(DH15,'数出表_Excel（アレルギー入力）'!$A:$A,0)+1&amp;"")&lt;&gt;"",0)+1),
 ""),
IFERROR(
INDEX(INDIRECT("'数出表_Excel（アレルギー入力）'!"&amp;DC101&amp;MATCH(DH15,'数出表_Excel（アレルギー入力）'!$A:$A,0)+1&amp;":"&amp;DH103&amp;MATCH(DH15,'数出表_Excel（アレルギー入力）'!$A:$A,0)+1&amp;""),
 1,
MATCH(TRUE,INDIRECT("'数出表_Excel（アレルギー入力）'!"&amp;DC101&amp;MATCH(DH15,'数出表_Excel（アレルギー入力）'!$A:$A,0)+1&amp;":"&amp;DH103&amp;MATCH(DH15,'数出表_Excel（アレルギー入力）'!$A:$A,0)+1&amp;"")&lt;&gt;"",0)+1),
 "")),0),""),0)</f>
        <v>#VALUE!</v>
      </c>
      <c r="DJ102" s="86"/>
      <c r="DK102" s="252" t="str" cm="1">
        <f t="array" aca="1" ref="DK102" ca="1">IF(DK100&lt;&gt;"",
IF(IFERROR(
INDEX(INDIRECT("数出表_Excel!"&amp;DJ99&amp;MATCH(DO15,数出表_Excel!$A:$A,0)-1&amp;":U"&amp;MATCH(DO15,数出表_Excel!$A:$A,0)-1&amp;""),
 1,
 MATCH(TRUE, ISNUMBER(--INDIRECT("数出表_Excel!"&amp;DJ99&amp;MATCH(DO15,数出表_Excel!$A:$A,0)-1&amp;":U"&amp;MATCH(DO15,数出表_Excel!$A:$A,0)-1&amp;"")), 0)),
 "")=0,"",
IF(DJ17=100,
IFERROR(
INDEX(INDIRECT("数出表_Excel!"&amp;DJ99&amp;MATCH(DO15,数出表_Excel!$A:$A,0)-1+2&amp;":U"&amp;MATCH(DO15,数出表_Excel!$A:$A,0)-1+2&amp;""),
 1,
 MATCH(TRUE, ISNUMBER(--INDIRECT("数出表_Excel!"&amp;DJ99&amp;MATCH(DO15,数出表_Excel!$A:$A,0)-1+2&amp;":U"&amp;MATCH(DO15,数出表_Excel!$A:$A,0)-1+2&amp;"")), 0)),
 "")
+IFERROR(
INDEX(INDIRECT("数出表_Excel!"&amp;DJ99&amp;MATCH(DO15,数出表_Excel!$A:$A,0)-1&amp;":U"&amp;MATCH(DO15,数出表_Excel!$A:$A,0)-1&amp;""),
 1,
 MATCH(TRUE, ISNUMBER(--INDIRECT("数出表_Excel!"&amp;DJ99&amp;MATCH(DO15,数出表_Excel!$A:$A,0)-1&amp;":U"&amp;MATCH(DO15,数出表_Excel!$A:$A,0)-1&amp;"")), 0)),
 ""),
IFERROR(
INDEX(INDIRECT("数出表_Excel!"&amp;DJ99&amp;MATCH(DO15,数出表_Excel!$A:$A,0)-1&amp;":U"&amp;MATCH(DO15,数出表_Excel!$A:$A,0)-1&amp;""),
 1,
 MATCH(TRUE, ISNUMBER(--INDIRECT("数出表_Excel!"&amp;DJ99&amp;MATCH(DO15,数出表_Excel!$A:$A,0)-1&amp;":U"&amp;MATCH(DO15,数出表_Excel!$A:$A,0)-1&amp;"")), 0)),
 ""))),"")</f>
        <v/>
      </c>
      <c r="DL102" s="253"/>
      <c r="DM102" s="255" t="str" cm="1">
        <f t="array" aca="1" ref="DM102" ca="1">IF(DK58&lt;&gt;"",
IF(IFERROR(
INDEX(INDIRECT("数出表_Excel!B"&amp;MATCH(DO15,数出表_Excel!$A:$A,0)&amp;":U"&amp;MATCH(DO15,数出表_Excel!$A:$A,0)&amp;""),
 1,DJ100-1),
 "")=0,"",
IFERROR(
INDEX(INDIRECT("数出表_Excel!B"&amp;MATCH(DO15,数出表_Excel!$A:$A,0)&amp;":U"&amp;MATCH(DO15,数出表_Excel!$A:$A,0)&amp;""),
 1,DJ100-1),
 "")),"")</f>
        <v/>
      </c>
      <c r="DN102" s="253"/>
      <c r="DO102" s="97" t="e" cm="1">
        <f t="array" aca="1" ref="DO102" ca="1">IF(INDIRECT(""&amp;SUBSTITUTE(ADDRESS(1,
COLUMN()-5,1),"1","")&amp;ROW()-85&amp;"")=100,
IF(DK99&lt;&gt;"",
IF(IFERROR(
INDEX(INDIRECT("'数出表_Excel（アレルギー入力）'!"&amp;DJ101&amp;MATCH(DO15,'数出表_Excel（アレルギー入力）'!$A:$A,0)+1&amp;":"&amp;DO103&amp;MATCH(DO15,'数出表_Excel（アレルギー入力）'!$A:$A,0)+1&amp;""),
 1,
MATCH(TRUE,INDIRECT("'数出表_Excel（アレルギー入力）'!"&amp;DJ101&amp;MATCH(DO15,'数出表_Excel（アレルギー入力）'!$A:$A,0)+1&amp;":"&amp;DO103&amp;MATCH(DO15,'数出表_Excel（アレルギー入力）'!$A:$A,0)+1&amp;"")&lt;&gt;"",0)+1),
 "")&lt;&gt;0,
IF(IFERROR(
INDEX(INDIRECT("'数出表_Excel（アレルギー入力）'!"&amp;DJ101&amp;MATCH(DO15,'数出表_Excel（アレルギー入力）'!$A:$A,0)+1&amp;":"&amp;DO103&amp;MATCH(DO15,'数出表_Excel（アレルギー入力）'!$A:$A,0)+1&amp;""),
 1,
MATCH(TRUE,INDIRECT("'数出表_Excel（アレルギー入力）'!"&amp;DJ101&amp;MATCH(DO15,'数出表_Excel（アレルギー入力）'!$A:$A,0)+1&amp;":"&amp;DO103&amp;MATCH(DO15,'数出表_Excel（アレルギー入力）'!$A:$A,0)+1&amp;"")&lt;&gt;"",0)+1),
 "")="",
IFERROR(
INDEX(INDIRECT("'数出表_Excel（アレルギー入力）'!"&amp;DJ101&amp;MATCH(DO15,'数出表_Excel（アレルギー入力）'!$A:$A,0)+1&amp;":"&amp;DO103&amp;MATCH(DO15,'数出表_Excel（アレルギー入力）'!$A:$A,0)+1&amp;""),
 1,
MATCH(TRUE,INDIRECT("'数出表_Excel（アレルギー入力）'!"&amp;DJ101&amp;MATCH(DO15,'数出表_Excel（アレルギー入力）'!$A:$A,0)+1&amp;":"&amp;DO103&amp;MATCH(DO15,'数出表_Excel（アレルギー入力）'!$A:$A,0)+1&amp;"")&lt;&gt;"",0)+1),
 ""),
IFERROR(
INDEX(INDIRECT("'数出表_Excel（アレルギー入力）'!"&amp;DJ101&amp;MATCH(DO15,'数出表_Excel（アレルギー入力）'!$A:$A,0)+1&amp;":"&amp;DO103&amp;MATCH(DO15,'数出表_Excel（アレルギー入力）'!$A:$A,0)+1&amp;""),
 1,
MATCH(TRUE,INDIRECT("'数出表_Excel（アレルギー入力）'!"&amp;DJ101&amp;MATCH(DO15,'数出表_Excel（アレルギー入力）'!$A:$A,0)+1&amp;":"&amp;DO103&amp;MATCH(DO15,'数出表_Excel（アレルギー入力）'!$A:$A,0)+1&amp;"")&lt;&gt;"",0)+1),
 "")),0),""),0)</f>
        <v>#VALUE!</v>
      </c>
      <c r="DR102" s="86"/>
      <c r="DS102" s="252" t="str" cm="1">
        <f t="array" aca="1" ref="DS102" ca="1">IF(DS100&lt;&gt;"",
IF(IFERROR(
INDEX(INDIRECT("数出表_Excel!"&amp;DR99&amp;MATCH(DW15,数出表_Excel!$A:$A,0)-1&amp;":U"&amp;MATCH(DW15,数出表_Excel!$A:$A,0)-1&amp;""),
 1,
 MATCH(TRUE, ISNUMBER(--INDIRECT("数出表_Excel!"&amp;DR99&amp;MATCH(DW15,数出表_Excel!$A:$A,0)-1&amp;":U"&amp;MATCH(DW15,数出表_Excel!$A:$A,0)-1&amp;"")), 0)),
 "")=0,"",
IF(DR17=100,
IFERROR(
INDEX(INDIRECT("数出表_Excel!"&amp;DR99&amp;MATCH(DW15,数出表_Excel!$A:$A,0)-1+2&amp;":U"&amp;MATCH(DW15,数出表_Excel!$A:$A,0)-1+2&amp;""),
 1,
 MATCH(TRUE, ISNUMBER(--INDIRECT("数出表_Excel!"&amp;DR99&amp;MATCH(DW15,数出表_Excel!$A:$A,0)-1+2&amp;":U"&amp;MATCH(DW15,数出表_Excel!$A:$A,0)-1+2&amp;"")), 0)),
 "")
+IFERROR(
INDEX(INDIRECT("数出表_Excel!"&amp;DR99&amp;MATCH(DW15,数出表_Excel!$A:$A,0)-1&amp;":U"&amp;MATCH(DW15,数出表_Excel!$A:$A,0)-1&amp;""),
 1,
 MATCH(TRUE, ISNUMBER(--INDIRECT("数出表_Excel!"&amp;DR99&amp;MATCH(DW15,数出表_Excel!$A:$A,0)-1&amp;":U"&amp;MATCH(DW15,数出表_Excel!$A:$A,0)-1&amp;"")), 0)),
 ""),
IFERROR(
INDEX(INDIRECT("数出表_Excel!"&amp;DR99&amp;MATCH(DW15,数出表_Excel!$A:$A,0)-1&amp;":U"&amp;MATCH(DW15,数出表_Excel!$A:$A,0)-1&amp;""),
 1,
 MATCH(TRUE, ISNUMBER(--INDIRECT("数出表_Excel!"&amp;DR99&amp;MATCH(DW15,数出表_Excel!$A:$A,0)-1&amp;":U"&amp;MATCH(DW15,数出表_Excel!$A:$A,0)-1&amp;"")), 0)),
 ""))),"")</f>
        <v/>
      </c>
      <c r="DT102" s="253"/>
      <c r="DU102" s="255" t="str" cm="1">
        <f t="array" aca="1" ref="DU102" ca="1">IF(DS58&lt;&gt;"",
IF(IFERROR(
INDEX(INDIRECT("数出表_Excel!B"&amp;MATCH(DW15,数出表_Excel!$A:$A,0)&amp;":U"&amp;MATCH(DW15,数出表_Excel!$A:$A,0)&amp;""),
 1,DR100-1),
 "")=0,"",
IFERROR(
INDEX(INDIRECT("数出表_Excel!B"&amp;MATCH(DW15,数出表_Excel!$A:$A,0)&amp;":U"&amp;MATCH(DW15,数出表_Excel!$A:$A,0)&amp;""),
 1,DR100-1),
 "")),"")</f>
        <v/>
      </c>
      <c r="DV102" s="253"/>
      <c r="DW102" s="97" t="e" cm="1">
        <f t="array" aca="1" ref="DW102" ca="1">IF(INDIRECT(""&amp;SUBSTITUTE(ADDRESS(1,
COLUMN()-5,1),"1","")&amp;ROW()-85&amp;"")=100,
IF(DS99&lt;&gt;"",
IF(IFERROR(
INDEX(INDIRECT("'数出表_Excel（アレルギー入力）'!"&amp;DR101&amp;MATCH(DW15,'数出表_Excel（アレルギー入力）'!$A:$A,0)+1&amp;":"&amp;DW103&amp;MATCH(DW15,'数出表_Excel（アレルギー入力）'!$A:$A,0)+1&amp;""),
 1,
MATCH(TRUE,INDIRECT("'数出表_Excel（アレルギー入力）'!"&amp;DR101&amp;MATCH(DW15,'数出表_Excel（アレルギー入力）'!$A:$A,0)+1&amp;":"&amp;DW103&amp;MATCH(DW15,'数出表_Excel（アレルギー入力）'!$A:$A,0)+1&amp;"")&lt;&gt;"",0)+1),
 "")&lt;&gt;0,
IF(IFERROR(
INDEX(INDIRECT("'数出表_Excel（アレルギー入力）'!"&amp;DR101&amp;MATCH(DW15,'数出表_Excel（アレルギー入力）'!$A:$A,0)+1&amp;":"&amp;DW103&amp;MATCH(DW15,'数出表_Excel（アレルギー入力）'!$A:$A,0)+1&amp;""),
 1,
MATCH(TRUE,INDIRECT("'数出表_Excel（アレルギー入力）'!"&amp;DR101&amp;MATCH(DW15,'数出表_Excel（アレルギー入力）'!$A:$A,0)+1&amp;":"&amp;DW103&amp;MATCH(DW15,'数出表_Excel（アレルギー入力）'!$A:$A,0)+1&amp;"")&lt;&gt;"",0)+1),
 "")="",
IFERROR(
INDEX(INDIRECT("'数出表_Excel（アレルギー入力）'!"&amp;DR101&amp;MATCH(DW15,'数出表_Excel（アレルギー入力）'!$A:$A,0)+1&amp;":"&amp;DW103&amp;MATCH(DW15,'数出表_Excel（アレルギー入力）'!$A:$A,0)+1&amp;""),
 1,
MATCH(TRUE,INDIRECT("'数出表_Excel（アレルギー入力）'!"&amp;DR101&amp;MATCH(DW15,'数出表_Excel（アレルギー入力）'!$A:$A,0)+1&amp;":"&amp;DW103&amp;MATCH(DW15,'数出表_Excel（アレルギー入力）'!$A:$A,0)+1&amp;"")&lt;&gt;"",0)+1),
 ""),
IFERROR(
INDEX(INDIRECT("'数出表_Excel（アレルギー入力）'!"&amp;DR101&amp;MATCH(DW15,'数出表_Excel（アレルギー入力）'!$A:$A,0)+1&amp;":"&amp;DW103&amp;MATCH(DW15,'数出表_Excel（アレルギー入力）'!$A:$A,0)+1&amp;""),
 1,
MATCH(TRUE,INDIRECT("'数出表_Excel（アレルギー入力）'!"&amp;DR101&amp;MATCH(DW15,'数出表_Excel（アレルギー入力）'!$A:$A,0)+1&amp;":"&amp;DW103&amp;MATCH(DW15,'数出表_Excel（アレルギー入力）'!$A:$A,0)+1&amp;"")&lt;&gt;"",0)+1),
 "")),0),""),0)</f>
        <v>#VALUE!</v>
      </c>
      <c r="DY102" s="86"/>
      <c r="DZ102" s="252" t="str" cm="1">
        <f t="array" aca="1" ref="DZ102" ca="1">IF(DZ100&lt;&gt;"",
IF(IFERROR(
INDEX(INDIRECT("数出表_Excel!"&amp;DY99&amp;MATCH(ED15,数出表_Excel!$A:$A,0)-1&amp;":U"&amp;MATCH(ED15,数出表_Excel!$A:$A,0)-1&amp;""),
 1,
 MATCH(TRUE, ISNUMBER(--INDIRECT("数出表_Excel!"&amp;DY99&amp;MATCH(ED15,数出表_Excel!$A:$A,0)-1&amp;":U"&amp;MATCH(ED15,数出表_Excel!$A:$A,0)-1&amp;"")), 0)),
 "")=0,"",
IF(DY17=100,
IFERROR(
INDEX(INDIRECT("数出表_Excel!"&amp;DY99&amp;MATCH(ED15,数出表_Excel!$A:$A,0)-1+2&amp;":U"&amp;MATCH(ED15,数出表_Excel!$A:$A,0)-1+2&amp;""),
 1,
 MATCH(TRUE, ISNUMBER(--INDIRECT("数出表_Excel!"&amp;DY99&amp;MATCH(ED15,数出表_Excel!$A:$A,0)-1+2&amp;":U"&amp;MATCH(ED15,数出表_Excel!$A:$A,0)-1+2&amp;"")), 0)),
 "")
+IFERROR(
INDEX(INDIRECT("数出表_Excel!"&amp;DY99&amp;MATCH(ED15,数出表_Excel!$A:$A,0)-1&amp;":U"&amp;MATCH(ED15,数出表_Excel!$A:$A,0)-1&amp;""),
 1,
 MATCH(TRUE, ISNUMBER(--INDIRECT("数出表_Excel!"&amp;DY99&amp;MATCH(ED15,数出表_Excel!$A:$A,0)-1&amp;":U"&amp;MATCH(ED15,数出表_Excel!$A:$A,0)-1&amp;"")), 0)),
 ""),
IFERROR(
INDEX(INDIRECT("数出表_Excel!"&amp;DY99&amp;MATCH(ED15,数出表_Excel!$A:$A,0)-1&amp;":U"&amp;MATCH(ED15,数出表_Excel!$A:$A,0)-1&amp;""),
 1,
 MATCH(TRUE, ISNUMBER(--INDIRECT("数出表_Excel!"&amp;DY99&amp;MATCH(ED15,数出表_Excel!$A:$A,0)-1&amp;":U"&amp;MATCH(ED15,数出表_Excel!$A:$A,0)-1&amp;"")), 0)),
 ""))),"")</f>
        <v/>
      </c>
      <c r="EA102" s="253"/>
      <c r="EB102" s="255" t="str" cm="1">
        <f t="array" aca="1" ref="EB102" ca="1">IF(DZ58&lt;&gt;"",
IF(IFERROR(
INDEX(INDIRECT("数出表_Excel!B"&amp;MATCH(ED15,数出表_Excel!$A:$A,0)&amp;":U"&amp;MATCH(ED15,数出表_Excel!$A:$A,0)&amp;""),
 1,DY100-1),
 "")=0,"",
IFERROR(
INDEX(INDIRECT("数出表_Excel!B"&amp;MATCH(ED15,数出表_Excel!$A:$A,0)&amp;":U"&amp;MATCH(ED15,数出表_Excel!$A:$A,0)&amp;""),
 1,DY100-1),
 "")),"")</f>
        <v/>
      </c>
      <c r="EC102" s="253"/>
      <c r="ED102" s="97" t="e" cm="1">
        <f t="array" aca="1" ref="ED102" ca="1">IF(INDIRECT(""&amp;SUBSTITUTE(ADDRESS(1,
COLUMN()-5,1),"1","")&amp;ROW()-85&amp;"")=100,
IF(DZ99&lt;&gt;"",
IF(IFERROR(
INDEX(INDIRECT("'数出表_Excel（アレルギー入力）'!"&amp;DY101&amp;MATCH(ED15,'数出表_Excel（アレルギー入力）'!$A:$A,0)+1&amp;":"&amp;ED103&amp;MATCH(ED15,'数出表_Excel（アレルギー入力）'!$A:$A,0)+1&amp;""),
 1,
MATCH(TRUE,INDIRECT("'数出表_Excel（アレルギー入力）'!"&amp;DY101&amp;MATCH(ED15,'数出表_Excel（アレルギー入力）'!$A:$A,0)+1&amp;":"&amp;ED103&amp;MATCH(ED15,'数出表_Excel（アレルギー入力）'!$A:$A,0)+1&amp;"")&lt;&gt;"",0)+1),
 "")&lt;&gt;0,
IF(IFERROR(
INDEX(INDIRECT("'数出表_Excel（アレルギー入力）'!"&amp;DY101&amp;MATCH(ED15,'数出表_Excel（アレルギー入力）'!$A:$A,0)+1&amp;":"&amp;ED103&amp;MATCH(ED15,'数出表_Excel（アレルギー入力）'!$A:$A,0)+1&amp;""),
 1,
MATCH(TRUE,INDIRECT("'数出表_Excel（アレルギー入力）'!"&amp;DY101&amp;MATCH(ED15,'数出表_Excel（アレルギー入力）'!$A:$A,0)+1&amp;":"&amp;ED103&amp;MATCH(ED15,'数出表_Excel（アレルギー入力）'!$A:$A,0)+1&amp;"")&lt;&gt;"",0)+1),
 "")="",
IFERROR(
INDEX(INDIRECT("'数出表_Excel（アレルギー入力）'!"&amp;DY101&amp;MATCH(ED15,'数出表_Excel（アレルギー入力）'!$A:$A,0)+1&amp;":"&amp;ED103&amp;MATCH(ED15,'数出表_Excel（アレルギー入力）'!$A:$A,0)+1&amp;""),
 1,
MATCH(TRUE,INDIRECT("'数出表_Excel（アレルギー入力）'!"&amp;DY101&amp;MATCH(ED15,'数出表_Excel（アレルギー入力）'!$A:$A,0)+1&amp;":"&amp;ED103&amp;MATCH(ED15,'数出表_Excel（アレルギー入力）'!$A:$A,0)+1&amp;"")&lt;&gt;"",0)+1),
 ""),
IFERROR(
INDEX(INDIRECT("'数出表_Excel（アレルギー入力）'!"&amp;DY101&amp;MATCH(ED15,'数出表_Excel（アレルギー入力）'!$A:$A,0)+1&amp;":"&amp;ED103&amp;MATCH(ED15,'数出表_Excel（アレルギー入力）'!$A:$A,0)+1&amp;""),
 1,
MATCH(TRUE,INDIRECT("'数出表_Excel（アレルギー入力）'!"&amp;DY101&amp;MATCH(ED15,'数出表_Excel（アレルギー入力）'!$A:$A,0)+1&amp;":"&amp;ED103&amp;MATCH(ED15,'数出表_Excel（アレルギー入力）'!$A:$A,0)+1&amp;"")&lt;&gt;"",0)+1),
 "")),0),""),0)</f>
        <v>#VALUE!</v>
      </c>
      <c r="EG102" s="86"/>
      <c r="EH102" s="252" t="str" cm="1">
        <f t="array" aca="1" ref="EH102" ca="1">IF(EH100&lt;&gt;"",
IF(IFERROR(
INDEX(INDIRECT("数出表_Excel!"&amp;EG99&amp;MATCH(EL15,数出表_Excel!$A:$A,0)-1&amp;":U"&amp;MATCH(EL15,数出表_Excel!$A:$A,0)-1&amp;""),
 1,
 MATCH(TRUE, ISNUMBER(--INDIRECT("数出表_Excel!"&amp;EG99&amp;MATCH(EL15,数出表_Excel!$A:$A,0)-1&amp;":U"&amp;MATCH(EL15,数出表_Excel!$A:$A,0)-1&amp;"")), 0)),
 "")=0,"",
IF(EG17=100,
IFERROR(
INDEX(INDIRECT("数出表_Excel!"&amp;EG99&amp;MATCH(EL15,数出表_Excel!$A:$A,0)-1+2&amp;":U"&amp;MATCH(EL15,数出表_Excel!$A:$A,0)-1+2&amp;""),
 1,
 MATCH(TRUE, ISNUMBER(--INDIRECT("数出表_Excel!"&amp;EG99&amp;MATCH(EL15,数出表_Excel!$A:$A,0)-1+2&amp;":U"&amp;MATCH(EL15,数出表_Excel!$A:$A,0)-1+2&amp;"")), 0)),
 "")
+IFERROR(
INDEX(INDIRECT("数出表_Excel!"&amp;EG99&amp;MATCH(EL15,数出表_Excel!$A:$A,0)-1&amp;":U"&amp;MATCH(EL15,数出表_Excel!$A:$A,0)-1&amp;""),
 1,
 MATCH(TRUE, ISNUMBER(--INDIRECT("数出表_Excel!"&amp;EG99&amp;MATCH(EL15,数出表_Excel!$A:$A,0)-1&amp;":U"&amp;MATCH(EL15,数出表_Excel!$A:$A,0)-1&amp;"")), 0)),
 ""),
IFERROR(
INDEX(INDIRECT("数出表_Excel!"&amp;EG99&amp;MATCH(EL15,数出表_Excel!$A:$A,0)-1&amp;":U"&amp;MATCH(EL15,数出表_Excel!$A:$A,0)-1&amp;""),
 1,
 MATCH(TRUE, ISNUMBER(--INDIRECT("数出表_Excel!"&amp;EG99&amp;MATCH(EL15,数出表_Excel!$A:$A,0)-1&amp;":U"&amp;MATCH(EL15,数出表_Excel!$A:$A,0)-1&amp;"")), 0)),
 ""))),"")</f>
        <v/>
      </c>
      <c r="EI102" s="253"/>
      <c r="EJ102" s="255" t="str" cm="1">
        <f t="array" aca="1" ref="EJ102" ca="1">IF(EH58&lt;&gt;"",
IF(IFERROR(
INDEX(INDIRECT("数出表_Excel!B"&amp;MATCH(EL15,数出表_Excel!$A:$A,0)&amp;":U"&amp;MATCH(EL15,数出表_Excel!$A:$A,0)&amp;""),
 1,EG100-1),
 "")=0,"",
IFERROR(
INDEX(INDIRECT("数出表_Excel!B"&amp;MATCH(EL15,数出表_Excel!$A:$A,0)&amp;":U"&amp;MATCH(EL15,数出表_Excel!$A:$A,0)&amp;""),
 1,EG100-1),
 "")),"")</f>
        <v/>
      </c>
      <c r="EK102" s="253"/>
      <c r="EL102" s="97" t="e" cm="1">
        <f t="array" aca="1" ref="EL102" ca="1">IF(INDIRECT(""&amp;SUBSTITUTE(ADDRESS(1,
COLUMN()-5,1),"1","")&amp;ROW()-85&amp;"")=100,
IF(EH99&lt;&gt;"",
IF(IFERROR(
INDEX(INDIRECT("'数出表_Excel（アレルギー入力）'!"&amp;EG101&amp;MATCH(EL15,'数出表_Excel（アレルギー入力）'!$A:$A,0)+1&amp;":"&amp;EL103&amp;MATCH(EL15,'数出表_Excel（アレルギー入力）'!$A:$A,0)+1&amp;""),
 1,
MATCH(TRUE,INDIRECT("'数出表_Excel（アレルギー入力）'!"&amp;EG101&amp;MATCH(EL15,'数出表_Excel（アレルギー入力）'!$A:$A,0)+1&amp;":"&amp;EL103&amp;MATCH(EL15,'数出表_Excel（アレルギー入力）'!$A:$A,0)+1&amp;"")&lt;&gt;"",0)+1),
 "")&lt;&gt;0,
IF(IFERROR(
INDEX(INDIRECT("'数出表_Excel（アレルギー入力）'!"&amp;EG101&amp;MATCH(EL15,'数出表_Excel（アレルギー入力）'!$A:$A,0)+1&amp;":"&amp;EL103&amp;MATCH(EL15,'数出表_Excel（アレルギー入力）'!$A:$A,0)+1&amp;""),
 1,
MATCH(TRUE,INDIRECT("'数出表_Excel（アレルギー入力）'!"&amp;EG101&amp;MATCH(EL15,'数出表_Excel（アレルギー入力）'!$A:$A,0)+1&amp;":"&amp;EL103&amp;MATCH(EL15,'数出表_Excel（アレルギー入力）'!$A:$A,0)+1&amp;"")&lt;&gt;"",0)+1),
 "")="",
IFERROR(
INDEX(INDIRECT("'数出表_Excel（アレルギー入力）'!"&amp;EG101&amp;MATCH(EL15,'数出表_Excel（アレルギー入力）'!$A:$A,0)+1&amp;":"&amp;EL103&amp;MATCH(EL15,'数出表_Excel（アレルギー入力）'!$A:$A,0)+1&amp;""),
 1,
MATCH(TRUE,INDIRECT("'数出表_Excel（アレルギー入力）'!"&amp;EG101&amp;MATCH(EL15,'数出表_Excel（アレルギー入力）'!$A:$A,0)+1&amp;":"&amp;EL103&amp;MATCH(EL15,'数出表_Excel（アレルギー入力）'!$A:$A,0)+1&amp;"")&lt;&gt;"",0)+1),
 ""),
IFERROR(
INDEX(INDIRECT("'数出表_Excel（アレルギー入力）'!"&amp;EG101&amp;MATCH(EL15,'数出表_Excel（アレルギー入力）'!$A:$A,0)+1&amp;":"&amp;EL103&amp;MATCH(EL15,'数出表_Excel（アレルギー入力）'!$A:$A,0)+1&amp;""),
 1,
MATCH(TRUE,INDIRECT("'数出表_Excel（アレルギー入力）'!"&amp;EG101&amp;MATCH(EL15,'数出表_Excel（アレルギー入力）'!$A:$A,0)+1&amp;":"&amp;EL103&amp;MATCH(EL15,'数出表_Excel（アレルギー入力）'!$A:$A,0)+1&amp;"")&lt;&gt;"",0)+1),
 "")),0),""),0)</f>
        <v>#VALUE!</v>
      </c>
      <c r="EN102" s="86"/>
      <c r="EO102" s="252" t="str" cm="1">
        <f t="array" aca="1" ref="EO102" ca="1">IF(EO100&lt;&gt;"",
IF(IFERROR(
INDEX(INDIRECT("数出表_Excel!"&amp;EN99&amp;MATCH(ES15,数出表_Excel!$A:$A,0)-1&amp;":U"&amp;MATCH(ES15,数出表_Excel!$A:$A,0)-1&amp;""),
 1,
 MATCH(TRUE, ISNUMBER(--INDIRECT("数出表_Excel!"&amp;EN99&amp;MATCH(ES15,数出表_Excel!$A:$A,0)-1&amp;":U"&amp;MATCH(ES15,数出表_Excel!$A:$A,0)-1&amp;"")), 0)),
 "")=0,"",
IF(EN17=100,
IFERROR(
INDEX(INDIRECT("数出表_Excel!"&amp;EN99&amp;MATCH(ES15,数出表_Excel!$A:$A,0)-1+2&amp;":U"&amp;MATCH(ES15,数出表_Excel!$A:$A,0)-1+2&amp;""),
 1,
 MATCH(TRUE, ISNUMBER(--INDIRECT("数出表_Excel!"&amp;EN99&amp;MATCH(ES15,数出表_Excel!$A:$A,0)-1+2&amp;":U"&amp;MATCH(ES15,数出表_Excel!$A:$A,0)-1+2&amp;"")), 0)),
 "")
+IFERROR(
INDEX(INDIRECT("数出表_Excel!"&amp;EN99&amp;MATCH(ES15,数出表_Excel!$A:$A,0)-1&amp;":U"&amp;MATCH(ES15,数出表_Excel!$A:$A,0)-1&amp;""),
 1,
 MATCH(TRUE, ISNUMBER(--INDIRECT("数出表_Excel!"&amp;EN99&amp;MATCH(ES15,数出表_Excel!$A:$A,0)-1&amp;":U"&amp;MATCH(ES15,数出表_Excel!$A:$A,0)-1&amp;"")), 0)),
 ""),
IFERROR(
INDEX(INDIRECT("数出表_Excel!"&amp;EN99&amp;MATCH(ES15,数出表_Excel!$A:$A,0)-1&amp;":U"&amp;MATCH(ES15,数出表_Excel!$A:$A,0)-1&amp;""),
 1,
 MATCH(TRUE, ISNUMBER(--INDIRECT("数出表_Excel!"&amp;EN99&amp;MATCH(ES15,数出表_Excel!$A:$A,0)-1&amp;":U"&amp;MATCH(ES15,数出表_Excel!$A:$A,0)-1&amp;"")), 0)),
 ""))),"")</f>
        <v/>
      </c>
      <c r="EP102" s="253"/>
      <c r="EQ102" s="255" t="str" cm="1">
        <f t="array" aca="1" ref="EQ102" ca="1">IF(EO58&lt;&gt;"",
IF(IFERROR(
INDEX(INDIRECT("数出表_Excel!B"&amp;MATCH(ES15,数出表_Excel!$A:$A,0)&amp;":U"&amp;MATCH(ES15,数出表_Excel!$A:$A,0)&amp;""),
 1,EN100-1),
 "")=0,"",
IFERROR(
INDEX(INDIRECT("数出表_Excel!B"&amp;MATCH(ES15,数出表_Excel!$A:$A,0)&amp;":U"&amp;MATCH(ES15,数出表_Excel!$A:$A,0)&amp;""),
 1,EN100-1),
 "")),"")</f>
        <v/>
      </c>
      <c r="ER102" s="253"/>
      <c r="ES102" s="97" t="e" cm="1">
        <f t="array" aca="1" ref="ES102" ca="1">IF(INDIRECT(""&amp;SUBSTITUTE(ADDRESS(1,
COLUMN()-5,1),"1","")&amp;ROW()-85&amp;"")=100,
IF(EO99&lt;&gt;"",
IF(IFERROR(
INDEX(INDIRECT("'数出表_Excel（アレルギー入力）'!"&amp;EN101&amp;MATCH(ES15,'数出表_Excel（アレルギー入力）'!$A:$A,0)+1&amp;":"&amp;ES103&amp;MATCH(ES15,'数出表_Excel（アレルギー入力）'!$A:$A,0)+1&amp;""),
 1,
MATCH(TRUE,INDIRECT("'数出表_Excel（アレルギー入力）'!"&amp;EN101&amp;MATCH(ES15,'数出表_Excel（アレルギー入力）'!$A:$A,0)+1&amp;":"&amp;ES103&amp;MATCH(ES15,'数出表_Excel（アレルギー入力）'!$A:$A,0)+1&amp;"")&lt;&gt;"",0)+1),
 "")&lt;&gt;0,
IF(IFERROR(
INDEX(INDIRECT("'数出表_Excel（アレルギー入力）'!"&amp;EN101&amp;MATCH(ES15,'数出表_Excel（アレルギー入力）'!$A:$A,0)+1&amp;":"&amp;ES103&amp;MATCH(ES15,'数出表_Excel（アレルギー入力）'!$A:$A,0)+1&amp;""),
 1,
MATCH(TRUE,INDIRECT("'数出表_Excel（アレルギー入力）'!"&amp;EN101&amp;MATCH(ES15,'数出表_Excel（アレルギー入力）'!$A:$A,0)+1&amp;":"&amp;ES103&amp;MATCH(ES15,'数出表_Excel（アレルギー入力）'!$A:$A,0)+1&amp;"")&lt;&gt;"",0)+1),
 "")="",
IFERROR(
INDEX(INDIRECT("'数出表_Excel（アレルギー入力）'!"&amp;EN101&amp;MATCH(ES15,'数出表_Excel（アレルギー入力）'!$A:$A,0)+1&amp;":"&amp;ES103&amp;MATCH(ES15,'数出表_Excel（アレルギー入力）'!$A:$A,0)+1&amp;""),
 1,
MATCH(TRUE,INDIRECT("'数出表_Excel（アレルギー入力）'!"&amp;EN101&amp;MATCH(ES15,'数出表_Excel（アレルギー入力）'!$A:$A,0)+1&amp;":"&amp;ES103&amp;MATCH(ES15,'数出表_Excel（アレルギー入力）'!$A:$A,0)+1&amp;"")&lt;&gt;"",0)+1),
 ""),
IFERROR(
INDEX(INDIRECT("'数出表_Excel（アレルギー入力）'!"&amp;EN101&amp;MATCH(ES15,'数出表_Excel（アレルギー入力）'!$A:$A,0)+1&amp;":"&amp;ES103&amp;MATCH(ES15,'数出表_Excel（アレルギー入力）'!$A:$A,0)+1&amp;""),
 1,
MATCH(TRUE,INDIRECT("'数出表_Excel（アレルギー入力）'!"&amp;EN101&amp;MATCH(ES15,'数出表_Excel（アレルギー入力）'!$A:$A,0)+1&amp;":"&amp;ES103&amp;MATCH(ES15,'数出表_Excel（アレルギー入力）'!$A:$A,0)+1&amp;"")&lt;&gt;"",0)+1),
 "")),0),""),0)</f>
        <v>#VALUE!</v>
      </c>
      <c r="EU102" s="78">
        <f t="shared" si="8"/>
        <v>112</v>
      </c>
      <c r="EV102" s="78" t="str">
        <f t="array" aca="1" ref="EV102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LEN(SUBSTITUTE(_xlfn.FORMULATEXT(EV$76),"=","")))+$EU102)</f>
        <v/>
      </c>
      <c r="EW102" s="78" t="str">
        <f t="array" aca="1" ref="EW102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LEN(SUBSTITUTE(_xlfn.FORMULATEXT(EW$76),"=","")))+$EU102)</f>
        <v/>
      </c>
      <c r="EX102" s="78" t="str">
        <f t="array" aca="1" ref="EX102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LEN(SUBSTITUTE(_xlfn.FORMULATEXT(EX$76),"=","")))+$EU102)</f>
        <v/>
      </c>
      <c r="EY102" s="78" t="str">
        <f t="array" aca="1" ref="EY102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LEN(SUBSTITUTE(_xlfn.FORMULATEXT(EY$76),"=","")))+$EU102)</f>
        <v/>
      </c>
      <c r="EZ102" s="78" t="str">
        <f t="array" aca="1" ref="EZ102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LEN(SUBSTITUTE(_xlfn.FORMULATEXT(EZ$76),"=","")))+$EU102)</f>
        <v/>
      </c>
      <c r="FA102" s="78" t="str">
        <f t="array" aca="1" ref="FA102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LEN(SUBSTITUTE(_xlfn.FORMULATEXT(FA$76),"=","")))+$EU102)</f>
        <v/>
      </c>
      <c r="FB102" s="78" t="str">
        <f t="array" aca="1" ref="FB102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LEN(SUBSTITUTE(_xlfn.FORMULATEXT(FB$76),"=","")))+$EU102)</f>
        <v/>
      </c>
      <c r="FC102" s="78" t="str">
        <f t="array" aca="1" ref="FC102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LEN(SUBSTITUTE(_xlfn.FORMULATEXT(FC$76),"=","")))+$EU102)</f>
        <v/>
      </c>
      <c r="FD102" s="78" t="str">
        <f t="array" aca="1" ref="FD102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LEN(SUBSTITUTE(_xlfn.FORMULATEXT(FD$76),"=","")))+$EU102)</f>
        <v/>
      </c>
      <c r="FE102" s="78" t="str">
        <f t="array" aca="1" ref="FE102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LEN(SUBSTITUTE(_xlfn.FORMULATEXT(FE$76),"=","")))+$EU102)</f>
        <v/>
      </c>
      <c r="FF102" s="78" t="str">
        <f t="array" aca="1" ref="FF102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LEN(SUBSTITUTE(_xlfn.FORMULATEXT(FF$76),"=","")))+$EU102)</f>
        <v/>
      </c>
      <c r="FG102" s="78">
        <f t="shared" ca="1" si="7"/>
        <v>0</v>
      </c>
      <c r="FH102" s="78" t="b">
        <f t="array" aca="1" ref="FH102" ca="1">SUMPRODUCT((LEN(EV102:FF102)&gt;0)*1)&gt;0</f>
        <v>0</v>
      </c>
      <c r="FI102" s="78" t="str">
        <f t="array" aca="1" ref="FI102" ca="1">IFERROR(SMALL(IF(FG$1:FG$228&lt;&gt;0,FG$1:FG$228),ROW(A102)),"")</f>
        <v/>
      </c>
      <c r="FJ102" s="78" t="str">
        <f t="array" aca="1" ref="FJ102" ca="1">IF($FI102&lt;&gt;"",
INDIRECT(""&amp;IF(COLUMN(EV152)&lt;=26,CHAR(COLUMN(EV152)+64),CHAR(INT((COLUMN(EV152)-1)/26)+64)&amp;CHAR(MOD(COLUMN(EV152)-1,26)+65))&amp;$FI102&amp;""),"")</f>
        <v/>
      </c>
      <c r="FK102" s="78" t="str">
        <f t="array" aca="1" ref="FK102" ca="1">IF($FI102&lt;&gt;"",
INDIRECT(""&amp;IF(COLUMN(EW152)&lt;=26,CHAR(COLUMN(EW152)+64),CHAR(INT((COLUMN(EW152)-1)/26)+64)&amp;CHAR(MOD(COLUMN(EW152)-1,26)+65))&amp;$FI102&amp;""),"")</f>
        <v/>
      </c>
      <c r="FL102" s="78" t="str">
        <f t="array" aca="1" ref="FL102" ca="1">IF($FI102&lt;&gt;"",
INDIRECT(""&amp;IF(COLUMN(EX152)&lt;=26,CHAR(COLUMN(EX152)+64),CHAR(INT((COLUMN(EX152)-1)/26)+64)&amp;CHAR(MOD(COLUMN(EX152)-1,26)+65))&amp;$FI102&amp;""),"")</f>
        <v/>
      </c>
      <c r="FM102" s="78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78" t="str">
        <f t="array" aca="1" ref="FN102" ca="1">IF($FI102&lt;&gt;"",
INDIRECT(""&amp;IF(COLUMN(FA152)&lt;=26,CHAR(COLUMN(FA152)+64),CHAR(INT((COLUMN(FA152)-1)/26)+64)&amp;CHAR(MOD(COLUMN(FA152)-1,26)+65))&amp;$FI102&amp;""),"")</f>
        <v/>
      </c>
      <c r="FO102" s="78" t="str">
        <f t="array" aca="1" ref="FO102" ca="1">IF($FI102&lt;&gt;"",
INDIRECT(""&amp;IF(COLUMN(FB152)&lt;=26,CHAR(COLUMN(FB152)+64),CHAR(INT((COLUMN(FB152)-1)/26)+64)&amp;CHAR(MOD(COLUMN(FB152)-1,26)+65))&amp;$FI102&amp;""),"")</f>
        <v/>
      </c>
      <c r="FP102" s="78" t="str">
        <f t="array" aca="1" ref="FP102" ca="1">IF($FI102&lt;&gt;"",
INDIRECT(""&amp;IF(COLUMN(FC152)&lt;=26,CHAR(COLUMN(FC152)+64),CHAR(INT((COLUMN(FC152)-1)/26)+64)&amp;CHAR(MOD(COLUMN(FC152)-1,26)+65))&amp;$FI102&amp;""),"")</f>
        <v/>
      </c>
      <c r="FQ102" s="78" t="str">
        <f t="array" aca="1" ref="FQ102" ca="1">IF($FI102&lt;&gt;"",
INDIRECT(""&amp;IF(COLUMN(FD152)&lt;=26,CHAR(COLUMN(FD152)+64),CHAR(INT((COLUMN(FD152)-1)/26)+64)&amp;CHAR(MOD(COLUMN(FD152)-1,26)+65))&amp;$FI102&amp;""),"")</f>
        <v/>
      </c>
      <c r="FR102" s="78" t="str">
        <f t="array" aca="1" ref="FR102" ca="1">IF($FI102&lt;&gt;"",
INDIRECT(""&amp;IF(COLUMN(FE152)&lt;=26,CHAR(COLUMN(FE152)+64),CHAR(INT((COLUMN(FE152)-1)/26)+64)&amp;CHAR(MOD(COLUMN(FE152)-1,26)+65))&amp;$FI102&amp;""),"")</f>
        <v/>
      </c>
      <c r="FS102" s="78" t="str">
        <f t="array" aca="1" ref="FS102" ca="1">IF($FI102&lt;&gt;"",
INDIRECT(""&amp;IF(COLUMN(FF152)&lt;=26,CHAR(COLUMN(FF152)+64),CHAR(INT((COLUMN(FF152)-1)/26)+64)&amp;CHAR(MOD(COLUMN(FF152)-1,26)+65))&amp;$FI102&amp;""),"")</f>
        <v/>
      </c>
    </row>
    <row r="103" spans="2:175" ht="22.2" customHeight="1" x14ac:dyDescent="0.45">
      <c r="B103" s="88"/>
      <c r="C103" s="254"/>
      <c r="D103" s="254"/>
      <c r="E103" s="254"/>
      <c r="F103" s="254"/>
      <c r="G103" s="98" t="str">
        <f ca="1">SUBSTITUTE(SUBSTITUTE(ADDRESS(1,MATCH("おやつ",'数出表_Excel（アレルギー入力）'!$3:$3,0)),1,""),"$","")</f>
        <v>AL</v>
      </c>
      <c r="I103" s="88"/>
      <c r="J103" s="254"/>
      <c r="K103" s="254"/>
      <c r="L103" s="254"/>
      <c r="M103" s="254"/>
      <c r="N103" s="98" t="str">
        <f ca="1">SUBSTITUTE(SUBSTITUTE(ADDRESS(1,MATCH("おやつ",'数出表_Excel（アレルギー入力）'!$3:$3,0)),1,""),"$","")</f>
        <v>AL</v>
      </c>
      <c r="Q103" s="88"/>
      <c r="R103" s="254"/>
      <c r="S103" s="254"/>
      <c r="T103" s="254"/>
      <c r="U103" s="254"/>
      <c r="V103" s="98" t="str">
        <f ca="1">SUBSTITUTE(SUBSTITUTE(ADDRESS(1,MATCH("おやつ",'数出表_Excel（アレルギー入力）'!$3:$3,0)),1,""),"$","")</f>
        <v>AL</v>
      </c>
      <c r="X103" s="88"/>
      <c r="Y103" s="254"/>
      <c r="Z103" s="254"/>
      <c r="AA103" s="254"/>
      <c r="AB103" s="254"/>
      <c r="AC103" s="98" t="str">
        <f ca="1">SUBSTITUTE(SUBSTITUTE(ADDRESS(1,MATCH("おやつ",'数出表_Excel（アレルギー入力）'!$3:$3,0)),1,""),"$","")</f>
        <v>AL</v>
      </c>
      <c r="AF103" s="88"/>
      <c r="AG103" s="254"/>
      <c r="AH103" s="254"/>
      <c r="AI103" s="254"/>
      <c r="AJ103" s="254"/>
      <c r="AK103" s="98" t="str">
        <f ca="1">SUBSTITUTE(SUBSTITUTE(ADDRESS(1,MATCH("おやつ",'数出表_Excel（アレルギー入力）'!$3:$3,0)),1,""),"$","")</f>
        <v>AL</v>
      </c>
      <c r="AM103" s="88"/>
      <c r="AN103" s="254"/>
      <c r="AO103" s="254"/>
      <c r="AP103" s="254"/>
      <c r="AQ103" s="254"/>
      <c r="AR103" s="98" t="str">
        <f ca="1">SUBSTITUTE(SUBSTITUTE(ADDRESS(1,MATCH("おやつ",'数出表_Excel（アレルギー入力）'!$3:$3,0)),1,""),"$","")</f>
        <v>AL</v>
      </c>
      <c r="AU103" s="88"/>
      <c r="AV103" s="254"/>
      <c r="AW103" s="254"/>
      <c r="AX103" s="254"/>
      <c r="AY103" s="254"/>
      <c r="AZ103" s="98" t="str">
        <f ca="1">SUBSTITUTE(SUBSTITUTE(ADDRESS(1,MATCH("おやつ",'数出表_Excel（アレルギー入力）'!$3:$3,0)),1,""),"$","")</f>
        <v>AL</v>
      </c>
      <c r="BB103" s="88"/>
      <c r="BC103" s="254"/>
      <c r="BD103" s="254"/>
      <c r="BE103" s="254"/>
      <c r="BF103" s="254"/>
      <c r="BG103" s="98" t="str">
        <f ca="1">SUBSTITUTE(SUBSTITUTE(ADDRESS(1,MATCH("おやつ",'数出表_Excel（アレルギー入力）'!$3:$3,0)),1,""),"$","")</f>
        <v>AL</v>
      </c>
      <c r="BJ103" s="88"/>
      <c r="BK103" s="254"/>
      <c r="BL103" s="254"/>
      <c r="BM103" s="254"/>
      <c r="BN103" s="254"/>
      <c r="BO103" s="98" t="str">
        <f ca="1">SUBSTITUTE(SUBSTITUTE(ADDRESS(1,MATCH("おやつ",'数出表_Excel（アレルギー入力）'!$3:$3,0)),1,""),"$","")</f>
        <v>AL</v>
      </c>
      <c r="BQ103" s="88"/>
      <c r="BR103" s="254"/>
      <c r="BS103" s="254"/>
      <c r="BT103" s="254"/>
      <c r="BU103" s="254"/>
      <c r="BV103" s="98" t="str">
        <f ca="1">SUBSTITUTE(SUBSTITUTE(ADDRESS(1,MATCH("おやつ",'数出表_Excel（アレルギー入力）'!$3:$3,0)),1,""),"$","")</f>
        <v>AL</v>
      </c>
      <c r="BY103" s="88"/>
      <c r="BZ103" s="254"/>
      <c r="CA103" s="254"/>
      <c r="CB103" s="254"/>
      <c r="CC103" s="254"/>
      <c r="CD103" s="98" t="str">
        <f ca="1">SUBSTITUTE(SUBSTITUTE(ADDRESS(1,MATCH("おやつ",'数出表_Excel（アレルギー入力）'!$3:$3,0)),1,""),"$","")</f>
        <v>AL</v>
      </c>
      <c r="CF103" s="88"/>
      <c r="CG103" s="254"/>
      <c r="CH103" s="254"/>
      <c r="CI103" s="254"/>
      <c r="CJ103" s="254"/>
      <c r="CK103" s="98" t="str">
        <f ca="1">SUBSTITUTE(SUBSTITUTE(ADDRESS(1,MATCH("おやつ",'数出表_Excel（アレルギー入力）'!$3:$3,0)),1,""),"$","")</f>
        <v>AL</v>
      </c>
      <c r="CN103" s="88"/>
      <c r="CO103" s="254"/>
      <c r="CP103" s="254"/>
      <c r="CQ103" s="254"/>
      <c r="CR103" s="254"/>
      <c r="CS103" s="98" t="str">
        <f ca="1">SUBSTITUTE(SUBSTITUTE(ADDRESS(1,MATCH("おやつ",'数出表_Excel（アレルギー入力）'!$3:$3,0)),1,""),"$","")</f>
        <v>AL</v>
      </c>
      <c r="CU103" s="88"/>
      <c r="CV103" s="254"/>
      <c r="CW103" s="254"/>
      <c r="CX103" s="254"/>
      <c r="CY103" s="254"/>
      <c r="CZ103" s="98" t="str">
        <f ca="1">SUBSTITUTE(SUBSTITUTE(ADDRESS(1,MATCH("おやつ",'数出表_Excel（アレルギー入力）'!$3:$3,0)),1,""),"$","")</f>
        <v>AL</v>
      </c>
      <c r="DC103" s="88"/>
      <c r="DD103" s="254"/>
      <c r="DE103" s="254"/>
      <c r="DF103" s="254"/>
      <c r="DG103" s="254"/>
      <c r="DH103" s="98" t="str">
        <f ca="1">SUBSTITUTE(SUBSTITUTE(ADDRESS(1,MATCH("おやつ",'数出表_Excel（アレルギー入力）'!$3:$3,0)),1,""),"$","")</f>
        <v>AL</v>
      </c>
      <c r="DJ103" s="88"/>
      <c r="DK103" s="254"/>
      <c r="DL103" s="254"/>
      <c r="DM103" s="254"/>
      <c r="DN103" s="254"/>
      <c r="DO103" s="98" t="str">
        <f ca="1">SUBSTITUTE(SUBSTITUTE(ADDRESS(1,MATCH("おやつ",'数出表_Excel（アレルギー入力）'!$3:$3,0)),1,""),"$","")</f>
        <v>AL</v>
      </c>
      <c r="DR103" s="88"/>
      <c r="DS103" s="254"/>
      <c r="DT103" s="254"/>
      <c r="DU103" s="254"/>
      <c r="DV103" s="254"/>
      <c r="DW103" s="98" t="str">
        <f ca="1">SUBSTITUTE(SUBSTITUTE(ADDRESS(1,MATCH("おやつ",'数出表_Excel（アレルギー入力）'!$3:$3,0)),1,""),"$","")</f>
        <v>AL</v>
      </c>
      <c r="DY103" s="88"/>
      <c r="DZ103" s="254"/>
      <c r="EA103" s="254"/>
      <c r="EB103" s="254"/>
      <c r="EC103" s="254"/>
      <c r="ED103" s="98" t="str">
        <f ca="1">SUBSTITUTE(SUBSTITUTE(ADDRESS(1,MATCH("おやつ",'数出表_Excel（アレルギー入力）'!$3:$3,0)),1,""),"$","")</f>
        <v>AL</v>
      </c>
      <c r="EG103" s="88"/>
      <c r="EH103" s="254"/>
      <c r="EI103" s="254"/>
      <c r="EJ103" s="254"/>
      <c r="EK103" s="254"/>
      <c r="EL103" s="98" t="str">
        <f ca="1">SUBSTITUTE(SUBSTITUTE(ADDRESS(1,MATCH("おやつ",'数出表_Excel（アレルギー入力）'!$3:$3,0)),1,""),"$","")</f>
        <v>AL</v>
      </c>
      <c r="EN103" s="88"/>
      <c r="EO103" s="254"/>
      <c r="EP103" s="254"/>
      <c r="EQ103" s="254"/>
      <c r="ER103" s="254"/>
      <c r="ES103" s="98" t="str">
        <f ca="1">SUBSTITUTE(SUBSTITUTE(ADDRESS(1,MATCH("おやつ",'数出表_Excel（アレルギー入力）'!$3:$3,0)),1,""),"$","")</f>
        <v>AL</v>
      </c>
      <c r="EU103" s="78">
        <f t="shared" si="8"/>
        <v>35</v>
      </c>
      <c r="EV103" s="78" t="str">
        <f t="array" aca="1" ref="EV10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LEN(SUBSTITUTE(_xlfn.FORMULATEXT(EV$73),"=","")))+$EU103)</f>
        <v/>
      </c>
      <c r="EW103" s="78" t="str">
        <f t="array" aca="1" ref="EW10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LEN(SUBSTITUTE(_xlfn.FORMULATEXT(EW$73),"=","")))+$EU103)</f>
        <v/>
      </c>
      <c r="EX103" s="78" t="str">
        <f t="array" aca="1" ref="EX10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LEN(SUBSTITUTE(_xlfn.FORMULATEXT(EX$73),"=","")))+$EU103)</f>
        <v/>
      </c>
      <c r="EY103" s="78" t="str">
        <f t="array" aca="1" ref="EY10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LEN(SUBSTITUTE(_xlfn.FORMULATEXT(EY$73),"=","")))+$EU103)</f>
        <v/>
      </c>
      <c r="EZ103" s="78" t="str">
        <f t="array" aca="1" ref="EZ10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LEN(SUBSTITUTE(_xlfn.FORMULATEXT(EZ$73),"=","")))+$EU103)</f>
        <v/>
      </c>
      <c r="FA103" s="78" t="e">
        <f t="array" aca="1" ref="FA10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LEN(SUBSTITUTE(_xlfn.FORMULATEXT(FA$73),"=","")))+$EU103)</f>
        <v>#VALUE!</v>
      </c>
      <c r="FB103" s="78" t="e">
        <f t="array" aca="1" ref="FB10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LEN(SUBSTITUTE(_xlfn.FORMULATEXT(FB$73),"=","")))+$EU103)</f>
        <v>#VALUE!</v>
      </c>
      <c r="FC103" s="78" t="str">
        <f t="array" aca="1" ref="FC10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LEN(SUBSTITUTE(_xlfn.FORMULATEXT(FC$73),"=","")))+$EU103)</f>
        <v/>
      </c>
      <c r="FD103" s="78" t="e">
        <f t="array" aca="1" ref="FD10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LEN(SUBSTITUTE(_xlfn.FORMULATEXT(FD$73),"=","")))+$EU103)</f>
        <v>#VALUE!</v>
      </c>
      <c r="FE103" s="78" t="str">
        <f t="array" aca="1" ref="FE10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LEN(SUBSTITUTE(_xlfn.FORMULATEXT(FE$73),"=","")))+$EU103)</f>
        <v/>
      </c>
      <c r="FF103" s="78" t="e">
        <f t="array" aca="1" ref="FF10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LEN(SUBSTITUTE(_xlfn.FORMULATEXT(FF$73),"=","")))+$EU103)</f>
        <v>#VALUE!</v>
      </c>
      <c r="FG103" s="78">
        <f t="shared" ca="1" si="7"/>
        <v>0</v>
      </c>
      <c r="FH103" s="78" t="e">
        <f t="array" aca="1" ref="FH103" ca="1">SUMPRODUCT((LEN(EV103:FF103)&gt;0)*1)&gt;0</f>
        <v>#VALUE!</v>
      </c>
      <c r="FI103" s="78" t="str">
        <f t="array" aca="1" ref="FI103" ca="1">IFERROR(SMALL(IF(FG$1:FG$228&lt;&gt;0,FG$1:FG$228),ROW(A103)),"")</f>
        <v/>
      </c>
      <c r="FJ103" s="78" t="str">
        <f t="array" aca="1" ref="FJ103" ca="1">IF($FI103&lt;&gt;"",
INDIRECT(""&amp;IF(COLUMN(EV154)&lt;=26,CHAR(COLUMN(EV154)+64),CHAR(INT((COLUMN(EV154)-1)/26)+64)&amp;CHAR(MOD(COLUMN(EV154)-1,26)+65))&amp;$FI103&amp;""),"")</f>
        <v/>
      </c>
      <c r="FK103" s="78" t="str">
        <f t="array" aca="1" ref="FK103" ca="1">IF($FI103&lt;&gt;"",
INDIRECT(""&amp;IF(COLUMN(EW154)&lt;=26,CHAR(COLUMN(EW154)+64),CHAR(INT((COLUMN(EW154)-1)/26)+64)&amp;CHAR(MOD(COLUMN(EW154)-1,26)+65))&amp;$FI103&amp;""),"")</f>
        <v/>
      </c>
      <c r="FL103" s="78" t="str">
        <f t="array" aca="1" ref="FL103" ca="1">IF($FI103&lt;&gt;"",
INDIRECT(""&amp;IF(COLUMN(EX154)&lt;=26,CHAR(COLUMN(EX154)+64),CHAR(INT((COLUMN(EX154)-1)/26)+64)&amp;CHAR(MOD(COLUMN(EX154)-1,26)+65))&amp;$FI103&amp;""),"")</f>
        <v/>
      </c>
      <c r="FM103" s="78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78" t="str">
        <f t="array" aca="1" ref="FN103" ca="1">IF($FI103&lt;&gt;"",
INDIRECT(""&amp;IF(COLUMN(FA154)&lt;=26,CHAR(COLUMN(FA154)+64),CHAR(INT((COLUMN(FA154)-1)/26)+64)&amp;CHAR(MOD(COLUMN(FA154)-1,26)+65))&amp;$FI103&amp;""),"")</f>
        <v/>
      </c>
      <c r="FO103" s="78" t="str">
        <f t="array" aca="1" ref="FO103" ca="1">IF($FI103&lt;&gt;"",
INDIRECT(""&amp;IF(COLUMN(FB154)&lt;=26,CHAR(COLUMN(FB154)+64),CHAR(INT((COLUMN(FB154)-1)/26)+64)&amp;CHAR(MOD(COLUMN(FB154)-1,26)+65))&amp;$FI103&amp;""),"")</f>
        <v/>
      </c>
      <c r="FP103" s="78" t="str">
        <f t="array" aca="1" ref="FP103" ca="1">IF($FI103&lt;&gt;"",
INDIRECT(""&amp;IF(COLUMN(FC154)&lt;=26,CHAR(COLUMN(FC154)+64),CHAR(INT((COLUMN(FC154)-1)/26)+64)&amp;CHAR(MOD(COLUMN(FC154)-1,26)+65))&amp;$FI103&amp;""),"")</f>
        <v/>
      </c>
      <c r="FQ103" s="78" t="str">
        <f t="array" aca="1" ref="FQ103" ca="1">IF($FI103&lt;&gt;"",
INDIRECT(""&amp;IF(COLUMN(FD154)&lt;=26,CHAR(COLUMN(FD154)+64),CHAR(INT((COLUMN(FD154)-1)/26)+64)&amp;CHAR(MOD(COLUMN(FD154)-1,26)+65))&amp;$FI103&amp;""),"")</f>
        <v/>
      </c>
      <c r="FR103" s="78" t="str">
        <f t="array" aca="1" ref="FR103" ca="1">IF($FI103&lt;&gt;"",
INDIRECT(""&amp;IF(COLUMN(FE154)&lt;=26,CHAR(COLUMN(FE154)+64),CHAR(INT((COLUMN(FE154)-1)/26)+64)&amp;CHAR(MOD(COLUMN(FE154)-1,26)+65))&amp;$FI103&amp;""),"")</f>
        <v/>
      </c>
      <c r="FS103" s="78" t="str">
        <f t="array" aca="1" ref="FS103" ca="1">IF($FI103&lt;&gt;"",
INDIRECT(""&amp;IF(COLUMN(FF154)&lt;=26,CHAR(COLUMN(FF154)+64),CHAR(INT((COLUMN(FF154)-1)/26)+64)&amp;CHAR(MOD(COLUMN(FF154)-1,26)+65))&amp;$FI103&amp;""),"")</f>
        <v/>
      </c>
    </row>
    <row r="104" spans="2:175" ht="22.2" customHeight="1" x14ac:dyDescent="0.55000000000000004">
      <c r="B104" s="89" t="str">
        <f ca="1">IF(C102&lt;&gt;"","パン箱","")</f>
        <v/>
      </c>
      <c r="C104" s="90" t="str">
        <f ca="1">IF(C102&lt;&gt;"",IF(OR(COUNTIF('盛付札（関数）'!C100,"*キャラ*"),COUNTIF('盛付札（関数）'!C100,"*赤*")),24,
VLOOKUP('盛付札（関数）'!C100,商品マスタ一覧!$D:$I,6,FALSE)),"")</f>
        <v/>
      </c>
      <c r="D104" s="89" t="str">
        <f ca="1">IF(C102&lt;&gt;"","　端数","")</f>
        <v/>
      </c>
      <c r="E104" s="90"/>
      <c r="F104" s="89" t="str">
        <f ca="1">IF(C102&lt;&gt;"","アレルギー","")</f>
        <v/>
      </c>
      <c r="G104" s="93"/>
      <c r="H104" s="76"/>
      <c r="I104" s="89" t="str">
        <f ca="1">IF(J102&lt;&gt;"","パン箱","")</f>
        <v/>
      </c>
      <c r="J104" s="90" t="str">
        <f ca="1">IF(J102&lt;&gt;"",IF(OR(COUNTIF('盛付札（関数）'!J100,"*キャラ*"),COUNTIF('盛付札（関数）'!J100,"*赤*")),24,
VLOOKUP('盛付札（関数）'!J100,商品マスタ一覧!$D:$I,6,FALSE)),"")</f>
        <v/>
      </c>
      <c r="K104" s="89" t="str">
        <f ca="1">IF(J102&lt;&gt;"","　端数","")</f>
        <v/>
      </c>
      <c r="L104" s="90"/>
      <c r="M104" s="89" t="str">
        <f ca="1">IF(J102&lt;&gt;"","アレルギー","")</f>
        <v/>
      </c>
      <c r="N104" s="93"/>
      <c r="Q104" s="89" t="str">
        <f ca="1">IF(R102&lt;&gt;"","パン箱","")</f>
        <v/>
      </c>
      <c r="R104" s="90" t="str">
        <f ca="1">IF(R102&lt;&gt;"",IF(OR(COUNTIF('盛付札（関数）'!R100,"*キャラ*"),COUNTIF('盛付札（関数）'!R100,"*赤*")),24,
VLOOKUP('盛付札（関数）'!R100,商品マスタ一覧!$D:$I,6,FALSE)),"")</f>
        <v/>
      </c>
      <c r="S104" s="89" t="str">
        <f ca="1">IF(R102&lt;&gt;"","　端数","")</f>
        <v/>
      </c>
      <c r="T104" s="90"/>
      <c r="U104" s="89" t="str">
        <f ca="1">IF(R102&lt;&gt;"","アレルギー","")</f>
        <v/>
      </c>
      <c r="V104" s="93"/>
      <c r="W104" s="76"/>
      <c r="X104" s="89" t="str">
        <f ca="1">IF(Y102&lt;&gt;"","パン箱","")</f>
        <v/>
      </c>
      <c r="Y104" s="90" t="str">
        <f ca="1">IF(Y102&lt;&gt;"",IF(OR(COUNTIF('盛付札（関数）'!Y100,"*キャラ*"),COUNTIF('盛付札（関数）'!Y100,"*赤*")),24,
VLOOKUP('盛付札（関数）'!Y100,商品マスタ一覧!$D:$I,6,FALSE)),"")</f>
        <v/>
      </c>
      <c r="Z104" s="89" t="str">
        <f ca="1">IF(Y102&lt;&gt;"","　端数","")</f>
        <v/>
      </c>
      <c r="AA104" s="90"/>
      <c r="AB104" s="89" t="str">
        <f ca="1">IF(Y102&lt;&gt;"","アレルギー","")</f>
        <v/>
      </c>
      <c r="AC104" s="93"/>
      <c r="AF104" s="89" t="str">
        <f ca="1">IF(AG102&lt;&gt;"","パン箱","")</f>
        <v/>
      </c>
      <c r="AG104" s="90" t="str">
        <f ca="1">IF(AG102&lt;&gt;"",IF(OR(COUNTIF('盛付札（関数）'!AG100,"*キャラ*"),COUNTIF('盛付札（関数）'!AG100,"*赤*")),24,
VLOOKUP('盛付札（関数）'!AG100,商品マスタ一覧!$D:$I,6,FALSE)),"")</f>
        <v/>
      </c>
      <c r="AH104" s="89" t="str">
        <f ca="1">IF(AG102&lt;&gt;"","　端数","")</f>
        <v/>
      </c>
      <c r="AI104" s="90"/>
      <c r="AJ104" s="89" t="str">
        <f ca="1">IF(AG102&lt;&gt;"","アレルギー","")</f>
        <v/>
      </c>
      <c r="AK104" s="93"/>
      <c r="AL104" s="76"/>
      <c r="AM104" s="89" t="str">
        <f ca="1">IF(AN102&lt;&gt;"","パン箱","")</f>
        <v/>
      </c>
      <c r="AN104" s="90" t="str">
        <f ca="1">IF(AN102&lt;&gt;"",IF(OR(COUNTIF('盛付札（関数）'!AN100,"*キャラ*"),COUNTIF('盛付札（関数）'!AN100,"*赤*")),24,
VLOOKUP('盛付札（関数）'!AN100,商品マスタ一覧!$D:$I,6,FALSE)),"")</f>
        <v/>
      </c>
      <c r="AO104" s="89" t="str">
        <f ca="1">IF(AN102&lt;&gt;"","　端数","")</f>
        <v/>
      </c>
      <c r="AP104" s="90"/>
      <c r="AQ104" s="89" t="str">
        <f ca="1">IF(AN102&lt;&gt;"","アレルギー","")</f>
        <v/>
      </c>
      <c r="AR104" s="93"/>
      <c r="AU104" s="89" t="str">
        <f ca="1">IF(AV102&lt;&gt;"","パン箱","")</f>
        <v/>
      </c>
      <c r="AV104" s="90" t="str">
        <f ca="1">IF(AV102&lt;&gt;"",IF(OR(COUNTIF('盛付札（関数）'!AV100,"*キャラ*"),COUNTIF('盛付札（関数）'!AV100,"*赤*")),24,
VLOOKUP('盛付札（関数）'!AV100,商品マスタ一覧!$D:$I,6,FALSE)),"")</f>
        <v/>
      </c>
      <c r="AW104" s="89" t="str">
        <f ca="1">IF(AV102&lt;&gt;"","　端数","")</f>
        <v/>
      </c>
      <c r="AX104" s="90"/>
      <c r="AY104" s="89" t="str">
        <f ca="1">IF(AV102&lt;&gt;"","アレルギー","")</f>
        <v/>
      </c>
      <c r="AZ104" s="93"/>
      <c r="BA104" s="76"/>
      <c r="BB104" s="89" t="str">
        <f ca="1">IF(BC102&lt;&gt;"","パン箱","")</f>
        <v/>
      </c>
      <c r="BC104" s="90" t="str">
        <f ca="1">IF(BC102&lt;&gt;"",IF(OR(COUNTIF('盛付札（関数）'!BC100,"*キャラ*"),COUNTIF('盛付札（関数）'!BC100,"*赤*")),24,
VLOOKUP('盛付札（関数）'!BC100,商品マスタ一覧!$D:$I,6,FALSE)),"")</f>
        <v/>
      </c>
      <c r="BD104" s="89" t="str">
        <f ca="1">IF(BC102&lt;&gt;"","　端数","")</f>
        <v/>
      </c>
      <c r="BE104" s="90"/>
      <c r="BF104" s="89" t="str">
        <f ca="1">IF(BC102&lt;&gt;"","アレルギー","")</f>
        <v/>
      </c>
      <c r="BG104" s="93"/>
      <c r="BJ104" s="89" t="str">
        <f ca="1">IF(BK102&lt;&gt;"","パン箱","")</f>
        <v/>
      </c>
      <c r="BK104" s="90" t="str">
        <f ca="1">IF(BK102&lt;&gt;"",IF(OR(COUNTIF('盛付札（関数）'!BK100,"*キャラ*"),COUNTIF('盛付札（関数）'!BK100,"*赤*")),24,
VLOOKUP('盛付札（関数）'!BK100,商品マスタ一覧!$D:$I,6,FALSE)),"")</f>
        <v/>
      </c>
      <c r="BL104" s="89" t="str">
        <f ca="1">IF(BK102&lt;&gt;"","　端数","")</f>
        <v/>
      </c>
      <c r="BM104" s="90"/>
      <c r="BN104" s="89" t="str">
        <f ca="1">IF(BK102&lt;&gt;"","アレルギー","")</f>
        <v/>
      </c>
      <c r="BO104" s="93"/>
      <c r="BP104" s="76"/>
      <c r="BQ104" s="89" t="str">
        <f ca="1">IF(BR102&lt;&gt;"","パン箱","")</f>
        <v/>
      </c>
      <c r="BR104" s="90" t="str">
        <f ca="1">IF(BR102&lt;&gt;"",IF(OR(COUNTIF('盛付札（関数）'!BR100,"*キャラ*"),COUNTIF('盛付札（関数）'!BR100,"*赤*")),24,
VLOOKUP('盛付札（関数）'!BR100,商品マスタ一覧!$D:$I,6,FALSE)),"")</f>
        <v/>
      </c>
      <c r="BS104" s="89" t="str">
        <f ca="1">IF(BR102&lt;&gt;"","　端数","")</f>
        <v/>
      </c>
      <c r="BT104" s="90"/>
      <c r="BU104" s="89" t="str">
        <f ca="1">IF(BR102&lt;&gt;"","アレルギー","")</f>
        <v/>
      </c>
      <c r="BV104" s="93"/>
      <c r="BY104" s="89" t="str">
        <f ca="1">IF(BZ102&lt;&gt;"","パン箱","")</f>
        <v/>
      </c>
      <c r="BZ104" s="90" t="str">
        <f ca="1">IF(BZ102&lt;&gt;"",IF(OR(COUNTIF('盛付札（関数）'!BZ100,"*キャラ*"),COUNTIF('盛付札（関数）'!BZ100,"*赤*")),24,
VLOOKUP('盛付札（関数）'!BZ100,商品マスタ一覧!$D:$I,6,FALSE)),"")</f>
        <v/>
      </c>
      <c r="CA104" s="89" t="str">
        <f ca="1">IF(BZ102&lt;&gt;"","　端数","")</f>
        <v/>
      </c>
      <c r="CB104" s="90"/>
      <c r="CC104" s="89" t="str">
        <f ca="1">IF(BZ102&lt;&gt;"","アレルギー","")</f>
        <v/>
      </c>
      <c r="CD104" s="93"/>
      <c r="CE104" s="76"/>
      <c r="CF104" s="89" t="str">
        <f ca="1">IF(CG102&lt;&gt;"","パン箱","")</f>
        <v/>
      </c>
      <c r="CG104" s="90" t="str">
        <f ca="1">IF(CG102&lt;&gt;"",IF(OR(COUNTIF('盛付札（関数）'!CG100,"*キャラ*"),COUNTIF('盛付札（関数）'!CG100,"*赤*")),24,
VLOOKUP('盛付札（関数）'!CG100,商品マスタ一覧!$D:$I,6,FALSE)),"")</f>
        <v/>
      </c>
      <c r="CH104" s="89" t="str">
        <f ca="1">IF(CG102&lt;&gt;"","　端数","")</f>
        <v/>
      </c>
      <c r="CI104" s="90"/>
      <c r="CJ104" s="89" t="str">
        <f ca="1">IF(CG102&lt;&gt;"","アレルギー","")</f>
        <v/>
      </c>
      <c r="CK104" s="93"/>
      <c r="CN104" s="89" t="str">
        <f ca="1">IF(CO102&lt;&gt;"","パン箱","")</f>
        <v/>
      </c>
      <c r="CO104" s="90" t="str">
        <f ca="1">IF(CO102&lt;&gt;"",IF(OR(COUNTIF('盛付札（関数）'!CO100,"*キャラ*"),COUNTIF('盛付札（関数）'!CO100,"*赤*")),24,
VLOOKUP('盛付札（関数）'!CO100,商品マスタ一覧!$D:$I,6,FALSE)),"")</f>
        <v/>
      </c>
      <c r="CP104" s="89" t="str">
        <f ca="1">IF(CO102&lt;&gt;"","　端数","")</f>
        <v/>
      </c>
      <c r="CQ104" s="90"/>
      <c r="CR104" s="89" t="str">
        <f ca="1">IF(CO102&lt;&gt;"","アレルギー","")</f>
        <v/>
      </c>
      <c r="CS104" s="93"/>
      <c r="CT104" s="76"/>
      <c r="CU104" s="89" t="str">
        <f ca="1">IF(CV102&lt;&gt;"","パン箱","")</f>
        <v/>
      </c>
      <c r="CV104" s="90" t="str">
        <f ca="1">IF(CV102&lt;&gt;"",IF(OR(COUNTIF('盛付札（関数）'!CV100,"*キャラ*"),COUNTIF('盛付札（関数）'!CV100,"*赤*")),24,
VLOOKUP('盛付札（関数）'!CV100,商品マスタ一覧!$D:$I,6,FALSE)),"")</f>
        <v/>
      </c>
      <c r="CW104" s="89" t="str">
        <f ca="1">IF(CV102&lt;&gt;"","　端数","")</f>
        <v/>
      </c>
      <c r="CX104" s="90"/>
      <c r="CY104" s="89" t="str">
        <f ca="1">IF(CV102&lt;&gt;"","アレルギー","")</f>
        <v/>
      </c>
      <c r="CZ104" s="93"/>
      <c r="DC104" s="89" t="str">
        <f ca="1">IF(DD102&lt;&gt;"","パン箱","")</f>
        <v/>
      </c>
      <c r="DD104" s="90" t="str">
        <f ca="1">IF(DD102&lt;&gt;"",IF(OR(COUNTIF('盛付札（関数）'!DD100,"*キャラ*"),COUNTIF('盛付札（関数）'!DD100,"*赤*")),24,
VLOOKUP('盛付札（関数）'!DD100,商品マスタ一覧!$D:$I,6,FALSE)),"")</f>
        <v/>
      </c>
      <c r="DE104" s="89" t="str">
        <f ca="1">IF(DD102&lt;&gt;"","　端数","")</f>
        <v/>
      </c>
      <c r="DF104" s="90"/>
      <c r="DG104" s="89" t="str">
        <f ca="1">IF(DD102&lt;&gt;"","アレルギー","")</f>
        <v/>
      </c>
      <c r="DH104" s="93"/>
      <c r="DI104" s="76"/>
      <c r="DJ104" s="89" t="str">
        <f ca="1">IF(DK102&lt;&gt;"","パン箱","")</f>
        <v/>
      </c>
      <c r="DK104" s="90" t="str">
        <f ca="1">IF(DK102&lt;&gt;"",IF(OR(COUNTIF('盛付札（関数）'!DK100,"*キャラ*"),COUNTIF('盛付札（関数）'!DK100,"*赤*")),24,
VLOOKUP('盛付札（関数）'!DK100,商品マスタ一覧!$D:$I,6,FALSE)),"")</f>
        <v/>
      </c>
      <c r="DL104" s="89" t="str">
        <f ca="1">IF(DK102&lt;&gt;"","　端数","")</f>
        <v/>
      </c>
      <c r="DM104" s="90"/>
      <c r="DN104" s="89" t="str">
        <f ca="1">IF(DK102&lt;&gt;"","アレルギー","")</f>
        <v/>
      </c>
      <c r="DO104" s="93"/>
      <c r="DR104" s="89" t="str">
        <f ca="1">IF(DS102&lt;&gt;"","パン箱","")</f>
        <v/>
      </c>
      <c r="DS104" s="90" t="str">
        <f ca="1">IF(DS102&lt;&gt;"",IF(OR(COUNTIF('盛付札（関数）'!DS100,"*キャラ*"),COUNTIF('盛付札（関数）'!DS100,"*赤*")),24,
VLOOKUP('盛付札（関数）'!DS100,商品マスタ一覧!$D:$I,6,FALSE)),"")</f>
        <v/>
      </c>
      <c r="DT104" s="89" t="str">
        <f ca="1">IF(DS102&lt;&gt;"","　端数","")</f>
        <v/>
      </c>
      <c r="DU104" s="90"/>
      <c r="DV104" s="89" t="str">
        <f ca="1">IF(DS102&lt;&gt;"","アレルギー","")</f>
        <v/>
      </c>
      <c r="DW104" s="93"/>
      <c r="DX104" s="76"/>
      <c r="DY104" s="89" t="str">
        <f ca="1">IF(DZ102&lt;&gt;"","パン箱","")</f>
        <v/>
      </c>
      <c r="DZ104" s="90" t="str">
        <f ca="1">IF(DZ102&lt;&gt;"",IF(OR(COUNTIF('盛付札（関数）'!DZ100,"*キャラ*"),COUNTIF('盛付札（関数）'!DZ100,"*赤*")),24,
VLOOKUP('盛付札（関数）'!DZ100,商品マスタ一覧!$D:$I,6,FALSE)),"")</f>
        <v/>
      </c>
      <c r="EA104" s="89" t="str">
        <f ca="1">IF(DZ102&lt;&gt;"","　端数","")</f>
        <v/>
      </c>
      <c r="EB104" s="90"/>
      <c r="EC104" s="89" t="str">
        <f ca="1">IF(DZ102&lt;&gt;"","アレルギー","")</f>
        <v/>
      </c>
      <c r="ED104" s="93"/>
      <c r="EG104" s="89" t="str">
        <f ca="1">IF(EH102&lt;&gt;"","パン箱","")</f>
        <v/>
      </c>
      <c r="EH104" s="90" t="str">
        <f ca="1">IF(EH102&lt;&gt;"",IF(OR(COUNTIF('盛付札（関数）'!EH100,"*キャラ*"),COUNTIF('盛付札（関数）'!EH100,"*赤*")),24,
VLOOKUP('盛付札（関数）'!EH100,商品マスタ一覧!$D:$I,6,FALSE)),"")</f>
        <v/>
      </c>
      <c r="EI104" s="89" t="str">
        <f ca="1">IF(EH102&lt;&gt;"","　端数","")</f>
        <v/>
      </c>
      <c r="EJ104" s="90"/>
      <c r="EK104" s="89" t="str">
        <f ca="1">IF(EH102&lt;&gt;"","アレルギー","")</f>
        <v/>
      </c>
      <c r="EL104" s="93"/>
      <c r="EM104" s="76"/>
      <c r="EN104" s="89" t="str">
        <f ca="1">IF(EO102&lt;&gt;"","パン箱","")</f>
        <v/>
      </c>
      <c r="EO104" s="90" t="str">
        <f ca="1">IF(EO102&lt;&gt;"",IF(OR(COUNTIF('盛付札（関数）'!EO100,"*キャラ*"),COUNTIF('盛付札（関数）'!EO100,"*赤*")),24,
VLOOKUP('盛付札（関数）'!EO100,商品マスタ一覧!$D:$I,6,FALSE)),"")</f>
        <v/>
      </c>
      <c r="EP104" s="89" t="str">
        <f ca="1">IF(EO102&lt;&gt;"","　端数","")</f>
        <v/>
      </c>
      <c r="EQ104" s="90"/>
      <c r="ER104" s="89" t="str">
        <f ca="1">IF(EO102&lt;&gt;"","アレルギー","")</f>
        <v/>
      </c>
      <c r="ES104" s="93"/>
      <c r="EU104" s="78">
        <f t="shared" si="8"/>
        <v>77</v>
      </c>
      <c r="EV104" s="78" t="str">
        <f t="array" aca="1" ref="EV10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LEN(SUBSTITUTE(_xlfn.FORMULATEXT(EV$73),"=","")))+$EU104)</f>
        <v/>
      </c>
      <c r="EW104" s="78" t="str">
        <f t="array" aca="1" ref="EW10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LEN(SUBSTITUTE(_xlfn.FORMULATEXT(EW$73),"=","")))+$EU104)</f>
        <v/>
      </c>
      <c r="EX104" s="78" t="str">
        <f t="array" aca="1" ref="EX10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LEN(SUBSTITUTE(_xlfn.FORMULATEXT(EX$73),"=","")))+$EU104)</f>
        <v/>
      </c>
      <c r="EY104" s="78" t="str">
        <f t="array" aca="1" ref="EY10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LEN(SUBSTITUTE(_xlfn.FORMULATEXT(EY$73),"=","")))+$EU104)</f>
        <v/>
      </c>
      <c r="EZ104" s="78" t="str">
        <f t="array" aca="1" ref="EZ10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LEN(SUBSTITUTE(_xlfn.FORMULATEXT(EZ$73),"=","")))+$EU104)</f>
        <v/>
      </c>
      <c r="FA104" s="78" t="str">
        <f t="array" aca="1" ref="FA10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LEN(SUBSTITUTE(_xlfn.FORMULATEXT(FA$73),"=","")))+$EU104)</f>
        <v/>
      </c>
      <c r="FB104" s="78" t="str">
        <f t="array" aca="1" ref="FB10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LEN(SUBSTITUTE(_xlfn.FORMULATEXT(FB$73),"=","")))+$EU104)</f>
        <v/>
      </c>
      <c r="FC104" s="78" t="str">
        <f t="array" aca="1" ref="FC10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LEN(SUBSTITUTE(_xlfn.FORMULATEXT(FC$73),"=","")))+$EU104)</f>
        <v/>
      </c>
      <c r="FD104" s="78" t="str">
        <f t="array" aca="1" ref="FD10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LEN(SUBSTITUTE(_xlfn.FORMULATEXT(FD$73),"=","")))+$EU104)</f>
        <v/>
      </c>
      <c r="FE104" s="78" t="str">
        <f t="array" aca="1" ref="FE10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LEN(SUBSTITUTE(_xlfn.FORMULATEXT(FE$73),"=","")))+$EU104)</f>
        <v/>
      </c>
      <c r="FF104" s="78" t="str">
        <f t="array" aca="1" ref="FF10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LEN(SUBSTITUTE(_xlfn.FORMULATEXT(FF$73),"=","")))+$EU104)</f>
        <v/>
      </c>
      <c r="FG104" s="78">
        <f t="shared" ca="1" si="7"/>
        <v>0</v>
      </c>
      <c r="FH104" s="78" t="b">
        <f t="array" aca="1" ref="FH104" ca="1">SUMPRODUCT((LEN(EV104:FF104)&gt;0)*1)&gt;0</f>
        <v>0</v>
      </c>
      <c r="FI104" s="78" t="str">
        <f t="array" aca="1" ref="FI104" ca="1">IFERROR(SMALL(IF(FG$1:FG$228&lt;&gt;0,FG$1:FG$228),ROW(A104)),"")</f>
        <v/>
      </c>
      <c r="FJ104" s="78" t="str">
        <f t="array" aca="1" ref="FJ104" ca="1">IF($FI104&lt;&gt;"",
INDIRECT(""&amp;IF(COLUMN(EV155)&lt;=26,CHAR(COLUMN(EV155)+64),CHAR(INT((COLUMN(EV155)-1)/26)+64)&amp;CHAR(MOD(COLUMN(EV155)-1,26)+65))&amp;$FI104&amp;""),"")</f>
        <v/>
      </c>
      <c r="FK104" s="78" t="str">
        <f t="array" aca="1" ref="FK104" ca="1">IF($FI104&lt;&gt;"",
INDIRECT(""&amp;IF(COLUMN(EW155)&lt;=26,CHAR(COLUMN(EW155)+64),CHAR(INT((COLUMN(EW155)-1)/26)+64)&amp;CHAR(MOD(COLUMN(EW155)-1,26)+65))&amp;$FI104&amp;""),"")</f>
        <v/>
      </c>
      <c r="FL104" s="78" t="str">
        <f t="array" aca="1" ref="FL104" ca="1">IF($FI104&lt;&gt;"",
INDIRECT(""&amp;IF(COLUMN(EX155)&lt;=26,CHAR(COLUMN(EX155)+64),CHAR(INT((COLUMN(EX155)-1)/26)+64)&amp;CHAR(MOD(COLUMN(EX155)-1,26)+65))&amp;$FI104&amp;""),"")</f>
        <v/>
      </c>
      <c r="FM104" s="78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78" t="str">
        <f t="array" aca="1" ref="FN104" ca="1">IF($FI104&lt;&gt;"",
INDIRECT(""&amp;IF(COLUMN(FA155)&lt;=26,CHAR(COLUMN(FA155)+64),CHAR(INT((COLUMN(FA155)-1)/26)+64)&amp;CHAR(MOD(COLUMN(FA155)-1,26)+65))&amp;$FI104&amp;""),"")</f>
        <v/>
      </c>
      <c r="FO104" s="78" t="str">
        <f t="array" aca="1" ref="FO104" ca="1">IF($FI104&lt;&gt;"",
INDIRECT(""&amp;IF(COLUMN(FB155)&lt;=26,CHAR(COLUMN(FB155)+64),CHAR(INT((COLUMN(FB155)-1)/26)+64)&amp;CHAR(MOD(COLUMN(FB155)-1,26)+65))&amp;$FI104&amp;""),"")</f>
        <v/>
      </c>
      <c r="FP104" s="78" t="str">
        <f t="array" aca="1" ref="FP104" ca="1">IF($FI104&lt;&gt;"",
INDIRECT(""&amp;IF(COLUMN(FC155)&lt;=26,CHAR(COLUMN(FC155)+64),CHAR(INT((COLUMN(FC155)-1)/26)+64)&amp;CHAR(MOD(COLUMN(FC155)-1,26)+65))&amp;$FI104&amp;""),"")</f>
        <v/>
      </c>
      <c r="FQ104" s="78" t="str">
        <f t="array" aca="1" ref="FQ104" ca="1">IF($FI104&lt;&gt;"",
INDIRECT(""&amp;IF(COLUMN(FD155)&lt;=26,CHAR(COLUMN(FD155)+64),CHAR(INT((COLUMN(FD155)-1)/26)+64)&amp;CHAR(MOD(COLUMN(FD155)-1,26)+65))&amp;$FI104&amp;""),"")</f>
        <v/>
      </c>
      <c r="FR104" s="78" t="str">
        <f t="array" aca="1" ref="FR104" ca="1">IF($FI104&lt;&gt;"",
INDIRECT(""&amp;IF(COLUMN(FE155)&lt;=26,CHAR(COLUMN(FE155)+64),CHAR(INT((COLUMN(FE155)-1)/26)+64)&amp;CHAR(MOD(COLUMN(FE155)-1,26)+65))&amp;$FI104&amp;""),"")</f>
        <v/>
      </c>
      <c r="FS104" s="78" t="str">
        <f t="array" aca="1" ref="FS104" ca="1">IF($FI104&lt;&gt;"",
INDIRECT(""&amp;IF(COLUMN(FF155)&lt;=26,CHAR(COLUMN(FF155)+64),CHAR(INT((COLUMN(FF155)-1)/26)+64)&amp;CHAR(MOD(COLUMN(FF155)-1,26)+65))&amp;$FI104&amp;""),"")</f>
        <v/>
      </c>
    </row>
    <row r="105" spans="2:175" ht="22.2" customHeight="1" x14ac:dyDescent="0.45">
      <c r="B105" s="244" t="str">
        <f ca="1">IF(C102&lt;&gt;"",
IFERROR(INT(C102/C104),""),"")</f>
        <v/>
      </c>
      <c r="C105" s="245"/>
      <c r="D105" s="244" t="str">
        <f ca="1">IFERROR(MOD(C102,C104),"")</f>
        <v/>
      </c>
      <c r="E105" s="245"/>
      <c r="F105" s="246" t="str">
        <f ca="1">IF(C99&lt;&gt;"",G101+G102,"")</f>
        <v/>
      </c>
      <c r="G105" s="245"/>
      <c r="I105" s="244" t="str">
        <f ca="1">IF(J102&lt;&gt;"",
IFERROR(INT(J102/J104),""),"")</f>
        <v/>
      </c>
      <c r="J105" s="245"/>
      <c r="K105" s="244" t="str">
        <f ca="1">IFERROR(MOD(J102,J104),"")</f>
        <v/>
      </c>
      <c r="L105" s="245"/>
      <c r="M105" s="246" t="str">
        <f ca="1">IF(J99&lt;&gt;"",N101+N102,"")</f>
        <v/>
      </c>
      <c r="N105" s="245"/>
      <c r="Q105" s="244" t="str">
        <f ca="1">IF(R102&lt;&gt;"",
IFERROR(INT(R102/R104),""),"")</f>
        <v/>
      </c>
      <c r="R105" s="245"/>
      <c r="S105" s="244" t="str">
        <f ca="1">IFERROR(MOD(R102,R104),"")</f>
        <v/>
      </c>
      <c r="T105" s="245"/>
      <c r="U105" s="246" t="str">
        <f ca="1">IF(R99&lt;&gt;"",V101+V102,"")</f>
        <v/>
      </c>
      <c r="V105" s="245"/>
      <c r="X105" s="244" t="str">
        <f ca="1">IF(Y102&lt;&gt;"",
IFERROR(INT(Y102/Y104),""),"")</f>
        <v/>
      </c>
      <c r="Y105" s="245"/>
      <c r="Z105" s="244" t="str">
        <f ca="1">IFERROR(MOD(Y102,Y104),"")</f>
        <v/>
      </c>
      <c r="AA105" s="245"/>
      <c r="AB105" s="246" t="str">
        <f ca="1">IF(Y99&lt;&gt;"",AC101+AC102,"")</f>
        <v/>
      </c>
      <c r="AC105" s="245"/>
      <c r="AF105" s="244" t="str">
        <f ca="1">IF(AG102&lt;&gt;"",
IFERROR(INT(AG102/AG104),""),"")</f>
        <v/>
      </c>
      <c r="AG105" s="245"/>
      <c r="AH105" s="244" t="str">
        <f ca="1">IFERROR(MOD(AG102,AG104),"")</f>
        <v/>
      </c>
      <c r="AI105" s="245"/>
      <c r="AJ105" s="246" t="str">
        <f ca="1">IF(AG99&lt;&gt;"",AK101+AK102,"")</f>
        <v/>
      </c>
      <c r="AK105" s="245"/>
      <c r="AM105" s="244" t="str">
        <f ca="1">IF(AN102&lt;&gt;"",
IFERROR(INT(AN102/AN104),""),"")</f>
        <v/>
      </c>
      <c r="AN105" s="245"/>
      <c r="AO105" s="244" t="str">
        <f ca="1">IFERROR(MOD(AN102,AN104),"")</f>
        <v/>
      </c>
      <c r="AP105" s="245"/>
      <c r="AQ105" s="246" t="str">
        <f ca="1">IF(AN99&lt;&gt;"",AR101+AR102,"")</f>
        <v/>
      </c>
      <c r="AR105" s="245"/>
      <c r="AU105" s="244" t="str">
        <f ca="1">IF(AV102&lt;&gt;"",
IFERROR(INT(AV102/AV104),""),"")</f>
        <v/>
      </c>
      <c r="AV105" s="245"/>
      <c r="AW105" s="244" t="str">
        <f ca="1">IFERROR(MOD(AV102,AV104),"")</f>
        <v/>
      </c>
      <c r="AX105" s="245"/>
      <c r="AY105" s="246" t="str">
        <f ca="1">IF(AV99&lt;&gt;"",AZ101+AZ102,"")</f>
        <v/>
      </c>
      <c r="AZ105" s="245"/>
      <c r="BB105" s="244" t="str">
        <f ca="1">IF(BC102&lt;&gt;"",
IFERROR(INT(BC102/BC104),""),"")</f>
        <v/>
      </c>
      <c r="BC105" s="245"/>
      <c r="BD105" s="244" t="str">
        <f ca="1">IFERROR(MOD(BC102,BC104),"")</f>
        <v/>
      </c>
      <c r="BE105" s="245"/>
      <c r="BF105" s="246" t="str">
        <f ca="1">IF(BC99&lt;&gt;"",BG101+BG102,"")</f>
        <v/>
      </c>
      <c r="BG105" s="245"/>
      <c r="BJ105" s="244" t="str">
        <f ca="1">IF(BK102&lt;&gt;"",
IFERROR(INT(BK102/BK104),""),"")</f>
        <v/>
      </c>
      <c r="BK105" s="245"/>
      <c r="BL105" s="244" t="str">
        <f ca="1">IFERROR(MOD(BK102,BK104),"")</f>
        <v/>
      </c>
      <c r="BM105" s="245"/>
      <c r="BN105" s="246" t="str">
        <f ca="1">IF(BK99&lt;&gt;"",BO101+BO102,"")</f>
        <v/>
      </c>
      <c r="BO105" s="245"/>
      <c r="BQ105" s="244" t="str">
        <f ca="1">IF(BR102&lt;&gt;"",
IFERROR(INT(BR102/BR104),""),"")</f>
        <v/>
      </c>
      <c r="BR105" s="245"/>
      <c r="BS105" s="244" t="str">
        <f ca="1">IFERROR(MOD(BR102,BR104),"")</f>
        <v/>
      </c>
      <c r="BT105" s="245"/>
      <c r="BU105" s="246" t="str">
        <f ca="1">IF(BR99&lt;&gt;"",BV101+BV102,"")</f>
        <v/>
      </c>
      <c r="BV105" s="245"/>
      <c r="BY105" s="244" t="str">
        <f ca="1">IF(BZ102&lt;&gt;"",
IFERROR(INT(BZ102/BZ104),""),"")</f>
        <v/>
      </c>
      <c r="BZ105" s="245"/>
      <c r="CA105" s="244" t="str">
        <f ca="1">IFERROR(MOD(BZ102,BZ104),"")</f>
        <v/>
      </c>
      <c r="CB105" s="245"/>
      <c r="CC105" s="246" t="str">
        <f ca="1">IF(BZ99&lt;&gt;"",CD101+CD102,"")</f>
        <v/>
      </c>
      <c r="CD105" s="245"/>
      <c r="CF105" s="244" t="str">
        <f ca="1">IF(CG102&lt;&gt;"",
IFERROR(INT(CG102/CG104),""),"")</f>
        <v/>
      </c>
      <c r="CG105" s="245"/>
      <c r="CH105" s="244" t="str">
        <f ca="1">IFERROR(MOD(CG102,CG104),"")</f>
        <v/>
      </c>
      <c r="CI105" s="245"/>
      <c r="CJ105" s="246" t="str">
        <f ca="1">IF(CG99&lt;&gt;"",CK101+CK102,"")</f>
        <v/>
      </c>
      <c r="CK105" s="245"/>
      <c r="CN105" s="244" t="str">
        <f ca="1">IF(CO102&lt;&gt;"",
IFERROR(INT(CO102/CO104),""),"")</f>
        <v/>
      </c>
      <c r="CO105" s="245"/>
      <c r="CP105" s="244" t="str">
        <f ca="1">IFERROR(MOD(CO102,CO104),"")</f>
        <v/>
      </c>
      <c r="CQ105" s="245"/>
      <c r="CR105" s="246" t="str">
        <f ca="1">IF(CO99&lt;&gt;"",CS101+CS102,"")</f>
        <v/>
      </c>
      <c r="CS105" s="245"/>
      <c r="CU105" s="244" t="str">
        <f ca="1">IF(CV102&lt;&gt;"",
IFERROR(INT(CV102/CV104),""),"")</f>
        <v/>
      </c>
      <c r="CV105" s="245"/>
      <c r="CW105" s="244" t="str">
        <f ca="1">IFERROR(MOD(CV102,CV104),"")</f>
        <v/>
      </c>
      <c r="CX105" s="245"/>
      <c r="CY105" s="246" t="str">
        <f ca="1">IF(CV99&lt;&gt;"",CZ101+CZ102,"")</f>
        <v/>
      </c>
      <c r="CZ105" s="245"/>
      <c r="DC105" s="244" t="str">
        <f ca="1">IF(DD102&lt;&gt;"",
IFERROR(INT(DD102/DD104),""),"")</f>
        <v/>
      </c>
      <c r="DD105" s="245"/>
      <c r="DE105" s="244" t="str">
        <f ca="1">IFERROR(MOD(DD102,DD104),"")</f>
        <v/>
      </c>
      <c r="DF105" s="245"/>
      <c r="DG105" s="246" t="str">
        <f ca="1">IF(DD99&lt;&gt;"",DH101+DH102,"")</f>
        <v/>
      </c>
      <c r="DH105" s="245"/>
      <c r="DJ105" s="244" t="str">
        <f ca="1">IF(DK102&lt;&gt;"",
IFERROR(INT(DK102/DK104),""),"")</f>
        <v/>
      </c>
      <c r="DK105" s="245"/>
      <c r="DL105" s="244" t="str">
        <f ca="1">IFERROR(MOD(DK102,DK104),"")</f>
        <v/>
      </c>
      <c r="DM105" s="245"/>
      <c r="DN105" s="246" t="str">
        <f ca="1">IF(DK99&lt;&gt;"",DO101+DO102,"")</f>
        <v/>
      </c>
      <c r="DO105" s="245"/>
      <c r="DR105" s="244" t="str">
        <f ca="1">IF(DS102&lt;&gt;"",
IFERROR(INT(DS102/DS104),""),"")</f>
        <v/>
      </c>
      <c r="DS105" s="245"/>
      <c r="DT105" s="244" t="str">
        <f ca="1">IFERROR(MOD(DS102,DS104),"")</f>
        <v/>
      </c>
      <c r="DU105" s="245"/>
      <c r="DV105" s="246" t="str">
        <f ca="1">IF(DS99&lt;&gt;"",DW101+DW102,"")</f>
        <v/>
      </c>
      <c r="DW105" s="245"/>
      <c r="DY105" s="244" t="str">
        <f ca="1">IF(DZ102&lt;&gt;"",
IFERROR(INT(DZ102/DZ104),""),"")</f>
        <v/>
      </c>
      <c r="DZ105" s="245"/>
      <c r="EA105" s="244" t="str">
        <f ca="1">IFERROR(MOD(DZ102,DZ104),"")</f>
        <v/>
      </c>
      <c r="EB105" s="245"/>
      <c r="EC105" s="246" t="str">
        <f ca="1">IF(DZ99&lt;&gt;"",ED101+ED102,"")</f>
        <v/>
      </c>
      <c r="ED105" s="245"/>
      <c r="EG105" s="244" t="str">
        <f ca="1">IF(EH102&lt;&gt;"",
IFERROR(INT(EH102/EH104),""),"")</f>
        <v/>
      </c>
      <c r="EH105" s="245"/>
      <c r="EI105" s="244" t="str">
        <f ca="1">IFERROR(MOD(EH102,EH104),"")</f>
        <v/>
      </c>
      <c r="EJ105" s="245"/>
      <c r="EK105" s="246" t="str">
        <f ca="1">IF(EH99&lt;&gt;"",EL101+EL102,"")</f>
        <v/>
      </c>
      <c r="EL105" s="245"/>
      <c r="EN105" s="244" t="str">
        <f ca="1">IF(EO102&lt;&gt;"",
IFERROR(INT(EO102/EO104),""),"")</f>
        <v/>
      </c>
      <c r="EO105" s="245"/>
      <c r="EP105" s="244" t="str">
        <f ca="1">IFERROR(MOD(EO102,EO104),"")</f>
        <v/>
      </c>
      <c r="EQ105" s="245"/>
      <c r="ER105" s="246" t="str">
        <f ca="1">IF(EO99&lt;&gt;"",ES101+ES102,"")</f>
        <v/>
      </c>
      <c r="ES105" s="245"/>
      <c r="EU105" s="78">
        <f t="shared" si="8"/>
        <v>119</v>
      </c>
      <c r="EV105" s="78" t="str">
        <f t="array" aca="1" ref="EV10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LEN(SUBSTITUTE(_xlfn.FORMULATEXT(EV$73),"=","")))+$EU105)</f>
        <v/>
      </c>
      <c r="EW105" s="78" t="str">
        <f t="array" aca="1" ref="EW10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LEN(SUBSTITUTE(_xlfn.FORMULATEXT(EW$73),"=","")))+$EU105)</f>
        <v/>
      </c>
      <c r="EX105" s="78" t="str">
        <f t="array" aca="1" ref="EX10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LEN(SUBSTITUTE(_xlfn.FORMULATEXT(EX$73),"=","")))+$EU105)</f>
        <v/>
      </c>
      <c r="EY105" s="78" t="str">
        <f t="array" aca="1" ref="EY10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LEN(SUBSTITUTE(_xlfn.FORMULATEXT(EY$73),"=","")))+$EU105)</f>
        <v/>
      </c>
      <c r="EZ105" s="78" t="str">
        <f t="array" aca="1" ref="EZ10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LEN(SUBSTITUTE(_xlfn.FORMULATEXT(EZ$73),"=","")))+$EU105)</f>
        <v/>
      </c>
      <c r="FA105" s="78" t="str">
        <f t="array" aca="1" ref="FA10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LEN(SUBSTITUTE(_xlfn.FORMULATEXT(FA$73),"=","")))+$EU105)</f>
        <v/>
      </c>
      <c r="FB105" s="78" t="str">
        <f t="array" aca="1" ref="FB10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LEN(SUBSTITUTE(_xlfn.FORMULATEXT(FB$73),"=","")))+$EU105)</f>
        <v/>
      </c>
      <c r="FC105" s="78" t="str">
        <f t="array" aca="1" ref="FC10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LEN(SUBSTITUTE(_xlfn.FORMULATEXT(FC$73),"=","")))+$EU105)</f>
        <v/>
      </c>
      <c r="FD105" s="78" t="str">
        <f t="array" aca="1" ref="FD10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LEN(SUBSTITUTE(_xlfn.FORMULATEXT(FD$73),"=","")))+$EU105)</f>
        <v/>
      </c>
      <c r="FE105" s="78" t="str">
        <f t="array" aca="1" ref="FE10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LEN(SUBSTITUTE(_xlfn.FORMULATEXT(FE$73),"=","")))+$EU105)</f>
        <v/>
      </c>
      <c r="FF105" s="78" t="str">
        <f t="array" aca="1" ref="FF10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LEN(SUBSTITUTE(_xlfn.FORMULATEXT(FF$73),"=","")))+$EU105)</f>
        <v/>
      </c>
      <c r="FG105" s="78">
        <f t="shared" ca="1" si="7"/>
        <v>0</v>
      </c>
      <c r="FH105" s="78" t="b">
        <f t="array" aca="1" ref="FH105" ca="1">SUMPRODUCT((LEN(EV105:FF105)&gt;0)*1)&gt;0</f>
        <v>0</v>
      </c>
      <c r="FI105" s="78" t="str">
        <f t="array" aca="1" ref="FI105" ca="1">IFERROR(SMALL(IF(FG$1:FG$228&lt;&gt;0,FG$1:FG$228),ROW(A105)),"")</f>
        <v/>
      </c>
      <c r="FJ105" s="78" t="str">
        <f t="array" aca="1" ref="FJ105" ca="1">IF($FI105&lt;&gt;"",
INDIRECT(""&amp;IF(COLUMN(EV157)&lt;=26,CHAR(COLUMN(EV157)+64),CHAR(INT((COLUMN(EV157)-1)/26)+64)&amp;CHAR(MOD(COLUMN(EV157)-1,26)+65))&amp;$FI105&amp;""),"")</f>
        <v/>
      </c>
      <c r="FK105" s="78" t="str">
        <f t="array" aca="1" ref="FK105" ca="1">IF($FI105&lt;&gt;"",
INDIRECT(""&amp;IF(COLUMN(EW157)&lt;=26,CHAR(COLUMN(EW157)+64),CHAR(INT((COLUMN(EW157)-1)/26)+64)&amp;CHAR(MOD(COLUMN(EW157)-1,26)+65))&amp;$FI105&amp;""),"")</f>
        <v/>
      </c>
      <c r="FL105" s="78" t="str">
        <f t="array" aca="1" ref="FL105" ca="1">IF($FI105&lt;&gt;"",
INDIRECT(""&amp;IF(COLUMN(EX157)&lt;=26,CHAR(COLUMN(EX157)+64),CHAR(INT((COLUMN(EX157)-1)/26)+64)&amp;CHAR(MOD(COLUMN(EX157)-1,26)+65))&amp;$FI105&amp;""),"")</f>
        <v/>
      </c>
      <c r="FM105" s="78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78" t="str">
        <f t="array" aca="1" ref="FN105" ca="1">IF($FI105&lt;&gt;"",
INDIRECT(""&amp;IF(COLUMN(FA157)&lt;=26,CHAR(COLUMN(FA157)+64),CHAR(INT((COLUMN(FA157)-1)/26)+64)&amp;CHAR(MOD(COLUMN(FA157)-1,26)+65))&amp;$FI105&amp;""),"")</f>
        <v/>
      </c>
      <c r="FO105" s="78" t="str">
        <f t="array" aca="1" ref="FO105" ca="1">IF($FI105&lt;&gt;"",
INDIRECT(""&amp;IF(COLUMN(FB157)&lt;=26,CHAR(COLUMN(FB157)+64),CHAR(INT((COLUMN(FB157)-1)/26)+64)&amp;CHAR(MOD(COLUMN(FB157)-1,26)+65))&amp;$FI105&amp;""),"")</f>
        <v/>
      </c>
      <c r="FP105" s="78" t="str">
        <f t="array" aca="1" ref="FP105" ca="1">IF($FI105&lt;&gt;"",
INDIRECT(""&amp;IF(COLUMN(FC157)&lt;=26,CHAR(COLUMN(FC157)+64),CHAR(INT((COLUMN(FC157)-1)/26)+64)&amp;CHAR(MOD(COLUMN(FC157)-1,26)+65))&amp;$FI105&amp;""),"")</f>
        <v/>
      </c>
      <c r="FQ105" s="78" t="str">
        <f t="array" aca="1" ref="FQ105" ca="1">IF($FI105&lt;&gt;"",
INDIRECT(""&amp;IF(COLUMN(FD157)&lt;=26,CHAR(COLUMN(FD157)+64),CHAR(INT((COLUMN(FD157)-1)/26)+64)&amp;CHAR(MOD(COLUMN(FD157)-1,26)+65))&amp;$FI105&amp;""),"")</f>
        <v/>
      </c>
      <c r="FR105" s="78" t="str">
        <f t="array" aca="1" ref="FR105" ca="1">IF($FI105&lt;&gt;"",
INDIRECT(""&amp;IF(COLUMN(FE157)&lt;=26,CHAR(COLUMN(FE157)+64),CHAR(INT((COLUMN(FE157)-1)/26)+64)&amp;CHAR(MOD(COLUMN(FE157)-1,26)+65))&amp;$FI105&amp;""),"")</f>
        <v/>
      </c>
      <c r="FS105" s="78" t="str">
        <f t="array" aca="1" ref="FS105" ca="1">IF($FI105&lt;&gt;"",
INDIRECT(""&amp;IF(COLUMN(FF157)&lt;=26,CHAR(COLUMN(FF157)+64),CHAR(INT((COLUMN(FF157)-1)/26)+64)&amp;CHAR(MOD(COLUMN(FF157)-1,26)+65))&amp;$FI105&amp;""),"")</f>
        <v/>
      </c>
    </row>
    <row r="106" spans="2:175" ht="22.2" customHeight="1" x14ac:dyDescent="0.55000000000000004">
      <c r="B106" s="77" t="str" cm="1">
        <f t="array" aca="1" ref="B106" ca="1">IF(COUNTIF(G22,"*合計*"),"",
IFERROR(
SUBSTITUTE(ADDRESS(1,
COLUMN(INDIRECT("数出表_Excel!B" &amp; (MATCH(G22,数出表_Excel!$A:$A,0)-1))) - 1 +
MATCH(TRUE, ISNUMBER(--INDIRECT("数出表_Excel!"&amp;B64&amp; (MATCH(G22,数出表_Excel!$A:$A,0)-1) &amp; ":U" &amp; (MATCH(G22,数出表_Excel!$A:$A,0)-1))), 0)
+MATCH(TRUE, ISNUMBER(--INDIRECT("数出表_Excel!B" &amp; (MATCH(G22,数出表_Excel!$A:$A,0)-1) &amp; ":U" &amp; (MATCH(G22,数出表_Excel!$A:$A,0)-1))), 0)+1,4),"1",""),
""))</f>
        <v/>
      </c>
      <c r="C106" s="247" t="str">
        <f ca="1">IF(C109&lt;&gt;"",C22,"")</f>
        <v/>
      </c>
      <c r="D106" s="248"/>
      <c r="E106" s="248"/>
      <c r="F106" s="248"/>
      <c r="G106" s="231" t="str">
        <f>SUBSTITUTE(ADDRESS(1,
COLUMN(),1),"1","")</f>
        <v>$G$</v>
      </c>
      <c r="H106" s="76"/>
      <c r="I106" s="77" t="str" cm="1">
        <f t="array" aca="1" ref="I106" ca="1">IF(COUNTIF(N22,"*合計*"),"",
IFERROR(
SUBSTITUTE(ADDRESS(1,
COLUMN(INDIRECT("数出表_Excel!B" &amp; (MATCH(N22,数出表_Excel!$A:$A,0)-1))) - 1 +
MATCH(TRUE, ISNUMBER(--INDIRECT("数出表_Excel!"&amp;I64&amp; (MATCH(N22,数出表_Excel!$A:$A,0)-1) &amp; ":U" &amp; (MATCH(N22,数出表_Excel!$A:$A,0)-1))), 0)
+MATCH(TRUE, ISNUMBER(--INDIRECT("数出表_Excel!B" &amp; (MATCH(N22,数出表_Excel!$A:$A,0)-1) &amp; ":U" &amp; (MATCH(N22,数出表_Excel!$A:$A,0)-1))), 0)+1,4),"1",""),
""))</f>
        <v/>
      </c>
      <c r="J106" s="247" t="str">
        <f ca="1">IF(J109&lt;&gt;"",J22,"")</f>
        <v/>
      </c>
      <c r="K106" s="248"/>
      <c r="L106" s="248"/>
      <c r="M106" s="248"/>
      <c r="N106" s="231" t="str">
        <f>SUBSTITUTE(ADDRESS(1,
COLUMN(),1),"1","")</f>
        <v>$N$</v>
      </c>
      <c r="Q106" s="77" t="str" cm="1">
        <f t="array" aca="1" ref="Q106" ca="1">IF(COUNTIF(V22,"*合計*"),"",
IFERROR(
SUBSTITUTE(ADDRESS(1,
COLUMN(INDIRECT("数出表_Excel!B" &amp; (MATCH(V22,数出表_Excel!$A:$A,0)-1))) - 1 +
MATCH(TRUE, ISNUMBER(--INDIRECT("数出表_Excel!"&amp;Q64&amp; (MATCH(V22,数出表_Excel!$A:$A,0)-1) &amp; ":U" &amp; (MATCH(V22,数出表_Excel!$A:$A,0)-1))), 0)
+MATCH(TRUE, ISNUMBER(--INDIRECT("数出表_Excel!B" &amp; (MATCH(V22,数出表_Excel!$A:$A,0)-1) &amp; ":U" &amp; (MATCH(V22,数出表_Excel!$A:$A,0)-1))), 0)+1,4),"1",""),
""))</f>
        <v/>
      </c>
      <c r="R106" s="247" t="str">
        <f ca="1">IF(R109&lt;&gt;"",R22,"")</f>
        <v/>
      </c>
      <c r="S106" s="248"/>
      <c r="T106" s="248"/>
      <c r="U106" s="248"/>
      <c r="V106" s="231" t="str">
        <f>SUBSTITUTE(ADDRESS(1,
COLUMN(),1),"1","")</f>
        <v>$V$</v>
      </c>
      <c r="W106" s="76"/>
      <c r="X106" s="77" t="str" cm="1">
        <f t="array" aca="1" ref="X106" ca="1">IF(COUNTIF(AC22,"*合計*"),"",
IFERROR(
SUBSTITUTE(ADDRESS(1,
COLUMN(INDIRECT("数出表_Excel!B" &amp; (MATCH(AC22,数出表_Excel!$A:$A,0)-1))) - 1 +
MATCH(TRUE, ISNUMBER(--INDIRECT("数出表_Excel!"&amp;X64&amp; (MATCH(AC22,数出表_Excel!$A:$A,0)-1) &amp; ":U" &amp; (MATCH(AC22,数出表_Excel!$A:$A,0)-1))), 0)
+MATCH(TRUE, ISNUMBER(--INDIRECT("数出表_Excel!B" &amp; (MATCH(AC22,数出表_Excel!$A:$A,0)-1) &amp; ":U" &amp; (MATCH(AC22,数出表_Excel!$A:$A,0)-1))), 0)+1,4),"1",""),
""))</f>
        <v/>
      </c>
      <c r="Y106" s="247" t="str">
        <f ca="1">IF(Y109&lt;&gt;"",Y22,"")</f>
        <v/>
      </c>
      <c r="Z106" s="248"/>
      <c r="AA106" s="248"/>
      <c r="AB106" s="248"/>
      <c r="AC106" s="231" t="str">
        <f>SUBSTITUTE(ADDRESS(1,
COLUMN(),1),"1","")</f>
        <v>$AC$</v>
      </c>
      <c r="AF106" s="77" t="str" cm="1">
        <f t="array" aca="1" ref="AF106" ca="1">IF(COUNTIF(AK22,"*合計*"),"",
IFERROR(
SUBSTITUTE(ADDRESS(1,
COLUMN(INDIRECT("数出表_Excel!B" &amp; (MATCH(AK22,数出表_Excel!$A:$A,0)-1))) - 1 +
MATCH(TRUE, ISNUMBER(--INDIRECT("数出表_Excel!"&amp;AF64&amp; (MATCH(AK22,数出表_Excel!$A:$A,0)-1) &amp; ":U" &amp; (MATCH(AK22,数出表_Excel!$A:$A,0)-1))), 0)
+MATCH(TRUE, ISNUMBER(--INDIRECT("数出表_Excel!B" &amp; (MATCH(AK22,数出表_Excel!$A:$A,0)-1) &amp; ":U" &amp; (MATCH(AK22,数出表_Excel!$A:$A,0)-1))), 0)+1,4),"1",""),
""))</f>
        <v/>
      </c>
      <c r="AG106" s="247" t="str">
        <f ca="1">IF(AG109&lt;&gt;"",AG22,"")</f>
        <v/>
      </c>
      <c r="AH106" s="248"/>
      <c r="AI106" s="248"/>
      <c r="AJ106" s="248"/>
      <c r="AK106" s="231" t="str">
        <f>SUBSTITUTE(ADDRESS(1,
COLUMN(),1),"1","")</f>
        <v>$AK$</v>
      </c>
      <c r="AL106" s="76"/>
      <c r="AM106" s="77" t="str" cm="1">
        <f t="array" aca="1" ref="AM106" ca="1">IF(COUNTIF(AR22,"*合計*"),"",
IFERROR(
SUBSTITUTE(ADDRESS(1,
COLUMN(INDIRECT("数出表_Excel!B" &amp; (MATCH(AR22,数出表_Excel!$A:$A,0)-1))) - 1 +
MATCH(TRUE, ISNUMBER(--INDIRECT("数出表_Excel!"&amp;AM64&amp; (MATCH(AR22,数出表_Excel!$A:$A,0)-1) &amp; ":U" &amp; (MATCH(AR22,数出表_Excel!$A:$A,0)-1))), 0)
+MATCH(TRUE, ISNUMBER(--INDIRECT("数出表_Excel!B" &amp; (MATCH(AR22,数出表_Excel!$A:$A,0)-1) &amp; ":U" &amp; (MATCH(AR22,数出表_Excel!$A:$A,0)-1))), 0)+1,4),"1",""),
""))</f>
        <v/>
      </c>
      <c r="AN106" s="247" t="str">
        <f ca="1">IF(AN109&lt;&gt;"",AN22,"")</f>
        <v/>
      </c>
      <c r="AO106" s="248"/>
      <c r="AP106" s="248"/>
      <c r="AQ106" s="248"/>
      <c r="AR106" s="231" t="str">
        <f>SUBSTITUTE(ADDRESS(1,
COLUMN(),1),"1","")</f>
        <v>$AR$</v>
      </c>
      <c r="AU106" s="77" t="str" cm="1">
        <f t="array" aca="1" ref="AU106" ca="1">IF(COUNTIF(AZ22,"*合計*"),"",
IFERROR(
SUBSTITUTE(ADDRESS(1,
COLUMN(INDIRECT("数出表_Excel!B" &amp; (MATCH(AZ22,数出表_Excel!$A:$A,0)-1))) - 1 +
MATCH(TRUE, ISNUMBER(--INDIRECT("数出表_Excel!"&amp;AU64&amp; (MATCH(AZ22,数出表_Excel!$A:$A,0)-1) &amp; ":U" &amp; (MATCH(AZ22,数出表_Excel!$A:$A,0)-1))), 0)
+MATCH(TRUE, ISNUMBER(--INDIRECT("数出表_Excel!B" &amp; (MATCH(AZ22,数出表_Excel!$A:$A,0)-1) &amp; ":U" &amp; (MATCH(AZ22,数出表_Excel!$A:$A,0)-1))), 0)+1,4),"1",""),
""))</f>
        <v/>
      </c>
      <c r="AV106" s="247" t="str">
        <f ca="1">IF(AV109&lt;&gt;"",AV22,"")</f>
        <v/>
      </c>
      <c r="AW106" s="248"/>
      <c r="AX106" s="248"/>
      <c r="AY106" s="248"/>
      <c r="AZ106" s="231" t="str">
        <f>SUBSTITUTE(ADDRESS(1,
COLUMN(),1),"1","")</f>
        <v>$AZ$</v>
      </c>
      <c r="BA106" s="76"/>
      <c r="BB106" s="77" t="str" cm="1">
        <f t="array" aca="1" ref="BB106" ca="1">IF(COUNTIF(BG22,"*合計*"),"",
IFERROR(
SUBSTITUTE(ADDRESS(1,
COLUMN(INDIRECT("数出表_Excel!B" &amp; (MATCH(BG22,数出表_Excel!$A:$A,0)-1))) - 1 +
MATCH(TRUE, ISNUMBER(--INDIRECT("数出表_Excel!"&amp;BB64&amp; (MATCH(BG22,数出表_Excel!$A:$A,0)-1) &amp; ":U" &amp; (MATCH(BG22,数出表_Excel!$A:$A,0)-1))), 0)
+MATCH(TRUE, ISNUMBER(--INDIRECT("数出表_Excel!B" &amp; (MATCH(BG22,数出表_Excel!$A:$A,0)-1) &amp; ":U" &amp; (MATCH(BG22,数出表_Excel!$A:$A,0)-1))), 0)+1,4),"1",""),
""))</f>
        <v/>
      </c>
      <c r="BC106" s="247" t="str">
        <f ca="1">IF(BC109&lt;&gt;"",BC22,"")</f>
        <v/>
      </c>
      <c r="BD106" s="248"/>
      <c r="BE106" s="248"/>
      <c r="BF106" s="248"/>
      <c r="BG106" s="231" t="str">
        <f>SUBSTITUTE(ADDRESS(1,
COLUMN(),1),"1","")</f>
        <v>$BG$</v>
      </c>
      <c r="BJ106" s="77" t="str" cm="1">
        <f t="array" aca="1" ref="BJ106" ca="1">IF(COUNTIF(BO22,"*合計*"),"",
IFERROR(
SUBSTITUTE(ADDRESS(1,
COLUMN(INDIRECT("数出表_Excel!B" &amp; (MATCH(BO22,数出表_Excel!$A:$A,0)-1))) - 1 +
MATCH(TRUE, ISNUMBER(--INDIRECT("数出表_Excel!"&amp;BJ64&amp; (MATCH(BO22,数出表_Excel!$A:$A,0)-1) &amp; ":U" &amp; (MATCH(BO22,数出表_Excel!$A:$A,0)-1))), 0)
+MATCH(TRUE, ISNUMBER(--INDIRECT("数出表_Excel!B" &amp; (MATCH(BO22,数出表_Excel!$A:$A,0)-1) &amp; ":U" &amp; (MATCH(BO22,数出表_Excel!$A:$A,0)-1))), 0)+1,4),"1",""),
""))</f>
        <v/>
      </c>
      <c r="BK106" s="247" t="str">
        <f ca="1">IF(BK109&lt;&gt;"",BK22,"")</f>
        <v/>
      </c>
      <c r="BL106" s="248"/>
      <c r="BM106" s="248"/>
      <c r="BN106" s="248"/>
      <c r="BO106" s="231" t="str">
        <f>SUBSTITUTE(ADDRESS(1,
COLUMN(),1),"1","")</f>
        <v>$BO$</v>
      </c>
      <c r="BP106" s="76"/>
      <c r="BQ106" s="77" t="str" cm="1">
        <f t="array" aca="1" ref="BQ106" ca="1">IF(COUNTIF(BV22,"*合計*"),"",
IFERROR(
SUBSTITUTE(ADDRESS(1,
COLUMN(INDIRECT("数出表_Excel!B" &amp; (MATCH(BV22,数出表_Excel!$A:$A,0)-1))) - 1 +
MATCH(TRUE, ISNUMBER(--INDIRECT("数出表_Excel!"&amp;BQ64&amp; (MATCH(BV22,数出表_Excel!$A:$A,0)-1) &amp; ":U" &amp; (MATCH(BV22,数出表_Excel!$A:$A,0)-1))), 0)
+MATCH(TRUE, ISNUMBER(--INDIRECT("数出表_Excel!B" &amp; (MATCH(BV22,数出表_Excel!$A:$A,0)-1) &amp; ":U" &amp; (MATCH(BV22,数出表_Excel!$A:$A,0)-1))), 0)+1,4),"1",""),
""))</f>
        <v/>
      </c>
      <c r="BR106" s="247" t="str">
        <f ca="1">IF(BR109&lt;&gt;"",BR22,"")</f>
        <v/>
      </c>
      <c r="BS106" s="248"/>
      <c r="BT106" s="248"/>
      <c r="BU106" s="248"/>
      <c r="BV106" s="231" t="str">
        <f>SUBSTITUTE(ADDRESS(1,
COLUMN(),1),"1","")</f>
        <v>$BV$</v>
      </c>
      <c r="BY106" s="77" t="str" cm="1">
        <f t="array" aca="1" ref="BY106" ca="1">IF(COUNTIF(CD22,"*合計*"),"",
IFERROR(
SUBSTITUTE(ADDRESS(1,
COLUMN(INDIRECT("数出表_Excel!B" &amp; (MATCH(CD22,数出表_Excel!$A:$A,0)-1))) - 1 +
MATCH(TRUE, ISNUMBER(--INDIRECT("数出表_Excel!"&amp;BY64&amp; (MATCH(CD22,数出表_Excel!$A:$A,0)-1) &amp; ":U" &amp; (MATCH(CD22,数出表_Excel!$A:$A,0)-1))), 0)
+MATCH(TRUE, ISNUMBER(--INDIRECT("数出表_Excel!B" &amp; (MATCH(CD22,数出表_Excel!$A:$A,0)-1) &amp; ":U" &amp; (MATCH(CD22,数出表_Excel!$A:$A,0)-1))), 0)+1,4),"1",""),
""))</f>
        <v/>
      </c>
      <c r="BZ106" s="247" t="str">
        <f ca="1">IF(BZ109&lt;&gt;"",BZ22,"")</f>
        <v/>
      </c>
      <c r="CA106" s="248"/>
      <c r="CB106" s="248"/>
      <c r="CC106" s="248"/>
      <c r="CD106" s="231" t="str">
        <f>SUBSTITUTE(ADDRESS(1,
COLUMN(),1),"1","")</f>
        <v>$CD$</v>
      </c>
      <c r="CE106" s="76"/>
      <c r="CF106" s="77" t="str" cm="1">
        <f t="array" aca="1" ref="CF106" ca="1">IF(COUNTIF(CK22,"*合計*"),"",
IFERROR(
SUBSTITUTE(ADDRESS(1,
COLUMN(INDIRECT("数出表_Excel!B" &amp; (MATCH(CK22,数出表_Excel!$A:$A,0)-1))) - 1 +
MATCH(TRUE, ISNUMBER(--INDIRECT("数出表_Excel!"&amp;CF64&amp; (MATCH(CK22,数出表_Excel!$A:$A,0)-1) &amp; ":U" &amp; (MATCH(CK22,数出表_Excel!$A:$A,0)-1))), 0)
+MATCH(TRUE, ISNUMBER(--INDIRECT("数出表_Excel!B" &amp; (MATCH(CK22,数出表_Excel!$A:$A,0)-1) &amp; ":U" &amp; (MATCH(CK22,数出表_Excel!$A:$A,0)-1))), 0)+1,4),"1",""),
""))</f>
        <v/>
      </c>
      <c r="CG106" s="247" t="str">
        <f ca="1">IF(CG109&lt;&gt;"",CG22,"")</f>
        <v/>
      </c>
      <c r="CH106" s="248"/>
      <c r="CI106" s="248"/>
      <c r="CJ106" s="248"/>
      <c r="CK106" s="231" t="str">
        <f>SUBSTITUTE(ADDRESS(1,
COLUMN(),1),"1","")</f>
        <v>$CK$</v>
      </c>
      <c r="CN106" s="77" t="str" cm="1">
        <f t="array" aca="1" ref="CN106" ca="1">IF(COUNTIF(CS22,"*合計*"),"",
IFERROR(
SUBSTITUTE(ADDRESS(1,
COLUMN(INDIRECT("数出表_Excel!B" &amp; (MATCH(CS22,数出表_Excel!$A:$A,0)-1))) - 1 +
MATCH(TRUE, ISNUMBER(--INDIRECT("数出表_Excel!"&amp;CN64&amp; (MATCH(CS22,数出表_Excel!$A:$A,0)-1) &amp; ":U" &amp; (MATCH(CS22,数出表_Excel!$A:$A,0)-1))), 0)
+MATCH(TRUE, ISNUMBER(--INDIRECT("数出表_Excel!B" &amp; (MATCH(CS22,数出表_Excel!$A:$A,0)-1) &amp; ":U" &amp; (MATCH(CS22,数出表_Excel!$A:$A,0)-1))), 0)+1,4),"1",""),
""))</f>
        <v/>
      </c>
      <c r="CO106" s="247" t="str">
        <f ca="1">IF(CO109&lt;&gt;"",CO22,"")</f>
        <v/>
      </c>
      <c r="CP106" s="248"/>
      <c r="CQ106" s="248"/>
      <c r="CR106" s="248"/>
      <c r="CS106" s="231" t="str">
        <f>SUBSTITUTE(ADDRESS(1,
COLUMN(),1),"1","")</f>
        <v>$CS$</v>
      </c>
      <c r="CT106" s="76"/>
      <c r="CU106" s="77" t="str" cm="1">
        <f t="array" aca="1" ref="CU106" ca="1">IF(COUNTIF(CZ22,"*合計*"),"",
IFERROR(
SUBSTITUTE(ADDRESS(1,
COLUMN(INDIRECT("数出表_Excel!B" &amp; (MATCH(CZ22,数出表_Excel!$A:$A,0)-1))) - 1 +
MATCH(TRUE, ISNUMBER(--INDIRECT("数出表_Excel!"&amp;CU64&amp; (MATCH(CZ22,数出表_Excel!$A:$A,0)-1) &amp; ":U" &amp; (MATCH(CZ22,数出表_Excel!$A:$A,0)-1))), 0)
+MATCH(TRUE, ISNUMBER(--INDIRECT("数出表_Excel!B" &amp; (MATCH(CZ22,数出表_Excel!$A:$A,0)-1) &amp; ":U" &amp; (MATCH(CZ22,数出表_Excel!$A:$A,0)-1))), 0)+1,4),"1",""),
""))</f>
        <v/>
      </c>
      <c r="CV106" s="247" t="str">
        <f ca="1">IF(CV109&lt;&gt;"",CV22,"")</f>
        <v/>
      </c>
      <c r="CW106" s="248"/>
      <c r="CX106" s="248"/>
      <c r="CY106" s="248"/>
      <c r="CZ106" s="231" t="str">
        <f>SUBSTITUTE(ADDRESS(1,
COLUMN(),1),"1","")</f>
        <v>$CZ$</v>
      </c>
      <c r="DC106" s="77" t="str" cm="1">
        <f t="array" aca="1" ref="DC106" ca="1">IF(COUNTIF(DH22,"*合計*"),"",
IFERROR(
SUBSTITUTE(ADDRESS(1,
COLUMN(INDIRECT("数出表_Excel!B" &amp; (MATCH(DH22,数出表_Excel!$A:$A,0)-1))) - 1 +
MATCH(TRUE, ISNUMBER(--INDIRECT("数出表_Excel!"&amp;DC64&amp; (MATCH(DH22,数出表_Excel!$A:$A,0)-1) &amp; ":U" &amp; (MATCH(DH22,数出表_Excel!$A:$A,0)-1))), 0)
+MATCH(TRUE, ISNUMBER(--INDIRECT("数出表_Excel!B" &amp; (MATCH(DH22,数出表_Excel!$A:$A,0)-1) &amp; ":U" &amp; (MATCH(DH22,数出表_Excel!$A:$A,0)-1))), 0)+1,4),"1",""),
""))</f>
        <v/>
      </c>
      <c r="DD106" s="247" t="str">
        <f ca="1">IF(DD109&lt;&gt;"",DD22,"")</f>
        <v/>
      </c>
      <c r="DE106" s="248"/>
      <c r="DF106" s="248"/>
      <c r="DG106" s="248"/>
      <c r="DH106" s="231" t="str">
        <f>SUBSTITUTE(ADDRESS(1,
COLUMN(),1),"1","")</f>
        <v>$DH$</v>
      </c>
      <c r="DI106" s="76"/>
      <c r="DJ106" s="77" t="str" cm="1">
        <f t="array" aca="1" ref="DJ106" ca="1">IF(COUNTIF(DO22,"*合計*"),"",
IFERROR(
SUBSTITUTE(ADDRESS(1,
COLUMN(INDIRECT("数出表_Excel!B" &amp; (MATCH(DO22,数出表_Excel!$A:$A,0)-1))) - 1 +
MATCH(TRUE, ISNUMBER(--INDIRECT("数出表_Excel!"&amp;DJ64&amp; (MATCH(DO22,数出表_Excel!$A:$A,0)-1) &amp; ":U" &amp; (MATCH(DO22,数出表_Excel!$A:$A,0)-1))), 0)
+MATCH(TRUE, ISNUMBER(--INDIRECT("数出表_Excel!B" &amp; (MATCH(DO22,数出表_Excel!$A:$A,0)-1) &amp; ":U" &amp; (MATCH(DO22,数出表_Excel!$A:$A,0)-1))), 0)+1,4),"1",""),
""))</f>
        <v/>
      </c>
      <c r="DK106" s="247" t="str">
        <f ca="1">IF(DK109&lt;&gt;"",DK22,"")</f>
        <v/>
      </c>
      <c r="DL106" s="248"/>
      <c r="DM106" s="248"/>
      <c r="DN106" s="248"/>
      <c r="DO106" s="231" t="str">
        <f>SUBSTITUTE(ADDRESS(1,
COLUMN(),1),"1","")</f>
        <v>$DO$</v>
      </c>
      <c r="DR106" s="77" t="str" cm="1">
        <f t="array" aca="1" ref="DR106" ca="1">IF(COUNTIF(DW22,"*合計*"),"",
IFERROR(
SUBSTITUTE(ADDRESS(1,
COLUMN(INDIRECT("数出表_Excel!B" &amp; (MATCH(DW22,数出表_Excel!$A:$A,0)-1))) - 1 +
MATCH(TRUE, ISNUMBER(--INDIRECT("数出表_Excel!"&amp;DR64&amp; (MATCH(DW22,数出表_Excel!$A:$A,0)-1) &amp; ":U" &amp; (MATCH(DW22,数出表_Excel!$A:$A,0)-1))), 0)
+MATCH(TRUE, ISNUMBER(--INDIRECT("数出表_Excel!B" &amp; (MATCH(DW22,数出表_Excel!$A:$A,0)-1) &amp; ":U" &amp; (MATCH(DW22,数出表_Excel!$A:$A,0)-1))), 0)+1,4),"1",""),
""))</f>
        <v/>
      </c>
      <c r="DS106" s="247" t="str">
        <f ca="1">IF(DS109&lt;&gt;"",DS22,"")</f>
        <v/>
      </c>
      <c r="DT106" s="248"/>
      <c r="DU106" s="248"/>
      <c r="DV106" s="248"/>
      <c r="DW106" s="231" t="str">
        <f>SUBSTITUTE(ADDRESS(1,
COLUMN(),1),"1","")</f>
        <v>$DW$</v>
      </c>
      <c r="DX106" s="76"/>
      <c r="DY106" s="77" t="str" cm="1">
        <f t="array" aca="1" ref="DY106" ca="1">IF(COUNTIF(ED22,"*合計*"),"",
IFERROR(
SUBSTITUTE(ADDRESS(1,
COLUMN(INDIRECT("数出表_Excel!B" &amp; (MATCH(ED22,数出表_Excel!$A:$A,0)-1))) - 1 +
MATCH(TRUE, ISNUMBER(--INDIRECT("数出表_Excel!"&amp;DY64&amp; (MATCH(ED22,数出表_Excel!$A:$A,0)-1) &amp; ":U" &amp; (MATCH(ED22,数出表_Excel!$A:$A,0)-1))), 0)
+MATCH(TRUE, ISNUMBER(--INDIRECT("数出表_Excel!B" &amp; (MATCH(ED22,数出表_Excel!$A:$A,0)-1) &amp; ":U" &amp; (MATCH(ED22,数出表_Excel!$A:$A,0)-1))), 0)+1,4),"1",""),
""))</f>
        <v/>
      </c>
      <c r="DZ106" s="247" t="str">
        <f ca="1">IF(DZ109&lt;&gt;"",DZ22,"")</f>
        <v/>
      </c>
      <c r="EA106" s="248"/>
      <c r="EB106" s="248"/>
      <c r="EC106" s="248"/>
      <c r="ED106" s="231" t="str">
        <f>SUBSTITUTE(ADDRESS(1,
COLUMN(),1),"1","")</f>
        <v>$ED$</v>
      </c>
      <c r="EG106" s="77" t="str" cm="1">
        <f t="array" aca="1" ref="EG106" ca="1">IF(COUNTIF(EL22,"*合計*"),"",
IFERROR(
SUBSTITUTE(ADDRESS(1,
COLUMN(INDIRECT("数出表_Excel!B" &amp; (MATCH(EL22,数出表_Excel!$A:$A,0)-1))) - 1 +
MATCH(TRUE, ISNUMBER(--INDIRECT("数出表_Excel!"&amp;EG64&amp; (MATCH(EL22,数出表_Excel!$A:$A,0)-1) &amp; ":U" &amp; (MATCH(EL22,数出表_Excel!$A:$A,0)-1))), 0)
+MATCH(TRUE, ISNUMBER(--INDIRECT("数出表_Excel!B" &amp; (MATCH(EL22,数出表_Excel!$A:$A,0)-1) &amp; ":U" &amp; (MATCH(EL22,数出表_Excel!$A:$A,0)-1))), 0)+1,4),"1",""),
""))</f>
        <v/>
      </c>
      <c r="EH106" s="247" t="str">
        <f ca="1">IF(EH109&lt;&gt;"",EH22,"")</f>
        <v/>
      </c>
      <c r="EI106" s="248"/>
      <c r="EJ106" s="248"/>
      <c r="EK106" s="248"/>
      <c r="EL106" s="231" t="str">
        <f>SUBSTITUTE(ADDRESS(1,
COLUMN(),1),"1","")</f>
        <v>$EL$</v>
      </c>
      <c r="EM106" s="76"/>
      <c r="EN106" s="77" t="str" cm="1">
        <f t="array" aca="1" ref="EN106" ca="1">IF(COUNTIF(ES22,"*合計*"),"",
IFERROR(
SUBSTITUTE(ADDRESS(1,
COLUMN(INDIRECT("数出表_Excel!B" &amp; (MATCH(ES22,数出表_Excel!$A:$A,0)-1))) - 1 +
MATCH(TRUE, ISNUMBER(--INDIRECT("数出表_Excel!"&amp;EN64&amp; (MATCH(ES22,数出表_Excel!$A:$A,0)-1) &amp; ":U" &amp; (MATCH(ES22,数出表_Excel!$A:$A,0)-1))), 0)
+MATCH(TRUE, ISNUMBER(--INDIRECT("数出表_Excel!B" &amp; (MATCH(ES22,数出表_Excel!$A:$A,0)-1) &amp; ":U" &amp; (MATCH(ES22,数出表_Excel!$A:$A,0)-1))), 0)+1,4),"1",""),
""))</f>
        <v/>
      </c>
      <c r="EO106" s="247" t="str">
        <f ca="1">IF(EO109&lt;&gt;"",EO22,"")</f>
        <v/>
      </c>
      <c r="EP106" s="248"/>
      <c r="EQ106" s="248"/>
      <c r="ER106" s="248"/>
      <c r="ES106" s="231" t="str">
        <f>SUBSTITUTE(ADDRESS(1,
COLUMN(),1),"1","")</f>
        <v>$ES$</v>
      </c>
      <c r="EU106" s="87">
        <f t="shared" si="8"/>
        <v>35</v>
      </c>
      <c r="EV106" s="78" t="str">
        <f t="array" aca="1" ref="EV106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LEN(SUBSTITUTE(_xlfn.FORMULATEXT(EV$76),"=","")))+$EU106)</f>
        <v/>
      </c>
      <c r="EW106" s="78" t="str">
        <f t="array" aca="1" ref="EW106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LEN(SUBSTITUTE(_xlfn.FORMULATEXT(EW$76),"=","")))+$EU106)</f>
        <v/>
      </c>
      <c r="EX106" s="78" t="str">
        <f t="array" aca="1" ref="EX106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LEN(SUBSTITUTE(_xlfn.FORMULATEXT(EX$76),"=","")))+$EU106)</f>
        <v/>
      </c>
      <c r="EY106" s="78" t="str">
        <f t="array" aca="1" ref="EY106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LEN(SUBSTITUTE(_xlfn.FORMULATEXT(EY$76),"=","")))+$EU106)</f>
        <v/>
      </c>
      <c r="EZ106" s="78" t="str">
        <f t="array" aca="1" ref="EZ106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LEN(SUBSTITUTE(_xlfn.FORMULATEXT(EZ$76),"=","")))+$EU106)</f>
        <v/>
      </c>
      <c r="FA106" s="78" t="e">
        <f t="array" aca="1" ref="FA106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LEN(SUBSTITUTE(_xlfn.FORMULATEXT(FA$76),"=","")))+$EU106)</f>
        <v>#VALUE!</v>
      </c>
      <c r="FB106" s="78" t="e">
        <f t="array" aca="1" ref="FB106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LEN(SUBSTITUTE(_xlfn.FORMULATEXT(FB$76),"=","")))+$EU106)</f>
        <v>#VALUE!</v>
      </c>
      <c r="FC106" s="78" t="str">
        <f t="array" aca="1" ref="FC106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LEN(SUBSTITUTE(_xlfn.FORMULATEXT(FC$76),"=","")))+$EU106)</f>
        <v/>
      </c>
      <c r="FD106" s="78" t="e">
        <f t="array" aca="1" ref="FD106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LEN(SUBSTITUTE(_xlfn.FORMULATEXT(FD$76),"=","")))+$EU106)</f>
        <v>#VALUE!</v>
      </c>
      <c r="FE106" s="78" t="str">
        <f t="array" aca="1" ref="FE106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LEN(SUBSTITUTE(_xlfn.FORMULATEXT(FE$76),"=","")))+$EU106)</f>
        <v/>
      </c>
      <c r="FF106" s="78" t="e">
        <f t="array" aca="1" ref="FF106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LEN(SUBSTITUTE(_xlfn.FORMULATEXT(FF$76),"=","")))+$EU106)</f>
        <v>#VALUE!</v>
      </c>
      <c r="FG106" s="78">
        <f t="shared" ca="1" si="7"/>
        <v>0</v>
      </c>
      <c r="FH106" s="78" t="e">
        <f t="array" aca="1" ref="FH106" ca="1">SUMPRODUCT((LEN(EV106:FF106)&gt;0)*1)&gt;0</f>
        <v>#VALUE!</v>
      </c>
      <c r="FI106" s="78" t="str">
        <f t="array" aca="1" ref="FI106" ca="1">IFERROR(SMALL(IF(FG$1:FG$228&lt;&gt;0,FG$1:FG$228),ROW(A106)),"")</f>
        <v/>
      </c>
      <c r="FJ106" s="78" t="str">
        <f t="array" aca="1" ref="FJ106" ca="1">IF($FI106&lt;&gt;"",
INDIRECT(""&amp;IF(COLUMN(EV158)&lt;=26,CHAR(COLUMN(EV158)+64),CHAR(INT((COLUMN(EV158)-1)/26)+64)&amp;CHAR(MOD(COLUMN(EV158)-1,26)+65))&amp;$FI106&amp;""),"")</f>
        <v/>
      </c>
      <c r="FK106" s="78" t="str">
        <f t="array" aca="1" ref="FK106" ca="1">IF($FI106&lt;&gt;"",
INDIRECT(""&amp;IF(COLUMN(EW158)&lt;=26,CHAR(COLUMN(EW158)+64),CHAR(INT((COLUMN(EW158)-1)/26)+64)&amp;CHAR(MOD(COLUMN(EW158)-1,26)+65))&amp;$FI106&amp;""),"")</f>
        <v/>
      </c>
      <c r="FL106" s="78" t="str">
        <f t="array" aca="1" ref="FL106" ca="1">IF($FI106&lt;&gt;"",
INDIRECT(""&amp;IF(COLUMN(EX158)&lt;=26,CHAR(COLUMN(EX158)+64),CHAR(INT((COLUMN(EX158)-1)/26)+64)&amp;CHAR(MOD(COLUMN(EX158)-1,26)+65))&amp;$FI106&amp;""),"")</f>
        <v/>
      </c>
      <c r="FM106" s="78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78" t="str">
        <f t="array" aca="1" ref="FN106" ca="1">IF($FI106&lt;&gt;"",
INDIRECT(""&amp;IF(COLUMN(FA158)&lt;=26,CHAR(COLUMN(FA158)+64),CHAR(INT((COLUMN(FA158)-1)/26)+64)&amp;CHAR(MOD(COLUMN(FA158)-1,26)+65))&amp;$FI106&amp;""),"")</f>
        <v/>
      </c>
      <c r="FO106" s="78" t="str">
        <f t="array" aca="1" ref="FO106" ca="1">IF($FI106&lt;&gt;"",
INDIRECT(""&amp;IF(COLUMN(FB158)&lt;=26,CHAR(COLUMN(FB158)+64),CHAR(INT((COLUMN(FB158)-1)/26)+64)&amp;CHAR(MOD(COLUMN(FB158)-1,26)+65))&amp;$FI106&amp;""),"")</f>
        <v/>
      </c>
      <c r="FP106" s="78" t="str">
        <f t="array" aca="1" ref="FP106" ca="1">IF($FI106&lt;&gt;"",
INDIRECT(""&amp;IF(COLUMN(FC158)&lt;=26,CHAR(COLUMN(FC158)+64),CHAR(INT((COLUMN(FC158)-1)/26)+64)&amp;CHAR(MOD(COLUMN(FC158)-1,26)+65))&amp;$FI106&amp;""),"")</f>
        <v/>
      </c>
      <c r="FQ106" s="78" t="str">
        <f t="array" aca="1" ref="FQ106" ca="1">IF($FI106&lt;&gt;"",
INDIRECT(""&amp;IF(COLUMN(FD158)&lt;=26,CHAR(COLUMN(FD158)+64),CHAR(INT((COLUMN(FD158)-1)/26)+64)&amp;CHAR(MOD(COLUMN(FD158)-1,26)+65))&amp;$FI106&amp;""),"")</f>
        <v/>
      </c>
      <c r="FR106" s="78" t="str">
        <f t="array" aca="1" ref="FR106" ca="1">IF($FI106&lt;&gt;"",
INDIRECT(""&amp;IF(COLUMN(FE158)&lt;=26,CHAR(COLUMN(FE158)+64),CHAR(INT((COLUMN(FE158)-1)/26)+64)&amp;CHAR(MOD(COLUMN(FE158)-1,26)+65))&amp;$FI106&amp;""),"")</f>
        <v/>
      </c>
      <c r="FS106" s="78" t="str">
        <f t="array" aca="1" ref="FS106" ca="1">IF($FI106&lt;&gt;"",
INDIRECT(""&amp;IF(COLUMN(FF158)&lt;=26,CHAR(COLUMN(FF158)+64),CHAR(INT((COLUMN(FF158)-1)/26)+64)&amp;CHAR(MOD(COLUMN(FF158)-1,26)+65))&amp;$FI106&amp;""),"")</f>
        <v/>
      </c>
    </row>
    <row r="107" spans="2:175" ht="22.2" customHeight="1" x14ac:dyDescent="0.55000000000000004">
      <c r="B107" s="81" t="e" cm="1">
        <f t="array" aca="1" ref="B107" ca="1">IF(B24&lt;&gt;100,
IF(C109&lt;&gt;"",MATCH(C109,INDIRECT("数出表_Excel!B"&amp;MATCH(G22,数出表_Excel!$A:$A,0)-1&amp;":U"&amp;MATCH(G22,数出表_Excel!$A:$A,0)-1&amp;""),0)+1,""),
IF(C109&lt;&gt;"",
MATCH(
IFERROR(
INDEX(INDIRECT("数出表_Excel!"&amp;B106&amp;MATCH(G22,数出表_Excel!$A:$A,0)-1&amp;":U"&amp;MATCH(G22,数出表_Excel!$A:$A,0)-1&amp;""),
 1,
 MATCH(TRUE, ISNUMBER(--INDIRECT("数出表_Excel!"&amp;B106&amp;MATCH(G22,数出表_Excel!$A:$A,0)-1&amp;":U"&amp;MATCH(G22,数出表_Excel!$A:$A,0)-1&amp;"")),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107" s="58" t="str" cm="1">
        <f t="array" aca="1" ref="C107" ca="1">IFERROR(IF(OR(
COUNTIF(INDIRECT("数出表_Excel!" &amp;
CHAR(MATCH(TRUE,
ISNUMBER(--INDIRECT("数出表_Excel!"&amp;B106&amp;MATCH(G22,数出表_Excel!$A:$A,0)-1&amp;":U"&amp;MATCH(G22,数出表_Excel!$A:$A,0)-1&amp;"")),0)
+MATCH(TRUE, ISNUMBER(--INDIRECT("数出表_Excel!B" &amp; (MATCH(G22,数出表_Excel!$A:$A,0)-1) &amp; ":U" &amp; (MATCH(G22,数出表_Excel!$A:$A,0)-1))), 0)
+MATCH(TRUE, ISNUMBER(--INDIRECT("数出表_Excel!"&amp;B64&amp; (MATCH(G22,数出表_Excel!$A:$A,0)-1) &amp; ":U" &amp; (MATCH(G22,数出表_Excel!$A:$A,0)-1))), 0)
+65) &amp; "3"),"*配膳*"),
COUNTIF(INDIRECT("数出表_Excel!" &amp;
CHAR(MATCH(TRUE,
ISNUMBER(--INDIRECT("数出表_Excel!"&amp;B106&amp;MATCH(G22,数出表_Excel!$A:$A,0)-1&amp;":U"&amp;MATCH(G22,数出表_Excel!$A:$A,0)-1&amp;"")),0)
+MATCH(TRUE, ISNUMBER(--INDIRECT("数出表_Excel!B" &amp; (MATCH(G22,数出表_Excel!$A:$A,0)-1) &amp; ":U" &amp; (MATCH(G22,数出表_Excel!$A:$A,0)-1))), 0)
+MATCH(TRUE, ISNUMBER(--INDIRECT("数出表_Excel!"&amp;B64&amp; (MATCH(G22,数出表_Excel!$A:$A,0)-1) &amp; ":U" &amp; (MATCH(G22,数出表_Excel!$A:$A,0)-1))), 0)
+65) &amp; "3"),"*カレー*"),
COUNTIF(C64,"*合計*")),"",
IF(IFERROR(INDIRECT("数出表_Excel!" &amp;
CHAR(MATCH(TRUE,
ISNUMBER(--INDIRECT("数出表_Excel!"&amp;B106&amp;MATCH(G22,数出表_Excel!$A:$A,0)-1&amp;":U"&amp;MATCH(G22,数出表_Excel!$A:$A,0)-1&amp;"")),0)
+MATCH(TRUE, ISNUMBER(--INDIRECT("数出表_Excel!B" &amp; (MATCH(G22,数出表_Excel!$A:$A,0)-1) &amp; ":U" &amp; (MATCH(G22,数出表_Excel!$A:$A,0)-1))), 0)
+MATCH(TRUE, ISNUMBER(--INDIRECT("数出表_Excel!"&amp;B64&amp; (MATCH(G22,数出表_Excel!$A:$A,0)-1) &amp; ":U" &amp; (MATCH(G22,数出表_Excel!$A:$A,0)-1))), 0)
+65) &amp; "3"),0)=0,"",
IFERROR(INDIRECT("数出表_Excel!" &amp;
CHAR(MATCH(TRUE,
ISNUMBER(--INDIRECT("数出表_Excel!"&amp;B106&amp;MATCH(G22,数出表_Excel!$A:$A,0)-1&amp;":U"&amp;MATCH(G22,数出表_Excel!$A:$A,0)-1&amp;"")),0)
+MATCH(TRUE, ISNUMBER(--INDIRECT("数出表_Excel!B" &amp; (MATCH(G22,数出表_Excel!$A:$A,0)-1) &amp; ":U" &amp; (MATCH(G22,数出表_Excel!$A:$A,0)-1))), 0)
+MATCH(TRUE, ISNUMBER(--INDIRECT("数出表_Excel!"&amp;B64&amp; (MATCH(G22,数出表_Excel!$A:$A,0)-1) &amp; ":U" &amp; (MATCH(G22,数出表_Excel!$A:$A,0)-1))), 0)
+65) &amp; "3"),""))),"")</f>
        <v/>
      </c>
      <c r="D107" s="76"/>
      <c r="E107" s="82" t="str" cm="1">
        <f t="array" aca="1" ref="E107" ca="1">IF(F107&lt;&gt;"","",
IF(COUNTIF(C106,"*雙葉*"),"",
IF(C106&lt;&gt;"",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+MATCH(TRUE,INDIRECT("'数出表_Excel'!"&amp;B106&amp;MATCH(G22,数出表_Excel!$A:$A,0)-1&amp;":AL"&amp;MATCH(G22,数出表_Excel!$A:$A,0)-1&amp;"")&lt;&gt;"",0))&gt;9,"",
IFERROR(
INDEX(INDIRECT("数出表_Excel!$"&amp;B106&amp;"4:$AL4"),
 1,
MATCH(TRUE,INDIRECT("'数出表_Excel'!"&amp;B106&amp;MATCH(G22,数出表_Excel!$A:$A,0)-1&amp;":AL"&amp;MATCH(G22,数出表_Excel!$A:$A,0)-1&amp;"")&lt;&gt;"",0)
),
 "")
&amp;IFERROR(
INDEX(INDIRECT("数出表_Excel!$"&amp;B106&amp;"5:$AL5"),
 1,
MATCH(TRUE,INDIRECT("'数出表_Excel'!"&amp;B106&amp;MATCH(G22,数出表_Excel!$A:$A,0)-1&amp;":AL"&amp;MATCH(G22,数出表_Excel!$A:$A,0)-1&amp;"")&lt;&gt;"",0)),
 "")),"")))</f>
        <v/>
      </c>
      <c r="F107" s="83" t="str" cm="1">
        <f t="array" aca="1" ref="F107" ca="1">IF(C107&lt;&gt;"",
IF(COUNTIF(C106,"*雙葉*"),
IF(ROUND(
IF(F112&lt;&gt;"",(C109-F112),C109)
/IF(COUNTIF(C107,"*キャラ*"),
VLOOKUP("*キャラ*",商品マスタ一覧!$D:$J,7,FALSE),
IF(COUNTIF(C107,"*赤*"),
VLOOKUP("*赤*",商品マスタ一覧!$D:$J,7,FALSE),
VLOOKUP(C107,商品マスタ一覧!$D:$J,7,FALSE))),0)&lt;=0,1,
ROUND(
IF(F112&lt;&gt;"",(C109-F112),C109)
/IF(COUNTIF(C107,"*キャラ*"),
VLOOKUP("*キャラ*",商品マスタ一覧!$D:$J,7,FALSE),
IF(COUNTIF(C107,"*赤*"),
VLOOKUP("*赤*",商品マスタ一覧!$D:$J,7,FALSE),
VLOOKUP(C107,商品マスタ一覧!$D:$J,7,FALSE))),0)),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IF(C107&lt;&gt;"",
IF(IF(COUNTIF(C107,"*キャラ*"),
VLOOKUP("*キャラ*",商品マスタ一覧!$D:$J,7,FALSE),
IF(COUNTIF(C107,"*赤*"),
VLOOKUP("*赤*",商品マスタ一覧!$D:$J,7,FALSE),
VLOOKUP(C107,商品マスタ一覧!$D:$J,7,FALSE)))=0,"",
IF(ROUND(
IF(F112&lt;&gt;"",(C109-F112),C109)
/IF(COUNTIF(C107,"*キャラ*"),
VLOOKUP("*キャラ*",商品マスタ一覧!$D:$J,7,FALSE),
IF(COUNTIF(C107,"*赤*"),
VLOOKUP("*赤*",商品マスタ一覧!$D:$J,7,FALSE),
VLOOKUP(C107,商品マスタ一覧!$D:$J,7,FALSE))),0)&lt;=0,1,
ROUND(
IF(F112&lt;&gt;"",(C109-F112),C109)
/IF(COUNTIF(C107,"*キャラ*"),
VLOOKUP("*キャラ*",商品マスタ一覧!$D:$J,7,FALSE),
IF(COUNTIF(C107,"*赤*"),
VLOOKUP("*赤*",商品マスタ一覧!$D:$J,7,FALSE),
VLOOKUP(C107,商品マスタ一覧!$D:$J,7,FALSE))),0))),""),"")),"")</f>
        <v/>
      </c>
      <c r="G107" s="92" t="str">
        <f ca="1">IF(F107&lt;&gt;"",IF(C109&lt;&gt;"",IF(VALUE(IF(F112&lt;&gt;"",C109-F112,C109))&gt;VALUE(IF(COUNTIF('盛付札（関数）'!C107,"*キャラ*"),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VLOOKUP('盛付札（関数）'!C107,商品マスタ一覧!$D:$J,7,FALSE)))*F107),
"+"&amp;IF(F112&lt;&gt;"",C109-F112,C109)-IF(COUNTIF('盛付札（関数）'!C107,"*キャラ*"),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VLOOKUP('盛付札（関数）'!C107,商品マスタ一覧!$D:$J,7,FALSE)))*F107,
IF(F112&lt;&gt;"",C109-F112,C109)-IF(COUNTIF('盛付札（関数）'!C107,"*キャラ*"),
VLOOKUP("*キャラ*",商品マスタ一覧!$D:$J,7,FALSE),
IF(COUNTIF('盛付札（関数）'!C107,"*赤*"),
VLOOKUP("*赤*",商品マスタ一覧!$D:$J,7,FALSE),
VLOOKUP('盛付札（関数）'!C107,商品マスタ一覧!$D:$J,7,FALSE)))*F107),""),"")</f>
        <v/>
      </c>
      <c r="H107" s="76"/>
      <c r="I107" s="81" t="e" cm="1">
        <f t="array" aca="1" ref="I107" ca="1">IF(I24&lt;&gt;100,
IF(J109&lt;&gt;"",MATCH(J109,INDIRECT("数出表_Excel!B"&amp;MATCH(N22,数出表_Excel!$A:$A,0)-1&amp;":U"&amp;MATCH(N22,数出表_Excel!$A:$A,0)-1&amp;""),0)+1,""),
IF(J109&lt;&gt;"",
MATCH(
IFERROR(
INDEX(INDIRECT("数出表_Excel!"&amp;I106&amp;MATCH(N22,数出表_Excel!$A:$A,0)-1&amp;":U"&amp;MATCH(N22,数出表_Excel!$A:$A,0)-1&amp;""),
 1,
 MATCH(TRUE, ISNUMBER(--INDIRECT("数出表_Excel!"&amp;I106&amp;MATCH(N22,数出表_Excel!$A:$A,0)-1&amp;":U"&amp;MATCH(N22,数出表_Excel!$A:$A,0)-1&amp;"")),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107" s="58" t="str" cm="1">
        <f t="array" aca="1" ref="J107" ca="1">IFERROR(IF(OR(
COUNTIF(INDIRECT("数出表_Excel!" &amp;
CHAR(MATCH(TRUE,
ISNUMBER(--INDIRECT("数出表_Excel!"&amp;I106&amp;MATCH(N22,数出表_Excel!$A:$A,0)-1&amp;":U"&amp;MATCH(N22,数出表_Excel!$A:$A,0)-1&amp;"")),0)
+MATCH(TRUE, ISNUMBER(--INDIRECT("数出表_Excel!B" &amp; (MATCH(N22,数出表_Excel!$A:$A,0)-1) &amp; ":U" &amp; (MATCH(N22,数出表_Excel!$A:$A,0)-1))), 0)
+MATCH(TRUE, ISNUMBER(--INDIRECT("数出表_Excel!"&amp;I64&amp; (MATCH(N22,数出表_Excel!$A:$A,0)-1) &amp; ":U" &amp; (MATCH(N22,数出表_Excel!$A:$A,0)-1))), 0)
+65) &amp; "3"),"*配膳*"),
COUNTIF(INDIRECT("数出表_Excel!" &amp;
CHAR(MATCH(TRUE,
ISNUMBER(--INDIRECT("数出表_Excel!"&amp;I106&amp;MATCH(N22,数出表_Excel!$A:$A,0)-1&amp;":U"&amp;MATCH(N22,数出表_Excel!$A:$A,0)-1&amp;"")),0)
+MATCH(TRUE, ISNUMBER(--INDIRECT("数出表_Excel!B" &amp; (MATCH(N22,数出表_Excel!$A:$A,0)-1) &amp; ":U" &amp; (MATCH(N22,数出表_Excel!$A:$A,0)-1))), 0)
+MATCH(TRUE, ISNUMBER(--INDIRECT("数出表_Excel!"&amp;I64&amp; (MATCH(N22,数出表_Excel!$A:$A,0)-1) &amp; ":U" &amp; (MATCH(N22,数出表_Excel!$A:$A,0)-1))), 0)
+65) &amp; "3"),"*カレー*"),
COUNTIF(J64,"*合計*")),"",
IF(IFERROR(INDIRECT("数出表_Excel!" &amp;
CHAR(MATCH(TRUE,
ISNUMBER(--INDIRECT("数出表_Excel!"&amp;I106&amp;MATCH(N22,数出表_Excel!$A:$A,0)-1&amp;":U"&amp;MATCH(N22,数出表_Excel!$A:$A,0)-1&amp;"")),0)
+MATCH(TRUE, ISNUMBER(--INDIRECT("数出表_Excel!B" &amp; (MATCH(N22,数出表_Excel!$A:$A,0)-1) &amp; ":U" &amp; (MATCH(N22,数出表_Excel!$A:$A,0)-1))), 0)
+MATCH(TRUE, ISNUMBER(--INDIRECT("数出表_Excel!"&amp;I64&amp; (MATCH(N22,数出表_Excel!$A:$A,0)-1) &amp; ":U" &amp; (MATCH(N22,数出表_Excel!$A:$A,0)-1))), 0)
+65) &amp; "3"),0)=0,"",
IFERROR(INDIRECT("数出表_Excel!" &amp;
CHAR(MATCH(TRUE,
ISNUMBER(--INDIRECT("数出表_Excel!"&amp;I106&amp;MATCH(N22,数出表_Excel!$A:$A,0)-1&amp;":U"&amp;MATCH(N22,数出表_Excel!$A:$A,0)-1&amp;"")),0)
+MATCH(TRUE, ISNUMBER(--INDIRECT("数出表_Excel!B" &amp; (MATCH(N22,数出表_Excel!$A:$A,0)-1) &amp; ":U" &amp; (MATCH(N22,数出表_Excel!$A:$A,0)-1))), 0)
+MATCH(TRUE, ISNUMBER(--INDIRECT("数出表_Excel!"&amp;I64&amp; (MATCH(N22,数出表_Excel!$A:$A,0)-1) &amp; ":U" &amp; (MATCH(N22,数出表_Excel!$A:$A,0)-1))), 0)
+65) &amp; "3"),""))),"")</f>
        <v/>
      </c>
      <c r="K107" s="76"/>
      <c r="L107" s="82" t="str" cm="1">
        <f t="array" aca="1" ref="L107" ca="1">IF(M107&lt;&gt;"","",
IF(COUNTIF(J106,"*雙葉*"),"",
IF(J106&lt;&gt;"",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+MATCH(TRUE,INDIRECT("'数出表_Excel'!"&amp;I106&amp;MATCH(N22,数出表_Excel!$A:$A,0)-1&amp;":AL"&amp;MATCH(N22,数出表_Excel!$A:$A,0)-1&amp;"")&lt;&gt;"",0))&gt;9,"",
IFERROR(
INDEX(INDIRECT("数出表_Excel!$"&amp;I106&amp;"4:$AL4"),
 1,
MATCH(TRUE,INDIRECT("'数出表_Excel'!"&amp;I106&amp;MATCH(N22,数出表_Excel!$A:$A,0)-1&amp;":AL"&amp;MATCH(N22,数出表_Excel!$A:$A,0)-1&amp;"")&lt;&gt;"",0)
),
 "")
&amp;IFERROR(
INDEX(INDIRECT("数出表_Excel!$"&amp;I106&amp;"5:$AL5"),
 1,
MATCH(TRUE,INDIRECT("'数出表_Excel'!"&amp;I106&amp;MATCH(N22,数出表_Excel!$A:$A,0)-1&amp;":AL"&amp;MATCH(N22,数出表_Excel!$A:$A,0)-1&amp;"")&lt;&gt;"",0)),
 "")),"")))</f>
        <v/>
      </c>
      <c r="M107" s="83" t="str" cm="1">
        <f t="array" aca="1" ref="M107" ca="1">IF(J107&lt;&gt;"",
IF(COUNTIF(J106,"*雙葉*"),
IF(ROUND(
IF(M112&lt;&gt;"",(J109-M112),J109)
/IF(COUNTIF(J107,"*キャラ*"),
VLOOKUP("*キャラ*",商品マスタ一覧!$D:$J,7,FALSE),
IF(COUNTIF(J107,"*赤*"),
VLOOKUP("*赤*",商品マスタ一覧!$D:$J,7,FALSE),
VLOOKUP(J107,商品マスタ一覧!$D:$J,7,FALSE))),0)&lt;=0,1,
ROUND(
IF(M112&lt;&gt;"",(J109-M112),J109)
/IF(COUNTIF(J107,"*キャラ*"),
VLOOKUP("*キャラ*",商品マスタ一覧!$D:$J,7,FALSE),
IF(COUNTIF(J107,"*赤*"),
VLOOKUP("*赤*",商品マスタ一覧!$D:$J,7,FALSE),
VLOOKUP(J107,商品マスタ一覧!$D:$J,7,FALSE))),0)),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IF(J107&lt;&gt;"",
IF(IF(COUNTIF(J107,"*キャラ*"),
VLOOKUP("*キャラ*",商品マスタ一覧!$D:$J,7,FALSE),
IF(COUNTIF(J107,"*赤*"),
VLOOKUP("*赤*",商品マスタ一覧!$D:$J,7,FALSE),
VLOOKUP(J107,商品マスタ一覧!$D:$J,7,FALSE)))=0,"",
IF(ROUND(
IF(M112&lt;&gt;"",(J109-M112),J109)
/IF(COUNTIF(J107,"*キャラ*"),
VLOOKUP("*キャラ*",商品マスタ一覧!$D:$J,7,FALSE),
IF(COUNTIF(J107,"*赤*"),
VLOOKUP("*赤*",商品マスタ一覧!$D:$J,7,FALSE),
VLOOKUP(J107,商品マスタ一覧!$D:$J,7,FALSE))),0)&lt;=0,1,
ROUND(
IF(M112&lt;&gt;"",(J109-M112),J109)
/IF(COUNTIF(J107,"*キャラ*"),
VLOOKUP("*キャラ*",商品マスタ一覧!$D:$J,7,FALSE),
IF(COUNTIF(J107,"*赤*"),
VLOOKUP("*赤*",商品マスタ一覧!$D:$J,7,FALSE),
VLOOKUP(J107,商品マスタ一覧!$D:$J,7,FALSE))),0))),""),"")),"")</f>
        <v/>
      </c>
      <c r="N107" s="92" t="str">
        <f ca="1">IF(M107&lt;&gt;"",IF(J109&lt;&gt;"",IF(VALUE(IF(M112&lt;&gt;"",J109-M112,J109))&gt;VALUE(IF(COUNTIF('盛付札（関数）'!J107,"*キャラ*"),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VLOOKUP('盛付札（関数）'!J107,商品マスタ一覧!$D:$J,7,FALSE)))*M107),
"+"&amp;IF(M112&lt;&gt;"",J109-M112,J109)-IF(COUNTIF('盛付札（関数）'!J107,"*キャラ*"),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VLOOKUP('盛付札（関数）'!J107,商品マスタ一覧!$D:$J,7,FALSE)))*M107,
IF(M112&lt;&gt;"",J109-M112,J109)-IF(COUNTIF('盛付札（関数）'!J107,"*キャラ*"),
VLOOKUP("*キャラ*",商品マスタ一覧!$D:$J,7,FALSE),
IF(COUNTIF('盛付札（関数）'!J107,"*赤*"),
VLOOKUP("*赤*",商品マスタ一覧!$D:$J,7,FALSE),
VLOOKUP('盛付札（関数）'!J107,商品マスタ一覧!$D:$J,7,FALSE)))*M107),""),"")</f>
        <v/>
      </c>
      <c r="Q107" s="81" t="e" cm="1">
        <f t="array" aca="1" ref="Q107" ca="1">IF(Q24&lt;&gt;100,
IF(R109&lt;&gt;"",MATCH(R109,INDIRECT("数出表_Excel!B"&amp;MATCH(V22,数出表_Excel!$A:$A,0)-1&amp;":U"&amp;MATCH(V22,数出表_Excel!$A:$A,0)-1&amp;""),0)+1,""),
IF(R109&lt;&gt;"",
MATCH(
IFERROR(
INDEX(INDIRECT("数出表_Excel!"&amp;Q106&amp;MATCH(V22,数出表_Excel!$A:$A,0)-1&amp;":U"&amp;MATCH(V22,数出表_Excel!$A:$A,0)-1&amp;""),
 1,
 MATCH(TRUE, ISNUMBER(--INDIRECT("数出表_Excel!"&amp;Q106&amp;MATCH(V22,数出表_Excel!$A:$A,0)-1&amp;":U"&amp;MATCH(V22,数出表_Excel!$A:$A,0)-1&amp;"")),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107" s="58" t="str" cm="1">
        <f t="array" aca="1" ref="R107" ca="1">IFERROR(IF(OR(
COUNTIF(INDIRECT("数出表_Excel!" &amp;
CHAR(MATCH(TRUE,
ISNUMBER(--INDIRECT("数出表_Excel!"&amp;Q106&amp;MATCH(V22,数出表_Excel!$A:$A,0)-1&amp;":U"&amp;MATCH(V22,数出表_Excel!$A:$A,0)-1&amp;"")),0)
+MATCH(TRUE, ISNUMBER(--INDIRECT("数出表_Excel!B" &amp; (MATCH(V22,数出表_Excel!$A:$A,0)-1) &amp; ":U" &amp; (MATCH(V22,数出表_Excel!$A:$A,0)-1))), 0)
+MATCH(TRUE, ISNUMBER(--INDIRECT("数出表_Excel!"&amp;Q64&amp; (MATCH(V22,数出表_Excel!$A:$A,0)-1) &amp; ":U" &amp; (MATCH(V22,数出表_Excel!$A:$A,0)-1))), 0)
+65) &amp; "3"),"*配膳*"),
COUNTIF(INDIRECT("数出表_Excel!" &amp;
CHAR(MATCH(TRUE,
ISNUMBER(--INDIRECT("数出表_Excel!"&amp;Q106&amp;MATCH(V22,数出表_Excel!$A:$A,0)-1&amp;":U"&amp;MATCH(V22,数出表_Excel!$A:$A,0)-1&amp;"")),0)
+MATCH(TRUE, ISNUMBER(--INDIRECT("数出表_Excel!B" &amp; (MATCH(V22,数出表_Excel!$A:$A,0)-1) &amp; ":U" &amp; (MATCH(V22,数出表_Excel!$A:$A,0)-1))), 0)
+MATCH(TRUE, ISNUMBER(--INDIRECT("数出表_Excel!"&amp;Q64&amp; (MATCH(V22,数出表_Excel!$A:$A,0)-1) &amp; ":U" &amp; (MATCH(V22,数出表_Excel!$A:$A,0)-1))), 0)
+65) &amp; "3"),"*カレー*"),
COUNTIF(R64,"*合計*")),"",
IF(IFERROR(INDIRECT("数出表_Excel!" &amp;
CHAR(MATCH(TRUE,
ISNUMBER(--INDIRECT("数出表_Excel!"&amp;Q106&amp;MATCH(V22,数出表_Excel!$A:$A,0)-1&amp;":U"&amp;MATCH(V22,数出表_Excel!$A:$A,0)-1&amp;"")),0)
+MATCH(TRUE, ISNUMBER(--INDIRECT("数出表_Excel!B" &amp; (MATCH(V22,数出表_Excel!$A:$A,0)-1) &amp; ":U" &amp; (MATCH(V22,数出表_Excel!$A:$A,0)-1))), 0)
+MATCH(TRUE, ISNUMBER(--INDIRECT("数出表_Excel!"&amp;Q64&amp; (MATCH(V22,数出表_Excel!$A:$A,0)-1) &amp; ":U" &amp; (MATCH(V22,数出表_Excel!$A:$A,0)-1))), 0)
+65) &amp; "3"),0)=0,"",
IFERROR(INDIRECT("数出表_Excel!" &amp;
CHAR(MATCH(TRUE,
ISNUMBER(--INDIRECT("数出表_Excel!"&amp;Q106&amp;MATCH(V22,数出表_Excel!$A:$A,0)-1&amp;":U"&amp;MATCH(V22,数出表_Excel!$A:$A,0)-1&amp;"")),0)
+MATCH(TRUE, ISNUMBER(--INDIRECT("数出表_Excel!B" &amp; (MATCH(V22,数出表_Excel!$A:$A,0)-1) &amp; ":U" &amp; (MATCH(V22,数出表_Excel!$A:$A,0)-1))), 0)
+MATCH(TRUE, ISNUMBER(--INDIRECT("数出表_Excel!"&amp;Q64&amp; (MATCH(V22,数出表_Excel!$A:$A,0)-1) &amp; ":U" &amp; (MATCH(V22,数出表_Excel!$A:$A,0)-1))), 0)
+65) &amp; "3"),""))),"")</f>
        <v/>
      </c>
      <c r="S107" s="76"/>
      <c r="T107" s="82" t="str" cm="1">
        <f t="array" aca="1" ref="T107" ca="1">IF(U107&lt;&gt;"","",
IF(COUNTIF(R106,"*雙葉*"),"",
IF(R106&lt;&gt;"",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+MATCH(TRUE,INDIRECT("'数出表_Excel'!"&amp;Q106&amp;MATCH(V22,数出表_Excel!$A:$A,0)-1&amp;":AL"&amp;MATCH(V22,数出表_Excel!$A:$A,0)-1&amp;"")&lt;&gt;"",0))&gt;9,"",
IFERROR(
INDEX(INDIRECT("数出表_Excel!$"&amp;Q106&amp;"4:$AL4"),
 1,
MATCH(TRUE,INDIRECT("'数出表_Excel'!"&amp;Q106&amp;MATCH(V22,数出表_Excel!$A:$A,0)-1&amp;":AL"&amp;MATCH(V22,数出表_Excel!$A:$A,0)-1&amp;"")&lt;&gt;"",0)
),
 "")
&amp;IFERROR(
INDEX(INDIRECT("数出表_Excel!$"&amp;Q106&amp;"5:$AL5"),
 1,
MATCH(TRUE,INDIRECT("'数出表_Excel'!"&amp;Q106&amp;MATCH(V22,数出表_Excel!$A:$A,0)-1&amp;":AL"&amp;MATCH(V22,数出表_Excel!$A:$A,0)-1&amp;"")&lt;&gt;"",0)),
 "")),"")))</f>
        <v/>
      </c>
      <c r="U107" s="83" t="str" cm="1">
        <f t="array" aca="1" ref="U107" ca="1">IF(R107&lt;&gt;"",
IF(COUNTIF(R106,"*雙葉*"),
IF(ROUND(
IF(U112&lt;&gt;"",(R109-U112),R109)
/IF(COUNTIF(R107,"*キャラ*"),
VLOOKUP("*キャラ*",商品マスタ一覧!$D:$J,7,FALSE),
IF(COUNTIF(R107,"*赤*"),
VLOOKUP("*赤*",商品マスタ一覧!$D:$J,7,FALSE),
VLOOKUP(R107,商品マスタ一覧!$D:$J,7,FALSE))),0)&lt;=0,1,
ROUND(
IF(U112&lt;&gt;"",(R109-U112),R109)
/IF(COUNTIF(R107,"*キャラ*"),
VLOOKUP("*キャラ*",商品マスタ一覧!$D:$J,7,FALSE),
IF(COUNTIF(R107,"*赤*"),
VLOOKUP("*赤*",商品マスタ一覧!$D:$J,7,FALSE),
VLOOKUP(R107,商品マスタ一覧!$D:$J,7,FALSE))),0)),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IF(R107&lt;&gt;"",
IF(IF(COUNTIF(R107,"*キャラ*"),
VLOOKUP("*キャラ*",商品マスタ一覧!$D:$J,7,FALSE),
IF(COUNTIF(R107,"*赤*"),
VLOOKUP("*赤*",商品マスタ一覧!$D:$J,7,FALSE),
VLOOKUP(R107,商品マスタ一覧!$D:$J,7,FALSE)))=0,"",
IF(ROUND(
IF(U112&lt;&gt;"",(R109-U112),R109)
/IF(COUNTIF(R107,"*キャラ*"),
VLOOKUP("*キャラ*",商品マスタ一覧!$D:$J,7,FALSE),
IF(COUNTIF(R107,"*赤*"),
VLOOKUP("*赤*",商品マスタ一覧!$D:$J,7,FALSE),
VLOOKUP(R107,商品マスタ一覧!$D:$J,7,FALSE))),0)&lt;=0,1,
ROUND(
IF(U112&lt;&gt;"",(R109-U112),R109)
/IF(COUNTIF(R107,"*キャラ*"),
VLOOKUP("*キャラ*",商品マスタ一覧!$D:$J,7,FALSE),
IF(COUNTIF(R107,"*赤*"),
VLOOKUP("*赤*",商品マスタ一覧!$D:$J,7,FALSE),
VLOOKUP(R107,商品マスタ一覧!$D:$J,7,FALSE))),0))),""),"")),"")</f>
        <v/>
      </c>
      <c r="V107" s="92" t="str">
        <f ca="1">IF(U107&lt;&gt;"",IF(R109&lt;&gt;"",IF(VALUE(IF(U112&lt;&gt;"",R109-U112,R109))&gt;VALUE(IF(COUNTIF('盛付札（関数）'!R107,"*キャラ*"),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VLOOKUP('盛付札（関数）'!R107,商品マスタ一覧!$D:$J,7,FALSE)))*U107),
"+"&amp;IF(U112&lt;&gt;"",R109-U112,R109)-IF(COUNTIF('盛付札（関数）'!R107,"*キャラ*"),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VLOOKUP('盛付札（関数）'!R107,商品マスタ一覧!$D:$J,7,FALSE)))*U107,
IF(U112&lt;&gt;"",R109-U112,R109)-IF(COUNTIF('盛付札（関数）'!R107,"*キャラ*"),
VLOOKUP("*キャラ*",商品マスタ一覧!$D:$J,7,FALSE),
IF(COUNTIF('盛付札（関数）'!R107,"*赤*"),
VLOOKUP("*赤*",商品マスタ一覧!$D:$J,7,FALSE),
VLOOKUP('盛付札（関数）'!R107,商品マスタ一覧!$D:$J,7,FALSE)))*U107),""),"")</f>
        <v/>
      </c>
      <c r="W107" s="76"/>
      <c r="X107" s="81" t="e" cm="1">
        <f t="array" aca="1" ref="X107" ca="1">IF(X24&lt;&gt;100,
IF(Y109&lt;&gt;"",MATCH(Y109,INDIRECT("数出表_Excel!B"&amp;MATCH(AC22,数出表_Excel!$A:$A,0)-1&amp;":U"&amp;MATCH(AC22,数出表_Excel!$A:$A,0)-1&amp;""),0)+1,""),
IF(Y109&lt;&gt;"",
MATCH(
IFERROR(
INDEX(INDIRECT("数出表_Excel!"&amp;X106&amp;MATCH(AC22,数出表_Excel!$A:$A,0)-1&amp;":U"&amp;MATCH(AC22,数出表_Excel!$A:$A,0)-1&amp;""),
 1,
 MATCH(TRUE, ISNUMBER(--INDIRECT("数出表_Excel!"&amp;X106&amp;MATCH(AC22,数出表_Excel!$A:$A,0)-1&amp;":U"&amp;MATCH(AC22,数出表_Excel!$A:$A,0)-1&amp;"")),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107" s="58" t="str" cm="1">
        <f t="array" aca="1" ref="Y107" ca="1">IFERROR(IF(OR(
COUNTIF(INDIRECT("数出表_Excel!" &amp;
CHAR(MATCH(TRUE,
ISNUMBER(--INDIRECT("数出表_Excel!"&amp;X106&amp;MATCH(AC22,数出表_Excel!$A:$A,0)-1&amp;":U"&amp;MATCH(AC22,数出表_Excel!$A:$A,0)-1&amp;"")),0)
+MATCH(TRUE, ISNUMBER(--INDIRECT("数出表_Excel!B" &amp; (MATCH(AC22,数出表_Excel!$A:$A,0)-1) &amp; ":U" &amp; (MATCH(AC22,数出表_Excel!$A:$A,0)-1))), 0)
+MATCH(TRUE, ISNUMBER(--INDIRECT("数出表_Excel!"&amp;X64&amp; (MATCH(AC22,数出表_Excel!$A:$A,0)-1) &amp; ":U" &amp; (MATCH(AC22,数出表_Excel!$A:$A,0)-1))), 0)
+65) &amp; "3"),"*配膳*"),
COUNTIF(INDIRECT("数出表_Excel!" &amp;
CHAR(MATCH(TRUE,
ISNUMBER(--INDIRECT("数出表_Excel!"&amp;X106&amp;MATCH(AC22,数出表_Excel!$A:$A,0)-1&amp;":U"&amp;MATCH(AC22,数出表_Excel!$A:$A,0)-1&amp;"")),0)
+MATCH(TRUE, ISNUMBER(--INDIRECT("数出表_Excel!B" &amp; (MATCH(AC22,数出表_Excel!$A:$A,0)-1) &amp; ":U" &amp; (MATCH(AC22,数出表_Excel!$A:$A,0)-1))), 0)
+MATCH(TRUE, ISNUMBER(--INDIRECT("数出表_Excel!"&amp;X64&amp; (MATCH(AC22,数出表_Excel!$A:$A,0)-1) &amp; ":U" &amp; (MATCH(AC22,数出表_Excel!$A:$A,0)-1))), 0)
+65) &amp; "3"),"*カレー*"),
COUNTIF(Y64,"*合計*")),"",
IF(IFERROR(INDIRECT("数出表_Excel!" &amp;
CHAR(MATCH(TRUE,
ISNUMBER(--INDIRECT("数出表_Excel!"&amp;X106&amp;MATCH(AC22,数出表_Excel!$A:$A,0)-1&amp;":U"&amp;MATCH(AC22,数出表_Excel!$A:$A,0)-1&amp;"")),0)
+MATCH(TRUE, ISNUMBER(--INDIRECT("数出表_Excel!B" &amp; (MATCH(AC22,数出表_Excel!$A:$A,0)-1) &amp; ":U" &amp; (MATCH(AC22,数出表_Excel!$A:$A,0)-1))), 0)
+MATCH(TRUE, ISNUMBER(--INDIRECT("数出表_Excel!"&amp;X64&amp; (MATCH(AC22,数出表_Excel!$A:$A,0)-1) &amp; ":U" &amp; (MATCH(AC22,数出表_Excel!$A:$A,0)-1))), 0)
+65) &amp; "3"),0)=0,"",
IFERROR(INDIRECT("数出表_Excel!" &amp;
CHAR(MATCH(TRUE,
ISNUMBER(--INDIRECT("数出表_Excel!"&amp;X106&amp;MATCH(AC22,数出表_Excel!$A:$A,0)-1&amp;":U"&amp;MATCH(AC22,数出表_Excel!$A:$A,0)-1&amp;"")),0)
+MATCH(TRUE, ISNUMBER(--INDIRECT("数出表_Excel!B" &amp; (MATCH(AC22,数出表_Excel!$A:$A,0)-1) &amp; ":U" &amp; (MATCH(AC22,数出表_Excel!$A:$A,0)-1))), 0)
+MATCH(TRUE, ISNUMBER(--INDIRECT("数出表_Excel!"&amp;X64&amp; (MATCH(AC22,数出表_Excel!$A:$A,0)-1) &amp; ":U" &amp; (MATCH(AC22,数出表_Excel!$A:$A,0)-1))), 0)
+65) &amp; "3"),""))),"")</f>
        <v/>
      </c>
      <c r="Z107" s="76"/>
      <c r="AA107" s="82" t="str" cm="1">
        <f t="array" aca="1" ref="AA107" ca="1">IF(AB107&lt;&gt;"","",
IF(COUNTIF(Y106,"*雙葉*"),"",
IF(Y106&lt;&gt;"",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+MATCH(TRUE,INDIRECT("'数出表_Excel'!"&amp;X106&amp;MATCH(AC22,数出表_Excel!$A:$A,0)-1&amp;":AL"&amp;MATCH(AC22,数出表_Excel!$A:$A,0)-1&amp;"")&lt;&gt;"",0))&gt;9,"",
IFERROR(
INDEX(INDIRECT("数出表_Excel!$"&amp;X106&amp;"4:$AL4"),
 1,
MATCH(TRUE,INDIRECT("'数出表_Excel'!"&amp;X106&amp;MATCH(AC22,数出表_Excel!$A:$A,0)-1&amp;":AL"&amp;MATCH(AC22,数出表_Excel!$A:$A,0)-1&amp;"")&lt;&gt;"",0)
),
 "")
&amp;IFERROR(
INDEX(INDIRECT("数出表_Excel!$"&amp;X106&amp;"5:$AL5"),
 1,
MATCH(TRUE,INDIRECT("'数出表_Excel'!"&amp;X106&amp;MATCH(AC22,数出表_Excel!$A:$A,0)-1&amp;":AL"&amp;MATCH(AC22,数出表_Excel!$A:$A,0)-1&amp;"")&lt;&gt;"",0)),
 "")),"")))</f>
        <v/>
      </c>
      <c r="AB107" s="83" t="str" cm="1">
        <f t="array" aca="1" ref="AB107" ca="1">IF(Y107&lt;&gt;"",
IF(COUNTIF(Y106,"*雙葉*"),
IF(ROUND(
IF(AB112&lt;&gt;"",(Y109-AB112),Y109)
/IF(COUNTIF(Y107,"*キャラ*"),
VLOOKUP("*キャラ*",商品マスタ一覧!$D:$J,7,FALSE),
IF(COUNTIF(Y107,"*赤*"),
VLOOKUP("*赤*",商品マスタ一覧!$D:$J,7,FALSE),
VLOOKUP(Y107,商品マスタ一覧!$D:$J,7,FALSE))),0)&lt;=0,1,
ROUND(
IF(AB112&lt;&gt;"",(Y109-AB112),Y109)
/IF(COUNTIF(Y107,"*キャラ*"),
VLOOKUP("*キャラ*",商品マスタ一覧!$D:$J,7,FALSE),
IF(COUNTIF(Y107,"*赤*"),
VLOOKUP("*赤*",商品マスタ一覧!$D:$J,7,FALSE),
VLOOKUP(Y107,商品マスタ一覧!$D:$J,7,FALSE))),0)),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IF(Y107&lt;&gt;"",
IF(IF(COUNTIF(Y107,"*キャラ*"),
VLOOKUP("*キャラ*",商品マスタ一覧!$D:$J,7,FALSE),
IF(COUNTIF(Y107,"*赤*"),
VLOOKUP("*赤*",商品マスタ一覧!$D:$J,7,FALSE),
VLOOKUP(Y107,商品マスタ一覧!$D:$J,7,FALSE)))=0,"",
IF(ROUND(
IF(AB112&lt;&gt;"",(Y109-AB112),Y109)
/IF(COUNTIF(Y107,"*キャラ*"),
VLOOKUP("*キャラ*",商品マスタ一覧!$D:$J,7,FALSE),
IF(COUNTIF(Y107,"*赤*"),
VLOOKUP("*赤*",商品マスタ一覧!$D:$J,7,FALSE),
VLOOKUP(Y107,商品マスタ一覧!$D:$J,7,FALSE))),0)&lt;=0,1,
ROUND(
IF(AB112&lt;&gt;"",(Y109-AB112),Y109)
/IF(COUNTIF(Y107,"*キャラ*"),
VLOOKUP("*キャラ*",商品マスタ一覧!$D:$J,7,FALSE),
IF(COUNTIF(Y107,"*赤*"),
VLOOKUP("*赤*",商品マスタ一覧!$D:$J,7,FALSE),
VLOOKUP(Y107,商品マスタ一覧!$D:$J,7,FALSE))),0))),""),"")),"")</f>
        <v/>
      </c>
      <c r="AC107" s="92" t="str">
        <f ca="1">IF(AB107&lt;&gt;"",IF(Y109&lt;&gt;"",IF(VALUE(IF(AB112&lt;&gt;"",Y109-AB112,Y109))&gt;VALUE(IF(COUNTIF('盛付札（関数）'!Y107,"*キャラ*"),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VLOOKUP('盛付札（関数）'!Y107,商品マスタ一覧!$D:$J,7,FALSE)))*AB107),
"+"&amp;IF(AB112&lt;&gt;"",Y109-AB112,Y109)-IF(COUNTIF('盛付札（関数）'!Y107,"*キャラ*"),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VLOOKUP('盛付札（関数）'!Y107,商品マスタ一覧!$D:$J,7,FALSE)))*AB107,
IF(AB112&lt;&gt;"",Y109-AB112,Y109)-IF(COUNTIF('盛付札（関数）'!Y107,"*キャラ*"),
VLOOKUP("*キャラ*",商品マスタ一覧!$D:$J,7,FALSE),
IF(COUNTIF('盛付札（関数）'!Y107,"*赤*"),
VLOOKUP("*赤*",商品マスタ一覧!$D:$J,7,FALSE),
VLOOKUP('盛付札（関数）'!Y107,商品マスタ一覧!$D:$J,7,FALSE)))*AB107),""),"")</f>
        <v/>
      </c>
      <c r="AF107" s="81" t="e" cm="1">
        <f t="array" aca="1" ref="AF107" ca="1">IF(AF24&lt;&gt;100,
IF(AG109&lt;&gt;"",MATCH(AG109,INDIRECT("数出表_Excel!B"&amp;MATCH(AK22,数出表_Excel!$A:$A,0)-1&amp;":U"&amp;MATCH(AK22,数出表_Excel!$A:$A,0)-1&amp;""),0)+1,""),
IF(AG109&lt;&gt;"",
MATCH(
IFERROR(
INDEX(INDIRECT("数出表_Excel!"&amp;AF106&amp;MATCH(AK22,数出表_Excel!$A:$A,0)-1&amp;":U"&amp;MATCH(AK22,数出表_Excel!$A:$A,0)-1&amp;""),
 1,
 MATCH(TRUE, ISNUMBER(--INDIRECT("数出表_Excel!"&amp;AF106&amp;MATCH(AK22,数出表_Excel!$A:$A,0)-1&amp;":U"&amp;MATCH(AK22,数出表_Excel!$A:$A,0)-1&amp;"")),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107" s="58" t="str" cm="1">
        <f t="array" aca="1" ref="AG107" ca="1">IFERROR(IF(OR(
COUNTIF(INDIRECT("数出表_Excel!" &amp;
CHAR(MATCH(TRUE,
ISNUMBER(--INDIRECT("数出表_Excel!"&amp;AF106&amp;MATCH(AK22,数出表_Excel!$A:$A,0)-1&amp;":U"&amp;MATCH(AK22,数出表_Excel!$A:$A,0)-1&amp;"")),0)
+MATCH(TRUE, ISNUMBER(--INDIRECT("数出表_Excel!B" &amp; (MATCH(AK22,数出表_Excel!$A:$A,0)-1) &amp; ":U" &amp; (MATCH(AK22,数出表_Excel!$A:$A,0)-1))), 0)
+MATCH(TRUE, ISNUMBER(--INDIRECT("数出表_Excel!"&amp;AF64&amp; (MATCH(AK22,数出表_Excel!$A:$A,0)-1) &amp; ":U" &amp; (MATCH(AK22,数出表_Excel!$A:$A,0)-1))), 0)
+65) &amp; "3"),"*配膳*"),
COUNTIF(INDIRECT("数出表_Excel!" &amp;
CHAR(MATCH(TRUE,
ISNUMBER(--INDIRECT("数出表_Excel!"&amp;AF106&amp;MATCH(AK22,数出表_Excel!$A:$A,0)-1&amp;":U"&amp;MATCH(AK22,数出表_Excel!$A:$A,0)-1&amp;"")),0)
+MATCH(TRUE, ISNUMBER(--INDIRECT("数出表_Excel!B" &amp; (MATCH(AK22,数出表_Excel!$A:$A,0)-1) &amp; ":U" &amp; (MATCH(AK22,数出表_Excel!$A:$A,0)-1))), 0)
+MATCH(TRUE, ISNUMBER(--INDIRECT("数出表_Excel!"&amp;AF64&amp; (MATCH(AK22,数出表_Excel!$A:$A,0)-1) &amp; ":U" &amp; (MATCH(AK22,数出表_Excel!$A:$A,0)-1))), 0)
+65) &amp; "3"),"*カレー*"),
COUNTIF(AG64,"*合計*")),"",
IF(IFERROR(INDIRECT("数出表_Excel!" &amp;
CHAR(MATCH(TRUE,
ISNUMBER(--INDIRECT("数出表_Excel!"&amp;AF106&amp;MATCH(AK22,数出表_Excel!$A:$A,0)-1&amp;":U"&amp;MATCH(AK22,数出表_Excel!$A:$A,0)-1&amp;"")),0)
+MATCH(TRUE, ISNUMBER(--INDIRECT("数出表_Excel!B" &amp; (MATCH(AK22,数出表_Excel!$A:$A,0)-1) &amp; ":U" &amp; (MATCH(AK22,数出表_Excel!$A:$A,0)-1))), 0)
+MATCH(TRUE, ISNUMBER(--INDIRECT("数出表_Excel!"&amp;AF64&amp; (MATCH(AK22,数出表_Excel!$A:$A,0)-1) &amp; ":U" &amp; (MATCH(AK22,数出表_Excel!$A:$A,0)-1))), 0)
+65) &amp; "3"),0)=0,"",
IFERROR(INDIRECT("数出表_Excel!" &amp;
CHAR(MATCH(TRUE,
ISNUMBER(--INDIRECT("数出表_Excel!"&amp;AF106&amp;MATCH(AK22,数出表_Excel!$A:$A,0)-1&amp;":U"&amp;MATCH(AK22,数出表_Excel!$A:$A,0)-1&amp;"")),0)
+MATCH(TRUE, ISNUMBER(--INDIRECT("数出表_Excel!B" &amp; (MATCH(AK22,数出表_Excel!$A:$A,0)-1) &amp; ":U" &amp; (MATCH(AK22,数出表_Excel!$A:$A,0)-1))), 0)
+MATCH(TRUE, ISNUMBER(--INDIRECT("数出表_Excel!"&amp;AF64&amp; (MATCH(AK22,数出表_Excel!$A:$A,0)-1) &amp; ":U" &amp; (MATCH(AK22,数出表_Excel!$A:$A,0)-1))), 0)
+65) &amp; "3"),""))),"")</f>
        <v/>
      </c>
      <c r="AH107" s="76"/>
      <c r="AI107" s="82" t="str" cm="1">
        <f t="array" aca="1" ref="AI107" ca="1">IF(AJ107&lt;&gt;"","",
IF(COUNTIF(AG106,"*雙葉*"),"",
IF(AG106&lt;&gt;"",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+MATCH(TRUE,INDIRECT("'数出表_Excel'!"&amp;AF106&amp;MATCH(AK22,数出表_Excel!$A:$A,0)-1&amp;":AL"&amp;MATCH(AK22,数出表_Excel!$A:$A,0)-1&amp;"")&lt;&gt;"",0))&gt;9,"",
IFERROR(
INDEX(INDIRECT("数出表_Excel!$"&amp;AF106&amp;"4:$AL4"),
 1,
MATCH(TRUE,INDIRECT("'数出表_Excel'!"&amp;AF106&amp;MATCH(AK22,数出表_Excel!$A:$A,0)-1&amp;":AL"&amp;MATCH(AK22,数出表_Excel!$A:$A,0)-1&amp;"")&lt;&gt;"",0)
),
 "")
&amp;IFERROR(
INDEX(INDIRECT("数出表_Excel!$"&amp;AF106&amp;"5:$AL5"),
 1,
MATCH(TRUE,INDIRECT("'数出表_Excel'!"&amp;AF106&amp;MATCH(AK22,数出表_Excel!$A:$A,0)-1&amp;":AL"&amp;MATCH(AK22,数出表_Excel!$A:$A,0)-1&amp;"")&lt;&gt;"",0)),
 "")),"")))</f>
        <v/>
      </c>
      <c r="AJ107" s="83" t="str" cm="1">
        <f t="array" aca="1" ref="AJ107" ca="1">IF(AG107&lt;&gt;"",
IF(COUNTIF(AG106,"*雙葉*"),
IF(ROUND(
IF(AJ112&lt;&gt;"",(AG109-AJ112),AG109)
/IF(COUNTIF(AG107,"*キャラ*"),
VLOOKUP("*キャラ*",商品マスタ一覧!$D:$J,7,FALSE),
IF(COUNTIF(AG107,"*赤*"),
VLOOKUP("*赤*",商品マスタ一覧!$D:$J,7,FALSE),
VLOOKUP(AG107,商品マスタ一覧!$D:$J,7,FALSE))),0)&lt;=0,1,
ROUND(
IF(AJ112&lt;&gt;"",(AG109-AJ112),AG109)
/IF(COUNTIF(AG107,"*キャラ*"),
VLOOKUP("*キャラ*",商品マスタ一覧!$D:$J,7,FALSE),
IF(COUNTIF(AG107,"*赤*"),
VLOOKUP("*赤*",商品マスタ一覧!$D:$J,7,FALSE),
VLOOKUP(AG107,商品マスタ一覧!$D:$J,7,FALSE))),0)),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IF(AG107&lt;&gt;"",
IF(IF(COUNTIF(AG107,"*キャラ*"),
VLOOKUP("*キャラ*",商品マスタ一覧!$D:$J,7,FALSE),
IF(COUNTIF(AG107,"*赤*"),
VLOOKUP("*赤*",商品マスタ一覧!$D:$J,7,FALSE),
VLOOKUP(AG107,商品マスタ一覧!$D:$J,7,FALSE)))=0,"",
IF(ROUND(
IF(AJ112&lt;&gt;"",(AG109-AJ112),AG109)
/IF(COUNTIF(AG107,"*キャラ*"),
VLOOKUP("*キャラ*",商品マスタ一覧!$D:$J,7,FALSE),
IF(COUNTIF(AG107,"*赤*"),
VLOOKUP("*赤*",商品マスタ一覧!$D:$J,7,FALSE),
VLOOKUP(AG107,商品マスタ一覧!$D:$J,7,FALSE))),0)&lt;=0,1,
ROUND(
IF(AJ112&lt;&gt;"",(AG109-AJ112),AG109)
/IF(COUNTIF(AG107,"*キャラ*"),
VLOOKUP("*キャラ*",商品マスタ一覧!$D:$J,7,FALSE),
IF(COUNTIF(AG107,"*赤*"),
VLOOKUP("*赤*",商品マスタ一覧!$D:$J,7,FALSE),
VLOOKUP(AG107,商品マスタ一覧!$D:$J,7,FALSE))),0))),""),"")),"")</f>
        <v/>
      </c>
      <c r="AK107" s="92" t="str">
        <f ca="1">IF(AJ107&lt;&gt;"",IF(AG109&lt;&gt;"",IF(VALUE(IF(AJ112&lt;&gt;"",AG109-AJ112,AG109))&gt;VALUE(IF(COUNTIF('盛付札（関数）'!AG107,"*キャラ*"),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VLOOKUP('盛付札（関数）'!AG107,商品マスタ一覧!$D:$J,7,FALSE)))*AJ107),
"+"&amp;IF(AJ112&lt;&gt;"",AG109-AJ112,AG109)-IF(COUNTIF('盛付札（関数）'!AG107,"*キャラ*"),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VLOOKUP('盛付札（関数）'!AG107,商品マスタ一覧!$D:$J,7,FALSE)))*AJ107,
IF(AJ112&lt;&gt;"",AG109-AJ112,AG109)-IF(COUNTIF('盛付札（関数）'!AG107,"*キャラ*"),
VLOOKUP("*キャラ*",商品マスタ一覧!$D:$J,7,FALSE),
IF(COUNTIF('盛付札（関数）'!AG107,"*赤*"),
VLOOKUP("*赤*",商品マスタ一覧!$D:$J,7,FALSE),
VLOOKUP('盛付札（関数）'!AG107,商品マスタ一覧!$D:$J,7,FALSE)))*AJ107),""),"")</f>
        <v/>
      </c>
      <c r="AL107" s="76"/>
      <c r="AM107" s="81" t="e" cm="1">
        <f t="array" aca="1" ref="AM107" ca="1">IF(AM24&lt;&gt;100,
IF(AN109&lt;&gt;"",MATCH(AN109,INDIRECT("数出表_Excel!B"&amp;MATCH(AR22,数出表_Excel!$A:$A,0)-1&amp;":U"&amp;MATCH(AR22,数出表_Excel!$A:$A,0)-1&amp;""),0)+1,""),
IF(AN109&lt;&gt;"",
MATCH(
IFERROR(
INDEX(INDIRECT("数出表_Excel!"&amp;AM106&amp;MATCH(AR22,数出表_Excel!$A:$A,0)-1&amp;":U"&amp;MATCH(AR22,数出表_Excel!$A:$A,0)-1&amp;""),
 1,
 MATCH(TRUE, ISNUMBER(--INDIRECT("数出表_Excel!"&amp;AM106&amp;MATCH(AR22,数出表_Excel!$A:$A,0)-1&amp;":U"&amp;MATCH(AR22,数出表_Excel!$A:$A,0)-1&amp;"")),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107" s="58" t="str" cm="1">
        <f t="array" aca="1" ref="AN107" ca="1">IFERROR(IF(OR(
COUNTIF(INDIRECT("数出表_Excel!" &amp;
CHAR(MATCH(TRUE,
ISNUMBER(--INDIRECT("数出表_Excel!"&amp;AM106&amp;MATCH(AR22,数出表_Excel!$A:$A,0)-1&amp;":U"&amp;MATCH(AR22,数出表_Excel!$A:$A,0)-1&amp;"")),0)
+MATCH(TRUE, ISNUMBER(--INDIRECT("数出表_Excel!B" &amp; (MATCH(AR22,数出表_Excel!$A:$A,0)-1) &amp; ":U" &amp; (MATCH(AR22,数出表_Excel!$A:$A,0)-1))), 0)
+MATCH(TRUE, ISNUMBER(--INDIRECT("数出表_Excel!"&amp;AM64&amp; (MATCH(AR22,数出表_Excel!$A:$A,0)-1) &amp; ":U" &amp; (MATCH(AR22,数出表_Excel!$A:$A,0)-1))), 0)
+65) &amp; "3"),"*配膳*"),
COUNTIF(INDIRECT("数出表_Excel!" &amp;
CHAR(MATCH(TRUE,
ISNUMBER(--INDIRECT("数出表_Excel!"&amp;AM106&amp;MATCH(AR22,数出表_Excel!$A:$A,0)-1&amp;":U"&amp;MATCH(AR22,数出表_Excel!$A:$A,0)-1&amp;"")),0)
+MATCH(TRUE, ISNUMBER(--INDIRECT("数出表_Excel!B" &amp; (MATCH(AR22,数出表_Excel!$A:$A,0)-1) &amp; ":U" &amp; (MATCH(AR22,数出表_Excel!$A:$A,0)-1))), 0)
+MATCH(TRUE, ISNUMBER(--INDIRECT("数出表_Excel!"&amp;AM64&amp; (MATCH(AR22,数出表_Excel!$A:$A,0)-1) &amp; ":U" &amp; (MATCH(AR22,数出表_Excel!$A:$A,0)-1))), 0)
+65) &amp; "3"),"*カレー*"),
COUNTIF(AN64,"*合計*")),"",
IF(IFERROR(INDIRECT("数出表_Excel!" &amp;
CHAR(MATCH(TRUE,
ISNUMBER(--INDIRECT("数出表_Excel!"&amp;AM106&amp;MATCH(AR22,数出表_Excel!$A:$A,0)-1&amp;":U"&amp;MATCH(AR22,数出表_Excel!$A:$A,0)-1&amp;"")),0)
+MATCH(TRUE, ISNUMBER(--INDIRECT("数出表_Excel!B" &amp; (MATCH(AR22,数出表_Excel!$A:$A,0)-1) &amp; ":U" &amp; (MATCH(AR22,数出表_Excel!$A:$A,0)-1))), 0)
+MATCH(TRUE, ISNUMBER(--INDIRECT("数出表_Excel!"&amp;AM64&amp; (MATCH(AR22,数出表_Excel!$A:$A,0)-1) &amp; ":U" &amp; (MATCH(AR22,数出表_Excel!$A:$A,0)-1))), 0)
+65) &amp; "3"),0)=0,"",
IFERROR(INDIRECT("数出表_Excel!" &amp;
CHAR(MATCH(TRUE,
ISNUMBER(--INDIRECT("数出表_Excel!"&amp;AM106&amp;MATCH(AR22,数出表_Excel!$A:$A,0)-1&amp;":U"&amp;MATCH(AR22,数出表_Excel!$A:$A,0)-1&amp;"")),0)
+MATCH(TRUE, ISNUMBER(--INDIRECT("数出表_Excel!B" &amp; (MATCH(AR22,数出表_Excel!$A:$A,0)-1) &amp; ":U" &amp; (MATCH(AR22,数出表_Excel!$A:$A,0)-1))), 0)
+MATCH(TRUE, ISNUMBER(--INDIRECT("数出表_Excel!"&amp;AM64&amp; (MATCH(AR22,数出表_Excel!$A:$A,0)-1) &amp; ":U" &amp; (MATCH(AR22,数出表_Excel!$A:$A,0)-1))), 0)
+65) &amp; "3"),""))),"")</f>
        <v/>
      </c>
      <c r="AO107" s="76"/>
      <c r="AP107" s="82" t="str" cm="1">
        <f t="array" aca="1" ref="AP107" ca="1">IF(AQ107&lt;&gt;"","",
IF(COUNTIF(AN106,"*雙葉*"),"",
IF(AN106&lt;&gt;"",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+MATCH(TRUE,INDIRECT("'数出表_Excel'!"&amp;AM106&amp;MATCH(AR22,数出表_Excel!$A:$A,0)-1&amp;":AL"&amp;MATCH(AR22,数出表_Excel!$A:$A,0)-1&amp;"")&lt;&gt;"",0))&gt;9,"",
IFERROR(
INDEX(INDIRECT("数出表_Excel!$"&amp;AM106&amp;"4:$AL4"),
 1,
MATCH(TRUE,INDIRECT("'数出表_Excel'!"&amp;AM106&amp;MATCH(AR22,数出表_Excel!$A:$A,0)-1&amp;":AL"&amp;MATCH(AR22,数出表_Excel!$A:$A,0)-1&amp;"")&lt;&gt;"",0)
),
 "")
&amp;IFERROR(
INDEX(INDIRECT("数出表_Excel!$"&amp;AM106&amp;"5:$AL5"),
 1,
MATCH(TRUE,INDIRECT("'数出表_Excel'!"&amp;AM106&amp;MATCH(AR22,数出表_Excel!$A:$A,0)-1&amp;":AL"&amp;MATCH(AR22,数出表_Excel!$A:$A,0)-1&amp;"")&lt;&gt;"",0)),
 "")),"")))</f>
        <v/>
      </c>
      <c r="AQ107" s="83" t="str" cm="1">
        <f t="array" aca="1" ref="AQ107" ca="1">IF(AN107&lt;&gt;"",
IF(COUNTIF(AN106,"*雙葉*"),
IF(ROUND(
IF(AQ112&lt;&gt;"",(AN109-AQ112),AN109)
/IF(COUNTIF(AN107,"*キャラ*"),
VLOOKUP("*キャラ*",商品マスタ一覧!$D:$J,7,FALSE),
IF(COUNTIF(AN107,"*赤*"),
VLOOKUP("*赤*",商品マスタ一覧!$D:$J,7,FALSE),
VLOOKUP(AN107,商品マスタ一覧!$D:$J,7,FALSE))),0)&lt;=0,1,
ROUND(
IF(AQ112&lt;&gt;"",(AN109-AQ112),AN109)
/IF(COUNTIF(AN107,"*キャラ*"),
VLOOKUP("*キャラ*",商品マスタ一覧!$D:$J,7,FALSE),
IF(COUNTIF(AN107,"*赤*"),
VLOOKUP("*赤*",商品マスタ一覧!$D:$J,7,FALSE),
VLOOKUP(AN107,商品マスタ一覧!$D:$J,7,FALSE))),0)),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IF(AN107&lt;&gt;"",
IF(IF(COUNTIF(AN107,"*キャラ*"),
VLOOKUP("*キャラ*",商品マスタ一覧!$D:$J,7,FALSE),
IF(COUNTIF(AN107,"*赤*"),
VLOOKUP("*赤*",商品マスタ一覧!$D:$J,7,FALSE),
VLOOKUP(AN107,商品マスタ一覧!$D:$J,7,FALSE)))=0,"",
IF(ROUND(
IF(AQ112&lt;&gt;"",(AN109-AQ112),AN109)
/IF(COUNTIF(AN107,"*キャラ*"),
VLOOKUP("*キャラ*",商品マスタ一覧!$D:$J,7,FALSE),
IF(COUNTIF(AN107,"*赤*"),
VLOOKUP("*赤*",商品マスタ一覧!$D:$J,7,FALSE),
VLOOKUP(AN107,商品マスタ一覧!$D:$J,7,FALSE))),0)&lt;=0,1,
ROUND(
IF(AQ112&lt;&gt;"",(AN109-AQ112),AN109)
/IF(COUNTIF(AN107,"*キャラ*"),
VLOOKUP("*キャラ*",商品マスタ一覧!$D:$J,7,FALSE),
IF(COUNTIF(AN107,"*赤*"),
VLOOKUP("*赤*",商品マスタ一覧!$D:$J,7,FALSE),
VLOOKUP(AN107,商品マスタ一覧!$D:$J,7,FALSE))),0))),""),"")),"")</f>
        <v/>
      </c>
      <c r="AR107" s="92" t="str">
        <f ca="1">IF(AQ107&lt;&gt;"",IF(AN109&lt;&gt;"",IF(VALUE(IF(AQ112&lt;&gt;"",AN109-AQ112,AN109))&gt;VALUE(IF(COUNTIF('盛付札（関数）'!AN107,"*キャラ*"),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VLOOKUP('盛付札（関数）'!AN107,商品マスタ一覧!$D:$J,7,FALSE)))*AQ107),
"+"&amp;IF(AQ112&lt;&gt;"",AN109-AQ112,AN109)-IF(COUNTIF('盛付札（関数）'!AN107,"*キャラ*"),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VLOOKUP('盛付札（関数）'!AN107,商品マスタ一覧!$D:$J,7,FALSE)))*AQ107,
IF(AQ112&lt;&gt;"",AN109-AQ112,AN109)-IF(COUNTIF('盛付札（関数）'!AN107,"*キャラ*"),
VLOOKUP("*キャラ*",商品マスタ一覧!$D:$J,7,FALSE),
IF(COUNTIF('盛付札（関数）'!AN107,"*赤*"),
VLOOKUP("*赤*",商品マスタ一覧!$D:$J,7,FALSE),
VLOOKUP('盛付札（関数）'!AN107,商品マスタ一覧!$D:$J,7,FALSE)))*AQ107),""),"")</f>
        <v/>
      </c>
      <c r="AU107" s="81" t="e" cm="1">
        <f t="array" aca="1" ref="AU107" ca="1">IF(AU24&lt;&gt;100,
IF(AV109&lt;&gt;"",MATCH(AV109,INDIRECT("数出表_Excel!B"&amp;MATCH(AZ22,数出表_Excel!$A:$A,0)-1&amp;":U"&amp;MATCH(AZ22,数出表_Excel!$A:$A,0)-1&amp;""),0)+1,""),
IF(AV109&lt;&gt;"",
MATCH(
IFERROR(
INDEX(INDIRECT("数出表_Excel!"&amp;AU106&amp;MATCH(AZ22,数出表_Excel!$A:$A,0)-1&amp;":U"&amp;MATCH(AZ22,数出表_Excel!$A:$A,0)-1&amp;""),
 1,
 MATCH(TRUE, ISNUMBER(--INDIRECT("数出表_Excel!"&amp;AU106&amp;MATCH(AZ22,数出表_Excel!$A:$A,0)-1&amp;":U"&amp;MATCH(AZ22,数出表_Excel!$A:$A,0)-1&amp;"")),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107" s="58" t="str" cm="1">
        <f t="array" aca="1" ref="AV107" ca="1">IFERROR(IF(OR(
COUNTIF(INDIRECT("数出表_Excel!" &amp;
CHAR(MATCH(TRUE,
ISNUMBER(--INDIRECT("数出表_Excel!"&amp;AU106&amp;MATCH(AZ22,数出表_Excel!$A:$A,0)-1&amp;":U"&amp;MATCH(AZ22,数出表_Excel!$A:$A,0)-1&amp;"")),0)
+MATCH(TRUE, ISNUMBER(--INDIRECT("数出表_Excel!B" &amp; (MATCH(AZ22,数出表_Excel!$A:$A,0)-1) &amp; ":U" &amp; (MATCH(AZ22,数出表_Excel!$A:$A,0)-1))), 0)
+MATCH(TRUE, ISNUMBER(--INDIRECT("数出表_Excel!"&amp;AU64&amp; (MATCH(AZ22,数出表_Excel!$A:$A,0)-1) &amp; ":U" &amp; (MATCH(AZ22,数出表_Excel!$A:$A,0)-1))), 0)
+65) &amp; "3"),"*配膳*"),
COUNTIF(INDIRECT("数出表_Excel!" &amp;
CHAR(MATCH(TRUE,
ISNUMBER(--INDIRECT("数出表_Excel!"&amp;AU106&amp;MATCH(AZ22,数出表_Excel!$A:$A,0)-1&amp;":U"&amp;MATCH(AZ22,数出表_Excel!$A:$A,0)-1&amp;"")),0)
+MATCH(TRUE, ISNUMBER(--INDIRECT("数出表_Excel!B" &amp; (MATCH(AZ22,数出表_Excel!$A:$A,0)-1) &amp; ":U" &amp; (MATCH(AZ22,数出表_Excel!$A:$A,0)-1))), 0)
+MATCH(TRUE, ISNUMBER(--INDIRECT("数出表_Excel!"&amp;AU64&amp; (MATCH(AZ22,数出表_Excel!$A:$A,0)-1) &amp; ":U" &amp; (MATCH(AZ22,数出表_Excel!$A:$A,0)-1))), 0)
+65) &amp; "3"),"*カレー*"),
COUNTIF(AV64,"*合計*")),"",
IF(IFERROR(INDIRECT("数出表_Excel!" &amp;
CHAR(MATCH(TRUE,
ISNUMBER(--INDIRECT("数出表_Excel!"&amp;AU106&amp;MATCH(AZ22,数出表_Excel!$A:$A,0)-1&amp;":U"&amp;MATCH(AZ22,数出表_Excel!$A:$A,0)-1&amp;"")),0)
+MATCH(TRUE, ISNUMBER(--INDIRECT("数出表_Excel!B" &amp; (MATCH(AZ22,数出表_Excel!$A:$A,0)-1) &amp; ":U" &amp; (MATCH(AZ22,数出表_Excel!$A:$A,0)-1))), 0)
+MATCH(TRUE, ISNUMBER(--INDIRECT("数出表_Excel!"&amp;AU64&amp; (MATCH(AZ22,数出表_Excel!$A:$A,0)-1) &amp; ":U" &amp; (MATCH(AZ22,数出表_Excel!$A:$A,0)-1))), 0)
+65) &amp; "3"),0)=0,"",
IFERROR(INDIRECT("数出表_Excel!" &amp;
CHAR(MATCH(TRUE,
ISNUMBER(--INDIRECT("数出表_Excel!"&amp;AU106&amp;MATCH(AZ22,数出表_Excel!$A:$A,0)-1&amp;":U"&amp;MATCH(AZ22,数出表_Excel!$A:$A,0)-1&amp;"")),0)
+MATCH(TRUE, ISNUMBER(--INDIRECT("数出表_Excel!B" &amp; (MATCH(AZ22,数出表_Excel!$A:$A,0)-1) &amp; ":U" &amp; (MATCH(AZ22,数出表_Excel!$A:$A,0)-1))), 0)
+MATCH(TRUE, ISNUMBER(--INDIRECT("数出表_Excel!"&amp;AU64&amp; (MATCH(AZ22,数出表_Excel!$A:$A,0)-1) &amp; ":U" &amp; (MATCH(AZ22,数出表_Excel!$A:$A,0)-1))), 0)
+65) &amp; "3"),""))),"")</f>
        <v/>
      </c>
      <c r="AW107" s="76"/>
      <c r="AX107" s="82" t="str" cm="1">
        <f t="array" aca="1" ref="AX107" ca="1">IF(AY107&lt;&gt;"","",
IF(COUNTIF(AV106,"*雙葉*"),"",
IF(AV106&lt;&gt;"",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+MATCH(TRUE,INDIRECT("'数出表_Excel'!"&amp;AU106&amp;MATCH(AZ22,数出表_Excel!$A:$A,0)-1&amp;":AL"&amp;MATCH(AZ22,数出表_Excel!$A:$A,0)-1&amp;"")&lt;&gt;"",0))&gt;9,"",
IFERROR(
INDEX(INDIRECT("数出表_Excel!$"&amp;AU106&amp;"4:$AL4"),
 1,
MATCH(TRUE,INDIRECT("'数出表_Excel'!"&amp;AU106&amp;MATCH(AZ22,数出表_Excel!$A:$A,0)-1&amp;":AL"&amp;MATCH(AZ22,数出表_Excel!$A:$A,0)-1&amp;"")&lt;&gt;"",0)
),
 "")
&amp;IFERROR(
INDEX(INDIRECT("数出表_Excel!$"&amp;AU106&amp;"5:$AL5"),
 1,
MATCH(TRUE,INDIRECT("'数出表_Excel'!"&amp;AU106&amp;MATCH(AZ22,数出表_Excel!$A:$A,0)-1&amp;":AL"&amp;MATCH(AZ22,数出表_Excel!$A:$A,0)-1&amp;"")&lt;&gt;"",0)),
 "")),"")))</f>
        <v/>
      </c>
      <c r="AY107" s="83" t="str" cm="1">
        <f t="array" aca="1" ref="AY107" ca="1">IF(AV107&lt;&gt;"",
IF(COUNTIF(AV106,"*雙葉*"),
IF(ROUND(
IF(AY112&lt;&gt;"",(AV109-AY112),AV109)
/IF(COUNTIF(AV107,"*キャラ*"),
VLOOKUP("*キャラ*",商品マスタ一覧!$D:$J,7,FALSE),
IF(COUNTIF(AV107,"*赤*"),
VLOOKUP("*赤*",商品マスタ一覧!$D:$J,7,FALSE),
VLOOKUP(AV107,商品マスタ一覧!$D:$J,7,FALSE))),0)&lt;=0,1,
ROUND(
IF(AY112&lt;&gt;"",(AV109-AY112),AV109)
/IF(COUNTIF(AV107,"*キャラ*"),
VLOOKUP("*キャラ*",商品マスタ一覧!$D:$J,7,FALSE),
IF(COUNTIF(AV107,"*赤*"),
VLOOKUP("*赤*",商品マスタ一覧!$D:$J,7,FALSE),
VLOOKUP(AV107,商品マスタ一覧!$D:$J,7,FALSE))),0)),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IF(AV107&lt;&gt;"",
IF(IF(COUNTIF(AV107,"*キャラ*"),
VLOOKUP("*キャラ*",商品マスタ一覧!$D:$J,7,FALSE),
IF(COUNTIF(AV107,"*赤*"),
VLOOKUP("*赤*",商品マスタ一覧!$D:$J,7,FALSE),
VLOOKUP(AV107,商品マスタ一覧!$D:$J,7,FALSE)))=0,"",
IF(ROUND(
IF(AY112&lt;&gt;"",(AV109-AY112),AV109)
/IF(COUNTIF(AV107,"*キャラ*"),
VLOOKUP("*キャラ*",商品マスタ一覧!$D:$J,7,FALSE),
IF(COUNTIF(AV107,"*赤*"),
VLOOKUP("*赤*",商品マスタ一覧!$D:$J,7,FALSE),
VLOOKUP(AV107,商品マスタ一覧!$D:$J,7,FALSE))),0)&lt;=0,1,
ROUND(
IF(AY112&lt;&gt;"",(AV109-AY112),AV109)
/IF(COUNTIF(AV107,"*キャラ*"),
VLOOKUP("*キャラ*",商品マスタ一覧!$D:$J,7,FALSE),
IF(COUNTIF(AV107,"*赤*"),
VLOOKUP("*赤*",商品マスタ一覧!$D:$J,7,FALSE),
VLOOKUP(AV107,商品マスタ一覧!$D:$J,7,FALSE))),0))),""),"")),"")</f>
        <v/>
      </c>
      <c r="AZ107" s="92" t="str">
        <f ca="1">IF(AY107&lt;&gt;"",IF(AV109&lt;&gt;"",IF(VALUE(IF(AY112&lt;&gt;"",AV109-AY112,AV109))&gt;VALUE(IF(COUNTIF('盛付札（関数）'!AV107,"*キャラ*"),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VLOOKUP('盛付札（関数）'!AV107,商品マスタ一覧!$D:$J,7,FALSE)))*AY107),
"+"&amp;IF(AY112&lt;&gt;"",AV109-AY112,AV109)-IF(COUNTIF('盛付札（関数）'!AV107,"*キャラ*"),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VLOOKUP('盛付札（関数）'!AV107,商品マスタ一覧!$D:$J,7,FALSE)))*AY107,
IF(AY112&lt;&gt;"",AV109-AY112,AV109)-IF(COUNTIF('盛付札（関数）'!AV107,"*キャラ*"),
VLOOKUP("*キャラ*",商品マスタ一覧!$D:$J,7,FALSE),
IF(COUNTIF('盛付札（関数）'!AV107,"*赤*"),
VLOOKUP("*赤*",商品マスタ一覧!$D:$J,7,FALSE),
VLOOKUP('盛付札（関数）'!AV107,商品マスタ一覧!$D:$J,7,FALSE)))*AY107),""),"")</f>
        <v/>
      </c>
      <c r="BA107" s="76"/>
      <c r="BB107" s="81" t="e" cm="1">
        <f t="array" aca="1" ref="BB107" ca="1">IF(BB24&lt;&gt;100,
IF(BC109&lt;&gt;"",MATCH(BC109,INDIRECT("数出表_Excel!B"&amp;MATCH(BG22,数出表_Excel!$A:$A,0)-1&amp;":U"&amp;MATCH(BG22,数出表_Excel!$A:$A,0)-1&amp;""),0)+1,""),
IF(BC109&lt;&gt;"",
MATCH(
IFERROR(
INDEX(INDIRECT("数出表_Excel!"&amp;BB106&amp;MATCH(BG22,数出表_Excel!$A:$A,0)-1&amp;":U"&amp;MATCH(BG22,数出表_Excel!$A:$A,0)-1&amp;""),
 1,
 MATCH(TRUE, ISNUMBER(--INDIRECT("数出表_Excel!"&amp;BB106&amp;MATCH(BG22,数出表_Excel!$A:$A,0)-1&amp;":U"&amp;MATCH(BG22,数出表_Excel!$A:$A,0)-1&amp;"")),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107" s="58" t="str" cm="1">
        <f t="array" aca="1" ref="BC107" ca="1">IFERROR(IF(OR(
COUNTIF(INDIRECT("数出表_Excel!" &amp;
CHAR(MATCH(TRUE,
ISNUMBER(--INDIRECT("数出表_Excel!"&amp;BB106&amp;MATCH(BG22,数出表_Excel!$A:$A,0)-1&amp;":U"&amp;MATCH(BG22,数出表_Excel!$A:$A,0)-1&amp;"")),0)
+MATCH(TRUE, ISNUMBER(--INDIRECT("数出表_Excel!B" &amp; (MATCH(BG22,数出表_Excel!$A:$A,0)-1) &amp; ":U" &amp; (MATCH(BG22,数出表_Excel!$A:$A,0)-1))), 0)
+MATCH(TRUE, ISNUMBER(--INDIRECT("数出表_Excel!"&amp;BB64&amp; (MATCH(BG22,数出表_Excel!$A:$A,0)-1) &amp; ":U" &amp; (MATCH(BG22,数出表_Excel!$A:$A,0)-1))), 0)
+65) &amp; "3"),"*配膳*"),
COUNTIF(INDIRECT("数出表_Excel!" &amp;
CHAR(MATCH(TRUE,
ISNUMBER(--INDIRECT("数出表_Excel!"&amp;BB106&amp;MATCH(BG22,数出表_Excel!$A:$A,0)-1&amp;":U"&amp;MATCH(BG22,数出表_Excel!$A:$A,0)-1&amp;"")),0)
+MATCH(TRUE, ISNUMBER(--INDIRECT("数出表_Excel!B" &amp; (MATCH(BG22,数出表_Excel!$A:$A,0)-1) &amp; ":U" &amp; (MATCH(BG22,数出表_Excel!$A:$A,0)-1))), 0)
+MATCH(TRUE, ISNUMBER(--INDIRECT("数出表_Excel!"&amp;BB64&amp; (MATCH(BG22,数出表_Excel!$A:$A,0)-1) &amp; ":U" &amp; (MATCH(BG22,数出表_Excel!$A:$A,0)-1))), 0)
+65) &amp; "3"),"*カレー*"),
COUNTIF(BC64,"*合計*")),"",
IF(IFERROR(INDIRECT("数出表_Excel!" &amp;
CHAR(MATCH(TRUE,
ISNUMBER(--INDIRECT("数出表_Excel!"&amp;BB106&amp;MATCH(BG22,数出表_Excel!$A:$A,0)-1&amp;":U"&amp;MATCH(BG22,数出表_Excel!$A:$A,0)-1&amp;"")),0)
+MATCH(TRUE, ISNUMBER(--INDIRECT("数出表_Excel!B" &amp; (MATCH(BG22,数出表_Excel!$A:$A,0)-1) &amp; ":U" &amp; (MATCH(BG22,数出表_Excel!$A:$A,0)-1))), 0)
+MATCH(TRUE, ISNUMBER(--INDIRECT("数出表_Excel!"&amp;BB64&amp; (MATCH(BG22,数出表_Excel!$A:$A,0)-1) &amp; ":U" &amp; (MATCH(BG22,数出表_Excel!$A:$A,0)-1))), 0)
+65) &amp; "3"),0)=0,"",
IFERROR(INDIRECT("数出表_Excel!" &amp;
CHAR(MATCH(TRUE,
ISNUMBER(--INDIRECT("数出表_Excel!"&amp;BB106&amp;MATCH(BG22,数出表_Excel!$A:$A,0)-1&amp;":U"&amp;MATCH(BG22,数出表_Excel!$A:$A,0)-1&amp;"")),0)
+MATCH(TRUE, ISNUMBER(--INDIRECT("数出表_Excel!B" &amp; (MATCH(BG22,数出表_Excel!$A:$A,0)-1) &amp; ":U" &amp; (MATCH(BG22,数出表_Excel!$A:$A,0)-1))), 0)
+MATCH(TRUE, ISNUMBER(--INDIRECT("数出表_Excel!"&amp;BB64&amp; (MATCH(BG22,数出表_Excel!$A:$A,0)-1) &amp; ":U" &amp; (MATCH(BG22,数出表_Excel!$A:$A,0)-1))), 0)
+65) &amp; "3"),""))),"")</f>
        <v/>
      </c>
      <c r="BD107" s="76"/>
      <c r="BE107" s="82" t="str" cm="1">
        <f t="array" aca="1" ref="BE107" ca="1">IF(BF107&lt;&gt;"","",
IF(COUNTIF(BC106,"*雙葉*"),"",
IF(BC106&lt;&gt;"",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+MATCH(TRUE,INDIRECT("'数出表_Excel'!"&amp;BB106&amp;MATCH(BG22,数出表_Excel!$A:$A,0)-1&amp;":AL"&amp;MATCH(BG22,数出表_Excel!$A:$A,0)-1&amp;"")&lt;&gt;"",0))&gt;9,"",
IFERROR(
INDEX(INDIRECT("数出表_Excel!$"&amp;BB106&amp;"4:$AL4"),
 1,
MATCH(TRUE,INDIRECT("'数出表_Excel'!"&amp;BB106&amp;MATCH(BG22,数出表_Excel!$A:$A,0)-1&amp;":AL"&amp;MATCH(BG22,数出表_Excel!$A:$A,0)-1&amp;"")&lt;&gt;"",0)
),
 "")
&amp;IFERROR(
INDEX(INDIRECT("数出表_Excel!$"&amp;BB106&amp;"5:$AL5"),
 1,
MATCH(TRUE,INDIRECT("'数出表_Excel'!"&amp;BB106&amp;MATCH(BG22,数出表_Excel!$A:$A,0)-1&amp;":AL"&amp;MATCH(BG22,数出表_Excel!$A:$A,0)-1&amp;"")&lt;&gt;"",0)),
 "")),"")))</f>
        <v/>
      </c>
      <c r="BF107" s="83" t="str" cm="1">
        <f t="array" aca="1" ref="BF107" ca="1">IF(BC107&lt;&gt;"",
IF(COUNTIF(BC106,"*雙葉*"),
IF(ROUND(
IF(BF112&lt;&gt;"",(BC109-BF112),BC109)
/IF(COUNTIF(BC107,"*キャラ*"),
VLOOKUP("*キャラ*",商品マスタ一覧!$D:$J,7,FALSE),
IF(COUNTIF(BC107,"*赤*"),
VLOOKUP("*赤*",商品マスタ一覧!$D:$J,7,FALSE),
VLOOKUP(BC107,商品マスタ一覧!$D:$J,7,FALSE))),0)&lt;=0,1,
ROUND(
IF(BF112&lt;&gt;"",(BC109-BF112),BC109)
/IF(COUNTIF(BC107,"*キャラ*"),
VLOOKUP("*キャラ*",商品マスタ一覧!$D:$J,7,FALSE),
IF(COUNTIF(BC107,"*赤*"),
VLOOKUP("*赤*",商品マスタ一覧!$D:$J,7,FALSE),
VLOOKUP(BC107,商品マスタ一覧!$D:$J,7,FALSE))),0)),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IF(BC107&lt;&gt;"",
IF(IF(COUNTIF(BC107,"*キャラ*"),
VLOOKUP("*キャラ*",商品マスタ一覧!$D:$J,7,FALSE),
IF(COUNTIF(BC107,"*赤*"),
VLOOKUP("*赤*",商品マスタ一覧!$D:$J,7,FALSE),
VLOOKUP(BC107,商品マスタ一覧!$D:$J,7,FALSE)))=0,"",
IF(ROUND(
IF(BF112&lt;&gt;"",(BC109-BF112),BC109)
/IF(COUNTIF(BC107,"*キャラ*"),
VLOOKUP("*キャラ*",商品マスタ一覧!$D:$J,7,FALSE),
IF(COUNTIF(BC107,"*赤*"),
VLOOKUP("*赤*",商品マスタ一覧!$D:$J,7,FALSE),
VLOOKUP(BC107,商品マスタ一覧!$D:$J,7,FALSE))),0)&lt;=0,1,
ROUND(
IF(BF112&lt;&gt;"",(BC109-BF112),BC109)
/IF(COUNTIF(BC107,"*キャラ*"),
VLOOKUP("*キャラ*",商品マスタ一覧!$D:$J,7,FALSE),
IF(COUNTIF(BC107,"*赤*"),
VLOOKUP("*赤*",商品マスタ一覧!$D:$J,7,FALSE),
VLOOKUP(BC107,商品マスタ一覧!$D:$J,7,FALSE))),0))),""),"")),"")</f>
        <v/>
      </c>
      <c r="BG107" s="92" t="str">
        <f ca="1">IF(BF107&lt;&gt;"",IF(BC109&lt;&gt;"",IF(VALUE(IF(BF112&lt;&gt;"",BC109-BF112,BC109))&gt;VALUE(IF(COUNTIF('盛付札（関数）'!BC107,"*キャラ*"),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VLOOKUP('盛付札（関数）'!BC107,商品マスタ一覧!$D:$J,7,FALSE)))*BF107),
"+"&amp;IF(BF112&lt;&gt;"",BC109-BF112,BC109)-IF(COUNTIF('盛付札（関数）'!BC107,"*キャラ*"),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VLOOKUP('盛付札（関数）'!BC107,商品マスタ一覧!$D:$J,7,FALSE)))*BF107,
IF(BF112&lt;&gt;"",BC109-BF112,BC109)-IF(COUNTIF('盛付札（関数）'!BC107,"*キャラ*"),
VLOOKUP("*キャラ*",商品マスタ一覧!$D:$J,7,FALSE),
IF(COUNTIF('盛付札（関数）'!BC107,"*赤*"),
VLOOKUP("*赤*",商品マスタ一覧!$D:$J,7,FALSE),
VLOOKUP('盛付札（関数）'!BC107,商品マスタ一覧!$D:$J,7,FALSE)))*BF107),""),"")</f>
        <v/>
      </c>
      <c r="BJ107" s="81" t="e" cm="1">
        <f t="array" aca="1" ref="BJ107" ca="1">IF(BJ24&lt;&gt;100,
IF(BK109&lt;&gt;"",MATCH(BK109,INDIRECT("数出表_Excel!B"&amp;MATCH(BO22,数出表_Excel!$A:$A,0)-1&amp;":U"&amp;MATCH(BO22,数出表_Excel!$A:$A,0)-1&amp;""),0)+1,""),
IF(BK109&lt;&gt;"",
MATCH(
IFERROR(
INDEX(INDIRECT("数出表_Excel!"&amp;BJ106&amp;MATCH(BO22,数出表_Excel!$A:$A,0)-1&amp;":U"&amp;MATCH(BO22,数出表_Excel!$A:$A,0)-1&amp;""),
 1,
 MATCH(TRUE, ISNUMBER(--INDIRECT("数出表_Excel!"&amp;BJ106&amp;MATCH(BO22,数出表_Excel!$A:$A,0)-1&amp;":U"&amp;MATCH(BO22,数出表_Excel!$A:$A,0)-1&amp;"")),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107" s="58" t="str" cm="1">
        <f t="array" aca="1" ref="BK107" ca="1">IFERROR(IF(OR(
COUNTIF(INDIRECT("数出表_Excel!" &amp;
CHAR(MATCH(TRUE,
ISNUMBER(--INDIRECT("数出表_Excel!"&amp;BJ106&amp;MATCH(BO22,数出表_Excel!$A:$A,0)-1&amp;":U"&amp;MATCH(BO22,数出表_Excel!$A:$A,0)-1&amp;"")),0)
+MATCH(TRUE, ISNUMBER(--INDIRECT("数出表_Excel!B" &amp; (MATCH(BO22,数出表_Excel!$A:$A,0)-1) &amp; ":U" &amp; (MATCH(BO22,数出表_Excel!$A:$A,0)-1))), 0)
+MATCH(TRUE, ISNUMBER(--INDIRECT("数出表_Excel!"&amp;BJ64&amp; (MATCH(BO22,数出表_Excel!$A:$A,0)-1) &amp; ":U" &amp; (MATCH(BO22,数出表_Excel!$A:$A,0)-1))), 0)
+65) &amp; "3"),"*配膳*"),
COUNTIF(INDIRECT("数出表_Excel!" &amp;
CHAR(MATCH(TRUE,
ISNUMBER(--INDIRECT("数出表_Excel!"&amp;BJ106&amp;MATCH(BO22,数出表_Excel!$A:$A,0)-1&amp;":U"&amp;MATCH(BO22,数出表_Excel!$A:$A,0)-1&amp;"")),0)
+MATCH(TRUE, ISNUMBER(--INDIRECT("数出表_Excel!B" &amp; (MATCH(BO22,数出表_Excel!$A:$A,0)-1) &amp; ":U" &amp; (MATCH(BO22,数出表_Excel!$A:$A,0)-1))), 0)
+MATCH(TRUE, ISNUMBER(--INDIRECT("数出表_Excel!"&amp;BJ64&amp; (MATCH(BO22,数出表_Excel!$A:$A,0)-1) &amp; ":U" &amp; (MATCH(BO22,数出表_Excel!$A:$A,0)-1))), 0)
+65) &amp; "3"),"*カレー*"),
COUNTIF(BK64,"*合計*")),"",
IF(IFERROR(INDIRECT("数出表_Excel!" &amp;
CHAR(MATCH(TRUE,
ISNUMBER(--INDIRECT("数出表_Excel!"&amp;BJ106&amp;MATCH(BO22,数出表_Excel!$A:$A,0)-1&amp;":U"&amp;MATCH(BO22,数出表_Excel!$A:$A,0)-1&amp;"")),0)
+MATCH(TRUE, ISNUMBER(--INDIRECT("数出表_Excel!B" &amp; (MATCH(BO22,数出表_Excel!$A:$A,0)-1) &amp; ":U" &amp; (MATCH(BO22,数出表_Excel!$A:$A,0)-1))), 0)
+MATCH(TRUE, ISNUMBER(--INDIRECT("数出表_Excel!"&amp;BJ64&amp; (MATCH(BO22,数出表_Excel!$A:$A,0)-1) &amp; ":U" &amp; (MATCH(BO22,数出表_Excel!$A:$A,0)-1))), 0)
+65) &amp; "3"),0)=0,"",
IFERROR(INDIRECT("数出表_Excel!" &amp;
CHAR(MATCH(TRUE,
ISNUMBER(--INDIRECT("数出表_Excel!"&amp;BJ106&amp;MATCH(BO22,数出表_Excel!$A:$A,0)-1&amp;":U"&amp;MATCH(BO22,数出表_Excel!$A:$A,0)-1&amp;"")),0)
+MATCH(TRUE, ISNUMBER(--INDIRECT("数出表_Excel!B" &amp; (MATCH(BO22,数出表_Excel!$A:$A,0)-1) &amp; ":U" &amp; (MATCH(BO22,数出表_Excel!$A:$A,0)-1))), 0)
+MATCH(TRUE, ISNUMBER(--INDIRECT("数出表_Excel!"&amp;BJ64&amp; (MATCH(BO22,数出表_Excel!$A:$A,0)-1) &amp; ":U" &amp; (MATCH(BO22,数出表_Excel!$A:$A,0)-1))), 0)
+65) &amp; "3"),""))),"")</f>
        <v/>
      </c>
      <c r="BL107" s="76"/>
      <c r="BM107" s="82" t="str" cm="1">
        <f t="array" aca="1" ref="BM107" ca="1">IF(BN107&lt;&gt;"","",
IF(COUNTIF(BK106,"*雙葉*"),"",
IF(BK106&lt;&gt;"",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+MATCH(TRUE,INDIRECT("'数出表_Excel'!"&amp;BJ106&amp;MATCH(BO22,数出表_Excel!$A:$A,0)-1&amp;":AL"&amp;MATCH(BO22,数出表_Excel!$A:$A,0)-1&amp;"")&lt;&gt;"",0))&gt;9,"",
IFERROR(
INDEX(INDIRECT("数出表_Excel!$"&amp;BJ106&amp;"4:$AL4"),
 1,
MATCH(TRUE,INDIRECT("'数出表_Excel'!"&amp;BJ106&amp;MATCH(BO22,数出表_Excel!$A:$A,0)-1&amp;":AL"&amp;MATCH(BO22,数出表_Excel!$A:$A,0)-1&amp;"")&lt;&gt;"",0)
),
 "")
&amp;IFERROR(
INDEX(INDIRECT("数出表_Excel!$"&amp;BJ106&amp;"5:$AL5"),
 1,
MATCH(TRUE,INDIRECT("'数出表_Excel'!"&amp;BJ106&amp;MATCH(BO22,数出表_Excel!$A:$A,0)-1&amp;":AL"&amp;MATCH(BO22,数出表_Excel!$A:$A,0)-1&amp;"")&lt;&gt;"",0)),
 "")),"")))</f>
        <v/>
      </c>
      <c r="BN107" s="83" t="str" cm="1">
        <f t="array" aca="1" ref="BN107" ca="1">IF(BK107&lt;&gt;"",
IF(COUNTIF(BK106,"*雙葉*"),
IF(ROUND(
IF(BN112&lt;&gt;"",(BK109-BN112),BK109)
/IF(COUNTIF(BK107,"*キャラ*"),
VLOOKUP("*キャラ*",商品マスタ一覧!$D:$J,7,FALSE),
IF(COUNTIF(BK107,"*赤*"),
VLOOKUP("*赤*",商品マスタ一覧!$D:$J,7,FALSE),
VLOOKUP(BK107,商品マスタ一覧!$D:$J,7,FALSE))),0)&lt;=0,1,
ROUND(
IF(BN112&lt;&gt;"",(BK109-BN112),BK109)
/IF(COUNTIF(BK107,"*キャラ*"),
VLOOKUP("*キャラ*",商品マスタ一覧!$D:$J,7,FALSE),
IF(COUNTIF(BK107,"*赤*"),
VLOOKUP("*赤*",商品マスタ一覧!$D:$J,7,FALSE),
VLOOKUP(BK107,商品マスタ一覧!$D:$J,7,FALSE))),0)),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IF(BK107&lt;&gt;"",
IF(IF(COUNTIF(BK107,"*キャラ*"),
VLOOKUP("*キャラ*",商品マスタ一覧!$D:$J,7,FALSE),
IF(COUNTIF(BK107,"*赤*"),
VLOOKUP("*赤*",商品マスタ一覧!$D:$J,7,FALSE),
VLOOKUP(BK107,商品マスタ一覧!$D:$J,7,FALSE)))=0,"",
IF(ROUND(
IF(BN112&lt;&gt;"",(BK109-BN112),BK109)
/IF(COUNTIF(BK107,"*キャラ*"),
VLOOKUP("*キャラ*",商品マスタ一覧!$D:$J,7,FALSE),
IF(COUNTIF(BK107,"*赤*"),
VLOOKUP("*赤*",商品マスタ一覧!$D:$J,7,FALSE),
VLOOKUP(BK107,商品マスタ一覧!$D:$J,7,FALSE))),0)&lt;=0,1,
ROUND(
IF(BN112&lt;&gt;"",(BK109-BN112),BK109)
/IF(COUNTIF(BK107,"*キャラ*"),
VLOOKUP("*キャラ*",商品マスタ一覧!$D:$J,7,FALSE),
IF(COUNTIF(BK107,"*赤*"),
VLOOKUP("*赤*",商品マスタ一覧!$D:$J,7,FALSE),
VLOOKUP(BK107,商品マスタ一覧!$D:$J,7,FALSE))),0))),""),"")),"")</f>
        <v/>
      </c>
      <c r="BO107" s="92" t="str">
        <f ca="1">IF(BN107&lt;&gt;"",IF(BK109&lt;&gt;"",IF(VALUE(IF(BN112&lt;&gt;"",BK109-BN112,BK109))&gt;VALUE(IF(COUNTIF('盛付札（関数）'!BK107,"*キャラ*"),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VLOOKUP('盛付札（関数）'!BK107,商品マスタ一覧!$D:$J,7,FALSE)))*BN107),
"+"&amp;IF(BN112&lt;&gt;"",BK109-BN112,BK109)-IF(COUNTIF('盛付札（関数）'!BK107,"*キャラ*"),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VLOOKUP('盛付札（関数）'!BK107,商品マスタ一覧!$D:$J,7,FALSE)))*BN107,
IF(BN112&lt;&gt;"",BK109-BN112,BK109)-IF(COUNTIF('盛付札（関数）'!BK107,"*キャラ*"),
VLOOKUP("*キャラ*",商品マスタ一覧!$D:$J,7,FALSE),
IF(COUNTIF('盛付札（関数）'!BK107,"*赤*"),
VLOOKUP("*赤*",商品マスタ一覧!$D:$J,7,FALSE),
VLOOKUP('盛付札（関数）'!BK107,商品マスタ一覧!$D:$J,7,FALSE)))*BN107),""),"")</f>
        <v/>
      </c>
      <c r="BP107" s="76"/>
      <c r="BQ107" s="81" t="e" cm="1">
        <f t="array" aca="1" ref="BQ107" ca="1">IF(BQ24&lt;&gt;100,
IF(BR109&lt;&gt;"",MATCH(BR109,INDIRECT("数出表_Excel!B"&amp;MATCH(BV22,数出表_Excel!$A:$A,0)-1&amp;":U"&amp;MATCH(BV22,数出表_Excel!$A:$A,0)-1&amp;""),0)+1,""),
IF(BR109&lt;&gt;"",
MATCH(
IFERROR(
INDEX(INDIRECT("数出表_Excel!"&amp;BQ106&amp;MATCH(BV22,数出表_Excel!$A:$A,0)-1&amp;":U"&amp;MATCH(BV22,数出表_Excel!$A:$A,0)-1&amp;""),
 1,
 MATCH(TRUE, ISNUMBER(--INDIRECT("数出表_Excel!"&amp;BQ106&amp;MATCH(BV22,数出表_Excel!$A:$A,0)-1&amp;":U"&amp;MATCH(BV22,数出表_Excel!$A:$A,0)-1&amp;"")),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107" s="58" t="str" cm="1">
        <f t="array" aca="1" ref="BR107" ca="1">IFERROR(IF(OR(
COUNTIF(INDIRECT("数出表_Excel!" &amp;
CHAR(MATCH(TRUE,
ISNUMBER(--INDIRECT("数出表_Excel!"&amp;BQ106&amp;MATCH(BV22,数出表_Excel!$A:$A,0)-1&amp;":U"&amp;MATCH(BV22,数出表_Excel!$A:$A,0)-1&amp;"")),0)
+MATCH(TRUE, ISNUMBER(--INDIRECT("数出表_Excel!B" &amp; (MATCH(BV22,数出表_Excel!$A:$A,0)-1) &amp; ":U" &amp; (MATCH(BV22,数出表_Excel!$A:$A,0)-1))), 0)
+MATCH(TRUE, ISNUMBER(--INDIRECT("数出表_Excel!"&amp;BQ64&amp; (MATCH(BV22,数出表_Excel!$A:$A,0)-1) &amp; ":U" &amp; (MATCH(BV22,数出表_Excel!$A:$A,0)-1))), 0)
+65) &amp; "3"),"*配膳*"),
COUNTIF(INDIRECT("数出表_Excel!" &amp;
CHAR(MATCH(TRUE,
ISNUMBER(--INDIRECT("数出表_Excel!"&amp;BQ106&amp;MATCH(BV22,数出表_Excel!$A:$A,0)-1&amp;":U"&amp;MATCH(BV22,数出表_Excel!$A:$A,0)-1&amp;"")),0)
+MATCH(TRUE, ISNUMBER(--INDIRECT("数出表_Excel!B" &amp; (MATCH(BV22,数出表_Excel!$A:$A,0)-1) &amp; ":U" &amp; (MATCH(BV22,数出表_Excel!$A:$A,0)-1))), 0)
+MATCH(TRUE, ISNUMBER(--INDIRECT("数出表_Excel!"&amp;BQ64&amp; (MATCH(BV22,数出表_Excel!$A:$A,0)-1) &amp; ":U" &amp; (MATCH(BV22,数出表_Excel!$A:$A,0)-1))), 0)
+65) &amp; "3"),"*カレー*"),
COUNTIF(BR64,"*合計*")),"",
IF(IFERROR(INDIRECT("数出表_Excel!" &amp;
CHAR(MATCH(TRUE,
ISNUMBER(--INDIRECT("数出表_Excel!"&amp;BQ106&amp;MATCH(BV22,数出表_Excel!$A:$A,0)-1&amp;":U"&amp;MATCH(BV22,数出表_Excel!$A:$A,0)-1&amp;"")),0)
+MATCH(TRUE, ISNUMBER(--INDIRECT("数出表_Excel!B" &amp; (MATCH(BV22,数出表_Excel!$A:$A,0)-1) &amp; ":U" &amp; (MATCH(BV22,数出表_Excel!$A:$A,0)-1))), 0)
+MATCH(TRUE, ISNUMBER(--INDIRECT("数出表_Excel!"&amp;BQ64&amp; (MATCH(BV22,数出表_Excel!$A:$A,0)-1) &amp; ":U" &amp; (MATCH(BV22,数出表_Excel!$A:$A,0)-1))), 0)
+65) &amp; "3"),0)=0,"",
IFERROR(INDIRECT("数出表_Excel!" &amp;
CHAR(MATCH(TRUE,
ISNUMBER(--INDIRECT("数出表_Excel!"&amp;BQ106&amp;MATCH(BV22,数出表_Excel!$A:$A,0)-1&amp;":U"&amp;MATCH(BV22,数出表_Excel!$A:$A,0)-1&amp;"")),0)
+MATCH(TRUE, ISNUMBER(--INDIRECT("数出表_Excel!B" &amp; (MATCH(BV22,数出表_Excel!$A:$A,0)-1) &amp; ":U" &amp; (MATCH(BV22,数出表_Excel!$A:$A,0)-1))), 0)
+MATCH(TRUE, ISNUMBER(--INDIRECT("数出表_Excel!"&amp;BQ64&amp; (MATCH(BV22,数出表_Excel!$A:$A,0)-1) &amp; ":U" &amp; (MATCH(BV22,数出表_Excel!$A:$A,0)-1))), 0)
+65) &amp; "3"),""))),"")</f>
        <v/>
      </c>
      <c r="BS107" s="76"/>
      <c r="BT107" s="82" t="str" cm="1">
        <f t="array" aca="1" ref="BT107" ca="1">IF(BU107&lt;&gt;"","",
IF(COUNTIF(BR106,"*雙葉*"),"",
IF(BR106&lt;&gt;"",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+MATCH(TRUE,INDIRECT("'数出表_Excel'!"&amp;BQ106&amp;MATCH(BV22,数出表_Excel!$A:$A,0)-1&amp;":AL"&amp;MATCH(BV22,数出表_Excel!$A:$A,0)-1&amp;"")&lt;&gt;"",0))&gt;9,"",
IFERROR(
INDEX(INDIRECT("数出表_Excel!$"&amp;BQ106&amp;"4:$AL4"),
 1,
MATCH(TRUE,INDIRECT("'数出表_Excel'!"&amp;BQ106&amp;MATCH(BV22,数出表_Excel!$A:$A,0)-1&amp;":AL"&amp;MATCH(BV22,数出表_Excel!$A:$A,0)-1&amp;"")&lt;&gt;"",0)
),
 "")
&amp;IFERROR(
INDEX(INDIRECT("数出表_Excel!$"&amp;BQ106&amp;"5:$AL5"),
 1,
MATCH(TRUE,INDIRECT("'数出表_Excel'!"&amp;BQ106&amp;MATCH(BV22,数出表_Excel!$A:$A,0)-1&amp;":AL"&amp;MATCH(BV22,数出表_Excel!$A:$A,0)-1&amp;"")&lt;&gt;"",0)),
 "")),"")))</f>
        <v/>
      </c>
      <c r="BU107" s="83" t="str" cm="1">
        <f t="array" aca="1" ref="BU107" ca="1">IF(BR107&lt;&gt;"",
IF(COUNTIF(BR106,"*雙葉*"),
IF(ROUND(
IF(BU112&lt;&gt;"",(BR109-BU112),BR109)
/IF(COUNTIF(BR107,"*キャラ*"),
VLOOKUP("*キャラ*",商品マスタ一覧!$D:$J,7,FALSE),
IF(COUNTIF(BR107,"*赤*"),
VLOOKUP("*赤*",商品マスタ一覧!$D:$J,7,FALSE),
VLOOKUP(BR107,商品マスタ一覧!$D:$J,7,FALSE))),0)&lt;=0,1,
ROUND(
IF(BU112&lt;&gt;"",(BR109-BU112),BR109)
/IF(COUNTIF(BR107,"*キャラ*"),
VLOOKUP("*キャラ*",商品マスタ一覧!$D:$J,7,FALSE),
IF(COUNTIF(BR107,"*赤*"),
VLOOKUP("*赤*",商品マスタ一覧!$D:$J,7,FALSE),
VLOOKUP(BR107,商品マスタ一覧!$D:$J,7,FALSE))),0)),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IF(BR107&lt;&gt;"",
IF(IF(COUNTIF(BR107,"*キャラ*"),
VLOOKUP("*キャラ*",商品マスタ一覧!$D:$J,7,FALSE),
IF(COUNTIF(BR107,"*赤*"),
VLOOKUP("*赤*",商品マスタ一覧!$D:$J,7,FALSE),
VLOOKUP(BR107,商品マスタ一覧!$D:$J,7,FALSE)))=0,"",
IF(ROUND(
IF(BU112&lt;&gt;"",(BR109-BU112),BR109)
/IF(COUNTIF(BR107,"*キャラ*"),
VLOOKUP("*キャラ*",商品マスタ一覧!$D:$J,7,FALSE),
IF(COUNTIF(BR107,"*赤*"),
VLOOKUP("*赤*",商品マスタ一覧!$D:$J,7,FALSE),
VLOOKUP(BR107,商品マスタ一覧!$D:$J,7,FALSE))),0)&lt;=0,1,
ROUND(
IF(BU112&lt;&gt;"",(BR109-BU112),BR109)
/IF(COUNTIF(BR107,"*キャラ*"),
VLOOKUP("*キャラ*",商品マスタ一覧!$D:$J,7,FALSE),
IF(COUNTIF(BR107,"*赤*"),
VLOOKUP("*赤*",商品マスタ一覧!$D:$J,7,FALSE),
VLOOKUP(BR107,商品マスタ一覧!$D:$J,7,FALSE))),0))),""),"")),"")</f>
        <v/>
      </c>
      <c r="BV107" s="92" t="str">
        <f ca="1">IF(BU107&lt;&gt;"",IF(BR109&lt;&gt;"",IF(VALUE(IF(BU112&lt;&gt;"",BR109-BU112,BR109))&gt;VALUE(IF(COUNTIF('盛付札（関数）'!BR107,"*キャラ*"),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VLOOKUP('盛付札（関数）'!BR107,商品マスタ一覧!$D:$J,7,FALSE)))*BU107),
"+"&amp;IF(BU112&lt;&gt;"",BR109-BU112,BR109)-IF(COUNTIF('盛付札（関数）'!BR107,"*キャラ*"),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VLOOKUP('盛付札（関数）'!BR107,商品マスタ一覧!$D:$J,7,FALSE)))*BU107,
IF(BU112&lt;&gt;"",BR109-BU112,BR109)-IF(COUNTIF('盛付札（関数）'!BR107,"*キャラ*"),
VLOOKUP("*キャラ*",商品マスタ一覧!$D:$J,7,FALSE),
IF(COUNTIF('盛付札（関数）'!BR107,"*赤*"),
VLOOKUP("*赤*",商品マスタ一覧!$D:$J,7,FALSE),
VLOOKUP('盛付札（関数）'!BR107,商品マスタ一覧!$D:$J,7,FALSE)))*BU107),""),"")</f>
        <v/>
      </c>
      <c r="BY107" s="81" t="e" cm="1">
        <f t="array" aca="1" ref="BY107" ca="1">IF(BY24&lt;&gt;100,
IF(BZ109&lt;&gt;"",MATCH(BZ109,INDIRECT("数出表_Excel!B"&amp;MATCH(CD22,数出表_Excel!$A:$A,0)-1&amp;":U"&amp;MATCH(CD22,数出表_Excel!$A:$A,0)-1&amp;""),0)+1,""),
IF(BZ109&lt;&gt;"",
MATCH(
IFERROR(
INDEX(INDIRECT("数出表_Excel!"&amp;BY106&amp;MATCH(CD22,数出表_Excel!$A:$A,0)-1&amp;":U"&amp;MATCH(CD22,数出表_Excel!$A:$A,0)-1&amp;""),
 1,
 MATCH(TRUE, ISNUMBER(--INDIRECT("数出表_Excel!"&amp;BY106&amp;MATCH(CD22,数出表_Excel!$A:$A,0)-1&amp;":U"&amp;MATCH(CD22,数出表_Excel!$A:$A,0)-1&amp;"")),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107" s="58" t="str" cm="1">
        <f t="array" aca="1" ref="BZ107" ca="1">IFERROR(IF(OR(
COUNTIF(INDIRECT("数出表_Excel!" &amp;
CHAR(MATCH(TRUE,
ISNUMBER(--INDIRECT("数出表_Excel!"&amp;BY106&amp;MATCH(CD22,数出表_Excel!$A:$A,0)-1&amp;":U"&amp;MATCH(CD22,数出表_Excel!$A:$A,0)-1&amp;"")),0)
+MATCH(TRUE, ISNUMBER(--INDIRECT("数出表_Excel!B" &amp; (MATCH(CD22,数出表_Excel!$A:$A,0)-1) &amp; ":U" &amp; (MATCH(CD22,数出表_Excel!$A:$A,0)-1))), 0)
+MATCH(TRUE, ISNUMBER(--INDIRECT("数出表_Excel!"&amp;BY64&amp; (MATCH(CD22,数出表_Excel!$A:$A,0)-1) &amp; ":U" &amp; (MATCH(CD22,数出表_Excel!$A:$A,0)-1))), 0)
+65) &amp; "3"),"*配膳*"),
COUNTIF(INDIRECT("数出表_Excel!" &amp;
CHAR(MATCH(TRUE,
ISNUMBER(--INDIRECT("数出表_Excel!"&amp;BY106&amp;MATCH(CD22,数出表_Excel!$A:$A,0)-1&amp;":U"&amp;MATCH(CD22,数出表_Excel!$A:$A,0)-1&amp;"")),0)
+MATCH(TRUE, ISNUMBER(--INDIRECT("数出表_Excel!B" &amp; (MATCH(CD22,数出表_Excel!$A:$A,0)-1) &amp; ":U" &amp; (MATCH(CD22,数出表_Excel!$A:$A,0)-1))), 0)
+MATCH(TRUE, ISNUMBER(--INDIRECT("数出表_Excel!"&amp;BY64&amp; (MATCH(CD22,数出表_Excel!$A:$A,0)-1) &amp; ":U" &amp; (MATCH(CD22,数出表_Excel!$A:$A,0)-1))), 0)
+65) &amp; "3"),"*カレー*"),
COUNTIF(BZ64,"*合計*")),"",
IF(IFERROR(INDIRECT("数出表_Excel!" &amp;
CHAR(MATCH(TRUE,
ISNUMBER(--INDIRECT("数出表_Excel!"&amp;BY106&amp;MATCH(CD22,数出表_Excel!$A:$A,0)-1&amp;":U"&amp;MATCH(CD22,数出表_Excel!$A:$A,0)-1&amp;"")),0)
+MATCH(TRUE, ISNUMBER(--INDIRECT("数出表_Excel!B" &amp; (MATCH(CD22,数出表_Excel!$A:$A,0)-1) &amp; ":U" &amp; (MATCH(CD22,数出表_Excel!$A:$A,0)-1))), 0)
+MATCH(TRUE, ISNUMBER(--INDIRECT("数出表_Excel!"&amp;BY64&amp; (MATCH(CD22,数出表_Excel!$A:$A,0)-1) &amp; ":U" &amp; (MATCH(CD22,数出表_Excel!$A:$A,0)-1))), 0)
+65) &amp; "3"),0)=0,"",
IFERROR(INDIRECT("数出表_Excel!" &amp;
CHAR(MATCH(TRUE,
ISNUMBER(--INDIRECT("数出表_Excel!"&amp;BY106&amp;MATCH(CD22,数出表_Excel!$A:$A,0)-1&amp;":U"&amp;MATCH(CD22,数出表_Excel!$A:$A,0)-1&amp;"")),0)
+MATCH(TRUE, ISNUMBER(--INDIRECT("数出表_Excel!B" &amp; (MATCH(CD22,数出表_Excel!$A:$A,0)-1) &amp; ":U" &amp; (MATCH(CD22,数出表_Excel!$A:$A,0)-1))), 0)
+MATCH(TRUE, ISNUMBER(--INDIRECT("数出表_Excel!"&amp;BY64&amp; (MATCH(CD22,数出表_Excel!$A:$A,0)-1) &amp; ":U" &amp; (MATCH(CD22,数出表_Excel!$A:$A,0)-1))), 0)
+65) &amp; "3"),""))),"")</f>
        <v/>
      </c>
      <c r="CA107" s="76"/>
      <c r="CB107" s="82" t="str" cm="1">
        <f t="array" aca="1" ref="CB107" ca="1">IF(CC107&lt;&gt;"","",
IF(COUNTIF(BZ106,"*雙葉*"),"",
IF(BZ106&lt;&gt;"",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+MATCH(TRUE,INDIRECT("'数出表_Excel'!"&amp;BY106&amp;MATCH(CD22,数出表_Excel!$A:$A,0)-1&amp;":AL"&amp;MATCH(CD22,数出表_Excel!$A:$A,0)-1&amp;"")&lt;&gt;"",0))&gt;9,"",
IFERROR(
INDEX(INDIRECT("数出表_Excel!$"&amp;BY106&amp;"4:$AL4"),
 1,
MATCH(TRUE,INDIRECT("'数出表_Excel'!"&amp;BY106&amp;MATCH(CD22,数出表_Excel!$A:$A,0)-1&amp;":AL"&amp;MATCH(CD22,数出表_Excel!$A:$A,0)-1&amp;"")&lt;&gt;"",0)
),
 "")
&amp;IFERROR(
INDEX(INDIRECT("数出表_Excel!$"&amp;BY106&amp;"5:$AL5"),
 1,
MATCH(TRUE,INDIRECT("'数出表_Excel'!"&amp;BY106&amp;MATCH(CD22,数出表_Excel!$A:$A,0)-1&amp;":AL"&amp;MATCH(CD22,数出表_Excel!$A:$A,0)-1&amp;"")&lt;&gt;"",0)),
 "")),"")))</f>
        <v/>
      </c>
      <c r="CC107" s="83" t="str" cm="1">
        <f t="array" aca="1" ref="CC107" ca="1">IF(BZ107&lt;&gt;"",
IF(COUNTIF(BZ106,"*雙葉*"),
IF(ROUND(
IF(CC112&lt;&gt;"",(BZ109-CC112),BZ109)
/IF(COUNTIF(BZ107,"*キャラ*"),
VLOOKUP("*キャラ*",商品マスタ一覧!$D:$J,7,FALSE),
IF(COUNTIF(BZ107,"*赤*"),
VLOOKUP("*赤*",商品マスタ一覧!$D:$J,7,FALSE),
VLOOKUP(BZ107,商品マスタ一覧!$D:$J,7,FALSE))),0)&lt;=0,1,
ROUND(
IF(CC112&lt;&gt;"",(BZ109-CC112),BZ109)
/IF(COUNTIF(BZ107,"*キャラ*"),
VLOOKUP("*キャラ*",商品マスタ一覧!$D:$J,7,FALSE),
IF(COUNTIF(BZ107,"*赤*"),
VLOOKUP("*赤*",商品マスタ一覧!$D:$J,7,FALSE),
VLOOKUP(BZ107,商品マスタ一覧!$D:$J,7,FALSE))),0)),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IF(BZ107&lt;&gt;"",
IF(IF(COUNTIF(BZ107,"*キャラ*"),
VLOOKUP("*キャラ*",商品マスタ一覧!$D:$J,7,FALSE),
IF(COUNTIF(BZ107,"*赤*"),
VLOOKUP("*赤*",商品マスタ一覧!$D:$J,7,FALSE),
VLOOKUP(BZ107,商品マスタ一覧!$D:$J,7,FALSE)))=0,"",
IF(ROUND(
IF(CC112&lt;&gt;"",(BZ109-CC112),BZ109)
/IF(COUNTIF(BZ107,"*キャラ*"),
VLOOKUP("*キャラ*",商品マスタ一覧!$D:$J,7,FALSE),
IF(COUNTIF(BZ107,"*赤*"),
VLOOKUP("*赤*",商品マスタ一覧!$D:$J,7,FALSE),
VLOOKUP(BZ107,商品マスタ一覧!$D:$J,7,FALSE))),0)&lt;=0,1,
ROUND(
IF(CC112&lt;&gt;"",(BZ109-CC112),BZ109)
/IF(COUNTIF(BZ107,"*キャラ*"),
VLOOKUP("*キャラ*",商品マスタ一覧!$D:$J,7,FALSE),
IF(COUNTIF(BZ107,"*赤*"),
VLOOKUP("*赤*",商品マスタ一覧!$D:$J,7,FALSE),
VLOOKUP(BZ107,商品マスタ一覧!$D:$J,7,FALSE))),0))),""),"")),"")</f>
        <v/>
      </c>
      <c r="CD107" s="92" t="str">
        <f ca="1">IF(CC107&lt;&gt;"",IF(BZ109&lt;&gt;"",IF(VALUE(IF(CC112&lt;&gt;"",BZ109-CC112,BZ109))&gt;VALUE(IF(COUNTIF('盛付札（関数）'!BZ107,"*キャラ*"),
VLOOKUP("*キャラ*",商品マスタ一覧!$D:$J,7,FALSE),
IF(COUNTIF('盛付札（関数）'!BZ107,"*赤*"),
VLOOKUP("*赤*",商品マスタ一覧!$D:$J,7,FALSE),
VLOOKUP('盛付札（関数）'!BZ107,商品マスタ一覧!$D:$J,7,FALSE)))*CC107),
"+"&amp;IF(CC112&lt;&gt;"",BZ109-CC112,BZ109)-IF(COUNTIF('盛付札（関数）'!BZ107,"*キャラ*"),
VLOOKUP("*キャラ*",商品マスタ一覧!$D:$J,7,FALSE),
IF(COUNTIF('盛付札（関数）'!BZ107,"*赤*"),
VLOOKUP("*赤*",商品マスタ一覧!$D:$J,7,FALSE),
VLOOKUP('盛付札（関数）'!BZ107,商品マスタ一覧!$D:$J,7,FALSE)))*CC107,
IF(CC112&lt;&gt;"",BZ109-CC112,BZ109)-IF(COUNTIF('盛付札（関数）'!BZ107,"*キャラ*"),
VLOOKUP("*キャラ*",商品マスタ一覧!$D:$J,7,FALSE),
IF(COUNTIF('盛付札（関数）'!BZ107,"*赤*"),
VLOOKUP("*赤*",商品マスタ一覧!$D:$J,7,FALSE),
VLOOKUP('盛付札（関数）'!BZ107,商品マスタ一覧!$D:$J,7,FALSE)))*CC107),""),"")</f>
        <v/>
      </c>
      <c r="CE107" s="76"/>
      <c r="CF107" s="81" t="e" cm="1">
        <f t="array" aca="1" ref="CF107" ca="1">IF(CF24&lt;&gt;100,
IF(CG109&lt;&gt;"",MATCH(CG109,INDIRECT("数出表_Excel!B"&amp;MATCH(CK22,数出表_Excel!$A:$A,0)-1&amp;":U"&amp;MATCH(CK22,数出表_Excel!$A:$A,0)-1&amp;""),0)+1,""),
IF(CG109&lt;&gt;"",
MATCH(
IFERROR(
INDEX(INDIRECT("数出表_Excel!"&amp;CF106&amp;MATCH(CK22,数出表_Excel!$A:$A,0)-1&amp;":U"&amp;MATCH(CK22,数出表_Excel!$A:$A,0)-1&amp;""),
 1,
 MATCH(TRUE, ISNUMBER(--INDIRECT("数出表_Excel!"&amp;CF106&amp;MATCH(CK22,数出表_Excel!$A:$A,0)-1&amp;":U"&amp;MATCH(CK22,数出表_Excel!$A:$A,0)-1&amp;"")),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107" s="58" t="str" cm="1">
        <f t="array" aca="1" ref="CG107" ca="1">IFERROR(IF(OR(
COUNTIF(INDIRECT("数出表_Excel!" &amp;
CHAR(MATCH(TRUE,
ISNUMBER(--INDIRECT("数出表_Excel!"&amp;CF106&amp;MATCH(CK22,数出表_Excel!$A:$A,0)-1&amp;":U"&amp;MATCH(CK22,数出表_Excel!$A:$A,0)-1&amp;"")),0)
+MATCH(TRUE, ISNUMBER(--INDIRECT("数出表_Excel!B" &amp; (MATCH(CK22,数出表_Excel!$A:$A,0)-1) &amp; ":U" &amp; (MATCH(CK22,数出表_Excel!$A:$A,0)-1))), 0)
+MATCH(TRUE, ISNUMBER(--INDIRECT("数出表_Excel!"&amp;CF64&amp; (MATCH(CK22,数出表_Excel!$A:$A,0)-1) &amp; ":U" &amp; (MATCH(CK22,数出表_Excel!$A:$A,0)-1))), 0)
+65) &amp; "3"),"*配膳*"),
COUNTIF(INDIRECT("数出表_Excel!" &amp;
CHAR(MATCH(TRUE,
ISNUMBER(--INDIRECT("数出表_Excel!"&amp;CF106&amp;MATCH(CK22,数出表_Excel!$A:$A,0)-1&amp;":U"&amp;MATCH(CK22,数出表_Excel!$A:$A,0)-1&amp;"")),0)
+MATCH(TRUE, ISNUMBER(--INDIRECT("数出表_Excel!B" &amp; (MATCH(CK22,数出表_Excel!$A:$A,0)-1) &amp; ":U" &amp; (MATCH(CK22,数出表_Excel!$A:$A,0)-1))), 0)
+MATCH(TRUE, ISNUMBER(--INDIRECT("数出表_Excel!"&amp;CF64&amp; (MATCH(CK22,数出表_Excel!$A:$A,0)-1) &amp; ":U" &amp; (MATCH(CK22,数出表_Excel!$A:$A,0)-1))), 0)
+65) &amp; "3"),"*カレー*"),
COUNTIF(CG64,"*合計*")),"",
IF(IFERROR(INDIRECT("数出表_Excel!" &amp;
CHAR(MATCH(TRUE,
ISNUMBER(--INDIRECT("数出表_Excel!"&amp;CF106&amp;MATCH(CK22,数出表_Excel!$A:$A,0)-1&amp;":U"&amp;MATCH(CK22,数出表_Excel!$A:$A,0)-1&amp;"")),0)
+MATCH(TRUE, ISNUMBER(--INDIRECT("数出表_Excel!B" &amp; (MATCH(CK22,数出表_Excel!$A:$A,0)-1) &amp; ":U" &amp; (MATCH(CK22,数出表_Excel!$A:$A,0)-1))), 0)
+MATCH(TRUE, ISNUMBER(--INDIRECT("数出表_Excel!"&amp;CF64&amp; (MATCH(CK22,数出表_Excel!$A:$A,0)-1) &amp; ":U" &amp; (MATCH(CK22,数出表_Excel!$A:$A,0)-1))), 0)
+65) &amp; "3"),0)=0,"",
IFERROR(INDIRECT("数出表_Excel!" &amp;
CHAR(MATCH(TRUE,
ISNUMBER(--INDIRECT("数出表_Excel!"&amp;CF106&amp;MATCH(CK22,数出表_Excel!$A:$A,0)-1&amp;":U"&amp;MATCH(CK22,数出表_Excel!$A:$A,0)-1&amp;"")),0)
+MATCH(TRUE, ISNUMBER(--INDIRECT("数出表_Excel!B" &amp; (MATCH(CK22,数出表_Excel!$A:$A,0)-1) &amp; ":U" &amp; (MATCH(CK22,数出表_Excel!$A:$A,0)-1))), 0)
+MATCH(TRUE, ISNUMBER(--INDIRECT("数出表_Excel!"&amp;CF64&amp; (MATCH(CK22,数出表_Excel!$A:$A,0)-1) &amp; ":U" &amp; (MATCH(CK22,数出表_Excel!$A:$A,0)-1))), 0)
+65) &amp; "3"),""))),"")</f>
        <v/>
      </c>
      <c r="CH107" s="76"/>
      <c r="CI107" s="82" t="str" cm="1">
        <f t="array" aca="1" ref="CI107" ca="1">IF(CJ107&lt;&gt;"","",
IF(COUNTIF(CG106,"*雙葉*"),"",
IF(CG106&lt;&gt;"",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+MATCH(TRUE,INDIRECT("'数出表_Excel'!"&amp;CF106&amp;MATCH(CK22,数出表_Excel!$A:$A,0)-1&amp;":AL"&amp;MATCH(CK22,数出表_Excel!$A:$A,0)-1&amp;"")&lt;&gt;"",0))&gt;9,"",
IFERROR(
INDEX(INDIRECT("数出表_Excel!$"&amp;CF106&amp;"4:$AL4"),
 1,
MATCH(TRUE,INDIRECT("'数出表_Excel'!"&amp;CF106&amp;MATCH(CK22,数出表_Excel!$A:$A,0)-1&amp;":AL"&amp;MATCH(CK22,数出表_Excel!$A:$A,0)-1&amp;"")&lt;&gt;"",0)
),
 "")
&amp;IFERROR(
INDEX(INDIRECT("数出表_Excel!$"&amp;CF106&amp;"5:$AL5"),
 1,
MATCH(TRUE,INDIRECT("'数出表_Excel'!"&amp;CF106&amp;MATCH(CK22,数出表_Excel!$A:$A,0)-1&amp;":AL"&amp;MATCH(CK22,数出表_Excel!$A:$A,0)-1&amp;"")&lt;&gt;"",0)),
 "")),"")))</f>
        <v/>
      </c>
      <c r="CJ107" s="83" t="str" cm="1">
        <f t="array" aca="1" ref="CJ107" ca="1">IF(CG107&lt;&gt;"",
IF(COUNTIF(CG106,"*雙葉*"),
IF(ROUND(
IF(CJ112&lt;&gt;"",(CG109-CJ112),CG109)
/IF(COUNTIF(CG107,"*キャラ*"),
VLOOKUP("*キャラ*",商品マスタ一覧!$D:$J,7,FALSE),
IF(COUNTIF(CG107,"*赤*"),
VLOOKUP("*赤*",商品マスタ一覧!$D:$J,7,FALSE),
VLOOKUP(CG107,商品マスタ一覧!$D:$J,7,FALSE))),0)&lt;=0,1,
ROUND(
IF(CJ112&lt;&gt;"",(CG109-CJ112),CG109)
/IF(COUNTIF(CG107,"*キャラ*"),
VLOOKUP("*キャラ*",商品マスタ一覧!$D:$J,7,FALSE),
IF(COUNTIF(CG107,"*赤*"),
VLOOKUP("*赤*",商品マスタ一覧!$D:$J,7,FALSE),
VLOOKUP(CG107,商品マスタ一覧!$D:$J,7,FALSE))),0)),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IF(CG107&lt;&gt;"",
IF(IF(COUNTIF(CG107,"*キャラ*"),
VLOOKUP("*キャラ*",商品マスタ一覧!$D:$J,7,FALSE),
IF(COUNTIF(CG107,"*赤*"),
VLOOKUP("*赤*",商品マスタ一覧!$D:$J,7,FALSE),
VLOOKUP(CG107,商品マスタ一覧!$D:$J,7,FALSE)))=0,"",
IF(ROUND(
IF(CJ112&lt;&gt;"",(CG109-CJ112),CG109)
/IF(COUNTIF(CG107,"*キャラ*"),
VLOOKUP("*キャラ*",商品マスタ一覧!$D:$J,7,FALSE),
IF(COUNTIF(CG107,"*赤*"),
VLOOKUP("*赤*",商品マスタ一覧!$D:$J,7,FALSE),
VLOOKUP(CG107,商品マスタ一覧!$D:$J,7,FALSE))),0)&lt;=0,1,
ROUND(
IF(CJ112&lt;&gt;"",(CG109-CJ112),CG109)
/IF(COUNTIF(CG107,"*キャラ*"),
VLOOKUP("*キャラ*",商品マスタ一覧!$D:$J,7,FALSE),
IF(COUNTIF(CG107,"*赤*"),
VLOOKUP("*赤*",商品マスタ一覧!$D:$J,7,FALSE),
VLOOKUP(CG107,商品マスタ一覧!$D:$J,7,FALSE))),0))),""),"")),"")</f>
        <v/>
      </c>
      <c r="CK107" s="92" t="str">
        <f ca="1">IF(CJ107&lt;&gt;"",IF(CG109&lt;&gt;"",IF(VALUE(IF(CJ112&lt;&gt;"",CG109-CJ112,CG109))&gt;VALUE(IF(COUNTIF('盛付札（関数）'!CG107,"*キャラ*"),
VLOOKUP("*キャラ*",商品マスタ一覧!$D:$J,7,FALSE),
IF(COUNTIF('盛付札（関数）'!CG107,"*赤*"),
VLOOKUP("*赤*",商品マスタ一覧!$D:$J,7,FALSE),
VLOOKUP('盛付札（関数）'!CG107,商品マスタ一覧!$D:$J,7,FALSE)))*CJ107),
"+"&amp;IF(CJ112&lt;&gt;"",CG109-CJ112,CG109)-IF(COUNTIF('盛付札（関数）'!CG107,"*キャラ*"),
VLOOKUP("*キャラ*",商品マスタ一覧!$D:$J,7,FALSE),
IF(COUNTIF('盛付札（関数）'!CG107,"*赤*"),
VLOOKUP("*赤*",商品マスタ一覧!$D:$J,7,FALSE),
VLOOKUP('盛付札（関数）'!CG107,商品マスタ一覧!$D:$J,7,FALSE)))*CJ107,
IF(CJ112&lt;&gt;"",CG109-CJ112,CG109)-IF(COUNTIF('盛付札（関数）'!CG107,"*キャラ*"),
VLOOKUP("*キャラ*",商品マスタ一覧!$D:$J,7,FALSE),
IF(COUNTIF('盛付札（関数）'!CG107,"*赤*"),
VLOOKUP("*赤*",商品マスタ一覧!$D:$J,7,FALSE),
VLOOKUP('盛付札（関数）'!CG107,商品マスタ一覧!$D:$J,7,FALSE)))*CJ107),""),"")</f>
        <v/>
      </c>
      <c r="CN107" s="81" t="e" cm="1">
        <f t="array" aca="1" ref="CN107" ca="1">IF(CN24&lt;&gt;100,
IF(CO109&lt;&gt;"",MATCH(CO109,INDIRECT("数出表_Excel!B"&amp;MATCH(CS22,数出表_Excel!$A:$A,0)-1&amp;":U"&amp;MATCH(CS22,数出表_Excel!$A:$A,0)-1&amp;""),0)+1,""),
IF(CO109&lt;&gt;"",
MATCH(
IFERROR(
INDEX(INDIRECT("数出表_Excel!"&amp;CN106&amp;MATCH(CS22,数出表_Excel!$A:$A,0)-1&amp;":U"&amp;MATCH(CS22,数出表_Excel!$A:$A,0)-1&amp;""),
 1,
 MATCH(TRUE, ISNUMBER(--INDIRECT("数出表_Excel!"&amp;CN106&amp;MATCH(CS22,数出表_Excel!$A:$A,0)-1&amp;":U"&amp;MATCH(CS22,数出表_Excel!$A:$A,0)-1&amp;"")),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107" s="58" t="str" cm="1">
        <f t="array" aca="1" ref="CO107" ca="1">IFERROR(IF(OR(
COUNTIF(INDIRECT("数出表_Excel!" &amp;
CHAR(MATCH(TRUE,
ISNUMBER(--INDIRECT("数出表_Excel!"&amp;CN106&amp;MATCH(CS22,数出表_Excel!$A:$A,0)-1&amp;":U"&amp;MATCH(CS22,数出表_Excel!$A:$A,0)-1&amp;"")),0)
+MATCH(TRUE, ISNUMBER(--INDIRECT("数出表_Excel!B" &amp; (MATCH(CS22,数出表_Excel!$A:$A,0)-1) &amp; ":U" &amp; (MATCH(CS22,数出表_Excel!$A:$A,0)-1))), 0)
+MATCH(TRUE, ISNUMBER(--INDIRECT("数出表_Excel!"&amp;CN64&amp; (MATCH(CS22,数出表_Excel!$A:$A,0)-1) &amp; ":U" &amp; (MATCH(CS22,数出表_Excel!$A:$A,0)-1))), 0)
+65) &amp; "3"),"*配膳*"),
COUNTIF(INDIRECT("数出表_Excel!" &amp;
CHAR(MATCH(TRUE,
ISNUMBER(--INDIRECT("数出表_Excel!"&amp;CN106&amp;MATCH(CS22,数出表_Excel!$A:$A,0)-1&amp;":U"&amp;MATCH(CS22,数出表_Excel!$A:$A,0)-1&amp;"")),0)
+MATCH(TRUE, ISNUMBER(--INDIRECT("数出表_Excel!B" &amp; (MATCH(CS22,数出表_Excel!$A:$A,0)-1) &amp; ":U" &amp; (MATCH(CS22,数出表_Excel!$A:$A,0)-1))), 0)
+MATCH(TRUE, ISNUMBER(--INDIRECT("数出表_Excel!"&amp;CN64&amp; (MATCH(CS22,数出表_Excel!$A:$A,0)-1) &amp; ":U" &amp; (MATCH(CS22,数出表_Excel!$A:$A,0)-1))), 0)
+65) &amp; "3"),"*カレー*"),
COUNTIF(CO64,"*合計*")),"",
IF(IFERROR(INDIRECT("数出表_Excel!" &amp;
CHAR(MATCH(TRUE,
ISNUMBER(--INDIRECT("数出表_Excel!"&amp;CN106&amp;MATCH(CS22,数出表_Excel!$A:$A,0)-1&amp;":U"&amp;MATCH(CS22,数出表_Excel!$A:$A,0)-1&amp;"")),0)
+MATCH(TRUE, ISNUMBER(--INDIRECT("数出表_Excel!B" &amp; (MATCH(CS22,数出表_Excel!$A:$A,0)-1) &amp; ":U" &amp; (MATCH(CS22,数出表_Excel!$A:$A,0)-1))), 0)
+MATCH(TRUE, ISNUMBER(--INDIRECT("数出表_Excel!"&amp;CN64&amp; (MATCH(CS22,数出表_Excel!$A:$A,0)-1) &amp; ":U" &amp; (MATCH(CS22,数出表_Excel!$A:$A,0)-1))), 0)
+65) &amp; "3"),0)=0,"",
IFERROR(INDIRECT("数出表_Excel!" &amp;
CHAR(MATCH(TRUE,
ISNUMBER(--INDIRECT("数出表_Excel!"&amp;CN106&amp;MATCH(CS22,数出表_Excel!$A:$A,0)-1&amp;":U"&amp;MATCH(CS22,数出表_Excel!$A:$A,0)-1&amp;"")),0)
+MATCH(TRUE, ISNUMBER(--INDIRECT("数出表_Excel!B" &amp; (MATCH(CS22,数出表_Excel!$A:$A,0)-1) &amp; ":U" &amp; (MATCH(CS22,数出表_Excel!$A:$A,0)-1))), 0)
+MATCH(TRUE, ISNUMBER(--INDIRECT("数出表_Excel!"&amp;CN64&amp; (MATCH(CS22,数出表_Excel!$A:$A,0)-1) &amp; ":U" &amp; (MATCH(CS22,数出表_Excel!$A:$A,0)-1))), 0)
+65) &amp; "3"),""))),"")</f>
        <v/>
      </c>
      <c r="CP107" s="76"/>
      <c r="CQ107" s="82" t="str" cm="1">
        <f t="array" aca="1" ref="CQ107" ca="1">IF(CR107&lt;&gt;"","",
IF(COUNTIF(CO106,"*雙葉*"),"",
IF(CO106&lt;&gt;"",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+MATCH(TRUE,INDIRECT("'数出表_Excel'!"&amp;CN106&amp;MATCH(CS22,数出表_Excel!$A:$A,0)-1&amp;":AL"&amp;MATCH(CS22,数出表_Excel!$A:$A,0)-1&amp;"")&lt;&gt;"",0))&gt;9,"",
IFERROR(
INDEX(INDIRECT("数出表_Excel!$"&amp;CN106&amp;"4:$AL4"),
 1,
MATCH(TRUE,INDIRECT("'数出表_Excel'!"&amp;CN106&amp;MATCH(CS22,数出表_Excel!$A:$A,0)-1&amp;":AL"&amp;MATCH(CS22,数出表_Excel!$A:$A,0)-1&amp;"")&lt;&gt;"",0)
),
 "")
&amp;IFERROR(
INDEX(INDIRECT("数出表_Excel!$"&amp;CN106&amp;"5:$AL5"),
 1,
MATCH(TRUE,INDIRECT("'数出表_Excel'!"&amp;CN106&amp;MATCH(CS22,数出表_Excel!$A:$A,0)-1&amp;":AL"&amp;MATCH(CS22,数出表_Excel!$A:$A,0)-1&amp;"")&lt;&gt;"",0)),
 "")),"")))</f>
        <v/>
      </c>
      <c r="CR107" s="83" t="str" cm="1">
        <f t="array" aca="1" ref="CR107" ca="1">IF(CO107&lt;&gt;"",
IF(COUNTIF(CO106,"*雙葉*"),
IF(ROUND(
IF(CR112&lt;&gt;"",(CO109-CR112),CO109)
/IF(COUNTIF(CO107,"*キャラ*"),
VLOOKUP("*キャラ*",商品マスタ一覧!$D:$J,7,FALSE),
IF(COUNTIF(CO107,"*赤*"),
VLOOKUP("*赤*",商品マスタ一覧!$D:$J,7,FALSE),
VLOOKUP(CO107,商品マスタ一覧!$D:$J,7,FALSE))),0)&lt;=0,1,
ROUND(
IF(CR112&lt;&gt;"",(CO109-CR112),CO109)
/IF(COUNTIF(CO107,"*キャラ*"),
VLOOKUP("*キャラ*",商品マスタ一覧!$D:$J,7,FALSE),
IF(COUNTIF(CO107,"*赤*"),
VLOOKUP("*赤*",商品マスタ一覧!$D:$J,7,FALSE),
VLOOKUP(CO107,商品マスタ一覧!$D:$J,7,FALSE))),0)),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IF(CO107&lt;&gt;"",
IF(IF(COUNTIF(CO107,"*キャラ*"),
VLOOKUP("*キャラ*",商品マスタ一覧!$D:$J,7,FALSE),
IF(COUNTIF(CO107,"*赤*"),
VLOOKUP("*赤*",商品マスタ一覧!$D:$J,7,FALSE),
VLOOKUP(CO107,商品マスタ一覧!$D:$J,7,FALSE)))=0,"",
IF(ROUND(
IF(CR112&lt;&gt;"",(CO109-CR112),CO109)
/IF(COUNTIF(CO107,"*キャラ*"),
VLOOKUP("*キャラ*",商品マスタ一覧!$D:$J,7,FALSE),
IF(COUNTIF(CO107,"*赤*"),
VLOOKUP("*赤*",商品マスタ一覧!$D:$J,7,FALSE),
VLOOKUP(CO107,商品マスタ一覧!$D:$J,7,FALSE))),0)&lt;=0,1,
ROUND(
IF(CR112&lt;&gt;"",(CO109-CR112),CO109)
/IF(COUNTIF(CO107,"*キャラ*"),
VLOOKUP("*キャラ*",商品マスタ一覧!$D:$J,7,FALSE),
IF(COUNTIF(CO107,"*赤*"),
VLOOKUP("*赤*",商品マスタ一覧!$D:$J,7,FALSE),
VLOOKUP(CO107,商品マスタ一覧!$D:$J,7,FALSE))),0))),""),"")),"")</f>
        <v/>
      </c>
      <c r="CS107" s="92" t="str">
        <f ca="1">IF(CR107&lt;&gt;"",IF(CO109&lt;&gt;"",IF(VALUE(IF(CR112&lt;&gt;"",CO109-CR112,CO109))&gt;VALUE(IF(COUNTIF('盛付札（関数）'!CO107,"*キャラ*"),
VLOOKUP("*キャラ*",商品マスタ一覧!$D:$J,7,FALSE),
IF(COUNTIF('盛付札（関数）'!CO107,"*赤*"),
VLOOKUP("*赤*",商品マスタ一覧!$D:$J,7,FALSE),
VLOOKUP('盛付札（関数）'!CO107,商品マスタ一覧!$D:$J,7,FALSE)))*CR107),
"+"&amp;IF(CR112&lt;&gt;"",CO109-CR112,CO109)-IF(COUNTIF('盛付札（関数）'!CO107,"*キャラ*"),
VLOOKUP("*キャラ*",商品マスタ一覧!$D:$J,7,FALSE),
IF(COUNTIF('盛付札（関数）'!CO107,"*赤*"),
VLOOKUP("*赤*",商品マスタ一覧!$D:$J,7,FALSE),
VLOOKUP('盛付札（関数）'!CO107,商品マスタ一覧!$D:$J,7,FALSE)))*CR107,
IF(CR112&lt;&gt;"",CO109-CR112,CO109)-IF(COUNTIF('盛付札（関数）'!CO107,"*キャラ*"),
VLOOKUP("*キャラ*",商品マスタ一覧!$D:$J,7,FALSE),
IF(COUNTIF('盛付札（関数）'!CO107,"*赤*"),
VLOOKUP("*赤*",商品マスタ一覧!$D:$J,7,FALSE),
VLOOKUP('盛付札（関数）'!CO107,商品マスタ一覧!$D:$J,7,FALSE)))*CR107),""),"")</f>
        <v/>
      </c>
      <c r="CT107" s="76"/>
      <c r="CU107" s="81" t="e" cm="1">
        <f t="array" aca="1" ref="CU107" ca="1">IF(CU24&lt;&gt;100,
IF(CV109&lt;&gt;"",MATCH(CV109,INDIRECT("数出表_Excel!B"&amp;MATCH(CZ22,数出表_Excel!$A:$A,0)-1&amp;":U"&amp;MATCH(CZ22,数出表_Excel!$A:$A,0)-1&amp;""),0)+1,""),
IF(CV109&lt;&gt;"",
MATCH(
IFERROR(
INDEX(INDIRECT("数出表_Excel!"&amp;CU106&amp;MATCH(CZ22,数出表_Excel!$A:$A,0)-1&amp;":U"&amp;MATCH(CZ22,数出表_Excel!$A:$A,0)-1&amp;""),
 1,
 MATCH(TRUE, ISNUMBER(--INDIRECT("数出表_Excel!"&amp;CU106&amp;MATCH(CZ22,数出表_Excel!$A:$A,0)-1&amp;":U"&amp;MATCH(CZ22,数出表_Excel!$A:$A,0)-1&amp;"")),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107" s="58" t="str" cm="1">
        <f t="array" aca="1" ref="CV107" ca="1">IFERROR(IF(OR(
COUNTIF(INDIRECT("数出表_Excel!" &amp;
CHAR(MATCH(TRUE,
ISNUMBER(--INDIRECT("数出表_Excel!"&amp;CU106&amp;MATCH(CZ22,数出表_Excel!$A:$A,0)-1&amp;":U"&amp;MATCH(CZ22,数出表_Excel!$A:$A,0)-1&amp;"")),0)
+MATCH(TRUE, ISNUMBER(--INDIRECT("数出表_Excel!B" &amp; (MATCH(CZ22,数出表_Excel!$A:$A,0)-1) &amp; ":U" &amp; (MATCH(CZ22,数出表_Excel!$A:$A,0)-1))), 0)
+MATCH(TRUE, ISNUMBER(--INDIRECT("数出表_Excel!"&amp;CU64&amp; (MATCH(CZ22,数出表_Excel!$A:$A,0)-1) &amp; ":U" &amp; (MATCH(CZ22,数出表_Excel!$A:$A,0)-1))), 0)
+65) &amp; "3"),"*配膳*"),
COUNTIF(INDIRECT("数出表_Excel!" &amp;
CHAR(MATCH(TRUE,
ISNUMBER(--INDIRECT("数出表_Excel!"&amp;CU106&amp;MATCH(CZ22,数出表_Excel!$A:$A,0)-1&amp;":U"&amp;MATCH(CZ22,数出表_Excel!$A:$A,0)-1&amp;"")),0)
+MATCH(TRUE, ISNUMBER(--INDIRECT("数出表_Excel!B" &amp; (MATCH(CZ22,数出表_Excel!$A:$A,0)-1) &amp; ":U" &amp; (MATCH(CZ22,数出表_Excel!$A:$A,0)-1))), 0)
+MATCH(TRUE, ISNUMBER(--INDIRECT("数出表_Excel!"&amp;CU64&amp; (MATCH(CZ22,数出表_Excel!$A:$A,0)-1) &amp; ":U" &amp; (MATCH(CZ22,数出表_Excel!$A:$A,0)-1))), 0)
+65) &amp; "3"),"*カレー*"),
COUNTIF(CV64,"*合計*")),"",
IF(IFERROR(INDIRECT("数出表_Excel!" &amp;
CHAR(MATCH(TRUE,
ISNUMBER(--INDIRECT("数出表_Excel!"&amp;CU106&amp;MATCH(CZ22,数出表_Excel!$A:$A,0)-1&amp;":U"&amp;MATCH(CZ22,数出表_Excel!$A:$A,0)-1&amp;"")),0)
+MATCH(TRUE, ISNUMBER(--INDIRECT("数出表_Excel!B" &amp; (MATCH(CZ22,数出表_Excel!$A:$A,0)-1) &amp; ":U" &amp; (MATCH(CZ22,数出表_Excel!$A:$A,0)-1))), 0)
+MATCH(TRUE, ISNUMBER(--INDIRECT("数出表_Excel!"&amp;CU64&amp; (MATCH(CZ22,数出表_Excel!$A:$A,0)-1) &amp; ":U" &amp; (MATCH(CZ22,数出表_Excel!$A:$A,0)-1))), 0)
+65) &amp; "3"),0)=0,"",
IFERROR(INDIRECT("数出表_Excel!" &amp;
CHAR(MATCH(TRUE,
ISNUMBER(--INDIRECT("数出表_Excel!"&amp;CU106&amp;MATCH(CZ22,数出表_Excel!$A:$A,0)-1&amp;":U"&amp;MATCH(CZ22,数出表_Excel!$A:$A,0)-1&amp;"")),0)
+MATCH(TRUE, ISNUMBER(--INDIRECT("数出表_Excel!B" &amp; (MATCH(CZ22,数出表_Excel!$A:$A,0)-1) &amp; ":U" &amp; (MATCH(CZ22,数出表_Excel!$A:$A,0)-1))), 0)
+MATCH(TRUE, ISNUMBER(--INDIRECT("数出表_Excel!"&amp;CU64&amp; (MATCH(CZ22,数出表_Excel!$A:$A,0)-1) &amp; ":U" &amp; (MATCH(CZ22,数出表_Excel!$A:$A,0)-1))), 0)
+65) &amp; "3"),""))),"")</f>
        <v/>
      </c>
      <c r="CW107" s="76"/>
      <c r="CX107" s="82" t="str" cm="1">
        <f t="array" aca="1" ref="CX107" ca="1">IF(CY107&lt;&gt;"","",
IF(COUNTIF(CV106,"*雙葉*"),"",
IF(CV106&lt;&gt;"",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+MATCH(TRUE,INDIRECT("'数出表_Excel'!"&amp;CU106&amp;MATCH(CZ22,数出表_Excel!$A:$A,0)-1&amp;":AL"&amp;MATCH(CZ22,数出表_Excel!$A:$A,0)-1&amp;"")&lt;&gt;"",0))&gt;9,"",
IFERROR(
INDEX(INDIRECT("数出表_Excel!$"&amp;CU106&amp;"4:$AL4"),
 1,
MATCH(TRUE,INDIRECT("'数出表_Excel'!"&amp;CU106&amp;MATCH(CZ22,数出表_Excel!$A:$A,0)-1&amp;":AL"&amp;MATCH(CZ22,数出表_Excel!$A:$A,0)-1&amp;"")&lt;&gt;"",0)
),
 "")
&amp;IFERROR(
INDEX(INDIRECT("数出表_Excel!$"&amp;CU106&amp;"5:$AL5"),
 1,
MATCH(TRUE,INDIRECT("'数出表_Excel'!"&amp;CU106&amp;MATCH(CZ22,数出表_Excel!$A:$A,0)-1&amp;":AL"&amp;MATCH(CZ22,数出表_Excel!$A:$A,0)-1&amp;"")&lt;&gt;"",0)),
 "")),"")))</f>
        <v/>
      </c>
      <c r="CY107" s="83" t="str" cm="1">
        <f t="array" aca="1" ref="CY107" ca="1">IF(CV107&lt;&gt;"",
IF(COUNTIF(CV106,"*雙葉*"),
IF(ROUND(
IF(CY112&lt;&gt;"",(CV109-CY112),CV109)
/IF(COUNTIF(CV107,"*キャラ*"),
VLOOKUP("*キャラ*",商品マスタ一覧!$D:$J,7,FALSE),
IF(COUNTIF(CV107,"*赤*"),
VLOOKUP("*赤*",商品マスタ一覧!$D:$J,7,FALSE),
VLOOKUP(CV107,商品マスタ一覧!$D:$J,7,FALSE))),0)&lt;=0,1,
ROUND(
IF(CY112&lt;&gt;"",(CV109-CY112),CV109)
/IF(COUNTIF(CV107,"*キャラ*"),
VLOOKUP("*キャラ*",商品マスタ一覧!$D:$J,7,FALSE),
IF(COUNTIF(CV107,"*赤*"),
VLOOKUP("*赤*",商品マスタ一覧!$D:$J,7,FALSE),
VLOOKUP(CV107,商品マスタ一覧!$D:$J,7,FALSE))),0)),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IF(CV107&lt;&gt;"",
IF(IF(COUNTIF(CV107,"*キャラ*"),
VLOOKUP("*キャラ*",商品マスタ一覧!$D:$J,7,FALSE),
IF(COUNTIF(CV107,"*赤*"),
VLOOKUP("*赤*",商品マスタ一覧!$D:$J,7,FALSE),
VLOOKUP(CV107,商品マスタ一覧!$D:$J,7,FALSE)))=0,"",
IF(ROUND(
IF(CY112&lt;&gt;"",(CV109-CY112),CV109)
/IF(COUNTIF(CV107,"*キャラ*"),
VLOOKUP("*キャラ*",商品マスタ一覧!$D:$J,7,FALSE),
IF(COUNTIF(CV107,"*赤*"),
VLOOKUP("*赤*",商品マスタ一覧!$D:$J,7,FALSE),
VLOOKUP(CV107,商品マスタ一覧!$D:$J,7,FALSE))),0)&lt;=0,1,
ROUND(
IF(CY112&lt;&gt;"",(CV109-CY112),CV109)
/IF(COUNTIF(CV107,"*キャラ*"),
VLOOKUP("*キャラ*",商品マスタ一覧!$D:$J,7,FALSE),
IF(COUNTIF(CV107,"*赤*"),
VLOOKUP("*赤*",商品マスタ一覧!$D:$J,7,FALSE),
VLOOKUP(CV107,商品マスタ一覧!$D:$J,7,FALSE))),0))),""),"")),"")</f>
        <v/>
      </c>
      <c r="CZ107" s="92" t="str">
        <f ca="1">IF(CY107&lt;&gt;"",IF(CV109&lt;&gt;"",IF(VALUE(IF(CY112&lt;&gt;"",CV109-CY112,CV109))&gt;VALUE(IF(COUNTIF('盛付札（関数）'!CV107,"*キャラ*"),
VLOOKUP("*キャラ*",商品マスタ一覧!$D:$J,7,FALSE),
IF(COUNTIF('盛付札（関数）'!CV107,"*赤*"),
VLOOKUP("*赤*",商品マスタ一覧!$D:$J,7,FALSE),
VLOOKUP('盛付札（関数）'!CV107,商品マスタ一覧!$D:$J,7,FALSE)))*CY107),
"+"&amp;IF(CY112&lt;&gt;"",CV109-CY112,CV109)-IF(COUNTIF('盛付札（関数）'!CV107,"*キャラ*"),
VLOOKUP("*キャラ*",商品マスタ一覧!$D:$J,7,FALSE),
IF(COUNTIF('盛付札（関数）'!CV107,"*赤*"),
VLOOKUP("*赤*",商品マスタ一覧!$D:$J,7,FALSE),
VLOOKUP('盛付札（関数）'!CV107,商品マスタ一覧!$D:$J,7,FALSE)))*CY107,
IF(CY112&lt;&gt;"",CV109-CY112,CV109)-IF(COUNTIF('盛付札（関数）'!CV107,"*キャラ*"),
VLOOKUP("*キャラ*",商品マスタ一覧!$D:$J,7,FALSE),
IF(COUNTIF('盛付札（関数）'!CV107,"*赤*"),
VLOOKUP("*赤*",商品マスタ一覧!$D:$J,7,FALSE),
VLOOKUP('盛付札（関数）'!CV107,商品マスタ一覧!$D:$J,7,FALSE)))*CY107),""),"")</f>
        <v/>
      </c>
      <c r="DC107" s="81" t="e" cm="1">
        <f t="array" aca="1" ref="DC107" ca="1">IF(DC24&lt;&gt;100,
IF(DD109&lt;&gt;"",MATCH(DD109,INDIRECT("数出表_Excel!B"&amp;MATCH(DH22,数出表_Excel!$A:$A,0)-1&amp;":U"&amp;MATCH(DH22,数出表_Excel!$A:$A,0)-1&amp;""),0)+1,""),
IF(DD109&lt;&gt;"",
MATCH(
IFERROR(
INDEX(INDIRECT("数出表_Excel!"&amp;DC106&amp;MATCH(DH22,数出表_Excel!$A:$A,0)-1&amp;":U"&amp;MATCH(DH22,数出表_Excel!$A:$A,0)-1&amp;""),
 1,
 MATCH(TRUE, ISNUMBER(--INDIRECT("数出表_Excel!"&amp;DC106&amp;MATCH(DH22,数出表_Excel!$A:$A,0)-1&amp;":U"&amp;MATCH(DH22,数出表_Excel!$A:$A,0)-1&amp;"")),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107" s="58" t="str" cm="1">
        <f t="array" aca="1" ref="DD107" ca="1">IFERROR(IF(OR(
COUNTIF(INDIRECT("数出表_Excel!" &amp;
CHAR(MATCH(TRUE,
ISNUMBER(--INDIRECT("数出表_Excel!"&amp;DC106&amp;MATCH(DH22,数出表_Excel!$A:$A,0)-1&amp;":U"&amp;MATCH(DH22,数出表_Excel!$A:$A,0)-1&amp;"")),0)
+MATCH(TRUE, ISNUMBER(--INDIRECT("数出表_Excel!B" &amp; (MATCH(DH22,数出表_Excel!$A:$A,0)-1) &amp; ":U" &amp; (MATCH(DH22,数出表_Excel!$A:$A,0)-1))), 0)
+MATCH(TRUE, ISNUMBER(--INDIRECT("数出表_Excel!"&amp;DC64&amp; (MATCH(DH22,数出表_Excel!$A:$A,0)-1) &amp; ":U" &amp; (MATCH(DH22,数出表_Excel!$A:$A,0)-1))), 0)
+65) &amp; "3"),"*配膳*"),
COUNTIF(INDIRECT("数出表_Excel!" &amp;
CHAR(MATCH(TRUE,
ISNUMBER(--INDIRECT("数出表_Excel!"&amp;DC106&amp;MATCH(DH22,数出表_Excel!$A:$A,0)-1&amp;":U"&amp;MATCH(DH22,数出表_Excel!$A:$A,0)-1&amp;"")),0)
+MATCH(TRUE, ISNUMBER(--INDIRECT("数出表_Excel!B" &amp; (MATCH(DH22,数出表_Excel!$A:$A,0)-1) &amp; ":U" &amp; (MATCH(DH22,数出表_Excel!$A:$A,0)-1))), 0)
+MATCH(TRUE, ISNUMBER(--INDIRECT("数出表_Excel!"&amp;DC64&amp; (MATCH(DH22,数出表_Excel!$A:$A,0)-1) &amp; ":U" &amp; (MATCH(DH22,数出表_Excel!$A:$A,0)-1))), 0)
+65) &amp; "3"),"*カレー*"),
COUNTIF(DD64,"*合計*")),"",
IF(IFERROR(INDIRECT("数出表_Excel!" &amp;
CHAR(MATCH(TRUE,
ISNUMBER(--INDIRECT("数出表_Excel!"&amp;DC106&amp;MATCH(DH22,数出表_Excel!$A:$A,0)-1&amp;":U"&amp;MATCH(DH22,数出表_Excel!$A:$A,0)-1&amp;"")),0)
+MATCH(TRUE, ISNUMBER(--INDIRECT("数出表_Excel!B" &amp; (MATCH(DH22,数出表_Excel!$A:$A,0)-1) &amp; ":U" &amp; (MATCH(DH22,数出表_Excel!$A:$A,0)-1))), 0)
+MATCH(TRUE, ISNUMBER(--INDIRECT("数出表_Excel!"&amp;DC64&amp; (MATCH(DH22,数出表_Excel!$A:$A,0)-1) &amp; ":U" &amp; (MATCH(DH22,数出表_Excel!$A:$A,0)-1))), 0)
+65) &amp; "3"),0)=0,"",
IFERROR(INDIRECT("数出表_Excel!" &amp;
CHAR(MATCH(TRUE,
ISNUMBER(--INDIRECT("数出表_Excel!"&amp;DC106&amp;MATCH(DH22,数出表_Excel!$A:$A,0)-1&amp;":U"&amp;MATCH(DH22,数出表_Excel!$A:$A,0)-1&amp;"")),0)
+MATCH(TRUE, ISNUMBER(--INDIRECT("数出表_Excel!B" &amp; (MATCH(DH22,数出表_Excel!$A:$A,0)-1) &amp; ":U" &amp; (MATCH(DH22,数出表_Excel!$A:$A,0)-1))), 0)
+MATCH(TRUE, ISNUMBER(--INDIRECT("数出表_Excel!"&amp;DC64&amp; (MATCH(DH22,数出表_Excel!$A:$A,0)-1) &amp; ":U" &amp; (MATCH(DH22,数出表_Excel!$A:$A,0)-1))), 0)
+65) &amp; "3"),""))),"")</f>
        <v/>
      </c>
      <c r="DE107" s="76"/>
      <c r="DF107" s="82" t="str" cm="1">
        <f t="array" aca="1" ref="DF107" ca="1">IF(DG107&lt;&gt;"","",
IF(COUNTIF(DD106,"*雙葉*"),"",
IF(DD106&lt;&gt;"",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+MATCH(TRUE,INDIRECT("'数出表_Excel'!"&amp;DC106&amp;MATCH(DH22,数出表_Excel!$A:$A,0)-1&amp;":AL"&amp;MATCH(DH22,数出表_Excel!$A:$A,0)-1&amp;"")&lt;&gt;"",0))&gt;9,"",
IFERROR(
INDEX(INDIRECT("数出表_Excel!$"&amp;DC106&amp;"4:$AL4"),
 1,
MATCH(TRUE,INDIRECT("'数出表_Excel'!"&amp;DC106&amp;MATCH(DH22,数出表_Excel!$A:$A,0)-1&amp;":AL"&amp;MATCH(DH22,数出表_Excel!$A:$A,0)-1&amp;"")&lt;&gt;"",0)
),
 "")
&amp;IFERROR(
INDEX(INDIRECT("数出表_Excel!$"&amp;DC106&amp;"5:$AL5"),
 1,
MATCH(TRUE,INDIRECT("'数出表_Excel'!"&amp;DC106&amp;MATCH(DH22,数出表_Excel!$A:$A,0)-1&amp;":AL"&amp;MATCH(DH22,数出表_Excel!$A:$A,0)-1&amp;"")&lt;&gt;"",0)),
 "")),"")))</f>
        <v/>
      </c>
      <c r="DG107" s="83" t="str" cm="1">
        <f t="array" aca="1" ref="DG107" ca="1">IF(DD107&lt;&gt;"",
IF(COUNTIF(DD106,"*雙葉*"),
IF(ROUND(
IF(DG112&lt;&gt;"",(DD109-DG112),DD109)
/IF(COUNTIF(DD107,"*キャラ*"),
VLOOKUP("*キャラ*",商品マスタ一覧!$D:$J,7,FALSE),
IF(COUNTIF(DD107,"*赤*"),
VLOOKUP("*赤*",商品マスタ一覧!$D:$J,7,FALSE),
VLOOKUP(DD107,商品マスタ一覧!$D:$J,7,FALSE))),0)&lt;=0,1,
ROUND(
IF(DG112&lt;&gt;"",(DD109-DG112),DD109)
/IF(COUNTIF(DD107,"*キャラ*"),
VLOOKUP("*キャラ*",商品マスタ一覧!$D:$J,7,FALSE),
IF(COUNTIF(DD107,"*赤*"),
VLOOKUP("*赤*",商品マスタ一覧!$D:$J,7,FALSE),
VLOOKUP(DD107,商品マスタ一覧!$D:$J,7,FALSE))),0)),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IF(DD107&lt;&gt;"",
IF(IF(COUNTIF(DD107,"*キャラ*"),
VLOOKUP("*キャラ*",商品マスタ一覧!$D:$J,7,FALSE),
IF(COUNTIF(DD107,"*赤*"),
VLOOKUP("*赤*",商品マスタ一覧!$D:$J,7,FALSE),
VLOOKUP(DD107,商品マスタ一覧!$D:$J,7,FALSE)))=0,"",
IF(ROUND(
IF(DG112&lt;&gt;"",(DD109-DG112),DD109)
/IF(COUNTIF(DD107,"*キャラ*"),
VLOOKUP("*キャラ*",商品マスタ一覧!$D:$J,7,FALSE),
IF(COUNTIF(DD107,"*赤*"),
VLOOKUP("*赤*",商品マスタ一覧!$D:$J,7,FALSE),
VLOOKUP(DD107,商品マスタ一覧!$D:$J,7,FALSE))),0)&lt;=0,1,
ROUND(
IF(DG112&lt;&gt;"",(DD109-DG112),DD109)
/IF(COUNTIF(DD107,"*キャラ*"),
VLOOKUP("*キャラ*",商品マスタ一覧!$D:$J,7,FALSE),
IF(COUNTIF(DD107,"*赤*"),
VLOOKUP("*赤*",商品マスタ一覧!$D:$J,7,FALSE),
VLOOKUP(DD107,商品マスタ一覧!$D:$J,7,FALSE))),0))),""),"")),"")</f>
        <v/>
      </c>
      <c r="DH107" s="92" t="str">
        <f ca="1">IF(DG107&lt;&gt;"",IF(DD109&lt;&gt;"",IF(VALUE(IF(DG112&lt;&gt;"",DD109-DG112,DD109))&gt;VALUE(IF(COUNTIF('盛付札（関数）'!DD107,"*キャラ*"),
VLOOKUP("*キャラ*",商品マスタ一覧!$D:$J,7,FALSE),
IF(COUNTIF('盛付札（関数）'!DD107,"*赤*"),
VLOOKUP("*赤*",商品マスタ一覧!$D:$J,7,FALSE),
VLOOKUP('盛付札（関数）'!DD107,商品マスタ一覧!$D:$J,7,FALSE)))*DG107),
"+"&amp;IF(DG112&lt;&gt;"",DD109-DG112,DD109)-IF(COUNTIF('盛付札（関数）'!DD107,"*キャラ*"),
VLOOKUP("*キャラ*",商品マスタ一覧!$D:$J,7,FALSE),
IF(COUNTIF('盛付札（関数）'!DD107,"*赤*"),
VLOOKUP("*赤*",商品マスタ一覧!$D:$J,7,FALSE),
VLOOKUP('盛付札（関数）'!DD107,商品マスタ一覧!$D:$J,7,FALSE)))*DG107,
IF(DG112&lt;&gt;"",DD109-DG112,DD109)-IF(COUNTIF('盛付札（関数）'!DD107,"*キャラ*"),
VLOOKUP("*キャラ*",商品マスタ一覧!$D:$J,7,FALSE),
IF(COUNTIF('盛付札（関数）'!DD107,"*赤*"),
VLOOKUP("*赤*",商品マスタ一覧!$D:$J,7,FALSE),
VLOOKUP('盛付札（関数）'!DD107,商品マスタ一覧!$D:$J,7,FALSE)))*DG107),""),"")</f>
        <v/>
      </c>
      <c r="DI107" s="76"/>
      <c r="DJ107" s="81" t="e" cm="1">
        <f t="array" aca="1" ref="DJ107" ca="1">IF(DJ24&lt;&gt;100,
IF(DK109&lt;&gt;"",MATCH(DK109,INDIRECT("数出表_Excel!B"&amp;MATCH(DO22,数出表_Excel!$A:$A,0)-1&amp;":U"&amp;MATCH(DO22,数出表_Excel!$A:$A,0)-1&amp;""),0)+1,""),
IF(DK109&lt;&gt;"",
MATCH(
IFERROR(
INDEX(INDIRECT("数出表_Excel!"&amp;DJ106&amp;MATCH(DO22,数出表_Excel!$A:$A,0)-1&amp;":U"&amp;MATCH(DO22,数出表_Excel!$A:$A,0)-1&amp;""),
 1,
 MATCH(TRUE, ISNUMBER(--INDIRECT("数出表_Excel!"&amp;DJ106&amp;MATCH(DO22,数出表_Excel!$A:$A,0)-1&amp;":U"&amp;MATCH(DO22,数出表_Excel!$A:$A,0)-1&amp;"")),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107" s="58" t="str" cm="1">
        <f t="array" aca="1" ref="DK107" ca="1">IFERROR(IF(OR(
COUNTIF(INDIRECT("数出表_Excel!" &amp;
CHAR(MATCH(TRUE,
ISNUMBER(--INDIRECT("数出表_Excel!"&amp;DJ106&amp;MATCH(DO22,数出表_Excel!$A:$A,0)-1&amp;":U"&amp;MATCH(DO22,数出表_Excel!$A:$A,0)-1&amp;"")),0)
+MATCH(TRUE, ISNUMBER(--INDIRECT("数出表_Excel!B" &amp; (MATCH(DO22,数出表_Excel!$A:$A,0)-1) &amp; ":U" &amp; (MATCH(DO22,数出表_Excel!$A:$A,0)-1))), 0)
+MATCH(TRUE, ISNUMBER(--INDIRECT("数出表_Excel!"&amp;DJ64&amp; (MATCH(DO22,数出表_Excel!$A:$A,0)-1) &amp; ":U" &amp; (MATCH(DO22,数出表_Excel!$A:$A,0)-1))), 0)
+65) &amp; "3"),"*配膳*"),
COUNTIF(INDIRECT("数出表_Excel!" &amp;
CHAR(MATCH(TRUE,
ISNUMBER(--INDIRECT("数出表_Excel!"&amp;DJ106&amp;MATCH(DO22,数出表_Excel!$A:$A,0)-1&amp;":U"&amp;MATCH(DO22,数出表_Excel!$A:$A,0)-1&amp;"")),0)
+MATCH(TRUE, ISNUMBER(--INDIRECT("数出表_Excel!B" &amp; (MATCH(DO22,数出表_Excel!$A:$A,0)-1) &amp; ":U" &amp; (MATCH(DO22,数出表_Excel!$A:$A,0)-1))), 0)
+MATCH(TRUE, ISNUMBER(--INDIRECT("数出表_Excel!"&amp;DJ64&amp; (MATCH(DO22,数出表_Excel!$A:$A,0)-1) &amp; ":U" &amp; (MATCH(DO22,数出表_Excel!$A:$A,0)-1))), 0)
+65) &amp; "3"),"*カレー*"),
COUNTIF(DK64,"*合計*")),"",
IF(IFERROR(INDIRECT("数出表_Excel!" &amp;
CHAR(MATCH(TRUE,
ISNUMBER(--INDIRECT("数出表_Excel!"&amp;DJ106&amp;MATCH(DO22,数出表_Excel!$A:$A,0)-1&amp;":U"&amp;MATCH(DO22,数出表_Excel!$A:$A,0)-1&amp;"")),0)
+MATCH(TRUE, ISNUMBER(--INDIRECT("数出表_Excel!B" &amp; (MATCH(DO22,数出表_Excel!$A:$A,0)-1) &amp; ":U" &amp; (MATCH(DO22,数出表_Excel!$A:$A,0)-1))), 0)
+MATCH(TRUE, ISNUMBER(--INDIRECT("数出表_Excel!"&amp;DJ64&amp; (MATCH(DO22,数出表_Excel!$A:$A,0)-1) &amp; ":U" &amp; (MATCH(DO22,数出表_Excel!$A:$A,0)-1))), 0)
+65) &amp; "3"),0)=0,"",
IFERROR(INDIRECT("数出表_Excel!" &amp;
CHAR(MATCH(TRUE,
ISNUMBER(--INDIRECT("数出表_Excel!"&amp;DJ106&amp;MATCH(DO22,数出表_Excel!$A:$A,0)-1&amp;":U"&amp;MATCH(DO22,数出表_Excel!$A:$A,0)-1&amp;"")),0)
+MATCH(TRUE, ISNUMBER(--INDIRECT("数出表_Excel!B" &amp; (MATCH(DO22,数出表_Excel!$A:$A,0)-1) &amp; ":U" &amp; (MATCH(DO22,数出表_Excel!$A:$A,0)-1))), 0)
+MATCH(TRUE, ISNUMBER(--INDIRECT("数出表_Excel!"&amp;DJ64&amp; (MATCH(DO22,数出表_Excel!$A:$A,0)-1) &amp; ":U" &amp; (MATCH(DO22,数出表_Excel!$A:$A,0)-1))), 0)
+65) &amp; "3"),""))),"")</f>
        <v/>
      </c>
      <c r="DL107" s="76"/>
      <c r="DM107" s="82" t="str" cm="1">
        <f t="array" aca="1" ref="DM107" ca="1">IF(DN107&lt;&gt;"","",
IF(COUNTIF(DK106,"*雙葉*"),"",
IF(DK106&lt;&gt;"",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+MATCH(TRUE,INDIRECT("'数出表_Excel'!"&amp;DJ106&amp;MATCH(DO22,数出表_Excel!$A:$A,0)-1&amp;":AL"&amp;MATCH(DO22,数出表_Excel!$A:$A,0)-1&amp;"")&lt;&gt;"",0))&gt;9,"",
IFERROR(
INDEX(INDIRECT("数出表_Excel!$"&amp;DJ106&amp;"4:$AL4"),
 1,
MATCH(TRUE,INDIRECT("'数出表_Excel'!"&amp;DJ106&amp;MATCH(DO22,数出表_Excel!$A:$A,0)-1&amp;":AL"&amp;MATCH(DO22,数出表_Excel!$A:$A,0)-1&amp;"")&lt;&gt;"",0)
),
 "")
&amp;IFERROR(
INDEX(INDIRECT("数出表_Excel!$"&amp;DJ106&amp;"5:$AL5"),
 1,
MATCH(TRUE,INDIRECT("'数出表_Excel'!"&amp;DJ106&amp;MATCH(DO22,数出表_Excel!$A:$A,0)-1&amp;":AL"&amp;MATCH(DO22,数出表_Excel!$A:$A,0)-1&amp;"")&lt;&gt;"",0)),
 "")),"")))</f>
        <v/>
      </c>
      <c r="DN107" s="83" t="str" cm="1">
        <f t="array" aca="1" ref="DN107" ca="1">IF(DK107&lt;&gt;"",
IF(COUNTIF(DK106,"*雙葉*"),
IF(ROUND(
IF(DN112&lt;&gt;"",(DK109-DN112),DK109)
/IF(COUNTIF(DK107,"*キャラ*"),
VLOOKUP("*キャラ*",商品マスタ一覧!$D:$J,7,FALSE),
IF(COUNTIF(DK107,"*赤*"),
VLOOKUP("*赤*",商品マスタ一覧!$D:$J,7,FALSE),
VLOOKUP(DK107,商品マスタ一覧!$D:$J,7,FALSE))),0)&lt;=0,1,
ROUND(
IF(DN112&lt;&gt;"",(DK109-DN112),DK109)
/IF(COUNTIF(DK107,"*キャラ*"),
VLOOKUP("*キャラ*",商品マスタ一覧!$D:$J,7,FALSE),
IF(COUNTIF(DK107,"*赤*"),
VLOOKUP("*赤*",商品マスタ一覧!$D:$J,7,FALSE),
VLOOKUP(DK107,商品マスタ一覧!$D:$J,7,FALSE))),0)),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IF(DK107&lt;&gt;"",
IF(IF(COUNTIF(DK107,"*キャラ*"),
VLOOKUP("*キャラ*",商品マスタ一覧!$D:$J,7,FALSE),
IF(COUNTIF(DK107,"*赤*"),
VLOOKUP("*赤*",商品マスタ一覧!$D:$J,7,FALSE),
VLOOKUP(DK107,商品マスタ一覧!$D:$J,7,FALSE)))=0,"",
IF(ROUND(
IF(DN112&lt;&gt;"",(DK109-DN112),DK109)
/IF(COUNTIF(DK107,"*キャラ*"),
VLOOKUP("*キャラ*",商品マスタ一覧!$D:$J,7,FALSE),
IF(COUNTIF(DK107,"*赤*"),
VLOOKUP("*赤*",商品マスタ一覧!$D:$J,7,FALSE),
VLOOKUP(DK107,商品マスタ一覧!$D:$J,7,FALSE))),0)&lt;=0,1,
ROUND(
IF(DN112&lt;&gt;"",(DK109-DN112),DK109)
/IF(COUNTIF(DK107,"*キャラ*"),
VLOOKUP("*キャラ*",商品マスタ一覧!$D:$J,7,FALSE),
IF(COUNTIF(DK107,"*赤*"),
VLOOKUP("*赤*",商品マスタ一覧!$D:$J,7,FALSE),
VLOOKUP(DK107,商品マスタ一覧!$D:$J,7,FALSE))),0))),""),"")),"")</f>
        <v/>
      </c>
      <c r="DO107" s="92" t="str">
        <f ca="1">IF(DN107&lt;&gt;"",IF(DK109&lt;&gt;"",IF(VALUE(IF(DN112&lt;&gt;"",DK109-DN112,DK109))&gt;VALUE(IF(COUNTIF('盛付札（関数）'!DK107,"*キャラ*"),
VLOOKUP("*キャラ*",商品マスタ一覧!$D:$J,7,FALSE),
IF(COUNTIF('盛付札（関数）'!DK107,"*赤*"),
VLOOKUP("*赤*",商品マスタ一覧!$D:$J,7,FALSE),
VLOOKUP('盛付札（関数）'!DK107,商品マスタ一覧!$D:$J,7,FALSE)))*DN107),
"+"&amp;IF(DN112&lt;&gt;"",DK109-DN112,DK109)-IF(COUNTIF('盛付札（関数）'!DK107,"*キャラ*"),
VLOOKUP("*キャラ*",商品マスタ一覧!$D:$J,7,FALSE),
IF(COUNTIF('盛付札（関数）'!DK107,"*赤*"),
VLOOKUP("*赤*",商品マスタ一覧!$D:$J,7,FALSE),
VLOOKUP('盛付札（関数）'!DK107,商品マスタ一覧!$D:$J,7,FALSE)))*DN107,
IF(DN112&lt;&gt;"",DK109-DN112,DK109)-IF(COUNTIF('盛付札（関数）'!DK107,"*キャラ*"),
VLOOKUP("*キャラ*",商品マスタ一覧!$D:$J,7,FALSE),
IF(COUNTIF('盛付札（関数）'!DK107,"*赤*"),
VLOOKUP("*赤*",商品マスタ一覧!$D:$J,7,FALSE),
VLOOKUP('盛付札（関数）'!DK107,商品マスタ一覧!$D:$J,7,FALSE)))*DN107),""),"")</f>
        <v/>
      </c>
      <c r="DR107" s="81" t="e" cm="1">
        <f t="array" aca="1" ref="DR107" ca="1">IF(DR24&lt;&gt;100,
IF(DS109&lt;&gt;"",MATCH(DS109,INDIRECT("数出表_Excel!B"&amp;MATCH(DW22,数出表_Excel!$A:$A,0)-1&amp;":U"&amp;MATCH(DW22,数出表_Excel!$A:$A,0)-1&amp;""),0)+1,""),
IF(DS109&lt;&gt;"",
MATCH(
IFERROR(
INDEX(INDIRECT("数出表_Excel!"&amp;DR106&amp;MATCH(DW22,数出表_Excel!$A:$A,0)-1&amp;":U"&amp;MATCH(DW22,数出表_Excel!$A:$A,0)-1&amp;""),
 1,
 MATCH(TRUE, ISNUMBER(--INDIRECT("数出表_Excel!"&amp;DR106&amp;MATCH(DW22,数出表_Excel!$A:$A,0)-1&amp;":U"&amp;MATCH(DW22,数出表_Excel!$A:$A,0)-1&amp;"")),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107" s="58" t="str" cm="1">
        <f t="array" aca="1" ref="DS107" ca="1">IFERROR(IF(OR(
COUNTIF(INDIRECT("数出表_Excel!" &amp;
CHAR(MATCH(TRUE,
ISNUMBER(--INDIRECT("数出表_Excel!"&amp;DR106&amp;MATCH(DW22,数出表_Excel!$A:$A,0)-1&amp;":U"&amp;MATCH(DW22,数出表_Excel!$A:$A,0)-1&amp;"")),0)
+MATCH(TRUE, ISNUMBER(--INDIRECT("数出表_Excel!B" &amp; (MATCH(DW22,数出表_Excel!$A:$A,0)-1) &amp; ":U" &amp; (MATCH(DW22,数出表_Excel!$A:$A,0)-1))), 0)
+MATCH(TRUE, ISNUMBER(--INDIRECT("数出表_Excel!"&amp;DR64&amp; (MATCH(DW22,数出表_Excel!$A:$A,0)-1) &amp; ":U" &amp; (MATCH(DW22,数出表_Excel!$A:$A,0)-1))), 0)
+65) &amp; "3"),"*配膳*"),
COUNTIF(INDIRECT("数出表_Excel!" &amp;
CHAR(MATCH(TRUE,
ISNUMBER(--INDIRECT("数出表_Excel!"&amp;DR106&amp;MATCH(DW22,数出表_Excel!$A:$A,0)-1&amp;":U"&amp;MATCH(DW22,数出表_Excel!$A:$A,0)-1&amp;"")),0)
+MATCH(TRUE, ISNUMBER(--INDIRECT("数出表_Excel!B" &amp; (MATCH(DW22,数出表_Excel!$A:$A,0)-1) &amp; ":U" &amp; (MATCH(DW22,数出表_Excel!$A:$A,0)-1))), 0)
+MATCH(TRUE, ISNUMBER(--INDIRECT("数出表_Excel!"&amp;DR64&amp; (MATCH(DW22,数出表_Excel!$A:$A,0)-1) &amp; ":U" &amp; (MATCH(DW22,数出表_Excel!$A:$A,0)-1))), 0)
+65) &amp; "3"),"*カレー*"),
COUNTIF(DS64,"*合計*")),"",
IF(IFERROR(INDIRECT("数出表_Excel!" &amp;
CHAR(MATCH(TRUE,
ISNUMBER(--INDIRECT("数出表_Excel!"&amp;DR106&amp;MATCH(DW22,数出表_Excel!$A:$A,0)-1&amp;":U"&amp;MATCH(DW22,数出表_Excel!$A:$A,0)-1&amp;"")),0)
+MATCH(TRUE, ISNUMBER(--INDIRECT("数出表_Excel!B" &amp; (MATCH(DW22,数出表_Excel!$A:$A,0)-1) &amp; ":U" &amp; (MATCH(DW22,数出表_Excel!$A:$A,0)-1))), 0)
+MATCH(TRUE, ISNUMBER(--INDIRECT("数出表_Excel!"&amp;DR64&amp; (MATCH(DW22,数出表_Excel!$A:$A,0)-1) &amp; ":U" &amp; (MATCH(DW22,数出表_Excel!$A:$A,0)-1))), 0)
+65) &amp; "3"),0)=0,"",
IFERROR(INDIRECT("数出表_Excel!" &amp;
CHAR(MATCH(TRUE,
ISNUMBER(--INDIRECT("数出表_Excel!"&amp;DR106&amp;MATCH(DW22,数出表_Excel!$A:$A,0)-1&amp;":U"&amp;MATCH(DW22,数出表_Excel!$A:$A,0)-1&amp;"")),0)
+MATCH(TRUE, ISNUMBER(--INDIRECT("数出表_Excel!B" &amp; (MATCH(DW22,数出表_Excel!$A:$A,0)-1) &amp; ":U" &amp; (MATCH(DW22,数出表_Excel!$A:$A,0)-1))), 0)
+MATCH(TRUE, ISNUMBER(--INDIRECT("数出表_Excel!"&amp;DR64&amp; (MATCH(DW22,数出表_Excel!$A:$A,0)-1) &amp; ":U" &amp; (MATCH(DW22,数出表_Excel!$A:$A,0)-1))), 0)
+65) &amp; "3"),""))),"")</f>
        <v/>
      </c>
      <c r="DT107" s="76"/>
      <c r="DU107" s="82" t="str" cm="1">
        <f t="array" aca="1" ref="DU107" ca="1">IF(DV107&lt;&gt;"","",
IF(COUNTIF(DS106,"*雙葉*"),"",
IF(DS106&lt;&gt;"",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+MATCH(TRUE,INDIRECT("'数出表_Excel'!"&amp;DR106&amp;MATCH(DW22,数出表_Excel!$A:$A,0)-1&amp;":AL"&amp;MATCH(DW22,数出表_Excel!$A:$A,0)-1&amp;"")&lt;&gt;"",0))&gt;9,"",
IFERROR(
INDEX(INDIRECT("数出表_Excel!$"&amp;DR106&amp;"4:$AL4"),
 1,
MATCH(TRUE,INDIRECT("'数出表_Excel'!"&amp;DR106&amp;MATCH(DW22,数出表_Excel!$A:$A,0)-1&amp;":AL"&amp;MATCH(DW22,数出表_Excel!$A:$A,0)-1&amp;"")&lt;&gt;"",0)
),
 "")
&amp;IFERROR(
INDEX(INDIRECT("数出表_Excel!$"&amp;DR106&amp;"5:$AL5"),
 1,
MATCH(TRUE,INDIRECT("'数出表_Excel'!"&amp;DR106&amp;MATCH(DW22,数出表_Excel!$A:$A,0)-1&amp;":AL"&amp;MATCH(DW22,数出表_Excel!$A:$A,0)-1&amp;"")&lt;&gt;"",0)),
 "")),"")))</f>
        <v/>
      </c>
      <c r="DV107" s="83" t="str" cm="1">
        <f t="array" aca="1" ref="DV107" ca="1">IF(DS107&lt;&gt;"",
IF(COUNTIF(DS106,"*雙葉*"),
IF(ROUND(
IF(DV112&lt;&gt;"",(DS109-DV112),DS109)
/IF(COUNTIF(DS107,"*キャラ*"),
VLOOKUP("*キャラ*",商品マスタ一覧!$D:$J,7,FALSE),
IF(COUNTIF(DS107,"*赤*"),
VLOOKUP("*赤*",商品マスタ一覧!$D:$J,7,FALSE),
VLOOKUP(DS107,商品マスタ一覧!$D:$J,7,FALSE))),0)&lt;=0,1,
ROUND(
IF(DV112&lt;&gt;"",(DS109-DV112),DS109)
/IF(COUNTIF(DS107,"*キャラ*"),
VLOOKUP("*キャラ*",商品マスタ一覧!$D:$J,7,FALSE),
IF(COUNTIF(DS107,"*赤*"),
VLOOKUP("*赤*",商品マスタ一覧!$D:$J,7,FALSE),
VLOOKUP(DS107,商品マスタ一覧!$D:$J,7,FALSE))),0)),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IF(DS107&lt;&gt;"",
IF(IF(COUNTIF(DS107,"*キャラ*"),
VLOOKUP("*キャラ*",商品マスタ一覧!$D:$J,7,FALSE),
IF(COUNTIF(DS107,"*赤*"),
VLOOKUP("*赤*",商品マスタ一覧!$D:$J,7,FALSE),
VLOOKUP(DS107,商品マスタ一覧!$D:$J,7,FALSE)))=0,"",
IF(ROUND(
IF(DV112&lt;&gt;"",(DS109-DV112),DS109)
/IF(COUNTIF(DS107,"*キャラ*"),
VLOOKUP("*キャラ*",商品マスタ一覧!$D:$J,7,FALSE),
IF(COUNTIF(DS107,"*赤*"),
VLOOKUP("*赤*",商品マスタ一覧!$D:$J,7,FALSE),
VLOOKUP(DS107,商品マスタ一覧!$D:$J,7,FALSE))),0)&lt;=0,1,
ROUND(
IF(DV112&lt;&gt;"",(DS109-DV112),DS109)
/IF(COUNTIF(DS107,"*キャラ*"),
VLOOKUP("*キャラ*",商品マスタ一覧!$D:$J,7,FALSE),
IF(COUNTIF(DS107,"*赤*"),
VLOOKUP("*赤*",商品マスタ一覧!$D:$J,7,FALSE),
VLOOKUP(DS107,商品マスタ一覧!$D:$J,7,FALSE))),0))),""),"")),"")</f>
        <v/>
      </c>
      <c r="DW107" s="92" t="str">
        <f ca="1">IF(DV107&lt;&gt;"",IF(DS109&lt;&gt;"",IF(VALUE(IF(DV112&lt;&gt;"",DS109-DV112,DS109))&gt;VALUE(IF(COUNTIF('盛付札（関数）'!DS107,"*キャラ*"),
VLOOKUP("*キャラ*",商品マスタ一覧!$D:$J,7,FALSE),
IF(COUNTIF('盛付札（関数）'!DS107,"*赤*"),
VLOOKUP("*赤*",商品マスタ一覧!$D:$J,7,FALSE),
VLOOKUP('盛付札（関数）'!DS107,商品マスタ一覧!$D:$J,7,FALSE)))*DV107),
"+"&amp;IF(DV112&lt;&gt;"",DS109-DV112,DS109)-IF(COUNTIF('盛付札（関数）'!DS107,"*キャラ*"),
VLOOKUP("*キャラ*",商品マスタ一覧!$D:$J,7,FALSE),
IF(COUNTIF('盛付札（関数）'!DS107,"*赤*"),
VLOOKUP("*赤*",商品マスタ一覧!$D:$J,7,FALSE),
VLOOKUP('盛付札（関数）'!DS107,商品マスタ一覧!$D:$J,7,FALSE)))*DV107,
IF(DV112&lt;&gt;"",DS109-DV112,DS109)-IF(COUNTIF('盛付札（関数）'!DS107,"*キャラ*"),
VLOOKUP("*キャラ*",商品マスタ一覧!$D:$J,7,FALSE),
IF(COUNTIF('盛付札（関数）'!DS107,"*赤*"),
VLOOKUP("*赤*",商品マスタ一覧!$D:$J,7,FALSE),
VLOOKUP('盛付札（関数）'!DS107,商品マスタ一覧!$D:$J,7,FALSE)))*DV107),""),"")</f>
        <v/>
      </c>
      <c r="DX107" s="76"/>
      <c r="DY107" s="81" t="e" cm="1">
        <f t="array" aca="1" ref="DY107" ca="1">IF(DY24&lt;&gt;100,
IF(DZ109&lt;&gt;"",MATCH(DZ109,INDIRECT("数出表_Excel!B"&amp;MATCH(ED22,数出表_Excel!$A:$A,0)-1&amp;":U"&amp;MATCH(ED22,数出表_Excel!$A:$A,0)-1&amp;""),0)+1,""),
IF(DZ109&lt;&gt;"",
MATCH(
IFERROR(
INDEX(INDIRECT("数出表_Excel!"&amp;DY106&amp;MATCH(ED22,数出表_Excel!$A:$A,0)-1&amp;":U"&amp;MATCH(ED22,数出表_Excel!$A:$A,0)-1&amp;""),
 1,
 MATCH(TRUE, ISNUMBER(--INDIRECT("数出表_Excel!"&amp;DY106&amp;MATCH(ED22,数出表_Excel!$A:$A,0)-1&amp;":U"&amp;MATCH(ED22,数出表_Excel!$A:$A,0)-1&amp;"")),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107" s="58" t="str" cm="1">
        <f t="array" aca="1" ref="DZ107" ca="1">IFERROR(IF(OR(
COUNTIF(INDIRECT("数出表_Excel!" &amp;
CHAR(MATCH(TRUE,
ISNUMBER(--INDIRECT("数出表_Excel!"&amp;DY106&amp;MATCH(ED22,数出表_Excel!$A:$A,0)-1&amp;":U"&amp;MATCH(ED22,数出表_Excel!$A:$A,0)-1&amp;"")),0)
+MATCH(TRUE, ISNUMBER(--INDIRECT("数出表_Excel!B" &amp; (MATCH(ED22,数出表_Excel!$A:$A,0)-1) &amp; ":U" &amp; (MATCH(ED22,数出表_Excel!$A:$A,0)-1))), 0)
+MATCH(TRUE, ISNUMBER(--INDIRECT("数出表_Excel!"&amp;DY64&amp; (MATCH(ED22,数出表_Excel!$A:$A,0)-1) &amp; ":U" &amp; (MATCH(ED22,数出表_Excel!$A:$A,0)-1))), 0)
+65) &amp; "3"),"*配膳*"),
COUNTIF(INDIRECT("数出表_Excel!" &amp;
CHAR(MATCH(TRUE,
ISNUMBER(--INDIRECT("数出表_Excel!"&amp;DY106&amp;MATCH(ED22,数出表_Excel!$A:$A,0)-1&amp;":U"&amp;MATCH(ED22,数出表_Excel!$A:$A,0)-1&amp;"")),0)
+MATCH(TRUE, ISNUMBER(--INDIRECT("数出表_Excel!B" &amp; (MATCH(ED22,数出表_Excel!$A:$A,0)-1) &amp; ":U" &amp; (MATCH(ED22,数出表_Excel!$A:$A,0)-1))), 0)
+MATCH(TRUE, ISNUMBER(--INDIRECT("数出表_Excel!"&amp;DY64&amp; (MATCH(ED22,数出表_Excel!$A:$A,0)-1) &amp; ":U" &amp; (MATCH(ED22,数出表_Excel!$A:$A,0)-1))), 0)
+65) &amp; "3"),"*カレー*"),
COUNTIF(DZ64,"*合計*")),"",
IF(IFERROR(INDIRECT("数出表_Excel!" &amp;
CHAR(MATCH(TRUE,
ISNUMBER(--INDIRECT("数出表_Excel!"&amp;DY106&amp;MATCH(ED22,数出表_Excel!$A:$A,0)-1&amp;":U"&amp;MATCH(ED22,数出表_Excel!$A:$A,0)-1&amp;"")),0)
+MATCH(TRUE, ISNUMBER(--INDIRECT("数出表_Excel!B" &amp; (MATCH(ED22,数出表_Excel!$A:$A,0)-1) &amp; ":U" &amp; (MATCH(ED22,数出表_Excel!$A:$A,0)-1))), 0)
+MATCH(TRUE, ISNUMBER(--INDIRECT("数出表_Excel!"&amp;DY64&amp; (MATCH(ED22,数出表_Excel!$A:$A,0)-1) &amp; ":U" &amp; (MATCH(ED22,数出表_Excel!$A:$A,0)-1))), 0)
+65) &amp; "3"),0)=0,"",
IFERROR(INDIRECT("数出表_Excel!" &amp;
CHAR(MATCH(TRUE,
ISNUMBER(--INDIRECT("数出表_Excel!"&amp;DY106&amp;MATCH(ED22,数出表_Excel!$A:$A,0)-1&amp;":U"&amp;MATCH(ED22,数出表_Excel!$A:$A,0)-1&amp;"")),0)
+MATCH(TRUE, ISNUMBER(--INDIRECT("数出表_Excel!B" &amp; (MATCH(ED22,数出表_Excel!$A:$A,0)-1) &amp; ":U" &amp; (MATCH(ED22,数出表_Excel!$A:$A,0)-1))), 0)
+MATCH(TRUE, ISNUMBER(--INDIRECT("数出表_Excel!"&amp;DY64&amp; (MATCH(ED22,数出表_Excel!$A:$A,0)-1) &amp; ":U" &amp; (MATCH(ED22,数出表_Excel!$A:$A,0)-1))), 0)
+65) &amp; "3"),""))),"")</f>
        <v/>
      </c>
      <c r="EA107" s="76"/>
      <c r="EB107" s="82" t="str" cm="1">
        <f t="array" aca="1" ref="EB107" ca="1">IF(EC107&lt;&gt;"","",
IF(COUNTIF(DZ106,"*雙葉*"),"",
IF(DZ106&lt;&gt;"",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+MATCH(TRUE,INDIRECT("'数出表_Excel'!"&amp;DY106&amp;MATCH(ED22,数出表_Excel!$A:$A,0)-1&amp;":AL"&amp;MATCH(ED22,数出表_Excel!$A:$A,0)-1&amp;"")&lt;&gt;"",0))&gt;9,"",
IFERROR(
INDEX(INDIRECT("数出表_Excel!$"&amp;DY106&amp;"4:$AL4"),
 1,
MATCH(TRUE,INDIRECT("'数出表_Excel'!"&amp;DY106&amp;MATCH(ED22,数出表_Excel!$A:$A,0)-1&amp;":AL"&amp;MATCH(ED22,数出表_Excel!$A:$A,0)-1&amp;"")&lt;&gt;"",0)
),
 "")
&amp;IFERROR(
INDEX(INDIRECT("数出表_Excel!$"&amp;DY106&amp;"5:$AL5"),
 1,
MATCH(TRUE,INDIRECT("'数出表_Excel'!"&amp;DY106&amp;MATCH(ED22,数出表_Excel!$A:$A,0)-1&amp;":AL"&amp;MATCH(ED22,数出表_Excel!$A:$A,0)-1&amp;"")&lt;&gt;"",0)),
 "")),"")))</f>
        <v/>
      </c>
      <c r="EC107" s="83" t="str" cm="1">
        <f t="array" aca="1" ref="EC107" ca="1">IF(DZ107&lt;&gt;"",
IF(COUNTIF(DZ106,"*雙葉*"),
IF(ROUND(
IF(EC112&lt;&gt;"",(DZ109-EC112),DZ109)
/IF(COUNTIF(DZ107,"*キャラ*"),
VLOOKUP("*キャラ*",商品マスタ一覧!$D:$J,7,FALSE),
IF(COUNTIF(DZ107,"*赤*"),
VLOOKUP("*赤*",商品マスタ一覧!$D:$J,7,FALSE),
VLOOKUP(DZ107,商品マスタ一覧!$D:$J,7,FALSE))),0)&lt;=0,1,
ROUND(
IF(EC112&lt;&gt;"",(DZ109-EC112),DZ109)
/IF(COUNTIF(DZ107,"*キャラ*"),
VLOOKUP("*キャラ*",商品マスタ一覧!$D:$J,7,FALSE),
IF(COUNTIF(DZ107,"*赤*"),
VLOOKUP("*赤*",商品マスタ一覧!$D:$J,7,FALSE),
VLOOKUP(DZ107,商品マスタ一覧!$D:$J,7,FALSE))),0)),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IF(DZ107&lt;&gt;"",
IF(IF(COUNTIF(DZ107,"*キャラ*"),
VLOOKUP("*キャラ*",商品マスタ一覧!$D:$J,7,FALSE),
IF(COUNTIF(DZ107,"*赤*"),
VLOOKUP("*赤*",商品マスタ一覧!$D:$J,7,FALSE),
VLOOKUP(DZ107,商品マスタ一覧!$D:$J,7,FALSE)))=0,"",
IF(ROUND(
IF(EC112&lt;&gt;"",(DZ109-EC112),DZ109)
/IF(COUNTIF(DZ107,"*キャラ*"),
VLOOKUP("*キャラ*",商品マスタ一覧!$D:$J,7,FALSE),
IF(COUNTIF(DZ107,"*赤*"),
VLOOKUP("*赤*",商品マスタ一覧!$D:$J,7,FALSE),
VLOOKUP(DZ107,商品マスタ一覧!$D:$J,7,FALSE))),0)&lt;=0,1,
ROUND(
IF(EC112&lt;&gt;"",(DZ109-EC112),DZ109)
/IF(COUNTIF(DZ107,"*キャラ*"),
VLOOKUP("*キャラ*",商品マスタ一覧!$D:$J,7,FALSE),
IF(COUNTIF(DZ107,"*赤*"),
VLOOKUP("*赤*",商品マスタ一覧!$D:$J,7,FALSE),
VLOOKUP(DZ107,商品マスタ一覧!$D:$J,7,FALSE))),0))),""),"")),"")</f>
        <v/>
      </c>
      <c r="ED107" s="92" t="str">
        <f ca="1">IF(EC107&lt;&gt;"",IF(DZ109&lt;&gt;"",IF(VALUE(IF(EC112&lt;&gt;"",DZ109-EC112,DZ109))&gt;VALUE(IF(COUNTIF('盛付札（関数）'!DZ107,"*キャラ*"),
VLOOKUP("*キャラ*",商品マスタ一覧!$D:$J,7,FALSE),
IF(COUNTIF('盛付札（関数）'!DZ107,"*赤*"),
VLOOKUP("*赤*",商品マスタ一覧!$D:$J,7,FALSE),
VLOOKUP('盛付札（関数）'!DZ107,商品マスタ一覧!$D:$J,7,FALSE)))*EC107),
"+"&amp;IF(EC112&lt;&gt;"",DZ109-EC112,DZ109)-IF(COUNTIF('盛付札（関数）'!DZ107,"*キャラ*"),
VLOOKUP("*キャラ*",商品マスタ一覧!$D:$J,7,FALSE),
IF(COUNTIF('盛付札（関数）'!DZ107,"*赤*"),
VLOOKUP("*赤*",商品マスタ一覧!$D:$J,7,FALSE),
VLOOKUP('盛付札（関数）'!DZ107,商品マスタ一覧!$D:$J,7,FALSE)))*EC107,
IF(EC112&lt;&gt;"",DZ109-EC112,DZ109)-IF(COUNTIF('盛付札（関数）'!DZ107,"*キャラ*"),
VLOOKUP("*キャラ*",商品マスタ一覧!$D:$J,7,FALSE),
IF(COUNTIF('盛付札（関数）'!DZ107,"*赤*"),
VLOOKUP("*赤*",商品マスタ一覧!$D:$J,7,FALSE),
VLOOKUP('盛付札（関数）'!DZ107,商品マスタ一覧!$D:$J,7,FALSE)))*EC107),""),"")</f>
        <v/>
      </c>
      <c r="EG107" s="81" t="e" cm="1">
        <f t="array" aca="1" ref="EG107" ca="1">IF(EG24&lt;&gt;100,
IF(EH109&lt;&gt;"",MATCH(EH109,INDIRECT("数出表_Excel!B"&amp;MATCH(EL22,数出表_Excel!$A:$A,0)-1&amp;":U"&amp;MATCH(EL22,数出表_Excel!$A:$A,0)-1&amp;""),0)+1,""),
IF(EH109&lt;&gt;"",
MATCH(
IFERROR(
INDEX(INDIRECT("数出表_Excel!"&amp;EG106&amp;MATCH(EL22,数出表_Excel!$A:$A,0)-1&amp;":U"&amp;MATCH(EL22,数出表_Excel!$A:$A,0)-1&amp;""),
 1,
 MATCH(TRUE, ISNUMBER(--INDIRECT("数出表_Excel!"&amp;EG106&amp;MATCH(EL22,数出表_Excel!$A:$A,0)-1&amp;":U"&amp;MATCH(EL22,数出表_Excel!$A:$A,0)-1&amp;"")),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107" s="58" t="str" cm="1">
        <f t="array" aca="1" ref="EH107" ca="1">IFERROR(IF(OR(
COUNTIF(INDIRECT("数出表_Excel!" &amp;
CHAR(MATCH(TRUE,
ISNUMBER(--INDIRECT("数出表_Excel!"&amp;EG106&amp;MATCH(EL22,数出表_Excel!$A:$A,0)-1&amp;":U"&amp;MATCH(EL22,数出表_Excel!$A:$A,0)-1&amp;"")),0)
+MATCH(TRUE, ISNUMBER(--INDIRECT("数出表_Excel!B" &amp; (MATCH(EL22,数出表_Excel!$A:$A,0)-1) &amp; ":U" &amp; (MATCH(EL22,数出表_Excel!$A:$A,0)-1))), 0)
+MATCH(TRUE, ISNUMBER(--INDIRECT("数出表_Excel!"&amp;EG64&amp; (MATCH(EL22,数出表_Excel!$A:$A,0)-1) &amp; ":U" &amp; (MATCH(EL22,数出表_Excel!$A:$A,0)-1))), 0)
+65) &amp; "3"),"*配膳*"),
COUNTIF(INDIRECT("数出表_Excel!" &amp;
CHAR(MATCH(TRUE,
ISNUMBER(--INDIRECT("数出表_Excel!"&amp;EG106&amp;MATCH(EL22,数出表_Excel!$A:$A,0)-1&amp;":U"&amp;MATCH(EL22,数出表_Excel!$A:$A,0)-1&amp;"")),0)
+MATCH(TRUE, ISNUMBER(--INDIRECT("数出表_Excel!B" &amp; (MATCH(EL22,数出表_Excel!$A:$A,0)-1) &amp; ":U" &amp; (MATCH(EL22,数出表_Excel!$A:$A,0)-1))), 0)
+MATCH(TRUE, ISNUMBER(--INDIRECT("数出表_Excel!"&amp;EG64&amp; (MATCH(EL22,数出表_Excel!$A:$A,0)-1) &amp; ":U" &amp; (MATCH(EL22,数出表_Excel!$A:$A,0)-1))), 0)
+65) &amp; "3"),"*カレー*"),
COUNTIF(EH64,"*合計*")),"",
IF(IFERROR(INDIRECT("数出表_Excel!" &amp;
CHAR(MATCH(TRUE,
ISNUMBER(--INDIRECT("数出表_Excel!"&amp;EG106&amp;MATCH(EL22,数出表_Excel!$A:$A,0)-1&amp;":U"&amp;MATCH(EL22,数出表_Excel!$A:$A,0)-1&amp;"")),0)
+MATCH(TRUE, ISNUMBER(--INDIRECT("数出表_Excel!B" &amp; (MATCH(EL22,数出表_Excel!$A:$A,0)-1) &amp; ":U" &amp; (MATCH(EL22,数出表_Excel!$A:$A,0)-1))), 0)
+MATCH(TRUE, ISNUMBER(--INDIRECT("数出表_Excel!"&amp;EG64&amp; (MATCH(EL22,数出表_Excel!$A:$A,0)-1) &amp; ":U" &amp; (MATCH(EL22,数出表_Excel!$A:$A,0)-1))), 0)
+65) &amp; "3"),0)=0,"",
IFERROR(INDIRECT("数出表_Excel!" &amp;
CHAR(MATCH(TRUE,
ISNUMBER(--INDIRECT("数出表_Excel!"&amp;EG106&amp;MATCH(EL22,数出表_Excel!$A:$A,0)-1&amp;":U"&amp;MATCH(EL22,数出表_Excel!$A:$A,0)-1&amp;"")),0)
+MATCH(TRUE, ISNUMBER(--INDIRECT("数出表_Excel!B" &amp; (MATCH(EL22,数出表_Excel!$A:$A,0)-1) &amp; ":U" &amp; (MATCH(EL22,数出表_Excel!$A:$A,0)-1))), 0)
+MATCH(TRUE, ISNUMBER(--INDIRECT("数出表_Excel!"&amp;EG64&amp; (MATCH(EL22,数出表_Excel!$A:$A,0)-1) &amp; ":U" &amp; (MATCH(EL22,数出表_Excel!$A:$A,0)-1))), 0)
+65) &amp; "3"),""))),"")</f>
        <v/>
      </c>
      <c r="EI107" s="76"/>
      <c r="EJ107" s="82" t="str" cm="1">
        <f t="array" aca="1" ref="EJ107" ca="1">IF(EK107&lt;&gt;"","",
IF(COUNTIF(EH106,"*雙葉*"),"",
IF(EH106&lt;&gt;"",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+MATCH(TRUE,INDIRECT("'数出表_Excel'!"&amp;EG106&amp;MATCH(EL22,数出表_Excel!$A:$A,0)-1&amp;":AL"&amp;MATCH(EL22,数出表_Excel!$A:$A,0)-1&amp;"")&lt;&gt;"",0))&gt;9,"",
IFERROR(
INDEX(INDIRECT("数出表_Excel!$"&amp;EG106&amp;"4:$AL4"),
 1,
MATCH(TRUE,INDIRECT("'数出表_Excel'!"&amp;EG106&amp;MATCH(EL22,数出表_Excel!$A:$A,0)-1&amp;":AL"&amp;MATCH(EL22,数出表_Excel!$A:$A,0)-1&amp;"")&lt;&gt;"",0)
),
 "")
&amp;IFERROR(
INDEX(INDIRECT("数出表_Excel!$"&amp;EG106&amp;"5:$AL5"),
 1,
MATCH(TRUE,INDIRECT("'数出表_Excel'!"&amp;EG106&amp;MATCH(EL22,数出表_Excel!$A:$A,0)-1&amp;":AL"&amp;MATCH(EL22,数出表_Excel!$A:$A,0)-1&amp;"")&lt;&gt;"",0)),
 "")),"")))</f>
        <v/>
      </c>
      <c r="EK107" s="83" t="str" cm="1">
        <f t="array" aca="1" ref="EK107" ca="1">IF(EH107&lt;&gt;"",
IF(COUNTIF(EH106,"*雙葉*"),
IF(ROUND(
IF(EK112&lt;&gt;"",(EH109-EK112),EH109)
/IF(COUNTIF(EH107,"*キャラ*"),
VLOOKUP("*キャラ*",商品マスタ一覧!$D:$J,7,FALSE),
IF(COUNTIF(EH107,"*赤*"),
VLOOKUP("*赤*",商品マスタ一覧!$D:$J,7,FALSE),
VLOOKUP(EH107,商品マスタ一覧!$D:$J,7,FALSE))),0)&lt;=0,1,
ROUND(
IF(EK112&lt;&gt;"",(EH109-EK112),EH109)
/IF(COUNTIF(EH107,"*キャラ*"),
VLOOKUP("*キャラ*",商品マスタ一覧!$D:$J,7,FALSE),
IF(COUNTIF(EH107,"*赤*"),
VLOOKUP("*赤*",商品マスタ一覧!$D:$J,7,FALSE),
VLOOKUP(EH107,商品マスタ一覧!$D:$J,7,FALSE))),0)),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IF(EH107&lt;&gt;"",
IF(IF(COUNTIF(EH107,"*キャラ*"),
VLOOKUP("*キャラ*",商品マスタ一覧!$D:$J,7,FALSE),
IF(COUNTIF(EH107,"*赤*"),
VLOOKUP("*赤*",商品マスタ一覧!$D:$J,7,FALSE),
VLOOKUP(EH107,商品マスタ一覧!$D:$J,7,FALSE)))=0,"",
IF(ROUND(
IF(EK112&lt;&gt;"",(EH109-EK112),EH109)
/IF(COUNTIF(EH107,"*キャラ*"),
VLOOKUP("*キャラ*",商品マスタ一覧!$D:$J,7,FALSE),
IF(COUNTIF(EH107,"*赤*"),
VLOOKUP("*赤*",商品マスタ一覧!$D:$J,7,FALSE),
VLOOKUP(EH107,商品マスタ一覧!$D:$J,7,FALSE))),0)&lt;=0,1,
ROUND(
IF(EK112&lt;&gt;"",(EH109-EK112),EH109)
/IF(COUNTIF(EH107,"*キャラ*"),
VLOOKUP("*キャラ*",商品マスタ一覧!$D:$J,7,FALSE),
IF(COUNTIF(EH107,"*赤*"),
VLOOKUP("*赤*",商品マスタ一覧!$D:$J,7,FALSE),
VLOOKUP(EH107,商品マスタ一覧!$D:$J,7,FALSE))),0))),""),"")),"")</f>
        <v/>
      </c>
      <c r="EL107" s="92" t="str">
        <f ca="1">IF(EK107&lt;&gt;"",IF(EH109&lt;&gt;"",IF(VALUE(IF(EK112&lt;&gt;"",EH109-EK112,EH109))&gt;VALUE(IF(COUNTIF('盛付札（関数）'!EH107,"*キャラ*"),
VLOOKUP("*キャラ*",商品マスタ一覧!$D:$J,7,FALSE),
IF(COUNTIF('盛付札（関数）'!EH107,"*赤*"),
VLOOKUP("*赤*",商品マスタ一覧!$D:$J,7,FALSE),
VLOOKUP('盛付札（関数）'!EH107,商品マスタ一覧!$D:$J,7,FALSE)))*EK107),
"+"&amp;IF(EK112&lt;&gt;"",EH109-EK112,EH109)-IF(COUNTIF('盛付札（関数）'!EH107,"*キャラ*"),
VLOOKUP("*キャラ*",商品マスタ一覧!$D:$J,7,FALSE),
IF(COUNTIF('盛付札（関数）'!EH107,"*赤*"),
VLOOKUP("*赤*",商品マスタ一覧!$D:$J,7,FALSE),
VLOOKUP('盛付札（関数）'!EH107,商品マスタ一覧!$D:$J,7,FALSE)))*EK107,
IF(EK112&lt;&gt;"",EH109-EK112,EH109)-IF(COUNTIF('盛付札（関数）'!EH107,"*キャラ*"),
VLOOKUP("*キャラ*",商品マスタ一覧!$D:$J,7,FALSE),
IF(COUNTIF('盛付札（関数）'!EH107,"*赤*"),
VLOOKUP("*赤*",商品マスタ一覧!$D:$J,7,FALSE),
VLOOKUP('盛付札（関数）'!EH107,商品マスタ一覧!$D:$J,7,FALSE)))*EK107),""),"")</f>
        <v/>
      </c>
      <c r="EM107" s="76"/>
      <c r="EN107" s="81" t="e" cm="1">
        <f t="array" aca="1" ref="EN107" ca="1">IF(EN24&lt;&gt;100,
IF(EO109&lt;&gt;"",MATCH(EO109,INDIRECT("数出表_Excel!B"&amp;MATCH(ES22,数出表_Excel!$A:$A,0)-1&amp;":U"&amp;MATCH(ES22,数出表_Excel!$A:$A,0)-1&amp;""),0)+1,""),
IF(EO109&lt;&gt;"",
MATCH(
IFERROR(
INDEX(INDIRECT("数出表_Excel!"&amp;EN106&amp;MATCH(ES22,数出表_Excel!$A:$A,0)-1&amp;":U"&amp;MATCH(ES22,数出表_Excel!$A:$A,0)-1&amp;""),
 1,
 MATCH(TRUE, ISNUMBER(--INDIRECT("数出表_Excel!"&amp;EN106&amp;MATCH(ES22,数出表_Excel!$A:$A,0)-1&amp;":U"&amp;MATCH(ES22,数出表_Excel!$A:$A,0)-1&amp;"")),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107" s="58" t="str" cm="1">
        <f t="array" aca="1" ref="EO107" ca="1">IFERROR(IF(OR(
COUNTIF(INDIRECT("数出表_Excel!" &amp;
CHAR(MATCH(TRUE,
ISNUMBER(--INDIRECT("数出表_Excel!"&amp;EN106&amp;MATCH(ES22,数出表_Excel!$A:$A,0)-1&amp;":U"&amp;MATCH(ES22,数出表_Excel!$A:$A,0)-1&amp;"")),0)
+MATCH(TRUE, ISNUMBER(--INDIRECT("数出表_Excel!B" &amp; (MATCH(ES22,数出表_Excel!$A:$A,0)-1) &amp; ":U" &amp; (MATCH(ES22,数出表_Excel!$A:$A,0)-1))), 0)
+MATCH(TRUE, ISNUMBER(--INDIRECT("数出表_Excel!"&amp;EN64&amp; (MATCH(ES22,数出表_Excel!$A:$A,0)-1) &amp; ":U" &amp; (MATCH(ES22,数出表_Excel!$A:$A,0)-1))), 0)
+65) &amp; "3"),"*配膳*"),
COUNTIF(INDIRECT("数出表_Excel!" &amp;
CHAR(MATCH(TRUE,
ISNUMBER(--INDIRECT("数出表_Excel!"&amp;EN106&amp;MATCH(ES22,数出表_Excel!$A:$A,0)-1&amp;":U"&amp;MATCH(ES22,数出表_Excel!$A:$A,0)-1&amp;"")),0)
+MATCH(TRUE, ISNUMBER(--INDIRECT("数出表_Excel!B" &amp; (MATCH(ES22,数出表_Excel!$A:$A,0)-1) &amp; ":U" &amp; (MATCH(ES22,数出表_Excel!$A:$A,0)-1))), 0)
+MATCH(TRUE, ISNUMBER(--INDIRECT("数出表_Excel!"&amp;EN64&amp; (MATCH(ES22,数出表_Excel!$A:$A,0)-1) &amp; ":U" &amp; (MATCH(ES22,数出表_Excel!$A:$A,0)-1))), 0)
+65) &amp; "3"),"*カレー*"),
COUNTIF(EO64,"*合計*")),"",
IF(IFERROR(INDIRECT("数出表_Excel!" &amp;
CHAR(MATCH(TRUE,
ISNUMBER(--INDIRECT("数出表_Excel!"&amp;EN106&amp;MATCH(ES22,数出表_Excel!$A:$A,0)-1&amp;":U"&amp;MATCH(ES22,数出表_Excel!$A:$A,0)-1&amp;"")),0)
+MATCH(TRUE, ISNUMBER(--INDIRECT("数出表_Excel!B" &amp; (MATCH(ES22,数出表_Excel!$A:$A,0)-1) &amp; ":U" &amp; (MATCH(ES22,数出表_Excel!$A:$A,0)-1))), 0)
+MATCH(TRUE, ISNUMBER(--INDIRECT("数出表_Excel!"&amp;EN64&amp; (MATCH(ES22,数出表_Excel!$A:$A,0)-1) &amp; ":U" &amp; (MATCH(ES22,数出表_Excel!$A:$A,0)-1))), 0)
+65) &amp; "3"),0)=0,"",
IFERROR(INDIRECT("数出表_Excel!" &amp;
CHAR(MATCH(TRUE,
ISNUMBER(--INDIRECT("数出表_Excel!"&amp;EN106&amp;MATCH(ES22,数出表_Excel!$A:$A,0)-1&amp;":U"&amp;MATCH(ES22,数出表_Excel!$A:$A,0)-1&amp;"")),0)
+MATCH(TRUE, ISNUMBER(--INDIRECT("数出表_Excel!B" &amp; (MATCH(ES22,数出表_Excel!$A:$A,0)-1) &amp; ":U" &amp; (MATCH(ES22,数出表_Excel!$A:$A,0)-1))), 0)
+MATCH(TRUE, ISNUMBER(--INDIRECT("数出表_Excel!"&amp;EN64&amp; (MATCH(ES22,数出表_Excel!$A:$A,0)-1) &amp; ":U" &amp; (MATCH(ES22,数出表_Excel!$A:$A,0)-1))), 0)
+65) &amp; "3"),""))),"")</f>
        <v/>
      </c>
      <c r="EP107" s="76"/>
      <c r="EQ107" s="82" t="str" cm="1">
        <f t="array" aca="1" ref="EQ107" ca="1">IF(ER107&lt;&gt;"","",
IF(COUNTIF(EO106,"*雙葉*"),"",
IF(EO106&lt;&gt;"",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+MATCH(TRUE,INDIRECT("'数出表_Excel'!"&amp;EN106&amp;MATCH(ES22,数出表_Excel!$A:$A,0)-1&amp;":AL"&amp;MATCH(ES22,数出表_Excel!$A:$A,0)-1&amp;"")&lt;&gt;"",0))&gt;9,"",
IFERROR(
INDEX(INDIRECT("数出表_Excel!$"&amp;EN106&amp;"4:$AL4"),
 1,
MATCH(TRUE,INDIRECT("'数出表_Excel'!"&amp;EN106&amp;MATCH(ES22,数出表_Excel!$A:$A,0)-1&amp;":AL"&amp;MATCH(ES22,数出表_Excel!$A:$A,0)-1&amp;"")&lt;&gt;"",0)
),
 "")
&amp;IFERROR(
INDEX(INDIRECT("数出表_Excel!$"&amp;EN106&amp;"5:$AL5"),
 1,
MATCH(TRUE,INDIRECT("'数出表_Excel'!"&amp;EN106&amp;MATCH(ES22,数出表_Excel!$A:$A,0)-1&amp;":AL"&amp;MATCH(ES22,数出表_Excel!$A:$A,0)-1&amp;"")&lt;&gt;"",0)),
 "")),"")))</f>
        <v/>
      </c>
      <c r="ER107" s="83" t="str" cm="1">
        <f t="array" aca="1" ref="ER107" ca="1">IF(EO107&lt;&gt;"",
IF(COUNTIF(EO106,"*雙葉*"),
IF(ROUND(
IF(ER112&lt;&gt;"",(EO109-ER112),EO109)
/IF(COUNTIF(EO107,"*キャラ*"),
VLOOKUP("*キャラ*",商品マスタ一覧!$D:$J,7,FALSE),
IF(COUNTIF(EO107,"*赤*"),
VLOOKUP("*赤*",商品マスタ一覧!$D:$J,7,FALSE),
VLOOKUP(EO107,商品マスタ一覧!$D:$J,7,FALSE))),0)&lt;=0,1,
ROUND(
IF(ER112&lt;&gt;"",(EO109-ER112),EO109)
/IF(COUNTIF(EO107,"*キャラ*"),
VLOOKUP("*キャラ*",商品マスタ一覧!$D:$J,7,FALSE),
IF(COUNTIF(EO107,"*赤*"),
VLOOKUP("*赤*",商品マスタ一覧!$D:$J,7,FALSE),
VLOOKUP(EO107,商品マスタ一覧!$D:$J,7,FALSE))),0)),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IF(EO107&lt;&gt;"",
IF(IF(COUNTIF(EO107,"*キャラ*"),
VLOOKUP("*キャラ*",商品マスタ一覧!$D:$J,7,FALSE),
IF(COUNTIF(EO107,"*赤*"),
VLOOKUP("*赤*",商品マスタ一覧!$D:$J,7,FALSE),
VLOOKUP(EO107,商品マスタ一覧!$D:$J,7,FALSE)))=0,"",
IF(ROUND(
IF(ER112&lt;&gt;"",(EO109-ER112),EO109)
/IF(COUNTIF(EO107,"*キャラ*"),
VLOOKUP("*キャラ*",商品マスタ一覧!$D:$J,7,FALSE),
IF(COUNTIF(EO107,"*赤*"),
VLOOKUP("*赤*",商品マスタ一覧!$D:$J,7,FALSE),
VLOOKUP(EO107,商品マスタ一覧!$D:$J,7,FALSE))),0)&lt;=0,1,
ROUND(
IF(ER112&lt;&gt;"",(EO109-ER112),EO109)
/IF(COUNTIF(EO107,"*キャラ*"),
VLOOKUP("*キャラ*",商品マスタ一覧!$D:$J,7,FALSE),
IF(COUNTIF(EO107,"*赤*"),
VLOOKUP("*赤*",商品マスタ一覧!$D:$J,7,FALSE),
VLOOKUP(EO107,商品マスタ一覧!$D:$J,7,FALSE))),0))),""),"")),"")</f>
        <v/>
      </c>
      <c r="ES107" s="92" t="str">
        <f ca="1">IF(ER107&lt;&gt;"",IF(EO109&lt;&gt;"",IF(VALUE(IF(ER112&lt;&gt;"",EO109-ER112,EO109))&gt;VALUE(IF(COUNTIF('盛付札（関数）'!EO107,"*キャラ*"),
VLOOKUP("*キャラ*",商品マスタ一覧!$D:$J,7,FALSE),
IF(COUNTIF('盛付札（関数）'!EO107,"*赤*"),
VLOOKUP("*赤*",商品マスタ一覧!$D:$J,7,FALSE),
VLOOKUP('盛付札（関数）'!EO107,商品マスタ一覧!$D:$J,7,FALSE)))*ER107),
"+"&amp;IF(ER112&lt;&gt;"",EO109-ER112,EO109)-IF(COUNTIF('盛付札（関数）'!EO107,"*キャラ*"),
VLOOKUP("*キャラ*",商品マスタ一覧!$D:$J,7,FALSE),
IF(COUNTIF('盛付札（関数）'!EO107,"*赤*"),
VLOOKUP("*赤*",商品マスタ一覧!$D:$J,7,FALSE),
VLOOKUP('盛付札（関数）'!EO107,商品マスタ一覧!$D:$J,7,FALSE)))*ER107,
IF(ER112&lt;&gt;"",EO109-ER112,EO109)-IF(COUNTIF('盛付札（関数）'!EO107,"*キャラ*"),
VLOOKUP("*キャラ*",商品マスタ一覧!$D:$J,7,FALSE),
IF(COUNTIF('盛付札（関数）'!EO107,"*赤*"),
VLOOKUP("*赤*",商品マスタ一覧!$D:$J,7,FALSE),
VLOOKUP('盛付札（関数）'!EO107,商品マスタ一覧!$D:$J,7,FALSE)))*ER107),""),"")</f>
        <v/>
      </c>
      <c r="EU107" s="78">
        <f t="shared" si="8"/>
        <v>77</v>
      </c>
      <c r="EV107" s="78" t="str">
        <f t="array" aca="1" ref="EV107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LEN(SUBSTITUTE(_xlfn.FORMULATEXT(EV$76),"=","")))+$EU107)</f>
        <v/>
      </c>
      <c r="EW107" s="78" t="str">
        <f t="array" aca="1" ref="EW107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LEN(SUBSTITUTE(_xlfn.FORMULATEXT(EW$76),"=","")))+$EU107)</f>
        <v/>
      </c>
      <c r="EX107" s="78" t="str">
        <f t="array" aca="1" ref="EX107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LEN(SUBSTITUTE(_xlfn.FORMULATEXT(EX$76),"=","")))+$EU107)</f>
        <v/>
      </c>
      <c r="EY107" s="78" t="str">
        <f t="array" aca="1" ref="EY107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LEN(SUBSTITUTE(_xlfn.FORMULATEXT(EY$76),"=","")))+$EU107)</f>
        <v/>
      </c>
      <c r="EZ107" s="78" t="str">
        <f t="array" aca="1" ref="EZ107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LEN(SUBSTITUTE(_xlfn.FORMULATEXT(EZ$76),"=","")))+$EU107)</f>
        <v/>
      </c>
      <c r="FA107" s="78" t="str">
        <f t="array" aca="1" ref="FA107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LEN(SUBSTITUTE(_xlfn.FORMULATEXT(FA$76),"=","")))+$EU107)</f>
        <v/>
      </c>
      <c r="FB107" s="78" t="str">
        <f t="array" aca="1" ref="FB107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LEN(SUBSTITUTE(_xlfn.FORMULATEXT(FB$76),"=","")))+$EU107)</f>
        <v/>
      </c>
      <c r="FC107" s="78" t="str">
        <f t="array" aca="1" ref="FC107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LEN(SUBSTITUTE(_xlfn.FORMULATEXT(FC$76),"=","")))+$EU107)</f>
        <v/>
      </c>
      <c r="FD107" s="78" t="str">
        <f t="array" aca="1" ref="FD107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LEN(SUBSTITUTE(_xlfn.FORMULATEXT(FD$76),"=","")))+$EU107)</f>
        <v/>
      </c>
      <c r="FE107" s="78" t="str">
        <f t="array" aca="1" ref="FE107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LEN(SUBSTITUTE(_xlfn.FORMULATEXT(FE$76),"=","")))+$EU107)</f>
        <v/>
      </c>
      <c r="FF107" s="78" t="str">
        <f t="array" aca="1" ref="FF107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LEN(SUBSTITUTE(_xlfn.FORMULATEXT(FF$76),"=","")))+$EU107)</f>
        <v/>
      </c>
      <c r="FG107" s="78">
        <f t="shared" ca="1" si="7"/>
        <v>0</v>
      </c>
      <c r="FH107" s="78" t="b">
        <f t="array" aca="1" ref="FH107" ca="1">SUMPRODUCT((LEN(EV107:FF107)&gt;0)*1)&gt;0</f>
        <v>0</v>
      </c>
      <c r="FI107" s="78" t="str">
        <f t="array" aca="1" ref="FI107" ca="1">IFERROR(SMALL(IF(FG$1:FG$228&lt;&gt;0,FG$1:FG$228),ROW(A107)),"")</f>
        <v/>
      </c>
      <c r="FJ107" s="78" t="str">
        <f t="array" aca="1" ref="FJ107" ca="1">IF($FI107&lt;&gt;"",
INDIRECT(""&amp;IF(COLUMN(EV160)&lt;=26,CHAR(COLUMN(EV160)+64),CHAR(INT((COLUMN(EV160)-1)/26)+64)&amp;CHAR(MOD(COLUMN(EV160)-1,26)+65))&amp;$FI107&amp;""),"")</f>
        <v/>
      </c>
      <c r="FK107" s="78" t="str">
        <f t="array" aca="1" ref="FK107" ca="1">IF($FI107&lt;&gt;"",
INDIRECT(""&amp;IF(COLUMN(EW160)&lt;=26,CHAR(COLUMN(EW160)+64),CHAR(INT((COLUMN(EW160)-1)/26)+64)&amp;CHAR(MOD(COLUMN(EW160)-1,26)+65))&amp;$FI107&amp;""),"")</f>
        <v/>
      </c>
      <c r="FL107" s="78" t="str">
        <f t="array" aca="1" ref="FL107" ca="1">IF($FI107&lt;&gt;"",
INDIRECT(""&amp;IF(COLUMN(EX160)&lt;=26,CHAR(COLUMN(EX160)+64),CHAR(INT((COLUMN(EX160)-1)/26)+64)&amp;CHAR(MOD(COLUMN(EX160)-1,26)+65))&amp;$FI107&amp;""),"")</f>
        <v/>
      </c>
      <c r="FM107" s="78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78" t="str">
        <f t="array" aca="1" ref="FN107" ca="1">IF($FI107&lt;&gt;"",
INDIRECT(""&amp;IF(COLUMN(FA160)&lt;=26,CHAR(COLUMN(FA160)+64),CHAR(INT((COLUMN(FA160)-1)/26)+64)&amp;CHAR(MOD(COLUMN(FA160)-1,26)+65))&amp;$FI107&amp;""),"")</f>
        <v/>
      </c>
      <c r="FO107" s="78" t="str">
        <f t="array" aca="1" ref="FO107" ca="1">IF($FI107&lt;&gt;"",
INDIRECT(""&amp;IF(COLUMN(FB160)&lt;=26,CHAR(COLUMN(FB160)+64),CHAR(INT((COLUMN(FB160)-1)/26)+64)&amp;CHAR(MOD(COLUMN(FB160)-1,26)+65))&amp;$FI107&amp;""),"")</f>
        <v/>
      </c>
      <c r="FP107" s="78" t="str">
        <f t="array" aca="1" ref="FP107" ca="1">IF($FI107&lt;&gt;"",
INDIRECT(""&amp;IF(COLUMN(FC160)&lt;=26,CHAR(COLUMN(FC160)+64),CHAR(INT((COLUMN(FC160)-1)/26)+64)&amp;CHAR(MOD(COLUMN(FC160)-1,26)+65))&amp;$FI107&amp;""),"")</f>
        <v/>
      </c>
      <c r="FQ107" s="78" t="str">
        <f t="array" aca="1" ref="FQ107" ca="1">IF($FI107&lt;&gt;"",
INDIRECT(""&amp;IF(COLUMN(FD160)&lt;=26,CHAR(COLUMN(FD160)+64),CHAR(INT((COLUMN(FD160)-1)/26)+64)&amp;CHAR(MOD(COLUMN(FD160)-1,26)+65))&amp;$FI107&amp;""),"")</f>
        <v/>
      </c>
      <c r="FR107" s="78" t="str">
        <f t="array" aca="1" ref="FR107" ca="1">IF($FI107&lt;&gt;"",
INDIRECT(""&amp;IF(COLUMN(FE160)&lt;=26,CHAR(COLUMN(FE160)+64),CHAR(INT((COLUMN(FE160)-1)/26)+64)&amp;CHAR(MOD(COLUMN(FE160)-1,26)+65))&amp;$FI107&amp;""),"")</f>
        <v/>
      </c>
      <c r="FS107" s="78" t="str">
        <f t="array" aca="1" ref="FS107" ca="1">IF($FI107&lt;&gt;"",
INDIRECT(""&amp;IF(COLUMN(FF160)&lt;=26,CHAR(COLUMN(FF160)+64),CHAR(INT((COLUMN(FF160)-1)/26)+64)&amp;CHAR(MOD(COLUMN(FF160)-1,26)+65))&amp;$FI107&amp;""),"")</f>
        <v/>
      </c>
    </row>
    <row r="108" spans="2:175" ht="22.2" customHeight="1" x14ac:dyDescent="0.55000000000000004">
      <c r="B108" s="84" t="str" cm="1">
        <f t="array" aca="1" ref="B108" ca="1">IF(C106&lt;&gt;"",SUBSTITUTE(ADDRESS(1,
(COLUMN(INDIRECT("数出表_Excel!"&amp;B106&amp;1&amp;""))-2 +
MATCH(TRUE, ISNUMBER(--INDIRECT("数出表_Excel!"&amp;B106&amp; (MATCH(INDIRECT(""&amp;G106&amp;ROW()-86&amp;""),数出表_Excel!$A:$A,0)-1) &amp; ":U" &amp; (MATCH(INDIRECT(""&amp;G106&amp;ROW()-86&amp;""),数出表_Excel!$A:$A,0)-1))), 0))
*2,4),"1",""),"")</f>
        <v/>
      </c>
      <c r="C108" s="249" t="str">
        <f ca="1">IF(C109&lt;&gt;"","園児","")</f>
        <v/>
      </c>
      <c r="D108" s="250"/>
      <c r="E108" s="251" t="str">
        <f ca="1">IF(C109&lt;&gt;"","先生","")</f>
        <v/>
      </c>
      <c r="F108" s="250"/>
      <c r="G108" s="97" cm="1">
        <f t="array" aca="1" ref="G108" ca="1">IF(C106&lt;&gt;"",
IF(IFERROR(
INDEX(INDIRECT("'数出表_Excel（アレルギー入力）'!"&amp;B108&amp;MATCH(G22,'数出表_Excel（アレルギー入力）'!$A:$A,0)-1&amp;":"&amp;G110&amp;MATCH(G22,'数出表_Excel（アレルギー入力）'!$A:$A,0)-1&amp;""),
 1,
MATCH(TRUE,INDIRECT("'数出表_Excel（アレルギー入力）'!"&amp;B108&amp;MATCH(G22,'数出表_Excel（アレルギー入力）'!$A:$A,0)-1&amp;":"&amp;G110&amp;MATCH(G22,'数出表_Excel（アレルギー入力）'!$A:$A,0)-1&amp;"")&lt;&gt;"",0)+1),
 "")&lt;&gt;0,
IF(IFERROR(
INDEX(INDIRECT("'数出表_Excel（アレルギー入力）'!"&amp;B108&amp;MATCH(G22,'数出表_Excel（アレルギー入力）'!$A:$A,0)-1&amp;":"&amp;G110&amp;MATCH(G22,'数出表_Excel（アレルギー入力）'!$A:$A,0)-1&amp;""),
 1,
MATCH(TRUE,INDIRECT("'数出表_Excel（アレルギー入力）'!"&amp;B108&amp;MATCH(G22,'数出表_Excel（アレルギー入力）'!$A:$A,0)-1&amp;":"&amp;G110&amp;MATCH(G22,'数出表_Excel（アレルギー入力）'!$A:$A,0)-1&amp;"")&lt;&gt;"",0)+1),
 "")="",
0,
IFERROR(
INDEX(INDIRECT("'数出表_Excel（アレルギー入力）'!"&amp;B108&amp;MATCH(G22,'数出表_Excel（アレルギー入力）'!$A:$A,0)-1&amp;":"&amp;G110&amp;MATCH(G22,'数出表_Excel（アレルギー入力）'!$A:$A,0)-1&amp;""),
 1,
MATCH(TRUE,INDIRECT("'数出表_Excel（アレルギー入力）'!"&amp;B108&amp;MATCH(G22,'数出表_Excel（アレルギー入力）'!$A:$A,0)-1&amp;":"&amp;G110&amp;MATCH(G22,'数出表_Excel（アレルギー入力）'!$A:$A,0)-1&amp;"")&lt;&gt;"",0)+1),
 "")),IFERROR(
INDEX(INDIRECT("'数出表_Excel（アレルギー入力）'!"&amp;B108&amp;MATCH(G22,'数出表_Excel（アレルギー入力）'!$A:$A,0)-1&amp;":"&amp;G110&amp;MATCH(G22,'数出表_Excel（アレルギー入力）'!$A:$A,0)-1&amp;""),
 1,
MATCH(TRUE,INDIRECT("'数出表_Excel（アレルギー入力）'!"&amp;B108&amp;MATCH(G22,'数出表_Excel（アレルギー入力）'!$A:$A,0)-1&amp;":"&amp;G110&amp;MATCH(G22,'数出表_Excel（アレルギー入力）'!$A:$A,0)-1&amp;"")&lt;&gt;"",0)+1),
 "")),0)</f>
        <v>0</v>
      </c>
      <c r="H108" s="76"/>
      <c r="I108" s="84" t="str" cm="1">
        <f t="array" aca="1" ref="I108" ca="1">IF(J106&lt;&gt;"",SUBSTITUTE(ADDRESS(1,
(COLUMN(INDIRECT("数出表_Excel!"&amp;I106&amp;1&amp;""))-2 +
MATCH(TRUE, ISNUMBER(--INDIRECT("数出表_Excel!"&amp;I106&amp; (MATCH(INDIRECT(""&amp;N106&amp;ROW()-86&amp;""),数出表_Excel!$A:$A,0)-1) &amp; ":U" &amp; (MATCH(INDIRECT(""&amp;N106&amp;ROW()-86&amp;""),数出表_Excel!$A:$A,0)-1))), 0))
*2,4),"1",""),"")</f>
        <v/>
      </c>
      <c r="J108" s="249" t="str">
        <f ca="1">IF(J109&lt;&gt;"","園児","")</f>
        <v/>
      </c>
      <c r="K108" s="250"/>
      <c r="L108" s="251" t="str">
        <f ca="1">IF(J109&lt;&gt;"","先生","")</f>
        <v/>
      </c>
      <c r="M108" s="250"/>
      <c r="N108" s="97" cm="1">
        <f t="array" aca="1" ref="N108" ca="1">IF(J106&lt;&gt;"",
IF(IFERROR(
INDEX(INDIRECT("'数出表_Excel（アレルギー入力）'!"&amp;I108&amp;MATCH(N22,'数出表_Excel（アレルギー入力）'!$A:$A,0)-1&amp;":"&amp;N110&amp;MATCH(N22,'数出表_Excel（アレルギー入力）'!$A:$A,0)-1&amp;""),
 1,
MATCH(TRUE,INDIRECT("'数出表_Excel（アレルギー入力）'!"&amp;I108&amp;MATCH(N22,'数出表_Excel（アレルギー入力）'!$A:$A,0)-1&amp;":"&amp;N110&amp;MATCH(N22,'数出表_Excel（アレルギー入力）'!$A:$A,0)-1&amp;"")&lt;&gt;"",0)+1),
 "")&lt;&gt;0,
IF(IFERROR(
INDEX(INDIRECT("'数出表_Excel（アレルギー入力）'!"&amp;I108&amp;MATCH(N22,'数出表_Excel（アレルギー入力）'!$A:$A,0)-1&amp;":"&amp;N110&amp;MATCH(N22,'数出表_Excel（アレルギー入力）'!$A:$A,0)-1&amp;""),
 1,
MATCH(TRUE,INDIRECT("'数出表_Excel（アレルギー入力）'!"&amp;I108&amp;MATCH(N22,'数出表_Excel（アレルギー入力）'!$A:$A,0)-1&amp;":"&amp;N110&amp;MATCH(N22,'数出表_Excel（アレルギー入力）'!$A:$A,0)-1&amp;"")&lt;&gt;"",0)+1),
 "")="",
0,
IFERROR(
INDEX(INDIRECT("'数出表_Excel（アレルギー入力）'!"&amp;I108&amp;MATCH(N22,'数出表_Excel（アレルギー入力）'!$A:$A,0)-1&amp;":"&amp;N110&amp;MATCH(N22,'数出表_Excel（アレルギー入力）'!$A:$A,0)-1&amp;""),
 1,
MATCH(TRUE,INDIRECT("'数出表_Excel（アレルギー入力）'!"&amp;I108&amp;MATCH(N22,'数出表_Excel（アレルギー入力）'!$A:$A,0)-1&amp;":"&amp;N110&amp;MATCH(N22,'数出表_Excel（アレルギー入力）'!$A:$A,0)-1&amp;"")&lt;&gt;"",0)+1),
 "")),IFERROR(
INDEX(INDIRECT("'数出表_Excel（アレルギー入力）'!"&amp;I108&amp;MATCH(N22,'数出表_Excel（アレルギー入力）'!$A:$A,0)-1&amp;":"&amp;N110&amp;MATCH(N22,'数出表_Excel（アレルギー入力）'!$A:$A,0)-1&amp;""),
 1,
MATCH(TRUE,INDIRECT("'数出表_Excel（アレルギー入力）'!"&amp;I108&amp;MATCH(N22,'数出表_Excel（アレルギー入力）'!$A:$A,0)-1&amp;":"&amp;N110&amp;MATCH(N22,'数出表_Excel（アレルギー入力）'!$A:$A,0)-1&amp;"")&lt;&gt;"",0)+1),
 "")),0)</f>
        <v>0</v>
      </c>
      <c r="Q108" s="84" t="str" cm="1">
        <f t="array" aca="1" ref="Q108" ca="1">IF(R106&lt;&gt;"",SUBSTITUTE(ADDRESS(1,
(COLUMN(INDIRECT("数出表_Excel!"&amp;Q106&amp;1&amp;""))-2 +
MATCH(TRUE, ISNUMBER(--INDIRECT("数出表_Excel!"&amp;Q106&amp; (MATCH(INDIRECT(""&amp;V106&amp;ROW()-86&amp;""),数出表_Excel!$A:$A,0)-1) &amp; ":U" &amp; (MATCH(INDIRECT(""&amp;V106&amp;ROW()-86&amp;""),数出表_Excel!$A:$A,0)-1))), 0))
*2,4),"1",""),"")</f>
        <v/>
      </c>
      <c r="R108" s="249" t="str">
        <f ca="1">IF(R109&lt;&gt;"","園児","")</f>
        <v/>
      </c>
      <c r="S108" s="250"/>
      <c r="T108" s="251" t="str">
        <f ca="1">IF(R109&lt;&gt;"","先生","")</f>
        <v/>
      </c>
      <c r="U108" s="250"/>
      <c r="V108" s="97" cm="1">
        <f t="array" aca="1" ref="V108" ca="1">IF(R106&lt;&gt;"",
IF(IFERROR(
INDEX(INDIRECT("'数出表_Excel（アレルギー入力）'!"&amp;Q108&amp;MATCH(V22,'数出表_Excel（アレルギー入力）'!$A:$A,0)-1&amp;":"&amp;V110&amp;MATCH(V22,'数出表_Excel（アレルギー入力）'!$A:$A,0)-1&amp;""),
 1,
MATCH(TRUE,INDIRECT("'数出表_Excel（アレルギー入力）'!"&amp;Q108&amp;MATCH(V22,'数出表_Excel（アレルギー入力）'!$A:$A,0)-1&amp;":"&amp;V110&amp;MATCH(V22,'数出表_Excel（アレルギー入力）'!$A:$A,0)-1&amp;"")&lt;&gt;"",0)+1),
 "")&lt;&gt;0,
IF(IFERROR(
INDEX(INDIRECT("'数出表_Excel（アレルギー入力）'!"&amp;Q108&amp;MATCH(V22,'数出表_Excel（アレルギー入力）'!$A:$A,0)-1&amp;":"&amp;V110&amp;MATCH(V22,'数出表_Excel（アレルギー入力）'!$A:$A,0)-1&amp;""),
 1,
MATCH(TRUE,INDIRECT("'数出表_Excel（アレルギー入力）'!"&amp;Q108&amp;MATCH(V22,'数出表_Excel（アレルギー入力）'!$A:$A,0)-1&amp;":"&amp;V110&amp;MATCH(V22,'数出表_Excel（アレルギー入力）'!$A:$A,0)-1&amp;"")&lt;&gt;"",0)+1),
 "")="",
0,
IFERROR(
INDEX(INDIRECT("'数出表_Excel（アレルギー入力）'!"&amp;Q108&amp;MATCH(V22,'数出表_Excel（アレルギー入力）'!$A:$A,0)-1&amp;":"&amp;V110&amp;MATCH(V22,'数出表_Excel（アレルギー入力）'!$A:$A,0)-1&amp;""),
 1,
MATCH(TRUE,INDIRECT("'数出表_Excel（アレルギー入力）'!"&amp;Q108&amp;MATCH(V22,'数出表_Excel（アレルギー入力）'!$A:$A,0)-1&amp;":"&amp;V110&amp;MATCH(V22,'数出表_Excel（アレルギー入力）'!$A:$A,0)-1&amp;"")&lt;&gt;"",0)+1),
 "")),IFERROR(
INDEX(INDIRECT("'数出表_Excel（アレルギー入力）'!"&amp;Q108&amp;MATCH(V22,'数出表_Excel（アレルギー入力）'!$A:$A,0)-1&amp;":"&amp;V110&amp;MATCH(V22,'数出表_Excel（アレルギー入力）'!$A:$A,0)-1&amp;""),
 1,
MATCH(TRUE,INDIRECT("'数出表_Excel（アレルギー入力）'!"&amp;Q108&amp;MATCH(V22,'数出表_Excel（アレルギー入力）'!$A:$A,0)-1&amp;":"&amp;V110&amp;MATCH(V22,'数出表_Excel（アレルギー入力）'!$A:$A,0)-1&amp;"")&lt;&gt;"",0)+1),
 "")),0)</f>
        <v>0</v>
      </c>
      <c r="W108" s="76"/>
      <c r="X108" s="84" t="str" cm="1">
        <f t="array" aca="1" ref="X108" ca="1">IF(Y106&lt;&gt;"",SUBSTITUTE(ADDRESS(1,
(COLUMN(INDIRECT("数出表_Excel!"&amp;X106&amp;1&amp;""))-2 +
MATCH(TRUE, ISNUMBER(--INDIRECT("数出表_Excel!"&amp;X106&amp; (MATCH(INDIRECT(""&amp;AC106&amp;ROW()-86&amp;""),数出表_Excel!$A:$A,0)-1) &amp; ":U" &amp; (MATCH(INDIRECT(""&amp;AC106&amp;ROW()-86&amp;""),数出表_Excel!$A:$A,0)-1))), 0))
*2,4),"1",""),"")</f>
        <v/>
      </c>
      <c r="Y108" s="249" t="str">
        <f ca="1">IF(Y109&lt;&gt;"","園児","")</f>
        <v/>
      </c>
      <c r="Z108" s="250"/>
      <c r="AA108" s="251" t="str">
        <f ca="1">IF(Y109&lt;&gt;"","先生","")</f>
        <v/>
      </c>
      <c r="AB108" s="250"/>
      <c r="AC108" s="97" cm="1">
        <f t="array" aca="1" ref="AC108" ca="1">IF(Y106&lt;&gt;"",
IF(IFERROR(
INDEX(INDIRECT("'数出表_Excel（アレルギー入力）'!"&amp;X108&amp;MATCH(AC22,'数出表_Excel（アレルギー入力）'!$A:$A,0)-1&amp;":"&amp;AC110&amp;MATCH(AC22,'数出表_Excel（アレルギー入力）'!$A:$A,0)-1&amp;""),
 1,
MATCH(TRUE,INDIRECT("'数出表_Excel（アレルギー入力）'!"&amp;X108&amp;MATCH(AC22,'数出表_Excel（アレルギー入力）'!$A:$A,0)-1&amp;":"&amp;AC110&amp;MATCH(AC22,'数出表_Excel（アレルギー入力）'!$A:$A,0)-1&amp;"")&lt;&gt;"",0)+1),
 "")&lt;&gt;0,
IF(IFERROR(
INDEX(INDIRECT("'数出表_Excel（アレルギー入力）'!"&amp;X108&amp;MATCH(AC22,'数出表_Excel（アレルギー入力）'!$A:$A,0)-1&amp;":"&amp;AC110&amp;MATCH(AC22,'数出表_Excel（アレルギー入力）'!$A:$A,0)-1&amp;""),
 1,
MATCH(TRUE,INDIRECT("'数出表_Excel（アレルギー入力）'!"&amp;X108&amp;MATCH(AC22,'数出表_Excel（アレルギー入力）'!$A:$A,0)-1&amp;":"&amp;AC110&amp;MATCH(AC22,'数出表_Excel（アレルギー入力）'!$A:$A,0)-1&amp;"")&lt;&gt;"",0)+1),
 "")="",
0,
IFERROR(
INDEX(INDIRECT("'数出表_Excel（アレルギー入力）'!"&amp;X108&amp;MATCH(AC22,'数出表_Excel（アレルギー入力）'!$A:$A,0)-1&amp;":"&amp;AC110&amp;MATCH(AC22,'数出表_Excel（アレルギー入力）'!$A:$A,0)-1&amp;""),
 1,
MATCH(TRUE,INDIRECT("'数出表_Excel（アレルギー入力）'!"&amp;X108&amp;MATCH(AC22,'数出表_Excel（アレルギー入力）'!$A:$A,0)-1&amp;":"&amp;AC110&amp;MATCH(AC22,'数出表_Excel（アレルギー入力）'!$A:$A,0)-1&amp;"")&lt;&gt;"",0)+1),
 "")),IFERROR(
INDEX(INDIRECT("'数出表_Excel（アレルギー入力）'!"&amp;X108&amp;MATCH(AC22,'数出表_Excel（アレルギー入力）'!$A:$A,0)-1&amp;":"&amp;AC110&amp;MATCH(AC22,'数出表_Excel（アレルギー入力）'!$A:$A,0)-1&amp;""),
 1,
MATCH(TRUE,INDIRECT("'数出表_Excel（アレルギー入力）'!"&amp;X108&amp;MATCH(AC22,'数出表_Excel（アレルギー入力）'!$A:$A,0)-1&amp;":"&amp;AC110&amp;MATCH(AC22,'数出表_Excel（アレルギー入力）'!$A:$A,0)-1&amp;"")&lt;&gt;"",0)+1),
 "")),0)</f>
        <v>0</v>
      </c>
      <c r="AF108" s="84" t="str" cm="1">
        <f t="array" aca="1" ref="AF108" ca="1">IF(AG106&lt;&gt;"",SUBSTITUTE(ADDRESS(1,
(COLUMN(INDIRECT("数出表_Excel!"&amp;AF106&amp;1&amp;""))-2 +
MATCH(TRUE, ISNUMBER(--INDIRECT("数出表_Excel!"&amp;AF106&amp; (MATCH(INDIRECT(""&amp;AK106&amp;ROW()-86&amp;""),数出表_Excel!$A:$A,0)-1) &amp; ":U" &amp; (MATCH(INDIRECT(""&amp;AK106&amp;ROW()-86&amp;""),数出表_Excel!$A:$A,0)-1))), 0))
*2,4),"1",""),"")</f>
        <v/>
      </c>
      <c r="AG108" s="249" t="str">
        <f ca="1">IF(AG109&lt;&gt;"","園児","")</f>
        <v/>
      </c>
      <c r="AH108" s="250"/>
      <c r="AI108" s="251" t="str">
        <f ca="1">IF(AG109&lt;&gt;"","先生","")</f>
        <v/>
      </c>
      <c r="AJ108" s="250"/>
      <c r="AK108" s="97" cm="1">
        <f t="array" aca="1" ref="AK108" ca="1">IF(AG106&lt;&gt;"",
IF(IFERROR(
INDEX(INDIRECT("'数出表_Excel（アレルギー入力）'!"&amp;AF108&amp;MATCH(AK22,'数出表_Excel（アレルギー入力）'!$A:$A,0)-1&amp;":"&amp;AK110&amp;MATCH(AK22,'数出表_Excel（アレルギー入力）'!$A:$A,0)-1&amp;""),
 1,
MATCH(TRUE,INDIRECT("'数出表_Excel（アレルギー入力）'!"&amp;AF108&amp;MATCH(AK22,'数出表_Excel（アレルギー入力）'!$A:$A,0)-1&amp;":"&amp;AK110&amp;MATCH(AK22,'数出表_Excel（アレルギー入力）'!$A:$A,0)-1&amp;"")&lt;&gt;"",0)+1),
 "")&lt;&gt;0,
IF(IFERROR(
INDEX(INDIRECT("'数出表_Excel（アレルギー入力）'!"&amp;AF108&amp;MATCH(AK22,'数出表_Excel（アレルギー入力）'!$A:$A,0)-1&amp;":"&amp;AK110&amp;MATCH(AK22,'数出表_Excel（アレルギー入力）'!$A:$A,0)-1&amp;""),
 1,
MATCH(TRUE,INDIRECT("'数出表_Excel（アレルギー入力）'!"&amp;AF108&amp;MATCH(AK22,'数出表_Excel（アレルギー入力）'!$A:$A,0)-1&amp;":"&amp;AK110&amp;MATCH(AK22,'数出表_Excel（アレルギー入力）'!$A:$A,0)-1&amp;"")&lt;&gt;"",0)+1),
 "")="",
0,
IFERROR(
INDEX(INDIRECT("'数出表_Excel（アレルギー入力）'!"&amp;AF108&amp;MATCH(AK22,'数出表_Excel（アレルギー入力）'!$A:$A,0)-1&amp;":"&amp;AK110&amp;MATCH(AK22,'数出表_Excel（アレルギー入力）'!$A:$A,0)-1&amp;""),
 1,
MATCH(TRUE,INDIRECT("'数出表_Excel（アレルギー入力）'!"&amp;AF108&amp;MATCH(AK22,'数出表_Excel（アレルギー入力）'!$A:$A,0)-1&amp;":"&amp;AK110&amp;MATCH(AK22,'数出表_Excel（アレルギー入力）'!$A:$A,0)-1&amp;"")&lt;&gt;"",0)+1),
 "")),IFERROR(
INDEX(INDIRECT("'数出表_Excel（アレルギー入力）'!"&amp;AF108&amp;MATCH(AK22,'数出表_Excel（アレルギー入力）'!$A:$A,0)-1&amp;":"&amp;AK110&amp;MATCH(AK22,'数出表_Excel（アレルギー入力）'!$A:$A,0)-1&amp;""),
 1,
MATCH(TRUE,INDIRECT("'数出表_Excel（アレルギー入力）'!"&amp;AF108&amp;MATCH(AK22,'数出表_Excel（アレルギー入力）'!$A:$A,0)-1&amp;":"&amp;AK110&amp;MATCH(AK22,'数出表_Excel（アレルギー入力）'!$A:$A,0)-1&amp;"")&lt;&gt;"",0)+1),
 "")),0)</f>
        <v>0</v>
      </c>
      <c r="AL108" s="76"/>
      <c r="AM108" s="84" t="str" cm="1">
        <f t="array" aca="1" ref="AM108" ca="1">IF(AN106&lt;&gt;"",SUBSTITUTE(ADDRESS(1,
(COLUMN(INDIRECT("数出表_Excel!"&amp;AM106&amp;1&amp;""))-2 +
MATCH(TRUE, ISNUMBER(--INDIRECT("数出表_Excel!"&amp;AM106&amp; (MATCH(INDIRECT(""&amp;AR106&amp;ROW()-86&amp;""),数出表_Excel!$A:$A,0)-1) &amp; ":U" &amp; (MATCH(INDIRECT(""&amp;AR106&amp;ROW()-86&amp;""),数出表_Excel!$A:$A,0)-1))), 0))
*2,4),"1",""),"")</f>
        <v/>
      </c>
      <c r="AN108" s="249" t="str">
        <f ca="1">IF(AN109&lt;&gt;"","園児","")</f>
        <v/>
      </c>
      <c r="AO108" s="250"/>
      <c r="AP108" s="251" t="str">
        <f ca="1">IF(AN109&lt;&gt;"","先生","")</f>
        <v/>
      </c>
      <c r="AQ108" s="250"/>
      <c r="AR108" s="97" cm="1">
        <f t="array" aca="1" ref="AR108" ca="1">IF(AN106&lt;&gt;"",
IF(IFERROR(
INDEX(INDIRECT("'数出表_Excel（アレルギー入力）'!"&amp;AM108&amp;MATCH(AR22,'数出表_Excel（アレルギー入力）'!$A:$A,0)-1&amp;":"&amp;AR110&amp;MATCH(AR22,'数出表_Excel（アレルギー入力）'!$A:$A,0)-1&amp;""),
 1,
MATCH(TRUE,INDIRECT("'数出表_Excel（アレルギー入力）'!"&amp;AM108&amp;MATCH(AR22,'数出表_Excel（アレルギー入力）'!$A:$A,0)-1&amp;":"&amp;AR110&amp;MATCH(AR22,'数出表_Excel（アレルギー入力）'!$A:$A,0)-1&amp;"")&lt;&gt;"",0)+1),
 "")&lt;&gt;0,
IF(IFERROR(
INDEX(INDIRECT("'数出表_Excel（アレルギー入力）'!"&amp;AM108&amp;MATCH(AR22,'数出表_Excel（アレルギー入力）'!$A:$A,0)-1&amp;":"&amp;AR110&amp;MATCH(AR22,'数出表_Excel（アレルギー入力）'!$A:$A,0)-1&amp;""),
 1,
MATCH(TRUE,INDIRECT("'数出表_Excel（アレルギー入力）'!"&amp;AM108&amp;MATCH(AR22,'数出表_Excel（アレルギー入力）'!$A:$A,0)-1&amp;":"&amp;AR110&amp;MATCH(AR22,'数出表_Excel（アレルギー入力）'!$A:$A,0)-1&amp;"")&lt;&gt;"",0)+1),
 "")="",
0,
IFERROR(
INDEX(INDIRECT("'数出表_Excel（アレルギー入力）'!"&amp;AM108&amp;MATCH(AR22,'数出表_Excel（アレルギー入力）'!$A:$A,0)-1&amp;":"&amp;AR110&amp;MATCH(AR22,'数出表_Excel（アレルギー入力）'!$A:$A,0)-1&amp;""),
 1,
MATCH(TRUE,INDIRECT("'数出表_Excel（アレルギー入力）'!"&amp;AM108&amp;MATCH(AR22,'数出表_Excel（アレルギー入力）'!$A:$A,0)-1&amp;":"&amp;AR110&amp;MATCH(AR22,'数出表_Excel（アレルギー入力）'!$A:$A,0)-1&amp;"")&lt;&gt;"",0)+1),
 "")),IFERROR(
INDEX(INDIRECT("'数出表_Excel（アレルギー入力）'!"&amp;AM108&amp;MATCH(AR22,'数出表_Excel（アレルギー入力）'!$A:$A,0)-1&amp;":"&amp;AR110&amp;MATCH(AR22,'数出表_Excel（アレルギー入力）'!$A:$A,0)-1&amp;""),
 1,
MATCH(TRUE,INDIRECT("'数出表_Excel（アレルギー入力）'!"&amp;AM108&amp;MATCH(AR22,'数出表_Excel（アレルギー入力）'!$A:$A,0)-1&amp;":"&amp;AR110&amp;MATCH(AR22,'数出表_Excel（アレルギー入力）'!$A:$A,0)-1&amp;"")&lt;&gt;"",0)+1),
 "")),0)</f>
        <v>0</v>
      </c>
      <c r="AU108" s="84" t="str" cm="1">
        <f t="array" aca="1" ref="AU108" ca="1">IF(AV106&lt;&gt;"",SUBSTITUTE(ADDRESS(1,
(COLUMN(INDIRECT("数出表_Excel!"&amp;AU106&amp;1&amp;""))-2 +
MATCH(TRUE, ISNUMBER(--INDIRECT("数出表_Excel!"&amp;AU106&amp; (MATCH(INDIRECT(""&amp;AZ106&amp;ROW()-86&amp;""),数出表_Excel!$A:$A,0)-1) &amp; ":U" &amp; (MATCH(INDIRECT(""&amp;AZ106&amp;ROW()-86&amp;""),数出表_Excel!$A:$A,0)-1))), 0))
*2,4),"1",""),"")</f>
        <v/>
      </c>
      <c r="AV108" s="249" t="str">
        <f ca="1">IF(AV109&lt;&gt;"","園児","")</f>
        <v/>
      </c>
      <c r="AW108" s="250"/>
      <c r="AX108" s="251" t="str">
        <f ca="1">IF(AV109&lt;&gt;"","先生","")</f>
        <v/>
      </c>
      <c r="AY108" s="250"/>
      <c r="AZ108" s="97" cm="1">
        <f t="array" aca="1" ref="AZ108" ca="1">IF(AV106&lt;&gt;"",
IF(IFERROR(
INDEX(INDIRECT("'数出表_Excel（アレルギー入力）'!"&amp;AU108&amp;MATCH(AZ22,'数出表_Excel（アレルギー入力）'!$A:$A,0)-1&amp;":"&amp;AZ110&amp;MATCH(AZ22,'数出表_Excel（アレルギー入力）'!$A:$A,0)-1&amp;""),
 1,
MATCH(TRUE,INDIRECT("'数出表_Excel（アレルギー入力）'!"&amp;AU108&amp;MATCH(AZ22,'数出表_Excel（アレルギー入力）'!$A:$A,0)-1&amp;":"&amp;AZ110&amp;MATCH(AZ22,'数出表_Excel（アレルギー入力）'!$A:$A,0)-1&amp;"")&lt;&gt;"",0)+1),
 "")&lt;&gt;0,
IF(IFERROR(
INDEX(INDIRECT("'数出表_Excel（アレルギー入力）'!"&amp;AU108&amp;MATCH(AZ22,'数出表_Excel（アレルギー入力）'!$A:$A,0)-1&amp;":"&amp;AZ110&amp;MATCH(AZ22,'数出表_Excel（アレルギー入力）'!$A:$A,0)-1&amp;""),
 1,
MATCH(TRUE,INDIRECT("'数出表_Excel（アレルギー入力）'!"&amp;AU108&amp;MATCH(AZ22,'数出表_Excel（アレルギー入力）'!$A:$A,0)-1&amp;":"&amp;AZ110&amp;MATCH(AZ22,'数出表_Excel（アレルギー入力）'!$A:$A,0)-1&amp;"")&lt;&gt;"",0)+1),
 "")="",
0,
IFERROR(
INDEX(INDIRECT("'数出表_Excel（アレルギー入力）'!"&amp;AU108&amp;MATCH(AZ22,'数出表_Excel（アレルギー入力）'!$A:$A,0)-1&amp;":"&amp;AZ110&amp;MATCH(AZ22,'数出表_Excel（アレルギー入力）'!$A:$A,0)-1&amp;""),
 1,
MATCH(TRUE,INDIRECT("'数出表_Excel（アレルギー入力）'!"&amp;AU108&amp;MATCH(AZ22,'数出表_Excel（アレルギー入力）'!$A:$A,0)-1&amp;":"&amp;AZ110&amp;MATCH(AZ22,'数出表_Excel（アレルギー入力）'!$A:$A,0)-1&amp;"")&lt;&gt;"",0)+1),
 "")),IFERROR(
INDEX(INDIRECT("'数出表_Excel（アレルギー入力）'!"&amp;AU108&amp;MATCH(AZ22,'数出表_Excel（アレルギー入力）'!$A:$A,0)-1&amp;":"&amp;AZ110&amp;MATCH(AZ22,'数出表_Excel（アレルギー入力）'!$A:$A,0)-1&amp;""),
 1,
MATCH(TRUE,INDIRECT("'数出表_Excel（アレルギー入力）'!"&amp;AU108&amp;MATCH(AZ22,'数出表_Excel（アレルギー入力）'!$A:$A,0)-1&amp;":"&amp;AZ110&amp;MATCH(AZ22,'数出表_Excel（アレルギー入力）'!$A:$A,0)-1&amp;"")&lt;&gt;"",0)+1),
 "")),0)</f>
        <v>0</v>
      </c>
      <c r="BA108" s="76"/>
      <c r="BB108" s="84" t="str" cm="1">
        <f t="array" aca="1" ref="BB108" ca="1">IF(BC106&lt;&gt;"",SUBSTITUTE(ADDRESS(1,
(COLUMN(INDIRECT("数出表_Excel!"&amp;BB106&amp;1&amp;""))-2 +
MATCH(TRUE, ISNUMBER(--INDIRECT("数出表_Excel!"&amp;BB106&amp; (MATCH(INDIRECT(""&amp;BG106&amp;ROW()-86&amp;""),数出表_Excel!$A:$A,0)-1) &amp; ":U" &amp; (MATCH(INDIRECT(""&amp;BG106&amp;ROW()-86&amp;""),数出表_Excel!$A:$A,0)-1))), 0))
*2,4),"1",""),"")</f>
        <v/>
      </c>
      <c r="BC108" s="249" t="str">
        <f ca="1">IF(BC109&lt;&gt;"","園児","")</f>
        <v/>
      </c>
      <c r="BD108" s="250"/>
      <c r="BE108" s="251" t="str">
        <f ca="1">IF(BC109&lt;&gt;"","先生","")</f>
        <v/>
      </c>
      <c r="BF108" s="250"/>
      <c r="BG108" s="97" cm="1">
        <f t="array" aca="1" ref="BG108" ca="1">IF(BC106&lt;&gt;"",
IF(IFERROR(
INDEX(INDIRECT("'数出表_Excel（アレルギー入力）'!"&amp;BB108&amp;MATCH(BG22,'数出表_Excel（アレルギー入力）'!$A:$A,0)-1&amp;":"&amp;BG110&amp;MATCH(BG22,'数出表_Excel（アレルギー入力）'!$A:$A,0)-1&amp;""),
 1,
MATCH(TRUE,INDIRECT("'数出表_Excel（アレルギー入力）'!"&amp;BB108&amp;MATCH(BG22,'数出表_Excel（アレルギー入力）'!$A:$A,0)-1&amp;":"&amp;BG110&amp;MATCH(BG22,'数出表_Excel（アレルギー入力）'!$A:$A,0)-1&amp;"")&lt;&gt;"",0)+1),
 "")&lt;&gt;0,
IF(IFERROR(
INDEX(INDIRECT("'数出表_Excel（アレルギー入力）'!"&amp;BB108&amp;MATCH(BG22,'数出表_Excel（アレルギー入力）'!$A:$A,0)-1&amp;":"&amp;BG110&amp;MATCH(BG22,'数出表_Excel（アレルギー入力）'!$A:$A,0)-1&amp;""),
 1,
MATCH(TRUE,INDIRECT("'数出表_Excel（アレルギー入力）'!"&amp;BB108&amp;MATCH(BG22,'数出表_Excel（アレルギー入力）'!$A:$A,0)-1&amp;":"&amp;BG110&amp;MATCH(BG22,'数出表_Excel（アレルギー入力）'!$A:$A,0)-1&amp;"")&lt;&gt;"",0)+1),
 "")="",
0,
IFERROR(
INDEX(INDIRECT("'数出表_Excel（アレルギー入力）'!"&amp;BB108&amp;MATCH(BG22,'数出表_Excel（アレルギー入力）'!$A:$A,0)-1&amp;":"&amp;BG110&amp;MATCH(BG22,'数出表_Excel（アレルギー入力）'!$A:$A,0)-1&amp;""),
 1,
MATCH(TRUE,INDIRECT("'数出表_Excel（アレルギー入力）'!"&amp;BB108&amp;MATCH(BG22,'数出表_Excel（アレルギー入力）'!$A:$A,0)-1&amp;":"&amp;BG110&amp;MATCH(BG22,'数出表_Excel（アレルギー入力）'!$A:$A,0)-1&amp;"")&lt;&gt;"",0)+1),
 "")),IFERROR(
INDEX(INDIRECT("'数出表_Excel（アレルギー入力）'!"&amp;BB108&amp;MATCH(BG22,'数出表_Excel（アレルギー入力）'!$A:$A,0)-1&amp;":"&amp;BG110&amp;MATCH(BG22,'数出表_Excel（アレルギー入力）'!$A:$A,0)-1&amp;""),
 1,
MATCH(TRUE,INDIRECT("'数出表_Excel（アレルギー入力）'!"&amp;BB108&amp;MATCH(BG22,'数出表_Excel（アレルギー入力）'!$A:$A,0)-1&amp;":"&amp;BG110&amp;MATCH(BG22,'数出表_Excel（アレルギー入力）'!$A:$A,0)-1&amp;"")&lt;&gt;"",0)+1),
 "")),0)</f>
        <v>0</v>
      </c>
      <c r="BJ108" s="84" t="str" cm="1">
        <f t="array" aca="1" ref="BJ108" ca="1">IF(BK106&lt;&gt;"",SUBSTITUTE(ADDRESS(1,
(COLUMN(INDIRECT("数出表_Excel!"&amp;BJ106&amp;1&amp;""))-2 +
MATCH(TRUE, ISNUMBER(--INDIRECT("数出表_Excel!"&amp;BJ106&amp; (MATCH(INDIRECT(""&amp;BO106&amp;ROW()-86&amp;""),数出表_Excel!$A:$A,0)-1) &amp; ":U" &amp; (MATCH(INDIRECT(""&amp;BO106&amp;ROW()-86&amp;""),数出表_Excel!$A:$A,0)-1))), 0))
*2,4),"1",""),"")</f>
        <v/>
      </c>
      <c r="BK108" s="249" t="str">
        <f ca="1">IF(BK109&lt;&gt;"","園児","")</f>
        <v/>
      </c>
      <c r="BL108" s="250"/>
      <c r="BM108" s="251" t="str">
        <f ca="1">IF(BK109&lt;&gt;"","先生","")</f>
        <v/>
      </c>
      <c r="BN108" s="250"/>
      <c r="BO108" s="97" cm="1">
        <f t="array" aca="1" ref="BO108" ca="1">IF(BK106&lt;&gt;"",
IF(IFERROR(
INDEX(INDIRECT("'数出表_Excel（アレルギー入力）'!"&amp;BJ108&amp;MATCH(BO22,'数出表_Excel（アレルギー入力）'!$A:$A,0)-1&amp;":"&amp;BO110&amp;MATCH(BO22,'数出表_Excel（アレルギー入力）'!$A:$A,0)-1&amp;""),
 1,
MATCH(TRUE,INDIRECT("'数出表_Excel（アレルギー入力）'!"&amp;BJ108&amp;MATCH(BO22,'数出表_Excel（アレルギー入力）'!$A:$A,0)-1&amp;":"&amp;BO110&amp;MATCH(BO22,'数出表_Excel（アレルギー入力）'!$A:$A,0)-1&amp;"")&lt;&gt;"",0)+1),
 "")&lt;&gt;0,
IF(IFERROR(
INDEX(INDIRECT("'数出表_Excel（アレルギー入力）'!"&amp;BJ108&amp;MATCH(BO22,'数出表_Excel（アレルギー入力）'!$A:$A,0)-1&amp;":"&amp;BO110&amp;MATCH(BO22,'数出表_Excel（アレルギー入力）'!$A:$A,0)-1&amp;""),
 1,
MATCH(TRUE,INDIRECT("'数出表_Excel（アレルギー入力）'!"&amp;BJ108&amp;MATCH(BO22,'数出表_Excel（アレルギー入力）'!$A:$A,0)-1&amp;":"&amp;BO110&amp;MATCH(BO22,'数出表_Excel（アレルギー入力）'!$A:$A,0)-1&amp;"")&lt;&gt;"",0)+1),
 "")="",
0,
IFERROR(
INDEX(INDIRECT("'数出表_Excel（アレルギー入力）'!"&amp;BJ108&amp;MATCH(BO22,'数出表_Excel（アレルギー入力）'!$A:$A,0)-1&amp;":"&amp;BO110&amp;MATCH(BO22,'数出表_Excel（アレルギー入力）'!$A:$A,0)-1&amp;""),
 1,
MATCH(TRUE,INDIRECT("'数出表_Excel（アレルギー入力）'!"&amp;BJ108&amp;MATCH(BO22,'数出表_Excel（アレルギー入力）'!$A:$A,0)-1&amp;":"&amp;BO110&amp;MATCH(BO22,'数出表_Excel（アレルギー入力）'!$A:$A,0)-1&amp;"")&lt;&gt;"",0)+1),
 "")),IFERROR(
INDEX(INDIRECT("'数出表_Excel（アレルギー入力）'!"&amp;BJ108&amp;MATCH(BO22,'数出表_Excel（アレルギー入力）'!$A:$A,0)-1&amp;":"&amp;BO110&amp;MATCH(BO22,'数出表_Excel（アレルギー入力）'!$A:$A,0)-1&amp;""),
 1,
MATCH(TRUE,INDIRECT("'数出表_Excel（アレルギー入力）'!"&amp;BJ108&amp;MATCH(BO22,'数出表_Excel（アレルギー入力）'!$A:$A,0)-1&amp;":"&amp;BO110&amp;MATCH(BO22,'数出表_Excel（アレルギー入力）'!$A:$A,0)-1&amp;"")&lt;&gt;"",0)+1),
 "")),0)</f>
        <v>0</v>
      </c>
      <c r="BP108" s="76"/>
      <c r="BQ108" s="84" t="str" cm="1">
        <f t="array" aca="1" ref="BQ108" ca="1">IF(BR106&lt;&gt;"",SUBSTITUTE(ADDRESS(1,
(COLUMN(INDIRECT("数出表_Excel!"&amp;BQ106&amp;1&amp;""))-2 +
MATCH(TRUE, ISNUMBER(--INDIRECT("数出表_Excel!"&amp;BQ106&amp; (MATCH(INDIRECT(""&amp;BV106&amp;ROW()-86&amp;""),数出表_Excel!$A:$A,0)-1) &amp; ":U" &amp; (MATCH(INDIRECT(""&amp;BV106&amp;ROW()-86&amp;""),数出表_Excel!$A:$A,0)-1))), 0))
*2,4),"1",""),"")</f>
        <v/>
      </c>
      <c r="BR108" s="249" t="str">
        <f ca="1">IF(BR109&lt;&gt;"","園児","")</f>
        <v/>
      </c>
      <c r="BS108" s="250"/>
      <c r="BT108" s="251" t="str">
        <f ca="1">IF(BR109&lt;&gt;"","先生","")</f>
        <v/>
      </c>
      <c r="BU108" s="250"/>
      <c r="BV108" s="97" cm="1">
        <f t="array" aca="1" ref="BV108" ca="1">IF(BR106&lt;&gt;"",
IF(IFERROR(
INDEX(INDIRECT("'数出表_Excel（アレルギー入力）'!"&amp;BQ108&amp;MATCH(BV22,'数出表_Excel（アレルギー入力）'!$A:$A,0)-1&amp;":"&amp;BV110&amp;MATCH(BV22,'数出表_Excel（アレルギー入力）'!$A:$A,0)-1&amp;""),
 1,
MATCH(TRUE,INDIRECT("'数出表_Excel（アレルギー入力）'!"&amp;BQ108&amp;MATCH(BV22,'数出表_Excel（アレルギー入力）'!$A:$A,0)-1&amp;":"&amp;BV110&amp;MATCH(BV22,'数出表_Excel（アレルギー入力）'!$A:$A,0)-1&amp;"")&lt;&gt;"",0)+1),
 "")&lt;&gt;0,
IF(IFERROR(
INDEX(INDIRECT("'数出表_Excel（アレルギー入力）'!"&amp;BQ108&amp;MATCH(BV22,'数出表_Excel（アレルギー入力）'!$A:$A,0)-1&amp;":"&amp;BV110&amp;MATCH(BV22,'数出表_Excel（アレルギー入力）'!$A:$A,0)-1&amp;""),
 1,
MATCH(TRUE,INDIRECT("'数出表_Excel（アレルギー入力）'!"&amp;BQ108&amp;MATCH(BV22,'数出表_Excel（アレルギー入力）'!$A:$A,0)-1&amp;":"&amp;BV110&amp;MATCH(BV22,'数出表_Excel（アレルギー入力）'!$A:$A,0)-1&amp;"")&lt;&gt;"",0)+1),
 "")="",
0,
IFERROR(
INDEX(INDIRECT("'数出表_Excel（アレルギー入力）'!"&amp;BQ108&amp;MATCH(BV22,'数出表_Excel（アレルギー入力）'!$A:$A,0)-1&amp;":"&amp;BV110&amp;MATCH(BV22,'数出表_Excel（アレルギー入力）'!$A:$A,0)-1&amp;""),
 1,
MATCH(TRUE,INDIRECT("'数出表_Excel（アレルギー入力）'!"&amp;BQ108&amp;MATCH(BV22,'数出表_Excel（アレルギー入力）'!$A:$A,0)-1&amp;":"&amp;BV110&amp;MATCH(BV22,'数出表_Excel（アレルギー入力）'!$A:$A,0)-1&amp;"")&lt;&gt;"",0)+1),
 "")),IFERROR(
INDEX(INDIRECT("'数出表_Excel（アレルギー入力）'!"&amp;BQ108&amp;MATCH(BV22,'数出表_Excel（アレルギー入力）'!$A:$A,0)-1&amp;":"&amp;BV110&amp;MATCH(BV22,'数出表_Excel（アレルギー入力）'!$A:$A,0)-1&amp;""),
 1,
MATCH(TRUE,INDIRECT("'数出表_Excel（アレルギー入力）'!"&amp;BQ108&amp;MATCH(BV22,'数出表_Excel（アレルギー入力）'!$A:$A,0)-1&amp;":"&amp;BV110&amp;MATCH(BV22,'数出表_Excel（アレルギー入力）'!$A:$A,0)-1&amp;"")&lt;&gt;"",0)+1),
 "")),0)</f>
        <v>0</v>
      </c>
      <c r="BY108" s="84" t="str" cm="1">
        <f t="array" aca="1" ref="BY108" ca="1">IF(BZ106&lt;&gt;"",SUBSTITUTE(ADDRESS(1,
(COLUMN(INDIRECT("数出表_Excel!"&amp;BY106&amp;1&amp;""))-2 +
MATCH(TRUE, ISNUMBER(--INDIRECT("数出表_Excel!"&amp;BY106&amp; (MATCH(INDIRECT(""&amp;CD106&amp;ROW()-86&amp;""),数出表_Excel!$A:$A,0)-1) &amp; ":U" &amp; (MATCH(INDIRECT(""&amp;CD106&amp;ROW()-86&amp;""),数出表_Excel!$A:$A,0)-1))), 0))
*2,4),"1",""),"")</f>
        <v/>
      </c>
      <c r="BZ108" s="249" t="str">
        <f ca="1">IF(BZ109&lt;&gt;"","園児","")</f>
        <v/>
      </c>
      <c r="CA108" s="250"/>
      <c r="CB108" s="251" t="str">
        <f ca="1">IF(BZ109&lt;&gt;"","先生","")</f>
        <v/>
      </c>
      <c r="CC108" s="250"/>
      <c r="CD108" s="97" cm="1">
        <f t="array" aca="1" ref="CD108" ca="1">IF(BZ106&lt;&gt;"",
IF(IFERROR(
INDEX(INDIRECT("'数出表_Excel（アレルギー入力）'!"&amp;BY108&amp;MATCH(CD22,'数出表_Excel（アレルギー入力）'!$A:$A,0)-1&amp;":"&amp;CD110&amp;MATCH(CD22,'数出表_Excel（アレルギー入力）'!$A:$A,0)-1&amp;""),
 1,
MATCH(TRUE,INDIRECT("'数出表_Excel（アレルギー入力）'!"&amp;BY108&amp;MATCH(CD22,'数出表_Excel（アレルギー入力）'!$A:$A,0)-1&amp;":"&amp;CD110&amp;MATCH(CD22,'数出表_Excel（アレルギー入力）'!$A:$A,0)-1&amp;"")&lt;&gt;"",0)+1),
 "")&lt;&gt;0,
IF(IFERROR(
INDEX(INDIRECT("'数出表_Excel（アレルギー入力）'!"&amp;BY108&amp;MATCH(CD22,'数出表_Excel（アレルギー入力）'!$A:$A,0)-1&amp;":"&amp;CD110&amp;MATCH(CD22,'数出表_Excel（アレルギー入力）'!$A:$A,0)-1&amp;""),
 1,
MATCH(TRUE,INDIRECT("'数出表_Excel（アレルギー入力）'!"&amp;BY108&amp;MATCH(CD22,'数出表_Excel（アレルギー入力）'!$A:$A,0)-1&amp;":"&amp;CD110&amp;MATCH(CD22,'数出表_Excel（アレルギー入力）'!$A:$A,0)-1&amp;"")&lt;&gt;"",0)+1),
 "")="",
0,
IFERROR(
INDEX(INDIRECT("'数出表_Excel（アレルギー入力）'!"&amp;BY108&amp;MATCH(CD22,'数出表_Excel（アレルギー入力）'!$A:$A,0)-1&amp;":"&amp;CD110&amp;MATCH(CD22,'数出表_Excel（アレルギー入力）'!$A:$A,0)-1&amp;""),
 1,
MATCH(TRUE,INDIRECT("'数出表_Excel（アレルギー入力）'!"&amp;BY108&amp;MATCH(CD22,'数出表_Excel（アレルギー入力）'!$A:$A,0)-1&amp;":"&amp;CD110&amp;MATCH(CD22,'数出表_Excel（アレルギー入力）'!$A:$A,0)-1&amp;"")&lt;&gt;"",0)+1),
 "")),IFERROR(
INDEX(INDIRECT("'数出表_Excel（アレルギー入力）'!"&amp;BY108&amp;MATCH(CD22,'数出表_Excel（アレルギー入力）'!$A:$A,0)-1&amp;":"&amp;CD110&amp;MATCH(CD22,'数出表_Excel（アレルギー入力）'!$A:$A,0)-1&amp;""),
 1,
MATCH(TRUE,INDIRECT("'数出表_Excel（アレルギー入力）'!"&amp;BY108&amp;MATCH(CD22,'数出表_Excel（アレルギー入力）'!$A:$A,0)-1&amp;":"&amp;CD110&amp;MATCH(CD22,'数出表_Excel（アレルギー入力）'!$A:$A,0)-1&amp;"")&lt;&gt;"",0)+1),
 "")),0)</f>
        <v>0</v>
      </c>
      <c r="CE108" s="76"/>
      <c r="CF108" s="84" t="str" cm="1">
        <f t="array" aca="1" ref="CF108" ca="1">IF(CG106&lt;&gt;"",SUBSTITUTE(ADDRESS(1,
(COLUMN(INDIRECT("数出表_Excel!"&amp;CF106&amp;1&amp;""))-2 +
MATCH(TRUE, ISNUMBER(--INDIRECT("数出表_Excel!"&amp;CF106&amp; (MATCH(INDIRECT(""&amp;CK106&amp;ROW()-86&amp;""),数出表_Excel!$A:$A,0)-1) &amp; ":U" &amp; (MATCH(INDIRECT(""&amp;CK106&amp;ROW()-86&amp;""),数出表_Excel!$A:$A,0)-1))), 0))
*2,4),"1",""),"")</f>
        <v/>
      </c>
      <c r="CG108" s="249" t="str">
        <f ca="1">IF(CG109&lt;&gt;"","園児","")</f>
        <v/>
      </c>
      <c r="CH108" s="250"/>
      <c r="CI108" s="251" t="str">
        <f ca="1">IF(CG109&lt;&gt;"","先生","")</f>
        <v/>
      </c>
      <c r="CJ108" s="250"/>
      <c r="CK108" s="97" cm="1">
        <f t="array" aca="1" ref="CK108" ca="1">IF(CG106&lt;&gt;"",
IF(IFERROR(
INDEX(INDIRECT("'数出表_Excel（アレルギー入力）'!"&amp;CF108&amp;MATCH(CK22,'数出表_Excel（アレルギー入力）'!$A:$A,0)-1&amp;":"&amp;CK110&amp;MATCH(CK22,'数出表_Excel（アレルギー入力）'!$A:$A,0)-1&amp;""),
 1,
MATCH(TRUE,INDIRECT("'数出表_Excel（アレルギー入力）'!"&amp;CF108&amp;MATCH(CK22,'数出表_Excel（アレルギー入力）'!$A:$A,0)-1&amp;":"&amp;CK110&amp;MATCH(CK22,'数出表_Excel（アレルギー入力）'!$A:$A,0)-1&amp;"")&lt;&gt;"",0)+1),
 "")&lt;&gt;0,
IF(IFERROR(
INDEX(INDIRECT("'数出表_Excel（アレルギー入力）'!"&amp;CF108&amp;MATCH(CK22,'数出表_Excel（アレルギー入力）'!$A:$A,0)-1&amp;":"&amp;CK110&amp;MATCH(CK22,'数出表_Excel（アレルギー入力）'!$A:$A,0)-1&amp;""),
 1,
MATCH(TRUE,INDIRECT("'数出表_Excel（アレルギー入力）'!"&amp;CF108&amp;MATCH(CK22,'数出表_Excel（アレルギー入力）'!$A:$A,0)-1&amp;":"&amp;CK110&amp;MATCH(CK22,'数出表_Excel（アレルギー入力）'!$A:$A,0)-1&amp;"")&lt;&gt;"",0)+1),
 "")="",
0,
IFERROR(
INDEX(INDIRECT("'数出表_Excel（アレルギー入力）'!"&amp;CF108&amp;MATCH(CK22,'数出表_Excel（アレルギー入力）'!$A:$A,0)-1&amp;":"&amp;CK110&amp;MATCH(CK22,'数出表_Excel（アレルギー入力）'!$A:$A,0)-1&amp;""),
 1,
MATCH(TRUE,INDIRECT("'数出表_Excel（アレルギー入力）'!"&amp;CF108&amp;MATCH(CK22,'数出表_Excel（アレルギー入力）'!$A:$A,0)-1&amp;":"&amp;CK110&amp;MATCH(CK22,'数出表_Excel（アレルギー入力）'!$A:$A,0)-1&amp;"")&lt;&gt;"",0)+1),
 "")),IFERROR(
INDEX(INDIRECT("'数出表_Excel（アレルギー入力）'!"&amp;CF108&amp;MATCH(CK22,'数出表_Excel（アレルギー入力）'!$A:$A,0)-1&amp;":"&amp;CK110&amp;MATCH(CK22,'数出表_Excel（アレルギー入力）'!$A:$A,0)-1&amp;""),
 1,
MATCH(TRUE,INDIRECT("'数出表_Excel（アレルギー入力）'!"&amp;CF108&amp;MATCH(CK22,'数出表_Excel（アレルギー入力）'!$A:$A,0)-1&amp;":"&amp;CK110&amp;MATCH(CK22,'数出表_Excel（アレルギー入力）'!$A:$A,0)-1&amp;"")&lt;&gt;"",0)+1),
 "")),0)</f>
        <v>0</v>
      </c>
      <c r="CN108" s="84" t="str" cm="1">
        <f t="array" aca="1" ref="CN108" ca="1">IF(CO106&lt;&gt;"",SUBSTITUTE(ADDRESS(1,
(COLUMN(INDIRECT("数出表_Excel!"&amp;CN106&amp;1&amp;""))-2 +
MATCH(TRUE, ISNUMBER(--INDIRECT("数出表_Excel!"&amp;CN106&amp; (MATCH(INDIRECT(""&amp;CS106&amp;ROW()-86&amp;""),数出表_Excel!$A:$A,0)-1) &amp; ":U" &amp; (MATCH(INDIRECT(""&amp;CS106&amp;ROW()-86&amp;""),数出表_Excel!$A:$A,0)-1))), 0))
*2,4),"1",""),"")</f>
        <v/>
      </c>
      <c r="CO108" s="249" t="str">
        <f ca="1">IF(CO109&lt;&gt;"","園児","")</f>
        <v/>
      </c>
      <c r="CP108" s="250"/>
      <c r="CQ108" s="251" t="str">
        <f ca="1">IF(CO109&lt;&gt;"","先生","")</f>
        <v/>
      </c>
      <c r="CR108" s="250"/>
      <c r="CS108" s="97" cm="1">
        <f t="array" aca="1" ref="CS108" ca="1">IF(CO106&lt;&gt;"",
IF(IFERROR(
INDEX(INDIRECT("'数出表_Excel（アレルギー入力）'!"&amp;CN108&amp;MATCH(CS22,'数出表_Excel（アレルギー入力）'!$A:$A,0)-1&amp;":"&amp;CS110&amp;MATCH(CS22,'数出表_Excel（アレルギー入力）'!$A:$A,0)-1&amp;""),
 1,
MATCH(TRUE,INDIRECT("'数出表_Excel（アレルギー入力）'!"&amp;CN108&amp;MATCH(CS22,'数出表_Excel（アレルギー入力）'!$A:$A,0)-1&amp;":"&amp;CS110&amp;MATCH(CS22,'数出表_Excel（アレルギー入力）'!$A:$A,0)-1&amp;"")&lt;&gt;"",0)+1),
 "")&lt;&gt;0,
IF(IFERROR(
INDEX(INDIRECT("'数出表_Excel（アレルギー入力）'!"&amp;CN108&amp;MATCH(CS22,'数出表_Excel（アレルギー入力）'!$A:$A,0)-1&amp;":"&amp;CS110&amp;MATCH(CS22,'数出表_Excel（アレルギー入力）'!$A:$A,0)-1&amp;""),
 1,
MATCH(TRUE,INDIRECT("'数出表_Excel（アレルギー入力）'!"&amp;CN108&amp;MATCH(CS22,'数出表_Excel（アレルギー入力）'!$A:$A,0)-1&amp;":"&amp;CS110&amp;MATCH(CS22,'数出表_Excel（アレルギー入力）'!$A:$A,0)-1&amp;"")&lt;&gt;"",0)+1),
 "")="",
0,
IFERROR(
INDEX(INDIRECT("'数出表_Excel（アレルギー入力）'!"&amp;CN108&amp;MATCH(CS22,'数出表_Excel（アレルギー入力）'!$A:$A,0)-1&amp;":"&amp;CS110&amp;MATCH(CS22,'数出表_Excel（アレルギー入力）'!$A:$A,0)-1&amp;""),
 1,
MATCH(TRUE,INDIRECT("'数出表_Excel（アレルギー入力）'!"&amp;CN108&amp;MATCH(CS22,'数出表_Excel（アレルギー入力）'!$A:$A,0)-1&amp;":"&amp;CS110&amp;MATCH(CS22,'数出表_Excel（アレルギー入力）'!$A:$A,0)-1&amp;"")&lt;&gt;"",0)+1),
 "")),IFERROR(
INDEX(INDIRECT("'数出表_Excel（アレルギー入力）'!"&amp;CN108&amp;MATCH(CS22,'数出表_Excel（アレルギー入力）'!$A:$A,0)-1&amp;":"&amp;CS110&amp;MATCH(CS22,'数出表_Excel（アレルギー入力）'!$A:$A,0)-1&amp;""),
 1,
MATCH(TRUE,INDIRECT("'数出表_Excel（アレルギー入力）'!"&amp;CN108&amp;MATCH(CS22,'数出表_Excel（アレルギー入力）'!$A:$A,0)-1&amp;":"&amp;CS110&amp;MATCH(CS22,'数出表_Excel（アレルギー入力）'!$A:$A,0)-1&amp;"")&lt;&gt;"",0)+1),
 "")),0)</f>
        <v>0</v>
      </c>
      <c r="CT108" s="76"/>
      <c r="CU108" s="84" t="str" cm="1">
        <f t="array" aca="1" ref="CU108" ca="1">IF(CV106&lt;&gt;"",SUBSTITUTE(ADDRESS(1,
(COLUMN(INDIRECT("数出表_Excel!"&amp;CU106&amp;1&amp;""))-2 +
MATCH(TRUE, ISNUMBER(--INDIRECT("数出表_Excel!"&amp;CU106&amp; (MATCH(INDIRECT(""&amp;CZ106&amp;ROW()-86&amp;""),数出表_Excel!$A:$A,0)-1) &amp; ":U" &amp; (MATCH(INDIRECT(""&amp;CZ106&amp;ROW()-86&amp;""),数出表_Excel!$A:$A,0)-1))), 0))
*2,4),"1",""),"")</f>
        <v/>
      </c>
      <c r="CV108" s="249" t="str">
        <f ca="1">IF(CV109&lt;&gt;"","園児","")</f>
        <v/>
      </c>
      <c r="CW108" s="250"/>
      <c r="CX108" s="251" t="str">
        <f ca="1">IF(CV109&lt;&gt;"","先生","")</f>
        <v/>
      </c>
      <c r="CY108" s="250"/>
      <c r="CZ108" s="97" cm="1">
        <f t="array" aca="1" ref="CZ108" ca="1">IF(CV106&lt;&gt;"",
IF(IFERROR(
INDEX(INDIRECT("'数出表_Excel（アレルギー入力）'!"&amp;CU108&amp;MATCH(CZ22,'数出表_Excel（アレルギー入力）'!$A:$A,0)-1&amp;":"&amp;CZ110&amp;MATCH(CZ22,'数出表_Excel（アレルギー入力）'!$A:$A,0)-1&amp;""),
 1,
MATCH(TRUE,INDIRECT("'数出表_Excel（アレルギー入力）'!"&amp;CU108&amp;MATCH(CZ22,'数出表_Excel（アレルギー入力）'!$A:$A,0)-1&amp;":"&amp;CZ110&amp;MATCH(CZ22,'数出表_Excel（アレルギー入力）'!$A:$A,0)-1&amp;"")&lt;&gt;"",0)+1),
 "")&lt;&gt;0,
IF(IFERROR(
INDEX(INDIRECT("'数出表_Excel（アレルギー入力）'!"&amp;CU108&amp;MATCH(CZ22,'数出表_Excel（アレルギー入力）'!$A:$A,0)-1&amp;":"&amp;CZ110&amp;MATCH(CZ22,'数出表_Excel（アレルギー入力）'!$A:$A,0)-1&amp;""),
 1,
MATCH(TRUE,INDIRECT("'数出表_Excel（アレルギー入力）'!"&amp;CU108&amp;MATCH(CZ22,'数出表_Excel（アレルギー入力）'!$A:$A,0)-1&amp;":"&amp;CZ110&amp;MATCH(CZ22,'数出表_Excel（アレルギー入力）'!$A:$A,0)-1&amp;"")&lt;&gt;"",0)+1),
 "")="",
0,
IFERROR(
INDEX(INDIRECT("'数出表_Excel（アレルギー入力）'!"&amp;CU108&amp;MATCH(CZ22,'数出表_Excel（アレルギー入力）'!$A:$A,0)-1&amp;":"&amp;CZ110&amp;MATCH(CZ22,'数出表_Excel（アレルギー入力）'!$A:$A,0)-1&amp;""),
 1,
MATCH(TRUE,INDIRECT("'数出表_Excel（アレルギー入力）'!"&amp;CU108&amp;MATCH(CZ22,'数出表_Excel（アレルギー入力）'!$A:$A,0)-1&amp;":"&amp;CZ110&amp;MATCH(CZ22,'数出表_Excel（アレルギー入力）'!$A:$A,0)-1&amp;"")&lt;&gt;"",0)+1),
 "")),IFERROR(
INDEX(INDIRECT("'数出表_Excel（アレルギー入力）'!"&amp;CU108&amp;MATCH(CZ22,'数出表_Excel（アレルギー入力）'!$A:$A,0)-1&amp;":"&amp;CZ110&amp;MATCH(CZ22,'数出表_Excel（アレルギー入力）'!$A:$A,0)-1&amp;""),
 1,
MATCH(TRUE,INDIRECT("'数出表_Excel（アレルギー入力）'!"&amp;CU108&amp;MATCH(CZ22,'数出表_Excel（アレルギー入力）'!$A:$A,0)-1&amp;":"&amp;CZ110&amp;MATCH(CZ22,'数出表_Excel（アレルギー入力）'!$A:$A,0)-1&amp;"")&lt;&gt;"",0)+1),
 "")),0)</f>
        <v>0</v>
      </c>
      <c r="DC108" s="84" t="str" cm="1">
        <f t="array" aca="1" ref="DC108" ca="1">IF(DD106&lt;&gt;"",SUBSTITUTE(ADDRESS(1,
(COLUMN(INDIRECT("数出表_Excel!"&amp;DC106&amp;1&amp;""))-2 +
MATCH(TRUE, ISNUMBER(--INDIRECT("数出表_Excel!"&amp;DC106&amp; (MATCH(INDIRECT(""&amp;DH106&amp;ROW()-86&amp;""),数出表_Excel!$A:$A,0)-1) &amp; ":U" &amp; (MATCH(INDIRECT(""&amp;DH106&amp;ROW()-86&amp;""),数出表_Excel!$A:$A,0)-1))), 0))
*2,4),"1",""),"")</f>
        <v/>
      </c>
      <c r="DD108" s="249" t="str">
        <f ca="1">IF(DD109&lt;&gt;"","園児","")</f>
        <v/>
      </c>
      <c r="DE108" s="250"/>
      <c r="DF108" s="251" t="str">
        <f ca="1">IF(DD109&lt;&gt;"","先生","")</f>
        <v/>
      </c>
      <c r="DG108" s="250"/>
      <c r="DH108" s="97" cm="1">
        <f t="array" aca="1" ref="DH108" ca="1">IF(DD106&lt;&gt;"",
IF(IFERROR(
INDEX(INDIRECT("'数出表_Excel（アレルギー入力）'!"&amp;DC108&amp;MATCH(DH22,'数出表_Excel（アレルギー入力）'!$A:$A,0)-1&amp;":"&amp;DH110&amp;MATCH(DH22,'数出表_Excel（アレルギー入力）'!$A:$A,0)-1&amp;""),
 1,
MATCH(TRUE,INDIRECT("'数出表_Excel（アレルギー入力）'!"&amp;DC108&amp;MATCH(DH22,'数出表_Excel（アレルギー入力）'!$A:$A,0)-1&amp;":"&amp;DH110&amp;MATCH(DH22,'数出表_Excel（アレルギー入力）'!$A:$A,0)-1&amp;"")&lt;&gt;"",0)+1),
 "")&lt;&gt;0,
IF(IFERROR(
INDEX(INDIRECT("'数出表_Excel（アレルギー入力）'!"&amp;DC108&amp;MATCH(DH22,'数出表_Excel（アレルギー入力）'!$A:$A,0)-1&amp;":"&amp;DH110&amp;MATCH(DH22,'数出表_Excel（アレルギー入力）'!$A:$A,0)-1&amp;""),
 1,
MATCH(TRUE,INDIRECT("'数出表_Excel（アレルギー入力）'!"&amp;DC108&amp;MATCH(DH22,'数出表_Excel（アレルギー入力）'!$A:$A,0)-1&amp;":"&amp;DH110&amp;MATCH(DH22,'数出表_Excel（アレルギー入力）'!$A:$A,0)-1&amp;"")&lt;&gt;"",0)+1),
 "")="",
0,
IFERROR(
INDEX(INDIRECT("'数出表_Excel（アレルギー入力）'!"&amp;DC108&amp;MATCH(DH22,'数出表_Excel（アレルギー入力）'!$A:$A,0)-1&amp;":"&amp;DH110&amp;MATCH(DH22,'数出表_Excel（アレルギー入力）'!$A:$A,0)-1&amp;""),
 1,
MATCH(TRUE,INDIRECT("'数出表_Excel（アレルギー入力）'!"&amp;DC108&amp;MATCH(DH22,'数出表_Excel（アレルギー入力）'!$A:$A,0)-1&amp;":"&amp;DH110&amp;MATCH(DH22,'数出表_Excel（アレルギー入力）'!$A:$A,0)-1&amp;"")&lt;&gt;"",0)+1),
 "")),IFERROR(
INDEX(INDIRECT("'数出表_Excel（アレルギー入力）'!"&amp;DC108&amp;MATCH(DH22,'数出表_Excel（アレルギー入力）'!$A:$A,0)-1&amp;":"&amp;DH110&amp;MATCH(DH22,'数出表_Excel（アレルギー入力）'!$A:$A,0)-1&amp;""),
 1,
MATCH(TRUE,INDIRECT("'数出表_Excel（アレルギー入力）'!"&amp;DC108&amp;MATCH(DH22,'数出表_Excel（アレルギー入力）'!$A:$A,0)-1&amp;":"&amp;DH110&amp;MATCH(DH22,'数出表_Excel（アレルギー入力）'!$A:$A,0)-1&amp;"")&lt;&gt;"",0)+1),
 "")),0)</f>
        <v>0</v>
      </c>
      <c r="DI108" s="76"/>
      <c r="DJ108" s="84" t="str" cm="1">
        <f t="array" aca="1" ref="DJ108" ca="1">IF(DK106&lt;&gt;"",SUBSTITUTE(ADDRESS(1,
(COLUMN(INDIRECT("数出表_Excel!"&amp;DJ106&amp;1&amp;""))-2 +
MATCH(TRUE, ISNUMBER(--INDIRECT("数出表_Excel!"&amp;DJ106&amp; (MATCH(INDIRECT(""&amp;DO106&amp;ROW()-86&amp;""),数出表_Excel!$A:$A,0)-1) &amp; ":U" &amp; (MATCH(INDIRECT(""&amp;DO106&amp;ROW()-86&amp;""),数出表_Excel!$A:$A,0)-1))), 0))
*2,4),"1",""),"")</f>
        <v/>
      </c>
      <c r="DK108" s="249" t="str">
        <f ca="1">IF(DK109&lt;&gt;"","園児","")</f>
        <v/>
      </c>
      <c r="DL108" s="250"/>
      <c r="DM108" s="251" t="str">
        <f ca="1">IF(DK109&lt;&gt;"","先生","")</f>
        <v/>
      </c>
      <c r="DN108" s="250"/>
      <c r="DO108" s="97" cm="1">
        <f t="array" aca="1" ref="DO108" ca="1">IF(DK106&lt;&gt;"",
IF(IFERROR(
INDEX(INDIRECT("'数出表_Excel（アレルギー入力）'!"&amp;DJ108&amp;MATCH(DO22,'数出表_Excel（アレルギー入力）'!$A:$A,0)-1&amp;":"&amp;DO110&amp;MATCH(DO22,'数出表_Excel（アレルギー入力）'!$A:$A,0)-1&amp;""),
 1,
MATCH(TRUE,INDIRECT("'数出表_Excel（アレルギー入力）'!"&amp;DJ108&amp;MATCH(DO22,'数出表_Excel（アレルギー入力）'!$A:$A,0)-1&amp;":"&amp;DO110&amp;MATCH(DO22,'数出表_Excel（アレルギー入力）'!$A:$A,0)-1&amp;"")&lt;&gt;"",0)+1),
 "")&lt;&gt;0,
IF(IFERROR(
INDEX(INDIRECT("'数出表_Excel（アレルギー入力）'!"&amp;DJ108&amp;MATCH(DO22,'数出表_Excel（アレルギー入力）'!$A:$A,0)-1&amp;":"&amp;DO110&amp;MATCH(DO22,'数出表_Excel（アレルギー入力）'!$A:$A,0)-1&amp;""),
 1,
MATCH(TRUE,INDIRECT("'数出表_Excel（アレルギー入力）'!"&amp;DJ108&amp;MATCH(DO22,'数出表_Excel（アレルギー入力）'!$A:$A,0)-1&amp;":"&amp;DO110&amp;MATCH(DO22,'数出表_Excel（アレルギー入力）'!$A:$A,0)-1&amp;"")&lt;&gt;"",0)+1),
 "")="",
0,
IFERROR(
INDEX(INDIRECT("'数出表_Excel（アレルギー入力）'!"&amp;DJ108&amp;MATCH(DO22,'数出表_Excel（アレルギー入力）'!$A:$A,0)-1&amp;":"&amp;DO110&amp;MATCH(DO22,'数出表_Excel（アレルギー入力）'!$A:$A,0)-1&amp;""),
 1,
MATCH(TRUE,INDIRECT("'数出表_Excel（アレルギー入力）'!"&amp;DJ108&amp;MATCH(DO22,'数出表_Excel（アレルギー入力）'!$A:$A,0)-1&amp;":"&amp;DO110&amp;MATCH(DO22,'数出表_Excel（アレルギー入力）'!$A:$A,0)-1&amp;"")&lt;&gt;"",0)+1),
 "")),IFERROR(
INDEX(INDIRECT("'数出表_Excel（アレルギー入力）'!"&amp;DJ108&amp;MATCH(DO22,'数出表_Excel（アレルギー入力）'!$A:$A,0)-1&amp;":"&amp;DO110&amp;MATCH(DO22,'数出表_Excel（アレルギー入力）'!$A:$A,0)-1&amp;""),
 1,
MATCH(TRUE,INDIRECT("'数出表_Excel（アレルギー入力）'!"&amp;DJ108&amp;MATCH(DO22,'数出表_Excel（アレルギー入力）'!$A:$A,0)-1&amp;":"&amp;DO110&amp;MATCH(DO22,'数出表_Excel（アレルギー入力）'!$A:$A,0)-1&amp;"")&lt;&gt;"",0)+1),
 "")),0)</f>
        <v>0</v>
      </c>
      <c r="DR108" s="84" t="str" cm="1">
        <f t="array" aca="1" ref="DR108" ca="1">IF(DS106&lt;&gt;"",SUBSTITUTE(ADDRESS(1,
(COLUMN(INDIRECT("数出表_Excel!"&amp;DR106&amp;1&amp;""))-2 +
MATCH(TRUE, ISNUMBER(--INDIRECT("数出表_Excel!"&amp;DR106&amp; (MATCH(INDIRECT(""&amp;DW106&amp;ROW()-86&amp;""),数出表_Excel!$A:$A,0)-1) &amp; ":U" &amp; (MATCH(INDIRECT(""&amp;DW106&amp;ROW()-86&amp;""),数出表_Excel!$A:$A,0)-1))), 0))
*2,4),"1",""),"")</f>
        <v/>
      </c>
      <c r="DS108" s="249" t="str">
        <f ca="1">IF(DS109&lt;&gt;"","園児","")</f>
        <v/>
      </c>
      <c r="DT108" s="250"/>
      <c r="DU108" s="251" t="str">
        <f ca="1">IF(DS109&lt;&gt;"","先生","")</f>
        <v/>
      </c>
      <c r="DV108" s="250"/>
      <c r="DW108" s="97" cm="1">
        <f t="array" aca="1" ref="DW108" ca="1">IF(DS106&lt;&gt;"",
IF(IFERROR(
INDEX(INDIRECT("'数出表_Excel（アレルギー入力）'!"&amp;DR108&amp;MATCH(DW22,'数出表_Excel（アレルギー入力）'!$A:$A,0)-1&amp;":"&amp;DW110&amp;MATCH(DW22,'数出表_Excel（アレルギー入力）'!$A:$A,0)-1&amp;""),
 1,
MATCH(TRUE,INDIRECT("'数出表_Excel（アレルギー入力）'!"&amp;DR108&amp;MATCH(DW22,'数出表_Excel（アレルギー入力）'!$A:$A,0)-1&amp;":"&amp;DW110&amp;MATCH(DW22,'数出表_Excel（アレルギー入力）'!$A:$A,0)-1&amp;"")&lt;&gt;"",0)+1),
 "")&lt;&gt;0,
IF(IFERROR(
INDEX(INDIRECT("'数出表_Excel（アレルギー入力）'!"&amp;DR108&amp;MATCH(DW22,'数出表_Excel（アレルギー入力）'!$A:$A,0)-1&amp;":"&amp;DW110&amp;MATCH(DW22,'数出表_Excel（アレルギー入力）'!$A:$A,0)-1&amp;""),
 1,
MATCH(TRUE,INDIRECT("'数出表_Excel（アレルギー入力）'!"&amp;DR108&amp;MATCH(DW22,'数出表_Excel（アレルギー入力）'!$A:$A,0)-1&amp;":"&amp;DW110&amp;MATCH(DW22,'数出表_Excel（アレルギー入力）'!$A:$A,0)-1&amp;"")&lt;&gt;"",0)+1),
 "")="",
0,
IFERROR(
INDEX(INDIRECT("'数出表_Excel（アレルギー入力）'!"&amp;DR108&amp;MATCH(DW22,'数出表_Excel（アレルギー入力）'!$A:$A,0)-1&amp;":"&amp;DW110&amp;MATCH(DW22,'数出表_Excel（アレルギー入力）'!$A:$A,0)-1&amp;""),
 1,
MATCH(TRUE,INDIRECT("'数出表_Excel（アレルギー入力）'!"&amp;DR108&amp;MATCH(DW22,'数出表_Excel（アレルギー入力）'!$A:$A,0)-1&amp;":"&amp;DW110&amp;MATCH(DW22,'数出表_Excel（アレルギー入力）'!$A:$A,0)-1&amp;"")&lt;&gt;"",0)+1),
 "")),IFERROR(
INDEX(INDIRECT("'数出表_Excel（アレルギー入力）'!"&amp;DR108&amp;MATCH(DW22,'数出表_Excel（アレルギー入力）'!$A:$A,0)-1&amp;":"&amp;DW110&amp;MATCH(DW22,'数出表_Excel（アレルギー入力）'!$A:$A,0)-1&amp;""),
 1,
MATCH(TRUE,INDIRECT("'数出表_Excel（アレルギー入力）'!"&amp;DR108&amp;MATCH(DW22,'数出表_Excel（アレルギー入力）'!$A:$A,0)-1&amp;":"&amp;DW110&amp;MATCH(DW22,'数出表_Excel（アレルギー入力）'!$A:$A,0)-1&amp;"")&lt;&gt;"",0)+1),
 "")),0)</f>
        <v>0</v>
      </c>
      <c r="DX108" s="76"/>
      <c r="DY108" s="84" t="str" cm="1">
        <f t="array" aca="1" ref="DY108" ca="1">IF(DZ106&lt;&gt;"",SUBSTITUTE(ADDRESS(1,
(COLUMN(INDIRECT("数出表_Excel!"&amp;DY106&amp;1&amp;""))-2 +
MATCH(TRUE, ISNUMBER(--INDIRECT("数出表_Excel!"&amp;DY106&amp; (MATCH(INDIRECT(""&amp;ED106&amp;ROW()-86&amp;""),数出表_Excel!$A:$A,0)-1) &amp; ":U" &amp; (MATCH(INDIRECT(""&amp;ED106&amp;ROW()-86&amp;""),数出表_Excel!$A:$A,0)-1))), 0))
*2,4),"1",""),"")</f>
        <v/>
      </c>
      <c r="DZ108" s="249" t="str">
        <f ca="1">IF(DZ109&lt;&gt;"","園児","")</f>
        <v/>
      </c>
      <c r="EA108" s="250"/>
      <c r="EB108" s="251" t="str">
        <f ca="1">IF(DZ109&lt;&gt;"","先生","")</f>
        <v/>
      </c>
      <c r="EC108" s="250"/>
      <c r="ED108" s="97" cm="1">
        <f t="array" aca="1" ref="ED108" ca="1">IF(DZ106&lt;&gt;"",
IF(IFERROR(
INDEX(INDIRECT("'数出表_Excel（アレルギー入力）'!"&amp;DY108&amp;MATCH(ED22,'数出表_Excel（アレルギー入力）'!$A:$A,0)-1&amp;":"&amp;ED110&amp;MATCH(ED22,'数出表_Excel（アレルギー入力）'!$A:$A,0)-1&amp;""),
 1,
MATCH(TRUE,INDIRECT("'数出表_Excel（アレルギー入力）'!"&amp;DY108&amp;MATCH(ED22,'数出表_Excel（アレルギー入力）'!$A:$A,0)-1&amp;":"&amp;ED110&amp;MATCH(ED22,'数出表_Excel（アレルギー入力）'!$A:$A,0)-1&amp;"")&lt;&gt;"",0)+1),
 "")&lt;&gt;0,
IF(IFERROR(
INDEX(INDIRECT("'数出表_Excel（アレルギー入力）'!"&amp;DY108&amp;MATCH(ED22,'数出表_Excel（アレルギー入力）'!$A:$A,0)-1&amp;":"&amp;ED110&amp;MATCH(ED22,'数出表_Excel（アレルギー入力）'!$A:$A,0)-1&amp;""),
 1,
MATCH(TRUE,INDIRECT("'数出表_Excel（アレルギー入力）'!"&amp;DY108&amp;MATCH(ED22,'数出表_Excel（アレルギー入力）'!$A:$A,0)-1&amp;":"&amp;ED110&amp;MATCH(ED22,'数出表_Excel（アレルギー入力）'!$A:$A,0)-1&amp;"")&lt;&gt;"",0)+1),
 "")="",
0,
IFERROR(
INDEX(INDIRECT("'数出表_Excel（アレルギー入力）'!"&amp;DY108&amp;MATCH(ED22,'数出表_Excel（アレルギー入力）'!$A:$A,0)-1&amp;":"&amp;ED110&amp;MATCH(ED22,'数出表_Excel（アレルギー入力）'!$A:$A,0)-1&amp;""),
 1,
MATCH(TRUE,INDIRECT("'数出表_Excel（アレルギー入力）'!"&amp;DY108&amp;MATCH(ED22,'数出表_Excel（アレルギー入力）'!$A:$A,0)-1&amp;":"&amp;ED110&amp;MATCH(ED22,'数出表_Excel（アレルギー入力）'!$A:$A,0)-1&amp;"")&lt;&gt;"",0)+1),
 "")),IFERROR(
INDEX(INDIRECT("'数出表_Excel（アレルギー入力）'!"&amp;DY108&amp;MATCH(ED22,'数出表_Excel（アレルギー入力）'!$A:$A,0)-1&amp;":"&amp;ED110&amp;MATCH(ED22,'数出表_Excel（アレルギー入力）'!$A:$A,0)-1&amp;""),
 1,
MATCH(TRUE,INDIRECT("'数出表_Excel（アレルギー入力）'!"&amp;DY108&amp;MATCH(ED22,'数出表_Excel（アレルギー入力）'!$A:$A,0)-1&amp;":"&amp;ED110&amp;MATCH(ED22,'数出表_Excel（アレルギー入力）'!$A:$A,0)-1&amp;"")&lt;&gt;"",0)+1),
 "")),0)</f>
        <v>0</v>
      </c>
      <c r="EG108" s="84" t="str" cm="1">
        <f t="array" aca="1" ref="EG108" ca="1">IF(EH106&lt;&gt;"",SUBSTITUTE(ADDRESS(1,
(COLUMN(INDIRECT("数出表_Excel!"&amp;EG106&amp;1&amp;""))-2 +
MATCH(TRUE, ISNUMBER(--INDIRECT("数出表_Excel!"&amp;EG106&amp; (MATCH(INDIRECT(""&amp;EL106&amp;ROW()-86&amp;""),数出表_Excel!$A:$A,0)-1) &amp; ":U" &amp; (MATCH(INDIRECT(""&amp;EL106&amp;ROW()-86&amp;""),数出表_Excel!$A:$A,0)-1))), 0))
*2,4),"1",""),"")</f>
        <v/>
      </c>
      <c r="EH108" s="249" t="str">
        <f ca="1">IF(EH109&lt;&gt;"","園児","")</f>
        <v/>
      </c>
      <c r="EI108" s="250"/>
      <c r="EJ108" s="251" t="str">
        <f ca="1">IF(EH109&lt;&gt;"","先生","")</f>
        <v/>
      </c>
      <c r="EK108" s="250"/>
      <c r="EL108" s="97" cm="1">
        <f t="array" aca="1" ref="EL108" ca="1">IF(EH106&lt;&gt;"",
IF(IFERROR(
INDEX(INDIRECT("'数出表_Excel（アレルギー入力）'!"&amp;EG108&amp;MATCH(EL22,'数出表_Excel（アレルギー入力）'!$A:$A,0)-1&amp;":"&amp;EL110&amp;MATCH(EL22,'数出表_Excel（アレルギー入力）'!$A:$A,0)-1&amp;""),
 1,
MATCH(TRUE,INDIRECT("'数出表_Excel（アレルギー入力）'!"&amp;EG108&amp;MATCH(EL22,'数出表_Excel（アレルギー入力）'!$A:$A,0)-1&amp;":"&amp;EL110&amp;MATCH(EL22,'数出表_Excel（アレルギー入力）'!$A:$A,0)-1&amp;"")&lt;&gt;"",0)+1),
 "")&lt;&gt;0,
IF(IFERROR(
INDEX(INDIRECT("'数出表_Excel（アレルギー入力）'!"&amp;EG108&amp;MATCH(EL22,'数出表_Excel（アレルギー入力）'!$A:$A,0)-1&amp;":"&amp;EL110&amp;MATCH(EL22,'数出表_Excel（アレルギー入力）'!$A:$A,0)-1&amp;""),
 1,
MATCH(TRUE,INDIRECT("'数出表_Excel（アレルギー入力）'!"&amp;EG108&amp;MATCH(EL22,'数出表_Excel（アレルギー入力）'!$A:$A,0)-1&amp;":"&amp;EL110&amp;MATCH(EL22,'数出表_Excel（アレルギー入力）'!$A:$A,0)-1&amp;"")&lt;&gt;"",0)+1),
 "")="",
0,
IFERROR(
INDEX(INDIRECT("'数出表_Excel（アレルギー入力）'!"&amp;EG108&amp;MATCH(EL22,'数出表_Excel（アレルギー入力）'!$A:$A,0)-1&amp;":"&amp;EL110&amp;MATCH(EL22,'数出表_Excel（アレルギー入力）'!$A:$A,0)-1&amp;""),
 1,
MATCH(TRUE,INDIRECT("'数出表_Excel（アレルギー入力）'!"&amp;EG108&amp;MATCH(EL22,'数出表_Excel（アレルギー入力）'!$A:$A,0)-1&amp;":"&amp;EL110&amp;MATCH(EL22,'数出表_Excel（アレルギー入力）'!$A:$A,0)-1&amp;"")&lt;&gt;"",0)+1),
 "")),IFERROR(
INDEX(INDIRECT("'数出表_Excel（アレルギー入力）'!"&amp;EG108&amp;MATCH(EL22,'数出表_Excel（アレルギー入力）'!$A:$A,0)-1&amp;":"&amp;EL110&amp;MATCH(EL22,'数出表_Excel（アレルギー入力）'!$A:$A,0)-1&amp;""),
 1,
MATCH(TRUE,INDIRECT("'数出表_Excel（アレルギー入力）'!"&amp;EG108&amp;MATCH(EL22,'数出表_Excel（アレルギー入力）'!$A:$A,0)-1&amp;":"&amp;EL110&amp;MATCH(EL22,'数出表_Excel（アレルギー入力）'!$A:$A,0)-1&amp;"")&lt;&gt;"",0)+1),
 "")),0)</f>
        <v>0</v>
      </c>
      <c r="EM108" s="76"/>
      <c r="EN108" s="84" t="str" cm="1">
        <f t="array" aca="1" ref="EN108" ca="1">IF(EO106&lt;&gt;"",SUBSTITUTE(ADDRESS(1,
(COLUMN(INDIRECT("数出表_Excel!"&amp;EN106&amp;1&amp;""))-2 +
MATCH(TRUE, ISNUMBER(--INDIRECT("数出表_Excel!"&amp;EN106&amp; (MATCH(INDIRECT(""&amp;ES106&amp;ROW()-86&amp;""),数出表_Excel!$A:$A,0)-1) &amp; ":U" &amp; (MATCH(INDIRECT(""&amp;ES106&amp;ROW()-86&amp;""),数出表_Excel!$A:$A,0)-1))), 0))
*2,4),"1",""),"")</f>
        <v/>
      </c>
      <c r="EO108" s="249" t="str">
        <f ca="1">IF(EO109&lt;&gt;"","園児","")</f>
        <v/>
      </c>
      <c r="EP108" s="250"/>
      <c r="EQ108" s="251" t="str">
        <f ca="1">IF(EO109&lt;&gt;"","先生","")</f>
        <v/>
      </c>
      <c r="ER108" s="250"/>
      <c r="ES108" s="97" cm="1">
        <f t="array" aca="1" ref="ES108" ca="1">IF(EO106&lt;&gt;"",
IF(IFERROR(
INDEX(INDIRECT("'数出表_Excel（アレルギー入力）'!"&amp;EN108&amp;MATCH(ES22,'数出表_Excel（アレルギー入力）'!$A:$A,0)-1&amp;":"&amp;ES110&amp;MATCH(ES22,'数出表_Excel（アレルギー入力）'!$A:$A,0)-1&amp;""),
 1,
MATCH(TRUE,INDIRECT("'数出表_Excel（アレルギー入力）'!"&amp;EN108&amp;MATCH(ES22,'数出表_Excel（アレルギー入力）'!$A:$A,0)-1&amp;":"&amp;ES110&amp;MATCH(ES22,'数出表_Excel（アレルギー入力）'!$A:$A,0)-1&amp;"")&lt;&gt;"",0)+1),
 "")&lt;&gt;0,
IF(IFERROR(
INDEX(INDIRECT("'数出表_Excel（アレルギー入力）'!"&amp;EN108&amp;MATCH(ES22,'数出表_Excel（アレルギー入力）'!$A:$A,0)-1&amp;":"&amp;ES110&amp;MATCH(ES22,'数出表_Excel（アレルギー入力）'!$A:$A,0)-1&amp;""),
 1,
MATCH(TRUE,INDIRECT("'数出表_Excel（アレルギー入力）'!"&amp;EN108&amp;MATCH(ES22,'数出表_Excel（アレルギー入力）'!$A:$A,0)-1&amp;":"&amp;ES110&amp;MATCH(ES22,'数出表_Excel（アレルギー入力）'!$A:$A,0)-1&amp;"")&lt;&gt;"",0)+1),
 "")="",
0,
IFERROR(
INDEX(INDIRECT("'数出表_Excel（アレルギー入力）'!"&amp;EN108&amp;MATCH(ES22,'数出表_Excel（アレルギー入力）'!$A:$A,0)-1&amp;":"&amp;ES110&amp;MATCH(ES22,'数出表_Excel（アレルギー入力）'!$A:$A,0)-1&amp;""),
 1,
MATCH(TRUE,INDIRECT("'数出表_Excel（アレルギー入力）'!"&amp;EN108&amp;MATCH(ES22,'数出表_Excel（アレルギー入力）'!$A:$A,0)-1&amp;":"&amp;ES110&amp;MATCH(ES22,'数出表_Excel（アレルギー入力）'!$A:$A,0)-1&amp;"")&lt;&gt;"",0)+1),
 "")),IFERROR(
INDEX(INDIRECT("'数出表_Excel（アレルギー入力）'!"&amp;EN108&amp;MATCH(ES22,'数出表_Excel（アレルギー入力）'!$A:$A,0)-1&amp;":"&amp;ES110&amp;MATCH(ES22,'数出表_Excel（アレルギー入力）'!$A:$A,0)-1&amp;""),
 1,
MATCH(TRUE,INDIRECT("'数出表_Excel（アレルギー入力）'!"&amp;EN108&amp;MATCH(ES22,'数出表_Excel（アレルギー入力）'!$A:$A,0)-1&amp;":"&amp;ES110&amp;MATCH(ES22,'数出表_Excel（アレルギー入力）'!$A:$A,0)-1&amp;"")&lt;&gt;"",0)+1),
 "")),0)</f>
        <v>0</v>
      </c>
      <c r="EU108" s="78">
        <f t="shared" si="8"/>
        <v>119</v>
      </c>
      <c r="EV108" s="78" t="str">
        <f t="array" aca="1" ref="EV108" ca="1">INDIRECT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
&amp;MID(SUBSTITUTE(_xlfn.FORMULATEXT(EV$76),"=",""), LEN(_xlfn.TEXTJOIN("",TRUE,IF(ISERROR(MID(SUBSTITUTE(_xlfn.FORMULATEXT(EV$76),"=",""),ROW(INDIRECT("1:"&amp;LEN(SUBSTITUTE(_xlfn.FORMULATEXT(EV$76),"=","")))),1)*1),MID(SUBSTITUTE(_xlfn.FORMULATEXT(EV$76),"=",""),ROW(INDIRECT("1:"&amp;LEN(SUBSTITUTE(_xlfn.FORMULATEXT(EV$76),"=","")))),1),"")))+1, LEN(SUBSTITUTE(_xlfn.FORMULATEXT(EV$76),"=","")))+$EU108)</f>
        <v/>
      </c>
      <c r="EW108" s="78" t="str">
        <f t="array" aca="1" ref="EW108" ca="1">INDIRECT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
&amp;MID(SUBSTITUTE(_xlfn.FORMULATEXT(EW$76),"=",""), LEN(_xlfn.TEXTJOIN("",TRUE,IF(ISERROR(MID(SUBSTITUTE(_xlfn.FORMULATEXT(EW$76),"=",""),ROW(INDIRECT("1:"&amp;LEN(SUBSTITUTE(_xlfn.FORMULATEXT(EW$76),"=","")))),1)*1),MID(SUBSTITUTE(_xlfn.FORMULATEXT(EW$76),"=",""),ROW(INDIRECT("1:"&amp;LEN(SUBSTITUTE(_xlfn.FORMULATEXT(EW$76),"=","")))),1),"")))+1, LEN(SUBSTITUTE(_xlfn.FORMULATEXT(EW$76),"=","")))+$EU108)</f>
        <v/>
      </c>
      <c r="EX108" s="78" t="str">
        <f t="array" aca="1" ref="EX108" ca="1">INDIRECT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
&amp;MID(SUBSTITUTE(_xlfn.FORMULATEXT(EX$76),"=",""), LEN(_xlfn.TEXTJOIN("",TRUE,IF(ISERROR(MID(SUBSTITUTE(_xlfn.FORMULATEXT(EX$76),"=",""),ROW(INDIRECT("1:"&amp;LEN(SUBSTITUTE(_xlfn.FORMULATEXT(EX$76),"=","")))),1)*1),MID(SUBSTITUTE(_xlfn.FORMULATEXT(EX$76),"=",""),ROW(INDIRECT("1:"&amp;LEN(SUBSTITUTE(_xlfn.FORMULATEXT(EX$76),"=","")))),1),"")))+1, LEN(SUBSTITUTE(_xlfn.FORMULATEXT(EX$76),"=","")))+$EU108)</f>
        <v/>
      </c>
      <c r="EY108" s="78" t="str">
        <f t="array" aca="1" ref="EY108" ca="1">INDIRECT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
&amp;MID(SUBSTITUTE(_xlfn.FORMULATEXT(EY$76),"=",""), LEN(_xlfn.TEXTJOIN("",TRUE,IF(ISERROR(MID(SUBSTITUTE(_xlfn.FORMULATEXT(EY$76),"=",""),ROW(INDIRECT("1:"&amp;LEN(SUBSTITUTE(_xlfn.FORMULATEXT(EY$76),"=","")))),1)*1),MID(SUBSTITUTE(_xlfn.FORMULATEXT(EY$76),"=",""),ROW(INDIRECT("1:"&amp;LEN(SUBSTITUTE(_xlfn.FORMULATEXT(EY$76),"=","")))),1),"")))+1, LEN(SUBSTITUTE(_xlfn.FORMULATEXT(EY$76),"=","")))+$EU108)</f>
        <v/>
      </c>
      <c r="EZ108" s="78" t="str">
        <f t="array" aca="1" ref="EZ108" ca="1">INDIRECT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
&amp;MID(SUBSTITUTE(_xlfn.FORMULATEXT(EZ$76),"=",""), LEN(_xlfn.TEXTJOIN("",TRUE,IF(ISERROR(MID(SUBSTITUTE(_xlfn.FORMULATEXT(EZ$76),"=",""),ROW(INDIRECT("1:"&amp;LEN(SUBSTITUTE(_xlfn.FORMULATEXT(EZ$76),"=","")))),1)*1),MID(SUBSTITUTE(_xlfn.FORMULATEXT(EZ$76),"=",""),ROW(INDIRECT("1:"&amp;LEN(SUBSTITUTE(_xlfn.FORMULATEXT(EZ$76),"=","")))),1),"")))+1, LEN(SUBSTITUTE(_xlfn.FORMULATEXT(EZ$76),"=","")))+$EU108)</f>
        <v/>
      </c>
      <c r="FA108" s="78" t="str">
        <f t="array" aca="1" ref="FA108" ca="1">INDIRECT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
&amp;MID(SUBSTITUTE(_xlfn.FORMULATEXT(FA$76),"=",""), LEN(_xlfn.TEXTJOIN("",TRUE,IF(ISERROR(MID(SUBSTITUTE(_xlfn.FORMULATEXT(FA$76),"=",""),ROW(INDIRECT("1:"&amp;LEN(SUBSTITUTE(_xlfn.FORMULATEXT(FA$76),"=","")))),1)*1),MID(SUBSTITUTE(_xlfn.FORMULATEXT(FA$76),"=",""),ROW(INDIRECT("1:"&amp;LEN(SUBSTITUTE(_xlfn.FORMULATEXT(FA$76),"=","")))),1),"")))+1, LEN(SUBSTITUTE(_xlfn.FORMULATEXT(FA$76),"=","")))+$EU108)</f>
        <v/>
      </c>
      <c r="FB108" s="78" t="str">
        <f t="array" aca="1" ref="FB108" ca="1">INDIRECT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
&amp;MID(SUBSTITUTE(_xlfn.FORMULATEXT(FB$76),"=",""), LEN(_xlfn.TEXTJOIN("",TRUE,IF(ISERROR(MID(SUBSTITUTE(_xlfn.FORMULATEXT(FB$76),"=",""),ROW(INDIRECT("1:"&amp;LEN(SUBSTITUTE(_xlfn.FORMULATEXT(FB$76),"=","")))),1)*1),MID(SUBSTITUTE(_xlfn.FORMULATEXT(FB$76),"=",""),ROW(INDIRECT("1:"&amp;LEN(SUBSTITUTE(_xlfn.FORMULATEXT(FB$76),"=","")))),1),"")))+1, LEN(SUBSTITUTE(_xlfn.FORMULATEXT(FB$76),"=","")))+$EU108)</f>
        <v/>
      </c>
      <c r="FC108" s="78" t="str">
        <f t="array" aca="1" ref="FC108" ca="1">INDIRECT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
&amp;MID(SUBSTITUTE(_xlfn.FORMULATEXT(FC$76),"=",""), LEN(_xlfn.TEXTJOIN("",TRUE,IF(ISERROR(MID(SUBSTITUTE(_xlfn.FORMULATEXT(FC$76),"=",""),ROW(INDIRECT("1:"&amp;LEN(SUBSTITUTE(_xlfn.FORMULATEXT(FC$76),"=","")))),1)*1),MID(SUBSTITUTE(_xlfn.FORMULATEXT(FC$76),"=",""),ROW(INDIRECT("1:"&amp;LEN(SUBSTITUTE(_xlfn.FORMULATEXT(FC$76),"=","")))),1),"")))+1, LEN(SUBSTITUTE(_xlfn.FORMULATEXT(FC$76),"=","")))+$EU108)</f>
        <v/>
      </c>
      <c r="FD108" s="78" t="str">
        <f t="array" aca="1" ref="FD108" ca="1">INDIRECT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
&amp;MID(SUBSTITUTE(_xlfn.FORMULATEXT(FD$76),"=",""), LEN(_xlfn.TEXTJOIN("",TRUE,IF(ISERROR(MID(SUBSTITUTE(_xlfn.FORMULATEXT(FD$76),"=",""),ROW(INDIRECT("1:"&amp;LEN(SUBSTITUTE(_xlfn.FORMULATEXT(FD$76),"=","")))),1)*1),MID(SUBSTITUTE(_xlfn.FORMULATEXT(FD$76),"=",""),ROW(INDIRECT("1:"&amp;LEN(SUBSTITUTE(_xlfn.FORMULATEXT(FD$76),"=","")))),1),"")))+1, LEN(SUBSTITUTE(_xlfn.FORMULATEXT(FD$76),"=","")))+$EU108)</f>
        <v/>
      </c>
      <c r="FE108" s="78" t="str">
        <f t="array" aca="1" ref="FE108" ca="1">INDIRECT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
&amp;MID(SUBSTITUTE(_xlfn.FORMULATEXT(FE$76),"=",""), LEN(_xlfn.TEXTJOIN("",TRUE,IF(ISERROR(MID(SUBSTITUTE(_xlfn.FORMULATEXT(FE$76),"=",""),ROW(INDIRECT("1:"&amp;LEN(SUBSTITUTE(_xlfn.FORMULATEXT(FE$76),"=","")))),1)*1),MID(SUBSTITUTE(_xlfn.FORMULATEXT(FE$76),"=",""),ROW(INDIRECT("1:"&amp;LEN(SUBSTITUTE(_xlfn.FORMULATEXT(FE$76),"=","")))),1),"")))+1, LEN(SUBSTITUTE(_xlfn.FORMULATEXT(FE$76),"=","")))+$EU108)</f>
        <v/>
      </c>
      <c r="FF108" s="78" t="str">
        <f t="array" aca="1" ref="FF108" ca="1">INDIRECT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
&amp;MID(SUBSTITUTE(_xlfn.FORMULATEXT(FF$76),"=",""), LEN(_xlfn.TEXTJOIN("",TRUE,IF(ISERROR(MID(SUBSTITUTE(_xlfn.FORMULATEXT(FF$76),"=",""),ROW(INDIRECT("1:"&amp;LEN(SUBSTITUTE(_xlfn.FORMULATEXT(FF$76),"=","")))),1)*1),MID(SUBSTITUTE(_xlfn.FORMULATEXT(FF$76),"=",""),ROW(INDIRECT("1:"&amp;LEN(SUBSTITUTE(_xlfn.FORMULATEXT(FF$76),"=","")))),1),"")))+1, LEN(SUBSTITUTE(_xlfn.FORMULATEXT(FF$76),"=","")))+$EU108)</f>
        <v/>
      </c>
      <c r="FG108" s="78">
        <f t="shared" ca="1" si="7"/>
        <v>0</v>
      </c>
      <c r="FH108" s="78" t="b">
        <f t="array" aca="1" ref="FH108" ca="1">SUMPRODUCT((LEN(EV108:FF108)&gt;0)*1)&gt;0</f>
        <v>0</v>
      </c>
      <c r="FI108" s="78" t="str">
        <f t="array" aca="1" ref="FI108" ca="1">IFERROR(SMALL(IF(FG$1:FG$228&lt;&gt;0,FG$1:FG$228),ROW(A108)),"")</f>
        <v/>
      </c>
      <c r="FJ108" s="78" t="str">
        <f t="array" aca="1" ref="FJ108" ca="1">IF($FI108&lt;&gt;"",
INDIRECT(""&amp;IF(COLUMN(EV161)&lt;=26,CHAR(COLUMN(EV161)+64),CHAR(INT((COLUMN(EV161)-1)/26)+64)&amp;CHAR(MOD(COLUMN(EV161)-1,26)+65))&amp;$FI108&amp;""),"")</f>
        <v/>
      </c>
      <c r="FK108" s="78" t="str">
        <f t="array" aca="1" ref="FK108" ca="1">IF($FI108&lt;&gt;"",
INDIRECT(""&amp;IF(COLUMN(EW161)&lt;=26,CHAR(COLUMN(EW161)+64),CHAR(INT((COLUMN(EW161)-1)/26)+64)&amp;CHAR(MOD(COLUMN(EW161)-1,26)+65))&amp;$FI108&amp;""),"")</f>
        <v/>
      </c>
      <c r="FL108" s="78" t="str">
        <f t="array" aca="1" ref="FL108" ca="1">IF($FI108&lt;&gt;"",
INDIRECT(""&amp;IF(COLUMN(EX161)&lt;=26,CHAR(COLUMN(EX161)+64),CHAR(INT((COLUMN(EX161)-1)/26)+64)&amp;CHAR(MOD(COLUMN(EX161)-1,26)+65))&amp;$FI108&amp;""),"")</f>
        <v/>
      </c>
      <c r="FM108" s="78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78" t="str">
        <f t="array" aca="1" ref="FN108" ca="1">IF($FI108&lt;&gt;"",
INDIRECT(""&amp;IF(COLUMN(FA161)&lt;=26,CHAR(COLUMN(FA161)+64),CHAR(INT((COLUMN(FA161)-1)/26)+64)&amp;CHAR(MOD(COLUMN(FA161)-1,26)+65))&amp;$FI108&amp;""),"")</f>
        <v/>
      </c>
      <c r="FO108" s="78" t="str">
        <f t="array" aca="1" ref="FO108" ca="1">IF($FI108&lt;&gt;"",
INDIRECT(""&amp;IF(COLUMN(FB161)&lt;=26,CHAR(COLUMN(FB161)+64),CHAR(INT((COLUMN(FB161)-1)/26)+64)&amp;CHAR(MOD(COLUMN(FB161)-1,26)+65))&amp;$FI108&amp;""),"")</f>
        <v/>
      </c>
      <c r="FP108" s="78" t="str">
        <f t="array" aca="1" ref="FP108" ca="1">IF($FI108&lt;&gt;"",
INDIRECT(""&amp;IF(COLUMN(FC161)&lt;=26,CHAR(COLUMN(FC161)+64),CHAR(INT((COLUMN(FC161)-1)/26)+64)&amp;CHAR(MOD(COLUMN(FC161)-1,26)+65))&amp;$FI108&amp;""),"")</f>
        <v/>
      </c>
      <c r="FQ108" s="78" t="str">
        <f t="array" aca="1" ref="FQ108" ca="1">IF($FI108&lt;&gt;"",
INDIRECT(""&amp;IF(COLUMN(FD161)&lt;=26,CHAR(COLUMN(FD161)+64),CHAR(INT((COLUMN(FD161)-1)/26)+64)&amp;CHAR(MOD(COLUMN(FD161)-1,26)+65))&amp;$FI108&amp;""),"")</f>
        <v/>
      </c>
      <c r="FR108" s="78" t="str">
        <f t="array" aca="1" ref="FR108" ca="1">IF($FI108&lt;&gt;"",
INDIRECT(""&amp;IF(COLUMN(FE161)&lt;=26,CHAR(COLUMN(FE161)+64),CHAR(INT((COLUMN(FE161)-1)/26)+64)&amp;CHAR(MOD(COLUMN(FE161)-1,26)+65))&amp;$FI108&amp;""),"")</f>
        <v/>
      </c>
      <c r="FS108" s="78" t="str">
        <f t="array" aca="1" ref="FS108" ca="1">IF($FI108&lt;&gt;"",
INDIRECT(""&amp;IF(COLUMN(FF161)&lt;=26,CHAR(COLUMN(FF161)+64),CHAR(INT((COLUMN(FF161)-1)/26)+64)&amp;CHAR(MOD(COLUMN(FF161)-1,26)+65))&amp;$FI108&amp;""),"")</f>
        <v/>
      </c>
    </row>
    <row r="109" spans="2:175" ht="22.2" customHeight="1" x14ac:dyDescent="0.45">
      <c r="B109" s="86"/>
      <c r="C109" s="252" t="str" cm="1">
        <f t="array" aca="1" ref="C109" ca="1">IF(C107&lt;&gt;"",
IF(IFERROR(
INDEX(INDIRECT("数出表_Excel!"&amp;B106&amp;MATCH(G22,数出表_Excel!$A:$A,0)-1&amp;":U"&amp;MATCH(G22,数出表_Excel!$A:$A,0)-1&amp;""),
 1,
 MATCH(TRUE, ISNUMBER(--INDIRECT("数出表_Excel!"&amp;B106&amp;MATCH(G22,数出表_Excel!$A:$A,0)-1&amp;":U"&amp;MATCH(G22,数出表_Excel!$A:$A,0)-1&amp;"")), 0)),
 "")=0,"",
IF(B24=100,
IFERROR(
INDEX(INDIRECT("数出表_Excel!"&amp;B106&amp;MATCH(G22,数出表_Excel!$A:$A,0)-1+2&amp;":U"&amp;MATCH(G22,数出表_Excel!$A:$A,0)-1+2&amp;""),
 1,
 MATCH(TRUE, ISNUMBER(--INDIRECT("数出表_Excel!"&amp;B106&amp;MATCH(G22,数出表_Excel!$A:$A,0)-1+2&amp;":U"&amp;MATCH(G22,数出表_Excel!$A:$A,0)-1+2&amp;"")), 0)),
 "")
+IFERROR(
INDEX(INDIRECT("数出表_Excel!"&amp;B106&amp;MATCH(G22,数出表_Excel!$A:$A,0)-1&amp;":U"&amp;MATCH(G22,数出表_Excel!$A:$A,0)-1&amp;""),
 1,
 MATCH(TRUE, ISNUMBER(--INDIRECT("数出表_Excel!"&amp;B106&amp;MATCH(G22,数出表_Excel!$A:$A,0)-1&amp;":U"&amp;MATCH(G22,数出表_Excel!$A:$A,0)-1&amp;"")), 0)),
 ""),
IFERROR(
INDEX(INDIRECT("数出表_Excel!"&amp;B106&amp;MATCH(G22,数出表_Excel!$A:$A,0)-1&amp;":U"&amp;MATCH(G22,数出表_Excel!$A:$A,0)-1&amp;""),
 1,
 MATCH(TRUE, ISNUMBER(--INDIRECT("数出表_Excel!"&amp;B106&amp;MATCH(G22,数出表_Excel!$A:$A,0)-1&amp;":U"&amp;MATCH(G22,数出表_Excel!$A:$A,0)-1&amp;"")), 0)),
 ""))),"")</f>
        <v/>
      </c>
      <c r="D109" s="253"/>
      <c r="E109" s="255" t="str" cm="1">
        <f t="array" aca="1" ref="E109" ca="1">IF(C65&lt;&gt;"",
IF(IFERROR(
INDEX(INDIRECT("数出表_Excel!B"&amp;MATCH(G22,数出表_Excel!$A:$A,0)&amp;":U"&amp;MATCH(G22,数出表_Excel!$A:$A,0)&amp;""),
 1,B107-1),
 "")=0,"",
IFERROR(
INDEX(INDIRECT("数出表_Excel!B"&amp;MATCH(G22,数出表_Excel!$A:$A,0)&amp;":U"&amp;MATCH(G22,数出表_Excel!$A:$A,0)&amp;""),
 1,B107-1),
 "")),"")</f>
        <v/>
      </c>
      <c r="F109" s="253"/>
      <c r="G109" s="97" t="e" cm="1">
        <f t="array" aca="1" ref="G109" ca="1">IF(INDIRECT(""&amp;SUBSTITUTE(ADDRESS(1,
COLUMN()-5,1),"1","")&amp;ROW()-85&amp;"")=100,
IF(C106&lt;&gt;"",
IF(IFERROR(
INDEX(INDIRECT("'数出表_Excel（アレルギー入力）'!"&amp;B108&amp;MATCH(G22,'数出表_Excel（アレルギー入力）'!$A:$A,0)+1&amp;":"&amp;G110&amp;MATCH(G22,'数出表_Excel（アレルギー入力）'!$A:$A,0)+1&amp;""),
 1,
MATCH(TRUE,INDIRECT("'数出表_Excel（アレルギー入力）'!"&amp;B108&amp;MATCH(G22,'数出表_Excel（アレルギー入力）'!$A:$A,0)+1&amp;":"&amp;G110&amp;MATCH(G22,'数出表_Excel（アレルギー入力）'!$A:$A,0)+1&amp;"")&lt;&gt;"",0)+1),
 "")&lt;&gt;0,
IF(IFERROR(
INDEX(INDIRECT("'数出表_Excel（アレルギー入力）'!"&amp;B108&amp;MATCH(G22,'数出表_Excel（アレルギー入力）'!$A:$A,0)+1&amp;":"&amp;G110&amp;MATCH(G22,'数出表_Excel（アレルギー入力）'!$A:$A,0)+1&amp;""),
 1,
MATCH(TRUE,INDIRECT("'数出表_Excel（アレルギー入力）'!"&amp;B108&amp;MATCH(G22,'数出表_Excel（アレルギー入力）'!$A:$A,0)+1&amp;":"&amp;G110&amp;MATCH(G22,'数出表_Excel（アレルギー入力）'!$A:$A,0)+1&amp;"")&lt;&gt;"",0)+1),
 "")="",
IFERROR(
INDEX(INDIRECT("'数出表_Excel（アレルギー入力）'!"&amp;B108&amp;MATCH(G22,'数出表_Excel（アレルギー入力）'!$A:$A,0)+1&amp;":"&amp;G110&amp;MATCH(G22,'数出表_Excel（アレルギー入力）'!$A:$A,0)+1&amp;""),
 1,
MATCH(TRUE,INDIRECT("'数出表_Excel（アレルギー入力）'!"&amp;B108&amp;MATCH(G22,'数出表_Excel（アレルギー入力）'!$A:$A,0)+1&amp;":"&amp;G110&amp;MATCH(G22,'数出表_Excel（アレルギー入力）'!$A:$A,0)+1&amp;"")&lt;&gt;"",0)+1),
 ""),
IFERROR(
INDEX(INDIRECT("'数出表_Excel（アレルギー入力）'!"&amp;B108&amp;MATCH(G22,'数出表_Excel（アレルギー入力）'!$A:$A,0)+1&amp;":"&amp;G110&amp;MATCH(G22,'数出表_Excel（アレルギー入力）'!$A:$A,0)+1&amp;""),
 1,
MATCH(TRUE,INDIRECT("'数出表_Excel（アレルギー入力）'!"&amp;B108&amp;MATCH(G22,'数出表_Excel（アレルギー入力）'!$A:$A,0)+1&amp;":"&amp;G110&amp;MATCH(G22,'数出表_Excel（アレルギー入力）'!$A:$A,0)+1&amp;"")&lt;&gt;"",0)+1),
 "")),0),""),0)</f>
        <v>#VALUE!</v>
      </c>
      <c r="I109" s="86"/>
      <c r="J109" s="252" t="str" cm="1">
        <f t="array" aca="1" ref="J109" ca="1">IF(J107&lt;&gt;"",
IF(IFERROR(
INDEX(INDIRECT("数出表_Excel!"&amp;I106&amp;MATCH(N22,数出表_Excel!$A:$A,0)-1&amp;":U"&amp;MATCH(N22,数出表_Excel!$A:$A,0)-1&amp;""),
 1,
 MATCH(TRUE, ISNUMBER(--INDIRECT("数出表_Excel!"&amp;I106&amp;MATCH(N22,数出表_Excel!$A:$A,0)-1&amp;":U"&amp;MATCH(N22,数出表_Excel!$A:$A,0)-1&amp;"")), 0)),
 "")=0,"",
IF(I24=100,
IFERROR(
INDEX(INDIRECT("数出表_Excel!"&amp;I106&amp;MATCH(N22,数出表_Excel!$A:$A,0)-1+2&amp;":U"&amp;MATCH(N22,数出表_Excel!$A:$A,0)-1+2&amp;""),
 1,
 MATCH(TRUE, ISNUMBER(--INDIRECT("数出表_Excel!"&amp;I106&amp;MATCH(N22,数出表_Excel!$A:$A,0)-1+2&amp;":U"&amp;MATCH(N22,数出表_Excel!$A:$A,0)-1+2&amp;"")), 0)),
 "")
+IFERROR(
INDEX(INDIRECT("数出表_Excel!"&amp;I106&amp;MATCH(N22,数出表_Excel!$A:$A,0)-1&amp;":U"&amp;MATCH(N22,数出表_Excel!$A:$A,0)-1&amp;""),
 1,
 MATCH(TRUE, ISNUMBER(--INDIRECT("数出表_Excel!"&amp;I106&amp;MATCH(N22,数出表_Excel!$A:$A,0)-1&amp;":U"&amp;MATCH(N22,数出表_Excel!$A:$A,0)-1&amp;"")), 0)),
 ""),
IFERROR(
INDEX(INDIRECT("数出表_Excel!"&amp;I106&amp;MATCH(N22,数出表_Excel!$A:$A,0)-1&amp;":U"&amp;MATCH(N22,数出表_Excel!$A:$A,0)-1&amp;""),
 1,
 MATCH(TRUE, ISNUMBER(--INDIRECT("数出表_Excel!"&amp;I106&amp;MATCH(N22,数出表_Excel!$A:$A,0)-1&amp;":U"&amp;MATCH(N22,数出表_Excel!$A:$A,0)-1&amp;"")), 0)),
 ""))),"")</f>
        <v/>
      </c>
      <c r="K109" s="253"/>
      <c r="L109" s="255" t="str" cm="1">
        <f t="array" aca="1" ref="L109" ca="1">IF(J65&lt;&gt;"",
IF(IFERROR(
INDEX(INDIRECT("数出表_Excel!B"&amp;MATCH(N22,数出表_Excel!$A:$A,0)&amp;":U"&amp;MATCH(N22,数出表_Excel!$A:$A,0)&amp;""),
 1,I107-1),
 "")=0,"",
IFERROR(
INDEX(INDIRECT("数出表_Excel!B"&amp;MATCH(N22,数出表_Excel!$A:$A,0)&amp;":U"&amp;MATCH(N22,数出表_Excel!$A:$A,0)&amp;""),
 1,I107-1),
 "")),"")</f>
        <v/>
      </c>
      <c r="M109" s="253"/>
      <c r="N109" s="97" t="e" cm="1">
        <f t="array" aca="1" ref="N109" ca="1">IF(INDIRECT(""&amp;SUBSTITUTE(ADDRESS(1,
COLUMN()-5,1),"1","")&amp;ROW()-85&amp;"")=100,
IF(J106&lt;&gt;"",
IF(IFERROR(
INDEX(INDIRECT("'数出表_Excel（アレルギー入力）'!"&amp;I108&amp;MATCH(N22,'数出表_Excel（アレルギー入力）'!$A:$A,0)+1&amp;":"&amp;N110&amp;MATCH(N22,'数出表_Excel（アレルギー入力）'!$A:$A,0)+1&amp;""),
 1,
MATCH(TRUE,INDIRECT("'数出表_Excel（アレルギー入力）'!"&amp;I108&amp;MATCH(N22,'数出表_Excel（アレルギー入力）'!$A:$A,0)+1&amp;":"&amp;N110&amp;MATCH(N22,'数出表_Excel（アレルギー入力）'!$A:$A,0)+1&amp;"")&lt;&gt;"",0)+1),
 "")&lt;&gt;0,
IF(IFERROR(
INDEX(INDIRECT("'数出表_Excel（アレルギー入力）'!"&amp;I108&amp;MATCH(N22,'数出表_Excel（アレルギー入力）'!$A:$A,0)+1&amp;":"&amp;N110&amp;MATCH(N22,'数出表_Excel（アレルギー入力）'!$A:$A,0)+1&amp;""),
 1,
MATCH(TRUE,INDIRECT("'数出表_Excel（アレルギー入力）'!"&amp;I108&amp;MATCH(N22,'数出表_Excel（アレルギー入力）'!$A:$A,0)+1&amp;":"&amp;N110&amp;MATCH(N22,'数出表_Excel（アレルギー入力）'!$A:$A,0)+1&amp;"")&lt;&gt;"",0)+1),
 "")="",
IFERROR(
INDEX(INDIRECT("'数出表_Excel（アレルギー入力）'!"&amp;I108&amp;MATCH(N22,'数出表_Excel（アレルギー入力）'!$A:$A,0)+1&amp;":"&amp;N110&amp;MATCH(N22,'数出表_Excel（アレルギー入力）'!$A:$A,0)+1&amp;""),
 1,
MATCH(TRUE,INDIRECT("'数出表_Excel（アレルギー入力）'!"&amp;I108&amp;MATCH(N22,'数出表_Excel（アレルギー入力）'!$A:$A,0)+1&amp;":"&amp;N110&amp;MATCH(N22,'数出表_Excel（アレルギー入力）'!$A:$A,0)+1&amp;"")&lt;&gt;"",0)+1),
 ""),
IFERROR(
INDEX(INDIRECT("'数出表_Excel（アレルギー入力）'!"&amp;I108&amp;MATCH(N22,'数出表_Excel（アレルギー入力）'!$A:$A,0)+1&amp;":"&amp;N110&amp;MATCH(N22,'数出表_Excel（アレルギー入力）'!$A:$A,0)+1&amp;""),
 1,
MATCH(TRUE,INDIRECT("'数出表_Excel（アレルギー入力）'!"&amp;I108&amp;MATCH(N22,'数出表_Excel（アレルギー入力）'!$A:$A,0)+1&amp;":"&amp;N110&amp;MATCH(N22,'数出表_Excel（アレルギー入力）'!$A:$A,0)+1&amp;"")&lt;&gt;"",0)+1),
 "")),0),""),0)</f>
        <v>#VALUE!</v>
      </c>
      <c r="Q109" s="86"/>
      <c r="R109" s="252" t="str" cm="1">
        <f t="array" aca="1" ref="R109" ca="1">IF(R107&lt;&gt;"",
IF(IFERROR(
INDEX(INDIRECT("数出表_Excel!"&amp;Q106&amp;MATCH(V22,数出表_Excel!$A:$A,0)-1&amp;":U"&amp;MATCH(V22,数出表_Excel!$A:$A,0)-1&amp;""),
 1,
 MATCH(TRUE, ISNUMBER(--INDIRECT("数出表_Excel!"&amp;Q106&amp;MATCH(V22,数出表_Excel!$A:$A,0)-1&amp;":U"&amp;MATCH(V22,数出表_Excel!$A:$A,0)-1&amp;"")), 0)),
 "")=0,"",
IF(Q24=100,
IFERROR(
INDEX(INDIRECT("数出表_Excel!"&amp;Q106&amp;MATCH(V22,数出表_Excel!$A:$A,0)-1+2&amp;":U"&amp;MATCH(V22,数出表_Excel!$A:$A,0)-1+2&amp;""),
 1,
 MATCH(TRUE, ISNUMBER(--INDIRECT("数出表_Excel!"&amp;Q106&amp;MATCH(V22,数出表_Excel!$A:$A,0)-1+2&amp;":U"&amp;MATCH(V22,数出表_Excel!$A:$A,0)-1+2&amp;"")), 0)),
 "")
+IFERROR(
INDEX(INDIRECT("数出表_Excel!"&amp;Q106&amp;MATCH(V22,数出表_Excel!$A:$A,0)-1&amp;":U"&amp;MATCH(V22,数出表_Excel!$A:$A,0)-1&amp;""),
 1,
 MATCH(TRUE, ISNUMBER(--INDIRECT("数出表_Excel!"&amp;Q106&amp;MATCH(V22,数出表_Excel!$A:$A,0)-1&amp;":U"&amp;MATCH(V22,数出表_Excel!$A:$A,0)-1&amp;"")), 0)),
 ""),
IFERROR(
INDEX(INDIRECT("数出表_Excel!"&amp;Q106&amp;MATCH(V22,数出表_Excel!$A:$A,0)-1&amp;":U"&amp;MATCH(V22,数出表_Excel!$A:$A,0)-1&amp;""),
 1,
 MATCH(TRUE, ISNUMBER(--INDIRECT("数出表_Excel!"&amp;Q106&amp;MATCH(V22,数出表_Excel!$A:$A,0)-1&amp;":U"&amp;MATCH(V22,数出表_Excel!$A:$A,0)-1&amp;"")), 0)),
 ""))),"")</f>
        <v/>
      </c>
      <c r="S109" s="253"/>
      <c r="T109" s="255" t="str" cm="1">
        <f t="array" aca="1" ref="T109" ca="1">IF(R65&lt;&gt;"",
IF(IFERROR(
INDEX(INDIRECT("数出表_Excel!B"&amp;MATCH(V22,数出表_Excel!$A:$A,0)&amp;":U"&amp;MATCH(V22,数出表_Excel!$A:$A,0)&amp;""),
 1,Q107-1),
 "")=0,"",
IFERROR(
INDEX(INDIRECT("数出表_Excel!B"&amp;MATCH(V22,数出表_Excel!$A:$A,0)&amp;":U"&amp;MATCH(V22,数出表_Excel!$A:$A,0)&amp;""),
 1,Q107-1),
 "")),"")</f>
        <v/>
      </c>
      <c r="U109" s="253"/>
      <c r="V109" s="97" t="e" cm="1">
        <f t="array" aca="1" ref="V109" ca="1">IF(INDIRECT(""&amp;SUBSTITUTE(ADDRESS(1,
COLUMN()-5,1),"1","")&amp;ROW()-85&amp;"")=100,
IF(R106&lt;&gt;"",
IF(IFERROR(
INDEX(INDIRECT("'数出表_Excel（アレルギー入力）'!"&amp;Q108&amp;MATCH(V22,'数出表_Excel（アレルギー入力）'!$A:$A,0)+1&amp;":"&amp;V110&amp;MATCH(V22,'数出表_Excel（アレルギー入力）'!$A:$A,0)+1&amp;""),
 1,
MATCH(TRUE,INDIRECT("'数出表_Excel（アレルギー入力）'!"&amp;Q108&amp;MATCH(V22,'数出表_Excel（アレルギー入力）'!$A:$A,0)+1&amp;":"&amp;V110&amp;MATCH(V22,'数出表_Excel（アレルギー入力）'!$A:$A,0)+1&amp;"")&lt;&gt;"",0)+1),
 "")&lt;&gt;0,
IF(IFERROR(
INDEX(INDIRECT("'数出表_Excel（アレルギー入力）'!"&amp;Q108&amp;MATCH(V22,'数出表_Excel（アレルギー入力）'!$A:$A,0)+1&amp;":"&amp;V110&amp;MATCH(V22,'数出表_Excel（アレルギー入力）'!$A:$A,0)+1&amp;""),
 1,
MATCH(TRUE,INDIRECT("'数出表_Excel（アレルギー入力）'!"&amp;Q108&amp;MATCH(V22,'数出表_Excel（アレルギー入力）'!$A:$A,0)+1&amp;":"&amp;V110&amp;MATCH(V22,'数出表_Excel（アレルギー入力）'!$A:$A,0)+1&amp;"")&lt;&gt;"",0)+1),
 "")="",
IFERROR(
INDEX(INDIRECT("'数出表_Excel（アレルギー入力）'!"&amp;Q108&amp;MATCH(V22,'数出表_Excel（アレルギー入力）'!$A:$A,0)+1&amp;":"&amp;V110&amp;MATCH(V22,'数出表_Excel（アレルギー入力）'!$A:$A,0)+1&amp;""),
 1,
MATCH(TRUE,INDIRECT("'数出表_Excel（アレルギー入力）'!"&amp;Q108&amp;MATCH(V22,'数出表_Excel（アレルギー入力）'!$A:$A,0)+1&amp;":"&amp;V110&amp;MATCH(V22,'数出表_Excel（アレルギー入力）'!$A:$A,0)+1&amp;"")&lt;&gt;"",0)+1),
 ""),
IFERROR(
INDEX(INDIRECT("'数出表_Excel（アレルギー入力）'!"&amp;Q108&amp;MATCH(V22,'数出表_Excel（アレルギー入力）'!$A:$A,0)+1&amp;":"&amp;V110&amp;MATCH(V22,'数出表_Excel（アレルギー入力）'!$A:$A,0)+1&amp;""),
 1,
MATCH(TRUE,INDIRECT("'数出表_Excel（アレルギー入力）'!"&amp;Q108&amp;MATCH(V22,'数出表_Excel（アレルギー入力）'!$A:$A,0)+1&amp;":"&amp;V110&amp;MATCH(V22,'数出表_Excel（アレルギー入力）'!$A:$A,0)+1&amp;"")&lt;&gt;"",0)+1),
 "")),0),""),0)</f>
        <v>#VALUE!</v>
      </c>
      <c r="X109" s="86"/>
      <c r="Y109" s="252" t="str" cm="1">
        <f t="array" aca="1" ref="Y109" ca="1">IF(Y107&lt;&gt;"",
IF(IFERROR(
INDEX(INDIRECT("数出表_Excel!"&amp;X106&amp;MATCH(AC22,数出表_Excel!$A:$A,0)-1&amp;":U"&amp;MATCH(AC22,数出表_Excel!$A:$A,0)-1&amp;""),
 1,
 MATCH(TRUE, ISNUMBER(--INDIRECT("数出表_Excel!"&amp;X106&amp;MATCH(AC22,数出表_Excel!$A:$A,0)-1&amp;":U"&amp;MATCH(AC22,数出表_Excel!$A:$A,0)-1&amp;"")), 0)),
 "")=0,"",
IF(X24=100,
IFERROR(
INDEX(INDIRECT("数出表_Excel!"&amp;X106&amp;MATCH(AC22,数出表_Excel!$A:$A,0)-1+2&amp;":U"&amp;MATCH(AC22,数出表_Excel!$A:$A,0)-1+2&amp;""),
 1,
 MATCH(TRUE, ISNUMBER(--INDIRECT("数出表_Excel!"&amp;X106&amp;MATCH(AC22,数出表_Excel!$A:$A,0)-1+2&amp;":U"&amp;MATCH(AC22,数出表_Excel!$A:$A,0)-1+2&amp;"")), 0)),
 "")
+IFERROR(
INDEX(INDIRECT("数出表_Excel!"&amp;X106&amp;MATCH(AC22,数出表_Excel!$A:$A,0)-1&amp;":U"&amp;MATCH(AC22,数出表_Excel!$A:$A,0)-1&amp;""),
 1,
 MATCH(TRUE, ISNUMBER(--INDIRECT("数出表_Excel!"&amp;X106&amp;MATCH(AC22,数出表_Excel!$A:$A,0)-1&amp;":U"&amp;MATCH(AC22,数出表_Excel!$A:$A,0)-1&amp;"")), 0)),
 ""),
IFERROR(
INDEX(INDIRECT("数出表_Excel!"&amp;X106&amp;MATCH(AC22,数出表_Excel!$A:$A,0)-1&amp;":U"&amp;MATCH(AC22,数出表_Excel!$A:$A,0)-1&amp;""),
 1,
 MATCH(TRUE, ISNUMBER(--INDIRECT("数出表_Excel!"&amp;X106&amp;MATCH(AC22,数出表_Excel!$A:$A,0)-1&amp;":U"&amp;MATCH(AC22,数出表_Excel!$A:$A,0)-1&amp;"")), 0)),
 ""))),"")</f>
        <v/>
      </c>
      <c r="Z109" s="253"/>
      <c r="AA109" s="255" t="str" cm="1">
        <f t="array" aca="1" ref="AA109" ca="1">IF(Y65&lt;&gt;"",
IF(IFERROR(
INDEX(INDIRECT("数出表_Excel!B"&amp;MATCH(AC22,数出表_Excel!$A:$A,0)&amp;":U"&amp;MATCH(AC22,数出表_Excel!$A:$A,0)&amp;""),
 1,X107-1),
 "")=0,"",
IFERROR(
INDEX(INDIRECT("数出表_Excel!B"&amp;MATCH(AC22,数出表_Excel!$A:$A,0)&amp;":U"&amp;MATCH(AC22,数出表_Excel!$A:$A,0)&amp;""),
 1,X107-1),
 "")),"")</f>
        <v/>
      </c>
      <c r="AB109" s="253"/>
      <c r="AC109" s="97" t="e" cm="1">
        <f t="array" aca="1" ref="AC109" ca="1">IF(INDIRECT(""&amp;SUBSTITUTE(ADDRESS(1,
COLUMN()-5,1),"1","")&amp;ROW()-85&amp;"")=100,
IF(Y106&lt;&gt;"",
IF(IFERROR(
INDEX(INDIRECT("'数出表_Excel（アレルギー入力）'!"&amp;X108&amp;MATCH(AC22,'数出表_Excel（アレルギー入力）'!$A:$A,0)+1&amp;":"&amp;AC110&amp;MATCH(AC22,'数出表_Excel（アレルギー入力）'!$A:$A,0)+1&amp;""),
 1,
MATCH(TRUE,INDIRECT("'数出表_Excel（アレルギー入力）'!"&amp;X108&amp;MATCH(AC22,'数出表_Excel（アレルギー入力）'!$A:$A,0)+1&amp;":"&amp;AC110&amp;MATCH(AC22,'数出表_Excel（アレルギー入力）'!$A:$A,0)+1&amp;"")&lt;&gt;"",0)+1),
 "")&lt;&gt;0,
IF(IFERROR(
INDEX(INDIRECT("'数出表_Excel（アレルギー入力）'!"&amp;X108&amp;MATCH(AC22,'数出表_Excel（アレルギー入力）'!$A:$A,0)+1&amp;":"&amp;AC110&amp;MATCH(AC22,'数出表_Excel（アレルギー入力）'!$A:$A,0)+1&amp;""),
 1,
MATCH(TRUE,INDIRECT("'数出表_Excel（アレルギー入力）'!"&amp;X108&amp;MATCH(AC22,'数出表_Excel（アレルギー入力）'!$A:$A,0)+1&amp;":"&amp;AC110&amp;MATCH(AC22,'数出表_Excel（アレルギー入力）'!$A:$A,0)+1&amp;"")&lt;&gt;"",0)+1),
 "")="",
IFERROR(
INDEX(INDIRECT("'数出表_Excel（アレルギー入力）'!"&amp;X108&amp;MATCH(AC22,'数出表_Excel（アレルギー入力）'!$A:$A,0)+1&amp;":"&amp;AC110&amp;MATCH(AC22,'数出表_Excel（アレルギー入力）'!$A:$A,0)+1&amp;""),
 1,
MATCH(TRUE,INDIRECT("'数出表_Excel（アレルギー入力）'!"&amp;X108&amp;MATCH(AC22,'数出表_Excel（アレルギー入力）'!$A:$A,0)+1&amp;":"&amp;AC110&amp;MATCH(AC22,'数出表_Excel（アレルギー入力）'!$A:$A,0)+1&amp;"")&lt;&gt;"",0)+1),
 ""),
IFERROR(
INDEX(INDIRECT("'数出表_Excel（アレルギー入力）'!"&amp;X108&amp;MATCH(AC22,'数出表_Excel（アレルギー入力）'!$A:$A,0)+1&amp;":"&amp;AC110&amp;MATCH(AC22,'数出表_Excel（アレルギー入力）'!$A:$A,0)+1&amp;""),
 1,
MATCH(TRUE,INDIRECT("'数出表_Excel（アレルギー入力）'!"&amp;X108&amp;MATCH(AC22,'数出表_Excel（アレルギー入力）'!$A:$A,0)+1&amp;":"&amp;AC110&amp;MATCH(AC22,'数出表_Excel（アレルギー入力）'!$A:$A,0)+1&amp;"")&lt;&gt;"",0)+1),
 "")),0),""),0)</f>
        <v>#VALUE!</v>
      </c>
      <c r="AF109" s="86"/>
      <c r="AG109" s="252" t="str" cm="1">
        <f t="array" aca="1" ref="AG109" ca="1">IF(AG107&lt;&gt;"",
IF(IFERROR(
INDEX(INDIRECT("数出表_Excel!"&amp;AF106&amp;MATCH(AK22,数出表_Excel!$A:$A,0)-1&amp;":U"&amp;MATCH(AK22,数出表_Excel!$A:$A,0)-1&amp;""),
 1,
 MATCH(TRUE, ISNUMBER(--INDIRECT("数出表_Excel!"&amp;AF106&amp;MATCH(AK22,数出表_Excel!$A:$A,0)-1&amp;":U"&amp;MATCH(AK22,数出表_Excel!$A:$A,0)-1&amp;"")), 0)),
 "")=0,"",
IF(AF24=100,
IFERROR(
INDEX(INDIRECT("数出表_Excel!"&amp;AF106&amp;MATCH(AK22,数出表_Excel!$A:$A,0)-1+2&amp;":U"&amp;MATCH(AK22,数出表_Excel!$A:$A,0)-1+2&amp;""),
 1,
 MATCH(TRUE, ISNUMBER(--INDIRECT("数出表_Excel!"&amp;AF106&amp;MATCH(AK22,数出表_Excel!$A:$A,0)-1+2&amp;":U"&amp;MATCH(AK22,数出表_Excel!$A:$A,0)-1+2&amp;"")), 0)),
 "")
+IFERROR(
INDEX(INDIRECT("数出表_Excel!"&amp;AF106&amp;MATCH(AK22,数出表_Excel!$A:$A,0)-1&amp;":U"&amp;MATCH(AK22,数出表_Excel!$A:$A,0)-1&amp;""),
 1,
 MATCH(TRUE, ISNUMBER(--INDIRECT("数出表_Excel!"&amp;AF106&amp;MATCH(AK22,数出表_Excel!$A:$A,0)-1&amp;":U"&amp;MATCH(AK22,数出表_Excel!$A:$A,0)-1&amp;"")), 0)),
 ""),
IFERROR(
INDEX(INDIRECT("数出表_Excel!"&amp;AF106&amp;MATCH(AK22,数出表_Excel!$A:$A,0)-1&amp;":U"&amp;MATCH(AK22,数出表_Excel!$A:$A,0)-1&amp;""),
 1,
 MATCH(TRUE, ISNUMBER(--INDIRECT("数出表_Excel!"&amp;AF106&amp;MATCH(AK22,数出表_Excel!$A:$A,0)-1&amp;":U"&amp;MATCH(AK22,数出表_Excel!$A:$A,0)-1&amp;"")), 0)),
 ""))),"")</f>
        <v/>
      </c>
      <c r="AH109" s="253"/>
      <c r="AI109" s="255" t="str" cm="1">
        <f t="array" aca="1" ref="AI109" ca="1">IF(AG65&lt;&gt;"",
IF(IFERROR(
INDEX(INDIRECT("数出表_Excel!B"&amp;MATCH(AK22,数出表_Excel!$A:$A,0)&amp;":U"&amp;MATCH(AK22,数出表_Excel!$A:$A,0)&amp;""),
 1,AF107-1),
 "")=0,"",
IFERROR(
INDEX(INDIRECT("数出表_Excel!B"&amp;MATCH(AK22,数出表_Excel!$A:$A,0)&amp;":U"&amp;MATCH(AK22,数出表_Excel!$A:$A,0)&amp;""),
 1,AF107-1),
 "")),"")</f>
        <v/>
      </c>
      <c r="AJ109" s="253"/>
      <c r="AK109" s="97" t="e" cm="1">
        <f t="array" aca="1" ref="AK109" ca="1">IF(INDIRECT(""&amp;SUBSTITUTE(ADDRESS(1,
COLUMN()-5,1),"1","")&amp;ROW()-85&amp;"")=100,
IF(AG106&lt;&gt;"",
IF(IFERROR(
INDEX(INDIRECT("'数出表_Excel（アレルギー入力）'!"&amp;AF108&amp;MATCH(AK22,'数出表_Excel（アレルギー入力）'!$A:$A,0)+1&amp;":"&amp;AK110&amp;MATCH(AK22,'数出表_Excel（アレルギー入力）'!$A:$A,0)+1&amp;""),
 1,
MATCH(TRUE,INDIRECT("'数出表_Excel（アレルギー入力）'!"&amp;AF108&amp;MATCH(AK22,'数出表_Excel（アレルギー入力）'!$A:$A,0)+1&amp;":"&amp;AK110&amp;MATCH(AK22,'数出表_Excel（アレルギー入力）'!$A:$A,0)+1&amp;"")&lt;&gt;"",0)+1),
 "")&lt;&gt;0,
IF(IFERROR(
INDEX(INDIRECT("'数出表_Excel（アレルギー入力）'!"&amp;AF108&amp;MATCH(AK22,'数出表_Excel（アレルギー入力）'!$A:$A,0)+1&amp;":"&amp;AK110&amp;MATCH(AK22,'数出表_Excel（アレルギー入力）'!$A:$A,0)+1&amp;""),
 1,
MATCH(TRUE,INDIRECT("'数出表_Excel（アレルギー入力）'!"&amp;AF108&amp;MATCH(AK22,'数出表_Excel（アレルギー入力）'!$A:$A,0)+1&amp;":"&amp;AK110&amp;MATCH(AK22,'数出表_Excel（アレルギー入力）'!$A:$A,0)+1&amp;"")&lt;&gt;"",0)+1),
 "")="",
IFERROR(
INDEX(INDIRECT("'数出表_Excel（アレルギー入力）'!"&amp;AF108&amp;MATCH(AK22,'数出表_Excel（アレルギー入力）'!$A:$A,0)+1&amp;":"&amp;AK110&amp;MATCH(AK22,'数出表_Excel（アレルギー入力）'!$A:$A,0)+1&amp;""),
 1,
MATCH(TRUE,INDIRECT("'数出表_Excel（アレルギー入力）'!"&amp;AF108&amp;MATCH(AK22,'数出表_Excel（アレルギー入力）'!$A:$A,0)+1&amp;":"&amp;AK110&amp;MATCH(AK22,'数出表_Excel（アレルギー入力）'!$A:$A,0)+1&amp;"")&lt;&gt;"",0)+1),
 ""),
IFERROR(
INDEX(INDIRECT("'数出表_Excel（アレルギー入力）'!"&amp;AF108&amp;MATCH(AK22,'数出表_Excel（アレルギー入力）'!$A:$A,0)+1&amp;":"&amp;AK110&amp;MATCH(AK22,'数出表_Excel（アレルギー入力）'!$A:$A,0)+1&amp;""),
 1,
MATCH(TRUE,INDIRECT("'数出表_Excel（アレルギー入力）'!"&amp;AF108&amp;MATCH(AK22,'数出表_Excel（アレルギー入力）'!$A:$A,0)+1&amp;":"&amp;AK110&amp;MATCH(AK22,'数出表_Excel（アレルギー入力）'!$A:$A,0)+1&amp;"")&lt;&gt;"",0)+1),
 "")),0),""),0)</f>
        <v>#VALUE!</v>
      </c>
      <c r="AM109" s="86"/>
      <c r="AN109" s="252" t="str" cm="1">
        <f t="array" aca="1" ref="AN109" ca="1">IF(AN107&lt;&gt;"",
IF(IFERROR(
INDEX(INDIRECT("数出表_Excel!"&amp;AM106&amp;MATCH(AR22,数出表_Excel!$A:$A,0)-1&amp;":U"&amp;MATCH(AR22,数出表_Excel!$A:$A,0)-1&amp;""),
 1,
 MATCH(TRUE, ISNUMBER(--INDIRECT("数出表_Excel!"&amp;AM106&amp;MATCH(AR22,数出表_Excel!$A:$A,0)-1&amp;":U"&amp;MATCH(AR22,数出表_Excel!$A:$A,0)-1&amp;"")), 0)),
 "")=0,"",
IF(AM24=100,
IFERROR(
INDEX(INDIRECT("数出表_Excel!"&amp;AM106&amp;MATCH(AR22,数出表_Excel!$A:$A,0)-1+2&amp;":U"&amp;MATCH(AR22,数出表_Excel!$A:$A,0)-1+2&amp;""),
 1,
 MATCH(TRUE, ISNUMBER(--INDIRECT("数出表_Excel!"&amp;AM106&amp;MATCH(AR22,数出表_Excel!$A:$A,0)-1+2&amp;":U"&amp;MATCH(AR22,数出表_Excel!$A:$A,0)-1+2&amp;"")), 0)),
 "")
+IFERROR(
INDEX(INDIRECT("数出表_Excel!"&amp;AM106&amp;MATCH(AR22,数出表_Excel!$A:$A,0)-1&amp;":U"&amp;MATCH(AR22,数出表_Excel!$A:$A,0)-1&amp;""),
 1,
 MATCH(TRUE, ISNUMBER(--INDIRECT("数出表_Excel!"&amp;AM106&amp;MATCH(AR22,数出表_Excel!$A:$A,0)-1&amp;":U"&amp;MATCH(AR22,数出表_Excel!$A:$A,0)-1&amp;"")), 0)),
 ""),
IFERROR(
INDEX(INDIRECT("数出表_Excel!"&amp;AM106&amp;MATCH(AR22,数出表_Excel!$A:$A,0)-1&amp;":U"&amp;MATCH(AR22,数出表_Excel!$A:$A,0)-1&amp;""),
 1,
 MATCH(TRUE, ISNUMBER(--INDIRECT("数出表_Excel!"&amp;AM106&amp;MATCH(AR22,数出表_Excel!$A:$A,0)-1&amp;":U"&amp;MATCH(AR22,数出表_Excel!$A:$A,0)-1&amp;"")), 0)),
 ""))),"")</f>
        <v/>
      </c>
      <c r="AO109" s="253"/>
      <c r="AP109" s="255" t="str" cm="1">
        <f t="array" aca="1" ref="AP109" ca="1">IF(AN65&lt;&gt;"",
IF(IFERROR(
INDEX(INDIRECT("数出表_Excel!B"&amp;MATCH(AR22,数出表_Excel!$A:$A,0)&amp;":U"&amp;MATCH(AR22,数出表_Excel!$A:$A,0)&amp;""),
 1,AM107-1),
 "")=0,"",
IFERROR(
INDEX(INDIRECT("数出表_Excel!B"&amp;MATCH(AR22,数出表_Excel!$A:$A,0)&amp;":U"&amp;MATCH(AR22,数出表_Excel!$A:$A,0)&amp;""),
 1,AM107-1),
 "")),"")</f>
        <v/>
      </c>
      <c r="AQ109" s="253"/>
      <c r="AR109" s="97" t="e" cm="1">
        <f t="array" aca="1" ref="AR109" ca="1">IF(INDIRECT(""&amp;SUBSTITUTE(ADDRESS(1,
COLUMN()-5,1),"1","")&amp;ROW()-85&amp;"")=100,
IF(AN106&lt;&gt;"",
IF(IFERROR(
INDEX(INDIRECT("'数出表_Excel（アレルギー入力）'!"&amp;AM108&amp;MATCH(AR22,'数出表_Excel（アレルギー入力）'!$A:$A,0)+1&amp;":"&amp;AR110&amp;MATCH(AR22,'数出表_Excel（アレルギー入力）'!$A:$A,0)+1&amp;""),
 1,
MATCH(TRUE,INDIRECT("'数出表_Excel（アレルギー入力）'!"&amp;AM108&amp;MATCH(AR22,'数出表_Excel（アレルギー入力）'!$A:$A,0)+1&amp;":"&amp;AR110&amp;MATCH(AR22,'数出表_Excel（アレルギー入力）'!$A:$A,0)+1&amp;"")&lt;&gt;"",0)+1),
 "")&lt;&gt;0,
IF(IFERROR(
INDEX(INDIRECT("'数出表_Excel（アレルギー入力）'!"&amp;AM108&amp;MATCH(AR22,'数出表_Excel（アレルギー入力）'!$A:$A,0)+1&amp;":"&amp;AR110&amp;MATCH(AR22,'数出表_Excel（アレルギー入力）'!$A:$A,0)+1&amp;""),
 1,
MATCH(TRUE,INDIRECT("'数出表_Excel（アレルギー入力）'!"&amp;AM108&amp;MATCH(AR22,'数出表_Excel（アレルギー入力）'!$A:$A,0)+1&amp;":"&amp;AR110&amp;MATCH(AR22,'数出表_Excel（アレルギー入力）'!$A:$A,0)+1&amp;"")&lt;&gt;"",0)+1),
 "")="",
IFERROR(
INDEX(INDIRECT("'数出表_Excel（アレルギー入力）'!"&amp;AM108&amp;MATCH(AR22,'数出表_Excel（アレルギー入力）'!$A:$A,0)+1&amp;":"&amp;AR110&amp;MATCH(AR22,'数出表_Excel（アレルギー入力）'!$A:$A,0)+1&amp;""),
 1,
MATCH(TRUE,INDIRECT("'数出表_Excel（アレルギー入力）'!"&amp;AM108&amp;MATCH(AR22,'数出表_Excel（アレルギー入力）'!$A:$A,0)+1&amp;":"&amp;AR110&amp;MATCH(AR22,'数出表_Excel（アレルギー入力）'!$A:$A,0)+1&amp;"")&lt;&gt;"",0)+1),
 ""),
IFERROR(
INDEX(INDIRECT("'数出表_Excel（アレルギー入力）'!"&amp;AM108&amp;MATCH(AR22,'数出表_Excel（アレルギー入力）'!$A:$A,0)+1&amp;":"&amp;AR110&amp;MATCH(AR22,'数出表_Excel（アレルギー入力）'!$A:$A,0)+1&amp;""),
 1,
MATCH(TRUE,INDIRECT("'数出表_Excel（アレルギー入力）'!"&amp;AM108&amp;MATCH(AR22,'数出表_Excel（アレルギー入力）'!$A:$A,0)+1&amp;":"&amp;AR110&amp;MATCH(AR22,'数出表_Excel（アレルギー入力）'!$A:$A,0)+1&amp;"")&lt;&gt;"",0)+1),
 "")),0),""),0)</f>
        <v>#VALUE!</v>
      </c>
      <c r="AU109" s="86"/>
      <c r="AV109" s="252" t="str" cm="1">
        <f t="array" aca="1" ref="AV109" ca="1">IF(AV107&lt;&gt;"",
IF(IFERROR(
INDEX(INDIRECT("数出表_Excel!"&amp;AU106&amp;MATCH(AZ22,数出表_Excel!$A:$A,0)-1&amp;":U"&amp;MATCH(AZ22,数出表_Excel!$A:$A,0)-1&amp;""),
 1,
 MATCH(TRUE, ISNUMBER(--INDIRECT("数出表_Excel!"&amp;AU106&amp;MATCH(AZ22,数出表_Excel!$A:$A,0)-1&amp;":U"&amp;MATCH(AZ22,数出表_Excel!$A:$A,0)-1&amp;"")), 0)),
 "")=0,"",
IF(AU24=100,
IFERROR(
INDEX(INDIRECT("数出表_Excel!"&amp;AU106&amp;MATCH(AZ22,数出表_Excel!$A:$A,0)-1+2&amp;":U"&amp;MATCH(AZ22,数出表_Excel!$A:$A,0)-1+2&amp;""),
 1,
 MATCH(TRUE, ISNUMBER(--INDIRECT("数出表_Excel!"&amp;AU106&amp;MATCH(AZ22,数出表_Excel!$A:$A,0)-1+2&amp;":U"&amp;MATCH(AZ22,数出表_Excel!$A:$A,0)-1+2&amp;"")), 0)),
 "")
+IFERROR(
INDEX(INDIRECT("数出表_Excel!"&amp;AU106&amp;MATCH(AZ22,数出表_Excel!$A:$A,0)-1&amp;":U"&amp;MATCH(AZ22,数出表_Excel!$A:$A,0)-1&amp;""),
 1,
 MATCH(TRUE, ISNUMBER(--INDIRECT("数出表_Excel!"&amp;AU106&amp;MATCH(AZ22,数出表_Excel!$A:$A,0)-1&amp;":U"&amp;MATCH(AZ22,数出表_Excel!$A:$A,0)-1&amp;"")), 0)),
 ""),
IFERROR(
INDEX(INDIRECT("数出表_Excel!"&amp;AU106&amp;MATCH(AZ22,数出表_Excel!$A:$A,0)-1&amp;":U"&amp;MATCH(AZ22,数出表_Excel!$A:$A,0)-1&amp;""),
 1,
 MATCH(TRUE, ISNUMBER(--INDIRECT("数出表_Excel!"&amp;AU106&amp;MATCH(AZ22,数出表_Excel!$A:$A,0)-1&amp;":U"&amp;MATCH(AZ22,数出表_Excel!$A:$A,0)-1&amp;"")), 0)),
 ""))),"")</f>
        <v/>
      </c>
      <c r="AW109" s="253"/>
      <c r="AX109" s="255" t="str" cm="1">
        <f t="array" aca="1" ref="AX109" ca="1">IF(AV65&lt;&gt;"",
IF(IFERROR(
INDEX(INDIRECT("数出表_Excel!B"&amp;MATCH(AZ22,数出表_Excel!$A:$A,0)&amp;":U"&amp;MATCH(AZ22,数出表_Excel!$A:$A,0)&amp;""),
 1,AU107-1),
 "")=0,"",
IFERROR(
INDEX(INDIRECT("数出表_Excel!B"&amp;MATCH(AZ22,数出表_Excel!$A:$A,0)&amp;":U"&amp;MATCH(AZ22,数出表_Excel!$A:$A,0)&amp;""),
 1,AU107-1),
 "")),"")</f>
        <v/>
      </c>
      <c r="AY109" s="253"/>
      <c r="AZ109" s="97" t="e" cm="1">
        <f t="array" aca="1" ref="AZ109" ca="1">IF(INDIRECT(""&amp;SUBSTITUTE(ADDRESS(1,
COLUMN()-5,1),"1","")&amp;ROW()-85&amp;"")=100,
IF(AV106&lt;&gt;"",
IF(IFERROR(
INDEX(INDIRECT("'数出表_Excel（アレルギー入力）'!"&amp;AU108&amp;MATCH(AZ22,'数出表_Excel（アレルギー入力）'!$A:$A,0)+1&amp;":"&amp;AZ110&amp;MATCH(AZ22,'数出表_Excel（アレルギー入力）'!$A:$A,0)+1&amp;""),
 1,
MATCH(TRUE,INDIRECT("'数出表_Excel（アレルギー入力）'!"&amp;AU108&amp;MATCH(AZ22,'数出表_Excel（アレルギー入力）'!$A:$A,0)+1&amp;":"&amp;AZ110&amp;MATCH(AZ22,'数出表_Excel（アレルギー入力）'!$A:$A,0)+1&amp;"")&lt;&gt;"",0)+1),
 "")&lt;&gt;0,
IF(IFERROR(
INDEX(INDIRECT("'数出表_Excel（アレルギー入力）'!"&amp;AU108&amp;MATCH(AZ22,'数出表_Excel（アレルギー入力）'!$A:$A,0)+1&amp;":"&amp;AZ110&amp;MATCH(AZ22,'数出表_Excel（アレルギー入力）'!$A:$A,0)+1&amp;""),
 1,
MATCH(TRUE,INDIRECT("'数出表_Excel（アレルギー入力）'!"&amp;AU108&amp;MATCH(AZ22,'数出表_Excel（アレルギー入力）'!$A:$A,0)+1&amp;":"&amp;AZ110&amp;MATCH(AZ22,'数出表_Excel（アレルギー入力）'!$A:$A,0)+1&amp;"")&lt;&gt;"",0)+1),
 "")="",
IFERROR(
INDEX(INDIRECT("'数出表_Excel（アレルギー入力）'!"&amp;AU108&amp;MATCH(AZ22,'数出表_Excel（アレルギー入力）'!$A:$A,0)+1&amp;":"&amp;AZ110&amp;MATCH(AZ22,'数出表_Excel（アレルギー入力）'!$A:$A,0)+1&amp;""),
 1,
MATCH(TRUE,INDIRECT("'数出表_Excel（アレルギー入力）'!"&amp;AU108&amp;MATCH(AZ22,'数出表_Excel（アレルギー入力）'!$A:$A,0)+1&amp;":"&amp;AZ110&amp;MATCH(AZ22,'数出表_Excel（アレルギー入力）'!$A:$A,0)+1&amp;"")&lt;&gt;"",0)+1),
 ""),
IFERROR(
INDEX(INDIRECT("'数出表_Excel（アレルギー入力）'!"&amp;AU108&amp;MATCH(AZ22,'数出表_Excel（アレルギー入力）'!$A:$A,0)+1&amp;":"&amp;AZ110&amp;MATCH(AZ22,'数出表_Excel（アレルギー入力）'!$A:$A,0)+1&amp;""),
 1,
MATCH(TRUE,INDIRECT("'数出表_Excel（アレルギー入力）'!"&amp;AU108&amp;MATCH(AZ22,'数出表_Excel（アレルギー入力）'!$A:$A,0)+1&amp;":"&amp;AZ110&amp;MATCH(AZ22,'数出表_Excel（アレルギー入力）'!$A:$A,0)+1&amp;"")&lt;&gt;"",0)+1),
 "")),0),""),0)</f>
        <v>#VALUE!</v>
      </c>
      <c r="BB109" s="86"/>
      <c r="BC109" s="252" t="str" cm="1">
        <f t="array" aca="1" ref="BC109" ca="1">IF(BC107&lt;&gt;"",
IF(IFERROR(
INDEX(INDIRECT("数出表_Excel!"&amp;BB106&amp;MATCH(BG22,数出表_Excel!$A:$A,0)-1&amp;":U"&amp;MATCH(BG22,数出表_Excel!$A:$A,0)-1&amp;""),
 1,
 MATCH(TRUE, ISNUMBER(--INDIRECT("数出表_Excel!"&amp;BB106&amp;MATCH(BG22,数出表_Excel!$A:$A,0)-1&amp;":U"&amp;MATCH(BG22,数出表_Excel!$A:$A,0)-1&amp;"")), 0)),
 "")=0,"",
IF(BB24=100,
IFERROR(
INDEX(INDIRECT("数出表_Excel!"&amp;BB106&amp;MATCH(BG22,数出表_Excel!$A:$A,0)-1+2&amp;":U"&amp;MATCH(BG22,数出表_Excel!$A:$A,0)-1+2&amp;""),
 1,
 MATCH(TRUE, ISNUMBER(--INDIRECT("数出表_Excel!"&amp;BB106&amp;MATCH(BG22,数出表_Excel!$A:$A,0)-1+2&amp;":U"&amp;MATCH(BG22,数出表_Excel!$A:$A,0)-1+2&amp;"")), 0)),
 "")
+IFERROR(
INDEX(INDIRECT("数出表_Excel!"&amp;BB106&amp;MATCH(BG22,数出表_Excel!$A:$A,0)-1&amp;":U"&amp;MATCH(BG22,数出表_Excel!$A:$A,0)-1&amp;""),
 1,
 MATCH(TRUE, ISNUMBER(--INDIRECT("数出表_Excel!"&amp;BB106&amp;MATCH(BG22,数出表_Excel!$A:$A,0)-1&amp;":U"&amp;MATCH(BG22,数出表_Excel!$A:$A,0)-1&amp;"")), 0)),
 ""),
IFERROR(
INDEX(INDIRECT("数出表_Excel!"&amp;BB106&amp;MATCH(BG22,数出表_Excel!$A:$A,0)-1&amp;":U"&amp;MATCH(BG22,数出表_Excel!$A:$A,0)-1&amp;""),
 1,
 MATCH(TRUE, ISNUMBER(--INDIRECT("数出表_Excel!"&amp;BB106&amp;MATCH(BG22,数出表_Excel!$A:$A,0)-1&amp;":U"&amp;MATCH(BG22,数出表_Excel!$A:$A,0)-1&amp;"")), 0)),
 ""))),"")</f>
        <v/>
      </c>
      <c r="BD109" s="253"/>
      <c r="BE109" s="255" t="str" cm="1">
        <f t="array" aca="1" ref="BE109" ca="1">IF(BC65&lt;&gt;"",
IF(IFERROR(
INDEX(INDIRECT("数出表_Excel!B"&amp;MATCH(BG22,数出表_Excel!$A:$A,0)&amp;":U"&amp;MATCH(BG22,数出表_Excel!$A:$A,0)&amp;""),
 1,BB107-1),
 "")=0,"",
IFERROR(
INDEX(INDIRECT("数出表_Excel!B"&amp;MATCH(BG22,数出表_Excel!$A:$A,0)&amp;":U"&amp;MATCH(BG22,数出表_Excel!$A:$A,0)&amp;""),
 1,BB107-1),
 "")),"")</f>
        <v/>
      </c>
      <c r="BF109" s="253"/>
      <c r="BG109" s="97" t="e" cm="1">
        <f t="array" aca="1" ref="BG109" ca="1">IF(INDIRECT(""&amp;SUBSTITUTE(ADDRESS(1,
COLUMN()-5,1),"1","")&amp;ROW()-85&amp;"")=100,
IF(BC106&lt;&gt;"",
IF(IFERROR(
INDEX(INDIRECT("'数出表_Excel（アレルギー入力）'!"&amp;BB108&amp;MATCH(BG22,'数出表_Excel（アレルギー入力）'!$A:$A,0)+1&amp;":"&amp;BG110&amp;MATCH(BG22,'数出表_Excel（アレルギー入力）'!$A:$A,0)+1&amp;""),
 1,
MATCH(TRUE,INDIRECT("'数出表_Excel（アレルギー入力）'!"&amp;BB108&amp;MATCH(BG22,'数出表_Excel（アレルギー入力）'!$A:$A,0)+1&amp;":"&amp;BG110&amp;MATCH(BG22,'数出表_Excel（アレルギー入力）'!$A:$A,0)+1&amp;"")&lt;&gt;"",0)+1),
 "")&lt;&gt;0,
IF(IFERROR(
INDEX(INDIRECT("'数出表_Excel（アレルギー入力）'!"&amp;BB108&amp;MATCH(BG22,'数出表_Excel（アレルギー入力）'!$A:$A,0)+1&amp;":"&amp;BG110&amp;MATCH(BG22,'数出表_Excel（アレルギー入力）'!$A:$A,0)+1&amp;""),
 1,
MATCH(TRUE,INDIRECT("'数出表_Excel（アレルギー入力）'!"&amp;BB108&amp;MATCH(BG22,'数出表_Excel（アレルギー入力）'!$A:$A,0)+1&amp;":"&amp;BG110&amp;MATCH(BG22,'数出表_Excel（アレルギー入力）'!$A:$A,0)+1&amp;"")&lt;&gt;"",0)+1),
 "")="",
IFERROR(
INDEX(INDIRECT("'数出表_Excel（アレルギー入力）'!"&amp;BB108&amp;MATCH(BG22,'数出表_Excel（アレルギー入力）'!$A:$A,0)+1&amp;":"&amp;BG110&amp;MATCH(BG22,'数出表_Excel（アレルギー入力）'!$A:$A,0)+1&amp;""),
 1,
MATCH(TRUE,INDIRECT("'数出表_Excel（アレルギー入力）'!"&amp;BB108&amp;MATCH(BG22,'数出表_Excel（アレルギー入力）'!$A:$A,0)+1&amp;":"&amp;BG110&amp;MATCH(BG22,'数出表_Excel（アレルギー入力）'!$A:$A,0)+1&amp;"")&lt;&gt;"",0)+1),
 ""),
IFERROR(
INDEX(INDIRECT("'数出表_Excel（アレルギー入力）'!"&amp;BB108&amp;MATCH(BG22,'数出表_Excel（アレルギー入力）'!$A:$A,0)+1&amp;":"&amp;BG110&amp;MATCH(BG22,'数出表_Excel（アレルギー入力）'!$A:$A,0)+1&amp;""),
 1,
MATCH(TRUE,INDIRECT("'数出表_Excel（アレルギー入力）'!"&amp;BB108&amp;MATCH(BG22,'数出表_Excel（アレルギー入力）'!$A:$A,0)+1&amp;":"&amp;BG110&amp;MATCH(BG22,'数出表_Excel（アレルギー入力）'!$A:$A,0)+1&amp;"")&lt;&gt;"",0)+1),
 "")),0),""),0)</f>
        <v>#VALUE!</v>
      </c>
      <c r="BJ109" s="86"/>
      <c r="BK109" s="252" t="str" cm="1">
        <f t="array" aca="1" ref="BK109" ca="1">IF(BK107&lt;&gt;"",
IF(IFERROR(
INDEX(INDIRECT("数出表_Excel!"&amp;BJ106&amp;MATCH(BO22,数出表_Excel!$A:$A,0)-1&amp;":U"&amp;MATCH(BO22,数出表_Excel!$A:$A,0)-1&amp;""),
 1,
 MATCH(TRUE, ISNUMBER(--INDIRECT("数出表_Excel!"&amp;BJ106&amp;MATCH(BO22,数出表_Excel!$A:$A,0)-1&amp;":U"&amp;MATCH(BO22,数出表_Excel!$A:$A,0)-1&amp;"")), 0)),
 "")=0,"",
IF(BJ24=100,
IFERROR(
INDEX(INDIRECT("数出表_Excel!"&amp;BJ106&amp;MATCH(BO22,数出表_Excel!$A:$A,0)-1+2&amp;":U"&amp;MATCH(BO22,数出表_Excel!$A:$A,0)-1+2&amp;""),
 1,
 MATCH(TRUE, ISNUMBER(--INDIRECT("数出表_Excel!"&amp;BJ106&amp;MATCH(BO22,数出表_Excel!$A:$A,0)-1+2&amp;":U"&amp;MATCH(BO22,数出表_Excel!$A:$A,0)-1+2&amp;"")), 0)),
 "")
+IFERROR(
INDEX(INDIRECT("数出表_Excel!"&amp;BJ106&amp;MATCH(BO22,数出表_Excel!$A:$A,0)-1&amp;":U"&amp;MATCH(BO22,数出表_Excel!$A:$A,0)-1&amp;""),
 1,
 MATCH(TRUE, ISNUMBER(--INDIRECT("数出表_Excel!"&amp;BJ106&amp;MATCH(BO22,数出表_Excel!$A:$A,0)-1&amp;":U"&amp;MATCH(BO22,数出表_Excel!$A:$A,0)-1&amp;"")), 0)),
 ""),
IFERROR(
INDEX(INDIRECT("数出表_Excel!"&amp;BJ106&amp;MATCH(BO22,数出表_Excel!$A:$A,0)-1&amp;":U"&amp;MATCH(BO22,数出表_Excel!$A:$A,0)-1&amp;""),
 1,
 MATCH(TRUE, ISNUMBER(--INDIRECT("数出表_Excel!"&amp;BJ106&amp;MATCH(BO22,数出表_Excel!$A:$A,0)-1&amp;":U"&amp;MATCH(BO22,数出表_Excel!$A:$A,0)-1&amp;"")), 0)),
 ""))),"")</f>
        <v/>
      </c>
      <c r="BL109" s="253"/>
      <c r="BM109" s="255" t="str" cm="1">
        <f t="array" aca="1" ref="BM109" ca="1">IF(BK65&lt;&gt;"",
IF(IFERROR(
INDEX(INDIRECT("数出表_Excel!B"&amp;MATCH(BO22,数出表_Excel!$A:$A,0)&amp;":U"&amp;MATCH(BO22,数出表_Excel!$A:$A,0)&amp;""),
 1,BJ107-1),
 "")=0,"",
IFERROR(
INDEX(INDIRECT("数出表_Excel!B"&amp;MATCH(BO22,数出表_Excel!$A:$A,0)&amp;":U"&amp;MATCH(BO22,数出表_Excel!$A:$A,0)&amp;""),
 1,BJ107-1),
 "")),"")</f>
        <v/>
      </c>
      <c r="BN109" s="253"/>
      <c r="BO109" s="97" t="e" cm="1">
        <f t="array" aca="1" ref="BO109" ca="1">IF(INDIRECT(""&amp;SUBSTITUTE(ADDRESS(1,
COLUMN()-5,1),"1","")&amp;ROW()-85&amp;"")=100,
IF(BK106&lt;&gt;"",
IF(IFERROR(
INDEX(INDIRECT("'数出表_Excel（アレルギー入力）'!"&amp;BJ108&amp;MATCH(BO22,'数出表_Excel（アレルギー入力）'!$A:$A,0)+1&amp;":"&amp;BO110&amp;MATCH(BO22,'数出表_Excel（アレルギー入力）'!$A:$A,0)+1&amp;""),
 1,
MATCH(TRUE,INDIRECT("'数出表_Excel（アレルギー入力）'!"&amp;BJ108&amp;MATCH(BO22,'数出表_Excel（アレルギー入力）'!$A:$A,0)+1&amp;":"&amp;BO110&amp;MATCH(BO22,'数出表_Excel（アレルギー入力）'!$A:$A,0)+1&amp;"")&lt;&gt;"",0)+1),
 "")&lt;&gt;0,
IF(IFERROR(
INDEX(INDIRECT("'数出表_Excel（アレルギー入力）'!"&amp;BJ108&amp;MATCH(BO22,'数出表_Excel（アレルギー入力）'!$A:$A,0)+1&amp;":"&amp;BO110&amp;MATCH(BO22,'数出表_Excel（アレルギー入力）'!$A:$A,0)+1&amp;""),
 1,
MATCH(TRUE,INDIRECT("'数出表_Excel（アレルギー入力）'!"&amp;BJ108&amp;MATCH(BO22,'数出表_Excel（アレルギー入力）'!$A:$A,0)+1&amp;":"&amp;BO110&amp;MATCH(BO22,'数出表_Excel（アレルギー入力）'!$A:$A,0)+1&amp;"")&lt;&gt;"",0)+1),
 "")="",
IFERROR(
INDEX(INDIRECT("'数出表_Excel（アレルギー入力）'!"&amp;BJ108&amp;MATCH(BO22,'数出表_Excel（アレルギー入力）'!$A:$A,0)+1&amp;":"&amp;BO110&amp;MATCH(BO22,'数出表_Excel（アレルギー入力）'!$A:$A,0)+1&amp;""),
 1,
MATCH(TRUE,INDIRECT("'数出表_Excel（アレルギー入力）'!"&amp;BJ108&amp;MATCH(BO22,'数出表_Excel（アレルギー入力）'!$A:$A,0)+1&amp;":"&amp;BO110&amp;MATCH(BO22,'数出表_Excel（アレルギー入力）'!$A:$A,0)+1&amp;"")&lt;&gt;"",0)+1),
 ""),
IFERROR(
INDEX(INDIRECT("'数出表_Excel（アレルギー入力）'!"&amp;BJ108&amp;MATCH(BO22,'数出表_Excel（アレルギー入力）'!$A:$A,0)+1&amp;":"&amp;BO110&amp;MATCH(BO22,'数出表_Excel（アレルギー入力）'!$A:$A,0)+1&amp;""),
 1,
MATCH(TRUE,INDIRECT("'数出表_Excel（アレルギー入力）'!"&amp;BJ108&amp;MATCH(BO22,'数出表_Excel（アレルギー入力）'!$A:$A,0)+1&amp;":"&amp;BO110&amp;MATCH(BO22,'数出表_Excel（アレルギー入力）'!$A:$A,0)+1&amp;"")&lt;&gt;"",0)+1),
 "")),0),""),0)</f>
        <v>#VALUE!</v>
      </c>
      <c r="BQ109" s="86"/>
      <c r="BR109" s="252" t="str" cm="1">
        <f t="array" aca="1" ref="BR109" ca="1">IF(BR107&lt;&gt;"",
IF(IFERROR(
INDEX(INDIRECT("数出表_Excel!"&amp;BQ106&amp;MATCH(BV22,数出表_Excel!$A:$A,0)-1&amp;":U"&amp;MATCH(BV22,数出表_Excel!$A:$A,0)-1&amp;""),
 1,
 MATCH(TRUE, ISNUMBER(--INDIRECT("数出表_Excel!"&amp;BQ106&amp;MATCH(BV22,数出表_Excel!$A:$A,0)-1&amp;":U"&amp;MATCH(BV22,数出表_Excel!$A:$A,0)-1&amp;"")), 0)),
 "")=0,"",
IF(BQ24=100,
IFERROR(
INDEX(INDIRECT("数出表_Excel!"&amp;BQ106&amp;MATCH(BV22,数出表_Excel!$A:$A,0)-1+2&amp;":U"&amp;MATCH(BV22,数出表_Excel!$A:$A,0)-1+2&amp;""),
 1,
 MATCH(TRUE, ISNUMBER(--INDIRECT("数出表_Excel!"&amp;BQ106&amp;MATCH(BV22,数出表_Excel!$A:$A,0)-1+2&amp;":U"&amp;MATCH(BV22,数出表_Excel!$A:$A,0)-1+2&amp;"")), 0)),
 "")
+IFERROR(
INDEX(INDIRECT("数出表_Excel!"&amp;BQ106&amp;MATCH(BV22,数出表_Excel!$A:$A,0)-1&amp;":U"&amp;MATCH(BV22,数出表_Excel!$A:$A,0)-1&amp;""),
 1,
 MATCH(TRUE, ISNUMBER(--INDIRECT("数出表_Excel!"&amp;BQ106&amp;MATCH(BV22,数出表_Excel!$A:$A,0)-1&amp;":U"&amp;MATCH(BV22,数出表_Excel!$A:$A,0)-1&amp;"")), 0)),
 ""),
IFERROR(
INDEX(INDIRECT("数出表_Excel!"&amp;BQ106&amp;MATCH(BV22,数出表_Excel!$A:$A,0)-1&amp;":U"&amp;MATCH(BV22,数出表_Excel!$A:$A,0)-1&amp;""),
 1,
 MATCH(TRUE, ISNUMBER(--INDIRECT("数出表_Excel!"&amp;BQ106&amp;MATCH(BV22,数出表_Excel!$A:$A,0)-1&amp;":U"&amp;MATCH(BV22,数出表_Excel!$A:$A,0)-1&amp;"")), 0)),
 ""))),"")</f>
        <v/>
      </c>
      <c r="BS109" s="253"/>
      <c r="BT109" s="255" t="str" cm="1">
        <f t="array" aca="1" ref="BT109" ca="1">IF(BR65&lt;&gt;"",
IF(IFERROR(
INDEX(INDIRECT("数出表_Excel!B"&amp;MATCH(BV22,数出表_Excel!$A:$A,0)&amp;":U"&amp;MATCH(BV22,数出表_Excel!$A:$A,0)&amp;""),
 1,BQ107-1),
 "")=0,"",
IFERROR(
INDEX(INDIRECT("数出表_Excel!B"&amp;MATCH(BV22,数出表_Excel!$A:$A,0)&amp;":U"&amp;MATCH(BV22,数出表_Excel!$A:$A,0)&amp;""),
 1,BQ107-1),
 "")),"")</f>
        <v/>
      </c>
      <c r="BU109" s="253"/>
      <c r="BV109" s="97" t="e" cm="1">
        <f t="array" aca="1" ref="BV109" ca="1">IF(INDIRECT(""&amp;SUBSTITUTE(ADDRESS(1,
COLUMN()-5,1),"1","")&amp;ROW()-85&amp;"")=100,
IF(BR106&lt;&gt;"",
IF(IFERROR(
INDEX(INDIRECT("'数出表_Excel（アレルギー入力）'!"&amp;BQ108&amp;MATCH(BV22,'数出表_Excel（アレルギー入力）'!$A:$A,0)+1&amp;":"&amp;BV110&amp;MATCH(BV22,'数出表_Excel（アレルギー入力）'!$A:$A,0)+1&amp;""),
 1,
MATCH(TRUE,INDIRECT("'数出表_Excel（アレルギー入力）'!"&amp;BQ108&amp;MATCH(BV22,'数出表_Excel（アレルギー入力）'!$A:$A,0)+1&amp;":"&amp;BV110&amp;MATCH(BV22,'数出表_Excel（アレルギー入力）'!$A:$A,0)+1&amp;"")&lt;&gt;"",0)+1),
 "")&lt;&gt;0,
IF(IFERROR(
INDEX(INDIRECT("'数出表_Excel（アレルギー入力）'!"&amp;BQ108&amp;MATCH(BV22,'数出表_Excel（アレルギー入力）'!$A:$A,0)+1&amp;":"&amp;BV110&amp;MATCH(BV22,'数出表_Excel（アレルギー入力）'!$A:$A,0)+1&amp;""),
 1,
MATCH(TRUE,INDIRECT("'数出表_Excel（アレルギー入力）'!"&amp;BQ108&amp;MATCH(BV22,'数出表_Excel（アレルギー入力）'!$A:$A,0)+1&amp;":"&amp;BV110&amp;MATCH(BV22,'数出表_Excel（アレルギー入力）'!$A:$A,0)+1&amp;"")&lt;&gt;"",0)+1),
 "")="",
IFERROR(
INDEX(INDIRECT("'数出表_Excel（アレルギー入力）'!"&amp;BQ108&amp;MATCH(BV22,'数出表_Excel（アレルギー入力）'!$A:$A,0)+1&amp;":"&amp;BV110&amp;MATCH(BV22,'数出表_Excel（アレルギー入力）'!$A:$A,0)+1&amp;""),
 1,
MATCH(TRUE,INDIRECT("'数出表_Excel（アレルギー入力）'!"&amp;BQ108&amp;MATCH(BV22,'数出表_Excel（アレルギー入力）'!$A:$A,0)+1&amp;":"&amp;BV110&amp;MATCH(BV22,'数出表_Excel（アレルギー入力）'!$A:$A,0)+1&amp;"")&lt;&gt;"",0)+1),
 ""),
IFERROR(
INDEX(INDIRECT("'数出表_Excel（アレルギー入力）'!"&amp;BQ108&amp;MATCH(BV22,'数出表_Excel（アレルギー入力）'!$A:$A,0)+1&amp;":"&amp;BV110&amp;MATCH(BV22,'数出表_Excel（アレルギー入力）'!$A:$A,0)+1&amp;""),
 1,
MATCH(TRUE,INDIRECT("'数出表_Excel（アレルギー入力）'!"&amp;BQ108&amp;MATCH(BV22,'数出表_Excel（アレルギー入力）'!$A:$A,0)+1&amp;":"&amp;BV110&amp;MATCH(BV22,'数出表_Excel（アレルギー入力）'!$A:$A,0)+1&amp;"")&lt;&gt;"",0)+1),
 "")),0),""),0)</f>
        <v>#VALUE!</v>
      </c>
      <c r="BY109" s="86"/>
      <c r="BZ109" s="252" t="str" cm="1">
        <f t="array" aca="1" ref="BZ109" ca="1">IF(BZ107&lt;&gt;"",
IF(IFERROR(
INDEX(INDIRECT("数出表_Excel!"&amp;BY106&amp;MATCH(CD22,数出表_Excel!$A:$A,0)-1&amp;":U"&amp;MATCH(CD22,数出表_Excel!$A:$A,0)-1&amp;""),
 1,
 MATCH(TRUE, ISNUMBER(--INDIRECT("数出表_Excel!"&amp;BY106&amp;MATCH(CD22,数出表_Excel!$A:$A,0)-1&amp;":U"&amp;MATCH(CD22,数出表_Excel!$A:$A,0)-1&amp;"")), 0)),
 "")=0,"",
IF(BY24=100,
IFERROR(
INDEX(INDIRECT("数出表_Excel!"&amp;BY106&amp;MATCH(CD22,数出表_Excel!$A:$A,0)-1+2&amp;":U"&amp;MATCH(CD22,数出表_Excel!$A:$A,0)-1+2&amp;""),
 1,
 MATCH(TRUE, ISNUMBER(--INDIRECT("数出表_Excel!"&amp;BY106&amp;MATCH(CD22,数出表_Excel!$A:$A,0)-1+2&amp;":U"&amp;MATCH(CD22,数出表_Excel!$A:$A,0)-1+2&amp;"")), 0)),
 "")
+IFERROR(
INDEX(INDIRECT("数出表_Excel!"&amp;BY106&amp;MATCH(CD22,数出表_Excel!$A:$A,0)-1&amp;":U"&amp;MATCH(CD22,数出表_Excel!$A:$A,0)-1&amp;""),
 1,
 MATCH(TRUE, ISNUMBER(--INDIRECT("数出表_Excel!"&amp;BY106&amp;MATCH(CD22,数出表_Excel!$A:$A,0)-1&amp;":U"&amp;MATCH(CD22,数出表_Excel!$A:$A,0)-1&amp;"")), 0)),
 ""),
IFERROR(
INDEX(INDIRECT("数出表_Excel!"&amp;BY106&amp;MATCH(CD22,数出表_Excel!$A:$A,0)-1&amp;":U"&amp;MATCH(CD22,数出表_Excel!$A:$A,0)-1&amp;""),
 1,
 MATCH(TRUE, ISNUMBER(--INDIRECT("数出表_Excel!"&amp;BY106&amp;MATCH(CD22,数出表_Excel!$A:$A,0)-1&amp;":U"&amp;MATCH(CD22,数出表_Excel!$A:$A,0)-1&amp;"")), 0)),
 ""))),"")</f>
        <v/>
      </c>
      <c r="CA109" s="253"/>
      <c r="CB109" s="255" t="str" cm="1">
        <f t="array" aca="1" ref="CB109" ca="1">IF(BZ65&lt;&gt;"",
IF(IFERROR(
INDEX(INDIRECT("数出表_Excel!B"&amp;MATCH(CD22,数出表_Excel!$A:$A,0)&amp;":U"&amp;MATCH(CD22,数出表_Excel!$A:$A,0)&amp;""),
 1,BY107-1),
 "")=0,"",
IFERROR(
INDEX(INDIRECT("数出表_Excel!B"&amp;MATCH(CD22,数出表_Excel!$A:$A,0)&amp;":U"&amp;MATCH(CD22,数出表_Excel!$A:$A,0)&amp;""),
 1,BY107-1),
 "")),"")</f>
        <v/>
      </c>
      <c r="CC109" s="253"/>
      <c r="CD109" s="97" t="e" cm="1">
        <f t="array" aca="1" ref="CD109" ca="1">IF(INDIRECT(""&amp;SUBSTITUTE(ADDRESS(1,
COLUMN()-5,1),"1","")&amp;ROW()-85&amp;"")=100,
IF(BZ106&lt;&gt;"",
IF(IFERROR(
INDEX(INDIRECT("'数出表_Excel（アレルギー入力）'!"&amp;BY108&amp;MATCH(CD22,'数出表_Excel（アレルギー入力）'!$A:$A,0)+1&amp;":"&amp;CD110&amp;MATCH(CD22,'数出表_Excel（アレルギー入力）'!$A:$A,0)+1&amp;""),
 1,
MATCH(TRUE,INDIRECT("'数出表_Excel（アレルギー入力）'!"&amp;BY108&amp;MATCH(CD22,'数出表_Excel（アレルギー入力）'!$A:$A,0)+1&amp;":"&amp;CD110&amp;MATCH(CD22,'数出表_Excel（アレルギー入力）'!$A:$A,0)+1&amp;"")&lt;&gt;"",0)+1),
 "")&lt;&gt;0,
IF(IFERROR(
INDEX(INDIRECT("'数出表_Excel（アレルギー入力）'!"&amp;BY108&amp;MATCH(CD22,'数出表_Excel（アレルギー入力）'!$A:$A,0)+1&amp;":"&amp;CD110&amp;MATCH(CD22,'数出表_Excel（アレルギー入力）'!$A:$A,0)+1&amp;""),
 1,
MATCH(TRUE,INDIRECT("'数出表_Excel（アレルギー入力）'!"&amp;BY108&amp;MATCH(CD22,'数出表_Excel（アレルギー入力）'!$A:$A,0)+1&amp;":"&amp;CD110&amp;MATCH(CD22,'数出表_Excel（アレルギー入力）'!$A:$A,0)+1&amp;"")&lt;&gt;"",0)+1),
 "")="",
IFERROR(
INDEX(INDIRECT("'数出表_Excel（アレルギー入力）'!"&amp;BY108&amp;MATCH(CD22,'数出表_Excel（アレルギー入力）'!$A:$A,0)+1&amp;":"&amp;CD110&amp;MATCH(CD22,'数出表_Excel（アレルギー入力）'!$A:$A,0)+1&amp;""),
 1,
MATCH(TRUE,INDIRECT("'数出表_Excel（アレルギー入力）'!"&amp;BY108&amp;MATCH(CD22,'数出表_Excel（アレルギー入力）'!$A:$A,0)+1&amp;":"&amp;CD110&amp;MATCH(CD22,'数出表_Excel（アレルギー入力）'!$A:$A,0)+1&amp;"")&lt;&gt;"",0)+1),
 ""),
IFERROR(
INDEX(INDIRECT("'数出表_Excel（アレルギー入力）'!"&amp;BY108&amp;MATCH(CD22,'数出表_Excel（アレルギー入力）'!$A:$A,0)+1&amp;":"&amp;CD110&amp;MATCH(CD22,'数出表_Excel（アレルギー入力）'!$A:$A,0)+1&amp;""),
 1,
MATCH(TRUE,INDIRECT("'数出表_Excel（アレルギー入力）'!"&amp;BY108&amp;MATCH(CD22,'数出表_Excel（アレルギー入力）'!$A:$A,0)+1&amp;":"&amp;CD110&amp;MATCH(CD22,'数出表_Excel（アレルギー入力）'!$A:$A,0)+1&amp;"")&lt;&gt;"",0)+1),
 "")),0),""),0)</f>
        <v>#VALUE!</v>
      </c>
      <c r="CF109" s="86"/>
      <c r="CG109" s="252" t="str" cm="1">
        <f t="array" aca="1" ref="CG109" ca="1">IF(CG107&lt;&gt;"",
IF(IFERROR(
INDEX(INDIRECT("数出表_Excel!"&amp;CF106&amp;MATCH(CK22,数出表_Excel!$A:$A,0)-1&amp;":U"&amp;MATCH(CK22,数出表_Excel!$A:$A,0)-1&amp;""),
 1,
 MATCH(TRUE, ISNUMBER(--INDIRECT("数出表_Excel!"&amp;CF106&amp;MATCH(CK22,数出表_Excel!$A:$A,0)-1&amp;":U"&amp;MATCH(CK22,数出表_Excel!$A:$A,0)-1&amp;"")), 0)),
 "")=0,"",
IF(CF24=100,
IFERROR(
INDEX(INDIRECT("数出表_Excel!"&amp;CF106&amp;MATCH(CK22,数出表_Excel!$A:$A,0)-1+2&amp;":U"&amp;MATCH(CK22,数出表_Excel!$A:$A,0)-1+2&amp;""),
 1,
 MATCH(TRUE, ISNUMBER(--INDIRECT("数出表_Excel!"&amp;CF106&amp;MATCH(CK22,数出表_Excel!$A:$A,0)-1+2&amp;":U"&amp;MATCH(CK22,数出表_Excel!$A:$A,0)-1+2&amp;"")), 0)),
 "")
+IFERROR(
INDEX(INDIRECT("数出表_Excel!"&amp;CF106&amp;MATCH(CK22,数出表_Excel!$A:$A,0)-1&amp;":U"&amp;MATCH(CK22,数出表_Excel!$A:$A,0)-1&amp;""),
 1,
 MATCH(TRUE, ISNUMBER(--INDIRECT("数出表_Excel!"&amp;CF106&amp;MATCH(CK22,数出表_Excel!$A:$A,0)-1&amp;":U"&amp;MATCH(CK22,数出表_Excel!$A:$A,0)-1&amp;"")), 0)),
 ""),
IFERROR(
INDEX(INDIRECT("数出表_Excel!"&amp;CF106&amp;MATCH(CK22,数出表_Excel!$A:$A,0)-1&amp;":U"&amp;MATCH(CK22,数出表_Excel!$A:$A,0)-1&amp;""),
 1,
 MATCH(TRUE, ISNUMBER(--INDIRECT("数出表_Excel!"&amp;CF106&amp;MATCH(CK22,数出表_Excel!$A:$A,0)-1&amp;":U"&amp;MATCH(CK22,数出表_Excel!$A:$A,0)-1&amp;"")), 0)),
 ""))),"")</f>
        <v/>
      </c>
      <c r="CH109" s="253"/>
      <c r="CI109" s="255" t="str" cm="1">
        <f t="array" aca="1" ref="CI109" ca="1">IF(CG65&lt;&gt;"",
IF(IFERROR(
INDEX(INDIRECT("数出表_Excel!B"&amp;MATCH(CK22,数出表_Excel!$A:$A,0)&amp;":U"&amp;MATCH(CK22,数出表_Excel!$A:$A,0)&amp;""),
 1,CF107-1),
 "")=0,"",
IFERROR(
INDEX(INDIRECT("数出表_Excel!B"&amp;MATCH(CK22,数出表_Excel!$A:$A,0)&amp;":U"&amp;MATCH(CK22,数出表_Excel!$A:$A,0)&amp;""),
 1,CF107-1),
 "")),"")</f>
        <v/>
      </c>
      <c r="CJ109" s="253"/>
      <c r="CK109" s="97" t="e" cm="1">
        <f t="array" aca="1" ref="CK109" ca="1">IF(INDIRECT(""&amp;SUBSTITUTE(ADDRESS(1,
COLUMN()-5,1),"1","")&amp;ROW()-85&amp;"")=100,
IF(CG106&lt;&gt;"",
IF(IFERROR(
INDEX(INDIRECT("'数出表_Excel（アレルギー入力）'!"&amp;CF108&amp;MATCH(CK22,'数出表_Excel（アレルギー入力）'!$A:$A,0)+1&amp;":"&amp;CK110&amp;MATCH(CK22,'数出表_Excel（アレルギー入力）'!$A:$A,0)+1&amp;""),
 1,
MATCH(TRUE,INDIRECT("'数出表_Excel（アレルギー入力）'!"&amp;CF108&amp;MATCH(CK22,'数出表_Excel（アレルギー入力）'!$A:$A,0)+1&amp;":"&amp;CK110&amp;MATCH(CK22,'数出表_Excel（アレルギー入力）'!$A:$A,0)+1&amp;"")&lt;&gt;"",0)+1),
 "")&lt;&gt;0,
IF(IFERROR(
INDEX(INDIRECT("'数出表_Excel（アレルギー入力）'!"&amp;CF108&amp;MATCH(CK22,'数出表_Excel（アレルギー入力）'!$A:$A,0)+1&amp;":"&amp;CK110&amp;MATCH(CK22,'数出表_Excel（アレルギー入力）'!$A:$A,0)+1&amp;""),
 1,
MATCH(TRUE,INDIRECT("'数出表_Excel（アレルギー入力）'!"&amp;CF108&amp;MATCH(CK22,'数出表_Excel（アレルギー入力）'!$A:$A,0)+1&amp;":"&amp;CK110&amp;MATCH(CK22,'数出表_Excel（アレルギー入力）'!$A:$A,0)+1&amp;"")&lt;&gt;"",0)+1),
 "")="",
IFERROR(
INDEX(INDIRECT("'数出表_Excel（アレルギー入力）'!"&amp;CF108&amp;MATCH(CK22,'数出表_Excel（アレルギー入力）'!$A:$A,0)+1&amp;":"&amp;CK110&amp;MATCH(CK22,'数出表_Excel（アレルギー入力）'!$A:$A,0)+1&amp;""),
 1,
MATCH(TRUE,INDIRECT("'数出表_Excel（アレルギー入力）'!"&amp;CF108&amp;MATCH(CK22,'数出表_Excel（アレルギー入力）'!$A:$A,0)+1&amp;":"&amp;CK110&amp;MATCH(CK22,'数出表_Excel（アレルギー入力）'!$A:$A,0)+1&amp;"")&lt;&gt;"",0)+1),
 ""),
IFERROR(
INDEX(INDIRECT("'数出表_Excel（アレルギー入力）'!"&amp;CF108&amp;MATCH(CK22,'数出表_Excel（アレルギー入力）'!$A:$A,0)+1&amp;":"&amp;CK110&amp;MATCH(CK22,'数出表_Excel（アレルギー入力）'!$A:$A,0)+1&amp;""),
 1,
MATCH(TRUE,INDIRECT("'数出表_Excel（アレルギー入力）'!"&amp;CF108&amp;MATCH(CK22,'数出表_Excel（アレルギー入力）'!$A:$A,0)+1&amp;":"&amp;CK110&amp;MATCH(CK22,'数出表_Excel（アレルギー入力）'!$A:$A,0)+1&amp;"")&lt;&gt;"",0)+1),
 "")),0),""),0)</f>
        <v>#VALUE!</v>
      </c>
      <c r="CN109" s="86"/>
      <c r="CO109" s="252" t="str" cm="1">
        <f t="array" aca="1" ref="CO109" ca="1">IF(CO107&lt;&gt;"",
IF(IFERROR(
INDEX(INDIRECT("数出表_Excel!"&amp;CN106&amp;MATCH(CS22,数出表_Excel!$A:$A,0)-1&amp;":U"&amp;MATCH(CS22,数出表_Excel!$A:$A,0)-1&amp;""),
 1,
 MATCH(TRUE, ISNUMBER(--INDIRECT("数出表_Excel!"&amp;CN106&amp;MATCH(CS22,数出表_Excel!$A:$A,0)-1&amp;":U"&amp;MATCH(CS22,数出表_Excel!$A:$A,0)-1&amp;"")), 0)),
 "")=0,"",
IF(CN24=100,
IFERROR(
INDEX(INDIRECT("数出表_Excel!"&amp;CN106&amp;MATCH(CS22,数出表_Excel!$A:$A,0)-1+2&amp;":U"&amp;MATCH(CS22,数出表_Excel!$A:$A,0)-1+2&amp;""),
 1,
 MATCH(TRUE, ISNUMBER(--INDIRECT("数出表_Excel!"&amp;CN106&amp;MATCH(CS22,数出表_Excel!$A:$A,0)-1+2&amp;":U"&amp;MATCH(CS22,数出表_Excel!$A:$A,0)-1+2&amp;"")), 0)),
 "")
+IFERROR(
INDEX(INDIRECT("数出表_Excel!"&amp;CN106&amp;MATCH(CS22,数出表_Excel!$A:$A,0)-1&amp;":U"&amp;MATCH(CS22,数出表_Excel!$A:$A,0)-1&amp;""),
 1,
 MATCH(TRUE, ISNUMBER(--INDIRECT("数出表_Excel!"&amp;CN106&amp;MATCH(CS22,数出表_Excel!$A:$A,0)-1&amp;":U"&amp;MATCH(CS22,数出表_Excel!$A:$A,0)-1&amp;"")), 0)),
 ""),
IFERROR(
INDEX(INDIRECT("数出表_Excel!"&amp;CN106&amp;MATCH(CS22,数出表_Excel!$A:$A,0)-1&amp;":U"&amp;MATCH(CS22,数出表_Excel!$A:$A,0)-1&amp;""),
 1,
 MATCH(TRUE, ISNUMBER(--INDIRECT("数出表_Excel!"&amp;CN106&amp;MATCH(CS22,数出表_Excel!$A:$A,0)-1&amp;":U"&amp;MATCH(CS22,数出表_Excel!$A:$A,0)-1&amp;"")), 0)),
 ""))),"")</f>
        <v/>
      </c>
      <c r="CP109" s="253"/>
      <c r="CQ109" s="255" t="str" cm="1">
        <f t="array" aca="1" ref="CQ109" ca="1">IF(CO65&lt;&gt;"",
IF(IFERROR(
INDEX(INDIRECT("数出表_Excel!B"&amp;MATCH(CS22,数出表_Excel!$A:$A,0)&amp;":U"&amp;MATCH(CS22,数出表_Excel!$A:$A,0)&amp;""),
 1,CN107-1),
 "")=0,"",
IFERROR(
INDEX(INDIRECT("数出表_Excel!B"&amp;MATCH(CS22,数出表_Excel!$A:$A,0)&amp;":U"&amp;MATCH(CS22,数出表_Excel!$A:$A,0)&amp;""),
 1,CN107-1),
 "")),"")</f>
        <v/>
      </c>
      <c r="CR109" s="253"/>
      <c r="CS109" s="97" t="e" cm="1">
        <f t="array" aca="1" ref="CS109" ca="1">IF(INDIRECT(""&amp;SUBSTITUTE(ADDRESS(1,
COLUMN()-5,1),"1","")&amp;ROW()-85&amp;"")=100,
IF(CO106&lt;&gt;"",
IF(IFERROR(
INDEX(INDIRECT("'数出表_Excel（アレルギー入力）'!"&amp;CN108&amp;MATCH(CS22,'数出表_Excel（アレルギー入力）'!$A:$A,0)+1&amp;":"&amp;CS110&amp;MATCH(CS22,'数出表_Excel（アレルギー入力）'!$A:$A,0)+1&amp;""),
 1,
MATCH(TRUE,INDIRECT("'数出表_Excel（アレルギー入力）'!"&amp;CN108&amp;MATCH(CS22,'数出表_Excel（アレルギー入力）'!$A:$A,0)+1&amp;":"&amp;CS110&amp;MATCH(CS22,'数出表_Excel（アレルギー入力）'!$A:$A,0)+1&amp;"")&lt;&gt;"",0)+1),
 "")&lt;&gt;0,
IF(IFERROR(
INDEX(INDIRECT("'数出表_Excel（アレルギー入力）'!"&amp;CN108&amp;MATCH(CS22,'数出表_Excel（アレルギー入力）'!$A:$A,0)+1&amp;":"&amp;CS110&amp;MATCH(CS22,'数出表_Excel（アレルギー入力）'!$A:$A,0)+1&amp;""),
 1,
MATCH(TRUE,INDIRECT("'数出表_Excel（アレルギー入力）'!"&amp;CN108&amp;MATCH(CS22,'数出表_Excel（アレルギー入力）'!$A:$A,0)+1&amp;":"&amp;CS110&amp;MATCH(CS22,'数出表_Excel（アレルギー入力）'!$A:$A,0)+1&amp;"")&lt;&gt;"",0)+1),
 "")="",
IFERROR(
INDEX(INDIRECT("'数出表_Excel（アレルギー入力）'!"&amp;CN108&amp;MATCH(CS22,'数出表_Excel（アレルギー入力）'!$A:$A,0)+1&amp;":"&amp;CS110&amp;MATCH(CS22,'数出表_Excel（アレルギー入力）'!$A:$A,0)+1&amp;""),
 1,
MATCH(TRUE,INDIRECT("'数出表_Excel（アレルギー入力）'!"&amp;CN108&amp;MATCH(CS22,'数出表_Excel（アレルギー入力）'!$A:$A,0)+1&amp;":"&amp;CS110&amp;MATCH(CS22,'数出表_Excel（アレルギー入力）'!$A:$A,0)+1&amp;"")&lt;&gt;"",0)+1),
 ""),
IFERROR(
INDEX(INDIRECT("'数出表_Excel（アレルギー入力）'!"&amp;CN108&amp;MATCH(CS22,'数出表_Excel（アレルギー入力）'!$A:$A,0)+1&amp;":"&amp;CS110&amp;MATCH(CS22,'数出表_Excel（アレルギー入力）'!$A:$A,0)+1&amp;""),
 1,
MATCH(TRUE,INDIRECT("'数出表_Excel（アレルギー入力）'!"&amp;CN108&amp;MATCH(CS22,'数出表_Excel（アレルギー入力）'!$A:$A,0)+1&amp;":"&amp;CS110&amp;MATCH(CS22,'数出表_Excel（アレルギー入力）'!$A:$A,0)+1&amp;"")&lt;&gt;"",0)+1),
 "")),0),""),0)</f>
        <v>#VALUE!</v>
      </c>
      <c r="CU109" s="86"/>
      <c r="CV109" s="252" t="str" cm="1">
        <f t="array" aca="1" ref="CV109" ca="1">IF(CV107&lt;&gt;"",
IF(IFERROR(
INDEX(INDIRECT("数出表_Excel!"&amp;CU106&amp;MATCH(CZ22,数出表_Excel!$A:$A,0)-1&amp;":U"&amp;MATCH(CZ22,数出表_Excel!$A:$A,0)-1&amp;""),
 1,
 MATCH(TRUE, ISNUMBER(--INDIRECT("数出表_Excel!"&amp;CU106&amp;MATCH(CZ22,数出表_Excel!$A:$A,0)-1&amp;":U"&amp;MATCH(CZ22,数出表_Excel!$A:$A,0)-1&amp;"")), 0)),
 "")=0,"",
IF(CU24=100,
IFERROR(
INDEX(INDIRECT("数出表_Excel!"&amp;CU106&amp;MATCH(CZ22,数出表_Excel!$A:$A,0)-1+2&amp;":U"&amp;MATCH(CZ22,数出表_Excel!$A:$A,0)-1+2&amp;""),
 1,
 MATCH(TRUE, ISNUMBER(--INDIRECT("数出表_Excel!"&amp;CU106&amp;MATCH(CZ22,数出表_Excel!$A:$A,0)-1+2&amp;":U"&amp;MATCH(CZ22,数出表_Excel!$A:$A,0)-1+2&amp;"")), 0)),
 "")
+IFERROR(
INDEX(INDIRECT("数出表_Excel!"&amp;CU106&amp;MATCH(CZ22,数出表_Excel!$A:$A,0)-1&amp;":U"&amp;MATCH(CZ22,数出表_Excel!$A:$A,0)-1&amp;""),
 1,
 MATCH(TRUE, ISNUMBER(--INDIRECT("数出表_Excel!"&amp;CU106&amp;MATCH(CZ22,数出表_Excel!$A:$A,0)-1&amp;":U"&amp;MATCH(CZ22,数出表_Excel!$A:$A,0)-1&amp;"")), 0)),
 ""),
IFERROR(
INDEX(INDIRECT("数出表_Excel!"&amp;CU106&amp;MATCH(CZ22,数出表_Excel!$A:$A,0)-1&amp;":U"&amp;MATCH(CZ22,数出表_Excel!$A:$A,0)-1&amp;""),
 1,
 MATCH(TRUE, ISNUMBER(--INDIRECT("数出表_Excel!"&amp;CU106&amp;MATCH(CZ22,数出表_Excel!$A:$A,0)-1&amp;":U"&amp;MATCH(CZ22,数出表_Excel!$A:$A,0)-1&amp;"")), 0)),
 ""))),"")</f>
        <v/>
      </c>
      <c r="CW109" s="253"/>
      <c r="CX109" s="255" t="str" cm="1">
        <f t="array" aca="1" ref="CX109" ca="1">IF(CV65&lt;&gt;"",
IF(IFERROR(
INDEX(INDIRECT("数出表_Excel!B"&amp;MATCH(CZ22,数出表_Excel!$A:$A,0)&amp;":U"&amp;MATCH(CZ22,数出表_Excel!$A:$A,0)&amp;""),
 1,CU107-1),
 "")=0,"",
IFERROR(
INDEX(INDIRECT("数出表_Excel!B"&amp;MATCH(CZ22,数出表_Excel!$A:$A,0)&amp;":U"&amp;MATCH(CZ22,数出表_Excel!$A:$A,0)&amp;""),
 1,CU107-1),
 "")),"")</f>
        <v/>
      </c>
      <c r="CY109" s="253"/>
      <c r="CZ109" s="97" t="e" cm="1">
        <f t="array" aca="1" ref="CZ109" ca="1">IF(INDIRECT(""&amp;SUBSTITUTE(ADDRESS(1,
COLUMN()-5,1),"1","")&amp;ROW()-85&amp;"")=100,
IF(CV106&lt;&gt;"",
IF(IFERROR(
INDEX(INDIRECT("'数出表_Excel（アレルギー入力）'!"&amp;CU108&amp;MATCH(CZ22,'数出表_Excel（アレルギー入力）'!$A:$A,0)+1&amp;":"&amp;CZ110&amp;MATCH(CZ22,'数出表_Excel（アレルギー入力）'!$A:$A,0)+1&amp;""),
 1,
MATCH(TRUE,INDIRECT("'数出表_Excel（アレルギー入力）'!"&amp;CU108&amp;MATCH(CZ22,'数出表_Excel（アレルギー入力）'!$A:$A,0)+1&amp;":"&amp;CZ110&amp;MATCH(CZ22,'数出表_Excel（アレルギー入力）'!$A:$A,0)+1&amp;"")&lt;&gt;"",0)+1),
 "")&lt;&gt;0,
IF(IFERROR(
INDEX(INDIRECT("'数出表_Excel（アレルギー入力）'!"&amp;CU108&amp;MATCH(CZ22,'数出表_Excel（アレルギー入力）'!$A:$A,0)+1&amp;":"&amp;CZ110&amp;MATCH(CZ22,'数出表_Excel（アレルギー入力）'!$A:$A,0)+1&amp;""),
 1,
MATCH(TRUE,INDIRECT("'数出表_Excel（アレルギー入力）'!"&amp;CU108&amp;MATCH(CZ22,'数出表_Excel（アレルギー入力）'!$A:$A,0)+1&amp;":"&amp;CZ110&amp;MATCH(CZ22,'数出表_Excel（アレルギー入力）'!$A:$A,0)+1&amp;"")&lt;&gt;"",0)+1),
 "")="",
IFERROR(
INDEX(INDIRECT("'数出表_Excel（アレルギー入力）'!"&amp;CU108&amp;MATCH(CZ22,'数出表_Excel（アレルギー入力）'!$A:$A,0)+1&amp;":"&amp;CZ110&amp;MATCH(CZ22,'数出表_Excel（アレルギー入力）'!$A:$A,0)+1&amp;""),
 1,
MATCH(TRUE,INDIRECT("'数出表_Excel（アレルギー入力）'!"&amp;CU108&amp;MATCH(CZ22,'数出表_Excel（アレルギー入力）'!$A:$A,0)+1&amp;":"&amp;CZ110&amp;MATCH(CZ22,'数出表_Excel（アレルギー入力）'!$A:$A,0)+1&amp;"")&lt;&gt;"",0)+1),
 ""),
IFERROR(
INDEX(INDIRECT("'数出表_Excel（アレルギー入力）'!"&amp;CU108&amp;MATCH(CZ22,'数出表_Excel（アレルギー入力）'!$A:$A,0)+1&amp;":"&amp;CZ110&amp;MATCH(CZ22,'数出表_Excel（アレルギー入力）'!$A:$A,0)+1&amp;""),
 1,
MATCH(TRUE,INDIRECT("'数出表_Excel（アレルギー入力）'!"&amp;CU108&amp;MATCH(CZ22,'数出表_Excel（アレルギー入力）'!$A:$A,0)+1&amp;":"&amp;CZ110&amp;MATCH(CZ22,'数出表_Excel（アレルギー入力）'!$A:$A,0)+1&amp;"")&lt;&gt;"",0)+1),
 "")),0),""),0)</f>
        <v>#VALUE!</v>
      </c>
      <c r="DC109" s="86"/>
      <c r="DD109" s="252" t="str" cm="1">
        <f t="array" aca="1" ref="DD109" ca="1">IF(DD107&lt;&gt;"",
IF(IFERROR(
INDEX(INDIRECT("数出表_Excel!"&amp;DC106&amp;MATCH(DH22,数出表_Excel!$A:$A,0)-1&amp;":U"&amp;MATCH(DH22,数出表_Excel!$A:$A,0)-1&amp;""),
 1,
 MATCH(TRUE, ISNUMBER(--INDIRECT("数出表_Excel!"&amp;DC106&amp;MATCH(DH22,数出表_Excel!$A:$A,0)-1&amp;":U"&amp;MATCH(DH22,数出表_Excel!$A:$A,0)-1&amp;"")), 0)),
 "")=0,"",
IF(DC24=100,
IFERROR(
INDEX(INDIRECT("数出表_Excel!"&amp;DC106&amp;MATCH(DH22,数出表_Excel!$A:$A,0)-1+2&amp;":U"&amp;MATCH(DH22,数出表_Excel!$A:$A,0)-1+2&amp;""),
 1,
 MATCH(TRUE, ISNUMBER(--INDIRECT("数出表_Excel!"&amp;DC106&amp;MATCH(DH22,数出表_Excel!$A:$A,0)-1+2&amp;":U"&amp;MATCH(DH22,数出表_Excel!$A:$A,0)-1+2&amp;"")), 0)),
 "")
+IFERROR(
INDEX(INDIRECT("数出表_Excel!"&amp;DC106&amp;MATCH(DH22,数出表_Excel!$A:$A,0)-1&amp;":U"&amp;MATCH(DH22,数出表_Excel!$A:$A,0)-1&amp;""),
 1,
 MATCH(TRUE, ISNUMBER(--INDIRECT("数出表_Excel!"&amp;DC106&amp;MATCH(DH22,数出表_Excel!$A:$A,0)-1&amp;":U"&amp;MATCH(DH22,数出表_Excel!$A:$A,0)-1&amp;"")), 0)),
 ""),
IFERROR(
INDEX(INDIRECT("数出表_Excel!"&amp;DC106&amp;MATCH(DH22,数出表_Excel!$A:$A,0)-1&amp;":U"&amp;MATCH(DH22,数出表_Excel!$A:$A,0)-1&amp;""),
 1,
 MATCH(TRUE, ISNUMBER(--INDIRECT("数出表_Excel!"&amp;DC106&amp;MATCH(DH22,数出表_Excel!$A:$A,0)-1&amp;":U"&amp;MATCH(DH22,数出表_Excel!$A:$A,0)-1&amp;"")), 0)),
 ""))),"")</f>
        <v/>
      </c>
      <c r="DE109" s="253"/>
      <c r="DF109" s="255" t="str" cm="1">
        <f t="array" aca="1" ref="DF109" ca="1">IF(DD65&lt;&gt;"",
IF(IFERROR(
INDEX(INDIRECT("数出表_Excel!B"&amp;MATCH(DH22,数出表_Excel!$A:$A,0)&amp;":U"&amp;MATCH(DH22,数出表_Excel!$A:$A,0)&amp;""),
 1,DC107-1),
 "")=0,"",
IFERROR(
INDEX(INDIRECT("数出表_Excel!B"&amp;MATCH(DH22,数出表_Excel!$A:$A,0)&amp;":U"&amp;MATCH(DH22,数出表_Excel!$A:$A,0)&amp;""),
 1,DC107-1),
 "")),"")</f>
        <v/>
      </c>
      <c r="DG109" s="253"/>
      <c r="DH109" s="97" t="e" cm="1">
        <f t="array" aca="1" ref="DH109" ca="1">IF(INDIRECT(""&amp;SUBSTITUTE(ADDRESS(1,
COLUMN()-5,1),"1","")&amp;ROW()-85&amp;"")=100,
IF(DD106&lt;&gt;"",
IF(IFERROR(
INDEX(INDIRECT("'数出表_Excel（アレルギー入力）'!"&amp;DC108&amp;MATCH(DH22,'数出表_Excel（アレルギー入力）'!$A:$A,0)+1&amp;":"&amp;DH110&amp;MATCH(DH22,'数出表_Excel（アレルギー入力）'!$A:$A,0)+1&amp;""),
 1,
MATCH(TRUE,INDIRECT("'数出表_Excel（アレルギー入力）'!"&amp;DC108&amp;MATCH(DH22,'数出表_Excel（アレルギー入力）'!$A:$A,0)+1&amp;":"&amp;DH110&amp;MATCH(DH22,'数出表_Excel（アレルギー入力）'!$A:$A,0)+1&amp;"")&lt;&gt;"",0)+1),
 "")&lt;&gt;0,
IF(IFERROR(
INDEX(INDIRECT("'数出表_Excel（アレルギー入力）'!"&amp;DC108&amp;MATCH(DH22,'数出表_Excel（アレルギー入力）'!$A:$A,0)+1&amp;":"&amp;DH110&amp;MATCH(DH22,'数出表_Excel（アレルギー入力）'!$A:$A,0)+1&amp;""),
 1,
MATCH(TRUE,INDIRECT("'数出表_Excel（アレルギー入力）'!"&amp;DC108&amp;MATCH(DH22,'数出表_Excel（アレルギー入力）'!$A:$A,0)+1&amp;":"&amp;DH110&amp;MATCH(DH22,'数出表_Excel（アレルギー入力）'!$A:$A,0)+1&amp;"")&lt;&gt;"",0)+1),
 "")="",
IFERROR(
INDEX(INDIRECT("'数出表_Excel（アレルギー入力）'!"&amp;DC108&amp;MATCH(DH22,'数出表_Excel（アレルギー入力）'!$A:$A,0)+1&amp;":"&amp;DH110&amp;MATCH(DH22,'数出表_Excel（アレルギー入力）'!$A:$A,0)+1&amp;""),
 1,
MATCH(TRUE,INDIRECT("'数出表_Excel（アレルギー入力）'!"&amp;DC108&amp;MATCH(DH22,'数出表_Excel（アレルギー入力）'!$A:$A,0)+1&amp;":"&amp;DH110&amp;MATCH(DH22,'数出表_Excel（アレルギー入力）'!$A:$A,0)+1&amp;"")&lt;&gt;"",0)+1),
 ""),
IFERROR(
INDEX(INDIRECT("'数出表_Excel（アレルギー入力）'!"&amp;DC108&amp;MATCH(DH22,'数出表_Excel（アレルギー入力）'!$A:$A,0)+1&amp;":"&amp;DH110&amp;MATCH(DH22,'数出表_Excel（アレルギー入力）'!$A:$A,0)+1&amp;""),
 1,
MATCH(TRUE,INDIRECT("'数出表_Excel（アレルギー入力）'!"&amp;DC108&amp;MATCH(DH22,'数出表_Excel（アレルギー入力）'!$A:$A,0)+1&amp;":"&amp;DH110&amp;MATCH(DH22,'数出表_Excel（アレルギー入力）'!$A:$A,0)+1&amp;"")&lt;&gt;"",0)+1),
 "")),0),""),0)</f>
        <v>#VALUE!</v>
      </c>
      <c r="DJ109" s="86"/>
      <c r="DK109" s="252" t="str" cm="1">
        <f t="array" aca="1" ref="DK109" ca="1">IF(DK107&lt;&gt;"",
IF(IFERROR(
INDEX(INDIRECT("数出表_Excel!"&amp;DJ106&amp;MATCH(DO22,数出表_Excel!$A:$A,0)-1&amp;":U"&amp;MATCH(DO22,数出表_Excel!$A:$A,0)-1&amp;""),
 1,
 MATCH(TRUE, ISNUMBER(--INDIRECT("数出表_Excel!"&amp;DJ106&amp;MATCH(DO22,数出表_Excel!$A:$A,0)-1&amp;":U"&amp;MATCH(DO22,数出表_Excel!$A:$A,0)-1&amp;"")), 0)),
 "")=0,"",
IF(DJ24=100,
IFERROR(
INDEX(INDIRECT("数出表_Excel!"&amp;DJ106&amp;MATCH(DO22,数出表_Excel!$A:$A,0)-1+2&amp;":U"&amp;MATCH(DO22,数出表_Excel!$A:$A,0)-1+2&amp;""),
 1,
 MATCH(TRUE, ISNUMBER(--INDIRECT("数出表_Excel!"&amp;DJ106&amp;MATCH(DO22,数出表_Excel!$A:$A,0)-1+2&amp;":U"&amp;MATCH(DO22,数出表_Excel!$A:$A,0)-1+2&amp;"")), 0)),
 "")
+IFERROR(
INDEX(INDIRECT("数出表_Excel!"&amp;DJ106&amp;MATCH(DO22,数出表_Excel!$A:$A,0)-1&amp;":U"&amp;MATCH(DO22,数出表_Excel!$A:$A,0)-1&amp;""),
 1,
 MATCH(TRUE, ISNUMBER(--INDIRECT("数出表_Excel!"&amp;DJ106&amp;MATCH(DO22,数出表_Excel!$A:$A,0)-1&amp;":U"&amp;MATCH(DO22,数出表_Excel!$A:$A,0)-1&amp;"")), 0)),
 ""),
IFERROR(
INDEX(INDIRECT("数出表_Excel!"&amp;DJ106&amp;MATCH(DO22,数出表_Excel!$A:$A,0)-1&amp;":U"&amp;MATCH(DO22,数出表_Excel!$A:$A,0)-1&amp;""),
 1,
 MATCH(TRUE, ISNUMBER(--INDIRECT("数出表_Excel!"&amp;DJ106&amp;MATCH(DO22,数出表_Excel!$A:$A,0)-1&amp;":U"&amp;MATCH(DO22,数出表_Excel!$A:$A,0)-1&amp;"")), 0)),
 ""))),"")</f>
        <v/>
      </c>
      <c r="DL109" s="253"/>
      <c r="DM109" s="255" t="str" cm="1">
        <f t="array" aca="1" ref="DM109" ca="1">IF(DK65&lt;&gt;"",
IF(IFERROR(
INDEX(INDIRECT("数出表_Excel!B"&amp;MATCH(DO22,数出表_Excel!$A:$A,0)&amp;":U"&amp;MATCH(DO22,数出表_Excel!$A:$A,0)&amp;""),
 1,DJ107-1),
 "")=0,"",
IFERROR(
INDEX(INDIRECT("数出表_Excel!B"&amp;MATCH(DO22,数出表_Excel!$A:$A,0)&amp;":U"&amp;MATCH(DO22,数出表_Excel!$A:$A,0)&amp;""),
 1,DJ107-1),
 "")),"")</f>
        <v/>
      </c>
      <c r="DN109" s="253"/>
      <c r="DO109" s="97" t="e" cm="1">
        <f t="array" aca="1" ref="DO109" ca="1">IF(INDIRECT(""&amp;SUBSTITUTE(ADDRESS(1,
COLUMN()-5,1),"1","")&amp;ROW()-85&amp;"")=100,
IF(DK106&lt;&gt;"",
IF(IFERROR(
INDEX(INDIRECT("'数出表_Excel（アレルギー入力）'!"&amp;DJ108&amp;MATCH(DO22,'数出表_Excel（アレルギー入力）'!$A:$A,0)+1&amp;":"&amp;DO110&amp;MATCH(DO22,'数出表_Excel（アレルギー入力）'!$A:$A,0)+1&amp;""),
 1,
MATCH(TRUE,INDIRECT("'数出表_Excel（アレルギー入力）'!"&amp;DJ108&amp;MATCH(DO22,'数出表_Excel（アレルギー入力）'!$A:$A,0)+1&amp;":"&amp;DO110&amp;MATCH(DO22,'数出表_Excel（アレルギー入力）'!$A:$A,0)+1&amp;"")&lt;&gt;"",0)+1),
 "")&lt;&gt;0,
IF(IFERROR(
INDEX(INDIRECT("'数出表_Excel（アレルギー入力）'!"&amp;DJ108&amp;MATCH(DO22,'数出表_Excel（アレルギー入力）'!$A:$A,0)+1&amp;":"&amp;DO110&amp;MATCH(DO22,'数出表_Excel（アレルギー入力）'!$A:$A,0)+1&amp;""),
 1,
MATCH(TRUE,INDIRECT("'数出表_Excel（アレルギー入力）'!"&amp;DJ108&amp;MATCH(DO22,'数出表_Excel（アレルギー入力）'!$A:$A,0)+1&amp;":"&amp;DO110&amp;MATCH(DO22,'数出表_Excel（アレルギー入力）'!$A:$A,0)+1&amp;"")&lt;&gt;"",0)+1),
 "")="",
IFERROR(
INDEX(INDIRECT("'数出表_Excel（アレルギー入力）'!"&amp;DJ108&amp;MATCH(DO22,'数出表_Excel（アレルギー入力）'!$A:$A,0)+1&amp;":"&amp;DO110&amp;MATCH(DO22,'数出表_Excel（アレルギー入力）'!$A:$A,0)+1&amp;""),
 1,
MATCH(TRUE,INDIRECT("'数出表_Excel（アレルギー入力）'!"&amp;DJ108&amp;MATCH(DO22,'数出表_Excel（アレルギー入力）'!$A:$A,0)+1&amp;":"&amp;DO110&amp;MATCH(DO22,'数出表_Excel（アレルギー入力）'!$A:$A,0)+1&amp;"")&lt;&gt;"",0)+1),
 ""),
IFERROR(
INDEX(INDIRECT("'数出表_Excel（アレルギー入力）'!"&amp;DJ108&amp;MATCH(DO22,'数出表_Excel（アレルギー入力）'!$A:$A,0)+1&amp;":"&amp;DO110&amp;MATCH(DO22,'数出表_Excel（アレルギー入力）'!$A:$A,0)+1&amp;""),
 1,
MATCH(TRUE,INDIRECT("'数出表_Excel（アレルギー入力）'!"&amp;DJ108&amp;MATCH(DO22,'数出表_Excel（アレルギー入力）'!$A:$A,0)+1&amp;":"&amp;DO110&amp;MATCH(DO22,'数出表_Excel（アレルギー入力）'!$A:$A,0)+1&amp;"")&lt;&gt;"",0)+1),
 "")),0),""),0)</f>
        <v>#VALUE!</v>
      </c>
      <c r="DR109" s="86"/>
      <c r="DS109" s="252" t="str" cm="1">
        <f t="array" aca="1" ref="DS109" ca="1">IF(DS107&lt;&gt;"",
IF(IFERROR(
INDEX(INDIRECT("数出表_Excel!"&amp;DR106&amp;MATCH(DW22,数出表_Excel!$A:$A,0)-1&amp;":U"&amp;MATCH(DW22,数出表_Excel!$A:$A,0)-1&amp;""),
 1,
 MATCH(TRUE, ISNUMBER(--INDIRECT("数出表_Excel!"&amp;DR106&amp;MATCH(DW22,数出表_Excel!$A:$A,0)-1&amp;":U"&amp;MATCH(DW22,数出表_Excel!$A:$A,0)-1&amp;"")), 0)),
 "")=0,"",
IF(DR24=100,
IFERROR(
INDEX(INDIRECT("数出表_Excel!"&amp;DR106&amp;MATCH(DW22,数出表_Excel!$A:$A,0)-1+2&amp;":U"&amp;MATCH(DW22,数出表_Excel!$A:$A,0)-1+2&amp;""),
 1,
 MATCH(TRUE, ISNUMBER(--INDIRECT("数出表_Excel!"&amp;DR106&amp;MATCH(DW22,数出表_Excel!$A:$A,0)-1+2&amp;":U"&amp;MATCH(DW22,数出表_Excel!$A:$A,0)-1+2&amp;"")), 0)),
 "")
+IFERROR(
INDEX(INDIRECT("数出表_Excel!"&amp;DR106&amp;MATCH(DW22,数出表_Excel!$A:$A,0)-1&amp;":U"&amp;MATCH(DW22,数出表_Excel!$A:$A,0)-1&amp;""),
 1,
 MATCH(TRUE, ISNUMBER(--INDIRECT("数出表_Excel!"&amp;DR106&amp;MATCH(DW22,数出表_Excel!$A:$A,0)-1&amp;":U"&amp;MATCH(DW22,数出表_Excel!$A:$A,0)-1&amp;"")), 0)),
 ""),
IFERROR(
INDEX(INDIRECT("数出表_Excel!"&amp;DR106&amp;MATCH(DW22,数出表_Excel!$A:$A,0)-1&amp;":U"&amp;MATCH(DW22,数出表_Excel!$A:$A,0)-1&amp;""),
 1,
 MATCH(TRUE, ISNUMBER(--INDIRECT("数出表_Excel!"&amp;DR106&amp;MATCH(DW22,数出表_Excel!$A:$A,0)-1&amp;":U"&amp;MATCH(DW22,数出表_Excel!$A:$A,0)-1&amp;"")), 0)),
 ""))),"")</f>
        <v/>
      </c>
      <c r="DT109" s="253"/>
      <c r="DU109" s="255" t="str" cm="1">
        <f t="array" aca="1" ref="DU109" ca="1">IF(DS65&lt;&gt;"",
IF(IFERROR(
INDEX(INDIRECT("数出表_Excel!B"&amp;MATCH(DW22,数出表_Excel!$A:$A,0)&amp;":U"&amp;MATCH(DW22,数出表_Excel!$A:$A,0)&amp;""),
 1,DR107-1),
 "")=0,"",
IFERROR(
INDEX(INDIRECT("数出表_Excel!B"&amp;MATCH(DW22,数出表_Excel!$A:$A,0)&amp;":U"&amp;MATCH(DW22,数出表_Excel!$A:$A,0)&amp;""),
 1,DR107-1),
 "")),"")</f>
        <v/>
      </c>
      <c r="DV109" s="253"/>
      <c r="DW109" s="97" t="e" cm="1">
        <f t="array" aca="1" ref="DW109" ca="1">IF(INDIRECT(""&amp;SUBSTITUTE(ADDRESS(1,
COLUMN()-5,1),"1","")&amp;ROW()-85&amp;"")=100,
IF(DS106&lt;&gt;"",
IF(IFERROR(
INDEX(INDIRECT("'数出表_Excel（アレルギー入力）'!"&amp;DR108&amp;MATCH(DW22,'数出表_Excel（アレルギー入力）'!$A:$A,0)+1&amp;":"&amp;DW110&amp;MATCH(DW22,'数出表_Excel（アレルギー入力）'!$A:$A,0)+1&amp;""),
 1,
MATCH(TRUE,INDIRECT("'数出表_Excel（アレルギー入力）'!"&amp;DR108&amp;MATCH(DW22,'数出表_Excel（アレルギー入力）'!$A:$A,0)+1&amp;":"&amp;DW110&amp;MATCH(DW22,'数出表_Excel（アレルギー入力）'!$A:$A,0)+1&amp;"")&lt;&gt;"",0)+1),
 "")&lt;&gt;0,
IF(IFERROR(
INDEX(INDIRECT("'数出表_Excel（アレルギー入力）'!"&amp;DR108&amp;MATCH(DW22,'数出表_Excel（アレルギー入力）'!$A:$A,0)+1&amp;":"&amp;DW110&amp;MATCH(DW22,'数出表_Excel（アレルギー入力）'!$A:$A,0)+1&amp;""),
 1,
MATCH(TRUE,INDIRECT("'数出表_Excel（アレルギー入力）'!"&amp;DR108&amp;MATCH(DW22,'数出表_Excel（アレルギー入力）'!$A:$A,0)+1&amp;":"&amp;DW110&amp;MATCH(DW22,'数出表_Excel（アレルギー入力）'!$A:$A,0)+1&amp;"")&lt;&gt;"",0)+1),
 "")="",
IFERROR(
INDEX(INDIRECT("'数出表_Excel（アレルギー入力）'!"&amp;DR108&amp;MATCH(DW22,'数出表_Excel（アレルギー入力）'!$A:$A,0)+1&amp;":"&amp;DW110&amp;MATCH(DW22,'数出表_Excel（アレルギー入力）'!$A:$A,0)+1&amp;""),
 1,
MATCH(TRUE,INDIRECT("'数出表_Excel（アレルギー入力）'!"&amp;DR108&amp;MATCH(DW22,'数出表_Excel（アレルギー入力）'!$A:$A,0)+1&amp;":"&amp;DW110&amp;MATCH(DW22,'数出表_Excel（アレルギー入力）'!$A:$A,0)+1&amp;"")&lt;&gt;"",0)+1),
 ""),
IFERROR(
INDEX(INDIRECT("'数出表_Excel（アレルギー入力）'!"&amp;DR108&amp;MATCH(DW22,'数出表_Excel（アレルギー入力）'!$A:$A,0)+1&amp;":"&amp;DW110&amp;MATCH(DW22,'数出表_Excel（アレルギー入力）'!$A:$A,0)+1&amp;""),
 1,
MATCH(TRUE,INDIRECT("'数出表_Excel（アレルギー入力）'!"&amp;DR108&amp;MATCH(DW22,'数出表_Excel（アレルギー入力）'!$A:$A,0)+1&amp;":"&amp;DW110&amp;MATCH(DW22,'数出表_Excel（アレルギー入力）'!$A:$A,0)+1&amp;"")&lt;&gt;"",0)+1),
 "")),0),""),0)</f>
        <v>#VALUE!</v>
      </c>
      <c r="DY109" s="86"/>
      <c r="DZ109" s="252" t="str" cm="1">
        <f t="array" aca="1" ref="DZ109" ca="1">IF(DZ107&lt;&gt;"",
IF(IFERROR(
INDEX(INDIRECT("数出表_Excel!"&amp;DY106&amp;MATCH(ED22,数出表_Excel!$A:$A,0)-1&amp;":U"&amp;MATCH(ED22,数出表_Excel!$A:$A,0)-1&amp;""),
 1,
 MATCH(TRUE, ISNUMBER(--INDIRECT("数出表_Excel!"&amp;DY106&amp;MATCH(ED22,数出表_Excel!$A:$A,0)-1&amp;":U"&amp;MATCH(ED22,数出表_Excel!$A:$A,0)-1&amp;"")), 0)),
 "")=0,"",
IF(DY24=100,
IFERROR(
INDEX(INDIRECT("数出表_Excel!"&amp;DY106&amp;MATCH(ED22,数出表_Excel!$A:$A,0)-1+2&amp;":U"&amp;MATCH(ED22,数出表_Excel!$A:$A,0)-1+2&amp;""),
 1,
 MATCH(TRUE, ISNUMBER(--INDIRECT("数出表_Excel!"&amp;DY106&amp;MATCH(ED22,数出表_Excel!$A:$A,0)-1+2&amp;":U"&amp;MATCH(ED22,数出表_Excel!$A:$A,0)-1+2&amp;"")), 0)),
 "")
+IFERROR(
INDEX(INDIRECT("数出表_Excel!"&amp;DY106&amp;MATCH(ED22,数出表_Excel!$A:$A,0)-1&amp;":U"&amp;MATCH(ED22,数出表_Excel!$A:$A,0)-1&amp;""),
 1,
 MATCH(TRUE, ISNUMBER(--INDIRECT("数出表_Excel!"&amp;DY106&amp;MATCH(ED22,数出表_Excel!$A:$A,0)-1&amp;":U"&amp;MATCH(ED22,数出表_Excel!$A:$A,0)-1&amp;"")), 0)),
 ""),
IFERROR(
INDEX(INDIRECT("数出表_Excel!"&amp;DY106&amp;MATCH(ED22,数出表_Excel!$A:$A,0)-1&amp;":U"&amp;MATCH(ED22,数出表_Excel!$A:$A,0)-1&amp;""),
 1,
 MATCH(TRUE, ISNUMBER(--INDIRECT("数出表_Excel!"&amp;DY106&amp;MATCH(ED22,数出表_Excel!$A:$A,0)-1&amp;":U"&amp;MATCH(ED22,数出表_Excel!$A:$A,0)-1&amp;"")), 0)),
 ""))),"")</f>
        <v/>
      </c>
      <c r="EA109" s="253"/>
      <c r="EB109" s="255" t="str" cm="1">
        <f t="array" aca="1" ref="EB109" ca="1">IF(DZ65&lt;&gt;"",
IF(IFERROR(
INDEX(INDIRECT("数出表_Excel!B"&amp;MATCH(ED22,数出表_Excel!$A:$A,0)&amp;":U"&amp;MATCH(ED22,数出表_Excel!$A:$A,0)&amp;""),
 1,DY107-1),
 "")=0,"",
IFERROR(
INDEX(INDIRECT("数出表_Excel!B"&amp;MATCH(ED22,数出表_Excel!$A:$A,0)&amp;":U"&amp;MATCH(ED22,数出表_Excel!$A:$A,0)&amp;""),
 1,DY107-1),
 "")),"")</f>
        <v/>
      </c>
      <c r="EC109" s="253"/>
      <c r="ED109" s="97" t="e" cm="1">
        <f t="array" aca="1" ref="ED109" ca="1">IF(INDIRECT(""&amp;SUBSTITUTE(ADDRESS(1,
COLUMN()-5,1),"1","")&amp;ROW()-85&amp;"")=100,
IF(DZ106&lt;&gt;"",
IF(IFERROR(
INDEX(INDIRECT("'数出表_Excel（アレルギー入力）'!"&amp;DY108&amp;MATCH(ED22,'数出表_Excel（アレルギー入力）'!$A:$A,0)+1&amp;":"&amp;ED110&amp;MATCH(ED22,'数出表_Excel（アレルギー入力）'!$A:$A,0)+1&amp;""),
 1,
MATCH(TRUE,INDIRECT("'数出表_Excel（アレルギー入力）'!"&amp;DY108&amp;MATCH(ED22,'数出表_Excel（アレルギー入力）'!$A:$A,0)+1&amp;":"&amp;ED110&amp;MATCH(ED22,'数出表_Excel（アレルギー入力）'!$A:$A,0)+1&amp;"")&lt;&gt;"",0)+1),
 "")&lt;&gt;0,
IF(IFERROR(
INDEX(INDIRECT("'数出表_Excel（アレルギー入力）'!"&amp;DY108&amp;MATCH(ED22,'数出表_Excel（アレルギー入力）'!$A:$A,0)+1&amp;":"&amp;ED110&amp;MATCH(ED22,'数出表_Excel（アレルギー入力）'!$A:$A,0)+1&amp;""),
 1,
MATCH(TRUE,INDIRECT("'数出表_Excel（アレルギー入力）'!"&amp;DY108&amp;MATCH(ED22,'数出表_Excel（アレルギー入力）'!$A:$A,0)+1&amp;":"&amp;ED110&amp;MATCH(ED22,'数出表_Excel（アレルギー入力）'!$A:$A,0)+1&amp;"")&lt;&gt;"",0)+1),
 "")="",
IFERROR(
INDEX(INDIRECT("'数出表_Excel（アレルギー入力）'!"&amp;DY108&amp;MATCH(ED22,'数出表_Excel（アレルギー入力）'!$A:$A,0)+1&amp;":"&amp;ED110&amp;MATCH(ED22,'数出表_Excel（アレルギー入力）'!$A:$A,0)+1&amp;""),
 1,
MATCH(TRUE,INDIRECT("'数出表_Excel（アレルギー入力）'!"&amp;DY108&amp;MATCH(ED22,'数出表_Excel（アレルギー入力）'!$A:$A,0)+1&amp;":"&amp;ED110&amp;MATCH(ED22,'数出表_Excel（アレルギー入力）'!$A:$A,0)+1&amp;"")&lt;&gt;"",0)+1),
 ""),
IFERROR(
INDEX(INDIRECT("'数出表_Excel（アレルギー入力）'!"&amp;DY108&amp;MATCH(ED22,'数出表_Excel（アレルギー入力）'!$A:$A,0)+1&amp;":"&amp;ED110&amp;MATCH(ED22,'数出表_Excel（アレルギー入力）'!$A:$A,0)+1&amp;""),
 1,
MATCH(TRUE,INDIRECT("'数出表_Excel（アレルギー入力）'!"&amp;DY108&amp;MATCH(ED22,'数出表_Excel（アレルギー入力）'!$A:$A,0)+1&amp;":"&amp;ED110&amp;MATCH(ED22,'数出表_Excel（アレルギー入力）'!$A:$A,0)+1&amp;"")&lt;&gt;"",0)+1),
 "")),0),""),0)</f>
        <v>#VALUE!</v>
      </c>
      <c r="EG109" s="86"/>
      <c r="EH109" s="252" t="str" cm="1">
        <f t="array" aca="1" ref="EH109" ca="1">IF(EH107&lt;&gt;"",
IF(IFERROR(
INDEX(INDIRECT("数出表_Excel!"&amp;EG106&amp;MATCH(EL22,数出表_Excel!$A:$A,0)-1&amp;":U"&amp;MATCH(EL22,数出表_Excel!$A:$A,0)-1&amp;""),
 1,
 MATCH(TRUE, ISNUMBER(--INDIRECT("数出表_Excel!"&amp;EG106&amp;MATCH(EL22,数出表_Excel!$A:$A,0)-1&amp;":U"&amp;MATCH(EL22,数出表_Excel!$A:$A,0)-1&amp;"")), 0)),
 "")=0,"",
IF(EG24=100,
IFERROR(
INDEX(INDIRECT("数出表_Excel!"&amp;EG106&amp;MATCH(EL22,数出表_Excel!$A:$A,0)-1+2&amp;":U"&amp;MATCH(EL22,数出表_Excel!$A:$A,0)-1+2&amp;""),
 1,
 MATCH(TRUE, ISNUMBER(--INDIRECT("数出表_Excel!"&amp;EG106&amp;MATCH(EL22,数出表_Excel!$A:$A,0)-1+2&amp;":U"&amp;MATCH(EL22,数出表_Excel!$A:$A,0)-1+2&amp;"")), 0)),
 "")
+IFERROR(
INDEX(INDIRECT("数出表_Excel!"&amp;EG106&amp;MATCH(EL22,数出表_Excel!$A:$A,0)-1&amp;":U"&amp;MATCH(EL22,数出表_Excel!$A:$A,0)-1&amp;""),
 1,
 MATCH(TRUE, ISNUMBER(--INDIRECT("数出表_Excel!"&amp;EG106&amp;MATCH(EL22,数出表_Excel!$A:$A,0)-1&amp;":U"&amp;MATCH(EL22,数出表_Excel!$A:$A,0)-1&amp;"")), 0)),
 ""),
IFERROR(
INDEX(INDIRECT("数出表_Excel!"&amp;EG106&amp;MATCH(EL22,数出表_Excel!$A:$A,0)-1&amp;":U"&amp;MATCH(EL22,数出表_Excel!$A:$A,0)-1&amp;""),
 1,
 MATCH(TRUE, ISNUMBER(--INDIRECT("数出表_Excel!"&amp;EG106&amp;MATCH(EL22,数出表_Excel!$A:$A,0)-1&amp;":U"&amp;MATCH(EL22,数出表_Excel!$A:$A,0)-1&amp;"")), 0)),
 ""))),"")</f>
        <v/>
      </c>
      <c r="EI109" s="253"/>
      <c r="EJ109" s="255" t="str" cm="1">
        <f t="array" aca="1" ref="EJ109" ca="1">IF(EH65&lt;&gt;"",
IF(IFERROR(
INDEX(INDIRECT("数出表_Excel!B"&amp;MATCH(EL22,数出表_Excel!$A:$A,0)&amp;":U"&amp;MATCH(EL22,数出表_Excel!$A:$A,0)&amp;""),
 1,EG107-1),
 "")=0,"",
IFERROR(
INDEX(INDIRECT("数出表_Excel!B"&amp;MATCH(EL22,数出表_Excel!$A:$A,0)&amp;":U"&amp;MATCH(EL22,数出表_Excel!$A:$A,0)&amp;""),
 1,EG107-1),
 "")),"")</f>
        <v/>
      </c>
      <c r="EK109" s="253"/>
      <c r="EL109" s="97" t="e" cm="1">
        <f t="array" aca="1" ref="EL109" ca="1">IF(INDIRECT(""&amp;SUBSTITUTE(ADDRESS(1,
COLUMN()-5,1),"1","")&amp;ROW()-85&amp;"")=100,
IF(EH106&lt;&gt;"",
IF(IFERROR(
INDEX(INDIRECT("'数出表_Excel（アレルギー入力）'!"&amp;EG108&amp;MATCH(EL22,'数出表_Excel（アレルギー入力）'!$A:$A,0)+1&amp;":"&amp;EL110&amp;MATCH(EL22,'数出表_Excel（アレルギー入力）'!$A:$A,0)+1&amp;""),
 1,
MATCH(TRUE,INDIRECT("'数出表_Excel（アレルギー入力）'!"&amp;EG108&amp;MATCH(EL22,'数出表_Excel（アレルギー入力）'!$A:$A,0)+1&amp;":"&amp;EL110&amp;MATCH(EL22,'数出表_Excel（アレルギー入力）'!$A:$A,0)+1&amp;"")&lt;&gt;"",0)+1),
 "")&lt;&gt;0,
IF(IFERROR(
INDEX(INDIRECT("'数出表_Excel（アレルギー入力）'!"&amp;EG108&amp;MATCH(EL22,'数出表_Excel（アレルギー入力）'!$A:$A,0)+1&amp;":"&amp;EL110&amp;MATCH(EL22,'数出表_Excel（アレルギー入力）'!$A:$A,0)+1&amp;""),
 1,
MATCH(TRUE,INDIRECT("'数出表_Excel（アレルギー入力）'!"&amp;EG108&amp;MATCH(EL22,'数出表_Excel（アレルギー入力）'!$A:$A,0)+1&amp;":"&amp;EL110&amp;MATCH(EL22,'数出表_Excel（アレルギー入力）'!$A:$A,0)+1&amp;"")&lt;&gt;"",0)+1),
 "")="",
IFERROR(
INDEX(INDIRECT("'数出表_Excel（アレルギー入力）'!"&amp;EG108&amp;MATCH(EL22,'数出表_Excel（アレルギー入力）'!$A:$A,0)+1&amp;":"&amp;EL110&amp;MATCH(EL22,'数出表_Excel（アレルギー入力）'!$A:$A,0)+1&amp;""),
 1,
MATCH(TRUE,INDIRECT("'数出表_Excel（アレルギー入力）'!"&amp;EG108&amp;MATCH(EL22,'数出表_Excel（アレルギー入力）'!$A:$A,0)+1&amp;":"&amp;EL110&amp;MATCH(EL22,'数出表_Excel（アレルギー入力）'!$A:$A,0)+1&amp;"")&lt;&gt;"",0)+1),
 ""),
IFERROR(
INDEX(INDIRECT("'数出表_Excel（アレルギー入力）'!"&amp;EG108&amp;MATCH(EL22,'数出表_Excel（アレルギー入力）'!$A:$A,0)+1&amp;":"&amp;EL110&amp;MATCH(EL22,'数出表_Excel（アレルギー入力）'!$A:$A,0)+1&amp;""),
 1,
MATCH(TRUE,INDIRECT("'数出表_Excel（アレルギー入力）'!"&amp;EG108&amp;MATCH(EL22,'数出表_Excel（アレルギー入力）'!$A:$A,0)+1&amp;":"&amp;EL110&amp;MATCH(EL22,'数出表_Excel（アレルギー入力）'!$A:$A,0)+1&amp;"")&lt;&gt;"",0)+1),
 "")),0),""),0)</f>
        <v>#VALUE!</v>
      </c>
      <c r="EN109" s="86"/>
      <c r="EO109" s="252" t="str" cm="1">
        <f t="array" aca="1" ref="EO109" ca="1">IF(EO107&lt;&gt;"",
IF(IFERROR(
INDEX(INDIRECT("数出表_Excel!"&amp;EN106&amp;MATCH(ES22,数出表_Excel!$A:$A,0)-1&amp;":U"&amp;MATCH(ES22,数出表_Excel!$A:$A,0)-1&amp;""),
 1,
 MATCH(TRUE, ISNUMBER(--INDIRECT("数出表_Excel!"&amp;EN106&amp;MATCH(ES22,数出表_Excel!$A:$A,0)-1&amp;":U"&amp;MATCH(ES22,数出表_Excel!$A:$A,0)-1&amp;"")), 0)),
 "")=0,"",
IF(EN24=100,
IFERROR(
INDEX(INDIRECT("数出表_Excel!"&amp;EN106&amp;MATCH(ES22,数出表_Excel!$A:$A,0)-1+2&amp;":U"&amp;MATCH(ES22,数出表_Excel!$A:$A,0)-1+2&amp;""),
 1,
 MATCH(TRUE, ISNUMBER(--INDIRECT("数出表_Excel!"&amp;EN106&amp;MATCH(ES22,数出表_Excel!$A:$A,0)-1+2&amp;":U"&amp;MATCH(ES22,数出表_Excel!$A:$A,0)-1+2&amp;"")), 0)),
 "")
+IFERROR(
INDEX(INDIRECT("数出表_Excel!"&amp;EN106&amp;MATCH(ES22,数出表_Excel!$A:$A,0)-1&amp;":U"&amp;MATCH(ES22,数出表_Excel!$A:$A,0)-1&amp;""),
 1,
 MATCH(TRUE, ISNUMBER(--INDIRECT("数出表_Excel!"&amp;EN106&amp;MATCH(ES22,数出表_Excel!$A:$A,0)-1&amp;":U"&amp;MATCH(ES22,数出表_Excel!$A:$A,0)-1&amp;"")), 0)),
 ""),
IFERROR(
INDEX(INDIRECT("数出表_Excel!"&amp;EN106&amp;MATCH(ES22,数出表_Excel!$A:$A,0)-1&amp;":U"&amp;MATCH(ES22,数出表_Excel!$A:$A,0)-1&amp;""),
 1,
 MATCH(TRUE, ISNUMBER(--INDIRECT("数出表_Excel!"&amp;EN106&amp;MATCH(ES22,数出表_Excel!$A:$A,0)-1&amp;":U"&amp;MATCH(ES22,数出表_Excel!$A:$A,0)-1&amp;"")), 0)),
 ""))),"")</f>
        <v/>
      </c>
      <c r="EP109" s="253"/>
      <c r="EQ109" s="255" t="str" cm="1">
        <f t="array" aca="1" ref="EQ109" ca="1">IF(EO65&lt;&gt;"",
IF(IFERROR(
INDEX(INDIRECT("数出表_Excel!B"&amp;MATCH(ES22,数出表_Excel!$A:$A,0)&amp;":U"&amp;MATCH(ES22,数出表_Excel!$A:$A,0)&amp;""),
 1,EN107-1),
 "")=0,"",
IFERROR(
INDEX(INDIRECT("数出表_Excel!B"&amp;MATCH(ES22,数出表_Excel!$A:$A,0)&amp;":U"&amp;MATCH(ES22,数出表_Excel!$A:$A,0)&amp;""),
 1,EN107-1),
 "")),"")</f>
        <v/>
      </c>
      <c r="ER109" s="253"/>
      <c r="ES109" s="97" t="e" cm="1">
        <f t="array" aca="1" ref="ES109" ca="1">IF(INDIRECT(""&amp;SUBSTITUTE(ADDRESS(1,
COLUMN()-5,1),"1","")&amp;ROW()-85&amp;"")=100,
IF(EO106&lt;&gt;"",
IF(IFERROR(
INDEX(INDIRECT("'数出表_Excel（アレルギー入力）'!"&amp;EN108&amp;MATCH(ES22,'数出表_Excel（アレルギー入力）'!$A:$A,0)+1&amp;":"&amp;ES110&amp;MATCH(ES22,'数出表_Excel（アレルギー入力）'!$A:$A,0)+1&amp;""),
 1,
MATCH(TRUE,INDIRECT("'数出表_Excel（アレルギー入力）'!"&amp;EN108&amp;MATCH(ES22,'数出表_Excel（アレルギー入力）'!$A:$A,0)+1&amp;":"&amp;ES110&amp;MATCH(ES22,'数出表_Excel（アレルギー入力）'!$A:$A,0)+1&amp;"")&lt;&gt;"",0)+1),
 "")&lt;&gt;0,
IF(IFERROR(
INDEX(INDIRECT("'数出表_Excel（アレルギー入力）'!"&amp;EN108&amp;MATCH(ES22,'数出表_Excel（アレルギー入力）'!$A:$A,0)+1&amp;":"&amp;ES110&amp;MATCH(ES22,'数出表_Excel（アレルギー入力）'!$A:$A,0)+1&amp;""),
 1,
MATCH(TRUE,INDIRECT("'数出表_Excel（アレルギー入力）'!"&amp;EN108&amp;MATCH(ES22,'数出表_Excel（アレルギー入力）'!$A:$A,0)+1&amp;":"&amp;ES110&amp;MATCH(ES22,'数出表_Excel（アレルギー入力）'!$A:$A,0)+1&amp;"")&lt;&gt;"",0)+1),
 "")="",
IFERROR(
INDEX(INDIRECT("'数出表_Excel（アレルギー入力）'!"&amp;EN108&amp;MATCH(ES22,'数出表_Excel（アレルギー入力）'!$A:$A,0)+1&amp;":"&amp;ES110&amp;MATCH(ES22,'数出表_Excel（アレルギー入力）'!$A:$A,0)+1&amp;""),
 1,
MATCH(TRUE,INDIRECT("'数出表_Excel（アレルギー入力）'!"&amp;EN108&amp;MATCH(ES22,'数出表_Excel（アレルギー入力）'!$A:$A,0)+1&amp;":"&amp;ES110&amp;MATCH(ES22,'数出表_Excel（アレルギー入力）'!$A:$A,0)+1&amp;"")&lt;&gt;"",0)+1),
 ""),
IFERROR(
INDEX(INDIRECT("'数出表_Excel（アレルギー入力）'!"&amp;EN108&amp;MATCH(ES22,'数出表_Excel（アレルギー入力）'!$A:$A,0)+1&amp;":"&amp;ES110&amp;MATCH(ES22,'数出表_Excel（アレルギー入力）'!$A:$A,0)+1&amp;""),
 1,
MATCH(TRUE,INDIRECT("'数出表_Excel（アレルギー入力）'!"&amp;EN108&amp;MATCH(ES22,'数出表_Excel（アレルギー入力）'!$A:$A,0)+1&amp;":"&amp;ES110&amp;MATCH(ES22,'数出表_Excel（アレルギー入力）'!$A:$A,0)+1&amp;"")&lt;&gt;"",0)+1),
 "")),0),""),0)</f>
        <v>#VALUE!</v>
      </c>
      <c r="EU109" s="78"/>
      <c r="EV109" s="79" t="str">
        <f ca="1">AV1</f>
        <v/>
      </c>
      <c r="EW109" s="79" t="str">
        <f ca="1">AV2</f>
        <v/>
      </c>
      <c r="EX109" s="79" t="str">
        <f ca="1">AX2</f>
        <v/>
      </c>
      <c r="EY109" s="80" t="str">
        <f ca="1">AY2</f>
        <v/>
      </c>
      <c r="EZ109" s="80" t="str">
        <f ca="1">AZ2</f>
        <v/>
      </c>
      <c r="FA109" s="79" t="e">
        <f ca="1">AV4</f>
        <v>#VALUE!</v>
      </c>
      <c r="FB109" s="79" t="e">
        <f ca="1">AX4</f>
        <v>#VALUE!</v>
      </c>
      <c r="FC109" s="79" t="str">
        <f ca="1">AV6</f>
        <v/>
      </c>
      <c r="FD109" s="79" t="e">
        <f ca="1">AU7</f>
        <v>#VALUE!</v>
      </c>
      <c r="FE109" s="79" t="str">
        <f ca="1">AW7</f>
        <v/>
      </c>
      <c r="FF109" s="79" t="e">
        <f ca="1">AY7</f>
        <v>#VALUE!</v>
      </c>
      <c r="FG109" s="78">
        <f t="shared" ca="1" si="7"/>
        <v>0</v>
      </c>
      <c r="FH109" s="78" t="e">
        <f t="array" aca="1" ref="FH109" ca="1">SUMPRODUCT((LEN(EV109:FF109)&gt;0)*1)&gt;0</f>
        <v>#VALUE!</v>
      </c>
      <c r="FI109" s="78" t="str">
        <f t="array" aca="1" ref="FI109" ca="1">IFERROR(SMALL(IF(FG$1:FG$228&lt;&gt;0,FG$1:FG$228),ROW(A109)),"")</f>
        <v/>
      </c>
      <c r="FJ109" s="78" t="str">
        <f t="array" aca="1" ref="FJ109" ca="1">IF($FI109&lt;&gt;"",
INDIRECT(""&amp;IF(COLUMN(EV163)&lt;=26,CHAR(COLUMN(EV163)+64),CHAR(INT((COLUMN(EV163)-1)/26)+64)&amp;CHAR(MOD(COLUMN(EV163)-1,26)+65))&amp;$FI109&amp;""),"")</f>
        <v/>
      </c>
      <c r="FK109" s="78" t="str">
        <f t="array" aca="1" ref="FK109" ca="1">IF($FI109&lt;&gt;"",
INDIRECT(""&amp;IF(COLUMN(EW163)&lt;=26,CHAR(COLUMN(EW163)+64),CHAR(INT((COLUMN(EW163)-1)/26)+64)&amp;CHAR(MOD(COLUMN(EW163)-1,26)+65))&amp;$FI109&amp;""),"")</f>
        <v/>
      </c>
      <c r="FL109" s="78" t="str">
        <f t="array" aca="1" ref="FL109" ca="1">IF($FI109&lt;&gt;"",
INDIRECT(""&amp;IF(COLUMN(EX163)&lt;=26,CHAR(COLUMN(EX163)+64),CHAR(INT((COLUMN(EX163)-1)/26)+64)&amp;CHAR(MOD(COLUMN(EX163)-1,26)+65))&amp;$FI109&amp;""),"")</f>
        <v/>
      </c>
      <c r="FM109" s="78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78" t="str">
        <f t="array" aca="1" ref="FN109" ca="1">IF($FI109&lt;&gt;"",
INDIRECT(""&amp;IF(COLUMN(FA163)&lt;=26,CHAR(COLUMN(FA163)+64),CHAR(INT((COLUMN(FA163)-1)/26)+64)&amp;CHAR(MOD(COLUMN(FA163)-1,26)+65))&amp;$FI109&amp;""),"")</f>
        <v/>
      </c>
      <c r="FO109" s="78" t="str">
        <f t="array" aca="1" ref="FO109" ca="1">IF($FI109&lt;&gt;"",
INDIRECT(""&amp;IF(COLUMN(FB163)&lt;=26,CHAR(COLUMN(FB163)+64),CHAR(INT((COLUMN(FB163)-1)/26)+64)&amp;CHAR(MOD(COLUMN(FB163)-1,26)+65))&amp;$FI109&amp;""),"")</f>
        <v/>
      </c>
      <c r="FP109" s="78" t="str">
        <f t="array" aca="1" ref="FP109" ca="1">IF($FI109&lt;&gt;"",
INDIRECT(""&amp;IF(COLUMN(FC163)&lt;=26,CHAR(COLUMN(FC163)+64),CHAR(INT((COLUMN(FC163)-1)/26)+64)&amp;CHAR(MOD(COLUMN(FC163)-1,26)+65))&amp;$FI109&amp;""),"")</f>
        <v/>
      </c>
      <c r="FQ109" s="78" t="str">
        <f t="array" aca="1" ref="FQ109" ca="1">IF($FI109&lt;&gt;"",
INDIRECT(""&amp;IF(COLUMN(FD163)&lt;=26,CHAR(COLUMN(FD163)+64),CHAR(INT((COLUMN(FD163)-1)/26)+64)&amp;CHAR(MOD(COLUMN(FD163)-1,26)+65))&amp;$FI109&amp;""),"")</f>
        <v/>
      </c>
      <c r="FR109" s="78" t="str">
        <f t="array" aca="1" ref="FR109" ca="1">IF($FI109&lt;&gt;"",
INDIRECT(""&amp;IF(COLUMN(FE163)&lt;=26,CHAR(COLUMN(FE163)+64),CHAR(INT((COLUMN(FE163)-1)/26)+64)&amp;CHAR(MOD(COLUMN(FE163)-1,26)+65))&amp;$FI109&amp;""),"")</f>
        <v/>
      </c>
      <c r="FS109" s="78" t="str">
        <f t="array" aca="1" ref="FS109" ca="1">IF($FI109&lt;&gt;"",
INDIRECT(""&amp;IF(COLUMN(FF163)&lt;=26,CHAR(COLUMN(FF163)+64),CHAR(INT((COLUMN(FF163)-1)/26)+64)&amp;CHAR(MOD(COLUMN(FF163)-1,26)+65))&amp;$FI109&amp;""),"")</f>
        <v/>
      </c>
    </row>
    <row r="110" spans="2:175" ht="22.2" customHeight="1" x14ac:dyDescent="0.45">
      <c r="B110" s="88"/>
      <c r="C110" s="254"/>
      <c r="D110" s="254"/>
      <c r="E110" s="254"/>
      <c r="F110" s="254"/>
      <c r="G110" s="98" t="str">
        <f ca="1">SUBSTITUTE(SUBSTITUTE(ADDRESS(1,MATCH("おやつ",'数出表_Excel（アレルギー入力）'!$3:$3,0)),1,""),"$","")</f>
        <v>AL</v>
      </c>
      <c r="I110" s="88"/>
      <c r="J110" s="254"/>
      <c r="K110" s="254"/>
      <c r="L110" s="254"/>
      <c r="M110" s="254"/>
      <c r="N110" s="98" t="str">
        <f ca="1">SUBSTITUTE(SUBSTITUTE(ADDRESS(1,MATCH("おやつ",'数出表_Excel（アレルギー入力）'!$3:$3,0)),1,""),"$","")</f>
        <v>AL</v>
      </c>
      <c r="Q110" s="88"/>
      <c r="R110" s="254"/>
      <c r="S110" s="254"/>
      <c r="T110" s="254"/>
      <c r="U110" s="254"/>
      <c r="V110" s="98" t="str">
        <f ca="1">SUBSTITUTE(SUBSTITUTE(ADDRESS(1,MATCH("おやつ",'数出表_Excel（アレルギー入力）'!$3:$3,0)),1,""),"$","")</f>
        <v>AL</v>
      </c>
      <c r="X110" s="88"/>
      <c r="Y110" s="254"/>
      <c r="Z110" s="254"/>
      <c r="AA110" s="254"/>
      <c r="AB110" s="254"/>
      <c r="AC110" s="98" t="str">
        <f ca="1">SUBSTITUTE(SUBSTITUTE(ADDRESS(1,MATCH("おやつ",'数出表_Excel（アレルギー入力）'!$3:$3,0)),1,""),"$","")</f>
        <v>AL</v>
      </c>
      <c r="AF110" s="88"/>
      <c r="AG110" s="254"/>
      <c r="AH110" s="254"/>
      <c r="AI110" s="254"/>
      <c r="AJ110" s="254"/>
      <c r="AK110" s="98" t="str">
        <f ca="1">SUBSTITUTE(SUBSTITUTE(ADDRESS(1,MATCH("おやつ",'数出表_Excel（アレルギー入力）'!$3:$3,0)),1,""),"$","")</f>
        <v>AL</v>
      </c>
      <c r="AM110" s="88"/>
      <c r="AN110" s="254"/>
      <c r="AO110" s="254"/>
      <c r="AP110" s="254"/>
      <c r="AQ110" s="254"/>
      <c r="AR110" s="98" t="str">
        <f ca="1">SUBSTITUTE(SUBSTITUTE(ADDRESS(1,MATCH("おやつ",'数出表_Excel（アレルギー入力）'!$3:$3,0)),1,""),"$","")</f>
        <v>AL</v>
      </c>
      <c r="AU110" s="88"/>
      <c r="AV110" s="254"/>
      <c r="AW110" s="254"/>
      <c r="AX110" s="254"/>
      <c r="AY110" s="254"/>
      <c r="AZ110" s="98" t="str">
        <f ca="1">SUBSTITUTE(SUBSTITUTE(ADDRESS(1,MATCH("おやつ",'数出表_Excel（アレルギー入力）'!$3:$3,0)),1,""),"$","")</f>
        <v>AL</v>
      </c>
      <c r="BB110" s="88"/>
      <c r="BC110" s="254"/>
      <c r="BD110" s="254"/>
      <c r="BE110" s="254"/>
      <c r="BF110" s="254"/>
      <c r="BG110" s="98" t="str">
        <f ca="1">SUBSTITUTE(SUBSTITUTE(ADDRESS(1,MATCH("おやつ",'数出表_Excel（アレルギー入力）'!$3:$3,0)),1,""),"$","")</f>
        <v>AL</v>
      </c>
      <c r="BJ110" s="88"/>
      <c r="BK110" s="254"/>
      <c r="BL110" s="254"/>
      <c r="BM110" s="254"/>
      <c r="BN110" s="254"/>
      <c r="BO110" s="98" t="str">
        <f ca="1">SUBSTITUTE(SUBSTITUTE(ADDRESS(1,MATCH("おやつ",'数出表_Excel（アレルギー入力）'!$3:$3,0)),1,""),"$","")</f>
        <v>AL</v>
      </c>
      <c r="BQ110" s="88"/>
      <c r="BR110" s="254"/>
      <c r="BS110" s="254"/>
      <c r="BT110" s="254"/>
      <c r="BU110" s="254"/>
      <c r="BV110" s="98" t="str">
        <f ca="1">SUBSTITUTE(SUBSTITUTE(ADDRESS(1,MATCH("おやつ",'数出表_Excel（アレルギー入力）'!$3:$3,0)),1,""),"$","")</f>
        <v>AL</v>
      </c>
      <c r="BY110" s="88"/>
      <c r="BZ110" s="254"/>
      <c r="CA110" s="254"/>
      <c r="CB110" s="254"/>
      <c r="CC110" s="254"/>
      <c r="CD110" s="98" t="str">
        <f ca="1">SUBSTITUTE(SUBSTITUTE(ADDRESS(1,MATCH("おやつ",'数出表_Excel（アレルギー入力）'!$3:$3,0)),1,""),"$","")</f>
        <v>AL</v>
      </c>
      <c r="CF110" s="88"/>
      <c r="CG110" s="254"/>
      <c r="CH110" s="254"/>
      <c r="CI110" s="254"/>
      <c r="CJ110" s="254"/>
      <c r="CK110" s="98" t="str">
        <f ca="1">SUBSTITUTE(SUBSTITUTE(ADDRESS(1,MATCH("おやつ",'数出表_Excel（アレルギー入力）'!$3:$3,0)),1,""),"$","")</f>
        <v>AL</v>
      </c>
      <c r="CN110" s="88"/>
      <c r="CO110" s="254"/>
      <c r="CP110" s="254"/>
      <c r="CQ110" s="254"/>
      <c r="CR110" s="254"/>
      <c r="CS110" s="98" t="str">
        <f ca="1">SUBSTITUTE(SUBSTITUTE(ADDRESS(1,MATCH("おやつ",'数出表_Excel（アレルギー入力）'!$3:$3,0)),1,""),"$","")</f>
        <v>AL</v>
      </c>
      <c r="CU110" s="88"/>
      <c r="CV110" s="254"/>
      <c r="CW110" s="254"/>
      <c r="CX110" s="254"/>
      <c r="CY110" s="254"/>
      <c r="CZ110" s="98" t="str">
        <f ca="1">SUBSTITUTE(SUBSTITUTE(ADDRESS(1,MATCH("おやつ",'数出表_Excel（アレルギー入力）'!$3:$3,0)),1,""),"$","")</f>
        <v>AL</v>
      </c>
      <c r="DC110" s="88"/>
      <c r="DD110" s="254"/>
      <c r="DE110" s="254"/>
      <c r="DF110" s="254"/>
      <c r="DG110" s="254"/>
      <c r="DH110" s="98" t="str">
        <f ca="1">SUBSTITUTE(SUBSTITUTE(ADDRESS(1,MATCH("おやつ",'数出表_Excel（アレルギー入力）'!$3:$3,0)),1,""),"$","")</f>
        <v>AL</v>
      </c>
      <c r="DJ110" s="88"/>
      <c r="DK110" s="254"/>
      <c r="DL110" s="254"/>
      <c r="DM110" s="254"/>
      <c r="DN110" s="254"/>
      <c r="DO110" s="98" t="str">
        <f ca="1">SUBSTITUTE(SUBSTITUTE(ADDRESS(1,MATCH("おやつ",'数出表_Excel（アレルギー入力）'!$3:$3,0)),1,""),"$","")</f>
        <v>AL</v>
      </c>
      <c r="DR110" s="88"/>
      <c r="DS110" s="254"/>
      <c r="DT110" s="254"/>
      <c r="DU110" s="254"/>
      <c r="DV110" s="254"/>
      <c r="DW110" s="98" t="str">
        <f ca="1">SUBSTITUTE(SUBSTITUTE(ADDRESS(1,MATCH("おやつ",'数出表_Excel（アレルギー入力）'!$3:$3,0)),1,""),"$","")</f>
        <v>AL</v>
      </c>
      <c r="DY110" s="88"/>
      <c r="DZ110" s="254"/>
      <c r="EA110" s="254"/>
      <c r="EB110" s="254"/>
      <c r="EC110" s="254"/>
      <c r="ED110" s="98" t="str">
        <f ca="1">SUBSTITUTE(SUBSTITUTE(ADDRESS(1,MATCH("おやつ",'数出表_Excel（アレルギー入力）'!$3:$3,0)),1,""),"$","")</f>
        <v>AL</v>
      </c>
      <c r="EG110" s="88"/>
      <c r="EH110" s="254"/>
      <c r="EI110" s="254"/>
      <c r="EJ110" s="254"/>
      <c r="EK110" s="254"/>
      <c r="EL110" s="98" t="str">
        <f ca="1">SUBSTITUTE(SUBSTITUTE(ADDRESS(1,MATCH("おやつ",'数出表_Excel（アレルギー入力）'!$3:$3,0)),1,""),"$","")</f>
        <v>AL</v>
      </c>
      <c r="EN110" s="88"/>
      <c r="EO110" s="254"/>
      <c r="EP110" s="254"/>
      <c r="EQ110" s="254"/>
      <c r="ER110" s="254"/>
      <c r="ES110" s="98" t="str">
        <f ca="1">SUBSTITUTE(SUBSTITUTE(ADDRESS(1,MATCH("おやつ",'数出表_Excel（アレルギー入力）'!$3:$3,0)),1,""),"$","")</f>
        <v>AL</v>
      </c>
      <c r="EU110" s="78">
        <v>42</v>
      </c>
      <c r="EV110" s="78" t="str">
        <f t="array" aca="1" ref="EV110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LEN(SUBSTITUTE(_xlfn.FORMULATEXT(EV$109),"=","")))+$EU110)</f>
        <v/>
      </c>
      <c r="EW110" s="78" t="str">
        <f t="array" aca="1" ref="EW110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LEN(SUBSTITUTE(_xlfn.FORMULATEXT(EW$109),"=","")))+$EU110)</f>
        <v/>
      </c>
      <c r="EX110" s="78" t="str">
        <f t="array" aca="1" ref="EX110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LEN(SUBSTITUTE(_xlfn.FORMULATEXT(EX$109),"=","")))+$EU110)</f>
        <v/>
      </c>
      <c r="EY110" s="78" t="str">
        <f t="array" aca="1" ref="EY110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LEN(SUBSTITUTE(_xlfn.FORMULATEXT(EY$109),"=","")))+$EU110)</f>
        <v/>
      </c>
      <c r="EZ110" s="78" t="str">
        <f t="array" aca="1" ref="EZ110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LEN(SUBSTITUTE(_xlfn.FORMULATEXT(EZ$109),"=","")))+$EU110)</f>
        <v/>
      </c>
      <c r="FA110" s="78" t="str">
        <f t="array" aca="1" ref="FA110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LEN(SUBSTITUTE(_xlfn.FORMULATEXT(FA$109),"=","")))+$EU110)</f>
        <v/>
      </c>
      <c r="FB110" s="78" t="str">
        <f t="array" aca="1" ref="FB110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LEN(SUBSTITUTE(_xlfn.FORMULATEXT(FB$109),"=","")))+$EU110)</f>
        <v/>
      </c>
      <c r="FC110" s="78" t="str">
        <f t="array" aca="1" ref="FC110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LEN(SUBSTITUTE(_xlfn.FORMULATEXT(FC$109),"=","")))+$EU110)</f>
        <v/>
      </c>
      <c r="FD110" s="78" t="str">
        <f t="array" aca="1" ref="FD110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LEN(SUBSTITUTE(_xlfn.FORMULATEXT(FD$109),"=","")))+$EU110)</f>
        <v/>
      </c>
      <c r="FE110" s="78" t="str">
        <f t="array" aca="1" ref="FE110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LEN(SUBSTITUTE(_xlfn.FORMULATEXT(FE$109),"=","")))+$EU110)</f>
        <v/>
      </c>
      <c r="FF110" s="78" t="str">
        <f t="array" aca="1" ref="FF110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LEN(SUBSTITUTE(_xlfn.FORMULATEXT(FF$109),"=","")))+$EU110)</f>
        <v/>
      </c>
      <c r="FG110" s="78">
        <f t="shared" ca="1" si="7"/>
        <v>0</v>
      </c>
      <c r="FH110" s="78" t="b">
        <f t="array" aca="1" ref="FH110" ca="1">SUMPRODUCT((LEN(EV110:FF110)&gt;0)*1)&gt;0</f>
        <v>0</v>
      </c>
      <c r="FI110" s="78" t="str">
        <f t="array" aca="1" ref="FI110" ca="1">IFERROR(SMALL(IF(FG$1:FG$228&lt;&gt;0,FG$1:FG$228),ROW(A110)),"")</f>
        <v/>
      </c>
      <c r="FJ110" s="78" t="str">
        <f t="array" aca="1" ref="FJ110" ca="1">IF($FI110&lt;&gt;"",
INDIRECT(""&amp;IF(COLUMN(EV164)&lt;=26,CHAR(COLUMN(EV164)+64),CHAR(INT((COLUMN(EV164)-1)/26)+64)&amp;CHAR(MOD(COLUMN(EV164)-1,26)+65))&amp;$FI110&amp;""),"")</f>
        <v/>
      </c>
      <c r="FK110" s="78" t="str">
        <f t="array" aca="1" ref="FK110" ca="1">IF($FI110&lt;&gt;"",
INDIRECT(""&amp;IF(COLUMN(EW164)&lt;=26,CHAR(COLUMN(EW164)+64),CHAR(INT((COLUMN(EW164)-1)/26)+64)&amp;CHAR(MOD(COLUMN(EW164)-1,26)+65))&amp;$FI110&amp;""),"")</f>
        <v/>
      </c>
      <c r="FL110" s="78" t="str">
        <f t="array" aca="1" ref="FL110" ca="1">IF($FI110&lt;&gt;"",
INDIRECT(""&amp;IF(COLUMN(EX164)&lt;=26,CHAR(COLUMN(EX164)+64),CHAR(INT((COLUMN(EX164)-1)/26)+64)&amp;CHAR(MOD(COLUMN(EX164)-1,26)+65))&amp;$FI110&amp;""),"")</f>
        <v/>
      </c>
      <c r="FM110" s="78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78" t="str">
        <f t="array" aca="1" ref="FN110" ca="1">IF($FI110&lt;&gt;"",
INDIRECT(""&amp;IF(COLUMN(FA164)&lt;=26,CHAR(COLUMN(FA164)+64),CHAR(INT((COLUMN(FA164)-1)/26)+64)&amp;CHAR(MOD(COLUMN(FA164)-1,26)+65))&amp;$FI110&amp;""),"")</f>
        <v/>
      </c>
      <c r="FO110" s="78" t="str">
        <f t="array" aca="1" ref="FO110" ca="1">IF($FI110&lt;&gt;"",
INDIRECT(""&amp;IF(COLUMN(FB164)&lt;=26,CHAR(COLUMN(FB164)+64),CHAR(INT((COLUMN(FB164)-1)/26)+64)&amp;CHAR(MOD(COLUMN(FB164)-1,26)+65))&amp;$FI110&amp;""),"")</f>
        <v/>
      </c>
      <c r="FP110" s="78" t="str">
        <f t="array" aca="1" ref="FP110" ca="1">IF($FI110&lt;&gt;"",
INDIRECT(""&amp;IF(COLUMN(FC164)&lt;=26,CHAR(COLUMN(FC164)+64),CHAR(INT((COLUMN(FC164)-1)/26)+64)&amp;CHAR(MOD(COLUMN(FC164)-1,26)+65))&amp;$FI110&amp;""),"")</f>
        <v/>
      </c>
      <c r="FQ110" s="78" t="str">
        <f t="array" aca="1" ref="FQ110" ca="1">IF($FI110&lt;&gt;"",
INDIRECT(""&amp;IF(COLUMN(FD164)&lt;=26,CHAR(COLUMN(FD164)+64),CHAR(INT((COLUMN(FD164)-1)/26)+64)&amp;CHAR(MOD(COLUMN(FD164)-1,26)+65))&amp;$FI110&amp;""),"")</f>
        <v/>
      </c>
      <c r="FR110" s="78" t="str">
        <f t="array" aca="1" ref="FR110" ca="1">IF($FI110&lt;&gt;"",
INDIRECT(""&amp;IF(COLUMN(FE164)&lt;=26,CHAR(COLUMN(FE164)+64),CHAR(INT((COLUMN(FE164)-1)/26)+64)&amp;CHAR(MOD(COLUMN(FE164)-1,26)+65))&amp;$FI110&amp;""),"")</f>
        <v/>
      </c>
      <c r="FS110" s="78" t="str">
        <f t="array" aca="1" ref="FS110" ca="1">IF($FI110&lt;&gt;"",
INDIRECT(""&amp;IF(COLUMN(FF164)&lt;=26,CHAR(COLUMN(FF164)+64),CHAR(INT((COLUMN(FF164)-1)/26)+64)&amp;CHAR(MOD(COLUMN(FF164)-1,26)+65))&amp;$FI110&amp;""),"")</f>
        <v/>
      </c>
    </row>
    <row r="111" spans="2:175" ht="22.2" customHeight="1" x14ac:dyDescent="0.55000000000000004">
      <c r="B111" s="89" t="str">
        <f ca="1">IF(C109&lt;&gt;"","パン箱","")</f>
        <v/>
      </c>
      <c r="C111" s="90" t="str">
        <f ca="1">IF(C109&lt;&gt;"",IF(OR(COUNTIF('盛付札（関数）'!C107,"*キャラ*"),COUNTIF('盛付札（関数）'!C107,"*赤*")),24,
VLOOKUP('盛付札（関数）'!C107,商品マスタ一覧!$D:$I,6,FALSE)),"")</f>
        <v/>
      </c>
      <c r="D111" s="89" t="str">
        <f ca="1">IF(C109&lt;&gt;"","　端数","")</f>
        <v/>
      </c>
      <c r="E111" s="90"/>
      <c r="F111" s="89" t="str">
        <f ca="1">IF(C109&lt;&gt;"","アレルギー","")</f>
        <v/>
      </c>
      <c r="G111" s="93"/>
      <c r="H111" s="76"/>
      <c r="I111" s="89" t="str">
        <f ca="1">IF(J109&lt;&gt;"","パン箱","")</f>
        <v/>
      </c>
      <c r="J111" s="90" t="str">
        <f ca="1">IF(J109&lt;&gt;"",IF(OR(COUNTIF('盛付札（関数）'!J107,"*キャラ*"),COUNTIF('盛付札（関数）'!J107,"*赤*")),24,
VLOOKUP('盛付札（関数）'!J107,商品マスタ一覧!$D:$I,6,FALSE)),"")</f>
        <v/>
      </c>
      <c r="K111" s="89" t="str">
        <f ca="1">IF(J109&lt;&gt;"","　端数","")</f>
        <v/>
      </c>
      <c r="L111" s="90"/>
      <c r="M111" s="89" t="str">
        <f ca="1">IF(J109&lt;&gt;"","アレルギー","")</f>
        <v/>
      </c>
      <c r="N111" s="93"/>
      <c r="Q111" s="89" t="str">
        <f ca="1">IF(R109&lt;&gt;"","パン箱","")</f>
        <v/>
      </c>
      <c r="R111" s="90" t="str">
        <f ca="1">IF(R109&lt;&gt;"",IF(OR(COUNTIF('盛付札（関数）'!R107,"*キャラ*"),COUNTIF('盛付札（関数）'!R107,"*赤*")),24,
VLOOKUP('盛付札（関数）'!R107,商品マスタ一覧!$D:$I,6,FALSE)),"")</f>
        <v/>
      </c>
      <c r="S111" s="89" t="str">
        <f ca="1">IF(R109&lt;&gt;"","　端数","")</f>
        <v/>
      </c>
      <c r="T111" s="90"/>
      <c r="U111" s="89" t="str">
        <f ca="1">IF(R109&lt;&gt;"","アレルギー","")</f>
        <v/>
      </c>
      <c r="V111" s="93"/>
      <c r="W111" s="76"/>
      <c r="X111" s="89" t="str">
        <f ca="1">IF(Y109&lt;&gt;"","パン箱","")</f>
        <v/>
      </c>
      <c r="Y111" s="90" t="str">
        <f ca="1">IF(Y109&lt;&gt;"",IF(OR(COUNTIF('盛付札（関数）'!Y107,"*キャラ*"),COUNTIF('盛付札（関数）'!Y107,"*赤*")),24,
VLOOKUP('盛付札（関数）'!Y107,商品マスタ一覧!$D:$I,6,FALSE)),"")</f>
        <v/>
      </c>
      <c r="Z111" s="89" t="str">
        <f ca="1">IF(Y109&lt;&gt;"","　端数","")</f>
        <v/>
      </c>
      <c r="AA111" s="90"/>
      <c r="AB111" s="89" t="str">
        <f ca="1">IF(Y109&lt;&gt;"","アレルギー","")</f>
        <v/>
      </c>
      <c r="AC111" s="93"/>
      <c r="AF111" s="89" t="str">
        <f ca="1">IF(AG109&lt;&gt;"","パン箱","")</f>
        <v/>
      </c>
      <c r="AG111" s="90" t="str">
        <f ca="1">IF(AG109&lt;&gt;"",IF(OR(COUNTIF('盛付札（関数）'!AG107,"*キャラ*"),COUNTIF('盛付札（関数）'!AG107,"*赤*")),24,
VLOOKUP('盛付札（関数）'!AG107,商品マスタ一覧!$D:$I,6,FALSE)),"")</f>
        <v/>
      </c>
      <c r="AH111" s="89" t="str">
        <f ca="1">IF(AG109&lt;&gt;"","　端数","")</f>
        <v/>
      </c>
      <c r="AI111" s="90"/>
      <c r="AJ111" s="89" t="str">
        <f ca="1">IF(AG109&lt;&gt;"","アレルギー","")</f>
        <v/>
      </c>
      <c r="AK111" s="93"/>
      <c r="AL111" s="76"/>
      <c r="AM111" s="89" t="str">
        <f ca="1">IF(AN109&lt;&gt;"","パン箱","")</f>
        <v/>
      </c>
      <c r="AN111" s="90" t="str">
        <f ca="1">IF(AN109&lt;&gt;"",IF(OR(COUNTIF('盛付札（関数）'!AN107,"*キャラ*"),COUNTIF('盛付札（関数）'!AN107,"*赤*")),24,
VLOOKUP('盛付札（関数）'!AN107,商品マスタ一覧!$D:$I,6,FALSE)),"")</f>
        <v/>
      </c>
      <c r="AO111" s="89" t="str">
        <f ca="1">IF(AN109&lt;&gt;"","　端数","")</f>
        <v/>
      </c>
      <c r="AP111" s="90"/>
      <c r="AQ111" s="89" t="str">
        <f ca="1">IF(AN109&lt;&gt;"","アレルギー","")</f>
        <v/>
      </c>
      <c r="AR111" s="93"/>
      <c r="AU111" s="89" t="str">
        <f ca="1">IF(AV109&lt;&gt;"","パン箱","")</f>
        <v/>
      </c>
      <c r="AV111" s="90" t="str">
        <f ca="1">IF(AV109&lt;&gt;"",IF(OR(COUNTIF('盛付札（関数）'!AV107,"*キャラ*"),COUNTIF('盛付札（関数）'!AV107,"*赤*")),24,
VLOOKUP('盛付札（関数）'!AV107,商品マスタ一覧!$D:$I,6,FALSE)),"")</f>
        <v/>
      </c>
      <c r="AW111" s="89" t="str">
        <f ca="1">IF(AV109&lt;&gt;"","　端数","")</f>
        <v/>
      </c>
      <c r="AX111" s="90"/>
      <c r="AY111" s="89" t="str">
        <f ca="1">IF(AV109&lt;&gt;"","アレルギー","")</f>
        <v/>
      </c>
      <c r="AZ111" s="93"/>
      <c r="BA111" s="76"/>
      <c r="BB111" s="89" t="str">
        <f ca="1">IF(BC109&lt;&gt;"","パン箱","")</f>
        <v/>
      </c>
      <c r="BC111" s="90" t="str">
        <f ca="1">IF(BC109&lt;&gt;"",IF(OR(COUNTIF('盛付札（関数）'!BC107,"*キャラ*"),COUNTIF('盛付札（関数）'!BC107,"*赤*")),24,
VLOOKUP('盛付札（関数）'!BC107,商品マスタ一覧!$D:$I,6,FALSE)),"")</f>
        <v/>
      </c>
      <c r="BD111" s="89" t="str">
        <f ca="1">IF(BC109&lt;&gt;"","　端数","")</f>
        <v/>
      </c>
      <c r="BE111" s="90"/>
      <c r="BF111" s="89" t="str">
        <f ca="1">IF(BC109&lt;&gt;"","アレルギー","")</f>
        <v/>
      </c>
      <c r="BG111" s="93"/>
      <c r="BJ111" s="89" t="str">
        <f ca="1">IF(BK109&lt;&gt;"","パン箱","")</f>
        <v/>
      </c>
      <c r="BK111" s="90" t="str">
        <f ca="1">IF(BK109&lt;&gt;"",IF(OR(COUNTIF('盛付札（関数）'!BK107,"*キャラ*"),COUNTIF('盛付札（関数）'!BK107,"*赤*")),24,
VLOOKUP('盛付札（関数）'!BK107,商品マスタ一覧!$D:$I,6,FALSE)),"")</f>
        <v/>
      </c>
      <c r="BL111" s="89" t="str">
        <f ca="1">IF(BK109&lt;&gt;"","　端数","")</f>
        <v/>
      </c>
      <c r="BM111" s="90"/>
      <c r="BN111" s="89" t="str">
        <f ca="1">IF(BK109&lt;&gt;"","アレルギー","")</f>
        <v/>
      </c>
      <c r="BO111" s="93"/>
      <c r="BP111" s="76"/>
      <c r="BQ111" s="89" t="str">
        <f ca="1">IF(BR109&lt;&gt;"","パン箱","")</f>
        <v/>
      </c>
      <c r="BR111" s="90" t="str">
        <f ca="1">IF(BR109&lt;&gt;"",IF(OR(COUNTIF('盛付札（関数）'!BR107,"*キャラ*"),COUNTIF('盛付札（関数）'!BR107,"*赤*")),24,
VLOOKUP('盛付札（関数）'!BR107,商品マスタ一覧!$D:$I,6,FALSE)),"")</f>
        <v/>
      </c>
      <c r="BS111" s="89" t="str">
        <f ca="1">IF(BR109&lt;&gt;"","　端数","")</f>
        <v/>
      </c>
      <c r="BT111" s="90"/>
      <c r="BU111" s="89" t="str">
        <f ca="1">IF(BR109&lt;&gt;"","アレルギー","")</f>
        <v/>
      </c>
      <c r="BV111" s="93"/>
      <c r="BY111" s="89" t="str">
        <f ca="1">IF(BZ109&lt;&gt;"","パン箱","")</f>
        <v/>
      </c>
      <c r="BZ111" s="90" t="str">
        <f ca="1">IF(BZ109&lt;&gt;"",IF(OR(COUNTIF('盛付札（関数）'!BZ107,"*キャラ*"),COUNTIF('盛付札（関数）'!BZ107,"*赤*")),24,
VLOOKUP('盛付札（関数）'!BZ107,商品マスタ一覧!$D:$I,6,FALSE)),"")</f>
        <v/>
      </c>
      <c r="CA111" s="89" t="str">
        <f ca="1">IF(BZ109&lt;&gt;"","　端数","")</f>
        <v/>
      </c>
      <c r="CB111" s="90"/>
      <c r="CC111" s="89" t="str">
        <f ca="1">IF(BZ109&lt;&gt;"","アレルギー","")</f>
        <v/>
      </c>
      <c r="CD111" s="93"/>
      <c r="CE111" s="76"/>
      <c r="CF111" s="89" t="str">
        <f ca="1">IF(CG109&lt;&gt;"","パン箱","")</f>
        <v/>
      </c>
      <c r="CG111" s="90" t="str">
        <f ca="1">IF(CG109&lt;&gt;"",IF(OR(COUNTIF('盛付札（関数）'!CG107,"*キャラ*"),COUNTIF('盛付札（関数）'!CG107,"*赤*")),24,
VLOOKUP('盛付札（関数）'!CG107,商品マスタ一覧!$D:$I,6,FALSE)),"")</f>
        <v/>
      </c>
      <c r="CH111" s="89" t="str">
        <f ca="1">IF(CG109&lt;&gt;"","　端数","")</f>
        <v/>
      </c>
      <c r="CI111" s="90"/>
      <c r="CJ111" s="89" t="str">
        <f ca="1">IF(CG109&lt;&gt;"","アレルギー","")</f>
        <v/>
      </c>
      <c r="CK111" s="93"/>
      <c r="CN111" s="89" t="str">
        <f ca="1">IF(CO109&lt;&gt;"","パン箱","")</f>
        <v/>
      </c>
      <c r="CO111" s="90" t="str">
        <f ca="1">IF(CO109&lt;&gt;"",IF(OR(COUNTIF('盛付札（関数）'!CO107,"*キャラ*"),COUNTIF('盛付札（関数）'!CO107,"*赤*")),24,
VLOOKUP('盛付札（関数）'!CO107,商品マスタ一覧!$D:$I,6,FALSE)),"")</f>
        <v/>
      </c>
      <c r="CP111" s="89" t="str">
        <f ca="1">IF(CO109&lt;&gt;"","　端数","")</f>
        <v/>
      </c>
      <c r="CQ111" s="90"/>
      <c r="CR111" s="89" t="str">
        <f ca="1">IF(CO109&lt;&gt;"","アレルギー","")</f>
        <v/>
      </c>
      <c r="CS111" s="93"/>
      <c r="CT111" s="76"/>
      <c r="CU111" s="89" t="str">
        <f ca="1">IF(CV109&lt;&gt;"","パン箱","")</f>
        <v/>
      </c>
      <c r="CV111" s="90" t="str">
        <f ca="1">IF(CV109&lt;&gt;"",IF(OR(COUNTIF('盛付札（関数）'!CV107,"*キャラ*"),COUNTIF('盛付札（関数）'!CV107,"*赤*")),24,
VLOOKUP('盛付札（関数）'!CV107,商品マスタ一覧!$D:$I,6,FALSE)),"")</f>
        <v/>
      </c>
      <c r="CW111" s="89" t="str">
        <f ca="1">IF(CV109&lt;&gt;"","　端数","")</f>
        <v/>
      </c>
      <c r="CX111" s="90"/>
      <c r="CY111" s="89" t="str">
        <f ca="1">IF(CV109&lt;&gt;"","アレルギー","")</f>
        <v/>
      </c>
      <c r="CZ111" s="93"/>
      <c r="DC111" s="89" t="str">
        <f ca="1">IF(DD109&lt;&gt;"","パン箱","")</f>
        <v/>
      </c>
      <c r="DD111" s="90" t="str">
        <f ca="1">IF(DD109&lt;&gt;"",IF(OR(COUNTIF('盛付札（関数）'!DD107,"*キャラ*"),COUNTIF('盛付札（関数）'!DD107,"*赤*")),24,
VLOOKUP('盛付札（関数）'!DD107,商品マスタ一覧!$D:$I,6,FALSE)),"")</f>
        <v/>
      </c>
      <c r="DE111" s="89" t="str">
        <f ca="1">IF(DD109&lt;&gt;"","　端数","")</f>
        <v/>
      </c>
      <c r="DF111" s="90"/>
      <c r="DG111" s="89" t="str">
        <f ca="1">IF(DD109&lt;&gt;"","アレルギー","")</f>
        <v/>
      </c>
      <c r="DH111" s="93"/>
      <c r="DI111" s="76"/>
      <c r="DJ111" s="89" t="str">
        <f ca="1">IF(DK109&lt;&gt;"","パン箱","")</f>
        <v/>
      </c>
      <c r="DK111" s="90" t="str">
        <f ca="1">IF(DK109&lt;&gt;"",IF(OR(COUNTIF('盛付札（関数）'!DK107,"*キャラ*"),COUNTIF('盛付札（関数）'!DK107,"*赤*")),24,
VLOOKUP('盛付札（関数）'!DK107,商品マスタ一覧!$D:$I,6,FALSE)),"")</f>
        <v/>
      </c>
      <c r="DL111" s="89" t="str">
        <f ca="1">IF(DK109&lt;&gt;"","　端数","")</f>
        <v/>
      </c>
      <c r="DM111" s="90"/>
      <c r="DN111" s="89" t="str">
        <f ca="1">IF(DK109&lt;&gt;"","アレルギー","")</f>
        <v/>
      </c>
      <c r="DO111" s="93"/>
      <c r="DR111" s="89" t="str">
        <f ca="1">IF(DS109&lt;&gt;"","パン箱","")</f>
        <v/>
      </c>
      <c r="DS111" s="90" t="str">
        <f ca="1">IF(DS109&lt;&gt;"",IF(OR(COUNTIF('盛付札（関数）'!DS107,"*キャラ*"),COUNTIF('盛付札（関数）'!DS107,"*赤*")),24,
VLOOKUP('盛付札（関数）'!DS107,商品マスタ一覧!$D:$I,6,FALSE)),"")</f>
        <v/>
      </c>
      <c r="DT111" s="89" t="str">
        <f ca="1">IF(DS109&lt;&gt;"","　端数","")</f>
        <v/>
      </c>
      <c r="DU111" s="90"/>
      <c r="DV111" s="89" t="str">
        <f ca="1">IF(DS109&lt;&gt;"","アレルギー","")</f>
        <v/>
      </c>
      <c r="DW111" s="93"/>
      <c r="DX111" s="76"/>
      <c r="DY111" s="89" t="str">
        <f ca="1">IF(DZ109&lt;&gt;"","パン箱","")</f>
        <v/>
      </c>
      <c r="DZ111" s="90" t="str">
        <f ca="1">IF(DZ109&lt;&gt;"",IF(OR(COUNTIF('盛付札（関数）'!DZ107,"*キャラ*"),COUNTIF('盛付札（関数）'!DZ107,"*赤*")),24,
VLOOKUP('盛付札（関数）'!DZ107,商品マスタ一覧!$D:$I,6,FALSE)),"")</f>
        <v/>
      </c>
      <c r="EA111" s="89" t="str">
        <f ca="1">IF(DZ109&lt;&gt;"","　端数","")</f>
        <v/>
      </c>
      <c r="EB111" s="90"/>
      <c r="EC111" s="89" t="str">
        <f ca="1">IF(DZ109&lt;&gt;"","アレルギー","")</f>
        <v/>
      </c>
      <c r="ED111" s="93"/>
      <c r="EG111" s="89" t="str">
        <f ca="1">IF(EH109&lt;&gt;"","パン箱","")</f>
        <v/>
      </c>
      <c r="EH111" s="90" t="str">
        <f ca="1">IF(EH109&lt;&gt;"",IF(OR(COUNTIF('盛付札（関数）'!EH107,"*キャラ*"),COUNTIF('盛付札（関数）'!EH107,"*赤*")),24,
VLOOKUP('盛付札（関数）'!EH107,商品マスタ一覧!$D:$I,6,FALSE)),"")</f>
        <v/>
      </c>
      <c r="EI111" s="89" t="str">
        <f ca="1">IF(EH109&lt;&gt;"","　端数","")</f>
        <v/>
      </c>
      <c r="EJ111" s="90"/>
      <c r="EK111" s="89" t="str">
        <f ca="1">IF(EH109&lt;&gt;"","アレルギー","")</f>
        <v/>
      </c>
      <c r="EL111" s="93"/>
      <c r="EM111" s="76"/>
      <c r="EN111" s="89" t="str">
        <f ca="1">IF(EO109&lt;&gt;"","パン箱","")</f>
        <v/>
      </c>
      <c r="EO111" s="90" t="str">
        <f ca="1">IF(EO109&lt;&gt;"",IF(OR(COUNTIF('盛付札（関数）'!EO107,"*キャラ*"),COUNTIF('盛付札（関数）'!EO107,"*赤*")),24,
VLOOKUP('盛付札（関数）'!EO107,商品マスタ一覧!$D:$I,6,FALSE)),"")</f>
        <v/>
      </c>
      <c r="EP111" s="89" t="str">
        <f ca="1">IF(EO109&lt;&gt;"","　端数","")</f>
        <v/>
      </c>
      <c r="EQ111" s="90"/>
      <c r="ER111" s="89" t="str">
        <f ca="1">IF(EO109&lt;&gt;"","アレルギー","")</f>
        <v/>
      </c>
      <c r="ES111" s="93"/>
      <c r="EU111" s="78">
        <v>84</v>
      </c>
      <c r="EV111" s="78" t="str">
        <f t="array" aca="1" ref="EV11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LEN(SUBSTITUTE(_xlfn.FORMULATEXT(EV$109),"=","")))+$EU111)</f>
        <v/>
      </c>
      <c r="EW111" s="78" t="str">
        <f t="array" aca="1" ref="EW11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LEN(SUBSTITUTE(_xlfn.FORMULATEXT(EW$109),"=","")))+$EU111)</f>
        <v/>
      </c>
      <c r="EX111" s="78" t="str">
        <f t="array" aca="1" ref="EX11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LEN(SUBSTITUTE(_xlfn.FORMULATEXT(EX$109),"=","")))+$EU111)</f>
        <v/>
      </c>
      <c r="EY111" s="78" t="str">
        <f t="array" aca="1" ref="EY11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LEN(SUBSTITUTE(_xlfn.FORMULATEXT(EY$109),"=","")))+$EU111)</f>
        <v/>
      </c>
      <c r="EZ111" s="78" t="str">
        <f t="array" aca="1" ref="EZ11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LEN(SUBSTITUTE(_xlfn.FORMULATEXT(EZ$109),"=","")))+$EU111)</f>
        <v/>
      </c>
      <c r="FA111" s="78" t="str">
        <f t="array" aca="1" ref="FA11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LEN(SUBSTITUTE(_xlfn.FORMULATEXT(FA$109),"=","")))+$EU111)</f>
        <v/>
      </c>
      <c r="FB111" s="78" t="str">
        <f t="array" aca="1" ref="FB11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LEN(SUBSTITUTE(_xlfn.FORMULATEXT(FB$109),"=","")))+$EU111)</f>
        <v/>
      </c>
      <c r="FC111" s="78" t="str">
        <f t="array" aca="1" ref="FC11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LEN(SUBSTITUTE(_xlfn.FORMULATEXT(FC$109),"=","")))+$EU111)</f>
        <v/>
      </c>
      <c r="FD111" s="78" t="str">
        <f t="array" aca="1" ref="FD11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LEN(SUBSTITUTE(_xlfn.FORMULATEXT(FD$109),"=","")))+$EU111)</f>
        <v/>
      </c>
      <c r="FE111" s="78" t="str">
        <f t="array" aca="1" ref="FE11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LEN(SUBSTITUTE(_xlfn.FORMULATEXT(FE$109),"=","")))+$EU111)</f>
        <v/>
      </c>
      <c r="FF111" s="78" t="str">
        <f t="array" aca="1" ref="FF11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LEN(SUBSTITUTE(_xlfn.FORMULATEXT(FF$109),"=","")))+$EU111)</f>
        <v/>
      </c>
      <c r="FG111" s="78">
        <f t="shared" ca="1" si="7"/>
        <v>0</v>
      </c>
      <c r="FH111" s="78" t="b">
        <f t="array" aca="1" ref="FH111" ca="1">SUMPRODUCT((LEN(EV111:FF111)&gt;0)*1)&gt;0</f>
        <v>0</v>
      </c>
      <c r="FI111" s="78" t="str">
        <f t="array" aca="1" ref="FI111" ca="1">IFERROR(SMALL(IF(FG$1:FG$228&lt;&gt;0,FG$1:FG$228),ROW(A111)),"")</f>
        <v/>
      </c>
      <c r="FJ111" s="78" t="str">
        <f t="array" aca="1" ref="FJ111" ca="1">IF($FI111&lt;&gt;"",
INDIRECT(""&amp;IF(COLUMN(EV166)&lt;=26,CHAR(COLUMN(EV166)+64),CHAR(INT((COLUMN(EV166)-1)/26)+64)&amp;CHAR(MOD(COLUMN(EV166)-1,26)+65))&amp;$FI111&amp;""),"")</f>
        <v/>
      </c>
      <c r="FK111" s="78" t="str">
        <f t="array" aca="1" ref="FK111" ca="1">IF($FI111&lt;&gt;"",
INDIRECT(""&amp;IF(COLUMN(EW166)&lt;=26,CHAR(COLUMN(EW166)+64),CHAR(INT((COLUMN(EW166)-1)/26)+64)&amp;CHAR(MOD(COLUMN(EW166)-1,26)+65))&amp;$FI111&amp;""),"")</f>
        <v/>
      </c>
      <c r="FL111" s="78" t="str">
        <f t="array" aca="1" ref="FL111" ca="1">IF($FI111&lt;&gt;"",
INDIRECT(""&amp;IF(COLUMN(EX166)&lt;=26,CHAR(COLUMN(EX166)+64),CHAR(INT((COLUMN(EX166)-1)/26)+64)&amp;CHAR(MOD(COLUMN(EX166)-1,26)+65))&amp;$FI111&amp;""),"")</f>
        <v/>
      </c>
      <c r="FM111" s="78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78" t="str">
        <f t="array" aca="1" ref="FN111" ca="1">IF($FI111&lt;&gt;"",
INDIRECT(""&amp;IF(COLUMN(FA166)&lt;=26,CHAR(COLUMN(FA166)+64),CHAR(INT((COLUMN(FA166)-1)/26)+64)&amp;CHAR(MOD(COLUMN(FA166)-1,26)+65))&amp;$FI111&amp;""),"")</f>
        <v/>
      </c>
      <c r="FO111" s="78" t="str">
        <f t="array" aca="1" ref="FO111" ca="1">IF($FI111&lt;&gt;"",
INDIRECT(""&amp;IF(COLUMN(FB166)&lt;=26,CHAR(COLUMN(FB166)+64),CHAR(INT((COLUMN(FB166)-1)/26)+64)&amp;CHAR(MOD(COLUMN(FB166)-1,26)+65))&amp;$FI111&amp;""),"")</f>
        <v/>
      </c>
      <c r="FP111" s="78" t="str">
        <f t="array" aca="1" ref="FP111" ca="1">IF($FI111&lt;&gt;"",
INDIRECT(""&amp;IF(COLUMN(FC166)&lt;=26,CHAR(COLUMN(FC166)+64),CHAR(INT((COLUMN(FC166)-1)/26)+64)&amp;CHAR(MOD(COLUMN(FC166)-1,26)+65))&amp;$FI111&amp;""),"")</f>
        <v/>
      </c>
      <c r="FQ111" s="78" t="str">
        <f t="array" aca="1" ref="FQ111" ca="1">IF($FI111&lt;&gt;"",
INDIRECT(""&amp;IF(COLUMN(FD166)&lt;=26,CHAR(COLUMN(FD166)+64),CHAR(INT((COLUMN(FD166)-1)/26)+64)&amp;CHAR(MOD(COLUMN(FD166)-1,26)+65))&amp;$FI111&amp;""),"")</f>
        <v/>
      </c>
      <c r="FR111" s="78" t="str">
        <f t="array" aca="1" ref="FR111" ca="1">IF($FI111&lt;&gt;"",
INDIRECT(""&amp;IF(COLUMN(FE166)&lt;=26,CHAR(COLUMN(FE166)+64),CHAR(INT((COLUMN(FE166)-1)/26)+64)&amp;CHAR(MOD(COLUMN(FE166)-1,26)+65))&amp;$FI111&amp;""),"")</f>
        <v/>
      </c>
      <c r="FS111" s="78" t="str">
        <f t="array" aca="1" ref="FS111" ca="1">IF($FI111&lt;&gt;"",
INDIRECT(""&amp;IF(COLUMN(FF166)&lt;=26,CHAR(COLUMN(FF166)+64),CHAR(INT((COLUMN(FF166)-1)/26)+64)&amp;CHAR(MOD(COLUMN(FF166)-1,26)+65))&amp;$FI111&amp;""),"")</f>
        <v/>
      </c>
    </row>
    <row r="112" spans="2:175" ht="22.2" customHeight="1" x14ac:dyDescent="0.45">
      <c r="B112" s="244" t="str">
        <f ca="1">IF(C109&lt;&gt;"",
IFERROR(INT(C109/C111),""),"")</f>
        <v/>
      </c>
      <c r="C112" s="245"/>
      <c r="D112" s="244" t="str">
        <f ca="1">IFERROR(MOD(C109,C111),"")</f>
        <v/>
      </c>
      <c r="E112" s="245"/>
      <c r="F112" s="246" t="str">
        <f ca="1">IF(C106&lt;&gt;"",G108+G109,"")</f>
        <v/>
      </c>
      <c r="G112" s="245"/>
      <c r="I112" s="244" t="str">
        <f ca="1">IF(J109&lt;&gt;"",
IFERROR(INT(J109/J111),""),"")</f>
        <v/>
      </c>
      <c r="J112" s="245"/>
      <c r="K112" s="244" t="str">
        <f ca="1">IFERROR(MOD(J109,J111),"")</f>
        <v/>
      </c>
      <c r="L112" s="245"/>
      <c r="M112" s="246" t="str">
        <f ca="1">IF(J106&lt;&gt;"",N108+N109,"")</f>
        <v/>
      </c>
      <c r="N112" s="245"/>
      <c r="Q112" s="244" t="str">
        <f ca="1">IF(R109&lt;&gt;"",
IFERROR(INT(R109/R111),""),"")</f>
        <v/>
      </c>
      <c r="R112" s="245"/>
      <c r="S112" s="244" t="str">
        <f ca="1">IFERROR(MOD(R109,R111),"")</f>
        <v/>
      </c>
      <c r="T112" s="245"/>
      <c r="U112" s="246" t="str">
        <f ca="1">IF(R106&lt;&gt;"",V108+V109,"")</f>
        <v/>
      </c>
      <c r="V112" s="245"/>
      <c r="X112" s="244" t="str">
        <f ca="1">IF(Y109&lt;&gt;"",
IFERROR(INT(Y109/Y111),""),"")</f>
        <v/>
      </c>
      <c r="Y112" s="245"/>
      <c r="Z112" s="244" t="str">
        <f ca="1">IFERROR(MOD(Y109,Y111),"")</f>
        <v/>
      </c>
      <c r="AA112" s="245"/>
      <c r="AB112" s="246" t="str">
        <f ca="1">IF(Y106&lt;&gt;"",AC108+AC109,"")</f>
        <v/>
      </c>
      <c r="AC112" s="245"/>
      <c r="AF112" s="244" t="str">
        <f ca="1">IF(AG109&lt;&gt;"",
IFERROR(INT(AG109/AG111),""),"")</f>
        <v/>
      </c>
      <c r="AG112" s="245"/>
      <c r="AH112" s="244" t="str">
        <f ca="1">IFERROR(MOD(AG109,AG111),"")</f>
        <v/>
      </c>
      <c r="AI112" s="245"/>
      <c r="AJ112" s="246" t="str">
        <f ca="1">IF(AG106&lt;&gt;"",AK108+AK109,"")</f>
        <v/>
      </c>
      <c r="AK112" s="245"/>
      <c r="AM112" s="244" t="str">
        <f ca="1">IF(AN109&lt;&gt;"",
IFERROR(INT(AN109/AN111),""),"")</f>
        <v/>
      </c>
      <c r="AN112" s="245"/>
      <c r="AO112" s="244" t="str">
        <f ca="1">IFERROR(MOD(AN109,AN111),"")</f>
        <v/>
      </c>
      <c r="AP112" s="245"/>
      <c r="AQ112" s="246" t="str">
        <f ca="1">IF(AN106&lt;&gt;"",AR108+AR109,"")</f>
        <v/>
      </c>
      <c r="AR112" s="245"/>
      <c r="AU112" s="244" t="str">
        <f ca="1">IF(AV109&lt;&gt;"",
IFERROR(INT(AV109/AV111),""),"")</f>
        <v/>
      </c>
      <c r="AV112" s="245"/>
      <c r="AW112" s="244" t="str">
        <f ca="1">IFERROR(MOD(AV109,AV111),"")</f>
        <v/>
      </c>
      <c r="AX112" s="245"/>
      <c r="AY112" s="246" t="str">
        <f ca="1">IF(AV106&lt;&gt;"",AZ108+AZ109,"")</f>
        <v/>
      </c>
      <c r="AZ112" s="245"/>
      <c r="BB112" s="244" t="str">
        <f ca="1">IF(BC109&lt;&gt;"",
IFERROR(INT(BC109/BC111),""),"")</f>
        <v/>
      </c>
      <c r="BC112" s="245"/>
      <c r="BD112" s="244" t="str">
        <f ca="1">IFERROR(MOD(BC109,BC111),"")</f>
        <v/>
      </c>
      <c r="BE112" s="245"/>
      <c r="BF112" s="246" t="str">
        <f ca="1">IF(BC106&lt;&gt;"",BG108+BG109,"")</f>
        <v/>
      </c>
      <c r="BG112" s="245"/>
      <c r="BJ112" s="244" t="str">
        <f ca="1">IF(BK109&lt;&gt;"",
IFERROR(INT(BK109/BK111),""),"")</f>
        <v/>
      </c>
      <c r="BK112" s="245"/>
      <c r="BL112" s="244" t="str">
        <f ca="1">IFERROR(MOD(BK109,BK111),"")</f>
        <v/>
      </c>
      <c r="BM112" s="245"/>
      <c r="BN112" s="246" t="str">
        <f ca="1">IF(BK106&lt;&gt;"",BO108+BO109,"")</f>
        <v/>
      </c>
      <c r="BO112" s="245"/>
      <c r="BQ112" s="244" t="str">
        <f ca="1">IF(BR109&lt;&gt;"",
IFERROR(INT(BR109/BR111),""),"")</f>
        <v/>
      </c>
      <c r="BR112" s="245"/>
      <c r="BS112" s="244" t="str">
        <f ca="1">IFERROR(MOD(BR109,BR111),"")</f>
        <v/>
      </c>
      <c r="BT112" s="245"/>
      <c r="BU112" s="246" t="str">
        <f ca="1">IF(BR106&lt;&gt;"",BV108+BV109,"")</f>
        <v/>
      </c>
      <c r="BV112" s="245"/>
      <c r="BY112" s="244" t="str">
        <f ca="1">IF(BZ109&lt;&gt;"",
IFERROR(INT(BZ109/BZ111),""),"")</f>
        <v/>
      </c>
      <c r="BZ112" s="245"/>
      <c r="CA112" s="244" t="str">
        <f ca="1">IFERROR(MOD(BZ109,BZ111),"")</f>
        <v/>
      </c>
      <c r="CB112" s="245"/>
      <c r="CC112" s="246" t="str">
        <f ca="1">IF(BZ106&lt;&gt;"",CD108+CD109,"")</f>
        <v/>
      </c>
      <c r="CD112" s="245"/>
      <c r="CF112" s="244" t="str">
        <f ca="1">IF(CG109&lt;&gt;"",
IFERROR(INT(CG109/CG111),""),"")</f>
        <v/>
      </c>
      <c r="CG112" s="245"/>
      <c r="CH112" s="244" t="str">
        <f ca="1">IFERROR(MOD(CG109,CG111),"")</f>
        <v/>
      </c>
      <c r="CI112" s="245"/>
      <c r="CJ112" s="246" t="str">
        <f ca="1">IF(CG106&lt;&gt;"",CK108+CK109,"")</f>
        <v/>
      </c>
      <c r="CK112" s="245"/>
      <c r="CN112" s="244" t="str">
        <f ca="1">IF(CO109&lt;&gt;"",
IFERROR(INT(CO109/CO111),""),"")</f>
        <v/>
      </c>
      <c r="CO112" s="245"/>
      <c r="CP112" s="244" t="str">
        <f ca="1">IFERROR(MOD(CO109,CO111),"")</f>
        <v/>
      </c>
      <c r="CQ112" s="245"/>
      <c r="CR112" s="246" t="str">
        <f ca="1">IF(CO106&lt;&gt;"",CS108+CS109,"")</f>
        <v/>
      </c>
      <c r="CS112" s="245"/>
      <c r="CU112" s="244" t="str">
        <f ca="1">IF(CV109&lt;&gt;"",
IFERROR(INT(CV109/CV111),""),"")</f>
        <v/>
      </c>
      <c r="CV112" s="245"/>
      <c r="CW112" s="244" t="str">
        <f ca="1">IFERROR(MOD(CV109,CV111),"")</f>
        <v/>
      </c>
      <c r="CX112" s="245"/>
      <c r="CY112" s="246" t="str">
        <f ca="1">IF(CV106&lt;&gt;"",CZ108+CZ109,"")</f>
        <v/>
      </c>
      <c r="CZ112" s="245"/>
      <c r="DC112" s="244" t="str">
        <f ca="1">IF(DD109&lt;&gt;"",
IFERROR(INT(DD109/DD111),""),"")</f>
        <v/>
      </c>
      <c r="DD112" s="245"/>
      <c r="DE112" s="244" t="str">
        <f ca="1">IFERROR(MOD(DD109,DD111),"")</f>
        <v/>
      </c>
      <c r="DF112" s="245"/>
      <c r="DG112" s="246" t="str">
        <f ca="1">IF(DD106&lt;&gt;"",DH108+DH109,"")</f>
        <v/>
      </c>
      <c r="DH112" s="245"/>
      <c r="DJ112" s="244" t="str">
        <f ca="1">IF(DK109&lt;&gt;"",
IFERROR(INT(DK109/DK111),""),"")</f>
        <v/>
      </c>
      <c r="DK112" s="245"/>
      <c r="DL112" s="244" t="str">
        <f ca="1">IFERROR(MOD(DK109,DK111),"")</f>
        <v/>
      </c>
      <c r="DM112" s="245"/>
      <c r="DN112" s="246" t="str">
        <f ca="1">IF(DK106&lt;&gt;"",DO108+DO109,"")</f>
        <v/>
      </c>
      <c r="DO112" s="245"/>
      <c r="DR112" s="244" t="str">
        <f ca="1">IF(DS109&lt;&gt;"",
IFERROR(INT(DS109/DS111),""),"")</f>
        <v/>
      </c>
      <c r="DS112" s="245"/>
      <c r="DT112" s="244" t="str">
        <f ca="1">IFERROR(MOD(DS109,DS111),"")</f>
        <v/>
      </c>
      <c r="DU112" s="245"/>
      <c r="DV112" s="246" t="str">
        <f ca="1">IF(DS106&lt;&gt;"",DW108+DW109,"")</f>
        <v/>
      </c>
      <c r="DW112" s="245"/>
      <c r="DY112" s="244" t="str">
        <f ca="1">IF(DZ109&lt;&gt;"",
IFERROR(INT(DZ109/DZ111),""),"")</f>
        <v/>
      </c>
      <c r="DZ112" s="245"/>
      <c r="EA112" s="244" t="str">
        <f ca="1">IFERROR(MOD(DZ109,DZ111),"")</f>
        <v/>
      </c>
      <c r="EB112" s="245"/>
      <c r="EC112" s="246" t="str">
        <f ca="1">IF(DZ106&lt;&gt;"",ED108+ED109,"")</f>
        <v/>
      </c>
      <c r="ED112" s="245"/>
      <c r="EG112" s="244" t="str">
        <f ca="1">IF(EH109&lt;&gt;"",
IFERROR(INT(EH109/EH111),""),"")</f>
        <v/>
      </c>
      <c r="EH112" s="245"/>
      <c r="EI112" s="244" t="str">
        <f ca="1">IFERROR(MOD(EH109,EH111),"")</f>
        <v/>
      </c>
      <c r="EJ112" s="245"/>
      <c r="EK112" s="246" t="str">
        <f ca="1">IF(EH106&lt;&gt;"",EL108+EL109,"")</f>
        <v/>
      </c>
      <c r="EL112" s="245"/>
      <c r="EN112" s="244" t="str">
        <f ca="1">IF(EO109&lt;&gt;"",
IFERROR(INT(EO109/EO111),""),"")</f>
        <v/>
      </c>
      <c r="EO112" s="245"/>
      <c r="EP112" s="244" t="str">
        <f ca="1">IFERROR(MOD(EO109,EO111),"")</f>
        <v/>
      </c>
      <c r="EQ112" s="245"/>
      <c r="ER112" s="246" t="str">
        <f ca="1">IF(EO106&lt;&gt;"",ES108+ES109,"")</f>
        <v/>
      </c>
      <c r="ES112" s="245"/>
      <c r="EU112" s="78"/>
      <c r="EV112" s="79" t="str">
        <f ca="1">BC1</f>
        <v/>
      </c>
      <c r="EW112" s="79" t="str">
        <f ca="1">BC2</f>
        <v/>
      </c>
      <c r="EX112" s="79" t="str">
        <f ca="1">BE2</f>
        <v/>
      </c>
      <c r="EY112" s="80" t="str">
        <f ca="1">BF2</f>
        <v/>
      </c>
      <c r="EZ112" s="80" t="str">
        <f ca="1">BG2</f>
        <v/>
      </c>
      <c r="FA112" s="79" t="e">
        <f ca="1">BC4</f>
        <v>#VALUE!</v>
      </c>
      <c r="FB112" s="79" t="e">
        <f ca="1">BE4</f>
        <v>#VALUE!</v>
      </c>
      <c r="FC112" s="79" t="str">
        <f ca="1">BC6</f>
        <v/>
      </c>
      <c r="FD112" s="79" t="e">
        <f ca="1">BB7</f>
        <v>#VALUE!</v>
      </c>
      <c r="FE112" s="79" t="str">
        <f ca="1">BD7</f>
        <v/>
      </c>
      <c r="FF112" s="79" t="e">
        <f ca="1">BF7</f>
        <v>#VALUE!</v>
      </c>
      <c r="FG112" s="78">
        <f t="shared" ca="1" si="7"/>
        <v>0</v>
      </c>
      <c r="FH112" s="78" t="e">
        <f t="array" aca="1" ref="FH112" ca="1">SUMPRODUCT((LEN(EV112:FF112)&gt;0)*1)&gt;0</f>
        <v>#VALUE!</v>
      </c>
      <c r="FI112" s="78" t="str">
        <f t="array" aca="1" ref="FI112" ca="1">IFERROR(SMALL(IF(FG$1:FG$228&lt;&gt;0,FG$1:FG$228),ROW(A112)),"")</f>
        <v/>
      </c>
      <c r="FJ112" s="78" t="str">
        <f t="array" aca="1" ref="FJ112" ca="1">IF($FI112&lt;&gt;"",
INDIRECT(""&amp;IF(COLUMN(EV167)&lt;=26,CHAR(COLUMN(EV167)+64),CHAR(INT((COLUMN(EV167)-1)/26)+64)&amp;CHAR(MOD(COLUMN(EV167)-1,26)+65))&amp;$FI112&amp;""),"")</f>
        <v/>
      </c>
      <c r="FK112" s="78" t="str">
        <f t="array" aca="1" ref="FK112" ca="1">IF($FI112&lt;&gt;"",
INDIRECT(""&amp;IF(COLUMN(EW167)&lt;=26,CHAR(COLUMN(EW167)+64),CHAR(INT((COLUMN(EW167)-1)/26)+64)&amp;CHAR(MOD(COLUMN(EW167)-1,26)+65))&amp;$FI112&amp;""),"")</f>
        <v/>
      </c>
      <c r="FL112" s="78" t="str">
        <f t="array" aca="1" ref="FL112" ca="1">IF($FI112&lt;&gt;"",
INDIRECT(""&amp;IF(COLUMN(EX167)&lt;=26,CHAR(COLUMN(EX167)+64),CHAR(INT((COLUMN(EX167)-1)/26)+64)&amp;CHAR(MOD(COLUMN(EX167)-1,26)+65))&amp;$FI112&amp;""),"")</f>
        <v/>
      </c>
      <c r="FM112" s="78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78" t="str">
        <f t="array" aca="1" ref="FN112" ca="1">IF($FI112&lt;&gt;"",
INDIRECT(""&amp;IF(COLUMN(FA167)&lt;=26,CHAR(COLUMN(FA167)+64),CHAR(INT((COLUMN(FA167)-1)/26)+64)&amp;CHAR(MOD(COLUMN(FA167)-1,26)+65))&amp;$FI112&amp;""),"")</f>
        <v/>
      </c>
      <c r="FO112" s="78" t="str">
        <f t="array" aca="1" ref="FO112" ca="1">IF($FI112&lt;&gt;"",
INDIRECT(""&amp;IF(COLUMN(FB167)&lt;=26,CHAR(COLUMN(FB167)+64),CHAR(INT((COLUMN(FB167)-1)/26)+64)&amp;CHAR(MOD(COLUMN(FB167)-1,26)+65))&amp;$FI112&amp;""),"")</f>
        <v/>
      </c>
      <c r="FP112" s="78" t="str">
        <f t="array" aca="1" ref="FP112" ca="1">IF($FI112&lt;&gt;"",
INDIRECT(""&amp;IF(COLUMN(FC167)&lt;=26,CHAR(COLUMN(FC167)+64),CHAR(INT((COLUMN(FC167)-1)/26)+64)&amp;CHAR(MOD(COLUMN(FC167)-1,26)+65))&amp;$FI112&amp;""),"")</f>
        <v/>
      </c>
      <c r="FQ112" s="78" t="str">
        <f t="array" aca="1" ref="FQ112" ca="1">IF($FI112&lt;&gt;"",
INDIRECT(""&amp;IF(COLUMN(FD167)&lt;=26,CHAR(COLUMN(FD167)+64),CHAR(INT((COLUMN(FD167)-1)/26)+64)&amp;CHAR(MOD(COLUMN(FD167)-1,26)+65))&amp;$FI112&amp;""),"")</f>
        <v/>
      </c>
      <c r="FR112" s="78" t="str">
        <f t="array" aca="1" ref="FR112" ca="1">IF($FI112&lt;&gt;"",
INDIRECT(""&amp;IF(COLUMN(FE167)&lt;=26,CHAR(COLUMN(FE167)+64),CHAR(INT((COLUMN(FE167)-1)/26)+64)&amp;CHAR(MOD(COLUMN(FE167)-1,26)+65))&amp;$FI112&amp;""),"")</f>
        <v/>
      </c>
      <c r="FS112" s="78" t="str">
        <f t="array" aca="1" ref="FS112" ca="1">IF($FI112&lt;&gt;"",
INDIRECT(""&amp;IF(COLUMN(FF167)&lt;=26,CHAR(COLUMN(FF167)+64),CHAR(INT((COLUMN(FF167)-1)/26)+64)&amp;CHAR(MOD(COLUMN(FF167)-1,26)+65))&amp;$FI112&amp;""),"")</f>
        <v/>
      </c>
    </row>
    <row r="113" spans="2:175" ht="22.2" customHeight="1" x14ac:dyDescent="0.55000000000000004">
      <c r="B113" s="77" t="str" cm="1">
        <f t="array" aca="1" ref="B113" ca="1">IF(COUNTIF(G29,"*合計*"),"",
IFERROR(
SUBSTITUTE(ADDRESS(1,
COLUMN(INDIRECT("数出表_Excel!B" &amp; (MATCH(G29,数出表_Excel!$A:$A,0)-1))) - 1 +
MATCH(TRUE, ISNUMBER(--INDIRECT("数出表_Excel!"&amp;B71&amp; (MATCH(G29,数出表_Excel!$A:$A,0)-1) &amp; ":U" &amp; (MATCH(G29,数出表_Excel!$A:$A,0)-1))), 0)
+MATCH(TRUE, ISNUMBER(--INDIRECT("数出表_Excel!B" &amp; (MATCH(G29,数出表_Excel!$A:$A,0)-1) &amp; ":U" &amp; (MATCH(G29,数出表_Excel!$A:$A,0)-1))), 0)+1,4),"1",""),
""))</f>
        <v/>
      </c>
      <c r="C113" s="247" t="str">
        <f ca="1">IF(C116&lt;&gt;"",C29,"")</f>
        <v/>
      </c>
      <c r="D113" s="248"/>
      <c r="E113" s="248"/>
      <c r="F113" s="248"/>
      <c r="G113" s="231" t="str">
        <f>SUBSTITUTE(ADDRESS(1,
COLUMN(),1),"1","")</f>
        <v>$G$</v>
      </c>
      <c r="H113" s="76"/>
      <c r="I113" s="77" t="str" cm="1">
        <f t="array" aca="1" ref="I113" ca="1">IF(COUNTIF(N29,"*合計*"),"",
IFERROR(
SUBSTITUTE(ADDRESS(1,
COLUMN(INDIRECT("数出表_Excel!B" &amp; (MATCH(N29,数出表_Excel!$A:$A,0)-1))) - 1 +
MATCH(TRUE, ISNUMBER(--INDIRECT("数出表_Excel!"&amp;I71&amp; (MATCH(N29,数出表_Excel!$A:$A,0)-1) &amp; ":U" &amp; (MATCH(N29,数出表_Excel!$A:$A,0)-1))), 0)
+MATCH(TRUE, ISNUMBER(--INDIRECT("数出表_Excel!B" &amp; (MATCH(N29,数出表_Excel!$A:$A,0)-1) &amp; ":U" &amp; (MATCH(N29,数出表_Excel!$A:$A,0)-1))), 0)+1,4),"1",""),
""))</f>
        <v/>
      </c>
      <c r="J113" s="247" t="str">
        <f ca="1">IF(J116&lt;&gt;"",J29,"")</f>
        <v/>
      </c>
      <c r="K113" s="248"/>
      <c r="L113" s="248"/>
      <c r="M113" s="248"/>
      <c r="N113" s="231" t="str">
        <f>SUBSTITUTE(ADDRESS(1,
COLUMN(),1),"1","")</f>
        <v>$N$</v>
      </c>
      <c r="Q113" s="77" t="str" cm="1">
        <f t="array" aca="1" ref="Q113" ca="1">IF(COUNTIF(V29,"*合計*"),"",
IFERROR(
SUBSTITUTE(ADDRESS(1,
COLUMN(INDIRECT("数出表_Excel!B" &amp; (MATCH(V29,数出表_Excel!$A:$A,0)-1))) - 1 +
MATCH(TRUE, ISNUMBER(--INDIRECT("数出表_Excel!"&amp;Q71&amp; (MATCH(V29,数出表_Excel!$A:$A,0)-1) &amp; ":U" &amp; (MATCH(V29,数出表_Excel!$A:$A,0)-1))), 0)
+MATCH(TRUE, ISNUMBER(--INDIRECT("数出表_Excel!B" &amp; (MATCH(V29,数出表_Excel!$A:$A,0)-1) &amp; ":U" &amp; (MATCH(V29,数出表_Excel!$A:$A,0)-1))), 0)+1,4),"1",""),
""))</f>
        <v/>
      </c>
      <c r="R113" s="247" t="str">
        <f ca="1">IF(R116&lt;&gt;"",R29,"")</f>
        <v/>
      </c>
      <c r="S113" s="248"/>
      <c r="T113" s="248"/>
      <c r="U113" s="248"/>
      <c r="V113" s="231" t="str">
        <f>SUBSTITUTE(ADDRESS(1,
COLUMN(),1),"1","")</f>
        <v>$V$</v>
      </c>
      <c r="W113" s="76"/>
      <c r="X113" s="77" t="str" cm="1">
        <f t="array" aca="1" ref="X113" ca="1">IF(COUNTIF(AC29,"*合計*"),"",
IFERROR(
SUBSTITUTE(ADDRESS(1,
COLUMN(INDIRECT("数出表_Excel!B" &amp; (MATCH(AC29,数出表_Excel!$A:$A,0)-1))) - 1 +
MATCH(TRUE, ISNUMBER(--INDIRECT("数出表_Excel!"&amp;X71&amp; (MATCH(AC29,数出表_Excel!$A:$A,0)-1) &amp; ":U" &amp; (MATCH(AC29,数出表_Excel!$A:$A,0)-1))), 0)
+MATCH(TRUE, ISNUMBER(--INDIRECT("数出表_Excel!B" &amp; (MATCH(AC29,数出表_Excel!$A:$A,0)-1) &amp; ":U" &amp; (MATCH(AC29,数出表_Excel!$A:$A,0)-1))), 0)+1,4),"1",""),
""))</f>
        <v/>
      </c>
      <c r="Y113" s="247" t="str">
        <f ca="1">IF(Y116&lt;&gt;"",Y29,"")</f>
        <v/>
      </c>
      <c r="Z113" s="248"/>
      <c r="AA113" s="248"/>
      <c r="AB113" s="248"/>
      <c r="AC113" s="231" t="str">
        <f>SUBSTITUTE(ADDRESS(1,
COLUMN(),1),"1","")</f>
        <v>$AC$</v>
      </c>
      <c r="AF113" s="77" t="str" cm="1">
        <f t="array" aca="1" ref="AF113" ca="1">IF(COUNTIF(AK29,"*合計*"),"",
IFERROR(
SUBSTITUTE(ADDRESS(1,
COLUMN(INDIRECT("数出表_Excel!B" &amp; (MATCH(AK29,数出表_Excel!$A:$A,0)-1))) - 1 +
MATCH(TRUE, ISNUMBER(--INDIRECT("数出表_Excel!"&amp;AF71&amp; (MATCH(AK29,数出表_Excel!$A:$A,0)-1) &amp; ":U" &amp; (MATCH(AK29,数出表_Excel!$A:$A,0)-1))), 0)
+MATCH(TRUE, ISNUMBER(--INDIRECT("数出表_Excel!B" &amp; (MATCH(AK29,数出表_Excel!$A:$A,0)-1) &amp; ":U" &amp; (MATCH(AK29,数出表_Excel!$A:$A,0)-1))), 0)+1,4),"1",""),
""))</f>
        <v/>
      </c>
      <c r="AG113" s="247" t="str">
        <f ca="1">IF(AG116&lt;&gt;"",AG29,"")</f>
        <v/>
      </c>
      <c r="AH113" s="248"/>
      <c r="AI113" s="248"/>
      <c r="AJ113" s="248"/>
      <c r="AK113" s="231" t="str">
        <f>SUBSTITUTE(ADDRESS(1,
COLUMN(),1),"1","")</f>
        <v>$AK$</v>
      </c>
      <c r="AL113" s="76"/>
      <c r="AM113" s="77" t="str" cm="1">
        <f t="array" aca="1" ref="AM113" ca="1">IF(COUNTIF(AR29,"*合計*"),"",
IFERROR(
SUBSTITUTE(ADDRESS(1,
COLUMN(INDIRECT("数出表_Excel!B" &amp; (MATCH(AR29,数出表_Excel!$A:$A,0)-1))) - 1 +
MATCH(TRUE, ISNUMBER(--INDIRECT("数出表_Excel!"&amp;AM71&amp; (MATCH(AR29,数出表_Excel!$A:$A,0)-1) &amp; ":U" &amp; (MATCH(AR29,数出表_Excel!$A:$A,0)-1))), 0)
+MATCH(TRUE, ISNUMBER(--INDIRECT("数出表_Excel!B" &amp; (MATCH(AR29,数出表_Excel!$A:$A,0)-1) &amp; ":U" &amp; (MATCH(AR29,数出表_Excel!$A:$A,0)-1))), 0)+1,4),"1",""),
""))</f>
        <v/>
      </c>
      <c r="AN113" s="247" t="str">
        <f ca="1">IF(AN116&lt;&gt;"",AN29,"")</f>
        <v/>
      </c>
      <c r="AO113" s="248"/>
      <c r="AP113" s="248"/>
      <c r="AQ113" s="248"/>
      <c r="AR113" s="231" t="str">
        <f>SUBSTITUTE(ADDRESS(1,
COLUMN(),1),"1","")</f>
        <v>$AR$</v>
      </c>
      <c r="AU113" s="77" t="str" cm="1">
        <f t="array" aca="1" ref="AU113" ca="1">IF(COUNTIF(AZ29,"*合計*"),"",
IFERROR(
SUBSTITUTE(ADDRESS(1,
COLUMN(INDIRECT("数出表_Excel!B" &amp; (MATCH(AZ29,数出表_Excel!$A:$A,0)-1))) - 1 +
MATCH(TRUE, ISNUMBER(--INDIRECT("数出表_Excel!"&amp;AU71&amp; (MATCH(AZ29,数出表_Excel!$A:$A,0)-1) &amp; ":U" &amp; (MATCH(AZ29,数出表_Excel!$A:$A,0)-1))), 0)
+MATCH(TRUE, ISNUMBER(--INDIRECT("数出表_Excel!B" &amp; (MATCH(AZ29,数出表_Excel!$A:$A,0)-1) &amp; ":U" &amp; (MATCH(AZ29,数出表_Excel!$A:$A,0)-1))), 0)+1,4),"1",""),
""))</f>
        <v/>
      </c>
      <c r="AV113" s="247" t="str">
        <f ca="1">IF(AV116&lt;&gt;"",AV29,"")</f>
        <v/>
      </c>
      <c r="AW113" s="248"/>
      <c r="AX113" s="248"/>
      <c r="AY113" s="248"/>
      <c r="AZ113" s="231" t="str">
        <f>SUBSTITUTE(ADDRESS(1,
COLUMN(),1),"1","")</f>
        <v>$AZ$</v>
      </c>
      <c r="BA113" s="76"/>
      <c r="BB113" s="77" t="str" cm="1">
        <f t="array" aca="1" ref="BB113" ca="1">IF(COUNTIF(BG29,"*合計*"),"",
IFERROR(
SUBSTITUTE(ADDRESS(1,
COLUMN(INDIRECT("数出表_Excel!B" &amp; (MATCH(BG29,数出表_Excel!$A:$A,0)-1))) - 1 +
MATCH(TRUE, ISNUMBER(--INDIRECT("数出表_Excel!"&amp;BB71&amp; (MATCH(BG29,数出表_Excel!$A:$A,0)-1) &amp; ":U" &amp; (MATCH(BG29,数出表_Excel!$A:$A,0)-1))), 0)
+MATCH(TRUE, ISNUMBER(--INDIRECT("数出表_Excel!B" &amp; (MATCH(BG29,数出表_Excel!$A:$A,0)-1) &amp; ":U" &amp; (MATCH(BG29,数出表_Excel!$A:$A,0)-1))), 0)+1,4),"1",""),
""))</f>
        <v/>
      </c>
      <c r="BC113" s="247" t="str">
        <f ca="1">IF(BC116&lt;&gt;"",BC29,"")</f>
        <v/>
      </c>
      <c r="BD113" s="248"/>
      <c r="BE113" s="248"/>
      <c r="BF113" s="248"/>
      <c r="BG113" s="231" t="str">
        <f>SUBSTITUTE(ADDRESS(1,
COLUMN(),1),"1","")</f>
        <v>$BG$</v>
      </c>
      <c r="BJ113" s="77" t="str" cm="1">
        <f t="array" aca="1" ref="BJ113" ca="1">IF(COUNTIF(BO29,"*合計*"),"",
IFERROR(
SUBSTITUTE(ADDRESS(1,
COLUMN(INDIRECT("数出表_Excel!B" &amp; (MATCH(BO29,数出表_Excel!$A:$A,0)-1))) - 1 +
MATCH(TRUE, ISNUMBER(--INDIRECT("数出表_Excel!"&amp;BJ71&amp; (MATCH(BO29,数出表_Excel!$A:$A,0)-1) &amp; ":U" &amp; (MATCH(BO29,数出表_Excel!$A:$A,0)-1))), 0)
+MATCH(TRUE, ISNUMBER(--INDIRECT("数出表_Excel!B" &amp; (MATCH(BO29,数出表_Excel!$A:$A,0)-1) &amp; ":U" &amp; (MATCH(BO29,数出表_Excel!$A:$A,0)-1))), 0)+1,4),"1",""),
""))</f>
        <v/>
      </c>
      <c r="BK113" s="247" t="str">
        <f ca="1">IF(BK116&lt;&gt;"",BK29,"")</f>
        <v/>
      </c>
      <c r="BL113" s="248"/>
      <c r="BM113" s="248"/>
      <c r="BN113" s="248"/>
      <c r="BO113" s="231" t="str">
        <f>SUBSTITUTE(ADDRESS(1,
COLUMN(),1),"1","")</f>
        <v>$BO$</v>
      </c>
      <c r="BP113" s="76"/>
      <c r="BQ113" s="77" t="str" cm="1">
        <f t="array" aca="1" ref="BQ113" ca="1">IF(COUNTIF(BV29,"*合計*"),"",
IFERROR(
SUBSTITUTE(ADDRESS(1,
COLUMN(INDIRECT("数出表_Excel!B" &amp; (MATCH(BV29,数出表_Excel!$A:$A,0)-1))) - 1 +
MATCH(TRUE, ISNUMBER(--INDIRECT("数出表_Excel!"&amp;BQ71&amp; (MATCH(BV29,数出表_Excel!$A:$A,0)-1) &amp; ":U" &amp; (MATCH(BV29,数出表_Excel!$A:$A,0)-1))), 0)
+MATCH(TRUE, ISNUMBER(--INDIRECT("数出表_Excel!B" &amp; (MATCH(BV29,数出表_Excel!$A:$A,0)-1) &amp; ":U" &amp; (MATCH(BV29,数出表_Excel!$A:$A,0)-1))), 0)+1,4),"1",""),
""))</f>
        <v/>
      </c>
      <c r="BR113" s="247" t="str">
        <f ca="1">IF(BR116&lt;&gt;"",BR29,"")</f>
        <v/>
      </c>
      <c r="BS113" s="248"/>
      <c r="BT113" s="248"/>
      <c r="BU113" s="248"/>
      <c r="BV113" s="231" t="str">
        <f>SUBSTITUTE(ADDRESS(1,
COLUMN(),1),"1","")</f>
        <v>$BV$</v>
      </c>
      <c r="BY113" s="77" t="str" cm="1">
        <f t="array" aca="1" ref="BY113" ca="1">IF(COUNTIF(CD29,"*合計*"),"",
IFERROR(
SUBSTITUTE(ADDRESS(1,
COLUMN(INDIRECT("数出表_Excel!B" &amp; (MATCH(CD29,数出表_Excel!$A:$A,0)-1))) - 1 +
MATCH(TRUE, ISNUMBER(--INDIRECT("数出表_Excel!"&amp;BY71&amp; (MATCH(CD29,数出表_Excel!$A:$A,0)-1) &amp; ":U" &amp; (MATCH(CD29,数出表_Excel!$A:$A,0)-1))), 0)
+MATCH(TRUE, ISNUMBER(--INDIRECT("数出表_Excel!B" &amp; (MATCH(CD29,数出表_Excel!$A:$A,0)-1) &amp; ":U" &amp; (MATCH(CD29,数出表_Excel!$A:$A,0)-1))), 0)+1,4),"1",""),
""))</f>
        <v/>
      </c>
      <c r="BZ113" s="247" t="str">
        <f ca="1">IF(BZ116&lt;&gt;"",BZ29,"")</f>
        <v/>
      </c>
      <c r="CA113" s="248"/>
      <c r="CB113" s="248"/>
      <c r="CC113" s="248"/>
      <c r="CD113" s="231" t="str">
        <f>SUBSTITUTE(ADDRESS(1,
COLUMN(),1),"1","")</f>
        <v>$CD$</v>
      </c>
      <c r="CE113" s="76"/>
      <c r="CF113" s="77" t="str" cm="1">
        <f t="array" aca="1" ref="CF113" ca="1">IF(COUNTIF(CK29,"*合計*"),"",
IFERROR(
SUBSTITUTE(ADDRESS(1,
COLUMN(INDIRECT("数出表_Excel!B" &amp; (MATCH(CK29,数出表_Excel!$A:$A,0)-1))) - 1 +
MATCH(TRUE, ISNUMBER(--INDIRECT("数出表_Excel!"&amp;CF71&amp; (MATCH(CK29,数出表_Excel!$A:$A,0)-1) &amp; ":U" &amp; (MATCH(CK29,数出表_Excel!$A:$A,0)-1))), 0)
+MATCH(TRUE, ISNUMBER(--INDIRECT("数出表_Excel!B" &amp; (MATCH(CK29,数出表_Excel!$A:$A,0)-1) &amp; ":U" &amp; (MATCH(CK29,数出表_Excel!$A:$A,0)-1))), 0)+1,4),"1",""),
""))</f>
        <v/>
      </c>
      <c r="CG113" s="247" t="str">
        <f ca="1">IF(CG116&lt;&gt;"",CG29,"")</f>
        <v/>
      </c>
      <c r="CH113" s="248"/>
      <c r="CI113" s="248"/>
      <c r="CJ113" s="248"/>
      <c r="CK113" s="231" t="str">
        <f>SUBSTITUTE(ADDRESS(1,
COLUMN(),1),"1","")</f>
        <v>$CK$</v>
      </c>
      <c r="CN113" s="77" t="str" cm="1">
        <f t="array" aca="1" ref="CN113" ca="1">IF(COUNTIF(CS29,"*合計*"),"",
IFERROR(
SUBSTITUTE(ADDRESS(1,
COLUMN(INDIRECT("数出表_Excel!B" &amp; (MATCH(CS29,数出表_Excel!$A:$A,0)-1))) - 1 +
MATCH(TRUE, ISNUMBER(--INDIRECT("数出表_Excel!"&amp;CN71&amp; (MATCH(CS29,数出表_Excel!$A:$A,0)-1) &amp; ":U" &amp; (MATCH(CS29,数出表_Excel!$A:$A,0)-1))), 0)
+MATCH(TRUE, ISNUMBER(--INDIRECT("数出表_Excel!B" &amp; (MATCH(CS29,数出表_Excel!$A:$A,0)-1) &amp; ":U" &amp; (MATCH(CS29,数出表_Excel!$A:$A,0)-1))), 0)+1,4),"1",""),
""))</f>
        <v/>
      </c>
      <c r="CO113" s="247" t="str">
        <f ca="1">IF(CO116&lt;&gt;"",CO29,"")</f>
        <v/>
      </c>
      <c r="CP113" s="248"/>
      <c r="CQ113" s="248"/>
      <c r="CR113" s="248"/>
      <c r="CS113" s="231" t="str">
        <f>SUBSTITUTE(ADDRESS(1,
COLUMN(),1),"1","")</f>
        <v>$CS$</v>
      </c>
      <c r="CT113" s="76"/>
      <c r="CU113" s="77" t="str" cm="1">
        <f t="array" aca="1" ref="CU113" ca="1">IF(COUNTIF(CZ29,"*合計*"),"",
IFERROR(
SUBSTITUTE(ADDRESS(1,
COLUMN(INDIRECT("数出表_Excel!B" &amp; (MATCH(CZ29,数出表_Excel!$A:$A,0)-1))) - 1 +
MATCH(TRUE, ISNUMBER(--INDIRECT("数出表_Excel!"&amp;CU71&amp; (MATCH(CZ29,数出表_Excel!$A:$A,0)-1) &amp; ":U" &amp; (MATCH(CZ29,数出表_Excel!$A:$A,0)-1))), 0)
+MATCH(TRUE, ISNUMBER(--INDIRECT("数出表_Excel!B" &amp; (MATCH(CZ29,数出表_Excel!$A:$A,0)-1) &amp; ":U" &amp; (MATCH(CZ29,数出表_Excel!$A:$A,0)-1))), 0)+1,4),"1",""),
""))</f>
        <v/>
      </c>
      <c r="CV113" s="247" t="str">
        <f ca="1">IF(CV116&lt;&gt;"",CV29,"")</f>
        <v/>
      </c>
      <c r="CW113" s="248"/>
      <c r="CX113" s="248"/>
      <c r="CY113" s="248"/>
      <c r="CZ113" s="231" t="str">
        <f>SUBSTITUTE(ADDRESS(1,
COLUMN(),1),"1","")</f>
        <v>$CZ$</v>
      </c>
      <c r="DC113" s="77" t="str" cm="1">
        <f t="array" aca="1" ref="DC113" ca="1">IF(COUNTIF(DH29,"*合計*"),"",
IFERROR(
SUBSTITUTE(ADDRESS(1,
COLUMN(INDIRECT("数出表_Excel!B" &amp; (MATCH(DH29,数出表_Excel!$A:$A,0)-1))) - 1 +
MATCH(TRUE, ISNUMBER(--INDIRECT("数出表_Excel!"&amp;DC71&amp; (MATCH(DH29,数出表_Excel!$A:$A,0)-1) &amp; ":U" &amp; (MATCH(DH29,数出表_Excel!$A:$A,0)-1))), 0)
+MATCH(TRUE, ISNUMBER(--INDIRECT("数出表_Excel!B" &amp; (MATCH(DH29,数出表_Excel!$A:$A,0)-1) &amp; ":U" &amp; (MATCH(DH29,数出表_Excel!$A:$A,0)-1))), 0)+1,4),"1",""),
""))</f>
        <v/>
      </c>
      <c r="DD113" s="247" t="str">
        <f ca="1">IF(DD116&lt;&gt;"",DD29,"")</f>
        <v/>
      </c>
      <c r="DE113" s="248"/>
      <c r="DF113" s="248"/>
      <c r="DG113" s="248"/>
      <c r="DH113" s="231" t="str">
        <f>SUBSTITUTE(ADDRESS(1,
COLUMN(),1),"1","")</f>
        <v>$DH$</v>
      </c>
      <c r="DI113" s="76"/>
      <c r="DJ113" s="77" t="str" cm="1">
        <f t="array" aca="1" ref="DJ113" ca="1">IF(COUNTIF(DO29,"*合計*"),"",
IFERROR(
SUBSTITUTE(ADDRESS(1,
COLUMN(INDIRECT("数出表_Excel!B" &amp; (MATCH(DO29,数出表_Excel!$A:$A,0)-1))) - 1 +
MATCH(TRUE, ISNUMBER(--INDIRECT("数出表_Excel!"&amp;DJ71&amp; (MATCH(DO29,数出表_Excel!$A:$A,0)-1) &amp; ":U" &amp; (MATCH(DO29,数出表_Excel!$A:$A,0)-1))), 0)
+MATCH(TRUE, ISNUMBER(--INDIRECT("数出表_Excel!B" &amp; (MATCH(DO29,数出表_Excel!$A:$A,0)-1) &amp; ":U" &amp; (MATCH(DO29,数出表_Excel!$A:$A,0)-1))), 0)+1,4),"1",""),
""))</f>
        <v/>
      </c>
      <c r="DK113" s="247" t="str">
        <f ca="1">IF(DK116&lt;&gt;"",DK29,"")</f>
        <v/>
      </c>
      <c r="DL113" s="248"/>
      <c r="DM113" s="248"/>
      <c r="DN113" s="248"/>
      <c r="DO113" s="231" t="str">
        <f>SUBSTITUTE(ADDRESS(1,
COLUMN(),1),"1","")</f>
        <v>$DO$</v>
      </c>
      <c r="DR113" s="77" t="str" cm="1">
        <f t="array" aca="1" ref="DR113" ca="1">IF(COUNTIF(DW29,"*合計*"),"",
IFERROR(
SUBSTITUTE(ADDRESS(1,
COLUMN(INDIRECT("数出表_Excel!B" &amp; (MATCH(DW29,数出表_Excel!$A:$A,0)-1))) - 1 +
MATCH(TRUE, ISNUMBER(--INDIRECT("数出表_Excel!"&amp;DR71&amp; (MATCH(DW29,数出表_Excel!$A:$A,0)-1) &amp; ":U" &amp; (MATCH(DW29,数出表_Excel!$A:$A,0)-1))), 0)
+MATCH(TRUE, ISNUMBER(--INDIRECT("数出表_Excel!B" &amp; (MATCH(DW29,数出表_Excel!$A:$A,0)-1) &amp; ":U" &amp; (MATCH(DW29,数出表_Excel!$A:$A,0)-1))), 0)+1,4),"1",""),
""))</f>
        <v/>
      </c>
      <c r="DS113" s="247" t="str">
        <f ca="1">IF(DS116&lt;&gt;"",DS29,"")</f>
        <v/>
      </c>
      <c r="DT113" s="248"/>
      <c r="DU113" s="248"/>
      <c r="DV113" s="248"/>
      <c r="DW113" s="231" t="str">
        <f>SUBSTITUTE(ADDRESS(1,
COLUMN(),1),"1","")</f>
        <v>$DW$</v>
      </c>
      <c r="DX113" s="76"/>
      <c r="DY113" s="77" t="str" cm="1">
        <f t="array" aca="1" ref="DY113" ca="1">IF(COUNTIF(ED29,"*合計*"),"",
IFERROR(
SUBSTITUTE(ADDRESS(1,
COLUMN(INDIRECT("数出表_Excel!B" &amp; (MATCH(ED29,数出表_Excel!$A:$A,0)-1))) - 1 +
MATCH(TRUE, ISNUMBER(--INDIRECT("数出表_Excel!"&amp;DY71&amp; (MATCH(ED29,数出表_Excel!$A:$A,0)-1) &amp; ":U" &amp; (MATCH(ED29,数出表_Excel!$A:$A,0)-1))), 0)
+MATCH(TRUE, ISNUMBER(--INDIRECT("数出表_Excel!B" &amp; (MATCH(ED29,数出表_Excel!$A:$A,0)-1) &amp; ":U" &amp; (MATCH(ED29,数出表_Excel!$A:$A,0)-1))), 0)+1,4),"1",""),
""))</f>
        <v/>
      </c>
      <c r="DZ113" s="247" t="str">
        <f ca="1">IF(DZ116&lt;&gt;"",DZ29,"")</f>
        <v/>
      </c>
      <c r="EA113" s="248"/>
      <c r="EB113" s="248"/>
      <c r="EC113" s="248"/>
      <c r="ED113" s="231" t="str">
        <f>SUBSTITUTE(ADDRESS(1,
COLUMN(),1),"1","")</f>
        <v>$ED$</v>
      </c>
      <c r="EG113" s="77" t="str" cm="1">
        <f t="array" aca="1" ref="EG113" ca="1">IF(COUNTIF(EL29,"*合計*"),"",
IFERROR(
SUBSTITUTE(ADDRESS(1,
COLUMN(INDIRECT("数出表_Excel!B" &amp; (MATCH(EL29,数出表_Excel!$A:$A,0)-1))) - 1 +
MATCH(TRUE, ISNUMBER(--INDIRECT("数出表_Excel!"&amp;EG71&amp; (MATCH(EL29,数出表_Excel!$A:$A,0)-1) &amp; ":U" &amp; (MATCH(EL29,数出表_Excel!$A:$A,0)-1))), 0)
+MATCH(TRUE, ISNUMBER(--INDIRECT("数出表_Excel!B" &amp; (MATCH(EL29,数出表_Excel!$A:$A,0)-1) &amp; ":U" &amp; (MATCH(EL29,数出表_Excel!$A:$A,0)-1))), 0)+1,4),"1",""),
""))</f>
        <v/>
      </c>
      <c r="EH113" s="247" t="str">
        <f ca="1">IF(EH116&lt;&gt;"",EH29,"")</f>
        <v/>
      </c>
      <c r="EI113" s="248"/>
      <c r="EJ113" s="248"/>
      <c r="EK113" s="248"/>
      <c r="EL113" s="231" t="str">
        <f>SUBSTITUTE(ADDRESS(1,
COLUMN(),1),"1","")</f>
        <v>$EL$</v>
      </c>
      <c r="EM113" s="76"/>
      <c r="EN113" s="77" t="str" cm="1">
        <f t="array" aca="1" ref="EN113" ca="1">IF(COUNTIF(ES29,"*合計*"),"",
IFERROR(
SUBSTITUTE(ADDRESS(1,
COLUMN(INDIRECT("数出表_Excel!B" &amp; (MATCH(ES29,数出表_Excel!$A:$A,0)-1))) - 1 +
MATCH(TRUE, ISNUMBER(--INDIRECT("数出表_Excel!"&amp;EN71&amp; (MATCH(ES29,数出表_Excel!$A:$A,0)-1) &amp; ":U" &amp; (MATCH(ES29,数出表_Excel!$A:$A,0)-1))), 0)
+MATCH(TRUE, ISNUMBER(--INDIRECT("数出表_Excel!B" &amp; (MATCH(ES29,数出表_Excel!$A:$A,0)-1) &amp; ":U" &amp; (MATCH(ES29,数出表_Excel!$A:$A,0)-1))), 0)+1,4),"1",""),
""))</f>
        <v/>
      </c>
      <c r="EO113" s="247" t="str">
        <f ca="1">IF(EO116&lt;&gt;"",EO29,"")</f>
        <v/>
      </c>
      <c r="EP113" s="248"/>
      <c r="EQ113" s="248"/>
      <c r="ER113" s="248"/>
      <c r="ES113" s="231" t="str">
        <f>SUBSTITUTE(ADDRESS(1,
COLUMN(),1),"1","")</f>
        <v>$ES$</v>
      </c>
      <c r="EU113" s="78">
        <v>42</v>
      </c>
      <c r="EV113" s="78" t="str">
        <f t="array" aca="1" ref="EV113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LEN(SUBSTITUTE(_xlfn.FORMULATEXT(EV$112),"=","")))+$EU113)</f>
        <v/>
      </c>
      <c r="EW113" s="78" t="str">
        <f t="array" aca="1" ref="EW113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LEN(SUBSTITUTE(_xlfn.FORMULATEXT(EW$112),"=","")))+$EU113)</f>
        <v/>
      </c>
      <c r="EX113" s="78" t="str">
        <f t="array" aca="1" ref="EX113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LEN(SUBSTITUTE(_xlfn.FORMULATEXT(EX$112),"=","")))+$EU113)</f>
        <v/>
      </c>
      <c r="EY113" s="78" t="str">
        <f t="array" aca="1" ref="EY113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LEN(SUBSTITUTE(_xlfn.FORMULATEXT(EY$112),"=","")))+$EU113)</f>
        <v/>
      </c>
      <c r="EZ113" s="78" t="str">
        <f t="array" aca="1" ref="EZ113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LEN(SUBSTITUTE(_xlfn.FORMULATEXT(EZ$112),"=","")))+$EU113)</f>
        <v/>
      </c>
      <c r="FA113" s="78" t="str">
        <f t="array" aca="1" ref="FA113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LEN(SUBSTITUTE(_xlfn.FORMULATEXT(FA$112),"=","")))+$EU113)</f>
        <v/>
      </c>
      <c r="FB113" s="78" t="str">
        <f t="array" aca="1" ref="FB113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LEN(SUBSTITUTE(_xlfn.FORMULATEXT(FB$112),"=","")))+$EU113)</f>
        <v/>
      </c>
      <c r="FC113" s="78" t="str">
        <f t="array" aca="1" ref="FC113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LEN(SUBSTITUTE(_xlfn.FORMULATEXT(FC$112),"=","")))+$EU113)</f>
        <v/>
      </c>
      <c r="FD113" s="78" t="str">
        <f t="array" aca="1" ref="FD113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LEN(SUBSTITUTE(_xlfn.FORMULATEXT(FD$112),"=","")))+$EU113)</f>
        <v/>
      </c>
      <c r="FE113" s="78" t="str">
        <f t="array" aca="1" ref="FE113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LEN(SUBSTITUTE(_xlfn.FORMULATEXT(FE$112),"=","")))+$EU113)</f>
        <v/>
      </c>
      <c r="FF113" s="78" t="str">
        <f t="array" aca="1" ref="FF113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LEN(SUBSTITUTE(_xlfn.FORMULATEXT(FF$112),"=","")))+$EU113)</f>
        <v/>
      </c>
      <c r="FG113" s="78">
        <f t="shared" ca="1" si="7"/>
        <v>0</v>
      </c>
      <c r="FH113" s="78" t="b">
        <f t="array" aca="1" ref="FH113" ca="1">SUMPRODUCT((LEN(EV113:FF113)&gt;0)*1)&gt;0</f>
        <v>0</v>
      </c>
      <c r="FI113" s="78" t="str">
        <f t="array" aca="1" ref="FI113" ca="1">IFERROR(SMALL(IF(FG$1:FG$228&lt;&gt;0,FG$1:FG$228),ROW(A113)),"")</f>
        <v/>
      </c>
      <c r="FJ113" s="78" t="str">
        <f t="array" aca="1" ref="FJ113" ca="1">IF($FI113&lt;&gt;"",
INDIRECT(""&amp;IF(COLUMN(EV169)&lt;=26,CHAR(COLUMN(EV169)+64),CHAR(INT((COLUMN(EV169)-1)/26)+64)&amp;CHAR(MOD(COLUMN(EV169)-1,26)+65))&amp;$FI113&amp;""),"")</f>
        <v/>
      </c>
      <c r="FK113" s="78" t="str">
        <f t="array" aca="1" ref="FK113" ca="1">IF($FI113&lt;&gt;"",
INDIRECT(""&amp;IF(COLUMN(EW169)&lt;=26,CHAR(COLUMN(EW169)+64),CHAR(INT((COLUMN(EW169)-1)/26)+64)&amp;CHAR(MOD(COLUMN(EW169)-1,26)+65))&amp;$FI113&amp;""),"")</f>
        <v/>
      </c>
      <c r="FL113" s="78" t="str">
        <f t="array" aca="1" ref="FL113" ca="1">IF($FI113&lt;&gt;"",
INDIRECT(""&amp;IF(COLUMN(EX169)&lt;=26,CHAR(COLUMN(EX169)+64),CHAR(INT((COLUMN(EX169)-1)/26)+64)&amp;CHAR(MOD(COLUMN(EX169)-1,26)+65))&amp;$FI113&amp;""),"")</f>
        <v/>
      </c>
      <c r="FM113" s="78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78" t="str">
        <f t="array" aca="1" ref="FN113" ca="1">IF($FI113&lt;&gt;"",
INDIRECT(""&amp;IF(COLUMN(FA169)&lt;=26,CHAR(COLUMN(FA169)+64),CHAR(INT((COLUMN(FA169)-1)/26)+64)&amp;CHAR(MOD(COLUMN(FA169)-1,26)+65))&amp;$FI113&amp;""),"")</f>
        <v/>
      </c>
      <c r="FO113" s="78" t="str">
        <f t="array" aca="1" ref="FO113" ca="1">IF($FI113&lt;&gt;"",
INDIRECT(""&amp;IF(COLUMN(FB169)&lt;=26,CHAR(COLUMN(FB169)+64),CHAR(INT((COLUMN(FB169)-1)/26)+64)&amp;CHAR(MOD(COLUMN(FB169)-1,26)+65))&amp;$FI113&amp;""),"")</f>
        <v/>
      </c>
      <c r="FP113" s="78" t="str">
        <f t="array" aca="1" ref="FP113" ca="1">IF($FI113&lt;&gt;"",
INDIRECT(""&amp;IF(COLUMN(FC169)&lt;=26,CHAR(COLUMN(FC169)+64),CHAR(INT((COLUMN(FC169)-1)/26)+64)&amp;CHAR(MOD(COLUMN(FC169)-1,26)+65))&amp;$FI113&amp;""),"")</f>
        <v/>
      </c>
      <c r="FQ113" s="78" t="str">
        <f t="array" aca="1" ref="FQ113" ca="1">IF($FI113&lt;&gt;"",
INDIRECT(""&amp;IF(COLUMN(FD169)&lt;=26,CHAR(COLUMN(FD169)+64),CHAR(INT((COLUMN(FD169)-1)/26)+64)&amp;CHAR(MOD(COLUMN(FD169)-1,26)+65))&amp;$FI113&amp;""),"")</f>
        <v/>
      </c>
      <c r="FR113" s="78" t="str">
        <f t="array" aca="1" ref="FR113" ca="1">IF($FI113&lt;&gt;"",
INDIRECT(""&amp;IF(COLUMN(FE169)&lt;=26,CHAR(COLUMN(FE169)+64),CHAR(INT((COLUMN(FE169)-1)/26)+64)&amp;CHAR(MOD(COLUMN(FE169)-1,26)+65))&amp;$FI113&amp;""),"")</f>
        <v/>
      </c>
      <c r="FS113" s="78" t="str">
        <f t="array" aca="1" ref="FS113" ca="1">IF($FI113&lt;&gt;"",
INDIRECT(""&amp;IF(COLUMN(FF169)&lt;=26,CHAR(COLUMN(FF169)+64),CHAR(INT((COLUMN(FF169)-1)/26)+64)&amp;CHAR(MOD(COLUMN(FF169)-1,26)+65))&amp;$FI113&amp;""),"")</f>
        <v/>
      </c>
    </row>
    <row r="114" spans="2:175" ht="22.2" customHeight="1" x14ac:dyDescent="0.55000000000000004">
      <c r="B114" s="81" t="e" cm="1">
        <f t="array" aca="1" ref="B114" ca="1">IF(B31&lt;&gt;100,
IF(C116&lt;&gt;"",MATCH(C116,INDIRECT("数出表_Excel!B"&amp;MATCH(G29,数出表_Excel!$A:$A,0)-1&amp;":U"&amp;MATCH(G29,数出表_Excel!$A:$A,0)-1&amp;""),0)+1,""),
IF(C116&lt;&gt;"",
MATCH(
IFERROR(
INDEX(INDIRECT("数出表_Excel!"&amp;B113&amp;MATCH(G29,数出表_Excel!$A:$A,0)-1&amp;":U"&amp;MATCH(G29,数出表_Excel!$A:$A,0)-1&amp;""),
 1,
 MATCH(TRUE, ISNUMBER(--INDIRECT("数出表_Excel!"&amp;B113&amp;MATCH(G29,数出表_Excel!$A:$A,0)-1&amp;":U"&amp;MATCH(G29,数出表_Excel!$A:$A,0)-1&amp;"")),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114" s="58" t="str" cm="1">
        <f t="array" aca="1" ref="C114" ca="1">IFERROR(IF(OR(
COUNTIF(INDIRECT("数出表_Excel!" &amp;
CHAR(MATCH(TRUE,
ISNUMBER(--INDIRECT("数出表_Excel!"&amp;B113&amp;MATCH(G29,数出表_Excel!$A:$A,0)-1&amp;":U"&amp;MATCH(G29,数出表_Excel!$A:$A,0)-1&amp;"")),0)
+MATCH(TRUE, ISNUMBER(--INDIRECT("数出表_Excel!B" &amp; (MATCH(G29,数出表_Excel!$A:$A,0)-1) &amp; ":U" &amp; (MATCH(G29,数出表_Excel!$A:$A,0)-1))), 0)
+MATCH(TRUE, ISNUMBER(--INDIRECT("数出表_Excel!"&amp;B71&amp; (MATCH(G29,数出表_Excel!$A:$A,0)-1) &amp; ":U" &amp; (MATCH(G29,数出表_Excel!$A:$A,0)-1))), 0)
+65) &amp; "3"),"*配膳*"),
COUNTIF(INDIRECT("数出表_Excel!" &amp;
CHAR(MATCH(TRUE,
ISNUMBER(--INDIRECT("数出表_Excel!"&amp;B113&amp;MATCH(G29,数出表_Excel!$A:$A,0)-1&amp;":U"&amp;MATCH(G29,数出表_Excel!$A:$A,0)-1&amp;"")),0)
+MATCH(TRUE, ISNUMBER(--INDIRECT("数出表_Excel!B" &amp; (MATCH(G29,数出表_Excel!$A:$A,0)-1) &amp; ":U" &amp; (MATCH(G29,数出表_Excel!$A:$A,0)-1))), 0)
+MATCH(TRUE, ISNUMBER(--INDIRECT("数出表_Excel!"&amp;B71&amp; (MATCH(G29,数出表_Excel!$A:$A,0)-1) &amp; ":U" &amp; (MATCH(G29,数出表_Excel!$A:$A,0)-1))), 0)
+65) &amp; "3"),"*カレー*"),
COUNTIF(C71,"*合計*")),"",
IF(IFERROR(INDIRECT("数出表_Excel!" &amp;
CHAR(MATCH(TRUE,
ISNUMBER(--INDIRECT("数出表_Excel!"&amp;B113&amp;MATCH(G29,数出表_Excel!$A:$A,0)-1&amp;":U"&amp;MATCH(G29,数出表_Excel!$A:$A,0)-1&amp;"")),0)
+MATCH(TRUE, ISNUMBER(--INDIRECT("数出表_Excel!B" &amp; (MATCH(G29,数出表_Excel!$A:$A,0)-1) &amp; ":U" &amp; (MATCH(G29,数出表_Excel!$A:$A,0)-1))), 0)
+MATCH(TRUE, ISNUMBER(--INDIRECT("数出表_Excel!"&amp;B71&amp; (MATCH(G29,数出表_Excel!$A:$A,0)-1) &amp; ":U" &amp; (MATCH(G29,数出表_Excel!$A:$A,0)-1))), 0)
+65) &amp; "3"),0)=0,"",
IFERROR(INDIRECT("数出表_Excel!" &amp;
CHAR(MATCH(TRUE,
ISNUMBER(--INDIRECT("数出表_Excel!"&amp;B113&amp;MATCH(G29,数出表_Excel!$A:$A,0)-1&amp;":U"&amp;MATCH(G29,数出表_Excel!$A:$A,0)-1&amp;"")),0)
+MATCH(TRUE, ISNUMBER(--INDIRECT("数出表_Excel!B" &amp; (MATCH(G29,数出表_Excel!$A:$A,0)-1) &amp; ":U" &amp; (MATCH(G29,数出表_Excel!$A:$A,0)-1))), 0)
+MATCH(TRUE, ISNUMBER(--INDIRECT("数出表_Excel!"&amp;B71&amp; (MATCH(G29,数出表_Excel!$A:$A,0)-1) &amp; ":U" &amp; (MATCH(G29,数出表_Excel!$A:$A,0)-1))), 0)
+65) &amp; "3"),""))),"")</f>
        <v/>
      </c>
      <c r="D114" s="76"/>
      <c r="E114" s="82" t="str" cm="1">
        <f t="array" aca="1" ref="E114" ca="1">IF(F114&lt;&gt;"","",
IF(COUNTIF(C113,"*雙葉*"),"",
IF(C113&lt;&gt;"",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+MATCH(TRUE,INDIRECT("'数出表_Excel'!"&amp;B113&amp;MATCH(G29,数出表_Excel!$A:$A,0)-1&amp;":AL"&amp;MATCH(G29,数出表_Excel!$A:$A,0)-1&amp;"")&lt;&gt;"",0))&gt;9,"",
IFERROR(
INDEX(INDIRECT("数出表_Excel!$"&amp;B113&amp;"4:$AL4"),
 1,
MATCH(TRUE,INDIRECT("'数出表_Excel'!"&amp;B113&amp;MATCH(G29,数出表_Excel!$A:$A,0)-1&amp;":AL"&amp;MATCH(G29,数出表_Excel!$A:$A,0)-1&amp;"")&lt;&gt;"",0)
),
 "")
&amp;IFERROR(
INDEX(INDIRECT("数出表_Excel!$"&amp;B113&amp;"5:$AL5"),
 1,
MATCH(TRUE,INDIRECT("'数出表_Excel'!"&amp;B113&amp;MATCH(G29,数出表_Excel!$A:$A,0)-1&amp;":AL"&amp;MATCH(G29,数出表_Excel!$A:$A,0)-1&amp;"")&lt;&gt;"",0)),
 "")),"")))</f>
        <v/>
      </c>
      <c r="F114" s="83" t="str" cm="1">
        <f t="array" aca="1" ref="F114" ca="1">IF(C114&lt;&gt;"",
IF(COUNTIF(C113,"*雙葉*"),
IF(ROUND(
IF(F119&lt;&gt;"",(C116-F119),C116)
/IF(COUNTIF(C114,"*キャラ*"),
VLOOKUP("*キャラ*",商品マスタ一覧!$D:$J,7,FALSE),
IF(COUNTIF(C114,"*赤*"),
VLOOKUP("*赤*",商品マスタ一覧!$D:$J,7,FALSE),
VLOOKUP(C114,商品マスタ一覧!$D:$J,7,FALSE))),0)&lt;=0,1,
ROUND(
IF(F119&lt;&gt;"",(C116-F119),C116)
/IF(COUNTIF(C114,"*キャラ*"),
VLOOKUP("*キャラ*",商品マスタ一覧!$D:$J,7,FALSE),
IF(COUNTIF(C114,"*赤*"),
VLOOKUP("*赤*",商品マスタ一覧!$D:$J,7,FALSE),
VLOOKUP(C114,商品マスタ一覧!$D:$J,7,FALSE))),0)),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IF(C114&lt;&gt;"",
IF(IF(COUNTIF(C114,"*キャラ*"),
VLOOKUP("*キャラ*",商品マスタ一覧!$D:$J,7,FALSE),
IF(COUNTIF(C114,"*赤*"),
VLOOKUP("*赤*",商品マスタ一覧!$D:$J,7,FALSE),
VLOOKUP(C114,商品マスタ一覧!$D:$J,7,FALSE)))=0,"",
IF(ROUND(
IF(F119&lt;&gt;"",(C116-F119),C116)
/IF(COUNTIF(C114,"*キャラ*"),
VLOOKUP("*キャラ*",商品マスタ一覧!$D:$J,7,FALSE),
IF(COUNTIF(C114,"*赤*"),
VLOOKUP("*赤*",商品マスタ一覧!$D:$J,7,FALSE),
VLOOKUP(C114,商品マスタ一覧!$D:$J,7,FALSE))),0)&lt;=0,1,
ROUND(
IF(F119&lt;&gt;"",(C116-F119),C116)
/IF(COUNTIF(C114,"*キャラ*"),
VLOOKUP("*キャラ*",商品マスタ一覧!$D:$J,7,FALSE),
IF(COUNTIF(C114,"*赤*"),
VLOOKUP("*赤*",商品マスタ一覧!$D:$J,7,FALSE),
VLOOKUP(C114,商品マスタ一覧!$D:$J,7,FALSE))),0))),""),"")),"")</f>
        <v/>
      </c>
      <c r="G114" s="92" t="str">
        <f ca="1">IF(F114&lt;&gt;"",IF(C116&lt;&gt;"",IF(VALUE(IF(F119&lt;&gt;"",C116-F119,C116))&gt;VALUE(IF(COUNTIF('盛付札（関数）'!C114,"*キャラ*"),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VLOOKUP('盛付札（関数）'!C114,商品マスタ一覧!$D:$J,7,FALSE)))*F114),
"+"&amp;IF(F119&lt;&gt;"",C116-F119,C116)-IF(COUNTIF('盛付札（関数）'!C114,"*キャラ*"),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VLOOKUP('盛付札（関数）'!C114,商品マスタ一覧!$D:$J,7,FALSE)))*F114,
IF(F119&lt;&gt;"",C116-F119,C116)-IF(COUNTIF('盛付札（関数）'!C114,"*キャラ*"),
VLOOKUP("*キャラ*",商品マスタ一覧!$D:$J,7,FALSE),
IF(COUNTIF('盛付札（関数）'!C114,"*赤*"),
VLOOKUP("*赤*",商品マスタ一覧!$D:$J,7,FALSE),
VLOOKUP('盛付札（関数）'!C114,商品マスタ一覧!$D:$J,7,FALSE)))*F114),""),"")</f>
        <v/>
      </c>
      <c r="H114" s="76"/>
      <c r="I114" s="81" t="e" cm="1">
        <f t="array" aca="1" ref="I114" ca="1">IF(I31&lt;&gt;100,
IF(J116&lt;&gt;"",MATCH(J116,INDIRECT("数出表_Excel!B"&amp;MATCH(N29,数出表_Excel!$A:$A,0)-1&amp;":U"&amp;MATCH(N29,数出表_Excel!$A:$A,0)-1&amp;""),0)+1,""),
IF(J116&lt;&gt;"",
MATCH(
IFERROR(
INDEX(INDIRECT("数出表_Excel!"&amp;I113&amp;MATCH(N29,数出表_Excel!$A:$A,0)-1&amp;":U"&amp;MATCH(N29,数出表_Excel!$A:$A,0)-1&amp;""),
 1,
 MATCH(TRUE, ISNUMBER(--INDIRECT("数出表_Excel!"&amp;I113&amp;MATCH(N29,数出表_Excel!$A:$A,0)-1&amp;":U"&amp;MATCH(N29,数出表_Excel!$A:$A,0)-1&amp;"")),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114" s="58" t="str" cm="1">
        <f t="array" aca="1" ref="J114" ca="1">IFERROR(IF(OR(
COUNTIF(INDIRECT("数出表_Excel!" &amp;
CHAR(MATCH(TRUE,
ISNUMBER(--INDIRECT("数出表_Excel!"&amp;I113&amp;MATCH(N29,数出表_Excel!$A:$A,0)-1&amp;":U"&amp;MATCH(N29,数出表_Excel!$A:$A,0)-1&amp;"")),0)
+MATCH(TRUE, ISNUMBER(--INDIRECT("数出表_Excel!B" &amp; (MATCH(N29,数出表_Excel!$A:$A,0)-1) &amp; ":U" &amp; (MATCH(N29,数出表_Excel!$A:$A,0)-1))), 0)
+MATCH(TRUE, ISNUMBER(--INDIRECT("数出表_Excel!"&amp;I71&amp; (MATCH(N29,数出表_Excel!$A:$A,0)-1) &amp; ":U" &amp; (MATCH(N29,数出表_Excel!$A:$A,0)-1))), 0)
+65) &amp; "3"),"*配膳*"),
COUNTIF(INDIRECT("数出表_Excel!" &amp;
CHAR(MATCH(TRUE,
ISNUMBER(--INDIRECT("数出表_Excel!"&amp;I113&amp;MATCH(N29,数出表_Excel!$A:$A,0)-1&amp;":U"&amp;MATCH(N29,数出表_Excel!$A:$A,0)-1&amp;"")),0)
+MATCH(TRUE, ISNUMBER(--INDIRECT("数出表_Excel!B" &amp; (MATCH(N29,数出表_Excel!$A:$A,0)-1) &amp; ":U" &amp; (MATCH(N29,数出表_Excel!$A:$A,0)-1))), 0)
+MATCH(TRUE, ISNUMBER(--INDIRECT("数出表_Excel!"&amp;I71&amp; (MATCH(N29,数出表_Excel!$A:$A,0)-1) &amp; ":U" &amp; (MATCH(N29,数出表_Excel!$A:$A,0)-1))), 0)
+65) &amp; "3"),"*カレー*"),
COUNTIF(J71,"*合計*")),"",
IF(IFERROR(INDIRECT("数出表_Excel!" &amp;
CHAR(MATCH(TRUE,
ISNUMBER(--INDIRECT("数出表_Excel!"&amp;I113&amp;MATCH(N29,数出表_Excel!$A:$A,0)-1&amp;":U"&amp;MATCH(N29,数出表_Excel!$A:$A,0)-1&amp;"")),0)
+MATCH(TRUE, ISNUMBER(--INDIRECT("数出表_Excel!B" &amp; (MATCH(N29,数出表_Excel!$A:$A,0)-1) &amp; ":U" &amp; (MATCH(N29,数出表_Excel!$A:$A,0)-1))), 0)
+MATCH(TRUE, ISNUMBER(--INDIRECT("数出表_Excel!"&amp;I71&amp; (MATCH(N29,数出表_Excel!$A:$A,0)-1) &amp; ":U" &amp; (MATCH(N29,数出表_Excel!$A:$A,0)-1))), 0)
+65) &amp; "3"),0)=0,"",
IFERROR(INDIRECT("数出表_Excel!" &amp;
CHAR(MATCH(TRUE,
ISNUMBER(--INDIRECT("数出表_Excel!"&amp;I113&amp;MATCH(N29,数出表_Excel!$A:$A,0)-1&amp;":U"&amp;MATCH(N29,数出表_Excel!$A:$A,0)-1&amp;"")),0)
+MATCH(TRUE, ISNUMBER(--INDIRECT("数出表_Excel!B" &amp; (MATCH(N29,数出表_Excel!$A:$A,0)-1) &amp; ":U" &amp; (MATCH(N29,数出表_Excel!$A:$A,0)-1))), 0)
+MATCH(TRUE, ISNUMBER(--INDIRECT("数出表_Excel!"&amp;I71&amp; (MATCH(N29,数出表_Excel!$A:$A,0)-1) &amp; ":U" &amp; (MATCH(N29,数出表_Excel!$A:$A,0)-1))), 0)
+65) &amp; "3"),""))),"")</f>
        <v/>
      </c>
      <c r="K114" s="76"/>
      <c r="L114" s="82" t="str" cm="1">
        <f t="array" aca="1" ref="L114" ca="1">IF(M114&lt;&gt;"","",
IF(COUNTIF(J113,"*雙葉*"),"",
IF(J113&lt;&gt;"",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+MATCH(TRUE,INDIRECT("'数出表_Excel'!"&amp;I113&amp;MATCH(N29,数出表_Excel!$A:$A,0)-1&amp;":AL"&amp;MATCH(N29,数出表_Excel!$A:$A,0)-1&amp;"")&lt;&gt;"",0))&gt;9,"",
IFERROR(
INDEX(INDIRECT("数出表_Excel!$"&amp;I113&amp;"4:$AL4"),
 1,
MATCH(TRUE,INDIRECT("'数出表_Excel'!"&amp;I113&amp;MATCH(N29,数出表_Excel!$A:$A,0)-1&amp;":AL"&amp;MATCH(N29,数出表_Excel!$A:$A,0)-1&amp;"")&lt;&gt;"",0)
),
 "")
&amp;IFERROR(
INDEX(INDIRECT("数出表_Excel!$"&amp;I113&amp;"5:$AL5"),
 1,
MATCH(TRUE,INDIRECT("'数出表_Excel'!"&amp;I113&amp;MATCH(N29,数出表_Excel!$A:$A,0)-1&amp;":AL"&amp;MATCH(N29,数出表_Excel!$A:$A,0)-1&amp;"")&lt;&gt;"",0)),
 "")),"")))</f>
        <v/>
      </c>
      <c r="M114" s="83" t="str" cm="1">
        <f t="array" aca="1" ref="M114" ca="1">IF(J114&lt;&gt;"",
IF(COUNTIF(J113,"*雙葉*"),
IF(ROUND(
IF(M119&lt;&gt;"",(J116-M119),J116)
/IF(COUNTIF(J114,"*キャラ*"),
VLOOKUP("*キャラ*",商品マスタ一覧!$D:$J,7,FALSE),
IF(COUNTIF(J114,"*赤*"),
VLOOKUP("*赤*",商品マスタ一覧!$D:$J,7,FALSE),
VLOOKUP(J114,商品マスタ一覧!$D:$J,7,FALSE))),0)&lt;=0,1,
ROUND(
IF(M119&lt;&gt;"",(J116-M119),J116)
/IF(COUNTIF(J114,"*キャラ*"),
VLOOKUP("*キャラ*",商品マスタ一覧!$D:$J,7,FALSE),
IF(COUNTIF(J114,"*赤*"),
VLOOKUP("*赤*",商品マスタ一覧!$D:$J,7,FALSE),
VLOOKUP(J114,商品マスタ一覧!$D:$J,7,FALSE))),0)),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IF(J114&lt;&gt;"",
IF(IF(COUNTIF(J114,"*キャラ*"),
VLOOKUP("*キャラ*",商品マスタ一覧!$D:$J,7,FALSE),
IF(COUNTIF(J114,"*赤*"),
VLOOKUP("*赤*",商品マスタ一覧!$D:$J,7,FALSE),
VLOOKUP(J114,商品マスタ一覧!$D:$J,7,FALSE)))=0,"",
IF(ROUND(
IF(M119&lt;&gt;"",(J116-M119),J116)
/IF(COUNTIF(J114,"*キャラ*"),
VLOOKUP("*キャラ*",商品マスタ一覧!$D:$J,7,FALSE),
IF(COUNTIF(J114,"*赤*"),
VLOOKUP("*赤*",商品マスタ一覧!$D:$J,7,FALSE),
VLOOKUP(J114,商品マスタ一覧!$D:$J,7,FALSE))),0)&lt;=0,1,
ROUND(
IF(M119&lt;&gt;"",(J116-M119),J116)
/IF(COUNTIF(J114,"*キャラ*"),
VLOOKUP("*キャラ*",商品マスタ一覧!$D:$J,7,FALSE),
IF(COUNTIF(J114,"*赤*"),
VLOOKUP("*赤*",商品マスタ一覧!$D:$J,7,FALSE),
VLOOKUP(J114,商品マスタ一覧!$D:$J,7,FALSE))),0))),""),"")),"")</f>
        <v/>
      </c>
      <c r="N114" s="92" t="str">
        <f ca="1">IF(M114&lt;&gt;"",IF(J116&lt;&gt;"",IF(VALUE(IF(M119&lt;&gt;"",J116-M119,J116))&gt;VALUE(IF(COUNTIF('盛付札（関数）'!J114,"*キャラ*"),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VLOOKUP('盛付札（関数）'!J114,商品マスタ一覧!$D:$J,7,FALSE)))*M114),
"+"&amp;IF(M119&lt;&gt;"",J116-M119,J116)-IF(COUNTIF('盛付札（関数）'!J114,"*キャラ*"),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VLOOKUP('盛付札（関数）'!J114,商品マスタ一覧!$D:$J,7,FALSE)))*M114,
IF(M119&lt;&gt;"",J116-M119,J116)-IF(COUNTIF('盛付札（関数）'!J114,"*キャラ*"),
VLOOKUP("*キャラ*",商品マスタ一覧!$D:$J,7,FALSE),
IF(COUNTIF('盛付札（関数）'!J114,"*赤*"),
VLOOKUP("*赤*",商品マスタ一覧!$D:$J,7,FALSE),
VLOOKUP('盛付札（関数）'!J114,商品マスタ一覧!$D:$J,7,FALSE)))*M114),""),"")</f>
        <v/>
      </c>
      <c r="Q114" s="81" t="e" cm="1">
        <f t="array" aca="1" ref="Q114" ca="1">IF(Q31&lt;&gt;100,
IF(R116&lt;&gt;"",MATCH(R116,INDIRECT("数出表_Excel!B"&amp;MATCH(V29,数出表_Excel!$A:$A,0)-1&amp;":U"&amp;MATCH(V29,数出表_Excel!$A:$A,0)-1&amp;""),0)+1,""),
IF(R116&lt;&gt;"",
MATCH(
IFERROR(
INDEX(INDIRECT("数出表_Excel!"&amp;Q113&amp;MATCH(V29,数出表_Excel!$A:$A,0)-1&amp;":U"&amp;MATCH(V29,数出表_Excel!$A:$A,0)-1&amp;""),
 1,
 MATCH(TRUE, ISNUMBER(--INDIRECT("数出表_Excel!"&amp;Q113&amp;MATCH(V29,数出表_Excel!$A:$A,0)-1&amp;":U"&amp;MATCH(V29,数出表_Excel!$A:$A,0)-1&amp;"")),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114" s="58" t="str" cm="1">
        <f t="array" aca="1" ref="R114" ca="1">IFERROR(IF(OR(
COUNTIF(INDIRECT("数出表_Excel!" &amp;
CHAR(MATCH(TRUE,
ISNUMBER(--INDIRECT("数出表_Excel!"&amp;Q113&amp;MATCH(V29,数出表_Excel!$A:$A,0)-1&amp;":U"&amp;MATCH(V29,数出表_Excel!$A:$A,0)-1&amp;"")),0)
+MATCH(TRUE, ISNUMBER(--INDIRECT("数出表_Excel!B" &amp; (MATCH(V29,数出表_Excel!$A:$A,0)-1) &amp; ":U" &amp; (MATCH(V29,数出表_Excel!$A:$A,0)-1))), 0)
+MATCH(TRUE, ISNUMBER(--INDIRECT("数出表_Excel!"&amp;Q71&amp; (MATCH(V29,数出表_Excel!$A:$A,0)-1) &amp; ":U" &amp; (MATCH(V29,数出表_Excel!$A:$A,0)-1))), 0)
+65) &amp; "3"),"*配膳*"),
COUNTIF(INDIRECT("数出表_Excel!" &amp;
CHAR(MATCH(TRUE,
ISNUMBER(--INDIRECT("数出表_Excel!"&amp;Q113&amp;MATCH(V29,数出表_Excel!$A:$A,0)-1&amp;":U"&amp;MATCH(V29,数出表_Excel!$A:$A,0)-1&amp;"")),0)
+MATCH(TRUE, ISNUMBER(--INDIRECT("数出表_Excel!B" &amp; (MATCH(V29,数出表_Excel!$A:$A,0)-1) &amp; ":U" &amp; (MATCH(V29,数出表_Excel!$A:$A,0)-1))), 0)
+MATCH(TRUE, ISNUMBER(--INDIRECT("数出表_Excel!"&amp;Q71&amp; (MATCH(V29,数出表_Excel!$A:$A,0)-1) &amp; ":U" &amp; (MATCH(V29,数出表_Excel!$A:$A,0)-1))), 0)
+65) &amp; "3"),"*カレー*"),
COUNTIF(R71,"*合計*")),"",
IF(IFERROR(INDIRECT("数出表_Excel!" &amp;
CHAR(MATCH(TRUE,
ISNUMBER(--INDIRECT("数出表_Excel!"&amp;Q113&amp;MATCH(V29,数出表_Excel!$A:$A,0)-1&amp;":U"&amp;MATCH(V29,数出表_Excel!$A:$A,0)-1&amp;"")),0)
+MATCH(TRUE, ISNUMBER(--INDIRECT("数出表_Excel!B" &amp; (MATCH(V29,数出表_Excel!$A:$A,0)-1) &amp; ":U" &amp; (MATCH(V29,数出表_Excel!$A:$A,0)-1))), 0)
+MATCH(TRUE, ISNUMBER(--INDIRECT("数出表_Excel!"&amp;Q71&amp; (MATCH(V29,数出表_Excel!$A:$A,0)-1) &amp; ":U" &amp; (MATCH(V29,数出表_Excel!$A:$A,0)-1))), 0)
+65) &amp; "3"),0)=0,"",
IFERROR(INDIRECT("数出表_Excel!" &amp;
CHAR(MATCH(TRUE,
ISNUMBER(--INDIRECT("数出表_Excel!"&amp;Q113&amp;MATCH(V29,数出表_Excel!$A:$A,0)-1&amp;":U"&amp;MATCH(V29,数出表_Excel!$A:$A,0)-1&amp;"")),0)
+MATCH(TRUE, ISNUMBER(--INDIRECT("数出表_Excel!B" &amp; (MATCH(V29,数出表_Excel!$A:$A,0)-1) &amp; ":U" &amp; (MATCH(V29,数出表_Excel!$A:$A,0)-1))), 0)
+MATCH(TRUE, ISNUMBER(--INDIRECT("数出表_Excel!"&amp;Q71&amp; (MATCH(V29,数出表_Excel!$A:$A,0)-1) &amp; ":U" &amp; (MATCH(V29,数出表_Excel!$A:$A,0)-1))), 0)
+65) &amp; "3"),""))),"")</f>
        <v/>
      </c>
      <c r="S114" s="76"/>
      <c r="T114" s="82" t="str" cm="1">
        <f t="array" aca="1" ref="T114" ca="1">IF(U114&lt;&gt;"","",
IF(COUNTIF(R113,"*雙葉*"),"",
IF(R113&lt;&gt;"",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+MATCH(TRUE,INDIRECT("'数出表_Excel'!"&amp;Q113&amp;MATCH(V29,数出表_Excel!$A:$A,0)-1&amp;":AL"&amp;MATCH(V29,数出表_Excel!$A:$A,0)-1&amp;"")&lt;&gt;"",0))&gt;9,"",
IFERROR(
INDEX(INDIRECT("数出表_Excel!$"&amp;Q113&amp;"4:$AL4"),
 1,
MATCH(TRUE,INDIRECT("'数出表_Excel'!"&amp;Q113&amp;MATCH(V29,数出表_Excel!$A:$A,0)-1&amp;":AL"&amp;MATCH(V29,数出表_Excel!$A:$A,0)-1&amp;"")&lt;&gt;"",0)
),
 "")
&amp;IFERROR(
INDEX(INDIRECT("数出表_Excel!$"&amp;Q113&amp;"5:$AL5"),
 1,
MATCH(TRUE,INDIRECT("'数出表_Excel'!"&amp;Q113&amp;MATCH(V29,数出表_Excel!$A:$A,0)-1&amp;":AL"&amp;MATCH(V29,数出表_Excel!$A:$A,0)-1&amp;"")&lt;&gt;"",0)),
 "")),"")))</f>
        <v/>
      </c>
      <c r="U114" s="83" t="str" cm="1">
        <f t="array" aca="1" ref="U114" ca="1">IF(R114&lt;&gt;"",
IF(COUNTIF(R113,"*雙葉*"),
IF(ROUND(
IF(U119&lt;&gt;"",(R116-U119),R116)
/IF(COUNTIF(R114,"*キャラ*"),
VLOOKUP("*キャラ*",商品マスタ一覧!$D:$J,7,FALSE),
IF(COUNTIF(R114,"*赤*"),
VLOOKUP("*赤*",商品マスタ一覧!$D:$J,7,FALSE),
VLOOKUP(R114,商品マスタ一覧!$D:$J,7,FALSE))),0)&lt;=0,1,
ROUND(
IF(U119&lt;&gt;"",(R116-U119),R116)
/IF(COUNTIF(R114,"*キャラ*"),
VLOOKUP("*キャラ*",商品マスタ一覧!$D:$J,7,FALSE),
IF(COUNTIF(R114,"*赤*"),
VLOOKUP("*赤*",商品マスタ一覧!$D:$J,7,FALSE),
VLOOKUP(R114,商品マスタ一覧!$D:$J,7,FALSE))),0)),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IF(R114&lt;&gt;"",
IF(IF(COUNTIF(R114,"*キャラ*"),
VLOOKUP("*キャラ*",商品マスタ一覧!$D:$J,7,FALSE),
IF(COUNTIF(R114,"*赤*"),
VLOOKUP("*赤*",商品マスタ一覧!$D:$J,7,FALSE),
VLOOKUP(R114,商品マスタ一覧!$D:$J,7,FALSE)))=0,"",
IF(ROUND(
IF(U119&lt;&gt;"",(R116-U119),R116)
/IF(COUNTIF(R114,"*キャラ*"),
VLOOKUP("*キャラ*",商品マスタ一覧!$D:$J,7,FALSE),
IF(COUNTIF(R114,"*赤*"),
VLOOKUP("*赤*",商品マスタ一覧!$D:$J,7,FALSE),
VLOOKUP(R114,商品マスタ一覧!$D:$J,7,FALSE))),0)&lt;=0,1,
ROUND(
IF(U119&lt;&gt;"",(R116-U119),R116)
/IF(COUNTIF(R114,"*キャラ*"),
VLOOKUP("*キャラ*",商品マスタ一覧!$D:$J,7,FALSE),
IF(COUNTIF(R114,"*赤*"),
VLOOKUP("*赤*",商品マスタ一覧!$D:$J,7,FALSE),
VLOOKUP(R114,商品マスタ一覧!$D:$J,7,FALSE))),0))),""),"")),"")</f>
        <v/>
      </c>
      <c r="V114" s="92" t="str">
        <f ca="1">IF(U114&lt;&gt;"",IF(R116&lt;&gt;"",IF(VALUE(IF(U119&lt;&gt;"",R116-U119,R116))&gt;VALUE(IF(COUNTIF('盛付札（関数）'!R114,"*キャラ*"),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VLOOKUP('盛付札（関数）'!R114,商品マスタ一覧!$D:$J,7,FALSE)))*U114),
"+"&amp;IF(U119&lt;&gt;"",R116-U119,R116)-IF(COUNTIF('盛付札（関数）'!R114,"*キャラ*"),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VLOOKUP('盛付札（関数）'!R114,商品マスタ一覧!$D:$J,7,FALSE)))*U114,
IF(U119&lt;&gt;"",R116-U119,R116)-IF(COUNTIF('盛付札（関数）'!R114,"*キャラ*"),
VLOOKUP("*キャラ*",商品マスタ一覧!$D:$J,7,FALSE),
IF(COUNTIF('盛付札（関数）'!R114,"*赤*"),
VLOOKUP("*赤*",商品マスタ一覧!$D:$J,7,FALSE),
VLOOKUP('盛付札（関数）'!R114,商品マスタ一覧!$D:$J,7,FALSE)))*U114),""),"")</f>
        <v/>
      </c>
      <c r="W114" s="76"/>
      <c r="X114" s="81" t="e" cm="1">
        <f t="array" aca="1" ref="X114" ca="1">IF(X31&lt;&gt;100,
IF(Y116&lt;&gt;"",MATCH(Y116,INDIRECT("数出表_Excel!B"&amp;MATCH(AC29,数出表_Excel!$A:$A,0)-1&amp;":U"&amp;MATCH(AC29,数出表_Excel!$A:$A,0)-1&amp;""),0)+1,""),
IF(Y116&lt;&gt;"",
MATCH(
IFERROR(
INDEX(INDIRECT("数出表_Excel!"&amp;X113&amp;MATCH(AC29,数出表_Excel!$A:$A,0)-1&amp;":U"&amp;MATCH(AC29,数出表_Excel!$A:$A,0)-1&amp;""),
 1,
 MATCH(TRUE, ISNUMBER(--INDIRECT("数出表_Excel!"&amp;X113&amp;MATCH(AC29,数出表_Excel!$A:$A,0)-1&amp;":U"&amp;MATCH(AC29,数出表_Excel!$A:$A,0)-1&amp;"")),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114" s="58" t="str" cm="1">
        <f t="array" aca="1" ref="Y114" ca="1">IFERROR(IF(OR(
COUNTIF(INDIRECT("数出表_Excel!" &amp;
CHAR(MATCH(TRUE,
ISNUMBER(--INDIRECT("数出表_Excel!"&amp;X113&amp;MATCH(AC29,数出表_Excel!$A:$A,0)-1&amp;":U"&amp;MATCH(AC29,数出表_Excel!$A:$A,0)-1&amp;"")),0)
+MATCH(TRUE, ISNUMBER(--INDIRECT("数出表_Excel!B" &amp; (MATCH(AC29,数出表_Excel!$A:$A,0)-1) &amp; ":U" &amp; (MATCH(AC29,数出表_Excel!$A:$A,0)-1))), 0)
+MATCH(TRUE, ISNUMBER(--INDIRECT("数出表_Excel!"&amp;X71&amp; (MATCH(AC29,数出表_Excel!$A:$A,0)-1) &amp; ":U" &amp; (MATCH(AC29,数出表_Excel!$A:$A,0)-1))), 0)
+65) &amp; "3"),"*配膳*"),
COUNTIF(INDIRECT("数出表_Excel!" &amp;
CHAR(MATCH(TRUE,
ISNUMBER(--INDIRECT("数出表_Excel!"&amp;X113&amp;MATCH(AC29,数出表_Excel!$A:$A,0)-1&amp;":U"&amp;MATCH(AC29,数出表_Excel!$A:$A,0)-1&amp;"")),0)
+MATCH(TRUE, ISNUMBER(--INDIRECT("数出表_Excel!B" &amp; (MATCH(AC29,数出表_Excel!$A:$A,0)-1) &amp; ":U" &amp; (MATCH(AC29,数出表_Excel!$A:$A,0)-1))), 0)
+MATCH(TRUE, ISNUMBER(--INDIRECT("数出表_Excel!"&amp;X71&amp; (MATCH(AC29,数出表_Excel!$A:$A,0)-1) &amp; ":U" &amp; (MATCH(AC29,数出表_Excel!$A:$A,0)-1))), 0)
+65) &amp; "3"),"*カレー*"),
COUNTIF(Y71,"*合計*")),"",
IF(IFERROR(INDIRECT("数出表_Excel!" &amp;
CHAR(MATCH(TRUE,
ISNUMBER(--INDIRECT("数出表_Excel!"&amp;X113&amp;MATCH(AC29,数出表_Excel!$A:$A,0)-1&amp;":U"&amp;MATCH(AC29,数出表_Excel!$A:$A,0)-1&amp;"")),0)
+MATCH(TRUE, ISNUMBER(--INDIRECT("数出表_Excel!B" &amp; (MATCH(AC29,数出表_Excel!$A:$A,0)-1) &amp; ":U" &amp; (MATCH(AC29,数出表_Excel!$A:$A,0)-1))), 0)
+MATCH(TRUE, ISNUMBER(--INDIRECT("数出表_Excel!"&amp;X71&amp; (MATCH(AC29,数出表_Excel!$A:$A,0)-1) &amp; ":U" &amp; (MATCH(AC29,数出表_Excel!$A:$A,0)-1))), 0)
+65) &amp; "3"),0)=0,"",
IFERROR(INDIRECT("数出表_Excel!" &amp;
CHAR(MATCH(TRUE,
ISNUMBER(--INDIRECT("数出表_Excel!"&amp;X113&amp;MATCH(AC29,数出表_Excel!$A:$A,0)-1&amp;":U"&amp;MATCH(AC29,数出表_Excel!$A:$A,0)-1&amp;"")),0)
+MATCH(TRUE, ISNUMBER(--INDIRECT("数出表_Excel!B" &amp; (MATCH(AC29,数出表_Excel!$A:$A,0)-1) &amp; ":U" &amp; (MATCH(AC29,数出表_Excel!$A:$A,0)-1))), 0)
+MATCH(TRUE, ISNUMBER(--INDIRECT("数出表_Excel!"&amp;X71&amp; (MATCH(AC29,数出表_Excel!$A:$A,0)-1) &amp; ":U" &amp; (MATCH(AC29,数出表_Excel!$A:$A,0)-1))), 0)
+65) &amp; "3"),""))),"")</f>
        <v/>
      </c>
      <c r="Z114" s="76"/>
      <c r="AA114" s="82" t="str" cm="1">
        <f t="array" aca="1" ref="AA114" ca="1">IF(AB114&lt;&gt;"","",
IF(COUNTIF(Y113,"*雙葉*"),"",
IF(Y113&lt;&gt;"",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+MATCH(TRUE,INDIRECT("'数出表_Excel'!"&amp;X113&amp;MATCH(AC29,数出表_Excel!$A:$A,0)-1&amp;":AL"&amp;MATCH(AC29,数出表_Excel!$A:$A,0)-1&amp;"")&lt;&gt;"",0))&gt;9,"",
IFERROR(
INDEX(INDIRECT("数出表_Excel!$"&amp;X113&amp;"4:$AL4"),
 1,
MATCH(TRUE,INDIRECT("'数出表_Excel'!"&amp;X113&amp;MATCH(AC29,数出表_Excel!$A:$A,0)-1&amp;":AL"&amp;MATCH(AC29,数出表_Excel!$A:$A,0)-1&amp;"")&lt;&gt;"",0)
),
 "")
&amp;IFERROR(
INDEX(INDIRECT("数出表_Excel!$"&amp;X113&amp;"5:$AL5"),
 1,
MATCH(TRUE,INDIRECT("'数出表_Excel'!"&amp;X113&amp;MATCH(AC29,数出表_Excel!$A:$A,0)-1&amp;":AL"&amp;MATCH(AC29,数出表_Excel!$A:$A,0)-1&amp;"")&lt;&gt;"",0)),
 "")),"")))</f>
        <v/>
      </c>
      <c r="AB114" s="83" t="str" cm="1">
        <f t="array" aca="1" ref="AB114" ca="1">IF(Y114&lt;&gt;"",
IF(COUNTIF(Y113,"*雙葉*"),
IF(ROUND(
IF(AB119&lt;&gt;"",(Y116-AB119),Y116)
/IF(COUNTIF(Y114,"*キャラ*"),
VLOOKUP("*キャラ*",商品マスタ一覧!$D:$J,7,FALSE),
IF(COUNTIF(Y114,"*赤*"),
VLOOKUP("*赤*",商品マスタ一覧!$D:$J,7,FALSE),
VLOOKUP(Y114,商品マスタ一覧!$D:$J,7,FALSE))),0)&lt;=0,1,
ROUND(
IF(AB119&lt;&gt;"",(Y116-AB119),Y116)
/IF(COUNTIF(Y114,"*キャラ*"),
VLOOKUP("*キャラ*",商品マスタ一覧!$D:$J,7,FALSE),
IF(COUNTIF(Y114,"*赤*"),
VLOOKUP("*赤*",商品マスタ一覧!$D:$J,7,FALSE),
VLOOKUP(Y114,商品マスタ一覧!$D:$J,7,FALSE))),0)),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IF(Y114&lt;&gt;"",
IF(IF(COUNTIF(Y114,"*キャラ*"),
VLOOKUP("*キャラ*",商品マスタ一覧!$D:$J,7,FALSE),
IF(COUNTIF(Y114,"*赤*"),
VLOOKUP("*赤*",商品マスタ一覧!$D:$J,7,FALSE),
VLOOKUP(Y114,商品マスタ一覧!$D:$J,7,FALSE)))=0,"",
IF(ROUND(
IF(AB119&lt;&gt;"",(Y116-AB119),Y116)
/IF(COUNTIF(Y114,"*キャラ*"),
VLOOKUP("*キャラ*",商品マスタ一覧!$D:$J,7,FALSE),
IF(COUNTIF(Y114,"*赤*"),
VLOOKUP("*赤*",商品マスタ一覧!$D:$J,7,FALSE),
VLOOKUP(Y114,商品マスタ一覧!$D:$J,7,FALSE))),0)&lt;=0,1,
ROUND(
IF(AB119&lt;&gt;"",(Y116-AB119),Y116)
/IF(COUNTIF(Y114,"*キャラ*"),
VLOOKUP("*キャラ*",商品マスタ一覧!$D:$J,7,FALSE),
IF(COUNTIF(Y114,"*赤*"),
VLOOKUP("*赤*",商品マスタ一覧!$D:$J,7,FALSE),
VLOOKUP(Y114,商品マスタ一覧!$D:$J,7,FALSE))),0))),""),"")),"")</f>
        <v/>
      </c>
      <c r="AC114" s="92" t="str">
        <f ca="1">IF(AB114&lt;&gt;"",IF(Y116&lt;&gt;"",IF(VALUE(IF(AB119&lt;&gt;"",Y116-AB119,Y116))&gt;VALUE(IF(COUNTIF('盛付札（関数）'!Y114,"*キャラ*"),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VLOOKUP('盛付札（関数）'!Y114,商品マスタ一覧!$D:$J,7,FALSE)))*AB114),
"+"&amp;IF(AB119&lt;&gt;"",Y116-AB119,Y116)-IF(COUNTIF('盛付札（関数）'!Y114,"*キャラ*"),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VLOOKUP('盛付札（関数）'!Y114,商品マスタ一覧!$D:$J,7,FALSE)))*AB114,
IF(AB119&lt;&gt;"",Y116-AB119,Y116)-IF(COUNTIF('盛付札（関数）'!Y114,"*キャラ*"),
VLOOKUP("*キャラ*",商品マスタ一覧!$D:$J,7,FALSE),
IF(COUNTIF('盛付札（関数）'!Y114,"*赤*"),
VLOOKUP("*赤*",商品マスタ一覧!$D:$J,7,FALSE),
VLOOKUP('盛付札（関数）'!Y114,商品マスタ一覧!$D:$J,7,FALSE)))*AB114),""),"")</f>
        <v/>
      </c>
      <c r="AF114" s="81" t="e" cm="1">
        <f t="array" aca="1" ref="AF114" ca="1">IF(AF31&lt;&gt;100,
IF(AG116&lt;&gt;"",MATCH(AG116,INDIRECT("数出表_Excel!B"&amp;MATCH(AK29,数出表_Excel!$A:$A,0)-1&amp;":U"&amp;MATCH(AK29,数出表_Excel!$A:$A,0)-1&amp;""),0)+1,""),
IF(AG116&lt;&gt;"",
MATCH(
IFERROR(
INDEX(INDIRECT("数出表_Excel!"&amp;AF113&amp;MATCH(AK29,数出表_Excel!$A:$A,0)-1&amp;":U"&amp;MATCH(AK29,数出表_Excel!$A:$A,0)-1&amp;""),
 1,
 MATCH(TRUE, ISNUMBER(--INDIRECT("数出表_Excel!"&amp;AF113&amp;MATCH(AK29,数出表_Excel!$A:$A,0)-1&amp;":U"&amp;MATCH(AK29,数出表_Excel!$A:$A,0)-1&amp;"")),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114" s="58" t="str" cm="1">
        <f t="array" aca="1" ref="AG114" ca="1">IFERROR(IF(OR(
COUNTIF(INDIRECT("数出表_Excel!" &amp;
CHAR(MATCH(TRUE,
ISNUMBER(--INDIRECT("数出表_Excel!"&amp;AF113&amp;MATCH(AK29,数出表_Excel!$A:$A,0)-1&amp;":U"&amp;MATCH(AK29,数出表_Excel!$A:$A,0)-1&amp;"")),0)
+MATCH(TRUE, ISNUMBER(--INDIRECT("数出表_Excel!B" &amp; (MATCH(AK29,数出表_Excel!$A:$A,0)-1) &amp; ":U" &amp; (MATCH(AK29,数出表_Excel!$A:$A,0)-1))), 0)
+MATCH(TRUE, ISNUMBER(--INDIRECT("数出表_Excel!"&amp;AF71&amp; (MATCH(AK29,数出表_Excel!$A:$A,0)-1) &amp; ":U" &amp; (MATCH(AK29,数出表_Excel!$A:$A,0)-1))), 0)
+65) &amp; "3"),"*配膳*"),
COUNTIF(INDIRECT("数出表_Excel!" &amp;
CHAR(MATCH(TRUE,
ISNUMBER(--INDIRECT("数出表_Excel!"&amp;AF113&amp;MATCH(AK29,数出表_Excel!$A:$A,0)-1&amp;":U"&amp;MATCH(AK29,数出表_Excel!$A:$A,0)-1&amp;"")),0)
+MATCH(TRUE, ISNUMBER(--INDIRECT("数出表_Excel!B" &amp; (MATCH(AK29,数出表_Excel!$A:$A,0)-1) &amp; ":U" &amp; (MATCH(AK29,数出表_Excel!$A:$A,0)-1))), 0)
+MATCH(TRUE, ISNUMBER(--INDIRECT("数出表_Excel!"&amp;AF71&amp; (MATCH(AK29,数出表_Excel!$A:$A,0)-1) &amp; ":U" &amp; (MATCH(AK29,数出表_Excel!$A:$A,0)-1))), 0)
+65) &amp; "3"),"*カレー*"),
COUNTIF(AG71,"*合計*")),"",
IF(IFERROR(INDIRECT("数出表_Excel!" &amp;
CHAR(MATCH(TRUE,
ISNUMBER(--INDIRECT("数出表_Excel!"&amp;AF113&amp;MATCH(AK29,数出表_Excel!$A:$A,0)-1&amp;":U"&amp;MATCH(AK29,数出表_Excel!$A:$A,0)-1&amp;"")),0)
+MATCH(TRUE, ISNUMBER(--INDIRECT("数出表_Excel!B" &amp; (MATCH(AK29,数出表_Excel!$A:$A,0)-1) &amp; ":U" &amp; (MATCH(AK29,数出表_Excel!$A:$A,0)-1))), 0)
+MATCH(TRUE, ISNUMBER(--INDIRECT("数出表_Excel!"&amp;AF71&amp; (MATCH(AK29,数出表_Excel!$A:$A,0)-1) &amp; ":U" &amp; (MATCH(AK29,数出表_Excel!$A:$A,0)-1))), 0)
+65) &amp; "3"),0)=0,"",
IFERROR(INDIRECT("数出表_Excel!" &amp;
CHAR(MATCH(TRUE,
ISNUMBER(--INDIRECT("数出表_Excel!"&amp;AF113&amp;MATCH(AK29,数出表_Excel!$A:$A,0)-1&amp;":U"&amp;MATCH(AK29,数出表_Excel!$A:$A,0)-1&amp;"")),0)
+MATCH(TRUE, ISNUMBER(--INDIRECT("数出表_Excel!B" &amp; (MATCH(AK29,数出表_Excel!$A:$A,0)-1) &amp; ":U" &amp; (MATCH(AK29,数出表_Excel!$A:$A,0)-1))), 0)
+MATCH(TRUE, ISNUMBER(--INDIRECT("数出表_Excel!"&amp;AF71&amp; (MATCH(AK29,数出表_Excel!$A:$A,0)-1) &amp; ":U" &amp; (MATCH(AK29,数出表_Excel!$A:$A,0)-1))), 0)
+65) &amp; "3"),""))),"")</f>
        <v/>
      </c>
      <c r="AH114" s="76"/>
      <c r="AI114" s="82" t="str" cm="1">
        <f t="array" aca="1" ref="AI114" ca="1">IF(AJ114&lt;&gt;"","",
IF(COUNTIF(AG113,"*雙葉*"),"",
IF(AG113&lt;&gt;"",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+MATCH(TRUE,INDIRECT("'数出表_Excel'!"&amp;AF113&amp;MATCH(AK29,数出表_Excel!$A:$A,0)-1&amp;":AL"&amp;MATCH(AK29,数出表_Excel!$A:$A,0)-1&amp;"")&lt;&gt;"",0))&gt;9,"",
IFERROR(
INDEX(INDIRECT("数出表_Excel!$"&amp;AF113&amp;"4:$AL4"),
 1,
MATCH(TRUE,INDIRECT("'数出表_Excel'!"&amp;AF113&amp;MATCH(AK29,数出表_Excel!$A:$A,0)-1&amp;":AL"&amp;MATCH(AK29,数出表_Excel!$A:$A,0)-1&amp;"")&lt;&gt;"",0)
),
 "")
&amp;IFERROR(
INDEX(INDIRECT("数出表_Excel!$"&amp;AF113&amp;"5:$AL5"),
 1,
MATCH(TRUE,INDIRECT("'数出表_Excel'!"&amp;AF113&amp;MATCH(AK29,数出表_Excel!$A:$A,0)-1&amp;":AL"&amp;MATCH(AK29,数出表_Excel!$A:$A,0)-1&amp;"")&lt;&gt;"",0)),
 "")),"")))</f>
        <v/>
      </c>
      <c r="AJ114" s="83" t="str" cm="1">
        <f t="array" aca="1" ref="AJ114" ca="1">IF(AG114&lt;&gt;"",
IF(COUNTIF(AG113,"*雙葉*"),
IF(ROUND(
IF(AJ119&lt;&gt;"",(AG116-AJ119),AG116)
/IF(COUNTIF(AG114,"*キャラ*"),
VLOOKUP("*キャラ*",商品マスタ一覧!$D:$J,7,FALSE),
IF(COUNTIF(AG114,"*赤*"),
VLOOKUP("*赤*",商品マスタ一覧!$D:$J,7,FALSE),
VLOOKUP(AG114,商品マスタ一覧!$D:$J,7,FALSE))),0)&lt;=0,1,
ROUND(
IF(AJ119&lt;&gt;"",(AG116-AJ119),AG116)
/IF(COUNTIF(AG114,"*キャラ*"),
VLOOKUP("*キャラ*",商品マスタ一覧!$D:$J,7,FALSE),
IF(COUNTIF(AG114,"*赤*"),
VLOOKUP("*赤*",商品マスタ一覧!$D:$J,7,FALSE),
VLOOKUP(AG114,商品マスタ一覧!$D:$J,7,FALSE))),0)),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IF(AG114&lt;&gt;"",
IF(IF(COUNTIF(AG114,"*キャラ*"),
VLOOKUP("*キャラ*",商品マスタ一覧!$D:$J,7,FALSE),
IF(COUNTIF(AG114,"*赤*"),
VLOOKUP("*赤*",商品マスタ一覧!$D:$J,7,FALSE),
VLOOKUP(AG114,商品マスタ一覧!$D:$J,7,FALSE)))=0,"",
IF(ROUND(
IF(AJ119&lt;&gt;"",(AG116-AJ119),AG116)
/IF(COUNTIF(AG114,"*キャラ*"),
VLOOKUP("*キャラ*",商品マスタ一覧!$D:$J,7,FALSE),
IF(COUNTIF(AG114,"*赤*"),
VLOOKUP("*赤*",商品マスタ一覧!$D:$J,7,FALSE),
VLOOKUP(AG114,商品マスタ一覧!$D:$J,7,FALSE))),0)&lt;=0,1,
ROUND(
IF(AJ119&lt;&gt;"",(AG116-AJ119),AG116)
/IF(COUNTIF(AG114,"*キャラ*"),
VLOOKUP("*キャラ*",商品マスタ一覧!$D:$J,7,FALSE),
IF(COUNTIF(AG114,"*赤*"),
VLOOKUP("*赤*",商品マスタ一覧!$D:$J,7,FALSE),
VLOOKUP(AG114,商品マスタ一覧!$D:$J,7,FALSE))),0))),""),"")),"")</f>
        <v/>
      </c>
      <c r="AK114" s="92" t="str">
        <f ca="1">IF(AJ114&lt;&gt;"",IF(AG116&lt;&gt;"",IF(VALUE(IF(AJ119&lt;&gt;"",AG116-AJ119,AG116))&gt;VALUE(IF(COUNTIF('盛付札（関数）'!AG114,"*キャラ*"),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VLOOKUP('盛付札（関数）'!AG114,商品マスタ一覧!$D:$J,7,FALSE)))*AJ114),
"+"&amp;IF(AJ119&lt;&gt;"",AG116-AJ119,AG116)-IF(COUNTIF('盛付札（関数）'!AG114,"*キャラ*"),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VLOOKUP('盛付札（関数）'!AG114,商品マスタ一覧!$D:$J,7,FALSE)))*AJ114,
IF(AJ119&lt;&gt;"",AG116-AJ119,AG116)-IF(COUNTIF('盛付札（関数）'!AG114,"*キャラ*"),
VLOOKUP("*キャラ*",商品マスタ一覧!$D:$J,7,FALSE),
IF(COUNTIF('盛付札（関数）'!AG114,"*赤*"),
VLOOKUP("*赤*",商品マスタ一覧!$D:$J,7,FALSE),
VLOOKUP('盛付札（関数）'!AG114,商品マスタ一覧!$D:$J,7,FALSE)))*AJ114),""),"")</f>
        <v/>
      </c>
      <c r="AL114" s="76"/>
      <c r="AM114" s="81" t="e" cm="1">
        <f t="array" aca="1" ref="AM114" ca="1">IF(AM31&lt;&gt;100,
IF(AN116&lt;&gt;"",MATCH(AN116,INDIRECT("数出表_Excel!B"&amp;MATCH(AR29,数出表_Excel!$A:$A,0)-1&amp;":U"&amp;MATCH(AR29,数出表_Excel!$A:$A,0)-1&amp;""),0)+1,""),
IF(AN116&lt;&gt;"",
MATCH(
IFERROR(
INDEX(INDIRECT("数出表_Excel!"&amp;AM113&amp;MATCH(AR29,数出表_Excel!$A:$A,0)-1&amp;":U"&amp;MATCH(AR29,数出表_Excel!$A:$A,0)-1&amp;""),
 1,
 MATCH(TRUE, ISNUMBER(--INDIRECT("数出表_Excel!"&amp;AM113&amp;MATCH(AR29,数出表_Excel!$A:$A,0)-1&amp;":U"&amp;MATCH(AR29,数出表_Excel!$A:$A,0)-1&amp;"")),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114" s="58" t="str" cm="1">
        <f t="array" aca="1" ref="AN114" ca="1">IFERROR(IF(OR(
COUNTIF(INDIRECT("数出表_Excel!" &amp;
CHAR(MATCH(TRUE,
ISNUMBER(--INDIRECT("数出表_Excel!"&amp;AM113&amp;MATCH(AR29,数出表_Excel!$A:$A,0)-1&amp;":U"&amp;MATCH(AR29,数出表_Excel!$A:$A,0)-1&amp;"")),0)
+MATCH(TRUE, ISNUMBER(--INDIRECT("数出表_Excel!B" &amp; (MATCH(AR29,数出表_Excel!$A:$A,0)-1) &amp; ":U" &amp; (MATCH(AR29,数出表_Excel!$A:$A,0)-1))), 0)
+MATCH(TRUE, ISNUMBER(--INDIRECT("数出表_Excel!"&amp;AM71&amp; (MATCH(AR29,数出表_Excel!$A:$A,0)-1) &amp; ":U" &amp; (MATCH(AR29,数出表_Excel!$A:$A,0)-1))), 0)
+65) &amp; "3"),"*配膳*"),
COUNTIF(INDIRECT("数出表_Excel!" &amp;
CHAR(MATCH(TRUE,
ISNUMBER(--INDIRECT("数出表_Excel!"&amp;AM113&amp;MATCH(AR29,数出表_Excel!$A:$A,0)-1&amp;":U"&amp;MATCH(AR29,数出表_Excel!$A:$A,0)-1&amp;"")),0)
+MATCH(TRUE, ISNUMBER(--INDIRECT("数出表_Excel!B" &amp; (MATCH(AR29,数出表_Excel!$A:$A,0)-1) &amp; ":U" &amp; (MATCH(AR29,数出表_Excel!$A:$A,0)-1))), 0)
+MATCH(TRUE, ISNUMBER(--INDIRECT("数出表_Excel!"&amp;AM71&amp; (MATCH(AR29,数出表_Excel!$A:$A,0)-1) &amp; ":U" &amp; (MATCH(AR29,数出表_Excel!$A:$A,0)-1))), 0)
+65) &amp; "3"),"*カレー*"),
COUNTIF(AN71,"*合計*")),"",
IF(IFERROR(INDIRECT("数出表_Excel!" &amp;
CHAR(MATCH(TRUE,
ISNUMBER(--INDIRECT("数出表_Excel!"&amp;AM113&amp;MATCH(AR29,数出表_Excel!$A:$A,0)-1&amp;":U"&amp;MATCH(AR29,数出表_Excel!$A:$A,0)-1&amp;"")),0)
+MATCH(TRUE, ISNUMBER(--INDIRECT("数出表_Excel!B" &amp; (MATCH(AR29,数出表_Excel!$A:$A,0)-1) &amp; ":U" &amp; (MATCH(AR29,数出表_Excel!$A:$A,0)-1))), 0)
+MATCH(TRUE, ISNUMBER(--INDIRECT("数出表_Excel!"&amp;AM71&amp; (MATCH(AR29,数出表_Excel!$A:$A,0)-1) &amp; ":U" &amp; (MATCH(AR29,数出表_Excel!$A:$A,0)-1))), 0)
+65) &amp; "3"),0)=0,"",
IFERROR(INDIRECT("数出表_Excel!" &amp;
CHAR(MATCH(TRUE,
ISNUMBER(--INDIRECT("数出表_Excel!"&amp;AM113&amp;MATCH(AR29,数出表_Excel!$A:$A,0)-1&amp;":U"&amp;MATCH(AR29,数出表_Excel!$A:$A,0)-1&amp;"")),0)
+MATCH(TRUE, ISNUMBER(--INDIRECT("数出表_Excel!B" &amp; (MATCH(AR29,数出表_Excel!$A:$A,0)-1) &amp; ":U" &amp; (MATCH(AR29,数出表_Excel!$A:$A,0)-1))), 0)
+MATCH(TRUE, ISNUMBER(--INDIRECT("数出表_Excel!"&amp;AM71&amp; (MATCH(AR29,数出表_Excel!$A:$A,0)-1) &amp; ":U" &amp; (MATCH(AR29,数出表_Excel!$A:$A,0)-1))), 0)
+65) &amp; "3"),""))),"")</f>
        <v/>
      </c>
      <c r="AO114" s="76"/>
      <c r="AP114" s="82" t="str" cm="1">
        <f t="array" aca="1" ref="AP114" ca="1">IF(AQ114&lt;&gt;"","",
IF(COUNTIF(AN113,"*雙葉*"),"",
IF(AN113&lt;&gt;"",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+MATCH(TRUE,INDIRECT("'数出表_Excel'!"&amp;AM113&amp;MATCH(AR29,数出表_Excel!$A:$A,0)-1&amp;":AL"&amp;MATCH(AR29,数出表_Excel!$A:$A,0)-1&amp;"")&lt;&gt;"",0))&gt;9,"",
IFERROR(
INDEX(INDIRECT("数出表_Excel!$"&amp;AM113&amp;"4:$AL4"),
 1,
MATCH(TRUE,INDIRECT("'数出表_Excel'!"&amp;AM113&amp;MATCH(AR29,数出表_Excel!$A:$A,0)-1&amp;":AL"&amp;MATCH(AR29,数出表_Excel!$A:$A,0)-1&amp;"")&lt;&gt;"",0)
),
 "")
&amp;IFERROR(
INDEX(INDIRECT("数出表_Excel!$"&amp;AM113&amp;"5:$AL5"),
 1,
MATCH(TRUE,INDIRECT("'数出表_Excel'!"&amp;AM113&amp;MATCH(AR29,数出表_Excel!$A:$A,0)-1&amp;":AL"&amp;MATCH(AR29,数出表_Excel!$A:$A,0)-1&amp;"")&lt;&gt;"",0)),
 "")),"")))</f>
        <v/>
      </c>
      <c r="AQ114" s="83" t="str" cm="1">
        <f t="array" aca="1" ref="AQ114" ca="1">IF(AN114&lt;&gt;"",
IF(COUNTIF(AN113,"*雙葉*"),
IF(ROUND(
IF(AQ119&lt;&gt;"",(AN116-AQ119),AN116)
/IF(COUNTIF(AN114,"*キャラ*"),
VLOOKUP("*キャラ*",商品マスタ一覧!$D:$J,7,FALSE),
IF(COUNTIF(AN114,"*赤*"),
VLOOKUP("*赤*",商品マスタ一覧!$D:$J,7,FALSE),
VLOOKUP(AN114,商品マスタ一覧!$D:$J,7,FALSE))),0)&lt;=0,1,
ROUND(
IF(AQ119&lt;&gt;"",(AN116-AQ119),AN116)
/IF(COUNTIF(AN114,"*キャラ*"),
VLOOKUP("*キャラ*",商品マスタ一覧!$D:$J,7,FALSE),
IF(COUNTIF(AN114,"*赤*"),
VLOOKUP("*赤*",商品マスタ一覧!$D:$J,7,FALSE),
VLOOKUP(AN114,商品マスタ一覧!$D:$J,7,FALSE))),0)),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IF(AN114&lt;&gt;"",
IF(IF(COUNTIF(AN114,"*キャラ*"),
VLOOKUP("*キャラ*",商品マスタ一覧!$D:$J,7,FALSE),
IF(COUNTIF(AN114,"*赤*"),
VLOOKUP("*赤*",商品マスタ一覧!$D:$J,7,FALSE),
VLOOKUP(AN114,商品マスタ一覧!$D:$J,7,FALSE)))=0,"",
IF(ROUND(
IF(AQ119&lt;&gt;"",(AN116-AQ119),AN116)
/IF(COUNTIF(AN114,"*キャラ*"),
VLOOKUP("*キャラ*",商品マスタ一覧!$D:$J,7,FALSE),
IF(COUNTIF(AN114,"*赤*"),
VLOOKUP("*赤*",商品マスタ一覧!$D:$J,7,FALSE),
VLOOKUP(AN114,商品マスタ一覧!$D:$J,7,FALSE))),0)&lt;=0,1,
ROUND(
IF(AQ119&lt;&gt;"",(AN116-AQ119),AN116)
/IF(COUNTIF(AN114,"*キャラ*"),
VLOOKUP("*キャラ*",商品マスタ一覧!$D:$J,7,FALSE),
IF(COUNTIF(AN114,"*赤*"),
VLOOKUP("*赤*",商品マスタ一覧!$D:$J,7,FALSE),
VLOOKUP(AN114,商品マスタ一覧!$D:$J,7,FALSE))),0))),""),"")),"")</f>
        <v/>
      </c>
      <c r="AR114" s="92" t="str">
        <f ca="1">IF(AQ114&lt;&gt;"",IF(AN116&lt;&gt;"",IF(VALUE(IF(AQ119&lt;&gt;"",AN116-AQ119,AN116))&gt;VALUE(IF(COUNTIF('盛付札（関数）'!AN114,"*キャラ*"),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VLOOKUP('盛付札（関数）'!AN114,商品マスタ一覧!$D:$J,7,FALSE)))*AQ114),
"+"&amp;IF(AQ119&lt;&gt;"",AN116-AQ119,AN116)-IF(COUNTIF('盛付札（関数）'!AN114,"*キャラ*"),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VLOOKUP('盛付札（関数）'!AN114,商品マスタ一覧!$D:$J,7,FALSE)))*AQ114,
IF(AQ119&lt;&gt;"",AN116-AQ119,AN116)-IF(COUNTIF('盛付札（関数）'!AN114,"*キャラ*"),
VLOOKUP("*キャラ*",商品マスタ一覧!$D:$J,7,FALSE),
IF(COUNTIF('盛付札（関数）'!AN114,"*赤*"),
VLOOKUP("*赤*",商品マスタ一覧!$D:$J,7,FALSE),
VLOOKUP('盛付札（関数）'!AN114,商品マスタ一覧!$D:$J,7,FALSE)))*AQ114),""),"")</f>
        <v/>
      </c>
      <c r="AU114" s="81" t="e" cm="1">
        <f t="array" aca="1" ref="AU114" ca="1">IF(AU31&lt;&gt;100,
IF(AV116&lt;&gt;"",MATCH(AV116,INDIRECT("数出表_Excel!B"&amp;MATCH(AZ29,数出表_Excel!$A:$A,0)-1&amp;":U"&amp;MATCH(AZ29,数出表_Excel!$A:$A,0)-1&amp;""),0)+1,""),
IF(AV116&lt;&gt;"",
MATCH(
IFERROR(
INDEX(INDIRECT("数出表_Excel!"&amp;AU113&amp;MATCH(AZ29,数出表_Excel!$A:$A,0)-1&amp;":U"&amp;MATCH(AZ29,数出表_Excel!$A:$A,0)-1&amp;""),
 1,
 MATCH(TRUE, ISNUMBER(--INDIRECT("数出表_Excel!"&amp;AU113&amp;MATCH(AZ29,数出表_Excel!$A:$A,0)-1&amp;":U"&amp;MATCH(AZ29,数出表_Excel!$A:$A,0)-1&amp;"")),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114" s="58" t="str" cm="1">
        <f t="array" aca="1" ref="AV114" ca="1">IFERROR(IF(OR(
COUNTIF(INDIRECT("数出表_Excel!" &amp;
CHAR(MATCH(TRUE,
ISNUMBER(--INDIRECT("数出表_Excel!"&amp;AU113&amp;MATCH(AZ29,数出表_Excel!$A:$A,0)-1&amp;":U"&amp;MATCH(AZ29,数出表_Excel!$A:$A,0)-1&amp;"")),0)
+MATCH(TRUE, ISNUMBER(--INDIRECT("数出表_Excel!B" &amp; (MATCH(AZ29,数出表_Excel!$A:$A,0)-1) &amp; ":U" &amp; (MATCH(AZ29,数出表_Excel!$A:$A,0)-1))), 0)
+MATCH(TRUE, ISNUMBER(--INDIRECT("数出表_Excel!"&amp;AU71&amp; (MATCH(AZ29,数出表_Excel!$A:$A,0)-1) &amp; ":U" &amp; (MATCH(AZ29,数出表_Excel!$A:$A,0)-1))), 0)
+65) &amp; "3"),"*配膳*"),
COUNTIF(INDIRECT("数出表_Excel!" &amp;
CHAR(MATCH(TRUE,
ISNUMBER(--INDIRECT("数出表_Excel!"&amp;AU113&amp;MATCH(AZ29,数出表_Excel!$A:$A,0)-1&amp;":U"&amp;MATCH(AZ29,数出表_Excel!$A:$A,0)-1&amp;"")),0)
+MATCH(TRUE, ISNUMBER(--INDIRECT("数出表_Excel!B" &amp; (MATCH(AZ29,数出表_Excel!$A:$A,0)-1) &amp; ":U" &amp; (MATCH(AZ29,数出表_Excel!$A:$A,0)-1))), 0)
+MATCH(TRUE, ISNUMBER(--INDIRECT("数出表_Excel!"&amp;AU71&amp; (MATCH(AZ29,数出表_Excel!$A:$A,0)-1) &amp; ":U" &amp; (MATCH(AZ29,数出表_Excel!$A:$A,0)-1))), 0)
+65) &amp; "3"),"*カレー*"),
COUNTIF(AV71,"*合計*")),"",
IF(IFERROR(INDIRECT("数出表_Excel!" &amp;
CHAR(MATCH(TRUE,
ISNUMBER(--INDIRECT("数出表_Excel!"&amp;AU113&amp;MATCH(AZ29,数出表_Excel!$A:$A,0)-1&amp;":U"&amp;MATCH(AZ29,数出表_Excel!$A:$A,0)-1&amp;"")),0)
+MATCH(TRUE, ISNUMBER(--INDIRECT("数出表_Excel!B" &amp; (MATCH(AZ29,数出表_Excel!$A:$A,0)-1) &amp; ":U" &amp; (MATCH(AZ29,数出表_Excel!$A:$A,0)-1))), 0)
+MATCH(TRUE, ISNUMBER(--INDIRECT("数出表_Excel!"&amp;AU71&amp; (MATCH(AZ29,数出表_Excel!$A:$A,0)-1) &amp; ":U" &amp; (MATCH(AZ29,数出表_Excel!$A:$A,0)-1))), 0)
+65) &amp; "3"),0)=0,"",
IFERROR(INDIRECT("数出表_Excel!" &amp;
CHAR(MATCH(TRUE,
ISNUMBER(--INDIRECT("数出表_Excel!"&amp;AU113&amp;MATCH(AZ29,数出表_Excel!$A:$A,0)-1&amp;":U"&amp;MATCH(AZ29,数出表_Excel!$A:$A,0)-1&amp;"")),0)
+MATCH(TRUE, ISNUMBER(--INDIRECT("数出表_Excel!B" &amp; (MATCH(AZ29,数出表_Excel!$A:$A,0)-1) &amp; ":U" &amp; (MATCH(AZ29,数出表_Excel!$A:$A,0)-1))), 0)
+MATCH(TRUE, ISNUMBER(--INDIRECT("数出表_Excel!"&amp;AU71&amp; (MATCH(AZ29,数出表_Excel!$A:$A,0)-1) &amp; ":U" &amp; (MATCH(AZ29,数出表_Excel!$A:$A,0)-1))), 0)
+65) &amp; "3"),""))),"")</f>
        <v/>
      </c>
      <c r="AW114" s="76"/>
      <c r="AX114" s="82" t="str" cm="1">
        <f t="array" aca="1" ref="AX114" ca="1">IF(AY114&lt;&gt;"","",
IF(COUNTIF(AV113,"*雙葉*"),"",
IF(AV113&lt;&gt;"",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+MATCH(TRUE,INDIRECT("'数出表_Excel'!"&amp;AU113&amp;MATCH(AZ29,数出表_Excel!$A:$A,0)-1&amp;":AL"&amp;MATCH(AZ29,数出表_Excel!$A:$A,0)-1&amp;"")&lt;&gt;"",0))&gt;9,"",
IFERROR(
INDEX(INDIRECT("数出表_Excel!$"&amp;AU113&amp;"4:$AL4"),
 1,
MATCH(TRUE,INDIRECT("'数出表_Excel'!"&amp;AU113&amp;MATCH(AZ29,数出表_Excel!$A:$A,0)-1&amp;":AL"&amp;MATCH(AZ29,数出表_Excel!$A:$A,0)-1&amp;"")&lt;&gt;"",0)
),
 "")
&amp;IFERROR(
INDEX(INDIRECT("数出表_Excel!$"&amp;AU113&amp;"5:$AL5"),
 1,
MATCH(TRUE,INDIRECT("'数出表_Excel'!"&amp;AU113&amp;MATCH(AZ29,数出表_Excel!$A:$A,0)-1&amp;":AL"&amp;MATCH(AZ29,数出表_Excel!$A:$A,0)-1&amp;"")&lt;&gt;"",0)),
 "")),"")))</f>
        <v/>
      </c>
      <c r="AY114" s="83" t="str" cm="1">
        <f t="array" aca="1" ref="AY114" ca="1">IF(AV114&lt;&gt;"",
IF(COUNTIF(AV113,"*雙葉*"),
IF(ROUND(
IF(AY119&lt;&gt;"",(AV116-AY119),AV116)
/IF(COUNTIF(AV114,"*キャラ*"),
VLOOKUP("*キャラ*",商品マスタ一覧!$D:$J,7,FALSE),
IF(COUNTIF(AV114,"*赤*"),
VLOOKUP("*赤*",商品マスタ一覧!$D:$J,7,FALSE),
VLOOKUP(AV114,商品マスタ一覧!$D:$J,7,FALSE))),0)&lt;=0,1,
ROUND(
IF(AY119&lt;&gt;"",(AV116-AY119),AV116)
/IF(COUNTIF(AV114,"*キャラ*"),
VLOOKUP("*キャラ*",商品マスタ一覧!$D:$J,7,FALSE),
IF(COUNTIF(AV114,"*赤*"),
VLOOKUP("*赤*",商品マスタ一覧!$D:$J,7,FALSE),
VLOOKUP(AV114,商品マスタ一覧!$D:$J,7,FALSE))),0)),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IF(AV114&lt;&gt;"",
IF(IF(COUNTIF(AV114,"*キャラ*"),
VLOOKUP("*キャラ*",商品マスタ一覧!$D:$J,7,FALSE),
IF(COUNTIF(AV114,"*赤*"),
VLOOKUP("*赤*",商品マスタ一覧!$D:$J,7,FALSE),
VLOOKUP(AV114,商品マスタ一覧!$D:$J,7,FALSE)))=0,"",
IF(ROUND(
IF(AY119&lt;&gt;"",(AV116-AY119),AV116)
/IF(COUNTIF(AV114,"*キャラ*"),
VLOOKUP("*キャラ*",商品マスタ一覧!$D:$J,7,FALSE),
IF(COUNTIF(AV114,"*赤*"),
VLOOKUP("*赤*",商品マスタ一覧!$D:$J,7,FALSE),
VLOOKUP(AV114,商品マスタ一覧!$D:$J,7,FALSE))),0)&lt;=0,1,
ROUND(
IF(AY119&lt;&gt;"",(AV116-AY119),AV116)
/IF(COUNTIF(AV114,"*キャラ*"),
VLOOKUP("*キャラ*",商品マスタ一覧!$D:$J,7,FALSE),
IF(COUNTIF(AV114,"*赤*"),
VLOOKUP("*赤*",商品マスタ一覧!$D:$J,7,FALSE),
VLOOKUP(AV114,商品マスタ一覧!$D:$J,7,FALSE))),0))),""),"")),"")</f>
        <v/>
      </c>
      <c r="AZ114" s="92" t="str">
        <f ca="1">IF(AY114&lt;&gt;"",IF(AV116&lt;&gt;"",IF(VALUE(IF(AY119&lt;&gt;"",AV116-AY119,AV116))&gt;VALUE(IF(COUNTIF('盛付札（関数）'!AV114,"*キャラ*"),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VLOOKUP('盛付札（関数）'!AV114,商品マスタ一覧!$D:$J,7,FALSE)))*AY114),
"+"&amp;IF(AY119&lt;&gt;"",AV116-AY119,AV116)-IF(COUNTIF('盛付札（関数）'!AV114,"*キャラ*"),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VLOOKUP('盛付札（関数）'!AV114,商品マスタ一覧!$D:$J,7,FALSE)))*AY114,
IF(AY119&lt;&gt;"",AV116-AY119,AV116)-IF(COUNTIF('盛付札（関数）'!AV114,"*キャラ*"),
VLOOKUP("*キャラ*",商品マスタ一覧!$D:$J,7,FALSE),
IF(COUNTIF('盛付札（関数）'!AV114,"*赤*"),
VLOOKUP("*赤*",商品マスタ一覧!$D:$J,7,FALSE),
VLOOKUP('盛付札（関数）'!AV114,商品マスタ一覧!$D:$J,7,FALSE)))*AY114),""),"")</f>
        <v/>
      </c>
      <c r="BA114" s="76"/>
      <c r="BB114" s="81" t="e" cm="1">
        <f t="array" aca="1" ref="BB114" ca="1">IF(BB31&lt;&gt;100,
IF(BC116&lt;&gt;"",MATCH(BC116,INDIRECT("数出表_Excel!B"&amp;MATCH(BG29,数出表_Excel!$A:$A,0)-1&amp;":U"&amp;MATCH(BG29,数出表_Excel!$A:$A,0)-1&amp;""),0)+1,""),
IF(BC116&lt;&gt;"",
MATCH(
IFERROR(
INDEX(INDIRECT("数出表_Excel!"&amp;BB113&amp;MATCH(BG29,数出表_Excel!$A:$A,0)-1&amp;":U"&amp;MATCH(BG29,数出表_Excel!$A:$A,0)-1&amp;""),
 1,
 MATCH(TRUE, ISNUMBER(--INDIRECT("数出表_Excel!"&amp;BB113&amp;MATCH(BG29,数出表_Excel!$A:$A,0)-1&amp;":U"&amp;MATCH(BG29,数出表_Excel!$A:$A,0)-1&amp;"")),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114" s="58" t="str" cm="1">
        <f t="array" aca="1" ref="BC114" ca="1">IFERROR(IF(OR(
COUNTIF(INDIRECT("数出表_Excel!" &amp;
CHAR(MATCH(TRUE,
ISNUMBER(--INDIRECT("数出表_Excel!"&amp;BB113&amp;MATCH(BG29,数出表_Excel!$A:$A,0)-1&amp;":U"&amp;MATCH(BG29,数出表_Excel!$A:$A,0)-1&amp;"")),0)
+MATCH(TRUE, ISNUMBER(--INDIRECT("数出表_Excel!B" &amp; (MATCH(BG29,数出表_Excel!$A:$A,0)-1) &amp; ":U" &amp; (MATCH(BG29,数出表_Excel!$A:$A,0)-1))), 0)
+MATCH(TRUE, ISNUMBER(--INDIRECT("数出表_Excel!"&amp;BB71&amp; (MATCH(BG29,数出表_Excel!$A:$A,0)-1) &amp; ":U" &amp; (MATCH(BG29,数出表_Excel!$A:$A,0)-1))), 0)
+65) &amp; "3"),"*配膳*"),
COUNTIF(INDIRECT("数出表_Excel!" &amp;
CHAR(MATCH(TRUE,
ISNUMBER(--INDIRECT("数出表_Excel!"&amp;BB113&amp;MATCH(BG29,数出表_Excel!$A:$A,0)-1&amp;":U"&amp;MATCH(BG29,数出表_Excel!$A:$A,0)-1&amp;"")),0)
+MATCH(TRUE, ISNUMBER(--INDIRECT("数出表_Excel!B" &amp; (MATCH(BG29,数出表_Excel!$A:$A,0)-1) &amp; ":U" &amp; (MATCH(BG29,数出表_Excel!$A:$A,0)-1))), 0)
+MATCH(TRUE, ISNUMBER(--INDIRECT("数出表_Excel!"&amp;BB71&amp; (MATCH(BG29,数出表_Excel!$A:$A,0)-1) &amp; ":U" &amp; (MATCH(BG29,数出表_Excel!$A:$A,0)-1))), 0)
+65) &amp; "3"),"*カレー*"),
COUNTIF(BC71,"*合計*")),"",
IF(IFERROR(INDIRECT("数出表_Excel!" &amp;
CHAR(MATCH(TRUE,
ISNUMBER(--INDIRECT("数出表_Excel!"&amp;BB113&amp;MATCH(BG29,数出表_Excel!$A:$A,0)-1&amp;":U"&amp;MATCH(BG29,数出表_Excel!$A:$A,0)-1&amp;"")),0)
+MATCH(TRUE, ISNUMBER(--INDIRECT("数出表_Excel!B" &amp; (MATCH(BG29,数出表_Excel!$A:$A,0)-1) &amp; ":U" &amp; (MATCH(BG29,数出表_Excel!$A:$A,0)-1))), 0)
+MATCH(TRUE, ISNUMBER(--INDIRECT("数出表_Excel!"&amp;BB71&amp; (MATCH(BG29,数出表_Excel!$A:$A,0)-1) &amp; ":U" &amp; (MATCH(BG29,数出表_Excel!$A:$A,0)-1))), 0)
+65) &amp; "3"),0)=0,"",
IFERROR(INDIRECT("数出表_Excel!" &amp;
CHAR(MATCH(TRUE,
ISNUMBER(--INDIRECT("数出表_Excel!"&amp;BB113&amp;MATCH(BG29,数出表_Excel!$A:$A,0)-1&amp;":U"&amp;MATCH(BG29,数出表_Excel!$A:$A,0)-1&amp;"")),0)
+MATCH(TRUE, ISNUMBER(--INDIRECT("数出表_Excel!B" &amp; (MATCH(BG29,数出表_Excel!$A:$A,0)-1) &amp; ":U" &amp; (MATCH(BG29,数出表_Excel!$A:$A,0)-1))), 0)
+MATCH(TRUE, ISNUMBER(--INDIRECT("数出表_Excel!"&amp;BB71&amp; (MATCH(BG29,数出表_Excel!$A:$A,0)-1) &amp; ":U" &amp; (MATCH(BG29,数出表_Excel!$A:$A,0)-1))), 0)
+65) &amp; "3"),""))),"")</f>
        <v/>
      </c>
      <c r="BD114" s="76"/>
      <c r="BE114" s="82" t="str" cm="1">
        <f t="array" aca="1" ref="BE114" ca="1">IF(BF114&lt;&gt;"","",
IF(COUNTIF(BC113,"*雙葉*"),"",
IF(BC113&lt;&gt;"",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+MATCH(TRUE,INDIRECT("'数出表_Excel'!"&amp;BB113&amp;MATCH(BG29,数出表_Excel!$A:$A,0)-1&amp;":AL"&amp;MATCH(BG29,数出表_Excel!$A:$A,0)-1&amp;"")&lt;&gt;"",0))&gt;9,"",
IFERROR(
INDEX(INDIRECT("数出表_Excel!$"&amp;BB113&amp;"4:$AL4"),
 1,
MATCH(TRUE,INDIRECT("'数出表_Excel'!"&amp;BB113&amp;MATCH(BG29,数出表_Excel!$A:$A,0)-1&amp;":AL"&amp;MATCH(BG29,数出表_Excel!$A:$A,0)-1&amp;"")&lt;&gt;"",0)
),
 "")
&amp;IFERROR(
INDEX(INDIRECT("数出表_Excel!$"&amp;BB113&amp;"5:$AL5"),
 1,
MATCH(TRUE,INDIRECT("'数出表_Excel'!"&amp;BB113&amp;MATCH(BG29,数出表_Excel!$A:$A,0)-1&amp;":AL"&amp;MATCH(BG29,数出表_Excel!$A:$A,0)-1&amp;"")&lt;&gt;"",0)),
 "")),"")))</f>
        <v/>
      </c>
      <c r="BF114" s="83" t="str" cm="1">
        <f t="array" aca="1" ref="BF114" ca="1">IF(BC114&lt;&gt;"",
IF(COUNTIF(BC113,"*雙葉*"),
IF(ROUND(
IF(BF119&lt;&gt;"",(BC116-BF119),BC116)
/IF(COUNTIF(BC114,"*キャラ*"),
VLOOKUP("*キャラ*",商品マスタ一覧!$D:$J,7,FALSE),
IF(COUNTIF(BC114,"*赤*"),
VLOOKUP("*赤*",商品マスタ一覧!$D:$J,7,FALSE),
VLOOKUP(BC114,商品マスタ一覧!$D:$J,7,FALSE))),0)&lt;=0,1,
ROUND(
IF(BF119&lt;&gt;"",(BC116-BF119),BC116)
/IF(COUNTIF(BC114,"*キャラ*"),
VLOOKUP("*キャラ*",商品マスタ一覧!$D:$J,7,FALSE),
IF(COUNTIF(BC114,"*赤*"),
VLOOKUP("*赤*",商品マスタ一覧!$D:$J,7,FALSE),
VLOOKUP(BC114,商品マスタ一覧!$D:$J,7,FALSE))),0)),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IF(BC114&lt;&gt;"",
IF(IF(COUNTIF(BC114,"*キャラ*"),
VLOOKUP("*キャラ*",商品マスタ一覧!$D:$J,7,FALSE),
IF(COUNTIF(BC114,"*赤*"),
VLOOKUP("*赤*",商品マスタ一覧!$D:$J,7,FALSE),
VLOOKUP(BC114,商品マスタ一覧!$D:$J,7,FALSE)))=0,"",
IF(ROUND(
IF(BF119&lt;&gt;"",(BC116-BF119),BC116)
/IF(COUNTIF(BC114,"*キャラ*"),
VLOOKUP("*キャラ*",商品マスタ一覧!$D:$J,7,FALSE),
IF(COUNTIF(BC114,"*赤*"),
VLOOKUP("*赤*",商品マスタ一覧!$D:$J,7,FALSE),
VLOOKUP(BC114,商品マスタ一覧!$D:$J,7,FALSE))),0)&lt;=0,1,
ROUND(
IF(BF119&lt;&gt;"",(BC116-BF119),BC116)
/IF(COUNTIF(BC114,"*キャラ*"),
VLOOKUP("*キャラ*",商品マスタ一覧!$D:$J,7,FALSE),
IF(COUNTIF(BC114,"*赤*"),
VLOOKUP("*赤*",商品マスタ一覧!$D:$J,7,FALSE),
VLOOKUP(BC114,商品マスタ一覧!$D:$J,7,FALSE))),0))),""),"")),"")</f>
        <v/>
      </c>
      <c r="BG114" s="92" t="str">
        <f ca="1">IF(BF114&lt;&gt;"",IF(BC116&lt;&gt;"",IF(VALUE(IF(BF119&lt;&gt;"",BC116-BF119,BC116))&gt;VALUE(IF(COUNTIF('盛付札（関数）'!BC114,"*キャラ*"),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VLOOKUP('盛付札（関数）'!BC114,商品マスタ一覧!$D:$J,7,FALSE)))*BF114),
"+"&amp;IF(BF119&lt;&gt;"",BC116-BF119,BC116)-IF(COUNTIF('盛付札（関数）'!BC114,"*キャラ*"),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VLOOKUP('盛付札（関数）'!BC114,商品マスタ一覧!$D:$J,7,FALSE)))*BF114,
IF(BF119&lt;&gt;"",BC116-BF119,BC116)-IF(COUNTIF('盛付札（関数）'!BC114,"*キャラ*"),
VLOOKUP("*キャラ*",商品マスタ一覧!$D:$J,7,FALSE),
IF(COUNTIF('盛付札（関数）'!BC114,"*赤*"),
VLOOKUP("*赤*",商品マスタ一覧!$D:$J,7,FALSE),
VLOOKUP('盛付札（関数）'!BC114,商品マスタ一覧!$D:$J,7,FALSE)))*BF114),""),"")</f>
        <v/>
      </c>
      <c r="BJ114" s="81" t="e" cm="1">
        <f t="array" aca="1" ref="BJ114" ca="1">IF(BJ31&lt;&gt;100,
IF(BK116&lt;&gt;"",MATCH(BK116,INDIRECT("数出表_Excel!B"&amp;MATCH(BO29,数出表_Excel!$A:$A,0)-1&amp;":U"&amp;MATCH(BO29,数出表_Excel!$A:$A,0)-1&amp;""),0)+1,""),
IF(BK116&lt;&gt;"",
MATCH(
IFERROR(
INDEX(INDIRECT("数出表_Excel!"&amp;BJ113&amp;MATCH(BO29,数出表_Excel!$A:$A,0)-1&amp;":U"&amp;MATCH(BO29,数出表_Excel!$A:$A,0)-1&amp;""),
 1,
 MATCH(TRUE, ISNUMBER(--INDIRECT("数出表_Excel!"&amp;BJ113&amp;MATCH(BO29,数出表_Excel!$A:$A,0)-1&amp;":U"&amp;MATCH(BO29,数出表_Excel!$A:$A,0)-1&amp;"")),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114" s="58" t="str" cm="1">
        <f t="array" aca="1" ref="BK114" ca="1">IFERROR(IF(OR(
COUNTIF(INDIRECT("数出表_Excel!" &amp;
CHAR(MATCH(TRUE,
ISNUMBER(--INDIRECT("数出表_Excel!"&amp;BJ113&amp;MATCH(BO29,数出表_Excel!$A:$A,0)-1&amp;":U"&amp;MATCH(BO29,数出表_Excel!$A:$A,0)-1&amp;"")),0)
+MATCH(TRUE, ISNUMBER(--INDIRECT("数出表_Excel!B" &amp; (MATCH(BO29,数出表_Excel!$A:$A,0)-1) &amp; ":U" &amp; (MATCH(BO29,数出表_Excel!$A:$A,0)-1))), 0)
+MATCH(TRUE, ISNUMBER(--INDIRECT("数出表_Excel!"&amp;BJ71&amp; (MATCH(BO29,数出表_Excel!$A:$A,0)-1) &amp; ":U" &amp; (MATCH(BO29,数出表_Excel!$A:$A,0)-1))), 0)
+65) &amp; "3"),"*配膳*"),
COUNTIF(INDIRECT("数出表_Excel!" &amp;
CHAR(MATCH(TRUE,
ISNUMBER(--INDIRECT("数出表_Excel!"&amp;BJ113&amp;MATCH(BO29,数出表_Excel!$A:$A,0)-1&amp;":U"&amp;MATCH(BO29,数出表_Excel!$A:$A,0)-1&amp;"")),0)
+MATCH(TRUE, ISNUMBER(--INDIRECT("数出表_Excel!B" &amp; (MATCH(BO29,数出表_Excel!$A:$A,0)-1) &amp; ":U" &amp; (MATCH(BO29,数出表_Excel!$A:$A,0)-1))), 0)
+MATCH(TRUE, ISNUMBER(--INDIRECT("数出表_Excel!"&amp;BJ71&amp; (MATCH(BO29,数出表_Excel!$A:$A,0)-1) &amp; ":U" &amp; (MATCH(BO29,数出表_Excel!$A:$A,0)-1))), 0)
+65) &amp; "3"),"*カレー*"),
COUNTIF(BK71,"*合計*")),"",
IF(IFERROR(INDIRECT("数出表_Excel!" &amp;
CHAR(MATCH(TRUE,
ISNUMBER(--INDIRECT("数出表_Excel!"&amp;BJ113&amp;MATCH(BO29,数出表_Excel!$A:$A,0)-1&amp;":U"&amp;MATCH(BO29,数出表_Excel!$A:$A,0)-1&amp;"")),0)
+MATCH(TRUE, ISNUMBER(--INDIRECT("数出表_Excel!B" &amp; (MATCH(BO29,数出表_Excel!$A:$A,0)-1) &amp; ":U" &amp; (MATCH(BO29,数出表_Excel!$A:$A,0)-1))), 0)
+MATCH(TRUE, ISNUMBER(--INDIRECT("数出表_Excel!"&amp;BJ71&amp; (MATCH(BO29,数出表_Excel!$A:$A,0)-1) &amp; ":U" &amp; (MATCH(BO29,数出表_Excel!$A:$A,0)-1))), 0)
+65) &amp; "3"),0)=0,"",
IFERROR(INDIRECT("数出表_Excel!" &amp;
CHAR(MATCH(TRUE,
ISNUMBER(--INDIRECT("数出表_Excel!"&amp;BJ113&amp;MATCH(BO29,数出表_Excel!$A:$A,0)-1&amp;":U"&amp;MATCH(BO29,数出表_Excel!$A:$A,0)-1&amp;"")),0)
+MATCH(TRUE, ISNUMBER(--INDIRECT("数出表_Excel!B" &amp; (MATCH(BO29,数出表_Excel!$A:$A,0)-1) &amp; ":U" &amp; (MATCH(BO29,数出表_Excel!$A:$A,0)-1))), 0)
+MATCH(TRUE, ISNUMBER(--INDIRECT("数出表_Excel!"&amp;BJ71&amp; (MATCH(BO29,数出表_Excel!$A:$A,0)-1) &amp; ":U" &amp; (MATCH(BO29,数出表_Excel!$A:$A,0)-1))), 0)
+65) &amp; "3"),""))),"")</f>
        <v/>
      </c>
      <c r="BL114" s="76"/>
      <c r="BM114" s="82" t="str" cm="1">
        <f t="array" aca="1" ref="BM114" ca="1">IF(BN114&lt;&gt;"","",
IF(COUNTIF(BK113,"*雙葉*"),"",
IF(BK113&lt;&gt;"",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+MATCH(TRUE,INDIRECT("'数出表_Excel'!"&amp;BJ113&amp;MATCH(BO29,数出表_Excel!$A:$A,0)-1&amp;":AL"&amp;MATCH(BO29,数出表_Excel!$A:$A,0)-1&amp;"")&lt;&gt;"",0))&gt;9,"",
IFERROR(
INDEX(INDIRECT("数出表_Excel!$"&amp;BJ113&amp;"4:$AL4"),
 1,
MATCH(TRUE,INDIRECT("'数出表_Excel'!"&amp;BJ113&amp;MATCH(BO29,数出表_Excel!$A:$A,0)-1&amp;":AL"&amp;MATCH(BO29,数出表_Excel!$A:$A,0)-1&amp;"")&lt;&gt;"",0)
),
 "")
&amp;IFERROR(
INDEX(INDIRECT("数出表_Excel!$"&amp;BJ113&amp;"5:$AL5"),
 1,
MATCH(TRUE,INDIRECT("'数出表_Excel'!"&amp;BJ113&amp;MATCH(BO29,数出表_Excel!$A:$A,0)-1&amp;":AL"&amp;MATCH(BO29,数出表_Excel!$A:$A,0)-1&amp;"")&lt;&gt;"",0)),
 "")),"")))</f>
        <v/>
      </c>
      <c r="BN114" s="83" t="str" cm="1">
        <f t="array" aca="1" ref="BN114" ca="1">IF(BK114&lt;&gt;"",
IF(COUNTIF(BK113,"*雙葉*"),
IF(ROUND(
IF(BN119&lt;&gt;"",(BK116-BN119),BK116)
/IF(COUNTIF(BK114,"*キャラ*"),
VLOOKUP("*キャラ*",商品マスタ一覧!$D:$J,7,FALSE),
IF(COUNTIF(BK114,"*赤*"),
VLOOKUP("*赤*",商品マスタ一覧!$D:$J,7,FALSE),
VLOOKUP(BK114,商品マスタ一覧!$D:$J,7,FALSE))),0)&lt;=0,1,
ROUND(
IF(BN119&lt;&gt;"",(BK116-BN119),BK116)
/IF(COUNTIF(BK114,"*キャラ*"),
VLOOKUP("*キャラ*",商品マスタ一覧!$D:$J,7,FALSE),
IF(COUNTIF(BK114,"*赤*"),
VLOOKUP("*赤*",商品マスタ一覧!$D:$J,7,FALSE),
VLOOKUP(BK114,商品マスタ一覧!$D:$J,7,FALSE))),0)),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IF(BK114&lt;&gt;"",
IF(IF(COUNTIF(BK114,"*キャラ*"),
VLOOKUP("*キャラ*",商品マスタ一覧!$D:$J,7,FALSE),
IF(COUNTIF(BK114,"*赤*"),
VLOOKUP("*赤*",商品マスタ一覧!$D:$J,7,FALSE),
VLOOKUP(BK114,商品マスタ一覧!$D:$J,7,FALSE)))=0,"",
IF(ROUND(
IF(BN119&lt;&gt;"",(BK116-BN119),BK116)
/IF(COUNTIF(BK114,"*キャラ*"),
VLOOKUP("*キャラ*",商品マスタ一覧!$D:$J,7,FALSE),
IF(COUNTIF(BK114,"*赤*"),
VLOOKUP("*赤*",商品マスタ一覧!$D:$J,7,FALSE),
VLOOKUP(BK114,商品マスタ一覧!$D:$J,7,FALSE))),0)&lt;=0,1,
ROUND(
IF(BN119&lt;&gt;"",(BK116-BN119),BK116)
/IF(COUNTIF(BK114,"*キャラ*"),
VLOOKUP("*キャラ*",商品マスタ一覧!$D:$J,7,FALSE),
IF(COUNTIF(BK114,"*赤*"),
VLOOKUP("*赤*",商品マスタ一覧!$D:$J,7,FALSE),
VLOOKUP(BK114,商品マスタ一覧!$D:$J,7,FALSE))),0))),""),"")),"")</f>
        <v/>
      </c>
      <c r="BO114" s="92" t="str">
        <f ca="1">IF(BN114&lt;&gt;"",IF(BK116&lt;&gt;"",IF(VALUE(IF(BN119&lt;&gt;"",BK116-BN119,BK116))&gt;VALUE(IF(COUNTIF('盛付札（関数）'!BK114,"*キャラ*"),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VLOOKUP('盛付札（関数）'!BK114,商品マスタ一覧!$D:$J,7,FALSE)))*BN114),
"+"&amp;IF(BN119&lt;&gt;"",BK116-BN119,BK116)-IF(COUNTIF('盛付札（関数）'!BK114,"*キャラ*"),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VLOOKUP('盛付札（関数）'!BK114,商品マスタ一覧!$D:$J,7,FALSE)))*BN114,
IF(BN119&lt;&gt;"",BK116-BN119,BK116)-IF(COUNTIF('盛付札（関数）'!BK114,"*キャラ*"),
VLOOKUP("*キャラ*",商品マスタ一覧!$D:$J,7,FALSE),
IF(COUNTIF('盛付札（関数）'!BK114,"*赤*"),
VLOOKUP("*赤*",商品マスタ一覧!$D:$J,7,FALSE),
VLOOKUP('盛付札（関数）'!BK114,商品マスタ一覧!$D:$J,7,FALSE)))*BN114),""),"")</f>
        <v/>
      </c>
      <c r="BP114" s="76"/>
      <c r="BQ114" s="81" t="e" cm="1">
        <f t="array" aca="1" ref="BQ114" ca="1">IF(BQ31&lt;&gt;100,
IF(BR116&lt;&gt;"",MATCH(BR116,INDIRECT("数出表_Excel!B"&amp;MATCH(BV29,数出表_Excel!$A:$A,0)-1&amp;":U"&amp;MATCH(BV29,数出表_Excel!$A:$A,0)-1&amp;""),0)+1,""),
IF(BR116&lt;&gt;"",
MATCH(
IFERROR(
INDEX(INDIRECT("数出表_Excel!"&amp;BQ113&amp;MATCH(BV29,数出表_Excel!$A:$A,0)-1&amp;":U"&amp;MATCH(BV29,数出表_Excel!$A:$A,0)-1&amp;""),
 1,
 MATCH(TRUE, ISNUMBER(--INDIRECT("数出表_Excel!"&amp;BQ113&amp;MATCH(BV29,数出表_Excel!$A:$A,0)-1&amp;":U"&amp;MATCH(BV29,数出表_Excel!$A:$A,0)-1&amp;"")),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114" s="58" t="str" cm="1">
        <f t="array" aca="1" ref="BR114" ca="1">IFERROR(IF(OR(
COUNTIF(INDIRECT("数出表_Excel!" &amp;
CHAR(MATCH(TRUE,
ISNUMBER(--INDIRECT("数出表_Excel!"&amp;BQ113&amp;MATCH(BV29,数出表_Excel!$A:$A,0)-1&amp;":U"&amp;MATCH(BV29,数出表_Excel!$A:$A,0)-1&amp;"")),0)
+MATCH(TRUE, ISNUMBER(--INDIRECT("数出表_Excel!B" &amp; (MATCH(BV29,数出表_Excel!$A:$A,0)-1) &amp; ":U" &amp; (MATCH(BV29,数出表_Excel!$A:$A,0)-1))), 0)
+MATCH(TRUE, ISNUMBER(--INDIRECT("数出表_Excel!"&amp;BQ71&amp; (MATCH(BV29,数出表_Excel!$A:$A,0)-1) &amp; ":U" &amp; (MATCH(BV29,数出表_Excel!$A:$A,0)-1))), 0)
+65) &amp; "3"),"*配膳*"),
COUNTIF(INDIRECT("数出表_Excel!" &amp;
CHAR(MATCH(TRUE,
ISNUMBER(--INDIRECT("数出表_Excel!"&amp;BQ113&amp;MATCH(BV29,数出表_Excel!$A:$A,0)-1&amp;":U"&amp;MATCH(BV29,数出表_Excel!$A:$A,0)-1&amp;"")),0)
+MATCH(TRUE, ISNUMBER(--INDIRECT("数出表_Excel!B" &amp; (MATCH(BV29,数出表_Excel!$A:$A,0)-1) &amp; ":U" &amp; (MATCH(BV29,数出表_Excel!$A:$A,0)-1))), 0)
+MATCH(TRUE, ISNUMBER(--INDIRECT("数出表_Excel!"&amp;BQ71&amp; (MATCH(BV29,数出表_Excel!$A:$A,0)-1) &amp; ":U" &amp; (MATCH(BV29,数出表_Excel!$A:$A,0)-1))), 0)
+65) &amp; "3"),"*カレー*"),
COUNTIF(BR71,"*合計*")),"",
IF(IFERROR(INDIRECT("数出表_Excel!" &amp;
CHAR(MATCH(TRUE,
ISNUMBER(--INDIRECT("数出表_Excel!"&amp;BQ113&amp;MATCH(BV29,数出表_Excel!$A:$A,0)-1&amp;":U"&amp;MATCH(BV29,数出表_Excel!$A:$A,0)-1&amp;"")),0)
+MATCH(TRUE, ISNUMBER(--INDIRECT("数出表_Excel!B" &amp; (MATCH(BV29,数出表_Excel!$A:$A,0)-1) &amp; ":U" &amp; (MATCH(BV29,数出表_Excel!$A:$A,0)-1))), 0)
+MATCH(TRUE, ISNUMBER(--INDIRECT("数出表_Excel!"&amp;BQ71&amp; (MATCH(BV29,数出表_Excel!$A:$A,0)-1) &amp; ":U" &amp; (MATCH(BV29,数出表_Excel!$A:$A,0)-1))), 0)
+65) &amp; "3"),0)=0,"",
IFERROR(INDIRECT("数出表_Excel!" &amp;
CHAR(MATCH(TRUE,
ISNUMBER(--INDIRECT("数出表_Excel!"&amp;BQ113&amp;MATCH(BV29,数出表_Excel!$A:$A,0)-1&amp;":U"&amp;MATCH(BV29,数出表_Excel!$A:$A,0)-1&amp;"")),0)
+MATCH(TRUE, ISNUMBER(--INDIRECT("数出表_Excel!B" &amp; (MATCH(BV29,数出表_Excel!$A:$A,0)-1) &amp; ":U" &amp; (MATCH(BV29,数出表_Excel!$A:$A,0)-1))), 0)
+MATCH(TRUE, ISNUMBER(--INDIRECT("数出表_Excel!"&amp;BQ71&amp; (MATCH(BV29,数出表_Excel!$A:$A,0)-1) &amp; ":U" &amp; (MATCH(BV29,数出表_Excel!$A:$A,0)-1))), 0)
+65) &amp; "3"),""))),"")</f>
        <v/>
      </c>
      <c r="BS114" s="76"/>
      <c r="BT114" s="82" t="str" cm="1">
        <f t="array" aca="1" ref="BT114" ca="1">IF(BU114&lt;&gt;"","",
IF(COUNTIF(BR113,"*雙葉*"),"",
IF(BR113&lt;&gt;"",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+MATCH(TRUE,INDIRECT("'数出表_Excel'!"&amp;BQ113&amp;MATCH(BV29,数出表_Excel!$A:$A,0)-1&amp;":AL"&amp;MATCH(BV29,数出表_Excel!$A:$A,0)-1&amp;"")&lt;&gt;"",0))&gt;9,"",
IFERROR(
INDEX(INDIRECT("数出表_Excel!$"&amp;BQ113&amp;"4:$AL4"),
 1,
MATCH(TRUE,INDIRECT("'数出表_Excel'!"&amp;BQ113&amp;MATCH(BV29,数出表_Excel!$A:$A,0)-1&amp;":AL"&amp;MATCH(BV29,数出表_Excel!$A:$A,0)-1&amp;"")&lt;&gt;"",0)
),
 "")
&amp;IFERROR(
INDEX(INDIRECT("数出表_Excel!$"&amp;BQ113&amp;"5:$AL5"),
 1,
MATCH(TRUE,INDIRECT("'数出表_Excel'!"&amp;BQ113&amp;MATCH(BV29,数出表_Excel!$A:$A,0)-1&amp;":AL"&amp;MATCH(BV29,数出表_Excel!$A:$A,0)-1&amp;"")&lt;&gt;"",0)),
 "")),"")))</f>
        <v/>
      </c>
      <c r="BU114" s="83" t="str" cm="1">
        <f t="array" aca="1" ref="BU114" ca="1">IF(BR114&lt;&gt;"",
IF(COUNTIF(BR113,"*雙葉*"),
IF(ROUND(
IF(BU119&lt;&gt;"",(BR116-BU119),BR116)
/IF(COUNTIF(BR114,"*キャラ*"),
VLOOKUP("*キャラ*",商品マスタ一覧!$D:$J,7,FALSE),
IF(COUNTIF(BR114,"*赤*"),
VLOOKUP("*赤*",商品マスタ一覧!$D:$J,7,FALSE),
VLOOKUP(BR114,商品マスタ一覧!$D:$J,7,FALSE))),0)&lt;=0,1,
ROUND(
IF(BU119&lt;&gt;"",(BR116-BU119),BR116)
/IF(COUNTIF(BR114,"*キャラ*"),
VLOOKUP("*キャラ*",商品マスタ一覧!$D:$J,7,FALSE),
IF(COUNTIF(BR114,"*赤*"),
VLOOKUP("*赤*",商品マスタ一覧!$D:$J,7,FALSE),
VLOOKUP(BR114,商品マスタ一覧!$D:$J,7,FALSE))),0)),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IF(BR114&lt;&gt;"",
IF(IF(COUNTIF(BR114,"*キャラ*"),
VLOOKUP("*キャラ*",商品マスタ一覧!$D:$J,7,FALSE),
IF(COUNTIF(BR114,"*赤*"),
VLOOKUP("*赤*",商品マスタ一覧!$D:$J,7,FALSE),
VLOOKUP(BR114,商品マスタ一覧!$D:$J,7,FALSE)))=0,"",
IF(ROUND(
IF(BU119&lt;&gt;"",(BR116-BU119),BR116)
/IF(COUNTIF(BR114,"*キャラ*"),
VLOOKUP("*キャラ*",商品マスタ一覧!$D:$J,7,FALSE),
IF(COUNTIF(BR114,"*赤*"),
VLOOKUP("*赤*",商品マスタ一覧!$D:$J,7,FALSE),
VLOOKUP(BR114,商品マスタ一覧!$D:$J,7,FALSE))),0)&lt;=0,1,
ROUND(
IF(BU119&lt;&gt;"",(BR116-BU119),BR116)
/IF(COUNTIF(BR114,"*キャラ*"),
VLOOKUP("*キャラ*",商品マスタ一覧!$D:$J,7,FALSE),
IF(COUNTIF(BR114,"*赤*"),
VLOOKUP("*赤*",商品マスタ一覧!$D:$J,7,FALSE),
VLOOKUP(BR114,商品マスタ一覧!$D:$J,7,FALSE))),0))),""),"")),"")</f>
        <v/>
      </c>
      <c r="BV114" s="92" t="str">
        <f ca="1">IF(BU114&lt;&gt;"",IF(BR116&lt;&gt;"",IF(VALUE(IF(BU119&lt;&gt;"",BR116-BU119,BR116))&gt;VALUE(IF(COUNTIF('盛付札（関数）'!BR114,"*キャラ*"),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VLOOKUP('盛付札（関数）'!BR114,商品マスタ一覧!$D:$J,7,FALSE)))*BU114),
"+"&amp;IF(BU119&lt;&gt;"",BR116-BU119,BR116)-IF(COUNTIF('盛付札（関数）'!BR114,"*キャラ*"),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VLOOKUP('盛付札（関数）'!BR114,商品マスタ一覧!$D:$J,7,FALSE)))*BU114,
IF(BU119&lt;&gt;"",BR116-BU119,BR116)-IF(COUNTIF('盛付札（関数）'!BR114,"*キャラ*"),
VLOOKUP("*キャラ*",商品マスタ一覧!$D:$J,7,FALSE),
IF(COUNTIF('盛付札（関数）'!BR114,"*赤*"),
VLOOKUP("*赤*",商品マスタ一覧!$D:$J,7,FALSE),
VLOOKUP('盛付札（関数）'!BR114,商品マスタ一覧!$D:$J,7,FALSE)))*BU114),""),"")</f>
        <v/>
      </c>
      <c r="BY114" s="81" t="e" cm="1">
        <f t="array" aca="1" ref="BY114" ca="1">IF(BY31&lt;&gt;100,
IF(BZ116&lt;&gt;"",MATCH(BZ116,INDIRECT("数出表_Excel!B"&amp;MATCH(CD29,数出表_Excel!$A:$A,0)-1&amp;":U"&amp;MATCH(CD29,数出表_Excel!$A:$A,0)-1&amp;""),0)+1,""),
IF(BZ116&lt;&gt;"",
MATCH(
IFERROR(
INDEX(INDIRECT("数出表_Excel!"&amp;BY113&amp;MATCH(CD29,数出表_Excel!$A:$A,0)-1&amp;":U"&amp;MATCH(CD29,数出表_Excel!$A:$A,0)-1&amp;""),
 1,
 MATCH(TRUE, ISNUMBER(--INDIRECT("数出表_Excel!"&amp;BY113&amp;MATCH(CD29,数出表_Excel!$A:$A,0)-1&amp;":U"&amp;MATCH(CD29,数出表_Excel!$A:$A,0)-1&amp;"")),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114" s="58" t="str" cm="1">
        <f t="array" aca="1" ref="BZ114" ca="1">IFERROR(IF(OR(
COUNTIF(INDIRECT("数出表_Excel!" &amp;
CHAR(MATCH(TRUE,
ISNUMBER(--INDIRECT("数出表_Excel!"&amp;BY113&amp;MATCH(CD29,数出表_Excel!$A:$A,0)-1&amp;":U"&amp;MATCH(CD29,数出表_Excel!$A:$A,0)-1&amp;"")),0)
+MATCH(TRUE, ISNUMBER(--INDIRECT("数出表_Excel!B" &amp; (MATCH(CD29,数出表_Excel!$A:$A,0)-1) &amp; ":U" &amp; (MATCH(CD29,数出表_Excel!$A:$A,0)-1))), 0)
+MATCH(TRUE, ISNUMBER(--INDIRECT("数出表_Excel!"&amp;BY71&amp; (MATCH(CD29,数出表_Excel!$A:$A,0)-1) &amp; ":U" &amp; (MATCH(CD29,数出表_Excel!$A:$A,0)-1))), 0)
+65) &amp; "3"),"*配膳*"),
COUNTIF(INDIRECT("数出表_Excel!" &amp;
CHAR(MATCH(TRUE,
ISNUMBER(--INDIRECT("数出表_Excel!"&amp;BY113&amp;MATCH(CD29,数出表_Excel!$A:$A,0)-1&amp;":U"&amp;MATCH(CD29,数出表_Excel!$A:$A,0)-1&amp;"")),0)
+MATCH(TRUE, ISNUMBER(--INDIRECT("数出表_Excel!B" &amp; (MATCH(CD29,数出表_Excel!$A:$A,0)-1) &amp; ":U" &amp; (MATCH(CD29,数出表_Excel!$A:$A,0)-1))), 0)
+MATCH(TRUE, ISNUMBER(--INDIRECT("数出表_Excel!"&amp;BY71&amp; (MATCH(CD29,数出表_Excel!$A:$A,0)-1) &amp; ":U" &amp; (MATCH(CD29,数出表_Excel!$A:$A,0)-1))), 0)
+65) &amp; "3"),"*カレー*"),
COUNTIF(BZ71,"*合計*")),"",
IF(IFERROR(INDIRECT("数出表_Excel!" &amp;
CHAR(MATCH(TRUE,
ISNUMBER(--INDIRECT("数出表_Excel!"&amp;BY113&amp;MATCH(CD29,数出表_Excel!$A:$A,0)-1&amp;":U"&amp;MATCH(CD29,数出表_Excel!$A:$A,0)-1&amp;"")),0)
+MATCH(TRUE, ISNUMBER(--INDIRECT("数出表_Excel!B" &amp; (MATCH(CD29,数出表_Excel!$A:$A,0)-1) &amp; ":U" &amp; (MATCH(CD29,数出表_Excel!$A:$A,0)-1))), 0)
+MATCH(TRUE, ISNUMBER(--INDIRECT("数出表_Excel!"&amp;BY71&amp; (MATCH(CD29,数出表_Excel!$A:$A,0)-1) &amp; ":U" &amp; (MATCH(CD29,数出表_Excel!$A:$A,0)-1))), 0)
+65) &amp; "3"),0)=0,"",
IFERROR(INDIRECT("数出表_Excel!" &amp;
CHAR(MATCH(TRUE,
ISNUMBER(--INDIRECT("数出表_Excel!"&amp;BY113&amp;MATCH(CD29,数出表_Excel!$A:$A,0)-1&amp;":U"&amp;MATCH(CD29,数出表_Excel!$A:$A,0)-1&amp;"")),0)
+MATCH(TRUE, ISNUMBER(--INDIRECT("数出表_Excel!B" &amp; (MATCH(CD29,数出表_Excel!$A:$A,0)-1) &amp; ":U" &amp; (MATCH(CD29,数出表_Excel!$A:$A,0)-1))), 0)
+MATCH(TRUE, ISNUMBER(--INDIRECT("数出表_Excel!"&amp;BY71&amp; (MATCH(CD29,数出表_Excel!$A:$A,0)-1) &amp; ":U" &amp; (MATCH(CD29,数出表_Excel!$A:$A,0)-1))), 0)
+65) &amp; "3"),""))),"")</f>
        <v/>
      </c>
      <c r="CA114" s="76"/>
      <c r="CB114" s="82" t="str" cm="1">
        <f t="array" aca="1" ref="CB114" ca="1">IF(CC114&lt;&gt;"","",
IF(COUNTIF(BZ113,"*雙葉*"),"",
IF(BZ113&lt;&gt;"",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+MATCH(TRUE,INDIRECT("'数出表_Excel'!"&amp;BY113&amp;MATCH(CD29,数出表_Excel!$A:$A,0)-1&amp;":AL"&amp;MATCH(CD29,数出表_Excel!$A:$A,0)-1&amp;"")&lt;&gt;"",0))&gt;9,"",
IFERROR(
INDEX(INDIRECT("数出表_Excel!$"&amp;BY113&amp;"4:$AL4"),
 1,
MATCH(TRUE,INDIRECT("'数出表_Excel'!"&amp;BY113&amp;MATCH(CD29,数出表_Excel!$A:$A,0)-1&amp;":AL"&amp;MATCH(CD29,数出表_Excel!$A:$A,0)-1&amp;"")&lt;&gt;"",0)
),
 "")
&amp;IFERROR(
INDEX(INDIRECT("数出表_Excel!$"&amp;BY113&amp;"5:$AL5"),
 1,
MATCH(TRUE,INDIRECT("'数出表_Excel'!"&amp;BY113&amp;MATCH(CD29,数出表_Excel!$A:$A,0)-1&amp;":AL"&amp;MATCH(CD29,数出表_Excel!$A:$A,0)-1&amp;"")&lt;&gt;"",0)),
 "")),"")))</f>
        <v/>
      </c>
      <c r="CC114" s="83" t="str" cm="1">
        <f t="array" aca="1" ref="CC114" ca="1">IF(BZ114&lt;&gt;"",
IF(COUNTIF(BZ113,"*雙葉*"),
IF(ROUND(
IF(CC119&lt;&gt;"",(BZ116-CC119),BZ116)
/IF(COUNTIF(BZ114,"*キャラ*"),
VLOOKUP("*キャラ*",商品マスタ一覧!$D:$J,7,FALSE),
IF(COUNTIF(BZ114,"*赤*"),
VLOOKUP("*赤*",商品マスタ一覧!$D:$J,7,FALSE),
VLOOKUP(BZ114,商品マスタ一覧!$D:$J,7,FALSE))),0)&lt;=0,1,
ROUND(
IF(CC119&lt;&gt;"",(BZ116-CC119),BZ116)
/IF(COUNTIF(BZ114,"*キャラ*"),
VLOOKUP("*キャラ*",商品マスタ一覧!$D:$J,7,FALSE),
IF(COUNTIF(BZ114,"*赤*"),
VLOOKUP("*赤*",商品マスタ一覧!$D:$J,7,FALSE),
VLOOKUP(BZ114,商品マスタ一覧!$D:$J,7,FALSE))),0)),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IF(BZ114&lt;&gt;"",
IF(IF(COUNTIF(BZ114,"*キャラ*"),
VLOOKUP("*キャラ*",商品マスタ一覧!$D:$J,7,FALSE),
IF(COUNTIF(BZ114,"*赤*"),
VLOOKUP("*赤*",商品マスタ一覧!$D:$J,7,FALSE),
VLOOKUP(BZ114,商品マスタ一覧!$D:$J,7,FALSE)))=0,"",
IF(ROUND(
IF(CC119&lt;&gt;"",(BZ116-CC119),BZ116)
/IF(COUNTIF(BZ114,"*キャラ*"),
VLOOKUP("*キャラ*",商品マスタ一覧!$D:$J,7,FALSE),
IF(COUNTIF(BZ114,"*赤*"),
VLOOKUP("*赤*",商品マスタ一覧!$D:$J,7,FALSE),
VLOOKUP(BZ114,商品マスタ一覧!$D:$J,7,FALSE))),0)&lt;=0,1,
ROUND(
IF(CC119&lt;&gt;"",(BZ116-CC119),BZ116)
/IF(COUNTIF(BZ114,"*キャラ*"),
VLOOKUP("*キャラ*",商品マスタ一覧!$D:$J,7,FALSE),
IF(COUNTIF(BZ114,"*赤*"),
VLOOKUP("*赤*",商品マスタ一覧!$D:$J,7,FALSE),
VLOOKUP(BZ114,商品マスタ一覧!$D:$J,7,FALSE))),0))),""),"")),"")</f>
        <v/>
      </c>
      <c r="CD114" s="92" t="str">
        <f ca="1">IF(CC114&lt;&gt;"",IF(BZ116&lt;&gt;"",IF(VALUE(IF(CC119&lt;&gt;"",BZ116-CC119,BZ116))&gt;VALUE(IF(COUNTIF('盛付札（関数）'!BZ114,"*キャラ*"),
VLOOKUP("*キャラ*",商品マスタ一覧!$D:$J,7,FALSE),
IF(COUNTIF('盛付札（関数）'!BZ114,"*赤*"),
VLOOKUP("*赤*",商品マスタ一覧!$D:$J,7,FALSE),
VLOOKUP('盛付札（関数）'!BZ114,商品マスタ一覧!$D:$J,7,FALSE)))*CC114),
"+"&amp;IF(CC119&lt;&gt;"",BZ116-CC119,BZ116)-IF(COUNTIF('盛付札（関数）'!BZ114,"*キャラ*"),
VLOOKUP("*キャラ*",商品マスタ一覧!$D:$J,7,FALSE),
IF(COUNTIF('盛付札（関数）'!BZ114,"*赤*"),
VLOOKUP("*赤*",商品マスタ一覧!$D:$J,7,FALSE),
VLOOKUP('盛付札（関数）'!BZ114,商品マスタ一覧!$D:$J,7,FALSE)))*CC114,
IF(CC119&lt;&gt;"",BZ116-CC119,BZ116)-IF(COUNTIF('盛付札（関数）'!BZ114,"*キャラ*"),
VLOOKUP("*キャラ*",商品マスタ一覧!$D:$J,7,FALSE),
IF(COUNTIF('盛付札（関数）'!BZ114,"*赤*"),
VLOOKUP("*赤*",商品マスタ一覧!$D:$J,7,FALSE),
VLOOKUP('盛付札（関数）'!BZ114,商品マスタ一覧!$D:$J,7,FALSE)))*CC114),""),"")</f>
        <v/>
      </c>
      <c r="CE114" s="76"/>
      <c r="CF114" s="81" t="e" cm="1">
        <f t="array" aca="1" ref="CF114" ca="1">IF(CF31&lt;&gt;100,
IF(CG116&lt;&gt;"",MATCH(CG116,INDIRECT("数出表_Excel!B"&amp;MATCH(CK29,数出表_Excel!$A:$A,0)-1&amp;":U"&amp;MATCH(CK29,数出表_Excel!$A:$A,0)-1&amp;""),0)+1,""),
IF(CG116&lt;&gt;"",
MATCH(
IFERROR(
INDEX(INDIRECT("数出表_Excel!"&amp;CF113&amp;MATCH(CK29,数出表_Excel!$A:$A,0)-1&amp;":U"&amp;MATCH(CK29,数出表_Excel!$A:$A,0)-1&amp;""),
 1,
 MATCH(TRUE, ISNUMBER(--INDIRECT("数出表_Excel!"&amp;CF113&amp;MATCH(CK29,数出表_Excel!$A:$A,0)-1&amp;":U"&amp;MATCH(CK29,数出表_Excel!$A:$A,0)-1&amp;"")),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114" s="58" t="str" cm="1">
        <f t="array" aca="1" ref="CG114" ca="1">IFERROR(IF(OR(
COUNTIF(INDIRECT("数出表_Excel!" &amp;
CHAR(MATCH(TRUE,
ISNUMBER(--INDIRECT("数出表_Excel!"&amp;CF113&amp;MATCH(CK29,数出表_Excel!$A:$A,0)-1&amp;":U"&amp;MATCH(CK29,数出表_Excel!$A:$A,0)-1&amp;"")),0)
+MATCH(TRUE, ISNUMBER(--INDIRECT("数出表_Excel!B" &amp; (MATCH(CK29,数出表_Excel!$A:$A,0)-1) &amp; ":U" &amp; (MATCH(CK29,数出表_Excel!$A:$A,0)-1))), 0)
+MATCH(TRUE, ISNUMBER(--INDIRECT("数出表_Excel!"&amp;CF71&amp; (MATCH(CK29,数出表_Excel!$A:$A,0)-1) &amp; ":U" &amp; (MATCH(CK29,数出表_Excel!$A:$A,0)-1))), 0)
+65) &amp; "3"),"*配膳*"),
COUNTIF(INDIRECT("数出表_Excel!" &amp;
CHAR(MATCH(TRUE,
ISNUMBER(--INDIRECT("数出表_Excel!"&amp;CF113&amp;MATCH(CK29,数出表_Excel!$A:$A,0)-1&amp;":U"&amp;MATCH(CK29,数出表_Excel!$A:$A,0)-1&amp;"")),0)
+MATCH(TRUE, ISNUMBER(--INDIRECT("数出表_Excel!B" &amp; (MATCH(CK29,数出表_Excel!$A:$A,0)-1) &amp; ":U" &amp; (MATCH(CK29,数出表_Excel!$A:$A,0)-1))), 0)
+MATCH(TRUE, ISNUMBER(--INDIRECT("数出表_Excel!"&amp;CF71&amp; (MATCH(CK29,数出表_Excel!$A:$A,0)-1) &amp; ":U" &amp; (MATCH(CK29,数出表_Excel!$A:$A,0)-1))), 0)
+65) &amp; "3"),"*カレー*"),
COUNTIF(CG71,"*合計*")),"",
IF(IFERROR(INDIRECT("数出表_Excel!" &amp;
CHAR(MATCH(TRUE,
ISNUMBER(--INDIRECT("数出表_Excel!"&amp;CF113&amp;MATCH(CK29,数出表_Excel!$A:$A,0)-1&amp;":U"&amp;MATCH(CK29,数出表_Excel!$A:$A,0)-1&amp;"")),0)
+MATCH(TRUE, ISNUMBER(--INDIRECT("数出表_Excel!B" &amp; (MATCH(CK29,数出表_Excel!$A:$A,0)-1) &amp; ":U" &amp; (MATCH(CK29,数出表_Excel!$A:$A,0)-1))), 0)
+MATCH(TRUE, ISNUMBER(--INDIRECT("数出表_Excel!"&amp;CF71&amp; (MATCH(CK29,数出表_Excel!$A:$A,0)-1) &amp; ":U" &amp; (MATCH(CK29,数出表_Excel!$A:$A,0)-1))), 0)
+65) &amp; "3"),0)=0,"",
IFERROR(INDIRECT("数出表_Excel!" &amp;
CHAR(MATCH(TRUE,
ISNUMBER(--INDIRECT("数出表_Excel!"&amp;CF113&amp;MATCH(CK29,数出表_Excel!$A:$A,0)-1&amp;":U"&amp;MATCH(CK29,数出表_Excel!$A:$A,0)-1&amp;"")),0)
+MATCH(TRUE, ISNUMBER(--INDIRECT("数出表_Excel!B" &amp; (MATCH(CK29,数出表_Excel!$A:$A,0)-1) &amp; ":U" &amp; (MATCH(CK29,数出表_Excel!$A:$A,0)-1))), 0)
+MATCH(TRUE, ISNUMBER(--INDIRECT("数出表_Excel!"&amp;CF71&amp; (MATCH(CK29,数出表_Excel!$A:$A,0)-1) &amp; ":U" &amp; (MATCH(CK29,数出表_Excel!$A:$A,0)-1))), 0)
+65) &amp; "3"),""))),"")</f>
        <v/>
      </c>
      <c r="CH114" s="76"/>
      <c r="CI114" s="82" t="str" cm="1">
        <f t="array" aca="1" ref="CI114" ca="1">IF(CJ114&lt;&gt;"","",
IF(COUNTIF(CG113,"*雙葉*"),"",
IF(CG113&lt;&gt;"",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+MATCH(TRUE,INDIRECT("'数出表_Excel'!"&amp;CF113&amp;MATCH(CK29,数出表_Excel!$A:$A,0)-1&amp;":AL"&amp;MATCH(CK29,数出表_Excel!$A:$A,0)-1&amp;"")&lt;&gt;"",0))&gt;9,"",
IFERROR(
INDEX(INDIRECT("数出表_Excel!$"&amp;CF113&amp;"4:$AL4"),
 1,
MATCH(TRUE,INDIRECT("'数出表_Excel'!"&amp;CF113&amp;MATCH(CK29,数出表_Excel!$A:$A,0)-1&amp;":AL"&amp;MATCH(CK29,数出表_Excel!$A:$A,0)-1&amp;"")&lt;&gt;"",0)
),
 "")
&amp;IFERROR(
INDEX(INDIRECT("数出表_Excel!$"&amp;CF113&amp;"5:$AL5"),
 1,
MATCH(TRUE,INDIRECT("'数出表_Excel'!"&amp;CF113&amp;MATCH(CK29,数出表_Excel!$A:$A,0)-1&amp;":AL"&amp;MATCH(CK29,数出表_Excel!$A:$A,0)-1&amp;"")&lt;&gt;"",0)),
 "")),"")))</f>
        <v/>
      </c>
      <c r="CJ114" s="83" t="str" cm="1">
        <f t="array" aca="1" ref="CJ114" ca="1">IF(CG114&lt;&gt;"",
IF(COUNTIF(CG113,"*雙葉*"),
IF(ROUND(
IF(CJ119&lt;&gt;"",(CG116-CJ119),CG116)
/IF(COUNTIF(CG114,"*キャラ*"),
VLOOKUP("*キャラ*",商品マスタ一覧!$D:$J,7,FALSE),
IF(COUNTIF(CG114,"*赤*"),
VLOOKUP("*赤*",商品マスタ一覧!$D:$J,7,FALSE),
VLOOKUP(CG114,商品マスタ一覧!$D:$J,7,FALSE))),0)&lt;=0,1,
ROUND(
IF(CJ119&lt;&gt;"",(CG116-CJ119),CG116)
/IF(COUNTIF(CG114,"*キャラ*"),
VLOOKUP("*キャラ*",商品マスタ一覧!$D:$J,7,FALSE),
IF(COUNTIF(CG114,"*赤*"),
VLOOKUP("*赤*",商品マスタ一覧!$D:$J,7,FALSE),
VLOOKUP(CG114,商品マスタ一覧!$D:$J,7,FALSE))),0)),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IF(CG114&lt;&gt;"",
IF(IF(COUNTIF(CG114,"*キャラ*"),
VLOOKUP("*キャラ*",商品マスタ一覧!$D:$J,7,FALSE),
IF(COUNTIF(CG114,"*赤*"),
VLOOKUP("*赤*",商品マスタ一覧!$D:$J,7,FALSE),
VLOOKUP(CG114,商品マスタ一覧!$D:$J,7,FALSE)))=0,"",
IF(ROUND(
IF(CJ119&lt;&gt;"",(CG116-CJ119),CG116)
/IF(COUNTIF(CG114,"*キャラ*"),
VLOOKUP("*キャラ*",商品マスタ一覧!$D:$J,7,FALSE),
IF(COUNTIF(CG114,"*赤*"),
VLOOKUP("*赤*",商品マスタ一覧!$D:$J,7,FALSE),
VLOOKUP(CG114,商品マスタ一覧!$D:$J,7,FALSE))),0)&lt;=0,1,
ROUND(
IF(CJ119&lt;&gt;"",(CG116-CJ119),CG116)
/IF(COUNTIF(CG114,"*キャラ*"),
VLOOKUP("*キャラ*",商品マスタ一覧!$D:$J,7,FALSE),
IF(COUNTIF(CG114,"*赤*"),
VLOOKUP("*赤*",商品マスタ一覧!$D:$J,7,FALSE),
VLOOKUP(CG114,商品マスタ一覧!$D:$J,7,FALSE))),0))),""),"")),"")</f>
        <v/>
      </c>
      <c r="CK114" s="92" t="str">
        <f ca="1">IF(CJ114&lt;&gt;"",IF(CG116&lt;&gt;"",IF(VALUE(IF(CJ119&lt;&gt;"",CG116-CJ119,CG116))&gt;VALUE(IF(COUNTIF('盛付札（関数）'!CG114,"*キャラ*"),
VLOOKUP("*キャラ*",商品マスタ一覧!$D:$J,7,FALSE),
IF(COUNTIF('盛付札（関数）'!CG114,"*赤*"),
VLOOKUP("*赤*",商品マスタ一覧!$D:$J,7,FALSE),
VLOOKUP('盛付札（関数）'!CG114,商品マスタ一覧!$D:$J,7,FALSE)))*CJ114),
"+"&amp;IF(CJ119&lt;&gt;"",CG116-CJ119,CG116)-IF(COUNTIF('盛付札（関数）'!CG114,"*キャラ*"),
VLOOKUP("*キャラ*",商品マスタ一覧!$D:$J,7,FALSE),
IF(COUNTIF('盛付札（関数）'!CG114,"*赤*"),
VLOOKUP("*赤*",商品マスタ一覧!$D:$J,7,FALSE),
VLOOKUP('盛付札（関数）'!CG114,商品マスタ一覧!$D:$J,7,FALSE)))*CJ114,
IF(CJ119&lt;&gt;"",CG116-CJ119,CG116)-IF(COUNTIF('盛付札（関数）'!CG114,"*キャラ*"),
VLOOKUP("*キャラ*",商品マスタ一覧!$D:$J,7,FALSE),
IF(COUNTIF('盛付札（関数）'!CG114,"*赤*"),
VLOOKUP("*赤*",商品マスタ一覧!$D:$J,7,FALSE),
VLOOKUP('盛付札（関数）'!CG114,商品マスタ一覧!$D:$J,7,FALSE)))*CJ114),""),"")</f>
        <v/>
      </c>
      <c r="CN114" s="81" t="e" cm="1">
        <f t="array" aca="1" ref="CN114" ca="1">IF(CN31&lt;&gt;100,
IF(CO116&lt;&gt;"",MATCH(CO116,INDIRECT("数出表_Excel!B"&amp;MATCH(CS29,数出表_Excel!$A:$A,0)-1&amp;":U"&amp;MATCH(CS29,数出表_Excel!$A:$A,0)-1&amp;""),0)+1,""),
IF(CO116&lt;&gt;"",
MATCH(
IFERROR(
INDEX(INDIRECT("数出表_Excel!"&amp;CN113&amp;MATCH(CS29,数出表_Excel!$A:$A,0)-1&amp;":U"&amp;MATCH(CS29,数出表_Excel!$A:$A,0)-1&amp;""),
 1,
 MATCH(TRUE, ISNUMBER(--INDIRECT("数出表_Excel!"&amp;CN113&amp;MATCH(CS29,数出表_Excel!$A:$A,0)-1&amp;":U"&amp;MATCH(CS29,数出表_Excel!$A:$A,0)-1&amp;"")),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114" s="58" t="str" cm="1">
        <f t="array" aca="1" ref="CO114" ca="1">IFERROR(IF(OR(
COUNTIF(INDIRECT("数出表_Excel!" &amp;
CHAR(MATCH(TRUE,
ISNUMBER(--INDIRECT("数出表_Excel!"&amp;CN113&amp;MATCH(CS29,数出表_Excel!$A:$A,0)-1&amp;":U"&amp;MATCH(CS29,数出表_Excel!$A:$A,0)-1&amp;"")),0)
+MATCH(TRUE, ISNUMBER(--INDIRECT("数出表_Excel!B" &amp; (MATCH(CS29,数出表_Excel!$A:$A,0)-1) &amp; ":U" &amp; (MATCH(CS29,数出表_Excel!$A:$A,0)-1))), 0)
+MATCH(TRUE, ISNUMBER(--INDIRECT("数出表_Excel!"&amp;CN71&amp; (MATCH(CS29,数出表_Excel!$A:$A,0)-1) &amp; ":U" &amp; (MATCH(CS29,数出表_Excel!$A:$A,0)-1))), 0)
+65) &amp; "3"),"*配膳*"),
COUNTIF(INDIRECT("数出表_Excel!" &amp;
CHAR(MATCH(TRUE,
ISNUMBER(--INDIRECT("数出表_Excel!"&amp;CN113&amp;MATCH(CS29,数出表_Excel!$A:$A,0)-1&amp;":U"&amp;MATCH(CS29,数出表_Excel!$A:$A,0)-1&amp;"")),0)
+MATCH(TRUE, ISNUMBER(--INDIRECT("数出表_Excel!B" &amp; (MATCH(CS29,数出表_Excel!$A:$A,0)-1) &amp; ":U" &amp; (MATCH(CS29,数出表_Excel!$A:$A,0)-1))), 0)
+MATCH(TRUE, ISNUMBER(--INDIRECT("数出表_Excel!"&amp;CN71&amp; (MATCH(CS29,数出表_Excel!$A:$A,0)-1) &amp; ":U" &amp; (MATCH(CS29,数出表_Excel!$A:$A,0)-1))), 0)
+65) &amp; "3"),"*カレー*"),
COUNTIF(CO71,"*合計*")),"",
IF(IFERROR(INDIRECT("数出表_Excel!" &amp;
CHAR(MATCH(TRUE,
ISNUMBER(--INDIRECT("数出表_Excel!"&amp;CN113&amp;MATCH(CS29,数出表_Excel!$A:$A,0)-1&amp;":U"&amp;MATCH(CS29,数出表_Excel!$A:$A,0)-1&amp;"")),0)
+MATCH(TRUE, ISNUMBER(--INDIRECT("数出表_Excel!B" &amp; (MATCH(CS29,数出表_Excel!$A:$A,0)-1) &amp; ":U" &amp; (MATCH(CS29,数出表_Excel!$A:$A,0)-1))), 0)
+MATCH(TRUE, ISNUMBER(--INDIRECT("数出表_Excel!"&amp;CN71&amp; (MATCH(CS29,数出表_Excel!$A:$A,0)-1) &amp; ":U" &amp; (MATCH(CS29,数出表_Excel!$A:$A,0)-1))), 0)
+65) &amp; "3"),0)=0,"",
IFERROR(INDIRECT("数出表_Excel!" &amp;
CHAR(MATCH(TRUE,
ISNUMBER(--INDIRECT("数出表_Excel!"&amp;CN113&amp;MATCH(CS29,数出表_Excel!$A:$A,0)-1&amp;":U"&amp;MATCH(CS29,数出表_Excel!$A:$A,0)-1&amp;"")),0)
+MATCH(TRUE, ISNUMBER(--INDIRECT("数出表_Excel!B" &amp; (MATCH(CS29,数出表_Excel!$A:$A,0)-1) &amp; ":U" &amp; (MATCH(CS29,数出表_Excel!$A:$A,0)-1))), 0)
+MATCH(TRUE, ISNUMBER(--INDIRECT("数出表_Excel!"&amp;CN71&amp; (MATCH(CS29,数出表_Excel!$A:$A,0)-1) &amp; ":U" &amp; (MATCH(CS29,数出表_Excel!$A:$A,0)-1))), 0)
+65) &amp; "3"),""))),"")</f>
        <v/>
      </c>
      <c r="CP114" s="76"/>
      <c r="CQ114" s="82" t="str" cm="1">
        <f t="array" aca="1" ref="CQ114" ca="1">IF(CR114&lt;&gt;"","",
IF(COUNTIF(CO113,"*雙葉*"),"",
IF(CO113&lt;&gt;"",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+MATCH(TRUE,INDIRECT("'数出表_Excel'!"&amp;CN113&amp;MATCH(CS29,数出表_Excel!$A:$A,0)-1&amp;":AL"&amp;MATCH(CS29,数出表_Excel!$A:$A,0)-1&amp;"")&lt;&gt;"",0))&gt;9,"",
IFERROR(
INDEX(INDIRECT("数出表_Excel!$"&amp;CN113&amp;"4:$AL4"),
 1,
MATCH(TRUE,INDIRECT("'数出表_Excel'!"&amp;CN113&amp;MATCH(CS29,数出表_Excel!$A:$A,0)-1&amp;":AL"&amp;MATCH(CS29,数出表_Excel!$A:$A,0)-1&amp;"")&lt;&gt;"",0)
),
 "")
&amp;IFERROR(
INDEX(INDIRECT("数出表_Excel!$"&amp;CN113&amp;"5:$AL5"),
 1,
MATCH(TRUE,INDIRECT("'数出表_Excel'!"&amp;CN113&amp;MATCH(CS29,数出表_Excel!$A:$A,0)-1&amp;":AL"&amp;MATCH(CS29,数出表_Excel!$A:$A,0)-1&amp;"")&lt;&gt;"",0)),
 "")),"")))</f>
        <v/>
      </c>
      <c r="CR114" s="83" t="str" cm="1">
        <f t="array" aca="1" ref="CR114" ca="1">IF(CO114&lt;&gt;"",
IF(COUNTIF(CO113,"*雙葉*"),
IF(ROUND(
IF(CR119&lt;&gt;"",(CO116-CR119),CO116)
/IF(COUNTIF(CO114,"*キャラ*"),
VLOOKUP("*キャラ*",商品マスタ一覧!$D:$J,7,FALSE),
IF(COUNTIF(CO114,"*赤*"),
VLOOKUP("*赤*",商品マスタ一覧!$D:$J,7,FALSE),
VLOOKUP(CO114,商品マスタ一覧!$D:$J,7,FALSE))),0)&lt;=0,1,
ROUND(
IF(CR119&lt;&gt;"",(CO116-CR119),CO116)
/IF(COUNTIF(CO114,"*キャラ*"),
VLOOKUP("*キャラ*",商品マスタ一覧!$D:$J,7,FALSE),
IF(COUNTIF(CO114,"*赤*"),
VLOOKUP("*赤*",商品マスタ一覧!$D:$J,7,FALSE),
VLOOKUP(CO114,商品マスタ一覧!$D:$J,7,FALSE))),0)),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IF(CO114&lt;&gt;"",
IF(IF(COUNTIF(CO114,"*キャラ*"),
VLOOKUP("*キャラ*",商品マスタ一覧!$D:$J,7,FALSE),
IF(COUNTIF(CO114,"*赤*"),
VLOOKUP("*赤*",商品マスタ一覧!$D:$J,7,FALSE),
VLOOKUP(CO114,商品マスタ一覧!$D:$J,7,FALSE)))=0,"",
IF(ROUND(
IF(CR119&lt;&gt;"",(CO116-CR119),CO116)
/IF(COUNTIF(CO114,"*キャラ*"),
VLOOKUP("*キャラ*",商品マスタ一覧!$D:$J,7,FALSE),
IF(COUNTIF(CO114,"*赤*"),
VLOOKUP("*赤*",商品マスタ一覧!$D:$J,7,FALSE),
VLOOKUP(CO114,商品マスタ一覧!$D:$J,7,FALSE))),0)&lt;=0,1,
ROUND(
IF(CR119&lt;&gt;"",(CO116-CR119),CO116)
/IF(COUNTIF(CO114,"*キャラ*"),
VLOOKUP("*キャラ*",商品マスタ一覧!$D:$J,7,FALSE),
IF(COUNTIF(CO114,"*赤*"),
VLOOKUP("*赤*",商品マスタ一覧!$D:$J,7,FALSE),
VLOOKUP(CO114,商品マスタ一覧!$D:$J,7,FALSE))),0))),""),"")),"")</f>
        <v/>
      </c>
      <c r="CS114" s="92" t="str">
        <f ca="1">IF(CR114&lt;&gt;"",IF(CO116&lt;&gt;"",IF(VALUE(IF(CR119&lt;&gt;"",CO116-CR119,CO116))&gt;VALUE(IF(COUNTIF('盛付札（関数）'!CO114,"*キャラ*"),
VLOOKUP("*キャラ*",商品マスタ一覧!$D:$J,7,FALSE),
IF(COUNTIF('盛付札（関数）'!CO114,"*赤*"),
VLOOKUP("*赤*",商品マスタ一覧!$D:$J,7,FALSE),
VLOOKUP('盛付札（関数）'!CO114,商品マスタ一覧!$D:$J,7,FALSE)))*CR114),
"+"&amp;IF(CR119&lt;&gt;"",CO116-CR119,CO116)-IF(COUNTIF('盛付札（関数）'!CO114,"*キャラ*"),
VLOOKUP("*キャラ*",商品マスタ一覧!$D:$J,7,FALSE),
IF(COUNTIF('盛付札（関数）'!CO114,"*赤*"),
VLOOKUP("*赤*",商品マスタ一覧!$D:$J,7,FALSE),
VLOOKUP('盛付札（関数）'!CO114,商品マスタ一覧!$D:$J,7,FALSE)))*CR114,
IF(CR119&lt;&gt;"",CO116-CR119,CO116)-IF(COUNTIF('盛付札（関数）'!CO114,"*キャラ*"),
VLOOKUP("*キャラ*",商品マスタ一覧!$D:$J,7,FALSE),
IF(COUNTIF('盛付札（関数）'!CO114,"*赤*"),
VLOOKUP("*赤*",商品マスタ一覧!$D:$J,7,FALSE),
VLOOKUP('盛付札（関数）'!CO114,商品マスタ一覧!$D:$J,7,FALSE)))*CR114),""),"")</f>
        <v/>
      </c>
      <c r="CT114" s="76"/>
      <c r="CU114" s="81" t="e" cm="1">
        <f t="array" aca="1" ref="CU114" ca="1">IF(CU31&lt;&gt;100,
IF(CV116&lt;&gt;"",MATCH(CV116,INDIRECT("数出表_Excel!B"&amp;MATCH(CZ29,数出表_Excel!$A:$A,0)-1&amp;":U"&amp;MATCH(CZ29,数出表_Excel!$A:$A,0)-1&amp;""),0)+1,""),
IF(CV116&lt;&gt;"",
MATCH(
IFERROR(
INDEX(INDIRECT("数出表_Excel!"&amp;CU113&amp;MATCH(CZ29,数出表_Excel!$A:$A,0)-1&amp;":U"&amp;MATCH(CZ29,数出表_Excel!$A:$A,0)-1&amp;""),
 1,
 MATCH(TRUE, ISNUMBER(--INDIRECT("数出表_Excel!"&amp;CU113&amp;MATCH(CZ29,数出表_Excel!$A:$A,0)-1&amp;":U"&amp;MATCH(CZ29,数出表_Excel!$A:$A,0)-1&amp;"")),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114" s="58" t="str" cm="1">
        <f t="array" aca="1" ref="CV114" ca="1">IFERROR(IF(OR(
COUNTIF(INDIRECT("数出表_Excel!" &amp;
CHAR(MATCH(TRUE,
ISNUMBER(--INDIRECT("数出表_Excel!"&amp;CU113&amp;MATCH(CZ29,数出表_Excel!$A:$A,0)-1&amp;":U"&amp;MATCH(CZ29,数出表_Excel!$A:$A,0)-1&amp;"")),0)
+MATCH(TRUE, ISNUMBER(--INDIRECT("数出表_Excel!B" &amp; (MATCH(CZ29,数出表_Excel!$A:$A,0)-1) &amp; ":U" &amp; (MATCH(CZ29,数出表_Excel!$A:$A,0)-1))), 0)
+MATCH(TRUE, ISNUMBER(--INDIRECT("数出表_Excel!"&amp;CU71&amp; (MATCH(CZ29,数出表_Excel!$A:$A,0)-1) &amp; ":U" &amp; (MATCH(CZ29,数出表_Excel!$A:$A,0)-1))), 0)
+65) &amp; "3"),"*配膳*"),
COUNTIF(INDIRECT("数出表_Excel!" &amp;
CHAR(MATCH(TRUE,
ISNUMBER(--INDIRECT("数出表_Excel!"&amp;CU113&amp;MATCH(CZ29,数出表_Excel!$A:$A,0)-1&amp;":U"&amp;MATCH(CZ29,数出表_Excel!$A:$A,0)-1&amp;"")),0)
+MATCH(TRUE, ISNUMBER(--INDIRECT("数出表_Excel!B" &amp; (MATCH(CZ29,数出表_Excel!$A:$A,0)-1) &amp; ":U" &amp; (MATCH(CZ29,数出表_Excel!$A:$A,0)-1))), 0)
+MATCH(TRUE, ISNUMBER(--INDIRECT("数出表_Excel!"&amp;CU71&amp; (MATCH(CZ29,数出表_Excel!$A:$A,0)-1) &amp; ":U" &amp; (MATCH(CZ29,数出表_Excel!$A:$A,0)-1))), 0)
+65) &amp; "3"),"*カレー*"),
COUNTIF(CV71,"*合計*")),"",
IF(IFERROR(INDIRECT("数出表_Excel!" &amp;
CHAR(MATCH(TRUE,
ISNUMBER(--INDIRECT("数出表_Excel!"&amp;CU113&amp;MATCH(CZ29,数出表_Excel!$A:$A,0)-1&amp;":U"&amp;MATCH(CZ29,数出表_Excel!$A:$A,0)-1&amp;"")),0)
+MATCH(TRUE, ISNUMBER(--INDIRECT("数出表_Excel!B" &amp; (MATCH(CZ29,数出表_Excel!$A:$A,0)-1) &amp; ":U" &amp; (MATCH(CZ29,数出表_Excel!$A:$A,0)-1))), 0)
+MATCH(TRUE, ISNUMBER(--INDIRECT("数出表_Excel!"&amp;CU71&amp; (MATCH(CZ29,数出表_Excel!$A:$A,0)-1) &amp; ":U" &amp; (MATCH(CZ29,数出表_Excel!$A:$A,0)-1))), 0)
+65) &amp; "3"),0)=0,"",
IFERROR(INDIRECT("数出表_Excel!" &amp;
CHAR(MATCH(TRUE,
ISNUMBER(--INDIRECT("数出表_Excel!"&amp;CU113&amp;MATCH(CZ29,数出表_Excel!$A:$A,0)-1&amp;":U"&amp;MATCH(CZ29,数出表_Excel!$A:$A,0)-1&amp;"")),0)
+MATCH(TRUE, ISNUMBER(--INDIRECT("数出表_Excel!B" &amp; (MATCH(CZ29,数出表_Excel!$A:$A,0)-1) &amp; ":U" &amp; (MATCH(CZ29,数出表_Excel!$A:$A,0)-1))), 0)
+MATCH(TRUE, ISNUMBER(--INDIRECT("数出表_Excel!"&amp;CU71&amp; (MATCH(CZ29,数出表_Excel!$A:$A,0)-1) &amp; ":U" &amp; (MATCH(CZ29,数出表_Excel!$A:$A,0)-1))), 0)
+65) &amp; "3"),""))),"")</f>
        <v/>
      </c>
      <c r="CW114" s="76"/>
      <c r="CX114" s="82" t="str" cm="1">
        <f t="array" aca="1" ref="CX114" ca="1">IF(CY114&lt;&gt;"","",
IF(COUNTIF(CV113,"*雙葉*"),"",
IF(CV113&lt;&gt;"",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+MATCH(TRUE,INDIRECT("'数出表_Excel'!"&amp;CU113&amp;MATCH(CZ29,数出表_Excel!$A:$A,0)-1&amp;":AL"&amp;MATCH(CZ29,数出表_Excel!$A:$A,0)-1&amp;"")&lt;&gt;"",0))&gt;9,"",
IFERROR(
INDEX(INDIRECT("数出表_Excel!$"&amp;CU113&amp;"4:$AL4"),
 1,
MATCH(TRUE,INDIRECT("'数出表_Excel'!"&amp;CU113&amp;MATCH(CZ29,数出表_Excel!$A:$A,0)-1&amp;":AL"&amp;MATCH(CZ29,数出表_Excel!$A:$A,0)-1&amp;"")&lt;&gt;"",0)
),
 "")
&amp;IFERROR(
INDEX(INDIRECT("数出表_Excel!$"&amp;CU113&amp;"5:$AL5"),
 1,
MATCH(TRUE,INDIRECT("'数出表_Excel'!"&amp;CU113&amp;MATCH(CZ29,数出表_Excel!$A:$A,0)-1&amp;":AL"&amp;MATCH(CZ29,数出表_Excel!$A:$A,0)-1&amp;"")&lt;&gt;"",0)),
 "")),"")))</f>
        <v/>
      </c>
      <c r="CY114" s="83" t="str" cm="1">
        <f t="array" aca="1" ref="CY114" ca="1">IF(CV114&lt;&gt;"",
IF(COUNTIF(CV113,"*雙葉*"),
IF(ROUND(
IF(CY119&lt;&gt;"",(CV116-CY119),CV116)
/IF(COUNTIF(CV114,"*キャラ*"),
VLOOKUP("*キャラ*",商品マスタ一覧!$D:$J,7,FALSE),
IF(COUNTIF(CV114,"*赤*"),
VLOOKUP("*赤*",商品マスタ一覧!$D:$J,7,FALSE),
VLOOKUP(CV114,商品マスタ一覧!$D:$J,7,FALSE))),0)&lt;=0,1,
ROUND(
IF(CY119&lt;&gt;"",(CV116-CY119),CV116)
/IF(COUNTIF(CV114,"*キャラ*"),
VLOOKUP("*キャラ*",商品マスタ一覧!$D:$J,7,FALSE),
IF(COUNTIF(CV114,"*赤*"),
VLOOKUP("*赤*",商品マスタ一覧!$D:$J,7,FALSE),
VLOOKUP(CV114,商品マスタ一覧!$D:$J,7,FALSE))),0)),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IF(CV114&lt;&gt;"",
IF(IF(COUNTIF(CV114,"*キャラ*"),
VLOOKUP("*キャラ*",商品マスタ一覧!$D:$J,7,FALSE),
IF(COUNTIF(CV114,"*赤*"),
VLOOKUP("*赤*",商品マスタ一覧!$D:$J,7,FALSE),
VLOOKUP(CV114,商品マスタ一覧!$D:$J,7,FALSE)))=0,"",
IF(ROUND(
IF(CY119&lt;&gt;"",(CV116-CY119),CV116)
/IF(COUNTIF(CV114,"*キャラ*"),
VLOOKUP("*キャラ*",商品マスタ一覧!$D:$J,7,FALSE),
IF(COUNTIF(CV114,"*赤*"),
VLOOKUP("*赤*",商品マスタ一覧!$D:$J,7,FALSE),
VLOOKUP(CV114,商品マスタ一覧!$D:$J,7,FALSE))),0)&lt;=0,1,
ROUND(
IF(CY119&lt;&gt;"",(CV116-CY119),CV116)
/IF(COUNTIF(CV114,"*キャラ*"),
VLOOKUP("*キャラ*",商品マスタ一覧!$D:$J,7,FALSE),
IF(COUNTIF(CV114,"*赤*"),
VLOOKUP("*赤*",商品マスタ一覧!$D:$J,7,FALSE),
VLOOKUP(CV114,商品マスタ一覧!$D:$J,7,FALSE))),0))),""),"")),"")</f>
        <v/>
      </c>
      <c r="CZ114" s="92" t="str">
        <f ca="1">IF(CY114&lt;&gt;"",IF(CV116&lt;&gt;"",IF(VALUE(IF(CY119&lt;&gt;"",CV116-CY119,CV116))&gt;VALUE(IF(COUNTIF('盛付札（関数）'!CV114,"*キャラ*"),
VLOOKUP("*キャラ*",商品マスタ一覧!$D:$J,7,FALSE),
IF(COUNTIF('盛付札（関数）'!CV114,"*赤*"),
VLOOKUP("*赤*",商品マスタ一覧!$D:$J,7,FALSE),
VLOOKUP('盛付札（関数）'!CV114,商品マスタ一覧!$D:$J,7,FALSE)))*CY114),
"+"&amp;IF(CY119&lt;&gt;"",CV116-CY119,CV116)-IF(COUNTIF('盛付札（関数）'!CV114,"*キャラ*"),
VLOOKUP("*キャラ*",商品マスタ一覧!$D:$J,7,FALSE),
IF(COUNTIF('盛付札（関数）'!CV114,"*赤*"),
VLOOKUP("*赤*",商品マスタ一覧!$D:$J,7,FALSE),
VLOOKUP('盛付札（関数）'!CV114,商品マスタ一覧!$D:$J,7,FALSE)))*CY114,
IF(CY119&lt;&gt;"",CV116-CY119,CV116)-IF(COUNTIF('盛付札（関数）'!CV114,"*キャラ*"),
VLOOKUP("*キャラ*",商品マスタ一覧!$D:$J,7,FALSE),
IF(COUNTIF('盛付札（関数）'!CV114,"*赤*"),
VLOOKUP("*赤*",商品マスタ一覧!$D:$J,7,FALSE),
VLOOKUP('盛付札（関数）'!CV114,商品マスタ一覧!$D:$J,7,FALSE)))*CY114),""),"")</f>
        <v/>
      </c>
      <c r="DC114" s="81" t="e" cm="1">
        <f t="array" aca="1" ref="DC114" ca="1">IF(DC31&lt;&gt;100,
IF(DD116&lt;&gt;"",MATCH(DD116,INDIRECT("数出表_Excel!B"&amp;MATCH(DH29,数出表_Excel!$A:$A,0)-1&amp;":U"&amp;MATCH(DH29,数出表_Excel!$A:$A,0)-1&amp;""),0)+1,""),
IF(DD116&lt;&gt;"",
MATCH(
IFERROR(
INDEX(INDIRECT("数出表_Excel!"&amp;DC113&amp;MATCH(DH29,数出表_Excel!$A:$A,0)-1&amp;":U"&amp;MATCH(DH29,数出表_Excel!$A:$A,0)-1&amp;""),
 1,
 MATCH(TRUE, ISNUMBER(--INDIRECT("数出表_Excel!"&amp;DC113&amp;MATCH(DH29,数出表_Excel!$A:$A,0)-1&amp;":U"&amp;MATCH(DH29,数出表_Excel!$A:$A,0)-1&amp;"")),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114" s="58" t="str" cm="1">
        <f t="array" aca="1" ref="DD114" ca="1">IFERROR(IF(OR(
COUNTIF(INDIRECT("数出表_Excel!" &amp;
CHAR(MATCH(TRUE,
ISNUMBER(--INDIRECT("数出表_Excel!"&amp;DC113&amp;MATCH(DH29,数出表_Excel!$A:$A,0)-1&amp;":U"&amp;MATCH(DH29,数出表_Excel!$A:$A,0)-1&amp;"")),0)
+MATCH(TRUE, ISNUMBER(--INDIRECT("数出表_Excel!B" &amp; (MATCH(DH29,数出表_Excel!$A:$A,0)-1) &amp; ":U" &amp; (MATCH(DH29,数出表_Excel!$A:$A,0)-1))), 0)
+MATCH(TRUE, ISNUMBER(--INDIRECT("数出表_Excel!"&amp;DC71&amp; (MATCH(DH29,数出表_Excel!$A:$A,0)-1) &amp; ":U" &amp; (MATCH(DH29,数出表_Excel!$A:$A,0)-1))), 0)
+65) &amp; "3"),"*配膳*"),
COUNTIF(INDIRECT("数出表_Excel!" &amp;
CHAR(MATCH(TRUE,
ISNUMBER(--INDIRECT("数出表_Excel!"&amp;DC113&amp;MATCH(DH29,数出表_Excel!$A:$A,0)-1&amp;":U"&amp;MATCH(DH29,数出表_Excel!$A:$A,0)-1&amp;"")),0)
+MATCH(TRUE, ISNUMBER(--INDIRECT("数出表_Excel!B" &amp; (MATCH(DH29,数出表_Excel!$A:$A,0)-1) &amp; ":U" &amp; (MATCH(DH29,数出表_Excel!$A:$A,0)-1))), 0)
+MATCH(TRUE, ISNUMBER(--INDIRECT("数出表_Excel!"&amp;DC71&amp; (MATCH(DH29,数出表_Excel!$A:$A,0)-1) &amp; ":U" &amp; (MATCH(DH29,数出表_Excel!$A:$A,0)-1))), 0)
+65) &amp; "3"),"*カレー*"),
COUNTIF(DD71,"*合計*")),"",
IF(IFERROR(INDIRECT("数出表_Excel!" &amp;
CHAR(MATCH(TRUE,
ISNUMBER(--INDIRECT("数出表_Excel!"&amp;DC113&amp;MATCH(DH29,数出表_Excel!$A:$A,0)-1&amp;":U"&amp;MATCH(DH29,数出表_Excel!$A:$A,0)-1&amp;"")),0)
+MATCH(TRUE, ISNUMBER(--INDIRECT("数出表_Excel!B" &amp; (MATCH(DH29,数出表_Excel!$A:$A,0)-1) &amp; ":U" &amp; (MATCH(DH29,数出表_Excel!$A:$A,0)-1))), 0)
+MATCH(TRUE, ISNUMBER(--INDIRECT("数出表_Excel!"&amp;DC71&amp; (MATCH(DH29,数出表_Excel!$A:$A,0)-1) &amp; ":U" &amp; (MATCH(DH29,数出表_Excel!$A:$A,0)-1))), 0)
+65) &amp; "3"),0)=0,"",
IFERROR(INDIRECT("数出表_Excel!" &amp;
CHAR(MATCH(TRUE,
ISNUMBER(--INDIRECT("数出表_Excel!"&amp;DC113&amp;MATCH(DH29,数出表_Excel!$A:$A,0)-1&amp;":U"&amp;MATCH(DH29,数出表_Excel!$A:$A,0)-1&amp;"")),0)
+MATCH(TRUE, ISNUMBER(--INDIRECT("数出表_Excel!B" &amp; (MATCH(DH29,数出表_Excel!$A:$A,0)-1) &amp; ":U" &amp; (MATCH(DH29,数出表_Excel!$A:$A,0)-1))), 0)
+MATCH(TRUE, ISNUMBER(--INDIRECT("数出表_Excel!"&amp;DC71&amp; (MATCH(DH29,数出表_Excel!$A:$A,0)-1) &amp; ":U" &amp; (MATCH(DH29,数出表_Excel!$A:$A,0)-1))), 0)
+65) &amp; "3"),""))),"")</f>
        <v/>
      </c>
      <c r="DE114" s="76"/>
      <c r="DF114" s="82" t="str" cm="1">
        <f t="array" aca="1" ref="DF114" ca="1">IF(DG114&lt;&gt;"","",
IF(COUNTIF(DD113,"*雙葉*"),"",
IF(DD113&lt;&gt;"",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+MATCH(TRUE,INDIRECT("'数出表_Excel'!"&amp;DC113&amp;MATCH(DH29,数出表_Excel!$A:$A,0)-1&amp;":AL"&amp;MATCH(DH29,数出表_Excel!$A:$A,0)-1&amp;"")&lt;&gt;"",0))&gt;9,"",
IFERROR(
INDEX(INDIRECT("数出表_Excel!$"&amp;DC113&amp;"4:$AL4"),
 1,
MATCH(TRUE,INDIRECT("'数出表_Excel'!"&amp;DC113&amp;MATCH(DH29,数出表_Excel!$A:$A,0)-1&amp;":AL"&amp;MATCH(DH29,数出表_Excel!$A:$A,0)-1&amp;"")&lt;&gt;"",0)
),
 "")
&amp;IFERROR(
INDEX(INDIRECT("数出表_Excel!$"&amp;DC113&amp;"5:$AL5"),
 1,
MATCH(TRUE,INDIRECT("'数出表_Excel'!"&amp;DC113&amp;MATCH(DH29,数出表_Excel!$A:$A,0)-1&amp;":AL"&amp;MATCH(DH29,数出表_Excel!$A:$A,0)-1&amp;"")&lt;&gt;"",0)),
 "")),"")))</f>
        <v/>
      </c>
      <c r="DG114" s="83" t="str" cm="1">
        <f t="array" aca="1" ref="DG114" ca="1">IF(DD114&lt;&gt;"",
IF(COUNTIF(DD113,"*雙葉*"),
IF(ROUND(
IF(DG119&lt;&gt;"",(DD116-DG119),DD116)
/IF(COUNTIF(DD114,"*キャラ*"),
VLOOKUP("*キャラ*",商品マスタ一覧!$D:$J,7,FALSE),
IF(COUNTIF(DD114,"*赤*"),
VLOOKUP("*赤*",商品マスタ一覧!$D:$J,7,FALSE),
VLOOKUP(DD114,商品マスタ一覧!$D:$J,7,FALSE))),0)&lt;=0,1,
ROUND(
IF(DG119&lt;&gt;"",(DD116-DG119),DD116)
/IF(COUNTIF(DD114,"*キャラ*"),
VLOOKUP("*キャラ*",商品マスタ一覧!$D:$J,7,FALSE),
IF(COUNTIF(DD114,"*赤*"),
VLOOKUP("*赤*",商品マスタ一覧!$D:$J,7,FALSE),
VLOOKUP(DD114,商品マスタ一覧!$D:$J,7,FALSE))),0)),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IF(DD114&lt;&gt;"",
IF(IF(COUNTIF(DD114,"*キャラ*"),
VLOOKUP("*キャラ*",商品マスタ一覧!$D:$J,7,FALSE),
IF(COUNTIF(DD114,"*赤*"),
VLOOKUP("*赤*",商品マスタ一覧!$D:$J,7,FALSE),
VLOOKUP(DD114,商品マスタ一覧!$D:$J,7,FALSE)))=0,"",
IF(ROUND(
IF(DG119&lt;&gt;"",(DD116-DG119),DD116)
/IF(COUNTIF(DD114,"*キャラ*"),
VLOOKUP("*キャラ*",商品マスタ一覧!$D:$J,7,FALSE),
IF(COUNTIF(DD114,"*赤*"),
VLOOKUP("*赤*",商品マスタ一覧!$D:$J,7,FALSE),
VLOOKUP(DD114,商品マスタ一覧!$D:$J,7,FALSE))),0)&lt;=0,1,
ROUND(
IF(DG119&lt;&gt;"",(DD116-DG119),DD116)
/IF(COUNTIF(DD114,"*キャラ*"),
VLOOKUP("*キャラ*",商品マスタ一覧!$D:$J,7,FALSE),
IF(COUNTIF(DD114,"*赤*"),
VLOOKUP("*赤*",商品マスタ一覧!$D:$J,7,FALSE),
VLOOKUP(DD114,商品マスタ一覧!$D:$J,7,FALSE))),0))),""),"")),"")</f>
        <v/>
      </c>
      <c r="DH114" s="92" t="str">
        <f ca="1">IF(DG114&lt;&gt;"",IF(DD116&lt;&gt;"",IF(VALUE(IF(DG119&lt;&gt;"",DD116-DG119,DD116))&gt;VALUE(IF(COUNTIF('盛付札（関数）'!DD114,"*キャラ*"),
VLOOKUP("*キャラ*",商品マスタ一覧!$D:$J,7,FALSE),
IF(COUNTIF('盛付札（関数）'!DD114,"*赤*"),
VLOOKUP("*赤*",商品マスタ一覧!$D:$J,7,FALSE),
VLOOKUP('盛付札（関数）'!DD114,商品マスタ一覧!$D:$J,7,FALSE)))*DG114),
"+"&amp;IF(DG119&lt;&gt;"",DD116-DG119,DD116)-IF(COUNTIF('盛付札（関数）'!DD114,"*キャラ*"),
VLOOKUP("*キャラ*",商品マスタ一覧!$D:$J,7,FALSE),
IF(COUNTIF('盛付札（関数）'!DD114,"*赤*"),
VLOOKUP("*赤*",商品マスタ一覧!$D:$J,7,FALSE),
VLOOKUP('盛付札（関数）'!DD114,商品マスタ一覧!$D:$J,7,FALSE)))*DG114,
IF(DG119&lt;&gt;"",DD116-DG119,DD116)-IF(COUNTIF('盛付札（関数）'!DD114,"*キャラ*"),
VLOOKUP("*キャラ*",商品マスタ一覧!$D:$J,7,FALSE),
IF(COUNTIF('盛付札（関数）'!DD114,"*赤*"),
VLOOKUP("*赤*",商品マスタ一覧!$D:$J,7,FALSE),
VLOOKUP('盛付札（関数）'!DD114,商品マスタ一覧!$D:$J,7,FALSE)))*DG114),""),"")</f>
        <v/>
      </c>
      <c r="DI114" s="76"/>
      <c r="DJ114" s="81" t="e" cm="1">
        <f t="array" aca="1" ref="DJ114" ca="1">IF(DJ31&lt;&gt;100,
IF(DK116&lt;&gt;"",MATCH(DK116,INDIRECT("数出表_Excel!B"&amp;MATCH(DO29,数出表_Excel!$A:$A,0)-1&amp;":U"&amp;MATCH(DO29,数出表_Excel!$A:$A,0)-1&amp;""),0)+1,""),
IF(DK116&lt;&gt;"",
MATCH(
IFERROR(
INDEX(INDIRECT("数出表_Excel!"&amp;DJ113&amp;MATCH(DO29,数出表_Excel!$A:$A,0)-1&amp;":U"&amp;MATCH(DO29,数出表_Excel!$A:$A,0)-1&amp;""),
 1,
 MATCH(TRUE, ISNUMBER(--INDIRECT("数出表_Excel!"&amp;DJ113&amp;MATCH(DO29,数出表_Excel!$A:$A,0)-1&amp;":U"&amp;MATCH(DO29,数出表_Excel!$A:$A,0)-1&amp;"")),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114" s="58" t="str" cm="1">
        <f t="array" aca="1" ref="DK114" ca="1">IFERROR(IF(OR(
COUNTIF(INDIRECT("数出表_Excel!" &amp;
CHAR(MATCH(TRUE,
ISNUMBER(--INDIRECT("数出表_Excel!"&amp;DJ113&amp;MATCH(DO29,数出表_Excel!$A:$A,0)-1&amp;":U"&amp;MATCH(DO29,数出表_Excel!$A:$A,0)-1&amp;"")),0)
+MATCH(TRUE, ISNUMBER(--INDIRECT("数出表_Excel!B" &amp; (MATCH(DO29,数出表_Excel!$A:$A,0)-1) &amp; ":U" &amp; (MATCH(DO29,数出表_Excel!$A:$A,0)-1))), 0)
+MATCH(TRUE, ISNUMBER(--INDIRECT("数出表_Excel!"&amp;DJ71&amp; (MATCH(DO29,数出表_Excel!$A:$A,0)-1) &amp; ":U" &amp; (MATCH(DO29,数出表_Excel!$A:$A,0)-1))), 0)
+65) &amp; "3"),"*配膳*"),
COUNTIF(INDIRECT("数出表_Excel!" &amp;
CHAR(MATCH(TRUE,
ISNUMBER(--INDIRECT("数出表_Excel!"&amp;DJ113&amp;MATCH(DO29,数出表_Excel!$A:$A,0)-1&amp;":U"&amp;MATCH(DO29,数出表_Excel!$A:$A,0)-1&amp;"")),0)
+MATCH(TRUE, ISNUMBER(--INDIRECT("数出表_Excel!B" &amp; (MATCH(DO29,数出表_Excel!$A:$A,0)-1) &amp; ":U" &amp; (MATCH(DO29,数出表_Excel!$A:$A,0)-1))), 0)
+MATCH(TRUE, ISNUMBER(--INDIRECT("数出表_Excel!"&amp;DJ71&amp; (MATCH(DO29,数出表_Excel!$A:$A,0)-1) &amp; ":U" &amp; (MATCH(DO29,数出表_Excel!$A:$A,0)-1))), 0)
+65) &amp; "3"),"*カレー*"),
COUNTIF(DK71,"*合計*")),"",
IF(IFERROR(INDIRECT("数出表_Excel!" &amp;
CHAR(MATCH(TRUE,
ISNUMBER(--INDIRECT("数出表_Excel!"&amp;DJ113&amp;MATCH(DO29,数出表_Excel!$A:$A,0)-1&amp;":U"&amp;MATCH(DO29,数出表_Excel!$A:$A,0)-1&amp;"")),0)
+MATCH(TRUE, ISNUMBER(--INDIRECT("数出表_Excel!B" &amp; (MATCH(DO29,数出表_Excel!$A:$A,0)-1) &amp; ":U" &amp; (MATCH(DO29,数出表_Excel!$A:$A,0)-1))), 0)
+MATCH(TRUE, ISNUMBER(--INDIRECT("数出表_Excel!"&amp;DJ71&amp; (MATCH(DO29,数出表_Excel!$A:$A,0)-1) &amp; ":U" &amp; (MATCH(DO29,数出表_Excel!$A:$A,0)-1))), 0)
+65) &amp; "3"),0)=0,"",
IFERROR(INDIRECT("数出表_Excel!" &amp;
CHAR(MATCH(TRUE,
ISNUMBER(--INDIRECT("数出表_Excel!"&amp;DJ113&amp;MATCH(DO29,数出表_Excel!$A:$A,0)-1&amp;":U"&amp;MATCH(DO29,数出表_Excel!$A:$A,0)-1&amp;"")),0)
+MATCH(TRUE, ISNUMBER(--INDIRECT("数出表_Excel!B" &amp; (MATCH(DO29,数出表_Excel!$A:$A,0)-1) &amp; ":U" &amp; (MATCH(DO29,数出表_Excel!$A:$A,0)-1))), 0)
+MATCH(TRUE, ISNUMBER(--INDIRECT("数出表_Excel!"&amp;DJ71&amp; (MATCH(DO29,数出表_Excel!$A:$A,0)-1) &amp; ":U" &amp; (MATCH(DO29,数出表_Excel!$A:$A,0)-1))), 0)
+65) &amp; "3"),""))),"")</f>
        <v/>
      </c>
      <c r="DL114" s="76"/>
      <c r="DM114" s="82" t="str" cm="1">
        <f t="array" aca="1" ref="DM114" ca="1">IF(DN114&lt;&gt;"","",
IF(COUNTIF(DK113,"*雙葉*"),"",
IF(DK113&lt;&gt;"",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+MATCH(TRUE,INDIRECT("'数出表_Excel'!"&amp;DJ113&amp;MATCH(DO29,数出表_Excel!$A:$A,0)-1&amp;":AL"&amp;MATCH(DO29,数出表_Excel!$A:$A,0)-1&amp;"")&lt;&gt;"",0))&gt;9,"",
IFERROR(
INDEX(INDIRECT("数出表_Excel!$"&amp;DJ113&amp;"4:$AL4"),
 1,
MATCH(TRUE,INDIRECT("'数出表_Excel'!"&amp;DJ113&amp;MATCH(DO29,数出表_Excel!$A:$A,0)-1&amp;":AL"&amp;MATCH(DO29,数出表_Excel!$A:$A,0)-1&amp;"")&lt;&gt;"",0)
),
 "")
&amp;IFERROR(
INDEX(INDIRECT("数出表_Excel!$"&amp;DJ113&amp;"5:$AL5"),
 1,
MATCH(TRUE,INDIRECT("'数出表_Excel'!"&amp;DJ113&amp;MATCH(DO29,数出表_Excel!$A:$A,0)-1&amp;":AL"&amp;MATCH(DO29,数出表_Excel!$A:$A,0)-1&amp;"")&lt;&gt;"",0)),
 "")),"")))</f>
        <v/>
      </c>
      <c r="DN114" s="83" t="str" cm="1">
        <f t="array" aca="1" ref="DN114" ca="1">IF(DK114&lt;&gt;"",
IF(COUNTIF(DK113,"*雙葉*"),
IF(ROUND(
IF(DN119&lt;&gt;"",(DK116-DN119),DK116)
/IF(COUNTIF(DK114,"*キャラ*"),
VLOOKUP("*キャラ*",商品マスタ一覧!$D:$J,7,FALSE),
IF(COUNTIF(DK114,"*赤*"),
VLOOKUP("*赤*",商品マスタ一覧!$D:$J,7,FALSE),
VLOOKUP(DK114,商品マスタ一覧!$D:$J,7,FALSE))),0)&lt;=0,1,
ROUND(
IF(DN119&lt;&gt;"",(DK116-DN119),DK116)
/IF(COUNTIF(DK114,"*キャラ*"),
VLOOKUP("*キャラ*",商品マスタ一覧!$D:$J,7,FALSE),
IF(COUNTIF(DK114,"*赤*"),
VLOOKUP("*赤*",商品マスタ一覧!$D:$J,7,FALSE),
VLOOKUP(DK114,商品マスタ一覧!$D:$J,7,FALSE))),0)),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IF(DK114&lt;&gt;"",
IF(IF(COUNTIF(DK114,"*キャラ*"),
VLOOKUP("*キャラ*",商品マスタ一覧!$D:$J,7,FALSE),
IF(COUNTIF(DK114,"*赤*"),
VLOOKUP("*赤*",商品マスタ一覧!$D:$J,7,FALSE),
VLOOKUP(DK114,商品マスタ一覧!$D:$J,7,FALSE)))=0,"",
IF(ROUND(
IF(DN119&lt;&gt;"",(DK116-DN119),DK116)
/IF(COUNTIF(DK114,"*キャラ*"),
VLOOKUP("*キャラ*",商品マスタ一覧!$D:$J,7,FALSE),
IF(COUNTIF(DK114,"*赤*"),
VLOOKUP("*赤*",商品マスタ一覧!$D:$J,7,FALSE),
VLOOKUP(DK114,商品マスタ一覧!$D:$J,7,FALSE))),0)&lt;=0,1,
ROUND(
IF(DN119&lt;&gt;"",(DK116-DN119),DK116)
/IF(COUNTIF(DK114,"*キャラ*"),
VLOOKUP("*キャラ*",商品マスタ一覧!$D:$J,7,FALSE),
IF(COUNTIF(DK114,"*赤*"),
VLOOKUP("*赤*",商品マスタ一覧!$D:$J,7,FALSE),
VLOOKUP(DK114,商品マスタ一覧!$D:$J,7,FALSE))),0))),""),"")),"")</f>
        <v/>
      </c>
      <c r="DO114" s="92" t="str">
        <f ca="1">IF(DN114&lt;&gt;"",IF(DK116&lt;&gt;"",IF(VALUE(IF(DN119&lt;&gt;"",DK116-DN119,DK116))&gt;VALUE(IF(COUNTIF('盛付札（関数）'!DK114,"*キャラ*"),
VLOOKUP("*キャラ*",商品マスタ一覧!$D:$J,7,FALSE),
IF(COUNTIF('盛付札（関数）'!DK114,"*赤*"),
VLOOKUP("*赤*",商品マスタ一覧!$D:$J,7,FALSE),
VLOOKUP('盛付札（関数）'!DK114,商品マスタ一覧!$D:$J,7,FALSE)))*DN114),
"+"&amp;IF(DN119&lt;&gt;"",DK116-DN119,DK116)-IF(COUNTIF('盛付札（関数）'!DK114,"*キャラ*"),
VLOOKUP("*キャラ*",商品マスタ一覧!$D:$J,7,FALSE),
IF(COUNTIF('盛付札（関数）'!DK114,"*赤*"),
VLOOKUP("*赤*",商品マスタ一覧!$D:$J,7,FALSE),
VLOOKUP('盛付札（関数）'!DK114,商品マスタ一覧!$D:$J,7,FALSE)))*DN114,
IF(DN119&lt;&gt;"",DK116-DN119,DK116)-IF(COUNTIF('盛付札（関数）'!DK114,"*キャラ*"),
VLOOKUP("*キャラ*",商品マスタ一覧!$D:$J,7,FALSE),
IF(COUNTIF('盛付札（関数）'!DK114,"*赤*"),
VLOOKUP("*赤*",商品マスタ一覧!$D:$J,7,FALSE),
VLOOKUP('盛付札（関数）'!DK114,商品マスタ一覧!$D:$J,7,FALSE)))*DN114),""),"")</f>
        <v/>
      </c>
      <c r="DR114" s="81" t="e" cm="1">
        <f t="array" aca="1" ref="DR114" ca="1">IF(DR31&lt;&gt;100,
IF(DS116&lt;&gt;"",MATCH(DS116,INDIRECT("数出表_Excel!B"&amp;MATCH(DW29,数出表_Excel!$A:$A,0)-1&amp;":U"&amp;MATCH(DW29,数出表_Excel!$A:$A,0)-1&amp;""),0)+1,""),
IF(DS116&lt;&gt;"",
MATCH(
IFERROR(
INDEX(INDIRECT("数出表_Excel!"&amp;DR113&amp;MATCH(DW29,数出表_Excel!$A:$A,0)-1&amp;":U"&amp;MATCH(DW29,数出表_Excel!$A:$A,0)-1&amp;""),
 1,
 MATCH(TRUE, ISNUMBER(--INDIRECT("数出表_Excel!"&amp;DR113&amp;MATCH(DW29,数出表_Excel!$A:$A,0)-1&amp;":U"&amp;MATCH(DW29,数出表_Excel!$A:$A,0)-1&amp;"")),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114" s="58" t="str" cm="1">
        <f t="array" aca="1" ref="DS114" ca="1">IFERROR(IF(OR(
COUNTIF(INDIRECT("数出表_Excel!" &amp;
CHAR(MATCH(TRUE,
ISNUMBER(--INDIRECT("数出表_Excel!"&amp;DR113&amp;MATCH(DW29,数出表_Excel!$A:$A,0)-1&amp;":U"&amp;MATCH(DW29,数出表_Excel!$A:$A,0)-1&amp;"")),0)
+MATCH(TRUE, ISNUMBER(--INDIRECT("数出表_Excel!B" &amp; (MATCH(DW29,数出表_Excel!$A:$A,0)-1) &amp; ":U" &amp; (MATCH(DW29,数出表_Excel!$A:$A,0)-1))), 0)
+MATCH(TRUE, ISNUMBER(--INDIRECT("数出表_Excel!"&amp;DR71&amp; (MATCH(DW29,数出表_Excel!$A:$A,0)-1) &amp; ":U" &amp; (MATCH(DW29,数出表_Excel!$A:$A,0)-1))), 0)
+65) &amp; "3"),"*配膳*"),
COUNTIF(INDIRECT("数出表_Excel!" &amp;
CHAR(MATCH(TRUE,
ISNUMBER(--INDIRECT("数出表_Excel!"&amp;DR113&amp;MATCH(DW29,数出表_Excel!$A:$A,0)-1&amp;":U"&amp;MATCH(DW29,数出表_Excel!$A:$A,0)-1&amp;"")),0)
+MATCH(TRUE, ISNUMBER(--INDIRECT("数出表_Excel!B" &amp; (MATCH(DW29,数出表_Excel!$A:$A,0)-1) &amp; ":U" &amp; (MATCH(DW29,数出表_Excel!$A:$A,0)-1))), 0)
+MATCH(TRUE, ISNUMBER(--INDIRECT("数出表_Excel!"&amp;DR71&amp; (MATCH(DW29,数出表_Excel!$A:$A,0)-1) &amp; ":U" &amp; (MATCH(DW29,数出表_Excel!$A:$A,0)-1))), 0)
+65) &amp; "3"),"*カレー*"),
COUNTIF(DS71,"*合計*")),"",
IF(IFERROR(INDIRECT("数出表_Excel!" &amp;
CHAR(MATCH(TRUE,
ISNUMBER(--INDIRECT("数出表_Excel!"&amp;DR113&amp;MATCH(DW29,数出表_Excel!$A:$A,0)-1&amp;":U"&amp;MATCH(DW29,数出表_Excel!$A:$A,0)-1&amp;"")),0)
+MATCH(TRUE, ISNUMBER(--INDIRECT("数出表_Excel!B" &amp; (MATCH(DW29,数出表_Excel!$A:$A,0)-1) &amp; ":U" &amp; (MATCH(DW29,数出表_Excel!$A:$A,0)-1))), 0)
+MATCH(TRUE, ISNUMBER(--INDIRECT("数出表_Excel!"&amp;DR71&amp; (MATCH(DW29,数出表_Excel!$A:$A,0)-1) &amp; ":U" &amp; (MATCH(DW29,数出表_Excel!$A:$A,0)-1))), 0)
+65) &amp; "3"),0)=0,"",
IFERROR(INDIRECT("数出表_Excel!" &amp;
CHAR(MATCH(TRUE,
ISNUMBER(--INDIRECT("数出表_Excel!"&amp;DR113&amp;MATCH(DW29,数出表_Excel!$A:$A,0)-1&amp;":U"&amp;MATCH(DW29,数出表_Excel!$A:$A,0)-1&amp;"")),0)
+MATCH(TRUE, ISNUMBER(--INDIRECT("数出表_Excel!B" &amp; (MATCH(DW29,数出表_Excel!$A:$A,0)-1) &amp; ":U" &amp; (MATCH(DW29,数出表_Excel!$A:$A,0)-1))), 0)
+MATCH(TRUE, ISNUMBER(--INDIRECT("数出表_Excel!"&amp;DR71&amp; (MATCH(DW29,数出表_Excel!$A:$A,0)-1) &amp; ":U" &amp; (MATCH(DW29,数出表_Excel!$A:$A,0)-1))), 0)
+65) &amp; "3"),""))),"")</f>
        <v/>
      </c>
      <c r="DT114" s="76"/>
      <c r="DU114" s="82" t="str" cm="1">
        <f t="array" aca="1" ref="DU114" ca="1">IF(DV114&lt;&gt;"","",
IF(COUNTIF(DS113,"*雙葉*"),"",
IF(DS113&lt;&gt;"",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+MATCH(TRUE,INDIRECT("'数出表_Excel'!"&amp;DR113&amp;MATCH(DW29,数出表_Excel!$A:$A,0)-1&amp;":AL"&amp;MATCH(DW29,数出表_Excel!$A:$A,0)-1&amp;"")&lt;&gt;"",0))&gt;9,"",
IFERROR(
INDEX(INDIRECT("数出表_Excel!$"&amp;DR113&amp;"4:$AL4"),
 1,
MATCH(TRUE,INDIRECT("'数出表_Excel'!"&amp;DR113&amp;MATCH(DW29,数出表_Excel!$A:$A,0)-1&amp;":AL"&amp;MATCH(DW29,数出表_Excel!$A:$A,0)-1&amp;"")&lt;&gt;"",0)
),
 "")
&amp;IFERROR(
INDEX(INDIRECT("数出表_Excel!$"&amp;DR113&amp;"5:$AL5"),
 1,
MATCH(TRUE,INDIRECT("'数出表_Excel'!"&amp;DR113&amp;MATCH(DW29,数出表_Excel!$A:$A,0)-1&amp;":AL"&amp;MATCH(DW29,数出表_Excel!$A:$A,0)-1&amp;"")&lt;&gt;"",0)),
 "")),"")))</f>
        <v/>
      </c>
      <c r="DV114" s="83" t="str" cm="1">
        <f t="array" aca="1" ref="DV114" ca="1">IF(DS114&lt;&gt;"",
IF(COUNTIF(DS113,"*雙葉*"),
IF(ROUND(
IF(DV119&lt;&gt;"",(DS116-DV119),DS116)
/IF(COUNTIF(DS114,"*キャラ*"),
VLOOKUP("*キャラ*",商品マスタ一覧!$D:$J,7,FALSE),
IF(COUNTIF(DS114,"*赤*"),
VLOOKUP("*赤*",商品マスタ一覧!$D:$J,7,FALSE),
VLOOKUP(DS114,商品マスタ一覧!$D:$J,7,FALSE))),0)&lt;=0,1,
ROUND(
IF(DV119&lt;&gt;"",(DS116-DV119),DS116)
/IF(COUNTIF(DS114,"*キャラ*"),
VLOOKUP("*キャラ*",商品マスタ一覧!$D:$J,7,FALSE),
IF(COUNTIF(DS114,"*赤*"),
VLOOKUP("*赤*",商品マスタ一覧!$D:$J,7,FALSE),
VLOOKUP(DS114,商品マスタ一覧!$D:$J,7,FALSE))),0)),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IF(DS114&lt;&gt;"",
IF(IF(COUNTIF(DS114,"*キャラ*"),
VLOOKUP("*キャラ*",商品マスタ一覧!$D:$J,7,FALSE),
IF(COUNTIF(DS114,"*赤*"),
VLOOKUP("*赤*",商品マスタ一覧!$D:$J,7,FALSE),
VLOOKUP(DS114,商品マスタ一覧!$D:$J,7,FALSE)))=0,"",
IF(ROUND(
IF(DV119&lt;&gt;"",(DS116-DV119),DS116)
/IF(COUNTIF(DS114,"*キャラ*"),
VLOOKUP("*キャラ*",商品マスタ一覧!$D:$J,7,FALSE),
IF(COUNTIF(DS114,"*赤*"),
VLOOKUP("*赤*",商品マスタ一覧!$D:$J,7,FALSE),
VLOOKUP(DS114,商品マスタ一覧!$D:$J,7,FALSE))),0)&lt;=0,1,
ROUND(
IF(DV119&lt;&gt;"",(DS116-DV119),DS116)
/IF(COUNTIF(DS114,"*キャラ*"),
VLOOKUP("*キャラ*",商品マスタ一覧!$D:$J,7,FALSE),
IF(COUNTIF(DS114,"*赤*"),
VLOOKUP("*赤*",商品マスタ一覧!$D:$J,7,FALSE),
VLOOKUP(DS114,商品マスタ一覧!$D:$J,7,FALSE))),0))),""),"")),"")</f>
        <v/>
      </c>
      <c r="DW114" s="92" t="str">
        <f ca="1">IF(DV114&lt;&gt;"",IF(DS116&lt;&gt;"",IF(VALUE(IF(DV119&lt;&gt;"",DS116-DV119,DS116))&gt;VALUE(IF(COUNTIF('盛付札（関数）'!DS114,"*キャラ*"),
VLOOKUP("*キャラ*",商品マスタ一覧!$D:$J,7,FALSE),
IF(COUNTIF('盛付札（関数）'!DS114,"*赤*"),
VLOOKUP("*赤*",商品マスタ一覧!$D:$J,7,FALSE),
VLOOKUP('盛付札（関数）'!DS114,商品マスタ一覧!$D:$J,7,FALSE)))*DV114),
"+"&amp;IF(DV119&lt;&gt;"",DS116-DV119,DS116)-IF(COUNTIF('盛付札（関数）'!DS114,"*キャラ*"),
VLOOKUP("*キャラ*",商品マスタ一覧!$D:$J,7,FALSE),
IF(COUNTIF('盛付札（関数）'!DS114,"*赤*"),
VLOOKUP("*赤*",商品マスタ一覧!$D:$J,7,FALSE),
VLOOKUP('盛付札（関数）'!DS114,商品マスタ一覧!$D:$J,7,FALSE)))*DV114,
IF(DV119&lt;&gt;"",DS116-DV119,DS116)-IF(COUNTIF('盛付札（関数）'!DS114,"*キャラ*"),
VLOOKUP("*キャラ*",商品マスタ一覧!$D:$J,7,FALSE),
IF(COUNTIF('盛付札（関数）'!DS114,"*赤*"),
VLOOKUP("*赤*",商品マスタ一覧!$D:$J,7,FALSE),
VLOOKUP('盛付札（関数）'!DS114,商品マスタ一覧!$D:$J,7,FALSE)))*DV114),""),"")</f>
        <v/>
      </c>
      <c r="DX114" s="76"/>
      <c r="DY114" s="81" t="e" cm="1">
        <f t="array" aca="1" ref="DY114" ca="1">IF(DY31&lt;&gt;100,
IF(DZ116&lt;&gt;"",MATCH(DZ116,INDIRECT("数出表_Excel!B"&amp;MATCH(ED29,数出表_Excel!$A:$A,0)-1&amp;":U"&amp;MATCH(ED29,数出表_Excel!$A:$A,0)-1&amp;""),0)+1,""),
IF(DZ116&lt;&gt;"",
MATCH(
IFERROR(
INDEX(INDIRECT("数出表_Excel!"&amp;DY113&amp;MATCH(ED29,数出表_Excel!$A:$A,0)-1&amp;":U"&amp;MATCH(ED29,数出表_Excel!$A:$A,0)-1&amp;""),
 1,
 MATCH(TRUE, ISNUMBER(--INDIRECT("数出表_Excel!"&amp;DY113&amp;MATCH(ED29,数出表_Excel!$A:$A,0)-1&amp;":U"&amp;MATCH(ED29,数出表_Excel!$A:$A,0)-1&amp;"")),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114" s="58" t="str" cm="1">
        <f t="array" aca="1" ref="DZ114" ca="1">IFERROR(IF(OR(
COUNTIF(INDIRECT("数出表_Excel!" &amp;
CHAR(MATCH(TRUE,
ISNUMBER(--INDIRECT("数出表_Excel!"&amp;DY113&amp;MATCH(ED29,数出表_Excel!$A:$A,0)-1&amp;":U"&amp;MATCH(ED29,数出表_Excel!$A:$A,0)-1&amp;"")),0)
+MATCH(TRUE, ISNUMBER(--INDIRECT("数出表_Excel!B" &amp; (MATCH(ED29,数出表_Excel!$A:$A,0)-1) &amp; ":U" &amp; (MATCH(ED29,数出表_Excel!$A:$A,0)-1))), 0)
+MATCH(TRUE, ISNUMBER(--INDIRECT("数出表_Excel!"&amp;DY71&amp; (MATCH(ED29,数出表_Excel!$A:$A,0)-1) &amp; ":U" &amp; (MATCH(ED29,数出表_Excel!$A:$A,0)-1))), 0)
+65) &amp; "3"),"*配膳*"),
COUNTIF(INDIRECT("数出表_Excel!" &amp;
CHAR(MATCH(TRUE,
ISNUMBER(--INDIRECT("数出表_Excel!"&amp;DY113&amp;MATCH(ED29,数出表_Excel!$A:$A,0)-1&amp;":U"&amp;MATCH(ED29,数出表_Excel!$A:$A,0)-1&amp;"")),0)
+MATCH(TRUE, ISNUMBER(--INDIRECT("数出表_Excel!B" &amp; (MATCH(ED29,数出表_Excel!$A:$A,0)-1) &amp; ":U" &amp; (MATCH(ED29,数出表_Excel!$A:$A,0)-1))), 0)
+MATCH(TRUE, ISNUMBER(--INDIRECT("数出表_Excel!"&amp;DY71&amp; (MATCH(ED29,数出表_Excel!$A:$A,0)-1) &amp; ":U" &amp; (MATCH(ED29,数出表_Excel!$A:$A,0)-1))), 0)
+65) &amp; "3"),"*カレー*"),
COUNTIF(DZ71,"*合計*")),"",
IF(IFERROR(INDIRECT("数出表_Excel!" &amp;
CHAR(MATCH(TRUE,
ISNUMBER(--INDIRECT("数出表_Excel!"&amp;DY113&amp;MATCH(ED29,数出表_Excel!$A:$A,0)-1&amp;":U"&amp;MATCH(ED29,数出表_Excel!$A:$A,0)-1&amp;"")),0)
+MATCH(TRUE, ISNUMBER(--INDIRECT("数出表_Excel!B" &amp; (MATCH(ED29,数出表_Excel!$A:$A,0)-1) &amp; ":U" &amp; (MATCH(ED29,数出表_Excel!$A:$A,0)-1))), 0)
+MATCH(TRUE, ISNUMBER(--INDIRECT("数出表_Excel!"&amp;DY71&amp; (MATCH(ED29,数出表_Excel!$A:$A,0)-1) &amp; ":U" &amp; (MATCH(ED29,数出表_Excel!$A:$A,0)-1))), 0)
+65) &amp; "3"),0)=0,"",
IFERROR(INDIRECT("数出表_Excel!" &amp;
CHAR(MATCH(TRUE,
ISNUMBER(--INDIRECT("数出表_Excel!"&amp;DY113&amp;MATCH(ED29,数出表_Excel!$A:$A,0)-1&amp;":U"&amp;MATCH(ED29,数出表_Excel!$A:$A,0)-1&amp;"")),0)
+MATCH(TRUE, ISNUMBER(--INDIRECT("数出表_Excel!B" &amp; (MATCH(ED29,数出表_Excel!$A:$A,0)-1) &amp; ":U" &amp; (MATCH(ED29,数出表_Excel!$A:$A,0)-1))), 0)
+MATCH(TRUE, ISNUMBER(--INDIRECT("数出表_Excel!"&amp;DY71&amp; (MATCH(ED29,数出表_Excel!$A:$A,0)-1) &amp; ":U" &amp; (MATCH(ED29,数出表_Excel!$A:$A,0)-1))), 0)
+65) &amp; "3"),""))),"")</f>
        <v/>
      </c>
      <c r="EA114" s="76"/>
      <c r="EB114" s="82" t="str" cm="1">
        <f t="array" aca="1" ref="EB114" ca="1">IF(EC114&lt;&gt;"","",
IF(COUNTIF(DZ113,"*雙葉*"),"",
IF(DZ113&lt;&gt;"",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+MATCH(TRUE,INDIRECT("'数出表_Excel'!"&amp;DY113&amp;MATCH(ED29,数出表_Excel!$A:$A,0)-1&amp;":AL"&amp;MATCH(ED29,数出表_Excel!$A:$A,0)-1&amp;"")&lt;&gt;"",0))&gt;9,"",
IFERROR(
INDEX(INDIRECT("数出表_Excel!$"&amp;DY113&amp;"4:$AL4"),
 1,
MATCH(TRUE,INDIRECT("'数出表_Excel'!"&amp;DY113&amp;MATCH(ED29,数出表_Excel!$A:$A,0)-1&amp;":AL"&amp;MATCH(ED29,数出表_Excel!$A:$A,0)-1&amp;"")&lt;&gt;"",0)
),
 "")
&amp;IFERROR(
INDEX(INDIRECT("数出表_Excel!$"&amp;DY113&amp;"5:$AL5"),
 1,
MATCH(TRUE,INDIRECT("'数出表_Excel'!"&amp;DY113&amp;MATCH(ED29,数出表_Excel!$A:$A,0)-1&amp;":AL"&amp;MATCH(ED29,数出表_Excel!$A:$A,0)-1&amp;"")&lt;&gt;"",0)),
 "")),"")))</f>
        <v/>
      </c>
      <c r="EC114" s="83" t="str" cm="1">
        <f t="array" aca="1" ref="EC114" ca="1">IF(DZ114&lt;&gt;"",
IF(COUNTIF(DZ113,"*雙葉*"),
IF(ROUND(
IF(EC119&lt;&gt;"",(DZ116-EC119),DZ116)
/IF(COUNTIF(DZ114,"*キャラ*"),
VLOOKUP("*キャラ*",商品マスタ一覧!$D:$J,7,FALSE),
IF(COUNTIF(DZ114,"*赤*"),
VLOOKUP("*赤*",商品マスタ一覧!$D:$J,7,FALSE),
VLOOKUP(DZ114,商品マスタ一覧!$D:$J,7,FALSE))),0)&lt;=0,1,
ROUND(
IF(EC119&lt;&gt;"",(DZ116-EC119),DZ116)
/IF(COUNTIF(DZ114,"*キャラ*"),
VLOOKUP("*キャラ*",商品マスタ一覧!$D:$J,7,FALSE),
IF(COUNTIF(DZ114,"*赤*"),
VLOOKUP("*赤*",商品マスタ一覧!$D:$J,7,FALSE),
VLOOKUP(DZ114,商品マスタ一覧!$D:$J,7,FALSE))),0)),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IF(DZ114&lt;&gt;"",
IF(IF(COUNTIF(DZ114,"*キャラ*"),
VLOOKUP("*キャラ*",商品マスタ一覧!$D:$J,7,FALSE),
IF(COUNTIF(DZ114,"*赤*"),
VLOOKUP("*赤*",商品マスタ一覧!$D:$J,7,FALSE),
VLOOKUP(DZ114,商品マスタ一覧!$D:$J,7,FALSE)))=0,"",
IF(ROUND(
IF(EC119&lt;&gt;"",(DZ116-EC119),DZ116)
/IF(COUNTIF(DZ114,"*キャラ*"),
VLOOKUP("*キャラ*",商品マスタ一覧!$D:$J,7,FALSE),
IF(COUNTIF(DZ114,"*赤*"),
VLOOKUP("*赤*",商品マスタ一覧!$D:$J,7,FALSE),
VLOOKUP(DZ114,商品マスタ一覧!$D:$J,7,FALSE))),0)&lt;=0,1,
ROUND(
IF(EC119&lt;&gt;"",(DZ116-EC119),DZ116)
/IF(COUNTIF(DZ114,"*キャラ*"),
VLOOKUP("*キャラ*",商品マスタ一覧!$D:$J,7,FALSE),
IF(COUNTIF(DZ114,"*赤*"),
VLOOKUP("*赤*",商品マスタ一覧!$D:$J,7,FALSE),
VLOOKUP(DZ114,商品マスタ一覧!$D:$J,7,FALSE))),0))),""),"")),"")</f>
        <v/>
      </c>
      <c r="ED114" s="92" t="str">
        <f ca="1">IF(EC114&lt;&gt;"",IF(DZ116&lt;&gt;"",IF(VALUE(IF(EC119&lt;&gt;"",DZ116-EC119,DZ116))&gt;VALUE(IF(COUNTIF('盛付札（関数）'!DZ114,"*キャラ*"),
VLOOKUP("*キャラ*",商品マスタ一覧!$D:$J,7,FALSE),
IF(COUNTIF('盛付札（関数）'!DZ114,"*赤*"),
VLOOKUP("*赤*",商品マスタ一覧!$D:$J,7,FALSE),
VLOOKUP('盛付札（関数）'!DZ114,商品マスタ一覧!$D:$J,7,FALSE)))*EC114),
"+"&amp;IF(EC119&lt;&gt;"",DZ116-EC119,DZ116)-IF(COUNTIF('盛付札（関数）'!DZ114,"*キャラ*"),
VLOOKUP("*キャラ*",商品マスタ一覧!$D:$J,7,FALSE),
IF(COUNTIF('盛付札（関数）'!DZ114,"*赤*"),
VLOOKUP("*赤*",商品マスタ一覧!$D:$J,7,FALSE),
VLOOKUP('盛付札（関数）'!DZ114,商品マスタ一覧!$D:$J,7,FALSE)))*EC114,
IF(EC119&lt;&gt;"",DZ116-EC119,DZ116)-IF(COUNTIF('盛付札（関数）'!DZ114,"*キャラ*"),
VLOOKUP("*キャラ*",商品マスタ一覧!$D:$J,7,FALSE),
IF(COUNTIF('盛付札（関数）'!DZ114,"*赤*"),
VLOOKUP("*赤*",商品マスタ一覧!$D:$J,7,FALSE),
VLOOKUP('盛付札（関数）'!DZ114,商品マスタ一覧!$D:$J,7,FALSE)))*EC114),""),"")</f>
        <v/>
      </c>
      <c r="EG114" s="81" t="e" cm="1">
        <f t="array" aca="1" ref="EG114" ca="1">IF(EG31&lt;&gt;100,
IF(EH116&lt;&gt;"",MATCH(EH116,INDIRECT("数出表_Excel!B"&amp;MATCH(EL29,数出表_Excel!$A:$A,0)-1&amp;":U"&amp;MATCH(EL29,数出表_Excel!$A:$A,0)-1&amp;""),0)+1,""),
IF(EH116&lt;&gt;"",
MATCH(
IFERROR(
INDEX(INDIRECT("数出表_Excel!"&amp;EG113&amp;MATCH(EL29,数出表_Excel!$A:$A,0)-1&amp;":U"&amp;MATCH(EL29,数出表_Excel!$A:$A,0)-1&amp;""),
 1,
 MATCH(TRUE, ISNUMBER(--INDIRECT("数出表_Excel!"&amp;EG113&amp;MATCH(EL29,数出表_Excel!$A:$A,0)-1&amp;":U"&amp;MATCH(EL29,数出表_Excel!$A:$A,0)-1&amp;"")),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114" s="58" t="str" cm="1">
        <f t="array" aca="1" ref="EH114" ca="1">IFERROR(IF(OR(
COUNTIF(INDIRECT("数出表_Excel!" &amp;
CHAR(MATCH(TRUE,
ISNUMBER(--INDIRECT("数出表_Excel!"&amp;EG113&amp;MATCH(EL29,数出表_Excel!$A:$A,0)-1&amp;":U"&amp;MATCH(EL29,数出表_Excel!$A:$A,0)-1&amp;"")),0)
+MATCH(TRUE, ISNUMBER(--INDIRECT("数出表_Excel!B" &amp; (MATCH(EL29,数出表_Excel!$A:$A,0)-1) &amp; ":U" &amp; (MATCH(EL29,数出表_Excel!$A:$A,0)-1))), 0)
+MATCH(TRUE, ISNUMBER(--INDIRECT("数出表_Excel!"&amp;EG71&amp; (MATCH(EL29,数出表_Excel!$A:$A,0)-1) &amp; ":U" &amp; (MATCH(EL29,数出表_Excel!$A:$A,0)-1))), 0)
+65) &amp; "3"),"*配膳*"),
COUNTIF(INDIRECT("数出表_Excel!" &amp;
CHAR(MATCH(TRUE,
ISNUMBER(--INDIRECT("数出表_Excel!"&amp;EG113&amp;MATCH(EL29,数出表_Excel!$A:$A,0)-1&amp;":U"&amp;MATCH(EL29,数出表_Excel!$A:$A,0)-1&amp;"")),0)
+MATCH(TRUE, ISNUMBER(--INDIRECT("数出表_Excel!B" &amp; (MATCH(EL29,数出表_Excel!$A:$A,0)-1) &amp; ":U" &amp; (MATCH(EL29,数出表_Excel!$A:$A,0)-1))), 0)
+MATCH(TRUE, ISNUMBER(--INDIRECT("数出表_Excel!"&amp;EG71&amp; (MATCH(EL29,数出表_Excel!$A:$A,0)-1) &amp; ":U" &amp; (MATCH(EL29,数出表_Excel!$A:$A,0)-1))), 0)
+65) &amp; "3"),"*カレー*"),
COUNTIF(EH71,"*合計*")),"",
IF(IFERROR(INDIRECT("数出表_Excel!" &amp;
CHAR(MATCH(TRUE,
ISNUMBER(--INDIRECT("数出表_Excel!"&amp;EG113&amp;MATCH(EL29,数出表_Excel!$A:$A,0)-1&amp;":U"&amp;MATCH(EL29,数出表_Excel!$A:$A,0)-1&amp;"")),0)
+MATCH(TRUE, ISNUMBER(--INDIRECT("数出表_Excel!B" &amp; (MATCH(EL29,数出表_Excel!$A:$A,0)-1) &amp; ":U" &amp; (MATCH(EL29,数出表_Excel!$A:$A,0)-1))), 0)
+MATCH(TRUE, ISNUMBER(--INDIRECT("数出表_Excel!"&amp;EG71&amp; (MATCH(EL29,数出表_Excel!$A:$A,0)-1) &amp; ":U" &amp; (MATCH(EL29,数出表_Excel!$A:$A,0)-1))), 0)
+65) &amp; "3"),0)=0,"",
IFERROR(INDIRECT("数出表_Excel!" &amp;
CHAR(MATCH(TRUE,
ISNUMBER(--INDIRECT("数出表_Excel!"&amp;EG113&amp;MATCH(EL29,数出表_Excel!$A:$A,0)-1&amp;":U"&amp;MATCH(EL29,数出表_Excel!$A:$A,0)-1&amp;"")),0)
+MATCH(TRUE, ISNUMBER(--INDIRECT("数出表_Excel!B" &amp; (MATCH(EL29,数出表_Excel!$A:$A,0)-1) &amp; ":U" &amp; (MATCH(EL29,数出表_Excel!$A:$A,0)-1))), 0)
+MATCH(TRUE, ISNUMBER(--INDIRECT("数出表_Excel!"&amp;EG71&amp; (MATCH(EL29,数出表_Excel!$A:$A,0)-1) &amp; ":U" &amp; (MATCH(EL29,数出表_Excel!$A:$A,0)-1))), 0)
+65) &amp; "3"),""))),"")</f>
        <v/>
      </c>
      <c r="EI114" s="76"/>
      <c r="EJ114" s="82" t="str" cm="1">
        <f t="array" aca="1" ref="EJ114" ca="1">IF(EK114&lt;&gt;"","",
IF(COUNTIF(EH113,"*雙葉*"),"",
IF(EH113&lt;&gt;"",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+MATCH(TRUE,INDIRECT("'数出表_Excel'!"&amp;EG113&amp;MATCH(EL29,数出表_Excel!$A:$A,0)-1&amp;":AL"&amp;MATCH(EL29,数出表_Excel!$A:$A,0)-1&amp;"")&lt;&gt;"",0))&gt;9,"",
IFERROR(
INDEX(INDIRECT("数出表_Excel!$"&amp;EG113&amp;"4:$AL4"),
 1,
MATCH(TRUE,INDIRECT("'数出表_Excel'!"&amp;EG113&amp;MATCH(EL29,数出表_Excel!$A:$A,0)-1&amp;":AL"&amp;MATCH(EL29,数出表_Excel!$A:$A,0)-1&amp;"")&lt;&gt;"",0)
),
 "")
&amp;IFERROR(
INDEX(INDIRECT("数出表_Excel!$"&amp;EG113&amp;"5:$AL5"),
 1,
MATCH(TRUE,INDIRECT("'数出表_Excel'!"&amp;EG113&amp;MATCH(EL29,数出表_Excel!$A:$A,0)-1&amp;":AL"&amp;MATCH(EL29,数出表_Excel!$A:$A,0)-1&amp;"")&lt;&gt;"",0)),
 "")),"")))</f>
        <v/>
      </c>
      <c r="EK114" s="83" t="str" cm="1">
        <f t="array" aca="1" ref="EK114" ca="1">IF(EH114&lt;&gt;"",
IF(COUNTIF(EH113,"*雙葉*"),
IF(ROUND(
IF(EK119&lt;&gt;"",(EH116-EK119),EH116)
/IF(COUNTIF(EH114,"*キャラ*"),
VLOOKUP("*キャラ*",商品マスタ一覧!$D:$J,7,FALSE),
IF(COUNTIF(EH114,"*赤*"),
VLOOKUP("*赤*",商品マスタ一覧!$D:$J,7,FALSE),
VLOOKUP(EH114,商品マスタ一覧!$D:$J,7,FALSE))),0)&lt;=0,1,
ROUND(
IF(EK119&lt;&gt;"",(EH116-EK119),EH116)
/IF(COUNTIF(EH114,"*キャラ*"),
VLOOKUP("*キャラ*",商品マスタ一覧!$D:$J,7,FALSE),
IF(COUNTIF(EH114,"*赤*"),
VLOOKUP("*赤*",商品マスタ一覧!$D:$J,7,FALSE),
VLOOKUP(EH114,商品マスタ一覧!$D:$J,7,FALSE))),0)),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IF(EH114&lt;&gt;"",
IF(IF(COUNTIF(EH114,"*キャラ*"),
VLOOKUP("*キャラ*",商品マスタ一覧!$D:$J,7,FALSE),
IF(COUNTIF(EH114,"*赤*"),
VLOOKUP("*赤*",商品マスタ一覧!$D:$J,7,FALSE),
VLOOKUP(EH114,商品マスタ一覧!$D:$J,7,FALSE)))=0,"",
IF(ROUND(
IF(EK119&lt;&gt;"",(EH116-EK119),EH116)
/IF(COUNTIF(EH114,"*キャラ*"),
VLOOKUP("*キャラ*",商品マスタ一覧!$D:$J,7,FALSE),
IF(COUNTIF(EH114,"*赤*"),
VLOOKUP("*赤*",商品マスタ一覧!$D:$J,7,FALSE),
VLOOKUP(EH114,商品マスタ一覧!$D:$J,7,FALSE))),0)&lt;=0,1,
ROUND(
IF(EK119&lt;&gt;"",(EH116-EK119),EH116)
/IF(COUNTIF(EH114,"*キャラ*"),
VLOOKUP("*キャラ*",商品マスタ一覧!$D:$J,7,FALSE),
IF(COUNTIF(EH114,"*赤*"),
VLOOKUP("*赤*",商品マスタ一覧!$D:$J,7,FALSE),
VLOOKUP(EH114,商品マスタ一覧!$D:$J,7,FALSE))),0))),""),"")),"")</f>
        <v/>
      </c>
      <c r="EL114" s="92" t="str">
        <f ca="1">IF(EK114&lt;&gt;"",IF(EH116&lt;&gt;"",IF(VALUE(IF(EK119&lt;&gt;"",EH116-EK119,EH116))&gt;VALUE(IF(COUNTIF('盛付札（関数）'!EH114,"*キャラ*"),
VLOOKUP("*キャラ*",商品マスタ一覧!$D:$J,7,FALSE),
IF(COUNTIF('盛付札（関数）'!EH114,"*赤*"),
VLOOKUP("*赤*",商品マスタ一覧!$D:$J,7,FALSE),
VLOOKUP('盛付札（関数）'!EH114,商品マスタ一覧!$D:$J,7,FALSE)))*EK114),
"+"&amp;IF(EK119&lt;&gt;"",EH116-EK119,EH116)-IF(COUNTIF('盛付札（関数）'!EH114,"*キャラ*"),
VLOOKUP("*キャラ*",商品マスタ一覧!$D:$J,7,FALSE),
IF(COUNTIF('盛付札（関数）'!EH114,"*赤*"),
VLOOKUP("*赤*",商品マスタ一覧!$D:$J,7,FALSE),
VLOOKUP('盛付札（関数）'!EH114,商品マスタ一覧!$D:$J,7,FALSE)))*EK114,
IF(EK119&lt;&gt;"",EH116-EK119,EH116)-IF(COUNTIF('盛付札（関数）'!EH114,"*キャラ*"),
VLOOKUP("*キャラ*",商品マスタ一覧!$D:$J,7,FALSE),
IF(COUNTIF('盛付札（関数）'!EH114,"*赤*"),
VLOOKUP("*赤*",商品マスタ一覧!$D:$J,7,FALSE),
VLOOKUP('盛付札（関数）'!EH114,商品マスタ一覧!$D:$J,7,FALSE)))*EK114),""),"")</f>
        <v/>
      </c>
      <c r="EM114" s="76"/>
      <c r="EN114" s="81" t="e" cm="1">
        <f t="array" aca="1" ref="EN114" ca="1">IF(EN31&lt;&gt;100,
IF(EO116&lt;&gt;"",MATCH(EO116,INDIRECT("数出表_Excel!B"&amp;MATCH(ES29,数出表_Excel!$A:$A,0)-1&amp;":U"&amp;MATCH(ES29,数出表_Excel!$A:$A,0)-1&amp;""),0)+1,""),
IF(EO116&lt;&gt;"",
MATCH(
IFERROR(
INDEX(INDIRECT("数出表_Excel!"&amp;EN113&amp;MATCH(ES29,数出表_Excel!$A:$A,0)-1&amp;":U"&amp;MATCH(ES29,数出表_Excel!$A:$A,0)-1&amp;""),
 1,
 MATCH(TRUE, ISNUMBER(--INDIRECT("数出表_Excel!"&amp;EN113&amp;MATCH(ES29,数出表_Excel!$A:$A,0)-1&amp;":U"&amp;MATCH(ES29,数出表_Excel!$A:$A,0)-1&amp;"")),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114" s="58" t="str" cm="1">
        <f t="array" aca="1" ref="EO114" ca="1">IFERROR(IF(OR(
COUNTIF(INDIRECT("数出表_Excel!" &amp;
CHAR(MATCH(TRUE,
ISNUMBER(--INDIRECT("数出表_Excel!"&amp;EN113&amp;MATCH(ES29,数出表_Excel!$A:$A,0)-1&amp;":U"&amp;MATCH(ES29,数出表_Excel!$A:$A,0)-1&amp;"")),0)
+MATCH(TRUE, ISNUMBER(--INDIRECT("数出表_Excel!B" &amp; (MATCH(ES29,数出表_Excel!$A:$A,0)-1) &amp; ":U" &amp; (MATCH(ES29,数出表_Excel!$A:$A,0)-1))), 0)
+MATCH(TRUE, ISNUMBER(--INDIRECT("数出表_Excel!"&amp;EN71&amp; (MATCH(ES29,数出表_Excel!$A:$A,0)-1) &amp; ":U" &amp; (MATCH(ES29,数出表_Excel!$A:$A,0)-1))), 0)
+65) &amp; "3"),"*配膳*"),
COUNTIF(INDIRECT("数出表_Excel!" &amp;
CHAR(MATCH(TRUE,
ISNUMBER(--INDIRECT("数出表_Excel!"&amp;EN113&amp;MATCH(ES29,数出表_Excel!$A:$A,0)-1&amp;":U"&amp;MATCH(ES29,数出表_Excel!$A:$A,0)-1&amp;"")),0)
+MATCH(TRUE, ISNUMBER(--INDIRECT("数出表_Excel!B" &amp; (MATCH(ES29,数出表_Excel!$A:$A,0)-1) &amp; ":U" &amp; (MATCH(ES29,数出表_Excel!$A:$A,0)-1))), 0)
+MATCH(TRUE, ISNUMBER(--INDIRECT("数出表_Excel!"&amp;EN71&amp; (MATCH(ES29,数出表_Excel!$A:$A,0)-1) &amp; ":U" &amp; (MATCH(ES29,数出表_Excel!$A:$A,0)-1))), 0)
+65) &amp; "3"),"*カレー*"),
COUNTIF(EO71,"*合計*")),"",
IF(IFERROR(INDIRECT("数出表_Excel!" &amp;
CHAR(MATCH(TRUE,
ISNUMBER(--INDIRECT("数出表_Excel!"&amp;EN113&amp;MATCH(ES29,数出表_Excel!$A:$A,0)-1&amp;":U"&amp;MATCH(ES29,数出表_Excel!$A:$A,0)-1&amp;"")),0)
+MATCH(TRUE, ISNUMBER(--INDIRECT("数出表_Excel!B" &amp; (MATCH(ES29,数出表_Excel!$A:$A,0)-1) &amp; ":U" &amp; (MATCH(ES29,数出表_Excel!$A:$A,0)-1))), 0)
+MATCH(TRUE, ISNUMBER(--INDIRECT("数出表_Excel!"&amp;EN71&amp; (MATCH(ES29,数出表_Excel!$A:$A,0)-1) &amp; ":U" &amp; (MATCH(ES29,数出表_Excel!$A:$A,0)-1))), 0)
+65) &amp; "3"),0)=0,"",
IFERROR(INDIRECT("数出表_Excel!" &amp;
CHAR(MATCH(TRUE,
ISNUMBER(--INDIRECT("数出表_Excel!"&amp;EN113&amp;MATCH(ES29,数出表_Excel!$A:$A,0)-1&amp;":U"&amp;MATCH(ES29,数出表_Excel!$A:$A,0)-1&amp;"")),0)
+MATCH(TRUE, ISNUMBER(--INDIRECT("数出表_Excel!B" &amp; (MATCH(ES29,数出表_Excel!$A:$A,0)-1) &amp; ":U" &amp; (MATCH(ES29,数出表_Excel!$A:$A,0)-1))), 0)
+MATCH(TRUE, ISNUMBER(--INDIRECT("数出表_Excel!"&amp;EN71&amp; (MATCH(ES29,数出表_Excel!$A:$A,0)-1) &amp; ":U" &amp; (MATCH(ES29,数出表_Excel!$A:$A,0)-1))), 0)
+65) &amp; "3"),""))),"")</f>
        <v/>
      </c>
      <c r="EP114" s="76"/>
      <c r="EQ114" s="82" t="str" cm="1">
        <f t="array" aca="1" ref="EQ114" ca="1">IF(ER114&lt;&gt;"","",
IF(COUNTIF(EO113,"*雙葉*"),"",
IF(EO113&lt;&gt;"",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+MATCH(TRUE,INDIRECT("'数出表_Excel'!"&amp;EN113&amp;MATCH(ES29,数出表_Excel!$A:$A,0)-1&amp;":AL"&amp;MATCH(ES29,数出表_Excel!$A:$A,0)-1&amp;"")&lt;&gt;"",0))&gt;9,"",
IFERROR(
INDEX(INDIRECT("数出表_Excel!$"&amp;EN113&amp;"4:$AL4"),
 1,
MATCH(TRUE,INDIRECT("'数出表_Excel'!"&amp;EN113&amp;MATCH(ES29,数出表_Excel!$A:$A,0)-1&amp;":AL"&amp;MATCH(ES29,数出表_Excel!$A:$A,0)-1&amp;"")&lt;&gt;"",0)
),
 "")
&amp;IFERROR(
INDEX(INDIRECT("数出表_Excel!$"&amp;EN113&amp;"5:$AL5"),
 1,
MATCH(TRUE,INDIRECT("'数出表_Excel'!"&amp;EN113&amp;MATCH(ES29,数出表_Excel!$A:$A,0)-1&amp;":AL"&amp;MATCH(ES29,数出表_Excel!$A:$A,0)-1&amp;"")&lt;&gt;"",0)),
 "")),"")))</f>
        <v/>
      </c>
      <c r="ER114" s="83" t="str" cm="1">
        <f t="array" aca="1" ref="ER114" ca="1">IF(EO114&lt;&gt;"",
IF(COUNTIF(EO113,"*雙葉*"),
IF(ROUND(
IF(ER119&lt;&gt;"",(EO116-ER119),EO116)
/IF(COUNTIF(EO114,"*キャラ*"),
VLOOKUP("*キャラ*",商品マスタ一覧!$D:$J,7,FALSE),
IF(COUNTIF(EO114,"*赤*"),
VLOOKUP("*赤*",商品マスタ一覧!$D:$J,7,FALSE),
VLOOKUP(EO114,商品マスタ一覧!$D:$J,7,FALSE))),0)&lt;=0,1,
ROUND(
IF(ER119&lt;&gt;"",(EO116-ER119),EO116)
/IF(COUNTIF(EO114,"*キャラ*"),
VLOOKUP("*キャラ*",商品マスタ一覧!$D:$J,7,FALSE),
IF(COUNTIF(EO114,"*赤*"),
VLOOKUP("*赤*",商品マスタ一覧!$D:$J,7,FALSE),
VLOOKUP(EO114,商品マスタ一覧!$D:$J,7,FALSE))),0)),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IF(EO114&lt;&gt;"",
IF(IF(COUNTIF(EO114,"*キャラ*"),
VLOOKUP("*キャラ*",商品マスタ一覧!$D:$J,7,FALSE),
IF(COUNTIF(EO114,"*赤*"),
VLOOKUP("*赤*",商品マスタ一覧!$D:$J,7,FALSE),
VLOOKUP(EO114,商品マスタ一覧!$D:$J,7,FALSE)))=0,"",
IF(ROUND(
IF(ER119&lt;&gt;"",(EO116-ER119),EO116)
/IF(COUNTIF(EO114,"*キャラ*"),
VLOOKUP("*キャラ*",商品マスタ一覧!$D:$J,7,FALSE),
IF(COUNTIF(EO114,"*赤*"),
VLOOKUP("*赤*",商品マスタ一覧!$D:$J,7,FALSE),
VLOOKUP(EO114,商品マスタ一覧!$D:$J,7,FALSE))),0)&lt;=0,1,
ROUND(
IF(ER119&lt;&gt;"",(EO116-ER119),EO116)
/IF(COUNTIF(EO114,"*キャラ*"),
VLOOKUP("*キャラ*",商品マスタ一覧!$D:$J,7,FALSE),
IF(COUNTIF(EO114,"*赤*"),
VLOOKUP("*赤*",商品マスタ一覧!$D:$J,7,FALSE),
VLOOKUP(EO114,商品マスタ一覧!$D:$J,7,FALSE))),0))),""),"")),"")</f>
        <v/>
      </c>
      <c r="ES114" s="92" t="str">
        <f ca="1">IF(ER114&lt;&gt;"",IF(EO116&lt;&gt;"",IF(VALUE(IF(ER119&lt;&gt;"",EO116-ER119,EO116))&gt;VALUE(IF(COUNTIF('盛付札（関数）'!EO114,"*キャラ*"),
VLOOKUP("*キャラ*",商品マスタ一覧!$D:$J,7,FALSE),
IF(COUNTIF('盛付札（関数）'!EO114,"*赤*"),
VLOOKUP("*赤*",商品マスタ一覧!$D:$J,7,FALSE),
VLOOKUP('盛付札（関数）'!EO114,商品マスタ一覧!$D:$J,7,FALSE)))*ER114),
"+"&amp;IF(ER119&lt;&gt;"",EO116-ER119,EO116)-IF(COUNTIF('盛付札（関数）'!EO114,"*キャラ*"),
VLOOKUP("*キャラ*",商品マスタ一覧!$D:$J,7,FALSE),
IF(COUNTIF('盛付札（関数）'!EO114,"*赤*"),
VLOOKUP("*赤*",商品マスタ一覧!$D:$J,7,FALSE),
VLOOKUP('盛付札（関数）'!EO114,商品マスタ一覧!$D:$J,7,FALSE)))*ER114,
IF(ER119&lt;&gt;"",EO116-ER119,EO116)-IF(COUNTIF('盛付札（関数）'!EO114,"*キャラ*"),
VLOOKUP("*キャラ*",商品マスタ一覧!$D:$J,7,FALSE),
IF(COUNTIF('盛付札（関数）'!EO114,"*赤*"),
VLOOKUP("*赤*",商品マスタ一覧!$D:$J,7,FALSE),
VLOOKUP('盛付札（関数）'!EO114,商品マスタ一覧!$D:$J,7,FALSE)))*ER114),""),"")</f>
        <v/>
      </c>
      <c r="EU114" s="78">
        <v>84</v>
      </c>
      <c r="EV114" s="78" t="str">
        <f t="array" aca="1" ref="EV11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LEN(SUBSTITUTE(_xlfn.FORMULATEXT(EV$112),"=","")))+$EU114)</f>
        <v/>
      </c>
      <c r="EW114" s="78" t="str">
        <f t="array" aca="1" ref="EW11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LEN(SUBSTITUTE(_xlfn.FORMULATEXT(EW$112),"=","")))+$EU114)</f>
        <v/>
      </c>
      <c r="EX114" s="78" t="str">
        <f t="array" aca="1" ref="EX11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LEN(SUBSTITUTE(_xlfn.FORMULATEXT(EX$112),"=","")))+$EU114)</f>
        <v/>
      </c>
      <c r="EY114" s="78" t="str">
        <f t="array" aca="1" ref="EY11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LEN(SUBSTITUTE(_xlfn.FORMULATEXT(EY$112),"=","")))+$EU114)</f>
        <v/>
      </c>
      <c r="EZ114" s="78" t="str">
        <f t="array" aca="1" ref="EZ11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LEN(SUBSTITUTE(_xlfn.FORMULATEXT(EZ$112),"=","")))+$EU114)</f>
        <v/>
      </c>
      <c r="FA114" s="78" t="str">
        <f t="array" aca="1" ref="FA11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LEN(SUBSTITUTE(_xlfn.FORMULATEXT(FA$112),"=","")))+$EU114)</f>
        <v/>
      </c>
      <c r="FB114" s="78" t="str">
        <f t="array" aca="1" ref="FB11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LEN(SUBSTITUTE(_xlfn.FORMULATEXT(FB$112),"=","")))+$EU114)</f>
        <v/>
      </c>
      <c r="FC114" s="78" t="str">
        <f t="array" aca="1" ref="FC11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LEN(SUBSTITUTE(_xlfn.FORMULATEXT(FC$112),"=","")))+$EU114)</f>
        <v/>
      </c>
      <c r="FD114" s="78" t="str">
        <f t="array" aca="1" ref="FD11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LEN(SUBSTITUTE(_xlfn.FORMULATEXT(FD$112),"=","")))+$EU114)</f>
        <v/>
      </c>
      <c r="FE114" s="78" t="str">
        <f t="array" aca="1" ref="FE11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LEN(SUBSTITUTE(_xlfn.FORMULATEXT(FE$112),"=","")))+$EU114)</f>
        <v/>
      </c>
      <c r="FF114" s="78" t="str">
        <f t="array" aca="1" ref="FF11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LEN(SUBSTITUTE(_xlfn.FORMULATEXT(FF$112),"=","")))+$EU114)</f>
        <v/>
      </c>
      <c r="FG114" s="78">
        <f t="shared" ref="FG114:FG145" ca="1" si="9">IF(COUNTIF(FH114,"TRUE"),ROW(),0)</f>
        <v>0</v>
      </c>
      <c r="FH114" s="78" t="b">
        <f t="array" aca="1" ref="FH114" ca="1">SUMPRODUCT((LEN(EV114:FF114)&gt;0)*1)&gt;0</f>
        <v>0</v>
      </c>
      <c r="FI114" s="78" t="str">
        <f t="array" aca="1" ref="FI114" ca="1">IFERROR(SMALL(IF(FG$1:FG$228&lt;&gt;0,FG$1:FG$228),ROW(A114)),"")</f>
        <v/>
      </c>
      <c r="FJ114" s="78" t="str">
        <f t="array" aca="1" ref="FJ114" ca="1">IF($FI114&lt;&gt;"",
INDIRECT(""&amp;IF(COLUMN(EV170)&lt;=26,CHAR(COLUMN(EV170)+64),CHAR(INT((COLUMN(EV170)-1)/26)+64)&amp;CHAR(MOD(COLUMN(EV170)-1,26)+65))&amp;$FI114&amp;""),"")</f>
        <v/>
      </c>
      <c r="FK114" s="78" t="str">
        <f t="array" aca="1" ref="FK114" ca="1">IF($FI114&lt;&gt;"",
INDIRECT(""&amp;IF(COLUMN(EW170)&lt;=26,CHAR(COLUMN(EW170)+64),CHAR(INT((COLUMN(EW170)-1)/26)+64)&amp;CHAR(MOD(COLUMN(EW170)-1,26)+65))&amp;$FI114&amp;""),"")</f>
        <v/>
      </c>
      <c r="FL114" s="78" t="str">
        <f t="array" aca="1" ref="FL114" ca="1">IF($FI114&lt;&gt;"",
INDIRECT(""&amp;IF(COLUMN(EX170)&lt;=26,CHAR(COLUMN(EX170)+64),CHAR(INT((COLUMN(EX170)-1)/26)+64)&amp;CHAR(MOD(COLUMN(EX170)-1,26)+65))&amp;$FI114&amp;""),"")</f>
        <v/>
      </c>
      <c r="FM114" s="78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78" t="str">
        <f t="array" aca="1" ref="FN114" ca="1">IF($FI114&lt;&gt;"",
INDIRECT(""&amp;IF(COLUMN(FA170)&lt;=26,CHAR(COLUMN(FA170)+64),CHAR(INT((COLUMN(FA170)-1)/26)+64)&amp;CHAR(MOD(COLUMN(FA170)-1,26)+65))&amp;$FI114&amp;""),"")</f>
        <v/>
      </c>
      <c r="FO114" s="78" t="str">
        <f t="array" aca="1" ref="FO114" ca="1">IF($FI114&lt;&gt;"",
INDIRECT(""&amp;IF(COLUMN(FB170)&lt;=26,CHAR(COLUMN(FB170)+64),CHAR(INT((COLUMN(FB170)-1)/26)+64)&amp;CHAR(MOD(COLUMN(FB170)-1,26)+65))&amp;$FI114&amp;""),"")</f>
        <v/>
      </c>
      <c r="FP114" s="78" t="str">
        <f t="array" aca="1" ref="FP114" ca="1">IF($FI114&lt;&gt;"",
INDIRECT(""&amp;IF(COLUMN(FC170)&lt;=26,CHAR(COLUMN(FC170)+64),CHAR(INT((COLUMN(FC170)-1)/26)+64)&amp;CHAR(MOD(COLUMN(FC170)-1,26)+65))&amp;$FI114&amp;""),"")</f>
        <v/>
      </c>
      <c r="FQ114" s="78" t="str">
        <f t="array" aca="1" ref="FQ114" ca="1">IF($FI114&lt;&gt;"",
INDIRECT(""&amp;IF(COLUMN(FD170)&lt;=26,CHAR(COLUMN(FD170)+64),CHAR(INT((COLUMN(FD170)-1)/26)+64)&amp;CHAR(MOD(COLUMN(FD170)-1,26)+65))&amp;$FI114&amp;""),"")</f>
        <v/>
      </c>
      <c r="FR114" s="78" t="str">
        <f t="array" aca="1" ref="FR114" ca="1">IF($FI114&lt;&gt;"",
INDIRECT(""&amp;IF(COLUMN(FE170)&lt;=26,CHAR(COLUMN(FE170)+64),CHAR(INT((COLUMN(FE170)-1)/26)+64)&amp;CHAR(MOD(COLUMN(FE170)-1,26)+65))&amp;$FI114&amp;""),"")</f>
        <v/>
      </c>
      <c r="FS114" s="78" t="str">
        <f t="array" aca="1" ref="FS114" ca="1">IF($FI114&lt;&gt;"",
INDIRECT(""&amp;IF(COLUMN(FF170)&lt;=26,CHAR(COLUMN(FF170)+64),CHAR(INT((COLUMN(FF170)-1)/26)+64)&amp;CHAR(MOD(COLUMN(FF170)-1,26)+65))&amp;$FI114&amp;""),"")</f>
        <v/>
      </c>
    </row>
    <row r="115" spans="2:175" ht="22.2" customHeight="1" x14ac:dyDescent="0.55000000000000004">
      <c r="B115" s="84" t="str" cm="1">
        <f t="array" aca="1" ref="B115" ca="1">IF(C113&lt;&gt;"",SUBSTITUTE(ADDRESS(1,
(COLUMN(INDIRECT("数出表_Excel!"&amp;B113&amp;1&amp;""))-2 +
MATCH(TRUE, ISNUMBER(--INDIRECT("数出表_Excel!"&amp;B113&amp; (MATCH(INDIRECT(""&amp;G113&amp;ROW()-86&amp;""),数出表_Excel!$A:$A,0)-1) &amp; ":U" &amp; (MATCH(INDIRECT(""&amp;G113&amp;ROW()-86&amp;""),数出表_Excel!$A:$A,0)-1))), 0))
*2,4),"1",""),"")</f>
        <v/>
      </c>
      <c r="C115" s="249" t="str">
        <f ca="1">IF(C116&lt;&gt;"","園児","")</f>
        <v/>
      </c>
      <c r="D115" s="250"/>
      <c r="E115" s="251" t="str">
        <f ca="1">IF(C116&lt;&gt;"","先生","")</f>
        <v/>
      </c>
      <c r="F115" s="250"/>
      <c r="G115" s="97" cm="1">
        <f t="array" aca="1" ref="G115" ca="1">IF(C113&lt;&gt;"",
IF(IFERROR(
INDEX(INDIRECT("'数出表_Excel（アレルギー入力）'!"&amp;B115&amp;MATCH(G29,'数出表_Excel（アレルギー入力）'!$A:$A,0)-1&amp;":"&amp;G117&amp;MATCH(G29,'数出表_Excel（アレルギー入力）'!$A:$A,0)-1&amp;""),
 1,
MATCH(TRUE,INDIRECT("'数出表_Excel（アレルギー入力）'!"&amp;B115&amp;MATCH(G29,'数出表_Excel（アレルギー入力）'!$A:$A,0)-1&amp;":"&amp;G117&amp;MATCH(G29,'数出表_Excel（アレルギー入力）'!$A:$A,0)-1&amp;"")&lt;&gt;"",0)+1),
 "")&lt;&gt;0,
IF(IFERROR(
INDEX(INDIRECT("'数出表_Excel（アレルギー入力）'!"&amp;B115&amp;MATCH(G29,'数出表_Excel（アレルギー入力）'!$A:$A,0)-1&amp;":"&amp;G117&amp;MATCH(G29,'数出表_Excel（アレルギー入力）'!$A:$A,0)-1&amp;""),
 1,
MATCH(TRUE,INDIRECT("'数出表_Excel（アレルギー入力）'!"&amp;B115&amp;MATCH(G29,'数出表_Excel（アレルギー入力）'!$A:$A,0)-1&amp;":"&amp;G117&amp;MATCH(G29,'数出表_Excel（アレルギー入力）'!$A:$A,0)-1&amp;"")&lt;&gt;"",0)+1),
 "")="",
0,
IFERROR(
INDEX(INDIRECT("'数出表_Excel（アレルギー入力）'!"&amp;B115&amp;MATCH(G29,'数出表_Excel（アレルギー入力）'!$A:$A,0)-1&amp;":"&amp;G117&amp;MATCH(G29,'数出表_Excel（アレルギー入力）'!$A:$A,0)-1&amp;""),
 1,
MATCH(TRUE,INDIRECT("'数出表_Excel（アレルギー入力）'!"&amp;B115&amp;MATCH(G29,'数出表_Excel（アレルギー入力）'!$A:$A,0)-1&amp;":"&amp;G117&amp;MATCH(G29,'数出表_Excel（アレルギー入力）'!$A:$A,0)-1&amp;"")&lt;&gt;"",0)+1),
 "")),IFERROR(
INDEX(INDIRECT("'数出表_Excel（アレルギー入力）'!"&amp;B115&amp;MATCH(G29,'数出表_Excel（アレルギー入力）'!$A:$A,0)-1&amp;":"&amp;G117&amp;MATCH(G29,'数出表_Excel（アレルギー入力）'!$A:$A,0)-1&amp;""),
 1,
MATCH(TRUE,INDIRECT("'数出表_Excel（アレルギー入力）'!"&amp;B115&amp;MATCH(G29,'数出表_Excel（アレルギー入力）'!$A:$A,0)-1&amp;":"&amp;G117&amp;MATCH(G29,'数出表_Excel（アレルギー入力）'!$A:$A,0)-1&amp;"")&lt;&gt;"",0)+1),
 "")),0)</f>
        <v>0</v>
      </c>
      <c r="H115" s="76"/>
      <c r="I115" s="84" t="str" cm="1">
        <f t="array" aca="1" ref="I115" ca="1">IF(J113&lt;&gt;"",SUBSTITUTE(ADDRESS(1,
(COLUMN(INDIRECT("数出表_Excel!"&amp;I113&amp;1&amp;""))-2 +
MATCH(TRUE, ISNUMBER(--INDIRECT("数出表_Excel!"&amp;I113&amp; (MATCH(INDIRECT(""&amp;N113&amp;ROW()-86&amp;""),数出表_Excel!$A:$A,0)-1) &amp; ":U" &amp; (MATCH(INDIRECT(""&amp;N113&amp;ROW()-86&amp;""),数出表_Excel!$A:$A,0)-1))), 0))
*2,4),"1",""),"")</f>
        <v/>
      </c>
      <c r="J115" s="249" t="str">
        <f ca="1">IF(J116&lt;&gt;"","園児","")</f>
        <v/>
      </c>
      <c r="K115" s="250"/>
      <c r="L115" s="251" t="str">
        <f ca="1">IF(J116&lt;&gt;"","先生","")</f>
        <v/>
      </c>
      <c r="M115" s="250"/>
      <c r="N115" s="97" cm="1">
        <f t="array" aca="1" ref="N115" ca="1">IF(J113&lt;&gt;"",
IF(IFERROR(
INDEX(INDIRECT("'数出表_Excel（アレルギー入力）'!"&amp;I115&amp;MATCH(N29,'数出表_Excel（アレルギー入力）'!$A:$A,0)-1&amp;":"&amp;N117&amp;MATCH(N29,'数出表_Excel（アレルギー入力）'!$A:$A,0)-1&amp;""),
 1,
MATCH(TRUE,INDIRECT("'数出表_Excel（アレルギー入力）'!"&amp;I115&amp;MATCH(N29,'数出表_Excel（アレルギー入力）'!$A:$A,0)-1&amp;":"&amp;N117&amp;MATCH(N29,'数出表_Excel（アレルギー入力）'!$A:$A,0)-1&amp;"")&lt;&gt;"",0)+1),
 "")&lt;&gt;0,
IF(IFERROR(
INDEX(INDIRECT("'数出表_Excel（アレルギー入力）'!"&amp;I115&amp;MATCH(N29,'数出表_Excel（アレルギー入力）'!$A:$A,0)-1&amp;":"&amp;N117&amp;MATCH(N29,'数出表_Excel（アレルギー入力）'!$A:$A,0)-1&amp;""),
 1,
MATCH(TRUE,INDIRECT("'数出表_Excel（アレルギー入力）'!"&amp;I115&amp;MATCH(N29,'数出表_Excel（アレルギー入力）'!$A:$A,0)-1&amp;":"&amp;N117&amp;MATCH(N29,'数出表_Excel（アレルギー入力）'!$A:$A,0)-1&amp;"")&lt;&gt;"",0)+1),
 "")="",
0,
IFERROR(
INDEX(INDIRECT("'数出表_Excel（アレルギー入力）'!"&amp;I115&amp;MATCH(N29,'数出表_Excel（アレルギー入力）'!$A:$A,0)-1&amp;":"&amp;N117&amp;MATCH(N29,'数出表_Excel（アレルギー入力）'!$A:$A,0)-1&amp;""),
 1,
MATCH(TRUE,INDIRECT("'数出表_Excel（アレルギー入力）'!"&amp;I115&amp;MATCH(N29,'数出表_Excel（アレルギー入力）'!$A:$A,0)-1&amp;":"&amp;N117&amp;MATCH(N29,'数出表_Excel（アレルギー入力）'!$A:$A,0)-1&amp;"")&lt;&gt;"",0)+1),
 "")),IFERROR(
INDEX(INDIRECT("'数出表_Excel（アレルギー入力）'!"&amp;I115&amp;MATCH(N29,'数出表_Excel（アレルギー入力）'!$A:$A,0)-1&amp;":"&amp;N117&amp;MATCH(N29,'数出表_Excel（アレルギー入力）'!$A:$A,0)-1&amp;""),
 1,
MATCH(TRUE,INDIRECT("'数出表_Excel（アレルギー入力）'!"&amp;I115&amp;MATCH(N29,'数出表_Excel（アレルギー入力）'!$A:$A,0)-1&amp;":"&amp;N117&amp;MATCH(N29,'数出表_Excel（アレルギー入力）'!$A:$A,0)-1&amp;"")&lt;&gt;"",0)+1),
 "")),0)</f>
        <v>0</v>
      </c>
      <c r="Q115" s="84" t="str" cm="1">
        <f t="array" aca="1" ref="Q115" ca="1">IF(R113&lt;&gt;"",SUBSTITUTE(ADDRESS(1,
(COLUMN(INDIRECT("数出表_Excel!"&amp;Q113&amp;1&amp;""))-2 +
MATCH(TRUE, ISNUMBER(--INDIRECT("数出表_Excel!"&amp;Q113&amp; (MATCH(INDIRECT(""&amp;V113&amp;ROW()-86&amp;""),数出表_Excel!$A:$A,0)-1) &amp; ":U" &amp; (MATCH(INDIRECT(""&amp;V113&amp;ROW()-86&amp;""),数出表_Excel!$A:$A,0)-1))), 0))
*2,4),"1",""),"")</f>
        <v/>
      </c>
      <c r="R115" s="249" t="str">
        <f ca="1">IF(R116&lt;&gt;"","園児","")</f>
        <v/>
      </c>
      <c r="S115" s="250"/>
      <c r="T115" s="251" t="str">
        <f ca="1">IF(R116&lt;&gt;"","先生","")</f>
        <v/>
      </c>
      <c r="U115" s="250"/>
      <c r="V115" s="97" cm="1">
        <f t="array" aca="1" ref="V115" ca="1">IF(R113&lt;&gt;"",
IF(IFERROR(
INDEX(INDIRECT("'数出表_Excel（アレルギー入力）'!"&amp;Q115&amp;MATCH(V29,'数出表_Excel（アレルギー入力）'!$A:$A,0)-1&amp;":"&amp;V117&amp;MATCH(V29,'数出表_Excel（アレルギー入力）'!$A:$A,0)-1&amp;""),
 1,
MATCH(TRUE,INDIRECT("'数出表_Excel（アレルギー入力）'!"&amp;Q115&amp;MATCH(V29,'数出表_Excel（アレルギー入力）'!$A:$A,0)-1&amp;":"&amp;V117&amp;MATCH(V29,'数出表_Excel（アレルギー入力）'!$A:$A,0)-1&amp;"")&lt;&gt;"",0)+1),
 "")&lt;&gt;0,
IF(IFERROR(
INDEX(INDIRECT("'数出表_Excel（アレルギー入力）'!"&amp;Q115&amp;MATCH(V29,'数出表_Excel（アレルギー入力）'!$A:$A,0)-1&amp;":"&amp;V117&amp;MATCH(V29,'数出表_Excel（アレルギー入力）'!$A:$A,0)-1&amp;""),
 1,
MATCH(TRUE,INDIRECT("'数出表_Excel（アレルギー入力）'!"&amp;Q115&amp;MATCH(V29,'数出表_Excel（アレルギー入力）'!$A:$A,0)-1&amp;":"&amp;V117&amp;MATCH(V29,'数出表_Excel（アレルギー入力）'!$A:$A,0)-1&amp;"")&lt;&gt;"",0)+1),
 "")="",
0,
IFERROR(
INDEX(INDIRECT("'数出表_Excel（アレルギー入力）'!"&amp;Q115&amp;MATCH(V29,'数出表_Excel（アレルギー入力）'!$A:$A,0)-1&amp;":"&amp;V117&amp;MATCH(V29,'数出表_Excel（アレルギー入力）'!$A:$A,0)-1&amp;""),
 1,
MATCH(TRUE,INDIRECT("'数出表_Excel（アレルギー入力）'!"&amp;Q115&amp;MATCH(V29,'数出表_Excel（アレルギー入力）'!$A:$A,0)-1&amp;":"&amp;V117&amp;MATCH(V29,'数出表_Excel（アレルギー入力）'!$A:$A,0)-1&amp;"")&lt;&gt;"",0)+1),
 "")),IFERROR(
INDEX(INDIRECT("'数出表_Excel（アレルギー入力）'!"&amp;Q115&amp;MATCH(V29,'数出表_Excel（アレルギー入力）'!$A:$A,0)-1&amp;":"&amp;V117&amp;MATCH(V29,'数出表_Excel（アレルギー入力）'!$A:$A,0)-1&amp;""),
 1,
MATCH(TRUE,INDIRECT("'数出表_Excel（アレルギー入力）'!"&amp;Q115&amp;MATCH(V29,'数出表_Excel（アレルギー入力）'!$A:$A,0)-1&amp;":"&amp;V117&amp;MATCH(V29,'数出表_Excel（アレルギー入力）'!$A:$A,0)-1&amp;"")&lt;&gt;"",0)+1),
 "")),0)</f>
        <v>0</v>
      </c>
      <c r="W115" s="76"/>
      <c r="X115" s="84" t="str" cm="1">
        <f t="array" aca="1" ref="X115" ca="1">IF(Y113&lt;&gt;"",SUBSTITUTE(ADDRESS(1,
(COLUMN(INDIRECT("数出表_Excel!"&amp;X113&amp;1&amp;""))-2 +
MATCH(TRUE, ISNUMBER(--INDIRECT("数出表_Excel!"&amp;X113&amp; (MATCH(INDIRECT(""&amp;AC113&amp;ROW()-86&amp;""),数出表_Excel!$A:$A,0)-1) &amp; ":U" &amp; (MATCH(INDIRECT(""&amp;AC113&amp;ROW()-86&amp;""),数出表_Excel!$A:$A,0)-1))), 0))
*2,4),"1",""),"")</f>
        <v/>
      </c>
      <c r="Y115" s="249" t="str">
        <f ca="1">IF(Y116&lt;&gt;"","園児","")</f>
        <v/>
      </c>
      <c r="Z115" s="250"/>
      <c r="AA115" s="251" t="str">
        <f ca="1">IF(Y116&lt;&gt;"","先生","")</f>
        <v/>
      </c>
      <c r="AB115" s="250"/>
      <c r="AC115" s="97" cm="1">
        <f t="array" aca="1" ref="AC115" ca="1">IF(Y113&lt;&gt;"",
IF(IFERROR(
INDEX(INDIRECT("'数出表_Excel（アレルギー入力）'!"&amp;X115&amp;MATCH(AC29,'数出表_Excel（アレルギー入力）'!$A:$A,0)-1&amp;":"&amp;AC117&amp;MATCH(AC29,'数出表_Excel（アレルギー入力）'!$A:$A,0)-1&amp;""),
 1,
MATCH(TRUE,INDIRECT("'数出表_Excel（アレルギー入力）'!"&amp;X115&amp;MATCH(AC29,'数出表_Excel（アレルギー入力）'!$A:$A,0)-1&amp;":"&amp;AC117&amp;MATCH(AC29,'数出表_Excel（アレルギー入力）'!$A:$A,0)-1&amp;"")&lt;&gt;"",0)+1),
 "")&lt;&gt;0,
IF(IFERROR(
INDEX(INDIRECT("'数出表_Excel（アレルギー入力）'!"&amp;X115&amp;MATCH(AC29,'数出表_Excel（アレルギー入力）'!$A:$A,0)-1&amp;":"&amp;AC117&amp;MATCH(AC29,'数出表_Excel（アレルギー入力）'!$A:$A,0)-1&amp;""),
 1,
MATCH(TRUE,INDIRECT("'数出表_Excel（アレルギー入力）'!"&amp;X115&amp;MATCH(AC29,'数出表_Excel（アレルギー入力）'!$A:$A,0)-1&amp;":"&amp;AC117&amp;MATCH(AC29,'数出表_Excel（アレルギー入力）'!$A:$A,0)-1&amp;"")&lt;&gt;"",0)+1),
 "")="",
0,
IFERROR(
INDEX(INDIRECT("'数出表_Excel（アレルギー入力）'!"&amp;X115&amp;MATCH(AC29,'数出表_Excel（アレルギー入力）'!$A:$A,0)-1&amp;":"&amp;AC117&amp;MATCH(AC29,'数出表_Excel（アレルギー入力）'!$A:$A,0)-1&amp;""),
 1,
MATCH(TRUE,INDIRECT("'数出表_Excel（アレルギー入力）'!"&amp;X115&amp;MATCH(AC29,'数出表_Excel（アレルギー入力）'!$A:$A,0)-1&amp;":"&amp;AC117&amp;MATCH(AC29,'数出表_Excel（アレルギー入力）'!$A:$A,0)-1&amp;"")&lt;&gt;"",0)+1),
 "")),IFERROR(
INDEX(INDIRECT("'数出表_Excel（アレルギー入力）'!"&amp;X115&amp;MATCH(AC29,'数出表_Excel（アレルギー入力）'!$A:$A,0)-1&amp;":"&amp;AC117&amp;MATCH(AC29,'数出表_Excel（アレルギー入力）'!$A:$A,0)-1&amp;""),
 1,
MATCH(TRUE,INDIRECT("'数出表_Excel（アレルギー入力）'!"&amp;X115&amp;MATCH(AC29,'数出表_Excel（アレルギー入力）'!$A:$A,0)-1&amp;":"&amp;AC117&amp;MATCH(AC29,'数出表_Excel（アレルギー入力）'!$A:$A,0)-1&amp;"")&lt;&gt;"",0)+1),
 "")),0)</f>
        <v>0</v>
      </c>
      <c r="AF115" s="84" t="str" cm="1">
        <f t="array" aca="1" ref="AF115" ca="1">IF(AG113&lt;&gt;"",SUBSTITUTE(ADDRESS(1,
(COLUMN(INDIRECT("数出表_Excel!"&amp;AF113&amp;1&amp;""))-2 +
MATCH(TRUE, ISNUMBER(--INDIRECT("数出表_Excel!"&amp;AF113&amp; (MATCH(INDIRECT(""&amp;AK113&amp;ROW()-86&amp;""),数出表_Excel!$A:$A,0)-1) &amp; ":U" &amp; (MATCH(INDIRECT(""&amp;AK113&amp;ROW()-86&amp;""),数出表_Excel!$A:$A,0)-1))), 0))
*2,4),"1",""),"")</f>
        <v/>
      </c>
      <c r="AG115" s="249" t="str">
        <f ca="1">IF(AG116&lt;&gt;"","園児","")</f>
        <v/>
      </c>
      <c r="AH115" s="250"/>
      <c r="AI115" s="251" t="str">
        <f ca="1">IF(AG116&lt;&gt;"","先生","")</f>
        <v/>
      </c>
      <c r="AJ115" s="250"/>
      <c r="AK115" s="97" cm="1">
        <f t="array" aca="1" ref="AK115" ca="1">IF(AG113&lt;&gt;"",
IF(IFERROR(
INDEX(INDIRECT("'数出表_Excel（アレルギー入力）'!"&amp;AF115&amp;MATCH(AK29,'数出表_Excel（アレルギー入力）'!$A:$A,0)-1&amp;":"&amp;AK117&amp;MATCH(AK29,'数出表_Excel（アレルギー入力）'!$A:$A,0)-1&amp;""),
 1,
MATCH(TRUE,INDIRECT("'数出表_Excel（アレルギー入力）'!"&amp;AF115&amp;MATCH(AK29,'数出表_Excel（アレルギー入力）'!$A:$A,0)-1&amp;":"&amp;AK117&amp;MATCH(AK29,'数出表_Excel（アレルギー入力）'!$A:$A,0)-1&amp;"")&lt;&gt;"",0)+1),
 "")&lt;&gt;0,
IF(IFERROR(
INDEX(INDIRECT("'数出表_Excel（アレルギー入力）'!"&amp;AF115&amp;MATCH(AK29,'数出表_Excel（アレルギー入力）'!$A:$A,0)-1&amp;":"&amp;AK117&amp;MATCH(AK29,'数出表_Excel（アレルギー入力）'!$A:$A,0)-1&amp;""),
 1,
MATCH(TRUE,INDIRECT("'数出表_Excel（アレルギー入力）'!"&amp;AF115&amp;MATCH(AK29,'数出表_Excel（アレルギー入力）'!$A:$A,0)-1&amp;":"&amp;AK117&amp;MATCH(AK29,'数出表_Excel（アレルギー入力）'!$A:$A,0)-1&amp;"")&lt;&gt;"",0)+1),
 "")="",
0,
IFERROR(
INDEX(INDIRECT("'数出表_Excel（アレルギー入力）'!"&amp;AF115&amp;MATCH(AK29,'数出表_Excel（アレルギー入力）'!$A:$A,0)-1&amp;":"&amp;AK117&amp;MATCH(AK29,'数出表_Excel（アレルギー入力）'!$A:$A,0)-1&amp;""),
 1,
MATCH(TRUE,INDIRECT("'数出表_Excel（アレルギー入力）'!"&amp;AF115&amp;MATCH(AK29,'数出表_Excel（アレルギー入力）'!$A:$A,0)-1&amp;":"&amp;AK117&amp;MATCH(AK29,'数出表_Excel（アレルギー入力）'!$A:$A,0)-1&amp;"")&lt;&gt;"",0)+1),
 "")),IFERROR(
INDEX(INDIRECT("'数出表_Excel（アレルギー入力）'!"&amp;AF115&amp;MATCH(AK29,'数出表_Excel（アレルギー入力）'!$A:$A,0)-1&amp;":"&amp;AK117&amp;MATCH(AK29,'数出表_Excel（アレルギー入力）'!$A:$A,0)-1&amp;""),
 1,
MATCH(TRUE,INDIRECT("'数出表_Excel（アレルギー入力）'!"&amp;AF115&amp;MATCH(AK29,'数出表_Excel（アレルギー入力）'!$A:$A,0)-1&amp;":"&amp;AK117&amp;MATCH(AK29,'数出表_Excel（アレルギー入力）'!$A:$A,0)-1&amp;"")&lt;&gt;"",0)+1),
 "")),0)</f>
        <v>0</v>
      </c>
      <c r="AL115" s="76"/>
      <c r="AM115" s="84" t="str" cm="1">
        <f t="array" aca="1" ref="AM115" ca="1">IF(AN113&lt;&gt;"",SUBSTITUTE(ADDRESS(1,
(COLUMN(INDIRECT("数出表_Excel!"&amp;AM113&amp;1&amp;""))-2 +
MATCH(TRUE, ISNUMBER(--INDIRECT("数出表_Excel!"&amp;AM113&amp; (MATCH(INDIRECT(""&amp;AR113&amp;ROW()-86&amp;""),数出表_Excel!$A:$A,0)-1) &amp; ":U" &amp; (MATCH(INDIRECT(""&amp;AR113&amp;ROW()-86&amp;""),数出表_Excel!$A:$A,0)-1))), 0))
*2,4),"1",""),"")</f>
        <v/>
      </c>
      <c r="AN115" s="249" t="str">
        <f ca="1">IF(AN116&lt;&gt;"","園児","")</f>
        <v/>
      </c>
      <c r="AO115" s="250"/>
      <c r="AP115" s="251" t="str">
        <f ca="1">IF(AN116&lt;&gt;"","先生","")</f>
        <v/>
      </c>
      <c r="AQ115" s="250"/>
      <c r="AR115" s="97" cm="1">
        <f t="array" aca="1" ref="AR115" ca="1">IF(AN113&lt;&gt;"",
IF(IFERROR(
INDEX(INDIRECT("'数出表_Excel（アレルギー入力）'!"&amp;AM115&amp;MATCH(AR29,'数出表_Excel（アレルギー入力）'!$A:$A,0)-1&amp;":"&amp;AR117&amp;MATCH(AR29,'数出表_Excel（アレルギー入力）'!$A:$A,0)-1&amp;""),
 1,
MATCH(TRUE,INDIRECT("'数出表_Excel（アレルギー入力）'!"&amp;AM115&amp;MATCH(AR29,'数出表_Excel（アレルギー入力）'!$A:$A,0)-1&amp;":"&amp;AR117&amp;MATCH(AR29,'数出表_Excel（アレルギー入力）'!$A:$A,0)-1&amp;"")&lt;&gt;"",0)+1),
 "")&lt;&gt;0,
IF(IFERROR(
INDEX(INDIRECT("'数出表_Excel（アレルギー入力）'!"&amp;AM115&amp;MATCH(AR29,'数出表_Excel（アレルギー入力）'!$A:$A,0)-1&amp;":"&amp;AR117&amp;MATCH(AR29,'数出表_Excel（アレルギー入力）'!$A:$A,0)-1&amp;""),
 1,
MATCH(TRUE,INDIRECT("'数出表_Excel（アレルギー入力）'!"&amp;AM115&amp;MATCH(AR29,'数出表_Excel（アレルギー入力）'!$A:$A,0)-1&amp;":"&amp;AR117&amp;MATCH(AR29,'数出表_Excel（アレルギー入力）'!$A:$A,0)-1&amp;"")&lt;&gt;"",0)+1),
 "")="",
0,
IFERROR(
INDEX(INDIRECT("'数出表_Excel（アレルギー入力）'!"&amp;AM115&amp;MATCH(AR29,'数出表_Excel（アレルギー入力）'!$A:$A,0)-1&amp;":"&amp;AR117&amp;MATCH(AR29,'数出表_Excel（アレルギー入力）'!$A:$A,0)-1&amp;""),
 1,
MATCH(TRUE,INDIRECT("'数出表_Excel（アレルギー入力）'!"&amp;AM115&amp;MATCH(AR29,'数出表_Excel（アレルギー入力）'!$A:$A,0)-1&amp;":"&amp;AR117&amp;MATCH(AR29,'数出表_Excel（アレルギー入力）'!$A:$A,0)-1&amp;"")&lt;&gt;"",0)+1),
 "")),IFERROR(
INDEX(INDIRECT("'数出表_Excel（アレルギー入力）'!"&amp;AM115&amp;MATCH(AR29,'数出表_Excel（アレルギー入力）'!$A:$A,0)-1&amp;":"&amp;AR117&amp;MATCH(AR29,'数出表_Excel（アレルギー入力）'!$A:$A,0)-1&amp;""),
 1,
MATCH(TRUE,INDIRECT("'数出表_Excel（アレルギー入力）'!"&amp;AM115&amp;MATCH(AR29,'数出表_Excel（アレルギー入力）'!$A:$A,0)-1&amp;":"&amp;AR117&amp;MATCH(AR29,'数出表_Excel（アレルギー入力）'!$A:$A,0)-1&amp;"")&lt;&gt;"",0)+1),
 "")),0)</f>
        <v>0</v>
      </c>
      <c r="AU115" s="84" t="str" cm="1">
        <f t="array" aca="1" ref="AU115" ca="1">IF(AV113&lt;&gt;"",SUBSTITUTE(ADDRESS(1,
(COLUMN(INDIRECT("数出表_Excel!"&amp;AU113&amp;1&amp;""))-2 +
MATCH(TRUE, ISNUMBER(--INDIRECT("数出表_Excel!"&amp;AU113&amp; (MATCH(INDIRECT(""&amp;AZ113&amp;ROW()-86&amp;""),数出表_Excel!$A:$A,0)-1) &amp; ":U" &amp; (MATCH(INDIRECT(""&amp;AZ113&amp;ROW()-86&amp;""),数出表_Excel!$A:$A,0)-1))), 0))
*2,4),"1",""),"")</f>
        <v/>
      </c>
      <c r="AV115" s="249" t="str">
        <f ca="1">IF(AV116&lt;&gt;"","園児","")</f>
        <v/>
      </c>
      <c r="AW115" s="250"/>
      <c r="AX115" s="251" t="str">
        <f ca="1">IF(AV116&lt;&gt;"","先生","")</f>
        <v/>
      </c>
      <c r="AY115" s="250"/>
      <c r="AZ115" s="97" cm="1">
        <f t="array" aca="1" ref="AZ115" ca="1">IF(AV113&lt;&gt;"",
IF(IFERROR(
INDEX(INDIRECT("'数出表_Excel（アレルギー入力）'!"&amp;AU115&amp;MATCH(AZ29,'数出表_Excel（アレルギー入力）'!$A:$A,0)-1&amp;":"&amp;AZ117&amp;MATCH(AZ29,'数出表_Excel（アレルギー入力）'!$A:$A,0)-1&amp;""),
 1,
MATCH(TRUE,INDIRECT("'数出表_Excel（アレルギー入力）'!"&amp;AU115&amp;MATCH(AZ29,'数出表_Excel（アレルギー入力）'!$A:$A,0)-1&amp;":"&amp;AZ117&amp;MATCH(AZ29,'数出表_Excel（アレルギー入力）'!$A:$A,0)-1&amp;"")&lt;&gt;"",0)+1),
 "")&lt;&gt;0,
IF(IFERROR(
INDEX(INDIRECT("'数出表_Excel（アレルギー入力）'!"&amp;AU115&amp;MATCH(AZ29,'数出表_Excel（アレルギー入力）'!$A:$A,0)-1&amp;":"&amp;AZ117&amp;MATCH(AZ29,'数出表_Excel（アレルギー入力）'!$A:$A,0)-1&amp;""),
 1,
MATCH(TRUE,INDIRECT("'数出表_Excel（アレルギー入力）'!"&amp;AU115&amp;MATCH(AZ29,'数出表_Excel（アレルギー入力）'!$A:$A,0)-1&amp;":"&amp;AZ117&amp;MATCH(AZ29,'数出表_Excel（アレルギー入力）'!$A:$A,0)-1&amp;"")&lt;&gt;"",0)+1),
 "")="",
0,
IFERROR(
INDEX(INDIRECT("'数出表_Excel（アレルギー入力）'!"&amp;AU115&amp;MATCH(AZ29,'数出表_Excel（アレルギー入力）'!$A:$A,0)-1&amp;":"&amp;AZ117&amp;MATCH(AZ29,'数出表_Excel（アレルギー入力）'!$A:$A,0)-1&amp;""),
 1,
MATCH(TRUE,INDIRECT("'数出表_Excel（アレルギー入力）'!"&amp;AU115&amp;MATCH(AZ29,'数出表_Excel（アレルギー入力）'!$A:$A,0)-1&amp;":"&amp;AZ117&amp;MATCH(AZ29,'数出表_Excel（アレルギー入力）'!$A:$A,0)-1&amp;"")&lt;&gt;"",0)+1),
 "")),IFERROR(
INDEX(INDIRECT("'数出表_Excel（アレルギー入力）'!"&amp;AU115&amp;MATCH(AZ29,'数出表_Excel（アレルギー入力）'!$A:$A,0)-1&amp;":"&amp;AZ117&amp;MATCH(AZ29,'数出表_Excel（アレルギー入力）'!$A:$A,0)-1&amp;""),
 1,
MATCH(TRUE,INDIRECT("'数出表_Excel（アレルギー入力）'!"&amp;AU115&amp;MATCH(AZ29,'数出表_Excel（アレルギー入力）'!$A:$A,0)-1&amp;":"&amp;AZ117&amp;MATCH(AZ29,'数出表_Excel（アレルギー入力）'!$A:$A,0)-1&amp;"")&lt;&gt;"",0)+1),
 "")),0)</f>
        <v>0</v>
      </c>
      <c r="BA115" s="76"/>
      <c r="BB115" s="84" t="str" cm="1">
        <f t="array" aca="1" ref="BB115" ca="1">IF(BC113&lt;&gt;"",SUBSTITUTE(ADDRESS(1,
(COLUMN(INDIRECT("数出表_Excel!"&amp;BB113&amp;1&amp;""))-2 +
MATCH(TRUE, ISNUMBER(--INDIRECT("数出表_Excel!"&amp;BB113&amp; (MATCH(INDIRECT(""&amp;BG113&amp;ROW()-86&amp;""),数出表_Excel!$A:$A,0)-1) &amp; ":U" &amp; (MATCH(INDIRECT(""&amp;BG113&amp;ROW()-86&amp;""),数出表_Excel!$A:$A,0)-1))), 0))
*2,4),"1",""),"")</f>
        <v/>
      </c>
      <c r="BC115" s="249" t="str">
        <f ca="1">IF(BC116&lt;&gt;"","園児","")</f>
        <v/>
      </c>
      <c r="BD115" s="250"/>
      <c r="BE115" s="251" t="str">
        <f ca="1">IF(BC116&lt;&gt;"","先生","")</f>
        <v/>
      </c>
      <c r="BF115" s="250"/>
      <c r="BG115" s="97" cm="1">
        <f t="array" aca="1" ref="BG115" ca="1">IF(BC113&lt;&gt;"",
IF(IFERROR(
INDEX(INDIRECT("'数出表_Excel（アレルギー入力）'!"&amp;BB115&amp;MATCH(BG29,'数出表_Excel（アレルギー入力）'!$A:$A,0)-1&amp;":"&amp;BG117&amp;MATCH(BG29,'数出表_Excel（アレルギー入力）'!$A:$A,0)-1&amp;""),
 1,
MATCH(TRUE,INDIRECT("'数出表_Excel（アレルギー入力）'!"&amp;BB115&amp;MATCH(BG29,'数出表_Excel（アレルギー入力）'!$A:$A,0)-1&amp;":"&amp;BG117&amp;MATCH(BG29,'数出表_Excel（アレルギー入力）'!$A:$A,0)-1&amp;"")&lt;&gt;"",0)+1),
 "")&lt;&gt;0,
IF(IFERROR(
INDEX(INDIRECT("'数出表_Excel（アレルギー入力）'!"&amp;BB115&amp;MATCH(BG29,'数出表_Excel（アレルギー入力）'!$A:$A,0)-1&amp;":"&amp;BG117&amp;MATCH(BG29,'数出表_Excel（アレルギー入力）'!$A:$A,0)-1&amp;""),
 1,
MATCH(TRUE,INDIRECT("'数出表_Excel（アレルギー入力）'!"&amp;BB115&amp;MATCH(BG29,'数出表_Excel（アレルギー入力）'!$A:$A,0)-1&amp;":"&amp;BG117&amp;MATCH(BG29,'数出表_Excel（アレルギー入力）'!$A:$A,0)-1&amp;"")&lt;&gt;"",0)+1),
 "")="",
0,
IFERROR(
INDEX(INDIRECT("'数出表_Excel（アレルギー入力）'!"&amp;BB115&amp;MATCH(BG29,'数出表_Excel（アレルギー入力）'!$A:$A,0)-1&amp;":"&amp;BG117&amp;MATCH(BG29,'数出表_Excel（アレルギー入力）'!$A:$A,0)-1&amp;""),
 1,
MATCH(TRUE,INDIRECT("'数出表_Excel（アレルギー入力）'!"&amp;BB115&amp;MATCH(BG29,'数出表_Excel（アレルギー入力）'!$A:$A,0)-1&amp;":"&amp;BG117&amp;MATCH(BG29,'数出表_Excel（アレルギー入力）'!$A:$A,0)-1&amp;"")&lt;&gt;"",0)+1),
 "")),IFERROR(
INDEX(INDIRECT("'数出表_Excel（アレルギー入力）'!"&amp;BB115&amp;MATCH(BG29,'数出表_Excel（アレルギー入力）'!$A:$A,0)-1&amp;":"&amp;BG117&amp;MATCH(BG29,'数出表_Excel（アレルギー入力）'!$A:$A,0)-1&amp;""),
 1,
MATCH(TRUE,INDIRECT("'数出表_Excel（アレルギー入力）'!"&amp;BB115&amp;MATCH(BG29,'数出表_Excel（アレルギー入力）'!$A:$A,0)-1&amp;":"&amp;BG117&amp;MATCH(BG29,'数出表_Excel（アレルギー入力）'!$A:$A,0)-1&amp;"")&lt;&gt;"",0)+1),
 "")),0)</f>
        <v>0</v>
      </c>
      <c r="BJ115" s="84" t="str" cm="1">
        <f t="array" aca="1" ref="BJ115" ca="1">IF(BK113&lt;&gt;"",SUBSTITUTE(ADDRESS(1,
(COLUMN(INDIRECT("数出表_Excel!"&amp;BJ113&amp;1&amp;""))-2 +
MATCH(TRUE, ISNUMBER(--INDIRECT("数出表_Excel!"&amp;BJ113&amp; (MATCH(INDIRECT(""&amp;BO113&amp;ROW()-86&amp;""),数出表_Excel!$A:$A,0)-1) &amp; ":U" &amp; (MATCH(INDIRECT(""&amp;BO113&amp;ROW()-86&amp;""),数出表_Excel!$A:$A,0)-1))), 0))
*2,4),"1",""),"")</f>
        <v/>
      </c>
      <c r="BK115" s="249" t="str">
        <f ca="1">IF(BK116&lt;&gt;"","園児","")</f>
        <v/>
      </c>
      <c r="BL115" s="250"/>
      <c r="BM115" s="251" t="str">
        <f ca="1">IF(BK116&lt;&gt;"","先生","")</f>
        <v/>
      </c>
      <c r="BN115" s="250"/>
      <c r="BO115" s="97" cm="1">
        <f t="array" aca="1" ref="BO115" ca="1">IF(BK113&lt;&gt;"",
IF(IFERROR(
INDEX(INDIRECT("'数出表_Excel（アレルギー入力）'!"&amp;BJ115&amp;MATCH(BO29,'数出表_Excel（アレルギー入力）'!$A:$A,0)-1&amp;":"&amp;BO117&amp;MATCH(BO29,'数出表_Excel（アレルギー入力）'!$A:$A,0)-1&amp;""),
 1,
MATCH(TRUE,INDIRECT("'数出表_Excel（アレルギー入力）'!"&amp;BJ115&amp;MATCH(BO29,'数出表_Excel（アレルギー入力）'!$A:$A,0)-1&amp;":"&amp;BO117&amp;MATCH(BO29,'数出表_Excel（アレルギー入力）'!$A:$A,0)-1&amp;"")&lt;&gt;"",0)+1),
 "")&lt;&gt;0,
IF(IFERROR(
INDEX(INDIRECT("'数出表_Excel（アレルギー入力）'!"&amp;BJ115&amp;MATCH(BO29,'数出表_Excel（アレルギー入力）'!$A:$A,0)-1&amp;":"&amp;BO117&amp;MATCH(BO29,'数出表_Excel（アレルギー入力）'!$A:$A,0)-1&amp;""),
 1,
MATCH(TRUE,INDIRECT("'数出表_Excel（アレルギー入力）'!"&amp;BJ115&amp;MATCH(BO29,'数出表_Excel（アレルギー入力）'!$A:$A,0)-1&amp;":"&amp;BO117&amp;MATCH(BO29,'数出表_Excel（アレルギー入力）'!$A:$A,0)-1&amp;"")&lt;&gt;"",0)+1),
 "")="",
0,
IFERROR(
INDEX(INDIRECT("'数出表_Excel（アレルギー入力）'!"&amp;BJ115&amp;MATCH(BO29,'数出表_Excel（アレルギー入力）'!$A:$A,0)-1&amp;":"&amp;BO117&amp;MATCH(BO29,'数出表_Excel（アレルギー入力）'!$A:$A,0)-1&amp;""),
 1,
MATCH(TRUE,INDIRECT("'数出表_Excel（アレルギー入力）'!"&amp;BJ115&amp;MATCH(BO29,'数出表_Excel（アレルギー入力）'!$A:$A,0)-1&amp;":"&amp;BO117&amp;MATCH(BO29,'数出表_Excel（アレルギー入力）'!$A:$A,0)-1&amp;"")&lt;&gt;"",0)+1),
 "")),IFERROR(
INDEX(INDIRECT("'数出表_Excel（アレルギー入力）'!"&amp;BJ115&amp;MATCH(BO29,'数出表_Excel（アレルギー入力）'!$A:$A,0)-1&amp;":"&amp;BO117&amp;MATCH(BO29,'数出表_Excel（アレルギー入力）'!$A:$A,0)-1&amp;""),
 1,
MATCH(TRUE,INDIRECT("'数出表_Excel（アレルギー入力）'!"&amp;BJ115&amp;MATCH(BO29,'数出表_Excel（アレルギー入力）'!$A:$A,0)-1&amp;":"&amp;BO117&amp;MATCH(BO29,'数出表_Excel（アレルギー入力）'!$A:$A,0)-1&amp;"")&lt;&gt;"",0)+1),
 "")),0)</f>
        <v>0</v>
      </c>
      <c r="BP115" s="76"/>
      <c r="BQ115" s="84" t="str" cm="1">
        <f t="array" aca="1" ref="BQ115" ca="1">IF(BR113&lt;&gt;"",SUBSTITUTE(ADDRESS(1,
(COLUMN(INDIRECT("数出表_Excel!"&amp;BQ113&amp;1&amp;""))-2 +
MATCH(TRUE, ISNUMBER(--INDIRECT("数出表_Excel!"&amp;BQ113&amp; (MATCH(INDIRECT(""&amp;BV113&amp;ROW()-86&amp;""),数出表_Excel!$A:$A,0)-1) &amp; ":U" &amp; (MATCH(INDIRECT(""&amp;BV113&amp;ROW()-86&amp;""),数出表_Excel!$A:$A,0)-1))), 0))
*2,4),"1",""),"")</f>
        <v/>
      </c>
      <c r="BR115" s="249" t="str">
        <f ca="1">IF(BR116&lt;&gt;"","園児","")</f>
        <v/>
      </c>
      <c r="BS115" s="250"/>
      <c r="BT115" s="251" t="str">
        <f ca="1">IF(BR116&lt;&gt;"","先生","")</f>
        <v/>
      </c>
      <c r="BU115" s="250"/>
      <c r="BV115" s="97" cm="1">
        <f t="array" aca="1" ref="BV115" ca="1">IF(BR113&lt;&gt;"",
IF(IFERROR(
INDEX(INDIRECT("'数出表_Excel（アレルギー入力）'!"&amp;BQ115&amp;MATCH(BV29,'数出表_Excel（アレルギー入力）'!$A:$A,0)-1&amp;":"&amp;BV117&amp;MATCH(BV29,'数出表_Excel（アレルギー入力）'!$A:$A,0)-1&amp;""),
 1,
MATCH(TRUE,INDIRECT("'数出表_Excel（アレルギー入力）'!"&amp;BQ115&amp;MATCH(BV29,'数出表_Excel（アレルギー入力）'!$A:$A,0)-1&amp;":"&amp;BV117&amp;MATCH(BV29,'数出表_Excel（アレルギー入力）'!$A:$A,0)-1&amp;"")&lt;&gt;"",0)+1),
 "")&lt;&gt;0,
IF(IFERROR(
INDEX(INDIRECT("'数出表_Excel（アレルギー入力）'!"&amp;BQ115&amp;MATCH(BV29,'数出表_Excel（アレルギー入力）'!$A:$A,0)-1&amp;":"&amp;BV117&amp;MATCH(BV29,'数出表_Excel（アレルギー入力）'!$A:$A,0)-1&amp;""),
 1,
MATCH(TRUE,INDIRECT("'数出表_Excel（アレルギー入力）'!"&amp;BQ115&amp;MATCH(BV29,'数出表_Excel（アレルギー入力）'!$A:$A,0)-1&amp;":"&amp;BV117&amp;MATCH(BV29,'数出表_Excel（アレルギー入力）'!$A:$A,0)-1&amp;"")&lt;&gt;"",0)+1),
 "")="",
0,
IFERROR(
INDEX(INDIRECT("'数出表_Excel（アレルギー入力）'!"&amp;BQ115&amp;MATCH(BV29,'数出表_Excel（アレルギー入力）'!$A:$A,0)-1&amp;":"&amp;BV117&amp;MATCH(BV29,'数出表_Excel（アレルギー入力）'!$A:$A,0)-1&amp;""),
 1,
MATCH(TRUE,INDIRECT("'数出表_Excel（アレルギー入力）'!"&amp;BQ115&amp;MATCH(BV29,'数出表_Excel（アレルギー入力）'!$A:$A,0)-1&amp;":"&amp;BV117&amp;MATCH(BV29,'数出表_Excel（アレルギー入力）'!$A:$A,0)-1&amp;"")&lt;&gt;"",0)+1),
 "")),IFERROR(
INDEX(INDIRECT("'数出表_Excel（アレルギー入力）'!"&amp;BQ115&amp;MATCH(BV29,'数出表_Excel（アレルギー入力）'!$A:$A,0)-1&amp;":"&amp;BV117&amp;MATCH(BV29,'数出表_Excel（アレルギー入力）'!$A:$A,0)-1&amp;""),
 1,
MATCH(TRUE,INDIRECT("'数出表_Excel（アレルギー入力）'!"&amp;BQ115&amp;MATCH(BV29,'数出表_Excel（アレルギー入力）'!$A:$A,0)-1&amp;":"&amp;BV117&amp;MATCH(BV29,'数出表_Excel（アレルギー入力）'!$A:$A,0)-1&amp;"")&lt;&gt;"",0)+1),
 "")),0)</f>
        <v>0</v>
      </c>
      <c r="BY115" s="84" t="str" cm="1">
        <f t="array" aca="1" ref="BY115" ca="1">IF(BZ113&lt;&gt;"",SUBSTITUTE(ADDRESS(1,
(COLUMN(INDIRECT("数出表_Excel!"&amp;BY113&amp;1&amp;""))-2 +
MATCH(TRUE, ISNUMBER(--INDIRECT("数出表_Excel!"&amp;BY113&amp; (MATCH(INDIRECT(""&amp;CD113&amp;ROW()-86&amp;""),数出表_Excel!$A:$A,0)-1) &amp; ":U" &amp; (MATCH(INDIRECT(""&amp;CD113&amp;ROW()-86&amp;""),数出表_Excel!$A:$A,0)-1))), 0))
*2,4),"1",""),"")</f>
        <v/>
      </c>
      <c r="BZ115" s="249" t="str">
        <f ca="1">IF(BZ116&lt;&gt;"","園児","")</f>
        <v/>
      </c>
      <c r="CA115" s="250"/>
      <c r="CB115" s="251" t="str">
        <f ca="1">IF(BZ116&lt;&gt;"","先生","")</f>
        <v/>
      </c>
      <c r="CC115" s="250"/>
      <c r="CD115" s="97" cm="1">
        <f t="array" aca="1" ref="CD115" ca="1">IF(BZ113&lt;&gt;"",
IF(IFERROR(
INDEX(INDIRECT("'数出表_Excel（アレルギー入力）'!"&amp;BY115&amp;MATCH(CD29,'数出表_Excel（アレルギー入力）'!$A:$A,0)-1&amp;":"&amp;CD117&amp;MATCH(CD29,'数出表_Excel（アレルギー入力）'!$A:$A,0)-1&amp;""),
 1,
MATCH(TRUE,INDIRECT("'数出表_Excel（アレルギー入力）'!"&amp;BY115&amp;MATCH(CD29,'数出表_Excel（アレルギー入力）'!$A:$A,0)-1&amp;":"&amp;CD117&amp;MATCH(CD29,'数出表_Excel（アレルギー入力）'!$A:$A,0)-1&amp;"")&lt;&gt;"",0)+1),
 "")&lt;&gt;0,
IF(IFERROR(
INDEX(INDIRECT("'数出表_Excel（アレルギー入力）'!"&amp;BY115&amp;MATCH(CD29,'数出表_Excel（アレルギー入力）'!$A:$A,0)-1&amp;":"&amp;CD117&amp;MATCH(CD29,'数出表_Excel（アレルギー入力）'!$A:$A,0)-1&amp;""),
 1,
MATCH(TRUE,INDIRECT("'数出表_Excel（アレルギー入力）'!"&amp;BY115&amp;MATCH(CD29,'数出表_Excel（アレルギー入力）'!$A:$A,0)-1&amp;":"&amp;CD117&amp;MATCH(CD29,'数出表_Excel（アレルギー入力）'!$A:$A,0)-1&amp;"")&lt;&gt;"",0)+1),
 "")="",
0,
IFERROR(
INDEX(INDIRECT("'数出表_Excel（アレルギー入力）'!"&amp;BY115&amp;MATCH(CD29,'数出表_Excel（アレルギー入力）'!$A:$A,0)-1&amp;":"&amp;CD117&amp;MATCH(CD29,'数出表_Excel（アレルギー入力）'!$A:$A,0)-1&amp;""),
 1,
MATCH(TRUE,INDIRECT("'数出表_Excel（アレルギー入力）'!"&amp;BY115&amp;MATCH(CD29,'数出表_Excel（アレルギー入力）'!$A:$A,0)-1&amp;":"&amp;CD117&amp;MATCH(CD29,'数出表_Excel（アレルギー入力）'!$A:$A,0)-1&amp;"")&lt;&gt;"",0)+1),
 "")),IFERROR(
INDEX(INDIRECT("'数出表_Excel（アレルギー入力）'!"&amp;BY115&amp;MATCH(CD29,'数出表_Excel（アレルギー入力）'!$A:$A,0)-1&amp;":"&amp;CD117&amp;MATCH(CD29,'数出表_Excel（アレルギー入力）'!$A:$A,0)-1&amp;""),
 1,
MATCH(TRUE,INDIRECT("'数出表_Excel（アレルギー入力）'!"&amp;BY115&amp;MATCH(CD29,'数出表_Excel（アレルギー入力）'!$A:$A,0)-1&amp;":"&amp;CD117&amp;MATCH(CD29,'数出表_Excel（アレルギー入力）'!$A:$A,0)-1&amp;"")&lt;&gt;"",0)+1),
 "")),0)</f>
        <v>0</v>
      </c>
      <c r="CE115" s="76"/>
      <c r="CF115" s="84" t="str" cm="1">
        <f t="array" aca="1" ref="CF115" ca="1">IF(CG113&lt;&gt;"",SUBSTITUTE(ADDRESS(1,
(COLUMN(INDIRECT("数出表_Excel!"&amp;CF113&amp;1&amp;""))-2 +
MATCH(TRUE, ISNUMBER(--INDIRECT("数出表_Excel!"&amp;CF113&amp; (MATCH(INDIRECT(""&amp;CK113&amp;ROW()-86&amp;""),数出表_Excel!$A:$A,0)-1) &amp; ":U" &amp; (MATCH(INDIRECT(""&amp;CK113&amp;ROW()-86&amp;""),数出表_Excel!$A:$A,0)-1))), 0))
*2,4),"1",""),"")</f>
        <v/>
      </c>
      <c r="CG115" s="249" t="str">
        <f ca="1">IF(CG116&lt;&gt;"","園児","")</f>
        <v/>
      </c>
      <c r="CH115" s="250"/>
      <c r="CI115" s="251" t="str">
        <f ca="1">IF(CG116&lt;&gt;"","先生","")</f>
        <v/>
      </c>
      <c r="CJ115" s="250"/>
      <c r="CK115" s="97" cm="1">
        <f t="array" aca="1" ref="CK115" ca="1">IF(CG113&lt;&gt;"",
IF(IFERROR(
INDEX(INDIRECT("'数出表_Excel（アレルギー入力）'!"&amp;CF115&amp;MATCH(CK29,'数出表_Excel（アレルギー入力）'!$A:$A,0)-1&amp;":"&amp;CK117&amp;MATCH(CK29,'数出表_Excel（アレルギー入力）'!$A:$A,0)-1&amp;""),
 1,
MATCH(TRUE,INDIRECT("'数出表_Excel（アレルギー入力）'!"&amp;CF115&amp;MATCH(CK29,'数出表_Excel（アレルギー入力）'!$A:$A,0)-1&amp;":"&amp;CK117&amp;MATCH(CK29,'数出表_Excel（アレルギー入力）'!$A:$A,0)-1&amp;"")&lt;&gt;"",0)+1),
 "")&lt;&gt;0,
IF(IFERROR(
INDEX(INDIRECT("'数出表_Excel（アレルギー入力）'!"&amp;CF115&amp;MATCH(CK29,'数出表_Excel（アレルギー入力）'!$A:$A,0)-1&amp;":"&amp;CK117&amp;MATCH(CK29,'数出表_Excel（アレルギー入力）'!$A:$A,0)-1&amp;""),
 1,
MATCH(TRUE,INDIRECT("'数出表_Excel（アレルギー入力）'!"&amp;CF115&amp;MATCH(CK29,'数出表_Excel（アレルギー入力）'!$A:$A,0)-1&amp;":"&amp;CK117&amp;MATCH(CK29,'数出表_Excel（アレルギー入力）'!$A:$A,0)-1&amp;"")&lt;&gt;"",0)+1),
 "")="",
0,
IFERROR(
INDEX(INDIRECT("'数出表_Excel（アレルギー入力）'!"&amp;CF115&amp;MATCH(CK29,'数出表_Excel（アレルギー入力）'!$A:$A,0)-1&amp;":"&amp;CK117&amp;MATCH(CK29,'数出表_Excel（アレルギー入力）'!$A:$A,0)-1&amp;""),
 1,
MATCH(TRUE,INDIRECT("'数出表_Excel（アレルギー入力）'!"&amp;CF115&amp;MATCH(CK29,'数出表_Excel（アレルギー入力）'!$A:$A,0)-1&amp;":"&amp;CK117&amp;MATCH(CK29,'数出表_Excel（アレルギー入力）'!$A:$A,0)-1&amp;"")&lt;&gt;"",0)+1),
 "")),IFERROR(
INDEX(INDIRECT("'数出表_Excel（アレルギー入力）'!"&amp;CF115&amp;MATCH(CK29,'数出表_Excel（アレルギー入力）'!$A:$A,0)-1&amp;":"&amp;CK117&amp;MATCH(CK29,'数出表_Excel（アレルギー入力）'!$A:$A,0)-1&amp;""),
 1,
MATCH(TRUE,INDIRECT("'数出表_Excel（アレルギー入力）'!"&amp;CF115&amp;MATCH(CK29,'数出表_Excel（アレルギー入力）'!$A:$A,0)-1&amp;":"&amp;CK117&amp;MATCH(CK29,'数出表_Excel（アレルギー入力）'!$A:$A,0)-1&amp;"")&lt;&gt;"",0)+1),
 "")),0)</f>
        <v>0</v>
      </c>
      <c r="CN115" s="84" t="str" cm="1">
        <f t="array" aca="1" ref="CN115" ca="1">IF(CO113&lt;&gt;"",SUBSTITUTE(ADDRESS(1,
(COLUMN(INDIRECT("数出表_Excel!"&amp;CN113&amp;1&amp;""))-2 +
MATCH(TRUE, ISNUMBER(--INDIRECT("数出表_Excel!"&amp;CN113&amp; (MATCH(INDIRECT(""&amp;CS113&amp;ROW()-86&amp;""),数出表_Excel!$A:$A,0)-1) &amp; ":U" &amp; (MATCH(INDIRECT(""&amp;CS113&amp;ROW()-86&amp;""),数出表_Excel!$A:$A,0)-1))), 0))
*2,4),"1",""),"")</f>
        <v/>
      </c>
      <c r="CO115" s="249" t="str">
        <f ca="1">IF(CO116&lt;&gt;"","園児","")</f>
        <v/>
      </c>
      <c r="CP115" s="250"/>
      <c r="CQ115" s="251" t="str">
        <f ca="1">IF(CO116&lt;&gt;"","先生","")</f>
        <v/>
      </c>
      <c r="CR115" s="250"/>
      <c r="CS115" s="97" cm="1">
        <f t="array" aca="1" ref="CS115" ca="1">IF(CO113&lt;&gt;"",
IF(IFERROR(
INDEX(INDIRECT("'数出表_Excel（アレルギー入力）'!"&amp;CN115&amp;MATCH(CS29,'数出表_Excel（アレルギー入力）'!$A:$A,0)-1&amp;":"&amp;CS117&amp;MATCH(CS29,'数出表_Excel（アレルギー入力）'!$A:$A,0)-1&amp;""),
 1,
MATCH(TRUE,INDIRECT("'数出表_Excel（アレルギー入力）'!"&amp;CN115&amp;MATCH(CS29,'数出表_Excel（アレルギー入力）'!$A:$A,0)-1&amp;":"&amp;CS117&amp;MATCH(CS29,'数出表_Excel（アレルギー入力）'!$A:$A,0)-1&amp;"")&lt;&gt;"",0)+1),
 "")&lt;&gt;0,
IF(IFERROR(
INDEX(INDIRECT("'数出表_Excel（アレルギー入力）'!"&amp;CN115&amp;MATCH(CS29,'数出表_Excel（アレルギー入力）'!$A:$A,0)-1&amp;":"&amp;CS117&amp;MATCH(CS29,'数出表_Excel（アレルギー入力）'!$A:$A,0)-1&amp;""),
 1,
MATCH(TRUE,INDIRECT("'数出表_Excel（アレルギー入力）'!"&amp;CN115&amp;MATCH(CS29,'数出表_Excel（アレルギー入力）'!$A:$A,0)-1&amp;":"&amp;CS117&amp;MATCH(CS29,'数出表_Excel（アレルギー入力）'!$A:$A,0)-1&amp;"")&lt;&gt;"",0)+1),
 "")="",
0,
IFERROR(
INDEX(INDIRECT("'数出表_Excel（アレルギー入力）'!"&amp;CN115&amp;MATCH(CS29,'数出表_Excel（アレルギー入力）'!$A:$A,0)-1&amp;":"&amp;CS117&amp;MATCH(CS29,'数出表_Excel（アレルギー入力）'!$A:$A,0)-1&amp;""),
 1,
MATCH(TRUE,INDIRECT("'数出表_Excel（アレルギー入力）'!"&amp;CN115&amp;MATCH(CS29,'数出表_Excel（アレルギー入力）'!$A:$A,0)-1&amp;":"&amp;CS117&amp;MATCH(CS29,'数出表_Excel（アレルギー入力）'!$A:$A,0)-1&amp;"")&lt;&gt;"",0)+1),
 "")),IFERROR(
INDEX(INDIRECT("'数出表_Excel（アレルギー入力）'!"&amp;CN115&amp;MATCH(CS29,'数出表_Excel（アレルギー入力）'!$A:$A,0)-1&amp;":"&amp;CS117&amp;MATCH(CS29,'数出表_Excel（アレルギー入力）'!$A:$A,0)-1&amp;""),
 1,
MATCH(TRUE,INDIRECT("'数出表_Excel（アレルギー入力）'!"&amp;CN115&amp;MATCH(CS29,'数出表_Excel（アレルギー入力）'!$A:$A,0)-1&amp;":"&amp;CS117&amp;MATCH(CS29,'数出表_Excel（アレルギー入力）'!$A:$A,0)-1&amp;"")&lt;&gt;"",0)+1),
 "")),0)</f>
        <v>0</v>
      </c>
      <c r="CT115" s="76"/>
      <c r="CU115" s="84" t="str" cm="1">
        <f t="array" aca="1" ref="CU115" ca="1">IF(CV113&lt;&gt;"",SUBSTITUTE(ADDRESS(1,
(COLUMN(INDIRECT("数出表_Excel!"&amp;CU113&amp;1&amp;""))-2 +
MATCH(TRUE, ISNUMBER(--INDIRECT("数出表_Excel!"&amp;CU113&amp; (MATCH(INDIRECT(""&amp;CZ113&amp;ROW()-86&amp;""),数出表_Excel!$A:$A,0)-1) &amp; ":U" &amp; (MATCH(INDIRECT(""&amp;CZ113&amp;ROW()-86&amp;""),数出表_Excel!$A:$A,0)-1))), 0))
*2,4),"1",""),"")</f>
        <v/>
      </c>
      <c r="CV115" s="249" t="str">
        <f ca="1">IF(CV116&lt;&gt;"","園児","")</f>
        <v/>
      </c>
      <c r="CW115" s="250"/>
      <c r="CX115" s="251" t="str">
        <f ca="1">IF(CV116&lt;&gt;"","先生","")</f>
        <v/>
      </c>
      <c r="CY115" s="250"/>
      <c r="CZ115" s="97" cm="1">
        <f t="array" aca="1" ref="CZ115" ca="1">IF(CV113&lt;&gt;"",
IF(IFERROR(
INDEX(INDIRECT("'数出表_Excel（アレルギー入力）'!"&amp;CU115&amp;MATCH(CZ29,'数出表_Excel（アレルギー入力）'!$A:$A,0)-1&amp;":"&amp;CZ117&amp;MATCH(CZ29,'数出表_Excel（アレルギー入力）'!$A:$A,0)-1&amp;""),
 1,
MATCH(TRUE,INDIRECT("'数出表_Excel（アレルギー入力）'!"&amp;CU115&amp;MATCH(CZ29,'数出表_Excel（アレルギー入力）'!$A:$A,0)-1&amp;":"&amp;CZ117&amp;MATCH(CZ29,'数出表_Excel（アレルギー入力）'!$A:$A,0)-1&amp;"")&lt;&gt;"",0)+1),
 "")&lt;&gt;0,
IF(IFERROR(
INDEX(INDIRECT("'数出表_Excel（アレルギー入力）'!"&amp;CU115&amp;MATCH(CZ29,'数出表_Excel（アレルギー入力）'!$A:$A,0)-1&amp;":"&amp;CZ117&amp;MATCH(CZ29,'数出表_Excel（アレルギー入力）'!$A:$A,0)-1&amp;""),
 1,
MATCH(TRUE,INDIRECT("'数出表_Excel（アレルギー入力）'!"&amp;CU115&amp;MATCH(CZ29,'数出表_Excel（アレルギー入力）'!$A:$A,0)-1&amp;":"&amp;CZ117&amp;MATCH(CZ29,'数出表_Excel（アレルギー入力）'!$A:$A,0)-1&amp;"")&lt;&gt;"",0)+1),
 "")="",
0,
IFERROR(
INDEX(INDIRECT("'数出表_Excel（アレルギー入力）'!"&amp;CU115&amp;MATCH(CZ29,'数出表_Excel（アレルギー入力）'!$A:$A,0)-1&amp;":"&amp;CZ117&amp;MATCH(CZ29,'数出表_Excel（アレルギー入力）'!$A:$A,0)-1&amp;""),
 1,
MATCH(TRUE,INDIRECT("'数出表_Excel（アレルギー入力）'!"&amp;CU115&amp;MATCH(CZ29,'数出表_Excel（アレルギー入力）'!$A:$A,0)-1&amp;":"&amp;CZ117&amp;MATCH(CZ29,'数出表_Excel（アレルギー入力）'!$A:$A,0)-1&amp;"")&lt;&gt;"",0)+1),
 "")),IFERROR(
INDEX(INDIRECT("'数出表_Excel（アレルギー入力）'!"&amp;CU115&amp;MATCH(CZ29,'数出表_Excel（アレルギー入力）'!$A:$A,0)-1&amp;":"&amp;CZ117&amp;MATCH(CZ29,'数出表_Excel（アレルギー入力）'!$A:$A,0)-1&amp;""),
 1,
MATCH(TRUE,INDIRECT("'数出表_Excel（アレルギー入力）'!"&amp;CU115&amp;MATCH(CZ29,'数出表_Excel（アレルギー入力）'!$A:$A,0)-1&amp;":"&amp;CZ117&amp;MATCH(CZ29,'数出表_Excel（アレルギー入力）'!$A:$A,0)-1&amp;"")&lt;&gt;"",0)+1),
 "")),0)</f>
        <v>0</v>
      </c>
      <c r="DC115" s="84" t="str" cm="1">
        <f t="array" aca="1" ref="DC115" ca="1">IF(DD113&lt;&gt;"",SUBSTITUTE(ADDRESS(1,
(COLUMN(INDIRECT("数出表_Excel!"&amp;DC113&amp;1&amp;""))-2 +
MATCH(TRUE, ISNUMBER(--INDIRECT("数出表_Excel!"&amp;DC113&amp; (MATCH(INDIRECT(""&amp;DH113&amp;ROW()-86&amp;""),数出表_Excel!$A:$A,0)-1) &amp; ":U" &amp; (MATCH(INDIRECT(""&amp;DH113&amp;ROW()-86&amp;""),数出表_Excel!$A:$A,0)-1))), 0))
*2,4),"1",""),"")</f>
        <v/>
      </c>
      <c r="DD115" s="249" t="str">
        <f ca="1">IF(DD116&lt;&gt;"","園児","")</f>
        <v/>
      </c>
      <c r="DE115" s="250"/>
      <c r="DF115" s="251" t="str">
        <f ca="1">IF(DD116&lt;&gt;"","先生","")</f>
        <v/>
      </c>
      <c r="DG115" s="250"/>
      <c r="DH115" s="97" cm="1">
        <f t="array" aca="1" ref="DH115" ca="1">IF(DD113&lt;&gt;"",
IF(IFERROR(
INDEX(INDIRECT("'数出表_Excel（アレルギー入力）'!"&amp;DC115&amp;MATCH(DH29,'数出表_Excel（アレルギー入力）'!$A:$A,0)-1&amp;":"&amp;DH117&amp;MATCH(DH29,'数出表_Excel（アレルギー入力）'!$A:$A,0)-1&amp;""),
 1,
MATCH(TRUE,INDIRECT("'数出表_Excel（アレルギー入力）'!"&amp;DC115&amp;MATCH(DH29,'数出表_Excel（アレルギー入力）'!$A:$A,0)-1&amp;":"&amp;DH117&amp;MATCH(DH29,'数出表_Excel（アレルギー入力）'!$A:$A,0)-1&amp;"")&lt;&gt;"",0)+1),
 "")&lt;&gt;0,
IF(IFERROR(
INDEX(INDIRECT("'数出表_Excel（アレルギー入力）'!"&amp;DC115&amp;MATCH(DH29,'数出表_Excel（アレルギー入力）'!$A:$A,0)-1&amp;":"&amp;DH117&amp;MATCH(DH29,'数出表_Excel（アレルギー入力）'!$A:$A,0)-1&amp;""),
 1,
MATCH(TRUE,INDIRECT("'数出表_Excel（アレルギー入力）'!"&amp;DC115&amp;MATCH(DH29,'数出表_Excel（アレルギー入力）'!$A:$A,0)-1&amp;":"&amp;DH117&amp;MATCH(DH29,'数出表_Excel（アレルギー入力）'!$A:$A,0)-1&amp;"")&lt;&gt;"",0)+1),
 "")="",
0,
IFERROR(
INDEX(INDIRECT("'数出表_Excel（アレルギー入力）'!"&amp;DC115&amp;MATCH(DH29,'数出表_Excel（アレルギー入力）'!$A:$A,0)-1&amp;":"&amp;DH117&amp;MATCH(DH29,'数出表_Excel（アレルギー入力）'!$A:$A,0)-1&amp;""),
 1,
MATCH(TRUE,INDIRECT("'数出表_Excel（アレルギー入力）'!"&amp;DC115&amp;MATCH(DH29,'数出表_Excel（アレルギー入力）'!$A:$A,0)-1&amp;":"&amp;DH117&amp;MATCH(DH29,'数出表_Excel（アレルギー入力）'!$A:$A,0)-1&amp;"")&lt;&gt;"",0)+1),
 "")),IFERROR(
INDEX(INDIRECT("'数出表_Excel（アレルギー入力）'!"&amp;DC115&amp;MATCH(DH29,'数出表_Excel（アレルギー入力）'!$A:$A,0)-1&amp;":"&amp;DH117&amp;MATCH(DH29,'数出表_Excel（アレルギー入力）'!$A:$A,0)-1&amp;""),
 1,
MATCH(TRUE,INDIRECT("'数出表_Excel（アレルギー入力）'!"&amp;DC115&amp;MATCH(DH29,'数出表_Excel（アレルギー入力）'!$A:$A,0)-1&amp;":"&amp;DH117&amp;MATCH(DH29,'数出表_Excel（アレルギー入力）'!$A:$A,0)-1&amp;"")&lt;&gt;"",0)+1),
 "")),0)</f>
        <v>0</v>
      </c>
      <c r="DI115" s="76"/>
      <c r="DJ115" s="84" t="str" cm="1">
        <f t="array" aca="1" ref="DJ115" ca="1">IF(DK113&lt;&gt;"",SUBSTITUTE(ADDRESS(1,
(COLUMN(INDIRECT("数出表_Excel!"&amp;DJ113&amp;1&amp;""))-2 +
MATCH(TRUE, ISNUMBER(--INDIRECT("数出表_Excel!"&amp;DJ113&amp; (MATCH(INDIRECT(""&amp;DO113&amp;ROW()-86&amp;""),数出表_Excel!$A:$A,0)-1) &amp; ":U" &amp; (MATCH(INDIRECT(""&amp;DO113&amp;ROW()-86&amp;""),数出表_Excel!$A:$A,0)-1))), 0))
*2,4),"1",""),"")</f>
        <v/>
      </c>
      <c r="DK115" s="249" t="str">
        <f ca="1">IF(DK116&lt;&gt;"","園児","")</f>
        <v/>
      </c>
      <c r="DL115" s="250"/>
      <c r="DM115" s="251" t="str">
        <f ca="1">IF(DK116&lt;&gt;"","先生","")</f>
        <v/>
      </c>
      <c r="DN115" s="250"/>
      <c r="DO115" s="97" cm="1">
        <f t="array" aca="1" ref="DO115" ca="1">IF(DK113&lt;&gt;"",
IF(IFERROR(
INDEX(INDIRECT("'数出表_Excel（アレルギー入力）'!"&amp;DJ115&amp;MATCH(DO29,'数出表_Excel（アレルギー入力）'!$A:$A,0)-1&amp;":"&amp;DO117&amp;MATCH(DO29,'数出表_Excel（アレルギー入力）'!$A:$A,0)-1&amp;""),
 1,
MATCH(TRUE,INDIRECT("'数出表_Excel（アレルギー入力）'!"&amp;DJ115&amp;MATCH(DO29,'数出表_Excel（アレルギー入力）'!$A:$A,0)-1&amp;":"&amp;DO117&amp;MATCH(DO29,'数出表_Excel（アレルギー入力）'!$A:$A,0)-1&amp;"")&lt;&gt;"",0)+1),
 "")&lt;&gt;0,
IF(IFERROR(
INDEX(INDIRECT("'数出表_Excel（アレルギー入力）'!"&amp;DJ115&amp;MATCH(DO29,'数出表_Excel（アレルギー入力）'!$A:$A,0)-1&amp;":"&amp;DO117&amp;MATCH(DO29,'数出表_Excel（アレルギー入力）'!$A:$A,0)-1&amp;""),
 1,
MATCH(TRUE,INDIRECT("'数出表_Excel（アレルギー入力）'!"&amp;DJ115&amp;MATCH(DO29,'数出表_Excel（アレルギー入力）'!$A:$A,0)-1&amp;":"&amp;DO117&amp;MATCH(DO29,'数出表_Excel（アレルギー入力）'!$A:$A,0)-1&amp;"")&lt;&gt;"",0)+1),
 "")="",
0,
IFERROR(
INDEX(INDIRECT("'数出表_Excel（アレルギー入力）'!"&amp;DJ115&amp;MATCH(DO29,'数出表_Excel（アレルギー入力）'!$A:$A,0)-1&amp;":"&amp;DO117&amp;MATCH(DO29,'数出表_Excel（アレルギー入力）'!$A:$A,0)-1&amp;""),
 1,
MATCH(TRUE,INDIRECT("'数出表_Excel（アレルギー入力）'!"&amp;DJ115&amp;MATCH(DO29,'数出表_Excel（アレルギー入力）'!$A:$A,0)-1&amp;":"&amp;DO117&amp;MATCH(DO29,'数出表_Excel（アレルギー入力）'!$A:$A,0)-1&amp;"")&lt;&gt;"",0)+1),
 "")),IFERROR(
INDEX(INDIRECT("'数出表_Excel（アレルギー入力）'!"&amp;DJ115&amp;MATCH(DO29,'数出表_Excel（アレルギー入力）'!$A:$A,0)-1&amp;":"&amp;DO117&amp;MATCH(DO29,'数出表_Excel（アレルギー入力）'!$A:$A,0)-1&amp;""),
 1,
MATCH(TRUE,INDIRECT("'数出表_Excel（アレルギー入力）'!"&amp;DJ115&amp;MATCH(DO29,'数出表_Excel（アレルギー入力）'!$A:$A,0)-1&amp;":"&amp;DO117&amp;MATCH(DO29,'数出表_Excel（アレルギー入力）'!$A:$A,0)-1&amp;"")&lt;&gt;"",0)+1),
 "")),0)</f>
        <v>0</v>
      </c>
      <c r="DR115" s="84" t="str" cm="1">
        <f t="array" aca="1" ref="DR115" ca="1">IF(DS113&lt;&gt;"",SUBSTITUTE(ADDRESS(1,
(COLUMN(INDIRECT("数出表_Excel!"&amp;DR113&amp;1&amp;""))-2 +
MATCH(TRUE, ISNUMBER(--INDIRECT("数出表_Excel!"&amp;DR113&amp; (MATCH(INDIRECT(""&amp;DW113&amp;ROW()-86&amp;""),数出表_Excel!$A:$A,0)-1) &amp; ":U" &amp; (MATCH(INDIRECT(""&amp;DW113&amp;ROW()-86&amp;""),数出表_Excel!$A:$A,0)-1))), 0))
*2,4),"1",""),"")</f>
        <v/>
      </c>
      <c r="DS115" s="249" t="str">
        <f ca="1">IF(DS116&lt;&gt;"","園児","")</f>
        <v/>
      </c>
      <c r="DT115" s="250"/>
      <c r="DU115" s="251" t="str">
        <f ca="1">IF(DS116&lt;&gt;"","先生","")</f>
        <v/>
      </c>
      <c r="DV115" s="250"/>
      <c r="DW115" s="97" cm="1">
        <f t="array" aca="1" ref="DW115" ca="1">IF(DS113&lt;&gt;"",
IF(IFERROR(
INDEX(INDIRECT("'数出表_Excel（アレルギー入力）'!"&amp;DR115&amp;MATCH(DW29,'数出表_Excel（アレルギー入力）'!$A:$A,0)-1&amp;":"&amp;DW117&amp;MATCH(DW29,'数出表_Excel（アレルギー入力）'!$A:$A,0)-1&amp;""),
 1,
MATCH(TRUE,INDIRECT("'数出表_Excel（アレルギー入力）'!"&amp;DR115&amp;MATCH(DW29,'数出表_Excel（アレルギー入力）'!$A:$A,0)-1&amp;":"&amp;DW117&amp;MATCH(DW29,'数出表_Excel（アレルギー入力）'!$A:$A,0)-1&amp;"")&lt;&gt;"",0)+1),
 "")&lt;&gt;0,
IF(IFERROR(
INDEX(INDIRECT("'数出表_Excel（アレルギー入力）'!"&amp;DR115&amp;MATCH(DW29,'数出表_Excel（アレルギー入力）'!$A:$A,0)-1&amp;":"&amp;DW117&amp;MATCH(DW29,'数出表_Excel（アレルギー入力）'!$A:$A,0)-1&amp;""),
 1,
MATCH(TRUE,INDIRECT("'数出表_Excel（アレルギー入力）'!"&amp;DR115&amp;MATCH(DW29,'数出表_Excel（アレルギー入力）'!$A:$A,0)-1&amp;":"&amp;DW117&amp;MATCH(DW29,'数出表_Excel（アレルギー入力）'!$A:$A,0)-1&amp;"")&lt;&gt;"",0)+1),
 "")="",
0,
IFERROR(
INDEX(INDIRECT("'数出表_Excel（アレルギー入力）'!"&amp;DR115&amp;MATCH(DW29,'数出表_Excel（アレルギー入力）'!$A:$A,0)-1&amp;":"&amp;DW117&amp;MATCH(DW29,'数出表_Excel（アレルギー入力）'!$A:$A,0)-1&amp;""),
 1,
MATCH(TRUE,INDIRECT("'数出表_Excel（アレルギー入力）'!"&amp;DR115&amp;MATCH(DW29,'数出表_Excel（アレルギー入力）'!$A:$A,0)-1&amp;":"&amp;DW117&amp;MATCH(DW29,'数出表_Excel（アレルギー入力）'!$A:$A,0)-1&amp;"")&lt;&gt;"",0)+1),
 "")),IFERROR(
INDEX(INDIRECT("'数出表_Excel（アレルギー入力）'!"&amp;DR115&amp;MATCH(DW29,'数出表_Excel（アレルギー入力）'!$A:$A,0)-1&amp;":"&amp;DW117&amp;MATCH(DW29,'数出表_Excel（アレルギー入力）'!$A:$A,0)-1&amp;""),
 1,
MATCH(TRUE,INDIRECT("'数出表_Excel（アレルギー入力）'!"&amp;DR115&amp;MATCH(DW29,'数出表_Excel（アレルギー入力）'!$A:$A,0)-1&amp;":"&amp;DW117&amp;MATCH(DW29,'数出表_Excel（アレルギー入力）'!$A:$A,0)-1&amp;"")&lt;&gt;"",0)+1),
 "")),0)</f>
        <v>0</v>
      </c>
      <c r="DX115" s="76"/>
      <c r="DY115" s="84" t="str" cm="1">
        <f t="array" aca="1" ref="DY115" ca="1">IF(DZ113&lt;&gt;"",SUBSTITUTE(ADDRESS(1,
(COLUMN(INDIRECT("数出表_Excel!"&amp;DY113&amp;1&amp;""))-2 +
MATCH(TRUE, ISNUMBER(--INDIRECT("数出表_Excel!"&amp;DY113&amp; (MATCH(INDIRECT(""&amp;ED113&amp;ROW()-86&amp;""),数出表_Excel!$A:$A,0)-1) &amp; ":U" &amp; (MATCH(INDIRECT(""&amp;ED113&amp;ROW()-86&amp;""),数出表_Excel!$A:$A,0)-1))), 0))
*2,4),"1",""),"")</f>
        <v/>
      </c>
      <c r="DZ115" s="249" t="str">
        <f ca="1">IF(DZ116&lt;&gt;"","園児","")</f>
        <v/>
      </c>
      <c r="EA115" s="250"/>
      <c r="EB115" s="251" t="str">
        <f ca="1">IF(DZ116&lt;&gt;"","先生","")</f>
        <v/>
      </c>
      <c r="EC115" s="250"/>
      <c r="ED115" s="97" cm="1">
        <f t="array" aca="1" ref="ED115" ca="1">IF(DZ113&lt;&gt;"",
IF(IFERROR(
INDEX(INDIRECT("'数出表_Excel（アレルギー入力）'!"&amp;DY115&amp;MATCH(ED29,'数出表_Excel（アレルギー入力）'!$A:$A,0)-1&amp;":"&amp;ED117&amp;MATCH(ED29,'数出表_Excel（アレルギー入力）'!$A:$A,0)-1&amp;""),
 1,
MATCH(TRUE,INDIRECT("'数出表_Excel（アレルギー入力）'!"&amp;DY115&amp;MATCH(ED29,'数出表_Excel（アレルギー入力）'!$A:$A,0)-1&amp;":"&amp;ED117&amp;MATCH(ED29,'数出表_Excel（アレルギー入力）'!$A:$A,0)-1&amp;"")&lt;&gt;"",0)+1),
 "")&lt;&gt;0,
IF(IFERROR(
INDEX(INDIRECT("'数出表_Excel（アレルギー入力）'!"&amp;DY115&amp;MATCH(ED29,'数出表_Excel（アレルギー入力）'!$A:$A,0)-1&amp;":"&amp;ED117&amp;MATCH(ED29,'数出表_Excel（アレルギー入力）'!$A:$A,0)-1&amp;""),
 1,
MATCH(TRUE,INDIRECT("'数出表_Excel（アレルギー入力）'!"&amp;DY115&amp;MATCH(ED29,'数出表_Excel（アレルギー入力）'!$A:$A,0)-1&amp;":"&amp;ED117&amp;MATCH(ED29,'数出表_Excel（アレルギー入力）'!$A:$A,0)-1&amp;"")&lt;&gt;"",0)+1),
 "")="",
0,
IFERROR(
INDEX(INDIRECT("'数出表_Excel（アレルギー入力）'!"&amp;DY115&amp;MATCH(ED29,'数出表_Excel（アレルギー入力）'!$A:$A,0)-1&amp;":"&amp;ED117&amp;MATCH(ED29,'数出表_Excel（アレルギー入力）'!$A:$A,0)-1&amp;""),
 1,
MATCH(TRUE,INDIRECT("'数出表_Excel（アレルギー入力）'!"&amp;DY115&amp;MATCH(ED29,'数出表_Excel（アレルギー入力）'!$A:$A,0)-1&amp;":"&amp;ED117&amp;MATCH(ED29,'数出表_Excel（アレルギー入力）'!$A:$A,0)-1&amp;"")&lt;&gt;"",0)+1),
 "")),IFERROR(
INDEX(INDIRECT("'数出表_Excel（アレルギー入力）'!"&amp;DY115&amp;MATCH(ED29,'数出表_Excel（アレルギー入力）'!$A:$A,0)-1&amp;":"&amp;ED117&amp;MATCH(ED29,'数出表_Excel（アレルギー入力）'!$A:$A,0)-1&amp;""),
 1,
MATCH(TRUE,INDIRECT("'数出表_Excel（アレルギー入力）'!"&amp;DY115&amp;MATCH(ED29,'数出表_Excel（アレルギー入力）'!$A:$A,0)-1&amp;":"&amp;ED117&amp;MATCH(ED29,'数出表_Excel（アレルギー入力）'!$A:$A,0)-1&amp;"")&lt;&gt;"",0)+1),
 "")),0)</f>
        <v>0</v>
      </c>
      <c r="EG115" s="84" t="str" cm="1">
        <f t="array" aca="1" ref="EG115" ca="1">IF(EH113&lt;&gt;"",SUBSTITUTE(ADDRESS(1,
(COLUMN(INDIRECT("数出表_Excel!"&amp;EG113&amp;1&amp;""))-2 +
MATCH(TRUE, ISNUMBER(--INDIRECT("数出表_Excel!"&amp;EG113&amp; (MATCH(INDIRECT(""&amp;EL113&amp;ROW()-86&amp;""),数出表_Excel!$A:$A,0)-1) &amp; ":U" &amp; (MATCH(INDIRECT(""&amp;EL113&amp;ROW()-86&amp;""),数出表_Excel!$A:$A,0)-1))), 0))
*2,4),"1",""),"")</f>
        <v/>
      </c>
      <c r="EH115" s="249" t="str">
        <f ca="1">IF(EH116&lt;&gt;"","園児","")</f>
        <v/>
      </c>
      <c r="EI115" s="250"/>
      <c r="EJ115" s="251" t="str">
        <f ca="1">IF(EH116&lt;&gt;"","先生","")</f>
        <v/>
      </c>
      <c r="EK115" s="250"/>
      <c r="EL115" s="97" cm="1">
        <f t="array" aca="1" ref="EL115" ca="1">IF(EH113&lt;&gt;"",
IF(IFERROR(
INDEX(INDIRECT("'数出表_Excel（アレルギー入力）'!"&amp;EG115&amp;MATCH(EL29,'数出表_Excel（アレルギー入力）'!$A:$A,0)-1&amp;":"&amp;EL117&amp;MATCH(EL29,'数出表_Excel（アレルギー入力）'!$A:$A,0)-1&amp;""),
 1,
MATCH(TRUE,INDIRECT("'数出表_Excel（アレルギー入力）'!"&amp;EG115&amp;MATCH(EL29,'数出表_Excel（アレルギー入力）'!$A:$A,0)-1&amp;":"&amp;EL117&amp;MATCH(EL29,'数出表_Excel（アレルギー入力）'!$A:$A,0)-1&amp;"")&lt;&gt;"",0)+1),
 "")&lt;&gt;0,
IF(IFERROR(
INDEX(INDIRECT("'数出表_Excel（アレルギー入力）'!"&amp;EG115&amp;MATCH(EL29,'数出表_Excel（アレルギー入力）'!$A:$A,0)-1&amp;":"&amp;EL117&amp;MATCH(EL29,'数出表_Excel（アレルギー入力）'!$A:$A,0)-1&amp;""),
 1,
MATCH(TRUE,INDIRECT("'数出表_Excel（アレルギー入力）'!"&amp;EG115&amp;MATCH(EL29,'数出表_Excel（アレルギー入力）'!$A:$A,0)-1&amp;":"&amp;EL117&amp;MATCH(EL29,'数出表_Excel（アレルギー入力）'!$A:$A,0)-1&amp;"")&lt;&gt;"",0)+1),
 "")="",
0,
IFERROR(
INDEX(INDIRECT("'数出表_Excel（アレルギー入力）'!"&amp;EG115&amp;MATCH(EL29,'数出表_Excel（アレルギー入力）'!$A:$A,0)-1&amp;":"&amp;EL117&amp;MATCH(EL29,'数出表_Excel（アレルギー入力）'!$A:$A,0)-1&amp;""),
 1,
MATCH(TRUE,INDIRECT("'数出表_Excel（アレルギー入力）'!"&amp;EG115&amp;MATCH(EL29,'数出表_Excel（アレルギー入力）'!$A:$A,0)-1&amp;":"&amp;EL117&amp;MATCH(EL29,'数出表_Excel（アレルギー入力）'!$A:$A,0)-1&amp;"")&lt;&gt;"",0)+1),
 "")),IFERROR(
INDEX(INDIRECT("'数出表_Excel（アレルギー入力）'!"&amp;EG115&amp;MATCH(EL29,'数出表_Excel（アレルギー入力）'!$A:$A,0)-1&amp;":"&amp;EL117&amp;MATCH(EL29,'数出表_Excel（アレルギー入力）'!$A:$A,0)-1&amp;""),
 1,
MATCH(TRUE,INDIRECT("'数出表_Excel（アレルギー入力）'!"&amp;EG115&amp;MATCH(EL29,'数出表_Excel（アレルギー入力）'!$A:$A,0)-1&amp;":"&amp;EL117&amp;MATCH(EL29,'数出表_Excel（アレルギー入力）'!$A:$A,0)-1&amp;"")&lt;&gt;"",0)+1),
 "")),0)</f>
        <v>0</v>
      </c>
      <c r="EM115" s="76"/>
      <c r="EN115" s="84" t="str" cm="1">
        <f t="array" aca="1" ref="EN115" ca="1">IF(EO113&lt;&gt;"",SUBSTITUTE(ADDRESS(1,
(COLUMN(INDIRECT("数出表_Excel!"&amp;EN113&amp;1&amp;""))-2 +
MATCH(TRUE, ISNUMBER(--INDIRECT("数出表_Excel!"&amp;EN113&amp; (MATCH(INDIRECT(""&amp;ES113&amp;ROW()-86&amp;""),数出表_Excel!$A:$A,0)-1) &amp; ":U" &amp; (MATCH(INDIRECT(""&amp;ES113&amp;ROW()-86&amp;""),数出表_Excel!$A:$A,0)-1))), 0))
*2,4),"1",""),"")</f>
        <v/>
      </c>
      <c r="EO115" s="249" t="str">
        <f ca="1">IF(EO116&lt;&gt;"","園児","")</f>
        <v/>
      </c>
      <c r="EP115" s="250"/>
      <c r="EQ115" s="251" t="str">
        <f ca="1">IF(EO116&lt;&gt;"","先生","")</f>
        <v/>
      </c>
      <c r="ER115" s="250"/>
      <c r="ES115" s="97" cm="1">
        <f t="array" aca="1" ref="ES115" ca="1">IF(EO113&lt;&gt;"",
IF(IFERROR(
INDEX(INDIRECT("'数出表_Excel（アレルギー入力）'!"&amp;EN115&amp;MATCH(ES29,'数出表_Excel（アレルギー入力）'!$A:$A,0)-1&amp;":"&amp;ES117&amp;MATCH(ES29,'数出表_Excel（アレルギー入力）'!$A:$A,0)-1&amp;""),
 1,
MATCH(TRUE,INDIRECT("'数出表_Excel（アレルギー入力）'!"&amp;EN115&amp;MATCH(ES29,'数出表_Excel（アレルギー入力）'!$A:$A,0)-1&amp;":"&amp;ES117&amp;MATCH(ES29,'数出表_Excel（アレルギー入力）'!$A:$A,0)-1&amp;"")&lt;&gt;"",0)+1),
 "")&lt;&gt;0,
IF(IFERROR(
INDEX(INDIRECT("'数出表_Excel（アレルギー入力）'!"&amp;EN115&amp;MATCH(ES29,'数出表_Excel（アレルギー入力）'!$A:$A,0)-1&amp;":"&amp;ES117&amp;MATCH(ES29,'数出表_Excel（アレルギー入力）'!$A:$A,0)-1&amp;""),
 1,
MATCH(TRUE,INDIRECT("'数出表_Excel（アレルギー入力）'!"&amp;EN115&amp;MATCH(ES29,'数出表_Excel（アレルギー入力）'!$A:$A,0)-1&amp;":"&amp;ES117&amp;MATCH(ES29,'数出表_Excel（アレルギー入力）'!$A:$A,0)-1&amp;"")&lt;&gt;"",0)+1),
 "")="",
0,
IFERROR(
INDEX(INDIRECT("'数出表_Excel（アレルギー入力）'!"&amp;EN115&amp;MATCH(ES29,'数出表_Excel（アレルギー入力）'!$A:$A,0)-1&amp;":"&amp;ES117&amp;MATCH(ES29,'数出表_Excel（アレルギー入力）'!$A:$A,0)-1&amp;""),
 1,
MATCH(TRUE,INDIRECT("'数出表_Excel（アレルギー入力）'!"&amp;EN115&amp;MATCH(ES29,'数出表_Excel（アレルギー入力）'!$A:$A,0)-1&amp;":"&amp;ES117&amp;MATCH(ES29,'数出表_Excel（アレルギー入力）'!$A:$A,0)-1&amp;"")&lt;&gt;"",0)+1),
 "")),IFERROR(
INDEX(INDIRECT("'数出表_Excel（アレルギー入力）'!"&amp;EN115&amp;MATCH(ES29,'数出表_Excel（アレルギー入力）'!$A:$A,0)-1&amp;":"&amp;ES117&amp;MATCH(ES29,'数出表_Excel（アレルギー入力）'!$A:$A,0)-1&amp;""),
 1,
MATCH(TRUE,INDIRECT("'数出表_Excel（アレルギー入力）'!"&amp;EN115&amp;MATCH(ES29,'数出表_Excel（アレルギー入力）'!$A:$A,0)-1&amp;":"&amp;ES117&amp;MATCH(ES29,'数出表_Excel（アレルギー入力）'!$A:$A,0)-1&amp;"")&lt;&gt;"",0)+1),
 "")),0)</f>
        <v>0</v>
      </c>
      <c r="EU115" s="87">
        <v>7</v>
      </c>
      <c r="EV115" s="78" t="str">
        <f t="array" aca="1" ref="EV115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LEN(SUBSTITUTE(_xlfn.FORMULATEXT(EV$109),"=","")))+$EU115)</f>
        <v/>
      </c>
      <c r="EW115" s="78" t="str">
        <f t="array" aca="1" ref="EW115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LEN(SUBSTITUTE(_xlfn.FORMULATEXT(EW$109),"=","")))+$EU115)</f>
        <v/>
      </c>
      <c r="EX115" s="78" t="str">
        <f t="array" aca="1" ref="EX115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LEN(SUBSTITUTE(_xlfn.FORMULATEXT(EX$109),"=","")))+$EU115)</f>
        <v/>
      </c>
      <c r="EY115" s="78" t="str">
        <f t="array" aca="1" ref="EY115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LEN(SUBSTITUTE(_xlfn.FORMULATEXT(EY$109),"=","")))+$EU115)</f>
        <v/>
      </c>
      <c r="EZ115" s="78" t="str">
        <f t="array" aca="1" ref="EZ115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LEN(SUBSTITUTE(_xlfn.FORMULATEXT(EZ$109),"=","")))+$EU115)</f>
        <v/>
      </c>
      <c r="FA115" s="78" t="e">
        <f t="array" aca="1" ref="FA115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LEN(SUBSTITUTE(_xlfn.FORMULATEXT(FA$109),"=","")))+$EU115)</f>
        <v>#VALUE!</v>
      </c>
      <c r="FB115" s="78" t="e">
        <f t="array" aca="1" ref="FB115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LEN(SUBSTITUTE(_xlfn.FORMULATEXT(FB$109),"=","")))+$EU115)</f>
        <v>#VALUE!</v>
      </c>
      <c r="FC115" s="78" t="str">
        <f t="array" aca="1" ref="FC115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LEN(SUBSTITUTE(_xlfn.FORMULATEXT(FC$109),"=","")))+$EU115)</f>
        <v/>
      </c>
      <c r="FD115" s="78" t="e">
        <f t="array" aca="1" ref="FD115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LEN(SUBSTITUTE(_xlfn.FORMULATEXT(FD$109),"=","")))+$EU115)</f>
        <v>#VALUE!</v>
      </c>
      <c r="FE115" s="78" t="str">
        <f t="array" aca="1" ref="FE115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LEN(SUBSTITUTE(_xlfn.FORMULATEXT(FE$109),"=","")))+$EU115)</f>
        <v/>
      </c>
      <c r="FF115" s="78" t="e">
        <f t="array" aca="1" ref="FF115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LEN(SUBSTITUTE(_xlfn.FORMULATEXT(FF$109),"=","")))+$EU115)</f>
        <v>#VALUE!</v>
      </c>
      <c r="FG115" s="78">
        <f t="shared" ca="1" si="9"/>
        <v>0</v>
      </c>
      <c r="FH115" s="78" t="e">
        <f t="array" aca="1" ref="FH115" ca="1">SUMPRODUCT((LEN(EV115:FF115)&gt;0)*1)&gt;0</f>
        <v>#VALUE!</v>
      </c>
      <c r="FI115" s="78" t="str">
        <f t="array" aca="1" ref="FI115" ca="1">IFERROR(SMALL(IF(FG$1:FG$228&lt;&gt;0,FG$1:FG$228),ROW(A115)),"")</f>
        <v/>
      </c>
      <c r="FJ115" s="78" t="str">
        <f t="array" aca="1" ref="FJ115" ca="1">IF($FI115&lt;&gt;"",
INDIRECT(""&amp;IF(COLUMN(EV172)&lt;=26,CHAR(COLUMN(EV172)+64),CHAR(INT((COLUMN(EV172)-1)/26)+64)&amp;CHAR(MOD(COLUMN(EV172)-1,26)+65))&amp;$FI115&amp;""),"")</f>
        <v/>
      </c>
      <c r="FK115" s="78" t="str">
        <f t="array" aca="1" ref="FK115" ca="1">IF($FI115&lt;&gt;"",
INDIRECT(""&amp;IF(COLUMN(EW172)&lt;=26,CHAR(COLUMN(EW172)+64),CHAR(INT((COLUMN(EW172)-1)/26)+64)&amp;CHAR(MOD(COLUMN(EW172)-1,26)+65))&amp;$FI115&amp;""),"")</f>
        <v/>
      </c>
      <c r="FL115" s="78" t="str">
        <f t="array" aca="1" ref="FL115" ca="1">IF($FI115&lt;&gt;"",
INDIRECT(""&amp;IF(COLUMN(EX172)&lt;=26,CHAR(COLUMN(EX172)+64),CHAR(INT((COLUMN(EX172)-1)/26)+64)&amp;CHAR(MOD(COLUMN(EX172)-1,26)+65))&amp;$FI115&amp;""),"")</f>
        <v/>
      </c>
      <c r="FM115" s="78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78" t="str">
        <f t="array" aca="1" ref="FN115" ca="1">IF($FI115&lt;&gt;"",
INDIRECT(""&amp;IF(COLUMN(FA172)&lt;=26,CHAR(COLUMN(FA172)+64),CHAR(INT((COLUMN(FA172)-1)/26)+64)&amp;CHAR(MOD(COLUMN(FA172)-1,26)+65))&amp;$FI115&amp;""),"")</f>
        <v/>
      </c>
      <c r="FO115" s="78" t="str">
        <f t="array" aca="1" ref="FO115" ca="1">IF($FI115&lt;&gt;"",
INDIRECT(""&amp;IF(COLUMN(FB172)&lt;=26,CHAR(COLUMN(FB172)+64),CHAR(INT((COLUMN(FB172)-1)/26)+64)&amp;CHAR(MOD(COLUMN(FB172)-1,26)+65))&amp;$FI115&amp;""),"")</f>
        <v/>
      </c>
      <c r="FP115" s="78" t="str">
        <f t="array" aca="1" ref="FP115" ca="1">IF($FI115&lt;&gt;"",
INDIRECT(""&amp;IF(COLUMN(FC172)&lt;=26,CHAR(COLUMN(FC172)+64),CHAR(INT((COLUMN(FC172)-1)/26)+64)&amp;CHAR(MOD(COLUMN(FC172)-1,26)+65))&amp;$FI115&amp;""),"")</f>
        <v/>
      </c>
      <c r="FQ115" s="78" t="str">
        <f t="array" aca="1" ref="FQ115" ca="1">IF($FI115&lt;&gt;"",
INDIRECT(""&amp;IF(COLUMN(FD172)&lt;=26,CHAR(COLUMN(FD172)+64),CHAR(INT((COLUMN(FD172)-1)/26)+64)&amp;CHAR(MOD(COLUMN(FD172)-1,26)+65))&amp;$FI115&amp;""),"")</f>
        <v/>
      </c>
      <c r="FR115" s="78" t="str">
        <f t="array" aca="1" ref="FR115" ca="1">IF($FI115&lt;&gt;"",
INDIRECT(""&amp;IF(COLUMN(FE172)&lt;=26,CHAR(COLUMN(FE172)+64),CHAR(INT((COLUMN(FE172)-1)/26)+64)&amp;CHAR(MOD(COLUMN(FE172)-1,26)+65))&amp;$FI115&amp;""),"")</f>
        <v/>
      </c>
      <c r="FS115" s="78" t="str">
        <f t="array" aca="1" ref="FS115" ca="1">IF($FI115&lt;&gt;"",
INDIRECT(""&amp;IF(COLUMN(FF172)&lt;=26,CHAR(COLUMN(FF172)+64),CHAR(INT((COLUMN(FF172)-1)/26)+64)&amp;CHAR(MOD(COLUMN(FF172)-1,26)+65))&amp;$FI115&amp;""),"")</f>
        <v/>
      </c>
    </row>
    <row r="116" spans="2:175" ht="22.2" customHeight="1" x14ac:dyDescent="0.45">
      <c r="B116" s="86"/>
      <c r="C116" s="252" t="str" cm="1">
        <f t="array" aca="1" ref="C116" ca="1">IF(C114&lt;&gt;"",
IF(IFERROR(
INDEX(INDIRECT("数出表_Excel!"&amp;B113&amp;MATCH(G29,数出表_Excel!$A:$A,0)-1&amp;":U"&amp;MATCH(G29,数出表_Excel!$A:$A,0)-1&amp;""),
 1,
 MATCH(TRUE, ISNUMBER(--INDIRECT("数出表_Excel!"&amp;B113&amp;MATCH(G29,数出表_Excel!$A:$A,0)-1&amp;":U"&amp;MATCH(G29,数出表_Excel!$A:$A,0)-1&amp;"")), 0)),
 "")=0,"",
IF(B31=100,
IFERROR(
INDEX(INDIRECT("数出表_Excel!"&amp;B113&amp;MATCH(G29,数出表_Excel!$A:$A,0)-1+2&amp;":U"&amp;MATCH(G29,数出表_Excel!$A:$A,0)-1+2&amp;""),
 1,
 MATCH(TRUE, ISNUMBER(--INDIRECT("数出表_Excel!"&amp;B113&amp;MATCH(G29,数出表_Excel!$A:$A,0)-1+2&amp;":U"&amp;MATCH(G29,数出表_Excel!$A:$A,0)-1+2&amp;"")), 0)),
 "")
+IFERROR(
INDEX(INDIRECT("数出表_Excel!"&amp;B113&amp;MATCH(G29,数出表_Excel!$A:$A,0)-1&amp;":U"&amp;MATCH(G29,数出表_Excel!$A:$A,0)-1&amp;""),
 1,
 MATCH(TRUE, ISNUMBER(--INDIRECT("数出表_Excel!"&amp;B113&amp;MATCH(G29,数出表_Excel!$A:$A,0)-1&amp;":U"&amp;MATCH(G29,数出表_Excel!$A:$A,0)-1&amp;"")), 0)),
 ""),
IFERROR(
INDEX(INDIRECT("数出表_Excel!"&amp;B113&amp;MATCH(G29,数出表_Excel!$A:$A,0)-1&amp;":U"&amp;MATCH(G29,数出表_Excel!$A:$A,0)-1&amp;""),
 1,
 MATCH(TRUE, ISNUMBER(--INDIRECT("数出表_Excel!"&amp;B113&amp;MATCH(G29,数出表_Excel!$A:$A,0)-1&amp;":U"&amp;MATCH(G29,数出表_Excel!$A:$A,0)-1&amp;"")), 0)),
 ""))),"")</f>
        <v/>
      </c>
      <c r="D116" s="253"/>
      <c r="E116" s="255" t="str" cm="1">
        <f t="array" aca="1" ref="E116" ca="1">IF(C72&lt;&gt;"",
IF(IFERROR(
INDEX(INDIRECT("数出表_Excel!B"&amp;MATCH(G29,数出表_Excel!$A:$A,0)&amp;":U"&amp;MATCH(G29,数出表_Excel!$A:$A,0)&amp;""),
 1,B114-1),
 "")=0,"",
IFERROR(
INDEX(INDIRECT("数出表_Excel!B"&amp;MATCH(G29,数出表_Excel!$A:$A,0)&amp;":U"&amp;MATCH(G29,数出表_Excel!$A:$A,0)&amp;""),
 1,B114-1),
 "")),"")</f>
        <v/>
      </c>
      <c r="F116" s="253"/>
      <c r="G116" s="97" t="e" cm="1">
        <f t="array" aca="1" ref="G116" ca="1">IF(INDIRECT(""&amp;SUBSTITUTE(ADDRESS(1,
COLUMN()-5,1),"1","")&amp;ROW()-85&amp;"")=100,
IF(C113&lt;&gt;"",
IF(IFERROR(
INDEX(INDIRECT("'数出表_Excel（アレルギー入力）'!"&amp;B115&amp;MATCH(G29,'数出表_Excel（アレルギー入力）'!$A:$A,0)+1&amp;":"&amp;G117&amp;MATCH(G29,'数出表_Excel（アレルギー入力）'!$A:$A,0)+1&amp;""),
 1,
MATCH(TRUE,INDIRECT("'数出表_Excel（アレルギー入力）'!"&amp;B115&amp;MATCH(G29,'数出表_Excel（アレルギー入力）'!$A:$A,0)+1&amp;":"&amp;G117&amp;MATCH(G29,'数出表_Excel（アレルギー入力）'!$A:$A,0)+1&amp;"")&lt;&gt;"",0)+1),
 "")&lt;&gt;0,
IF(IFERROR(
INDEX(INDIRECT("'数出表_Excel（アレルギー入力）'!"&amp;B115&amp;MATCH(G29,'数出表_Excel（アレルギー入力）'!$A:$A,0)+1&amp;":"&amp;G117&amp;MATCH(G29,'数出表_Excel（アレルギー入力）'!$A:$A,0)+1&amp;""),
 1,
MATCH(TRUE,INDIRECT("'数出表_Excel（アレルギー入力）'!"&amp;B115&amp;MATCH(G29,'数出表_Excel（アレルギー入力）'!$A:$A,0)+1&amp;":"&amp;G117&amp;MATCH(G29,'数出表_Excel（アレルギー入力）'!$A:$A,0)+1&amp;"")&lt;&gt;"",0)+1),
 "")="",
IFERROR(
INDEX(INDIRECT("'数出表_Excel（アレルギー入力）'!"&amp;B115&amp;MATCH(G29,'数出表_Excel（アレルギー入力）'!$A:$A,0)+1&amp;":"&amp;G117&amp;MATCH(G29,'数出表_Excel（アレルギー入力）'!$A:$A,0)+1&amp;""),
 1,
MATCH(TRUE,INDIRECT("'数出表_Excel（アレルギー入力）'!"&amp;B115&amp;MATCH(G29,'数出表_Excel（アレルギー入力）'!$A:$A,0)+1&amp;":"&amp;G117&amp;MATCH(G29,'数出表_Excel（アレルギー入力）'!$A:$A,0)+1&amp;"")&lt;&gt;"",0)+1),
 ""),
IFERROR(
INDEX(INDIRECT("'数出表_Excel（アレルギー入力）'!"&amp;B115&amp;MATCH(G29,'数出表_Excel（アレルギー入力）'!$A:$A,0)+1&amp;":"&amp;G117&amp;MATCH(G29,'数出表_Excel（アレルギー入力）'!$A:$A,0)+1&amp;""),
 1,
MATCH(TRUE,INDIRECT("'数出表_Excel（アレルギー入力）'!"&amp;B115&amp;MATCH(G29,'数出表_Excel（アレルギー入力）'!$A:$A,0)+1&amp;":"&amp;G117&amp;MATCH(G29,'数出表_Excel（アレルギー入力）'!$A:$A,0)+1&amp;"")&lt;&gt;"",0)+1),
 "")),0),""),0)</f>
        <v>#VALUE!</v>
      </c>
      <c r="I116" s="86"/>
      <c r="J116" s="252" t="str" cm="1">
        <f t="array" aca="1" ref="J116" ca="1">IF(J114&lt;&gt;"",
IF(IFERROR(
INDEX(INDIRECT("数出表_Excel!"&amp;I113&amp;MATCH(N29,数出表_Excel!$A:$A,0)-1&amp;":U"&amp;MATCH(N29,数出表_Excel!$A:$A,0)-1&amp;""),
 1,
 MATCH(TRUE, ISNUMBER(--INDIRECT("数出表_Excel!"&amp;I113&amp;MATCH(N29,数出表_Excel!$A:$A,0)-1&amp;":U"&amp;MATCH(N29,数出表_Excel!$A:$A,0)-1&amp;"")), 0)),
 "")=0,"",
IF(I31=100,
IFERROR(
INDEX(INDIRECT("数出表_Excel!"&amp;I113&amp;MATCH(N29,数出表_Excel!$A:$A,0)-1+2&amp;":U"&amp;MATCH(N29,数出表_Excel!$A:$A,0)-1+2&amp;""),
 1,
 MATCH(TRUE, ISNUMBER(--INDIRECT("数出表_Excel!"&amp;I113&amp;MATCH(N29,数出表_Excel!$A:$A,0)-1+2&amp;":U"&amp;MATCH(N29,数出表_Excel!$A:$A,0)-1+2&amp;"")), 0)),
 "")
+IFERROR(
INDEX(INDIRECT("数出表_Excel!"&amp;I113&amp;MATCH(N29,数出表_Excel!$A:$A,0)-1&amp;":U"&amp;MATCH(N29,数出表_Excel!$A:$A,0)-1&amp;""),
 1,
 MATCH(TRUE, ISNUMBER(--INDIRECT("数出表_Excel!"&amp;I113&amp;MATCH(N29,数出表_Excel!$A:$A,0)-1&amp;":U"&amp;MATCH(N29,数出表_Excel!$A:$A,0)-1&amp;"")), 0)),
 ""),
IFERROR(
INDEX(INDIRECT("数出表_Excel!"&amp;I113&amp;MATCH(N29,数出表_Excel!$A:$A,0)-1&amp;":U"&amp;MATCH(N29,数出表_Excel!$A:$A,0)-1&amp;""),
 1,
 MATCH(TRUE, ISNUMBER(--INDIRECT("数出表_Excel!"&amp;I113&amp;MATCH(N29,数出表_Excel!$A:$A,0)-1&amp;":U"&amp;MATCH(N29,数出表_Excel!$A:$A,0)-1&amp;"")), 0)),
 ""))),"")</f>
        <v/>
      </c>
      <c r="K116" s="253"/>
      <c r="L116" s="255" t="str" cm="1">
        <f t="array" aca="1" ref="L116" ca="1">IF(J72&lt;&gt;"",
IF(IFERROR(
INDEX(INDIRECT("数出表_Excel!B"&amp;MATCH(N29,数出表_Excel!$A:$A,0)&amp;":U"&amp;MATCH(N29,数出表_Excel!$A:$A,0)&amp;""),
 1,I114-1),
 "")=0,"",
IFERROR(
INDEX(INDIRECT("数出表_Excel!B"&amp;MATCH(N29,数出表_Excel!$A:$A,0)&amp;":U"&amp;MATCH(N29,数出表_Excel!$A:$A,0)&amp;""),
 1,I114-1),
 "")),"")</f>
        <v/>
      </c>
      <c r="M116" s="253"/>
      <c r="N116" s="97" t="e" cm="1">
        <f t="array" aca="1" ref="N116" ca="1">IF(INDIRECT(""&amp;SUBSTITUTE(ADDRESS(1,
COLUMN()-5,1),"1","")&amp;ROW()-85&amp;"")=100,
IF(J113&lt;&gt;"",
IF(IFERROR(
INDEX(INDIRECT("'数出表_Excel（アレルギー入力）'!"&amp;I115&amp;MATCH(N29,'数出表_Excel（アレルギー入力）'!$A:$A,0)+1&amp;":"&amp;N117&amp;MATCH(N29,'数出表_Excel（アレルギー入力）'!$A:$A,0)+1&amp;""),
 1,
MATCH(TRUE,INDIRECT("'数出表_Excel（アレルギー入力）'!"&amp;I115&amp;MATCH(N29,'数出表_Excel（アレルギー入力）'!$A:$A,0)+1&amp;":"&amp;N117&amp;MATCH(N29,'数出表_Excel（アレルギー入力）'!$A:$A,0)+1&amp;"")&lt;&gt;"",0)+1),
 "")&lt;&gt;0,
IF(IFERROR(
INDEX(INDIRECT("'数出表_Excel（アレルギー入力）'!"&amp;I115&amp;MATCH(N29,'数出表_Excel（アレルギー入力）'!$A:$A,0)+1&amp;":"&amp;N117&amp;MATCH(N29,'数出表_Excel（アレルギー入力）'!$A:$A,0)+1&amp;""),
 1,
MATCH(TRUE,INDIRECT("'数出表_Excel（アレルギー入力）'!"&amp;I115&amp;MATCH(N29,'数出表_Excel（アレルギー入力）'!$A:$A,0)+1&amp;":"&amp;N117&amp;MATCH(N29,'数出表_Excel（アレルギー入力）'!$A:$A,0)+1&amp;"")&lt;&gt;"",0)+1),
 "")="",
IFERROR(
INDEX(INDIRECT("'数出表_Excel（アレルギー入力）'!"&amp;I115&amp;MATCH(N29,'数出表_Excel（アレルギー入力）'!$A:$A,0)+1&amp;":"&amp;N117&amp;MATCH(N29,'数出表_Excel（アレルギー入力）'!$A:$A,0)+1&amp;""),
 1,
MATCH(TRUE,INDIRECT("'数出表_Excel（アレルギー入力）'!"&amp;I115&amp;MATCH(N29,'数出表_Excel（アレルギー入力）'!$A:$A,0)+1&amp;":"&amp;N117&amp;MATCH(N29,'数出表_Excel（アレルギー入力）'!$A:$A,0)+1&amp;"")&lt;&gt;"",0)+1),
 ""),
IFERROR(
INDEX(INDIRECT("'数出表_Excel（アレルギー入力）'!"&amp;I115&amp;MATCH(N29,'数出表_Excel（アレルギー入力）'!$A:$A,0)+1&amp;":"&amp;N117&amp;MATCH(N29,'数出表_Excel（アレルギー入力）'!$A:$A,0)+1&amp;""),
 1,
MATCH(TRUE,INDIRECT("'数出表_Excel（アレルギー入力）'!"&amp;I115&amp;MATCH(N29,'数出表_Excel（アレルギー入力）'!$A:$A,0)+1&amp;":"&amp;N117&amp;MATCH(N29,'数出表_Excel（アレルギー入力）'!$A:$A,0)+1&amp;"")&lt;&gt;"",0)+1),
 "")),0),""),0)</f>
        <v>#VALUE!</v>
      </c>
      <c r="Q116" s="86"/>
      <c r="R116" s="252" t="str" cm="1">
        <f t="array" aca="1" ref="R116" ca="1">IF(R114&lt;&gt;"",
IF(IFERROR(
INDEX(INDIRECT("数出表_Excel!"&amp;Q113&amp;MATCH(V29,数出表_Excel!$A:$A,0)-1&amp;":U"&amp;MATCH(V29,数出表_Excel!$A:$A,0)-1&amp;""),
 1,
 MATCH(TRUE, ISNUMBER(--INDIRECT("数出表_Excel!"&amp;Q113&amp;MATCH(V29,数出表_Excel!$A:$A,0)-1&amp;":U"&amp;MATCH(V29,数出表_Excel!$A:$A,0)-1&amp;"")), 0)),
 "")=0,"",
IF(Q31=100,
IFERROR(
INDEX(INDIRECT("数出表_Excel!"&amp;Q113&amp;MATCH(V29,数出表_Excel!$A:$A,0)-1+2&amp;":U"&amp;MATCH(V29,数出表_Excel!$A:$A,0)-1+2&amp;""),
 1,
 MATCH(TRUE, ISNUMBER(--INDIRECT("数出表_Excel!"&amp;Q113&amp;MATCH(V29,数出表_Excel!$A:$A,0)-1+2&amp;":U"&amp;MATCH(V29,数出表_Excel!$A:$A,0)-1+2&amp;"")), 0)),
 "")
+IFERROR(
INDEX(INDIRECT("数出表_Excel!"&amp;Q113&amp;MATCH(V29,数出表_Excel!$A:$A,0)-1&amp;":U"&amp;MATCH(V29,数出表_Excel!$A:$A,0)-1&amp;""),
 1,
 MATCH(TRUE, ISNUMBER(--INDIRECT("数出表_Excel!"&amp;Q113&amp;MATCH(V29,数出表_Excel!$A:$A,0)-1&amp;":U"&amp;MATCH(V29,数出表_Excel!$A:$A,0)-1&amp;"")), 0)),
 ""),
IFERROR(
INDEX(INDIRECT("数出表_Excel!"&amp;Q113&amp;MATCH(V29,数出表_Excel!$A:$A,0)-1&amp;":U"&amp;MATCH(V29,数出表_Excel!$A:$A,0)-1&amp;""),
 1,
 MATCH(TRUE, ISNUMBER(--INDIRECT("数出表_Excel!"&amp;Q113&amp;MATCH(V29,数出表_Excel!$A:$A,0)-1&amp;":U"&amp;MATCH(V29,数出表_Excel!$A:$A,0)-1&amp;"")), 0)),
 ""))),"")</f>
        <v/>
      </c>
      <c r="S116" s="253"/>
      <c r="T116" s="255" t="str" cm="1">
        <f t="array" aca="1" ref="T116" ca="1">IF(R72&lt;&gt;"",
IF(IFERROR(
INDEX(INDIRECT("数出表_Excel!B"&amp;MATCH(V29,数出表_Excel!$A:$A,0)&amp;":U"&amp;MATCH(V29,数出表_Excel!$A:$A,0)&amp;""),
 1,Q114-1),
 "")=0,"",
IFERROR(
INDEX(INDIRECT("数出表_Excel!B"&amp;MATCH(V29,数出表_Excel!$A:$A,0)&amp;":U"&amp;MATCH(V29,数出表_Excel!$A:$A,0)&amp;""),
 1,Q114-1),
 "")),"")</f>
        <v/>
      </c>
      <c r="U116" s="253"/>
      <c r="V116" s="97" t="e" cm="1">
        <f t="array" aca="1" ref="V116" ca="1">IF(INDIRECT(""&amp;SUBSTITUTE(ADDRESS(1,
COLUMN()-5,1),"1","")&amp;ROW()-85&amp;"")=100,
IF(R113&lt;&gt;"",
IF(IFERROR(
INDEX(INDIRECT("'数出表_Excel（アレルギー入力）'!"&amp;Q115&amp;MATCH(V29,'数出表_Excel（アレルギー入力）'!$A:$A,0)+1&amp;":"&amp;V117&amp;MATCH(V29,'数出表_Excel（アレルギー入力）'!$A:$A,0)+1&amp;""),
 1,
MATCH(TRUE,INDIRECT("'数出表_Excel（アレルギー入力）'!"&amp;Q115&amp;MATCH(V29,'数出表_Excel（アレルギー入力）'!$A:$A,0)+1&amp;":"&amp;V117&amp;MATCH(V29,'数出表_Excel（アレルギー入力）'!$A:$A,0)+1&amp;"")&lt;&gt;"",0)+1),
 "")&lt;&gt;0,
IF(IFERROR(
INDEX(INDIRECT("'数出表_Excel（アレルギー入力）'!"&amp;Q115&amp;MATCH(V29,'数出表_Excel（アレルギー入力）'!$A:$A,0)+1&amp;":"&amp;V117&amp;MATCH(V29,'数出表_Excel（アレルギー入力）'!$A:$A,0)+1&amp;""),
 1,
MATCH(TRUE,INDIRECT("'数出表_Excel（アレルギー入力）'!"&amp;Q115&amp;MATCH(V29,'数出表_Excel（アレルギー入力）'!$A:$A,0)+1&amp;":"&amp;V117&amp;MATCH(V29,'数出表_Excel（アレルギー入力）'!$A:$A,0)+1&amp;"")&lt;&gt;"",0)+1),
 "")="",
IFERROR(
INDEX(INDIRECT("'数出表_Excel（アレルギー入力）'!"&amp;Q115&amp;MATCH(V29,'数出表_Excel（アレルギー入力）'!$A:$A,0)+1&amp;":"&amp;V117&amp;MATCH(V29,'数出表_Excel（アレルギー入力）'!$A:$A,0)+1&amp;""),
 1,
MATCH(TRUE,INDIRECT("'数出表_Excel（アレルギー入力）'!"&amp;Q115&amp;MATCH(V29,'数出表_Excel（アレルギー入力）'!$A:$A,0)+1&amp;":"&amp;V117&amp;MATCH(V29,'数出表_Excel（アレルギー入力）'!$A:$A,0)+1&amp;"")&lt;&gt;"",0)+1),
 ""),
IFERROR(
INDEX(INDIRECT("'数出表_Excel（アレルギー入力）'!"&amp;Q115&amp;MATCH(V29,'数出表_Excel（アレルギー入力）'!$A:$A,0)+1&amp;":"&amp;V117&amp;MATCH(V29,'数出表_Excel（アレルギー入力）'!$A:$A,0)+1&amp;""),
 1,
MATCH(TRUE,INDIRECT("'数出表_Excel（アレルギー入力）'!"&amp;Q115&amp;MATCH(V29,'数出表_Excel（アレルギー入力）'!$A:$A,0)+1&amp;":"&amp;V117&amp;MATCH(V29,'数出表_Excel（アレルギー入力）'!$A:$A,0)+1&amp;"")&lt;&gt;"",0)+1),
 "")),0),""),0)</f>
        <v>#VALUE!</v>
      </c>
      <c r="X116" s="86"/>
      <c r="Y116" s="252" t="str" cm="1">
        <f t="array" aca="1" ref="Y116" ca="1">IF(Y114&lt;&gt;"",
IF(IFERROR(
INDEX(INDIRECT("数出表_Excel!"&amp;X113&amp;MATCH(AC29,数出表_Excel!$A:$A,0)-1&amp;":U"&amp;MATCH(AC29,数出表_Excel!$A:$A,0)-1&amp;""),
 1,
 MATCH(TRUE, ISNUMBER(--INDIRECT("数出表_Excel!"&amp;X113&amp;MATCH(AC29,数出表_Excel!$A:$A,0)-1&amp;":U"&amp;MATCH(AC29,数出表_Excel!$A:$A,0)-1&amp;"")), 0)),
 "")=0,"",
IF(X31=100,
IFERROR(
INDEX(INDIRECT("数出表_Excel!"&amp;X113&amp;MATCH(AC29,数出表_Excel!$A:$A,0)-1+2&amp;":U"&amp;MATCH(AC29,数出表_Excel!$A:$A,0)-1+2&amp;""),
 1,
 MATCH(TRUE, ISNUMBER(--INDIRECT("数出表_Excel!"&amp;X113&amp;MATCH(AC29,数出表_Excel!$A:$A,0)-1+2&amp;":U"&amp;MATCH(AC29,数出表_Excel!$A:$A,0)-1+2&amp;"")), 0)),
 "")
+IFERROR(
INDEX(INDIRECT("数出表_Excel!"&amp;X113&amp;MATCH(AC29,数出表_Excel!$A:$A,0)-1&amp;":U"&amp;MATCH(AC29,数出表_Excel!$A:$A,0)-1&amp;""),
 1,
 MATCH(TRUE, ISNUMBER(--INDIRECT("数出表_Excel!"&amp;X113&amp;MATCH(AC29,数出表_Excel!$A:$A,0)-1&amp;":U"&amp;MATCH(AC29,数出表_Excel!$A:$A,0)-1&amp;"")), 0)),
 ""),
IFERROR(
INDEX(INDIRECT("数出表_Excel!"&amp;X113&amp;MATCH(AC29,数出表_Excel!$A:$A,0)-1&amp;":U"&amp;MATCH(AC29,数出表_Excel!$A:$A,0)-1&amp;""),
 1,
 MATCH(TRUE, ISNUMBER(--INDIRECT("数出表_Excel!"&amp;X113&amp;MATCH(AC29,数出表_Excel!$A:$A,0)-1&amp;":U"&amp;MATCH(AC29,数出表_Excel!$A:$A,0)-1&amp;"")), 0)),
 ""))),"")</f>
        <v/>
      </c>
      <c r="Z116" s="253"/>
      <c r="AA116" s="255" t="str" cm="1">
        <f t="array" aca="1" ref="AA116" ca="1">IF(Y72&lt;&gt;"",
IF(IFERROR(
INDEX(INDIRECT("数出表_Excel!B"&amp;MATCH(AC29,数出表_Excel!$A:$A,0)&amp;":U"&amp;MATCH(AC29,数出表_Excel!$A:$A,0)&amp;""),
 1,X114-1),
 "")=0,"",
IFERROR(
INDEX(INDIRECT("数出表_Excel!B"&amp;MATCH(AC29,数出表_Excel!$A:$A,0)&amp;":U"&amp;MATCH(AC29,数出表_Excel!$A:$A,0)&amp;""),
 1,X114-1),
 "")),"")</f>
        <v/>
      </c>
      <c r="AB116" s="253"/>
      <c r="AC116" s="97" t="e" cm="1">
        <f t="array" aca="1" ref="AC116" ca="1">IF(INDIRECT(""&amp;SUBSTITUTE(ADDRESS(1,
COLUMN()-5,1),"1","")&amp;ROW()-85&amp;"")=100,
IF(Y113&lt;&gt;"",
IF(IFERROR(
INDEX(INDIRECT("'数出表_Excel（アレルギー入力）'!"&amp;X115&amp;MATCH(AC29,'数出表_Excel（アレルギー入力）'!$A:$A,0)+1&amp;":"&amp;AC117&amp;MATCH(AC29,'数出表_Excel（アレルギー入力）'!$A:$A,0)+1&amp;""),
 1,
MATCH(TRUE,INDIRECT("'数出表_Excel（アレルギー入力）'!"&amp;X115&amp;MATCH(AC29,'数出表_Excel（アレルギー入力）'!$A:$A,0)+1&amp;":"&amp;AC117&amp;MATCH(AC29,'数出表_Excel（アレルギー入力）'!$A:$A,0)+1&amp;"")&lt;&gt;"",0)+1),
 "")&lt;&gt;0,
IF(IFERROR(
INDEX(INDIRECT("'数出表_Excel（アレルギー入力）'!"&amp;X115&amp;MATCH(AC29,'数出表_Excel（アレルギー入力）'!$A:$A,0)+1&amp;":"&amp;AC117&amp;MATCH(AC29,'数出表_Excel（アレルギー入力）'!$A:$A,0)+1&amp;""),
 1,
MATCH(TRUE,INDIRECT("'数出表_Excel（アレルギー入力）'!"&amp;X115&amp;MATCH(AC29,'数出表_Excel（アレルギー入力）'!$A:$A,0)+1&amp;":"&amp;AC117&amp;MATCH(AC29,'数出表_Excel（アレルギー入力）'!$A:$A,0)+1&amp;"")&lt;&gt;"",0)+1),
 "")="",
IFERROR(
INDEX(INDIRECT("'数出表_Excel（アレルギー入力）'!"&amp;X115&amp;MATCH(AC29,'数出表_Excel（アレルギー入力）'!$A:$A,0)+1&amp;":"&amp;AC117&amp;MATCH(AC29,'数出表_Excel（アレルギー入力）'!$A:$A,0)+1&amp;""),
 1,
MATCH(TRUE,INDIRECT("'数出表_Excel（アレルギー入力）'!"&amp;X115&amp;MATCH(AC29,'数出表_Excel（アレルギー入力）'!$A:$A,0)+1&amp;":"&amp;AC117&amp;MATCH(AC29,'数出表_Excel（アレルギー入力）'!$A:$A,0)+1&amp;"")&lt;&gt;"",0)+1),
 ""),
IFERROR(
INDEX(INDIRECT("'数出表_Excel（アレルギー入力）'!"&amp;X115&amp;MATCH(AC29,'数出表_Excel（アレルギー入力）'!$A:$A,0)+1&amp;":"&amp;AC117&amp;MATCH(AC29,'数出表_Excel（アレルギー入力）'!$A:$A,0)+1&amp;""),
 1,
MATCH(TRUE,INDIRECT("'数出表_Excel（アレルギー入力）'!"&amp;X115&amp;MATCH(AC29,'数出表_Excel（アレルギー入力）'!$A:$A,0)+1&amp;":"&amp;AC117&amp;MATCH(AC29,'数出表_Excel（アレルギー入力）'!$A:$A,0)+1&amp;"")&lt;&gt;"",0)+1),
 "")),0),""),0)</f>
        <v>#VALUE!</v>
      </c>
      <c r="AF116" s="86"/>
      <c r="AG116" s="252" t="str" cm="1">
        <f t="array" aca="1" ref="AG116" ca="1">IF(AG114&lt;&gt;"",
IF(IFERROR(
INDEX(INDIRECT("数出表_Excel!"&amp;AF113&amp;MATCH(AK29,数出表_Excel!$A:$A,0)-1&amp;":U"&amp;MATCH(AK29,数出表_Excel!$A:$A,0)-1&amp;""),
 1,
 MATCH(TRUE, ISNUMBER(--INDIRECT("数出表_Excel!"&amp;AF113&amp;MATCH(AK29,数出表_Excel!$A:$A,0)-1&amp;":U"&amp;MATCH(AK29,数出表_Excel!$A:$A,0)-1&amp;"")), 0)),
 "")=0,"",
IF(AF31=100,
IFERROR(
INDEX(INDIRECT("数出表_Excel!"&amp;AF113&amp;MATCH(AK29,数出表_Excel!$A:$A,0)-1+2&amp;":U"&amp;MATCH(AK29,数出表_Excel!$A:$A,0)-1+2&amp;""),
 1,
 MATCH(TRUE, ISNUMBER(--INDIRECT("数出表_Excel!"&amp;AF113&amp;MATCH(AK29,数出表_Excel!$A:$A,0)-1+2&amp;":U"&amp;MATCH(AK29,数出表_Excel!$A:$A,0)-1+2&amp;"")), 0)),
 "")
+IFERROR(
INDEX(INDIRECT("数出表_Excel!"&amp;AF113&amp;MATCH(AK29,数出表_Excel!$A:$A,0)-1&amp;":U"&amp;MATCH(AK29,数出表_Excel!$A:$A,0)-1&amp;""),
 1,
 MATCH(TRUE, ISNUMBER(--INDIRECT("数出表_Excel!"&amp;AF113&amp;MATCH(AK29,数出表_Excel!$A:$A,0)-1&amp;":U"&amp;MATCH(AK29,数出表_Excel!$A:$A,0)-1&amp;"")), 0)),
 ""),
IFERROR(
INDEX(INDIRECT("数出表_Excel!"&amp;AF113&amp;MATCH(AK29,数出表_Excel!$A:$A,0)-1&amp;":U"&amp;MATCH(AK29,数出表_Excel!$A:$A,0)-1&amp;""),
 1,
 MATCH(TRUE, ISNUMBER(--INDIRECT("数出表_Excel!"&amp;AF113&amp;MATCH(AK29,数出表_Excel!$A:$A,0)-1&amp;":U"&amp;MATCH(AK29,数出表_Excel!$A:$A,0)-1&amp;"")), 0)),
 ""))),"")</f>
        <v/>
      </c>
      <c r="AH116" s="253"/>
      <c r="AI116" s="255" t="str" cm="1">
        <f t="array" aca="1" ref="AI116" ca="1">IF(AG72&lt;&gt;"",
IF(IFERROR(
INDEX(INDIRECT("数出表_Excel!B"&amp;MATCH(AK29,数出表_Excel!$A:$A,0)&amp;":U"&amp;MATCH(AK29,数出表_Excel!$A:$A,0)&amp;""),
 1,AF114-1),
 "")=0,"",
IFERROR(
INDEX(INDIRECT("数出表_Excel!B"&amp;MATCH(AK29,数出表_Excel!$A:$A,0)&amp;":U"&amp;MATCH(AK29,数出表_Excel!$A:$A,0)&amp;""),
 1,AF114-1),
 "")),"")</f>
        <v/>
      </c>
      <c r="AJ116" s="253"/>
      <c r="AK116" s="97" t="e" cm="1">
        <f t="array" aca="1" ref="AK116" ca="1">IF(INDIRECT(""&amp;SUBSTITUTE(ADDRESS(1,
COLUMN()-5,1),"1","")&amp;ROW()-85&amp;"")=100,
IF(AG113&lt;&gt;"",
IF(IFERROR(
INDEX(INDIRECT("'数出表_Excel（アレルギー入力）'!"&amp;AF115&amp;MATCH(AK29,'数出表_Excel（アレルギー入力）'!$A:$A,0)+1&amp;":"&amp;AK117&amp;MATCH(AK29,'数出表_Excel（アレルギー入力）'!$A:$A,0)+1&amp;""),
 1,
MATCH(TRUE,INDIRECT("'数出表_Excel（アレルギー入力）'!"&amp;AF115&amp;MATCH(AK29,'数出表_Excel（アレルギー入力）'!$A:$A,0)+1&amp;":"&amp;AK117&amp;MATCH(AK29,'数出表_Excel（アレルギー入力）'!$A:$A,0)+1&amp;"")&lt;&gt;"",0)+1),
 "")&lt;&gt;0,
IF(IFERROR(
INDEX(INDIRECT("'数出表_Excel（アレルギー入力）'!"&amp;AF115&amp;MATCH(AK29,'数出表_Excel（アレルギー入力）'!$A:$A,0)+1&amp;":"&amp;AK117&amp;MATCH(AK29,'数出表_Excel（アレルギー入力）'!$A:$A,0)+1&amp;""),
 1,
MATCH(TRUE,INDIRECT("'数出表_Excel（アレルギー入力）'!"&amp;AF115&amp;MATCH(AK29,'数出表_Excel（アレルギー入力）'!$A:$A,0)+1&amp;":"&amp;AK117&amp;MATCH(AK29,'数出表_Excel（アレルギー入力）'!$A:$A,0)+1&amp;"")&lt;&gt;"",0)+1),
 "")="",
IFERROR(
INDEX(INDIRECT("'数出表_Excel（アレルギー入力）'!"&amp;AF115&amp;MATCH(AK29,'数出表_Excel（アレルギー入力）'!$A:$A,0)+1&amp;":"&amp;AK117&amp;MATCH(AK29,'数出表_Excel（アレルギー入力）'!$A:$A,0)+1&amp;""),
 1,
MATCH(TRUE,INDIRECT("'数出表_Excel（アレルギー入力）'!"&amp;AF115&amp;MATCH(AK29,'数出表_Excel（アレルギー入力）'!$A:$A,0)+1&amp;":"&amp;AK117&amp;MATCH(AK29,'数出表_Excel（アレルギー入力）'!$A:$A,0)+1&amp;"")&lt;&gt;"",0)+1),
 ""),
IFERROR(
INDEX(INDIRECT("'数出表_Excel（アレルギー入力）'!"&amp;AF115&amp;MATCH(AK29,'数出表_Excel（アレルギー入力）'!$A:$A,0)+1&amp;":"&amp;AK117&amp;MATCH(AK29,'数出表_Excel（アレルギー入力）'!$A:$A,0)+1&amp;""),
 1,
MATCH(TRUE,INDIRECT("'数出表_Excel（アレルギー入力）'!"&amp;AF115&amp;MATCH(AK29,'数出表_Excel（アレルギー入力）'!$A:$A,0)+1&amp;":"&amp;AK117&amp;MATCH(AK29,'数出表_Excel（アレルギー入力）'!$A:$A,0)+1&amp;"")&lt;&gt;"",0)+1),
 "")),0),""),0)</f>
        <v>#VALUE!</v>
      </c>
      <c r="AM116" s="86"/>
      <c r="AN116" s="252" t="str" cm="1">
        <f t="array" aca="1" ref="AN116" ca="1">IF(AN114&lt;&gt;"",
IF(IFERROR(
INDEX(INDIRECT("数出表_Excel!"&amp;AM113&amp;MATCH(AR29,数出表_Excel!$A:$A,0)-1&amp;":U"&amp;MATCH(AR29,数出表_Excel!$A:$A,0)-1&amp;""),
 1,
 MATCH(TRUE, ISNUMBER(--INDIRECT("数出表_Excel!"&amp;AM113&amp;MATCH(AR29,数出表_Excel!$A:$A,0)-1&amp;":U"&amp;MATCH(AR29,数出表_Excel!$A:$A,0)-1&amp;"")), 0)),
 "")=0,"",
IF(AM31=100,
IFERROR(
INDEX(INDIRECT("数出表_Excel!"&amp;AM113&amp;MATCH(AR29,数出表_Excel!$A:$A,0)-1+2&amp;":U"&amp;MATCH(AR29,数出表_Excel!$A:$A,0)-1+2&amp;""),
 1,
 MATCH(TRUE, ISNUMBER(--INDIRECT("数出表_Excel!"&amp;AM113&amp;MATCH(AR29,数出表_Excel!$A:$A,0)-1+2&amp;":U"&amp;MATCH(AR29,数出表_Excel!$A:$A,0)-1+2&amp;"")), 0)),
 "")
+IFERROR(
INDEX(INDIRECT("数出表_Excel!"&amp;AM113&amp;MATCH(AR29,数出表_Excel!$A:$A,0)-1&amp;":U"&amp;MATCH(AR29,数出表_Excel!$A:$A,0)-1&amp;""),
 1,
 MATCH(TRUE, ISNUMBER(--INDIRECT("数出表_Excel!"&amp;AM113&amp;MATCH(AR29,数出表_Excel!$A:$A,0)-1&amp;":U"&amp;MATCH(AR29,数出表_Excel!$A:$A,0)-1&amp;"")), 0)),
 ""),
IFERROR(
INDEX(INDIRECT("数出表_Excel!"&amp;AM113&amp;MATCH(AR29,数出表_Excel!$A:$A,0)-1&amp;":U"&amp;MATCH(AR29,数出表_Excel!$A:$A,0)-1&amp;""),
 1,
 MATCH(TRUE, ISNUMBER(--INDIRECT("数出表_Excel!"&amp;AM113&amp;MATCH(AR29,数出表_Excel!$A:$A,0)-1&amp;":U"&amp;MATCH(AR29,数出表_Excel!$A:$A,0)-1&amp;"")), 0)),
 ""))),"")</f>
        <v/>
      </c>
      <c r="AO116" s="253"/>
      <c r="AP116" s="255" t="str" cm="1">
        <f t="array" aca="1" ref="AP116" ca="1">IF(AN72&lt;&gt;"",
IF(IFERROR(
INDEX(INDIRECT("数出表_Excel!B"&amp;MATCH(AR29,数出表_Excel!$A:$A,0)&amp;":U"&amp;MATCH(AR29,数出表_Excel!$A:$A,0)&amp;""),
 1,AM114-1),
 "")=0,"",
IFERROR(
INDEX(INDIRECT("数出表_Excel!B"&amp;MATCH(AR29,数出表_Excel!$A:$A,0)&amp;":U"&amp;MATCH(AR29,数出表_Excel!$A:$A,0)&amp;""),
 1,AM114-1),
 "")),"")</f>
        <v/>
      </c>
      <c r="AQ116" s="253"/>
      <c r="AR116" s="97" t="e" cm="1">
        <f t="array" aca="1" ref="AR116" ca="1">IF(INDIRECT(""&amp;SUBSTITUTE(ADDRESS(1,
COLUMN()-5,1),"1","")&amp;ROW()-85&amp;"")=100,
IF(AN113&lt;&gt;"",
IF(IFERROR(
INDEX(INDIRECT("'数出表_Excel（アレルギー入力）'!"&amp;AM115&amp;MATCH(AR29,'数出表_Excel（アレルギー入力）'!$A:$A,0)+1&amp;":"&amp;AR117&amp;MATCH(AR29,'数出表_Excel（アレルギー入力）'!$A:$A,0)+1&amp;""),
 1,
MATCH(TRUE,INDIRECT("'数出表_Excel（アレルギー入力）'!"&amp;AM115&amp;MATCH(AR29,'数出表_Excel（アレルギー入力）'!$A:$A,0)+1&amp;":"&amp;AR117&amp;MATCH(AR29,'数出表_Excel（アレルギー入力）'!$A:$A,0)+1&amp;"")&lt;&gt;"",0)+1),
 "")&lt;&gt;0,
IF(IFERROR(
INDEX(INDIRECT("'数出表_Excel（アレルギー入力）'!"&amp;AM115&amp;MATCH(AR29,'数出表_Excel（アレルギー入力）'!$A:$A,0)+1&amp;":"&amp;AR117&amp;MATCH(AR29,'数出表_Excel（アレルギー入力）'!$A:$A,0)+1&amp;""),
 1,
MATCH(TRUE,INDIRECT("'数出表_Excel（アレルギー入力）'!"&amp;AM115&amp;MATCH(AR29,'数出表_Excel（アレルギー入力）'!$A:$A,0)+1&amp;":"&amp;AR117&amp;MATCH(AR29,'数出表_Excel（アレルギー入力）'!$A:$A,0)+1&amp;"")&lt;&gt;"",0)+1),
 "")="",
IFERROR(
INDEX(INDIRECT("'数出表_Excel（アレルギー入力）'!"&amp;AM115&amp;MATCH(AR29,'数出表_Excel（アレルギー入力）'!$A:$A,0)+1&amp;":"&amp;AR117&amp;MATCH(AR29,'数出表_Excel（アレルギー入力）'!$A:$A,0)+1&amp;""),
 1,
MATCH(TRUE,INDIRECT("'数出表_Excel（アレルギー入力）'!"&amp;AM115&amp;MATCH(AR29,'数出表_Excel（アレルギー入力）'!$A:$A,0)+1&amp;":"&amp;AR117&amp;MATCH(AR29,'数出表_Excel（アレルギー入力）'!$A:$A,0)+1&amp;"")&lt;&gt;"",0)+1),
 ""),
IFERROR(
INDEX(INDIRECT("'数出表_Excel（アレルギー入力）'!"&amp;AM115&amp;MATCH(AR29,'数出表_Excel（アレルギー入力）'!$A:$A,0)+1&amp;":"&amp;AR117&amp;MATCH(AR29,'数出表_Excel（アレルギー入力）'!$A:$A,0)+1&amp;""),
 1,
MATCH(TRUE,INDIRECT("'数出表_Excel（アレルギー入力）'!"&amp;AM115&amp;MATCH(AR29,'数出表_Excel（アレルギー入力）'!$A:$A,0)+1&amp;":"&amp;AR117&amp;MATCH(AR29,'数出表_Excel（アレルギー入力）'!$A:$A,0)+1&amp;"")&lt;&gt;"",0)+1),
 "")),0),""),0)</f>
        <v>#VALUE!</v>
      </c>
      <c r="AU116" s="86"/>
      <c r="AV116" s="252" t="str" cm="1">
        <f t="array" aca="1" ref="AV116" ca="1">IF(AV114&lt;&gt;"",
IF(IFERROR(
INDEX(INDIRECT("数出表_Excel!"&amp;AU113&amp;MATCH(AZ29,数出表_Excel!$A:$A,0)-1&amp;":U"&amp;MATCH(AZ29,数出表_Excel!$A:$A,0)-1&amp;""),
 1,
 MATCH(TRUE, ISNUMBER(--INDIRECT("数出表_Excel!"&amp;AU113&amp;MATCH(AZ29,数出表_Excel!$A:$A,0)-1&amp;":U"&amp;MATCH(AZ29,数出表_Excel!$A:$A,0)-1&amp;"")), 0)),
 "")=0,"",
IF(AU31=100,
IFERROR(
INDEX(INDIRECT("数出表_Excel!"&amp;AU113&amp;MATCH(AZ29,数出表_Excel!$A:$A,0)-1+2&amp;":U"&amp;MATCH(AZ29,数出表_Excel!$A:$A,0)-1+2&amp;""),
 1,
 MATCH(TRUE, ISNUMBER(--INDIRECT("数出表_Excel!"&amp;AU113&amp;MATCH(AZ29,数出表_Excel!$A:$A,0)-1+2&amp;":U"&amp;MATCH(AZ29,数出表_Excel!$A:$A,0)-1+2&amp;"")), 0)),
 "")
+IFERROR(
INDEX(INDIRECT("数出表_Excel!"&amp;AU113&amp;MATCH(AZ29,数出表_Excel!$A:$A,0)-1&amp;":U"&amp;MATCH(AZ29,数出表_Excel!$A:$A,0)-1&amp;""),
 1,
 MATCH(TRUE, ISNUMBER(--INDIRECT("数出表_Excel!"&amp;AU113&amp;MATCH(AZ29,数出表_Excel!$A:$A,0)-1&amp;":U"&amp;MATCH(AZ29,数出表_Excel!$A:$A,0)-1&amp;"")), 0)),
 ""),
IFERROR(
INDEX(INDIRECT("数出表_Excel!"&amp;AU113&amp;MATCH(AZ29,数出表_Excel!$A:$A,0)-1&amp;":U"&amp;MATCH(AZ29,数出表_Excel!$A:$A,0)-1&amp;""),
 1,
 MATCH(TRUE, ISNUMBER(--INDIRECT("数出表_Excel!"&amp;AU113&amp;MATCH(AZ29,数出表_Excel!$A:$A,0)-1&amp;":U"&amp;MATCH(AZ29,数出表_Excel!$A:$A,0)-1&amp;"")), 0)),
 ""))),"")</f>
        <v/>
      </c>
      <c r="AW116" s="253"/>
      <c r="AX116" s="255" t="str" cm="1">
        <f t="array" aca="1" ref="AX116" ca="1">IF(AV72&lt;&gt;"",
IF(IFERROR(
INDEX(INDIRECT("数出表_Excel!B"&amp;MATCH(AZ29,数出表_Excel!$A:$A,0)&amp;":U"&amp;MATCH(AZ29,数出表_Excel!$A:$A,0)&amp;""),
 1,AU114-1),
 "")=0,"",
IFERROR(
INDEX(INDIRECT("数出表_Excel!B"&amp;MATCH(AZ29,数出表_Excel!$A:$A,0)&amp;":U"&amp;MATCH(AZ29,数出表_Excel!$A:$A,0)&amp;""),
 1,AU114-1),
 "")),"")</f>
        <v/>
      </c>
      <c r="AY116" s="253"/>
      <c r="AZ116" s="97" t="e" cm="1">
        <f t="array" aca="1" ref="AZ116" ca="1">IF(INDIRECT(""&amp;SUBSTITUTE(ADDRESS(1,
COLUMN()-5,1),"1","")&amp;ROW()-85&amp;"")=100,
IF(AV113&lt;&gt;"",
IF(IFERROR(
INDEX(INDIRECT("'数出表_Excel（アレルギー入力）'!"&amp;AU115&amp;MATCH(AZ29,'数出表_Excel（アレルギー入力）'!$A:$A,0)+1&amp;":"&amp;AZ117&amp;MATCH(AZ29,'数出表_Excel（アレルギー入力）'!$A:$A,0)+1&amp;""),
 1,
MATCH(TRUE,INDIRECT("'数出表_Excel（アレルギー入力）'!"&amp;AU115&amp;MATCH(AZ29,'数出表_Excel（アレルギー入力）'!$A:$A,0)+1&amp;":"&amp;AZ117&amp;MATCH(AZ29,'数出表_Excel（アレルギー入力）'!$A:$A,0)+1&amp;"")&lt;&gt;"",0)+1),
 "")&lt;&gt;0,
IF(IFERROR(
INDEX(INDIRECT("'数出表_Excel（アレルギー入力）'!"&amp;AU115&amp;MATCH(AZ29,'数出表_Excel（アレルギー入力）'!$A:$A,0)+1&amp;":"&amp;AZ117&amp;MATCH(AZ29,'数出表_Excel（アレルギー入力）'!$A:$A,0)+1&amp;""),
 1,
MATCH(TRUE,INDIRECT("'数出表_Excel（アレルギー入力）'!"&amp;AU115&amp;MATCH(AZ29,'数出表_Excel（アレルギー入力）'!$A:$A,0)+1&amp;":"&amp;AZ117&amp;MATCH(AZ29,'数出表_Excel（アレルギー入力）'!$A:$A,0)+1&amp;"")&lt;&gt;"",0)+1),
 "")="",
IFERROR(
INDEX(INDIRECT("'数出表_Excel（アレルギー入力）'!"&amp;AU115&amp;MATCH(AZ29,'数出表_Excel（アレルギー入力）'!$A:$A,0)+1&amp;":"&amp;AZ117&amp;MATCH(AZ29,'数出表_Excel（アレルギー入力）'!$A:$A,0)+1&amp;""),
 1,
MATCH(TRUE,INDIRECT("'数出表_Excel（アレルギー入力）'!"&amp;AU115&amp;MATCH(AZ29,'数出表_Excel（アレルギー入力）'!$A:$A,0)+1&amp;":"&amp;AZ117&amp;MATCH(AZ29,'数出表_Excel（アレルギー入力）'!$A:$A,0)+1&amp;"")&lt;&gt;"",0)+1),
 ""),
IFERROR(
INDEX(INDIRECT("'数出表_Excel（アレルギー入力）'!"&amp;AU115&amp;MATCH(AZ29,'数出表_Excel（アレルギー入力）'!$A:$A,0)+1&amp;":"&amp;AZ117&amp;MATCH(AZ29,'数出表_Excel（アレルギー入力）'!$A:$A,0)+1&amp;""),
 1,
MATCH(TRUE,INDIRECT("'数出表_Excel（アレルギー入力）'!"&amp;AU115&amp;MATCH(AZ29,'数出表_Excel（アレルギー入力）'!$A:$A,0)+1&amp;":"&amp;AZ117&amp;MATCH(AZ29,'数出表_Excel（アレルギー入力）'!$A:$A,0)+1&amp;"")&lt;&gt;"",0)+1),
 "")),0),""),0)</f>
        <v>#VALUE!</v>
      </c>
      <c r="BB116" s="86"/>
      <c r="BC116" s="252" t="str" cm="1">
        <f t="array" aca="1" ref="BC116" ca="1">IF(BC114&lt;&gt;"",
IF(IFERROR(
INDEX(INDIRECT("数出表_Excel!"&amp;BB113&amp;MATCH(BG29,数出表_Excel!$A:$A,0)-1&amp;":U"&amp;MATCH(BG29,数出表_Excel!$A:$A,0)-1&amp;""),
 1,
 MATCH(TRUE, ISNUMBER(--INDIRECT("数出表_Excel!"&amp;BB113&amp;MATCH(BG29,数出表_Excel!$A:$A,0)-1&amp;":U"&amp;MATCH(BG29,数出表_Excel!$A:$A,0)-1&amp;"")), 0)),
 "")=0,"",
IF(BB31=100,
IFERROR(
INDEX(INDIRECT("数出表_Excel!"&amp;BB113&amp;MATCH(BG29,数出表_Excel!$A:$A,0)-1+2&amp;":U"&amp;MATCH(BG29,数出表_Excel!$A:$A,0)-1+2&amp;""),
 1,
 MATCH(TRUE, ISNUMBER(--INDIRECT("数出表_Excel!"&amp;BB113&amp;MATCH(BG29,数出表_Excel!$A:$A,0)-1+2&amp;":U"&amp;MATCH(BG29,数出表_Excel!$A:$A,0)-1+2&amp;"")), 0)),
 "")
+IFERROR(
INDEX(INDIRECT("数出表_Excel!"&amp;BB113&amp;MATCH(BG29,数出表_Excel!$A:$A,0)-1&amp;":U"&amp;MATCH(BG29,数出表_Excel!$A:$A,0)-1&amp;""),
 1,
 MATCH(TRUE, ISNUMBER(--INDIRECT("数出表_Excel!"&amp;BB113&amp;MATCH(BG29,数出表_Excel!$A:$A,0)-1&amp;":U"&amp;MATCH(BG29,数出表_Excel!$A:$A,0)-1&amp;"")), 0)),
 ""),
IFERROR(
INDEX(INDIRECT("数出表_Excel!"&amp;BB113&amp;MATCH(BG29,数出表_Excel!$A:$A,0)-1&amp;":U"&amp;MATCH(BG29,数出表_Excel!$A:$A,0)-1&amp;""),
 1,
 MATCH(TRUE, ISNUMBER(--INDIRECT("数出表_Excel!"&amp;BB113&amp;MATCH(BG29,数出表_Excel!$A:$A,0)-1&amp;":U"&amp;MATCH(BG29,数出表_Excel!$A:$A,0)-1&amp;"")), 0)),
 ""))),"")</f>
        <v/>
      </c>
      <c r="BD116" s="253"/>
      <c r="BE116" s="255" t="str" cm="1">
        <f t="array" aca="1" ref="BE116" ca="1">IF(BC72&lt;&gt;"",
IF(IFERROR(
INDEX(INDIRECT("数出表_Excel!B"&amp;MATCH(BG29,数出表_Excel!$A:$A,0)&amp;":U"&amp;MATCH(BG29,数出表_Excel!$A:$A,0)&amp;""),
 1,BB114-1),
 "")=0,"",
IFERROR(
INDEX(INDIRECT("数出表_Excel!B"&amp;MATCH(BG29,数出表_Excel!$A:$A,0)&amp;":U"&amp;MATCH(BG29,数出表_Excel!$A:$A,0)&amp;""),
 1,BB114-1),
 "")),"")</f>
        <v/>
      </c>
      <c r="BF116" s="253"/>
      <c r="BG116" s="97" t="e" cm="1">
        <f t="array" aca="1" ref="BG116" ca="1">IF(INDIRECT(""&amp;SUBSTITUTE(ADDRESS(1,
COLUMN()-5,1),"1","")&amp;ROW()-85&amp;"")=100,
IF(BC113&lt;&gt;"",
IF(IFERROR(
INDEX(INDIRECT("'数出表_Excel（アレルギー入力）'!"&amp;BB115&amp;MATCH(BG29,'数出表_Excel（アレルギー入力）'!$A:$A,0)+1&amp;":"&amp;BG117&amp;MATCH(BG29,'数出表_Excel（アレルギー入力）'!$A:$A,0)+1&amp;""),
 1,
MATCH(TRUE,INDIRECT("'数出表_Excel（アレルギー入力）'!"&amp;BB115&amp;MATCH(BG29,'数出表_Excel（アレルギー入力）'!$A:$A,0)+1&amp;":"&amp;BG117&amp;MATCH(BG29,'数出表_Excel（アレルギー入力）'!$A:$A,0)+1&amp;"")&lt;&gt;"",0)+1),
 "")&lt;&gt;0,
IF(IFERROR(
INDEX(INDIRECT("'数出表_Excel（アレルギー入力）'!"&amp;BB115&amp;MATCH(BG29,'数出表_Excel（アレルギー入力）'!$A:$A,0)+1&amp;":"&amp;BG117&amp;MATCH(BG29,'数出表_Excel（アレルギー入力）'!$A:$A,0)+1&amp;""),
 1,
MATCH(TRUE,INDIRECT("'数出表_Excel（アレルギー入力）'!"&amp;BB115&amp;MATCH(BG29,'数出表_Excel（アレルギー入力）'!$A:$A,0)+1&amp;":"&amp;BG117&amp;MATCH(BG29,'数出表_Excel（アレルギー入力）'!$A:$A,0)+1&amp;"")&lt;&gt;"",0)+1),
 "")="",
IFERROR(
INDEX(INDIRECT("'数出表_Excel（アレルギー入力）'!"&amp;BB115&amp;MATCH(BG29,'数出表_Excel（アレルギー入力）'!$A:$A,0)+1&amp;":"&amp;BG117&amp;MATCH(BG29,'数出表_Excel（アレルギー入力）'!$A:$A,0)+1&amp;""),
 1,
MATCH(TRUE,INDIRECT("'数出表_Excel（アレルギー入力）'!"&amp;BB115&amp;MATCH(BG29,'数出表_Excel（アレルギー入力）'!$A:$A,0)+1&amp;":"&amp;BG117&amp;MATCH(BG29,'数出表_Excel（アレルギー入力）'!$A:$A,0)+1&amp;"")&lt;&gt;"",0)+1),
 ""),
IFERROR(
INDEX(INDIRECT("'数出表_Excel（アレルギー入力）'!"&amp;BB115&amp;MATCH(BG29,'数出表_Excel（アレルギー入力）'!$A:$A,0)+1&amp;":"&amp;BG117&amp;MATCH(BG29,'数出表_Excel（アレルギー入力）'!$A:$A,0)+1&amp;""),
 1,
MATCH(TRUE,INDIRECT("'数出表_Excel（アレルギー入力）'!"&amp;BB115&amp;MATCH(BG29,'数出表_Excel（アレルギー入力）'!$A:$A,0)+1&amp;":"&amp;BG117&amp;MATCH(BG29,'数出表_Excel（アレルギー入力）'!$A:$A,0)+1&amp;"")&lt;&gt;"",0)+1),
 "")),0),""),0)</f>
        <v>#VALUE!</v>
      </c>
      <c r="BJ116" s="86"/>
      <c r="BK116" s="252" t="str" cm="1">
        <f t="array" aca="1" ref="BK116" ca="1">IF(BK114&lt;&gt;"",
IF(IFERROR(
INDEX(INDIRECT("数出表_Excel!"&amp;BJ113&amp;MATCH(BO29,数出表_Excel!$A:$A,0)-1&amp;":U"&amp;MATCH(BO29,数出表_Excel!$A:$A,0)-1&amp;""),
 1,
 MATCH(TRUE, ISNUMBER(--INDIRECT("数出表_Excel!"&amp;BJ113&amp;MATCH(BO29,数出表_Excel!$A:$A,0)-1&amp;":U"&amp;MATCH(BO29,数出表_Excel!$A:$A,0)-1&amp;"")), 0)),
 "")=0,"",
IF(BJ31=100,
IFERROR(
INDEX(INDIRECT("数出表_Excel!"&amp;BJ113&amp;MATCH(BO29,数出表_Excel!$A:$A,0)-1+2&amp;":U"&amp;MATCH(BO29,数出表_Excel!$A:$A,0)-1+2&amp;""),
 1,
 MATCH(TRUE, ISNUMBER(--INDIRECT("数出表_Excel!"&amp;BJ113&amp;MATCH(BO29,数出表_Excel!$A:$A,0)-1+2&amp;":U"&amp;MATCH(BO29,数出表_Excel!$A:$A,0)-1+2&amp;"")), 0)),
 "")
+IFERROR(
INDEX(INDIRECT("数出表_Excel!"&amp;BJ113&amp;MATCH(BO29,数出表_Excel!$A:$A,0)-1&amp;":U"&amp;MATCH(BO29,数出表_Excel!$A:$A,0)-1&amp;""),
 1,
 MATCH(TRUE, ISNUMBER(--INDIRECT("数出表_Excel!"&amp;BJ113&amp;MATCH(BO29,数出表_Excel!$A:$A,0)-1&amp;":U"&amp;MATCH(BO29,数出表_Excel!$A:$A,0)-1&amp;"")), 0)),
 ""),
IFERROR(
INDEX(INDIRECT("数出表_Excel!"&amp;BJ113&amp;MATCH(BO29,数出表_Excel!$A:$A,0)-1&amp;":U"&amp;MATCH(BO29,数出表_Excel!$A:$A,0)-1&amp;""),
 1,
 MATCH(TRUE, ISNUMBER(--INDIRECT("数出表_Excel!"&amp;BJ113&amp;MATCH(BO29,数出表_Excel!$A:$A,0)-1&amp;":U"&amp;MATCH(BO29,数出表_Excel!$A:$A,0)-1&amp;"")), 0)),
 ""))),"")</f>
        <v/>
      </c>
      <c r="BL116" s="253"/>
      <c r="BM116" s="255" t="str" cm="1">
        <f t="array" aca="1" ref="BM116" ca="1">IF(BK72&lt;&gt;"",
IF(IFERROR(
INDEX(INDIRECT("数出表_Excel!B"&amp;MATCH(BO29,数出表_Excel!$A:$A,0)&amp;":U"&amp;MATCH(BO29,数出表_Excel!$A:$A,0)&amp;""),
 1,BJ114-1),
 "")=0,"",
IFERROR(
INDEX(INDIRECT("数出表_Excel!B"&amp;MATCH(BO29,数出表_Excel!$A:$A,0)&amp;":U"&amp;MATCH(BO29,数出表_Excel!$A:$A,0)&amp;""),
 1,BJ114-1),
 "")),"")</f>
        <v/>
      </c>
      <c r="BN116" s="253"/>
      <c r="BO116" s="97" t="e" cm="1">
        <f t="array" aca="1" ref="BO116" ca="1">IF(INDIRECT(""&amp;SUBSTITUTE(ADDRESS(1,
COLUMN()-5,1),"1","")&amp;ROW()-85&amp;"")=100,
IF(BK113&lt;&gt;"",
IF(IFERROR(
INDEX(INDIRECT("'数出表_Excel（アレルギー入力）'!"&amp;BJ115&amp;MATCH(BO29,'数出表_Excel（アレルギー入力）'!$A:$A,0)+1&amp;":"&amp;BO117&amp;MATCH(BO29,'数出表_Excel（アレルギー入力）'!$A:$A,0)+1&amp;""),
 1,
MATCH(TRUE,INDIRECT("'数出表_Excel（アレルギー入力）'!"&amp;BJ115&amp;MATCH(BO29,'数出表_Excel（アレルギー入力）'!$A:$A,0)+1&amp;":"&amp;BO117&amp;MATCH(BO29,'数出表_Excel（アレルギー入力）'!$A:$A,0)+1&amp;"")&lt;&gt;"",0)+1),
 "")&lt;&gt;0,
IF(IFERROR(
INDEX(INDIRECT("'数出表_Excel（アレルギー入力）'!"&amp;BJ115&amp;MATCH(BO29,'数出表_Excel（アレルギー入力）'!$A:$A,0)+1&amp;":"&amp;BO117&amp;MATCH(BO29,'数出表_Excel（アレルギー入力）'!$A:$A,0)+1&amp;""),
 1,
MATCH(TRUE,INDIRECT("'数出表_Excel（アレルギー入力）'!"&amp;BJ115&amp;MATCH(BO29,'数出表_Excel（アレルギー入力）'!$A:$A,0)+1&amp;":"&amp;BO117&amp;MATCH(BO29,'数出表_Excel（アレルギー入力）'!$A:$A,0)+1&amp;"")&lt;&gt;"",0)+1),
 "")="",
IFERROR(
INDEX(INDIRECT("'数出表_Excel（アレルギー入力）'!"&amp;BJ115&amp;MATCH(BO29,'数出表_Excel（アレルギー入力）'!$A:$A,0)+1&amp;":"&amp;BO117&amp;MATCH(BO29,'数出表_Excel（アレルギー入力）'!$A:$A,0)+1&amp;""),
 1,
MATCH(TRUE,INDIRECT("'数出表_Excel（アレルギー入力）'!"&amp;BJ115&amp;MATCH(BO29,'数出表_Excel（アレルギー入力）'!$A:$A,0)+1&amp;":"&amp;BO117&amp;MATCH(BO29,'数出表_Excel（アレルギー入力）'!$A:$A,0)+1&amp;"")&lt;&gt;"",0)+1),
 ""),
IFERROR(
INDEX(INDIRECT("'数出表_Excel（アレルギー入力）'!"&amp;BJ115&amp;MATCH(BO29,'数出表_Excel（アレルギー入力）'!$A:$A,0)+1&amp;":"&amp;BO117&amp;MATCH(BO29,'数出表_Excel（アレルギー入力）'!$A:$A,0)+1&amp;""),
 1,
MATCH(TRUE,INDIRECT("'数出表_Excel（アレルギー入力）'!"&amp;BJ115&amp;MATCH(BO29,'数出表_Excel（アレルギー入力）'!$A:$A,0)+1&amp;":"&amp;BO117&amp;MATCH(BO29,'数出表_Excel（アレルギー入力）'!$A:$A,0)+1&amp;"")&lt;&gt;"",0)+1),
 "")),0),""),0)</f>
        <v>#VALUE!</v>
      </c>
      <c r="BQ116" s="86"/>
      <c r="BR116" s="252" t="str" cm="1">
        <f t="array" aca="1" ref="BR116" ca="1">IF(BR114&lt;&gt;"",
IF(IFERROR(
INDEX(INDIRECT("数出表_Excel!"&amp;BQ113&amp;MATCH(BV29,数出表_Excel!$A:$A,0)-1&amp;":U"&amp;MATCH(BV29,数出表_Excel!$A:$A,0)-1&amp;""),
 1,
 MATCH(TRUE, ISNUMBER(--INDIRECT("数出表_Excel!"&amp;BQ113&amp;MATCH(BV29,数出表_Excel!$A:$A,0)-1&amp;":U"&amp;MATCH(BV29,数出表_Excel!$A:$A,0)-1&amp;"")), 0)),
 "")=0,"",
IF(BQ31=100,
IFERROR(
INDEX(INDIRECT("数出表_Excel!"&amp;BQ113&amp;MATCH(BV29,数出表_Excel!$A:$A,0)-1+2&amp;":U"&amp;MATCH(BV29,数出表_Excel!$A:$A,0)-1+2&amp;""),
 1,
 MATCH(TRUE, ISNUMBER(--INDIRECT("数出表_Excel!"&amp;BQ113&amp;MATCH(BV29,数出表_Excel!$A:$A,0)-1+2&amp;":U"&amp;MATCH(BV29,数出表_Excel!$A:$A,0)-1+2&amp;"")), 0)),
 "")
+IFERROR(
INDEX(INDIRECT("数出表_Excel!"&amp;BQ113&amp;MATCH(BV29,数出表_Excel!$A:$A,0)-1&amp;":U"&amp;MATCH(BV29,数出表_Excel!$A:$A,0)-1&amp;""),
 1,
 MATCH(TRUE, ISNUMBER(--INDIRECT("数出表_Excel!"&amp;BQ113&amp;MATCH(BV29,数出表_Excel!$A:$A,0)-1&amp;":U"&amp;MATCH(BV29,数出表_Excel!$A:$A,0)-1&amp;"")), 0)),
 ""),
IFERROR(
INDEX(INDIRECT("数出表_Excel!"&amp;BQ113&amp;MATCH(BV29,数出表_Excel!$A:$A,0)-1&amp;":U"&amp;MATCH(BV29,数出表_Excel!$A:$A,0)-1&amp;""),
 1,
 MATCH(TRUE, ISNUMBER(--INDIRECT("数出表_Excel!"&amp;BQ113&amp;MATCH(BV29,数出表_Excel!$A:$A,0)-1&amp;":U"&amp;MATCH(BV29,数出表_Excel!$A:$A,0)-1&amp;"")), 0)),
 ""))),"")</f>
        <v/>
      </c>
      <c r="BS116" s="253"/>
      <c r="BT116" s="255" t="str" cm="1">
        <f t="array" aca="1" ref="BT116" ca="1">IF(BR72&lt;&gt;"",
IF(IFERROR(
INDEX(INDIRECT("数出表_Excel!B"&amp;MATCH(BV29,数出表_Excel!$A:$A,0)&amp;":U"&amp;MATCH(BV29,数出表_Excel!$A:$A,0)&amp;""),
 1,BQ114-1),
 "")=0,"",
IFERROR(
INDEX(INDIRECT("数出表_Excel!B"&amp;MATCH(BV29,数出表_Excel!$A:$A,0)&amp;":U"&amp;MATCH(BV29,数出表_Excel!$A:$A,0)&amp;""),
 1,BQ114-1),
 "")),"")</f>
        <v/>
      </c>
      <c r="BU116" s="253"/>
      <c r="BV116" s="97" t="e" cm="1">
        <f t="array" aca="1" ref="BV116" ca="1">IF(INDIRECT(""&amp;SUBSTITUTE(ADDRESS(1,
COLUMN()-5,1),"1","")&amp;ROW()-85&amp;"")=100,
IF(BR113&lt;&gt;"",
IF(IFERROR(
INDEX(INDIRECT("'数出表_Excel（アレルギー入力）'!"&amp;BQ115&amp;MATCH(BV29,'数出表_Excel（アレルギー入力）'!$A:$A,0)+1&amp;":"&amp;BV117&amp;MATCH(BV29,'数出表_Excel（アレルギー入力）'!$A:$A,0)+1&amp;""),
 1,
MATCH(TRUE,INDIRECT("'数出表_Excel（アレルギー入力）'!"&amp;BQ115&amp;MATCH(BV29,'数出表_Excel（アレルギー入力）'!$A:$A,0)+1&amp;":"&amp;BV117&amp;MATCH(BV29,'数出表_Excel（アレルギー入力）'!$A:$A,0)+1&amp;"")&lt;&gt;"",0)+1),
 "")&lt;&gt;0,
IF(IFERROR(
INDEX(INDIRECT("'数出表_Excel（アレルギー入力）'!"&amp;BQ115&amp;MATCH(BV29,'数出表_Excel（アレルギー入力）'!$A:$A,0)+1&amp;":"&amp;BV117&amp;MATCH(BV29,'数出表_Excel（アレルギー入力）'!$A:$A,0)+1&amp;""),
 1,
MATCH(TRUE,INDIRECT("'数出表_Excel（アレルギー入力）'!"&amp;BQ115&amp;MATCH(BV29,'数出表_Excel（アレルギー入力）'!$A:$A,0)+1&amp;":"&amp;BV117&amp;MATCH(BV29,'数出表_Excel（アレルギー入力）'!$A:$A,0)+1&amp;"")&lt;&gt;"",0)+1),
 "")="",
IFERROR(
INDEX(INDIRECT("'数出表_Excel（アレルギー入力）'!"&amp;BQ115&amp;MATCH(BV29,'数出表_Excel（アレルギー入力）'!$A:$A,0)+1&amp;":"&amp;BV117&amp;MATCH(BV29,'数出表_Excel（アレルギー入力）'!$A:$A,0)+1&amp;""),
 1,
MATCH(TRUE,INDIRECT("'数出表_Excel（アレルギー入力）'!"&amp;BQ115&amp;MATCH(BV29,'数出表_Excel（アレルギー入力）'!$A:$A,0)+1&amp;":"&amp;BV117&amp;MATCH(BV29,'数出表_Excel（アレルギー入力）'!$A:$A,0)+1&amp;"")&lt;&gt;"",0)+1),
 ""),
IFERROR(
INDEX(INDIRECT("'数出表_Excel（アレルギー入力）'!"&amp;BQ115&amp;MATCH(BV29,'数出表_Excel（アレルギー入力）'!$A:$A,0)+1&amp;":"&amp;BV117&amp;MATCH(BV29,'数出表_Excel（アレルギー入力）'!$A:$A,0)+1&amp;""),
 1,
MATCH(TRUE,INDIRECT("'数出表_Excel（アレルギー入力）'!"&amp;BQ115&amp;MATCH(BV29,'数出表_Excel（アレルギー入力）'!$A:$A,0)+1&amp;":"&amp;BV117&amp;MATCH(BV29,'数出表_Excel（アレルギー入力）'!$A:$A,0)+1&amp;"")&lt;&gt;"",0)+1),
 "")),0),""),0)</f>
        <v>#VALUE!</v>
      </c>
      <c r="BY116" s="86"/>
      <c r="BZ116" s="252" t="str" cm="1">
        <f t="array" aca="1" ref="BZ116" ca="1">IF(BZ114&lt;&gt;"",
IF(IFERROR(
INDEX(INDIRECT("数出表_Excel!"&amp;BY113&amp;MATCH(CD29,数出表_Excel!$A:$A,0)-1&amp;":U"&amp;MATCH(CD29,数出表_Excel!$A:$A,0)-1&amp;""),
 1,
 MATCH(TRUE, ISNUMBER(--INDIRECT("数出表_Excel!"&amp;BY113&amp;MATCH(CD29,数出表_Excel!$A:$A,0)-1&amp;":U"&amp;MATCH(CD29,数出表_Excel!$A:$A,0)-1&amp;"")), 0)),
 "")=0,"",
IF(BY31=100,
IFERROR(
INDEX(INDIRECT("数出表_Excel!"&amp;BY113&amp;MATCH(CD29,数出表_Excel!$A:$A,0)-1+2&amp;":U"&amp;MATCH(CD29,数出表_Excel!$A:$A,0)-1+2&amp;""),
 1,
 MATCH(TRUE, ISNUMBER(--INDIRECT("数出表_Excel!"&amp;BY113&amp;MATCH(CD29,数出表_Excel!$A:$A,0)-1+2&amp;":U"&amp;MATCH(CD29,数出表_Excel!$A:$A,0)-1+2&amp;"")), 0)),
 "")
+IFERROR(
INDEX(INDIRECT("数出表_Excel!"&amp;BY113&amp;MATCH(CD29,数出表_Excel!$A:$A,0)-1&amp;":U"&amp;MATCH(CD29,数出表_Excel!$A:$A,0)-1&amp;""),
 1,
 MATCH(TRUE, ISNUMBER(--INDIRECT("数出表_Excel!"&amp;BY113&amp;MATCH(CD29,数出表_Excel!$A:$A,0)-1&amp;":U"&amp;MATCH(CD29,数出表_Excel!$A:$A,0)-1&amp;"")), 0)),
 ""),
IFERROR(
INDEX(INDIRECT("数出表_Excel!"&amp;BY113&amp;MATCH(CD29,数出表_Excel!$A:$A,0)-1&amp;":U"&amp;MATCH(CD29,数出表_Excel!$A:$A,0)-1&amp;""),
 1,
 MATCH(TRUE, ISNUMBER(--INDIRECT("数出表_Excel!"&amp;BY113&amp;MATCH(CD29,数出表_Excel!$A:$A,0)-1&amp;":U"&amp;MATCH(CD29,数出表_Excel!$A:$A,0)-1&amp;"")), 0)),
 ""))),"")</f>
        <v/>
      </c>
      <c r="CA116" s="253"/>
      <c r="CB116" s="255" t="str" cm="1">
        <f t="array" aca="1" ref="CB116" ca="1">IF(BZ72&lt;&gt;"",
IF(IFERROR(
INDEX(INDIRECT("数出表_Excel!B"&amp;MATCH(CD29,数出表_Excel!$A:$A,0)&amp;":U"&amp;MATCH(CD29,数出表_Excel!$A:$A,0)&amp;""),
 1,BY114-1),
 "")=0,"",
IFERROR(
INDEX(INDIRECT("数出表_Excel!B"&amp;MATCH(CD29,数出表_Excel!$A:$A,0)&amp;":U"&amp;MATCH(CD29,数出表_Excel!$A:$A,0)&amp;""),
 1,BY114-1),
 "")),"")</f>
        <v/>
      </c>
      <c r="CC116" s="253"/>
      <c r="CD116" s="97" t="e" cm="1">
        <f t="array" aca="1" ref="CD116" ca="1">IF(INDIRECT(""&amp;SUBSTITUTE(ADDRESS(1,
COLUMN()-5,1),"1","")&amp;ROW()-85&amp;"")=100,
IF(BZ113&lt;&gt;"",
IF(IFERROR(
INDEX(INDIRECT("'数出表_Excel（アレルギー入力）'!"&amp;BY115&amp;MATCH(CD29,'数出表_Excel（アレルギー入力）'!$A:$A,0)+1&amp;":"&amp;CD117&amp;MATCH(CD29,'数出表_Excel（アレルギー入力）'!$A:$A,0)+1&amp;""),
 1,
MATCH(TRUE,INDIRECT("'数出表_Excel（アレルギー入力）'!"&amp;BY115&amp;MATCH(CD29,'数出表_Excel（アレルギー入力）'!$A:$A,0)+1&amp;":"&amp;CD117&amp;MATCH(CD29,'数出表_Excel（アレルギー入力）'!$A:$A,0)+1&amp;"")&lt;&gt;"",0)+1),
 "")&lt;&gt;0,
IF(IFERROR(
INDEX(INDIRECT("'数出表_Excel（アレルギー入力）'!"&amp;BY115&amp;MATCH(CD29,'数出表_Excel（アレルギー入力）'!$A:$A,0)+1&amp;":"&amp;CD117&amp;MATCH(CD29,'数出表_Excel（アレルギー入力）'!$A:$A,0)+1&amp;""),
 1,
MATCH(TRUE,INDIRECT("'数出表_Excel（アレルギー入力）'!"&amp;BY115&amp;MATCH(CD29,'数出表_Excel（アレルギー入力）'!$A:$A,0)+1&amp;":"&amp;CD117&amp;MATCH(CD29,'数出表_Excel（アレルギー入力）'!$A:$A,0)+1&amp;"")&lt;&gt;"",0)+1),
 "")="",
IFERROR(
INDEX(INDIRECT("'数出表_Excel（アレルギー入力）'!"&amp;BY115&amp;MATCH(CD29,'数出表_Excel（アレルギー入力）'!$A:$A,0)+1&amp;":"&amp;CD117&amp;MATCH(CD29,'数出表_Excel（アレルギー入力）'!$A:$A,0)+1&amp;""),
 1,
MATCH(TRUE,INDIRECT("'数出表_Excel（アレルギー入力）'!"&amp;BY115&amp;MATCH(CD29,'数出表_Excel（アレルギー入力）'!$A:$A,0)+1&amp;":"&amp;CD117&amp;MATCH(CD29,'数出表_Excel（アレルギー入力）'!$A:$A,0)+1&amp;"")&lt;&gt;"",0)+1),
 ""),
IFERROR(
INDEX(INDIRECT("'数出表_Excel（アレルギー入力）'!"&amp;BY115&amp;MATCH(CD29,'数出表_Excel（アレルギー入力）'!$A:$A,0)+1&amp;":"&amp;CD117&amp;MATCH(CD29,'数出表_Excel（アレルギー入力）'!$A:$A,0)+1&amp;""),
 1,
MATCH(TRUE,INDIRECT("'数出表_Excel（アレルギー入力）'!"&amp;BY115&amp;MATCH(CD29,'数出表_Excel（アレルギー入力）'!$A:$A,0)+1&amp;":"&amp;CD117&amp;MATCH(CD29,'数出表_Excel（アレルギー入力）'!$A:$A,0)+1&amp;"")&lt;&gt;"",0)+1),
 "")),0),""),0)</f>
        <v>#VALUE!</v>
      </c>
      <c r="CF116" s="86"/>
      <c r="CG116" s="252" t="str" cm="1">
        <f t="array" aca="1" ref="CG116" ca="1">IF(CG114&lt;&gt;"",
IF(IFERROR(
INDEX(INDIRECT("数出表_Excel!"&amp;CF113&amp;MATCH(CK29,数出表_Excel!$A:$A,0)-1&amp;":U"&amp;MATCH(CK29,数出表_Excel!$A:$A,0)-1&amp;""),
 1,
 MATCH(TRUE, ISNUMBER(--INDIRECT("数出表_Excel!"&amp;CF113&amp;MATCH(CK29,数出表_Excel!$A:$A,0)-1&amp;":U"&amp;MATCH(CK29,数出表_Excel!$A:$A,0)-1&amp;"")), 0)),
 "")=0,"",
IF(CF31=100,
IFERROR(
INDEX(INDIRECT("数出表_Excel!"&amp;CF113&amp;MATCH(CK29,数出表_Excel!$A:$A,0)-1+2&amp;":U"&amp;MATCH(CK29,数出表_Excel!$A:$A,0)-1+2&amp;""),
 1,
 MATCH(TRUE, ISNUMBER(--INDIRECT("数出表_Excel!"&amp;CF113&amp;MATCH(CK29,数出表_Excel!$A:$A,0)-1+2&amp;":U"&amp;MATCH(CK29,数出表_Excel!$A:$A,0)-1+2&amp;"")), 0)),
 "")
+IFERROR(
INDEX(INDIRECT("数出表_Excel!"&amp;CF113&amp;MATCH(CK29,数出表_Excel!$A:$A,0)-1&amp;":U"&amp;MATCH(CK29,数出表_Excel!$A:$A,0)-1&amp;""),
 1,
 MATCH(TRUE, ISNUMBER(--INDIRECT("数出表_Excel!"&amp;CF113&amp;MATCH(CK29,数出表_Excel!$A:$A,0)-1&amp;":U"&amp;MATCH(CK29,数出表_Excel!$A:$A,0)-1&amp;"")), 0)),
 ""),
IFERROR(
INDEX(INDIRECT("数出表_Excel!"&amp;CF113&amp;MATCH(CK29,数出表_Excel!$A:$A,0)-1&amp;":U"&amp;MATCH(CK29,数出表_Excel!$A:$A,0)-1&amp;""),
 1,
 MATCH(TRUE, ISNUMBER(--INDIRECT("数出表_Excel!"&amp;CF113&amp;MATCH(CK29,数出表_Excel!$A:$A,0)-1&amp;":U"&amp;MATCH(CK29,数出表_Excel!$A:$A,0)-1&amp;"")), 0)),
 ""))),"")</f>
        <v/>
      </c>
      <c r="CH116" s="253"/>
      <c r="CI116" s="255" t="str" cm="1">
        <f t="array" aca="1" ref="CI116" ca="1">IF(CG72&lt;&gt;"",
IF(IFERROR(
INDEX(INDIRECT("数出表_Excel!B"&amp;MATCH(CK29,数出表_Excel!$A:$A,0)&amp;":U"&amp;MATCH(CK29,数出表_Excel!$A:$A,0)&amp;""),
 1,CF114-1),
 "")=0,"",
IFERROR(
INDEX(INDIRECT("数出表_Excel!B"&amp;MATCH(CK29,数出表_Excel!$A:$A,0)&amp;":U"&amp;MATCH(CK29,数出表_Excel!$A:$A,0)&amp;""),
 1,CF114-1),
 "")),"")</f>
        <v/>
      </c>
      <c r="CJ116" s="253"/>
      <c r="CK116" s="97" t="e" cm="1">
        <f t="array" aca="1" ref="CK116" ca="1">IF(INDIRECT(""&amp;SUBSTITUTE(ADDRESS(1,
COLUMN()-5,1),"1","")&amp;ROW()-85&amp;"")=100,
IF(CG113&lt;&gt;"",
IF(IFERROR(
INDEX(INDIRECT("'数出表_Excel（アレルギー入力）'!"&amp;CF115&amp;MATCH(CK29,'数出表_Excel（アレルギー入力）'!$A:$A,0)+1&amp;":"&amp;CK117&amp;MATCH(CK29,'数出表_Excel（アレルギー入力）'!$A:$A,0)+1&amp;""),
 1,
MATCH(TRUE,INDIRECT("'数出表_Excel（アレルギー入力）'!"&amp;CF115&amp;MATCH(CK29,'数出表_Excel（アレルギー入力）'!$A:$A,0)+1&amp;":"&amp;CK117&amp;MATCH(CK29,'数出表_Excel（アレルギー入力）'!$A:$A,0)+1&amp;"")&lt;&gt;"",0)+1),
 "")&lt;&gt;0,
IF(IFERROR(
INDEX(INDIRECT("'数出表_Excel（アレルギー入力）'!"&amp;CF115&amp;MATCH(CK29,'数出表_Excel（アレルギー入力）'!$A:$A,0)+1&amp;":"&amp;CK117&amp;MATCH(CK29,'数出表_Excel（アレルギー入力）'!$A:$A,0)+1&amp;""),
 1,
MATCH(TRUE,INDIRECT("'数出表_Excel（アレルギー入力）'!"&amp;CF115&amp;MATCH(CK29,'数出表_Excel（アレルギー入力）'!$A:$A,0)+1&amp;":"&amp;CK117&amp;MATCH(CK29,'数出表_Excel（アレルギー入力）'!$A:$A,0)+1&amp;"")&lt;&gt;"",0)+1),
 "")="",
IFERROR(
INDEX(INDIRECT("'数出表_Excel（アレルギー入力）'!"&amp;CF115&amp;MATCH(CK29,'数出表_Excel（アレルギー入力）'!$A:$A,0)+1&amp;":"&amp;CK117&amp;MATCH(CK29,'数出表_Excel（アレルギー入力）'!$A:$A,0)+1&amp;""),
 1,
MATCH(TRUE,INDIRECT("'数出表_Excel（アレルギー入力）'!"&amp;CF115&amp;MATCH(CK29,'数出表_Excel（アレルギー入力）'!$A:$A,0)+1&amp;":"&amp;CK117&amp;MATCH(CK29,'数出表_Excel（アレルギー入力）'!$A:$A,0)+1&amp;"")&lt;&gt;"",0)+1),
 ""),
IFERROR(
INDEX(INDIRECT("'数出表_Excel（アレルギー入力）'!"&amp;CF115&amp;MATCH(CK29,'数出表_Excel（アレルギー入力）'!$A:$A,0)+1&amp;":"&amp;CK117&amp;MATCH(CK29,'数出表_Excel（アレルギー入力）'!$A:$A,0)+1&amp;""),
 1,
MATCH(TRUE,INDIRECT("'数出表_Excel（アレルギー入力）'!"&amp;CF115&amp;MATCH(CK29,'数出表_Excel（アレルギー入力）'!$A:$A,0)+1&amp;":"&amp;CK117&amp;MATCH(CK29,'数出表_Excel（アレルギー入力）'!$A:$A,0)+1&amp;"")&lt;&gt;"",0)+1),
 "")),0),""),0)</f>
        <v>#VALUE!</v>
      </c>
      <c r="CN116" s="86"/>
      <c r="CO116" s="252" t="str" cm="1">
        <f t="array" aca="1" ref="CO116" ca="1">IF(CO114&lt;&gt;"",
IF(IFERROR(
INDEX(INDIRECT("数出表_Excel!"&amp;CN113&amp;MATCH(CS29,数出表_Excel!$A:$A,0)-1&amp;":U"&amp;MATCH(CS29,数出表_Excel!$A:$A,0)-1&amp;""),
 1,
 MATCH(TRUE, ISNUMBER(--INDIRECT("数出表_Excel!"&amp;CN113&amp;MATCH(CS29,数出表_Excel!$A:$A,0)-1&amp;":U"&amp;MATCH(CS29,数出表_Excel!$A:$A,0)-1&amp;"")), 0)),
 "")=0,"",
IF(CN31=100,
IFERROR(
INDEX(INDIRECT("数出表_Excel!"&amp;CN113&amp;MATCH(CS29,数出表_Excel!$A:$A,0)-1+2&amp;":U"&amp;MATCH(CS29,数出表_Excel!$A:$A,0)-1+2&amp;""),
 1,
 MATCH(TRUE, ISNUMBER(--INDIRECT("数出表_Excel!"&amp;CN113&amp;MATCH(CS29,数出表_Excel!$A:$A,0)-1+2&amp;":U"&amp;MATCH(CS29,数出表_Excel!$A:$A,0)-1+2&amp;"")), 0)),
 "")
+IFERROR(
INDEX(INDIRECT("数出表_Excel!"&amp;CN113&amp;MATCH(CS29,数出表_Excel!$A:$A,0)-1&amp;":U"&amp;MATCH(CS29,数出表_Excel!$A:$A,0)-1&amp;""),
 1,
 MATCH(TRUE, ISNUMBER(--INDIRECT("数出表_Excel!"&amp;CN113&amp;MATCH(CS29,数出表_Excel!$A:$A,0)-1&amp;":U"&amp;MATCH(CS29,数出表_Excel!$A:$A,0)-1&amp;"")), 0)),
 ""),
IFERROR(
INDEX(INDIRECT("数出表_Excel!"&amp;CN113&amp;MATCH(CS29,数出表_Excel!$A:$A,0)-1&amp;":U"&amp;MATCH(CS29,数出表_Excel!$A:$A,0)-1&amp;""),
 1,
 MATCH(TRUE, ISNUMBER(--INDIRECT("数出表_Excel!"&amp;CN113&amp;MATCH(CS29,数出表_Excel!$A:$A,0)-1&amp;":U"&amp;MATCH(CS29,数出表_Excel!$A:$A,0)-1&amp;"")), 0)),
 ""))),"")</f>
        <v/>
      </c>
      <c r="CP116" s="253"/>
      <c r="CQ116" s="255" t="str" cm="1">
        <f t="array" aca="1" ref="CQ116" ca="1">IF(CO72&lt;&gt;"",
IF(IFERROR(
INDEX(INDIRECT("数出表_Excel!B"&amp;MATCH(CS29,数出表_Excel!$A:$A,0)&amp;":U"&amp;MATCH(CS29,数出表_Excel!$A:$A,0)&amp;""),
 1,CN114-1),
 "")=0,"",
IFERROR(
INDEX(INDIRECT("数出表_Excel!B"&amp;MATCH(CS29,数出表_Excel!$A:$A,0)&amp;":U"&amp;MATCH(CS29,数出表_Excel!$A:$A,0)&amp;""),
 1,CN114-1),
 "")),"")</f>
        <v/>
      </c>
      <c r="CR116" s="253"/>
      <c r="CS116" s="97" t="e" cm="1">
        <f t="array" aca="1" ref="CS116" ca="1">IF(INDIRECT(""&amp;SUBSTITUTE(ADDRESS(1,
COLUMN()-5,1),"1","")&amp;ROW()-85&amp;"")=100,
IF(CO113&lt;&gt;"",
IF(IFERROR(
INDEX(INDIRECT("'数出表_Excel（アレルギー入力）'!"&amp;CN115&amp;MATCH(CS29,'数出表_Excel（アレルギー入力）'!$A:$A,0)+1&amp;":"&amp;CS117&amp;MATCH(CS29,'数出表_Excel（アレルギー入力）'!$A:$A,0)+1&amp;""),
 1,
MATCH(TRUE,INDIRECT("'数出表_Excel（アレルギー入力）'!"&amp;CN115&amp;MATCH(CS29,'数出表_Excel（アレルギー入力）'!$A:$A,0)+1&amp;":"&amp;CS117&amp;MATCH(CS29,'数出表_Excel（アレルギー入力）'!$A:$A,0)+1&amp;"")&lt;&gt;"",0)+1),
 "")&lt;&gt;0,
IF(IFERROR(
INDEX(INDIRECT("'数出表_Excel（アレルギー入力）'!"&amp;CN115&amp;MATCH(CS29,'数出表_Excel（アレルギー入力）'!$A:$A,0)+1&amp;":"&amp;CS117&amp;MATCH(CS29,'数出表_Excel（アレルギー入力）'!$A:$A,0)+1&amp;""),
 1,
MATCH(TRUE,INDIRECT("'数出表_Excel（アレルギー入力）'!"&amp;CN115&amp;MATCH(CS29,'数出表_Excel（アレルギー入力）'!$A:$A,0)+1&amp;":"&amp;CS117&amp;MATCH(CS29,'数出表_Excel（アレルギー入力）'!$A:$A,0)+1&amp;"")&lt;&gt;"",0)+1),
 "")="",
IFERROR(
INDEX(INDIRECT("'数出表_Excel（アレルギー入力）'!"&amp;CN115&amp;MATCH(CS29,'数出表_Excel（アレルギー入力）'!$A:$A,0)+1&amp;":"&amp;CS117&amp;MATCH(CS29,'数出表_Excel（アレルギー入力）'!$A:$A,0)+1&amp;""),
 1,
MATCH(TRUE,INDIRECT("'数出表_Excel（アレルギー入力）'!"&amp;CN115&amp;MATCH(CS29,'数出表_Excel（アレルギー入力）'!$A:$A,0)+1&amp;":"&amp;CS117&amp;MATCH(CS29,'数出表_Excel（アレルギー入力）'!$A:$A,0)+1&amp;"")&lt;&gt;"",0)+1),
 ""),
IFERROR(
INDEX(INDIRECT("'数出表_Excel（アレルギー入力）'!"&amp;CN115&amp;MATCH(CS29,'数出表_Excel（アレルギー入力）'!$A:$A,0)+1&amp;":"&amp;CS117&amp;MATCH(CS29,'数出表_Excel（アレルギー入力）'!$A:$A,0)+1&amp;""),
 1,
MATCH(TRUE,INDIRECT("'数出表_Excel（アレルギー入力）'!"&amp;CN115&amp;MATCH(CS29,'数出表_Excel（アレルギー入力）'!$A:$A,0)+1&amp;":"&amp;CS117&amp;MATCH(CS29,'数出表_Excel（アレルギー入力）'!$A:$A,0)+1&amp;"")&lt;&gt;"",0)+1),
 "")),0),""),0)</f>
        <v>#VALUE!</v>
      </c>
      <c r="CU116" s="86"/>
      <c r="CV116" s="252" t="str" cm="1">
        <f t="array" aca="1" ref="CV116" ca="1">IF(CV114&lt;&gt;"",
IF(IFERROR(
INDEX(INDIRECT("数出表_Excel!"&amp;CU113&amp;MATCH(CZ29,数出表_Excel!$A:$A,0)-1&amp;":U"&amp;MATCH(CZ29,数出表_Excel!$A:$A,0)-1&amp;""),
 1,
 MATCH(TRUE, ISNUMBER(--INDIRECT("数出表_Excel!"&amp;CU113&amp;MATCH(CZ29,数出表_Excel!$A:$A,0)-1&amp;":U"&amp;MATCH(CZ29,数出表_Excel!$A:$A,0)-1&amp;"")), 0)),
 "")=0,"",
IF(CU31=100,
IFERROR(
INDEX(INDIRECT("数出表_Excel!"&amp;CU113&amp;MATCH(CZ29,数出表_Excel!$A:$A,0)-1+2&amp;":U"&amp;MATCH(CZ29,数出表_Excel!$A:$A,0)-1+2&amp;""),
 1,
 MATCH(TRUE, ISNUMBER(--INDIRECT("数出表_Excel!"&amp;CU113&amp;MATCH(CZ29,数出表_Excel!$A:$A,0)-1+2&amp;":U"&amp;MATCH(CZ29,数出表_Excel!$A:$A,0)-1+2&amp;"")), 0)),
 "")
+IFERROR(
INDEX(INDIRECT("数出表_Excel!"&amp;CU113&amp;MATCH(CZ29,数出表_Excel!$A:$A,0)-1&amp;":U"&amp;MATCH(CZ29,数出表_Excel!$A:$A,0)-1&amp;""),
 1,
 MATCH(TRUE, ISNUMBER(--INDIRECT("数出表_Excel!"&amp;CU113&amp;MATCH(CZ29,数出表_Excel!$A:$A,0)-1&amp;":U"&amp;MATCH(CZ29,数出表_Excel!$A:$A,0)-1&amp;"")), 0)),
 ""),
IFERROR(
INDEX(INDIRECT("数出表_Excel!"&amp;CU113&amp;MATCH(CZ29,数出表_Excel!$A:$A,0)-1&amp;":U"&amp;MATCH(CZ29,数出表_Excel!$A:$A,0)-1&amp;""),
 1,
 MATCH(TRUE, ISNUMBER(--INDIRECT("数出表_Excel!"&amp;CU113&amp;MATCH(CZ29,数出表_Excel!$A:$A,0)-1&amp;":U"&amp;MATCH(CZ29,数出表_Excel!$A:$A,0)-1&amp;"")), 0)),
 ""))),"")</f>
        <v/>
      </c>
      <c r="CW116" s="253"/>
      <c r="CX116" s="255" t="str" cm="1">
        <f t="array" aca="1" ref="CX116" ca="1">IF(CV72&lt;&gt;"",
IF(IFERROR(
INDEX(INDIRECT("数出表_Excel!B"&amp;MATCH(CZ29,数出表_Excel!$A:$A,0)&amp;":U"&amp;MATCH(CZ29,数出表_Excel!$A:$A,0)&amp;""),
 1,CU114-1),
 "")=0,"",
IFERROR(
INDEX(INDIRECT("数出表_Excel!B"&amp;MATCH(CZ29,数出表_Excel!$A:$A,0)&amp;":U"&amp;MATCH(CZ29,数出表_Excel!$A:$A,0)&amp;""),
 1,CU114-1),
 "")),"")</f>
        <v/>
      </c>
      <c r="CY116" s="253"/>
      <c r="CZ116" s="97" t="e" cm="1">
        <f t="array" aca="1" ref="CZ116" ca="1">IF(INDIRECT(""&amp;SUBSTITUTE(ADDRESS(1,
COLUMN()-5,1),"1","")&amp;ROW()-85&amp;"")=100,
IF(CV113&lt;&gt;"",
IF(IFERROR(
INDEX(INDIRECT("'数出表_Excel（アレルギー入力）'!"&amp;CU115&amp;MATCH(CZ29,'数出表_Excel（アレルギー入力）'!$A:$A,0)+1&amp;":"&amp;CZ117&amp;MATCH(CZ29,'数出表_Excel（アレルギー入力）'!$A:$A,0)+1&amp;""),
 1,
MATCH(TRUE,INDIRECT("'数出表_Excel（アレルギー入力）'!"&amp;CU115&amp;MATCH(CZ29,'数出表_Excel（アレルギー入力）'!$A:$A,0)+1&amp;":"&amp;CZ117&amp;MATCH(CZ29,'数出表_Excel（アレルギー入力）'!$A:$A,0)+1&amp;"")&lt;&gt;"",0)+1),
 "")&lt;&gt;0,
IF(IFERROR(
INDEX(INDIRECT("'数出表_Excel（アレルギー入力）'!"&amp;CU115&amp;MATCH(CZ29,'数出表_Excel（アレルギー入力）'!$A:$A,0)+1&amp;":"&amp;CZ117&amp;MATCH(CZ29,'数出表_Excel（アレルギー入力）'!$A:$A,0)+1&amp;""),
 1,
MATCH(TRUE,INDIRECT("'数出表_Excel（アレルギー入力）'!"&amp;CU115&amp;MATCH(CZ29,'数出表_Excel（アレルギー入力）'!$A:$A,0)+1&amp;":"&amp;CZ117&amp;MATCH(CZ29,'数出表_Excel（アレルギー入力）'!$A:$A,0)+1&amp;"")&lt;&gt;"",0)+1),
 "")="",
IFERROR(
INDEX(INDIRECT("'数出表_Excel（アレルギー入力）'!"&amp;CU115&amp;MATCH(CZ29,'数出表_Excel（アレルギー入力）'!$A:$A,0)+1&amp;":"&amp;CZ117&amp;MATCH(CZ29,'数出表_Excel（アレルギー入力）'!$A:$A,0)+1&amp;""),
 1,
MATCH(TRUE,INDIRECT("'数出表_Excel（アレルギー入力）'!"&amp;CU115&amp;MATCH(CZ29,'数出表_Excel（アレルギー入力）'!$A:$A,0)+1&amp;":"&amp;CZ117&amp;MATCH(CZ29,'数出表_Excel（アレルギー入力）'!$A:$A,0)+1&amp;"")&lt;&gt;"",0)+1),
 ""),
IFERROR(
INDEX(INDIRECT("'数出表_Excel（アレルギー入力）'!"&amp;CU115&amp;MATCH(CZ29,'数出表_Excel（アレルギー入力）'!$A:$A,0)+1&amp;":"&amp;CZ117&amp;MATCH(CZ29,'数出表_Excel（アレルギー入力）'!$A:$A,0)+1&amp;""),
 1,
MATCH(TRUE,INDIRECT("'数出表_Excel（アレルギー入力）'!"&amp;CU115&amp;MATCH(CZ29,'数出表_Excel（アレルギー入力）'!$A:$A,0)+1&amp;":"&amp;CZ117&amp;MATCH(CZ29,'数出表_Excel（アレルギー入力）'!$A:$A,0)+1&amp;"")&lt;&gt;"",0)+1),
 "")),0),""),0)</f>
        <v>#VALUE!</v>
      </c>
      <c r="DC116" s="86"/>
      <c r="DD116" s="252" t="str" cm="1">
        <f t="array" aca="1" ref="DD116" ca="1">IF(DD114&lt;&gt;"",
IF(IFERROR(
INDEX(INDIRECT("数出表_Excel!"&amp;DC113&amp;MATCH(DH29,数出表_Excel!$A:$A,0)-1&amp;":U"&amp;MATCH(DH29,数出表_Excel!$A:$A,0)-1&amp;""),
 1,
 MATCH(TRUE, ISNUMBER(--INDIRECT("数出表_Excel!"&amp;DC113&amp;MATCH(DH29,数出表_Excel!$A:$A,0)-1&amp;":U"&amp;MATCH(DH29,数出表_Excel!$A:$A,0)-1&amp;"")), 0)),
 "")=0,"",
IF(DC31=100,
IFERROR(
INDEX(INDIRECT("数出表_Excel!"&amp;DC113&amp;MATCH(DH29,数出表_Excel!$A:$A,0)-1+2&amp;":U"&amp;MATCH(DH29,数出表_Excel!$A:$A,0)-1+2&amp;""),
 1,
 MATCH(TRUE, ISNUMBER(--INDIRECT("数出表_Excel!"&amp;DC113&amp;MATCH(DH29,数出表_Excel!$A:$A,0)-1+2&amp;":U"&amp;MATCH(DH29,数出表_Excel!$A:$A,0)-1+2&amp;"")), 0)),
 "")
+IFERROR(
INDEX(INDIRECT("数出表_Excel!"&amp;DC113&amp;MATCH(DH29,数出表_Excel!$A:$A,0)-1&amp;":U"&amp;MATCH(DH29,数出表_Excel!$A:$A,0)-1&amp;""),
 1,
 MATCH(TRUE, ISNUMBER(--INDIRECT("数出表_Excel!"&amp;DC113&amp;MATCH(DH29,数出表_Excel!$A:$A,0)-1&amp;":U"&amp;MATCH(DH29,数出表_Excel!$A:$A,0)-1&amp;"")), 0)),
 ""),
IFERROR(
INDEX(INDIRECT("数出表_Excel!"&amp;DC113&amp;MATCH(DH29,数出表_Excel!$A:$A,0)-1&amp;":U"&amp;MATCH(DH29,数出表_Excel!$A:$A,0)-1&amp;""),
 1,
 MATCH(TRUE, ISNUMBER(--INDIRECT("数出表_Excel!"&amp;DC113&amp;MATCH(DH29,数出表_Excel!$A:$A,0)-1&amp;":U"&amp;MATCH(DH29,数出表_Excel!$A:$A,0)-1&amp;"")), 0)),
 ""))),"")</f>
        <v/>
      </c>
      <c r="DE116" s="253"/>
      <c r="DF116" s="255" t="str" cm="1">
        <f t="array" aca="1" ref="DF116" ca="1">IF(DD72&lt;&gt;"",
IF(IFERROR(
INDEX(INDIRECT("数出表_Excel!B"&amp;MATCH(DH29,数出表_Excel!$A:$A,0)&amp;":U"&amp;MATCH(DH29,数出表_Excel!$A:$A,0)&amp;""),
 1,DC114-1),
 "")=0,"",
IFERROR(
INDEX(INDIRECT("数出表_Excel!B"&amp;MATCH(DH29,数出表_Excel!$A:$A,0)&amp;":U"&amp;MATCH(DH29,数出表_Excel!$A:$A,0)&amp;""),
 1,DC114-1),
 "")),"")</f>
        <v/>
      </c>
      <c r="DG116" s="253"/>
      <c r="DH116" s="97" t="e" cm="1">
        <f t="array" aca="1" ref="DH116" ca="1">IF(INDIRECT(""&amp;SUBSTITUTE(ADDRESS(1,
COLUMN()-5,1),"1","")&amp;ROW()-85&amp;"")=100,
IF(DD113&lt;&gt;"",
IF(IFERROR(
INDEX(INDIRECT("'数出表_Excel（アレルギー入力）'!"&amp;DC115&amp;MATCH(DH29,'数出表_Excel（アレルギー入力）'!$A:$A,0)+1&amp;":"&amp;DH117&amp;MATCH(DH29,'数出表_Excel（アレルギー入力）'!$A:$A,0)+1&amp;""),
 1,
MATCH(TRUE,INDIRECT("'数出表_Excel（アレルギー入力）'!"&amp;DC115&amp;MATCH(DH29,'数出表_Excel（アレルギー入力）'!$A:$A,0)+1&amp;":"&amp;DH117&amp;MATCH(DH29,'数出表_Excel（アレルギー入力）'!$A:$A,0)+1&amp;"")&lt;&gt;"",0)+1),
 "")&lt;&gt;0,
IF(IFERROR(
INDEX(INDIRECT("'数出表_Excel（アレルギー入力）'!"&amp;DC115&amp;MATCH(DH29,'数出表_Excel（アレルギー入力）'!$A:$A,0)+1&amp;":"&amp;DH117&amp;MATCH(DH29,'数出表_Excel（アレルギー入力）'!$A:$A,0)+1&amp;""),
 1,
MATCH(TRUE,INDIRECT("'数出表_Excel（アレルギー入力）'!"&amp;DC115&amp;MATCH(DH29,'数出表_Excel（アレルギー入力）'!$A:$A,0)+1&amp;":"&amp;DH117&amp;MATCH(DH29,'数出表_Excel（アレルギー入力）'!$A:$A,0)+1&amp;"")&lt;&gt;"",0)+1),
 "")="",
IFERROR(
INDEX(INDIRECT("'数出表_Excel（アレルギー入力）'!"&amp;DC115&amp;MATCH(DH29,'数出表_Excel（アレルギー入力）'!$A:$A,0)+1&amp;":"&amp;DH117&amp;MATCH(DH29,'数出表_Excel（アレルギー入力）'!$A:$A,0)+1&amp;""),
 1,
MATCH(TRUE,INDIRECT("'数出表_Excel（アレルギー入力）'!"&amp;DC115&amp;MATCH(DH29,'数出表_Excel（アレルギー入力）'!$A:$A,0)+1&amp;":"&amp;DH117&amp;MATCH(DH29,'数出表_Excel（アレルギー入力）'!$A:$A,0)+1&amp;"")&lt;&gt;"",0)+1),
 ""),
IFERROR(
INDEX(INDIRECT("'数出表_Excel（アレルギー入力）'!"&amp;DC115&amp;MATCH(DH29,'数出表_Excel（アレルギー入力）'!$A:$A,0)+1&amp;":"&amp;DH117&amp;MATCH(DH29,'数出表_Excel（アレルギー入力）'!$A:$A,0)+1&amp;""),
 1,
MATCH(TRUE,INDIRECT("'数出表_Excel（アレルギー入力）'!"&amp;DC115&amp;MATCH(DH29,'数出表_Excel（アレルギー入力）'!$A:$A,0)+1&amp;":"&amp;DH117&amp;MATCH(DH29,'数出表_Excel（アレルギー入力）'!$A:$A,0)+1&amp;"")&lt;&gt;"",0)+1),
 "")),0),""),0)</f>
        <v>#VALUE!</v>
      </c>
      <c r="DJ116" s="86"/>
      <c r="DK116" s="252" t="str" cm="1">
        <f t="array" aca="1" ref="DK116" ca="1">IF(DK114&lt;&gt;"",
IF(IFERROR(
INDEX(INDIRECT("数出表_Excel!"&amp;DJ113&amp;MATCH(DO29,数出表_Excel!$A:$A,0)-1&amp;":U"&amp;MATCH(DO29,数出表_Excel!$A:$A,0)-1&amp;""),
 1,
 MATCH(TRUE, ISNUMBER(--INDIRECT("数出表_Excel!"&amp;DJ113&amp;MATCH(DO29,数出表_Excel!$A:$A,0)-1&amp;":U"&amp;MATCH(DO29,数出表_Excel!$A:$A,0)-1&amp;"")), 0)),
 "")=0,"",
IF(DJ31=100,
IFERROR(
INDEX(INDIRECT("数出表_Excel!"&amp;DJ113&amp;MATCH(DO29,数出表_Excel!$A:$A,0)-1+2&amp;":U"&amp;MATCH(DO29,数出表_Excel!$A:$A,0)-1+2&amp;""),
 1,
 MATCH(TRUE, ISNUMBER(--INDIRECT("数出表_Excel!"&amp;DJ113&amp;MATCH(DO29,数出表_Excel!$A:$A,0)-1+2&amp;":U"&amp;MATCH(DO29,数出表_Excel!$A:$A,0)-1+2&amp;"")), 0)),
 "")
+IFERROR(
INDEX(INDIRECT("数出表_Excel!"&amp;DJ113&amp;MATCH(DO29,数出表_Excel!$A:$A,0)-1&amp;":U"&amp;MATCH(DO29,数出表_Excel!$A:$A,0)-1&amp;""),
 1,
 MATCH(TRUE, ISNUMBER(--INDIRECT("数出表_Excel!"&amp;DJ113&amp;MATCH(DO29,数出表_Excel!$A:$A,0)-1&amp;":U"&amp;MATCH(DO29,数出表_Excel!$A:$A,0)-1&amp;"")), 0)),
 ""),
IFERROR(
INDEX(INDIRECT("数出表_Excel!"&amp;DJ113&amp;MATCH(DO29,数出表_Excel!$A:$A,0)-1&amp;":U"&amp;MATCH(DO29,数出表_Excel!$A:$A,0)-1&amp;""),
 1,
 MATCH(TRUE, ISNUMBER(--INDIRECT("数出表_Excel!"&amp;DJ113&amp;MATCH(DO29,数出表_Excel!$A:$A,0)-1&amp;":U"&amp;MATCH(DO29,数出表_Excel!$A:$A,0)-1&amp;"")), 0)),
 ""))),"")</f>
        <v/>
      </c>
      <c r="DL116" s="253"/>
      <c r="DM116" s="255" t="str" cm="1">
        <f t="array" aca="1" ref="DM116" ca="1">IF(DK72&lt;&gt;"",
IF(IFERROR(
INDEX(INDIRECT("数出表_Excel!B"&amp;MATCH(DO29,数出表_Excel!$A:$A,0)&amp;":U"&amp;MATCH(DO29,数出表_Excel!$A:$A,0)&amp;""),
 1,DJ114-1),
 "")=0,"",
IFERROR(
INDEX(INDIRECT("数出表_Excel!B"&amp;MATCH(DO29,数出表_Excel!$A:$A,0)&amp;":U"&amp;MATCH(DO29,数出表_Excel!$A:$A,0)&amp;""),
 1,DJ114-1),
 "")),"")</f>
        <v/>
      </c>
      <c r="DN116" s="253"/>
      <c r="DO116" s="97" t="e" cm="1">
        <f t="array" aca="1" ref="DO116" ca="1">IF(INDIRECT(""&amp;SUBSTITUTE(ADDRESS(1,
COLUMN()-5,1),"1","")&amp;ROW()-85&amp;"")=100,
IF(DK113&lt;&gt;"",
IF(IFERROR(
INDEX(INDIRECT("'数出表_Excel（アレルギー入力）'!"&amp;DJ115&amp;MATCH(DO29,'数出表_Excel（アレルギー入力）'!$A:$A,0)+1&amp;":"&amp;DO117&amp;MATCH(DO29,'数出表_Excel（アレルギー入力）'!$A:$A,0)+1&amp;""),
 1,
MATCH(TRUE,INDIRECT("'数出表_Excel（アレルギー入力）'!"&amp;DJ115&amp;MATCH(DO29,'数出表_Excel（アレルギー入力）'!$A:$A,0)+1&amp;":"&amp;DO117&amp;MATCH(DO29,'数出表_Excel（アレルギー入力）'!$A:$A,0)+1&amp;"")&lt;&gt;"",0)+1),
 "")&lt;&gt;0,
IF(IFERROR(
INDEX(INDIRECT("'数出表_Excel（アレルギー入力）'!"&amp;DJ115&amp;MATCH(DO29,'数出表_Excel（アレルギー入力）'!$A:$A,0)+1&amp;":"&amp;DO117&amp;MATCH(DO29,'数出表_Excel（アレルギー入力）'!$A:$A,0)+1&amp;""),
 1,
MATCH(TRUE,INDIRECT("'数出表_Excel（アレルギー入力）'!"&amp;DJ115&amp;MATCH(DO29,'数出表_Excel（アレルギー入力）'!$A:$A,0)+1&amp;":"&amp;DO117&amp;MATCH(DO29,'数出表_Excel（アレルギー入力）'!$A:$A,0)+1&amp;"")&lt;&gt;"",0)+1),
 "")="",
IFERROR(
INDEX(INDIRECT("'数出表_Excel（アレルギー入力）'!"&amp;DJ115&amp;MATCH(DO29,'数出表_Excel（アレルギー入力）'!$A:$A,0)+1&amp;":"&amp;DO117&amp;MATCH(DO29,'数出表_Excel（アレルギー入力）'!$A:$A,0)+1&amp;""),
 1,
MATCH(TRUE,INDIRECT("'数出表_Excel（アレルギー入力）'!"&amp;DJ115&amp;MATCH(DO29,'数出表_Excel（アレルギー入力）'!$A:$A,0)+1&amp;":"&amp;DO117&amp;MATCH(DO29,'数出表_Excel（アレルギー入力）'!$A:$A,0)+1&amp;"")&lt;&gt;"",0)+1),
 ""),
IFERROR(
INDEX(INDIRECT("'数出表_Excel（アレルギー入力）'!"&amp;DJ115&amp;MATCH(DO29,'数出表_Excel（アレルギー入力）'!$A:$A,0)+1&amp;":"&amp;DO117&amp;MATCH(DO29,'数出表_Excel（アレルギー入力）'!$A:$A,0)+1&amp;""),
 1,
MATCH(TRUE,INDIRECT("'数出表_Excel（アレルギー入力）'!"&amp;DJ115&amp;MATCH(DO29,'数出表_Excel（アレルギー入力）'!$A:$A,0)+1&amp;":"&amp;DO117&amp;MATCH(DO29,'数出表_Excel（アレルギー入力）'!$A:$A,0)+1&amp;"")&lt;&gt;"",0)+1),
 "")),0),""),0)</f>
        <v>#VALUE!</v>
      </c>
      <c r="DR116" s="86"/>
      <c r="DS116" s="252" t="str" cm="1">
        <f t="array" aca="1" ref="DS116" ca="1">IF(DS114&lt;&gt;"",
IF(IFERROR(
INDEX(INDIRECT("数出表_Excel!"&amp;DR113&amp;MATCH(DW29,数出表_Excel!$A:$A,0)-1&amp;":U"&amp;MATCH(DW29,数出表_Excel!$A:$A,0)-1&amp;""),
 1,
 MATCH(TRUE, ISNUMBER(--INDIRECT("数出表_Excel!"&amp;DR113&amp;MATCH(DW29,数出表_Excel!$A:$A,0)-1&amp;":U"&amp;MATCH(DW29,数出表_Excel!$A:$A,0)-1&amp;"")), 0)),
 "")=0,"",
IF(DR31=100,
IFERROR(
INDEX(INDIRECT("数出表_Excel!"&amp;DR113&amp;MATCH(DW29,数出表_Excel!$A:$A,0)-1+2&amp;":U"&amp;MATCH(DW29,数出表_Excel!$A:$A,0)-1+2&amp;""),
 1,
 MATCH(TRUE, ISNUMBER(--INDIRECT("数出表_Excel!"&amp;DR113&amp;MATCH(DW29,数出表_Excel!$A:$A,0)-1+2&amp;":U"&amp;MATCH(DW29,数出表_Excel!$A:$A,0)-1+2&amp;"")), 0)),
 "")
+IFERROR(
INDEX(INDIRECT("数出表_Excel!"&amp;DR113&amp;MATCH(DW29,数出表_Excel!$A:$A,0)-1&amp;":U"&amp;MATCH(DW29,数出表_Excel!$A:$A,0)-1&amp;""),
 1,
 MATCH(TRUE, ISNUMBER(--INDIRECT("数出表_Excel!"&amp;DR113&amp;MATCH(DW29,数出表_Excel!$A:$A,0)-1&amp;":U"&amp;MATCH(DW29,数出表_Excel!$A:$A,0)-1&amp;"")), 0)),
 ""),
IFERROR(
INDEX(INDIRECT("数出表_Excel!"&amp;DR113&amp;MATCH(DW29,数出表_Excel!$A:$A,0)-1&amp;":U"&amp;MATCH(DW29,数出表_Excel!$A:$A,0)-1&amp;""),
 1,
 MATCH(TRUE, ISNUMBER(--INDIRECT("数出表_Excel!"&amp;DR113&amp;MATCH(DW29,数出表_Excel!$A:$A,0)-1&amp;":U"&amp;MATCH(DW29,数出表_Excel!$A:$A,0)-1&amp;"")), 0)),
 ""))),"")</f>
        <v/>
      </c>
      <c r="DT116" s="253"/>
      <c r="DU116" s="255" t="str" cm="1">
        <f t="array" aca="1" ref="DU116" ca="1">IF(DS72&lt;&gt;"",
IF(IFERROR(
INDEX(INDIRECT("数出表_Excel!B"&amp;MATCH(DW29,数出表_Excel!$A:$A,0)&amp;":U"&amp;MATCH(DW29,数出表_Excel!$A:$A,0)&amp;""),
 1,DR114-1),
 "")=0,"",
IFERROR(
INDEX(INDIRECT("数出表_Excel!B"&amp;MATCH(DW29,数出表_Excel!$A:$A,0)&amp;":U"&amp;MATCH(DW29,数出表_Excel!$A:$A,0)&amp;""),
 1,DR114-1),
 "")),"")</f>
        <v/>
      </c>
      <c r="DV116" s="253"/>
      <c r="DW116" s="97" t="e" cm="1">
        <f t="array" aca="1" ref="DW116" ca="1">IF(INDIRECT(""&amp;SUBSTITUTE(ADDRESS(1,
COLUMN()-5,1),"1","")&amp;ROW()-85&amp;"")=100,
IF(DS113&lt;&gt;"",
IF(IFERROR(
INDEX(INDIRECT("'数出表_Excel（アレルギー入力）'!"&amp;DR115&amp;MATCH(DW29,'数出表_Excel（アレルギー入力）'!$A:$A,0)+1&amp;":"&amp;DW117&amp;MATCH(DW29,'数出表_Excel（アレルギー入力）'!$A:$A,0)+1&amp;""),
 1,
MATCH(TRUE,INDIRECT("'数出表_Excel（アレルギー入力）'!"&amp;DR115&amp;MATCH(DW29,'数出表_Excel（アレルギー入力）'!$A:$A,0)+1&amp;":"&amp;DW117&amp;MATCH(DW29,'数出表_Excel（アレルギー入力）'!$A:$A,0)+1&amp;"")&lt;&gt;"",0)+1),
 "")&lt;&gt;0,
IF(IFERROR(
INDEX(INDIRECT("'数出表_Excel（アレルギー入力）'!"&amp;DR115&amp;MATCH(DW29,'数出表_Excel（アレルギー入力）'!$A:$A,0)+1&amp;":"&amp;DW117&amp;MATCH(DW29,'数出表_Excel（アレルギー入力）'!$A:$A,0)+1&amp;""),
 1,
MATCH(TRUE,INDIRECT("'数出表_Excel（アレルギー入力）'!"&amp;DR115&amp;MATCH(DW29,'数出表_Excel（アレルギー入力）'!$A:$A,0)+1&amp;":"&amp;DW117&amp;MATCH(DW29,'数出表_Excel（アレルギー入力）'!$A:$A,0)+1&amp;"")&lt;&gt;"",0)+1),
 "")="",
IFERROR(
INDEX(INDIRECT("'数出表_Excel（アレルギー入力）'!"&amp;DR115&amp;MATCH(DW29,'数出表_Excel（アレルギー入力）'!$A:$A,0)+1&amp;":"&amp;DW117&amp;MATCH(DW29,'数出表_Excel（アレルギー入力）'!$A:$A,0)+1&amp;""),
 1,
MATCH(TRUE,INDIRECT("'数出表_Excel（アレルギー入力）'!"&amp;DR115&amp;MATCH(DW29,'数出表_Excel（アレルギー入力）'!$A:$A,0)+1&amp;":"&amp;DW117&amp;MATCH(DW29,'数出表_Excel（アレルギー入力）'!$A:$A,0)+1&amp;"")&lt;&gt;"",0)+1),
 ""),
IFERROR(
INDEX(INDIRECT("'数出表_Excel（アレルギー入力）'!"&amp;DR115&amp;MATCH(DW29,'数出表_Excel（アレルギー入力）'!$A:$A,0)+1&amp;":"&amp;DW117&amp;MATCH(DW29,'数出表_Excel（アレルギー入力）'!$A:$A,0)+1&amp;""),
 1,
MATCH(TRUE,INDIRECT("'数出表_Excel（アレルギー入力）'!"&amp;DR115&amp;MATCH(DW29,'数出表_Excel（アレルギー入力）'!$A:$A,0)+1&amp;":"&amp;DW117&amp;MATCH(DW29,'数出表_Excel（アレルギー入力）'!$A:$A,0)+1&amp;"")&lt;&gt;"",0)+1),
 "")),0),""),0)</f>
        <v>#VALUE!</v>
      </c>
      <c r="DY116" s="86"/>
      <c r="DZ116" s="252" t="str" cm="1">
        <f t="array" aca="1" ref="DZ116" ca="1">IF(DZ114&lt;&gt;"",
IF(IFERROR(
INDEX(INDIRECT("数出表_Excel!"&amp;DY113&amp;MATCH(ED29,数出表_Excel!$A:$A,0)-1&amp;":U"&amp;MATCH(ED29,数出表_Excel!$A:$A,0)-1&amp;""),
 1,
 MATCH(TRUE, ISNUMBER(--INDIRECT("数出表_Excel!"&amp;DY113&amp;MATCH(ED29,数出表_Excel!$A:$A,0)-1&amp;":U"&amp;MATCH(ED29,数出表_Excel!$A:$A,0)-1&amp;"")), 0)),
 "")=0,"",
IF(DY31=100,
IFERROR(
INDEX(INDIRECT("数出表_Excel!"&amp;DY113&amp;MATCH(ED29,数出表_Excel!$A:$A,0)-1+2&amp;":U"&amp;MATCH(ED29,数出表_Excel!$A:$A,0)-1+2&amp;""),
 1,
 MATCH(TRUE, ISNUMBER(--INDIRECT("数出表_Excel!"&amp;DY113&amp;MATCH(ED29,数出表_Excel!$A:$A,0)-1+2&amp;":U"&amp;MATCH(ED29,数出表_Excel!$A:$A,0)-1+2&amp;"")), 0)),
 "")
+IFERROR(
INDEX(INDIRECT("数出表_Excel!"&amp;DY113&amp;MATCH(ED29,数出表_Excel!$A:$A,0)-1&amp;":U"&amp;MATCH(ED29,数出表_Excel!$A:$A,0)-1&amp;""),
 1,
 MATCH(TRUE, ISNUMBER(--INDIRECT("数出表_Excel!"&amp;DY113&amp;MATCH(ED29,数出表_Excel!$A:$A,0)-1&amp;":U"&amp;MATCH(ED29,数出表_Excel!$A:$A,0)-1&amp;"")), 0)),
 ""),
IFERROR(
INDEX(INDIRECT("数出表_Excel!"&amp;DY113&amp;MATCH(ED29,数出表_Excel!$A:$A,0)-1&amp;":U"&amp;MATCH(ED29,数出表_Excel!$A:$A,0)-1&amp;""),
 1,
 MATCH(TRUE, ISNUMBER(--INDIRECT("数出表_Excel!"&amp;DY113&amp;MATCH(ED29,数出表_Excel!$A:$A,0)-1&amp;":U"&amp;MATCH(ED29,数出表_Excel!$A:$A,0)-1&amp;"")), 0)),
 ""))),"")</f>
        <v/>
      </c>
      <c r="EA116" s="253"/>
      <c r="EB116" s="255" t="str" cm="1">
        <f t="array" aca="1" ref="EB116" ca="1">IF(DZ72&lt;&gt;"",
IF(IFERROR(
INDEX(INDIRECT("数出表_Excel!B"&amp;MATCH(ED29,数出表_Excel!$A:$A,0)&amp;":U"&amp;MATCH(ED29,数出表_Excel!$A:$A,0)&amp;""),
 1,DY114-1),
 "")=0,"",
IFERROR(
INDEX(INDIRECT("数出表_Excel!B"&amp;MATCH(ED29,数出表_Excel!$A:$A,0)&amp;":U"&amp;MATCH(ED29,数出表_Excel!$A:$A,0)&amp;""),
 1,DY114-1),
 "")),"")</f>
        <v/>
      </c>
      <c r="EC116" s="253"/>
      <c r="ED116" s="97" t="e" cm="1">
        <f t="array" aca="1" ref="ED116" ca="1">IF(INDIRECT(""&amp;SUBSTITUTE(ADDRESS(1,
COLUMN()-5,1),"1","")&amp;ROW()-85&amp;"")=100,
IF(DZ113&lt;&gt;"",
IF(IFERROR(
INDEX(INDIRECT("'数出表_Excel（アレルギー入力）'!"&amp;DY115&amp;MATCH(ED29,'数出表_Excel（アレルギー入力）'!$A:$A,0)+1&amp;":"&amp;ED117&amp;MATCH(ED29,'数出表_Excel（アレルギー入力）'!$A:$A,0)+1&amp;""),
 1,
MATCH(TRUE,INDIRECT("'数出表_Excel（アレルギー入力）'!"&amp;DY115&amp;MATCH(ED29,'数出表_Excel（アレルギー入力）'!$A:$A,0)+1&amp;":"&amp;ED117&amp;MATCH(ED29,'数出表_Excel（アレルギー入力）'!$A:$A,0)+1&amp;"")&lt;&gt;"",0)+1),
 "")&lt;&gt;0,
IF(IFERROR(
INDEX(INDIRECT("'数出表_Excel（アレルギー入力）'!"&amp;DY115&amp;MATCH(ED29,'数出表_Excel（アレルギー入力）'!$A:$A,0)+1&amp;":"&amp;ED117&amp;MATCH(ED29,'数出表_Excel（アレルギー入力）'!$A:$A,0)+1&amp;""),
 1,
MATCH(TRUE,INDIRECT("'数出表_Excel（アレルギー入力）'!"&amp;DY115&amp;MATCH(ED29,'数出表_Excel（アレルギー入力）'!$A:$A,0)+1&amp;":"&amp;ED117&amp;MATCH(ED29,'数出表_Excel（アレルギー入力）'!$A:$A,0)+1&amp;"")&lt;&gt;"",0)+1),
 "")="",
IFERROR(
INDEX(INDIRECT("'数出表_Excel（アレルギー入力）'!"&amp;DY115&amp;MATCH(ED29,'数出表_Excel（アレルギー入力）'!$A:$A,0)+1&amp;":"&amp;ED117&amp;MATCH(ED29,'数出表_Excel（アレルギー入力）'!$A:$A,0)+1&amp;""),
 1,
MATCH(TRUE,INDIRECT("'数出表_Excel（アレルギー入力）'!"&amp;DY115&amp;MATCH(ED29,'数出表_Excel（アレルギー入力）'!$A:$A,0)+1&amp;":"&amp;ED117&amp;MATCH(ED29,'数出表_Excel（アレルギー入力）'!$A:$A,0)+1&amp;"")&lt;&gt;"",0)+1),
 ""),
IFERROR(
INDEX(INDIRECT("'数出表_Excel（アレルギー入力）'!"&amp;DY115&amp;MATCH(ED29,'数出表_Excel（アレルギー入力）'!$A:$A,0)+1&amp;":"&amp;ED117&amp;MATCH(ED29,'数出表_Excel（アレルギー入力）'!$A:$A,0)+1&amp;""),
 1,
MATCH(TRUE,INDIRECT("'数出表_Excel（アレルギー入力）'!"&amp;DY115&amp;MATCH(ED29,'数出表_Excel（アレルギー入力）'!$A:$A,0)+1&amp;":"&amp;ED117&amp;MATCH(ED29,'数出表_Excel（アレルギー入力）'!$A:$A,0)+1&amp;"")&lt;&gt;"",0)+1),
 "")),0),""),0)</f>
        <v>#VALUE!</v>
      </c>
      <c r="EG116" s="86"/>
      <c r="EH116" s="252" t="str" cm="1">
        <f t="array" aca="1" ref="EH116" ca="1">IF(EH114&lt;&gt;"",
IF(IFERROR(
INDEX(INDIRECT("数出表_Excel!"&amp;EG113&amp;MATCH(EL29,数出表_Excel!$A:$A,0)-1&amp;":U"&amp;MATCH(EL29,数出表_Excel!$A:$A,0)-1&amp;""),
 1,
 MATCH(TRUE, ISNUMBER(--INDIRECT("数出表_Excel!"&amp;EG113&amp;MATCH(EL29,数出表_Excel!$A:$A,0)-1&amp;":U"&amp;MATCH(EL29,数出表_Excel!$A:$A,0)-1&amp;"")), 0)),
 "")=0,"",
IF(EG31=100,
IFERROR(
INDEX(INDIRECT("数出表_Excel!"&amp;EG113&amp;MATCH(EL29,数出表_Excel!$A:$A,0)-1+2&amp;":U"&amp;MATCH(EL29,数出表_Excel!$A:$A,0)-1+2&amp;""),
 1,
 MATCH(TRUE, ISNUMBER(--INDIRECT("数出表_Excel!"&amp;EG113&amp;MATCH(EL29,数出表_Excel!$A:$A,0)-1+2&amp;":U"&amp;MATCH(EL29,数出表_Excel!$A:$A,0)-1+2&amp;"")), 0)),
 "")
+IFERROR(
INDEX(INDIRECT("数出表_Excel!"&amp;EG113&amp;MATCH(EL29,数出表_Excel!$A:$A,0)-1&amp;":U"&amp;MATCH(EL29,数出表_Excel!$A:$A,0)-1&amp;""),
 1,
 MATCH(TRUE, ISNUMBER(--INDIRECT("数出表_Excel!"&amp;EG113&amp;MATCH(EL29,数出表_Excel!$A:$A,0)-1&amp;":U"&amp;MATCH(EL29,数出表_Excel!$A:$A,0)-1&amp;"")), 0)),
 ""),
IFERROR(
INDEX(INDIRECT("数出表_Excel!"&amp;EG113&amp;MATCH(EL29,数出表_Excel!$A:$A,0)-1&amp;":U"&amp;MATCH(EL29,数出表_Excel!$A:$A,0)-1&amp;""),
 1,
 MATCH(TRUE, ISNUMBER(--INDIRECT("数出表_Excel!"&amp;EG113&amp;MATCH(EL29,数出表_Excel!$A:$A,0)-1&amp;":U"&amp;MATCH(EL29,数出表_Excel!$A:$A,0)-1&amp;"")), 0)),
 ""))),"")</f>
        <v/>
      </c>
      <c r="EI116" s="253"/>
      <c r="EJ116" s="255" t="str" cm="1">
        <f t="array" aca="1" ref="EJ116" ca="1">IF(EH72&lt;&gt;"",
IF(IFERROR(
INDEX(INDIRECT("数出表_Excel!B"&amp;MATCH(EL29,数出表_Excel!$A:$A,0)&amp;":U"&amp;MATCH(EL29,数出表_Excel!$A:$A,0)&amp;""),
 1,EG114-1),
 "")=0,"",
IFERROR(
INDEX(INDIRECT("数出表_Excel!B"&amp;MATCH(EL29,数出表_Excel!$A:$A,0)&amp;":U"&amp;MATCH(EL29,数出表_Excel!$A:$A,0)&amp;""),
 1,EG114-1),
 "")),"")</f>
        <v/>
      </c>
      <c r="EK116" s="253"/>
      <c r="EL116" s="97" t="e" cm="1">
        <f t="array" aca="1" ref="EL116" ca="1">IF(INDIRECT(""&amp;SUBSTITUTE(ADDRESS(1,
COLUMN()-5,1),"1","")&amp;ROW()-85&amp;"")=100,
IF(EH113&lt;&gt;"",
IF(IFERROR(
INDEX(INDIRECT("'数出表_Excel（アレルギー入力）'!"&amp;EG115&amp;MATCH(EL29,'数出表_Excel（アレルギー入力）'!$A:$A,0)+1&amp;":"&amp;EL117&amp;MATCH(EL29,'数出表_Excel（アレルギー入力）'!$A:$A,0)+1&amp;""),
 1,
MATCH(TRUE,INDIRECT("'数出表_Excel（アレルギー入力）'!"&amp;EG115&amp;MATCH(EL29,'数出表_Excel（アレルギー入力）'!$A:$A,0)+1&amp;":"&amp;EL117&amp;MATCH(EL29,'数出表_Excel（アレルギー入力）'!$A:$A,0)+1&amp;"")&lt;&gt;"",0)+1),
 "")&lt;&gt;0,
IF(IFERROR(
INDEX(INDIRECT("'数出表_Excel（アレルギー入力）'!"&amp;EG115&amp;MATCH(EL29,'数出表_Excel（アレルギー入力）'!$A:$A,0)+1&amp;":"&amp;EL117&amp;MATCH(EL29,'数出表_Excel（アレルギー入力）'!$A:$A,0)+1&amp;""),
 1,
MATCH(TRUE,INDIRECT("'数出表_Excel（アレルギー入力）'!"&amp;EG115&amp;MATCH(EL29,'数出表_Excel（アレルギー入力）'!$A:$A,0)+1&amp;":"&amp;EL117&amp;MATCH(EL29,'数出表_Excel（アレルギー入力）'!$A:$A,0)+1&amp;"")&lt;&gt;"",0)+1),
 "")="",
IFERROR(
INDEX(INDIRECT("'数出表_Excel（アレルギー入力）'!"&amp;EG115&amp;MATCH(EL29,'数出表_Excel（アレルギー入力）'!$A:$A,0)+1&amp;":"&amp;EL117&amp;MATCH(EL29,'数出表_Excel（アレルギー入力）'!$A:$A,0)+1&amp;""),
 1,
MATCH(TRUE,INDIRECT("'数出表_Excel（アレルギー入力）'!"&amp;EG115&amp;MATCH(EL29,'数出表_Excel（アレルギー入力）'!$A:$A,0)+1&amp;":"&amp;EL117&amp;MATCH(EL29,'数出表_Excel（アレルギー入力）'!$A:$A,0)+1&amp;"")&lt;&gt;"",0)+1),
 ""),
IFERROR(
INDEX(INDIRECT("'数出表_Excel（アレルギー入力）'!"&amp;EG115&amp;MATCH(EL29,'数出表_Excel（アレルギー入力）'!$A:$A,0)+1&amp;":"&amp;EL117&amp;MATCH(EL29,'数出表_Excel（アレルギー入力）'!$A:$A,0)+1&amp;""),
 1,
MATCH(TRUE,INDIRECT("'数出表_Excel（アレルギー入力）'!"&amp;EG115&amp;MATCH(EL29,'数出表_Excel（アレルギー入力）'!$A:$A,0)+1&amp;":"&amp;EL117&amp;MATCH(EL29,'数出表_Excel（アレルギー入力）'!$A:$A,0)+1&amp;"")&lt;&gt;"",0)+1),
 "")),0),""),0)</f>
        <v>#VALUE!</v>
      </c>
      <c r="EN116" s="86"/>
      <c r="EO116" s="252" t="str" cm="1">
        <f t="array" aca="1" ref="EO116" ca="1">IF(EO114&lt;&gt;"",
IF(IFERROR(
INDEX(INDIRECT("数出表_Excel!"&amp;EN113&amp;MATCH(ES29,数出表_Excel!$A:$A,0)-1&amp;":U"&amp;MATCH(ES29,数出表_Excel!$A:$A,0)-1&amp;""),
 1,
 MATCH(TRUE, ISNUMBER(--INDIRECT("数出表_Excel!"&amp;EN113&amp;MATCH(ES29,数出表_Excel!$A:$A,0)-1&amp;":U"&amp;MATCH(ES29,数出表_Excel!$A:$A,0)-1&amp;"")), 0)),
 "")=0,"",
IF(EN31=100,
IFERROR(
INDEX(INDIRECT("数出表_Excel!"&amp;EN113&amp;MATCH(ES29,数出表_Excel!$A:$A,0)-1+2&amp;":U"&amp;MATCH(ES29,数出表_Excel!$A:$A,0)-1+2&amp;""),
 1,
 MATCH(TRUE, ISNUMBER(--INDIRECT("数出表_Excel!"&amp;EN113&amp;MATCH(ES29,数出表_Excel!$A:$A,0)-1+2&amp;":U"&amp;MATCH(ES29,数出表_Excel!$A:$A,0)-1+2&amp;"")), 0)),
 "")
+IFERROR(
INDEX(INDIRECT("数出表_Excel!"&amp;EN113&amp;MATCH(ES29,数出表_Excel!$A:$A,0)-1&amp;":U"&amp;MATCH(ES29,数出表_Excel!$A:$A,0)-1&amp;""),
 1,
 MATCH(TRUE, ISNUMBER(--INDIRECT("数出表_Excel!"&amp;EN113&amp;MATCH(ES29,数出表_Excel!$A:$A,0)-1&amp;":U"&amp;MATCH(ES29,数出表_Excel!$A:$A,0)-1&amp;"")), 0)),
 ""),
IFERROR(
INDEX(INDIRECT("数出表_Excel!"&amp;EN113&amp;MATCH(ES29,数出表_Excel!$A:$A,0)-1&amp;":U"&amp;MATCH(ES29,数出表_Excel!$A:$A,0)-1&amp;""),
 1,
 MATCH(TRUE, ISNUMBER(--INDIRECT("数出表_Excel!"&amp;EN113&amp;MATCH(ES29,数出表_Excel!$A:$A,0)-1&amp;":U"&amp;MATCH(ES29,数出表_Excel!$A:$A,0)-1&amp;"")), 0)),
 ""))),"")</f>
        <v/>
      </c>
      <c r="EP116" s="253"/>
      <c r="EQ116" s="255" t="str" cm="1">
        <f t="array" aca="1" ref="EQ116" ca="1">IF(EO72&lt;&gt;"",
IF(IFERROR(
INDEX(INDIRECT("数出表_Excel!B"&amp;MATCH(ES29,数出表_Excel!$A:$A,0)&amp;":U"&amp;MATCH(ES29,数出表_Excel!$A:$A,0)&amp;""),
 1,EN114-1),
 "")=0,"",
IFERROR(
INDEX(INDIRECT("数出表_Excel!B"&amp;MATCH(ES29,数出表_Excel!$A:$A,0)&amp;":U"&amp;MATCH(ES29,数出表_Excel!$A:$A,0)&amp;""),
 1,EN114-1),
 "")),"")</f>
        <v/>
      </c>
      <c r="ER116" s="253"/>
      <c r="ES116" s="97" t="e" cm="1">
        <f t="array" aca="1" ref="ES116" ca="1">IF(INDIRECT(""&amp;SUBSTITUTE(ADDRESS(1,
COLUMN()-5,1),"1","")&amp;ROW()-85&amp;"")=100,
IF(EO113&lt;&gt;"",
IF(IFERROR(
INDEX(INDIRECT("'数出表_Excel（アレルギー入力）'!"&amp;EN115&amp;MATCH(ES29,'数出表_Excel（アレルギー入力）'!$A:$A,0)+1&amp;":"&amp;ES117&amp;MATCH(ES29,'数出表_Excel（アレルギー入力）'!$A:$A,0)+1&amp;""),
 1,
MATCH(TRUE,INDIRECT("'数出表_Excel（アレルギー入力）'!"&amp;EN115&amp;MATCH(ES29,'数出表_Excel（アレルギー入力）'!$A:$A,0)+1&amp;":"&amp;ES117&amp;MATCH(ES29,'数出表_Excel（アレルギー入力）'!$A:$A,0)+1&amp;"")&lt;&gt;"",0)+1),
 "")&lt;&gt;0,
IF(IFERROR(
INDEX(INDIRECT("'数出表_Excel（アレルギー入力）'!"&amp;EN115&amp;MATCH(ES29,'数出表_Excel（アレルギー入力）'!$A:$A,0)+1&amp;":"&amp;ES117&amp;MATCH(ES29,'数出表_Excel（アレルギー入力）'!$A:$A,0)+1&amp;""),
 1,
MATCH(TRUE,INDIRECT("'数出表_Excel（アレルギー入力）'!"&amp;EN115&amp;MATCH(ES29,'数出表_Excel（アレルギー入力）'!$A:$A,0)+1&amp;":"&amp;ES117&amp;MATCH(ES29,'数出表_Excel（アレルギー入力）'!$A:$A,0)+1&amp;"")&lt;&gt;"",0)+1),
 "")="",
IFERROR(
INDEX(INDIRECT("'数出表_Excel（アレルギー入力）'!"&amp;EN115&amp;MATCH(ES29,'数出表_Excel（アレルギー入力）'!$A:$A,0)+1&amp;":"&amp;ES117&amp;MATCH(ES29,'数出表_Excel（アレルギー入力）'!$A:$A,0)+1&amp;""),
 1,
MATCH(TRUE,INDIRECT("'数出表_Excel（アレルギー入力）'!"&amp;EN115&amp;MATCH(ES29,'数出表_Excel（アレルギー入力）'!$A:$A,0)+1&amp;":"&amp;ES117&amp;MATCH(ES29,'数出表_Excel（アレルギー入力）'!$A:$A,0)+1&amp;"")&lt;&gt;"",0)+1),
 ""),
IFERROR(
INDEX(INDIRECT("'数出表_Excel（アレルギー入力）'!"&amp;EN115&amp;MATCH(ES29,'数出表_Excel（アレルギー入力）'!$A:$A,0)+1&amp;":"&amp;ES117&amp;MATCH(ES29,'数出表_Excel（アレルギー入力）'!$A:$A,0)+1&amp;""),
 1,
MATCH(TRUE,INDIRECT("'数出表_Excel（アレルギー入力）'!"&amp;EN115&amp;MATCH(ES29,'数出表_Excel（アレルギー入力）'!$A:$A,0)+1&amp;":"&amp;ES117&amp;MATCH(ES29,'数出表_Excel（アレルギー入力）'!$A:$A,0)+1&amp;"")&lt;&gt;"",0)+1),
 "")),0),""),0)</f>
        <v>#VALUE!</v>
      </c>
      <c r="EU116" s="78">
        <f>EU110+7</f>
        <v>49</v>
      </c>
      <c r="EV116" s="78" t="str">
        <f t="array" aca="1" ref="EV116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LEN(SUBSTITUTE(_xlfn.FORMULATEXT(EV$109),"=","")))+$EU116)</f>
        <v/>
      </c>
      <c r="EW116" s="78" t="str">
        <f t="array" aca="1" ref="EW116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LEN(SUBSTITUTE(_xlfn.FORMULATEXT(EW$109),"=","")))+$EU116)</f>
        <v/>
      </c>
      <c r="EX116" s="78" t="str">
        <f t="array" aca="1" ref="EX116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LEN(SUBSTITUTE(_xlfn.FORMULATEXT(EX$109),"=","")))+$EU116)</f>
        <v/>
      </c>
      <c r="EY116" s="78" t="str">
        <f t="array" aca="1" ref="EY116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LEN(SUBSTITUTE(_xlfn.FORMULATEXT(EY$109),"=","")))+$EU116)</f>
        <v/>
      </c>
      <c r="EZ116" s="78" t="str">
        <f t="array" aca="1" ref="EZ116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LEN(SUBSTITUTE(_xlfn.FORMULATEXT(EZ$109),"=","")))+$EU116)</f>
        <v/>
      </c>
      <c r="FA116" s="78" t="str">
        <f t="array" aca="1" ref="FA116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LEN(SUBSTITUTE(_xlfn.FORMULATEXT(FA$109),"=","")))+$EU116)</f>
        <v/>
      </c>
      <c r="FB116" s="78" t="str">
        <f t="array" aca="1" ref="FB116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LEN(SUBSTITUTE(_xlfn.FORMULATEXT(FB$109),"=","")))+$EU116)</f>
        <v/>
      </c>
      <c r="FC116" s="78" t="str">
        <f t="array" aca="1" ref="FC116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LEN(SUBSTITUTE(_xlfn.FORMULATEXT(FC$109),"=","")))+$EU116)</f>
        <v/>
      </c>
      <c r="FD116" s="78" t="str">
        <f t="array" aca="1" ref="FD116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LEN(SUBSTITUTE(_xlfn.FORMULATEXT(FD$109),"=","")))+$EU116)</f>
        <v/>
      </c>
      <c r="FE116" s="78" t="str">
        <f t="array" aca="1" ref="FE116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LEN(SUBSTITUTE(_xlfn.FORMULATEXT(FE$109),"=","")))+$EU116)</f>
        <v/>
      </c>
      <c r="FF116" s="78" t="str">
        <f t="array" aca="1" ref="FF116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LEN(SUBSTITUTE(_xlfn.FORMULATEXT(FF$109),"=","")))+$EU116)</f>
        <v/>
      </c>
      <c r="FG116" s="78">
        <f t="shared" ca="1" si="9"/>
        <v>0</v>
      </c>
      <c r="FH116" s="78" t="b">
        <f t="array" aca="1" ref="FH116" ca="1">SUMPRODUCT((LEN(EV116:FF116)&gt;0)*1)&gt;0</f>
        <v>0</v>
      </c>
      <c r="FI116" s="78" t="str">
        <f t="array" aca="1" ref="FI116" ca="1">IFERROR(SMALL(IF(FG$1:FG$228&lt;&gt;0,FG$1:FG$228),ROW(A116)),"")</f>
        <v/>
      </c>
      <c r="FJ116" s="78" t="str">
        <f t="array" aca="1" ref="FJ116" ca="1">IF($FI116&lt;&gt;"",
INDIRECT(""&amp;IF(COLUMN(EV173)&lt;=26,CHAR(COLUMN(EV173)+64),CHAR(INT((COLUMN(EV173)-1)/26)+64)&amp;CHAR(MOD(COLUMN(EV173)-1,26)+65))&amp;$FI116&amp;""),"")</f>
        <v/>
      </c>
      <c r="FK116" s="78" t="str">
        <f t="array" aca="1" ref="FK116" ca="1">IF($FI116&lt;&gt;"",
INDIRECT(""&amp;IF(COLUMN(EW173)&lt;=26,CHAR(COLUMN(EW173)+64),CHAR(INT((COLUMN(EW173)-1)/26)+64)&amp;CHAR(MOD(COLUMN(EW173)-1,26)+65))&amp;$FI116&amp;""),"")</f>
        <v/>
      </c>
      <c r="FL116" s="78" t="str">
        <f t="array" aca="1" ref="FL116" ca="1">IF($FI116&lt;&gt;"",
INDIRECT(""&amp;IF(COLUMN(EX173)&lt;=26,CHAR(COLUMN(EX173)+64),CHAR(INT((COLUMN(EX173)-1)/26)+64)&amp;CHAR(MOD(COLUMN(EX173)-1,26)+65))&amp;$FI116&amp;""),"")</f>
        <v/>
      </c>
      <c r="FM116" s="78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78" t="str">
        <f t="array" aca="1" ref="FN116" ca="1">IF($FI116&lt;&gt;"",
INDIRECT(""&amp;IF(COLUMN(FA173)&lt;=26,CHAR(COLUMN(FA173)+64),CHAR(INT((COLUMN(FA173)-1)/26)+64)&amp;CHAR(MOD(COLUMN(FA173)-1,26)+65))&amp;$FI116&amp;""),"")</f>
        <v/>
      </c>
      <c r="FO116" s="78" t="str">
        <f t="array" aca="1" ref="FO116" ca="1">IF($FI116&lt;&gt;"",
INDIRECT(""&amp;IF(COLUMN(FB173)&lt;=26,CHAR(COLUMN(FB173)+64),CHAR(INT((COLUMN(FB173)-1)/26)+64)&amp;CHAR(MOD(COLUMN(FB173)-1,26)+65))&amp;$FI116&amp;""),"")</f>
        <v/>
      </c>
      <c r="FP116" s="78" t="str">
        <f t="array" aca="1" ref="FP116" ca="1">IF($FI116&lt;&gt;"",
INDIRECT(""&amp;IF(COLUMN(FC173)&lt;=26,CHAR(COLUMN(FC173)+64),CHAR(INT((COLUMN(FC173)-1)/26)+64)&amp;CHAR(MOD(COLUMN(FC173)-1,26)+65))&amp;$FI116&amp;""),"")</f>
        <v/>
      </c>
      <c r="FQ116" s="78" t="str">
        <f t="array" aca="1" ref="FQ116" ca="1">IF($FI116&lt;&gt;"",
INDIRECT(""&amp;IF(COLUMN(FD173)&lt;=26,CHAR(COLUMN(FD173)+64),CHAR(INT((COLUMN(FD173)-1)/26)+64)&amp;CHAR(MOD(COLUMN(FD173)-1,26)+65))&amp;$FI116&amp;""),"")</f>
        <v/>
      </c>
      <c r="FR116" s="78" t="str">
        <f t="array" aca="1" ref="FR116" ca="1">IF($FI116&lt;&gt;"",
INDIRECT(""&amp;IF(COLUMN(FE173)&lt;=26,CHAR(COLUMN(FE173)+64),CHAR(INT((COLUMN(FE173)-1)/26)+64)&amp;CHAR(MOD(COLUMN(FE173)-1,26)+65))&amp;$FI116&amp;""),"")</f>
        <v/>
      </c>
      <c r="FS116" s="78" t="str">
        <f t="array" aca="1" ref="FS116" ca="1">IF($FI116&lt;&gt;"",
INDIRECT(""&amp;IF(COLUMN(FF173)&lt;=26,CHAR(COLUMN(FF173)+64),CHAR(INT((COLUMN(FF173)-1)/26)+64)&amp;CHAR(MOD(COLUMN(FF173)-1,26)+65))&amp;$FI116&amp;""),"")</f>
        <v/>
      </c>
    </row>
    <row r="117" spans="2:175" ht="22.2" customHeight="1" x14ac:dyDescent="0.45">
      <c r="B117" s="88"/>
      <c r="C117" s="254"/>
      <c r="D117" s="254"/>
      <c r="E117" s="254"/>
      <c r="F117" s="254"/>
      <c r="G117" s="98" t="str">
        <f ca="1">SUBSTITUTE(SUBSTITUTE(ADDRESS(1,MATCH("おやつ",'数出表_Excel（アレルギー入力）'!$3:$3,0)),1,""),"$","")</f>
        <v>AL</v>
      </c>
      <c r="I117" s="88"/>
      <c r="J117" s="254"/>
      <c r="K117" s="254"/>
      <c r="L117" s="254"/>
      <c r="M117" s="254"/>
      <c r="N117" s="98" t="str">
        <f ca="1">SUBSTITUTE(SUBSTITUTE(ADDRESS(1,MATCH("おやつ",'数出表_Excel（アレルギー入力）'!$3:$3,0)),1,""),"$","")</f>
        <v>AL</v>
      </c>
      <c r="Q117" s="88"/>
      <c r="R117" s="254"/>
      <c r="S117" s="254"/>
      <c r="T117" s="254"/>
      <c r="U117" s="254"/>
      <c r="V117" s="98" t="str">
        <f ca="1">SUBSTITUTE(SUBSTITUTE(ADDRESS(1,MATCH("おやつ",'数出表_Excel（アレルギー入力）'!$3:$3,0)),1,""),"$","")</f>
        <v>AL</v>
      </c>
      <c r="X117" s="88"/>
      <c r="Y117" s="254"/>
      <c r="Z117" s="254"/>
      <c r="AA117" s="254"/>
      <c r="AB117" s="254"/>
      <c r="AC117" s="98" t="str">
        <f ca="1">SUBSTITUTE(SUBSTITUTE(ADDRESS(1,MATCH("おやつ",'数出表_Excel（アレルギー入力）'!$3:$3,0)),1,""),"$","")</f>
        <v>AL</v>
      </c>
      <c r="AF117" s="88"/>
      <c r="AG117" s="254"/>
      <c r="AH117" s="254"/>
      <c r="AI117" s="254"/>
      <c r="AJ117" s="254"/>
      <c r="AK117" s="98" t="str">
        <f ca="1">SUBSTITUTE(SUBSTITUTE(ADDRESS(1,MATCH("おやつ",'数出表_Excel（アレルギー入力）'!$3:$3,0)),1,""),"$","")</f>
        <v>AL</v>
      </c>
      <c r="AM117" s="88"/>
      <c r="AN117" s="254"/>
      <c r="AO117" s="254"/>
      <c r="AP117" s="254"/>
      <c r="AQ117" s="254"/>
      <c r="AR117" s="98" t="str">
        <f ca="1">SUBSTITUTE(SUBSTITUTE(ADDRESS(1,MATCH("おやつ",'数出表_Excel（アレルギー入力）'!$3:$3,0)),1,""),"$","")</f>
        <v>AL</v>
      </c>
      <c r="AU117" s="88"/>
      <c r="AV117" s="254"/>
      <c r="AW117" s="254"/>
      <c r="AX117" s="254"/>
      <c r="AY117" s="254"/>
      <c r="AZ117" s="98" t="str">
        <f ca="1">SUBSTITUTE(SUBSTITUTE(ADDRESS(1,MATCH("おやつ",'数出表_Excel（アレルギー入力）'!$3:$3,0)),1,""),"$","")</f>
        <v>AL</v>
      </c>
      <c r="BB117" s="88"/>
      <c r="BC117" s="254"/>
      <c r="BD117" s="254"/>
      <c r="BE117" s="254"/>
      <c r="BF117" s="254"/>
      <c r="BG117" s="98" t="str">
        <f ca="1">SUBSTITUTE(SUBSTITUTE(ADDRESS(1,MATCH("おやつ",'数出表_Excel（アレルギー入力）'!$3:$3,0)),1,""),"$","")</f>
        <v>AL</v>
      </c>
      <c r="BJ117" s="88"/>
      <c r="BK117" s="254"/>
      <c r="BL117" s="254"/>
      <c r="BM117" s="254"/>
      <c r="BN117" s="254"/>
      <c r="BO117" s="98" t="str">
        <f ca="1">SUBSTITUTE(SUBSTITUTE(ADDRESS(1,MATCH("おやつ",'数出表_Excel（アレルギー入力）'!$3:$3,0)),1,""),"$","")</f>
        <v>AL</v>
      </c>
      <c r="BQ117" s="88"/>
      <c r="BR117" s="254"/>
      <c r="BS117" s="254"/>
      <c r="BT117" s="254"/>
      <c r="BU117" s="254"/>
      <c r="BV117" s="98" t="str">
        <f ca="1">SUBSTITUTE(SUBSTITUTE(ADDRESS(1,MATCH("おやつ",'数出表_Excel（アレルギー入力）'!$3:$3,0)),1,""),"$","")</f>
        <v>AL</v>
      </c>
      <c r="BY117" s="88"/>
      <c r="BZ117" s="254"/>
      <c r="CA117" s="254"/>
      <c r="CB117" s="254"/>
      <c r="CC117" s="254"/>
      <c r="CD117" s="98" t="str">
        <f ca="1">SUBSTITUTE(SUBSTITUTE(ADDRESS(1,MATCH("おやつ",'数出表_Excel（アレルギー入力）'!$3:$3,0)),1,""),"$","")</f>
        <v>AL</v>
      </c>
      <c r="CF117" s="88"/>
      <c r="CG117" s="254"/>
      <c r="CH117" s="254"/>
      <c r="CI117" s="254"/>
      <c r="CJ117" s="254"/>
      <c r="CK117" s="98" t="str">
        <f ca="1">SUBSTITUTE(SUBSTITUTE(ADDRESS(1,MATCH("おやつ",'数出表_Excel（アレルギー入力）'!$3:$3,0)),1,""),"$","")</f>
        <v>AL</v>
      </c>
      <c r="CN117" s="88"/>
      <c r="CO117" s="254"/>
      <c r="CP117" s="254"/>
      <c r="CQ117" s="254"/>
      <c r="CR117" s="254"/>
      <c r="CS117" s="98" t="str">
        <f ca="1">SUBSTITUTE(SUBSTITUTE(ADDRESS(1,MATCH("おやつ",'数出表_Excel（アレルギー入力）'!$3:$3,0)),1,""),"$","")</f>
        <v>AL</v>
      </c>
      <c r="CU117" s="88"/>
      <c r="CV117" s="254"/>
      <c r="CW117" s="254"/>
      <c r="CX117" s="254"/>
      <c r="CY117" s="254"/>
      <c r="CZ117" s="98" t="str">
        <f ca="1">SUBSTITUTE(SUBSTITUTE(ADDRESS(1,MATCH("おやつ",'数出表_Excel（アレルギー入力）'!$3:$3,0)),1,""),"$","")</f>
        <v>AL</v>
      </c>
      <c r="DC117" s="88"/>
      <c r="DD117" s="254"/>
      <c r="DE117" s="254"/>
      <c r="DF117" s="254"/>
      <c r="DG117" s="254"/>
      <c r="DH117" s="98" t="str">
        <f ca="1">SUBSTITUTE(SUBSTITUTE(ADDRESS(1,MATCH("おやつ",'数出表_Excel（アレルギー入力）'!$3:$3,0)),1,""),"$","")</f>
        <v>AL</v>
      </c>
      <c r="DJ117" s="88"/>
      <c r="DK117" s="254"/>
      <c r="DL117" s="254"/>
      <c r="DM117" s="254"/>
      <c r="DN117" s="254"/>
      <c r="DO117" s="98" t="str">
        <f ca="1">SUBSTITUTE(SUBSTITUTE(ADDRESS(1,MATCH("おやつ",'数出表_Excel（アレルギー入力）'!$3:$3,0)),1,""),"$","")</f>
        <v>AL</v>
      </c>
      <c r="DR117" s="88"/>
      <c r="DS117" s="254"/>
      <c r="DT117" s="254"/>
      <c r="DU117" s="254"/>
      <c r="DV117" s="254"/>
      <c r="DW117" s="98" t="str">
        <f ca="1">SUBSTITUTE(SUBSTITUTE(ADDRESS(1,MATCH("おやつ",'数出表_Excel（アレルギー入力）'!$3:$3,0)),1,""),"$","")</f>
        <v>AL</v>
      </c>
      <c r="DY117" s="88"/>
      <c r="DZ117" s="254"/>
      <c r="EA117" s="254"/>
      <c r="EB117" s="254"/>
      <c r="EC117" s="254"/>
      <c r="ED117" s="98" t="str">
        <f ca="1">SUBSTITUTE(SUBSTITUTE(ADDRESS(1,MATCH("おやつ",'数出表_Excel（アレルギー入力）'!$3:$3,0)),1,""),"$","")</f>
        <v>AL</v>
      </c>
      <c r="EG117" s="88"/>
      <c r="EH117" s="254"/>
      <c r="EI117" s="254"/>
      <c r="EJ117" s="254"/>
      <c r="EK117" s="254"/>
      <c r="EL117" s="98" t="str">
        <f ca="1">SUBSTITUTE(SUBSTITUTE(ADDRESS(1,MATCH("おやつ",'数出表_Excel（アレルギー入力）'!$3:$3,0)),1,""),"$","")</f>
        <v>AL</v>
      </c>
      <c r="EN117" s="88"/>
      <c r="EO117" s="254"/>
      <c r="EP117" s="254"/>
      <c r="EQ117" s="254"/>
      <c r="ER117" s="254"/>
      <c r="ES117" s="98" t="str">
        <f ca="1">SUBSTITUTE(SUBSTITUTE(ADDRESS(1,MATCH("おやつ",'数出表_Excel（アレルギー入力）'!$3:$3,0)),1,""),"$","")</f>
        <v>AL</v>
      </c>
      <c r="EU117" s="78">
        <f>EU111+7</f>
        <v>91</v>
      </c>
      <c r="EV117" s="78" t="str">
        <f t="array" aca="1" ref="EV117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LEN(SUBSTITUTE(_xlfn.FORMULATEXT(EV$109),"=","")))+$EU117)</f>
        <v/>
      </c>
      <c r="EW117" s="78" t="str">
        <f t="array" aca="1" ref="EW117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LEN(SUBSTITUTE(_xlfn.FORMULATEXT(EW$109),"=","")))+$EU117)</f>
        <v/>
      </c>
      <c r="EX117" s="78" t="str">
        <f t="array" aca="1" ref="EX117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LEN(SUBSTITUTE(_xlfn.FORMULATEXT(EX$109),"=","")))+$EU117)</f>
        <v/>
      </c>
      <c r="EY117" s="78" t="str">
        <f t="array" aca="1" ref="EY117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LEN(SUBSTITUTE(_xlfn.FORMULATEXT(EY$109),"=","")))+$EU117)</f>
        <v/>
      </c>
      <c r="EZ117" s="78" t="str">
        <f t="array" aca="1" ref="EZ117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LEN(SUBSTITUTE(_xlfn.FORMULATEXT(EZ$109),"=","")))+$EU117)</f>
        <v/>
      </c>
      <c r="FA117" s="78" t="str">
        <f t="array" aca="1" ref="FA117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LEN(SUBSTITUTE(_xlfn.FORMULATEXT(FA$109),"=","")))+$EU117)</f>
        <v/>
      </c>
      <c r="FB117" s="78" t="str">
        <f t="array" aca="1" ref="FB117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LEN(SUBSTITUTE(_xlfn.FORMULATEXT(FB$109),"=","")))+$EU117)</f>
        <v/>
      </c>
      <c r="FC117" s="78" t="str">
        <f t="array" aca="1" ref="FC117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LEN(SUBSTITUTE(_xlfn.FORMULATEXT(FC$109),"=","")))+$EU117)</f>
        <v/>
      </c>
      <c r="FD117" s="78" t="str">
        <f t="array" aca="1" ref="FD117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LEN(SUBSTITUTE(_xlfn.FORMULATEXT(FD$109),"=","")))+$EU117)</f>
        <v/>
      </c>
      <c r="FE117" s="78" t="str">
        <f t="array" aca="1" ref="FE117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LEN(SUBSTITUTE(_xlfn.FORMULATEXT(FE$109),"=","")))+$EU117)</f>
        <v/>
      </c>
      <c r="FF117" s="78" t="str">
        <f t="array" aca="1" ref="FF117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LEN(SUBSTITUTE(_xlfn.FORMULATEXT(FF$109),"=","")))+$EU117)</f>
        <v/>
      </c>
      <c r="FG117" s="78">
        <f t="shared" ca="1" si="9"/>
        <v>0</v>
      </c>
      <c r="FH117" s="78" t="b">
        <f t="array" aca="1" ref="FH117" ca="1">SUMPRODUCT((LEN(EV117:FF117)&gt;0)*1)&gt;0</f>
        <v>0</v>
      </c>
      <c r="FI117" s="78" t="str">
        <f t="array" aca="1" ref="FI117" ca="1">IFERROR(SMALL(IF(FG$1:FG$228&lt;&gt;0,FG$1:FG$228),ROW(A117)),"")</f>
        <v/>
      </c>
      <c r="FJ117" s="78" t="str">
        <f t="array" aca="1" ref="FJ117" ca="1">IF($FI117&lt;&gt;"",
INDIRECT(""&amp;IF(COLUMN(EV175)&lt;=26,CHAR(COLUMN(EV175)+64),CHAR(INT((COLUMN(EV175)-1)/26)+64)&amp;CHAR(MOD(COLUMN(EV175)-1,26)+65))&amp;$FI117&amp;""),"")</f>
        <v/>
      </c>
      <c r="FK117" s="78" t="str">
        <f t="array" aca="1" ref="FK117" ca="1">IF($FI117&lt;&gt;"",
INDIRECT(""&amp;IF(COLUMN(EW175)&lt;=26,CHAR(COLUMN(EW175)+64),CHAR(INT((COLUMN(EW175)-1)/26)+64)&amp;CHAR(MOD(COLUMN(EW175)-1,26)+65))&amp;$FI117&amp;""),"")</f>
        <v/>
      </c>
      <c r="FL117" s="78" t="str">
        <f t="array" aca="1" ref="FL117" ca="1">IF($FI117&lt;&gt;"",
INDIRECT(""&amp;IF(COLUMN(EX175)&lt;=26,CHAR(COLUMN(EX175)+64),CHAR(INT((COLUMN(EX175)-1)/26)+64)&amp;CHAR(MOD(COLUMN(EX175)-1,26)+65))&amp;$FI117&amp;""),"")</f>
        <v/>
      </c>
      <c r="FM117" s="78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78" t="str">
        <f t="array" aca="1" ref="FN117" ca="1">IF($FI117&lt;&gt;"",
INDIRECT(""&amp;IF(COLUMN(FA175)&lt;=26,CHAR(COLUMN(FA175)+64),CHAR(INT((COLUMN(FA175)-1)/26)+64)&amp;CHAR(MOD(COLUMN(FA175)-1,26)+65))&amp;$FI117&amp;""),"")</f>
        <v/>
      </c>
      <c r="FO117" s="78" t="str">
        <f t="array" aca="1" ref="FO117" ca="1">IF($FI117&lt;&gt;"",
INDIRECT(""&amp;IF(COLUMN(FB175)&lt;=26,CHAR(COLUMN(FB175)+64),CHAR(INT((COLUMN(FB175)-1)/26)+64)&amp;CHAR(MOD(COLUMN(FB175)-1,26)+65))&amp;$FI117&amp;""),"")</f>
        <v/>
      </c>
      <c r="FP117" s="78" t="str">
        <f t="array" aca="1" ref="FP117" ca="1">IF($FI117&lt;&gt;"",
INDIRECT(""&amp;IF(COLUMN(FC175)&lt;=26,CHAR(COLUMN(FC175)+64),CHAR(INT((COLUMN(FC175)-1)/26)+64)&amp;CHAR(MOD(COLUMN(FC175)-1,26)+65))&amp;$FI117&amp;""),"")</f>
        <v/>
      </c>
      <c r="FQ117" s="78" t="str">
        <f t="array" aca="1" ref="FQ117" ca="1">IF($FI117&lt;&gt;"",
INDIRECT(""&amp;IF(COLUMN(FD175)&lt;=26,CHAR(COLUMN(FD175)+64),CHAR(INT((COLUMN(FD175)-1)/26)+64)&amp;CHAR(MOD(COLUMN(FD175)-1,26)+65))&amp;$FI117&amp;""),"")</f>
        <v/>
      </c>
      <c r="FR117" s="78" t="str">
        <f t="array" aca="1" ref="FR117" ca="1">IF($FI117&lt;&gt;"",
INDIRECT(""&amp;IF(COLUMN(FE175)&lt;=26,CHAR(COLUMN(FE175)+64),CHAR(INT((COLUMN(FE175)-1)/26)+64)&amp;CHAR(MOD(COLUMN(FE175)-1,26)+65))&amp;$FI117&amp;""),"")</f>
        <v/>
      </c>
      <c r="FS117" s="78" t="str">
        <f t="array" aca="1" ref="FS117" ca="1">IF($FI117&lt;&gt;"",
INDIRECT(""&amp;IF(COLUMN(FF175)&lt;=26,CHAR(COLUMN(FF175)+64),CHAR(INT((COLUMN(FF175)-1)/26)+64)&amp;CHAR(MOD(COLUMN(FF175)-1,26)+65))&amp;$FI117&amp;""),"")</f>
        <v/>
      </c>
    </row>
    <row r="118" spans="2:175" ht="22.2" customHeight="1" x14ac:dyDescent="0.55000000000000004">
      <c r="B118" s="89" t="str">
        <f ca="1">IF(C116&lt;&gt;"","パン箱","")</f>
        <v/>
      </c>
      <c r="C118" s="90" t="str">
        <f ca="1">IF(C116&lt;&gt;"",IF(OR(COUNTIF('盛付札（関数）'!C114,"*キャラ*"),COUNTIF('盛付札（関数）'!C114,"*赤*")),24,
VLOOKUP('盛付札（関数）'!C114,商品マスタ一覧!$D:$I,6,FALSE)),"")</f>
        <v/>
      </c>
      <c r="D118" s="89" t="str">
        <f ca="1">IF(C116&lt;&gt;"","　端数","")</f>
        <v/>
      </c>
      <c r="E118" s="90"/>
      <c r="F118" s="89" t="str">
        <f ca="1">IF(C116&lt;&gt;"","アレルギー","")</f>
        <v/>
      </c>
      <c r="G118" s="93"/>
      <c r="H118" s="76"/>
      <c r="I118" s="89" t="str">
        <f ca="1">IF(J116&lt;&gt;"","パン箱","")</f>
        <v/>
      </c>
      <c r="J118" s="90" t="str">
        <f ca="1">IF(J116&lt;&gt;"",IF(OR(COUNTIF('盛付札（関数）'!J114,"*キャラ*"),COUNTIF('盛付札（関数）'!J114,"*赤*")),24,
VLOOKUP('盛付札（関数）'!J114,商品マスタ一覧!$D:$I,6,FALSE)),"")</f>
        <v/>
      </c>
      <c r="K118" s="89" t="str">
        <f ca="1">IF(J116&lt;&gt;"","　端数","")</f>
        <v/>
      </c>
      <c r="L118" s="90"/>
      <c r="M118" s="89" t="str">
        <f ca="1">IF(J116&lt;&gt;"","アレルギー","")</f>
        <v/>
      </c>
      <c r="N118" s="93"/>
      <c r="Q118" s="89" t="str">
        <f ca="1">IF(R116&lt;&gt;"","パン箱","")</f>
        <v/>
      </c>
      <c r="R118" s="90" t="str">
        <f ca="1">IF(R116&lt;&gt;"",IF(OR(COUNTIF('盛付札（関数）'!R114,"*キャラ*"),COUNTIF('盛付札（関数）'!R114,"*赤*")),24,
VLOOKUP('盛付札（関数）'!R114,商品マスタ一覧!$D:$I,6,FALSE)),"")</f>
        <v/>
      </c>
      <c r="S118" s="89" t="str">
        <f ca="1">IF(R116&lt;&gt;"","　端数","")</f>
        <v/>
      </c>
      <c r="T118" s="90"/>
      <c r="U118" s="89" t="str">
        <f ca="1">IF(R116&lt;&gt;"","アレルギー","")</f>
        <v/>
      </c>
      <c r="V118" s="93"/>
      <c r="W118" s="76"/>
      <c r="X118" s="89" t="str">
        <f ca="1">IF(Y116&lt;&gt;"","パン箱","")</f>
        <v/>
      </c>
      <c r="Y118" s="90" t="str">
        <f ca="1">IF(Y116&lt;&gt;"",IF(OR(COUNTIF('盛付札（関数）'!Y114,"*キャラ*"),COUNTIF('盛付札（関数）'!Y114,"*赤*")),24,
VLOOKUP('盛付札（関数）'!Y114,商品マスタ一覧!$D:$I,6,FALSE)),"")</f>
        <v/>
      </c>
      <c r="Z118" s="89" t="str">
        <f ca="1">IF(Y116&lt;&gt;"","　端数","")</f>
        <v/>
      </c>
      <c r="AA118" s="90"/>
      <c r="AB118" s="89" t="str">
        <f ca="1">IF(Y116&lt;&gt;"","アレルギー","")</f>
        <v/>
      </c>
      <c r="AC118" s="93"/>
      <c r="AF118" s="89" t="str">
        <f ca="1">IF(AG116&lt;&gt;"","パン箱","")</f>
        <v/>
      </c>
      <c r="AG118" s="90" t="str">
        <f ca="1">IF(AG116&lt;&gt;"",IF(OR(COUNTIF('盛付札（関数）'!AG114,"*キャラ*"),COUNTIF('盛付札（関数）'!AG114,"*赤*")),24,
VLOOKUP('盛付札（関数）'!AG114,商品マスタ一覧!$D:$I,6,FALSE)),"")</f>
        <v/>
      </c>
      <c r="AH118" s="89" t="str">
        <f ca="1">IF(AG116&lt;&gt;"","　端数","")</f>
        <v/>
      </c>
      <c r="AI118" s="90"/>
      <c r="AJ118" s="89" t="str">
        <f ca="1">IF(AG116&lt;&gt;"","アレルギー","")</f>
        <v/>
      </c>
      <c r="AK118" s="93"/>
      <c r="AL118" s="76"/>
      <c r="AM118" s="89" t="str">
        <f ca="1">IF(AN116&lt;&gt;"","パン箱","")</f>
        <v/>
      </c>
      <c r="AN118" s="90" t="str">
        <f ca="1">IF(AN116&lt;&gt;"",IF(OR(COUNTIF('盛付札（関数）'!AN114,"*キャラ*"),COUNTIF('盛付札（関数）'!AN114,"*赤*")),24,
VLOOKUP('盛付札（関数）'!AN114,商品マスタ一覧!$D:$I,6,FALSE)),"")</f>
        <v/>
      </c>
      <c r="AO118" s="89" t="str">
        <f ca="1">IF(AN116&lt;&gt;"","　端数","")</f>
        <v/>
      </c>
      <c r="AP118" s="90"/>
      <c r="AQ118" s="89" t="str">
        <f ca="1">IF(AN116&lt;&gt;"","アレルギー","")</f>
        <v/>
      </c>
      <c r="AR118" s="93"/>
      <c r="AU118" s="89" t="str">
        <f ca="1">IF(AV116&lt;&gt;"","パン箱","")</f>
        <v/>
      </c>
      <c r="AV118" s="90" t="str">
        <f ca="1">IF(AV116&lt;&gt;"",IF(OR(COUNTIF('盛付札（関数）'!AV114,"*キャラ*"),COUNTIF('盛付札（関数）'!AV114,"*赤*")),24,
VLOOKUP('盛付札（関数）'!AV114,商品マスタ一覧!$D:$I,6,FALSE)),"")</f>
        <v/>
      </c>
      <c r="AW118" s="89" t="str">
        <f ca="1">IF(AV116&lt;&gt;"","　端数","")</f>
        <v/>
      </c>
      <c r="AX118" s="90"/>
      <c r="AY118" s="89" t="str">
        <f ca="1">IF(AV116&lt;&gt;"","アレルギー","")</f>
        <v/>
      </c>
      <c r="AZ118" s="93"/>
      <c r="BA118" s="76"/>
      <c r="BB118" s="89" t="str">
        <f ca="1">IF(BC116&lt;&gt;"","パン箱","")</f>
        <v/>
      </c>
      <c r="BC118" s="90" t="str">
        <f ca="1">IF(BC116&lt;&gt;"",IF(OR(COUNTIF('盛付札（関数）'!BC114,"*キャラ*"),COUNTIF('盛付札（関数）'!BC114,"*赤*")),24,
VLOOKUP('盛付札（関数）'!BC114,商品マスタ一覧!$D:$I,6,FALSE)),"")</f>
        <v/>
      </c>
      <c r="BD118" s="89" t="str">
        <f ca="1">IF(BC116&lt;&gt;"","　端数","")</f>
        <v/>
      </c>
      <c r="BE118" s="90"/>
      <c r="BF118" s="89" t="str">
        <f ca="1">IF(BC116&lt;&gt;"","アレルギー","")</f>
        <v/>
      </c>
      <c r="BG118" s="93"/>
      <c r="BJ118" s="89" t="str">
        <f ca="1">IF(BK116&lt;&gt;"","パン箱","")</f>
        <v/>
      </c>
      <c r="BK118" s="90" t="str">
        <f ca="1">IF(BK116&lt;&gt;"",IF(OR(COUNTIF('盛付札（関数）'!BK114,"*キャラ*"),COUNTIF('盛付札（関数）'!BK114,"*赤*")),24,
VLOOKUP('盛付札（関数）'!BK114,商品マスタ一覧!$D:$I,6,FALSE)),"")</f>
        <v/>
      </c>
      <c r="BL118" s="89" t="str">
        <f ca="1">IF(BK116&lt;&gt;"","　端数","")</f>
        <v/>
      </c>
      <c r="BM118" s="90"/>
      <c r="BN118" s="89" t="str">
        <f ca="1">IF(BK116&lt;&gt;"","アレルギー","")</f>
        <v/>
      </c>
      <c r="BO118" s="93"/>
      <c r="BP118" s="76"/>
      <c r="BQ118" s="89" t="str">
        <f ca="1">IF(BR116&lt;&gt;"","パン箱","")</f>
        <v/>
      </c>
      <c r="BR118" s="90" t="str">
        <f ca="1">IF(BR116&lt;&gt;"",IF(OR(COUNTIF('盛付札（関数）'!BR114,"*キャラ*"),COUNTIF('盛付札（関数）'!BR114,"*赤*")),24,
VLOOKUP('盛付札（関数）'!BR114,商品マスタ一覧!$D:$I,6,FALSE)),"")</f>
        <v/>
      </c>
      <c r="BS118" s="89" t="str">
        <f ca="1">IF(BR116&lt;&gt;"","　端数","")</f>
        <v/>
      </c>
      <c r="BT118" s="90"/>
      <c r="BU118" s="89" t="str">
        <f ca="1">IF(BR116&lt;&gt;"","アレルギー","")</f>
        <v/>
      </c>
      <c r="BV118" s="93"/>
      <c r="BY118" s="89" t="str">
        <f ca="1">IF(BZ116&lt;&gt;"","パン箱","")</f>
        <v/>
      </c>
      <c r="BZ118" s="90" t="str">
        <f ca="1">IF(BZ116&lt;&gt;"",IF(OR(COUNTIF('盛付札（関数）'!BZ114,"*キャラ*"),COUNTIF('盛付札（関数）'!BZ114,"*赤*")),24,
VLOOKUP('盛付札（関数）'!BZ114,商品マスタ一覧!$D:$I,6,FALSE)),"")</f>
        <v/>
      </c>
      <c r="CA118" s="89" t="str">
        <f ca="1">IF(BZ116&lt;&gt;"","　端数","")</f>
        <v/>
      </c>
      <c r="CB118" s="90"/>
      <c r="CC118" s="89" t="str">
        <f ca="1">IF(BZ116&lt;&gt;"","アレルギー","")</f>
        <v/>
      </c>
      <c r="CD118" s="93"/>
      <c r="CE118" s="76"/>
      <c r="CF118" s="89" t="str">
        <f ca="1">IF(CG116&lt;&gt;"","パン箱","")</f>
        <v/>
      </c>
      <c r="CG118" s="90" t="str">
        <f ca="1">IF(CG116&lt;&gt;"",IF(OR(COUNTIF('盛付札（関数）'!CG114,"*キャラ*"),COUNTIF('盛付札（関数）'!CG114,"*赤*")),24,
VLOOKUP('盛付札（関数）'!CG114,商品マスタ一覧!$D:$I,6,FALSE)),"")</f>
        <v/>
      </c>
      <c r="CH118" s="89" t="str">
        <f ca="1">IF(CG116&lt;&gt;"","　端数","")</f>
        <v/>
      </c>
      <c r="CI118" s="90"/>
      <c r="CJ118" s="89" t="str">
        <f ca="1">IF(CG116&lt;&gt;"","アレルギー","")</f>
        <v/>
      </c>
      <c r="CK118" s="93"/>
      <c r="CN118" s="89" t="str">
        <f ca="1">IF(CO116&lt;&gt;"","パン箱","")</f>
        <v/>
      </c>
      <c r="CO118" s="90" t="str">
        <f ca="1">IF(CO116&lt;&gt;"",IF(OR(COUNTIF('盛付札（関数）'!CO114,"*キャラ*"),COUNTIF('盛付札（関数）'!CO114,"*赤*")),24,
VLOOKUP('盛付札（関数）'!CO114,商品マスタ一覧!$D:$I,6,FALSE)),"")</f>
        <v/>
      </c>
      <c r="CP118" s="89" t="str">
        <f ca="1">IF(CO116&lt;&gt;"","　端数","")</f>
        <v/>
      </c>
      <c r="CQ118" s="90"/>
      <c r="CR118" s="89" t="str">
        <f ca="1">IF(CO116&lt;&gt;"","アレルギー","")</f>
        <v/>
      </c>
      <c r="CS118" s="93"/>
      <c r="CT118" s="76"/>
      <c r="CU118" s="89" t="str">
        <f ca="1">IF(CV116&lt;&gt;"","パン箱","")</f>
        <v/>
      </c>
      <c r="CV118" s="90" t="str">
        <f ca="1">IF(CV116&lt;&gt;"",IF(OR(COUNTIF('盛付札（関数）'!CV114,"*キャラ*"),COUNTIF('盛付札（関数）'!CV114,"*赤*")),24,
VLOOKUP('盛付札（関数）'!CV114,商品マスタ一覧!$D:$I,6,FALSE)),"")</f>
        <v/>
      </c>
      <c r="CW118" s="89" t="str">
        <f ca="1">IF(CV116&lt;&gt;"","　端数","")</f>
        <v/>
      </c>
      <c r="CX118" s="90"/>
      <c r="CY118" s="89" t="str">
        <f ca="1">IF(CV116&lt;&gt;"","アレルギー","")</f>
        <v/>
      </c>
      <c r="CZ118" s="93"/>
      <c r="DC118" s="89" t="str">
        <f ca="1">IF(DD116&lt;&gt;"","パン箱","")</f>
        <v/>
      </c>
      <c r="DD118" s="90" t="str">
        <f ca="1">IF(DD116&lt;&gt;"",IF(OR(COUNTIF('盛付札（関数）'!DD114,"*キャラ*"),COUNTIF('盛付札（関数）'!DD114,"*赤*")),24,
VLOOKUP('盛付札（関数）'!DD114,商品マスタ一覧!$D:$I,6,FALSE)),"")</f>
        <v/>
      </c>
      <c r="DE118" s="89" t="str">
        <f ca="1">IF(DD116&lt;&gt;"","　端数","")</f>
        <v/>
      </c>
      <c r="DF118" s="90"/>
      <c r="DG118" s="89" t="str">
        <f ca="1">IF(DD116&lt;&gt;"","アレルギー","")</f>
        <v/>
      </c>
      <c r="DH118" s="93"/>
      <c r="DI118" s="76"/>
      <c r="DJ118" s="89" t="str">
        <f ca="1">IF(DK116&lt;&gt;"","パン箱","")</f>
        <v/>
      </c>
      <c r="DK118" s="90" t="str">
        <f ca="1">IF(DK116&lt;&gt;"",IF(OR(COUNTIF('盛付札（関数）'!DK114,"*キャラ*"),COUNTIF('盛付札（関数）'!DK114,"*赤*")),24,
VLOOKUP('盛付札（関数）'!DK114,商品マスタ一覧!$D:$I,6,FALSE)),"")</f>
        <v/>
      </c>
      <c r="DL118" s="89" t="str">
        <f ca="1">IF(DK116&lt;&gt;"","　端数","")</f>
        <v/>
      </c>
      <c r="DM118" s="90"/>
      <c r="DN118" s="89" t="str">
        <f ca="1">IF(DK116&lt;&gt;"","アレルギー","")</f>
        <v/>
      </c>
      <c r="DO118" s="93"/>
      <c r="DR118" s="89" t="str">
        <f ca="1">IF(DS116&lt;&gt;"","パン箱","")</f>
        <v/>
      </c>
      <c r="DS118" s="90" t="str">
        <f ca="1">IF(DS116&lt;&gt;"",IF(OR(COUNTIF('盛付札（関数）'!DS114,"*キャラ*"),COUNTIF('盛付札（関数）'!DS114,"*赤*")),24,
VLOOKUP('盛付札（関数）'!DS114,商品マスタ一覧!$D:$I,6,FALSE)),"")</f>
        <v/>
      </c>
      <c r="DT118" s="89" t="str">
        <f ca="1">IF(DS116&lt;&gt;"","　端数","")</f>
        <v/>
      </c>
      <c r="DU118" s="90"/>
      <c r="DV118" s="89" t="str">
        <f ca="1">IF(DS116&lt;&gt;"","アレルギー","")</f>
        <v/>
      </c>
      <c r="DW118" s="93"/>
      <c r="DX118" s="76"/>
      <c r="DY118" s="89" t="str">
        <f ca="1">IF(DZ116&lt;&gt;"","パン箱","")</f>
        <v/>
      </c>
      <c r="DZ118" s="90" t="str">
        <f ca="1">IF(DZ116&lt;&gt;"",IF(OR(COUNTIF('盛付札（関数）'!DZ114,"*キャラ*"),COUNTIF('盛付札（関数）'!DZ114,"*赤*")),24,
VLOOKUP('盛付札（関数）'!DZ114,商品マスタ一覧!$D:$I,6,FALSE)),"")</f>
        <v/>
      </c>
      <c r="EA118" s="89" t="str">
        <f ca="1">IF(DZ116&lt;&gt;"","　端数","")</f>
        <v/>
      </c>
      <c r="EB118" s="90"/>
      <c r="EC118" s="89" t="str">
        <f ca="1">IF(DZ116&lt;&gt;"","アレルギー","")</f>
        <v/>
      </c>
      <c r="ED118" s="93"/>
      <c r="EG118" s="89" t="str">
        <f ca="1">IF(EH116&lt;&gt;"","パン箱","")</f>
        <v/>
      </c>
      <c r="EH118" s="90" t="str">
        <f ca="1">IF(EH116&lt;&gt;"",IF(OR(COUNTIF('盛付札（関数）'!EH114,"*キャラ*"),COUNTIF('盛付札（関数）'!EH114,"*赤*")),24,
VLOOKUP('盛付札（関数）'!EH114,商品マスタ一覧!$D:$I,6,FALSE)),"")</f>
        <v/>
      </c>
      <c r="EI118" s="89" t="str">
        <f ca="1">IF(EH116&lt;&gt;"","　端数","")</f>
        <v/>
      </c>
      <c r="EJ118" s="90"/>
      <c r="EK118" s="89" t="str">
        <f ca="1">IF(EH116&lt;&gt;"","アレルギー","")</f>
        <v/>
      </c>
      <c r="EL118" s="93"/>
      <c r="EM118" s="76"/>
      <c r="EN118" s="89" t="str">
        <f ca="1">IF(EO116&lt;&gt;"","パン箱","")</f>
        <v/>
      </c>
      <c r="EO118" s="90" t="str">
        <f ca="1">IF(EO116&lt;&gt;"",IF(OR(COUNTIF('盛付札（関数）'!EO114,"*キャラ*"),COUNTIF('盛付札（関数）'!EO114,"*赤*")),24,
VLOOKUP('盛付札（関数）'!EO114,商品マスタ一覧!$D:$I,6,FALSE)),"")</f>
        <v/>
      </c>
      <c r="EP118" s="89" t="str">
        <f ca="1">IF(EO116&lt;&gt;"","　端数","")</f>
        <v/>
      </c>
      <c r="EQ118" s="90"/>
      <c r="ER118" s="89" t="str">
        <f ca="1">IF(EO116&lt;&gt;"","アレルギー","")</f>
        <v/>
      </c>
      <c r="ES118" s="93"/>
      <c r="EU118" s="78">
        <v>7</v>
      </c>
      <c r="EV118" s="78" t="str">
        <f t="array" aca="1" ref="EV118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LEN(SUBSTITUTE(_xlfn.FORMULATEXT(EV$112),"=","")))+$EU118)</f>
        <v/>
      </c>
      <c r="EW118" s="78" t="str">
        <f t="array" aca="1" ref="EW118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LEN(SUBSTITUTE(_xlfn.FORMULATEXT(EW$112),"=","")))+$EU118)</f>
        <v/>
      </c>
      <c r="EX118" s="78" t="str">
        <f t="array" aca="1" ref="EX118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LEN(SUBSTITUTE(_xlfn.FORMULATEXT(EX$112),"=","")))+$EU118)</f>
        <v/>
      </c>
      <c r="EY118" s="78" t="str">
        <f t="array" aca="1" ref="EY118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LEN(SUBSTITUTE(_xlfn.FORMULATEXT(EY$112),"=","")))+$EU118)</f>
        <v/>
      </c>
      <c r="EZ118" s="78" t="str">
        <f t="array" aca="1" ref="EZ118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LEN(SUBSTITUTE(_xlfn.FORMULATEXT(EZ$112),"=","")))+$EU118)</f>
        <v/>
      </c>
      <c r="FA118" s="78" t="e">
        <f t="array" aca="1" ref="FA118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LEN(SUBSTITUTE(_xlfn.FORMULATEXT(FA$112),"=","")))+$EU118)</f>
        <v>#VALUE!</v>
      </c>
      <c r="FB118" s="78" t="e">
        <f t="array" aca="1" ref="FB118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LEN(SUBSTITUTE(_xlfn.FORMULATEXT(FB$112),"=","")))+$EU118)</f>
        <v>#VALUE!</v>
      </c>
      <c r="FC118" s="78" t="str">
        <f t="array" aca="1" ref="FC118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LEN(SUBSTITUTE(_xlfn.FORMULATEXT(FC$112),"=","")))+$EU118)</f>
        <v/>
      </c>
      <c r="FD118" s="78" t="e">
        <f t="array" aca="1" ref="FD118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LEN(SUBSTITUTE(_xlfn.FORMULATEXT(FD$112),"=","")))+$EU118)</f>
        <v>#VALUE!</v>
      </c>
      <c r="FE118" s="78" t="str">
        <f t="array" aca="1" ref="FE118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LEN(SUBSTITUTE(_xlfn.FORMULATEXT(FE$112),"=","")))+$EU118)</f>
        <v/>
      </c>
      <c r="FF118" s="78" t="e">
        <f t="array" aca="1" ref="FF118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LEN(SUBSTITUTE(_xlfn.FORMULATEXT(FF$112),"=","")))+$EU118)</f>
        <v>#VALUE!</v>
      </c>
      <c r="FG118" s="78">
        <f t="shared" ca="1" si="9"/>
        <v>0</v>
      </c>
      <c r="FH118" s="78" t="e">
        <f t="array" aca="1" ref="FH118" ca="1">SUMPRODUCT((LEN(EV118:FF118)&gt;0)*1)&gt;0</f>
        <v>#VALUE!</v>
      </c>
      <c r="FI118" s="78" t="str">
        <f t="array" aca="1" ref="FI118" ca="1">IFERROR(SMALL(IF(FG$1:FG$228&lt;&gt;0,FG$1:FG$228),ROW(A118)),"")</f>
        <v/>
      </c>
      <c r="FJ118" s="78" t="str">
        <f t="array" aca="1" ref="FJ118" ca="1">IF($FI118&lt;&gt;"",
INDIRECT(""&amp;IF(COLUMN(EV176)&lt;=26,CHAR(COLUMN(EV176)+64),CHAR(INT((COLUMN(EV176)-1)/26)+64)&amp;CHAR(MOD(COLUMN(EV176)-1,26)+65))&amp;$FI118&amp;""),"")</f>
        <v/>
      </c>
      <c r="FK118" s="78" t="str">
        <f t="array" aca="1" ref="FK118" ca="1">IF($FI118&lt;&gt;"",
INDIRECT(""&amp;IF(COLUMN(EW176)&lt;=26,CHAR(COLUMN(EW176)+64),CHAR(INT((COLUMN(EW176)-1)/26)+64)&amp;CHAR(MOD(COLUMN(EW176)-1,26)+65))&amp;$FI118&amp;""),"")</f>
        <v/>
      </c>
      <c r="FL118" s="78" t="str">
        <f t="array" aca="1" ref="FL118" ca="1">IF($FI118&lt;&gt;"",
INDIRECT(""&amp;IF(COLUMN(EX176)&lt;=26,CHAR(COLUMN(EX176)+64),CHAR(INT((COLUMN(EX176)-1)/26)+64)&amp;CHAR(MOD(COLUMN(EX176)-1,26)+65))&amp;$FI118&amp;""),"")</f>
        <v/>
      </c>
      <c r="FM118" s="78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78" t="str">
        <f t="array" aca="1" ref="FN118" ca="1">IF($FI118&lt;&gt;"",
INDIRECT(""&amp;IF(COLUMN(FA176)&lt;=26,CHAR(COLUMN(FA176)+64),CHAR(INT((COLUMN(FA176)-1)/26)+64)&amp;CHAR(MOD(COLUMN(FA176)-1,26)+65))&amp;$FI118&amp;""),"")</f>
        <v/>
      </c>
      <c r="FO118" s="78" t="str">
        <f t="array" aca="1" ref="FO118" ca="1">IF($FI118&lt;&gt;"",
INDIRECT(""&amp;IF(COLUMN(FB176)&lt;=26,CHAR(COLUMN(FB176)+64),CHAR(INT((COLUMN(FB176)-1)/26)+64)&amp;CHAR(MOD(COLUMN(FB176)-1,26)+65))&amp;$FI118&amp;""),"")</f>
        <v/>
      </c>
      <c r="FP118" s="78" t="str">
        <f t="array" aca="1" ref="FP118" ca="1">IF($FI118&lt;&gt;"",
INDIRECT(""&amp;IF(COLUMN(FC176)&lt;=26,CHAR(COLUMN(FC176)+64),CHAR(INT((COLUMN(FC176)-1)/26)+64)&amp;CHAR(MOD(COLUMN(FC176)-1,26)+65))&amp;$FI118&amp;""),"")</f>
        <v/>
      </c>
      <c r="FQ118" s="78" t="str">
        <f t="array" aca="1" ref="FQ118" ca="1">IF($FI118&lt;&gt;"",
INDIRECT(""&amp;IF(COLUMN(FD176)&lt;=26,CHAR(COLUMN(FD176)+64),CHAR(INT((COLUMN(FD176)-1)/26)+64)&amp;CHAR(MOD(COLUMN(FD176)-1,26)+65))&amp;$FI118&amp;""),"")</f>
        <v/>
      </c>
      <c r="FR118" s="78" t="str">
        <f t="array" aca="1" ref="FR118" ca="1">IF($FI118&lt;&gt;"",
INDIRECT(""&amp;IF(COLUMN(FE176)&lt;=26,CHAR(COLUMN(FE176)+64),CHAR(INT((COLUMN(FE176)-1)/26)+64)&amp;CHAR(MOD(COLUMN(FE176)-1,26)+65))&amp;$FI118&amp;""),"")</f>
        <v/>
      </c>
      <c r="FS118" s="78" t="str">
        <f t="array" aca="1" ref="FS118" ca="1">IF($FI118&lt;&gt;"",
INDIRECT(""&amp;IF(COLUMN(FF176)&lt;=26,CHAR(COLUMN(FF176)+64),CHAR(INT((COLUMN(FF176)-1)/26)+64)&amp;CHAR(MOD(COLUMN(FF176)-1,26)+65))&amp;$FI118&amp;""),"")</f>
        <v/>
      </c>
    </row>
    <row r="119" spans="2:175" ht="22.2" customHeight="1" x14ac:dyDescent="0.45">
      <c r="B119" s="244" t="str">
        <f ca="1">IF(C116&lt;&gt;"",
IFERROR(INT(C116/C118),""),"")</f>
        <v/>
      </c>
      <c r="C119" s="245"/>
      <c r="D119" s="244" t="str">
        <f ca="1">IFERROR(MOD(C116,C118),"")</f>
        <v/>
      </c>
      <c r="E119" s="245"/>
      <c r="F119" s="246" t="str">
        <f ca="1">IF(C113&lt;&gt;"",G115+G116,"")</f>
        <v/>
      </c>
      <c r="G119" s="245"/>
      <c r="I119" s="244" t="str">
        <f ca="1">IF(J116&lt;&gt;"",
IFERROR(INT(J116/J118),""),"")</f>
        <v/>
      </c>
      <c r="J119" s="245"/>
      <c r="K119" s="244" t="str">
        <f ca="1">IFERROR(MOD(J116,J118),"")</f>
        <v/>
      </c>
      <c r="L119" s="245"/>
      <c r="M119" s="246" t="str">
        <f ca="1">IF(J113&lt;&gt;"",N115+N116,"")</f>
        <v/>
      </c>
      <c r="N119" s="245"/>
      <c r="Q119" s="244" t="str">
        <f ca="1">IF(R116&lt;&gt;"",
IFERROR(INT(R116/R118),""),"")</f>
        <v/>
      </c>
      <c r="R119" s="245"/>
      <c r="S119" s="244" t="str">
        <f ca="1">IFERROR(MOD(R116,R118),"")</f>
        <v/>
      </c>
      <c r="T119" s="245"/>
      <c r="U119" s="246" t="str">
        <f ca="1">IF(R113&lt;&gt;"",V115+V116,"")</f>
        <v/>
      </c>
      <c r="V119" s="245"/>
      <c r="X119" s="244" t="str">
        <f ca="1">IF(Y116&lt;&gt;"",
IFERROR(INT(Y116/Y118),""),"")</f>
        <v/>
      </c>
      <c r="Y119" s="245"/>
      <c r="Z119" s="244" t="str">
        <f ca="1">IFERROR(MOD(Y116,Y118),"")</f>
        <v/>
      </c>
      <c r="AA119" s="245"/>
      <c r="AB119" s="246" t="str">
        <f ca="1">IF(Y113&lt;&gt;"",AC115+AC116,"")</f>
        <v/>
      </c>
      <c r="AC119" s="245"/>
      <c r="AF119" s="244" t="str">
        <f ca="1">IF(AG116&lt;&gt;"",
IFERROR(INT(AG116/AG118),""),"")</f>
        <v/>
      </c>
      <c r="AG119" s="245"/>
      <c r="AH119" s="244" t="str">
        <f ca="1">IFERROR(MOD(AG116,AG118),"")</f>
        <v/>
      </c>
      <c r="AI119" s="245"/>
      <c r="AJ119" s="246" t="str">
        <f ca="1">IF(AG113&lt;&gt;"",AK115+AK116,"")</f>
        <v/>
      </c>
      <c r="AK119" s="245"/>
      <c r="AM119" s="244" t="str">
        <f ca="1">IF(AN116&lt;&gt;"",
IFERROR(INT(AN116/AN118),""),"")</f>
        <v/>
      </c>
      <c r="AN119" s="245"/>
      <c r="AO119" s="244" t="str">
        <f ca="1">IFERROR(MOD(AN116,AN118),"")</f>
        <v/>
      </c>
      <c r="AP119" s="245"/>
      <c r="AQ119" s="246" t="str">
        <f ca="1">IF(AN113&lt;&gt;"",AR115+AR116,"")</f>
        <v/>
      </c>
      <c r="AR119" s="245"/>
      <c r="AU119" s="244" t="str">
        <f ca="1">IF(AV116&lt;&gt;"",
IFERROR(INT(AV116/AV118),""),"")</f>
        <v/>
      </c>
      <c r="AV119" s="245"/>
      <c r="AW119" s="244" t="str">
        <f ca="1">IFERROR(MOD(AV116,AV118),"")</f>
        <v/>
      </c>
      <c r="AX119" s="245"/>
      <c r="AY119" s="246" t="str">
        <f ca="1">IF(AV113&lt;&gt;"",AZ115+AZ116,"")</f>
        <v/>
      </c>
      <c r="AZ119" s="245"/>
      <c r="BB119" s="244" t="str">
        <f ca="1">IF(BC116&lt;&gt;"",
IFERROR(INT(BC116/BC118),""),"")</f>
        <v/>
      </c>
      <c r="BC119" s="245"/>
      <c r="BD119" s="244" t="str">
        <f ca="1">IFERROR(MOD(BC116,BC118),"")</f>
        <v/>
      </c>
      <c r="BE119" s="245"/>
      <c r="BF119" s="246" t="str">
        <f ca="1">IF(BC113&lt;&gt;"",BG115+BG116,"")</f>
        <v/>
      </c>
      <c r="BG119" s="245"/>
      <c r="BJ119" s="244" t="str">
        <f ca="1">IF(BK116&lt;&gt;"",
IFERROR(INT(BK116/BK118),""),"")</f>
        <v/>
      </c>
      <c r="BK119" s="245"/>
      <c r="BL119" s="244" t="str">
        <f ca="1">IFERROR(MOD(BK116,BK118),"")</f>
        <v/>
      </c>
      <c r="BM119" s="245"/>
      <c r="BN119" s="246" t="str">
        <f ca="1">IF(BK113&lt;&gt;"",BO115+BO116,"")</f>
        <v/>
      </c>
      <c r="BO119" s="245"/>
      <c r="BQ119" s="244" t="str">
        <f ca="1">IF(BR116&lt;&gt;"",
IFERROR(INT(BR116/BR118),""),"")</f>
        <v/>
      </c>
      <c r="BR119" s="245"/>
      <c r="BS119" s="244" t="str">
        <f ca="1">IFERROR(MOD(BR116,BR118),"")</f>
        <v/>
      </c>
      <c r="BT119" s="245"/>
      <c r="BU119" s="246" t="str">
        <f ca="1">IF(BR113&lt;&gt;"",BV115+BV116,"")</f>
        <v/>
      </c>
      <c r="BV119" s="245"/>
      <c r="BY119" s="244" t="str">
        <f ca="1">IF(BZ116&lt;&gt;"",
IFERROR(INT(BZ116/BZ118),""),"")</f>
        <v/>
      </c>
      <c r="BZ119" s="245"/>
      <c r="CA119" s="244" t="str">
        <f ca="1">IFERROR(MOD(BZ116,BZ118),"")</f>
        <v/>
      </c>
      <c r="CB119" s="245"/>
      <c r="CC119" s="246" t="str">
        <f ca="1">IF(BZ113&lt;&gt;"",CD115+CD116,"")</f>
        <v/>
      </c>
      <c r="CD119" s="245"/>
      <c r="CF119" s="244" t="str">
        <f ca="1">IF(CG116&lt;&gt;"",
IFERROR(INT(CG116/CG118),""),"")</f>
        <v/>
      </c>
      <c r="CG119" s="245"/>
      <c r="CH119" s="244" t="str">
        <f ca="1">IFERROR(MOD(CG116,CG118),"")</f>
        <v/>
      </c>
      <c r="CI119" s="245"/>
      <c r="CJ119" s="246" t="str">
        <f ca="1">IF(CG113&lt;&gt;"",CK115+CK116,"")</f>
        <v/>
      </c>
      <c r="CK119" s="245"/>
      <c r="CN119" s="244" t="str">
        <f ca="1">IF(CO116&lt;&gt;"",
IFERROR(INT(CO116/CO118),""),"")</f>
        <v/>
      </c>
      <c r="CO119" s="245"/>
      <c r="CP119" s="244" t="str">
        <f ca="1">IFERROR(MOD(CO116,CO118),"")</f>
        <v/>
      </c>
      <c r="CQ119" s="245"/>
      <c r="CR119" s="246" t="str">
        <f ca="1">IF(CO113&lt;&gt;"",CS115+CS116,"")</f>
        <v/>
      </c>
      <c r="CS119" s="245"/>
      <c r="CU119" s="244" t="str">
        <f ca="1">IF(CV116&lt;&gt;"",
IFERROR(INT(CV116/CV118),""),"")</f>
        <v/>
      </c>
      <c r="CV119" s="245"/>
      <c r="CW119" s="244" t="str">
        <f ca="1">IFERROR(MOD(CV116,CV118),"")</f>
        <v/>
      </c>
      <c r="CX119" s="245"/>
      <c r="CY119" s="246" t="str">
        <f ca="1">IF(CV113&lt;&gt;"",CZ115+CZ116,"")</f>
        <v/>
      </c>
      <c r="CZ119" s="245"/>
      <c r="DC119" s="244" t="str">
        <f ca="1">IF(DD116&lt;&gt;"",
IFERROR(INT(DD116/DD118),""),"")</f>
        <v/>
      </c>
      <c r="DD119" s="245"/>
      <c r="DE119" s="244" t="str">
        <f ca="1">IFERROR(MOD(DD116,DD118),"")</f>
        <v/>
      </c>
      <c r="DF119" s="245"/>
      <c r="DG119" s="246" t="str">
        <f ca="1">IF(DD113&lt;&gt;"",DH115+DH116,"")</f>
        <v/>
      </c>
      <c r="DH119" s="245"/>
      <c r="DJ119" s="244" t="str">
        <f ca="1">IF(DK116&lt;&gt;"",
IFERROR(INT(DK116/DK118),""),"")</f>
        <v/>
      </c>
      <c r="DK119" s="245"/>
      <c r="DL119" s="244" t="str">
        <f ca="1">IFERROR(MOD(DK116,DK118),"")</f>
        <v/>
      </c>
      <c r="DM119" s="245"/>
      <c r="DN119" s="246" t="str">
        <f ca="1">IF(DK113&lt;&gt;"",DO115+DO116,"")</f>
        <v/>
      </c>
      <c r="DO119" s="245"/>
      <c r="DR119" s="244" t="str">
        <f ca="1">IF(DS116&lt;&gt;"",
IFERROR(INT(DS116/DS118),""),"")</f>
        <v/>
      </c>
      <c r="DS119" s="245"/>
      <c r="DT119" s="244" t="str">
        <f ca="1">IFERROR(MOD(DS116,DS118),"")</f>
        <v/>
      </c>
      <c r="DU119" s="245"/>
      <c r="DV119" s="246" t="str">
        <f ca="1">IF(DS113&lt;&gt;"",DW115+DW116,"")</f>
        <v/>
      </c>
      <c r="DW119" s="245"/>
      <c r="DY119" s="244" t="str">
        <f ca="1">IF(DZ116&lt;&gt;"",
IFERROR(INT(DZ116/DZ118),""),"")</f>
        <v/>
      </c>
      <c r="DZ119" s="245"/>
      <c r="EA119" s="244" t="str">
        <f ca="1">IFERROR(MOD(DZ116,DZ118),"")</f>
        <v/>
      </c>
      <c r="EB119" s="245"/>
      <c r="EC119" s="246" t="str">
        <f ca="1">IF(DZ113&lt;&gt;"",ED115+ED116,"")</f>
        <v/>
      </c>
      <c r="ED119" s="245"/>
      <c r="EG119" s="244" t="str">
        <f ca="1">IF(EH116&lt;&gt;"",
IFERROR(INT(EH116/EH118),""),"")</f>
        <v/>
      </c>
      <c r="EH119" s="245"/>
      <c r="EI119" s="244" t="str">
        <f ca="1">IFERROR(MOD(EH116,EH118),"")</f>
        <v/>
      </c>
      <c r="EJ119" s="245"/>
      <c r="EK119" s="246" t="str">
        <f ca="1">IF(EH113&lt;&gt;"",EL115+EL116,"")</f>
        <v/>
      </c>
      <c r="EL119" s="245"/>
      <c r="EN119" s="244" t="str">
        <f ca="1">IF(EO116&lt;&gt;"",
IFERROR(INT(EO116/EO118),""),"")</f>
        <v/>
      </c>
      <c r="EO119" s="245"/>
      <c r="EP119" s="244" t="str">
        <f ca="1">IFERROR(MOD(EO116,EO118),"")</f>
        <v/>
      </c>
      <c r="EQ119" s="245"/>
      <c r="ER119" s="246" t="str">
        <f ca="1">IF(EO113&lt;&gt;"",ES115+ES116,"")</f>
        <v/>
      </c>
      <c r="ES119" s="245"/>
      <c r="EU119" s="78">
        <f t="shared" ref="EU119:EU144" si="10">EU113+7</f>
        <v>49</v>
      </c>
      <c r="EV119" s="78" t="str">
        <f t="array" aca="1" ref="EV119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LEN(SUBSTITUTE(_xlfn.FORMULATEXT(EV$112),"=","")))+$EU119)</f>
        <v/>
      </c>
      <c r="EW119" s="78" t="str">
        <f t="array" aca="1" ref="EW119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LEN(SUBSTITUTE(_xlfn.FORMULATEXT(EW$112),"=","")))+$EU119)</f>
        <v/>
      </c>
      <c r="EX119" s="78" t="str">
        <f t="array" aca="1" ref="EX119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LEN(SUBSTITUTE(_xlfn.FORMULATEXT(EX$112),"=","")))+$EU119)</f>
        <v/>
      </c>
      <c r="EY119" s="78" t="str">
        <f t="array" aca="1" ref="EY119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LEN(SUBSTITUTE(_xlfn.FORMULATEXT(EY$112),"=","")))+$EU119)</f>
        <v/>
      </c>
      <c r="EZ119" s="78" t="str">
        <f t="array" aca="1" ref="EZ119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LEN(SUBSTITUTE(_xlfn.FORMULATEXT(EZ$112),"=","")))+$EU119)</f>
        <v/>
      </c>
      <c r="FA119" s="78" t="str">
        <f t="array" aca="1" ref="FA119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LEN(SUBSTITUTE(_xlfn.FORMULATEXT(FA$112),"=","")))+$EU119)</f>
        <v/>
      </c>
      <c r="FB119" s="78" t="str">
        <f t="array" aca="1" ref="FB119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LEN(SUBSTITUTE(_xlfn.FORMULATEXT(FB$112),"=","")))+$EU119)</f>
        <v/>
      </c>
      <c r="FC119" s="78" t="str">
        <f t="array" aca="1" ref="FC119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LEN(SUBSTITUTE(_xlfn.FORMULATEXT(FC$112),"=","")))+$EU119)</f>
        <v/>
      </c>
      <c r="FD119" s="78" t="str">
        <f t="array" aca="1" ref="FD119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LEN(SUBSTITUTE(_xlfn.FORMULATEXT(FD$112),"=","")))+$EU119)</f>
        <v/>
      </c>
      <c r="FE119" s="78" t="str">
        <f t="array" aca="1" ref="FE119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LEN(SUBSTITUTE(_xlfn.FORMULATEXT(FE$112),"=","")))+$EU119)</f>
        <v/>
      </c>
      <c r="FF119" s="78" t="str">
        <f t="array" aca="1" ref="FF119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LEN(SUBSTITUTE(_xlfn.FORMULATEXT(FF$112),"=","")))+$EU119)</f>
        <v/>
      </c>
      <c r="FG119" s="78">
        <f t="shared" ca="1" si="9"/>
        <v>0</v>
      </c>
      <c r="FH119" s="78" t="b">
        <f t="array" aca="1" ref="FH119" ca="1">SUMPRODUCT((LEN(EV119:FF119)&gt;0)*1)&gt;0</f>
        <v>0</v>
      </c>
      <c r="FI119" s="78" t="str">
        <f t="array" aca="1" ref="FI119" ca="1">IFERROR(SMALL(IF(FG$1:FG$228&lt;&gt;0,FG$1:FG$228),ROW(A119)),"")</f>
        <v/>
      </c>
      <c r="FJ119" s="78" t="str">
        <f t="array" aca="1" ref="FJ119" ca="1">IF($FI119&lt;&gt;"",
INDIRECT(""&amp;IF(COLUMN(EV178)&lt;=26,CHAR(COLUMN(EV178)+64),CHAR(INT((COLUMN(EV178)-1)/26)+64)&amp;CHAR(MOD(COLUMN(EV178)-1,26)+65))&amp;$FI119&amp;""),"")</f>
        <v/>
      </c>
      <c r="FK119" s="78" t="str">
        <f t="array" aca="1" ref="FK119" ca="1">IF($FI119&lt;&gt;"",
INDIRECT(""&amp;IF(COLUMN(EW178)&lt;=26,CHAR(COLUMN(EW178)+64),CHAR(INT((COLUMN(EW178)-1)/26)+64)&amp;CHAR(MOD(COLUMN(EW178)-1,26)+65))&amp;$FI119&amp;""),"")</f>
        <v/>
      </c>
      <c r="FL119" s="78" t="str">
        <f t="array" aca="1" ref="FL119" ca="1">IF($FI119&lt;&gt;"",
INDIRECT(""&amp;IF(COLUMN(EX178)&lt;=26,CHAR(COLUMN(EX178)+64),CHAR(INT((COLUMN(EX178)-1)/26)+64)&amp;CHAR(MOD(COLUMN(EX178)-1,26)+65))&amp;$FI119&amp;""),"")</f>
        <v/>
      </c>
      <c r="FM119" s="78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78" t="str">
        <f t="array" aca="1" ref="FN119" ca="1">IF($FI119&lt;&gt;"",
INDIRECT(""&amp;IF(COLUMN(FA178)&lt;=26,CHAR(COLUMN(FA178)+64),CHAR(INT((COLUMN(FA178)-1)/26)+64)&amp;CHAR(MOD(COLUMN(FA178)-1,26)+65))&amp;$FI119&amp;""),"")</f>
        <v/>
      </c>
      <c r="FO119" s="78" t="str">
        <f t="array" aca="1" ref="FO119" ca="1">IF($FI119&lt;&gt;"",
INDIRECT(""&amp;IF(COLUMN(FB178)&lt;=26,CHAR(COLUMN(FB178)+64),CHAR(INT((COLUMN(FB178)-1)/26)+64)&amp;CHAR(MOD(COLUMN(FB178)-1,26)+65))&amp;$FI119&amp;""),"")</f>
        <v/>
      </c>
      <c r="FP119" s="78" t="str">
        <f t="array" aca="1" ref="FP119" ca="1">IF($FI119&lt;&gt;"",
INDIRECT(""&amp;IF(COLUMN(FC178)&lt;=26,CHAR(COLUMN(FC178)+64),CHAR(INT((COLUMN(FC178)-1)/26)+64)&amp;CHAR(MOD(COLUMN(FC178)-1,26)+65))&amp;$FI119&amp;""),"")</f>
        <v/>
      </c>
      <c r="FQ119" s="78" t="str">
        <f t="array" aca="1" ref="FQ119" ca="1">IF($FI119&lt;&gt;"",
INDIRECT(""&amp;IF(COLUMN(FD178)&lt;=26,CHAR(COLUMN(FD178)+64),CHAR(INT((COLUMN(FD178)-1)/26)+64)&amp;CHAR(MOD(COLUMN(FD178)-1,26)+65))&amp;$FI119&amp;""),"")</f>
        <v/>
      </c>
      <c r="FR119" s="78" t="str">
        <f t="array" aca="1" ref="FR119" ca="1">IF($FI119&lt;&gt;"",
INDIRECT(""&amp;IF(COLUMN(FE178)&lt;=26,CHAR(COLUMN(FE178)+64),CHAR(INT((COLUMN(FE178)-1)/26)+64)&amp;CHAR(MOD(COLUMN(FE178)-1,26)+65))&amp;$FI119&amp;""),"")</f>
        <v/>
      </c>
      <c r="FS119" s="78" t="str">
        <f t="array" aca="1" ref="FS119" ca="1">IF($FI119&lt;&gt;"",
INDIRECT(""&amp;IF(COLUMN(FF178)&lt;=26,CHAR(COLUMN(FF178)+64),CHAR(INT((COLUMN(FF178)-1)/26)+64)&amp;CHAR(MOD(COLUMN(FF178)-1,26)+65))&amp;$FI119&amp;""),"")</f>
        <v/>
      </c>
    </row>
    <row r="120" spans="2:175" ht="22.2" customHeight="1" x14ac:dyDescent="0.55000000000000004">
      <c r="B120" s="77" t="str" cm="1">
        <f t="array" aca="1" ref="B120" ca="1">IF(COUNTIF(G36,"*合計*"),"",
IFERROR(
SUBSTITUTE(ADDRESS(1,
COLUMN(INDIRECT("数出表_Excel!B" &amp; (MATCH(G36,数出表_Excel!$A:$A,0)-1))) - 1 +
MATCH(TRUE, ISNUMBER(--INDIRECT("数出表_Excel!"&amp;B78&amp; (MATCH(G36,数出表_Excel!$A:$A,0)-1) &amp; ":U" &amp; (MATCH(G36,数出表_Excel!$A:$A,0)-1))), 0)
+MATCH(TRUE, ISNUMBER(--INDIRECT("数出表_Excel!B" &amp; (MATCH(G36,数出表_Excel!$A:$A,0)-1) &amp; ":U" &amp; (MATCH(G36,数出表_Excel!$A:$A,0)-1))), 0)+1,4),"1",""),
""))</f>
        <v/>
      </c>
      <c r="C120" s="247" t="str">
        <f ca="1">IF(C123&lt;&gt;"",C36,"")</f>
        <v/>
      </c>
      <c r="D120" s="248"/>
      <c r="E120" s="248"/>
      <c r="F120" s="248"/>
      <c r="G120" s="231" t="str">
        <f>SUBSTITUTE(ADDRESS(1,
COLUMN(),1),"1","")</f>
        <v>$G$</v>
      </c>
      <c r="H120" s="76"/>
      <c r="I120" s="77" t="str" cm="1">
        <f t="array" aca="1" ref="I120" ca="1">IF(COUNTIF(N36,"*合計*"),"",
IFERROR(
SUBSTITUTE(ADDRESS(1,
COLUMN(INDIRECT("数出表_Excel!B" &amp; (MATCH(N36,数出表_Excel!$A:$A,0)-1))) - 1 +
MATCH(TRUE, ISNUMBER(--INDIRECT("数出表_Excel!"&amp;I78&amp; (MATCH(N36,数出表_Excel!$A:$A,0)-1) &amp; ":U" &amp; (MATCH(N36,数出表_Excel!$A:$A,0)-1))), 0)
+MATCH(TRUE, ISNUMBER(--INDIRECT("数出表_Excel!B" &amp; (MATCH(N36,数出表_Excel!$A:$A,0)-1) &amp; ":U" &amp; (MATCH(N36,数出表_Excel!$A:$A,0)-1))), 0)+1,4),"1",""),
""))</f>
        <v/>
      </c>
      <c r="J120" s="247" t="str">
        <f ca="1">IF(J123&lt;&gt;"",J36,"")</f>
        <v/>
      </c>
      <c r="K120" s="248"/>
      <c r="L120" s="248"/>
      <c r="M120" s="248"/>
      <c r="N120" s="231" t="str">
        <f>SUBSTITUTE(ADDRESS(1,
COLUMN(),1),"1","")</f>
        <v>$N$</v>
      </c>
      <c r="Q120" s="77" t="str" cm="1">
        <f t="array" aca="1" ref="Q120" ca="1">IF(COUNTIF(V36,"*合計*"),"",
IFERROR(
SUBSTITUTE(ADDRESS(1,
COLUMN(INDIRECT("数出表_Excel!B" &amp; (MATCH(V36,数出表_Excel!$A:$A,0)-1))) - 1 +
MATCH(TRUE, ISNUMBER(--INDIRECT("数出表_Excel!"&amp;Q78&amp; (MATCH(V36,数出表_Excel!$A:$A,0)-1) &amp; ":U" &amp; (MATCH(V36,数出表_Excel!$A:$A,0)-1))), 0)
+MATCH(TRUE, ISNUMBER(--INDIRECT("数出表_Excel!B" &amp; (MATCH(V36,数出表_Excel!$A:$A,0)-1) &amp; ":U" &amp; (MATCH(V36,数出表_Excel!$A:$A,0)-1))), 0)+1,4),"1",""),
""))</f>
        <v/>
      </c>
      <c r="R120" s="247" t="str">
        <f ca="1">IF(R123&lt;&gt;"",R36,"")</f>
        <v/>
      </c>
      <c r="S120" s="248"/>
      <c r="T120" s="248"/>
      <c r="U120" s="248"/>
      <c r="V120" s="231" t="str">
        <f>SUBSTITUTE(ADDRESS(1,
COLUMN(),1),"1","")</f>
        <v>$V$</v>
      </c>
      <c r="W120" s="76"/>
      <c r="X120" s="77" t="str" cm="1">
        <f t="array" aca="1" ref="X120" ca="1">IF(COUNTIF(AC36,"*合計*"),"",
IFERROR(
SUBSTITUTE(ADDRESS(1,
COLUMN(INDIRECT("数出表_Excel!B" &amp; (MATCH(AC36,数出表_Excel!$A:$A,0)-1))) - 1 +
MATCH(TRUE, ISNUMBER(--INDIRECT("数出表_Excel!"&amp;X78&amp; (MATCH(AC36,数出表_Excel!$A:$A,0)-1) &amp; ":U" &amp; (MATCH(AC36,数出表_Excel!$A:$A,0)-1))), 0)
+MATCH(TRUE, ISNUMBER(--INDIRECT("数出表_Excel!B" &amp; (MATCH(AC36,数出表_Excel!$A:$A,0)-1) &amp; ":U" &amp; (MATCH(AC36,数出表_Excel!$A:$A,0)-1))), 0)+1,4),"1",""),
""))</f>
        <v/>
      </c>
      <c r="Y120" s="247" t="str">
        <f ca="1">IF(Y123&lt;&gt;"",Y36,"")</f>
        <v/>
      </c>
      <c r="Z120" s="248"/>
      <c r="AA120" s="248"/>
      <c r="AB120" s="248"/>
      <c r="AC120" s="231" t="str">
        <f>SUBSTITUTE(ADDRESS(1,
COLUMN(),1),"1","")</f>
        <v>$AC$</v>
      </c>
      <c r="AF120" s="77" t="str" cm="1">
        <f t="array" aca="1" ref="AF120" ca="1">IF(COUNTIF(AK36,"*合計*"),"",
IFERROR(
SUBSTITUTE(ADDRESS(1,
COLUMN(INDIRECT("数出表_Excel!B" &amp; (MATCH(AK36,数出表_Excel!$A:$A,0)-1))) - 1 +
MATCH(TRUE, ISNUMBER(--INDIRECT("数出表_Excel!"&amp;AF78&amp; (MATCH(AK36,数出表_Excel!$A:$A,0)-1) &amp; ":U" &amp; (MATCH(AK36,数出表_Excel!$A:$A,0)-1))), 0)
+MATCH(TRUE, ISNUMBER(--INDIRECT("数出表_Excel!B" &amp; (MATCH(AK36,数出表_Excel!$A:$A,0)-1) &amp; ":U" &amp; (MATCH(AK36,数出表_Excel!$A:$A,0)-1))), 0)+1,4),"1",""),
""))</f>
        <v/>
      </c>
      <c r="AG120" s="247" t="str">
        <f ca="1">IF(AG123&lt;&gt;"",AG36,"")</f>
        <v/>
      </c>
      <c r="AH120" s="248"/>
      <c r="AI120" s="248"/>
      <c r="AJ120" s="248"/>
      <c r="AK120" s="231" t="str">
        <f>SUBSTITUTE(ADDRESS(1,
COLUMN(),1),"1","")</f>
        <v>$AK$</v>
      </c>
      <c r="AL120" s="76"/>
      <c r="AM120" s="77" t="str" cm="1">
        <f t="array" aca="1" ref="AM120" ca="1">IF(COUNTIF(AR36,"*合計*"),"",
IFERROR(
SUBSTITUTE(ADDRESS(1,
COLUMN(INDIRECT("数出表_Excel!B" &amp; (MATCH(AR36,数出表_Excel!$A:$A,0)-1))) - 1 +
MATCH(TRUE, ISNUMBER(--INDIRECT("数出表_Excel!"&amp;AM78&amp; (MATCH(AR36,数出表_Excel!$A:$A,0)-1) &amp; ":U" &amp; (MATCH(AR36,数出表_Excel!$A:$A,0)-1))), 0)
+MATCH(TRUE, ISNUMBER(--INDIRECT("数出表_Excel!B" &amp; (MATCH(AR36,数出表_Excel!$A:$A,0)-1) &amp; ":U" &amp; (MATCH(AR36,数出表_Excel!$A:$A,0)-1))), 0)+1,4),"1",""),
""))</f>
        <v/>
      </c>
      <c r="AN120" s="247" t="str">
        <f ca="1">IF(AN123&lt;&gt;"",AN36,"")</f>
        <v/>
      </c>
      <c r="AO120" s="248"/>
      <c r="AP120" s="248"/>
      <c r="AQ120" s="248"/>
      <c r="AR120" s="231" t="str">
        <f>SUBSTITUTE(ADDRESS(1,
COLUMN(),1),"1","")</f>
        <v>$AR$</v>
      </c>
      <c r="AU120" s="77" t="str" cm="1">
        <f t="array" aca="1" ref="AU120" ca="1">IF(COUNTIF(AZ36,"*合計*"),"",
IFERROR(
SUBSTITUTE(ADDRESS(1,
COLUMN(INDIRECT("数出表_Excel!B" &amp; (MATCH(AZ36,数出表_Excel!$A:$A,0)-1))) - 1 +
MATCH(TRUE, ISNUMBER(--INDIRECT("数出表_Excel!"&amp;AU78&amp; (MATCH(AZ36,数出表_Excel!$A:$A,0)-1) &amp; ":U" &amp; (MATCH(AZ36,数出表_Excel!$A:$A,0)-1))), 0)
+MATCH(TRUE, ISNUMBER(--INDIRECT("数出表_Excel!B" &amp; (MATCH(AZ36,数出表_Excel!$A:$A,0)-1) &amp; ":U" &amp; (MATCH(AZ36,数出表_Excel!$A:$A,0)-1))), 0)+1,4),"1",""),
""))</f>
        <v/>
      </c>
      <c r="AV120" s="247" t="str">
        <f ca="1">IF(AV123&lt;&gt;"",AV36,"")</f>
        <v/>
      </c>
      <c r="AW120" s="248"/>
      <c r="AX120" s="248"/>
      <c r="AY120" s="248"/>
      <c r="AZ120" s="231" t="str">
        <f>SUBSTITUTE(ADDRESS(1,
COLUMN(),1),"1","")</f>
        <v>$AZ$</v>
      </c>
      <c r="BA120" s="76"/>
      <c r="BB120" s="77" t="str" cm="1">
        <f t="array" aca="1" ref="BB120" ca="1">IF(COUNTIF(BG36,"*合計*"),"",
IFERROR(
SUBSTITUTE(ADDRESS(1,
COLUMN(INDIRECT("数出表_Excel!B" &amp; (MATCH(BG36,数出表_Excel!$A:$A,0)-1))) - 1 +
MATCH(TRUE, ISNUMBER(--INDIRECT("数出表_Excel!"&amp;BB78&amp; (MATCH(BG36,数出表_Excel!$A:$A,0)-1) &amp; ":U" &amp; (MATCH(BG36,数出表_Excel!$A:$A,0)-1))), 0)
+MATCH(TRUE, ISNUMBER(--INDIRECT("数出表_Excel!B" &amp; (MATCH(BG36,数出表_Excel!$A:$A,0)-1) &amp; ":U" &amp; (MATCH(BG36,数出表_Excel!$A:$A,0)-1))), 0)+1,4),"1",""),
""))</f>
        <v/>
      </c>
      <c r="BC120" s="247" t="str">
        <f ca="1">IF(BC123&lt;&gt;"",BC36,"")</f>
        <v/>
      </c>
      <c r="BD120" s="248"/>
      <c r="BE120" s="248"/>
      <c r="BF120" s="248"/>
      <c r="BG120" s="231" t="str">
        <f>SUBSTITUTE(ADDRESS(1,
COLUMN(),1),"1","")</f>
        <v>$BG$</v>
      </c>
      <c r="BJ120" s="77" t="str" cm="1">
        <f t="array" aca="1" ref="BJ120" ca="1">IF(COUNTIF(BO36,"*合計*"),"",
IFERROR(
SUBSTITUTE(ADDRESS(1,
COLUMN(INDIRECT("数出表_Excel!B" &amp; (MATCH(BO36,数出表_Excel!$A:$A,0)-1))) - 1 +
MATCH(TRUE, ISNUMBER(--INDIRECT("数出表_Excel!"&amp;BJ78&amp; (MATCH(BO36,数出表_Excel!$A:$A,0)-1) &amp; ":U" &amp; (MATCH(BO36,数出表_Excel!$A:$A,0)-1))), 0)
+MATCH(TRUE, ISNUMBER(--INDIRECT("数出表_Excel!B" &amp; (MATCH(BO36,数出表_Excel!$A:$A,0)-1) &amp; ":U" &amp; (MATCH(BO36,数出表_Excel!$A:$A,0)-1))), 0)+1,4),"1",""),
""))</f>
        <v/>
      </c>
      <c r="BK120" s="247" t="str">
        <f ca="1">IF(BK123&lt;&gt;"",BK36,"")</f>
        <v/>
      </c>
      <c r="BL120" s="248"/>
      <c r="BM120" s="248"/>
      <c r="BN120" s="248"/>
      <c r="BO120" s="231" t="str">
        <f>SUBSTITUTE(ADDRESS(1,
COLUMN(),1),"1","")</f>
        <v>$BO$</v>
      </c>
      <c r="BP120" s="76"/>
      <c r="BQ120" s="77" t="str" cm="1">
        <f t="array" aca="1" ref="BQ120" ca="1">IF(COUNTIF(BV36,"*合計*"),"",
IFERROR(
SUBSTITUTE(ADDRESS(1,
COLUMN(INDIRECT("数出表_Excel!B" &amp; (MATCH(BV36,数出表_Excel!$A:$A,0)-1))) - 1 +
MATCH(TRUE, ISNUMBER(--INDIRECT("数出表_Excel!"&amp;BQ78&amp; (MATCH(BV36,数出表_Excel!$A:$A,0)-1) &amp; ":U" &amp; (MATCH(BV36,数出表_Excel!$A:$A,0)-1))), 0)
+MATCH(TRUE, ISNUMBER(--INDIRECT("数出表_Excel!B" &amp; (MATCH(BV36,数出表_Excel!$A:$A,0)-1) &amp; ":U" &amp; (MATCH(BV36,数出表_Excel!$A:$A,0)-1))), 0)+1,4),"1",""),
""))</f>
        <v/>
      </c>
      <c r="BR120" s="247" t="str">
        <f ca="1">IF(BR123&lt;&gt;"",BR36,"")</f>
        <v/>
      </c>
      <c r="BS120" s="248"/>
      <c r="BT120" s="248"/>
      <c r="BU120" s="248"/>
      <c r="BV120" s="231" t="str">
        <f>SUBSTITUTE(ADDRESS(1,
COLUMN(),1),"1","")</f>
        <v>$BV$</v>
      </c>
      <c r="BY120" s="77" t="str" cm="1">
        <f t="array" aca="1" ref="BY120" ca="1">IF(COUNTIF(CD36,"*合計*"),"",
IFERROR(
SUBSTITUTE(ADDRESS(1,
COLUMN(INDIRECT("数出表_Excel!B" &amp; (MATCH(CD36,数出表_Excel!$A:$A,0)-1))) - 1 +
MATCH(TRUE, ISNUMBER(--INDIRECT("数出表_Excel!"&amp;BY78&amp; (MATCH(CD36,数出表_Excel!$A:$A,0)-1) &amp; ":U" &amp; (MATCH(CD36,数出表_Excel!$A:$A,0)-1))), 0)
+MATCH(TRUE, ISNUMBER(--INDIRECT("数出表_Excel!B" &amp; (MATCH(CD36,数出表_Excel!$A:$A,0)-1) &amp; ":U" &amp; (MATCH(CD36,数出表_Excel!$A:$A,0)-1))), 0)+1,4),"1",""),
""))</f>
        <v/>
      </c>
      <c r="BZ120" s="247" t="str">
        <f ca="1">IF(BZ123&lt;&gt;"",BZ36,"")</f>
        <v/>
      </c>
      <c r="CA120" s="248"/>
      <c r="CB120" s="248"/>
      <c r="CC120" s="248"/>
      <c r="CD120" s="231" t="str">
        <f>SUBSTITUTE(ADDRESS(1,
COLUMN(),1),"1","")</f>
        <v>$CD$</v>
      </c>
      <c r="CE120" s="76"/>
      <c r="CF120" s="77" t="str" cm="1">
        <f t="array" aca="1" ref="CF120" ca="1">IF(COUNTIF(CK36,"*合計*"),"",
IFERROR(
SUBSTITUTE(ADDRESS(1,
COLUMN(INDIRECT("数出表_Excel!B" &amp; (MATCH(CK36,数出表_Excel!$A:$A,0)-1))) - 1 +
MATCH(TRUE, ISNUMBER(--INDIRECT("数出表_Excel!"&amp;CF78&amp; (MATCH(CK36,数出表_Excel!$A:$A,0)-1) &amp; ":U" &amp; (MATCH(CK36,数出表_Excel!$A:$A,0)-1))), 0)
+MATCH(TRUE, ISNUMBER(--INDIRECT("数出表_Excel!B" &amp; (MATCH(CK36,数出表_Excel!$A:$A,0)-1) &amp; ":U" &amp; (MATCH(CK36,数出表_Excel!$A:$A,0)-1))), 0)+1,4),"1",""),
""))</f>
        <v/>
      </c>
      <c r="CG120" s="247" t="str">
        <f ca="1">IF(CG123&lt;&gt;"",CG36,"")</f>
        <v/>
      </c>
      <c r="CH120" s="248"/>
      <c r="CI120" s="248"/>
      <c r="CJ120" s="248"/>
      <c r="CK120" s="231" t="str">
        <f>SUBSTITUTE(ADDRESS(1,
COLUMN(),1),"1","")</f>
        <v>$CK$</v>
      </c>
      <c r="CN120" s="77" t="str" cm="1">
        <f t="array" aca="1" ref="CN120" ca="1">IF(COUNTIF(CS36,"*合計*"),"",
IFERROR(
SUBSTITUTE(ADDRESS(1,
COLUMN(INDIRECT("数出表_Excel!B" &amp; (MATCH(CS36,数出表_Excel!$A:$A,0)-1))) - 1 +
MATCH(TRUE, ISNUMBER(--INDIRECT("数出表_Excel!"&amp;CN78&amp; (MATCH(CS36,数出表_Excel!$A:$A,0)-1) &amp; ":U" &amp; (MATCH(CS36,数出表_Excel!$A:$A,0)-1))), 0)
+MATCH(TRUE, ISNUMBER(--INDIRECT("数出表_Excel!B" &amp; (MATCH(CS36,数出表_Excel!$A:$A,0)-1) &amp; ":U" &amp; (MATCH(CS36,数出表_Excel!$A:$A,0)-1))), 0)+1,4),"1",""),
""))</f>
        <v/>
      </c>
      <c r="CO120" s="247" t="str">
        <f ca="1">IF(CO123&lt;&gt;"",CO36,"")</f>
        <v/>
      </c>
      <c r="CP120" s="248"/>
      <c r="CQ120" s="248"/>
      <c r="CR120" s="248"/>
      <c r="CS120" s="231" t="str">
        <f>SUBSTITUTE(ADDRESS(1,
COLUMN(),1),"1","")</f>
        <v>$CS$</v>
      </c>
      <c r="CT120" s="76"/>
      <c r="CU120" s="77" t="str" cm="1">
        <f t="array" aca="1" ref="CU120" ca="1">IF(COUNTIF(CZ36,"*合計*"),"",
IFERROR(
SUBSTITUTE(ADDRESS(1,
COLUMN(INDIRECT("数出表_Excel!B" &amp; (MATCH(CZ36,数出表_Excel!$A:$A,0)-1))) - 1 +
MATCH(TRUE, ISNUMBER(--INDIRECT("数出表_Excel!"&amp;CU78&amp; (MATCH(CZ36,数出表_Excel!$A:$A,0)-1) &amp; ":U" &amp; (MATCH(CZ36,数出表_Excel!$A:$A,0)-1))), 0)
+MATCH(TRUE, ISNUMBER(--INDIRECT("数出表_Excel!B" &amp; (MATCH(CZ36,数出表_Excel!$A:$A,0)-1) &amp; ":U" &amp; (MATCH(CZ36,数出表_Excel!$A:$A,0)-1))), 0)+1,4),"1",""),
""))</f>
        <v/>
      </c>
      <c r="CV120" s="247" t="str">
        <f ca="1">IF(CV123&lt;&gt;"",CV36,"")</f>
        <v/>
      </c>
      <c r="CW120" s="248"/>
      <c r="CX120" s="248"/>
      <c r="CY120" s="248"/>
      <c r="CZ120" s="231" t="str">
        <f>SUBSTITUTE(ADDRESS(1,
COLUMN(),1),"1","")</f>
        <v>$CZ$</v>
      </c>
      <c r="DC120" s="77" t="str" cm="1">
        <f t="array" aca="1" ref="DC120" ca="1">IF(COUNTIF(DH36,"*合計*"),"",
IFERROR(
SUBSTITUTE(ADDRESS(1,
COLUMN(INDIRECT("数出表_Excel!B" &amp; (MATCH(DH36,数出表_Excel!$A:$A,0)-1))) - 1 +
MATCH(TRUE, ISNUMBER(--INDIRECT("数出表_Excel!"&amp;DC78&amp; (MATCH(DH36,数出表_Excel!$A:$A,0)-1) &amp; ":U" &amp; (MATCH(DH36,数出表_Excel!$A:$A,0)-1))), 0)
+MATCH(TRUE, ISNUMBER(--INDIRECT("数出表_Excel!B" &amp; (MATCH(DH36,数出表_Excel!$A:$A,0)-1) &amp; ":U" &amp; (MATCH(DH36,数出表_Excel!$A:$A,0)-1))), 0)+1,4),"1",""),
""))</f>
        <v/>
      </c>
      <c r="DD120" s="247" t="str">
        <f ca="1">IF(DD123&lt;&gt;"",DD36,"")</f>
        <v/>
      </c>
      <c r="DE120" s="248"/>
      <c r="DF120" s="248"/>
      <c r="DG120" s="248"/>
      <c r="DH120" s="231" t="str">
        <f>SUBSTITUTE(ADDRESS(1,
COLUMN(),1),"1","")</f>
        <v>$DH$</v>
      </c>
      <c r="DI120" s="76"/>
      <c r="DJ120" s="77" t="str" cm="1">
        <f t="array" aca="1" ref="DJ120" ca="1">IF(COUNTIF(DO36,"*合計*"),"",
IFERROR(
SUBSTITUTE(ADDRESS(1,
COLUMN(INDIRECT("数出表_Excel!B" &amp; (MATCH(DO36,数出表_Excel!$A:$A,0)-1))) - 1 +
MATCH(TRUE, ISNUMBER(--INDIRECT("数出表_Excel!"&amp;DJ78&amp; (MATCH(DO36,数出表_Excel!$A:$A,0)-1) &amp; ":U" &amp; (MATCH(DO36,数出表_Excel!$A:$A,0)-1))), 0)
+MATCH(TRUE, ISNUMBER(--INDIRECT("数出表_Excel!B" &amp; (MATCH(DO36,数出表_Excel!$A:$A,0)-1) &amp; ":U" &amp; (MATCH(DO36,数出表_Excel!$A:$A,0)-1))), 0)+1,4),"1",""),
""))</f>
        <v/>
      </c>
      <c r="DK120" s="247" t="str">
        <f ca="1">IF(DK123&lt;&gt;"",DK36,"")</f>
        <v/>
      </c>
      <c r="DL120" s="248"/>
      <c r="DM120" s="248"/>
      <c r="DN120" s="248"/>
      <c r="DO120" s="231" t="str">
        <f>SUBSTITUTE(ADDRESS(1,
COLUMN(),1),"1","")</f>
        <v>$DO$</v>
      </c>
      <c r="DR120" s="77" t="str" cm="1">
        <f t="array" aca="1" ref="DR120" ca="1">IF(COUNTIF(DW36,"*合計*"),"",
IFERROR(
SUBSTITUTE(ADDRESS(1,
COLUMN(INDIRECT("数出表_Excel!B" &amp; (MATCH(DW36,数出表_Excel!$A:$A,0)-1))) - 1 +
MATCH(TRUE, ISNUMBER(--INDIRECT("数出表_Excel!"&amp;DR78&amp; (MATCH(DW36,数出表_Excel!$A:$A,0)-1) &amp; ":U" &amp; (MATCH(DW36,数出表_Excel!$A:$A,0)-1))), 0)
+MATCH(TRUE, ISNUMBER(--INDIRECT("数出表_Excel!B" &amp; (MATCH(DW36,数出表_Excel!$A:$A,0)-1) &amp; ":U" &amp; (MATCH(DW36,数出表_Excel!$A:$A,0)-1))), 0)+1,4),"1",""),
""))</f>
        <v/>
      </c>
      <c r="DS120" s="247" t="str">
        <f ca="1">IF(DS123&lt;&gt;"",DS36,"")</f>
        <v/>
      </c>
      <c r="DT120" s="248"/>
      <c r="DU120" s="248"/>
      <c r="DV120" s="248"/>
      <c r="DW120" s="231" t="str">
        <f>SUBSTITUTE(ADDRESS(1,
COLUMN(),1),"1","")</f>
        <v>$DW$</v>
      </c>
      <c r="DX120" s="76"/>
      <c r="DY120" s="77" t="str" cm="1">
        <f t="array" aca="1" ref="DY120" ca="1">IF(COUNTIF(ED36,"*合計*"),"",
IFERROR(
SUBSTITUTE(ADDRESS(1,
COLUMN(INDIRECT("数出表_Excel!B" &amp; (MATCH(ED36,数出表_Excel!$A:$A,0)-1))) - 1 +
MATCH(TRUE, ISNUMBER(--INDIRECT("数出表_Excel!"&amp;DY78&amp; (MATCH(ED36,数出表_Excel!$A:$A,0)-1) &amp; ":U" &amp; (MATCH(ED36,数出表_Excel!$A:$A,0)-1))), 0)
+MATCH(TRUE, ISNUMBER(--INDIRECT("数出表_Excel!B" &amp; (MATCH(ED36,数出表_Excel!$A:$A,0)-1) &amp; ":U" &amp; (MATCH(ED36,数出表_Excel!$A:$A,0)-1))), 0)+1,4),"1",""),
""))</f>
        <v/>
      </c>
      <c r="DZ120" s="247" t="str">
        <f ca="1">IF(DZ123&lt;&gt;"",DZ36,"")</f>
        <v/>
      </c>
      <c r="EA120" s="248"/>
      <c r="EB120" s="248"/>
      <c r="EC120" s="248"/>
      <c r="ED120" s="231" t="str">
        <f>SUBSTITUTE(ADDRESS(1,
COLUMN(),1),"1","")</f>
        <v>$ED$</v>
      </c>
      <c r="EG120" s="77" t="str" cm="1">
        <f t="array" aca="1" ref="EG120" ca="1">IF(COUNTIF(EL36,"*合計*"),"",
IFERROR(
SUBSTITUTE(ADDRESS(1,
COLUMN(INDIRECT("数出表_Excel!B" &amp; (MATCH(EL36,数出表_Excel!$A:$A,0)-1))) - 1 +
MATCH(TRUE, ISNUMBER(--INDIRECT("数出表_Excel!"&amp;EG78&amp; (MATCH(EL36,数出表_Excel!$A:$A,0)-1) &amp; ":U" &amp; (MATCH(EL36,数出表_Excel!$A:$A,0)-1))), 0)
+MATCH(TRUE, ISNUMBER(--INDIRECT("数出表_Excel!B" &amp; (MATCH(EL36,数出表_Excel!$A:$A,0)-1) &amp; ":U" &amp; (MATCH(EL36,数出表_Excel!$A:$A,0)-1))), 0)+1,4),"1",""),
""))</f>
        <v/>
      </c>
      <c r="EH120" s="247" t="str">
        <f ca="1">IF(EH123&lt;&gt;"",EH36,"")</f>
        <v/>
      </c>
      <c r="EI120" s="248"/>
      <c r="EJ120" s="248"/>
      <c r="EK120" s="248"/>
      <c r="EL120" s="231" t="str">
        <f>SUBSTITUTE(ADDRESS(1,
COLUMN(),1),"1","")</f>
        <v>$EL$</v>
      </c>
      <c r="EM120" s="76"/>
      <c r="EN120" s="77" t="str" cm="1">
        <f t="array" aca="1" ref="EN120" ca="1">IF(COUNTIF(ES36,"*合計*"),"",
IFERROR(
SUBSTITUTE(ADDRESS(1,
COLUMN(INDIRECT("数出表_Excel!B" &amp; (MATCH(ES36,数出表_Excel!$A:$A,0)-1))) - 1 +
MATCH(TRUE, ISNUMBER(--INDIRECT("数出表_Excel!"&amp;EN78&amp; (MATCH(ES36,数出表_Excel!$A:$A,0)-1) &amp; ":U" &amp; (MATCH(ES36,数出表_Excel!$A:$A,0)-1))), 0)
+MATCH(TRUE, ISNUMBER(--INDIRECT("数出表_Excel!B" &amp; (MATCH(ES36,数出表_Excel!$A:$A,0)-1) &amp; ":U" &amp; (MATCH(ES36,数出表_Excel!$A:$A,0)-1))), 0)+1,4),"1",""),
""))</f>
        <v/>
      </c>
      <c r="EO120" s="247" t="str">
        <f ca="1">IF(EO123&lt;&gt;"",EO36,"")</f>
        <v/>
      </c>
      <c r="EP120" s="248"/>
      <c r="EQ120" s="248"/>
      <c r="ER120" s="248"/>
      <c r="ES120" s="231" t="str">
        <f>SUBSTITUTE(ADDRESS(1,
COLUMN(),1),"1","")</f>
        <v>$ES$</v>
      </c>
      <c r="EU120" s="78">
        <f t="shared" si="10"/>
        <v>91</v>
      </c>
      <c r="EV120" s="78" t="str">
        <f t="array" aca="1" ref="EV120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LEN(SUBSTITUTE(_xlfn.FORMULATEXT(EV$112),"=","")))+$EU120)</f>
        <v/>
      </c>
      <c r="EW120" s="78" t="str">
        <f t="array" aca="1" ref="EW120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LEN(SUBSTITUTE(_xlfn.FORMULATEXT(EW$112),"=","")))+$EU120)</f>
        <v/>
      </c>
      <c r="EX120" s="78" t="str">
        <f t="array" aca="1" ref="EX120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LEN(SUBSTITUTE(_xlfn.FORMULATEXT(EX$112),"=","")))+$EU120)</f>
        <v/>
      </c>
      <c r="EY120" s="78" t="str">
        <f t="array" aca="1" ref="EY120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LEN(SUBSTITUTE(_xlfn.FORMULATEXT(EY$112),"=","")))+$EU120)</f>
        <v/>
      </c>
      <c r="EZ120" s="78" t="str">
        <f t="array" aca="1" ref="EZ120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LEN(SUBSTITUTE(_xlfn.FORMULATEXT(EZ$112),"=","")))+$EU120)</f>
        <v/>
      </c>
      <c r="FA120" s="78" t="str">
        <f t="array" aca="1" ref="FA120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LEN(SUBSTITUTE(_xlfn.FORMULATEXT(FA$112),"=","")))+$EU120)</f>
        <v/>
      </c>
      <c r="FB120" s="78" t="str">
        <f t="array" aca="1" ref="FB120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LEN(SUBSTITUTE(_xlfn.FORMULATEXT(FB$112),"=","")))+$EU120)</f>
        <v/>
      </c>
      <c r="FC120" s="78" t="str">
        <f t="array" aca="1" ref="FC120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LEN(SUBSTITUTE(_xlfn.FORMULATEXT(FC$112),"=","")))+$EU120)</f>
        <v/>
      </c>
      <c r="FD120" s="78" t="str">
        <f t="array" aca="1" ref="FD120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LEN(SUBSTITUTE(_xlfn.FORMULATEXT(FD$112),"=","")))+$EU120)</f>
        <v/>
      </c>
      <c r="FE120" s="78" t="str">
        <f t="array" aca="1" ref="FE120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LEN(SUBSTITUTE(_xlfn.FORMULATEXT(FE$112),"=","")))+$EU120)</f>
        <v/>
      </c>
      <c r="FF120" s="78" t="str">
        <f t="array" aca="1" ref="FF120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LEN(SUBSTITUTE(_xlfn.FORMULATEXT(FF$112),"=","")))+$EU120)</f>
        <v/>
      </c>
      <c r="FG120" s="78">
        <f t="shared" ca="1" si="9"/>
        <v>0</v>
      </c>
      <c r="FH120" s="78" t="b">
        <f t="array" aca="1" ref="FH120" ca="1">SUMPRODUCT((LEN(EV120:FF120)&gt;0)*1)&gt;0</f>
        <v>0</v>
      </c>
      <c r="FI120" s="78" t="str">
        <f t="array" aca="1" ref="FI120" ca="1">IFERROR(SMALL(IF(FG$1:FG$228&lt;&gt;0,FG$1:FG$228),ROW(A120)),"")</f>
        <v/>
      </c>
      <c r="FJ120" s="78" t="str">
        <f t="array" aca="1" ref="FJ120" ca="1">IF($FI120&lt;&gt;"",
INDIRECT(""&amp;IF(COLUMN(EV179)&lt;=26,CHAR(COLUMN(EV179)+64),CHAR(INT((COLUMN(EV179)-1)/26)+64)&amp;CHAR(MOD(COLUMN(EV179)-1,26)+65))&amp;$FI120&amp;""),"")</f>
        <v/>
      </c>
      <c r="FK120" s="78" t="str">
        <f t="array" aca="1" ref="FK120" ca="1">IF($FI120&lt;&gt;"",
INDIRECT(""&amp;IF(COLUMN(EW179)&lt;=26,CHAR(COLUMN(EW179)+64),CHAR(INT((COLUMN(EW179)-1)/26)+64)&amp;CHAR(MOD(COLUMN(EW179)-1,26)+65))&amp;$FI120&amp;""),"")</f>
        <v/>
      </c>
      <c r="FL120" s="78" t="str">
        <f t="array" aca="1" ref="FL120" ca="1">IF($FI120&lt;&gt;"",
INDIRECT(""&amp;IF(COLUMN(EX179)&lt;=26,CHAR(COLUMN(EX179)+64),CHAR(INT((COLUMN(EX179)-1)/26)+64)&amp;CHAR(MOD(COLUMN(EX179)-1,26)+65))&amp;$FI120&amp;""),"")</f>
        <v/>
      </c>
      <c r="FM120" s="78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78" t="str">
        <f t="array" aca="1" ref="FN120" ca="1">IF($FI120&lt;&gt;"",
INDIRECT(""&amp;IF(COLUMN(FA179)&lt;=26,CHAR(COLUMN(FA179)+64),CHAR(INT((COLUMN(FA179)-1)/26)+64)&amp;CHAR(MOD(COLUMN(FA179)-1,26)+65))&amp;$FI120&amp;""),"")</f>
        <v/>
      </c>
      <c r="FO120" s="78" t="str">
        <f t="array" aca="1" ref="FO120" ca="1">IF($FI120&lt;&gt;"",
INDIRECT(""&amp;IF(COLUMN(FB179)&lt;=26,CHAR(COLUMN(FB179)+64),CHAR(INT((COLUMN(FB179)-1)/26)+64)&amp;CHAR(MOD(COLUMN(FB179)-1,26)+65))&amp;$FI120&amp;""),"")</f>
        <v/>
      </c>
      <c r="FP120" s="78" t="str">
        <f t="array" aca="1" ref="FP120" ca="1">IF($FI120&lt;&gt;"",
INDIRECT(""&amp;IF(COLUMN(FC179)&lt;=26,CHAR(COLUMN(FC179)+64),CHAR(INT((COLUMN(FC179)-1)/26)+64)&amp;CHAR(MOD(COLUMN(FC179)-1,26)+65))&amp;$FI120&amp;""),"")</f>
        <v/>
      </c>
      <c r="FQ120" s="78" t="str">
        <f t="array" aca="1" ref="FQ120" ca="1">IF($FI120&lt;&gt;"",
INDIRECT(""&amp;IF(COLUMN(FD179)&lt;=26,CHAR(COLUMN(FD179)+64),CHAR(INT((COLUMN(FD179)-1)/26)+64)&amp;CHAR(MOD(COLUMN(FD179)-1,26)+65))&amp;$FI120&amp;""),"")</f>
        <v/>
      </c>
      <c r="FR120" s="78" t="str">
        <f t="array" aca="1" ref="FR120" ca="1">IF($FI120&lt;&gt;"",
INDIRECT(""&amp;IF(COLUMN(FE179)&lt;=26,CHAR(COLUMN(FE179)+64),CHAR(INT((COLUMN(FE179)-1)/26)+64)&amp;CHAR(MOD(COLUMN(FE179)-1,26)+65))&amp;$FI120&amp;""),"")</f>
        <v/>
      </c>
      <c r="FS120" s="78" t="str">
        <f t="array" aca="1" ref="FS120" ca="1">IF($FI120&lt;&gt;"",
INDIRECT(""&amp;IF(COLUMN(FF179)&lt;=26,CHAR(COLUMN(FF179)+64),CHAR(INT((COLUMN(FF179)-1)/26)+64)&amp;CHAR(MOD(COLUMN(FF179)-1,26)+65))&amp;$FI120&amp;""),"")</f>
        <v/>
      </c>
    </row>
    <row r="121" spans="2:175" ht="22.2" customHeight="1" x14ac:dyDescent="0.55000000000000004">
      <c r="B121" s="81" t="e" cm="1">
        <f t="array" aca="1" ref="B121" ca="1">IF(B38&lt;&gt;100,
IF(C123&lt;&gt;"",MATCH(C123,INDIRECT("数出表_Excel!B"&amp;MATCH(G36,数出表_Excel!$A:$A,0)-1&amp;":U"&amp;MATCH(G36,数出表_Excel!$A:$A,0)-1&amp;""),0)+1,""),
IF(C123&lt;&gt;"",
MATCH(
IFERROR(
INDEX(INDIRECT("数出表_Excel!"&amp;B120&amp;MATCH(G36,数出表_Excel!$A:$A,0)-1&amp;":U"&amp;MATCH(G36,数出表_Excel!$A:$A,0)-1&amp;""),
 1,
 MATCH(TRUE, ISNUMBER(--INDIRECT("数出表_Excel!"&amp;B120&amp;MATCH(G36,数出表_Excel!$A:$A,0)-1&amp;":U"&amp;MATCH(G36,数出表_Excel!$A:$A,0)-1&amp;"")),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121" s="58" t="str" cm="1">
        <f t="array" aca="1" ref="C121" ca="1">IFERROR(IF(OR(
COUNTIF(INDIRECT("数出表_Excel!" &amp;
CHAR(MATCH(TRUE,
ISNUMBER(--INDIRECT("数出表_Excel!"&amp;B120&amp;MATCH(G36,数出表_Excel!$A:$A,0)-1&amp;":U"&amp;MATCH(G36,数出表_Excel!$A:$A,0)-1&amp;"")),0)
+MATCH(TRUE, ISNUMBER(--INDIRECT("数出表_Excel!B" &amp; (MATCH(G36,数出表_Excel!$A:$A,0)-1) &amp; ":U" &amp; (MATCH(G36,数出表_Excel!$A:$A,0)-1))), 0)
+MATCH(TRUE, ISNUMBER(--INDIRECT("数出表_Excel!"&amp;B78&amp; (MATCH(G36,数出表_Excel!$A:$A,0)-1) &amp; ":U" &amp; (MATCH(G36,数出表_Excel!$A:$A,0)-1))), 0)
+65) &amp; "3"),"*配膳*"),
COUNTIF(INDIRECT("数出表_Excel!" &amp;
CHAR(MATCH(TRUE,
ISNUMBER(--INDIRECT("数出表_Excel!"&amp;B120&amp;MATCH(G36,数出表_Excel!$A:$A,0)-1&amp;":U"&amp;MATCH(G36,数出表_Excel!$A:$A,0)-1&amp;"")),0)
+MATCH(TRUE, ISNUMBER(--INDIRECT("数出表_Excel!B" &amp; (MATCH(G36,数出表_Excel!$A:$A,0)-1) &amp; ":U" &amp; (MATCH(G36,数出表_Excel!$A:$A,0)-1))), 0)
+MATCH(TRUE, ISNUMBER(--INDIRECT("数出表_Excel!"&amp;B78&amp; (MATCH(G36,数出表_Excel!$A:$A,0)-1) &amp; ":U" &amp; (MATCH(G36,数出表_Excel!$A:$A,0)-1))), 0)
+65) &amp; "3"),"*カレー*"),
COUNTIF(C78,"*合計*")),"",
IF(IFERROR(INDIRECT("数出表_Excel!" &amp;
CHAR(MATCH(TRUE,
ISNUMBER(--INDIRECT("数出表_Excel!"&amp;B120&amp;MATCH(G36,数出表_Excel!$A:$A,0)-1&amp;":U"&amp;MATCH(G36,数出表_Excel!$A:$A,0)-1&amp;"")),0)
+MATCH(TRUE, ISNUMBER(--INDIRECT("数出表_Excel!B" &amp; (MATCH(G36,数出表_Excel!$A:$A,0)-1) &amp; ":U" &amp; (MATCH(G36,数出表_Excel!$A:$A,0)-1))), 0)
+MATCH(TRUE, ISNUMBER(--INDIRECT("数出表_Excel!"&amp;B78&amp; (MATCH(G36,数出表_Excel!$A:$A,0)-1) &amp; ":U" &amp; (MATCH(G36,数出表_Excel!$A:$A,0)-1))), 0)
+65) &amp; "3"),0)=0,"",
IFERROR(INDIRECT("数出表_Excel!" &amp;
CHAR(MATCH(TRUE,
ISNUMBER(--INDIRECT("数出表_Excel!"&amp;B120&amp;MATCH(G36,数出表_Excel!$A:$A,0)-1&amp;":U"&amp;MATCH(G36,数出表_Excel!$A:$A,0)-1&amp;"")),0)
+MATCH(TRUE, ISNUMBER(--INDIRECT("数出表_Excel!B" &amp; (MATCH(G36,数出表_Excel!$A:$A,0)-1) &amp; ":U" &amp; (MATCH(G36,数出表_Excel!$A:$A,0)-1))), 0)
+MATCH(TRUE, ISNUMBER(--INDIRECT("数出表_Excel!"&amp;B78&amp; (MATCH(G36,数出表_Excel!$A:$A,0)-1) &amp; ":U" &amp; (MATCH(G36,数出表_Excel!$A:$A,0)-1))), 0)
+65) &amp; "3"),""))),"")</f>
        <v/>
      </c>
      <c r="D121" s="76"/>
      <c r="E121" s="82" t="str" cm="1">
        <f t="array" aca="1" ref="E121" ca="1">IF(F121&lt;&gt;"","",
IF(COUNTIF(C120,"*雙葉*"),"",
IF(C120&lt;&gt;"",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+MATCH(TRUE,INDIRECT("'数出表_Excel'!"&amp;B120&amp;MATCH(G36,数出表_Excel!$A:$A,0)-1&amp;":AL"&amp;MATCH(G36,数出表_Excel!$A:$A,0)-1&amp;"")&lt;&gt;"",0))&gt;9,"",
IFERROR(
INDEX(INDIRECT("数出表_Excel!$"&amp;B120&amp;"4:$AL4"),
 1,
MATCH(TRUE,INDIRECT("'数出表_Excel'!"&amp;B120&amp;MATCH(G36,数出表_Excel!$A:$A,0)-1&amp;":AL"&amp;MATCH(G36,数出表_Excel!$A:$A,0)-1&amp;"")&lt;&gt;"",0)
),
 "")
&amp;IFERROR(
INDEX(INDIRECT("数出表_Excel!$"&amp;B120&amp;"5:$AL5"),
 1,
MATCH(TRUE,INDIRECT("'数出表_Excel'!"&amp;B120&amp;MATCH(G36,数出表_Excel!$A:$A,0)-1&amp;":AL"&amp;MATCH(G36,数出表_Excel!$A:$A,0)-1&amp;"")&lt;&gt;"",0)),
 "")),"")))</f>
        <v/>
      </c>
      <c r="F121" s="83" t="str" cm="1">
        <f t="array" aca="1" ref="F121" ca="1">IF(C121&lt;&gt;"",
IF(COUNTIF(C120,"*雙葉*"),
IF(ROUND(
IF(F126&lt;&gt;"",(C123-F126),C123)
/IF(COUNTIF(C121,"*キャラ*"),
VLOOKUP("*キャラ*",商品マスタ一覧!$D:$J,7,FALSE),
IF(COUNTIF(C121,"*赤*"),
VLOOKUP("*赤*",商品マスタ一覧!$D:$J,7,FALSE),
VLOOKUP(C121,商品マスタ一覧!$D:$J,7,FALSE))),0)&lt;=0,1,
ROUND(
IF(F126&lt;&gt;"",(C123-F126),C123)
/IF(COUNTIF(C121,"*キャラ*"),
VLOOKUP("*キャラ*",商品マスタ一覧!$D:$J,7,FALSE),
IF(COUNTIF(C121,"*赤*"),
VLOOKUP("*赤*",商品マスタ一覧!$D:$J,7,FALSE),
VLOOKUP(C121,商品マスタ一覧!$D:$J,7,FALSE))),0)),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IF(C121&lt;&gt;"",
IF(IF(COUNTIF(C121,"*キャラ*"),
VLOOKUP("*キャラ*",商品マスタ一覧!$D:$J,7,FALSE),
IF(COUNTIF(C121,"*赤*"),
VLOOKUP("*赤*",商品マスタ一覧!$D:$J,7,FALSE),
VLOOKUP(C121,商品マスタ一覧!$D:$J,7,FALSE)))=0,"",
IF(ROUND(
IF(F126&lt;&gt;"",(C123-F126),C123)
/IF(COUNTIF(C121,"*キャラ*"),
VLOOKUP("*キャラ*",商品マスタ一覧!$D:$J,7,FALSE),
IF(COUNTIF(C121,"*赤*"),
VLOOKUP("*赤*",商品マスタ一覧!$D:$J,7,FALSE),
VLOOKUP(C121,商品マスタ一覧!$D:$J,7,FALSE))),0)&lt;=0,1,
ROUND(
IF(F126&lt;&gt;"",(C123-F126),C123)
/IF(COUNTIF(C121,"*キャラ*"),
VLOOKUP("*キャラ*",商品マスタ一覧!$D:$J,7,FALSE),
IF(COUNTIF(C121,"*赤*"),
VLOOKUP("*赤*",商品マスタ一覧!$D:$J,7,FALSE),
VLOOKUP(C121,商品マスタ一覧!$D:$J,7,FALSE))),0))),""),"")),"")</f>
        <v/>
      </c>
      <c r="G121" s="92" t="str">
        <f ca="1">IF(F121&lt;&gt;"",IF(C123&lt;&gt;"",IF(VALUE(IF(F126&lt;&gt;"",C123-F126,C123))&gt;VALUE(IF(COUNTIF('盛付札（関数）'!C121,"*キャラ*"),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VLOOKUP('盛付札（関数）'!C121,商品マスタ一覧!$D:$J,7,FALSE)))*F121),
"+"&amp;IF(F126&lt;&gt;"",C123-F126,C123)-IF(COUNTIF('盛付札（関数）'!C121,"*キャラ*"),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VLOOKUP('盛付札（関数）'!C121,商品マスタ一覧!$D:$J,7,FALSE)))*F121,
IF(F126&lt;&gt;"",C123-F126,C123)-IF(COUNTIF('盛付札（関数）'!C121,"*キャラ*"),
VLOOKUP("*キャラ*",商品マスタ一覧!$D:$J,7,FALSE),
IF(COUNTIF('盛付札（関数）'!C121,"*赤*"),
VLOOKUP("*赤*",商品マスタ一覧!$D:$J,7,FALSE),
VLOOKUP('盛付札（関数）'!C121,商品マスタ一覧!$D:$J,7,FALSE)))*F121),""),"")</f>
        <v/>
      </c>
      <c r="H121" s="76"/>
      <c r="I121" s="81" t="e" cm="1">
        <f t="array" aca="1" ref="I121" ca="1">IF(I38&lt;&gt;100,
IF(J123&lt;&gt;"",MATCH(J123,INDIRECT("数出表_Excel!B"&amp;MATCH(N36,数出表_Excel!$A:$A,0)-1&amp;":U"&amp;MATCH(N36,数出表_Excel!$A:$A,0)-1&amp;""),0)+1,""),
IF(J123&lt;&gt;"",
MATCH(
IFERROR(
INDEX(INDIRECT("数出表_Excel!"&amp;I120&amp;MATCH(N36,数出表_Excel!$A:$A,0)-1&amp;":U"&amp;MATCH(N36,数出表_Excel!$A:$A,0)-1&amp;""),
 1,
 MATCH(TRUE, ISNUMBER(--INDIRECT("数出表_Excel!"&amp;I120&amp;MATCH(N36,数出表_Excel!$A:$A,0)-1&amp;":U"&amp;MATCH(N36,数出表_Excel!$A:$A,0)-1&amp;"")),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121" s="58" t="str" cm="1">
        <f t="array" aca="1" ref="J121" ca="1">IFERROR(IF(OR(
COUNTIF(INDIRECT("数出表_Excel!" &amp;
CHAR(MATCH(TRUE,
ISNUMBER(--INDIRECT("数出表_Excel!"&amp;I120&amp;MATCH(N36,数出表_Excel!$A:$A,0)-1&amp;":U"&amp;MATCH(N36,数出表_Excel!$A:$A,0)-1&amp;"")),0)
+MATCH(TRUE, ISNUMBER(--INDIRECT("数出表_Excel!B" &amp; (MATCH(N36,数出表_Excel!$A:$A,0)-1) &amp; ":U" &amp; (MATCH(N36,数出表_Excel!$A:$A,0)-1))), 0)
+MATCH(TRUE, ISNUMBER(--INDIRECT("数出表_Excel!"&amp;I78&amp; (MATCH(N36,数出表_Excel!$A:$A,0)-1) &amp; ":U" &amp; (MATCH(N36,数出表_Excel!$A:$A,0)-1))), 0)
+65) &amp; "3"),"*配膳*"),
COUNTIF(INDIRECT("数出表_Excel!" &amp;
CHAR(MATCH(TRUE,
ISNUMBER(--INDIRECT("数出表_Excel!"&amp;I120&amp;MATCH(N36,数出表_Excel!$A:$A,0)-1&amp;":U"&amp;MATCH(N36,数出表_Excel!$A:$A,0)-1&amp;"")),0)
+MATCH(TRUE, ISNUMBER(--INDIRECT("数出表_Excel!B" &amp; (MATCH(N36,数出表_Excel!$A:$A,0)-1) &amp; ":U" &amp; (MATCH(N36,数出表_Excel!$A:$A,0)-1))), 0)
+MATCH(TRUE, ISNUMBER(--INDIRECT("数出表_Excel!"&amp;I78&amp; (MATCH(N36,数出表_Excel!$A:$A,0)-1) &amp; ":U" &amp; (MATCH(N36,数出表_Excel!$A:$A,0)-1))), 0)
+65) &amp; "3"),"*カレー*"),
COUNTIF(J78,"*合計*")),"",
IF(IFERROR(INDIRECT("数出表_Excel!" &amp;
CHAR(MATCH(TRUE,
ISNUMBER(--INDIRECT("数出表_Excel!"&amp;I120&amp;MATCH(N36,数出表_Excel!$A:$A,0)-1&amp;":U"&amp;MATCH(N36,数出表_Excel!$A:$A,0)-1&amp;"")),0)
+MATCH(TRUE, ISNUMBER(--INDIRECT("数出表_Excel!B" &amp; (MATCH(N36,数出表_Excel!$A:$A,0)-1) &amp; ":U" &amp; (MATCH(N36,数出表_Excel!$A:$A,0)-1))), 0)
+MATCH(TRUE, ISNUMBER(--INDIRECT("数出表_Excel!"&amp;I78&amp; (MATCH(N36,数出表_Excel!$A:$A,0)-1) &amp; ":U" &amp; (MATCH(N36,数出表_Excel!$A:$A,0)-1))), 0)
+65) &amp; "3"),0)=0,"",
IFERROR(INDIRECT("数出表_Excel!" &amp;
CHAR(MATCH(TRUE,
ISNUMBER(--INDIRECT("数出表_Excel!"&amp;I120&amp;MATCH(N36,数出表_Excel!$A:$A,0)-1&amp;":U"&amp;MATCH(N36,数出表_Excel!$A:$A,0)-1&amp;"")),0)
+MATCH(TRUE, ISNUMBER(--INDIRECT("数出表_Excel!B" &amp; (MATCH(N36,数出表_Excel!$A:$A,0)-1) &amp; ":U" &amp; (MATCH(N36,数出表_Excel!$A:$A,0)-1))), 0)
+MATCH(TRUE, ISNUMBER(--INDIRECT("数出表_Excel!"&amp;I78&amp; (MATCH(N36,数出表_Excel!$A:$A,0)-1) &amp; ":U" &amp; (MATCH(N36,数出表_Excel!$A:$A,0)-1))), 0)
+65) &amp; "3"),""))),"")</f>
        <v/>
      </c>
      <c r="K121" s="76"/>
      <c r="L121" s="82" t="str" cm="1">
        <f t="array" aca="1" ref="L121" ca="1">IF(M121&lt;&gt;"","",
IF(COUNTIF(J120,"*雙葉*"),"",
IF(J120&lt;&gt;"",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+MATCH(TRUE,INDIRECT("'数出表_Excel'!"&amp;I120&amp;MATCH(N36,数出表_Excel!$A:$A,0)-1&amp;":AL"&amp;MATCH(N36,数出表_Excel!$A:$A,0)-1&amp;"")&lt;&gt;"",0))&gt;9,"",
IFERROR(
INDEX(INDIRECT("数出表_Excel!$"&amp;I120&amp;"4:$AL4"),
 1,
MATCH(TRUE,INDIRECT("'数出表_Excel'!"&amp;I120&amp;MATCH(N36,数出表_Excel!$A:$A,0)-1&amp;":AL"&amp;MATCH(N36,数出表_Excel!$A:$A,0)-1&amp;"")&lt;&gt;"",0)
),
 "")
&amp;IFERROR(
INDEX(INDIRECT("数出表_Excel!$"&amp;I120&amp;"5:$AL5"),
 1,
MATCH(TRUE,INDIRECT("'数出表_Excel'!"&amp;I120&amp;MATCH(N36,数出表_Excel!$A:$A,0)-1&amp;":AL"&amp;MATCH(N36,数出表_Excel!$A:$A,0)-1&amp;"")&lt;&gt;"",0)),
 "")),"")))</f>
        <v/>
      </c>
      <c r="M121" s="83" t="str" cm="1">
        <f t="array" aca="1" ref="M121" ca="1">IF(J121&lt;&gt;"",
IF(COUNTIF(J120,"*雙葉*"),
IF(ROUND(
IF(M126&lt;&gt;"",(J123-M126),J123)
/IF(COUNTIF(J121,"*キャラ*"),
VLOOKUP("*キャラ*",商品マスタ一覧!$D:$J,7,FALSE),
IF(COUNTIF(J121,"*赤*"),
VLOOKUP("*赤*",商品マスタ一覧!$D:$J,7,FALSE),
VLOOKUP(J121,商品マスタ一覧!$D:$J,7,FALSE))),0)&lt;=0,1,
ROUND(
IF(M126&lt;&gt;"",(J123-M126),J123)
/IF(COUNTIF(J121,"*キャラ*"),
VLOOKUP("*キャラ*",商品マスタ一覧!$D:$J,7,FALSE),
IF(COUNTIF(J121,"*赤*"),
VLOOKUP("*赤*",商品マスタ一覧!$D:$J,7,FALSE),
VLOOKUP(J121,商品マスタ一覧!$D:$J,7,FALSE))),0)),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IF(J121&lt;&gt;"",
IF(IF(COUNTIF(J121,"*キャラ*"),
VLOOKUP("*キャラ*",商品マスタ一覧!$D:$J,7,FALSE),
IF(COUNTIF(J121,"*赤*"),
VLOOKUP("*赤*",商品マスタ一覧!$D:$J,7,FALSE),
VLOOKUP(J121,商品マスタ一覧!$D:$J,7,FALSE)))=0,"",
IF(ROUND(
IF(M126&lt;&gt;"",(J123-M126),J123)
/IF(COUNTIF(J121,"*キャラ*"),
VLOOKUP("*キャラ*",商品マスタ一覧!$D:$J,7,FALSE),
IF(COUNTIF(J121,"*赤*"),
VLOOKUP("*赤*",商品マスタ一覧!$D:$J,7,FALSE),
VLOOKUP(J121,商品マスタ一覧!$D:$J,7,FALSE))),0)&lt;=0,1,
ROUND(
IF(M126&lt;&gt;"",(J123-M126),J123)
/IF(COUNTIF(J121,"*キャラ*"),
VLOOKUP("*キャラ*",商品マスタ一覧!$D:$J,7,FALSE),
IF(COUNTIF(J121,"*赤*"),
VLOOKUP("*赤*",商品マスタ一覧!$D:$J,7,FALSE),
VLOOKUP(J121,商品マスタ一覧!$D:$J,7,FALSE))),0))),""),"")),"")</f>
        <v/>
      </c>
      <c r="N121" s="92" t="str">
        <f ca="1">IF(M121&lt;&gt;"",IF(J123&lt;&gt;"",IF(VALUE(IF(M126&lt;&gt;"",J123-M126,J123))&gt;VALUE(IF(COUNTIF('盛付札（関数）'!J121,"*キャラ*"),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VLOOKUP('盛付札（関数）'!J121,商品マスタ一覧!$D:$J,7,FALSE)))*M121),
"+"&amp;IF(M126&lt;&gt;"",J123-M126,J123)-IF(COUNTIF('盛付札（関数）'!J121,"*キャラ*"),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VLOOKUP('盛付札（関数）'!J121,商品マスタ一覧!$D:$J,7,FALSE)))*M121,
IF(M126&lt;&gt;"",J123-M126,J123)-IF(COUNTIF('盛付札（関数）'!J121,"*キャラ*"),
VLOOKUP("*キャラ*",商品マスタ一覧!$D:$J,7,FALSE),
IF(COUNTIF('盛付札（関数）'!J121,"*赤*"),
VLOOKUP("*赤*",商品マスタ一覧!$D:$J,7,FALSE),
VLOOKUP('盛付札（関数）'!J121,商品マスタ一覧!$D:$J,7,FALSE)))*M121),""),"")</f>
        <v/>
      </c>
      <c r="Q121" s="81" t="e" cm="1">
        <f t="array" aca="1" ref="Q121" ca="1">IF(Q38&lt;&gt;100,
IF(R123&lt;&gt;"",MATCH(R123,INDIRECT("数出表_Excel!B"&amp;MATCH(V36,数出表_Excel!$A:$A,0)-1&amp;":U"&amp;MATCH(V36,数出表_Excel!$A:$A,0)-1&amp;""),0)+1,""),
IF(R123&lt;&gt;"",
MATCH(
IFERROR(
INDEX(INDIRECT("数出表_Excel!"&amp;Q120&amp;MATCH(V36,数出表_Excel!$A:$A,0)-1&amp;":U"&amp;MATCH(V36,数出表_Excel!$A:$A,0)-1&amp;""),
 1,
 MATCH(TRUE, ISNUMBER(--INDIRECT("数出表_Excel!"&amp;Q120&amp;MATCH(V36,数出表_Excel!$A:$A,0)-1&amp;":U"&amp;MATCH(V36,数出表_Excel!$A:$A,0)-1&amp;"")),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121" s="58" t="str" cm="1">
        <f t="array" aca="1" ref="R121" ca="1">IFERROR(IF(OR(
COUNTIF(INDIRECT("数出表_Excel!" &amp;
CHAR(MATCH(TRUE,
ISNUMBER(--INDIRECT("数出表_Excel!"&amp;Q120&amp;MATCH(V36,数出表_Excel!$A:$A,0)-1&amp;":U"&amp;MATCH(V36,数出表_Excel!$A:$A,0)-1&amp;"")),0)
+MATCH(TRUE, ISNUMBER(--INDIRECT("数出表_Excel!B" &amp; (MATCH(V36,数出表_Excel!$A:$A,0)-1) &amp; ":U" &amp; (MATCH(V36,数出表_Excel!$A:$A,0)-1))), 0)
+MATCH(TRUE, ISNUMBER(--INDIRECT("数出表_Excel!"&amp;Q78&amp; (MATCH(V36,数出表_Excel!$A:$A,0)-1) &amp; ":U" &amp; (MATCH(V36,数出表_Excel!$A:$A,0)-1))), 0)
+65) &amp; "3"),"*配膳*"),
COUNTIF(INDIRECT("数出表_Excel!" &amp;
CHAR(MATCH(TRUE,
ISNUMBER(--INDIRECT("数出表_Excel!"&amp;Q120&amp;MATCH(V36,数出表_Excel!$A:$A,0)-1&amp;":U"&amp;MATCH(V36,数出表_Excel!$A:$A,0)-1&amp;"")),0)
+MATCH(TRUE, ISNUMBER(--INDIRECT("数出表_Excel!B" &amp; (MATCH(V36,数出表_Excel!$A:$A,0)-1) &amp; ":U" &amp; (MATCH(V36,数出表_Excel!$A:$A,0)-1))), 0)
+MATCH(TRUE, ISNUMBER(--INDIRECT("数出表_Excel!"&amp;Q78&amp; (MATCH(V36,数出表_Excel!$A:$A,0)-1) &amp; ":U" &amp; (MATCH(V36,数出表_Excel!$A:$A,0)-1))), 0)
+65) &amp; "3"),"*カレー*"),
COUNTIF(R78,"*合計*")),"",
IF(IFERROR(INDIRECT("数出表_Excel!" &amp;
CHAR(MATCH(TRUE,
ISNUMBER(--INDIRECT("数出表_Excel!"&amp;Q120&amp;MATCH(V36,数出表_Excel!$A:$A,0)-1&amp;":U"&amp;MATCH(V36,数出表_Excel!$A:$A,0)-1&amp;"")),0)
+MATCH(TRUE, ISNUMBER(--INDIRECT("数出表_Excel!B" &amp; (MATCH(V36,数出表_Excel!$A:$A,0)-1) &amp; ":U" &amp; (MATCH(V36,数出表_Excel!$A:$A,0)-1))), 0)
+MATCH(TRUE, ISNUMBER(--INDIRECT("数出表_Excel!"&amp;Q78&amp; (MATCH(V36,数出表_Excel!$A:$A,0)-1) &amp; ":U" &amp; (MATCH(V36,数出表_Excel!$A:$A,0)-1))), 0)
+65) &amp; "3"),0)=0,"",
IFERROR(INDIRECT("数出表_Excel!" &amp;
CHAR(MATCH(TRUE,
ISNUMBER(--INDIRECT("数出表_Excel!"&amp;Q120&amp;MATCH(V36,数出表_Excel!$A:$A,0)-1&amp;":U"&amp;MATCH(V36,数出表_Excel!$A:$A,0)-1&amp;"")),0)
+MATCH(TRUE, ISNUMBER(--INDIRECT("数出表_Excel!B" &amp; (MATCH(V36,数出表_Excel!$A:$A,0)-1) &amp; ":U" &amp; (MATCH(V36,数出表_Excel!$A:$A,0)-1))), 0)
+MATCH(TRUE, ISNUMBER(--INDIRECT("数出表_Excel!"&amp;Q78&amp; (MATCH(V36,数出表_Excel!$A:$A,0)-1) &amp; ":U" &amp; (MATCH(V36,数出表_Excel!$A:$A,0)-1))), 0)
+65) &amp; "3"),""))),"")</f>
        <v/>
      </c>
      <c r="S121" s="76"/>
      <c r="T121" s="82" t="str" cm="1">
        <f t="array" aca="1" ref="T121" ca="1">IF(U121&lt;&gt;"","",
IF(COUNTIF(R120,"*雙葉*"),"",
IF(R120&lt;&gt;"",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+MATCH(TRUE,INDIRECT("'数出表_Excel'!"&amp;Q120&amp;MATCH(V36,数出表_Excel!$A:$A,0)-1&amp;":AL"&amp;MATCH(V36,数出表_Excel!$A:$A,0)-1&amp;"")&lt;&gt;"",0))&gt;9,"",
IFERROR(
INDEX(INDIRECT("数出表_Excel!$"&amp;Q120&amp;"4:$AL4"),
 1,
MATCH(TRUE,INDIRECT("'数出表_Excel'!"&amp;Q120&amp;MATCH(V36,数出表_Excel!$A:$A,0)-1&amp;":AL"&amp;MATCH(V36,数出表_Excel!$A:$A,0)-1&amp;"")&lt;&gt;"",0)
),
 "")
&amp;IFERROR(
INDEX(INDIRECT("数出表_Excel!$"&amp;Q120&amp;"5:$AL5"),
 1,
MATCH(TRUE,INDIRECT("'数出表_Excel'!"&amp;Q120&amp;MATCH(V36,数出表_Excel!$A:$A,0)-1&amp;":AL"&amp;MATCH(V36,数出表_Excel!$A:$A,0)-1&amp;"")&lt;&gt;"",0)),
 "")),"")))</f>
        <v/>
      </c>
      <c r="U121" s="83" t="str" cm="1">
        <f t="array" aca="1" ref="U121" ca="1">IF(R121&lt;&gt;"",
IF(COUNTIF(R120,"*雙葉*"),
IF(ROUND(
IF(U126&lt;&gt;"",(R123-U126),R123)
/IF(COUNTIF(R121,"*キャラ*"),
VLOOKUP("*キャラ*",商品マスタ一覧!$D:$J,7,FALSE),
IF(COUNTIF(R121,"*赤*"),
VLOOKUP("*赤*",商品マスタ一覧!$D:$J,7,FALSE),
VLOOKUP(R121,商品マスタ一覧!$D:$J,7,FALSE))),0)&lt;=0,1,
ROUND(
IF(U126&lt;&gt;"",(R123-U126),R123)
/IF(COUNTIF(R121,"*キャラ*"),
VLOOKUP("*キャラ*",商品マスタ一覧!$D:$J,7,FALSE),
IF(COUNTIF(R121,"*赤*"),
VLOOKUP("*赤*",商品マスタ一覧!$D:$J,7,FALSE),
VLOOKUP(R121,商品マスタ一覧!$D:$J,7,FALSE))),0)),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IF(R121&lt;&gt;"",
IF(IF(COUNTIF(R121,"*キャラ*"),
VLOOKUP("*キャラ*",商品マスタ一覧!$D:$J,7,FALSE),
IF(COUNTIF(R121,"*赤*"),
VLOOKUP("*赤*",商品マスタ一覧!$D:$J,7,FALSE),
VLOOKUP(R121,商品マスタ一覧!$D:$J,7,FALSE)))=0,"",
IF(ROUND(
IF(U126&lt;&gt;"",(R123-U126),R123)
/IF(COUNTIF(R121,"*キャラ*"),
VLOOKUP("*キャラ*",商品マスタ一覧!$D:$J,7,FALSE),
IF(COUNTIF(R121,"*赤*"),
VLOOKUP("*赤*",商品マスタ一覧!$D:$J,7,FALSE),
VLOOKUP(R121,商品マスタ一覧!$D:$J,7,FALSE))),0)&lt;=0,1,
ROUND(
IF(U126&lt;&gt;"",(R123-U126),R123)
/IF(COUNTIF(R121,"*キャラ*"),
VLOOKUP("*キャラ*",商品マスタ一覧!$D:$J,7,FALSE),
IF(COUNTIF(R121,"*赤*"),
VLOOKUP("*赤*",商品マスタ一覧!$D:$J,7,FALSE),
VLOOKUP(R121,商品マスタ一覧!$D:$J,7,FALSE))),0))),""),"")),"")</f>
        <v/>
      </c>
      <c r="V121" s="92" t="str">
        <f ca="1">IF(U121&lt;&gt;"",IF(R123&lt;&gt;"",IF(VALUE(IF(U126&lt;&gt;"",R123-U126,R123))&gt;VALUE(IF(COUNTIF('盛付札（関数）'!R121,"*キャラ*"),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VLOOKUP('盛付札（関数）'!R121,商品マスタ一覧!$D:$J,7,FALSE)))*U121),
"+"&amp;IF(U126&lt;&gt;"",R123-U126,R123)-IF(COUNTIF('盛付札（関数）'!R121,"*キャラ*"),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VLOOKUP('盛付札（関数）'!R121,商品マスタ一覧!$D:$J,7,FALSE)))*U121,
IF(U126&lt;&gt;"",R123-U126,R123)-IF(COUNTIF('盛付札（関数）'!R121,"*キャラ*"),
VLOOKUP("*キャラ*",商品マスタ一覧!$D:$J,7,FALSE),
IF(COUNTIF('盛付札（関数）'!R121,"*赤*"),
VLOOKUP("*赤*",商品マスタ一覧!$D:$J,7,FALSE),
VLOOKUP('盛付札（関数）'!R121,商品マスタ一覧!$D:$J,7,FALSE)))*U121),""),"")</f>
        <v/>
      </c>
      <c r="W121" s="76"/>
      <c r="X121" s="81" t="e" cm="1">
        <f t="array" aca="1" ref="X121" ca="1">IF(X38&lt;&gt;100,
IF(Y123&lt;&gt;"",MATCH(Y123,INDIRECT("数出表_Excel!B"&amp;MATCH(AC36,数出表_Excel!$A:$A,0)-1&amp;":U"&amp;MATCH(AC36,数出表_Excel!$A:$A,0)-1&amp;""),0)+1,""),
IF(Y123&lt;&gt;"",
MATCH(
IFERROR(
INDEX(INDIRECT("数出表_Excel!"&amp;X120&amp;MATCH(AC36,数出表_Excel!$A:$A,0)-1&amp;":U"&amp;MATCH(AC36,数出表_Excel!$A:$A,0)-1&amp;""),
 1,
 MATCH(TRUE, ISNUMBER(--INDIRECT("数出表_Excel!"&amp;X120&amp;MATCH(AC36,数出表_Excel!$A:$A,0)-1&amp;":U"&amp;MATCH(AC36,数出表_Excel!$A:$A,0)-1&amp;"")),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121" s="58" t="str" cm="1">
        <f t="array" aca="1" ref="Y121" ca="1">IFERROR(IF(OR(
COUNTIF(INDIRECT("数出表_Excel!" &amp;
CHAR(MATCH(TRUE,
ISNUMBER(--INDIRECT("数出表_Excel!"&amp;X120&amp;MATCH(AC36,数出表_Excel!$A:$A,0)-1&amp;":U"&amp;MATCH(AC36,数出表_Excel!$A:$A,0)-1&amp;"")),0)
+MATCH(TRUE, ISNUMBER(--INDIRECT("数出表_Excel!B" &amp; (MATCH(AC36,数出表_Excel!$A:$A,0)-1) &amp; ":U" &amp; (MATCH(AC36,数出表_Excel!$A:$A,0)-1))), 0)
+MATCH(TRUE, ISNUMBER(--INDIRECT("数出表_Excel!"&amp;X78&amp; (MATCH(AC36,数出表_Excel!$A:$A,0)-1) &amp; ":U" &amp; (MATCH(AC36,数出表_Excel!$A:$A,0)-1))), 0)
+65) &amp; "3"),"*配膳*"),
COUNTIF(INDIRECT("数出表_Excel!" &amp;
CHAR(MATCH(TRUE,
ISNUMBER(--INDIRECT("数出表_Excel!"&amp;X120&amp;MATCH(AC36,数出表_Excel!$A:$A,0)-1&amp;":U"&amp;MATCH(AC36,数出表_Excel!$A:$A,0)-1&amp;"")),0)
+MATCH(TRUE, ISNUMBER(--INDIRECT("数出表_Excel!B" &amp; (MATCH(AC36,数出表_Excel!$A:$A,0)-1) &amp; ":U" &amp; (MATCH(AC36,数出表_Excel!$A:$A,0)-1))), 0)
+MATCH(TRUE, ISNUMBER(--INDIRECT("数出表_Excel!"&amp;X78&amp; (MATCH(AC36,数出表_Excel!$A:$A,0)-1) &amp; ":U" &amp; (MATCH(AC36,数出表_Excel!$A:$A,0)-1))), 0)
+65) &amp; "3"),"*カレー*"),
COUNTIF(Y78,"*合計*")),"",
IF(IFERROR(INDIRECT("数出表_Excel!" &amp;
CHAR(MATCH(TRUE,
ISNUMBER(--INDIRECT("数出表_Excel!"&amp;X120&amp;MATCH(AC36,数出表_Excel!$A:$A,0)-1&amp;":U"&amp;MATCH(AC36,数出表_Excel!$A:$A,0)-1&amp;"")),0)
+MATCH(TRUE, ISNUMBER(--INDIRECT("数出表_Excel!B" &amp; (MATCH(AC36,数出表_Excel!$A:$A,0)-1) &amp; ":U" &amp; (MATCH(AC36,数出表_Excel!$A:$A,0)-1))), 0)
+MATCH(TRUE, ISNUMBER(--INDIRECT("数出表_Excel!"&amp;X78&amp; (MATCH(AC36,数出表_Excel!$A:$A,0)-1) &amp; ":U" &amp; (MATCH(AC36,数出表_Excel!$A:$A,0)-1))), 0)
+65) &amp; "3"),0)=0,"",
IFERROR(INDIRECT("数出表_Excel!" &amp;
CHAR(MATCH(TRUE,
ISNUMBER(--INDIRECT("数出表_Excel!"&amp;X120&amp;MATCH(AC36,数出表_Excel!$A:$A,0)-1&amp;":U"&amp;MATCH(AC36,数出表_Excel!$A:$A,0)-1&amp;"")),0)
+MATCH(TRUE, ISNUMBER(--INDIRECT("数出表_Excel!B" &amp; (MATCH(AC36,数出表_Excel!$A:$A,0)-1) &amp; ":U" &amp; (MATCH(AC36,数出表_Excel!$A:$A,0)-1))), 0)
+MATCH(TRUE, ISNUMBER(--INDIRECT("数出表_Excel!"&amp;X78&amp; (MATCH(AC36,数出表_Excel!$A:$A,0)-1) &amp; ":U" &amp; (MATCH(AC36,数出表_Excel!$A:$A,0)-1))), 0)
+65) &amp; "3"),""))),"")</f>
        <v/>
      </c>
      <c r="Z121" s="76"/>
      <c r="AA121" s="82" t="str" cm="1">
        <f t="array" aca="1" ref="AA121" ca="1">IF(AB121&lt;&gt;"","",
IF(COUNTIF(Y120,"*雙葉*"),"",
IF(Y120&lt;&gt;"",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+MATCH(TRUE,INDIRECT("'数出表_Excel'!"&amp;X120&amp;MATCH(AC36,数出表_Excel!$A:$A,0)-1&amp;":AL"&amp;MATCH(AC36,数出表_Excel!$A:$A,0)-1&amp;"")&lt;&gt;"",0))&gt;9,"",
IFERROR(
INDEX(INDIRECT("数出表_Excel!$"&amp;X120&amp;"4:$AL4"),
 1,
MATCH(TRUE,INDIRECT("'数出表_Excel'!"&amp;X120&amp;MATCH(AC36,数出表_Excel!$A:$A,0)-1&amp;":AL"&amp;MATCH(AC36,数出表_Excel!$A:$A,0)-1&amp;"")&lt;&gt;"",0)
),
 "")
&amp;IFERROR(
INDEX(INDIRECT("数出表_Excel!$"&amp;X120&amp;"5:$AL5"),
 1,
MATCH(TRUE,INDIRECT("'数出表_Excel'!"&amp;X120&amp;MATCH(AC36,数出表_Excel!$A:$A,0)-1&amp;":AL"&amp;MATCH(AC36,数出表_Excel!$A:$A,0)-1&amp;"")&lt;&gt;"",0)),
 "")),"")))</f>
        <v/>
      </c>
      <c r="AB121" s="83" t="str" cm="1">
        <f t="array" aca="1" ref="AB121" ca="1">IF(Y121&lt;&gt;"",
IF(COUNTIF(Y120,"*雙葉*"),
IF(ROUND(
IF(AB126&lt;&gt;"",(Y123-AB126),Y123)
/IF(COUNTIF(Y121,"*キャラ*"),
VLOOKUP("*キャラ*",商品マスタ一覧!$D:$J,7,FALSE),
IF(COUNTIF(Y121,"*赤*"),
VLOOKUP("*赤*",商品マスタ一覧!$D:$J,7,FALSE),
VLOOKUP(Y121,商品マスタ一覧!$D:$J,7,FALSE))),0)&lt;=0,1,
ROUND(
IF(AB126&lt;&gt;"",(Y123-AB126),Y123)
/IF(COUNTIF(Y121,"*キャラ*"),
VLOOKUP("*キャラ*",商品マスタ一覧!$D:$J,7,FALSE),
IF(COUNTIF(Y121,"*赤*"),
VLOOKUP("*赤*",商品マスタ一覧!$D:$J,7,FALSE),
VLOOKUP(Y121,商品マスタ一覧!$D:$J,7,FALSE))),0)),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IF(Y121&lt;&gt;"",
IF(IF(COUNTIF(Y121,"*キャラ*"),
VLOOKUP("*キャラ*",商品マスタ一覧!$D:$J,7,FALSE),
IF(COUNTIF(Y121,"*赤*"),
VLOOKUP("*赤*",商品マスタ一覧!$D:$J,7,FALSE),
VLOOKUP(Y121,商品マスタ一覧!$D:$J,7,FALSE)))=0,"",
IF(ROUND(
IF(AB126&lt;&gt;"",(Y123-AB126),Y123)
/IF(COUNTIF(Y121,"*キャラ*"),
VLOOKUP("*キャラ*",商品マスタ一覧!$D:$J,7,FALSE),
IF(COUNTIF(Y121,"*赤*"),
VLOOKUP("*赤*",商品マスタ一覧!$D:$J,7,FALSE),
VLOOKUP(Y121,商品マスタ一覧!$D:$J,7,FALSE))),0)&lt;=0,1,
ROUND(
IF(AB126&lt;&gt;"",(Y123-AB126),Y123)
/IF(COUNTIF(Y121,"*キャラ*"),
VLOOKUP("*キャラ*",商品マスタ一覧!$D:$J,7,FALSE),
IF(COUNTIF(Y121,"*赤*"),
VLOOKUP("*赤*",商品マスタ一覧!$D:$J,7,FALSE),
VLOOKUP(Y121,商品マスタ一覧!$D:$J,7,FALSE))),0))),""),"")),"")</f>
        <v/>
      </c>
      <c r="AC121" s="92" t="str">
        <f ca="1">IF(AB121&lt;&gt;"",IF(Y123&lt;&gt;"",IF(VALUE(IF(AB126&lt;&gt;"",Y123-AB126,Y123))&gt;VALUE(IF(COUNTIF('盛付札（関数）'!Y121,"*キャラ*"),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VLOOKUP('盛付札（関数）'!Y121,商品マスタ一覧!$D:$J,7,FALSE)))*AB121),
"+"&amp;IF(AB126&lt;&gt;"",Y123-AB126,Y123)-IF(COUNTIF('盛付札（関数）'!Y121,"*キャラ*"),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VLOOKUP('盛付札（関数）'!Y121,商品マスタ一覧!$D:$J,7,FALSE)))*AB121,
IF(AB126&lt;&gt;"",Y123-AB126,Y123)-IF(COUNTIF('盛付札（関数）'!Y121,"*キャラ*"),
VLOOKUP("*キャラ*",商品マスタ一覧!$D:$J,7,FALSE),
IF(COUNTIF('盛付札（関数）'!Y121,"*赤*"),
VLOOKUP("*赤*",商品マスタ一覧!$D:$J,7,FALSE),
VLOOKUP('盛付札（関数）'!Y121,商品マスタ一覧!$D:$J,7,FALSE)))*AB121),""),"")</f>
        <v/>
      </c>
      <c r="AF121" s="81" t="e" cm="1">
        <f t="array" aca="1" ref="AF121" ca="1">IF(AF38&lt;&gt;100,
IF(AG123&lt;&gt;"",MATCH(AG123,INDIRECT("数出表_Excel!B"&amp;MATCH(AK36,数出表_Excel!$A:$A,0)-1&amp;":U"&amp;MATCH(AK36,数出表_Excel!$A:$A,0)-1&amp;""),0)+1,""),
IF(AG123&lt;&gt;"",
MATCH(
IFERROR(
INDEX(INDIRECT("数出表_Excel!"&amp;AF120&amp;MATCH(AK36,数出表_Excel!$A:$A,0)-1&amp;":U"&amp;MATCH(AK36,数出表_Excel!$A:$A,0)-1&amp;""),
 1,
 MATCH(TRUE, ISNUMBER(--INDIRECT("数出表_Excel!"&amp;AF120&amp;MATCH(AK36,数出表_Excel!$A:$A,0)-1&amp;":U"&amp;MATCH(AK36,数出表_Excel!$A:$A,0)-1&amp;"")),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121" s="58" t="str" cm="1">
        <f t="array" aca="1" ref="AG121" ca="1">IFERROR(IF(OR(
COUNTIF(INDIRECT("数出表_Excel!" &amp;
CHAR(MATCH(TRUE,
ISNUMBER(--INDIRECT("数出表_Excel!"&amp;AF120&amp;MATCH(AK36,数出表_Excel!$A:$A,0)-1&amp;":U"&amp;MATCH(AK36,数出表_Excel!$A:$A,0)-1&amp;"")),0)
+MATCH(TRUE, ISNUMBER(--INDIRECT("数出表_Excel!B" &amp; (MATCH(AK36,数出表_Excel!$A:$A,0)-1) &amp; ":U" &amp; (MATCH(AK36,数出表_Excel!$A:$A,0)-1))), 0)
+MATCH(TRUE, ISNUMBER(--INDIRECT("数出表_Excel!"&amp;AF78&amp; (MATCH(AK36,数出表_Excel!$A:$A,0)-1) &amp; ":U" &amp; (MATCH(AK36,数出表_Excel!$A:$A,0)-1))), 0)
+65) &amp; "3"),"*配膳*"),
COUNTIF(INDIRECT("数出表_Excel!" &amp;
CHAR(MATCH(TRUE,
ISNUMBER(--INDIRECT("数出表_Excel!"&amp;AF120&amp;MATCH(AK36,数出表_Excel!$A:$A,0)-1&amp;":U"&amp;MATCH(AK36,数出表_Excel!$A:$A,0)-1&amp;"")),0)
+MATCH(TRUE, ISNUMBER(--INDIRECT("数出表_Excel!B" &amp; (MATCH(AK36,数出表_Excel!$A:$A,0)-1) &amp; ":U" &amp; (MATCH(AK36,数出表_Excel!$A:$A,0)-1))), 0)
+MATCH(TRUE, ISNUMBER(--INDIRECT("数出表_Excel!"&amp;AF78&amp; (MATCH(AK36,数出表_Excel!$A:$A,0)-1) &amp; ":U" &amp; (MATCH(AK36,数出表_Excel!$A:$A,0)-1))), 0)
+65) &amp; "3"),"*カレー*"),
COUNTIF(AG78,"*合計*")),"",
IF(IFERROR(INDIRECT("数出表_Excel!" &amp;
CHAR(MATCH(TRUE,
ISNUMBER(--INDIRECT("数出表_Excel!"&amp;AF120&amp;MATCH(AK36,数出表_Excel!$A:$A,0)-1&amp;":U"&amp;MATCH(AK36,数出表_Excel!$A:$A,0)-1&amp;"")),0)
+MATCH(TRUE, ISNUMBER(--INDIRECT("数出表_Excel!B" &amp; (MATCH(AK36,数出表_Excel!$A:$A,0)-1) &amp; ":U" &amp; (MATCH(AK36,数出表_Excel!$A:$A,0)-1))), 0)
+MATCH(TRUE, ISNUMBER(--INDIRECT("数出表_Excel!"&amp;AF78&amp; (MATCH(AK36,数出表_Excel!$A:$A,0)-1) &amp; ":U" &amp; (MATCH(AK36,数出表_Excel!$A:$A,0)-1))), 0)
+65) &amp; "3"),0)=0,"",
IFERROR(INDIRECT("数出表_Excel!" &amp;
CHAR(MATCH(TRUE,
ISNUMBER(--INDIRECT("数出表_Excel!"&amp;AF120&amp;MATCH(AK36,数出表_Excel!$A:$A,0)-1&amp;":U"&amp;MATCH(AK36,数出表_Excel!$A:$A,0)-1&amp;"")),0)
+MATCH(TRUE, ISNUMBER(--INDIRECT("数出表_Excel!B" &amp; (MATCH(AK36,数出表_Excel!$A:$A,0)-1) &amp; ":U" &amp; (MATCH(AK36,数出表_Excel!$A:$A,0)-1))), 0)
+MATCH(TRUE, ISNUMBER(--INDIRECT("数出表_Excel!"&amp;AF78&amp; (MATCH(AK36,数出表_Excel!$A:$A,0)-1) &amp; ":U" &amp; (MATCH(AK36,数出表_Excel!$A:$A,0)-1))), 0)
+65) &amp; "3"),""))),"")</f>
        <v/>
      </c>
      <c r="AH121" s="76"/>
      <c r="AI121" s="82" t="str" cm="1">
        <f t="array" aca="1" ref="AI121" ca="1">IF(AJ121&lt;&gt;"","",
IF(COUNTIF(AG120,"*雙葉*"),"",
IF(AG120&lt;&gt;"",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+MATCH(TRUE,INDIRECT("'数出表_Excel'!"&amp;AF120&amp;MATCH(AK36,数出表_Excel!$A:$A,0)-1&amp;":AL"&amp;MATCH(AK36,数出表_Excel!$A:$A,0)-1&amp;"")&lt;&gt;"",0))&gt;9,"",
IFERROR(
INDEX(INDIRECT("数出表_Excel!$"&amp;AF120&amp;"4:$AL4"),
 1,
MATCH(TRUE,INDIRECT("'数出表_Excel'!"&amp;AF120&amp;MATCH(AK36,数出表_Excel!$A:$A,0)-1&amp;":AL"&amp;MATCH(AK36,数出表_Excel!$A:$A,0)-1&amp;"")&lt;&gt;"",0)
),
 "")
&amp;IFERROR(
INDEX(INDIRECT("数出表_Excel!$"&amp;AF120&amp;"5:$AL5"),
 1,
MATCH(TRUE,INDIRECT("'数出表_Excel'!"&amp;AF120&amp;MATCH(AK36,数出表_Excel!$A:$A,0)-1&amp;":AL"&amp;MATCH(AK36,数出表_Excel!$A:$A,0)-1&amp;"")&lt;&gt;"",0)),
 "")),"")))</f>
        <v/>
      </c>
      <c r="AJ121" s="83" t="str" cm="1">
        <f t="array" aca="1" ref="AJ121" ca="1">IF(AG121&lt;&gt;"",
IF(COUNTIF(AG120,"*雙葉*"),
IF(ROUND(
IF(AJ126&lt;&gt;"",(AG123-AJ126),AG123)
/IF(COUNTIF(AG121,"*キャラ*"),
VLOOKUP("*キャラ*",商品マスタ一覧!$D:$J,7,FALSE),
IF(COUNTIF(AG121,"*赤*"),
VLOOKUP("*赤*",商品マスタ一覧!$D:$J,7,FALSE),
VLOOKUP(AG121,商品マスタ一覧!$D:$J,7,FALSE))),0)&lt;=0,1,
ROUND(
IF(AJ126&lt;&gt;"",(AG123-AJ126),AG123)
/IF(COUNTIF(AG121,"*キャラ*"),
VLOOKUP("*キャラ*",商品マスタ一覧!$D:$J,7,FALSE),
IF(COUNTIF(AG121,"*赤*"),
VLOOKUP("*赤*",商品マスタ一覧!$D:$J,7,FALSE),
VLOOKUP(AG121,商品マスタ一覧!$D:$J,7,FALSE))),0)),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IF(AG121&lt;&gt;"",
IF(IF(COUNTIF(AG121,"*キャラ*"),
VLOOKUP("*キャラ*",商品マスタ一覧!$D:$J,7,FALSE),
IF(COUNTIF(AG121,"*赤*"),
VLOOKUP("*赤*",商品マスタ一覧!$D:$J,7,FALSE),
VLOOKUP(AG121,商品マスタ一覧!$D:$J,7,FALSE)))=0,"",
IF(ROUND(
IF(AJ126&lt;&gt;"",(AG123-AJ126),AG123)
/IF(COUNTIF(AG121,"*キャラ*"),
VLOOKUP("*キャラ*",商品マスタ一覧!$D:$J,7,FALSE),
IF(COUNTIF(AG121,"*赤*"),
VLOOKUP("*赤*",商品マスタ一覧!$D:$J,7,FALSE),
VLOOKUP(AG121,商品マスタ一覧!$D:$J,7,FALSE))),0)&lt;=0,1,
ROUND(
IF(AJ126&lt;&gt;"",(AG123-AJ126),AG123)
/IF(COUNTIF(AG121,"*キャラ*"),
VLOOKUP("*キャラ*",商品マスタ一覧!$D:$J,7,FALSE),
IF(COUNTIF(AG121,"*赤*"),
VLOOKUP("*赤*",商品マスタ一覧!$D:$J,7,FALSE),
VLOOKUP(AG121,商品マスタ一覧!$D:$J,7,FALSE))),0))),""),"")),"")</f>
        <v/>
      </c>
      <c r="AK121" s="92" t="str">
        <f ca="1">IF(AJ121&lt;&gt;"",IF(AG123&lt;&gt;"",IF(VALUE(IF(AJ126&lt;&gt;"",AG123-AJ126,AG123))&gt;VALUE(IF(COUNTIF('盛付札（関数）'!AG121,"*キャラ*"),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VLOOKUP('盛付札（関数）'!AG121,商品マスタ一覧!$D:$J,7,FALSE)))*AJ121),
"+"&amp;IF(AJ126&lt;&gt;"",AG123-AJ126,AG123)-IF(COUNTIF('盛付札（関数）'!AG121,"*キャラ*"),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VLOOKUP('盛付札（関数）'!AG121,商品マスタ一覧!$D:$J,7,FALSE)))*AJ121,
IF(AJ126&lt;&gt;"",AG123-AJ126,AG123)-IF(COUNTIF('盛付札（関数）'!AG121,"*キャラ*"),
VLOOKUP("*キャラ*",商品マスタ一覧!$D:$J,7,FALSE),
IF(COUNTIF('盛付札（関数）'!AG121,"*赤*"),
VLOOKUP("*赤*",商品マスタ一覧!$D:$J,7,FALSE),
VLOOKUP('盛付札（関数）'!AG121,商品マスタ一覧!$D:$J,7,FALSE)))*AJ121),""),"")</f>
        <v/>
      </c>
      <c r="AL121" s="76"/>
      <c r="AM121" s="81" t="e" cm="1">
        <f t="array" aca="1" ref="AM121" ca="1">IF(AM38&lt;&gt;100,
IF(AN123&lt;&gt;"",MATCH(AN123,INDIRECT("数出表_Excel!B"&amp;MATCH(AR36,数出表_Excel!$A:$A,0)-1&amp;":U"&amp;MATCH(AR36,数出表_Excel!$A:$A,0)-1&amp;""),0)+1,""),
IF(AN123&lt;&gt;"",
MATCH(
IFERROR(
INDEX(INDIRECT("数出表_Excel!"&amp;AM120&amp;MATCH(AR36,数出表_Excel!$A:$A,0)-1&amp;":U"&amp;MATCH(AR36,数出表_Excel!$A:$A,0)-1&amp;""),
 1,
 MATCH(TRUE, ISNUMBER(--INDIRECT("数出表_Excel!"&amp;AM120&amp;MATCH(AR36,数出表_Excel!$A:$A,0)-1&amp;":U"&amp;MATCH(AR36,数出表_Excel!$A:$A,0)-1&amp;"")),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121" s="58" t="str" cm="1">
        <f t="array" aca="1" ref="AN121" ca="1">IFERROR(IF(OR(
COUNTIF(INDIRECT("数出表_Excel!" &amp;
CHAR(MATCH(TRUE,
ISNUMBER(--INDIRECT("数出表_Excel!"&amp;AM120&amp;MATCH(AR36,数出表_Excel!$A:$A,0)-1&amp;":U"&amp;MATCH(AR36,数出表_Excel!$A:$A,0)-1&amp;"")),0)
+MATCH(TRUE, ISNUMBER(--INDIRECT("数出表_Excel!B" &amp; (MATCH(AR36,数出表_Excel!$A:$A,0)-1) &amp; ":U" &amp; (MATCH(AR36,数出表_Excel!$A:$A,0)-1))), 0)
+MATCH(TRUE, ISNUMBER(--INDIRECT("数出表_Excel!"&amp;AM78&amp; (MATCH(AR36,数出表_Excel!$A:$A,0)-1) &amp; ":U" &amp; (MATCH(AR36,数出表_Excel!$A:$A,0)-1))), 0)
+65) &amp; "3"),"*配膳*"),
COUNTIF(INDIRECT("数出表_Excel!" &amp;
CHAR(MATCH(TRUE,
ISNUMBER(--INDIRECT("数出表_Excel!"&amp;AM120&amp;MATCH(AR36,数出表_Excel!$A:$A,0)-1&amp;":U"&amp;MATCH(AR36,数出表_Excel!$A:$A,0)-1&amp;"")),0)
+MATCH(TRUE, ISNUMBER(--INDIRECT("数出表_Excel!B" &amp; (MATCH(AR36,数出表_Excel!$A:$A,0)-1) &amp; ":U" &amp; (MATCH(AR36,数出表_Excel!$A:$A,0)-1))), 0)
+MATCH(TRUE, ISNUMBER(--INDIRECT("数出表_Excel!"&amp;AM78&amp; (MATCH(AR36,数出表_Excel!$A:$A,0)-1) &amp; ":U" &amp; (MATCH(AR36,数出表_Excel!$A:$A,0)-1))), 0)
+65) &amp; "3"),"*カレー*"),
COUNTIF(AN78,"*合計*")),"",
IF(IFERROR(INDIRECT("数出表_Excel!" &amp;
CHAR(MATCH(TRUE,
ISNUMBER(--INDIRECT("数出表_Excel!"&amp;AM120&amp;MATCH(AR36,数出表_Excel!$A:$A,0)-1&amp;":U"&amp;MATCH(AR36,数出表_Excel!$A:$A,0)-1&amp;"")),0)
+MATCH(TRUE, ISNUMBER(--INDIRECT("数出表_Excel!B" &amp; (MATCH(AR36,数出表_Excel!$A:$A,0)-1) &amp; ":U" &amp; (MATCH(AR36,数出表_Excel!$A:$A,0)-1))), 0)
+MATCH(TRUE, ISNUMBER(--INDIRECT("数出表_Excel!"&amp;AM78&amp; (MATCH(AR36,数出表_Excel!$A:$A,0)-1) &amp; ":U" &amp; (MATCH(AR36,数出表_Excel!$A:$A,0)-1))), 0)
+65) &amp; "3"),0)=0,"",
IFERROR(INDIRECT("数出表_Excel!" &amp;
CHAR(MATCH(TRUE,
ISNUMBER(--INDIRECT("数出表_Excel!"&amp;AM120&amp;MATCH(AR36,数出表_Excel!$A:$A,0)-1&amp;":U"&amp;MATCH(AR36,数出表_Excel!$A:$A,0)-1&amp;"")),0)
+MATCH(TRUE, ISNUMBER(--INDIRECT("数出表_Excel!B" &amp; (MATCH(AR36,数出表_Excel!$A:$A,0)-1) &amp; ":U" &amp; (MATCH(AR36,数出表_Excel!$A:$A,0)-1))), 0)
+MATCH(TRUE, ISNUMBER(--INDIRECT("数出表_Excel!"&amp;AM78&amp; (MATCH(AR36,数出表_Excel!$A:$A,0)-1) &amp; ":U" &amp; (MATCH(AR36,数出表_Excel!$A:$A,0)-1))), 0)
+65) &amp; "3"),""))),"")</f>
        <v/>
      </c>
      <c r="AO121" s="76"/>
      <c r="AP121" s="82" t="str" cm="1">
        <f t="array" aca="1" ref="AP121" ca="1">IF(AQ121&lt;&gt;"","",
IF(COUNTIF(AN120,"*雙葉*"),"",
IF(AN120&lt;&gt;"",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+MATCH(TRUE,INDIRECT("'数出表_Excel'!"&amp;AM120&amp;MATCH(AR36,数出表_Excel!$A:$A,0)-1&amp;":AL"&amp;MATCH(AR36,数出表_Excel!$A:$A,0)-1&amp;"")&lt;&gt;"",0))&gt;9,"",
IFERROR(
INDEX(INDIRECT("数出表_Excel!$"&amp;AM120&amp;"4:$AL4"),
 1,
MATCH(TRUE,INDIRECT("'数出表_Excel'!"&amp;AM120&amp;MATCH(AR36,数出表_Excel!$A:$A,0)-1&amp;":AL"&amp;MATCH(AR36,数出表_Excel!$A:$A,0)-1&amp;"")&lt;&gt;"",0)
),
 "")
&amp;IFERROR(
INDEX(INDIRECT("数出表_Excel!$"&amp;AM120&amp;"5:$AL5"),
 1,
MATCH(TRUE,INDIRECT("'数出表_Excel'!"&amp;AM120&amp;MATCH(AR36,数出表_Excel!$A:$A,0)-1&amp;":AL"&amp;MATCH(AR36,数出表_Excel!$A:$A,0)-1&amp;"")&lt;&gt;"",0)),
 "")),"")))</f>
        <v/>
      </c>
      <c r="AQ121" s="83" t="str" cm="1">
        <f t="array" aca="1" ref="AQ121" ca="1">IF(AN121&lt;&gt;"",
IF(COUNTIF(AN120,"*雙葉*"),
IF(ROUND(
IF(AQ126&lt;&gt;"",(AN123-AQ126),AN123)
/IF(COUNTIF(AN121,"*キャラ*"),
VLOOKUP("*キャラ*",商品マスタ一覧!$D:$J,7,FALSE),
IF(COUNTIF(AN121,"*赤*"),
VLOOKUP("*赤*",商品マスタ一覧!$D:$J,7,FALSE),
VLOOKUP(AN121,商品マスタ一覧!$D:$J,7,FALSE))),0)&lt;=0,1,
ROUND(
IF(AQ126&lt;&gt;"",(AN123-AQ126),AN123)
/IF(COUNTIF(AN121,"*キャラ*"),
VLOOKUP("*キャラ*",商品マスタ一覧!$D:$J,7,FALSE),
IF(COUNTIF(AN121,"*赤*"),
VLOOKUP("*赤*",商品マスタ一覧!$D:$J,7,FALSE),
VLOOKUP(AN121,商品マスタ一覧!$D:$J,7,FALSE))),0)),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IF(AN121&lt;&gt;"",
IF(IF(COUNTIF(AN121,"*キャラ*"),
VLOOKUP("*キャラ*",商品マスタ一覧!$D:$J,7,FALSE),
IF(COUNTIF(AN121,"*赤*"),
VLOOKUP("*赤*",商品マスタ一覧!$D:$J,7,FALSE),
VLOOKUP(AN121,商品マスタ一覧!$D:$J,7,FALSE)))=0,"",
IF(ROUND(
IF(AQ126&lt;&gt;"",(AN123-AQ126),AN123)
/IF(COUNTIF(AN121,"*キャラ*"),
VLOOKUP("*キャラ*",商品マスタ一覧!$D:$J,7,FALSE),
IF(COUNTIF(AN121,"*赤*"),
VLOOKUP("*赤*",商品マスタ一覧!$D:$J,7,FALSE),
VLOOKUP(AN121,商品マスタ一覧!$D:$J,7,FALSE))),0)&lt;=0,1,
ROUND(
IF(AQ126&lt;&gt;"",(AN123-AQ126),AN123)
/IF(COUNTIF(AN121,"*キャラ*"),
VLOOKUP("*キャラ*",商品マスタ一覧!$D:$J,7,FALSE),
IF(COUNTIF(AN121,"*赤*"),
VLOOKUP("*赤*",商品マスタ一覧!$D:$J,7,FALSE),
VLOOKUP(AN121,商品マスタ一覧!$D:$J,7,FALSE))),0))),""),"")),"")</f>
        <v/>
      </c>
      <c r="AR121" s="92" t="str">
        <f ca="1">IF(AQ121&lt;&gt;"",IF(AN123&lt;&gt;"",IF(VALUE(IF(AQ126&lt;&gt;"",AN123-AQ126,AN123))&gt;VALUE(IF(COUNTIF('盛付札（関数）'!AN121,"*キャラ*"),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VLOOKUP('盛付札（関数）'!AN121,商品マスタ一覧!$D:$J,7,FALSE)))*AQ121),
"+"&amp;IF(AQ126&lt;&gt;"",AN123-AQ126,AN123)-IF(COUNTIF('盛付札（関数）'!AN121,"*キャラ*"),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VLOOKUP('盛付札（関数）'!AN121,商品マスタ一覧!$D:$J,7,FALSE)))*AQ121,
IF(AQ126&lt;&gt;"",AN123-AQ126,AN123)-IF(COUNTIF('盛付札（関数）'!AN121,"*キャラ*"),
VLOOKUP("*キャラ*",商品マスタ一覧!$D:$J,7,FALSE),
IF(COUNTIF('盛付札（関数）'!AN121,"*赤*"),
VLOOKUP("*赤*",商品マスタ一覧!$D:$J,7,FALSE),
VLOOKUP('盛付札（関数）'!AN121,商品マスタ一覧!$D:$J,7,FALSE)))*AQ121),""),"")</f>
        <v/>
      </c>
      <c r="AU121" s="81" t="e" cm="1">
        <f t="array" aca="1" ref="AU121" ca="1">IF(AU38&lt;&gt;100,
IF(AV123&lt;&gt;"",MATCH(AV123,INDIRECT("数出表_Excel!B"&amp;MATCH(AZ36,数出表_Excel!$A:$A,0)-1&amp;":U"&amp;MATCH(AZ36,数出表_Excel!$A:$A,0)-1&amp;""),0)+1,""),
IF(AV123&lt;&gt;"",
MATCH(
IFERROR(
INDEX(INDIRECT("数出表_Excel!"&amp;AU120&amp;MATCH(AZ36,数出表_Excel!$A:$A,0)-1&amp;":U"&amp;MATCH(AZ36,数出表_Excel!$A:$A,0)-1&amp;""),
 1,
 MATCH(TRUE, ISNUMBER(--INDIRECT("数出表_Excel!"&amp;AU120&amp;MATCH(AZ36,数出表_Excel!$A:$A,0)-1&amp;":U"&amp;MATCH(AZ36,数出表_Excel!$A:$A,0)-1&amp;"")),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121" s="58" t="str" cm="1">
        <f t="array" aca="1" ref="AV121" ca="1">IFERROR(IF(OR(
COUNTIF(INDIRECT("数出表_Excel!" &amp;
CHAR(MATCH(TRUE,
ISNUMBER(--INDIRECT("数出表_Excel!"&amp;AU120&amp;MATCH(AZ36,数出表_Excel!$A:$A,0)-1&amp;":U"&amp;MATCH(AZ36,数出表_Excel!$A:$A,0)-1&amp;"")),0)
+MATCH(TRUE, ISNUMBER(--INDIRECT("数出表_Excel!B" &amp; (MATCH(AZ36,数出表_Excel!$A:$A,0)-1) &amp; ":U" &amp; (MATCH(AZ36,数出表_Excel!$A:$A,0)-1))), 0)
+MATCH(TRUE, ISNUMBER(--INDIRECT("数出表_Excel!"&amp;AU78&amp; (MATCH(AZ36,数出表_Excel!$A:$A,0)-1) &amp; ":U" &amp; (MATCH(AZ36,数出表_Excel!$A:$A,0)-1))), 0)
+65) &amp; "3"),"*配膳*"),
COUNTIF(INDIRECT("数出表_Excel!" &amp;
CHAR(MATCH(TRUE,
ISNUMBER(--INDIRECT("数出表_Excel!"&amp;AU120&amp;MATCH(AZ36,数出表_Excel!$A:$A,0)-1&amp;":U"&amp;MATCH(AZ36,数出表_Excel!$A:$A,0)-1&amp;"")),0)
+MATCH(TRUE, ISNUMBER(--INDIRECT("数出表_Excel!B" &amp; (MATCH(AZ36,数出表_Excel!$A:$A,0)-1) &amp; ":U" &amp; (MATCH(AZ36,数出表_Excel!$A:$A,0)-1))), 0)
+MATCH(TRUE, ISNUMBER(--INDIRECT("数出表_Excel!"&amp;AU78&amp; (MATCH(AZ36,数出表_Excel!$A:$A,0)-1) &amp; ":U" &amp; (MATCH(AZ36,数出表_Excel!$A:$A,0)-1))), 0)
+65) &amp; "3"),"*カレー*"),
COUNTIF(AV78,"*合計*")),"",
IF(IFERROR(INDIRECT("数出表_Excel!" &amp;
CHAR(MATCH(TRUE,
ISNUMBER(--INDIRECT("数出表_Excel!"&amp;AU120&amp;MATCH(AZ36,数出表_Excel!$A:$A,0)-1&amp;":U"&amp;MATCH(AZ36,数出表_Excel!$A:$A,0)-1&amp;"")),0)
+MATCH(TRUE, ISNUMBER(--INDIRECT("数出表_Excel!B" &amp; (MATCH(AZ36,数出表_Excel!$A:$A,0)-1) &amp; ":U" &amp; (MATCH(AZ36,数出表_Excel!$A:$A,0)-1))), 0)
+MATCH(TRUE, ISNUMBER(--INDIRECT("数出表_Excel!"&amp;AU78&amp; (MATCH(AZ36,数出表_Excel!$A:$A,0)-1) &amp; ":U" &amp; (MATCH(AZ36,数出表_Excel!$A:$A,0)-1))), 0)
+65) &amp; "3"),0)=0,"",
IFERROR(INDIRECT("数出表_Excel!" &amp;
CHAR(MATCH(TRUE,
ISNUMBER(--INDIRECT("数出表_Excel!"&amp;AU120&amp;MATCH(AZ36,数出表_Excel!$A:$A,0)-1&amp;":U"&amp;MATCH(AZ36,数出表_Excel!$A:$A,0)-1&amp;"")),0)
+MATCH(TRUE, ISNUMBER(--INDIRECT("数出表_Excel!B" &amp; (MATCH(AZ36,数出表_Excel!$A:$A,0)-1) &amp; ":U" &amp; (MATCH(AZ36,数出表_Excel!$A:$A,0)-1))), 0)
+MATCH(TRUE, ISNUMBER(--INDIRECT("数出表_Excel!"&amp;AU78&amp; (MATCH(AZ36,数出表_Excel!$A:$A,0)-1) &amp; ":U" &amp; (MATCH(AZ36,数出表_Excel!$A:$A,0)-1))), 0)
+65) &amp; "3"),""))),"")</f>
        <v/>
      </c>
      <c r="AW121" s="76"/>
      <c r="AX121" s="82" t="str" cm="1">
        <f t="array" aca="1" ref="AX121" ca="1">IF(AY121&lt;&gt;"","",
IF(COUNTIF(AV120,"*雙葉*"),"",
IF(AV120&lt;&gt;"",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+MATCH(TRUE,INDIRECT("'数出表_Excel'!"&amp;AU120&amp;MATCH(AZ36,数出表_Excel!$A:$A,0)-1&amp;":AL"&amp;MATCH(AZ36,数出表_Excel!$A:$A,0)-1&amp;"")&lt;&gt;"",0))&gt;9,"",
IFERROR(
INDEX(INDIRECT("数出表_Excel!$"&amp;AU120&amp;"4:$AL4"),
 1,
MATCH(TRUE,INDIRECT("'数出表_Excel'!"&amp;AU120&amp;MATCH(AZ36,数出表_Excel!$A:$A,0)-1&amp;":AL"&amp;MATCH(AZ36,数出表_Excel!$A:$A,0)-1&amp;"")&lt;&gt;"",0)
),
 "")
&amp;IFERROR(
INDEX(INDIRECT("数出表_Excel!$"&amp;AU120&amp;"5:$AL5"),
 1,
MATCH(TRUE,INDIRECT("'数出表_Excel'!"&amp;AU120&amp;MATCH(AZ36,数出表_Excel!$A:$A,0)-1&amp;":AL"&amp;MATCH(AZ36,数出表_Excel!$A:$A,0)-1&amp;"")&lt;&gt;"",0)),
 "")),"")))</f>
        <v/>
      </c>
      <c r="AY121" s="83" t="str" cm="1">
        <f t="array" aca="1" ref="AY121" ca="1">IF(AV121&lt;&gt;"",
IF(COUNTIF(AV120,"*雙葉*"),
IF(ROUND(
IF(AY126&lt;&gt;"",(AV123-AY126),AV123)
/IF(COUNTIF(AV121,"*キャラ*"),
VLOOKUP("*キャラ*",商品マスタ一覧!$D:$J,7,FALSE),
IF(COUNTIF(AV121,"*赤*"),
VLOOKUP("*赤*",商品マスタ一覧!$D:$J,7,FALSE),
VLOOKUP(AV121,商品マスタ一覧!$D:$J,7,FALSE))),0)&lt;=0,1,
ROUND(
IF(AY126&lt;&gt;"",(AV123-AY126),AV123)
/IF(COUNTIF(AV121,"*キャラ*"),
VLOOKUP("*キャラ*",商品マスタ一覧!$D:$J,7,FALSE),
IF(COUNTIF(AV121,"*赤*"),
VLOOKUP("*赤*",商品マスタ一覧!$D:$J,7,FALSE),
VLOOKUP(AV121,商品マスタ一覧!$D:$J,7,FALSE))),0)),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IF(AV121&lt;&gt;"",
IF(IF(COUNTIF(AV121,"*キャラ*"),
VLOOKUP("*キャラ*",商品マスタ一覧!$D:$J,7,FALSE),
IF(COUNTIF(AV121,"*赤*"),
VLOOKUP("*赤*",商品マスタ一覧!$D:$J,7,FALSE),
VLOOKUP(AV121,商品マスタ一覧!$D:$J,7,FALSE)))=0,"",
IF(ROUND(
IF(AY126&lt;&gt;"",(AV123-AY126),AV123)
/IF(COUNTIF(AV121,"*キャラ*"),
VLOOKUP("*キャラ*",商品マスタ一覧!$D:$J,7,FALSE),
IF(COUNTIF(AV121,"*赤*"),
VLOOKUP("*赤*",商品マスタ一覧!$D:$J,7,FALSE),
VLOOKUP(AV121,商品マスタ一覧!$D:$J,7,FALSE))),0)&lt;=0,1,
ROUND(
IF(AY126&lt;&gt;"",(AV123-AY126),AV123)
/IF(COUNTIF(AV121,"*キャラ*"),
VLOOKUP("*キャラ*",商品マスタ一覧!$D:$J,7,FALSE),
IF(COUNTIF(AV121,"*赤*"),
VLOOKUP("*赤*",商品マスタ一覧!$D:$J,7,FALSE),
VLOOKUP(AV121,商品マスタ一覧!$D:$J,7,FALSE))),0))),""),"")),"")</f>
        <v/>
      </c>
      <c r="AZ121" s="92" t="str">
        <f ca="1">IF(AY121&lt;&gt;"",IF(AV123&lt;&gt;"",IF(VALUE(IF(AY126&lt;&gt;"",AV123-AY126,AV123))&gt;VALUE(IF(COUNTIF('盛付札（関数）'!AV121,"*キャラ*"),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VLOOKUP('盛付札（関数）'!AV121,商品マスタ一覧!$D:$J,7,FALSE)))*AY121),
"+"&amp;IF(AY126&lt;&gt;"",AV123-AY126,AV123)-IF(COUNTIF('盛付札（関数）'!AV121,"*キャラ*"),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VLOOKUP('盛付札（関数）'!AV121,商品マスタ一覧!$D:$J,7,FALSE)))*AY121,
IF(AY126&lt;&gt;"",AV123-AY126,AV123)-IF(COUNTIF('盛付札（関数）'!AV121,"*キャラ*"),
VLOOKUP("*キャラ*",商品マスタ一覧!$D:$J,7,FALSE),
IF(COUNTIF('盛付札（関数）'!AV121,"*赤*"),
VLOOKUP("*赤*",商品マスタ一覧!$D:$J,7,FALSE),
VLOOKUP('盛付札（関数）'!AV121,商品マスタ一覧!$D:$J,7,FALSE)))*AY121),""),"")</f>
        <v/>
      </c>
      <c r="BA121" s="76"/>
      <c r="BB121" s="81" t="e" cm="1">
        <f t="array" aca="1" ref="BB121" ca="1">IF(BB38&lt;&gt;100,
IF(BC123&lt;&gt;"",MATCH(BC123,INDIRECT("数出表_Excel!B"&amp;MATCH(BG36,数出表_Excel!$A:$A,0)-1&amp;":U"&amp;MATCH(BG36,数出表_Excel!$A:$A,0)-1&amp;""),0)+1,""),
IF(BC123&lt;&gt;"",
MATCH(
IFERROR(
INDEX(INDIRECT("数出表_Excel!"&amp;BB120&amp;MATCH(BG36,数出表_Excel!$A:$A,0)-1&amp;":U"&amp;MATCH(BG36,数出表_Excel!$A:$A,0)-1&amp;""),
 1,
 MATCH(TRUE, ISNUMBER(--INDIRECT("数出表_Excel!"&amp;BB120&amp;MATCH(BG36,数出表_Excel!$A:$A,0)-1&amp;":U"&amp;MATCH(BG36,数出表_Excel!$A:$A,0)-1&amp;"")),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121" s="58" t="str" cm="1">
        <f t="array" aca="1" ref="BC121" ca="1">IFERROR(IF(OR(
COUNTIF(INDIRECT("数出表_Excel!" &amp;
CHAR(MATCH(TRUE,
ISNUMBER(--INDIRECT("数出表_Excel!"&amp;BB120&amp;MATCH(BG36,数出表_Excel!$A:$A,0)-1&amp;":U"&amp;MATCH(BG36,数出表_Excel!$A:$A,0)-1&amp;"")),0)
+MATCH(TRUE, ISNUMBER(--INDIRECT("数出表_Excel!B" &amp; (MATCH(BG36,数出表_Excel!$A:$A,0)-1) &amp; ":U" &amp; (MATCH(BG36,数出表_Excel!$A:$A,0)-1))), 0)
+MATCH(TRUE, ISNUMBER(--INDIRECT("数出表_Excel!"&amp;BB78&amp; (MATCH(BG36,数出表_Excel!$A:$A,0)-1) &amp; ":U" &amp; (MATCH(BG36,数出表_Excel!$A:$A,0)-1))), 0)
+65) &amp; "3"),"*配膳*"),
COUNTIF(INDIRECT("数出表_Excel!" &amp;
CHAR(MATCH(TRUE,
ISNUMBER(--INDIRECT("数出表_Excel!"&amp;BB120&amp;MATCH(BG36,数出表_Excel!$A:$A,0)-1&amp;":U"&amp;MATCH(BG36,数出表_Excel!$A:$A,0)-1&amp;"")),0)
+MATCH(TRUE, ISNUMBER(--INDIRECT("数出表_Excel!B" &amp; (MATCH(BG36,数出表_Excel!$A:$A,0)-1) &amp; ":U" &amp; (MATCH(BG36,数出表_Excel!$A:$A,0)-1))), 0)
+MATCH(TRUE, ISNUMBER(--INDIRECT("数出表_Excel!"&amp;BB78&amp; (MATCH(BG36,数出表_Excel!$A:$A,0)-1) &amp; ":U" &amp; (MATCH(BG36,数出表_Excel!$A:$A,0)-1))), 0)
+65) &amp; "3"),"*カレー*"),
COUNTIF(BC78,"*合計*")),"",
IF(IFERROR(INDIRECT("数出表_Excel!" &amp;
CHAR(MATCH(TRUE,
ISNUMBER(--INDIRECT("数出表_Excel!"&amp;BB120&amp;MATCH(BG36,数出表_Excel!$A:$A,0)-1&amp;":U"&amp;MATCH(BG36,数出表_Excel!$A:$A,0)-1&amp;"")),0)
+MATCH(TRUE, ISNUMBER(--INDIRECT("数出表_Excel!B" &amp; (MATCH(BG36,数出表_Excel!$A:$A,0)-1) &amp; ":U" &amp; (MATCH(BG36,数出表_Excel!$A:$A,0)-1))), 0)
+MATCH(TRUE, ISNUMBER(--INDIRECT("数出表_Excel!"&amp;BB78&amp; (MATCH(BG36,数出表_Excel!$A:$A,0)-1) &amp; ":U" &amp; (MATCH(BG36,数出表_Excel!$A:$A,0)-1))), 0)
+65) &amp; "3"),0)=0,"",
IFERROR(INDIRECT("数出表_Excel!" &amp;
CHAR(MATCH(TRUE,
ISNUMBER(--INDIRECT("数出表_Excel!"&amp;BB120&amp;MATCH(BG36,数出表_Excel!$A:$A,0)-1&amp;":U"&amp;MATCH(BG36,数出表_Excel!$A:$A,0)-1&amp;"")),0)
+MATCH(TRUE, ISNUMBER(--INDIRECT("数出表_Excel!B" &amp; (MATCH(BG36,数出表_Excel!$A:$A,0)-1) &amp; ":U" &amp; (MATCH(BG36,数出表_Excel!$A:$A,0)-1))), 0)
+MATCH(TRUE, ISNUMBER(--INDIRECT("数出表_Excel!"&amp;BB78&amp; (MATCH(BG36,数出表_Excel!$A:$A,0)-1) &amp; ":U" &amp; (MATCH(BG36,数出表_Excel!$A:$A,0)-1))), 0)
+65) &amp; "3"),""))),"")</f>
        <v/>
      </c>
      <c r="BD121" s="76"/>
      <c r="BE121" s="82" t="str" cm="1">
        <f t="array" aca="1" ref="BE121" ca="1">IF(BF121&lt;&gt;"","",
IF(COUNTIF(BC120,"*雙葉*"),"",
IF(BC120&lt;&gt;"",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+MATCH(TRUE,INDIRECT("'数出表_Excel'!"&amp;BB120&amp;MATCH(BG36,数出表_Excel!$A:$A,0)-1&amp;":AL"&amp;MATCH(BG36,数出表_Excel!$A:$A,0)-1&amp;"")&lt;&gt;"",0))&gt;9,"",
IFERROR(
INDEX(INDIRECT("数出表_Excel!$"&amp;BB120&amp;"4:$AL4"),
 1,
MATCH(TRUE,INDIRECT("'数出表_Excel'!"&amp;BB120&amp;MATCH(BG36,数出表_Excel!$A:$A,0)-1&amp;":AL"&amp;MATCH(BG36,数出表_Excel!$A:$A,0)-1&amp;"")&lt;&gt;"",0)
),
 "")
&amp;IFERROR(
INDEX(INDIRECT("数出表_Excel!$"&amp;BB120&amp;"5:$AL5"),
 1,
MATCH(TRUE,INDIRECT("'数出表_Excel'!"&amp;BB120&amp;MATCH(BG36,数出表_Excel!$A:$A,0)-1&amp;":AL"&amp;MATCH(BG36,数出表_Excel!$A:$A,0)-1&amp;"")&lt;&gt;"",0)),
 "")),"")))</f>
        <v/>
      </c>
      <c r="BF121" s="83" t="str" cm="1">
        <f t="array" aca="1" ref="BF121" ca="1">IF(BC121&lt;&gt;"",
IF(COUNTIF(BC120,"*雙葉*"),
IF(ROUND(
IF(BF126&lt;&gt;"",(BC123-BF126),BC123)
/IF(COUNTIF(BC121,"*キャラ*"),
VLOOKUP("*キャラ*",商品マスタ一覧!$D:$J,7,FALSE),
IF(COUNTIF(BC121,"*赤*"),
VLOOKUP("*赤*",商品マスタ一覧!$D:$J,7,FALSE),
VLOOKUP(BC121,商品マスタ一覧!$D:$J,7,FALSE))),0)&lt;=0,1,
ROUND(
IF(BF126&lt;&gt;"",(BC123-BF126),BC123)
/IF(COUNTIF(BC121,"*キャラ*"),
VLOOKUP("*キャラ*",商品マスタ一覧!$D:$J,7,FALSE),
IF(COUNTIF(BC121,"*赤*"),
VLOOKUP("*赤*",商品マスタ一覧!$D:$J,7,FALSE),
VLOOKUP(BC121,商品マスタ一覧!$D:$J,7,FALSE))),0)),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IF(BC121&lt;&gt;"",
IF(IF(COUNTIF(BC121,"*キャラ*"),
VLOOKUP("*キャラ*",商品マスタ一覧!$D:$J,7,FALSE),
IF(COUNTIF(BC121,"*赤*"),
VLOOKUP("*赤*",商品マスタ一覧!$D:$J,7,FALSE),
VLOOKUP(BC121,商品マスタ一覧!$D:$J,7,FALSE)))=0,"",
IF(ROUND(
IF(BF126&lt;&gt;"",(BC123-BF126),BC123)
/IF(COUNTIF(BC121,"*キャラ*"),
VLOOKUP("*キャラ*",商品マスタ一覧!$D:$J,7,FALSE),
IF(COUNTIF(BC121,"*赤*"),
VLOOKUP("*赤*",商品マスタ一覧!$D:$J,7,FALSE),
VLOOKUP(BC121,商品マスタ一覧!$D:$J,7,FALSE))),0)&lt;=0,1,
ROUND(
IF(BF126&lt;&gt;"",(BC123-BF126),BC123)
/IF(COUNTIF(BC121,"*キャラ*"),
VLOOKUP("*キャラ*",商品マスタ一覧!$D:$J,7,FALSE),
IF(COUNTIF(BC121,"*赤*"),
VLOOKUP("*赤*",商品マスタ一覧!$D:$J,7,FALSE),
VLOOKUP(BC121,商品マスタ一覧!$D:$J,7,FALSE))),0))),""),"")),"")</f>
        <v/>
      </c>
      <c r="BG121" s="92" t="str">
        <f ca="1">IF(BF121&lt;&gt;"",IF(BC123&lt;&gt;"",IF(VALUE(IF(BF126&lt;&gt;"",BC123-BF126,BC123))&gt;VALUE(IF(COUNTIF('盛付札（関数）'!BC121,"*キャラ*"),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VLOOKUP('盛付札（関数）'!BC121,商品マスタ一覧!$D:$J,7,FALSE)))*BF121),
"+"&amp;IF(BF126&lt;&gt;"",BC123-BF126,BC123)-IF(COUNTIF('盛付札（関数）'!BC121,"*キャラ*"),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VLOOKUP('盛付札（関数）'!BC121,商品マスタ一覧!$D:$J,7,FALSE)))*BF121,
IF(BF126&lt;&gt;"",BC123-BF126,BC123)-IF(COUNTIF('盛付札（関数）'!BC121,"*キャラ*"),
VLOOKUP("*キャラ*",商品マスタ一覧!$D:$J,7,FALSE),
IF(COUNTIF('盛付札（関数）'!BC121,"*赤*"),
VLOOKUP("*赤*",商品マスタ一覧!$D:$J,7,FALSE),
VLOOKUP('盛付札（関数）'!BC121,商品マスタ一覧!$D:$J,7,FALSE)))*BF121),""),"")</f>
        <v/>
      </c>
      <c r="BJ121" s="81" t="e" cm="1">
        <f t="array" aca="1" ref="BJ121" ca="1">IF(BJ38&lt;&gt;100,
IF(BK123&lt;&gt;"",MATCH(BK123,INDIRECT("数出表_Excel!B"&amp;MATCH(BO36,数出表_Excel!$A:$A,0)-1&amp;":U"&amp;MATCH(BO36,数出表_Excel!$A:$A,0)-1&amp;""),0)+1,""),
IF(BK123&lt;&gt;"",
MATCH(
IFERROR(
INDEX(INDIRECT("数出表_Excel!"&amp;BJ120&amp;MATCH(BO36,数出表_Excel!$A:$A,0)-1&amp;":U"&amp;MATCH(BO36,数出表_Excel!$A:$A,0)-1&amp;""),
 1,
 MATCH(TRUE, ISNUMBER(--INDIRECT("数出表_Excel!"&amp;BJ120&amp;MATCH(BO36,数出表_Excel!$A:$A,0)-1&amp;":U"&amp;MATCH(BO36,数出表_Excel!$A:$A,0)-1&amp;"")),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121" s="58" t="str" cm="1">
        <f t="array" aca="1" ref="BK121" ca="1">IFERROR(IF(OR(
COUNTIF(INDIRECT("数出表_Excel!" &amp;
CHAR(MATCH(TRUE,
ISNUMBER(--INDIRECT("数出表_Excel!"&amp;BJ120&amp;MATCH(BO36,数出表_Excel!$A:$A,0)-1&amp;":U"&amp;MATCH(BO36,数出表_Excel!$A:$A,0)-1&amp;"")),0)
+MATCH(TRUE, ISNUMBER(--INDIRECT("数出表_Excel!B" &amp; (MATCH(BO36,数出表_Excel!$A:$A,0)-1) &amp; ":U" &amp; (MATCH(BO36,数出表_Excel!$A:$A,0)-1))), 0)
+MATCH(TRUE, ISNUMBER(--INDIRECT("数出表_Excel!"&amp;BJ78&amp; (MATCH(BO36,数出表_Excel!$A:$A,0)-1) &amp; ":U" &amp; (MATCH(BO36,数出表_Excel!$A:$A,0)-1))), 0)
+65) &amp; "3"),"*配膳*"),
COUNTIF(INDIRECT("数出表_Excel!" &amp;
CHAR(MATCH(TRUE,
ISNUMBER(--INDIRECT("数出表_Excel!"&amp;BJ120&amp;MATCH(BO36,数出表_Excel!$A:$A,0)-1&amp;":U"&amp;MATCH(BO36,数出表_Excel!$A:$A,0)-1&amp;"")),0)
+MATCH(TRUE, ISNUMBER(--INDIRECT("数出表_Excel!B" &amp; (MATCH(BO36,数出表_Excel!$A:$A,0)-1) &amp; ":U" &amp; (MATCH(BO36,数出表_Excel!$A:$A,0)-1))), 0)
+MATCH(TRUE, ISNUMBER(--INDIRECT("数出表_Excel!"&amp;BJ78&amp; (MATCH(BO36,数出表_Excel!$A:$A,0)-1) &amp; ":U" &amp; (MATCH(BO36,数出表_Excel!$A:$A,0)-1))), 0)
+65) &amp; "3"),"*カレー*"),
COUNTIF(BK78,"*合計*")),"",
IF(IFERROR(INDIRECT("数出表_Excel!" &amp;
CHAR(MATCH(TRUE,
ISNUMBER(--INDIRECT("数出表_Excel!"&amp;BJ120&amp;MATCH(BO36,数出表_Excel!$A:$A,0)-1&amp;":U"&amp;MATCH(BO36,数出表_Excel!$A:$A,0)-1&amp;"")),0)
+MATCH(TRUE, ISNUMBER(--INDIRECT("数出表_Excel!B" &amp; (MATCH(BO36,数出表_Excel!$A:$A,0)-1) &amp; ":U" &amp; (MATCH(BO36,数出表_Excel!$A:$A,0)-1))), 0)
+MATCH(TRUE, ISNUMBER(--INDIRECT("数出表_Excel!"&amp;BJ78&amp; (MATCH(BO36,数出表_Excel!$A:$A,0)-1) &amp; ":U" &amp; (MATCH(BO36,数出表_Excel!$A:$A,0)-1))), 0)
+65) &amp; "3"),0)=0,"",
IFERROR(INDIRECT("数出表_Excel!" &amp;
CHAR(MATCH(TRUE,
ISNUMBER(--INDIRECT("数出表_Excel!"&amp;BJ120&amp;MATCH(BO36,数出表_Excel!$A:$A,0)-1&amp;":U"&amp;MATCH(BO36,数出表_Excel!$A:$A,0)-1&amp;"")),0)
+MATCH(TRUE, ISNUMBER(--INDIRECT("数出表_Excel!B" &amp; (MATCH(BO36,数出表_Excel!$A:$A,0)-1) &amp; ":U" &amp; (MATCH(BO36,数出表_Excel!$A:$A,0)-1))), 0)
+MATCH(TRUE, ISNUMBER(--INDIRECT("数出表_Excel!"&amp;BJ78&amp; (MATCH(BO36,数出表_Excel!$A:$A,0)-1) &amp; ":U" &amp; (MATCH(BO36,数出表_Excel!$A:$A,0)-1))), 0)
+65) &amp; "3"),""))),"")</f>
        <v/>
      </c>
      <c r="BL121" s="76"/>
      <c r="BM121" s="82" t="str" cm="1">
        <f t="array" aca="1" ref="BM121" ca="1">IF(BN121&lt;&gt;"","",
IF(COUNTIF(BK120,"*雙葉*"),"",
IF(BK120&lt;&gt;"",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+MATCH(TRUE,INDIRECT("'数出表_Excel'!"&amp;BJ120&amp;MATCH(BO36,数出表_Excel!$A:$A,0)-1&amp;":AL"&amp;MATCH(BO36,数出表_Excel!$A:$A,0)-1&amp;"")&lt;&gt;"",0))&gt;9,"",
IFERROR(
INDEX(INDIRECT("数出表_Excel!$"&amp;BJ120&amp;"4:$AL4"),
 1,
MATCH(TRUE,INDIRECT("'数出表_Excel'!"&amp;BJ120&amp;MATCH(BO36,数出表_Excel!$A:$A,0)-1&amp;":AL"&amp;MATCH(BO36,数出表_Excel!$A:$A,0)-1&amp;"")&lt;&gt;"",0)
),
 "")
&amp;IFERROR(
INDEX(INDIRECT("数出表_Excel!$"&amp;BJ120&amp;"5:$AL5"),
 1,
MATCH(TRUE,INDIRECT("'数出表_Excel'!"&amp;BJ120&amp;MATCH(BO36,数出表_Excel!$A:$A,0)-1&amp;":AL"&amp;MATCH(BO36,数出表_Excel!$A:$A,0)-1&amp;"")&lt;&gt;"",0)),
 "")),"")))</f>
        <v/>
      </c>
      <c r="BN121" s="83" t="str" cm="1">
        <f t="array" aca="1" ref="BN121" ca="1">IF(BK121&lt;&gt;"",
IF(COUNTIF(BK120,"*雙葉*"),
IF(ROUND(
IF(BN126&lt;&gt;"",(BK123-BN126),BK123)
/IF(COUNTIF(BK121,"*キャラ*"),
VLOOKUP("*キャラ*",商品マスタ一覧!$D:$J,7,FALSE),
IF(COUNTIF(BK121,"*赤*"),
VLOOKUP("*赤*",商品マスタ一覧!$D:$J,7,FALSE),
VLOOKUP(BK121,商品マスタ一覧!$D:$J,7,FALSE))),0)&lt;=0,1,
ROUND(
IF(BN126&lt;&gt;"",(BK123-BN126),BK123)
/IF(COUNTIF(BK121,"*キャラ*"),
VLOOKUP("*キャラ*",商品マスタ一覧!$D:$J,7,FALSE),
IF(COUNTIF(BK121,"*赤*"),
VLOOKUP("*赤*",商品マスタ一覧!$D:$J,7,FALSE),
VLOOKUP(BK121,商品マスタ一覧!$D:$J,7,FALSE))),0)),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IF(BK121&lt;&gt;"",
IF(IF(COUNTIF(BK121,"*キャラ*"),
VLOOKUP("*キャラ*",商品マスタ一覧!$D:$J,7,FALSE),
IF(COUNTIF(BK121,"*赤*"),
VLOOKUP("*赤*",商品マスタ一覧!$D:$J,7,FALSE),
VLOOKUP(BK121,商品マスタ一覧!$D:$J,7,FALSE)))=0,"",
IF(ROUND(
IF(BN126&lt;&gt;"",(BK123-BN126),BK123)
/IF(COUNTIF(BK121,"*キャラ*"),
VLOOKUP("*キャラ*",商品マスタ一覧!$D:$J,7,FALSE),
IF(COUNTIF(BK121,"*赤*"),
VLOOKUP("*赤*",商品マスタ一覧!$D:$J,7,FALSE),
VLOOKUP(BK121,商品マスタ一覧!$D:$J,7,FALSE))),0)&lt;=0,1,
ROUND(
IF(BN126&lt;&gt;"",(BK123-BN126),BK123)
/IF(COUNTIF(BK121,"*キャラ*"),
VLOOKUP("*キャラ*",商品マスタ一覧!$D:$J,7,FALSE),
IF(COUNTIF(BK121,"*赤*"),
VLOOKUP("*赤*",商品マスタ一覧!$D:$J,7,FALSE),
VLOOKUP(BK121,商品マスタ一覧!$D:$J,7,FALSE))),0))),""),"")),"")</f>
        <v/>
      </c>
      <c r="BO121" s="92" t="str">
        <f ca="1">IF(BN121&lt;&gt;"",IF(BK123&lt;&gt;"",IF(VALUE(IF(BN126&lt;&gt;"",BK123-BN126,BK123))&gt;VALUE(IF(COUNTIF('盛付札（関数）'!BK121,"*キャラ*"),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VLOOKUP('盛付札（関数）'!BK121,商品マスタ一覧!$D:$J,7,FALSE)))*BN121),
"+"&amp;IF(BN126&lt;&gt;"",BK123-BN126,BK123)-IF(COUNTIF('盛付札（関数）'!BK121,"*キャラ*"),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VLOOKUP('盛付札（関数）'!BK121,商品マスタ一覧!$D:$J,7,FALSE)))*BN121,
IF(BN126&lt;&gt;"",BK123-BN126,BK123)-IF(COUNTIF('盛付札（関数）'!BK121,"*キャラ*"),
VLOOKUP("*キャラ*",商品マスタ一覧!$D:$J,7,FALSE),
IF(COUNTIF('盛付札（関数）'!BK121,"*赤*"),
VLOOKUP("*赤*",商品マスタ一覧!$D:$J,7,FALSE),
VLOOKUP('盛付札（関数）'!BK121,商品マスタ一覧!$D:$J,7,FALSE)))*BN121),""),"")</f>
        <v/>
      </c>
      <c r="BP121" s="76"/>
      <c r="BQ121" s="81" t="e" cm="1">
        <f t="array" aca="1" ref="BQ121" ca="1">IF(BQ38&lt;&gt;100,
IF(BR123&lt;&gt;"",MATCH(BR123,INDIRECT("数出表_Excel!B"&amp;MATCH(BV36,数出表_Excel!$A:$A,0)-1&amp;":U"&amp;MATCH(BV36,数出表_Excel!$A:$A,0)-1&amp;""),0)+1,""),
IF(BR123&lt;&gt;"",
MATCH(
IFERROR(
INDEX(INDIRECT("数出表_Excel!"&amp;BQ120&amp;MATCH(BV36,数出表_Excel!$A:$A,0)-1&amp;":U"&amp;MATCH(BV36,数出表_Excel!$A:$A,0)-1&amp;""),
 1,
 MATCH(TRUE, ISNUMBER(--INDIRECT("数出表_Excel!"&amp;BQ120&amp;MATCH(BV36,数出表_Excel!$A:$A,0)-1&amp;":U"&amp;MATCH(BV36,数出表_Excel!$A:$A,0)-1&amp;"")),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121" s="58" t="str" cm="1">
        <f t="array" aca="1" ref="BR121" ca="1">IFERROR(IF(OR(
COUNTIF(INDIRECT("数出表_Excel!" &amp;
CHAR(MATCH(TRUE,
ISNUMBER(--INDIRECT("数出表_Excel!"&amp;BQ120&amp;MATCH(BV36,数出表_Excel!$A:$A,0)-1&amp;":U"&amp;MATCH(BV36,数出表_Excel!$A:$A,0)-1&amp;"")),0)
+MATCH(TRUE, ISNUMBER(--INDIRECT("数出表_Excel!B" &amp; (MATCH(BV36,数出表_Excel!$A:$A,0)-1) &amp; ":U" &amp; (MATCH(BV36,数出表_Excel!$A:$A,0)-1))), 0)
+MATCH(TRUE, ISNUMBER(--INDIRECT("数出表_Excel!"&amp;BQ78&amp; (MATCH(BV36,数出表_Excel!$A:$A,0)-1) &amp; ":U" &amp; (MATCH(BV36,数出表_Excel!$A:$A,0)-1))), 0)
+65) &amp; "3"),"*配膳*"),
COUNTIF(INDIRECT("数出表_Excel!" &amp;
CHAR(MATCH(TRUE,
ISNUMBER(--INDIRECT("数出表_Excel!"&amp;BQ120&amp;MATCH(BV36,数出表_Excel!$A:$A,0)-1&amp;":U"&amp;MATCH(BV36,数出表_Excel!$A:$A,0)-1&amp;"")),0)
+MATCH(TRUE, ISNUMBER(--INDIRECT("数出表_Excel!B" &amp; (MATCH(BV36,数出表_Excel!$A:$A,0)-1) &amp; ":U" &amp; (MATCH(BV36,数出表_Excel!$A:$A,0)-1))), 0)
+MATCH(TRUE, ISNUMBER(--INDIRECT("数出表_Excel!"&amp;BQ78&amp; (MATCH(BV36,数出表_Excel!$A:$A,0)-1) &amp; ":U" &amp; (MATCH(BV36,数出表_Excel!$A:$A,0)-1))), 0)
+65) &amp; "3"),"*カレー*"),
COUNTIF(BR78,"*合計*")),"",
IF(IFERROR(INDIRECT("数出表_Excel!" &amp;
CHAR(MATCH(TRUE,
ISNUMBER(--INDIRECT("数出表_Excel!"&amp;BQ120&amp;MATCH(BV36,数出表_Excel!$A:$A,0)-1&amp;":U"&amp;MATCH(BV36,数出表_Excel!$A:$A,0)-1&amp;"")),0)
+MATCH(TRUE, ISNUMBER(--INDIRECT("数出表_Excel!B" &amp; (MATCH(BV36,数出表_Excel!$A:$A,0)-1) &amp; ":U" &amp; (MATCH(BV36,数出表_Excel!$A:$A,0)-1))), 0)
+MATCH(TRUE, ISNUMBER(--INDIRECT("数出表_Excel!"&amp;BQ78&amp; (MATCH(BV36,数出表_Excel!$A:$A,0)-1) &amp; ":U" &amp; (MATCH(BV36,数出表_Excel!$A:$A,0)-1))), 0)
+65) &amp; "3"),0)=0,"",
IFERROR(INDIRECT("数出表_Excel!" &amp;
CHAR(MATCH(TRUE,
ISNUMBER(--INDIRECT("数出表_Excel!"&amp;BQ120&amp;MATCH(BV36,数出表_Excel!$A:$A,0)-1&amp;":U"&amp;MATCH(BV36,数出表_Excel!$A:$A,0)-1&amp;"")),0)
+MATCH(TRUE, ISNUMBER(--INDIRECT("数出表_Excel!B" &amp; (MATCH(BV36,数出表_Excel!$A:$A,0)-1) &amp; ":U" &amp; (MATCH(BV36,数出表_Excel!$A:$A,0)-1))), 0)
+MATCH(TRUE, ISNUMBER(--INDIRECT("数出表_Excel!"&amp;BQ78&amp; (MATCH(BV36,数出表_Excel!$A:$A,0)-1) &amp; ":U" &amp; (MATCH(BV36,数出表_Excel!$A:$A,0)-1))), 0)
+65) &amp; "3"),""))),"")</f>
        <v/>
      </c>
      <c r="BS121" s="76"/>
      <c r="BT121" s="82" t="str" cm="1">
        <f t="array" aca="1" ref="BT121" ca="1">IF(BU121&lt;&gt;"","",
IF(COUNTIF(BR120,"*雙葉*"),"",
IF(BR120&lt;&gt;"",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+MATCH(TRUE,INDIRECT("'数出表_Excel'!"&amp;BQ120&amp;MATCH(BV36,数出表_Excel!$A:$A,0)-1&amp;":AL"&amp;MATCH(BV36,数出表_Excel!$A:$A,0)-1&amp;"")&lt;&gt;"",0))&gt;9,"",
IFERROR(
INDEX(INDIRECT("数出表_Excel!$"&amp;BQ120&amp;"4:$AL4"),
 1,
MATCH(TRUE,INDIRECT("'数出表_Excel'!"&amp;BQ120&amp;MATCH(BV36,数出表_Excel!$A:$A,0)-1&amp;":AL"&amp;MATCH(BV36,数出表_Excel!$A:$A,0)-1&amp;"")&lt;&gt;"",0)
),
 "")
&amp;IFERROR(
INDEX(INDIRECT("数出表_Excel!$"&amp;BQ120&amp;"5:$AL5"),
 1,
MATCH(TRUE,INDIRECT("'数出表_Excel'!"&amp;BQ120&amp;MATCH(BV36,数出表_Excel!$A:$A,0)-1&amp;":AL"&amp;MATCH(BV36,数出表_Excel!$A:$A,0)-1&amp;"")&lt;&gt;"",0)),
 "")),"")))</f>
        <v/>
      </c>
      <c r="BU121" s="83" t="str" cm="1">
        <f t="array" aca="1" ref="BU121" ca="1">IF(BR121&lt;&gt;"",
IF(COUNTIF(BR120,"*雙葉*"),
IF(ROUND(
IF(BU126&lt;&gt;"",(BR123-BU126),BR123)
/IF(COUNTIF(BR121,"*キャラ*"),
VLOOKUP("*キャラ*",商品マスタ一覧!$D:$J,7,FALSE),
IF(COUNTIF(BR121,"*赤*"),
VLOOKUP("*赤*",商品マスタ一覧!$D:$J,7,FALSE),
VLOOKUP(BR121,商品マスタ一覧!$D:$J,7,FALSE))),0)&lt;=0,1,
ROUND(
IF(BU126&lt;&gt;"",(BR123-BU126),BR123)
/IF(COUNTIF(BR121,"*キャラ*"),
VLOOKUP("*キャラ*",商品マスタ一覧!$D:$J,7,FALSE),
IF(COUNTIF(BR121,"*赤*"),
VLOOKUP("*赤*",商品マスタ一覧!$D:$J,7,FALSE),
VLOOKUP(BR121,商品マスタ一覧!$D:$J,7,FALSE))),0)),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IF(BR121&lt;&gt;"",
IF(IF(COUNTIF(BR121,"*キャラ*"),
VLOOKUP("*キャラ*",商品マスタ一覧!$D:$J,7,FALSE),
IF(COUNTIF(BR121,"*赤*"),
VLOOKUP("*赤*",商品マスタ一覧!$D:$J,7,FALSE),
VLOOKUP(BR121,商品マスタ一覧!$D:$J,7,FALSE)))=0,"",
IF(ROUND(
IF(BU126&lt;&gt;"",(BR123-BU126),BR123)
/IF(COUNTIF(BR121,"*キャラ*"),
VLOOKUP("*キャラ*",商品マスタ一覧!$D:$J,7,FALSE),
IF(COUNTIF(BR121,"*赤*"),
VLOOKUP("*赤*",商品マスタ一覧!$D:$J,7,FALSE),
VLOOKUP(BR121,商品マスタ一覧!$D:$J,7,FALSE))),0)&lt;=0,1,
ROUND(
IF(BU126&lt;&gt;"",(BR123-BU126),BR123)
/IF(COUNTIF(BR121,"*キャラ*"),
VLOOKUP("*キャラ*",商品マスタ一覧!$D:$J,7,FALSE),
IF(COUNTIF(BR121,"*赤*"),
VLOOKUP("*赤*",商品マスタ一覧!$D:$J,7,FALSE),
VLOOKUP(BR121,商品マスタ一覧!$D:$J,7,FALSE))),0))),""),"")),"")</f>
        <v/>
      </c>
      <c r="BV121" s="92" t="str">
        <f ca="1">IF(BU121&lt;&gt;"",IF(BR123&lt;&gt;"",IF(VALUE(IF(BU126&lt;&gt;"",BR123-BU126,BR123))&gt;VALUE(IF(COUNTIF('盛付札（関数）'!BR121,"*キャラ*"),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VLOOKUP('盛付札（関数）'!BR121,商品マスタ一覧!$D:$J,7,FALSE)))*BU121),
"+"&amp;IF(BU126&lt;&gt;"",BR123-BU126,BR123)-IF(COUNTIF('盛付札（関数）'!BR121,"*キャラ*"),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VLOOKUP('盛付札（関数）'!BR121,商品マスタ一覧!$D:$J,7,FALSE)))*BU121,
IF(BU126&lt;&gt;"",BR123-BU126,BR123)-IF(COUNTIF('盛付札（関数）'!BR121,"*キャラ*"),
VLOOKUP("*キャラ*",商品マスタ一覧!$D:$J,7,FALSE),
IF(COUNTIF('盛付札（関数）'!BR121,"*赤*"),
VLOOKUP("*赤*",商品マスタ一覧!$D:$J,7,FALSE),
VLOOKUP('盛付札（関数）'!BR121,商品マスタ一覧!$D:$J,7,FALSE)))*BU121),""),"")</f>
        <v/>
      </c>
      <c r="BY121" s="81" t="e" cm="1">
        <f t="array" aca="1" ref="BY121" ca="1">IF(BY38&lt;&gt;100,
IF(BZ123&lt;&gt;"",MATCH(BZ123,INDIRECT("数出表_Excel!B"&amp;MATCH(CD36,数出表_Excel!$A:$A,0)-1&amp;":U"&amp;MATCH(CD36,数出表_Excel!$A:$A,0)-1&amp;""),0)+1,""),
IF(BZ123&lt;&gt;"",
MATCH(
IFERROR(
INDEX(INDIRECT("数出表_Excel!"&amp;BY120&amp;MATCH(CD36,数出表_Excel!$A:$A,0)-1&amp;":U"&amp;MATCH(CD36,数出表_Excel!$A:$A,0)-1&amp;""),
 1,
 MATCH(TRUE, ISNUMBER(--INDIRECT("数出表_Excel!"&amp;BY120&amp;MATCH(CD36,数出表_Excel!$A:$A,0)-1&amp;":U"&amp;MATCH(CD36,数出表_Excel!$A:$A,0)-1&amp;"")),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121" s="58" t="str" cm="1">
        <f t="array" aca="1" ref="BZ121" ca="1">IFERROR(IF(OR(
COUNTIF(INDIRECT("数出表_Excel!" &amp;
CHAR(MATCH(TRUE,
ISNUMBER(--INDIRECT("数出表_Excel!"&amp;BY120&amp;MATCH(CD36,数出表_Excel!$A:$A,0)-1&amp;":U"&amp;MATCH(CD36,数出表_Excel!$A:$A,0)-1&amp;"")),0)
+MATCH(TRUE, ISNUMBER(--INDIRECT("数出表_Excel!B" &amp; (MATCH(CD36,数出表_Excel!$A:$A,0)-1) &amp; ":U" &amp; (MATCH(CD36,数出表_Excel!$A:$A,0)-1))), 0)
+MATCH(TRUE, ISNUMBER(--INDIRECT("数出表_Excel!"&amp;BY78&amp; (MATCH(CD36,数出表_Excel!$A:$A,0)-1) &amp; ":U" &amp; (MATCH(CD36,数出表_Excel!$A:$A,0)-1))), 0)
+65) &amp; "3"),"*配膳*"),
COUNTIF(INDIRECT("数出表_Excel!" &amp;
CHAR(MATCH(TRUE,
ISNUMBER(--INDIRECT("数出表_Excel!"&amp;BY120&amp;MATCH(CD36,数出表_Excel!$A:$A,0)-1&amp;":U"&amp;MATCH(CD36,数出表_Excel!$A:$A,0)-1&amp;"")),0)
+MATCH(TRUE, ISNUMBER(--INDIRECT("数出表_Excel!B" &amp; (MATCH(CD36,数出表_Excel!$A:$A,0)-1) &amp; ":U" &amp; (MATCH(CD36,数出表_Excel!$A:$A,0)-1))), 0)
+MATCH(TRUE, ISNUMBER(--INDIRECT("数出表_Excel!"&amp;BY78&amp; (MATCH(CD36,数出表_Excel!$A:$A,0)-1) &amp; ":U" &amp; (MATCH(CD36,数出表_Excel!$A:$A,0)-1))), 0)
+65) &amp; "3"),"*カレー*"),
COUNTIF(BZ78,"*合計*")),"",
IF(IFERROR(INDIRECT("数出表_Excel!" &amp;
CHAR(MATCH(TRUE,
ISNUMBER(--INDIRECT("数出表_Excel!"&amp;BY120&amp;MATCH(CD36,数出表_Excel!$A:$A,0)-1&amp;":U"&amp;MATCH(CD36,数出表_Excel!$A:$A,0)-1&amp;"")),0)
+MATCH(TRUE, ISNUMBER(--INDIRECT("数出表_Excel!B" &amp; (MATCH(CD36,数出表_Excel!$A:$A,0)-1) &amp; ":U" &amp; (MATCH(CD36,数出表_Excel!$A:$A,0)-1))), 0)
+MATCH(TRUE, ISNUMBER(--INDIRECT("数出表_Excel!"&amp;BY78&amp; (MATCH(CD36,数出表_Excel!$A:$A,0)-1) &amp; ":U" &amp; (MATCH(CD36,数出表_Excel!$A:$A,0)-1))), 0)
+65) &amp; "3"),0)=0,"",
IFERROR(INDIRECT("数出表_Excel!" &amp;
CHAR(MATCH(TRUE,
ISNUMBER(--INDIRECT("数出表_Excel!"&amp;BY120&amp;MATCH(CD36,数出表_Excel!$A:$A,0)-1&amp;":U"&amp;MATCH(CD36,数出表_Excel!$A:$A,0)-1&amp;"")),0)
+MATCH(TRUE, ISNUMBER(--INDIRECT("数出表_Excel!B" &amp; (MATCH(CD36,数出表_Excel!$A:$A,0)-1) &amp; ":U" &amp; (MATCH(CD36,数出表_Excel!$A:$A,0)-1))), 0)
+MATCH(TRUE, ISNUMBER(--INDIRECT("数出表_Excel!"&amp;BY78&amp; (MATCH(CD36,数出表_Excel!$A:$A,0)-1) &amp; ":U" &amp; (MATCH(CD36,数出表_Excel!$A:$A,0)-1))), 0)
+65) &amp; "3"),""))),"")</f>
        <v/>
      </c>
      <c r="CA121" s="76"/>
      <c r="CB121" s="82" t="str" cm="1">
        <f t="array" aca="1" ref="CB121" ca="1">IF(CC121&lt;&gt;"","",
IF(COUNTIF(BZ120,"*雙葉*"),"",
IF(BZ120&lt;&gt;"",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+MATCH(TRUE,INDIRECT("'数出表_Excel'!"&amp;BY120&amp;MATCH(CD36,数出表_Excel!$A:$A,0)-1&amp;":AL"&amp;MATCH(CD36,数出表_Excel!$A:$A,0)-1&amp;"")&lt;&gt;"",0))&gt;9,"",
IFERROR(
INDEX(INDIRECT("数出表_Excel!$"&amp;BY120&amp;"4:$AL4"),
 1,
MATCH(TRUE,INDIRECT("'数出表_Excel'!"&amp;BY120&amp;MATCH(CD36,数出表_Excel!$A:$A,0)-1&amp;":AL"&amp;MATCH(CD36,数出表_Excel!$A:$A,0)-1&amp;"")&lt;&gt;"",0)
),
 "")
&amp;IFERROR(
INDEX(INDIRECT("数出表_Excel!$"&amp;BY120&amp;"5:$AL5"),
 1,
MATCH(TRUE,INDIRECT("'数出表_Excel'!"&amp;BY120&amp;MATCH(CD36,数出表_Excel!$A:$A,0)-1&amp;":AL"&amp;MATCH(CD36,数出表_Excel!$A:$A,0)-1&amp;"")&lt;&gt;"",0)),
 "")),"")))</f>
        <v/>
      </c>
      <c r="CC121" s="83" t="str" cm="1">
        <f t="array" aca="1" ref="CC121" ca="1">IF(BZ121&lt;&gt;"",
IF(COUNTIF(BZ120,"*雙葉*"),
IF(ROUND(
IF(CC126&lt;&gt;"",(BZ123-CC126),BZ123)
/IF(COUNTIF(BZ121,"*キャラ*"),
VLOOKUP("*キャラ*",商品マスタ一覧!$D:$J,7,FALSE),
IF(COUNTIF(BZ121,"*赤*"),
VLOOKUP("*赤*",商品マスタ一覧!$D:$J,7,FALSE),
VLOOKUP(BZ121,商品マスタ一覧!$D:$J,7,FALSE))),0)&lt;=0,1,
ROUND(
IF(CC126&lt;&gt;"",(BZ123-CC126),BZ123)
/IF(COUNTIF(BZ121,"*キャラ*"),
VLOOKUP("*キャラ*",商品マスタ一覧!$D:$J,7,FALSE),
IF(COUNTIF(BZ121,"*赤*"),
VLOOKUP("*赤*",商品マスタ一覧!$D:$J,7,FALSE),
VLOOKUP(BZ121,商品マスタ一覧!$D:$J,7,FALSE))),0)),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IF(BZ121&lt;&gt;"",
IF(IF(COUNTIF(BZ121,"*キャラ*"),
VLOOKUP("*キャラ*",商品マスタ一覧!$D:$J,7,FALSE),
IF(COUNTIF(BZ121,"*赤*"),
VLOOKUP("*赤*",商品マスタ一覧!$D:$J,7,FALSE),
VLOOKUP(BZ121,商品マスタ一覧!$D:$J,7,FALSE)))=0,"",
IF(ROUND(
IF(CC126&lt;&gt;"",(BZ123-CC126),BZ123)
/IF(COUNTIF(BZ121,"*キャラ*"),
VLOOKUP("*キャラ*",商品マスタ一覧!$D:$J,7,FALSE),
IF(COUNTIF(BZ121,"*赤*"),
VLOOKUP("*赤*",商品マスタ一覧!$D:$J,7,FALSE),
VLOOKUP(BZ121,商品マスタ一覧!$D:$J,7,FALSE))),0)&lt;=0,1,
ROUND(
IF(CC126&lt;&gt;"",(BZ123-CC126),BZ123)
/IF(COUNTIF(BZ121,"*キャラ*"),
VLOOKUP("*キャラ*",商品マスタ一覧!$D:$J,7,FALSE),
IF(COUNTIF(BZ121,"*赤*"),
VLOOKUP("*赤*",商品マスタ一覧!$D:$J,7,FALSE),
VLOOKUP(BZ121,商品マスタ一覧!$D:$J,7,FALSE))),0))),""),"")),"")</f>
        <v/>
      </c>
      <c r="CD121" s="92" t="str">
        <f ca="1">IF(CC121&lt;&gt;"",IF(BZ123&lt;&gt;"",IF(VALUE(IF(CC126&lt;&gt;"",BZ123-CC126,BZ123))&gt;VALUE(IF(COUNTIF('盛付札（関数）'!BZ121,"*キャラ*"),
VLOOKUP("*キャラ*",商品マスタ一覧!$D:$J,7,FALSE),
IF(COUNTIF('盛付札（関数）'!BZ121,"*赤*"),
VLOOKUP("*赤*",商品マスタ一覧!$D:$J,7,FALSE),
VLOOKUP('盛付札（関数）'!BZ121,商品マスタ一覧!$D:$J,7,FALSE)))*CC121),
"+"&amp;IF(CC126&lt;&gt;"",BZ123-CC126,BZ123)-IF(COUNTIF('盛付札（関数）'!BZ121,"*キャラ*"),
VLOOKUP("*キャラ*",商品マスタ一覧!$D:$J,7,FALSE),
IF(COUNTIF('盛付札（関数）'!BZ121,"*赤*"),
VLOOKUP("*赤*",商品マスタ一覧!$D:$J,7,FALSE),
VLOOKUP('盛付札（関数）'!BZ121,商品マスタ一覧!$D:$J,7,FALSE)))*CC121,
IF(CC126&lt;&gt;"",BZ123-CC126,BZ123)-IF(COUNTIF('盛付札（関数）'!BZ121,"*キャラ*"),
VLOOKUP("*キャラ*",商品マスタ一覧!$D:$J,7,FALSE),
IF(COUNTIF('盛付札（関数）'!BZ121,"*赤*"),
VLOOKUP("*赤*",商品マスタ一覧!$D:$J,7,FALSE),
VLOOKUP('盛付札（関数）'!BZ121,商品マスタ一覧!$D:$J,7,FALSE)))*CC121),""),"")</f>
        <v/>
      </c>
      <c r="CE121" s="76"/>
      <c r="CF121" s="81" t="e" cm="1">
        <f t="array" aca="1" ref="CF121" ca="1">IF(CF38&lt;&gt;100,
IF(CG123&lt;&gt;"",MATCH(CG123,INDIRECT("数出表_Excel!B"&amp;MATCH(CK36,数出表_Excel!$A:$A,0)-1&amp;":U"&amp;MATCH(CK36,数出表_Excel!$A:$A,0)-1&amp;""),0)+1,""),
IF(CG123&lt;&gt;"",
MATCH(
IFERROR(
INDEX(INDIRECT("数出表_Excel!"&amp;CF120&amp;MATCH(CK36,数出表_Excel!$A:$A,0)-1&amp;":U"&amp;MATCH(CK36,数出表_Excel!$A:$A,0)-1&amp;""),
 1,
 MATCH(TRUE, ISNUMBER(--INDIRECT("数出表_Excel!"&amp;CF120&amp;MATCH(CK36,数出表_Excel!$A:$A,0)-1&amp;":U"&amp;MATCH(CK36,数出表_Excel!$A:$A,0)-1&amp;"")),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121" s="58" t="str" cm="1">
        <f t="array" aca="1" ref="CG121" ca="1">IFERROR(IF(OR(
COUNTIF(INDIRECT("数出表_Excel!" &amp;
CHAR(MATCH(TRUE,
ISNUMBER(--INDIRECT("数出表_Excel!"&amp;CF120&amp;MATCH(CK36,数出表_Excel!$A:$A,0)-1&amp;":U"&amp;MATCH(CK36,数出表_Excel!$A:$A,0)-1&amp;"")),0)
+MATCH(TRUE, ISNUMBER(--INDIRECT("数出表_Excel!B" &amp; (MATCH(CK36,数出表_Excel!$A:$A,0)-1) &amp; ":U" &amp; (MATCH(CK36,数出表_Excel!$A:$A,0)-1))), 0)
+MATCH(TRUE, ISNUMBER(--INDIRECT("数出表_Excel!"&amp;CF78&amp; (MATCH(CK36,数出表_Excel!$A:$A,0)-1) &amp; ":U" &amp; (MATCH(CK36,数出表_Excel!$A:$A,0)-1))), 0)
+65) &amp; "3"),"*配膳*"),
COUNTIF(INDIRECT("数出表_Excel!" &amp;
CHAR(MATCH(TRUE,
ISNUMBER(--INDIRECT("数出表_Excel!"&amp;CF120&amp;MATCH(CK36,数出表_Excel!$A:$A,0)-1&amp;":U"&amp;MATCH(CK36,数出表_Excel!$A:$A,0)-1&amp;"")),0)
+MATCH(TRUE, ISNUMBER(--INDIRECT("数出表_Excel!B" &amp; (MATCH(CK36,数出表_Excel!$A:$A,0)-1) &amp; ":U" &amp; (MATCH(CK36,数出表_Excel!$A:$A,0)-1))), 0)
+MATCH(TRUE, ISNUMBER(--INDIRECT("数出表_Excel!"&amp;CF78&amp; (MATCH(CK36,数出表_Excel!$A:$A,0)-1) &amp; ":U" &amp; (MATCH(CK36,数出表_Excel!$A:$A,0)-1))), 0)
+65) &amp; "3"),"*カレー*"),
COUNTIF(CG78,"*合計*")),"",
IF(IFERROR(INDIRECT("数出表_Excel!" &amp;
CHAR(MATCH(TRUE,
ISNUMBER(--INDIRECT("数出表_Excel!"&amp;CF120&amp;MATCH(CK36,数出表_Excel!$A:$A,0)-1&amp;":U"&amp;MATCH(CK36,数出表_Excel!$A:$A,0)-1&amp;"")),0)
+MATCH(TRUE, ISNUMBER(--INDIRECT("数出表_Excel!B" &amp; (MATCH(CK36,数出表_Excel!$A:$A,0)-1) &amp; ":U" &amp; (MATCH(CK36,数出表_Excel!$A:$A,0)-1))), 0)
+MATCH(TRUE, ISNUMBER(--INDIRECT("数出表_Excel!"&amp;CF78&amp; (MATCH(CK36,数出表_Excel!$A:$A,0)-1) &amp; ":U" &amp; (MATCH(CK36,数出表_Excel!$A:$A,0)-1))), 0)
+65) &amp; "3"),0)=0,"",
IFERROR(INDIRECT("数出表_Excel!" &amp;
CHAR(MATCH(TRUE,
ISNUMBER(--INDIRECT("数出表_Excel!"&amp;CF120&amp;MATCH(CK36,数出表_Excel!$A:$A,0)-1&amp;":U"&amp;MATCH(CK36,数出表_Excel!$A:$A,0)-1&amp;"")),0)
+MATCH(TRUE, ISNUMBER(--INDIRECT("数出表_Excel!B" &amp; (MATCH(CK36,数出表_Excel!$A:$A,0)-1) &amp; ":U" &amp; (MATCH(CK36,数出表_Excel!$A:$A,0)-1))), 0)
+MATCH(TRUE, ISNUMBER(--INDIRECT("数出表_Excel!"&amp;CF78&amp; (MATCH(CK36,数出表_Excel!$A:$A,0)-1) &amp; ":U" &amp; (MATCH(CK36,数出表_Excel!$A:$A,0)-1))), 0)
+65) &amp; "3"),""))),"")</f>
        <v/>
      </c>
      <c r="CH121" s="76"/>
      <c r="CI121" s="82" t="str" cm="1">
        <f t="array" aca="1" ref="CI121" ca="1">IF(CJ121&lt;&gt;"","",
IF(COUNTIF(CG120,"*雙葉*"),"",
IF(CG120&lt;&gt;"",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+MATCH(TRUE,INDIRECT("'数出表_Excel'!"&amp;CF120&amp;MATCH(CK36,数出表_Excel!$A:$A,0)-1&amp;":AL"&amp;MATCH(CK36,数出表_Excel!$A:$A,0)-1&amp;"")&lt;&gt;"",0))&gt;9,"",
IFERROR(
INDEX(INDIRECT("数出表_Excel!$"&amp;CF120&amp;"4:$AL4"),
 1,
MATCH(TRUE,INDIRECT("'数出表_Excel'!"&amp;CF120&amp;MATCH(CK36,数出表_Excel!$A:$A,0)-1&amp;":AL"&amp;MATCH(CK36,数出表_Excel!$A:$A,0)-1&amp;"")&lt;&gt;"",0)
),
 "")
&amp;IFERROR(
INDEX(INDIRECT("数出表_Excel!$"&amp;CF120&amp;"5:$AL5"),
 1,
MATCH(TRUE,INDIRECT("'数出表_Excel'!"&amp;CF120&amp;MATCH(CK36,数出表_Excel!$A:$A,0)-1&amp;":AL"&amp;MATCH(CK36,数出表_Excel!$A:$A,0)-1&amp;"")&lt;&gt;"",0)),
 "")),"")))</f>
        <v/>
      </c>
      <c r="CJ121" s="83" t="str" cm="1">
        <f t="array" aca="1" ref="CJ121" ca="1">IF(CG121&lt;&gt;"",
IF(COUNTIF(CG120,"*雙葉*"),
IF(ROUND(
IF(CJ126&lt;&gt;"",(CG123-CJ126),CG123)
/IF(COUNTIF(CG121,"*キャラ*"),
VLOOKUP("*キャラ*",商品マスタ一覧!$D:$J,7,FALSE),
IF(COUNTIF(CG121,"*赤*"),
VLOOKUP("*赤*",商品マスタ一覧!$D:$J,7,FALSE),
VLOOKUP(CG121,商品マスタ一覧!$D:$J,7,FALSE))),0)&lt;=0,1,
ROUND(
IF(CJ126&lt;&gt;"",(CG123-CJ126),CG123)
/IF(COUNTIF(CG121,"*キャラ*"),
VLOOKUP("*キャラ*",商品マスタ一覧!$D:$J,7,FALSE),
IF(COUNTIF(CG121,"*赤*"),
VLOOKUP("*赤*",商品マスタ一覧!$D:$J,7,FALSE),
VLOOKUP(CG121,商品マスタ一覧!$D:$J,7,FALSE))),0)),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IF(CG121&lt;&gt;"",
IF(IF(COUNTIF(CG121,"*キャラ*"),
VLOOKUP("*キャラ*",商品マスタ一覧!$D:$J,7,FALSE),
IF(COUNTIF(CG121,"*赤*"),
VLOOKUP("*赤*",商品マスタ一覧!$D:$J,7,FALSE),
VLOOKUP(CG121,商品マスタ一覧!$D:$J,7,FALSE)))=0,"",
IF(ROUND(
IF(CJ126&lt;&gt;"",(CG123-CJ126),CG123)
/IF(COUNTIF(CG121,"*キャラ*"),
VLOOKUP("*キャラ*",商品マスタ一覧!$D:$J,7,FALSE),
IF(COUNTIF(CG121,"*赤*"),
VLOOKUP("*赤*",商品マスタ一覧!$D:$J,7,FALSE),
VLOOKUP(CG121,商品マスタ一覧!$D:$J,7,FALSE))),0)&lt;=0,1,
ROUND(
IF(CJ126&lt;&gt;"",(CG123-CJ126),CG123)
/IF(COUNTIF(CG121,"*キャラ*"),
VLOOKUP("*キャラ*",商品マスタ一覧!$D:$J,7,FALSE),
IF(COUNTIF(CG121,"*赤*"),
VLOOKUP("*赤*",商品マスタ一覧!$D:$J,7,FALSE),
VLOOKUP(CG121,商品マスタ一覧!$D:$J,7,FALSE))),0))),""),"")),"")</f>
        <v/>
      </c>
      <c r="CK121" s="92" t="str">
        <f ca="1">IF(CJ121&lt;&gt;"",IF(CG123&lt;&gt;"",IF(VALUE(IF(CJ126&lt;&gt;"",CG123-CJ126,CG123))&gt;VALUE(IF(COUNTIF('盛付札（関数）'!CG121,"*キャラ*"),
VLOOKUP("*キャラ*",商品マスタ一覧!$D:$J,7,FALSE),
IF(COUNTIF('盛付札（関数）'!CG121,"*赤*"),
VLOOKUP("*赤*",商品マスタ一覧!$D:$J,7,FALSE),
VLOOKUP('盛付札（関数）'!CG121,商品マスタ一覧!$D:$J,7,FALSE)))*CJ121),
"+"&amp;IF(CJ126&lt;&gt;"",CG123-CJ126,CG123)-IF(COUNTIF('盛付札（関数）'!CG121,"*キャラ*"),
VLOOKUP("*キャラ*",商品マスタ一覧!$D:$J,7,FALSE),
IF(COUNTIF('盛付札（関数）'!CG121,"*赤*"),
VLOOKUP("*赤*",商品マスタ一覧!$D:$J,7,FALSE),
VLOOKUP('盛付札（関数）'!CG121,商品マスタ一覧!$D:$J,7,FALSE)))*CJ121,
IF(CJ126&lt;&gt;"",CG123-CJ126,CG123)-IF(COUNTIF('盛付札（関数）'!CG121,"*キャラ*"),
VLOOKUP("*キャラ*",商品マスタ一覧!$D:$J,7,FALSE),
IF(COUNTIF('盛付札（関数）'!CG121,"*赤*"),
VLOOKUP("*赤*",商品マスタ一覧!$D:$J,7,FALSE),
VLOOKUP('盛付札（関数）'!CG121,商品マスタ一覧!$D:$J,7,FALSE)))*CJ121),""),"")</f>
        <v/>
      </c>
      <c r="CN121" s="81" t="e" cm="1">
        <f t="array" aca="1" ref="CN121" ca="1">IF(CN38&lt;&gt;100,
IF(CO123&lt;&gt;"",MATCH(CO123,INDIRECT("数出表_Excel!B"&amp;MATCH(CS36,数出表_Excel!$A:$A,0)-1&amp;":U"&amp;MATCH(CS36,数出表_Excel!$A:$A,0)-1&amp;""),0)+1,""),
IF(CO123&lt;&gt;"",
MATCH(
IFERROR(
INDEX(INDIRECT("数出表_Excel!"&amp;CN120&amp;MATCH(CS36,数出表_Excel!$A:$A,0)-1&amp;":U"&amp;MATCH(CS36,数出表_Excel!$A:$A,0)-1&amp;""),
 1,
 MATCH(TRUE, ISNUMBER(--INDIRECT("数出表_Excel!"&amp;CN120&amp;MATCH(CS36,数出表_Excel!$A:$A,0)-1&amp;":U"&amp;MATCH(CS36,数出表_Excel!$A:$A,0)-1&amp;"")),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121" s="58" t="str" cm="1">
        <f t="array" aca="1" ref="CO121" ca="1">IFERROR(IF(OR(
COUNTIF(INDIRECT("数出表_Excel!" &amp;
CHAR(MATCH(TRUE,
ISNUMBER(--INDIRECT("数出表_Excel!"&amp;CN120&amp;MATCH(CS36,数出表_Excel!$A:$A,0)-1&amp;":U"&amp;MATCH(CS36,数出表_Excel!$A:$A,0)-1&amp;"")),0)
+MATCH(TRUE, ISNUMBER(--INDIRECT("数出表_Excel!B" &amp; (MATCH(CS36,数出表_Excel!$A:$A,0)-1) &amp; ":U" &amp; (MATCH(CS36,数出表_Excel!$A:$A,0)-1))), 0)
+MATCH(TRUE, ISNUMBER(--INDIRECT("数出表_Excel!"&amp;CN78&amp; (MATCH(CS36,数出表_Excel!$A:$A,0)-1) &amp; ":U" &amp; (MATCH(CS36,数出表_Excel!$A:$A,0)-1))), 0)
+65) &amp; "3"),"*配膳*"),
COUNTIF(INDIRECT("数出表_Excel!" &amp;
CHAR(MATCH(TRUE,
ISNUMBER(--INDIRECT("数出表_Excel!"&amp;CN120&amp;MATCH(CS36,数出表_Excel!$A:$A,0)-1&amp;":U"&amp;MATCH(CS36,数出表_Excel!$A:$A,0)-1&amp;"")),0)
+MATCH(TRUE, ISNUMBER(--INDIRECT("数出表_Excel!B" &amp; (MATCH(CS36,数出表_Excel!$A:$A,0)-1) &amp; ":U" &amp; (MATCH(CS36,数出表_Excel!$A:$A,0)-1))), 0)
+MATCH(TRUE, ISNUMBER(--INDIRECT("数出表_Excel!"&amp;CN78&amp; (MATCH(CS36,数出表_Excel!$A:$A,0)-1) &amp; ":U" &amp; (MATCH(CS36,数出表_Excel!$A:$A,0)-1))), 0)
+65) &amp; "3"),"*カレー*"),
COUNTIF(CO78,"*合計*")),"",
IF(IFERROR(INDIRECT("数出表_Excel!" &amp;
CHAR(MATCH(TRUE,
ISNUMBER(--INDIRECT("数出表_Excel!"&amp;CN120&amp;MATCH(CS36,数出表_Excel!$A:$A,0)-1&amp;":U"&amp;MATCH(CS36,数出表_Excel!$A:$A,0)-1&amp;"")),0)
+MATCH(TRUE, ISNUMBER(--INDIRECT("数出表_Excel!B" &amp; (MATCH(CS36,数出表_Excel!$A:$A,0)-1) &amp; ":U" &amp; (MATCH(CS36,数出表_Excel!$A:$A,0)-1))), 0)
+MATCH(TRUE, ISNUMBER(--INDIRECT("数出表_Excel!"&amp;CN78&amp; (MATCH(CS36,数出表_Excel!$A:$A,0)-1) &amp; ":U" &amp; (MATCH(CS36,数出表_Excel!$A:$A,0)-1))), 0)
+65) &amp; "3"),0)=0,"",
IFERROR(INDIRECT("数出表_Excel!" &amp;
CHAR(MATCH(TRUE,
ISNUMBER(--INDIRECT("数出表_Excel!"&amp;CN120&amp;MATCH(CS36,数出表_Excel!$A:$A,0)-1&amp;":U"&amp;MATCH(CS36,数出表_Excel!$A:$A,0)-1&amp;"")),0)
+MATCH(TRUE, ISNUMBER(--INDIRECT("数出表_Excel!B" &amp; (MATCH(CS36,数出表_Excel!$A:$A,0)-1) &amp; ":U" &amp; (MATCH(CS36,数出表_Excel!$A:$A,0)-1))), 0)
+MATCH(TRUE, ISNUMBER(--INDIRECT("数出表_Excel!"&amp;CN78&amp; (MATCH(CS36,数出表_Excel!$A:$A,0)-1) &amp; ":U" &amp; (MATCH(CS36,数出表_Excel!$A:$A,0)-1))), 0)
+65) &amp; "3"),""))),"")</f>
        <v/>
      </c>
      <c r="CP121" s="76"/>
      <c r="CQ121" s="82" t="str" cm="1">
        <f t="array" aca="1" ref="CQ121" ca="1">IF(CR121&lt;&gt;"","",
IF(COUNTIF(CO120,"*雙葉*"),"",
IF(CO120&lt;&gt;"",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+MATCH(TRUE,INDIRECT("'数出表_Excel'!"&amp;CN120&amp;MATCH(CS36,数出表_Excel!$A:$A,0)-1&amp;":AL"&amp;MATCH(CS36,数出表_Excel!$A:$A,0)-1&amp;"")&lt;&gt;"",0))&gt;9,"",
IFERROR(
INDEX(INDIRECT("数出表_Excel!$"&amp;CN120&amp;"4:$AL4"),
 1,
MATCH(TRUE,INDIRECT("'数出表_Excel'!"&amp;CN120&amp;MATCH(CS36,数出表_Excel!$A:$A,0)-1&amp;":AL"&amp;MATCH(CS36,数出表_Excel!$A:$A,0)-1&amp;"")&lt;&gt;"",0)
),
 "")
&amp;IFERROR(
INDEX(INDIRECT("数出表_Excel!$"&amp;CN120&amp;"5:$AL5"),
 1,
MATCH(TRUE,INDIRECT("'数出表_Excel'!"&amp;CN120&amp;MATCH(CS36,数出表_Excel!$A:$A,0)-1&amp;":AL"&amp;MATCH(CS36,数出表_Excel!$A:$A,0)-1&amp;"")&lt;&gt;"",0)),
 "")),"")))</f>
        <v/>
      </c>
      <c r="CR121" s="83" t="str" cm="1">
        <f t="array" aca="1" ref="CR121" ca="1">IF(CO121&lt;&gt;"",
IF(COUNTIF(CO120,"*雙葉*"),
IF(ROUND(
IF(CR126&lt;&gt;"",(CO123-CR126),CO123)
/IF(COUNTIF(CO121,"*キャラ*"),
VLOOKUP("*キャラ*",商品マスタ一覧!$D:$J,7,FALSE),
IF(COUNTIF(CO121,"*赤*"),
VLOOKUP("*赤*",商品マスタ一覧!$D:$J,7,FALSE),
VLOOKUP(CO121,商品マスタ一覧!$D:$J,7,FALSE))),0)&lt;=0,1,
ROUND(
IF(CR126&lt;&gt;"",(CO123-CR126),CO123)
/IF(COUNTIF(CO121,"*キャラ*"),
VLOOKUP("*キャラ*",商品マスタ一覧!$D:$J,7,FALSE),
IF(COUNTIF(CO121,"*赤*"),
VLOOKUP("*赤*",商品マスタ一覧!$D:$J,7,FALSE),
VLOOKUP(CO121,商品マスタ一覧!$D:$J,7,FALSE))),0)),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IF(CO121&lt;&gt;"",
IF(IF(COUNTIF(CO121,"*キャラ*"),
VLOOKUP("*キャラ*",商品マスタ一覧!$D:$J,7,FALSE),
IF(COUNTIF(CO121,"*赤*"),
VLOOKUP("*赤*",商品マスタ一覧!$D:$J,7,FALSE),
VLOOKUP(CO121,商品マスタ一覧!$D:$J,7,FALSE)))=0,"",
IF(ROUND(
IF(CR126&lt;&gt;"",(CO123-CR126),CO123)
/IF(COUNTIF(CO121,"*キャラ*"),
VLOOKUP("*キャラ*",商品マスタ一覧!$D:$J,7,FALSE),
IF(COUNTIF(CO121,"*赤*"),
VLOOKUP("*赤*",商品マスタ一覧!$D:$J,7,FALSE),
VLOOKUP(CO121,商品マスタ一覧!$D:$J,7,FALSE))),0)&lt;=0,1,
ROUND(
IF(CR126&lt;&gt;"",(CO123-CR126),CO123)
/IF(COUNTIF(CO121,"*キャラ*"),
VLOOKUP("*キャラ*",商品マスタ一覧!$D:$J,7,FALSE),
IF(COUNTIF(CO121,"*赤*"),
VLOOKUP("*赤*",商品マスタ一覧!$D:$J,7,FALSE),
VLOOKUP(CO121,商品マスタ一覧!$D:$J,7,FALSE))),0))),""),"")),"")</f>
        <v/>
      </c>
      <c r="CS121" s="92" t="str">
        <f ca="1">IF(CR121&lt;&gt;"",IF(CO123&lt;&gt;"",IF(VALUE(IF(CR126&lt;&gt;"",CO123-CR126,CO123))&gt;VALUE(IF(COUNTIF('盛付札（関数）'!CO121,"*キャラ*"),
VLOOKUP("*キャラ*",商品マスタ一覧!$D:$J,7,FALSE),
IF(COUNTIF('盛付札（関数）'!CO121,"*赤*"),
VLOOKUP("*赤*",商品マスタ一覧!$D:$J,7,FALSE),
VLOOKUP('盛付札（関数）'!CO121,商品マスタ一覧!$D:$J,7,FALSE)))*CR121),
"+"&amp;IF(CR126&lt;&gt;"",CO123-CR126,CO123)-IF(COUNTIF('盛付札（関数）'!CO121,"*キャラ*"),
VLOOKUP("*キャラ*",商品マスタ一覧!$D:$J,7,FALSE),
IF(COUNTIF('盛付札（関数）'!CO121,"*赤*"),
VLOOKUP("*赤*",商品マスタ一覧!$D:$J,7,FALSE),
VLOOKUP('盛付札（関数）'!CO121,商品マスタ一覧!$D:$J,7,FALSE)))*CR121,
IF(CR126&lt;&gt;"",CO123-CR126,CO123)-IF(COUNTIF('盛付札（関数）'!CO121,"*キャラ*"),
VLOOKUP("*キャラ*",商品マスタ一覧!$D:$J,7,FALSE),
IF(COUNTIF('盛付札（関数）'!CO121,"*赤*"),
VLOOKUP("*赤*",商品マスタ一覧!$D:$J,7,FALSE),
VLOOKUP('盛付札（関数）'!CO121,商品マスタ一覧!$D:$J,7,FALSE)))*CR121),""),"")</f>
        <v/>
      </c>
      <c r="CT121" s="76"/>
      <c r="CU121" s="81" t="e" cm="1">
        <f t="array" aca="1" ref="CU121" ca="1">IF(CU38&lt;&gt;100,
IF(CV123&lt;&gt;"",MATCH(CV123,INDIRECT("数出表_Excel!B"&amp;MATCH(CZ36,数出表_Excel!$A:$A,0)-1&amp;":U"&amp;MATCH(CZ36,数出表_Excel!$A:$A,0)-1&amp;""),0)+1,""),
IF(CV123&lt;&gt;"",
MATCH(
IFERROR(
INDEX(INDIRECT("数出表_Excel!"&amp;CU120&amp;MATCH(CZ36,数出表_Excel!$A:$A,0)-1&amp;":U"&amp;MATCH(CZ36,数出表_Excel!$A:$A,0)-1&amp;""),
 1,
 MATCH(TRUE, ISNUMBER(--INDIRECT("数出表_Excel!"&amp;CU120&amp;MATCH(CZ36,数出表_Excel!$A:$A,0)-1&amp;":U"&amp;MATCH(CZ36,数出表_Excel!$A:$A,0)-1&amp;"")),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121" s="58" t="str" cm="1">
        <f t="array" aca="1" ref="CV121" ca="1">IFERROR(IF(OR(
COUNTIF(INDIRECT("数出表_Excel!" &amp;
CHAR(MATCH(TRUE,
ISNUMBER(--INDIRECT("数出表_Excel!"&amp;CU120&amp;MATCH(CZ36,数出表_Excel!$A:$A,0)-1&amp;":U"&amp;MATCH(CZ36,数出表_Excel!$A:$A,0)-1&amp;"")),0)
+MATCH(TRUE, ISNUMBER(--INDIRECT("数出表_Excel!B" &amp; (MATCH(CZ36,数出表_Excel!$A:$A,0)-1) &amp; ":U" &amp; (MATCH(CZ36,数出表_Excel!$A:$A,0)-1))), 0)
+MATCH(TRUE, ISNUMBER(--INDIRECT("数出表_Excel!"&amp;CU78&amp; (MATCH(CZ36,数出表_Excel!$A:$A,0)-1) &amp; ":U" &amp; (MATCH(CZ36,数出表_Excel!$A:$A,0)-1))), 0)
+65) &amp; "3"),"*配膳*"),
COUNTIF(INDIRECT("数出表_Excel!" &amp;
CHAR(MATCH(TRUE,
ISNUMBER(--INDIRECT("数出表_Excel!"&amp;CU120&amp;MATCH(CZ36,数出表_Excel!$A:$A,0)-1&amp;":U"&amp;MATCH(CZ36,数出表_Excel!$A:$A,0)-1&amp;"")),0)
+MATCH(TRUE, ISNUMBER(--INDIRECT("数出表_Excel!B" &amp; (MATCH(CZ36,数出表_Excel!$A:$A,0)-1) &amp; ":U" &amp; (MATCH(CZ36,数出表_Excel!$A:$A,0)-1))), 0)
+MATCH(TRUE, ISNUMBER(--INDIRECT("数出表_Excel!"&amp;CU78&amp; (MATCH(CZ36,数出表_Excel!$A:$A,0)-1) &amp; ":U" &amp; (MATCH(CZ36,数出表_Excel!$A:$A,0)-1))), 0)
+65) &amp; "3"),"*カレー*"),
COUNTIF(CV78,"*合計*")),"",
IF(IFERROR(INDIRECT("数出表_Excel!" &amp;
CHAR(MATCH(TRUE,
ISNUMBER(--INDIRECT("数出表_Excel!"&amp;CU120&amp;MATCH(CZ36,数出表_Excel!$A:$A,0)-1&amp;":U"&amp;MATCH(CZ36,数出表_Excel!$A:$A,0)-1&amp;"")),0)
+MATCH(TRUE, ISNUMBER(--INDIRECT("数出表_Excel!B" &amp; (MATCH(CZ36,数出表_Excel!$A:$A,0)-1) &amp; ":U" &amp; (MATCH(CZ36,数出表_Excel!$A:$A,0)-1))), 0)
+MATCH(TRUE, ISNUMBER(--INDIRECT("数出表_Excel!"&amp;CU78&amp; (MATCH(CZ36,数出表_Excel!$A:$A,0)-1) &amp; ":U" &amp; (MATCH(CZ36,数出表_Excel!$A:$A,0)-1))), 0)
+65) &amp; "3"),0)=0,"",
IFERROR(INDIRECT("数出表_Excel!" &amp;
CHAR(MATCH(TRUE,
ISNUMBER(--INDIRECT("数出表_Excel!"&amp;CU120&amp;MATCH(CZ36,数出表_Excel!$A:$A,0)-1&amp;":U"&amp;MATCH(CZ36,数出表_Excel!$A:$A,0)-1&amp;"")),0)
+MATCH(TRUE, ISNUMBER(--INDIRECT("数出表_Excel!B" &amp; (MATCH(CZ36,数出表_Excel!$A:$A,0)-1) &amp; ":U" &amp; (MATCH(CZ36,数出表_Excel!$A:$A,0)-1))), 0)
+MATCH(TRUE, ISNUMBER(--INDIRECT("数出表_Excel!"&amp;CU78&amp; (MATCH(CZ36,数出表_Excel!$A:$A,0)-1) &amp; ":U" &amp; (MATCH(CZ36,数出表_Excel!$A:$A,0)-1))), 0)
+65) &amp; "3"),""))),"")</f>
        <v/>
      </c>
      <c r="CW121" s="76"/>
      <c r="CX121" s="82" t="str" cm="1">
        <f t="array" aca="1" ref="CX121" ca="1">IF(CY121&lt;&gt;"","",
IF(COUNTIF(CV120,"*雙葉*"),"",
IF(CV120&lt;&gt;"",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+MATCH(TRUE,INDIRECT("'数出表_Excel'!"&amp;CU120&amp;MATCH(CZ36,数出表_Excel!$A:$A,0)-1&amp;":AL"&amp;MATCH(CZ36,数出表_Excel!$A:$A,0)-1&amp;"")&lt;&gt;"",0))&gt;9,"",
IFERROR(
INDEX(INDIRECT("数出表_Excel!$"&amp;CU120&amp;"4:$AL4"),
 1,
MATCH(TRUE,INDIRECT("'数出表_Excel'!"&amp;CU120&amp;MATCH(CZ36,数出表_Excel!$A:$A,0)-1&amp;":AL"&amp;MATCH(CZ36,数出表_Excel!$A:$A,0)-1&amp;"")&lt;&gt;"",0)
),
 "")
&amp;IFERROR(
INDEX(INDIRECT("数出表_Excel!$"&amp;CU120&amp;"5:$AL5"),
 1,
MATCH(TRUE,INDIRECT("'数出表_Excel'!"&amp;CU120&amp;MATCH(CZ36,数出表_Excel!$A:$A,0)-1&amp;":AL"&amp;MATCH(CZ36,数出表_Excel!$A:$A,0)-1&amp;"")&lt;&gt;"",0)),
 "")),"")))</f>
        <v/>
      </c>
      <c r="CY121" s="83" t="str" cm="1">
        <f t="array" aca="1" ref="CY121" ca="1">IF(CV121&lt;&gt;"",
IF(COUNTIF(CV120,"*雙葉*"),
IF(ROUND(
IF(CY126&lt;&gt;"",(CV123-CY126),CV123)
/IF(COUNTIF(CV121,"*キャラ*"),
VLOOKUP("*キャラ*",商品マスタ一覧!$D:$J,7,FALSE),
IF(COUNTIF(CV121,"*赤*"),
VLOOKUP("*赤*",商品マスタ一覧!$D:$J,7,FALSE),
VLOOKUP(CV121,商品マスタ一覧!$D:$J,7,FALSE))),0)&lt;=0,1,
ROUND(
IF(CY126&lt;&gt;"",(CV123-CY126),CV123)
/IF(COUNTIF(CV121,"*キャラ*"),
VLOOKUP("*キャラ*",商品マスタ一覧!$D:$J,7,FALSE),
IF(COUNTIF(CV121,"*赤*"),
VLOOKUP("*赤*",商品マスタ一覧!$D:$J,7,FALSE),
VLOOKUP(CV121,商品マスタ一覧!$D:$J,7,FALSE))),0)),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IF(CV121&lt;&gt;"",
IF(IF(COUNTIF(CV121,"*キャラ*"),
VLOOKUP("*キャラ*",商品マスタ一覧!$D:$J,7,FALSE),
IF(COUNTIF(CV121,"*赤*"),
VLOOKUP("*赤*",商品マスタ一覧!$D:$J,7,FALSE),
VLOOKUP(CV121,商品マスタ一覧!$D:$J,7,FALSE)))=0,"",
IF(ROUND(
IF(CY126&lt;&gt;"",(CV123-CY126),CV123)
/IF(COUNTIF(CV121,"*キャラ*"),
VLOOKUP("*キャラ*",商品マスタ一覧!$D:$J,7,FALSE),
IF(COUNTIF(CV121,"*赤*"),
VLOOKUP("*赤*",商品マスタ一覧!$D:$J,7,FALSE),
VLOOKUP(CV121,商品マスタ一覧!$D:$J,7,FALSE))),0)&lt;=0,1,
ROUND(
IF(CY126&lt;&gt;"",(CV123-CY126),CV123)
/IF(COUNTIF(CV121,"*キャラ*"),
VLOOKUP("*キャラ*",商品マスタ一覧!$D:$J,7,FALSE),
IF(COUNTIF(CV121,"*赤*"),
VLOOKUP("*赤*",商品マスタ一覧!$D:$J,7,FALSE),
VLOOKUP(CV121,商品マスタ一覧!$D:$J,7,FALSE))),0))),""),"")),"")</f>
        <v/>
      </c>
      <c r="CZ121" s="92" t="str">
        <f ca="1">IF(CY121&lt;&gt;"",IF(CV123&lt;&gt;"",IF(VALUE(IF(CY126&lt;&gt;"",CV123-CY126,CV123))&gt;VALUE(IF(COUNTIF('盛付札（関数）'!CV121,"*キャラ*"),
VLOOKUP("*キャラ*",商品マスタ一覧!$D:$J,7,FALSE),
IF(COUNTIF('盛付札（関数）'!CV121,"*赤*"),
VLOOKUP("*赤*",商品マスタ一覧!$D:$J,7,FALSE),
VLOOKUP('盛付札（関数）'!CV121,商品マスタ一覧!$D:$J,7,FALSE)))*CY121),
"+"&amp;IF(CY126&lt;&gt;"",CV123-CY126,CV123)-IF(COUNTIF('盛付札（関数）'!CV121,"*キャラ*"),
VLOOKUP("*キャラ*",商品マスタ一覧!$D:$J,7,FALSE),
IF(COUNTIF('盛付札（関数）'!CV121,"*赤*"),
VLOOKUP("*赤*",商品マスタ一覧!$D:$J,7,FALSE),
VLOOKUP('盛付札（関数）'!CV121,商品マスタ一覧!$D:$J,7,FALSE)))*CY121,
IF(CY126&lt;&gt;"",CV123-CY126,CV123)-IF(COUNTIF('盛付札（関数）'!CV121,"*キャラ*"),
VLOOKUP("*キャラ*",商品マスタ一覧!$D:$J,7,FALSE),
IF(COUNTIF('盛付札（関数）'!CV121,"*赤*"),
VLOOKUP("*赤*",商品マスタ一覧!$D:$J,7,FALSE),
VLOOKUP('盛付札（関数）'!CV121,商品マスタ一覧!$D:$J,7,FALSE)))*CY121),""),"")</f>
        <v/>
      </c>
      <c r="DC121" s="81" t="e" cm="1">
        <f t="array" aca="1" ref="DC121" ca="1">IF(DC38&lt;&gt;100,
IF(DD123&lt;&gt;"",MATCH(DD123,INDIRECT("数出表_Excel!B"&amp;MATCH(DH36,数出表_Excel!$A:$A,0)-1&amp;":U"&amp;MATCH(DH36,数出表_Excel!$A:$A,0)-1&amp;""),0)+1,""),
IF(DD123&lt;&gt;"",
MATCH(
IFERROR(
INDEX(INDIRECT("数出表_Excel!"&amp;DC120&amp;MATCH(DH36,数出表_Excel!$A:$A,0)-1&amp;":U"&amp;MATCH(DH36,数出表_Excel!$A:$A,0)-1&amp;""),
 1,
 MATCH(TRUE, ISNUMBER(--INDIRECT("数出表_Excel!"&amp;DC120&amp;MATCH(DH36,数出表_Excel!$A:$A,0)-1&amp;":U"&amp;MATCH(DH36,数出表_Excel!$A:$A,0)-1&amp;"")),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121" s="58" t="str" cm="1">
        <f t="array" aca="1" ref="DD121" ca="1">IFERROR(IF(OR(
COUNTIF(INDIRECT("数出表_Excel!" &amp;
CHAR(MATCH(TRUE,
ISNUMBER(--INDIRECT("数出表_Excel!"&amp;DC120&amp;MATCH(DH36,数出表_Excel!$A:$A,0)-1&amp;":U"&amp;MATCH(DH36,数出表_Excel!$A:$A,0)-1&amp;"")),0)
+MATCH(TRUE, ISNUMBER(--INDIRECT("数出表_Excel!B" &amp; (MATCH(DH36,数出表_Excel!$A:$A,0)-1) &amp; ":U" &amp; (MATCH(DH36,数出表_Excel!$A:$A,0)-1))), 0)
+MATCH(TRUE, ISNUMBER(--INDIRECT("数出表_Excel!"&amp;DC78&amp; (MATCH(DH36,数出表_Excel!$A:$A,0)-1) &amp; ":U" &amp; (MATCH(DH36,数出表_Excel!$A:$A,0)-1))), 0)
+65) &amp; "3"),"*配膳*"),
COUNTIF(INDIRECT("数出表_Excel!" &amp;
CHAR(MATCH(TRUE,
ISNUMBER(--INDIRECT("数出表_Excel!"&amp;DC120&amp;MATCH(DH36,数出表_Excel!$A:$A,0)-1&amp;":U"&amp;MATCH(DH36,数出表_Excel!$A:$A,0)-1&amp;"")),0)
+MATCH(TRUE, ISNUMBER(--INDIRECT("数出表_Excel!B" &amp; (MATCH(DH36,数出表_Excel!$A:$A,0)-1) &amp; ":U" &amp; (MATCH(DH36,数出表_Excel!$A:$A,0)-1))), 0)
+MATCH(TRUE, ISNUMBER(--INDIRECT("数出表_Excel!"&amp;DC78&amp; (MATCH(DH36,数出表_Excel!$A:$A,0)-1) &amp; ":U" &amp; (MATCH(DH36,数出表_Excel!$A:$A,0)-1))), 0)
+65) &amp; "3"),"*カレー*"),
COUNTIF(DD78,"*合計*")),"",
IF(IFERROR(INDIRECT("数出表_Excel!" &amp;
CHAR(MATCH(TRUE,
ISNUMBER(--INDIRECT("数出表_Excel!"&amp;DC120&amp;MATCH(DH36,数出表_Excel!$A:$A,0)-1&amp;":U"&amp;MATCH(DH36,数出表_Excel!$A:$A,0)-1&amp;"")),0)
+MATCH(TRUE, ISNUMBER(--INDIRECT("数出表_Excel!B" &amp; (MATCH(DH36,数出表_Excel!$A:$A,0)-1) &amp; ":U" &amp; (MATCH(DH36,数出表_Excel!$A:$A,0)-1))), 0)
+MATCH(TRUE, ISNUMBER(--INDIRECT("数出表_Excel!"&amp;DC78&amp; (MATCH(DH36,数出表_Excel!$A:$A,0)-1) &amp; ":U" &amp; (MATCH(DH36,数出表_Excel!$A:$A,0)-1))), 0)
+65) &amp; "3"),0)=0,"",
IFERROR(INDIRECT("数出表_Excel!" &amp;
CHAR(MATCH(TRUE,
ISNUMBER(--INDIRECT("数出表_Excel!"&amp;DC120&amp;MATCH(DH36,数出表_Excel!$A:$A,0)-1&amp;":U"&amp;MATCH(DH36,数出表_Excel!$A:$A,0)-1&amp;"")),0)
+MATCH(TRUE, ISNUMBER(--INDIRECT("数出表_Excel!B" &amp; (MATCH(DH36,数出表_Excel!$A:$A,0)-1) &amp; ":U" &amp; (MATCH(DH36,数出表_Excel!$A:$A,0)-1))), 0)
+MATCH(TRUE, ISNUMBER(--INDIRECT("数出表_Excel!"&amp;DC78&amp; (MATCH(DH36,数出表_Excel!$A:$A,0)-1) &amp; ":U" &amp; (MATCH(DH36,数出表_Excel!$A:$A,0)-1))), 0)
+65) &amp; "3"),""))),"")</f>
        <v/>
      </c>
      <c r="DE121" s="76"/>
      <c r="DF121" s="82" t="str" cm="1">
        <f t="array" aca="1" ref="DF121" ca="1">IF(DG121&lt;&gt;"","",
IF(COUNTIF(DD120,"*雙葉*"),"",
IF(DD120&lt;&gt;"",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+MATCH(TRUE,INDIRECT("'数出表_Excel'!"&amp;DC120&amp;MATCH(DH36,数出表_Excel!$A:$A,0)-1&amp;":AL"&amp;MATCH(DH36,数出表_Excel!$A:$A,0)-1&amp;"")&lt;&gt;"",0))&gt;9,"",
IFERROR(
INDEX(INDIRECT("数出表_Excel!$"&amp;DC120&amp;"4:$AL4"),
 1,
MATCH(TRUE,INDIRECT("'数出表_Excel'!"&amp;DC120&amp;MATCH(DH36,数出表_Excel!$A:$A,0)-1&amp;":AL"&amp;MATCH(DH36,数出表_Excel!$A:$A,0)-1&amp;"")&lt;&gt;"",0)
),
 "")
&amp;IFERROR(
INDEX(INDIRECT("数出表_Excel!$"&amp;DC120&amp;"5:$AL5"),
 1,
MATCH(TRUE,INDIRECT("'数出表_Excel'!"&amp;DC120&amp;MATCH(DH36,数出表_Excel!$A:$A,0)-1&amp;":AL"&amp;MATCH(DH36,数出表_Excel!$A:$A,0)-1&amp;"")&lt;&gt;"",0)),
 "")),"")))</f>
        <v/>
      </c>
      <c r="DG121" s="83" t="str" cm="1">
        <f t="array" aca="1" ref="DG121" ca="1">IF(DD121&lt;&gt;"",
IF(COUNTIF(DD120,"*雙葉*"),
IF(ROUND(
IF(DG126&lt;&gt;"",(DD123-DG126),DD123)
/IF(COUNTIF(DD121,"*キャラ*"),
VLOOKUP("*キャラ*",商品マスタ一覧!$D:$J,7,FALSE),
IF(COUNTIF(DD121,"*赤*"),
VLOOKUP("*赤*",商品マスタ一覧!$D:$J,7,FALSE),
VLOOKUP(DD121,商品マスタ一覧!$D:$J,7,FALSE))),0)&lt;=0,1,
ROUND(
IF(DG126&lt;&gt;"",(DD123-DG126),DD123)
/IF(COUNTIF(DD121,"*キャラ*"),
VLOOKUP("*キャラ*",商品マスタ一覧!$D:$J,7,FALSE),
IF(COUNTIF(DD121,"*赤*"),
VLOOKUP("*赤*",商品マスタ一覧!$D:$J,7,FALSE),
VLOOKUP(DD121,商品マスタ一覧!$D:$J,7,FALSE))),0)),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IF(DD121&lt;&gt;"",
IF(IF(COUNTIF(DD121,"*キャラ*"),
VLOOKUP("*キャラ*",商品マスタ一覧!$D:$J,7,FALSE),
IF(COUNTIF(DD121,"*赤*"),
VLOOKUP("*赤*",商品マスタ一覧!$D:$J,7,FALSE),
VLOOKUP(DD121,商品マスタ一覧!$D:$J,7,FALSE)))=0,"",
IF(ROUND(
IF(DG126&lt;&gt;"",(DD123-DG126),DD123)
/IF(COUNTIF(DD121,"*キャラ*"),
VLOOKUP("*キャラ*",商品マスタ一覧!$D:$J,7,FALSE),
IF(COUNTIF(DD121,"*赤*"),
VLOOKUP("*赤*",商品マスタ一覧!$D:$J,7,FALSE),
VLOOKUP(DD121,商品マスタ一覧!$D:$J,7,FALSE))),0)&lt;=0,1,
ROUND(
IF(DG126&lt;&gt;"",(DD123-DG126),DD123)
/IF(COUNTIF(DD121,"*キャラ*"),
VLOOKUP("*キャラ*",商品マスタ一覧!$D:$J,7,FALSE),
IF(COUNTIF(DD121,"*赤*"),
VLOOKUP("*赤*",商品マスタ一覧!$D:$J,7,FALSE),
VLOOKUP(DD121,商品マスタ一覧!$D:$J,7,FALSE))),0))),""),"")),"")</f>
        <v/>
      </c>
      <c r="DH121" s="92" t="str">
        <f ca="1">IF(DG121&lt;&gt;"",IF(DD123&lt;&gt;"",IF(VALUE(IF(DG126&lt;&gt;"",DD123-DG126,DD123))&gt;VALUE(IF(COUNTIF('盛付札（関数）'!DD121,"*キャラ*"),
VLOOKUP("*キャラ*",商品マスタ一覧!$D:$J,7,FALSE),
IF(COUNTIF('盛付札（関数）'!DD121,"*赤*"),
VLOOKUP("*赤*",商品マスタ一覧!$D:$J,7,FALSE),
VLOOKUP('盛付札（関数）'!DD121,商品マスタ一覧!$D:$J,7,FALSE)))*DG121),
"+"&amp;IF(DG126&lt;&gt;"",DD123-DG126,DD123)-IF(COUNTIF('盛付札（関数）'!DD121,"*キャラ*"),
VLOOKUP("*キャラ*",商品マスタ一覧!$D:$J,7,FALSE),
IF(COUNTIF('盛付札（関数）'!DD121,"*赤*"),
VLOOKUP("*赤*",商品マスタ一覧!$D:$J,7,FALSE),
VLOOKUP('盛付札（関数）'!DD121,商品マスタ一覧!$D:$J,7,FALSE)))*DG121,
IF(DG126&lt;&gt;"",DD123-DG126,DD123)-IF(COUNTIF('盛付札（関数）'!DD121,"*キャラ*"),
VLOOKUP("*キャラ*",商品マスタ一覧!$D:$J,7,FALSE),
IF(COUNTIF('盛付札（関数）'!DD121,"*赤*"),
VLOOKUP("*赤*",商品マスタ一覧!$D:$J,7,FALSE),
VLOOKUP('盛付札（関数）'!DD121,商品マスタ一覧!$D:$J,7,FALSE)))*DG121),""),"")</f>
        <v/>
      </c>
      <c r="DI121" s="76"/>
      <c r="DJ121" s="81" t="e" cm="1">
        <f t="array" aca="1" ref="DJ121" ca="1">IF(DJ38&lt;&gt;100,
IF(DK123&lt;&gt;"",MATCH(DK123,INDIRECT("数出表_Excel!B"&amp;MATCH(DO36,数出表_Excel!$A:$A,0)-1&amp;":U"&amp;MATCH(DO36,数出表_Excel!$A:$A,0)-1&amp;""),0)+1,""),
IF(DK123&lt;&gt;"",
MATCH(
IFERROR(
INDEX(INDIRECT("数出表_Excel!"&amp;DJ120&amp;MATCH(DO36,数出表_Excel!$A:$A,0)-1&amp;":U"&amp;MATCH(DO36,数出表_Excel!$A:$A,0)-1&amp;""),
 1,
 MATCH(TRUE, ISNUMBER(--INDIRECT("数出表_Excel!"&amp;DJ120&amp;MATCH(DO36,数出表_Excel!$A:$A,0)-1&amp;":U"&amp;MATCH(DO36,数出表_Excel!$A:$A,0)-1&amp;"")),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121" s="58" t="str" cm="1">
        <f t="array" aca="1" ref="DK121" ca="1">IFERROR(IF(OR(
COUNTIF(INDIRECT("数出表_Excel!" &amp;
CHAR(MATCH(TRUE,
ISNUMBER(--INDIRECT("数出表_Excel!"&amp;DJ120&amp;MATCH(DO36,数出表_Excel!$A:$A,0)-1&amp;":U"&amp;MATCH(DO36,数出表_Excel!$A:$A,0)-1&amp;"")),0)
+MATCH(TRUE, ISNUMBER(--INDIRECT("数出表_Excel!B" &amp; (MATCH(DO36,数出表_Excel!$A:$A,0)-1) &amp; ":U" &amp; (MATCH(DO36,数出表_Excel!$A:$A,0)-1))), 0)
+MATCH(TRUE, ISNUMBER(--INDIRECT("数出表_Excel!"&amp;DJ78&amp; (MATCH(DO36,数出表_Excel!$A:$A,0)-1) &amp; ":U" &amp; (MATCH(DO36,数出表_Excel!$A:$A,0)-1))), 0)
+65) &amp; "3"),"*配膳*"),
COUNTIF(INDIRECT("数出表_Excel!" &amp;
CHAR(MATCH(TRUE,
ISNUMBER(--INDIRECT("数出表_Excel!"&amp;DJ120&amp;MATCH(DO36,数出表_Excel!$A:$A,0)-1&amp;":U"&amp;MATCH(DO36,数出表_Excel!$A:$A,0)-1&amp;"")),0)
+MATCH(TRUE, ISNUMBER(--INDIRECT("数出表_Excel!B" &amp; (MATCH(DO36,数出表_Excel!$A:$A,0)-1) &amp; ":U" &amp; (MATCH(DO36,数出表_Excel!$A:$A,0)-1))), 0)
+MATCH(TRUE, ISNUMBER(--INDIRECT("数出表_Excel!"&amp;DJ78&amp; (MATCH(DO36,数出表_Excel!$A:$A,0)-1) &amp; ":U" &amp; (MATCH(DO36,数出表_Excel!$A:$A,0)-1))), 0)
+65) &amp; "3"),"*カレー*"),
COUNTIF(DK78,"*合計*")),"",
IF(IFERROR(INDIRECT("数出表_Excel!" &amp;
CHAR(MATCH(TRUE,
ISNUMBER(--INDIRECT("数出表_Excel!"&amp;DJ120&amp;MATCH(DO36,数出表_Excel!$A:$A,0)-1&amp;":U"&amp;MATCH(DO36,数出表_Excel!$A:$A,0)-1&amp;"")),0)
+MATCH(TRUE, ISNUMBER(--INDIRECT("数出表_Excel!B" &amp; (MATCH(DO36,数出表_Excel!$A:$A,0)-1) &amp; ":U" &amp; (MATCH(DO36,数出表_Excel!$A:$A,0)-1))), 0)
+MATCH(TRUE, ISNUMBER(--INDIRECT("数出表_Excel!"&amp;DJ78&amp; (MATCH(DO36,数出表_Excel!$A:$A,0)-1) &amp; ":U" &amp; (MATCH(DO36,数出表_Excel!$A:$A,0)-1))), 0)
+65) &amp; "3"),0)=0,"",
IFERROR(INDIRECT("数出表_Excel!" &amp;
CHAR(MATCH(TRUE,
ISNUMBER(--INDIRECT("数出表_Excel!"&amp;DJ120&amp;MATCH(DO36,数出表_Excel!$A:$A,0)-1&amp;":U"&amp;MATCH(DO36,数出表_Excel!$A:$A,0)-1&amp;"")),0)
+MATCH(TRUE, ISNUMBER(--INDIRECT("数出表_Excel!B" &amp; (MATCH(DO36,数出表_Excel!$A:$A,0)-1) &amp; ":U" &amp; (MATCH(DO36,数出表_Excel!$A:$A,0)-1))), 0)
+MATCH(TRUE, ISNUMBER(--INDIRECT("数出表_Excel!"&amp;DJ78&amp; (MATCH(DO36,数出表_Excel!$A:$A,0)-1) &amp; ":U" &amp; (MATCH(DO36,数出表_Excel!$A:$A,0)-1))), 0)
+65) &amp; "3"),""))),"")</f>
        <v/>
      </c>
      <c r="DL121" s="76"/>
      <c r="DM121" s="82" t="str" cm="1">
        <f t="array" aca="1" ref="DM121" ca="1">IF(DN121&lt;&gt;"","",
IF(COUNTIF(DK120,"*雙葉*"),"",
IF(DK120&lt;&gt;"",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+MATCH(TRUE,INDIRECT("'数出表_Excel'!"&amp;DJ120&amp;MATCH(DO36,数出表_Excel!$A:$A,0)-1&amp;":AL"&amp;MATCH(DO36,数出表_Excel!$A:$A,0)-1&amp;"")&lt;&gt;"",0))&gt;9,"",
IFERROR(
INDEX(INDIRECT("数出表_Excel!$"&amp;DJ120&amp;"4:$AL4"),
 1,
MATCH(TRUE,INDIRECT("'数出表_Excel'!"&amp;DJ120&amp;MATCH(DO36,数出表_Excel!$A:$A,0)-1&amp;":AL"&amp;MATCH(DO36,数出表_Excel!$A:$A,0)-1&amp;"")&lt;&gt;"",0)
),
 "")
&amp;IFERROR(
INDEX(INDIRECT("数出表_Excel!$"&amp;DJ120&amp;"5:$AL5"),
 1,
MATCH(TRUE,INDIRECT("'数出表_Excel'!"&amp;DJ120&amp;MATCH(DO36,数出表_Excel!$A:$A,0)-1&amp;":AL"&amp;MATCH(DO36,数出表_Excel!$A:$A,0)-1&amp;"")&lt;&gt;"",0)),
 "")),"")))</f>
        <v/>
      </c>
      <c r="DN121" s="83" t="str" cm="1">
        <f t="array" aca="1" ref="DN121" ca="1">IF(DK121&lt;&gt;"",
IF(COUNTIF(DK120,"*雙葉*"),
IF(ROUND(
IF(DN126&lt;&gt;"",(DK123-DN126),DK123)
/IF(COUNTIF(DK121,"*キャラ*"),
VLOOKUP("*キャラ*",商品マスタ一覧!$D:$J,7,FALSE),
IF(COUNTIF(DK121,"*赤*"),
VLOOKUP("*赤*",商品マスタ一覧!$D:$J,7,FALSE),
VLOOKUP(DK121,商品マスタ一覧!$D:$J,7,FALSE))),0)&lt;=0,1,
ROUND(
IF(DN126&lt;&gt;"",(DK123-DN126),DK123)
/IF(COUNTIF(DK121,"*キャラ*"),
VLOOKUP("*キャラ*",商品マスタ一覧!$D:$J,7,FALSE),
IF(COUNTIF(DK121,"*赤*"),
VLOOKUP("*赤*",商品マスタ一覧!$D:$J,7,FALSE),
VLOOKUP(DK121,商品マスタ一覧!$D:$J,7,FALSE))),0)),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IF(DK121&lt;&gt;"",
IF(IF(COUNTIF(DK121,"*キャラ*"),
VLOOKUP("*キャラ*",商品マスタ一覧!$D:$J,7,FALSE),
IF(COUNTIF(DK121,"*赤*"),
VLOOKUP("*赤*",商品マスタ一覧!$D:$J,7,FALSE),
VLOOKUP(DK121,商品マスタ一覧!$D:$J,7,FALSE)))=0,"",
IF(ROUND(
IF(DN126&lt;&gt;"",(DK123-DN126),DK123)
/IF(COUNTIF(DK121,"*キャラ*"),
VLOOKUP("*キャラ*",商品マスタ一覧!$D:$J,7,FALSE),
IF(COUNTIF(DK121,"*赤*"),
VLOOKUP("*赤*",商品マスタ一覧!$D:$J,7,FALSE),
VLOOKUP(DK121,商品マスタ一覧!$D:$J,7,FALSE))),0)&lt;=0,1,
ROUND(
IF(DN126&lt;&gt;"",(DK123-DN126),DK123)
/IF(COUNTIF(DK121,"*キャラ*"),
VLOOKUP("*キャラ*",商品マスタ一覧!$D:$J,7,FALSE),
IF(COUNTIF(DK121,"*赤*"),
VLOOKUP("*赤*",商品マスタ一覧!$D:$J,7,FALSE),
VLOOKUP(DK121,商品マスタ一覧!$D:$J,7,FALSE))),0))),""),"")),"")</f>
        <v/>
      </c>
      <c r="DO121" s="92" t="str">
        <f ca="1">IF(DN121&lt;&gt;"",IF(DK123&lt;&gt;"",IF(VALUE(IF(DN126&lt;&gt;"",DK123-DN126,DK123))&gt;VALUE(IF(COUNTIF('盛付札（関数）'!DK121,"*キャラ*"),
VLOOKUP("*キャラ*",商品マスタ一覧!$D:$J,7,FALSE),
IF(COUNTIF('盛付札（関数）'!DK121,"*赤*"),
VLOOKUP("*赤*",商品マスタ一覧!$D:$J,7,FALSE),
VLOOKUP('盛付札（関数）'!DK121,商品マスタ一覧!$D:$J,7,FALSE)))*DN121),
"+"&amp;IF(DN126&lt;&gt;"",DK123-DN126,DK123)-IF(COUNTIF('盛付札（関数）'!DK121,"*キャラ*"),
VLOOKUP("*キャラ*",商品マスタ一覧!$D:$J,7,FALSE),
IF(COUNTIF('盛付札（関数）'!DK121,"*赤*"),
VLOOKUP("*赤*",商品マスタ一覧!$D:$J,7,FALSE),
VLOOKUP('盛付札（関数）'!DK121,商品マスタ一覧!$D:$J,7,FALSE)))*DN121,
IF(DN126&lt;&gt;"",DK123-DN126,DK123)-IF(COUNTIF('盛付札（関数）'!DK121,"*キャラ*"),
VLOOKUP("*キャラ*",商品マスタ一覧!$D:$J,7,FALSE),
IF(COUNTIF('盛付札（関数）'!DK121,"*赤*"),
VLOOKUP("*赤*",商品マスタ一覧!$D:$J,7,FALSE),
VLOOKUP('盛付札（関数）'!DK121,商品マスタ一覧!$D:$J,7,FALSE)))*DN121),""),"")</f>
        <v/>
      </c>
      <c r="DR121" s="81" t="e" cm="1">
        <f t="array" aca="1" ref="DR121" ca="1">IF(DR38&lt;&gt;100,
IF(DS123&lt;&gt;"",MATCH(DS123,INDIRECT("数出表_Excel!B"&amp;MATCH(DW36,数出表_Excel!$A:$A,0)-1&amp;":U"&amp;MATCH(DW36,数出表_Excel!$A:$A,0)-1&amp;""),0)+1,""),
IF(DS123&lt;&gt;"",
MATCH(
IFERROR(
INDEX(INDIRECT("数出表_Excel!"&amp;DR120&amp;MATCH(DW36,数出表_Excel!$A:$A,0)-1&amp;":U"&amp;MATCH(DW36,数出表_Excel!$A:$A,0)-1&amp;""),
 1,
 MATCH(TRUE, ISNUMBER(--INDIRECT("数出表_Excel!"&amp;DR120&amp;MATCH(DW36,数出表_Excel!$A:$A,0)-1&amp;":U"&amp;MATCH(DW36,数出表_Excel!$A:$A,0)-1&amp;"")),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121" s="58" t="str" cm="1">
        <f t="array" aca="1" ref="DS121" ca="1">IFERROR(IF(OR(
COUNTIF(INDIRECT("数出表_Excel!" &amp;
CHAR(MATCH(TRUE,
ISNUMBER(--INDIRECT("数出表_Excel!"&amp;DR120&amp;MATCH(DW36,数出表_Excel!$A:$A,0)-1&amp;":U"&amp;MATCH(DW36,数出表_Excel!$A:$A,0)-1&amp;"")),0)
+MATCH(TRUE, ISNUMBER(--INDIRECT("数出表_Excel!B" &amp; (MATCH(DW36,数出表_Excel!$A:$A,0)-1) &amp; ":U" &amp; (MATCH(DW36,数出表_Excel!$A:$A,0)-1))), 0)
+MATCH(TRUE, ISNUMBER(--INDIRECT("数出表_Excel!"&amp;DR78&amp; (MATCH(DW36,数出表_Excel!$A:$A,0)-1) &amp; ":U" &amp; (MATCH(DW36,数出表_Excel!$A:$A,0)-1))), 0)
+65) &amp; "3"),"*配膳*"),
COUNTIF(INDIRECT("数出表_Excel!" &amp;
CHAR(MATCH(TRUE,
ISNUMBER(--INDIRECT("数出表_Excel!"&amp;DR120&amp;MATCH(DW36,数出表_Excel!$A:$A,0)-1&amp;":U"&amp;MATCH(DW36,数出表_Excel!$A:$A,0)-1&amp;"")),0)
+MATCH(TRUE, ISNUMBER(--INDIRECT("数出表_Excel!B" &amp; (MATCH(DW36,数出表_Excel!$A:$A,0)-1) &amp; ":U" &amp; (MATCH(DW36,数出表_Excel!$A:$A,0)-1))), 0)
+MATCH(TRUE, ISNUMBER(--INDIRECT("数出表_Excel!"&amp;DR78&amp; (MATCH(DW36,数出表_Excel!$A:$A,0)-1) &amp; ":U" &amp; (MATCH(DW36,数出表_Excel!$A:$A,0)-1))), 0)
+65) &amp; "3"),"*カレー*"),
COUNTIF(DS78,"*合計*")),"",
IF(IFERROR(INDIRECT("数出表_Excel!" &amp;
CHAR(MATCH(TRUE,
ISNUMBER(--INDIRECT("数出表_Excel!"&amp;DR120&amp;MATCH(DW36,数出表_Excel!$A:$A,0)-1&amp;":U"&amp;MATCH(DW36,数出表_Excel!$A:$A,0)-1&amp;"")),0)
+MATCH(TRUE, ISNUMBER(--INDIRECT("数出表_Excel!B" &amp; (MATCH(DW36,数出表_Excel!$A:$A,0)-1) &amp; ":U" &amp; (MATCH(DW36,数出表_Excel!$A:$A,0)-1))), 0)
+MATCH(TRUE, ISNUMBER(--INDIRECT("数出表_Excel!"&amp;DR78&amp; (MATCH(DW36,数出表_Excel!$A:$A,0)-1) &amp; ":U" &amp; (MATCH(DW36,数出表_Excel!$A:$A,0)-1))), 0)
+65) &amp; "3"),0)=0,"",
IFERROR(INDIRECT("数出表_Excel!" &amp;
CHAR(MATCH(TRUE,
ISNUMBER(--INDIRECT("数出表_Excel!"&amp;DR120&amp;MATCH(DW36,数出表_Excel!$A:$A,0)-1&amp;":U"&amp;MATCH(DW36,数出表_Excel!$A:$A,0)-1&amp;"")),0)
+MATCH(TRUE, ISNUMBER(--INDIRECT("数出表_Excel!B" &amp; (MATCH(DW36,数出表_Excel!$A:$A,0)-1) &amp; ":U" &amp; (MATCH(DW36,数出表_Excel!$A:$A,0)-1))), 0)
+MATCH(TRUE, ISNUMBER(--INDIRECT("数出表_Excel!"&amp;DR78&amp; (MATCH(DW36,数出表_Excel!$A:$A,0)-1) &amp; ":U" &amp; (MATCH(DW36,数出表_Excel!$A:$A,0)-1))), 0)
+65) &amp; "3"),""))),"")</f>
        <v/>
      </c>
      <c r="DT121" s="76"/>
      <c r="DU121" s="82" t="str" cm="1">
        <f t="array" aca="1" ref="DU121" ca="1">IF(DV121&lt;&gt;"","",
IF(COUNTIF(DS120,"*雙葉*"),"",
IF(DS120&lt;&gt;"",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+MATCH(TRUE,INDIRECT("'数出表_Excel'!"&amp;DR120&amp;MATCH(DW36,数出表_Excel!$A:$A,0)-1&amp;":AL"&amp;MATCH(DW36,数出表_Excel!$A:$A,0)-1&amp;"")&lt;&gt;"",0))&gt;9,"",
IFERROR(
INDEX(INDIRECT("数出表_Excel!$"&amp;DR120&amp;"4:$AL4"),
 1,
MATCH(TRUE,INDIRECT("'数出表_Excel'!"&amp;DR120&amp;MATCH(DW36,数出表_Excel!$A:$A,0)-1&amp;":AL"&amp;MATCH(DW36,数出表_Excel!$A:$A,0)-1&amp;"")&lt;&gt;"",0)
),
 "")
&amp;IFERROR(
INDEX(INDIRECT("数出表_Excel!$"&amp;DR120&amp;"5:$AL5"),
 1,
MATCH(TRUE,INDIRECT("'数出表_Excel'!"&amp;DR120&amp;MATCH(DW36,数出表_Excel!$A:$A,0)-1&amp;":AL"&amp;MATCH(DW36,数出表_Excel!$A:$A,0)-1&amp;"")&lt;&gt;"",0)),
 "")),"")))</f>
        <v/>
      </c>
      <c r="DV121" s="83" t="str" cm="1">
        <f t="array" aca="1" ref="DV121" ca="1">IF(DS121&lt;&gt;"",
IF(COUNTIF(DS120,"*雙葉*"),
IF(ROUND(
IF(DV126&lt;&gt;"",(DS123-DV126),DS123)
/IF(COUNTIF(DS121,"*キャラ*"),
VLOOKUP("*キャラ*",商品マスタ一覧!$D:$J,7,FALSE),
IF(COUNTIF(DS121,"*赤*"),
VLOOKUP("*赤*",商品マスタ一覧!$D:$J,7,FALSE),
VLOOKUP(DS121,商品マスタ一覧!$D:$J,7,FALSE))),0)&lt;=0,1,
ROUND(
IF(DV126&lt;&gt;"",(DS123-DV126),DS123)
/IF(COUNTIF(DS121,"*キャラ*"),
VLOOKUP("*キャラ*",商品マスタ一覧!$D:$J,7,FALSE),
IF(COUNTIF(DS121,"*赤*"),
VLOOKUP("*赤*",商品マスタ一覧!$D:$J,7,FALSE),
VLOOKUP(DS121,商品マスタ一覧!$D:$J,7,FALSE))),0)),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IF(DS121&lt;&gt;"",
IF(IF(COUNTIF(DS121,"*キャラ*"),
VLOOKUP("*キャラ*",商品マスタ一覧!$D:$J,7,FALSE),
IF(COUNTIF(DS121,"*赤*"),
VLOOKUP("*赤*",商品マスタ一覧!$D:$J,7,FALSE),
VLOOKUP(DS121,商品マスタ一覧!$D:$J,7,FALSE)))=0,"",
IF(ROUND(
IF(DV126&lt;&gt;"",(DS123-DV126),DS123)
/IF(COUNTIF(DS121,"*キャラ*"),
VLOOKUP("*キャラ*",商品マスタ一覧!$D:$J,7,FALSE),
IF(COUNTIF(DS121,"*赤*"),
VLOOKUP("*赤*",商品マスタ一覧!$D:$J,7,FALSE),
VLOOKUP(DS121,商品マスタ一覧!$D:$J,7,FALSE))),0)&lt;=0,1,
ROUND(
IF(DV126&lt;&gt;"",(DS123-DV126),DS123)
/IF(COUNTIF(DS121,"*キャラ*"),
VLOOKUP("*キャラ*",商品マスタ一覧!$D:$J,7,FALSE),
IF(COUNTIF(DS121,"*赤*"),
VLOOKUP("*赤*",商品マスタ一覧!$D:$J,7,FALSE),
VLOOKUP(DS121,商品マスタ一覧!$D:$J,7,FALSE))),0))),""),"")),"")</f>
        <v/>
      </c>
      <c r="DW121" s="92" t="str">
        <f ca="1">IF(DV121&lt;&gt;"",IF(DS123&lt;&gt;"",IF(VALUE(IF(DV126&lt;&gt;"",DS123-DV126,DS123))&gt;VALUE(IF(COUNTIF('盛付札（関数）'!DS121,"*キャラ*"),
VLOOKUP("*キャラ*",商品マスタ一覧!$D:$J,7,FALSE),
IF(COUNTIF('盛付札（関数）'!DS121,"*赤*"),
VLOOKUP("*赤*",商品マスタ一覧!$D:$J,7,FALSE),
VLOOKUP('盛付札（関数）'!DS121,商品マスタ一覧!$D:$J,7,FALSE)))*DV121),
"+"&amp;IF(DV126&lt;&gt;"",DS123-DV126,DS123)-IF(COUNTIF('盛付札（関数）'!DS121,"*キャラ*"),
VLOOKUP("*キャラ*",商品マスタ一覧!$D:$J,7,FALSE),
IF(COUNTIF('盛付札（関数）'!DS121,"*赤*"),
VLOOKUP("*赤*",商品マスタ一覧!$D:$J,7,FALSE),
VLOOKUP('盛付札（関数）'!DS121,商品マスタ一覧!$D:$J,7,FALSE)))*DV121,
IF(DV126&lt;&gt;"",DS123-DV126,DS123)-IF(COUNTIF('盛付札（関数）'!DS121,"*キャラ*"),
VLOOKUP("*キャラ*",商品マスタ一覧!$D:$J,7,FALSE),
IF(COUNTIF('盛付札（関数）'!DS121,"*赤*"),
VLOOKUP("*赤*",商品マスタ一覧!$D:$J,7,FALSE),
VLOOKUP('盛付札（関数）'!DS121,商品マスタ一覧!$D:$J,7,FALSE)))*DV121),""),"")</f>
        <v/>
      </c>
      <c r="DX121" s="76"/>
      <c r="DY121" s="81" t="e" cm="1">
        <f t="array" aca="1" ref="DY121" ca="1">IF(DY38&lt;&gt;100,
IF(DZ123&lt;&gt;"",MATCH(DZ123,INDIRECT("数出表_Excel!B"&amp;MATCH(ED36,数出表_Excel!$A:$A,0)-1&amp;":U"&amp;MATCH(ED36,数出表_Excel!$A:$A,0)-1&amp;""),0)+1,""),
IF(DZ123&lt;&gt;"",
MATCH(
IFERROR(
INDEX(INDIRECT("数出表_Excel!"&amp;DY120&amp;MATCH(ED36,数出表_Excel!$A:$A,0)-1&amp;":U"&amp;MATCH(ED36,数出表_Excel!$A:$A,0)-1&amp;""),
 1,
 MATCH(TRUE, ISNUMBER(--INDIRECT("数出表_Excel!"&amp;DY120&amp;MATCH(ED36,数出表_Excel!$A:$A,0)-1&amp;":U"&amp;MATCH(ED36,数出表_Excel!$A:$A,0)-1&amp;"")),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121" s="58" t="str" cm="1">
        <f t="array" aca="1" ref="DZ121" ca="1">IFERROR(IF(OR(
COUNTIF(INDIRECT("数出表_Excel!" &amp;
CHAR(MATCH(TRUE,
ISNUMBER(--INDIRECT("数出表_Excel!"&amp;DY120&amp;MATCH(ED36,数出表_Excel!$A:$A,0)-1&amp;":U"&amp;MATCH(ED36,数出表_Excel!$A:$A,0)-1&amp;"")),0)
+MATCH(TRUE, ISNUMBER(--INDIRECT("数出表_Excel!B" &amp; (MATCH(ED36,数出表_Excel!$A:$A,0)-1) &amp; ":U" &amp; (MATCH(ED36,数出表_Excel!$A:$A,0)-1))), 0)
+MATCH(TRUE, ISNUMBER(--INDIRECT("数出表_Excel!"&amp;DY78&amp; (MATCH(ED36,数出表_Excel!$A:$A,0)-1) &amp; ":U" &amp; (MATCH(ED36,数出表_Excel!$A:$A,0)-1))), 0)
+65) &amp; "3"),"*配膳*"),
COUNTIF(INDIRECT("数出表_Excel!" &amp;
CHAR(MATCH(TRUE,
ISNUMBER(--INDIRECT("数出表_Excel!"&amp;DY120&amp;MATCH(ED36,数出表_Excel!$A:$A,0)-1&amp;":U"&amp;MATCH(ED36,数出表_Excel!$A:$A,0)-1&amp;"")),0)
+MATCH(TRUE, ISNUMBER(--INDIRECT("数出表_Excel!B" &amp; (MATCH(ED36,数出表_Excel!$A:$A,0)-1) &amp; ":U" &amp; (MATCH(ED36,数出表_Excel!$A:$A,0)-1))), 0)
+MATCH(TRUE, ISNUMBER(--INDIRECT("数出表_Excel!"&amp;DY78&amp; (MATCH(ED36,数出表_Excel!$A:$A,0)-1) &amp; ":U" &amp; (MATCH(ED36,数出表_Excel!$A:$A,0)-1))), 0)
+65) &amp; "3"),"*カレー*"),
COUNTIF(DZ78,"*合計*")),"",
IF(IFERROR(INDIRECT("数出表_Excel!" &amp;
CHAR(MATCH(TRUE,
ISNUMBER(--INDIRECT("数出表_Excel!"&amp;DY120&amp;MATCH(ED36,数出表_Excel!$A:$A,0)-1&amp;":U"&amp;MATCH(ED36,数出表_Excel!$A:$A,0)-1&amp;"")),0)
+MATCH(TRUE, ISNUMBER(--INDIRECT("数出表_Excel!B" &amp; (MATCH(ED36,数出表_Excel!$A:$A,0)-1) &amp; ":U" &amp; (MATCH(ED36,数出表_Excel!$A:$A,0)-1))), 0)
+MATCH(TRUE, ISNUMBER(--INDIRECT("数出表_Excel!"&amp;DY78&amp; (MATCH(ED36,数出表_Excel!$A:$A,0)-1) &amp; ":U" &amp; (MATCH(ED36,数出表_Excel!$A:$A,0)-1))), 0)
+65) &amp; "3"),0)=0,"",
IFERROR(INDIRECT("数出表_Excel!" &amp;
CHAR(MATCH(TRUE,
ISNUMBER(--INDIRECT("数出表_Excel!"&amp;DY120&amp;MATCH(ED36,数出表_Excel!$A:$A,0)-1&amp;":U"&amp;MATCH(ED36,数出表_Excel!$A:$A,0)-1&amp;"")),0)
+MATCH(TRUE, ISNUMBER(--INDIRECT("数出表_Excel!B" &amp; (MATCH(ED36,数出表_Excel!$A:$A,0)-1) &amp; ":U" &amp; (MATCH(ED36,数出表_Excel!$A:$A,0)-1))), 0)
+MATCH(TRUE, ISNUMBER(--INDIRECT("数出表_Excel!"&amp;DY78&amp; (MATCH(ED36,数出表_Excel!$A:$A,0)-1) &amp; ":U" &amp; (MATCH(ED36,数出表_Excel!$A:$A,0)-1))), 0)
+65) &amp; "3"),""))),"")</f>
        <v/>
      </c>
      <c r="EA121" s="76"/>
      <c r="EB121" s="82" t="str" cm="1">
        <f t="array" aca="1" ref="EB121" ca="1">IF(EC121&lt;&gt;"","",
IF(COUNTIF(DZ120,"*雙葉*"),"",
IF(DZ120&lt;&gt;"",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+MATCH(TRUE,INDIRECT("'数出表_Excel'!"&amp;DY120&amp;MATCH(ED36,数出表_Excel!$A:$A,0)-1&amp;":AL"&amp;MATCH(ED36,数出表_Excel!$A:$A,0)-1&amp;"")&lt;&gt;"",0))&gt;9,"",
IFERROR(
INDEX(INDIRECT("数出表_Excel!$"&amp;DY120&amp;"4:$AL4"),
 1,
MATCH(TRUE,INDIRECT("'数出表_Excel'!"&amp;DY120&amp;MATCH(ED36,数出表_Excel!$A:$A,0)-1&amp;":AL"&amp;MATCH(ED36,数出表_Excel!$A:$A,0)-1&amp;"")&lt;&gt;"",0)
),
 "")
&amp;IFERROR(
INDEX(INDIRECT("数出表_Excel!$"&amp;DY120&amp;"5:$AL5"),
 1,
MATCH(TRUE,INDIRECT("'数出表_Excel'!"&amp;DY120&amp;MATCH(ED36,数出表_Excel!$A:$A,0)-1&amp;":AL"&amp;MATCH(ED36,数出表_Excel!$A:$A,0)-1&amp;"")&lt;&gt;"",0)),
 "")),"")))</f>
        <v/>
      </c>
      <c r="EC121" s="83" t="str" cm="1">
        <f t="array" aca="1" ref="EC121" ca="1">IF(DZ121&lt;&gt;"",
IF(COUNTIF(DZ120,"*雙葉*"),
IF(ROUND(
IF(EC126&lt;&gt;"",(DZ123-EC126),DZ123)
/IF(COUNTIF(DZ121,"*キャラ*"),
VLOOKUP("*キャラ*",商品マスタ一覧!$D:$J,7,FALSE),
IF(COUNTIF(DZ121,"*赤*"),
VLOOKUP("*赤*",商品マスタ一覧!$D:$J,7,FALSE),
VLOOKUP(DZ121,商品マスタ一覧!$D:$J,7,FALSE))),0)&lt;=0,1,
ROUND(
IF(EC126&lt;&gt;"",(DZ123-EC126),DZ123)
/IF(COUNTIF(DZ121,"*キャラ*"),
VLOOKUP("*キャラ*",商品マスタ一覧!$D:$J,7,FALSE),
IF(COUNTIF(DZ121,"*赤*"),
VLOOKUP("*赤*",商品マスタ一覧!$D:$J,7,FALSE),
VLOOKUP(DZ121,商品マスタ一覧!$D:$J,7,FALSE))),0)),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IF(DZ121&lt;&gt;"",
IF(IF(COUNTIF(DZ121,"*キャラ*"),
VLOOKUP("*キャラ*",商品マスタ一覧!$D:$J,7,FALSE),
IF(COUNTIF(DZ121,"*赤*"),
VLOOKUP("*赤*",商品マスタ一覧!$D:$J,7,FALSE),
VLOOKUP(DZ121,商品マスタ一覧!$D:$J,7,FALSE)))=0,"",
IF(ROUND(
IF(EC126&lt;&gt;"",(DZ123-EC126),DZ123)
/IF(COUNTIF(DZ121,"*キャラ*"),
VLOOKUP("*キャラ*",商品マスタ一覧!$D:$J,7,FALSE),
IF(COUNTIF(DZ121,"*赤*"),
VLOOKUP("*赤*",商品マスタ一覧!$D:$J,7,FALSE),
VLOOKUP(DZ121,商品マスタ一覧!$D:$J,7,FALSE))),0)&lt;=0,1,
ROUND(
IF(EC126&lt;&gt;"",(DZ123-EC126),DZ123)
/IF(COUNTIF(DZ121,"*キャラ*"),
VLOOKUP("*キャラ*",商品マスタ一覧!$D:$J,7,FALSE),
IF(COUNTIF(DZ121,"*赤*"),
VLOOKUP("*赤*",商品マスタ一覧!$D:$J,7,FALSE),
VLOOKUP(DZ121,商品マスタ一覧!$D:$J,7,FALSE))),0))),""),"")),"")</f>
        <v/>
      </c>
      <c r="ED121" s="92" t="str">
        <f ca="1">IF(EC121&lt;&gt;"",IF(DZ123&lt;&gt;"",IF(VALUE(IF(EC126&lt;&gt;"",DZ123-EC126,DZ123))&gt;VALUE(IF(COUNTIF('盛付札（関数）'!DZ121,"*キャラ*"),
VLOOKUP("*キャラ*",商品マスタ一覧!$D:$J,7,FALSE),
IF(COUNTIF('盛付札（関数）'!DZ121,"*赤*"),
VLOOKUP("*赤*",商品マスタ一覧!$D:$J,7,FALSE),
VLOOKUP('盛付札（関数）'!DZ121,商品マスタ一覧!$D:$J,7,FALSE)))*EC121),
"+"&amp;IF(EC126&lt;&gt;"",DZ123-EC126,DZ123)-IF(COUNTIF('盛付札（関数）'!DZ121,"*キャラ*"),
VLOOKUP("*キャラ*",商品マスタ一覧!$D:$J,7,FALSE),
IF(COUNTIF('盛付札（関数）'!DZ121,"*赤*"),
VLOOKUP("*赤*",商品マスタ一覧!$D:$J,7,FALSE),
VLOOKUP('盛付札（関数）'!DZ121,商品マスタ一覧!$D:$J,7,FALSE)))*EC121,
IF(EC126&lt;&gt;"",DZ123-EC126,DZ123)-IF(COUNTIF('盛付札（関数）'!DZ121,"*キャラ*"),
VLOOKUP("*キャラ*",商品マスタ一覧!$D:$J,7,FALSE),
IF(COUNTIF('盛付札（関数）'!DZ121,"*赤*"),
VLOOKUP("*赤*",商品マスタ一覧!$D:$J,7,FALSE),
VLOOKUP('盛付札（関数）'!DZ121,商品マスタ一覧!$D:$J,7,FALSE)))*EC121),""),"")</f>
        <v/>
      </c>
      <c r="EG121" s="81" t="e" cm="1">
        <f t="array" aca="1" ref="EG121" ca="1">IF(EG38&lt;&gt;100,
IF(EH123&lt;&gt;"",MATCH(EH123,INDIRECT("数出表_Excel!B"&amp;MATCH(EL36,数出表_Excel!$A:$A,0)-1&amp;":U"&amp;MATCH(EL36,数出表_Excel!$A:$A,0)-1&amp;""),0)+1,""),
IF(EH123&lt;&gt;"",
MATCH(
IFERROR(
INDEX(INDIRECT("数出表_Excel!"&amp;EG120&amp;MATCH(EL36,数出表_Excel!$A:$A,0)-1&amp;":U"&amp;MATCH(EL36,数出表_Excel!$A:$A,0)-1&amp;""),
 1,
 MATCH(TRUE, ISNUMBER(--INDIRECT("数出表_Excel!"&amp;EG120&amp;MATCH(EL36,数出表_Excel!$A:$A,0)-1&amp;":U"&amp;MATCH(EL36,数出表_Excel!$A:$A,0)-1&amp;"")),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121" s="58" t="str" cm="1">
        <f t="array" aca="1" ref="EH121" ca="1">IFERROR(IF(OR(
COUNTIF(INDIRECT("数出表_Excel!" &amp;
CHAR(MATCH(TRUE,
ISNUMBER(--INDIRECT("数出表_Excel!"&amp;EG120&amp;MATCH(EL36,数出表_Excel!$A:$A,0)-1&amp;":U"&amp;MATCH(EL36,数出表_Excel!$A:$A,0)-1&amp;"")),0)
+MATCH(TRUE, ISNUMBER(--INDIRECT("数出表_Excel!B" &amp; (MATCH(EL36,数出表_Excel!$A:$A,0)-1) &amp; ":U" &amp; (MATCH(EL36,数出表_Excel!$A:$A,0)-1))), 0)
+MATCH(TRUE, ISNUMBER(--INDIRECT("数出表_Excel!"&amp;EG78&amp; (MATCH(EL36,数出表_Excel!$A:$A,0)-1) &amp; ":U" &amp; (MATCH(EL36,数出表_Excel!$A:$A,0)-1))), 0)
+65) &amp; "3"),"*配膳*"),
COUNTIF(INDIRECT("数出表_Excel!" &amp;
CHAR(MATCH(TRUE,
ISNUMBER(--INDIRECT("数出表_Excel!"&amp;EG120&amp;MATCH(EL36,数出表_Excel!$A:$A,0)-1&amp;":U"&amp;MATCH(EL36,数出表_Excel!$A:$A,0)-1&amp;"")),0)
+MATCH(TRUE, ISNUMBER(--INDIRECT("数出表_Excel!B" &amp; (MATCH(EL36,数出表_Excel!$A:$A,0)-1) &amp; ":U" &amp; (MATCH(EL36,数出表_Excel!$A:$A,0)-1))), 0)
+MATCH(TRUE, ISNUMBER(--INDIRECT("数出表_Excel!"&amp;EG78&amp; (MATCH(EL36,数出表_Excel!$A:$A,0)-1) &amp; ":U" &amp; (MATCH(EL36,数出表_Excel!$A:$A,0)-1))), 0)
+65) &amp; "3"),"*カレー*"),
COUNTIF(EH78,"*合計*")),"",
IF(IFERROR(INDIRECT("数出表_Excel!" &amp;
CHAR(MATCH(TRUE,
ISNUMBER(--INDIRECT("数出表_Excel!"&amp;EG120&amp;MATCH(EL36,数出表_Excel!$A:$A,0)-1&amp;":U"&amp;MATCH(EL36,数出表_Excel!$A:$A,0)-1&amp;"")),0)
+MATCH(TRUE, ISNUMBER(--INDIRECT("数出表_Excel!B" &amp; (MATCH(EL36,数出表_Excel!$A:$A,0)-1) &amp; ":U" &amp; (MATCH(EL36,数出表_Excel!$A:$A,0)-1))), 0)
+MATCH(TRUE, ISNUMBER(--INDIRECT("数出表_Excel!"&amp;EG78&amp; (MATCH(EL36,数出表_Excel!$A:$A,0)-1) &amp; ":U" &amp; (MATCH(EL36,数出表_Excel!$A:$A,0)-1))), 0)
+65) &amp; "3"),0)=0,"",
IFERROR(INDIRECT("数出表_Excel!" &amp;
CHAR(MATCH(TRUE,
ISNUMBER(--INDIRECT("数出表_Excel!"&amp;EG120&amp;MATCH(EL36,数出表_Excel!$A:$A,0)-1&amp;":U"&amp;MATCH(EL36,数出表_Excel!$A:$A,0)-1&amp;"")),0)
+MATCH(TRUE, ISNUMBER(--INDIRECT("数出表_Excel!B" &amp; (MATCH(EL36,数出表_Excel!$A:$A,0)-1) &amp; ":U" &amp; (MATCH(EL36,数出表_Excel!$A:$A,0)-1))), 0)
+MATCH(TRUE, ISNUMBER(--INDIRECT("数出表_Excel!"&amp;EG78&amp; (MATCH(EL36,数出表_Excel!$A:$A,0)-1) &amp; ":U" &amp; (MATCH(EL36,数出表_Excel!$A:$A,0)-1))), 0)
+65) &amp; "3"),""))),"")</f>
        <v/>
      </c>
      <c r="EI121" s="76"/>
      <c r="EJ121" s="82" t="str" cm="1">
        <f t="array" aca="1" ref="EJ121" ca="1">IF(EK121&lt;&gt;"","",
IF(COUNTIF(EH120,"*雙葉*"),"",
IF(EH120&lt;&gt;"",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+MATCH(TRUE,INDIRECT("'数出表_Excel'!"&amp;EG120&amp;MATCH(EL36,数出表_Excel!$A:$A,0)-1&amp;":AL"&amp;MATCH(EL36,数出表_Excel!$A:$A,0)-1&amp;"")&lt;&gt;"",0))&gt;9,"",
IFERROR(
INDEX(INDIRECT("数出表_Excel!$"&amp;EG120&amp;"4:$AL4"),
 1,
MATCH(TRUE,INDIRECT("'数出表_Excel'!"&amp;EG120&amp;MATCH(EL36,数出表_Excel!$A:$A,0)-1&amp;":AL"&amp;MATCH(EL36,数出表_Excel!$A:$A,0)-1&amp;"")&lt;&gt;"",0)
),
 "")
&amp;IFERROR(
INDEX(INDIRECT("数出表_Excel!$"&amp;EG120&amp;"5:$AL5"),
 1,
MATCH(TRUE,INDIRECT("'数出表_Excel'!"&amp;EG120&amp;MATCH(EL36,数出表_Excel!$A:$A,0)-1&amp;":AL"&amp;MATCH(EL36,数出表_Excel!$A:$A,0)-1&amp;"")&lt;&gt;"",0)),
 "")),"")))</f>
        <v/>
      </c>
      <c r="EK121" s="83" t="str" cm="1">
        <f t="array" aca="1" ref="EK121" ca="1">IF(EH121&lt;&gt;"",
IF(COUNTIF(EH120,"*雙葉*"),
IF(ROUND(
IF(EK126&lt;&gt;"",(EH123-EK126),EH123)
/IF(COUNTIF(EH121,"*キャラ*"),
VLOOKUP("*キャラ*",商品マスタ一覧!$D:$J,7,FALSE),
IF(COUNTIF(EH121,"*赤*"),
VLOOKUP("*赤*",商品マスタ一覧!$D:$J,7,FALSE),
VLOOKUP(EH121,商品マスタ一覧!$D:$J,7,FALSE))),0)&lt;=0,1,
ROUND(
IF(EK126&lt;&gt;"",(EH123-EK126),EH123)
/IF(COUNTIF(EH121,"*キャラ*"),
VLOOKUP("*キャラ*",商品マスタ一覧!$D:$J,7,FALSE),
IF(COUNTIF(EH121,"*赤*"),
VLOOKUP("*赤*",商品マスタ一覧!$D:$J,7,FALSE),
VLOOKUP(EH121,商品マスタ一覧!$D:$J,7,FALSE))),0)),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IF(EH121&lt;&gt;"",
IF(IF(COUNTIF(EH121,"*キャラ*"),
VLOOKUP("*キャラ*",商品マスタ一覧!$D:$J,7,FALSE),
IF(COUNTIF(EH121,"*赤*"),
VLOOKUP("*赤*",商品マスタ一覧!$D:$J,7,FALSE),
VLOOKUP(EH121,商品マスタ一覧!$D:$J,7,FALSE)))=0,"",
IF(ROUND(
IF(EK126&lt;&gt;"",(EH123-EK126),EH123)
/IF(COUNTIF(EH121,"*キャラ*"),
VLOOKUP("*キャラ*",商品マスタ一覧!$D:$J,7,FALSE),
IF(COUNTIF(EH121,"*赤*"),
VLOOKUP("*赤*",商品マスタ一覧!$D:$J,7,FALSE),
VLOOKUP(EH121,商品マスタ一覧!$D:$J,7,FALSE))),0)&lt;=0,1,
ROUND(
IF(EK126&lt;&gt;"",(EH123-EK126),EH123)
/IF(COUNTIF(EH121,"*キャラ*"),
VLOOKUP("*キャラ*",商品マスタ一覧!$D:$J,7,FALSE),
IF(COUNTIF(EH121,"*赤*"),
VLOOKUP("*赤*",商品マスタ一覧!$D:$J,7,FALSE),
VLOOKUP(EH121,商品マスタ一覧!$D:$J,7,FALSE))),0))),""),"")),"")</f>
        <v/>
      </c>
      <c r="EL121" s="92" t="str">
        <f ca="1">IF(EK121&lt;&gt;"",IF(EH123&lt;&gt;"",IF(VALUE(IF(EK126&lt;&gt;"",EH123-EK126,EH123))&gt;VALUE(IF(COUNTIF('盛付札（関数）'!EH121,"*キャラ*"),
VLOOKUP("*キャラ*",商品マスタ一覧!$D:$J,7,FALSE),
IF(COUNTIF('盛付札（関数）'!EH121,"*赤*"),
VLOOKUP("*赤*",商品マスタ一覧!$D:$J,7,FALSE),
VLOOKUP('盛付札（関数）'!EH121,商品マスタ一覧!$D:$J,7,FALSE)))*EK121),
"+"&amp;IF(EK126&lt;&gt;"",EH123-EK126,EH123)-IF(COUNTIF('盛付札（関数）'!EH121,"*キャラ*"),
VLOOKUP("*キャラ*",商品マスタ一覧!$D:$J,7,FALSE),
IF(COUNTIF('盛付札（関数）'!EH121,"*赤*"),
VLOOKUP("*赤*",商品マスタ一覧!$D:$J,7,FALSE),
VLOOKUP('盛付札（関数）'!EH121,商品マスタ一覧!$D:$J,7,FALSE)))*EK121,
IF(EK126&lt;&gt;"",EH123-EK126,EH123)-IF(COUNTIF('盛付札（関数）'!EH121,"*キャラ*"),
VLOOKUP("*キャラ*",商品マスタ一覧!$D:$J,7,FALSE),
IF(COUNTIF('盛付札（関数）'!EH121,"*赤*"),
VLOOKUP("*赤*",商品マスタ一覧!$D:$J,7,FALSE),
VLOOKUP('盛付札（関数）'!EH121,商品マスタ一覧!$D:$J,7,FALSE)))*EK121),""),"")</f>
        <v/>
      </c>
      <c r="EM121" s="76"/>
      <c r="EN121" s="81" t="e" cm="1">
        <f t="array" aca="1" ref="EN121" ca="1">IF(EN38&lt;&gt;100,
IF(EO123&lt;&gt;"",MATCH(EO123,INDIRECT("数出表_Excel!B"&amp;MATCH(ES36,数出表_Excel!$A:$A,0)-1&amp;":U"&amp;MATCH(ES36,数出表_Excel!$A:$A,0)-1&amp;""),0)+1,""),
IF(EO123&lt;&gt;"",
MATCH(
IFERROR(
INDEX(INDIRECT("数出表_Excel!"&amp;EN120&amp;MATCH(ES36,数出表_Excel!$A:$A,0)-1&amp;":U"&amp;MATCH(ES36,数出表_Excel!$A:$A,0)-1&amp;""),
 1,
 MATCH(TRUE, ISNUMBER(--INDIRECT("数出表_Excel!"&amp;EN120&amp;MATCH(ES36,数出表_Excel!$A:$A,0)-1&amp;":U"&amp;MATCH(ES36,数出表_Excel!$A:$A,0)-1&amp;"")),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121" s="58" t="str" cm="1">
        <f t="array" aca="1" ref="EO121" ca="1">IFERROR(IF(OR(
COUNTIF(INDIRECT("数出表_Excel!" &amp;
CHAR(MATCH(TRUE,
ISNUMBER(--INDIRECT("数出表_Excel!"&amp;EN120&amp;MATCH(ES36,数出表_Excel!$A:$A,0)-1&amp;":U"&amp;MATCH(ES36,数出表_Excel!$A:$A,0)-1&amp;"")),0)
+MATCH(TRUE, ISNUMBER(--INDIRECT("数出表_Excel!B" &amp; (MATCH(ES36,数出表_Excel!$A:$A,0)-1) &amp; ":U" &amp; (MATCH(ES36,数出表_Excel!$A:$A,0)-1))), 0)
+MATCH(TRUE, ISNUMBER(--INDIRECT("数出表_Excel!"&amp;EN78&amp; (MATCH(ES36,数出表_Excel!$A:$A,0)-1) &amp; ":U" &amp; (MATCH(ES36,数出表_Excel!$A:$A,0)-1))), 0)
+65) &amp; "3"),"*配膳*"),
COUNTIF(INDIRECT("数出表_Excel!" &amp;
CHAR(MATCH(TRUE,
ISNUMBER(--INDIRECT("数出表_Excel!"&amp;EN120&amp;MATCH(ES36,数出表_Excel!$A:$A,0)-1&amp;":U"&amp;MATCH(ES36,数出表_Excel!$A:$A,0)-1&amp;"")),0)
+MATCH(TRUE, ISNUMBER(--INDIRECT("数出表_Excel!B" &amp; (MATCH(ES36,数出表_Excel!$A:$A,0)-1) &amp; ":U" &amp; (MATCH(ES36,数出表_Excel!$A:$A,0)-1))), 0)
+MATCH(TRUE, ISNUMBER(--INDIRECT("数出表_Excel!"&amp;EN78&amp; (MATCH(ES36,数出表_Excel!$A:$A,0)-1) &amp; ":U" &amp; (MATCH(ES36,数出表_Excel!$A:$A,0)-1))), 0)
+65) &amp; "3"),"*カレー*"),
COUNTIF(EO78,"*合計*")),"",
IF(IFERROR(INDIRECT("数出表_Excel!" &amp;
CHAR(MATCH(TRUE,
ISNUMBER(--INDIRECT("数出表_Excel!"&amp;EN120&amp;MATCH(ES36,数出表_Excel!$A:$A,0)-1&amp;":U"&amp;MATCH(ES36,数出表_Excel!$A:$A,0)-1&amp;"")),0)
+MATCH(TRUE, ISNUMBER(--INDIRECT("数出表_Excel!B" &amp; (MATCH(ES36,数出表_Excel!$A:$A,0)-1) &amp; ":U" &amp; (MATCH(ES36,数出表_Excel!$A:$A,0)-1))), 0)
+MATCH(TRUE, ISNUMBER(--INDIRECT("数出表_Excel!"&amp;EN78&amp; (MATCH(ES36,数出表_Excel!$A:$A,0)-1) &amp; ":U" &amp; (MATCH(ES36,数出表_Excel!$A:$A,0)-1))), 0)
+65) &amp; "3"),0)=0,"",
IFERROR(INDIRECT("数出表_Excel!" &amp;
CHAR(MATCH(TRUE,
ISNUMBER(--INDIRECT("数出表_Excel!"&amp;EN120&amp;MATCH(ES36,数出表_Excel!$A:$A,0)-1&amp;":U"&amp;MATCH(ES36,数出表_Excel!$A:$A,0)-1&amp;"")),0)
+MATCH(TRUE, ISNUMBER(--INDIRECT("数出表_Excel!B" &amp; (MATCH(ES36,数出表_Excel!$A:$A,0)-1) &amp; ":U" &amp; (MATCH(ES36,数出表_Excel!$A:$A,0)-1))), 0)
+MATCH(TRUE, ISNUMBER(--INDIRECT("数出表_Excel!"&amp;EN78&amp; (MATCH(ES36,数出表_Excel!$A:$A,0)-1) &amp; ":U" &amp; (MATCH(ES36,数出表_Excel!$A:$A,0)-1))), 0)
+65) &amp; "3"),""))),"")</f>
        <v/>
      </c>
      <c r="EP121" s="76"/>
      <c r="EQ121" s="82" t="str" cm="1">
        <f t="array" aca="1" ref="EQ121" ca="1">IF(ER121&lt;&gt;"","",
IF(COUNTIF(EO120,"*雙葉*"),"",
IF(EO120&lt;&gt;"",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+MATCH(TRUE,INDIRECT("'数出表_Excel'!"&amp;EN120&amp;MATCH(ES36,数出表_Excel!$A:$A,0)-1&amp;":AL"&amp;MATCH(ES36,数出表_Excel!$A:$A,0)-1&amp;"")&lt;&gt;"",0))&gt;9,"",
IFERROR(
INDEX(INDIRECT("数出表_Excel!$"&amp;EN120&amp;"4:$AL4"),
 1,
MATCH(TRUE,INDIRECT("'数出表_Excel'!"&amp;EN120&amp;MATCH(ES36,数出表_Excel!$A:$A,0)-1&amp;":AL"&amp;MATCH(ES36,数出表_Excel!$A:$A,0)-1&amp;"")&lt;&gt;"",0)
),
 "")
&amp;IFERROR(
INDEX(INDIRECT("数出表_Excel!$"&amp;EN120&amp;"5:$AL5"),
 1,
MATCH(TRUE,INDIRECT("'数出表_Excel'!"&amp;EN120&amp;MATCH(ES36,数出表_Excel!$A:$A,0)-1&amp;":AL"&amp;MATCH(ES36,数出表_Excel!$A:$A,0)-1&amp;"")&lt;&gt;"",0)),
 "")),"")))</f>
        <v/>
      </c>
      <c r="ER121" s="83" t="str" cm="1">
        <f t="array" aca="1" ref="ER121" ca="1">IF(EO121&lt;&gt;"",
IF(COUNTIF(EO120,"*雙葉*"),
IF(ROUND(
IF(ER126&lt;&gt;"",(EO123-ER126),EO123)
/IF(COUNTIF(EO121,"*キャラ*"),
VLOOKUP("*キャラ*",商品マスタ一覧!$D:$J,7,FALSE),
IF(COUNTIF(EO121,"*赤*"),
VLOOKUP("*赤*",商品マスタ一覧!$D:$J,7,FALSE),
VLOOKUP(EO121,商品マスタ一覧!$D:$J,7,FALSE))),0)&lt;=0,1,
ROUND(
IF(ER126&lt;&gt;"",(EO123-ER126),EO123)
/IF(COUNTIF(EO121,"*キャラ*"),
VLOOKUP("*キャラ*",商品マスタ一覧!$D:$J,7,FALSE),
IF(COUNTIF(EO121,"*赤*"),
VLOOKUP("*赤*",商品マスタ一覧!$D:$J,7,FALSE),
VLOOKUP(EO121,商品マスタ一覧!$D:$J,7,FALSE))),0)),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IF(EO121&lt;&gt;"",
IF(IF(COUNTIF(EO121,"*キャラ*"),
VLOOKUP("*キャラ*",商品マスタ一覧!$D:$J,7,FALSE),
IF(COUNTIF(EO121,"*赤*"),
VLOOKUP("*赤*",商品マスタ一覧!$D:$J,7,FALSE),
VLOOKUP(EO121,商品マスタ一覧!$D:$J,7,FALSE)))=0,"",
IF(ROUND(
IF(ER126&lt;&gt;"",(EO123-ER126),EO123)
/IF(COUNTIF(EO121,"*キャラ*"),
VLOOKUP("*キャラ*",商品マスタ一覧!$D:$J,7,FALSE),
IF(COUNTIF(EO121,"*赤*"),
VLOOKUP("*赤*",商品マスタ一覧!$D:$J,7,FALSE),
VLOOKUP(EO121,商品マスタ一覧!$D:$J,7,FALSE))),0)&lt;=0,1,
ROUND(
IF(ER126&lt;&gt;"",(EO123-ER126),EO123)
/IF(COUNTIF(EO121,"*キャラ*"),
VLOOKUP("*キャラ*",商品マスタ一覧!$D:$J,7,FALSE),
IF(COUNTIF(EO121,"*赤*"),
VLOOKUP("*赤*",商品マスタ一覧!$D:$J,7,FALSE),
VLOOKUP(EO121,商品マスタ一覧!$D:$J,7,FALSE))),0))),""),"")),"")</f>
        <v/>
      </c>
      <c r="ES121" s="92" t="str">
        <f ca="1">IF(ER121&lt;&gt;"",IF(EO123&lt;&gt;"",IF(VALUE(IF(ER126&lt;&gt;"",EO123-ER126,EO123))&gt;VALUE(IF(COUNTIF('盛付札（関数）'!EO121,"*キャラ*"),
VLOOKUP("*キャラ*",商品マスタ一覧!$D:$J,7,FALSE),
IF(COUNTIF('盛付札（関数）'!EO121,"*赤*"),
VLOOKUP("*赤*",商品マスタ一覧!$D:$J,7,FALSE),
VLOOKUP('盛付札（関数）'!EO121,商品マスタ一覧!$D:$J,7,FALSE)))*ER121),
"+"&amp;IF(ER126&lt;&gt;"",EO123-ER126,EO123)-IF(COUNTIF('盛付札（関数）'!EO121,"*キャラ*"),
VLOOKUP("*キャラ*",商品マスタ一覧!$D:$J,7,FALSE),
IF(COUNTIF('盛付札（関数）'!EO121,"*赤*"),
VLOOKUP("*赤*",商品マスタ一覧!$D:$J,7,FALSE),
VLOOKUP('盛付札（関数）'!EO121,商品マスタ一覧!$D:$J,7,FALSE)))*ER121,
IF(ER126&lt;&gt;"",EO123-ER126,EO123)-IF(COUNTIF('盛付札（関数）'!EO121,"*キャラ*"),
VLOOKUP("*キャラ*",商品マスタ一覧!$D:$J,7,FALSE),
IF(COUNTIF('盛付札（関数）'!EO121,"*赤*"),
VLOOKUP("*赤*",商品マスタ一覧!$D:$J,7,FALSE),
VLOOKUP('盛付札（関数）'!EO121,商品マスタ一覧!$D:$J,7,FALSE)))*ER121),""),"")</f>
        <v/>
      </c>
      <c r="EU121" s="78">
        <f t="shared" si="10"/>
        <v>14</v>
      </c>
      <c r="EV121" s="78" t="str">
        <f t="array" aca="1" ref="EV12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LEN(SUBSTITUTE(_xlfn.FORMULATEXT(EV$109),"=","")))+$EU121)</f>
        <v/>
      </c>
      <c r="EW121" s="78" t="str">
        <f t="array" aca="1" ref="EW12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LEN(SUBSTITUTE(_xlfn.FORMULATEXT(EW$109),"=","")))+$EU121)</f>
        <v/>
      </c>
      <c r="EX121" s="78" t="str">
        <f t="array" aca="1" ref="EX12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LEN(SUBSTITUTE(_xlfn.FORMULATEXT(EX$109),"=","")))+$EU121)</f>
        <v/>
      </c>
      <c r="EY121" s="78" t="str">
        <f t="array" aca="1" ref="EY12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LEN(SUBSTITUTE(_xlfn.FORMULATEXT(EY$109),"=","")))+$EU121)</f>
        <v/>
      </c>
      <c r="EZ121" s="78" t="str">
        <f t="array" aca="1" ref="EZ12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LEN(SUBSTITUTE(_xlfn.FORMULATEXT(EZ$109),"=","")))+$EU121)</f>
        <v/>
      </c>
      <c r="FA121" s="78" t="e">
        <f t="array" aca="1" ref="FA12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LEN(SUBSTITUTE(_xlfn.FORMULATEXT(FA$109),"=","")))+$EU121)</f>
        <v>#VALUE!</v>
      </c>
      <c r="FB121" s="78" t="e">
        <f t="array" aca="1" ref="FB12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LEN(SUBSTITUTE(_xlfn.FORMULATEXT(FB$109),"=","")))+$EU121)</f>
        <v>#VALUE!</v>
      </c>
      <c r="FC121" s="78" t="str">
        <f t="array" aca="1" ref="FC12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LEN(SUBSTITUTE(_xlfn.FORMULATEXT(FC$109),"=","")))+$EU121)</f>
        <v/>
      </c>
      <c r="FD121" s="78" t="e">
        <f t="array" aca="1" ref="FD12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LEN(SUBSTITUTE(_xlfn.FORMULATEXT(FD$109),"=","")))+$EU121)</f>
        <v>#VALUE!</v>
      </c>
      <c r="FE121" s="78" t="str">
        <f t="array" aca="1" ref="FE12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LEN(SUBSTITUTE(_xlfn.FORMULATEXT(FE$109),"=","")))+$EU121)</f>
        <v/>
      </c>
      <c r="FF121" s="78" t="e">
        <f t="array" aca="1" ref="FF12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LEN(SUBSTITUTE(_xlfn.FORMULATEXT(FF$109),"=","")))+$EU121)</f>
        <v>#VALUE!</v>
      </c>
      <c r="FG121" s="78">
        <f t="shared" ca="1" si="9"/>
        <v>0</v>
      </c>
      <c r="FH121" s="78" t="e">
        <f t="array" aca="1" ref="FH121" ca="1">SUMPRODUCT((LEN(EV121:FF121)&gt;0)*1)&gt;0</f>
        <v>#VALUE!</v>
      </c>
      <c r="FI121" s="87" t="str">
        <f t="array" aca="1" ref="FI121" ca="1">IFERROR(SMALL(IF(FG$1:FG$228&lt;&gt;0,FG$1:FG$228),ROW(A121)),"")</f>
        <v/>
      </c>
      <c r="FJ121" s="85" t="str">
        <f t="array" aca="1" ref="FJ121" ca="1">IF($FI121&lt;&gt;"",
INDIRECT(""&amp;IF(COLUMN(EV181)&lt;=26,CHAR(COLUMN(EV181)+64),CHAR(INT((COLUMN(EV181)-1)/26)+64)&amp;CHAR(MOD(COLUMN(EV181)-1,26)+65))&amp;$FI121&amp;""),"")</f>
        <v/>
      </c>
      <c r="FM121" s="78"/>
      <c r="FN121" s="87" t="str">
        <f t="array" aca="1" ref="FN121" ca="1">IF($FI121&lt;&gt;"",
INDIRECT(""&amp;IF(COLUMN(FA181)&lt;=26,CHAR(COLUMN(FA181)+64),CHAR(INT((COLUMN(FA181)-1)/26)+64)&amp;CHAR(MOD(COLUMN(FA181)-1,26)+65))&amp;$FI121&amp;""),"")</f>
        <v/>
      </c>
    </row>
    <row r="122" spans="2:175" ht="22.2" customHeight="1" x14ac:dyDescent="0.55000000000000004">
      <c r="B122" s="84" t="str" cm="1">
        <f t="array" aca="1" ref="B122" ca="1">IF(C120&lt;&gt;"",SUBSTITUTE(ADDRESS(1,
(COLUMN(INDIRECT("数出表_Excel!"&amp;B120&amp;1&amp;""))-2 +
MATCH(TRUE, ISNUMBER(--INDIRECT("数出表_Excel!"&amp;B120&amp; (MATCH(INDIRECT(""&amp;G120&amp;ROW()-86&amp;""),数出表_Excel!$A:$A,0)-1) &amp; ":U" &amp; (MATCH(INDIRECT(""&amp;G120&amp;ROW()-86&amp;""),数出表_Excel!$A:$A,0)-1))), 0))
*2,4),"1",""),"")</f>
        <v/>
      </c>
      <c r="C122" s="249" t="str">
        <f ca="1">IF(C123&lt;&gt;"","園児","")</f>
        <v/>
      </c>
      <c r="D122" s="250"/>
      <c r="E122" s="251" t="str">
        <f ca="1">IF(C123&lt;&gt;"","先生","")</f>
        <v/>
      </c>
      <c r="F122" s="250"/>
      <c r="G122" s="97" cm="1">
        <f t="array" aca="1" ref="G122" ca="1">IF(C120&lt;&gt;"",
IF(IFERROR(
INDEX(INDIRECT("'数出表_Excel（アレルギー入力）'!"&amp;B122&amp;MATCH(G36,'数出表_Excel（アレルギー入力）'!$A:$A,0)-1&amp;":"&amp;G124&amp;MATCH(G36,'数出表_Excel（アレルギー入力）'!$A:$A,0)-1&amp;""),
 1,
MATCH(TRUE,INDIRECT("'数出表_Excel（アレルギー入力）'!"&amp;B122&amp;MATCH(G36,'数出表_Excel（アレルギー入力）'!$A:$A,0)-1&amp;":"&amp;G124&amp;MATCH(G36,'数出表_Excel（アレルギー入力）'!$A:$A,0)-1&amp;"")&lt;&gt;"",0)+1),
 "")&lt;&gt;0,
IF(IFERROR(
INDEX(INDIRECT("'数出表_Excel（アレルギー入力）'!"&amp;B122&amp;MATCH(G36,'数出表_Excel（アレルギー入力）'!$A:$A,0)-1&amp;":"&amp;G124&amp;MATCH(G36,'数出表_Excel（アレルギー入力）'!$A:$A,0)-1&amp;""),
 1,
MATCH(TRUE,INDIRECT("'数出表_Excel（アレルギー入力）'!"&amp;B122&amp;MATCH(G36,'数出表_Excel（アレルギー入力）'!$A:$A,0)-1&amp;":"&amp;G124&amp;MATCH(G36,'数出表_Excel（アレルギー入力）'!$A:$A,0)-1&amp;"")&lt;&gt;"",0)+1),
 "")="",
0,
IFERROR(
INDEX(INDIRECT("'数出表_Excel（アレルギー入力）'!"&amp;B122&amp;MATCH(G36,'数出表_Excel（アレルギー入力）'!$A:$A,0)-1&amp;":"&amp;G124&amp;MATCH(G36,'数出表_Excel（アレルギー入力）'!$A:$A,0)-1&amp;""),
 1,
MATCH(TRUE,INDIRECT("'数出表_Excel（アレルギー入力）'!"&amp;B122&amp;MATCH(G36,'数出表_Excel（アレルギー入力）'!$A:$A,0)-1&amp;":"&amp;G124&amp;MATCH(G36,'数出表_Excel（アレルギー入力）'!$A:$A,0)-1&amp;"")&lt;&gt;"",0)+1),
 "")),IFERROR(
INDEX(INDIRECT("'数出表_Excel（アレルギー入力）'!"&amp;B122&amp;MATCH(G36,'数出表_Excel（アレルギー入力）'!$A:$A,0)-1&amp;":"&amp;G124&amp;MATCH(G36,'数出表_Excel（アレルギー入力）'!$A:$A,0)-1&amp;""),
 1,
MATCH(TRUE,INDIRECT("'数出表_Excel（アレルギー入力）'!"&amp;B122&amp;MATCH(G36,'数出表_Excel（アレルギー入力）'!$A:$A,0)-1&amp;":"&amp;G124&amp;MATCH(G36,'数出表_Excel（アレルギー入力）'!$A:$A,0)-1&amp;"")&lt;&gt;"",0)+1),
 "")),0)</f>
        <v>0</v>
      </c>
      <c r="H122" s="76"/>
      <c r="I122" s="84" t="str" cm="1">
        <f t="array" aca="1" ref="I122" ca="1">IF(J120&lt;&gt;"",SUBSTITUTE(ADDRESS(1,
(COLUMN(INDIRECT("数出表_Excel!"&amp;I120&amp;1&amp;""))-2 +
MATCH(TRUE, ISNUMBER(--INDIRECT("数出表_Excel!"&amp;I120&amp; (MATCH(INDIRECT(""&amp;N120&amp;ROW()-86&amp;""),数出表_Excel!$A:$A,0)-1) &amp; ":U" &amp; (MATCH(INDIRECT(""&amp;N120&amp;ROW()-86&amp;""),数出表_Excel!$A:$A,0)-1))), 0))
*2,4),"1",""),"")</f>
        <v/>
      </c>
      <c r="J122" s="249" t="str">
        <f ca="1">IF(J123&lt;&gt;"","園児","")</f>
        <v/>
      </c>
      <c r="K122" s="250"/>
      <c r="L122" s="251" t="str">
        <f ca="1">IF(J123&lt;&gt;"","先生","")</f>
        <v/>
      </c>
      <c r="M122" s="250"/>
      <c r="N122" s="97" cm="1">
        <f t="array" aca="1" ref="N122" ca="1">IF(J120&lt;&gt;"",
IF(IFERROR(
INDEX(INDIRECT("'数出表_Excel（アレルギー入力）'!"&amp;I122&amp;MATCH(N36,'数出表_Excel（アレルギー入力）'!$A:$A,0)-1&amp;":"&amp;N124&amp;MATCH(N36,'数出表_Excel（アレルギー入力）'!$A:$A,0)-1&amp;""),
 1,
MATCH(TRUE,INDIRECT("'数出表_Excel（アレルギー入力）'!"&amp;I122&amp;MATCH(N36,'数出表_Excel（アレルギー入力）'!$A:$A,0)-1&amp;":"&amp;N124&amp;MATCH(N36,'数出表_Excel（アレルギー入力）'!$A:$A,0)-1&amp;"")&lt;&gt;"",0)+1),
 "")&lt;&gt;0,
IF(IFERROR(
INDEX(INDIRECT("'数出表_Excel（アレルギー入力）'!"&amp;I122&amp;MATCH(N36,'数出表_Excel（アレルギー入力）'!$A:$A,0)-1&amp;":"&amp;N124&amp;MATCH(N36,'数出表_Excel（アレルギー入力）'!$A:$A,0)-1&amp;""),
 1,
MATCH(TRUE,INDIRECT("'数出表_Excel（アレルギー入力）'!"&amp;I122&amp;MATCH(N36,'数出表_Excel（アレルギー入力）'!$A:$A,0)-1&amp;":"&amp;N124&amp;MATCH(N36,'数出表_Excel（アレルギー入力）'!$A:$A,0)-1&amp;"")&lt;&gt;"",0)+1),
 "")="",
0,
IFERROR(
INDEX(INDIRECT("'数出表_Excel（アレルギー入力）'!"&amp;I122&amp;MATCH(N36,'数出表_Excel（アレルギー入力）'!$A:$A,0)-1&amp;":"&amp;N124&amp;MATCH(N36,'数出表_Excel（アレルギー入力）'!$A:$A,0)-1&amp;""),
 1,
MATCH(TRUE,INDIRECT("'数出表_Excel（アレルギー入力）'!"&amp;I122&amp;MATCH(N36,'数出表_Excel（アレルギー入力）'!$A:$A,0)-1&amp;":"&amp;N124&amp;MATCH(N36,'数出表_Excel（アレルギー入力）'!$A:$A,0)-1&amp;"")&lt;&gt;"",0)+1),
 "")),IFERROR(
INDEX(INDIRECT("'数出表_Excel（アレルギー入力）'!"&amp;I122&amp;MATCH(N36,'数出表_Excel（アレルギー入力）'!$A:$A,0)-1&amp;":"&amp;N124&amp;MATCH(N36,'数出表_Excel（アレルギー入力）'!$A:$A,0)-1&amp;""),
 1,
MATCH(TRUE,INDIRECT("'数出表_Excel（アレルギー入力）'!"&amp;I122&amp;MATCH(N36,'数出表_Excel（アレルギー入力）'!$A:$A,0)-1&amp;":"&amp;N124&amp;MATCH(N36,'数出表_Excel（アレルギー入力）'!$A:$A,0)-1&amp;"")&lt;&gt;"",0)+1),
 "")),0)</f>
        <v>0</v>
      </c>
      <c r="Q122" s="84" t="str" cm="1">
        <f t="array" aca="1" ref="Q122" ca="1">IF(R120&lt;&gt;"",SUBSTITUTE(ADDRESS(1,
(COLUMN(INDIRECT("数出表_Excel!"&amp;Q120&amp;1&amp;""))-2 +
MATCH(TRUE, ISNUMBER(--INDIRECT("数出表_Excel!"&amp;Q120&amp; (MATCH(INDIRECT(""&amp;V120&amp;ROW()-86&amp;""),数出表_Excel!$A:$A,0)-1) &amp; ":U" &amp; (MATCH(INDIRECT(""&amp;V120&amp;ROW()-86&amp;""),数出表_Excel!$A:$A,0)-1))), 0))
*2,4),"1",""),"")</f>
        <v/>
      </c>
      <c r="R122" s="249" t="str">
        <f ca="1">IF(R123&lt;&gt;"","園児","")</f>
        <v/>
      </c>
      <c r="S122" s="250"/>
      <c r="T122" s="251" t="str">
        <f ca="1">IF(R123&lt;&gt;"","先生","")</f>
        <v/>
      </c>
      <c r="U122" s="250"/>
      <c r="V122" s="97" cm="1">
        <f t="array" aca="1" ref="V122" ca="1">IF(R120&lt;&gt;"",
IF(IFERROR(
INDEX(INDIRECT("'数出表_Excel（アレルギー入力）'!"&amp;Q122&amp;MATCH(V36,'数出表_Excel（アレルギー入力）'!$A:$A,0)-1&amp;":"&amp;V124&amp;MATCH(V36,'数出表_Excel（アレルギー入力）'!$A:$A,0)-1&amp;""),
 1,
MATCH(TRUE,INDIRECT("'数出表_Excel（アレルギー入力）'!"&amp;Q122&amp;MATCH(V36,'数出表_Excel（アレルギー入力）'!$A:$A,0)-1&amp;":"&amp;V124&amp;MATCH(V36,'数出表_Excel（アレルギー入力）'!$A:$A,0)-1&amp;"")&lt;&gt;"",0)+1),
 "")&lt;&gt;0,
IF(IFERROR(
INDEX(INDIRECT("'数出表_Excel（アレルギー入力）'!"&amp;Q122&amp;MATCH(V36,'数出表_Excel（アレルギー入力）'!$A:$A,0)-1&amp;":"&amp;V124&amp;MATCH(V36,'数出表_Excel（アレルギー入力）'!$A:$A,0)-1&amp;""),
 1,
MATCH(TRUE,INDIRECT("'数出表_Excel（アレルギー入力）'!"&amp;Q122&amp;MATCH(V36,'数出表_Excel（アレルギー入力）'!$A:$A,0)-1&amp;":"&amp;V124&amp;MATCH(V36,'数出表_Excel（アレルギー入力）'!$A:$A,0)-1&amp;"")&lt;&gt;"",0)+1),
 "")="",
0,
IFERROR(
INDEX(INDIRECT("'数出表_Excel（アレルギー入力）'!"&amp;Q122&amp;MATCH(V36,'数出表_Excel（アレルギー入力）'!$A:$A,0)-1&amp;":"&amp;V124&amp;MATCH(V36,'数出表_Excel（アレルギー入力）'!$A:$A,0)-1&amp;""),
 1,
MATCH(TRUE,INDIRECT("'数出表_Excel（アレルギー入力）'!"&amp;Q122&amp;MATCH(V36,'数出表_Excel（アレルギー入力）'!$A:$A,0)-1&amp;":"&amp;V124&amp;MATCH(V36,'数出表_Excel（アレルギー入力）'!$A:$A,0)-1&amp;"")&lt;&gt;"",0)+1),
 "")),IFERROR(
INDEX(INDIRECT("'数出表_Excel（アレルギー入力）'!"&amp;Q122&amp;MATCH(V36,'数出表_Excel（アレルギー入力）'!$A:$A,0)-1&amp;":"&amp;V124&amp;MATCH(V36,'数出表_Excel（アレルギー入力）'!$A:$A,0)-1&amp;""),
 1,
MATCH(TRUE,INDIRECT("'数出表_Excel（アレルギー入力）'!"&amp;Q122&amp;MATCH(V36,'数出表_Excel（アレルギー入力）'!$A:$A,0)-1&amp;":"&amp;V124&amp;MATCH(V36,'数出表_Excel（アレルギー入力）'!$A:$A,0)-1&amp;"")&lt;&gt;"",0)+1),
 "")),0)</f>
        <v>0</v>
      </c>
      <c r="W122" s="76"/>
      <c r="X122" s="84" t="str" cm="1">
        <f t="array" aca="1" ref="X122" ca="1">IF(Y120&lt;&gt;"",SUBSTITUTE(ADDRESS(1,
(COLUMN(INDIRECT("数出表_Excel!"&amp;X120&amp;1&amp;""))-2 +
MATCH(TRUE, ISNUMBER(--INDIRECT("数出表_Excel!"&amp;X120&amp; (MATCH(INDIRECT(""&amp;AC120&amp;ROW()-86&amp;""),数出表_Excel!$A:$A,0)-1) &amp; ":U" &amp; (MATCH(INDIRECT(""&amp;AC120&amp;ROW()-86&amp;""),数出表_Excel!$A:$A,0)-1))), 0))
*2,4),"1",""),"")</f>
        <v/>
      </c>
      <c r="Y122" s="249" t="str">
        <f ca="1">IF(Y123&lt;&gt;"","園児","")</f>
        <v/>
      </c>
      <c r="Z122" s="250"/>
      <c r="AA122" s="251" t="str">
        <f ca="1">IF(Y123&lt;&gt;"","先生","")</f>
        <v/>
      </c>
      <c r="AB122" s="250"/>
      <c r="AC122" s="97" cm="1">
        <f t="array" aca="1" ref="AC122" ca="1">IF(Y120&lt;&gt;"",
IF(IFERROR(
INDEX(INDIRECT("'数出表_Excel（アレルギー入力）'!"&amp;X122&amp;MATCH(AC36,'数出表_Excel（アレルギー入力）'!$A:$A,0)-1&amp;":"&amp;AC124&amp;MATCH(AC36,'数出表_Excel（アレルギー入力）'!$A:$A,0)-1&amp;""),
 1,
MATCH(TRUE,INDIRECT("'数出表_Excel（アレルギー入力）'!"&amp;X122&amp;MATCH(AC36,'数出表_Excel（アレルギー入力）'!$A:$A,0)-1&amp;":"&amp;AC124&amp;MATCH(AC36,'数出表_Excel（アレルギー入力）'!$A:$A,0)-1&amp;"")&lt;&gt;"",0)+1),
 "")&lt;&gt;0,
IF(IFERROR(
INDEX(INDIRECT("'数出表_Excel（アレルギー入力）'!"&amp;X122&amp;MATCH(AC36,'数出表_Excel（アレルギー入力）'!$A:$A,0)-1&amp;":"&amp;AC124&amp;MATCH(AC36,'数出表_Excel（アレルギー入力）'!$A:$A,0)-1&amp;""),
 1,
MATCH(TRUE,INDIRECT("'数出表_Excel（アレルギー入力）'!"&amp;X122&amp;MATCH(AC36,'数出表_Excel（アレルギー入力）'!$A:$A,0)-1&amp;":"&amp;AC124&amp;MATCH(AC36,'数出表_Excel（アレルギー入力）'!$A:$A,0)-1&amp;"")&lt;&gt;"",0)+1),
 "")="",
0,
IFERROR(
INDEX(INDIRECT("'数出表_Excel（アレルギー入力）'!"&amp;X122&amp;MATCH(AC36,'数出表_Excel（アレルギー入力）'!$A:$A,0)-1&amp;":"&amp;AC124&amp;MATCH(AC36,'数出表_Excel（アレルギー入力）'!$A:$A,0)-1&amp;""),
 1,
MATCH(TRUE,INDIRECT("'数出表_Excel（アレルギー入力）'!"&amp;X122&amp;MATCH(AC36,'数出表_Excel（アレルギー入力）'!$A:$A,0)-1&amp;":"&amp;AC124&amp;MATCH(AC36,'数出表_Excel（アレルギー入力）'!$A:$A,0)-1&amp;"")&lt;&gt;"",0)+1),
 "")),IFERROR(
INDEX(INDIRECT("'数出表_Excel（アレルギー入力）'!"&amp;X122&amp;MATCH(AC36,'数出表_Excel（アレルギー入力）'!$A:$A,0)-1&amp;":"&amp;AC124&amp;MATCH(AC36,'数出表_Excel（アレルギー入力）'!$A:$A,0)-1&amp;""),
 1,
MATCH(TRUE,INDIRECT("'数出表_Excel（アレルギー入力）'!"&amp;X122&amp;MATCH(AC36,'数出表_Excel（アレルギー入力）'!$A:$A,0)-1&amp;":"&amp;AC124&amp;MATCH(AC36,'数出表_Excel（アレルギー入力）'!$A:$A,0)-1&amp;"")&lt;&gt;"",0)+1),
 "")),0)</f>
        <v>0</v>
      </c>
      <c r="AF122" s="84" t="str" cm="1">
        <f t="array" aca="1" ref="AF122" ca="1">IF(AG120&lt;&gt;"",SUBSTITUTE(ADDRESS(1,
(COLUMN(INDIRECT("数出表_Excel!"&amp;AF120&amp;1&amp;""))-2 +
MATCH(TRUE, ISNUMBER(--INDIRECT("数出表_Excel!"&amp;AF120&amp; (MATCH(INDIRECT(""&amp;AK120&amp;ROW()-86&amp;""),数出表_Excel!$A:$A,0)-1) &amp; ":U" &amp; (MATCH(INDIRECT(""&amp;AK120&amp;ROW()-86&amp;""),数出表_Excel!$A:$A,0)-1))), 0))
*2,4),"1",""),"")</f>
        <v/>
      </c>
      <c r="AG122" s="249" t="str">
        <f ca="1">IF(AG123&lt;&gt;"","園児","")</f>
        <v/>
      </c>
      <c r="AH122" s="250"/>
      <c r="AI122" s="251" t="str">
        <f ca="1">IF(AG123&lt;&gt;"","先生","")</f>
        <v/>
      </c>
      <c r="AJ122" s="250"/>
      <c r="AK122" s="97" cm="1">
        <f t="array" aca="1" ref="AK122" ca="1">IF(AG120&lt;&gt;"",
IF(IFERROR(
INDEX(INDIRECT("'数出表_Excel（アレルギー入力）'!"&amp;AF122&amp;MATCH(AK36,'数出表_Excel（アレルギー入力）'!$A:$A,0)-1&amp;":"&amp;AK124&amp;MATCH(AK36,'数出表_Excel（アレルギー入力）'!$A:$A,0)-1&amp;""),
 1,
MATCH(TRUE,INDIRECT("'数出表_Excel（アレルギー入力）'!"&amp;AF122&amp;MATCH(AK36,'数出表_Excel（アレルギー入力）'!$A:$A,0)-1&amp;":"&amp;AK124&amp;MATCH(AK36,'数出表_Excel（アレルギー入力）'!$A:$A,0)-1&amp;"")&lt;&gt;"",0)+1),
 "")&lt;&gt;0,
IF(IFERROR(
INDEX(INDIRECT("'数出表_Excel（アレルギー入力）'!"&amp;AF122&amp;MATCH(AK36,'数出表_Excel（アレルギー入力）'!$A:$A,0)-1&amp;":"&amp;AK124&amp;MATCH(AK36,'数出表_Excel（アレルギー入力）'!$A:$A,0)-1&amp;""),
 1,
MATCH(TRUE,INDIRECT("'数出表_Excel（アレルギー入力）'!"&amp;AF122&amp;MATCH(AK36,'数出表_Excel（アレルギー入力）'!$A:$A,0)-1&amp;":"&amp;AK124&amp;MATCH(AK36,'数出表_Excel（アレルギー入力）'!$A:$A,0)-1&amp;"")&lt;&gt;"",0)+1),
 "")="",
0,
IFERROR(
INDEX(INDIRECT("'数出表_Excel（アレルギー入力）'!"&amp;AF122&amp;MATCH(AK36,'数出表_Excel（アレルギー入力）'!$A:$A,0)-1&amp;":"&amp;AK124&amp;MATCH(AK36,'数出表_Excel（アレルギー入力）'!$A:$A,0)-1&amp;""),
 1,
MATCH(TRUE,INDIRECT("'数出表_Excel（アレルギー入力）'!"&amp;AF122&amp;MATCH(AK36,'数出表_Excel（アレルギー入力）'!$A:$A,0)-1&amp;":"&amp;AK124&amp;MATCH(AK36,'数出表_Excel（アレルギー入力）'!$A:$A,0)-1&amp;"")&lt;&gt;"",0)+1),
 "")),IFERROR(
INDEX(INDIRECT("'数出表_Excel（アレルギー入力）'!"&amp;AF122&amp;MATCH(AK36,'数出表_Excel（アレルギー入力）'!$A:$A,0)-1&amp;":"&amp;AK124&amp;MATCH(AK36,'数出表_Excel（アレルギー入力）'!$A:$A,0)-1&amp;""),
 1,
MATCH(TRUE,INDIRECT("'数出表_Excel（アレルギー入力）'!"&amp;AF122&amp;MATCH(AK36,'数出表_Excel（アレルギー入力）'!$A:$A,0)-1&amp;":"&amp;AK124&amp;MATCH(AK36,'数出表_Excel（アレルギー入力）'!$A:$A,0)-1&amp;"")&lt;&gt;"",0)+1),
 "")),0)</f>
        <v>0</v>
      </c>
      <c r="AL122" s="76"/>
      <c r="AM122" s="84" t="str" cm="1">
        <f t="array" aca="1" ref="AM122" ca="1">IF(AN120&lt;&gt;"",SUBSTITUTE(ADDRESS(1,
(COLUMN(INDIRECT("数出表_Excel!"&amp;AM120&amp;1&amp;""))-2 +
MATCH(TRUE, ISNUMBER(--INDIRECT("数出表_Excel!"&amp;AM120&amp; (MATCH(INDIRECT(""&amp;AR120&amp;ROW()-86&amp;""),数出表_Excel!$A:$A,0)-1) &amp; ":U" &amp; (MATCH(INDIRECT(""&amp;AR120&amp;ROW()-86&amp;""),数出表_Excel!$A:$A,0)-1))), 0))
*2,4),"1",""),"")</f>
        <v/>
      </c>
      <c r="AN122" s="249" t="str">
        <f ca="1">IF(AN123&lt;&gt;"","園児","")</f>
        <v/>
      </c>
      <c r="AO122" s="250"/>
      <c r="AP122" s="251" t="str">
        <f ca="1">IF(AN123&lt;&gt;"","先生","")</f>
        <v/>
      </c>
      <c r="AQ122" s="250"/>
      <c r="AR122" s="97" cm="1">
        <f t="array" aca="1" ref="AR122" ca="1">IF(AN120&lt;&gt;"",
IF(IFERROR(
INDEX(INDIRECT("'数出表_Excel（アレルギー入力）'!"&amp;AM122&amp;MATCH(AR36,'数出表_Excel（アレルギー入力）'!$A:$A,0)-1&amp;":"&amp;AR124&amp;MATCH(AR36,'数出表_Excel（アレルギー入力）'!$A:$A,0)-1&amp;""),
 1,
MATCH(TRUE,INDIRECT("'数出表_Excel（アレルギー入力）'!"&amp;AM122&amp;MATCH(AR36,'数出表_Excel（アレルギー入力）'!$A:$A,0)-1&amp;":"&amp;AR124&amp;MATCH(AR36,'数出表_Excel（アレルギー入力）'!$A:$A,0)-1&amp;"")&lt;&gt;"",0)+1),
 "")&lt;&gt;0,
IF(IFERROR(
INDEX(INDIRECT("'数出表_Excel（アレルギー入力）'!"&amp;AM122&amp;MATCH(AR36,'数出表_Excel（アレルギー入力）'!$A:$A,0)-1&amp;":"&amp;AR124&amp;MATCH(AR36,'数出表_Excel（アレルギー入力）'!$A:$A,0)-1&amp;""),
 1,
MATCH(TRUE,INDIRECT("'数出表_Excel（アレルギー入力）'!"&amp;AM122&amp;MATCH(AR36,'数出表_Excel（アレルギー入力）'!$A:$A,0)-1&amp;":"&amp;AR124&amp;MATCH(AR36,'数出表_Excel（アレルギー入力）'!$A:$A,0)-1&amp;"")&lt;&gt;"",0)+1),
 "")="",
0,
IFERROR(
INDEX(INDIRECT("'数出表_Excel（アレルギー入力）'!"&amp;AM122&amp;MATCH(AR36,'数出表_Excel（アレルギー入力）'!$A:$A,0)-1&amp;":"&amp;AR124&amp;MATCH(AR36,'数出表_Excel（アレルギー入力）'!$A:$A,0)-1&amp;""),
 1,
MATCH(TRUE,INDIRECT("'数出表_Excel（アレルギー入力）'!"&amp;AM122&amp;MATCH(AR36,'数出表_Excel（アレルギー入力）'!$A:$A,0)-1&amp;":"&amp;AR124&amp;MATCH(AR36,'数出表_Excel（アレルギー入力）'!$A:$A,0)-1&amp;"")&lt;&gt;"",0)+1),
 "")),IFERROR(
INDEX(INDIRECT("'数出表_Excel（アレルギー入力）'!"&amp;AM122&amp;MATCH(AR36,'数出表_Excel（アレルギー入力）'!$A:$A,0)-1&amp;":"&amp;AR124&amp;MATCH(AR36,'数出表_Excel（アレルギー入力）'!$A:$A,0)-1&amp;""),
 1,
MATCH(TRUE,INDIRECT("'数出表_Excel（アレルギー入力）'!"&amp;AM122&amp;MATCH(AR36,'数出表_Excel（アレルギー入力）'!$A:$A,0)-1&amp;":"&amp;AR124&amp;MATCH(AR36,'数出表_Excel（アレルギー入力）'!$A:$A,0)-1&amp;"")&lt;&gt;"",0)+1),
 "")),0)</f>
        <v>0</v>
      </c>
      <c r="AU122" s="84" t="str" cm="1">
        <f t="array" aca="1" ref="AU122" ca="1">IF(AV120&lt;&gt;"",SUBSTITUTE(ADDRESS(1,
(COLUMN(INDIRECT("数出表_Excel!"&amp;AU120&amp;1&amp;""))-2 +
MATCH(TRUE, ISNUMBER(--INDIRECT("数出表_Excel!"&amp;AU120&amp; (MATCH(INDIRECT(""&amp;AZ120&amp;ROW()-86&amp;""),数出表_Excel!$A:$A,0)-1) &amp; ":U" &amp; (MATCH(INDIRECT(""&amp;AZ120&amp;ROW()-86&amp;""),数出表_Excel!$A:$A,0)-1))), 0))
*2,4),"1",""),"")</f>
        <v/>
      </c>
      <c r="AV122" s="249" t="str">
        <f ca="1">IF(AV123&lt;&gt;"","園児","")</f>
        <v/>
      </c>
      <c r="AW122" s="250"/>
      <c r="AX122" s="251" t="str">
        <f ca="1">IF(AV123&lt;&gt;"","先生","")</f>
        <v/>
      </c>
      <c r="AY122" s="250"/>
      <c r="AZ122" s="97" cm="1">
        <f t="array" aca="1" ref="AZ122" ca="1">IF(AV120&lt;&gt;"",
IF(IFERROR(
INDEX(INDIRECT("'数出表_Excel（アレルギー入力）'!"&amp;AU122&amp;MATCH(AZ36,'数出表_Excel（アレルギー入力）'!$A:$A,0)-1&amp;":"&amp;AZ124&amp;MATCH(AZ36,'数出表_Excel（アレルギー入力）'!$A:$A,0)-1&amp;""),
 1,
MATCH(TRUE,INDIRECT("'数出表_Excel（アレルギー入力）'!"&amp;AU122&amp;MATCH(AZ36,'数出表_Excel（アレルギー入力）'!$A:$A,0)-1&amp;":"&amp;AZ124&amp;MATCH(AZ36,'数出表_Excel（アレルギー入力）'!$A:$A,0)-1&amp;"")&lt;&gt;"",0)+1),
 "")&lt;&gt;0,
IF(IFERROR(
INDEX(INDIRECT("'数出表_Excel（アレルギー入力）'!"&amp;AU122&amp;MATCH(AZ36,'数出表_Excel（アレルギー入力）'!$A:$A,0)-1&amp;":"&amp;AZ124&amp;MATCH(AZ36,'数出表_Excel（アレルギー入力）'!$A:$A,0)-1&amp;""),
 1,
MATCH(TRUE,INDIRECT("'数出表_Excel（アレルギー入力）'!"&amp;AU122&amp;MATCH(AZ36,'数出表_Excel（アレルギー入力）'!$A:$A,0)-1&amp;":"&amp;AZ124&amp;MATCH(AZ36,'数出表_Excel（アレルギー入力）'!$A:$A,0)-1&amp;"")&lt;&gt;"",0)+1),
 "")="",
0,
IFERROR(
INDEX(INDIRECT("'数出表_Excel（アレルギー入力）'!"&amp;AU122&amp;MATCH(AZ36,'数出表_Excel（アレルギー入力）'!$A:$A,0)-1&amp;":"&amp;AZ124&amp;MATCH(AZ36,'数出表_Excel（アレルギー入力）'!$A:$A,0)-1&amp;""),
 1,
MATCH(TRUE,INDIRECT("'数出表_Excel（アレルギー入力）'!"&amp;AU122&amp;MATCH(AZ36,'数出表_Excel（アレルギー入力）'!$A:$A,0)-1&amp;":"&amp;AZ124&amp;MATCH(AZ36,'数出表_Excel（アレルギー入力）'!$A:$A,0)-1&amp;"")&lt;&gt;"",0)+1),
 "")),IFERROR(
INDEX(INDIRECT("'数出表_Excel（アレルギー入力）'!"&amp;AU122&amp;MATCH(AZ36,'数出表_Excel（アレルギー入力）'!$A:$A,0)-1&amp;":"&amp;AZ124&amp;MATCH(AZ36,'数出表_Excel（アレルギー入力）'!$A:$A,0)-1&amp;""),
 1,
MATCH(TRUE,INDIRECT("'数出表_Excel（アレルギー入力）'!"&amp;AU122&amp;MATCH(AZ36,'数出表_Excel（アレルギー入力）'!$A:$A,0)-1&amp;":"&amp;AZ124&amp;MATCH(AZ36,'数出表_Excel（アレルギー入力）'!$A:$A,0)-1&amp;"")&lt;&gt;"",0)+1),
 "")),0)</f>
        <v>0</v>
      </c>
      <c r="BA122" s="76"/>
      <c r="BB122" s="84" t="str" cm="1">
        <f t="array" aca="1" ref="BB122" ca="1">IF(BC120&lt;&gt;"",SUBSTITUTE(ADDRESS(1,
(COLUMN(INDIRECT("数出表_Excel!"&amp;BB120&amp;1&amp;""))-2 +
MATCH(TRUE, ISNUMBER(--INDIRECT("数出表_Excel!"&amp;BB120&amp; (MATCH(INDIRECT(""&amp;BG120&amp;ROW()-86&amp;""),数出表_Excel!$A:$A,0)-1) &amp; ":U" &amp; (MATCH(INDIRECT(""&amp;BG120&amp;ROW()-86&amp;""),数出表_Excel!$A:$A,0)-1))), 0))
*2,4),"1",""),"")</f>
        <v/>
      </c>
      <c r="BC122" s="249" t="str">
        <f ca="1">IF(BC123&lt;&gt;"","園児","")</f>
        <v/>
      </c>
      <c r="BD122" s="250"/>
      <c r="BE122" s="251" t="str">
        <f ca="1">IF(BC123&lt;&gt;"","先生","")</f>
        <v/>
      </c>
      <c r="BF122" s="250"/>
      <c r="BG122" s="97" cm="1">
        <f t="array" aca="1" ref="BG122" ca="1">IF(BC120&lt;&gt;"",
IF(IFERROR(
INDEX(INDIRECT("'数出表_Excel（アレルギー入力）'!"&amp;BB122&amp;MATCH(BG36,'数出表_Excel（アレルギー入力）'!$A:$A,0)-1&amp;":"&amp;BG124&amp;MATCH(BG36,'数出表_Excel（アレルギー入力）'!$A:$A,0)-1&amp;""),
 1,
MATCH(TRUE,INDIRECT("'数出表_Excel（アレルギー入力）'!"&amp;BB122&amp;MATCH(BG36,'数出表_Excel（アレルギー入力）'!$A:$A,0)-1&amp;":"&amp;BG124&amp;MATCH(BG36,'数出表_Excel（アレルギー入力）'!$A:$A,0)-1&amp;"")&lt;&gt;"",0)+1),
 "")&lt;&gt;0,
IF(IFERROR(
INDEX(INDIRECT("'数出表_Excel（アレルギー入力）'!"&amp;BB122&amp;MATCH(BG36,'数出表_Excel（アレルギー入力）'!$A:$A,0)-1&amp;":"&amp;BG124&amp;MATCH(BG36,'数出表_Excel（アレルギー入力）'!$A:$A,0)-1&amp;""),
 1,
MATCH(TRUE,INDIRECT("'数出表_Excel（アレルギー入力）'!"&amp;BB122&amp;MATCH(BG36,'数出表_Excel（アレルギー入力）'!$A:$A,0)-1&amp;":"&amp;BG124&amp;MATCH(BG36,'数出表_Excel（アレルギー入力）'!$A:$A,0)-1&amp;"")&lt;&gt;"",0)+1),
 "")="",
0,
IFERROR(
INDEX(INDIRECT("'数出表_Excel（アレルギー入力）'!"&amp;BB122&amp;MATCH(BG36,'数出表_Excel（アレルギー入力）'!$A:$A,0)-1&amp;":"&amp;BG124&amp;MATCH(BG36,'数出表_Excel（アレルギー入力）'!$A:$A,0)-1&amp;""),
 1,
MATCH(TRUE,INDIRECT("'数出表_Excel（アレルギー入力）'!"&amp;BB122&amp;MATCH(BG36,'数出表_Excel（アレルギー入力）'!$A:$A,0)-1&amp;":"&amp;BG124&amp;MATCH(BG36,'数出表_Excel（アレルギー入力）'!$A:$A,0)-1&amp;"")&lt;&gt;"",0)+1),
 "")),IFERROR(
INDEX(INDIRECT("'数出表_Excel（アレルギー入力）'!"&amp;BB122&amp;MATCH(BG36,'数出表_Excel（アレルギー入力）'!$A:$A,0)-1&amp;":"&amp;BG124&amp;MATCH(BG36,'数出表_Excel（アレルギー入力）'!$A:$A,0)-1&amp;""),
 1,
MATCH(TRUE,INDIRECT("'数出表_Excel（アレルギー入力）'!"&amp;BB122&amp;MATCH(BG36,'数出表_Excel（アレルギー入力）'!$A:$A,0)-1&amp;":"&amp;BG124&amp;MATCH(BG36,'数出表_Excel（アレルギー入力）'!$A:$A,0)-1&amp;"")&lt;&gt;"",0)+1),
 "")),0)</f>
        <v>0</v>
      </c>
      <c r="BJ122" s="84" t="str" cm="1">
        <f t="array" aca="1" ref="BJ122" ca="1">IF(BK120&lt;&gt;"",SUBSTITUTE(ADDRESS(1,
(COLUMN(INDIRECT("数出表_Excel!"&amp;BJ120&amp;1&amp;""))-2 +
MATCH(TRUE, ISNUMBER(--INDIRECT("数出表_Excel!"&amp;BJ120&amp; (MATCH(INDIRECT(""&amp;BO120&amp;ROW()-86&amp;""),数出表_Excel!$A:$A,0)-1) &amp; ":U" &amp; (MATCH(INDIRECT(""&amp;BO120&amp;ROW()-86&amp;""),数出表_Excel!$A:$A,0)-1))), 0))
*2,4),"1",""),"")</f>
        <v/>
      </c>
      <c r="BK122" s="249" t="str">
        <f ca="1">IF(BK123&lt;&gt;"","園児","")</f>
        <v/>
      </c>
      <c r="BL122" s="250"/>
      <c r="BM122" s="251" t="str">
        <f ca="1">IF(BK123&lt;&gt;"","先生","")</f>
        <v/>
      </c>
      <c r="BN122" s="250"/>
      <c r="BO122" s="97" cm="1">
        <f t="array" aca="1" ref="BO122" ca="1">IF(BK120&lt;&gt;"",
IF(IFERROR(
INDEX(INDIRECT("'数出表_Excel（アレルギー入力）'!"&amp;BJ122&amp;MATCH(BO36,'数出表_Excel（アレルギー入力）'!$A:$A,0)-1&amp;":"&amp;BO124&amp;MATCH(BO36,'数出表_Excel（アレルギー入力）'!$A:$A,0)-1&amp;""),
 1,
MATCH(TRUE,INDIRECT("'数出表_Excel（アレルギー入力）'!"&amp;BJ122&amp;MATCH(BO36,'数出表_Excel（アレルギー入力）'!$A:$A,0)-1&amp;":"&amp;BO124&amp;MATCH(BO36,'数出表_Excel（アレルギー入力）'!$A:$A,0)-1&amp;"")&lt;&gt;"",0)+1),
 "")&lt;&gt;0,
IF(IFERROR(
INDEX(INDIRECT("'数出表_Excel（アレルギー入力）'!"&amp;BJ122&amp;MATCH(BO36,'数出表_Excel（アレルギー入力）'!$A:$A,0)-1&amp;":"&amp;BO124&amp;MATCH(BO36,'数出表_Excel（アレルギー入力）'!$A:$A,0)-1&amp;""),
 1,
MATCH(TRUE,INDIRECT("'数出表_Excel（アレルギー入力）'!"&amp;BJ122&amp;MATCH(BO36,'数出表_Excel（アレルギー入力）'!$A:$A,0)-1&amp;":"&amp;BO124&amp;MATCH(BO36,'数出表_Excel（アレルギー入力）'!$A:$A,0)-1&amp;"")&lt;&gt;"",0)+1),
 "")="",
0,
IFERROR(
INDEX(INDIRECT("'数出表_Excel（アレルギー入力）'!"&amp;BJ122&amp;MATCH(BO36,'数出表_Excel（アレルギー入力）'!$A:$A,0)-1&amp;":"&amp;BO124&amp;MATCH(BO36,'数出表_Excel（アレルギー入力）'!$A:$A,0)-1&amp;""),
 1,
MATCH(TRUE,INDIRECT("'数出表_Excel（アレルギー入力）'!"&amp;BJ122&amp;MATCH(BO36,'数出表_Excel（アレルギー入力）'!$A:$A,0)-1&amp;":"&amp;BO124&amp;MATCH(BO36,'数出表_Excel（アレルギー入力）'!$A:$A,0)-1&amp;"")&lt;&gt;"",0)+1),
 "")),IFERROR(
INDEX(INDIRECT("'数出表_Excel（アレルギー入力）'!"&amp;BJ122&amp;MATCH(BO36,'数出表_Excel（アレルギー入力）'!$A:$A,0)-1&amp;":"&amp;BO124&amp;MATCH(BO36,'数出表_Excel（アレルギー入力）'!$A:$A,0)-1&amp;""),
 1,
MATCH(TRUE,INDIRECT("'数出表_Excel（アレルギー入力）'!"&amp;BJ122&amp;MATCH(BO36,'数出表_Excel（アレルギー入力）'!$A:$A,0)-1&amp;":"&amp;BO124&amp;MATCH(BO36,'数出表_Excel（アレルギー入力）'!$A:$A,0)-1&amp;"")&lt;&gt;"",0)+1),
 "")),0)</f>
        <v>0</v>
      </c>
      <c r="BP122" s="76"/>
      <c r="BQ122" s="84" t="str" cm="1">
        <f t="array" aca="1" ref="BQ122" ca="1">IF(BR120&lt;&gt;"",SUBSTITUTE(ADDRESS(1,
(COLUMN(INDIRECT("数出表_Excel!"&amp;BQ120&amp;1&amp;""))-2 +
MATCH(TRUE, ISNUMBER(--INDIRECT("数出表_Excel!"&amp;BQ120&amp; (MATCH(INDIRECT(""&amp;BV120&amp;ROW()-86&amp;""),数出表_Excel!$A:$A,0)-1) &amp; ":U" &amp; (MATCH(INDIRECT(""&amp;BV120&amp;ROW()-86&amp;""),数出表_Excel!$A:$A,0)-1))), 0))
*2,4),"1",""),"")</f>
        <v/>
      </c>
      <c r="BR122" s="249" t="str">
        <f ca="1">IF(BR123&lt;&gt;"","園児","")</f>
        <v/>
      </c>
      <c r="BS122" s="250"/>
      <c r="BT122" s="251" t="str">
        <f ca="1">IF(BR123&lt;&gt;"","先生","")</f>
        <v/>
      </c>
      <c r="BU122" s="250"/>
      <c r="BV122" s="97" cm="1">
        <f t="array" aca="1" ref="BV122" ca="1">IF(BR120&lt;&gt;"",
IF(IFERROR(
INDEX(INDIRECT("'数出表_Excel（アレルギー入力）'!"&amp;BQ122&amp;MATCH(BV36,'数出表_Excel（アレルギー入力）'!$A:$A,0)-1&amp;":"&amp;BV124&amp;MATCH(BV36,'数出表_Excel（アレルギー入力）'!$A:$A,0)-1&amp;""),
 1,
MATCH(TRUE,INDIRECT("'数出表_Excel（アレルギー入力）'!"&amp;BQ122&amp;MATCH(BV36,'数出表_Excel（アレルギー入力）'!$A:$A,0)-1&amp;":"&amp;BV124&amp;MATCH(BV36,'数出表_Excel（アレルギー入力）'!$A:$A,0)-1&amp;"")&lt;&gt;"",0)+1),
 "")&lt;&gt;0,
IF(IFERROR(
INDEX(INDIRECT("'数出表_Excel（アレルギー入力）'!"&amp;BQ122&amp;MATCH(BV36,'数出表_Excel（アレルギー入力）'!$A:$A,0)-1&amp;":"&amp;BV124&amp;MATCH(BV36,'数出表_Excel（アレルギー入力）'!$A:$A,0)-1&amp;""),
 1,
MATCH(TRUE,INDIRECT("'数出表_Excel（アレルギー入力）'!"&amp;BQ122&amp;MATCH(BV36,'数出表_Excel（アレルギー入力）'!$A:$A,0)-1&amp;":"&amp;BV124&amp;MATCH(BV36,'数出表_Excel（アレルギー入力）'!$A:$A,0)-1&amp;"")&lt;&gt;"",0)+1),
 "")="",
0,
IFERROR(
INDEX(INDIRECT("'数出表_Excel（アレルギー入力）'!"&amp;BQ122&amp;MATCH(BV36,'数出表_Excel（アレルギー入力）'!$A:$A,0)-1&amp;":"&amp;BV124&amp;MATCH(BV36,'数出表_Excel（アレルギー入力）'!$A:$A,0)-1&amp;""),
 1,
MATCH(TRUE,INDIRECT("'数出表_Excel（アレルギー入力）'!"&amp;BQ122&amp;MATCH(BV36,'数出表_Excel（アレルギー入力）'!$A:$A,0)-1&amp;":"&amp;BV124&amp;MATCH(BV36,'数出表_Excel（アレルギー入力）'!$A:$A,0)-1&amp;"")&lt;&gt;"",0)+1),
 "")),IFERROR(
INDEX(INDIRECT("'数出表_Excel（アレルギー入力）'!"&amp;BQ122&amp;MATCH(BV36,'数出表_Excel（アレルギー入力）'!$A:$A,0)-1&amp;":"&amp;BV124&amp;MATCH(BV36,'数出表_Excel（アレルギー入力）'!$A:$A,0)-1&amp;""),
 1,
MATCH(TRUE,INDIRECT("'数出表_Excel（アレルギー入力）'!"&amp;BQ122&amp;MATCH(BV36,'数出表_Excel（アレルギー入力）'!$A:$A,0)-1&amp;":"&amp;BV124&amp;MATCH(BV36,'数出表_Excel（アレルギー入力）'!$A:$A,0)-1&amp;"")&lt;&gt;"",0)+1),
 "")),0)</f>
        <v>0</v>
      </c>
      <c r="BY122" s="84" t="str" cm="1">
        <f t="array" aca="1" ref="BY122" ca="1">IF(BZ120&lt;&gt;"",SUBSTITUTE(ADDRESS(1,
(COLUMN(INDIRECT("数出表_Excel!"&amp;BY120&amp;1&amp;""))-2 +
MATCH(TRUE, ISNUMBER(--INDIRECT("数出表_Excel!"&amp;BY120&amp; (MATCH(INDIRECT(""&amp;CD120&amp;ROW()-86&amp;""),数出表_Excel!$A:$A,0)-1) &amp; ":U" &amp; (MATCH(INDIRECT(""&amp;CD120&amp;ROW()-86&amp;""),数出表_Excel!$A:$A,0)-1))), 0))
*2,4),"1",""),"")</f>
        <v/>
      </c>
      <c r="BZ122" s="249" t="str">
        <f ca="1">IF(BZ123&lt;&gt;"","園児","")</f>
        <v/>
      </c>
      <c r="CA122" s="250"/>
      <c r="CB122" s="251" t="str">
        <f ca="1">IF(BZ123&lt;&gt;"","先生","")</f>
        <v/>
      </c>
      <c r="CC122" s="250"/>
      <c r="CD122" s="97" cm="1">
        <f t="array" aca="1" ref="CD122" ca="1">IF(BZ120&lt;&gt;"",
IF(IFERROR(
INDEX(INDIRECT("'数出表_Excel（アレルギー入力）'!"&amp;BY122&amp;MATCH(CD36,'数出表_Excel（アレルギー入力）'!$A:$A,0)-1&amp;":"&amp;CD124&amp;MATCH(CD36,'数出表_Excel（アレルギー入力）'!$A:$A,0)-1&amp;""),
 1,
MATCH(TRUE,INDIRECT("'数出表_Excel（アレルギー入力）'!"&amp;BY122&amp;MATCH(CD36,'数出表_Excel（アレルギー入力）'!$A:$A,0)-1&amp;":"&amp;CD124&amp;MATCH(CD36,'数出表_Excel（アレルギー入力）'!$A:$A,0)-1&amp;"")&lt;&gt;"",0)+1),
 "")&lt;&gt;0,
IF(IFERROR(
INDEX(INDIRECT("'数出表_Excel（アレルギー入力）'!"&amp;BY122&amp;MATCH(CD36,'数出表_Excel（アレルギー入力）'!$A:$A,0)-1&amp;":"&amp;CD124&amp;MATCH(CD36,'数出表_Excel（アレルギー入力）'!$A:$A,0)-1&amp;""),
 1,
MATCH(TRUE,INDIRECT("'数出表_Excel（アレルギー入力）'!"&amp;BY122&amp;MATCH(CD36,'数出表_Excel（アレルギー入力）'!$A:$A,0)-1&amp;":"&amp;CD124&amp;MATCH(CD36,'数出表_Excel（アレルギー入力）'!$A:$A,0)-1&amp;"")&lt;&gt;"",0)+1),
 "")="",
0,
IFERROR(
INDEX(INDIRECT("'数出表_Excel（アレルギー入力）'!"&amp;BY122&amp;MATCH(CD36,'数出表_Excel（アレルギー入力）'!$A:$A,0)-1&amp;":"&amp;CD124&amp;MATCH(CD36,'数出表_Excel（アレルギー入力）'!$A:$A,0)-1&amp;""),
 1,
MATCH(TRUE,INDIRECT("'数出表_Excel（アレルギー入力）'!"&amp;BY122&amp;MATCH(CD36,'数出表_Excel（アレルギー入力）'!$A:$A,0)-1&amp;":"&amp;CD124&amp;MATCH(CD36,'数出表_Excel（アレルギー入力）'!$A:$A,0)-1&amp;"")&lt;&gt;"",0)+1),
 "")),IFERROR(
INDEX(INDIRECT("'数出表_Excel（アレルギー入力）'!"&amp;BY122&amp;MATCH(CD36,'数出表_Excel（アレルギー入力）'!$A:$A,0)-1&amp;":"&amp;CD124&amp;MATCH(CD36,'数出表_Excel（アレルギー入力）'!$A:$A,0)-1&amp;""),
 1,
MATCH(TRUE,INDIRECT("'数出表_Excel（アレルギー入力）'!"&amp;BY122&amp;MATCH(CD36,'数出表_Excel（アレルギー入力）'!$A:$A,0)-1&amp;":"&amp;CD124&amp;MATCH(CD36,'数出表_Excel（アレルギー入力）'!$A:$A,0)-1&amp;"")&lt;&gt;"",0)+1),
 "")),0)</f>
        <v>0</v>
      </c>
      <c r="CE122" s="76"/>
      <c r="CF122" s="84" t="str" cm="1">
        <f t="array" aca="1" ref="CF122" ca="1">IF(CG120&lt;&gt;"",SUBSTITUTE(ADDRESS(1,
(COLUMN(INDIRECT("数出表_Excel!"&amp;CF120&amp;1&amp;""))-2 +
MATCH(TRUE, ISNUMBER(--INDIRECT("数出表_Excel!"&amp;CF120&amp; (MATCH(INDIRECT(""&amp;CK120&amp;ROW()-86&amp;""),数出表_Excel!$A:$A,0)-1) &amp; ":U" &amp; (MATCH(INDIRECT(""&amp;CK120&amp;ROW()-86&amp;""),数出表_Excel!$A:$A,0)-1))), 0))
*2,4),"1",""),"")</f>
        <v/>
      </c>
      <c r="CG122" s="249" t="str">
        <f ca="1">IF(CG123&lt;&gt;"","園児","")</f>
        <v/>
      </c>
      <c r="CH122" s="250"/>
      <c r="CI122" s="251" t="str">
        <f ca="1">IF(CG123&lt;&gt;"","先生","")</f>
        <v/>
      </c>
      <c r="CJ122" s="250"/>
      <c r="CK122" s="97" cm="1">
        <f t="array" aca="1" ref="CK122" ca="1">IF(CG120&lt;&gt;"",
IF(IFERROR(
INDEX(INDIRECT("'数出表_Excel（アレルギー入力）'!"&amp;CF122&amp;MATCH(CK36,'数出表_Excel（アレルギー入力）'!$A:$A,0)-1&amp;":"&amp;CK124&amp;MATCH(CK36,'数出表_Excel（アレルギー入力）'!$A:$A,0)-1&amp;""),
 1,
MATCH(TRUE,INDIRECT("'数出表_Excel（アレルギー入力）'!"&amp;CF122&amp;MATCH(CK36,'数出表_Excel（アレルギー入力）'!$A:$A,0)-1&amp;":"&amp;CK124&amp;MATCH(CK36,'数出表_Excel（アレルギー入力）'!$A:$A,0)-1&amp;"")&lt;&gt;"",0)+1),
 "")&lt;&gt;0,
IF(IFERROR(
INDEX(INDIRECT("'数出表_Excel（アレルギー入力）'!"&amp;CF122&amp;MATCH(CK36,'数出表_Excel（アレルギー入力）'!$A:$A,0)-1&amp;":"&amp;CK124&amp;MATCH(CK36,'数出表_Excel（アレルギー入力）'!$A:$A,0)-1&amp;""),
 1,
MATCH(TRUE,INDIRECT("'数出表_Excel（アレルギー入力）'!"&amp;CF122&amp;MATCH(CK36,'数出表_Excel（アレルギー入力）'!$A:$A,0)-1&amp;":"&amp;CK124&amp;MATCH(CK36,'数出表_Excel（アレルギー入力）'!$A:$A,0)-1&amp;"")&lt;&gt;"",0)+1),
 "")="",
0,
IFERROR(
INDEX(INDIRECT("'数出表_Excel（アレルギー入力）'!"&amp;CF122&amp;MATCH(CK36,'数出表_Excel（アレルギー入力）'!$A:$A,0)-1&amp;":"&amp;CK124&amp;MATCH(CK36,'数出表_Excel（アレルギー入力）'!$A:$A,0)-1&amp;""),
 1,
MATCH(TRUE,INDIRECT("'数出表_Excel（アレルギー入力）'!"&amp;CF122&amp;MATCH(CK36,'数出表_Excel（アレルギー入力）'!$A:$A,0)-1&amp;":"&amp;CK124&amp;MATCH(CK36,'数出表_Excel（アレルギー入力）'!$A:$A,0)-1&amp;"")&lt;&gt;"",0)+1),
 "")),IFERROR(
INDEX(INDIRECT("'数出表_Excel（アレルギー入力）'!"&amp;CF122&amp;MATCH(CK36,'数出表_Excel（アレルギー入力）'!$A:$A,0)-1&amp;":"&amp;CK124&amp;MATCH(CK36,'数出表_Excel（アレルギー入力）'!$A:$A,0)-1&amp;""),
 1,
MATCH(TRUE,INDIRECT("'数出表_Excel（アレルギー入力）'!"&amp;CF122&amp;MATCH(CK36,'数出表_Excel（アレルギー入力）'!$A:$A,0)-1&amp;":"&amp;CK124&amp;MATCH(CK36,'数出表_Excel（アレルギー入力）'!$A:$A,0)-1&amp;"")&lt;&gt;"",0)+1),
 "")),0)</f>
        <v>0</v>
      </c>
      <c r="CN122" s="84" t="str" cm="1">
        <f t="array" aca="1" ref="CN122" ca="1">IF(CO120&lt;&gt;"",SUBSTITUTE(ADDRESS(1,
(COLUMN(INDIRECT("数出表_Excel!"&amp;CN120&amp;1&amp;""))-2 +
MATCH(TRUE, ISNUMBER(--INDIRECT("数出表_Excel!"&amp;CN120&amp; (MATCH(INDIRECT(""&amp;CS120&amp;ROW()-86&amp;""),数出表_Excel!$A:$A,0)-1) &amp; ":U" &amp; (MATCH(INDIRECT(""&amp;CS120&amp;ROW()-86&amp;""),数出表_Excel!$A:$A,0)-1))), 0))
*2,4),"1",""),"")</f>
        <v/>
      </c>
      <c r="CO122" s="249" t="str">
        <f ca="1">IF(CO123&lt;&gt;"","園児","")</f>
        <v/>
      </c>
      <c r="CP122" s="250"/>
      <c r="CQ122" s="251" t="str">
        <f ca="1">IF(CO123&lt;&gt;"","先生","")</f>
        <v/>
      </c>
      <c r="CR122" s="250"/>
      <c r="CS122" s="97" cm="1">
        <f t="array" aca="1" ref="CS122" ca="1">IF(CO120&lt;&gt;"",
IF(IFERROR(
INDEX(INDIRECT("'数出表_Excel（アレルギー入力）'!"&amp;CN122&amp;MATCH(CS36,'数出表_Excel（アレルギー入力）'!$A:$A,0)-1&amp;":"&amp;CS124&amp;MATCH(CS36,'数出表_Excel（アレルギー入力）'!$A:$A,0)-1&amp;""),
 1,
MATCH(TRUE,INDIRECT("'数出表_Excel（アレルギー入力）'!"&amp;CN122&amp;MATCH(CS36,'数出表_Excel（アレルギー入力）'!$A:$A,0)-1&amp;":"&amp;CS124&amp;MATCH(CS36,'数出表_Excel（アレルギー入力）'!$A:$A,0)-1&amp;"")&lt;&gt;"",0)+1),
 "")&lt;&gt;0,
IF(IFERROR(
INDEX(INDIRECT("'数出表_Excel（アレルギー入力）'!"&amp;CN122&amp;MATCH(CS36,'数出表_Excel（アレルギー入力）'!$A:$A,0)-1&amp;":"&amp;CS124&amp;MATCH(CS36,'数出表_Excel（アレルギー入力）'!$A:$A,0)-1&amp;""),
 1,
MATCH(TRUE,INDIRECT("'数出表_Excel（アレルギー入力）'!"&amp;CN122&amp;MATCH(CS36,'数出表_Excel（アレルギー入力）'!$A:$A,0)-1&amp;":"&amp;CS124&amp;MATCH(CS36,'数出表_Excel（アレルギー入力）'!$A:$A,0)-1&amp;"")&lt;&gt;"",0)+1),
 "")="",
0,
IFERROR(
INDEX(INDIRECT("'数出表_Excel（アレルギー入力）'!"&amp;CN122&amp;MATCH(CS36,'数出表_Excel（アレルギー入力）'!$A:$A,0)-1&amp;":"&amp;CS124&amp;MATCH(CS36,'数出表_Excel（アレルギー入力）'!$A:$A,0)-1&amp;""),
 1,
MATCH(TRUE,INDIRECT("'数出表_Excel（アレルギー入力）'!"&amp;CN122&amp;MATCH(CS36,'数出表_Excel（アレルギー入力）'!$A:$A,0)-1&amp;":"&amp;CS124&amp;MATCH(CS36,'数出表_Excel（アレルギー入力）'!$A:$A,0)-1&amp;"")&lt;&gt;"",0)+1),
 "")),IFERROR(
INDEX(INDIRECT("'数出表_Excel（アレルギー入力）'!"&amp;CN122&amp;MATCH(CS36,'数出表_Excel（アレルギー入力）'!$A:$A,0)-1&amp;":"&amp;CS124&amp;MATCH(CS36,'数出表_Excel（アレルギー入力）'!$A:$A,0)-1&amp;""),
 1,
MATCH(TRUE,INDIRECT("'数出表_Excel（アレルギー入力）'!"&amp;CN122&amp;MATCH(CS36,'数出表_Excel（アレルギー入力）'!$A:$A,0)-1&amp;":"&amp;CS124&amp;MATCH(CS36,'数出表_Excel（アレルギー入力）'!$A:$A,0)-1&amp;"")&lt;&gt;"",0)+1),
 "")),0)</f>
        <v>0</v>
      </c>
      <c r="CT122" s="76"/>
      <c r="CU122" s="84" t="str" cm="1">
        <f t="array" aca="1" ref="CU122" ca="1">IF(CV120&lt;&gt;"",SUBSTITUTE(ADDRESS(1,
(COLUMN(INDIRECT("数出表_Excel!"&amp;CU120&amp;1&amp;""))-2 +
MATCH(TRUE, ISNUMBER(--INDIRECT("数出表_Excel!"&amp;CU120&amp; (MATCH(INDIRECT(""&amp;CZ120&amp;ROW()-86&amp;""),数出表_Excel!$A:$A,0)-1) &amp; ":U" &amp; (MATCH(INDIRECT(""&amp;CZ120&amp;ROW()-86&amp;""),数出表_Excel!$A:$A,0)-1))), 0))
*2,4),"1",""),"")</f>
        <v/>
      </c>
      <c r="CV122" s="249" t="str">
        <f ca="1">IF(CV123&lt;&gt;"","園児","")</f>
        <v/>
      </c>
      <c r="CW122" s="250"/>
      <c r="CX122" s="251" t="str">
        <f ca="1">IF(CV123&lt;&gt;"","先生","")</f>
        <v/>
      </c>
      <c r="CY122" s="250"/>
      <c r="CZ122" s="97" cm="1">
        <f t="array" aca="1" ref="CZ122" ca="1">IF(CV120&lt;&gt;"",
IF(IFERROR(
INDEX(INDIRECT("'数出表_Excel（アレルギー入力）'!"&amp;CU122&amp;MATCH(CZ36,'数出表_Excel（アレルギー入力）'!$A:$A,0)-1&amp;":"&amp;CZ124&amp;MATCH(CZ36,'数出表_Excel（アレルギー入力）'!$A:$A,0)-1&amp;""),
 1,
MATCH(TRUE,INDIRECT("'数出表_Excel（アレルギー入力）'!"&amp;CU122&amp;MATCH(CZ36,'数出表_Excel（アレルギー入力）'!$A:$A,0)-1&amp;":"&amp;CZ124&amp;MATCH(CZ36,'数出表_Excel（アレルギー入力）'!$A:$A,0)-1&amp;"")&lt;&gt;"",0)+1),
 "")&lt;&gt;0,
IF(IFERROR(
INDEX(INDIRECT("'数出表_Excel（アレルギー入力）'!"&amp;CU122&amp;MATCH(CZ36,'数出表_Excel（アレルギー入力）'!$A:$A,0)-1&amp;":"&amp;CZ124&amp;MATCH(CZ36,'数出表_Excel（アレルギー入力）'!$A:$A,0)-1&amp;""),
 1,
MATCH(TRUE,INDIRECT("'数出表_Excel（アレルギー入力）'!"&amp;CU122&amp;MATCH(CZ36,'数出表_Excel（アレルギー入力）'!$A:$A,0)-1&amp;":"&amp;CZ124&amp;MATCH(CZ36,'数出表_Excel（アレルギー入力）'!$A:$A,0)-1&amp;"")&lt;&gt;"",0)+1),
 "")="",
0,
IFERROR(
INDEX(INDIRECT("'数出表_Excel（アレルギー入力）'!"&amp;CU122&amp;MATCH(CZ36,'数出表_Excel（アレルギー入力）'!$A:$A,0)-1&amp;":"&amp;CZ124&amp;MATCH(CZ36,'数出表_Excel（アレルギー入力）'!$A:$A,0)-1&amp;""),
 1,
MATCH(TRUE,INDIRECT("'数出表_Excel（アレルギー入力）'!"&amp;CU122&amp;MATCH(CZ36,'数出表_Excel（アレルギー入力）'!$A:$A,0)-1&amp;":"&amp;CZ124&amp;MATCH(CZ36,'数出表_Excel（アレルギー入力）'!$A:$A,0)-1&amp;"")&lt;&gt;"",0)+1),
 "")),IFERROR(
INDEX(INDIRECT("'数出表_Excel（アレルギー入力）'!"&amp;CU122&amp;MATCH(CZ36,'数出表_Excel（アレルギー入力）'!$A:$A,0)-1&amp;":"&amp;CZ124&amp;MATCH(CZ36,'数出表_Excel（アレルギー入力）'!$A:$A,0)-1&amp;""),
 1,
MATCH(TRUE,INDIRECT("'数出表_Excel（アレルギー入力）'!"&amp;CU122&amp;MATCH(CZ36,'数出表_Excel（アレルギー入力）'!$A:$A,0)-1&amp;":"&amp;CZ124&amp;MATCH(CZ36,'数出表_Excel（アレルギー入力）'!$A:$A,0)-1&amp;"")&lt;&gt;"",0)+1),
 "")),0)</f>
        <v>0</v>
      </c>
      <c r="DC122" s="84" t="str" cm="1">
        <f t="array" aca="1" ref="DC122" ca="1">IF(DD120&lt;&gt;"",SUBSTITUTE(ADDRESS(1,
(COLUMN(INDIRECT("数出表_Excel!"&amp;DC120&amp;1&amp;""))-2 +
MATCH(TRUE, ISNUMBER(--INDIRECT("数出表_Excel!"&amp;DC120&amp; (MATCH(INDIRECT(""&amp;DH120&amp;ROW()-86&amp;""),数出表_Excel!$A:$A,0)-1) &amp; ":U" &amp; (MATCH(INDIRECT(""&amp;DH120&amp;ROW()-86&amp;""),数出表_Excel!$A:$A,0)-1))), 0))
*2,4),"1",""),"")</f>
        <v/>
      </c>
      <c r="DD122" s="249" t="str">
        <f ca="1">IF(DD123&lt;&gt;"","園児","")</f>
        <v/>
      </c>
      <c r="DE122" s="250"/>
      <c r="DF122" s="251" t="str">
        <f ca="1">IF(DD123&lt;&gt;"","先生","")</f>
        <v/>
      </c>
      <c r="DG122" s="250"/>
      <c r="DH122" s="97" cm="1">
        <f t="array" aca="1" ref="DH122" ca="1">IF(DD120&lt;&gt;"",
IF(IFERROR(
INDEX(INDIRECT("'数出表_Excel（アレルギー入力）'!"&amp;DC122&amp;MATCH(DH36,'数出表_Excel（アレルギー入力）'!$A:$A,0)-1&amp;":"&amp;DH124&amp;MATCH(DH36,'数出表_Excel（アレルギー入力）'!$A:$A,0)-1&amp;""),
 1,
MATCH(TRUE,INDIRECT("'数出表_Excel（アレルギー入力）'!"&amp;DC122&amp;MATCH(DH36,'数出表_Excel（アレルギー入力）'!$A:$A,0)-1&amp;":"&amp;DH124&amp;MATCH(DH36,'数出表_Excel（アレルギー入力）'!$A:$A,0)-1&amp;"")&lt;&gt;"",0)+1),
 "")&lt;&gt;0,
IF(IFERROR(
INDEX(INDIRECT("'数出表_Excel（アレルギー入力）'!"&amp;DC122&amp;MATCH(DH36,'数出表_Excel（アレルギー入力）'!$A:$A,0)-1&amp;":"&amp;DH124&amp;MATCH(DH36,'数出表_Excel（アレルギー入力）'!$A:$A,0)-1&amp;""),
 1,
MATCH(TRUE,INDIRECT("'数出表_Excel（アレルギー入力）'!"&amp;DC122&amp;MATCH(DH36,'数出表_Excel（アレルギー入力）'!$A:$A,0)-1&amp;":"&amp;DH124&amp;MATCH(DH36,'数出表_Excel（アレルギー入力）'!$A:$A,0)-1&amp;"")&lt;&gt;"",0)+1),
 "")="",
0,
IFERROR(
INDEX(INDIRECT("'数出表_Excel（アレルギー入力）'!"&amp;DC122&amp;MATCH(DH36,'数出表_Excel（アレルギー入力）'!$A:$A,0)-1&amp;":"&amp;DH124&amp;MATCH(DH36,'数出表_Excel（アレルギー入力）'!$A:$A,0)-1&amp;""),
 1,
MATCH(TRUE,INDIRECT("'数出表_Excel（アレルギー入力）'!"&amp;DC122&amp;MATCH(DH36,'数出表_Excel（アレルギー入力）'!$A:$A,0)-1&amp;":"&amp;DH124&amp;MATCH(DH36,'数出表_Excel（アレルギー入力）'!$A:$A,0)-1&amp;"")&lt;&gt;"",0)+1),
 "")),IFERROR(
INDEX(INDIRECT("'数出表_Excel（アレルギー入力）'!"&amp;DC122&amp;MATCH(DH36,'数出表_Excel（アレルギー入力）'!$A:$A,0)-1&amp;":"&amp;DH124&amp;MATCH(DH36,'数出表_Excel（アレルギー入力）'!$A:$A,0)-1&amp;""),
 1,
MATCH(TRUE,INDIRECT("'数出表_Excel（アレルギー入力）'!"&amp;DC122&amp;MATCH(DH36,'数出表_Excel（アレルギー入力）'!$A:$A,0)-1&amp;":"&amp;DH124&amp;MATCH(DH36,'数出表_Excel（アレルギー入力）'!$A:$A,0)-1&amp;"")&lt;&gt;"",0)+1),
 "")),0)</f>
        <v>0</v>
      </c>
      <c r="DI122" s="76"/>
      <c r="DJ122" s="84" t="str" cm="1">
        <f t="array" aca="1" ref="DJ122" ca="1">IF(DK120&lt;&gt;"",SUBSTITUTE(ADDRESS(1,
(COLUMN(INDIRECT("数出表_Excel!"&amp;DJ120&amp;1&amp;""))-2 +
MATCH(TRUE, ISNUMBER(--INDIRECT("数出表_Excel!"&amp;DJ120&amp; (MATCH(INDIRECT(""&amp;DO120&amp;ROW()-86&amp;""),数出表_Excel!$A:$A,0)-1) &amp; ":U" &amp; (MATCH(INDIRECT(""&amp;DO120&amp;ROW()-86&amp;""),数出表_Excel!$A:$A,0)-1))), 0))
*2,4),"1",""),"")</f>
        <v/>
      </c>
      <c r="DK122" s="249" t="str">
        <f ca="1">IF(DK123&lt;&gt;"","園児","")</f>
        <v/>
      </c>
      <c r="DL122" s="250"/>
      <c r="DM122" s="251" t="str">
        <f ca="1">IF(DK123&lt;&gt;"","先生","")</f>
        <v/>
      </c>
      <c r="DN122" s="250"/>
      <c r="DO122" s="97" cm="1">
        <f t="array" aca="1" ref="DO122" ca="1">IF(DK120&lt;&gt;"",
IF(IFERROR(
INDEX(INDIRECT("'数出表_Excel（アレルギー入力）'!"&amp;DJ122&amp;MATCH(DO36,'数出表_Excel（アレルギー入力）'!$A:$A,0)-1&amp;":"&amp;DO124&amp;MATCH(DO36,'数出表_Excel（アレルギー入力）'!$A:$A,0)-1&amp;""),
 1,
MATCH(TRUE,INDIRECT("'数出表_Excel（アレルギー入力）'!"&amp;DJ122&amp;MATCH(DO36,'数出表_Excel（アレルギー入力）'!$A:$A,0)-1&amp;":"&amp;DO124&amp;MATCH(DO36,'数出表_Excel（アレルギー入力）'!$A:$A,0)-1&amp;"")&lt;&gt;"",0)+1),
 "")&lt;&gt;0,
IF(IFERROR(
INDEX(INDIRECT("'数出表_Excel（アレルギー入力）'!"&amp;DJ122&amp;MATCH(DO36,'数出表_Excel（アレルギー入力）'!$A:$A,0)-1&amp;":"&amp;DO124&amp;MATCH(DO36,'数出表_Excel（アレルギー入力）'!$A:$A,0)-1&amp;""),
 1,
MATCH(TRUE,INDIRECT("'数出表_Excel（アレルギー入力）'!"&amp;DJ122&amp;MATCH(DO36,'数出表_Excel（アレルギー入力）'!$A:$A,0)-1&amp;":"&amp;DO124&amp;MATCH(DO36,'数出表_Excel（アレルギー入力）'!$A:$A,0)-1&amp;"")&lt;&gt;"",0)+1),
 "")="",
0,
IFERROR(
INDEX(INDIRECT("'数出表_Excel（アレルギー入力）'!"&amp;DJ122&amp;MATCH(DO36,'数出表_Excel（アレルギー入力）'!$A:$A,0)-1&amp;":"&amp;DO124&amp;MATCH(DO36,'数出表_Excel（アレルギー入力）'!$A:$A,0)-1&amp;""),
 1,
MATCH(TRUE,INDIRECT("'数出表_Excel（アレルギー入力）'!"&amp;DJ122&amp;MATCH(DO36,'数出表_Excel（アレルギー入力）'!$A:$A,0)-1&amp;":"&amp;DO124&amp;MATCH(DO36,'数出表_Excel（アレルギー入力）'!$A:$A,0)-1&amp;"")&lt;&gt;"",0)+1),
 "")),IFERROR(
INDEX(INDIRECT("'数出表_Excel（アレルギー入力）'!"&amp;DJ122&amp;MATCH(DO36,'数出表_Excel（アレルギー入力）'!$A:$A,0)-1&amp;":"&amp;DO124&amp;MATCH(DO36,'数出表_Excel（アレルギー入力）'!$A:$A,0)-1&amp;""),
 1,
MATCH(TRUE,INDIRECT("'数出表_Excel（アレルギー入力）'!"&amp;DJ122&amp;MATCH(DO36,'数出表_Excel（アレルギー入力）'!$A:$A,0)-1&amp;":"&amp;DO124&amp;MATCH(DO36,'数出表_Excel（アレルギー入力）'!$A:$A,0)-1&amp;"")&lt;&gt;"",0)+1),
 "")),0)</f>
        <v>0</v>
      </c>
      <c r="DR122" s="84" t="str" cm="1">
        <f t="array" aca="1" ref="DR122" ca="1">IF(DS120&lt;&gt;"",SUBSTITUTE(ADDRESS(1,
(COLUMN(INDIRECT("数出表_Excel!"&amp;DR120&amp;1&amp;""))-2 +
MATCH(TRUE, ISNUMBER(--INDIRECT("数出表_Excel!"&amp;DR120&amp; (MATCH(INDIRECT(""&amp;DW120&amp;ROW()-86&amp;""),数出表_Excel!$A:$A,0)-1) &amp; ":U" &amp; (MATCH(INDIRECT(""&amp;DW120&amp;ROW()-86&amp;""),数出表_Excel!$A:$A,0)-1))), 0))
*2,4),"1",""),"")</f>
        <v/>
      </c>
      <c r="DS122" s="249" t="str">
        <f ca="1">IF(DS123&lt;&gt;"","園児","")</f>
        <v/>
      </c>
      <c r="DT122" s="250"/>
      <c r="DU122" s="251" t="str">
        <f ca="1">IF(DS123&lt;&gt;"","先生","")</f>
        <v/>
      </c>
      <c r="DV122" s="250"/>
      <c r="DW122" s="97" cm="1">
        <f t="array" aca="1" ref="DW122" ca="1">IF(DS120&lt;&gt;"",
IF(IFERROR(
INDEX(INDIRECT("'数出表_Excel（アレルギー入力）'!"&amp;DR122&amp;MATCH(DW36,'数出表_Excel（アレルギー入力）'!$A:$A,0)-1&amp;":"&amp;DW124&amp;MATCH(DW36,'数出表_Excel（アレルギー入力）'!$A:$A,0)-1&amp;""),
 1,
MATCH(TRUE,INDIRECT("'数出表_Excel（アレルギー入力）'!"&amp;DR122&amp;MATCH(DW36,'数出表_Excel（アレルギー入力）'!$A:$A,0)-1&amp;":"&amp;DW124&amp;MATCH(DW36,'数出表_Excel（アレルギー入力）'!$A:$A,0)-1&amp;"")&lt;&gt;"",0)+1),
 "")&lt;&gt;0,
IF(IFERROR(
INDEX(INDIRECT("'数出表_Excel（アレルギー入力）'!"&amp;DR122&amp;MATCH(DW36,'数出表_Excel（アレルギー入力）'!$A:$A,0)-1&amp;":"&amp;DW124&amp;MATCH(DW36,'数出表_Excel（アレルギー入力）'!$A:$A,0)-1&amp;""),
 1,
MATCH(TRUE,INDIRECT("'数出表_Excel（アレルギー入力）'!"&amp;DR122&amp;MATCH(DW36,'数出表_Excel（アレルギー入力）'!$A:$A,0)-1&amp;":"&amp;DW124&amp;MATCH(DW36,'数出表_Excel（アレルギー入力）'!$A:$A,0)-1&amp;"")&lt;&gt;"",0)+1),
 "")="",
0,
IFERROR(
INDEX(INDIRECT("'数出表_Excel（アレルギー入力）'!"&amp;DR122&amp;MATCH(DW36,'数出表_Excel（アレルギー入力）'!$A:$A,0)-1&amp;":"&amp;DW124&amp;MATCH(DW36,'数出表_Excel（アレルギー入力）'!$A:$A,0)-1&amp;""),
 1,
MATCH(TRUE,INDIRECT("'数出表_Excel（アレルギー入力）'!"&amp;DR122&amp;MATCH(DW36,'数出表_Excel（アレルギー入力）'!$A:$A,0)-1&amp;":"&amp;DW124&amp;MATCH(DW36,'数出表_Excel（アレルギー入力）'!$A:$A,0)-1&amp;"")&lt;&gt;"",0)+1),
 "")),IFERROR(
INDEX(INDIRECT("'数出表_Excel（アレルギー入力）'!"&amp;DR122&amp;MATCH(DW36,'数出表_Excel（アレルギー入力）'!$A:$A,0)-1&amp;":"&amp;DW124&amp;MATCH(DW36,'数出表_Excel（アレルギー入力）'!$A:$A,0)-1&amp;""),
 1,
MATCH(TRUE,INDIRECT("'数出表_Excel（アレルギー入力）'!"&amp;DR122&amp;MATCH(DW36,'数出表_Excel（アレルギー入力）'!$A:$A,0)-1&amp;":"&amp;DW124&amp;MATCH(DW36,'数出表_Excel（アレルギー入力）'!$A:$A,0)-1&amp;"")&lt;&gt;"",0)+1),
 "")),0)</f>
        <v>0</v>
      </c>
      <c r="DX122" s="76"/>
      <c r="DY122" s="84" t="str" cm="1">
        <f t="array" aca="1" ref="DY122" ca="1">IF(DZ120&lt;&gt;"",SUBSTITUTE(ADDRESS(1,
(COLUMN(INDIRECT("数出表_Excel!"&amp;DY120&amp;1&amp;""))-2 +
MATCH(TRUE, ISNUMBER(--INDIRECT("数出表_Excel!"&amp;DY120&amp; (MATCH(INDIRECT(""&amp;ED120&amp;ROW()-86&amp;""),数出表_Excel!$A:$A,0)-1) &amp; ":U" &amp; (MATCH(INDIRECT(""&amp;ED120&amp;ROW()-86&amp;""),数出表_Excel!$A:$A,0)-1))), 0))
*2,4),"1",""),"")</f>
        <v/>
      </c>
      <c r="DZ122" s="249" t="str">
        <f ca="1">IF(DZ123&lt;&gt;"","園児","")</f>
        <v/>
      </c>
      <c r="EA122" s="250"/>
      <c r="EB122" s="251" t="str">
        <f ca="1">IF(DZ123&lt;&gt;"","先生","")</f>
        <v/>
      </c>
      <c r="EC122" s="250"/>
      <c r="ED122" s="97" cm="1">
        <f t="array" aca="1" ref="ED122" ca="1">IF(DZ120&lt;&gt;"",
IF(IFERROR(
INDEX(INDIRECT("'数出表_Excel（アレルギー入力）'!"&amp;DY122&amp;MATCH(ED36,'数出表_Excel（アレルギー入力）'!$A:$A,0)-1&amp;":"&amp;ED124&amp;MATCH(ED36,'数出表_Excel（アレルギー入力）'!$A:$A,0)-1&amp;""),
 1,
MATCH(TRUE,INDIRECT("'数出表_Excel（アレルギー入力）'!"&amp;DY122&amp;MATCH(ED36,'数出表_Excel（アレルギー入力）'!$A:$A,0)-1&amp;":"&amp;ED124&amp;MATCH(ED36,'数出表_Excel（アレルギー入力）'!$A:$A,0)-1&amp;"")&lt;&gt;"",0)+1),
 "")&lt;&gt;0,
IF(IFERROR(
INDEX(INDIRECT("'数出表_Excel（アレルギー入力）'!"&amp;DY122&amp;MATCH(ED36,'数出表_Excel（アレルギー入力）'!$A:$A,0)-1&amp;":"&amp;ED124&amp;MATCH(ED36,'数出表_Excel（アレルギー入力）'!$A:$A,0)-1&amp;""),
 1,
MATCH(TRUE,INDIRECT("'数出表_Excel（アレルギー入力）'!"&amp;DY122&amp;MATCH(ED36,'数出表_Excel（アレルギー入力）'!$A:$A,0)-1&amp;":"&amp;ED124&amp;MATCH(ED36,'数出表_Excel（アレルギー入力）'!$A:$A,0)-1&amp;"")&lt;&gt;"",0)+1),
 "")="",
0,
IFERROR(
INDEX(INDIRECT("'数出表_Excel（アレルギー入力）'!"&amp;DY122&amp;MATCH(ED36,'数出表_Excel（アレルギー入力）'!$A:$A,0)-1&amp;":"&amp;ED124&amp;MATCH(ED36,'数出表_Excel（アレルギー入力）'!$A:$A,0)-1&amp;""),
 1,
MATCH(TRUE,INDIRECT("'数出表_Excel（アレルギー入力）'!"&amp;DY122&amp;MATCH(ED36,'数出表_Excel（アレルギー入力）'!$A:$A,0)-1&amp;":"&amp;ED124&amp;MATCH(ED36,'数出表_Excel（アレルギー入力）'!$A:$A,0)-1&amp;"")&lt;&gt;"",0)+1),
 "")),IFERROR(
INDEX(INDIRECT("'数出表_Excel（アレルギー入力）'!"&amp;DY122&amp;MATCH(ED36,'数出表_Excel（アレルギー入力）'!$A:$A,0)-1&amp;":"&amp;ED124&amp;MATCH(ED36,'数出表_Excel（アレルギー入力）'!$A:$A,0)-1&amp;""),
 1,
MATCH(TRUE,INDIRECT("'数出表_Excel（アレルギー入力）'!"&amp;DY122&amp;MATCH(ED36,'数出表_Excel（アレルギー入力）'!$A:$A,0)-1&amp;":"&amp;ED124&amp;MATCH(ED36,'数出表_Excel（アレルギー入力）'!$A:$A,0)-1&amp;"")&lt;&gt;"",0)+1),
 "")),0)</f>
        <v>0</v>
      </c>
      <c r="EG122" s="84" t="str" cm="1">
        <f t="array" aca="1" ref="EG122" ca="1">IF(EH120&lt;&gt;"",SUBSTITUTE(ADDRESS(1,
(COLUMN(INDIRECT("数出表_Excel!"&amp;EG120&amp;1&amp;""))-2 +
MATCH(TRUE, ISNUMBER(--INDIRECT("数出表_Excel!"&amp;EG120&amp; (MATCH(INDIRECT(""&amp;EL120&amp;ROW()-86&amp;""),数出表_Excel!$A:$A,0)-1) &amp; ":U" &amp; (MATCH(INDIRECT(""&amp;EL120&amp;ROW()-86&amp;""),数出表_Excel!$A:$A,0)-1))), 0))
*2,4),"1",""),"")</f>
        <v/>
      </c>
      <c r="EH122" s="249" t="str">
        <f ca="1">IF(EH123&lt;&gt;"","園児","")</f>
        <v/>
      </c>
      <c r="EI122" s="250"/>
      <c r="EJ122" s="251" t="str">
        <f ca="1">IF(EH123&lt;&gt;"","先生","")</f>
        <v/>
      </c>
      <c r="EK122" s="250"/>
      <c r="EL122" s="97" cm="1">
        <f t="array" aca="1" ref="EL122" ca="1">IF(EH120&lt;&gt;"",
IF(IFERROR(
INDEX(INDIRECT("'数出表_Excel（アレルギー入力）'!"&amp;EG122&amp;MATCH(EL36,'数出表_Excel（アレルギー入力）'!$A:$A,0)-1&amp;":"&amp;EL124&amp;MATCH(EL36,'数出表_Excel（アレルギー入力）'!$A:$A,0)-1&amp;""),
 1,
MATCH(TRUE,INDIRECT("'数出表_Excel（アレルギー入力）'!"&amp;EG122&amp;MATCH(EL36,'数出表_Excel（アレルギー入力）'!$A:$A,0)-1&amp;":"&amp;EL124&amp;MATCH(EL36,'数出表_Excel（アレルギー入力）'!$A:$A,0)-1&amp;"")&lt;&gt;"",0)+1),
 "")&lt;&gt;0,
IF(IFERROR(
INDEX(INDIRECT("'数出表_Excel（アレルギー入力）'!"&amp;EG122&amp;MATCH(EL36,'数出表_Excel（アレルギー入力）'!$A:$A,0)-1&amp;":"&amp;EL124&amp;MATCH(EL36,'数出表_Excel（アレルギー入力）'!$A:$A,0)-1&amp;""),
 1,
MATCH(TRUE,INDIRECT("'数出表_Excel（アレルギー入力）'!"&amp;EG122&amp;MATCH(EL36,'数出表_Excel（アレルギー入力）'!$A:$A,0)-1&amp;":"&amp;EL124&amp;MATCH(EL36,'数出表_Excel（アレルギー入力）'!$A:$A,0)-1&amp;"")&lt;&gt;"",0)+1),
 "")="",
0,
IFERROR(
INDEX(INDIRECT("'数出表_Excel（アレルギー入力）'!"&amp;EG122&amp;MATCH(EL36,'数出表_Excel（アレルギー入力）'!$A:$A,0)-1&amp;":"&amp;EL124&amp;MATCH(EL36,'数出表_Excel（アレルギー入力）'!$A:$A,0)-1&amp;""),
 1,
MATCH(TRUE,INDIRECT("'数出表_Excel（アレルギー入力）'!"&amp;EG122&amp;MATCH(EL36,'数出表_Excel（アレルギー入力）'!$A:$A,0)-1&amp;":"&amp;EL124&amp;MATCH(EL36,'数出表_Excel（アレルギー入力）'!$A:$A,0)-1&amp;"")&lt;&gt;"",0)+1),
 "")),IFERROR(
INDEX(INDIRECT("'数出表_Excel（アレルギー入力）'!"&amp;EG122&amp;MATCH(EL36,'数出表_Excel（アレルギー入力）'!$A:$A,0)-1&amp;":"&amp;EL124&amp;MATCH(EL36,'数出表_Excel（アレルギー入力）'!$A:$A,0)-1&amp;""),
 1,
MATCH(TRUE,INDIRECT("'数出表_Excel（アレルギー入力）'!"&amp;EG122&amp;MATCH(EL36,'数出表_Excel（アレルギー入力）'!$A:$A,0)-1&amp;":"&amp;EL124&amp;MATCH(EL36,'数出表_Excel（アレルギー入力）'!$A:$A,0)-1&amp;"")&lt;&gt;"",0)+1),
 "")),0)</f>
        <v>0</v>
      </c>
      <c r="EM122" s="76"/>
      <c r="EN122" s="84" t="str" cm="1">
        <f t="array" aca="1" ref="EN122" ca="1">IF(EO120&lt;&gt;"",SUBSTITUTE(ADDRESS(1,
(COLUMN(INDIRECT("数出表_Excel!"&amp;EN120&amp;1&amp;""))-2 +
MATCH(TRUE, ISNUMBER(--INDIRECT("数出表_Excel!"&amp;EN120&amp; (MATCH(INDIRECT(""&amp;ES120&amp;ROW()-86&amp;""),数出表_Excel!$A:$A,0)-1) &amp; ":U" &amp; (MATCH(INDIRECT(""&amp;ES120&amp;ROW()-86&amp;""),数出表_Excel!$A:$A,0)-1))), 0))
*2,4),"1",""),"")</f>
        <v/>
      </c>
      <c r="EO122" s="249" t="str">
        <f ca="1">IF(EO123&lt;&gt;"","園児","")</f>
        <v/>
      </c>
      <c r="EP122" s="250"/>
      <c r="EQ122" s="251" t="str">
        <f ca="1">IF(EO123&lt;&gt;"","先生","")</f>
        <v/>
      </c>
      <c r="ER122" s="250"/>
      <c r="ES122" s="97" cm="1">
        <f t="array" aca="1" ref="ES122" ca="1">IF(EO120&lt;&gt;"",
IF(IFERROR(
INDEX(INDIRECT("'数出表_Excel（アレルギー入力）'!"&amp;EN122&amp;MATCH(ES36,'数出表_Excel（アレルギー入力）'!$A:$A,0)-1&amp;":"&amp;ES124&amp;MATCH(ES36,'数出表_Excel（アレルギー入力）'!$A:$A,0)-1&amp;""),
 1,
MATCH(TRUE,INDIRECT("'数出表_Excel（アレルギー入力）'!"&amp;EN122&amp;MATCH(ES36,'数出表_Excel（アレルギー入力）'!$A:$A,0)-1&amp;":"&amp;ES124&amp;MATCH(ES36,'数出表_Excel（アレルギー入力）'!$A:$A,0)-1&amp;"")&lt;&gt;"",0)+1),
 "")&lt;&gt;0,
IF(IFERROR(
INDEX(INDIRECT("'数出表_Excel（アレルギー入力）'!"&amp;EN122&amp;MATCH(ES36,'数出表_Excel（アレルギー入力）'!$A:$A,0)-1&amp;":"&amp;ES124&amp;MATCH(ES36,'数出表_Excel（アレルギー入力）'!$A:$A,0)-1&amp;""),
 1,
MATCH(TRUE,INDIRECT("'数出表_Excel（アレルギー入力）'!"&amp;EN122&amp;MATCH(ES36,'数出表_Excel（アレルギー入力）'!$A:$A,0)-1&amp;":"&amp;ES124&amp;MATCH(ES36,'数出表_Excel（アレルギー入力）'!$A:$A,0)-1&amp;"")&lt;&gt;"",0)+1),
 "")="",
0,
IFERROR(
INDEX(INDIRECT("'数出表_Excel（アレルギー入力）'!"&amp;EN122&amp;MATCH(ES36,'数出表_Excel（アレルギー入力）'!$A:$A,0)-1&amp;":"&amp;ES124&amp;MATCH(ES36,'数出表_Excel（アレルギー入力）'!$A:$A,0)-1&amp;""),
 1,
MATCH(TRUE,INDIRECT("'数出表_Excel（アレルギー入力）'!"&amp;EN122&amp;MATCH(ES36,'数出表_Excel（アレルギー入力）'!$A:$A,0)-1&amp;":"&amp;ES124&amp;MATCH(ES36,'数出表_Excel（アレルギー入力）'!$A:$A,0)-1&amp;"")&lt;&gt;"",0)+1),
 "")),IFERROR(
INDEX(INDIRECT("'数出表_Excel（アレルギー入力）'!"&amp;EN122&amp;MATCH(ES36,'数出表_Excel（アレルギー入力）'!$A:$A,0)-1&amp;":"&amp;ES124&amp;MATCH(ES36,'数出表_Excel（アレルギー入力）'!$A:$A,0)-1&amp;""),
 1,
MATCH(TRUE,INDIRECT("'数出表_Excel（アレルギー入力）'!"&amp;EN122&amp;MATCH(ES36,'数出表_Excel（アレルギー入力）'!$A:$A,0)-1&amp;":"&amp;ES124&amp;MATCH(ES36,'数出表_Excel（アレルギー入力）'!$A:$A,0)-1&amp;"")&lt;&gt;"",0)+1),
 "")),0)</f>
        <v>0</v>
      </c>
      <c r="EU122" s="78">
        <f t="shared" si="10"/>
        <v>56</v>
      </c>
      <c r="EV122" s="78" t="str">
        <f t="array" aca="1" ref="EV122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LEN(SUBSTITUTE(_xlfn.FORMULATEXT(EV$109),"=","")))+$EU122)</f>
        <v/>
      </c>
      <c r="EW122" s="78" t="str">
        <f t="array" aca="1" ref="EW122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LEN(SUBSTITUTE(_xlfn.FORMULATEXT(EW$109),"=","")))+$EU122)</f>
        <v/>
      </c>
      <c r="EX122" s="78" t="str">
        <f t="array" aca="1" ref="EX122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LEN(SUBSTITUTE(_xlfn.FORMULATEXT(EX$109),"=","")))+$EU122)</f>
        <v/>
      </c>
      <c r="EY122" s="78" t="str">
        <f t="array" aca="1" ref="EY122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LEN(SUBSTITUTE(_xlfn.FORMULATEXT(EY$109),"=","")))+$EU122)</f>
        <v/>
      </c>
      <c r="EZ122" s="78" t="str">
        <f t="array" aca="1" ref="EZ122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LEN(SUBSTITUTE(_xlfn.FORMULATEXT(EZ$109),"=","")))+$EU122)</f>
        <v/>
      </c>
      <c r="FA122" s="78" t="str">
        <f t="array" aca="1" ref="FA122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LEN(SUBSTITUTE(_xlfn.FORMULATEXT(FA$109),"=","")))+$EU122)</f>
        <v/>
      </c>
      <c r="FB122" s="78" t="str">
        <f t="array" aca="1" ref="FB122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LEN(SUBSTITUTE(_xlfn.FORMULATEXT(FB$109),"=","")))+$EU122)</f>
        <v/>
      </c>
      <c r="FC122" s="78" t="str">
        <f t="array" aca="1" ref="FC122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LEN(SUBSTITUTE(_xlfn.FORMULATEXT(FC$109),"=","")))+$EU122)</f>
        <v/>
      </c>
      <c r="FD122" s="78" t="str">
        <f t="array" aca="1" ref="FD122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LEN(SUBSTITUTE(_xlfn.FORMULATEXT(FD$109),"=","")))+$EU122)</f>
        <v/>
      </c>
      <c r="FE122" s="78" t="str">
        <f t="array" aca="1" ref="FE122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LEN(SUBSTITUTE(_xlfn.FORMULATEXT(FE$109),"=","")))+$EU122)</f>
        <v/>
      </c>
      <c r="FF122" s="78" t="str">
        <f t="array" aca="1" ref="FF122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LEN(SUBSTITUTE(_xlfn.FORMULATEXT(FF$109),"=","")))+$EU122)</f>
        <v/>
      </c>
      <c r="FG122" s="78">
        <f t="shared" ca="1" si="9"/>
        <v>0</v>
      </c>
      <c r="FH122" s="78" t="b">
        <f t="array" aca="1" ref="FH122" ca="1">SUMPRODUCT((LEN(EV122:FF122)&gt;0)*1)&gt;0</f>
        <v>0</v>
      </c>
      <c r="FM122" s="78"/>
    </row>
    <row r="123" spans="2:175" ht="22.2" customHeight="1" x14ac:dyDescent="0.45">
      <c r="B123" s="86"/>
      <c r="C123" s="252" t="str" cm="1">
        <f t="array" aca="1" ref="C123" ca="1">IF(C121&lt;&gt;"",
IF(IFERROR(
INDEX(INDIRECT("数出表_Excel!"&amp;B120&amp;MATCH(G36,数出表_Excel!$A:$A,0)-1&amp;":U"&amp;MATCH(G36,数出表_Excel!$A:$A,0)-1&amp;""),
 1,
 MATCH(TRUE, ISNUMBER(--INDIRECT("数出表_Excel!"&amp;B120&amp;MATCH(G36,数出表_Excel!$A:$A,0)-1&amp;":U"&amp;MATCH(G36,数出表_Excel!$A:$A,0)-1&amp;"")), 0)),
 "")=0,"",
IF(B38=100,
IFERROR(
INDEX(INDIRECT("数出表_Excel!"&amp;B120&amp;MATCH(G36,数出表_Excel!$A:$A,0)-1+2&amp;":U"&amp;MATCH(G36,数出表_Excel!$A:$A,0)-1+2&amp;""),
 1,
 MATCH(TRUE, ISNUMBER(--INDIRECT("数出表_Excel!"&amp;B120&amp;MATCH(G36,数出表_Excel!$A:$A,0)-1+2&amp;":U"&amp;MATCH(G36,数出表_Excel!$A:$A,0)-1+2&amp;"")), 0)),
 "")
+IFERROR(
INDEX(INDIRECT("数出表_Excel!"&amp;B120&amp;MATCH(G36,数出表_Excel!$A:$A,0)-1&amp;":U"&amp;MATCH(G36,数出表_Excel!$A:$A,0)-1&amp;""),
 1,
 MATCH(TRUE, ISNUMBER(--INDIRECT("数出表_Excel!"&amp;B120&amp;MATCH(G36,数出表_Excel!$A:$A,0)-1&amp;":U"&amp;MATCH(G36,数出表_Excel!$A:$A,0)-1&amp;"")), 0)),
 ""),
IFERROR(
INDEX(INDIRECT("数出表_Excel!"&amp;B120&amp;MATCH(G36,数出表_Excel!$A:$A,0)-1&amp;":U"&amp;MATCH(G36,数出表_Excel!$A:$A,0)-1&amp;""),
 1,
 MATCH(TRUE, ISNUMBER(--INDIRECT("数出表_Excel!"&amp;B120&amp;MATCH(G36,数出表_Excel!$A:$A,0)-1&amp;":U"&amp;MATCH(G36,数出表_Excel!$A:$A,0)-1&amp;"")), 0)),
 ""))),"")</f>
        <v/>
      </c>
      <c r="D123" s="253"/>
      <c r="E123" s="255" t="str" cm="1">
        <f t="array" aca="1" ref="E123" ca="1">IF(C79&lt;&gt;"",
IF(IFERROR(
INDEX(INDIRECT("数出表_Excel!B"&amp;MATCH(G36,数出表_Excel!$A:$A,0)&amp;":U"&amp;MATCH(G36,数出表_Excel!$A:$A,0)&amp;""),
 1,B121-1),
 "")=0,"",
IFERROR(
INDEX(INDIRECT("数出表_Excel!B"&amp;MATCH(G36,数出表_Excel!$A:$A,0)&amp;":U"&amp;MATCH(G36,数出表_Excel!$A:$A,0)&amp;""),
 1,B121-1),
 "")),"")</f>
        <v/>
      </c>
      <c r="F123" s="253"/>
      <c r="G123" s="97" t="e" cm="1">
        <f t="array" aca="1" ref="G123" ca="1">IF(INDIRECT(""&amp;SUBSTITUTE(ADDRESS(1,
COLUMN()-5,1),"1","")&amp;ROW()-85&amp;"")=100,
IF(C120&lt;&gt;"",
IF(IFERROR(
INDEX(INDIRECT("'数出表_Excel（アレルギー入力）'!"&amp;B122&amp;MATCH(G36,'数出表_Excel（アレルギー入力）'!$A:$A,0)+1&amp;":"&amp;G124&amp;MATCH(G36,'数出表_Excel（アレルギー入力）'!$A:$A,0)+1&amp;""),
 1,
MATCH(TRUE,INDIRECT("'数出表_Excel（アレルギー入力）'!"&amp;B122&amp;MATCH(G36,'数出表_Excel（アレルギー入力）'!$A:$A,0)+1&amp;":"&amp;G124&amp;MATCH(G36,'数出表_Excel（アレルギー入力）'!$A:$A,0)+1&amp;"")&lt;&gt;"",0)+1),
 "")&lt;&gt;0,
IF(IFERROR(
INDEX(INDIRECT("'数出表_Excel（アレルギー入力）'!"&amp;B122&amp;MATCH(G36,'数出表_Excel（アレルギー入力）'!$A:$A,0)+1&amp;":"&amp;G124&amp;MATCH(G36,'数出表_Excel（アレルギー入力）'!$A:$A,0)+1&amp;""),
 1,
MATCH(TRUE,INDIRECT("'数出表_Excel（アレルギー入力）'!"&amp;B122&amp;MATCH(G36,'数出表_Excel（アレルギー入力）'!$A:$A,0)+1&amp;":"&amp;G124&amp;MATCH(G36,'数出表_Excel（アレルギー入力）'!$A:$A,0)+1&amp;"")&lt;&gt;"",0)+1),
 "")="",
IFERROR(
INDEX(INDIRECT("'数出表_Excel（アレルギー入力）'!"&amp;B122&amp;MATCH(G36,'数出表_Excel（アレルギー入力）'!$A:$A,0)+1&amp;":"&amp;G124&amp;MATCH(G36,'数出表_Excel（アレルギー入力）'!$A:$A,0)+1&amp;""),
 1,
MATCH(TRUE,INDIRECT("'数出表_Excel（アレルギー入力）'!"&amp;B122&amp;MATCH(G36,'数出表_Excel（アレルギー入力）'!$A:$A,0)+1&amp;":"&amp;G124&amp;MATCH(G36,'数出表_Excel（アレルギー入力）'!$A:$A,0)+1&amp;"")&lt;&gt;"",0)+1),
 ""),
IFERROR(
INDEX(INDIRECT("'数出表_Excel（アレルギー入力）'!"&amp;B122&amp;MATCH(G36,'数出表_Excel（アレルギー入力）'!$A:$A,0)+1&amp;":"&amp;G124&amp;MATCH(G36,'数出表_Excel（アレルギー入力）'!$A:$A,0)+1&amp;""),
 1,
MATCH(TRUE,INDIRECT("'数出表_Excel（アレルギー入力）'!"&amp;B122&amp;MATCH(G36,'数出表_Excel（アレルギー入力）'!$A:$A,0)+1&amp;":"&amp;G124&amp;MATCH(G36,'数出表_Excel（アレルギー入力）'!$A:$A,0)+1&amp;"")&lt;&gt;"",0)+1),
 "")),0),""),0)</f>
        <v>#VALUE!</v>
      </c>
      <c r="I123" s="86"/>
      <c r="J123" s="252" t="str" cm="1">
        <f t="array" aca="1" ref="J123" ca="1">IF(J121&lt;&gt;"",
IF(IFERROR(
INDEX(INDIRECT("数出表_Excel!"&amp;I120&amp;MATCH(N36,数出表_Excel!$A:$A,0)-1&amp;":U"&amp;MATCH(N36,数出表_Excel!$A:$A,0)-1&amp;""),
 1,
 MATCH(TRUE, ISNUMBER(--INDIRECT("数出表_Excel!"&amp;I120&amp;MATCH(N36,数出表_Excel!$A:$A,0)-1&amp;":U"&amp;MATCH(N36,数出表_Excel!$A:$A,0)-1&amp;"")), 0)),
 "")=0,"",
IF(I38=100,
IFERROR(
INDEX(INDIRECT("数出表_Excel!"&amp;I120&amp;MATCH(N36,数出表_Excel!$A:$A,0)-1+2&amp;":U"&amp;MATCH(N36,数出表_Excel!$A:$A,0)-1+2&amp;""),
 1,
 MATCH(TRUE, ISNUMBER(--INDIRECT("数出表_Excel!"&amp;I120&amp;MATCH(N36,数出表_Excel!$A:$A,0)-1+2&amp;":U"&amp;MATCH(N36,数出表_Excel!$A:$A,0)-1+2&amp;"")), 0)),
 "")
+IFERROR(
INDEX(INDIRECT("数出表_Excel!"&amp;I120&amp;MATCH(N36,数出表_Excel!$A:$A,0)-1&amp;":U"&amp;MATCH(N36,数出表_Excel!$A:$A,0)-1&amp;""),
 1,
 MATCH(TRUE, ISNUMBER(--INDIRECT("数出表_Excel!"&amp;I120&amp;MATCH(N36,数出表_Excel!$A:$A,0)-1&amp;":U"&amp;MATCH(N36,数出表_Excel!$A:$A,0)-1&amp;"")), 0)),
 ""),
IFERROR(
INDEX(INDIRECT("数出表_Excel!"&amp;I120&amp;MATCH(N36,数出表_Excel!$A:$A,0)-1&amp;":U"&amp;MATCH(N36,数出表_Excel!$A:$A,0)-1&amp;""),
 1,
 MATCH(TRUE, ISNUMBER(--INDIRECT("数出表_Excel!"&amp;I120&amp;MATCH(N36,数出表_Excel!$A:$A,0)-1&amp;":U"&amp;MATCH(N36,数出表_Excel!$A:$A,0)-1&amp;"")), 0)),
 ""))),"")</f>
        <v/>
      </c>
      <c r="K123" s="253"/>
      <c r="L123" s="255" t="str" cm="1">
        <f t="array" aca="1" ref="L123" ca="1">IF(J79&lt;&gt;"",
IF(IFERROR(
INDEX(INDIRECT("数出表_Excel!B"&amp;MATCH(N36,数出表_Excel!$A:$A,0)&amp;":U"&amp;MATCH(N36,数出表_Excel!$A:$A,0)&amp;""),
 1,I121-1),
 "")=0,"",
IFERROR(
INDEX(INDIRECT("数出表_Excel!B"&amp;MATCH(N36,数出表_Excel!$A:$A,0)&amp;":U"&amp;MATCH(N36,数出表_Excel!$A:$A,0)&amp;""),
 1,I121-1),
 "")),"")</f>
        <v/>
      </c>
      <c r="M123" s="253"/>
      <c r="N123" s="97" t="e" cm="1">
        <f t="array" aca="1" ref="N123" ca="1">IF(INDIRECT(""&amp;SUBSTITUTE(ADDRESS(1,
COLUMN()-5,1),"1","")&amp;ROW()-85&amp;"")=100,
IF(J120&lt;&gt;"",
IF(IFERROR(
INDEX(INDIRECT("'数出表_Excel（アレルギー入力）'!"&amp;I122&amp;MATCH(N36,'数出表_Excel（アレルギー入力）'!$A:$A,0)+1&amp;":"&amp;N124&amp;MATCH(N36,'数出表_Excel（アレルギー入力）'!$A:$A,0)+1&amp;""),
 1,
MATCH(TRUE,INDIRECT("'数出表_Excel（アレルギー入力）'!"&amp;I122&amp;MATCH(N36,'数出表_Excel（アレルギー入力）'!$A:$A,0)+1&amp;":"&amp;N124&amp;MATCH(N36,'数出表_Excel（アレルギー入力）'!$A:$A,0)+1&amp;"")&lt;&gt;"",0)+1),
 "")&lt;&gt;0,
IF(IFERROR(
INDEX(INDIRECT("'数出表_Excel（アレルギー入力）'!"&amp;I122&amp;MATCH(N36,'数出表_Excel（アレルギー入力）'!$A:$A,0)+1&amp;":"&amp;N124&amp;MATCH(N36,'数出表_Excel（アレルギー入力）'!$A:$A,0)+1&amp;""),
 1,
MATCH(TRUE,INDIRECT("'数出表_Excel（アレルギー入力）'!"&amp;I122&amp;MATCH(N36,'数出表_Excel（アレルギー入力）'!$A:$A,0)+1&amp;":"&amp;N124&amp;MATCH(N36,'数出表_Excel（アレルギー入力）'!$A:$A,0)+1&amp;"")&lt;&gt;"",0)+1),
 "")="",
IFERROR(
INDEX(INDIRECT("'数出表_Excel（アレルギー入力）'!"&amp;I122&amp;MATCH(N36,'数出表_Excel（アレルギー入力）'!$A:$A,0)+1&amp;":"&amp;N124&amp;MATCH(N36,'数出表_Excel（アレルギー入力）'!$A:$A,0)+1&amp;""),
 1,
MATCH(TRUE,INDIRECT("'数出表_Excel（アレルギー入力）'!"&amp;I122&amp;MATCH(N36,'数出表_Excel（アレルギー入力）'!$A:$A,0)+1&amp;":"&amp;N124&amp;MATCH(N36,'数出表_Excel（アレルギー入力）'!$A:$A,0)+1&amp;"")&lt;&gt;"",0)+1),
 ""),
IFERROR(
INDEX(INDIRECT("'数出表_Excel（アレルギー入力）'!"&amp;I122&amp;MATCH(N36,'数出表_Excel（アレルギー入力）'!$A:$A,0)+1&amp;":"&amp;N124&amp;MATCH(N36,'数出表_Excel（アレルギー入力）'!$A:$A,0)+1&amp;""),
 1,
MATCH(TRUE,INDIRECT("'数出表_Excel（アレルギー入力）'!"&amp;I122&amp;MATCH(N36,'数出表_Excel（アレルギー入力）'!$A:$A,0)+1&amp;":"&amp;N124&amp;MATCH(N36,'数出表_Excel（アレルギー入力）'!$A:$A,0)+1&amp;"")&lt;&gt;"",0)+1),
 "")),0),""),0)</f>
        <v>#VALUE!</v>
      </c>
      <c r="Q123" s="86"/>
      <c r="R123" s="252" t="str" cm="1">
        <f t="array" aca="1" ref="R123" ca="1">IF(R121&lt;&gt;"",
IF(IFERROR(
INDEX(INDIRECT("数出表_Excel!"&amp;Q120&amp;MATCH(V36,数出表_Excel!$A:$A,0)-1&amp;":U"&amp;MATCH(V36,数出表_Excel!$A:$A,0)-1&amp;""),
 1,
 MATCH(TRUE, ISNUMBER(--INDIRECT("数出表_Excel!"&amp;Q120&amp;MATCH(V36,数出表_Excel!$A:$A,0)-1&amp;":U"&amp;MATCH(V36,数出表_Excel!$A:$A,0)-1&amp;"")), 0)),
 "")=0,"",
IF(Q38=100,
IFERROR(
INDEX(INDIRECT("数出表_Excel!"&amp;Q120&amp;MATCH(V36,数出表_Excel!$A:$A,0)-1+2&amp;":U"&amp;MATCH(V36,数出表_Excel!$A:$A,0)-1+2&amp;""),
 1,
 MATCH(TRUE, ISNUMBER(--INDIRECT("数出表_Excel!"&amp;Q120&amp;MATCH(V36,数出表_Excel!$A:$A,0)-1+2&amp;":U"&amp;MATCH(V36,数出表_Excel!$A:$A,0)-1+2&amp;"")), 0)),
 "")
+IFERROR(
INDEX(INDIRECT("数出表_Excel!"&amp;Q120&amp;MATCH(V36,数出表_Excel!$A:$A,0)-1&amp;":U"&amp;MATCH(V36,数出表_Excel!$A:$A,0)-1&amp;""),
 1,
 MATCH(TRUE, ISNUMBER(--INDIRECT("数出表_Excel!"&amp;Q120&amp;MATCH(V36,数出表_Excel!$A:$A,0)-1&amp;":U"&amp;MATCH(V36,数出表_Excel!$A:$A,0)-1&amp;"")), 0)),
 ""),
IFERROR(
INDEX(INDIRECT("数出表_Excel!"&amp;Q120&amp;MATCH(V36,数出表_Excel!$A:$A,0)-1&amp;":U"&amp;MATCH(V36,数出表_Excel!$A:$A,0)-1&amp;""),
 1,
 MATCH(TRUE, ISNUMBER(--INDIRECT("数出表_Excel!"&amp;Q120&amp;MATCH(V36,数出表_Excel!$A:$A,0)-1&amp;":U"&amp;MATCH(V36,数出表_Excel!$A:$A,0)-1&amp;"")), 0)),
 ""))),"")</f>
        <v/>
      </c>
      <c r="S123" s="253"/>
      <c r="T123" s="255" t="str" cm="1">
        <f t="array" aca="1" ref="T123" ca="1">IF(R79&lt;&gt;"",
IF(IFERROR(
INDEX(INDIRECT("数出表_Excel!B"&amp;MATCH(V36,数出表_Excel!$A:$A,0)&amp;":U"&amp;MATCH(V36,数出表_Excel!$A:$A,0)&amp;""),
 1,Q121-1),
 "")=0,"",
IFERROR(
INDEX(INDIRECT("数出表_Excel!B"&amp;MATCH(V36,数出表_Excel!$A:$A,0)&amp;":U"&amp;MATCH(V36,数出表_Excel!$A:$A,0)&amp;""),
 1,Q121-1),
 "")),"")</f>
        <v/>
      </c>
      <c r="U123" s="253"/>
      <c r="V123" s="97" t="e" cm="1">
        <f t="array" aca="1" ref="V123" ca="1">IF(INDIRECT(""&amp;SUBSTITUTE(ADDRESS(1,
COLUMN()-5,1),"1","")&amp;ROW()-85&amp;"")=100,
IF(R120&lt;&gt;"",
IF(IFERROR(
INDEX(INDIRECT("'数出表_Excel（アレルギー入力）'!"&amp;Q122&amp;MATCH(V36,'数出表_Excel（アレルギー入力）'!$A:$A,0)+1&amp;":"&amp;V124&amp;MATCH(V36,'数出表_Excel（アレルギー入力）'!$A:$A,0)+1&amp;""),
 1,
MATCH(TRUE,INDIRECT("'数出表_Excel（アレルギー入力）'!"&amp;Q122&amp;MATCH(V36,'数出表_Excel（アレルギー入力）'!$A:$A,0)+1&amp;":"&amp;V124&amp;MATCH(V36,'数出表_Excel（アレルギー入力）'!$A:$A,0)+1&amp;"")&lt;&gt;"",0)+1),
 "")&lt;&gt;0,
IF(IFERROR(
INDEX(INDIRECT("'数出表_Excel（アレルギー入力）'!"&amp;Q122&amp;MATCH(V36,'数出表_Excel（アレルギー入力）'!$A:$A,0)+1&amp;":"&amp;V124&amp;MATCH(V36,'数出表_Excel（アレルギー入力）'!$A:$A,0)+1&amp;""),
 1,
MATCH(TRUE,INDIRECT("'数出表_Excel（アレルギー入力）'!"&amp;Q122&amp;MATCH(V36,'数出表_Excel（アレルギー入力）'!$A:$A,0)+1&amp;":"&amp;V124&amp;MATCH(V36,'数出表_Excel（アレルギー入力）'!$A:$A,0)+1&amp;"")&lt;&gt;"",0)+1),
 "")="",
IFERROR(
INDEX(INDIRECT("'数出表_Excel（アレルギー入力）'!"&amp;Q122&amp;MATCH(V36,'数出表_Excel（アレルギー入力）'!$A:$A,0)+1&amp;":"&amp;V124&amp;MATCH(V36,'数出表_Excel（アレルギー入力）'!$A:$A,0)+1&amp;""),
 1,
MATCH(TRUE,INDIRECT("'数出表_Excel（アレルギー入力）'!"&amp;Q122&amp;MATCH(V36,'数出表_Excel（アレルギー入力）'!$A:$A,0)+1&amp;":"&amp;V124&amp;MATCH(V36,'数出表_Excel（アレルギー入力）'!$A:$A,0)+1&amp;"")&lt;&gt;"",0)+1),
 ""),
IFERROR(
INDEX(INDIRECT("'数出表_Excel（アレルギー入力）'!"&amp;Q122&amp;MATCH(V36,'数出表_Excel（アレルギー入力）'!$A:$A,0)+1&amp;":"&amp;V124&amp;MATCH(V36,'数出表_Excel（アレルギー入力）'!$A:$A,0)+1&amp;""),
 1,
MATCH(TRUE,INDIRECT("'数出表_Excel（アレルギー入力）'!"&amp;Q122&amp;MATCH(V36,'数出表_Excel（アレルギー入力）'!$A:$A,0)+1&amp;":"&amp;V124&amp;MATCH(V36,'数出表_Excel（アレルギー入力）'!$A:$A,0)+1&amp;"")&lt;&gt;"",0)+1),
 "")),0),""),0)</f>
        <v>#VALUE!</v>
      </c>
      <c r="X123" s="86"/>
      <c r="Y123" s="252" t="str" cm="1">
        <f t="array" aca="1" ref="Y123" ca="1">IF(Y121&lt;&gt;"",
IF(IFERROR(
INDEX(INDIRECT("数出表_Excel!"&amp;X120&amp;MATCH(AC36,数出表_Excel!$A:$A,0)-1&amp;":U"&amp;MATCH(AC36,数出表_Excel!$A:$A,0)-1&amp;""),
 1,
 MATCH(TRUE, ISNUMBER(--INDIRECT("数出表_Excel!"&amp;X120&amp;MATCH(AC36,数出表_Excel!$A:$A,0)-1&amp;":U"&amp;MATCH(AC36,数出表_Excel!$A:$A,0)-1&amp;"")), 0)),
 "")=0,"",
IF(X38=100,
IFERROR(
INDEX(INDIRECT("数出表_Excel!"&amp;X120&amp;MATCH(AC36,数出表_Excel!$A:$A,0)-1+2&amp;":U"&amp;MATCH(AC36,数出表_Excel!$A:$A,0)-1+2&amp;""),
 1,
 MATCH(TRUE, ISNUMBER(--INDIRECT("数出表_Excel!"&amp;X120&amp;MATCH(AC36,数出表_Excel!$A:$A,0)-1+2&amp;":U"&amp;MATCH(AC36,数出表_Excel!$A:$A,0)-1+2&amp;"")), 0)),
 "")
+IFERROR(
INDEX(INDIRECT("数出表_Excel!"&amp;X120&amp;MATCH(AC36,数出表_Excel!$A:$A,0)-1&amp;":U"&amp;MATCH(AC36,数出表_Excel!$A:$A,0)-1&amp;""),
 1,
 MATCH(TRUE, ISNUMBER(--INDIRECT("数出表_Excel!"&amp;X120&amp;MATCH(AC36,数出表_Excel!$A:$A,0)-1&amp;":U"&amp;MATCH(AC36,数出表_Excel!$A:$A,0)-1&amp;"")), 0)),
 ""),
IFERROR(
INDEX(INDIRECT("数出表_Excel!"&amp;X120&amp;MATCH(AC36,数出表_Excel!$A:$A,0)-1&amp;":U"&amp;MATCH(AC36,数出表_Excel!$A:$A,0)-1&amp;""),
 1,
 MATCH(TRUE, ISNUMBER(--INDIRECT("数出表_Excel!"&amp;X120&amp;MATCH(AC36,数出表_Excel!$A:$A,0)-1&amp;":U"&amp;MATCH(AC36,数出表_Excel!$A:$A,0)-1&amp;"")), 0)),
 ""))),"")</f>
        <v/>
      </c>
      <c r="Z123" s="253"/>
      <c r="AA123" s="255" t="str" cm="1">
        <f t="array" aca="1" ref="AA123" ca="1">IF(Y79&lt;&gt;"",
IF(IFERROR(
INDEX(INDIRECT("数出表_Excel!B"&amp;MATCH(AC36,数出表_Excel!$A:$A,0)&amp;":U"&amp;MATCH(AC36,数出表_Excel!$A:$A,0)&amp;""),
 1,X121-1),
 "")=0,"",
IFERROR(
INDEX(INDIRECT("数出表_Excel!B"&amp;MATCH(AC36,数出表_Excel!$A:$A,0)&amp;":U"&amp;MATCH(AC36,数出表_Excel!$A:$A,0)&amp;""),
 1,X121-1),
 "")),"")</f>
        <v/>
      </c>
      <c r="AB123" s="253"/>
      <c r="AC123" s="97" t="e" cm="1">
        <f t="array" aca="1" ref="AC123" ca="1">IF(INDIRECT(""&amp;SUBSTITUTE(ADDRESS(1,
COLUMN()-5,1),"1","")&amp;ROW()-85&amp;"")=100,
IF(Y120&lt;&gt;"",
IF(IFERROR(
INDEX(INDIRECT("'数出表_Excel（アレルギー入力）'!"&amp;X122&amp;MATCH(AC36,'数出表_Excel（アレルギー入力）'!$A:$A,0)+1&amp;":"&amp;AC124&amp;MATCH(AC36,'数出表_Excel（アレルギー入力）'!$A:$A,0)+1&amp;""),
 1,
MATCH(TRUE,INDIRECT("'数出表_Excel（アレルギー入力）'!"&amp;X122&amp;MATCH(AC36,'数出表_Excel（アレルギー入力）'!$A:$A,0)+1&amp;":"&amp;AC124&amp;MATCH(AC36,'数出表_Excel（アレルギー入力）'!$A:$A,0)+1&amp;"")&lt;&gt;"",0)+1),
 "")&lt;&gt;0,
IF(IFERROR(
INDEX(INDIRECT("'数出表_Excel（アレルギー入力）'!"&amp;X122&amp;MATCH(AC36,'数出表_Excel（アレルギー入力）'!$A:$A,0)+1&amp;":"&amp;AC124&amp;MATCH(AC36,'数出表_Excel（アレルギー入力）'!$A:$A,0)+1&amp;""),
 1,
MATCH(TRUE,INDIRECT("'数出表_Excel（アレルギー入力）'!"&amp;X122&amp;MATCH(AC36,'数出表_Excel（アレルギー入力）'!$A:$A,0)+1&amp;":"&amp;AC124&amp;MATCH(AC36,'数出表_Excel（アレルギー入力）'!$A:$A,0)+1&amp;"")&lt;&gt;"",0)+1),
 "")="",
IFERROR(
INDEX(INDIRECT("'数出表_Excel（アレルギー入力）'!"&amp;X122&amp;MATCH(AC36,'数出表_Excel（アレルギー入力）'!$A:$A,0)+1&amp;":"&amp;AC124&amp;MATCH(AC36,'数出表_Excel（アレルギー入力）'!$A:$A,0)+1&amp;""),
 1,
MATCH(TRUE,INDIRECT("'数出表_Excel（アレルギー入力）'!"&amp;X122&amp;MATCH(AC36,'数出表_Excel（アレルギー入力）'!$A:$A,0)+1&amp;":"&amp;AC124&amp;MATCH(AC36,'数出表_Excel（アレルギー入力）'!$A:$A,0)+1&amp;"")&lt;&gt;"",0)+1),
 ""),
IFERROR(
INDEX(INDIRECT("'数出表_Excel（アレルギー入力）'!"&amp;X122&amp;MATCH(AC36,'数出表_Excel（アレルギー入力）'!$A:$A,0)+1&amp;":"&amp;AC124&amp;MATCH(AC36,'数出表_Excel（アレルギー入力）'!$A:$A,0)+1&amp;""),
 1,
MATCH(TRUE,INDIRECT("'数出表_Excel（アレルギー入力）'!"&amp;X122&amp;MATCH(AC36,'数出表_Excel（アレルギー入力）'!$A:$A,0)+1&amp;":"&amp;AC124&amp;MATCH(AC36,'数出表_Excel（アレルギー入力）'!$A:$A,0)+1&amp;"")&lt;&gt;"",0)+1),
 "")),0),""),0)</f>
        <v>#VALUE!</v>
      </c>
      <c r="AF123" s="86"/>
      <c r="AG123" s="252" t="str" cm="1">
        <f t="array" aca="1" ref="AG123" ca="1">IF(AG121&lt;&gt;"",
IF(IFERROR(
INDEX(INDIRECT("数出表_Excel!"&amp;AF120&amp;MATCH(AK36,数出表_Excel!$A:$A,0)-1&amp;":U"&amp;MATCH(AK36,数出表_Excel!$A:$A,0)-1&amp;""),
 1,
 MATCH(TRUE, ISNUMBER(--INDIRECT("数出表_Excel!"&amp;AF120&amp;MATCH(AK36,数出表_Excel!$A:$A,0)-1&amp;":U"&amp;MATCH(AK36,数出表_Excel!$A:$A,0)-1&amp;"")), 0)),
 "")=0,"",
IF(AF38=100,
IFERROR(
INDEX(INDIRECT("数出表_Excel!"&amp;AF120&amp;MATCH(AK36,数出表_Excel!$A:$A,0)-1+2&amp;":U"&amp;MATCH(AK36,数出表_Excel!$A:$A,0)-1+2&amp;""),
 1,
 MATCH(TRUE, ISNUMBER(--INDIRECT("数出表_Excel!"&amp;AF120&amp;MATCH(AK36,数出表_Excel!$A:$A,0)-1+2&amp;":U"&amp;MATCH(AK36,数出表_Excel!$A:$A,0)-1+2&amp;"")), 0)),
 "")
+IFERROR(
INDEX(INDIRECT("数出表_Excel!"&amp;AF120&amp;MATCH(AK36,数出表_Excel!$A:$A,0)-1&amp;":U"&amp;MATCH(AK36,数出表_Excel!$A:$A,0)-1&amp;""),
 1,
 MATCH(TRUE, ISNUMBER(--INDIRECT("数出表_Excel!"&amp;AF120&amp;MATCH(AK36,数出表_Excel!$A:$A,0)-1&amp;":U"&amp;MATCH(AK36,数出表_Excel!$A:$A,0)-1&amp;"")), 0)),
 ""),
IFERROR(
INDEX(INDIRECT("数出表_Excel!"&amp;AF120&amp;MATCH(AK36,数出表_Excel!$A:$A,0)-1&amp;":U"&amp;MATCH(AK36,数出表_Excel!$A:$A,0)-1&amp;""),
 1,
 MATCH(TRUE, ISNUMBER(--INDIRECT("数出表_Excel!"&amp;AF120&amp;MATCH(AK36,数出表_Excel!$A:$A,0)-1&amp;":U"&amp;MATCH(AK36,数出表_Excel!$A:$A,0)-1&amp;"")), 0)),
 ""))),"")</f>
        <v/>
      </c>
      <c r="AH123" s="253"/>
      <c r="AI123" s="255" t="str" cm="1">
        <f t="array" aca="1" ref="AI123" ca="1">IF(AG79&lt;&gt;"",
IF(IFERROR(
INDEX(INDIRECT("数出表_Excel!B"&amp;MATCH(AK36,数出表_Excel!$A:$A,0)&amp;":U"&amp;MATCH(AK36,数出表_Excel!$A:$A,0)&amp;""),
 1,AF121-1),
 "")=0,"",
IFERROR(
INDEX(INDIRECT("数出表_Excel!B"&amp;MATCH(AK36,数出表_Excel!$A:$A,0)&amp;":U"&amp;MATCH(AK36,数出表_Excel!$A:$A,0)&amp;""),
 1,AF121-1),
 "")),"")</f>
        <v/>
      </c>
      <c r="AJ123" s="253"/>
      <c r="AK123" s="97" t="e" cm="1">
        <f t="array" aca="1" ref="AK123" ca="1">IF(INDIRECT(""&amp;SUBSTITUTE(ADDRESS(1,
COLUMN()-5,1),"1","")&amp;ROW()-85&amp;"")=100,
IF(AG120&lt;&gt;"",
IF(IFERROR(
INDEX(INDIRECT("'数出表_Excel（アレルギー入力）'!"&amp;AF122&amp;MATCH(AK36,'数出表_Excel（アレルギー入力）'!$A:$A,0)+1&amp;":"&amp;AK124&amp;MATCH(AK36,'数出表_Excel（アレルギー入力）'!$A:$A,0)+1&amp;""),
 1,
MATCH(TRUE,INDIRECT("'数出表_Excel（アレルギー入力）'!"&amp;AF122&amp;MATCH(AK36,'数出表_Excel（アレルギー入力）'!$A:$A,0)+1&amp;":"&amp;AK124&amp;MATCH(AK36,'数出表_Excel（アレルギー入力）'!$A:$A,0)+1&amp;"")&lt;&gt;"",0)+1),
 "")&lt;&gt;0,
IF(IFERROR(
INDEX(INDIRECT("'数出表_Excel（アレルギー入力）'!"&amp;AF122&amp;MATCH(AK36,'数出表_Excel（アレルギー入力）'!$A:$A,0)+1&amp;":"&amp;AK124&amp;MATCH(AK36,'数出表_Excel（アレルギー入力）'!$A:$A,0)+1&amp;""),
 1,
MATCH(TRUE,INDIRECT("'数出表_Excel（アレルギー入力）'!"&amp;AF122&amp;MATCH(AK36,'数出表_Excel（アレルギー入力）'!$A:$A,0)+1&amp;":"&amp;AK124&amp;MATCH(AK36,'数出表_Excel（アレルギー入力）'!$A:$A,0)+1&amp;"")&lt;&gt;"",0)+1),
 "")="",
IFERROR(
INDEX(INDIRECT("'数出表_Excel（アレルギー入力）'!"&amp;AF122&amp;MATCH(AK36,'数出表_Excel（アレルギー入力）'!$A:$A,0)+1&amp;":"&amp;AK124&amp;MATCH(AK36,'数出表_Excel（アレルギー入力）'!$A:$A,0)+1&amp;""),
 1,
MATCH(TRUE,INDIRECT("'数出表_Excel（アレルギー入力）'!"&amp;AF122&amp;MATCH(AK36,'数出表_Excel（アレルギー入力）'!$A:$A,0)+1&amp;":"&amp;AK124&amp;MATCH(AK36,'数出表_Excel（アレルギー入力）'!$A:$A,0)+1&amp;"")&lt;&gt;"",0)+1),
 ""),
IFERROR(
INDEX(INDIRECT("'数出表_Excel（アレルギー入力）'!"&amp;AF122&amp;MATCH(AK36,'数出表_Excel（アレルギー入力）'!$A:$A,0)+1&amp;":"&amp;AK124&amp;MATCH(AK36,'数出表_Excel（アレルギー入力）'!$A:$A,0)+1&amp;""),
 1,
MATCH(TRUE,INDIRECT("'数出表_Excel（アレルギー入力）'!"&amp;AF122&amp;MATCH(AK36,'数出表_Excel（アレルギー入力）'!$A:$A,0)+1&amp;":"&amp;AK124&amp;MATCH(AK36,'数出表_Excel（アレルギー入力）'!$A:$A,0)+1&amp;"")&lt;&gt;"",0)+1),
 "")),0),""),0)</f>
        <v>#VALUE!</v>
      </c>
      <c r="AM123" s="86"/>
      <c r="AN123" s="252" t="str" cm="1">
        <f t="array" aca="1" ref="AN123" ca="1">IF(AN121&lt;&gt;"",
IF(IFERROR(
INDEX(INDIRECT("数出表_Excel!"&amp;AM120&amp;MATCH(AR36,数出表_Excel!$A:$A,0)-1&amp;":U"&amp;MATCH(AR36,数出表_Excel!$A:$A,0)-1&amp;""),
 1,
 MATCH(TRUE, ISNUMBER(--INDIRECT("数出表_Excel!"&amp;AM120&amp;MATCH(AR36,数出表_Excel!$A:$A,0)-1&amp;":U"&amp;MATCH(AR36,数出表_Excel!$A:$A,0)-1&amp;"")), 0)),
 "")=0,"",
IF(AM38=100,
IFERROR(
INDEX(INDIRECT("数出表_Excel!"&amp;AM120&amp;MATCH(AR36,数出表_Excel!$A:$A,0)-1+2&amp;":U"&amp;MATCH(AR36,数出表_Excel!$A:$A,0)-1+2&amp;""),
 1,
 MATCH(TRUE, ISNUMBER(--INDIRECT("数出表_Excel!"&amp;AM120&amp;MATCH(AR36,数出表_Excel!$A:$A,0)-1+2&amp;":U"&amp;MATCH(AR36,数出表_Excel!$A:$A,0)-1+2&amp;"")), 0)),
 "")
+IFERROR(
INDEX(INDIRECT("数出表_Excel!"&amp;AM120&amp;MATCH(AR36,数出表_Excel!$A:$A,0)-1&amp;":U"&amp;MATCH(AR36,数出表_Excel!$A:$A,0)-1&amp;""),
 1,
 MATCH(TRUE, ISNUMBER(--INDIRECT("数出表_Excel!"&amp;AM120&amp;MATCH(AR36,数出表_Excel!$A:$A,0)-1&amp;":U"&amp;MATCH(AR36,数出表_Excel!$A:$A,0)-1&amp;"")), 0)),
 ""),
IFERROR(
INDEX(INDIRECT("数出表_Excel!"&amp;AM120&amp;MATCH(AR36,数出表_Excel!$A:$A,0)-1&amp;":U"&amp;MATCH(AR36,数出表_Excel!$A:$A,0)-1&amp;""),
 1,
 MATCH(TRUE, ISNUMBER(--INDIRECT("数出表_Excel!"&amp;AM120&amp;MATCH(AR36,数出表_Excel!$A:$A,0)-1&amp;":U"&amp;MATCH(AR36,数出表_Excel!$A:$A,0)-1&amp;"")), 0)),
 ""))),"")</f>
        <v/>
      </c>
      <c r="AO123" s="253"/>
      <c r="AP123" s="255" t="str" cm="1">
        <f t="array" aca="1" ref="AP123" ca="1">IF(AN79&lt;&gt;"",
IF(IFERROR(
INDEX(INDIRECT("数出表_Excel!B"&amp;MATCH(AR36,数出表_Excel!$A:$A,0)&amp;":U"&amp;MATCH(AR36,数出表_Excel!$A:$A,0)&amp;""),
 1,AM121-1),
 "")=0,"",
IFERROR(
INDEX(INDIRECT("数出表_Excel!B"&amp;MATCH(AR36,数出表_Excel!$A:$A,0)&amp;":U"&amp;MATCH(AR36,数出表_Excel!$A:$A,0)&amp;""),
 1,AM121-1),
 "")),"")</f>
        <v/>
      </c>
      <c r="AQ123" s="253"/>
      <c r="AR123" s="97" t="e" cm="1">
        <f t="array" aca="1" ref="AR123" ca="1">IF(INDIRECT(""&amp;SUBSTITUTE(ADDRESS(1,
COLUMN()-5,1),"1","")&amp;ROW()-85&amp;"")=100,
IF(AN120&lt;&gt;"",
IF(IFERROR(
INDEX(INDIRECT("'数出表_Excel（アレルギー入力）'!"&amp;AM122&amp;MATCH(AR36,'数出表_Excel（アレルギー入力）'!$A:$A,0)+1&amp;":"&amp;AR124&amp;MATCH(AR36,'数出表_Excel（アレルギー入力）'!$A:$A,0)+1&amp;""),
 1,
MATCH(TRUE,INDIRECT("'数出表_Excel（アレルギー入力）'!"&amp;AM122&amp;MATCH(AR36,'数出表_Excel（アレルギー入力）'!$A:$A,0)+1&amp;":"&amp;AR124&amp;MATCH(AR36,'数出表_Excel（アレルギー入力）'!$A:$A,0)+1&amp;"")&lt;&gt;"",0)+1),
 "")&lt;&gt;0,
IF(IFERROR(
INDEX(INDIRECT("'数出表_Excel（アレルギー入力）'!"&amp;AM122&amp;MATCH(AR36,'数出表_Excel（アレルギー入力）'!$A:$A,0)+1&amp;":"&amp;AR124&amp;MATCH(AR36,'数出表_Excel（アレルギー入力）'!$A:$A,0)+1&amp;""),
 1,
MATCH(TRUE,INDIRECT("'数出表_Excel（アレルギー入力）'!"&amp;AM122&amp;MATCH(AR36,'数出表_Excel（アレルギー入力）'!$A:$A,0)+1&amp;":"&amp;AR124&amp;MATCH(AR36,'数出表_Excel（アレルギー入力）'!$A:$A,0)+1&amp;"")&lt;&gt;"",0)+1),
 "")="",
IFERROR(
INDEX(INDIRECT("'数出表_Excel（アレルギー入力）'!"&amp;AM122&amp;MATCH(AR36,'数出表_Excel（アレルギー入力）'!$A:$A,0)+1&amp;":"&amp;AR124&amp;MATCH(AR36,'数出表_Excel（アレルギー入力）'!$A:$A,0)+1&amp;""),
 1,
MATCH(TRUE,INDIRECT("'数出表_Excel（アレルギー入力）'!"&amp;AM122&amp;MATCH(AR36,'数出表_Excel（アレルギー入力）'!$A:$A,0)+1&amp;":"&amp;AR124&amp;MATCH(AR36,'数出表_Excel（アレルギー入力）'!$A:$A,0)+1&amp;"")&lt;&gt;"",0)+1),
 ""),
IFERROR(
INDEX(INDIRECT("'数出表_Excel（アレルギー入力）'!"&amp;AM122&amp;MATCH(AR36,'数出表_Excel（アレルギー入力）'!$A:$A,0)+1&amp;":"&amp;AR124&amp;MATCH(AR36,'数出表_Excel（アレルギー入力）'!$A:$A,0)+1&amp;""),
 1,
MATCH(TRUE,INDIRECT("'数出表_Excel（アレルギー入力）'!"&amp;AM122&amp;MATCH(AR36,'数出表_Excel（アレルギー入力）'!$A:$A,0)+1&amp;":"&amp;AR124&amp;MATCH(AR36,'数出表_Excel（アレルギー入力）'!$A:$A,0)+1&amp;"")&lt;&gt;"",0)+1),
 "")),0),""),0)</f>
        <v>#VALUE!</v>
      </c>
      <c r="AU123" s="86"/>
      <c r="AV123" s="252" t="str" cm="1">
        <f t="array" aca="1" ref="AV123" ca="1">IF(AV121&lt;&gt;"",
IF(IFERROR(
INDEX(INDIRECT("数出表_Excel!"&amp;AU120&amp;MATCH(AZ36,数出表_Excel!$A:$A,0)-1&amp;":U"&amp;MATCH(AZ36,数出表_Excel!$A:$A,0)-1&amp;""),
 1,
 MATCH(TRUE, ISNUMBER(--INDIRECT("数出表_Excel!"&amp;AU120&amp;MATCH(AZ36,数出表_Excel!$A:$A,0)-1&amp;":U"&amp;MATCH(AZ36,数出表_Excel!$A:$A,0)-1&amp;"")), 0)),
 "")=0,"",
IF(AU38=100,
IFERROR(
INDEX(INDIRECT("数出表_Excel!"&amp;AU120&amp;MATCH(AZ36,数出表_Excel!$A:$A,0)-1+2&amp;":U"&amp;MATCH(AZ36,数出表_Excel!$A:$A,0)-1+2&amp;""),
 1,
 MATCH(TRUE, ISNUMBER(--INDIRECT("数出表_Excel!"&amp;AU120&amp;MATCH(AZ36,数出表_Excel!$A:$A,0)-1+2&amp;":U"&amp;MATCH(AZ36,数出表_Excel!$A:$A,0)-1+2&amp;"")), 0)),
 "")
+IFERROR(
INDEX(INDIRECT("数出表_Excel!"&amp;AU120&amp;MATCH(AZ36,数出表_Excel!$A:$A,0)-1&amp;":U"&amp;MATCH(AZ36,数出表_Excel!$A:$A,0)-1&amp;""),
 1,
 MATCH(TRUE, ISNUMBER(--INDIRECT("数出表_Excel!"&amp;AU120&amp;MATCH(AZ36,数出表_Excel!$A:$A,0)-1&amp;":U"&amp;MATCH(AZ36,数出表_Excel!$A:$A,0)-1&amp;"")), 0)),
 ""),
IFERROR(
INDEX(INDIRECT("数出表_Excel!"&amp;AU120&amp;MATCH(AZ36,数出表_Excel!$A:$A,0)-1&amp;":U"&amp;MATCH(AZ36,数出表_Excel!$A:$A,0)-1&amp;""),
 1,
 MATCH(TRUE, ISNUMBER(--INDIRECT("数出表_Excel!"&amp;AU120&amp;MATCH(AZ36,数出表_Excel!$A:$A,0)-1&amp;":U"&amp;MATCH(AZ36,数出表_Excel!$A:$A,0)-1&amp;"")), 0)),
 ""))),"")</f>
        <v/>
      </c>
      <c r="AW123" s="253"/>
      <c r="AX123" s="255" t="str" cm="1">
        <f t="array" aca="1" ref="AX123" ca="1">IF(AV79&lt;&gt;"",
IF(IFERROR(
INDEX(INDIRECT("数出表_Excel!B"&amp;MATCH(AZ36,数出表_Excel!$A:$A,0)&amp;":U"&amp;MATCH(AZ36,数出表_Excel!$A:$A,0)&amp;""),
 1,AU121-1),
 "")=0,"",
IFERROR(
INDEX(INDIRECT("数出表_Excel!B"&amp;MATCH(AZ36,数出表_Excel!$A:$A,0)&amp;":U"&amp;MATCH(AZ36,数出表_Excel!$A:$A,0)&amp;""),
 1,AU121-1),
 "")),"")</f>
        <v/>
      </c>
      <c r="AY123" s="253"/>
      <c r="AZ123" s="97" t="e" cm="1">
        <f t="array" aca="1" ref="AZ123" ca="1">IF(INDIRECT(""&amp;SUBSTITUTE(ADDRESS(1,
COLUMN()-5,1),"1","")&amp;ROW()-85&amp;"")=100,
IF(AV120&lt;&gt;"",
IF(IFERROR(
INDEX(INDIRECT("'数出表_Excel（アレルギー入力）'!"&amp;AU122&amp;MATCH(AZ36,'数出表_Excel（アレルギー入力）'!$A:$A,0)+1&amp;":"&amp;AZ124&amp;MATCH(AZ36,'数出表_Excel（アレルギー入力）'!$A:$A,0)+1&amp;""),
 1,
MATCH(TRUE,INDIRECT("'数出表_Excel（アレルギー入力）'!"&amp;AU122&amp;MATCH(AZ36,'数出表_Excel（アレルギー入力）'!$A:$A,0)+1&amp;":"&amp;AZ124&amp;MATCH(AZ36,'数出表_Excel（アレルギー入力）'!$A:$A,0)+1&amp;"")&lt;&gt;"",0)+1),
 "")&lt;&gt;0,
IF(IFERROR(
INDEX(INDIRECT("'数出表_Excel（アレルギー入力）'!"&amp;AU122&amp;MATCH(AZ36,'数出表_Excel（アレルギー入力）'!$A:$A,0)+1&amp;":"&amp;AZ124&amp;MATCH(AZ36,'数出表_Excel（アレルギー入力）'!$A:$A,0)+1&amp;""),
 1,
MATCH(TRUE,INDIRECT("'数出表_Excel（アレルギー入力）'!"&amp;AU122&amp;MATCH(AZ36,'数出表_Excel（アレルギー入力）'!$A:$A,0)+1&amp;":"&amp;AZ124&amp;MATCH(AZ36,'数出表_Excel（アレルギー入力）'!$A:$A,0)+1&amp;"")&lt;&gt;"",0)+1),
 "")="",
IFERROR(
INDEX(INDIRECT("'数出表_Excel（アレルギー入力）'!"&amp;AU122&amp;MATCH(AZ36,'数出表_Excel（アレルギー入力）'!$A:$A,0)+1&amp;":"&amp;AZ124&amp;MATCH(AZ36,'数出表_Excel（アレルギー入力）'!$A:$A,0)+1&amp;""),
 1,
MATCH(TRUE,INDIRECT("'数出表_Excel（アレルギー入力）'!"&amp;AU122&amp;MATCH(AZ36,'数出表_Excel（アレルギー入力）'!$A:$A,0)+1&amp;":"&amp;AZ124&amp;MATCH(AZ36,'数出表_Excel（アレルギー入力）'!$A:$A,0)+1&amp;"")&lt;&gt;"",0)+1),
 ""),
IFERROR(
INDEX(INDIRECT("'数出表_Excel（アレルギー入力）'!"&amp;AU122&amp;MATCH(AZ36,'数出表_Excel（アレルギー入力）'!$A:$A,0)+1&amp;":"&amp;AZ124&amp;MATCH(AZ36,'数出表_Excel（アレルギー入力）'!$A:$A,0)+1&amp;""),
 1,
MATCH(TRUE,INDIRECT("'数出表_Excel（アレルギー入力）'!"&amp;AU122&amp;MATCH(AZ36,'数出表_Excel（アレルギー入力）'!$A:$A,0)+1&amp;":"&amp;AZ124&amp;MATCH(AZ36,'数出表_Excel（アレルギー入力）'!$A:$A,0)+1&amp;"")&lt;&gt;"",0)+1),
 "")),0),""),0)</f>
        <v>#VALUE!</v>
      </c>
      <c r="BB123" s="86"/>
      <c r="BC123" s="252" t="str" cm="1">
        <f t="array" aca="1" ref="BC123" ca="1">IF(BC121&lt;&gt;"",
IF(IFERROR(
INDEX(INDIRECT("数出表_Excel!"&amp;BB120&amp;MATCH(BG36,数出表_Excel!$A:$A,0)-1&amp;":U"&amp;MATCH(BG36,数出表_Excel!$A:$A,0)-1&amp;""),
 1,
 MATCH(TRUE, ISNUMBER(--INDIRECT("数出表_Excel!"&amp;BB120&amp;MATCH(BG36,数出表_Excel!$A:$A,0)-1&amp;":U"&amp;MATCH(BG36,数出表_Excel!$A:$A,0)-1&amp;"")), 0)),
 "")=0,"",
IF(BB38=100,
IFERROR(
INDEX(INDIRECT("数出表_Excel!"&amp;BB120&amp;MATCH(BG36,数出表_Excel!$A:$A,0)-1+2&amp;":U"&amp;MATCH(BG36,数出表_Excel!$A:$A,0)-1+2&amp;""),
 1,
 MATCH(TRUE, ISNUMBER(--INDIRECT("数出表_Excel!"&amp;BB120&amp;MATCH(BG36,数出表_Excel!$A:$A,0)-1+2&amp;":U"&amp;MATCH(BG36,数出表_Excel!$A:$A,0)-1+2&amp;"")), 0)),
 "")
+IFERROR(
INDEX(INDIRECT("数出表_Excel!"&amp;BB120&amp;MATCH(BG36,数出表_Excel!$A:$A,0)-1&amp;":U"&amp;MATCH(BG36,数出表_Excel!$A:$A,0)-1&amp;""),
 1,
 MATCH(TRUE, ISNUMBER(--INDIRECT("数出表_Excel!"&amp;BB120&amp;MATCH(BG36,数出表_Excel!$A:$A,0)-1&amp;":U"&amp;MATCH(BG36,数出表_Excel!$A:$A,0)-1&amp;"")), 0)),
 ""),
IFERROR(
INDEX(INDIRECT("数出表_Excel!"&amp;BB120&amp;MATCH(BG36,数出表_Excel!$A:$A,0)-1&amp;":U"&amp;MATCH(BG36,数出表_Excel!$A:$A,0)-1&amp;""),
 1,
 MATCH(TRUE, ISNUMBER(--INDIRECT("数出表_Excel!"&amp;BB120&amp;MATCH(BG36,数出表_Excel!$A:$A,0)-1&amp;":U"&amp;MATCH(BG36,数出表_Excel!$A:$A,0)-1&amp;"")), 0)),
 ""))),"")</f>
        <v/>
      </c>
      <c r="BD123" s="253"/>
      <c r="BE123" s="255" t="str" cm="1">
        <f t="array" aca="1" ref="BE123" ca="1">IF(BC79&lt;&gt;"",
IF(IFERROR(
INDEX(INDIRECT("数出表_Excel!B"&amp;MATCH(BG36,数出表_Excel!$A:$A,0)&amp;":U"&amp;MATCH(BG36,数出表_Excel!$A:$A,0)&amp;""),
 1,BB121-1),
 "")=0,"",
IFERROR(
INDEX(INDIRECT("数出表_Excel!B"&amp;MATCH(BG36,数出表_Excel!$A:$A,0)&amp;":U"&amp;MATCH(BG36,数出表_Excel!$A:$A,0)&amp;""),
 1,BB121-1),
 "")),"")</f>
        <v/>
      </c>
      <c r="BF123" s="253"/>
      <c r="BG123" s="97" t="e" cm="1">
        <f t="array" aca="1" ref="BG123" ca="1">IF(INDIRECT(""&amp;SUBSTITUTE(ADDRESS(1,
COLUMN()-5,1),"1","")&amp;ROW()-85&amp;"")=100,
IF(BC120&lt;&gt;"",
IF(IFERROR(
INDEX(INDIRECT("'数出表_Excel（アレルギー入力）'!"&amp;BB122&amp;MATCH(BG36,'数出表_Excel（アレルギー入力）'!$A:$A,0)+1&amp;":"&amp;BG124&amp;MATCH(BG36,'数出表_Excel（アレルギー入力）'!$A:$A,0)+1&amp;""),
 1,
MATCH(TRUE,INDIRECT("'数出表_Excel（アレルギー入力）'!"&amp;BB122&amp;MATCH(BG36,'数出表_Excel（アレルギー入力）'!$A:$A,0)+1&amp;":"&amp;BG124&amp;MATCH(BG36,'数出表_Excel（アレルギー入力）'!$A:$A,0)+1&amp;"")&lt;&gt;"",0)+1),
 "")&lt;&gt;0,
IF(IFERROR(
INDEX(INDIRECT("'数出表_Excel（アレルギー入力）'!"&amp;BB122&amp;MATCH(BG36,'数出表_Excel（アレルギー入力）'!$A:$A,0)+1&amp;":"&amp;BG124&amp;MATCH(BG36,'数出表_Excel（アレルギー入力）'!$A:$A,0)+1&amp;""),
 1,
MATCH(TRUE,INDIRECT("'数出表_Excel（アレルギー入力）'!"&amp;BB122&amp;MATCH(BG36,'数出表_Excel（アレルギー入力）'!$A:$A,0)+1&amp;":"&amp;BG124&amp;MATCH(BG36,'数出表_Excel（アレルギー入力）'!$A:$A,0)+1&amp;"")&lt;&gt;"",0)+1),
 "")="",
IFERROR(
INDEX(INDIRECT("'数出表_Excel（アレルギー入力）'!"&amp;BB122&amp;MATCH(BG36,'数出表_Excel（アレルギー入力）'!$A:$A,0)+1&amp;":"&amp;BG124&amp;MATCH(BG36,'数出表_Excel（アレルギー入力）'!$A:$A,0)+1&amp;""),
 1,
MATCH(TRUE,INDIRECT("'数出表_Excel（アレルギー入力）'!"&amp;BB122&amp;MATCH(BG36,'数出表_Excel（アレルギー入力）'!$A:$A,0)+1&amp;":"&amp;BG124&amp;MATCH(BG36,'数出表_Excel（アレルギー入力）'!$A:$A,0)+1&amp;"")&lt;&gt;"",0)+1),
 ""),
IFERROR(
INDEX(INDIRECT("'数出表_Excel（アレルギー入力）'!"&amp;BB122&amp;MATCH(BG36,'数出表_Excel（アレルギー入力）'!$A:$A,0)+1&amp;":"&amp;BG124&amp;MATCH(BG36,'数出表_Excel（アレルギー入力）'!$A:$A,0)+1&amp;""),
 1,
MATCH(TRUE,INDIRECT("'数出表_Excel（アレルギー入力）'!"&amp;BB122&amp;MATCH(BG36,'数出表_Excel（アレルギー入力）'!$A:$A,0)+1&amp;":"&amp;BG124&amp;MATCH(BG36,'数出表_Excel（アレルギー入力）'!$A:$A,0)+1&amp;"")&lt;&gt;"",0)+1),
 "")),0),""),0)</f>
        <v>#VALUE!</v>
      </c>
      <c r="BJ123" s="86"/>
      <c r="BK123" s="252" t="str" cm="1">
        <f t="array" aca="1" ref="BK123" ca="1">IF(BK121&lt;&gt;"",
IF(IFERROR(
INDEX(INDIRECT("数出表_Excel!"&amp;BJ120&amp;MATCH(BO36,数出表_Excel!$A:$A,0)-1&amp;":U"&amp;MATCH(BO36,数出表_Excel!$A:$A,0)-1&amp;""),
 1,
 MATCH(TRUE, ISNUMBER(--INDIRECT("数出表_Excel!"&amp;BJ120&amp;MATCH(BO36,数出表_Excel!$A:$A,0)-1&amp;":U"&amp;MATCH(BO36,数出表_Excel!$A:$A,0)-1&amp;"")), 0)),
 "")=0,"",
IF(BJ38=100,
IFERROR(
INDEX(INDIRECT("数出表_Excel!"&amp;BJ120&amp;MATCH(BO36,数出表_Excel!$A:$A,0)-1+2&amp;":U"&amp;MATCH(BO36,数出表_Excel!$A:$A,0)-1+2&amp;""),
 1,
 MATCH(TRUE, ISNUMBER(--INDIRECT("数出表_Excel!"&amp;BJ120&amp;MATCH(BO36,数出表_Excel!$A:$A,0)-1+2&amp;":U"&amp;MATCH(BO36,数出表_Excel!$A:$A,0)-1+2&amp;"")), 0)),
 "")
+IFERROR(
INDEX(INDIRECT("数出表_Excel!"&amp;BJ120&amp;MATCH(BO36,数出表_Excel!$A:$A,0)-1&amp;":U"&amp;MATCH(BO36,数出表_Excel!$A:$A,0)-1&amp;""),
 1,
 MATCH(TRUE, ISNUMBER(--INDIRECT("数出表_Excel!"&amp;BJ120&amp;MATCH(BO36,数出表_Excel!$A:$A,0)-1&amp;":U"&amp;MATCH(BO36,数出表_Excel!$A:$A,0)-1&amp;"")), 0)),
 ""),
IFERROR(
INDEX(INDIRECT("数出表_Excel!"&amp;BJ120&amp;MATCH(BO36,数出表_Excel!$A:$A,0)-1&amp;":U"&amp;MATCH(BO36,数出表_Excel!$A:$A,0)-1&amp;""),
 1,
 MATCH(TRUE, ISNUMBER(--INDIRECT("数出表_Excel!"&amp;BJ120&amp;MATCH(BO36,数出表_Excel!$A:$A,0)-1&amp;":U"&amp;MATCH(BO36,数出表_Excel!$A:$A,0)-1&amp;"")), 0)),
 ""))),"")</f>
        <v/>
      </c>
      <c r="BL123" s="253"/>
      <c r="BM123" s="255" t="str" cm="1">
        <f t="array" aca="1" ref="BM123" ca="1">IF(BK79&lt;&gt;"",
IF(IFERROR(
INDEX(INDIRECT("数出表_Excel!B"&amp;MATCH(BO36,数出表_Excel!$A:$A,0)&amp;":U"&amp;MATCH(BO36,数出表_Excel!$A:$A,0)&amp;""),
 1,BJ121-1),
 "")=0,"",
IFERROR(
INDEX(INDIRECT("数出表_Excel!B"&amp;MATCH(BO36,数出表_Excel!$A:$A,0)&amp;":U"&amp;MATCH(BO36,数出表_Excel!$A:$A,0)&amp;""),
 1,BJ121-1),
 "")),"")</f>
        <v/>
      </c>
      <c r="BN123" s="253"/>
      <c r="BO123" s="97" t="e" cm="1">
        <f t="array" aca="1" ref="BO123" ca="1">IF(INDIRECT(""&amp;SUBSTITUTE(ADDRESS(1,
COLUMN()-5,1),"1","")&amp;ROW()-85&amp;"")=100,
IF(BK120&lt;&gt;"",
IF(IFERROR(
INDEX(INDIRECT("'数出表_Excel（アレルギー入力）'!"&amp;BJ122&amp;MATCH(BO36,'数出表_Excel（アレルギー入力）'!$A:$A,0)+1&amp;":"&amp;BO124&amp;MATCH(BO36,'数出表_Excel（アレルギー入力）'!$A:$A,0)+1&amp;""),
 1,
MATCH(TRUE,INDIRECT("'数出表_Excel（アレルギー入力）'!"&amp;BJ122&amp;MATCH(BO36,'数出表_Excel（アレルギー入力）'!$A:$A,0)+1&amp;":"&amp;BO124&amp;MATCH(BO36,'数出表_Excel（アレルギー入力）'!$A:$A,0)+1&amp;"")&lt;&gt;"",0)+1),
 "")&lt;&gt;0,
IF(IFERROR(
INDEX(INDIRECT("'数出表_Excel（アレルギー入力）'!"&amp;BJ122&amp;MATCH(BO36,'数出表_Excel（アレルギー入力）'!$A:$A,0)+1&amp;":"&amp;BO124&amp;MATCH(BO36,'数出表_Excel（アレルギー入力）'!$A:$A,0)+1&amp;""),
 1,
MATCH(TRUE,INDIRECT("'数出表_Excel（アレルギー入力）'!"&amp;BJ122&amp;MATCH(BO36,'数出表_Excel（アレルギー入力）'!$A:$A,0)+1&amp;":"&amp;BO124&amp;MATCH(BO36,'数出表_Excel（アレルギー入力）'!$A:$A,0)+1&amp;"")&lt;&gt;"",0)+1),
 "")="",
IFERROR(
INDEX(INDIRECT("'数出表_Excel（アレルギー入力）'!"&amp;BJ122&amp;MATCH(BO36,'数出表_Excel（アレルギー入力）'!$A:$A,0)+1&amp;":"&amp;BO124&amp;MATCH(BO36,'数出表_Excel（アレルギー入力）'!$A:$A,0)+1&amp;""),
 1,
MATCH(TRUE,INDIRECT("'数出表_Excel（アレルギー入力）'!"&amp;BJ122&amp;MATCH(BO36,'数出表_Excel（アレルギー入力）'!$A:$A,0)+1&amp;":"&amp;BO124&amp;MATCH(BO36,'数出表_Excel（アレルギー入力）'!$A:$A,0)+1&amp;"")&lt;&gt;"",0)+1),
 ""),
IFERROR(
INDEX(INDIRECT("'数出表_Excel（アレルギー入力）'!"&amp;BJ122&amp;MATCH(BO36,'数出表_Excel（アレルギー入力）'!$A:$A,0)+1&amp;":"&amp;BO124&amp;MATCH(BO36,'数出表_Excel（アレルギー入力）'!$A:$A,0)+1&amp;""),
 1,
MATCH(TRUE,INDIRECT("'数出表_Excel（アレルギー入力）'!"&amp;BJ122&amp;MATCH(BO36,'数出表_Excel（アレルギー入力）'!$A:$A,0)+1&amp;":"&amp;BO124&amp;MATCH(BO36,'数出表_Excel（アレルギー入力）'!$A:$A,0)+1&amp;"")&lt;&gt;"",0)+1),
 "")),0),""),0)</f>
        <v>#VALUE!</v>
      </c>
      <c r="BQ123" s="86"/>
      <c r="BR123" s="252" t="str" cm="1">
        <f t="array" aca="1" ref="BR123" ca="1">IF(BR121&lt;&gt;"",
IF(IFERROR(
INDEX(INDIRECT("数出表_Excel!"&amp;BQ120&amp;MATCH(BV36,数出表_Excel!$A:$A,0)-1&amp;":U"&amp;MATCH(BV36,数出表_Excel!$A:$A,0)-1&amp;""),
 1,
 MATCH(TRUE, ISNUMBER(--INDIRECT("数出表_Excel!"&amp;BQ120&amp;MATCH(BV36,数出表_Excel!$A:$A,0)-1&amp;":U"&amp;MATCH(BV36,数出表_Excel!$A:$A,0)-1&amp;"")), 0)),
 "")=0,"",
IF(BQ38=100,
IFERROR(
INDEX(INDIRECT("数出表_Excel!"&amp;BQ120&amp;MATCH(BV36,数出表_Excel!$A:$A,0)-1+2&amp;":U"&amp;MATCH(BV36,数出表_Excel!$A:$A,0)-1+2&amp;""),
 1,
 MATCH(TRUE, ISNUMBER(--INDIRECT("数出表_Excel!"&amp;BQ120&amp;MATCH(BV36,数出表_Excel!$A:$A,0)-1+2&amp;":U"&amp;MATCH(BV36,数出表_Excel!$A:$A,0)-1+2&amp;"")), 0)),
 "")
+IFERROR(
INDEX(INDIRECT("数出表_Excel!"&amp;BQ120&amp;MATCH(BV36,数出表_Excel!$A:$A,0)-1&amp;":U"&amp;MATCH(BV36,数出表_Excel!$A:$A,0)-1&amp;""),
 1,
 MATCH(TRUE, ISNUMBER(--INDIRECT("数出表_Excel!"&amp;BQ120&amp;MATCH(BV36,数出表_Excel!$A:$A,0)-1&amp;":U"&amp;MATCH(BV36,数出表_Excel!$A:$A,0)-1&amp;"")), 0)),
 ""),
IFERROR(
INDEX(INDIRECT("数出表_Excel!"&amp;BQ120&amp;MATCH(BV36,数出表_Excel!$A:$A,0)-1&amp;":U"&amp;MATCH(BV36,数出表_Excel!$A:$A,0)-1&amp;""),
 1,
 MATCH(TRUE, ISNUMBER(--INDIRECT("数出表_Excel!"&amp;BQ120&amp;MATCH(BV36,数出表_Excel!$A:$A,0)-1&amp;":U"&amp;MATCH(BV36,数出表_Excel!$A:$A,0)-1&amp;"")), 0)),
 ""))),"")</f>
        <v/>
      </c>
      <c r="BS123" s="253"/>
      <c r="BT123" s="255" t="str" cm="1">
        <f t="array" aca="1" ref="BT123" ca="1">IF(BR79&lt;&gt;"",
IF(IFERROR(
INDEX(INDIRECT("数出表_Excel!B"&amp;MATCH(BV36,数出表_Excel!$A:$A,0)&amp;":U"&amp;MATCH(BV36,数出表_Excel!$A:$A,0)&amp;""),
 1,BQ121-1),
 "")=0,"",
IFERROR(
INDEX(INDIRECT("数出表_Excel!B"&amp;MATCH(BV36,数出表_Excel!$A:$A,0)&amp;":U"&amp;MATCH(BV36,数出表_Excel!$A:$A,0)&amp;""),
 1,BQ121-1),
 "")),"")</f>
        <v/>
      </c>
      <c r="BU123" s="253"/>
      <c r="BV123" s="97" t="e" cm="1">
        <f t="array" aca="1" ref="BV123" ca="1">IF(INDIRECT(""&amp;SUBSTITUTE(ADDRESS(1,
COLUMN()-5,1),"1","")&amp;ROW()-85&amp;"")=100,
IF(BR120&lt;&gt;"",
IF(IFERROR(
INDEX(INDIRECT("'数出表_Excel（アレルギー入力）'!"&amp;BQ122&amp;MATCH(BV36,'数出表_Excel（アレルギー入力）'!$A:$A,0)+1&amp;":"&amp;BV124&amp;MATCH(BV36,'数出表_Excel（アレルギー入力）'!$A:$A,0)+1&amp;""),
 1,
MATCH(TRUE,INDIRECT("'数出表_Excel（アレルギー入力）'!"&amp;BQ122&amp;MATCH(BV36,'数出表_Excel（アレルギー入力）'!$A:$A,0)+1&amp;":"&amp;BV124&amp;MATCH(BV36,'数出表_Excel（アレルギー入力）'!$A:$A,0)+1&amp;"")&lt;&gt;"",0)+1),
 "")&lt;&gt;0,
IF(IFERROR(
INDEX(INDIRECT("'数出表_Excel（アレルギー入力）'!"&amp;BQ122&amp;MATCH(BV36,'数出表_Excel（アレルギー入力）'!$A:$A,0)+1&amp;":"&amp;BV124&amp;MATCH(BV36,'数出表_Excel（アレルギー入力）'!$A:$A,0)+1&amp;""),
 1,
MATCH(TRUE,INDIRECT("'数出表_Excel（アレルギー入力）'!"&amp;BQ122&amp;MATCH(BV36,'数出表_Excel（アレルギー入力）'!$A:$A,0)+1&amp;":"&amp;BV124&amp;MATCH(BV36,'数出表_Excel（アレルギー入力）'!$A:$A,0)+1&amp;"")&lt;&gt;"",0)+1),
 "")="",
IFERROR(
INDEX(INDIRECT("'数出表_Excel（アレルギー入力）'!"&amp;BQ122&amp;MATCH(BV36,'数出表_Excel（アレルギー入力）'!$A:$A,0)+1&amp;":"&amp;BV124&amp;MATCH(BV36,'数出表_Excel（アレルギー入力）'!$A:$A,0)+1&amp;""),
 1,
MATCH(TRUE,INDIRECT("'数出表_Excel（アレルギー入力）'!"&amp;BQ122&amp;MATCH(BV36,'数出表_Excel（アレルギー入力）'!$A:$A,0)+1&amp;":"&amp;BV124&amp;MATCH(BV36,'数出表_Excel（アレルギー入力）'!$A:$A,0)+1&amp;"")&lt;&gt;"",0)+1),
 ""),
IFERROR(
INDEX(INDIRECT("'数出表_Excel（アレルギー入力）'!"&amp;BQ122&amp;MATCH(BV36,'数出表_Excel（アレルギー入力）'!$A:$A,0)+1&amp;":"&amp;BV124&amp;MATCH(BV36,'数出表_Excel（アレルギー入力）'!$A:$A,0)+1&amp;""),
 1,
MATCH(TRUE,INDIRECT("'数出表_Excel（アレルギー入力）'!"&amp;BQ122&amp;MATCH(BV36,'数出表_Excel（アレルギー入力）'!$A:$A,0)+1&amp;":"&amp;BV124&amp;MATCH(BV36,'数出表_Excel（アレルギー入力）'!$A:$A,0)+1&amp;"")&lt;&gt;"",0)+1),
 "")),0),""),0)</f>
        <v>#VALUE!</v>
      </c>
      <c r="BY123" s="86"/>
      <c r="BZ123" s="252" t="str" cm="1">
        <f t="array" aca="1" ref="BZ123" ca="1">IF(BZ121&lt;&gt;"",
IF(IFERROR(
INDEX(INDIRECT("数出表_Excel!"&amp;BY120&amp;MATCH(CD36,数出表_Excel!$A:$A,0)-1&amp;":U"&amp;MATCH(CD36,数出表_Excel!$A:$A,0)-1&amp;""),
 1,
 MATCH(TRUE, ISNUMBER(--INDIRECT("数出表_Excel!"&amp;BY120&amp;MATCH(CD36,数出表_Excel!$A:$A,0)-1&amp;":U"&amp;MATCH(CD36,数出表_Excel!$A:$A,0)-1&amp;"")), 0)),
 "")=0,"",
IF(BY38=100,
IFERROR(
INDEX(INDIRECT("数出表_Excel!"&amp;BY120&amp;MATCH(CD36,数出表_Excel!$A:$A,0)-1+2&amp;":U"&amp;MATCH(CD36,数出表_Excel!$A:$A,0)-1+2&amp;""),
 1,
 MATCH(TRUE, ISNUMBER(--INDIRECT("数出表_Excel!"&amp;BY120&amp;MATCH(CD36,数出表_Excel!$A:$A,0)-1+2&amp;":U"&amp;MATCH(CD36,数出表_Excel!$A:$A,0)-1+2&amp;"")), 0)),
 "")
+IFERROR(
INDEX(INDIRECT("数出表_Excel!"&amp;BY120&amp;MATCH(CD36,数出表_Excel!$A:$A,0)-1&amp;":U"&amp;MATCH(CD36,数出表_Excel!$A:$A,0)-1&amp;""),
 1,
 MATCH(TRUE, ISNUMBER(--INDIRECT("数出表_Excel!"&amp;BY120&amp;MATCH(CD36,数出表_Excel!$A:$A,0)-1&amp;":U"&amp;MATCH(CD36,数出表_Excel!$A:$A,0)-1&amp;"")), 0)),
 ""),
IFERROR(
INDEX(INDIRECT("数出表_Excel!"&amp;BY120&amp;MATCH(CD36,数出表_Excel!$A:$A,0)-1&amp;":U"&amp;MATCH(CD36,数出表_Excel!$A:$A,0)-1&amp;""),
 1,
 MATCH(TRUE, ISNUMBER(--INDIRECT("数出表_Excel!"&amp;BY120&amp;MATCH(CD36,数出表_Excel!$A:$A,0)-1&amp;":U"&amp;MATCH(CD36,数出表_Excel!$A:$A,0)-1&amp;"")), 0)),
 ""))),"")</f>
        <v/>
      </c>
      <c r="CA123" s="253"/>
      <c r="CB123" s="255" t="str" cm="1">
        <f t="array" aca="1" ref="CB123" ca="1">IF(BZ79&lt;&gt;"",
IF(IFERROR(
INDEX(INDIRECT("数出表_Excel!B"&amp;MATCH(CD36,数出表_Excel!$A:$A,0)&amp;":U"&amp;MATCH(CD36,数出表_Excel!$A:$A,0)&amp;""),
 1,BY121-1),
 "")=0,"",
IFERROR(
INDEX(INDIRECT("数出表_Excel!B"&amp;MATCH(CD36,数出表_Excel!$A:$A,0)&amp;":U"&amp;MATCH(CD36,数出表_Excel!$A:$A,0)&amp;""),
 1,BY121-1),
 "")),"")</f>
        <v/>
      </c>
      <c r="CC123" s="253"/>
      <c r="CD123" s="97" t="e" cm="1">
        <f t="array" aca="1" ref="CD123" ca="1">IF(INDIRECT(""&amp;SUBSTITUTE(ADDRESS(1,
COLUMN()-5,1),"1","")&amp;ROW()-85&amp;"")=100,
IF(BZ120&lt;&gt;"",
IF(IFERROR(
INDEX(INDIRECT("'数出表_Excel（アレルギー入力）'!"&amp;BY122&amp;MATCH(CD36,'数出表_Excel（アレルギー入力）'!$A:$A,0)+1&amp;":"&amp;CD124&amp;MATCH(CD36,'数出表_Excel（アレルギー入力）'!$A:$A,0)+1&amp;""),
 1,
MATCH(TRUE,INDIRECT("'数出表_Excel（アレルギー入力）'!"&amp;BY122&amp;MATCH(CD36,'数出表_Excel（アレルギー入力）'!$A:$A,0)+1&amp;":"&amp;CD124&amp;MATCH(CD36,'数出表_Excel（アレルギー入力）'!$A:$A,0)+1&amp;"")&lt;&gt;"",0)+1),
 "")&lt;&gt;0,
IF(IFERROR(
INDEX(INDIRECT("'数出表_Excel（アレルギー入力）'!"&amp;BY122&amp;MATCH(CD36,'数出表_Excel（アレルギー入力）'!$A:$A,0)+1&amp;":"&amp;CD124&amp;MATCH(CD36,'数出表_Excel（アレルギー入力）'!$A:$A,0)+1&amp;""),
 1,
MATCH(TRUE,INDIRECT("'数出表_Excel（アレルギー入力）'!"&amp;BY122&amp;MATCH(CD36,'数出表_Excel（アレルギー入力）'!$A:$A,0)+1&amp;":"&amp;CD124&amp;MATCH(CD36,'数出表_Excel（アレルギー入力）'!$A:$A,0)+1&amp;"")&lt;&gt;"",0)+1),
 "")="",
IFERROR(
INDEX(INDIRECT("'数出表_Excel（アレルギー入力）'!"&amp;BY122&amp;MATCH(CD36,'数出表_Excel（アレルギー入力）'!$A:$A,0)+1&amp;":"&amp;CD124&amp;MATCH(CD36,'数出表_Excel（アレルギー入力）'!$A:$A,0)+1&amp;""),
 1,
MATCH(TRUE,INDIRECT("'数出表_Excel（アレルギー入力）'!"&amp;BY122&amp;MATCH(CD36,'数出表_Excel（アレルギー入力）'!$A:$A,0)+1&amp;":"&amp;CD124&amp;MATCH(CD36,'数出表_Excel（アレルギー入力）'!$A:$A,0)+1&amp;"")&lt;&gt;"",0)+1),
 ""),
IFERROR(
INDEX(INDIRECT("'数出表_Excel（アレルギー入力）'!"&amp;BY122&amp;MATCH(CD36,'数出表_Excel（アレルギー入力）'!$A:$A,0)+1&amp;":"&amp;CD124&amp;MATCH(CD36,'数出表_Excel（アレルギー入力）'!$A:$A,0)+1&amp;""),
 1,
MATCH(TRUE,INDIRECT("'数出表_Excel（アレルギー入力）'!"&amp;BY122&amp;MATCH(CD36,'数出表_Excel（アレルギー入力）'!$A:$A,0)+1&amp;":"&amp;CD124&amp;MATCH(CD36,'数出表_Excel（アレルギー入力）'!$A:$A,0)+1&amp;"")&lt;&gt;"",0)+1),
 "")),0),""),0)</f>
        <v>#VALUE!</v>
      </c>
      <c r="CF123" s="86"/>
      <c r="CG123" s="252" t="str" cm="1">
        <f t="array" aca="1" ref="CG123" ca="1">IF(CG121&lt;&gt;"",
IF(IFERROR(
INDEX(INDIRECT("数出表_Excel!"&amp;CF120&amp;MATCH(CK36,数出表_Excel!$A:$A,0)-1&amp;":U"&amp;MATCH(CK36,数出表_Excel!$A:$A,0)-1&amp;""),
 1,
 MATCH(TRUE, ISNUMBER(--INDIRECT("数出表_Excel!"&amp;CF120&amp;MATCH(CK36,数出表_Excel!$A:$A,0)-1&amp;":U"&amp;MATCH(CK36,数出表_Excel!$A:$A,0)-1&amp;"")), 0)),
 "")=0,"",
IF(CF38=100,
IFERROR(
INDEX(INDIRECT("数出表_Excel!"&amp;CF120&amp;MATCH(CK36,数出表_Excel!$A:$A,0)-1+2&amp;":U"&amp;MATCH(CK36,数出表_Excel!$A:$A,0)-1+2&amp;""),
 1,
 MATCH(TRUE, ISNUMBER(--INDIRECT("数出表_Excel!"&amp;CF120&amp;MATCH(CK36,数出表_Excel!$A:$A,0)-1+2&amp;":U"&amp;MATCH(CK36,数出表_Excel!$A:$A,0)-1+2&amp;"")), 0)),
 "")
+IFERROR(
INDEX(INDIRECT("数出表_Excel!"&amp;CF120&amp;MATCH(CK36,数出表_Excel!$A:$A,0)-1&amp;":U"&amp;MATCH(CK36,数出表_Excel!$A:$A,0)-1&amp;""),
 1,
 MATCH(TRUE, ISNUMBER(--INDIRECT("数出表_Excel!"&amp;CF120&amp;MATCH(CK36,数出表_Excel!$A:$A,0)-1&amp;":U"&amp;MATCH(CK36,数出表_Excel!$A:$A,0)-1&amp;"")), 0)),
 ""),
IFERROR(
INDEX(INDIRECT("数出表_Excel!"&amp;CF120&amp;MATCH(CK36,数出表_Excel!$A:$A,0)-1&amp;":U"&amp;MATCH(CK36,数出表_Excel!$A:$A,0)-1&amp;""),
 1,
 MATCH(TRUE, ISNUMBER(--INDIRECT("数出表_Excel!"&amp;CF120&amp;MATCH(CK36,数出表_Excel!$A:$A,0)-1&amp;":U"&amp;MATCH(CK36,数出表_Excel!$A:$A,0)-1&amp;"")), 0)),
 ""))),"")</f>
        <v/>
      </c>
      <c r="CH123" s="253"/>
      <c r="CI123" s="255" t="str" cm="1">
        <f t="array" aca="1" ref="CI123" ca="1">IF(CG79&lt;&gt;"",
IF(IFERROR(
INDEX(INDIRECT("数出表_Excel!B"&amp;MATCH(CK36,数出表_Excel!$A:$A,0)&amp;":U"&amp;MATCH(CK36,数出表_Excel!$A:$A,0)&amp;""),
 1,CF121-1),
 "")=0,"",
IFERROR(
INDEX(INDIRECT("数出表_Excel!B"&amp;MATCH(CK36,数出表_Excel!$A:$A,0)&amp;":U"&amp;MATCH(CK36,数出表_Excel!$A:$A,0)&amp;""),
 1,CF121-1),
 "")),"")</f>
        <v/>
      </c>
      <c r="CJ123" s="253"/>
      <c r="CK123" s="97" t="e" cm="1">
        <f t="array" aca="1" ref="CK123" ca="1">IF(INDIRECT(""&amp;SUBSTITUTE(ADDRESS(1,
COLUMN()-5,1),"1","")&amp;ROW()-85&amp;"")=100,
IF(CG120&lt;&gt;"",
IF(IFERROR(
INDEX(INDIRECT("'数出表_Excel（アレルギー入力）'!"&amp;CF122&amp;MATCH(CK36,'数出表_Excel（アレルギー入力）'!$A:$A,0)+1&amp;":"&amp;CK124&amp;MATCH(CK36,'数出表_Excel（アレルギー入力）'!$A:$A,0)+1&amp;""),
 1,
MATCH(TRUE,INDIRECT("'数出表_Excel（アレルギー入力）'!"&amp;CF122&amp;MATCH(CK36,'数出表_Excel（アレルギー入力）'!$A:$A,0)+1&amp;":"&amp;CK124&amp;MATCH(CK36,'数出表_Excel（アレルギー入力）'!$A:$A,0)+1&amp;"")&lt;&gt;"",0)+1),
 "")&lt;&gt;0,
IF(IFERROR(
INDEX(INDIRECT("'数出表_Excel（アレルギー入力）'!"&amp;CF122&amp;MATCH(CK36,'数出表_Excel（アレルギー入力）'!$A:$A,0)+1&amp;":"&amp;CK124&amp;MATCH(CK36,'数出表_Excel（アレルギー入力）'!$A:$A,0)+1&amp;""),
 1,
MATCH(TRUE,INDIRECT("'数出表_Excel（アレルギー入力）'!"&amp;CF122&amp;MATCH(CK36,'数出表_Excel（アレルギー入力）'!$A:$A,0)+1&amp;":"&amp;CK124&amp;MATCH(CK36,'数出表_Excel（アレルギー入力）'!$A:$A,0)+1&amp;"")&lt;&gt;"",0)+1),
 "")="",
IFERROR(
INDEX(INDIRECT("'数出表_Excel（アレルギー入力）'!"&amp;CF122&amp;MATCH(CK36,'数出表_Excel（アレルギー入力）'!$A:$A,0)+1&amp;":"&amp;CK124&amp;MATCH(CK36,'数出表_Excel（アレルギー入力）'!$A:$A,0)+1&amp;""),
 1,
MATCH(TRUE,INDIRECT("'数出表_Excel（アレルギー入力）'!"&amp;CF122&amp;MATCH(CK36,'数出表_Excel（アレルギー入力）'!$A:$A,0)+1&amp;":"&amp;CK124&amp;MATCH(CK36,'数出表_Excel（アレルギー入力）'!$A:$A,0)+1&amp;"")&lt;&gt;"",0)+1),
 ""),
IFERROR(
INDEX(INDIRECT("'数出表_Excel（アレルギー入力）'!"&amp;CF122&amp;MATCH(CK36,'数出表_Excel（アレルギー入力）'!$A:$A,0)+1&amp;":"&amp;CK124&amp;MATCH(CK36,'数出表_Excel（アレルギー入力）'!$A:$A,0)+1&amp;""),
 1,
MATCH(TRUE,INDIRECT("'数出表_Excel（アレルギー入力）'!"&amp;CF122&amp;MATCH(CK36,'数出表_Excel（アレルギー入力）'!$A:$A,0)+1&amp;":"&amp;CK124&amp;MATCH(CK36,'数出表_Excel（アレルギー入力）'!$A:$A,0)+1&amp;"")&lt;&gt;"",0)+1),
 "")),0),""),0)</f>
        <v>#VALUE!</v>
      </c>
      <c r="CN123" s="86"/>
      <c r="CO123" s="252" t="str" cm="1">
        <f t="array" aca="1" ref="CO123" ca="1">IF(CO121&lt;&gt;"",
IF(IFERROR(
INDEX(INDIRECT("数出表_Excel!"&amp;CN120&amp;MATCH(CS36,数出表_Excel!$A:$A,0)-1&amp;":U"&amp;MATCH(CS36,数出表_Excel!$A:$A,0)-1&amp;""),
 1,
 MATCH(TRUE, ISNUMBER(--INDIRECT("数出表_Excel!"&amp;CN120&amp;MATCH(CS36,数出表_Excel!$A:$A,0)-1&amp;":U"&amp;MATCH(CS36,数出表_Excel!$A:$A,0)-1&amp;"")), 0)),
 "")=0,"",
IF(CN38=100,
IFERROR(
INDEX(INDIRECT("数出表_Excel!"&amp;CN120&amp;MATCH(CS36,数出表_Excel!$A:$A,0)-1+2&amp;":U"&amp;MATCH(CS36,数出表_Excel!$A:$A,0)-1+2&amp;""),
 1,
 MATCH(TRUE, ISNUMBER(--INDIRECT("数出表_Excel!"&amp;CN120&amp;MATCH(CS36,数出表_Excel!$A:$A,0)-1+2&amp;":U"&amp;MATCH(CS36,数出表_Excel!$A:$A,0)-1+2&amp;"")), 0)),
 "")
+IFERROR(
INDEX(INDIRECT("数出表_Excel!"&amp;CN120&amp;MATCH(CS36,数出表_Excel!$A:$A,0)-1&amp;":U"&amp;MATCH(CS36,数出表_Excel!$A:$A,0)-1&amp;""),
 1,
 MATCH(TRUE, ISNUMBER(--INDIRECT("数出表_Excel!"&amp;CN120&amp;MATCH(CS36,数出表_Excel!$A:$A,0)-1&amp;":U"&amp;MATCH(CS36,数出表_Excel!$A:$A,0)-1&amp;"")), 0)),
 ""),
IFERROR(
INDEX(INDIRECT("数出表_Excel!"&amp;CN120&amp;MATCH(CS36,数出表_Excel!$A:$A,0)-1&amp;":U"&amp;MATCH(CS36,数出表_Excel!$A:$A,0)-1&amp;""),
 1,
 MATCH(TRUE, ISNUMBER(--INDIRECT("数出表_Excel!"&amp;CN120&amp;MATCH(CS36,数出表_Excel!$A:$A,0)-1&amp;":U"&amp;MATCH(CS36,数出表_Excel!$A:$A,0)-1&amp;"")), 0)),
 ""))),"")</f>
        <v/>
      </c>
      <c r="CP123" s="253"/>
      <c r="CQ123" s="255" t="str" cm="1">
        <f t="array" aca="1" ref="CQ123" ca="1">IF(CO79&lt;&gt;"",
IF(IFERROR(
INDEX(INDIRECT("数出表_Excel!B"&amp;MATCH(CS36,数出表_Excel!$A:$A,0)&amp;":U"&amp;MATCH(CS36,数出表_Excel!$A:$A,0)&amp;""),
 1,CN121-1),
 "")=0,"",
IFERROR(
INDEX(INDIRECT("数出表_Excel!B"&amp;MATCH(CS36,数出表_Excel!$A:$A,0)&amp;":U"&amp;MATCH(CS36,数出表_Excel!$A:$A,0)&amp;""),
 1,CN121-1),
 "")),"")</f>
        <v/>
      </c>
      <c r="CR123" s="253"/>
      <c r="CS123" s="97" t="e" cm="1">
        <f t="array" aca="1" ref="CS123" ca="1">IF(INDIRECT(""&amp;SUBSTITUTE(ADDRESS(1,
COLUMN()-5,1),"1","")&amp;ROW()-85&amp;"")=100,
IF(CO120&lt;&gt;"",
IF(IFERROR(
INDEX(INDIRECT("'数出表_Excel（アレルギー入力）'!"&amp;CN122&amp;MATCH(CS36,'数出表_Excel（アレルギー入力）'!$A:$A,0)+1&amp;":"&amp;CS124&amp;MATCH(CS36,'数出表_Excel（アレルギー入力）'!$A:$A,0)+1&amp;""),
 1,
MATCH(TRUE,INDIRECT("'数出表_Excel（アレルギー入力）'!"&amp;CN122&amp;MATCH(CS36,'数出表_Excel（アレルギー入力）'!$A:$A,0)+1&amp;":"&amp;CS124&amp;MATCH(CS36,'数出表_Excel（アレルギー入力）'!$A:$A,0)+1&amp;"")&lt;&gt;"",0)+1),
 "")&lt;&gt;0,
IF(IFERROR(
INDEX(INDIRECT("'数出表_Excel（アレルギー入力）'!"&amp;CN122&amp;MATCH(CS36,'数出表_Excel（アレルギー入力）'!$A:$A,0)+1&amp;":"&amp;CS124&amp;MATCH(CS36,'数出表_Excel（アレルギー入力）'!$A:$A,0)+1&amp;""),
 1,
MATCH(TRUE,INDIRECT("'数出表_Excel（アレルギー入力）'!"&amp;CN122&amp;MATCH(CS36,'数出表_Excel（アレルギー入力）'!$A:$A,0)+1&amp;":"&amp;CS124&amp;MATCH(CS36,'数出表_Excel（アレルギー入力）'!$A:$A,0)+1&amp;"")&lt;&gt;"",0)+1),
 "")="",
IFERROR(
INDEX(INDIRECT("'数出表_Excel（アレルギー入力）'!"&amp;CN122&amp;MATCH(CS36,'数出表_Excel（アレルギー入力）'!$A:$A,0)+1&amp;":"&amp;CS124&amp;MATCH(CS36,'数出表_Excel（アレルギー入力）'!$A:$A,0)+1&amp;""),
 1,
MATCH(TRUE,INDIRECT("'数出表_Excel（アレルギー入力）'!"&amp;CN122&amp;MATCH(CS36,'数出表_Excel（アレルギー入力）'!$A:$A,0)+1&amp;":"&amp;CS124&amp;MATCH(CS36,'数出表_Excel（アレルギー入力）'!$A:$A,0)+1&amp;"")&lt;&gt;"",0)+1),
 ""),
IFERROR(
INDEX(INDIRECT("'数出表_Excel（アレルギー入力）'!"&amp;CN122&amp;MATCH(CS36,'数出表_Excel（アレルギー入力）'!$A:$A,0)+1&amp;":"&amp;CS124&amp;MATCH(CS36,'数出表_Excel（アレルギー入力）'!$A:$A,0)+1&amp;""),
 1,
MATCH(TRUE,INDIRECT("'数出表_Excel（アレルギー入力）'!"&amp;CN122&amp;MATCH(CS36,'数出表_Excel（アレルギー入力）'!$A:$A,0)+1&amp;":"&amp;CS124&amp;MATCH(CS36,'数出表_Excel（アレルギー入力）'!$A:$A,0)+1&amp;"")&lt;&gt;"",0)+1),
 "")),0),""),0)</f>
        <v>#VALUE!</v>
      </c>
      <c r="CU123" s="86"/>
      <c r="CV123" s="252" t="str" cm="1">
        <f t="array" aca="1" ref="CV123" ca="1">IF(CV121&lt;&gt;"",
IF(IFERROR(
INDEX(INDIRECT("数出表_Excel!"&amp;CU120&amp;MATCH(CZ36,数出表_Excel!$A:$A,0)-1&amp;":U"&amp;MATCH(CZ36,数出表_Excel!$A:$A,0)-1&amp;""),
 1,
 MATCH(TRUE, ISNUMBER(--INDIRECT("数出表_Excel!"&amp;CU120&amp;MATCH(CZ36,数出表_Excel!$A:$A,0)-1&amp;":U"&amp;MATCH(CZ36,数出表_Excel!$A:$A,0)-1&amp;"")), 0)),
 "")=0,"",
IF(CU38=100,
IFERROR(
INDEX(INDIRECT("数出表_Excel!"&amp;CU120&amp;MATCH(CZ36,数出表_Excel!$A:$A,0)-1+2&amp;":U"&amp;MATCH(CZ36,数出表_Excel!$A:$A,0)-1+2&amp;""),
 1,
 MATCH(TRUE, ISNUMBER(--INDIRECT("数出表_Excel!"&amp;CU120&amp;MATCH(CZ36,数出表_Excel!$A:$A,0)-1+2&amp;":U"&amp;MATCH(CZ36,数出表_Excel!$A:$A,0)-1+2&amp;"")), 0)),
 "")
+IFERROR(
INDEX(INDIRECT("数出表_Excel!"&amp;CU120&amp;MATCH(CZ36,数出表_Excel!$A:$A,0)-1&amp;":U"&amp;MATCH(CZ36,数出表_Excel!$A:$A,0)-1&amp;""),
 1,
 MATCH(TRUE, ISNUMBER(--INDIRECT("数出表_Excel!"&amp;CU120&amp;MATCH(CZ36,数出表_Excel!$A:$A,0)-1&amp;":U"&amp;MATCH(CZ36,数出表_Excel!$A:$A,0)-1&amp;"")), 0)),
 ""),
IFERROR(
INDEX(INDIRECT("数出表_Excel!"&amp;CU120&amp;MATCH(CZ36,数出表_Excel!$A:$A,0)-1&amp;":U"&amp;MATCH(CZ36,数出表_Excel!$A:$A,0)-1&amp;""),
 1,
 MATCH(TRUE, ISNUMBER(--INDIRECT("数出表_Excel!"&amp;CU120&amp;MATCH(CZ36,数出表_Excel!$A:$A,0)-1&amp;":U"&amp;MATCH(CZ36,数出表_Excel!$A:$A,0)-1&amp;"")), 0)),
 ""))),"")</f>
        <v/>
      </c>
      <c r="CW123" s="253"/>
      <c r="CX123" s="255" t="str" cm="1">
        <f t="array" aca="1" ref="CX123" ca="1">IF(CV79&lt;&gt;"",
IF(IFERROR(
INDEX(INDIRECT("数出表_Excel!B"&amp;MATCH(CZ36,数出表_Excel!$A:$A,0)&amp;":U"&amp;MATCH(CZ36,数出表_Excel!$A:$A,0)&amp;""),
 1,CU121-1),
 "")=0,"",
IFERROR(
INDEX(INDIRECT("数出表_Excel!B"&amp;MATCH(CZ36,数出表_Excel!$A:$A,0)&amp;":U"&amp;MATCH(CZ36,数出表_Excel!$A:$A,0)&amp;""),
 1,CU121-1),
 "")),"")</f>
        <v/>
      </c>
      <c r="CY123" s="253"/>
      <c r="CZ123" s="97" t="e" cm="1">
        <f t="array" aca="1" ref="CZ123" ca="1">IF(INDIRECT(""&amp;SUBSTITUTE(ADDRESS(1,
COLUMN()-5,1),"1","")&amp;ROW()-85&amp;"")=100,
IF(CV120&lt;&gt;"",
IF(IFERROR(
INDEX(INDIRECT("'数出表_Excel（アレルギー入力）'!"&amp;CU122&amp;MATCH(CZ36,'数出表_Excel（アレルギー入力）'!$A:$A,0)+1&amp;":"&amp;CZ124&amp;MATCH(CZ36,'数出表_Excel（アレルギー入力）'!$A:$A,0)+1&amp;""),
 1,
MATCH(TRUE,INDIRECT("'数出表_Excel（アレルギー入力）'!"&amp;CU122&amp;MATCH(CZ36,'数出表_Excel（アレルギー入力）'!$A:$A,0)+1&amp;":"&amp;CZ124&amp;MATCH(CZ36,'数出表_Excel（アレルギー入力）'!$A:$A,0)+1&amp;"")&lt;&gt;"",0)+1),
 "")&lt;&gt;0,
IF(IFERROR(
INDEX(INDIRECT("'数出表_Excel（アレルギー入力）'!"&amp;CU122&amp;MATCH(CZ36,'数出表_Excel（アレルギー入力）'!$A:$A,0)+1&amp;":"&amp;CZ124&amp;MATCH(CZ36,'数出表_Excel（アレルギー入力）'!$A:$A,0)+1&amp;""),
 1,
MATCH(TRUE,INDIRECT("'数出表_Excel（アレルギー入力）'!"&amp;CU122&amp;MATCH(CZ36,'数出表_Excel（アレルギー入力）'!$A:$A,0)+1&amp;":"&amp;CZ124&amp;MATCH(CZ36,'数出表_Excel（アレルギー入力）'!$A:$A,0)+1&amp;"")&lt;&gt;"",0)+1),
 "")="",
IFERROR(
INDEX(INDIRECT("'数出表_Excel（アレルギー入力）'!"&amp;CU122&amp;MATCH(CZ36,'数出表_Excel（アレルギー入力）'!$A:$A,0)+1&amp;":"&amp;CZ124&amp;MATCH(CZ36,'数出表_Excel（アレルギー入力）'!$A:$A,0)+1&amp;""),
 1,
MATCH(TRUE,INDIRECT("'数出表_Excel（アレルギー入力）'!"&amp;CU122&amp;MATCH(CZ36,'数出表_Excel（アレルギー入力）'!$A:$A,0)+1&amp;":"&amp;CZ124&amp;MATCH(CZ36,'数出表_Excel（アレルギー入力）'!$A:$A,0)+1&amp;"")&lt;&gt;"",0)+1),
 ""),
IFERROR(
INDEX(INDIRECT("'数出表_Excel（アレルギー入力）'!"&amp;CU122&amp;MATCH(CZ36,'数出表_Excel（アレルギー入力）'!$A:$A,0)+1&amp;":"&amp;CZ124&amp;MATCH(CZ36,'数出表_Excel（アレルギー入力）'!$A:$A,0)+1&amp;""),
 1,
MATCH(TRUE,INDIRECT("'数出表_Excel（アレルギー入力）'!"&amp;CU122&amp;MATCH(CZ36,'数出表_Excel（アレルギー入力）'!$A:$A,0)+1&amp;":"&amp;CZ124&amp;MATCH(CZ36,'数出表_Excel（アレルギー入力）'!$A:$A,0)+1&amp;"")&lt;&gt;"",0)+1),
 "")),0),""),0)</f>
        <v>#VALUE!</v>
      </c>
      <c r="DC123" s="86"/>
      <c r="DD123" s="252" t="str" cm="1">
        <f t="array" aca="1" ref="DD123" ca="1">IF(DD121&lt;&gt;"",
IF(IFERROR(
INDEX(INDIRECT("数出表_Excel!"&amp;DC120&amp;MATCH(DH36,数出表_Excel!$A:$A,0)-1&amp;":U"&amp;MATCH(DH36,数出表_Excel!$A:$A,0)-1&amp;""),
 1,
 MATCH(TRUE, ISNUMBER(--INDIRECT("数出表_Excel!"&amp;DC120&amp;MATCH(DH36,数出表_Excel!$A:$A,0)-1&amp;":U"&amp;MATCH(DH36,数出表_Excel!$A:$A,0)-1&amp;"")), 0)),
 "")=0,"",
IF(DC38=100,
IFERROR(
INDEX(INDIRECT("数出表_Excel!"&amp;DC120&amp;MATCH(DH36,数出表_Excel!$A:$A,0)-1+2&amp;":U"&amp;MATCH(DH36,数出表_Excel!$A:$A,0)-1+2&amp;""),
 1,
 MATCH(TRUE, ISNUMBER(--INDIRECT("数出表_Excel!"&amp;DC120&amp;MATCH(DH36,数出表_Excel!$A:$A,0)-1+2&amp;":U"&amp;MATCH(DH36,数出表_Excel!$A:$A,0)-1+2&amp;"")), 0)),
 "")
+IFERROR(
INDEX(INDIRECT("数出表_Excel!"&amp;DC120&amp;MATCH(DH36,数出表_Excel!$A:$A,0)-1&amp;":U"&amp;MATCH(DH36,数出表_Excel!$A:$A,0)-1&amp;""),
 1,
 MATCH(TRUE, ISNUMBER(--INDIRECT("数出表_Excel!"&amp;DC120&amp;MATCH(DH36,数出表_Excel!$A:$A,0)-1&amp;":U"&amp;MATCH(DH36,数出表_Excel!$A:$A,0)-1&amp;"")), 0)),
 ""),
IFERROR(
INDEX(INDIRECT("数出表_Excel!"&amp;DC120&amp;MATCH(DH36,数出表_Excel!$A:$A,0)-1&amp;":U"&amp;MATCH(DH36,数出表_Excel!$A:$A,0)-1&amp;""),
 1,
 MATCH(TRUE, ISNUMBER(--INDIRECT("数出表_Excel!"&amp;DC120&amp;MATCH(DH36,数出表_Excel!$A:$A,0)-1&amp;":U"&amp;MATCH(DH36,数出表_Excel!$A:$A,0)-1&amp;"")), 0)),
 ""))),"")</f>
        <v/>
      </c>
      <c r="DE123" s="253"/>
      <c r="DF123" s="255" t="str" cm="1">
        <f t="array" aca="1" ref="DF123" ca="1">IF(DD79&lt;&gt;"",
IF(IFERROR(
INDEX(INDIRECT("数出表_Excel!B"&amp;MATCH(DH36,数出表_Excel!$A:$A,0)&amp;":U"&amp;MATCH(DH36,数出表_Excel!$A:$A,0)&amp;""),
 1,DC121-1),
 "")=0,"",
IFERROR(
INDEX(INDIRECT("数出表_Excel!B"&amp;MATCH(DH36,数出表_Excel!$A:$A,0)&amp;":U"&amp;MATCH(DH36,数出表_Excel!$A:$A,0)&amp;""),
 1,DC121-1),
 "")),"")</f>
        <v/>
      </c>
      <c r="DG123" s="253"/>
      <c r="DH123" s="97" t="e" cm="1">
        <f t="array" aca="1" ref="DH123" ca="1">IF(INDIRECT(""&amp;SUBSTITUTE(ADDRESS(1,
COLUMN()-5,1),"1","")&amp;ROW()-85&amp;"")=100,
IF(DD120&lt;&gt;"",
IF(IFERROR(
INDEX(INDIRECT("'数出表_Excel（アレルギー入力）'!"&amp;DC122&amp;MATCH(DH36,'数出表_Excel（アレルギー入力）'!$A:$A,0)+1&amp;":"&amp;DH124&amp;MATCH(DH36,'数出表_Excel（アレルギー入力）'!$A:$A,0)+1&amp;""),
 1,
MATCH(TRUE,INDIRECT("'数出表_Excel（アレルギー入力）'!"&amp;DC122&amp;MATCH(DH36,'数出表_Excel（アレルギー入力）'!$A:$A,0)+1&amp;":"&amp;DH124&amp;MATCH(DH36,'数出表_Excel（アレルギー入力）'!$A:$A,0)+1&amp;"")&lt;&gt;"",0)+1),
 "")&lt;&gt;0,
IF(IFERROR(
INDEX(INDIRECT("'数出表_Excel（アレルギー入力）'!"&amp;DC122&amp;MATCH(DH36,'数出表_Excel（アレルギー入力）'!$A:$A,0)+1&amp;":"&amp;DH124&amp;MATCH(DH36,'数出表_Excel（アレルギー入力）'!$A:$A,0)+1&amp;""),
 1,
MATCH(TRUE,INDIRECT("'数出表_Excel（アレルギー入力）'!"&amp;DC122&amp;MATCH(DH36,'数出表_Excel（アレルギー入力）'!$A:$A,0)+1&amp;":"&amp;DH124&amp;MATCH(DH36,'数出表_Excel（アレルギー入力）'!$A:$A,0)+1&amp;"")&lt;&gt;"",0)+1),
 "")="",
IFERROR(
INDEX(INDIRECT("'数出表_Excel（アレルギー入力）'!"&amp;DC122&amp;MATCH(DH36,'数出表_Excel（アレルギー入力）'!$A:$A,0)+1&amp;":"&amp;DH124&amp;MATCH(DH36,'数出表_Excel（アレルギー入力）'!$A:$A,0)+1&amp;""),
 1,
MATCH(TRUE,INDIRECT("'数出表_Excel（アレルギー入力）'!"&amp;DC122&amp;MATCH(DH36,'数出表_Excel（アレルギー入力）'!$A:$A,0)+1&amp;":"&amp;DH124&amp;MATCH(DH36,'数出表_Excel（アレルギー入力）'!$A:$A,0)+1&amp;"")&lt;&gt;"",0)+1),
 ""),
IFERROR(
INDEX(INDIRECT("'数出表_Excel（アレルギー入力）'!"&amp;DC122&amp;MATCH(DH36,'数出表_Excel（アレルギー入力）'!$A:$A,0)+1&amp;":"&amp;DH124&amp;MATCH(DH36,'数出表_Excel（アレルギー入力）'!$A:$A,0)+1&amp;""),
 1,
MATCH(TRUE,INDIRECT("'数出表_Excel（アレルギー入力）'!"&amp;DC122&amp;MATCH(DH36,'数出表_Excel（アレルギー入力）'!$A:$A,0)+1&amp;":"&amp;DH124&amp;MATCH(DH36,'数出表_Excel（アレルギー入力）'!$A:$A,0)+1&amp;"")&lt;&gt;"",0)+1),
 "")),0),""),0)</f>
        <v>#VALUE!</v>
      </c>
      <c r="DJ123" s="86"/>
      <c r="DK123" s="252" t="str" cm="1">
        <f t="array" aca="1" ref="DK123" ca="1">IF(DK121&lt;&gt;"",
IF(IFERROR(
INDEX(INDIRECT("数出表_Excel!"&amp;DJ120&amp;MATCH(DO36,数出表_Excel!$A:$A,0)-1&amp;":U"&amp;MATCH(DO36,数出表_Excel!$A:$A,0)-1&amp;""),
 1,
 MATCH(TRUE, ISNUMBER(--INDIRECT("数出表_Excel!"&amp;DJ120&amp;MATCH(DO36,数出表_Excel!$A:$A,0)-1&amp;":U"&amp;MATCH(DO36,数出表_Excel!$A:$A,0)-1&amp;"")), 0)),
 "")=0,"",
IF(DJ38=100,
IFERROR(
INDEX(INDIRECT("数出表_Excel!"&amp;DJ120&amp;MATCH(DO36,数出表_Excel!$A:$A,0)-1+2&amp;":U"&amp;MATCH(DO36,数出表_Excel!$A:$A,0)-1+2&amp;""),
 1,
 MATCH(TRUE, ISNUMBER(--INDIRECT("数出表_Excel!"&amp;DJ120&amp;MATCH(DO36,数出表_Excel!$A:$A,0)-1+2&amp;":U"&amp;MATCH(DO36,数出表_Excel!$A:$A,0)-1+2&amp;"")), 0)),
 "")
+IFERROR(
INDEX(INDIRECT("数出表_Excel!"&amp;DJ120&amp;MATCH(DO36,数出表_Excel!$A:$A,0)-1&amp;":U"&amp;MATCH(DO36,数出表_Excel!$A:$A,0)-1&amp;""),
 1,
 MATCH(TRUE, ISNUMBER(--INDIRECT("数出表_Excel!"&amp;DJ120&amp;MATCH(DO36,数出表_Excel!$A:$A,0)-1&amp;":U"&amp;MATCH(DO36,数出表_Excel!$A:$A,0)-1&amp;"")), 0)),
 ""),
IFERROR(
INDEX(INDIRECT("数出表_Excel!"&amp;DJ120&amp;MATCH(DO36,数出表_Excel!$A:$A,0)-1&amp;":U"&amp;MATCH(DO36,数出表_Excel!$A:$A,0)-1&amp;""),
 1,
 MATCH(TRUE, ISNUMBER(--INDIRECT("数出表_Excel!"&amp;DJ120&amp;MATCH(DO36,数出表_Excel!$A:$A,0)-1&amp;":U"&amp;MATCH(DO36,数出表_Excel!$A:$A,0)-1&amp;"")), 0)),
 ""))),"")</f>
        <v/>
      </c>
      <c r="DL123" s="253"/>
      <c r="DM123" s="255" t="str" cm="1">
        <f t="array" aca="1" ref="DM123" ca="1">IF(DK79&lt;&gt;"",
IF(IFERROR(
INDEX(INDIRECT("数出表_Excel!B"&amp;MATCH(DO36,数出表_Excel!$A:$A,0)&amp;":U"&amp;MATCH(DO36,数出表_Excel!$A:$A,0)&amp;""),
 1,DJ121-1),
 "")=0,"",
IFERROR(
INDEX(INDIRECT("数出表_Excel!B"&amp;MATCH(DO36,数出表_Excel!$A:$A,0)&amp;":U"&amp;MATCH(DO36,数出表_Excel!$A:$A,0)&amp;""),
 1,DJ121-1),
 "")),"")</f>
        <v/>
      </c>
      <c r="DN123" s="253"/>
      <c r="DO123" s="97" t="e" cm="1">
        <f t="array" aca="1" ref="DO123" ca="1">IF(INDIRECT(""&amp;SUBSTITUTE(ADDRESS(1,
COLUMN()-5,1),"1","")&amp;ROW()-85&amp;"")=100,
IF(DK120&lt;&gt;"",
IF(IFERROR(
INDEX(INDIRECT("'数出表_Excel（アレルギー入力）'!"&amp;DJ122&amp;MATCH(DO36,'数出表_Excel（アレルギー入力）'!$A:$A,0)+1&amp;":"&amp;DO124&amp;MATCH(DO36,'数出表_Excel（アレルギー入力）'!$A:$A,0)+1&amp;""),
 1,
MATCH(TRUE,INDIRECT("'数出表_Excel（アレルギー入力）'!"&amp;DJ122&amp;MATCH(DO36,'数出表_Excel（アレルギー入力）'!$A:$A,0)+1&amp;":"&amp;DO124&amp;MATCH(DO36,'数出表_Excel（アレルギー入力）'!$A:$A,0)+1&amp;"")&lt;&gt;"",0)+1),
 "")&lt;&gt;0,
IF(IFERROR(
INDEX(INDIRECT("'数出表_Excel（アレルギー入力）'!"&amp;DJ122&amp;MATCH(DO36,'数出表_Excel（アレルギー入力）'!$A:$A,0)+1&amp;":"&amp;DO124&amp;MATCH(DO36,'数出表_Excel（アレルギー入力）'!$A:$A,0)+1&amp;""),
 1,
MATCH(TRUE,INDIRECT("'数出表_Excel（アレルギー入力）'!"&amp;DJ122&amp;MATCH(DO36,'数出表_Excel（アレルギー入力）'!$A:$A,0)+1&amp;":"&amp;DO124&amp;MATCH(DO36,'数出表_Excel（アレルギー入力）'!$A:$A,0)+1&amp;"")&lt;&gt;"",0)+1),
 "")="",
IFERROR(
INDEX(INDIRECT("'数出表_Excel（アレルギー入力）'!"&amp;DJ122&amp;MATCH(DO36,'数出表_Excel（アレルギー入力）'!$A:$A,0)+1&amp;":"&amp;DO124&amp;MATCH(DO36,'数出表_Excel（アレルギー入力）'!$A:$A,0)+1&amp;""),
 1,
MATCH(TRUE,INDIRECT("'数出表_Excel（アレルギー入力）'!"&amp;DJ122&amp;MATCH(DO36,'数出表_Excel（アレルギー入力）'!$A:$A,0)+1&amp;":"&amp;DO124&amp;MATCH(DO36,'数出表_Excel（アレルギー入力）'!$A:$A,0)+1&amp;"")&lt;&gt;"",0)+1),
 ""),
IFERROR(
INDEX(INDIRECT("'数出表_Excel（アレルギー入力）'!"&amp;DJ122&amp;MATCH(DO36,'数出表_Excel（アレルギー入力）'!$A:$A,0)+1&amp;":"&amp;DO124&amp;MATCH(DO36,'数出表_Excel（アレルギー入力）'!$A:$A,0)+1&amp;""),
 1,
MATCH(TRUE,INDIRECT("'数出表_Excel（アレルギー入力）'!"&amp;DJ122&amp;MATCH(DO36,'数出表_Excel（アレルギー入力）'!$A:$A,0)+1&amp;":"&amp;DO124&amp;MATCH(DO36,'数出表_Excel（アレルギー入力）'!$A:$A,0)+1&amp;"")&lt;&gt;"",0)+1),
 "")),0),""),0)</f>
        <v>#VALUE!</v>
      </c>
      <c r="DR123" s="86"/>
      <c r="DS123" s="252" t="str" cm="1">
        <f t="array" aca="1" ref="DS123" ca="1">IF(DS121&lt;&gt;"",
IF(IFERROR(
INDEX(INDIRECT("数出表_Excel!"&amp;DR120&amp;MATCH(DW36,数出表_Excel!$A:$A,0)-1&amp;":U"&amp;MATCH(DW36,数出表_Excel!$A:$A,0)-1&amp;""),
 1,
 MATCH(TRUE, ISNUMBER(--INDIRECT("数出表_Excel!"&amp;DR120&amp;MATCH(DW36,数出表_Excel!$A:$A,0)-1&amp;":U"&amp;MATCH(DW36,数出表_Excel!$A:$A,0)-1&amp;"")), 0)),
 "")=0,"",
IF(DR38=100,
IFERROR(
INDEX(INDIRECT("数出表_Excel!"&amp;DR120&amp;MATCH(DW36,数出表_Excel!$A:$A,0)-1+2&amp;":U"&amp;MATCH(DW36,数出表_Excel!$A:$A,0)-1+2&amp;""),
 1,
 MATCH(TRUE, ISNUMBER(--INDIRECT("数出表_Excel!"&amp;DR120&amp;MATCH(DW36,数出表_Excel!$A:$A,0)-1+2&amp;":U"&amp;MATCH(DW36,数出表_Excel!$A:$A,0)-1+2&amp;"")), 0)),
 "")
+IFERROR(
INDEX(INDIRECT("数出表_Excel!"&amp;DR120&amp;MATCH(DW36,数出表_Excel!$A:$A,0)-1&amp;":U"&amp;MATCH(DW36,数出表_Excel!$A:$A,0)-1&amp;""),
 1,
 MATCH(TRUE, ISNUMBER(--INDIRECT("数出表_Excel!"&amp;DR120&amp;MATCH(DW36,数出表_Excel!$A:$A,0)-1&amp;":U"&amp;MATCH(DW36,数出表_Excel!$A:$A,0)-1&amp;"")), 0)),
 ""),
IFERROR(
INDEX(INDIRECT("数出表_Excel!"&amp;DR120&amp;MATCH(DW36,数出表_Excel!$A:$A,0)-1&amp;":U"&amp;MATCH(DW36,数出表_Excel!$A:$A,0)-1&amp;""),
 1,
 MATCH(TRUE, ISNUMBER(--INDIRECT("数出表_Excel!"&amp;DR120&amp;MATCH(DW36,数出表_Excel!$A:$A,0)-1&amp;":U"&amp;MATCH(DW36,数出表_Excel!$A:$A,0)-1&amp;"")), 0)),
 ""))),"")</f>
        <v/>
      </c>
      <c r="DT123" s="253"/>
      <c r="DU123" s="255" t="str" cm="1">
        <f t="array" aca="1" ref="DU123" ca="1">IF(DS79&lt;&gt;"",
IF(IFERROR(
INDEX(INDIRECT("数出表_Excel!B"&amp;MATCH(DW36,数出表_Excel!$A:$A,0)&amp;":U"&amp;MATCH(DW36,数出表_Excel!$A:$A,0)&amp;""),
 1,DR121-1),
 "")=0,"",
IFERROR(
INDEX(INDIRECT("数出表_Excel!B"&amp;MATCH(DW36,数出表_Excel!$A:$A,0)&amp;":U"&amp;MATCH(DW36,数出表_Excel!$A:$A,0)&amp;""),
 1,DR121-1),
 "")),"")</f>
        <v/>
      </c>
      <c r="DV123" s="253"/>
      <c r="DW123" s="97" t="e" cm="1">
        <f t="array" aca="1" ref="DW123" ca="1">IF(INDIRECT(""&amp;SUBSTITUTE(ADDRESS(1,
COLUMN()-5,1),"1","")&amp;ROW()-85&amp;"")=100,
IF(DS120&lt;&gt;"",
IF(IFERROR(
INDEX(INDIRECT("'数出表_Excel（アレルギー入力）'!"&amp;DR122&amp;MATCH(DW36,'数出表_Excel（アレルギー入力）'!$A:$A,0)+1&amp;":"&amp;DW124&amp;MATCH(DW36,'数出表_Excel（アレルギー入力）'!$A:$A,0)+1&amp;""),
 1,
MATCH(TRUE,INDIRECT("'数出表_Excel（アレルギー入力）'!"&amp;DR122&amp;MATCH(DW36,'数出表_Excel（アレルギー入力）'!$A:$A,0)+1&amp;":"&amp;DW124&amp;MATCH(DW36,'数出表_Excel（アレルギー入力）'!$A:$A,0)+1&amp;"")&lt;&gt;"",0)+1),
 "")&lt;&gt;0,
IF(IFERROR(
INDEX(INDIRECT("'数出表_Excel（アレルギー入力）'!"&amp;DR122&amp;MATCH(DW36,'数出表_Excel（アレルギー入力）'!$A:$A,0)+1&amp;":"&amp;DW124&amp;MATCH(DW36,'数出表_Excel（アレルギー入力）'!$A:$A,0)+1&amp;""),
 1,
MATCH(TRUE,INDIRECT("'数出表_Excel（アレルギー入力）'!"&amp;DR122&amp;MATCH(DW36,'数出表_Excel（アレルギー入力）'!$A:$A,0)+1&amp;":"&amp;DW124&amp;MATCH(DW36,'数出表_Excel（アレルギー入力）'!$A:$A,0)+1&amp;"")&lt;&gt;"",0)+1),
 "")="",
IFERROR(
INDEX(INDIRECT("'数出表_Excel（アレルギー入力）'!"&amp;DR122&amp;MATCH(DW36,'数出表_Excel（アレルギー入力）'!$A:$A,0)+1&amp;":"&amp;DW124&amp;MATCH(DW36,'数出表_Excel（アレルギー入力）'!$A:$A,0)+1&amp;""),
 1,
MATCH(TRUE,INDIRECT("'数出表_Excel（アレルギー入力）'!"&amp;DR122&amp;MATCH(DW36,'数出表_Excel（アレルギー入力）'!$A:$A,0)+1&amp;":"&amp;DW124&amp;MATCH(DW36,'数出表_Excel（アレルギー入力）'!$A:$A,0)+1&amp;"")&lt;&gt;"",0)+1),
 ""),
IFERROR(
INDEX(INDIRECT("'数出表_Excel（アレルギー入力）'!"&amp;DR122&amp;MATCH(DW36,'数出表_Excel（アレルギー入力）'!$A:$A,0)+1&amp;":"&amp;DW124&amp;MATCH(DW36,'数出表_Excel（アレルギー入力）'!$A:$A,0)+1&amp;""),
 1,
MATCH(TRUE,INDIRECT("'数出表_Excel（アレルギー入力）'!"&amp;DR122&amp;MATCH(DW36,'数出表_Excel（アレルギー入力）'!$A:$A,0)+1&amp;":"&amp;DW124&amp;MATCH(DW36,'数出表_Excel（アレルギー入力）'!$A:$A,0)+1&amp;"")&lt;&gt;"",0)+1),
 "")),0),""),0)</f>
        <v>#VALUE!</v>
      </c>
      <c r="DY123" s="86"/>
      <c r="DZ123" s="252" t="str" cm="1">
        <f t="array" aca="1" ref="DZ123" ca="1">IF(DZ121&lt;&gt;"",
IF(IFERROR(
INDEX(INDIRECT("数出表_Excel!"&amp;DY120&amp;MATCH(ED36,数出表_Excel!$A:$A,0)-1&amp;":U"&amp;MATCH(ED36,数出表_Excel!$A:$A,0)-1&amp;""),
 1,
 MATCH(TRUE, ISNUMBER(--INDIRECT("数出表_Excel!"&amp;DY120&amp;MATCH(ED36,数出表_Excel!$A:$A,0)-1&amp;":U"&amp;MATCH(ED36,数出表_Excel!$A:$A,0)-1&amp;"")), 0)),
 "")=0,"",
IF(DY38=100,
IFERROR(
INDEX(INDIRECT("数出表_Excel!"&amp;DY120&amp;MATCH(ED36,数出表_Excel!$A:$A,0)-1+2&amp;":U"&amp;MATCH(ED36,数出表_Excel!$A:$A,0)-1+2&amp;""),
 1,
 MATCH(TRUE, ISNUMBER(--INDIRECT("数出表_Excel!"&amp;DY120&amp;MATCH(ED36,数出表_Excel!$A:$A,0)-1+2&amp;":U"&amp;MATCH(ED36,数出表_Excel!$A:$A,0)-1+2&amp;"")), 0)),
 "")
+IFERROR(
INDEX(INDIRECT("数出表_Excel!"&amp;DY120&amp;MATCH(ED36,数出表_Excel!$A:$A,0)-1&amp;":U"&amp;MATCH(ED36,数出表_Excel!$A:$A,0)-1&amp;""),
 1,
 MATCH(TRUE, ISNUMBER(--INDIRECT("数出表_Excel!"&amp;DY120&amp;MATCH(ED36,数出表_Excel!$A:$A,0)-1&amp;":U"&amp;MATCH(ED36,数出表_Excel!$A:$A,0)-1&amp;"")), 0)),
 ""),
IFERROR(
INDEX(INDIRECT("数出表_Excel!"&amp;DY120&amp;MATCH(ED36,数出表_Excel!$A:$A,0)-1&amp;":U"&amp;MATCH(ED36,数出表_Excel!$A:$A,0)-1&amp;""),
 1,
 MATCH(TRUE, ISNUMBER(--INDIRECT("数出表_Excel!"&amp;DY120&amp;MATCH(ED36,数出表_Excel!$A:$A,0)-1&amp;":U"&amp;MATCH(ED36,数出表_Excel!$A:$A,0)-1&amp;"")), 0)),
 ""))),"")</f>
        <v/>
      </c>
      <c r="EA123" s="253"/>
      <c r="EB123" s="255" t="str" cm="1">
        <f t="array" aca="1" ref="EB123" ca="1">IF(DZ79&lt;&gt;"",
IF(IFERROR(
INDEX(INDIRECT("数出表_Excel!B"&amp;MATCH(ED36,数出表_Excel!$A:$A,0)&amp;":U"&amp;MATCH(ED36,数出表_Excel!$A:$A,0)&amp;""),
 1,DY121-1),
 "")=0,"",
IFERROR(
INDEX(INDIRECT("数出表_Excel!B"&amp;MATCH(ED36,数出表_Excel!$A:$A,0)&amp;":U"&amp;MATCH(ED36,数出表_Excel!$A:$A,0)&amp;""),
 1,DY121-1),
 "")),"")</f>
        <v/>
      </c>
      <c r="EC123" s="253"/>
      <c r="ED123" s="97" t="e" cm="1">
        <f t="array" aca="1" ref="ED123" ca="1">IF(INDIRECT(""&amp;SUBSTITUTE(ADDRESS(1,
COLUMN()-5,1),"1","")&amp;ROW()-85&amp;"")=100,
IF(DZ120&lt;&gt;"",
IF(IFERROR(
INDEX(INDIRECT("'数出表_Excel（アレルギー入力）'!"&amp;DY122&amp;MATCH(ED36,'数出表_Excel（アレルギー入力）'!$A:$A,0)+1&amp;":"&amp;ED124&amp;MATCH(ED36,'数出表_Excel（アレルギー入力）'!$A:$A,0)+1&amp;""),
 1,
MATCH(TRUE,INDIRECT("'数出表_Excel（アレルギー入力）'!"&amp;DY122&amp;MATCH(ED36,'数出表_Excel（アレルギー入力）'!$A:$A,0)+1&amp;":"&amp;ED124&amp;MATCH(ED36,'数出表_Excel（アレルギー入力）'!$A:$A,0)+1&amp;"")&lt;&gt;"",0)+1),
 "")&lt;&gt;0,
IF(IFERROR(
INDEX(INDIRECT("'数出表_Excel（アレルギー入力）'!"&amp;DY122&amp;MATCH(ED36,'数出表_Excel（アレルギー入力）'!$A:$A,0)+1&amp;":"&amp;ED124&amp;MATCH(ED36,'数出表_Excel（アレルギー入力）'!$A:$A,0)+1&amp;""),
 1,
MATCH(TRUE,INDIRECT("'数出表_Excel（アレルギー入力）'!"&amp;DY122&amp;MATCH(ED36,'数出表_Excel（アレルギー入力）'!$A:$A,0)+1&amp;":"&amp;ED124&amp;MATCH(ED36,'数出表_Excel（アレルギー入力）'!$A:$A,0)+1&amp;"")&lt;&gt;"",0)+1),
 "")="",
IFERROR(
INDEX(INDIRECT("'数出表_Excel（アレルギー入力）'!"&amp;DY122&amp;MATCH(ED36,'数出表_Excel（アレルギー入力）'!$A:$A,0)+1&amp;":"&amp;ED124&amp;MATCH(ED36,'数出表_Excel（アレルギー入力）'!$A:$A,0)+1&amp;""),
 1,
MATCH(TRUE,INDIRECT("'数出表_Excel（アレルギー入力）'!"&amp;DY122&amp;MATCH(ED36,'数出表_Excel（アレルギー入力）'!$A:$A,0)+1&amp;":"&amp;ED124&amp;MATCH(ED36,'数出表_Excel（アレルギー入力）'!$A:$A,0)+1&amp;"")&lt;&gt;"",0)+1),
 ""),
IFERROR(
INDEX(INDIRECT("'数出表_Excel（アレルギー入力）'!"&amp;DY122&amp;MATCH(ED36,'数出表_Excel（アレルギー入力）'!$A:$A,0)+1&amp;":"&amp;ED124&amp;MATCH(ED36,'数出表_Excel（アレルギー入力）'!$A:$A,0)+1&amp;""),
 1,
MATCH(TRUE,INDIRECT("'数出表_Excel（アレルギー入力）'!"&amp;DY122&amp;MATCH(ED36,'数出表_Excel（アレルギー入力）'!$A:$A,0)+1&amp;":"&amp;ED124&amp;MATCH(ED36,'数出表_Excel（アレルギー入力）'!$A:$A,0)+1&amp;"")&lt;&gt;"",0)+1),
 "")),0),""),0)</f>
        <v>#VALUE!</v>
      </c>
      <c r="EG123" s="86"/>
      <c r="EH123" s="252" t="str" cm="1">
        <f t="array" aca="1" ref="EH123" ca="1">IF(EH121&lt;&gt;"",
IF(IFERROR(
INDEX(INDIRECT("数出表_Excel!"&amp;EG120&amp;MATCH(EL36,数出表_Excel!$A:$A,0)-1&amp;":U"&amp;MATCH(EL36,数出表_Excel!$A:$A,0)-1&amp;""),
 1,
 MATCH(TRUE, ISNUMBER(--INDIRECT("数出表_Excel!"&amp;EG120&amp;MATCH(EL36,数出表_Excel!$A:$A,0)-1&amp;":U"&amp;MATCH(EL36,数出表_Excel!$A:$A,0)-1&amp;"")), 0)),
 "")=0,"",
IF(EG38=100,
IFERROR(
INDEX(INDIRECT("数出表_Excel!"&amp;EG120&amp;MATCH(EL36,数出表_Excel!$A:$A,0)-1+2&amp;":U"&amp;MATCH(EL36,数出表_Excel!$A:$A,0)-1+2&amp;""),
 1,
 MATCH(TRUE, ISNUMBER(--INDIRECT("数出表_Excel!"&amp;EG120&amp;MATCH(EL36,数出表_Excel!$A:$A,0)-1+2&amp;":U"&amp;MATCH(EL36,数出表_Excel!$A:$A,0)-1+2&amp;"")), 0)),
 "")
+IFERROR(
INDEX(INDIRECT("数出表_Excel!"&amp;EG120&amp;MATCH(EL36,数出表_Excel!$A:$A,0)-1&amp;":U"&amp;MATCH(EL36,数出表_Excel!$A:$A,0)-1&amp;""),
 1,
 MATCH(TRUE, ISNUMBER(--INDIRECT("数出表_Excel!"&amp;EG120&amp;MATCH(EL36,数出表_Excel!$A:$A,0)-1&amp;":U"&amp;MATCH(EL36,数出表_Excel!$A:$A,0)-1&amp;"")), 0)),
 ""),
IFERROR(
INDEX(INDIRECT("数出表_Excel!"&amp;EG120&amp;MATCH(EL36,数出表_Excel!$A:$A,0)-1&amp;":U"&amp;MATCH(EL36,数出表_Excel!$A:$A,0)-1&amp;""),
 1,
 MATCH(TRUE, ISNUMBER(--INDIRECT("数出表_Excel!"&amp;EG120&amp;MATCH(EL36,数出表_Excel!$A:$A,0)-1&amp;":U"&amp;MATCH(EL36,数出表_Excel!$A:$A,0)-1&amp;"")), 0)),
 ""))),"")</f>
        <v/>
      </c>
      <c r="EI123" s="253"/>
      <c r="EJ123" s="255" t="str" cm="1">
        <f t="array" aca="1" ref="EJ123" ca="1">IF(EH79&lt;&gt;"",
IF(IFERROR(
INDEX(INDIRECT("数出表_Excel!B"&amp;MATCH(EL36,数出表_Excel!$A:$A,0)&amp;":U"&amp;MATCH(EL36,数出表_Excel!$A:$A,0)&amp;""),
 1,EG121-1),
 "")=0,"",
IFERROR(
INDEX(INDIRECT("数出表_Excel!B"&amp;MATCH(EL36,数出表_Excel!$A:$A,0)&amp;":U"&amp;MATCH(EL36,数出表_Excel!$A:$A,0)&amp;""),
 1,EG121-1),
 "")),"")</f>
        <v/>
      </c>
      <c r="EK123" s="253"/>
      <c r="EL123" s="97" t="e" cm="1">
        <f t="array" aca="1" ref="EL123" ca="1">IF(INDIRECT(""&amp;SUBSTITUTE(ADDRESS(1,
COLUMN()-5,1),"1","")&amp;ROW()-85&amp;"")=100,
IF(EH120&lt;&gt;"",
IF(IFERROR(
INDEX(INDIRECT("'数出表_Excel（アレルギー入力）'!"&amp;EG122&amp;MATCH(EL36,'数出表_Excel（アレルギー入力）'!$A:$A,0)+1&amp;":"&amp;EL124&amp;MATCH(EL36,'数出表_Excel（アレルギー入力）'!$A:$A,0)+1&amp;""),
 1,
MATCH(TRUE,INDIRECT("'数出表_Excel（アレルギー入力）'!"&amp;EG122&amp;MATCH(EL36,'数出表_Excel（アレルギー入力）'!$A:$A,0)+1&amp;":"&amp;EL124&amp;MATCH(EL36,'数出表_Excel（アレルギー入力）'!$A:$A,0)+1&amp;"")&lt;&gt;"",0)+1),
 "")&lt;&gt;0,
IF(IFERROR(
INDEX(INDIRECT("'数出表_Excel（アレルギー入力）'!"&amp;EG122&amp;MATCH(EL36,'数出表_Excel（アレルギー入力）'!$A:$A,0)+1&amp;":"&amp;EL124&amp;MATCH(EL36,'数出表_Excel（アレルギー入力）'!$A:$A,0)+1&amp;""),
 1,
MATCH(TRUE,INDIRECT("'数出表_Excel（アレルギー入力）'!"&amp;EG122&amp;MATCH(EL36,'数出表_Excel（アレルギー入力）'!$A:$A,0)+1&amp;":"&amp;EL124&amp;MATCH(EL36,'数出表_Excel（アレルギー入力）'!$A:$A,0)+1&amp;"")&lt;&gt;"",0)+1),
 "")="",
IFERROR(
INDEX(INDIRECT("'数出表_Excel（アレルギー入力）'!"&amp;EG122&amp;MATCH(EL36,'数出表_Excel（アレルギー入力）'!$A:$A,0)+1&amp;":"&amp;EL124&amp;MATCH(EL36,'数出表_Excel（アレルギー入力）'!$A:$A,0)+1&amp;""),
 1,
MATCH(TRUE,INDIRECT("'数出表_Excel（アレルギー入力）'!"&amp;EG122&amp;MATCH(EL36,'数出表_Excel（アレルギー入力）'!$A:$A,0)+1&amp;":"&amp;EL124&amp;MATCH(EL36,'数出表_Excel（アレルギー入力）'!$A:$A,0)+1&amp;"")&lt;&gt;"",0)+1),
 ""),
IFERROR(
INDEX(INDIRECT("'数出表_Excel（アレルギー入力）'!"&amp;EG122&amp;MATCH(EL36,'数出表_Excel（アレルギー入力）'!$A:$A,0)+1&amp;":"&amp;EL124&amp;MATCH(EL36,'数出表_Excel（アレルギー入力）'!$A:$A,0)+1&amp;""),
 1,
MATCH(TRUE,INDIRECT("'数出表_Excel（アレルギー入力）'!"&amp;EG122&amp;MATCH(EL36,'数出表_Excel（アレルギー入力）'!$A:$A,0)+1&amp;":"&amp;EL124&amp;MATCH(EL36,'数出表_Excel（アレルギー入力）'!$A:$A,0)+1&amp;"")&lt;&gt;"",0)+1),
 "")),0),""),0)</f>
        <v>#VALUE!</v>
      </c>
      <c r="EN123" s="86"/>
      <c r="EO123" s="252" t="str" cm="1">
        <f t="array" aca="1" ref="EO123" ca="1">IF(EO121&lt;&gt;"",
IF(IFERROR(
INDEX(INDIRECT("数出表_Excel!"&amp;EN120&amp;MATCH(ES36,数出表_Excel!$A:$A,0)-1&amp;":U"&amp;MATCH(ES36,数出表_Excel!$A:$A,0)-1&amp;""),
 1,
 MATCH(TRUE, ISNUMBER(--INDIRECT("数出表_Excel!"&amp;EN120&amp;MATCH(ES36,数出表_Excel!$A:$A,0)-1&amp;":U"&amp;MATCH(ES36,数出表_Excel!$A:$A,0)-1&amp;"")), 0)),
 "")=0,"",
IF(EN38=100,
IFERROR(
INDEX(INDIRECT("数出表_Excel!"&amp;EN120&amp;MATCH(ES36,数出表_Excel!$A:$A,0)-1+2&amp;":U"&amp;MATCH(ES36,数出表_Excel!$A:$A,0)-1+2&amp;""),
 1,
 MATCH(TRUE, ISNUMBER(--INDIRECT("数出表_Excel!"&amp;EN120&amp;MATCH(ES36,数出表_Excel!$A:$A,0)-1+2&amp;":U"&amp;MATCH(ES36,数出表_Excel!$A:$A,0)-1+2&amp;"")), 0)),
 "")
+IFERROR(
INDEX(INDIRECT("数出表_Excel!"&amp;EN120&amp;MATCH(ES36,数出表_Excel!$A:$A,0)-1&amp;":U"&amp;MATCH(ES36,数出表_Excel!$A:$A,0)-1&amp;""),
 1,
 MATCH(TRUE, ISNUMBER(--INDIRECT("数出表_Excel!"&amp;EN120&amp;MATCH(ES36,数出表_Excel!$A:$A,0)-1&amp;":U"&amp;MATCH(ES36,数出表_Excel!$A:$A,0)-1&amp;"")), 0)),
 ""),
IFERROR(
INDEX(INDIRECT("数出表_Excel!"&amp;EN120&amp;MATCH(ES36,数出表_Excel!$A:$A,0)-1&amp;":U"&amp;MATCH(ES36,数出表_Excel!$A:$A,0)-1&amp;""),
 1,
 MATCH(TRUE, ISNUMBER(--INDIRECT("数出表_Excel!"&amp;EN120&amp;MATCH(ES36,数出表_Excel!$A:$A,0)-1&amp;":U"&amp;MATCH(ES36,数出表_Excel!$A:$A,0)-1&amp;"")), 0)),
 ""))),"")</f>
        <v/>
      </c>
      <c r="EP123" s="253"/>
      <c r="EQ123" s="255" t="str" cm="1">
        <f t="array" aca="1" ref="EQ123" ca="1">IF(EO79&lt;&gt;"",
IF(IFERROR(
INDEX(INDIRECT("数出表_Excel!B"&amp;MATCH(ES36,数出表_Excel!$A:$A,0)&amp;":U"&amp;MATCH(ES36,数出表_Excel!$A:$A,0)&amp;""),
 1,EN121-1),
 "")=0,"",
IFERROR(
INDEX(INDIRECT("数出表_Excel!B"&amp;MATCH(ES36,数出表_Excel!$A:$A,0)&amp;":U"&amp;MATCH(ES36,数出表_Excel!$A:$A,0)&amp;""),
 1,EN121-1),
 "")),"")</f>
        <v/>
      </c>
      <c r="ER123" s="253"/>
      <c r="ES123" s="97" t="e" cm="1">
        <f t="array" aca="1" ref="ES123" ca="1">IF(INDIRECT(""&amp;SUBSTITUTE(ADDRESS(1,
COLUMN()-5,1),"1","")&amp;ROW()-85&amp;"")=100,
IF(EO120&lt;&gt;"",
IF(IFERROR(
INDEX(INDIRECT("'数出表_Excel（アレルギー入力）'!"&amp;EN122&amp;MATCH(ES36,'数出表_Excel（アレルギー入力）'!$A:$A,0)+1&amp;":"&amp;ES124&amp;MATCH(ES36,'数出表_Excel（アレルギー入力）'!$A:$A,0)+1&amp;""),
 1,
MATCH(TRUE,INDIRECT("'数出表_Excel（アレルギー入力）'!"&amp;EN122&amp;MATCH(ES36,'数出表_Excel（アレルギー入力）'!$A:$A,0)+1&amp;":"&amp;ES124&amp;MATCH(ES36,'数出表_Excel（アレルギー入力）'!$A:$A,0)+1&amp;"")&lt;&gt;"",0)+1),
 "")&lt;&gt;0,
IF(IFERROR(
INDEX(INDIRECT("'数出表_Excel（アレルギー入力）'!"&amp;EN122&amp;MATCH(ES36,'数出表_Excel（アレルギー入力）'!$A:$A,0)+1&amp;":"&amp;ES124&amp;MATCH(ES36,'数出表_Excel（アレルギー入力）'!$A:$A,0)+1&amp;""),
 1,
MATCH(TRUE,INDIRECT("'数出表_Excel（アレルギー入力）'!"&amp;EN122&amp;MATCH(ES36,'数出表_Excel（アレルギー入力）'!$A:$A,0)+1&amp;":"&amp;ES124&amp;MATCH(ES36,'数出表_Excel（アレルギー入力）'!$A:$A,0)+1&amp;"")&lt;&gt;"",0)+1),
 "")="",
IFERROR(
INDEX(INDIRECT("'数出表_Excel（アレルギー入力）'!"&amp;EN122&amp;MATCH(ES36,'数出表_Excel（アレルギー入力）'!$A:$A,0)+1&amp;":"&amp;ES124&amp;MATCH(ES36,'数出表_Excel（アレルギー入力）'!$A:$A,0)+1&amp;""),
 1,
MATCH(TRUE,INDIRECT("'数出表_Excel（アレルギー入力）'!"&amp;EN122&amp;MATCH(ES36,'数出表_Excel（アレルギー入力）'!$A:$A,0)+1&amp;":"&amp;ES124&amp;MATCH(ES36,'数出表_Excel（アレルギー入力）'!$A:$A,0)+1&amp;"")&lt;&gt;"",0)+1),
 ""),
IFERROR(
INDEX(INDIRECT("'数出表_Excel（アレルギー入力）'!"&amp;EN122&amp;MATCH(ES36,'数出表_Excel（アレルギー入力）'!$A:$A,0)+1&amp;":"&amp;ES124&amp;MATCH(ES36,'数出表_Excel（アレルギー入力）'!$A:$A,0)+1&amp;""),
 1,
MATCH(TRUE,INDIRECT("'数出表_Excel（アレルギー入力）'!"&amp;EN122&amp;MATCH(ES36,'数出表_Excel（アレルギー入力）'!$A:$A,0)+1&amp;":"&amp;ES124&amp;MATCH(ES36,'数出表_Excel（アレルギー入力）'!$A:$A,0)+1&amp;"")&lt;&gt;"",0)+1),
 "")),0),""),0)</f>
        <v>#VALUE!</v>
      </c>
      <c r="EU123" s="78">
        <f t="shared" si="10"/>
        <v>98</v>
      </c>
      <c r="EV123" s="78" t="str">
        <f t="array" aca="1" ref="EV123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LEN(SUBSTITUTE(_xlfn.FORMULATEXT(EV$109),"=","")))+$EU123)</f>
        <v/>
      </c>
      <c r="EW123" s="78" t="str">
        <f t="array" aca="1" ref="EW123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LEN(SUBSTITUTE(_xlfn.FORMULATEXT(EW$109),"=","")))+$EU123)</f>
        <v/>
      </c>
      <c r="EX123" s="78" t="str">
        <f t="array" aca="1" ref="EX123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LEN(SUBSTITUTE(_xlfn.FORMULATEXT(EX$109),"=","")))+$EU123)</f>
        <v/>
      </c>
      <c r="EY123" s="78" t="str">
        <f t="array" aca="1" ref="EY123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LEN(SUBSTITUTE(_xlfn.FORMULATEXT(EY$109),"=","")))+$EU123)</f>
        <v/>
      </c>
      <c r="EZ123" s="78" t="str">
        <f t="array" aca="1" ref="EZ123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LEN(SUBSTITUTE(_xlfn.FORMULATEXT(EZ$109),"=","")))+$EU123)</f>
        <v/>
      </c>
      <c r="FA123" s="78" t="str">
        <f t="array" aca="1" ref="FA123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LEN(SUBSTITUTE(_xlfn.FORMULATEXT(FA$109),"=","")))+$EU123)</f>
        <v/>
      </c>
      <c r="FB123" s="78" t="str">
        <f t="array" aca="1" ref="FB123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LEN(SUBSTITUTE(_xlfn.FORMULATEXT(FB$109),"=","")))+$EU123)</f>
        <v/>
      </c>
      <c r="FC123" s="78" t="str">
        <f t="array" aca="1" ref="FC123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LEN(SUBSTITUTE(_xlfn.FORMULATEXT(FC$109),"=","")))+$EU123)</f>
        <v/>
      </c>
      <c r="FD123" s="78" t="str">
        <f t="array" aca="1" ref="FD123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LEN(SUBSTITUTE(_xlfn.FORMULATEXT(FD$109),"=","")))+$EU123)</f>
        <v/>
      </c>
      <c r="FE123" s="78" t="str">
        <f t="array" aca="1" ref="FE123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LEN(SUBSTITUTE(_xlfn.FORMULATEXT(FE$109),"=","")))+$EU123)</f>
        <v/>
      </c>
      <c r="FF123" s="78" t="str">
        <f t="array" aca="1" ref="FF123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LEN(SUBSTITUTE(_xlfn.FORMULATEXT(FF$109),"=","")))+$EU123)</f>
        <v/>
      </c>
      <c r="FG123" s="78">
        <f t="shared" ca="1" si="9"/>
        <v>0</v>
      </c>
      <c r="FH123" s="78" t="b">
        <f t="array" aca="1" ref="FH123" ca="1">SUMPRODUCT((LEN(EV123:FF123)&gt;0)*1)&gt;0</f>
        <v>0</v>
      </c>
      <c r="FM123" s="78"/>
    </row>
    <row r="124" spans="2:175" ht="22.2" customHeight="1" x14ac:dyDescent="0.45">
      <c r="B124" s="88"/>
      <c r="C124" s="254"/>
      <c r="D124" s="254"/>
      <c r="E124" s="254"/>
      <c r="F124" s="254"/>
      <c r="G124" s="98" t="str">
        <f ca="1">SUBSTITUTE(SUBSTITUTE(ADDRESS(1,MATCH("おやつ",'数出表_Excel（アレルギー入力）'!$3:$3,0)),1,""),"$","")</f>
        <v>AL</v>
      </c>
      <c r="I124" s="88"/>
      <c r="J124" s="254"/>
      <c r="K124" s="254"/>
      <c r="L124" s="254"/>
      <c r="M124" s="254"/>
      <c r="N124" s="98" t="str">
        <f ca="1">SUBSTITUTE(SUBSTITUTE(ADDRESS(1,MATCH("おやつ",'数出表_Excel（アレルギー入力）'!$3:$3,0)),1,""),"$","")</f>
        <v>AL</v>
      </c>
      <c r="Q124" s="88"/>
      <c r="R124" s="254"/>
      <c r="S124" s="254"/>
      <c r="T124" s="254"/>
      <c r="U124" s="254"/>
      <c r="V124" s="98" t="str">
        <f ca="1">SUBSTITUTE(SUBSTITUTE(ADDRESS(1,MATCH("おやつ",'数出表_Excel（アレルギー入力）'!$3:$3,0)),1,""),"$","")</f>
        <v>AL</v>
      </c>
      <c r="X124" s="88"/>
      <c r="Y124" s="254"/>
      <c r="Z124" s="254"/>
      <c r="AA124" s="254"/>
      <c r="AB124" s="254"/>
      <c r="AC124" s="98" t="str">
        <f ca="1">SUBSTITUTE(SUBSTITUTE(ADDRESS(1,MATCH("おやつ",'数出表_Excel（アレルギー入力）'!$3:$3,0)),1,""),"$","")</f>
        <v>AL</v>
      </c>
      <c r="AF124" s="88"/>
      <c r="AG124" s="254"/>
      <c r="AH124" s="254"/>
      <c r="AI124" s="254"/>
      <c r="AJ124" s="254"/>
      <c r="AK124" s="98" t="str">
        <f ca="1">SUBSTITUTE(SUBSTITUTE(ADDRESS(1,MATCH("おやつ",'数出表_Excel（アレルギー入力）'!$3:$3,0)),1,""),"$","")</f>
        <v>AL</v>
      </c>
      <c r="AM124" s="88"/>
      <c r="AN124" s="254"/>
      <c r="AO124" s="254"/>
      <c r="AP124" s="254"/>
      <c r="AQ124" s="254"/>
      <c r="AR124" s="98" t="str">
        <f ca="1">SUBSTITUTE(SUBSTITUTE(ADDRESS(1,MATCH("おやつ",'数出表_Excel（アレルギー入力）'!$3:$3,0)),1,""),"$","")</f>
        <v>AL</v>
      </c>
      <c r="AU124" s="88"/>
      <c r="AV124" s="254"/>
      <c r="AW124" s="254"/>
      <c r="AX124" s="254"/>
      <c r="AY124" s="254"/>
      <c r="AZ124" s="98" t="str">
        <f ca="1">SUBSTITUTE(SUBSTITUTE(ADDRESS(1,MATCH("おやつ",'数出表_Excel（アレルギー入力）'!$3:$3,0)),1,""),"$","")</f>
        <v>AL</v>
      </c>
      <c r="BB124" s="88"/>
      <c r="BC124" s="254"/>
      <c r="BD124" s="254"/>
      <c r="BE124" s="254"/>
      <c r="BF124" s="254"/>
      <c r="BG124" s="98" t="str">
        <f ca="1">SUBSTITUTE(SUBSTITUTE(ADDRESS(1,MATCH("おやつ",'数出表_Excel（アレルギー入力）'!$3:$3,0)),1,""),"$","")</f>
        <v>AL</v>
      </c>
      <c r="BJ124" s="88"/>
      <c r="BK124" s="254"/>
      <c r="BL124" s="254"/>
      <c r="BM124" s="254"/>
      <c r="BN124" s="254"/>
      <c r="BO124" s="98" t="str">
        <f ca="1">SUBSTITUTE(SUBSTITUTE(ADDRESS(1,MATCH("おやつ",'数出表_Excel（アレルギー入力）'!$3:$3,0)),1,""),"$","")</f>
        <v>AL</v>
      </c>
      <c r="BQ124" s="88"/>
      <c r="BR124" s="254"/>
      <c r="BS124" s="254"/>
      <c r="BT124" s="254"/>
      <c r="BU124" s="254"/>
      <c r="BV124" s="98" t="str">
        <f ca="1">SUBSTITUTE(SUBSTITUTE(ADDRESS(1,MATCH("おやつ",'数出表_Excel（アレルギー入力）'!$3:$3,0)),1,""),"$","")</f>
        <v>AL</v>
      </c>
      <c r="BY124" s="88"/>
      <c r="BZ124" s="254"/>
      <c r="CA124" s="254"/>
      <c r="CB124" s="254"/>
      <c r="CC124" s="254"/>
      <c r="CD124" s="98" t="str">
        <f ca="1">SUBSTITUTE(SUBSTITUTE(ADDRESS(1,MATCH("おやつ",'数出表_Excel（アレルギー入力）'!$3:$3,0)),1,""),"$","")</f>
        <v>AL</v>
      </c>
      <c r="CF124" s="88"/>
      <c r="CG124" s="254"/>
      <c r="CH124" s="254"/>
      <c r="CI124" s="254"/>
      <c r="CJ124" s="254"/>
      <c r="CK124" s="98" t="str">
        <f ca="1">SUBSTITUTE(SUBSTITUTE(ADDRESS(1,MATCH("おやつ",'数出表_Excel（アレルギー入力）'!$3:$3,0)),1,""),"$","")</f>
        <v>AL</v>
      </c>
      <c r="CN124" s="88"/>
      <c r="CO124" s="254"/>
      <c r="CP124" s="254"/>
      <c r="CQ124" s="254"/>
      <c r="CR124" s="254"/>
      <c r="CS124" s="98" t="str">
        <f ca="1">SUBSTITUTE(SUBSTITUTE(ADDRESS(1,MATCH("おやつ",'数出表_Excel（アレルギー入力）'!$3:$3,0)),1,""),"$","")</f>
        <v>AL</v>
      </c>
      <c r="CU124" s="88"/>
      <c r="CV124" s="254"/>
      <c r="CW124" s="254"/>
      <c r="CX124" s="254"/>
      <c r="CY124" s="254"/>
      <c r="CZ124" s="98" t="str">
        <f ca="1">SUBSTITUTE(SUBSTITUTE(ADDRESS(1,MATCH("おやつ",'数出表_Excel（アレルギー入力）'!$3:$3,0)),1,""),"$","")</f>
        <v>AL</v>
      </c>
      <c r="DC124" s="88"/>
      <c r="DD124" s="254"/>
      <c r="DE124" s="254"/>
      <c r="DF124" s="254"/>
      <c r="DG124" s="254"/>
      <c r="DH124" s="98" t="str">
        <f ca="1">SUBSTITUTE(SUBSTITUTE(ADDRESS(1,MATCH("おやつ",'数出表_Excel（アレルギー入力）'!$3:$3,0)),1,""),"$","")</f>
        <v>AL</v>
      </c>
      <c r="DJ124" s="88"/>
      <c r="DK124" s="254"/>
      <c r="DL124" s="254"/>
      <c r="DM124" s="254"/>
      <c r="DN124" s="254"/>
      <c r="DO124" s="98" t="str">
        <f ca="1">SUBSTITUTE(SUBSTITUTE(ADDRESS(1,MATCH("おやつ",'数出表_Excel（アレルギー入力）'!$3:$3,0)),1,""),"$","")</f>
        <v>AL</v>
      </c>
      <c r="DR124" s="88"/>
      <c r="DS124" s="254"/>
      <c r="DT124" s="254"/>
      <c r="DU124" s="254"/>
      <c r="DV124" s="254"/>
      <c r="DW124" s="98" t="str">
        <f ca="1">SUBSTITUTE(SUBSTITUTE(ADDRESS(1,MATCH("おやつ",'数出表_Excel（アレルギー入力）'!$3:$3,0)),1,""),"$","")</f>
        <v>AL</v>
      </c>
      <c r="DY124" s="88"/>
      <c r="DZ124" s="254"/>
      <c r="EA124" s="254"/>
      <c r="EB124" s="254"/>
      <c r="EC124" s="254"/>
      <c r="ED124" s="98" t="str">
        <f ca="1">SUBSTITUTE(SUBSTITUTE(ADDRESS(1,MATCH("おやつ",'数出表_Excel（アレルギー入力）'!$3:$3,0)),1,""),"$","")</f>
        <v>AL</v>
      </c>
      <c r="EG124" s="88"/>
      <c r="EH124" s="254"/>
      <c r="EI124" s="254"/>
      <c r="EJ124" s="254"/>
      <c r="EK124" s="254"/>
      <c r="EL124" s="98" t="str">
        <f ca="1">SUBSTITUTE(SUBSTITUTE(ADDRESS(1,MATCH("おやつ",'数出表_Excel（アレルギー入力）'!$3:$3,0)),1,""),"$","")</f>
        <v>AL</v>
      </c>
      <c r="EN124" s="88"/>
      <c r="EO124" s="254"/>
      <c r="EP124" s="254"/>
      <c r="EQ124" s="254"/>
      <c r="ER124" s="254"/>
      <c r="ES124" s="98" t="str">
        <f ca="1">SUBSTITUTE(SUBSTITUTE(ADDRESS(1,MATCH("おやつ",'数出表_Excel（アレルギー入力）'!$3:$3,0)),1,""),"$","")</f>
        <v>AL</v>
      </c>
      <c r="EU124" s="87">
        <f t="shared" si="10"/>
        <v>14</v>
      </c>
      <c r="EV124" s="78" t="str">
        <f t="array" aca="1" ref="EV12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LEN(SUBSTITUTE(_xlfn.FORMULATEXT(EV$112),"=","")))+$EU124)</f>
        <v/>
      </c>
      <c r="EW124" s="78" t="str">
        <f t="array" aca="1" ref="EW12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LEN(SUBSTITUTE(_xlfn.FORMULATEXT(EW$112),"=","")))+$EU124)</f>
        <v/>
      </c>
      <c r="EX124" s="78" t="str">
        <f t="array" aca="1" ref="EX12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LEN(SUBSTITUTE(_xlfn.FORMULATEXT(EX$112),"=","")))+$EU124)</f>
        <v/>
      </c>
      <c r="EY124" s="78" t="str">
        <f t="array" aca="1" ref="EY12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LEN(SUBSTITUTE(_xlfn.FORMULATEXT(EY$112),"=","")))+$EU124)</f>
        <v/>
      </c>
      <c r="EZ124" s="78" t="str">
        <f t="array" aca="1" ref="EZ12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LEN(SUBSTITUTE(_xlfn.FORMULATEXT(EZ$112),"=","")))+$EU124)</f>
        <v/>
      </c>
      <c r="FA124" s="78" t="e">
        <f t="array" aca="1" ref="FA12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LEN(SUBSTITUTE(_xlfn.FORMULATEXT(FA$112),"=","")))+$EU124)</f>
        <v>#VALUE!</v>
      </c>
      <c r="FB124" s="78" t="e">
        <f t="array" aca="1" ref="FB12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LEN(SUBSTITUTE(_xlfn.FORMULATEXT(FB$112),"=","")))+$EU124)</f>
        <v>#VALUE!</v>
      </c>
      <c r="FC124" s="78" t="str">
        <f t="array" aca="1" ref="FC12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LEN(SUBSTITUTE(_xlfn.FORMULATEXT(FC$112),"=","")))+$EU124)</f>
        <v/>
      </c>
      <c r="FD124" s="78" t="e">
        <f t="array" aca="1" ref="FD12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LEN(SUBSTITUTE(_xlfn.FORMULATEXT(FD$112),"=","")))+$EU124)</f>
        <v>#VALUE!</v>
      </c>
      <c r="FE124" s="78" t="str">
        <f t="array" aca="1" ref="FE12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LEN(SUBSTITUTE(_xlfn.FORMULATEXT(FE$112),"=","")))+$EU124)</f>
        <v/>
      </c>
      <c r="FF124" s="78" t="e">
        <f t="array" aca="1" ref="FF12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LEN(SUBSTITUTE(_xlfn.FORMULATEXT(FF$112),"=","")))+$EU124)</f>
        <v>#VALUE!</v>
      </c>
      <c r="FG124" s="78">
        <f t="shared" ca="1" si="9"/>
        <v>0</v>
      </c>
      <c r="FH124" s="78" t="e">
        <f t="array" aca="1" ref="FH124" ca="1">SUMPRODUCT((LEN(EV124:FF124)&gt;0)*1)&gt;0</f>
        <v>#VALUE!</v>
      </c>
      <c r="FM124" s="78"/>
    </row>
    <row r="125" spans="2:175" ht="22.2" x14ac:dyDescent="0.55000000000000004">
      <c r="B125" s="89" t="str">
        <f ca="1">IF(C123&lt;&gt;"","パン箱","")</f>
        <v/>
      </c>
      <c r="C125" s="90" t="str">
        <f ca="1">IF(C123&lt;&gt;"",IF(OR(COUNTIF('盛付札（関数）'!C121,"*キャラ*"),COUNTIF('盛付札（関数）'!C121,"*赤*")),24,
VLOOKUP('盛付札（関数）'!C121,商品マスタ一覧!$D:$I,6,FALSE)),"")</f>
        <v/>
      </c>
      <c r="D125" s="89" t="str">
        <f ca="1">IF(C123&lt;&gt;"","　端数","")</f>
        <v/>
      </c>
      <c r="E125" s="90"/>
      <c r="F125" s="89" t="str">
        <f ca="1">IF(C123&lt;&gt;"","アレルギー","")</f>
        <v/>
      </c>
      <c r="G125" s="93"/>
      <c r="H125" s="76"/>
      <c r="I125" s="89" t="str">
        <f ca="1">IF(J123&lt;&gt;"","パン箱","")</f>
        <v/>
      </c>
      <c r="J125" s="90" t="str">
        <f ca="1">IF(J123&lt;&gt;"",IF(OR(COUNTIF('盛付札（関数）'!J121,"*キャラ*"),COUNTIF('盛付札（関数）'!J121,"*赤*")),24,
VLOOKUP('盛付札（関数）'!J121,商品マスタ一覧!$D:$I,6,FALSE)),"")</f>
        <v/>
      </c>
      <c r="K125" s="89" t="str">
        <f ca="1">IF(J123&lt;&gt;"","　端数","")</f>
        <v/>
      </c>
      <c r="L125" s="90"/>
      <c r="M125" s="89" t="str">
        <f ca="1">IF(J123&lt;&gt;"","アレルギー","")</f>
        <v/>
      </c>
      <c r="N125" s="93"/>
      <c r="Q125" s="89" t="str">
        <f ca="1">IF(R123&lt;&gt;"","パン箱","")</f>
        <v/>
      </c>
      <c r="R125" s="90" t="str">
        <f ca="1">IF(R123&lt;&gt;"",IF(OR(COUNTIF('盛付札（関数）'!R121,"*キャラ*"),COUNTIF('盛付札（関数）'!R121,"*赤*")),24,
VLOOKUP('盛付札（関数）'!R121,商品マスタ一覧!$D:$I,6,FALSE)),"")</f>
        <v/>
      </c>
      <c r="S125" s="89" t="str">
        <f ca="1">IF(R123&lt;&gt;"","　端数","")</f>
        <v/>
      </c>
      <c r="T125" s="90"/>
      <c r="U125" s="89" t="str">
        <f ca="1">IF(R123&lt;&gt;"","アレルギー","")</f>
        <v/>
      </c>
      <c r="V125" s="93"/>
      <c r="W125" s="76"/>
      <c r="X125" s="89" t="str">
        <f ca="1">IF(Y123&lt;&gt;"","パン箱","")</f>
        <v/>
      </c>
      <c r="Y125" s="90" t="str">
        <f ca="1">IF(Y123&lt;&gt;"",IF(OR(COUNTIF('盛付札（関数）'!Y121,"*キャラ*"),COUNTIF('盛付札（関数）'!Y121,"*赤*")),24,
VLOOKUP('盛付札（関数）'!Y121,商品マスタ一覧!$D:$I,6,FALSE)),"")</f>
        <v/>
      </c>
      <c r="Z125" s="89" t="str">
        <f ca="1">IF(Y123&lt;&gt;"","　端数","")</f>
        <v/>
      </c>
      <c r="AA125" s="90"/>
      <c r="AB125" s="89" t="str">
        <f ca="1">IF(Y123&lt;&gt;"","アレルギー","")</f>
        <v/>
      </c>
      <c r="AC125" s="93"/>
      <c r="AF125" s="89" t="str">
        <f ca="1">IF(AG123&lt;&gt;"","パン箱","")</f>
        <v/>
      </c>
      <c r="AG125" s="90" t="str">
        <f ca="1">IF(AG123&lt;&gt;"",IF(OR(COUNTIF('盛付札（関数）'!AG121,"*キャラ*"),COUNTIF('盛付札（関数）'!AG121,"*赤*")),24,
VLOOKUP('盛付札（関数）'!AG121,商品マスタ一覧!$D:$I,6,FALSE)),"")</f>
        <v/>
      </c>
      <c r="AH125" s="89" t="str">
        <f ca="1">IF(AG123&lt;&gt;"","　端数","")</f>
        <v/>
      </c>
      <c r="AI125" s="90"/>
      <c r="AJ125" s="89" t="str">
        <f ca="1">IF(AG123&lt;&gt;"","アレルギー","")</f>
        <v/>
      </c>
      <c r="AK125" s="93"/>
      <c r="AL125" s="76"/>
      <c r="AM125" s="89" t="str">
        <f ca="1">IF(AN123&lt;&gt;"","パン箱","")</f>
        <v/>
      </c>
      <c r="AN125" s="90" t="str">
        <f ca="1">IF(AN123&lt;&gt;"",IF(OR(COUNTIF('盛付札（関数）'!AN121,"*キャラ*"),COUNTIF('盛付札（関数）'!AN121,"*赤*")),24,
VLOOKUP('盛付札（関数）'!AN121,商品マスタ一覧!$D:$I,6,FALSE)),"")</f>
        <v/>
      </c>
      <c r="AO125" s="89" t="str">
        <f ca="1">IF(AN123&lt;&gt;"","　端数","")</f>
        <v/>
      </c>
      <c r="AP125" s="90"/>
      <c r="AQ125" s="89" t="str">
        <f ca="1">IF(AN123&lt;&gt;"","アレルギー","")</f>
        <v/>
      </c>
      <c r="AR125" s="93"/>
      <c r="AU125" s="89" t="str">
        <f ca="1">IF(AV123&lt;&gt;"","パン箱","")</f>
        <v/>
      </c>
      <c r="AV125" s="90" t="str">
        <f ca="1">IF(AV123&lt;&gt;"",IF(OR(COUNTIF('盛付札（関数）'!AV121,"*キャラ*"),COUNTIF('盛付札（関数）'!AV121,"*赤*")),24,
VLOOKUP('盛付札（関数）'!AV121,商品マスタ一覧!$D:$I,6,FALSE)),"")</f>
        <v/>
      </c>
      <c r="AW125" s="89" t="str">
        <f ca="1">IF(AV123&lt;&gt;"","　端数","")</f>
        <v/>
      </c>
      <c r="AX125" s="90"/>
      <c r="AY125" s="89" t="str">
        <f ca="1">IF(AV123&lt;&gt;"","アレルギー","")</f>
        <v/>
      </c>
      <c r="AZ125" s="93"/>
      <c r="BA125" s="76"/>
      <c r="BB125" s="89" t="str">
        <f ca="1">IF(BC123&lt;&gt;"","パン箱","")</f>
        <v/>
      </c>
      <c r="BC125" s="90" t="str">
        <f ca="1">IF(BC123&lt;&gt;"",IF(OR(COUNTIF('盛付札（関数）'!BC121,"*キャラ*"),COUNTIF('盛付札（関数）'!BC121,"*赤*")),24,
VLOOKUP('盛付札（関数）'!BC121,商品マスタ一覧!$D:$I,6,FALSE)),"")</f>
        <v/>
      </c>
      <c r="BD125" s="89" t="str">
        <f ca="1">IF(BC123&lt;&gt;"","　端数","")</f>
        <v/>
      </c>
      <c r="BE125" s="90"/>
      <c r="BF125" s="89" t="str">
        <f ca="1">IF(BC123&lt;&gt;"","アレルギー","")</f>
        <v/>
      </c>
      <c r="BG125" s="93"/>
      <c r="BJ125" s="89" t="str">
        <f ca="1">IF(BK123&lt;&gt;"","パン箱","")</f>
        <v/>
      </c>
      <c r="BK125" s="90" t="str">
        <f ca="1">IF(BK123&lt;&gt;"",IF(OR(COUNTIF('盛付札（関数）'!BK121,"*キャラ*"),COUNTIF('盛付札（関数）'!BK121,"*赤*")),24,
VLOOKUP('盛付札（関数）'!BK121,商品マスタ一覧!$D:$I,6,FALSE)),"")</f>
        <v/>
      </c>
      <c r="BL125" s="89" t="str">
        <f ca="1">IF(BK123&lt;&gt;"","　端数","")</f>
        <v/>
      </c>
      <c r="BM125" s="90"/>
      <c r="BN125" s="89" t="str">
        <f ca="1">IF(BK123&lt;&gt;"","アレルギー","")</f>
        <v/>
      </c>
      <c r="BO125" s="93"/>
      <c r="BP125" s="76"/>
      <c r="BQ125" s="89" t="str">
        <f ca="1">IF(BR123&lt;&gt;"","パン箱","")</f>
        <v/>
      </c>
      <c r="BR125" s="90" t="str">
        <f ca="1">IF(BR123&lt;&gt;"",IF(OR(COUNTIF('盛付札（関数）'!BR121,"*キャラ*"),COUNTIF('盛付札（関数）'!BR121,"*赤*")),24,
VLOOKUP('盛付札（関数）'!BR121,商品マスタ一覧!$D:$I,6,FALSE)),"")</f>
        <v/>
      </c>
      <c r="BS125" s="89" t="str">
        <f ca="1">IF(BR123&lt;&gt;"","　端数","")</f>
        <v/>
      </c>
      <c r="BT125" s="90"/>
      <c r="BU125" s="89" t="str">
        <f ca="1">IF(BR123&lt;&gt;"","アレルギー","")</f>
        <v/>
      </c>
      <c r="BV125" s="93"/>
      <c r="BY125" s="89" t="str">
        <f ca="1">IF(BZ123&lt;&gt;"","パン箱","")</f>
        <v/>
      </c>
      <c r="BZ125" s="90" t="str">
        <f ca="1">IF(BZ123&lt;&gt;"",IF(OR(COUNTIF('盛付札（関数）'!BZ121,"*キャラ*"),COUNTIF('盛付札（関数）'!BZ121,"*赤*")),24,
VLOOKUP('盛付札（関数）'!BZ121,商品マスタ一覧!$D:$I,6,FALSE)),"")</f>
        <v/>
      </c>
      <c r="CA125" s="89" t="str">
        <f ca="1">IF(BZ123&lt;&gt;"","　端数","")</f>
        <v/>
      </c>
      <c r="CB125" s="90"/>
      <c r="CC125" s="89" t="str">
        <f ca="1">IF(BZ123&lt;&gt;"","アレルギー","")</f>
        <v/>
      </c>
      <c r="CD125" s="93"/>
      <c r="CE125" s="76"/>
      <c r="CF125" s="89" t="str">
        <f ca="1">IF(CG123&lt;&gt;"","パン箱","")</f>
        <v/>
      </c>
      <c r="CG125" s="90" t="str">
        <f ca="1">IF(CG123&lt;&gt;"",IF(OR(COUNTIF('盛付札（関数）'!CG121,"*キャラ*"),COUNTIF('盛付札（関数）'!CG121,"*赤*")),24,
VLOOKUP('盛付札（関数）'!CG121,商品マスタ一覧!$D:$I,6,FALSE)),"")</f>
        <v/>
      </c>
      <c r="CH125" s="89" t="str">
        <f ca="1">IF(CG123&lt;&gt;"","　端数","")</f>
        <v/>
      </c>
      <c r="CI125" s="90"/>
      <c r="CJ125" s="89" t="str">
        <f ca="1">IF(CG123&lt;&gt;"","アレルギー","")</f>
        <v/>
      </c>
      <c r="CK125" s="93"/>
      <c r="CN125" s="89" t="str">
        <f ca="1">IF(CO123&lt;&gt;"","パン箱","")</f>
        <v/>
      </c>
      <c r="CO125" s="90" t="str">
        <f ca="1">IF(CO123&lt;&gt;"",IF(OR(COUNTIF('盛付札（関数）'!CO121,"*キャラ*"),COUNTIF('盛付札（関数）'!CO121,"*赤*")),24,
VLOOKUP('盛付札（関数）'!CO121,商品マスタ一覧!$D:$I,6,FALSE)),"")</f>
        <v/>
      </c>
      <c r="CP125" s="89" t="str">
        <f ca="1">IF(CO123&lt;&gt;"","　端数","")</f>
        <v/>
      </c>
      <c r="CQ125" s="90"/>
      <c r="CR125" s="89" t="str">
        <f ca="1">IF(CO123&lt;&gt;"","アレルギー","")</f>
        <v/>
      </c>
      <c r="CS125" s="93"/>
      <c r="CT125" s="76"/>
      <c r="CU125" s="89" t="str">
        <f ca="1">IF(CV123&lt;&gt;"","パン箱","")</f>
        <v/>
      </c>
      <c r="CV125" s="90" t="str">
        <f ca="1">IF(CV123&lt;&gt;"",IF(OR(COUNTIF('盛付札（関数）'!CV121,"*キャラ*"),COUNTIF('盛付札（関数）'!CV121,"*赤*")),24,
VLOOKUP('盛付札（関数）'!CV121,商品マスタ一覧!$D:$I,6,FALSE)),"")</f>
        <v/>
      </c>
      <c r="CW125" s="89" t="str">
        <f ca="1">IF(CV123&lt;&gt;"","　端数","")</f>
        <v/>
      </c>
      <c r="CX125" s="90"/>
      <c r="CY125" s="89" t="str">
        <f ca="1">IF(CV123&lt;&gt;"","アレルギー","")</f>
        <v/>
      </c>
      <c r="CZ125" s="93"/>
      <c r="DC125" s="89" t="str">
        <f ca="1">IF(DD123&lt;&gt;"","パン箱","")</f>
        <v/>
      </c>
      <c r="DD125" s="90" t="str">
        <f ca="1">IF(DD123&lt;&gt;"",IF(OR(COUNTIF('盛付札（関数）'!DD121,"*キャラ*"),COUNTIF('盛付札（関数）'!DD121,"*赤*")),24,
VLOOKUP('盛付札（関数）'!DD121,商品マスタ一覧!$D:$I,6,FALSE)),"")</f>
        <v/>
      </c>
      <c r="DE125" s="89" t="str">
        <f ca="1">IF(DD123&lt;&gt;"","　端数","")</f>
        <v/>
      </c>
      <c r="DF125" s="90"/>
      <c r="DG125" s="89" t="str">
        <f ca="1">IF(DD123&lt;&gt;"","アレルギー","")</f>
        <v/>
      </c>
      <c r="DH125" s="93"/>
      <c r="DI125" s="76"/>
      <c r="DJ125" s="89" t="str">
        <f ca="1">IF(DK123&lt;&gt;"","パン箱","")</f>
        <v/>
      </c>
      <c r="DK125" s="90" t="str">
        <f ca="1">IF(DK123&lt;&gt;"",IF(OR(COUNTIF('盛付札（関数）'!DK121,"*キャラ*"),COUNTIF('盛付札（関数）'!DK121,"*赤*")),24,
VLOOKUP('盛付札（関数）'!DK121,商品マスタ一覧!$D:$I,6,FALSE)),"")</f>
        <v/>
      </c>
      <c r="DL125" s="89" t="str">
        <f ca="1">IF(DK123&lt;&gt;"","　端数","")</f>
        <v/>
      </c>
      <c r="DM125" s="90"/>
      <c r="DN125" s="89" t="str">
        <f ca="1">IF(DK123&lt;&gt;"","アレルギー","")</f>
        <v/>
      </c>
      <c r="DO125" s="93"/>
      <c r="DR125" s="89" t="str">
        <f ca="1">IF(DS123&lt;&gt;"","パン箱","")</f>
        <v/>
      </c>
      <c r="DS125" s="90" t="str">
        <f ca="1">IF(DS123&lt;&gt;"",IF(OR(COUNTIF('盛付札（関数）'!DS121,"*キャラ*"),COUNTIF('盛付札（関数）'!DS121,"*赤*")),24,
VLOOKUP('盛付札（関数）'!DS121,商品マスタ一覧!$D:$I,6,FALSE)),"")</f>
        <v/>
      </c>
      <c r="DT125" s="89" t="str">
        <f ca="1">IF(DS123&lt;&gt;"","　端数","")</f>
        <v/>
      </c>
      <c r="DU125" s="90"/>
      <c r="DV125" s="89" t="str">
        <f ca="1">IF(DS123&lt;&gt;"","アレルギー","")</f>
        <v/>
      </c>
      <c r="DW125" s="93"/>
      <c r="DX125" s="76"/>
      <c r="DY125" s="89" t="str">
        <f ca="1">IF(DZ123&lt;&gt;"","パン箱","")</f>
        <v/>
      </c>
      <c r="DZ125" s="90" t="str">
        <f ca="1">IF(DZ123&lt;&gt;"",IF(OR(COUNTIF('盛付札（関数）'!DZ121,"*キャラ*"),COUNTIF('盛付札（関数）'!DZ121,"*赤*")),24,
VLOOKUP('盛付札（関数）'!DZ121,商品マスタ一覧!$D:$I,6,FALSE)),"")</f>
        <v/>
      </c>
      <c r="EA125" s="89" t="str">
        <f ca="1">IF(DZ123&lt;&gt;"","　端数","")</f>
        <v/>
      </c>
      <c r="EB125" s="90"/>
      <c r="EC125" s="89" t="str">
        <f ca="1">IF(DZ123&lt;&gt;"","アレルギー","")</f>
        <v/>
      </c>
      <c r="ED125" s="93"/>
      <c r="EG125" s="89" t="str">
        <f ca="1">IF(EH123&lt;&gt;"","パン箱","")</f>
        <v/>
      </c>
      <c r="EH125" s="90" t="str">
        <f ca="1">IF(EH123&lt;&gt;"",IF(OR(COUNTIF('盛付札（関数）'!EH121,"*キャラ*"),COUNTIF('盛付札（関数）'!EH121,"*赤*")),24,
VLOOKUP('盛付札（関数）'!EH121,商品マスタ一覧!$D:$I,6,FALSE)),"")</f>
        <v/>
      </c>
      <c r="EI125" s="89" t="str">
        <f ca="1">IF(EH123&lt;&gt;"","　端数","")</f>
        <v/>
      </c>
      <c r="EJ125" s="90"/>
      <c r="EK125" s="89" t="str">
        <f ca="1">IF(EH123&lt;&gt;"","アレルギー","")</f>
        <v/>
      </c>
      <c r="EL125" s="93"/>
      <c r="EM125" s="76"/>
      <c r="EN125" s="89" t="str">
        <f ca="1">IF(EO123&lt;&gt;"","パン箱","")</f>
        <v/>
      </c>
      <c r="EO125" s="90" t="str">
        <f ca="1">IF(EO123&lt;&gt;"",IF(OR(COUNTIF('盛付札（関数）'!EO121,"*キャラ*"),COUNTIF('盛付札（関数）'!EO121,"*赤*")),24,
VLOOKUP('盛付札（関数）'!EO121,商品マスタ一覧!$D:$I,6,FALSE)),"")</f>
        <v/>
      </c>
      <c r="EP125" s="89" t="str">
        <f ca="1">IF(EO123&lt;&gt;"","　端数","")</f>
        <v/>
      </c>
      <c r="EQ125" s="90"/>
      <c r="ER125" s="89" t="str">
        <f ca="1">IF(EO123&lt;&gt;"","アレルギー","")</f>
        <v/>
      </c>
      <c r="ES125" s="93"/>
      <c r="EU125" s="78">
        <f t="shared" si="10"/>
        <v>56</v>
      </c>
      <c r="EV125" s="78" t="str">
        <f t="array" aca="1" ref="EV125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LEN(SUBSTITUTE(_xlfn.FORMULATEXT(EV$112),"=","")))+$EU125)</f>
        <v/>
      </c>
      <c r="EW125" s="78" t="str">
        <f t="array" aca="1" ref="EW125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LEN(SUBSTITUTE(_xlfn.FORMULATEXT(EW$112),"=","")))+$EU125)</f>
        <v/>
      </c>
      <c r="EX125" s="78" t="str">
        <f t="array" aca="1" ref="EX125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LEN(SUBSTITUTE(_xlfn.FORMULATEXT(EX$112),"=","")))+$EU125)</f>
        <v/>
      </c>
      <c r="EY125" s="78" t="str">
        <f t="array" aca="1" ref="EY125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LEN(SUBSTITUTE(_xlfn.FORMULATEXT(EY$112),"=","")))+$EU125)</f>
        <v/>
      </c>
      <c r="EZ125" s="78" t="str">
        <f t="array" aca="1" ref="EZ125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LEN(SUBSTITUTE(_xlfn.FORMULATEXT(EZ$112),"=","")))+$EU125)</f>
        <v/>
      </c>
      <c r="FA125" s="78" t="str">
        <f t="array" aca="1" ref="FA125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LEN(SUBSTITUTE(_xlfn.FORMULATEXT(FA$112),"=","")))+$EU125)</f>
        <v/>
      </c>
      <c r="FB125" s="78" t="str">
        <f t="array" aca="1" ref="FB125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LEN(SUBSTITUTE(_xlfn.FORMULATEXT(FB$112),"=","")))+$EU125)</f>
        <v/>
      </c>
      <c r="FC125" s="78" t="str">
        <f t="array" aca="1" ref="FC125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LEN(SUBSTITUTE(_xlfn.FORMULATEXT(FC$112),"=","")))+$EU125)</f>
        <v/>
      </c>
      <c r="FD125" s="78" t="str">
        <f t="array" aca="1" ref="FD125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LEN(SUBSTITUTE(_xlfn.FORMULATEXT(FD$112),"=","")))+$EU125)</f>
        <v/>
      </c>
      <c r="FE125" s="78" t="str">
        <f t="array" aca="1" ref="FE125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LEN(SUBSTITUTE(_xlfn.FORMULATEXT(FE$112),"=","")))+$EU125)</f>
        <v/>
      </c>
      <c r="FF125" s="78" t="str">
        <f t="array" aca="1" ref="FF125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LEN(SUBSTITUTE(_xlfn.FORMULATEXT(FF$112),"=","")))+$EU125)</f>
        <v/>
      </c>
      <c r="FG125" s="78">
        <f t="shared" ca="1" si="9"/>
        <v>0</v>
      </c>
      <c r="FH125" s="78" t="b">
        <f t="array" aca="1" ref="FH125" ca="1">SUMPRODUCT((LEN(EV125:FF125)&gt;0)*1)&gt;0</f>
        <v>0</v>
      </c>
    </row>
    <row r="126" spans="2:175" ht="27.6" x14ac:dyDescent="0.45">
      <c r="B126" s="244" t="str">
        <f ca="1">IF(C123&lt;&gt;"",
IFERROR(INT(C123/C125),""),"")</f>
        <v/>
      </c>
      <c r="C126" s="245"/>
      <c r="D126" s="244" t="str">
        <f ca="1">IFERROR(MOD(C123,C125),"")</f>
        <v/>
      </c>
      <c r="E126" s="245"/>
      <c r="F126" s="246" t="str">
        <f ca="1">IF(C120&lt;&gt;"",G122+G123,"")</f>
        <v/>
      </c>
      <c r="G126" s="245"/>
      <c r="I126" s="244" t="str">
        <f ca="1">IF(J123&lt;&gt;"",
IFERROR(INT(J123/J125),""),"")</f>
        <v/>
      </c>
      <c r="J126" s="245"/>
      <c r="K126" s="244" t="str">
        <f ca="1">IFERROR(MOD(J123,J125),"")</f>
        <v/>
      </c>
      <c r="L126" s="245"/>
      <c r="M126" s="246" t="str">
        <f ca="1">IF(J120&lt;&gt;"",N122+N123,"")</f>
        <v/>
      </c>
      <c r="N126" s="245"/>
      <c r="Q126" s="244" t="str">
        <f ca="1">IF(R123&lt;&gt;"",
IFERROR(INT(R123/R125),""),"")</f>
        <v/>
      </c>
      <c r="R126" s="245"/>
      <c r="S126" s="244" t="str">
        <f ca="1">IFERROR(MOD(R123,R125),"")</f>
        <v/>
      </c>
      <c r="T126" s="245"/>
      <c r="U126" s="246" t="str">
        <f ca="1">IF(R120&lt;&gt;"",V122+V123,"")</f>
        <v/>
      </c>
      <c r="V126" s="245"/>
      <c r="X126" s="244" t="str">
        <f ca="1">IF(Y123&lt;&gt;"",
IFERROR(INT(Y123/Y125),""),"")</f>
        <v/>
      </c>
      <c r="Y126" s="245"/>
      <c r="Z126" s="244" t="str">
        <f ca="1">IFERROR(MOD(Y123,Y125),"")</f>
        <v/>
      </c>
      <c r="AA126" s="245"/>
      <c r="AB126" s="246" t="str">
        <f ca="1">IF(Y120&lt;&gt;"",AC122+AC123,"")</f>
        <v/>
      </c>
      <c r="AC126" s="245"/>
      <c r="AF126" s="244" t="str">
        <f ca="1">IF(AG123&lt;&gt;"",
IFERROR(INT(AG123/AG125),""),"")</f>
        <v/>
      </c>
      <c r="AG126" s="245"/>
      <c r="AH126" s="244" t="str">
        <f ca="1">IFERROR(MOD(AG123,AG125),"")</f>
        <v/>
      </c>
      <c r="AI126" s="245"/>
      <c r="AJ126" s="246" t="str">
        <f ca="1">IF(AG120&lt;&gt;"",AK122+AK123,"")</f>
        <v/>
      </c>
      <c r="AK126" s="245"/>
      <c r="AM126" s="244" t="str">
        <f ca="1">IF(AN123&lt;&gt;"",
IFERROR(INT(AN123/AN125),""),"")</f>
        <v/>
      </c>
      <c r="AN126" s="245"/>
      <c r="AO126" s="244" t="str">
        <f ca="1">IFERROR(MOD(AN123,AN125),"")</f>
        <v/>
      </c>
      <c r="AP126" s="245"/>
      <c r="AQ126" s="246" t="str">
        <f ca="1">IF(AN120&lt;&gt;"",AR122+AR123,"")</f>
        <v/>
      </c>
      <c r="AR126" s="245"/>
      <c r="AU126" s="244" t="str">
        <f ca="1">IF(AV123&lt;&gt;"",
IFERROR(INT(AV123/AV125),""),"")</f>
        <v/>
      </c>
      <c r="AV126" s="245"/>
      <c r="AW126" s="244" t="str">
        <f ca="1">IFERROR(MOD(AV123,AV125),"")</f>
        <v/>
      </c>
      <c r="AX126" s="245"/>
      <c r="AY126" s="246" t="str">
        <f ca="1">IF(AV120&lt;&gt;"",AZ122+AZ123,"")</f>
        <v/>
      </c>
      <c r="AZ126" s="245"/>
      <c r="BB126" s="244" t="str">
        <f ca="1">IF(BC123&lt;&gt;"",
IFERROR(INT(BC123/BC125),""),"")</f>
        <v/>
      </c>
      <c r="BC126" s="245"/>
      <c r="BD126" s="244" t="str">
        <f ca="1">IFERROR(MOD(BC123,BC125),"")</f>
        <v/>
      </c>
      <c r="BE126" s="245"/>
      <c r="BF126" s="246" t="str">
        <f ca="1">IF(BC120&lt;&gt;"",BG122+BG123,"")</f>
        <v/>
      </c>
      <c r="BG126" s="245"/>
      <c r="BJ126" s="244" t="str">
        <f ca="1">IF(BK123&lt;&gt;"",
IFERROR(INT(BK123/BK125),""),"")</f>
        <v/>
      </c>
      <c r="BK126" s="245"/>
      <c r="BL126" s="244" t="str">
        <f ca="1">IFERROR(MOD(BK123,BK125),"")</f>
        <v/>
      </c>
      <c r="BM126" s="245"/>
      <c r="BN126" s="246" t="str">
        <f ca="1">IF(BK120&lt;&gt;"",BO122+BO123,"")</f>
        <v/>
      </c>
      <c r="BO126" s="245"/>
      <c r="BQ126" s="244" t="str">
        <f ca="1">IF(BR123&lt;&gt;"",
IFERROR(INT(BR123/BR125),""),"")</f>
        <v/>
      </c>
      <c r="BR126" s="245"/>
      <c r="BS126" s="244" t="str">
        <f ca="1">IFERROR(MOD(BR123,BR125),"")</f>
        <v/>
      </c>
      <c r="BT126" s="245"/>
      <c r="BU126" s="246" t="str">
        <f ca="1">IF(BR120&lt;&gt;"",BV122+BV123,"")</f>
        <v/>
      </c>
      <c r="BV126" s="245"/>
      <c r="BY126" s="244" t="str">
        <f ca="1">IF(BZ123&lt;&gt;"",
IFERROR(INT(BZ123/BZ125),""),"")</f>
        <v/>
      </c>
      <c r="BZ126" s="245"/>
      <c r="CA126" s="244" t="str">
        <f ca="1">IFERROR(MOD(BZ123,BZ125),"")</f>
        <v/>
      </c>
      <c r="CB126" s="245"/>
      <c r="CC126" s="246" t="str">
        <f ca="1">IF(BZ120&lt;&gt;"",CD122+CD123,"")</f>
        <v/>
      </c>
      <c r="CD126" s="245"/>
      <c r="CF126" s="244" t="str">
        <f ca="1">IF(CG123&lt;&gt;"",
IFERROR(INT(CG123/CG125),""),"")</f>
        <v/>
      </c>
      <c r="CG126" s="245"/>
      <c r="CH126" s="244" t="str">
        <f ca="1">IFERROR(MOD(CG123,CG125),"")</f>
        <v/>
      </c>
      <c r="CI126" s="245"/>
      <c r="CJ126" s="246" t="str">
        <f ca="1">IF(CG120&lt;&gt;"",CK122+CK123,"")</f>
        <v/>
      </c>
      <c r="CK126" s="245"/>
      <c r="CN126" s="244" t="str">
        <f ca="1">IF(CO123&lt;&gt;"",
IFERROR(INT(CO123/CO125),""),"")</f>
        <v/>
      </c>
      <c r="CO126" s="245"/>
      <c r="CP126" s="244" t="str">
        <f ca="1">IFERROR(MOD(CO123,CO125),"")</f>
        <v/>
      </c>
      <c r="CQ126" s="245"/>
      <c r="CR126" s="246" t="str">
        <f ca="1">IF(CO120&lt;&gt;"",CS122+CS123,"")</f>
        <v/>
      </c>
      <c r="CS126" s="245"/>
      <c r="CU126" s="244" t="str">
        <f ca="1">IF(CV123&lt;&gt;"",
IFERROR(INT(CV123/CV125),""),"")</f>
        <v/>
      </c>
      <c r="CV126" s="245"/>
      <c r="CW126" s="244" t="str">
        <f ca="1">IFERROR(MOD(CV123,CV125),"")</f>
        <v/>
      </c>
      <c r="CX126" s="245"/>
      <c r="CY126" s="246" t="str">
        <f ca="1">IF(CV120&lt;&gt;"",CZ122+CZ123,"")</f>
        <v/>
      </c>
      <c r="CZ126" s="245"/>
      <c r="DC126" s="244" t="str">
        <f ca="1">IF(DD123&lt;&gt;"",
IFERROR(INT(DD123/DD125),""),"")</f>
        <v/>
      </c>
      <c r="DD126" s="245"/>
      <c r="DE126" s="244" t="str">
        <f ca="1">IFERROR(MOD(DD123,DD125),"")</f>
        <v/>
      </c>
      <c r="DF126" s="245"/>
      <c r="DG126" s="246" t="str">
        <f ca="1">IF(DD120&lt;&gt;"",DH122+DH123,"")</f>
        <v/>
      </c>
      <c r="DH126" s="245"/>
      <c r="DJ126" s="244" t="str">
        <f ca="1">IF(DK123&lt;&gt;"",
IFERROR(INT(DK123/DK125),""),"")</f>
        <v/>
      </c>
      <c r="DK126" s="245"/>
      <c r="DL126" s="244" t="str">
        <f ca="1">IFERROR(MOD(DK123,DK125),"")</f>
        <v/>
      </c>
      <c r="DM126" s="245"/>
      <c r="DN126" s="246" t="str">
        <f ca="1">IF(DK120&lt;&gt;"",DO122+DO123,"")</f>
        <v/>
      </c>
      <c r="DO126" s="245"/>
      <c r="DR126" s="244" t="str">
        <f ca="1">IF(DS123&lt;&gt;"",
IFERROR(INT(DS123/DS125),""),"")</f>
        <v/>
      </c>
      <c r="DS126" s="245"/>
      <c r="DT126" s="244" t="str">
        <f ca="1">IFERROR(MOD(DS123,DS125),"")</f>
        <v/>
      </c>
      <c r="DU126" s="245"/>
      <c r="DV126" s="246" t="str">
        <f ca="1">IF(DS120&lt;&gt;"",DW122+DW123,"")</f>
        <v/>
      </c>
      <c r="DW126" s="245"/>
      <c r="DY126" s="244" t="str">
        <f ca="1">IF(DZ123&lt;&gt;"",
IFERROR(INT(DZ123/DZ125),""),"")</f>
        <v/>
      </c>
      <c r="DZ126" s="245"/>
      <c r="EA126" s="244" t="str">
        <f ca="1">IFERROR(MOD(DZ123,DZ125),"")</f>
        <v/>
      </c>
      <c r="EB126" s="245"/>
      <c r="EC126" s="246" t="str">
        <f ca="1">IF(DZ120&lt;&gt;"",ED122+ED123,"")</f>
        <v/>
      </c>
      <c r="ED126" s="245"/>
      <c r="EG126" s="244" t="str">
        <f ca="1">IF(EH123&lt;&gt;"",
IFERROR(INT(EH123/EH125),""),"")</f>
        <v/>
      </c>
      <c r="EH126" s="245"/>
      <c r="EI126" s="244" t="str">
        <f ca="1">IFERROR(MOD(EH123,EH125),"")</f>
        <v/>
      </c>
      <c r="EJ126" s="245"/>
      <c r="EK126" s="246" t="str">
        <f ca="1">IF(EH120&lt;&gt;"",EL122+EL123,"")</f>
        <v/>
      </c>
      <c r="EL126" s="245"/>
      <c r="EN126" s="244" t="str">
        <f ca="1">IF(EO123&lt;&gt;"",
IFERROR(INT(EO123/EO125),""),"")</f>
        <v/>
      </c>
      <c r="EO126" s="245"/>
      <c r="EP126" s="244" t="str">
        <f ca="1">IFERROR(MOD(EO123,EO125),"")</f>
        <v/>
      </c>
      <c r="EQ126" s="245"/>
      <c r="ER126" s="246" t="str">
        <f ca="1">IF(EO120&lt;&gt;"",ES122+ES123,"")</f>
        <v/>
      </c>
      <c r="ES126" s="245"/>
      <c r="EU126" s="78">
        <f t="shared" si="10"/>
        <v>98</v>
      </c>
      <c r="EV126" s="78" t="str">
        <f t="array" aca="1" ref="EV126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LEN(SUBSTITUTE(_xlfn.FORMULATEXT(EV$112),"=","")))+$EU126)</f>
        <v/>
      </c>
      <c r="EW126" s="78" t="str">
        <f t="array" aca="1" ref="EW126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LEN(SUBSTITUTE(_xlfn.FORMULATEXT(EW$112),"=","")))+$EU126)</f>
        <v/>
      </c>
      <c r="EX126" s="78" t="str">
        <f t="array" aca="1" ref="EX126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LEN(SUBSTITUTE(_xlfn.FORMULATEXT(EX$112),"=","")))+$EU126)</f>
        <v/>
      </c>
      <c r="EY126" s="78" t="str">
        <f t="array" aca="1" ref="EY126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LEN(SUBSTITUTE(_xlfn.FORMULATEXT(EY$112),"=","")))+$EU126)</f>
        <v/>
      </c>
      <c r="EZ126" s="78" t="str">
        <f t="array" aca="1" ref="EZ126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LEN(SUBSTITUTE(_xlfn.FORMULATEXT(EZ$112),"=","")))+$EU126)</f>
        <v/>
      </c>
      <c r="FA126" s="78" t="str">
        <f t="array" aca="1" ref="FA126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LEN(SUBSTITUTE(_xlfn.FORMULATEXT(FA$112),"=","")))+$EU126)</f>
        <v/>
      </c>
      <c r="FB126" s="78" t="str">
        <f t="array" aca="1" ref="FB126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LEN(SUBSTITUTE(_xlfn.FORMULATEXT(FB$112),"=","")))+$EU126)</f>
        <v/>
      </c>
      <c r="FC126" s="78" t="str">
        <f t="array" aca="1" ref="FC126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LEN(SUBSTITUTE(_xlfn.FORMULATEXT(FC$112),"=","")))+$EU126)</f>
        <v/>
      </c>
      <c r="FD126" s="78" t="str">
        <f t="array" aca="1" ref="FD126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LEN(SUBSTITUTE(_xlfn.FORMULATEXT(FD$112),"=","")))+$EU126)</f>
        <v/>
      </c>
      <c r="FE126" s="78" t="str">
        <f t="array" aca="1" ref="FE126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LEN(SUBSTITUTE(_xlfn.FORMULATEXT(FE$112),"=","")))+$EU126)</f>
        <v/>
      </c>
      <c r="FF126" s="78" t="str">
        <f t="array" aca="1" ref="FF126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LEN(SUBSTITUTE(_xlfn.FORMULATEXT(FF$112),"=","")))+$EU126)</f>
        <v/>
      </c>
      <c r="FG126" s="78">
        <f t="shared" ca="1" si="9"/>
        <v>0</v>
      </c>
      <c r="FH126" s="78" t="b">
        <f t="array" aca="1" ref="FH126" ca="1">SUMPRODUCT((LEN(EV126:FF126)&gt;0)*1)&gt;0</f>
        <v>0</v>
      </c>
    </row>
    <row r="127" spans="2:175" ht="22.2" x14ac:dyDescent="0.45">
      <c r="EU127" s="78">
        <f t="shared" si="10"/>
        <v>21</v>
      </c>
      <c r="EV127" s="78" t="str">
        <f t="array" aca="1" ref="EV127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LEN(SUBSTITUTE(_xlfn.FORMULATEXT(EV$109),"=","")))+$EU127)</f>
        <v/>
      </c>
      <c r="EW127" s="78" t="str">
        <f t="array" aca="1" ref="EW127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LEN(SUBSTITUTE(_xlfn.FORMULATEXT(EW$109),"=","")))+$EU127)</f>
        <v/>
      </c>
      <c r="EX127" s="78" t="str">
        <f t="array" aca="1" ref="EX127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LEN(SUBSTITUTE(_xlfn.FORMULATEXT(EX$109),"=","")))+$EU127)</f>
        <v/>
      </c>
      <c r="EY127" s="78" t="str">
        <f t="array" aca="1" ref="EY127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LEN(SUBSTITUTE(_xlfn.FORMULATEXT(EY$109),"=","")))+$EU127)</f>
        <v/>
      </c>
      <c r="EZ127" s="78" t="str">
        <f t="array" aca="1" ref="EZ127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LEN(SUBSTITUTE(_xlfn.FORMULATEXT(EZ$109),"=","")))+$EU127)</f>
        <v/>
      </c>
      <c r="FA127" s="78" t="e">
        <f t="array" aca="1" ref="FA127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LEN(SUBSTITUTE(_xlfn.FORMULATEXT(FA$109),"=","")))+$EU127)</f>
        <v>#VALUE!</v>
      </c>
      <c r="FB127" s="78" t="e">
        <f t="array" aca="1" ref="FB127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LEN(SUBSTITUTE(_xlfn.FORMULATEXT(FB$109),"=","")))+$EU127)</f>
        <v>#VALUE!</v>
      </c>
      <c r="FC127" s="78" t="str">
        <f t="array" aca="1" ref="FC127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LEN(SUBSTITUTE(_xlfn.FORMULATEXT(FC$109),"=","")))+$EU127)</f>
        <v/>
      </c>
      <c r="FD127" s="78" t="e">
        <f t="array" aca="1" ref="FD127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LEN(SUBSTITUTE(_xlfn.FORMULATEXT(FD$109),"=","")))+$EU127)</f>
        <v>#VALUE!</v>
      </c>
      <c r="FE127" s="78" t="str">
        <f t="array" aca="1" ref="FE127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LEN(SUBSTITUTE(_xlfn.FORMULATEXT(FE$109),"=","")))+$EU127)</f>
        <v/>
      </c>
      <c r="FF127" s="78" t="e">
        <f t="array" aca="1" ref="FF127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LEN(SUBSTITUTE(_xlfn.FORMULATEXT(FF$109),"=","")))+$EU127)</f>
        <v>#VALUE!</v>
      </c>
      <c r="FG127" s="78">
        <f t="shared" ca="1" si="9"/>
        <v>0</v>
      </c>
      <c r="FH127" s="78" t="e">
        <f t="array" aca="1" ref="FH127" ca="1">SUMPRODUCT((LEN(EV127:FF127)&gt;0)*1)&gt;0</f>
        <v>#VALUE!</v>
      </c>
    </row>
    <row r="128" spans="2:175" ht="22.2" x14ac:dyDescent="0.45">
      <c r="EU128" s="78">
        <f t="shared" si="10"/>
        <v>63</v>
      </c>
      <c r="EV128" s="78" t="str">
        <f t="array" aca="1" ref="EV128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LEN(SUBSTITUTE(_xlfn.FORMULATEXT(EV$109),"=","")))+$EU128)</f>
        <v/>
      </c>
      <c r="EW128" s="78" t="str">
        <f t="array" aca="1" ref="EW128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LEN(SUBSTITUTE(_xlfn.FORMULATEXT(EW$109),"=","")))+$EU128)</f>
        <v/>
      </c>
      <c r="EX128" s="78" t="str">
        <f t="array" aca="1" ref="EX128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LEN(SUBSTITUTE(_xlfn.FORMULATEXT(EX$109),"=","")))+$EU128)</f>
        <v/>
      </c>
      <c r="EY128" s="78" t="str">
        <f t="array" aca="1" ref="EY128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LEN(SUBSTITUTE(_xlfn.FORMULATEXT(EY$109),"=","")))+$EU128)</f>
        <v/>
      </c>
      <c r="EZ128" s="78" t="str">
        <f t="array" aca="1" ref="EZ128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LEN(SUBSTITUTE(_xlfn.FORMULATEXT(EZ$109),"=","")))+$EU128)</f>
        <v/>
      </c>
      <c r="FA128" s="78" t="str">
        <f t="array" aca="1" ref="FA128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LEN(SUBSTITUTE(_xlfn.FORMULATEXT(FA$109),"=","")))+$EU128)</f>
        <v/>
      </c>
      <c r="FB128" s="78" t="str">
        <f t="array" aca="1" ref="FB128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LEN(SUBSTITUTE(_xlfn.FORMULATEXT(FB$109),"=","")))+$EU128)</f>
        <v/>
      </c>
      <c r="FC128" s="78" t="str">
        <f t="array" aca="1" ref="FC128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LEN(SUBSTITUTE(_xlfn.FORMULATEXT(FC$109),"=","")))+$EU128)</f>
        <v/>
      </c>
      <c r="FD128" s="78" t="str">
        <f t="array" aca="1" ref="FD128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LEN(SUBSTITUTE(_xlfn.FORMULATEXT(FD$109),"=","")))+$EU128)</f>
        <v/>
      </c>
      <c r="FE128" s="78" t="str">
        <f t="array" aca="1" ref="FE128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LEN(SUBSTITUTE(_xlfn.FORMULATEXT(FE$109),"=","")))+$EU128)</f>
        <v/>
      </c>
      <c r="FF128" s="78" t="str">
        <f t="array" aca="1" ref="FF128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LEN(SUBSTITUTE(_xlfn.FORMULATEXT(FF$109),"=","")))+$EU128)</f>
        <v/>
      </c>
      <c r="FG128" s="78">
        <f t="shared" ca="1" si="9"/>
        <v>0</v>
      </c>
      <c r="FH128" s="78" t="b">
        <f t="array" aca="1" ref="FH128" ca="1">SUMPRODUCT((LEN(EV128:FF128)&gt;0)*1)&gt;0</f>
        <v>0</v>
      </c>
    </row>
    <row r="129" spans="151:164" ht="22.2" x14ac:dyDescent="0.45">
      <c r="EU129" s="78">
        <f t="shared" si="10"/>
        <v>105</v>
      </c>
      <c r="EV129" s="78" t="str">
        <f t="array" aca="1" ref="EV129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LEN(SUBSTITUTE(_xlfn.FORMULATEXT(EV$109),"=","")))+$EU129)</f>
        <v/>
      </c>
      <c r="EW129" s="78" t="str">
        <f t="array" aca="1" ref="EW129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LEN(SUBSTITUTE(_xlfn.FORMULATEXT(EW$109),"=","")))+$EU129)</f>
        <v/>
      </c>
      <c r="EX129" s="78" t="str">
        <f t="array" aca="1" ref="EX129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LEN(SUBSTITUTE(_xlfn.FORMULATEXT(EX$109),"=","")))+$EU129)</f>
        <v/>
      </c>
      <c r="EY129" s="78" t="str">
        <f t="array" aca="1" ref="EY129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LEN(SUBSTITUTE(_xlfn.FORMULATEXT(EY$109),"=","")))+$EU129)</f>
        <v/>
      </c>
      <c r="EZ129" s="78" t="str">
        <f t="array" aca="1" ref="EZ129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LEN(SUBSTITUTE(_xlfn.FORMULATEXT(EZ$109),"=","")))+$EU129)</f>
        <v/>
      </c>
      <c r="FA129" s="78" t="str">
        <f t="array" aca="1" ref="FA129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LEN(SUBSTITUTE(_xlfn.FORMULATEXT(FA$109),"=","")))+$EU129)</f>
        <v/>
      </c>
      <c r="FB129" s="78" t="str">
        <f t="array" aca="1" ref="FB129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LEN(SUBSTITUTE(_xlfn.FORMULATEXT(FB$109),"=","")))+$EU129)</f>
        <v/>
      </c>
      <c r="FC129" s="78" t="str">
        <f t="array" aca="1" ref="FC129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LEN(SUBSTITUTE(_xlfn.FORMULATEXT(FC$109),"=","")))+$EU129)</f>
        <v/>
      </c>
      <c r="FD129" s="78" t="str">
        <f t="array" aca="1" ref="FD129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LEN(SUBSTITUTE(_xlfn.FORMULATEXT(FD$109),"=","")))+$EU129)</f>
        <v/>
      </c>
      <c r="FE129" s="78" t="str">
        <f t="array" aca="1" ref="FE129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LEN(SUBSTITUTE(_xlfn.FORMULATEXT(FE$109),"=","")))+$EU129)</f>
        <v/>
      </c>
      <c r="FF129" s="78" t="str">
        <f t="array" aca="1" ref="FF129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LEN(SUBSTITUTE(_xlfn.FORMULATEXT(FF$109),"=","")))+$EU129)</f>
        <v/>
      </c>
      <c r="FG129" s="78">
        <f t="shared" ca="1" si="9"/>
        <v>0</v>
      </c>
      <c r="FH129" s="78" t="b">
        <f t="array" aca="1" ref="FH129" ca="1">SUMPRODUCT((LEN(EV129:FF129)&gt;0)*1)&gt;0</f>
        <v>0</v>
      </c>
    </row>
    <row r="130" spans="151:164" ht="22.2" x14ac:dyDescent="0.45">
      <c r="EU130" s="87">
        <f t="shared" si="10"/>
        <v>21</v>
      </c>
      <c r="EV130" s="78" t="str">
        <f t="array" aca="1" ref="EV130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LEN(SUBSTITUTE(_xlfn.FORMULATEXT(EV$112),"=","")))+$EU130)</f>
        <v/>
      </c>
      <c r="EW130" s="78" t="str">
        <f t="array" aca="1" ref="EW130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LEN(SUBSTITUTE(_xlfn.FORMULATEXT(EW$112),"=","")))+$EU130)</f>
        <v/>
      </c>
      <c r="EX130" s="78" t="str">
        <f t="array" aca="1" ref="EX130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LEN(SUBSTITUTE(_xlfn.FORMULATEXT(EX$112),"=","")))+$EU130)</f>
        <v/>
      </c>
      <c r="EY130" s="78" t="str">
        <f t="array" aca="1" ref="EY130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LEN(SUBSTITUTE(_xlfn.FORMULATEXT(EY$112),"=","")))+$EU130)</f>
        <v/>
      </c>
      <c r="EZ130" s="78" t="str">
        <f t="array" aca="1" ref="EZ130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LEN(SUBSTITUTE(_xlfn.FORMULATEXT(EZ$112),"=","")))+$EU130)</f>
        <v/>
      </c>
      <c r="FA130" s="78" t="e">
        <f t="array" aca="1" ref="FA130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LEN(SUBSTITUTE(_xlfn.FORMULATEXT(FA$112),"=","")))+$EU130)</f>
        <v>#VALUE!</v>
      </c>
      <c r="FB130" s="78" t="e">
        <f t="array" aca="1" ref="FB130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LEN(SUBSTITUTE(_xlfn.FORMULATEXT(FB$112),"=","")))+$EU130)</f>
        <v>#VALUE!</v>
      </c>
      <c r="FC130" s="78" t="str">
        <f t="array" aca="1" ref="FC130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LEN(SUBSTITUTE(_xlfn.FORMULATEXT(FC$112),"=","")))+$EU130)</f>
        <v/>
      </c>
      <c r="FD130" s="78" t="e">
        <f t="array" aca="1" ref="FD130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LEN(SUBSTITUTE(_xlfn.FORMULATEXT(FD$112),"=","")))+$EU130)</f>
        <v>#VALUE!</v>
      </c>
      <c r="FE130" s="78" t="str">
        <f t="array" aca="1" ref="FE130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LEN(SUBSTITUTE(_xlfn.FORMULATEXT(FE$112),"=","")))+$EU130)</f>
        <v/>
      </c>
      <c r="FF130" s="78" t="e">
        <f t="array" aca="1" ref="FF130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LEN(SUBSTITUTE(_xlfn.FORMULATEXT(FF$112),"=","")))+$EU130)</f>
        <v>#VALUE!</v>
      </c>
      <c r="FG130" s="78">
        <f t="shared" ca="1" si="9"/>
        <v>0</v>
      </c>
      <c r="FH130" s="78" t="e">
        <f t="array" aca="1" ref="FH130" ca="1">SUMPRODUCT((LEN(EV130:FF130)&gt;0)*1)&gt;0</f>
        <v>#VALUE!</v>
      </c>
    </row>
    <row r="131" spans="151:164" ht="22.2" x14ac:dyDescent="0.45">
      <c r="EU131" s="78">
        <f t="shared" si="10"/>
        <v>63</v>
      </c>
      <c r="EV131" s="78" t="str">
        <f t="array" aca="1" ref="EV131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LEN(SUBSTITUTE(_xlfn.FORMULATEXT(EV$112),"=","")))+$EU131)</f>
        <v/>
      </c>
      <c r="EW131" s="78" t="str">
        <f t="array" aca="1" ref="EW131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LEN(SUBSTITUTE(_xlfn.FORMULATEXT(EW$112),"=","")))+$EU131)</f>
        <v/>
      </c>
      <c r="EX131" s="78" t="str">
        <f t="array" aca="1" ref="EX131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LEN(SUBSTITUTE(_xlfn.FORMULATEXT(EX$112),"=","")))+$EU131)</f>
        <v/>
      </c>
      <c r="EY131" s="78" t="str">
        <f t="array" aca="1" ref="EY131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LEN(SUBSTITUTE(_xlfn.FORMULATEXT(EY$112),"=","")))+$EU131)</f>
        <v/>
      </c>
      <c r="EZ131" s="78" t="str">
        <f t="array" aca="1" ref="EZ131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LEN(SUBSTITUTE(_xlfn.FORMULATEXT(EZ$112),"=","")))+$EU131)</f>
        <v/>
      </c>
      <c r="FA131" s="78" t="str">
        <f t="array" aca="1" ref="FA131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LEN(SUBSTITUTE(_xlfn.FORMULATEXT(FA$112),"=","")))+$EU131)</f>
        <v/>
      </c>
      <c r="FB131" s="78" t="str">
        <f t="array" aca="1" ref="FB131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LEN(SUBSTITUTE(_xlfn.FORMULATEXT(FB$112),"=","")))+$EU131)</f>
        <v/>
      </c>
      <c r="FC131" s="78" t="str">
        <f t="array" aca="1" ref="FC131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LEN(SUBSTITUTE(_xlfn.FORMULATEXT(FC$112),"=","")))+$EU131)</f>
        <v/>
      </c>
      <c r="FD131" s="78" t="str">
        <f t="array" aca="1" ref="FD131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LEN(SUBSTITUTE(_xlfn.FORMULATEXT(FD$112),"=","")))+$EU131)</f>
        <v/>
      </c>
      <c r="FE131" s="78" t="str">
        <f t="array" aca="1" ref="FE131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LEN(SUBSTITUTE(_xlfn.FORMULATEXT(FE$112),"=","")))+$EU131)</f>
        <v/>
      </c>
      <c r="FF131" s="78" t="str">
        <f t="array" aca="1" ref="FF131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LEN(SUBSTITUTE(_xlfn.FORMULATEXT(FF$112),"=","")))+$EU131)</f>
        <v/>
      </c>
      <c r="FG131" s="78">
        <f t="shared" ca="1" si="9"/>
        <v>0</v>
      </c>
      <c r="FH131" s="78" t="b">
        <f t="array" aca="1" ref="FH131" ca="1">SUMPRODUCT((LEN(EV131:FF131)&gt;0)*1)&gt;0</f>
        <v>0</v>
      </c>
    </row>
    <row r="132" spans="151:164" ht="22.2" x14ac:dyDescent="0.45">
      <c r="EU132" s="78">
        <f t="shared" si="10"/>
        <v>105</v>
      </c>
      <c r="EV132" s="78" t="str">
        <f t="array" aca="1" ref="EV132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LEN(SUBSTITUTE(_xlfn.FORMULATEXT(EV$112),"=","")))+$EU132)</f>
        <v/>
      </c>
      <c r="EW132" s="78" t="str">
        <f t="array" aca="1" ref="EW132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LEN(SUBSTITUTE(_xlfn.FORMULATEXT(EW$112),"=","")))+$EU132)</f>
        <v/>
      </c>
      <c r="EX132" s="78" t="str">
        <f t="array" aca="1" ref="EX132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LEN(SUBSTITUTE(_xlfn.FORMULATEXT(EX$112),"=","")))+$EU132)</f>
        <v/>
      </c>
      <c r="EY132" s="78" t="str">
        <f t="array" aca="1" ref="EY132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LEN(SUBSTITUTE(_xlfn.FORMULATEXT(EY$112),"=","")))+$EU132)</f>
        <v/>
      </c>
      <c r="EZ132" s="78" t="str">
        <f t="array" aca="1" ref="EZ132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LEN(SUBSTITUTE(_xlfn.FORMULATEXT(EZ$112),"=","")))+$EU132)</f>
        <v/>
      </c>
      <c r="FA132" s="78" t="str">
        <f t="array" aca="1" ref="FA132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LEN(SUBSTITUTE(_xlfn.FORMULATEXT(FA$112),"=","")))+$EU132)</f>
        <v/>
      </c>
      <c r="FB132" s="78" t="str">
        <f t="array" aca="1" ref="FB132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LEN(SUBSTITUTE(_xlfn.FORMULATEXT(FB$112),"=","")))+$EU132)</f>
        <v/>
      </c>
      <c r="FC132" s="78" t="str">
        <f t="array" aca="1" ref="FC132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LEN(SUBSTITUTE(_xlfn.FORMULATEXT(FC$112),"=","")))+$EU132)</f>
        <v/>
      </c>
      <c r="FD132" s="78" t="str">
        <f t="array" aca="1" ref="FD132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LEN(SUBSTITUTE(_xlfn.FORMULATEXT(FD$112),"=","")))+$EU132)</f>
        <v/>
      </c>
      <c r="FE132" s="78" t="str">
        <f t="array" aca="1" ref="FE132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LEN(SUBSTITUTE(_xlfn.FORMULATEXT(FE$112),"=","")))+$EU132)</f>
        <v/>
      </c>
      <c r="FF132" s="78" t="str">
        <f t="array" aca="1" ref="FF132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LEN(SUBSTITUTE(_xlfn.FORMULATEXT(FF$112),"=","")))+$EU132)</f>
        <v/>
      </c>
      <c r="FG132" s="78">
        <f t="shared" ca="1" si="9"/>
        <v>0</v>
      </c>
      <c r="FH132" s="78" t="b">
        <f t="array" aca="1" ref="FH132" ca="1">SUMPRODUCT((LEN(EV132:FF132)&gt;0)*1)&gt;0</f>
        <v>0</v>
      </c>
    </row>
    <row r="133" spans="151:164" ht="22.2" x14ac:dyDescent="0.45">
      <c r="EU133" s="78">
        <f t="shared" si="10"/>
        <v>28</v>
      </c>
      <c r="EV133" s="78" t="str">
        <f t="array" aca="1" ref="EV133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LEN(SUBSTITUTE(_xlfn.FORMULATEXT(EV$109),"=","")))+$EU133)</f>
        <v/>
      </c>
      <c r="EW133" s="78" t="str">
        <f t="array" aca="1" ref="EW133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LEN(SUBSTITUTE(_xlfn.FORMULATEXT(EW$109),"=","")))+$EU133)</f>
        <v/>
      </c>
      <c r="EX133" s="78" t="str">
        <f t="array" aca="1" ref="EX133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LEN(SUBSTITUTE(_xlfn.FORMULATEXT(EX$109),"=","")))+$EU133)</f>
        <v/>
      </c>
      <c r="EY133" s="78" t="str">
        <f t="array" aca="1" ref="EY133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LEN(SUBSTITUTE(_xlfn.FORMULATEXT(EY$109),"=","")))+$EU133)</f>
        <v/>
      </c>
      <c r="EZ133" s="78" t="str">
        <f t="array" aca="1" ref="EZ133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LEN(SUBSTITUTE(_xlfn.FORMULATEXT(EZ$109),"=","")))+$EU133)</f>
        <v/>
      </c>
      <c r="FA133" s="78" t="e">
        <f t="array" aca="1" ref="FA133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LEN(SUBSTITUTE(_xlfn.FORMULATEXT(FA$109),"=","")))+$EU133)</f>
        <v>#VALUE!</v>
      </c>
      <c r="FB133" s="78" t="e">
        <f t="array" aca="1" ref="FB133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LEN(SUBSTITUTE(_xlfn.FORMULATEXT(FB$109),"=","")))+$EU133)</f>
        <v>#VALUE!</v>
      </c>
      <c r="FC133" s="78" t="str">
        <f t="array" aca="1" ref="FC133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LEN(SUBSTITUTE(_xlfn.FORMULATEXT(FC$109),"=","")))+$EU133)</f>
        <v/>
      </c>
      <c r="FD133" s="78" t="e">
        <f t="array" aca="1" ref="FD133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LEN(SUBSTITUTE(_xlfn.FORMULATEXT(FD$109),"=","")))+$EU133)</f>
        <v>#VALUE!</v>
      </c>
      <c r="FE133" s="78" t="str">
        <f t="array" aca="1" ref="FE133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LEN(SUBSTITUTE(_xlfn.FORMULATEXT(FE$109),"=","")))+$EU133)</f>
        <v/>
      </c>
      <c r="FF133" s="78" t="e">
        <f t="array" aca="1" ref="FF133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LEN(SUBSTITUTE(_xlfn.FORMULATEXT(FF$109),"=","")))+$EU133)</f>
        <v>#VALUE!</v>
      </c>
      <c r="FG133" s="78">
        <f t="shared" ca="1" si="9"/>
        <v>0</v>
      </c>
      <c r="FH133" s="78" t="e">
        <f t="array" aca="1" ref="FH133" ca="1">SUMPRODUCT((LEN(EV133:FF133)&gt;0)*1)&gt;0</f>
        <v>#VALUE!</v>
      </c>
    </row>
    <row r="134" spans="151:164" ht="22.2" x14ac:dyDescent="0.45">
      <c r="EU134" s="78">
        <f t="shared" si="10"/>
        <v>70</v>
      </c>
      <c r="EV134" s="78" t="str">
        <f t="array" aca="1" ref="EV134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LEN(SUBSTITUTE(_xlfn.FORMULATEXT(EV$109),"=","")))+$EU134)</f>
        <v/>
      </c>
      <c r="EW134" s="78" t="str">
        <f t="array" aca="1" ref="EW134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LEN(SUBSTITUTE(_xlfn.FORMULATEXT(EW$109),"=","")))+$EU134)</f>
        <v/>
      </c>
      <c r="EX134" s="78" t="str">
        <f t="array" aca="1" ref="EX134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LEN(SUBSTITUTE(_xlfn.FORMULATEXT(EX$109),"=","")))+$EU134)</f>
        <v/>
      </c>
      <c r="EY134" s="78" t="str">
        <f t="array" aca="1" ref="EY134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LEN(SUBSTITUTE(_xlfn.FORMULATEXT(EY$109),"=","")))+$EU134)</f>
        <v/>
      </c>
      <c r="EZ134" s="78" t="str">
        <f t="array" aca="1" ref="EZ134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LEN(SUBSTITUTE(_xlfn.FORMULATEXT(EZ$109),"=","")))+$EU134)</f>
        <v/>
      </c>
      <c r="FA134" s="78" t="str">
        <f t="array" aca="1" ref="FA134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LEN(SUBSTITUTE(_xlfn.FORMULATEXT(FA$109),"=","")))+$EU134)</f>
        <v/>
      </c>
      <c r="FB134" s="78" t="str">
        <f t="array" aca="1" ref="FB134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LEN(SUBSTITUTE(_xlfn.FORMULATEXT(FB$109),"=","")))+$EU134)</f>
        <v/>
      </c>
      <c r="FC134" s="78" t="str">
        <f t="array" aca="1" ref="FC134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LEN(SUBSTITUTE(_xlfn.FORMULATEXT(FC$109),"=","")))+$EU134)</f>
        <v/>
      </c>
      <c r="FD134" s="78" t="str">
        <f t="array" aca="1" ref="FD134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LEN(SUBSTITUTE(_xlfn.FORMULATEXT(FD$109),"=","")))+$EU134)</f>
        <v/>
      </c>
      <c r="FE134" s="78" t="str">
        <f t="array" aca="1" ref="FE134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LEN(SUBSTITUTE(_xlfn.FORMULATEXT(FE$109),"=","")))+$EU134)</f>
        <v/>
      </c>
      <c r="FF134" s="78" t="str">
        <f t="array" aca="1" ref="FF134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LEN(SUBSTITUTE(_xlfn.FORMULATEXT(FF$109),"=","")))+$EU134)</f>
        <v/>
      </c>
      <c r="FG134" s="78">
        <f t="shared" ca="1" si="9"/>
        <v>0</v>
      </c>
      <c r="FH134" s="78" t="b">
        <f t="array" aca="1" ref="FH134" ca="1">SUMPRODUCT((LEN(EV134:FF134)&gt;0)*1)&gt;0</f>
        <v>0</v>
      </c>
    </row>
    <row r="135" spans="151:164" ht="22.2" x14ac:dyDescent="0.45">
      <c r="EU135" s="78">
        <f t="shared" si="10"/>
        <v>112</v>
      </c>
      <c r="EV135" s="78" t="str">
        <f t="array" aca="1" ref="EV135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LEN(SUBSTITUTE(_xlfn.FORMULATEXT(EV$109),"=","")))+$EU135)</f>
        <v/>
      </c>
      <c r="EW135" s="78" t="str">
        <f t="array" aca="1" ref="EW135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LEN(SUBSTITUTE(_xlfn.FORMULATEXT(EW$109),"=","")))+$EU135)</f>
        <v/>
      </c>
      <c r="EX135" s="78" t="str">
        <f t="array" aca="1" ref="EX135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LEN(SUBSTITUTE(_xlfn.FORMULATEXT(EX$109),"=","")))+$EU135)</f>
        <v/>
      </c>
      <c r="EY135" s="78" t="str">
        <f t="array" aca="1" ref="EY135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LEN(SUBSTITUTE(_xlfn.FORMULATEXT(EY$109),"=","")))+$EU135)</f>
        <v/>
      </c>
      <c r="EZ135" s="78" t="str">
        <f t="array" aca="1" ref="EZ135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LEN(SUBSTITUTE(_xlfn.FORMULATEXT(EZ$109),"=","")))+$EU135)</f>
        <v/>
      </c>
      <c r="FA135" s="78" t="str">
        <f t="array" aca="1" ref="FA135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LEN(SUBSTITUTE(_xlfn.FORMULATEXT(FA$109),"=","")))+$EU135)</f>
        <v/>
      </c>
      <c r="FB135" s="78" t="str">
        <f t="array" aca="1" ref="FB135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LEN(SUBSTITUTE(_xlfn.FORMULATEXT(FB$109),"=","")))+$EU135)</f>
        <v/>
      </c>
      <c r="FC135" s="78" t="str">
        <f t="array" aca="1" ref="FC135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LEN(SUBSTITUTE(_xlfn.FORMULATEXT(FC$109),"=","")))+$EU135)</f>
        <v/>
      </c>
      <c r="FD135" s="78" t="str">
        <f t="array" aca="1" ref="FD135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LEN(SUBSTITUTE(_xlfn.FORMULATEXT(FD$109),"=","")))+$EU135)</f>
        <v/>
      </c>
      <c r="FE135" s="78" t="str">
        <f t="array" aca="1" ref="FE135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LEN(SUBSTITUTE(_xlfn.FORMULATEXT(FE$109),"=","")))+$EU135)</f>
        <v/>
      </c>
      <c r="FF135" s="78" t="str">
        <f t="array" aca="1" ref="FF135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LEN(SUBSTITUTE(_xlfn.FORMULATEXT(FF$109),"=","")))+$EU135)</f>
        <v/>
      </c>
      <c r="FG135" s="78">
        <f t="shared" ca="1" si="9"/>
        <v>0</v>
      </c>
      <c r="FH135" s="78" t="b">
        <f t="array" aca="1" ref="FH135" ca="1">SUMPRODUCT((LEN(EV135:FF135)&gt;0)*1)&gt;0</f>
        <v>0</v>
      </c>
    </row>
    <row r="136" spans="151:164" ht="22.2" x14ac:dyDescent="0.45">
      <c r="EU136" s="87">
        <f t="shared" si="10"/>
        <v>28</v>
      </c>
      <c r="EV136" s="78" t="str">
        <f t="array" aca="1" ref="EV136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LEN(SUBSTITUTE(_xlfn.FORMULATEXT(EV$112),"=","")))+$EU136)</f>
        <v/>
      </c>
      <c r="EW136" s="78" t="str">
        <f t="array" aca="1" ref="EW136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LEN(SUBSTITUTE(_xlfn.FORMULATEXT(EW$112),"=","")))+$EU136)</f>
        <v/>
      </c>
      <c r="EX136" s="78" t="str">
        <f t="array" aca="1" ref="EX136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LEN(SUBSTITUTE(_xlfn.FORMULATEXT(EX$112),"=","")))+$EU136)</f>
        <v/>
      </c>
      <c r="EY136" s="78" t="str">
        <f t="array" aca="1" ref="EY136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LEN(SUBSTITUTE(_xlfn.FORMULATEXT(EY$112),"=","")))+$EU136)</f>
        <v/>
      </c>
      <c r="EZ136" s="78" t="str">
        <f t="array" aca="1" ref="EZ136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LEN(SUBSTITUTE(_xlfn.FORMULATEXT(EZ$112),"=","")))+$EU136)</f>
        <v/>
      </c>
      <c r="FA136" s="78" t="e">
        <f t="array" aca="1" ref="FA136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LEN(SUBSTITUTE(_xlfn.FORMULATEXT(FA$112),"=","")))+$EU136)</f>
        <v>#VALUE!</v>
      </c>
      <c r="FB136" s="78" t="e">
        <f t="array" aca="1" ref="FB136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LEN(SUBSTITUTE(_xlfn.FORMULATEXT(FB$112),"=","")))+$EU136)</f>
        <v>#VALUE!</v>
      </c>
      <c r="FC136" s="78" t="str">
        <f t="array" aca="1" ref="FC136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LEN(SUBSTITUTE(_xlfn.FORMULATEXT(FC$112),"=","")))+$EU136)</f>
        <v/>
      </c>
      <c r="FD136" s="78" t="e">
        <f t="array" aca="1" ref="FD136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LEN(SUBSTITUTE(_xlfn.FORMULATEXT(FD$112),"=","")))+$EU136)</f>
        <v>#VALUE!</v>
      </c>
      <c r="FE136" s="78" t="str">
        <f t="array" aca="1" ref="FE136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LEN(SUBSTITUTE(_xlfn.FORMULATEXT(FE$112),"=","")))+$EU136)</f>
        <v/>
      </c>
      <c r="FF136" s="78" t="e">
        <f t="array" aca="1" ref="FF136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LEN(SUBSTITUTE(_xlfn.FORMULATEXT(FF$112),"=","")))+$EU136)</f>
        <v>#VALUE!</v>
      </c>
      <c r="FG136" s="78">
        <f t="shared" ca="1" si="9"/>
        <v>0</v>
      </c>
      <c r="FH136" s="78" t="e">
        <f t="array" aca="1" ref="FH136" ca="1">SUMPRODUCT((LEN(EV136:FF136)&gt;0)*1)&gt;0</f>
        <v>#VALUE!</v>
      </c>
    </row>
    <row r="137" spans="151:164" ht="22.2" x14ac:dyDescent="0.45">
      <c r="EU137" s="78">
        <f t="shared" si="10"/>
        <v>70</v>
      </c>
      <c r="EV137" s="78" t="str">
        <f t="array" aca="1" ref="EV137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LEN(SUBSTITUTE(_xlfn.FORMULATEXT(EV$112),"=","")))+$EU137)</f>
        <v/>
      </c>
      <c r="EW137" s="78" t="str">
        <f t="array" aca="1" ref="EW137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LEN(SUBSTITUTE(_xlfn.FORMULATEXT(EW$112),"=","")))+$EU137)</f>
        <v/>
      </c>
      <c r="EX137" s="78" t="str">
        <f t="array" aca="1" ref="EX137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LEN(SUBSTITUTE(_xlfn.FORMULATEXT(EX$112),"=","")))+$EU137)</f>
        <v/>
      </c>
      <c r="EY137" s="78" t="str">
        <f t="array" aca="1" ref="EY137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LEN(SUBSTITUTE(_xlfn.FORMULATEXT(EY$112),"=","")))+$EU137)</f>
        <v/>
      </c>
      <c r="EZ137" s="78" t="str">
        <f t="array" aca="1" ref="EZ137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LEN(SUBSTITUTE(_xlfn.FORMULATEXT(EZ$112),"=","")))+$EU137)</f>
        <v/>
      </c>
      <c r="FA137" s="78" t="str">
        <f t="array" aca="1" ref="FA137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LEN(SUBSTITUTE(_xlfn.FORMULATEXT(FA$112),"=","")))+$EU137)</f>
        <v/>
      </c>
      <c r="FB137" s="78" t="str">
        <f t="array" aca="1" ref="FB137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LEN(SUBSTITUTE(_xlfn.FORMULATEXT(FB$112),"=","")))+$EU137)</f>
        <v/>
      </c>
      <c r="FC137" s="78" t="str">
        <f t="array" aca="1" ref="FC137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LEN(SUBSTITUTE(_xlfn.FORMULATEXT(FC$112),"=","")))+$EU137)</f>
        <v/>
      </c>
      <c r="FD137" s="78" t="str">
        <f t="array" aca="1" ref="FD137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LEN(SUBSTITUTE(_xlfn.FORMULATEXT(FD$112),"=","")))+$EU137)</f>
        <v/>
      </c>
      <c r="FE137" s="78" t="str">
        <f t="array" aca="1" ref="FE137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LEN(SUBSTITUTE(_xlfn.FORMULATEXT(FE$112),"=","")))+$EU137)</f>
        <v/>
      </c>
      <c r="FF137" s="78" t="str">
        <f t="array" aca="1" ref="FF137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LEN(SUBSTITUTE(_xlfn.FORMULATEXT(FF$112),"=","")))+$EU137)</f>
        <v/>
      </c>
      <c r="FG137" s="78">
        <f t="shared" ca="1" si="9"/>
        <v>0</v>
      </c>
      <c r="FH137" s="78" t="b">
        <f t="array" aca="1" ref="FH137" ca="1">SUMPRODUCT((LEN(EV137:FF137)&gt;0)*1)&gt;0</f>
        <v>0</v>
      </c>
    </row>
    <row r="138" spans="151:164" ht="22.2" x14ac:dyDescent="0.45">
      <c r="EU138" s="78">
        <f t="shared" si="10"/>
        <v>112</v>
      </c>
      <c r="EV138" s="78" t="str">
        <f t="array" aca="1" ref="EV138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LEN(SUBSTITUTE(_xlfn.FORMULATEXT(EV$112),"=","")))+$EU138)</f>
        <v/>
      </c>
      <c r="EW138" s="78" t="str">
        <f t="array" aca="1" ref="EW138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LEN(SUBSTITUTE(_xlfn.FORMULATEXT(EW$112),"=","")))+$EU138)</f>
        <v/>
      </c>
      <c r="EX138" s="78" t="str">
        <f t="array" aca="1" ref="EX138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LEN(SUBSTITUTE(_xlfn.FORMULATEXT(EX$112),"=","")))+$EU138)</f>
        <v/>
      </c>
      <c r="EY138" s="78" t="str">
        <f t="array" aca="1" ref="EY138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LEN(SUBSTITUTE(_xlfn.FORMULATEXT(EY$112),"=","")))+$EU138)</f>
        <v/>
      </c>
      <c r="EZ138" s="78" t="str">
        <f t="array" aca="1" ref="EZ138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LEN(SUBSTITUTE(_xlfn.FORMULATEXT(EZ$112),"=","")))+$EU138)</f>
        <v/>
      </c>
      <c r="FA138" s="78" t="str">
        <f t="array" aca="1" ref="FA138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LEN(SUBSTITUTE(_xlfn.FORMULATEXT(FA$112),"=","")))+$EU138)</f>
        <v/>
      </c>
      <c r="FB138" s="78" t="str">
        <f t="array" aca="1" ref="FB138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LEN(SUBSTITUTE(_xlfn.FORMULATEXT(FB$112),"=","")))+$EU138)</f>
        <v/>
      </c>
      <c r="FC138" s="78" t="str">
        <f t="array" aca="1" ref="FC138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LEN(SUBSTITUTE(_xlfn.FORMULATEXT(FC$112),"=","")))+$EU138)</f>
        <v/>
      </c>
      <c r="FD138" s="78" t="str">
        <f t="array" aca="1" ref="FD138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LEN(SUBSTITUTE(_xlfn.FORMULATEXT(FD$112),"=","")))+$EU138)</f>
        <v/>
      </c>
      <c r="FE138" s="78" t="str">
        <f t="array" aca="1" ref="FE138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LEN(SUBSTITUTE(_xlfn.FORMULATEXT(FE$112),"=","")))+$EU138)</f>
        <v/>
      </c>
      <c r="FF138" s="78" t="str">
        <f t="array" aca="1" ref="FF138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LEN(SUBSTITUTE(_xlfn.FORMULATEXT(FF$112),"=","")))+$EU138)</f>
        <v/>
      </c>
      <c r="FG138" s="78">
        <f t="shared" ca="1" si="9"/>
        <v>0</v>
      </c>
      <c r="FH138" s="78" t="b">
        <f t="array" aca="1" ref="FH138" ca="1">SUMPRODUCT((LEN(EV138:FF138)&gt;0)*1)&gt;0</f>
        <v>0</v>
      </c>
    </row>
    <row r="139" spans="151:164" ht="22.2" x14ac:dyDescent="0.45">
      <c r="EU139" s="78">
        <f t="shared" si="10"/>
        <v>35</v>
      </c>
      <c r="EV139" s="78" t="str">
        <f t="array" aca="1" ref="EV139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LEN(SUBSTITUTE(_xlfn.FORMULATEXT(EV$109),"=","")))+$EU139)</f>
        <v/>
      </c>
      <c r="EW139" s="78" t="str">
        <f t="array" aca="1" ref="EW139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LEN(SUBSTITUTE(_xlfn.FORMULATEXT(EW$109),"=","")))+$EU139)</f>
        <v/>
      </c>
      <c r="EX139" s="78" t="str">
        <f t="array" aca="1" ref="EX139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LEN(SUBSTITUTE(_xlfn.FORMULATEXT(EX$109),"=","")))+$EU139)</f>
        <v/>
      </c>
      <c r="EY139" s="78" t="str">
        <f t="array" aca="1" ref="EY139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LEN(SUBSTITUTE(_xlfn.FORMULATEXT(EY$109),"=","")))+$EU139)</f>
        <v/>
      </c>
      <c r="EZ139" s="78" t="str">
        <f t="array" aca="1" ref="EZ139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LEN(SUBSTITUTE(_xlfn.FORMULATEXT(EZ$109),"=","")))+$EU139)</f>
        <v/>
      </c>
      <c r="FA139" s="78" t="e">
        <f t="array" aca="1" ref="FA139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LEN(SUBSTITUTE(_xlfn.FORMULATEXT(FA$109),"=","")))+$EU139)</f>
        <v>#VALUE!</v>
      </c>
      <c r="FB139" s="78" t="e">
        <f t="array" aca="1" ref="FB139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LEN(SUBSTITUTE(_xlfn.FORMULATEXT(FB$109),"=","")))+$EU139)</f>
        <v>#VALUE!</v>
      </c>
      <c r="FC139" s="78" t="str">
        <f t="array" aca="1" ref="FC139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LEN(SUBSTITUTE(_xlfn.FORMULATEXT(FC$109),"=","")))+$EU139)</f>
        <v/>
      </c>
      <c r="FD139" s="78" t="e">
        <f t="array" aca="1" ref="FD139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LEN(SUBSTITUTE(_xlfn.FORMULATEXT(FD$109),"=","")))+$EU139)</f>
        <v>#VALUE!</v>
      </c>
      <c r="FE139" s="78" t="str">
        <f t="array" aca="1" ref="FE139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LEN(SUBSTITUTE(_xlfn.FORMULATEXT(FE$109),"=","")))+$EU139)</f>
        <v/>
      </c>
      <c r="FF139" s="78" t="e">
        <f t="array" aca="1" ref="FF139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LEN(SUBSTITUTE(_xlfn.FORMULATEXT(FF$109),"=","")))+$EU139)</f>
        <v>#VALUE!</v>
      </c>
      <c r="FG139" s="78">
        <f t="shared" ca="1" si="9"/>
        <v>0</v>
      </c>
      <c r="FH139" s="78" t="e">
        <f t="array" aca="1" ref="FH139" ca="1">SUMPRODUCT((LEN(EV139:FF139)&gt;0)*1)&gt;0</f>
        <v>#VALUE!</v>
      </c>
    </row>
    <row r="140" spans="151:164" ht="22.2" x14ac:dyDescent="0.45">
      <c r="EU140" s="78">
        <f t="shared" si="10"/>
        <v>77</v>
      </c>
      <c r="EV140" s="78" t="str">
        <f t="array" aca="1" ref="EV140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LEN(SUBSTITUTE(_xlfn.FORMULATEXT(EV$109),"=","")))+$EU140)</f>
        <v/>
      </c>
      <c r="EW140" s="78" t="str">
        <f t="array" aca="1" ref="EW140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LEN(SUBSTITUTE(_xlfn.FORMULATEXT(EW$109),"=","")))+$EU140)</f>
        <v/>
      </c>
      <c r="EX140" s="78" t="str">
        <f t="array" aca="1" ref="EX140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LEN(SUBSTITUTE(_xlfn.FORMULATEXT(EX$109),"=","")))+$EU140)</f>
        <v/>
      </c>
      <c r="EY140" s="78" t="str">
        <f t="array" aca="1" ref="EY140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LEN(SUBSTITUTE(_xlfn.FORMULATEXT(EY$109),"=","")))+$EU140)</f>
        <v/>
      </c>
      <c r="EZ140" s="78" t="str">
        <f t="array" aca="1" ref="EZ140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LEN(SUBSTITUTE(_xlfn.FORMULATEXT(EZ$109),"=","")))+$EU140)</f>
        <v/>
      </c>
      <c r="FA140" s="78" t="str">
        <f t="array" aca="1" ref="FA140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LEN(SUBSTITUTE(_xlfn.FORMULATEXT(FA$109),"=","")))+$EU140)</f>
        <v/>
      </c>
      <c r="FB140" s="78" t="str">
        <f t="array" aca="1" ref="FB140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LEN(SUBSTITUTE(_xlfn.FORMULATEXT(FB$109),"=","")))+$EU140)</f>
        <v/>
      </c>
      <c r="FC140" s="78" t="str">
        <f t="array" aca="1" ref="FC140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LEN(SUBSTITUTE(_xlfn.FORMULATEXT(FC$109),"=","")))+$EU140)</f>
        <v/>
      </c>
      <c r="FD140" s="78" t="str">
        <f t="array" aca="1" ref="FD140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LEN(SUBSTITUTE(_xlfn.FORMULATEXT(FD$109),"=","")))+$EU140)</f>
        <v/>
      </c>
      <c r="FE140" s="78" t="str">
        <f t="array" aca="1" ref="FE140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LEN(SUBSTITUTE(_xlfn.FORMULATEXT(FE$109),"=","")))+$EU140)</f>
        <v/>
      </c>
      <c r="FF140" s="78" t="str">
        <f t="array" aca="1" ref="FF140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LEN(SUBSTITUTE(_xlfn.FORMULATEXT(FF$109),"=","")))+$EU140)</f>
        <v/>
      </c>
      <c r="FG140" s="78">
        <f t="shared" ca="1" si="9"/>
        <v>0</v>
      </c>
      <c r="FH140" s="78" t="b">
        <f t="array" aca="1" ref="FH140" ca="1">SUMPRODUCT((LEN(EV140:FF140)&gt;0)*1)&gt;0</f>
        <v>0</v>
      </c>
    </row>
    <row r="141" spans="151:164" ht="22.2" x14ac:dyDescent="0.45">
      <c r="EU141" s="78">
        <f t="shared" si="10"/>
        <v>119</v>
      </c>
      <c r="EV141" s="78" t="str">
        <f t="array" aca="1" ref="EV141" ca="1">INDIRECT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
&amp;MID(SUBSTITUTE(_xlfn.FORMULATEXT(EV$109),"=",""), LEN(_xlfn.TEXTJOIN("",TRUE,IF(ISERROR(MID(SUBSTITUTE(_xlfn.FORMULATEXT(EV$109),"=",""),ROW(INDIRECT("1:"&amp;LEN(SUBSTITUTE(_xlfn.FORMULATEXT(EV$109),"=","")))),1)*1),MID(SUBSTITUTE(_xlfn.FORMULATEXT(EV$109),"=",""),ROW(INDIRECT("1:"&amp;LEN(SUBSTITUTE(_xlfn.FORMULATEXT(EV$109),"=","")))),1),"")))+1, LEN(SUBSTITUTE(_xlfn.FORMULATEXT(EV$109),"=","")))+$EU141)</f>
        <v/>
      </c>
      <c r="EW141" s="78" t="str">
        <f t="array" aca="1" ref="EW141" ca="1">INDIRECT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
&amp;MID(SUBSTITUTE(_xlfn.FORMULATEXT(EW$109),"=",""), LEN(_xlfn.TEXTJOIN("",TRUE,IF(ISERROR(MID(SUBSTITUTE(_xlfn.FORMULATEXT(EW$109),"=",""),ROW(INDIRECT("1:"&amp;LEN(SUBSTITUTE(_xlfn.FORMULATEXT(EW$109),"=","")))),1)*1),MID(SUBSTITUTE(_xlfn.FORMULATEXT(EW$109),"=",""),ROW(INDIRECT("1:"&amp;LEN(SUBSTITUTE(_xlfn.FORMULATEXT(EW$109),"=","")))),1),"")))+1, LEN(SUBSTITUTE(_xlfn.FORMULATEXT(EW$109),"=","")))+$EU141)</f>
        <v/>
      </c>
      <c r="EX141" s="78" t="str">
        <f t="array" aca="1" ref="EX141" ca="1">INDIRECT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
&amp;MID(SUBSTITUTE(_xlfn.FORMULATEXT(EX$109),"=",""), LEN(_xlfn.TEXTJOIN("",TRUE,IF(ISERROR(MID(SUBSTITUTE(_xlfn.FORMULATEXT(EX$109),"=",""),ROW(INDIRECT("1:"&amp;LEN(SUBSTITUTE(_xlfn.FORMULATEXT(EX$109),"=","")))),1)*1),MID(SUBSTITUTE(_xlfn.FORMULATEXT(EX$109),"=",""),ROW(INDIRECT("1:"&amp;LEN(SUBSTITUTE(_xlfn.FORMULATEXT(EX$109),"=","")))),1),"")))+1, LEN(SUBSTITUTE(_xlfn.FORMULATEXT(EX$109),"=","")))+$EU141)</f>
        <v/>
      </c>
      <c r="EY141" s="78" t="str">
        <f t="array" aca="1" ref="EY141" ca="1">INDIRECT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
&amp;MID(SUBSTITUTE(_xlfn.FORMULATEXT(EY$109),"=",""), LEN(_xlfn.TEXTJOIN("",TRUE,IF(ISERROR(MID(SUBSTITUTE(_xlfn.FORMULATEXT(EY$109),"=",""),ROW(INDIRECT("1:"&amp;LEN(SUBSTITUTE(_xlfn.FORMULATEXT(EY$109),"=","")))),1)*1),MID(SUBSTITUTE(_xlfn.FORMULATEXT(EY$109),"=",""),ROW(INDIRECT("1:"&amp;LEN(SUBSTITUTE(_xlfn.FORMULATEXT(EY$109),"=","")))),1),"")))+1, LEN(SUBSTITUTE(_xlfn.FORMULATEXT(EY$109),"=","")))+$EU141)</f>
        <v/>
      </c>
      <c r="EZ141" s="78" t="str">
        <f t="array" aca="1" ref="EZ141" ca="1">INDIRECT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
&amp;MID(SUBSTITUTE(_xlfn.FORMULATEXT(EZ$109),"=",""), LEN(_xlfn.TEXTJOIN("",TRUE,IF(ISERROR(MID(SUBSTITUTE(_xlfn.FORMULATEXT(EZ$109),"=",""),ROW(INDIRECT("1:"&amp;LEN(SUBSTITUTE(_xlfn.FORMULATEXT(EZ$109),"=","")))),1)*1),MID(SUBSTITUTE(_xlfn.FORMULATEXT(EZ$109),"=",""),ROW(INDIRECT("1:"&amp;LEN(SUBSTITUTE(_xlfn.FORMULATEXT(EZ$109),"=","")))),1),"")))+1, LEN(SUBSTITUTE(_xlfn.FORMULATEXT(EZ$109),"=","")))+$EU141)</f>
        <v/>
      </c>
      <c r="FA141" s="78" t="str">
        <f t="array" aca="1" ref="FA141" ca="1">INDIRECT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
&amp;MID(SUBSTITUTE(_xlfn.FORMULATEXT(FA$109),"=",""), LEN(_xlfn.TEXTJOIN("",TRUE,IF(ISERROR(MID(SUBSTITUTE(_xlfn.FORMULATEXT(FA$109),"=",""),ROW(INDIRECT("1:"&amp;LEN(SUBSTITUTE(_xlfn.FORMULATEXT(FA$109),"=","")))),1)*1),MID(SUBSTITUTE(_xlfn.FORMULATEXT(FA$109),"=",""),ROW(INDIRECT("1:"&amp;LEN(SUBSTITUTE(_xlfn.FORMULATEXT(FA$109),"=","")))),1),"")))+1, LEN(SUBSTITUTE(_xlfn.FORMULATEXT(FA$109),"=","")))+$EU141)</f>
        <v/>
      </c>
      <c r="FB141" s="78" t="str">
        <f t="array" aca="1" ref="FB141" ca="1">INDIRECT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
&amp;MID(SUBSTITUTE(_xlfn.FORMULATEXT(FB$109),"=",""), LEN(_xlfn.TEXTJOIN("",TRUE,IF(ISERROR(MID(SUBSTITUTE(_xlfn.FORMULATEXT(FB$109),"=",""),ROW(INDIRECT("1:"&amp;LEN(SUBSTITUTE(_xlfn.FORMULATEXT(FB$109),"=","")))),1)*1),MID(SUBSTITUTE(_xlfn.FORMULATEXT(FB$109),"=",""),ROW(INDIRECT("1:"&amp;LEN(SUBSTITUTE(_xlfn.FORMULATEXT(FB$109),"=","")))),1),"")))+1, LEN(SUBSTITUTE(_xlfn.FORMULATEXT(FB$109),"=","")))+$EU141)</f>
        <v/>
      </c>
      <c r="FC141" s="78" t="str">
        <f t="array" aca="1" ref="FC141" ca="1">INDIRECT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
&amp;MID(SUBSTITUTE(_xlfn.FORMULATEXT(FC$109),"=",""), LEN(_xlfn.TEXTJOIN("",TRUE,IF(ISERROR(MID(SUBSTITUTE(_xlfn.FORMULATEXT(FC$109),"=",""),ROW(INDIRECT("1:"&amp;LEN(SUBSTITUTE(_xlfn.FORMULATEXT(FC$109),"=","")))),1)*1),MID(SUBSTITUTE(_xlfn.FORMULATEXT(FC$109),"=",""),ROW(INDIRECT("1:"&amp;LEN(SUBSTITUTE(_xlfn.FORMULATEXT(FC$109),"=","")))),1),"")))+1, LEN(SUBSTITUTE(_xlfn.FORMULATEXT(FC$109),"=","")))+$EU141)</f>
        <v/>
      </c>
      <c r="FD141" s="78" t="str">
        <f t="array" aca="1" ref="FD141" ca="1">INDIRECT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
&amp;MID(SUBSTITUTE(_xlfn.FORMULATEXT(FD$109),"=",""), LEN(_xlfn.TEXTJOIN("",TRUE,IF(ISERROR(MID(SUBSTITUTE(_xlfn.FORMULATEXT(FD$109),"=",""),ROW(INDIRECT("1:"&amp;LEN(SUBSTITUTE(_xlfn.FORMULATEXT(FD$109),"=","")))),1)*1),MID(SUBSTITUTE(_xlfn.FORMULATEXT(FD$109),"=",""),ROW(INDIRECT("1:"&amp;LEN(SUBSTITUTE(_xlfn.FORMULATEXT(FD$109),"=","")))),1),"")))+1, LEN(SUBSTITUTE(_xlfn.FORMULATEXT(FD$109),"=","")))+$EU141)</f>
        <v/>
      </c>
      <c r="FE141" s="78" t="str">
        <f t="array" aca="1" ref="FE141" ca="1">INDIRECT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
&amp;MID(SUBSTITUTE(_xlfn.FORMULATEXT(FE$109),"=",""), LEN(_xlfn.TEXTJOIN("",TRUE,IF(ISERROR(MID(SUBSTITUTE(_xlfn.FORMULATEXT(FE$109),"=",""),ROW(INDIRECT("1:"&amp;LEN(SUBSTITUTE(_xlfn.FORMULATEXT(FE$109),"=","")))),1)*1),MID(SUBSTITUTE(_xlfn.FORMULATEXT(FE$109),"=",""),ROW(INDIRECT("1:"&amp;LEN(SUBSTITUTE(_xlfn.FORMULATEXT(FE$109),"=","")))),1),"")))+1, LEN(SUBSTITUTE(_xlfn.FORMULATEXT(FE$109),"=","")))+$EU141)</f>
        <v/>
      </c>
      <c r="FF141" s="78" t="str">
        <f t="array" aca="1" ref="FF141" ca="1">INDIRECT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
&amp;MID(SUBSTITUTE(_xlfn.FORMULATEXT(FF$109),"=",""), LEN(_xlfn.TEXTJOIN("",TRUE,IF(ISERROR(MID(SUBSTITUTE(_xlfn.FORMULATEXT(FF$109),"=",""),ROW(INDIRECT("1:"&amp;LEN(SUBSTITUTE(_xlfn.FORMULATEXT(FF$109),"=","")))),1)*1),MID(SUBSTITUTE(_xlfn.FORMULATEXT(FF$109),"=",""),ROW(INDIRECT("1:"&amp;LEN(SUBSTITUTE(_xlfn.FORMULATEXT(FF$109),"=","")))),1),"")))+1, LEN(SUBSTITUTE(_xlfn.FORMULATEXT(FF$109),"=","")))+$EU141)</f>
        <v/>
      </c>
      <c r="FG141" s="78">
        <f t="shared" ca="1" si="9"/>
        <v>0</v>
      </c>
      <c r="FH141" s="78" t="b">
        <f t="array" aca="1" ref="FH141" ca="1">SUMPRODUCT((LEN(EV141:FF141)&gt;0)*1)&gt;0</f>
        <v>0</v>
      </c>
    </row>
    <row r="142" spans="151:164" ht="22.2" x14ac:dyDescent="0.45">
      <c r="EU142" s="87">
        <f t="shared" si="10"/>
        <v>35</v>
      </c>
      <c r="EV142" s="78" t="str">
        <f t="array" aca="1" ref="EV142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LEN(SUBSTITUTE(_xlfn.FORMULATEXT(EV$112),"=","")))+$EU142)</f>
        <v/>
      </c>
      <c r="EW142" s="78" t="str">
        <f t="array" aca="1" ref="EW142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LEN(SUBSTITUTE(_xlfn.FORMULATEXT(EW$112),"=","")))+$EU142)</f>
        <v/>
      </c>
      <c r="EX142" s="78" t="str">
        <f t="array" aca="1" ref="EX142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LEN(SUBSTITUTE(_xlfn.FORMULATEXT(EX$112),"=","")))+$EU142)</f>
        <v/>
      </c>
      <c r="EY142" s="78" t="str">
        <f t="array" aca="1" ref="EY142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LEN(SUBSTITUTE(_xlfn.FORMULATEXT(EY$112),"=","")))+$EU142)</f>
        <v/>
      </c>
      <c r="EZ142" s="78" t="str">
        <f t="array" aca="1" ref="EZ142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LEN(SUBSTITUTE(_xlfn.FORMULATEXT(EZ$112),"=","")))+$EU142)</f>
        <v/>
      </c>
      <c r="FA142" s="78" t="e">
        <f t="array" aca="1" ref="FA142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LEN(SUBSTITUTE(_xlfn.FORMULATEXT(FA$112),"=","")))+$EU142)</f>
        <v>#VALUE!</v>
      </c>
      <c r="FB142" s="78" t="e">
        <f t="array" aca="1" ref="FB142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LEN(SUBSTITUTE(_xlfn.FORMULATEXT(FB$112),"=","")))+$EU142)</f>
        <v>#VALUE!</v>
      </c>
      <c r="FC142" s="78" t="str">
        <f t="array" aca="1" ref="FC142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LEN(SUBSTITUTE(_xlfn.FORMULATEXT(FC$112),"=","")))+$EU142)</f>
        <v/>
      </c>
      <c r="FD142" s="78" t="e">
        <f t="array" aca="1" ref="FD142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LEN(SUBSTITUTE(_xlfn.FORMULATEXT(FD$112),"=","")))+$EU142)</f>
        <v>#VALUE!</v>
      </c>
      <c r="FE142" s="78" t="str">
        <f t="array" aca="1" ref="FE142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LEN(SUBSTITUTE(_xlfn.FORMULATEXT(FE$112),"=","")))+$EU142)</f>
        <v/>
      </c>
      <c r="FF142" s="78" t="e">
        <f t="array" aca="1" ref="FF142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LEN(SUBSTITUTE(_xlfn.FORMULATEXT(FF$112),"=","")))+$EU142)</f>
        <v>#VALUE!</v>
      </c>
      <c r="FG142" s="78">
        <f t="shared" ca="1" si="9"/>
        <v>0</v>
      </c>
      <c r="FH142" s="78" t="e">
        <f t="array" aca="1" ref="FH142" ca="1">SUMPRODUCT((LEN(EV142:FF142)&gt;0)*1)&gt;0</f>
        <v>#VALUE!</v>
      </c>
    </row>
    <row r="143" spans="151:164" ht="22.2" x14ac:dyDescent="0.45">
      <c r="EU143" s="78">
        <f t="shared" si="10"/>
        <v>77</v>
      </c>
      <c r="EV143" s="78" t="str">
        <f t="array" aca="1" ref="EV143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LEN(SUBSTITUTE(_xlfn.FORMULATEXT(EV$112),"=","")))+$EU143)</f>
        <v/>
      </c>
      <c r="EW143" s="78" t="str">
        <f t="array" aca="1" ref="EW143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LEN(SUBSTITUTE(_xlfn.FORMULATEXT(EW$112),"=","")))+$EU143)</f>
        <v/>
      </c>
      <c r="EX143" s="78" t="str">
        <f t="array" aca="1" ref="EX143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LEN(SUBSTITUTE(_xlfn.FORMULATEXT(EX$112),"=","")))+$EU143)</f>
        <v/>
      </c>
      <c r="EY143" s="78" t="str">
        <f t="array" aca="1" ref="EY143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LEN(SUBSTITUTE(_xlfn.FORMULATEXT(EY$112),"=","")))+$EU143)</f>
        <v/>
      </c>
      <c r="EZ143" s="78" t="str">
        <f t="array" aca="1" ref="EZ143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LEN(SUBSTITUTE(_xlfn.FORMULATEXT(EZ$112),"=","")))+$EU143)</f>
        <v/>
      </c>
      <c r="FA143" s="78" t="str">
        <f t="array" aca="1" ref="FA143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LEN(SUBSTITUTE(_xlfn.FORMULATEXT(FA$112),"=","")))+$EU143)</f>
        <v/>
      </c>
      <c r="FB143" s="78" t="str">
        <f t="array" aca="1" ref="FB143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LEN(SUBSTITUTE(_xlfn.FORMULATEXT(FB$112),"=","")))+$EU143)</f>
        <v/>
      </c>
      <c r="FC143" s="78" t="str">
        <f t="array" aca="1" ref="FC143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LEN(SUBSTITUTE(_xlfn.FORMULATEXT(FC$112),"=","")))+$EU143)</f>
        <v/>
      </c>
      <c r="FD143" s="78" t="str">
        <f t="array" aca="1" ref="FD143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LEN(SUBSTITUTE(_xlfn.FORMULATEXT(FD$112),"=","")))+$EU143)</f>
        <v/>
      </c>
      <c r="FE143" s="78" t="str">
        <f t="array" aca="1" ref="FE143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LEN(SUBSTITUTE(_xlfn.FORMULATEXT(FE$112),"=","")))+$EU143)</f>
        <v/>
      </c>
      <c r="FF143" s="78" t="str">
        <f t="array" aca="1" ref="FF143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LEN(SUBSTITUTE(_xlfn.FORMULATEXT(FF$112),"=","")))+$EU143)</f>
        <v/>
      </c>
      <c r="FG143" s="78">
        <f t="shared" ca="1" si="9"/>
        <v>0</v>
      </c>
      <c r="FH143" s="78" t="b">
        <f t="array" aca="1" ref="FH143" ca="1">SUMPRODUCT((LEN(EV143:FF143)&gt;0)*1)&gt;0</f>
        <v>0</v>
      </c>
    </row>
    <row r="144" spans="151:164" ht="22.2" x14ac:dyDescent="0.45">
      <c r="EU144" s="78">
        <f t="shared" si="10"/>
        <v>119</v>
      </c>
      <c r="EV144" s="78" t="str">
        <f t="array" aca="1" ref="EV144" ca="1">INDIRECT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
&amp;MID(SUBSTITUTE(_xlfn.FORMULATEXT(EV$112),"=",""), LEN(_xlfn.TEXTJOIN("",TRUE,IF(ISERROR(MID(SUBSTITUTE(_xlfn.FORMULATEXT(EV$112),"=",""),ROW(INDIRECT("1:"&amp;LEN(SUBSTITUTE(_xlfn.FORMULATEXT(EV$112),"=","")))),1)*1),MID(SUBSTITUTE(_xlfn.FORMULATEXT(EV$112),"=",""),ROW(INDIRECT("1:"&amp;LEN(SUBSTITUTE(_xlfn.FORMULATEXT(EV$112),"=","")))),1),"")))+1, LEN(SUBSTITUTE(_xlfn.FORMULATEXT(EV$112),"=","")))+$EU144)</f>
        <v/>
      </c>
      <c r="EW144" s="78" t="str">
        <f t="array" aca="1" ref="EW144" ca="1">INDIRECT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
&amp;MID(SUBSTITUTE(_xlfn.FORMULATEXT(EW$112),"=",""), LEN(_xlfn.TEXTJOIN("",TRUE,IF(ISERROR(MID(SUBSTITUTE(_xlfn.FORMULATEXT(EW$112),"=",""),ROW(INDIRECT("1:"&amp;LEN(SUBSTITUTE(_xlfn.FORMULATEXT(EW$112),"=","")))),1)*1),MID(SUBSTITUTE(_xlfn.FORMULATEXT(EW$112),"=",""),ROW(INDIRECT("1:"&amp;LEN(SUBSTITUTE(_xlfn.FORMULATEXT(EW$112),"=","")))),1),"")))+1, LEN(SUBSTITUTE(_xlfn.FORMULATEXT(EW$112),"=","")))+$EU144)</f>
        <v/>
      </c>
      <c r="EX144" s="78" t="str">
        <f t="array" aca="1" ref="EX144" ca="1">INDIRECT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
&amp;MID(SUBSTITUTE(_xlfn.FORMULATEXT(EX$112),"=",""), LEN(_xlfn.TEXTJOIN("",TRUE,IF(ISERROR(MID(SUBSTITUTE(_xlfn.FORMULATEXT(EX$112),"=",""),ROW(INDIRECT("1:"&amp;LEN(SUBSTITUTE(_xlfn.FORMULATEXT(EX$112),"=","")))),1)*1),MID(SUBSTITUTE(_xlfn.FORMULATEXT(EX$112),"=",""),ROW(INDIRECT("1:"&amp;LEN(SUBSTITUTE(_xlfn.FORMULATEXT(EX$112),"=","")))),1),"")))+1, LEN(SUBSTITUTE(_xlfn.FORMULATEXT(EX$112),"=","")))+$EU144)</f>
        <v/>
      </c>
      <c r="EY144" s="78" t="str">
        <f t="array" aca="1" ref="EY144" ca="1">INDIRECT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
&amp;MID(SUBSTITUTE(_xlfn.FORMULATEXT(EY$112),"=",""), LEN(_xlfn.TEXTJOIN("",TRUE,IF(ISERROR(MID(SUBSTITUTE(_xlfn.FORMULATEXT(EY$112),"=",""),ROW(INDIRECT("1:"&amp;LEN(SUBSTITUTE(_xlfn.FORMULATEXT(EY$112),"=","")))),1)*1),MID(SUBSTITUTE(_xlfn.FORMULATEXT(EY$112),"=",""),ROW(INDIRECT("1:"&amp;LEN(SUBSTITUTE(_xlfn.FORMULATEXT(EY$112),"=","")))),1),"")))+1, LEN(SUBSTITUTE(_xlfn.FORMULATEXT(EY$112),"=","")))+$EU144)</f>
        <v/>
      </c>
      <c r="EZ144" s="78" t="str">
        <f t="array" aca="1" ref="EZ144" ca="1">INDIRECT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
&amp;MID(SUBSTITUTE(_xlfn.FORMULATEXT(EZ$112),"=",""), LEN(_xlfn.TEXTJOIN("",TRUE,IF(ISERROR(MID(SUBSTITUTE(_xlfn.FORMULATEXT(EZ$112),"=",""),ROW(INDIRECT("1:"&amp;LEN(SUBSTITUTE(_xlfn.FORMULATEXT(EZ$112),"=","")))),1)*1),MID(SUBSTITUTE(_xlfn.FORMULATEXT(EZ$112),"=",""),ROW(INDIRECT("1:"&amp;LEN(SUBSTITUTE(_xlfn.FORMULATEXT(EZ$112),"=","")))),1),"")))+1, LEN(SUBSTITUTE(_xlfn.FORMULATEXT(EZ$112),"=","")))+$EU144)</f>
        <v/>
      </c>
      <c r="FA144" s="78" t="str">
        <f t="array" aca="1" ref="FA144" ca="1">INDIRECT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
&amp;MID(SUBSTITUTE(_xlfn.FORMULATEXT(FA$112),"=",""), LEN(_xlfn.TEXTJOIN("",TRUE,IF(ISERROR(MID(SUBSTITUTE(_xlfn.FORMULATEXT(FA$112),"=",""),ROW(INDIRECT("1:"&amp;LEN(SUBSTITUTE(_xlfn.FORMULATEXT(FA$112),"=","")))),1)*1),MID(SUBSTITUTE(_xlfn.FORMULATEXT(FA$112),"=",""),ROW(INDIRECT("1:"&amp;LEN(SUBSTITUTE(_xlfn.FORMULATEXT(FA$112),"=","")))),1),"")))+1, LEN(SUBSTITUTE(_xlfn.FORMULATEXT(FA$112),"=","")))+$EU144)</f>
        <v/>
      </c>
      <c r="FB144" s="78" t="str">
        <f t="array" aca="1" ref="FB144" ca="1">INDIRECT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
&amp;MID(SUBSTITUTE(_xlfn.FORMULATEXT(FB$112),"=",""), LEN(_xlfn.TEXTJOIN("",TRUE,IF(ISERROR(MID(SUBSTITUTE(_xlfn.FORMULATEXT(FB$112),"=",""),ROW(INDIRECT("1:"&amp;LEN(SUBSTITUTE(_xlfn.FORMULATEXT(FB$112),"=","")))),1)*1),MID(SUBSTITUTE(_xlfn.FORMULATEXT(FB$112),"=",""),ROW(INDIRECT("1:"&amp;LEN(SUBSTITUTE(_xlfn.FORMULATEXT(FB$112),"=","")))),1),"")))+1, LEN(SUBSTITUTE(_xlfn.FORMULATEXT(FB$112),"=","")))+$EU144)</f>
        <v/>
      </c>
      <c r="FC144" s="78" t="str">
        <f t="array" aca="1" ref="FC144" ca="1">INDIRECT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
&amp;MID(SUBSTITUTE(_xlfn.FORMULATEXT(FC$112),"=",""), LEN(_xlfn.TEXTJOIN("",TRUE,IF(ISERROR(MID(SUBSTITUTE(_xlfn.FORMULATEXT(FC$112),"=",""),ROW(INDIRECT("1:"&amp;LEN(SUBSTITUTE(_xlfn.FORMULATEXT(FC$112),"=","")))),1)*1),MID(SUBSTITUTE(_xlfn.FORMULATEXT(FC$112),"=",""),ROW(INDIRECT("1:"&amp;LEN(SUBSTITUTE(_xlfn.FORMULATEXT(FC$112),"=","")))),1),"")))+1, LEN(SUBSTITUTE(_xlfn.FORMULATEXT(FC$112),"=","")))+$EU144)</f>
        <v/>
      </c>
      <c r="FD144" s="78" t="str">
        <f t="array" aca="1" ref="FD144" ca="1">INDIRECT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
&amp;MID(SUBSTITUTE(_xlfn.FORMULATEXT(FD$112),"=",""), LEN(_xlfn.TEXTJOIN("",TRUE,IF(ISERROR(MID(SUBSTITUTE(_xlfn.FORMULATEXT(FD$112),"=",""),ROW(INDIRECT("1:"&amp;LEN(SUBSTITUTE(_xlfn.FORMULATEXT(FD$112),"=","")))),1)*1),MID(SUBSTITUTE(_xlfn.FORMULATEXT(FD$112),"=",""),ROW(INDIRECT("1:"&amp;LEN(SUBSTITUTE(_xlfn.FORMULATEXT(FD$112),"=","")))),1),"")))+1, LEN(SUBSTITUTE(_xlfn.FORMULATEXT(FD$112),"=","")))+$EU144)</f>
        <v/>
      </c>
      <c r="FE144" s="78" t="str">
        <f t="array" aca="1" ref="FE144" ca="1">INDIRECT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
&amp;MID(SUBSTITUTE(_xlfn.FORMULATEXT(FE$112),"=",""), LEN(_xlfn.TEXTJOIN("",TRUE,IF(ISERROR(MID(SUBSTITUTE(_xlfn.FORMULATEXT(FE$112),"=",""),ROW(INDIRECT("1:"&amp;LEN(SUBSTITUTE(_xlfn.FORMULATEXT(FE$112),"=","")))),1)*1),MID(SUBSTITUTE(_xlfn.FORMULATEXT(FE$112),"=",""),ROW(INDIRECT("1:"&amp;LEN(SUBSTITUTE(_xlfn.FORMULATEXT(FE$112),"=","")))),1),"")))+1, LEN(SUBSTITUTE(_xlfn.FORMULATEXT(FE$112),"=","")))+$EU144)</f>
        <v/>
      </c>
      <c r="FF144" s="78" t="str">
        <f t="array" aca="1" ref="FF144" ca="1">INDIRECT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
&amp;MID(SUBSTITUTE(_xlfn.FORMULATEXT(FF$112),"=",""), LEN(_xlfn.TEXTJOIN("",TRUE,IF(ISERROR(MID(SUBSTITUTE(_xlfn.FORMULATEXT(FF$112),"=",""),ROW(INDIRECT("1:"&amp;LEN(SUBSTITUTE(_xlfn.FORMULATEXT(FF$112),"=","")))),1)*1),MID(SUBSTITUTE(_xlfn.FORMULATEXT(FF$112),"=",""),ROW(INDIRECT("1:"&amp;LEN(SUBSTITUTE(_xlfn.FORMULATEXT(FF$112),"=","")))),1),"")))+1, LEN(SUBSTITUTE(_xlfn.FORMULATEXT(FF$112),"=","")))+$EU144)</f>
        <v/>
      </c>
      <c r="FG144" s="78">
        <f t="shared" ca="1" si="9"/>
        <v>0</v>
      </c>
      <c r="FH144" s="78" t="b">
        <f t="array" aca="1" ref="FH144" ca="1">SUMPRODUCT((LEN(EV144:FF144)&gt;0)*1)&gt;0</f>
        <v>0</v>
      </c>
    </row>
    <row r="145" spans="151:164" ht="22.2" x14ac:dyDescent="0.45">
      <c r="EU145" s="78"/>
      <c r="EV145" s="79" t="str">
        <f ca="1">BK1</f>
        <v/>
      </c>
      <c r="EW145" s="79" t="str">
        <f ca="1">BK2</f>
        <v/>
      </c>
      <c r="EX145" s="79" t="str">
        <f ca="1">BM2</f>
        <v/>
      </c>
      <c r="EY145" s="80" t="str">
        <f ca="1">BN2</f>
        <v/>
      </c>
      <c r="EZ145" s="80" t="str">
        <f ca="1">BO2</f>
        <v/>
      </c>
      <c r="FA145" s="79" t="e">
        <f ca="1">BK4</f>
        <v>#VALUE!</v>
      </c>
      <c r="FB145" s="79" t="e">
        <f ca="1">BM4</f>
        <v>#VALUE!</v>
      </c>
      <c r="FC145" s="79" t="str">
        <f ca="1">BK6</f>
        <v/>
      </c>
      <c r="FD145" s="79" t="e">
        <f ca="1">BJ7</f>
        <v>#VALUE!</v>
      </c>
      <c r="FE145" s="79" t="str">
        <f ca="1">BL7</f>
        <v/>
      </c>
      <c r="FF145" s="79" t="e">
        <f ca="1">BN7</f>
        <v>#VALUE!</v>
      </c>
      <c r="FG145" s="78">
        <f t="shared" ref="FG145:FG146" ca="1" si="11">IF(COUNTIF(FH145,"TRUE"),ROW(),0)</f>
        <v>0</v>
      </c>
      <c r="FH145" s="78" t="e">
        <f t="array" aca="1" ref="FH145" ca="1">SUMPRODUCT((LEN(EV145:FF145)&gt;0)*1)&gt;0</f>
        <v>#VALUE!</v>
      </c>
    </row>
    <row r="146" spans="151:164" ht="22.2" x14ac:dyDescent="0.45">
      <c r="EU146" s="78">
        <v>42</v>
      </c>
      <c r="EV146" s="78" t="str">
        <f t="array" aca="1" ref="EV146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LEN(SUBSTITUTE(_xlfn.FORMULATEXT(EV$145),"=","")))+$EU146)</f>
        <v/>
      </c>
      <c r="EW146" s="78" t="str">
        <f t="array" aca="1" ref="EW146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LEN(SUBSTITUTE(_xlfn.FORMULATEXT(EW$145),"=","")))+$EU146)</f>
        <v/>
      </c>
      <c r="EX146" s="78" t="str">
        <f t="array" aca="1" ref="EX146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LEN(SUBSTITUTE(_xlfn.FORMULATEXT(EX$145),"=","")))+$EU146)</f>
        <v/>
      </c>
      <c r="EY146" s="78" t="str">
        <f t="array" aca="1" ref="EY146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LEN(SUBSTITUTE(_xlfn.FORMULATEXT(EY$145),"=","")))+$EU146)</f>
        <v/>
      </c>
      <c r="EZ146" s="78" t="str">
        <f t="array" aca="1" ref="EZ146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LEN(SUBSTITUTE(_xlfn.FORMULATEXT(EZ$145),"=","")))+$EU146)</f>
        <v/>
      </c>
      <c r="FA146" s="78" t="str">
        <f t="array" aca="1" ref="FA146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LEN(SUBSTITUTE(_xlfn.FORMULATEXT(FA$145),"=","")))+$EU146)</f>
        <v/>
      </c>
      <c r="FB146" s="78" t="str">
        <f t="array" aca="1" ref="FB146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LEN(SUBSTITUTE(_xlfn.FORMULATEXT(FB$145),"=","")))+$EU146)</f>
        <v/>
      </c>
      <c r="FC146" s="78" t="str">
        <f t="array" aca="1" ref="FC146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LEN(SUBSTITUTE(_xlfn.FORMULATEXT(FC$145),"=","")))+$EU146)</f>
        <v/>
      </c>
      <c r="FD146" s="78" t="str">
        <f t="array" aca="1" ref="FD146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LEN(SUBSTITUTE(_xlfn.FORMULATEXT(FD$145),"=","")))+$EU146)</f>
        <v/>
      </c>
      <c r="FE146" s="78" t="str">
        <f t="array" aca="1" ref="FE146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LEN(SUBSTITUTE(_xlfn.FORMULATEXT(FE$145),"=","")))+$EU146)</f>
        <v/>
      </c>
      <c r="FF146" s="78" t="str">
        <f t="array" aca="1" ref="FF146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LEN(SUBSTITUTE(_xlfn.FORMULATEXT(FF$145),"=","")))+$EU146)</f>
        <v/>
      </c>
      <c r="FG146" s="78">
        <f t="shared" ca="1" si="11"/>
        <v>0</v>
      </c>
      <c r="FH146" s="78" t="b">
        <f t="array" aca="1" ref="FH146" ca="1">SUMPRODUCT((LEN(EV146:FF146)&gt;0)*1)&gt;0</f>
        <v>0</v>
      </c>
    </row>
    <row r="147" spans="151:164" ht="22.2" x14ac:dyDescent="0.45">
      <c r="EU147" s="78">
        <v>84</v>
      </c>
      <c r="EV147" s="78" t="str">
        <f t="array" aca="1" ref="EV147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LEN(SUBSTITUTE(_xlfn.FORMULATEXT(EV$145),"=","")))+$EU147)</f>
        <v/>
      </c>
      <c r="EW147" s="78" t="str">
        <f t="array" aca="1" ref="EW147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LEN(SUBSTITUTE(_xlfn.FORMULATEXT(EW$145),"=","")))+$EU147)</f>
        <v/>
      </c>
      <c r="EX147" s="78" t="str">
        <f t="array" aca="1" ref="EX147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LEN(SUBSTITUTE(_xlfn.FORMULATEXT(EX$145),"=","")))+$EU147)</f>
        <v/>
      </c>
      <c r="EY147" s="78" t="str">
        <f t="array" aca="1" ref="EY147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LEN(SUBSTITUTE(_xlfn.FORMULATEXT(EY$145),"=","")))+$EU147)</f>
        <v/>
      </c>
      <c r="EZ147" s="78" t="str">
        <f t="array" aca="1" ref="EZ147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LEN(SUBSTITUTE(_xlfn.FORMULATEXT(EZ$145),"=","")))+$EU147)</f>
        <v/>
      </c>
      <c r="FA147" s="78" t="str">
        <f t="array" aca="1" ref="FA147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LEN(SUBSTITUTE(_xlfn.FORMULATEXT(FA$145),"=","")))+$EU147)</f>
        <v/>
      </c>
      <c r="FB147" s="78" t="str">
        <f t="array" aca="1" ref="FB147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LEN(SUBSTITUTE(_xlfn.FORMULATEXT(FB$145),"=","")))+$EU147)</f>
        <v/>
      </c>
      <c r="FC147" s="78" t="str">
        <f t="array" aca="1" ref="FC147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LEN(SUBSTITUTE(_xlfn.FORMULATEXT(FC$145),"=","")))+$EU147)</f>
        <v/>
      </c>
      <c r="FD147" s="78" t="str">
        <f t="array" aca="1" ref="FD147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LEN(SUBSTITUTE(_xlfn.FORMULATEXT(FD$145),"=","")))+$EU147)</f>
        <v/>
      </c>
      <c r="FE147" s="78" t="str">
        <f t="array" aca="1" ref="FE147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LEN(SUBSTITUTE(_xlfn.FORMULATEXT(FE$145),"=","")))+$EU147)</f>
        <v/>
      </c>
      <c r="FF147" s="78" t="str">
        <f t="array" aca="1" ref="FF147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LEN(SUBSTITUTE(_xlfn.FORMULATEXT(FF$145),"=","")))+$EU147)</f>
        <v/>
      </c>
      <c r="FG147" s="78">
        <f t="shared" ref="FG147" ca="1" si="12">IF(COUNTIF(FH147,"TRUE"),ROW(),0)</f>
        <v>0</v>
      </c>
      <c r="FH147" s="78" t="b">
        <f t="array" aca="1" ref="FH147" ca="1">SUMPRODUCT((LEN(EV147:FF147)&gt;0)*1)&gt;0</f>
        <v>0</v>
      </c>
    </row>
    <row r="148" spans="151:164" ht="22.2" x14ac:dyDescent="0.45">
      <c r="EU148" s="78"/>
      <c r="EV148" s="79" t="str">
        <f ca="1">BR1</f>
        <v/>
      </c>
      <c r="EW148" s="79" t="str">
        <f ca="1">BR2</f>
        <v/>
      </c>
      <c r="EX148" s="79" t="str">
        <f ca="1">BT2</f>
        <v/>
      </c>
      <c r="EY148" s="80" t="str">
        <f ca="1">BU2</f>
        <v/>
      </c>
      <c r="EZ148" s="80" t="str">
        <f ca="1">BV2</f>
        <v/>
      </c>
      <c r="FA148" s="79" t="e">
        <f ca="1">BR4</f>
        <v>#VALUE!</v>
      </c>
      <c r="FB148" s="79" t="e">
        <f ca="1">BT4</f>
        <v>#VALUE!</v>
      </c>
      <c r="FC148" s="79" t="str">
        <f ca="1">BR6</f>
        <v/>
      </c>
      <c r="FD148" s="79" t="e">
        <f ca="1">BQ7</f>
        <v>#VALUE!</v>
      </c>
      <c r="FE148" s="79" t="str">
        <f ca="1">BS7</f>
        <v/>
      </c>
      <c r="FF148" s="79" t="e">
        <f ca="1">BU7</f>
        <v>#VALUE!</v>
      </c>
      <c r="FG148" s="78">
        <f t="shared" ref="FG148:FG180" ca="1" si="13">IF(COUNTIF(FH148,"TRUE"),ROW(),0)</f>
        <v>0</v>
      </c>
      <c r="FH148" s="78" t="e">
        <f t="array" aca="1" ref="FH148" ca="1">SUMPRODUCT((LEN(EV148:FF148)&gt;0)*1)&gt;0</f>
        <v>#VALUE!</v>
      </c>
    </row>
    <row r="149" spans="151:164" ht="22.2" x14ac:dyDescent="0.45">
      <c r="EU149" s="78">
        <v>42</v>
      </c>
      <c r="EV149" s="78" t="str">
        <f t="array" aca="1" ref="EV149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LEN(SUBSTITUTE(_xlfn.FORMULATEXT(EV$148),"=","")))+$EU149)</f>
        <v/>
      </c>
      <c r="EW149" s="78" t="str">
        <f t="array" aca="1" ref="EW149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LEN(SUBSTITUTE(_xlfn.FORMULATEXT(EW$148),"=","")))+$EU149)</f>
        <v/>
      </c>
      <c r="EX149" s="78" t="str">
        <f t="array" aca="1" ref="EX149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LEN(SUBSTITUTE(_xlfn.FORMULATEXT(EX$148),"=","")))+$EU149)</f>
        <v/>
      </c>
      <c r="EY149" s="78" t="str">
        <f t="array" aca="1" ref="EY149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LEN(SUBSTITUTE(_xlfn.FORMULATEXT(EY$148),"=","")))+$EU149)</f>
        <v/>
      </c>
      <c r="EZ149" s="78" t="str">
        <f t="array" aca="1" ref="EZ149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LEN(SUBSTITUTE(_xlfn.FORMULATEXT(EZ$148),"=","")))+$EU149)</f>
        <v/>
      </c>
      <c r="FA149" s="78" t="str">
        <f t="array" aca="1" ref="FA149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LEN(SUBSTITUTE(_xlfn.FORMULATEXT(FA$148),"=","")))+$EU149)</f>
        <v/>
      </c>
      <c r="FB149" s="78" t="str">
        <f t="array" aca="1" ref="FB149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LEN(SUBSTITUTE(_xlfn.FORMULATEXT(FB$148),"=","")))+$EU149)</f>
        <v/>
      </c>
      <c r="FC149" s="78" t="str">
        <f t="array" aca="1" ref="FC149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LEN(SUBSTITUTE(_xlfn.FORMULATEXT(FC$148),"=","")))+$EU149)</f>
        <v/>
      </c>
      <c r="FD149" s="78" t="str">
        <f t="array" aca="1" ref="FD149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LEN(SUBSTITUTE(_xlfn.FORMULATEXT(FD$148),"=","")))+$EU149)</f>
        <v/>
      </c>
      <c r="FE149" s="78" t="str">
        <f t="array" aca="1" ref="FE149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LEN(SUBSTITUTE(_xlfn.FORMULATEXT(FE$148),"=","")))+$EU149)</f>
        <v/>
      </c>
      <c r="FF149" s="78" t="str">
        <f t="array" aca="1" ref="FF149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LEN(SUBSTITUTE(_xlfn.FORMULATEXT(FF$148),"=","")))+$EU149)</f>
        <v/>
      </c>
      <c r="FG149" s="78">
        <f t="shared" ca="1" si="13"/>
        <v>0</v>
      </c>
      <c r="FH149" s="78" t="b">
        <f t="array" aca="1" ref="FH149" ca="1">SUMPRODUCT((LEN(EV149:FF149)&gt;0)*1)&gt;0</f>
        <v>0</v>
      </c>
    </row>
    <row r="150" spans="151:164" ht="22.2" x14ac:dyDescent="0.45">
      <c r="EU150" s="78">
        <v>84</v>
      </c>
      <c r="EV150" s="78" t="str">
        <f t="array" aca="1" ref="EV150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LEN(SUBSTITUTE(_xlfn.FORMULATEXT(EV$148),"=","")))+$EU150)</f>
        <v/>
      </c>
      <c r="EW150" s="78" t="str">
        <f t="array" aca="1" ref="EW150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LEN(SUBSTITUTE(_xlfn.FORMULATEXT(EW$148),"=","")))+$EU150)</f>
        <v/>
      </c>
      <c r="EX150" s="78" t="str">
        <f t="array" aca="1" ref="EX150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LEN(SUBSTITUTE(_xlfn.FORMULATEXT(EX$148),"=","")))+$EU150)</f>
        <v/>
      </c>
      <c r="EY150" s="78" t="str">
        <f t="array" aca="1" ref="EY150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LEN(SUBSTITUTE(_xlfn.FORMULATEXT(EY$148),"=","")))+$EU150)</f>
        <v/>
      </c>
      <c r="EZ150" s="78" t="str">
        <f t="array" aca="1" ref="EZ150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LEN(SUBSTITUTE(_xlfn.FORMULATEXT(EZ$148),"=","")))+$EU150)</f>
        <v/>
      </c>
      <c r="FA150" s="78" t="str">
        <f t="array" aca="1" ref="FA150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LEN(SUBSTITUTE(_xlfn.FORMULATEXT(FA$148),"=","")))+$EU150)</f>
        <v/>
      </c>
      <c r="FB150" s="78" t="str">
        <f t="array" aca="1" ref="FB150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LEN(SUBSTITUTE(_xlfn.FORMULATEXT(FB$148),"=","")))+$EU150)</f>
        <v/>
      </c>
      <c r="FC150" s="78" t="str">
        <f t="array" aca="1" ref="FC150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LEN(SUBSTITUTE(_xlfn.FORMULATEXT(FC$148),"=","")))+$EU150)</f>
        <v/>
      </c>
      <c r="FD150" s="78" t="str">
        <f t="array" aca="1" ref="FD150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LEN(SUBSTITUTE(_xlfn.FORMULATEXT(FD$148),"=","")))+$EU150)</f>
        <v/>
      </c>
      <c r="FE150" s="78" t="str">
        <f t="array" aca="1" ref="FE150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LEN(SUBSTITUTE(_xlfn.FORMULATEXT(FE$148),"=","")))+$EU150)</f>
        <v/>
      </c>
      <c r="FF150" s="78" t="str">
        <f t="array" aca="1" ref="FF150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LEN(SUBSTITUTE(_xlfn.FORMULATEXT(FF$148),"=","")))+$EU150)</f>
        <v/>
      </c>
      <c r="FG150" s="78">
        <f t="shared" ca="1" si="13"/>
        <v>0</v>
      </c>
      <c r="FH150" s="78" t="b">
        <f t="array" aca="1" ref="FH150" ca="1">SUMPRODUCT((LEN(EV150:FF150)&gt;0)*1)&gt;0</f>
        <v>0</v>
      </c>
    </row>
    <row r="151" spans="151:164" ht="22.2" x14ac:dyDescent="0.45">
      <c r="EU151" s="87">
        <v>7</v>
      </c>
      <c r="EV151" s="78" t="str">
        <f t="array" aca="1" ref="EV151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LEN(SUBSTITUTE(_xlfn.FORMULATEXT(EV$145),"=","")))+$EU151)</f>
        <v/>
      </c>
      <c r="EW151" s="78" t="str">
        <f t="array" aca="1" ref="EW151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LEN(SUBSTITUTE(_xlfn.FORMULATEXT(EW$145),"=","")))+$EU151)</f>
        <v/>
      </c>
      <c r="EX151" s="78" t="str">
        <f t="array" aca="1" ref="EX151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LEN(SUBSTITUTE(_xlfn.FORMULATEXT(EX$145),"=","")))+$EU151)</f>
        <v/>
      </c>
      <c r="EY151" s="78" t="str">
        <f t="array" aca="1" ref="EY151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LEN(SUBSTITUTE(_xlfn.FORMULATEXT(EY$145),"=","")))+$EU151)</f>
        <v/>
      </c>
      <c r="EZ151" s="78" t="str">
        <f t="array" aca="1" ref="EZ151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LEN(SUBSTITUTE(_xlfn.FORMULATEXT(EZ$145),"=","")))+$EU151)</f>
        <v/>
      </c>
      <c r="FA151" s="78" t="e">
        <f t="array" aca="1" ref="FA151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LEN(SUBSTITUTE(_xlfn.FORMULATEXT(FA$145),"=","")))+$EU151)</f>
        <v>#VALUE!</v>
      </c>
      <c r="FB151" s="78" t="e">
        <f t="array" aca="1" ref="FB151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LEN(SUBSTITUTE(_xlfn.FORMULATEXT(FB$145),"=","")))+$EU151)</f>
        <v>#VALUE!</v>
      </c>
      <c r="FC151" s="78" t="str">
        <f t="array" aca="1" ref="FC151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LEN(SUBSTITUTE(_xlfn.FORMULATEXT(FC$145),"=","")))+$EU151)</f>
        <v/>
      </c>
      <c r="FD151" s="78" t="e">
        <f t="array" aca="1" ref="FD151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LEN(SUBSTITUTE(_xlfn.FORMULATEXT(FD$145),"=","")))+$EU151)</f>
        <v>#VALUE!</v>
      </c>
      <c r="FE151" s="78" t="str">
        <f t="array" aca="1" ref="FE151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LEN(SUBSTITUTE(_xlfn.FORMULATEXT(FE$145),"=","")))+$EU151)</f>
        <v/>
      </c>
      <c r="FF151" s="78" t="e">
        <f t="array" aca="1" ref="FF151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LEN(SUBSTITUTE(_xlfn.FORMULATEXT(FF$145),"=","")))+$EU151)</f>
        <v>#VALUE!</v>
      </c>
      <c r="FG151" s="78">
        <f t="shared" ca="1" si="13"/>
        <v>0</v>
      </c>
      <c r="FH151" s="78" t="e">
        <f t="array" aca="1" ref="FH151" ca="1">SUMPRODUCT((LEN(EV151:FF151)&gt;0)*1)&gt;0</f>
        <v>#VALUE!</v>
      </c>
    </row>
    <row r="152" spans="151:164" ht="22.2" x14ac:dyDescent="0.45">
      <c r="EU152" s="78">
        <f>EU146+7</f>
        <v>49</v>
      </c>
      <c r="EV152" s="78" t="str">
        <f t="array" aca="1" ref="EV152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LEN(SUBSTITUTE(_xlfn.FORMULATEXT(EV$145),"=","")))+$EU152)</f>
        <v/>
      </c>
      <c r="EW152" s="78" t="str">
        <f t="array" aca="1" ref="EW152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LEN(SUBSTITUTE(_xlfn.FORMULATEXT(EW$145),"=","")))+$EU152)</f>
        <v/>
      </c>
      <c r="EX152" s="78" t="str">
        <f t="array" aca="1" ref="EX152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LEN(SUBSTITUTE(_xlfn.FORMULATEXT(EX$145),"=","")))+$EU152)</f>
        <v/>
      </c>
      <c r="EY152" s="78" t="str">
        <f t="array" aca="1" ref="EY152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LEN(SUBSTITUTE(_xlfn.FORMULATEXT(EY$145),"=","")))+$EU152)</f>
        <v/>
      </c>
      <c r="EZ152" s="78" t="str">
        <f t="array" aca="1" ref="EZ152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LEN(SUBSTITUTE(_xlfn.FORMULATEXT(EZ$145),"=","")))+$EU152)</f>
        <v/>
      </c>
      <c r="FA152" s="78" t="str">
        <f t="array" aca="1" ref="FA152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LEN(SUBSTITUTE(_xlfn.FORMULATEXT(FA$145),"=","")))+$EU152)</f>
        <v/>
      </c>
      <c r="FB152" s="78" t="str">
        <f t="array" aca="1" ref="FB152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LEN(SUBSTITUTE(_xlfn.FORMULATEXT(FB$145),"=","")))+$EU152)</f>
        <v/>
      </c>
      <c r="FC152" s="78" t="str">
        <f t="array" aca="1" ref="FC152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LEN(SUBSTITUTE(_xlfn.FORMULATEXT(FC$145),"=","")))+$EU152)</f>
        <v/>
      </c>
      <c r="FD152" s="78" t="str">
        <f t="array" aca="1" ref="FD152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LEN(SUBSTITUTE(_xlfn.FORMULATEXT(FD$145),"=","")))+$EU152)</f>
        <v/>
      </c>
      <c r="FE152" s="78" t="str">
        <f t="array" aca="1" ref="FE152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LEN(SUBSTITUTE(_xlfn.FORMULATEXT(FE$145),"=","")))+$EU152)</f>
        <v/>
      </c>
      <c r="FF152" s="78" t="str">
        <f t="array" aca="1" ref="FF152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LEN(SUBSTITUTE(_xlfn.FORMULATEXT(FF$145),"=","")))+$EU152)</f>
        <v/>
      </c>
      <c r="FG152" s="78">
        <f t="shared" ca="1" si="13"/>
        <v>0</v>
      </c>
      <c r="FH152" s="78" t="b">
        <f t="array" aca="1" ref="FH152" ca="1">SUMPRODUCT((LEN(EV152:FF152)&gt;0)*1)&gt;0</f>
        <v>0</v>
      </c>
    </row>
    <row r="153" spans="151:164" ht="22.2" x14ac:dyDescent="0.45">
      <c r="EU153" s="78">
        <f>EU147+7</f>
        <v>91</v>
      </c>
      <c r="EV153" s="78" t="str">
        <f t="array" aca="1" ref="EV153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LEN(SUBSTITUTE(_xlfn.FORMULATEXT(EV$145),"=","")))+$EU153)</f>
        <v/>
      </c>
      <c r="EW153" s="78" t="str">
        <f t="array" aca="1" ref="EW153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LEN(SUBSTITUTE(_xlfn.FORMULATEXT(EW$145),"=","")))+$EU153)</f>
        <v/>
      </c>
      <c r="EX153" s="78" t="str">
        <f t="array" aca="1" ref="EX153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LEN(SUBSTITUTE(_xlfn.FORMULATEXT(EX$145),"=","")))+$EU153)</f>
        <v/>
      </c>
      <c r="EY153" s="78" t="str">
        <f t="array" aca="1" ref="EY153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LEN(SUBSTITUTE(_xlfn.FORMULATEXT(EY$145),"=","")))+$EU153)</f>
        <v/>
      </c>
      <c r="EZ153" s="78" t="str">
        <f t="array" aca="1" ref="EZ153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LEN(SUBSTITUTE(_xlfn.FORMULATEXT(EZ$145),"=","")))+$EU153)</f>
        <v/>
      </c>
      <c r="FA153" s="78" t="str">
        <f t="array" aca="1" ref="FA153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LEN(SUBSTITUTE(_xlfn.FORMULATEXT(FA$145),"=","")))+$EU153)</f>
        <v/>
      </c>
      <c r="FB153" s="78" t="str">
        <f t="array" aca="1" ref="FB153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LEN(SUBSTITUTE(_xlfn.FORMULATEXT(FB$145),"=","")))+$EU153)</f>
        <v/>
      </c>
      <c r="FC153" s="78" t="str">
        <f t="array" aca="1" ref="FC153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LEN(SUBSTITUTE(_xlfn.FORMULATEXT(FC$145),"=","")))+$EU153)</f>
        <v/>
      </c>
      <c r="FD153" s="78" t="str">
        <f t="array" aca="1" ref="FD153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LEN(SUBSTITUTE(_xlfn.FORMULATEXT(FD$145),"=","")))+$EU153)</f>
        <v/>
      </c>
      <c r="FE153" s="78" t="str">
        <f t="array" aca="1" ref="FE153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LEN(SUBSTITUTE(_xlfn.FORMULATEXT(FE$145),"=","")))+$EU153)</f>
        <v/>
      </c>
      <c r="FF153" s="78" t="str">
        <f t="array" aca="1" ref="FF153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LEN(SUBSTITUTE(_xlfn.FORMULATEXT(FF$145),"=","")))+$EU153)</f>
        <v/>
      </c>
      <c r="FG153" s="78">
        <f t="shared" ca="1" si="13"/>
        <v>0</v>
      </c>
      <c r="FH153" s="78" t="b">
        <f t="array" aca="1" ref="FH153" ca="1">SUMPRODUCT((LEN(EV153:FF153)&gt;0)*1)&gt;0</f>
        <v>0</v>
      </c>
    </row>
    <row r="154" spans="151:164" ht="22.2" x14ac:dyDescent="0.45">
      <c r="EU154" s="78">
        <v>7</v>
      </c>
      <c r="EV154" s="78" t="str">
        <f t="array" aca="1" ref="EV154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LEN(SUBSTITUTE(_xlfn.FORMULATEXT(EV$148),"=","")))+$EU154)</f>
        <v/>
      </c>
      <c r="EW154" s="78" t="str">
        <f t="array" aca="1" ref="EW154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LEN(SUBSTITUTE(_xlfn.FORMULATEXT(EW$148),"=","")))+$EU154)</f>
        <v/>
      </c>
      <c r="EX154" s="78" t="str">
        <f t="array" aca="1" ref="EX154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LEN(SUBSTITUTE(_xlfn.FORMULATEXT(EX$148),"=","")))+$EU154)</f>
        <v/>
      </c>
      <c r="EY154" s="78" t="str">
        <f t="array" aca="1" ref="EY154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LEN(SUBSTITUTE(_xlfn.FORMULATEXT(EY$148),"=","")))+$EU154)</f>
        <v/>
      </c>
      <c r="EZ154" s="78" t="str">
        <f t="array" aca="1" ref="EZ154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LEN(SUBSTITUTE(_xlfn.FORMULATEXT(EZ$148),"=","")))+$EU154)</f>
        <v/>
      </c>
      <c r="FA154" s="78" t="e">
        <f t="array" aca="1" ref="FA154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LEN(SUBSTITUTE(_xlfn.FORMULATEXT(FA$148),"=","")))+$EU154)</f>
        <v>#VALUE!</v>
      </c>
      <c r="FB154" s="78" t="e">
        <f t="array" aca="1" ref="FB154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LEN(SUBSTITUTE(_xlfn.FORMULATEXT(FB$148),"=","")))+$EU154)</f>
        <v>#VALUE!</v>
      </c>
      <c r="FC154" s="78" t="str">
        <f t="array" aca="1" ref="FC154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LEN(SUBSTITUTE(_xlfn.FORMULATEXT(FC$148),"=","")))+$EU154)</f>
        <v/>
      </c>
      <c r="FD154" s="78" t="e">
        <f t="array" aca="1" ref="FD154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LEN(SUBSTITUTE(_xlfn.FORMULATEXT(FD$148),"=","")))+$EU154)</f>
        <v>#VALUE!</v>
      </c>
      <c r="FE154" s="78" t="str">
        <f t="array" aca="1" ref="FE154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LEN(SUBSTITUTE(_xlfn.FORMULATEXT(FE$148),"=","")))+$EU154)</f>
        <v/>
      </c>
      <c r="FF154" s="78" t="e">
        <f t="array" aca="1" ref="FF154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LEN(SUBSTITUTE(_xlfn.FORMULATEXT(FF$148),"=","")))+$EU154)</f>
        <v>#VALUE!</v>
      </c>
      <c r="FG154" s="78">
        <f t="shared" ca="1" si="13"/>
        <v>0</v>
      </c>
      <c r="FH154" s="78" t="e">
        <f t="array" aca="1" ref="FH154" ca="1">SUMPRODUCT((LEN(EV154:FF154)&gt;0)*1)&gt;0</f>
        <v>#VALUE!</v>
      </c>
    </row>
    <row r="155" spans="151:164" ht="22.2" x14ac:dyDescent="0.45">
      <c r="EU155" s="78">
        <f t="shared" ref="EU155:EU180" si="14">EU149+7</f>
        <v>49</v>
      </c>
      <c r="EV155" s="78" t="str">
        <f t="array" aca="1" ref="EV155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LEN(SUBSTITUTE(_xlfn.FORMULATEXT(EV$148),"=","")))+$EU155)</f>
        <v/>
      </c>
      <c r="EW155" s="78" t="str">
        <f t="array" aca="1" ref="EW155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LEN(SUBSTITUTE(_xlfn.FORMULATEXT(EW$148),"=","")))+$EU155)</f>
        <v/>
      </c>
      <c r="EX155" s="78" t="str">
        <f t="array" aca="1" ref="EX155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LEN(SUBSTITUTE(_xlfn.FORMULATEXT(EX$148),"=","")))+$EU155)</f>
        <v/>
      </c>
      <c r="EY155" s="78" t="str">
        <f t="array" aca="1" ref="EY155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LEN(SUBSTITUTE(_xlfn.FORMULATEXT(EY$148),"=","")))+$EU155)</f>
        <v/>
      </c>
      <c r="EZ155" s="78" t="str">
        <f t="array" aca="1" ref="EZ155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LEN(SUBSTITUTE(_xlfn.FORMULATEXT(EZ$148),"=","")))+$EU155)</f>
        <v/>
      </c>
      <c r="FA155" s="78" t="str">
        <f t="array" aca="1" ref="FA155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LEN(SUBSTITUTE(_xlfn.FORMULATEXT(FA$148),"=","")))+$EU155)</f>
        <v/>
      </c>
      <c r="FB155" s="78" t="str">
        <f t="array" aca="1" ref="FB155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LEN(SUBSTITUTE(_xlfn.FORMULATEXT(FB$148),"=","")))+$EU155)</f>
        <v/>
      </c>
      <c r="FC155" s="78" t="str">
        <f t="array" aca="1" ref="FC155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LEN(SUBSTITUTE(_xlfn.FORMULATEXT(FC$148),"=","")))+$EU155)</f>
        <v/>
      </c>
      <c r="FD155" s="78" t="str">
        <f t="array" aca="1" ref="FD155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LEN(SUBSTITUTE(_xlfn.FORMULATEXT(FD$148),"=","")))+$EU155)</f>
        <v/>
      </c>
      <c r="FE155" s="78" t="str">
        <f t="array" aca="1" ref="FE155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LEN(SUBSTITUTE(_xlfn.FORMULATEXT(FE$148),"=","")))+$EU155)</f>
        <v/>
      </c>
      <c r="FF155" s="78" t="str">
        <f t="array" aca="1" ref="FF155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LEN(SUBSTITUTE(_xlfn.FORMULATEXT(FF$148),"=","")))+$EU155)</f>
        <v/>
      </c>
      <c r="FG155" s="78">
        <f t="shared" ca="1" si="13"/>
        <v>0</v>
      </c>
      <c r="FH155" s="78" t="b">
        <f t="array" aca="1" ref="FH155" ca="1">SUMPRODUCT((LEN(EV155:FF155)&gt;0)*1)&gt;0</f>
        <v>0</v>
      </c>
    </row>
    <row r="156" spans="151:164" ht="22.2" x14ac:dyDescent="0.45">
      <c r="EU156" s="78">
        <f t="shared" si="14"/>
        <v>91</v>
      </c>
      <c r="EV156" s="78" t="str">
        <f t="array" aca="1" ref="EV156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LEN(SUBSTITUTE(_xlfn.FORMULATEXT(EV$148),"=","")))+$EU156)</f>
        <v/>
      </c>
      <c r="EW156" s="78" t="str">
        <f t="array" aca="1" ref="EW156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LEN(SUBSTITUTE(_xlfn.FORMULATEXT(EW$148),"=","")))+$EU156)</f>
        <v/>
      </c>
      <c r="EX156" s="78" t="str">
        <f t="array" aca="1" ref="EX156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LEN(SUBSTITUTE(_xlfn.FORMULATEXT(EX$148),"=","")))+$EU156)</f>
        <v/>
      </c>
      <c r="EY156" s="78" t="str">
        <f t="array" aca="1" ref="EY156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LEN(SUBSTITUTE(_xlfn.FORMULATEXT(EY$148),"=","")))+$EU156)</f>
        <v/>
      </c>
      <c r="EZ156" s="78" t="str">
        <f t="array" aca="1" ref="EZ156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LEN(SUBSTITUTE(_xlfn.FORMULATEXT(EZ$148),"=","")))+$EU156)</f>
        <v/>
      </c>
      <c r="FA156" s="78" t="str">
        <f t="array" aca="1" ref="FA156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LEN(SUBSTITUTE(_xlfn.FORMULATEXT(FA$148),"=","")))+$EU156)</f>
        <v/>
      </c>
      <c r="FB156" s="78" t="str">
        <f t="array" aca="1" ref="FB156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LEN(SUBSTITUTE(_xlfn.FORMULATEXT(FB$148),"=","")))+$EU156)</f>
        <v/>
      </c>
      <c r="FC156" s="78" t="str">
        <f t="array" aca="1" ref="FC156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LEN(SUBSTITUTE(_xlfn.FORMULATEXT(FC$148),"=","")))+$EU156)</f>
        <v/>
      </c>
      <c r="FD156" s="78" t="str">
        <f t="array" aca="1" ref="FD156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LEN(SUBSTITUTE(_xlfn.FORMULATEXT(FD$148),"=","")))+$EU156)</f>
        <v/>
      </c>
      <c r="FE156" s="78" t="str">
        <f t="array" aca="1" ref="FE156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LEN(SUBSTITUTE(_xlfn.FORMULATEXT(FE$148),"=","")))+$EU156)</f>
        <v/>
      </c>
      <c r="FF156" s="78" t="str">
        <f t="array" aca="1" ref="FF156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LEN(SUBSTITUTE(_xlfn.FORMULATEXT(FF$148),"=","")))+$EU156)</f>
        <v/>
      </c>
      <c r="FG156" s="78">
        <f t="shared" ca="1" si="13"/>
        <v>0</v>
      </c>
      <c r="FH156" s="78" t="b">
        <f t="array" aca="1" ref="FH156" ca="1">SUMPRODUCT((LEN(EV156:FF156)&gt;0)*1)&gt;0</f>
        <v>0</v>
      </c>
    </row>
    <row r="157" spans="151:164" ht="22.2" x14ac:dyDescent="0.45">
      <c r="EU157" s="78">
        <f t="shared" si="14"/>
        <v>14</v>
      </c>
      <c r="EV157" s="78" t="str">
        <f t="array" aca="1" ref="EV157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LEN(SUBSTITUTE(_xlfn.FORMULATEXT(EV$145),"=","")))+$EU157)</f>
        <v/>
      </c>
      <c r="EW157" s="78" t="str">
        <f t="array" aca="1" ref="EW157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LEN(SUBSTITUTE(_xlfn.FORMULATEXT(EW$145),"=","")))+$EU157)</f>
        <v/>
      </c>
      <c r="EX157" s="78" t="str">
        <f t="array" aca="1" ref="EX157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LEN(SUBSTITUTE(_xlfn.FORMULATEXT(EX$145),"=","")))+$EU157)</f>
        <v/>
      </c>
      <c r="EY157" s="78" t="str">
        <f t="array" aca="1" ref="EY157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LEN(SUBSTITUTE(_xlfn.FORMULATEXT(EY$145),"=","")))+$EU157)</f>
        <v/>
      </c>
      <c r="EZ157" s="78" t="str">
        <f t="array" aca="1" ref="EZ157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LEN(SUBSTITUTE(_xlfn.FORMULATEXT(EZ$145),"=","")))+$EU157)</f>
        <v/>
      </c>
      <c r="FA157" s="78" t="e">
        <f t="array" aca="1" ref="FA157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LEN(SUBSTITUTE(_xlfn.FORMULATEXT(FA$145),"=","")))+$EU157)</f>
        <v>#VALUE!</v>
      </c>
      <c r="FB157" s="78" t="e">
        <f t="array" aca="1" ref="FB157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LEN(SUBSTITUTE(_xlfn.FORMULATEXT(FB$145),"=","")))+$EU157)</f>
        <v>#VALUE!</v>
      </c>
      <c r="FC157" s="78" t="str">
        <f t="array" aca="1" ref="FC157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LEN(SUBSTITUTE(_xlfn.FORMULATEXT(FC$145),"=","")))+$EU157)</f>
        <v/>
      </c>
      <c r="FD157" s="78" t="e">
        <f t="array" aca="1" ref="FD157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LEN(SUBSTITUTE(_xlfn.FORMULATEXT(FD$145),"=","")))+$EU157)</f>
        <v>#VALUE!</v>
      </c>
      <c r="FE157" s="78" t="str">
        <f t="array" aca="1" ref="FE157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LEN(SUBSTITUTE(_xlfn.FORMULATEXT(FE$145),"=","")))+$EU157)</f>
        <v/>
      </c>
      <c r="FF157" s="78" t="e">
        <f t="array" aca="1" ref="FF157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LEN(SUBSTITUTE(_xlfn.FORMULATEXT(FF$145),"=","")))+$EU157)</f>
        <v>#VALUE!</v>
      </c>
      <c r="FG157" s="78">
        <f t="shared" ca="1" si="13"/>
        <v>0</v>
      </c>
      <c r="FH157" s="78" t="e">
        <f t="array" aca="1" ref="FH157" ca="1">SUMPRODUCT((LEN(EV157:FF157)&gt;0)*1)&gt;0</f>
        <v>#VALUE!</v>
      </c>
    </row>
    <row r="158" spans="151:164" ht="22.2" x14ac:dyDescent="0.45">
      <c r="EU158" s="78">
        <f t="shared" si="14"/>
        <v>56</v>
      </c>
      <c r="EV158" s="78" t="str">
        <f t="array" aca="1" ref="EV158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LEN(SUBSTITUTE(_xlfn.FORMULATEXT(EV$145),"=","")))+$EU158)</f>
        <v/>
      </c>
      <c r="EW158" s="78" t="str">
        <f t="array" aca="1" ref="EW158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LEN(SUBSTITUTE(_xlfn.FORMULATEXT(EW$145),"=","")))+$EU158)</f>
        <v/>
      </c>
      <c r="EX158" s="78" t="str">
        <f t="array" aca="1" ref="EX158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LEN(SUBSTITUTE(_xlfn.FORMULATEXT(EX$145),"=","")))+$EU158)</f>
        <v/>
      </c>
      <c r="EY158" s="78" t="str">
        <f t="array" aca="1" ref="EY158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LEN(SUBSTITUTE(_xlfn.FORMULATEXT(EY$145),"=","")))+$EU158)</f>
        <v/>
      </c>
      <c r="EZ158" s="78" t="str">
        <f t="array" aca="1" ref="EZ158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LEN(SUBSTITUTE(_xlfn.FORMULATEXT(EZ$145),"=","")))+$EU158)</f>
        <v/>
      </c>
      <c r="FA158" s="78" t="str">
        <f t="array" aca="1" ref="FA158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LEN(SUBSTITUTE(_xlfn.FORMULATEXT(FA$145),"=","")))+$EU158)</f>
        <v/>
      </c>
      <c r="FB158" s="78" t="str">
        <f t="array" aca="1" ref="FB158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LEN(SUBSTITUTE(_xlfn.FORMULATEXT(FB$145),"=","")))+$EU158)</f>
        <v/>
      </c>
      <c r="FC158" s="78" t="str">
        <f t="array" aca="1" ref="FC158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LEN(SUBSTITUTE(_xlfn.FORMULATEXT(FC$145),"=","")))+$EU158)</f>
        <v/>
      </c>
      <c r="FD158" s="78" t="str">
        <f t="array" aca="1" ref="FD158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LEN(SUBSTITUTE(_xlfn.FORMULATEXT(FD$145),"=","")))+$EU158)</f>
        <v/>
      </c>
      <c r="FE158" s="78" t="str">
        <f t="array" aca="1" ref="FE158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LEN(SUBSTITUTE(_xlfn.FORMULATEXT(FE$145),"=","")))+$EU158)</f>
        <v/>
      </c>
      <c r="FF158" s="78" t="str">
        <f t="array" aca="1" ref="FF158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LEN(SUBSTITUTE(_xlfn.FORMULATEXT(FF$145),"=","")))+$EU158)</f>
        <v/>
      </c>
      <c r="FG158" s="78">
        <f t="shared" ca="1" si="13"/>
        <v>0</v>
      </c>
      <c r="FH158" s="78" t="b">
        <f t="array" aca="1" ref="FH158" ca="1">SUMPRODUCT((LEN(EV158:FF158)&gt;0)*1)&gt;0</f>
        <v>0</v>
      </c>
    </row>
    <row r="159" spans="151:164" ht="22.2" x14ac:dyDescent="0.45">
      <c r="EU159" s="78">
        <f t="shared" si="14"/>
        <v>98</v>
      </c>
      <c r="EV159" s="78" t="str">
        <f t="array" aca="1" ref="EV159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LEN(SUBSTITUTE(_xlfn.FORMULATEXT(EV$145),"=","")))+$EU159)</f>
        <v/>
      </c>
      <c r="EW159" s="78" t="str">
        <f t="array" aca="1" ref="EW159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LEN(SUBSTITUTE(_xlfn.FORMULATEXT(EW$145),"=","")))+$EU159)</f>
        <v/>
      </c>
      <c r="EX159" s="78" t="str">
        <f t="array" aca="1" ref="EX159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LEN(SUBSTITUTE(_xlfn.FORMULATEXT(EX$145),"=","")))+$EU159)</f>
        <v/>
      </c>
      <c r="EY159" s="78" t="str">
        <f t="array" aca="1" ref="EY159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LEN(SUBSTITUTE(_xlfn.FORMULATEXT(EY$145),"=","")))+$EU159)</f>
        <v/>
      </c>
      <c r="EZ159" s="78" t="str">
        <f t="array" aca="1" ref="EZ159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LEN(SUBSTITUTE(_xlfn.FORMULATEXT(EZ$145),"=","")))+$EU159)</f>
        <v/>
      </c>
      <c r="FA159" s="78" t="str">
        <f t="array" aca="1" ref="FA159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LEN(SUBSTITUTE(_xlfn.FORMULATEXT(FA$145),"=","")))+$EU159)</f>
        <v/>
      </c>
      <c r="FB159" s="78" t="str">
        <f t="array" aca="1" ref="FB159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LEN(SUBSTITUTE(_xlfn.FORMULATEXT(FB$145),"=","")))+$EU159)</f>
        <v/>
      </c>
      <c r="FC159" s="78" t="str">
        <f t="array" aca="1" ref="FC159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LEN(SUBSTITUTE(_xlfn.FORMULATEXT(FC$145),"=","")))+$EU159)</f>
        <v/>
      </c>
      <c r="FD159" s="78" t="str">
        <f t="array" aca="1" ref="FD159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LEN(SUBSTITUTE(_xlfn.FORMULATEXT(FD$145),"=","")))+$EU159)</f>
        <v/>
      </c>
      <c r="FE159" s="78" t="str">
        <f t="array" aca="1" ref="FE159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LEN(SUBSTITUTE(_xlfn.FORMULATEXT(FE$145),"=","")))+$EU159)</f>
        <v/>
      </c>
      <c r="FF159" s="78" t="str">
        <f t="array" aca="1" ref="FF159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LEN(SUBSTITUTE(_xlfn.FORMULATEXT(FF$145),"=","")))+$EU159)</f>
        <v/>
      </c>
      <c r="FG159" s="78">
        <f t="shared" ca="1" si="13"/>
        <v>0</v>
      </c>
      <c r="FH159" s="78" t="b">
        <f t="array" aca="1" ref="FH159" ca="1">SUMPRODUCT((LEN(EV159:FF159)&gt;0)*1)&gt;0</f>
        <v>0</v>
      </c>
    </row>
    <row r="160" spans="151:164" ht="22.2" x14ac:dyDescent="0.45">
      <c r="EU160" s="87">
        <f t="shared" si="14"/>
        <v>14</v>
      </c>
      <c r="EV160" s="78" t="str">
        <f t="array" aca="1" ref="EV160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LEN(SUBSTITUTE(_xlfn.FORMULATEXT(EV$148),"=","")))+$EU160)</f>
        <v/>
      </c>
      <c r="EW160" s="78" t="str">
        <f t="array" aca="1" ref="EW160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LEN(SUBSTITUTE(_xlfn.FORMULATEXT(EW$148),"=","")))+$EU160)</f>
        <v/>
      </c>
      <c r="EX160" s="78" t="str">
        <f t="array" aca="1" ref="EX160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LEN(SUBSTITUTE(_xlfn.FORMULATEXT(EX$148),"=","")))+$EU160)</f>
        <v/>
      </c>
      <c r="EY160" s="78" t="str">
        <f t="array" aca="1" ref="EY160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LEN(SUBSTITUTE(_xlfn.FORMULATEXT(EY$148),"=","")))+$EU160)</f>
        <v/>
      </c>
      <c r="EZ160" s="78" t="str">
        <f t="array" aca="1" ref="EZ160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LEN(SUBSTITUTE(_xlfn.FORMULATEXT(EZ$148),"=","")))+$EU160)</f>
        <v/>
      </c>
      <c r="FA160" s="78" t="e">
        <f t="array" aca="1" ref="FA160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LEN(SUBSTITUTE(_xlfn.FORMULATEXT(FA$148),"=","")))+$EU160)</f>
        <v>#VALUE!</v>
      </c>
      <c r="FB160" s="78" t="e">
        <f t="array" aca="1" ref="FB160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LEN(SUBSTITUTE(_xlfn.FORMULATEXT(FB$148),"=","")))+$EU160)</f>
        <v>#VALUE!</v>
      </c>
      <c r="FC160" s="78" t="str">
        <f t="array" aca="1" ref="FC160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LEN(SUBSTITUTE(_xlfn.FORMULATEXT(FC$148),"=","")))+$EU160)</f>
        <v/>
      </c>
      <c r="FD160" s="78" t="e">
        <f t="array" aca="1" ref="FD160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LEN(SUBSTITUTE(_xlfn.FORMULATEXT(FD$148),"=","")))+$EU160)</f>
        <v>#VALUE!</v>
      </c>
      <c r="FE160" s="78" t="str">
        <f t="array" aca="1" ref="FE160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LEN(SUBSTITUTE(_xlfn.FORMULATEXT(FE$148),"=","")))+$EU160)</f>
        <v/>
      </c>
      <c r="FF160" s="78" t="e">
        <f t="array" aca="1" ref="FF160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LEN(SUBSTITUTE(_xlfn.FORMULATEXT(FF$148),"=","")))+$EU160)</f>
        <v>#VALUE!</v>
      </c>
      <c r="FG160" s="78">
        <f t="shared" ca="1" si="13"/>
        <v>0</v>
      </c>
      <c r="FH160" s="78" t="e">
        <f t="array" aca="1" ref="FH160" ca="1">SUMPRODUCT((LEN(EV160:FF160)&gt;0)*1)&gt;0</f>
        <v>#VALUE!</v>
      </c>
    </row>
    <row r="161" spans="151:164" ht="22.2" x14ac:dyDescent="0.45">
      <c r="EU161" s="78">
        <f t="shared" si="14"/>
        <v>56</v>
      </c>
      <c r="EV161" s="78" t="str">
        <f t="array" aca="1" ref="EV161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LEN(SUBSTITUTE(_xlfn.FORMULATEXT(EV$148),"=","")))+$EU161)</f>
        <v/>
      </c>
      <c r="EW161" s="78" t="str">
        <f t="array" aca="1" ref="EW161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LEN(SUBSTITUTE(_xlfn.FORMULATEXT(EW$148),"=","")))+$EU161)</f>
        <v/>
      </c>
      <c r="EX161" s="78" t="str">
        <f t="array" aca="1" ref="EX161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LEN(SUBSTITUTE(_xlfn.FORMULATEXT(EX$148),"=","")))+$EU161)</f>
        <v/>
      </c>
      <c r="EY161" s="78" t="str">
        <f t="array" aca="1" ref="EY161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LEN(SUBSTITUTE(_xlfn.FORMULATEXT(EY$148),"=","")))+$EU161)</f>
        <v/>
      </c>
      <c r="EZ161" s="78" t="str">
        <f t="array" aca="1" ref="EZ161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LEN(SUBSTITUTE(_xlfn.FORMULATEXT(EZ$148),"=","")))+$EU161)</f>
        <v/>
      </c>
      <c r="FA161" s="78" t="str">
        <f t="array" aca="1" ref="FA161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LEN(SUBSTITUTE(_xlfn.FORMULATEXT(FA$148),"=","")))+$EU161)</f>
        <v/>
      </c>
      <c r="FB161" s="78" t="str">
        <f t="array" aca="1" ref="FB161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LEN(SUBSTITUTE(_xlfn.FORMULATEXT(FB$148),"=","")))+$EU161)</f>
        <v/>
      </c>
      <c r="FC161" s="78" t="str">
        <f t="array" aca="1" ref="FC161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LEN(SUBSTITUTE(_xlfn.FORMULATEXT(FC$148),"=","")))+$EU161)</f>
        <v/>
      </c>
      <c r="FD161" s="78" t="str">
        <f t="array" aca="1" ref="FD161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LEN(SUBSTITUTE(_xlfn.FORMULATEXT(FD$148),"=","")))+$EU161)</f>
        <v/>
      </c>
      <c r="FE161" s="78" t="str">
        <f t="array" aca="1" ref="FE161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LEN(SUBSTITUTE(_xlfn.FORMULATEXT(FE$148),"=","")))+$EU161)</f>
        <v/>
      </c>
      <c r="FF161" s="78" t="str">
        <f t="array" aca="1" ref="FF161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LEN(SUBSTITUTE(_xlfn.FORMULATEXT(FF$148),"=","")))+$EU161)</f>
        <v/>
      </c>
      <c r="FG161" s="78">
        <f t="shared" ca="1" si="13"/>
        <v>0</v>
      </c>
      <c r="FH161" s="78" t="b">
        <f t="array" aca="1" ref="FH161" ca="1">SUMPRODUCT((LEN(EV161:FF161)&gt;0)*1)&gt;0</f>
        <v>0</v>
      </c>
    </row>
    <row r="162" spans="151:164" ht="22.2" x14ac:dyDescent="0.45">
      <c r="EU162" s="78">
        <f t="shared" si="14"/>
        <v>98</v>
      </c>
      <c r="EV162" s="78" t="str">
        <f t="array" aca="1" ref="EV162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LEN(SUBSTITUTE(_xlfn.FORMULATEXT(EV$148),"=","")))+$EU162)</f>
        <v/>
      </c>
      <c r="EW162" s="78" t="str">
        <f t="array" aca="1" ref="EW162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LEN(SUBSTITUTE(_xlfn.FORMULATEXT(EW$148),"=","")))+$EU162)</f>
        <v/>
      </c>
      <c r="EX162" s="78" t="str">
        <f t="array" aca="1" ref="EX162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LEN(SUBSTITUTE(_xlfn.FORMULATEXT(EX$148),"=","")))+$EU162)</f>
        <v/>
      </c>
      <c r="EY162" s="78" t="str">
        <f t="array" aca="1" ref="EY162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LEN(SUBSTITUTE(_xlfn.FORMULATEXT(EY$148),"=","")))+$EU162)</f>
        <v/>
      </c>
      <c r="EZ162" s="78" t="str">
        <f t="array" aca="1" ref="EZ162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LEN(SUBSTITUTE(_xlfn.FORMULATEXT(EZ$148),"=","")))+$EU162)</f>
        <v/>
      </c>
      <c r="FA162" s="78" t="str">
        <f t="array" aca="1" ref="FA162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LEN(SUBSTITUTE(_xlfn.FORMULATEXT(FA$148),"=","")))+$EU162)</f>
        <v/>
      </c>
      <c r="FB162" s="78" t="str">
        <f t="array" aca="1" ref="FB162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LEN(SUBSTITUTE(_xlfn.FORMULATEXT(FB$148),"=","")))+$EU162)</f>
        <v/>
      </c>
      <c r="FC162" s="78" t="str">
        <f t="array" aca="1" ref="FC162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LEN(SUBSTITUTE(_xlfn.FORMULATEXT(FC$148),"=","")))+$EU162)</f>
        <v/>
      </c>
      <c r="FD162" s="78" t="str">
        <f t="array" aca="1" ref="FD162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LEN(SUBSTITUTE(_xlfn.FORMULATEXT(FD$148),"=","")))+$EU162)</f>
        <v/>
      </c>
      <c r="FE162" s="78" t="str">
        <f t="array" aca="1" ref="FE162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LEN(SUBSTITUTE(_xlfn.FORMULATEXT(FE$148),"=","")))+$EU162)</f>
        <v/>
      </c>
      <c r="FF162" s="78" t="str">
        <f t="array" aca="1" ref="FF162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LEN(SUBSTITUTE(_xlfn.FORMULATEXT(FF$148),"=","")))+$EU162)</f>
        <v/>
      </c>
      <c r="FG162" s="78">
        <f t="shared" ca="1" si="13"/>
        <v>0</v>
      </c>
      <c r="FH162" s="78" t="b">
        <f t="array" aca="1" ref="FH162" ca="1">SUMPRODUCT((LEN(EV162:FF162)&gt;0)*1)&gt;0</f>
        <v>0</v>
      </c>
    </row>
    <row r="163" spans="151:164" ht="22.2" x14ac:dyDescent="0.45">
      <c r="EU163" s="78">
        <f t="shared" si="14"/>
        <v>21</v>
      </c>
      <c r="EV163" s="78" t="str">
        <f t="array" aca="1" ref="EV163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LEN(SUBSTITUTE(_xlfn.FORMULATEXT(EV$145),"=","")))+$EU163)</f>
        <v/>
      </c>
      <c r="EW163" s="78" t="str">
        <f t="array" aca="1" ref="EW163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LEN(SUBSTITUTE(_xlfn.FORMULATEXT(EW$145),"=","")))+$EU163)</f>
        <v/>
      </c>
      <c r="EX163" s="78" t="str">
        <f t="array" aca="1" ref="EX163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LEN(SUBSTITUTE(_xlfn.FORMULATEXT(EX$145),"=","")))+$EU163)</f>
        <v/>
      </c>
      <c r="EY163" s="78" t="str">
        <f t="array" aca="1" ref="EY163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LEN(SUBSTITUTE(_xlfn.FORMULATEXT(EY$145),"=","")))+$EU163)</f>
        <v/>
      </c>
      <c r="EZ163" s="78" t="str">
        <f t="array" aca="1" ref="EZ163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LEN(SUBSTITUTE(_xlfn.FORMULATEXT(EZ$145),"=","")))+$EU163)</f>
        <v/>
      </c>
      <c r="FA163" s="78" t="e">
        <f t="array" aca="1" ref="FA163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LEN(SUBSTITUTE(_xlfn.FORMULATEXT(FA$145),"=","")))+$EU163)</f>
        <v>#VALUE!</v>
      </c>
      <c r="FB163" s="78" t="e">
        <f t="array" aca="1" ref="FB163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LEN(SUBSTITUTE(_xlfn.FORMULATEXT(FB$145),"=","")))+$EU163)</f>
        <v>#VALUE!</v>
      </c>
      <c r="FC163" s="78" t="str">
        <f t="array" aca="1" ref="FC163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LEN(SUBSTITUTE(_xlfn.FORMULATEXT(FC$145),"=","")))+$EU163)</f>
        <v/>
      </c>
      <c r="FD163" s="78" t="e">
        <f t="array" aca="1" ref="FD163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LEN(SUBSTITUTE(_xlfn.FORMULATEXT(FD$145),"=","")))+$EU163)</f>
        <v>#VALUE!</v>
      </c>
      <c r="FE163" s="78" t="str">
        <f t="array" aca="1" ref="FE163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LEN(SUBSTITUTE(_xlfn.FORMULATEXT(FE$145),"=","")))+$EU163)</f>
        <v/>
      </c>
      <c r="FF163" s="78" t="e">
        <f t="array" aca="1" ref="FF163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LEN(SUBSTITUTE(_xlfn.FORMULATEXT(FF$145),"=","")))+$EU163)</f>
        <v>#VALUE!</v>
      </c>
      <c r="FG163" s="78">
        <f t="shared" ca="1" si="13"/>
        <v>0</v>
      </c>
      <c r="FH163" s="78" t="e">
        <f t="array" aca="1" ref="FH163" ca="1">SUMPRODUCT((LEN(EV163:FF163)&gt;0)*1)&gt;0</f>
        <v>#VALUE!</v>
      </c>
    </row>
    <row r="164" spans="151:164" ht="22.2" x14ac:dyDescent="0.45">
      <c r="EU164" s="78">
        <f t="shared" si="14"/>
        <v>63</v>
      </c>
      <c r="EV164" s="78" t="str">
        <f t="array" aca="1" ref="EV164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LEN(SUBSTITUTE(_xlfn.FORMULATEXT(EV$145),"=","")))+$EU164)</f>
        <v/>
      </c>
      <c r="EW164" s="78" t="str">
        <f t="array" aca="1" ref="EW164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LEN(SUBSTITUTE(_xlfn.FORMULATEXT(EW$145),"=","")))+$EU164)</f>
        <v/>
      </c>
      <c r="EX164" s="78" t="str">
        <f t="array" aca="1" ref="EX164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LEN(SUBSTITUTE(_xlfn.FORMULATEXT(EX$145),"=","")))+$EU164)</f>
        <v/>
      </c>
      <c r="EY164" s="78" t="str">
        <f t="array" aca="1" ref="EY164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LEN(SUBSTITUTE(_xlfn.FORMULATEXT(EY$145),"=","")))+$EU164)</f>
        <v/>
      </c>
      <c r="EZ164" s="78" t="str">
        <f t="array" aca="1" ref="EZ164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LEN(SUBSTITUTE(_xlfn.FORMULATEXT(EZ$145),"=","")))+$EU164)</f>
        <v/>
      </c>
      <c r="FA164" s="78" t="str">
        <f t="array" aca="1" ref="FA164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LEN(SUBSTITUTE(_xlfn.FORMULATEXT(FA$145),"=","")))+$EU164)</f>
        <v/>
      </c>
      <c r="FB164" s="78" t="str">
        <f t="array" aca="1" ref="FB164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LEN(SUBSTITUTE(_xlfn.FORMULATEXT(FB$145),"=","")))+$EU164)</f>
        <v/>
      </c>
      <c r="FC164" s="78" t="str">
        <f t="array" aca="1" ref="FC164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LEN(SUBSTITUTE(_xlfn.FORMULATEXT(FC$145),"=","")))+$EU164)</f>
        <v/>
      </c>
      <c r="FD164" s="78" t="str">
        <f t="array" aca="1" ref="FD164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LEN(SUBSTITUTE(_xlfn.FORMULATEXT(FD$145),"=","")))+$EU164)</f>
        <v/>
      </c>
      <c r="FE164" s="78" t="str">
        <f t="array" aca="1" ref="FE164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LEN(SUBSTITUTE(_xlfn.FORMULATEXT(FE$145),"=","")))+$EU164)</f>
        <v/>
      </c>
      <c r="FF164" s="78" t="str">
        <f t="array" aca="1" ref="FF164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LEN(SUBSTITUTE(_xlfn.FORMULATEXT(FF$145),"=","")))+$EU164)</f>
        <v/>
      </c>
      <c r="FG164" s="78">
        <f t="shared" ca="1" si="13"/>
        <v>0</v>
      </c>
      <c r="FH164" s="78" t="b">
        <f t="array" aca="1" ref="FH164" ca="1">SUMPRODUCT((LEN(EV164:FF164)&gt;0)*1)&gt;0</f>
        <v>0</v>
      </c>
    </row>
    <row r="165" spans="151:164" ht="22.2" x14ac:dyDescent="0.45">
      <c r="EU165" s="78">
        <f t="shared" si="14"/>
        <v>105</v>
      </c>
      <c r="EV165" s="78" t="str">
        <f t="array" aca="1" ref="EV165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LEN(SUBSTITUTE(_xlfn.FORMULATEXT(EV$145),"=","")))+$EU165)</f>
        <v/>
      </c>
      <c r="EW165" s="78" t="str">
        <f t="array" aca="1" ref="EW165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LEN(SUBSTITUTE(_xlfn.FORMULATEXT(EW$145),"=","")))+$EU165)</f>
        <v/>
      </c>
      <c r="EX165" s="78" t="str">
        <f t="array" aca="1" ref="EX165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LEN(SUBSTITUTE(_xlfn.FORMULATEXT(EX$145),"=","")))+$EU165)</f>
        <v/>
      </c>
      <c r="EY165" s="78" t="str">
        <f t="array" aca="1" ref="EY165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LEN(SUBSTITUTE(_xlfn.FORMULATEXT(EY$145),"=","")))+$EU165)</f>
        <v/>
      </c>
      <c r="EZ165" s="78" t="str">
        <f t="array" aca="1" ref="EZ165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LEN(SUBSTITUTE(_xlfn.FORMULATEXT(EZ$145),"=","")))+$EU165)</f>
        <v/>
      </c>
      <c r="FA165" s="78" t="str">
        <f t="array" aca="1" ref="FA165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LEN(SUBSTITUTE(_xlfn.FORMULATEXT(FA$145),"=","")))+$EU165)</f>
        <v/>
      </c>
      <c r="FB165" s="78" t="str">
        <f t="array" aca="1" ref="FB165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LEN(SUBSTITUTE(_xlfn.FORMULATEXT(FB$145),"=","")))+$EU165)</f>
        <v/>
      </c>
      <c r="FC165" s="78" t="str">
        <f t="array" aca="1" ref="FC165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LEN(SUBSTITUTE(_xlfn.FORMULATEXT(FC$145),"=","")))+$EU165)</f>
        <v/>
      </c>
      <c r="FD165" s="78" t="str">
        <f t="array" aca="1" ref="FD165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LEN(SUBSTITUTE(_xlfn.FORMULATEXT(FD$145),"=","")))+$EU165)</f>
        <v/>
      </c>
      <c r="FE165" s="78" t="str">
        <f t="array" aca="1" ref="FE165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LEN(SUBSTITUTE(_xlfn.FORMULATEXT(FE$145),"=","")))+$EU165)</f>
        <v/>
      </c>
      <c r="FF165" s="78" t="str">
        <f t="array" aca="1" ref="FF165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LEN(SUBSTITUTE(_xlfn.FORMULATEXT(FF$145),"=","")))+$EU165)</f>
        <v/>
      </c>
      <c r="FG165" s="78">
        <f t="shared" ca="1" si="13"/>
        <v>0</v>
      </c>
      <c r="FH165" s="78" t="b">
        <f t="array" aca="1" ref="FH165" ca="1">SUMPRODUCT((LEN(EV165:FF165)&gt;0)*1)&gt;0</f>
        <v>0</v>
      </c>
    </row>
    <row r="166" spans="151:164" ht="22.2" x14ac:dyDescent="0.45">
      <c r="EU166" s="87">
        <f t="shared" si="14"/>
        <v>21</v>
      </c>
      <c r="EV166" s="78" t="str">
        <f t="array" aca="1" ref="EV166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LEN(SUBSTITUTE(_xlfn.FORMULATEXT(EV$148),"=","")))+$EU166)</f>
        <v/>
      </c>
      <c r="EW166" s="78" t="str">
        <f t="array" aca="1" ref="EW166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LEN(SUBSTITUTE(_xlfn.FORMULATEXT(EW$148),"=","")))+$EU166)</f>
        <v/>
      </c>
      <c r="EX166" s="78" t="str">
        <f t="array" aca="1" ref="EX166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LEN(SUBSTITUTE(_xlfn.FORMULATEXT(EX$148),"=","")))+$EU166)</f>
        <v/>
      </c>
      <c r="EY166" s="78" t="str">
        <f t="array" aca="1" ref="EY166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LEN(SUBSTITUTE(_xlfn.FORMULATEXT(EY$148),"=","")))+$EU166)</f>
        <v/>
      </c>
      <c r="EZ166" s="78" t="str">
        <f t="array" aca="1" ref="EZ166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LEN(SUBSTITUTE(_xlfn.FORMULATEXT(EZ$148),"=","")))+$EU166)</f>
        <v/>
      </c>
      <c r="FA166" s="78" t="e">
        <f t="array" aca="1" ref="FA166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LEN(SUBSTITUTE(_xlfn.FORMULATEXT(FA$148),"=","")))+$EU166)</f>
        <v>#VALUE!</v>
      </c>
      <c r="FB166" s="78" t="e">
        <f t="array" aca="1" ref="FB166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LEN(SUBSTITUTE(_xlfn.FORMULATEXT(FB$148),"=","")))+$EU166)</f>
        <v>#VALUE!</v>
      </c>
      <c r="FC166" s="78" t="str">
        <f t="array" aca="1" ref="FC166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LEN(SUBSTITUTE(_xlfn.FORMULATEXT(FC$148),"=","")))+$EU166)</f>
        <v/>
      </c>
      <c r="FD166" s="78" t="e">
        <f t="array" aca="1" ref="FD166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LEN(SUBSTITUTE(_xlfn.FORMULATEXT(FD$148),"=","")))+$EU166)</f>
        <v>#VALUE!</v>
      </c>
      <c r="FE166" s="78" t="str">
        <f t="array" aca="1" ref="FE166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LEN(SUBSTITUTE(_xlfn.FORMULATEXT(FE$148),"=","")))+$EU166)</f>
        <v/>
      </c>
      <c r="FF166" s="78" t="e">
        <f t="array" aca="1" ref="FF166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LEN(SUBSTITUTE(_xlfn.FORMULATEXT(FF$148),"=","")))+$EU166)</f>
        <v>#VALUE!</v>
      </c>
      <c r="FG166" s="78">
        <f t="shared" ca="1" si="13"/>
        <v>0</v>
      </c>
      <c r="FH166" s="78" t="e">
        <f t="array" aca="1" ref="FH166" ca="1">SUMPRODUCT((LEN(EV166:FF166)&gt;0)*1)&gt;0</f>
        <v>#VALUE!</v>
      </c>
    </row>
    <row r="167" spans="151:164" ht="22.2" x14ac:dyDescent="0.45">
      <c r="EU167" s="78">
        <f t="shared" si="14"/>
        <v>63</v>
      </c>
      <c r="EV167" s="78" t="str">
        <f t="array" aca="1" ref="EV167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LEN(SUBSTITUTE(_xlfn.FORMULATEXT(EV$148),"=","")))+$EU167)</f>
        <v/>
      </c>
      <c r="EW167" s="78" t="str">
        <f t="array" aca="1" ref="EW167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LEN(SUBSTITUTE(_xlfn.FORMULATEXT(EW$148),"=","")))+$EU167)</f>
        <v/>
      </c>
      <c r="EX167" s="78" t="str">
        <f t="array" aca="1" ref="EX167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LEN(SUBSTITUTE(_xlfn.FORMULATEXT(EX$148),"=","")))+$EU167)</f>
        <v/>
      </c>
      <c r="EY167" s="78" t="str">
        <f t="array" aca="1" ref="EY167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LEN(SUBSTITUTE(_xlfn.FORMULATEXT(EY$148),"=","")))+$EU167)</f>
        <v/>
      </c>
      <c r="EZ167" s="78" t="str">
        <f t="array" aca="1" ref="EZ167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LEN(SUBSTITUTE(_xlfn.FORMULATEXT(EZ$148),"=","")))+$EU167)</f>
        <v/>
      </c>
      <c r="FA167" s="78" t="str">
        <f t="array" aca="1" ref="FA167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LEN(SUBSTITUTE(_xlfn.FORMULATEXT(FA$148),"=","")))+$EU167)</f>
        <v/>
      </c>
      <c r="FB167" s="78" t="str">
        <f t="array" aca="1" ref="FB167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LEN(SUBSTITUTE(_xlfn.FORMULATEXT(FB$148),"=","")))+$EU167)</f>
        <v/>
      </c>
      <c r="FC167" s="78" t="str">
        <f t="array" aca="1" ref="FC167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LEN(SUBSTITUTE(_xlfn.FORMULATEXT(FC$148),"=","")))+$EU167)</f>
        <v/>
      </c>
      <c r="FD167" s="78" t="str">
        <f t="array" aca="1" ref="FD167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LEN(SUBSTITUTE(_xlfn.FORMULATEXT(FD$148),"=","")))+$EU167)</f>
        <v/>
      </c>
      <c r="FE167" s="78" t="str">
        <f t="array" aca="1" ref="FE167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LEN(SUBSTITUTE(_xlfn.FORMULATEXT(FE$148),"=","")))+$EU167)</f>
        <v/>
      </c>
      <c r="FF167" s="78" t="str">
        <f t="array" aca="1" ref="FF167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LEN(SUBSTITUTE(_xlfn.FORMULATEXT(FF$148),"=","")))+$EU167)</f>
        <v/>
      </c>
      <c r="FG167" s="78">
        <f t="shared" ca="1" si="13"/>
        <v>0</v>
      </c>
      <c r="FH167" s="78" t="b">
        <f t="array" aca="1" ref="FH167" ca="1">SUMPRODUCT((LEN(EV167:FF167)&gt;0)*1)&gt;0</f>
        <v>0</v>
      </c>
    </row>
    <row r="168" spans="151:164" ht="22.2" x14ac:dyDescent="0.45">
      <c r="EU168" s="78">
        <f t="shared" si="14"/>
        <v>105</v>
      </c>
      <c r="EV168" s="78" t="str">
        <f t="array" aca="1" ref="EV168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LEN(SUBSTITUTE(_xlfn.FORMULATEXT(EV$148),"=","")))+$EU168)</f>
        <v/>
      </c>
      <c r="EW168" s="78" t="str">
        <f t="array" aca="1" ref="EW168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LEN(SUBSTITUTE(_xlfn.FORMULATEXT(EW$148),"=","")))+$EU168)</f>
        <v/>
      </c>
      <c r="EX168" s="78" t="str">
        <f t="array" aca="1" ref="EX168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LEN(SUBSTITUTE(_xlfn.FORMULATEXT(EX$148),"=","")))+$EU168)</f>
        <v/>
      </c>
      <c r="EY168" s="78" t="str">
        <f t="array" aca="1" ref="EY168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LEN(SUBSTITUTE(_xlfn.FORMULATEXT(EY$148),"=","")))+$EU168)</f>
        <v/>
      </c>
      <c r="EZ168" s="78" t="str">
        <f t="array" aca="1" ref="EZ168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LEN(SUBSTITUTE(_xlfn.FORMULATEXT(EZ$148),"=","")))+$EU168)</f>
        <v/>
      </c>
      <c r="FA168" s="78" t="str">
        <f t="array" aca="1" ref="FA168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LEN(SUBSTITUTE(_xlfn.FORMULATEXT(FA$148),"=","")))+$EU168)</f>
        <v/>
      </c>
      <c r="FB168" s="78" t="str">
        <f t="array" aca="1" ref="FB168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LEN(SUBSTITUTE(_xlfn.FORMULATEXT(FB$148),"=","")))+$EU168)</f>
        <v/>
      </c>
      <c r="FC168" s="78" t="str">
        <f t="array" aca="1" ref="FC168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LEN(SUBSTITUTE(_xlfn.FORMULATEXT(FC$148),"=","")))+$EU168)</f>
        <v/>
      </c>
      <c r="FD168" s="78" t="str">
        <f t="array" aca="1" ref="FD168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LEN(SUBSTITUTE(_xlfn.FORMULATEXT(FD$148),"=","")))+$EU168)</f>
        <v/>
      </c>
      <c r="FE168" s="78" t="str">
        <f t="array" aca="1" ref="FE168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LEN(SUBSTITUTE(_xlfn.FORMULATEXT(FE$148),"=","")))+$EU168)</f>
        <v/>
      </c>
      <c r="FF168" s="78" t="str">
        <f t="array" aca="1" ref="FF168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LEN(SUBSTITUTE(_xlfn.FORMULATEXT(FF$148),"=","")))+$EU168)</f>
        <v/>
      </c>
      <c r="FG168" s="78">
        <f t="shared" ca="1" si="13"/>
        <v>0</v>
      </c>
      <c r="FH168" s="78" t="b">
        <f t="array" aca="1" ref="FH168" ca="1">SUMPRODUCT((LEN(EV168:FF168)&gt;0)*1)&gt;0</f>
        <v>0</v>
      </c>
    </row>
    <row r="169" spans="151:164" ht="22.2" x14ac:dyDescent="0.45">
      <c r="EU169" s="78">
        <f t="shared" si="14"/>
        <v>28</v>
      </c>
      <c r="EV169" s="78" t="str">
        <f t="array" aca="1" ref="EV169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LEN(SUBSTITUTE(_xlfn.FORMULATEXT(EV$145),"=","")))+$EU169)</f>
        <v/>
      </c>
      <c r="EW169" s="78" t="str">
        <f t="array" aca="1" ref="EW169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LEN(SUBSTITUTE(_xlfn.FORMULATEXT(EW$145),"=","")))+$EU169)</f>
        <v/>
      </c>
      <c r="EX169" s="78" t="str">
        <f t="array" aca="1" ref="EX169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LEN(SUBSTITUTE(_xlfn.FORMULATEXT(EX$145),"=","")))+$EU169)</f>
        <v/>
      </c>
      <c r="EY169" s="78" t="str">
        <f t="array" aca="1" ref="EY169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LEN(SUBSTITUTE(_xlfn.FORMULATEXT(EY$145),"=","")))+$EU169)</f>
        <v/>
      </c>
      <c r="EZ169" s="78" t="str">
        <f t="array" aca="1" ref="EZ169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LEN(SUBSTITUTE(_xlfn.FORMULATEXT(EZ$145),"=","")))+$EU169)</f>
        <v/>
      </c>
      <c r="FA169" s="78" t="e">
        <f t="array" aca="1" ref="FA169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LEN(SUBSTITUTE(_xlfn.FORMULATEXT(FA$145),"=","")))+$EU169)</f>
        <v>#VALUE!</v>
      </c>
      <c r="FB169" s="78" t="e">
        <f t="array" aca="1" ref="FB169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LEN(SUBSTITUTE(_xlfn.FORMULATEXT(FB$145),"=","")))+$EU169)</f>
        <v>#VALUE!</v>
      </c>
      <c r="FC169" s="78" t="str">
        <f t="array" aca="1" ref="FC169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LEN(SUBSTITUTE(_xlfn.FORMULATEXT(FC$145),"=","")))+$EU169)</f>
        <v/>
      </c>
      <c r="FD169" s="78" t="e">
        <f t="array" aca="1" ref="FD169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LEN(SUBSTITUTE(_xlfn.FORMULATEXT(FD$145),"=","")))+$EU169)</f>
        <v>#VALUE!</v>
      </c>
      <c r="FE169" s="78" t="str">
        <f t="array" aca="1" ref="FE169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LEN(SUBSTITUTE(_xlfn.FORMULATEXT(FE$145),"=","")))+$EU169)</f>
        <v/>
      </c>
      <c r="FF169" s="78" t="e">
        <f t="array" aca="1" ref="FF169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LEN(SUBSTITUTE(_xlfn.FORMULATEXT(FF$145),"=","")))+$EU169)</f>
        <v>#VALUE!</v>
      </c>
      <c r="FG169" s="78">
        <f t="shared" ca="1" si="13"/>
        <v>0</v>
      </c>
      <c r="FH169" s="78" t="e">
        <f t="array" aca="1" ref="FH169" ca="1">SUMPRODUCT((LEN(EV169:FF169)&gt;0)*1)&gt;0</f>
        <v>#VALUE!</v>
      </c>
    </row>
    <row r="170" spans="151:164" ht="22.2" x14ac:dyDescent="0.45">
      <c r="EU170" s="78">
        <f t="shared" si="14"/>
        <v>70</v>
      </c>
      <c r="EV170" s="78" t="str">
        <f t="array" aca="1" ref="EV170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LEN(SUBSTITUTE(_xlfn.FORMULATEXT(EV$145),"=","")))+$EU170)</f>
        <v/>
      </c>
      <c r="EW170" s="78" t="str">
        <f t="array" aca="1" ref="EW170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LEN(SUBSTITUTE(_xlfn.FORMULATEXT(EW$145),"=","")))+$EU170)</f>
        <v/>
      </c>
      <c r="EX170" s="78" t="str">
        <f t="array" aca="1" ref="EX170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LEN(SUBSTITUTE(_xlfn.FORMULATEXT(EX$145),"=","")))+$EU170)</f>
        <v/>
      </c>
      <c r="EY170" s="78" t="str">
        <f t="array" aca="1" ref="EY170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LEN(SUBSTITUTE(_xlfn.FORMULATEXT(EY$145),"=","")))+$EU170)</f>
        <v/>
      </c>
      <c r="EZ170" s="78" t="str">
        <f t="array" aca="1" ref="EZ170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LEN(SUBSTITUTE(_xlfn.FORMULATEXT(EZ$145),"=","")))+$EU170)</f>
        <v/>
      </c>
      <c r="FA170" s="78" t="str">
        <f t="array" aca="1" ref="FA170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LEN(SUBSTITUTE(_xlfn.FORMULATEXT(FA$145),"=","")))+$EU170)</f>
        <v/>
      </c>
      <c r="FB170" s="78" t="str">
        <f t="array" aca="1" ref="FB170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LEN(SUBSTITUTE(_xlfn.FORMULATEXT(FB$145),"=","")))+$EU170)</f>
        <v/>
      </c>
      <c r="FC170" s="78" t="str">
        <f t="array" aca="1" ref="FC170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LEN(SUBSTITUTE(_xlfn.FORMULATEXT(FC$145),"=","")))+$EU170)</f>
        <v/>
      </c>
      <c r="FD170" s="78" t="str">
        <f t="array" aca="1" ref="FD170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LEN(SUBSTITUTE(_xlfn.FORMULATEXT(FD$145),"=","")))+$EU170)</f>
        <v/>
      </c>
      <c r="FE170" s="78" t="str">
        <f t="array" aca="1" ref="FE170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LEN(SUBSTITUTE(_xlfn.FORMULATEXT(FE$145),"=","")))+$EU170)</f>
        <v/>
      </c>
      <c r="FF170" s="78" t="str">
        <f t="array" aca="1" ref="FF170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LEN(SUBSTITUTE(_xlfn.FORMULATEXT(FF$145),"=","")))+$EU170)</f>
        <v/>
      </c>
      <c r="FG170" s="78">
        <f t="shared" ca="1" si="13"/>
        <v>0</v>
      </c>
      <c r="FH170" s="78" t="b">
        <f t="array" aca="1" ref="FH170" ca="1">SUMPRODUCT((LEN(EV170:FF170)&gt;0)*1)&gt;0</f>
        <v>0</v>
      </c>
    </row>
    <row r="171" spans="151:164" ht="22.2" x14ac:dyDescent="0.45">
      <c r="EU171" s="78">
        <f t="shared" si="14"/>
        <v>112</v>
      </c>
      <c r="EV171" s="78" t="str">
        <f t="array" aca="1" ref="EV171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LEN(SUBSTITUTE(_xlfn.FORMULATEXT(EV$145),"=","")))+$EU171)</f>
        <v/>
      </c>
      <c r="EW171" s="78" t="str">
        <f t="array" aca="1" ref="EW171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LEN(SUBSTITUTE(_xlfn.FORMULATEXT(EW$145),"=","")))+$EU171)</f>
        <v/>
      </c>
      <c r="EX171" s="78" t="str">
        <f t="array" aca="1" ref="EX171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LEN(SUBSTITUTE(_xlfn.FORMULATEXT(EX$145),"=","")))+$EU171)</f>
        <v/>
      </c>
      <c r="EY171" s="78" t="str">
        <f t="array" aca="1" ref="EY171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LEN(SUBSTITUTE(_xlfn.FORMULATEXT(EY$145),"=","")))+$EU171)</f>
        <v/>
      </c>
      <c r="EZ171" s="78" t="str">
        <f t="array" aca="1" ref="EZ171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LEN(SUBSTITUTE(_xlfn.FORMULATEXT(EZ$145),"=","")))+$EU171)</f>
        <v/>
      </c>
      <c r="FA171" s="78" t="str">
        <f t="array" aca="1" ref="FA171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LEN(SUBSTITUTE(_xlfn.FORMULATEXT(FA$145),"=","")))+$EU171)</f>
        <v/>
      </c>
      <c r="FB171" s="78" t="str">
        <f t="array" aca="1" ref="FB171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LEN(SUBSTITUTE(_xlfn.FORMULATEXT(FB$145),"=","")))+$EU171)</f>
        <v/>
      </c>
      <c r="FC171" s="78" t="str">
        <f t="array" aca="1" ref="FC171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LEN(SUBSTITUTE(_xlfn.FORMULATEXT(FC$145),"=","")))+$EU171)</f>
        <v/>
      </c>
      <c r="FD171" s="78" t="str">
        <f t="array" aca="1" ref="FD171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LEN(SUBSTITUTE(_xlfn.FORMULATEXT(FD$145),"=","")))+$EU171)</f>
        <v/>
      </c>
      <c r="FE171" s="78" t="str">
        <f t="array" aca="1" ref="FE171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LEN(SUBSTITUTE(_xlfn.FORMULATEXT(FE$145),"=","")))+$EU171)</f>
        <v/>
      </c>
      <c r="FF171" s="78" t="str">
        <f t="array" aca="1" ref="FF171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LEN(SUBSTITUTE(_xlfn.FORMULATEXT(FF$145),"=","")))+$EU171)</f>
        <v/>
      </c>
      <c r="FG171" s="78">
        <f t="shared" ca="1" si="13"/>
        <v>0</v>
      </c>
      <c r="FH171" s="78" t="b">
        <f t="array" aca="1" ref="FH171" ca="1">SUMPRODUCT((LEN(EV171:FF171)&gt;0)*1)&gt;0</f>
        <v>0</v>
      </c>
    </row>
    <row r="172" spans="151:164" ht="22.2" x14ac:dyDescent="0.45">
      <c r="EU172" s="87">
        <f t="shared" si="14"/>
        <v>28</v>
      </c>
      <c r="EV172" s="78" t="str">
        <f t="array" aca="1" ref="EV172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LEN(SUBSTITUTE(_xlfn.FORMULATEXT(EV$148),"=","")))+$EU172)</f>
        <v/>
      </c>
      <c r="EW172" s="78" t="str">
        <f t="array" aca="1" ref="EW172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LEN(SUBSTITUTE(_xlfn.FORMULATEXT(EW$148),"=","")))+$EU172)</f>
        <v/>
      </c>
      <c r="EX172" s="78" t="str">
        <f t="array" aca="1" ref="EX172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LEN(SUBSTITUTE(_xlfn.FORMULATEXT(EX$148),"=","")))+$EU172)</f>
        <v/>
      </c>
      <c r="EY172" s="78" t="str">
        <f t="array" aca="1" ref="EY172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LEN(SUBSTITUTE(_xlfn.FORMULATEXT(EY$148),"=","")))+$EU172)</f>
        <v/>
      </c>
      <c r="EZ172" s="78" t="str">
        <f t="array" aca="1" ref="EZ172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LEN(SUBSTITUTE(_xlfn.FORMULATEXT(EZ$148),"=","")))+$EU172)</f>
        <v/>
      </c>
      <c r="FA172" s="78" t="e">
        <f t="array" aca="1" ref="FA172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LEN(SUBSTITUTE(_xlfn.FORMULATEXT(FA$148),"=","")))+$EU172)</f>
        <v>#VALUE!</v>
      </c>
      <c r="FB172" s="78" t="e">
        <f t="array" aca="1" ref="FB172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LEN(SUBSTITUTE(_xlfn.FORMULATEXT(FB$148),"=","")))+$EU172)</f>
        <v>#VALUE!</v>
      </c>
      <c r="FC172" s="78" t="str">
        <f t="array" aca="1" ref="FC172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LEN(SUBSTITUTE(_xlfn.FORMULATEXT(FC$148),"=","")))+$EU172)</f>
        <v/>
      </c>
      <c r="FD172" s="78" t="e">
        <f t="array" aca="1" ref="FD172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LEN(SUBSTITUTE(_xlfn.FORMULATEXT(FD$148),"=","")))+$EU172)</f>
        <v>#VALUE!</v>
      </c>
      <c r="FE172" s="78" t="str">
        <f t="array" aca="1" ref="FE172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LEN(SUBSTITUTE(_xlfn.FORMULATEXT(FE$148),"=","")))+$EU172)</f>
        <v/>
      </c>
      <c r="FF172" s="78" t="e">
        <f t="array" aca="1" ref="FF172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LEN(SUBSTITUTE(_xlfn.FORMULATEXT(FF$148),"=","")))+$EU172)</f>
        <v>#VALUE!</v>
      </c>
      <c r="FG172" s="78">
        <f t="shared" ca="1" si="13"/>
        <v>0</v>
      </c>
      <c r="FH172" s="78" t="e">
        <f t="array" aca="1" ref="FH172" ca="1">SUMPRODUCT((LEN(EV172:FF172)&gt;0)*1)&gt;0</f>
        <v>#VALUE!</v>
      </c>
    </row>
    <row r="173" spans="151:164" ht="22.2" x14ac:dyDescent="0.45">
      <c r="EU173" s="78">
        <f t="shared" si="14"/>
        <v>70</v>
      </c>
      <c r="EV173" s="78" t="str">
        <f t="array" aca="1" ref="EV173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LEN(SUBSTITUTE(_xlfn.FORMULATEXT(EV$148),"=","")))+$EU173)</f>
        <v/>
      </c>
      <c r="EW173" s="78" t="str">
        <f t="array" aca="1" ref="EW173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LEN(SUBSTITUTE(_xlfn.FORMULATEXT(EW$148),"=","")))+$EU173)</f>
        <v/>
      </c>
      <c r="EX173" s="78" t="str">
        <f t="array" aca="1" ref="EX173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LEN(SUBSTITUTE(_xlfn.FORMULATEXT(EX$148),"=","")))+$EU173)</f>
        <v/>
      </c>
      <c r="EY173" s="78" t="str">
        <f t="array" aca="1" ref="EY173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LEN(SUBSTITUTE(_xlfn.FORMULATEXT(EY$148),"=","")))+$EU173)</f>
        <v/>
      </c>
      <c r="EZ173" s="78" t="str">
        <f t="array" aca="1" ref="EZ173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LEN(SUBSTITUTE(_xlfn.FORMULATEXT(EZ$148),"=","")))+$EU173)</f>
        <v/>
      </c>
      <c r="FA173" s="78" t="str">
        <f t="array" aca="1" ref="FA173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LEN(SUBSTITUTE(_xlfn.FORMULATEXT(FA$148),"=","")))+$EU173)</f>
        <v/>
      </c>
      <c r="FB173" s="78" t="str">
        <f t="array" aca="1" ref="FB173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LEN(SUBSTITUTE(_xlfn.FORMULATEXT(FB$148),"=","")))+$EU173)</f>
        <v/>
      </c>
      <c r="FC173" s="78" t="str">
        <f t="array" aca="1" ref="FC173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LEN(SUBSTITUTE(_xlfn.FORMULATEXT(FC$148),"=","")))+$EU173)</f>
        <v/>
      </c>
      <c r="FD173" s="78" t="str">
        <f t="array" aca="1" ref="FD173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LEN(SUBSTITUTE(_xlfn.FORMULATEXT(FD$148),"=","")))+$EU173)</f>
        <v/>
      </c>
      <c r="FE173" s="78" t="str">
        <f t="array" aca="1" ref="FE173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LEN(SUBSTITUTE(_xlfn.FORMULATEXT(FE$148),"=","")))+$EU173)</f>
        <v/>
      </c>
      <c r="FF173" s="78" t="str">
        <f t="array" aca="1" ref="FF173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LEN(SUBSTITUTE(_xlfn.FORMULATEXT(FF$148),"=","")))+$EU173)</f>
        <v/>
      </c>
      <c r="FG173" s="78">
        <f t="shared" ca="1" si="13"/>
        <v>0</v>
      </c>
      <c r="FH173" s="78" t="b">
        <f t="array" aca="1" ref="FH173" ca="1">SUMPRODUCT((LEN(EV173:FF173)&gt;0)*1)&gt;0</f>
        <v>0</v>
      </c>
    </row>
    <row r="174" spans="151:164" ht="22.2" x14ac:dyDescent="0.45">
      <c r="EU174" s="78">
        <f t="shared" si="14"/>
        <v>112</v>
      </c>
      <c r="EV174" s="78" t="str">
        <f t="array" aca="1" ref="EV174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LEN(SUBSTITUTE(_xlfn.FORMULATEXT(EV$148),"=","")))+$EU174)</f>
        <v/>
      </c>
      <c r="EW174" s="78" t="str">
        <f t="array" aca="1" ref="EW174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LEN(SUBSTITUTE(_xlfn.FORMULATEXT(EW$148),"=","")))+$EU174)</f>
        <v/>
      </c>
      <c r="EX174" s="78" t="str">
        <f t="array" aca="1" ref="EX174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LEN(SUBSTITUTE(_xlfn.FORMULATEXT(EX$148),"=","")))+$EU174)</f>
        <v/>
      </c>
      <c r="EY174" s="78" t="str">
        <f t="array" aca="1" ref="EY174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LEN(SUBSTITUTE(_xlfn.FORMULATEXT(EY$148),"=","")))+$EU174)</f>
        <v/>
      </c>
      <c r="EZ174" s="78" t="str">
        <f t="array" aca="1" ref="EZ174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LEN(SUBSTITUTE(_xlfn.FORMULATEXT(EZ$148),"=","")))+$EU174)</f>
        <v/>
      </c>
      <c r="FA174" s="78" t="str">
        <f t="array" aca="1" ref="FA174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LEN(SUBSTITUTE(_xlfn.FORMULATEXT(FA$148),"=","")))+$EU174)</f>
        <v/>
      </c>
      <c r="FB174" s="78" t="str">
        <f t="array" aca="1" ref="FB174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LEN(SUBSTITUTE(_xlfn.FORMULATEXT(FB$148),"=","")))+$EU174)</f>
        <v/>
      </c>
      <c r="FC174" s="78" t="str">
        <f t="array" aca="1" ref="FC174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LEN(SUBSTITUTE(_xlfn.FORMULATEXT(FC$148),"=","")))+$EU174)</f>
        <v/>
      </c>
      <c r="FD174" s="78" t="str">
        <f t="array" aca="1" ref="FD174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LEN(SUBSTITUTE(_xlfn.FORMULATEXT(FD$148),"=","")))+$EU174)</f>
        <v/>
      </c>
      <c r="FE174" s="78" t="str">
        <f t="array" aca="1" ref="FE174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LEN(SUBSTITUTE(_xlfn.FORMULATEXT(FE$148),"=","")))+$EU174)</f>
        <v/>
      </c>
      <c r="FF174" s="78" t="str">
        <f t="array" aca="1" ref="FF174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LEN(SUBSTITUTE(_xlfn.FORMULATEXT(FF$148),"=","")))+$EU174)</f>
        <v/>
      </c>
      <c r="FG174" s="78">
        <f t="shared" ca="1" si="13"/>
        <v>0</v>
      </c>
      <c r="FH174" s="78" t="b">
        <f t="array" aca="1" ref="FH174" ca="1">SUMPRODUCT((LEN(EV174:FF174)&gt;0)*1)&gt;0</f>
        <v>0</v>
      </c>
    </row>
    <row r="175" spans="151:164" ht="22.2" x14ac:dyDescent="0.45">
      <c r="EU175" s="78">
        <f t="shared" si="14"/>
        <v>35</v>
      </c>
      <c r="EV175" s="78" t="str">
        <f t="array" aca="1" ref="EV175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LEN(SUBSTITUTE(_xlfn.FORMULATEXT(EV$145),"=","")))+$EU175)</f>
        <v/>
      </c>
      <c r="EW175" s="78" t="str">
        <f t="array" aca="1" ref="EW175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LEN(SUBSTITUTE(_xlfn.FORMULATEXT(EW$145),"=","")))+$EU175)</f>
        <v/>
      </c>
      <c r="EX175" s="78" t="str">
        <f t="array" aca="1" ref="EX175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LEN(SUBSTITUTE(_xlfn.FORMULATEXT(EX$145),"=","")))+$EU175)</f>
        <v/>
      </c>
      <c r="EY175" s="78" t="str">
        <f t="array" aca="1" ref="EY175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LEN(SUBSTITUTE(_xlfn.FORMULATEXT(EY$145),"=","")))+$EU175)</f>
        <v/>
      </c>
      <c r="EZ175" s="78" t="str">
        <f t="array" aca="1" ref="EZ175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LEN(SUBSTITUTE(_xlfn.FORMULATEXT(EZ$145),"=","")))+$EU175)</f>
        <v/>
      </c>
      <c r="FA175" s="78" t="e">
        <f t="array" aca="1" ref="FA175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LEN(SUBSTITUTE(_xlfn.FORMULATEXT(FA$145),"=","")))+$EU175)</f>
        <v>#VALUE!</v>
      </c>
      <c r="FB175" s="78" t="e">
        <f t="array" aca="1" ref="FB175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LEN(SUBSTITUTE(_xlfn.FORMULATEXT(FB$145),"=","")))+$EU175)</f>
        <v>#VALUE!</v>
      </c>
      <c r="FC175" s="78" t="str">
        <f t="array" aca="1" ref="FC175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LEN(SUBSTITUTE(_xlfn.FORMULATEXT(FC$145),"=","")))+$EU175)</f>
        <v/>
      </c>
      <c r="FD175" s="78" t="e">
        <f t="array" aca="1" ref="FD175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LEN(SUBSTITUTE(_xlfn.FORMULATEXT(FD$145),"=","")))+$EU175)</f>
        <v>#VALUE!</v>
      </c>
      <c r="FE175" s="78" t="str">
        <f t="array" aca="1" ref="FE175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LEN(SUBSTITUTE(_xlfn.FORMULATEXT(FE$145),"=","")))+$EU175)</f>
        <v/>
      </c>
      <c r="FF175" s="78" t="e">
        <f t="array" aca="1" ref="FF175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LEN(SUBSTITUTE(_xlfn.FORMULATEXT(FF$145),"=","")))+$EU175)</f>
        <v>#VALUE!</v>
      </c>
      <c r="FG175" s="78">
        <f t="shared" ca="1" si="13"/>
        <v>0</v>
      </c>
      <c r="FH175" s="78" t="e">
        <f t="array" aca="1" ref="FH175" ca="1">SUMPRODUCT((LEN(EV175:FF175)&gt;0)*1)&gt;0</f>
        <v>#VALUE!</v>
      </c>
    </row>
    <row r="176" spans="151:164" ht="22.2" x14ac:dyDescent="0.45">
      <c r="EU176" s="78">
        <f t="shared" si="14"/>
        <v>77</v>
      </c>
      <c r="EV176" s="78" t="str">
        <f t="array" aca="1" ref="EV176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LEN(SUBSTITUTE(_xlfn.FORMULATEXT(EV$145),"=","")))+$EU176)</f>
        <v/>
      </c>
      <c r="EW176" s="78" t="str">
        <f t="array" aca="1" ref="EW176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LEN(SUBSTITUTE(_xlfn.FORMULATEXT(EW$145),"=","")))+$EU176)</f>
        <v/>
      </c>
      <c r="EX176" s="78" t="str">
        <f t="array" aca="1" ref="EX176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LEN(SUBSTITUTE(_xlfn.FORMULATEXT(EX$145),"=","")))+$EU176)</f>
        <v/>
      </c>
      <c r="EY176" s="78" t="str">
        <f t="array" aca="1" ref="EY176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LEN(SUBSTITUTE(_xlfn.FORMULATEXT(EY$145),"=","")))+$EU176)</f>
        <v/>
      </c>
      <c r="EZ176" s="78" t="str">
        <f t="array" aca="1" ref="EZ176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LEN(SUBSTITUTE(_xlfn.FORMULATEXT(EZ$145),"=","")))+$EU176)</f>
        <v/>
      </c>
      <c r="FA176" s="78" t="str">
        <f t="array" aca="1" ref="FA176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LEN(SUBSTITUTE(_xlfn.FORMULATEXT(FA$145),"=","")))+$EU176)</f>
        <v/>
      </c>
      <c r="FB176" s="78" t="str">
        <f t="array" aca="1" ref="FB176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LEN(SUBSTITUTE(_xlfn.FORMULATEXT(FB$145),"=","")))+$EU176)</f>
        <v/>
      </c>
      <c r="FC176" s="78" t="str">
        <f t="array" aca="1" ref="FC176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LEN(SUBSTITUTE(_xlfn.FORMULATEXT(FC$145),"=","")))+$EU176)</f>
        <v/>
      </c>
      <c r="FD176" s="78" t="str">
        <f t="array" aca="1" ref="FD176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LEN(SUBSTITUTE(_xlfn.FORMULATEXT(FD$145),"=","")))+$EU176)</f>
        <v/>
      </c>
      <c r="FE176" s="78" t="str">
        <f t="array" aca="1" ref="FE176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LEN(SUBSTITUTE(_xlfn.FORMULATEXT(FE$145),"=","")))+$EU176)</f>
        <v/>
      </c>
      <c r="FF176" s="78" t="str">
        <f t="array" aca="1" ref="FF176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LEN(SUBSTITUTE(_xlfn.FORMULATEXT(FF$145),"=","")))+$EU176)</f>
        <v/>
      </c>
      <c r="FG176" s="78">
        <f t="shared" ca="1" si="13"/>
        <v>0</v>
      </c>
      <c r="FH176" s="78" t="b">
        <f t="array" aca="1" ref="FH176" ca="1">SUMPRODUCT((LEN(EV176:FF176)&gt;0)*1)&gt;0</f>
        <v>0</v>
      </c>
    </row>
    <row r="177" spans="151:164" ht="22.2" x14ac:dyDescent="0.45">
      <c r="EU177" s="78">
        <f t="shared" si="14"/>
        <v>119</v>
      </c>
      <c r="EV177" s="78" t="str">
        <f t="array" aca="1" ref="EV177" ca="1">INDIRECT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
&amp;MID(SUBSTITUTE(_xlfn.FORMULATEXT(EV$145),"=",""), LEN(_xlfn.TEXTJOIN("",TRUE,IF(ISERROR(MID(SUBSTITUTE(_xlfn.FORMULATEXT(EV$145),"=",""),ROW(INDIRECT("1:"&amp;LEN(SUBSTITUTE(_xlfn.FORMULATEXT(EV$145),"=","")))),1)*1),MID(SUBSTITUTE(_xlfn.FORMULATEXT(EV$145),"=",""),ROW(INDIRECT("1:"&amp;LEN(SUBSTITUTE(_xlfn.FORMULATEXT(EV$145),"=","")))),1),"")))+1, LEN(SUBSTITUTE(_xlfn.FORMULATEXT(EV$145),"=","")))+$EU177)</f>
        <v/>
      </c>
      <c r="EW177" s="78" t="str">
        <f t="array" aca="1" ref="EW177" ca="1">INDIRECT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
&amp;MID(SUBSTITUTE(_xlfn.FORMULATEXT(EW$145),"=",""), LEN(_xlfn.TEXTJOIN("",TRUE,IF(ISERROR(MID(SUBSTITUTE(_xlfn.FORMULATEXT(EW$145),"=",""),ROW(INDIRECT("1:"&amp;LEN(SUBSTITUTE(_xlfn.FORMULATEXT(EW$145),"=","")))),1)*1),MID(SUBSTITUTE(_xlfn.FORMULATEXT(EW$145),"=",""),ROW(INDIRECT("1:"&amp;LEN(SUBSTITUTE(_xlfn.FORMULATEXT(EW$145),"=","")))),1),"")))+1, LEN(SUBSTITUTE(_xlfn.FORMULATEXT(EW$145),"=","")))+$EU177)</f>
        <v/>
      </c>
      <c r="EX177" s="78" t="str">
        <f t="array" aca="1" ref="EX177" ca="1">INDIRECT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
&amp;MID(SUBSTITUTE(_xlfn.FORMULATEXT(EX$145),"=",""), LEN(_xlfn.TEXTJOIN("",TRUE,IF(ISERROR(MID(SUBSTITUTE(_xlfn.FORMULATEXT(EX$145),"=",""),ROW(INDIRECT("1:"&amp;LEN(SUBSTITUTE(_xlfn.FORMULATEXT(EX$145),"=","")))),1)*1),MID(SUBSTITUTE(_xlfn.FORMULATEXT(EX$145),"=",""),ROW(INDIRECT("1:"&amp;LEN(SUBSTITUTE(_xlfn.FORMULATEXT(EX$145),"=","")))),1),"")))+1, LEN(SUBSTITUTE(_xlfn.FORMULATEXT(EX$145),"=","")))+$EU177)</f>
        <v/>
      </c>
      <c r="EY177" s="78" t="str">
        <f t="array" aca="1" ref="EY177" ca="1">INDIRECT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
&amp;MID(SUBSTITUTE(_xlfn.FORMULATEXT(EY$145),"=",""), LEN(_xlfn.TEXTJOIN("",TRUE,IF(ISERROR(MID(SUBSTITUTE(_xlfn.FORMULATEXT(EY$145),"=",""),ROW(INDIRECT("1:"&amp;LEN(SUBSTITUTE(_xlfn.FORMULATEXT(EY$145),"=","")))),1)*1),MID(SUBSTITUTE(_xlfn.FORMULATEXT(EY$145),"=",""),ROW(INDIRECT("1:"&amp;LEN(SUBSTITUTE(_xlfn.FORMULATEXT(EY$145),"=","")))),1),"")))+1, LEN(SUBSTITUTE(_xlfn.FORMULATEXT(EY$145),"=","")))+$EU177)</f>
        <v/>
      </c>
      <c r="EZ177" s="78" t="str">
        <f t="array" aca="1" ref="EZ177" ca="1">INDIRECT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
&amp;MID(SUBSTITUTE(_xlfn.FORMULATEXT(EZ$145),"=",""), LEN(_xlfn.TEXTJOIN("",TRUE,IF(ISERROR(MID(SUBSTITUTE(_xlfn.FORMULATEXT(EZ$145),"=",""),ROW(INDIRECT("1:"&amp;LEN(SUBSTITUTE(_xlfn.FORMULATEXT(EZ$145),"=","")))),1)*1),MID(SUBSTITUTE(_xlfn.FORMULATEXT(EZ$145),"=",""),ROW(INDIRECT("1:"&amp;LEN(SUBSTITUTE(_xlfn.FORMULATEXT(EZ$145),"=","")))),1),"")))+1, LEN(SUBSTITUTE(_xlfn.FORMULATEXT(EZ$145),"=","")))+$EU177)</f>
        <v/>
      </c>
      <c r="FA177" s="78" t="str">
        <f t="array" aca="1" ref="FA177" ca="1">INDIRECT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
&amp;MID(SUBSTITUTE(_xlfn.FORMULATEXT(FA$145),"=",""), LEN(_xlfn.TEXTJOIN("",TRUE,IF(ISERROR(MID(SUBSTITUTE(_xlfn.FORMULATEXT(FA$145),"=",""),ROW(INDIRECT("1:"&amp;LEN(SUBSTITUTE(_xlfn.FORMULATEXT(FA$145),"=","")))),1)*1),MID(SUBSTITUTE(_xlfn.FORMULATEXT(FA$145),"=",""),ROW(INDIRECT("1:"&amp;LEN(SUBSTITUTE(_xlfn.FORMULATEXT(FA$145),"=","")))),1),"")))+1, LEN(SUBSTITUTE(_xlfn.FORMULATEXT(FA$145),"=","")))+$EU177)</f>
        <v/>
      </c>
      <c r="FB177" s="78" t="str">
        <f t="array" aca="1" ref="FB177" ca="1">INDIRECT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
&amp;MID(SUBSTITUTE(_xlfn.FORMULATEXT(FB$145),"=",""), LEN(_xlfn.TEXTJOIN("",TRUE,IF(ISERROR(MID(SUBSTITUTE(_xlfn.FORMULATEXT(FB$145),"=",""),ROW(INDIRECT("1:"&amp;LEN(SUBSTITUTE(_xlfn.FORMULATEXT(FB$145),"=","")))),1)*1),MID(SUBSTITUTE(_xlfn.FORMULATEXT(FB$145),"=",""),ROW(INDIRECT("1:"&amp;LEN(SUBSTITUTE(_xlfn.FORMULATEXT(FB$145),"=","")))),1),"")))+1, LEN(SUBSTITUTE(_xlfn.FORMULATEXT(FB$145),"=","")))+$EU177)</f>
        <v/>
      </c>
      <c r="FC177" s="78" t="str">
        <f t="array" aca="1" ref="FC177" ca="1">INDIRECT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
&amp;MID(SUBSTITUTE(_xlfn.FORMULATEXT(FC$145),"=",""), LEN(_xlfn.TEXTJOIN("",TRUE,IF(ISERROR(MID(SUBSTITUTE(_xlfn.FORMULATEXT(FC$145),"=",""),ROW(INDIRECT("1:"&amp;LEN(SUBSTITUTE(_xlfn.FORMULATEXT(FC$145),"=","")))),1)*1),MID(SUBSTITUTE(_xlfn.FORMULATEXT(FC$145),"=",""),ROW(INDIRECT("1:"&amp;LEN(SUBSTITUTE(_xlfn.FORMULATEXT(FC$145),"=","")))),1),"")))+1, LEN(SUBSTITUTE(_xlfn.FORMULATEXT(FC$145),"=","")))+$EU177)</f>
        <v/>
      </c>
      <c r="FD177" s="78" t="str">
        <f t="array" aca="1" ref="FD177" ca="1">INDIRECT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
&amp;MID(SUBSTITUTE(_xlfn.FORMULATEXT(FD$145),"=",""), LEN(_xlfn.TEXTJOIN("",TRUE,IF(ISERROR(MID(SUBSTITUTE(_xlfn.FORMULATEXT(FD$145),"=",""),ROW(INDIRECT("1:"&amp;LEN(SUBSTITUTE(_xlfn.FORMULATEXT(FD$145),"=","")))),1)*1),MID(SUBSTITUTE(_xlfn.FORMULATEXT(FD$145),"=",""),ROW(INDIRECT("1:"&amp;LEN(SUBSTITUTE(_xlfn.FORMULATEXT(FD$145),"=","")))),1),"")))+1, LEN(SUBSTITUTE(_xlfn.FORMULATEXT(FD$145),"=","")))+$EU177)</f>
        <v/>
      </c>
      <c r="FE177" s="78" t="str">
        <f t="array" aca="1" ref="FE177" ca="1">INDIRECT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
&amp;MID(SUBSTITUTE(_xlfn.FORMULATEXT(FE$145),"=",""), LEN(_xlfn.TEXTJOIN("",TRUE,IF(ISERROR(MID(SUBSTITUTE(_xlfn.FORMULATEXT(FE$145),"=",""),ROW(INDIRECT("1:"&amp;LEN(SUBSTITUTE(_xlfn.FORMULATEXT(FE$145),"=","")))),1)*1),MID(SUBSTITUTE(_xlfn.FORMULATEXT(FE$145),"=",""),ROW(INDIRECT("1:"&amp;LEN(SUBSTITUTE(_xlfn.FORMULATEXT(FE$145),"=","")))),1),"")))+1, LEN(SUBSTITUTE(_xlfn.FORMULATEXT(FE$145),"=","")))+$EU177)</f>
        <v/>
      </c>
      <c r="FF177" s="78" t="str">
        <f t="array" aca="1" ref="FF177" ca="1">INDIRECT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
&amp;MID(SUBSTITUTE(_xlfn.FORMULATEXT(FF$145),"=",""), LEN(_xlfn.TEXTJOIN("",TRUE,IF(ISERROR(MID(SUBSTITUTE(_xlfn.FORMULATEXT(FF$145),"=",""),ROW(INDIRECT("1:"&amp;LEN(SUBSTITUTE(_xlfn.FORMULATEXT(FF$145),"=","")))),1)*1),MID(SUBSTITUTE(_xlfn.FORMULATEXT(FF$145),"=",""),ROW(INDIRECT("1:"&amp;LEN(SUBSTITUTE(_xlfn.FORMULATEXT(FF$145),"=","")))),1),"")))+1, LEN(SUBSTITUTE(_xlfn.FORMULATEXT(FF$145),"=","")))+$EU177)</f>
        <v/>
      </c>
      <c r="FG177" s="78">
        <f t="shared" ca="1" si="13"/>
        <v>0</v>
      </c>
      <c r="FH177" s="78" t="b">
        <f t="array" aca="1" ref="FH177" ca="1">SUMPRODUCT((LEN(EV177:FF177)&gt;0)*1)&gt;0</f>
        <v>0</v>
      </c>
    </row>
    <row r="178" spans="151:164" ht="22.2" x14ac:dyDescent="0.45">
      <c r="EU178" s="87">
        <f t="shared" si="14"/>
        <v>35</v>
      </c>
      <c r="EV178" s="78" t="str">
        <f t="array" aca="1" ref="EV178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LEN(SUBSTITUTE(_xlfn.FORMULATEXT(EV$148),"=","")))+$EU178)</f>
        <v/>
      </c>
      <c r="EW178" s="78" t="str">
        <f t="array" aca="1" ref="EW178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LEN(SUBSTITUTE(_xlfn.FORMULATEXT(EW$148),"=","")))+$EU178)</f>
        <v/>
      </c>
      <c r="EX178" s="78" t="str">
        <f t="array" aca="1" ref="EX178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LEN(SUBSTITUTE(_xlfn.FORMULATEXT(EX$148),"=","")))+$EU178)</f>
        <v/>
      </c>
      <c r="EY178" s="78" t="str">
        <f t="array" aca="1" ref="EY178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LEN(SUBSTITUTE(_xlfn.FORMULATEXT(EY$148),"=","")))+$EU178)</f>
        <v/>
      </c>
      <c r="EZ178" s="78" t="str">
        <f t="array" aca="1" ref="EZ178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LEN(SUBSTITUTE(_xlfn.FORMULATEXT(EZ$148),"=","")))+$EU178)</f>
        <v/>
      </c>
      <c r="FA178" s="78" t="e">
        <f t="array" aca="1" ref="FA178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LEN(SUBSTITUTE(_xlfn.FORMULATEXT(FA$148),"=","")))+$EU178)</f>
        <v>#VALUE!</v>
      </c>
      <c r="FB178" s="78" t="e">
        <f t="array" aca="1" ref="FB178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LEN(SUBSTITUTE(_xlfn.FORMULATEXT(FB$148),"=","")))+$EU178)</f>
        <v>#VALUE!</v>
      </c>
      <c r="FC178" s="78" t="str">
        <f t="array" aca="1" ref="FC178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LEN(SUBSTITUTE(_xlfn.FORMULATEXT(FC$148),"=","")))+$EU178)</f>
        <v/>
      </c>
      <c r="FD178" s="78" t="e">
        <f t="array" aca="1" ref="FD178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LEN(SUBSTITUTE(_xlfn.FORMULATEXT(FD$148),"=","")))+$EU178)</f>
        <v>#VALUE!</v>
      </c>
      <c r="FE178" s="78" t="str">
        <f t="array" aca="1" ref="FE178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LEN(SUBSTITUTE(_xlfn.FORMULATEXT(FE$148),"=","")))+$EU178)</f>
        <v/>
      </c>
      <c r="FF178" s="78" t="e">
        <f t="array" aca="1" ref="FF178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LEN(SUBSTITUTE(_xlfn.FORMULATEXT(FF$148),"=","")))+$EU178)</f>
        <v>#VALUE!</v>
      </c>
      <c r="FG178" s="78">
        <f t="shared" ca="1" si="13"/>
        <v>0</v>
      </c>
      <c r="FH178" s="78" t="e">
        <f t="array" aca="1" ref="FH178" ca="1">SUMPRODUCT((LEN(EV178:FF178)&gt;0)*1)&gt;0</f>
        <v>#VALUE!</v>
      </c>
    </row>
    <row r="179" spans="151:164" ht="22.2" x14ac:dyDescent="0.45">
      <c r="EU179" s="78">
        <f t="shared" si="14"/>
        <v>77</v>
      </c>
      <c r="EV179" s="78" t="str">
        <f t="array" aca="1" ref="EV179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LEN(SUBSTITUTE(_xlfn.FORMULATEXT(EV$148),"=","")))+$EU179)</f>
        <v/>
      </c>
      <c r="EW179" s="78" t="str">
        <f t="array" aca="1" ref="EW179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LEN(SUBSTITUTE(_xlfn.FORMULATEXT(EW$148),"=","")))+$EU179)</f>
        <v/>
      </c>
      <c r="EX179" s="78" t="str">
        <f t="array" aca="1" ref="EX179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LEN(SUBSTITUTE(_xlfn.FORMULATEXT(EX$148),"=","")))+$EU179)</f>
        <v/>
      </c>
      <c r="EY179" s="78" t="str">
        <f t="array" aca="1" ref="EY179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LEN(SUBSTITUTE(_xlfn.FORMULATEXT(EY$148),"=","")))+$EU179)</f>
        <v/>
      </c>
      <c r="EZ179" s="78" t="str">
        <f t="array" aca="1" ref="EZ179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LEN(SUBSTITUTE(_xlfn.FORMULATEXT(EZ$148),"=","")))+$EU179)</f>
        <v/>
      </c>
      <c r="FA179" s="78" t="str">
        <f t="array" aca="1" ref="FA179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LEN(SUBSTITUTE(_xlfn.FORMULATEXT(FA$148),"=","")))+$EU179)</f>
        <v/>
      </c>
      <c r="FB179" s="78" t="str">
        <f t="array" aca="1" ref="FB179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LEN(SUBSTITUTE(_xlfn.FORMULATEXT(FB$148),"=","")))+$EU179)</f>
        <v/>
      </c>
      <c r="FC179" s="78" t="str">
        <f t="array" aca="1" ref="FC179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LEN(SUBSTITUTE(_xlfn.FORMULATEXT(FC$148),"=","")))+$EU179)</f>
        <v/>
      </c>
      <c r="FD179" s="78" t="str">
        <f t="array" aca="1" ref="FD179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LEN(SUBSTITUTE(_xlfn.FORMULATEXT(FD$148),"=","")))+$EU179)</f>
        <v/>
      </c>
      <c r="FE179" s="78" t="str">
        <f t="array" aca="1" ref="FE179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LEN(SUBSTITUTE(_xlfn.FORMULATEXT(FE$148),"=","")))+$EU179)</f>
        <v/>
      </c>
      <c r="FF179" s="78" t="str">
        <f t="array" aca="1" ref="FF179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LEN(SUBSTITUTE(_xlfn.FORMULATEXT(FF$148),"=","")))+$EU179)</f>
        <v/>
      </c>
      <c r="FG179" s="78">
        <f t="shared" ca="1" si="13"/>
        <v>0</v>
      </c>
      <c r="FH179" s="78" t="b">
        <f t="array" aca="1" ref="FH179" ca="1">SUMPRODUCT((LEN(EV179:FF179)&gt;0)*1)&gt;0</f>
        <v>0</v>
      </c>
    </row>
    <row r="180" spans="151:164" ht="22.2" x14ac:dyDescent="0.45">
      <c r="EU180" s="78">
        <f t="shared" si="14"/>
        <v>119</v>
      </c>
      <c r="EV180" s="78" t="str">
        <f t="array" aca="1" ref="EV180" ca="1">INDIRECT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
&amp;MID(SUBSTITUTE(_xlfn.FORMULATEXT(EV$148),"=",""), LEN(_xlfn.TEXTJOIN("",TRUE,IF(ISERROR(MID(SUBSTITUTE(_xlfn.FORMULATEXT(EV$148),"=",""),ROW(INDIRECT("1:"&amp;LEN(SUBSTITUTE(_xlfn.FORMULATEXT(EV$148),"=","")))),1)*1),MID(SUBSTITUTE(_xlfn.FORMULATEXT(EV$148),"=",""),ROW(INDIRECT("1:"&amp;LEN(SUBSTITUTE(_xlfn.FORMULATEXT(EV$148),"=","")))),1),"")))+1, LEN(SUBSTITUTE(_xlfn.FORMULATEXT(EV$148),"=","")))+$EU180)</f>
        <v/>
      </c>
      <c r="EW180" s="78" t="str">
        <f t="array" aca="1" ref="EW180" ca="1">INDIRECT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
&amp;MID(SUBSTITUTE(_xlfn.FORMULATEXT(EW$148),"=",""), LEN(_xlfn.TEXTJOIN("",TRUE,IF(ISERROR(MID(SUBSTITUTE(_xlfn.FORMULATEXT(EW$148),"=",""),ROW(INDIRECT("1:"&amp;LEN(SUBSTITUTE(_xlfn.FORMULATEXT(EW$148),"=","")))),1)*1),MID(SUBSTITUTE(_xlfn.FORMULATEXT(EW$148),"=",""),ROW(INDIRECT("1:"&amp;LEN(SUBSTITUTE(_xlfn.FORMULATEXT(EW$148),"=","")))),1),"")))+1, LEN(SUBSTITUTE(_xlfn.FORMULATEXT(EW$148),"=","")))+$EU180)</f>
        <v/>
      </c>
      <c r="EX180" s="78" t="str">
        <f t="array" aca="1" ref="EX180" ca="1">INDIRECT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
&amp;MID(SUBSTITUTE(_xlfn.FORMULATEXT(EX$148),"=",""), LEN(_xlfn.TEXTJOIN("",TRUE,IF(ISERROR(MID(SUBSTITUTE(_xlfn.FORMULATEXT(EX$148),"=",""),ROW(INDIRECT("1:"&amp;LEN(SUBSTITUTE(_xlfn.FORMULATEXT(EX$148),"=","")))),1)*1),MID(SUBSTITUTE(_xlfn.FORMULATEXT(EX$148),"=",""),ROW(INDIRECT("1:"&amp;LEN(SUBSTITUTE(_xlfn.FORMULATEXT(EX$148),"=","")))),1),"")))+1, LEN(SUBSTITUTE(_xlfn.FORMULATEXT(EX$148),"=","")))+$EU180)</f>
        <v/>
      </c>
      <c r="EY180" s="78" t="str">
        <f t="array" aca="1" ref="EY180" ca="1">INDIRECT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
&amp;MID(SUBSTITUTE(_xlfn.FORMULATEXT(EY$148),"=",""), LEN(_xlfn.TEXTJOIN("",TRUE,IF(ISERROR(MID(SUBSTITUTE(_xlfn.FORMULATEXT(EY$148),"=",""),ROW(INDIRECT("1:"&amp;LEN(SUBSTITUTE(_xlfn.FORMULATEXT(EY$148),"=","")))),1)*1),MID(SUBSTITUTE(_xlfn.FORMULATEXT(EY$148),"=",""),ROW(INDIRECT("1:"&amp;LEN(SUBSTITUTE(_xlfn.FORMULATEXT(EY$148),"=","")))),1),"")))+1, LEN(SUBSTITUTE(_xlfn.FORMULATEXT(EY$148),"=","")))+$EU180)</f>
        <v/>
      </c>
      <c r="EZ180" s="78" t="str">
        <f t="array" aca="1" ref="EZ180" ca="1">INDIRECT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
&amp;MID(SUBSTITUTE(_xlfn.FORMULATEXT(EZ$148),"=",""), LEN(_xlfn.TEXTJOIN("",TRUE,IF(ISERROR(MID(SUBSTITUTE(_xlfn.FORMULATEXT(EZ$148),"=",""),ROW(INDIRECT("1:"&amp;LEN(SUBSTITUTE(_xlfn.FORMULATEXT(EZ$148),"=","")))),1)*1),MID(SUBSTITUTE(_xlfn.FORMULATEXT(EZ$148),"=",""),ROW(INDIRECT("1:"&amp;LEN(SUBSTITUTE(_xlfn.FORMULATEXT(EZ$148),"=","")))),1),"")))+1, LEN(SUBSTITUTE(_xlfn.FORMULATEXT(EZ$148),"=","")))+$EU180)</f>
        <v/>
      </c>
      <c r="FA180" s="78" t="str">
        <f t="array" aca="1" ref="FA180" ca="1">INDIRECT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
&amp;MID(SUBSTITUTE(_xlfn.FORMULATEXT(FA$148),"=",""), LEN(_xlfn.TEXTJOIN("",TRUE,IF(ISERROR(MID(SUBSTITUTE(_xlfn.FORMULATEXT(FA$148),"=",""),ROW(INDIRECT("1:"&amp;LEN(SUBSTITUTE(_xlfn.FORMULATEXT(FA$148),"=","")))),1)*1),MID(SUBSTITUTE(_xlfn.FORMULATEXT(FA$148),"=",""),ROW(INDIRECT("1:"&amp;LEN(SUBSTITUTE(_xlfn.FORMULATEXT(FA$148),"=","")))),1),"")))+1, LEN(SUBSTITUTE(_xlfn.FORMULATEXT(FA$148),"=","")))+$EU180)</f>
        <v/>
      </c>
      <c r="FB180" s="78" t="str">
        <f t="array" aca="1" ref="FB180" ca="1">INDIRECT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
&amp;MID(SUBSTITUTE(_xlfn.FORMULATEXT(FB$148),"=",""), LEN(_xlfn.TEXTJOIN("",TRUE,IF(ISERROR(MID(SUBSTITUTE(_xlfn.FORMULATEXT(FB$148),"=",""),ROW(INDIRECT("1:"&amp;LEN(SUBSTITUTE(_xlfn.FORMULATEXT(FB$148),"=","")))),1)*1),MID(SUBSTITUTE(_xlfn.FORMULATEXT(FB$148),"=",""),ROW(INDIRECT("1:"&amp;LEN(SUBSTITUTE(_xlfn.FORMULATEXT(FB$148),"=","")))),1),"")))+1, LEN(SUBSTITUTE(_xlfn.FORMULATEXT(FB$148),"=","")))+$EU180)</f>
        <v/>
      </c>
      <c r="FC180" s="78" t="str">
        <f t="array" aca="1" ref="FC180" ca="1">INDIRECT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
&amp;MID(SUBSTITUTE(_xlfn.FORMULATEXT(FC$148),"=",""), LEN(_xlfn.TEXTJOIN("",TRUE,IF(ISERROR(MID(SUBSTITUTE(_xlfn.FORMULATEXT(FC$148),"=",""),ROW(INDIRECT("1:"&amp;LEN(SUBSTITUTE(_xlfn.FORMULATEXT(FC$148),"=","")))),1)*1),MID(SUBSTITUTE(_xlfn.FORMULATEXT(FC$148),"=",""),ROW(INDIRECT("1:"&amp;LEN(SUBSTITUTE(_xlfn.FORMULATEXT(FC$148),"=","")))),1),"")))+1, LEN(SUBSTITUTE(_xlfn.FORMULATEXT(FC$148),"=","")))+$EU180)</f>
        <v/>
      </c>
      <c r="FD180" s="78" t="str">
        <f t="array" aca="1" ref="FD180" ca="1">INDIRECT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
&amp;MID(SUBSTITUTE(_xlfn.FORMULATEXT(FD$148),"=",""), LEN(_xlfn.TEXTJOIN("",TRUE,IF(ISERROR(MID(SUBSTITUTE(_xlfn.FORMULATEXT(FD$148),"=",""),ROW(INDIRECT("1:"&amp;LEN(SUBSTITUTE(_xlfn.FORMULATEXT(FD$148),"=","")))),1)*1),MID(SUBSTITUTE(_xlfn.FORMULATEXT(FD$148),"=",""),ROW(INDIRECT("1:"&amp;LEN(SUBSTITUTE(_xlfn.FORMULATEXT(FD$148),"=","")))),1),"")))+1, LEN(SUBSTITUTE(_xlfn.FORMULATEXT(FD$148),"=","")))+$EU180)</f>
        <v/>
      </c>
      <c r="FE180" s="78" t="str">
        <f t="array" aca="1" ref="FE180" ca="1">INDIRECT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
&amp;MID(SUBSTITUTE(_xlfn.FORMULATEXT(FE$148),"=",""), LEN(_xlfn.TEXTJOIN("",TRUE,IF(ISERROR(MID(SUBSTITUTE(_xlfn.FORMULATEXT(FE$148),"=",""),ROW(INDIRECT("1:"&amp;LEN(SUBSTITUTE(_xlfn.FORMULATEXT(FE$148),"=","")))),1)*1),MID(SUBSTITUTE(_xlfn.FORMULATEXT(FE$148),"=",""),ROW(INDIRECT("1:"&amp;LEN(SUBSTITUTE(_xlfn.FORMULATEXT(FE$148),"=","")))),1),"")))+1, LEN(SUBSTITUTE(_xlfn.FORMULATEXT(FE$148),"=","")))+$EU180)</f>
        <v/>
      </c>
      <c r="FF180" s="78" t="str">
        <f t="array" aca="1" ref="FF180" ca="1">INDIRECT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
&amp;MID(SUBSTITUTE(_xlfn.FORMULATEXT(FF$148),"=",""), LEN(_xlfn.TEXTJOIN("",TRUE,IF(ISERROR(MID(SUBSTITUTE(_xlfn.FORMULATEXT(FF$148),"=",""),ROW(INDIRECT("1:"&amp;LEN(SUBSTITUTE(_xlfn.FORMULATEXT(FF$148),"=","")))),1)*1),MID(SUBSTITUTE(_xlfn.FORMULATEXT(FF$148),"=",""),ROW(INDIRECT("1:"&amp;LEN(SUBSTITUTE(_xlfn.FORMULATEXT(FF$148),"=","")))),1),"")))+1, LEN(SUBSTITUTE(_xlfn.FORMULATEXT(FF$148),"=","")))+$EU180)</f>
        <v/>
      </c>
      <c r="FG180" s="78">
        <f t="shared" ca="1" si="13"/>
        <v>0</v>
      </c>
      <c r="FH180" s="78" t="b">
        <f t="array" aca="1" ref="FH180" ca="1">SUMPRODUCT((LEN(EV180:FF180)&gt;0)*1)&gt;0</f>
        <v>0</v>
      </c>
    </row>
    <row r="181" spans="151:164" x14ac:dyDescent="0.45">
      <c r="EU181" s="100"/>
      <c r="EV181" s="101" t="str">
        <f>社食等の札!A3</f>
        <v>ニシム</v>
      </c>
      <c r="EW181" s="101"/>
      <c r="EX181" s="101"/>
      <c r="EY181" s="101"/>
      <c r="EZ181" s="101"/>
      <c r="FA181" s="100" t="e">
        <f ca="1">社食等の札!E3</f>
        <v>#N/A</v>
      </c>
      <c r="FB181" s="100"/>
      <c r="FC181" s="100"/>
      <c r="FD181" s="100"/>
      <c r="FE181" s="100"/>
      <c r="FF181" s="100"/>
      <c r="FG181" s="100">
        <f>ROW()</f>
        <v>181</v>
      </c>
      <c r="FH181" s="100" t="b">
        <v>1</v>
      </c>
    </row>
    <row r="182" spans="151:164" x14ac:dyDescent="0.45">
      <c r="EU182" s="100"/>
      <c r="EV182" s="101" t="str">
        <f>社食等の札!A4</f>
        <v>新日本製薬</v>
      </c>
      <c r="EW182" s="101"/>
      <c r="EX182" s="101"/>
      <c r="EY182" s="101"/>
      <c r="EZ182" s="101"/>
      <c r="FA182" s="100" t="e">
        <f ca="1">社食等の札!E4</f>
        <v>#N/A</v>
      </c>
      <c r="FB182" s="100"/>
      <c r="FC182" s="100"/>
      <c r="FD182" s="100"/>
      <c r="FE182" s="100"/>
      <c r="FF182" s="100"/>
      <c r="FG182" s="100">
        <f>ROW()</f>
        <v>182</v>
      </c>
      <c r="FH182" s="100" t="b">
        <v>1</v>
      </c>
    </row>
    <row r="183" spans="151:164" x14ac:dyDescent="0.45">
      <c r="EU183" s="100"/>
      <c r="EV183" s="101" t="str">
        <f>社食等の札!A5</f>
        <v>配送</v>
      </c>
      <c r="EW183" s="101"/>
      <c r="EX183" s="101"/>
      <c r="EY183" s="101"/>
      <c r="EZ183" s="101"/>
      <c r="FA183" s="100">
        <f>社食等の札!E5</f>
        <v>2</v>
      </c>
      <c r="FB183" s="100"/>
      <c r="FC183" s="100"/>
      <c r="FD183" s="100"/>
      <c r="FE183" s="100"/>
      <c r="FF183" s="100"/>
      <c r="FG183" s="100">
        <f>ROW()</f>
        <v>183</v>
      </c>
      <c r="FH183" s="100" t="b">
        <v>1</v>
      </c>
    </row>
    <row r="184" spans="151:164" x14ac:dyDescent="0.45">
      <c r="EU184" s="100"/>
      <c r="EV184" s="101" t="str">
        <f>社食等の札!A6</f>
        <v>先生用</v>
      </c>
      <c r="EW184" s="101"/>
      <c r="EX184" s="101" t="str">
        <f>社食等の札!B6</f>
        <v/>
      </c>
      <c r="EY184" s="100" t="e">
        <f ca="1">社食等の札!C6</f>
        <v>#N/A</v>
      </c>
      <c r="EZ184" s="100" t="e">
        <f ca="1">社食等の札!D6</f>
        <v>#N/A</v>
      </c>
      <c r="FA184" s="100" t="e">
        <f ca="1">社食等の札!E6</f>
        <v>#N/A</v>
      </c>
      <c r="FB184" s="100"/>
      <c r="FC184" s="100">
        <f>社食等の札!G6</f>
        <v>12</v>
      </c>
      <c r="FD184" s="100">
        <f>社食等の札!H6</f>
        <v>30</v>
      </c>
      <c r="FE184" s="100"/>
      <c r="FF184" s="100"/>
      <c r="FG184" s="100">
        <f>ROW()</f>
        <v>184</v>
      </c>
      <c r="FH184" s="100" t="b">
        <v>1</v>
      </c>
    </row>
    <row r="185" spans="151:164" x14ac:dyDescent="0.45">
      <c r="EU185" s="103">
        <v>2</v>
      </c>
      <c r="EV185" s="104" t="str">
        <f t="array" aca="1" ref="EV185" ca="1">IF(INDIRECT("まとめ札!A"&amp;EU185&amp;"")&lt;&gt;0,INDIRECT("まとめ札!A"&amp;EU185&amp;"")&amp;"【1】","")</f>
        <v>キャラ弁当 飯あり【1】</v>
      </c>
      <c r="EW185" s="104"/>
      <c r="EX185" s="104" t="str">
        <f>""</f>
        <v/>
      </c>
      <c r="EY185" s="104" t="str">
        <f ca="1">IF(EV185&lt;&gt;"",
IF(IF(COUNTIF(EV185,"*キャラ*"),
VLOOKUP("*キャラ*",商品マスタ一覧!$D:$J,7,FALSE),
IF(COUNTIF(EV185,"*赤*"),
VLOOKUP("*赤*",商品マスタ一覧!$D:$J,7,FALSE),
VLOOKUP(EV185,商品マスタ一覧!$D:$J,7,FALSE)))=0,"",
IF(FA185&lt;&gt;"",
IF(ROUND(
FA185/IF(COUNTIF(EV185,"*キャラ*"),
VLOOKUP("*キャラ*",商品マスタ一覧!$D:$J,7,FALSE),
IF(COUNTIF(EV185,"*赤*"),
VLOOKUP("*赤*",商品マスタ一覧!$D:$J,7,FALSE),
VLOOKUP(EV185,商品マスタ一覧!$D:$J,7,FALSE))),0)&lt;=0,1,
ROUND(
FA185/IF(COUNTIF(EV185,"*キャラ*"),
VLOOKUP("*キャラ*",商品マスタ一覧!$D:$J,7,FALSE),
IF(COUNTIF(EV185,"*赤*"),
VLOOKUP("*赤*",商品マスタ一覧!$D:$J,7,FALSE),
VLOOKUP(EV185,商品マスタ一覧!$D:$J,7,FALSE))),0)),"")),"")</f>
        <v/>
      </c>
      <c r="EZ185" s="105" t="str">
        <f ca="1">IF(EY185&lt;&gt;"",IF(VALUE(FA185)&gt;VALUE(IF(COUNTIF(EV185,"*キャラ*"),
VLOOKUP("*キャラ*",商品マスタ一覧!$D:$J,7,FALSE),
IF(COUNTIF(EV185,"*赤*"),
VLOOKUP("*赤*",商品マスタ一覧!$D:$J,7,FALSE),
VLOOKUP(EV185,商品マスタ一覧!$D:$J,7,FALSE)))*EY185),
"+"&amp;FA185-IF(COUNTIF(EV185,"*キャラ*"),
VLOOKUP("*キャラ*",商品マスタ一覧!$D:$J,7,FALSE),
IF(COUNTIF(EV185,"*赤*"),
VLOOKUP("*赤*",商品マスタ一覧!$D:$J,7,FALSE),
VLOOKUP(EV185,商品マスタ一覧!$D:$J,7,FALSE)))*EY185,
FA185-IF(COUNTIF(EV185,"*キャラ*"),
VLOOKUP("*キャラ*",商品マスタ一覧!$D:$J,7,FALSE),
IF(COUNTIF(EV185,"*赤*"),
VLOOKUP("*赤*",商品マスタ一覧!$D:$J,7,FALSE),
VLOOKUP(EV185,商品マスタ一覧!$D:$J,7,FALSE)))*EY185),"")</f>
        <v/>
      </c>
      <c r="FA185" s="103" t="str">
        <f t="array" aca="1" ref="FA185" ca="1">IF(INDIRECT("まとめ札!F"&amp;EU185&amp;"")&lt;&gt;0,INDIRECT("まとめ札!F"&amp;EU185&amp;""),"")</f>
        <v/>
      </c>
      <c r="FB185" s="103"/>
      <c r="FC185" s="103">
        <f ca="1">IF(EV185&lt;&gt;"",
IF(OR(COUNTIF(EV185,"*キャラ*"),COUNTIF(EV185,"*赤*")),24,
VLOOKUP(EV185,商品マスタ一覧!$D:$I,6,FALSE)),"")</f>
        <v>24</v>
      </c>
      <c r="FD185" s="103" t="str">
        <f t="shared" ref="FD185:FD216" ca="1" si="15">IF(FA185&lt;&gt;"",
IFERROR(INT(FA185/FC185),""),"")</f>
        <v/>
      </c>
      <c r="FE185" s="103" t="str">
        <f t="shared" ref="FE185:FE216" ca="1" si="16">IFERROR(MOD(FA185,FD185),"")</f>
        <v/>
      </c>
      <c r="FF185" s="103"/>
      <c r="FG185" s="103" t="str">
        <f t="shared" ref="FG185:FG228" ca="1" si="17">IF(FH185&lt;&gt;"",ROW(),"")</f>
        <v/>
      </c>
      <c r="FH185" s="103" t="str">
        <f t="shared" ref="FH185:FH216" ca="1" si="18">IF(FA185&lt;&gt;"","TRUE","")</f>
        <v/>
      </c>
    </row>
    <row r="186" spans="151:164" x14ac:dyDescent="0.45">
      <c r="EU186" s="103"/>
      <c r="EV186" s="104" t="str">
        <f t="array" aca="1" ref="EV186" ca="1">IF(OR(INDIRECT("まとめ札!G"&amp;EU185&amp;"")="",INDIRECT("まとめ札!G"&amp;EU185&amp;"")=0),"",INDIRECT("まとめ札!A"&amp;EU185&amp;"")&amp;"【2】")</f>
        <v/>
      </c>
      <c r="EW186" s="104"/>
      <c r="EX186" s="104" t="str">
        <f>""</f>
        <v/>
      </c>
      <c r="EY186" s="104" t="str">
        <f ca="1">IF(EV186&lt;&gt;"",
IF(IF(COUNTIF(EV186,"*キャラ*"),
VLOOKUP("*キャラ*",商品マスタ一覧!$D:$J,7,FALSE),
IF(COUNTIF(EV186,"*赤*"),
VLOOKUP("*赤*",商品マスタ一覧!$D:$J,7,FALSE),
VLOOKUP(EV186,商品マスタ一覧!$D:$J,7,FALSE)))=0,"",
IF(FA186&lt;&gt;"",
IF(ROUND(
FA186/IF(COUNTIF(EV186,"*キャラ*"),
VLOOKUP("*キャラ*",商品マスタ一覧!$D:$J,7,FALSE),
IF(COUNTIF(EV186,"*赤*"),
VLOOKUP("*赤*",商品マスタ一覧!$D:$J,7,FALSE),
VLOOKUP(EV186,商品マスタ一覧!$D:$J,7,FALSE))),0)&lt;=0,1,
ROUND(
FA186/IF(COUNTIF(EV186,"*キャラ*"),
VLOOKUP("*キャラ*",商品マスタ一覧!$D:$J,7,FALSE),
IF(COUNTIF(EV186,"*赤*"),
VLOOKUP("*赤*",商品マスタ一覧!$D:$J,7,FALSE),
VLOOKUP(EV186,商品マスタ一覧!$D:$J,7,FALSE))),0)),"")),"")</f>
        <v/>
      </c>
      <c r="EZ186" s="105" t="str">
        <f ca="1">IF(EY186&lt;&gt;"",IF(VALUE(FA186)&gt;VALUE(IF(COUNTIF(EV186,"*キャラ*"),
VLOOKUP("*キャラ*",商品マスタ一覧!$D:$J,7,FALSE),
IF(COUNTIF(EV186,"*赤*"),
VLOOKUP("*赤*",商品マスタ一覧!$D:$J,7,FALSE),
VLOOKUP(EV186,商品マスタ一覧!$D:$J,7,FALSE)))*EY186),
"+"&amp;FA186-IF(COUNTIF(EV186,"*キャラ*"),
VLOOKUP("*キャラ*",商品マスタ一覧!$D:$J,7,FALSE),
IF(COUNTIF(EV186,"*赤*"),
VLOOKUP("*赤*",商品マスタ一覧!$D:$J,7,FALSE),
VLOOKUP(EV186,商品マスタ一覧!$D:$J,7,FALSE)))*EY186,
FA186-IF(COUNTIF(EV186,"*キャラ*"),
VLOOKUP("*キャラ*",商品マスタ一覧!$D:$J,7,FALSE),
IF(COUNTIF(EV186,"*赤*"),
VLOOKUP("*赤*",商品マスタ一覧!$D:$J,7,FALSE),
VLOOKUP(EV186,商品マスタ一覧!$D:$J,7,FALSE)))*EY186),"")</f>
        <v/>
      </c>
      <c r="FA186" s="103" t="str">
        <f t="array" aca="1" ref="FA186" ca="1">IF(OR(INDIRECT("まとめ札!G"&amp;EU185&amp;"")="",INDIRECT("まとめ札!G"&amp;EU185&amp;"")=0),"",INDIRECT("まとめ札!G"&amp;EU185&amp;""))</f>
        <v/>
      </c>
      <c r="FB186" s="103"/>
      <c r="FC186" s="103" t="str">
        <f ca="1">IF(EV186&lt;&gt;"",
IF(OR(COUNTIF(EV186,"*キャラ*"),COUNTIF(EV186,"*赤*")),24,
VLOOKUP(EV186,商品マスタ一覧!$D:$I,6,FALSE)),"")</f>
        <v/>
      </c>
      <c r="FD186" s="103" t="str">
        <f t="shared" ca="1" si="15"/>
        <v/>
      </c>
      <c r="FE186" s="103" t="str">
        <f t="shared" ca="1" si="16"/>
        <v/>
      </c>
      <c r="FF186" s="103"/>
      <c r="FG186" s="103" t="str">
        <f t="shared" ca="1" si="17"/>
        <v/>
      </c>
      <c r="FH186" s="103" t="str">
        <f t="shared" ca="1" si="18"/>
        <v/>
      </c>
    </row>
    <row r="187" spans="151:164" x14ac:dyDescent="0.45">
      <c r="EU187" s="103"/>
      <c r="EV187" s="104" t="str">
        <f t="array" aca="1" ref="EV187" ca="1">IF(OR(INDIRECT("まとめ札!H"&amp;EU185&amp;"")="",INDIRECT("まとめ札!H"&amp;EU185&amp;"")=0),"",INDIRECT("まとめ札!A"&amp;EU185&amp;"")&amp;"【3】")</f>
        <v/>
      </c>
      <c r="EW187" s="104"/>
      <c r="EX187" s="104" t="str">
        <f>""</f>
        <v/>
      </c>
      <c r="EY187" s="104" t="str">
        <f ca="1">IF(EV187&lt;&gt;"",
IF(IF(COUNTIF(EV187,"*キャラ*"),
VLOOKUP("*キャラ*",商品マスタ一覧!$D:$J,7,FALSE),
IF(COUNTIF(EV187,"*赤*"),
VLOOKUP("*赤*",商品マスタ一覧!$D:$J,7,FALSE),
VLOOKUP(EV187,商品マスタ一覧!$D:$J,7,FALSE)))=0,"",
IF(FA187&lt;&gt;"",
IF(ROUND(
FA187/IF(COUNTIF(EV187,"*キャラ*"),
VLOOKUP("*キャラ*",商品マスタ一覧!$D:$J,7,FALSE),
IF(COUNTIF(EV187,"*赤*"),
VLOOKUP("*赤*",商品マスタ一覧!$D:$J,7,FALSE),
VLOOKUP(EV187,商品マスタ一覧!$D:$J,7,FALSE))),0)&lt;=0,1,
ROUND(
FA187/IF(COUNTIF(EV187,"*キャラ*"),
VLOOKUP("*キャラ*",商品マスタ一覧!$D:$J,7,FALSE),
IF(COUNTIF(EV187,"*赤*"),
VLOOKUP("*赤*",商品マスタ一覧!$D:$J,7,FALSE),
VLOOKUP(EV187,商品マスタ一覧!$D:$J,7,FALSE))),0)),"")),"")</f>
        <v/>
      </c>
      <c r="EZ187" s="105" t="str">
        <f ca="1">IF(EY187&lt;&gt;"",IF(VALUE(FA187)&gt;VALUE(IF(COUNTIF(EV187,"*キャラ*"),
VLOOKUP("*キャラ*",商品マスタ一覧!$D:$J,7,FALSE),
IF(COUNTIF(EV187,"*赤*"),
VLOOKUP("*赤*",商品マスタ一覧!$D:$J,7,FALSE),
VLOOKUP(EV187,商品マスタ一覧!$D:$J,7,FALSE)))*EY187),
"+"&amp;FA187-IF(COUNTIF(EV187,"*キャラ*"),
VLOOKUP("*キャラ*",商品マスタ一覧!$D:$J,7,FALSE),
IF(COUNTIF(EV187,"*赤*"),
VLOOKUP("*赤*",商品マスタ一覧!$D:$J,7,FALSE),
VLOOKUP(EV187,商品マスタ一覧!$D:$J,7,FALSE)))*EY187,
FA187-IF(COUNTIF(EV187,"*キャラ*"),
VLOOKUP("*キャラ*",商品マスタ一覧!$D:$J,7,FALSE),
IF(COUNTIF(EV187,"*赤*"),
VLOOKUP("*赤*",商品マスタ一覧!$D:$J,7,FALSE),
VLOOKUP(EV187,商品マスタ一覧!$D:$J,7,FALSE)))*EY187),"")</f>
        <v/>
      </c>
      <c r="FA187" s="103" t="str">
        <f t="array" aca="1" ref="FA187" ca="1">IF(OR(INDIRECT("まとめ札!H"&amp;EU185&amp;"")="",INDIRECT("まとめ札!H"&amp;EU185&amp;"")=0),"",INDIRECT("まとめ札!H"&amp;EU185&amp;""))</f>
        <v/>
      </c>
      <c r="FB187" s="103"/>
      <c r="FC187" s="103" t="str">
        <f ca="1">IF(EV187&lt;&gt;"",
IF(OR(COUNTIF(EV187,"*キャラ*"),COUNTIF(EV187,"*赤*")),24,
VLOOKUP(EV187,商品マスタ一覧!$D:$I,6,FALSE)),"")</f>
        <v/>
      </c>
      <c r="FD187" s="103" t="str">
        <f t="shared" ca="1" si="15"/>
        <v/>
      </c>
      <c r="FE187" s="103" t="str">
        <f t="shared" ca="1" si="16"/>
        <v/>
      </c>
      <c r="FF187" s="103"/>
      <c r="FG187" s="103" t="str">
        <f t="shared" ca="1" si="17"/>
        <v/>
      </c>
      <c r="FH187" s="103" t="str">
        <f t="shared" ca="1" si="18"/>
        <v/>
      </c>
    </row>
    <row r="188" spans="151:164" x14ac:dyDescent="0.45">
      <c r="EU188" s="103"/>
      <c r="EV188" s="104" t="str">
        <f t="array" aca="1" ref="EV188" ca="1">IF(OR(INDIRECT("まとめ札!I"&amp;EU185&amp;"")="",INDIRECT("まとめ札!I"&amp;EU185&amp;"")=0),"",INDIRECT("まとめ札!A"&amp;EU185&amp;"")&amp;"【4】")</f>
        <v/>
      </c>
      <c r="EW188" s="104"/>
      <c r="EX188" s="104" t="str">
        <f>""</f>
        <v/>
      </c>
      <c r="EY188" s="104" t="str">
        <f ca="1">IF(EV188&lt;&gt;"",
IF(IF(COUNTIF(EV188,"*キャラ*"),
VLOOKUP("*キャラ*",商品マスタ一覧!$D:$J,7,FALSE),
IF(COUNTIF(EV188,"*赤*"),
VLOOKUP("*赤*",商品マスタ一覧!$D:$J,7,FALSE),
VLOOKUP(EV188,商品マスタ一覧!$D:$J,7,FALSE)))=0,"",
IF(FA188&lt;&gt;"",
IF(ROUND(
FA188/IF(COUNTIF(EV188,"*キャラ*"),
VLOOKUP("*キャラ*",商品マスタ一覧!$D:$J,7,FALSE),
IF(COUNTIF(EV188,"*赤*"),
VLOOKUP("*赤*",商品マスタ一覧!$D:$J,7,FALSE),
VLOOKUP(EV188,商品マスタ一覧!$D:$J,7,FALSE))),0)&lt;=0,1,
ROUND(
FA188/IF(COUNTIF(EV188,"*キャラ*"),
VLOOKUP("*キャラ*",商品マスタ一覧!$D:$J,7,FALSE),
IF(COUNTIF(EV188,"*赤*"),
VLOOKUP("*赤*",商品マスタ一覧!$D:$J,7,FALSE),
VLOOKUP(EV188,商品マスタ一覧!$D:$J,7,FALSE))),0)),"")),"")</f>
        <v/>
      </c>
      <c r="EZ188" s="105" t="str">
        <f ca="1">IF(EY188&lt;&gt;"",IF(VALUE(FA188)&gt;VALUE(IF(COUNTIF(EV188,"*キャラ*"),
VLOOKUP("*キャラ*",商品マスタ一覧!$D:$J,7,FALSE),
IF(COUNTIF(EV188,"*赤*"),
VLOOKUP("*赤*",商品マスタ一覧!$D:$J,7,FALSE),
VLOOKUP(EV188,商品マスタ一覧!$D:$J,7,FALSE)))*EY188),
"+"&amp;FA188-IF(COUNTIF(EV188,"*キャラ*"),
VLOOKUP("*キャラ*",商品マスタ一覧!$D:$J,7,FALSE),
IF(COUNTIF(EV188,"*赤*"),
VLOOKUP("*赤*",商品マスタ一覧!$D:$J,7,FALSE),
VLOOKUP(EV188,商品マスタ一覧!$D:$J,7,FALSE)))*EY188,
FA188-IF(COUNTIF(EV188,"*キャラ*"),
VLOOKUP("*キャラ*",商品マスタ一覧!$D:$J,7,FALSE),
IF(COUNTIF(EV188,"*赤*"),
VLOOKUP("*赤*",商品マスタ一覧!$D:$J,7,FALSE),
VLOOKUP(EV188,商品マスタ一覧!$D:$J,7,FALSE)))*EY188),"")</f>
        <v/>
      </c>
      <c r="FA188" s="103" t="str">
        <f t="array" aca="1" ref="FA188" ca="1">IF(OR(INDIRECT("まとめ札!I"&amp;EU185&amp;"")="",INDIRECT("まとめ札!I"&amp;EU185&amp;"")=0),"",INDIRECT("まとめ札!I"&amp;EU185&amp;""))</f>
        <v/>
      </c>
      <c r="FB188" s="103"/>
      <c r="FC188" s="103" t="str">
        <f ca="1">IF(EV188&lt;&gt;"",
IF(OR(COUNTIF(EV188,"*キャラ*"),COUNTIF(EV188,"*赤*")),24,
VLOOKUP(EV188,商品マスタ一覧!$D:$I,6,FALSE)),"")</f>
        <v/>
      </c>
      <c r="FD188" s="103" t="str">
        <f t="shared" ca="1" si="15"/>
        <v/>
      </c>
      <c r="FE188" s="103" t="str">
        <f t="shared" ca="1" si="16"/>
        <v/>
      </c>
      <c r="FF188" s="103"/>
      <c r="FG188" s="103" t="str">
        <f t="shared" ca="1" si="17"/>
        <v/>
      </c>
      <c r="FH188" s="103" t="str">
        <f t="shared" ca="1" si="18"/>
        <v/>
      </c>
    </row>
    <row r="189" spans="151:164" x14ac:dyDescent="0.45">
      <c r="EU189" s="103">
        <v>3</v>
      </c>
      <c r="EV189" s="104" t="str">
        <f t="array" aca="1" ref="EV189" ca="1">IF(INDIRECT("まとめ札!A"&amp;EU189&amp;"")&lt;&gt;0,INDIRECT("まとめ札!A"&amp;EU189&amp;"")&amp;"【1】","")</f>
        <v>キャラ弁当 おにぎり【1】</v>
      </c>
      <c r="EW189" s="104"/>
      <c r="EX189" s="104" t="str">
        <f>""</f>
        <v/>
      </c>
      <c r="EY189" s="104" t="str">
        <f ca="1">IF(EV189&lt;&gt;"",
IF(IF(COUNTIF(EV189,"*キャラ*"),
VLOOKUP("*キャラ*",商品マスタ一覧!$D:$J,7,FALSE),
IF(COUNTIF(EV189,"*赤*"),
VLOOKUP("*赤*",商品マスタ一覧!$D:$J,7,FALSE),
VLOOKUP(EV189,商品マスタ一覧!$D:$J,7,FALSE)))=0,"",
IF(FA189&lt;&gt;"",
IF(ROUND(
FA189/IF(COUNTIF(EV189,"*キャラ*"),
VLOOKUP("*キャラ*",商品マスタ一覧!$D:$J,7,FALSE),
IF(COUNTIF(EV189,"*赤*"),
VLOOKUP("*赤*",商品マスタ一覧!$D:$J,7,FALSE),
VLOOKUP(EV189,商品マスタ一覧!$D:$J,7,FALSE))),0)&lt;=0,1,
ROUND(
FA189/IF(COUNTIF(EV189,"*キャラ*"),
VLOOKUP("*キャラ*",商品マスタ一覧!$D:$J,7,FALSE),
IF(COUNTIF(EV189,"*赤*"),
VLOOKUP("*赤*",商品マスタ一覧!$D:$J,7,FALSE),
VLOOKUP(EV189,商品マスタ一覧!$D:$J,7,FALSE))),0)),"")),"")</f>
        <v/>
      </c>
      <c r="EZ189" s="105" t="str">
        <f ca="1">IF(EY189&lt;&gt;"",IF(VALUE(FA189)&gt;VALUE(IF(COUNTIF(EV189,"*キャラ*"),
VLOOKUP("*キャラ*",商品マスタ一覧!$D:$J,7,FALSE),
IF(COUNTIF(EV189,"*赤*"),
VLOOKUP("*赤*",商品マスタ一覧!$D:$J,7,FALSE),
VLOOKUP(EV189,商品マスタ一覧!$D:$J,7,FALSE)))*EY189),
"+"&amp;FA189-IF(COUNTIF(EV189,"*キャラ*"),
VLOOKUP("*キャラ*",商品マスタ一覧!$D:$J,7,FALSE),
IF(COUNTIF(EV189,"*赤*"),
VLOOKUP("*赤*",商品マスタ一覧!$D:$J,7,FALSE),
VLOOKUP(EV189,商品マスタ一覧!$D:$J,7,FALSE)))*EY189,
FA189-IF(COUNTIF(EV189,"*キャラ*"),
VLOOKUP("*キャラ*",商品マスタ一覧!$D:$J,7,FALSE),
IF(COUNTIF(EV189,"*赤*"),
VLOOKUP("*赤*",商品マスタ一覧!$D:$J,7,FALSE),
VLOOKUP(EV189,商品マスタ一覧!$D:$J,7,FALSE)))*EY189),"")</f>
        <v/>
      </c>
      <c r="FA189" s="103" t="str">
        <f t="array" aca="1" ref="FA189" ca="1">IF(INDIRECT("まとめ札!F"&amp;EU189&amp;"")&lt;&gt;0,INDIRECT("まとめ札!F"&amp;EU189&amp;""),"")</f>
        <v/>
      </c>
      <c r="FB189" s="103"/>
      <c r="FC189" s="103">
        <f ca="1">IF(EV189&lt;&gt;"",
IF(OR(COUNTIF(EV189,"*キャラ*"),COUNTIF(EV189,"*赤*")),24,
VLOOKUP(EV189,商品マスタ一覧!$D:$I,6,FALSE)),"")</f>
        <v>24</v>
      </c>
      <c r="FD189" s="103" t="str">
        <f t="shared" ca="1" si="15"/>
        <v/>
      </c>
      <c r="FE189" s="103" t="str">
        <f t="shared" ca="1" si="16"/>
        <v/>
      </c>
      <c r="FF189" s="103"/>
      <c r="FG189" s="103" t="str">
        <f t="shared" ca="1" si="17"/>
        <v/>
      </c>
      <c r="FH189" s="103" t="str">
        <f t="shared" ca="1" si="18"/>
        <v/>
      </c>
    </row>
    <row r="190" spans="151:164" x14ac:dyDescent="0.45">
      <c r="EU190" s="103"/>
      <c r="EV190" s="104" t="str">
        <f t="array" aca="1" ref="EV190" ca="1">IF(OR(INDIRECT("まとめ札!G"&amp;EU189&amp;"")="",INDIRECT("まとめ札!G"&amp;EU189&amp;"")=0),"",INDIRECT("まとめ札!A"&amp;EU189&amp;"")&amp;"【2】")</f>
        <v/>
      </c>
      <c r="EW190" s="104"/>
      <c r="EX190" s="104" t="str">
        <f>""</f>
        <v/>
      </c>
      <c r="EY190" s="104" t="str">
        <f ca="1">IF(EV190&lt;&gt;"",
IF(IF(COUNTIF(EV190,"*キャラ*"),
VLOOKUP("*キャラ*",商品マスタ一覧!$D:$J,7,FALSE),
IF(COUNTIF(EV190,"*赤*"),
VLOOKUP("*赤*",商品マスタ一覧!$D:$J,7,FALSE),
VLOOKUP(EV190,商品マスタ一覧!$D:$J,7,FALSE)))=0,"",
IF(FA190&lt;&gt;"",
IF(ROUND(
FA190/IF(COUNTIF(EV190,"*キャラ*"),
VLOOKUP("*キャラ*",商品マスタ一覧!$D:$J,7,FALSE),
IF(COUNTIF(EV190,"*赤*"),
VLOOKUP("*赤*",商品マスタ一覧!$D:$J,7,FALSE),
VLOOKUP(EV190,商品マスタ一覧!$D:$J,7,FALSE))),0)&lt;=0,1,
ROUND(
FA190/IF(COUNTIF(EV190,"*キャラ*"),
VLOOKUP("*キャラ*",商品マスタ一覧!$D:$J,7,FALSE),
IF(COUNTIF(EV190,"*赤*"),
VLOOKUP("*赤*",商品マスタ一覧!$D:$J,7,FALSE),
VLOOKUP(EV190,商品マスタ一覧!$D:$J,7,FALSE))),0)),"")),"")</f>
        <v/>
      </c>
      <c r="EZ190" s="105" t="str">
        <f ca="1">IF(EY190&lt;&gt;"",IF(VALUE(FA190)&gt;VALUE(IF(COUNTIF(EV190,"*キャラ*"),
VLOOKUP("*キャラ*",商品マスタ一覧!$D:$J,7,FALSE),
IF(COUNTIF(EV190,"*赤*"),
VLOOKUP("*赤*",商品マスタ一覧!$D:$J,7,FALSE),
VLOOKUP(EV190,商品マスタ一覧!$D:$J,7,FALSE)))*EY190),
"+"&amp;FA190-IF(COUNTIF(EV190,"*キャラ*"),
VLOOKUP("*キャラ*",商品マスタ一覧!$D:$J,7,FALSE),
IF(COUNTIF(EV190,"*赤*"),
VLOOKUP("*赤*",商品マスタ一覧!$D:$J,7,FALSE),
VLOOKUP(EV190,商品マスタ一覧!$D:$J,7,FALSE)))*EY190,
FA190-IF(COUNTIF(EV190,"*キャラ*"),
VLOOKUP("*キャラ*",商品マスタ一覧!$D:$J,7,FALSE),
IF(COUNTIF(EV190,"*赤*"),
VLOOKUP("*赤*",商品マスタ一覧!$D:$J,7,FALSE),
VLOOKUP(EV190,商品マスタ一覧!$D:$J,7,FALSE)))*EY190),"")</f>
        <v/>
      </c>
      <c r="FA190" s="103" t="str">
        <f t="array" aca="1" ref="FA190" ca="1">IF(OR(INDIRECT("まとめ札!G"&amp;EU189&amp;"")="",INDIRECT("まとめ札!G"&amp;EU189&amp;"")=0),"",INDIRECT("まとめ札!G"&amp;EU189&amp;""))</f>
        <v/>
      </c>
      <c r="FB190" s="103"/>
      <c r="FC190" s="103" t="str">
        <f ca="1">IF(EV190&lt;&gt;"",
IF(OR(COUNTIF(EV190,"*キャラ*"),COUNTIF(EV190,"*赤*")),24,
VLOOKUP(EV190,商品マスタ一覧!$D:$I,6,FALSE)),"")</f>
        <v/>
      </c>
      <c r="FD190" s="103" t="str">
        <f t="shared" ca="1" si="15"/>
        <v/>
      </c>
      <c r="FE190" s="103" t="str">
        <f t="shared" ca="1" si="16"/>
        <v/>
      </c>
      <c r="FF190" s="103"/>
      <c r="FG190" s="103" t="str">
        <f t="shared" ca="1" si="17"/>
        <v/>
      </c>
      <c r="FH190" s="103" t="str">
        <f t="shared" ca="1" si="18"/>
        <v/>
      </c>
    </row>
    <row r="191" spans="151:164" x14ac:dyDescent="0.45">
      <c r="EU191" s="103"/>
      <c r="EV191" s="104" t="str">
        <f t="array" aca="1" ref="EV191" ca="1">IF(OR(INDIRECT("まとめ札!H"&amp;EU189&amp;"")="",INDIRECT("まとめ札!H"&amp;EU189&amp;"")=0),"",INDIRECT("まとめ札!A"&amp;EU189&amp;"")&amp;"【3】")</f>
        <v/>
      </c>
      <c r="EW191" s="104"/>
      <c r="EX191" s="104" t="str">
        <f>""</f>
        <v/>
      </c>
      <c r="EY191" s="104" t="str">
        <f ca="1">IF(EV191&lt;&gt;"",
IF(IF(COUNTIF(EV191,"*キャラ*"),
VLOOKUP("*キャラ*",商品マスタ一覧!$D:$J,7,FALSE),
IF(COUNTIF(EV191,"*赤*"),
VLOOKUP("*赤*",商品マスタ一覧!$D:$J,7,FALSE),
VLOOKUP(EV191,商品マスタ一覧!$D:$J,7,FALSE)))=0,"",
IF(FA191&lt;&gt;"",
IF(ROUND(
FA191/IF(COUNTIF(EV191,"*キャラ*"),
VLOOKUP("*キャラ*",商品マスタ一覧!$D:$J,7,FALSE),
IF(COUNTIF(EV191,"*赤*"),
VLOOKUP("*赤*",商品マスタ一覧!$D:$J,7,FALSE),
VLOOKUP(EV191,商品マスタ一覧!$D:$J,7,FALSE))),0)&lt;=0,1,
ROUND(
FA191/IF(COUNTIF(EV191,"*キャラ*"),
VLOOKUP("*キャラ*",商品マスタ一覧!$D:$J,7,FALSE),
IF(COUNTIF(EV191,"*赤*"),
VLOOKUP("*赤*",商品マスタ一覧!$D:$J,7,FALSE),
VLOOKUP(EV191,商品マスタ一覧!$D:$J,7,FALSE))),0)),"")),"")</f>
        <v/>
      </c>
      <c r="EZ191" s="105" t="str">
        <f ca="1">IF(EY191&lt;&gt;"",IF(VALUE(FA191)&gt;VALUE(IF(COUNTIF(EV191,"*キャラ*"),
VLOOKUP("*キャラ*",商品マスタ一覧!$D:$J,7,FALSE),
IF(COUNTIF(EV191,"*赤*"),
VLOOKUP("*赤*",商品マスタ一覧!$D:$J,7,FALSE),
VLOOKUP(EV191,商品マスタ一覧!$D:$J,7,FALSE)))*EY191),
"+"&amp;FA191-IF(COUNTIF(EV191,"*キャラ*"),
VLOOKUP("*キャラ*",商品マスタ一覧!$D:$J,7,FALSE),
IF(COUNTIF(EV191,"*赤*"),
VLOOKUP("*赤*",商品マスタ一覧!$D:$J,7,FALSE),
VLOOKUP(EV191,商品マスタ一覧!$D:$J,7,FALSE)))*EY191,
FA191-IF(COUNTIF(EV191,"*キャラ*"),
VLOOKUP("*キャラ*",商品マスタ一覧!$D:$J,7,FALSE),
IF(COUNTIF(EV191,"*赤*"),
VLOOKUP("*赤*",商品マスタ一覧!$D:$J,7,FALSE),
VLOOKUP(EV191,商品マスタ一覧!$D:$J,7,FALSE)))*EY191),"")</f>
        <v/>
      </c>
      <c r="FA191" s="103" t="str">
        <f t="array" aca="1" ref="FA191" ca="1">IF(OR(INDIRECT("まとめ札!H"&amp;EU189&amp;"")="",INDIRECT("まとめ札!H"&amp;EU189&amp;"")=0),"",INDIRECT("まとめ札!H"&amp;EU189&amp;""))</f>
        <v/>
      </c>
      <c r="FB191" s="103"/>
      <c r="FC191" s="103" t="str">
        <f ca="1">IF(EV191&lt;&gt;"",
IF(OR(COUNTIF(EV191,"*キャラ*"),COUNTIF(EV191,"*赤*")),24,
VLOOKUP(EV191,商品マスタ一覧!$D:$I,6,FALSE)),"")</f>
        <v/>
      </c>
      <c r="FD191" s="103" t="str">
        <f t="shared" ca="1" si="15"/>
        <v/>
      </c>
      <c r="FE191" s="103" t="str">
        <f t="shared" ca="1" si="16"/>
        <v/>
      </c>
      <c r="FF191" s="103"/>
      <c r="FG191" s="103" t="str">
        <f t="shared" ca="1" si="17"/>
        <v/>
      </c>
      <c r="FH191" s="103" t="str">
        <f t="shared" ca="1" si="18"/>
        <v/>
      </c>
    </row>
    <row r="192" spans="151:164" x14ac:dyDescent="0.45">
      <c r="EU192" s="103"/>
      <c r="EV192" s="104" t="str">
        <f t="array" aca="1" ref="EV192" ca="1">IF(OR(INDIRECT("まとめ札!I"&amp;EU189&amp;"")="",INDIRECT("まとめ札!I"&amp;EU189&amp;"")=0),"",INDIRECT("まとめ札!A"&amp;EU189&amp;"")&amp;"【4】")</f>
        <v/>
      </c>
      <c r="EW192" s="104"/>
      <c r="EX192" s="104" t="str">
        <f>""</f>
        <v/>
      </c>
      <c r="EY192" s="104" t="str">
        <f ca="1">IF(EV192&lt;&gt;"",
IF(IF(COUNTIF(EV192,"*キャラ*"),
VLOOKUP("*キャラ*",商品マスタ一覧!$D:$J,7,FALSE),
IF(COUNTIF(EV192,"*赤*"),
VLOOKUP("*赤*",商品マスタ一覧!$D:$J,7,FALSE),
VLOOKUP(EV192,商品マスタ一覧!$D:$J,7,FALSE)))=0,"",
IF(FA192&lt;&gt;"",
IF(ROUND(
FA192/IF(COUNTIF(EV192,"*キャラ*"),
VLOOKUP("*キャラ*",商品マスタ一覧!$D:$J,7,FALSE),
IF(COUNTIF(EV192,"*赤*"),
VLOOKUP("*赤*",商品マスタ一覧!$D:$J,7,FALSE),
VLOOKUP(EV192,商品マスタ一覧!$D:$J,7,FALSE))),0)&lt;=0,1,
ROUND(
FA192/IF(COUNTIF(EV192,"*キャラ*"),
VLOOKUP("*キャラ*",商品マスタ一覧!$D:$J,7,FALSE),
IF(COUNTIF(EV192,"*赤*"),
VLOOKUP("*赤*",商品マスタ一覧!$D:$J,7,FALSE),
VLOOKUP(EV192,商品マスタ一覧!$D:$J,7,FALSE))),0)),"")),"")</f>
        <v/>
      </c>
      <c r="EZ192" s="105" t="str">
        <f ca="1">IF(EY192&lt;&gt;"",IF(VALUE(FA192)&gt;VALUE(IF(COUNTIF(EV192,"*キャラ*"),
VLOOKUP("*キャラ*",商品マスタ一覧!$D:$J,7,FALSE),
IF(COUNTIF(EV192,"*赤*"),
VLOOKUP("*赤*",商品マスタ一覧!$D:$J,7,FALSE),
VLOOKUP(EV192,商品マスタ一覧!$D:$J,7,FALSE)))*EY192),
"+"&amp;FA192-IF(COUNTIF(EV192,"*キャラ*"),
VLOOKUP("*キャラ*",商品マスタ一覧!$D:$J,7,FALSE),
IF(COUNTIF(EV192,"*赤*"),
VLOOKUP("*赤*",商品マスタ一覧!$D:$J,7,FALSE),
VLOOKUP(EV192,商品マスタ一覧!$D:$J,7,FALSE)))*EY192,
FA192-IF(COUNTIF(EV192,"*キャラ*"),
VLOOKUP("*キャラ*",商品マスタ一覧!$D:$J,7,FALSE),
IF(COUNTIF(EV192,"*赤*"),
VLOOKUP("*赤*",商品マスタ一覧!$D:$J,7,FALSE),
VLOOKUP(EV192,商品マスタ一覧!$D:$J,7,FALSE)))*EY192),"")</f>
        <v/>
      </c>
      <c r="FA192" s="103" t="str">
        <f t="array" aca="1" ref="FA192" ca="1">IF(OR(INDIRECT("まとめ札!I"&amp;EU189&amp;"")="",INDIRECT("まとめ札!I"&amp;EU189&amp;"")=0),"",INDIRECT("まとめ札!I"&amp;EU189&amp;""))</f>
        <v/>
      </c>
      <c r="FB192" s="103"/>
      <c r="FC192" s="103" t="str">
        <f ca="1">IF(EV192&lt;&gt;"",
IF(OR(COUNTIF(EV192,"*キャラ*"),COUNTIF(EV192,"*赤*")),24,
VLOOKUP(EV192,商品マスタ一覧!$D:$I,6,FALSE)),"")</f>
        <v/>
      </c>
      <c r="FD192" s="103" t="str">
        <f t="shared" ca="1" si="15"/>
        <v/>
      </c>
      <c r="FE192" s="103" t="str">
        <f t="shared" ca="1" si="16"/>
        <v/>
      </c>
      <c r="FF192" s="103"/>
      <c r="FG192" s="103" t="str">
        <f t="shared" ca="1" si="17"/>
        <v/>
      </c>
      <c r="FH192" s="103" t="str">
        <f t="shared" ca="1" si="18"/>
        <v/>
      </c>
    </row>
    <row r="193" spans="151:164" x14ac:dyDescent="0.45">
      <c r="EU193" s="103">
        <v>4</v>
      </c>
      <c r="EV193" s="104" t="str">
        <f t="array" aca="1" ref="EV193" ca="1">IF(INDIRECT("まとめ札!A"&amp;EU193&amp;"")&lt;&gt;0,INDIRECT("まとめ札!A"&amp;EU193&amp;"")&amp;"【1】","")</f>
        <v>キャラ弁当 飯なし【1】</v>
      </c>
      <c r="EW193" s="104"/>
      <c r="EX193" s="104" t="str">
        <f>""</f>
        <v/>
      </c>
      <c r="EY193" s="104" t="str">
        <f ca="1">IF(EV193&lt;&gt;"",
IF(IF(COUNTIF(EV193,"*キャラ*"),
VLOOKUP("*キャラ*",商品マスタ一覧!$D:$J,7,FALSE),
IF(COUNTIF(EV193,"*赤*"),
VLOOKUP("*赤*",商品マスタ一覧!$D:$J,7,FALSE),
VLOOKUP(EV193,商品マスタ一覧!$D:$J,7,FALSE)))=0,"",
IF(FA193&lt;&gt;"",
IF(ROUND(
FA193/IF(COUNTIF(EV193,"*キャラ*"),
VLOOKUP("*キャラ*",商品マスタ一覧!$D:$J,7,FALSE),
IF(COUNTIF(EV193,"*赤*"),
VLOOKUP("*赤*",商品マスタ一覧!$D:$J,7,FALSE),
VLOOKUP(EV193,商品マスタ一覧!$D:$J,7,FALSE))),0)&lt;=0,1,
ROUND(
FA193/IF(COUNTIF(EV193,"*キャラ*"),
VLOOKUP("*キャラ*",商品マスタ一覧!$D:$J,7,FALSE),
IF(COUNTIF(EV193,"*赤*"),
VLOOKUP("*赤*",商品マスタ一覧!$D:$J,7,FALSE),
VLOOKUP(EV193,商品マスタ一覧!$D:$J,7,FALSE))),0)),"")),"")</f>
        <v/>
      </c>
      <c r="EZ193" s="105" t="str">
        <f ca="1">IF(EY193&lt;&gt;"",IF(VALUE(FA193)&gt;VALUE(IF(COUNTIF(EV193,"*キャラ*"),
VLOOKUP("*キャラ*",商品マスタ一覧!$D:$J,7,FALSE),
IF(COUNTIF(EV193,"*赤*"),
VLOOKUP("*赤*",商品マスタ一覧!$D:$J,7,FALSE),
VLOOKUP(EV193,商品マスタ一覧!$D:$J,7,FALSE)))*EY193),
"+"&amp;FA193-IF(COUNTIF(EV193,"*キャラ*"),
VLOOKUP("*キャラ*",商品マスタ一覧!$D:$J,7,FALSE),
IF(COUNTIF(EV193,"*赤*"),
VLOOKUP("*赤*",商品マスタ一覧!$D:$J,7,FALSE),
VLOOKUP(EV193,商品マスタ一覧!$D:$J,7,FALSE)))*EY193,
FA193-IF(COUNTIF(EV193,"*キャラ*"),
VLOOKUP("*キャラ*",商品マスタ一覧!$D:$J,7,FALSE),
IF(COUNTIF(EV193,"*赤*"),
VLOOKUP("*赤*",商品マスタ一覧!$D:$J,7,FALSE),
VLOOKUP(EV193,商品マスタ一覧!$D:$J,7,FALSE)))*EY193),"")</f>
        <v/>
      </c>
      <c r="FA193" s="103" t="str">
        <f t="array" aca="1" ref="FA193" ca="1">IF(INDIRECT("まとめ札!F"&amp;EU193&amp;"")&lt;&gt;0,INDIRECT("まとめ札!F"&amp;EU193&amp;""),"")</f>
        <v/>
      </c>
      <c r="FB193" s="103"/>
      <c r="FC193" s="103">
        <f ca="1">IF(EV193&lt;&gt;"",
IF(OR(COUNTIF(EV193,"*キャラ*"),COUNTIF(EV193,"*赤*")),24,
VLOOKUP(EV193,商品マスタ一覧!$D:$I,6,FALSE)),"")</f>
        <v>24</v>
      </c>
      <c r="FD193" s="103" t="str">
        <f t="shared" ca="1" si="15"/>
        <v/>
      </c>
      <c r="FE193" s="103" t="str">
        <f t="shared" ca="1" si="16"/>
        <v/>
      </c>
      <c r="FF193" s="103"/>
      <c r="FG193" s="103" t="str">
        <f t="shared" ca="1" si="17"/>
        <v/>
      </c>
      <c r="FH193" s="103" t="str">
        <f t="shared" ca="1" si="18"/>
        <v/>
      </c>
    </row>
    <row r="194" spans="151:164" x14ac:dyDescent="0.45">
      <c r="EU194" s="103"/>
      <c r="EV194" s="104" t="str">
        <f t="array" aca="1" ref="EV194" ca="1">IF(OR(INDIRECT("まとめ札!G"&amp;EU193&amp;"")="",INDIRECT("まとめ札!G"&amp;EU193&amp;"")=0),"",INDIRECT("まとめ札!A"&amp;EU193&amp;"")&amp;"【2】")</f>
        <v/>
      </c>
      <c r="EW194" s="104"/>
      <c r="EX194" s="104" t="str">
        <f>""</f>
        <v/>
      </c>
      <c r="EY194" s="104" t="str">
        <f ca="1">IF(EV194&lt;&gt;"",
IF(IF(COUNTIF(EV194,"*キャラ*"),
VLOOKUP("*キャラ*",商品マスタ一覧!$D:$J,7,FALSE),
IF(COUNTIF(EV194,"*赤*"),
VLOOKUP("*赤*",商品マスタ一覧!$D:$J,7,FALSE),
VLOOKUP(EV194,商品マスタ一覧!$D:$J,7,FALSE)))=0,"",
IF(FA194&lt;&gt;"",
IF(ROUND(
FA194/IF(COUNTIF(EV194,"*キャラ*"),
VLOOKUP("*キャラ*",商品マスタ一覧!$D:$J,7,FALSE),
IF(COUNTIF(EV194,"*赤*"),
VLOOKUP("*赤*",商品マスタ一覧!$D:$J,7,FALSE),
VLOOKUP(EV194,商品マスタ一覧!$D:$J,7,FALSE))),0)&lt;=0,1,
ROUND(
FA194/IF(COUNTIF(EV194,"*キャラ*"),
VLOOKUP("*キャラ*",商品マスタ一覧!$D:$J,7,FALSE),
IF(COUNTIF(EV194,"*赤*"),
VLOOKUP("*赤*",商品マスタ一覧!$D:$J,7,FALSE),
VLOOKUP(EV194,商品マスタ一覧!$D:$J,7,FALSE))),0)),"")),"")</f>
        <v/>
      </c>
      <c r="EZ194" s="105" t="str">
        <f ca="1">IF(EY194&lt;&gt;"",IF(VALUE(FA194)&gt;VALUE(IF(COUNTIF(EV194,"*キャラ*"),
VLOOKUP("*キャラ*",商品マスタ一覧!$D:$J,7,FALSE),
IF(COUNTIF(EV194,"*赤*"),
VLOOKUP("*赤*",商品マスタ一覧!$D:$J,7,FALSE),
VLOOKUP(EV194,商品マスタ一覧!$D:$J,7,FALSE)))*EY194),
"+"&amp;FA194-IF(COUNTIF(EV194,"*キャラ*"),
VLOOKUP("*キャラ*",商品マスタ一覧!$D:$J,7,FALSE),
IF(COUNTIF(EV194,"*赤*"),
VLOOKUP("*赤*",商品マスタ一覧!$D:$J,7,FALSE),
VLOOKUP(EV194,商品マスタ一覧!$D:$J,7,FALSE)))*EY194,
FA194-IF(COUNTIF(EV194,"*キャラ*"),
VLOOKUP("*キャラ*",商品マスタ一覧!$D:$J,7,FALSE),
IF(COUNTIF(EV194,"*赤*"),
VLOOKUP("*赤*",商品マスタ一覧!$D:$J,7,FALSE),
VLOOKUP(EV194,商品マスタ一覧!$D:$J,7,FALSE)))*EY194),"")</f>
        <v/>
      </c>
      <c r="FA194" s="103" t="str">
        <f t="array" aca="1" ref="FA194" ca="1">IF(OR(INDIRECT("まとめ札!G"&amp;EU193&amp;"")="",INDIRECT("まとめ札!G"&amp;EU193&amp;"")=0),"",INDIRECT("まとめ札!G"&amp;EU193&amp;""))</f>
        <v/>
      </c>
      <c r="FB194" s="103"/>
      <c r="FC194" s="103" t="str">
        <f ca="1">IF(EV194&lt;&gt;"",
IF(OR(COUNTIF(EV194,"*キャラ*"),COUNTIF(EV194,"*赤*")),24,
VLOOKUP(EV194,商品マスタ一覧!$D:$I,6,FALSE)),"")</f>
        <v/>
      </c>
      <c r="FD194" s="103" t="str">
        <f t="shared" ca="1" si="15"/>
        <v/>
      </c>
      <c r="FE194" s="103" t="str">
        <f t="shared" ca="1" si="16"/>
        <v/>
      </c>
      <c r="FF194" s="103"/>
      <c r="FG194" s="103" t="str">
        <f t="shared" ca="1" si="17"/>
        <v/>
      </c>
      <c r="FH194" s="103" t="str">
        <f t="shared" ca="1" si="18"/>
        <v/>
      </c>
    </row>
    <row r="195" spans="151:164" x14ac:dyDescent="0.45">
      <c r="EU195" s="103"/>
      <c r="EV195" s="104" t="str">
        <f t="array" aca="1" ref="EV195" ca="1">IF(OR(INDIRECT("まとめ札!H"&amp;EU193&amp;"")="",INDIRECT("まとめ札!H"&amp;EU193&amp;"")=0),"",INDIRECT("まとめ札!A"&amp;EU193&amp;"")&amp;"【3】")</f>
        <v/>
      </c>
      <c r="EW195" s="104"/>
      <c r="EX195" s="104" t="str">
        <f>""</f>
        <v/>
      </c>
      <c r="EY195" s="104" t="str">
        <f ca="1">IF(EV195&lt;&gt;"",
IF(IF(COUNTIF(EV195,"*キャラ*"),
VLOOKUP("*キャラ*",商品マスタ一覧!$D:$J,7,FALSE),
IF(COUNTIF(EV195,"*赤*"),
VLOOKUP("*赤*",商品マスタ一覧!$D:$J,7,FALSE),
VLOOKUP(EV195,商品マスタ一覧!$D:$J,7,FALSE)))=0,"",
IF(FA195&lt;&gt;"",
IF(ROUND(
FA195/IF(COUNTIF(EV195,"*キャラ*"),
VLOOKUP("*キャラ*",商品マスタ一覧!$D:$J,7,FALSE),
IF(COUNTIF(EV195,"*赤*"),
VLOOKUP("*赤*",商品マスタ一覧!$D:$J,7,FALSE),
VLOOKUP(EV195,商品マスタ一覧!$D:$J,7,FALSE))),0)&lt;=0,1,
ROUND(
FA195/IF(COUNTIF(EV195,"*キャラ*"),
VLOOKUP("*キャラ*",商品マスタ一覧!$D:$J,7,FALSE),
IF(COUNTIF(EV195,"*赤*"),
VLOOKUP("*赤*",商品マスタ一覧!$D:$J,7,FALSE),
VLOOKUP(EV195,商品マスタ一覧!$D:$J,7,FALSE))),0)),"")),"")</f>
        <v/>
      </c>
      <c r="EZ195" s="105" t="str">
        <f ca="1">IF(EY195&lt;&gt;"",IF(VALUE(FA195)&gt;VALUE(IF(COUNTIF(EV195,"*キャラ*"),
VLOOKUP("*キャラ*",商品マスタ一覧!$D:$J,7,FALSE),
IF(COUNTIF(EV195,"*赤*"),
VLOOKUP("*赤*",商品マスタ一覧!$D:$J,7,FALSE),
VLOOKUP(EV195,商品マスタ一覧!$D:$J,7,FALSE)))*EY195),
"+"&amp;FA195-IF(COUNTIF(EV195,"*キャラ*"),
VLOOKUP("*キャラ*",商品マスタ一覧!$D:$J,7,FALSE),
IF(COUNTIF(EV195,"*赤*"),
VLOOKUP("*赤*",商品マスタ一覧!$D:$J,7,FALSE),
VLOOKUP(EV195,商品マスタ一覧!$D:$J,7,FALSE)))*EY195,
FA195-IF(COUNTIF(EV195,"*キャラ*"),
VLOOKUP("*キャラ*",商品マスタ一覧!$D:$J,7,FALSE),
IF(COUNTIF(EV195,"*赤*"),
VLOOKUP("*赤*",商品マスタ一覧!$D:$J,7,FALSE),
VLOOKUP(EV195,商品マスタ一覧!$D:$J,7,FALSE)))*EY195),"")</f>
        <v/>
      </c>
      <c r="FA195" s="103" t="str">
        <f t="array" aca="1" ref="FA195" ca="1">IF(OR(INDIRECT("まとめ札!H"&amp;EU193&amp;"")="",INDIRECT("まとめ札!H"&amp;EU193&amp;"")=0),"",INDIRECT("まとめ札!H"&amp;EU193&amp;""))</f>
        <v/>
      </c>
      <c r="FB195" s="103"/>
      <c r="FC195" s="103" t="str">
        <f ca="1">IF(EV195&lt;&gt;"",
IF(OR(COUNTIF(EV195,"*キャラ*"),COUNTIF(EV195,"*赤*")),24,
VLOOKUP(EV195,商品マスタ一覧!$D:$I,6,FALSE)),"")</f>
        <v/>
      </c>
      <c r="FD195" s="103" t="str">
        <f t="shared" ca="1" si="15"/>
        <v/>
      </c>
      <c r="FE195" s="103" t="str">
        <f t="shared" ca="1" si="16"/>
        <v/>
      </c>
      <c r="FF195" s="103"/>
      <c r="FG195" s="103" t="str">
        <f t="shared" ca="1" si="17"/>
        <v/>
      </c>
      <c r="FH195" s="103" t="str">
        <f t="shared" ca="1" si="18"/>
        <v/>
      </c>
    </row>
    <row r="196" spans="151:164" x14ac:dyDescent="0.45">
      <c r="EU196" s="103"/>
      <c r="EV196" s="104" t="str">
        <f t="array" aca="1" ref="EV196" ca="1">IF(OR(INDIRECT("まとめ札!I"&amp;EU193&amp;"")="",INDIRECT("まとめ札!I"&amp;EU193&amp;"")=0),"",INDIRECT("まとめ札!A"&amp;EU193&amp;"")&amp;"【4】")</f>
        <v/>
      </c>
      <c r="EW196" s="104"/>
      <c r="EX196" s="104" t="str">
        <f>""</f>
        <v/>
      </c>
      <c r="EY196" s="104" t="str">
        <f ca="1">IF(EV196&lt;&gt;"",
IF(IF(COUNTIF(EV196,"*キャラ*"),
VLOOKUP("*キャラ*",商品マスタ一覧!$D:$J,7,FALSE),
IF(COUNTIF(EV196,"*赤*"),
VLOOKUP("*赤*",商品マスタ一覧!$D:$J,7,FALSE),
VLOOKUP(EV196,商品マスタ一覧!$D:$J,7,FALSE)))=0,"",
IF(FA196&lt;&gt;"",
IF(ROUND(
FA196/IF(COUNTIF(EV196,"*キャラ*"),
VLOOKUP("*キャラ*",商品マスタ一覧!$D:$J,7,FALSE),
IF(COUNTIF(EV196,"*赤*"),
VLOOKUP("*赤*",商品マスタ一覧!$D:$J,7,FALSE),
VLOOKUP(EV196,商品マスタ一覧!$D:$J,7,FALSE))),0)&lt;=0,1,
ROUND(
FA196/IF(COUNTIF(EV196,"*キャラ*"),
VLOOKUP("*キャラ*",商品マスタ一覧!$D:$J,7,FALSE),
IF(COUNTIF(EV196,"*赤*"),
VLOOKUP("*赤*",商品マスタ一覧!$D:$J,7,FALSE),
VLOOKUP(EV196,商品マスタ一覧!$D:$J,7,FALSE))),0)),"")),"")</f>
        <v/>
      </c>
      <c r="EZ196" s="105" t="str">
        <f ca="1">IF(EY196&lt;&gt;"",IF(VALUE(FA196)&gt;VALUE(IF(COUNTIF(EV196,"*キャラ*"),
VLOOKUP("*キャラ*",商品マスタ一覧!$D:$J,7,FALSE),
IF(COUNTIF(EV196,"*赤*"),
VLOOKUP("*赤*",商品マスタ一覧!$D:$J,7,FALSE),
VLOOKUP(EV196,商品マスタ一覧!$D:$J,7,FALSE)))*EY196),
"+"&amp;FA196-IF(COUNTIF(EV196,"*キャラ*"),
VLOOKUP("*キャラ*",商品マスタ一覧!$D:$J,7,FALSE),
IF(COUNTIF(EV196,"*赤*"),
VLOOKUP("*赤*",商品マスタ一覧!$D:$J,7,FALSE),
VLOOKUP(EV196,商品マスタ一覧!$D:$J,7,FALSE)))*EY196,
FA196-IF(COUNTIF(EV196,"*キャラ*"),
VLOOKUP("*キャラ*",商品マスタ一覧!$D:$J,7,FALSE),
IF(COUNTIF(EV196,"*赤*"),
VLOOKUP("*赤*",商品マスタ一覧!$D:$J,7,FALSE),
VLOOKUP(EV196,商品マスタ一覧!$D:$J,7,FALSE)))*EY196),"")</f>
        <v/>
      </c>
      <c r="FA196" s="103" t="str">
        <f t="array" aca="1" ref="FA196" ca="1">IF(OR(INDIRECT("まとめ札!I"&amp;EU193&amp;"")="",INDIRECT("まとめ札!I"&amp;EU193&amp;"")=0),"",INDIRECT("まとめ札!I"&amp;EU193&amp;""))</f>
        <v/>
      </c>
      <c r="FB196" s="103"/>
      <c r="FC196" s="103" t="str">
        <f ca="1">IF(EV196&lt;&gt;"",
IF(OR(COUNTIF(EV196,"*キャラ*"),COUNTIF(EV196,"*赤*")),24,
VLOOKUP(EV196,商品マスタ一覧!$D:$I,6,FALSE)),"")</f>
        <v/>
      </c>
      <c r="FD196" s="103" t="str">
        <f t="shared" ca="1" si="15"/>
        <v/>
      </c>
      <c r="FE196" s="103" t="str">
        <f t="shared" ca="1" si="16"/>
        <v/>
      </c>
      <c r="FF196" s="103"/>
      <c r="FG196" s="103" t="str">
        <f t="shared" ca="1" si="17"/>
        <v/>
      </c>
      <c r="FH196" s="103" t="str">
        <f t="shared" ca="1" si="18"/>
        <v/>
      </c>
    </row>
    <row r="197" spans="151:164" x14ac:dyDescent="0.45">
      <c r="EU197" s="103">
        <v>5</v>
      </c>
      <c r="EV197" s="104" t="str">
        <f t="array" aca="1" ref="EV197" ca="1">IF(INDIRECT("まとめ札!A"&amp;EU197&amp;"")&lt;&gt;0,INDIRECT("まとめ札!A"&amp;EU197&amp;"")&amp;"【1】","")</f>
        <v>赤 飯あり【1】</v>
      </c>
      <c r="EW197" s="104"/>
      <c r="EX197" s="104" t="str">
        <f>""</f>
        <v/>
      </c>
      <c r="EY197" s="104" t="str">
        <f ca="1">IF(EV197&lt;&gt;"",
IF(IF(COUNTIF(EV197,"*キャラ*"),
VLOOKUP("*キャラ*",商品マスタ一覧!$D:$J,7,FALSE),
IF(COUNTIF(EV197,"*赤*"),
VLOOKUP("*赤*",商品マスタ一覧!$D:$J,7,FALSE),
VLOOKUP(EV197,商品マスタ一覧!$D:$J,7,FALSE)))=0,"",
IF(FA197&lt;&gt;"",
IF(ROUND(
FA197/IF(COUNTIF(EV197,"*キャラ*"),
VLOOKUP("*キャラ*",商品マスタ一覧!$D:$J,7,FALSE),
IF(COUNTIF(EV197,"*赤*"),
VLOOKUP("*赤*",商品マスタ一覧!$D:$J,7,FALSE),
VLOOKUP(EV197,商品マスタ一覧!$D:$J,7,FALSE))),0)&lt;=0,1,
ROUND(
FA197/IF(COUNTIF(EV197,"*キャラ*"),
VLOOKUP("*キャラ*",商品マスタ一覧!$D:$J,7,FALSE),
IF(COUNTIF(EV197,"*赤*"),
VLOOKUP("*赤*",商品マスタ一覧!$D:$J,7,FALSE),
VLOOKUP(EV197,商品マスタ一覧!$D:$J,7,FALSE))),0)),"")),"")</f>
        <v/>
      </c>
      <c r="EZ197" s="105" t="str">
        <f ca="1">IF(EY197&lt;&gt;"",IF(VALUE(FA197)&gt;VALUE(IF(COUNTIF(EV197,"*キャラ*"),
VLOOKUP("*キャラ*",商品マスタ一覧!$D:$J,7,FALSE),
IF(COUNTIF(EV197,"*赤*"),
VLOOKUP("*赤*",商品マスタ一覧!$D:$J,7,FALSE),
VLOOKUP(EV197,商品マスタ一覧!$D:$J,7,FALSE)))*EY197),
"+"&amp;FA197-IF(COUNTIF(EV197,"*キャラ*"),
VLOOKUP("*キャラ*",商品マスタ一覧!$D:$J,7,FALSE),
IF(COUNTIF(EV197,"*赤*"),
VLOOKUP("*赤*",商品マスタ一覧!$D:$J,7,FALSE),
VLOOKUP(EV197,商品マスタ一覧!$D:$J,7,FALSE)))*EY197,
FA197-IF(COUNTIF(EV197,"*キャラ*"),
VLOOKUP("*キャラ*",商品マスタ一覧!$D:$J,7,FALSE),
IF(COUNTIF(EV197,"*赤*"),
VLOOKUP("*赤*",商品マスタ一覧!$D:$J,7,FALSE),
VLOOKUP(EV197,商品マスタ一覧!$D:$J,7,FALSE)))*EY197),"")</f>
        <v/>
      </c>
      <c r="FA197" s="103" t="str">
        <f t="array" aca="1" ref="FA197" ca="1">IF(INDIRECT("まとめ札!F"&amp;EU197&amp;"")&lt;&gt;0,INDIRECT("まとめ札!F"&amp;EU197&amp;""),"")</f>
        <v/>
      </c>
      <c r="FB197" s="103"/>
      <c r="FC197" s="103">
        <f ca="1">IF(EV197&lt;&gt;"",
IF(OR(COUNTIF(EV197,"*キャラ*"),COUNTIF(EV197,"*赤*")),24,
VLOOKUP(EV197,商品マスタ一覧!$D:$I,6,FALSE)),"")</f>
        <v>24</v>
      </c>
      <c r="FD197" s="103" t="str">
        <f t="shared" ca="1" si="15"/>
        <v/>
      </c>
      <c r="FE197" s="103" t="str">
        <f t="shared" ca="1" si="16"/>
        <v/>
      </c>
      <c r="FF197" s="103"/>
      <c r="FG197" s="103" t="str">
        <f t="shared" ca="1" si="17"/>
        <v/>
      </c>
      <c r="FH197" s="103" t="str">
        <f t="shared" ca="1" si="18"/>
        <v/>
      </c>
    </row>
    <row r="198" spans="151:164" x14ac:dyDescent="0.45">
      <c r="EU198" s="103"/>
      <c r="EV198" s="104" t="str">
        <f t="array" aca="1" ref="EV198" ca="1">IF(OR(INDIRECT("まとめ札!G"&amp;EU197&amp;"")="",INDIRECT("まとめ札!G"&amp;EU197&amp;"")=0),"",INDIRECT("まとめ札!A"&amp;EU197&amp;"")&amp;"【2】")</f>
        <v/>
      </c>
      <c r="EW198" s="104"/>
      <c r="EX198" s="104" t="str">
        <f>""</f>
        <v/>
      </c>
      <c r="EY198" s="104" t="str">
        <f ca="1">IF(EV198&lt;&gt;"",
IF(IF(COUNTIF(EV198,"*キャラ*"),
VLOOKUP("*キャラ*",商品マスタ一覧!$D:$J,7,FALSE),
IF(COUNTIF(EV198,"*赤*"),
VLOOKUP("*赤*",商品マスタ一覧!$D:$J,7,FALSE),
VLOOKUP(EV198,商品マスタ一覧!$D:$J,7,FALSE)))=0,"",
IF(FA198&lt;&gt;"",
IF(ROUND(
FA198/IF(COUNTIF(EV198,"*キャラ*"),
VLOOKUP("*キャラ*",商品マスタ一覧!$D:$J,7,FALSE),
IF(COUNTIF(EV198,"*赤*"),
VLOOKUP("*赤*",商品マスタ一覧!$D:$J,7,FALSE),
VLOOKUP(EV198,商品マスタ一覧!$D:$J,7,FALSE))),0)&lt;=0,1,
ROUND(
FA198/IF(COUNTIF(EV198,"*キャラ*"),
VLOOKUP("*キャラ*",商品マスタ一覧!$D:$J,7,FALSE),
IF(COUNTIF(EV198,"*赤*"),
VLOOKUP("*赤*",商品マスタ一覧!$D:$J,7,FALSE),
VLOOKUP(EV198,商品マスタ一覧!$D:$J,7,FALSE))),0)),"")),"")</f>
        <v/>
      </c>
      <c r="EZ198" s="105" t="str">
        <f ca="1">IF(EY198&lt;&gt;"",IF(VALUE(FA198)&gt;VALUE(IF(COUNTIF(EV198,"*キャラ*"),
VLOOKUP("*キャラ*",商品マスタ一覧!$D:$J,7,FALSE),
IF(COUNTIF(EV198,"*赤*"),
VLOOKUP("*赤*",商品マスタ一覧!$D:$J,7,FALSE),
VLOOKUP(EV198,商品マスタ一覧!$D:$J,7,FALSE)))*EY198),
"+"&amp;FA198-IF(COUNTIF(EV198,"*キャラ*"),
VLOOKUP("*キャラ*",商品マスタ一覧!$D:$J,7,FALSE),
IF(COUNTIF(EV198,"*赤*"),
VLOOKUP("*赤*",商品マスタ一覧!$D:$J,7,FALSE),
VLOOKUP(EV198,商品マスタ一覧!$D:$J,7,FALSE)))*EY198,
FA198-IF(COUNTIF(EV198,"*キャラ*"),
VLOOKUP("*キャラ*",商品マスタ一覧!$D:$J,7,FALSE),
IF(COUNTIF(EV198,"*赤*"),
VLOOKUP("*赤*",商品マスタ一覧!$D:$J,7,FALSE),
VLOOKUP(EV198,商品マスタ一覧!$D:$J,7,FALSE)))*EY198),"")</f>
        <v/>
      </c>
      <c r="FA198" s="103" t="str">
        <f t="array" aca="1" ref="FA198" ca="1">IF(OR(INDIRECT("まとめ札!G"&amp;EU197&amp;"")="",INDIRECT("まとめ札!G"&amp;EU197&amp;"")=0),"",INDIRECT("まとめ札!G"&amp;EU197&amp;""))</f>
        <v/>
      </c>
      <c r="FB198" s="103"/>
      <c r="FC198" s="103" t="str">
        <f ca="1">IF(EV198&lt;&gt;"",
IF(OR(COUNTIF(EV198,"*キャラ*"),COUNTIF(EV198,"*赤*")),24,
VLOOKUP(EV198,商品マスタ一覧!$D:$I,6,FALSE)),"")</f>
        <v/>
      </c>
      <c r="FD198" s="103" t="str">
        <f t="shared" ca="1" si="15"/>
        <v/>
      </c>
      <c r="FE198" s="103" t="str">
        <f t="shared" ca="1" si="16"/>
        <v/>
      </c>
      <c r="FF198" s="103"/>
      <c r="FG198" s="103" t="str">
        <f t="shared" ca="1" si="17"/>
        <v/>
      </c>
      <c r="FH198" s="103" t="str">
        <f t="shared" ca="1" si="18"/>
        <v/>
      </c>
    </row>
    <row r="199" spans="151:164" x14ac:dyDescent="0.45">
      <c r="EU199" s="103"/>
      <c r="EV199" s="104" t="str">
        <f t="array" aca="1" ref="EV199" ca="1">IF(OR(INDIRECT("まとめ札!H"&amp;EU197&amp;"")="",INDIRECT("まとめ札!H"&amp;EU197&amp;"")=0),"",INDIRECT("まとめ札!A"&amp;EU197&amp;"")&amp;"【3】")</f>
        <v/>
      </c>
      <c r="EW199" s="104"/>
      <c r="EX199" s="104" t="str">
        <f>""</f>
        <v/>
      </c>
      <c r="EY199" s="104" t="str">
        <f ca="1">IF(EV199&lt;&gt;"",
IF(IF(COUNTIF(EV199,"*キャラ*"),
VLOOKUP("*キャラ*",商品マスタ一覧!$D:$J,7,FALSE),
IF(COUNTIF(EV199,"*赤*"),
VLOOKUP("*赤*",商品マスタ一覧!$D:$J,7,FALSE),
VLOOKUP(EV199,商品マスタ一覧!$D:$J,7,FALSE)))=0,"",
IF(FA199&lt;&gt;"",
IF(ROUND(
FA199/IF(COUNTIF(EV199,"*キャラ*"),
VLOOKUP("*キャラ*",商品マスタ一覧!$D:$J,7,FALSE),
IF(COUNTIF(EV199,"*赤*"),
VLOOKUP("*赤*",商品マスタ一覧!$D:$J,7,FALSE),
VLOOKUP(EV199,商品マスタ一覧!$D:$J,7,FALSE))),0)&lt;=0,1,
ROUND(
FA199/IF(COUNTIF(EV199,"*キャラ*"),
VLOOKUP("*キャラ*",商品マスタ一覧!$D:$J,7,FALSE),
IF(COUNTIF(EV199,"*赤*"),
VLOOKUP("*赤*",商品マスタ一覧!$D:$J,7,FALSE),
VLOOKUP(EV199,商品マスタ一覧!$D:$J,7,FALSE))),0)),"")),"")</f>
        <v/>
      </c>
      <c r="EZ199" s="105" t="str">
        <f ca="1">IF(EY199&lt;&gt;"",IF(VALUE(FA199)&gt;VALUE(IF(COUNTIF(EV199,"*キャラ*"),
VLOOKUP("*キャラ*",商品マスタ一覧!$D:$J,7,FALSE),
IF(COUNTIF(EV199,"*赤*"),
VLOOKUP("*赤*",商品マスタ一覧!$D:$J,7,FALSE),
VLOOKUP(EV199,商品マスタ一覧!$D:$J,7,FALSE)))*EY199),
"+"&amp;FA199-IF(COUNTIF(EV199,"*キャラ*"),
VLOOKUP("*キャラ*",商品マスタ一覧!$D:$J,7,FALSE),
IF(COUNTIF(EV199,"*赤*"),
VLOOKUP("*赤*",商品マスタ一覧!$D:$J,7,FALSE),
VLOOKUP(EV199,商品マスタ一覧!$D:$J,7,FALSE)))*EY199,
FA199-IF(COUNTIF(EV199,"*キャラ*"),
VLOOKUP("*キャラ*",商品マスタ一覧!$D:$J,7,FALSE),
IF(COUNTIF(EV199,"*赤*"),
VLOOKUP("*赤*",商品マスタ一覧!$D:$J,7,FALSE),
VLOOKUP(EV199,商品マスタ一覧!$D:$J,7,FALSE)))*EY199),"")</f>
        <v/>
      </c>
      <c r="FA199" s="103" t="str">
        <f t="array" aca="1" ref="FA199" ca="1">IF(OR(INDIRECT("まとめ札!H"&amp;EU197&amp;"")="",INDIRECT("まとめ札!H"&amp;EU197&amp;"")=0),"",INDIRECT("まとめ札!H"&amp;EU197&amp;""))</f>
        <v/>
      </c>
      <c r="FB199" s="103"/>
      <c r="FC199" s="103" t="str">
        <f ca="1">IF(EV199&lt;&gt;"",
IF(OR(COUNTIF(EV199,"*キャラ*"),COUNTIF(EV199,"*赤*")),24,
VLOOKUP(EV199,商品マスタ一覧!$D:$I,6,FALSE)),"")</f>
        <v/>
      </c>
      <c r="FD199" s="103" t="str">
        <f t="shared" ca="1" si="15"/>
        <v/>
      </c>
      <c r="FE199" s="103" t="str">
        <f t="shared" ca="1" si="16"/>
        <v/>
      </c>
      <c r="FF199" s="103"/>
      <c r="FG199" s="103" t="str">
        <f t="shared" ca="1" si="17"/>
        <v/>
      </c>
      <c r="FH199" s="103" t="str">
        <f t="shared" ca="1" si="18"/>
        <v/>
      </c>
    </row>
    <row r="200" spans="151:164" x14ac:dyDescent="0.45">
      <c r="EU200" s="103"/>
      <c r="EV200" s="104" t="str">
        <f t="array" aca="1" ref="EV200" ca="1">IF(OR(INDIRECT("まとめ札!I"&amp;EU197&amp;"")="",INDIRECT("まとめ札!I"&amp;EU197&amp;"")=0),"",INDIRECT("まとめ札!A"&amp;EU197&amp;"")&amp;"【4】")</f>
        <v/>
      </c>
      <c r="EW200" s="104"/>
      <c r="EX200" s="104" t="str">
        <f>""</f>
        <v/>
      </c>
      <c r="EY200" s="104" t="str">
        <f ca="1">IF(EV200&lt;&gt;"",
IF(IF(COUNTIF(EV200,"*キャラ*"),
VLOOKUP("*キャラ*",商品マスタ一覧!$D:$J,7,FALSE),
IF(COUNTIF(EV200,"*赤*"),
VLOOKUP("*赤*",商品マスタ一覧!$D:$J,7,FALSE),
VLOOKUP(EV200,商品マスタ一覧!$D:$J,7,FALSE)))=0,"",
IF(FA200&lt;&gt;"",
IF(ROUND(
FA200/IF(COUNTIF(EV200,"*キャラ*"),
VLOOKUP("*キャラ*",商品マスタ一覧!$D:$J,7,FALSE),
IF(COUNTIF(EV200,"*赤*"),
VLOOKUP("*赤*",商品マスタ一覧!$D:$J,7,FALSE),
VLOOKUP(EV200,商品マスタ一覧!$D:$J,7,FALSE))),0)&lt;=0,1,
ROUND(
FA200/IF(COUNTIF(EV200,"*キャラ*"),
VLOOKUP("*キャラ*",商品マスタ一覧!$D:$J,7,FALSE),
IF(COUNTIF(EV200,"*赤*"),
VLOOKUP("*赤*",商品マスタ一覧!$D:$J,7,FALSE),
VLOOKUP(EV200,商品マスタ一覧!$D:$J,7,FALSE))),0)),"")),"")</f>
        <v/>
      </c>
      <c r="EZ200" s="105" t="str">
        <f ca="1">IF(EY200&lt;&gt;"",IF(VALUE(FA200)&gt;VALUE(IF(COUNTIF(EV200,"*キャラ*"),
VLOOKUP("*キャラ*",商品マスタ一覧!$D:$J,7,FALSE),
IF(COUNTIF(EV200,"*赤*"),
VLOOKUP("*赤*",商品マスタ一覧!$D:$J,7,FALSE),
VLOOKUP(EV200,商品マスタ一覧!$D:$J,7,FALSE)))*EY200),
"+"&amp;FA200-IF(COUNTIF(EV200,"*キャラ*"),
VLOOKUP("*キャラ*",商品マスタ一覧!$D:$J,7,FALSE),
IF(COUNTIF(EV200,"*赤*"),
VLOOKUP("*赤*",商品マスタ一覧!$D:$J,7,FALSE),
VLOOKUP(EV200,商品マスタ一覧!$D:$J,7,FALSE)))*EY200,
FA200-IF(COUNTIF(EV200,"*キャラ*"),
VLOOKUP("*キャラ*",商品マスタ一覧!$D:$J,7,FALSE),
IF(COUNTIF(EV200,"*赤*"),
VLOOKUP("*赤*",商品マスタ一覧!$D:$J,7,FALSE),
VLOOKUP(EV200,商品マスタ一覧!$D:$J,7,FALSE)))*EY200),"")</f>
        <v/>
      </c>
      <c r="FA200" s="103" t="str">
        <f t="array" aca="1" ref="FA200" ca="1">IF(OR(INDIRECT("まとめ札!I"&amp;EU197&amp;"")="",INDIRECT("まとめ札!I"&amp;EU197&amp;"")=0),"",INDIRECT("まとめ札!I"&amp;EU197&amp;""))</f>
        <v/>
      </c>
      <c r="FB200" s="103"/>
      <c r="FC200" s="103" t="str">
        <f ca="1">IF(EV200&lt;&gt;"",
IF(OR(COUNTIF(EV200,"*キャラ*"),COUNTIF(EV200,"*赤*")),24,
VLOOKUP(EV200,商品マスタ一覧!$D:$I,6,FALSE)),"")</f>
        <v/>
      </c>
      <c r="FD200" s="103" t="str">
        <f t="shared" ca="1" si="15"/>
        <v/>
      </c>
      <c r="FE200" s="103" t="str">
        <f t="shared" ca="1" si="16"/>
        <v/>
      </c>
      <c r="FF200" s="103"/>
      <c r="FG200" s="103" t="str">
        <f t="shared" ca="1" si="17"/>
        <v/>
      </c>
      <c r="FH200" s="103" t="str">
        <f t="shared" ca="1" si="18"/>
        <v/>
      </c>
    </row>
    <row r="201" spans="151:164" x14ac:dyDescent="0.45">
      <c r="EU201" s="103">
        <v>6</v>
      </c>
      <c r="EV201" s="104" t="str">
        <f t="array" aca="1" ref="EV201" ca="1">IF(INDIRECT("まとめ札!A"&amp;EU201&amp;"")&lt;&gt;0,INDIRECT("まとめ札!A"&amp;EU201&amp;"")&amp;"【1】","")</f>
        <v>赤 おにぎり 三角【1】</v>
      </c>
      <c r="EW201" s="104"/>
      <c r="EX201" s="104" t="str">
        <f>""</f>
        <v/>
      </c>
      <c r="EY201" s="104" t="str">
        <f ca="1">IF(EV201&lt;&gt;"",
IF(IF(COUNTIF(EV201,"*キャラ*"),
VLOOKUP("*キャラ*",商品マスタ一覧!$D:$J,7,FALSE),
IF(COUNTIF(EV201,"*赤*"),
VLOOKUP("*赤*",商品マスタ一覧!$D:$J,7,FALSE),
VLOOKUP(EV201,商品マスタ一覧!$D:$J,7,FALSE)))=0,"",
IF(FA201&lt;&gt;"",
IF(ROUND(
FA201/IF(COUNTIF(EV201,"*キャラ*"),
VLOOKUP("*キャラ*",商品マスタ一覧!$D:$J,7,FALSE),
IF(COUNTIF(EV201,"*赤*"),
VLOOKUP("*赤*",商品マスタ一覧!$D:$J,7,FALSE),
VLOOKUP(EV201,商品マスタ一覧!$D:$J,7,FALSE))),0)&lt;=0,1,
ROUND(
FA201/IF(COUNTIF(EV201,"*キャラ*"),
VLOOKUP("*キャラ*",商品マスタ一覧!$D:$J,7,FALSE),
IF(COUNTIF(EV201,"*赤*"),
VLOOKUP("*赤*",商品マスタ一覧!$D:$J,7,FALSE),
VLOOKUP(EV201,商品マスタ一覧!$D:$J,7,FALSE))),0)),"")),"")</f>
        <v/>
      </c>
      <c r="EZ201" s="105" t="str">
        <f ca="1">IF(EY201&lt;&gt;"",IF(VALUE(FA201)&gt;VALUE(IF(COUNTIF(EV201,"*キャラ*"),
VLOOKUP("*キャラ*",商品マスタ一覧!$D:$J,7,FALSE),
IF(COUNTIF(EV201,"*赤*"),
VLOOKUP("*赤*",商品マスタ一覧!$D:$J,7,FALSE),
VLOOKUP(EV201,商品マスタ一覧!$D:$J,7,FALSE)))*EY201),
"+"&amp;FA201-IF(COUNTIF(EV201,"*キャラ*"),
VLOOKUP("*キャラ*",商品マスタ一覧!$D:$J,7,FALSE),
IF(COUNTIF(EV201,"*赤*"),
VLOOKUP("*赤*",商品マスタ一覧!$D:$J,7,FALSE),
VLOOKUP(EV201,商品マスタ一覧!$D:$J,7,FALSE)))*EY201,
FA201-IF(COUNTIF(EV201,"*キャラ*"),
VLOOKUP("*キャラ*",商品マスタ一覧!$D:$J,7,FALSE),
IF(COUNTIF(EV201,"*赤*"),
VLOOKUP("*赤*",商品マスタ一覧!$D:$J,7,FALSE),
VLOOKUP(EV201,商品マスタ一覧!$D:$J,7,FALSE)))*EY201),"")</f>
        <v/>
      </c>
      <c r="FA201" s="103" t="str">
        <f t="array" aca="1" ref="FA201" ca="1">IF(INDIRECT("まとめ札!F"&amp;EU201&amp;"")&lt;&gt;0,INDIRECT("まとめ札!F"&amp;EU201&amp;""),"")</f>
        <v/>
      </c>
      <c r="FB201" s="103"/>
      <c r="FC201" s="103">
        <f ca="1">IF(EV201&lt;&gt;"",
IF(OR(COUNTIF(EV201,"*キャラ*"),COUNTIF(EV201,"*赤*")),24,
VLOOKUP(EV201,商品マスタ一覧!$D:$I,6,FALSE)),"")</f>
        <v>24</v>
      </c>
      <c r="FD201" s="103" t="str">
        <f t="shared" ca="1" si="15"/>
        <v/>
      </c>
      <c r="FE201" s="103" t="str">
        <f t="shared" ca="1" si="16"/>
        <v/>
      </c>
      <c r="FF201" s="103"/>
      <c r="FG201" s="103" t="str">
        <f t="shared" ca="1" si="17"/>
        <v/>
      </c>
      <c r="FH201" s="103" t="str">
        <f t="shared" ca="1" si="18"/>
        <v/>
      </c>
    </row>
    <row r="202" spans="151:164" x14ac:dyDescent="0.45">
      <c r="EU202" s="103"/>
      <c r="EV202" s="104" t="str">
        <f t="array" aca="1" ref="EV202" ca="1">IF(OR(INDIRECT("まとめ札!G"&amp;EU201&amp;"")="",INDIRECT("まとめ札!G"&amp;EU201&amp;"")=0),"",INDIRECT("まとめ札!A"&amp;EU201&amp;"")&amp;"【2】")</f>
        <v/>
      </c>
      <c r="EW202" s="104"/>
      <c r="EX202" s="104" t="str">
        <f>""</f>
        <v/>
      </c>
      <c r="EY202" s="104" t="str">
        <f ca="1">IF(EV202&lt;&gt;"",
IF(IF(COUNTIF(EV202,"*キャラ*"),
VLOOKUP("*キャラ*",商品マスタ一覧!$D:$J,7,FALSE),
IF(COUNTIF(EV202,"*赤*"),
VLOOKUP("*赤*",商品マスタ一覧!$D:$J,7,FALSE),
VLOOKUP(EV202,商品マスタ一覧!$D:$J,7,FALSE)))=0,"",
IF(FA202&lt;&gt;"",
IF(ROUND(
FA202/IF(COUNTIF(EV202,"*キャラ*"),
VLOOKUP("*キャラ*",商品マスタ一覧!$D:$J,7,FALSE),
IF(COUNTIF(EV202,"*赤*"),
VLOOKUP("*赤*",商品マスタ一覧!$D:$J,7,FALSE),
VLOOKUP(EV202,商品マスタ一覧!$D:$J,7,FALSE))),0)&lt;=0,1,
ROUND(
FA202/IF(COUNTIF(EV202,"*キャラ*"),
VLOOKUP("*キャラ*",商品マスタ一覧!$D:$J,7,FALSE),
IF(COUNTIF(EV202,"*赤*"),
VLOOKUP("*赤*",商品マスタ一覧!$D:$J,7,FALSE),
VLOOKUP(EV202,商品マスタ一覧!$D:$J,7,FALSE))),0)),"")),"")</f>
        <v/>
      </c>
      <c r="EZ202" s="105" t="str">
        <f ca="1">IF(EY202&lt;&gt;"",IF(VALUE(FA202)&gt;VALUE(IF(COUNTIF(EV202,"*キャラ*"),
VLOOKUP("*キャラ*",商品マスタ一覧!$D:$J,7,FALSE),
IF(COUNTIF(EV202,"*赤*"),
VLOOKUP("*赤*",商品マスタ一覧!$D:$J,7,FALSE),
VLOOKUP(EV202,商品マスタ一覧!$D:$J,7,FALSE)))*EY202),
"+"&amp;FA202-IF(COUNTIF(EV202,"*キャラ*"),
VLOOKUP("*キャラ*",商品マスタ一覧!$D:$J,7,FALSE),
IF(COUNTIF(EV202,"*赤*"),
VLOOKUP("*赤*",商品マスタ一覧!$D:$J,7,FALSE),
VLOOKUP(EV202,商品マスタ一覧!$D:$J,7,FALSE)))*EY202,
FA202-IF(COUNTIF(EV202,"*キャラ*"),
VLOOKUP("*キャラ*",商品マスタ一覧!$D:$J,7,FALSE),
IF(COUNTIF(EV202,"*赤*"),
VLOOKUP("*赤*",商品マスタ一覧!$D:$J,7,FALSE),
VLOOKUP(EV202,商品マスタ一覧!$D:$J,7,FALSE)))*EY202),"")</f>
        <v/>
      </c>
      <c r="FA202" s="103" t="str">
        <f t="array" aca="1" ref="FA202" ca="1">IF(OR(INDIRECT("まとめ札!G"&amp;EU201&amp;"")="",INDIRECT("まとめ札!G"&amp;EU201&amp;"")=0),"",INDIRECT("まとめ札!G"&amp;EU201&amp;""))</f>
        <v/>
      </c>
      <c r="FB202" s="103"/>
      <c r="FC202" s="103" t="str">
        <f ca="1">IF(EV202&lt;&gt;"",
IF(OR(COUNTIF(EV202,"*キャラ*"),COUNTIF(EV202,"*赤*")),24,
VLOOKUP(EV202,商品マスタ一覧!$D:$I,6,FALSE)),"")</f>
        <v/>
      </c>
      <c r="FD202" s="103" t="str">
        <f t="shared" ca="1" si="15"/>
        <v/>
      </c>
      <c r="FE202" s="103" t="str">
        <f t="shared" ca="1" si="16"/>
        <v/>
      </c>
      <c r="FF202" s="103"/>
      <c r="FG202" s="103" t="str">
        <f t="shared" ca="1" si="17"/>
        <v/>
      </c>
      <c r="FH202" s="103" t="str">
        <f t="shared" ca="1" si="18"/>
        <v/>
      </c>
    </row>
    <row r="203" spans="151:164" x14ac:dyDescent="0.45">
      <c r="EU203" s="103"/>
      <c r="EV203" s="104" t="str">
        <f t="array" aca="1" ref="EV203" ca="1">IF(OR(INDIRECT("まとめ札!H"&amp;EU201&amp;"")="",INDIRECT("まとめ札!H"&amp;EU201&amp;"")=0),"",INDIRECT("まとめ札!A"&amp;EU201&amp;"")&amp;"【3】")</f>
        <v/>
      </c>
      <c r="EW203" s="104"/>
      <c r="EX203" s="104" t="str">
        <f>""</f>
        <v/>
      </c>
      <c r="EY203" s="104" t="str">
        <f ca="1">IF(EV203&lt;&gt;"",
IF(IF(COUNTIF(EV203,"*キャラ*"),
VLOOKUP("*キャラ*",商品マスタ一覧!$D:$J,7,FALSE),
IF(COUNTIF(EV203,"*赤*"),
VLOOKUP("*赤*",商品マスタ一覧!$D:$J,7,FALSE),
VLOOKUP(EV203,商品マスタ一覧!$D:$J,7,FALSE)))=0,"",
IF(FA203&lt;&gt;"",
IF(ROUND(
FA203/IF(COUNTIF(EV203,"*キャラ*"),
VLOOKUP("*キャラ*",商品マスタ一覧!$D:$J,7,FALSE),
IF(COUNTIF(EV203,"*赤*"),
VLOOKUP("*赤*",商品マスタ一覧!$D:$J,7,FALSE),
VLOOKUP(EV203,商品マスタ一覧!$D:$J,7,FALSE))),0)&lt;=0,1,
ROUND(
FA203/IF(COUNTIF(EV203,"*キャラ*"),
VLOOKUP("*キャラ*",商品マスタ一覧!$D:$J,7,FALSE),
IF(COUNTIF(EV203,"*赤*"),
VLOOKUP("*赤*",商品マスタ一覧!$D:$J,7,FALSE),
VLOOKUP(EV203,商品マスタ一覧!$D:$J,7,FALSE))),0)),"")),"")</f>
        <v/>
      </c>
      <c r="EZ203" s="105" t="str">
        <f ca="1">IF(EY203&lt;&gt;"",IF(VALUE(FA203)&gt;VALUE(IF(COUNTIF(EV203,"*キャラ*"),
VLOOKUP("*キャラ*",商品マスタ一覧!$D:$J,7,FALSE),
IF(COUNTIF(EV203,"*赤*"),
VLOOKUP("*赤*",商品マスタ一覧!$D:$J,7,FALSE),
VLOOKUP(EV203,商品マスタ一覧!$D:$J,7,FALSE)))*EY203),
"+"&amp;FA203-IF(COUNTIF(EV203,"*キャラ*"),
VLOOKUP("*キャラ*",商品マスタ一覧!$D:$J,7,FALSE),
IF(COUNTIF(EV203,"*赤*"),
VLOOKUP("*赤*",商品マスタ一覧!$D:$J,7,FALSE),
VLOOKUP(EV203,商品マスタ一覧!$D:$J,7,FALSE)))*EY203,
FA203-IF(COUNTIF(EV203,"*キャラ*"),
VLOOKUP("*キャラ*",商品マスタ一覧!$D:$J,7,FALSE),
IF(COUNTIF(EV203,"*赤*"),
VLOOKUP("*赤*",商品マスタ一覧!$D:$J,7,FALSE),
VLOOKUP(EV203,商品マスタ一覧!$D:$J,7,FALSE)))*EY203),"")</f>
        <v/>
      </c>
      <c r="FA203" s="103" t="str">
        <f t="array" aca="1" ref="FA203" ca="1">IF(OR(INDIRECT("まとめ札!H"&amp;EU201&amp;"")="",INDIRECT("まとめ札!H"&amp;EU201&amp;"")=0),"",INDIRECT("まとめ札!H"&amp;EU201&amp;""))</f>
        <v/>
      </c>
      <c r="FB203" s="103"/>
      <c r="FC203" s="103" t="str">
        <f ca="1">IF(EV203&lt;&gt;"",
IF(OR(COUNTIF(EV203,"*キャラ*"),COUNTIF(EV203,"*赤*")),24,
VLOOKUP(EV203,商品マスタ一覧!$D:$I,6,FALSE)),"")</f>
        <v/>
      </c>
      <c r="FD203" s="103" t="str">
        <f t="shared" ca="1" si="15"/>
        <v/>
      </c>
      <c r="FE203" s="103" t="str">
        <f t="shared" ca="1" si="16"/>
        <v/>
      </c>
      <c r="FF203" s="103"/>
      <c r="FG203" s="103" t="str">
        <f t="shared" ca="1" si="17"/>
        <v/>
      </c>
      <c r="FH203" s="103" t="str">
        <f t="shared" ca="1" si="18"/>
        <v/>
      </c>
    </row>
    <row r="204" spans="151:164" x14ac:dyDescent="0.45">
      <c r="EU204" s="103"/>
      <c r="EV204" s="104" t="str">
        <f t="array" aca="1" ref="EV204" ca="1">IF(OR(INDIRECT("まとめ札!I"&amp;EU201&amp;"")="",INDIRECT("まとめ札!I"&amp;EU201&amp;"")=0),"",INDIRECT("まとめ札!A"&amp;EU201&amp;"")&amp;"【4】")</f>
        <v/>
      </c>
      <c r="EW204" s="104"/>
      <c r="EX204" s="104" t="str">
        <f>""</f>
        <v/>
      </c>
      <c r="EY204" s="104" t="str">
        <f ca="1">IF(EV204&lt;&gt;"",
IF(IF(COUNTIF(EV204,"*キャラ*"),
VLOOKUP("*キャラ*",商品マスタ一覧!$D:$J,7,FALSE),
IF(COUNTIF(EV204,"*赤*"),
VLOOKUP("*赤*",商品マスタ一覧!$D:$J,7,FALSE),
VLOOKUP(EV204,商品マスタ一覧!$D:$J,7,FALSE)))=0,"",
IF(FA204&lt;&gt;"",
IF(ROUND(
FA204/IF(COUNTIF(EV204,"*キャラ*"),
VLOOKUP("*キャラ*",商品マスタ一覧!$D:$J,7,FALSE),
IF(COUNTIF(EV204,"*赤*"),
VLOOKUP("*赤*",商品マスタ一覧!$D:$J,7,FALSE),
VLOOKUP(EV204,商品マスタ一覧!$D:$J,7,FALSE))),0)&lt;=0,1,
ROUND(
FA204/IF(COUNTIF(EV204,"*キャラ*"),
VLOOKUP("*キャラ*",商品マスタ一覧!$D:$J,7,FALSE),
IF(COUNTIF(EV204,"*赤*"),
VLOOKUP("*赤*",商品マスタ一覧!$D:$J,7,FALSE),
VLOOKUP(EV204,商品マスタ一覧!$D:$J,7,FALSE))),0)),"")),"")</f>
        <v/>
      </c>
      <c r="EZ204" s="105" t="str">
        <f ca="1">IF(EY204&lt;&gt;"",IF(VALUE(FA204)&gt;VALUE(IF(COUNTIF(EV204,"*キャラ*"),
VLOOKUP("*キャラ*",商品マスタ一覧!$D:$J,7,FALSE),
IF(COUNTIF(EV204,"*赤*"),
VLOOKUP("*赤*",商品マスタ一覧!$D:$J,7,FALSE),
VLOOKUP(EV204,商品マスタ一覧!$D:$J,7,FALSE)))*EY204),
"+"&amp;FA204-IF(COUNTIF(EV204,"*キャラ*"),
VLOOKUP("*キャラ*",商品マスタ一覧!$D:$J,7,FALSE),
IF(COUNTIF(EV204,"*赤*"),
VLOOKUP("*赤*",商品マスタ一覧!$D:$J,7,FALSE),
VLOOKUP(EV204,商品マスタ一覧!$D:$J,7,FALSE)))*EY204,
FA204-IF(COUNTIF(EV204,"*キャラ*"),
VLOOKUP("*キャラ*",商品マスタ一覧!$D:$J,7,FALSE),
IF(COUNTIF(EV204,"*赤*"),
VLOOKUP("*赤*",商品マスタ一覧!$D:$J,7,FALSE),
VLOOKUP(EV204,商品マスタ一覧!$D:$J,7,FALSE)))*EY204),"")</f>
        <v/>
      </c>
      <c r="FA204" s="103" t="str">
        <f t="array" aca="1" ref="FA204" ca="1">IF(OR(INDIRECT("まとめ札!I"&amp;EU201&amp;"")="",INDIRECT("まとめ札!I"&amp;EU201&amp;"")=0),"",INDIRECT("まとめ札!I"&amp;EU201&amp;""))</f>
        <v/>
      </c>
      <c r="FB204" s="103"/>
      <c r="FC204" s="103" t="str">
        <f ca="1">IF(EV204&lt;&gt;"",
IF(OR(COUNTIF(EV204,"*キャラ*"),COUNTIF(EV204,"*赤*")),24,
VLOOKUP(EV204,商品マスタ一覧!$D:$I,6,FALSE)),"")</f>
        <v/>
      </c>
      <c r="FD204" s="103" t="str">
        <f t="shared" ca="1" si="15"/>
        <v/>
      </c>
      <c r="FE204" s="103" t="str">
        <f t="shared" ca="1" si="16"/>
        <v/>
      </c>
      <c r="FF204" s="103"/>
      <c r="FG204" s="103" t="str">
        <f t="shared" ca="1" si="17"/>
        <v/>
      </c>
      <c r="FH204" s="103" t="str">
        <f t="shared" ca="1" si="18"/>
        <v/>
      </c>
    </row>
    <row r="205" spans="151:164" x14ac:dyDescent="0.45">
      <c r="EU205" s="103">
        <v>7</v>
      </c>
      <c r="EV205" s="104" t="str">
        <f t="array" aca="1" ref="EV205" ca="1">IF(INDIRECT("まとめ札!A"&amp;EU205&amp;"")&lt;&gt;0,INDIRECT("まとめ札!A"&amp;EU205&amp;"")&amp;"【1】","")</f>
        <v>赤 おにぎり 半俵【1】</v>
      </c>
      <c r="EW205" s="104"/>
      <c r="EX205" s="104" t="str">
        <f>""</f>
        <v/>
      </c>
      <c r="EY205" s="104" t="str">
        <f ca="1">IF(EV205&lt;&gt;"",
IF(IF(COUNTIF(EV205,"*キャラ*"),
VLOOKUP("*キャラ*",商品マスタ一覧!$D:$J,7,FALSE),
IF(COUNTIF(EV205,"*赤*"),
VLOOKUP("*赤*",商品マスタ一覧!$D:$J,7,FALSE),
VLOOKUP(EV205,商品マスタ一覧!$D:$J,7,FALSE)))=0,"",
IF(FA205&lt;&gt;"",
IF(ROUND(
FA205/IF(COUNTIF(EV205,"*キャラ*"),
VLOOKUP("*キャラ*",商品マスタ一覧!$D:$J,7,FALSE),
IF(COUNTIF(EV205,"*赤*"),
VLOOKUP("*赤*",商品マスタ一覧!$D:$J,7,FALSE),
VLOOKUP(EV205,商品マスタ一覧!$D:$J,7,FALSE))),0)&lt;=0,1,
ROUND(
FA205/IF(COUNTIF(EV205,"*キャラ*"),
VLOOKUP("*キャラ*",商品マスタ一覧!$D:$J,7,FALSE),
IF(COUNTIF(EV205,"*赤*"),
VLOOKUP("*赤*",商品マスタ一覧!$D:$J,7,FALSE),
VLOOKUP(EV205,商品マスタ一覧!$D:$J,7,FALSE))),0)),"")),"")</f>
        <v/>
      </c>
      <c r="EZ205" s="105" t="str">
        <f ca="1">IF(EY205&lt;&gt;"",IF(VALUE(FA205)&gt;VALUE(IF(COUNTIF(EV205,"*キャラ*"),
VLOOKUP("*キャラ*",商品マスタ一覧!$D:$J,7,FALSE),
IF(COUNTIF(EV205,"*赤*"),
VLOOKUP("*赤*",商品マスタ一覧!$D:$J,7,FALSE),
VLOOKUP(EV205,商品マスタ一覧!$D:$J,7,FALSE)))*EY205),
"+"&amp;FA205-IF(COUNTIF(EV205,"*キャラ*"),
VLOOKUP("*キャラ*",商品マスタ一覧!$D:$J,7,FALSE),
IF(COUNTIF(EV205,"*赤*"),
VLOOKUP("*赤*",商品マスタ一覧!$D:$J,7,FALSE),
VLOOKUP(EV205,商品マスタ一覧!$D:$J,7,FALSE)))*EY205,
FA205-IF(COUNTIF(EV205,"*キャラ*"),
VLOOKUP("*キャラ*",商品マスタ一覧!$D:$J,7,FALSE),
IF(COUNTIF(EV205,"*赤*"),
VLOOKUP("*赤*",商品マスタ一覧!$D:$J,7,FALSE),
VLOOKUP(EV205,商品マスタ一覧!$D:$J,7,FALSE)))*EY205),"")</f>
        <v/>
      </c>
      <c r="FA205" s="103" t="str">
        <f t="array" aca="1" ref="FA205" ca="1">IF(INDIRECT("まとめ札!F"&amp;EU205&amp;"")&lt;&gt;0,INDIRECT("まとめ札!F"&amp;EU205&amp;""),"")</f>
        <v/>
      </c>
      <c r="FB205" s="103"/>
      <c r="FC205" s="103">
        <f ca="1">IF(EV205&lt;&gt;"",
IF(OR(COUNTIF(EV205,"*キャラ*"),COUNTIF(EV205,"*赤*")),24,
VLOOKUP(EV205,商品マスタ一覧!$D:$I,6,FALSE)),"")</f>
        <v>24</v>
      </c>
      <c r="FD205" s="103" t="str">
        <f t="shared" ca="1" si="15"/>
        <v/>
      </c>
      <c r="FE205" s="103" t="str">
        <f t="shared" ca="1" si="16"/>
        <v/>
      </c>
      <c r="FF205" s="103"/>
      <c r="FG205" s="103" t="str">
        <f t="shared" ca="1" si="17"/>
        <v/>
      </c>
      <c r="FH205" s="103" t="str">
        <f t="shared" ca="1" si="18"/>
        <v/>
      </c>
    </row>
    <row r="206" spans="151:164" x14ac:dyDescent="0.45">
      <c r="EU206" s="103"/>
      <c r="EV206" s="104" t="str">
        <f t="array" aca="1" ref="EV206" ca="1">IF(OR(INDIRECT("まとめ札!G"&amp;EU205&amp;"")="",INDIRECT("まとめ札!G"&amp;EU205&amp;"")=0),"",INDIRECT("まとめ札!A"&amp;EU205&amp;"")&amp;"【2】")</f>
        <v/>
      </c>
      <c r="EW206" s="104"/>
      <c r="EX206" s="104" t="str">
        <f>""</f>
        <v/>
      </c>
      <c r="EY206" s="104" t="str">
        <f ca="1">IF(EV206&lt;&gt;"",
IF(IF(COUNTIF(EV206,"*キャラ*"),
VLOOKUP("*キャラ*",商品マスタ一覧!$D:$J,7,FALSE),
IF(COUNTIF(EV206,"*赤*"),
VLOOKUP("*赤*",商品マスタ一覧!$D:$J,7,FALSE),
VLOOKUP(EV206,商品マスタ一覧!$D:$J,7,FALSE)))=0,"",
IF(FA206&lt;&gt;"",
IF(ROUND(
FA206/IF(COUNTIF(EV206,"*キャラ*"),
VLOOKUP("*キャラ*",商品マスタ一覧!$D:$J,7,FALSE),
IF(COUNTIF(EV206,"*赤*"),
VLOOKUP("*赤*",商品マスタ一覧!$D:$J,7,FALSE),
VLOOKUP(EV206,商品マスタ一覧!$D:$J,7,FALSE))),0)&lt;=0,1,
ROUND(
FA206/IF(COUNTIF(EV206,"*キャラ*"),
VLOOKUP("*キャラ*",商品マスタ一覧!$D:$J,7,FALSE),
IF(COUNTIF(EV206,"*赤*"),
VLOOKUP("*赤*",商品マスタ一覧!$D:$J,7,FALSE),
VLOOKUP(EV206,商品マスタ一覧!$D:$J,7,FALSE))),0)),"")),"")</f>
        <v/>
      </c>
      <c r="EZ206" s="105" t="str">
        <f ca="1">IF(EY206&lt;&gt;"",IF(VALUE(FA206)&gt;VALUE(IF(COUNTIF(EV206,"*キャラ*"),
VLOOKUP("*キャラ*",商品マスタ一覧!$D:$J,7,FALSE),
IF(COUNTIF(EV206,"*赤*"),
VLOOKUP("*赤*",商品マスタ一覧!$D:$J,7,FALSE),
VLOOKUP(EV206,商品マスタ一覧!$D:$J,7,FALSE)))*EY206),
"+"&amp;FA206-IF(COUNTIF(EV206,"*キャラ*"),
VLOOKUP("*キャラ*",商品マスタ一覧!$D:$J,7,FALSE),
IF(COUNTIF(EV206,"*赤*"),
VLOOKUP("*赤*",商品マスタ一覧!$D:$J,7,FALSE),
VLOOKUP(EV206,商品マスタ一覧!$D:$J,7,FALSE)))*EY206,
FA206-IF(COUNTIF(EV206,"*キャラ*"),
VLOOKUP("*キャラ*",商品マスタ一覧!$D:$J,7,FALSE),
IF(COUNTIF(EV206,"*赤*"),
VLOOKUP("*赤*",商品マスタ一覧!$D:$J,7,FALSE),
VLOOKUP(EV206,商品マスタ一覧!$D:$J,7,FALSE)))*EY206),"")</f>
        <v/>
      </c>
      <c r="FA206" s="103" t="str">
        <f t="array" aca="1" ref="FA206" ca="1">IF(OR(INDIRECT("まとめ札!G"&amp;EU205&amp;"")="",INDIRECT("まとめ札!G"&amp;EU205&amp;"")=0),"",INDIRECT("まとめ札!G"&amp;EU205&amp;""))</f>
        <v/>
      </c>
      <c r="FB206" s="103"/>
      <c r="FC206" s="103" t="str">
        <f ca="1">IF(EV206&lt;&gt;"",
IF(OR(COUNTIF(EV206,"*キャラ*"),COUNTIF(EV206,"*赤*")),24,
VLOOKUP(EV206,商品マスタ一覧!$D:$I,6,FALSE)),"")</f>
        <v/>
      </c>
      <c r="FD206" s="103" t="str">
        <f t="shared" ca="1" si="15"/>
        <v/>
      </c>
      <c r="FE206" s="103" t="str">
        <f t="shared" ca="1" si="16"/>
        <v/>
      </c>
      <c r="FF206" s="103"/>
      <c r="FG206" s="103" t="str">
        <f t="shared" ca="1" si="17"/>
        <v/>
      </c>
      <c r="FH206" s="103" t="str">
        <f t="shared" ca="1" si="18"/>
        <v/>
      </c>
    </row>
    <row r="207" spans="151:164" x14ac:dyDescent="0.45">
      <c r="EU207" s="103"/>
      <c r="EV207" s="104" t="str">
        <f t="array" aca="1" ref="EV207" ca="1">IF(OR(INDIRECT("まとめ札!H"&amp;EU205&amp;"")="",INDIRECT("まとめ札!H"&amp;EU205&amp;"")=0),"",INDIRECT("まとめ札!A"&amp;EU205&amp;"")&amp;"【3】")</f>
        <v/>
      </c>
      <c r="EW207" s="104"/>
      <c r="EX207" s="104" t="str">
        <f>""</f>
        <v/>
      </c>
      <c r="EY207" s="104" t="str">
        <f ca="1">IF(EV207&lt;&gt;"",
IF(IF(COUNTIF(EV207,"*キャラ*"),
VLOOKUP("*キャラ*",商品マスタ一覧!$D:$J,7,FALSE),
IF(COUNTIF(EV207,"*赤*"),
VLOOKUP("*赤*",商品マスタ一覧!$D:$J,7,FALSE),
VLOOKUP(EV207,商品マスタ一覧!$D:$J,7,FALSE)))=0,"",
IF(FA207&lt;&gt;"",
IF(ROUND(
FA207/IF(COUNTIF(EV207,"*キャラ*"),
VLOOKUP("*キャラ*",商品マスタ一覧!$D:$J,7,FALSE),
IF(COUNTIF(EV207,"*赤*"),
VLOOKUP("*赤*",商品マスタ一覧!$D:$J,7,FALSE),
VLOOKUP(EV207,商品マスタ一覧!$D:$J,7,FALSE))),0)&lt;=0,1,
ROUND(
FA207/IF(COUNTIF(EV207,"*キャラ*"),
VLOOKUP("*キャラ*",商品マスタ一覧!$D:$J,7,FALSE),
IF(COUNTIF(EV207,"*赤*"),
VLOOKUP("*赤*",商品マスタ一覧!$D:$J,7,FALSE),
VLOOKUP(EV207,商品マスタ一覧!$D:$J,7,FALSE))),0)),"")),"")</f>
        <v/>
      </c>
      <c r="EZ207" s="105" t="str">
        <f ca="1">IF(EY207&lt;&gt;"",IF(VALUE(FA207)&gt;VALUE(IF(COUNTIF(EV207,"*キャラ*"),
VLOOKUP("*キャラ*",商品マスタ一覧!$D:$J,7,FALSE),
IF(COUNTIF(EV207,"*赤*"),
VLOOKUP("*赤*",商品マスタ一覧!$D:$J,7,FALSE),
VLOOKUP(EV207,商品マスタ一覧!$D:$J,7,FALSE)))*EY207),
"+"&amp;FA207-IF(COUNTIF(EV207,"*キャラ*"),
VLOOKUP("*キャラ*",商品マスタ一覧!$D:$J,7,FALSE),
IF(COUNTIF(EV207,"*赤*"),
VLOOKUP("*赤*",商品マスタ一覧!$D:$J,7,FALSE),
VLOOKUP(EV207,商品マスタ一覧!$D:$J,7,FALSE)))*EY207,
FA207-IF(COUNTIF(EV207,"*キャラ*"),
VLOOKUP("*キャラ*",商品マスタ一覧!$D:$J,7,FALSE),
IF(COUNTIF(EV207,"*赤*"),
VLOOKUP("*赤*",商品マスタ一覧!$D:$J,7,FALSE),
VLOOKUP(EV207,商品マスタ一覧!$D:$J,7,FALSE)))*EY207),"")</f>
        <v/>
      </c>
      <c r="FA207" s="103" t="str">
        <f t="array" aca="1" ref="FA207" ca="1">IF(OR(INDIRECT("まとめ札!H"&amp;EU205&amp;"")="",INDIRECT("まとめ札!H"&amp;EU205&amp;"")=0),"",INDIRECT("まとめ札!H"&amp;EU205&amp;""))</f>
        <v/>
      </c>
      <c r="FB207" s="103"/>
      <c r="FC207" s="103" t="str">
        <f ca="1">IF(EV207&lt;&gt;"",
IF(OR(COUNTIF(EV207,"*キャラ*"),COUNTIF(EV207,"*赤*")),24,
VLOOKUP(EV207,商品マスタ一覧!$D:$I,6,FALSE)),"")</f>
        <v/>
      </c>
      <c r="FD207" s="103" t="str">
        <f t="shared" ca="1" si="15"/>
        <v/>
      </c>
      <c r="FE207" s="103" t="str">
        <f t="shared" ca="1" si="16"/>
        <v/>
      </c>
      <c r="FF207" s="103"/>
      <c r="FG207" s="103" t="str">
        <f t="shared" ca="1" si="17"/>
        <v/>
      </c>
      <c r="FH207" s="103" t="str">
        <f t="shared" ca="1" si="18"/>
        <v/>
      </c>
    </row>
    <row r="208" spans="151:164" x14ac:dyDescent="0.45">
      <c r="EU208" s="103"/>
      <c r="EV208" s="104" t="str">
        <f t="array" aca="1" ref="EV208" ca="1">IF(OR(INDIRECT("まとめ札!I"&amp;EU205&amp;"")="",INDIRECT("まとめ札!I"&amp;EU205&amp;"")=0),"",INDIRECT("まとめ札!A"&amp;EU205&amp;"")&amp;"【4】")</f>
        <v/>
      </c>
      <c r="EW208" s="104"/>
      <c r="EX208" s="104" t="str">
        <f>""</f>
        <v/>
      </c>
      <c r="EY208" s="104" t="str">
        <f ca="1">IF(EV208&lt;&gt;"",
IF(IF(COUNTIF(EV208,"*キャラ*"),
VLOOKUP("*キャラ*",商品マスタ一覧!$D:$J,7,FALSE),
IF(COUNTIF(EV208,"*赤*"),
VLOOKUP("*赤*",商品マスタ一覧!$D:$J,7,FALSE),
VLOOKUP(EV208,商品マスタ一覧!$D:$J,7,FALSE)))=0,"",
IF(FA208&lt;&gt;"",
IF(ROUND(
FA208/IF(COUNTIF(EV208,"*キャラ*"),
VLOOKUP("*キャラ*",商品マスタ一覧!$D:$J,7,FALSE),
IF(COUNTIF(EV208,"*赤*"),
VLOOKUP("*赤*",商品マスタ一覧!$D:$J,7,FALSE),
VLOOKUP(EV208,商品マスタ一覧!$D:$J,7,FALSE))),0)&lt;=0,1,
ROUND(
FA208/IF(COUNTIF(EV208,"*キャラ*"),
VLOOKUP("*キャラ*",商品マスタ一覧!$D:$J,7,FALSE),
IF(COUNTIF(EV208,"*赤*"),
VLOOKUP("*赤*",商品マスタ一覧!$D:$J,7,FALSE),
VLOOKUP(EV208,商品マスタ一覧!$D:$J,7,FALSE))),0)),"")),"")</f>
        <v/>
      </c>
      <c r="EZ208" s="105" t="str">
        <f ca="1">IF(EY208&lt;&gt;"",IF(VALUE(FA208)&gt;VALUE(IF(COUNTIF(EV208,"*キャラ*"),
VLOOKUP("*キャラ*",商品マスタ一覧!$D:$J,7,FALSE),
IF(COUNTIF(EV208,"*赤*"),
VLOOKUP("*赤*",商品マスタ一覧!$D:$J,7,FALSE),
VLOOKUP(EV208,商品マスタ一覧!$D:$J,7,FALSE)))*EY208),
"+"&amp;FA208-IF(COUNTIF(EV208,"*キャラ*"),
VLOOKUP("*キャラ*",商品マスタ一覧!$D:$J,7,FALSE),
IF(COUNTIF(EV208,"*赤*"),
VLOOKUP("*赤*",商品マスタ一覧!$D:$J,7,FALSE),
VLOOKUP(EV208,商品マスタ一覧!$D:$J,7,FALSE)))*EY208,
FA208-IF(COUNTIF(EV208,"*キャラ*"),
VLOOKUP("*キャラ*",商品マスタ一覧!$D:$J,7,FALSE),
IF(COUNTIF(EV208,"*赤*"),
VLOOKUP("*赤*",商品マスタ一覧!$D:$J,7,FALSE),
VLOOKUP(EV208,商品マスタ一覧!$D:$J,7,FALSE)))*EY208),"")</f>
        <v/>
      </c>
      <c r="FA208" s="103" t="str">
        <f t="array" aca="1" ref="FA208" ca="1">IF(OR(INDIRECT("まとめ札!I"&amp;EU205&amp;"")="",INDIRECT("まとめ札!I"&amp;EU205&amp;"")=0),"",INDIRECT("まとめ札!I"&amp;EU205&amp;""))</f>
        <v/>
      </c>
      <c r="FB208" s="103"/>
      <c r="FC208" s="103" t="str">
        <f ca="1">IF(EV208&lt;&gt;"",
IF(OR(COUNTIF(EV208,"*キャラ*"),COUNTIF(EV208,"*赤*")),24,
VLOOKUP(EV208,商品マスタ一覧!$D:$I,6,FALSE)),"")</f>
        <v/>
      </c>
      <c r="FD208" s="103" t="str">
        <f t="shared" ca="1" si="15"/>
        <v/>
      </c>
      <c r="FE208" s="103" t="str">
        <f t="shared" ca="1" si="16"/>
        <v/>
      </c>
      <c r="FF208" s="103"/>
      <c r="FG208" s="103" t="str">
        <f t="shared" ca="1" si="17"/>
        <v/>
      </c>
      <c r="FH208" s="103" t="str">
        <f t="shared" ca="1" si="18"/>
        <v/>
      </c>
    </row>
    <row r="209" spans="151:164" x14ac:dyDescent="0.45">
      <c r="EU209" s="103">
        <v>8</v>
      </c>
      <c r="EV209" s="104" t="str">
        <f t="array" aca="1" ref="EV209" ca="1">IF(INDIRECT("まとめ札!A"&amp;EU209&amp;"")&lt;&gt;0,INDIRECT("まとめ札!A"&amp;EU209&amp;"")&amp;"【1】","")</f>
        <v>赤 飯なし【1】</v>
      </c>
      <c r="EW209" s="104"/>
      <c r="EX209" s="104" t="str">
        <f>""</f>
        <v/>
      </c>
      <c r="EY209" s="104" t="str">
        <f ca="1">IF(EV209&lt;&gt;"",
IF(IF(COUNTIF(EV209,"*キャラ*"),
VLOOKUP("*キャラ*",商品マスタ一覧!$D:$J,7,FALSE),
IF(COUNTIF(EV209,"*赤*"),
VLOOKUP("*赤*",商品マスタ一覧!$D:$J,7,FALSE),
VLOOKUP(EV209,商品マスタ一覧!$D:$J,7,FALSE)))=0,"",
IF(FA209&lt;&gt;"",
IF(ROUND(
FA209/IF(COUNTIF(EV209,"*キャラ*"),
VLOOKUP("*キャラ*",商品マスタ一覧!$D:$J,7,FALSE),
IF(COUNTIF(EV209,"*赤*"),
VLOOKUP("*赤*",商品マスタ一覧!$D:$J,7,FALSE),
VLOOKUP(EV209,商品マスタ一覧!$D:$J,7,FALSE))),0)&lt;=0,1,
ROUND(
FA209/IF(COUNTIF(EV209,"*キャラ*"),
VLOOKUP("*キャラ*",商品マスタ一覧!$D:$J,7,FALSE),
IF(COUNTIF(EV209,"*赤*"),
VLOOKUP("*赤*",商品マスタ一覧!$D:$J,7,FALSE),
VLOOKUP(EV209,商品マスタ一覧!$D:$J,7,FALSE))),0)),"")),"")</f>
        <v/>
      </c>
      <c r="EZ209" s="105" t="str">
        <f ca="1">IF(EY209&lt;&gt;"",IF(VALUE(FA209)&gt;VALUE(IF(COUNTIF(EV209,"*キャラ*"),
VLOOKUP("*キャラ*",商品マスタ一覧!$D:$J,7,FALSE),
IF(COUNTIF(EV209,"*赤*"),
VLOOKUP("*赤*",商品マスタ一覧!$D:$J,7,FALSE),
VLOOKUP(EV209,商品マスタ一覧!$D:$J,7,FALSE)))*EY209),
"+"&amp;FA209-IF(COUNTIF(EV209,"*キャラ*"),
VLOOKUP("*キャラ*",商品マスタ一覧!$D:$J,7,FALSE),
IF(COUNTIF(EV209,"*赤*"),
VLOOKUP("*赤*",商品マスタ一覧!$D:$J,7,FALSE),
VLOOKUP(EV209,商品マスタ一覧!$D:$J,7,FALSE)))*EY209,
FA209-IF(COUNTIF(EV209,"*キャラ*"),
VLOOKUP("*キャラ*",商品マスタ一覧!$D:$J,7,FALSE),
IF(COUNTIF(EV209,"*赤*"),
VLOOKUP("*赤*",商品マスタ一覧!$D:$J,7,FALSE),
VLOOKUP(EV209,商品マスタ一覧!$D:$J,7,FALSE)))*EY209),"")</f>
        <v/>
      </c>
      <c r="FA209" s="103" t="str">
        <f t="array" aca="1" ref="FA209" ca="1">IF(INDIRECT("まとめ札!F"&amp;EU209&amp;"")&lt;&gt;0,INDIRECT("まとめ札!F"&amp;EU209&amp;""),"")</f>
        <v/>
      </c>
      <c r="FB209" s="103"/>
      <c r="FC209" s="103">
        <f ca="1">IF(EV209&lt;&gt;"",
IF(OR(COUNTIF(EV209,"*キャラ*"),COUNTIF(EV209,"*赤*")),24,
VLOOKUP(EV209,商品マスタ一覧!$D:$I,6,FALSE)),"")</f>
        <v>24</v>
      </c>
      <c r="FD209" s="103" t="str">
        <f t="shared" ca="1" si="15"/>
        <v/>
      </c>
      <c r="FE209" s="103" t="str">
        <f t="shared" ca="1" si="16"/>
        <v/>
      </c>
      <c r="FF209" s="103"/>
      <c r="FG209" s="103" t="str">
        <f t="shared" ca="1" si="17"/>
        <v/>
      </c>
      <c r="FH209" s="103" t="str">
        <f t="shared" ca="1" si="18"/>
        <v/>
      </c>
    </row>
    <row r="210" spans="151:164" x14ac:dyDescent="0.45">
      <c r="EU210" s="103"/>
      <c r="EV210" s="104" t="str">
        <f t="array" aca="1" ref="EV210" ca="1">IF(OR(INDIRECT("まとめ札!G"&amp;EU209&amp;"")="",INDIRECT("まとめ札!G"&amp;EU209&amp;"")=0),"",INDIRECT("まとめ札!A"&amp;EU209&amp;"")&amp;"【2】")</f>
        <v/>
      </c>
      <c r="EW210" s="104"/>
      <c r="EX210" s="104" t="str">
        <f>""</f>
        <v/>
      </c>
      <c r="EY210" s="104" t="str">
        <f ca="1">IF(EV210&lt;&gt;"",
IF(IF(COUNTIF(EV210,"*キャラ*"),
VLOOKUP("*キャラ*",商品マスタ一覧!$D:$J,7,FALSE),
IF(COUNTIF(EV210,"*赤*"),
VLOOKUP("*赤*",商品マスタ一覧!$D:$J,7,FALSE),
VLOOKUP(EV210,商品マスタ一覧!$D:$J,7,FALSE)))=0,"",
IF(FA210&lt;&gt;"",
IF(ROUND(
FA210/IF(COUNTIF(EV210,"*キャラ*"),
VLOOKUP("*キャラ*",商品マスタ一覧!$D:$J,7,FALSE),
IF(COUNTIF(EV210,"*赤*"),
VLOOKUP("*赤*",商品マスタ一覧!$D:$J,7,FALSE),
VLOOKUP(EV210,商品マスタ一覧!$D:$J,7,FALSE))),0)&lt;=0,1,
ROUND(
FA210/IF(COUNTIF(EV210,"*キャラ*"),
VLOOKUP("*キャラ*",商品マスタ一覧!$D:$J,7,FALSE),
IF(COUNTIF(EV210,"*赤*"),
VLOOKUP("*赤*",商品マスタ一覧!$D:$J,7,FALSE),
VLOOKUP(EV210,商品マスタ一覧!$D:$J,7,FALSE))),0)),"")),"")</f>
        <v/>
      </c>
      <c r="EZ210" s="105" t="str">
        <f ca="1">IF(EY210&lt;&gt;"",IF(VALUE(FA210)&gt;VALUE(IF(COUNTIF(EV210,"*キャラ*"),
VLOOKUP("*キャラ*",商品マスタ一覧!$D:$J,7,FALSE),
IF(COUNTIF(EV210,"*赤*"),
VLOOKUP("*赤*",商品マスタ一覧!$D:$J,7,FALSE),
VLOOKUP(EV210,商品マスタ一覧!$D:$J,7,FALSE)))*EY210),
"+"&amp;FA210-IF(COUNTIF(EV210,"*キャラ*"),
VLOOKUP("*キャラ*",商品マスタ一覧!$D:$J,7,FALSE),
IF(COUNTIF(EV210,"*赤*"),
VLOOKUP("*赤*",商品マスタ一覧!$D:$J,7,FALSE),
VLOOKUP(EV210,商品マスタ一覧!$D:$J,7,FALSE)))*EY210,
FA210-IF(COUNTIF(EV210,"*キャラ*"),
VLOOKUP("*キャラ*",商品マスタ一覧!$D:$J,7,FALSE),
IF(COUNTIF(EV210,"*赤*"),
VLOOKUP("*赤*",商品マスタ一覧!$D:$J,7,FALSE),
VLOOKUP(EV210,商品マスタ一覧!$D:$J,7,FALSE)))*EY210),"")</f>
        <v/>
      </c>
      <c r="FA210" s="103" t="str">
        <f t="array" aca="1" ref="FA210" ca="1">IF(OR(INDIRECT("まとめ札!G"&amp;EU209&amp;"")="",INDIRECT("まとめ札!G"&amp;EU209&amp;"")=0),"",INDIRECT("まとめ札!G"&amp;EU209&amp;""))</f>
        <v/>
      </c>
      <c r="FB210" s="103"/>
      <c r="FC210" s="103" t="str">
        <f ca="1">IF(EV210&lt;&gt;"",
IF(OR(COUNTIF(EV210,"*キャラ*"),COUNTIF(EV210,"*赤*")),24,
VLOOKUP(EV210,商品マスタ一覧!$D:$I,6,FALSE)),"")</f>
        <v/>
      </c>
      <c r="FD210" s="103" t="str">
        <f t="shared" ca="1" si="15"/>
        <v/>
      </c>
      <c r="FE210" s="103" t="str">
        <f t="shared" ca="1" si="16"/>
        <v/>
      </c>
      <c r="FF210" s="103"/>
      <c r="FG210" s="103" t="str">
        <f t="shared" ca="1" si="17"/>
        <v/>
      </c>
      <c r="FH210" s="103" t="str">
        <f t="shared" ca="1" si="18"/>
        <v/>
      </c>
    </row>
    <row r="211" spans="151:164" x14ac:dyDescent="0.45">
      <c r="EU211" s="103"/>
      <c r="EV211" s="104" t="str">
        <f t="array" aca="1" ref="EV211" ca="1">IF(OR(INDIRECT("まとめ札!H"&amp;EU209&amp;"")="",INDIRECT("まとめ札!H"&amp;EU209&amp;"")=0),"",INDIRECT("まとめ札!A"&amp;EU209&amp;"")&amp;"【3】")</f>
        <v/>
      </c>
      <c r="EW211" s="104"/>
      <c r="EX211" s="104" t="str">
        <f>""</f>
        <v/>
      </c>
      <c r="EY211" s="104" t="str">
        <f ca="1">IF(EV211&lt;&gt;"",
IF(IF(COUNTIF(EV211,"*キャラ*"),
VLOOKUP("*キャラ*",商品マスタ一覧!$D:$J,7,FALSE),
IF(COUNTIF(EV211,"*赤*"),
VLOOKUP("*赤*",商品マスタ一覧!$D:$J,7,FALSE),
VLOOKUP(EV211,商品マスタ一覧!$D:$J,7,FALSE)))=0,"",
IF(FA211&lt;&gt;"",
IF(ROUND(
FA211/IF(COUNTIF(EV211,"*キャラ*"),
VLOOKUP("*キャラ*",商品マスタ一覧!$D:$J,7,FALSE),
IF(COUNTIF(EV211,"*赤*"),
VLOOKUP("*赤*",商品マスタ一覧!$D:$J,7,FALSE),
VLOOKUP(EV211,商品マスタ一覧!$D:$J,7,FALSE))),0)&lt;=0,1,
ROUND(
FA211/IF(COUNTIF(EV211,"*キャラ*"),
VLOOKUP("*キャラ*",商品マスタ一覧!$D:$J,7,FALSE),
IF(COUNTIF(EV211,"*赤*"),
VLOOKUP("*赤*",商品マスタ一覧!$D:$J,7,FALSE),
VLOOKUP(EV211,商品マスタ一覧!$D:$J,7,FALSE))),0)),"")),"")</f>
        <v/>
      </c>
      <c r="EZ211" s="105" t="str">
        <f ca="1">IF(EY211&lt;&gt;"",IF(VALUE(FA211)&gt;VALUE(IF(COUNTIF(EV211,"*キャラ*"),
VLOOKUP("*キャラ*",商品マスタ一覧!$D:$J,7,FALSE),
IF(COUNTIF(EV211,"*赤*"),
VLOOKUP("*赤*",商品マスタ一覧!$D:$J,7,FALSE),
VLOOKUP(EV211,商品マスタ一覧!$D:$J,7,FALSE)))*EY211),
"+"&amp;FA211-IF(COUNTIF(EV211,"*キャラ*"),
VLOOKUP("*キャラ*",商品マスタ一覧!$D:$J,7,FALSE),
IF(COUNTIF(EV211,"*赤*"),
VLOOKUP("*赤*",商品マスタ一覧!$D:$J,7,FALSE),
VLOOKUP(EV211,商品マスタ一覧!$D:$J,7,FALSE)))*EY211,
FA211-IF(COUNTIF(EV211,"*キャラ*"),
VLOOKUP("*キャラ*",商品マスタ一覧!$D:$J,7,FALSE),
IF(COUNTIF(EV211,"*赤*"),
VLOOKUP("*赤*",商品マスタ一覧!$D:$J,7,FALSE),
VLOOKUP(EV211,商品マスタ一覧!$D:$J,7,FALSE)))*EY211),"")</f>
        <v/>
      </c>
      <c r="FA211" s="103" t="str">
        <f t="array" aca="1" ref="FA211" ca="1">IF(OR(INDIRECT("まとめ札!H"&amp;EU209&amp;"")="",INDIRECT("まとめ札!H"&amp;EU209&amp;"")=0),"",INDIRECT("まとめ札!H"&amp;EU209&amp;""))</f>
        <v/>
      </c>
      <c r="FB211" s="103"/>
      <c r="FC211" s="103" t="str">
        <f ca="1">IF(EV211&lt;&gt;"",
IF(OR(COUNTIF(EV211,"*キャラ*"),COUNTIF(EV211,"*赤*")),24,
VLOOKUP(EV211,商品マスタ一覧!$D:$I,6,FALSE)),"")</f>
        <v/>
      </c>
      <c r="FD211" s="103" t="str">
        <f t="shared" ca="1" si="15"/>
        <v/>
      </c>
      <c r="FE211" s="103" t="str">
        <f t="shared" ca="1" si="16"/>
        <v/>
      </c>
      <c r="FF211" s="103"/>
      <c r="FG211" s="103" t="str">
        <f t="shared" ca="1" si="17"/>
        <v/>
      </c>
      <c r="FH211" s="103" t="str">
        <f t="shared" ca="1" si="18"/>
        <v/>
      </c>
    </row>
    <row r="212" spans="151:164" x14ac:dyDescent="0.45">
      <c r="EU212" s="103"/>
      <c r="EV212" s="104" t="str">
        <f t="array" aca="1" ref="EV212" ca="1">IF(OR(INDIRECT("まとめ札!I"&amp;EU209&amp;"")="",INDIRECT("まとめ札!I"&amp;EU209&amp;"")=0),"",INDIRECT("まとめ札!A"&amp;EU209&amp;"")&amp;"【4】")</f>
        <v/>
      </c>
      <c r="EW212" s="104"/>
      <c r="EX212" s="104" t="str">
        <f>""</f>
        <v/>
      </c>
      <c r="EY212" s="104" t="str">
        <f ca="1">IF(EV212&lt;&gt;"",
IF(IF(COUNTIF(EV212,"*キャラ*"),
VLOOKUP("*キャラ*",商品マスタ一覧!$D:$J,7,FALSE),
IF(COUNTIF(EV212,"*赤*"),
VLOOKUP("*赤*",商品マスタ一覧!$D:$J,7,FALSE),
VLOOKUP(EV212,商品マスタ一覧!$D:$J,7,FALSE)))=0,"",
IF(FA212&lt;&gt;"",
IF(ROUND(
FA212/IF(COUNTIF(EV212,"*キャラ*"),
VLOOKUP("*キャラ*",商品マスタ一覧!$D:$J,7,FALSE),
IF(COUNTIF(EV212,"*赤*"),
VLOOKUP("*赤*",商品マスタ一覧!$D:$J,7,FALSE),
VLOOKUP(EV212,商品マスタ一覧!$D:$J,7,FALSE))),0)&lt;=0,1,
ROUND(
FA212/IF(COUNTIF(EV212,"*キャラ*"),
VLOOKUP("*キャラ*",商品マスタ一覧!$D:$J,7,FALSE),
IF(COUNTIF(EV212,"*赤*"),
VLOOKUP("*赤*",商品マスタ一覧!$D:$J,7,FALSE),
VLOOKUP(EV212,商品マスタ一覧!$D:$J,7,FALSE))),0)),"")),"")</f>
        <v/>
      </c>
      <c r="EZ212" s="105" t="str">
        <f ca="1">IF(EY212&lt;&gt;"",IF(VALUE(FA212)&gt;VALUE(IF(COUNTIF(EV212,"*キャラ*"),
VLOOKUP("*キャラ*",商品マスタ一覧!$D:$J,7,FALSE),
IF(COUNTIF(EV212,"*赤*"),
VLOOKUP("*赤*",商品マスタ一覧!$D:$J,7,FALSE),
VLOOKUP(EV212,商品マスタ一覧!$D:$J,7,FALSE)))*EY212),
"+"&amp;FA212-IF(COUNTIF(EV212,"*キャラ*"),
VLOOKUP("*キャラ*",商品マスタ一覧!$D:$J,7,FALSE),
IF(COUNTIF(EV212,"*赤*"),
VLOOKUP("*赤*",商品マスタ一覧!$D:$J,7,FALSE),
VLOOKUP(EV212,商品マスタ一覧!$D:$J,7,FALSE)))*EY212,
FA212-IF(COUNTIF(EV212,"*キャラ*"),
VLOOKUP("*キャラ*",商品マスタ一覧!$D:$J,7,FALSE),
IF(COUNTIF(EV212,"*赤*"),
VLOOKUP("*赤*",商品マスタ一覧!$D:$J,7,FALSE),
VLOOKUP(EV212,商品マスタ一覧!$D:$J,7,FALSE)))*EY212),"")</f>
        <v/>
      </c>
      <c r="FA212" s="103" t="str">
        <f t="array" aca="1" ref="FA212" ca="1">IF(OR(INDIRECT("まとめ札!I"&amp;EU209&amp;"")="",INDIRECT("まとめ札!I"&amp;EU209&amp;"")=0),"",INDIRECT("まとめ札!I"&amp;EU209&amp;""))</f>
        <v/>
      </c>
      <c r="FB212" s="103"/>
      <c r="FC212" s="103" t="str">
        <f ca="1">IF(EV212&lt;&gt;"",
IF(OR(COUNTIF(EV212,"*キャラ*"),COUNTIF(EV212,"*赤*")),24,
VLOOKUP(EV212,商品マスタ一覧!$D:$I,6,FALSE)),"")</f>
        <v/>
      </c>
      <c r="FD212" s="103" t="str">
        <f t="shared" ca="1" si="15"/>
        <v/>
      </c>
      <c r="FE212" s="103" t="str">
        <f t="shared" ca="1" si="16"/>
        <v/>
      </c>
      <c r="FF212" s="103"/>
      <c r="FG212" s="103" t="str">
        <f t="shared" ca="1" si="17"/>
        <v/>
      </c>
      <c r="FH212" s="103" t="str">
        <f t="shared" ca="1" si="18"/>
        <v/>
      </c>
    </row>
    <row r="213" spans="151:164" x14ac:dyDescent="0.45">
      <c r="EU213" s="103">
        <v>9</v>
      </c>
      <c r="EV213" s="104" t="str">
        <f t="array" aca="1" ref="EV213" ca="1">IF(INDIRECT("まとめ札!A"&amp;EU213&amp;"")&lt;&gt;0,INDIRECT("まとめ札!A"&amp;EU213&amp;"")&amp;"【1】","")</f>
        <v>社食  【1】</v>
      </c>
      <c r="EW213" s="104"/>
      <c r="EX213" s="104" t="str">
        <f>""</f>
        <v/>
      </c>
      <c r="EY213" s="104" t="e">
        <f ca="1">IF(EV213&lt;&gt;"",
IF(IF(COUNTIF(EV213,"*キャラ*"),
VLOOKUP("*キャラ*",商品マスタ一覧!$D:$J,7,FALSE),
IF(COUNTIF(EV213,"*赤*"),
VLOOKUP("*赤*",商品マスタ一覧!$D:$J,7,FALSE),
VLOOKUP(EV213,商品マスタ一覧!$D:$J,7,FALSE)))=0,"",
IF(FA213&lt;&gt;"",
IF(ROUND(
FA213/IF(COUNTIF(EV213,"*キャラ*"),
VLOOKUP("*キャラ*",商品マスタ一覧!$D:$J,7,FALSE),
IF(COUNTIF(EV213,"*赤*"),
VLOOKUP("*赤*",商品マスタ一覧!$D:$J,7,FALSE),
VLOOKUP(EV213,商品マスタ一覧!$D:$J,7,FALSE))),0)&lt;=0,1,
ROUND(
FA213/IF(COUNTIF(EV213,"*キャラ*"),
VLOOKUP("*キャラ*",商品マスタ一覧!$D:$J,7,FALSE),
IF(COUNTIF(EV213,"*赤*"),
VLOOKUP("*赤*",商品マスタ一覧!$D:$J,7,FALSE),
VLOOKUP(EV213,商品マスタ一覧!$D:$J,7,FALSE))),0)),"")),"")</f>
        <v>#N/A</v>
      </c>
      <c r="EZ213" s="105" t="e">
        <f ca="1">IF(EY213&lt;&gt;"",IF(VALUE(FA213)&gt;VALUE(IF(COUNTIF(EV213,"*キャラ*"),
VLOOKUP("*キャラ*",商品マスタ一覧!$D:$J,7,FALSE),
IF(COUNTIF(EV213,"*赤*"),
VLOOKUP("*赤*",商品マスタ一覧!$D:$J,7,FALSE),
VLOOKUP(EV213,商品マスタ一覧!$D:$J,7,FALSE)))*EY213),
"+"&amp;FA213-IF(COUNTIF(EV213,"*キャラ*"),
VLOOKUP("*キャラ*",商品マスタ一覧!$D:$J,7,FALSE),
IF(COUNTIF(EV213,"*赤*"),
VLOOKUP("*赤*",商品マスタ一覧!$D:$J,7,FALSE),
VLOOKUP(EV213,商品マスタ一覧!$D:$J,7,FALSE)))*EY213,
FA213-IF(COUNTIF(EV213,"*キャラ*"),
VLOOKUP("*キャラ*",商品マスタ一覧!$D:$J,7,FALSE),
IF(COUNTIF(EV213,"*赤*"),
VLOOKUP("*赤*",商品マスタ一覧!$D:$J,7,FALSE),
VLOOKUP(EV213,商品マスタ一覧!$D:$J,7,FALSE)))*EY213),"")</f>
        <v>#N/A</v>
      </c>
      <c r="FA213" s="103" t="str">
        <f t="array" aca="1" ref="FA213" ca="1">IF(INDIRECT("まとめ札!F"&amp;EU213&amp;"")&lt;&gt;0,INDIRECT("まとめ札!F"&amp;EU213&amp;""),"")</f>
        <v/>
      </c>
      <c r="FB213" s="103"/>
      <c r="FC213" s="103" t="e">
        <f ca="1">IF(EV213&lt;&gt;"",
IF(OR(COUNTIF(EV213,"*キャラ*"),COUNTIF(EV213,"*赤*")),24,
VLOOKUP(EV213,商品マスタ一覧!$D:$I,6,FALSE)),"")</f>
        <v>#N/A</v>
      </c>
      <c r="FD213" s="103" t="str">
        <f t="shared" ca="1" si="15"/>
        <v/>
      </c>
      <c r="FE213" s="103" t="str">
        <f t="shared" ca="1" si="16"/>
        <v/>
      </c>
      <c r="FF213" s="103"/>
      <c r="FG213" s="103" t="str">
        <f t="shared" ca="1" si="17"/>
        <v/>
      </c>
      <c r="FH213" s="103" t="str">
        <f t="shared" ca="1" si="18"/>
        <v/>
      </c>
    </row>
    <row r="214" spans="151:164" x14ac:dyDescent="0.45">
      <c r="EU214" s="103"/>
      <c r="EV214" s="104" t="str">
        <f t="array" aca="1" ref="EV214" ca="1">IF(OR(INDIRECT("まとめ札!G"&amp;EU213&amp;"")="",INDIRECT("まとめ札!G"&amp;EU213&amp;"")=0),"",INDIRECT("まとめ札!A"&amp;EU213&amp;"")&amp;"【2】")</f>
        <v/>
      </c>
      <c r="EW214" s="104"/>
      <c r="EX214" s="104" t="str">
        <f>""</f>
        <v/>
      </c>
      <c r="EY214" s="104" t="str">
        <f ca="1">IF(EV214&lt;&gt;"",
IF(IF(COUNTIF(EV214,"*キャラ*"),
VLOOKUP("*キャラ*",商品マスタ一覧!$D:$J,7,FALSE),
IF(COUNTIF(EV214,"*赤*"),
VLOOKUP("*赤*",商品マスタ一覧!$D:$J,7,FALSE),
VLOOKUP(EV214,商品マスタ一覧!$D:$J,7,FALSE)))=0,"",
IF(FA214&lt;&gt;"",
IF(ROUND(
FA214/IF(COUNTIF(EV214,"*キャラ*"),
VLOOKUP("*キャラ*",商品マスタ一覧!$D:$J,7,FALSE),
IF(COUNTIF(EV214,"*赤*"),
VLOOKUP("*赤*",商品マスタ一覧!$D:$J,7,FALSE),
VLOOKUP(EV214,商品マスタ一覧!$D:$J,7,FALSE))),0)&lt;=0,1,
ROUND(
FA214/IF(COUNTIF(EV214,"*キャラ*"),
VLOOKUP("*キャラ*",商品マスタ一覧!$D:$J,7,FALSE),
IF(COUNTIF(EV214,"*赤*"),
VLOOKUP("*赤*",商品マスタ一覧!$D:$J,7,FALSE),
VLOOKUP(EV214,商品マスタ一覧!$D:$J,7,FALSE))),0)),"")),"")</f>
        <v/>
      </c>
      <c r="EZ214" s="105" t="str">
        <f ca="1">IF(EY214&lt;&gt;"",IF(VALUE(FA214)&gt;VALUE(IF(COUNTIF(EV214,"*キャラ*"),
VLOOKUP("*キャラ*",商品マスタ一覧!$D:$J,7,FALSE),
IF(COUNTIF(EV214,"*赤*"),
VLOOKUP("*赤*",商品マスタ一覧!$D:$J,7,FALSE),
VLOOKUP(EV214,商品マスタ一覧!$D:$J,7,FALSE)))*EY214),
"+"&amp;FA214-IF(COUNTIF(EV214,"*キャラ*"),
VLOOKUP("*キャラ*",商品マスタ一覧!$D:$J,7,FALSE),
IF(COUNTIF(EV214,"*赤*"),
VLOOKUP("*赤*",商品マスタ一覧!$D:$J,7,FALSE),
VLOOKUP(EV214,商品マスタ一覧!$D:$J,7,FALSE)))*EY214,
FA214-IF(COUNTIF(EV214,"*キャラ*"),
VLOOKUP("*キャラ*",商品マスタ一覧!$D:$J,7,FALSE),
IF(COUNTIF(EV214,"*赤*"),
VLOOKUP("*赤*",商品マスタ一覧!$D:$J,7,FALSE),
VLOOKUP(EV214,商品マスタ一覧!$D:$J,7,FALSE)))*EY214),"")</f>
        <v/>
      </c>
      <c r="FA214" s="103" t="str">
        <f t="array" aca="1" ref="FA214" ca="1">IF(OR(INDIRECT("まとめ札!G"&amp;EU213&amp;"")="",INDIRECT("まとめ札!G"&amp;EU213&amp;"")=0),"",INDIRECT("まとめ札!G"&amp;EU213&amp;""))</f>
        <v/>
      </c>
      <c r="FB214" s="103"/>
      <c r="FC214" s="103" t="str">
        <f ca="1">IF(EV214&lt;&gt;"",
IF(OR(COUNTIF(EV214,"*キャラ*"),COUNTIF(EV214,"*赤*")),24,
VLOOKUP(EV214,商品マスタ一覧!$D:$I,6,FALSE)),"")</f>
        <v/>
      </c>
      <c r="FD214" s="103" t="str">
        <f t="shared" ca="1" si="15"/>
        <v/>
      </c>
      <c r="FE214" s="103" t="str">
        <f t="shared" ca="1" si="16"/>
        <v/>
      </c>
      <c r="FF214" s="103"/>
      <c r="FG214" s="103" t="str">
        <f t="shared" ca="1" si="17"/>
        <v/>
      </c>
      <c r="FH214" s="103" t="str">
        <f t="shared" ca="1" si="18"/>
        <v/>
      </c>
    </row>
    <row r="215" spans="151:164" x14ac:dyDescent="0.45">
      <c r="EU215" s="103"/>
      <c r="EV215" s="104" t="str">
        <f t="array" aca="1" ref="EV215" ca="1">IF(OR(INDIRECT("まとめ札!H"&amp;EU213&amp;"")="",INDIRECT("まとめ札!H"&amp;EU213&amp;"")=0),"",INDIRECT("まとめ札!A"&amp;EU213&amp;"")&amp;"【3】")</f>
        <v/>
      </c>
      <c r="EW215" s="104"/>
      <c r="EX215" s="104" t="str">
        <f>""</f>
        <v/>
      </c>
      <c r="EY215" s="104" t="str">
        <f ca="1">IF(EV215&lt;&gt;"",
IF(IF(COUNTIF(EV215,"*キャラ*"),
VLOOKUP("*キャラ*",商品マスタ一覧!$D:$J,7,FALSE),
IF(COUNTIF(EV215,"*赤*"),
VLOOKUP("*赤*",商品マスタ一覧!$D:$J,7,FALSE),
VLOOKUP(EV215,商品マスタ一覧!$D:$J,7,FALSE)))=0,"",
IF(FA215&lt;&gt;"",
IF(ROUND(
FA215/IF(COUNTIF(EV215,"*キャラ*"),
VLOOKUP("*キャラ*",商品マスタ一覧!$D:$J,7,FALSE),
IF(COUNTIF(EV215,"*赤*"),
VLOOKUP("*赤*",商品マスタ一覧!$D:$J,7,FALSE),
VLOOKUP(EV215,商品マスタ一覧!$D:$J,7,FALSE))),0)&lt;=0,1,
ROUND(
FA215/IF(COUNTIF(EV215,"*キャラ*"),
VLOOKUP("*キャラ*",商品マスタ一覧!$D:$J,7,FALSE),
IF(COUNTIF(EV215,"*赤*"),
VLOOKUP("*赤*",商品マスタ一覧!$D:$J,7,FALSE),
VLOOKUP(EV215,商品マスタ一覧!$D:$J,7,FALSE))),0)),"")),"")</f>
        <v/>
      </c>
      <c r="EZ215" s="105" t="str">
        <f ca="1">IF(EY215&lt;&gt;"",IF(VALUE(FA215)&gt;VALUE(IF(COUNTIF(EV215,"*キャラ*"),
VLOOKUP("*キャラ*",商品マスタ一覧!$D:$J,7,FALSE),
IF(COUNTIF(EV215,"*赤*"),
VLOOKUP("*赤*",商品マスタ一覧!$D:$J,7,FALSE),
VLOOKUP(EV215,商品マスタ一覧!$D:$J,7,FALSE)))*EY215),
"+"&amp;FA215-IF(COUNTIF(EV215,"*キャラ*"),
VLOOKUP("*キャラ*",商品マスタ一覧!$D:$J,7,FALSE),
IF(COUNTIF(EV215,"*赤*"),
VLOOKUP("*赤*",商品マスタ一覧!$D:$J,7,FALSE),
VLOOKUP(EV215,商品マスタ一覧!$D:$J,7,FALSE)))*EY215,
FA215-IF(COUNTIF(EV215,"*キャラ*"),
VLOOKUP("*キャラ*",商品マスタ一覧!$D:$J,7,FALSE),
IF(COUNTIF(EV215,"*赤*"),
VLOOKUP("*赤*",商品マスタ一覧!$D:$J,7,FALSE),
VLOOKUP(EV215,商品マスタ一覧!$D:$J,7,FALSE)))*EY215),"")</f>
        <v/>
      </c>
      <c r="FA215" s="103" t="str">
        <f t="array" aca="1" ref="FA215" ca="1">IF(OR(INDIRECT("まとめ札!H"&amp;EU213&amp;"")="",INDIRECT("まとめ札!H"&amp;EU213&amp;"")=0),"",INDIRECT("まとめ札!H"&amp;EU213&amp;""))</f>
        <v/>
      </c>
      <c r="FB215" s="103"/>
      <c r="FC215" s="103" t="str">
        <f ca="1">IF(EV215&lt;&gt;"",
IF(OR(COUNTIF(EV215,"*キャラ*"),COUNTIF(EV215,"*赤*")),24,
VLOOKUP(EV215,商品マスタ一覧!$D:$I,6,FALSE)),"")</f>
        <v/>
      </c>
      <c r="FD215" s="103" t="str">
        <f t="shared" ca="1" si="15"/>
        <v/>
      </c>
      <c r="FE215" s="103" t="str">
        <f t="shared" ca="1" si="16"/>
        <v/>
      </c>
      <c r="FF215" s="103"/>
      <c r="FG215" s="103" t="str">
        <f t="shared" ca="1" si="17"/>
        <v/>
      </c>
      <c r="FH215" s="103" t="str">
        <f t="shared" ca="1" si="18"/>
        <v/>
      </c>
    </row>
    <row r="216" spans="151:164" x14ac:dyDescent="0.45">
      <c r="EU216" s="103"/>
      <c r="EV216" s="104" t="str">
        <f t="array" aca="1" ref="EV216" ca="1">IF(OR(INDIRECT("まとめ札!I"&amp;EU213&amp;"")="",INDIRECT("まとめ札!I"&amp;EU213&amp;"")=0),"",INDIRECT("まとめ札!A"&amp;EU213&amp;"")&amp;"【4】")</f>
        <v/>
      </c>
      <c r="EW216" s="104"/>
      <c r="EX216" s="104" t="str">
        <f>""</f>
        <v/>
      </c>
      <c r="EY216" s="104" t="str">
        <f ca="1">IF(EV216&lt;&gt;"",
IF(IF(COUNTIF(EV216,"*キャラ*"),
VLOOKUP("*キャラ*",商品マスタ一覧!$D:$J,7,FALSE),
IF(COUNTIF(EV216,"*赤*"),
VLOOKUP("*赤*",商品マスタ一覧!$D:$J,7,FALSE),
VLOOKUP(EV216,商品マスタ一覧!$D:$J,7,FALSE)))=0,"",
IF(FA216&lt;&gt;"",
IF(ROUND(
FA216/IF(COUNTIF(EV216,"*キャラ*"),
VLOOKUP("*キャラ*",商品マスタ一覧!$D:$J,7,FALSE),
IF(COUNTIF(EV216,"*赤*"),
VLOOKUP("*赤*",商品マスタ一覧!$D:$J,7,FALSE),
VLOOKUP(EV216,商品マスタ一覧!$D:$J,7,FALSE))),0)&lt;=0,1,
ROUND(
FA216/IF(COUNTIF(EV216,"*キャラ*"),
VLOOKUP("*キャラ*",商品マスタ一覧!$D:$J,7,FALSE),
IF(COUNTIF(EV216,"*赤*"),
VLOOKUP("*赤*",商品マスタ一覧!$D:$J,7,FALSE),
VLOOKUP(EV216,商品マスタ一覧!$D:$J,7,FALSE))),0)),"")),"")</f>
        <v/>
      </c>
      <c r="EZ216" s="105" t="str">
        <f ca="1">IF(EY216&lt;&gt;"",IF(VALUE(FA216)&gt;VALUE(IF(COUNTIF(EV216,"*キャラ*"),
VLOOKUP("*キャラ*",商品マスタ一覧!$D:$J,7,FALSE),
IF(COUNTIF(EV216,"*赤*"),
VLOOKUP("*赤*",商品マスタ一覧!$D:$J,7,FALSE),
VLOOKUP(EV216,商品マスタ一覧!$D:$J,7,FALSE)))*EY216),
"+"&amp;FA216-IF(COUNTIF(EV216,"*キャラ*"),
VLOOKUP("*キャラ*",商品マスタ一覧!$D:$J,7,FALSE),
IF(COUNTIF(EV216,"*赤*"),
VLOOKUP("*赤*",商品マスタ一覧!$D:$J,7,FALSE),
VLOOKUP(EV216,商品マスタ一覧!$D:$J,7,FALSE)))*EY216,
FA216-IF(COUNTIF(EV216,"*キャラ*"),
VLOOKUP("*キャラ*",商品マスタ一覧!$D:$J,7,FALSE),
IF(COUNTIF(EV216,"*赤*"),
VLOOKUP("*赤*",商品マスタ一覧!$D:$J,7,FALSE),
VLOOKUP(EV216,商品マスタ一覧!$D:$J,7,FALSE)))*EY216),"")</f>
        <v/>
      </c>
      <c r="FA216" s="103" t="str">
        <f t="array" aca="1" ref="FA216" ca="1">IF(OR(INDIRECT("まとめ札!I"&amp;EU213&amp;"")="",INDIRECT("まとめ札!I"&amp;EU213&amp;"")=0),"",INDIRECT("まとめ札!I"&amp;EU213&amp;""))</f>
        <v/>
      </c>
      <c r="FB216" s="103"/>
      <c r="FC216" s="103" t="str">
        <f ca="1">IF(EV216&lt;&gt;"",
IF(OR(COUNTIF(EV216,"*キャラ*"),COUNTIF(EV216,"*赤*")),24,
VLOOKUP(EV216,商品マスタ一覧!$D:$I,6,FALSE)),"")</f>
        <v/>
      </c>
      <c r="FD216" s="103" t="str">
        <f t="shared" ca="1" si="15"/>
        <v/>
      </c>
      <c r="FE216" s="103" t="str">
        <f t="shared" ca="1" si="16"/>
        <v/>
      </c>
      <c r="FF216" s="103"/>
      <c r="FG216" s="103" t="str">
        <f t="shared" ca="1" si="17"/>
        <v/>
      </c>
      <c r="FH216" s="103" t="str">
        <f t="shared" ca="1" si="18"/>
        <v/>
      </c>
    </row>
    <row r="217" spans="151:164" x14ac:dyDescent="0.45">
      <c r="EU217" s="112"/>
      <c r="EV217" s="113" t="str">
        <f t="array" aca="1" ref="EV217" ca="1">IFERROR(INDEX(先生札!$A$1:$N$24,SMALL(IF(先生札!$B$1:$B$24&lt;&gt;"",ROW(先生札!$B$1:$B$24),""),ROW(先生札!A1)),COLUMN(先生札!A$1)),"")</f>
        <v/>
      </c>
      <c r="EW217" s="113" t="str">
        <f t="array" aca="1" ref="EW217" ca="1">IFERROR(INDEX(先生札!$A$1:$N$24,SMALL(IF(先生札!$B$1:$B$24&lt;&gt;"",ROW(先生札!$B$1:$B$24),""),ROW(先生札!B1)),COLUMN(先生札!B$1)),"")</f>
        <v>商品予定名</v>
      </c>
      <c r="EX217" s="112" t="s">
        <v>38</v>
      </c>
      <c r="EY217" s="112" t="str">
        <f>""</f>
        <v/>
      </c>
      <c r="EZ217" s="112" t="str">
        <f>""</f>
        <v/>
      </c>
      <c r="FA217" s="112" t="str">
        <f>""</f>
        <v/>
      </c>
      <c r="FB217" s="112" t="str">
        <f t="array" aca="1" ref="FB217" ca="1">IFERROR(INDEX(先生札!$A$1:$N$24,SMALL(IF(先生札!$B$1:$B$24&lt;&gt;"",ROW(先生札!$B$1:$B$24),""),ROW(先生札!F1)),COLUMN(先生札!F$1)),"")</f>
        <v/>
      </c>
      <c r="FC217" s="112" t="str">
        <f>""</f>
        <v/>
      </c>
      <c r="FD217" s="112" t="str">
        <f>""</f>
        <v/>
      </c>
      <c r="FE217" s="112" t="str">
        <f>""</f>
        <v/>
      </c>
      <c r="FF217" s="112" t="str">
        <f>""</f>
        <v/>
      </c>
      <c r="FG217" s="112" t="str">
        <f t="shared" ca="1" si="17"/>
        <v/>
      </c>
      <c r="FH217" s="112" t="str">
        <f t="shared" ref="FH217:FH224" ca="1" si="19">IF(FB217&lt;&gt;"","TRUE","")</f>
        <v/>
      </c>
    </row>
    <row r="218" spans="151:164" x14ac:dyDescent="0.45">
      <c r="EU218" s="112"/>
      <c r="EV218" s="113" t="str">
        <f t="array" aca="1" ref="EV218" ca="1">IFERROR(INDEX(先生札!$A$1:$N$24,SMALL(IF(先生札!$B$1:$B$24&lt;&gt;"",ROW(先生札!$B$1:$B$24),""),ROW(先生札!A2)),COLUMN(先生札!A$1)),"")</f>
        <v/>
      </c>
      <c r="EW218" s="113" t="str">
        <f t="array" aca="1" ref="EW218" ca="1">IFERROR(INDEX(先生札!$A$1:$N$24,SMALL(IF(先生札!$B$1:$B$24&lt;&gt;"",ROW(先生札!$B$1:$B$24),""),ROW(先生札!B2)),COLUMN(先生札!B$1)),"")</f>
        <v/>
      </c>
      <c r="EX218" s="112" t="s">
        <v>38</v>
      </c>
      <c r="EY218" s="112" t="str">
        <f>""</f>
        <v/>
      </c>
      <c r="EZ218" s="112" t="str">
        <f>""</f>
        <v/>
      </c>
      <c r="FA218" s="112" t="str">
        <f>""</f>
        <v/>
      </c>
      <c r="FB218" s="112" t="str">
        <f t="array" aca="1" ref="FB218" ca="1">IFERROR(INDEX(先生札!$A$1:$N$24,SMALL(IF(先生札!$B$1:$B$24&lt;&gt;"",ROW(先生札!$B$1:$B$24),""),ROW(先生札!F2)),COLUMN(先生札!F$1)),"")</f>
        <v/>
      </c>
      <c r="FC218" s="112" t="str">
        <f>""</f>
        <v/>
      </c>
      <c r="FD218" s="112" t="str">
        <f>""</f>
        <v/>
      </c>
      <c r="FE218" s="112" t="str">
        <f>""</f>
        <v/>
      </c>
      <c r="FF218" s="112" t="str">
        <f>""</f>
        <v/>
      </c>
      <c r="FG218" s="112" t="str">
        <f t="shared" ca="1" si="17"/>
        <v/>
      </c>
      <c r="FH218" s="112" t="str">
        <f t="shared" ca="1" si="19"/>
        <v/>
      </c>
    </row>
    <row r="219" spans="151:164" x14ac:dyDescent="0.45">
      <c r="EU219" s="112"/>
      <c r="EV219" s="113" t="str">
        <f t="array" aca="1" ref="EV219" ca="1">IFERROR(INDEX(先生札!$A$1:$N$24,SMALL(IF(先生札!$B$1:$B$24&lt;&gt;"",ROW(先生札!$B$1:$B$24),""),ROW(先生札!A3)),COLUMN(先生札!A$1)),"")</f>
        <v/>
      </c>
      <c r="EW219" s="113" t="str">
        <f t="array" aca="1" ref="EW219" ca="1">IFERROR(INDEX(先生札!$A$1:$N$24,SMALL(IF(先生札!$B$1:$B$24&lt;&gt;"",ROW(先生札!$B$1:$B$24),""),ROW(先生札!B3)),COLUMN(先生札!B$1)),"")</f>
        <v/>
      </c>
      <c r="EX219" s="112" t="s">
        <v>38</v>
      </c>
      <c r="EY219" s="112" t="str">
        <f>""</f>
        <v/>
      </c>
      <c r="EZ219" s="112" t="str">
        <f>""</f>
        <v/>
      </c>
      <c r="FA219" s="112" t="str">
        <f>""</f>
        <v/>
      </c>
      <c r="FB219" s="112" t="str">
        <f t="array" aca="1" ref="FB219" ca="1">IFERROR(INDEX(先生札!$A$1:$N$24,SMALL(IF(先生札!$B$1:$B$24&lt;&gt;"",ROW(先生札!$B$1:$B$24),""),ROW(先生札!F3)),COLUMN(先生札!F$1)),"")</f>
        <v/>
      </c>
      <c r="FC219" s="112" t="str">
        <f>""</f>
        <v/>
      </c>
      <c r="FD219" s="112" t="str">
        <f>""</f>
        <v/>
      </c>
      <c r="FE219" s="112" t="str">
        <f>""</f>
        <v/>
      </c>
      <c r="FF219" s="112" t="str">
        <f>""</f>
        <v/>
      </c>
      <c r="FG219" s="112" t="str">
        <f t="shared" ca="1" si="17"/>
        <v/>
      </c>
      <c r="FH219" s="112" t="str">
        <f t="shared" ca="1" si="19"/>
        <v/>
      </c>
    </row>
    <row r="220" spans="151:164" x14ac:dyDescent="0.45">
      <c r="EU220" s="112"/>
      <c r="EV220" s="113" t="str">
        <f t="array" aca="1" ref="EV220" ca="1">IFERROR(INDEX(先生札!$A$1:$N$24,SMALL(IF(先生札!$B$1:$B$24&lt;&gt;"",ROW(先生札!$B$1:$B$24),""),ROW(先生札!A4)),COLUMN(先生札!A$1)),"")</f>
        <v/>
      </c>
      <c r="EW220" s="113" t="str">
        <f t="array" aca="1" ref="EW220" ca="1">IFERROR(INDEX(先生札!$A$1:$N$24,SMALL(IF(先生札!$B$1:$B$24&lt;&gt;"",ROW(先生札!$B$1:$B$24),""),ROW(先生札!B4)),COLUMN(先生札!B$1)),"")</f>
        <v/>
      </c>
      <c r="EX220" s="112" t="s">
        <v>38</v>
      </c>
      <c r="EY220" s="112" t="str">
        <f>""</f>
        <v/>
      </c>
      <c r="EZ220" s="112" t="str">
        <f>""</f>
        <v/>
      </c>
      <c r="FA220" s="112" t="str">
        <f>""</f>
        <v/>
      </c>
      <c r="FB220" s="112" t="str">
        <f t="array" aca="1" ref="FB220" ca="1">IFERROR(INDEX(先生札!$A$1:$N$24,SMALL(IF(先生札!$B$1:$B$24&lt;&gt;"",ROW(先生札!$B$1:$B$24),""),ROW(先生札!F4)),COLUMN(先生札!F$1)),"")</f>
        <v/>
      </c>
      <c r="FC220" s="112" t="str">
        <f>""</f>
        <v/>
      </c>
      <c r="FD220" s="112" t="str">
        <f>""</f>
        <v/>
      </c>
      <c r="FE220" s="112" t="str">
        <f>""</f>
        <v/>
      </c>
      <c r="FF220" s="112" t="str">
        <f>""</f>
        <v/>
      </c>
      <c r="FG220" s="112" t="str">
        <f t="shared" ca="1" si="17"/>
        <v/>
      </c>
      <c r="FH220" s="112" t="str">
        <f t="shared" ca="1" si="19"/>
        <v/>
      </c>
    </row>
    <row r="221" spans="151:164" x14ac:dyDescent="0.45">
      <c r="EU221" s="112"/>
      <c r="EV221" s="113" t="str">
        <f t="array" aca="1" ref="EV221" ca="1">IFERROR(INDEX(先生札!$A$1:$N$24,SMALL(IF(先生札!$B$1:$B$24&lt;&gt;"",ROW(先生札!$B$1:$B$24),""),ROW(先生札!A5)),COLUMN(先生札!A$1)),"")</f>
        <v/>
      </c>
      <c r="EW221" s="113" t="str">
        <f t="array" aca="1" ref="EW221" ca="1">IFERROR(INDEX(先生札!$A$1:$N$24,SMALL(IF(先生札!$B$1:$B$24&lt;&gt;"",ROW(先生札!$B$1:$B$24),""),ROW(先生札!B5)),COLUMN(先生札!B$1)),"")</f>
        <v/>
      </c>
      <c r="EX221" s="112" t="s">
        <v>38</v>
      </c>
      <c r="EY221" s="112" t="str">
        <f>""</f>
        <v/>
      </c>
      <c r="EZ221" s="112" t="str">
        <f>""</f>
        <v/>
      </c>
      <c r="FA221" s="112" t="str">
        <f>""</f>
        <v/>
      </c>
      <c r="FB221" s="112" t="str">
        <f t="array" aca="1" ref="FB221" ca="1">IFERROR(INDEX(先生札!$A$1:$N$24,SMALL(IF(先生札!$B$1:$B$24&lt;&gt;"",ROW(先生札!$B$1:$B$24),""),ROW(先生札!F5)),COLUMN(先生札!F$1)),"")</f>
        <v/>
      </c>
      <c r="FC221" s="112" t="str">
        <f>""</f>
        <v/>
      </c>
      <c r="FD221" s="112" t="str">
        <f>""</f>
        <v/>
      </c>
      <c r="FE221" s="112" t="str">
        <f>""</f>
        <v/>
      </c>
      <c r="FF221" s="112" t="str">
        <f>""</f>
        <v/>
      </c>
      <c r="FG221" s="112" t="str">
        <f t="shared" ca="1" si="17"/>
        <v/>
      </c>
      <c r="FH221" s="112" t="str">
        <f t="shared" ca="1" si="19"/>
        <v/>
      </c>
    </row>
    <row r="222" spans="151:164" x14ac:dyDescent="0.45">
      <c r="EU222" s="112"/>
      <c r="EV222" s="113" t="str">
        <f t="array" aca="1" ref="EV222" ca="1">IFERROR(INDEX(先生札!$A$1:$N$24,SMALL(IF(先生札!$B$1:$B$24&lt;&gt;"",ROW(先生札!$B$1:$B$24),""),ROW(先生札!A6)),COLUMN(先生札!A$1)),"")</f>
        <v/>
      </c>
      <c r="EW222" s="113" t="str">
        <f t="array" aca="1" ref="EW222" ca="1">IFERROR(INDEX(先生札!$A$1:$N$24,SMALL(IF(先生札!$B$1:$B$24&lt;&gt;"",ROW(先生札!$B$1:$B$24),""),ROW(先生札!B6)),COLUMN(先生札!B$1)),"")</f>
        <v/>
      </c>
      <c r="EX222" s="112" t="s">
        <v>38</v>
      </c>
      <c r="EY222" s="112" t="str">
        <f>""</f>
        <v/>
      </c>
      <c r="EZ222" s="112" t="str">
        <f>""</f>
        <v/>
      </c>
      <c r="FA222" s="112" t="str">
        <f>""</f>
        <v/>
      </c>
      <c r="FB222" s="112" t="str">
        <f t="array" aca="1" ref="FB222" ca="1">IFERROR(INDEX(先生札!$A$1:$N$24,SMALL(IF(先生札!$B$1:$B$24&lt;&gt;"",ROW(先生札!$B$1:$B$24),""),ROW(先生札!F6)),COLUMN(先生札!F$1)),"")</f>
        <v/>
      </c>
      <c r="FC222" s="112" t="str">
        <f>""</f>
        <v/>
      </c>
      <c r="FD222" s="112" t="str">
        <f>""</f>
        <v/>
      </c>
      <c r="FE222" s="112" t="str">
        <f>""</f>
        <v/>
      </c>
      <c r="FF222" s="112" t="str">
        <f>""</f>
        <v/>
      </c>
      <c r="FG222" s="112" t="str">
        <f t="shared" ca="1" si="17"/>
        <v/>
      </c>
      <c r="FH222" s="112" t="str">
        <f t="shared" ca="1" si="19"/>
        <v/>
      </c>
    </row>
    <row r="223" spans="151:164" x14ac:dyDescent="0.45">
      <c r="EU223" s="112"/>
      <c r="EV223" s="113" t="str">
        <f t="array" aca="1" ref="EV223" ca="1">IFERROR(INDEX(先生札!$A$1:$N$24,SMALL(IF(先生札!$B$1:$B$24&lt;&gt;"",ROW(先生札!$B$1:$B$24),""),ROW(先生札!A7)),COLUMN(先生札!A$1)),"")</f>
        <v/>
      </c>
      <c r="EW223" s="113" t="str">
        <f t="array" aca="1" ref="EW223" ca="1">IFERROR(INDEX(先生札!$A$1:$N$24,SMALL(IF(先生札!$B$1:$B$24&lt;&gt;"",ROW(先生札!$B$1:$B$24),""),ROW(先生札!B7)),COLUMN(先生札!B$1)),"")</f>
        <v/>
      </c>
      <c r="EX223" s="112" t="s">
        <v>38</v>
      </c>
      <c r="EY223" s="112" t="str">
        <f>""</f>
        <v/>
      </c>
      <c r="EZ223" s="112" t="str">
        <f>""</f>
        <v/>
      </c>
      <c r="FA223" s="112" t="str">
        <f>""</f>
        <v/>
      </c>
      <c r="FB223" s="112" t="str">
        <f t="array" aca="1" ref="FB223" ca="1">IFERROR(INDEX(先生札!$A$1:$N$24,SMALL(IF(先生札!$B$1:$B$24&lt;&gt;"",ROW(先生札!$B$1:$B$24),""),ROW(先生札!F7)),COLUMN(先生札!F$1)),"")</f>
        <v/>
      </c>
      <c r="FC223" s="112" t="str">
        <f>""</f>
        <v/>
      </c>
      <c r="FD223" s="112" t="str">
        <f>""</f>
        <v/>
      </c>
      <c r="FE223" s="112" t="str">
        <f>""</f>
        <v/>
      </c>
      <c r="FF223" s="112" t="str">
        <f>""</f>
        <v/>
      </c>
      <c r="FG223" s="112" t="str">
        <f t="shared" ca="1" si="17"/>
        <v/>
      </c>
      <c r="FH223" s="112" t="str">
        <f t="shared" ca="1" si="19"/>
        <v/>
      </c>
    </row>
    <row r="224" spans="151:164" x14ac:dyDescent="0.45">
      <c r="EU224" s="112"/>
      <c r="EV224" s="113" t="str">
        <f t="array" aca="1" ref="EV224" ca="1">IFERROR(INDEX(先生札!$A$1:$N$24,SMALL(IF(先生札!$B$1:$B$24&lt;&gt;"",ROW(先生札!$B$1:$B$24),""),ROW(先生札!A8)),COLUMN(先生札!A$1)),"")</f>
        <v/>
      </c>
      <c r="EW224" s="113" t="str">
        <f t="array" aca="1" ref="EW224" ca="1">IFERROR(INDEX(先生札!$A$1:$N$24,SMALL(IF(先生札!$B$1:$B$24&lt;&gt;"",ROW(先生札!$B$1:$B$24),""),ROW(先生札!B8)),COLUMN(先生札!B$1)),"")</f>
        <v/>
      </c>
      <c r="EX224" s="112" t="s">
        <v>38</v>
      </c>
      <c r="EY224" s="112" t="str">
        <f>""</f>
        <v/>
      </c>
      <c r="EZ224" s="112" t="str">
        <f>""</f>
        <v/>
      </c>
      <c r="FA224" s="112" t="str">
        <f>""</f>
        <v/>
      </c>
      <c r="FB224" s="112" t="str">
        <f t="array" aca="1" ref="FB224" ca="1">IFERROR(INDEX(先生札!$A$1:$N$24,SMALL(IF(先生札!$B$1:$B$24&lt;&gt;"",ROW(先生札!$B$1:$B$24),""),ROW(先生札!F8)),COLUMN(先生札!F$1)),"")</f>
        <v/>
      </c>
      <c r="FC224" s="112" t="str">
        <f>""</f>
        <v/>
      </c>
      <c r="FD224" s="112" t="str">
        <f>""</f>
        <v/>
      </c>
      <c r="FE224" s="112" t="str">
        <f>""</f>
        <v/>
      </c>
      <c r="FF224" s="112" t="str">
        <f>""</f>
        <v/>
      </c>
      <c r="FG224" s="112" t="str">
        <f t="shared" ca="1" si="17"/>
        <v/>
      </c>
      <c r="FH224" s="112" t="str">
        <f t="shared" ca="1" si="19"/>
        <v/>
      </c>
    </row>
    <row r="225" spans="151:164" x14ac:dyDescent="0.45">
      <c r="EU225" s="122"/>
      <c r="EV225" s="123" t="str">
        <f>社食等の札!A1</f>
        <v>社食</v>
      </c>
      <c r="EW225" s="123" t="str">
        <f ca="1">社食等の札!H1</f>
        <v/>
      </c>
      <c r="EX225" s="123" t="str">
        <f ca="1">社食等の札!I1</f>
        <v/>
      </c>
      <c r="EY225" s="123"/>
      <c r="EZ225" s="123"/>
      <c r="FA225" s="122" t="e">
        <f ca="1">社食等の札!E1</f>
        <v>#N/A</v>
      </c>
      <c r="FB225" s="122" t="str">
        <f>""</f>
        <v/>
      </c>
      <c r="FC225" s="122" t="e">
        <f ca="1">社食等の札!G1</f>
        <v>#N/A</v>
      </c>
      <c r="FD225" s="122"/>
      <c r="FE225" s="122" t="str">
        <f ca="1">社食等の札!J1</f>
        <v/>
      </c>
      <c r="FF225" s="122"/>
      <c r="FG225" s="122">
        <f t="shared" si="17"/>
        <v>225</v>
      </c>
      <c r="FH225" s="122" t="str">
        <f>IF(EV225&lt;&gt;"","TRUE","")</f>
        <v>TRUE</v>
      </c>
    </row>
    <row r="226" spans="151:164" x14ac:dyDescent="0.45">
      <c r="EU226" s="122"/>
      <c r="EV226" s="123" t="str">
        <f>社食等の札!A2</f>
        <v>社食</v>
      </c>
      <c r="EW226" s="123" t="str">
        <f ca="1">社食等の札!H2</f>
        <v/>
      </c>
      <c r="EX226" s="123" t="str">
        <f ca="1">社食等の札!I2</f>
        <v/>
      </c>
      <c r="EY226" s="123"/>
      <c r="EZ226" s="123"/>
      <c r="FA226" s="122" t="str">
        <f>""</f>
        <v/>
      </c>
      <c r="FB226" s="122" t="e">
        <f ca="1">社食等の札!F2</f>
        <v>#N/A</v>
      </c>
      <c r="FC226" s="122" t="e">
        <f ca="1">社食等の札!G2</f>
        <v>#N/A</v>
      </c>
      <c r="FD226" s="122"/>
      <c r="FE226" s="122" t="str">
        <f ca="1">社食等の札!J2</f>
        <v/>
      </c>
      <c r="FF226" s="122"/>
      <c r="FG226" s="122">
        <f t="shared" si="17"/>
        <v>226</v>
      </c>
      <c r="FH226" s="122" t="str">
        <f>IF(EV226&lt;&gt;"","TRUE","")</f>
        <v>TRUE</v>
      </c>
    </row>
    <row r="227" spans="151:164" x14ac:dyDescent="0.45">
      <c r="EU227" s="122"/>
      <c r="EV227" s="123" t="str">
        <f ca="1">社食等の札!A7</f>
        <v/>
      </c>
      <c r="EW227" s="123" t="str">
        <f ca="1">社食等の札!H7</f>
        <v/>
      </c>
      <c r="EX227" s="123"/>
      <c r="EY227" s="123"/>
      <c r="EZ227" s="123"/>
      <c r="FA227" s="122" t="str">
        <f ca="1">社食等の札!E7</f>
        <v/>
      </c>
      <c r="FB227" s="122" t="str">
        <f>""</f>
        <v/>
      </c>
      <c r="FC227" s="122" t="str">
        <f ca="1">社食等の札!G7</f>
        <v/>
      </c>
      <c r="FD227" s="122"/>
      <c r="FE227" s="122" t="str">
        <f ca="1">社食等の札!J7</f>
        <v/>
      </c>
      <c r="FF227" s="122"/>
      <c r="FG227" s="122" t="str">
        <f t="shared" ca="1" si="17"/>
        <v/>
      </c>
      <c r="FH227" s="122" t="str">
        <f ca="1">IF(EV227&lt;&gt;"","TRUE","")</f>
        <v/>
      </c>
    </row>
    <row r="228" spans="151:164" x14ac:dyDescent="0.45">
      <c r="EU228" s="122"/>
      <c r="EV228" s="123" t="str">
        <f ca="1">社食等の札!A8</f>
        <v/>
      </c>
      <c r="EW228" s="123" t="str">
        <f ca="1">社食等の札!H8</f>
        <v/>
      </c>
      <c r="EX228" s="123"/>
      <c r="EY228" s="123"/>
      <c r="EZ228" s="123"/>
      <c r="FA228" s="122" t="str">
        <f>""</f>
        <v/>
      </c>
      <c r="FB228" s="122" t="str">
        <f ca="1">社食等の札!F8</f>
        <v/>
      </c>
      <c r="FC228" s="122" t="str">
        <f ca="1">社食等の札!G8</f>
        <v/>
      </c>
      <c r="FD228" s="122"/>
      <c r="FE228" s="122" t="str">
        <f ca="1">社食等の札!J8</f>
        <v/>
      </c>
      <c r="FF228" s="122"/>
      <c r="FG228" s="122" t="str">
        <f t="shared" ca="1" si="17"/>
        <v/>
      </c>
      <c r="FH228" s="122" t="str">
        <f ca="1">IF(EV228&lt;&gt;"","TRUE","")</f>
        <v/>
      </c>
    </row>
  </sheetData>
  <mergeCells count="2880">
    <mergeCell ref="Q126:R126"/>
    <mergeCell ref="S126:T126"/>
    <mergeCell ref="U126:V126"/>
    <mergeCell ref="X126:Y126"/>
    <mergeCell ref="Z126:AA126"/>
    <mergeCell ref="AB126:AC126"/>
    <mergeCell ref="R123:S124"/>
    <mergeCell ref="T123:U124"/>
    <mergeCell ref="Y123:Z124"/>
    <mergeCell ref="AA123:AB124"/>
    <mergeCell ref="R122:S122"/>
    <mergeCell ref="T122:U122"/>
    <mergeCell ref="Y122:Z122"/>
    <mergeCell ref="AA122:AB122"/>
    <mergeCell ref="R120:U120"/>
    <mergeCell ref="Y120:AB120"/>
    <mergeCell ref="Q119:R119"/>
    <mergeCell ref="S119:T119"/>
    <mergeCell ref="U119:V119"/>
    <mergeCell ref="X119:Y119"/>
    <mergeCell ref="Z119:AA119"/>
    <mergeCell ref="AB119:AC119"/>
    <mergeCell ref="R116:S117"/>
    <mergeCell ref="T116:U117"/>
    <mergeCell ref="Y116:Z117"/>
    <mergeCell ref="AA116:AB117"/>
    <mergeCell ref="R115:S115"/>
    <mergeCell ref="T115:U115"/>
    <mergeCell ref="Y115:Z115"/>
    <mergeCell ref="AA115:AB115"/>
    <mergeCell ref="R113:U113"/>
    <mergeCell ref="Y113:AB113"/>
    <mergeCell ref="Q112:R112"/>
    <mergeCell ref="S112:T112"/>
    <mergeCell ref="U112:V112"/>
    <mergeCell ref="X112:Y112"/>
    <mergeCell ref="Z112:AA112"/>
    <mergeCell ref="AB112:AC112"/>
    <mergeCell ref="R109:S110"/>
    <mergeCell ref="T109:U110"/>
    <mergeCell ref="Y109:Z110"/>
    <mergeCell ref="AA109:AB110"/>
    <mergeCell ref="R108:S108"/>
    <mergeCell ref="T108:U108"/>
    <mergeCell ref="Y108:Z108"/>
    <mergeCell ref="AA108:AB108"/>
    <mergeCell ref="R106:U106"/>
    <mergeCell ref="Y106:AB106"/>
    <mergeCell ref="Q105:R105"/>
    <mergeCell ref="S105:T105"/>
    <mergeCell ref="U105:V105"/>
    <mergeCell ref="X105:Y105"/>
    <mergeCell ref="Z105:AA105"/>
    <mergeCell ref="AB105:AC105"/>
    <mergeCell ref="R102:S103"/>
    <mergeCell ref="T102:U103"/>
    <mergeCell ref="Y102:Z103"/>
    <mergeCell ref="AA102:AB103"/>
    <mergeCell ref="R101:S101"/>
    <mergeCell ref="T101:U101"/>
    <mergeCell ref="Y101:Z101"/>
    <mergeCell ref="AA101:AB101"/>
    <mergeCell ref="R99:U99"/>
    <mergeCell ref="Y99:AB99"/>
    <mergeCell ref="Q98:R98"/>
    <mergeCell ref="S98:T98"/>
    <mergeCell ref="U98:V98"/>
    <mergeCell ref="X98:Y98"/>
    <mergeCell ref="Z98:AA98"/>
    <mergeCell ref="AB98:AC98"/>
    <mergeCell ref="R95:S96"/>
    <mergeCell ref="T95:U96"/>
    <mergeCell ref="Y95:Z96"/>
    <mergeCell ref="AA95:AB96"/>
    <mergeCell ref="R94:S94"/>
    <mergeCell ref="T94:U94"/>
    <mergeCell ref="Y94:Z94"/>
    <mergeCell ref="AA94:AB94"/>
    <mergeCell ref="R92:U92"/>
    <mergeCell ref="Y92:AB92"/>
    <mergeCell ref="EI49:EJ49"/>
    <mergeCell ref="T39:U40"/>
    <mergeCell ref="Q91:R91"/>
    <mergeCell ref="S91:T91"/>
    <mergeCell ref="U91:V91"/>
    <mergeCell ref="X91:Y91"/>
    <mergeCell ref="Z91:AA91"/>
    <mergeCell ref="AB91:AC91"/>
    <mergeCell ref="R88:S89"/>
    <mergeCell ref="T88:U89"/>
    <mergeCell ref="Y88:Z89"/>
    <mergeCell ref="AA88:AB89"/>
    <mergeCell ref="R87:S87"/>
    <mergeCell ref="T87:U87"/>
    <mergeCell ref="Y87:Z87"/>
    <mergeCell ref="AA87:AB87"/>
    <mergeCell ref="R85:U85"/>
    <mergeCell ref="Y85:AB85"/>
    <mergeCell ref="BS84:BT84"/>
    <mergeCell ref="AJ84:AK84"/>
    <mergeCell ref="AO84:AP84"/>
    <mergeCell ref="AN85:AQ85"/>
    <mergeCell ref="AN87:AO87"/>
    <mergeCell ref="AP87:AQ87"/>
    <mergeCell ref="AN88:AO89"/>
    <mergeCell ref="AP88:AQ89"/>
    <mergeCell ref="AM91:AN91"/>
    <mergeCell ref="AO91:AP91"/>
    <mergeCell ref="AQ91:AR91"/>
    <mergeCell ref="AV85:AY85"/>
    <mergeCell ref="BC85:BF85"/>
    <mergeCell ref="AV87:AW87"/>
    <mergeCell ref="DU52:DV52"/>
    <mergeCell ref="DR7:DS7"/>
    <mergeCell ref="C74:D75"/>
    <mergeCell ref="BZ81:CA82"/>
    <mergeCell ref="AN74:AO75"/>
    <mergeCell ref="AA59:AB59"/>
    <mergeCell ref="R66:S66"/>
    <mergeCell ref="DZ80:EA80"/>
    <mergeCell ref="ER28:ES28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K57:DN57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EO3:EP3"/>
    <mergeCell ref="BK11:BL12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DS8:DV8"/>
    <mergeCell ref="BZ57:CC57"/>
    <mergeCell ref="DG70:DH70"/>
    <mergeCell ref="C45:D45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DF46:DG47"/>
    <mergeCell ref="X35:Y35"/>
    <mergeCell ref="CX80:CY80"/>
    <mergeCell ref="EQ66:ER66"/>
    <mergeCell ref="CB32:CC3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DD57:DG57"/>
    <mergeCell ref="EK70:EL70"/>
    <mergeCell ref="Z21:AA21"/>
    <mergeCell ref="EJ74:EK75"/>
    <mergeCell ref="Y50:AB50"/>
    <mergeCell ref="CR70:CS70"/>
    <mergeCell ref="DJ28:DK28"/>
    <mergeCell ref="CP7:CQ7"/>
    <mergeCell ref="CR42:CS42"/>
    <mergeCell ref="DD22:DG22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CY28:CZ28"/>
    <mergeCell ref="AA52:AB52"/>
    <mergeCell ref="BT18:BU19"/>
    <mergeCell ref="R31:S31"/>
    <mergeCell ref="BT53:BU54"/>
    <mergeCell ref="AG74:AH75"/>
    <mergeCell ref="L81:M82"/>
    <mergeCell ref="D56:E56"/>
    <mergeCell ref="AB49:AC49"/>
    <mergeCell ref="C18:D19"/>
    <mergeCell ref="BM46:BN47"/>
    <mergeCell ref="CV64:CY64"/>
    <mergeCell ref="BR38:BS38"/>
    <mergeCell ref="BY28:BZ28"/>
    <mergeCell ref="AM21:AN21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AV73:AW73"/>
    <mergeCell ref="K63:L63"/>
    <mergeCell ref="CF7:CG7"/>
    <mergeCell ref="AG29:AJ29"/>
    <mergeCell ref="CH63:CI63"/>
    <mergeCell ref="CO59:CP59"/>
    <mergeCell ref="BD28:BE28"/>
    <mergeCell ref="CV71:CY71"/>
    <mergeCell ref="Z14:AA14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AW63:AX63"/>
    <mergeCell ref="J53:K54"/>
    <mergeCell ref="DJ35:DK35"/>
    <mergeCell ref="CP14:CQ14"/>
    <mergeCell ref="Z84:AA84"/>
    <mergeCell ref="BL84:BM84"/>
    <mergeCell ref="BD84:BE84"/>
    <mergeCell ref="DT56:DU56"/>
    <mergeCell ref="AN25:AO26"/>
    <mergeCell ref="EB18:EC19"/>
    <mergeCell ref="AG17:AH17"/>
    <mergeCell ref="DG56:DH56"/>
    <mergeCell ref="AN36:AQ36"/>
    <mergeCell ref="EC7:ED7"/>
    <mergeCell ref="BT46:BU47"/>
    <mergeCell ref="BC59:BD59"/>
    <mergeCell ref="AI38:AJ38"/>
    <mergeCell ref="EH31:EI31"/>
    <mergeCell ref="CV24:CW24"/>
    <mergeCell ref="I7:J7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ER77:ES77"/>
    <mergeCell ref="EH60:EI61"/>
    <mergeCell ref="Y74:Z75"/>
    <mergeCell ref="DZ17:EA17"/>
    <mergeCell ref="BE80:BF80"/>
    <mergeCell ref="EQ11:ER12"/>
    <mergeCell ref="BZ66:CA66"/>
    <mergeCell ref="J25:K26"/>
    <mergeCell ref="J45:K45"/>
    <mergeCell ref="T80:U80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EP70:EQ70"/>
    <mergeCell ref="BE67:BF68"/>
    <mergeCell ref="EB73:EC73"/>
    <mergeCell ref="AY42:AZ42"/>
    <mergeCell ref="BK22:BN22"/>
    <mergeCell ref="EJ39:EK40"/>
    <mergeCell ref="DL56:DM56"/>
    <mergeCell ref="CR35:CS35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CX74:CY75"/>
    <mergeCell ref="E74:F75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BN49:BO49"/>
    <mergeCell ref="U56:V56"/>
    <mergeCell ref="AB77:AC77"/>
    <mergeCell ref="BN42:BO42"/>
    <mergeCell ref="BK46:BL47"/>
    <mergeCell ref="CF49:CG49"/>
    <mergeCell ref="BL28:BM28"/>
    <mergeCell ref="BZ43:CC43"/>
    <mergeCell ref="AV17:AW17"/>
    <mergeCell ref="AY56:AZ56"/>
    <mergeCell ref="DS29:DV29"/>
    <mergeCell ref="BF77:BG77"/>
    <mergeCell ref="BY49:BZ49"/>
    <mergeCell ref="CG18:CH19"/>
    <mergeCell ref="BE3:BF3"/>
    <mergeCell ref="X70:Y70"/>
    <mergeCell ref="J73:K73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C1:F1"/>
    <mergeCell ref="DM81:DN82"/>
    <mergeCell ref="CW21:CX21"/>
    <mergeCell ref="Y45:Z45"/>
    <mergeCell ref="BU49:BV49"/>
    <mergeCell ref="BR11:BS12"/>
    <mergeCell ref="AH70:AI70"/>
    <mergeCell ref="M7:N7"/>
    <mergeCell ref="DE84:DF84"/>
    <mergeCell ref="DC84:DD84"/>
    <mergeCell ref="C8:F8"/>
    <mergeCell ref="E11:F12"/>
    <mergeCell ref="B56:C56"/>
    <mergeCell ref="F7:G7"/>
    <mergeCell ref="C50:F50"/>
    <mergeCell ref="AI4:AJ5"/>
    <mergeCell ref="Y46:Z47"/>
    <mergeCell ref="DF38:DG38"/>
    <mergeCell ref="DM39:DN40"/>
    <mergeCell ref="R45:S45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EO74:EP75"/>
    <mergeCell ref="DU53:DV54"/>
    <mergeCell ref="CW70:CX70"/>
    <mergeCell ref="L67:M68"/>
    <mergeCell ref="AV8:AY8"/>
    <mergeCell ref="BK73:BL73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CU7:CV7"/>
    <mergeCell ref="EH73:EI73"/>
    <mergeCell ref="CQ39:CR40"/>
    <mergeCell ref="DK78:DN78"/>
    <mergeCell ref="AU56:AV56"/>
    <mergeCell ref="AY7:AZ7"/>
    <mergeCell ref="CN42:CO42"/>
    <mergeCell ref="AN38:AO38"/>
    <mergeCell ref="CG64:CJ64"/>
    <mergeCell ref="BB7:BC7"/>
    <mergeCell ref="AJ21:AK21"/>
    <mergeCell ref="CO73:CP73"/>
    <mergeCell ref="CW35:CX35"/>
    <mergeCell ref="BR78:BU78"/>
    <mergeCell ref="Y25:Z26"/>
    <mergeCell ref="DE77:DF77"/>
    <mergeCell ref="BM80:BN80"/>
    <mergeCell ref="CY49:CZ49"/>
    <mergeCell ref="BU14:BV14"/>
    <mergeCell ref="X21:Y21"/>
    <mergeCell ref="CB80:CC80"/>
    <mergeCell ref="DL14:DM14"/>
    <mergeCell ref="EK35:EL35"/>
    <mergeCell ref="EP77:EQ77"/>
    <mergeCell ref="AX53:AY54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DS32:DT33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CU49:CV49"/>
    <mergeCell ref="EH8:EK8"/>
    <mergeCell ref="BK39:BL40"/>
    <mergeCell ref="AM56:AN56"/>
    <mergeCell ref="CV18:CW19"/>
    <mergeCell ref="DF67:DG68"/>
    <mergeCell ref="BN77:BO77"/>
    <mergeCell ref="CB53:CC5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EO32:EP33"/>
    <mergeCell ref="CY63:CZ63"/>
    <mergeCell ref="CW28:CX28"/>
    <mergeCell ref="EQ60:ER61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X42:Y42"/>
    <mergeCell ref="DZ18:EA19"/>
    <mergeCell ref="R39:S40"/>
    <mergeCell ref="BM24:BN24"/>
    <mergeCell ref="ER14:ES14"/>
    <mergeCell ref="AF70:AG70"/>
    <mergeCell ref="BU84:BV84"/>
    <mergeCell ref="EO71:ER71"/>
    <mergeCell ref="EA28:EB28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CO18:CP19"/>
    <mergeCell ref="BK52:BL52"/>
    <mergeCell ref="DS66:DT66"/>
    <mergeCell ref="DC49:DD49"/>
    <mergeCell ref="BQ42:BR42"/>
    <mergeCell ref="DK45:DL45"/>
    <mergeCell ref="EQ25:ER26"/>
    <mergeCell ref="DC77:DD77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EO31:EP31"/>
    <mergeCell ref="DU10:DV10"/>
    <mergeCell ref="DJ14:DK14"/>
    <mergeCell ref="EG63:EH63"/>
    <mergeCell ref="EJ53:EK54"/>
    <mergeCell ref="EP42:EQ42"/>
    <mergeCell ref="EQ3:ER3"/>
    <mergeCell ref="EO4:EP5"/>
    <mergeCell ref="AM7:AN7"/>
    <mergeCell ref="T3:U3"/>
    <mergeCell ref="BD14:BE14"/>
    <mergeCell ref="Q35:R35"/>
    <mergeCell ref="AI46:AJ47"/>
    <mergeCell ref="AP3:AQ3"/>
    <mergeCell ref="Z56:AA56"/>
    <mergeCell ref="AV22:AY22"/>
    <mergeCell ref="DZ78:EC78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AN3:AO3"/>
    <mergeCell ref="AF77:AG77"/>
    <mergeCell ref="EB17:EC17"/>
    <mergeCell ref="EH4:EI5"/>
    <mergeCell ref="DD38:DE38"/>
    <mergeCell ref="CV32:CW33"/>
    <mergeCell ref="BF63:BG63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D73:DE73"/>
    <mergeCell ref="AA32:AB33"/>
    <mergeCell ref="CR7:CS7"/>
    <mergeCell ref="AV11:AW12"/>
    <mergeCell ref="J4:K5"/>
    <mergeCell ref="CX60:CY61"/>
    <mergeCell ref="CI10:CJ10"/>
    <mergeCell ref="BF28:BG28"/>
    <mergeCell ref="CU63:CV63"/>
    <mergeCell ref="CX53:CY54"/>
    <mergeCell ref="BT4:BU5"/>
    <mergeCell ref="AP38:AQ38"/>
    <mergeCell ref="CO32:CP33"/>
    <mergeCell ref="AY63:AZ63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I42:EJ42"/>
    <mergeCell ref="AA80:AB80"/>
    <mergeCell ref="DE42:DF42"/>
    <mergeCell ref="CJ49:CK49"/>
    <mergeCell ref="CI74:CJ75"/>
    <mergeCell ref="J29:M29"/>
    <mergeCell ref="CC49:CD49"/>
    <mergeCell ref="AQ42:AR42"/>
    <mergeCell ref="T73:U73"/>
    <mergeCell ref="AQ77:AR77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CC84:CD84"/>
    <mergeCell ref="AX74:AY75"/>
    <mergeCell ref="BC45:BD45"/>
    <mergeCell ref="AI24:AJ24"/>
    <mergeCell ref="CX73:CY73"/>
    <mergeCell ref="EJ80:EK80"/>
    <mergeCell ref="AX67:AY68"/>
    <mergeCell ref="DN84:DO84"/>
    <mergeCell ref="BT39:BU40"/>
    <mergeCell ref="AG60:AH61"/>
    <mergeCell ref="DV21:DW21"/>
    <mergeCell ref="DV49:DW49"/>
    <mergeCell ref="EN35:EO35"/>
    <mergeCell ref="EJ25:EK26"/>
    <mergeCell ref="DS46:DT47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DF4:DG5"/>
    <mergeCell ref="BK3:BL3"/>
    <mergeCell ref="DD3:DE3"/>
    <mergeCell ref="L32:M33"/>
    <mergeCell ref="K49:L49"/>
    <mergeCell ref="BR43:BU43"/>
    <mergeCell ref="CX4:CY5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Q28:R28"/>
    <mergeCell ref="EQ17:ER17"/>
    <mergeCell ref="M49:N49"/>
    <mergeCell ref="AX80:AY80"/>
    <mergeCell ref="CA84:CB84"/>
    <mergeCell ref="AA81:AB82"/>
    <mergeCell ref="BM25:BN26"/>
    <mergeCell ref="L10:M10"/>
    <mergeCell ref="DD15:DG15"/>
    <mergeCell ref="X63:Y63"/>
    <mergeCell ref="R17:S17"/>
    <mergeCell ref="R60:S61"/>
    <mergeCell ref="DG14:DH14"/>
    <mergeCell ref="EO43:ER43"/>
    <mergeCell ref="AO70:AP7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DS10:DT10"/>
    <mergeCell ref="BE25:BF26"/>
    <mergeCell ref="EH53:EI54"/>
    <mergeCell ref="DJ70:DK70"/>
    <mergeCell ref="DK52:DL52"/>
    <mergeCell ref="CU35:CV35"/>
    <mergeCell ref="CQ25:CR26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E10:F10"/>
    <mergeCell ref="EC56:ED56"/>
    <mergeCell ref="AO77:AP77"/>
    <mergeCell ref="DE56:DF56"/>
    <mergeCell ref="DL77:DM77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AH84:AI84"/>
    <mergeCell ref="T45:U45"/>
    <mergeCell ref="DZ57:EC57"/>
    <mergeCell ref="BJ35:BK35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F35:G35"/>
    <mergeCell ref="F21:G21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D24:DE24"/>
    <mergeCell ref="CI31:CJ31"/>
    <mergeCell ref="DM25:DN26"/>
    <mergeCell ref="DF81:DG82"/>
    <mergeCell ref="AH77:AI77"/>
    <mergeCell ref="EB38:EC38"/>
    <mergeCell ref="AG59:AH59"/>
    <mergeCell ref="EO73:EP73"/>
    <mergeCell ref="DZ53:EA54"/>
    <mergeCell ref="AO35:AP35"/>
    <mergeCell ref="BY70:BZ70"/>
    <mergeCell ref="EP56:EQ56"/>
    <mergeCell ref="AV66:AW66"/>
    <mergeCell ref="EP35:EQ35"/>
    <mergeCell ref="L4:M5"/>
    <mergeCell ref="DC56:DD56"/>
    <mergeCell ref="AG32:AH33"/>
    <mergeCell ref="BE17:BF17"/>
    <mergeCell ref="DD29:DG29"/>
    <mergeCell ref="BK45:BL45"/>
    <mergeCell ref="AP52:AQ52"/>
    <mergeCell ref="EO24:EP24"/>
    <mergeCell ref="BJ49:BK49"/>
    <mergeCell ref="DK43:DN43"/>
    <mergeCell ref="EA14:EB14"/>
    <mergeCell ref="AP59:AQ59"/>
    <mergeCell ref="EO22:ER22"/>
    <mergeCell ref="EI28:EJ28"/>
    <mergeCell ref="DD18:DE19"/>
    <mergeCell ref="EO66:EP66"/>
    <mergeCell ref="BE4:BF5"/>
    <mergeCell ref="AH7:AI7"/>
    <mergeCell ref="EQ31:ER31"/>
    <mergeCell ref="EI63:EJ63"/>
    <mergeCell ref="AN64:AQ64"/>
    <mergeCell ref="DL7:DM7"/>
    <mergeCell ref="DT7:DU7"/>
    <mergeCell ref="K21:L21"/>
    <mergeCell ref="X7:Y7"/>
    <mergeCell ref="J38:K38"/>
    <mergeCell ref="J66:K66"/>
    <mergeCell ref="DD8:DG8"/>
    <mergeCell ref="DG7:DH7"/>
    <mergeCell ref="EO36:ER36"/>
    <mergeCell ref="AV59:AW59"/>
    <mergeCell ref="DZ81:EA82"/>
    <mergeCell ref="EO25:EP26"/>
    <mergeCell ref="DU4:DV5"/>
    <mergeCell ref="DZ66:EA66"/>
    <mergeCell ref="EG56:EH56"/>
    <mergeCell ref="U63:V63"/>
    <mergeCell ref="BK32:BL33"/>
    <mergeCell ref="DZ74:EA75"/>
    <mergeCell ref="BT73:BU73"/>
    <mergeCell ref="CV25:CW26"/>
    <mergeCell ref="K70:L7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R78:U78"/>
    <mergeCell ref="DJ42:DK42"/>
    <mergeCell ref="CP21:CQ21"/>
    <mergeCell ref="L31:M31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CG53:CH54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CO66:CP66"/>
    <mergeCell ref="EI35:EJ35"/>
    <mergeCell ref="EQ18:ER19"/>
    <mergeCell ref="BZ73:CA73"/>
    <mergeCell ref="DS59:DT59"/>
    <mergeCell ref="DT14:DU14"/>
    <mergeCell ref="BC50:BF50"/>
    <mergeCell ref="I84:J84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EG14:EH14"/>
    <mergeCell ref="AO42:AP42"/>
    <mergeCell ref="U21:V21"/>
    <mergeCell ref="B77:C77"/>
    <mergeCell ref="CG15:CJ15"/>
    <mergeCell ref="CX17:CY17"/>
    <mergeCell ref="AG64:AJ64"/>
    <mergeCell ref="DY28:DZ28"/>
    <mergeCell ref="Y15:AB15"/>
    <mergeCell ref="AM70:AN70"/>
    <mergeCell ref="S49:T49"/>
    <mergeCell ref="BK74:BL75"/>
    <mergeCell ref="DS15:DV15"/>
    <mergeCell ref="EH80:EI80"/>
    <mergeCell ref="AG25:AH26"/>
    <mergeCell ref="AM63:AN63"/>
    <mergeCell ref="E60:F61"/>
    <mergeCell ref="C43:F43"/>
    <mergeCell ref="AX46:AY47"/>
    <mergeCell ref="Z63:AA63"/>
    <mergeCell ref="B84:C84"/>
    <mergeCell ref="CP77:CQ77"/>
    <mergeCell ref="CQ45:CR45"/>
    <mergeCell ref="DD53:DE54"/>
    <mergeCell ref="AM84:AN84"/>
    <mergeCell ref="EQ53:ER54"/>
    <mergeCell ref="EH17:EI17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EG84:EH84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EB3:EC3"/>
    <mergeCell ref="D70:E70"/>
    <mergeCell ref="DT77:DU77"/>
    <mergeCell ref="CO24:CP24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BC74:BD75"/>
    <mergeCell ref="AI53:AJ54"/>
    <mergeCell ref="E4:F5"/>
    <mergeCell ref="EJ24:EK24"/>
    <mergeCell ref="DE7:DF7"/>
    <mergeCell ref="BT3:BU3"/>
    <mergeCell ref="AB7:AC7"/>
    <mergeCell ref="AI3:AJ3"/>
    <mergeCell ref="BK8:BN8"/>
    <mergeCell ref="BY63:BZ63"/>
    <mergeCell ref="C36:F36"/>
    <mergeCell ref="CX45:CY45"/>
    <mergeCell ref="AN18:AO19"/>
    <mergeCell ref="BL63:BM63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EA77:EB77"/>
    <mergeCell ref="AG36:AJ36"/>
    <mergeCell ref="EB45:EC45"/>
    <mergeCell ref="B14:C14"/>
    <mergeCell ref="B63:C63"/>
    <mergeCell ref="CV36:CY36"/>
    <mergeCell ref="S70:T70"/>
    <mergeCell ref="BZ71:CC71"/>
    <mergeCell ref="I49:J49"/>
    <mergeCell ref="L39:M40"/>
    <mergeCell ref="AX31:AY31"/>
    <mergeCell ref="DU46:DV47"/>
    <mergeCell ref="CW63:CX63"/>
    <mergeCell ref="DK71:DN71"/>
    <mergeCell ref="AU49:AV49"/>
    <mergeCell ref="AX39:AY40"/>
    <mergeCell ref="CI46:CJ47"/>
    <mergeCell ref="AV67:AW68"/>
    <mergeCell ref="EO57:ER57"/>
    <mergeCell ref="AM28:AN28"/>
    <mergeCell ref="CI59:CJ59"/>
    <mergeCell ref="T10:U10"/>
    <mergeCell ref="R8:U8"/>
    <mergeCell ref="AF63:AG63"/>
    <mergeCell ref="U7:V7"/>
    <mergeCell ref="CG50:CJ50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DF32:DG33"/>
    <mergeCell ref="AY84:AZ84"/>
    <mergeCell ref="T74:U75"/>
    <mergeCell ref="DS52:DT52"/>
    <mergeCell ref="DC35:DD35"/>
    <mergeCell ref="R50:U50"/>
    <mergeCell ref="BC31:BD31"/>
    <mergeCell ref="CH77:CI77"/>
    <mergeCell ref="CO11:CP12"/>
    <mergeCell ref="CQ38:CR38"/>
    <mergeCell ref="CF42:CG42"/>
    <mergeCell ref="EA70:EB70"/>
    <mergeCell ref="AN32:AO33"/>
    <mergeCell ref="AA17:AB17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CI3:CJ3"/>
    <mergeCell ref="D35:E35"/>
    <mergeCell ref="F63:G63"/>
    <mergeCell ref="DU3:DV3"/>
    <mergeCell ref="C67:D68"/>
    <mergeCell ref="EJ46:EK47"/>
    <mergeCell ref="DL63:DM63"/>
    <mergeCell ref="BJ56:BK56"/>
    <mergeCell ref="DC42:DD42"/>
    <mergeCell ref="BM4:BN5"/>
    <mergeCell ref="DZ71:EC71"/>
    <mergeCell ref="C3:D3"/>
    <mergeCell ref="DG28:DH28"/>
    <mergeCell ref="R3:S3"/>
    <mergeCell ref="D42:E42"/>
    <mergeCell ref="J59:K59"/>
    <mergeCell ref="CV1:CY1"/>
    <mergeCell ref="AA60:AB61"/>
    <mergeCell ref="EA63:EB63"/>
    <mergeCell ref="DR70:DS70"/>
    <mergeCell ref="AA53:AB54"/>
    <mergeCell ref="CA77:CB77"/>
    <mergeCell ref="BE60:BF61"/>
    <mergeCell ref="BF21:BG21"/>
    <mergeCell ref="CX46:CY47"/>
    <mergeCell ref="BM18:BN19"/>
    <mergeCell ref="AI52:AJ52"/>
    <mergeCell ref="X56:Y56"/>
    <mergeCell ref="AV39:AW40"/>
    <mergeCell ref="R43:U43"/>
    <mergeCell ref="DM52:DN52"/>
    <mergeCell ref="CQ60:CR61"/>
    <mergeCell ref="DJ7:DK7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52:F52"/>
    <mergeCell ref="BK50:BN50"/>
    <mergeCell ref="EH66:EI66"/>
    <mergeCell ref="EG70:EH70"/>
    <mergeCell ref="CV66:CW66"/>
    <mergeCell ref="DN70:DO70"/>
    <mergeCell ref="E67:F68"/>
    <mergeCell ref="I21:J21"/>
    <mergeCell ref="B35:C35"/>
    <mergeCell ref="F42:G42"/>
    <mergeCell ref="E38:F38"/>
    <mergeCell ref="E53:F54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BB70:BC70"/>
    <mergeCell ref="AU63:AV63"/>
    <mergeCell ref="EI56:EJ56"/>
    <mergeCell ref="Z70:AA70"/>
    <mergeCell ref="CQ18:CR19"/>
    <mergeCell ref="CX39:CY40"/>
    <mergeCell ref="BF35:BG35"/>
    <mergeCell ref="EJ4:EK5"/>
    <mergeCell ref="BF7:BG7"/>
    <mergeCell ref="CU42:CV42"/>
    <mergeCell ref="J11:K12"/>
    <mergeCell ref="R52:S52"/>
    <mergeCell ref="CO36:CR36"/>
    <mergeCell ref="T24:U24"/>
    <mergeCell ref="EH24:EI24"/>
    <mergeCell ref="BC73:BD73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CU84:CV84"/>
    <mergeCell ref="CQ80:CR80"/>
    <mergeCell ref="BS7:BT7"/>
    <mergeCell ref="AF28:AG28"/>
    <mergeCell ref="EH74:EI75"/>
    <mergeCell ref="CP70:CQ70"/>
    <mergeCell ref="EB39:EC40"/>
    <mergeCell ref="EA84:EB84"/>
    <mergeCell ref="CV74:CW75"/>
    <mergeCell ref="EC28:ED28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C39:D40"/>
    <mergeCell ref="DZ38:EA38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CG81:CH82"/>
    <mergeCell ref="CG60:CH61"/>
    <mergeCell ref="DS25:DT26"/>
    <mergeCell ref="M14:N14"/>
    <mergeCell ref="AJ63:AK63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59:D59"/>
    <mergeCell ref="DE28:DF28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BC80:BD80"/>
    <mergeCell ref="EO11:EP12"/>
    <mergeCell ref="R80:S80"/>
    <mergeCell ref="EH78:EK78"/>
    <mergeCell ref="BR25:BS26"/>
    <mergeCell ref="AX4:AY5"/>
    <mergeCell ref="EP28:EQ28"/>
    <mergeCell ref="I42:J42"/>
    <mergeCell ref="CY70:CZ70"/>
    <mergeCell ref="DD31:DE31"/>
    <mergeCell ref="CN14:CO14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EO8:ER8"/>
    <mergeCell ref="CF63:CG63"/>
    <mergeCell ref="BL42:BM42"/>
    <mergeCell ref="AY70:AZ70"/>
    <mergeCell ref="AA38:AB38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EK21:EL21"/>
    <mergeCell ref="DS73:DT73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CJ56:CK56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AW77:AX77"/>
    <mergeCell ref="CU56:CV56"/>
    <mergeCell ref="DD17:DE17"/>
    <mergeCell ref="DK53:DL54"/>
    <mergeCell ref="EB4:EC5"/>
    <mergeCell ref="BZ17:CA17"/>
    <mergeCell ref="DD25:DE26"/>
    <mergeCell ref="CF56:CG56"/>
    <mergeCell ref="DU60:DV61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  <mergeCell ref="BT45:BU45"/>
    <mergeCell ref="DZ46:EA47"/>
    <mergeCell ref="BR10:BS10"/>
    <mergeCell ref="C85:F85"/>
    <mergeCell ref="J85:M85"/>
    <mergeCell ref="C87:D87"/>
    <mergeCell ref="E87:F87"/>
    <mergeCell ref="J87:K87"/>
    <mergeCell ref="L87:M87"/>
    <mergeCell ref="C88:D89"/>
    <mergeCell ref="E88:F89"/>
    <mergeCell ref="J88:K89"/>
    <mergeCell ref="L88:M89"/>
    <mergeCell ref="B91:C91"/>
    <mergeCell ref="D91:E91"/>
    <mergeCell ref="F91:G91"/>
    <mergeCell ref="I91:J91"/>
    <mergeCell ref="K91:L91"/>
    <mergeCell ref="M91:N91"/>
    <mergeCell ref="C92:F92"/>
    <mergeCell ref="J92:M92"/>
    <mergeCell ref="C94:D94"/>
    <mergeCell ref="E94:F94"/>
    <mergeCell ref="J94:K94"/>
    <mergeCell ref="L94:M94"/>
    <mergeCell ref="C95:D96"/>
    <mergeCell ref="E95:F96"/>
    <mergeCell ref="J95:K96"/>
    <mergeCell ref="L95:M96"/>
    <mergeCell ref="B98:C98"/>
    <mergeCell ref="D98:E98"/>
    <mergeCell ref="F98:G98"/>
    <mergeCell ref="I98:J98"/>
    <mergeCell ref="K98:L98"/>
    <mergeCell ref="M98:N98"/>
    <mergeCell ref="C99:F99"/>
    <mergeCell ref="J99:M99"/>
    <mergeCell ref="C101:D101"/>
    <mergeCell ref="E101:F101"/>
    <mergeCell ref="J101:K101"/>
    <mergeCell ref="L101:M101"/>
    <mergeCell ref="C102:D103"/>
    <mergeCell ref="E102:F103"/>
    <mergeCell ref="J102:K103"/>
    <mergeCell ref="L102:M103"/>
    <mergeCell ref="B105:C105"/>
    <mergeCell ref="D105:E105"/>
    <mergeCell ref="F105:G105"/>
    <mergeCell ref="I105:J105"/>
    <mergeCell ref="K105:L105"/>
    <mergeCell ref="M105:N105"/>
    <mergeCell ref="C106:F106"/>
    <mergeCell ref="J106:M106"/>
    <mergeCell ref="C108:D108"/>
    <mergeCell ref="E108:F108"/>
    <mergeCell ref="J108:K108"/>
    <mergeCell ref="L108:M108"/>
    <mergeCell ref="C109:D110"/>
    <mergeCell ref="E109:F110"/>
    <mergeCell ref="J109:K110"/>
    <mergeCell ref="L109:M110"/>
    <mergeCell ref="B112:C112"/>
    <mergeCell ref="D112:E112"/>
    <mergeCell ref="F112:G112"/>
    <mergeCell ref="I112:J112"/>
    <mergeCell ref="K112:L112"/>
    <mergeCell ref="M112:N112"/>
    <mergeCell ref="C113:F113"/>
    <mergeCell ref="J113:M113"/>
    <mergeCell ref="C115:D115"/>
    <mergeCell ref="E115:F115"/>
    <mergeCell ref="J115:K115"/>
    <mergeCell ref="L115:M115"/>
    <mergeCell ref="C116:D117"/>
    <mergeCell ref="E116:F117"/>
    <mergeCell ref="J116:K117"/>
    <mergeCell ref="L116:M117"/>
    <mergeCell ref="B119:C119"/>
    <mergeCell ref="D119:E119"/>
    <mergeCell ref="F119:G119"/>
    <mergeCell ref="I119:J119"/>
    <mergeCell ref="K119:L119"/>
    <mergeCell ref="M119:N119"/>
    <mergeCell ref="C120:F120"/>
    <mergeCell ref="J120:M120"/>
    <mergeCell ref="C122:D122"/>
    <mergeCell ref="E122:F122"/>
    <mergeCell ref="J122:K122"/>
    <mergeCell ref="L122:M122"/>
    <mergeCell ref="C123:D124"/>
    <mergeCell ref="E123:F124"/>
    <mergeCell ref="J123:K124"/>
    <mergeCell ref="L123:M124"/>
    <mergeCell ref="B126:C126"/>
    <mergeCell ref="D126:E126"/>
    <mergeCell ref="F126:G126"/>
    <mergeCell ref="I126:J126"/>
    <mergeCell ref="K126:L126"/>
    <mergeCell ref="M126:N126"/>
    <mergeCell ref="AG85:AJ85"/>
    <mergeCell ref="AG87:AH87"/>
    <mergeCell ref="AI87:AJ87"/>
    <mergeCell ref="AG88:AH89"/>
    <mergeCell ref="AI88:AJ89"/>
    <mergeCell ref="AF91:AG91"/>
    <mergeCell ref="AH91:AI91"/>
    <mergeCell ref="AJ91:AK91"/>
    <mergeCell ref="AG92:AJ92"/>
    <mergeCell ref="AG101:AH101"/>
    <mergeCell ref="AI101:AJ101"/>
    <mergeCell ref="AG109:AH110"/>
    <mergeCell ref="AI109:AJ110"/>
    <mergeCell ref="AF119:AG119"/>
    <mergeCell ref="AH119:AI119"/>
    <mergeCell ref="AJ119:AK119"/>
    <mergeCell ref="AN92:AQ92"/>
    <mergeCell ref="AG94:AH94"/>
    <mergeCell ref="AI94:AJ94"/>
    <mergeCell ref="AN94:AO94"/>
    <mergeCell ref="AP94:AQ94"/>
    <mergeCell ref="AG95:AH96"/>
    <mergeCell ref="AI95:AJ96"/>
    <mergeCell ref="AN95:AO96"/>
    <mergeCell ref="AP95:AQ96"/>
    <mergeCell ref="AF98:AG98"/>
    <mergeCell ref="AH98:AI98"/>
    <mergeCell ref="AJ98:AK98"/>
    <mergeCell ref="AM98:AN98"/>
    <mergeCell ref="AO98:AP98"/>
    <mergeCell ref="AQ98:AR98"/>
    <mergeCell ref="AG99:AJ99"/>
    <mergeCell ref="AN99:AQ99"/>
    <mergeCell ref="AN101:AO101"/>
    <mergeCell ref="AP101:AQ101"/>
    <mergeCell ref="AG102:AH103"/>
    <mergeCell ref="AI102:AJ103"/>
    <mergeCell ref="AN102:AO103"/>
    <mergeCell ref="AP102:AQ103"/>
    <mergeCell ref="AF105:AG105"/>
    <mergeCell ref="AH105:AI105"/>
    <mergeCell ref="AJ105:AK105"/>
    <mergeCell ref="AM105:AN105"/>
    <mergeCell ref="AO105:AP105"/>
    <mergeCell ref="AQ105:AR105"/>
    <mergeCell ref="AG106:AJ106"/>
    <mergeCell ref="AN106:AQ106"/>
    <mergeCell ref="AG108:AH108"/>
    <mergeCell ref="AI108:AJ108"/>
    <mergeCell ref="AN108:AO108"/>
    <mergeCell ref="AP108:AQ108"/>
    <mergeCell ref="AN109:AO110"/>
    <mergeCell ref="AP109:AQ110"/>
    <mergeCell ref="AF112:AG112"/>
    <mergeCell ref="AH112:AI112"/>
    <mergeCell ref="AJ112:AK112"/>
    <mergeCell ref="AM112:AN112"/>
    <mergeCell ref="AO112:AP112"/>
    <mergeCell ref="AQ112:AR112"/>
    <mergeCell ref="AG113:AJ113"/>
    <mergeCell ref="AN113:AQ113"/>
    <mergeCell ref="AG115:AH115"/>
    <mergeCell ref="AI115:AJ115"/>
    <mergeCell ref="AN115:AO115"/>
    <mergeCell ref="AP115:AQ115"/>
    <mergeCell ref="AG116:AH117"/>
    <mergeCell ref="AI116:AJ117"/>
    <mergeCell ref="AN116:AO117"/>
    <mergeCell ref="AP116:AQ117"/>
    <mergeCell ref="AM119:AN119"/>
    <mergeCell ref="AO119:AP119"/>
    <mergeCell ref="AQ119:AR119"/>
    <mergeCell ref="AG120:AJ120"/>
    <mergeCell ref="AN120:AQ120"/>
    <mergeCell ref="AG122:AH122"/>
    <mergeCell ref="AI122:AJ122"/>
    <mergeCell ref="AN122:AO122"/>
    <mergeCell ref="AP122:AQ122"/>
    <mergeCell ref="AG123:AH124"/>
    <mergeCell ref="AI123:AJ124"/>
    <mergeCell ref="AN123:AO124"/>
    <mergeCell ref="AP123:AQ124"/>
    <mergeCell ref="AF126:AG126"/>
    <mergeCell ref="AH126:AI126"/>
    <mergeCell ref="AJ126:AK126"/>
    <mergeCell ref="AM126:AN126"/>
    <mergeCell ref="AO126:AP126"/>
    <mergeCell ref="AQ126:AR126"/>
    <mergeCell ref="BE87:BF87"/>
    <mergeCell ref="AV88:AW89"/>
    <mergeCell ref="AX88:AY89"/>
    <mergeCell ref="BC88:BD89"/>
    <mergeCell ref="BE88:BF89"/>
    <mergeCell ref="AU91:AV91"/>
    <mergeCell ref="AW91:AX91"/>
    <mergeCell ref="AY91:AZ91"/>
    <mergeCell ref="BB91:BC91"/>
    <mergeCell ref="BD91:BE91"/>
    <mergeCell ref="BF91:BG91"/>
    <mergeCell ref="AV92:AY92"/>
    <mergeCell ref="BC92:BF92"/>
    <mergeCell ref="AV94:AW94"/>
    <mergeCell ref="AX94:AY94"/>
    <mergeCell ref="BC94:BD94"/>
    <mergeCell ref="BE94:BF94"/>
    <mergeCell ref="AX87:AY87"/>
    <mergeCell ref="BC87:BD87"/>
    <mergeCell ref="AV95:AW96"/>
    <mergeCell ref="AX95:AY96"/>
    <mergeCell ref="BC95:BD96"/>
    <mergeCell ref="BE95:BF96"/>
    <mergeCell ref="AU98:AV98"/>
    <mergeCell ref="AW98:AX98"/>
    <mergeCell ref="AY98:AZ98"/>
    <mergeCell ref="BB98:BC98"/>
    <mergeCell ref="BD98:BE98"/>
    <mergeCell ref="BF98:BG98"/>
    <mergeCell ref="AV99:AY99"/>
    <mergeCell ref="BC99:BF99"/>
    <mergeCell ref="AV101:AW101"/>
    <mergeCell ref="AX101:AY101"/>
    <mergeCell ref="BC101:BD101"/>
    <mergeCell ref="BE101:BF101"/>
    <mergeCell ref="AV102:AW103"/>
    <mergeCell ref="AX102:AY103"/>
    <mergeCell ref="BC102:BD103"/>
    <mergeCell ref="BE102:BF103"/>
    <mergeCell ref="AU105:AV105"/>
    <mergeCell ref="AW105:AX105"/>
    <mergeCell ref="AY105:AZ105"/>
    <mergeCell ref="BB105:BC105"/>
    <mergeCell ref="BD105:BE105"/>
    <mergeCell ref="BF105:BG105"/>
    <mergeCell ref="AV106:AY106"/>
    <mergeCell ref="BC106:BF106"/>
    <mergeCell ref="AV108:AW108"/>
    <mergeCell ref="AX108:AY108"/>
    <mergeCell ref="BC108:BD108"/>
    <mergeCell ref="BE108:BF108"/>
    <mergeCell ref="AV109:AW110"/>
    <mergeCell ref="AX109:AY110"/>
    <mergeCell ref="BC109:BD110"/>
    <mergeCell ref="BE109:BF110"/>
    <mergeCell ref="AU112:AV112"/>
    <mergeCell ref="AW112:AX112"/>
    <mergeCell ref="AY112:AZ112"/>
    <mergeCell ref="BB112:BC112"/>
    <mergeCell ref="BD112:BE112"/>
    <mergeCell ref="BF112:BG112"/>
    <mergeCell ref="AV113:AY113"/>
    <mergeCell ref="BC113:BF113"/>
    <mergeCell ref="AV115:AW115"/>
    <mergeCell ref="AX115:AY115"/>
    <mergeCell ref="BC115:BD115"/>
    <mergeCell ref="BE115:BF115"/>
    <mergeCell ref="AV116:AW117"/>
    <mergeCell ref="AX116:AY117"/>
    <mergeCell ref="BC116:BD117"/>
    <mergeCell ref="BE116:BF117"/>
    <mergeCell ref="AU119:AV119"/>
    <mergeCell ref="AW119:AX119"/>
    <mergeCell ref="AY119:AZ119"/>
    <mergeCell ref="BB119:BC119"/>
    <mergeCell ref="BD119:BE119"/>
    <mergeCell ref="BF119:BG119"/>
    <mergeCell ref="AV120:AY120"/>
    <mergeCell ref="BC120:BF120"/>
    <mergeCell ref="AV122:AW122"/>
    <mergeCell ref="AX122:AY122"/>
    <mergeCell ref="BC122:BD122"/>
    <mergeCell ref="BE122:BF122"/>
    <mergeCell ref="AV123:AW124"/>
    <mergeCell ref="AX123:AY124"/>
    <mergeCell ref="BC123:BD124"/>
    <mergeCell ref="BE123:BF124"/>
    <mergeCell ref="AU126:AV126"/>
    <mergeCell ref="AW126:AX126"/>
    <mergeCell ref="AY126:AZ126"/>
    <mergeCell ref="BB126:BC126"/>
    <mergeCell ref="BD126:BE126"/>
    <mergeCell ref="BF126:BG126"/>
    <mergeCell ref="BK85:BN85"/>
    <mergeCell ref="BR85:BU85"/>
    <mergeCell ref="BK87:BL87"/>
    <mergeCell ref="BM87:BN87"/>
    <mergeCell ref="BR87:BS87"/>
    <mergeCell ref="BT87:BU87"/>
    <mergeCell ref="BK88:BL89"/>
    <mergeCell ref="BM88:BN89"/>
    <mergeCell ref="BR88:BS89"/>
    <mergeCell ref="BT88:BU89"/>
    <mergeCell ref="BJ91:BK91"/>
    <mergeCell ref="BL91:BM91"/>
    <mergeCell ref="BN91:BO91"/>
    <mergeCell ref="BQ91:BR91"/>
    <mergeCell ref="BS91:BT91"/>
    <mergeCell ref="BU91:BV91"/>
    <mergeCell ref="BK92:BN92"/>
    <mergeCell ref="BR92:BU92"/>
    <mergeCell ref="BM109:BN110"/>
    <mergeCell ref="BR109:BS110"/>
    <mergeCell ref="BT109:BU110"/>
    <mergeCell ref="BK94:BL94"/>
    <mergeCell ref="BM94:BN94"/>
    <mergeCell ref="BR94:BS94"/>
    <mergeCell ref="BT94:BU94"/>
    <mergeCell ref="BK95:BL96"/>
    <mergeCell ref="BM95:BN96"/>
    <mergeCell ref="BR95:BS96"/>
    <mergeCell ref="BT95:BU96"/>
    <mergeCell ref="BJ98:BK98"/>
    <mergeCell ref="BL98:BM98"/>
    <mergeCell ref="BN98:BO98"/>
    <mergeCell ref="BQ98:BR98"/>
    <mergeCell ref="BS98:BT98"/>
    <mergeCell ref="BU98:BV98"/>
    <mergeCell ref="BK99:BN99"/>
    <mergeCell ref="BR99:BU99"/>
    <mergeCell ref="BK101:BL101"/>
    <mergeCell ref="BM101:BN101"/>
    <mergeCell ref="BR101:BS101"/>
    <mergeCell ref="BT101:BU101"/>
    <mergeCell ref="BR113:BU113"/>
    <mergeCell ref="BK115:BL115"/>
    <mergeCell ref="BM115:BN115"/>
    <mergeCell ref="BR115:BS115"/>
    <mergeCell ref="BT115:BU115"/>
    <mergeCell ref="BK116:BL117"/>
    <mergeCell ref="BM116:BN117"/>
    <mergeCell ref="BR116:BS117"/>
    <mergeCell ref="BT116:BU117"/>
    <mergeCell ref="BJ119:BK119"/>
    <mergeCell ref="BL119:BM119"/>
    <mergeCell ref="BN119:BO119"/>
    <mergeCell ref="BQ119:BR119"/>
    <mergeCell ref="BS119:BT119"/>
    <mergeCell ref="BU119:BV119"/>
    <mergeCell ref="BK102:BL103"/>
    <mergeCell ref="BM102:BN103"/>
    <mergeCell ref="BR102:BS103"/>
    <mergeCell ref="BT102:BU103"/>
    <mergeCell ref="BJ105:BK105"/>
    <mergeCell ref="BL105:BM105"/>
    <mergeCell ref="BN105:BO105"/>
    <mergeCell ref="BQ105:BR105"/>
    <mergeCell ref="BS105:BT105"/>
    <mergeCell ref="BU105:BV105"/>
    <mergeCell ref="BK106:BN106"/>
    <mergeCell ref="BR106:BU106"/>
    <mergeCell ref="BK108:BL108"/>
    <mergeCell ref="BM108:BN108"/>
    <mergeCell ref="BR108:BS108"/>
    <mergeCell ref="BT108:BU108"/>
    <mergeCell ref="BK109:BL110"/>
    <mergeCell ref="BK120:BN120"/>
    <mergeCell ref="BR120:BU120"/>
    <mergeCell ref="BK122:BL122"/>
    <mergeCell ref="BM122:BN122"/>
    <mergeCell ref="BR122:BS122"/>
    <mergeCell ref="BT122:BU122"/>
    <mergeCell ref="BK123:BL124"/>
    <mergeCell ref="BM123:BN124"/>
    <mergeCell ref="BR123:BS124"/>
    <mergeCell ref="BT123:BU124"/>
    <mergeCell ref="BJ126:BK126"/>
    <mergeCell ref="BL126:BM126"/>
    <mergeCell ref="BN126:BO126"/>
    <mergeCell ref="BQ126:BR126"/>
    <mergeCell ref="BS126:BT126"/>
    <mergeCell ref="BU126:BV126"/>
    <mergeCell ref="BZ85:CC85"/>
    <mergeCell ref="BZ94:CA94"/>
    <mergeCell ref="CB94:CC94"/>
    <mergeCell ref="BZ102:CA103"/>
    <mergeCell ref="CB102:CC103"/>
    <mergeCell ref="BY112:BZ112"/>
    <mergeCell ref="CA112:CB112"/>
    <mergeCell ref="CC112:CD112"/>
    <mergeCell ref="BZ120:CC120"/>
    <mergeCell ref="BJ112:BK112"/>
    <mergeCell ref="BL112:BM112"/>
    <mergeCell ref="BN112:BO112"/>
    <mergeCell ref="BQ112:BR112"/>
    <mergeCell ref="BS112:BT112"/>
    <mergeCell ref="BU112:BV112"/>
    <mergeCell ref="BK113:BN113"/>
    <mergeCell ref="CG85:CJ85"/>
    <mergeCell ref="BZ87:CA87"/>
    <mergeCell ref="CB87:CC87"/>
    <mergeCell ref="CG87:CH87"/>
    <mergeCell ref="CI87:CJ87"/>
    <mergeCell ref="BZ88:CA89"/>
    <mergeCell ref="CB88:CC89"/>
    <mergeCell ref="CG88:CH89"/>
    <mergeCell ref="CI88:CJ89"/>
    <mergeCell ref="BY91:BZ91"/>
    <mergeCell ref="CA91:CB91"/>
    <mergeCell ref="CC91:CD91"/>
    <mergeCell ref="CF91:CG91"/>
    <mergeCell ref="CH91:CI91"/>
    <mergeCell ref="CJ91:CK91"/>
    <mergeCell ref="BZ92:CC92"/>
    <mergeCell ref="CG92:CJ92"/>
    <mergeCell ref="CG94:CH94"/>
    <mergeCell ref="CI94:CJ94"/>
    <mergeCell ref="BZ95:CA96"/>
    <mergeCell ref="CB95:CC96"/>
    <mergeCell ref="CG95:CH96"/>
    <mergeCell ref="CI95:CJ96"/>
    <mergeCell ref="BY98:BZ98"/>
    <mergeCell ref="CA98:CB98"/>
    <mergeCell ref="CC98:CD98"/>
    <mergeCell ref="CF98:CG98"/>
    <mergeCell ref="CH98:CI98"/>
    <mergeCell ref="CJ98:CK98"/>
    <mergeCell ref="BZ99:CC99"/>
    <mergeCell ref="CG99:CJ99"/>
    <mergeCell ref="BZ101:CA101"/>
    <mergeCell ref="CB101:CC101"/>
    <mergeCell ref="CG101:CH101"/>
    <mergeCell ref="CI101:CJ101"/>
    <mergeCell ref="CG102:CH103"/>
    <mergeCell ref="CI102:CJ103"/>
    <mergeCell ref="BY105:BZ105"/>
    <mergeCell ref="CA105:CB105"/>
    <mergeCell ref="CC105:CD105"/>
    <mergeCell ref="CF105:CG105"/>
    <mergeCell ref="CH105:CI105"/>
    <mergeCell ref="CJ105:CK105"/>
    <mergeCell ref="BZ106:CC106"/>
    <mergeCell ref="CG106:CJ106"/>
    <mergeCell ref="BZ108:CA108"/>
    <mergeCell ref="CB108:CC108"/>
    <mergeCell ref="CG108:CH108"/>
    <mergeCell ref="CI108:CJ108"/>
    <mergeCell ref="BZ109:CA110"/>
    <mergeCell ref="CB109:CC110"/>
    <mergeCell ref="CG109:CH110"/>
    <mergeCell ref="CI109:CJ110"/>
    <mergeCell ref="CF112:CG112"/>
    <mergeCell ref="CH112:CI112"/>
    <mergeCell ref="CJ112:CK112"/>
    <mergeCell ref="BZ113:CC113"/>
    <mergeCell ref="CG113:CJ113"/>
    <mergeCell ref="BZ115:CA115"/>
    <mergeCell ref="CB115:CC115"/>
    <mergeCell ref="CG115:CH115"/>
    <mergeCell ref="CI115:CJ115"/>
    <mergeCell ref="BZ116:CA117"/>
    <mergeCell ref="CB116:CC117"/>
    <mergeCell ref="CG116:CH117"/>
    <mergeCell ref="CI116:CJ117"/>
    <mergeCell ref="BY119:BZ119"/>
    <mergeCell ref="CA119:CB119"/>
    <mergeCell ref="CC119:CD119"/>
    <mergeCell ref="CF119:CG119"/>
    <mergeCell ref="CH119:CI119"/>
    <mergeCell ref="CJ119:CK119"/>
    <mergeCell ref="CG120:CJ120"/>
    <mergeCell ref="BZ122:CA122"/>
    <mergeCell ref="CB122:CC122"/>
    <mergeCell ref="CG122:CH122"/>
    <mergeCell ref="CI122:CJ122"/>
    <mergeCell ref="BZ123:CA124"/>
    <mergeCell ref="CB123:CC124"/>
    <mergeCell ref="CG123:CH124"/>
    <mergeCell ref="CI123:CJ124"/>
    <mergeCell ref="BY126:BZ126"/>
    <mergeCell ref="CA126:CB126"/>
    <mergeCell ref="CC126:CD126"/>
    <mergeCell ref="CF126:CG126"/>
    <mergeCell ref="CH126:CI126"/>
    <mergeCell ref="CJ126:CK126"/>
    <mergeCell ref="CO85:CR85"/>
    <mergeCell ref="CV85:CY85"/>
    <mergeCell ref="CO87:CP87"/>
    <mergeCell ref="CQ87:CR87"/>
    <mergeCell ref="CV87:CW87"/>
    <mergeCell ref="CX87:CY87"/>
    <mergeCell ref="CO88:CP89"/>
    <mergeCell ref="CQ88:CR89"/>
    <mergeCell ref="CV88:CW89"/>
    <mergeCell ref="CX88:CY89"/>
    <mergeCell ref="CN91:CO91"/>
    <mergeCell ref="CP91:CQ91"/>
    <mergeCell ref="CR91:CS91"/>
    <mergeCell ref="CU91:CV91"/>
    <mergeCell ref="CW91:CX91"/>
    <mergeCell ref="CY91:CZ91"/>
    <mergeCell ref="CO92:CR92"/>
    <mergeCell ref="CV92:CY92"/>
    <mergeCell ref="CO94:CP94"/>
    <mergeCell ref="CQ94:CR94"/>
    <mergeCell ref="CV94:CW94"/>
    <mergeCell ref="CX94:CY94"/>
    <mergeCell ref="CO95:CP96"/>
    <mergeCell ref="CQ95:CR96"/>
    <mergeCell ref="CV95:CW96"/>
    <mergeCell ref="CX95:CY96"/>
    <mergeCell ref="CN98:CO98"/>
    <mergeCell ref="CP98:CQ98"/>
    <mergeCell ref="CR98:CS98"/>
    <mergeCell ref="CU98:CV98"/>
    <mergeCell ref="CW98:CX98"/>
    <mergeCell ref="CY98:CZ98"/>
    <mergeCell ref="CO99:CR99"/>
    <mergeCell ref="CV99:CY99"/>
    <mergeCell ref="CO101:CP101"/>
    <mergeCell ref="CQ101:CR101"/>
    <mergeCell ref="CV101:CW101"/>
    <mergeCell ref="CX101:CY101"/>
    <mergeCell ref="CO102:CP103"/>
    <mergeCell ref="CQ102:CR103"/>
    <mergeCell ref="CV102:CW103"/>
    <mergeCell ref="CX102:CY103"/>
    <mergeCell ref="CN105:CO105"/>
    <mergeCell ref="CP105:CQ105"/>
    <mergeCell ref="CR105:CS105"/>
    <mergeCell ref="CU105:CV105"/>
    <mergeCell ref="CW105:CX105"/>
    <mergeCell ref="CY105:CZ105"/>
    <mergeCell ref="CO106:CR106"/>
    <mergeCell ref="CV106:CY106"/>
    <mergeCell ref="CO108:CP108"/>
    <mergeCell ref="CQ108:CR108"/>
    <mergeCell ref="CV108:CW108"/>
    <mergeCell ref="CX108:CY108"/>
    <mergeCell ref="CO109:CP110"/>
    <mergeCell ref="CQ109:CR110"/>
    <mergeCell ref="CV109:CW110"/>
    <mergeCell ref="CX109:CY110"/>
    <mergeCell ref="CN112:CO112"/>
    <mergeCell ref="CP112:CQ112"/>
    <mergeCell ref="CR112:CS112"/>
    <mergeCell ref="CU112:CV112"/>
    <mergeCell ref="CW112:CX112"/>
    <mergeCell ref="CY112:CZ112"/>
    <mergeCell ref="CO113:CR113"/>
    <mergeCell ref="CV113:CY113"/>
    <mergeCell ref="CO115:CP115"/>
    <mergeCell ref="CQ115:CR115"/>
    <mergeCell ref="CV115:CW115"/>
    <mergeCell ref="CX115:CY115"/>
    <mergeCell ref="CO116:CP117"/>
    <mergeCell ref="CQ116:CR117"/>
    <mergeCell ref="CV116:CW117"/>
    <mergeCell ref="CX116:CY117"/>
    <mergeCell ref="CN119:CO119"/>
    <mergeCell ref="CP119:CQ119"/>
    <mergeCell ref="CR119:CS119"/>
    <mergeCell ref="CU119:CV119"/>
    <mergeCell ref="CW119:CX119"/>
    <mergeCell ref="CY119:CZ119"/>
    <mergeCell ref="CO120:CR120"/>
    <mergeCell ref="CV120:CY120"/>
    <mergeCell ref="CO122:CP122"/>
    <mergeCell ref="CQ122:CR122"/>
    <mergeCell ref="CV122:CW122"/>
    <mergeCell ref="CX122:CY122"/>
    <mergeCell ref="CO123:CP124"/>
    <mergeCell ref="CQ123:CR124"/>
    <mergeCell ref="CV123:CW124"/>
    <mergeCell ref="CX123:CY124"/>
    <mergeCell ref="CN126:CO126"/>
    <mergeCell ref="CP126:CQ126"/>
    <mergeCell ref="CR126:CS126"/>
    <mergeCell ref="CU126:CV126"/>
    <mergeCell ref="CW126:CX126"/>
    <mergeCell ref="CY126:CZ126"/>
    <mergeCell ref="DD85:DG85"/>
    <mergeCell ref="DK85:DN85"/>
    <mergeCell ref="DD87:DE87"/>
    <mergeCell ref="DF87:DG87"/>
    <mergeCell ref="DK87:DL87"/>
    <mergeCell ref="DM87:DN87"/>
    <mergeCell ref="DD88:DE89"/>
    <mergeCell ref="DF88:DG89"/>
    <mergeCell ref="DK88:DL89"/>
    <mergeCell ref="DM88:DN89"/>
    <mergeCell ref="DC91:DD91"/>
    <mergeCell ref="DE91:DF91"/>
    <mergeCell ref="DG91:DH91"/>
    <mergeCell ref="DJ91:DK91"/>
    <mergeCell ref="DL91:DM91"/>
    <mergeCell ref="DN91:DO91"/>
    <mergeCell ref="DD92:DG92"/>
    <mergeCell ref="DK92:DN92"/>
    <mergeCell ref="DF109:DG110"/>
    <mergeCell ref="DK109:DL110"/>
    <mergeCell ref="DM109:DN110"/>
    <mergeCell ref="DD94:DE94"/>
    <mergeCell ref="DF94:DG94"/>
    <mergeCell ref="DK94:DL94"/>
    <mergeCell ref="DM94:DN94"/>
    <mergeCell ref="DD95:DE96"/>
    <mergeCell ref="DF95:DG96"/>
    <mergeCell ref="DK95:DL96"/>
    <mergeCell ref="DM95:DN96"/>
    <mergeCell ref="DC98:DD98"/>
    <mergeCell ref="DE98:DF98"/>
    <mergeCell ref="DG98:DH98"/>
    <mergeCell ref="DJ98:DK98"/>
    <mergeCell ref="DL98:DM98"/>
    <mergeCell ref="DN98:DO98"/>
    <mergeCell ref="DD99:DG99"/>
    <mergeCell ref="DK99:DN99"/>
    <mergeCell ref="DD101:DE101"/>
    <mergeCell ref="DF101:DG101"/>
    <mergeCell ref="DK101:DL101"/>
    <mergeCell ref="DM101:DN101"/>
    <mergeCell ref="DK113:DN113"/>
    <mergeCell ref="DD115:DE115"/>
    <mergeCell ref="DF115:DG115"/>
    <mergeCell ref="DK115:DL115"/>
    <mergeCell ref="DM115:DN115"/>
    <mergeCell ref="DD116:DE117"/>
    <mergeCell ref="DF116:DG117"/>
    <mergeCell ref="DK116:DL117"/>
    <mergeCell ref="DM116:DN117"/>
    <mergeCell ref="DC119:DD119"/>
    <mergeCell ref="DE119:DF119"/>
    <mergeCell ref="DG119:DH119"/>
    <mergeCell ref="DJ119:DK119"/>
    <mergeCell ref="DL119:DM119"/>
    <mergeCell ref="DN119:DO119"/>
    <mergeCell ref="DD102:DE103"/>
    <mergeCell ref="DF102:DG103"/>
    <mergeCell ref="DK102:DL103"/>
    <mergeCell ref="DM102:DN103"/>
    <mergeCell ref="DC105:DD105"/>
    <mergeCell ref="DE105:DF105"/>
    <mergeCell ref="DG105:DH105"/>
    <mergeCell ref="DJ105:DK105"/>
    <mergeCell ref="DL105:DM105"/>
    <mergeCell ref="DN105:DO105"/>
    <mergeCell ref="DD106:DG106"/>
    <mergeCell ref="DK106:DN106"/>
    <mergeCell ref="DD108:DE108"/>
    <mergeCell ref="DF108:DG108"/>
    <mergeCell ref="DK108:DL108"/>
    <mergeCell ref="DM108:DN108"/>
    <mergeCell ref="DD109:DE110"/>
    <mergeCell ref="DD120:DG120"/>
    <mergeCell ref="DK120:DN120"/>
    <mergeCell ref="DD122:DE122"/>
    <mergeCell ref="DF122:DG122"/>
    <mergeCell ref="DK122:DL122"/>
    <mergeCell ref="DM122:DN122"/>
    <mergeCell ref="DD123:DE124"/>
    <mergeCell ref="DF123:DG124"/>
    <mergeCell ref="DK123:DL124"/>
    <mergeCell ref="DM123:DN124"/>
    <mergeCell ref="DC126:DD126"/>
    <mergeCell ref="DE126:DF126"/>
    <mergeCell ref="DG126:DH126"/>
    <mergeCell ref="DJ126:DK126"/>
    <mergeCell ref="DL126:DM126"/>
    <mergeCell ref="DN126:DO126"/>
    <mergeCell ref="DS85:DV85"/>
    <mergeCell ref="DS94:DT94"/>
    <mergeCell ref="DU94:DV94"/>
    <mergeCell ref="DS102:DT103"/>
    <mergeCell ref="DU102:DV103"/>
    <mergeCell ref="DR112:DS112"/>
    <mergeCell ref="DT112:DU112"/>
    <mergeCell ref="DV112:DW112"/>
    <mergeCell ref="DS120:DV120"/>
    <mergeCell ref="DC112:DD112"/>
    <mergeCell ref="DE112:DF112"/>
    <mergeCell ref="DG112:DH112"/>
    <mergeCell ref="DJ112:DK112"/>
    <mergeCell ref="DL112:DM112"/>
    <mergeCell ref="DN112:DO112"/>
    <mergeCell ref="DD113:DG113"/>
    <mergeCell ref="DZ85:EC85"/>
    <mergeCell ref="DS87:DT87"/>
    <mergeCell ref="DU87:DV87"/>
    <mergeCell ref="DZ87:EA87"/>
    <mergeCell ref="EB87:EC87"/>
    <mergeCell ref="DS88:DT89"/>
    <mergeCell ref="DU88:DV89"/>
    <mergeCell ref="DZ88:EA89"/>
    <mergeCell ref="EB88:EC89"/>
    <mergeCell ref="DR91:DS91"/>
    <mergeCell ref="DT91:DU91"/>
    <mergeCell ref="DV91:DW91"/>
    <mergeCell ref="DY91:DZ91"/>
    <mergeCell ref="EA91:EB91"/>
    <mergeCell ref="EC91:ED91"/>
    <mergeCell ref="DS92:DV92"/>
    <mergeCell ref="DZ92:EC92"/>
    <mergeCell ref="DZ94:EA94"/>
    <mergeCell ref="EB94:EC94"/>
    <mergeCell ref="DS95:DT96"/>
    <mergeCell ref="DU95:DV96"/>
    <mergeCell ref="DZ95:EA96"/>
    <mergeCell ref="EB95:EC96"/>
    <mergeCell ref="DR98:DS98"/>
    <mergeCell ref="DT98:DU98"/>
    <mergeCell ref="DV98:DW98"/>
    <mergeCell ref="DY98:DZ98"/>
    <mergeCell ref="EA98:EB98"/>
    <mergeCell ref="EC98:ED98"/>
    <mergeCell ref="DS99:DV99"/>
    <mergeCell ref="DZ99:EC99"/>
    <mergeCell ref="DS101:DT101"/>
    <mergeCell ref="DU101:DV101"/>
    <mergeCell ref="DZ101:EA101"/>
    <mergeCell ref="EB101:EC101"/>
    <mergeCell ref="DZ102:EA103"/>
    <mergeCell ref="EB102:EC103"/>
    <mergeCell ref="DR105:DS105"/>
    <mergeCell ref="DT105:DU105"/>
    <mergeCell ref="DV105:DW105"/>
    <mergeCell ref="DY105:DZ105"/>
    <mergeCell ref="EA105:EB105"/>
    <mergeCell ref="EC105:ED105"/>
    <mergeCell ref="DS106:DV106"/>
    <mergeCell ref="DZ106:EC106"/>
    <mergeCell ref="DS108:DT108"/>
    <mergeCell ref="DU108:DV108"/>
    <mergeCell ref="DZ108:EA108"/>
    <mergeCell ref="EB108:EC108"/>
    <mergeCell ref="DS109:DT110"/>
    <mergeCell ref="DU109:DV110"/>
    <mergeCell ref="DZ109:EA110"/>
    <mergeCell ref="EB109:EC110"/>
    <mergeCell ref="DY112:DZ112"/>
    <mergeCell ref="EA112:EB112"/>
    <mergeCell ref="EC112:ED112"/>
    <mergeCell ref="DS113:DV113"/>
    <mergeCell ref="DZ113:EC113"/>
    <mergeCell ref="DS115:DT115"/>
    <mergeCell ref="DU115:DV115"/>
    <mergeCell ref="DZ115:EA115"/>
    <mergeCell ref="EB115:EC115"/>
    <mergeCell ref="DS116:DT117"/>
    <mergeCell ref="DU116:DV117"/>
    <mergeCell ref="DZ116:EA117"/>
    <mergeCell ref="EB116:EC117"/>
    <mergeCell ref="DR119:DS119"/>
    <mergeCell ref="DT119:DU119"/>
    <mergeCell ref="DV119:DW119"/>
    <mergeCell ref="DY119:DZ119"/>
    <mergeCell ref="EA119:EB119"/>
    <mergeCell ref="EC119:ED119"/>
    <mergeCell ref="DZ120:EC120"/>
    <mergeCell ref="DS122:DT122"/>
    <mergeCell ref="DU122:DV122"/>
    <mergeCell ref="DZ122:EA122"/>
    <mergeCell ref="EB122:EC122"/>
    <mergeCell ref="DS123:DT124"/>
    <mergeCell ref="DU123:DV124"/>
    <mergeCell ref="DZ123:EA124"/>
    <mergeCell ref="EB123:EC124"/>
    <mergeCell ref="DR126:DS126"/>
    <mergeCell ref="DT126:DU126"/>
    <mergeCell ref="DV126:DW126"/>
    <mergeCell ref="DY126:DZ126"/>
    <mergeCell ref="EA126:EB126"/>
    <mergeCell ref="EC126:ED126"/>
    <mergeCell ref="EH85:EK85"/>
    <mergeCell ref="EO85:ER85"/>
    <mergeCell ref="EH87:EI87"/>
    <mergeCell ref="EJ87:EK87"/>
    <mergeCell ref="EO87:EP87"/>
    <mergeCell ref="EQ87:ER87"/>
    <mergeCell ref="EH88:EI89"/>
    <mergeCell ref="EJ88:EK89"/>
    <mergeCell ref="EO88:EP89"/>
    <mergeCell ref="EQ88:ER89"/>
    <mergeCell ref="EG91:EH91"/>
    <mergeCell ref="EI91:EJ91"/>
    <mergeCell ref="EK91:EL91"/>
    <mergeCell ref="EN91:EO91"/>
    <mergeCell ref="EP91:EQ91"/>
    <mergeCell ref="ER91:ES91"/>
    <mergeCell ref="EH92:EK92"/>
    <mergeCell ref="EO92:ER92"/>
    <mergeCell ref="EH94:EI94"/>
    <mergeCell ref="EJ94:EK94"/>
    <mergeCell ref="EO94:EP94"/>
    <mergeCell ref="EQ94:ER94"/>
    <mergeCell ref="EH95:EI96"/>
    <mergeCell ref="EJ95:EK96"/>
    <mergeCell ref="EO95:EP96"/>
    <mergeCell ref="EQ95:ER96"/>
    <mergeCell ref="EG98:EH98"/>
    <mergeCell ref="EI98:EJ98"/>
    <mergeCell ref="EK98:EL98"/>
    <mergeCell ref="EN98:EO98"/>
    <mergeCell ref="EP98:EQ98"/>
    <mergeCell ref="ER98:ES98"/>
    <mergeCell ref="EH99:EK99"/>
    <mergeCell ref="EO99:ER99"/>
    <mergeCell ref="EH101:EI101"/>
    <mergeCell ref="EJ101:EK101"/>
    <mergeCell ref="EO101:EP101"/>
    <mergeCell ref="EQ101:ER101"/>
    <mergeCell ref="EH102:EI103"/>
    <mergeCell ref="EJ102:EK103"/>
    <mergeCell ref="EO102:EP103"/>
    <mergeCell ref="EQ102:ER103"/>
    <mergeCell ref="EG105:EH105"/>
    <mergeCell ref="EI105:EJ105"/>
    <mergeCell ref="EK105:EL105"/>
    <mergeCell ref="EN105:EO105"/>
    <mergeCell ref="EP105:EQ105"/>
    <mergeCell ref="ER105:ES105"/>
    <mergeCell ref="EH106:EK106"/>
    <mergeCell ref="EO106:ER106"/>
    <mergeCell ref="EH108:EI108"/>
    <mergeCell ref="EJ108:EK108"/>
    <mergeCell ref="EO108:EP108"/>
    <mergeCell ref="EQ108:ER108"/>
    <mergeCell ref="EH109:EI110"/>
    <mergeCell ref="EJ109:EK110"/>
    <mergeCell ref="EO109:EP110"/>
    <mergeCell ref="EQ109:ER110"/>
    <mergeCell ref="EG112:EH112"/>
    <mergeCell ref="EI112:EJ112"/>
    <mergeCell ref="EK112:EL112"/>
    <mergeCell ref="EN112:EO112"/>
    <mergeCell ref="EP112:EQ112"/>
    <mergeCell ref="ER112:ES112"/>
    <mergeCell ref="EH113:EK113"/>
    <mergeCell ref="EO113:ER113"/>
    <mergeCell ref="EH115:EI115"/>
    <mergeCell ref="EJ115:EK115"/>
    <mergeCell ref="EO115:EP115"/>
    <mergeCell ref="EQ115:ER115"/>
    <mergeCell ref="EH116:EI117"/>
    <mergeCell ref="EJ116:EK117"/>
    <mergeCell ref="EO116:EP117"/>
    <mergeCell ref="EQ116:ER117"/>
    <mergeCell ref="EG119:EH119"/>
    <mergeCell ref="EI119:EJ119"/>
    <mergeCell ref="EK119:EL119"/>
    <mergeCell ref="EN119:EO119"/>
    <mergeCell ref="EP119:EQ119"/>
    <mergeCell ref="ER119:ES119"/>
    <mergeCell ref="EH120:EK120"/>
    <mergeCell ref="EO120:ER120"/>
    <mergeCell ref="EH122:EI122"/>
    <mergeCell ref="EJ122:EK122"/>
    <mergeCell ref="EO122:EP122"/>
    <mergeCell ref="EQ122:ER122"/>
    <mergeCell ref="EH123:EI124"/>
    <mergeCell ref="EJ123:EK124"/>
    <mergeCell ref="EO123:EP124"/>
    <mergeCell ref="EQ123:ER124"/>
    <mergeCell ref="EG126:EH126"/>
    <mergeCell ref="EI126:EJ126"/>
    <mergeCell ref="EK126:EL126"/>
    <mergeCell ref="EN126:EO126"/>
    <mergeCell ref="EP126:EQ126"/>
    <mergeCell ref="ER126:ES126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view="pageLayout" topLeftCell="AQ11" zoomScale="55" zoomScaleNormal="70" zoomScalePageLayoutView="55" workbookViewId="0">
      <selection activeCell="C41" sqref="C41:F41"/>
    </sheetView>
  </sheetViews>
  <sheetFormatPr defaultRowHeight="22.2" x14ac:dyDescent="0.55000000000000004"/>
  <cols>
    <col min="1" max="1" width="2.796875" style="102" customWidth="1"/>
    <col min="2" max="2" width="8.09765625" style="53" customWidth="1"/>
    <col min="3" max="5" width="7.59765625" style="53" customWidth="1"/>
    <col min="6" max="6" width="12.19921875" style="53" customWidth="1"/>
    <col min="7" max="7" width="4.19921875" style="66" customWidth="1"/>
    <col min="8" max="8" width="8.5" style="53" hidden="1" customWidth="1"/>
    <col min="9" max="9" width="8.5" style="53" customWidth="1"/>
    <col min="10" max="12" width="7.59765625" style="53" customWidth="1"/>
    <col min="13" max="13" width="12.19921875" style="53" customWidth="1"/>
    <col min="14" max="14" width="4.19921875" style="63" customWidth="1"/>
    <col min="15" max="15" width="2.796875" style="53" customWidth="1"/>
    <col min="16" max="16" width="2.796875" style="102" customWidth="1"/>
    <col min="17" max="17" width="8.09765625" style="53" customWidth="1"/>
    <col min="18" max="20" width="7.59765625" style="53" customWidth="1"/>
    <col min="21" max="21" width="12.19921875" style="53" customWidth="1"/>
    <col min="22" max="22" width="4.19921875" style="66" customWidth="1"/>
    <col min="23" max="23" width="8.5" style="53" hidden="1" customWidth="1"/>
    <col min="24" max="24" width="8.5" style="53" customWidth="1"/>
    <col min="25" max="27" width="7.59765625" style="53" customWidth="1"/>
    <col min="28" max="28" width="12.19921875" style="53" customWidth="1"/>
    <col min="29" max="29" width="4.19921875" style="63" customWidth="1"/>
    <col min="30" max="30" width="2.796875" style="53" customWidth="1"/>
    <col min="31" max="31" width="2.796875" style="102" customWidth="1"/>
    <col min="32" max="32" width="8.09765625" style="53" customWidth="1"/>
    <col min="33" max="35" width="7.59765625" style="53" customWidth="1"/>
    <col min="36" max="36" width="12.19921875" style="53" customWidth="1"/>
    <col min="37" max="37" width="4.19921875" style="66" customWidth="1"/>
    <col min="38" max="38" width="8.5" style="53" hidden="1" customWidth="1"/>
    <col min="39" max="39" width="8.5" style="53" customWidth="1"/>
    <col min="40" max="42" width="7.59765625" style="53" customWidth="1"/>
    <col min="43" max="43" width="12.19921875" style="53" customWidth="1"/>
    <col min="44" max="44" width="4.19921875" style="63" customWidth="1"/>
    <col min="45" max="45" width="2.796875" style="53" customWidth="1"/>
    <col min="46" max="46" width="2.796875" style="102" customWidth="1"/>
    <col min="47" max="47" width="8.09765625" style="53" customWidth="1"/>
    <col min="48" max="50" width="7.59765625" style="53" customWidth="1"/>
    <col min="51" max="51" width="12.19921875" style="53" customWidth="1"/>
    <col min="52" max="52" width="4.19921875" style="66" customWidth="1"/>
    <col min="53" max="53" width="8.5" style="53" hidden="1" customWidth="1"/>
    <col min="54" max="54" width="8.5" style="53" customWidth="1"/>
    <col min="55" max="57" width="7.59765625" style="53" customWidth="1"/>
    <col min="58" max="58" width="12.19921875" style="53" customWidth="1"/>
    <col min="59" max="59" width="4.19921875" style="63" customWidth="1"/>
    <col min="60" max="60" width="2.796875" style="53" customWidth="1"/>
    <col min="61" max="61" width="2.796875" style="102" customWidth="1"/>
    <col min="62" max="62" width="8.09765625" style="53" customWidth="1"/>
    <col min="63" max="65" width="7.59765625" style="53" customWidth="1"/>
    <col min="66" max="66" width="12.19921875" style="53" customWidth="1"/>
    <col min="67" max="67" width="4.19921875" style="66" customWidth="1"/>
    <col min="68" max="68" width="8.5" style="53" hidden="1" customWidth="1"/>
    <col min="69" max="69" width="8.5" style="53" customWidth="1"/>
    <col min="70" max="72" width="7.59765625" style="53" customWidth="1"/>
    <col min="73" max="73" width="12.19921875" style="53" customWidth="1"/>
    <col min="74" max="74" width="4.19921875" style="63" customWidth="1"/>
    <col min="75" max="75" width="2.796875" style="53" customWidth="1"/>
    <col min="76" max="76" width="2.796875" style="102" customWidth="1"/>
    <col min="77" max="77" width="8.09765625" style="53" customWidth="1"/>
    <col min="78" max="80" width="7.59765625" style="53" customWidth="1"/>
    <col min="81" max="81" width="12.19921875" style="53" customWidth="1"/>
    <col min="82" max="82" width="4.19921875" style="66" customWidth="1"/>
    <col min="83" max="83" width="8.5" style="53" hidden="1" customWidth="1"/>
    <col min="84" max="84" width="8.5" style="53" customWidth="1"/>
    <col min="85" max="87" width="7.59765625" style="53" customWidth="1"/>
    <col min="88" max="88" width="12.19921875" style="53" customWidth="1"/>
    <col min="89" max="89" width="4.19921875" style="63" customWidth="1"/>
    <col min="90" max="90" width="2.796875" style="53" customWidth="1"/>
    <col min="91" max="91" width="2.796875" style="102" customWidth="1"/>
    <col min="92" max="92" width="8.09765625" style="53" customWidth="1"/>
    <col min="93" max="95" width="7.59765625" style="53" customWidth="1"/>
    <col min="96" max="96" width="12.19921875" style="53" customWidth="1"/>
    <col min="97" max="97" width="4.19921875" style="66" customWidth="1"/>
    <col min="98" max="98" width="8.5" style="53" hidden="1" customWidth="1"/>
    <col min="99" max="99" width="8.5" style="53" customWidth="1"/>
    <col min="100" max="102" width="7.59765625" style="53" customWidth="1"/>
    <col min="103" max="103" width="12.19921875" style="53" customWidth="1"/>
    <col min="104" max="104" width="4.19921875" style="63" customWidth="1"/>
    <col min="105" max="105" width="2.796875" style="53" customWidth="1"/>
    <col min="106" max="106" width="2.796875" style="102" customWidth="1"/>
    <col min="107" max="107" width="8.09765625" style="53" customWidth="1"/>
    <col min="108" max="110" width="7.59765625" style="53" customWidth="1"/>
    <col min="111" max="111" width="12.19921875" style="53" customWidth="1"/>
    <col min="112" max="112" width="4.19921875" style="66" customWidth="1"/>
    <col min="113" max="113" width="8.5" style="53" hidden="1" customWidth="1"/>
    <col min="114" max="114" width="8.5" style="53" customWidth="1"/>
    <col min="115" max="117" width="7.59765625" style="53" customWidth="1"/>
    <col min="118" max="118" width="12.19921875" style="53" customWidth="1"/>
    <col min="119" max="119" width="4.19921875" style="63" customWidth="1"/>
    <col min="120" max="120" width="2.796875" style="53" customWidth="1"/>
    <col min="121" max="121" width="2.796875" style="102" customWidth="1"/>
    <col min="122" max="122" width="8.09765625" style="53" customWidth="1"/>
    <col min="123" max="125" width="7.59765625" style="53" customWidth="1"/>
    <col min="126" max="126" width="12.19921875" style="53" customWidth="1"/>
    <col min="127" max="127" width="4.19921875" style="66" customWidth="1"/>
    <col min="128" max="128" width="8.5" style="53" hidden="1" customWidth="1"/>
    <col min="129" max="129" width="8.5" style="53" customWidth="1"/>
    <col min="130" max="132" width="7.59765625" style="53" customWidth="1"/>
    <col min="133" max="133" width="12.19921875" style="53" customWidth="1"/>
    <col min="134" max="134" width="4.19921875" style="63" customWidth="1"/>
    <col min="135" max="135" width="2.796875" style="53" customWidth="1"/>
    <col min="136" max="136" width="2.796875" style="102" customWidth="1"/>
    <col min="137" max="137" width="8.09765625" style="53" customWidth="1"/>
    <col min="138" max="140" width="7.59765625" style="53" customWidth="1"/>
    <col min="141" max="141" width="12.19921875" style="53" customWidth="1"/>
    <col min="142" max="142" width="4.19921875" style="66" customWidth="1"/>
    <col min="143" max="143" width="8.5" style="53" hidden="1" customWidth="1"/>
    <col min="144" max="144" width="8.5" style="53" customWidth="1"/>
    <col min="145" max="147" width="7.59765625" style="53" customWidth="1"/>
    <col min="148" max="148" width="12.19921875" style="53" customWidth="1"/>
    <col min="149" max="149" width="4.19921875" style="63" customWidth="1"/>
    <col min="150" max="150" width="2.796875" style="53" customWidth="1"/>
  </cols>
  <sheetData>
    <row r="1" spans="1:150" s="56" customFormat="1" ht="25.8" customHeight="1" x14ac:dyDescent="0.55000000000000004">
      <c r="A1" s="55">
        <v>1</v>
      </c>
      <c r="B1" s="68" t="e">
        <f ca="1">IF(C1&lt;&gt;"",
MID(貼り付け用!$A$2, FIND("年",貼り付け用!$A$2)+1,2)&amp;"/"&amp;MID(貼り付け用!$A$2, FIND("月",貼り付け用!$A$2)+1,2),"")</f>
        <v>#VALUE!</v>
      </c>
      <c r="C1" s="267" t="str" cm="1">
        <f t="array" aca="1" ref="C1" ca="1">SUBSTITUTE(SUBSTITUTE(SUBSTITUTE(SUBSTITUTE(SUBSTITUTE(SUBSTITUTE(SUBSTITUTE(SUBSTITUTE(SUBSTITUTE(SUBSTITUTE(SUBSTITUTE(
IF(B2="△",
INDIRECT("'盛付札（関数）'!FJ"&amp;A1+1),INDIRECT("'盛付札（関数）'!FJ"&amp;A1)),"０",""),"①",""),"②",""),"③",""),"④",""),"⑤",""),"⑥",""),"⑦",""),"⑧",""),"⑨",""),"⑩","")</f>
        <v>ニシム</v>
      </c>
      <c r="D1" s="248"/>
      <c r="E1" s="248"/>
      <c r="F1" s="248"/>
      <c r="G1" s="67" t="str">
        <f t="array" aca="1" ref="G1" ca="1">IF(C1&lt;&gt;"",
IF(AND(INDIRECT("'盛付札（関数）'!FI"&amp;A1)&gt;=124,INDIRECT("'盛付札（関数）'!FI"&amp;A1)&lt;=144),"",
"様"),"")</f>
        <v>様</v>
      </c>
      <c r="H1" s="61">
        <f ca="1">IF(OR(B2="●",B2="△"),
A1+2,A1+1)</f>
        <v>2</v>
      </c>
      <c r="I1" s="68" t="e">
        <f ca="1">IF(J1&lt;&gt;"",
MID(貼り付け用!$A$2, FIND("年",貼り付け用!$A$2)+1,2)&amp;"/"&amp;MID(貼り付け用!$A$2, FIND("月",貼り付け用!$A$2)+1,2),"")</f>
        <v>#VALUE!</v>
      </c>
      <c r="J1" s="267" t="str" cm="1">
        <f t="array" aca="1" ref="J1" ca="1">SUBSTITUTE(SUBSTITUTE(SUBSTITUTE(SUBSTITUTE(SUBSTITUTE(SUBSTITUTE(SUBSTITUTE(SUBSTITUTE(SUBSTITUTE(SUBSTITUTE(SUBSTITUTE(
IF(I2="△",
INDIRECT("'盛付札（関数）'!FJ"&amp;H1+1),INDIRECT("'盛付札（関数）'!FJ"&amp;H1)),"０",""),"①",""),"②",""),"③",""),"④",""),"⑤",""),"⑥",""),"⑦",""),"⑧",""),"⑨",""),"⑩","")</f>
        <v>新日本製薬</v>
      </c>
      <c r="K1" s="248"/>
      <c r="L1" s="248"/>
      <c r="M1" s="248"/>
      <c r="N1" s="67" t="str">
        <f t="array" aca="1" ref="N1" ca="1">IF(J1&lt;&gt;"",
IF(AND(INDIRECT("'盛付札（関数）'!FI"&amp;H1)&gt;=124,INDIRECT("'盛付札（関数）'!FI"&amp;H1)&lt;=144),"",
"様"),"")</f>
        <v>様</v>
      </c>
      <c r="O1" s="45"/>
      <c r="P1" s="55">
        <f ca="1">IF(OR(I42="●",I42="△"),
H41+2,H41+1)</f>
        <v>13</v>
      </c>
      <c r="Q1" s="68" t="str">
        <f ca="1">IF(R1&lt;&gt;"",
MID(貼り付け用!$A$2, FIND("年",貼り付け用!$A$2)+1,2)&amp;"/"&amp;MID(貼り付け用!$A$2, FIND("月",貼り付け用!$A$2)+1,2),"")</f>
        <v/>
      </c>
      <c r="R1" s="267" t="str" cm="1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48"/>
      <c r="T1" s="248"/>
      <c r="U1" s="248"/>
      <c r="V1" s="67" t="str">
        <f t="array" aca="1" ref="V1" ca="1">IF(R1&lt;&gt;"",
IF(AND(INDIRECT("'盛付札（関数）'!FI"&amp;P1)&gt;=124,INDIRECT("'盛付札（関数）'!FI"&amp;P1)&lt;=144),"",
"様"),"")</f>
        <v/>
      </c>
      <c r="W1" s="61">
        <f ca="1">IF(OR(Q2="●",Q2="△"),
P1+2,P1+1)</f>
        <v>14</v>
      </c>
      <c r="X1" s="68" t="str">
        <f ca="1">IF(Y1&lt;&gt;"",
MID(貼り付け用!$A$2, FIND("年",貼り付け用!$A$2)+1,2)&amp;"/"&amp;MID(貼り付け用!$A$2, FIND("月",貼り付け用!$A$2)+1,2),"")</f>
        <v/>
      </c>
      <c r="Y1" s="267" t="str" cm="1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48"/>
      <c r="AA1" s="248"/>
      <c r="AB1" s="248"/>
      <c r="AC1" s="67" t="str">
        <f t="array" aca="1" ref="AC1" ca="1">IF(Y1&lt;&gt;"",
IF(AND(INDIRECT("'盛付札（関数）'!FI"&amp;W1)&gt;=124,INDIRECT("'盛付札（関数）'!FI"&amp;W1)&lt;=144),"",
"様"),"")</f>
        <v/>
      </c>
      <c r="AD1" s="45"/>
      <c r="AE1" s="55">
        <f ca="1">IF(OR(X42="●",X42="△"),
W41+2,W41+1)</f>
        <v>25</v>
      </c>
      <c r="AF1" s="68" t="str">
        <f ca="1">IF(AG1&lt;&gt;"",
MID(貼り付け用!$A$2, FIND("年",貼り付け用!$A$2)+1,2)&amp;"/"&amp;MID(貼り付け用!$A$2, FIND("月",貼り付け用!$A$2)+1,2),"")</f>
        <v/>
      </c>
      <c r="AG1" s="267" t="str" cm="1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48"/>
      <c r="AI1" s="248"/>
      <c r="AJ1" s="248"/>
      <c r="AK1" s="67" t="str">
        <f t="array" aca="1" ref="AK1" ca="1">IF(AG1&lt;&gt;"",
IF(AND(INDIRECT("'盛付札（関数）'!FI"&amp;AE1)&gt;=124,INDIRECT("'盛付札（関数）'!FI"&amp;AE1)&lt;=144),"",
"様"),"")</f>
        <v/>
      </c>
      <c r="AL1" s="61">
        <f ca="1">IF(OR(AF2="●",AF2="△"),
AE1+2,AE1+1)</f>
        <v>26</v>
      </c>
      <c r="AM1" s="68" t="str">
        <f ca="1">IF(AN1&lt;&gt;"",
MID(貼り付け用!$A$2, FIND("年",貼り付け用!$A$2)+1,2)&amp;"/"&amp;MID(貼り付け用!$A$2, FIND("月",貼り付け用!$A$2)+1,2),"")</f>
        <v/>
      </c>
      <c r="AN1" s="267" t="str" cm="1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48"/>
      <c r="AP1" s="248"/>
      <c r="AQ1" s="248"/>
      <c r="AR1" s="67" t="str">
        <f t="array" aca="1" ref="AR1" ca="1">IF(AN1&lt;&gt;"",
IF(AND(INDIRECT("'盛付札（関数）'!FI"&amp;AL1)&gt;=124,INDIRECT("'盛付札（関数）'!FI"&amp;AL1)&lt;=144),"",
"様"),"")</f>
        <v/>
      </c>
      <c r="AS1" s="45"/>
      <c r="AT1" s="55">
        <f ca="1">IF(OR(AM42="●",AM42="△"),
AL41+2,AL41+1)</f>
        <v>37</v>
      </c>
      <c r="AU1" s="68" t="str">
        <f ca="1">IF(AV1&lt;&gt;"",
MID(貼り付け用!$A$2, FIND("年",貼り付け用!$A$2)+1,2)&amp;"/"&amp;MID(貼り付け用!$A$2, FIND("月",貼り付け用!$A$2)+1,2),"")</f>
        <v/>
      </c>
      <c r="AV1" s="267" t="str" cm="1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48"/>
      <c r="AX1" s="248"/>
      <c r="AY1" s="248"/>
      <c r="AZ1" s="67" t="str">
        <f t="array" aca="1" ref="AZ1" ca="1">IF(AV1&lt;&gt;"",
IF(AND(INDIRECT("'盛付札（関数）'!FI"&amp;AT1)&gt;=124,INDIRECT("'盛付札（関数）'!FI"&amp;AT1)&lt;=144),"",
"様"),"")</f>
        <v/>
      </c>
      <c r="BA1" s="61">
        <f ca="1">IF(OR(AU2="●",AU2="△"),
AT1+2,AT1+1)</f>
        <v>38</v>
      </c>
      <c r="BB1" s="68" t="str">
        <f ca="1">IF(BC1&lt;&gt;"",
MID(貼り付け用!$A$2, FIND("年",貼り付け用!$A$2)+1,2)&amp;"/"&amp;MID(貼り付け用!$A$2, FIND("月",貼り付け用!$A$2)+1,2),"")</f>
        <v/>
      </c>
      <c r="BC1" s="267" t="str" cm="1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48"/>
      <c r="BE1" s="248"/>
      <c r="BF1" s="248"/>
      <c r="BG1" s="67" t="str">
        <f t="array" aca="1" ref="BG1" ca="1">IF(BC1&lt;&gt;"",
IF(AND(INDIRECT("'盛付札（関数）'!FI"&amp;BA1)&gt;=124,INDIRECT("'盛付札（関数）'!FI"&amp;BA1)&lt;=144),"",
"様"),"")</f>
        <v/>
      </c>
      <c r="BH1" s="45"/>
      <c r="BI1" s="55">
        <f ca="1">IF(OR(BB42="●",BB42="△"),
BA41+2,BA41+1)</f>
        <v>49</v>
      </c>
      <c r="BJ1" s="68" t="str">
        <f ca="1">IF(BK1&lt;&gt;"",
MID(貼り付け用!$A$2, FIND("年",貼り付け用!$A$2)+1,2)&amp;"/"&amp;MID(貼り付け用!$A$2, FIND("月",貼り付け用!$A$2)+1,2),"")</f>
        <v/>
      </c>
      <c r="BK1" s="267" t="str" cm="1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48"/>
      <c r="BM1" s="248"/>
      <c r="BN1" s="248"/>
      <c r="BO1" s="67" t="str">
        <f t="array" aca="1" ref="BO1" ca="1">IF(BK1&lt;&gt;"",
IF(AND(INDIRECT("'盛付札（関数）'!FI"&amp;BI1)&gt;=124,INDIRECT("'盛付札（関数）'!FI"&amp;BI1)&lt;=144),"",
"様"),"")</f>
        <v/>
      </c>
      <c r="BP1" s="61">
        <f ca="1">IF(OR(BJ2="●",BJ2="△"),
BI1+2,BI1+1)</f>
        <v>50</v>
      </c>
      <c r="BQ1" s="68" t="str">
        <f ca="1">IF(BR1&lt;&gt;"",
MID(貼り付け用!$A$2, FIND("年",貼り付け用!$A$2)+1,2)&amp;"/"&amp;MID(貼り付け用!$A$2, FIND("月",貼り付け用!$A$2)+1,2),"")</f>
        <v/>
      </c>
      <c r="BR1" s="267" t="str" cm="1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48"/>
      <c r="BT1" s="248"/>
      <c r="BU1" s="248"/>
      <c r="BV1" s="67" t="str">
        <f t="array" aca="1" ref="BV1" ca="1">IF(BR1&lt;&gt;"",
IF(AND(INDIRECT("'盛付札（関数）'!FI"&amp;BP1)&gt;=124,INDIRECT("'盛付札（関数）'!FI"&amp;BP1)&lt;=144),"",
"様"),"")</f>
        <v/>
      </c>
      <c r="BW1" s="45"/>
      <c r="BX1" s="55">
        <f ca="1">IF(OR(BQ42="●",BQ42="△"),
BP41+2,BP41+1)</f>
        <v>61</v>
      </c>
      <c r="BY1" s="68" t="str">
        <f ca="1">IF(BZ1&lt;&gt;"",
MID(貼り付け用!$A$2, FIND("年",貼り付け用!$A$2)+1,2)&amp;"/"&amp;MID(貼り付け用!$A$2, FIND("月",貼り付け用!$A$2)+1,2),"")</f>
        <v/>
      </c>
      <c r="BZ1" s="267" t="str" cm="1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48"/>
      <c r="CB1" s="248"/>
      <c r="CC1" s="248"/>
      <c r="CD1" s="67" t="str">
        <f t="array" aca="1" ref="CD1" ca="1">IF(BZ1&lt;&gt;"",
IF(AND(INDIRECT("'盛付札（関数）'!FI"&amp;BX1)&gt;=124,INDIRECT("'盛付札（関数）'!FI"&amp;BX1)&lt;=144),"",
"様"),"")</f>
        <v/>
      </c>
      <c r="CE1" s="61">
        <f ca="1">IF(OR(BY2="●",BY2="△"),
BX1+2,BX1+1)</f>
        <v>62</v>
      </c>
      <c r="CF1" s="68" t="str">
        <f ca="1">IF(CG1&lt;&gt;"",
MID(貼り付け用!$A$2, FIND("年",貼り付け用!$A$2)+1,2)&amp;"/"&amp;MID(貼り付け用!$A$2, FIND("月",貼り付け用!$A$2)+1,2),"")</f>
        <v/>
      </c>
      <c r="CG1" s="267" t="str" cm="1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48"/>
      <c r="CI1" s="248"/>
      <c r="CJ1" s="248"/>
      <c r="CK1" s="67" t="str">
        <f t="array" aca="1" ref="CK1" ca="1">IF(CG1&lt;&gt;"",
IF(AND(INDIRECT("'盛付札（関数）'!FI"&amp;CE1)&gt;=124,INDIRECT("'盛付札（関数）'!FI"&amp;CE1)&lt;=144),"",
"様"),"")</f>
        <v/>
      </c>
      <c r="CL1" s="45"/>
      <c r="CM1" s="55">
        <f ca="1">IF(OR(CF42="●",CF42="△"),
CE41+2,CE41+1)</f>
        <v>73</v>
      </c>
      <c r="CN1" s="68" t="str">
        <f ca="1">IF(CO1&lt;&gt;"",
MID(貼り付け用!$A$2, FIND("年",貼り付け用!$A$2)+1,2)&amp;"/"&amp;MID(貼り付け用!$A$2, FIND("月",貼り付け用!$A$2)+1,2),"")</f>
        <v/>
      </c>
      <c r="CO1" s="267" t="str" cm="1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48"/>
      <c r="CQ1" s="248"/>
      <c r="CR1" s="248"/>
      <c r="CS1" s="67" t="str">
        <f t="array" aca="1" ref="CS1" ca="1">IF(CO1&lt;&gt;"",
IF(AND(INDIRECT("'盛付札（関数）'!FI"&amp;CM1)&gt;=124,INDIRECT("'盛付札（関数）'!FI"&amp;CM1)&lt;=144),"",
"様"),"")</f>
        <v/>
      </c>
      <c r="CT1" s="61">
        <f ca="1">IF(OR(CN2="●",CN2="△"),
CM1+2,CM1+1)</f>
        <v>74</v>
      </c>
      <c r="CU1" s="68" t="str">
        <f ca="1">IF(CV1&lt;&gt;"",
MID(貼り付け用!$A$2, FIND("年",貼り付け用!$A$2)+1,2)&amp;"/"&amp;MID(貼り付け用!$A$2, FIND("月",貼り付け用!$A$2)+1,2),"")</f>
        <v/>
      </c>
      <c r="CV1" s="267" t="str" cm="1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48"/>
      <c r="CX1" s="248"/>
      <c r="CY1" s="248"/>
      <c r="CZ1" s="67" t="str">
        <f t="array" aca="1" ref="CZ1" ca="1">IF(CV1&lt;&gt;"",
IF(AND(INDIRECT("'盛付札（関数）'!FI"&amp;CT1)&gt;=124,INDIRECT("'盛付札（関数）'!FI"&amp;CT1)&lt;=144),"",
"様"),"")</f>
        <v/>
      </c>
      <c r="DA1" s="45"/>
      <c r="DB1" s="55">
        <f ca="1">IF(OR(CU42="●",CU42="△"),
CT41+2,CT41+1)</f>
        <v>85</v>
      </c>
      <c r="DC1" s="68" t="str">
        <f ca="1">IF(DD1&lt;&gt;"",
MID(貼り付け用!$A$2, FIND("年",貼り付け用!$A$2)+1,2)&amp;"/"&amp;MID(貼り付け用!$A$2, FIND("月",貼り付け用!$A$2)+1,2),"")</f>
        <v/>
      </c>
      <c r="DD1" s="267" t="str" cm="1">
        <f t="array" aca="1" ref="DD1" ca="1">SUBSTITUTE(SUBSTITUTE(SUBSTITUTE(SUBSTITUTE(SUBSTITUTE(SUBSTITUTE(SUBSTITUTE(SUBSTITUTE(SUBSTITUTE(SUBSTITUTE(SUBSTITUTE(
IF(DC2="△",
INDIRECT("'盛付札（関数）'!FJ"&amp;DB1+1),INDIRECT("'盛付札（関数）'!FJ"&amp;DB1)),"０",""),"①",""),"②",""),"③",""),"④",""),"⑤",""),"⑥",""),"⑦",""),"⑧",""),"⑨",""),"⑩","")</f>
        <v/>
      </c>
      <c r="DE1" s="248"/>
      <c r="DF1" s="248"/>
      <c r="DG1" s="248"/>
      <c r="DH1" s="67" t="str">
        <f t="array" aca="1" ref="DH1" ca="1">IF(DD1&lt;&gt;"",
IF(AND(INDIRECT("'盛付札（関数）'!FI"&amp;DB1)&gt;=124,INDIRECT("'盛付札（関数）'!FI"&amp;DB1)&lt;=144),"",
"様"),"")</f>
        <v/>
      </c>
      <c r="DI1" s="61">
        <f ca="1">IF(OR(DC2="●",DC2="△"),
DB1+2,DB1+1)</f>
        <v>86</v>
      </c>
      <c r="DJ1" s="68" t="str">
        <f ca="1">IF(DK1&lt;&gt;"",
MID(貼り付け用!$A$2, FIND("年",貼り付け用!$A$2)+1,2)&amp;"/"&amp;MID(貼り付け用!$A$2, FIND("月",貼り付け用!$A$2)+1,2),"")</f>
        <v/>
      </c>
      <c r="DK1" s="267" t="str" cm="1">
        <f t="array" aca="1" ref="DK1" ca="1">SUBSTITUTE(SUBSTITUTE(SUBSTITUTE(SUBSTITUTE(SUBSTITUTE(SUBSTITUTE(SUBSTITUTE(SUBSTITUTE(SUBSTITUTE(SUBSTITUTE(SUBSTITUTE(
IF(DJ2="△",
INDIRECT("'盛付札（関数）'!FJ"&amp;DI1+1),INDIRECT("'盛付札（関数）'!FJ"&amp;DI1)),"０",""),"①",""),"②",""),"③",""),"④",""),"⑤",""),"⑥",""),"⑦",""),"⑧",""),"⑨",""),"⑩","")</f>
        <v/>
      </c>
      <c r="DL1" s="248"/>
      <c r="DM1" s="248"/>
      <c r="DN1" s="248"/>
      <c r="DO1" s="67" t="str">
        <f t="array" aca="1" ref="DO1" ca="1">IF(DK1&lt;&gt;"",
IF(AND(INDIRECT("'盛付札（関数）'!FI"&amp;DI1)&gt;=124,INDIRECT("'盛付札（関数）'!FI"&amp;DI1)&lt;=144),"",
"様"),"")</f>
        <v/>
      </c>
      <c r="DP1" s="45"/>
      <c r="DQ1" s="55">
        <f ca="1">IF(OR(DJ42="●",DJ42="△"),
DI41+2,DI41+1)</f>
        <v>97</v>
      </c>
      <c r="DR1" s="68" t="str">
        <f ca="1">IF(DS1&lt;&gt;"",
MID(貼り付け用!$A$2, FIND("年",貼り付け用!$A$2)+1,2)&amp;"/"&amp;MID(貼り付け用!$A$2, FIND("月",貼り付け用!$A$2)+1,2),"")</f>
        <v/>
      </c>
      <c r="DS1" s="267" t="str" cm="1">
        <f t="array" aca="1" ref="DS1" ca="1">SUBSTITUTE(SUBSTITUTE(SUBSTITUTE(SUBSTITUTE(SUBSTITUTE(SUBSTITUTE(SUBSTITUTE(SUBSTITUTE(SUBSTITUTE(SUBSTITUTE(SUBSTITUTE(
IF(DR2="△",
INDIRECT("'盛付札（関数）'!FJ"&amp;DQ1+1),INDIRECT("'盛付札（関数）'!FJ"&amp;DQ1)),"０",""),"①",""),"②",""),"③",""),"④",""),"⑤",""),"⑥",""),"⑦",""),"⑧",""),"⑨",""),"⑩","")</f>
        <v/>
      </c>
      <c r="DT1" s="248"/>
      <c r="DU1" s="248"/>
      <c r="DV1" s="248"/>
      <c r="DW1" s="67" t="str">
        <f t="array" aca="1" ref="DW1" ca="1">IF(DS1&lt;&gt;"",
IF(AND(INDIRECT("'盛付札（関数）'!FI"&amp;DQ1)&gt;=124,INDIRECT("'盛付札（関数）'!FI"&amp;DQ1)&lt;=144),"",
"様"),"")</f>
        <v/>
      </c>
      <c r="DX1" s="61">
        <f ca="1">IF(OR(DR2="●",DR2="△"),
DQ1+2,DQ1+1)</f>
        <v>98</v>
      </c>
      <c r="DY1" s="68" t="str">
        <f ca="1">IF(DZ1&lt;&gt;"",
MID(貼り付け用!$A$2, FIND("年",貼り付け用!$A$2)+1,2)&amp;"/"&amp;MID(貼り付け用!$A$2, FIND("月",貼り付け用!$A$2)+1,2),"")</f>
        <v/>
      </c>
      <c r="DZ1" s="267" t="str" cm="1">
        <f t="array" aca="1" ref="DZ1" ca="1">SUBSTITUTE(SUBSTITUTE(SUBSTITUTE(SUBSTITUTE(SUBSTITUTE(SUBSTITUTE(SUBSTITUTE(SUBSTITUTE(SUBSTITUTE(SUBSTITUTE(SUBSTITUTE(
IF(DY2="△",
INDIRECT("'盛付札（関数）'!FJ"&amp;DX1+1),INDIRECT("'盛付札（関数）'!FJ"&amp;DX1)),"０",""),"①",""),"②",""),"③",""),"④",""),"⑤",""),"⑥",""),"⑦",""),"⑧",""),"⑨",""),"⑩","")</f>
        <v/>
      </c>
      <c r="EA1" s="248"/>
      <c r="EB1" s="248"/>
      <c r="EC1" s="248"/>
      <c r="ED1" s="67" t="str">
        <f t="array" aca="1" ref="ED1" ca="1">IF(DZ1&lt;&gt;"",
IF(AND(INDIRECT("'盛付札（関数）'!FI"&amp;DX1)&gt;=124,INDIRECT("'盛付札（関数）'!FI"&amp;DX1)&lt;=144),"",
"様"),"")</f>
        <v/>
      </c>
      <c r="EE1" s="45"/>
      <c r="EF1" s="55">
        <f ca="1">IF(OR(DY42="●",DY42="△"),
DX41+2,DX41+1)</f>
        <v>109</v>
      </c>
      <c r="EG1" s="68" t="str">
        <f ca="1">IF(EH1&lt;&gt;"",
MID(貼り付け用!$A$2, FIND("年",貼り付け用!$A$2)+1,2)&amp;"/"&amp;MID(貼り付け用!$A$2, FIND("月",貼り付け用!$A$2)+1,2),"")</f>
        <v/>
      </c>
      <c r="EH1" s="267" t="str" cm="1">
        <f t="array" aca="1" ref="EH1" ca="1">SUBSTITUTE(SUBSTITUTE(SUBSTITUTE(SUBSTITUTE(SUBSTITUTE(SUBSTITUTE(SUBSTITUTE(SUBSTITUTE(SUBSTITUTE(SUBSTITUTE(SUBSTITUTE(
IF(EG2="△",
INDIRECT("'盛付札（関数）'!FJ"&amp;EF1+1),INDIRECT("'盛付札（関数）'!FJ"&amp;EF1)),"０",""),"①",""),"②",""),"③",""),"④",""),"⑤",""),"⑥",""),"⑦",""),"⑧",""),"⑨",""),"⑩","")</f>
        <v/>
      </c>
      <c r="EI1" s="248"/>
      <c r="EJ1" s="248"/>
      <c r="EK1" s="248"/>
      <c r="EL1" s="67" t="str">
        <f t="array" aca="1" ref="EL1" ca="1">IF(EH1&lt;&gt;"",
IF(AND(INDIRECT("'盛付札（関数）'!FI"&amp;EF1)&gt;=124,INDIRECT("'盛付札（関数）'!FI"&amp;EF1)&lt;=144),"",
"様"),"")</f>
        <v/>
      </c>
      <c r="EM1" s="61">
        <f ca="1">IF(OR(EG2="●",EG2="△"),
EF1+2,EF1+1)</f>
        <v>110</v>
      </c>
      <c r="EN1" s="68" t="str">
        <f ca="1">IF(EO1&lt;&gt;"",
MID(貼り付け用!$A$2, FIND("年",貼り付け用!$A$2)+1,2)&amp;"/"&amp;MID(貼り付け用!$A$2, FIND("月",貼り付け用!$A$2)+1,2),"")</f>
        <v/>
      </c>
      <c r="EO1" s="267" t="str" cm="1">
        <f t="array" aca="1" ref="EO1" ca="1">SUBSTITUTE(SUBSTITUTE(SUBSTITUTE(SUBSTITUTE(SUBSTITUTE(SUBSTITUTE(SUBSTITUTE(SUBSTITUTE(SUBSTITUTE(SUBSTITUTE(SUBSTITUTE(
IF(EN2="△",
INDIRECT("'盛付札（関数）'!FJ"&amp;EM1+1),INDIRECT("'盛付札（関数）'!FJ"&amp;EM1)),"０",""),"①",""),"②",""),"③",""),"④",""),"⑤",""),"⑥",""),"⑦",""),"⑧",""),"⑨",""),"⑩","")</f>
        <v/>
      </c>
      <c r="EP1" s="248"/>
      <c r="EQ1" s="248"/>
      <c r="ER1" s="248"/>
      <c r="ES1" s="67" t="str">
        <f t="array" aca="1" ref="ES1" ca="1">IF(EO1&lt;&gt;"",
IF(AND(INDIRECT("'盛付札（関数）'!FI"&amp;EM1)&gt;=124,INDIRECT("'盛付札（関数）'!FI"&amp;EM1)&lt;=144),"",
"様"),"")</f>
        <v/>
      </c>
      <c r="ET1" s="45"/>
    </row>
    <row r="2" spans="1:150" s="56" customFormat="1" x14ac:dyDescent="0.55000000000000004">
      <c r="A2" s="55"/>
      <c r="B2" s="57" t="str">
        <f ca="1">IF(COUNTIF(INDIRECT("'盛付札（関数）'!FJ"&amp;A1+1),"*雙葉*"),"●",
IF(COUNTIF(INDIRECT("'盛付札（関数）'!FJ"&amp;A1+1),"*社食*"),"△","〇"))</f>
        <v>〇</v>
      </c>
      <c r="C2" s="72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>0</v>
      </c>
      <c r="D2" s="66"/>
      <c r="E2" s="66"/>
      <c r="F2" s="73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>0</v>
      </c>
      <c r="G2" s="64"/>
      <c r="H2" s="74"/>
      <c r="I2" s="57" t="str">
        <f ca="1">IF(COUNTIF(INDIRECT("'盛付札（関数）'!FJ"&amp;H1+1),"*雙葉*"),"●",
IF(COUNTIF(INDIRECT("'盛付札（関数）'!FJ"&amp;H1+1),"*社食*"),"△","〇"))</f>
        <v>〇</v>
      </c>
      <c r="J2" s="72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66"/>
      <c r="L2" s="66"/>
      <c r="M2" s="73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>0</v>
      </c>
      <c r="N2" s="64"/>
      <c r="O2" s="45"/>
      <c r="P2" s="55"/>
      <c r="Q2" s="57" t="str">
        <f ca="1">IF(COUNTIF(INDIRECT("'盛付札（関数）'!FJ"&amp;P1+1),"*雙葉*"),"●",
"〇")</f>
        <v>〇</v>
      </c>
      <c r="R2" s="72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66"/>
      <c r="T2" s="66"/>
      <c r="U2" s="73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4"/>
      <c r="W2" s="74"/>
      <c r="X2" s="57" t="str">
        <f ca="1">IF(COUNTIF(INDIRECT("'盛付札（関数）'!FJ"&amp;W1+1),"*雙葉*"),"●",
"〇")</f>
        <v>〇</v>
      </c>
      <c r="Y2" s="72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66"/>
      <c r="AA2" s="66"/>
      <c r="AB2" s="73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4"/>
      <c r="AD2" s="45"/>
      <c r="AE2" s="55"/>
      <c r="AF2" s="57" t="str">
        <f ca="1">IF(COUNTIF(INDIRECT("'盛付札（関数）'!FJ"&amp;AE1+1),"*雙葉*"),"●",
"〇")</f>
        <v>〇</v>
      </c>
      <c r="AG2" s="72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66"/>
      <c r="AI2" s="66"/>
      <c r="AJ2" s="73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4"/>
      <c r="AL2" s="74"/>
      <c r="AM2" s="57" t="str">
        <f ca="1">IF(COUNTIF(INDIRECT("'盛付札（関数）'!FJ"&amp;AL1+1),"*雙葉*"),"●",
"〇")</f>
        <v>〇</v>
      </c>
      <c r="AN2" s="72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66"/>
      <c r="AP2" s="66"/>
      <c r="AQ2" s="73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4"/>
      <c r="AS2" s="45"/>
      <c r="AT2" s="55"/>
      <c r="AU2" s="57" t="str">
        <f ca="1">IF(COUNTIF(INDIRECT("'盛付札（関数）'!FJ"&amp;AT1+1),"*雙葉*"),"●",
"〇")</f>
        <v>〇</v>
      </c>
      <c r="AV2" s="72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66"/>
      <c r="AX2" s="66"/>
      <c r="AY2" s="73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4"/>
      <c r="BA2" s="74"/>
      <c r="BB2" s="57" t="str">
        <f ca="1">IF(COUNTIF(INDIRECT("'盛付札（関数）'!FJ"&amp;BA1+1),"*雙葉*"),"●",
"〇")</f>
        <v>〇</v>
      </c>
      <c r="BC2" s="72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66"/>
      <c r="BE2" s="66"/>
      <c r="BF2" s="73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4"/>
      <c r="BH2" s="45"/>
      <c r="BI2" s="55"/>
      <c r="BJ2" s="57" t="str">
        <f ca="1">IF(COUNTIF(INDIRECT("'盛付札（関数）'!FJ"&amp;BI1+1),"*雙葉*"),"●",
"〇")</f>
        <v>〇</v>
      </c>
      <c r="BK2" s="72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66"/>
      <c r="BM2" s="66"/>
      <c r="BN2" s="73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4"/>
      <c r="BP2" s="74"/>
      <c r="BQ2" s="57" t="str">
        <f ca="1">IF(COUNTIF(INDIRECT("'盛付札（関数）'!FJ"&amp;BP1+1),"*雙葉*"),"●",
"〇")</f>
        <v>〇</v>
      </c>
      <c r="BR2" s="72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66"/>
      <c r="BT2" s="66"/>
      <c r="BU2" s="73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4"/>
      <c r="BW2" s="45"/>
      <c r="BX2" s="55"/>
      <c r="BY2" s="57" t="str">
        <f ca="1">IF(COUNTIF(INDIRECT("'盛付札（関数）'!FJ"&amp;BX1+1),"*雙葉*"),"●",
"〇")</f>
        <v>〇</v>
      </c>
      <c r="BZ2" s="72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66"/>
      <c r="CB2" s="66"/>
      <c r="CC2" s="73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4"/>
      <c r="CE2" s="74"/>
      <c r="CF2" s="57" t="str">
        <f ca="1">IF(COUNTIF(INDIRECT("'盛付札（関数）'!FJ"&amp;CE1+1),"*雙葉*"),"●",
"〇")</f>
        <v>〇</v>
      </c>
      <c r="CG2" s="72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66"/>
      <c r="CI2" s="66"/>
      <c r="CJ2" s="73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4"/>
      <c r="CL2" s="45"/>
      <c r="CM2" s="55"/>
      <c r="CN2" s="57" t="str">
        <f ca="1">IF(COUNTIF(INDIRECT("'盛付札（関数）'!FJ"&amp;CM1+1),"*雙葉*"),"●",
"〇")</f>
        <v>〇</v>
      </c>
      <c r="CO2" s="72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66"/>
      <c r="CQ2" s="66"/>
      <c r="CR2" s="73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4"/>
      <c r="CT2" s="74"/>
      <c r="CU2" s="57" t="str">
        <f ca="1">IF(COUNTIF(INDIRECT("'盛付札（関数）'!FJ"&amp;CT1+1),"*雙葉*"),"●",
"〇")</f>
        <v>〇</v>
      </c>
      <c r="CV2" s="72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66"/>
      <c r="CX2" s="66"/>
      <c r="CY2" s="73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4"/>
      <c r="DA2" s="45"/>
      <c r="DB2" s="55"/>
      <c r="DC2" s="57" t="str">
        <f ca="1">IF(COUNTIF(INDIRECT("'盛付札（関数）'!FJ"&amp;DB1+1),"*雙葉*"),"●",
"〇")</f>
        <v>〇</v>
      </c>
      <c r="DD2" s="72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66"/>
      <c r="DF2" s="66"/>
      <c r="DG2" s="73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64"/>
      <c r="DI2" s="74"/>
      <c r="DJ2" s="57" t="str">
        <f ca="1">IF(COUNTIF(INDIRECT("'盛付札（関数）'!FJ"&amp;DI1+1),"*雙葉*"),"●",
"〇")</f>
        <v>〇</v>
      </c>
      <c r="DK2" s="72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66"/>
      <c r="DM2" s="66"/>
      <c r="DN2" s="73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64"/>
      <c r="DP2" s="45"/>
      <c r="DQ2" s="55"/>
      <c r="DR2" s="57" t="str">
        <f ca="1">IF(COUNTIF(INDIRECT("'盛付札（関数）'!FJ"&amp;DQ1+1),"*雙葉*"),"●",
"〇")</f>
        <v>〇</v>
      </c>
      <c r="DS2" s="72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66"/>
      <c r="DU2" s="66"/>
      <c r="DV2" s="73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64"/>
      <c r="DX2" s="74"/>
      <c r="DY2" s="57" t="str">
        <f ca="1">IF(COUNTIF(INDIRECT("'盛付札（関数）'!FJ"&amp;DX1+1),"*雙葉*"),"●",
"〇")</f>
        <v>〇</v>
      </c>
      <c r="DZ2" s="72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66"/>
      <c r="EB2" s="66"/>
      <c r="EC2" s="73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64"/>
      <c r="EE2" s="45"/>
      <c r="EF2" s="55"/>
      <c r="EG2" s="57" t="str">
        <f ca="1">IF(COUNTIF(INDIRECT("'盛付札（関数）'!FJ"&amp;EF1+1),"*雙葉*"),"●",
"〇")</f>
        <v>〇</v>
      </c>
      <c r="EH2" s="72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66"/>
      <c r="EJ2" s="66"/>
      <c r="EK2" s="73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64"/>
      <c r="EM2" s="74"/>
      <c r="EN2" s="57" t="str">
        <f ca="1">IF(COUNTIF(INDIRECT("'盛付札（関数）'!FJ"&amp;EM1+1),"*雙葉*"),"●",
"〇")</f>
        <v>〇</v>
      </c>
      <c r="EO2" s="72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66"/>
      <c r="EQ2" s="66"/>
      <c r="ER2" s="73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64"/>
      <c r="ET2" s="45"/>
    </row>
    <row r="3" spans="1:150" s="56" customFormat="1" x14ac:dyDescent="0.55000000000000004">
      <c r="A3" s="55"/>
      <c r="B3" s="59"/>
      <c r="C3" s="265" t="e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>#N/A</v>
      </c>
      <c r="D3" s="266"/>
      <c r="E3" s="45"/>
      <c r="F3" s="56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>先生</v>
      </c>
      <c r="G3" s="65"/>
      <c r="H3" s="61"/>
      <c r="I3" s="59"/>
      <c r="J3" s="265" t="e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>#N/A</v>
      </c>
      <c r="K3" s="266"/>
      <c r="L3" s="45"/>
      <c r="M3" s="56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>先生</v>
      </c>
      <c r="N3" s="65"/>
      <c r="O3" s="45"/>
      <c r="P3" s="55"/>
      <c r="Q3" s="59"/>
      <c r="R3" s="265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66"/>
      <c r="T3" s="45"/>
      <c r="U3" s="56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5"/>
      <c r="W3" s="61"/>
      <c r="X3" s="59"/>
      <c r="Y3" s="265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66"/>
      <c r="AA3" s="45"/>
      <c r="AB3" s="56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5"/>
      <c r="AD3" s="45"/>
      <c r="AE3" s="55"/>
      <c r="AF3" s="59"/>
      <c r="AG3" s="265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66"/>
      <c r="AI3" s="45"/>
      <c r="AJ3" s="56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5"/>
      <c r="AL3" s="61"/>
      <c r="AM3" s="59"/>
      <c r="AN3" s="265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66"/>
      <c r="AP3" s="45"/>
      <c r="AQ3" s="56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5"/>
      <c r="AS3" s="45"/>
      <c r="AT3" s="55"/>
      <c r="AU3" s="59"/>
      <c r="AV3" s="265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66"/>
      <c r="AX3" s="45"/>
      <c r="AY3" s="56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5"/>
      <c r="BA3" s="61"/>
      <c r="BB3" s="59"/>
      <c r="BC3" s="265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66"/>
      <c r="BE3" s="45"/>
      <c r="BF3" s="56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5"/>
      <c r="BH3" s="45"/>
      <c r="BI3" s="55"/>
      <c r="BJ3" s="59"/>
      <c r="BK3" s="265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66"/>
      <c r="BM3" s="45"/>
      <c r="BN3" s="56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5"/>
      <c r="BP3" s="61"/>
      <c r="BQ3" s="59"/>
      <c r="BR3" s="265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66"/>
      <c r="BT3" s="45"/>
      <c r="BU3" s="56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5"/>
      <c r="BW3" s="45"/>
      <c r="BX3" s="55"/>
      <c r="BY3" s="59"/>
      <c r="BZ3" s="265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66"/>
      <c r="CB3" s="45"/>
      <c r="CC3" s="56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5"/>
      <c r="CE3" s="61"/>
      <c r="CF3" s="59"/>
      <c r="CG3" s="265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66"/>
      <c r="CI3" s="45"/>
      <c r="CJ3" s="56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5"/>
      <c r="CL3" s="45"/>
      <c r="CM3" s="55"/>
      <c r="CN3" s="59"/>
      <c r="CO3" s="265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66"/>
      <c r="CQ3" s="45"/>
      <c r="CR3" s="56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5"/>
      <c r="CT3" s="61"/>
      <c r="CU3" s="59"/>
      <c r="CV3" s="265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66"/>
      <c r="CX3" s="45"/>
      <c r="CY3" s="56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5"/>
      <c r="DA3" s="45"/>
      <c r="DB3" s="55"/>
      <c r="DC3" s="59"/>
      <c r="DD3" s="265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66"/>
      <c r="DF3" s="45"/>
      <c r="DG3" s="56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65"/>
      <c r="DI3" s="61"/>
      <c r="DJ3" s="59"/>
      <c r="DK3" s="265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66"/>
      <c r="DM3" s="45"/>
      <c r="DN3" s="56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65"/>
      <c r="DP3" s="45"/>
      <c r="DQ3" s="55"/>
      <c r="DR3" s="59"/>
      <c r="DS3" s="265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66"/>
      <c r="DU3" s="45"/>
      <c r="DV3" s="56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65"/>
      <c r="DX3" s="61"/>
      <c r="DY3" s="59"/>
      <c r="DZ3" s="265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66"/>
      <c r="EB3" s="45"/>
      <c r="EC3" s="56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65"/>
      <c r="EE3" s="45"/>
      <c r="EF3" s="55"/>
      <c r="EG3" s="59"/>
      <c r="EH3" s="265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66"/>
      <c r="EJ3" s="45"/>
      <c r="EK3" s="56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65"/>
      <c r="EM3" s="61"/>
      <c r="EN3" s="59"/>
      <c r="EO3" s="265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66"/>
      <c r="EQ3" s="45"/>
      <c r="ER3" s="56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65"/>
      <c r="ET3" s="45"/>
    </row>
    <row r="4" spans="1:150" ht="15.6" customHeight="1" x14ac:dyDescent="1.05">
      <c r="B4" s="49"/>
      <c r="C4" s="252" t="e">
        <f t="array" aca="1" ref="C4" ca="1">IF(B2="●",
INDIRECT("'盛付札（関数）'!FN"&amp;A1)+INDIRECT("'盛付札（関数）'!FN"&amp;A1+1),
IF(B2="△",
INDIRECT("'盛付札（関数）'!FN"&amp;A1+1),INDIRECT("'盛付札（関数）'!FN"&amp;A1)))</f>
        <v>#N/A</v>
      </c>
      <c r="D4" s="264"/>
      <c r="E4" s="75"/>
      <c r="F4" s="262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>0</v>
      </c>
      <c r="G4" s="263"/>
      <c r="H4" s="50"/>
      <c r="I4" s="49"/>
      <c r="J4" s="252" t="e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#N/A</v>
      </c>
      <c r="K4" s="264"/>
      <c r="L4" s="75"/>
      <c r="M4" s="262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>0</v>
      </c>
      <c r="N4" s="263"/>
      <c r="Q4" s="49"/>
      <c r="R4" s="252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64"/>
      <c r="T4" s="75"/>
      <c r="U4" s="262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63"/>
      <c r="W4" s="50"/>
      <c r="X4" s="49"/>
      <c r="Y4" s="252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64"/>
      <c r="AA4" s="75"/>
      <c r="AB4" s="262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63"/>
      <c r="AF4" s="49"/>
      <c r="AG4" s="252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64"/>
      <c r="AI4" s="75"/>
      <c r="AJ4" s="262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63"/>
      <c r="AL4" s="50"/>
      <c r="AM4" s="49"/>
      <c r="AN4" s="252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64"/>
      <c r="AP4" s="75"/>
      <c r="AQ4" s="262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63"/>
      <c r="AU4" s="49"/>
      <c r="AV4" s="252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64"/>
      <c r="AX4" s="75"/>
      <c r="AY4" s="262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63"/>
      <c r="BA4" s="50"/>
      <c r="BB4" s="49"/>
      <c r="BC4" s="252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64"/>
      <c r="BE4" s="75"/>
      <c r="BF4" s="262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63"/>
      <c r="BJ4" s="49"/>
      <c r="BK4" s="252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64"/>
      <c r="BM4" s="75"/>
      <c r="BN4" s="262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63"/>
      <c r="BP4" s="50"/>
      <c r="BQ4" s="49"/>
      <c r="BR4" s="252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64"/>
      <c r="BT4" s="75"/>
      <c r="BU4" s="262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63"/>
      <c r="BY4" s="49"/>
      <c r="BZ4" s="252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64"/>
      <c r="CB4" s="75"/>
      <c r="CC4" s="262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63"/>
      <c r="CE4" s="50"/>
      <c r="CF4" s="49"/>
      <c r="CG4" s="252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64"/>
      <c r="CI4" s="75"/>
      <c r="CJ4" s="262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63"/>
      <c r="CN4" s="49"/>
      <c r="CO4" s="252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64"/>
      <c r="CQ4" s="75"/>
      <c r="CR4" s="262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63"/>
      <c r="CT4" s="50"/>
      <c r="CU4" s="49"/>
      <c r="CV4" s="252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64"/>
      <c r="CX4" s="75"/>
      <c r="CY4" s="262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63"/>
      <c r="DC4" s="49"/>
      <c r="DD4" s="252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64"/>
      <c r="DF4" s="75"/>
      <c r="DG4" s="262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63"/>
      <c r="DI4" s="50"/>
      <c r="DJ4" s="49"/>
      <c r="DK4" s="252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64"/>
      <c r="DM4" s="75"/>
      <c r="DN4" s="262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63"/>
      <c r="DR4" s="49"/>
      <c r="DS4" s="252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64"/>
      <c r="DU4" s="75"/>
      <c r="DV4" s="262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63"/>
      <c r="DX4" s="50"/>
      <c r="DY4" s="49"/>
      <c r="DZ4" s="252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64"/>
      <c r="EB4" s="75"/>
      <c r="EC4" s="262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63"/>
      <c r="EG4" s="49"/>
      <c r="EH4" s="252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64"/>
      <c r="EJ4" s="75"/>
      <c r="EK4" s="262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63"/>
      <c r="EM4" s="50"/>
      <c r="EN4" s="49"/>
      <c r="EO4" s="252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64"/>
      <c r="EQ4" s="75"/>
      <c r="ER4" s="262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63"/>
    </row>
    <row r="5" spans="1:150" ht="15.6" customHeight="1" x14ac:dyDescent="0.45">
      <c r="B5" s="51"/>
      <c r="C5" s="254"/>
      <c r="D5" s="254"/>
      <c r="E5" s="69"/>
      <c r="F5" s="254"/>
      <c r="G5" s="245"/>
      <c r="H5" s="50"/>
      <c r="I5" s="51"/>
      <c r="J5" s="254"/>
      <c r="K5" s="254"/>
      <c r="L5" s="69"/>
      <c r="M5" s="254"/>
      <c r="N5" s="245"/>
      <c r="Q5" s="51"/>
      <c r="R5" s="254"/>
      <c r="S5" s="254"/>
      <c r="T5" s="69"/>
      <c r="U5" s="254"/>
      <c r="V5" s="245"/>
      <c r="W5" s="50"/>
      <c r="X5" s="51"/>
      <c r="Y5" s="254"/>
      <c r="Z5" s="254"/>
      <c r="AA5" s="69"/>
      <c r="AB5" s="254"/>
      <c r="AC5" s="245"/>
      <c r="AF5" s="51"/>
      <c r="AG5" s="254"/>
      <c r="AH5" s="254"/>
      <c r="AI5" s="69"/>
      <c r="AJ5" s="254"/>
      <c r="AK5" s="245"/>
      <c r="AL5" s="50"/>
      <c r="AM5" s="51"/>
      <c r="AN5" s="254"/>
      <c r="AO5" s="254"/>
      <c r="AP5" s="69"/>
      <c r="AQ5" s="254"/>
      <c r="AR5" s="245"/>
      <c r="AU5" s="51"/>
      <c r="AV5" s="254"/>
      <c r="AW5" s="254"/>
      <c r="AX5" s="69"/>
      <c r="AY5" s="254"/>
      <c r="AZ5" s="245"/>
      <c r="BA5" s="50"/>
      <c r="BB5" s="51"/>
      <c r="BC5" s="254"/>
      <c r="BD5" s="254"/>
      <c r="BE5" s="69"/>
      <c r="BF5" s="254"/>
      <c r="BG5" s="245"/>
      <c r="BJ5" s="51"/>
      <c r="BK5" s="254"/>
      <c r="BL5" s="254"/>
      <c r="BM5" s="69"/>
      <c r="BN5" s="254"/>
      <c r="BO5" s="245"/>
      <c r="BP5" s="50"/>
      <c r="BQ5" s="51"/>
      <c r="BR5" s="254"/>
      <c r="BS5" s="254"/>
      <c r="BT5" s="69"/>
      <c r="BU5" s="254"/>
      <c r="BV5" s="245"/>
      <c r="BY5" s="51"/>
      <c r="BZ5" s="254"/>
      <c r="CA5" s="254"/>
      <c r="CB5" s="69"/>
      <c r="CC5" s="254"/>
      <c r="CD5" s="245"/>
      <c r="CE5" s="50"/>
      <c r="CF5" s="51"/>
      <c r="CG5" s="254"/>
      <c r="CH5" s="254"/>
      <c r="CI5" s="69"/>
      <c r="CJ5" s="254"/>
      <c r="CK5" s="245"/>
      <c r="CN5" s="51"/>
      <c r="CO5" s="254"/>
      <c r="CP5" s="254"/>
      <c r="CQ5" s="69"/>
      <c r="CR5" s="254"/>
      <c r="CS5" s="245"/>
      <c r="CT5" s="50"/>
      <c r="CU5" s="51"/>
      <c r="CV5" s="254"/>
      <c r="CW5" s="254"/>
      <c r="CX5" s="69"/>
      <c r="CY5" s="254"/>
      <c r="CZ5" s="245"/>
      <c r="DC5" s="51"/>
      <c r="DD5" s="254"/>
      <c r="DE5" s="254"/>
      <c r="DF5" s="69"/>
      <c r="DG5" s="254"/>
      <c r="DH5" s="245"/>
      <c r="DI5" s="50"/>
      <c r="DJ5" s="51"/>
      <c r="DK5" s="254"/>
      <c r="DL5" s="254"/>
      <c r="DM5" s="69"/>
      <c r="DN5" s="254"/>
      <c r="DO5" s="245"/>
      <c r="DR5" s="51"/>
      <c r="DS5" s="254"/>
      <c r="DT5" s="254"/>
      <c r="DU5" s="69"/>
      <c r="DV5" s="254"/>
      <c r="DW5" s="245"/>
      <c r="DX5" s="50"/>
      <c r="DY5" s="51"/>
      <c r="DZ5" s="254"/>
      <c r="EA5" s="254"/>
      <c r="EB5" s="69"/>
      <c r="EC5" s="254"/>
      <c r="ED5" s="245"/>
      <c r="EG5" s="51"/>
      <c r="EH5" s="254"/>
      <c r="EI5" s="254"/>
      <c r="EJ5" s="69"/>
      <c r="EK5" s="254"/>
      <c r="EL5" s="245"/>
      <c r="EM5" s="50"/>
      <c r="EN5" s="51"/>
      <c r="EO5" s="254"/>
      <c r="EP5" s="254"/>
      <c r="EQ5" s="69"/>
      <c r="ER5" s="254"/>
      <c r="ES5" s="245"/>
    </row>
    <row r="6" spans="1:150" s="56" customFormat="1" x14ac:dyDescent="0.55000000000000004">
      <c r="A6" s="55"/>
      <c r="B6" s="62" t="str">
        <f t="array" aca="1" ref="B6" ca="1">IF(C1&lt;&gt;"",
IF(OR(INDIRECT("'盛付札（関数）'!FI"&amp;A1)=121,INDIRECT("'盛付札（関数）'!FI"&amp;A1)=122,INDIRECT("'盛付札（関数）'!FI"&amp;A1)=123),"",
"パン箱"),"")</f>
        <v>パン箱</v>
      </c>
      <c r="C6" s="60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>0</v>
      </c>
      <c r="D6" s="62" t="str">
        <f t="array" aca="1" ref="D6" ca="1">IF(C1&lt;&gt;"",
IF(OR(INDIRECT("'盛付札（関数）'!FI"&amp;A1)=121,INDIRECT("'盛付札（関数）'!FI"&amp;A1)=122,INDIRECT("'盛付札（関数）'!FI"&amp;A1)=123),"",
"端数"),"")</f>
        <v>端数</v>
      </c>
      <c r="E6" s="60"/>
      <c r="F6" s="62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>アレルギー</v>
      </c>
      <c r="G6" s="65"/>
      <c r="H6" s="45"/>
      <c r="I6" s="62" t="str">
        <f t="array" aca="1" ref="I6" ca="1">IF(J1&lt;&gt;"",
IF(OR(INDIRECT("'盛付札（関数）'!FI"&amp;H1)=121,INDIRECT("'盛付札（関数）'!FI"&amp;H1)=122,INDIRECT("'盛付札（関数）'!FI"&amp;H1)=123),"",
"パン箱"),"")</f>
        <v>パン箱</v>
      </c>
      <c r="J6" s="60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>0</v>
      </c>
      <c r="K6" s="62" t="str">
        <f t="array" aca="1" ref="K6" ca="1">IF(J1&lt;&gt;"",
IF(OR(INDIRECT("'盛付札（関数）'!FI"&amp;H1)=121,INDIRECT("'盛付札（関数）'!FI"&amp;H1)=122,INDIRECT("'盛付札（関数）'!FI"&amp;H1)=123),"",
"端数"),"")</f>
        <v>端数</v>
      </c>
      <c r="L6" s="60"/>
      <c r="M6" s="62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>アレルギー</v>
      </c>
      <c r="N6" s="65"/>
      <c r="O6" s="45"/>
      <c r="P6" s="55"/>
      <c r="Q6" s="62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0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2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0"/>
      <c r="U6" s="62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5"/>
      <c r="W6" s="45"/>
      <c r="X6" s="62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0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2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0"/>
      <c r="AB6" s="62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5"/>
      <c r="AD6" s="45"/>
      <c r="AE6" s="55"/>
      <c r="AF6" s="62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0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2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0"/>
      <c r="AJ6" s="62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5"/>
      <c r="AL6" s="45"/>
      <c r="AM6" s="62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0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2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0"/>
      <c r="AQ6" s="62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5"/>
      <c r="AS6" s="45"/>
      <c r="AT6" s="55"/>
      <c r="AU6" s="62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0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2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0"/>
      <c r="AY6" s="62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5"/>
      <c r="BA6" s="45"/>
      <c r="BB6" s="62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0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2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0"/>
      <c r="BF6" s="62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5"/>
      <c r="BH6" s="45"/>
      <c r="BI6" s="55"/>
      <c r="BJ6" s="62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0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2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0"/>
      <c r="BN6" s="62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5"/>
      <c r="BP6" s="45"/>
      <c r="BQ6" s="62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0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2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0"/>
      <c r="BU6" s="62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5"/>
      <c r="BW6" s="45"/>
      <c r="BX6" s="55"/>
      <c r="BY6" s="62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0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2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0"/>
      <c r="CC6" s="62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5"/>
      <c r="CE6" s="45"/>
      <c r="CF6" s="62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0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2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0"/>
      <c r="CJ6" s="62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5"/>
      <c r="CL6" s="45"/>
      <c r="CM6" s="55"/>
      <c r="CN6" s="62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0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2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0"/>
      <c r="CR6" s="62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5"/>
      <c r="CT6" s="45"/>
      <c r="CU6" s="62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0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2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0"/>
      <c r="CY6" s="62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5"/>
      <c r="DA6" s="45"/>
      <c r="DB6" s="55"/>
      <c r="DC6" s="62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0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2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0"/>
      <c r="DG6" s="62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65"/>
      <c r="DI6" s="45"/>
      <c r="DJ6" s="62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0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2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0"/>
      <c r="DN6" s="62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65"/>
      <c r="DP6" s="45"/>
      <c r="DQ6" s="55"/>
      <c r="DR6" s="62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0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2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0"/>
      <c r="DV6" s="62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65"/>
      <c r="DX6" s="45"/>
      <c r="DY6" s="62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0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2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0"/>
      <c r="EC6" s="62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65"/>
      <c r="EE6" s="45"/>
      <c r="EF6" s="55"/>
      <c r="EG6" s="62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0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2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0"/>
      <c r="EK6" s="62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65"/>
      <c r="EM6" s="45"/>
      <c r="EN6" s="62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0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2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0"/>
      <c r="ER6" s="62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65"/>
      <c r="ET6" s="45"/>
    </row>
    <row r="7" spans="1:150" ht="27.6" customHeight="1" x14ac:dyDescent="0.45">
      <c r="B7" s="244" t="e">
        <f ca="1">IF(C4&lt;&gt;"",
IFERROR(INT(C4/C6),""),"")</f>
        <v>#N/A</v>
      </c>
      <c r="C7" s="245"/>
      <c r="D7" s="244" t="str">
        <f ca="1">IFERROR(MOD(C4,C6),"")</f>
        <v/>
      </c>
      <c r="E7" s="245"/>
      <c r="F7" s="246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>0</v>
      </c>
      <c r="G7" s="245"/>
      <c r="I7" s="244" t="e">
        <f ca="1">IF(J4&lt;&gt;"",
IFERROR(INT(J4/J6),""),"")</f>
        <v>#N/A</v>
      </c>
      <c r="J7" s="245"/>
      <c r="K7" s="244" t="str">
        <f ca="1">IFERROR(MOD(J4,J6),"")</f>
        <v/>
      </c>
      <c r="L7" s="245"/>
      <c r="M7" s="246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>0</v>
      </c>
      <c r="N7" s="245"/>
      <c r="Q7" s="244" t="str">
        <f ca="1">IF(R4&lt;&gt;"",
IFERROR(INT(R4/R6),""),"")</f>
        <v/>
      </c>
      <c r="R7" s="245"/>
      <c r="S7" s="244" t="str">
        <f ca="1">IFERROR(MOD(R4,R6),"")</f>
        <v/>
      </c>
      <c r="T7" s="245"/>
      <c r="U7" s="246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45"/>
      <c r="X7" s="244" t="str">
        <f ca="1">IF(Y4&lt;&gt;"",
IFERROR(INT(Y4/Y6),""),"")</f>
        <v/>
      </c>
      <c r="Y7" s="245"/>
      <c r="Z7" s="244" t="str">
        <f ca="1">IFERROR(MOD(Y4,Y6),"")</f>
        <v/>
      </c>
      <c r="AA7" s="245"/>
      <c r="AB7" s="246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45"/>
      <c r="AF7" s="244" t="str">
        <f ca="1">IF(AG4&lt;&gt;"",
IFERROR(INT(AG4/AG6),""),"")</f>
        <v/>
      </c>
      <c r="AG7" s="245"/>
      <c r="AH7" s="244" t="str">
        <f ca="1">IFERROR(MOD(AG4,AG6),"")</f>
        <v/>
      </c>
      <c r="AI7" s="245"/>
      <c r="AJ7" s="246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45"/>
      <c r="AM7" s="244" t="str">
        <f ca="1">IF(AN4&lt;&gt;"",
IFERROR(INT(AN4/AN6),""),"")</f>
        <v/>
      </c>
      <c r="AN7" s="245"/>
      <c r="AO7" s="244" t="str">
        <f ca="1">IFERROR(MOD(AN4,AN6),"")</f>
        <v/>
      </c>
      <c r="AP7" s="245"/>
      <c r="AQ7" s="246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45"/>
      <c r="AU7" s="244" t="str">
        <f ca="1">IF(AV4&lt;&gt;"",
IFERROR(INT(AV4/AV6),""),"")</f>
        <v/>
      </c>
      <c r="AV7" s="245"/>
      <c r="AW7" s="244" t="str">
        <f ca="1">IFERROR(MOD(AV4,AV6),"")</f>
        <v/>
      </c>
      <c r="AX7" s="245"/>
      <c r="AY7" s="246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45"/>
      <c r="BB7" s="244" t="str">
        <f ca="1">IF(BC4&lt;&gt;"",
IFERROR(INT(BC4/BC6),""),"")</f>
        <v/>
      </c>
      <c r="BC7" s="245"/>
      <c r="BD7" s="244" t="str">
        <f ca="1">IFERROR(MOD(BC4,BC6),"")</f>
        <v/>
      </c>
      <c r="BE7" s="245"/>
      <c r="BF7" s="246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45"/>
      <c r="BJ7" s="244" t="str">
        <f ca="1">IF(BK4&lt;&gt;"",
IFERROR(INT(BK4/BK6),""),"")</f>
        <v/>
      </c>
      <c r="BK7" s="245"/>
      <c r="BL7" s="244" t="str">
        <f ca="1">IFERROR(MOD(BK4,BK6),"")</f>
        <v/>
      </c>
      <c r="BM7" s="245"/>
      <c r="BN7" s="246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45"/>
      <c r="BQ7" s="244" t="str">
        <f ca="1">IF(BR4&lt;&gt;"",
IFERROR(INT(BR4/BR6),""),"")</f>
        <v/>
      </c>
      <c r="BR7" s="245"/>
      <c r="BS7" s="244" t="str">
        <f ca="1">IFERROR(MOD(BR4,BR6),"")</f>
        <v/>
      </c>
      <c r="BT7" s="245"/>
      <c r="BU7" s="246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45"/>
      <c r="BY7" s="244" t="str">
        <f ca="1">IF(BZ4&lt;&gt;"",
IFERROR(INT(BZ4/BZ6),""),"")</f>
        <v/>
      </c>
      <c r="BZ7" s="245"/>
      <c r="CA7" s="244" t="str">
        <f ca="1">IFERROR(MOD(BZ4,BZ6),"")</f>
        <v/>
      </c>
      <c r="CB7" s="245"/>
      <c r="CC7" s="246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45"/>
      <c r="CF7" s="244" t="str">
        <f ca="1">IF(CG4&lt;&gt;"",
IFERROR(INT(CG4/CG6),""),"")</f>
        <v/>
      </c>
      <c r="CG7" s="245"/>
      <c r="CH7" s="244" t="str">
        <f ca="1">IFERROR(MOD(CG4,CG6),"")</f>
        <v/>
      </c>
      <c r="CI7" s="245"/>
      <c r="CJ7" s="246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45"/>
      <c r="CN7" s="244" t="str">
        <f ca="1">IF(CO4&lt;&gt;"",
IFERROR(INT(CO4/CO6),""),"")</f>
        <v/>
      </c>
      <c r="CO7" s="245"/>
      <c r="CP7" s="244" t="str">
        <f ca="1">IFERROR(MOD(CO4,CO6),"")</f>
        <v/>
      </c>
      <c r="CQ7" s="245"/>
      <c r="CR7" s="246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45"/>
      <c r="CU7" s="244" t="str">
        <f ca="1">IF(CV4&lt;&gt;"",
IFERROR(INT(CV4/CV6),""),"")</f>
        <v/>
      </c>
      <c r="CV7" s="245"/>
      <c r="CW7" s="244" t="str">
        <f ca="1">IFERROR(MOD(CV4,CV6),"")</f>
        <v/>
      </c>
      <c r="CX7" s="245"/>
      <c r="CY7" s="246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45"/>
      <c r="DC7" s="244" t="str">
        <f ca="1">IF(DD4&lt;&gt;"",
IFERROR(INT(DD4/DD6),""),"")</f>
        <v/>
      </c>
      <c r="DD7" s="245"/>
      <c r="DE7" s="244" t="str">
        <f ca="1">IFERROR(MOD(DD4,DD6),"")</f>
        <v/>
      </c>
      <c r="DF7" s="245"/>
      <c r="DG7" s="246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45"/>
      <c r="DJ7" s="244" t="str">
        <f ca="1">IF(DK4&lt;&gt;"",
IFERROR(INT(DK4/DK6),""),"")</f>
        <v/>
      </c>
      <c r="DK7" s="245"/>
      <c r="DL7" s="244" t="str">
        <f ca="1">IFERROR(MOD(DK4,DK6),"")</f>
        <v/>
      </c>
      <c r="DM7" s="245"/>
      <c r="DN7" s="246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45"/>
      <c r="DR7" s="244" t="str">
        <f ca="1">IF(DS4&lt;&gt;"",
IFERROR(INT(DS4/DS6),""),"")</f>
        <v/>
      </c>
      <c r="DS7" s="245"/>
      <c r="DT7" s="244" t="str">
        <f ca="1">IFERROR(MOD(DS4,DS6),"")</f>
        <v/>
      </c>
      <c r="DU7" s="245"/>
      <c r="DV7" s="246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45"/>
      <c r="DY7" s="244" t="str">
        <f ca="1">IF(DZ4&lt;&gt;"",
IFERROR(INT(DZ4/DZ6),""),"")</f>
        <v/>
      </c>
      <c r="DZ7" s="245"/>
      <c r="EA7" s="244" t="str">
        <f ca="1">IFERROR(MOD(DZ4,DZ6),"")</f>
        <v/>
      </c>
      <c r="EB7" s="245"/>
      <c r="EC7" s="246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45"/>
      <c r="EG7" s="244" t="str">
        <f ca="1">IF(EH4&lt;&gt;"",
IFERROR(INT(EH4/EH6),""),"")</f>
        <v/>
      </c>
      <c r="EH7" s="245"/>
      <c r="EI7" s="244" t="str">
        <f ca="1">IFERROR(MOD(EH4,EH6),"")</f>
        <v/>
      </c>
      <c r="EJ7" s="245"/>
      <c r="EK7" s="246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45"/>
      <c r="EN7" s="244" t="str">
        <f ca="1">IF(EO4&lt;&gt;"",
IFERROR(INT(EO4/EO6),""),"")</f>
        <v/>
      </c>
      <c r="EO7" s="245"/>
      <c r="EP7" s="244" t="str">
        <f ca="1">IFERROR(MOD(EO4,EO6),"")</f>
        <v/>
      </c>
      <c r="EQ7" s="245"/>
      <c r="ER7" s="246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45"/>
    </row>
    <row r="8" spans="1:150" ht="6.6" customHeight="1" x14ac:dyDescent="0.55000000000000004">
      <c r="B8" s="70"/>
      <c r="D8" s="70"/>
      <c r="F8" s="71"/>
      <c r="I8" s="70"/>
      <c r="K8" s="70"/>
      <c r="M8" s="71"/>
      <c r="Q8" s="70"/>
      <c r="S8" s="70"/>
      <c r="U8" s="71"/>
      <c r="X8" s="70"/>
      <c r="Z8" s="70"/>
      <c r="AB8" s="71"/>
      <c r="AF8" s="70"/>
      <c r="AH8" s="70"/>
      <c r="AJ8" s="71"/>
      <c r="AM8" s="70"/>
      <c r="AO8" s="70"/>
      <c r="AQ8" s="71"/>
      <c r="AU8" s="70"/>
      <c r="AW8" s="70"/>
      <c r="AY8" s="71"/>
      <c r="BB8" s="70"/>
      <c r="BD8" s="70"/>
      <c r="BF8" s="71"/>
      <c r="BJ8" s="70"/>
      <c r="BL8" s="70"/>
      <c r="BN8" s="71"/>
      <c r="BQ8" s="70"/>
      <c r="BS8" s="70"/>
      <c r="BU8" s="71"/>
      <c r="BY8" s="70"/>
      <c r="CA8" s="70"/>
      <c r="CC8" s="71"/>
      <c r="CF8" s="70"/>
      <c r="CH8" s="70"/>
      <c r="CJ8" s="71"/>
      <c r="CN8" s="70"/>
      <c r="CP8" s="70"/>
      <c r="CR8" s="71"/>
      <c r="CU8" s="70"/>
      <c r="CW8" s="70"/>
      <c r="CY8" s="71"/>
      <c r="DC8" s="70"/>
      <c r="DE8" s="70"/>
      <c r="DG8" s="71"/>
      <c r="DJ8" s="70"/>
      <c r="DL8" s="70"/>
      <c r="DN8" s="71"/>
      <c r="DR8" s="70"/>
      <c r="DT8" s="70"/>
      <c r="DV8" s="71"/>
      <c r="DY8" s="70"/>
      <c r="EA8" s="70"/>
      <c r="EC8" s="71"/>
      <c r="EG8" s="70"/>
      <c r="EI8" s="70"/>
      <c r="EK8" s="71"/>
      <c r="EN8" s="70"/>
      <c r="EP8" s="70"/>
      <c r="ER8" s="71"/>
    </row>
    <row r="9" spans="1:150" s="56" customFormat="1" ht="25.8" customHeight="1" x14ac:dyDescent="0.55000000000000004">
      <c r="A9" s="55">
        <f ca="1">IF(OR(I2="●",I2="△"),
H1+2,H1+1)</f>
        <v>3</v>
      </c>
      <c r="B9" s="68" t="e">
        <f ca="1">IF(C9&lt;&gt;"",
MID(貼り付け用!$A$2, FIND("年",貼り付け用!$A$2)+1,2)&amp;"/"&amp;MID(貼り付け用!$A$2, FIND("月",貼り付け用!$A$2)+1,2),"")</f>
        <v>#VALUE!</v>
      </c>
      <c r="C9" s="267" t="str" cm="1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>配送</v>
      </c>
      <c r="D9" s="248"/>
      <c r="E9" s="248"/>
      <c r="F9" s="248"/>
      <c r="G9" s="67" t="str">
        <f t="array" aca="1" ref="G9" ca="1">IF(C9&lt;&gt;"",
IF(AND(INDIRECT("'盛付札（関数）'!FI"&amp;A9)&gt;=124,INDIRECT("'盛付札（関数）'!FI"&amp;A9)&lt;=144),"",
"様"),"")</f>
        <v>様</v>
      </c>
      <c r="H9" s="61">
        <f ca="1">IF(OR(B10="●",B10="△"),
A9+2,A9+1)</f>
        <v>4</v>
      </c>
      <c r="I9" s="68" t="e">
        <f ca="1">IF(J9&lt;&gt;"",
MID(貼り付け用!$A$2, FIND("年",貼り付け用!$A$2)+1,2)&amp;"/"&amp;MID(貼り付け用!$A$2, FIND("月",貼り付け用!$A$2)+1,2),"")</f>
        <v>#VALUE!</v>
      </c>
      <c r="J9" s="267" t="str" cm="1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>先生用</v>
      </c>
      <c r="K9" s="248"/>
      <c r="L9" s="248"/>
      <c r="M9" s="248"/>
      <c r="N9" s="67" t="str">
        <f t="array" aca="1" ref="N9" ca="1">IF(J9&lt;&gt;"",
IF(AND(INDIRECT("'盛付札（関数）'!FI"&amp;H9)&gt;=124,INDIRECT("'盛付札（関数）'!FI"&amp;H9)&lt;=144),"",
"様"),"")</f>
        <v>様</v>
      </c>
      <c r="O9" s="45"/>
      <c r="P9" s="55">
        <f ca="1">IF(OR(X2="●",X2="△"),
W1+2,W1+1)</f>
        <v>15</v>
      </c>
      <c r="Q9" s="68" t="str">
        <f ca="1">IF(R9&lt;&gt;"",
MID(貼り付け用!$A$2, FIND("年",貼り付け用!$A$2)+1,2)&amp;"/"&amp;MID(貼り付け用!$A$2, FIND("月",貼り付け用!$A$2)+1,2),"")</f>
        <v/>
      </c>
      <c r="R9" s="267" t="str" cm="1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48"/>
      <c r="T9" s="248"/>
      <c r="U9" s="248"/>
      <c r="V9" s="67" t="str">
        <f t="array" aca="1" ref="V9" ca="1">IF(R9&lt;&gt;"",
IF(AND(INDIRECT("'盛付札（関数）'!FI"&amp;P9)&gt;=124,INDIRECT("'盛付札（関数）'!FI"&amp;P9)&lt;=144),"",
"様"),"")</f>
        <v/>
      </c>
      <c r="W9" s="61">
        <f ca="1">IF(OR(Q10="●",Q10="△"),
P9+2,P9+1)</f>
        <v>16</v>
      </c>
      <c r="X9" s="68" t="str">
        <f ca="1">IF(Y9&lt;&gt;"",
MID(貼り付け用!$A$2, FIND("年",貼り付け用!$A$2)+1,2)&amp;"/"&amp;MID(貼り付け用!$A$2, FIND("月",貼り付け用!$A$2)+1,2),"")</f>
        <v/>
      </c>
      <c r="Y9" s="267" t="str" cm="1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48"/>
      <c r="AA9" s="248"/>
      <c r="AB9" s="248"/>
      <c r="AC9" s="67" t="str">
        <f t="array" aca="1" ref="AC9" ca="1">IF(Y9&lt;&gt;"",
IF(AND(INDIRECT("'盛付札（関数）'!FI"&amp;W9)&gt;=124,INDIRECT("'盛付札（関数）'!FI"&amp;W9)&lt;=144),"",
"様"),"")</f>
        <v/>
      </c>
      <c r="AD9" s="45"/>
      <c r="AE9" s="55">
        <f ca="1">IF(OR(AM2="●",AM2="△"),
AL1+2,AL1+1)</f>
        <v>27</v>
      </c>
      <c r="AF9" s="68" t="str">
        <f ca="1">IF(AG9&lt;&gt;"",
MID(貼り付け用!$A$2, FIND("年",貼り付け用!$A$2)+1,2)&amp;"/"&amp;MID(貼り付け用!$A$2, FIND("月",貼り付け用!$A$2)+1,2),"")</f>
        <v/>
      </c>
      <c r="AG9" s="267" t="str" cm="1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48"/>
      <c r="AI9" s="248"/>
      <c r="AJ9" s="248"/>
      <c r="AK9" s="67" t="str">
        <f t="array" aca="1" ref="AK9" ca="1">IF(AG9&lt;&gt;"",
IF(AND(INDIRECT("'盛付札（関数）'!FI"&amp;AE9)&gt;=124,INDIRECT("'盛付札（関数）'!FI"&amp;AE9)&lt;=144),"",
"様"),"")</f>
        <v/>
      </c>
      <c r="AL9" s="61">
        <f ca="1">IF(OR(AF10="●",AF10="△"),
AE9+2,AE9+1)</f>
        <v>28</v>
      </c>
      <c r="AM9" s="68" t="str">
        <f ca="1">IF(AN9&lt;&gt;"",
MID(貼り付け用!$A$2, FIND("年",貼り付け用!$A$2)+1,2)&amp;"/"&amp;MID(貼り付け用!$A$2, FIND("月",貼り付け用!$A$2)+1,2),"")</f>
        <v/>
      </c>
      <c r="AN9" s="267" t="str" cm="1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48"/>
      <c r="AP9" s="248"/>
      <c r="AQ9" s="248"/>
      <c r="AR9" s="67" t="str">
        <f t="array" aca="1" ref="AR9" ca="1">IF(AN9&lt;&gt;"",
IF(AND(INDIRECT("'盛付札（関数）'!FI"&amp;AL9)&gt;=124,INDIRECT("'盛付札（関数）'!FI"&amp;AL9)&lt;=144),"",
"様"),"")</f>
        <v/>
      </c>
      <c r="AS9" s="45"/>
      <c r="AT9" s="55">
        <f ca="1">IF(OR(BB2="●",BB2="△"),
BA1+2,BA1+1)</f>
        <v>39</v>
      </c>
      <c r="AU9" s="68" t="str">
        <f ca="1">IF(AV9&lt;&gt;"",
MID(貼り付け用!$A$2, FIND("年",貼り付け用!$A$2)+1,2)&amp;"/"&amp;MID(貼り付け用!$A$2, FIND("月",貼り付け用!$A$2)+1,2),"")</f>
        <v/>
      </c>
      <c r="AV9" s="267" t="str" cm="1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48"/>
      <c r="AX9" s="248"/>
      <c r="AY9" s="248"/>
      <c r="AZ9" s="67" t="str">
        <f t="array" aca="1" ref="AZ9" ca="1">IF(AV9&lt;&gt;"",
IF(AND(INDIRECT("'盛付札（関数）'!FI"&amp;AT9)&gt;=124,INDIRECT("'盛付札（関数）'!FI"&amp;AT9)&lt;=144),"",
"様"),"")</f>
        <v/>
      </c>
      <c r="BA9" s="61">
        <f ca="1">IF(OR(AU10="●",AU10="△"),
AT9+2,AT9+1)</f>
        <v>40</v>
      </c>
      <c r="BB9" s="68" t="str">
        <f ca="1">IF(BC9&lt;&gt;"",
MID(貼り付け用!$A$2, FIND("年",貼り付け用!$A$2)+1,2)&amp;"/"&amp;MID(貼り付け用!$A$2, FIND("月",貼り付け用!$A$2)+1,2),"")</f>
        <v/>
      </c>
      <c r="BC9" s="267" t="str" cm="1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48"/>
      <c r="BE9" s="248"/>
      <c r="BF9" s="248"/>
      <c r="BG9" s="67" t="str">
        <f t="array" aca="1" ref="BG9" ca="1">IF(BC9&lt;&gt;"",
IF(AND(INDIRECT("'盛付札（関数）'!FI"&amp;BA9)&gt;=124,INDIRECT("'盛付札（関数）'!FI"&amp;BA9)&lt;=144),"",
"様"),"")</f>
        <v/>
      </c>
      <c r="BH9" s="45"/>
      <c r="BI9" s="55">
        <f ca="1">IF(OR(BQ2="●",BQ2="△"),
BP1+2,BP1+1)</f>
        <v>51</v>
      </c>
      <c r="BJ9" s="68" t="str">
        <f ca="1">IF(BK9&lt;&gt;"",
MID(貼り付け用!$A$2, FIND("年",貼り付け用!$A$2)+1,2)&amp;"/"&amp;MID(貼り付け用!$A$2, FIND("月",貼り付け用!$A$2)+1,2),"")</f>
        <v/>
      </c>
      <c r="BK9" s="267" t="str" cm="1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48"/>
      <c r="BM9" s="248"/>
      <c r="BN9" s="248"/>
      <c r="BO9" s="67" t="str">
        <f t="array" aca="1" ref="BO9" ca="1">IF(BK9&lt;&gt;"",
IF(AND(INDIRECT("'盛付札（関数）'!FI"&amp;BI9)&gt;=124,INDIRECT("'盛付札（関数）'!FI"&amp;BI9)&lt;=144),"",
"様"),"")</f>
        <v/>
      </c>
      <c r="BP9" s="61">
        <f ca="1">IF(OR(BJ10="●",BJ10="△"),
BI9+2,BI9+1)</f>
        <v>52</v>
      </c>
      <c r="BQ9" s="68" t="str">
        <f ca="1">IF(BR9&lt;&gt;"",
MID(貼り付け用!$A$2, FIND("年",貼り付け用!$A$2)+1,2)&amp;"/"&amp;MID(貼り付け用!$A$2, FIND("月",貼り付け用!$A$2)+1,2),"")</f>
        <v/>
      </c>
      <c r="BR9" s="267" t="str" cm="1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48"/>
      <c r="BT9" s="248"/>
      <c r="BU9" s="248"/>
      <c r="BV9" s="67" t="str">
        <f t="array" aca="1" ref="BV9" ca="1">IF(BR9&lt;&gt;"",
IF(AND(INDIRECT("'盛付札（関数）'!FI"&amp;BP9)&gt;=124,INDIRECT("'盛付札（関数）'!FI"&amp;BP9)&lt;=144),"",
"様"),"")</f>
        <v/>
      </c>
      <c r="BW9" s="45"/>
      <c r="BX9" s="55">
        <f ca="1">IF(OR(CF2="●",CF2="△"),
CE1+2,CE1+1)</f>
        <v>63</v>
      </c>
      <c r="BY9" s="68" t="str">
        <f ca="1">IF(BZ9&lt;&gt;"",
MID(貼り付け用!$A$2, FIND("年",貼り付け用!$A$2)+1,2)&amp;"/"&amp;MID(貼り付け用!$A$2, FIND("月",貼り付け用!$A$2)+1,2),"")</f>
        <v/>
      </c>
      <c r="BZ9" s="267" t="str" cm="1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48"/>
      <c r="CB9" s="248"/>
      <c r="CC9" s="248"/>
      <c r="CD9" s="67" t="str">
        <f t="array" aca="1" ref="CD9" ca="1">IF(BZ9&lt;&gt;"",
IF(AND(INDIRECT("'盛付札（関数）'!FI"&amp;BX9)&gt;=124,INDIRECT("'盛付札（関数）'!FI"&amp;BX9)&lt;=144),"",
"様"),"")</f>
        <v/>
      </c>
      <c r="CE9" s="61">
        <f ca="1">IF(OR(BY10="●",BY10="△"),
BX9+2,BX9+1)</f>
        <v>64</v>
      </c>
      <c r="CF9" s="68" t="str">
        <f ca="1">IF(CG9&lt;&gt;"",
MID(貼り付け用!$A$2, FIND("年",貼り付け用!$A$2)+1,2)&amp;"/"&amp;MID(貼り付け用!$A$2, FIND("月",貼り付け用!$A$2)+1,2),"")</f>
        <v/>
      </c>
      <c r="CG9" s="267" t="str" cm="1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48"/>
      <c r="CI9" s="248"/>
      <c r="CJ9" s="248"/>
      <c r="CK9" s="67" t="str">
        <f t="array" aca="1" ref="CK9" ca="1">IF(CG9&lt;&gt;"",
IF(AND(INDIRECT("'盛付札（関数）'!FI"&amp;CE9)&gt;=124,INDIRECT("'盛付札（関数）'!FI"&amp;CE9)&lt;=144),"",
"様"),"")</f>
        <v/>
      </c>
      <c r="CL9" s="45"/>
      <c r="CM9" s="55">
        <f ca="1">IF(OR(CU2="●",CU2="△"),
CT1+2,CT1+1)</f>
        <v>75</v>
      </c>
      <c r="CN9" s="68" t="str">
        <f ca="1">IF(CO9&lt;&gt;"",
MID(貼り付け用!$A$2, FIND("年",貼り付け用!$A$2)+1,2)&amp;"/"&amp;MID(貼り付け用!$A$2, FIND("月",貼り付け用!$A$2)+1,2),"")</f>
        <v/>
      </c>
      <c r="CO9" s="267" t="str" cm="1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48"/>
      <c r="CQ9" s="248"/>
      <c r="CR9" s="248"/>
      <c r="CS9" s="67" t="str">
        <f t="array" aca="1" ref="CS9" ca="1">IF(CO9&lt;&gt;"",
IF(AND(INDIRECT("'盛付札（関数）'!FI"&amp;CM9)&gt;=124,INDIRECT("'盛付札（関数）'!FI"&amp;CM9)&lt;=144),"",
"様"),"")</f>
        <v/>
      </c>
      <c r="CT9" s="61">
        <f ca="1">IF(OR(CN10="●",CN10="△"),
CM9+2,CM9+1)</f>
        <v>76</v>
      </c>
      <c r="CU9" s="68" t="str">
        <f ca="1">IF(CV9&lt;&gt;"",
MID(貼り付け用!$A$2, FIND("年",貼り付け用!$A$2)+1,2)&amp;"/"&amp;MID(貼り付け用!$A$2, FIND("月",貼り付け用!$A$2)+1,2),"")</f>
        <v/>
      </c>
      <c r="CV9" s="267" t="str" cm="1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48"/>
      <c r="CX9" s="248"/>
      <c r="CY9" s="248"/>
      <c r="CZ9" s="67" t="str">
        <f t="array" aca="1" ref="CZ9" ca="1">IF(CV9&lt;&gt;"",
IF(AND(INDIRECT("'盛付札（関数）'!FI"&amp;CT9)&gt;=124,INDIRECT("'盛付札（関数）'!FI"&amp;CT9)&lt;=144),"",
"様"),"")</f>
        <v/>
      </c>
      <c r="DA9" s="45"/>
      <c r="DB9" s="55">
        <f ca="1">IF(OR(DJ2="●",DJ2="△"),
DI1+2,DI1+1)</f>
        <v>87</v>
      </c>
      <c r="DC9" s="68" t="str">
        <f ca="1">IF(DD9&lt;&gt;"",
MID(貼り付け用!$A$2, FIND("年",貼り付け用!$A$2)+1,2)&amp;"/"&amp;MID(貼り付け用!$A$2, FIND("月",貼り付け用!$A$2)+1,2),"")</f>
        <v/>
      </c>
      <c r="DD9" s="267" t="str" cm="1">
        <f t="array" aca="1" ref="DD9" ca="1">SUBSTITUTE(SUBSTITUTE(SUBSTITUTE(SUBSTITUTE(SUBSTITUTE(SUBSTITUTE(SUBSTITUTE(SUBSTITUTE(SUBSTITUTE(SUBSTITUTE(SUBSTITUTE(
IF(DC10="△",
INDIRECT("'盛付札（関数）'!FJ"&amp;DB9+1),INDIRECT("'盛付札（関数）'!FJ"&amp;DB9)),"０",""),"①",""),"②",""),"③",""),"④",""),"⑤",""),"⑥",""),"⑦",""),"⑧",""),"⑨",""),"⑩","")</f>
        <v/>
      </c>
      <c r="DE9" s="248"/>
      <c r="DF9" s="248"/>
      <c r="DG9" s="248"/>
      <c r="DH9" s="67" t="str">
        <f t="array" aca="1" ref="DH9" ca="1">IF(DD9&lt;&gt;"",
IF(AND(INDIRECT("'盛付札（関数）'!FI"&amp;DB9)&gt;=124,INDIRECT("'盛付札（関数）'!FI"&amp;DB9)&lt;=144),"",
"様"),"")</f>
        <v/>
      </c>
      <c r="DI9" s="61">
        <f ca="1">IF(OR(DC10="●",DC10="△"),
DB9+2,DB9+1)</f>
        <v>88</v>
      </c>
      <c r="DJ9" s="68" t="str">
        <f ca="1">IF(DK9&lt;&gt;"",
MID(貼り付け用!$A$2, FIND("年",貼り付け用!$A$2)+1,2)&amp;"/"&amp;MID(貼り付け用!$A$2, FIND("月",貼り付け用!$A$2)+1,2),"")</f>
        <v/>
      </c>
      <c r="DK9" s="267" t="str" cm="1">
        <f t="array" aca="1" ref="DK9" ca="1">SUBSTITUTE(SUBSTITUTE(SUBSTITUTE(SUBSTITUTE(SUBSTITUTE(SUBSTITUTE(SUBSTITUTE(SUBSTITUTE(SUBSTITUTE(SUBSTITUTE(SUBSTITUTE(
IF(DJ10="△",
INDIRECT("'盛付札（関数）'!FJ"&amp;DI9+1),INDIRECT("'盛付札（関数）'!FJ"&amp;DI9)),"０",""),"①",""),"②",""),"③",""),"④",""),"⑤",""),"⑥",""),"⑦",""),"⑧",""),"⑨",""),"⑩","")</f>
        <v/>
      </c>
      <c r="DL9" s="248"/>
      <c r="DM9" s="248"/>
      <c r="DN9" s="248"/>
      <c r="DO9" s="67" t="str">
        <f t="array" aca="1" ref="DO9" ca="1">IF(DK9&lt;&gt;"",
IF(AND(INDIRECT("'盛付札（関数）'!FI"&amp;DI9)&gt;=124,INDIRECT("'盛付札（関数）'!FI"&amp;DI9)&lt;=144),"",
"様"),"")</f>
        <v/>
      </c>
      <c r="DP9" s="45"/>
      <c r="DQ9" s="55">
        <f ca="1">IF(OR(DY2="●",DY2="△"),
DX1+2,DX1+1)</f>
        <v>99</v>
      </c>
      <c r="DR9" s="68" t="str">
        <f ca="1">IF(DS9&lt;&gt;"",
MID(貼り付け用!$A$2, FIND("年",貼り付け用!$A$2)+1,2)&amp;"/"&amp;MID(貼り付け用!$A$2, FIND("月",貼り付け用!$A$2)+1,2),"")</f>
        <v/>
      </c>
      <c r="DS9" s="267" t="str" cm="1">
        <f t="array" aca="1" ref="DS9" ca="1">SUBSTITUTE(SUBSTITUTE(SUBSTITUTE(SUBSTITUTE(SUBSTITUTE(SUBSTITUTE(SUBSTITUTE(SUBSTITUTE(SUBSTITUTE(SUBSTITUTE(SUBSTITUTE(
IF(DR10="△",
INDIRECT("'盛付札（関数）'!FJ"&amp;DQ9+1),INDIRECT("'盛付札（関数）'!FJ"&amp;DQ9)),"０",""),"①",""),"②",""),"③",""),"④",""),"⑤",""),"⑥",""),"⑦",""),"⑧",""),"⑨",""),"⑩","")</f>
        <v/>
      </c>
      <c r="DT9" s="248"/>
      <c r="DU9" s="248"/>
      <c r="DV9" s="248"/>
      <c r="DW9" s="67" t="str">
        <f t="array" aca="1" ref="DW9" ca="1">IF(DS9&lt;&gt;"",
IF(AND(INDIRECT("'盛付札（関数）'!FI"&amp;DQ9)&gt;=124,INDIRECT("'盛付札（関数）'!FI"&amp;DQ9)&lt;=144),"",
"様"),"")</f>
        <v/>
      </c>
      <c r="DX9" s="61">
        <f ca="1">IF(OR(DR10="●",DR10="△"),
DQ9+2,DQ9+1)</f>
        <v>100</v>
      </c>
      <c r="DY9" s="68" t="str">
        <f ca="1">IF(DZ9&lt;&gt;"",
MID(貼り付け用!$A$2, FIND("年",貼り付け用!$A$2)+1,2)&amp;"/"&amp;MID(貼り付け用!$A$2, FIND("月",貼り付け用!$A$2)+1,2),"")</f>
        <v/>
      </c>
      <c r="DZ9" s="267" t="str" cm="1">
        <f t="array" aca="1" ref="DZ9" ca="1">SUBSTITUTE(SUBSTITUTE(SUBSTITUTE(SUBSTITUTE(SUBSTITUTE(SUBSTITUTE(SUBSTITUTE(SUBSTITUTE(SUBSTITUTE(SUBSTITUTE(SUBSTITUTE(
IF(DY10="△",
INDIRECT("'盛付札（関数）'!FJ"&amp;DX9+1),INDIRECT("'盛付札（関数）'!FJ"&amp;DX9)),"０",""),"①",""),"②",""),"③",""),"④",""),"⑤",""),"⑥",""),"⑦",""),"⑧",""),"⑨",""),"⑩","")</f>
        <v/>
      </c>
      <c r="EA9" s="248"/>
      <c r="EB9" s="248"/>
      <c r="EC9" s="248"/>
      <c r="ED9" s="67" t="str">
        <f t="array" aca="1" ref="ED9" ca="1">IF(DZ9&lt;&gt;"",
IF(AND(INDIRECT("'盛付札（関数）'!FI"&amp;DX9)&gt;=124,INDIRECT("'盛付札（関数）'!FI"&amp;DX9)&lt;=144),"",
"様"),"")</f>
        <v/>
      </c>
      <c r="EE9" s="45"/>
      <c r="EF9" s="55">
        <f ca="1">IF(OR(EN2="●",EN2="△"),
EM1+2,EM1+1)</f>
        <v>111</v>
      </c>
      <c r="EG9" s="68" t="str">
        <f ca="1">IF(EH9&lt;&gt;"",
MID(貼り付け用!$A$2, FIND("年",貼り付け用!$A$2)+1,2)&amp;"/"&amp;MID(貼り付け用!$A$2, FIND("月",貼り付け用!$A$2)+1,2),"")</f>
        <v/>
      </c>
      <c r="EH9" s="267" t="str" cm="1">
        <f t="array" aca="1" ref="EH9" ca="1">SUBSTITUTE(SUBSTITUTE(SUBSTITUTE(SUBSTITUTE(SUBSTITUTE(SUBSTITUTE(SUBSTITUTE(SUBSTITUTE(SUBSTITUTE(SUBSTITUTE(SUBSTITUTE(
IF(EG10="△",
INDIRECT("'盛付札（関数）'!FJ"&amp;EF9+1),INDIRECT("'盛付札（関数）'!FJ"&amp;EF9)),"０",""),"①",""),"②",""),"③",""),"④",""),"⑤",""),"⑥",""),"⑦",""),"⑧",""),"⑨",""),"⑩","")</f>
        <v/>
      </c>
      <c r="EI9" s="248"/>
      <c r="EJ9" s="248"/>
      <c r="EK9" s="248"/>
      <c r="EL9" s="67" t="str">
        <f t="array" aca="1" ref="EL9" ca="1">IF(EH9&lt;&gt;"",
IF(AND(INDIRECT("'盛付札（関数）'!FI"&amp;EF9)&gt;=124,INDIRECT("'盛付札（関数）'!FI"&amp;EF9)&lt;=144),"",
"様"),"")</f>
        <v/>
      </c>
      <c r="EM9" s="61">
        <f ca="1">IF(OR(EG10="●",EG10="△"),
EF9+2,EF9+1)</f>
        <v>112</v>
      </c>
      <c r="EN9" s="68" t="str">
        <f ca="1">IF(EO9&lt;&gt;"",
MID(貼り付け用!$A$2, FIND("年",貼り付け用!$A$2)+1,2)&amp;"/"&amp;MID(貼り付け用!$A$2, FIND("月",貼り付け用!$A$2)+1,2),"")</f>
        <v/>
      </c>
      <c r="EO9" s="267" t="str" cm="1">
        <f t="array" aca="1" ref="EO9" ca="1">SUBSTITUTE(SUBSTITUTE(SUBSTITUTE(SUBSTITUTE(SUBSTITUTE(SUBSTITUTE(SUBSTITUTE(SUBSTITUTE(SUBSTITUTE(SUBSTITUTE(SUBSTITUTE(
IF(EN10="△",
INDIRECT("'盛付札（関数）'!FJ"&amp;EM9+1),INDIRECT("'盛付札（関数）'!FJ"&amp;EM9)),"０",""),"①",""),"②",""),"③",""),"④",""),"⑤",""),"⑥",""),"⑦",""),"⑧",""),"⑨",""),"⑩","")</f>
        <v/>
      </c>
      <c r="EP9" s="248"/>
      <c r="EQ9" s="248"/>
      <c r="ER9" s="248"/>
      <c r="ES9" s="67" t="str">
        <f t="array" aca="1" ref="ES9" ca="1">IF(EO9&lt;&gt;"",
IF(AND(INDIRECT("'盛付札（関数）'!FI"&amp;EM9)&gt;=124,INDIRECT("'盛付札（関数）'!FI"&amp;EM9)&lt;=144),"",
"様"),"")</f>
        <v/>
      </c>
      <c r="ET9" s="45"/>
    </row>
    <row r="10" spans="1:150" s="56" customFormat="1" x14ac:dyDescent="0.55000000000000004">
      <c r="A10" s="55"/>
      <c r="B10" s="57" t="str">
        <f ca="1">IF(COUNTIF(INDIRECT("'盛付札（関数）'!FJ"&amp;A9+1),"*雙葉*"),"●",
"〇")</f>
        <v>〇</v>
      </c>
      <c r="C10" s="72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66"/>
      <c r="E10" s="66"/>
      <c r="F10" s="73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>0</v>
      </c>
      <c r="G10" s="64"/>
      <c r="H10" s="74"/>
      <c r="I10" s="57" t="str">
        <f ca="1">IF(COUNTIF(INDIRECT("'盛付札（関数）'!FJ"&amp;H9+1),"*雙葉*"),"●",
"〇")</f>
        <v>〇</v>
      </c>
      <c r="J10" s="72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66"/>
      <c r="L10" s="66"/>
      <c r="M10" s="73" t="e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>#N/A</v>
      </c>
      <c r="N10" s="64"/>
      <c r="O10" s="45"/>
      <c r="P10" s="55"/>
      <c r="Q10" s="57" t="str">
        <f ca="1">IF(COUNTIF(INDIRECT("'盛付札（関数）'!FJ"&amp;P9+1),"*雙葉*"),"●",
"〇")</f>
        <v>〇</v>
      </c>
      <c r="R10" s="72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66"/>
      <c r="T10" s="66"/>
      <c r="U10" s="73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4"/>
      <c r="W10" s="74"/>
      <c r="X10" s="57" t="str">
        <f ca="1">IF(COUNTIF(INDIRECT("'盛付札（関数）'!FJ"&amp;W9+1),"*雙葉*"),"●",
"〇")</f>
        <v>〇</v>
      </c>
      <c r="Y10" s="72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66"/>
      <c r="AA10" s="66"/>
      <c r="AB10" s="73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4"/>
      <c r="AD10" s="45"/>
      <c r="AE10" s="55"/>
      <c r="AF10" s="57" t="str">
        <f ca="1">IF(COUNTIF(INDIRECT("'盛付札（関数）'!FJ"&amp;AE9+1),"*雙葉*"),"●",
"〇")</f>
        <v>〇</v>
      </c>
      <c r="AG10" s="72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66"/>
      <c r="AI10" s="66"/>
      <c r="AJ10" s="73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4"/>
      <c r="AL10" s="74"/>
      <c r="AM10" s="57" t="str">
        <f ca="1">IF(COUNTIF(INDIRECT("'盛付札（関数）'!FJ"&amp;AL9+1),"*雙葉*"),"●",
"〇")</f>
        <v>〇</v>
      </c>
      <c r="AN10" s="72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66"/>
      <c r="AP10" s="66"/>
      <c r="AQ10" s="73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4"/>
      <c r="AS10" s="45"/>
      <c r="AT10" s="55"/>
      <c r="AU10" s="57" t="str">
        <f ca="1">IF(COUNTIF(INDIRECT("'盛付札（関数）'!FJ"&amp;AT9+1),"*雙葉*"),"●",
"〇")</f>
        <v>〇</v>
      </c>
      <c r="AV10" s="72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66"/>
      <c r="AX10" s="66"/>
      <c r="AY10" s="73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4"/>
      <c r="BA10" s="74"/>
      <c r="BB10" s="57" t="str">
        <f ca="1">IF(COUNTIF(INDIRECT("'盛付札（関数）'!FJ"&amp;BA9+1),"*雙葉*"),"●",
"〇")</f>
        <v>〇</v>
      </c>
      <c r="BC10" s="72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66"/>
      <c r="BE10" s="66"/>
      <c r="BF10" s="73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4"/>
      <c r="BH10" s="45"/>
      <c r="BI10" s="55"/>
      <c r="BJ10" s="57" t="str">
        <f ca="1">IF(COUNTIF(INDIRECT("'盛付札（関数）'!FJ"&amp;BI9+1),"*雙葉*"),"●",
"〇")</f>
        <v>〇</v>
      </c>
      <c r="BK10" s="72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66"/>
      <c r="BM10" s="66"/>
      <c r="BN10" s="73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4"/>
      <c r="BP10" s="74"/>
      <c r="BQ10" s="57" t="str">
        <f ca="1">IF(COUNTIF(INDIRECT("'盛付札（関数）'!FJ"&amp;BP9+1),"*雙葉*"),"●",
"〇")</f>
        <v>〇</v>
      </c>
      <c r="BR10" s="72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66"/>
      <c r="BT10" s="66"/>
      <c r="BU10" s="73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4"/>
      <c r="BW10" s="45"/>
      <c r="BX10" s="55"/>
      <c r="BY10" s="57" t="str">
        <f ca="1">IF(COUNTIF(INDIRECT("'盛付札（関数）'!FJ"&amp;BX9+1),"*雙葉*"),"●",
"〇")</f>
        <v>〇</v>
      </c>
      <c r="BZ10" s="72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66"/>
      <c r="CB10" s="66"/>
      <c r="CC10" s="73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4"/>
      <c r="CE10" s="74"/>
      <c r="CF10" s="57" t="str">
        <f ca="1">IF(COUNTIF(INDIRECT("'盛付札（関数）'!FJ"&amp;CE9+1),"*雙葉*"),"●",
"〇")</f>
        <v>〇</v>
      </c>
      <c r="CG10" s="72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66"/>
      <c r="CI10" s="66"/>
      <c r="CJ10" s="73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4"/>
      <c r="CL10" s="45"/>
      <c r="CM10" s="55"/>
      <c r="CN10" s="57" t="str">
        <f ca="1">IF(COUNTIF(INDIRECT("'盛付札（関数）'!FJ"&amp;CM9+1),"*雙葉*"),"●",
"〇")</f>
        <v>〇</v>
      </c>
      <c r="CO10" s="72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66"/>
      <c r="CQ10" s="66"/>
      <c r="CR10" s="73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4"/>
      <c r="CT10" s="74"/>
      <c r="CU10" s="57" t="str">
        <f ca="1">IF(COUNTIF(INDIRECT("'盛付札（関数）'!FJ"&amp;CT9+1),"*雙葉*"),"●",
"〇")</f>
        <v>〇</v>
      </c>
      <c r="CV10" s="72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66"/>
      <c r="CX10" s="66"/>
      <c r="CY10" s="73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4"/>
      <c r="DA10" s="45"/>
      <c r="DB10" s="55"/>
      <c r="DC10" s="57" t="str">
        <f ca="1">IF(COUNTIF(INDIRECT("'盛付札（関数）'!FJ"&amp;DB9+1),"*雙葉*"),"●",
"〇")</f>
        <v>〇</v>
      </c>
      <c r="DD10" s="72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66"/>
      <c r="DF10" s="66"/>
      <c r="DG10" s="73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64"/>
      <c r="DI10" s="74"/>
      <c r="DJ10" s="57" t="str">
        <f ca="1">IF(COUNTIF(INDIRECT("'盛付札（関数）'!FJ"&amp;DI9+1),"*雙葉*"),"●",
"〇")</f>
        <v>〇</v>
      </c>
      <c r="DK10" s="72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66"/>
      <c r="DM10" s="66"/>
      <c r="DN10" s="73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64"/>
      <c r="DP10" s="45"/>
      <c r="DQ10" s="55"/>
      <c r="DR10" s="57" t="str">
        <f ca="1">IF(COUNTIF(INDIRECT("'盛付札（関数）'!FJ"&amp;DQ9+1),"*雙葉*"),"●",
"〇")</f>
        <v>〇</v>
      </c>
      <c r="DS10" s="72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66"/>
      <c r="DU10" s="66"/>
      <c r="DV10" s="73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64"/>
      <c r="DX10" s="74"/>
      <c r="DY10" s="57" t="str">
        <f ca="1">IF(COUNTIF(INDIRECT("'盛付札（関数）'!FJ"&amp;DX9+1),"*雙葉*"),"●",
"〇")</f>
        <v>〇</v>
      </c>
      <c r="DZ10" s="72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66"/>
      <c r="EB10" s="66"/>
      <c r="EC10" s="73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64"/>
      <c r="EE10" s="45"/>
      <c r="EF10" s="55"/>
      <c r="EG10" s="57" t="str">
        <f ca="1">IF(COUNTIF(INDIRECT("'盛付札（関数）'!FJ"&amp;EF9+1),"*雙葉*"),"●",
"〇")</f>
        <v>〇</v>
      </c>
      <c r="EH10" s="72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66"/>
      <c r="EJ10" s="66"/>
      <c r="EK10" s="73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64"/>
      <c r="EM10" s="74"/>
      <c r="EN10" s="57" t="str">
        <f ca="1">IF(COUNTIF(INDIRECT("'盛付札（関数）'!FJ"&amp;EM9+1),"*雙葉*"),"●",
"〇")</f>
        <v>〇</v>
      </c>
      <c r="EO10" s="72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66"/>
      <c r="EQ10" s="66"/>
      <c r="ER10" s="73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64"/>
      <c r="ET10" s="45"/>
    </row>
    <row r="11" spans="1:150" s="56" customFormat="1" x14ac:dyDescent="0.55000000000000004">
      <c r="A11" s="55"/>
      <c r="B11" s="59"/>
      <c r="C11" s="265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>園児</v>
      </c>
      <c r="D11" s="266"/>
      <c r="E11" s="45"/>
      <c r="F11" s="56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>先生</v>
      </c>
      <c r="G11" s="65"/>
      <c r="H11" s="61"/>
      <c r="I11" s="59"/>
      <c r="J11" s="265" t="e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>#N/A</v>
      </c>
      <c r="K11" s="266"/>
      <c r="L11" s="45"/>
      <c r="M11" s="56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>先生</v>
      </c>
      <c r="N11" s="65"/>
      <c r="O11" s="45"/>
      <c r="P11" s="55"/>
      <c r="Q11" s="59"/>
      <c r="R11" s="265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66"/>
      <c r="T11" s="45"/>
      <c r="U11" s="56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5"/>
      <c r="W11" s="61"/>
      <c r="X11" s="59"/>
      <c r="Y11" s="265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66"/>
      <c r="AA11" s="45"/>
      <c r="AB11" s="56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5"/>
      <c r="AD11" s="45"/>
      <c r="AE11" s="55"/>
      <c r="AF11" s="59"/>
      <c r="AG11" s="265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66"/>
      <c r="AI11" s="45"/>
      <c r="AJ11" s="56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5"/>
      <c r="AL11" s="61"/>
      <c r="AM11" s="59"/>
      <c r="AN11" s="265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66"/>
      <c r="AP11" s="45"/>
      <c r="AQ11" s="56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5"/>
      <c r="AS11" s="45"/>
      <c r="AT11" s="55"/>
      <c r="AU11" s="59"/>
      <c r="AV11" s="265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66"/>
      <c r="AX11" s="45"/>
      <c r="AY11" s="56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5"/>
      <c r="BA11" s="61"/>
      <c r="BB11" s="59"/>
      <c r="BC11" s="265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66"/>
      <c r="BE11" s="45"/>
      <c r="BF11" s="56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5"/>
      <c r="BH11" s="45"/>
      <c r="BI11" s="55"/>
      <c r="BJ11" s="59"/>
      <c r="BK11" s="265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66"/>
      <c r="BM11" s="45"/>
      <c r="BN11" s="56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5"/>
      <c r="BP11" s="61"/>
      <c r="BQ11" s="59"/>
      <c r="BR11" s="265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66"/>
      <c r="BT11" s="45"/>
      <c r="BU11" s="56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5"/>
      <c r="BW11" s="45"/>
      <c r="BX11" s="55"/>
      <c r="BY11" s="59"/>
      <c r="BZ11" s="265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66"/>
      <c r="CB11" s="45"/>
      <c r="CC11" s="56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5"/>
      <c r="CE11" s="61"/>
      <c r="CF11" s="59"/>
      <c r="CG11" s="265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66"/>
      <c r="CI11" s="45"/>
      <c r="CJ11" s="56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5"/>
      <c r="CL11" s="45"/>
      <c r="CM11" s="55"/>
      <c r="CN11" s="59"/>
      <c r="CO11" s="265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66"/>
      <c r="CQ11" s="45"/>
      <c r="CR11" s="56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5"/>
      <c r="CT11" s="61"/>
      <c r="CU11" s="59"/>
      <c r="CV11" s="265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66"/>
      <c r="CX11" s="45"/>
      <c r="CY11" s="56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5"/>
      <c r="DA11" s="45"/>
      <c r="DB11" s="55"/>
      <c r="DC11" s="59"/>
      <c r="DD11" s="265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66"/>
      <c r="DF11" s="45"/>
      <c r="DG11" s="56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65"/>
      <c r="DI11" s="61"/>
      <c r="DJ11" s="59"/>
      <c r="DK11" s="265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66"/>
      <c r="DM11" s="45"/>
      <c r="DN11" s="56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65"/>
      <c r="DP11" s="45"/>
      <c r="DQ11" s="55"/>
      <c r="DR11" s="59"/>
      <c r="DS11" s="265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66"/>
      <c r="DU11" s="45"/>
      <c r="DV11" s="56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65"/>
      <c r="DX11" s="61"/>
      <c r="DY11" s="59"/>
      <c r="DZ11" s="265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66"/>
      <c r="EB11" s="45"/>
      <c r="EC11" s="56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65"/>
      <c r="EE11" s="45"/>
      <c r="EF11" s="55"/>
      <c r="EG11" s="59"/>
      <c r="EH11" s="265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66"/>
      <c r="EJ11" s="45"/>
      <c r="EK11" s="56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65"/>
      <c r="EM11" s="61"/>
      <c r="EN11" s="59"/>
      <c r="EO11" s="265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66"/>
      <c r="EQ11" s="45"/>
      <c r="ER11" s="56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65"/>
      <c r="ET11" s="45"/>
    </row>
    <row r="12" spans="1:150" ht="15.6" customHeight="1" x14ac:dyDescent="1.05">
      <c r="B12" s="49"/>
      <c r="C12" s="252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2</v>
      </c>
      <c r="D12" s="264"/>
      <c r="E12" s="75"/>
      <c r="F12" s="262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>0</v>
      </c>
      <c r="G12" s="263"/>
      <c r="H12" s="50"/>
      <c r="I12" s="49"/>
      <c r="J12" s="252" t="e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#N/A</v>
      </c>
      <c r="K12" s="264"/>
      <c r="L12" s="75"/>
      <c r="M12" s="262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>0</v>
      </c>
      <c r="N12" s="263"/>
      <c r="Q12" s="49"/>
      <c r="R12" s="252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64"/>
      <c r="T12" s="75"/>
      <c r="U12" s="262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63"/>
      <c r="W12" s="50"/>
      <c r="X12" s="49"/>
      <c r="Y12" s="252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64"/>
      <c r="AA12" s="75"/>
      <c r="AB12" s="262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63"/>
      <c r="AF12" s="49"/>
      <c r="AG12" s="252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64"/>
      <c r="AI12" s="75"/>
      <c r="AJ12" s="262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63"/>
      <c r="AL12" s="50"/>
      <c r="AM12" s="49"/>
      <c r="AN12" s="252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64"/>
      <c r="AP12" s="75"/>
      <c r="AQ12" s="262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63"/>
      <c r="AU12" s="49"/>
      <c r="AV12" s="252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64"/>
      <c r="AX12" s="75"/>
      <c r="AY12" s="262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63"/>
      <c r="BA12" s="50"/>
      <c r="BB12" s="49"/>
      <c r="BC12" s="252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64"/>
      <c r="BE12" s="75"/>
      <c r="BF12" s="262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63"/>
      <c r="BJ12" s="49"/>
      <c r="BK12" s="252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64"/>
      <c r="BM12" s="75"/>
      <c r="BN12" s="262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63"/>
      <c r="BP12" s="50"/>
      <c r="BQ12" s="49"/>
      <c r="BR12" s="252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64"/>
      <c r="BT12" s="75"/>
      <c r="BU12" s="262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63"/>
      <c r="BY12" s="49"/>
      <c r="BZ12" s="252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64"/>
      <c r="CB12" s="75"/>
      <c r="CC12" s="262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63"/>
      <c r="CE12" s="50"/>
      <c r="CF12" s="49"/>
      <c r="CG12" s="252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64"/>
      <c r="CI12" s="75"/>
      <c r="CJ12" s="262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63"/>
      <c r="CN12" s="49"/>
      <c r="CO12" s="252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64"/>
      <c r="CQ12" s="75"/>
      <c r="CR12" s="262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63"/>
      <c r="CT12" s="50"/>
      <c r="CU12" s="49"/>
      <c r="CV12" s="252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64"/>
      <c r="CX12" s="75"/>
      <c r="CY12" s="262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63"/>
      <c r="DC12" s="49"/>
      <c r="DD12" s="252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64"/>
      <c r="DF12" s="75"/>
      <c r="DG12" s="262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63"/>
      <c r="DI12" s="50"/>
      <c r="DJ12" s="49"/>
      <c r="DK12" s="252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64"/>
      <c r="DM12" s="75"/>
      <c r="DN12" s="262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63"/>
      <c r="DR12" s="49"/>
      <c r="DS12" s="252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64"/>
      <c r="DU12" s="75"/>
      <c r="DV12" s="262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63"/>
      <c r="DX12" s="50"/>
      <c r="DY12" s="49"/>
      <c r="DZ12" s="252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64"/>
      <c r="EB12" s="75"/>
      <c r="EC12" s="262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63"/>
      <c r="EG12" s="49"/>
      <c r="EH12" s="252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64"/>
      <c r="EJ12" s="75"/>
      <c r="EK12" s="262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63"/>
      <c r="EM12" s="50"/>
      <c r="EN12" s="49"/>
      <c r="EO12" s="252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64"/>
      <c r="EQ12" s="75"/>
      <c r="ER12" s="262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63"/>
    </row>
    <row r="13" spans="1:150" ht="15.6" customHeight="1" x14ac:dyDescent="0.45">
      <c r="B13" s="51"/>
      <c r="C13" s="254"/>
      <c r="D13" s="254"/>
      <c r="E13" s="69"/>
      <c r="F13" s="254"/>
      <c r="G13" s="245"/>
      <c r="H13" s="50"/>
      <c r="I13" s="51"/>
      <c r="J13" s="254"/>
      <c r="K13" s="254"/>
      <c r="L13" s="69"/>
      <c r="M13" s="254"/>
      <c r="N13" s="245"/>
      <c r="Q13" s="51"/>
      <c r="R13" s="254"/>
      <c r="S13" s="254"/>
      <c r="T13" s="69"/>
      <c r="U13" s="254"/>
      <c r="V13" s="245"/>
      <c r="W13" s="50"/>
      <c r="X13" s="51"/>
      <c r="Y13" s="254"/>
      <c r="Z13" s="254"/>
      <c r="AA13" s="69"/>
      <c r="AB13" s="254"/>
      <c r="AC13" s="245"/>
      <c r="AF13" s="51"/>
      <c r="AG13" s="254"/>
      <c r="AH13" s="254"/>
      <c r="AI13" s="69"/>
      <c r="AJ13" s="254"/>
      <c r="AK13" s="245"/>
      <c r="AL13" s="50"/>
      <c r="AM13" s="51"/>
      <c r="AN13" s="254"/>
      <c r="AO13" s="254"/>
      <c r="AP13" s="69"/>
      <c r="AQ13" s="254"/>
      <c r="AR13" s="245"/>
      <c r="AU13" s="51"/>
      <c r="AV13" s="254"/>
      <c r="AW13" s="254"/>
      <c r="AX13" s="69"/>
      <c r="AY13" s="254"/>
      <c r="AZ13" s="245"/>
      <c r="BA13" s="50"/>
      <c r="BB13" s="51"/>
      <c r="BC13" s="254"/>
      <c r="BD13" s="254"/>
      <c r="BE13" s="69"/>
      <c r="BF13" s="254"/>
      <c r="BG13" s="245"/>
      <c r="BJ13" s="51"/>
      <c r="BK13" s="254"/>
      <c r="BL13" s="254"/>
      <c r="BM13" s="69"/>
      <c r="BN13" s="254"/>
      <c r="BO13" s="245"/>
      <c r="BP13" s="50"/>
      <c r="BQ13" s="51"/>
      <c r="BR13" s="254"/>
      <c r="BS13" s="254"/>
      <c r="BT13" s="69"/>
      <c r="BU13" s="254"/>
      <c r="BV13" s="245"/>
      <c r="BY13" s="51"/>
      <c r="BZ13" s="254"/>
      <c r="CA13" s="254"/>
      <c r="CB13" s="69"/>
      <c r="CC13" s="254"/>
      <c r="CD13" s="245"/>
      <c r="CE13" s="50"/>
      <c r="CF13" s="51"/>
      <c r="CG13" s="254"/>
      <c r="CH13" s="254"/>
      <c r="CI13" s="69"/>
      <c r="CJ13" s="254"/>
      <c r="CK13" s="245"/>
      <c r="CN13" s="51"/>
      <c r="CO13" s="254"/>
      <c r="CP13" s="254"/>
      <c r="CQ13" s="69"/>
      <c r="CR13" s="254"/>
      <c r="CS13" s="245"/>
      <c r="CT13" s="50"/>
      <c r="CU13" s="51"/>
      <c r="CV13" s="254"/>
      <c r="CW13" s="254"/>
      <c r="CX13" s="69"/>
      <c r="CY13" s="254"/>
      <c r="CZ13" s="245"/>
      <c r="DC13" s="51"/>
      <c r="DD13" s="254"/>
      <c r="DE13" s="254"/>
      <c r="DF13" s="69"/>
      <c r="DG13" s="254"/>
      <c r="DH13" s="245"/>
      <c r="DI13" s="50"/>
      <c r="DJ13" s="51"/>
      <c r="DK13" s="254"/>
      <c r="DL13" s="254"/>
      <c r="DM13" s="69"/>
      <c r="DN13" s="254"/>
      <c r="DO13" s="245"/>
      <c r="DR13" s="51"/>
      <c r="DS13" s="254"/>
      <c r="DT13" s="254"/>
      <c r="DU13" s="69"/>
      <c r="DV13" s="254"/>
      <c r="DW13" s="245"/>
      <c r="DX13" s="50"/>
      <c r="DY13" s="51"/>
      <c r="DZ13" s="254"/>
      <c r="EA13" s="254"/>
      <c r="EB13" s="69"/>
      <c r="EC13" s="254"/>
      <c r="ED13" s="245"/>
      <c r="EG13" s="51"/>
      <c r="EH13" s="254"/>
      <c r="EI13" s="254"/>
      <c r="EJ13" s="69"/>
      <c r="EK13" s="254"/>
      <c r="EL13" s="245"/>
      <c r="EM13" s="50"/>
      <c r="EN13" s="51"/>
      <c r="EO13" s="254"/>
      <c r="EP13" s="254"/>
      <c r="EQ13" s="69"/>
      <c r="ER13" s="254"/>
      <c r="ES13" s="245"/>
    </row>
    <row r="14" spans="1:150" s="56" customFormat="1" x14ac:dyDescent="0.55000000000000004">
      <c r="A14" s="55"/>
      <c r="B14" s="62" t="str">
        <f t="array" aca="1" ref="B14" ca="1">IF(C9&lt;&gt;"",
IF(OR(INDIRECT("'盛付札（関数）'!FI"&amp;A9)=121,INDIRECT("'盛付札（関数）'!FI"&amp;A9)=122,INDIRECT("'盛付札（関数）'!FI"&amp;A9)=123),"",
"パン箱"),"")</f>
        <v>パン箱</v>
      </c>
      <c r="C14" s="60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>0</v>
      </c>
      <c r="D14" s="62" t="str">
        <f t="array" aca="1" ref="D14" ca="1">IF(C9&lt;&gt;"",
IF(OR(INDIRECT("'盛付札（関数）'!FI"&amp;A9)=121,INDIRECT("'盛付札（関数）'!FI"&amp;A9)=122,INDIRECT("'盛付札（関数）'!FI"&amp;A9)=123),"",
"端数"),"")</f>
        <v>端数</v>
      </c>
      <c r="E14" s="60"/>
      <c r="F14" s="62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>アレルギー</v>
      </c>
      <c r="G14" s="65"/>
      <c r="H14" s="45"/>
      <c r="I14" s="62" t="str">
        <f t="array" aca="1" ref="I14" ca="1">IF(J9&lt;&gt;"",
IF(OR(INDIRECT("'盛付札（関数）'!FI"&amp;H9)=121,INDIRECT("'盛付札（関数）'!FI"&amp;H9)=122,INDIRECT("'盛付札（関数）'!FI"&amp;H9)=123),"",
"パン箱"),"")</f>
        <v>パン箱</v>
      </c>
      <c r="J14" s="60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>12</v>
      </c>
      <c r="K14" s="62" t="str">
        <f t="array" aca="1" ref="K14" ca="1">IF(J9&lt;&gt;"",
IF(OR(INDIRECT("'盛付札（関数）'!FI"&amp;H9)=121,INDIRECT("'盛付札（関数）'!FI"&amp;H9)=122,INDIRECT("'盛付札（関数）'!FI"&amp;H9)=123),"",
"端数"),"")</f>
        <v>端数</v>
      </c>
      <c r="L14" s="60"/>
      <c r="M14" s="62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>アレルギー</v>
      </c>
      <c r="N14" s="65"/>
      <c r="O14" s="45"/>
      <c r="P14" s="55"/>
      <c r="Q14" s="62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0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2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0"/>
      <c r="U14" s="62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5"/>
      <c r="W14" s="45"/>
      <c r="X14" s="62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0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2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0"/>
      <c r="AB14" s="62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5"/>
      <c r="AD14" s="45"/>
      <c r="AE14" s="55"/>
      <c r="AF14" s="62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0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2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0"/>
      <c r="AJ14" s="62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5"/>
      <c r="AL14" s="45"/>
      <c r="AM14" s="62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0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2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0"/>
      <c r="AQ14" s="62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5"/>
      <c r="AS14" s="45"/>
      <c r="AT14" s="55"/>
      <c r="AU14" s="62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0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2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0"/>
      <c r="AY14" s="62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5"/>
      <c r="BA14" s="45"/>
      <c r="BB14" s="62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0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2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0"/>
      <c r="BF14" s="62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5"/>
      <c r="BH14" s="45"/>
      <c r="BI14" s="55"/>
      <c r="BJ14" s="62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0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2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0"/>
      <c r="BN14" s="62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5"/>
      <c r="BP14" s="45"/>
      <c r="BQ14" s="62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0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2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0"/>
      <c r="BU14" s="62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5"/>
      <c r="BW14" s="45"/>
      <c r="BX14" s="55"/>
      <c r="BY14" s="62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0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2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0"/>
      <c r="CC14" s="62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5"/>
      <c r="CE14" s="45"/>
      <c r="CF14" s="62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0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2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0"/>
      <c r="CJ14" s="62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5"/>
      <c r="CL14" s="45"/>
      <c r="CM14" s="55"/>
      <c r="CN14" s="62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0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2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0"/>
      <c r="CR14" s="62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5"/>
      <c r="CT14" s="45"/>
      <c r="CU14" s="62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0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2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0"/>
      <c r="CY14" s="62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5"/>
      <c r="DA14" s="45"/>
      <c r="DB14" s="55"/>
      <c r="DC14" s="62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0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2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0"/>
      <c r="DG14" s="62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65"/>
      <c r="DI14" s="45"/>
      <c r="DJ14" s="62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0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2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0"/>
      <c r="DN14" s="62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65"/>
      <c r="DP14" s="45"/>
      <c r="DQ14" s="55"/>
      <c r="DR14" s="62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0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2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0"/>
      <c r="DV14" s="62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65"/>
      <c r="DX14" s="45"/>
      <c r="DY14" s="62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0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2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0"/>
      <c r="EC14" s="62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65"/>
      <c r="EE14" s="45"/>
      <c r="EF14" s="55"/>
      <c r="EG14" s="62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0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2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0"/>
      <c r="EK14" s="62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65"/>
      <c r="EM14" s="45"/>
      <c r="EN14" s="62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0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2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0"/>
      <c r="ER14" s="62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65"/>
      <c r="ET14" s="45"/>
    </row>
    <row r="15" spans="1:150" ht="27.6" customHeight="1" x14ac:dyDescent="0.45">
      <c r="B15" s="244" t="str">
        <f ca="1">IF(C12&lt;&gt;"",
IFERROR(INT(C12/C14),""),"")</f>
        <v/>
      </c>
      <c r="C15" s="245"/>
      <c r="D15" s="244" t="str">
        <f ca="1">IFERROR(MOD(C12,C14),"")</f>
        <v/>
      </c>
      <c r="E15" s="245"/>
      <c r="F15" s="246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>0</v>
      </c>
      <c r="G15" s="245"/>
      <c r="I15" s="244" t="e">
        <f ca="1">IF(J12&lt;&gt;"",
IFERROR(INT(J12/J14),""),"")</f>
        <v>#N/A</v>
      </c>
      <c r="J15" s="245"/>
      <c r="K15" s="244" t="str">
        <f ca="1">IFERROR(MOD(J12,J14),"")</f>
        <v/>
      </c>
      <c r="L15" s="245"/>
      <c r="M15" s="246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>0</v>
      </c>
      <c r="N15" s="245"/>
      <c r="Q15" s="244" t="str">
        <f ca="1">IF(R12&lt;&gt;"",
IFERROR(INT(R12/R14),""),"")</f>
        <v/>
      </c>
      <c r="R15" s="245"/>
      <c r="S15" s="244" t="str">
        <f ca="1">IFERROR(MOD(R12,R14),"")</f>
        <v/>
      </c>
      <c r="T15" s="245"/>
      <c r="U15" s="246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45"/>
      <c r="X15" s="244" t="str">
        <f ca="1">IF(Y12&lt;&gt;"",
IFERROR(INT(Y12/Y14),""),"")</f>
        <v/>
      </c>
      <c r="Y15" s="245"/>
      <c r="Z15" s="244" t="str">
        <f ca="1">IFERROR(MOD(Y12,Y14),"")</f>
        <v/>
      </c>
      <c r="AA15" s="245"/>
      <c r="AB15" s="246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45"/>
      <c r="AF15" s="244" t="str">
        <f ca="1">IF(AG12&lt;&gt;"",
IFERROR(INT(AG12/AG14),""),"")</f>
        <v/>
      </c>
      <c r="AG15" s="245"/>
      <c r="AH15" s="244" t="str">
        <f ca="1">IFERROR(MOD(AG12,AG14),"")</f>
        <v/>
      </c>
      <c r="AI15" s="245"/>
      <c r="AJ15" s="246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45"/>
      <c r="AM15" s="244" t="str">
        <f ca="1">IF(AN12&lt;&gt;"",
IFERROR(INT(AN12/AN14),""),"")</f>
        <v/>
      </c>
      <c r="AN15" s="245"/>
      <c r="AO15" s="244" t="str">
        <f ca="1">IFERROR(MOD(AN12,AN14),"")</f>
        <v/>
      </c>
      <c r="AP15" s="245"/>
      <c r="AQ15" s="246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45"/>
      <c r="AU15" s="244" t="str">
        <f ca="1">IF(AV12&lt;&gt;"",
IFERROR(INT(AV12/AV14),""),"")</f>
        <v/>
      </c>
      <c r="AV15" s="245"/>
      <c r="AW15" s="244" t="str">
        <f ca="1">IFERROR(MOD(AV12,AV14),"")</f>
        <v/>
      </c>
      <c r="AX15" s="245"/>
      <c r="AY15" s="246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45"/>
      <c r="BB15" s="244" t="str">
        <f ca="1">IF(BC12&lt;&gt;"",
IFERROR(INT(BC12/BC14),""),"")</f>
        <v/>
      </c>
      <c r="BC15" s="245"/>
      <c r="BD15" s="244" t="str">
        <f ca="1">IFERROR(MOD(BC12,BC14),"")</f>
        <v/>
      </c>
      <c r="BE15" s="245"/>
      <c r="BF15" s="246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45"/>
      <c r="BJ15" s="244" t="str">
        <f ca="1">IF(BK12&lt;&gt;"",
IFERROR(INT(BK12/BK14),""),"")</f>
        <v/>
      </c>
      <c r="BK15" s="245"/>
      <c r="BL15" s="244" t="str">
        <f ca="1">IFERROR(MOD(BK12,BK14),"")</f>
        <v/>
      </c>
      <c r="BM15" s="245"/>
      <c r="BN15" s="246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45"/>
      <c r="BQ15" s="244" t="str">
        <f ca="1">IF(BR12&lt;&gt;"",
IFERROR(INT(BR12/BR14),""),"")</f>
        <v/>
      </c>
      <c r="BR15" s="245"/>
      <c r="BS15" s="244" t="str">
        <f ca="1">IFERROR(MOD(BR12,BR14),"")</f>
        <v/>
      </c>
      <c r="BT15" s="245"/>
      <c r="BU15" s="246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45"/>
      <c r="BY15" s="244" t="str">
        <f ca="1">IF(BZ12&lt;&gt;"",
IFERROR(INT(BZ12/BZ14),""),"")</f>
        <v/>
      </c>
      <c r="BZ15" s="245"/>
      <c r="CA15" s="244" t="str">
        <f ca="1">IFERROR(MOD(BZ12,BZ14),"")</f>
        <v/>
      </c>
      <c r="CB15" s="245"/>
      <c r="CC15" s="246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45"/>
      <c r="CF15" s="244" t="str">
        <f ca="1">IF(CG12&lt;&gt;"",
IFERROR(INT(CG12/CG14),""),"")</f>
        <v/>
      </c>
      <c r="CG15" s="245"/>
      <c r="CH15" s="244" t="str">
        <f ca="1">IFERROR(MOD(CG12,CG14),"")</f>
        <v/>
      </c>
      <c r="CI15" s="245"/>
      <c r="CJ15" s="246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45"/>
      <c r="CN15" s="244" t="str">
        <f ca="1">IF(CO12&lt;&gt;"",
IFERROR(INT(CO12/CO14),""),"")</f>
        <v/>
      </c>
      <c r="CO15" s="245"/>
      <c r="CP15" s="244" t="str">
        <f ca="1">IFERROR(MOD(CO12,CO14),"")</f>
        <v/>
      </c>
      <c r="CQ15" s="245"/>
      <c r="CR15" s="246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45"/>
      <c r="CU15" s="244" t="str">
        <f ca="1">IF(CV12&lt;&gt;"",
IFERROR(INT(CV12/CV14),""),"")</f>
        <v/>
      </c>
      <c r="CV15" s="245"/>
      <c r="CW15" s="244" t="str">
        <f ca="1">IFERROR(MOD(CV12,CV14),"")</f>
        <v/>
      </c>
      <c r="CX15" s="245"/>
      <c r="CY15" s="246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45"/>
      <c r="DC15" s="244" t="str">
        <f ca="1">IF(DD12&lt;&gt;"",
IFERROR(INT(DD12/DD14),""),"")</f>
        <v/>
      </c>
      <c r="DD15" s="245"/>
      <c r="DE15" s="244" t="str">
        <f ca="1">IFERROR(MOD(DD12,DD14),"")</f>
        <v/>
      </c>
      <c r="DF15" s="245"/>
      <c r="DG15" s="246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45"/>
      <c r="DJ15" s="244" t="str">
        <f ca="1">IF(DK12&lt;&gt;"",
IFERROR(INT(DK12/DK14),""),"")</f>
        <v/>
      </c>
      <c r="DK15" s="245"/>
      <c r="DL15" s="244" t="str">
        <f ca="1">IFERROR(MOD(DK12,DK14),"")</f>
        <v/>
      </c>
      <c r="DM15" s="245"/>
      <c r="DN15" s="246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45"/>
      <c r="DR15" s="244" t="str">
        <f ca="1">IF(DS12&lt;&gt;"",
IFERROR(INT(DS12/DS14),""),"")</f>
        <v/>
      </c>
      <c r="DS15" s="245"/>
      <c r="DT15" s="244" t="str">
        <f ca="1">IFERROR(MOD(DS12,DS14),"")</f>
        <v/>
      </c>
      <c r="DU15" s="245"/>
      <c r="DV15" s="246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45"/>
      <c r="DY15" s="244" t="str">
        <f ca="1">IF(DZ12&lt;&gt;"",
IFERROR(INT(DZ12/DZ14),""),"")</f>
        <v/>
      </c>
      <c r="DZ15" s="245"/>
      <c r="EA15" s="244" t="str">
        <f ca="1">IFERROR(MOD(DZ12,DZ14),"")</f>
        <v/>
      </c>
      <c r="EB15" s="245"/>
      <c r="EC15" s="246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45"/>
      <c r="EG15" s="244" t="str">
        <f ca="1">IF(EH12&lt;&gt;"",
IFERROR(INT(EH12/EH14),""),"")</f>
        <v/>
      </c>
      <c r="EH15" s="245"/>
      <c r="EI15" s="244" t="str">
        <f ca="1">IFERROR(MOD(EH12,EH14),"")</f>
        <v/>
      </c>
      <c r="EJ15" s="245"/>
      <c r="EK15" s="246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45"/>
      <c r="EN15" s="244" t="str">
        <f ca="1">IF(EO12&lt;&gt;"",
IFERROR(INT(EO12/EO14),""),"")</f>
        <v/>
      </c>
      <c r="EO15" s="245"/>
      <c r="EP15" s="244" t="str">
        <f ca="1">IFERROR(MOD(EO12,EO14),"")</f>
        <v/>
      </c>
      <c r="EQ15" s="245"/>
      <c r="ER15" s="246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45"/>
    </row>
    <row r="16" spans="1:150" ht="6.6" customHeight="1" x14ac:dyDescent="0.55000000000000004">
      <c r="B16" s="70"/>
      <c r="D16" s="70"/>
      <c r="F16" s="71"/>
      <c r="I16" s="70"/>
      <c r="K16" s="70"/>
      <c r="M16" s="71"/>
      <c r="Q16" s="70"/>
      <c r="S16" s="70"/>
      <c r="U16" s="71"/>
      <c r="X16" s="70"/>
      <c r="Z16" s="70"/>
      <c r="AB16" s="71"/>
      <c r="AF16" s="70"/>
      <c r="AH16" s="70"/>
      <c r="AJ16" s="71"/>
      <c r="AM16" s="70"/>
      <c r="AO16" s="70"/>
      <c r="AQ16" s="71"/>
      <c r="AU16" s="70"/>
      <c r="AW16" s="70"/>
      <c r="AY16" s="71"/>
      <c r="BB16" s="70"/>
      <c r="BD16" s="70"/>
      <c r="BF16" s="71"/>
      <c r="BJ16" s="70"/>
      <c r="BL16" s="70"/>
      <c r="BN16" s="71"/>
      <c r="BQ16" s="70"/>
      <c r="BS16" s="70"/>
      <c r="BU16" s="71"/>
      <c r="BY16" s="70"/>
      <c r="CA16" s="70"/>
      <c r="CC16" s="71"/>
      <c r="CF16" s="70"/>
      <c r="CH16" s="70"/>
      <c r="CJ16" s="71"/>
      <c r="CN16" s="70"/>
      <c r="CP16" s="70"/>
      <c r="CR16" s="71"/>
      <c r="CU16" s="70"/>
      <c r="CW16" s="70"/>
      <c r="CY16" s="71"/>
      <c r="DC16" s="70"/>
      <c r="DE16" s="70"/>
      <c r="DG16" s="71"/>
      <c r="DJ16" s="70"/>
      <c r="DL16" s="70"/>
      <c r="DN16" s="71"/>
      <c r="DR16" s="70"/>
      <c r="DT16" s="70"/>
      <c r="DV16" s="71"/>
      <c r="DY16" s="70"/>
      <c r="EA16" s="70"/>
      <c r="EC16" s="71"/>
      <c r="EG16" s="70"/>
      <c r="EI16" s="70"/>
      <c r="EK16" s="71"/>
      <c r="EN16" s="70"/>
      <c r="EP16" s="70"/>
      <c r="ER16" s="71"/>
    </row>
    <row r="17" spans="1:150" s="56" customFormat="1" ht="25.8" customHeight="1" x14ac:dyDescent="0.55000000000000004">
      <c r="A17" s="55">
        <f ca="1">IF(OR(I10="●",I10="△"),
H9+2,H9+1)</f>
        <v>5</v>
      </c>
      <c r="B17" s="68" t="e">
        <f ca="1">IF(C17&lt;&gt;"",
MID(貼り付け用!$A$2, FIND("年",貼り付け用!$A$2)+1,2)&amp;"/"&amp;MID(貼り付け用!$A$2, FIND("月",貼り付け用!$A$2)+1,2),"")</f>
        <v>#VALUE!</v>
      </c>
      <c r="C17" s="267" t="str" cm="1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>社食</v>
      </c>
      <c r="D17" s="248"/>
      <c r="E17" s="248"/>
      <c r="F17" s="248"/>
      <c r="G17" s="67" t="str">
        <f t="array" aca="1" ref="G17" ca="1">IF(C17&lt;&gt;"",
IF(AND(INDIRECT("'盛付札（関数）'!FI"&amp;A17)&gt;=124,INDIRECT("'盛付札（関数）'!FI"&amp;A17)&lt;=144),"",
"様"),"")</f>
        <v>様</v>
      </c>
      <c r="H17" s="61">
        <f ca="1">IF(OR(B18="●",B18="△"),
A17+2,A17+1)</f>
        <v>6</v>
      </c>
      <c r="I17" s="68" t="e">
        <f ca="1">IF(J17&lt;&gt;"",
MID(貼り付け用!$A$2, FIND("年",貼り付け用!$A$2)+1,2)&amp;"/"&amp;MID(貼り付け用!$A$2, FIND("月",貼り付け用!$A$2)+1,2),"")</f>
        <v>#VALUE!</v>
      </c>
      <c r="J17" s="267" t="str" cm="1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>社食</v>
      </c>
      <c r="K17" s="248"/>
      <c r="L17" s="248"/>
      <c r="M17" s="248"/>
      <c r="N17" s="67" t="str">
        <f t="array" aca="1" ref="N17" ca="1">IF(J17&lt;&gt;"",
IF(AND(INDIRECT("'盛付札（関数）'!FI"&amp;H17)&gt;=124,INDIRECT("'盛付札（関数）'!FI"&amp;H17)&lt;=144),"",
"様"),"")</f>
        <v>様</v>
      </c>
      <c r="O17" s="45"/>
      <c r="P17" s="55">
        <f ca="1">IF(OR(X10="●",X10="△"),
W9+2,W9+1)</f>
        <v>17</v>
      </c>
      <c r="Q17" s="68" t="str">
        <f ca="1">IF(R17&lt;&gt;"",
MID(貼り付け用!$A$2, FIND("年",貼り付け用!$A$2)+1,2)&amp;"/"&amp;MID(貼り付け用!$A$2, FIND("月",貼り付け用!$A$2)+1,2),"")</f>
        <v/>
      </c>
      <c r="R17" s="267" t="str" cm="1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48"/>
      <c r="T17" s="248"/>
      <c r="U17" s="248"/>
      <c r="V17" s="67" t="str">
        <f t="array" aca="1" ref="V17" ca="1">IF(R17&lt;&gt;"",
IF(AND(INDIRECT("'盛付札（関数）'!FI"&amp;P17)&gt;=124,INDIRECT("'盛付札（関数）'!FI"&amp;P17)&lt;=144),"",
"様"),"")</f>
        <v/>
      </c>
      <c r="W17" s="61">
        <f ca="1">IF(OR(Q18="●",Q18="△"),
P17+2,P17+1)</f>
        <v>18</v>
      </c>
      <c r="X17" s="68" t="str">
        <f ca="1">IF(Y17&lt;&gt;"",
MID(貼り付け用!$A$2, FIND("年",貼り付け用!$A$2)+1,2)&amp;"/"&amp;MID(貼り付け用!$A$2, FIND("月",貼り付け用!$A$2)+1,2),"")</f>
        <v/>
      </c>
      <c r="Y17" s="267" t="str" cm="1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48"/>
      <c r="AA17" s="248"/>
      <c r="AB17" s="248"/>
      <c r="AC17" s="67" t="str">
        <f t="array" aca="1" ref="AC17" ca="1">IF(Y17&lt;&gt;"",
IF(AND(INDIRECT("'盛付札（関数）'!FI"&amp;W17)&gt;=124,INDIRECT("'盛付札（関数）'!FI"&amp;W17)&lt;=144),"",
"様"),"")</f>
        <v/>
      </c>
      <c r="AD17" s="45"/>
      <c r="AE17" s="55">
        <f ca="1">IF(OR(AM10="●",AM10="△"),
AL9+2,AL9+1)</f>
        <v>29</v>
      </c>
      <c r="AF17" s="68" t="str">
        <f ca="1">IF(AG17&lt;&gt;"",
MID(貼り付け用!$A$2, FIND("年",貼り付け用!$A$2)+1,2)&amp;"/"&amp;MID(貼り付け用!$A$2, FIND("月",貼り付け用!$A$2)+1,2),"")</f>
        <v/>
      </c>
      <c r="AG17" s="267" t="str" cm="1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48"/>
      <c r="AI17" s="248"/>
      <c r="AJ17" s="248"/>
      <c r="AK17" s="67" t="str">
        <f t="array" aca="1" ref="AK17" ca="1">IF(AG17&lt;&gt;"",
IF(AND(INDIRECT("'盛付札（関数）'!FI"&amp;AE17)&gt;=124,INDIRECT("'盛付札（関数）'!FI"&amp;AE17)&lt;=144),"",
"様"),"")</f>
        <v/>
      </c>
      <c r="AL17" s="61">
        <f ca="1">IF(OR(AF18="●",AF18="△"),
AE17+2,AE17+1)</f>
        <v>30</v>
      </c>
      <c r="AM17" s="68" t="str">
        <f ca="1">IF(AN17&lt;&gt;"",
MID(貼り付け用!$A$2, FIND("年",貼り付け用!$A$2)+1,2)&amp;"/"&amp;MID(貼り付け用!$A$2, FIND("月",貼り付け用!$A$2)+1,2),"")</f>
        <v/>
      </c>
      <c r="AN17" s="267" t="str" cm="1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48"/>
      <c r="AP17" s="248"/>
      <c r="AQ17" s="248"/>
      <c r="AR17" s="67" t="str">
        <f t="array" aca="1" ref="AR17" ca="1">IF(AN17&lt;&gt;"",
IF(AND(INDIRECT("'盛付札（関数）'!FI"&amp;AL17)&gt;=124,INDIRECT("'盛付札（関数）'!FI"&amp;AL17)&lt;=144),"",
"様"),"")</f>
        <v/>
      </c>
      <c r="AS17" s="45"/>
      <c r="AT17" s="55">
        <f ca="1">IF(OR(BB10="●",BB10="△"),
BA9+2,BA9+1)</f>
        <v>41</v>
      </c>
      <c r="AU17" s="68" t="str">
        <f ca="1">IF(AV17&lt;&gt;"",
MID(貼り付け用!$A$2, FIND("年",貼り付け用!$A$2)+1,2)&amp;"/"&amp;MID(貼り付け用!$A$2, FIND("月",貼り付け用!$A$2)+1,2),"")</f>
        <v/>
      </c>
      <c r="AV17" s="267" t="str" cm="1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48"/>
      <c r="AX17" s="248"/>
      <c r="AY17" s="248"/>
      <c r="AZ17" s="67" t="str">
        <f t="array" aca="1" ref="AZ17" ca="1">IF(AV17&lt;&gt;"",
IF(AND(INDIRECT("'盛付札（関数）'!FI"&amp;AT17)&gt;=124,INDIRECT("'盛付札（関数）'!FI"&amp;AT17)&lt;=144),"",
"様"),"")</f>
        <v/>
      </c>
      <c r="BA17" s="61">
        <f ca="1">IF(OR(AU18="●",AU18="△"),
AT17+2,AT17+1)</f>
        <v>42</v>
      </c>
      <c r="BB17" s="68" t="str">
        <f ca="1">IF(BC17&lt;&gt;"",
MID(貼り付け用!$A$2, FIND("年",貼り付け用!$A$2)+1,2)&amp;"/"&amp;MID(貼り付け用!$A$2, FIND("月",貼り付け用!$A$2)+1,2),"")</f>
        <v/>
      </c>
      <c r="BC17" s="267" t="str" cm="1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48"/>
      <c r="BE17" s="248"/>
      <c r="BF17" s="248"/>
      <c r="BG17" s="67" t="str">
        <f t="array" aca="1" ref="BG17" ca="1">IF(BC17&lt;&gt;"",
IF(AND(INDIRECT("'盛付札（関数）'!FI"&amp;BA17)&gt;=124,INDIRECT("'盛付札（関数）'!FI"&amp;BA17)&lt;=144),"",
"様"),"")</f>
        <v/>
      </c>
      <c r="BH17" s="45"/>
      <c r="BI17" s="55">
        <f ca="1">IF(OR(BQ10="●",BQ10="△"),
BP9+2,BP9+1)</f>
        <v>53</v>
      </c>
      <c r="BJ17" s="68" t="str">
        <f ca="1">IF(BK17&lt;&gt;"",
MID(貼り付け用!$A$2, FIND("年",貼り付け用!$A$2)+1,2)&amp;"/"&amp;MID(貼り付け用!$A$2, FIND("月",貼り付け用!$A$2)+1,2),"")</f>
        <v/>
      </c>
      <c r="BK17" s="267" t="str" cm="1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48"/>
      <c r="BM17" s="248"/>
      <c r="BN17" s="248"/>
      <c r="BO17" s="67" t="str">
        <f t="array" aca="1" ref="BO17" ca="1">IF(BK17&lt;&gt;"",
IF(AND(INDIRECT("'盛付札（関数）'!FI"&amp;BI17)&gt;=124,INDIRECT("'盛付札（関数）'!FI"&amp;BI17)&lt;=144),"",
"様"),"")</f>
        <v/>
      </c>
      <c r="BP17" s="61">
        <f ca="1">IF(OR(BJ18="●",BJ18="△"),
BI17+2,BI17+1)</f>
        <v>54</v>
      </c>
      <c r="BQ17" s="68" t="str">
        <f ca="1">IF(BR17&lt;&gt;"",
MID(貼り付け用!$A$2, FIND("年",貼り付け用!$A$2)+1,2)&amp;"/"&amp;MID(貼り付け用!$A$2, FIND("月",貼り付け用!$A$2)+1,2),"")</f>
        <v/>
      </c>
      <c r="BR17" s="267" t="str" cm="1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48"/>
      <c r="BT17" s="248"/>
      <c r="BU17" s="248"/>
      <c r="BV17" s="67" t="str">
        <f t="array" aca="1" ref="BV17" ca="1">IF(BR17&lt;&gt;"",
IF(AND(INDIRECT("'盛付札（関数）'!FI"&amp;BP17)&gt;=124,INDIRECT("'盛付札（関数）'!FI"&amp;BP17)&lt;=144),"",
"様"),"")</f>
        <v/>
      </c>
      <c r="BW17" s="45"/>
      <c r="BX17" s="55">
        <f ca="1">IF(OR(CF10="●",CF10="△"),
CE9+2,CE9+1)</f>
        <v>65</v>
      </c>
      <c r="BY17" s="68" t="str">
        <f ca="1">IF(BZ17&lt;&gt;"",
MID(貼り付け用!$A$2, FIND("年",貼り付け用!$A$2)+1,2)&amp;"/"&amp;MID(貼り付け用!$A$2, FIND("月",貼り付け用!$A$2)+1,2),"")</f>
        <v/>
      </c>
      <c r="BZ17" s="267" t="str" cm="1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48"/>
      <c r="CB17" s="248"/>
      <c r="CC17" s="248"/>
      <c r="CD17" s="67" t="str">
        <f t="array" aca="1" ref="CD17" ca="1">IF(BZ17&lt;&gt;"",
IF(AND(INDIRECT("'盛付札（関数）'!FI"&amp;BX17)&gt;=124,INDIRECT("'盛付札（関数）'!FI"&amp;BX17)&lt;=144),"",
"様"),"")</f>
        <v/>
      </c>
      <c r="CE17" s="61">
        <f ca="1">IF(OR(BY18="●",BY18="△"),
BX17+2,BX17+1)</f>
        <v>66</v>
      </c>
      <c r="CF17" s="68" t="str">
        <f ca="1">IF(CG17&lt;&gt;"",
MID(貼り付け用!$A$2, FIND("年",貼り付け用!$A$2)+1,2)&amp;"/"&amp;MID(貼り付け用!$A$2, FIND("月",貼り付け用!$A$2)+1,2),"")</f>
        <v/>
      </c>
      <c r="CG17" s="267" t="str" cm="1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48"/>
      <c r="CI17" s="248"/>
      <c r="CJ17" s="248"/>
      <c r="CK17" s="67" t="str">
        <f t="array" aca="1" ref="CK17" ca="1">IF(CG17&lt;&gt;"",
IF(AND(INDIRECT("'盛付札（関数）'!FI"&amp;CE17)&gt;=124,INDIRECT("'盛付札（関数）'!FI"&amp;CE17)&lt;=144),"",
"様"),"")</f>
        <v/>
      </c>
      <c r="CL17" s="45"/>
      <c r="CM17" s="55">
        <f ca="1">IF(OR(CU10="●",CU10="△"),
CT9+2,CT9+1)</f>
        <v>77</v>
      </c>
      <c r="CN17" s="68" t="str">
        <f ca="1">IF(CO17&lt;&gt;"",
MID(貼り付け用!$A$2, FIND("年",貼り付け用!$A$2)+1,2)&amp;"/"&amp;MID(貼り付け用!$A$2, FIND("月",貼り付け用!$A$2)+1,2),"")</f>
        <v/>
      </c>
      <c r="CO17" s="267" t="str" cm="1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48"/>
      <c r="CQ17" s="248"/>
      <c r="CR17" s="248"/>
      <c r="CS17" s="67" t="str">
        <f t="array" aca="1" ref="CS17" ca="1">IF(CO17&lt;&gt;"",
IF(AND(INDIRECT("'盛付札（関数）'!FI"&amp;CM17)&gt;=124,INDIRECT("'盛付札（関数）'!FI"&amp;CM17)&lt;=144),"",
"様"),"")</f>
        <v/>
      </c>
      <c r="CT17" s="61">
        <f ca="1">IF(OR(CN18="●",CN18="△"),
CM17+2,CM17+1)</f>
        <v>78</v>
      </c>
      <c r="CU17" s="68" t="str">
        <f ca="1">IF(CV17&lt;&gt;"",
MID(貼り付け用!$A$2, FIND("年",貼り付け用!$A$2)+1,2)&amp;"/"&amp;MID(貼り付け用!$A$2, FIND("月",貼り付け用!$A$2)+1,2),"")</f>
        <v/>
      </c>
      <c r="CV17" s="267" t="str" cm="1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48"/>
      <c r="CX17" s="248"/>
      <c r="CY17" s="248"/>
      <c r="CZ17" s="67" t="str">
        <f t="array" aca="1" ref="CZ17" ca="1">IF(CV17&lt;&gt;"",
IF(AND(INDIRECT("'盛付札（関数）'!FI"&amp;CT17)&gt;=124,INDIRECT("'盛付札（関数）'!FI"&amp;CT17)&lt;=144),"",
"様"),"")</f>
        <v/>
      </c>
      <c r="DA17" s="45"/>
      <c r="DB17" s="55">
        <f ca="1">IF(OR(DJ10="●",DJ10="△"),
DI9+2,DI9+1)</f>
        <v>89</v>
      </c>
      <c r="DC17" s="68" t="str">
        <f ca="1">IF(DD17&lt;&gt;"",
MID(貼り付け用!$A$2, FIND("年",貼り付け用!$A$2)+1,2)&amp;"/"&amp;MID(貼り付け用!$A$2, FIND("月",貼り付け用!$A$2)+1,2),"")</f>
        <v/>
      </c>
      <c r="DD17" s="267" t="str" cm="1">
        <f t="array" aca="1" ref="DD17" ca="1">SUBSTITUTE(SUBSTITUTE(SUBSTITUTE(SUBSTITUTE(SUBSTITUTE(SUBSTITUTE(SUBSTITUTE(SUBSTITUTE(SUBSTITUTE(SUBSTITUTE(SUBSTITUTE(
IF(DC18="△",
INDIRECT("'盛付札（関数）'!FJ"&amp;DB17+1),INDIRECT("'盛付札（関数）'!FJ"&amp;DB17)),"０",""),"①",""),"②",""),"③",""),"④",""),"⑤",""),"⑥",""),"⑦",""),"⑧",""),"⑨",""),"⑩","")</f>
        <v/>
      </c>
      <c r="DE17" s="248"/>
      <c r="DF17" s="248"/>
      <c r="DG17" s="248"/>
      <c r="DH17" s="67" t="str">
        <f t="array" aca="1" ref="DH17" ca="1">IF(DD17&lt;&gt;"",
IF(AND(INDIRECT("'盛付札（関数）'!FI"&amp;DB17)&gt;=124,INDIRECT("'盛付札（関数）'!FI"&amp;DB17)&lt;=144),"",
"様"),"")</f>
        <v/>
      </c>
      <c r="DI17" s="61">
        <f ca="1">IF(OR(DC18="●",DC18="△"),
DB17+2,DB17+1)</f>
        <v>90</v>
      </c>
      <c r="DJ17" s="68" t="str">
        <f ca="1">IF(DK17&lt;&gt;"",
MID(貼り付け用!$A$2, FIND("年",貼り付け用!$A$2)+1,2)&amp;"/"&amp;MID(貼り付け用!$A$2, FIND("月",貼り付け用!$A$2)+1,2),"")</f>
        <v/>
      </c>
      <c r="DK17" s="267" t="str" cm="1">
        <f t="array" aca="1" ref="DK17" ca="1">SUBSTITUTE(SUBSTITUTE(SUBSTITUTE(SUBSTITUTE(SUBSTITUTE(SUBSTITUTE(SUBSTITUTE(SUBSTITUTE(SUBSTITUTE(SUBSTITUTE(SUBSTITUTE(
IF(DJ18="△",
INDIRECT("'盛付札（関数）'!FJ"&amp;DI17+1),INDIRECT("'盛付札（関数）'!FJ"&amp;DI17)),"０",""),"①",""),"②",""),"③",""),"④",""),"⑤",""),"⑥",""),"⑦",""),"⑧",""),"⑨",""),"⑩","")</f>
        <v/>
      </c>
      <c r="DL17" s="248"/>
      <c r="DM17" s="248"/>
      <c r="DN17" s="248"/>
      <c r="DO17" s="67" t="str">
        <f t="array" aca="1" ref="DO17" ca="1">IF(DK17&lt;&gt;"",
IF(AND(INDIRECT("'盛付札（関数）'!FI"&amp;DI17)&gt;=124,INDIRECT("'盛付札（関数）'!FI"&amp;DI17)&lt;=144),"",
"様"),"")</f>
        <v/>
      </c>
      <c r="DP17" s="45"/>
      <c r="DQ17" s="55">
        <f ca="1">IF(OR(DY10="●",DY10="△"),
DX9+2,DX9+1)</f>
        <v>101</v>
      </c>
      <c r="DR17" s="68" t="str">
        <f ca="1">IF(DS17&lt;&gt;"",
MID(貼り付け用!$A$2, FIND("年",貼り付け用!$A$2)+1,2)&amp;"/"&amp;MID(貼り付け用!$A$2, FIND("月",貼り付け用!$A$2)+1,2),"")</f>
        <v/>
      </c>
      <c r="DS17" s="267" t="str" cm="1">
        <f t="array" aca="1" ref="DS17" ca="1">SUBSTITUTE(SUBSTITUTE(SUBSTITUTE(SUBSTITUTE(SUBSTITUTE(SUBSTITUTE(SUBSTITUTE(SUBSTITUTE(SUBSTITUTE(SUBSTITUTE(SUBSTITUTE(
IF(DR18="△",
INDIRECT("'盛付札（関数）'!FJ"&amp;DQ17+1),INDIRECT("'盛付札（関数）'!FJ"&amp;DQ17)),"０",""),"①",""),"②",""),"③",""),"④",""),"⑤",""),"⑥",""),"⑦",""),"⑧",""),"⑨",""),"⑩","")</f>
        <v/>
      </c>
      <c r="DT17" s="248"/>
      <c r="DU17" s="248"/>
      <c r="DV17" s="248"/>
      <c r="DW17" s="67" t="str">
        <f t="array" aca="1" ref="DW17" ca="1">IF(DS17&lt;&gt;"",
IF(AND(INDIRECT("'盛付札（関数）'!FI"&amp;DQ17)&gt;=124,INDIRECT("'盛付札（関数）'!FI"&amp;DQ17)&lt;=144),"",
"様"),"")</f>
        <v/>
      </c>
      <c r="DX17" s="61">
        <f ca="1">IF(OR(DR18="●",DR18="△"),
DQ17+2,DQ17+1)</f>
        <v>102</v>
      </c>
      <c r="DY17" s="68" t="str">
        <f ca="1">IF(DZ17&lt;&gt;"",
MID(貼り付け用!$A$2, FIND("年",貼り付け用!$A$2)+1,2)&amp;"/"&amp;MID(貼り付け用!$A$2, FIND("月",貼り付け用!$A$2)+1,2),"")</f>
        <v/>
      </c>
      <c r="DZ17" s="267" t="str" cm="1">
        <f t="array" aca="1" ref="DZ17" ca="1">SUBSTITUTE(SUBSTITUTE(SUBSTITUTE(SUBSTITUTE(SUBSTITUTE(SUBSTITUTE(SUBSTITUTE(SUBSTITUTE(SUBSTITUTE(SUBSTITUTE(SUBSTITUTE(
IF(DY18="△",
INDIRECT("'盛付札（関数）'!FJ"&amp;DX17+1),INDIRECT("'盛付札（関数）'!FJ"&amp;DX17)),"０",""),"①",""),"②",""),"③",""),"④",""),"⑤",""),"⑥",""),"⑦",""),"⑧",""),"⑨",""),"⑩","")</f>
        <v/>
      </c>
      <c r="EA17" s="248"/>
      <c r="EB17" s="248"/>
      <c r="EC17" s="248"/>
      <c r="ED17" s="67" t="str">
        <f t="array" aca="1" ref="ED17" ca="1">IF(DZ17&lt;&gt;"",
IF(AND(INDIRECT("'盛付札（関数）'!FI"&amp;DX17)&gt;=124,INDIRECT("'盛付札（関数）'!FI"&amp;DX17)&lt;=144),"",
"様"),"")</f>
        <v/>
      </c>
      <c r="EE17" s="45"/>
      <c r="EF17" s="55">
        <f ca="1">IF(OR(EN10="●",EN10="△"),
EM9+2,EM9+1)</f>
        <v>113</v>
      </c>
      <c r="EG17" s="68" t="str">
        <f ca="1">IF(EH17&lt;&gt;"",
MID(貼り付け用!$A$2, FIND("年",貼り付け用!$A$2)+1,2)&amp;"/"&amp;MID(貼り付け用!$A$2, FIND("月",貼り付け用!$A$2)+1,2),"")</f>
        <v/>
      </c>
      <c r="EH17" s="267" t="str" cm="1">
        <f t="array" aca="1" ref="EH17" ca="1">SUBSTITUTE(SUBSTITUTE(SUBSTITUTE(SUBSTITUTE(SUBSTITUTE(SUBSTITUTE(SUBSTITUTE(SUBSTITUTE(SUBSTITUTE(SUBSTITUTE(SUBSTITUTE(
IF(EG18="△",
INDIRECT("'盛付札（関数）'!FJ"&amp;EF17+1),INDIRECT("'盛付札（関数）'!FJ"&amp;EF17)),"０",""),"①",""),"②",""),"③",""),"④",""),"⑤",""),"⑥",""),"⑦",""),"⑧",""),"⑨",""),"⑩","")</f>
        <v/>
      </c>
      <c r="EI17" s="248"/>
      <c r="EJ17" s="248"/>
      <c r="EK17" s="248"/>
      <c r="EL17" s="67" t="str">
        <f t="array" aca="1" ref="EL17" ca="1">IF(EH17&lt;&gt;"",
IF(AND(INDIRECT("'盛付札（関数）'!FI"&amp;EF17)&gt;=124,INDIRECT("'盛付札（関数）'!FI"&amp;EF17)&lt;=144),"",
"様"),"")</f>
        <v/>
      </c>
      <c r="EM17" s="61">
        <f ca="1">IF(OR(EG18="●",EG18="△"),
EF17+2,EF17+1)</f>
        <v>114</v>
      </c>
      <c r="EN17" s="68" t="str">
        <f ca="1">IF(EO17&lt;&gt;"",
MID(貼り付け用!$A$2, FIND("年",貼り付け用!$A$2)+1,2)&amp;"/"&amp;MID(貼り付け用!$A$2, FIND("月",貼り付け用!$A$2)+1,2),"")</f>
        <v/>
      </c>
      <c r="EO17" s="267" t="str" cm="1">
        <f t="array" aca="1" ref="EO17" ca="1">SUBSTITUTE(SUBSTITUTE(SUBSTITUTE(SUBSTITUTE(SUBSTITUTE(SUBSTITUTE(SUBSTITUTE(SUBSTITUTE(SUBSTITUTE(SUBSTITUTE(SUBSTITUTE(
IF(EN18="△",
INDIRECT("'盛付札（関数）'!FJ"&amp;EM17+1),INDIRECT("'盛付札（関数）'!FJ"&amp;EM17)),"０",""),"①",""),"②",""),"③",""),"④",""),"⑤",""),"⑥",""),"⑦",""),"⑧",""),"⑨",""),"⑩","")</f>
        <v/>
      </c>
      <c r="EP17" s="248"/>
      <c r="EQ17" s="248"/>
      <c r="ER17" s="248"/>
      <c r="ES17" s="67" t="str">
        <f t="array" aca="1" ref="ES17" ca="1">IF(EO17&lt;&gt;"",
IF(AND(INDIRECT("'盛付札（関数）'!FI"&amp;EM17)&gt;=124,INDIRECT("'盛付札（関数）'!FI"&amp;EM17)&lt;=144),"",
"様"),"")</f>
        <v/>
      </c>
      <c r="ET17" s="45"/>
    </row>
    <row r="18" spans="1:150" s="56" customFormat="1" x14ac:dyDescent="0.55000000000000004">
      <c r="A18" s="55"/>
      <c r="B18" s="57" t="str">
        <f ca="1">IF(COUNTIF(INDIRECT("'盛付札（関数）'!FJ"&amp;A17+1),"*雙葉*"),"●",
"〇")</f>
        <v>〇</v>
      </c>
      <c r="C18" s="72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66"/>
      <c r="E18" s="66"/>
      <c r="F18" s="73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4"/>
      <c r="H18" s="74"/>
      <c r="I18" s="57" t="str">
        <f ca="1">IF(COUNTIF(INDIRECT("'盛付札（関数）'!FJ"&amp;H17+1),"*雙葉*"),"●",
"〇")</f>
        <v>〇</v>
      </c>
      <c r="J18" s="72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66"/>
      <c r="L18" s="66"/>
      <c r="M18" s="73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4"/>
      <c r="O18" s="45"/>
      <c r="P18" s="55"/>
      <c r="Q18" s="57" t="str">
        <f ca="1">IF(COUNTIF(INDIRECT("'盛付札（関数）'!FJ"&amp;P17+1),"*雙葉*"),"●",
"〇")</f>
        <v>〇</v>
      </c>
      <c r="R18" s="72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66"/>
      <c r="T18" s="66"/>
      <c r="U18" s="73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4"/>
      <c r="W18" s="74"/>
      <c r="X18" s="57" t="str">
        <f ca="1">IF(COUNTIF(INDIRECT("'盛付札（関数）'!FJ"&amp;W17+1),"*雙葉*"),"●",
"〇")</f>
        <v>〇</v>
      </c>
      <c r="Y18" s="72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66"/>
      <c r="AA18" s="66"/>
      <c r="AB18" s="73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4"/>
      <c r="AD18" s="45"/>
      <c r="AE18" s="55"/>
      <c r="AF18" s="57" t="str">
        <f ca="1">IF(COUNTIF(INDIRECT("'盛付札（関数）'!FJ"&amp;AE17+1),"*雙葉*"),"●",
"〇")</f>
        <v>〇</v>
      </c>
      <c r="AG18" s="72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66"/>
      <c r="AI18" s="66"/>
      <c r="AJ18" s="73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4"/>
      <c r="AL18" s="74"/>
      <c r="AM18" s="57" t="str">
        <f ca="1">IF(COUNTIF(INDIRECT("'盛付札（関数）'!FJ"&amp;AL17+1),"*雙葉*"),"●",
"〇")</f>
        <v>〇</v>
      </c>
      <c r="AN18" s="72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66"/>
      <c r="AP18" s="66"/>
      <c r="AQ18" s="73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4"/>
      <c r="AS18" s="45"/>
      <c r="AT18" s="55"/>
      <c r="AU18" s="57" t="str">
        <f ca="1">IF(COUNTIF(INDIRECT("'盛付札（関数）'!FJ"&amp;AT17+1),"*雙葉*"),"●",
"〇")</f>
        <v>〇</v>
      </c>
      <c r="AV18" s="72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66"/>
      <c r="AX18" s="66"/>
      <c r="AY18" s="73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4"/>
      <c r="BA18" s="74"/>
      <c r="BB18" s="57" t="str">
        <f ca="1">IF(COUNTIF(INDIRECT("'盛付札（関数）'!FJ"&amp;BA17+1),"*雙葉*"),"●",
"〇")</f>
        <v>〇</v>
      </c>
      <c r="BC18" s="72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66"/>
      <c r="BE18" s="66"/>
      <c r="BF18" s="73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4"/>
      <c r="BH18" s="45"/>
      <c r="BI18" s="55"/>
      <c r="BJ18" s="57" t="str">
        <f ca="1">IF(COUNTIF(INDIRECT("'盛付札（関数）'!FJ"&amp;BI17+1),"*雙葉*"),"●",
"〇")</f>
        <v>〇</v>
      </c>
      <c r="BK18" s="72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66"/>
      <c r="BM18" s="66"/>
      <c r="BN18" s="73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4"/>
      <c r="BP18" s="74"/>
      <c r="BQ18" s="57" t="str">
        <f ca="1">IF(COUNTIF(INDIRECT("'盛付札（関数）'!FJ"&amp;BP17+1),"*雙葉*"),"●",
"〇")</f>
        <v>〇</v>
      </c>
      <c r="BR18" s="72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66"/>
      <c r="BT18" s="66"/>
      <c r="BU18" s="73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4"/>
      <c r="BW18" s="45"/>
      <c r="BX18" s="55"/>
      <c r="BY18" s="57" t="str">
        <f ca="1">IF(COUNTIF(INDIRECT("'盛付札（関数）'!FJ"&amp;BX17+1),"*雙葉*"),"●",
"〇")</f>
        <v>〇</v>
      </c>
      <c r="BZ18" s="72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66"/>
      <c r="CB18" s="66"/>
      <c r="CC18" s="73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4"/>
      <c r="CE18" s="74"/>
      <c r="CF18" s="57" t="str">
        <f ca="1">IF(COUNTIF(INDIRECT("'盛付札（関数）'!FJ"&amp;CE17+1),"*雙葉*"),"●",
"〇")</f>
        <v>〇</v>
      </c>
      <c r="CG18" s="72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66"/>
      <c r="CI18" s="66"/>
      <c r="CJ18" s="73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4"/>
      <c r="CL18" s="45"/>
      <c r="CM18" s="55"/>
      <c r="CN18" s="57" t="str">
        <f ca="1">IF(COUNTIF(INDIRECT("'盛付札（関数）'!FJ"&amp;CM17+1),"*雙葉*"),"●",
"〇")</f>
        <v>〇</v>
      </c>
      <c r="CO18" s="72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66"/>
      <c r="CQ18" s="66"/>
      <c r="CR18" s="73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4"/>
      <c r="CT18" s="74"/>
      <c r="CU18" s="57" t="str">
        <f ca="1">IF(COUNTIF(INDIRECT("'盛付札（関数）'!FJ"&amp;CT17+1),"*雙葉*"),"●",
"〇")</f>
        <v>〇</v>
      </c>
      <c r="CV18" s="72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66"/>
      <c r="CX18" s="66"/>
      <c r="CY18" s="73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4"/>
      <c r="DA18" s="45"/>
      <c r="DB18" s="55"/>
      <c r="DC18" s="57" t="str">
        <f ca="1">IF(COUNTIF(INDIRECT("'盛付札（関数）'!FJ"&amp;DB17+1),"*雙葉*"),"●",
"〇")</f>
        <v>〇</v>
      </c>
      <c r="DD18" s="72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66"/>
      <c r="DF18" s="66"/>
      <c r="DG18" s="73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64"/>
      <c r="DI18" s="74"/>
      <c r="DJ18" s="57" t="str">
        <f ca="1">IF(COUNTIF(INDIRECT("'盛付札（関数）'!FJ"&amp;DI17+1),"*雙葉*"),"●",
"〇")</f>
        <v>〇</v>
      </c>
      <c r="DK18" s="72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66"/>
      <c r="DM18" s="66"/>
      <c r="DN18" s="73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64"/>
      <c r="DP18" s="45"/>
      <c r="DQ18" s="55"/>
      <c r="DR18" s="57" t="str">
        <f ca="1">IF(COUNTIF(INDIRECT("'盛付札（関数）'!FJ"&amp;DQ17+1),"*雙葉*"),"●",
"〇")</f>
        <v>〇</v>
      </c>
      <c r="DS18" s="72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66"/>
      <c r="DU18" s="66"/>
      <c r="DV18" s="73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64"/>
      <c r="DX18" s="74"/>
      <c r="DY18" s="57" t="str">
        <f ca="1">IF(COUNTIF(INDIRECT("'盛付札（関数）'!FJ"&amp;DX17+1),"*雙葉*"),"●",
"〇")</f>
        <v>〇</v>
      </c>
      <c r="DZ18" s="72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66"/>
      <c r="EB18" s="66"/>
      <c r="EC18" s="73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64"/>
      <c r="EE18" s="45"/>
      <c r="EF18" s="55"/>
      <c r="EG18" s="57" t="str">
        <f ca="1">IF(COUNTIF(INDIRECT("'盛付札（関数）'!FJ"&amp;EF17+1),"*雙葉*"),"●",
"〇")</f>
        <v>〇</v>
      </c>
      <c r="EH18" s="72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66"/>
      <c r="EJ18" s="66"/>
      <c r="EK18" s="73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64"/>
      <c r="EM18" s="74"/>
      <c r="EN18" s="57" t="str">
        <f ca="1">IF(COUNTIF(INDIRECT("'盛付札（関数）'!FJ"&amp;EM17+1),"*雙葉*"),"●",
"〇")</f>
        <v>〇</v>
      </c>
      <c r="EO18" s="72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66"/>
      <c r="EQ18" s="66"/>
      <c r="ER18" s="73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64"/>
      <c r="ET18" s="45"/>
    </row>
    <row r="19" spans="1:150" s="56" customFormat="1" x14ac:dyDescent="0.55000000000000004">
      <c r="A19" s="55"/>
      <c r="B19" s="59"/>
      <c r="C19" s="265" t="e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>#N/A</v>
      </c>
      <c r="D19" s="266"/>
      <c r="E19" s="45"/>
      <c r="F19" s="56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>先生</v>
      </c>
      <c r="G19" s="65"/>
      <c r="H19" s="61"/>
      <c r="I19" s="59"/>
      <c r="J19" s="265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66"/>
      <c r="L19" s="45"/>
      <c r="M19" s="56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>先生</v>
      </c>
      <c r="N19" s="65"/>
      <c r="O19" s="45"/>
      <c r="P19" s="55"/>
      <c r="Q19" s="59"/>
      <c r="R19" s="265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66"/>
      <c r="T19" s="45"/>
      <c r="U19" s="56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5"/>
      <c r="W19" s="61"/>
      <c r="X19" s="59"/>
      <c r="Y19" s="265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66"/>
      <c r="AA19" s="45"/>
      <c r="AB19" s="56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5"/>
      <c r="AD19" s="45"/>
      <c r="AE19" s="55"/>
      <c r="AF19" s="59"/>
      <c r="AG19" s="265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66"/>
      <c r="AI19" s="45"/>
      <c r="AJ19" s="56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5"/>
      <c r="AL19" s="61"/>
      <c r="AM19" s="59"/>
      <c r="AN19" s="265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66"/>
      <c r="AP19" s="45"/>
      <c r="AQ19" s="56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5"/>
      <c r="AS19" s="45"/>
      <c r="AT19" s="55"/>
      <c r="AU19" s="59"/>
      <c r="AV19" s="265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66"/>
      <c r="AX19" s="45"/>
      <c r="AY19" s="56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5"/>
      <c r="BA19" s="61"/>
      <c r="BB19" s="59"/>
      <c r="BC19" s="265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66"/>
      <c r="BE19" s="45"/>
      <c r="BF19" s="56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5"/>
      <c r="BH19" s="45"/>
      <c r="BI19" s="55"/>
      <c r="BJ19" s="59"/>
      <c r="BK19" s="265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66"/>
      <c r="BM19" s="45"/>
      <c r="BN19" s="56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5"/>
      <c r="BP19" s="61"/>
      <c r="BQ19" s="59"/>
      <c r="BR19" s="265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66"/>
      <c r="BT19" s="45"/>
      <c r="BU19" s="56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5"/>
      <c r="BW19" s="45"/>
      <c r="BX19" s="55"/>
      <c r="BY19" s="59"/>
      <c r="BZ19" s="265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66"/>
      <c r="CB19" s="45"/>
      <c r="CC19" s="56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5"/>
      <c r="CE19" s="61"/>
      <c r="CF19" s="59"/>
      <c r="CG19" s="265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66"/>
      <c r="CI19" s="45"/>
      <c r="CJ19" s="56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5"/>
      <c r="CL19" s="45"/>
      <c r="CM19" s="55"/>
      <c r="CN19" s="59"/>
      <c r="CO19" s="265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66"/>
      <c r="CQ19" s="45"/>
      <c r="CR19" s="56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5"/>
      <c r="CT19" s="61"/>
      <c r="CU19" s="59"/>
      <c r="CV19" s="265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66"/>
      <c r="CX19" s="45"/>
      <c r="CY19" s="56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5"/>
      <c r="DA19" s="45"/>
      <c r="DB19" s="55"/>
      <c r="DC19" s="59"/>
      <c r="DD19" s="265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66"/>
      <c r="DF19" s="45"/>
      <c r="DG19" s="56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65"/>
      <c r="DI19" s="61"/>
      <c r="DJ19" s="59"/>
      <c r="DK19" s="265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66"/>
      <c r="DM19" s="45"/>
      <c r="DN19" s="56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65"/>
      <c r="DP19" s="45"/>
      <c r="DQ19" s="55"/>
      <c r="DR19" s="59"/>
      <c r="DS19" s="265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66"/>
      <c r="DU19" s="45"/>
      <c r="DV19" s="56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65"/>
      <c r="DX19" s="61"/>
      <c r="DY19" s="59"/>
      <c r="DZ19" s="265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66"/>
      <c r="EB19" s="45"/>
      <c r="EC19" s="56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65"/>
      <c r="EE19" s="45"/>
      <c r="EF19" s="55"/>
      <c r="EG19" s="59"/>
      <c r="EH19" s="265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66"/>
      <c r="EJ19" s="45"/>
      <c r="EK19" s="56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65"/>
      <c r="EM19" s="61"/>
      <c r="EN19" s="59"/>
      <c r="EO19" s="265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66"/>
      <c r="EQ19" s="45"/>
      <c r="ER19" s="56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65"/>
      <c r="ET19" s="45"/>
    </row>
    <row r="20" spans="1:150" ht="15.6" customHeight="1" x14ac:dyDescent="1.05">
      <c r="B20" s="49"/>
      <c r="C20" s="252" t="e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#N/A</v>
      </c>
      <c r="D20" s="264"/>
      <c r="E20" s="75"/>
      <c r="F20" s="262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63"/>
      <c r="H20" s="50"/>
      <c r="I20" s="49"/>
      <c r="J20" s="252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64"/>
      <c r="L20" s="75"/>
      <c r="M20" s="262" t="e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>#N/A</v>
      </c>
      <c r="N20" s="263"/>
      <c r="Q20" s="49"/>
      <c r="R20" s="252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64"/>
      <c r="T20" s="75"/>
      <c r="U20" s="262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63"/>
      <c r="W20" s="50"/>
      <c r="X20" s="49"/>
      <c r="Y20" s="252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64"/>
      <c r="AA20" s="75"/>
      <c r="AB20" s="262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63"/>
      <c r="AF20" s="49"/>
      <c r="AG20" s="252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64"/>
      <c r="AI20" s="75"/>
      <c r="AJ20" s="262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63"/>
      <c r="AL20" s="50"/>
      <c r="AM20" s="49"/>
      <c r="AN20" s="252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64"/>
      <c r="AP20" s="75"/>
      <c r="AQ20" s="262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63"/>
      <c r="AU20" s="49"/>
      <c r="AV20" s="252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64"/>
      <c r="AX20" s="75"/>
      <c r="AY20" s="262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63"/>
      <c r="BA20" s="50"/>
      <c r="BB20" s="49"/>
      <c r="BC20" s="252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64"/>
      <c r="BE20" s="75"/>
      <c r="BF20" s="262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63"/>
      <c r="BJ20" s="49"/>
      <c r="BK20" s="252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64"/>
      <c r="BM20" s="75"/>
      <c r="BN20" s="262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63"/>
      <c r="BP20" s="50"/>
      <c r="BQ20" s="49"/>
      <c r="BR20" s="252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64"/>
      <c r="BT20" s="75"/>
      <c r="BU20" s="262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63"/>
      <c r="BY20" s="49"/>
      <c r="BZ20" s="252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64"/>
      <c r="CB20" s="75"/>
      <c r="CC20" s="262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63"/>
      <c r="CE20" s="50"/>
      <c r="CF20" s="49"/>
      <c r="CG20" s="252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64"/>
      <c r="CI20" s="75"/>
      <c r="CJ20" s="262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63"/>
      <c r="CN20" s="49"/>
      <c r="CO20" s="252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64"/>
      <c r="CQ20" s="75"/>
      <c r="CR20" s="262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63"/>
      <c r="CT20" s="50"/>
      <c r="CU20" s="49"/>
      <c r="CV20" s="252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64"/>
      <c r="CX20" s="75"/>
      <c r="CY20" s="262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63"/>
      <c r="DC20" s="49"/>
      <c r="DD20" s="252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64"/>
      <c r="DF20" s="75"/>
      <c r="DG20" s="262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63"/>
      <c r="DI20" s="50"/>
      <c r="DJ20" s="49"/>
      <c r="DK20" s="252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64"/>
      <c r="DM20" s="75"/>
      <c r="DN20" s="262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63"/>
      <c r="DR20" s="49"/>
      <c r="DS20" s="252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64"/>
      <c r="DU20" s="75"/>
      <c r="DV20" s="262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63"/>
      <c r="DX20" s="50"/>
      <c r="DY20" s="49"/>
      <c r="DZ20" s="252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64"/>
      <c r="EB20" s="75"/>
      <c r="EC20" s="262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63"/>
      <c r="EG20" s="49"/>
      <c r="EH20" s="252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64"/>
      <c r="EJ20" s="75"/>
      <c r="EK20" s="262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63"/>
      <c r="EM20" s="50"/>
      <c r="EN20" s="49"/>
      <c r="EO20" s="252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64"/>
      <c r="EQ20" s="75"/>
      <c r="ER20" s="262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63"/>
    </row>
    <row r="21" spans="1:150" ht="15.6" customHeight="1" x14ac:dyDescent="0.45">
      <c r="B21" s="51"/>
      <c r="C21" s="254"/>
      <c r="D21" s="254"/>
      <c r="E21" s="69"/>
      <c r="F21" s="254"/>
      <c r="G21" s="245"/>
      <c r="H21" s="50"/>
      <c r="I21" s="51"/>
      <c r="J21" s="254"/>
      <c r="K21" s="254"/>
      <c r="L21" s="69"/>
      <c r="M21" s="254"/>
      <c r="N21" s="245"/>
      <c r="Q21" s="51"/>
      <c r="R21" s="254"/>
      <c r="S21" s="254"/>
      <c r="T21" s="69"/>
      <c r="U21" s="254"/>
      <c r="V21" s="245"/>
      <c r="W21" s="50"/>
      <c r="X21" s="51"/>
      <c r="Y21" s="254"/>
      <c r="Z21" s="254"/>
      <c r="AA21" s="69"/>
      <c r="AB21" s="254"/>
      <c r="AC21" s="245"/>
      <c r="AF21" s="51"/>
      <c r="AG21" s="254"/>
      <c r="AH21" s="254"/>
      <c r="AI21" s="69"/>
      <c r="AJ21" s="254"/>
      <c r="AK21" s="245"/>
      <c r="AL21" s="50"/>
      <c r="AM21" s="51"/>
      <c r="AN21" s="254"/>
      <c r="AO21" s="254"/>
      <c r="AP21" s="69"/>
      <c r="AQ21" s="254"/>
      <c r="AR21" s="245"/>
      <c r="AU21" s="51"/>
      <c r="AV21" s="254"/>
      <c r="AW21" s="254"/>
      <c r="AX21" s="69"/>
      <c r="AY21" s="254"/>
      <c r="AZ21" s="245"/>
      <c r="BA21" s="50"/>
      <c r="BB21" s="51"/>
      <c r="BC21" s="254"/>
      <c r="BD21" s="254"/>
      <c r="BE21" s="69"/>
      <c r="BF21" s="254"/>
      <c r="BG21" s="245"/>
      <c r="BJ21" s="51"/>
      <c r="BK21" s="254"/>
      <c r="BL21" s="254"/>
      <c r="BM21" s="69"/>
      <c r="BN21" s="254"/>
      <c r="BO21" s="245"/>
      <c r="BP21" s="50"/>
      <c r="BQ21" s="51"/>
      <c r="BR21" s="254"/>
      <c r="BS21" s="254"/>
      <c r="BT21" s="69"/>
      <c r="BU21" s="254"/>
      <c r="BV21" s="245"/>
      <c r="BY21" s="51"/>
      <c r="BZ21" s="254"/>
      <c r="CA21" s="254"/>
      <c r="CB21" s="69"/>
      <c r="CC21" s="254"/>
      <c r="CD21" s="245"/>
      <c r="CE21" s="50"/>
      <c r="CF21" s="51"/>
      <c r="CG21" s="254"/>
      <c r="CH21" s="254"/>
      <c r="CI21" s="69"/>
      <c r="CJ21" s="254"/>
      <c r="CK21" s="245"/>
      <c r="CN21" s="51"/>
      <c r="CO21" s="254"/>
      <c r="CP21" s="254"/>
      <c r="CQ21" s="69"/>
      <c r="CR21" s="254"/>
      <c r="CS21" s="245"/>
      <c r="CT21" s="50"/>
      <c r="CU21" s="51"/>
      <c r="CV21" s="254"/>
      <c r="CW21" s="254"/>
      <c r="CX21" s="69"/>
      <c r="CY21" s="254"/>
      <c r="CZ21" s="245"/>
      <c r="DC21" s="51"/>
      <c r="DD21" s="254"/>
      <c r="DE21" s="254"/>
      <c r="DF21" s="69"/>
      <c r="DG21" s="254"/>
      <c r="DH21" s="245"/>
      <c r="DI21" s="50"/>
      <c r="DJ21" s="51"/>
      <c r="DK21" s="254"/>
      <c r="DL21" s="254"/>
      <c r="DM21" s="69"/>
      <c r="DN21" s="254"/>
      <c r="DO21" s="245"/>
      <c r="DR21" s="51"/>
      <c r="DS21" s="254"/>
      <c r="DT21" s="254"/>
      <c r="DU21" s="69"/>
      <c r="DV21" s="254"/>
      <c r="DW21" s="245"/>
      <c r="DX21" s="50"/>
      <c r="DY21" s="51"/>
      <c r="DZ21" s="254"/>
      <c r="EA21" s="254"/>
      <c r="EB21" s="69"/>
      <c r="EC21" s="254"/>
      <c r="ED21" s="245"/>
      <c r="EG21" s="51"/>
      <c r="EH21" s="254"/>
      <c r="EI21" s="254"/>
      <c r="EJ21" s="69"/>
      <c r="EK21" s="254"/>
      <c r="EL21" s="245"/>
      <c r="EM21" s="50"/>
      <c r="EN21" s="51"/>
      <c r="EO21" s="254"/>
      <c r="EP21" s="254"/>
      <c r="EQ21" s="69"/>
      <c r="ER21" s="254"/>
      <c r="ES21" s="245"/>
    </row>
    <row r="22" spans="1:150" s="56" customFormat="1" x14ac:dyDescent="0.55000000000000004">
      <c r="A22" s="55"/>
      <c r="B22" s="62" t="str">
        <f t="array" aca="1" ref="B22" ca="1">IF(C17&lt;&gt;"",
IF(OR(INDIRECT("'盛付札（関数）'!FI"&amp;A17)=121,INDIRECT("'盛付札（関数）'!FI"&amp;A17)=122,INDIRECT("'盛付札（関数）'!FI"&amp;A17)=123),"",
"パン箱"),"")</f>
        <v>パン箱</v>
      </c>
      <c r="C22" s="60" t="e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>#N/A</v>
      </c>
      <c r="D22" s="62" t="str">
        <f t="array" aca="1" ref="D22" ca="1">IF(C17&lt;&gt;"",
IF(OR(INDIRECT("'盛付札（関数）'!FI"&amp;A17)=121,INDIRECT("'盛付札（関数）'!FI"&amp;A17)=122,INDIRECT("'盛付札（関数）'!FI"&amp;A17)=123),"",
"端数"),"")</f>
        <v>端数</v>
      </c>
      <c r="E22" s="60"/>
      <c r="F22" s="62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>アレルギー</v>
      </c>
      <c r="G22" s="65"/>
      <c r="H22" s="45"/>
      <c r="I22" s="62" t="str">
        <f t="array" aca="1" ref="I22" ca="1">IF(J17&lt;&gt;"",
IF(OR(INDIRECT("'盛付札（関数）'!FI"&amp;H17)=121,INDIRECT("'盛付札（関数）'!FI"&amp;H17)=122,INDIRECT("'盛付札（関数）'!FI"&amp;H17)=123),"",
"パン箱"),"")</f>
        <v>パン箱</v>
      </c>
      <c r="J22" s="60" t="e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>#N/A</v>
      </c>
      <c r="K22" s="62" t="str">
        <f t="array" aca="1" ref="K22" ca="1">IF(J17&lt;&gt;"",
IF(OR(INDIRECT("'盛付札（関数）'!FI"&amp;H17)=121,INDIRECT("'盛付札（関数）'!FI"&amp;H17)=122,INDIRECT("'盛付札（関数）'!FI"&amp;H17)=123),"",
"端数"),"")</f>
        <v>端数</v>
      </c>
      <c r="L22" s="60"/>
      <c r="M22" s="62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>アレルギー</v>
      </c>
      <c r="N22" s="65"/>
      <c r="O22" s="45"/>
      <c r="P22" s="55"/>
      <c r="Q22" s="62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0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2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0"/>
      <c r="U22" s="62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5"/>
      <c r="W22" s="45"/>
      <c r="X22" s="62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0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2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0"/>
      <c r="AB22" s="62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5"/>
      <c r="AD22" s="45"/>
      <c r="AE22" s="55"/>
      <c r="AF22" s="62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0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2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0"/>
      <c r="AJ22" s="62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5"/>
      <c r="AL22" s="45"/>
      <c r="AM22" s="62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0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2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0"/>
      <c r="AQ22" s="62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5"/>
      <c r="AS22" s="45"/>
      <c r="AT22" s="55"/>
      <c r="AU22" s="62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0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2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0"/>
      <c r="AY22" s="62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5"/>
      <c r="BA22" s="45"/>
      <c r="BB22" s="62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0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2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0"/>
      <c r="BF22" s="62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5"/>
      <c r="BH22" s="45"/>
      <c r="BI22" s="55"/>
      <c r="BJ22" s="62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0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2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0"/>
      <c r="BN22" s="62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5"/>
      <c r="BP22" s="45"/>
      <c r="BQ22" s="62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0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2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0"/>
      <c r="BU22" s="62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5"/>
      <c r="BW22" s="45"/>
      <c r="BX22" s="55"/>
      <c r="BY22" s="62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0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2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0"/>
      <c r="CC22" s="62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5"/>
      <c r="CE22" s="45"/>
      <c r="CF22" s="62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0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2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0"/>
      <c r="CJ22" s="62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5"/>
      <c r="CL22" s="45"/>
      <c r="CM22" s="55"/>
      <c r="CN22" s="62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0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2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0"/>
      <c r="CR22" s="62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5"/>
      <c r="CT22" s="45"/>
      <c r="CU22" s="62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0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2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0"/>
      <c r="CY22" s="62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5"/>
      <c r="DA22" s="45"/>
      <c r="DB22" s="55"/>
      <c r="DC22" s="62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0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2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0"/>
      <c r="DG22" s="62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65"/>
      <c r="DI22" s="45"/>
      <c r="DJ22" s="62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0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2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0"/>
      <c r="DN22" s="62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65"/>
      <c r="DP22" s="45"/>
      <c r="DQ22" s="55"/>
      <c r="DR22" s="62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0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2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0"/>
      <c r="DV22" s="62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65"/>
      <c r="DX22" s="45"/>
      <c r="DY22" s="62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0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2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0"/>
      <c r="EC22" s="62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65"/>
      <c r="EE22" s="45"/>
      <c r="EF22" s="55"/>
      <c r="EG22" s="62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0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2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0"/>
      <c r="EK22" s="62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65"/>
      <c r="EM22" s="45"/>
      <c r="EN22" s="62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0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2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0"/>
      <c r="ER22" s="62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65"/>
      <c r="ET22" s="45"/>
    </row>
    <row r="23" spans="1:150" ht="27.6" customHeight="1" x14ac:dyDescent="0.45">
      <c r="B23" s="244" t="e">
        <f ca="1">IF(C20&lt;&gt;"",
IFERROR(INT(C20/C22),""),"")</f>
        <v>#N/A</v>
      </c>
      <c r="C23" s="245"/>
      <c r="D23" s="244" t="str">
        <f ca="1">IFERROR(MOD(C20,C22),"")</f>
        <v/>
      </c>
      <c r="E23" s="245"/>
      <c r="F23" s="246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>0</v>
      </c>
      <c r="G23" s="245"/>
      <c r="I23" s="244" t="str">
        <f ca="1">IF(J20&lt;&gt;"",
IFERROR(INT(J20/J22),""),"")</f>
        <v/>
      </c>
      <c r="J23" s="245"/>
      <c r="K23" s="244" t="str">
        <f ca="1">IFERROR(MOD(J20,J22),"")</f>
        <v/>
      </c>
      <c r="L23" s="245"/>
      <c r="M23" s="246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>0</v>
      </c>
      <c r="N23" s="245"/>
      <c r="Q23" s="244" t="str">
        <f ca="1">IF(R20&lt;&gt;"",
IFERROR(INT(R20/R22),""),"")</f>
        <v/>
      </c>
      <c r="R23" s="245"/>
      <c r="S23" s="244" t="str">
        <f ca="1">IFERROR(MOD(R20,R22),"")</f>
        <v/>
      </c>
      <c r="T23" s="245"/>
      <c r="U23" s="246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45"/>
      <c r="X23" s="244" t="str">
        <f ca="1">IF(Y20&lt;&gt;"",
IFERROR(INT(Y20/Y22),""),"")</f>
        <v/>
      </c>
      <c r="Y23" s="245"/>
      <c r="Z23" s="244" t="str">
        <f ca="1">IFERROR(MOD(Y20,Y22),"")</f>
        <v/>
      </c>
      <c r="AA23" s="245"/>
      <c r="AB23" s="246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45"/>
      <c r="AF23" s="244" t="str">
        <f ca="1">IF(AG20&lt;&gt;"",
IFERROR(INT(AG20/AG22),""),"")</f>
        <v/>
      </c>
      <c r="AG23" s="245"/>
      <c r="AH23" s="244" t="str">
        <f ca="1">IFERROR(MOD(AG20,AG22),"")</f>
        <v/>
      </c>
      <c r="AI23" s="245"/>
      <c r="AJ23" s="246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45"/>
      <c r="AM23" s="244" t="str">
        <f ca="1">IF(AN20&lt;&gt;"",
IFERROR(INT(AN20/AN22),""),"")</f>
        <v/>
      </c>
      <c r="AN23" s="245"/>
      <c r="AO23" s="244" t="str">
        <f ca="1">IFERROR(MOD(AN20,AN22),"")</f>
        <v/>
      </c>
      <c r="AP23" s="245"/>
      <c r="AQ23" s="246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45"/>
      <c r="AU23" s="244" t="str">
        <f ca="1">IF(AV20&lt;&gt;"",
IFERROR(INT(AV20/AV22),""),"")</f>
        <v/>
      </c>
      <c r="AV23" s="245"/>
      <c r="AW23" s="244" t="str">
        <f ca="1">IFERROR(MOD(AV20,AV22),"")</f>
        <v/>
      </c>
      <c r="AX23" s="245"/>
      <c r="AY23" s="246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45"/>
      <c r="BB23" s="244" t="str">
        <f ca="1">IF(BC20&lt;&gt;"",
IFERROR(INT(BC20/BC22),""),"")</f>
        <v/>
      </c>
      <c r="BC23" s="245"/>
      <c r="BD23" s="244" t="str">
        <f ca="1">IFERROR(MOD(BC20,BC22),"")</f>
        <v/>
      </c>
      <c r="BE23" s="245"/>
      <c r="BF23" s="246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45"/>
      <c r="BJ23" s="244" t="str">
        <f ca="1">IF(BK20&lt;&gt;"",
IFERROR(INT(BK20/BK22),""),"")</f>
        <v/>
      </c>
      <c r="BK23" s="245"/>
      <c r="BL23" s="244" t="str">
        <f ca="1">IFERROR(MOD(BK20,BK22),"")</f>
        <v/>
      </c>
      <c r="BM23" s="245"/>
      <c r="BN23" s="246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45"/>
      <c r="BQ23" s="244" t="str">
        <f ca="1">IF(BR20&lt;&gt;"",
IFERROR(INT(BR20/BR22),""),"")</f>
        <v/>
      </c>
      <c r="BR23" s="245"/>
      <c r="BS23" s="244" t="str">
        <f ca="1">IFERROR(MOD(BR20,BR22),"")</f>
        <v/>
      </c>
      <c r="BT23" s="245"/>
      <c r="BU23" s="246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45"/>
      <c r="BY23" s="244" t="str">
        <f ca="1">IF(BZ20&lt;&gt;"",
IFERROR(INT(BZ20/BZ22),""),"")</f>
        <v/>
      </c>
      <c r="BZ23" s="245"/>
      <c r="CA23" s="244" t="str">
        <f ca="1">IFERROR(MOD(BZ20,BZ22),"")</f>
        <v/>
      </c>
      <c r="CB23" s="245"/>
      <c r="CC23" s="246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45"/>
      <c r="CF23" s="244" t="str">
        <f ca="1">IF(CG20&lt;&gt;"",
IFERROR(INT(CG20/CG22),""),"")</f>
        <v/>
      </c>
      <c r="CG23" s="245"/>
      <c r="CH23" s="244" t="str">
        <f ca="1">IFERROR(MOD(CG20,CG22),"")</f>
        <v/>
      </c>
      <c r="CI23" s="245"/>
      <c r="CJ23" s="246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45"/>
      <c r="CN23" s="244" t="str">
        <f ca="1">IF(CO20&lt;&gt;"",
IFERROR(INT(CO20/CO22),""),"")</f>
        <v/>
      </c>
      <c r="CO23" s="245"/>
      <c r="CP23" s="244" t="str">
        <f ca="1">IFERROR(MOD(CO20,CO22),"")</f>
        <v/>
      </c>
      <c r="CQ23" s="245"/>
      <c r="CR23" s="246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45"/>
      <c r="CU23" s="244" t="str">
        <f ca="1">IF(CV20&lt;&gt;"",
IFERROR(INT(CV20/CV22),""),"")</f>
        <v/>
      </c>
      <c r="CV23" s="245"/>
      <c r="CW23" s="244" t="str">
        <f ca="1">IFERROR(MOD(CV20,CV22),"")</f>
        <v/>
      </c>
      <c r="CX23" s="245"/>
      <c r="CY23" s="246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45"/>
      <c r="DC23" s="244" t="str">
        <f ca="1">IF(DD20&lt;&gt;"",
IFERROR(INT(DD20/DD22),""),"")</f>
        <v/>
      </c>
      <c r="DD23" s="245"/>
      <c r="DE23" s="244" t="str">
        <f ca="1">IFERROR(MOD(DD20,DD22),"")</f>
        <v/>
      </c>
      <c r="DF23" s="245"/>
      <c r="DG23" s="246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45"/>
      <c r="DJ23" s="244" t="str">
        <f ca="1">IF(DK20&lt;&gt;"",
IFERROR(INT(DK20/DK22),""),"")</f>
        <v/>
      </c>
      <c r="DK23" s="245"/>
      <c r="DL23" s="244" t="str">
        <f ca="1">IFERROR(MOD(DK20,DK22),"")</f>
        <v/>
      </c>
      <c r="DM23" s="245"/>
      <c r="DN23" s="246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45"/>
      <c r="DR23" s="244" t="str">
        <f ca="1">IF(DS20&lt;&gt;"",
IFERROR(INT(DS20/DS22),""),"")</f>
        <v/>
      </c>
      <c r="DS23" s="245"/>
      <c r="DT23" s="244" t="str">
        <f ca="1">IFERROR(MOD(DS20,DS22),"")</f>
        <v/>
      </c>
      <c r="DU23" s="245"/>
      <c r="DV23" s="246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45"/>
      <c r="DY23" s="244" t="str">
        <f ca="1">IF(DZ20&lt;&gt;"",
IFERROR(INT(DZ20/DZ22),""),"")</f>
        <v/>
      </c>
      <c r="DZ23" s="245"/>
      <c r="EA23" s="244" t="str">
        <f ca="1">IFERROR(MOD(DZ20,DZ22),"")</f>
        <v/>
      </c>
      <c r="EB23" s="245"/>
      <c r="EC23" s="246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45"/>
      <c r="EG23" s="244" t="str">
        <f ca="1">IF(EH20&lt;&gt;"",
IFERROR(INT(EH20/EH22),""),"")</f>
        <v/>
      </c>
      <c r="EH23" s="245"/>
      <c r="EI23" s="244" t="str">
        <f ca="1">IFERROR(MOD(EH20,EH22),"")</f>
        <v/>
      </c>
      <c r="EJ23" s="245"/>
      <c r="EK23" s="246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45"/>
      <c r="EN23" s="244" t="str">
        <f ca="1">IF(EO20&lt;&gt;"",
IFERROR(INT(EO20/EO22),""),"")</f>
        <v/>
      </c>
      <c r="EO23" s="245"/>
      <c r="EP23" s="244" t="str">
        <f ca="1">IFERROR(MOD(EO20,EO22),"")</f>
        <v/>
      </c>
      <c r="EQ23" s="245"/>
      <c r="ER23" s="246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45"/>
    </row>
    <row r="24" spans="1:150" ht="6.6" customHeight="1" x14ac:dyDescent="0.55000000000000004">
      <c r="B24" s="70"/>
      <c r="D24" s="70"/>
      <c r="F24" s="71"/>
      <c r="I24" s="70"/>
      <c r="K24" s="70"/>
      <c r="M24" s="71"/>
      <c r="Q24" s="70"/>
      <c r="S24" s="70"/>
      <c r="U24" s="71"/>
      <c r="X24" s="70"/>
      <c r="Z24" s="70"/>
      <c r="AB24" s="71"/>
      <c r="AF24" s="70"/>
      <c r="AH24" s="70"/>
      <c r="AJ24" s="71"/>
      <c r="AM24" s="70"/>
      <c r="AO24" s="70"/>
      <c r="AQ24" s="71"/>
      <c r="AU24" s="70"/>
      <c r="AW24" s="70"/>
      <c r="AY24" s="71"/>
      <c r="BB24" s="70"/>
      <c r="BD24" s="70"/>
      <c r="BF24" s="71"/>
      <c r="BJ24" s="70"/>
      <c r="BL24" s="70"/>
      <c r="BN24" s="71"/>
      <c r="BQ24" s="70"/>
      <c r="BS24" s="70"/>
      <c r="BU24" s="71"/>
      <c r="BY24" s="70"/>
      <c r="CA24" s="70"/>
      <c r="CC24" s="71"/>
      <c r="CF24" s="70"/>
      <c r="CH24" s="70"/>
      <c r="CJ24" s="71"/>
      <c r="CN24" s="70"/>
      <c r="CP24" s="70"/>
      <c r="CR24" s="71"/>
      <c r="CU24" s="70"/>
      <c r="CW24" s="70"/>
      <c r="CY24" s="71"/>
      <c r="DC24" s="70"/>
      <c r="DE24" s="70"/>
      <c r="DG24" s="71"/>
      <c r="DJ24" s="70"/>
      <c r="DL24" s="70"/>
      <c r="DN24" s="71"/>
      <c r="DR24" s="70"/>
      <c r="DT24" s="70"/>
      <c r="DV24" s="71"/>
      <c r="DY24" s="70"/>
      <c r="EA24" s="70"/>
      <c r="EC24" s="71"/>
      <c r="EG24" s="70"/>
      <c r="EI24" s="70"/>
      <c r="EK24" s="71"/>
      <c r="EN24" s="70"/>
      <c r="EP24" s="70"/>
      <c r="ER24" s="71"/>
    </row>
    <row r="25" spans="1:150" s="56" customFormat="1" ht="25.8" customHeight="1" x14ac:dyDescent="0.55000000000000004">
      <c r="A25" s="55">
        <f ca="1">IF(OR(I18="●",I18="△"),
H17+2,H17+1)</f>
        <v>7</v>
      </c>
      <c r="B25" s="68" t="str">
        <f ca="1">IF(C25&lt;&gt;"",
MID(貼り付け用!$A$2, FIND("年",貼り付け用!$A$2)+1,2)&amp;"/"&amp;MID(貼り付け用!$A$2, FIND("月",貼り付け用!$A$2)+1,2),"")</f>
        <v/>
      </c>
      <c r="C25" s="267" t="str" cm="1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48"/>
      <c r="E25" s="248"/>
      <c r="F25" s="248"/>
      <c r="G25" s="67" t="str">
        <f t="array" aca="1" ref="G25" ca="1">IF(C25&lt;&gt;"",
IF(AND(INDIRECT("'盛付札（関数）'!FI"&amp;A25)&gt;=124,INDIRECT("'盛付札（関数）'!FI"&amp;A25)&lt;=144),"",
"様"),"")</f>
        <v/>
      </c>
      <c r="H25" s="61">
        <f ca="1">IF(OR(B26="●",B26="△"),
A25+2,A25+1)</f>
        <v>8</v>
      </c>
      <c r="I25" s="68" t="str">
        <f ca="1">IF(J25&lt;&gt;"",
MID(貼り付け用!$A$2, FIND("年",貼り付け用!$A$2)+1,2)&amp;"/"&amp;MID(貼り付け用!$A$2, FIND("月",貼り付け用!$A$2)+1,2),"")</f>
        <v/>
      </c>
      <c r="J25" s="267" t="str" cm="1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48"/>
      <c r="L25" s="248"/>
      <c r="M25" s="248"/>
      <c r="N25" s="67" t="str">
        <f t="array" aca="1" ref="N25" ca="1">IF(J25&lt;&gt;"",
IF(AND(INDIRECT("'盛付札（関数）'!FI"&amp;H25)&gt;=124,INDIRECT("'盛付札（関数）'!FI"&amp;H25)&lt;=144),"",
"様"),"")</f>
        <v/>
      </c>
      <c r="O25" s="45"/>
      <c r="P25" s="55">
        <f ca="1">IF(OR(X18="●",X18="△"),
W17+2,W17+1)</f>
        <v>19</v>
      </c>
      <c r="Q25" s="68" t="str">
        <f ca="1">IF(R25&lt;&gt;"",
MID(貼り付け用!$A$2, FIND("年",貼り付け用!$A$2)+1,2)&amp;"/"&amp;MID(貼り付け用!$A$2, FIND("月",貼り付け用!$A$2)+1,2),"")</f>
        <v/>
      </c>
      <c r="R25" s="267" t="str" cm="1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48"/>
      <c r="T25" s="248"/>
      <c r="U25" s="248"/>
      <c r="V25" s="67" t="str">
        <f t="array" aca="1" ref="V25" ca="1">IF(R25&lt;&gt;"",
IF(AND(INDIRECT("'盛付札（関数）'!FI"&amp;P25)&gt;=124,INDIRECT("'盛付札（関数）'!FI"&amp;P25)&lt;=144),"",
"様"),"")</f>
        <v/>
      </c>
      <c r="W25" s="61">
        <f ca="1">IF(OR(Q26="●",Q26="△"),
P25+2,P25+1)</f>
        <v>20</v>
      </c>
      <c r="X25" s="68" t="str">
        <f ca="1">IF(Y25&lt;&gt;"",
MID(貼り付け用!$A$2, FIND("年",貼り付け用!$A$2)+1,2)&amp;"/"&amp;MID(貼り付け用!$A$2, FIND("月",貼り付け用!$A$2)+1,2),"")</f>
        <v/>
      </c>
      <c r="Y25" s="267" t="str" cm="1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48"/>
      <c r="AA25" s="248"/>
      <c r="AB25" s="248"/>
      <c r="AC25" s="67" t="str">
        <f t="array" aca="1" ref="AC25" ca="1">IF(Y25&lt;&gt;"",
IF(AND(INDIRECT("'盛付札（関数）'!FI"&amp;W25)&gt;=124,INDIRECT("'盛付札（関数）'!FI"&amp;W25)&lt;=144),"",
"様"),"")</f>
        <v/>
      </c>
      <c r="AD25" s="45"/>
      <c r="AE25" s="55">
        <f ca="1">IF(OR(AM18="●",AM18="△"),
AL17+2,AL17+1)</f>
        <v>31</v>
      </c>
      <c r="AF25" s="68" t="str">
        <f ca="1">IF(AG25&lt;&gt;"",
MID(貼り付け用!$A$2, FIND("年",貼り付け用!$A$2)+1,2)&amp;"/"&amp;MID(貼り付け用!$A$2, FIND("月",貼り付け用!$A$2)+1,2),"")</f>
        <v/>
      </c>
      <c r="AG25" s="267" t="str" cm="1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48"/>
      <c r="AI25" s="248"/>
      <c r="AJ25" s="248"/>
      <c r="AK25" s="67" t="str">
        <f t="array" aca="1" ref="AK25" ca="1">IF(AG25&lt;&gt;"",
IF(AND(INDIRECT("'盛付札（関数）'!FI"&amp;AE25)&gt;=124,INDIRECT("'盛付札（関数）'!FI"&amp;AE25)&lt;=144),"",
"様"),"")</f>
        <v/>
      </c>
      <c r="AL25" s="61">
        <f ca="1">IF(OR(AF26="●",AF26="△"),
AE25+2,AE25+1)</f>
        <v>32</v>
      </c>
      <c r="AM25" s="68" t="str">
        <f ca="1">IF(AN25&lt;&gt;"",
MID(貼り付け用!$A$2, FIND("年",貼り付け用!$A$2)+1,2)&amp;"/"&amp;MID(貼り付け用!$A$2, FIND("月",貼り付け用!$A$2)+1,2),"")</f>
        <v/>
      </c>
      <c r="AN25" s="267" t="str" cm="1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48"/>
      <c r="AP25" s="248"/>
      <c r="AQ25" s="248"/>
      <c r="AR25" s="67" t="str">
        <f t="array" aca="1" ref="AR25" ca="1">IF(AN25&lt;&gt;"",
IF(AND(INDIRECT("'盛付札（関数）'!FI"&amp;AL25)&gt;=124,INDIRECT("'盛付札（関数）'!FI"&amp;AL25)&lt;=144),"",
"様"),"")</f>
        <v/>
      </c>
      <c r="AS25" s="45"/>
      <c r="AT25" s="55">
        <f ca="1">IF(OR(BB18="●",BB18="△"),
BA17+2,BA17+1)</f>
        <v>43</v>
      </c>
      <c r="AU25" s="68" t="str">
        <f ca="1">IF(AV25&lt;&gt;"",
MID(貼り付け用!$A$2, FIND("年",貼り付け用!$A$2)+1,2)&amp;"/"&amp;MID(貼り付け用!$A$2, FIND("月",貼り付け用!$A$2)+1,2),"")</f>
        <v/>
      </c>
      <c r="AV25" s="267" t="str" cm="1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48"/>
      <c r="AX25" s="248"/>
      <c r="AY25" s="248"/>
      <c r="AZ25" s="67" t="str">
        <f t="array" aca="1" ref="AZ25" ca="1">IF(AV25&lt;&gt;"",
IF(AND(INDIRECT("'盛付札（関数）'!FI"&amp;AT25)&gt;=124,INDIRECT("'盛付札（関数）'!FI"&amp;AT25)&lt;=144),"",
"様"),"")</f>
        <v/>
      </c>
      <c r="BA25" s="61">
        <f ca="1">IF(OR(AU26="●",AU26="△"),
AT25+2,AT25+1)</f>
        <v>44</v>
      </c>
      <c r="BB25" s="68" t="str">
        <f ca="1">IF(BC25&lt;&gt;"",
MID(貼り付け用!$A$2, FIND("年",貼り付け用!$A$2)+1,2)&amp;"/"&amp;MID(貼り付け用!$A$2, FIND("月",貼り付け用!$A$2)+1,2),"")</f>
        <v/>
      </c>
      <c r="BC25" s="267" t="str" cm="1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48"/>
      <c r="BE25" s="248"/>
      <c r="BF25" s="248"/>
      <c r="BG25" s="67" t="str">
        <f t="array" aca="1" ref="BG25" ca="1">IF(BC25&lt;&gt;"",
IF(AND(INDIRECT("'盛付札（関数）'!FI"&amp;BA25)&gt;=124,INDIRECT("'盛付札（関数）'!FI"&amp;BA25)&lt;=144),"",
"様"),"")</f>
        <v/>
      </c>
      <c r="BH25" s="45"/>
      <c r="BI25" s="55">
        <f ca="1">IF(OR(BQ18="●",BQ18="△"),
BP17+2,BP17+1)</f>
        <v>55</v>
      </c>
      <c r="BJ25" s="68" t="str">
        <f ca="1">IF(BK25&lt;&gt;"",
MID(貼り付け用!$A$2, FIND("年",貼り付け用!$A$2)+1,2)&amp;"/"&amp;MID(貼り付け用!$A$2, FIND("月",貼り付け用!$A$2)+1,2),"")</f>
        <v/>
      </c>
      <c r="BK25" s="267" t="str" cm="1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48"/>
      <c r="BM25" s="248"/>
      <c r="BN25" s="248"/>
      <c r="BO25" s="67" t="str">
        <f t="array" aca="1" ref="BO25" ca="1">IF(BK25&lt;&gt;"",
IF(AND(INDIRECT("'盛付札（関数）'!FI"&amp;BI25)&gt;=124,INDIRECT("'盛付札（関数）'!FI"&amp;BI25)&lt;=144),"",
"様"),"")</f>
        <v/>
      </c>
      <c r="BP25" s="61">
        <f ca="1">IF(OR(BJ26="●",BJ26="△"),
BI25+2,BI25+1)</f>
        <v>56</v>
      </c>
      <c r="BQ25" s="68" t="str">
        <f ca="1">IF(BR25&lt;&gt;"",
MID(貼り付け用!$A$2, FIND("年",貼り付け用!$A$2)+1,2)&amp;"/"&amp;MID(貼り付け用!$A$2, FIND("月",貼り付け用!$A$2)+1,2),"")</f>
        <v/>
      </c>
      <c r="BR25" s="267" t="str" cm="1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48"/>
      <c r="BT25" s="248"/>
      <c r="BU25" s="248"/>
      <c r="BV25" s="67" t="str">
        <f t="array" aca="1" ref="BV25" ca="1">IF(BR25&lt;&gt;"",
IF(AND(INDIRECT("'盛付札（関数）'!FI"&amp;BP25)&gt;=124,INDIRECT("'盛付札（関数）'!FI"&amp;BP25)&lt;=144),"",
"様"),"")</f>
        <v/>
      </c>
      <c r="BW25" s="45"/>
      <c r="BX25" s="55">
        <f ca="1">IF(OR(CF18="●",CF18="△"),
CE17+2,CE17+1)</f>
        <v>67</v>
      </c>
      <c r="BY25" s="68" t="str">
        <f ca="1">IF(BZ25&lt;&gt;"",
MID(貼り付け用!$A$2, FIND("年",貼り付け用!$A$2)+1,2)&amp;"/"&amp;MID(貼り付け用!$A$2, FIND("月",貼り付け用!$A$2)+1,2),"")</f>
        <v/>
      </c>
      <c r="BZ25" s="267" t="str" cm="1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48"/>
      <c r="CB25" s="248"/>
      <c r="CC25" s="248"/>
      <c r="CD25" s="67" t="str">
        <f t="array" aca="1" ref="CD25" ca="1">IF(BZ25&lt;&gt;"",
IF(AND(INDIRECT("'盛付札（関数）'!FI"&amp;BX25)&gt;=124,INDIRECT("'盛付札（関数）'!FI"&amp;BX25)&lt;=144),"",
"様"),"")</f>
        <v/>
      </c>
      <c r="CE25" s="61">
        <f ca="1">IF(OR(BY26="●",BY26="△"),
BX25+2,BX25+1)</f>
        <v>68</v>
      </c>
      <c r="CF25" s="68" t="str">
        <f ca="1">IF(CG25&lt;&gt;"",
MID(貼り付け用!$A$2, FIND("年",貼り付け用!$A$2)+1,2)&amp;"/"&amp;MID(貼り付け用!$A$2, FIND("月",貼り付け用!$A$2)+1,2),"")</f>
        <v/>
      </c>
      <c r="CG25" s="267" t="str" cm="1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48"/>
      <c r="CI25" s="248"/>
      <c r="CJ25" s="248"/>
      <c r="CK25" s="67" t="str">
        <f t="array" aca="1" ref="CK25" ca="1">IF(CG25&lt;&gt;"",
IF(AND(INDIRECT("'盛付札（関数）'!FI"&amp;CE25)&gt;=124,INDIRECT("'盛付札（関数）'!FI"&amp;CE25)&lt;=144),"",
"様"),"")</f>
        <v/>
      </c>
      <c r="CL25" s="45"/>
      <c r="CM25" s="55">
        <f ca="1">IF(OR(CU18="●",CU18="△"),
CT17+2,CT17+1)</f>
        <v>79</v>
      </c>
      <c r="CN25" s="68" t="str">
        <f ca="1">IF(CO25&lt;&gt;"",
MID(貼り付け用!$A$2, FIND("年",貼り付け用!$A$2)+1,2)&amp;"/"&amp;MID(貼り付け用!$A$2, FIND("月",貼り付け用!$A$2)+1,2),"")</f>
        <v/>
      </c>
      <c r="CO25" s="267" t="str" cm="1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48"/>
      <c r="CQ25" s="248"/>
      <c r="CR25" s="248"/>
      <c r="CS25" s="67" t="str">
        <f t="array" aca="1" ref="CS25" ca="1">IF(CO25&lt;&gt;"",
IF(AND(INDIRECT("'盛付札（関数）'!FI"&amp;CM25)&gt;=124,INDIRECT("'盛付札（関数）'!FI"&amp;CM25)&lt;=144),"",
"様"),"")</f>
        <v/>
      </c>
      <c r="CT25" s="61">
        <f ca="1">IF(OR(CN26="●",CN26="△"),
CM25+2,CM25+1)</f>
        <v>80</v>
      </c>
      <c r="CU25" s="68" t="str">
        <f ca="1">IF(CV25&lt;&gt;"",
MID(貼り付け用!$A$2, FIND("年",貼り付け用!$A$2)+1,2)&amp;"/"&amp;MID(貼り付け用!$A$2, FIND("月",貼り付け用!$A$2)+1,2),"")</f>
        <v/>
      </c>
      <c r="CV25" s="267" t="str" cm="1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48"/>
      <c r="CX25" s="248"/>
      <c r="CY25" s="248"/>
      <c r="CZ25" s="67" t="str">
        <f t="array" aca="1" ref="CZ25" ca="1">IF(CV25&lt;&gt;"",
IF(AND(INDIRECT("'盛付札（関数）'!FI"&amp;CT25)&gt;=124,INDIRECT("'盛付札（関数）'!FI"&amp;CT25)&lt;=144),"",
"様"),"")</f>
        <v/>
      </c>
      <c r="DA25" s="45"/>
      <c r="DB25" s="55">
        <f ca="1">IF(OR(DJ18="●",DJ18="△"),
DI17+2,DI17+1)</f>
        <v>91</v>
      </c>
      <c r="DC25" s="68" t="str">
        <f ca="1">IF(DD25&lt;&gt;"",
MID(貼り付け用!$A$2, FIND("年",貼り付け用!$A$2)+1,2)&amp;"/"&amp;MID(貼り付け用!$A$2, FIND("月",貼り付け用!$A$2)+1,2),"")</f>
        <v/>
      </c>
      <c r="DD25" s="267" t="str" cm="1">
        <f t="array" aca="1" ref="DD25" ca="1">SUBSTITUTE(SUBSTITUTE(SUBSTITUTE(SUBSTITUTE(SUBSTITUTE(SUBSTITUTE(SUBSTITUTE(SUBSTITUTE(SUBSTITUTE(SUBSTITUTE(SUBSTITUTE(
IF(DC26="△",
INDIRECT("'盛付札（関数）'!FJ"&amp;DB25+1),INDIRECT("'盛付札（関数）'!FJ"&amp;DB25)),"０",""),"①",""),"②",""),"③",""),"④",""),"⑤",""),"⑥",""),"⑦",""),"⑧",""),"⑨",""),"⑩","")</f>
        <v/>
      </c>
      <c r="DE25" s="248"/>
      <c r="DF25" s="248"/>
      <c r="DG25" s="248"/>
      <c r="DH25" s="67" t="str">
        <f t="array" aca="1" ref="DH25" ca="1">IF(DD25&lt;&gt;"",
IF(AND(INDIRECT("'盛付札（関数）'!FI"&amp;DB25)&gt;=124,INDIRECT("'盛付札（関数）'!FI"&amp;DB25)&lt;=144),"",
"様"),"")</f>
        <v/>
      </c>
      <c r="DI25" s="61">
        <f ca="1">IF(OR(DC26="●",DC26="△"),
DB25+2,DB25+1)</f>
        <v>92</v>
      </c>
      <c r="DJ25" s="68" t="str">
        <f ca="1">IF(DK25&lt;&gt;"",
MID(貼り付け用!$A$2, FIND("年",貼り付け用!$A$2)+1,2)&amp;"/"&amp;MID(貼り付け用!$A$2, FIND("月",貼り付け用!$A$2)+1,2),"")</f>
        <v/>
      </c>
      <c r="DK25" s="267" t="str" cm="1">
        <f t="array" aca="1" ref="DK25" ca="1">SUBSTITUTE(SUBSTITUTE(SUBSTITUTE(SUBSTITUTE(SUBSTITUTE(SUBSTITUTE(SUBSTITUTE(SUBSTITUTE(SUBSTITUTE(SUBSTITUTE(SUBSTITUTE(
IF(DJ26="△",
INDIRECT("'盛付札（関数）'!FJ"&amp;DI25+1),INDIRECT("'盛付札（関数）'!FJ"&amp;DI25)),"０",""),"①",""),"②",""),"③",""),"④",""),"⑤",""),"⑥",""),"⑦",""),"⑧",""),"⑨",""),"⑩","")</f>
        <v/>
      </c>
      <c r="DL25" s="248"/>
      <c r="DM25" s="248"/>
      <c r="DN25" s="248"/>
      <c r="DO25" s="67" t="str">
        <f t="array" aca="1" ref="DO25" ca="1">IF(DK25&lt;&gt;"",
IF(AND(INDIRECT("'盛付札（関数）'!FI"&amp;DI25)&gt;=124,INDIRECT("'盛付札（関数）'!FI"&amp;DI25)&lt;=144),"",
"様"),"")</f>
        <v/>
      </c>
      <c r="DP25" s="45"/>
      <c r="DQ25" s="55">
        <f ca="1">IF(OR(DY18="●",DY18="△"),
DX17+2,DX17+1)</f>
        <v>103</v>
      </c>
      <c r="DR25" s="68" t="str">
        <f ca="1">IF(DS25&lt;&gt;"",
MID(貼り付け用!$A$2, FIND("年",貼り付け用!$A$2)+1,2)&amp;"/"&amp;MID(貼り付け用!$A$2, FIND("月",貼り付け用!$A$2)+1,2),"")</f>
        <v/>
      </c>
      <c r="DS25" s="267" t="str" cm="1">
        <f t="array" aca="1" ref="DS25" ca="1">SUBSTITUTE(SUBSTITUTE(SUBSTITUTE(SUBSTITUTE(SUBSTITUTE(SUBSTITUTE(SUBSTITUTE(SUBSTITUTE(SUBSTITUTE(SUBSTITUTE(SUBSTITUTE(
IF(DR26="△",
INDIRECT("'盛付札（関数）'!FJ"&amp;DQ25+1),INDIRECT("'盛付札（関数）'!FJ"&amp;DQ25)),"０",""),"①",""),"②",""),"③",""),"④",""),"⑤",""),"⑥",""),"⑦",""),"⑧",""),"⑨",""),"⑩","")</f>
        <v/>
      </c>
      <c r="DT25" s="248"/>
      <c r="DU25" s="248"/>
      <c r="DV25" s="248"/>
      <c r="DW25" s="67" t="str">
        <f t="array" aca="1" ref="DW25" ca="1">IF(DS25&lt;&gt;"",
IF(AND(INDIRECT("'盛付札（関数）'!FI"&amp;DQ25)&gt;=124,INDIRECT("'盛付札（関数）'!FI"&amp;DQ25)&lt;=144),"",
"様"),"")</f>
        <v/>
      </c>
      <c r="DX25" s="61">
        <f ca="1">IF(OR(DR26="●",DR26="△"),
DQ25+2,DQ25+1)</f>
        <v>104</v>
      </c>
      <c r="DY25" s="68" t="str">
        <f ca="1">IF(DZ25&lt;&gt;"",
MID(貼り付け用!$A$2, FIND("年",貼り付け用!$A$2)+1,2)&amp;"/"&amp;MID(貼り付け用!$A$2, FIND("月",貼り付け用!$A$2)+1,2),"")</f>
        <v/>
      </c>
      <c r="DZ25" s="267" t="str" cm="1">
        <f t="array" aca="1" ref="DZ25" ca="1">SUBSTITUTE(SUBSTITUTE(SUBSTITUTE(SUBSTITUTE(SUBSTITUTE(SUBSTITUTE(SUBSTITUTE(SUBSTITUTE(SUBSTITUTE(SUBSTITUTE(SUBSTITUTE(
IF(DY26="△",
INDIRECT("'盛付札（関数）'!FJ"&amp;DX25+1),INDIRECT("'盛付札（関数）'!FJ"&amp;DX25)),"０",""),"①",""),"②",""),"③",""),"④",""),"⑤",""),"⑥",""),"⑦",""),"⑧",""),"⑨",""),"⑩","")</f>
        <v/>
      </c>
      <c r="EA25" s="248"/>
      <c r="EB25" s="248"/>
      <c r="EC25" s="248"/>
      <c r="ED25" s="67" t="str">
        <f t="array" aca="1" ref="ED25" ca="1">IF(DZ25&lt;&gt;"",
IF(AND(INDIRECT("'盛付札（関数）'!FI"&amp;DX25)&gt;=124,INDIRECT("'盛付札（関数）'!FI"&amp;DX25)&lt;=144),"",
"様"),"")</f>
        <v/>
      </c>
      <c r="EE25" s="45"/>
      <c r="EF25" s="55">
        <f ca="1">IF(OR(EN18="●",EN18="△"),
EM17+2,EM17+1)</f>
        <v>115</v>
      </c>
      <c r="EG25" s="68" t="str">
        <f ca="1">IF(EH25&lt;&gt;"",
MID(貼り付け用!$A$2, FIND("年",貼り付け用!$A$2)+1,2)&amp;"/"&amp;MID(貼り付け用!$A$2, FIND("月",貼り付け用!$A$2)+1,2),"")</f>
        <v/>
      </c>
      <c r="EH25" s="267" t="str" cm="1">
        <f t="array" aca="1" ref="EH25" ca="1">SUBSTITUTE(SUBSTITUTE(SUBSTITUTE(SUBSTITUTE(SUBSTITUTE(SUBSTITUTE(SUBSTITUTE(SUBSTITUTE(SUBSTITUTE(SUBSTITUTE(SUBSTITUTE(
IF(EG26="△",
INDIRECT("'盛付札（関数）'!FJ"&amp;EF25+1),INDIRECT("'盛付札（関数）'!FJ"&amp;EF25)),"０",""),"①",""),"②",""),"③",""),"④",""),"⑤",""),"⑥",""),"⑦",""),"⑧",""),"⑨",""),"⑩","")</f>
        <v/>
      </c>
      <c r="EI25" s="248"/>
      <c r="EJ25" s="248"/>
      <c r="EK25" s="248"/>
      <c r="EL25" s="67" t="str">
        <f t="array" aca="1" ref="EL25" ca="1">IF(EH25&lt;&gt;"",
IF(AND(INDIRECT("'盛付札（関数）'!FI"&amp;EF25)&gt;=124,INDIRECT("'盛付札（関数）'!FI"&amp;EF25)&lt;=144),"",
"様"),"")</f>
        <v/>
      </c>
      <c r="EM25" s="61">
        <f ca="1">IF(OR(EG26="●",EG26="△"),
EF25+2,EF25+1)</f>
        <v>116</v>
      </c>
      <c r="EN25" s="68" t="str">
        <f ca="1">IF(EO25&lt;&gt;"",
MID(貼り付け用!$A$2, FIND("年",貼り付け用!$A$2)+1,2)&amp;"/"&amp;MID(貼り付け用!$A$2, FIND("月",貼り付け用!$A$2)+1,2),"")</f>
        <v/>
      </c>
      <c r="EO25" s="267" t="str" cm="1">
        <f t="array" aca="1" ref="EO25" ca="1">SUBSTITUTE(SUBSTITUTE(SUBSTITUTE(SUBSTITUTE(SUBSTITUTE(SUBSTITUTE(SUBSTITUTE(SUBSTITUTE(SUBSTITUTE(SUBSTITUTE(SUBSTITUTE(
IF(EN26="△",
INDIRECT("'盛付札（関数）'!FJ"&amp;EM25+1),INDIRECT("'盛付札（関数）'!FJ"&amp;EM25)),"０",""),"①",""),"②",""),"③",""),"④",""),"⑤",""),"⑥",""),"⑦",""),"⑧",""),"⑨",""),"⑩","")</f>
        <v/>
      </c>
      <c r="EP25" s="248"/>
      <c r="EQ25" s="248"/>
      <c r="ER25" s="248"/>
      <c r="ES25" s="67" t="str">
        <f t="array" aca="1" ref="ES25" ca="1">IF(EO25&lt;&gt;"",
IF(AND(INDIRECT("'盛付札（関数）'!FI"&amp;EM25)&gt;=124,INDIRECT("'盛付札（関数）'!FI"&amp;EM25)&lt;=144),"",
"様"),"")</f>
        <v/>
      </c>
      <c r="ET25" s="45"/>
    </row>
    <row r="26" spans="1:150" s="56" customFormat="1" x14ac:dyDescent="0.55000000000000004">
      <c r="A26" s="55"/>
      <c r="B26" s="57" t="str">
        <f ca="1">IF(COUNTIF(INDIRECT("'盛付札（関数）'!FJ"&amp;A25+1),"*雙葉*"),"●",
"〇")</f>
        <v>〇</v>
      </c>
      <c r="C26" s="72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66"/>
      <c r="E26" s="66"/>
      <c r="F26" s="73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4"/>
      <c r="H26" s="74"/>
      <c r="I26" s="57" t="str">
        <f ca="1">IF(COUNTIF(INDIRECT("'盛付札（関数）'!FJ"&amp;H25+1),"*雙葉*"),"●",
"〇")</f>
        <v>〇</v>
      </c>
      <c r="J26" s="72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66"/>
      <c r="L26" s="66"/>
      <c r="M26" s="73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4"/>
      <c r="O26" s="45"/>
      <c r="P26" s="55"/>
      <c r="Q26" s="57" t="str">
        <f ca="1">IF(COUNTIF(INDIRECT("'盛付札（関数）'!FJ"&amp;P25+1),"*雙葉*"),"●",
"〇")</f>
        <v>〇</v>
      </c>
      <c r="R26" s="72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66"/>
      <c r="T26" s="66"/>
      <c r="U26" s="73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4"/>
      <c r="W26" s="74"/>
      <c r="X26" s="57" t="str">
        <f ca="1">IF(COUNTIF(INDIRECT("'盛付札（関数）'!FJ"&amp;W25+1),"*雙葉*"),"●",
"〇")</f>
        <v>〇</v>
      </c>
      <c r="Y26" s="72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66"/>
      <c r="AA26" s="66"/>
      <c r="AB26" s="73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4"/>
      <c r="AD26" s="45"/>
      <c r="AE26" s="55"/>
      <c r="AF26" s="57" t="str">
        <f ca="1">IF(COUNTIF(INDIRECT("'盛付札（関数）'!FJ"&amp;AE25+1),"*雙葉*"),"●",
"〇")</f>
        <v>〇</v>
      </c>
      <c r="AG26" s="72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66"/>
      <c r="AI26" s="66"/>
      <c r="AJ26" s="73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4"/>
      <c r="AL26" s="74"/>
      <c r="AM26" s="57" t="str">
        <f ca="1">IF(COUNTIF(INDIRECT("'盛付札（関数）'!FJ"&amp;AL25+1),"*雙葉*"),"●",
"〇")</f>
        <v>〇</v>
      </c>
      <c r="AN26" s="72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66"/>
      <c r="AP26" s="66"/>
      <c r="AQ26" s="73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4"/>
      <c r="AS26" s="45"/>
      <c r="AT26" s="55"/>
      <c r="AU26" s="57" t="str">
        <f ca="1">IF(COUNTIF(INDIRECT("'盛付札（関数）'!FJ"&amp;AT25+1),"*雙葉*"),"●",
"〇")</f>
        <v>〇</v>
      </c>
      <c r="AV26" s="72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66"/>
      <c r="AX26" s="66"/>
      <c r="AY26" s="73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4"/>
      <c r="BA26" s="74"/>
      <c r="BB26" s="57" t="str">
        <f ca="1">IF(COUNTIF(INDIRECT("'盛付札（関数）'!FJ"&amp;BA25+1),"*雙葉*"),"●",
"〇")</f>
        <v>〇</v>
      </c>
      <c r="BC26" s="72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66"/>
      <c r="BE26" s="66"/>
      <c r="BF26" s="73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4"/>
      <c r="BH26" s="45"/>
      <c r="BI26" s="55"/>
      <c r="BJ26" s="57" t="str">
        <f ca="1">IF(COUNTIF(INDIRECT("'盛付札（関数）'!FJ"&amp;BI25+1),"*雙葉*"),"●",
"〇")</f>
        <v>〇</v>
      </c>
      <c r="BK26" s="72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66"/>
      <c r="BM26" s="66"/>
      <c r="BN26" s="73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4"/>
      <c r="BP26" s="74"/>
      <c r="BQ26" s="57" t="str">
        <f ca="1">IF(COUNTIF(INDIRECT("'盛付札（関数）'!FJ"&amp;BP25+1),"*雙葉*"),"●",
"〇")</f>
        <v>〇</v>
      </c>
      <c r="BR26" s="72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66"/>
      <c r="BT26" s="66"/>
      <c r="BU26" s="73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4"/>
      <c r="BW26" s="45"/>
      <c r="BX26" s="55"/>
      <c r="BY26" s="57" t="str">
        <f ca="1">IF(COUNTIF(INDIRECT("'盛付札（関数）'!FJ"&amp;BX25+1),"*雙葉*"),"●",
"〇")</f>
        <v>〇</v>
      </c>
      <c r="BZ26" s="72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66"/>
      <c r="CB26" s="66"/>
      <c r="CC26" s="73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4"/>
      <c r="CE26" s="74"/>
      <c r="CF26" s="57" t="str">
        <f ca="1">IF(COUNTIF(INDIRECT("'盛付札（関数）'!FJ"&amp;CE25+1),"*雙葉*"),"●",
"〇")</f>
        <v>〇</v>
      </c>
      <c r="CG26" s="72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66"/>
      <c r="CI26" s="66"/>
      <c r="CJ26" s="73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4"/>
      <c r="CL26" s="45"/>
      <c r="CM26" s="55"/>
      <c r="CN26" s="57" t="str">
        <f ca="1">IF(COUNTIF(INDIRECT("'盛付札（関数）'!FJ"&amp;CM25+1),"*雙葉*"),"●",
"〇")</f>
        <v>〇</v>
      </c>
      <c r="CO26" s="72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66"/>
      <c r="CQ26" s="66"/>
      <c r="CR26" s="73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4"/>
      <c r="CT26" s="74"/>
      <c r="CU26" s="57" t="str">
        <f ca="1">IF(COUNTIF(INDIRECT("'盛付札（関数）'!FJ"&amp;CT25+1),"*雙葉*"),"●",
"〇")</f>
        <v>〇</v>
      </c>
      <c r="CV26" s="72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66"/>
      <c r="CX26" s="66"/>
      <c r="CY26" s="73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4"/>
      <c r="DA26" s="45"/>
      <c r="DB26" s="55"/>
      <c r="DC26" s="57" t="str">
        <f ca="1">IF(COUNTIF(INDIRECT("'盛付札（関数）'!FJ"&amp;DB25+1),"*雙葉*"),"●",
"〇")</f>
        <v>〇</v>
      </c>
      <c r="DD26" s="72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66"/>
      <c r="DF26" s="66"/>
      <c r="DG26" s="73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64"/>
      <c r="DI26" s="74"/>
      <c r="DJ26" s="57" t="str">
        <f ca="1">IF(COUNTIF(INDIRECT("'盛付札（関数）'!FJ"&amp;DI25+1),"*雙葉*"),"●",
"〇")</f>
        <v>〇</v>
      </c>
      <c r="DK26" s="72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66"/>
      <c r="DM26" s="66"/>
      <c r="DN26" s="73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64"/>
      <c r="DP26" s="45"/>
      <c r="DQ26" s="55"/>
      <c r="DR26" s="57" t="str">
        <f ca="1">IF(COUNTIF(INDIRECT("'盛付札（関数）'!FJ"&amp;DQ25+1),"*雙葉*"),"●",
"〇")</f>
        <v>〇</v>
      </c>
      <c r="DS26" s="72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66"/>
      <c r="DU26" s="66"/>
      <c r="DV26" s="73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64"/>
      <c r="DX26" s="74"/>
      <c r="DY26" s="57" t="str">
        <f ca="1">IF(COUNTIF(INDIRECT("'盛付札（関数）'!FJ"&amp;DX25+1),"*雙葉*"),"●",
"〇")</f>
        <v>〇</v>
      </c>
      <c r="DZ26" s="72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66"/>
      <c r="EB26" s="66"/>
      <c r="EC26" s="73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64"/>
      <c r="EE26" s="45"/>
      <c r="EF26" s="55"/>
      <c r="EG26" s="57" t="str">
        <f ca="1">IF(COUNTIF(INDIRECT("'盛付札（関数）'!FJ"&amp;EF25+1),"*雙葉*"),"●",
"〇")</f>
        <v>〇</v>
      </c>
      <c r="EH26" s="72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66"/>
      <c r="EJ26" s="66"/>
      <c r="EK26" s="73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64"/>
      <c r="EM26" s="74"/>
      <c r="EN26" s="57" t="str">
        <f ca="1">IF(COUNTIF(INDIRECT("'盛付札（関数）'!FJ"&amp;EM25+1),"*雙葉*"),"●",
"〇")</f>
        <v>〇</v>
      </c>
      <c r="EO26" s="72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66"/>
      <c r="EQ26" s="66"/>
      <c r="ER26" s="73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64"/>
      <c r="ET26" s="45"/>
    </row>
    <row r="27" spans="1:150" s="56" customFormat="1" x14ac:dyDescent="0.55000000000000004">
      <c r="A27" s="55"/>
      <c r="B27" s="59"/>
      <c r="C27" s="265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66"/>
      <c r="E27" s="45"/>
      <c r="F27" s="56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5"/>
      <c r="H27" s="61"/>
      <c r="I27" s="59"/>
      <c r="J27" s="265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66"/>
      <c r="L27" s="45"/>
      <c r="M27" s="56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5"/>
      <c r="O27" s="45"/>
      <c r="P27" s="55"/>
      <c r="Q27" s="59"/>
      <c r="R27" s="265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66"/>
      <c r="T27" s="45"/>
      <c r="U27" s="56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5"/>
      <c r="W27" s="61"/>
      <c r="X27" s="59"/>
      <c r="Y27" s="265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66"/>
      <c r="AA27" s="45"/>
      <c r="AB27" s="56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5"/>
      <c r="AD27" s="45"/>
      <c r="AE27" s="55"/>
      <c r="AF27" s="59"/>
      <c r="AG27" s="265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66"/>
      <c r="AI27" s="45"/>
      <c r="AJ27" s="56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5"/>
      <c r="AL27" s="61"/>
      <c r="AM27" s="59"/>
      <c r="AN27" s="265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66"/>
      <c r="AP27" s="45"/>
      <c r="AQ27" s="56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5"/>
      <c r="AS27" s="45"/>
      <c r="AT27" s="55"/>
      <c r="AU27" s="59"/>
      <c r="AV27" s="265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66"/>
      <c r="AX27" s="45"/>
      <c r="AY27" s="56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5"/>
      <c r="BA27" s="61"/>
      <c r="BB27" s="59"/>
      <c r="BC27" s="265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66"/>
      <c r="BE27" s="45"/>
      <c r="BF27" s="56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5"/>
      <c r="BH27" s="45"/>
      <c r="BI27" s="55"/>
      <c r="BJ27" s="59"/>
      <c r="BK27" s="265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66"/>
      <c r="BM27" s="45"/>
      <c r="BN27" s="56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5"/>
      <c r="BP27" s="61"/>
      <c r="BQ27" s="59"/>
      <c r="BR27" s="265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66"/>
      <c r="BT27" s="45"/>
      <c r="BU27" s="56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5"/>
      <c r="BW27" s="45"/>
      <c r="BX27" s="55"/>
      <c r="BY27" s="59"/>
      <c r="BZ27" s="265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66"/>
      <c r="CB27" s="45"/>
      <c r="CC27" s="56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5"/>
      <c r="CE27" s="61"/>
      <c r="CF27" s="59"/>
      <c r="CG27" s="265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66"/>
      <c r="CI27" s="45"/>
      <c r="CJ27" s="56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5"/>
      <c r="CL27" s="45"/>
      <c r="CM27" s="55"/>
      <c r="CN27" s="59"/>
      <c r="CO27" s="265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66"/>
      <c r="CQ27" s="45"/>
      <c r="CR27" s="56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5"/>
      <c r="CT27" s="61"/>
      <c r="CU27" s="59"/>
      <c r="CV27" s="265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66"/>
      <c r="CX27" s="45"/>
      <c r="CY27" s="56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5"/>
      <c r="DA27" s="45"/>
      <c r="DB27" s="55"/>
      <c r="DC27" s="59"/>
      <c r="DD27" s="265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66"/>
      <c r="DF27" s="45"/>
      <c r="DG27" s="56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65"/>
      <c r="DI27" s="61"/>
      <c r="DJ27" s="59"/>
      <c r="DK27" s="265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66"/>
      <c r="DM27" s="45"/>
      <c r="DN27" s="56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65"/>
      <c r="DP27" s="45"/>
      <c r="DQ27" s="55"/>
      <c r="DR27" s="59"/>
      <c r="DS27" s="265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66"/>
      <c r="DU27" s="45"/>
      <c r="DV27" s="56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65"/>
      <c r="DX27" s="61"/>
      <c r="DY27" s="59"/>
      <c r="DZ27" s="265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66"/>
      <c r="EB27" s="45"/>
      <c r="EC27" s="56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65"/>
      <c r="EE27" s="45"/>
      <c r="EF27" s="55"/>
      <c r="EG27" s="59"/>
      <c r="EH27" s="265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66"/>
      <c r="EJ27" s="45"/>
      <c r="EK27" s="56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65"/>
      <c r="EM27" s="61"/>
      <c r="EN27" s="59"/>
      <c r="EO27" s="265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66"/>
      <c r="EQ27" s="45"/>
      <c r="ER27" s="56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65"/>
      <c r="ET27" s="45"/>
    </row>
    <row r="28" spans="1:150" ht="15.6" customHeight="1" x14ac:dyDescent="1.05">
      <c r="B28" s="49"/>
      <c r="C28" s="252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64"/>
      <c r="E28" s="75"/>
      <c r="F28" s="262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63"/>
      <c r="H28" s="50"/>
      <c r="I28" s="49"/>
      <c r="J28" s="252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64"/>
      <c r="L28" s="75"/>
      <c r="M28" s="262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63"/>
      <c r="Q28" s="49"/>
      <c r="R28" s="252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64"/>
      <c r="T28" s="75"/>
      <c r="U28" s="262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63"/>
      <c r="W28" s="50"/>
      <c r="X28" s="49"/>
      <c r="Y28" s="252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64"/>
      <c r="AA28" s="75"/>
      <c r="AB28" s="262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63"/>
      <c r="AF28" s="49"/>
      <c r="AG28" s="252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64"/>
      <c r="AI28" s="75"/>
      <c r="AJ28" s="262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63"/>
      <c r="AL28" s="50"/>
      <c r="AM28" s="49"/>
      <c r="AN28" s="252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64"/>
      <c r="AP28" s="75"/>
      <c r="AQ28" s="262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63"/>
      <c r="AU28" s="49"/>
      <c r="AV28" s="252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64"/>
      <c r="AX28" s="75"/>
      <c r="AY28" s="262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63"/>
      <c r="BA28" s="50"/>
      <c r="BB28" s="49"/>
      <c r="BC28" s="252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64"/>
      <c r="BE28" s="75"/>
      <c r="BF28" s="262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63"/>
      <c r="BJ28" s="49"/>
      <c r="BK28" s="252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64"/>
      <c r="BM28" s="75"/>
      <c r="BN28" s="262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63"/>
      <c r="BP28" s="50"/>
      <c r="BQ28" s="49"/>
      <c r="BR28" s="252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64"/>
      <c r="BT28" s="75"/>
      <c r="BU28" s="262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63"/>
      <c r="BY28" s="49"/>
      <c r="BZ28" s="252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64"/>
      <c r="CB28" s="75"/>
      <c r="CC28" s="262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63"/>
      <c r="CE28" s="50"/>
      <c r="CF28" s="49"/>
      <c r="CG28" s="252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64"/>
      <c r="CI28" s="75"/>
      <c r="CJ28" s="262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63"/>
      <c r="CN28" s="49"/>
      <c r="CO28" s="252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64"/>
      <c r="CQ28" s="75"/>
      <c r="CR28" s="262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63"/>
      <c r="CT28" s="50"/>
      <c r="CU28" s="49"/>
      <c r="CV28" s="252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64"/>
      <c r="CX28" s="75"/>
      <c r="CY28" s="262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63"/>
      <c r="DC28" s="49"/>
      <c r="DD28" s="252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64"/>
      <c r="DF28" s="75"/>
      <c r="DG28" s="262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63"/>
      <c r="DI28" s="50"/>
      <c r="DJ28" s="49"/>
      <c r="DK28" s="252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64"/>
      <c r="DM28" s="75"/>
      <c r="DN28" s="262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63"/>
      <c r="DR28" s="49"/>
      <c r="DS28" s="252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64"/>
      <c r="DU28" s="75"/>
      <c r="DV28" s="262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63"/>
      <c r="DX28" s="50"/>
      <c r="DY28" s="49"/>
      <c r="DZ28" s="252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64"/>
      <c r="EB28" s="75"/>
      <c r="EC28" s="262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63"/>
      <c r="EG28" s="49"/>
      <c r="EH28" s="252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64"/>
      <c r="EJ28" s="75"/>
      <c r="EK28" s="262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63"/>
      <c r="EM28" s="50"/>
      <c r="EN28" s="49"/>
      <c r="EO28" s="252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64"/>
      <c r="EQ28" s="75"/>
      <c r="ER28" s="262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63"/>
    </row>
    <row r="29" spans="1:150" ht="15.6" customHeight="1" x14ac:dyDescent="0.45">
      <c r="B29" s="51"/>
      <c r="C29" s="254"/>
      <c r="D29" s="254"/>
      <c r="E29" s="69"/>
      <c r="F29" s="254"/>
      <c r="G29" s="245"/>
      <c r="H29" s="50"/>
      <c r="I29" s="51"/>
      <c r="J29" s="254"/>
      <c r="K29" s="254"/>
      <c r="L29" s="69"/>
      <c r="M29" s="254"/>
      <c r="N29" s="245"/>
      <c r="Q29" s="51"/>
      <c r="R29" s="254"/>
      <c r="S29" s="254"/>
      <c r="T29" s="69"/>
      <c r="U29" s="254"/>
      <c r="V29" s="245"/>
      <c r="W29" s="50"/>
      <c r="X29" s="51"/>
      <c r="Y29" s="254"/>
      <c r="Z29" s="254"/>
      <c r="AA29" s="69"/>
      <c r="AB29" s="254"/>
      <c r="AC29" s="245"/>
      <c r="AF29" s="51"/>
      <c r="AG29" s="254"/>
      <c r="AH29" s="254"/>
      <c r="AI29" s="69"/>
      <c r="AJ29" s="254"/>
      <c r="AK29" s="245"/>
      <c r="AL29" s="50"/>
      <c r="AM29" s="51"/>
      <c r="AN29" s="254"/>
      <c r="AO29" s="254"/>
      <c r="AP29" s="69"/>
      <c r="AQ29" s="254"/>
      <c r="AR29" s="245"/>
      <c r="AU29" s="51"/>
      <c r="AV29" s="254"/>
      <c r="AW29" s="254"/>
      <c r="AX29" s="69"/>
      <c r="AY29" s="254"/>
      <c r="AZ29" s="245"/>
      <c r="BA29" s="50"/>
      <c r="BB29" s="51"/>
      <c r="BC29" s="254"/>
      <c r="BD29" s="254"/>
      <c r="BE29" s="69"/>
      <c r="BF29" s="254"/>
      <c r="BG29" s="245"/>
      <c r="BJ29" s="51"/>
      <c r="BK29" s="254"/>
      <c r="BL29" s="254"/>
      <c r="BM29" s="69"/>
      <c r="BN29" s="254"/>
      <c r="BO29" s="245"/>
      <c r="BP29" s="50"/>
      <c r="BQ29" s="51"/>
      <c r="BR29" s="254"/>
      <c r="BS29" s="254"/>
      <c r="BT29" s="69"/>
      <c r="BU29" s="254"/>
      <c r="BV29" s="245"/>
      <c r="BY29" s="51"/>
      <c r="BZ29" s="254"/>
      <c r="CA29" s="254"/>
      <c r="CB29" s="69"/>
      <c r="CC29" s="254"/>
      <c r="CD29" s="245"/>
      <c r="CE29" s="50"/>
      <c r="CF29" s="51"/>
      <c r="CG29" s="254"/>
      <c r="CH29" s="254"/>
      <c r="CI29" s="69"/>
      <c r="CJ29" s="254"/>
      <c r="CK29" s="245"/>
      <c r="CN29" s="51"/>
      <c r="CO29" s="254"/>
      <c r="CP29" s="254"/>
      <c r="CQ29" s="69"/>
      <c r="CR29" s="254"/>
      <c r="CS29" s="245"/>
      <c r="CT29" s="50"/>
      <c r="CU29" s="51"/>
      <c r="CV29" s="254"/>
      <c r="CW29" s="254"/>
      <c r="CX29" s="69"/>
      <c r="CY29" s="254"/>
      <c r="CZ29" s="245"/>
      <c r="DC29" s="51"/>
      <c r="DD29" s="254"/>
      <c r="DE29" s="254"/>
      <c r="DF29" s="69"/>
      <c r="DG29" s="254"/>
      <c r="DH29" s="245"/>
      <c r="DI29" s="50"/>
      <c r="DJ29" s="51"/>
      <c r="DK29" s="254"/>
      <c r="DL29" s="254"/>
      <c r="DM29" s="69"/>
      <c r="DN29" s="254"/>
      <c r="DO29" s="245"/>
      <c r="DR29" s="51"/>
      <c r="DS29" s="254"/>
      <c r="DT29" s="254"/>
      <c r="DU29" s="69"/>
      <c r="DV29" s="254"/>
      <c r="DW29" s="245"/>
      <c r="DX29" s="50"/>
      <c r="DY29" s="51"/>
      <c r="DZ29" s="254"/>
      <c r="EA29" s="254"/>
      <c r="EB29" s="69"/>
      <c r="EC29" s="254"/>
      <c r="ED29" s="245"/>
      <c r="EG29" s="51"/>
      <c r="EH29" s="254"/>
      <c r="EI29" s="254"/>
      <c r="EJ29" s="69"/>
      <c r="EK29" s="254"/>
      <c r="EL29" s="245"/>
      <c r="EM29" s="50"/>
      <c r="EN29" s="51"/>
      <c r="EO29" s="254"/>
      <c r="EP29" s="254"/>
      <c r="EQ29" s="69"/>
      <c r="ER29" s="254"/>
      <c r="ES29" s="245"/>
    </row>
    <row r="30" spans="1:150" s="56" customFormat="1" x14ac:dyDescent="0.55000000000000004">
      <c r="A30" s="55"/>
      <c r="B30" s="62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0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2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0"/>
      <c r="F30" s="62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5"/>
      <c r="H30" s="45"/>
      <c r="I30" s="62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0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2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0"/>
      <c r="M30" s="62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5"/>
      <c r="O30" s="45"/>
      <c r="P30" s="55"/>
      <c r="Q30" s="62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0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2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0"/>
      <c r="U30" s="62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5"/>
      <c r="W30" s="45"/>
      <c r="X30" s="62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0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2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0"/>
      <c r="AB30" s="62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5"/>
      <c r="AD30" s="45"/>
      <c r="AE30" s="55"/>
      <c r="AF30" s="62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0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2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0"/>
      <c r="AJ30" s="62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5"/>
      <c r="AL30" s="45"/>
      <c r="AM30" s="62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0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2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0"/>
      <c r="AQ30" s="62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5"/>
      <c r="AS30" s="45"/>
      <c r="AT30" s="55"/>
      <c r="AU30" s="62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0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2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0"/>
      <c r="AY30" s="62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5"/>
      <c r="BA30" s="45"/>
      <c r="BB30" s="62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0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2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0"/>
      <c r="BF30" s="62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5"/>
      <c r="BH30" s="45"/>
      <c r="BI30" s="55"/>
      <c r="BJ30" s="62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0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2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0"/>
      <c r="BN30" s="62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5"/>
      <c r="BP30" s="45"/>
      <c r="BQ30" s="62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0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2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0"/>
      <c r="BU30" s="62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5"/>
      <c r="BW30" s="45"/>
      <c r="BX30" s="55"/>
      <c r="BY30" s="62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0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2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0"/>
      <c r="CC30" s="62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5"/>
      <c r="CE30" s="45"/>
      <c r="CF30" s="62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0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2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0"/>
      <c r="CJ30" s="62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5"/>
      <c r="CL30" s="45"/>
      <c r="CM30" s="55"/>
      <c r="CN30" s="62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0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2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0"/>
      <c r="CR30" s="62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5"/>
      <c r="CT30" s="45"/>
      <c r="CU30" s="62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0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2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0"/>
      <c r="CY30" s="62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5"/>
      <c r="DA30" s="45"/>
      <c r="DB30" s="55"/>
      <c r="DC30" s="62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0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2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0"/>
      <c r="DG30" s="62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65"/>
      <c r="DI30" s="45"/>
      <c r="DJ30" s="62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0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2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0"/>
      <c r="DN30" s="62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65"/>
      <c r="DP30" s="45"/>
      <c r="DQ30" s="55"/>
      <c r="DR30" s="62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0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2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0"/>
      <c r="DV30" s="62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65"/>
      <c r="DX30" s="45"/>
      <c r="DY30" s="62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0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2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0"/>
      <c r="EC30" s="62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65"/>
      <c r="EE30" s="45"/>
      <c r="EF30" s="55"/>
      <c r="EG30" s="62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0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2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0"/>
      <c r="EK30" s="62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65"/>
      <c r="EM30" s="45"/>
      <c r="EN30" s="62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0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2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0"/>
      <c r="ER30" s="62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65"/>
      <c r="ET30" s="45"/>
    </row>
    <row r="31" spans="1:150" ht="27.6" customHeight="1" x14ac:dyDescent="0.45">
      <c r="B31" s="244" t="str">
        <f ca="1">IF(C28&lt;&gt;"",
IFERROR(INT(C28/C30),""),"")</f>
        <v/>
      </c>
      <c r="C31" s="245"/>
      <c r="D31" s="244" t="str">
        <f ca="1">IFERROR(MOD(C28,C30),"")</f>
        <v/>
      </c>
      <c r="E31" s="245"/>
      <c r="F31" s="246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45"/>
      <c r="I31" s="244" t="str">
        <f ca="1">IF(J28&lt;&gt;"",
IFERROR(INT(J28/J30),""),"")</f>
        <v/>
      </c>
      <c r="J31" s="245"/>
      <c r="K31" s="244" t="str">
        <f ca="1">IFERROR(MOD(J28,J30),"")</f>
        <v/>
      </c>
      <c r="L31" s="245"/>
      <c r="M31" s="246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45"/>
      <c r="Q31" s="244" t="str">
        <f ca="1">IF(R28&lt;&gt;"",
IFERROR(INT(R28/R30),""),"")</f>
        <v/>
      </c>
      <c r="R31" s="245"/>
      <c r="S31" s="244" t="str">
        <f ca="1">IFERROR(MOD(R28,R30),"")</f>
        <v/>
      </c>
      <c r="T31" s="245"/>
      <c r="U31" s="246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45"/>
      <c r="X31" s="244" t="str">
        <f ca="1">IF(Y28&lt;&gt;"",
IFERROR(INT(Y28/Y30),""),"")</f>
        <v/>
      </c>
      <c r="Y31" s="245"/>
      <c r="Z31" s="244" t="str">
        <f ca="1">IFERROR(MOD(Y28,Y30),"")</f>
        <v/>
      </c>
      <c r="AA31" s="245"/>
      <c r="AB31" s="246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45"/>
      <c r="AF31" s="244" t="str">
        <f ca="1">IF(AG28&lt;&gt;"",
IFERROR(INT(AG28/AG30),""),"")</f>
        <v/>
      </c>
      <c r="AG31" s="245"/>
      <c r="AH31" s="244" t="str">
        <f ca="1">IFERROR(MOD(AG28,AG30),"")</f>
        <v/>
      </c>
      <c r="AI31" s="245"/>
      <c r="AJ31" s="246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45"/>
      <c r="AM31" s="244" t="str">
        <f ca="1">IF(AN28&lt;&gt;"",
IFERROR(INT(AN28/AN30),""),"")</f>
        <v/>
      </c>
      <c r="AN31" s="245"/>
      <c r="AO31" s="244" t="str">
        <f ca="1">IFERROR(MOD(AN28,AN30),"")</f>
        <v/>
      </c>
      <c r="AP31" s="245"/>
      <c r="AQ31" s="246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45"/>
      <c r="AU31" s="244" t="str">
        <f ca="1">IF(AV28&lt;&gt;"",
IFERROR(INT(AV28/AV30),""),"")</f>
        <v/>
      </c>
      <c r="AV31" s="245"/>
      <c r="AW31" s="244" t="str">
        <f ca="1">IFERROR(MOD(AV28,AV30),"")</f>
        <v/>
      </c>
      <c r="AX31" s="245"/>
      <c r="AY31" s="246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45"/>
      <c r="BB31" s="244" t="str">
        <f ca="1">IF(BC28&lt;&gt;"",
IFERROR(INT(BC28/BC30),""),"")</f>
        <v/>
      </c>
      <c r="BC31" s="245"/>
      <c r="BD31" s="244" t="str">
        <f ca="1">IFERROR(MOD(BC28,BC30),"")</f>
        <v/>
      </c>
      <c r="BE31" s="245"/>
      <c r="BF31" s="246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45"/>
      <c r="BJ31" s="244" t="str">
        <f ca="1">IF(BK28&lt;&gt;"",
IFERROR(INT(BK28/BK30),""),"")</f>
        <v/>
      </c>
      <c r="BK31" s="245"/>
      <c r="BL31" s="244" t="str">
        <f ca="1">IFERROR(MOD(BK28,BK30),"")</f>
        <v/>
      </c>
      <c r="BM31" s="245"/>
      <c r="BN31" s="246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45"/>
      <c r="BQ31" s="244" t="str">
        <f ca="1">IF(BR28&lt;&gt;"",
IFERROR(INT(BR28/BR30),""),"")</f>
        <v/>
      </c>
      <c r="BR31" s="245"/>
      <c r="BS31" s="244" t="str">
        <f ca="1">IFERROR(MOD(BR28,BR30),"")</f>
        <v/>
      </c>
      <c r="BT31" s="245"/>
      <c r="BU31" s="246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45"/>
      <c r="BY31" s="244" t="str">
        <f ca="1">IF(BZ28&lt;&gt;"",
IFERROR(INT(BZ28/BZ30),""),"")</f>
        <v/>
      </c>
      <c r="BZ31" s="245"/>
      <c r="CA31" s="244" t="str">
        <f ca="1">IFERROR(MOD(BZ28,BZ30),"")</f>
        <v/>
      </c>
      <c r="CB31" s="245"/>
      <c r="CC31" s="246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45"/>
      <c r="CF31" s="244" t="str">
        <f ca="1">IF(CG28&lt;&gt;"",
IFERROR(INT(CG28/CG30),""),"")</f>
        <v/>
      </c>
      <c r="CG31" s="245"/>
      <c r="CH31" s="244" t="str">
        <f ca="1">IFERROR(MOD(CG28,CG30),"")</f>
        <v/>
      </c>
      <c r="CI31" s="245"/>
      <c r="CJ31" s="246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45"/>
      <c r="CN31" s="244" t="str">
        <f ca="1">IF(CO28&lt;&gt;"",
IFERROR(INT(CO28/CO30),""),"")</f>
        <v/>
      </c>
      <c r="CO31" s="245"/>
      <c r="CP31" s="244" t="str">
        <f ca="1">IFERROR(MOD(CO28,CO30),"")</f>
        <v/>
      </c>
      <c r="CQ31" s="245"/>
      <c r="CR31" s="246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45"/>
      <c r="CU31" s="244" t="str">
        <f ca="1">IF(CV28&lt;&gt;"",
IFERROR(INT(CV28/CV30),""),"")</f>
        <v/>
      </c>
      <c r="CV31" s="245"/>
      <c r="CW31" s="244" t="str">
        <f ca="1">IFERROR(MOD(CV28,CV30),"")</f>
        <v/>
      </c>
      <c r="CX31" s="245"/>
      <c r="CY31" s="246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45"/>
      <c r="DC31" s="244" t="str">
        <f ca="1">IF(DD28&lt;&gt;"",
IFERROR(INT(DD28/DD30),""),"")</f>
        <v/>
      </c>
      <c r="DD31" s="245"/>
      <c r="DE31" s="244" t="str">
        <f ca="1">IFERROR(MOD(DD28,DD30),"")</f>
        <v/>
      </c>
      <c r="DF31" s="245"/>
      <c r="DG31" s="246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45"/>
      <c r="DJ31" s="244" t="str">
        <f ca="1">IF(DK28&lt;&gt;"",
IFERROR(INT(DK28/DK30),""),"")</f>
        <v/>
      </c>
      <c r="DK31" s="245"/>
      <c r="DL31" s="244" t="str">
        <f ca="1">IFERROR(MOD(DK28,DK30),"")</f>
        <v/>
      </c>
      <c r="DM31" s="245"/>
      <c r="DN31" s="246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45"/>
      <c r="DR31" s="244" t="str">
        <f ca="1">IF(DS28&lt;&gt;"",
IFERROR(INT(DS28/DS30),""),"")</f>
        <v/>
      </c>
      <c r="DS31" s="245"/>
      <c r="DT31" s="244" t="str">
        <f ca="1">IFERROR(MOD(DS28,DS30),"")</f>
        <v/>
      </c>
      <c r="DU31" s="245"/>
      <c r="DV31" s="246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45"/>
      <c r="DY31" s="244" t="str">
        <f ca="1">IF(DZ28&lt;&gt;"",
IFERROR(INT(DZ28/DZ30),""),"")</f>
        <v/>
      </c>
      <c r="DZ31" s="245"/>
      <c r="EA31" s="244" t="str">
        <f ca="1">IFERROR(MOD(DZ28,DZ30),"")</f>
        <v/>
      </c>
      <c r="EB31" s="245"/>
      <c r="EC31" s="246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45"/>
      <c r="EG31" s="244" t="str">
        <f ca="1">IF(EH28&lt;&gt;"",
IFERROR(INT(EH28/EH30),""),"")</f>
        <v/>
      </c>
      <c r="EH31" s="245"/>
      <c r="EI31" s="244" t="str">
        <f ca="1">IFERROR(MOD(EH28,EH30),"")</f>
        <v/>
      </c>
      <c r="EJ31" s="245"/>
      <c r="EK31" s="246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45"/>
      <c r="EN31" s="244" t="str">
        <f ca="1">IF(EO28&lt;&gt;"",
IFERROR(INT(EO28/EO30),""),"")</f>
        <v/>
      </c>
      <c r="EO31" s="245"/>
      <c r="EP31" s="244" t="str">
        <f ca="1">IFERROR(MOD(EO28,EO30),"")</f>
        <v/>
      </c>
      <c r="EQ31" s="245"/>
      <c r="ER31" s="246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45"/>
    </row>
    <row r="32" spans="1:150" ht="6.6" customHeight="1" x14ac:dyDescent="0.55000000000000004">
      <c r="B32" s="70"/>
      <c r="D32" s="70"/>
      <c r="F32" s="71"/>
      <c r="I32" s="70"/>
      <c r="K32" s="70"/>
      <c r="M32" s="71"/>
      <c r="Q32" s="70"/>
      <c r="S32" s="70"/>
      <c r="U32" s="71"/>
      <c r="X32" s="70"/>
      <c r="Z32" s="70"/>
      <c r="AB32" s="71"/>
      <c r="AF32" s="70"/>
      <c r="AH32" s="70"/>
      <c r="AJ32" s="71"/>
      <c r="AM32" s="70"/>
      <c r="AO32" s="70"/>
      <c r="AQ32" s="71"/>
      <c r="AU32" s="70"/>
      <c r="AW32" s="70"/>
      <c r="AY32" s="71"/>
      <c r="BB32" s="70"/>
      <c r="BD32" s="70"/>
      <c r="BF32" s="71"/>
      <c r="BJ32" s="70"/>
      <c r="BL32" s="70"/>
      <c r="BN32" s="71"/>
      <c r="BQ32" s="70"/>
      <c r="BS32" s="70"/>
      <c r="BU32" s="71"/>
      <c r="BY32" s="70"/>
      <c r="CA32" s="70"/>
      <c r="CC32" s="71"/>
      <c r="CF32" s="70"/>
      <c r="CH32" s="70"/>
      <c r="CJ32" s="71"/>
      <c r="CN32" s="70"/>
      <c r="CP32" s="70"/>
      <c r="CR32" s="71"/>
      <c r="CU32" s="70"/>
      <c r="CW32" s="70"/>
      <c r="CY32" s="71"/>
      <c r="DC32" s="70"/>
      <c r="DE32" s="70"/>
      <c r="DG32" s="71"/>
      <c r="DJ32" s="70"/>
      <c r="DL32" s="70"/>
      <c r="DN32" s="71"/>
      <c r="DR32" s="70"/>
      <c r="DT32" s="70"/>
      <c r="DV32" s="71"/>
      <c r="DY32" s="70"/>
      <c r="EA32" s="70"/>
      <c r="EC32" s="71"/>
      <c r="EG32" s="70"/>
      <c r="EI32" s="70"/>
      <c r="EK32" s="71"/>
      <c r="EN32" s="70"/>
      <c r="EP32" s="70"/>
      <c r="ER32" s="71"/>
    </row>
    <row r="33" spans="1:150" s="56" customFormat="1" ht="25.8" customHeight="1" x14ac:dyDescent="0.55000000000000004">
      <c r="A33" s="55">
        <f ca="1">IF(OR(I26="●",I26="△"),
H25+2,H25+1)</f>
        <v>9</v>
      </c>
      <c r="B33" s="68" t="str">
        <f ca="1">IF(C33&lt;&gt;"",
MID(貼り付け用!$A$2, FIND("年",貼り付け用!$A$2)+1,2)&amp;"/"&amp;MID(貼り付け用!$A$2, FIND("月",貼り付け用!$A$2)+1,2),"")</f>
        <v/>
      </c>
      <c r="C33" s="267" t="str" cm="1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48"/>
      <c r="E33" s="248"/>
      <c r="F33" s="248"/>
      <c r="G33" s="67" t="str">
        <f t="array" aca="1" ref="G33" ca="1">IF(C33&lt;&gt;"",
IF(AND(INDIRECT("'盛付札（関数）'!FI"&amp;A33)&gt;=124,INDIRECT("'盛付札（関数）'!FI"&amp;A33)&lt;=144),"",
"様"),"")</f>
        <v/>
      </c>
      <c r="H33" s="61">
        <f ca="1">IF(OR(B34="●",B34="△"),
A33+2,A33+1)</f>
        <v>10</v>
      </c>
      <c r="I33" s="68" t="str">
        <f ca="1">IF(J33&lt;&gt;"",
MID(貼り付け用!$A$2, FIND("年",貼り付け用!$A$2)+1,2)&amp;"/"&amp;MID(貼り付け用!$A$2, FIND("月",貼り付け用!$A$2)+1,2),"")</f>
        <v/>
      </c>
      <c r="J33" s="267" t="str" cm="1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48"/>
      <c r="L33" s="248"/>
      <c r="M33" s="248"/>
      <c r="N33" s="67" t="str">
        <f t="array" aca="1" ref="N33" ca="1">IF(J33&lt;&gt;"",
IF(AND(INDIRECT("'盛付札（関数）'!FI"&amp;H33)&gt;=124,INDIRECT("'盛付札（関数）'!FI"&amp;H33)&lt;=144),"",
"様"),"")</f>
        <v/>
      </c>
      <c r="O33" s="45"/>
      <c r="P33" s="55">
        <f ca="1">IF(OR(X26="●",X26="△"),
W25+2,W25+1)</f>
        <v>21</v>
      </c>
      <c r="Q33" s="68" t="str">
        <f ca="1">IF(R33&lt;&gt;"",
MID(貼り付け用!$A$2, FIND("年",貼り付け用!$A$2)+1,2)&amp;"/"&amp;MID(貼り付け用!$A$2, FIND("月",貼り付け用!$A$2)+1,2),"")</f>
        <v/>
      </c>
      <c r="R33" s="267" t="str" cm="1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48"/>
      <c r="T33" s="248"/>
      <c r="U33" s="248"/>
      <c r="V33" s="67" t="str">
        <f t="array" aca="1" ref="V33" ca="1">IF(R33&lt;&gt;"",
IF(AND(INDIRECT("'盛付札（関数）'!FI"&amp;P33)&gt;=124,INDIRECT("'盛付札（関数）'!FI"&amp;P33)&lt;=144),"",
"様"),"")</f>
        <v/>
      </c>
      <c r="W33" s="61">
        <f ca="1">IF(OR(Q34="●",Q34="△"),
P33+2,P33+1)</f>
        <v>22</v>
      </c>
      <c r="X33" s="68" t="str">
        <f ca="1">IF(Y33&lt;&gt;"",
MID(貼り付け用!$A$2, FIND("年",貼り付け用!$A$2)+1,2)&amp;"/"&amp;MID(貼り付け用!$A$2, FIND("月",貼り付け用!$A$2)+1,2),"")</f>
        <v/>
      </c>
      <c r="Y33" s="267" t="str" cm="1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48"/>
      <c r="AA33" s="248"/>
      <c r="AB33" s="248"/>
      <c r="AC33" s="67" t="str">
        <f t="array" aca="1" ref="AC33" ca="1">IF(Y33&lt;&gt;"",
IF(AND(INDIRECT("'盛付札（関数）'!FI"&amp;W33)&gt;=124,INDIRECT("'盛付札（関数）'!FI"&amp;W33)&lt;=144),"",
"様"),"")</f>
        <v/>
      </c>
      <c r="AD33" s="45"/>
      <c r="AE33" s="55">
        <f ca="1">IF(OR(AM26="●",AM26="△"),
AL25+2,AL25+1)</f>
        <v>33</v>
      </c>
      <c r="AF33" s="68" t="str">
        <f ca="1">IF(AG33&lt;&gt;"",
MID(貼り付け用!$A$2, FIND("年",貼り付け用!$A$2)+1,2)&amp;"/"&amp;MID(貼り付け用!$A$2, FIND("月",貼り付け用!$A$2)+1,2),"")</f>
        <v/>
      </c>
      <c r="AG33" s="267" t="str" cm="1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48"/>
      <c r="AI33" s="248"/>
      <c r="AJ33" s="248"/>
      <c r="AK33" s="67" t="str">
        <f t="array" aca="1" ref="AK33" ca="1">IF(AG33&lt;&gt;"",
IF(AND(INDIRECT("'盛付札（関数）'!FI"&amp;AE33)&gt;=124,INDIRECT("'盛付札（関数）'!FI"&amp;AE33)&lt;=144),"",
"様"),"")</f>
        <v/>
      </c>
      <c r="AL33" s="61">
        <f ca="1">IF(OR(AF34="●",AF34="△"),
AE33+2,AE33+1)</f>
        <v>34</v>
      </c>
      <c r="AM33" s="68" t="str">
        <f ca="1">IF(AN33&lt;&gt;"",
MID(貼り付け用!$A$2, FIND("年",貼り付け用!$A$2)+1,2)&amp;"/"&amp;MID(貼り付け用!$A$2, FIND("月",貼り付け用!$A$2)+1,2),"")</f>
        <v/>
      </c>
      <c r="AN33" s="267" t="str" cm="1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48"/>
      <c r="AP33" s="248"/>
      <c r="AQ33" s="248"/>
      <c r="AR33" s="67" t="str">
        <f t="array" aca="1" ref="AR33" ca="1">IF(AN33&lt;&gt;"",
IF(AND(INDIRECT("'盛付札（関数）'!FI"&amp;AL33)&gt;=124,INDIRECT("'盛付札（関数）'!FI"&amp;AL33)&lt;=144),"",
"様"),"")</f>
        <v/>
      </c>
      <c r="AS33" s="45"/>
      <c r="AT33" s="55">
        <f ca="1">IF(OR(BB26="●",BB26="△"),
BA25+2,BA25+1)</f>
        <v>45</v>
      </c>
      <c r="AU33" s="68" t="str">
        <f ca="1">IF(AV33&lt;&gt;"",
MID(貼り付け用!$A$2, FIND("年",貼り付け用!$A$2)+1,2)&amp;"/"&amp;MID(貼り付け用!$A$2, FIND("月",貼り付け用!$A$2)+1,2),"")</f>
        <v/>
      </c>
      <c r="AV33" s="267" t="str" cm="1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48"/>
      <c r="AX33" s="248"/>
      <c r="AY33" s="248"/>
      <c r="AZ33" s="67" t="str">
        <f t="array" aca="1" ref="AZ33" ca="1">IF(AV33&lt;&gt;"",
IF(AND(INDIRECT("'盛付札（関数）'!FI"&amp;AT33)&gt;=124,INDIRECT("'盛付札（関数）'!FI"&amp;AT33)&lt;=144),"",
"様"),"")</f>
        <v/>
      </c>
      <c r="BA33" s="61">
        <f ca="1">IF(OR(AU34="●",AU34="△"),
AT33+2,AT33+1)</f>
        <v>46</v>
      </c>
      <c r="BB33" s="68" t="str">
        <f ca="1">IF(BC33&lt;&gt;"",
MID(貼り付け用!$A$2, FIND("年",貼り付け用!$A$2)+1,2)&amp;"/"&amp;MID(貼り付け用!$A$2, FIND("月",貼り付け用!$A$2)+1,2),"")</f>
        <v/>
      </c>
      <c r="BC33" s="267" t="str" cm="1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48"/>
      <c r="BE33" s="248"/>
      <c r="BF33" s="248"/>
      <c r="BG33" s="67" t="str">
        <f t="array" aca="1" ref="BG33" ca="1">IF(BC33&lt;&gt;"",
IF(AND(INDIRECT("'盛付札（関数）'!FI"&amp;BA33)&gt;=124,INDIRECT("'盛付札（関数）'!FI"&amp;BA33)&lt;=144),"",
"様"),"")</f>
        <v/>
      </c>
      <c r="BH33" s="45"/>
      <c r="BI33" s="55">
        <f ca="1">IF(OR(BQ26="●",BQ26="△"),
BP25+2,BP25+1)</f>
        <v>57</v>
      </c>
      <c r="BJ33" s="68" t="str">
        <f ca="1">IF(BK33&lt;&gt;"",
MID(貼り付け用!$A$2, FIND("年",貼り付け用!$A$2)+1,2)&amp;"/"&amp;MID(貼り付け用!$A$2, FIND("月",貼り付け用!$A$2)+1,2),"")</f>
        <v/>
      </c>
      <c r="BK33" s="267" t="str" cm="1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48"/>
      <c r="BM33" s="248"/>
      <c r="BN33" s="248"/>
      <c r="BO33" s="67" t="str">
        <f t="array" aca="1" ref="BO33" ca="1">IF(BK33&lt;&gt;"",
IF(AND(INDIRECT("'盛付札（関数）'!FI"&amp;BI33)&gt;=124,INDIRECT("'盛付札（関数）'!FI"&amp;BI33)&lt;=144),"",
"様"),"")</f>
        <v/>
      </c>
      <c r="BP33" s="61">
        <f ca="1">IF(OR(BJ34="●",BJ34="△"),
BI33+2,BI33+1)</f>
        <v>58</v>
      </c>
      <c r="BQ33" s="68" t="str">
        <f ca="1">IF(BR33&lt;&gt;"",
MID(貼り付け用!$A$2, FIND("年",貼り付け用!$A$2)+1,2)&amp;"/"&amp;MID(貼り付け用!$A$2, FIND("月",貼り付け用!$A$2)+1,2),"")</f>
        <v/>
      </c>
      <c r="BR33" s="267" t="str" cm="1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48"/>
      <c r="BT33" s="248"/>
      <c r="BU33" s="248"/>
      <c r="BV33" s="67" t="str">
        <f t="array" aca="1" ref="BV33" ca="1">IF(BR33&lt;&gt;"",
IF(AND(INDIRECT("'盛付札（関数）'!FI"&amp;BP33)&gt;=124,INDIRECT("'盛付札（関数）'!FI"&amp;BP33)&lt;=144),"",
"様"),"")</f>
        <v/>
      </c>
      <c r="BW33" s="45"/>
      <c r="BX33" s="55">
        <f ca="1">IF(OR(CF26="●",CF26="△"),
CE25+2,CE25+1)</f>
        <v>69</v>
      </c>
      <c r="BY33" s="68" t="str">
        <f ca="1">IF(BZ33&lt;&gt;"",
MID(貼り付け用!$A$2, FIND("年",貼り付け用!$A$2)+1,2)&amp;"/"&amp;MID(貼り付け用!$A$2, FIND("月",貼り付け用!$A$2)+1,2),"")</f>
        <v/>
      </c>
      <c r="BZ33" s="267" t="str" cm="1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48"/>
      <c r="CB33" s="248"/>
      <c r="CC33" s="248"/>
      <c r="CD33" s="67" t="str">
        <f t="array" aca="1" ref="CD33" ca="1">IF(BZ33&lt;&gt;"",
IF(AND(INDIRECT("'盛付札（関数）'!FI"&amp;BX33)&gt;=124,INDIRECT("'盛付札（関数）'!FI"&amp;BX33)&lt;=144),"",
"様"),"")</f>
        <v/>
      </c>
      <c r="CE33" s="61">
        <f ca="1">IF(OR(BY34="●",BY34="△"),
BX33+2,BX33+1)</f>
        <v>70</v>
      </c>
      <c r="CF33" s="68" t="str">
        <f ca="1">IF(CG33&lt;&gt;"",
MID(貼り付け用!$A$2, FIND("年",貼り付け用!$A$2)+1,2)&amp;"/"&amp;MID(貼り付け用!$A$2, FIND("月",貼り付け用!$A$2)+1,2),"")</f>
        <v/>
      </c>
      <c r="CG33" s="267" t="str" cm="1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48"/>
      <c r="CI33" s="248"/>
      <c r="CJ33" s="248"/>
      <c r="CK33" s="67" t="str">
        <f t="array" aca="1" ref="CK33" ca="1">IF(CG33&lt;&gt;"",
IF(AND(INDIRECT("'盛付札（関数）'!FI"&amp;CE33)&gt;=124,INDIRECT("'盛付札（関数）'!FI"&amp;CE33)&lt;=144),"",
"様"),"")</f>
        <v/>
      </c>
      <c r="CL33" s="45"/>
      <c r="CM33" s="55">
        <f ca="1">IF(OR(CU26="●",CU26="△"),
CT25+2,CT25+1)</f>
        <v>81</v>
      </c>
      <c r="CN33" s="68" t="str">
        <f ca="1">IF(CO33&lt;&gt;"",
MID(貼り付け用!$A$2, FIND("年",貼り付け用!$A$2)+1,2)&amp;"/"&amp;MID(貼り付け用!$A$2, FIND("月",貼り付け用!$A$2)+1,2),"")</f>
        <v/>
      </c>
      <c r="CO33" s="267" t="str" cm="1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48"/>
      <c r="CQ33" s="248"/>
      <c r="CR33" s="248"/>
      <c r="CS33" s="67" t="str">
        <f t="array" aca="1" ref="CS33" ca="1">IF(CO33&lt;&gt;"",
IF(AND(INDIRECT("'盛付札（関数）'!FI"&amp;CM33)&gt;=124,INDIRECT("'盛付札（関数）'!FI"&amp;CM33)&lt;=144),"",
"様"),"")</f>
        <v/>
      </c>
      <c r="CT33" s="61">
        <f ca="1">IF(OR(CN34="●",CN34="△"),
CM33+2,CM33+1)</f>
        <v>82</v>
      </c>
      <c r="CU33" s="68" t="str">
        <f ca="1">IF(CV33&lt;&gt;"",
MID(貼り付け用!$A$2, FIND("年",貼り付け用!$A$2)+1,2)&amp;"/"&amp;MID(貼り付け用!$A$2, FIND("月",貼り付け用!$A$2)+1,2),"")</f>
        <v/>
      </c>
      <c r="CV33" s="267" t="str" cm="1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48"/>
      <c r="CX33" s="248"/>
      <c r="CY33" s="248"/>
      <c r="CZ33" s="67" t="str">
        <f t="array" aca="1" ref="CZ33" ca="1">IF(CV33&lt;&gt;"",
IF(AND(INDIRECT("'盛付札（関数）'!FI"&amp;CT33)&gt;=124,INDIRECT("'盛付札（関数）'!FI"&amp;CT33)&lt;=144),"",
"様"),"")</f>
        <v/>
      </c>
      <c r="DA33" s="45"/>
      <c r="DB33" s="55">
        <f ca="1">IF(OR(DJ26="●",DJ26="△"),
DI25+2,DI25+1)</f>
        <v>93</v>
      </c>
      <c r="DC33" s="68" t="str">
        <f ca="1">IF(DD33&lt;&gt;"",
MID(貼り付け用!$A$2, FIND("年",貼り付け用!$A$2)+1,2)&amp;"/"&amp;MID(貼り付け用!$A$2, FIND("月",貼り付け用!$A$2)+1,2),"")</f>
        <v/>
      </c>
      <c r="DD33" s="267" t="str" cm="1">
        <f t="array" aca="1" ref="DD33" ca="1">SUBSTITUTE(SUBSTITUTE(SUBSTITUTE(SUBSTITUTE(SUBSTITUTE(SUBSTITUTE(SUBSTITUTE(SUBSTITUTE(SUBSTITUTE(SUBSTITUTE(SUBSTITUTE(
IF(DC34="△",
INDIRECT("'盛付札（関数）'!FJ"&amp;DB33+1),INDIRECT("'盛付札（関数）'!FJ"&amp;DB33)),"０",""),"①",""),"②",""),"③",""),"④",""),"⑤",""),"⑥",""),"⑦",""),"⑧",""),"⑨",""),"⑩","")</f>
        <v/>
      </c>
      <c r="DE33" s="248"/>
      <c r="DF33" s="248"/>
      <c r="DG33" s="248"/>
      <c r="DH33" s="67" t="str">
        <f t="array" aca="1" ref="DH33" ca="1">IF(DD33&lt;&gt;"",
IF(AND(INDIRECT("'盛付札（関数）'!FI"&amp;DB33)&gt;=124,INDIRECT("'盛付札（関数）'!FI"&amp;DB33)&lt;=144),"",
"様"),"")</f>
        <v/>
      </c>
      <c r="DI33" s="61">
        <f ca="1">IF(OR(DC34="●",DC34="△"),
DB33+2,DB33+1)</f>
        <v>94</v>
      </c>
      <c r="DJ33" s="68" t="str">
        <f ca="1">IF(DK33&lt;&gt;"",
MID(貼り付け用!$A$2, FIND("年",貼り付け用!$A$2)+1,2)&amp;"/"&amp;MID(貼り付け用!$A$2, FIND("月",貼り付け用!$A$2)+1,2),"")</f>
        <v/>
      </c>
      <c r="DK33" s="267" t="str" cm="1">
        <f t="array" aca="1" ref="DK33" ca="1">SUBSTITUTE(SUBSTITUTE(SUBSTITUTE(SUBSTITUTE(SUBSTITUTE(SUBSTITUTE(SUBSTITUTE(SUBSTITUTE(SUBSTITUTE(SUBSTITUTE(SUBSTITUTE(
IF(DJ34="△",
INDIRECT("'盛付札（関数）'!FJ"&amp;DI33+1),INDIRECT("'盛付札（関数）'!FJ"&amp;DI33)),"０",""),"①",""),"②",""),"③",""),"④",""),"⑤",""),"⑥",""),"⑦",""),"⑧",""),"⑨",""),"⑩","")</f>
        <v/>
      </c>
      <c r="DL33" s="248"/>
      <c r="DM33" s="248"/>
      <c r="DN33" s="248"/>
      <c r="DO33" s="67" t="str">
        <f t="array" aca="1" ref="DO33" ca="1">IF(DK33&lt;&gt;"",
IF(AND(INDIRECT("'盛付札（関数）'!FI"&amp;DI33)&gt;=124,INDIRECT("'盛付札（関数）'!FI"&amp;DI33)&lt;=144),"",
"様"),"")</f>
        <v/>
      </c>
      <c r="DP33" s="45"/>
      <c r="DQ33" s="55">
        <f ca="1">IF(OR(DY26="●",DY26="△"),
DX25+2,DX25+1)</f>
        <v>105</v>
      </c>
      <c r="DR33" s="68" t="str">
        <f ca="1">IF(DS33&lt;&gt;"",
MID(貼り付け用!$A$2, FIND("年",貼り付け用!$A$2)+1,2)&amp;"/"&amp;MID(貼り付け用!$A$2, FIND("月",貼り付け用!$A$2)+1,2),"")</f>
        <v/>
      </c>
      <c r="DS33" s="267" t="str" cm="1">
        <f t="array" aca="1" ref="DS33" ca="1">SUBSTITUTE(SUBSTITUTE(SUBSTITUTE(SUBSTITUTE(SUBSTITUTE(SUBSTITUTE(SUBSTITUTE(SUBSTITUTE(SUBSTITUTE(SUBSTITUTE(SUBSTITUTE(
IF(DR34="△",
INDIRECT("'盛付札（関数）'!FJ"&amp;DQ33+1),INDIRECT("'盛付札（関数）'!FJ"&amp;DQ33)),"０",""),"①",""),"②",""),"③",""),"④",""),"⑤",""),"⑥",""),"⑦",""),"⑧",""),"⑨",""),"⑩","")</f>
        <v/>
      </c>
      <c r="DT33" s="248"/>
      <c r="DU33" s="248"/>
      <c r="DV33" s="248"/>
      <c r="DW33" s="67" t="str">
        <f t="array" aca="1" ref="DW33" ca="1">IF(DS33&lt;&gt;"",
IF(AND(INDIRECT("'盛付札（関数）'!FI"&amp;DQ33)&gt;=124,INDIRECT("'盛付札（関数）'!FI"&amp;DQ33)&lt;=144),"",
"様"),"")</f>
        <v/>
      </c>
      <c r="DX33" s="61">
        <f ca="1">IF(OR(DR34="●",DR34="△"),
DQ33+2,DQ33+1)</f>
        <v>106</v>
      </c>
      <c r="DY33" s="68" t="str">
        <f ca="1">IF(DZ33&lt;&gt;"",
MID(貼り付け用!$A$2, FIND("年",貼り付け用!$A$2)+1,2)&amp;"/"&amp;MID(貼り付け用!$A$2, FIND("月",貼り付け用!$A$2)+1,2),"")</f>
        <v/>
      </c>
      <c r="DZ33" s="267" t="str" cm="1">
        <f t="array" aca="1" ref="DZ33" ca="1">SUBSTITUTE(SUBSTITUTE(SUBSTITUTE(SUBSTITUTE(SUBSTITUTE(SUBSTITUTE(SUBSTITUTE(SUBSTITUTE(SUBSTITUTE(SUBSTITUTE(SUBSTITUTE(
IF(DY34="△",
INDIRECT("'盛付札（関数）'!FJ"&amp;DX33+1),INDIRECT("'盛付札（関数）'!FJ"&amp;DX33)),"０",""),"①",""),"②",""),"③",""),"④",""),"⑤",""),"⑥",""),"⑦",""),"⑧",""),"⑨",""),"⑩","")</f>
        <v/>
      </c>
      <c r="EA33" s="248"/>
      <c r="EB33" s="248"/>
      <c r="EC33" s="248"/>
      <c r="ED33" s="67" t="str">
        <f t="array" aca="1" ref="ED33" ca="1">IF(DZ33&lt;&gt;"",
IF(AND(INDIRECT("'盛付札（関数）'!FI"&amp;DX33)&gt;=124,INDIRECT("'盛付札（関数）'!FI"&amp;DX33)&lt;=144),"",
"様"),"")</f>
        <v/>
      </c>
      <c r="EE33" s="45"/>
      <c r="EF33" s="55">
        <f ca="1">IF(OR(EN26="●",EN26="△"),
EM25+2,EM25+1)</f>
        <v>117</v>
      </c>
      <c r="EG33" s="68" t="str">
        <f ca="1">IF(EH33&lt;&gt;"",
MID(貼り付け用!$A$2, FIND("年",貼り付け用!$A$2)+1,2)&amp;"/"&amp;MID(貼り付け用!$A$2, FIND("月",貼り付け用!$A$2)+1,2),"")</f>
        <v/>
      </c>
      <c r="EH33" s="267" t="str" cm="1">
        <f t="array" aca="1" ref="EH33" ca="1">SUBSTITUTE(SUBSTITUTE(SUBSTITUTE(SUBSTITUTE(SUBSTITUTE(SUBSTITUTE(SUBSTITUTE(SUBSTITUTE(SUBSTITUTE(SUBSTITUTE(SUBSTITUTE(
IF(EG34="△",
INDIRECT("'盛付札（関数）'!FJ"&amp;EF33+1),INDIRECT("'盛付札（関数）'!FJ"&amp;EF33)),"０",""),"①",""),"②",""),"③",""),"④",""),"⑤",""),"⑥",""),"⑦",""),"⑧",""),"⑨",""),"⑩","")</f>
        <v/>
      </c>
      <c r="EI33" s="248"/>
      <c r="EJ33" s="248"/>
      <c r="EK33" s="248"/>
      <c r="EL33" s="67" t="str">
        <f t="array" aca="1" ref="EL33" ca="1">IF(EH33&lt;&gt;"",
IF(AND(INDIRECT("'盛付札（関数）'!FI"&amp;EF33)&gt;=124,INDIRECT("'盛付札（関数）'!FI"&amp;EF33)&lt;=144),"",
"様"),"")</f>
        <v/>
      </c>
      <c r="EM33" s="61">
        <f ca="1">IF(OR(EG34="●",EG34="△"),
EF33+2,EF33+1)</f>
        <v>118</v>
      </c>
      <c r="EN33" s="68" t="str">
        <f ca="1">IF(EO33&lt;&gt;"",
MID(貼り付け用!$A$2, FIND("年",貼り付け用!$A$2)+1,2)&amp;"/"&amp;MID(貼り付け用!$A$2, FIND("月",貼り付け用!$A$2)+1,2),"")</f>
        <v/>
      </c>
      <c r="EO33" s="267" t="str" cm="1">
        <f t="array" aca="1" ref="EO33" ca="1">SUBSTITUTE(SUBSTITUTE(SUBSTITUTE(SUBSTITUTE(SUBSTITUTE(SUBSTITUTE(SUBSTITUTE(SUBSTITUTE(SUBSTITUTE(SUBSTITUTE(SUBSTITUTE(
IF(EN34="△",
INDIRECT("'盛付札（関数）'!FJ"&amp;EM33+1),INDIRECT("'盛付札（関数）'!FJ"&amp;EM33)),"０",""),"①",""),"②",""),"③",""),"④",""),"⑤",""),"⑥",""),"⑦",""),"⑧",""),"⑨",""),"⑩","")</f>
        <v/>
      </c>
      <c r="EP33" s="248"/>
      <c r="EQ33" s="248"/>
      <c r="ER33" s="248"/>
      <c r="ES33" s="67" t="str">
        <f t="array" aca="1" ref="ES33" ca="1">IF(EO33&lt;&gt;"",
IF(AND(INDIRECT("'盛付札（関数）'!FI"&amp;EM33)&gt;=124,INDIRECT("'盛付札（関数）'!FI"&amp;EM33)&lt;=144),"",
"様"),"")</f>
        <v/>
      </c>
      <c r="ET33" s="45"/>
    </row>
    <row r="34" spans="1:150" s="56" customFormat="1" x14ac:dyDescent="0.55000000000000004">
      <c r="A34" s="55"/>
      <c r="B34" s="57" t="str">
        <f ca="1">IF(COUNTIF(INDIRECT("'盛付札（関数）'!FJ"&amp;A33+1),"*雙葉*"),"●",
"〇")</f>
        <v>〇</v>
      </c>
      <c r="C34" s="72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66"/>
      <c r="E34" s="66"/>
      <c r="F34" s="73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4"/>
      <c r="H34" s="74"/>
      <c r="I34" s="57" t="str">
        <f ca="1">IF(COUNTIF(INDIRECT("'盛付札（関数）'!FJ"&amp;H33+1),"*雙葉*"),"●",
"〇")</f>
        <v>〇</v>
      </c>
      <c r="J34" s="72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66"/>
      <c r="L34" s="66"/>
      <c r="M34" s="73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4"/>
      <c r="O34" s="45"/>
      <c r="P34" s="55"/>
      <c r="Q34" s="57" t="str">
        <f ca="1">IF(COUNTIF(INDIRECT("'盛付札（関数）'!FJ"&amp;P33+1),"*雙葉*"),"●",
"〇")</f>
        <v>〇</v>
      </c>
      <c r="R34" s="72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66"/>
      <c r="T34" s="66"/>
      <c r="U34" s="73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4"/>
      <c r="W34" s="74"/>
      <c r="X34" s="57" t="str">
        <f ca="1">IF(COUNTIF(INDIRECT("'盛付札（関数）'!FJ"&amp;W33+1),"*雙葉*"),"●",
"〇")</f>
        <v>〇</v>
      </c>
      <c r="Y34" s="72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66"/>
      <c r="AA34" s="66"/>
      <c r="AB34" s="73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4"/>
      <c r="AD34" s="45"/>
      <c r="AE34" s="55"/>
      <c r="AF34" s="57" t="str">
        <f ca="1">IF(COUNTIF(INDIRECT("'盛付札（関数）'!FJ"&amp;AE33+1),"*雙葉*"),"●",
"〇")</f>
        <v>〇</v>
      </c>
      <c r="AG34" s="72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66"/>
      <c r="AI34" s="66"/>
      <c r="AJ34" s="73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4"/>
      <c r="AL34" s="74"/>
      <c r="AM34" s="57" t="str">
        <f ca="1">IF(COUNTIF(INDIRECT("'盛付札（関数）'!FJ"&amp;AL33+1),"*雙葉*"),"●",
"〇")</f>
        <v>〇</v>
      </c>
      <c r="AN34" s="72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66"/>
      <c r="AP34" s="66"/>
      <c r="AQ34" s="73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4"/>
      <c r="AS34" s="45"/>
      <c r="AT34" s="55"/>
      <c r="AU34" s="57" t="str">
        <f ca="1">IF(COUNTIF(INDIRECT("'盛付札（関数）'!FJ"&amp;AT33+1),"*雙葉*"),"●",
"〇")</f>
        <v>〇</v>
      </c>
      <c r="AV34" s="72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66"/>
      <c r="AX34" s="66"/>
      <c r="AY34" s="73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4"/>
      <c r="BA34" s="74"/>
      <c r="BB34" s="57" t="str">
        <f ca="1">IF(COUNTIF(INDIRECT("'盛付札（関数）'!FJ"&amp;BA33+1),"*雙葉*"),"●",
"〇")</f>
        <v>〇</v>
      </c>
      <c r="BC34" s="72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66"/>
      <c r="BE34" s="66"/>
      <c r="BF34" s="73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4"/>
      <c r="BH34" s="45"/>
      <c r="BI34" s="55"/>
      <c r="BJ34" s="57" t="str">
        <f ca="1">IF(COUNTIF(INDIRECT("'盛付札（関数）'!FJ"&amp;BI33+1),"*雙葉*"),"●",
"〇")</f>
        <v>〇</v>
      </c>
      <c r="BK34" s="72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66"/>
      <c r="BM34" s="66"/>
      <c r="BN34" s="73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4"/>
      <c r="BP34" s="74"/>
      <c r="BQ34" s="57" t="str">
        <f ca="1">IF(COUNTIF(INDIRECT("'盛付札（関数）'!FJ"&amp;BP33+1),"*雙葉*"),"●",
"〇")</f>
        <v>〇</v>
      </c>
      <c r="BR34" s="72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66"/>
      <c r="BT34" s="66"/>
      <c r="BU34" s="73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4"/>
      <c r="BW34" s="45"/>
      <c r="BX34" s="55"/>
      <c r="BY34" s="57" t="str">
        <f ca="1">IF(COUNTIF(INDIRECT("'盛付札（関数）'!FJ"&amp;BX33+1),"*雙葉*"),"●",
"〇")</f>
        <v>〇</v>
      </c>
      <c r="BZ34" s="72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66"/>
      <c r="CB34" s="66"/>
      <c r="CC34" s="73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4"/>
      <c r="CE34" s="74"/>
      <c r="CF34" s="57" t="str">
        <f ca="1">IF(COUNTIF(INDIRECT("'盛付札（関数）'!FJ"&amp;CE33+1),"*雙葉*"),"●",
"〇")</f>
        <v>〇</v>
      </c>
      <c r="CG34" s="72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66"/>
      <c r="CI34" s="66"/>
      <c r="CJ34" s="73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4"/>
      <c r="CL34" s="45"/>
      <c r="CM34" s="55"/>
      <c r="CN34" s="57" t="str">
        <f ca="1">IF(COUNTIF(INDIRECT("'盛付札（関数）'!FJ"&amp;CM33+1),"*雙葉*"),"●",
"〇")</f>
        <v>〇</v>
      </c>
      <c r="CO34" s="72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66"/>
      <c r="CQ34" s="66"/>
      <c r="CR34" s="73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4"/>
      <c r="CT34" s="74"/>
      <c r="CU34" s="57" t="str">
        <f ca="1">IF(COUNTIF(INDIRECT("'盛付札（関数）'!FJ"&amp;CT33+1),"*雙葉*"),"●",
"〇")</f>
        <v>〇</v>
      </c>
      <c r="CV34" s="72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66"/>
      <c r="CX34" s="66"/>
      <c r="CY34" s="73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4"/>
      <c r="DA34" s="45"/>
      <c r="DB34" s="55"/>
      <c r="DC34" s="57" t="str">
        <f ca="1">IF(COUNTIF(INDIRECT("'盛付札（関数）'!FJ"&amp;DB33+1),"*雙葉*"),"●",
"〇")</f>
        <v>〇</v>
      </c>
      <c r="DD34" s="72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66"/>
      <c r="DF34" s="66"/>
      <c r="DG34" s="73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64"/>
      <c r="DI34" s="74"/>
      <c r="DJ34" s="57" t="str">
        <f ca="1">IF(COUNTIF(INDIRECT("'盛付札（関数）'!FJ"&amp;DI33+1),"*雙葉*"),"●",
"〇")</f>
        <v>〇</v>
      </c>
      <c r="DK34" s="72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66"/>
      <c r="DM34" s="66"/>
      <c r="DN34" s="73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64"/>
      <c r="DP34" s="45"/>
      <c r="DQ34" s="55"/>
      <c r="DR34" s="57" t="str">
        <f ca="1">IF(COUNTIF(INDIRECT("'盛付札（関数）'!FJ"&amp;DQ33+1),"*雙葉*"),"●",
"〇")</f>
        <v>〇</v>
      </c>
      <c r="DS34" s="72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66"/>
      <c r="DU34" s="66"/>
      <c r="DV34" s="73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64"/>
      <c r="DX34" s="74"/>
      <c r="DY34" s="57" t="str">
        <f ca="1">IF(COUNTIF(INDIRECT("'盛付札（関数）'!FJ"&amp;DX33+1),"*雙葉*"),"●",
"〇")</f>
        <v>〇</v>
      </c>
      <c r="DZ34" s="72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66"/>
      <c r="EB34" s="66"/>
      <c r="EC34" s="73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64"/>
      <c r="EE34" s="45"/>
      <c r="EF34" s="55"/>
      <c r="EG34" s="57" t="str">
        <f ca="1">IF(COUNTIF(INDIRECT("'盛付札（関数）'!FJ"&amp;EF33+1),"*雙葉*"),"●",
"〇")</f>
        <v>〇</v>
      </c>
      <c r="EH34" s="72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66"/>
      <c r="EJ34" s="66"/>
      <c r="EK34" s="73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64"/>
      <c r="EM34" s="74"/>
      <c r="EN34" s="57" t="str">
        <f ca="1">IF(COUNTIF(INDIRECT("'盛付札（関数）'!FJ"&amp;EM33+1),"*雙葉*"),"●",
"〇")</f>
        <v>〇</v>
      </c>
      <c r="EO34" s="72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66"/>
      <c r="EQ34" s="66"/>
      <c r="ER34" s="73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64"/>
      <c r="ET34" s="45"/>
    </row>
    <row r="35" spans="1:150" s="56" customFormat="1" x14ac:dyDescent="0.55000000000000004">
      <c r="A35" s="55"/>
      <c r="B35" s="59"/>
      <c r="C35" s="265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66"/>
      <c r="E35" s="45"/>
      <c r="F35" s="56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5"/>
      <c r="H35" s="61"/>
      <c r="I35" s="59"/>
      <c r="J35" s="265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66"/>
      <c r="L35" s="45"/>
      <c r="M35" s="56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5"/>
      <c r="O35" s="45"/>
      <c r="P35" s="55"/>
      <c r="Q35" s="59"/>
      <c r="R35" s="265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66"/>
      <c r="T35" s="45"/>
      <c r="U35" s="56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5"/>
      <c r="W35" s="61"/>
      <c r="X35" s="59"/>
      <c r="Y35" s="265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66"/>
      <c r="AA35" s="45"/>
      <c r="AB35" s="56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5"/>
      <c r="AD35" s="45"/>
      <c r="AE35" s="55"/>
      <c r="AF35" s="59"/>
      <c r="AG35" s="265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66"/>
      <c r="AI35" s="45"/>
      <c r="AJ35" s="56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5"/>
      <c r="AL35" s="61"/>
      <c r="AM35" s="59"/>
      <c r="AN35" s="265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66"/>
      <c r="AP35" s="45"/>
      <c r="AQ35" s="56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5"/>
      <c r="AS35" s="45"/>
      <c r="AT35" s="55"/>
      <c r="AU35" s="59"/>
      <c r="AV35" s="265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66"/>
      <c r="AX35" s="45"/>
      <c r="AY35" s="56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5"/>
      <c r="BA35" s="61"/>
      <c r="BB35" s="59"/>
      <c r="BC35" s="265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66"/>
      <c r="BE35" s="45"/>
      <c r="BF35" s="56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5"/>
      <c r="BH35" s="45"/>
      <c r="BI35" s="55"/>
      <c r="BJ35" s="59"/>
      <c r="BK35" s="265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66"/>
      <c r="BM35" s="45"/>
      <c r="BN35" s="56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5"/>
      <c r="BP35" s="61"/>
      <c r="BQ35" s="59"/>
      <c r="BR35" s="265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66"/>
      <c r="BT35" s="45"/>
      <c r="BU35" s="56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5"/>
      <c r="BW35" s="45"/>
      <c r="BX35" s="55"/>
      <c r="BY35" s="59"/>
      <c r="BZ35" s="265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66"/>
      <c r="CB35" s="45"/>
      <c r="CC35" s="56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5"/>
      <c r="CE35" s="61"/>
      <c r="CF35" s="59"/>
      <c r="CG35" s="265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66"/>
      <c r="CI35" s="45"/>
      <c r="CJ35" s="56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5"/>
      <c r="CL35" s="45"/>
      <c r="CM35" s="55"/>
      <c r="CN35" s="59"/>
      <c r="CO35" s="265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66"/>
      <c r="CQ35" s="45"/>
      <c r="CR35" s="56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5"/>
      <c r="CT35" s="61"/>
      <c r="CU35" s="59"/>
      <c r="CV35" s="265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66"/>
      <c r="CX35" s="45"/>
      <c r="CY35" s="56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5"/>
      <c r="DA35" s="45"/>
      <c r="DB35" s="55"/>
      <c r="DC35" s="59"/>
      <c r="DD35" s="265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66"/>
      <c r="DF35" s="45"/>
      <c r="DG35" s="56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65"/>
      <c r="DI35" s="61"/>
      <c r="DJ35" s="59"/>
      <c r="DK35" s="265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66"/>
      <c r="DM35" s="45"/>
      <c r="DN35" s="56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65"/>
      <c r="DP35" s="45"/>
      <c r="DQ35" s="55"/>
      <c r="DR35" s="59"/>
      <c r="DS35" s="265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66"/>
      <c r="DU35" s="45"/>
      <c r="DV35" s="56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65"/>
      <c r="DX35" s="61"/>
      <c r="DY35" s="59"/>
      <c r="DZ35" s="265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66"/>
      <c r="EB35" s="45"/>
      <c r="EC35" s="56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65"/>
      <c r="EE35" s="45"/>
      <c r="EF35" s="55"/>
      <c r="EG35" s="59"/>
      <c r="EH35" s="265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66"/>
      <c r="EJ35" s="45"/>
      <c r="EK35" s="56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65"/>
      <c r="EM35" s="61"/>
      <c r="EN35" s="59"/>
      <c r="EO35" s="265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66"/>
      <c r="EQ35" s="45"/>
      <c r="ER35" s="56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65"/>
      <c r="ET35" s="45"/>
    </row>
    <row r="36" spans="1:150" ht="15.6" customHeight="1" x14ac:dyDescent="1.05">
      <c r="B36" s="49"/>
      <c r="C36" s="252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64"/>
      <c r="E36" s="75"/>
      <c r="F36" s="262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63"/>
      <c r="H36" s="50"/>
      <c r="I36" s="49"/>
      <c r="J36" s="252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64"/>
      <c r="L36" s="75"/>
      <c r="M36" s="262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63"/>
      <c r="Q36" s="49"/>
      <c r="R36" s="252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64"/>
      <c r="T36" s="75"/>
      <c r="U36" s="262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63"/>
      <c r="W36" s="50"/>
      <c r="X36" s="49"/>
      <c r="Y36" s="252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64"/>
      <c r="AA36" s="75"/>
      <c r="AB36" s="262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63"/>
      <c r="AF36" s="49"/>
      <c r="AG36" s="252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64"/>
      <c r="AI36" s="75"/>
      <c r="AJ36" s="262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63"/>
      <c r="AL36" s="50"/>
      <c r="AM36" s="49"/>
      <c r="AN36" s="252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64"/>
      <c r="AP36" s="75"/>
      <c r="AQ36" s="262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63"/>
      <c r="AU36" s="49"/>
      <c r="AV36" s="252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64"/>
      <c r="AX36" s="75"/>
      <c r="AY36" s="262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63"/>
      <c r="BA36" s="50"/>
      <c r="BB36" s="49"/>
      <c r="BC36" s="252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64"/>
      <c r="BE36" s="75"/>
      <c r="BF36" s="262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63"/>
      <c r="BJ36" s="49"/>
      <c r="BK36" s="252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64"/>
      <c r="BM36" s="75"/>
      <c r="BN36" s="262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63"/>
      <c r="BP36" s="50"/>
      <c r="BQ36" s="49"/>
      <c r="BR36" s="252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64"/>
      <c r="BT36" s="75"/>
      <c r="BU36" s="262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63"/>
      <c r="BY36" s="49"/>
      <c r="BZ36" s="252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64"/>
      <c r="CB36" s="75"/>
      <c r="CC36" s="262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63"/>
      <c r="CE36" s="50"/>
      <c r="CF36" s="49"/>
      <c r="CG36" s="252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64"/>
      <c r="CI36" s="75"/>
      <c r="CJ36" s="262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63"/>
      <c r="CN36" s="49"/>
      <c r="CO36" s="252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64"/>
      <c r="CQ36" s="75"/>
      <c r="CR36" s="262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63"/>
      <c r="CT36" s="50"/>
      <c r="CU36" s="49"/>
      <c r="CV36" s="252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64"/>
      <c r="CX36" s="75"/>
      <c r="CY36" s="262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63"/>
      <c r="DC36" s="49"/>
      <c r="DD36" s="252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64"/>
      <c r="DF36" s="75"/>
      <c r="DG36" s="262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63"/>
      <c r="DI36" s="50"/>
      <c r="DJ36" s="49"/>
      <c r="DK36" s="252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64"/>
      <c r="DM36" s="75"/>
      <c r="DN36" s="262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63"/>
      <c r="DR36" s="49"/>
      <c r="DS36" s="252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64"/>
      <c r="DU36" s="75"/>
      <c r="DV36" s="262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63"/>
      <c r="DX36" s="50"/>
      <c r="DY36" s="49"/>
      <c r="DZ36" s="252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64"/>
      <c r="EB36" s="75"/>
      <c r="EC36" s="262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63"/>
      <c r="EG36" s="49"/>
      <c r="EH36" s="252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64"/>
      <c r="EJ36" s="75"/>
      <c r="EK36" s="262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63"/>
      <c r="EM36" s="50"/>
      <c r="EN36" s="49"/>
      <c r="EO36" s="252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64"/>
      <c r="EQ36" s="75"/>
      <c r="ER36" s="262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63"/>
    </row>
    <row r="37" spans="1:150" ht="15.6" customHeight="1" x14ac:dyDescent="0.45">
      <c r="B37" s="51"/>
      <c r="C37" s="254"/>
      <c r="D37" s="254"/>
      <c r="E37" s="69"/>
      <c r="F37" s="254"/>
      <c r="G37" s="245"/>
      <c r="H37" s="50"/>
      <c r="I37" s="51"/>
      <c r="J37" s="254"/>
      <c r="K37" s="254"/>
      <c r="L37" s="69"/>
      <c r="M37" s="254"/>
      <c r="N37" s="245"/>
      <c r="Q37" s="51"/>
      <c r="R37" s="254"/>
      <c r="S37" s="254"/>
      <c r="T37" s="69"/>
      <c r="U37" s="254"/>
      <c r="V37" s="245"/>
      <c r="W37" s="50"/>
      <c r="X37" s="51"/>
      <c r="Y37" s="254"/>
      <c r="Z37" s="254"/>
      <c r="AA37" s="69"/>
      <c r="AB37" s="254"/>
      <c r="AC37" s="245"/>
      <c r="AF37" s="51"/>
      <c r="AG37" s="254"/>
      <c r="AH37" s="254"/>
      <c r="AI37" s="69"/>
      <c r="AJ37" s="254"/>
      <c r="AK37" s="245"/>
      <c r="AL37" s="50"/>
      <c r="AM37" s="51"/>
      <c r="AN37" s="254"/>
      <c r="AO37" s="254"/>
      <c r="AP37" s="69"/>
      <c r="AQ37" s="254"/>
      <c r="AR37" s="245"/>
      <c r="AU37" s="51"/>
      <c r="AV37" s="254"/>
      <c r="AW37" s="254"/>
      <c r="AX37" s="69"/>
      <c r="AY37" s="254"/>
      <c r="AZ37" s="245"/>
      <c r="BA37" s="50"/>
      <c r="BB37" s="51"/>
      <c r="BC37" s="254"/>
      <c r="BD37" s="254"/>
      <c r="BE37" s="69"/>
      <c r="BF37" s="254"/>
      <c r="BG37" s="245"/>
      <c r="BJ37" s="51"/>
      <c r="BK37" s="254"/>
      <c r="BL37" s="254"/>
      <c r="BM37" s="69"/>
      <c r="BN37" s="254"/>
      <c r="BO37" s="245"/>
      <c r="BP37" s="50"/>
      <c r="BQ37" s="51"/>
      <c r="BR37" s="254"/>
      <c r="BS37" s="254"/>
      <c r="BT37" s="69"/>
      <c r="BU37" s="254"/>
      <c r="BV37" s="245"/>
      <c r="BY37" s="51"/>
      <c r="BZ37" s="254"/>
      <c r="CA37" s="254"/>
      <c r="CB37" s="69"/>
      <c r="CC37" s="254"/>
      <c r="CD37" s="245"/>
      <c r="CE37" s="50"/>
      <c r="CF37" s="51"/>
      <c r="CG37" s="254"/>
      <c r="CH37" s="254"/>
      <c r="CI37" s="69"/>
      <c r="CJ37" s="254"/>
      <c r="CK37" s="245"/>
      <c r="CN37" s="51"/>
      <c r="CO37" s="254"/>
      <c r="CP37" s="254"/>
      <c r="CQ37" s="69"/>
      <c r="CR37" s="254"/>
      <c r="CS37" s="245"/>
      <c r="CT37" s="50"/>
      <c r="CU37" s="51"/>
      <c r="CV37" s="254"/>
      <c r="CW37" s="254"/>
      <c r="CX37" s="69"/>
      <c r="CY37" s="254"/>
      <c r="CZ37" s="245"/>
      <c r="DC37" s="51"/>
      <c r="DD37" s="254"/>
      <c r="DE37" s="254"/>
      <c r="DF37" s="69"/>
      <c r="DG37" s="254"/>
      <c r="DH37" s="245"/>
      <c r="DI37" s="50"/>
      <c r="DJ37" s="51"/>
      <c r="DK37" s="254"/>
      <c r="DL37" s="254"/>
      <c r="DM37" s="69"/>
      <c r="DN37" s="254"/>
      <c r="DO37" s="245"/>
      <c r="DR37" s="51"/>
      <c r="DS37" s="254"/>
      <c r="DT37" s="254"/>
      <c r="DU37" s="69"/>
      <c r="DV37" s="254"/>
      <c r="DW37" s="245"/>
      <c r="DX37" s="50"/>
      <c r="DY37" s="51"/>
      <c r="DZ37" s="254"/>
      <c r="EA37" s="254"/>
      <c r="EB37" s="69"/>
      <c r="EC37" s="254"/>
      <c r="ED37" s="245"/>
      <c r="EG37" s="51"/>
      <c r="EH37" s="254"/>
      <c r="EI37" s="254"/>
      <c r="EJ37" s="69"/>
      <c r="EK37" s="254"/>
      <c r="EL37" s="245"/>
      <c r="EM37" s="50"/>
      <c r="EN37" s="51"/>
      <c r="EO37" s="254"/>
      <c r="EP37" s="254"/>
      <c r="EQ37" s="69"/>
      <c r="ER37" s="254"/>
      <c r="ES37" s="245"/>
    </row>
    <row r="38" spans="1:150" s="56" customFormat="1" x14ac:dyDescent="0.55000000000000004">
      <c r="A38" s="55"/>
      <c r="B38" s="62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0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2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0"/>
      <c r="F38" s="62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5"/>
      <c r="H38" s="45"/>
      <c r="I38" s="62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0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2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0"/>
      <c r="M38" s="62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5"/>
      <c r="O38" s="45"/>
      <c r="P38" s="55"/>
      <c r="Q38" s="62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0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2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0"/>
      <c r="U38" s="62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5"/>
      <c r="W38" s="45"/>
      <c r="X38" s="62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0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2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0"/>
      <c r="AB38" s="62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5"/>
      <c r="AD38" s="45"/>
      <c r="AE38" s="55"/>
      <c r="AF38" s="62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0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2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0"/>
      <c r="AJ38" s="62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5"/>
      <c r="AL38" s="45"/>
      <c r="AM38" s="62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0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2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0"/>
      <c r="AQ38" s="62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5"/>
      <c r="AS38" s="45"/>
      <c r="AT38" s="55"/>
      <c r="AU38" s="62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0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2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0"/>
      <c r="AY38" s="62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5"/>
      <c r="BA38" s="45"/>
      <c r="BB38" s="62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0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2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0"/>
      <c r="BF38" s="62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5"/>
      <c r="BH38" s="45"/>
      <c r="BI38" s="55"/>
      <c r="BJ38" s="62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0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2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0"/>
      <c r="BN38" s="62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5"/>
      <c r="BP38" s="45"/>
      <c r="BQ38" s="62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0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2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0"/>
      <c r="BU38" s="62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5"/>
      <c r="BW38" s="45"/>
      <c r="BX38" s="55"/>
      <c r="BY38" s="62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0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2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0"/>
      <c r="CC38" s="62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5"/>
      <c r="CE38" s="45"/>
      <c r="CF38" s="62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0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2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0"/>
      <c r="CJ38" s="62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5"/>
      <c r="CL38" s="45"/>
      <c r="CM38" s="55"/>
      <c r="CN38" s="62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0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2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0"/>
      <c r="CR38" s="62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5"/>
      <c r="CT38" s="45"/>
      <c r="CU38" s="62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0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2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0"/>
      <c r="CY38" s="62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5"/>
      <c r="DA38" s="45"/>
      <c r="DB38" s="55"/>
      <c r="DC38" s="62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0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2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0"/>
      <c r="DG38" s="62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65"/>
      <c r="DI38" s="45"/>
      <c r="DJ38" s="62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0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2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0"/>
      <c r="DN38" s="62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65"/>
      <c r="DP38" s="45"/>
      <c r="DQ38" s="55"/>
      <c r="DR38" s="62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0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2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0"/>
      <c r="DV38" s="62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65"/>
      <c r="DX38" s="45"/>
      <c r="DY38" s="62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0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2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0"/>
      <c r="EC38" s="62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65"/>
      <c r="EE38" s="45"/>
      <c r="EF38" s="55"/>
      <c r="EG38" s="62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0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2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0"/>
      <c r="EK38" s="62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65"/>
      <c r="EM38" s="45"/>
      <c r="EN38" s="62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0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2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0"/>
      <c r="ER38" s="62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65"/>
      <c r="ET38" s="45"/>
    </row>
    <row r="39" spans="1:150" ht="27.6" customHeight="1" x14ac:dyDescent="0.45">
      <c r="B39" s="244" t="str">
        <f ca="1">IF(C36&lt;&gt;"",
IFERROR(INT(C36/C38),""),"")</f>
        <v/>
      </c>
      <c r="C39" s="245"/>
      <c r="D39" s="244" t="str">
        <f ca="1">IFERROR(MOD(C36,C38),"")</f>
        <v/>
      </c>
      <c r="E39" s="245"/>
      <c r="F39" s="246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45"/>
      <c r="I39" s="244" t="str">
        <f ca="1">IF(J36&lt;&gt;"",
IFERROR(INT(J36/J38),""),"")</f>
        <v/>
      </c>
      <c r="J39" s="245"/>
      <c r="K39" s="244" t="str">
        <f ca="1">IFERROR(MOD(J36,J38),"")</f>
        <v/>
      </c>
      <c r="L39" s="245"/>
      <c r="M39" s="246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45"/>
      <c r="Q39" s="244" t="str">
        <f ca="1">IF(R36&lt;&gt;"",
IFERROR(INT(R36/R38),""),"")</f>
        <v/>
      </c>
      <c r="R39" s="245"/>
      <c r="S39" s="244" t="str">
        <f ca="1">IFERROR(MOD(R36,R38),"")</f>
        <v/>
      </c>
      <c r="T39" s="245"/>
      <c r="U39" s="246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45"/>
      <c r="X39" s="244" t="str">
        <f ca="1">IF(Y36&lt;&gt;"",
IFERROR(INT(Y36/Y38),""),"")</f>
        <v/>
      </c>
      <c r="Y39" s="245"/>
      <c r="Z39" s="244" t="str">
        <f ca="1">IFERROR(MOD(Y36,Y38),"")</f>
        <v/>
      </c>
      <c r="AA39" s="245"/>
      <c r="AB39" s="246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45"/>
      <c r="AF39" s="244" t="str">
        <f ca="1">IF(AG36&lt;&gt;"",
IFERROR(INT(AG36/AG38),""),"")</f>
        <v/>
      </c>
      <c r="AG39" s="245"/>
      <c r="AH39" s="244" t="str">
        <f ca="1">IFERROR(MOD(AG36,AG38),"")</f>
        <v/>
      </c>
      <c r="AI39" s="245"/>
      <c r="AJ39" s="246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45"/>
      <c r="AM39" s="244" t="str">
        <f ca="1">IF(AN36&lt;&gt;"",
IFERROR(INT(AN36/AN38),""),"")</f>
        <v/>
      </c>
      <c r="AN39" s="245"/>
      <c r="AO39" s="244" t="str">
        <f ca="1">IFERROR(MOD(AN36,AN38),"")</f>
        <v/>
      </c>
      <c r="AP39" s="245"/>
      <c r="AQ39" s="246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45"/>
      <c r="AU39" s="244" t="str">
        <f ca="1">IF(AV36&lt;&gt;"",
IFERROR(INT(AV36/AV38),""),"")</f>
        <v/>
      </c>
      <c r="AV39" s="245"/>
      <c r="AW39" s="244" t="str">
        <f ca="1">IFERROR(MOD(AV36,AV38),"")</f>
        <v/>
      </c>
      <c r="AX39" s="245"/>
      <c r="AY39" s="246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45"/>
      <c r="BB39" s="244" t="str">
        <f ca="1">IF(BC36&lt;&gt;"",
IFERROR(INT(BC36/BC38),""),"")</f>
        <v/>
      </c>
      <c r="BC39" s="245"/>
      <c r="BD39" s="244" t="str">
        <f ca="1">IFERROR(MOD(BC36,BC38),"")</f>
        <v/>
      </c>
      <c r="BE39" s="245"/>
      <c r="BF39" s="246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45"/>
      <c r="BJ39" s="244" t="str">
        <f ca="1">IF(BK36&lt;&gt;"",
IFERROR(INT(BK36/BK38),""),"")</f>
        <v/>
      </c>
      <c r="BK39" s="245"/>
      <c r="BL39" s="244" t="str">
        <f ca="1">IFERROR(MOD(BK36,BK38),"")</f>
        <v/>
      </c>
      <c r="BM39" s="245"/>
      <c r="BN39" s="246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45"/>
      <c r="BQ39" s="244" t="str">
        <f ca="1">IF(BR36&lt;&gt;"",
IFERROR(INT(BR36/BR38),""),"")</f>
        <v/>
      </c>
      <c r="BR39" s="245"/>
      <c r="BS39" s="244" t="str">
        <f ca="1">IFERROR(MOD(BR36,BR38),"")</f>
        <v/>
      </c>
      <c r="BT39" s="245"/>
      <c r="BU39" s="246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45"/>
      <c r="BY39" s="244" t="str">
        <f ca="1">IF(BZ36&lt;&gt;"",
IFERROR(INT(BZ36/BZ38),""),"")</f>
        <v/>
      </c>
      <c r="BZ39" s="245"/>
      <c r="CA39" s="244" t="str">
        <f ca="1">IFERROR(MOD(BZ36,BZ38),"")</f>
        <v/>
      </c>
      <c r="CB39" s="245"/>
      <c r="CC39" s="246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45"/>
      <c r="CF39" s="244" t="str">
        <f ca="1">IF(CG36&lt;&gt;"",
IFERROR(INT(CG36/CG38),""),"")</f>
        <v/>
      </c>
      <c r="CG39" s="245"/>
      <c r="CH39" s="244" t="str">
        <f ca="1">IFERROR(MOD(CG36,CG38),"")</f>
        <v/>
      </c>
      <c r="CI39" s="245"/>
      <c r="CJ39" s="246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45"/>
      <c r="CN39" s="244" t="str">
        <f ca="1">IF(CO36&lt;&gt;"",
IFERROR(INT(CO36/CO38),""),"")</f>
        <v/>
      </c>
      <c r="CO39" s="245"/>
      <c r="CP39" s="244" t="str">
        <f ca="1">IFERROR(MOD(CO36,CO38),"")</f>
        <v/>
      </c>
      <c r="CQ39" s="245"/>
      <c r="CR39" s="246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45"/>
      <c r="CU39" s="244" t="str">
        <f ca="1">IF(CV36&lt;&gt;"",
IFERROR(INT(CV36/CV38),""),"")</f>
        <v/>
      </c>
      <c r="CV39" s="245"/>
      <c r="CW39" s="244" t="str">
        <f ca="1">IFERROR(MOD(CV36,CV38),"")</f>
        <v/>
      </c>
      <c r="CX39" s="245"/>
      <c r="CY39" s="246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45"/>
      <c r="DC39" s="244" t="str">
        <f ca="1">IF(DD36&lt;&gt;"",
IFERROR(INT(DD36/DD38),""),"")</f>
        <v/>
      </c>
      <c r="DD39" s="245"/>
      <c r="DE39" s="244" t="str">
        <f ca="1">IFERROR(MOD(DD36,DD38),"")</f>
        <v/>
      </c>
      <c r="DF39" s="245"/>
      <c r="DG39" s="246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45"/>
      <c r="DJ39" s="244" t="str">
        <f ca="1">IF(DK36&lt;&gt;"",
IFERROR(INT(DK36/DK38),""),"")</f>
        <v/>
      </c>
      <c r="DK39" s="245"/>
      <c r="DL39" s="244" t="str">
        <f ca="1">IFERROR(MOD(DK36,DK38),"")</f>
        <v/>
      </c>
      <c r="DM39" s="245"/>
      <c r="DN39" s="246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45"/>
      <c r="DR39" s="244" t="str">
        <f ca="1">IF(DS36&lt;&gt;"",
IFERROR(INT(DS36/DS38),""),"")</f>
        <v/>
      </c>
      <c r="DS39" s="245"/>
      <c r="DT39" s="244" t="str">
        <f ca="1">IFERROR(MOD(DS36,DS38),"")</f>
        <v/>
      </c>
      <c r="DU39" s="245"/>
      <c r="DV39" s="246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45"/>
      <c r="DY39" s="244" t="str">
        <f ca="1">IF(DZ36&lt;&gt;"",
IFERROR(INT(DZ36/DZ38),""),"")</f>
        <v/>
      </c>
      <c r="DZ39" s="245"/>
      <c r="EA39" s="244" t="str">
        <f ca="1">IFERROR(MOD(DZ36,DZ38),"")</f>
        <v/>
      </c>
      <c r="EB39" s="245"/>
      <c r="EC39" s="246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45"/>
      <c r="EG39" s="244" t="str">
        <f ca="1">IF(EH36&lt;&gt;"",
IFERROR(INT(EH36/EH38),""),"")</f>
        <v/>
      </c>
      <c r="EH39" s="245"/>
      <c r="EI39" s="244" t="str">
        <f ca="1">IFERROR(MOD(EH36,EH38),"")</f>
        <v/>
      </c>
      <c r="EJ39" s="245"/>
      <c r="EK39" s="246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45"/>
      <c r="EN39" s="244" t="str">
        <f ca="1">IF(EO36&lt;&gt;"",
IFERROR(INT(EO36/EO38),""),"")</f>
        <v/>
      </c>
      <c r="EO39" s="245"/>
      <c r="EP39" s="244" t="str">
        <f ca="1">IFERROR(MOD(EO36,EO38),"")</f>
        <v/>
      </c>
      <c r="EQ39" s="245"/>
      <c r="ER39" s="246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45"/>
    </row>
    <row r="40" spans="1:150" ht="6.6" customHeight="1" x14ac:dyDescent="0.55000000000000004">
      <c r="B40" s="70"/>
      <c r="D40" s="70"/>
      <c r="F40" s="71"/>
      <c r="I40" s="70"/>
      <c r="K40" s="70"/>
      <c r="M40" s="71"/>
      <c r="Q40" s="70"/>
      <c r="S40" s="70"/>
      <c r="U40" s="71"/>
      <c r="X40" s="70"/>
      <c r="Z40" s="70"/>
      <c r="AB40" s="71"/>
      <c r="AF40" s="70"/>
      <c r="AH40" s="70"/>
      <c r="AJ40" s="71"/>
      <c r="AM40" s="70"/>
      <c r="AO40" s="70"/>
      <c r="AQ40" s="71"/>
      <c r="AU40" s="70"/>
      <c r="AW40" s="70"/>
      <c r="AY40" s="71"/>
      <c r="BB40" s="70"/>
      <c r="BD40" s="70"/>
      <c r="BF40" s="71"/>
      <c r="BJ40" s="70"/>
      <c r="BL40" s="70"/>
      <c r="BN40" s="71"/>
      <c r="BQ40" s="70"/>
      <c r="BS40" s="70"/>
      <c r="BU40" s="71"/>
      <c r="BY40" s="70"/>
      <c r="CA40" s="70"/>
      <c r="CC40" s="71"/>
      <c r="CF40" s="70"/>
      <c r="CH40" s="70"/>
      <c r="CJ40" s="71"/>
      <c r="CN40" s="70"/>
      <c r="CP40" s="70"/>
      <c r="CR40" s="71"/>
      <c r="CU40" s="70"/>
      <c r="CW40" s="70"/>
      <c r="CY40" s="71"/>
      <c r="DC40" s="70"/>
      <c r="DE40" s="70"/>
      <c r="DG40" s="71"/>
      <c r="DJ40" s="70"/>
      <c r="DL40" s="70"/>
      <c r="DN40" s="71"/>
      <c r="DR40" s="70"/>
      <c r="DT40" s="70"/>
      <c r="DV40" s="71"/>
      <c r="DY40" s="70"/>
      <c r="EA40" s="70"/>
      <c r="EC40" s="71"/>
      <c r="EG40" s="70"/>
      <c r="EI40" s="70"/>
      <c r="EK40" s="71"/>
      <c r="EN40" s="70"/>
      <c r="EP40" s="70"/>
      <c r="ER40" s="71"/>
    </row>
    <row r="41" spans="1:150" s="56" customFormat="1" ht="25.8" customHeight="1" x14ac:dyDescent="0.55000000000000004">
      <c r="A41" s="55">
        <f ca="1">IF(OR(I34="●",I34="△"),
H33+2,H33+1)</f>
        <v>11</v>
      </c>
      <c r="B41" s="68" t="str">
        <f ca="1">IF(C41&lt;&gt;"",
MID(貼り付け用!$A$2, FIND("年",貼り付け用!$A$2)+1,2)&amp;"/"&amp;MID(貼り付け用!$A$2, FIND("月",貼り付け用!$A$2)+1,2),"")</f>
        <v/>
      </c>
      <c r="C41" s="267" t="str" cm="1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67"/>
      <c r="E41" s="267"/>
      <c r="F41" s="267"/>
      <c r="G41" s="67" t="str">
        <f t="array" aca="1" ref="G41" ca="1">IF(C41&lt;&gt;"",
IF(AND(INDIRECT("'盛付札（関数）'!FI"&amp;A41)&gt;=124,INDIRECT("'盛付札（関数）'!FI"&amp;A41)&lt;=144),"",
"様"),"")</f>
        <v/>
      </c>
      <c r="H41" s="61">
        <f ca="1">IF(OR(B42="●",B42="△"),
A41+2,A41+1)</f>
        <v>12</v>
      </c>
      <c r="I41" s="68" t="str">
        <f ca="1">IF(J41&lt;&gt;"",
MID(貼り付け用!$A$2, FIND("年",貼り付け用!$A$2)+1,2)&amp;"/"&amp;MID(貼り付け用!$A$2, FIND("月",貼り付け用!$A$2)+1,2),"")</f>
        <v/>
      </c>
      <c r="J41" s="267" t="str" cm="1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48"/>
      <c r="L41" s="248"/>
      <c r="M41" s="248"/>
      <c r="N41" s="67" t="str">
        <f t="array" aca="1" ref="N41" ca="1">IF(J41&lt;&gt;"",
IF(AND(INDIRECT("'盛付札（関数）'!FI"&amp;H41)&gt;=124,INDIRECT("'盛付札（関数）'!FI"&amp;H41)&lt;=144),"",
"様"),"")</f>
        <v/>
      </c>
      <c r="O41" s="45"/>
      <c r="P41" s="55">
        <f ca="1">IF(OR(X34="●",X34="△"),
W33+2,W33+1)</f>
        <v>23</v>
      </c>
      <c r="Q41" s="68" t="str">
        <f ca="1">IF(R41&lt;&gt;"",
MID(貼り付け用!$A$2, FIND("年",貼り付け用!$A$2)+1,2)&amp;"/"&amp;MID(貼り付け用!$A$2, FIND("月",貼り付け用!$A$2)+1,2),"")</f>
        <v/>
      </c>
      <c r="R41" s="267" t="str" cm="1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48"/>
      <c r="T41" s="248"/>
      <c r="U41" s="248"/>
      <c r="V41" s="67" t="str">
        <f t="array" aca="1" ref="V41" ca="1">IF(R41&lt;&gt;"",
IF(AND(INDIRECT("'盛付札（関数）'!FI"&amp;P41)&gt;=124,INDIRECT("'盛付札（関数）'!FI"&amp;P41)&lt;=144),"",
"様"),"")</f>
        <v/>
      </c>
      <c r="W41" s="61">
        <f ca="1">IF(OR(Q42="●",Q42="△"),
P41+2,P41+1)</f>
        <v>24</v>
      </c>
      <c r="X41" s="68" t="str">
        <f ca="1">IF(Y41&lt;&gt;"",
MID(貼り付け用!$A$2, FIND("年",貼り付け用!$A$2)+1,2)&amp;"/"&amp;MID(貼り付け用!$A$2, FIND("月",貼り付け用!$A$2)+1,2),"")</f>
        <v/>
      </c>
      <c r="Y41" s="267" t="str" cm="1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48"/>
      <c r="AA41" s="248"/>
      <c r="AB41" s="248"/>
      <c r="AC41" s="67" t="str">
        <f t="array" aca="1" ref="AC41" ca="1">IF(Y41&lt;&gt;"",
IF(AND(INDIRECT("'盛付札（関数）'!FI"&amp;W41)&gt;=124,INDIRECT("'盛付札（関数）'!FI"&amp;W41)&lt;=144),"",
"様"),"")</f>
        <v/>
      </c>
      <c r="AD41" s="45"/>
      <c r="AE41" s="55">
        <f ca="1">IF(OR(AM34="●",AM34="△"),
AL33+2,AL33+1)</f>
        <v>35</v>
      </c>
      <c r="AF41" s="68" t="str">
        <f ca="1">IF(AG41&lt;&gt;"",
MID(貼り付け用!$A$2, FIND("年",貼り付け用!$A$2)+1,2)&amp;"/"&amp;MID(貼り付け用!$A$2, FIND("月",貼り付け用!$A$2)+1,2),"")</f>
        <v/>
      </c>
      <c r="AG41" s="267" t="str" cm="1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48"/>
      <c r="AI41" s="248"/>
      <c r="AJ41" s="248"/>
      <c r="AK41" s="67" t="str">
        <f t="array" aca="1" ref="AK41" ca="1">IF(AG41&lt;&gt;"",
IF(AND(INDIRECT("'盛付札（関数）'!FI"&amp;AE41)&gt;=124,INDIRECT("'盛付札（関数）'!FI"&amp;AE41)&lt;=144),"",
"様"),"")</f>
        <v/>
      </c>
      <c r="AL41" s="61">
        <f ca="1">IF(OR(AF42="●",AF42="△"),
AE41+2,AE41+1)</f>
        <v>36</v>
      </c>
      <c r="AM41" s="68" t="str">
        <f ca="1">IF(AN41&lt;&gt;"",
MID(貼り付け用!$A$2, FIND("年",貼り付け用!$A$2)+1,2)&amp;"/"&amp;MID(貼り付け用!$A$2, FIND("月",貼り付け用!$A$2)+1,2),"")</f>
        <v/>
      </c>
      <c r="AN41" s="267" t="str" cm="1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48"/>
      <c r="AP41" s="248"/>
      <c r="AQ41" s="248"/>
      <c r="AR41" s="67" t="str">
        <f t="array" aca="1" ref="AR41" ca="1">IF(AN41&lt;&gt;"",
IF(AND(INDIRECT("'盛付札（関数）'!FI"&amp;AL41)&gt;=124,INDIRECT("'盛付札（関数）'!FI"&amp;AL41)&lt;=144),"",
"様"),"")</f>
        <v/>
      </c>
      <c r="AS41" s="45"/>
      <c r="AT41" s="55">
        <f ca="1">IF(OR(BB34="●",BB34="△"),
BA33+2,BA33+1)</f>
        <v>47</v>
      </c>
      <c r="AU41" s="68" t="str">
        <f ca="1">IF(AV41&lt;&gt;"",
MID(貼り付け用!$A$2, FIND("年",貼り付け用!$A$2)+1,2)&amp;"/"&amp;MID(貼り付け用!$A$2, FIND("月",貼り付け用!$A$2)+1,2),"")</f>
        <v/>
      </c>
      <c r="AV41" s="267" t="str" cm="1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48"/>
      <c r="AX41" s="248"/>
      <c r="AY41" s="248"/>
      <c r="AZ41" s="67" t="str">
        <f t="array" aca="1" ref="AZ41" ca="1">IF(AV41&lt;&gt;"",
IF(AND(INDIRECT("'盛付札（関数）'!FI"&amp;AT41)&gt;=124,INDIRECT("'盛付札（関数）'!FI"&amp;AT41)&lt;=144),"",
"様"),"")</f>
        <v/>
      </c>
      <c r="BA41" s="61">
        <f ca="1">IF(OR(AU42="●",AU42="△"),
AT41+2,AT41+1)</f>
        <v>48</v>
      </c>
      <c r="BB41" s="68" t="str">
        <f ca="1">IF(BC41&lt;&gt;"",
MID(貼り付け用!$A$2, FIND("年",貼り付け用!$A$2)+1,2)&amp;"/"&amp;MID(貼り付け用!$A$2, FIND("月",貼り付け用!$A$2)+1,2),"")</f>
        <v/>
      </c>
      <c r="BC41" s="267" t="str" cm="1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48"/>
      <c r="BE41" s="248"/>
      <c r="BF41" s="248"/>
      <c r="BG41" s="67" t="str">
        <f t="array" aca="1" ref="BG41" ca="1">IF(BC41&lt;&gt;"",
IF(AND(INDIRECT("'盛付札（関数）'!FI"&amp;BA41)&gt;=124,INDIRECT("'盛付札（関数）'!FI"&amp;BA41)&lt;=144),"",
"様"),"")</f>
        <v/>
      </c>
      <c r="BH41" s="45"/>
      <c r="BI41" s="55">
        <f ca="1">IF(OR(BQ34="●",BQ34="△"),
BP33+2,BP33+1)</f>
        <v>59</v>
      </c>
      <c r="BJ41" s="68" t="str">
        <f ca="1">IF(BK41&lt;&gt;"",
MID(貼り付け用!$A$2, FIND("年",貼り付け用!$A$2)+1,2)&amp;"/"&amp;MID(貼り付け用!$A$2, FIND("月",貼り付け用!$A$2)+1,2),"")</f>
        <v/>
      </c>
      <c r="BK41" s="267" t="str" cm="1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48"/>
      <c r="BM41" s="248"/>
      <c r="BN41" s="248"/>
      <c r="BO41" s="67" t="str">
        <f t="array" aca="1" ref="BO41" ca="1">IF(BK41&lt;&gt;"",
IF(AND(INDIRECT("'盛付札（関数）'!FI"&amp;BI41)&gt;=124,INDIRECT("'盛付札（関数）'!FI"&amp;BI41)&lt;=144),"",
"様"),"")</f>
        <v/>
      </c>
      <c r="BP41" s="61">
        <f ca="1">IF(OR(BJ42="●",BJ42="△"),
BI41+2,BI41+1)</f>
        <v>60</v>
      </c>
      <c r="BQ41" s="68" t="str">
        <f ca="1">IF(BR41&lt;&gt;"",
MID(貼り付け用!$A$2, FIND("年",貼り付け用!$A$2)+1,2)&amp;"/"&amp;MID(貼り付け用!$A$2, FIND("月",貼り付け用!$A$2)+1,2),"")</f>
        <v/>
      </c>
      <c r="BR41" s="267" t="str" cm="1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48"/>
      <c r="BT41" s="248"/>
      <c r="BU41" s="248"/>
      <c r="BV41" s="67" t="str">
        <f t="array" aca="1" ref="BV41" ca="1">IF(BR41&lt;&gt;"",
IF(AND(INDIRECT("'盛付札（関数）'!FI"&amp;BP41)&gt;=124,INDIRECT("'盛付札（関数）'!FI"&amp;BP41)&lt;=144),"",
"様"),"")</f>
        <v/>
      </c>
      <c r="BW41" s="45"/>
      <c r="BX41" s="55">
        <f ca="1">IF(OR(CF34="●",CF34="△"),
CE33+2,CE33+1)</f>
        <v>71</v>
      </c>
      <c r="BY41" s="68" t="str">
        <f ca="1">IF(BZ41&lt;&gt;"",
MID(貼り付け用!$A$2, FIND("年",貼り付け用!$A$2)+1,2)&amp;"/"&amp;MID(貼り付け用!$A$2, FIND("月",貼り付け用!$A$2)+1,2),"")</f>
        <v/>
      </c>
      <c r="BZ41" s="267" t="str" cm="1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48"/>
      <c r="CB41" s="248"/>
      <c r="CC41" s="248"/>
      <c r="CD41" s="67" t="str">
        <f t="array" aca="1" ref="CD41" ca="1">IF(BZ41&lt;&gt;"",
IF(AND(INDIRECT("'盛付札（関数）'!FI"&amp;BX41)&gt;=124,INDIRECT("'盛付札（関数）'!FI"&amp;BX41)&lt;=144),"",
"様"),"")</f>
        <v/>
      </c>
      <c r="CE41" s="61">
        <f ca="1">IF(OR(BY42="●",BY42="△"),
BX41+2,BX41+1)</f>
        <v>72</v>
      </c>
      <c r="CF41" s="68" t="str">
        <f ca="1">IF(CG41&lt;&gt;"",
MID(貼り付け用!$A$2, FIND("年",貼り付け用!$A$2)+1,2)&amp;"/"&amp;MID(貼り付け用!$A$2, FIND("月",貼り付け用!$A$2)+1,2),"")</f>
        <v/>
      </c>
      <c r="CG41" s="267" t="str" cm="1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48"/>
      <c r="CI41" s="248"/>
      <c r="CJ41" s="248"/>
      <c r="CK41" s="67" t="str">
        <f t="array" aca="1" ref="CK41" ca="1">IF(CG41&lt;&gt;"",
IF(AND(INDIRECT("'盛付札（関数）'!FI"&amp;CE41)&gt;=124,INDIRECT("'盛付札（関数）'!FI"&amp;CE41)&lt;=144),"",
"様"),"")</f>
        <v/>
      </c>
      <c r="CL41" s="45"/>
      <c r="CM41" s="55">
        <f ca="1">IF(OR(CU34="●",CU34="△"),
CT33+2,CT33+1)</f>
        <v>83</v>
      </c>
      <c r="CN41" s="68" t="str">
        <f ca="1">IF(CO41&lt;&gt;"",
MID(貼り付け用!$A$2, FIND("年",貼り付け用!$A$2)+1,2)&amp;"/"&amp;MID(貼り付け用!$A$2, FIND("月",貼り付け用!$A$2)+1,2),"")</f>
        <v/>
      </c>
      <c r="CO41" s="267" t="str" cm="1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48"/>
      <c r="CQ41" s="248"/>
      <c r="CR41" s="248"/>
      <c r="CS41" s="67" t="str">
        <f t="array" aca="1" ref="CS41" ca="1">IF(CO41&lt;&gt;"",
IF(AND(INDIRECT("'盛付札（関数）'!FI"&amp;CM41)&gt;=124,INDIRECT("'盛付札（関数）'!FI"&amp;CM41)&lt;=144),"",
"様"),"")</f>
        <v/>
      </c>
      <c r="CT41" s="61">
        <f ca="1">IF(OR(CN42="●",CN42="△"),
CM41+2,CM41+1)</f>
        <v>84</v>
      </c>
      <c r="CU41" s="68" t="str">
        <f ca="1">IF(CV41&lt;&gt;"",
MID(貼り付け用!$A$2, FIND("年",貼り付け用!$A$2)+1,2)&amp;"/"&amp;MID(貼り付け用!$A$2, FIND("月",貼り付け用!$A$2)+1,2),"")</f>
        <v/>
      </c>
      <c r="CV41" s="267" t="str" cm="1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48"/>
      <c r="CX41" s="248"/>
      <c r="CY41" s="248"/>
      <c r="CZ41" s="67" t="str">
        <f t="array" aca="1" ref="CZ41" ca="1">IF(CV41&lt;&gt;"",
IF(AND(INDIRECT("'盛付札（関数）'!FI"&amp;CT41)&gt;=124,INDIRECT("'盛付札（関数）'!FI"&amp;CT41)&lt;=144),"",
"様"),"")</f>
        <v/>
      </c>
      <c r="DA41" s="45"/>
      <c r="DB41" s="55">
        <f ca="1">IF(OR(DJ34="●",DJ34="△"),
DI33+2,DI33+1)</f>
        <v>95</v>
      </c>
      <c r="DC41" s="68" t="str">
        <f ca="1">IF(DD41&lt;&gt;"",
MID(貼り付け用!$A$2, FIND("年",貼り付け用!$A$2)+1,2)&amp;"/"&amp;MID(貼り付け用!$A$2, FIND("月",貼り付け用!$A$2)+1,2),"")</f>
        <v/>
      </c>
      <c r="DD41" s="267" t="str" cm="1">
        <f t="array" aca="1" ref="DD41" ca="1">SUBSTITUTE(SUBSTITUTE(SUBSTITUTE(SUBSTITUTE(SUBSTITUTE(SUBSTITUTE(SUBSTITUTE(SUBSTITUTE(SUBSTITUTE(SUBSTITUTE(SUBSTITUTE(
IF(DC42="△",
INDIRECT("'盛付札（関数）'!FJ"&amp;DB41+1),INDIRECT("'盛付札（関数）'!FJ"&amp;DB41)),"０",""),"①",""),"②",""),"③",""),"④",""),"⑤",""),"⑥",""),"⑦",""),"⑧",""),"⑨",""),"⑩","")</f>
        <v/>
      </c>
      <c r="DE41" s="248"/>
      <c r="DF41" s="248"/>
      <c r="DG41" s="248"/>
      <c r="DH41" s="67" t="str">
        <f t="array" aca="1" ref="DH41" ca="1">IF(DD41&lt;&gt;"",
IF(AND(INDIRECT("'盛付札（関数）'!FI"&amp;DB41)&gt;=124,INDIRECT("'盛付札（関数）'!FI"&amp;DB41)&lt;=144),"",
"様"),"")</f>
        <v/>
      </c>
      <c r="DI41" s="61">
        <f ca="1">IF(OR(DC42="●",DC42="△"),
DB41+2,DB41+1)</f>
        <v>96</v>
      </c>
      <c r="DJ41" s="68" t="str">
        <f ca="1">IF(DK41&lt;&gt;"",
MID(貼り付け用!$A$2, FIND("年",貼り付け用!$A$2)+1,2)&amp;"/"&amp;MID(貼り付け用!$A$2, FIND("月",貼り付け用!$A$2)+1,2),"")</f>
        <v/>
      </c>
      <c r="DK41" s="267" t="str" cm="1">
        <f t="array" aca="1" ref="DK41" ca="1">SUBSTITUTE(SUBSTITUTE(SUBSTITUTE(SUBSTITUTE(SUBSTITUTE(SUBSTITUTE(SUBSTITUTE(SUBSTITUTE(SUBSTITUTE(SUBSTITUTE(SUBSTITUTE(
IF(DJ42="△",
INDIRECT("'盛付札（関数）'!FJ"&amp;DI41+1),INDIRECT("'盛付札（関数）'!FJ"&amp;DI41)),"０",""),"①",""),"②",""),"③",""),"④",""),"⑤",""),"⑥",""),"⑦",""),"⑧",""),"⑨",""),"⑩","")</f>
        <v/>
      </c>
      <c r="DL41" s="248"/>
      <c r="DM41" s="248"/>
      <c r="DN41" s="248"/>
      <c r="DO41" s="67" t="str">
        <f t="array" aca="1" ref="DO41" ca="1">IF(DK41&lt;&gt;"",
IF(AND(INDIRECT("'盛付札（関数）'!FI"&amp;DI41)&gt;=124,INDIRECT("'盛付札（関数）'!FI"&amp;DI41)&lt;=144),"",
"様"),"")</f>
        <v/>
      </c>
      <c r="DP41" s="45"/>
      <c r="DQ41" s="55">
        <f ca="1">IF(OR(DY34="●",DY34="△"),
DX33+2,DX33+1)</f>
        <v>107</v>
      </c>
      <c r="DR41" s="68" t="str">
        <f ca="1">IF(DS41&lt;&gt;"",
MID(貼り付け用!$A$2, FIND("年",貼り付け用!$A$2)+1,2)&amp;"/"&amp;MID(貼り付け用!$A$2, FIND("月",貼り付け用!$A$2)+1,2),"")</f>
        <v/>
      </c>
      <c r="DS41" s="267" t="str" cm="1">
        <f t="array" aca="1" ref="DS41" ca="1">SUBSTITUTE(SUBSTITUTE(SUBSTITUTE(SUBSTITUTE(SUBSTITUTE(SUBSTITUTE(SUBSTITUTE(SUBSTITUTE(SUBSTITUTE(SUBSTITUTE(SUBSTITUTE(
IF(DR42="△",
INDIRECT("'盛付札（関数）'!FJ"&amp;DQ41+1),INDIRECT("'盛付札（関数）'!FJ"&amp;DQ41)),"０",""),"①",""),"②",""),"③",""),"④",""),"⑤",""),"⑥",""),"⑦",""),"⑧",""),"⑨",""),"⑩","")</f>
        <v/>
      </c>
      <c r="DT41" s="248"/>
      <c r="DU41" s="248"/>
      <c r="DV41" s="248"/>
      <c r="DW41" s="67" t="str">
        <f t="array" aca="1" ref="DW41" ca="1">IF(DS41&lt;&gt;"",
IF(AND(INDIRECT("'盛付札（関数）'!FI"&amp;DQ41)&gt;=124,INDIRECT("'盛付札（関数）'!FI"&amp;DQ41)&lt;=144),"",
"様"),"")</f>
        <v/>
      </c>
      <c r="DX41" s="61">
        <f ca="1">IF(OR(DR42="●",DR42="△"),
DQ41+2,DQ41+1)</f>
        <v>108</v>
      </c>
      <c r="DY41" s="68" t="str">
        <f ca="1">IF(DZ41&lt;&gt;"",
MID(貼り付け用!$A$2, FIND("年",貼り付け用!$A$2)+1,2)&amp;"/"&amp;MID(貼り付け用!$A$2, FIND("月",貼り付け用!$A$2)+1,2),"")</f>
        <v/>
      </c>
      <c r="DZ41" s="267" t="str" cm="1">
        <f t="array" aca="1" ref="DZ41" ca="1">SUBSTITUTE(SUBSTITUTE(SUBSTITUTE(SUBSTITUTE(SUBSTITUTE(SUBSTITUTE(SUBSTITUTE(SUBSTITUTE(SUBSTITUTE(SUBSTITUTE(SUBSTITUTE(
IF(DY42="△",
INDIRECT("'盛付札（関数）'!FJ"&amp;DX41+1),INDIRECT("'盛付札（関数）'!FJ"&amp;DX41)),"０",""),"①",""),"②",""),"③",""),"④",""),"⑤",""),"⑥",""),"⑦",""),"⑧",""),"⑨",""),"⑩","")</f>
        <v/>
      </c>
      <c r="EA41" s="248"/>
      <c r="EB41" s="248"/>
      <c r="EC41" s="248"/>
      <c r="ED41" s="67" t="str">
        <f t="array" aca="1" ref="ED41" ca="1">IF(DZ41&lt;&gt;"",
IF(AND(INDIRECT("'盛付札（関数）'!FI"&amp;DX41)&gt;=124,INDIRECT("'盛付札（関数）'!FI"&amp;DX41)&lt;=144),"",
"様"),"")</f>
        <v/>
      </c>
      <c r="EE41" s="45"/>
      <c r="EF41" s="55">
        <f ca="1">IF(OR(EN34="●",EN34="△"),
EM33+2,EM33+1)</f>
        <v>119</v>
      </c>
      <c r="EG41" s="68" t="str">
        <f ca="1">IF(EH41&lt;&gt;"",
MID(貼り付け用!$A$2, FIND("年",貼り付け用!$A$2)+1,2)&amp;"/"&amp;MID(貼り付け用!$A$2, FIND("月",貼り付け用!$A$2)+1,2),"")</f>
        <v/>
      </c>
      <c r="EH41" s="267" t="str" cm="1">
        <f t="array" aca="1" ref="EH41" ca="1">SUBSTITUTE(SUBSTITUTE(SUBSTITUTE(SUBSTITUTE(SUBSTITUTE(SUBSTITUTE(SUBSTITUTE(SUBSTITUTE(SUBSTITUTE(SUBSTITUTE(SUBSTITUTE(
IF(EG42="△",
INDIRECT("'盛付札（関数）'!FJ"&amp;EF41+1),INDIRECT("'盛付札（関数）'!FJ"&amp;EF41)),"０",""),"①",""),"②",""),"③",""),"④",""),"⑤",""),"⑥",""),"⑦",""),"⑧",""),"⑨",""),"⑩","")</f>
        <v/>
      </c>
      <c r="EI41" s="248"/>
      <c r="EJ41" s="248"/>
      <c r="EK41" s="248"/>
      <c r="EL41" s="67" t="str">
        <f t="array" aca="1" ref="EL41" ca="1">IF(EH41&lt;&gt;"",
IF(AND(INDIRECT("'盛付札（関数）'!FI"&amp;EF41)&gt;=124,INDIRECT("'盛付札（関数）'!FI"&amp;EF41)&lt;=144),"",
"様"),"")</f>
        <v/>
      </c>
      <c r="EM41" s="61">
        <f ca="1">IF(OR(EG42="●",EG42="△"),
EF41+2,EF41+1)</f>
        <v>120</v>
      </c>
      <c r="EN41" s="68" t="str">
        <f ca="1">IF(EO41&lt;&gt;"",
MID(貼り付け用!$A$2, FIND("年",貼り付け用!$A$2)+1,2)&amp;"/"&amp;MID(貼り付け用!$A$2, FIND("月",貼り付け用!$A$2)+1,2),"")</f>
        <v/>
      </c>
      <c r="EO41" s="267" t="str" cm="1">
        <f t="array" aca="1" ref="EO41" ca="1">SUBSTITUTE(SUBSTITUTE(SUBSTITUTE(SUBSTITUTE(SUBSTITUTE(SUBSTITUTE(SUBSTITUTE(SUBSTITUTE(SUBSTITUTE(SUBSTITUTE(SUBSTITUTE(
IF(EN42="△",
INDIRECT("'盛付札（関数）'!FJ"&amp;EM41+1),INDIRECT("'盛付札（関数）'!FJ"&amp;EM41)),"０",""),"①",""),"②",""),"③",""),"④",""),"⑤",""),"⑥",""),"⑦",""),"⑧",""),"⑨",""),"⑩","")</f>
        <v/>
      </c>
      <c r="EP41" s="248"/>
      <c r="EQ41" s="248"/>
      <c r="ER41" s="248"/>
      <c r="ES41" s="67" t="str">
        <f t="array" aca="1" ref="ES41" ca="1">IF(EO41&lt;&gt;"",
IF(AND(INDIRECT("'盛付札（関数）'!FI"&amp;EM41)&gt;=124,INDIRECT("'盛付札（関数）'!FI"&amp;EM41)&lt;=144),"",
"様"),"")</f>
        <v/>
      </c>
      <c r="ET41" s="45"/>
    </row>
    <row r="42" spans="1:150" s="56" customFormat="1" x14ac:dyDescent="0.55000000000000004">
      <c r="A42" s="55"/>
      <c r="B42" s="57" t="str">
        <f ca="1">IF(COUNTIF(INDIRECT("'盛付札（関数）'!FJ"&amp;A41+1),"*雙葉*"),"●",
"〇")</f>
        <v>〇</v>
      </c>
      <c r="C42" s="72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66"/>
      <c r="E42" s="66"/>
      <c r="F42" s="73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4"/>
      <c r="H42" s="74"/>
      <c r="I42" s="57" t="str">
        <f ca="1">IF(COUNTIF(INDIRECT("'盛付札（関数）'!FJ"&amp;H41+1),"*雙葉*"),"●",
"〇")</f>
        <v>〇</v>
      </c>
      <c r="J42" s="72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66"/>
      <c r="L42" s="66"/>
      <c r="M42" s="73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4"/>
      <c r="O42" s="45"/>
      <c r="P42" s="55"/>
      <c r="Q42" s="57" t="str">
        <f ca="1">IF(COUNTIF(INDIRECT("'盛付札（関数）'!FJ"&amp;P41+1),"*雙葉*"),"●",
"〇")</f>
        <v>〇</v>
      </c>
      <c r="R42" s="72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66"/>
      <c r="T42" s="66"/>
      <c r="U42" s="73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4"/>
      <c r="W42" s="74"/>
      <c r="X42" s="57" t="str">
        <f ca="1">IF(COUNTIF(INDIRECT("'盛付札（関数）'!FJ"&amp;W41+1),"*雙葉*"),"●",
"〇")</f>
        <v>〇</v>
      </c>
      <c r="Y42" s="72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66"/>
      <c r="AA42" s="66"/>
      <c r="AB42" s="73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4"/>
      <c r="AD42" s="45"/>
      <c r="AE42" s="55"/>
      <c r="AF42" s="57" t="str">
        <f ca="1">IF(COUNTIF(INDIRECT("'盛付札（関数）'!FJ"&amp;AE41+1),"*雙葉*"),"●",
"〇")</f>
        <v>〇</v>
      </c>
      <c r="AG42" s="72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66"/>
      <c r="AI42" s="66"/>
      <c r="AJ42" s="73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4"/>
      <c r="AL42" s="74"/>
      <c r="AM42" s="57" t="str">
        <f ca="1">IF(COUNTIF(INDIRECT("'盛付札（関数）'!FJ"&amp;AL41+1),"*雙葉*"),"●",
"〇")</f>
        <v>〇</v>
      </c>
      <c r="AN42" s="72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66"/>
      <c r="AP42" s="66"/>
      <c r="AQ42" s="73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4"/>
      <c r="AS42" s="45"/>
      <c r="AT42" s="55"/>
      <c r="AU42" s="57" t="str">
        <f ca="1">IF(COUNTIF(INDIRECT("'盛付札（関数）'!FJ"&amp;AT41+1),"*雙葉*"),"●",
"〇")</f>
        <v>〇</v>
      </c>
      <c r="AV42" s="72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66"/>
      <c r="AX42" s="66"/>
      <c r="AY42" s="73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4"/>
      <c r="BA42" s="74"/>
      <c r="BB42" s="57" t="str">
        <f ca="1">IF(COUNTIF(INDIRECT("'盛付札（関数）'!FJ"&amp;BA41+1),"*雙葉*"),"●",
"〇")</f>
        <v>〇</v>
      </c>
      <c r="BC42" s="72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66"/>
      <c r="BE42" s="66"/>
      <c r="BF42" s="73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4"/>
      <c r="BH42" s="45"/>
      <c r="BI42" s="55"/>
      <c r="BJ42" s="57" t="str">
        <f ca="1">IF(COUNTIF(INDIRECT("'盛付札（関数）'!FJ"&amp;BI41+1),"*雙葉*"),"●",
"〇")</f>
        <v>〇</v>
      </c>
      <c r="BK42" s="72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66"/>
      <c r="BM42" s="66"/>
      <c r="BN42" s="73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4"/>
      <c r="BP42" s="74"/>
      <c r="BQ42" s="57" t="str">
        <f ca="1">IF(COUNTIF(INDIRECT("'盛付札（関数）'!FJ"&amp;BP41+1),"*雙葉*"),"●",
"〇")</f>
        <v>〇</v>
      </c>
      <c r="BR42" s="72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66"/>
      <c r="BT42" s="66"/>
      <c r="BU42" s="73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4"/>
      <c r="BW42" s="45"/>
      <c r="BX42" s="55"/>
      <c r="BY42" s="57" t="str">
        <f ca="1">IF(COUNTIF(INDIRECT("'盛付札（関数）'!FJ"&amp;BX41+1),"*雙葉*"),"●",
"〇")</f>
        <v>〇</v>
      </c>
      <c r="BZ42" s="72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66"/>
      <c r="CB42" s="66"/>
      <c r="CC42" s="73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4"/>
      <c r="CE42" s="74"/>
      <c r="CF42" s="57" t="str">
        <f ca="1">IF(COUNTIF(INDIRECT("'盛付札（関数）'!FJ"&amp;CE41+1),"*雙葉*"),"●",
"〇")</f>
        <v>〇</v>
      </c>
      <c r="CG42" s="72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66"/>
      <c r="CI42" s="66"/>
      <c r="CJ42" s="73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4"/>
      <c r="CL42" s="45"/>
      <c r="CM42" s="55"/>
      <c r="CN42" s="57" t="str">
        <f ca="1">IF(COUNTIF(INDIRECT("'盛付札（関数）'!FJ"&amp;CM41+1),"*雙葉*"),"●",
"〇")</f>
        <v>〇</v>
      </c>
      <c r="CO42" s="72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66"/>
      <c r="CQ42" s="66"/>
      <c r="CR42" s="73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4"/>
      <c r="CT42" s="74"/>
      <c r="CU42" s="57" t="str">
        <f ca="1">IF(COUNTIF(INDIRECT("'盛付札（関数）'!FJ"&amp;CT41+1),"*雙葉*"),"●",
"〇")</f>
        <v>〇</v>
      </c>
      <c r="CV42" s="72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66"/>
      <c r="CX42" s="66"/>
      <c r="CY42" s="73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4"/>
      <c r="DA42" s="45"/>
      <c r="DB42" s="55"/>
      <c r="DC42" s="57" t="str">
        <f ca="1">IF(COUNTIF(INDIRECT("'盛付札（関数）'!FJ"&amp;DB41+1),"*雙葉*"),"●",
"〇")</f>
        <v>〇</v>
      </c>
      <c r="DD42" s="72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66"/>
      <c r="DF42" s="66"/>
      <c r="DG42" s="73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64"/>
      <c r="DI42" s="74"/>
      <c r="DJ42" s="57" t="str">
        <f ca="1">IF(COUNTIF(INDIRECT("'盛付札（関数）'!FJ"&amp;DI41+1),"*雙葉*"),"●",
"〇")</f>
        <v>〇</v>
      </c>
      <c r="DK42" s="72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66"/>
      <c r="DM42" s="66"/>
      <c r="DN42" s="73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64"/>
      <c r="DP42" s="45"/>
      <c r="DQ42" s="55"/>
      <c r="DR42" s="57" t="str">
        <f ca="1">IF(COUNTIF(INDIRECT("'盛付札（関数）'!FJ"&amp;DQ41+1),"*雙葉*"),"●",
"〇")</f>
        <v>〇</v>
      </c>
      <c r="DS42" s="72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66"/>
      <c r="DU42" s="66"/>
      <c r="DV42" s="73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64"/>
      <c r="DX42" s="74"/>
      <c r="DY42" s="57" t="str">
        <f ca="1">IF(COUNTIF(INDIRECT("'盛付札（関数）'!FJ"&amp;DX41+1),"*雙葉*"),"●",
"〇")</f>
        <v>〇</v>
      </c>
      <c r="DZ42" s="72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66"/>
      <c r="EB42" s="66"/>
      <c r="EC42" s="73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64"/>
      <c r="EE42" s="45"/>
      <c r="EF42" s="55"/>
      <c r="EG42" s="57" t="str">
        <f ca="1">IF(COUNTIF(INDIRECT("'盛付札（関数）'!FJ"&amp;EF41+1),"*雙葉*"),"●",
"〇")</f>
        <v>〇</v>
      </c>
      <c r="EH42" s="72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66"/>
      <c r="EJ42" s="66"/>
      <c r="EK42" s="73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64"/>
      <c r="EM42" s="74"/>
      <c r="EN42" s="57" t="str">
        <f ca="1">IF(COUNTIF(INDIRECT("'盛付札（関数）'!FJ"&amp;EM41+1),"*雙葉*"),"●",
"〇")</f>
        <v>〇</v>
      </c>
      <c r="EO42" s="72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66"/>
      <c r="EQ42" s="66"/>
      <c r="ER42" s="73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64"/>
      <c r="ET42" s="45"/>
    </row>
    <row r="43" spans="1:150" s="56" customFormat="1" x14ac:dyDescent="0.55000000000000004">
      <c r="A43" s="55"/>
      <c r="B43" s="59"/>
      <c r="C43" s="265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66"/>
      <c r="E43" s="45"/>
      <c r="F43" s="56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5"/>
      <c r="H43" s="61"/>
      <c r="I43" s="59"/>
      <c r="J43" s="265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66"/>
      <c r="L43" s="45"/>
      <c r="M43" s="56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5"/>
      <c r="O43" s="45"/>
      <c r="P43" s="55"/>
      <c r="Q43" s="59"/>
      <c r="R43" s="265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66"/>
      <c r="T43" s="45"/>
      <c r="U43" s="56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5"/>
      <c r="W43" s="61"/>
      <c r="X43" s="59"/>
      <c r="Y43" s="265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66"/>
      <c r="AA43" s="45"/>
      <c r="AB43" s="56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5"/>
      <c r="AD43" s="45"/>
      <c r="AE43" s="55"/>
      <c r="AF43" s="59"/>
      <c r="AG43" s="265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66"/>
      <c r="AI43" s="45"/>
      <c r="AJ43" s="56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5"/>
      <c r="AL43" s="61"/>
      <c r="AM43" s="59"/>
      <c r="AN43" s="265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66"/>
      <c r="AP43" s="45"/>
      <c r="AQ43" s="56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5"/>
      <c r="AS43" s="45"/>
      <c r="AT43" s="55"/>
      <c r="AU43" s="59"/>
      <c r="AV43" s="265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66"/>
      <c r="AX43" s="45"/>
      <c r="AY43" s="56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5"/>
      <c r="BA43" s="61"/>
      <c r="BB43" s="59"/>
      <c r="BC43" s="265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66"/>
      <c r="BE43" s="45"/>
      <c r="BF43" s="56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5"/>
      <c r="BH43" s="45"/>
      <c r="BI43" s="55"/>
      <c r="BJ43" s="59"/>
      <c r="BK43" s="265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66"/>
      <c r="BM43" s="45"/>
      <c r="BN43" s="56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5"/>
      <c r="BP43" s="61"/>
      <c r="BQ43" s="59"/>
      <c r="BR43" s="265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66"/>
      <c r="BT43" s="45"/>
      <c r="BU43" s="56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5"/>
      <c r="BW43" s="45"/>
      <c r="BX43" s="55"/>
      <c r="BY43" s="59"/>
      <c r="BZ43" s="265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66"/>
      <c r="CB43" s="45"/>
      <c r="CC43" s="56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5"/>
      <c r="CE43" s="61"/>
      <c r="CF43" s="59"/>
      <c r="CG43" s="265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66"/>
      <c r="CI43" s="45"/>
      <c r="CJ43" s="56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5"/>
      <c r="CL43" s="45"/>
      <c r="CM43" s="55"/>
      <c r="CN43" s="59"/>
      <c r="CO43" s="265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66"/>
      <c r="CQ43" s="45"/>
      <c r="CR43" s="56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5"/>
      <c r="CT43" s="61"/>
      <c r="CU43" s="59"/>
      <c r="CV43" s="265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66"/>
      <c r="CX43" s="45"/>
      <c r="CY43" s="56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5"/>
      <c r="DA43" s="45"/>
      <c r="DB43" s="55"/>
      <c r="DC43" s="59"/>
      <c r="DD43" s="265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66"/>
      <c r="DF43" s="45"/>
      <c r="DG43" s="56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65"/>
      <c r="DI43" s="61"/>
      <c r="DJ43" s="59"/>
      <c r="DK43" s="265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66"/>
      <c r="DM43" s="45"/>
      <c r="DN43" s="56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65"/>
      <c r="DP43" s="45"/>
      <c r="DQ43" s="55"/>
      <c r="DR43" s="59"/>
      <c r="DS43" s="265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66"/>
      <c r="DU43" s="45"/>
      <c r="DV43" s="56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65"/>
      <c r="DX43" s="61"/>
      <c r="DY43" s="59"/>
      <c r="DZ43" s="265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66"/>
      <c r="EB43" s="45"/>
      <c r="EC43" s="56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65"/>
      <c r="EE43" s="45"/>
      <c r="EF43" s="55"/>
      <c r="EG43" s="59"/>
      <c r="EH43" s="265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66"/>
      <c r="EJ43" s="45"/>
      <c r="EK43" s="56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65"/>
      <c r="EM43" s="61"/>
      <c r="EN43" s="59"/>
      <c r="EO43" s="265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66"/>
      <c r="EQ43" s="45"/>
      <c r="ER43" s="56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65"/>
      <c r="ET43" s="45"/>
    </row>
    <row r="44" spans="1:150" ht="15.6" customHeight="1" x14ac:dyDescent="1.05">
      <c r="B44" s="49"/>
      <c r="C44" s="252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64"/>
      <c r="E44" s="75"/>
      <c r="F44" s="262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63"/>
      <c r="H44" s="50"/>
      <c r="I44" s="49"/>
      <c r="J44" s="252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64"/>
      <c r="L44" s="75"/>
      <c r="M44" s="262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63"/>
      <c r="Q44" s="49"/>
      <c r="R44" s="252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64"/>
      <c r="T44" s="75"/>
      <c r="U44" s="262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63"/>
      <c r="W44" s="50"/>
      <c r="X44" s="49"/>
      <c r="Y44" s="252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64"/>
      <c r="AA44" s="75"/>
      <c r="AB44" s="262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63"/>
      <c r="AF44" s="49"/>
      <c r="AG44" s="252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64"/>
      <c r="AI44" s="75"/>
      <c r="AJ44" s="262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63"/>
      <c r="AL44" s="50"/>
      <c r="AM44" s="49"/>
      <c r="AN44" s="252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64"/>
      <c r="AP44" s="75"/>
      <c r="AQ44" s="262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63"/>
      <c r="AU44" s="49"/>
      <c r="AV44" s="252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64"/>
      <c r="AX44" s="75"/>
      <c r="AY44" s="262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63"/>
      <c r="BA44" s="50"/>
      <c r="BB44" s="49"/>
      <c r="BC44" s="252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64"/>
      <c r="BE44" s="75"/>
      <c r="BF44" s="262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63"/>
      <c r="BJ44" s="49"/>
      <c r="BK44" s="252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64"/>
      <c r="BM44" s="75"/>
      <c r="BN44" s="262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63"/>
      <c r="BP44" s="50"/>
      <c r="BQ44" s="49"/>
      <c r="BR44" s="252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64"/>
      <c r="BT44" s="75"/>
      <c r="BU44" s="262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63"/>
      <c r="BY44" s="49"/>
      <c r="BZ44" s="252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64"/>
      <c r="CB44" s="75"/>
      <c r="CC44" s="262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63"/>
      <c r="CE44" s="50"/>
      <c r="CF44" s="49"/>
      <c r="CG44" s="252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64"/>
      <c r="CI44" s="75"/>
      <c r="CJ44" s="262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63"/>
      <c r="CN44" s="49"/>
      <c r="CO44" s="252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64"/>
      <c r="CQ44" s="75"/>
      <c r="CR44" s="262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63"/>
      <c r="CT44" s="50"/>
      <c r="CU44" s="49"/>
      <c r="CV44" s="252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64"/>
      <c r="CX44" s="75"/>
      <c r="CY44" s="262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63"/>
      <c r="DC44" s="49"/>
      <c r="DD44" s="252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64"/>
      <c r="DF44" s="75"/>
      <c r="DG44" s="262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63"/>
      <c r="DI44" s="50"/>
      <c r="DJ44" s="49"/>
      <c r="DK44" s="252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64"/>
      <c r="DM44" s="75"/>
      <c r="DN44" s="262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63"/>
      <c r="DR44" s="49"/>
      <c r="DS44" s="252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64"/>
      <c r="DU44" s="75"/>
      <c r="DV44" s="262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63"/>
      <c r="DX44" s="50"/>
      <c r="DY44" s="49"/>
      <c r="DZ44" s="252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64"/>
      <c r="EB44" s="75"/>
      <c r="EC44" s="262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63"/>
      <c r="EG44" s="49"/>
      <c r="EH44" s="252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64"/>
      <c r="EJ44" s="75"/>
      <c r="EK44" s="262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63"/>
      <c r="EM44" s="50"/>
      <c r="EN44" s="49"/>
      <c r="EO44" s="252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64"/>
      <c r="EQ44" s="75"/>
      <c r="ER44" s="262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63"/>
    </row>
    <row r="45" spans="1:150" ht="15.6" customHeight="1" x14ac:dyDescent="0.45">
      <c r="B45" s="51"/>
      <c r="C45" s="254"/>
      <c r="D45" s="254"/>
      <c r="E45" s="69"/>
      <c r="F45" s="254"/>
      <c r="G45" s="245"/>
      <c r="H45" s="50"/>
      <c r="I45" s="51"/>
      <c r="J45" s="254"/>
      <c r="K45" s="254"/>
      <c r="L45" s="69"/>
      <c r="M45" s="254"/>
      <c r="N45" s="245"/>
      <c r="Q45" s="51"/>
      <c r="R45" s="254"/>
      <c r="S45" s="254"/>
      <c r="T45" s="69"/>
      <c r="U45" s="254"/>
      <c r="V45" s="245"/>
      <c r="W45" s="50"/>
      <c r="X45" s="51"/>
      <c r="Y45" s="254"/>
      <c r="Z45" s="254"/>
      <c r="AA45" s="69"/>
      <c r="AB45" s="254"/>
      <c r="AC45" s="245"/>
      <c r="AF45" s="51"/>
      <c r="AG45" s="254"/>
      <c r="AH45" s="254"/>
      <c r="AI45" s="69"/>
      <c r="AJ45" s="254"/>
      <c r="AK45" s="245"/>
      <c r="AL45" s="50"/>
      <c r="AM45" s="51"/>
      <c r="AN45" s="254"/>
      <c r="AO45" s="254"/>
      <c r="AP45" s="69"/>
      <c r="AQ45" s="254"/>
      <c r="AR45" s="245"/>
      <c r="AU45" s="51"/>
      <c r="AV45" s="254"/>
      <c r="AW45" s="254"/>
      <c r="AX45" s="69"/>
      <c r="AY45" s="254"/>
      <c r="AZ45" s="245"/>
      <c r="BA45" s="50"/>
      <c r="BB45" s="51"/>
      <c r="BC45" s="254"/>
      <c r="BD45" s="254"/>
      <c r="BE45" s="69"/>
      <c r="BF45" s="254"/>
      <c r="BG45" s="245"/>
      <c r="BJ45" s="51"/>
      <c r="BK45" s="254"/>
      <c r="BL45" s="254"/>
      <c r="BM45" s="69"/>
      <c r="BN45" s="254"/>
      <c r="BO45" s="245"/>
      <c r="BP45" s="50"/>
      <c r="BQ45" s="51"/>
      <c r="BR45" s="254"/>
      <c r="BS45" s="254"/>
      <c r="BT45" s="69"/>
      <c r="BU45" s="254"/>
      <c r="BV45" s="245"/>
      <c r="BY45" s="51"/>
      <c r="BZ45" s="254"/>
      <c r="CA45" s="254"/>
      <c r="CB45" s="69"/>
      <c r="CC45" s="254"/>
      <c r="CD45" s="245"/>
      <c r="CE45" s="50"/>
      <c r="CF45" s="51"/>
      <c r="CG45" s="254"/>
      <c r="CH45" s="254"/>
      <c r="CI45" s="69"/>
      <c r="CJ45" s="254"/>
      <c r="CK45" s="245"/>
      <c r="CN45" s="51"/>
      <c r="CO45" s="254"/>
      <c r="CP45" s="254"/>
      <c r="CQ45" s="69"/>
      <c r="CR45" s="254"/>
      <c r="CS45" s="245"/>
      <c r="CT45" s="50"/>
      <c r="CU45" s="51"/>
      <c r="CV45" s="254"/>
      <c r="CW45" s="254"/>
      <c r="CX45" s="69"/>
      <c r="CY45" s="254"/>
      <c r="CZ45" s="245"/>
      <c r="DC45" s="51"/>
      <c r="DD45" s="254"/>
      <c r="DE45" s="254"/>
      <c r="DF45" s="69"/>
      <c r="DG45" s="254"/>
      <c r="DH45" s="245"/>
      <c r="DI45" s="50"/>
      <c r="DJ45" s="51"/>
      <c r="DK45" s="254"/>
      <c r="DL45" s="254"/>
      <c r="DM45" s="69"/>
      <c r="DN45" s="254"/>
      <c r="DO45" s="245"/>
      <c r="DR45" s="51"/>
      <c r="DS45" s="254"/>
      <c r="DT45" s="254"/>
      <c r="DU45" s="69"/>
      <c r="DV45" s="254"/>
      <c r="DW45" s="245"/>
      <c r="DX45" s="50"/>
      <c r="DY45" s="51"/>
      <c r="DZ45" s="254"/>
      <c r="EA45" s="254"/>
      <c r="EB45" s="69"/>
      <c r="EC45" s="254"/>
      <c r="ED45" s="245"/>
      <c r="EG45" s="51"/>
      <c r="EH45" s="254"/>
      <c r="EI45" s="254"/>
      <c r="EJ45" s="69"/>
      <c r="EK45" s="254"/>
      <c r="EL45" s="245"/>
      <c r="EM45" s="50"/>
      <c r="EN45" s="51"/>
      <c r="EO45" s="254"/>
      <c r="EP45" s="254"/>
      <c r="EQ45" s="69"/>
      <c r="ER45" s="254"/>
      <c r="ES45" s="245"/>
    </row>
    <row r="46" spans="1:150" s="56" customFormat="1" x14ac:dyDescent="0.55000000000000004">
      <c r="A46" s="55"/>
      <c r="B46" s="62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0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2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0"/>
      <c r="F46" s="62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5"/>
      <c r="H46" s="45"/>
      <c r="I46" s="62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0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2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0"/>
      <c r="M46" s="62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5"/>
      <c r="O46" s="45"/>
      <c r="P46" s="55"/>
      <c r="Q46" s="62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0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2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0"/>
      <c r="U46" s="62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5"/>
      <c r="W46" s="45"/>
      <c r="X46" s="62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0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2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0"/>
      <c r="AB46" s="62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5"/>
      <c r="AD46" s="45"/>
      <c r="AE46" s="55"/>
      <c r="AF46" s="62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0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2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0"/>
      <c r="AJ46" s="62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5"/>
      <c r="AL46" s="45"/>
      <c r="AM46" s="62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0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2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0"/>
      <c r="AQ46" s="62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5"/>
      <c r="AS46" s="45"/>
      <c r="AT46" s="55"/>
      <c r="AU46" s="62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0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2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0"/>
      <c r="AY46" s="62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5"/>
      <c r="BA46" s="45"/>
      <c r="BB46" s="62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0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2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0"/>
      <c r="BF46" s="62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5"/>
      <c r="BH46" s="45"/>
      <c r="BI46" s="55"/>
      <c r="BJ46" s="62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0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2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0"/>
      <c r="BN46" s="62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5"/>
      <c r="BP46" s="45"/>
      <c r="BQ46" s="62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0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2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0"/>
      <c r="BU46" s="62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5"/>
      <c r="BW46" s="45"/>
      <c r="BX46" s="55"/>
      <c r="BY46" s="62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0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2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0"/>
      <c r="CC46" s="62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5"/>
      <c r="CE46" s="45"/>
      <c r="CF46" s="62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0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2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0"/>
      <c r="CJ46" s="62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5"/>
      <c r="CL46" s="45"/>
      <c r="CM46" s="55"/>
      <c r="CN46" s="62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0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2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0"/>
      <c r="CR46" s="62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5"/>
      <c r="CT46" s="45"/>
      <c r="CU46" s="62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0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2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0"/>
      <c r="CY46" s="62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5"/>
      <c r="DA46" s="45"/>
      <c r="DB46" s="55"/>
      <c r="DC46" s="62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0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2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0"/>
      <c r="DG46" s="62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65"/>
      <c r="DI46" s="45"/>
      <c r="DJ46" s="62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0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2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0"/>
      <c r="DN46" s="62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65"/>
      <c r="DP46" s="45"/>
      <c r="DQ46" s="55"/>
      <c r="DR46" s="62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0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2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0"/>
      <c r="DV46" s="62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65"/>
      <c r="DX46" s="45"/>
      <c r="DY46" s="62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0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2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0"/>
      <c r="EC46" s="62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65"/>
      <c r="EE46" s="45"/>
      <c r="EF46" s="55"/>
      <c r="EG46" s="62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0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2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0"/>
      <c r="EK46" s="62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65"/>
      <c r="EM46" s="45"/>
      <c r="EN46" s="62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0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2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0"/>
      <c r="ER46" s="62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65"/>
      <c r="ET46" s="45"/>
    </row>
    <row r="47" spans="1:150" ht="27.6" customHeight="1" x14ac:dyDescent="0.45">
      <c r="B47" s="244" t="str">
        <f ca="1">IF(C44&lt;&gt;"",
IFERROR(INT(C44/C46),""),"")</f>
        <v/>
      </c>
      <c r="C47" s="245"/>
      <c r="D47" s="244" t="str">
        <f ca="1">IFERROR(MOD(C44,C46),"")</f>
        <v/>
      </c>
      <c r="E47" s="245"/>
      <c r="F47" s="246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45"/>
      <c r="I47" s="244" t="str">
        <f ca="1">IF(J44&lt;&gt;"",
IFERROR(INT(J44/J46),""),"")</f>
        <v/>
      </c>
      <c r="J47" s="245"/>
      <c r="K47" s="244" t="str">
        <f ca="1">IFERROR(MOD(J44,J46),"")</f>
        <v/>
      </c>
      <c r="L47" s="245"/>
      <c r="M47" s="246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45"/>
      <c r="Q47" s="244" t="str">
        <f ca="1">IF(R44&lt;&gt;"",
IFERROR(INT(R44/R46),""),"")</f>
        <v/>
      </c>
      <c r="R47" s="245"/>
      <c r="S47" s="244" t="str">
        <f ca="1">IFERROR(MOD(R44,R46),"")</f>
        <v/>
      </c>
      <c r="T47" s="245"/>
      <c r="U47" s="246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45"/>
      <c r="X47" s="244" t="str">
        <f ca="1">IF(Y44&lt;&gt;"",
IFERROR(INT(Y44/Y46),""),"")</f>
        <v/>
      </c>
      <c r="Y47" s="245"/>
      <c r="Z47" s="244" t="str">
        <f ca="1">IFERROR(MOD(Y44,Y46),"")</f>
        <v/>
      </c>
      <c r="AA47" s="245"/>
      <c r="AB47" s="246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45"/>
      <c r="AF47" s="244" t="str">
        <f ca="1">IF(AG44&lt;&gt;"",
IFERROR(INT(AG44/AG46),""),"")</f>
        <v/>
      </c>
      <c r="AG47" s="245"/>
      <c r="AH47" s="244" t="str">
        <f ca="1">IFERROR(MOD(AG44,AG46),"")</f>
        <v/>
      </c>
      <c r="AI47" s="245"/>
      <c r="AJ47" s="246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45"/>
      <c r="AM47" s="244" t="str">
        <f ca="1">IF(AN44&lt;&gt;"",
IFERROR(INT(AN44/AN46),""),"")</f>
        <v/>
      </c>
      <c r="AN47" s="245"/>
      <c r="AO47" s="244" t="str">
        <f ca="1">IFERROR(MOD(AN44,AN46),"")</f>
        <v/>
      </c>
      <c r="AP47" s="245"/>
      <c r="AQ47" s="246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45"/>
      <c r="AU47" s="244" t="str">
        <f ca="1">IF(AV44&lt;&gt;"",
IFERROR(INT(AV44/AV46),""),"")</f>
        <v/>
      </c>
      <c r="AV47" s="245"/>
      <c r="AW47" s="244" t="str">
        <f ca="1">IFERROR(MOD(AV44,AV46),"")</f>
        <v/>
      </c>
      <c r="AX47" s="245"/>
      <c r="AY47" s="246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45"/>
      <c r="BB47" s="244" t="str">
        <f ca="1">IF(BC44&lt;&gt;"",
IFERROR(INT(BC44/BC46),""),"")</f>
        <v/>
      </c>
      <c r="BC47" s="245"/>
      <c r="BD47" s="244" t="str">
        <f ca="1">IFERROR(MOD(BC44,BC46),"")</f>
        <v/>
      </c>
      <c r="BE47" s="245"/>
      <c r="BF47" s="246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45"/>
      <c r="BJ47" s="244" t="str">
        <f ca="1">IF(BK44&lt;&gt;"",
IFERROR(INT(BK44/BK46),""),"")</f>
        <v/>
      </c>
      <c r="BK47" s="245"/>
      <c r="BL47" s="244" t="str">
        <f ca="1">IFERROR(MOD(BK44,BK46),"")</f>
        <v/>
      </c>
      <c r="BM47" s="245"/>
      <c r="BN47" s="246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45"/>
      <c r="BQ47" s="244" t="str">
        <f ca="1">IF(BR44&lt;&gt;"",
IFERROR(INT(BR44/BR46),""),"")</f>
        <v/>
      </c>
      <c r="BR47" s="245"/>
      <c r="BS47" s="244" t="str">
        <f ca="1">IFERROR(MOD(BR44,BR46),"")</f>
        <v/>
      </c>
      <c r="BT47" s="245"/>
      <c r="BU47" s="246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45"/>
      <c r="BY47" s="244" t="str">
        <f ca="1">IF(BZ44&lt;&gt;"",
IFERROR(INT(BZ44/BZ46),""),"")</f>
        <v/>
      </c>
      <c r="BZ47" s="245"/>
      <c r="CA47" s="244" t="str">
        <f ca="1">IFERROR(MOD(BZ44,BZ46),"")</f>
        <v/>
      </c>
      <c r="CB47" s="245"/>
      <c r="CC47" s="246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45"/>
      <c r="CF47" s="244" t="str">
        <f ca="1">IF(CG44&lt;&gt;"",
IFERROR(INT(CG44/CG46),""),"")</f>
        <v/>
      </c>
      <c r="CG47" s="245"/>
      <c r="CH47" s="244" t="str">
        <f ca="1">IFERROR(MOD(CG44,CG46),"")</f>
        <v/>
      </c>
      <c r="CI47" s="245"/>
      <c r="CJ47" s="246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45"/>
      <c r="CN47" s="244" t="str">
        <f ca="1">IF(CO44&lt;&gt;"",
IFERROR(INT(CO44/CO46),""),"")</f>
        <v/>
      </c>
      <c r="CO47" s="245"/>
      <c r="CP47" s="244" t="str">
        <f ca="1">IFERROR(MOD(CO44,CO46),"")</f>
        <v/>
      </c>
      <c r="CQ47" s="245"/>
      <c r="CR47" s="246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45"/>
      <c r="CU47" s="244" t="str">
        <f ca="1">IF(CV44&lt;&gt;"",
IFERROR(INT(CV44/CV46),""),"")</f>
        <v/>
      </c>
      <c r="CV47" s="245"/>
      <c r="CW47" s="244" t="str">
        <f ca="1">IFERROR(MOD(CV44,CV46),"")</f>
        <v/>
      </c>
      <c r="CX47" s="245"/>
      <c r="CY47" s="246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45"/>
      <c r="DC47" s="244" t="str">
        <f ca="1">IF(DD44&lt;&gt;"",
IFERROR(INT(DD44/DD46),""),"")</f>
        <v/>
      </c>
      <c r="DD47" s="245"/>
      <c r="DE47" s="244" t="str">
        <f ca="1">IFERROR(MOD(DD44,DD46),"")</f>
        <v/>
      </c>
      <c r="DF47" s="245"/>
      <c r="DG47" s="246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45"/>
      <c r="DJ47" s="244" t="str">
        <f ca="1">IF(DK44&lt;&gt;"",
IFERROR(INT(DK44/DK46),""),"")</f>
        <v/>
      </c>
      <c r="DK47" s="245"/>
      <c r="DL47" s="244" t="str">
        <f ca="1">IFERROR(MOD(DK44,DK46),"")</f>
        <v/>
      </c>
      <c r="DM47" s="245"/>
      <c r="DN47" s="246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45"/>
      <c r="DR47" s="244" t="str">
        <f ca="1">IF(DS44&lt;&gt;"",
IFERROR(INT(DS44/DS46),""),"")</f>
        <v/>
      </c>
      <c r="DS47" s="245"/>
      <c r="DT47" s="244" t="str">
        <f ca="1">IFERROR(MOD(DS44,DS46),"")</f>
        <v/>
      </c>
      <c r="DU47" s="245"/>
      <c r="DV47" s="246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45"/>
      <c r="DY47" s="244" t="str">
        <f ca="1">IF(DZ44&lt;&gt;"",
IFERROR(INT(DZ44/DZ46),""),"")</f>
        <v/>
      </c>
      <c r="DZ47" s="245"/>
      <c r="EA47" s="244" t="str">
        <f ca="1">IFERROR(MOD(DZ44,DZ46),"")</f>
        <v/>
      </c>
      <c r="EB47" s="245"/>
      <c r="EC47" s="246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45"/>
      <c r="EG47" s="244" t="str">
        <f ca="1">IF(EH44&lt;&gt;"",
IFERROR(INT(EH44/EH46),""),"")</f>
        <v/>
      </c>
      <c r="EH47" s="245"/>
      <c r="EI47" s="244" t="str">
        <f ca="1">IFERROR(MOD(EH44,EH46),"")</f>
        <v/>
      </c>
      <c r="EJ47" s="245"/>
      <c r="EK47" s="246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45"/>
      <c r="EN47" s="244" t="str">
        <f ca="1">IF(EO44&lt;&gt;"",
IFERROR(INT(EO44/EO46),""),"")</f>
        <v/>
      </c>
      <c r="EO47" s="245"/>
      <c r="EP47" s="244" t="str">
        <f ca="1">IFERROR(MOD(EO44,EO46),"")</f>
        <v/>
      </c>
      <c r="EQ47" s="245"/>
      <c r="ER47" s="246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45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C35:D35"/>
    <mergeCell ref="F31:G31"/>
    <mergeCell ref="BZ36:CA37"/>
    <mergeCell ref="AN25:AQ25"/>
    <mergeCell ref="I7:J7"/>
    <mergeCell ref="J9:M9"/>
    <mergeCell ref="B7:C7"/>
    <mergeCell ref="CO19:CP19"/>
    <mergeCell ref="CJ23:CK23"/>
    <mergeCell ref="AJ7:AK7"/>
    <mergeCell ref="CO33:CR33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DS33:DV33"/>
    <mergeCell ref="F36:G37"/>
    <mergeCell ref="R41:U41"/>
    <mergeCell ref="U15:V15"/>
    <mergeCell ref="J19:K19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DK33:DN33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R9:U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DK44:DL45"/>
    <mergeCell ref="BY47:BZ47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AV11:AW11"/>
    <mergeCell ref="AB44:AC45"/>
    <mergeCell ref="BC9:BF9"/>
    <mergeCell ref="AJ39:AK39"/>
    <mergeCell ref="CR36:CS37"/>
    <mergeCell ref="BZ44:CA45"/>
    <mergeCell ref="AJ4:AK5"/>
    <mergeCell ref="DK12:DL1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AN11:AO11"/>
    <mergeCell ref="S47:T47"/>
    <mergeCell ref="BC12:BD13"/>
    <mergeCell ref="J33:M33"/>
    <mergeCell ref="EN39:EO39"/>
    <mergeCell ref="Q23:R23"/>
    <mergeCell ref="DZ27:EA27"/>
    <mergeCell ref="AN28:AO29"/>
    <mergeCell ref="AM23:AN23"/>
    <mergeCell ref="AB15:AC15"/>
    <mergeCell ref="EC31:ED31"/>
    <mergeCell ref="Z7:AA7"/>
    <mergeCell ref="I47:J47"/>
    <mergeCell ref="EH43:EI43"/>
    <mergeCell ref="EH27:EI27"/>
    <mergeCell ref="DC23:DD23"/>
    <mergeCell ref="DD43:DE43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CN15:CO15"/>
    <mergeCell ref="AV28:AW29"/>
    <mergeCell ref="F15:G15"/>
    <mergeCell ref="CO35:CP35"/>
    <mergeCell ref="BU39:BV39"/>
    <mergeCell ref="AU31:AV31"/>
    <mergeCell ref="AB28:AC29"/>
    <mergeCell ref="F28:G29"/>
    <mergeCell ref="CF31:CG31"/>
    <mergeCell ref="AJ36:AK37"/>
    <mergeCell ref="BB15:BC15"/>
    <mergeCell ref="CG41:CJ41"/>
    <mergeCell ref="Y19:Z19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Z39:AA39"/>
    <mergeCell ref="BQ47:BR47"/>
    <mergeCell ref="AB39:AC39"/>
    <mergeCell ref="DN20:DO2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G39:EH39"/>
    <mergeCell ref="CV20:CW21"/>
    <mergeCell ref="BZ4:CA5"/>
    <mergeCell ref="AY20:AZ21"/>
    <mergeCell ref="CG35:CH35"/>
    <mergeCell ref="CJ36:CK37"/>
    <mergeCell ref="DZ25:EC2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CJ31:CK31"/>
    <mergeCell ref="BJ23:BK23"/>
    <mergeCell ref="BR44:BS45"/>
    <mergeCell ref="DN36:DO37"/>
    <mergeCell ref="CV44:CW45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7:E7"/>
    <mergeCell ref="CA7:CB7"/>
    <mergeCell ref="X15:Y15"/>
    <mergeCell ref="BF23:BG23"/>
    <mergeCell ref="DN31:DO31"/>
    <mergeCell ref="AH31:AI31"/>
    <mergeCell ref="DL23:DM2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AG11:AH11"/>
    <mergeCell ref="Y11:Z11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AN17:AQ17"/>
    <mergeCell ref="AO23:AP23"/>
    <mergeCell ref="DK17:DN17"/>
    <mergeCell ref="BZ20:CA21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AV27:AW27"/>
    <mergeCell ref="AV41:AY41"/>
    <mergeCell ref="DZ19:EA19"/>
    <mergeCell ref="CU39:CV39"/>
    <mergeCell ref="DV39:DW39"/>
    <mergeCell ref="EH20:EI21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G39:DH39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AQ36:AR37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ER4:ES5"/>
    <mergeCell ref="EN15:EO15"/>
    <mergeCell ref="EO20:EP21"/>
    <mergeCell ref="EH19:EI19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N44:DO45"/>
    <mergeCell ref="D15:E15"/>
    <mergeCell ref="DD35:DE35"/>
    <mergeCell ref="AF15:AG15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U23:BV23"/>
    <mergeCell ref="AQ7:AR7"/>
    <mergeCell ref="BQ39:BR39"/>
    <mergeCell ref="AQ31:AR31"/>
    <mergeCell ref="AN20:AO2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BK4:BL5"/>
    <mergeCell ref="CC31:CD31"/>
    <mergeCell ref="CU15:CV15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CC23:CD23"/>
    <mergeCell ref="BU36:BV37"/>
    <mergeCell ref="EH11:EI11"/>
    <mergeCell ref="EK31:EL31"/>
    <mergeCell ref="DZ35:EA3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339"/>
  <sheetViews>
    <sheetView topLeftCell="A300" zoomScale="70" zoomScaleNormal="70" workbookViewId="0">
      <selection activeCell="D310" sqref="D310"/>
    </sheetView>
  </sheetViews>
  <sheetFormatPr defaultRowHeight="18" x14ac:dyDescent="0.45"/>
  <cols>
    <col min="1" max="2" width="5.59765625" customWidth="1"/>
    <col min="3" max="4" width="29.59765625" bestFit="1" customWidth="1"/>
    <col min="5" max="11" width="5.59765625" customWidth="1"/>
    <col min="12" max="12" width="19.19921875" bestFit="1" customWidth="1"/>
    <col min="13" max="13" width="5.59765625" customWidth="1"/>
    <col min="14" max="14" width="10.59765625" customWidth="1"/>
    <col min="15" max="15" width="5.59765625" customWidth="1"/>
    <col min="16" max="16" width="10.59765625" customWidth="1"/>
    <col min="17" max="17" width="5.59765625" customWidth="1"/>
    <col min="18" max="18" width="10.59765625" customWidth="1"/>
    <col min="19" max="19" width="5.59765625" customWidth="1"/>
    <col min="20" max="20" width="10.59765625" customWidth="1"/>
    <col min="21" max="21" width="5.59765625" customWidth="1"/>
  </cols>
  <sheetData>
    <row r="1" spans="1:21" s="23" customFormat="1" ht="311.25" customHeight="1" x14ac:dyDescent="0.45">
      <c r="A1" s="20" t="s">
        <v>39</v>
      </c>
      <c r="B1" s="20" t="s">
        <v>40</v>
      </c>
      <c r="C1" s="20" t="s">
        <v>41</v>
      </c>
      <c r="D1" s="20" t="s">
        <v>42</v>
      </c>
      <c r="E1" s="20" t="s">
        <v>43</v>
      </c>
      <c r="F1" s="20" t="s">
        <v>44</v>
      </c>
      <c r="G1" s="20" t="s">
        <v>45</v>
      </c>
      <c r="H1" s="20" t="s">
        <v>46</v>
      </c>
      <c r="I1" s="20" t="s">
        <v>47</v>
      </c>
      <c r="J1" s="21" t="s">
        <v>442</v>
      </c>
      <c r="K1" s="21" t="s">
        <v>443</v>
      </c>
      <c r="L1" s="21" t="s">
        <v>48</v>
      </c>
      <c r="M1" s="22" t="s">
        <v>49</v>
      </c>
      <c r="N1" s="21" t="s">
        <v>50</v>
      </c>
      <c r="O1" s="22" t="s">
        <v>51</v>
      </c>
      <c r="P1" s="21" t="s">
        <v>52</v>
      </c>
      <c r="Q1" s="22" t="s">
        <v>53</v>
      </c>
      <c r="R1" s="21" t="s">
        <v>54</v>
      </c>
      <c r="S1" s="22" t="s">
        <v>55</v>
      </c>
      <c r="T1" s="21" t="s">
        <v>56</v>
      </c>
      <c r="U1" s="22" t="s">
        <v>57</v>
      </c>
    </row>
    <row r="2" spans="1:21" x14ac:dyDescent="0.45">
      <c r="A2" s="12">
        <v>1</v>
      </c>
      <c r="B2" s="12">
        <v>1</v>
      </c>
      <c r="C2" s="12" t="s">
        <v>58</v>
      </c>
      <c r="D2" s="12" t="s">
        <v>18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444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</row>
    <row r="3" spans="1:21" x14ac:dyDescent="0.45">
      <c r="A3" s="12">
        <v>2</v>
      </c>
      <c r="B3" s="12">
        <v>0</v>
      </c>
      <c r="C3" s="12" t="s">
        <v>59</v>
      </c>
      <c r="D3" s="12" t="s">
        <v>60</v>
      </c>
      <c r="E3" s="12">
        <v>0</v>
      </c>
      <c r="F3" s="12">
        <v>0</v>
      </c>
      <c r="G3" s="12">
        <v>0</v>
      </c>
      <c r="H3" s="12">
        <v>1</v>
      </c>
      <c r="I3" s="232">
        <v>12</v>
      </c>
      <c r="J3" s="10">
        <v>30</v>
      </c>
      <c r="K3" s="10" t="s">
        <v>444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</row>
    <row r="4" spans="1:21" x14ac:dyDescent="0.45">
      <c r="A4" s="12">
        <v>3</v>
      </c>
      <c r="B4" s="12">
        <v>1</v>
      </c>
      <c r="C4" s="12" t="s">
        <v>61</v>
      </c>
      <c r="D4" s="12" t="s">
        <v>62</v>
      </c>
      <c r="E4" s="12">
        <v>0</v>
      </c>
      <c r="F4" s="12">
        <v>3</v>
      </c>
      <c r="G4" s="12">
        <v>0</v>
      </c>
      <c r="H4" s="12">
        <v>1</v>
      </c>
      <c r="I4" s="232">
        <v>12</v>
      </c>
      <c r="J4" s="10">
        <v>30</v>
      </c>
      <c r="K4" s="10" t="s">
        <v>444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</row>
    <row r="5" spans="1:21" x14ac:dyDescent="0.45">
      <c r="A5" s="12">
        <v>4</v>
      </c>
      <c r="B5" s="12">
        <v>0</v>
      </c>
      <c r="C5" s="12" t="s">
        <v>59</v>
      </c>
      <c r="D5" s="12" t="s">
        <v>63</v>
      </c>
      <c r="E5" s="12">
        <v>0</v>
      </c>
      <c r="F5" s="12">
        <v>4</v>
      </c>
      <c r="G5" s="12">
        <v>0</v>
      </c>
      <c r="H5" s="12">
        <v>1</v>
      </c>
      <c r="I5" s="232">
        <v>12</v>
      </c>
      <c r="J5" s="10">
        <v>30</v>
      </c>
      <c r="K5" s="10" t="s">
        <v>444</v>
      </c>
      <c r="L5" s="10"/>
      <c r="M5" s="11"/>
      <c r="N5" s="10"/>
      <c r="O5" s="11"/>
      <c r="P5" s="10"/>
      <c r="Q5" s="11"/>
      <c r="R5" s="10"/>
      <c r="S5" s="11"/>
      <c r="T5" s="10"/>
      <c r="U5" s="11"/>
    </row>
    <row r="6" spans="1:21" x14ac:dyDescent="0.45">
      <c r="A6" s="12">
        <v>13</v>
      </c>
      <c r="B6" s="12">
        <v>1</v>
      </c>
      <c r="C6" s="12" t="s">
        <v>58</v>
      </c>
      <c r="D6" s="12" t="s">
        <v>66</v>
      </c>
      <c r="E6" s="12">
        <v>0</v>
      </c>
      <c r="F6" s="12">
        <v>14</v>
      </c>
      <c r="G6" s="12">
        <v>0</v>
      </c>
      <c r="H6" s="12">
        <v>1</v>
      </c>
      <c r="I6" s="12">
        <v>24</v>
      </c>
      <c r="J6" s="10">
        <v>71</v>
      </c>
      <c r="K6" s="10" t="s">
        <v>444</v>
      </c>
      <c r="L6" s="10" t="s">
        <v>65</v>
      </c>
      <c r="M6" s="11">
        <v>1</v>
      </c>
      <c r="N6" s="10"/>
      <c r="O6" s="11">
        <v>0</v>
      </c>
      <c r="P6" s="10"/>
      <c r="Q6" s="11">
        <v>0</v>
      </c>
      <c r="R6" s="10"/>
      <c r="S6" s="11">
        <v>0</v>
      </c>
      <c r="T6" s="10"/>
      <c r="U6" s="11">
        <v>0</v>
      </c>
    </row>
    <row r="7" spans="1:21" x14ac:dyDescent="0.45">
      <c r="A7" s="12">
        <v>14</v>
      </c>
      <c r="B7" s="12">
        <v>0</v>
      </c>
      <c r="C7" s="12" t="s">
        <v>59</v>
      </c>
      <c r="D7" s="12" t="s">
        <v>67</v>
      </c>
      <c r="E7" s="12">
        <v>0</v>
      </c>
      <c r="F7" s="12">
        <v>0</v>
      </c>
      <c r="G7" s="12">
        <v>0</v>
      </c>
      <c r="H7" s="12">
        <v>1</v>
      </c>
      <c r="I7" s="232">
        <v>12</v>
      </c>
      <c r="J7" s="10">
        <v>30</v>
      </c>
      <c r="K7" s="10" t="s">
        <v>444</v>
      </c>
      <c r="L7" s="10"/>
      <c r="M7" s="11">
        <v>0</v>
      </c>
      <c r="N7" s="10"/>
      <c r="O7" s="11">
        <v>0</v>
      </c>
      <c r="P7" s="10"/>
      <c r="Q7" s="11">
        <v>0</v>
      </c>
      <c r="R7" s="10"/>
      <c r="S7" s="11">
        <v>0</v>
      </c>
      <c r="T7" s="10"/>
      <c r="U7" s="11">
        <v>0</v>
      </c>
    </row>
    <row r="8" spans="1:21" x14ac:dyDescent="0.45">
      <c r="A8" s="12">
        <v>15</v>
      </c>
      <c r="B8" s="12">
        <v>1</v>
      </c>
      <c r="C8" s="12" t="s">
        <v>68</v>
      </c>
      <c r="D8" s="12" t="s">
        <v>69</v>
      </c>
      <c r="E8" s="12">
        <v>0</v>
      </c>
      <c r="F8" s="12">
        <v>16</v>
      </c>
      <c r="G8" s="12">
        <v>0</v>
      </c>
      <c r="H8" s="12">
        <v>1</v>
      </c>
      <c r="I8" s="12">
        <v>24</v>
      </c>
      <c r="J8" s="10">
        <v>71</v>
      </c>
      <c r="K8" s="10" t="s">
        <v>444</v>
      </c>
      <c r="L8" s="10" t="s">
        <v>70</v>
      </c>
      <c r="M8" s="11">
        <v>1</v>
      </c>
      <c r="N8" s="10"/>
      <c r="O8" s="11">
        <v>0</v>
      </c>
      <c r="P8" s="10"/>
      <c r="Q8" s="11">
        <v>0</v>
      </c>
      <c r="R8" s="10"/>
      <c r="S8" s="11">
        <v>0</v>
      </c>
      <c r="T8" s="10"/>
      <c r="U8" s="11">
        <v>0</v>
      </c>
    </row>
    <row r="9" spans="1:21" x14ac:dyDescent="0.45">
      <c r="A9" s="12">
        <v>16</v>
      </c>
      <c r="B9" s="12">
        <v>0</v>
      </c>
      <c r="C9" s="12" t="s">
        <v>59</v>
      </c>
      <c r="D9" s="12" t="s">
        <v>71</v>
      </c>
      <c r="E9" s="12">
        <v>0</v>
      </c>
      <c r="F9" s="12">
        <v>0</v>
      </c>
      <c r="G9" s="12">
        <v>0</v>
      </c>
      <c r="H9" s="12">
        <v>0</v>
      </c>
      <c r="I9" s="232">
        <v>12</v>
      </c>
      <c r="J9" s="10">
        <v>30</v>
      </c>
      <c r="K9" s="10" t="s">
        <v>444</v>
      </c>
      <c r="L9" s="10"/>
      <c r="M9" s="11">
        <v>0</v>
      </c>
      <c r="N9" s="10"/>
      <c r="O9" s="11">
        <v>0</v>
      </c>
      <c r="P9" s="10"/>
      <c r="Q9" s="11">
        <v>0</v>
      </c>
      <c r="R9" s="10"/>
      <c r="S9" s="11">
        <v>0</v>
      </c>
      <c r="T9" s="10"/>
      <c r="U9" s="11">
        <v>0</v>
      </c>
    </row>
    <row r="10" spans="1:21" x14ac:dyDescent="0.45">
      <c r="A10" s="12">
        <v>22</v>
      </c>
      <c r="B10" s="12">
        <v>1</v>
      </c>
      <c r="C10" s="12" t="s">
        <v>72</v>
      </c>
      <c r="D10" s="12" t="s">
        <v>73</v>
      </c>
      <c r="E10" s="12">
        <v>0</v>
      </c>
      <c r="F10" s="12">
        <v>23</v>
      </c>
      <c r="G10" s="12">
        <v>1</v>
      </c>
      <c r="H10" s="12">
        <v>2</v>
      </c>
      <c r="I10" s="12">
        <v>0</v>
      </c>
      <c r="J10" s="10"/>
      <c r="K10" s="10" t="s">
        <v>445</v>
      </c>
      <c r="L10" s="10" t="s">
        <v>73</v>
      </c>
      <c r="M10" s="11">
        <v>0</v>
      </c>
      <c r="N10" s="10" t="s">
        <v>74</v>
      </c>
      <c r="O10" s="11">
        <v>0</v>
      </c>
      <c r="P10" s="10"/>
      <c r="Q10" s="11">
        <v>0</v>
      </c>
      <c r="R10" s="10"/>
      <c r="S10" s="11">
        <v>0</v>
      </c>
      <c r="T10" s="10"/>
      <c r="U10" s="11">
        <v>0</v>
      </c>
    </row>
    <row r="11" spans="1:21" x14ac:dyDescent="0.45">
      <c r="A11" s="12">
        <v>23</v>
      </c>
      <c r="B11" s="12">
        <v>1</v>
      </c>
      <c r="C11" s="12" t="s">
        <v>75</v>
      </c>
      <c r="D11" s="12" t="s">
        <v>75</v>
      </c>
      <c r="E11" s="12">
        <v>0</v>
      </c>
      <c r="F11" s="12">
        <v>0</v>
      </c>
      <c r="G11" s="12">
        <v>1</v>
      </c>
      <c r="H11" s="12">
        <v>0</v>
      </c>
      <c r="I11" s="12">
        <v>0</v>
      </c>
      <c r="J11" s="10"/>
      <c r="K11" s="10" t="s">
        <v>445</v>
      </c>
      <c r="L11" s="10"/>
      <c r="M11" s="11">
        <v>0</v>
      </c>
      <c r="N11" s="10"/>
      <c r="O11" s="11">
        <v>0</v>
      </c>
      <c r="P11" s="10"/>
      <c r="Q11" s="11">
        <v>0</v>
      </c>
      <c r="R11" s="10"/>
      <c r="S11" s="11">
        <v>0</v>
      </c>
      <c r="T11" s="10"/>
      <c r="U11" s="11">
        <v>0</v>
      </c>
    </row>
    <row r="12" spans="1:21" x14ac:dyDescent="0.45">
      <c r="A12" s="12">
        <v>24</v>
      </c>
      <c r="B12" s="12">
        <v>1</v>
      </c>
      <c r="C12" s="12" t="s">
        <v>58</v>
      </c>
      <c r="D12" s="12" t="s">
        <v>4</v>
      </c>
      <c r="E12" s="12">
        <v>0</v>
      </c>
      <c r="F12" s="12">
        <v>25</v>
      </c>
      <c r="G12" s="12">
        <v>1</v>
      </c>
      <c r="H12" s="12">
        <v>1</v>
      </c>
      <c r="I12" s="12">
        <v>30</v>
      </c>
      <c r="J12" s="10">
        <v>76</v>
      </c>
      <c r="K12" s="10" t="s">
        <v>444</v>
      </c>
      <c r="L12" s="10"/>
      <c r="M12" s="11">
        <v>0</v>
      </c>
      <c r="N12" s="10"/>
      <c r="O12" s="11">
        <v>0</v>
      </c>
      <c r="P12" s="10"/>
      <c r="Q12" s="11">
        <v>0</v>
      </c>
      <c r="R12" s="10"/>
      <c r="S12" s="11">
        <v>0</v>
      </c>
      <c r="T12" s="10"/>
      <c r="U12" s="11">
        <v>0</v>
      </c>
    </row>
    <row r="13" spans="1:21" x14ac:dyDescent="0.45">
      <c r="A13" s="12">
        <v>25</v>
      </c>
      <c r="B13" s="12">
        <v>1</v>
      </c>
      <c r="C13" s="12" t="s">
        <v>59</v>
      </c>
      <c r="D13" s="12" t="s">
        <v>4</v>
      </c>
      <c r="E13" s="12">
        <v>0</v>
      </c>
      <c r="F13" s="12">
        <v>25</v>
      </c>
      <c r="G13" s="12">
        <v>1</v>
      </c>
      <c r="H13" s="12">
        <v>1</v>
      </c>
      <c r="I13" s="12">
        <v>30</v>
      </c>
      <c r="J13" s="10">
        <v>76</v>
      </c>
      <c r="K13" s="10" t="s">
        <v>444</v>
      </c>
      <c r="L13" s="10"/>
      <c r="M13" s="11">
        <v>0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</row>
    <row r="14" spans="1:21" x14ac:dyDescent="0.45">
      <c r="A14" s="12">
        <v>26</v>
      </c>
      <c r="B14" s="12">
        <v>1</v>
      </c>
      <c r="C14" s="12" t="s">
        <v>76</v>
      </c>
      <c r="D14" s="12" t="s">
        <v>446</v>
      </c>
      <c r="E14" s="12">
        <v>0</v>
      </c>
      <c r="F14" s="12">
        <v>0</v>
      </c>
      <c r="G14" s="12">
        <v>1</v>
      </c>
      <c r="H14" s="12">
        <v>0</v>
      </c>
      <c r="I14" s="12">
        <v>0</v>
      </c>
      <c r="J14" s="10"/>
      <c r="K14" s="10" t="s">
        <v>445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</row>
    <row r="15" spans="1:21" x14ac:dyDescent="0.45">
      <c r="A15" s="12">
        <v>27</v>
      </c>
      <c r="B15" s="12">
        <v>1</v>
      </c>
      <c r="C15" s="12" t="s">
        <v>77</v>
      </c>
      <c r="D15" s="232" t="s">
        <v>447</v>
      </c>
      <c r="E15" s="12">
        <v>0</v>
      </c>
      <c r="F15" s="12">
        <v>0</v>
      </c>
      <c r="G15" s="12">
        <v>1</v>
      </c>
      <c r="H15" s="12">
        <v>0</v>
      </c>
      <c r="I15" s="12">
        <v>0</v>
      </c>
      <c r="J15" s="10"/>
      <c r="K15" s="10" t="s">
        <v>445</v>
      </c>
      <c r="L15" s="10"/>
      <c r="M15" s="11">
        <v>0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</row>
    <row r="16" spans="1:21" x14ac:dyDescent="0.45">
      <c r="A16" s="12">
        <v>28</v>
      </c>
      <c r="B16" s="12">
        <v>0</v>
      </c>
      <c r="C16" s="12" t="s">
        <v>78</v>
      </c>
      <c r="D16" s="12" t="s">
        <v>78</v>
      </c>
      <c r="E16" s="12">
        <v>0</v>
      </c>
      <c r="F16" s="12">
        <v>0</v>
      </c>
      <c r="G16" s="12">
        <v>1</v>
      </c>
      <c r="H16" s="12">
        <v>0</v>
      </c>
      <c r="I16" s="12">
        <v>0</v>
      </c>
      <c r="J16" s="10"/>
      <c r="K16" s="10" t="s">
        <v>445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</row>
    <row r="17" spans="1:21" x14ac:dyDescent="0.45">
      <c r="A17" s="12">
        <v>29</v>
      </c>
      <c r="B17" s="12">
        <v>0</v>
      </c>
      <c r="C17" s="12" t="s">
        <v>79</v>
      </c>
      <c r="D17" s="12" t="s">
        <v>79</v>
      </c>
      <c r="E17" s="12">
        <v>0</v>
      </c>
      <c r="F17" s="12">
        <v>0</v>
      </c>
      <c r="G17" s="12">
        <v>1</v>
      </c>
      <c r="H17" s="12">
        <v>0</v>
      </c>
      <c r="I17" s="12">
        <v>0</v>
      </c>
      <c r="J17" s="10"/>
      <c r="K17" s="10" t="s">
        <v>445</v>
      </c>
      <c r="L17" s="10"/>
      <c r="M17" s="11">
        <v>0</v>
      </c>
      <c r="N17" s="10"/>
      <c r="O17" s="11">
        <v>0</v>
      </c>
      <c r="P17" s="10"/>
      <c r="Q17" s="11">
        <v>0</v>
      </c>
      <c r="R17" s="10"/>
      <c r="S17" s="11">
        <v>0</v>
      </c>
      <c r="T17" s="10"/>
      <c r="U17" s="11">
        <v>0</v>
      </c>
    </row>
    <row r="18" spans="1:21" x14ac:dyDescent="0.45">
      <c r="A18" s="12">
        <v>30</v>
      </c>
      <c r="B18" s="12">
        <v>0</v>
      </c>
      <c r="C18" s="12" t="s">
        <v>80</v>
      </c>
      <c r="D18" s="12" t="s">
        <v>80</v>
      </c>
      <c r="E18" s="12">
        <v>0</v>
      </c>
      <c r="F18" s="12">
        <v>31</v>
      </c>
      <c r="G18" s="12">
        <v>1</v>
      </c>
      <c r="H18" s="12">
        <v>0</v>
      </c>
      <c r="I18" s="12">
        <v>0</v>
      </c>
      <c r="J18" s="10"/>
      <c r="K18" s="10" t="s">
        <v>445</v>
      </c>
      <c r="L18" s="10"/>
      <c r="M18" s="11">
        <v>0</v>
      </c>
      <c r="N18" s="10"/>
      <c r="O18" s="11">
        <v>0</v>
      </c>
      <c r="P18" s="10"/>
      <c r="Q18" s="11">
        <v>0</v>
      </c>
      <c r="R18" s="10"/>
      <c r="S18" s="11">
        <v>0</v>
      </c>
      <c r="T18" s="10"/>
      <c r="U18" s="11">
        <v>0</v>
      </c>
    </row>
    <row r="19" spans="1:21" x14ac:dyDescent="0.45">
      <c r="A19" s="12">
        <v>31</v>
      </c>
      <c r="B19" s="12">
        <v>0</v>
      </c>
      <c r="C19" s="12" t="s">
        <v>81</v>
      </c>
      <c r="D19" s="12" t="s">
        <v>81</v>
      </c>
      <c r="E19" s="12">
        <v>0</v>
      </c>
      <c r="F19" s="12">
        <v>0</v>
      </c>
      <c r="G19" s="12">
        <v>1</v>
      </c>
      <c r="H19" s="12">
        <v>0</v>
      </c>
      <c r="I19" s="12">
        <v>0</v>
      </c>
      <c r="J19" s="10"/>
      <c r="K19" s="10" t="s">
        <v>445</v>
      </c>
      <c r="L19" s="10"/>
      <c r="M19" s="11">
        <v>0</v>
      </c>
      <c r="N19" s="10"/>
      <c r="O19" s="11">
        <v>0</v>
      </c>
      <c r="P19" s="10"/>
      <c r="Q19" s="11">
        <v>0</v>
      </c>
      <c r="R19" s="10"/>
      <c r="S19" s="11">
        <v>0</v>
      </c>
      <c r="T19" s="10"/>
      <c r="U19" s="11">
        <v>0</v>
      </c>
    </row>
    <row r="20" spans="1:21" x14ac:dyDescent="0.45">
      <c r="A20" s="12">
        <v>33</v>
      </c>
      <c r="B20" s="12">
        <v>1</v>
      </c>
      <c r="C20" s="12" t="s">
        <v>82</v>
      </c>
      <c r="D20" s="12" t="s">
        <v>83</v>
      </c>
      <c r="E20" s="12">
        <v>0</v>
      </c>
      <c r="F20" s="12">
        <v>34</v>
      </c>
      <c r="G20" s="12">
        <v>1</v>
      </c>
      <c r="H20" s="12">
        <v>1</v>
      </c>
      <c r="I20" s="12">
        <v>24</v>
      </c>
      <c r="J20" s="10">
        <v>88</v>
      </c>
      <c r="K20" s="10" t="s">
        <v>444</v>
      </c>
      <c r="L20" s="10"/>
      <c r="M20" s="11">
        <v>0</v>
      </c>
      <c r="N20" s="10"/>
      <c r="O20" s="11">
        <v>0</v>
      </c>
      <c r="P20" s="10"/>
      <c r="Q20" s="11">
        <v>0</v>
      </c>
      <c r="R20" s="10"/>
      <c r="S20" s="11">
        <v>0</v>
      </c>
      <c r="T20" s="10"/>
      <c r="U20" s="11">
        <v>0</v>
      </c>
    </row>
    <row r="21" spans="1:21" x14ac:dyDescent="0.45">
      <c r="A21" s="12">
        <v>34</v>
      </c>
      <c r="B21" s="12">
        <v>0</v>
      </c>
      <c r="C21" s="12" t="s">
        <v>84</v>
      </c>
      <c r="D21" s="12" t="s">
        <v>85</v>
      </c>
      <c r="E21" s="12">
        <v>0</v>
      </c>
      <c r="F21" s="12">
        <v>0</v>
      </c>
      <c r="G21" s="12">
        <v>1</v>
      </c>
      <c r="H21" s="12">
        <v>1</v>
      </c>
      <c r="I21" s="232">
        <v>12</v>
      </c>
      <c r="J21" s="10">
        <v>30</v>
      </c>
      <c r="K21" s="10" t="s">
        <v>444</v>
      </c>
      <c r="L21" s="10"/>
      <c r="M21" s="11"/>
      <c r="N21" s="10"/>
      <c r="O21" s="11"/>
      <c r="P21" s="10"/>
      <c r="Q21" s="11"/>
      <c r="R21" s="10"/>
      <c r="S21" s="11"/>
      <c r="T21" s="10"/>
      <c r="U21" s="11"/>
    </row>
    <row r="22" spans="1:21" x14ac:dyDescent="0.45">
      <c r="A22" s="12">
        <v>35</v>
      </c>
      <c r="B22" s="12">
        <v>1</v>
      </c>
      <c r="C22" s="12" t="s">
        <v>82</v>
      </c>
      <c r="D22" s="232" t="s">
        <v>448</v>
      </c>
      <c r="E22" s="12">
        <v>0</v>
      </c>
      <c r="F22" s="12">
        <v>36</v>
      </c>
      <c r="G22" s="12">
        <v>1</v>
      </c>
      <c r="H22" s="12">
        <v>1</v>
      </c>
      <c r="I22" s="12">
        <v>24</v>
      </c>
      <c r="J22" s="10">
        <v>71</v>
      </c>
      <c r="K22" s="10" t="s">
        <v>444</v>
      </c>
      <c r="L22" s="10"/>
      <c r="M22" s="11">
        <v>0</v>
      </c>
      <c r="N22" s="10"/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</row>
    <row r="23" spans="1:21" x14ac:dyDescent="0.45">
      <c r="A23" s="12">
        <v>36</v>
      </c>
      <c r="B23" s="12">
        <v>0</v>
      </c>
      <c r="C23" s="12" t="s">
        <v>84</v>
      </c>
      <c r="D23" s="232" t="s">
        <v>449</v>
      </c>
      <c r="E23" s="12">
        <v>0</v>
      </c>
      <c r="F23" s="12">
        <v>0</v>
      </c>
      <c r="G23" s="12">
        <v>1</v>
      </c>
      <c r="H23" s="12">
        <v>1</v>
      </c>
      <c r="I23" s="232">
        <v>12</v>
      </c>
      <c r="J23" s="10">
        <v>30</v>
      </c>
      <c r="K23" s="10" t="s">
        <v>444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</row>
    <row r="24" spans="1:21" x14ac:dyDescent="0.45">
      <c r="A24" s="12">
        <v>37</v>
      </c>
      <c r="B24" s="12">
        <v>1</v>
      </c>
      <c r="C24" s="12" t="s">
        <v>86</v>
      </c>
      <c r="D24" s="12" t="s">
        <v>87</v>
      </c>
      <c r="E24" s="12">
        <v>0</v>
      </c>
      <c r="F24" s="12">
        <v>38</v>
      </c>
      <c r="G24" s="12">
        <v>1</v>
      </c>
      <c r="H24" s="12">
        <v>1</v>
      </c>
      <c r="I24" s="12">
        <v>69</v>
      </c>
      <c r="J24" s="10"/>
      <c r="K24" s="10" t="s">
        <v>444</v>
      </c>
      <c r="L24" s="10" t="s">
        <v>74</v>
      </c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</row>
    <row r="25" spans="1:21" x14ac:dyDescent="0.45">
      <c r="A25" s="12">
        <v>38</v>
      </c>
      <c r="B25" s="12">
        <v>0</v>
      </c>
      <c r="C25" s="12" t="s">
        <v>88</v>
      </c>
      <c r="D25" s="12" t="s">
        <v>89</v>
      </c>
      <c r="E25" s="12">
        <v>0</v>
      </c>
      <c r="F25" s="12">
        <v>0</v>
      </c>
      <c r="G25" s="12">
        <v>1</v>
      </c>
      <c r="H25" s="12">
        <v>1</v>
      </c>
      <c r="I25" s="12">
        <v>69</v>
      </c>
      <c r="J25" s="10"/>
      <c r="K25" s="10" t="s">
        <v>444</v>
      </c>
      <c r="L25" s="10"/>
      <c r="M25" s="11"/>
      <c r="N25" s="10"/>
      <c r="O25" s="11"/>
      <c r="P25" s="10"/>
      <c r="Q25" s="11"/>
      <c r="R25" s="10"/>
      <c r="S25" s="11"/>
      <c r="T25" s="10"/>
      <c r="U25" s="11"/>
    </row>
    <row r="26" spans="1:21" x14ac:dyDescent="0.45">
      <c r="A26" s="12">
        <v>39</v>
      </c>
      <c r="B26" s="12">
        <v>1</v>
      </c>
      <c r="C26" s="12" t="s">
        <v>90</v>
      </c>
      <c r="D26" s="12" t="s">
        <v>91</v>
      </c>
      <c r="E26" s="12">
        <v>0</v>
      </c>
      <c r="F26" s="12">
        <v>40</v>
      </c>
      <c r="G26" s="12">
        <v>1</v>
      </c>
      <c r="H26" s="12">
        <v>1</v>
      </c>
      <c r="I26" s="12">
        <v>18</v>
      </c>
      <c r="J26" s="10">
        <v>65</v>
      </c>
      <c r="K26" s="10" t="s">
        <v>444</v>
      </c>
      <c r="L26" s="10" t="s">
        <v>92</v>
      </c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</row>
    <row r="27" spans="1:21" x14ac:dyDescent="0.45">
      <c r="A27" s="12">
        <v>40</v>
      </c>
      <c r="B27" s="12">
        <v>0</v>
      </c>
      <c r="C27" s="12" t="s">
        <v>93</v>
      </c>
      <c r="D27" s="12" t="s">
        <v>93</v>
      </c>
      <c r="E27" s="12">
        <v>0</v>
      </c>
      <c r="F27" s="12">
        <v>0</v>
      </c>
      <c r="G27" s="12">
        <v>1</v>
      </c>
      <c r="H27" s="12">
        <v>1</v>
      </c>
      <c r="I27" s="12">
        <v>12</v>
      </c>
      <c r="J27" s="10"/>
      <c r="K27" s="10" t="s">
        <v>444</v>
      </c>
      <c r="L27" s="10"/>
      <c r="M27" s="11"/>
      <c r="N27" s="10"/>
      <c r="O27" s="11"/>
      <c r="P27" s="10"/>
      <c r="Q27" s="11"/>
      <c r="R27" s="10"/>
      <c r="S27" s="11"/>
      <c r="T27" s="10"/>
      <c r="U27" s="11"/>
    </row>
    <row r="28" spans="1:21" x14ac:dyDescent="0.45">
      <c r="A28" s="12">
        <v>41</v>
      </c>
      <c r="B28" s="12">
        <v>1</v>
      </c>
      <c r="C28" s="12" t="s">
        <v>94</v>
      </c>
      <c r="D28" s="12" t="s">
        <v>95</v>
      </c>
      <c r="E28" s="12">
        <v>0</v>
      </c>
      <c r="F28" s="12">
        <v>42</v>
      </c>
      <c r="G28" s="12">
        <v>1</v>
      </c>
      <c r="H28" s="12">
        <v>1</v>
      </c>
      <c r="I28" s="12">
        <v>24</v>
      </c>
      <c r="J28" s="10"/>
      <c r="K28" s="10" t="s">
        <v>444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</row>
    <row r="29" spans="1:21" x14ac:dyDescent="0.45">
      <c r="A29" s="12">
        <v>42</v>
      </c>
      <c r="B29" s="12">
        <v>0</v>
      </c>
      <c r="C29" s="12" t="s">
        <v>96</v>
      </c>
      <c r="D29" s="12" t="s">
        <v>96</v>
      </c>
      <c r="E29" s="12">
        <v>0</v>
      </c>
      <c r="F29" s="12">
        <v>0</v>
      </c>
      <c r="G29" s="12">
        <v>1</v>
      </c>
      <c r="H29" s="12">
        <v>1</v>
      </c>
      <c r="I29" s="12">
        <v>24</v>
      </c>
      <c r="J29" s="10"/>
      <c r="K29" s="10" t="s">
        <v>444</v>
      </c>
      <c r="L29" s="10"/>
      <c r="M29" s="11"/>
      <c r="N29" s="10"/>
      <c r="O29" s="11"/>
      <c r="P29" s="10"/>
      <c r="Q29" s="11"/>
      <c r="R29" s="10"/>
      <c r="S29" s="11"/>
      <c r="T29" s="10"/>
      <c r="U29" s="11"/>
    </row>
    <row r="30" spans="1:21" x14ac:dyDescent="0.45">
      <c r="A30" s="12">
        <v>43</v>
      </c>
      <c r="B30" s="12">
        <v>1</v>
      </c>
      <c r="C30" s="12" t="s">
        <v>97</v>
      </c>
      <c r="D30" s="12" t="s">
        <v>98</v>
      </c>
      <c r="E30" s="12">
        <v>0</v>
      </c>
      <c r="F30" s="12">
        <v>44</v>
      </c>
      <c r="G30" s="12">
        <v>1</v>
      </c>
      <c r="H30" s="12">
        <v>1</v>
      </c>
      <c r="I30" s="12">
        <v>24</v>
      </c>
      <c r="J30" s="10"/>
      <c r="K30" s="10" t="s">
        <v>444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</row>
    <row r="31" spans="1:21" x14ac:dyDescent="0.45">
      <c r="A31" s="12">
        <v>44</v>
      </c>
      <c r="B31" s="12">
        <v>0</v>
      </c>
      <c r="C31" s="12" t="s">
        <v>99</v>
      </c>
      <c r="D31" s="12" t="s">
        <v>99</v>
      </c>
      <c r="E31" s="12">
        <v>0</v>
      </c>
      <c r="F31" s="12">
        <v>0</v>
      </c>
      <c r="G31" s="12">
        <v>1</v>
      </c>
      <c r="H31" s="12">
        <v>1</v>
      </c>
      <c r="I31" s="12">
        <v>24</v>
      </c>
      <c r="J31" s="10"/>
      <c r="K31" s="10" t="s">
        <v>444</v>
      </c>
      <c r="L31" s="10"/>
      <c r="M31" s="11"/>
      <c r="N31" s="10"/>
      <c r="O31" s="11"/>
      <c r="P31" s="10"/>
      <c r="Q31" s="11"/>
      <c r="R31" s="10"/>
      <c r="S31" s="11"/>
      <c r="T31" s="10"/>
      <c r="U31" s="11"/>
    </row>
    <row r="32" spans="1:21" x14ac:dyDescent="0.45">
      <c r="A32" s="12">
        <v>45</v>
      </c>
      <c r="B32" s="12">
        <v>1</v>
      </c>
      <c r="C32" s="12" t="s">
        <v>100</v>
      </c>
      <c r="D32" s="12" t="s">
        <v>101</v>
      </c>
      <c r="E32" s="12">
        <v>0</v>
      </c>
      <c r="F32" s="12">
        <v>46</v>
      </c>
      <c r="G32" s="12">
        <v>1</v>
      </c>
      <c r="H32" s="12">
        <v>1</v>
      </c>
      <c r="I32" s="12">
        <v>18</v>
      </c>
      <c r="J32" s="10"/>
      <c r="K32" s="10" t="s">
        <v>444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</row>
    <row r="33" spans="1:21" x14ac:dyDescent="0.45">
      <c r="A33" s="12">
        <v>46</v>
      </c>
      <c r="B33" s="12">
        <v>0</v>
      </c>
      <c r="C33" s="12" t="s">
        <v>102</v>
      </c>
      <c r="D33" s="12" t="s">
        <v>102</v>
      </c>
      <c r="E33" s="12">
        <v>0</v>
      </c>
      <c r="F33" s="12">
        <v>0</v>
      </c>
      <c r="G33" s="12">
        <v>1</v>
      </c>
      <c r="H33" s="12">
        <v>1</v>
      </c>
      <c r="I33" s="12">
        <v>18</v>
      </c>
      <c r="J33" s="10"/>
      <c r="K33" s="10" t="s">
        <v>444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</row>
    <row r="34" spans="1:21" x14ac:dyDescent="0.45">
      <c r="A34" s="12">
        <v>49</v>
      </c>
      <c r="B34" s="12">
        <v>1</v>
      </c>
      <c r="C34" s="12" t="s">
        <v>103</v>
      </c>
      <c r="D34" s="12" t="s">
        <v>5</v>
      </c>
      <c r="E34" s="12">
        <v>0</v>
      </c>
      <c r="F34" s="12">
        <v>50</v>
      </c>
      <c r="G34" s="12">
        <v>1</v>
      </c>
      <c r="H34" s="12">
        <v>2</v>
      </c>
      <c r="I34" s="12">
        <v>0</v>
      </c>
      <c r="J34" s="10"/>
      <c r="K34" s="10" t="s">
        <v>445</v>
      </c>
      <c r="L34" s="10" t="s">
        <v>65</v>
      </c>
      <c r="M34" s="11">
        <v>1</v>
      </c>
      <c r="N34" s="10" t="s">
        <v>104</v>
      </c>
      <c r="O34" s="11">
        <v>0</v>
      </c>
      <c r="P34" s="10" t="s">
        <v>74</v>
      </c>
      <c r="Q34" s="11">
        <v>0</v>
      </c>
      <c r="R34" s="10"/>
      <c r="S34" s="11">
        <v>0</v>
      </c>
      <c r="T34" s="10"/>
      <c r="U34" s="11">
        <v>0</v>
      </c>
    </row>
    <row r="35" spans="1:21" x14ac:dyDescent="0.45">
      <c r="A35" s="12">
        <v>50</v>
      </c>
      <c r="B35" s="12">
        <v>0</v>
      </c>
      <c r="C35" s="12" t="s">
        <v>105</v>
      </c>
      <c r="D35" s="12" t="s">
        <v>105</v>
      </c>
      <c r="E35" s="12">
        <v>0</v>
      </c>
      <c r="F35" s="12">
        <v>0</v>
      </c>
      <c r="G35" s="12">
        <v>1</v>
      </c>
      <c r="H35" s="12">
        <v>2</v>
      </c>
      <c r="I35" s="12">
        <v>0</v>
      </c>
      <c r="J35" s="10"/>
      <c r="K35" s="10" t="s">
        <v>445</v>
      </c>
      <c r="L35" s="10"/>
      <c r="M35" s="11"/>
      <c r="N35" s="10"/>
      <c r="O35" s="11"/>
      <c r="P35" s="10"/>
      <c r="Q35" s="11"/>
      <c r="R35" s="10"/>
      <c r="S35" s="11"/>
      <c r="T35" s="10"/>
      <c r="U35" s="11"/>
    </row>
    <row r="36" spans="1:21" x14ac:dyDescent="0.45">
      <c r="A36" s="12">
        <v>52</v>
      </c>
      <c r="B36" s="12">
        <v>1</v>
      </c>
      <c r="C36" s="12" t="s">
        <v>106</v>
      </c>
      <c r="D36" s="12" t="s">
        <v>107</v>
      </c>
      <c r="E36" s="12">
        <v>0</v>
      </c>
      <c r="F36" s="12">
        <v>53</v>
      </c>
      <c r="G36" s="12">
        <v>1</v>
      </c>
      <c r="H36" s="12">
        <v>2</v>
      </c>
      <c r="I36" s="12">
        <v>0</v>
      </c>
      <c r="J36" s="10"/>
      <c r="K36" s="10" t="s">
        <v>445</v>
      </c>
      <c r="L36" s="10" t="s">
        <v>65</v>
      </c>
      <c r="M36" s="11">
        <v>1</v>
      </c>
      <c r="N36" s="10" t="s">
        <v>104</v>
      </c>
      <c r="O36" s="11">
        <v>0</v>
      </c>
      <c r="P36" s="10" t="s">
        <v>74</v>
      </c>
      <c r="Q36" s="11">
        <v>0</v>
      </c>
      <c r="R36" s="10"/>
      <c r="S36" s="11">
        <v>0</v>
      </c>
      <c r="T36" s="10"/>
      <c r="U36" s="11">
        <v>0</v>
      </c>
    </row>
    <row r="37" spans="1:21" x14ac:dyDescent="0.45">
      <c r="A37" s="12">
        <v>53</v>
      </c>
      <c r="B37" s="12">
        <v>0</v>
      </c>
      <c r="C37" s="12" t="s">
        <v>108</v>
      </c>
      <c r="D37" s="12" t="s">
        <v>108</v>
      </c>
      <c r="E37" s="12">
        <v>0</v>
      </c>
      <c r="F37" s="12">
        <v>0</v>
      </c>
      <c r="G37" s="12">
        <v>1</v>
      </c>
      <c r="H37" s="12">
        <v>2</v>
      </c>
      <c r="I37" s="12">
        <v>0</v>
      </c>
      <c r="J37" s="10"/>
      <c r="K37" s="10" t="s">
        <v>445</v>
      </c>
      <c r="L37" s="10" t="s">
        <v>65</v>
      </c>
      <c r="M37" s="11">
        <v>1</v>
      </c>
      <c r="N37" s="10" t="s">
        <v>104</v>
      </c>
      <c r="O37" s="11">
        <v>0</v>
      </c>
      <c r="P37" s="10" t="s">
        <v>74</v>
      </c>
      <c r="Q37" s="11">
        <v>0</v>
      </c>
      <c r="R37" s="10"/>
      <c r="S37" s="11"/>
      <c r="T37" s="10"/>
      <c r="U37" s="11"/>
    </row>
    <row r="38" spans="1:21" x14ac:dyDescent="0.45">
      <c r="A38" s="12">
        <v>55</v>
      </c>
      <c r="B38" s="12">
        <v>1</v>
      </c>
      <c r="C38" s="12" t="s">
        <v>109</v>
      </c>
      <c r="D38" s="12" t="s">
        <v>110</v>
      </c>
      <c r="E38" s="12">
        <v>0</v>
      </c>
      <c r="F38" s="12">
        <v>56</v>
      </c>
      <c r="G38" s="12">
        <v>1</v>
      </c>
      <c r="H38" s="12">
        <v>2</v>
      </c>
      <c r="I38" s="12">
        <v>0</v>
      </c>
      <c r="J38" s="10"/>
      <c r="K38" s="10" t="s">
        <v>445</v>
      </c>
      <c r="L38" s="10" t="s">
        <v>110</v>
      </c>
      <c r="M38" s="11">
        <v>0</v>
      </c>
      <c r="N38" s="10" t="s">
        <v>74</v>
      </c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</row>
    <row r="39" spans="1:21" x14ac:dyDescent="0.45">
      <c r="A39" s="12">
        <v>56</v>
      </c>
      <c r="B39" s="12">
        <v>0</v>
      </c>
      <c r="C39" s="12" t="s">
        <v>111</v>
      </c>
      <c r="D39" s="12" t="s">
        <v>111</v>
      </c>
      <c r="E39" s="12">
        <v>0</v>
      </c>
      <c r="F39" s="12">
        <v>0</v>
      </c>
      <c r="G39" s="12">
        <v>1</v>
      </c>
      <c r="H39" s="12">
        <v>2</v>
      </c>
      <c r="I39" s="12">
        <v>0</v>
      </c>
      <c r="J39" s="10"/>
      <c r="K39" s="10" t="s">
        <v>445</v>
      </c>
      <c r="L39" s="10" t="s">
        <v>110</v>
      </c>
      <c r="M39" s="11">
        <v>0</v>
      </c>
      <c r="N39" s="10" t="s">
        <v>74</v>
      </c>
      <c r="O39" s="11">
        <v>0</v>
      </c>
      <c r="P39" s="10" t="s">
        <v>112</v>
      </c>
      <c r="Q39" s="11">
        <v>0</v>
      </c>
      <c r="R39" s="10"/>
      <c r="S39" s="11"/>
      <c r="T39" s="10"/>
      <c r="U39" s="11"/>
    </row>
    <row r="40" spans="1:21" x14ac:dyDescent="0.45">
      <c r="A40" s="12">
        <v>58</v>
      </c>
      <c r="B40" s="12">
        <v>1</v>
      </c>
      <c r="C40" s="12" t="s">
        <v>113</v>
      </c>
      <c r="D40" s="12" t="s">
        <v>114</v>
      </c>
      <c r="E40" s="12">
        <v>0</v>
      </c>
      <c r="F40" s="12">
        <v>59</v>
      </c>
      <c r="G40" s="12">
        <v>1</v>
      </c>
      <c r="H40" s="12">
        <v>2</v>
      </c>
      <c r="I40" s="12">
        <v>0</v>
      </c>
      <c r="J40" s="10"/>
      <c r="K40" s="10" t="s">
        <v>445</v>
      </c>
      <c r="L40" s="10" t="s">
        <v>115</v>
      </c>
      <c r="M40" s="11">
        <v>0</v>
      </c>
      <c r="N40" s="10" t="s">
        <v>114</v>
      </c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</row>
    <row r="41" spans="1:21" x14ac:dyDescent="0.45">
      <c r="A41" s="12">
        <v>59</v>
      </c>
      <c r="B41" s="12">
        <v>0</v>
      </c>
      <c r="C41" s="12" t="s">
        <v>116</v>
      </c>
      <c r="D41" s="12" t="s">
        <v>116</v>
      </c>
      <c r="E41" s="12">
        <v>0</v>
      </c>
      <c r="F41" s="12">
        <v>0</v>
      </c>
      <c r="G41" s="12">
        <v>1</v>
      </c>
      <c r="H41" s="12">
        <v>2</v>
      </c>
      <c r="I41" s="12">
        <v>0</v>
      </c>
      <c r="J41" s="10"/>
      <c r="K41" s="10" t="s">
        <v>445</v>
      </c>
      <c r="L41" s="10" t="s">
        <v>112</v>
      </c>
      <c r="M41" s="11">
        <v>0</v>
      </c>
      <c r="N41" s="10" t="s">
        <v>114</v>
      </c>
      <c r="O41" s="11">
        <v>0</v>
      </c>
      <c r="P41" s="10"/>
      <c r="Q41" s="11">
        <v>0</v>
      </c>
      <c r="R41" s="10"/>
      <c r="S41" s="11"/>
      <c r="T41" s="10"/>
      <c r="U41" s="11"/>
    </row>
    <row r="42" spans="1:21" x14ac:dyDescent="0.45">
      <c r="A42" s="12">
        <v>60</v>
      </c>
      <c r="B42" s="12">
        <v>1</v>
      </c>
      <c r="C42" s="12" t="s">
        <v>117</v>
      </c>
      <c r="D42" s="12" t="s">
        <v>118</v>
      </c>
      <c r="E42" s="12">
        <v>0</v>
      </c>
      <c r="F42" s="12">
        <v>61</v>
      </c>
      <c r="G42" s="12">
        <v>1</v>
      </c>
      <c r="H42" s="12">
        <v>2</v>
      </c>
      <c r="I42" s="12">
        <v>21</v>
      </c>
      <c r="J42" s="10">
        <v>200</v>
      </c>
      <c r="K42" s="10" t="s">
        <v>444</v>
      </c>
      <c r="L42" s="10" t="s">
        <v>65</v>
      </c>
      <c r="M42" s="11">
        <v>1</v>
      </c>
      <c r="N42" s="10" t="s">
        <v>114</v>
      </c>
      <c r="O42" s="11">
        <v>0</v>
      </c>
      <c r="P42" s="10" t="s">
        <v>119</v>
      </c>
      <c r="Q42" s="11">
        <v>0</v>
      </c>
      <c r="R42" s="10"/>
      <c r="S42" s="11">
        <v>0</v>
      </c>
      <c r="T42" s="10"/>
      <c r="U42" s="11">
        <v>0</v>
      </c>
    </row>
    <row r="43" spans="1:21" x14ac:dyDescent="0.45">
      <c r="A43" s="12">
        <v>61</v>
      </c>
      <c r="B43" s="12">
        <v>0</v>
      </c>
      <c r="C43" s="12" t="s">
        <v>120</v>
      </c>
      <c r="D43" s="12" t="s">
        <v>120</v>
      </c>
      <c r="E43" s="12">
        <v>0</v>
      </c>
      <c r="F43" s="12">
        <v>0</v>
      </c>
      <c r="G43" s="12">
        <v>1</v>
      </c>
      <c r="H43" s="12">
        <v>2</v>
      </c>
      <c r="I43" s="12">
        <v>21</v>
      </c>
      <c r="J43" s="10">
        <v>200</v>
      </c>
      <c r="K43" s="10" t="s">
        <v>444</v>
      </c>
      <c r="L43" s="10" t="s">
        <v>65</v>
      </c>
      <c r="M43" s="11">
        <v>1</v>
      </c>
      <c r="N43" s="10" t="s">
        <v>114</v>
      </c>
      <c r="O43" s="11">
        <v>0</v>
      </c>
      <c r="P43" s="10" t="s">
        <v>119</v>
      </c>
      <c r="Q43" s="11">
        <v>0</v>
      </c>
      <c r="R43" s="10"/>
      <c r="S43" s="11"/>
      <c r="T43" s="10"/>
      <c r="U43" s="11"/>
    </row>
    <row r="44" spans="1:21" x14ac:dyDescent="0.45">
      <c r="A44" s="12">
        <v>62</v>
      </c>
      <c r="B44" s="12">
        <v>1</v>
      </c>
      <c r="C44" s="12" t="s">
        <v>121</v>
      </c>
      <c r="D44" s="12" t="s">
        <v>122</v>
      </c>
      <c r="E44" s="12">
        <v>0</v>
      </c>
      <c r="F44" s="12">
        <v>63</v>
      </c>
      <c r="G44" s="12">
        <v>1</v>
      </c>
      <c r="H44" s="12">
        <v>1</v>
      </c>
      <c r="I44" s="12">
        <v>20</v>
      </c>
      <c r="J44" s="10"/>
      <c r="K44" s="10" t="s">
        <v>444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</row>
    <row r="45" spans="1:21" x14ac:dyDescent="0.45">
      <c r="A45" s="12">
        <v>63</v>
      </c>
      <c r="B45" s="12">
        <v>0</v>
      </c>
      <c r="C45" s="12" t="s">
        <v>123</v>
      </c>
      <c r="D45" s="12" t="s">
        <v>123</v>
      </c>
      <c r="E45" s="12">
        <v>0</v>
      </c>
      <c r="F45" s="12">
        <v>0</v>
      </c>
      <c r="G45" s="12">
        <v>1</v>
      </c>
      <c r="H45" s="12">
        <v>2</v>
      </c>
      <c r="I45" s="12">
        <v>15</v>
      </c>
      <c r="J45" s="10"/>
      <c r="K45" s="10" t="s">
        <v>444</v>
      </c>
      <c r="L45" s="10"/>
      <c r="M45" s="11">
        <v>0</v>
      </c>
      <c r="N45" s="10"/>
      <c r="O45" s="11">
        <v>0</v>
      </c>
      <c r="P45" s="10"/>
      <c r="Q45" s="11">
        <v>0</v>
      </c>
      <c r="R45" s="10"/>
      <c r="S45" s="11">
        <v>0</v>
      </c>
      <c r="T45" s="10"/>
      <c r="U45" s="11">
        <v>0</v>
      </c>
    </row>
    <row r="46" spans="1:21" x14ac:dyDescent="0.45">
      <c r="A46" s="12">
        <v>64</v>
      </c>
      <c r="B46" s="12">
        <v>1</v>
      </c>
      <c r="C46" s="12" t="s">
        <v>124</v>
      </c>
      <c r="D46" s="12" t="s">
        <v>125</v>
      </c>
      <c r="E46" s="12">
        <v>0</v>
      </c>
      <c r="F46" s="12">
        <v>65</v>
      </c>
      <c r="G46" s="12">
        <v>1</v>
      </c>
      <c r="H46" s="12">
        <v>2</v>
      </c>
      <c r="I46" s="12">
        <v>0</v>
      </c>
      <c r="J46" s="10"/>
      <c r="K46" s="10" t="s">
        <v>445</v>
      </c>
      <c r="L46" s="10"/>
      <c r="M46" s="11">
        <v>0</v>
      </c>
      <c r="N46" s="10"/>
      <c r="O46" s="11">
        <v>0</v>
      </c>
      <c r="P46" s="10"/>
      <c r="Q46" s="11">
        <v>0</v>
      </c>
      <c r="R46" s="10"/>
      <c r="S46" s="11">
        <v>0</v>
      </c>
      <c r="T46" s="10"/>
      <c r="U46" s="11">
        <v>0</v>
      </c>
    </row>
    <row r="47" spans="1:21" x14ac:dyDescent="0.45">
      <c r="A47" s="12">
        <v>65</v>
      </c>
      <c r="B47" s="12">
        <v>0</v>
      </c>
      <c r="C47" s="12" t="s">
        <v>126</v>
      </c>
      <c r="D47" s="12" t="s">
        <v>126</v>
      </c>
      <c r="E47" s="12">
        <v>0</v>
      </c>
      <c r="F47" s="12">
        <v>0</v>
      </c>
      <c r="G47" s="12">
        <v>1</v>
      </c>
      <c r="H47" s="12">
        <v>1</v>
      </c>
      <c r="I47" s="12">
        <v>0</v>
      </c>
      <c r="J47" s="10"/>
      <c r="K47" s="10" t="s">
        <v>445</v>
      </c>
      <c r="L47" s="10"/>
      <c r="M47" s="11">
        <v>0</v>
      </c>
      <c r="N47" s="10"/>
      <c r="O47" s="11">
        <v>0</v>
      </c>
      <c r="P47" s="10"/>
      <c r="Q47" s="11">
        <v>0</v>
      </c>
      <c r="R47" s="10"/>
      <c r="S47" s="11">
        <v>0</v>
      </c>
      <c r="T47" s="10"/>
      <c r="U47" s="11">
        <v>0</v>
      </c>
    </row>
    <row r="48" spans="1:21" x14ac:dyDescent="0.45">
      <c r="A48" s="12">
        <v>66</v>
      </c>
      <c r="B48" s="12">
        <v>1</v>
      </c>
      <c r="C48" s="12" t="s">
        <v>127</v>
      </c>
      <c r="D48" s="12" t="s">
        <v>128</v>
      </c>
      <c r="E48" s="12">
        <v>0</v>
      </c>
      <c r="F48" s="12">
        <v>67</v>
      </c>
      <c r="G48" s="12">
        <v>1</v>
      </c>
      <c r="H48" s="12">
        <v>2</v>
      </c>
      <c r="I48" s="12">
        <v>0</v>
      </c>
      <c r="J48" s="10"/>
      <c r="K48" s="10" t="s">
        <v>445</v>
      </c>
      <c r="L48" s="10" t="s">
        <v>129</v>
      </c>
      <c r="M48" s="11">
        <v>0</v>
      </c>
      <c r="N48" s="10" t="s">
        <v>130</v>
      </c>
      <c r="O48" s="11">
        <v>0</v>
      </c>
      <c r="P48" s="10" t="s">
        <v>131</v>
      </c>
      <c r="Q48" s="11">
        <v>0</v>
      </c>
      <c r="R48" s="10" t="s">
        <v>132</v>
      </c>
      <c r="S48" s="11">
        <v>0</v>
      </c>
      <c r="T48" s="10" t="s">
        <v>133</v>
      </c>
      <c r="U48" s="11">
        <v>0</v>
      </c>
    </row>
    <row r="49" spans="1:21" x14ac:dyDescent="0.45">
      <c r="A49" s="12">
        <v>67</v>
      </c>
      <c r="B49" s="12">
        <v>0</v>
      </c>
      <c r="C49" s="12" t="s">
        <v>134</v>
      </c>
      <c r="D49" s="12" t="s">
        <v>134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445</v>
      </c>
      <c r="L49" s="10" t="s">
        <v>74</v>
      </c>
      <c r="M49" s="11">
        <v>0</v>
      </c>
      <c r="N49" s="10"/>
      <c r="O49" s="11">
        <v>0</v>
      </c>
      <c r="P49" s="10"/>
      <c r="Q49" s="11">
        <v>0</v>
      </c>
      <c r="R49" s="10"/>
      <c r="S49" s="11"/>
      <c r="T49" s="10"/>
      <c r="U49" s="11"/>
    </row>
    <row r="50" spans="1:21" x14ac:dyDescent="0.45">
      <c r="A50" s="12">
        <v>93</v>
      </c>
      <c r="B50" s="12">
        <v>1</v>
      </c>
      <c r="C50" s="12" t="s">
        <v>136</v>
      </c>
      <c r="D50" s="12" t="s">
        <v>137</v>
      </c>
      <c r="E50" s="12">
        <v>0</v>
      </c>
      <c r="F50" s="12">
        <v>94</v>
      </c>
      <c r="G50" s="12">
        <v>1</v>
      </c>
      <c r="H50" s="12">
        <v>2</v>
      </c>
      <c r="I50" s="12">
        <v>0</v>
      </c>
      <c r="J50" s="10"/>
      <c r="K50" s="10" t="s">
        <v>445</v>
      </c>
      <c r="L50" s="10" t="s">
        <v>137</v>
      </c>
      <c r="M50" s="11">
        <v>1</v>
      </c>
      <c r="N50" s="10"/>
      <c r="O50" s="11">
        <v>0</v>
      </c>
      <c r="P50" s="10"/>
      <c r="Q50" s="11">
        <v>0</v>
      </c>
      <c r="R50" s="10"/>
      <c r="S50" s="11">
        <v>0</v>
      </c>
      <c r="T50" s="10"/>
      <c r="U50" s="11">
        <v>0</v>
      </c>
    </row>
    <row r="51" spans="1:21" x14ac:dyDescent="0.45">
      <c r="A51" s="12">
        <v>94</v>
      </c>
      <c r="B51" s="12">
        <v>0</v>
      </c>
      <c r="C51" s="12" t="s">
        <v>138</v>
      </c>
      <c r="D51" s="12" t="s">
        <v>138</v>
      </c>
      <c r="E51" s="12">
        <v>0</v>
      </c>
      <c r="F51" s="12">
        <v>0</v>
      </c>
      <c r="G51" s="12">
        <v>1</v>
      </c>
      <c r="H51" s="12">
        <v>2</v>
      </c>
      <c r="I51" s="12">
        <v>0</v>
      </c>
      <c r="J51" s="10"/>
      <c r="K51" s="10" t="s">
        <v>445</v>
      </c>
      <c r="L51" s="10" t="s">
        <v>137</v>
      </c>
      <c r="M51" s="11">
        <v>1</v>
      </c>
      <c r="N51" s="10" t="s">
        <v>74</v>
      </c>
      <c r="O51" s="11">
        <v>0</v>
      </c>
      <c r="P51" s="10"/>
      <c r="Q51" s="11">
        <v>0</v>
      </c>
      <c r="R51" s="10"/>
      <c r="S51" s="11"/>
      <c r="T51" s="10"/>
      <c r="U51" s="11"/>
    </row>
    <row r="52" spans="1:21" x14ac:dyDescent="0.45">
      <c r="A52" s="12">
        <v>96</v>
      </c>
      <c r="B52" s="12">
        <v>1</v>
      </c>
      <c r="C52" s="12" t="s">
        <v>139</v>
      </c>
      <c r="D52" s="12" t="s">
        <v>65</v>
      </c>
      <c r="E52" s="12">
        <v>0</v>
      </c>
      <c r="F52" s="12">
        <v>97</v>
      </c>
      <c r="G52" s="12">
        <v>1</v>
      </c>
      <c r="H52" s="12">
        <v>2</v>
      </c>
      <c r="I52" s="12">
        <v>0</v>
      </c>
      <c r="J52" s="10"/>
      <c r="K52" s="10" t="s">
        <v>445</v>
      </c>
      <c r="L52" s="10" t="s">
        <v>65</v>
      </c>
      <c r="M52" s="11">
        <v>1</v>
      </c>
      <c r="N52" s="10"/>
      <c r="O52" s="11">
        <v>0</v>
      </c>
      <c r="P52" s="10"/>
      <c r="Q52" s="11">
        <v>0</v>
      </c>
      <c r="R52" s="10"/>
      <c r="S52" s="11">
        <v>0</v>
      </c>
      <c r="T52" s="10"/>
      <c r="U52" s="11">
        <v>0</v>
      </c>
    </row>
    <row r="53" spans="1:21" x14ac:dyDescent="0.45">
      <c r="A53" s="12">
        <v>97</v>
      </c>
      <c r="B53" s="12">
        <v>0</v>
      </c>
      <c r="C53" s="12" t="s">
        <v>140</v>
      </c>
      <c r="D53" s="12" t="s">
        <v>140</v>
      </c>
      <c r="E53" s="12">
        <v>0</v>
      </c>
      <c r="F53" s="12">
        <v>0</v>
      </c>
      <c r="G53" s="12">
        <v>1</v>
      </c>
      <c r="H53" s="12">
        <v>2</v>
      </c>
      <c r="I53" s="12">
        <v>0</v>
      </c>
      <c r="J53" s="10"/>
      <c r="K53" s="10" t="s">
        <v>445</v>
      </c>
      <c r="L53" s="10"/>
      <c r="M53" s="11">
        <v>0</v>
      </c>
      <c r="N53" s="10"/>
      <c r="O53" s="11">
        <v>0</v>
      </c>
      <c r="P53" s="10"/>
      <c r="Q53" s="11">
        <v>0</v>
      </c>
      <c r="R53" s="10"/>
      <c r="S53" s="11">
        <v>0</v>
      </c>
      <c r="T53" s="10"/>
      <c r="U53" s="11">
        <v>0</v>
      </c>
    </row>
    <row r="54" spans="1:21" x14ac:dyDescent="0.45">
      <c r="A54" s="12">
        <v>98</v>
      </c>
      <c r="B54" s="12">
        <v>1</v>
      </c>
      <c r="C54" s="12" t="s">
        <v>141</v>
      </c>
      <c r="D54" s="12" t="s">
        <v>10</v>
      </c>
      <c r="E54" s="12">
        <v>0</v>
      </c>
      <c r="F54" s="12">
        <v>99</v>
      </c>
      <c r="G54" s="12">
        <v>1</v>
      </c>
      <c r="H54" s="12">
        <v>1</v>
      </c>
      <c r="I54" s="12">
        <v>0</v>
      </c>
      <c r="J54" s="10"/>
      <c r="K54" s="10" t="s">
        <v>445</v>
      </c>
      <c r="L54" s="10"/>
      <c r="M54" s="11">
        <v>0</v>
      </c>
      <c r="N54" s="10"/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</row>
    <row r="55" spans="1:21" x14ac:dyDescent="0.45">
      <c r="A55" s="12">
        <v>99</v>
      </c>
      <c r="B55" s="12">
        <v>0</v>
      </c>
      <c r="C55" s="12" t="s">
        <v>142</v>
      </c>
      <c r="D55" s="12" t="s">
        <v>142</v>
      </c>
      <c r="E55" s="12">
        <v>0</v>
      </c>
      <c r="F55" s="12">
        <v>0</v>
      </c>
      <c r="G55" s="12">
        <v>1</v>
      </c>
      <c r="H55" s="12">
        <v>1</v>
      </c>
      <c r="I55" s="12">
        <v>0</v>
      </c>
      <c r="J55" s="10"/>
      <c r="K55" s="10" t="s">
        <v>445</v>
      </c>
      <c r="L55" s="10"/>
      <c r="M55" s="11"/>
      <c r="N55" s="10"/>
      <c r="O55" s="11"/>
      <c r="P55" s="10"/>
      <c r="Q55" s="11"/>
      <c r="R55" s="10"/>
      <c r="S55" s="11"/>
      <c r="T55" s="10"/>
      <c r="U55" s="11"/>
    </row>
    <row r="56" spans="1:21" x14ac:dyDescent="0.45">
      <c r="A56" s="12">
        <v>100</v>
      </c>
      <c r="B56" s="12">
        <v>1</v>
      </c>
      <c r="C56" s="12" t="s">
        <v>143</v>
      </c>
      <c r="D56" s="12" t="s">
        <v>143</v>
      </c>
      <c r="E56" s="12">
        <v>0</v>
      </c>
      <c r="F56" s="12">
        <v>101</v>
      </c>
      <c r="G56" s="12">
        <v>1</v>
      </c>
      <c r="H56" s="12">
        <v>1</v>
      </c>
      <c r="I56" s="12">
        <v>0</v>
      </c>
      <c r="J56" s="10"/>
      <c r="K56" s="10" t="s">
        <v>445</v>
      </c>
      <c r="L56" s="10"/>
      <c r="M56" s="11">
        <v>0</v>
      </c>
      <c r="N56" s="10"/>
      <c r="O56" s="11">
        <v>0</v>
      </c>
      <c r="P56" s="10"/>
      <c r="Q56" s="11">
        <v>0</v>
      </c>
      <c r="R56" s="10"/>
      <c r="S56" s="11">
        <v>0</v>
      </c>
      <c r="T56" s="10"/>
      <c r="U56" s="11">
        <v>0</v>
      </c>
    </row>
    <row r="57" spans="1:21" x14ac:dyDescent="0.45">
      <c r="A57" s="12">
        <v>101</v>
      </c>
      <c r="B57" s="12">
        <v>0</v>
      </c>
      <c r="C57" s="12" t="s">
        <v>144</v>
      </c>
      <c r="D57" s="12" t="s">
        <v>144</v>
      </c>
      <c r="E57" s="12">
        <v>0</v>
      </c>
      <c r="F57" s="12">
        <v>0</v>
      </c>
      <c r="G57" s="12">
        <v>1</v>
      </c>
      <c r="H57" s="12">
        <v>1</v>
      </c>
      <c r="I57" s="12">
        <v>0</v>
      </c>
      <c r="J57" s="10"/>
      <c r="K57" s="10" t="s">
        <v>445</v>
      </c>
      <c r="L57" s="10"/>
      <c r="M57" s="11"/>
      <c r="N57" s="10"/>
      <c r="O57" s="11"/>
      <c r="P57" s="10"/>
      <c r="Q57" s="11"/>
      <c r="R57" s="10"/>
      <c r="S57" s="11"/>
      <c r="T57" s="10"/>
      <c r="U57" s="11"/>
    </row>
    <row r="58" spans="1:21" x14ac:dyDescent="0.45">
      <c r="A58" s="12">
        <v>102</v>
      </c>
      <c r="B58" s="12">
        <v>1</v>
      </c>
      <c r="C58" s="12" t="s">
        <v>145</v>
      </c>
      <c r="D58" s="12" t="s">
        <v>146</v>
      </c>
      <c r="E58" s="12">
        <v>0</v>
      </c>
      <c r="F58" s="12">
        <v>103</v>
      </c>
      <c r="G58" s="12">
        <v>1</v>
      </c>
      <c r="H58" s="12">
        <v>2</v>
      </c>
      <c r="I58" s="12">
        <v>0</v>
      </c>
      <c r="J58" s="10"/>
      <c r="K58" s="10" t="s">
        <v>445</v>
      </c>
      <c r="L58" s="10"/>
      <c r="M58" s="11">
        <v>0</v>
      </c>
      <c r="N58" s="10"/>
      <c r="O58" s="11">
        <v>0</v>
      </c>
      <c r="P58" s="10"/>
      <c r="Q58" s="11">
        <v>0</v>
      </c>
      <c r="R58" s="10"/>
      <c r="S58" s="11">
        <v>0</v>
      </c>
      <c r="T58" s="10"/>
      <c r="U58" s="11">
        <v>0</v>
      </c>
    </row>
    <row r="59" spans="1:21" x14ac:dyDescent="0.45">
      <c r="A59" s="12">
        <v>103</v>
      </c>
      <c r="B59" s="12">
        <v>0</v>
      </c>
      <c r="C59" s="12" t="s">
        <v>147</v>
      </c>
      <c r="D59" s="12" t="s">
        <v>146</v>
      </c>
      <c r="E59" s="12">
        <v>0</v>
      </c>
      <c r="F59" s="12">
        <v>0</v>
      </c>
      <c r="G59" s="12">
        <v>1</v>
      </c>
      <c r="H59" s="12">
        <v>2</v>
      </c>
      <c r="I59" s="12">
        <v>0</v>
      </c>
      <c r="J59" s="10"/>
      <c r="K59" s="10" t="s">
        <v>445</v>
      </c>
      <c r="L59" s="10"/>
      <c r="M59" s="11">
        <v>0</v>
      </c>
      <c r="N59" s="10"/>
      <c r="O59" s="11">
        <v>0</v>
      </c>
      <c r="P59" s="10"/>
      <c r="Q59" s="11">
        <v>0</v>
      </c>
      <c r="R59" s="10"/>
      <c r="S59" s="11">
        <v>0</v>
      </c>
      <c r="T59" s="10"/>
      <c r="U59" s="11">
        <v>0</v>
      </c>
    </row>
    <row r="60" spans="1:21" x14ac:dyDescent="0.45">
      <c r="A60" s="12">
        <v>104</v>
      </c>
      <c r="B60" s="12">
        <v>1</v>
      </c>
      <c r="C60" s="12" t="s">
        <v>148</v>
      </c>
      <c r="D60" s="12" t="s">
        <v>149</v>
      </c>
      <c r="E60" s="12">
        <v>0</v>
      </c>
      <c r="F60" s="12">
        <v>105</v>
      </c>
      <c r="G60" s="12">
        <v>1</v>
      </c>
      <c r="H60" s="12">
        <v>2</v>
      </c>
      <c r="I60" s="12">
        <v>0</v>
      </c>
      <c r="J60" s="10"/>
      <c r="K60" s="10" t="s">
        <v>445</v>
      </c>
      <c r="L60" s="10"/>
      <c r="M60" s="11">
        <v>0</v>
      </c>
      <c r="N60" s="10"/>
      <c r="O60" s="11">
        <v>0</v>
      </c>
      <c r="P60" s="10"/>
      <c r="Q60" s="11">
        <v>0</v>
      </c>
      <c r="R60" s="10"/>
      <c r="S60" s="11">
        <v>0</v>
      </c>
      <c r="T60" s="10"/>
      <c r="U60" s="11">
        <v>0</v>
      </c>
    </row>
    <row r="61" spans="1:21" x14ac:dyDescent="0.45">
      <c r="A61" s="12">
        <v>105</v>
      </c>
      <c r="B61" s="12">
        <v>0</v>
      </c>
      <c r="C61" s="12" t="s">
        <v>150</v>
      </c>
      <c r="D61" s="12" t="s">
        <v>149</v>
      </c>
      <c r="E61" s="12">
        <v>0</v>
      </c>
      <c r="F61" s="12">
        <v>0</v>
      </c>
      <c r="G61" s="12">
        <v>1</v>
      </c>
      <c r="H61" s="12">
        <v>2</v>
      </c>
      <c r="I61" s="12">
        <v>0</v>
      </c>
      <c r="J61" s="10"/>
      <c r="K61" s="10" t="s">
        <v>445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</row>
    <row r="62" spans="1:21" x14ac:dyDescent="0.45">
      <c r="A62" s="12">
        <v>106</v>
      </c>
      <c r="B62" s="12">
        <v>1</v>
      </c>
      <c r="C62" s="12" t="s">
        <v>151</v>
      </c>
      <c r="D62" s="12" t="s">
        <v>152</v>
      </c>
      <c r="E62" s="12">
        <v>0</v>
      </c>
      <c r="F62" s="12">
        <v>107</v>
      </c>
      <c r="G62" s="12">
        <v>1</v>
      </c>
      <c r="H62" s="12">
        <v>2</v>
      </c>
      <c r="I62" s="12">
        <v>0</v>
      </c>
      <c r="J62" s="10"/>
      <c r="K62" s="10" t="s">
        <v>445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</row>
    <row r="63" spans="1:21" x14ac:dyDescent="0.45">
      <c r="A63" s="12">
        <v>107</v>
      </c>
      <c r="B63" s="12">
        <v>0</v>
      </c>
      <c r="C63" s="12" t="s">
        <v>153</v>
      </c>
      <c r="D63" s="12" t="s">
        <v>152</v>
      </c>
      <c r="E63" s="12">
        <v>0</v>
      </c>
      <c r="F63" s="12">
        <v>0</v>
      </c>
      <c r="G63" s="12">
        <v>1</v>
      </c>
      <c r="H63" s="12">
        <v>2</v>
      </c>
      <c r="I63" s="12">
        <v>0</v>
      </c>
      <c r="J63" s="10"/>
      <c r="K63" s="10" t="s">
        <v>445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</row>
    <row r="64" spans="1:21" x14ac:dyDescent="0.45">
      <c r="A64" s="12">
        <v>108</v>
      </c>
      <c r="B64" s="12">
        <v>1</v>
      </c>
      <c r="C64" s="12" t="s">
        <v>154</v>
      </c>
      <c r="D64" s="232" t="s">
        <v>450</v>
      </c>
      <c r="E64" s="12">
        <v>0</v>
      </c>
      <c r="F64" s="12">
        <v>109</v>
      </c>
      <c r="G64" s="12">
        <v>3</v>
      </c>
      <c r="H64" s="12">
        <v>0</v>
      </c>
      <c r="I64" s="12">
        <v>0</v>
      </c>
      <c r="J64" s="10"/>
      <c r="K64" s="10" t="s">
        <v>445</v>
      </c>
      <c r="L64" s="10"/>
      <c r="M64" s="11"/>
      <c r="N64" s="10"/>
      <c r="O64" s="11"/>
      <c r="P64" s="10"/>
      <c r="Q64" s="11"/>
      <c r="R64" s="10"/>
      <c r="S64" s="11"/>
      <c r="T64" s="10"/>
      <c r="U64" s="11"/>
    </row>
    <row r="65" spans="1:21" x14ac:dyDescent="0.45">
      <c r="A65" s="12">
        <v>109</v>
      </c>
      <c r="B65" s="12">
        <v>0</v>
      </c>
      <c r="C65" s="12" t="s">
        <v>155</v>
      </c>
      <c r="D65" s="12" t="s">
        <v>155</v>
      </c>
      <c r="E65" s="12">
        <v>0</v>
      </c>
      <c r="F65" s="12">
        <v>0</v>
      </c>
      <c r="G65" s="12">
        <v>3</v>
      </c>
      <c r="H65" s="12">
        <v>0</v>
      </c>
      <c r="I65" s="12">
        <v>0</v>
      </c>
      <c r="J65" s="10"/>
      <c r="K65" s="10" t="s">
        <v>445</v>
      </c>
      <c r="L65" s="10"/>
      <c r="M65" s="11"/>
      <c r="N65" s="10"/>
      <c r="O65" s="11"/>
      <c r="P65" s="10"/>
      <c r="Q65" s="11"/>
      <c r="R65" s="10"/>
      <c r="S65" s="11"/>
      <c r="T65" s="10"/>
      <c r="U65" s="11"/>
    </row>
    <row r="66" spans="1:21" x14ac:dyDescent="0.45">
      <c r="A66" s="12">
        <v>112</v>
      </c>
      <c r="B66" s="12">
        <v>1</v>
      </c>
      <c r="C66" s="12" t="s">
        <v>156</v>
      </c>
      <c r="D66" s="232" t="s">
        <v>451</v>
      </c>
      <c r="E66" s="12">
        <v>0</v>
      </c>
      <c r="F66" s="12">
        <v>113</v>
      </c>
      <c r="G66" s="12">
        <v>3</v>
      </c>
      <c r="H66" s="12">
        <v>0</v>
      </c>
      <c r="I66" s="12">
        <v>0</v>
      </c>
      <c r="J66" s="10"/>
      <c r="K66" s="10" t="s">
        <v>445</v>
      </c>
      <c r="L66" s="10"/>
      <c r="M66" s="11"/>
      <c r="N66" s="10"/>
      <c r="O66" s="11"/>
      <c r="P66" s="10"/>
      <c r="Q66" s="11"/>
      <c r="R66" s="10"/>
      <c r="S66" s="11"/>
      <c r="T66" s="10"/>
      <c r="U66" s="11"/>
    </row>
    <row r="67" spans="1:21" x14ac:dyDescent="0.45">
      <c r="A67" s="12">
        <v>113</v>
      </c>
      <c r="B67" s="12">
        <v>0</v>
      </c>
      <c r="C67" s="12" t="s">
        <v>157</v>
      </c>
      <c r="D67" s="12" t="s">
        <v>157</v>
      </c>
      <c r="E67" s="12">
        <v>0</v>
      </c>
      <c r="F67" s="12">
        <v>0</v>
      </c>
      <c r="G67" s="12">
        <v>3</v>
      </c>
      <c r="H67" s="12">
        <v>0</v>
      </c>
      <c r="I67" s="12">
        <v>0</v>
      </c>
      <c r="J67" s="10"/>
      <c r="K67" s="10" t="s">
        <v>445</v>
      </c>
      <c r="L67" s="10"/>
      <c r="M67" s="11"/>
      <c r="N67" s="10"/>
      <c r="O67" s="11"/>
      <c r="P67" s="10"/>
      <c r="Q67" s="11"/>
      <c r="R67" s="10"/>
      <c r="S67" s="11"/>
      <c r="T67" s="10"/>
      <c r="U67" s="11"/>
    </row>
    <row r="68" spans="1:21" x14ac:dyDescent="0.45">
      <c r="A68" s="12">
        <v>114</v>
      </c>
      <c r="B68" s="12">
        <v>1</v>
      </c>
      <c r="C68" s="12" t="s">
        <v>6</v>
      </c>
      <c r="D68" s="12" t="s">
        <v>6</v>
      </c>
      <c r="E68" s="12">
        <v>0</v>
      </c>
      <c r="F68" s="12">
        <v>484</v>
      </c>
      <c r="G68" s="12">
        <v>3</v>
      </c>
      <c r="H68" s="12">
        <v>0</v>
      </c>
      <c r="I68" s="12">
        <v>0</v>
      </c>
      <c r="J68" s="10"/>
      <c r="K68" s="10" t="s">
        <v>445</v>
      </c>
      <c r="L68" s="10"/>
      <c r="M68" s="11">
        <v>0</v>
      </c>
      <c r="N68" s="10"/>
      <c r="O68" s="11">
        <v>0</v>
      </c>
      <c r="P68" s="10"/>
      <c r="Q68" s="11">
        <v>0</v>
      </c>
      <c r="R68" s="10"/>
      <c r="S68" s="11">
        <v>0</v>
      </c>
      <c r="T68" s="10"/>
      <c r="U68" s="11">
        <v>0</v>
      </c>
    </row>
    <row r="69" spans="1:21" x14ac:dyDescent="0.45">
      <c r="A69" s="12">
        <v>115</v>
      </c>
      <c r="B69" s="12">
        <v>1</v>
      </c>
      <c r="C69" s="12" t="s">
        <v>158</v>
      </c>
      <c r="D69" s="12" t="s">
        <v>158</v>
      </c>
      <c r="E69" s="12">
        <v>0</v>
      </c>
      <c r="F69" s="12">
        <v>0</v>
      </c>
      <c r="G69" s="12">
        <v>3</v>
      </c>
      <c r="H69" s="12">
        <v>0</v>
      </c>
      <c r="I69" s="12">
        <v>0</v>
      </c>
      <c r="J69" s="10"/>
      <c r="K69" s="10" t="s">
        <v>445</v>
      </c>
      <c r="L69" s="10" t="s">
        <v>158</v>
      </c>
      <c r="M69" s="11">
        <v>0</v>
      </c>
      <c r="N69" s="10"/>
      <c r="O69" s="11">
        <v>0</v>
      </c>
      <c r="P69" s="10"/>
      <c r="Q69" s="11">
        <v>0</v>
      </c>
      <c r="R69" s="10"/>
      <c r="S69" s="11">
        <v>0</v>
      </c>
      <c r="T69" s="10"/>
      <c r="U69" s="11">
        <v>0</v>
      </c>
    </row>
    <row r="70" spans="1:21" x14ac:dyDescent="0.45">
      <c r="A70" s="12">
        <v>116</v>
      </c>
      <c r="B70" s="12">
        <v>1</v>
      </c>
      <c r="C70" s="12" t="s">
        <v>159</v>
      </c>
      <c r="D70" s="12" t="s">
        <v>159</v>
      </c>
      <c r="E70" s="12">
        <v>0</v>
      </c>
      <c r="F70" s="12">
        <v>0</v>
      </c>
      <c r="G70" s="12">
        <v>3</v>
      </c>
      <c r="H70" s="12">
        <v>2</v>
      </c>
      <c r="I70" s="12">
        <v>0</v>
      </c>
      <c r="J70" s="10"/>
      <c r="K70" s="10" t="s">
        <v>445</v>
      </c>
      <c r="L70" s="10" t="s">
        <v>159</v>
      </c>
      <c r="M70" s="11">
        <v>0</v>
      </c>
      <c r="N70" s="10"/>
      <c r="O70" s="11">
        <v>0</v>
      </c>
      <c r="P70" s="10"/>
      <c r="Q70" s="11">
        <v>0</v>
      </c>
      <c r="R70" s="10"/>
      <c r="S70" s="11">
        <v>0</v>
      </c>
      <c r="T70" s="10"/>
      <c r="U70" s="11">
        <v>0</v>
      </c>
    </row>
    <row r="71" spans="1:21" x14ac:dyDescent="0.45">
      <c r="A71" s="12">
        <v>117</v>
      </c>
      <c r="B71" s="12">
        <v>1</v>
      </c>
      <c r="C71" s="12" t="s">
        <v>160</v>
      </c>
      <c r="D71" s="12" t="s">
        <v>160</v>
      </c>
      <c r="E71" s="12">
        <v>0</v>
      </c>
      <c r="F71" s="12">
        <v>0</v>
      </c>
      <c r="G71" s="12">
        <v>3</v>
      </c>
      <c r="H71" s="12">
        <v>0</v>
      </c>
      <c r="I71" s="12">
        <v>0</v>
      </c>
      <c r="J71" s="10"/>
      <c r="K71" s="10" t="s">
        <v>445</v>
      </c>
      <c r="L71" s="10"/>
      <c r="M71" s="11"/>
      <c r="N71" s="10"/>
      <c r="O71" s="11"/>
      <c r="P71" s="10"/>
      <c r="Q71" s="11"/>
      <c r="R71" s="10"/>
      <c r="S71" s="11"/>
      <c r="T71" s="10"/>
      <c r="U71" s="11"/>
    </row>
    <row r="72" spans="1:21" x14ac:dyDescent="0.45">
      <c r="A72" s="12">
        <v>118</v>
      </c>
      <c r="B72" s="12">
        <v>1</v>
      </c>
      <c r="C72" s="12" t="s">
        <v>161</v>
      </c>
      <c r="D72" s="12" t="s">
        <v>161</v>
      </c>
      <c r="E72" s="12">
        <v>0</v>
      </c>
      <c r="F72" s="12">
        <v>0</v>
      </c>
      <c r="G72" s="12">
        <v>3</v>
      </c>
      <c r="H72" s="12">
        <v>0</v>
      </c>
      <c r="I72" s="12">
        <v>0</v>
      </c>
      <c r="J72" s="10"/>
      <c r="K72" s="10" t="s">
        <v>445</v>
      </c>
      <c r="L72" s="10"/>
      <c r="M72" s="11"/>
      <c r="N72" s="10"/>
      <c r="O72" s="11"/>
      <c r="P72" s="10"/>
      <c r="Q72" s="11"/>
      <c r="R72" s="10"/>
      <c r="S72" s="11"/>
      <c r="T72" s="10"/>
      <c r="U72" s="11"/>
    </row>
    <row r="73" spans="1:21" x14ac:dyDescent="0.45">
      <c r="A73" s="12">
        <v>119</v>
      </c>
      <c r="B73" s="12">
        <v>1</v>
      </c>
      <c r="C73" s="12" t="s">
        <v>162</v>
      </c>
      <c r="D73" s="12" t="s">
        <v>162</v>
      </c>
      <c r="E73" s="12">
        <v>0</v>
      </c>
      <c r="F73" s="12">
        <v>0</v>
      </c>
      <c r="G73" s="12">
        <v>3</v>
      </c>
      <c r="H73" s="12">
        <v>0</v>
      </c>
      <c r="I73" s="12">
        <v>0</v>
      </c>
      <c r="J73" s="10"/>
      <c r="K73" s="10" t="s">
        <v>445</v>
      </c>
      <c r="L73" s="10"/>
      <c r="M73" s="11"/>
      <c r="N73" s="10"/>
      <c r="O73" s="11"/>
      <c r="P73" s="10"/>
      <c r="Q73" s="11"/>
      <c r="R73" s="10"/>
      <c r="S73" s="11"/>
      <c r="T73" s="10"/>
      <c r="U73" s="11"/>
    </row>
    <row r="74" spans="1:21" x14ac:dyDescent="0.45">
      <c r="A74" s="12">
        <v>120</v>
      </c>
      <c r="B74" s="12">
        <v>1</v>
      </c>
      <c r="C74" s="12" t="s">
        <v>163</v>
      </c>
      <c r="D74" s="12" t="s">
        <v>163</v>
      </c>
      <c r="E74" s="12">
        <v>0</v>
      </c>
      <c r="F74" s="12">
        <v>0</v>
      </c>
      <c r="G74" s="12">
        <v>3</v>
      </c>
      <c r="H74" s="12">
        <v>0</v>
      </c>
      <c r="I74" s="12">
        <v>0</v>
      </c>
      <c r="J74" s="10"/>
      <c r="K74" s="10" t="s">
        <v>445</v>
      </c>
      <c r="L74" s="10"/>
      <c r="M74" s="11"/>
      <c r="N74" s="10"/>
      <c r="O74" s="11"/>
      <c r="P74" s="10"/>
      <c r="Q74" s="11"/>
      <c r="R74" s="10"/>
      <c r="S74" s="11"/>
      <c r="T74" s="10"/>
      <c r="U74" s="11"/>
    </row>
    <row r="75" spans="1:21" x14ac:dyDescent="0.45">
      <c r="A75" s="12">
        <v>121</v>
      </c>
      <c r="B75" s="12">
        <v>1</v>
      </c>
      <c r="C75" s="12" t="s">
        <v>14</v>
      </c>
      <c r="D75" s="12" t="s">
        <v>14</v>
      </c>
      <c r="E75" s="12">
        <v>0</v>
      </c>
      <c r="F75" s="12">
        <v>0</v>
      </c>
      <c r="G75" s="12">
        <v>3</v>
      </c>
      <c r="H75" s="12">
        <v>0</v>
      </c>
      <c r="I75" s="12">
        <v>0</v>
      </c>
      <c r="J75" s="10"/>
      <c r="K75" s="10" t="s">
        <v>445</v>
      </c>
      <c r="L75" s="10"/>
      <c r="M75" s="11"/>
      <c r="N75" s="10"/>
      <c r="O75" s="11"/>
      <c r="P75" s="10"/>
      <c r="Q75" s="11"/>
      <c r="R75" s="10"/>
      <c r="S75" s="11"/>
      <c r="T75" s="10"/>
      <c r="U75" s="11"/>
    </row>
    <row r="76" spans="1:21" x14ac:dyDescent="0.45">
      <c r="A76" s="12">
        <v>122</v>
      </c>
      <c r="B76" s="12">
        <v>1</v>
      </c>
      <c r="C76" s="12" t="s">
        <v>164</v>
      </c>
      <c r="D76" s="12" t="s">
        <v>164</v>
      </c>
      <c r="E76" s="12">
        <v>0</v>
      </c>
      <c r="F76" s="12">
        <v>0</v>
      </c>
      <c r="G76" s="12">
        <v>3</v>
      </c>
      <c r="H76" s="12">
        <v>0</v>
      </c>
      <c r="I76" s="12">
        <v>0</v>
      </c>
      <c r="J76" s="10"/>
      <c r="K76" s="10" t="s">
        <v>445</v>
      </c>
      <c r="L76" s="10"/>
      <c r="M76" s="11"/>
      <c r="N76" s="10"/>
      <c r="O76" s="11"/>
      <c r="P76" s="10"/>
      <c r="Q76" s="11"/>
      <c r="R76" s="10"/>
      <c r="S76" s="11"/>
      <c r="T76" s="10"/>
      <c r="U76" s="11"/>
    </row>
    <row r="77" spans="1:21" x14ac:dyDescent="0.45">
      <c r="A77" s="12">
        <v>123</v>
      </c>
      <c r="B77" s="12">
        <v>0</v>
      </c>
      <c r="C77" s="12" t="s">
        <v>165</v>
      </c>
      <c r="D77" s="12" t="s">
        <v>165</v>
      </c>
      <c r="E77" s="12">
        <v>0</v>
      </c>
      <c r="F77" s="12">
        <v>0</v>
      </c>
      <c r="G77" s="12">
        <v>1</v>
      </c>
      <c r="H77" s="12">
        <v>0</v>
      </c>
      <c r="I77" s="12">
        <v>0</v>
      </c>
      <c r="J77" s="10"/>
      <c r="K77" s="10" t="s">
        <v>445</v>
      </c>
      <c r="L77" s="10"/>
      <c r="M77" s="11">
        <v>0</v>
      </c>
      <c r="N77" s="10"/>
      <c r="O77" s="11">
        <v>0</v>
      </c>
      <c r="P77" s="10"/>
      <c r="Q77" s="11">
        <v>0</v>
      </c>
      <c r="R77" s="10"/>
      <c r="S77" s="11">
        <v>0</v>
      </c>
      <c r="T77" s="10"/>
      <c r="U77" s="11">
        <v>0</v>
      </c>
    </row>
    <row r="78" spans="1:21" x14ac:dyDescent="0.45">
      <c r="A78" s="12">
        <v>127</v>
      </c>
      <c r="B78" s="12">
        <v>1</v>
      </c>
      <c r="C78" s="12" t="s">
        <v>166</v>
      </c>
      <c r="D78" s="12" t="s">
        <v>166</v>
      </c>
      <c r="E78" s="12">
        <v>0</v>
      </c>
      <c r="F78" s="12">
        <v>0</v>
      </c>
      <c r="G78" s="12">
        <v>3</v>
      </c>
      <c r="H78" s="12">
        <v>0</v>
      </c>
      <c r="I78" s="12">
        <v>0</v>
      </c>
      <c r="J78" s="10"/>
      <c r="K78" s="10" t="s">
        <v>445</v>
      </c>
      <c r="L78" s="10"/>
      <c r="M78" s="11"/>
      <c r="N78" s="10"/>
      <c r="O78" s="11"/>
      <c r="P78" s="10"/>
      <c r="Q78" s="11"/>
      <c r="R78" s="10"/>
      <c r="S78" s="11"/>
      <c r="T78" s="10"/>
      <c r="U78" s="11"/>
    </row>
    <row r="79" spans="1:21" x14ac:dyDescent="0.45">
      <c r="A79" s="12">
        <v>128</v>
      </c>
      <c r="B79" s="12">
        <v>1</v>
      </c>
      <c r="C79" s="12" t="s">
        <v>167</v>
      </c>
      <c r="D79" s="12" t="s">
        <v>167</v>
      </c>
      <c r="E79" s="12">
        <v>0</v>
      </c>
      <c r="F79" s="12">
        <v>0</v>
      </c>
      <c r="G79" s="12">
        <v>3</v>
      </c>
      <c r="H79" s="12">
        <v>0</v>
      </c>
      <c r="I79" s="12">
        <v>0</v>
      </c>
      <c r="J79" s="10"/>
      <c r="K79" s="10" t="s">
        <v>445</v>
      </c>
      <c r="L79" s="10"/>
      <c r="M79" s="11"/>
      <c r="N79" s="10"/>
      <c r="O79" s="11"/>
      <c r="P79" s="10"/>
      <c r="Q79" s="11"/>
      <c r="R79" s="10"/>
      <c r="S79" s="11"/>
      <c r="T79" s="10"/>
      <c r="U79" s="11"/>
    </row>
    <row r="80" spans="1:21" x14ac:dyDescent="0.45">
      <c r="A80" s="12">
        <v>129</v>
      </c>
      <c r="B80" s="12">
        <v>1</v>
      </c>
      <c r="C80" s="12" t="s">
        <v>168</v>
      </c>
      <c r="D80" s="12" t="s">
        <v>168</v>
      </c>
      <c r="E80" s="12">
        <v>0</v>
      </c>
      <c r="F80" s="12">
        <v>0</v>
      </c>
      <c r="G80" s="12">
        <v>1</v>
      </c>
      <c r="H80" s="12">
        <v>1</v>
      </c>
      <c r="I80" s="12">
        <v>69</v>
      </c>
      <c r="J80" s="10"/>
      <c r="K80" s="10" t="s">
        <v>445</v>
      </c>
      <c r="L80" s="10"/>
      <c r="M80" s="11">
        <v>0</v>
      </c>
      <c r="N80" s="10"/>
      <c r="O80" s="11">
        <v>0</v>
      </c>
      <c r="P80" s="10"/>
      <c r="Q80" s="11">
        <v>0</v>
      </c>
      <c r="R80" s="10"/>
      <c r="S80" s="11">
        <v>0</v>
      </c>
      <c r="T80" s="10"/>
      <c r="U80" s="11">
        <v>0</v>
      </c>
    </row>
    <row r="81" spans="1:21" x14ac:dyDescent="0.45">
      <c r="A81" s="12">
        <v>130</v>
      </c>
      <c r="B81" s="12">
        <v>1</v>
      </c>
      <c r="C81" s="12" t="s">
        <v>169</v>
      </c>
      <c r="D81" s="12" t="s">
        <v>169</v>
      </c>
      <c r="E81" s="12">
        <v>0</v>
      </c>
      <c r="F81" s="12">
        <v>0</v>
      </c>
      <c r="G81" s="12">
        <v>3</v>
      </c>
      <c r="H81" s="12">
        <v>0</v>
      </c>
      <c r="I81" s="12">
        <v>0</v>
      </c>
      <c r="J81" s="10"/>
      <c r="K81" s="10" t="s">
        <v>445</v>
      </c>
      <c r="L81" s="10"/>
      <c r="M81" s="11">
        <v>0</v>
      </c>
      <c r="N81" s="10"/>
      <c r="O81" s="11">
        <v>0</v>
      </c>
      <c r="P81" s="10"/>
      <c r="Q81" s="11">
        <v>0</v>
      </c>
      <c r="R81" s="10"/>
      <c r="S81" s="11">
        <v>0</v>
      </c>
      <c r="T81" s="10"/>
      <c r="U81" s="11">
        <v>0</v>
      </c>
    </row>
    <row r="82" spans="1:21" x14ac:dyDescent="0.45">
      <c r="A82" s="12">
        <v>131</v>
      </c>
      <c r="B82" s="12">
        <v>1</v>
      </c>
      <c r="C82" s="12" t="s">
        <v>170</v>
      </c>
      <c r="D82" s="12" t="s">
        <v>170</v>
      </c>
      <c r="E82" s="12">
        <v>0</v>
      </c>
      <c r="F82" s="12">
        <v>0</v>
      </c>
      <c r="G82" s="12">
        <v>3</v>
      </c>
      <c r="H82" s="12">
        <v>0</v>
      </c>
      <c r="I82" s="12">
        <v>0</v>
      </c>
      <c r="J82" s="10"/>
      <c r="K82" s="10" t="s">
        <v>445</v>
      </c>
      <c r="L82" s="10"/>
      <c r="M82" s="11"/>
      <c r="N82" s="10"/>
      <c r="O82" s="11"/>
      <c r="P82" s="10"/>
      <c r="Q82" s="11"/>
      <c r="R82" s="10"/>
      <c r="S82" s="11"/>
      <c r="T82" s="10"/>
      <c r="U82" s="11"/>
    </row>
    <row r="83" spans="1:21" x14ac:dyDescent="0.45">
      <c r="A83" s="12">
        <v>132</v>
      </c>
      <c r="B83" s="12">
        <v>1</v>
      </c>
      <c r="C83" s="12" t="s">
        <v>171</v>
      </c>
      <c r="D83" s="12" t="s">
        <v>171</v>
      </c>
      <c r="E83" s="12">
        <v>0</v>
      </c>
      <c r="F83" s="12">
        <v>0</v>
      </c>
      <c r="G83" s="12">
        <v>2</v>
      </c>
      <c r="H83" s="12">
        <v>0</v>
      </c>
      <c r="I83" s="12">
        <v>0</v>
      </c>
      <c r="J83" s="10"/>
      <c r="K83" s="10" t="s">
        <v>445</v>
      </c>
      <c r="L83" s="10"/>
      <c r="M83" s="11"/>
      <c r="N83" s="10"/>
      <c r="O83" s="11"/>
      <c r="P83" s="10"/>
      <c r="Q83" s="11"/>
      <c r="R83" s="10"/>
      <c r="S83" s="11"/>
      <c r="T83" s="10"/>
      <c r="U83" s="11"/>
    </row>
    <row r="84" spans="1:21" x14ac:dyDescent="0.45">
      <c r="A84" s="12">
        <v>134</v>
      </c>
      <c r="B84" s="12">
        <v>1</v>
      </c>
      <c r="C84" s="12" t="s">
        <v>173</v>
      </c>
      <c r="D84" s="12" t="s">
        <v>173</v>
      </c>
      <c r="E84" s="12">
        <v>0</v>
      </c>
      <c r="F84" s="12">
        <v>604</v>
      </c>
      <c r="G84" s="12">
        <v>1</v>
      </c>
      <c r="H84" s="12">
        <v>1</v>
      </c>
      <c r="I84" s="12">
        <v>0</v>
      </c>
      <c r="J84" s="10"/>
      <c r="K84" s="10" t="s">
        <v>445</v>
      </c>
      <c r="L84" s="10"/>
      <c r="M84" s="11">
        <v>0</v>
      </c>
      <c r="N84" s="10"/>
      <c r="O84" s="11">
        <v>0</v>
      </c>
      <c r="P84" s="10"/>
      <c r="Q84" s="11">
        <v>0</v>
      </c>
      <c r="R84" s="10"/>
      <c r="S84" s="11">
        <v>0</v>
      </c>
      <c r="T84" s="10"/>
      <c r="U84" s="11">
        <v>0</v>
      </c>
    </row>
    <row r="85" spans="1:21" x14ac:dyDescent="0.45">
      <c r="A85" s="12">
        <v>135</v>
      </c>
      <c r="B85" s="12">
        <v>1</v>
      </c>
      <c r="C85" s="12" t="s">
        <v>174</v>
      </c>
      <c r="D85" s="12" t="s">
        <v>174</v>
      </c>
      <c r="E85" s="12">
        <v>0</v>
      </c>
      <c r="F85" s="12">
        <v>0</v>
      </c>
      <c r="G85" s="12">
        <v>2</v>
      </c>
      <c r="H85" s="12">
        <v>0</v>
      </c>
      <c r="I85" s="12">
        <v>0</v>
      </c>
      <c r="J85" s="10"/>
      <c r="K85" s="10" t="s">
        <v>445</v>
      </c>
      <c r="L85" s="10"/>
      <c r="M85" s="11"/>
      <c r="N85" s="10"/>
      <c r="O85" s="11"/>
      <c r="P85" s="10"/>
      <c r="Q85" s="11"/>
      <c r="R85" s="10"/>
      <c r="S85" s="11"/>
      <c r="T85" s="10"/>
      <c r="U85" s="11"/>
    </row>
    <row r="86" spans="1:21" x14ac:dyDescent="0.45">
      <c r="A86" s="12">
        <v>136</v>
      </c>
      <c r="B86" s="12">
        <v>1</v>
      </c>
      <c r="C86" s="12" t="s">
        <v>175</v>
      </c>
      <c r="D86" s="12" t="s">
        <v>175</v>
      </c>
      <c r="E86" s="12">
        <v>0</v>
      </c>
      <c r="F86" s="12">
        <v>522</v>
      </c>
      <c r="G86" s="12">
        <v>1</v>
      </c>
      <c r="H86" s="12">
        <v>2</v>
      </c>
      <c r="I86" s="12">
        <v>0</v>
      </c>
      <c r="J86" s="10"/>
      <c r="K86" s="10" t="s">
        <v>445</v>
      </c>
      <c r="L86" s="10" t="s">
        <v>175</v>
      </c>
      <c r="M86" s="11">
        <v>1</v>
      </c>
      <c r="N86" s="10"/>
      <c r="O86" s="11">
        <v>0</v>
      </c>
      <c r="P86" s="10"/>
      <c r="Q86" s="11">
        <v>0</v>
      </c>
      <c r="R86" s="10"/>
      <c r="S86" s="11">
        <v>0</v>
      </c>
      <c r="T86" s="10"/>
      <c r="U86" s="11">
        <v>0</v>
      </c>
    </row>
    <row r="87" spans="1:21" x14ac:dyDescent="0.45">
      <c r="A87" s="12">
        <v>137</v>
      </c>
      <c r="B87" s="12">
        <v>1</v>
      </c>
      <c r="C87" s="12" t="s">
        <v>176</v>
      </c>
      <c r="D87" s="12" t="s">
        <v>176</v>
      </c>
      <c r="E87" s="12">
        <v>0</v>
      </c>
      <c r="F87" s="12">
        <v>492</v>
      </c>
      <c r="G87" s="12">
        <v>1</v>
      </c>
      <c r="H87" s="12">
        <v>2</v>
      </c>
      <c r="I87" s="12">
        <v>0</v>
      </c>
      <c r="J87" s="10"/>
      <c r="K87" s="10" t="s">
        <v>445</v>
      </c>
      <c r="L87" s="10" t="s">
        <v>65</v>
      </c>
      <c r="M87" s="11">
        <v>1</v>
      </c>
      <c r="N87" s="10" t="s">
        <v>114</v>
      </c>
      <c r="O87" s="11">
        <v>0</v>
      </c>
      <c r="P87" s="10" t="s">
        <v>74</v>
      </c>
      <c r="Q87" s="11">
        <v>0</v>
      </c>
      <c r="R87" s="10" t="s">
        <v>112</v>
      </c>
      <c r="S87" s="11">
        <v>0</v>
      </c>
      <c r="T87" s="10" t="s">
        <v>177</v>
      </c>
      <c r="U87" s="11">
        <v>0</v>
      </c>
    </row>
    <row r="88" spans="1:21" x14ac:dyDescent="0.45">
      <c r="A88" s="12">
        <v>138</v>
      </c>
      <c r="B88" s="12">
        <v>1</v>
      </c>
      <c r="C88" s="12" t="s">
        <v>178</v>
      </c>
      <c r="D88" s="12" t="s">
        <v>178</v>
      </c>
      <c r="E88" s="12">
        <v>0</v>
      </c>
      <c r="F88" s="12">
        <v>0</v>
      </c>
      <c r="G88" s="12">
        <v>1</v>
      </c>
      <c r="H88" s="12">
        <v>0</v>
      </c>
      <c r="I88" s="12">
        <v>0</v>
      </c>
      <c r="J88" s="10"/>
      <c r="K88" s="10" t="s">
        <v>445</v>
      </c>
      <c r="L88" s="10"/>
      <c r="M88" s="11">
        <v>0</v>
      </c>
      <c r="N88" s="10"/>
      <c r="O88" s="11">
        <v>0</v>
      </c>
      <c r="P88" s="10"/>
      <c r="Q88" s="11">
        <v>0</v>
      </c>
      <c r="R88" s="10"/>
      <c r="S88" s="11">
        <v>0</v>
      </c>
      <c r="T88" s="10"/>
      <c r="U88" s="11">
        <v>0</v>
      </c>
    </row>
    <row r="89" spans="1:21" x14ac:dyDescent="0.45">
      <c r="A89" s="12">
        <v>140</v>
      </c>
      <c r="B89" s="12">
        <v>1</v>
      </c>
      <c r="C89" s="12" t="s">
        <v>179</v>
      </c>
      <c r="D89" s="12" t="s">
        <v>179</v>
      </c>
      <c r="E89" s="12">
        <v>0</v>
      </c>
      <c r="F89" s="12">
        <v>0</v>
      </c>
      <c r="G89" s="12">
        <v>2</v>
      </c>
      <c r="H89" s="12">
        <v>0</v>
      </c>
      <c r="I89" s="12">
        <v>0</v>
      </c>
      <c r="J89" s="10"/>
      <c r="K89" s="10" t="s">
        <v>445</v>
      </c>
      <c r="L89" s="10"/>
      <c r="M89" s="11"/>
      <c r="N89" s="10"/>
      <c r="O89" s="11"/>
      <c r="P89" s="10"/>
      <c r="Q89" s="11"/>
      <c r="R89" s="10"/>
      <c r="S89" s="11"/>
      <c r="T89" s="10"/>
      <c r="U89" s="11"/>
    </row>
    <row r="90" spans="1:21" x14ac:dyDescent="0.45">
      <c r="A90" s="12">
        <v>141</v>
      </c>
      <c r="B90" s="12">
        <v>1</v>
      </c>
      <c r="C90" s="12" t="s">
        <v>180</v>
      </c>
      <c r="D90" s="12" t="s">
        <v>180</v>
      </c>
      <c r="E90" s="12">
        <v>0</v>
      </c>
      <c r="F90" s="12">
        <v>0</v>
      </c>
      <c r="G90" s="12">
        <v>0</v>
      </c>
      <c r="H90" s="12">
        <v>2</v>
      </c>
      <c r="I90" s="12">
        <v>0</v>
      </c>
      <c r="J90" s="10"/>
      <c r="K90" s="10" t="s">
        <v>445</v>
      </c>
      <c r="L90" s="10" t="s">
        <v>180</v>
      </c>
      <c r="M90" s="11">
        <v>0</v>
      </c>
      <c r="N90" s="10"/>
      <c r="O90" s="11">
        <v>0</v>
      </c>
      <c r="P90" s="10"/>
      <c r="Q90" s="11">
        <v>0</v>
      </c>
      <c r="R90" s="10"/>
      <c r="S90" s="11">
        <v>0</v>
      </c>
      <c r="T90" s="10"/>
      <c r="U90" s="11">
        <v>0</v>
      </c>
    </row>
    <row r="91" spans="1:21" x14ac:dyDescent="0.45">
      <c r="A91" s="12">
        <v>148</v>
      </c>
      <c r="B91" s="12">
        <v>1</v>
      </c>
      <c r="C91" s="12" t="s">
        <v>181</v>
      </c>
      <c r="D91" s="12" t="s">
        <v>181</v>
      </c>
      <c r="E91" s="12">
        <v>0</v>
      </c>
      <c r="F91" s="12">
        <v>0</v>
      </c>
      <c r="G91" s="12">
        <v>2</v>
      </c>
      <c r="H91" s="12">
        <v>0</v>
      </c>
      <c r="I91" s="12">
        <v>0</v>
      </c>
      <c r="J91" s="10"/>
      <c r="K91" s="10" t="s">
        <v>445</v>
      </c>
      <c r="L91" s="10"/>
      <c r="M91" s="11"/>
      <c r="N91" s="10"/>
      <c r="O91" s="11"/>
      <c r="P91" s="10"/>
      <c r="Q91" s="11"/>
      <c r="R91" s="10"/>
      <c r="S91" s="11"/>
      <c r="T91" s="10"/>
      <c r="U91" s="11"/>
    </row>
    <row r="92" spans="1:21" x14ac:dyDescent="0.45">
      <c r="A92" s="12">
        <v>149</v>
      </c>
      <c r="B92" s="12">
        <v>1</v>
      </c>
      <c r="C92" s="12" t="s">
        <v>182</v>
      </c>
      <c r="D92" s="12" t="s">
        <v>182</v>
      </c>
      <c r="E92" s="12">
        <v>0</v>
      </c>
      <c r="F92" s="12">
        <v>0</v>
      </c>
      <c r="G92" s="12">
        <v>1</v>
      </c>
      <c r="H92" s="12">
        <v>0</v>
      </c>
      <c r="I92" s="12">
        <v>0</v>
      </c>
      <c r="J92" s="10"/>
      <c r="K92" s="10" t="s">
        <v>445</v>
      </c>
      <c r="L92" s="10"/>
      <c r="M92" s="11">
        <v>0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</row>
    <row r="93" spans="1:21" x14ac:dyDescent="0.45">
      <c r="A93" s="12">
        <v>150</v>
      </c>
      <c r="B93" s="12">
        <v>1</v>
      </c>
      <c r="C93" s="12" t="s">
        <v>183</v>
      </c>
      <c r="D93" s="12" t="s">
        <v>183</v>
      </c>
      <c r="E93" s="12">
        <v>0</v>
      </c>
      <c r="F93" s="12">
        <v>491</v>
      </c>
      <c r="G93" s="12">
        <v>1</v>
      </c>
      <c r="H93" s="12">
        <v>2</v>
      </c>
      <c r="I93" s="12">
        <v>0</v>
      </c>
      <c r="J93" s="10"/>
      <c r="K93" s="10" t="s">
        <v>445</v>
      </c>
      <c r="L93" s="10"/>
      <c r="M93" s="11">
        <v>0</v>
      </c>
      <c r="N93" s="10"/>
      <c r="O93" s="11">
        <v>0</v>
      </c>
      <c r="P93" s="10"/>
      <c r="Q93" s="11">
        <v>0</v>
      </c>
      <c r="R93" s="10"/>
      <c r="S93" s="11">
        <v>0</v>
      </c>
      <c r="T93" s="10"/>
      <c r="U93" s="11">
        <v>0</v>
      </c>
    </row>
    <row r="94" spans="1:21" x14ac:dyDescent="0.45">
      <c r="A94" s="12">
        <v>151</v>
      </c>
      <c r="B94" s="12">
        <v>0</v>
      </c>
      <c r="C94" s="12" t="s">
        <v>184</v>
      </c>
      <c r="D94" s="232" t="s">
        <v>452</v>
      </c>
      <c r="E94" s="12">
        <v>0</v>
      </c>
      <c r="F94" s="12">
        <v>0</v>
      </c>
      <c r="G94" s="12">
        <v>2</v>
      </c>
      <c r="H94" s="12">
        <v>0</v>
      </c>
      <c r="I94" s="12">
        <v>0</v>
      </c>
      <c r="J94" s="10"/>
      <c r="K94" s="10" t="s">
        <v>445</v>
      </c>
      <c r="L94" s="10"/>
      <c r="M94" s="11"/>
      <c r="N94" s="10"/>
      <c r="O94" s="11"/>
      <c r="P94" s="10"/>
      <c r="Q94" s="11"/>
      <c r="R94" s="10"/>
      <c r="S94" s="11"/>
      <c r="T94" s="10"/>
      <c r="U94" s="11"/>
    </row>
    <row r="95" spans="1:21" x14ac:dyDescent="0.45">
      <c r="A95" s="12">
        <v>152</v>
      </c>
      <c r="B95" s="12">
        <v>1</v>
      </c>
      <c r="C95" s="12" t="s">
        <v>64</v>
      </c>
      <c r="D95" s="12" t="s">
        <v>64</v>
      </c>
      <c r="E95" s="12">
        <v>0</v>
      </c>
      <c r="F95" s="12">
        <v>503</v>
      </c>
      <c r="G95" s="12">
        <v>1</v>
      </c>
      <c r="H95" s="12">
        <v>0</v>
      </c>
      <c r="I95" s="12">
        <v>0</v>
      </c>
      <c r="J95" s="10"/>
      <c r="K95" s="10" t="s">
        <v>445</v>
      </c>
      <c r="L95" s="10"/>
      <c r="M95" s="11">
        <v>0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</row>
    <row r="96" spans="1:21" x14ac:dyDescent="0.45">
      <c r="A96" s="12">
        <v>153</v>
      </c>
      <c r="B96" s="12">
        <v>0</v>
      </c>
      <c r="C96" s="12" t="s">
        <v>185</v>
      </c>
      <c r="D96" s="232" t="s">
        <v>185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0"/>
      <c r="K96" s="10" t="s">
        <v>445</v>
      </c>
      <c r="L96" s="10"/>
      <c r="M96" s="11"/>
      <c r="N96" s="10"/>
      <c r="O96" s="11"/>
      <c r="P96" s="10"/>
      <c r="Q96" s="11"/>
      <c r="R96" s="10"/>
      <c r="S96" s="11"/>
      <c r="T96" s="10"/>
      <c r="U96" s="11"/>
    </row>
    <row r="97" spans="1:21" x14ac:dyDescent="0.45">
      <c r="A97" s="12">
        <v>154</v>
      </c>
      <c r="B97" s="12">
        <v>0</v>
      </c>
      <c r="C97" s="12" t="s">
        <v>186</v>
      </c>
      <c r="D97" s="232" t="s">
        <v>186</v>
      </c>
      <c r="E97" s="12">
        <v>0</v>
      </c>
      <c r="F97" s="12">
        <v>0</v>
      </c>
      <c r="G97" s="12">
        <v>2</v>
      </c>
      <c r="H97" s="12">
        <v>0</v>
      </c>
      <c r="I97" s="12">
        <v>0</v>
      </c>
      <c r="J97" s="10"/>
      <c r="K97" s="10" t="s">
        <v>445</v>
      </c>
      <c r="L97" s="10"/>
      <c r="M97" s="11"/>
      <c r="N97" s="10"/>
      <c r="O97" s="11"/>
      <c r="P97" s="10"/>
      <c r="Q97" s="11"/>
      <c r="R97" s="10"/>
      <c r="S97" s="11"/>
      <c r="T97" s="10"/>
      <c r="U97" s="11"/>
    </row>
    <row r="98" spans="1:21" x14ac:dyDescent="0.45">
      <c r="A98" s="12">
        <v>155</v>
      </c>
      <c r="B98" s="12">
        <v>0</v>
      </c>
      <c r="C98" s="12" t="s">
        <v>187</v>
      </c>
      <c r="D98" s="232" t="s">
        <v>187</v>
      </c>
      <c r="E98" s="12">
        <v>0</v>
      </c>
      <c r="F98" s="12">
        <v>0</v>
      </c>
      <c r="G98" s="12">
        <v>2</v>
      </c>
      <c r="H98" s="12">
        <v>0</v>
      </c>
      <c r="I98" s="12">
        <v>0</v>
      </c>
      <c r="J98" s="10"/>
      <c r="K98" s="10" t="s">
        <v>445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</row>
    <row r="99" spans="1:21" x14ac:dyDescent="0.45">
      <c r="A99" s="12">
        <v>156</v>
      </c>
      <c r="B99" s="12">
        <v>0</v>
      </c>
      <c r="C99" s="12" t="s">
        <v>188</v>
      </c>
      <c r="D99" s="232" t="s">
        <v>188</v>
      </c>
      <c r="E99" s="12">
        <v>0</v>
      </c>
      <c r="F99" s="12">
        <v>0</v>
      </c>
      <c r="G99" s="12">
        <v>1</v>
      </c>
      <c r="H99" s="12">
        <v>0</v>
      </c>
      <c r="I99" s="12">
        <v>0</v>
      </c>
      <c r="J99" s="10"/>
      <c r="K99" s="10" t="s">
        <v>445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</row>
    <row r="100" spans="1:21" x14ac:dyDescent="0.45">
      <c r="A100" s="12">
        <v>157</v>
      </c>
      <c r="B100" s="12">
        <v>1</v>
      </c>
      <c r="C100" s="12" t="s">
        <v>189</v>
      </c>
      <c r="D100" s="232" t="s">
        <v>189</v>
      </c>
      <c r="E100" s="12">
        <v>0</v>
      </c>
      <c r="F100" s="12">
        <v>0</v>
      </c>
      <c r="G100" s="12">
        <v>1</v>
      </c>
      <c r="H100" s="12">
        <v>0</v>
      </c>
      <c r="I100" s="12">
        <v>0</v>
      </c>
      <c r="J100" s="10"/>
      <c r="K100" s="10" t="s">
        <v>445</v>
      </c>
      <c r="L100" s="10"/>
      <c r="M100" s="11">
        <v>0</v>
      </c>
      <c r="N100" s="10"/>
      <c r="O100" s="11">
        <v>0</v>
      </c>
      <c r="P100" s="10"/>
      <c r="Q100" s="11">
        <v>0</v>
      </c>
      <c r="R100" s="10"/>
      <c r="S100" s="11">
        <v>0</v>
      </c>
      <c r="T100" s="10"/>
      <c r="U100" s="11">
        <v>0</v>
      </c>
    </row>
    <row r="101" spans="1:21" x14ac:dyDescent="0.45">
      <c r="A101" s="12">
        <v>158</v>
      </c>
      <c r="B101" s="12">
        <v>1</v>
      </c>
      <c r="C101" s="12" t="s">
        <v>190</v>
      </c>
      <c r="D101" s="12" t="s">
        <v>190</v>
      </c>
      <c r="E101" s="12">
        <v>0</v>
      </c>
      <c r="F101" s="12">
        <v>0</v>
      </c>
      <c r="G101" s="12">
        <v>1</v>
      </c>
      <c r="H101" s="12">
        <v>0</v>
      </c>
      <c r="I101" s="12">
        <v>0</v>
      </c>
      <c r="J101" s="10"/>
      <c r="K101" s="10" t="s">
        <v>445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</row>
    <row r="102" spans="1:21" x14ac:dyDescent="0.45">
      <c r="A102" s="12">
        <v>159</v>
      </c>
      <c r="B102" s="12">
        <v>1</v>
      </c>
      <c r="C102" s="12" t="s">
        <v>191</v>
      </c>
      <c r="D102" s="12" t="s">
        <v>191</v>
      </c>
      <c r="E102" s="12">
        <v>0</v>
      </c>
      <c r="F102" s="12">
        <v>0</v>
      </c>
      <c r="G102" s="12">
        <v>1</v>
      </c>
      <c r="H102" s="12">
        <v>0</v>
      </c>
      <c r="I102" s="12">
        <v>0</v>
      </c>
      <c r="J102" s="10"/>
      <c r="K102" s="10" t="s">
        <v>445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</row>
    <row r="103" spans="1:21" x14ac:dyDescent="0.45">
      <c r="A103" s="12">
        <v>160</v>
      </c>
      <c r="B103" s="12">
        <v>1</v>
      </c>
      <c r="C103" s="12" t="s">
        <v>192</v>
      </c>
      <c r="D103" s="12" t="s">
        <v>193</v>
      </c>
      <c r="E103" s="12">
        <v>0</v>
      </c>
      <c r="F103" s="12">
        <v>482</v>
      </c>
      <c r="G103" s="12">
        <v>1</v>
      </c>
      <c r="H103" s="12">
        <v>0</v>
      </c>
      <c r="I103" s="12">
        <v>0</v>
      </c>
      <c r="J103" s="10"/>
      <c r="K103" s="10" t="s">
        <v>445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</row>
    <row r="104" spans="1:21" x14ac:dyDescent="0.45">
      <c r="A104" s="12">
        <v>161</v>
      </c>
      <c r="B104" s="12">
        <v>0</v>
      </c>
      <c r="C104" s="12" t="s">
        <v>194</v>
      </c>
      <c r="D104" s="12" t="s">
        <v>195</v>
      </c>
      <c r="E104" s="12">
        <v>0</v>
      </c>
      <c r="F104" s="12">
        <v>0</v>
      </c>
      <c r="G104" s="12">
        <v>2</v>
      </c>
      <c r="H104" s="12">
        <v>0</v>
      </c>
      <c r="I104" s="12">
        <v>0</v>
      </c>
      <c r="J104" s="10"/>
      <c r="K104" s="10" t="s">
        <v>445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</row>
    <row r="105" spans="1:21" x14ac:dyDescent="0.45">
      <c r="A105" s="12">
        <v>162</v>
      </c>
      <c r="B105" s="12">
        <v>1</v>
      </c>
      <c r="C105" s="12" t="s">
        <v>196</v>
      </c>
      <c r="D105" s="12" t="s">
        <v>196</v>
      </c>
      <c r="E105" s="12">
        <v>0</v>
      </c>
      <c r="F105" s="12">
        <v>0</v>
      </c>
      <c r="G105" s="12">
        <v>1</v>
      </c>
      <c r="H105" s="12">
        <v>0</v>
      </c>
      <c r="I105" s="12">
        <v>42</v>
      </c>
      <c r="J105" s="10"/>
      <c r="K105" s="10" t="s">
        <v>445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</row>
    <row r="106" spans="1:21" x14ac:dyDescent="0.45">
      <c r="A106" s="12">
        <v>163</v>
      </c>
      <c r="B106" s="12">
        <v>0</v>
      </c>
      <c r="C106" s="12" t="s">
        <v>197</v>
      </c>
      <c r="D106" s="12" t="s">
        <v>195</v>
      </c>
      <c r="E106" s="12">
        <v>0</v>
      </c>
      <c r="F106" s="12">
        <v>0</v>
      </c>
      <c r="G106" s="12">
        <v>2</v>
      </c>
      <c r="H106" s="12">
        <v>0</v>
      </c>
      <c r="I106" s="12">
        <v>0</v>
      </c>
      <c r="J106" s="10"/>
      <c r="K106" s="10" t="s">
        <v>445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</row>
    <row r="107" spans="1:21" x14ac:dyDescent="0.45">
      <c r="A107" s="12">
        <v>164</v>
      </c>
      <c r="B107" s="12">
        <v>1</v>
      </c>
      <c r="C107" s="12" t="s">
        <v>198</v>
      </c>
      <c r="D107" s="12" t="s">
        <v>198</v>
      </c>
      <c r="E107" s="12">
        <v>0</v>
      </c>
      <c r="F107" s="12">
        <v>0</v>
      </c>
      <c r="G107" s="12">
        <v>1</v>
      </c>
      <c r="H107" s="12">
        <v>0</v>
      </c>
      <c r="I107" s="12">
        <v>0</v>
      </c>
      <c r="J107" s="10"/>
      <c r="K107" s="10" t="s">
        <v>445</v>
      </c>
      <c r="L107" s="10"/>
      <c r="M107" s="11">
        <v>0</v>
      </c>
      <c r="N107" s="10"/>
      <c r="O107" s="11">
        <v>0</v>
      </c>
      <c r="P107" s="10"/>
      <c r="Q107" s="11">
        <v>0</v>
      </c>
      <c r="R107" s="10"/>
      <c r="S107" s="11">
        <v>0</v>
      </c>
      <c r="T107" s="10"/>
      <c r="U107" s="11">
        <v>0</v>
      </c>
    </row>
    <row r="108" spans="1:21" x14ac:dyDescent="0.45">
      <c r="A108" s="12">
        <v>165</v>
      </c>
      <c r="B108" s="12">
        <v>0</v>
      </c>
      <c r="C108" s="12" t="s">
        <v>199</v>
      </c>
      <c r="D108" s="12" t="s">
        <v>195</v>
      </c>
      <c r="E108" s="12">
        <v>0</v>
      </c>
      <c r="F108" s="12">
        <v>0</v>
      </c>
      <c r="G108" s="12">
        <v>2</v>
      </c>
      <c r="H108" s="12">
        <v>0</v>
      </c>
      <c r="I108" s="12">
        <v>0</v>
      </c>
      <c r="J108" s="10"/>
      <c r="K108" s="10" t="s">
        <v>445</v>
      </c>
      <c r="L108" s="10"/>
      <c r="M108" s="11">
        <v>0</v>
      </c>
      <c r="N108" s="10"/>
      <c r="O108" s="11">
        <v>0</v>
      </c>
      <c r="P108" s="10"/>
      <c r="Q108" s="11">
        <v>0</v>
      </c>
      <c r="R108" s="10"/>
      <c r="S108" s="11">
        <v>0</v>
      </c>
      <c r="T108" s="10"/>
      <c r="U108" s="11">
        <v>0</v>
      </c>
    </row>
    <row r="109" spans="1:21" x14ac:dyDescent="0.45">
      <c r="A109" s="12">
        <v>166</v>
      </c>
      <c r="B109" s="12">
        <v>1</v>
      </c>
      <c r="C109" s="12" t="s">
        <v>200</v>
      </c>
      <c r="D109" s="12" t="s">
        <v>201</v>
      </c>
      <c r="E109" s="12">
        <v>0</v>
      </c>
      <c r="F109" s="12">
        <v>0</v>
      </c>
      <c r="G109" s="12">
        <v>1</v>
      </c>
      <c r="H109" s="12">
        <v>0</v>
      </c>
      <c r="I109" s="12">
        <v>0</v>
      </c>
      <c r="J109" s="10"/>
      <c r="K109" s="10" t="s">
        <v>445</v>
      </c>
      <c r="L109" s="10"/>
      <c r="M109" s="11">
        <v>0</v>
      </c>
      <c r="N109" s="10"/>
      <c r="O109" s="11">
        <v>0</v>
      </c>
      <c r="P109" s="10"/>
      <c r="Q109" s="11">
        <v>0</v>
      </c>
      <c r="R109" s="10"/>
      <c r="S109" s="11">
        <v>0</v>
      </c>
      <c r="T109" s="10"/>
      <c r="U109" s="11">
        <v>0</v>
      </c>
    </row>
    <row r="110" spans="1:21" x14ac:dyDescent="0.45">
      <c r="A110" s="12">
        <v>167</v>
      </c>
      <c r="B110" s="12">
        <v>1</v>
      </c>
      <c r="C110" s="12" t="s">
        <v>10</v>
      </c>
      <c r="D110" s="12" t="s">
        <v>10</v>
      </c>
      <c r="E110" s="12">
        <v>0</v>
      </c>
      <c r="F110" s="12">
        <v>0</v>
      </c>
      <c r="G110" s="12">
        <v>1</v>
      </c>
      <c r="H110" s="12">
        <v>0</v>
      </c>
      <c r="I110" s="12">
        <v>0</v>
      </c>
      <c r="J110" s="10"/>
      <c r="K110" s="10" t="s">
        <v>445</v>
      </c>
      <c r="L110" s="10"/>
      <c r="M110" s="11">
        <v>0</v>
      </c>
      <c r="N110" s="10"/>
      <c r="O110" s="11">
        <v>0</v>
      </c>
      <c r="P110" s="10"/>
      <c r="Q110" s="11">
        <v>0</v>
      </c>
      <c r="R110" s="10"/>
      <c r="S110" s="11">
        <v>0</v>
      </c>
      <c r="T110" s="10"/>
      <c r="U110" s="11">
        <v>0</v>
      </c>
    </row>
    <row r="111" spans="1:21" x14ac:dyDescent="0.45">
      <c r="A111" s="12">
        <v>168</v>
      </c>
      <c r="B111" s="12">
        <v>1</v>
      </c>
      <c r="C111" s="12" t="s">
        <v>202</v>
      </c>
      <c r="D111" s="12" t="s">
        <v>202</v>
      </c>
      <c r="E111" s="12">
        <v>0</v>
      </c>
      <c r="F111" s="12">
        <v>0</v>
      </c>
      <c r="G111" s="12">
        <v>1</v>
      </c>
      <c r="H111" s="12">
        <v>0</v>
      </c>
      <c r="I111" s="12">
        <v>42</v>
      </c>
      <c r="J111" s="10"/>
      <c r="K111" s="10" t="s">
        <v>445</v>
      </c>
      <c r="L111" s="10"/>
      <c r="M111" s="11">
        <v>0</v>
      </c>
      <c r="N111" s="10"/>
      <c r="O111" s="11">
        <v>0</v>
      </c>
      <c r="P111" s="10"/>
      <c r="Q111" s="11">
        <v>0</v>
      </c>
      <c r="R111" s="10"/>
      <c r="S111" s="11">
        <v>0</v>
      </c>
      <c r="T111" s="10"/>
      <c r="U111" s="11">
        <v>0</v>
      </c>
    </row>
    <row r="112" spans="1:21" x14ac:dyDescent="0.45">
      <c r="A112" s="12">
        <v>169</v>
      </c>
      <c r="B112" s="12">
        <v>1</v>
      </c>
      <c r="C112" s="12" t="s">
        <v>203</v>
      </c>
      <c r="D112" s="12" t="s">
        <v>204</v>
      </c>
      <c r="E112" s="12">
        <v>0</v>
      </c>
      <c r="F112" s="12">
        <v>0</v>
      </c>
      <c r="G112" s="12">
        <v>1</v>
      </c>
      <c r="H112" s="12">
        <v>1</v>
      </c>
      <c r="I112" s="12">
        <v>0</v>
      </c>
      <c r="J112" s="10"/>
      <c r="K112" s="10" t="s">
        <v>445</v>
      </c>
      <c r="L112" s="10"/>
      <c r="M112" s="11">
        <v>0</v>
      </c>
      <c r="N112" s="10"/>
      <c r="O112" s="11">
        <v>0</v>
      </c>
      <c r="P112" s="10"/>
      <c r="Q112" s="11">
        <v>0</v>
      </c>
      <c r="R112" s="10"/>
      <c r="S112" s="11">
        <v>0</v>
      </c>
      <c r="T112" s="10"/>
      <c r="U112" s="11">
        <v>0</v>
      </c>
    </row>
    <row r="113" spans="1:21" x14ac:dyDescent="0.45">
      <c r="A113" s="12">
        <v>170</v>
      </c>
      <c r="B113" s="12">
        <v>0</v>
      </c>
      <c r="C113" s="12" t="s">
        <v>205</v>
      </c>
      <c r="D113" s="12" t="s">
        <v>195</v>
      </c>
      <c r="E113" s="12">
        <v>0</v>
      </c>
      <c r="F113" s="12">
        <v>0</v>
      </c>
      <c r="G113" s="12">
        <v>2</v>
      </c>
      <c r="H113" s="12">
        <v>0</v>
      </c>
      <c r="I113" s="12">
        <v>0</v>
      </c>
      <c r="J113" s="10"/>
      <c r="K113" s="10" t="s">
        <v>445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</row>
    <row r="114" spans="1:21" x14ac:dyDescent="0.45">
      <c r="A114" s="12">
        <v>171</v>
      </c>
      <c r="B114" s="12">
        <v>1</v>
      </c>
      <c r="C114" s="12" t="s">
        <v>5</v>
      </c>
      <c r="D114" s="12" t="s">
        <v>206</v>
      </c>
      <c r="E114" s="12">
        <v>0</v>
      </c>
      <c r="F114" s="12">
        <v>0</v>
      </c>
      <c r="G114" s="12">
        <v>1</v>
      </c>
      <c r="H114" s="12">
        <v>2</v>
      </c>
      <c r="I114" s="12">
        <v>0</v>
      </c>
      <c r="J114" s="10"/>
      <c r="K114" s="10" t="s">
        <v>445</v>
      </c>
      <c r="L114" s="10" t="s">
        <v>65</v>
      </c>
      <c r="M114" s="11">
        <v>1</v>
      </c>
      <c r="N114" s="10" t="s">
        <v>104</v>
      </c>
      <c r="O114" s="11">
        <v>1</v>
      </c>
      <c r="P114" s="10" t="s">
        <v>74</v>
      </c>
      <c r="Q114" s="11">
        <v>0</v>
      </c>
      <c r="R114" s="10"/>
      <c r="S114" s="11">
        <v>0</v>
      </c>
      <c r="T114" s="10"/>
      <c r="U114" s="11">
        <v>0</v>
      </c>
    </row>
    <row r="115" spans="1:21" x14ac:dyDescent="0.45">
      <c r="A115" s="12">
        <v>172</v>
      </c>
      <c r="B115" s="12">
        <v>0</v>
      </c>
      <c r="C115" s="12" t="s">
        <v>207</v>
      </c>
      <c r="D115" s="12" t="s">
        <v>195</v>
      </c>
      <c r="E115" s="12">
        <v>0</v>
      </c>
      <c r="F115" s="12">
        <v>0</v>
      </c>
      <c r="G115" s="12">
        <v>2</v>
      </c>
      <c r="H115" s="12">
        <v>0</v>
      </c>
      <c r="I115" s="12">
        <v>0</v>
      </c>
      <c r="J115" s="10"/>
      <c r="K115" s="10" t="s">
        <v>445</v>
      </c>
      <c r="L115" s="10"/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</row>
    <row r="116" spans="1:21" x14ac:dyDescent="0.45">
      <c r="A116" s="12">
        <v>173</v>
      </c>
      <c r="B116" s="12">
        <v>1</v>
      </c>
      <c r="C116" s="12" t="s">
        <v>208</v>
      </c>
      <c r="D116" s="12" t="s">
        <v>209</v>
      </c>
      <c r="E116" s="12">
        <v>0</v>
      </c>
      <c r="F116" s="12">
        <v>0</v>
      </c>
      <c r="G116" s="12">
        <v>1</v>
      </c>
      <c r="H116" s="12">
        <v>0</v>
      </c>
      <c r="I116" s="12">
        <v>0</v>
      </c>
      <c r="J116" s="10"/>
      <c r="K116" s="10" t="s">
        <v>445</v>
      </c>
      <c r="L116" s="10"/>
      <c r="M116" s="11">
        <v>0</v>
      </c>
      <c r="N116" s="10"/>
      <c r="O116" s="11">
        <v>0</v>
      </c>
      <c r="P116" s="10"/>
      <c r="Q116" s="11">
        <v>0</v>
      </c>
      <c r="R116" s="10"/>
      <c r="S116" s="11">
        <v>0</v>
      </c>
      <c r="T116" s="10"/>
      <c r="U116" s="11">
        <v>0</v>
      </c>
    </row>
    <row r="117" spans="1:21" x14ac:dyDescent="0.45">
      <c r="A117" s="12">
        <v>174</v>
      </c>
      <c r="B117" s="12">
        <v>0</v>
      </c>
      <c r="C117" s="12" t="s">
        <v>210</v>
      </c>
      <c r="D117" s="12" t="s">
        <v>195</v>
      </c>
      <c r="E117" s="12">
        <v>0</v>
      </c>
      <c r="F117" s="12">
        <v>0</v>
      </c>
      <c r="G117" s="12">
        <v>2</v>
      </c>
      <c r="H117" s="12">
        <v>0</v>
      </c>
      <c r="I117" s="12">
        <v>0</v>
      </c>
      <c r="J117" s="10"/>
      <c r="K117" s="10" t="s">
        <v>445</v>
      </c>
      <c r="L117" s="10"/>
      <c r="M117" s="11">
        <v>0</v>
      </c>
      <c r="N117" s="10"/>
      <c r="O117" s="11">
        <v>0</v>
      </c>
      <c r="P117" s="10"/>
      <c r="Q117" s="11">
        <v>0</v>
      </c>
      <c r="R117" s="10"/>
      <c r="S117" s="11">
        <v>0</v>
      </c>
      <c r="T117" s="10"/>
      <c r="U117" s="11">
        <v>0</v>
      </c>
    </row>
    <row r="118" spans="1:21" x14ac:dyDescent="0.45">
      <c r="A118" s="12">
        <v>175</v>
      </c>
      <c r="B118" s="12">
        <v>1</v>
      </c>
      <c r="C118" s="12" t="s">
        <v>211</v>
      </c>
      <c r="D118" s="12" t="s">
        <v>212</v>
      </c>
      <c r="E118" s="12">
        <v>0</v>
      </c>
      <c r="F118" s="12">
        <v>191</v>
      </c>
      <c r="G118" s="12">
        <v>1</v>
      </c>
      <c r="H118" s="12">
        <v>2</v>
      </c>
      <c r="I118" s="12">
        <v>0</v>
      </c>
      <c r="J118" s="10"/>
      <c r="K118" s="10" t="s">
        <v>445</v>
      </c>
      <c r="L118" s="10" t="s">
        <v>212</v>
      </c>
      <c r="M118" s="11">
        <v>0</v>
      </c>
      <c r="N118" s="10" t="s">
        <v>74</v>
      </c>
      <c r="O118" s="11">
        <v>0</v>
      </c>
      <c r="P118" s="10"/>
      <c r="Q118" s="11">
        <v>0</v>
      </c>
      <c r="R118" s="10"/>
      <c r="S118" s="11">
        <v>0</v>
      </c>
      <c r="T118" s="10"/>
      <c r="U118" s="11">
        <v>0</v>
      </c>
    </row>
    <row r="119" spans="1:21" x14ac:dyDescent="0.45">
      <c r="A119" s="12">
        <v>176</v>
      </c>
      <c r="B119" s="12">
        <v>1</v>
      </c>
      <c r="C119" s="12" t="s">
        <v>213</v>
      </c>
      <c r="D119" s="12" t="s">
        <v>214</v>
      </c>
      <c r="E119" s="12">
        <v>0</v>
      </c>
      <c r="F119" s="12">
        <v>0</v>
      </c>
      <c r="G119" s="12">
        <v>2</v>
      </c>
      <c r="H119" s="12">
        <v>0</v>
      </c>
      <c r="I119" s="12">
        <v>0</v>
      </c>
      <c r="J119" s="10"/>
      <c r="K119" s="10" t="s">
        <v>445</v>
      </c>
      <c r="L119" s="10"/>
      <c r="M119" s="11">
        <v>0</v>
      </c>
      <c r="N119" s="10"/>
      <c r="O119" s="11">
        <v>0</v>
      </c>
      <c r="P119" s="10"/>
      <c r="Q119" s="11">
        <v>0</v>
      </c>
      <c r="R119" s="10"/>
      <c r="S119" s="11">
        <v>0</v>
      </c>
      <c r="T119" s="10"/>
      <c r="U119" s="11">
        <v>0</v>
      </c>
    </row>
    <row r="120" spans="1:21" x14ac:dyDescent="0.45">
      <c r="A120" s="12">
        <v>177</v>
      </c>
      <c r="B120" s="12">
        <v>0</v>
      </c>
      <c r="C120" s="12" t="s">
        <v>215</v>
      </c>
      <c r="D120" s="12" t="s">
        <v>214</v>
      </c>
      <c r="E120" s="12">
        <v>0</v>
      </c>
      <c r="F120" s="12">
        <v>0</v>
      </c>
      <c r="G120" s="12">
        <v>2</v>
      </c>
      <c r="H120" s="12">
        <v>0</v>
      </c>
      <c r="I120" s="12">
        <v>0</v>
      </c>
      <c r="J120" s="10"/>
      <c r="K120" s="10" t="s">
        <v>445</v>
      </c>
      <c r="L120" s="10"/>
      <c r="M120" s="11">
        <v>0</v>
      </c>
      <c r="N120" s="10"/>
      <c r="O120" s="11">
        <v>0</v>
      </c>
      <c r="P120" s="10"/>
      <c r="Q120" s="11">
        <v>0</v>
      </c>
      <c r="R120" s="10"/>
      <c r="S120" s="11">
        <v>0</v>
      </c>
      <c r="T120" s="10"/>
      <c r="U120" s="11">
        <v>0</v>
      </c>
    </row>
    <row r="121" spans="1:21" x14ac:dyDescent="0.45">
      <c r="A121" s="12">
        <v>178</v>
      </c>
      <c r="B121" s="12">
        <v>0</v>
      </c>
      <c r="C121" s="12" t="s">
        <v>216</v>
      </c>
      <c r="D121" s="12" t="s">
        <v>214</v>
      </c>
      <c r="E121" s="12">
        <v>0</v>
      </c>
      <c r="F121" s="12">
        <v>0</v>
      </c>
      <c r="G121" s="12">
        <v>2</v>
      </c>
      <c r="H121" s="12">
        <v>0</v>
      </c>
      <c r="I121" s="12">
        <v>0</v>
      </c>
      <c r="J121" s="10"/>
      <c r="K121" s="10" t="s">
        <v>445</v>
      </c>
      <c r="L121" s="10"/>
      <c r="M121" s="11">
        <v>0</v>
      </c>
      <c r="N121" s="10"/>
      <c r="O121" s="11">
        <v>0</v>
      </c>
      <c r="P121" s="10"/>
      <c r="Q121" s="11">
        <v>0</v>
      </c>
      <c r="R121" s="10"/>
      <c r="S121" s="11">
        <v>0</v>
      </c>
      <c r="T121" s="10"/>
      <c r="U121" s="11">
        <v>0</v>
      </c>
    </row>
    <row r="122" spans="1:21" x14ac:dyDescent="0.45">
      <c r="A122" s="12">
        <v>179</v>
      </c>
      <c r="B122" s="12">
        <v>0</v>
      </c>
      <c r="C122" s="12" t="s">
        <v>217</v>
      </c>
      <c r="D122" s="12" t="s">
        <v>214</v>
      </c>
      <c r="E122" s="12">
        <v>0</v>
      </c>
      <c r="F122" s="12">
        <v>0</v>
      </c>
      <c r="G122" s="12">
        <v>2</v>
      </c>
      <c r="H122" s="12">
        <v>0</v>
      </c>
      <c r="I122" s="12">
        <v>0</v>
      </c>
      <c r="J122" s="10"/>
      <c r="K122" s="10" t="s">
        <v>445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</row>
    <row r="123" spans="1:21" x14ac:dyDescent="0.45">
      <c r="A123" s="12">
        <v>180</v>
      </c>
      <c r="B123" s="12">
        <v>0</v>
      </c>
      <c r="C123" s="12" t="s">
        <v>218</v>
      </c>
      <c r="D123" s="12" t="s">
        <v>214</v>
      </c>
      <c r="E123" s="12">
        <v>0</v>
      </c>
      <c r="F123" s="12">
        <v>0</v>
      </c>
      <c r="G123" s="12">
        <v>2</v>
      </c>
      <c r="H123" s="12">
        <v>0</v>
      </c>
      <c r="I123" s="12">
        <v>0</v>
      </c>
      <c r="J123" s="10"/>
      <c r="K123" s="10" t="s">
        <v>445</v>
      </c>
      <c r="L123" s="10"/>
      <c r="M123" s="11">
        <v>0</v>
      </c>
      <c r="N123" s="10"/>
      <c r="O123" s="11">
        <v>0</v>
      </c>
      <c r="P123" s="10"/>
      <c r="Q123" s="11">
        <v>0</v>
      </c>
      <c r="R123" s="10"/>
      <c r="S123" s="11">
        <v>0</v>
      </c>
      <c r="T123" s="10"/>
      <c r="U123" s="11">
        <v>0</v>
      </c>
    </row>
    <row r="124" spans="1:21" x14ac:dyDescent="0.45">
      <c r="A124" s="12">
        <v>181</v>
      </c>
      <c r="B124" s="12">
        <v>0</v>
      </c>
      <c r="C124" s="12" t="s">
        <v>219</v>
      </c>
      <c r="D124" s="12" t="s">
        <v>214</v>
      </c>
      <c r="E124" s="12">
        <v>0</v>
      </c>
      <c r="F124" s="12">
        <v>0</v>
      </c>
      <c r="G124" s="12">
        <v>2</v>
      </c>
      <c r="H124" s="12">
        <v>0</v>
      </c>
      <c r="I124" s="12">
        <v>0</v>
      </c>
      <c r="J124" s="10"/>
      <c r="K124" s="10" t="s">
        <v>445</v>
      </c>
      <c r="L124" s="10"/>
      <c r="M124" s="11">
        <v>0</v>
      </c>
      <c r="N124" s="10"/>
      <c r="O124" s="11">
        <v>0</v>
      </c>
      <c r="P124" s="10"/>
      <c r="Q124" s="11">
        <v>0</v>
      </c>
      <c r="R124" s="10"/>
      <c r="S124" s="11">
        <v>0</v>
      </c>
      <c r="T124" s="10"/>
      <c r="U124" s="11">
        <v>0</v>
      </c>
    </row>
    <row r="125" spans="1:21" x14ac:dyDescent="0.45">
      <c r="A125" s="12">
        <v>182</v>
      </c>
      <c r="B125" s="12">
        <v>0</v>
      </c>
      <c r="C125" s="12" t="s">
        <v>220</v>
      </c>
      <c r="D125" s="12" t="s">
        <v>214</v>
      </c>
      <c r="E125" s="12">
        <v>0</v>
      </c>
      <c r="F125" s="12">
        <v>0</v>
      </c>
      <c r="G125" s="12">
        <v>2</v>
      </c>
      <c r="H125" s="12">
        <v>0</v>
      </c>
      <c r="I125" s="12">
        <v>0</v>
      </c>
      <c r="J125" s="10"/>
      <c r="K125" s="10" t="s">
        <v>445</v>
      </c>
      <c r="L125" s="10"/>
      <c r="M125" s="11">
        <v>0</v>
      </c>
      <c r="N125" s="10"/>
      <c r="O125" s="11">
        <v>0</v>
      </c>
      <c r="P125" s="10"/>
      <c r="Q125" s="11">
        <v>0</v>
      </c>
      <c r="R125" s="10"/>
      <c r="S125" s="11">
        <v>0</v>
      </c>
      <c r="T125" s="10"/>
      <c r="U125" s="11">
        <v>0</v>
      </c>
    </row>
    <row r="126" spans="1:21" x14ac:dyDescent="0.45">
      <c r="A126" s="12">
        <v>183</v>
      </c>
      <c r="B126" s="12">
        <v>0</v>
      </c>
      <c r="C126" s="12" t="s">
        <v>221</v>
      </c>
      <c r="D126" s="12" t="s">
        <v>214</v>
      </c>
      <c r="E126" s="12">
        <v>0</v>
      </c>
      <c r="F126" s="12">
        <v>0</v>
      </c>
      <c r="G126" s="12">
        <v>2</v>
      </c>
      <c r="H126" s="12">
        <v>0</v>
      </c>
      <c r="I126" s="12">
        <v>0</v>
      </c>
      <c r="J126" s="10"/>
      <c r="K126" s="10" t="s">
        <v>445</v>
      </c>
      <c r="L126" s="10"/>
      <c r="M126" s="11">
        <v>0</v>
      </c>
      <c r="N126" s="10"/>
      <c r="O126" s="11">
        <v>0</v>
      </c>
      <c r="P126" s="10"/>
      <c r="Q126" s="11">
        <v>0</v>
      </c>
      <c r="R126" s="10"/>
      <c r="S126" s="11">
        <v>0</v>
      </c>
      <c r="T126" s="10"/>
      <c r="U126" s="11">
        <v>0</v>
      </c>
    </row>
    <row r="127" spans="1:21" x14ac:dyDescent="0.45">
      <c r="A127" s="12">
        <v>184</v>
      </c>
      <c r="B127" s="12">
        <v>0</v>
      </c>
      <c r="C127" s="12" t="s">
        <v>222</v>
      </c>
      <c r="D127" s="12" t="s">
        <v>214</v>
      </c>
      <c r="E127" s="12">
        <v>0</v>
      </c>
      <c r="F127" s="12">
        <v>0</v>
      </c>
      <c r="G127" s="12">
        <v>2</v>
      </c>
      <c r="H127" s="12">
        <v>0</v>
      </c>
      <c r="I127" s="12">
        <v>0</v>
      </c>
      <c r="J127" s="10"/>
      <c r="K127" s="10" t="s">
        <v>445</v>
      </c>
      <c r="L127" s="10"/>
      <c r="M127" s="11">
        <v>0</v>
      </c>
      <c r="N127" s="10"/>
      <c r="O127" s="11">
        <v>0</v>
      </c>
      <c r="P127" s="10"/>
      <c r="Q127" s="11">
        <v>0</v>
      </c>
      <c r="R127" s="10"/>
      <c r="S127" s="11">
        <v>0</v>
      </c>
      <c r="T127" s="10"/>
      <c r="U127" s="11">
        <v>0</v>
      </c>
    </row>
    <row r="128" spans="1:21" x14ac:dyDescent="0.45">
      <c r="A128" s="12">
        <v>185</v>
      </c>
      <c r="B128" s="12">
        <v>0</v>
      </c>
      <c r="C128" s="12" t="s">
        <v>223</v>
      </c>
      <c r="D128" s="12" t="s">
        <v>214</v>
      </c>
      <c r="E128" s="12">
        <v>0</v>
      </c>
      <c r="F128" s="12">
        <v>0</v>
      </c>
      <c r="G128" s="12">
        <v>2</v>
      </c>
      <c r="H128" s="12">
        <v>0</v>
      </c>
      <c r="I128" s="12">
        <v>0</v>
      </c>
      <c r="J128" s="10"/>
      <c r="K128" s="10" t="s">
        <v>445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</row>
    <row r="129" spans="1:21" x14ac:dyDescent="0.45">
      <c r="A129" s="12">
        <v>186</v>
      </c>
      <c r="B129" s="12">
        <v>0</v>
      </c>
      <c r="C129" s="12" t="s">
        <v>224</v>
      </c>
      <c r="D129" s="12" t="s">
        <v>214</v>
      </c>
      <c r="E129" s="12">
        <v>0</v>
      </c>
      <c r="F129" s="12">
        <v>0</v>
      </c>
      <c r="G129" s="12">
        <v>2</v>
      </c>
      <c r="H129" s="12">
        <v>0</v>
      </c>
      <c r="I129" s="12">
        <v>0</v>
      </c>
      <c r="J129" s="10"/>
      <c r="K129" s="10" t="s">
        <v>445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</row>
    <row r="130" spans="1:21" x14ac:dyDescent="0.45">
      <c r="A130" s="12">
        <v>187</v>
      </c>
      <c r="B130" s="12">
        <v>1</v>
      </c>
      <c r="C130" s="12" t="s">
        <v>225</v>
      </c>
      <c r="D130" s="12" t="s">
        <v>226</v>
      </c>
      <c r="E130" s="12">
        <v>0</v>
      </c>
      <c r="F130" s="12">
        <v>0</v>
      </c>
      <c r="G130" s="12">
        <v>1</v>
      </c>
      <c r="H130" s="12">
        <v>0</v>
      </c>
      <c r="I130" s="12">
        <v>0</v>
      </c>
      <c r="J130" s="10"/>
      <c r="K130" s="10" t="s">
        <v>445</v>
      </c>
      <c r="L130" s="10"/>
      <c r="M130" s="11">
        <v>0</v>
      </c>
      <c r="N130" s="10"/>
      <c r="O130" s="11">
        <v>0</v>
      </c>
      <c r="P130" s="10"/>
      <c r="Q130" s="11">
        <v>0</v>
      </c>
      <c r="R130" s="10"/>
      <c r="S130" s="11">
        <v>0</v>
      </c>
      <c r="T130" s="10"/>
      <c r="U130" s="11">
        <v>0</v>
      </c>
    </row>
    <row r="131" spans="1:21" x14ac:dyDescent="0.45">
      <c r="A131" s="12">
        <v>188</v>
      </c>
      <c r="B131" s="12">
        <v>1</v>
      </c>
      <c r="C131" s="12" t="s">
        <v>227</v>
      </c>
      <c r="D131" s="12" t="s">
        <v>228</v>
      </c>
      <c r="E131" s="12">
        <v>0</v>
      </c>
      <c r="F131" s="12">
        <v>0</v>
      </c>
      <c r="G131" s="12">
        <v>1</v>
      </c>
      <c r="H131" s="12">
        <v>0</v>
      </c>
      <c r="I131" s="12">
        <v>0</v>
      </c>
      <c r="J131" s="10"/>
      <c r="K131" s="10" t="s">
        <v>445</v>
      </c>
      <c r="L131" s="10"/>
      <c r="M131" s="11">
        <v>0</v>
      </c>
      <c r="N131" s="10"/>
      <c r="O131" s="11">
        <v>0</v>
      </c>
      <c r="P131" s="10"/>
      <c r="Q131" s="11">
        <v>0</v>
      </c>
      <c r="R131" s="10"/>
      <c r="S131" s="11">
        <v>0</v>
      </c>
      <c r="T131" s="10"/>
      <c r="U131" s="11">
        <v>0</v>
      </c>
    </row>
    <row r="132" spans="1:21" x14ac:dyDescent="0.45">
      <c r="A132" s="12">
        <v>189</v>
      </c>
      <c r="B132" s="12">
        <v>0</v>
      </c>
      <c r="C132" s="12" t="s">
        <v>229</v>
      </c>
      <c r="D132" s="12" t="s">
        <v>214</v>
      </c>
      <c r="E132" s="12">
        <v>0</v>
      </c>
      <c r="F132" s="12">
        <v>0</v>
      </c>
      <c r="G132" s="12">
        <v>2</v>
      </c>
      <c r="H132" s="12">
        <v>0</v>
      </c>
      <c r="I132" s="12">
        <v>0</v>
      </c>
      <c r="J132" s="10"/>
      <c r="K132" s="10" t="s">
        <v>445</v>
      </c>
      <c r="L132" s="10"/>
      <c r="M132" s="11">
        <v>0</v>
      </c>
      <c r="N132" s="10"/>
      <c r="O132" s="11">
        <v>0</v>
      </c>
      <c r="P132" s="10"/>
      <c r="Q132" s="11">
        <v>0</v>
      </c>
      <c r="R132" s="10"/>
      <c r="S132" s="11">
        <v>0</v>
      </c>
      <c r="T132" s="10"/>
      <c r="U132" s="11">
        <v>0</v>
      </c>
    </row>
    <row r="133" spans="1:21" x14ac:dyDescent="0.45">
      <c r="A133" s="12">
        <v>190</v>
      </c>
      <c r="B133" s="12">
        <v>0</v>
      </c>
      <c r="C133" s="12" t="s">
        <v>230</v>
      </c>
      <c r="D133" s="12" t="s">
        <v>214</v>
      </c>
      <c r="E133" s="12">
        <v>0</v>
      </c>
      <c r="F133" s="12">
        <v>0</v>
      </c>
      <c r="G133" s="12">
        <v>2</v>
      </c>
      <c r="H133" s="12">
        <v>0</v>
      </c>
      <c r="I133" s="12">
        <v>0</v>
      </c>
      <c r="J133" s="10"/>
      <c r="K133" s="10" t="s">
        <v>445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</row>
    <row r="134" spans="1:21" x14ac:dyDescent="0.45">
      <c r="A134" s="12">
        <v>191</v>
      </c>
      <c r="B134" s="12">
        <v>0</v>
      </c>
      <c r="C134" s="12" t="s">
        <v>231</v>
      </c>
      <c r="D134" s="232" t="s">
        <v>453</v>
      </c>
      <c r="E134" s="12">
        <v>0</v>
      </c>
      <c r="F134" s="12">
        <v>0</v>
      </c>
      <c r="G134" s="12">
        <v>1</v>
      </c>
      <c r="H134" s="12">
        <v>0</v>
      </c>
      <c r="I134" s="12">
        <v>0</v>
      </c>
      <c r="J134" s="10"/>
      <c r="K134" s="10" t="s">
        <v>445</v>
      </c>
      <c r="L134" s="10"/>
      <c r="M134" s="11">
        <v>0</v>
      </c>
      <c r="N134" s="10"/>
      <c r="O134" s="11">
        <v>0</v>
      </c>
      <c r="P134" s="10"/>
      <c r="Q134" s="11">
        <v>0</v>
      </c>
      <c r="R134" s="10"/>
      <c r="S134" s="11">
        <v>0</v>
      </c>
      <c r="T134" s="10"/>
      <c r="U134" s="11">
        <v>0</v>
      </c>
    </row>
    <row r="135" spans="1:21" x14ac:dyDescent="0.45">
      <c r="A135" s="12">
        <v>193</v>
      </c>
      <c r="B135" s="12">
        <v>1</v>
      </c>
      <c r="C135" s="12" t="s">
        <v>232</v>
      </c>
      <c r="D135" s="12" t="s">
        <v>232</v>
      </c>
      <c r="E135" s="12">
        <v>0</v>
      </c>
      <c r="F135" s="12">
        <v>0</v>
      </c>
      <c r="G135" s="12">
        <v>0</v>
      </c>
      <c r="H135" s="12">
        <v>0</v>
      </c>
      <c r="I135" s="12">
        <v>0</v>
      </c>
      <c r="J135" s="10"/>
      <c r="K135" s="10" t="s">
        <v>445</v>
      </c>
      <c r="L135" s="10"/>
      <c r="M135" s="11">
        <v>0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</row>
    <row r="136" spans="1:21" x14ac:dyDescent="0.45">
      <c r="A136" s="12">
        <v>194</v>
      </c>
      <c r="B136" s="12">
        <v>1</v>
      </c>
      <c r="C136" s="12" t="s">
        <v>233</v>
      </c>
      <c r="D136" s="12" t="s">
        <v>233</v>
      </c>
      <c r="E136" s="12">
        <v>0</v>
      </c>
      <c r="F136" s="12">
        <v>194</v>
      </c>
      <c r="G136" s="12">
        <v>0</v>
      </c>
      <c r="H136" s="12">
        <v>0</v>
      </c>
      <c r="I136" s="12">
        <v>0</v>
      </c>
      <c r="J136" s="10"/>
      <c r="K136" s="10" t="s">
        <v>445</v>
      </c>
      <c r="L136" s="10"/>
      <c r="M136" s="11">
        <v>0</v>
      </c>
      <c r="N136" s="10"/>
      <c r="O136" s="11">
        <v>0</v>
      </c>
      <c r="P136" s="10"/>
      <c r="Q136" s="11">
        <v>0</v>
      </c>
      <c r="R136" s="10"/>
      <c r="S136" s="11">
        <v>0</v>
      </c>
      <c r="T136" s="10"/>
      <c r="U136" s="11">
        <v>0</v>
      </c>
    </row>
    <row r="137" spans="1:21" x14ac:dyDescent="0.45">
      <c r="A137" s="12">
        <v>195</v>
      </c>
      <c r="B137" s="12">
        <v>1</v>
      </c>
      <c r="C137" s="12" t="s">
        <v>234</v>
      </c>
      <c r="D137" s="12" t="s">
        <v>234</v>
      </c>
      <c r="E137" s="12">
        <v>0</v>
      </c>
      <c r="F137" s="12">
        <v>0</v>
      </c>
      <c r="G137" s="12">
        <v>0</v>
      </c>
      <c r="H137" s="12">
        <v>0</v>
      </c>
      <c r="I137" s="12">
        <v>0</v>
      </c>
      <c r="J137" s="10"/>
      <c r="K137" s="10" t="s">
        <v>445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</row>
    <row r="138" spans="1:21" x14ac:dyDescent="0.45">
      <c r="A138" s="12">
        <v>196</v>
      </c>
      <c r="B138" s="12">
        <v>1</v>
      </c>
      <c r="C138" s="12" t="s">
        <v>235</v>
      </c>
      <c r="D138" s="12" t="s">
        <v>235</v>
      </c>
      <c r="E138" s="12">
        <v>3500</v>
      </c>
      <c r="F138" s="12">
        <v>0</v>
      </c>
      <c r="G138" s="12">
        <v>1</v>
      </c>
      <c r="H138" s="12">
        <v>0</v>
      </c>
      <c r="I138" s="12">
        <v>0</v>
      </c>
      <c r="J138" s="10"/>
      <c r="K138" s="10" t="s">
        <v>445</v>
      </c>
      <c r="L138" s="10"/>
      <c r="M138" s="11">
        <v>0</v>
      </c>
      <c r="N138" s="10"/>
      <c r="O138" s="11">
        <v>0</v>
      </c>
      <c r="P138" s="10"/>
      <c r="Q138" s="11">
        <v>0</v>
      </c>
      <c r="R138" s="10"/>
      <c r="S138" s="11">
        <v>0</v>
      </c>
      <c r="T138" s="10"/>
      <c r="U138" s="11">
        <v>0</v>
      </c>
    </row>
    <row r="139" spans="1:21" x14ac:dyDescent="0.45">
      <c r="A139" s="12">
        <v>197</v>
      </c>
      <c r="B139" s="12">
        <v>1</v>
      </c>
      <c r="C139" s="12" t="s">
        <v>236</v>
      </c>
      <c r="D139" s="12" t="s">
        <v>236</v>
      </c>
      <c r="E139" s="12">
        <v>0</v>
      </c>
      <c r="F139" s="12">
        <v>0</v>
      </c>
      <c r="G139" s="12">
        <v>1</v>
      </c>
      <c r="H139" s="12">
        <v>0</v>
      </c>
      <c r="I139" s="12">
        <v>0</v>
      </c>
      <c r="J139" s="10"/>
      <c r="K139" s="10" t="s">
        <v>445</v>
      </c>
      <c r="L139" s="10"/>
      <c r="M139" s="11">
        <v>0</v>
      </c>
      <c r="N139" s="10"/>
      <c r="O139" s="11">
        <v>0</v>
      </c>
      <c r="P139" s="10"/>
      <c r="Q139" s="11">
        <v>0</v>
      </c>
      <c r="R139" s="10"/>
      <c r="S139" s="11">
        <v>0</v>
      </c>
      <c r="T139" s="10"/>
      <c r="U139" s="11">
        <v>0</v>
      </c>
    </row>
    <row r="140" spans="1:21" x14ac:dyDescent="0.45">
      <c r="A140" s="12">
        <v>198</v>
      </c>
      <c r="B140" s="12">
        <v>1</v>
      </c>
      <c r="C140" s="12" t="s">
        <v>237</v>
      </c>
      <c r="D140" s="12" t="s">
        <v>237</v>
      </c>
      <c r="E140" s="12">
        <v>0</v>
      </c>
      <c r="F140" s="12">
        <v>0</v>
      </c>
      <c r="G140" s="12">
        <v>1</v>
      </c>
      <c r="H140" s="12">
        <v>0</v>
      </c>
      <c r="I140" s="12">
        <v>0</v>
      </c>
      <c r="J140" s="10"/>
      <c r="K140" s="10" t="s">
        <v>445</v>
      </c>
      <c r="L140" s="10"/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</row>
    <row r="141" spans="1:21" x14ac:dyDescent="0.45">
      <c r="A141" s="9">
        <v>199</v>
      </c>
      <c r="B141" s="9">
        <v>1</v>
      </c>
      <c r="C141" s="9" t="s">
        <v>238</v>
      </c>
      <c r="D141" s="9" t="s">
        <v>239</v>
      </c>
      <c r="E141" s="9">
        <v>0</v>
      </c>
      <c r="F141" s="9">
        <v>480</v>
      </c>
      <c r="G141" s="9">
        <v>1</v>
      </c>
      <c r="H141" s="9">
        <v>1</v>
      </c>
      <c r="I141" s="9">
        <v>18</v>
      </c>
      <c r="J141" s="7"/>
      <c r="K141" s="7" t="s">
        <v>445</v>
      </c>
      <c r="L141" s="7"/>
      <c r="M141" s="8">
        <v>0</v>
      </c>
      <c r="N141" s="7"/>
      <c r="O141" s="8">
        <v>0</v>
      </c>
      <c r="P141" s="7"/>
      <c r="Q141" s="8">
        <v>0</v>
      </c>
      <c r="R141" s="7"/>
      <c r="S141" s="8">
        <v>0</v>
      </c>
      <c r="T141" s="7"/>
      <c r="U141" s="8">
        <v>0</v>
      </c>
    </row>
    <row r="142" spans="1:21" x14ac:dyDescent="0.45">
      <c r="A142" s="24">
        <v>200</v>
      </c>
      <c r="B142" s="24">
        <v>1</v>
      </c>
      <c r="C142" s="24" t="s">
        <v>70</v>
      </c>
      <c r="D142" s="24" t="s">
        <v>70</v>
      </c>
      <c r="E142" s="24">
        <v>0</v>
      </c>
      <c r="F142" s="24">
        <v>0</v>
      </c>
      <c r="G142" s="24">
        <v>2</v>
      </c>
      <c r="H142" s="24">
        <v>2</v>
      </c>
      <c r="I142" s="24">
        <v>0</v>
      </c>
      <c r="J142" s="25"/>
      <c r="K142" s="25"/>
      <c r="L142" s="25" t="s">
        <v>65</v>
      </c>
      <c r="M142" s="26">
        <v>1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</row>
    <row r="143" spans="1:21" x14ac:dyDescent="0.45">
      <c r="A143" s="24">
        <v>201</v>
      </c>
      <c r="B143" s="24">
        <v>2</v>
      </c>
      <c r="C143" s="24" t="s">
        <v>240</v>
      </c>
      <c r="D143" s="24" t="s">
        <v>240</v>
      </c>
      <c r="E143" s="24">
        <v>0</v>
      </c>
      <c r="F143" s="24">
        <v>0</v>
      </c>
      <c r="G143" s="24">
        <v>2</v>
      </c>
      <c r="H143" s="24">
        <v>2</v>
      </c>
      <c r="I143" s="24">
        <v>0</v>
      </c>
      <c r="J143" s="25"/>
      <c r="K143" s="25"/>
      <c r="L143" s="25" t="s">
        <v>241</v>
      </c>
      <c r="M143" s="26">
        <v>0</v>
      </c>
      <c r="N143" s="25"/>
      <c r="O143" s="26">
        <v>0</v>
      </c>
      <c r="P143" s="25"/>
      <c r="Q143" s="26">
        <v>0</v>
      </c>
      <c r="R143" s="25"/>
      <c r="S143" s="26">
        <v>0</v>
      </c>
      <c r="T143" s="25"/>
      <c r="U143" s="26">
        <v>0</v>
      </c>
    </row>
    <row r="144" spans="1:21" x14ac:dyDescent="0.45">
      <c r="A144" s="24">
        <v>202</v>
      </c>
      <c r="B144" s="24">
        <v>2</v>
      </c>
      <c r="C144" s="24" t="s">
        <v>242</v>
      </c>
      <c r="D144" s="24" t="s">
        <v>242</v>
      </c>
      <c r="E144" s="24">
        <v>0</v>
      </c>
      <c r="F144" s="24">
        <v>0</v>
      </c>
      <c r="G144" s="24">
        <v>2</v>
      </c>
      <c r="H144" s="24">
        <v>2</v>
      </c>
      <c r="I144" s="24">
        <v>0</v>
      </c>
      <c r="J144" s="25"/>
      <c r="K144" s="25"/>
      <c r="L144" s="25" t="s">
        <v>243</v>
      </c>
      <c r="M144" s="26">
        <v>0</v>
      </c>
      <c r="N144" s="25"/>
      <c r="O144" s="26">
        <v>0</v>
      </c>
      <c r="P144" s="25"/>
      <c r="Q144" s="26">
        <v>0</v>
      </c>
      <c r="R144" s="25"/>
      <c r="S144" s="26">
        <v>0</v>
      </c>
      <c r="T144" s="25"/>
      <c r="U144" s="26">
        <v>0</v>
      </c>
    </row>
    <row r="145" spans="1:21" x14ac:dyDescent="0.45">
      <c r="A145" s="24">
        <v>203</v>
      </c>
      <c r="B145" s="24">
        <v>2</v>
      </c>
      <c r="C145" s="24" t="s">
        <v>244</v>
      </c>
      <c r="D145" s="24" t="s">
        <v>244</v>
      </c>
      <c r="E145" s="24">
        <v>0</v>
      </c>
      <c r="F145" s="24">
        <v>0</v>
      </c>
      <c r="G145" s="24">
        <v>2</v>
      </c>
      <c r="H145" s="24">
        <v>2</v>
      </c>
      <c r="I145" s="24">
        <v>0</v>
      </c>
      <c r="J145" s="25"/>
      <c r="K145" s="25"/>
      <c r="L145" s="25" t="s">
        <v>244</v>
      </c>
      <c r="M145" s="26">
        <v>0</v>
      </c>
      <c r="N145" s="25"/>
      <c r="O145" s="26">
        <v>0</v>
      </c>
      <c r="P145" s="25"/>
      <c r="Q145" s="26">
        <v>0</v>
      </c>
      <c r="R145" s="25"/>
      <c r="S145" s="26">
        <v>0</v>
      </c>
      <c r="T145" s="25"/>
      <c r="U145" s="26">
        <v>0</v>
      </c>
    </row>
    <row r="146" spans="1:21" x14ac:dyDescent="0.45">
      <c r="A146" s="24">
        <v>204</v>
      </c>
      <c r="B146" s="24">
        <v>2</v>
      </c>
      <c r="C146" s="24" t="s">
        <v>245</v>
      </c>
      <c r="D146" s="24" t="s">
        <v>245</v>
      </c>
      <c r="E146" s="24">
        <v>0</v>
      </c>
      <c r="F146" s="24">
        <v>0</v>
      </c>
      <c r="G146" s="24">
        <v>2</v>
      </c>
      <c r="H146" s="24">
        <v>2</v>
      </c>
      <c r="I146" s="24">
        <v>0</v>
      </c>
      <c r="J146" s="25"/>
      <c r="K146" s="25"/>
      <c r="L146" s="25" t="s">
        <v>245</v>
      </c>
      <c r="M146" s="26">
        <v>0</v>
      </c>
      <c r="N146" s="25"/>
      <c r="O146" s="26">
        <v>0</v>
      </c>
      <c r="P146" s="25"/>
      <c r="Q146" s="26">
        <v>0</v>
      </c>
      <c r="R146" s="25"/>
      <c r="S146" s="26"/>
      <c r="T146" s="25"/>
      <c r="U146" s="26"/>
    </row>
    <row r="147" spans="1:21" x14ac:dyDescent="0.45">
      <c r="A147" s="24">
        <v>205</v>
      </c>
      <c r="B147" s="24">
        <v>2</v>
      </c>
      <c r="C147" s="24" t="s">
        <v>246</v>
      </c>
      <c r="D147" s="24" t="s">
        <v>246</v>
      </c>
      <c r="E147" s="24">
        <v>0</v>
      </c>
      <c r="F147" s="24">
        <v>0</v>
      </c>
      <c r="G147" s="24">
        <v>2</v>
      </c>
      <c r="H147" s="24">
        <v>2</v>
      </c>
      <c r="I147" s="24">
        <v>0</v>
      </c>
      <c r="J147" s="25"/>
      <c r="K147" s="25"/>
      <c r="L147" s="25" t="s">
        <v>246</v>
      </c>
      <c r="M147" s="26">
        <v>0</v>
      </c>
      <c r="N147" s="25"/>
      <c r="O147" s="26">
        <v>0</v>
      </c>
      <c r="P147" s="25"/>
      <c r="Q147" s="26">
        <v>0</v>
      </c>
      <c r="R147" s="25"/>
      <c r="S147" s="26"/>
      <c r="T147" s="25"/>
      <c r="U147" s="26"/>
    </row>
    <row r="148" spans="1:21" x14ac:dyDescent="0.45">
      <c r="A148" s="24">
        <v>206</v>
      </c>
      <c r="B148" s="24">
        <v>2</v>
      </c>
      <c r="C148" s="24" t="s">
        <v>247</v>
      </c>
      <c r="D148" s="24" t="s">
        <v>247</v>
      </c>
      <c r="E148" s="24">
        <v>0</v>
      </c>
      <c r="F148" s="24">
        <v>0</v>
      </c>
      <c r="G148" s="24">
        <v>2</v>
      </c>
      <c r="H148" s="24">
        <v>2</v>
      </c>
      <c r="I148" s="24">
        <v>0</v>
      </c>
      <c r="J148" s="25"/>
      <c r="K148" s="25"/>
      <c r="L148" s="25" t="s">
        <v>248</v>
      </c>
      <c r="M148" s="26">
        <v>0</v>
      </c>
      <c r="N148" s="25"/>
      <c r="O148" s="26">
        <v>0</v>
      </c>
      <c r="P148" s="25"/>
      <c r="Q148" s="26">
        <v>0</v>
      </c>
      <c r="R148" s="25"/>
      <c r="S148" s="26">
        <v>0</v>
      </c>
      <c r="T148" s="25"/>
      <c r="U148" s="26">
        <v>0</v>
      </c>
    </row>
    <row r="149" spans="1:21" x14ac:dyDescent="0.45">
      <c r="A149" s="24">
        <v>207</v>
      </c>
      <c r="B149" s="24">
        <v>2</v>
      </c>
      <c r="C149" s="24" t="s">
        <v>249</v>
      </c>
      <c r="D149" s="24" t="s">
        <v>249</v>
      </c>
      <c r="E149" s="24">
        <v>0</v>
      </c>
      <c r="F149" s="24">
        <v>0</v>
      </c>
      <c r="G149" s="24">
        <v>2</v>
      </c>
      <c r="H149" s="24">
        <v>2</v>
      </c>
      <c r="I149" s="24">
        <v>0</v>
      </c>
      <c r="J149" s="25"/>
      <c r="K149" s="25"/>
      <c r="L149" s="25" t="s">
        <v>248</v>
      </c>
      <c r="M149" s="26">
        <v>0</v>
      </c>
      <c r="N149" s="25"/>
      <c r="O149" s="26">
        <v>0</v>
      </c>
      <c r="P149" s="25"/>
      <c r="Q149" s="26">
        <v>0</v>
      </c>
      <c r="R149" s="25"/>
      <c r="S149" s="26">
        <v>0</v>
      </c>
      <c r="T149" s="25"/>
      <c r="U149" s="26">
        <v>0</v>
      </c>
    </row>
    <row r="150" spans="1:21" x14ac:dyDescent="0.45">
      <c r="A150" s="24">
        <v>208</v>
      </c>
      <c r="B150" s="24">
        <v>2</v>
      </c>
      <c r="C150" s="24" t="s">
        <v>250</v>
      </c>
      <c r="D150" s="24" t="s">
        <v>250</v>
      </c>
      <c r="E150" s="24">
        <v>0</v>
      </c>
      <c r="F150" s="24">
        <v>0</v>
      </c>
      <c r="G150" s="24">
        <v>2</v>
      </c>
      <c r="H150" s="24">
        <v>2</v>
      </c>
      <c r="I150" s="24">
        <v>0</v>
      </c>
      <c r="J150" s="25"/>
      <c r="K150" s="25"/>
      <c r="L150" s="25" t="s">
        <v>248</v>
      </c>
      <c r="M150" s="26">
        <v>0</v>
      </c>
      <c r="N150" s="25"/>
      <c r="O150" s="26">
        <v>0</v>
      </c>
      <c r="P150" s="25"/>
      <c r="Q150" s="26">
        <v>0</v>
      </c>
      <c r="R150" s="25"/>
      <c r="S150" s="26">
        <v>0</v>
      </c>
      <c r="T150" s="25"/>
      <c r="U150" s="26">
        <v>0</v>
      </c>
    </row>
    <row r="151" spans="1:21" x14ac:dyDescent="0.45">
      <c r="A151" s="24">
        <v>209</v>
      </c>
      <c r="B151" s="24">
        <v>2</v>
      </c>
      <c r="C151" s="24" t="s">
        <v>251</v>
      </c>
      <c r="D151" s="24" t="s">
        <v>251</v>
      </c>
      <c r="E151" s="24">
        <v>0</v>
      </c>
      <c r="F151" s="24">
        <v>0</v>
      </c>
      <c r="G151" s="24">
        <v>2</v>
      </c>
      <c r="H151" s="24">
        <v>2</v>
      </c>
      <c r="I151" s="24">
        <v>0</v>
      </c>
      <c r="J151" s="25"/>
      <c r="K151" s="25"/>
      <c r="L151" s="25" t="s">
        <v>248</v>
      </c>
      <c r="M151" s="26">
        <v>0</v>
      </c>
      <c r="N151" s="25"/>
      <c r="O151" s="26">
        <v>0</v>
      </c>
      <c r="P151" s="25"/>
      <c r="Q151" s="26">
        <v>0</v>
      </c>
      <c r="R151" s="25"/>
      <c r="S151" s="26">
        <v>0</v>
      </c>
      <c r="T151" s="25"/>
      <c r="U151" s="26">
        <v>0</v>
      </c>
    </row>
    <row r="152" spans="1:21" x14ac:dyDescent="0.45">
      <c r="A152" s="24">
        <v>210</v>
      </c>
      <c r="B152" s="24">
        <v>2</v>
      </c>
      <c r="C152" s="24" t="s">
        <v>252</v>
      </c>
      <c r="D152" s="24" t="s">
        <v>252</v>
      </c>
      <c r="E152" s="24">
        <v>0</v>
      </c>
      <c r="F152" s="24">
        <v>0</v>
      </c>
      <c r="G152" s="24">
        <v>2</v>
      </c>
      <c r="H152" s="24">
        <v>2</v>
      </c>
      <c r="I152" s="24">
        <v>0</v>
      </c>
      <c r="J152" s="25"/>
      <c r="K152" s="25"/>
      <c r="L152" s="25" t="s">
        <v>248</v>
      </c>
      <c r="M152" s="26">
        <v>0</v>
      </c>
      <c r="N152" s="25"/>
      <c r="O152" s="26">
        <v>0</v>
      </c>
      <c r="P152" s="25"/>
      <c r="Q152" s="26">
        <v>0</v>
      </c>
      <c r="R152" s="25"/>
      <c r="S152" s="26">
        <v>0</v>
      </c>
      <c r="T152" s="25"/>
      <c r="U152" s="26">
        <v>0</v>
      </c>
    </row>
    <row r="153" spans="1:21" x14ac:dyDescent="0.45">
      <c r="A153" s="24">
        <v>211</v>
      </c>
      <c r="B153" s="24">
        <v>2</v>
      </c>
      <c r="C153" s="24" t="s">
        <v>253</v>
      </c>
      <c r="D153" s="24" t="s">
        <v>253</v>
      </c>
      <c r="E153" s="24">
        <v>0</v>
      </c>
      <c r="F153" s="24">
        <v>0</v>
      </c>
      <c r="G153" s="24">
        <v>2</v>
      </c>
      <c r="H153" s="24">
        <v>2</v>
      </c>
      <c r="I153" s="24">
        <v>0</v>
      </c>
      <c r="J153" s="25"/>
      <c r="K153" s="25"/>
      <c r="L153" s="25" t="s">
        <v>248</v>
      </c>
      <c r="M153" s="26">
        <v>0</v>
      </c>
      <c r="N153" s="25"/>
      <c r="O153" s="26">
        <v>0</v>
      </c>
      <c r="P153" s="25"/>
      <c r="Q153" s="26">
        <v>0</v>
      </c>
      <c r="R153" s="25"/>
      <c r="S153" s="26">
        <v>0</v>
      </c>
      <c r="T153" s="25"/>
      <c r="U153" s="26">
        <v>0</v>
      </c>
    </row>
    <row r="154" spans="1:21" x14ac:dyDescent="0.45">
      <c r="A154" s="24">
        <v>212</v>
      </c>
      <c r="B154" s="24">
        <v>2</v>
      </c>
      <c r="C154" s="24" t="s">
        <v>254</v>
      </c>
      <c r="D154" s="24" t="s">
        <v>255</v>
      </c>
      <c r="E154" s="24">
        <v>0</v>
      </c>
      <c r="F154" s="24">
        <v>0</v>
      </c>
      <c r="G154" s="24">
        <v>2</v>
      </c>
      <c r="H154" s="24">
        <v>2</v>
      </c>
      <c r="I154" s="24">
        <v>0</v>
      </c>
      <c r="J154" s="25"/>
      <c r="K154" s="25"/>
      <c r="L154" s="25" t="s">
        <v>248</v>
      </c>
      <c r="M154" s="26">
        <v>0</v>
      </c>
      <c r="N154" s="25"/>
      <c r="O154" s="26">
        <v>0</v>
      </c>
      <c r="P154" s="25"/>
      <c r="Q154" s="26">
        <v>0</v>
      </c>
      <c r="R154" s="25"/>
      <c r="S154" s="26">
        <v>0</v>
      </c>
      <c r="T154" s="25"/>
      <c r="U154" s="26">
        <v>0</v>
      </c>
    </row>
    <row r="155" spans="1:21" x14ac:dyDescent="0.45">
      <c r="A155" s="24">
        <v>213</v>
      </c>
      <c r="B155" s="24">
        <v>2</v>
      </c>
      <c r="C155" s="24" t="s">
        <v>256</v>
      </c>
      <c r="D155" s="24" t="s">
        <v>256</v>
      </c>
      <c r="E155" s="24">
        <v>0</v>
      </c>
      <c r="F155" s="24">
        <v>0</v>
      </c>
      <c r="G155" s="24">
        <v>2</v>
      </c>
      <c r="H155" s="24">
        <v>2</v>
      </c>
      <c r="I155" s="24">
        <v>0</v>
      </c>
      <c r="J155" s="25"/>
      <c r="K155" s="25"/>
      <c r="L155" s="25" t="s">
        <v>256</v>
      </c>
      <c r="M155" s="26">
        <v>0</v>
      </c>
      <c r="N155" s="25"/>
      <c r="O155" s="26">
        <v>0</v>
      </c>
      <c r="P155" s="25"/>
      <c r="Q155" s="26">
        <v>0</v>
      </c>
      <c r="R155" s="25"/>
      <c r="S155" s="26">
        <v>0</v>
      </c>
      <c r="T155" s="25"/>
      <c r="U155" s="26">
        <v>0</v>
      </c>
    </row>
    <row r="156" spans="1:21" x14ac:dyDescent="0.45">
      <c r="A156" s="24">
        <v>214</v>
      </c>
      <c r="B156" s="24">
        <v>2</v>
      </c>
      <c r="C156" s="24" t="s">
        <v>200</v>
      </c>
      <c r="D156" s="24" t="s">
        <v>200</v>
      </c>
      <c r="E156" s="24">
        <v>0</v>
      </c>
      <c r="F156" s="24">
        <v>0</v>
      </c>
      <c r="G156" s="24">
        <v>2</v>
      </c>
      <c r="H156" s="24">
        <v>2</v>
      </c>
      <c r="I156" s="24">
        <v>0</v>
      </c>
      <c r="J156" s="25"/>
      <c r="K156" s="25"/>
      <c r="L156" s="25" t="s">
        <v>200</v>
      </c>
      <c r="M156" s="26">
        <v>0</v>
      </c>
      <c r="N156" s="25"/>
      <c r="O156" s="26">
        <v>0</v>
      </c>
      <c r="P156" s="25"/>
      <c r="Q156" s="26">
        <v>0</v>
      </c>
      <c r="R156" s="25"/>
      <c r="S156" s="26">
        <v>0</v>
      </c>
      <c r="T156" s="25"/>
      <c r="U156" s="26">
        <v>0</v>
      </c>
    </row>
    <row r="157" spans="1:21" x14ac:dyDescent="0.45">
      <c r="A157" s="24">
        <v>215</v>
      </c>
      <c r="B157" s="24">
        <v>2</v>
      </c>
      <c r="C157" s="24" t="s">
        <v>257</v>
      </c>
      <c r="D157" s="24" t="s">
        <v>257</v>
      </c>
      <c r="E157" s="24">
        <v>0</v>
      </c>
      <c r="F157" s="24">
        <v>0</v>
      </c>
      <c r="G157" s="24">
        <v>2</v>
      </c>
      <c r="H157" s="24">
        <v>2</v>
      </c>
      <c r="I157" s="24">
        <v>0</v>
      </c>
      <c r="J157" s="25"/>
      <c r="K157" s="25"/>
      <c r="L157" s="25" t="s">
        <v>257</v>
      </c>
      <c r="M157" s="26">
        <v>0</v>
      </c>
      <c r="N157" s="25"/>
      <c r="O157" s="26">
        <v>0</v>
      </c>
      <c r="P157" s="25"/>
      <c r="Q157" s="26">
        <v>0</v>
      </c>
      <c r="R157" s="25"/>
      <c r="S157" s="26">
        <v>0</v>
      </c>
      <c r="T157" s="25"/>
      <c r="U157" s="26">
        <v>0</v>
      </c>
    </row>
    <row r="158" spans="1:21" x14ac:dyDescent="0.45">
      <c r="A158" s="24">
        <v>216</v>
      </c>
      <c r="B158" s="24">
        <v>2</v>
      </c>
      <c r="C158" s="24" t="s">
        <v>258</v>
      </c>
      <c r="D158" s="24" t="s">
        <v>258</v>
      </c>
      <c r="E158" s="24">
        <v>0</v>
      </c>
      <c r="F158" s="24">
        <v>0</v>
      </c>
      <c r="G158" s="24">
        <v>2</v>
      </c>
      <c r="H158" s="24">
        <v>2</v>
      </c>
      <c r="I158" s="24">
        <v>0</v>
      </c>
      <c r="J158" s="25"/>
      <c r="K158" s="25"/>
      <c r="L158" s="25" t="s">
        <v>258</v>
      </c>
      <c r="M158" s="26">
        <v>0</v>
      </c>
      <c r="N158" s="25"/>
      <c r="O158" s="26">
        <v>0</v>
      </c>
      <c r="P158" s="25"/>
      <c r="Q158" s="26">
        <v>0</v>
      </c>
      <c r="R158" s="25"/>
      <c r="S158" s="26">
        <v>0</v>
      </c>
      <c r="T158" s="25"/>
      <c r="U158" s="26">
        <v>0</v>
      </c>
    </row>
    <row r="159" spans="1:21" x14ac:dyDescent="0.45">
      <c r="A159" s="24">
        <v>217</v>
      </c>
      <c r="B159" s="24">
        <v>2</v>
      </c>
      <c r="C159" s="24" t="s">
        <v>259</v>
      </c>
      <c r="D159" s="24" t="s">
        <v>260</v>
      </c>
      <c r="E159" s="24">
        <v>0</v>
      </c>
      <c r="F159" s="24">
        <v>0</v>
      </c>
      <c r="G159" s="24">
        <v>2</v>
      </c>
      <c r="H159" s="24">
        <v>2</v>
      </c>
      <c r="I159" s="24">
        <v>0</v>
      </c>
      <c r="J159" s="25"/>
      <c r="K159" s="25"/>
      <c r="L159" s="25" t="s">
        <v>260</v>
      </c>
      <c r="M159" s="26">
        <v>0</v>
      </c>
      <c r="N159" s="25"/>
      <c r="O159" s="26">
        <v>0</v>
      </c>
      <c r="P159" s="25"/>
      <c r="Q159" s="26">
        <v>0</v>
      </c>
      <c r="R159" s="25"/>
      <c r="S159" s="26">
        <v>0</v>
      </c>
      <c r="T159" s="25"/>
      <c r="U159" s="26">
        <v>0</v>
      </c>
    </row>
    <row r="160" spans="1:21" x14ac:dyDescent="0.45">
      <c r="A160" s="24">
        <v>218</v>
      </c>
      <c r="B160" s="24">
        <v>2</v>
      </c>
      <c r="C160" s="24" t="s">
        <v>259</v>
      </c>
      <c r="D160" s="24" t="s">
        <v>172</v>
      </c>
      <c r="E160" s="24">
        <v>0</v>
      </c>
      <c r="F160" s="24">
        <v>0</v>
      </c>
      <c r="G160" s="24">
        <v>2</v>
      </c>
      <c r="H160" s="24">
        <v>2</v>
      </c>
      <c r="I160" s="24">
        <v>0</v>
      </c>
      <c r="J160" s="25"/>
      <c r="K160" s="25"/>
      <c r="L160" s="25" t="s">
        <v>172</v>
      </c>
      <c r="M160" s="26">
        <v>0</v>
      </c>
      <c r="N160" s="25"/>
      <c r="O160" s="26">
        <v>0</v>
      </c>
      <c r="P160" s="25"/>
      <c r="Q160" s="26">
        <v>0</v>
      </c>
      <c r="R160" s="25"/>
      <c r="S160" s="26">
        <v>0</v>
      </c>
      <c r="T160" s="25"/>
      <c r="U160" s="26">
        <v>0</v>
      </c>
    </row>
    <row r="161" spans="1:21" x14ac:dyDescent="0.45">
      <c r="A161" s="24">
        <v>219</v>
      </c>
      <c r="B161" s="24">
        <v>2</v>
      </c>
      <c r="C161" s="24" t="s">
        <v>180</v>
      </c>
      <c r="D161" s="24" t="s">
        <v>261</v>
      </c>
      <c r="E161" s="24">
        <v>0</v>
      </c>
      <c r="F161" s="24">
        <v>0</v>
      </c>
      <c r="G161" s="24">
        <v>2</v>
      </c>
      <c r="H161" s="24">
        <v>2</v>
      </c>
      <c r="I161" s="24">
        <v>0</v>
      </c>
      <c r="J161" s="25"/>
      <c r="K161" s="25"/>
      <c r="L161" s="25" t="s">
        <v>261</v>
      </c>
      <c r="M161" s="26">
        <v>0</v>
      </c>
      <c r="N161" s="25"/>
      <c r="O161" s="26">
        <v>0</v>
      </c>
      <c r="P161" s="25"/>
      <c r="Q161" s="26">
        <v>0</v>
      </c>
      <c r="R161" s="25"/>
      <c r="S161" s="26">
        <v>0</v>
      </c>
      <c r="T161" s="25"/>
      <c r="U161" s="26">
        <v>0</v>
      </c>
    </row>
    <row r="162" spans="1:21" x14ac:dyDescent="0.45">
      <c r="A162" s="24">
        <v>220</v>
      </c>
      <c r="B162" s="24">
        <v>2</v>
      </c>
      <c r="C162" s="24" t="s">
        <v>74</v>
      </c>
      <c r="D162" s="24" t="s">
        <v>74</v>
      </c>
      <c r="E162" s="24">
        <v>0</v>
      </c>
      <c r="F162" s="24">
        <v>0</v>
      </c>
      <c r="G162" s="24">
        <v>2</v>
      </c>
      <c r="H162" s="24">
        <v>2</v>
      </c>
      <c r="I162" s="24">
        <v>0</v>
      </c>
      <c r="J162" s="25"/>
      <c r="K162" s="25"/>
      <c r="L162" s="25" t="s">
        <v>74</v>
      </c>
      <c r="M162" s="26">
        <v>0</v>
      </c>
      <c r="N162" s="25"/>
      <c r="O162" s="26">
        <v>0</v>
      </c>
      <c r="P162" s="25"/>
      <c r="Q162" s="26">
        <v>0</v>
      </c>
      <c r="R162" s="25"/>
      <c r="S162" s="26">
        <v>0</v>
      </c>
      <c r="T162" s="25"/>
      <c r="U162" s="26">
        <v>0</v>
      </c>
    </row>
    <row r="163" spans="1:21" x14ac:dyDescent="0.45">
      <c r="A163" s="24">
        <v>221</v>
      </c>
      <c r="B163" s="24">
        <v>2</v>
      </c>
      <c r="C163" s="24" t="s">
        <v>112</v>
      </c>
      <c r="D163" s="24" t="s">
        <v>112</v>
      </c>
      <c r="E163" s="24">
        <v>0</v>
      </c>
      <c r="F163" s="24">
        <v>0</v>
      </c>
      <c r="G163" s="24">
        <v>2</v>
      </c>
      <c r="H163" s="24">
        <v>2</v>
      </c>
      <c r="I163" s="24">
        <v>0</v>
      </c>
      <c r="J163" s="25"/>
      <c r="K163" s="25"/>
      <c r="L163" s="25" t="s">
        <v>112</v>
      </c>
      <c r="M163" s="26">
        <v>0</v>
      </c>
      <c r="N163" s="25"/>
      <c r="O163" s="26">
        <v>0</v>
      </c>
      <c r="P163" s="25"/>
      <c r="Q163" s="26">
        <v>0</v>
      </c>
      <c r="R163" s="25"/>
      <c r="S163" s="26">
        <v>0</v>
      </c>
      <c r="T163" s="25"/>
      <c r="U163" s="26">
        <v>0</v>
      </c>
    </row>
    <row r="164" spans="1:21" x14ac:dyDescent="0.45">
      <c r="A164" s="24">
        <v>222</v>
      </c>
      <c r="B164" s="24">
        <v>2</v>
      </c>
      <c r="C164" s="24" t="s">
        <v>262</v>
      </c>
      <c r="D164" s="24" t="s">
        <v>263</v>
      </c>
      <c r="E164" s="24">
        <v>0</v>
      </c>
      <c r="F164" s="24">
        <v>0</v>
      </c>
      <c r="G164" s="24">
        <v>2</v>
      </c>
      <c r="H164" s="24">
        <v>2</v>
      </c>
      <c r="I164" s="24">
        <v>0</v>
      </c>
      <c r="J164" s="25"/>
      <c r="K164" s="25"/>
      <c r="L164" s="25" t="s">
        <v>263</v>
      </c>
      <c r="M164" s="26">
        <v>0</v>
      </c>
      <c r="N164" s="25"/>
      <c r="O164" s="26">
        <v>0</v>
      </c>
      <c r="P164" s="25"/>
      <c r="Q164" s="26">
        <v>0</v>
      </c>
      <c r="R164" s="25"/>
      <c r="S164" s="26">
        <v>0</v>
      </c>
      <c r="T164" s="25"/>
      <c r="U164" s="26">
        <v>0</v>
      </c>
    </row>
    <row r="165" spans="1:21" x14ac:dyDescent="0.45">
      <c r="A165" s="24">
        <v>223</v>
      </c>
      <c r="B165" s="24">
        <v>2</v>
      </c>
      <c r="C165" s="24" t="s">
        <v>264</v>
      </c>
      <c r="D165" s="24" t="s">
        <v>264</v>
      </c>
      <c r="E165" s="24">
        <v>0</v>
      </c>
      <c r="F165" s="24">
        <v>0</v>
      </c>
      <c r="G165" s="24">
        <v>2</v>
      </c>
      <c r="H165" s="24">
        <v>2</v>
      </c>
      <c r="I165" s="24">
        <v>0</v>
      </c>
      <c r="J165" s="25"/>
      <c r="K165" s="25"/>
      <c r="L165" s="25" t="s">
        <v>264</v>
      </c>
      <c r="M165" s="26">
        <v>0</v>
      </c>
      <c r="N165" s="25"/>
      <c r="O165" s="26">
        <v>0</v>
      </c>
      <c r="P165" s="25"/>
      <c r="Q165" s="26">
        <v>0</v>
      </c>
      <c r="R165" s="25"/>
      <c r="S165" s="26">
        <v>0</v>
      </c>
      <c r="T165" s="25"/>
      <c r="U165" s="26">
        <v>0</v>
      </c>
    </row>
    <row r="166" spans="1:21" x14ac:dyDescent="0.45">
      <c r="A166" s="24">
        <v>225</v>
      </c>
      <c r="B166" s="24">
        <v>2</v>
      </c>
      <c r="C166" s="24" t="s">
        <v>114</v>
      </c>
      <c r="D166" s="24" t="s">
        <v>114</v>
      </c>
      <c r="E166" s="24">
        <v>0</v>
      </c>
      <c r="F166" s="24">
        <v>0</v>
      </c>
      <c r="G166" s="24">
        <v>2</v>
      </c>
      <c r="H166" s="24">
        <v>2</v>
      </c>
      <c r="I166" s="24">
        <v>0</v>
      </c>
      <c r="J166" s="25"/>
      <c r="K166" s="25"/>
      <c r="L166" s="25" t="s">
        <v>114</v>
      </c>
      <c r="M166" s="26">
        <v>0</v>
      </c>
      <c r="N166" s="25" t="s">
        <v>115</v>
      </c>
      <c r="O166" s="26">
        <v>0</v>
      </c>
      <c r="P166" s="25"/>
      <c r="Q166" s="26">
        <v>0</v>
      </c>
      <c r="R166" s="25"/>
      <c r="S166" s="26">
        <v>0</v>
      </c>
      <c r="T166" s="25"/>
      <c r="U166" s="26">
        <v>0</v>
      </c>
    </row>
    <row r="167" spans="1:21" x14ac:dyDescent="0.45">
      <c r="A167" s="24">
        <v>226</v>
      </c>
      <c r="B167" s="24">
        <v>2</v>
      </c>
      <c r="C167" s="24"/>
      <c r="D167" s="24" t="s">
        <v>265</v>
      </c>
      <c r="E167" s="24">
        <v>0</v>
      </c>
      <c r="F167" s="24">
        <v>0</v>
      </c>
      <c r="G167" s="24">
        <v>2</v>
      </c>
      <c r="H167" s="24">
        <v>2</v>
      </c>
      <c r="I167" s="24">
        <v>0</v>
      </c>
      <c r="J167" s="25"/>
      <c r="K167" s="25"/>
      <c r="L167" s="25" t="s">
        <v>266</v>
      </c>
      <c r="M167" s="26">
        <v>0</v>
      </c>
      <c r="N167" s="25"/>
      <c r="O167" s="26">
        <v>0</v>
      </c>
      <c r="P167" s="25"/>
      <c r="Q167" s="26">
        <v>0</v>
      </c>
      <c r="R167" s="25"/>
      <c r="S167" s="26">
        <v>0</v>
      </c>
      <c r="T167" s="25"/>
      <c r="U167" s="26">
        <v>0</v>
      </c>
    </row>
    <row r="168" spans="1:21" x14ac:dyDescent="0.45">
      <c r="A168" s="24">
        <v>227</v>
      </c>
      <c r="B168" s="24">
        <v>2</v>
      </c>
      <c r="C168" s="24" t="s">
        <v>267</v>
      </c>
      <c r="D168" s="24" t="s">
        <v>267</v>
      </c>
      <c r="E168" s="24">
        <v>0</v>
      </c>
      <c r="F168" s="24">
        <v>0</v>
      </c>
      <c r="G168" s="24">
        <v>2</v>
      </c>
      <c r="H168" s="24">
        <v>2</v>
      </c>
      <c r="I168" s="24">
        <v>0</v>
      </c>
      <c r="J168" s="25"/>
      <c r="K168" s="25"/>
      <c r="L168" s="25" t="s">
        <v>267</v>
      </c>
      <c r="M168" s="26">
        <v>0</v>
      </c>
      <c r="N168" s="25"/>
      <c r="O168" s="26">
        <v>0</v>
      </c>
      <c r="P168" s="25"/>
      <c r="Q168" s="26">
        <v>0</v>
      </c>
      <c r="R168" s="25"/>
      <c r="S168" s="26">
        <v>0</v>
      </c>
      <c r="T168" s="25"/>
      <c r="U168" s="26">
        <v>0</v>
      </c>
    </row>
    <row r="169" spans="1:21" x14ac:dyDescent="0.45">
      <c r="A169" s="24">
        <v>229</v>
      </c>
      <c r="B169" s="24">
        <v>0</v>
      </c>
      <c r="C169" s="24" t="s">
        <v>135</v>
      </c>
      <c r="D169" s="24"/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5"/>
      <c r="K169" s="25"/>
      <c r="L169" s="25"/>
      <c r="M169" s="26">
        <v>0</v>
      </c>
      <c r="N169" s="25"/>
      <c r="O169" s="26">
        <v>0</v>
      </c>
      <c r="P169" s="25"/>
      <c r="Q169" s="26">
        <v>0</v>
      </c>
      <c r="R169" s="25"/>
      <c r="S169" s="26">
        <v>0</v>
      </c>
      <c r="T169" s="25"/>
      <c r="U169" s="26">
        <v>0</v>
      </c>
    </row>
    <row r="170" spans="1:21" x14ac:dyDescent="0.45">
      <c r="A170" s="24">
        <v>230</v>
      </c>
      <c r="B170" s="24">
        <v>1</v>
      </c>
      <c r="C170" s="24" t="s">
        <v>268</v>
      </c>
      <c r="D170" s="24" t="s">
        <v>268</v>
      </c>
      <c r="E170" s="24">
        <v>0</v>
      </c>
      <c r="F170" s="24">
        <v>0</v>
      </c>
      <c r="G170" s="24">
        <v>3</v>
      </c>
      <c r="H170" s="24">
        <v>2</v>
      </c>
      <c r="I170" s="24">
        <v>0</v>
      </c>
      <c r="J170" s="25"/>
      <c r="K170" s="25"/>
      <c r="L170" s="25" t="s">
        <v>269</v>
      </c>
      <c r="M170" s="26">
        <v>0</v>
      </c>
      <c r="N170" s="25"/>
      <c r="O170" s="26">
        <v>0</v>
      </c>
      <c r="P170" s="25"/>
      <c r="Q170" s="26">
        <v>0</v>
      </c>
      <c r="R170" s="25"/>
      <c r="S170" s="26">
        <v>0</v>
      </c>
      <c r="T170" s="25"/>
      <c r="U170" s="26">
        <v>0</v>
      </c>
    </row>
    <row r="171" spans="1:21" x14ac:dyDescent="0.45">
      <c r="A171" s="24">
        <v>231</v>
      </c>
      <c r="B171" s="24">
        <v>1</v>
      </c>
      <c r="C171" s="24" t="s">
        <v>270</v>
      </c>
      <c r="D171" s="24" t="s">
        <v>270</v>
      </c>
      <c r="E171" s="24">
        <v>0</v>
      </c>
      <c r="F171" s="24">
        <v>0</v>
      </c>
      <c r="G171" s="24">
        <v>3</v>
      </c>
      <c r="H171" s="24">
        <v>2</v>
      </c>
      <c r="I171" s="24">
        <v>0</v>
      </c>
      <c r="J171" s="25"/>
      <c r="K171" s="25"/>
      <c r="L171" s="25" t="s">
        <v>271</v>
      </c>
      <c r="M171" s="26">
        <v>0</v>
      </c>
      <c r="N171" s="25"/>
      <c r="O171" s="26">
        <v>0</v>
      </c>
      <c r="P171" s="25"/>
      <c r="Q171" s="26">
        <v>0</v>
      </c>
      <c r="R171" s="25"/>
      <c r="S171" s="26">
        <v>0</v>
      </c>
      <c r="T171" s="25"/>
      <c r="U171" s="26">
        <v>0</v>
      </c>
    </row>
    <row r="172" spans="1:21" x14ac:dyDescent="0.45">
      <c r="A172" s="24">
        <v>232</v>
      </c>
      <c r="B172" s="24">
        <v>1</v>
      </c>
      <c r="C172" s="24" t="s">
        <v>272</v>
      </c>
      <c r="D172" s="24" t="s">
        <v>272</v>
      </c>
      <c r="E172" s="24">
        <v>0</v>
      </c>
      <c r="F172" s="24">
        <v>0</v>
      </c>
      <c r="G172" s="24">
        <v>3</v>
      </c>
      <c r="H172" s="24">
        <v>2</v>
      </c>
      <c r="I172" s="24">
        <v>0</v>
      </c>
      <c r="J172" s="25"/>
      <c r="K172" s="25"/>
      <c r="L172" s="25" t="s">
        <v>273</v>
      </c>
      <c r="M172" s="26">
        <v>0</v>
      </c>
      <c r="N172" s="25"/>
      <c r="O172" s="26">
        <v>0</v>
      </c>
      <c r="P172" s="25"/>
      <c r="Q172" s="26">
        <v>0</v>
      </c>
      <c r="R172" s="25"/>
      <c r="S172" s="26">
        <v>0</v>
      </c>
      <c r="T172" s="25"/>
      <c r="U172" s="26">
        <v>0</v>
      </c>
    </row>
    <row r="173" spans="1:21" x14ac:dyDescent="0.45">
      <c r="A173" s="24">
        <v>233</v>
      </c>
      <c r="B173" s="24">
        <v>1</v>
      </c>
      <c r="C173" s="24" t="s">
        <v>274</v>
      </c>
      <c r="D173" s="24" t="s">
        <v>274</v>
      </c>
      <c r="E173" s="24">
        <v>0</v>
      </c>
      <c r="F173" s="24">
        <v>0</v>
      </c>
      <c r="G173" s="24">
        <v>3</v>
      </c>
      <c r="H173" s="24">
        <v>2</v>
      </c>
      <c r="I173" s="24">
        <v>0</v>
      </c>
      <c r="J173" s="25"/>
      <c r="K173" s="25"/>
      <c r="L173" s="25" t="s">
        <v>275</v>
      </c>
      <c r="M173" s="26">
        <v>0</v>
      </c>
      <c r="N173" s="25"/>
      <c r="O173" s="26">
        <v>0</v>
      </c>
      <c r="P173" s="25"/>
      <c r="Q173" s="26">
        <v>0</v>
      </c>
      <c r="R173" s="25"/>
      <c r="S173" s="26">
        <v>0</v>
      </c>
      <c r="T173" s="25"/>
      <c r="U173" s="26">
        <v>0</v>
      </c>
    </row>
    <row r="174" spans="1:21" x14ac:dyDescent="0.45">
      <c r="A174" s="24">
        <v>234</v>
      </c>
      <c r="B174" s="24">
        <v>1</v>
      </c>
      <c r="C174" s="24" t="s">
        <v>276</v>
      </c>
      <c r="D174" s="24" t="s">
        <v>276</v>
      </c>
      <c r="E174" s="24">
        <v>0</v>
      </c>
      <c r="F174" s="24">
        <v>0</v>
      </c>
      <c r="G174" s="24">
        <v>3</v>
      </c>
      <c r="H174" s="24">
        <v>2</v>
      </c>
      <c r="I174" s="24">
        <v>0</v>
      </c>
      <c r="J174" s="25"/>
      <c r="K174" s="25"/>
      <c r="L174" s="25" t="s">
        <v>277</v>
      </c>
      <c r="M174" s="26">
        <v>0</v>
      </c>
      <c r="N174" s="25"/>
      <c r="O174" s="26">
        <v>0</v>
      </c>
      <c r="P174" s="25"/>
      <c r="Q174" s="26">
        <v>0</v>
      </c>
      <c r="R174" s="25"/>
      <c r="S174" s="26">
        <v>0</v>
      </c>
      <c r="T174" s="25"/>
      <c r="U174" s="26">
        <v>0</v>
      </c>
    </row>
    <row r="175" spans="1:21" x14ac:dyDescent="0.45">
      <c r="A175" s="24">
        <v>235</v>
      </c>
      <c r="B175" s="24">
        <v>1</v>
      </c>
      <c r="C175" s="24" t="s">
        <v>278</v>
      </c>
      <c r="D175" s="24" t="s">
        <v>278</v>
      </c>
      <c r="E175" s="24">
        <v>0</v>
      </c>
      <c r="F175" s="24">
        <v>0</v>
      </c>
      <c r="G175" s="24">
        <v>3</v>
      </c>
      <c r="H175" s="24">
        <v>2</v>
      </c>
      <c r="I175" s="24">
        <v>0</v>
      </c>
      <c r="J175" s="25"/>
      <c r="K175" s="25"/>
      <c r="L175" s="25" t="s">
        <v>279</v>
      </c>
      <c r="M175" s="26">
        <v>0</v>
      </c>
      <c r="N175" s="25"/>
      <c r="O175" s="26">
        <v>0</v>
      </c>
      <c r="P175" s="25"/>
      <c r="Q175" s="26">
        <v>0</v>
      </c>
      <c r="R175" s="25"/>
      <c r="S175" s="26">
        <v>0</v>
      </c>
      <c r="T175" s="25"/>
      <c r="U175" s="26">
        <v>0</v>
      </c>
    </row>
    <row r="176" spans="1:21" x14ac:dyDescent="0.45">
      <c r="A176" s="24">
        <v>236</v>
      </c>
      <c r="B176" s="24">
        <v>1</v>
      </c>
      <c r="C176" s="24" t="s">
        <v>280</v>
      </c>
      <c r="D176" s="24" t="s">
        <v>280</v>
      </c>
      <c r="E176" s="24">
        <v>0</v>
      </c>
      <c r="F176" s="24">
        <v>237</v>
      </c>
      <c r="G176" s="24">
        <v>1</v>
      </c>
      <c r="H176" s="24">
        <v>2</v>
      </c>
      <c r="I176" s="24">
        <v>0</v>
      </c>
      <c r="J176" s="25"/>
      <c r="K176" s="25"/>
      <c r="L176" s="25" t="s">
        <v>281</v>
      </c>
      <c r="M176" s="26">
        <v>0</v>
      </c>
      <c r="N176" s="25" t="s">
        <v>282</v>
      </c>
      <c r="O176" s="26">
        <v>0</v>
      </c>
      <c r="P176" s="25" t="s">
        <v>74</v>
      </c>
      <c r="Q176" s="26">
        <v>0</v>
      </c>
      <c r="R176" s="25"/>
      <c r="S176" s="26">
        <v>0</v>
      </c>
      <c r="T176" s="25"/>
      <c r="U176" s="26">
        <v>0</v>
      </c>
    </row>
    <row r="177" spans="1:21" x14ac:dyDescent="0.45">
      <c r="A177" s="24">
        <v>237</v>
      </c>
      <c r="B177" s="24">
        <v>1</v>
      </c>
      <c r="C177" s="24" t="s">
        <v>280</v>
      </c>
      <c r="D177" s="24" t="s">
        <v>280</v>
      </c>
      <c r="E177" s="24">
        <v>0</v>
      </c>
      <c r="F177" s="24">
        <v>237</v>
      </c>
      <c r="G177" s="24">
        <v>1</v>
      </c>
      <c r="H177" s="24">
        <v>2</v>
      </c>
      <c r="I177" s="24">
        <v>0</v>
      </c>
      <c r="J177" s="25"/>
      <c r="K177" s="25"/>
      <c r="L177" s="25" t="s">
        <v>281</v>
      </c>
      <c r="M177" s="26">
        <v>0</v>
      </c>
      <c r="N177" s="25" t="s">
        <v>282</v>
      </c>
      <c r="O177" s="26">
        <v>0</v>
      </c>
      <c r="P177" s="25" t="s">
        <v>74</v>
      </c>
      <c r="Q177" s="26">
        <v>0</v>
      </c>
      <c r="R177" s="25"/>
      <c r="S177" s="26">
        <v>0</v>
      </c>
      <c r="T177" s="25"/>
      <c r="U177" s="26">
        <v>0</v>
      </c>
    </row>
    <row r="178" spans="1:21" x14ac:dyDescent="0.45">
      <c r="A178" s="24">
        <v>238</v>
      </c>
      <c r="B178" s="24">
        <v>2</v>
      </c>
      <c r="C178" s="24" t="s">
        <v>283</v>
      </c>
      <c r="D178" s="24" t="s">
        <v>283</v>
      </c>
      <c r="E178" s="24">
        <v>0</v>
      </c>
      <c r="F178" s="24">
        <v>239</v>
      </c>
      <c r="G178" s="24">
        <v>2</v>
      </c>
      <c r="H178" s="24">
        <v>0</v>
      </c>
      <c r="I178" s="24">
        <v>0</v>
      </c>
      <c r="J178" s="25"/>
      <c r="K178" s="25"/>
      <c r="L178" s="25" t="s">
        <v>283</v>
      </c>
      <c r="M178" s="26">
        <v>0</v>
      </c>
      <c r="N178" s="25" t="s">
        <v>115</v>
      </c>
      <c r="O178" s="26">
        <v>0</v>
      </c>
      <c r="P178" s="25"/>
      <c r="Q178" s="26">
        <v>0</v>
      </c>
      <c r="R178" s="25"/>
      <c r="S178" s="26">
        <v>0</v>
      </c>
      <c r="T178" s="25"/>
      <c r="U178" s="26">
        <v>0</v>
      </c>
    </row>
    <row r="179" spans="1:21" x14ac:dyDescent="0.45">
      <c r="A179" s="24">
        <v>240</v>
      </c>
      <c r="B179" s="24">
        <v>2</v>
      </c>
      <c r="C179" s="24" t="s">
        <v>284</v>
      </c>
      <c r="D179" s="24" t="s">
        <v>284</v>
      </c>
      <c r="E179" s="24">
        <v>0</v>
      </c>
      <c r="F179" s="24">
        <v>241</v>
      </c>
      <c r="G179" s="24">
        <v>2</v>
      </c>
      <c r="H179" s="24">
        <v>0</v>
      </c>
      <c r="I179" s="24">
        <v>0</v>
      </c>
      <c r="J179" s="25"/>
      <c r="K179" s="25"/>
      <c r="L179" s="25" t="s">
        <v>284</v>
      </c>
      <c r="M179" s="26">
        <v>0</v>
      </c>
      <c r="N179" s="25" t="s">
        <v>70</v>
      </c>
      <c r="O179" s="26">
        <v>0</v>
      </c>
      <c r="P179" s="25"/>
      <c r="Q179" s="26">
        <v>0</v>
      </c>
      <c r="R179" s="25"/>
      <c r="S179" s="26">
        <v>0</v>
      </c>
      <c r="T179" s="25"/>
      <c r="U179" s="26">
        <v>0</v>
      </c>
    </row>
    <row r="180" spans="1:21" x14ac:dyDescent="0.45">
      <c r="A180" s="24">
        <v>241</v>
      </c>
      <c r="B180" s="24">
        <v>2</v>
      </c>
      <c r="C180" s="24" t="s">
        <v>285</v>
      </c>
      <c r="D180" s="24" t="s">
        <v>285</v>
      </c>
      <c r="E180" s="24">
        <v>0</v>
      </c>
      <c r="F180" s="24">
        <v>0</v>
      </c>
      <c r="G180" s="24">
        <v>2</v>
      </c>
      <c r="H180" s="24">
        <v>2</v>
      </c>
      <c r="I180" s="24">
        <v>0</v>
      </c>
      <c r="J180" s="25"/>
      <c r="K180" s="25"/>
      <c r="L180" s="25" t="s">
        <v>285</v>
      </c>
      <c r="M180" s="26">
        <v>0</v>
      </c>
      <c r="N180" s="25"/>
      <c r="O180" s="26">
        <v>0</v>
      </c>
      <c r="P180" s="25"/>
      <c r="Q180" s="26">
        <v>0</v>
      </c>
      <c r="R180" s="25"/>
      <c r="S180" s="26">
        <v>0</v>
      </c>
      <c r="T180" s="25"/>
      <c r="U180" s="26">
        <v>0</v>
      </c>
    </row>
    <row r="181" spans="1:21" x14ac:dyDescent="0.45">
      <c r="A181" s="24">
        <v>242</v>
      </c>
      <c r="B181" s="24">
        <v>2</v>
      </c>
      <c r="C181" s="24" t="s">
        <v>286</v>
      </c>
      <c r="D181" s="24" t="s">
        <v>286</v>
      </c>
      <c r="E181" s="24">
        <v>0</v>
      </c>
      <c r="F181" s="24">
        <v>0</v>
      </c>
      <c r="G181" s="24">
        <v>2</v>
      </c>
      <c r="H181" s="24">
        <v>2</v>
      </c>
      <c r="I181" s="24">
        <v>0</v>
      </c>
      <c r="J181" s="25"/>
      <c r="K181" s="25"/>
      <c r="L181" s="25" t="s">
        <v>286</v>
      </c>
      <c r="M181" s="26">
        <v>0</v>
      </c>
      <c r="N181" s="25"/>
      <c r="O181" s="26">
        <v>0</v>
      </c>
      <c r="P181" s="25"/>
      <c r="Q181" s="26">
        <v>0</v>
      </c>
      <c r="R181" s="25"/>
      <c r="S181" s="26">
        <v>0</v>
      </c>
      <c r="T181" s="25"/>
      <c r="U181" s="26">
        <v>0</v>
      </c>
    </row>
    <row r="182" spans="1:21" x14ac:dyDescent="0.45">
      <c r="A182" s="24">
        <v>243</v>
      </c>
      <c r="B182" s="24">
        <v>2</v>
      </c>
      <c r="C182" s="24" t="s">
        <v>287</v>
      </c>
      <c r="D182" s="24" t="s">
        <v>287</v>
      </c>
      <c r="E182" s="24">
        <v>0</v>
      </c>
      <c r="F182" s="24">
        <v>0</v>
      </c>
      <c r="G182" s="24">
        <v>2</v>
      </c>
      <c r="H182" s="24">
        <v>2</v>
      </c>
      <c r="I182" s="24">
        <v>0</v>
      </c>
      <c r="J182" s="25"/>
      <c r="K182" s="25"/>
      <c r="L182" s="25" t="s">
        <v>287</v>
      </c>
      <c r="M182" s="26">
        <v>0</v>
      </c>
      <c r="N182" s="25"/>
      <c r="O182" s="26">
        <v>0</v>
      </c>
      <c r="P182" s="25"/>
      <c r="Q182" s="26">
        <v>0</v>
      </c>
      <c r="R182" s="25"/>
      <c r="S182" s="26">
        <v>0</v>
      </c>
      <c r="T182" s="25"/>
      <c r="U182" s="26">
        <v>0</v>
      </c>
    </row>
    <row r="183" spans="1:21" x14ac:dyDescent="0.45">
      <c r="A183" s="24">
        <v>244</v>
      </c>
      <c r="B183" s="24">
        <v>2</v>
      </c>
      <c r="C183" s="24" t="s">
        <v>288</v>
      </c>
      <c r="D183" s="24" t="s">
        <v>288</v>
      </c>
      <c r="E183" s="24">
        <v>0</v>
      </c>
      <c r="F183" s="24">
        <v>0</v>
      </c>
      <c r="G183" s="24">
        <v>2</v>
      </c>
      <c r="H183" s="24">
        <v>2</v>
      </c>
      <c r="I183" s="24">
        <v>0</v>
      </c>
      <c r="J183" s="25"/>
      <c r="K183" s="25"/>
      <c r="L183" s="25" t="s">
        <v>288</v>
      </c>
      <c r="M183" s="26">
        <v>0</v>
      </c>
      <c r="N183" s="25"/>
      <c r="O183" s="26">
        <v>0</v>
      </c>
      <c r="P183" s="25"/>
      <c r="Q183" s="26">
        <v>0</v>
      </c>
      <c r="R183" s="25"/>
      <c r="S183" s="26">
        <v>0</v>
      </c>
      <c r="T183" s="25"/>
      <c r="U183" s="26">
        <v>0</v>
      </c>
    </row>
    <row r="184" spans="1:21" x14ac:dyDescent="0.45">
      <c r="A184" s="24">
        <v>245</v>
      </c>
      <c r="B184" s="24">
        <v>2</v>
      </c>
      <c r="C184" s="24" t="s">
        <v>289</v>
      </c>
      <c r="D184" s="24" t="s">
        <v>289</v>
      </c>
      <c r="E184" s="24">
        <v>0</v>
      </c>
      <c r="F184" s="24">
        <v>0</v>
      </c>
      <c r="G184" s="24">
        <v>2</v>
      </c>
      <c r="H184" s="24">
        <v>2</v>
      </c>
      <c r="I184" s="24">
        <v>0</v>
      </c>
      <c r="J184" s="25"/>
      <c r="K184" s="25"/>
      <c r="L184" s="25" t="s">
        <v>289</v>
      </c>
      <c r="M184" s="26">
        <v>0</v>
      </c>
      <c r="N184" s="25"/>
      <c r="O184" s="26">
        <v>0</v>
      </c>
      <c r="P184" s="25"/>
      <c r="Q184" s="26">
        <v>0</v>
      </c>
      <c r="R184" s="25"/>
      <c r="S184" s="26">
        <v>0</v>
      </c>
      <c r="T184" s="25"/>
      <c r="U184" s="26">
        <v>0</v>
      </c>
    </row>
    <row r="185" spans="1:21" x14ac:dyDescent="0.45">
      <c r="A185" s="24">
        <v>246</v>
      </c>
      <c r="B185" s="24">
        <v>2</v>
      </c>
      <c r="C185" s="24" t="s">
        <v>290</v>
      </c>
      <c r="D185" s="24" t="s">
        <v>290</v>
      </c>
      <c r="E185" s="24">
        <v>0</v>
      </c>
      <c r="F185" s="24">
        <v>0</v>
      </c>
      <c r="G185" s="24">
        <v>2</v>
      </c>
      <c r="H185" s="24">
        <v>2</v>
      </c>
      <c r="I185" s="24">
        <v>0</v>
      </c>
      <c r="J185" s="25"/>
      <c r="K185" s="25"/>
      <c r="L185" s="25" t="s">
        <v>290</v>
      </c>
      <c r="M185" s="26">
        <v>0</v>
      </c>
      <c r="N185" s="25"/>
      <c r="O185" s="26">
        <v>0</v>
      </c>
      <c r="P185" s="25"/>
      <c r="Q185" s="26">
        <v>0</v>
      </c>
      <c r="R185" s="25"/>
      <c r="S185" s="26">
        <v>0</v>
      </c>
      <c r="T185" s="25"/>
      <c r="U185" s="26">
        <v>0</v>
      </c>
    </row>
    <row r="186" spans="1:21" x14ac:dyDescent="0.45">
      <c r="A186" s="24">
        <v>247</v>
      </c>
      <c r="B186" s="24">
        <v>2</v>
      </c>
      <c r="C186" s="24" t="s">
        <v>291</v>
      </c>
      <c r="D186" s="24" t="s">
        <v>291</v>
      </c>
      <c r="E186" s="24">
        <v>0</v>
      </c>
      <c r="F186" s="24">
        <v>0</v>
      </c>
      <c r="G186" s="24">
        <v>2</v>
      </c>
      <c r="H186" s="24">
        <v>2</v>
      </c>
      <c r="I186" s="24">
        <v>0</v>
      </c>
      <c r="J186" s="25"/>
      <c r="K186" s="25"/>
      <c r="L186" s="25" t="s">
        <v>291</v>
      </c>
      <c r="M186" s="26">
        <v>0</v>
      </c>
      <c r="N186" s="25"/>
      <c r="O186" s="26">
        <v>0</v>
      </c>
      <c r="P186" s="25"/>
      <c r="Q186" s="26">
        <v>0</v>
      </c>
      <c r="R186" s="25"/>
      <c r="S186" s="26">
        <v>0</v>
      </c>
      <c r="T186" s="25"/>
      <c r="U186" s="26">
        <v>0</v>
      </c>
    </row>
    <row r="187" spans="1:21" x14ac:dyDescent="0.45">
      <c r="A187" s="24">
        <v>248</v>
      </c>
      <c r="B187" s="24">
        <v>2</v>
      </c>
      <c r="C187" s="24" t="s">
        <v>292</v>
      </c>
      <c r="D187" s="24" t="s">
        <v>292</v>
      </c>
      <c r="E187" s="24">
        <v>0</v>
      </c>
      <c r="F187" s="24">
        <v>0</v>
      </c>
      <c r="G187" s="24">
        <v>2</v>
      </c>
      <c r="H187" s="24">
        <v>2</v>
      </c>
      <c r="I187" s="24">
        <v>0</v>
      </c>
      <c r="J187" s="25"/>
      <c r="K187" s="25"/>
      <c r="L187" s="25" t="s">
        <v>292</v>
      </c>
      <c r="M187" s="26">
        <v>0</v>
      </c>
      <c r="N187" s="25"/>
      <c r="O187" s="26">
        <v>0</v>
      </c>
      <c r="P187" s="25"/>
      <c r="Q187" s="26">
        <v>0</v>
      </c>
      <c r="R187" s="25"/>
      <c r="S187" s="26">
        <v>0</v>
      </c>
      <c r="T187" s="25"/>
      <c r="U187" s="26">
        <v>0</v>
      </c>
    </row>
    <row r="188" spans="1:21" x14ac:dyDescent="0.45">
      <c r="A188" s="24">
        <v>250</v>
      </c>
      <c r="B188" s="24">
        <v>2</v>
      </c>
      <c r="C188" s="24" t="s">
        <v>293</v>
      </c>
      <c r="D188" s="24" t="s">
        <v>293</v>
      </c>
      <c r="E188" s="24">
        <v>0</v>
      </c>
      <c r="F188" s="24">
        <v>0</v>
      </c>
      <c r="G188" s="24">
        <v>2</v>
      </c>
      <c r="H188" s="24">
        <v>2</v>
      </c>
      <c r="I188" s="24">
        <v>0</v>
      </c>
      <c r="J188" s="25"/>
      <c r="K188" s="25"/>
      <c r="L188" s="25" t="s">
        <v>65</v>
      </c>
      <c r="M188" s="26">
        <v>1</v>
      </c>
      <c r="N188" s="25" t="s">
        <v>114</v>
      </c>
      <c r="O188" s="26">
        <v>0</v>
      </c>
      <c r="P188" s="25" t="s">
        <v>294</v>
      </c>
      <c r="Q188" s="26">
        <v>0</v>
      </c>
      <c r="R188" s="25" t="s">
        <v>295</v>
      </c>
      <c r="S188" s="26">
        <v>0</v>
      </c>
      <c r="T188" s="25" t="s">
        <v>296</v>
      </c>
      <c r="U188" s="26">
        <v>0</v>
      </c>
    </row>
    <row r="189" spans="1:21" x14ac:dyDescent="0.45">
      <c r="A189" s="24">
        <v>251</v>
      </c>
      <c r="B189" s="24">
        <v>2</v>
      </c>
      <c r="C189" s="24" t="s">
        <v>297</v>
      </c>
      <c r="D189" s="24" t="s">
        <v>297</v>
      </c>
      <c r="E189" s="24">
        <v>0</v>
      </c>
      <c r="F189" s="24">
        <v>0</v>
      </c>
      <c r="G189" s="24">
        <v>2</v>
      </c>
      <c r="H189" s="24">
        <v>2</v>
      </c>
      <c r="I189" s="24">
        <v>0</v>
      </c>
      <c r="J189" s="25"/>
      <c r="K189" s="25"/>
      <c r="L189" s="25" t="s">
        <v>297</v>
      </c>
      <c r="M189" s="26">
        <v>0</v>
      </c>
      <c r="N189" s="25"/>
      <c r="O189" s="26">
        <v>0</v>
      </c>
      <c r="P189" s="25"/>
      <c r="Q189" s="26">
        <v>0</v>
      </c>
      <c r="R189" s="25"/>
      <c r="S189" s="26">
        <v>0</v>
      </c>
      <c r="T189" s="25"/>
      <c r="U189" s="26">
        <v>0</v>
      </c>
    </row>
    <row r="190" spans="1:21" x14ac:dyDescent="0.45">
      <c r="A190" s="24">
        <v>252</v>
      </c>
      <c r="B190" s="24">
        <v>2</v>
      </c>
      <c r="C190" s="24" t="s">
        <v>298</v>
      </c>
      <c r="D190" s="24" t="s">
        <v>298</v>
      </c>
      <c r="E190" s="24">
        <v>0</v>
      </c>
      <c r="F190" s="24">
        <v>0</v>
      </c>
      <c r="G190" s="24">
        <v>2</v>
      </c>
      <c r="H190" s="24">
        <v>2</v>
      </c>
      <c r="I190" s="24">
        <v>0</v>
      </c>
      <c r="J190" s="25"/>
      <c r="K190" s="25"/>
      <c r="L190" s="25" t="s">
        <v>298</v>
      </c>
      <c r="M190" s="26">
        <v>0</v>
      </c>
      <c r="N190" s="25"/>
      <c r="O190" s="26">
        <v>0</v>
      </c>
      <c r="P190" s="25"/>
      <c r="Q190" s="26">
        <v>0</v>
      </c>
      <c r="R190" s="25"/>
      <c r="S190" s="26">
        <v>0</v>
      </c>
      <c r="T190" s="25"/>
      <c r="U190" s="26">
        <v>0</v>
      </c>
    </row>
    <row r="191" spans="1:21" x14ac:dyDescent="0.45">
      <c r="A191" s="24">
        <v>253</v>
      </c>
      <c r="B191" s="24">
        <v>2</v>
      </c>
      <c r="C191" s="24" t="s">
        <v>299</v>
      </c>
      <c r="D191" s="24" t="s">
        <v>299</v>
      </c>
      <c r="E191" s="24">
        <v>0</v>
      </c>
      <c r="F191" s="24">
        <v>0</v>
      </c>
      <c r="G191" s="24">
        <v>2</v>
      </c>
      <c r="H191" s="24">
        <v>2</v>
      </c>
      <c r="I191" s="24">
        <v>0</v>
      </c>
      <c r="J191" s="25"/>
      <c r="K191" s="25"/>
      <c r="L191" s="25" t="s">
        <v>299</v>
      </c>
      <c r="M191" s="26">
        <v>0</v>
      </c>
      <c r="N191" s="25"/>
      <c r="O191" s="26">
        <v>0</v>
      </c>
      <c r="P191" s="25"/>
      <c r="Q191" s="26">
        <v>0</v>
      </c>
      <c r="R191" s="25"/>
      <c r="S191" s="26">
        <v>0</v>
      </c>
      <c r="T191" s="25"/>
      <c r="U191" s="26">
        <v>0</v>
      </c>
    </row>
    <row r="192" spans="1:21" x14ac:dyDescent="0.45">
      <c r="A192" s="24">
        <v>254</v>
      </c>
      <c r="B192" s="24">
        <v>2</v>
      </c>
      <c r="C192" s="24" t="s">
        <v>300</v>
      </c>
      <c r="D192" s="24" t="s">
        <v>300</v>
      </c>
      <c r="E192" s="24">
        <v>0</v>
      </c>
      <c r="F192" s="24">
        <v>0</v>
      </c>
      <c r="G192" s="24">
        <v>2</v>
      </c>
      <c r="H192" s="24">
        <v>2</v>
      </c>
      <c r="I192" s="24">
        <v>0</v>
      </c>
      <c r="J192" s="25"/>
      <c r="K192" s="25"/>
      <c r="L192" s="25" t="s">
        <v>300</v>
      </c>
      <c r="M192" s="26">
        <v>0</v>
      </c>
      <c r="N192" s="25"/>
      <c r="O192" s="26">
        <v>0</v>
      </c>
      <c r="P192" s="25"/>
      <c r="Q192" s="26">
        <v>0</v>
      </c>
      <c r="R192" s="25"/>
      <c r="S192" s="26">
        <v>0</v>
      </c>
      <c r="T192" s="25"/>
      <c r="U192" s="26">
        <v>0</v>
      </c>
    </row>
    <row r="193" spans="1:21" x14ac:dyDescent="0.45">
      <c r="A193" s="24">
        <v>255</v>
      </c>
      <c r="B193" s="24">
        <v>2</v>
      </c>
      <c r="C193" s="24" t="s">
        <v>301</v>
      </c>
      <c r="D193" s="24" t="s">
        <v>301</v>
      </c>
      <c r="E193" s="24">
        <v>0</v>
      </c>
      <c r="F193" s="24">
        <v>0</v>
      </c>
      <c r="G193" s="24">
        <v>2</v>
      </c>
      <c r="H193" s="24">
        <v>2</v>
      </c>
      <c r="I193" s="24">
        <v>0</v>
      </c>
      <c r="J193" s="25"/>
      <c r="K193" s="25"/>
      <c r="L193" s="25" t="s">
        <v>302</v>
      </c>
      <c r="M193" s="26">
        <v>0</v>
      </c>
      <c r="N193" s="25"/>
      <c r="O193" s="26">
        <v>0</v>
      </c>
      <c r="P193" s="25"/>
      <c r="Q193" s="26">
        <v>0</v>
      </c>
      <c r="R193" s="25"/>
      <c r="S193" s="26">
        <v>0</v>
      </c>
      <c r="T193" s="25"/>
      <c r="U193" s="26">
        <v>0</v>
      </c>
    </row>
    <row r="194" spans="1:21" x14ac:dyDescent="0.45">
      <c r="A194" s="24">
        <v>256</v>
      </c>
      <c r="B194" s="24">
        <v>2</v>
      </c>
      <c r="C194" s="24" t="s">
        <v>303</v>
      </c>
      <c r="D194" s="24" t="s">
        <v>303</v>
      </c>
      <c r="E194" s="24">
        <v>0</v>
      </c>
      <c r="F194" s="24">
        <v>0</v>
      </c>
      <c r="G194" s="24">
        <v>2</v>
      </c>
      <c r="H194" s="24">
        <v>2</v>
      </c>
      <c r="I194" s="24">
        <v>0</v>
      </c>
      <c r="J194" s="25"/>
      <c r="K194" s="25"/>
      <c r="L194" s="25" t="s">
        <v>303</v>
      </c>
      <c r="M194" s="26">
        <v>0</v>
      </c>
      <c r="N194" s="25"/>
      <c r="O194" s="26">
        <v>0</v>
      </c>
      <c r="P194" s="25"/>
      <c r="Q194" s="26">
        <v>0</v>
      </c>
      <c r="R194" s="25"/>
      <c r="S194" s="26">
        <v>0</v>
      </c>
      <c r="T194" s="25"/>
      <c r="U194" s="26">
        <v>0</v>
      </c>
    </row>
    <row r="195" spans="1:21" x14ac:dyDescent="0.45">
      <c r="A195" s="24">
        <v>257</v>
      </c>
      <c r="B195" s="24">
        <v>2</v>
      </c>
      <c r="C195" s="24" t="s">
        <v>304</v>
      </c>
      <c r="D195" s="24" t="s">
        <v>304</v>
      </c>
      <c r="E195" s="24">
        <v>0</v>
      </c>
      <c r="F195" s="24">
        <v>0</v>
      </c>
      <c r="G195" s="24">
        <v>2</v>
      </c>
      <c r="H195" s="24">
        <v>2</v>
      </c>
      <c r="I195" s="24">
        <v>0</v>
      </c>
      <c r="J195" s="25"/>
      <c r="K195" s="25"/>
      <c r="L195" s="25" t="s">
        <v>304</v>
      </c>
      <c r="M195" s="26">
        <v>0</v>
      </c>
      <c r="N195" s="25"/>
      <c r="O195" s="26">
        <v>0</v>
      </c>
      <c r="P195" s="25"/>
      <c r="Q195" s="26">
        <v>0</v>
      </c>
      <c r="R195" s="25"/>
      <c r="S195" s="26">
        <v>0</v>
      </c>
      <c r="T195" s="25"/>
      <c r="U195" s="26">
        <v>0</v>
      </c>
    </row>
    <row r="196" spans="1:21" x14ac:dyDescent="0.45">
      <c r="A196" s="24">
        <v>258</v>
      </c>
      <c r="B196" s="24">
        <v>2</v>
      </c>
      <c r="C196" s="24" t="s">
        <v>236</v>
      </c>
      <c r="D196" s="24" t="s">
        <v>236</v>
      </c>
      <c r="E196" s="24">
        <v>0</v>
      </c>
      <c r="F196" s="24">
        <v>0</v>
      </c>
      <c r="G196" s="24">
        <v>2</v>
      </c>
      <c r="H196" s="24">
        <v>2</v>
      </c>
      <c r="I196" s="24">
        <v>0</v>
      </c>
      <c r="J196" s="25"/>
      <c r="K196" s="25"/>
      <c r="L196" s="25" t="s">
        <v>236</v>
      </c>
      <c r="M196" s="26">
        <v>0</v>
      </c>
      <c r="N196" s="25"/>
      <c r="O196" s="26">
        <v>0</v>
      </c>
      <c r="P196" s="25"/>
      <c r="Q196" s="26">
        <v>0</v>
      </c>
      <c r="R196" s="25"/>
      <c r="S196" s="26">
        <v>0</v>
      </c>
      <c r="T196" s="25"/>
      <c r="U196" s="26">
        <v>0</v>
      </c>
    </row>
    <row r="197" spans="1:21" x14ac:dyDescent="0.45">
      <c r="A197" s="24">
        <v>259</v>
      </c>
      <c r="B197" s="24">
        <v>2</v>
      </c>
      <c r="C197" s="24" t="s">
        <v>237</v>
      </c>
      <c r="D197" s="24" t="s">
        <v>237</v>
      </c>
      <c r="E197" s="24">
        <v>0</v>
      </c>
      <c r="F197" s="24">
        <v>0</v>
      </c>
      <c r="G197" s="24">
        <v>2</v>
      </c>
      <c r="H197" s="24">
        <v>2</v>
      </c>
      <c r="I197" s="24">
        <v>0</v>
      </c>
      <c r="J197" s="25"/>
      <c r="K197" s="25"/>
      <c r="L197" s="25" t="s">
        <v>237</v>
      </c>
      <c r="M197" s="26">
        <v>0</v>
      </c>
      <c r="N197" s="25"/>
      <c r="O197" s="26">
        <v>0</v>
      </c>
      <c r="P197" s="25"/>
      <c r="Q197" s="26">
        <v>0</v>
      </c>
      <c r="R197" s="25"/>
      <c r="S197" s="26">
        <v>0</v>
      </c>
      <c r="T197" s="25"/>
      <c r="U197" s="26">
        <v>0</v>
      </c>
    </row>
    <row r="198" spans="1:21" x14ac:dyDescent="0.45">
      <c r="A198" s="24">
        <v>260</v>
      </c>
      <c r="B198" s="24">
        <v>2</v>
      </c>
      <c r="C198" s="24" t="s">
        <v>295</v>
      </c>
      <c r="D198" s="24" t="s">
        <v>295</v>
      </c>
      <c r="E198" s="24">
        <v>0</v>
      </c>
      <c r="F198" s="24">
        <v>0</v>
      </c>
      <c r="G198" s="24">
        <v>2</v>
      </c>
      <c r="H198" s="24">
        <v>2</v>
      </c>
      <c r="I198" s="24">
        <v>0</v>
      </c>
      <c r="J198" s="25"/>
      <c r="K198" s="25"/>
      <c r="L198" s="25" t="s">
        <v>295</v>
      </c>
      <c r="M198" s="26">
        <v>0</v>
      </c>
      <c r="N198" s="25"/>
      <c r="O198" s="26">
        <v>0</v>
      </c>
      <c r="P198" s="25"/>
      <c r="Q198" s="26">
        <v>0</v>
      </c>
      <c r="R198" s="25"/>
      <c r="S198" s="26">
        <v>0</v>
      </c>
      <c r="T198" s="25"/>
      <c r="U198" s="26">
        <v>0</v>
      </c>
    </row>
    <row r="199" spans="1:21" x14ac:dyDescent="0.45">
      <c r="A199" s="24">
        <v>261</v>
      </c>
      <c r="B199" s="24">
        <v>2</v>
      </c>
      <c r="C199" s="24" t="s">
        <v>296</v>
      </c>
      <c r="D199" s="24" t="s">
        <v>296</v>
      </c>
      <c r="E199" s="24">
        <v>0</v>
      </c>
      <c r="F199" s="24">
        <v>0</v>
      </c>
      <c r="G199" s="24">
        <v>2</v>
      </c>
      <c r="H199" s="24">
        <v>2</v>
      </c>
      <c r="I199" s="24">
        <v>0</v>
      </c>
      <c r="J199" s="25"/>
      <c r="K199" s="25"/>
      <c r="L199" s="25" t="s">
        <v>296</v>
      </c>
      <c r="M199" s="26">
        <v>0</v>
      </c>
      <c r="N199" s="25"/>
      <c r="O199" s="26">
        <v>0</v>
      </c>
      <c r="P199" s="25"/>
      <c r="Q199" s="26">
        <v>0</v>
      </c>
      <c r="R199" s="25"/>
      <c r="S199" s="26">
        <v>0</v>
      </c>
      <c r="T199" s="25"/>
      <c r="U199" s="26">
        <v>0</v>
      </c>
    </row>
    <row r="200" spans="1:21" x14ac:dyDescent="0.45">
      <c r="A200" s="27">
        <v>262</v>
      </c>
      <c r="B200" s="27">
        <v>2</v>
      </c>
      <c r="C200" s="27" t="s">
        <v>305</v>
      </c>
      <c r="D200" s="27" t="s">
        <v>305</v>
      </c>
      <c r="E200" s="27">
        <v>0</v>
      </c>
      <c r="F200" s="27">
        <v>0</v>
      </c>
      <c r="G200" s="27">
        <v>2</v>
      </c>
      <c r="H200" s="27">
        <v>2</v>
      </c>
      <c r="I200" s="27">
        <v>0</v>
      </c>
      <c r="J200" s="28"/>
      <c r="K200" s="28"/>
      <c r="L200" s="28" t="s">
        <v>114</v>
      </c>
      <c r="M200" s="29">
        <v>0</v>
      </c>
      <c r="N200" s="28"/>
      <c r="O200" s="29">
        <v>0</v>
      </c>
      <c r="P200" s="28"/>
      <c r="Q200" s="29">
        <v>0</v>
      </c>
      <c r="R200" s="28"/>
      <c r="S200" s="29">
        <v>0</v>
      </c>
      <c r="T200" s="28"/>
      <c r="U200" s="29">
        <v>0</v>
      </c>
    </row>
    <row r="201" spans="1:21" x14ac:dyDescent="0.45">
      <c r="A201" s="30">
        <v>301</v>
      </c>
      <c r="B201" s="30">
        <v>2</v>
      </c>
      <c r="C201" s="30" t="s">
        <v>306</v>
      </c>
      <c r="D201" s="30" t="s">
        <v>306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/>
      <c r="M201" s="32"/>
      <c r="N201" s="31"/>
      <c r="O201" s="32"/>
      <c r="P201" s="31"/>
      <c r="Q201" s="32"/>
      <c r="R201" s="31"/>
      <c r="S201" s="32"/>
      <c r="T201" s="31"/>
      <c r="U201" s="32"/>
    </row>
    <row r="202" spans="1:21" x14ac:dyDescent="0.45">
      <c r="A202" s="33">
        <v>302</v>
      </c>
      <c r="B202" s="33">
        <v>2</v>
      </c>
      <c r="C202" s="33" t="s">
        <v>307</v>
      </c>
      <c r="D202" s="33" t="s">
        <v>307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/>
      <c r="M202" s="35"/>
      <c r="N202" s="34"/>
      <c r="O202" s="35"/>
      <c r="P202" s="34"/>
      <c r="Q202" s="35"/>
      <c r="R202" s="34"/>
      <c r="S202" s="35"/>
      <c r="T202" s="34"/>
      <c r="U202" s="35"/>
    </row>
    <row r="203" spans="1:21" x14ac:dyDescent="0.45">
      <c r="A203" s="33">
        <v>303</v>
      </c>
      <c r="B203" s="33">
        <v>2</v>
      </c>
      <c r="C203" s="33" t="s">
        <v>308</v>
      </c>
      <c r="D203" s="33" t="s">
        <v>308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/>
      <c r="M203" s="35"/>
      <c r="N203" s="34"/>
      <c r="O203" s="35"/>
      <c r="P203" s="34"/>
      <c r="Q203" s="35"/>
      <c r="R203" s="34"/>
      <c r="S203" s="35"/>
      <c r="T203" s="34"/>
      <c r="U203" s="35"/>
    </row>
    <row r="204" spans="1:21" x14ac:dyDescent="0.45">
      <c r="A204" s="33">
        <v>304</v>
      </c>
      <c r="B204" s="33">
        <v>2</v>
      </c>
      <c r="C204" s="33" t="s">
        <v>309</v>
      </c>
      <c r="D204" s="33" t="s">
        <v>309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/>
      <c r="M204" s="35"/>
      <c r="N204" s="34"/>
      <c r="O204" s="35"/>
      <c r="P204" s="34"/>
      <c r="Q204" s="35"/>
      <c r="R204" s="34"/>
      <c r="S204" s="35"/>
      <c r="T204" s="34"/>
      <c r="U204" s="35"/>
    </row>
    <row r="205" spans="1:21" x14ac:dyDescent="0.45">
      <c r="A205" s="33">
        <v>305</v>
      </c>
      <c r="B205" s="33">
        <v>2</v>
      </c>
      <c r="C205" s="33" t="s">
        <v>310</v>
      </c>
      <c r="D205" s="33" t="s">
        <v>310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/>
      <c r="M205" s="35"/>
      <c r="N205" s="34"/>
      <c r="O205" s="35"/>
      <c r="P205" s="34"/>
      <c r="Q205" s="35"/>
      <c r="R205" s="34"/>
      <c r="S205" s="35"/>
      <c r="T205" s="34"/>
      <c r="U205" s="35"/>
    </row>
    <row r="206" spans="1:21" x14ac:dyDescent="0.45">
      <c r="A206" s="33">
        <v>306</v>
      </c>
      <c r="B206" s="33">
        <v>2</v>
      </c>
      <c r="C206" s="33" t="s">
        <v>311</v>
      </c>
      <c r="D206" s="33" t="s">
        <v>311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/>
      <c r="M206" s="35"/>
      <c r="N206" s="34"/>
      <c r="O206" s="35"/>
      <c r="P206" s="34"/>
      <c r="Q206" s="35"/>
      <c r="R206" s="34"/>
      <c r="S206" s="35"/>
      <c r="T206" s="34"/>
      <c r="U206" s="35"/>
    </row>
    <row r="207" spans="1:21" x14ac:dyDescent="0.45">
      <c r="A207" s="33">
        <v>307</v>
      </c>
      <c r="B207" s="33">
        <v>2</v>
      </c>
      <c r="C207" s="33" t="s">
        <v>267</v>
      </c>
      <c r="D207" s="33" t="s">
        <v>267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/>
      <c r="M207" s="35"/>
      <c r="N207" s="34"/>
      <c r="O207" s="35"/>
      <c r="P207" s="34"/>
      <c r="Q207" s="35"/>
      <c r="R207" s="34"/>
      <c r="S207" s="35"/>
      <c r="T207" s="34"/>
      <c r="U207" s="35"/>
    </row>
    <row r="208" spans="1:21" x14ac:dyDescent="0.45">
      <c r="A208" s="33">
        <v>308</v>
      </c>
      <c r="B208" s="33">
        <v>2</v>
      </c>
      <c r="C208" s="33" t="s">
        <v>112</v>
      </c>
      <c r="D208" s="33" t="s">
        <v>112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/>
      <c r="M208" s="35"/>
      <c r="N208" s="34"/>
      <c r="O208" s="35"/>
      <c r="P208" s="34"/>
      <c r="Q208" s="35"/>
      <c r="R208" s="34"/>
      <c r="S208" s="35"/>
      <c r="T208" s="34"/>
      <c r="U208" s="35"/>
    </row>
    <row r="209" spans="1:21" x14ac:dyDescent="0.45">
      <c r="A209" s="33">
        <v>309</v>
      </c>
      <c r="B209" s="33">
        <v>2</v>
      </c>
      <c r="C209" s="33" t="s">
        <v>312</v>
      </c>
      <c r="D209" s="33" t="s">
        <v>312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/>
      <c r="M209" s="35"/>
      <c r="N209" s="34"/>
      <c r="O209" s="35"/>
      <c r="P209" s="34"/>
      <c r="Q209" s="35"/>
      <c r="R209" s="34"/>
      <c r="S209" s="35"/>
      <c r="T209" s="34"/>
      <c r="U209" s="35"/>
    </row>
    <row r="210" spans="1:21" x14ac:dyDescent="0.45">
      <c r="A210" s="33">
        <v>310</v>
      </c>
      <c r="B210" s="33">
        <v>2</v>
      </c>
      <c r="C210" s="33" t="s">
        <v>313</v>
      </c>
      <c r="D210" s="33" t="s">
        <v>313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/>
      <c r="M210" s="35"/>
      <c r="N210" s="34"/>
      <c r="O210" s="35"/>
      <c r="P210" s="34"/>
      <c r="Q210" s="35"/>
      <c r="R210" s="34"/>
      <c r="S210" s="35"/>
      <c r="T210" s="34"/>
      <c r="U210" s="35"/>
    </row>
    <row r="211" spans="1:21" x14ac:dyDescent="0.45">
      <c r="A211" s="33">
        <v>311</v>
      </c>
      <c r="B211" s="33">
        <v>2</v>
      </c>
      <c r="C211" s="33" t="s">
        <v>314</v>
      </c>
      <c r="D211" s="33" t="s">
        <v>314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/>
      <c r="M211" s="35"/>
      <c r="N211" s="34"/>
      <c r="O211" s="35"/>
      <c r="P211" s="34"/>
      <c r="Q211" s="35"/>
      <c r="R211" s="34"/>
      <c r="S211" s="35"/>
      <c r="T211" s="34"/>
      <c r="U211" s="35"/>
    </row>
    <row r="212" spans="1:21" x14ac:dyDescent="0.45">
      <c r="A212" s="33">
        <v>312</v>
      </c>
      <c r="B212" s="33">
        <v>2</v>
      </c>
      <c r="C212" s="33" t="s">
        <v>315</v>
      </c>
      <c r="D212" s="33" t="s">
        <v>315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/>
      <c r="M212" s="35"/>
      <c r="N212" s="34"/>
      <c r="O212" s="35"/>
      <c r="P212" s="34"/>
      <c r="Q212" s="35"/>
      <c r="R212" s="34"/>
      <c r="S212" s="35"/>
      <c r="T212" s="34"/>
      <c r="U212" s="35"/>
    </row>
    <row r="213" spans="1:21" x14ac:dyDescent="0.45">
      <c r="A213" s="33">
        <v>313</v>
      </c>
      <c r="B213" s="33">
        <v>2</v>
      </c>
      <c r="C213" s="33" t="s">
        <v>316</v>
      </c>
      <c r="D213" s="33" t="s">
        <v>316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/>
      <c r="M213" s="35"/>
      <c r="N213" s="34"/>
      <c r="O213" s="35"/>
      <c r="P213" s="34"/>
      <c r="Q213" s="35"/>
      <c r="R213" s="34"/>
      <c r="S213" s="35"/>
      <c r="T213" s="34"/>
      <c r="U213" s="35"/>
    </row>
    <row r="214" spans="1:21" x14ac:dyDescent="0.45">
      <c r="A214" s="33">
        <v>314</v>
      </c>
      <c r="B214" s="33">
        <v>2</v>
      </c>
      <c r="C214" s="33" t="s">
        <v>317</v>
      </c>
      <c r="D214" s="33" t="s">
        <v>317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/>
      <c r="M214" s="35"/>
      <c r="N214" s="34"/>
      <c r="O214" s="35"/>
      <c r="P214" s="34"/>
      <c r="Q214" s="35"/>
      <c r="R214" s="34"/>
      <c r="S214" s="35"/>
      <c r="T214" s="34"/>
      <c r="U214" s="35"/>
    </row>
    <row r="215" spans="1:21" x14ac:dyDescent="0.45">
      <c r="A215" s="33">
        <v>315</v>
      </c>
      <c r="B215" s="33">
        <v>2</v>
      </c>
      <c r="C215" s="33" t="s">
        <v>318</v>
      </c>
      <c r="D215" s="33" t="s">
        <v>318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/>
      <c r="M215" s="35"/>
      <c r="N215" s="34"/>
      <c r="O215" s="35"/>
      <c r="P215" s="34"/>
      <c r="Q215" s="35"/>
      <c r="R215" s="34"/>
      <c r="S215" s="35"/>
      <c r="T215" s="34"/>
      <c r="U215" s="35"/>
    </row>
    <row r="216" spans="1:21" x14ac:dyDescent="0.45">
      <c r="A216" s="36">
        <v>316</v>
      </c>
      <c r="B216" s="36">
        <v>2</v>
      </c>
      <c r="C216" s="36" t="s">
        <v>319</v>
      </c>
      <c r="D216" s="36" t="s">
        <v>319</v>
      </c>
      <c r="E216" s="36">
        <v>0</v>
      </c>
      <c r="F216" s="36">
        <v>0</v>
      </c>
      <c r="G216" s="36">
        <v>2</v>
      </c>
      <c r="H216" s="36">
        <v>2</v>
      </c>
      <c r="I216" s="36">
        <v>0</v>
      </c>
      <c r="J216" s="37"/>
      <c r="K216" s="37"/>
      <c r="L216" s="37"/>
      <c r="M216" s="38"/>
      <c r="N216" s="37"/>
      <c r="O216" s="38"/>
      <c r="P216" s="37"/>
      <c r="Q216" s="38"/>
      <c r="R216" s="37"/>
      <c r="S216" s="38"/>
      <c r="T216" s="37"/>
      <c r="U216" s="38"/>
    </row>
    <row r="217" spans="1:21" x14ac:dyDescent="0.45">
      <c r="A217" s="12">
        <v>402</v>
      </c>
      <c r="B217" s="12">
        <v>1</v>
      </c>
      <c r="C217" s="12" t="s">
        <v>320</v>
      </c>
      <c r="D217" s="12" t="s">
        <v>320</v>
      </c>
      <c r="E217" s="12">
        <v>0</v>
      </c>
      <c r="F217" s="12">
        <v>0</v>
      </c>
      <c r="G217" s="12">
        <v>1</v>
      </c>
      <c r="H217" s="12">
        <v>0</v>
      </c>
      <c r="I217" s="12">
        <v>0</v>
      </c>
      <c r="J217" s="10"/>
      <c r="K217" s="10" t="s">
        <v>445</v>
      </c>
      <c r="L217" s="10"/>
      <c r="M217" s="11">
        <v>0</v>
      </c>
      <c r="N217" s="10"/>
      <c r="O217" s="11">
        <v>0</v>
      </c>
      <c r="P217" s="10"/>
      <c r="Q217" s="11">
        <v>0</v>
      </c>
      <c r="R217" s="10"/>
      <c r="S217" s="11">
        <v>0</v>
      </c>
      <c r="T217" s="10"/>
      <c r="U217" s="11">
        <v>0</v>
      </c>
    </row>
    <row r="218" spans="1:21" x14ac:dyDescent="0.45">
      <c r="A218" s="12">
        <v>403</v>
      </c>
      <c r="B218" s="12">
        <v>1</v>
      </c>
      <c r="C218" s="12" t="s">
        <v>321</v>
      </c>
      <c r="D218" s="12" t="s">
        <v>321</v>
      </c>
      <c r="E218" s="12">
        <v>0</v>
      </c>
      <c r="F218" s="12">
        <v>0</v>
      </c>
      <c r="G218" s="12">
        <v>3</v>
      </c>
      <c r="H218" s="12">
        <v>0</v>
      </c>
      <c r="I218" s="12">
        <v>0</v>
      </c>
      <c r="J218" s="10"/>
      <c r="K218" s="10" t="s">
        <v>445</v>
      </c>
      <c r="L218" s="10"/>
      <c r="M218" s="11">
        <v>0</v>
      </c>
      <c r="N218" s="10"/>
      <c r="O218" s="11">
        <v>0</v>
      </c>
      <c r="P218" s="10"/>
      <c r="Q218" s="11">
        <v>0</v>
      </c>
      <c r="R218" s="10"/>
      <c r="S218" s="11">
        <v>0</v>
      </c>
      <c r="T218" s="10"/>
      <c r="U218" s="11">
        <v>0</v>
      </c>
    </row>
    <row r="219" spans="1:21" x14ac:dyDescent="0.45">
      <c r="A219" s="12">
        <v>404</v>
      </c>
      <c r="B219" s="12">
        <v>1</v>
      </c>
      <c r="C219" s="12" t="s">
        <v>322</v>
      </c>
      <c r="D219" s="12" t="s">
        <v>323</v>
      </c>
      <c r="E219" s="12">
        <v>0</v>
      </c>
      <c r="F219" s="12">
        <v>405</v>
      </c>
      <c r="G219" s="12">
        <v>1</v>
      </c>
      <c r="H219" s="12">
        <v>2</v>
      </c>
      <c r="I219" s="12">
        <v>0</v>
      </c>
      <c r="J219" s="10"/>
      <c r="K219" s="10" t="s">
        <v>445</v>
      </c>
      <c r="L219" s="10" t="s">
        <v>74</v>
      </c>
      <c r="M219" s="11">
        <v>0</v>
      </c>
      <c r="N219" s="10" t="s">
        <v>324</v>
      </c>
      <c r="O219" s="11">
        <v>0</v>
      </c>
      <c r="P219" s="10"/>
      <c r="Q219" s="11">
        <v>0</v>
      </c>
      <c r="R219" s="10"/>
      <c r="S219" s="11">
        <v>0</v>
      </c>
      <c r="T219" s="10"/>
      <c r="U219" s="11">
        <v>0</v>
      </c>
    </row>
    <row r="220" spans="1:21" x14ac:dyDescent="0.45">
      <c r="A220" s="12">
        <v>405</v>
      </c>
      <c r="B220" s="12">
        <v>0</v>
      </c>
      <c r="C220" s="12" t="s">
        <v>325</v>
      </c>
      <c r="D220" s="12" t="s">
        <v>323</v>
      </c>
      <c r="E220" s="12">
        <v>0</v>
      </c>
      <c r="F220" s="12">
        <v>0</v>
      </c>
      <c r="G220" s="12">
        <v>1</v>
      </c>
      <c r="H220" s="12">
        <v>0</v>
      </c>
      <c r="I220" s="12">
        <v>0</v>
      </c>
      <c r="J220" s="10"/>
      <c r="K220" s="10" t="s">
        <v>445</v>
      </c>
      <c r="L220" s="10"/>
      <c r="M220" s="11">
        <v>0</v>
      </c>
      <c r="N220" s="10"/>
      <c r="O220" s="11">
        <v>0</v>
      </c>
      <c r="P220" s="10"/>
      <c r="Q220" s="11">
        <v>0</v>
      </c>
      <c r="R220" s="10"/>
      <c r="S220" s="11">
        <v>0</v>
      </c>
      <c r="T220" s="10"/>
      <c r="U220" s="11">
        <v>0</v>
      </c>
    </row>
    <row r="221" spans="1:21" x14ac:dyDescent="0.45">
      <c r="A221" s="12">
        <v>410</v>
      </c>
      <c r="B221" s="12">
        <v>1</v>
      </c>
      <c r="C221" s="12" t="s">
        <v>326</v>
      </c>
      <c r="D221" s="232" t="s">
        <v>454</v>
      </c>
      <c r="E221" s="12">
        <v>0</v>
      </c>
      <c r="F221" s="12">
        <v>411</v>
      </c>
      <c r="G221" s="12">
        <v>1</v>
      </c>
      <c r="H221" s="12">
        <v>1</v>
      </c>
      <c r="I221" s="12">
        <v>18</v>
      </c>
      <c r="J221" s="10"/>
      <c r="K221" s="10" t="s">
        <v>444</v>
      </c>
      <c r="L221" s="10" t="s">
        <v>258</v>
      </c>
      <c r="M221" s="11">
        <v>0</v>
      </c>
      <c r="N221" s="10"/>
      <c r="O221" s="11">
        <v>0</v>
      </c>
      <c r="P221" s="10"/>
      <c r="Q221" s="11">
        <v>0</v>
      </c>
      <c r="R221" s="10"/>
      <c r="S221" s="11">
        <v>0</v>
      </c>
      <c r="T221" s="10"/>
      <c r="U221" s="11">
        <v>0</v>
      </c>
    </row>
    <row r="222" spans="1:21" x14ac:dyDescent="0.45">
      <c r="A222" s="12">
        <v>411</v>
      </c>
      <c r="B222" s="12">
        <v>1</v>
      </c>
      <c r="C222" s="232" t="s">
        <v>455</v>
      </c>
      <c r="D222" s="232" t="s">
        <v>454</v>
      </c>
      <c r="E222" s="12">
        <v>0</v>
      </c>
      <c r="F222" s="12">
        <v>411</v>
      </c>
      <c r="G222" s="12">
        <v>1</v>
      </c>
      <c r="H222" s="12">
        <v>1</v>
      </c>
      <c r="I222" s="12">
        <v>18</v>
      </c>
      <c r="J222" s="10"/>
      <c r="K222" s="10" t="s">
        <v>444</v>
      </c>
      <c r="L222" s="10" t="s">
        <v>258</v>
      </c>
      <c r="M222" s="11">
        <v>0</v>
      </c>
      <c r="N222" s="10"/>
      <c r="O222" s="11">
        <v>0</v>
      </c>
      <c r="P222" s="10"/>
      <c r="Q222" s="11">
        <v>0</v>
      </c>
      <c r="R222" s="10"/>
      <c r="S222" s="11">
        <v>0</v>
      </c>
      <c r="T222" s="10"/>
      <c r="U222" s="11">
        <v>0</v>
      </c>
    </row>
    <row r="223" spans="1:21" x14ac:dyDescent="0.45">
      <c r="A223" s="12">
        <v>412</v>
      </c>
      <c r="B223" s="12">
        <v>0</v>
      </c>
      <c r="C223" s="12" t="s">
        <v>327</v>
      </c>
      <c r="D223" s="12" t="s">
        <v>327</v>
      </c>
      <c r="E223" s="12">
        <v>0</v>
      </c>
      <c r="F223" s="12">
        <v>0</v>
      </c>
      <c r="G223" s="12">
        <v>1</v>
      </c>
      <c r="H223" s="12">
        <v>0</v>
      </c>
      <c r="I223" s="12">
        <v>0</v>
      </c>
      <c r="J223" s="10"/>
      <c r="K223" s="10" t="s">
        <v>445</v>
      </c>
      <c r="L223" s="10"/>
      <c r="M223" s="11">
        <v>0</v>
      </c>
      <c r="N223" s="10"/>
      <c r="O223" s="11">
        <v>0</v>
      </c>
      <c r="P223" s="10"/>
      <c r="Q223" s="11">
        <v>0</v>
      </c>
      <c r="R223" s="10"/>
      <c r="S223" s="11">
        <v>0</v>
      </c>
      <c r="T223" s="10"/>
      <c r="U223" s="11">
        <v>0</v>
      </c>
    </row>
    <row r="224" spans="1:21" x14ac:dyDescent="0.45">
      <c r="A224" s="12">
        <v>413</v>
      </c>
      <c r="B224" s="12">
        <v>0</v>
      </c>
      <c r="C224" s="12" t="s">
        <v>328</v>
      </c>
      <c r="D224" s="12"/>
      <c r="E224" s="12">
        <v>0</v>
      </c>
      <c r="F224" s="12">
        <v>0</v>
      </c>
      <c r="G224" s="12">
        <v>0</v>
      </c>
      <c r="H224" s="12">
        <v>0</v>
      </c>
      <c r="I224" s="12">
        <v>0</v>
      </c>
      <c r="J224" s="10"/>
      <c r="K224" s="10" t="s">
        <v>445</v>
      </c>
      <c r="L224" s="10"/>
      <c r="M224" s="11">
        <v>0</v>
      </c>
      <c r="N224" s="10"/>
      <c r="O224" s="11">
        <v>0</v>
      </c>
      <c r="P224" s="10"/>
      <c r="Q224" s="11">
        <v>0</v>
      </c>
      <c r="R224" s="10"/>
      <c r="S224" s="11">
        <v>0</v>
      </c>
      <c r="T224" s="10"/>
      <c r="U224" s="11">
        <v>0</v>
      </c>
    </row>
    <row r="225" spans="1:21" x14ac:dyDescent="0.45">
      <c r="A225" s="12">
        <v>414</v>
      </c>
      <c r="B225" s="12">
        <v>2</v>
      </c>
      <c r="C225" s="12" t="s">
        <v>263</v>
      </c>
      <c r="D225" s="12" t="s">
        <v>263</v>
      </c>
      <c r="E225" s="12">
        <v>0</v>
      </c>
      <c r="F225" s="12">
        <v>0</v>
      </c>
      <c r="G225" s="12">
        <v>4</v>
      </c>
      <c r="H225" s="12">
        <v>0</v>
      </c>
      <c r="I225" s="12">
        <v>0</v>
      </c>
      <c r="J225" s="10"/>
      <c r="K225" s="10" t="s">
        <v>445</v>
      </c>
      <c r="L225" s="10"/>
      <c r="M225" s="11">
        <v>0</v>
      </c>
      <c r="N225" s="10"/>
      <c r="O225" s="11">
        <v>0</v>
      </c>
      <c r="P225" s="10"/>
      <c r="Q225" s="11">
        <v>0</v>
      </c>
      <c r="R225" s="10"/>
      <c r="S225" s="11">
        <v>0</v>
      </c>
      <c r="T225" s="10"/>
      <c r="U225" s="11">
        <v>0</v>
      </c>
    </row>
    <row r="226" spans="1:21" x14ac:dyDescent="0.45">
      <c r="A226" s="12">
        <v>415</v>
      </c>
      <c r="B226" s="12">
        <v>0</v>
      </c>
      <c r="C226" s="12" t="s">
        <v>329</v>
      </c>
      <c r="D226" s="12"/>
      <c r="E226" s="12">
        <v>0</v>
      </c>
      <c r="F226" s="12">
        <v>0</v>
      </c>
      <c r="G226" s="12">
        <v>0</v>
      </c>
      <c r="H226" s="12">
        <v>0</v>
      </c>
      <c r="I226" s="12">
        <v>0</v>
      </c>
      <c r="J226" s="10"/>
      <c r="K226" s="10" t="s">
        <v>445</v>
      </c>
      <c r="L226" s="10"/>
      <c r="M226" s="11">
        <v>0</v>
      </c>
      <c r="N226" s="10"/>
      <c r="O226" s="11">
        <v>0</v>
      </c>
      <c r="P226" s="10"/>
      <c r="Q226" s="11">
        <v>0</v>
      </c>
      <c r="R226" s="10"/>
      <c r="S226" s="11">
        <v>0</v>
      </c>
      <c r="T226" s="10"/>
      <c r="U226" s="11">
        <v>0</v>
      </c>
    </row>
    <row r="227" spans="1:21" x14ac:dyDescent="0.45">
      <c r="A227" s="12">
        <v>416</v>
      </c>
      <c r="B227" s="12">
        <v>0</v>
      </c>
      <c r="C227" s="12" t="s">
        <v>330</v>
      </c>
      <c r="D227" s="12"/>
      <c r="E227" s="12">
        <v>0</v>
      </c>
      <c r="F227" s="12">
        <v>0</v>
      </c>
      <c r="G227" s="12">
        <v>0</v>
      </c>
      <c r="H227" s="12">
        <v>0</v>
      </c>
      <c r="I227" s="12">
        <v>0</v>
      </c>
      <c r="J227" s="10"/>
      <c r="K227" s="10" t="s">
        <v>445</v>
      </c>
      <c r="L227" s="10"/>
      <c r="M227" s="11">
        <v>0</v>
      </c>
      <c r="N227" s="10"/>
      <c r="O227" s="11">
        <v>0</v>
      </c>
      <c r="P227" s="10"/>
      <c r="Q227" s="11">
        <v>0</v>
      </c>
      <c r="R227" s="10"/>
      <c r="S227" s="11">
        <v>0</v>
      </c>
      <c r="T227" s="10"/>
      <c r="U227" s="11">
        <v>0</v>
      </c>
    </row>
    <row r="228" spans="1:21" x14ac:dyDescent="0.45">
      <c r="A228" s="12">
        <v>417</v>
      </c>
      <c r="B228" s="12">
        <v>0</v>
      </c>
      <c r="C228" s="12" t="s">
        <v>331</v>
      </c>
      <c r="D228" s="12"/>
      <c r="E228" s="12">
        <v>0</v>
      </c>
      <c r="F228" s="12">
        <v>0</v>
      </c>
      <c r="G228" s="12">
        <v>0</v>
      </c>
      <c r="H228" s="12">
        <v>0</v>
      </c>
      <c r="I228" s="12">
        <v>0</v>
      </c>
      <c r="J228" s="10"/>
      <c r="K228" s="10" t="s">
        <v>445</v>
      </c>
      <c r="L228" s="10"/>
      <c r="M228" s="11">
        <v>0</v>
      </c>
      <c r="N228" s="10"/>
      <c r="O228" s="11">
        <v>0</v>
      </c>
      <c r="P228" s="10"/>
      <c r="Q228" s="11">
        <v>0</v>
      </c>
      <c r="R228" s="10"/>
      <c r="S228" s="11">
        <v>0</v>
      </c>
      <c r="T228" s="10"/>
      <c r="U228" s="11">
        <v>0</v>
      </c>
    </row>
    <row r="229" spans="1:21" x14ac:dyDescent="0.45">
      <c r="A229" s="12">
        <v>418</v>
      </c>
      <c r="B229" s="12">
        <v>0</v>
      </c>
      <c r="C229" s="12" t="s">
        <v>332</v>
      </c>
      <c r="D229" s="12"/>
      <c r="E229" s="12">
        <v>0</v>
      </c>
      <c r="F229" s="12">
        <v>0</v>
      </c>
      <c r="G229" s="12">
        <v>0</v>
      </c>
      <c r="H229" s="12">
        <v>0</v>
      </c>
      <c r="I229" s="12">
        <v>0</v>
      </c>
      <c r="J229" s="10"/>
      <c r="K229" s="10" t="s">
        <v>445</v>
      </c>
      <c r="L229" s="10"/>
      <c r="M229" s="11">
        <v>0</v>
      </c>
      <c r="N229" s="10"/>
      <c r="O229" s="11">
        <v>0</v>
      </c>
      <c r="P229" s="10"/>
      <c r="Q229" s="11">
        <v>0</v>
      </c>
      <c r="R229" s="10"/>
      <c r="S229" s="11">
        <v>0</v>
      </c>
      <c r="T229" s="10"/>
      <c r="U229" s="11">
        <v>0</v>
      </c>
    </row>
    <row r="230" spans="1:21" x14ac:dyDescent="0.45">
      <c r="A230" s="12">
        <v>419</v>
      </c>
      <c r="B230" s="12">
        <v>0</v>
      </c>
      <c r="C230" s="12" t="s">
        <v>333</v>
      </c>
      <c r="D230" s="12"/>
      <c r="E230" s="12">
        <v>0</v>
      </c>
      <c r="F230" s="12">
        <v>0</v>
      </c>
      <c r="G230" s="12">
        <v>0</v>
      </c>
      <c r="H230" s="12">
        <v>0</v>
      </c>
      <c r="I230" s="12">
        <v>0</v>
      </c>
      <c r="J230" s="10"/>
      <c r="K230" s="10" t="s">
        <v>445</v>
      </c>
      <c r="L230" s="10"/>
      <c r="M230" s="11">
        <v>0</v>
      </c>
      <c r="N230" s="10"/>
      <c r="O230" s="11">
        <v>0</v>
      </c>
      <c r="P230" s="10"/>
      <c r="Q230" s="11">
        <v>0</v>
      </c>
      <c r="R230" s="10"/>
      <c r="S230" s="11">
        <v>0</v>
      </c>
      <c r="T230" s="10"/>
      <c r="U230" s="11">
        <v>0</v>
      </c>
    </row>
    <row r="231" spans="1:21" x14ac:dyDescent="0.45">
      <c r="A231" s="12">
        <v>422</v>
      </c>
      <c r="B231" s="12">
        <v>0</v>
      </c>
      <c r="C231" s="12" t="s">
        <v>114</v>
      </c>
      <c r="D231" s="12"/>
      <c r="E231" s="12">
        <v>0</v>
      </c>
      <c r="F231" s="12">
        <v>0</v>
      </c>
      <c r="G231" s="12">
        <v>0</v>
      </c>
      <c r="H231" s="12">
        <v>0</v>
      </c>
      <c r="I231" s="12">
        <v>0</v>
      </c>
      <c r="J231" s="10"/>
      <c r="K231" s="10" t="s">
        <v>445</v>
      </c>
      <c r="L231" s="10"/>
      <c r="M231" s="11">
        <v>0</v>
      </c>
      <c r="N231" s="10"/>
      <c r="O231" s="11">
        <v>0</v>
      </c>
      <c r="P231" s="10"/>
      <c r="Q231" s="11">
        <v>0</v>
      </c>
      <c r="R231" s="10"/>
      <c r="S231" s="11">
        <v>0</v>
      </c>
      <c r="T231" s="10"/>
      <c r="U231" s="11">
        <v>0</v>
      </c>
    </row>
    <row r="232" spans="1:21" x14ac:dyDescent="0.45">
      <c r="A232" s="12">
        <v>425</v>
      </c>
      <c r="B232" s="12">
        <v>0</v>
      </c>
      <c r="C232" s="12" t="s">
        <v>334</v>
      </c>
      <c r="D232" s="12"/>
      <c r="E232" s="12">
        <v>0</v>
      </c>
      <c r="F232" s="12">
        <v>0</v>
      </c>
      <c r="G232" s="12">
        <v>0</v>
      </c>
      <c r="H232" s="12">
        <v>0</v>
      </c>
      <c r="I232" s="12">
        <v>0</v>
      </c>
      <c r="J232" s="10"/>
      <c r="K232" s="10" t="s">
        <v>445</v>
      </c>
      <c r="L232" s="10"/>
      <c r="M232" s="11">
        <v>0</v>
      </c>
      <c r="N232" s="10"/>
      <c r="O232" s="11">
        <v>0</v>
      </c>
      <c r="P232" s="10"/>
      <c r="Q232" s="11">
        <v>0</v>
      </c>
      <c r="R232" s="10"/>
      <c r="S232" s="11">
        <v>0</v>
      </c>
      <c r="T232" s="10"/>
      <c r="U232" s="11">
        <v>0</v>
      </c>
    </row>
    <row r="233" spans="1:21" x14ac:dyDescent="0.45">
      <c r="A233" s="12">
        <v>426</v>
      </c>
      <c r="B233" s="12">
        <v>0</v>
      </c>
      <c r="C233" s="12" t="s">
        <v>335</v>
      </c>
      <c r="D233" s="12"/>
      <c r="E233" s="12">
        <v>0</v>
      </c>
      <c r="F233" s="12">
        <v>0</v>
      </c>
      <c r="G233" s="12">
        <v>0</v>
      </c>
      <c r="H233" s="12">
        <v>0</v>
      </c>
      <c r="I233" s="12">
        <v>0</v>
      </c>
      <c r="J233" s="10"/>
      <c r="K233" s="10" t="s">
        <v>445</v>
      </c>
      <c r="L233" s="10"/>
      <c r="M233" s="11">
        <v>0</v>
      </c>
      <c r="N233" s="10"/>
      <c r="O233" s="11">
        <v>0</v>
      </c>
      <c r="P233" s="10"/>
      <c r="Q233" s="11">
        <v>0</v>
      </c>
      <c r="R233" s="10"/>
      <c r="S233" s="11">
        <v>0</v>
      </c>
      <c r="T233" s="10"/>
      <c r="U233" s="11">
        <v>0</v>
      </c>
    </row>
    <row r="234" spans="1:21" x14ac:dyDescent="0.45">
      <c r="A234" s="12">
        <v>427</v>
      </c>
      <c r="B234" s="12">
        <v>0</v>
      </c>
      <c r="C234" s="12" t="s">
        <v>336</v>
      </c>
      <c r="D234" s="12" t="s">
        <v>337</v>
      </c>
      <c r="E234" s="12">
        <v>0</v>
      </c>
      <c r="F234" s="12">
        <v>0</v>
      </c>
      <c r="G234" s="12">
        <v>0</v>
      </c>
      <c r="H234" s="12">
        <v>0</v>
      </c>
      <c r="I234" s="12">
        <v>0</v>
      </c>
      <c r="J234" s="10"/>
      <c r="K234" s="10" t="s">
        <v>445</v>
      </c>
      <c r="L234" s="10"/>
      <c r="M234" s="11">
        <v>0</v>
      </c>
      <c r="N234" s="10"/>
      <c r="O234" s="11">
        <v>0</v>
      </c>
      <c r="P234" s="10"/>
      <c r="Q234" s="11">
        <v>0</v>
      </c>
      <c r="R234" s="10"/>
      <c r="S234" s="11">
        <v>0</v>
      </c>
      <c r="T234" s="10"/>
      <c r="U234" s="11">
        <v>0</v>
      </c>
    </row>
    <row r="235" spans="1:21" x14ac:dyDescent="0.45">
      <c r="A235" s="12">
        <v>430</v>
      </c>
      <c r="B235" s="12">
        <v>1</v>
      </c>
      <c r="C235" s="12" t="s">
        <v>338</v>
      </c>
      <c r="D235" s="12" t="s">
        <v>338</v>
      </c>
      <c r="E235" s="12">
        <v>0</v>
      </c>
      <c r="F235" s="12">
        <v>431</v>
      </c>
      <c r="G235" s="12">
        <v>1</v>
      </c>
      <c r="H235" s="12">
        <v>2</v>
      </c>
      <c r="I235" s="12">
        <v>0</v>
      </c>
      <c r="J235" s="10"/>
      <c r="K235" s="10" t="s">
        <v>445</v>
      </c>
      <c r="L235" s="10" t="s">
        <v>65</v>
      </c>
      <c r="M235" s="11">
        <v>1</v>
      </c>
      <c r="N235" s="10"/>
      <c r="O235" s="11">
        <v>0</v>
      </c>
      <c r="P235" s="10"/>
      <c r="Q235" s="11">
        <v>0</v>
      </c>
      <c r="R235" s="10"/>
      <c r="S235" s="11">
        <v>0</v>
      </c>
      <c r="T235" s="10"/>
      <c r="U235" s="11">
        <v>0</v>
      </c>
    </row>
    <row r="236" spans="1:21" x14ac:dyDescent="0.45">
      <c r="A236" s="12">
        <v>431</v>
      </c>
      <c r="B236" s="12">
        <v>1</v>
      </c>
      <c r="C236" s="12" t="s">
        <v>149</v>
      </c>
      <c r="D236" s="12" t="s">
        <v>338</v>
      </c>
      <c r="E236" s="12">
        <v>0</v>
      </c>
      <c r="F236" s="12">
        <v>431</v>
      </c>
      <c r="G236" s="12">
        <v>1</v>
      </c>
      <c r="H236" s="12">
        <v>2</v>
      </c>
      <c r="I236" s="12">
        <v>0</v>
      </c>
      <c r="J236" s="10"/>
      <c r="K236" s="10" t="s">
        <v>445</v>
      </c>
      <c r="L236" s="10" t="s">
        <v>65</v>
      </c>
      <c r="M236" s="11">
        <v>1</v>
      </c>
      <c r="N236" s="10"/>
      <c r="O236" s="11">
        <v>0</v>
      </c>
      <c r="P236" s="10"/>
      <c r="Q236" s="11">
        <v>0</v>
      </c>
      <c r="R236" s="10"/>
      <c r="S236" s="11">
        <v>0</v>
      </c>
      <c r="T236" s="10"/>
      <c r="U236" s="11">
        <v>0</v>
      </c>
    </row>
    <row r="237" spans="1:21" x14ac:dyDescent="0.45">
      <c r="A237" s="12">
        <v>432</v>
      </c>
      <c r="B237" s="12">
        <v>1</v>
      </c>
      <c r="C237" s="12" t="s">
        <v>339</v>
      </c>
      <c r="D237" s="232" t="s">
        <v>456</v>
      </c>
      <c r="E237" s="12">
        <v>0</v>
      </c>
      <c r="F237" s="12">
        <v>0</v>
      </c>
      <c r="G237" s="12">
        <v>1</v>
      </c>
      <c r="H237" s="12">
        <v>0</v>
      </c>
      <c r="I237" s="12">
        <v>0</v>
      </c>
      <c r="J237" s="10"/>
      <c r="K237" s="10" t="s">
        <v>445</v>
      </c>
      <c r="L237" s="10"/>
      <c r="M237" s="11">
        <v>0</v>
      </c>
      <c r="N237" s="10"/>
      <c r="O237" s="11">
        <v>0</v>
      </c>
      <c r="P237" s="10"/>
      <c r="Q237" s="11">
        <v>0</v>
      </c>
      <c r="R237" s="10"/>
      <c r="S237" s="11">
        <v>0</v>
      </c>
      <c r="T237" s="10"/>
      <c r="U237" s="11">
        <v>0</v>
      </c>
    </row>
    <row r="238" spans="1:21" x14ac:dyDescent="0.45">
      <c r="A238" s="12">
        <v>433</v>
      </c>
      <c r="B238" s="12">
        <v>0</v>
      </c>
      <c r="C238" s="12" t="s">
        <v>340</v>
      </c>
      <c r="D238" s="12"/>
      <c r="E238" s="12">
        <v>0</v>
      </c>
      <c r="F238" s="12">
        <v>0</v>
      </c>
      <c r="G238" s="12">
        <v>0</v>
      </c>
      <c r="H238" s="12">
        <v>0</v>
      </c>
      <c r="I238" s="12">
        <v>0</v>
      </c>
      <c r="J238" s="10"/>
      <c r="K238" s="10" t="s">
        <v>445</v>
      </c>
      <c r="L238" s="10"/>
      <c r="M238" s="11">
        <v>0</v>
      </c>
      <c r="N238" s="10"/>
      <c r="O238" s="11">
        <v>0</v>
      </c>
      <c r="P238" s="10"/>
      <c r="Q238" s="11">
        <v>0</v>
      </c>
      <c r="R238" s="10"/>
      <c r="S238" s="11">
        <v>0</v>
      </c>
      <c r="T238" s="10"/>
      <c r="U238" s="11">
        <v>0</v>
      </c>
    </row>
    <row r="239" spans="1:21" x14ac:dyDescent="0.45">
      <c r="A239" s="12">
        <v>434</v>
      </c>
      <c r="B239" s="12">
        <v>1</v>
      </c>
      <c r="C239" s="12" t="s">
        <v>341</v>
      </c>
      <c r="D239" s="12" t="s">
        <v>341</v>
      </c>
      <c r="E239" s="12">
        <v>0</v>
      </c>
      <c r="F239" s="12">
        <v>0</v>
      </c>
      <c r="G239" s="12">
        <v>1</v>
      </c>
      <c r="H239" s="12">
        <v>0</v>
      </c>
      <c r="I239" s="12">
        <v>0</v>
      </c>
      <c r="J239" s="10"/>
      <c r="K239" s="10" t="s">
        <v>445</v>
      </c>
      <c r="L239" s="10"/>
      <c r="M239" s="11">
        <v>0</v>
      </c>
      <c r="N239" s="10"/>
      <c r="O239" s="11">
        <v>0</v>
      </c>
      <c r="P239" s="10"/>
      <c r="Q239" s="11">
        <v>0</v>
      </c>
      <c r="R239" s="10"/>
      <c r="S239" s="11">
        <v>0</v>
      </c>
      <c r="T239" s="10"/>
      <c r="U239" s="11">
        <v>0</v>
      </c>
    </row>
    <row r="240" spans="1:21" x14ac:dyDescent="0.45">
      <c r="A240" s="12">
        <v>435</v>
      </c>
      <c r="B240" s="12">
        <v>0</v>
      </c>
      <c r="C240" s="12" t="s">
        <v>342</v>
      </c>
      <c r="D240" s="12"/>
      <c r="E240" s="12">
        <v>0</v>
      </c>
      <c r="F240" s="12">
        <v>0</v>
      </c>
      <c r="G240" s="12">
        <v>0</v>
      </c>
      <c r="H240" s="12">
        <v>0</v>
      </c>
      <c r="I240" s="12">
        <v>0</v>
      </c>
      <c r="J240" s="10"/>
      <c r="K240" s="10" t="s">
        <v>445</v>
      </c>
      <c r="L240" s="10"/>
      <c r="M240" s="11">
        <v>0</v>
      </c>
      <c r="N240" s="10"/>
      <c r="O240" s="11">
        <v>0</v>
      </c>
      <c r="P240" s="10"/>
      <c r="Q240" s="11">
        <v>0</v>
      </c>
      <c r="R240" s="10"/>
      <c r="S240" s="11">
        <v>0</v>
      </c>
      <c r="T240" s="10"/>
      <c r="U240" s="11">
        <v>0</v>
      </c>
    </row>
    <row r="241" spans="1:21" x14ac:dyDescent="0.45">
      <c r="A241" s="12">
        <v>436</v>
      </c>
      <c r="B241" s="12">
        <v>0</v>
      </c>
      <c r="C241" s="12" t="s">
        <v>343</v>
      </c>
      <c r="D241" s="12"/>
      <c r="E241" s="12">
        <v>0</v>
      </c>
      <c r="F241" s="12">
        <v>0</v>
      </c>
      <c r="G241" s="12">
        <v>0</v>
      </c>
      <c r="H241" s="12">
        <v>0</v>
      </c>
      <c r="I241" s="12">
        <v>0</v>
      </c>
      <c r="J241" s="10"/>
      <c r="K241" s="10" t="s">
        <v>445</v>
      </c>
      <c r="L241" s="10"/>
      <c r="M241" s="11">
        <v>0</v>
      </c>
      <c r="N241" s="10"/>
      <c r="O241" s="11">
        <v>0</v>
      </c>
      <c r="P241" s="10"/>
      <c r="Q241" s="11">
        <v>0</v>
      </c>
      <c r="R241" s="10"/>
      <c r="S241" s="11">
        <v>0</v>
      </c>
      <c r="T241" s="10"/>
      <c r="U241" s="11">
        <v>0</v>
      </c>
    </row>
    <row r="242" spans="1:21" x14ac:dyDescent="0.45">
      <c r="A242" s="12">
        <v>438</v>
      </c>
      <c r="B242" s="12">
        <v>0</v>
      </c>
      <c r="C242" s="12" t="s">
        <v>344</v>
      </c>
      <c r="D242" s="12"/>
      <c r="E242" s="12">
        <v>0</v>
      </c>
      <c r="F242" s="12">
        <v>0</v>
      </c>
      <c r="G242" s="12">
        <v>0</v>
      </c>
      <c r="H242" s="12">
        <v>0</v>
      </c>
      <c r="I242" s="12">
        <v>0</v>
      </c>
      <c r="J242" s="10"/>
      <c r="K242" s="10" t="s">
        <v>445</v>
      </c>
      <c r="L242" s="10"/>
      <c r="M242" s="11">
        <v>0</v>
      </c>
      <c r="N242" s="10"/>
      <c r="O242" s="11">
        <v>0</v>
      </c>
      <c r="P242" s="10"/>
      <c r="Q242" s="11">
        <v>0</v>
      </c>
      <c r="R242" s="10"/>
      <c r="S242" s="11">
        <v>0</v>
      </c>
      <c r="T242" s="10"/>
      <c r="U242" s="11">
        <v>0</v>
      </c>
    </row>
    <row r="243" spans="1:21" x14ac:dyDescent="0.45">
      <c r="A243" s="12">
        <v>439</v>
      </c>
      <c r="B243" s="12">
        <v>0</v>
      </c>
      <c r="C243" s="12" t="s">
        <v>345</v>
      </c>
      <c r="D243" s="12"/>
      <c r="E243" s="12">
        <v>0</v>
      </c>
      <c r="F243" s="12">
        <v>0</v>
      </c>
      <c r="G243" s="12">
        <v>0</v>
      </c>
      <c r="H243" s="12">
        <v>0</v>
      </c>
      <c r="I243" s="12">
        <v>0</v>
      </c>
      <c r="J243" s="10"/>
      <c r="K243" s="10" t="s">
        <v>445</v>
      </c>
      <c r="L243" s="10"/>
      <c r="M243" s="11">
        <v>0</v>
      </c>
      <c r="N243" s="10"/>
      <c r="O243" s="11">
        <v>0</v>
      </c>
      <c r="P243" s="10"/>
      <c r="Q243" s="11">
        <v>0</v>
      </c>
      <c r="R243" s="10"/>
      <c r="S243" s="11">
        <v>0</v>
      </c>
      <c r="T243" s="10"/>
      <c r="U243" s="11">
        <v>0</v>
      </c>
    </row>
    <row r="244" spans="1:21" x14ac:dyDescent="0.45">
      <c r="A244" s="12">
        <v>440</v>
      </c>
      <c r="B244" s="12">
        <v>0</v>
      </c>
      <c r="C244" s="12" t="s">
        <v>346</v>
      </c>
      <c r="D244" s="12"/>
      <c r="E244" s="12">
        <v>0</v>
      </c>
      <c r="F244" s="12">
        <v>0</v>
      </c>
      <c r="G244" s="12">
        <v>0</v>
      </c>
      <c r="H244" s="12">
        <v>0</v>
      </c>
      <c r="I244" s="12">
        <v>0</v>
      </c>
      <c r="J244" s="10"/>
      <c r="K244" s="10" t="s">
        <v>445</v>
      </c>
      <c r="L244" s="10"/>
      <c r="M244" s="11">
        <v>0</v>
      </c>
      <c r="N244" s="10"/>
      <c r="O244" s="11">
        <v>0</v>
      </c>
      <c r="P244" s="10"/>
      <c r="Q244" s="11">
        <v>0</v>
      </c>
      <c r="R244" s="10"/>
      <c r="S244" s="11">
        <v>0</v>
      </c>
      <c r="T244" s="10"/>
      <c r="U244" s="11">
        <v>0</v>
      </c>
    </row>
    <row r="245" spans="1:21" x14ac:dyDescent="0.45">
      <c r="A245" s="12">
        <v>441</v>
      </c>
      <c r="B245" s="12">
        <v>0</v>
      </c>
      <c r="C245" s="12" t="s">
        <v>347</v>
      </c>
      <c r="D245" s="12"/>
      <c r="E245" s="12">
        <v>0</v>
      </c>
      <c r="F245" s="12">
        <v>0</v>
      </c>
      <c r="G245" s="12">
        <v>0</v>
      </c>
      <c r="H245" s="12">
        <v>0</v>
      </c>
      <c r="I245" s="12">
        <v>0</v>
      </c>
      <c r="J245" s="10"/>
      <c r="K245" s="10" t="s">
        <v>445</v>
      </c>
      <c r="L245" s="10"/>
      <c r="M245" s="11">
        <v>0</v>
      </c>
      <c r="N245" s="10"/>
      <c r="O245" s="11">
        <v>0</v>
      </c>
      <c r="P245" s="10"/>
      <c r="Q245" s="11">
        <v>0</v>
      </c>
      <c r="R245" s="10"/>
      <c r="S245" s="11">
        <v>0</v>
      </c>
      <c r="T245" s="10"/>
      <c r="U245" s="11">
        <v>0</v>
      </c>
    </row>
    <row r="246" spans="1:21" ht="23.25" customHeight="1" x14ac:dyDescent="0.45">
      <c r="A246" s="12">
        <v>442</v>
      </c>
      <c r="B246" s="12">
        <v>0</v>
      </c>
      <c r="C246" s="12" t="s">
        <v>348</v>
      </c>
      <c r="D246" s="12"/>
      <c r="E246" s="12">
        <v>0</v>
      </c>
      <c r="F246" s="12">
        <v>0</v>
      </c>
      <c r="G246" s="12">
        <v>0</v>
      </c>
      <c r="H246" s="12">
        <v>0</v>
      </c>
      <c r="I246" s="12">
        <v>0</v>
      </c>
      <c r="J246" s="10"/>
      <c r="K246" s="10" t="s">
        <v>445</v>
      </c>
      <c r="L246" s="10"/>
      <c r="M246" s="11">
        <v>0</v>
      </c>
      <c r="N246" s="10"/>
      <c r="O246" s="11">
        <v>0</v>
      </c>
      <c r="P246" s="10"/>
      <c r="Q246" s="11">
        <v>0</v>
      </c>
      <c r="R246" s="10"/>
      <c r="S246" s="11">
        <v>0</v>
      </c>
      <c r="T246" s="10"/>
      <c r="U246" s="11">
        <v>0</v>
      </c>
    </row>
    <row r="247" spans="1:21" x14ac:dyDescent="0.45">
      <c r="A247" s="12">
        <v>454</v>
      </c>
      <c r="B247" s="12">
        <v>1</v>
      </c>
      <c r="C247" s="12" t="s">
        <v>349</v>
      </c>
      <c r="D247" s="12" t="s">
        <v>349</v>
      </c>
      <c r="E247" s="12">
        <v>0</v>
      </c>
      <c r="F247" s="12">
        <v>0</v>
      </c>
      <c r="G247" s="12">
        <v>1</v>
      </c>
      <c r="H247" s="12">
        <v>0</v>
      </c>
      <c r="I247" s="12">
        <v>0</v>
      </c>
      <c r="J247" s="10"/>
      <c r="K247" s="10" t="s">
        <v>445</v>
      </c>
      <c r="L247" s="10"/>
      <c r="M247" s="11">
        <v>0</v>
      </c>
      <c r="N247" s="10"/>
      <c r="O247" s="11">
        <v>0</v>
      </c>
      <c r="P247" s="10"/>
      <c r="Q247" s="11">
        <v>0</v>
      </c>
      <c r="R247" s="10"/>
      <c r="S247" s="11">
        <v>0</v>
      </c>
      <c r="T247" s="10"/>
      <c r="U247" s="11">
        <v>0</v>
      </c>
    </row>
    <row r="248" spans="1:21" x14ac:dyDescent="0.45">
      <c r="A248" s="12">
        <v>455</v>
      </c>
      <c r="B248" s="12">
        <v>0</v>
      </c>
      <c r="C248" s="12" t="s">
        <v>350</v>
      </c>
      <c r="D248" s="12"/>
      <c r="E248" s="12">
        <v>0</v>
      </c>
      <c r="F248" s="12">
        <v>0</v>
      </c>
      <c r="G248" s="12">
        <v>0</v>
      </c>
      <c r="H248" s="12">
        <v>0</v>
      </c>
      <c r="I248" s="12">
        <v>0</v>
      </c>
      <c r="J248" s="10"/>
      <c r="K248" s="10" t="s">
        <v>445</v>
      </c>
      <c r="L248" s="10"/>
      <c r="M248" s="11">
        <v>0</v>
      </c>
      <c r="N248" s="10"/>
      <c r="O248" s="11">
        <v>0</v>
      </c>
      <c r="P248" s="10"/>
      <c r="Q248" s="11">
        <v>0</v>
      </c>
      <c r="R248" s="10"/>
      <c r="S248" s="11">
        <v>0</v>
      </c>
      <c r="T248" s="10"/>
      <c r="U248" s="11">
        <v>0</v>
      </c>
    </row>
    <row r="249" spans="1:21" x14ac:dyDescent="0.45">
      <c r="A249" s="12">
        <v>456</v>
      </c>
      <c r="B249" s="12">
        <v>0</v>
      </c>
      <c r="C249" s="12" t="s">
        <v>351</v>
      </c>
      <c r="D249" s="12"/>
      <c r="E249" s="12">
        <v>0</v>
      </c>
      <c r="F249" s="12">
        <v>0</v>
      </c>
      <c r="G249" s="12">
        <v>0</v>
      </c>
      <c r="H249" s="12">
        <v>0</v>
      </c>
      <c r="I249" s="12">
        <v>0</v>
      </c>
      <c r="J249" s="10"/>
      <c r="K249" s="10" t="s">
        <v>445</v>
      </c>
      <c r="L249" s="10"/>
      <c r="M249" s="11">
        <v>0</v>
      </c>
      <c r="N249" s="10"/>
      <c r="O249" s="11">
        <v>0</v>
      </c>
      <c r="P249" s="10"/>
      <c r="Q249" s="11">
        <v>0</v>
      </c>
      <c r="R249" s="10"/>
      <c r="S249" s="11">
        <v>0</v>
      </c>
      <c r="T249" s="10"/>
      <c r="U249" s="11">
        <v>0</v>
      </c>
    </row>
    <row r="250" spans="1:21" x14ac:dyDescent="0.45">
      <c r="A250" s="12">
        <v>457</v>
      </c>
      <c r="B250" s="12">
        <v>1</v>
      </c>
      <c r="C250" s="12" t="s">
        <v>352</v>
      </c>
      <c r="D250" s="12" t="s">
        <v>352</v>
      </c>
      <c r="E250" s="12">
        <v>0</v>
      </c>
      <c r="F250" s="12">
        <v>603</v>
      </c>
      <c r="G250" s="12">
        <v>1</v>
      </c>
      <c r="H250" s="12">
        <v>0</v>
      </c>
      <c r="I250" s="12">
        <v>42</v>
      </c>
      <c r="J250" s="10"/>
      <c r="K250" s="10" t="s">
        <v>445</v>
      </c>
      <c r="L250" s="10"/>
      <c r="M250" s="11">
        <v>0</v>
      </c>
      <c r="N250" s="10"/>
      <c r="O250" s="11">
        <v>0</v>
      </c>
      <c r="P250" s="10"/>
      <c r="Q250" s="11">
        <v>0</v>
      </c>
      <c r="R250" s="10"/>
      <c r="S250" s="11">
        <v>0</v>
      </c>
      <c r="T250" s="10"/>
      <c r="U250" s="11">
        <v>0</v>
      </c>
    </row>
    <row r="251" spans="1:21" x14ac:dyDescent="0.45">
      <c r="A251" s="12">
        <v>458</v>
      </c>
      <c r="B251" s="12">
        <v>0</v>
      </c>
      <c r="C251" s="12" t="s">
        <v>353</v>
      </c>
      <c r="D251" s="12"/>
      <c r="E251" s="12">
        <v>0</v>
      </c>
      <c r="F251" s="12">
        <v>0</v>
      </c>
      <c r="G251" s="12">
        <v>0</v>
      </c>
      <c r="H251" s="12">
        <v>0</v>
      </c>
      <c r="I251" s="12">
        <v>0</v>
      </c>
      <c r="J251" s="10"/>
      <c r="K251" s="10" t="s">
        <v>445</v>
      </c>
      <c r="L251" s="10"/>
      <c r="M251" s="11">
        <v>0</v>
      </c>
      <c r="N251" s="10"/>
      <c r="O251" s="11">
        <v>0</v>
      </c>
      <c r="P251" s="10"/>
      <c r="Q251" s="11">
        <v>0</v>
      </c>
      <c r="R251" s="10"/>
      <c r="S251" s="11">
        <v>0</v>
      </c>
      <c r="T251" s="10"/>
      <c r="U251" s="11">
        <v>0</v>
      </c>
    </row>
    <row r="252" spans="1:21" x14ac:dyDescent="0.45">
      <c r="A252" s="12">
        <v>459</v>
      </c>
      <c r="B252" s="12">
        <v>0</v>
      </c>
      <c r="C252" s="12" t="s">
        <v>354</v>
      </c>
      <c r="D252" s="12"/>
      <c r="E252" s="12">
        <v>0</v>
      </c>
      <c r="F252" s="12">
        <v>0</v>
      </c>
      <c r="G252" s="12">
        <v>0</v>
      </c>
      <c r="H252" s="12">
        <v>0</v>
      </c>
      <c r="I252" s="12">
        <v>0</v>
      </c>
      <c r="J252" s="10"/>
      <c r="K252" s="10" t="s">
        <v>445</v>
      </c>
      <c r="L252" s="10"/>
      <c r="M252" s="11">
        <v>0</v>
      </c>
      <c r="N252" s="10"/>
      <c r="O252" s="11">
        <v>0</v>
      </c>
      <c r="P252" s="10"/>
      <c r="Q252" s="11">
        <v>0</v>
      </c>
      <c r="R252" s="10"/>
      <c r="S252" s="11">
        <v>0</v>
      </c>
      <c r="T252" s="10"/>
      <c r="U252" s="11">
        <v>0</v>
      </c>
    </row>
    <row r="253" spans="1:21" x14ac:dyDescent="0.45">
      <c r="A253" s="12">
        <v>460</v>
      </c>
      <c r="B253" s="12">
        <v>1</v>
      </c>
      <c r="C253" s="12" t="s">
        <v>355</v>
      </c>
      <c r="D253" s="12" t="s">
        <v>356</v>
      </c>
      <c r="E253" s="12">
        <v>0</v>
      </c>
      <c r="F253" s="12">
        <v>463</v>
      </c>
      <c r="G253" s="12">
        <v>1</v>
      </c>
      <c r="H253" s="12">
        <v>0</v>
      </c>
      <c r="I253" s="12">
        <v>0</v>
      </c>
      <c r="J253" s="10"/>
      <c r="K253" s="10" t="s">
        <v>445</v>
      </c>
      <c r="L253" s="10" t="s">
        <v>10</v>
      </c>
      <c r="M253" s="11">
        <v>0</v>
      </c>
      <c r="N253" s="10" t="s">
        <v>132</v>
      </c>
      <c r="O253" s="11">
        <v>0</v>
      </c>
      <c r="P253" s="10" t="s">
        <v>133</v>
      </c>
      <c r="Q253" s="11">
        <v>0</v>
      </c>
      <c r="R253" s="10" t="s">
        <v>357</v>
      </c>
      <c r="S253" s="11">
        <v>0</v>
      </c>
      <c r="T253" s="10" t="s">
        <v>358</v>
      </c>
      <c r="U253" s="11">
        <v>0</v>
      </c>
    </row>
    <row r="254" spans="1:21" x14ac:dyDescent="0.45">
      <c r="A254" s="12">
        <v>461</v>
      </c>
      <c r="B254" s="12">
        <v>0</v>
      </c>
      <c r="C254" s="12" t="s">
        <v>359</v>
      </c>
      <c r="D254" s="12"/>
      <c r="E254" s="12">
        <v>0</v>
      </c>
      <c r="F254" s="12">
        <v>0</v>
      </c>
      <c r="G254" s="12">
        <v>0</v>
      </c>
      <c r="H254" s="12">
        <v>0</v>
      </c>
      <c r="I254" s="12">
        <v>0</v>
      </c>
      <c r="J254" s="10"/>
      <c r="K254" s="10" t="s">
        <v>445</v>
      </c>
      <c r="L254" s="10"/>
      <c r="M254" s="11">
        <v>0</v>
      </c>
      <c r="N254" s="10"/>
      <c r="O254" s="11">
        <v>0</v>
      </c>
      <c r="P254" s="10"/>
      <c r="Q254" s="11">
        <v>0</v>
      </c>
      <c r="R254" s="10"/>
      <c r="S254" s="11">
        <v>0</v>
      </c>
      <c r="T254" s="10"/>
      <c r="U254" s="11">
        <v>0</v>
      </c>
    </row>
    <row r="255" spans="1:21" x14ac:dyDescent="0.45">
      <c r="A255" s="12">
        <v>462</v>
      </c>
      <c r="B255" s="12">
        <v>0</v>
      </c>
      <c r="C255" s="12" t="s">
        <v>360</v>
      </c>
      <c r="D255" s="12"/>
      <c r="E255" s="12">
        <v>0</v>
      </c>
      <c r="F255" s="12">
        <v>0</v>
      </c>
      <c r="G255" s="12">
        <v>0</v>
      </c>
      <c r="H255" s="12">
        <v>0</v>
      </c>
      <c r="I255" s="12">
        <v>0</v>
      </c>
      <c r="J255" s="10"/>
      <c r="K255" s="10" t="s">
        <v>445</v>
      </c>
      <c r="L255" s="10"/>
      <c r="M255" s="11">
        <v>0</v>
      </c>
      <c r="N255" s="10"/>
      <c r="O255" s="11">
        <v>0</v>
      </c>
      <c r="P255" s="10"/>
      <c r="Q255" s="11">
        <v>0</v>
      </c>
      <c r="R255" s="10"/>
      <c r="S255" s="11">
        <v>0</v>
      </c>
      <c r="T255" s="10"/>
      <c r="U255" s="11">
        <v>0</v>
      </c>
    </row>
    <row r="256" spans="1:21" x14ac:dyDescent="0.45">
      <c r="A256" s="12">
        <v>463</v>
      </c>
      <c r="B256" s="12">
        <v>1</v>
      </c>
      <c r="C256" s="12" t="s">
        <v>361</v>
      </c>
      <c r="D256" s="12" t="s">
        <v>356</v>
      </c>
      <c r="E256" s="12">
        <v>0</v>
      </c>
      <c r="F256" s="12">
        <v>0</v>
      </c>
      <c r="G256" s="12">
        <v>1</v>
      </c>
      <c r="H256" s="12">
        <v>0</v>
      </c>
      <c r="I256" s="12">
        <v>0</v>
      </c>
      <c r="J256" s="10"/>
      <c r="K256" s="10" t="s">
        <v>445</v>
      </c>
      <c r="L256" s="10"/>
      <c r="M256" s="11">
        <v>0</v>
      </c>
      <c r="N256" s="10"/>
      <c r="O256" s="11">
        <v>0</v>
      </c>
      <c r="P256" s="10"/>
      <c r="Q256" s="11">
        <v>0</v>
      </c>
      <c r="R256" s="10"/>
      <c r="S256" s="11">
        <v>0</v>
      </c>
      <c r="T256" s="10"/>
      <c r="U256" s="11">
        <v>0</v>
      </c>
    </row>
    <row r="257" spans="1:21" x14ac:dyDescent="0.45">
      <c r="A257" s="12">
        <v>464</v>
      </c>
      <c r="B257" s="12">
        <v>1</v>
      </c>
      <c r="C257" s="232" t="s">
        <v>457</v>
      </c>
      <c r="D257" s="232" t="s">
        <v>362</v>
      </c>
      <c r="E257" s="12">
        <v>0</v>
      </c>
      <c r="F257" s="12">
        <v>465</v>
      </c>
      <c r="G257" s="12">
        <v>1</v>
      </c>
      <c r="H257" s="12">
        <v>1</v>
      </c>
      <c r="I257" s="12">
        <v>20</v>
      </c>
      <c r="J257" s="10"/>
      <c r="K257" s="10" t="s">
        <v>445</v>
      </c>
      <c r="L257" s="10"/>
      <c r="M257" s="11">
        <v>0</v>
      </c>
      <c r="N257" s="10"/>
      <c r="O257" s="11">
        <v>0</v>
      </c>
      <c r="P257" s="10"/>
      <c r="Q257" s="11">
        <v>0</v>
      </c>
      <c r="R257" s="10"/>
      <c r="S257" s="11">
        <v>0</v>
      </c>
      <c r="T257" s="10"/>
      <c r="U257" s="11">
        <v>0</v>
      </c>
    </row>
    <row r="258" spans="1:21" x14ac:dyDescent="0.45">
      <c r="A258" s="12">
        <v>465</v>
      </c>
      <c r="B258" s="12">
        <v>1</v>
      </c>
      <c r="C258" s="232" t="s">
        <v>458</v>
      </c>
      <c r="D258" s="232" t="s">
        <v>459</v>
      </c>
      <c r="E258" s="12">
        <v>0</v>
      </c>
      <c r="F258" s="12">
        <v>0</v>
      </c>
      <c r="G258" s="12">
        <v>1</v>
      </c>
      <c r="H258" s="12">
        <v>1</v>
      </c>
      <c r="I258" s="12">
        <v>15</v>
      </c>
      <c r="J258" s="10"/>
      <c r="K258" s="10" t="s">
        <v>445</v>
      </c>
      <c r="L258" s="10"/>
      <c r="M258" s="11">
        <v>0</v>
      </c>
      <c r="N258" s="10"/>
      <c r="O258" s="11">
        <v>0</v>
      </c>
      <c r="P258" s="10"/>
      <c r="Q258" s="11">
        <v>0</v>
      </c>
      <c r="R258" s="10"/>
      <c r="S258" s="11">
        <v>0</v>
      </c>
      <c r="T258" s="10"/>
      <c r="U258" s="11">
        <v>0</v>
      </c>
    </row>
    <row r="259" spans="1:21" x14ac:dyDescent="0.45">
      <c r="A259" s="12">
        <v>466</v>
      </c>
      <c r="B259" s="12">
        <v>1</v>
      </c>
      <c r="C259" s="12" t="s">
        <v>363</v>
      </c>
      <c r="D259" s="12" t="s">
        <v>183</v>
      </c>
      <c r="E259" s="12">
        <v>0</v>
      </c>
      <c r="F259" s="12">
        <v>0</v>
      </c>
      <c r="G259" s="12">
        <v>0</v>
      </c>
      <c r="H259" s="12">
        <v>0</v>
      </c>
      <c r="I259" s="12">
        <v>0</v>
      </c>
      <c r="J259" s="10"/>
      <c r="K259" s="10" t="s">
        <v>445</v>
      </c>
      <c r="L259" s="10"/>
      <c r="M259" s="11">
        <v>0</v>
      </c>
      <c r="N259" s="10"/>
      <c r="O259" s="11">
        <v>0</v>
      </c>
      <c r="P259" s="10"/>
      <c r="Q259" s="11">
        <v>0</v>
      </c>
      <c r="R259" s="10"/>
      <c r="S259" s="11">
        <v>0</v>
      </c>
      <c r="T259" s="10"/>
      <c r="U259" s="11">
        <v>0</v>
      </c>
    </row>
    <row r="260" spans="1:21" x14ac:dyDescent="0.45">
      <c r="A260" s="12">
        <v>467</v>
      </c>
      <c r="B260" s="12">
        <v>1</v>
      </c>
      <c r="C260" s="12" t="s">
        <v>364</v>
      </c>
      <c r="D260" s="12" t="s">
        <v>364</v>
      </c>
      <c r="E260" s="12">
        <v>0</v>
      </c>
      <c r="F260" s="12">
        <v>0</v>
      </c>
      <c r="G260" s="12">
        <v>0</v>
      </c>
      <c r="H260" s="12">
        <v>0</v>
      </c>
      <c r="I260" s="12">
        <v>0</v>
      </c>
      <c r="J260" s="10"/>
      <c r="K260" s="10" t="s">
        <v>445</v>
      </c>
      <c r="L260" s="10"/>
      <c r="M260" s="11">
        <v>0</v>
      </c>
      <c r="N260" s="10"/>
      <c r="O260" s="11">
        <v>0</v>
      </c>
      <c r="P260" s="10"/>
      <c r="Q260" s="11">
        <v>0</v>
      </c>
      <c r="R260" s="10"/>
      <c r="S260" s="11">
        <v>0</v>
      </c>
      <c r="T260" s="10"/>
      <c r="U260" s="11">
        <v>0</v>
      </c>
    </row>
    <row r="261" spans="1:21" x14ac:dyDescent="0.45">
      <c r="A261" s="12">
        <v>468</v>
      </c>
      <c r="B261" s="12">
        <v>1</v>
      </c>
      <c r="C261" s="12" t="s">
        <v>365</v>
      </c>
      <c r="D261" s="12" t="s">
        <v>365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0"/>
      <c r="K261" s="10" t="s">
        <v>445</v>
      </c>
      <c r="L261" s="10"/>
      <c r="M261" s="11">
        <v>0</v>
      </c>
      <c r="N261" s="10"/>
      <c r="O261" s="11">
        <v>0</v>
      </c>
      <c r="P261" s="10"/>
      <c r="Q261" s="11">
        <v>0</v>
      </c>
      <c r="R261" s="10"/>
      <c r="S261" s="11">
        <v>0</v>
      </c>
      <c r="T261" s="10"/>
      <c r="U261" s="11">
        <v>0</v>
      </c>
    </row>
    <row r="262" spans="1:21" x14ac:dyDescent="0.45">
      <c r="A262" s="12">
        <v>469</v>
      </c>
      <c r="B262" s="12">
        <v>0</v>
      </c>
      <c r="C262" s="12" t="s">
        <v>366</v>
      </c>
      <c r="D262" s="12"/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0"/>
      <c r="K262" s="10" t="s">
        <v>445</v>
      </c>
      <c r="L262" s="10"/>
      <c r="M262" s="11">
        <v>0</v>
      </c>
      <c r="N262" s="10"/>
      <c r="O262" s="11">
        <v>0</v>
      </c>
      <c r="P262" s="10"/>
      <c r="Q262" s="11">
        <v>0</v>
      </c>
      <c r="R262" s="10"/>
      <c r="S262" s="11">
        <v>0</v>
      </c>
      <c r="T262" s="10"/>
      <c r="U262" s="11">
        <v>0</v>
      </c>
    </row>
    <row r="263" spans="1:21" x14ac:dyDescent="0.45">
      <c r="A263" s="12">
        <v>474</v>
      </c>
      <c r="B263" s="12">
        <v>1</v>
      </c>
      <c r="C263" s="12" t="s">
        <v>367</v>
      </c>
      <c r="D263" s="12" t="s">
        <v>368</v>
      </c>
      <c r="E263" s="12">
        <v>0</v>
      </c>
      <c r="F263" s="12">
        <v>0</v>
      </c>
      <c r="G263" s="12">
        <v>1</v>
      </c>
      <c r="H263" s="12">
        <v>0</v>
      </c>
      <c r="I263" s="12">
        <v>0</v>
      </c>
      <c r="J263" s="10"/>
      <c r="K263" s="10" t="s">
        <v>445</v>
      </c>
      <c r="L263" s="10"/>
      <c r="M263" s="11">
        <v>0</v>
      </c>
      <c r="N263" s="10"/>
      <c r="O263" s="11">
        <v>0</v>
      </c>
      <c r="P263" s="10"/>
      <c r="Q263" s="11">
        <v>0</v>
      </c>
      <c r="R263" s="10"/>
      <c r="S263" s="11">
        <v>0</v>
      </c>
      <c r="T263" s="10"/>
      <c r="U263" s="11">
        <v>0</v>
      </c>
    </row>
    <row r="264" spans="1:21" x14ac:dyDescent="0.45">
      <c r="A264" s="12">
        <v>475</v>
      </c>
      <c r="B264" s="12">
        <v>1</v>
      </c>
      <c r="C264" s="12" t="s">
        <v>369</v>
      </c>
      <c r="D264" s="12" t="s">
        <v>370</v>
      </c>
      <c r="E264" s="12">
        <v>0</v>
      </c>
      <c r="F264" s="12">
        <v>0</v>
      </c>
      <c r="G264" s="12">
        <v>1</v>
      </c>
      <c r="H264" s="12">
        <v>0</v>
      </c>
      <c r="I264" s="12">
        <v>0</v>
      </c>
      <c r="J264" s="10"/>
      <c r="K264" s="10" t="s">
        <v>445</v>
      </c>
      <c r="L264" s="10"/>
      <c r="M264" s="11">
        <v>0</v>
      </c>
      <c r="N264" s="10"/>
      <c r="O264" s="11">
        <v>0</v>
      </c>
      <c r="P264" s="10"/>
      <c r="Q264" s="11">
        <v>0</v>
      </c>
      <c r="R264" s="10"/>
      <c r="S264" s="11">
        <v>0</v>
      </c>
      <c r="T264" s="10"/>
      <c r="U264" s="11">
        <v>0</v>
      </c>
    </row>
    <row r="265" spans="1:21" x14ac:dyDescent="0.45">
      <c r="A265" s="12">
        <v>476</v>
      </c>
      <c r="B265" s="12">
        <v>1</v>
      </c>
      <c r="C265" s="12" t="s">
        <v>272</v>
      </c>
      <c r="D265" s="12" t="s">
        <v>371</v>
      </c>
      <c r="E265" s="12">
        <v>0</v>
      </c>
      <c r="F265" s="12">
        <v>0</v>
      </c>
      <c r="G265" s="12">
        <v>1</v>
      </c>
      <c r="H265" s="12">
        <v>0</v>
      </c>
      <c r="I265" s="12">
        <v>0</v>
      </c>
      <c r="J265" s="10"/>
      <c r="K265" s="10" t="s">
        <v>445</v>
      </c>
      <c r="L265" s="10"/>
      <c r="M265" s="11">
        <v>0</v>
      </c>
      <c r="N265" s="10"/>
      <c r="O265" s="11">
        <v>0</v>
      </c>
      <c r="P265" s="10"/>
      <c r="Q265" s="11">
        <v>0</v>
      </c>
      <c r="R265" s="10"/>
      <c r="S265" s="11">
        <v>0</v>
      </c>
      <c r="T265" s="10"/>
      <c r="U265" s="11">
        <v>0</v>
      </c>
    </row>
    <row r="266" spans="1:21" x14ac:dyDescent="0.45">
      <c r="A266" s="12">
        <v>477</v>
      </c>
      <c r="B266" s="12">
        <v>1</v>
      </c>
      <c r="C266" s="12" t="s">
        <v>372</v>
      </c>
      <c r="D266" s="12" t="s">
        <v>372</v>
      </c>
      <c r="E266" s="12">
        <v>0</v>
      </c>
      <c r="F266" s="12">
        <v>0</v>
      </c>
      <c r="G266" s="12">
        <v>1</v>
      </c>
      <c r="H266" s="12">
        <v>0</v>
      </c>
      <c r="I266" s="12">
        <v>0</v>
      </c>
      <c r="J266" s="10"/>
      <c r="K266" s="10" t="s">
        <v>445</v>
      </c>
      <c r="L266" s="10"/>
      <c r="M266" s="11">
        <v>0</v>
      </c>
      <c r="N266" s="10"/>
      <c r="O266" s="11">
        <v>0</v>
      </c>
      <c r="P266" s="10"/>
      <c r="Q266" s="11">
        <v>0</v>
      </c>
      <c r="R266" s="10"/>
      <c r="S266" s="11">
        <v>0</v>
      </c>
      <c r="T266" s="10"/>
      <c r="U266" s="11">
        <v>0</v>
      </c>
    </row>
    <row r="267" spans="1:21" x14ac:dyDescent="0.45">
      <c r="A267" s="12">
        <v>478</v>
      </c>
      <c r="B267" s="12">
        <v>1</v>
      </c>
      <c r="C267" s="12" t="s">
        <v>373</v>
      </c>
      <c r="D267" s="12" t="s">
        <v>373</v>
      </c>
      <c r="E267" s="12">
        <v>0</v>
      </c>
      <c r="F267" s="12">
        <v>0</v>
      </c>
      <c r="G267" s="12">
        <v>1</v>
      </c>
      <c r="H267" s="12">
        <v>0</v>
      </c>
      <c r="I267" s="12">
        <v>0</v>
      </c>
      <c r="J267" s="10"/>
      <c r="K267" s="10" t="s">
        <v>445</v>
      </c>
      <c r="L267" s="10"/>
      <c r="M267" s="11">
        <v>0</v>
      </c>
      <c r="N267" s="10"/>
      <c r="O267" s="11">
        <v>0</v>
      </c>
      <c r="P267" s="10"/>
      <c r="Q267" s="11">
        <v>0</v>
      </c>
      <c r="R267" s="10"/>
      <c r="S267" s="11">
        <v>0</v>
      </c>
      <c r="T267" s="10"/>
      <c r="U267" s="11">
        <v>0</v>
      </c>
    </row>
    <row r="268" spans="1:21" x14ac:dyDescent="0.45">
      <c r="A268" s="12">
        <v>479</v>
      </c>
      <c r="B268" s="12">
        <v>1</v>
      </c>
      <c r="C268" s="12" t="s">
        <v>278</v>
      </c>
      <c r="D268" s="12" t="s">
        <v>278</v>
      </c>
      <c r="E268" s="12">
        <v>0</v>
      </c>
      <c r="F268" s="12">
        <v>0</v>
      </c>
      <c r="G268" s="12">
        <v>1</v>
      </c>
      <c r="H268" s="12">
        <v>0</v>
      </c>
      <c r="I268" s="12">
        <v>0</v>
      </c>
      <c r="J268" s="10"/>
      <c r="K268" s="10" t="s">
        <v>445</v>
      </c>
      <c r="L268" s="10"/>
      <c r="M268" s="11">
        <v>0</v>
      </c>
      <c r="N268" s="10"/>
      <c r="O268" s="11">
        <v>0</v>
      </c>
      <c r="P268" s="10"/>
      <c r="Q268" s="11">
        <v>0</v>
      </c>
      <c r="R268" s="10"/>
      <c r="S268" s="11">
        <v>0</v>
      </c>
      <c r="T268" s="10"/>
      <c r="U268" s="11">
        <v>0</v>
      </c>
    </row>
    <row r="269" spans="1:21" x14ac:dyDescent="0.45">
      <c r="A269" s="12">
        <v>480</v>
      </c>
      <c r="B269" s="12">
        <v>1</v>
      </c>
      <c r="C269" s="12" t="s">
        <v>374</v>
      </c>
      <c r="D269" s="232" t="s">
        <v>460</v>
      </c>
      <c r="E269" s="12">
        <v>0</v>
      </c>
      <c r="F269" s="12">
        <v>0</v>
      </c>
      <c r="G269" s="12">
        <v>1</v>
      </c>
      <c r="H269" s="12">
        <v>1</v>
      </c>
      <c r="I269" s="12">
        <v>18</v>
      </c>
      <c r="J269" s="10"/>
      <c r="K269" s="10" t="s">
        <v>445</v>
      </c>
      <c r="L269" s="10"/>
      <c r="M269" s="11">
        <v>0</v>
      </c>
      <c r="N269" s="10"/>
      <c r="O269" s="11">
        <v>0</v>
      </c>
      <c r="P269" s="10"/>
      <c r="Q269" s="11">
        <v>0</v>
      </c>
      <c r="R269" s="10"/>
      <c r="S269" s="11">
        <v>0</v>
      </c>
      <c r="T269" s="10"/>
      <c r="U269" s="11">
        <v>0</v>
      </c>
    </row>
    <row r="270" spans="1:21" x14ac:dyDescent="0.45">
      <c r="A270" s="12">
        <v>481</v>
      </c>
      <c r="B270" s="12">
        <v>1</v>
      </c>
      <c r="C270" s="12" t="s">
        <v>166</v>
      </c>
      <c r="D270" s="12" t="s">
        <v>166</v>
      </c>
      <c r="E270" s="12">
        <v>0</v>
      </c>
      <c r="F270" s="12">
        <v>0</v>
      </c>
      <c r="G270" s="12">
        <v>3</v>
      </c>
      <c r="H270" s="12">
        <v>0</v>
      </c>
      <c r="I270" s="12">
        <v>0</v>
      </c>
      <c r="J270" s="10"/>
      <c r="K270" s="10" t="s">
        <v>445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</row>
    <row r="271" spans="1:21" x14ac:dyDescent="0.45">
      <c r="A271" s="12">
        <v>482</v>
      </c>
      <c r="B271" s="12">
        <v>1</v>
      </c>
      <c r="C271" s="12" t="s">
        <v>375</v>
      </c>
      <c r="D271" s="12" t="s">
        <v>193</v>
      </c>
      <c r="E271" s="12">
        <v>0</v>
      </c>
      <c r="F271" s="12">
        <v>0</v>
      </c>
      <c r="G271" s="12">
        <v>1</v>
      </c>
      <c r="H271" s="12">
        <v>0</v>
      </c>
      <c r="I271" s="12">
        <v>0</v>
      </c>
      <c r="J271" s="10"/>
      <c r="K271" s="10" t="s">
        <v>445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</row>
    <row r="272" spans="1:21" x14ac:dyDescent="0.45">
      <c r="A272" s="12">
        <v>483</v>
      </c>
      <c r="B272" s="12">
        <v>1</v>
      </c>
      <c r="C272" s="12" t="s">
        <v>376</v>
      </c>
      <c r="D272" s="12" t="s">
        <v>376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445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</row>
    <row r="273" spans="1:21" x14ac:dyDescent="0.45">
      <c r="A273" s="12">
        <v>484</v>
      </c>
      <c r="B273" s="12">
        <v>0</v>
      </c>
      <c r="C273" s="12" t="s">
        <v>377</v>
      </c>
      <c r="D273" s="232" t="s">
        <v>461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445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</row>
    <row r="274" spans="1:21" x14ac:dyDescent="0.45">
      <c r="A274" s="12">
        <v>488</v>
      </c>
      <c r="B274" s="12">
        <v>1</v>
      </c>
      <c r="C274" s="12" t="s">
        <v>378</v>
      </c>
      <c r="D274" s="12" t="s">
        <v>378</v>
      </c>
      <c r="E274" s="12">
        <v>0</v>
      </c>
      <c r="F274" s="12">
        <v>0</v>
      </c>
      <c r="G274" s="12">
        <v>1</v>
      </c>
      <c r="H274" s="12">
        <v>0</v>
      </c>
      <c r="I274" s="12">
        <v>0</v>
      </c>
      <c r="J274" s="10"/>
      <c r="K274" s="10" t="s">
        <v>445</v>
      </c>
      <c r="L274" s="10"/>
      <c r="M274" s="11">
        <v>0</v>
      </c>
      <c r="N274" s="10"/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</row>
    <row r="275" spans="1:21" x14ac:dyDescent="0.45">
      <c r="A275" s="12">
        <v>489</v>
      </c>
      <c r="B275" s="12">
        <v>1</v>
      </c>
      <c r="C275" s="12" t="s">
        <v>379</v>
      </c>
      <c r="D275" s="12" t="s">
        <v>379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445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</row>
    <row r="276" spans="1:21" x14ac:dyDescent="0.45">
      <c r="A276" s="12">
        <v>490</v>
      </c>
      <c r="B276" s="12">
        <v>1</v>
      </c>
      <c r="C276" s="12" t="s">
        <v>380</v>
      </c>
      <c r="D276" s="232" t="s">
        <v>462</v>
      </c>
      <c r="E276" s="12">
        <v>0</v>
      </c>
      <c r="F276" s="12">
        <v>602</v>
      </c>
      <c r="G276" s="12">
        <v>3</v>
      </c>
      <c r="H276" s="12">
        <v>1</v>
      </c>
      <c r="I276" s="12">
        <v>0</v>
      </c>
      <c r="J276" s="10"/>
      <c r="K276" s="10" t="s">
        <v>445</v>
      </c>
      <c r="L276" s="10"/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</row>
    <row r="277" spans="1:21" x14ac:dyDescent="0.45">
      <c r="A277" s="12">
        <v>491</v>
      </c>
      <c r="B277" s="12">
        <v>0</v>
      </c>
      <c r="C277" s="12" t="s">
        <v>183</v>
      </c>
      <c r="D277" s="12" t="s">
        <v>183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0"/>
      <c r="K277" s="10" t="s">
        <v>445</v>
      </c>
      <c r="L277" s="10"/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</row>
    <row r="278" spans="1:21" x14ac:dyDescent="0.45">
      <c r="A278" s="12">
        <v>492</v>
      </c>
      <c r="B278" s="12">
        <v>0</v>
      </c>
      <c r="C278" s="12" t="s">
        <v>381</v>
      </c>
      <c r="D278" s="12" t="s">
        <v>381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0"/>
      <c r="K278" s="10" t="s">
        <v>445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</row>
    <row r="279" spans="1:21" x14ac:dyDescent="0.45">
      <c r="A279" s="12">
        <v>493</v>
      </c>
      <c r="B279" s="12">
        <v>0</v>
      </c>
      <c r="C279" s="12" t="s">
        <v>382</v>
      </c>
      <c r="D279" s="12" t="s">
        <v>382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445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</row>
    <row r="280" spans="1:21" x14ac:dyDescent="0.45">
      <c r="A280" s="12">
        <v>494</v>
      </c>
      <c r="B280" s="12">
        <v>1</v>
      </c>
      <c r="C280" s="12" t="s">
        <v>383</v>
      </c>
      <c r="D280" s="12" t="s">
        <v>383</v>
      </c>
      <c r="E280" s="12">
        <v>0</v>
      </c>
      <c r="F280" s="12">
        <v>495</v>
      </c>
      <c r="G280" s="12">
        <v>3</v>
      </c>
      <c r="H280" s="12">
        <v>0</v>
      </c>
      <c r="I280" s="12">
        <v>0</v>
      </c>
      <c r="J280" s="10"/>
      <c r="K280" s="10" t="s">
        <v>445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</row>
    <row r="281" spans="1:21" x14ac:dyDescent="0.45">
      <c r="A281" s="12">
        <v>495</v>
      </c>
      <c r="B281" s="12">
        <v>1</v>
      </c>
      <c r="C281" s="12" t="s">
        <v>384</v>
      </c>
      <c r="D281" s="232" t="s">
        <v>463</v>
      </c>
      <c r="E281" s="12">
        <v>0</v>
      </c>
      <c r="F281" s="12">
        <v>0</v>
      </c>
      <c r="G281" s="12">
        <v>3</v>
      </c>
      <c r="H281" s="12">
        <v>0</v>
      </c>
      <c r="I281" s="12">
        <v>0</v>
      </c>
      <c r="J281" s="10"/>
      <c r="K281" s="10" t="s">
        <v>445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</row>
    <row r="282" spans="1:21" x14ac:dyDescent="0.45">
      <c r="A282" s="12">
        <v>496</v>
      </c>
      <c r="B282" s="12">
        <v>1</v>
      </c>
      <c r="C282" s="12" t="s">
        <v>385</v>
      </c>
      <c r="D282" s="232" t="s">
        <v>464</v>
      </c>
      <c r="E282" s="12">
        <v>0</v>
      </c>
      <c r="F282" s="12">
        <v>497</v>
      </c>
      <c r="G282" s="12">
        <v>3</v>
      </c>
      <c r="H282" s="12">
        <v>0</v>
      </c>
      <c r="I282" s="12">
        <v>0</v>
      </c>
      <c r="J282" s="10"/>
      <c r="K282" s="10" t="s">
        <v>445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</row>
    <row r="283" spans="1:21" x14ac:dyDescent="0.45">
      <c r="A283" s="12">
        <v>497</v>
      </c>
      <c r="B283" s="12">
        <v>1</v>
      </c>
      <c r="C283" s="12" t="s">
        <v>386</v>
      </c>
      <c r="D283" s="232" t="s">
        <v>464</v>
      </c>
      <c r="E283" s="12">
        <v>0</v>
      </c>
      <c r="F283" s="12">
        <v>0</v>
      </c>
      <c r="G283" s="12">
        <v>3</v>
      </c>
      <c r="H283" s="12">
        <v>0</v>
      </c>
      <c r="I283" s="12">
        <v>0</v>
      </c>
      <c r="J283" s="10"/>
      <c r="K283" s="10" t="s">
        <v>445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</row>
    <row r="284" spans="1:21" x14ac:dyDescent="0.45">
      <c r="A284" s="12">
        <v>498</v>
      </c>
      <c r="B284" s="12">
        <v>1</v>
      </c>
      <c r="C284" s="12" t="s">
        <v>387</v>
      </c>
      <c r="D284" s="12" t="s">
        <v>387</v>
      </c>
      <c r="E284" s="12">
        <v>0</v>
      </c>
      <c r="F284" s="12">
        <v>499</v>
      </c>
      <c r="G284" s="12">
        <v>1</v>
      </c>
      <c r="H284" s="12">
        <v>2</v>
      </c>
      <c r="I284" s="12">
        <v>0</v>
      </c>
      <c r="J284" s="10"/>
      <c r="K284" s="10" t="s">
        <v>445</v>
      </c>
      <c r="L284" s="10" t="s">
        <v>387</v>
      </c>
      <c r="M284" s="11">
        <v>0</v>
      </c>
      <c r="N284" s="10" t="s">
        <v>74</v>
      </c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</row>
    <row r="285" spans="1:21" x14ac:dyDescent="0.45">
      <c r="A285" s="12">
        <v>499</v>
      </c>
      <c r="B285" s="12">
        <v>1</v>
      </c>
      <c r="C285" s="12" t="s">
        <v>388</v>
      </c>
      <c r="D285" s="12" t="s">
        <v>388</v>
      </c>
      <c r="E285" s="12">
        <v>0</v>
      </c>
      <c r="F285" s="12">
        <v>0</v>
      </c>
      <c r="G285" s="12">
        <v>1</v>
      </c>
      <c r="H285" s="12">
        <v>2</v>
      </c>
      <c r="I285" s="12">
        <v>0</v>
      </c>
      <c r="J285" s="10"/>
      <c r="K285" s="10" t="s">
        <v>445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</row>
    <row r="286" spans="1:21" x14ac:dyDescent="0.45">
      <c r="A286" s="12">
        <v>500</v>
      </c>
      <c r="B286" s="12">
        <v>1</v>
      </c>
      <c r="C286" s="12" t="s">
        <v>389</v>
      </c>
      <c r="D286" s="12" t="s">
        <v>389</v>
      </c>
      <c r="E286" s="12">
        <v>370</v>
      </c>
      <c r="F286" s="12">
        <v>0</v>
      </c>
      <c r="G286" s="12">
        <v>0</v>
      </c>
      <c r="H286" s="12">
        <v>1</v>
      </c>
      <c r="I286" s="12">
        <v>24</v>
      </c>
      <c r="J286" s="10">
        <v>88</v>
      </c>
      <c r="K286" s="10" t="s">
        <v>444</v>
      </c>
      <c r="L286" s="10"/>
      <c r="M286" s="11">
        <v>0</v>
      </c>
      <c r="N286" s="10"/>
      <c r="O286" s="11">
        <v>0</v>
      </c>
      <c r="P286" s="10"/>
      <c r="Q286" s="11">
        <v>0</v>
      </c>
      <c r="R286" s="10"/>
      <c r="S286" s="11">
        <v>0</v>
      </c>
      <c r="T286" s="10"/>
      <c r="U286" s="11">
        <v>0</v>
      </c>
    </row>
    <row r="287" spans="1:21" x14ac:dyDescent="0.45">
      <c r="A287" s="12">
        <v>501</v>
      </c>
      <c r="B287" s="12">
        <v>1</v>
      </c>
      <c r="C287" s="12" t="s">
        <v>390</v>
      </c>
      <c r="D287" s="12" t="s">
        <v>390</v>
      </c>
      <c r="E287" s="12">
        <v>300</v>
      </c>
      <c r="F287" s="12">
        <v>0</v>
      </c>
      <c r="G287" s="12">
        <v>0</v>
      </c>
      <c r="H287" s="12">
        <v>1</v>
      </c>
      <c r="I287" s="12">
        <v>24</v>
      </c>
      <c r="J287" s="10">
        <v>8</v>
      </c>
      <c r="K287" s="10" t="s">
        <v>444</v>
      </c>
      <c r="L287" s="10"/>
      <c r="M287" s="11">
        <v>0</v>
      </c>
      <c r="N287" s="10"/>
      <c r="O287" s="11">
        <v>0</v>
      </c>
      <c r="P287" s="10"/>
      <c r="Q287" s="11">
        <v>0</v>
      </c>
      <c r="R287" s="10"/>
      <c r="S287" s="11">
        <v>0</v>
      </c>
      <c r="T287" s="10"/>
      <c r="U287" s="11">
        <v>0</v>
      </c>
    </row>
    <row r="288" spans="1:21" x14ac:dyDescent="0.45">
      <c r="A288" s="12">
        <v>502</v>
      </c>
      <c r="B288" s="12">
        <v>0</v>
      </c>
      <c r="C288" s="12" t="s">
        <v>391</v>
      </c>
      <c r="D288" s="12" t="s">
        <v>391</v>
      </c>
      <c r="E288" s="12">
        <v>0</v>
      </c>
      <c r="F288" s="12">
        <v>503</v>
      </c>
      <c r="G288" s="12">
        <v>0</v>
      </c>
      <c r="H288" s="12">
        <v>0</v>
      </c>
      <c r="I288" s="12">
        <v>0</v>
      </c>
      <c r="J288" s="10"/>
      <c r="K288" s="10" t="s">
        <v>445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</row>
    <row r="289" spans="1:21" x14ac:dyDescent="0.45">
      <c r="A289" s="12">
        <v>503</v>
      </c>
      <c r="B289" s="12">
        <v>0</v>
      </c>
      <c r="C289" s="12" t="s">
        <v>64</v>
      </c>
      <c r="D289" s="12" t="s">
        <v>64</v>
      </c>
      <c r="E289" s="12">
        <v>0</v>
      </c>
      <c r="F289" s="12">
        <v>0</v>
      </c>
      <c r="G289" s="12">
        <v>1</v>
      </c>
      <c r="H289" s="12">
        <v>0</v>
      </c>
      <c r="I289" s="12">
        <v>0</v>
      </c>
      <c r="J289" s="10"/>
      <c r="K289" s="10" t="s">
        <v>445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</row>
    <row r="290" spans="1:21" x14ac:dyDescent="0.45">
      <c r="A290" s="12">
        <v>504</v>
      </c>
      <c r="B290" s="12">
        <v>1</v>
      </c>
      <c r="C290" s="12" t="s">
        <v>392</v>
      </c>
      <c r="D290" s="12" t="s">
        <v>392</v>
      </c>
      <c r="E290" s="12">
        <v>0</v>
      </c>
      <c r="F290" s="12">
        <v>0</v>
      </c>
      <c r="G290" s="12">
        <v>1</v>
      </c>
      <c r="H290" s="12">
        <v>0</v>
      </c>
      <c r="I290" s="12">
        <v>0</v>
      </c>
      <c r="J290" s="10"/>
      <c r="K290" s="10" t="s">
        <v>445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</row>
    <row r="291" spans="1:21" x14ac:dyDescent="0.45">
      <c r="A291" s="12">
        <v>505</v>
      </c>
      <c r="B291" s="12">
        <v>1</v>
      </c>
      <c r="C291" s="12" t="s">
        <v>393</v>
      </c>
      <c r="D291" s="12" t="s">
        <v>393</v>
      </c>
      <c r="E291" s="12">
        <v>0</v>
      </c>
      <c r="F291" s="12">
        <v>0</v>
      </c>
      <c r="G291" s="12">
        <v>1</v>
      </c>
      <c r="H291" s="12">
        <v>0</v>
      </c>
      <c r="I291" s="12">
        <v>0</v>
      </c>
      <c r="J291" s="10"/>
      <c r="K291" s="10" t="s">
        <v>445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</row>
    <row r="292" spans="1:21" x14ac:dyDescent="0.45">
      <c r="A292" s="12">
        <v>506</v>
      </c>
      <c r="B292" s="12">
        <v>0</v>
      </c>
      <c r="C292" s="12" t="s">
        <v>394</v>
      </c>
      <c r="D292" s="232" t="s">
        <v>465</v>
      </c>
      <c r="E292" s="12">
        <v>0</v>
      </c>
      <c r="F292" s="12">
        <v>507</v>
      </c>
      <c r="G292" s="12">
        <v>1</v>
      </c>
      <c r="H292" s="12">
        <v>0</v>
      </c>
      <c r="I292" s="12">
        <v>0</v>
      </c>
      <c r="J292" s="10"/>
      <c r="K292" s="10" t="s">
        <v>445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</row>
    <row r="293" spans="1:21" x14ac:dyDescent="0.45">
      <c r="A293" s="12">
        <v>507</v>
      </c>
      <c r="B293" s="12">
        <v>0</v>
      </c>
      <c r="C293" s="12" t="s">
        <v>395</v>
      </c>
      <c r="D293" s="232" t="s">
        <v>465</v>
      </c>
      <c r="E293" s="12">
        <v>0</v>
      </c>
      <c r="F293" s="12">
        <v>0</v>
      </c>
      <c r="G293" s="12">
        <v>1</v>
      </c>
      <c r="H293" s="12">
        <v>0</v>
      </c>
      <c r="I293" s="12">
        <v>0</v>
      </c>
      <c r="J293" s="10"/>
      <c r="K293" s="10" t="s">
        <v>445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</row>
    <row r="294" spans="1:21" x14ac:dyDescent="0.45">
      <c r="A294" s="12">
        <v>508</v>
      </c>
      <c r="B294" s="12">
        <v>1</v>
      </c>
      <c r="C294" s="12" t="s">
        <v>396</v>
      </c>
      <c r="D294" s="12" t="s">
        <v>397</v>
      </c>
      <c r="E294" s="12">
        <v>0</v>
      </c>
      <c r="F294" s="12">
        <v>0</v>
      </c>
      <c r="G294" s="12">
        <v>0</v>
      </c>
      <c r="H294" s="12">
        <v>0</v>
      </c>
      <c r="I294" s="12">
        <v>24</v>
      </c>
      <c r="J294" s="10">
        <v>88</v>
      </c>
      <c r="K294" s="10" t="s">
        <v>444</v>
      </c>
      <c r="L294" s="10"/>
      <c r="M294" s="11">
        <v>0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</row>
    <row r="295" spans="1:21" x14ac:dyDescent="0.45">
      <c r="A295" s="12">
        <v>522</v>
      </c>
      <c r="B295" s="12">
        <v>1</v>
      </c>
      <c r="C295" s="12" t="s">
        <v>175</v>
      </c>
      <c r="D295" s="12" t="s">
        <v>175</v>
      </c>
      <c r="E295" s="12">
        <v>0</v>
      </c>
      <c r="F295" s="12">
        <v>0</v>
      </c>
      <c r="G295" s="12">
        <v>0</v>
      </c>
      <c r="H295" s="12">
        <v>0</v>
      </c>
      <c r="I295" s="12">
        <v>0</v>
      </c>
      <c r="J295" s="10"/>
      <c r="K295" s="10" t="s">
        <v>445</v>
      </c>
      <c r="L295" s="10"/>
      <c r="M295" s="11">
        <v>0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</row>
    <row r="296" spans="1:21" x14ac:dyDescent="0.45">
      <c r="A296" s="12">
        <v>523</v>
      </c>
      <c r="B296" s="12">
        <v>1</v>
      </c>
      <c r="C296" s="12" t="s">
        <v>398</v>
      </c>
      <c r="D296" s="12" t="s">
        <v>398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445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</row>
    <row r="297" spans="1:21" x14ac:dyDescent="0.45">
      <c r="A297" s="12">
        <v>534</v>
      </c>
      <c r="B297" s="12">
        <v>1</v>
      </c>
      <c r="C297" s="12" t="s">
        <v>399</v>
      </c>
      <c r="D297" s="12" t="s">
        <v>473</v>
      </c>
      <c r="E297" s="12">
        <v>0</v>
      </c>
      <c r="F297" s="12">
        <v>535</v>
      </c>
      <c r="G297" s="12">
        <v>0</v>
      </c>
      <c r="H297" s="12">
        <v>2</v>
      </c>
      <c r="I297" s="12">
        <v>0</v>
      </c>
      <c r="J297" s="10"/>
      <c r="K297" s="10" t="s">
        <v>474</v>
      </c>
      <c r="L297" s="10" t="s">
        <v>65</v>
      </c>
      <c r="M297" s="11">
        <v>1</v>
      </c>
      <c r="N297" s="10" t="s">
        <v>114</v>
      </c>
      <c r="O297" s="11">
        <v>0</v>
      </c>
      <c r="P297" s="10" t="s">
        <v>74</v>
      </c>
      <c r="Q297" s="11">
        <v>0</v>
      </c>
      <c r="R297" s="10" t="s">
        <v>295</v>
      </c>
      <c r="S297" s="11">
        <v>0</v>
      </c>
      <c r="T297" s="10" t="s">
        <v>296</v>
      </c>
      <c r="U297" s="11">
        <v>0</v>
      </c>
    </row>
    <row r="298" spans="1:21" x14ac:dyDescent="0.45">
      <c r="A298" s="12">
        <v>535</v>
      </c>
      <c r="B298" s="12">
        <v>1</v>
      </c>
      <c r="C298" s="12" t="s">
        <v>400</v>
      </c>
      <c r="D298" s="12" t="s">
        <v>401</v>
      </c>
      <c r="E298" s="12">
        <v>0</v>
      </c>
      <c r="F298" s="12">
        <v>0</v>
      </c>
      <c r="G298" s="12">
        <v>1</v>
      </c>
      <c r="H298" s="12">
        <v>2</v>
      </c>
      <c r="I298" s="12">
        <v>0</v>
      </c>
      <c r="J298" s="10"/>
      <c r="K298" s="10" t="s">
        <v>445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</row>
    <row r="299" spans="1:21" x14ac:dyDescent="0.45">
      <c r="A299" s="12">
        <v>536</v>
      </c>
      <c r="B299" s="12">
        <v>1</v>
      </c>
      <c r="C299" s="12" t="s">
        <v>402</v>
      </c>
      <c r="D299" s="12" t="s">
        <v>402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445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</row>
    <row r="300" spans="1:21" x14ac:dyDescent="0.45">
      <c r="A300" s="12">
        <v>537</v>
      </c>
      <c r="B300" s="12">
        <v>1</v>
      </c>
      <c r="C300" s="12" t="s">
        <v>403</v>
      </c>
      <c r="D300" s="12" t="s">
        <v>403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445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</row>
    <row r="301" spans="1:21" x14ac:dyDescent="0.45">
      <c r="A301" s="12">
        <v>538</v>
      </c>
      <c r="B301" s="12">
        <v>1</v>
      </c>
      <c r="C301" s="12" t="s">
        <v>404</v>
      </c>
      <c r="D301" s="12" t="s">
        <v>404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445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</row>
    <row r="302" spans="1:21" x14ac:dyDescent="0.45">
      <c r="A302" s="12">
        <v>539</v>
      </c>
      <c r="B302" s="12">
        <v>1</v>
      </c>
      <c r="C302" s="12" t="s">
        <v>405</v>
      </c>
      <c r="D302" s="12" t="s">
        <v>405</v>
      </c>
      <c r="E302" s="12">
        <v>0</v>
      </c>
      <c r="F302" s="12">
        <v>0</v>
      </c>
      <c r="G302" s="12">
        <v>1</v>
      </c>
      <c r="H302" s="12">
        <v>0</v>
      </c>
      <c r="I302" s="12">
        <v>0</v>
      </c>
      <c r="J302" s="10"/>
      <c r="K302" s="10" t="s">
        <v>445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</row>
    <row r="303" spans="1:21" x14ac:dyDescent="0.45">
      <c r="A303" s="12">
        <v>540</v>
      </c>
      <c r="B303" s="12">
        <v>1</v>
      </c>
      <c r="C303" s="12" t="s">
        <v>406</v>
      </c>
      <c r="D303" s="12" t="s">
        <v>406</v>
      </c>
      <c r="E303" s="12">
        <v>0</v>
      </c>
      <c r="F303" s="12">
        <v>0</v>
      </c>
      <c r="G303" s="12">
        <v>1</v>
      </c>
      <c r="H303" s="12">
        <v>0</v>
      </c>
      <c r="I303" s="12">
        <v>0</v>
      </c>
      <c r="J303" s="10"/>
      <c r="K303" s="10" t="s">
        <v>445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</row>
    <row r="304" spans="1:21" x14ac:dyDescent="0.45">
      <c r="A304" s="12">
        <v>543</v>
      </c>
      <c r="B304" s="12">
        <v>1</v>
      </c>
      <c r="C304" s="12" t="s">
        <v>407</v>
      </c>
      <c r="D304" s="12" t="s">
        <v>407</v>
      </c>
      <c r="E304" s="12">
        <v>0</v>
      </c>
      <c r="F304" s="12">
        <v>0</v>
      </c>
      <c r="G304" s="12">
        <v>1</v>
      </c>
      <c r="H304" s="12">
        <v>2</v>
      </c>
      <c r="I304" s="12">
        <v>0</v>
      </c>
      <c r="J304" s="10"/>
      <c r="K304" s="10" t="s">
        <v>445</v>
      </c>
      <c r="L304" s="10" t="s">
        <v>258</v>
      </c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</row>
    <row r="305" spans="1:21" x14ac:dyDescent="0.45">
      <c r="A305" s="12">
        <v>544</v>
      </c>
      <c r="B305" s="12">
        <v>1</v>
      </c>
      <c r="C305" s="12" t="s">
        <v>408</v>
      </c>
      <c r="D305" s="232" t="s">
        <v>466</v>
      </c>
      <c r="E305" s="12">
        <v>0</v>
      </c>
      <c r="F305" s="12">
        <v>545</v>
      </c>
      <c r="G305" s="12">
        <v>3</v>
      </c>
      <c r="H305" s="12">
        <v>0</v>
      </c>
      <c r="I305" s="12">
        <v>0</v>
      </c>
      <c r="J305" s="10"/>
      <c r="K305" s="10" t="s">
        <v>445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</row>
    <row r="306" spans="1:21" x14ac:dyDescent="0.45">
      <c r="A306" s="12">
        <v>545</v>
      </c>
      <c r="B306" s="12">
        <v>1</v>
      </c>
      <c r="C306" s="12" t="s">
        <v>409</v>
      </c>
      <c r="D306" s="232" t="s">
        <v>466</v>
      </c>
      <c r="E306" s="12">
        <v>0</v>
      </c>
      <c r="F306" s="12">
        <v>545</v>
      </c>
      <c r="G306" s="12">
        <v>3</v>
      </c>
      <c r="H306" s="12">
        <v>0</v>
      </c>
      <c r="I306" s="12">
        <v>0</v>
      </c>
      <c r="J306" s="10"/>
      <c r="K306" s="10" t="s">
        <v>445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</row>
    <row r="307" spans="1:21" x14ac:dyDescent="0.45">
      <c r="A307" s="12">
        <v>548</v>
      </c>
      <c r="B307" s="12">
        <v>1</v>
      </c>
      <c r="C307" s="12" t="s">
        <v>410</v>
      </c>
      <c r="D307" s="232" t="s">
        <v>467</v>
      </c>
      <c r="E307" s="12">
        <v>0</v>
      </c>
      <c r="F307" s="12">
        <v>549</v>
      </c>
      <c r="G307" s="12">
        <v>1</v>
      </c>
      <c r="H307" s="12">
        <v>2</v>
      </c>
      <c r="I307" s="12">
        <v>16</v>
      </c>
      <c r="J307" s="10">
        <v>100</v>
      </c>
      <c r="K307" s="10" t="s">
        <v>444</v>
      </c>
      <c r="L307" s="10" t="s">
        <v>114</v>
      </c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</row>
    <row r="308" spans="1:21" x14ac:dyDescent="0.45">
      <c r="A308" s="12">
        <v>549</v>
      </c>
      <c r="B308" s="12">
        <v>1</v>
      </c>
      <c r="C308" s="12" t="s">
        <v>411</v>
      </c>
      <c r="D308" s="232" t="s">
        <v>467</v>
      </c>
      <c r="E308" s="12">
        <v>0</v>
      </c>
      <c r="F308" s="12">
        <v>549</v>
      </c>
      <c r="G308" s="12">
        <v>1</v>
      </c>
      <c r="H308" s="12">
        <v>2</v>
      </c>
      <c r="I308" s="12">
        <v>16</v>
      </c>
      <c r="J308" s="10">
        <v>100</v>
      </c>
      <c r="K308" s="10" t="s">
        <v>444</v>
      </c>
      <c r="L308" s="10" t="s">
        <v>114</v>
      </c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</row>
    <row r="309" spans="1:21" x14ac:dyDescent="0.45">
      <c r="A309" s="12">
        <v>552</v>
      </c>
      <c r="B309" s="12">
        <v>1</v>
      </c>
      <c r="C309" s="12" t="s">
        <v>412</v>
      </c>
      <c r="D309" s="12" t="s">
        <v>412</v>
      </c>
      <c r="E309" s="12">
        <v>0</v>
      </c>
      <c r="F309" s="12">
        <v>0</v>
      </c>
      <c r="G309" s="12">
        <v>1</v>
      </c>
      <c r="H309" s="12">
        <v>0</v>
      </c>
      <c r="I309" s="12">
        <v>0</v>
      </c>
      <c r="J309" s="10"/>
      <c r="K309" s="10" t="s">
        <v>445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</row>
    <row r="310" spans="1:21" x14ac:dyDescent="0.45">
      <c r="A310" s="12">
        <v>555</v>
      </c>
      <c r="B310" s="12">
        <v>1</v>
      </c>
      <c r="C310" s="12" t="s">
        <v>413</v>
      </c>
      <c r="D310" s="232" t="s">
        <v>468</v>
      </c>
      <c r="E310" s="12">
        <v>0</v>
      </c>
      <c r="F310" s="12">
        <v>556</v>
      </c>
      <c r="G310" s="12">
        <v>1</v>
      </c>
      <c r="H310" s="12">
        <v>2</v>
      </c>
      <c r="I310" s="12">
        <v>0</v>
      </c>
      <c r="J310" s="10"/>
      <c r="K310" s="10" t="s">
        <v>445</v>
      </c>
      <c r="L310" s="233" t="s">
        <v>65</v>
      </c>
      <c r="M310" s="234">
        <v>1</v>
      </c>
      <c r="N310" s="233" t="s">
        <v>469</v>
      </c>
      <c r="O310" s="234">
        <v>0</v>
      </c>
      <c r="P310" s="233" t="s">
        <v>470</v>
      </c>
      <c r="Q310" s="234">
        <v>0</v>
      </c>
      <c r="R310" s="233" t="s">
        <v>471</v>
      </c>
      <c r="S310" s="234">
        <v>0</v>
      </c>
      <c r="T310" s="233" t="s">
        <v>472</v>
      </c>
      <c r="U310" s="234">
        <v>0</v>
      </c>
    </row>
    <row r="311" spans="1:21" x14ac:dyDescent="0.45">
      <c r="A311" s="12">
        <v>556</v>
      </c>
      <c r="B311" s="12">
        <v>1</v>
      </c>
      <c r="C311" s="12" t="s">
        <v>414</v>
      </c>
      <c r="D311" s="232" t="s">
        <v>468</v>
      </c>
      <c r="E311" s="12">
        <v>0</v>
      </c>
      <c r="F311" s="12">
        <v>556</v>
      </c>
      <c r="G311" s="12">
        <v>1</v>
      </c>
      <c r="H311" s="12">
        <v>2</v>
      </c>
      <c r="I311" s="12">
        <v>0</v>
      </c>
      <c r="J311" s="10"/>
      <c r="K311" s="10" t="s">
        <v>445</v>
      </c>
      <c r="L311" s="233" t="s">
        <v>65</v>
      </c>
      <c r="M311" s="234">
        <v>0</v>
      </c>
      <c r="N311" s="233"/>
      <c r="O311" s="234">
        <v>0</v>
      </c>
      <c r="P311" s="233"/>
      <c r="Q311" s="234">
        <v>0</v>
      </c>
      <c r="R311" s="233"/>
      <c r="S311" s="234">
        <v>0</v>
      </c>
      <c r="T311" s="233"/>
      <c r="U311" s="234">
        <v>0</v>
      </c>
    </row>
    <row r="312" spans="1:21" x14ac:dyDescent="0.45">
      <c r="A312" s="12">
        <v>557</v>
      </c>
      <c r="B312" s="12">
        <v>0</v>
      </c>
      <c r="C312" s="12" t="s">
        <v>415</v>
      </c>
      <c r="D312" s="12" t="s">
        <v>415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0"/>
      <c r="K312" s="10" t="s">
        <v>445</v>
      </c>
      <c r="L312" s="10"/>
      <c r="M312" s="11">
        <v>0</v>
      </c>
      <c r="N312" s="10"/>
      <c r="O312" s="11">
        <v>0</v>
      </c>
      <c r="P312" s="10"/>
      <c r="Q312" s="11">
        <v>0</v>
      </c>
      <c r="R312" s="10"/>
      <c r="S312" s="11">
        <v>0</v>
      </c>
      <c r="T312" s="10"/>
      <c r="U312" s="11">
        <v>0</v>
      </c>
    </row>
    <row r="313" spans="1:21" x14ac:dyDescent="0.45">
      <c r="A313" s="12">
        <v>558</v>
      </c>
      <c r="B313" s="12">
        <v>1</v>
      </c>
      <c r="C313" s="12" t="s">
        <v>416</v>
      </c>
      <c r="D313" s="12" t="s">
        <v>416</v>
      </c>
      <c r="E313" s="12">
        <v>0</v>
      </c>
      <c r="F313" s="12">
        <v>0</v>
      </c>
      <c r="G313" s="12">
        <v>1</v>
      </c>
      <c r="H313" s="12">
        <v>0</v>
      </c>
      <c r="I313" s="12">
        <v>80</v>
      </c>
      <c r="J313" s="10"/>
      <c r="K313" s="10" t="s">
        <v>445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</row>
    <row r="314" spans="1:21" x14ac:dyDescent="0.45">
      <c r="A314" s="12">
        <v>559</v>
      </c>
      <c r="B314" s="12">
        <v>1</v>
      </c>
      <c r="C314" s="12" t="s">
        <v>417</v>
      </c>
      <c r="D314" s="12" t="s">
        <v>417</v>
      </c>
      <c r="E314" s="12">
        <v>0</v>
      </c>
      <c r="F314" s="12">
        <v>0</v>
      </c>
      <c r="G314" s="12">
        <v>1</v>
      </c>
      <c r="H314" s="12">
        <v>0</v>
      </c>
      <c r="I314" s="12">
        <v>80</v>
      </c>
      <c r="J314" s="10"/>
      <c r="K314" s="10" t="s">
        <v>445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</row>
    <row r="315" spans="1:21" x14ac:dyDescent="0.45">
      <c r="A315" s="12">
        <v>560</v>
      </c>
      <c r="B315" s="12">
        <v>1</v>
      </c>
      <c r="C315" s="12" t="s">
        <v>418</v>
      </c>
      <c r="D315" s="12" t="s">
        <v>418</v>
      </c>
      <c r="E315" s="12">
        <v>0</v>
      </c>
      <c r="F315" s="12">
        <v>0</v>
      </c>
      <c r="G315" s="12">
        <v>1</v>
      </c>
      <c r="H315" s="12">
        <v>0</v>
      </c>
      <c r="I315" s="12">
        <v>80</v>
      </c>
      <c r="J315" s="10"/>
      <c r="K315" s="10" t="s">
        <v>445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</row>
    <row r="316" spans="1:21" x14ac:dyDescent="0.45">
      <c r="A316" s="12">
        <v>561</v>
      </c>
      <c r="B316" s="12">
        <v>1</v>
      </c>
      <c r="C316" s="12" t="s">
        <v>419</v>
      </c>
      <c r="D316" s="12" t="s">
        <v>419</v>
      </c>
      <c r="E316" s="12">
        <v>0</v>
      </c>
      <c r="F316" s="12">
        <v>0</v>
      </c>
      <c r="G316" s="12">
        <v>1</v>
      </c>
      <c r="H316" s="12">
        <v>0</v>
      </c>
      <c r="I316" s="12">
        <v>80</v>
      </c>
      <c r="J316" s="10"/>
      <c r="K316" s="10" t="s">
        <v>445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</row>
    <row r="317" spans="1:21" x14ac:dyDescent="0.45">
      <c r="A317" s="12">
        <v>562</v>
      </c>
      <c r="B317" s="12">
        <v>1</v>
      </c>
      <c r="C317" s="12" t="s">
        <v>420</v>
      </c>
      <c r="D317" s="12" t="s">
        <v>420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445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</row>
    <row r="318" spans="1:21" x14ac:dyDescent="0.45">
      <c r="A318" s="12">
        <v>563</v>
      </c>
      <c r="B318" s="12">
        <v>1</v>
      </c>
      <c r="C318" s="12" t="s">
        <v>421</v>
      </c>
      <c r="D318" s="12" t="s">
        <v>422</v>
      </c>
      <c r="E318" s="12">
        <v>0</v>
      </c>
      <c r="F318" s="12">
        <v>564</v>
      </c>
      <c r="G318" s="12">
        <v>0</v>
      </c>
      <c r="H318" s="12">
        <v>0</v>
      </c>
      <c r="I318" s="12">
        <v>0</v>
      </c>
      <c r="J318" s="10"/>
      <c r="K318" s="10" t="s">
        <v>445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</row>
    <row r="319" spans="1:21" x14ac:dyDescent="0.45">
      <c r="A319" s="12">
        <v>564</v>
      </c>
      <c r="B319" s="12">
        <v>1</v>
      </c>
      <c r="C319" s="12" t="s">
        <v>423</v>
      </c>
      <c r="D319" s="12" t="s">
        <v>422</v>
      </c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445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</row>
    <row r="320" spans="1:21" x14ac:dyDescent="0.45">
      <c r="A320" s="12">
        <v>570</v>
      </c>
      <c r="B320" s="12">
        <v>1</v>
      </c>
      <c r="C320" s="12" t="s">
        <v>424</v>
      </c>
      <c r="D320" s="12" t="s">
        <v>424</v>
      </c>
      <c r="E320" s="12">
        <v>0</v>
      </c>
      <c r="F320" s="12">
        <v>0</v>
      </c>
      <c r="G320" s="12">
        <v>3</v>
      </c>
      <c r="H320" s="12">
        <v>2</v>
      </c>
      <c r="I320" s="12">
        <v>0</v>
      </c>
      <c r="J320" s="10"/>
      <c r="K320" s="10" t="s">
        <v>445</v>
      </c>
      <c r="L320" s="10" t="s">
        <v>269</v>
      </c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</row>
    <row r="321" spans="1:21" x14ac:dyDescent="0.45">
      <c r="A321" s="12">
        <v>571</v>
      </c>
      <c r="B321" s="12">
        <v>1</v>
      </c>
      <c r="C321" s="12" t="s">
        <v>425</v>
      </c>
      <c r="D321" s="12" t="s">
        <v>426</v>
      </c>
      <c r="E321" s="12">
        <v>0</v>
      </c>
      <c r="F321" s="12">
        <v>0</v>
      </c>
      <c r="G321" s="12">
        <v>3</v>
      </c>
      <c r="H321" s="12">
        <v>2</v>
      </c>
      <c r="I321" s="12">
        <v>0</v>
      </c>
      <c r="J321" s="10"/>
      <c r="K321" s="10" t="s">
        <v>445</v>
      </c>
      <c r="L321" s="10" t="s">
        <v>427</v>
      </c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</row>
    <row r="322" spans="1:21" x14ac:dyDescent="0.45">
      <c r="A322" s="12">
        <v>572</v>
      </c>
      <c r="B322" s="12">
        <v>1</v>
      </c>
      <c r="C322" s="12" t="s">
        <v>428</v>
      </c>
      <c r="D322" s="12" t="s">
        <v>428</v>
      </c>
      <c r="E322" s="12">
        <v>0</v>
      </c>
      <c r="F322" s="12">
        <v>0</v>
      </c>
      <c r="G322" s="12">
        <v>3</v>
      </c>
      <c r="H322" s="12">
        <v>2</v>
      </c>
      <c r="I322" s="12">
        <v>0</v>
      </c>
      <c r="J322" s="10"/>
      <c r="K322" s="10" t="s">
        <v>445</v>
      </c>
      <c r="L322" s="10" t="s">
        <v>429</v>
      </c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</row>
    <row r="323" spans="1:21" x14ac:dyDescent="0.45">
      <c r="A323" s="12">
        <v>573</v>
      </c>
      <c r="B323" s="12">
        <v>1</v>
      </c>
      <c r="C323" s="12" t="s">
        <v>430</v>
      </c>
      <c r="D323" s="12" t="s">
        <v>430</v>
      </c>
      <c r="E323" s="12">
        <v>0</v>
      </c>
      <c r="F323" s="12">
        <v>0</v>
      </c>
      <c r="G323" s="12">
        <v>3</v>
      </c>
      <c r="H323" s="12">
        <v>2</v>
      </c>
      <c r="I323" s="12">
        <v>0</v>
      </c>
      <c r="J323" s="10"/>
      <c r="K323" s="10" t="s">
        <v>445</v>
      </c>
      <c r="L323" s="10" t="s">
        <v>431</v>
      </c>
      <c r="M323" s="11">
        <v>0</v>
      </c>
      <c r="N323" s="10"/>
      <c r="O323" s="11">
        <v>0</v>
      </c>
      <c r="P323" s="10"/>
      <c r="Q323" s="11">
        <v>0</v>
      </c>
      <c r="R323" s="10"/>
      <c r="S323" s="11">
        <v>0</v>
      </c>
      <c r="T323" s="10"/>
      <c r="U323" s="11">
        <v>0</v>
      </c>
    </row>
    <row r="324" spans="1:21" x14ac:dyDescent="0.45">
      <c r="A324" s="12">
        <v>574</v>
      </c>
      <c r="B324" s="12">
        <v>1</v>
      </c>
      <c r="C324" s="12" t="s">
        <v>432</v>
      </c>
      <c r="D324" s="12" t="s">
        <v>432</v>
      </c>
      <c r="E324" s="12">
        <v>0</v>
      </c>
      <c r="F324" s="12">
        <v>0</v>
      </c>
      <c r="G324" s="12">
        <v>3</v>
      </c>
      <c r="H324" s="12">
        <v>2</v>
      </c>
      <c r="I324" s="12">
        <v>0</v>
      </c>
      <c r="J324" s="10"/>
      <c r="K324" s="10" t="s">
        <v>445</v>
      </c>
      <c r="L324" s="10" t="s">
        <v>433</v>
      </c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</row>
    <row r="325" spans="1:21" x14ac:dyDescent="0.45">
      <c r="A325" s="12">
        <v>575</v>
      </c>
      <c r="B325" s="12">
        <v>1</v>
      </c>
      <c r="C325" s="12" t="s">
        <v>399</v>
      </c>
      <c r="D325" s="12" t="s">
        <v>475</v>
      </c>
      <c r="E325" s="12">
        <v>0</v>
      </c>
      <c r="F325" s="12">
        <v>535</v>
      </c>
      <c r="G325" s="12">
        <v>0</v>
      </c>
      <c r="H325" s="12">
        <v>2</v>
      </c>
      <c r="I325" s="12">
        <v>0</v>
      </c>
      <c r="J325" s="10"/>
      <c r="K325" s="10" t="s">
        <v>474</v>
      </c>
      <c r="L325" s="10" t="s">
        <v>65</v>
      </c>
      <c r="M325" s="11">
        <v>1</v>
      </c>
      <c r="N325" s="10" t="s">
        <v>114</v>
      </c>
      <c r="O325" s="11">
        <v>0</v>
      </c>
      <c r="P325" s="10" t="s">
        <v>74</v>
      </c>
      <c r="Q325" s="11">
        <v>0</v>
      </c>
      <c r="R325" s="10" t="s">
        <v>295</v>
      </c>
      <c r="S325" s="11">
        <v>0</v>
      </c>
      <c r="T325" s="10" t="s">
        <v>296</v>
      </c>
      <c r="U325" s="11">
        <v>0</v>
      </c>
    </row>
    <row r="326" spans="1:21" x14ac:dyDescent="0.45">
      <c r="A326" s="12">
        <v>602</v>
      </c>
      <c r="B326" s="12">
        <v>0</v>
      </c>
      <c r="C326" s="12" t="s">
        <v>434</v>
      </c>
      <c r="D326" s="232" t="s">
        <v>462</v>
      </c>
      <c r="E326" s="12">
        <v>0</v>
      </c>
      <c r="F326" s="12">
        <v>0</v>
      </c>
      <c r="G326" s="12">
        <v>3</v>
      </c>
      <c r="H326" s="12">
        <v>0</v>
      </c>
      <c r="I326" s="12">
        <v>0</v>
      </c>
      <c r="J326" s="10"/>
      <c r="K326" s="10" t="s">
        <v>445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</row>
    <row r="327" spans="1:21" x14ac:dyDescent="0.45">
      <c r="A327" s="12">
        <v>603</v>
      </c>
      <c r="B327" s="12">
        <v>1</v>
      </c>
      <c r="C327" s="12" t="s">
        <v>352</v>
      </c>
      <c r="D327" s="12" t="s">
        <v>352</v>
      </c>
      <c r="E327" s="12">
        <v>0</v>
      </c>
      <c r="F327" s="12">
        <v>0</v>
      </c>
      <c r="G327" s="12">
        <v>1</v>
      </c>
      <c r="H327" s="12">
        <v>0</v>
      </c>
      <c r="I327" s="12">
        <v>0</v>
      </c>
      <c r="J327" s="10"/>
      <c r="K327" s="10" t="s">
        <v>445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</row>
    <row r="328" spans="1:21" x14ac:dyDescent="0.45">
      <c r="A328" s="12">
        <v>604</v>
      </c>
      <c r="B328" s="12">
        <v>1</v>
      </c>
      <c r="C328" s="12" t="s">
        <v>435</v>
      </c>
      <c r="D328" s="12" t="s">
        <v>435</v>
      </c>
      <c r="E328" s="12">
        <v>0</v>
      </c>
      <c r="F328" s="12">
        <v>0</v>
      </c>
      <c r="G328" s="12">
        <v>1</v>
      </c>
      <c r="H328" s="12">
        <v>0</v>
      </c>
      <c r="I328" s="12">
        <v>0</v>
      </c>
      <c r="J328" s="10"/>
      <c r="K328" s="10" t="s">
        <v>445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</row>
    <row r="329" spans="1:21" x14ac:dyDescent="0.45">
      <c r="A329" s="12">
        <v>605</v>
      </c>
      <c r="B329" s="12">
        <v>1</v>
      </c>
      <c r="C329" s="12" t="s">
        <v>436</v>
      </c>
      <c r="D329" s="12" t="s">
        <v>436</v>
      </c>
      <c r="E329" s="12">
        <v>0</v>
      </c>
      <c r="F329" s="12">
        <v>606</v>
      </c>
      <c r="G329" s="12">
        <v>1</v>
      </c>
      <c r="H329" s="12">
        <v>0</v>
      </c>
      <c r="I329" s="12">
        <v>0</v>
      </c>
      <c r="J329" s="10"/>
      <c r="K329" s="10" t="s">
        <v>445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</row>
    <row r="330" spans="1:21" x14ac:dyDescent="0.45">
      <c r="A330" s="12">
        <v>606</v>
      </c>
      <c r="B330" s="12">
        <v>1</v>
      </c>
      <c r="C330" s="12" t="s">
        <v>436</v>
      </c>
      <c r="D330" s="12" t="s">
        <v>436</v>
      </c>
      <c r="E330" s="12">
        <v>0</v>
      </c>
      <c r="F330" s="12">
        <v>0</v>
      </c>
      <c r="G330" s="12">
        <v>1</v>
      </c>
      <c r="H330" s="12">
        <v>0</v>
      </c>
      <c r="I330" s="12">
        <v>0</v>
      </c>
      <c r="J330" s="10"/>
      <c r="K330" s="10" t="s">
        <v>445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</row>
    <row r="331" spans="1:21" x14ac:dyDescent="0.45">
      <c r="A331" s="12">
        <v>607</v>
      </c>
      <c r="B331" s="12">
        <v>1</v>
      </c>
      <c r="C331" s="12" t="s">
        <v>437</v>
      </c>
      <c r="D331" s="12" t="s">
        <v>437</v>
      </c>
      <c r="E331" s="12">
        <v>0</v>
      </c>
      <c r="F331" s="12">
        <v>608</v>
      </c>
      <c r="G331" s="12">
        <v>0</v>
      </c>
      <c r="H331" s="12">
        <v>1</v>
      </c>
      <c r="I331" s="12">
        <v>0</v>
      </c>
      <c r="J331" s="10"/>
      <c r="K331" s="10" t="s">
        <v>445</v>
      </c>
      <c r="L331" s="10" t="s">
        <v>65</v>
      </c>
      <c r="M331" s="11">
        <v>1</v>
      </c>
      <c r="N331" s="10" t="s">
        <v>114</v>
      </c>
      <c r="O331" s="11">
        <v>0</v>
      </c>
      <c r="P331" s="10" t="s">
        <v>74</v>
      </c>
      <c r="Q331" s="11">
        <v>0</v>
      </c>
      <c r="R331" s="10" t="s">
        <v>295</v>
      </c>
      <c r="S331" s="11">
        <v>0</v>
      </c>
      <c r="T331" s="10" t="s">
        <v>296</v>
      </c>
      <c r="U331" s="11">
        <v>0</v>
      </c>
    </row>
    <row r="332" spans="1:21" x14ac:dyDescent="0.45">
      <c r="A332" s="12">
        <v>608</v>
      </c>
      <c r="B332" s="12">
        <v>1</v>
      </c>
      <c r="C332" s="12" t="s">
        <v>437</v>
      </c>
      <c r="D332" s="12" t="s">
        <v>437</v>
      </c>
      <c r="E332" s="12">
        <v>0</v>
      </c>
      <c r="F332" s="12">
        <v>0</v>
      </c>
      <c r="G332" s="12">
        <v>1</v>
      </c>
      <c r="H332" s="12">
        <v>2</v>
      </c>
      <c r="I332" s="12">
        <v>0</v>
      </c>
      <c r="J332" s="10"/>
      <c r="K332" s="10" t="s">
        <v>445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</row>
    <row r="333" spans="1:21" x14ac:dyDescent="0.45">
      <c r="A333" s="12">
        <v>609</v>
      </c>
      <c r="B333" s="12">
        <v>1</v>
      </c>
      <c r="C333" s="12" t="s">
        <v>438</v>
      </c>
      <c r="D333" s="12" t="s">
        <v>438</v>
      </c>
      <c r="E333" s="12">
        <v>0</v>
      </c>
      <c r="F333" s="12">
        <v>610</v>
      </c>
      <c r="G333" s="12">
        <v>0</v>
      </c>
      <c r="H333" s="12">
        <v>1</v>
      </c>
      <c r="I333" s="12">
        <v>0</v>
      </c>
      <c r="J333" s="10"/>
      <c r="K333" s="10" t="s">
        <v>445</v>
      </c>
      <c r="L333" s="10" t="s">
        <v>65</v>
      </c>
      <c r="M333" s="11">
        <v>1</v>
      </c>
      <c r="N333" s="10" t="s">
        <v>114</v>
      </c>
      <c r="O333" s="11">
        <v>0</v>
      </c>
      <c r="P333" s="10" t="s">
        <v>74</v>
      </c>
      <c r="Q333" s="11">
        <v>0</v>
      </c>
      <c r="R333" s="10" t="s">
        <v>295</v>
      </c>
      <c r="S333" s="11">
        <v>0</v>
      </c>
      <c r="T333" s="10" t="s">
        <v>296</v>
      </c>
      <c r="U333" s="11">
        <v>0</v>
      </c>
    </row>
    <row r="334" spans="1:21" x14ac:dyDescent="0.45">
      <c r="A334" s="12">
        <v>610</v>
      </c>
      <c r="B334" s="12">
        <v>1</v>
      </c>
      <c r="C334" s="12" t="s">
        <v>438</v>
      </c>
      <c r="D334" s="12" t="s">
        <v>438</v>
      </c>
      <c r="E334" s="12">
        <v>0</v>
      </c>
      <c r="F334" s="12">
        <v>0</v>
      </c>
      <c r="G334" s="12">
        <v>1</v>
      </c>
      <c r="H334" s="12">
        <v>2</v>
      </c>
      <c r="I334" s="12">
        <v>0</v>
      </c>
      <c r="J334" s="10"/>
      <c r="K334" s="10" t="s">
        <v>445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</row>
    <row r="335" spans="1:21" x14ac:dyDescent="0.45">
      <c r="A335" s="12">
        <v>611</v>
      </c>
      <c r="B335" s="12">
        <v>1</v>
      </c>
      <c r="C335" s="12" t="s">
        <v>439</v>
      </c>
      <c r="D335" s="12" t="s">
        <v>439</v>
      </c>
      <c r="E335" s="12">
        <v>0</v>
      </c>
      <c r="F335" s="12">
        <v>612</v>
      </c>
      <c r="G335" s="12">
        <v>0</v>
      </c>
      <c r="H335" s="12">
        <v>1</v>
      </c>
      <c r="I335" s="12">
        <v>0</v>
      </c>
      <c r="J335" s="10"/>
      <c r="K335" s="10" t="s">
        <v>445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</row>
    <row r="336" spans="1:21" x14ac:dyDescent="0.45">
      <c r="A336" s="12">
        <v>612</v>
      </c>
      <c r="B336" s="12">
        <v>1</v>
      </c>
      <c r="C336" s="12" t="s">
        <v>439</v>
      </c>
      <c r="D336" s="12" t="s">
        <v>439</v>
      </c>
      <c r="E336" s="12">
        <v>0</v>
      </c>
      <c r="F336" s="12">
        <v>0</v>
      </c>
      <c r="G336" s="12">
        <v>1</v>
      </c>
      <c r="H336" s="12">
        <v>2</v>
      </c>
      <c r="I336" s="12">
        <v>0</v>
      </c>
      <c r="J336" s="10"/>
      <c r="K336" s="10" t="s">
        <v>445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</row>
    <row r="337" spans="1:21" x14ac:dyDescent="0.45">
      <c r="A337" s="12">
        <v>613</v>
      </c>
      <c r="B337" s="12">
        <v>1</v>
      </c>
      <c r="C337" s="12" t="s">
        <v>285</v>
      </c>
      <c r="D337" s="12" t="s">
        <v>285</v>
      </c>
      <c r="E337" s="12">
        <v>0</v>
      </c>
      <c r="F337" s="12">
        <v>0</v>
      </c>
      <c r="G337" s="12">
        <v>1</v>
      </c>
      <c r="H337" s="12">
        <v>0</v>
      </c>
      <c r="I337" s="12">
        <v>42</v>
      </c>
      <c r="J337" s="10"/>
      <c r="K337" s="10" t="s">
        <v>445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</row>
    <row r="338" spans="1:21" x14ac:dyDescent="0.45">
      <c r="A338" s="12">
        <v>614</v>
      </c>
      <c r="B338" s="12">
        <v>1</v>
      </c>
      <c r="C338" s="12" t="s">
        <v>440</v>
      </c>
      <c r="D338" s="12" t="s">
        <v>440</v>
      </c>
      <c r="E338" s="12">
        <v>0</v>
      </c>
      <c r="F338" s="12">
        <v>0</v>
      </c>
      <c r="G338" s="12">
        <v>1</v>
      </c>
      <c r="H338" s="12">
        <v>1</v>
      </c>
      <c r="I338" s="12">
        <v>80</v>
      </c>
      <c r="J338" s="10"/>
      <c r="K338" s="10" t="s">
        <v>445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</row>
    <row r="339" spans="1:21" x14ac:dyDescent="0.45">
      <c r="A339" s="12">
        <v>615</v>
      </c>
      <c r="B339" s="12">
        <v>0</v>
      </c>
      <c r="C339" s="12" t="s">
        <v>441</v>
      </c>
      <c r="D339" s="12" t="s">
        <v>441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0"/>
      <c r="K339" s="12" t="s">
        <v>445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</row>
  </sheetData>
  <phoneticPr fontId="1"/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2025-06-11T22:00:36Z</cp:lastPrinted>
  <dcterms:created xsi:type="dcterms:W3CDTF">2025-03-09T00:44:18Z</dcterms:created>
  <dcterms:modified xsi:type="dcterms:W3CDTF">2025-06-17T12:34:41Z</dcterms:modified>
</cp:coreProperties>
</file>